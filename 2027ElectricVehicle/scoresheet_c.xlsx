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visible" r:id="rId9"/>
    <sheet name="ExportRaw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<sst xmlns="http://schemas.openxmlformats.org/spreadsheetml/2006/main" count="202" uniqueCount="147">
  <si>
    <t xml:space="preserve">Check-In</t>
  </si>
  <si>
    <t xml:space="preserve">Event Time</t>
  </si>
  <si>
    <r>
      <rPr>
        <sz val="11"/>
        <color theme="1"/>
        <rFont val="Overpass"/>
        <family val="0"/>
        <charset val="1"/>
      </rPr>
      <t xml:space="preserve">21. </t>
    </r>
    <r>
      <rPr>
        <b val="true"/>
        <sz val="11"/>
        <color theme="1"/>
        <rFont val="Overpass"/>
        <family val="0"/>
        <charset val="1"/>
      </rPr>
      <t xml:space="preserve">Nats Only</t>
    </r>
    <r>
      <rPr>
        <sz val="11"/>
        <color theme="1"/>
        <rFont val="Overpass"/>
        <family val="0"/>
        <charset val="1"/>
      </rPr>
      <t xml:space="preserve">: Event Time Left
(If Regional/State-level, leave blank)</t>
    </r>
  </si>
  <si>
    <t xml:space="preserve">22. Disqualify (T/F)</t>
  </si>
  <si>
    <t xml:space="preserve">Check In</t>
  </si>
  <si>
    <t xml:space="preserve">Run 1</t>
  </si>
  <si>
    <t xml:space="preserve">Run 2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</si>
  <si>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</si>
  <si>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</si>
  <si>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</si>
  <si>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</si>
  <si>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</si>
  <si>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</si>
  <si>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</si>
  <si>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</si>
  <si>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</si>
  <si>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</si>
  <si>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1. Impounded (T/F)</t>
  </si>
  <si>
    <t xml:space="preserve">2. No batteries containing lithium or lead (T/F)</t>
  </si>
  <si>
    <t xml:space="preserve">3. Conforms to kit modification requirements (T/F)</t>
  </si>
  <si>
    <t xml:space="preserve">4. Bottle Pusher Width (cm)</t>
  </si>
  <si>
    <t xml:space="preserve">Global: Target Time</t>
  </si>
  <si>
    <t xml:space="preserve">Is valid Target Time? (copied as data validation script for D7)</t>
  </si>
  <si>
    <t xml:space="preserve">Scored Run</t>
  </si>
  <si>
    <t xml:space="preserve">Final Score</t>
  </si>
  <si>
    <t xml:space="preserve">Distance Score</t>
  </si>
  <si>
    <t xml:space="preserve">Time Score</t>
  </si>
  <si>
    <t xml:space="preserve">Bonus Score</t>
  </si>
  <si>
    <t xml:space="preserve">Penalty Score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</si>
  <si>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</si>
  <si>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</si>
  <si>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</si>
  <si>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</si>
  <si>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</si>
  <si>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</si>
  <si>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</si>
  <si>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</si>
  <si>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5. Met all const params (T/F)</t>
  </si>
  <si>
    <t xml:space="preserve">6. Met all comp params (T/F)</t>
  </si>
  <si>
    <t xml:space="preserve">7. Successful / Failed Run</t>
  </si>
  <si>
    <t xml:space="preserve">8. Run Time (s)</t>
  </si>
  <si>
    <t xml:space="preserve">9. Vehicle Distance (cm)</t>
  </si>
  <si>
    <t xml:space="preserve">10. Bottle past Target Pt &amp; Moving Water Bottle Restrictions Upheld (T/F)</t>
  </si>
  <si>
    <t xml:space="preserve">11. Bottle Distance (cm)</t>
  </si>
  <si>
    <t xml:space="preserve">12. Bottle Bonus (T/F)</t>
  </si>
  <si>
    <t xml:space="preserve">13. Met all const params (T/F)</t>
  </si>
  <si>
    <t xml:space="preserve">14. Met all comp params (T/F)</t>
  </si>
  <si>
    <t xml:space="preserve">15. Successful / Failed Run</t>
  </si>
  <si>
    <t xml:space="preserve">16. Run Time (s)</t>
  </si>
  <si>
    <t xml:space="preserve">17. Vehicle Distance (cm)</t>
  </si>
  <si>
    <t xml:space="preserve">18. Bottle past Target Pt &amp; Moving Water Bottle Restrictions Upheld (T/F)</t>
  </si>
  <si>
    <t xml:space="preserve">19. Bottle Distance (cm)</t>
  </si>
  <si>
    <t xml:space="preserve">20. Bottle Bonus (T/F)</t>
  </si>
  <si>
    <t xml:space="preserve">Run 1 Error</t>
  </si>
  <si>
    <t xml:space="preserve">Bottle Bonus</t>
  </si>
  <si>
    <t xml:space="preserve">Pusher Bonus</t>
  </si>
  <si>
    <t xml:space="preserve">Run Penalties</t>
  </si>
  <si>
    <t xml:space="preserve">Run Score</t>
  </si>
  <si>
    <t xml:space="preserve">Run 1 TB1: Distance Score</t>
  </si>
  <si>
    <t xml:space="preserve">Run 1 TB2: Time Score</t>
  </si>
  <si>
    <t xml:space="preserve">Run 1 TB3: Vehicle Distance</t>
  </si>
  <si>
    <t xml:space="preserve">Run 2 Error</t>
  </si>
  <si>
    <t xml:space="preserve">Run 2 TB1: Distance Score</t>
  </si>
  <si>
    <t xml:space="preserve">Run 2 TB2: Time Score</t>
  </si>
  <si>
    <t xml:space="preserve">Run 2 TB3: Vehicle Distance</t>
  </si>
  <si>
    <t xml:space="preserve">ERROR: Set Target Time in cell D7</t>
  </si>
  <si>
    <t xml:space="preserve">ERROR: Target Time in cell D7 must be a number</t>
  </si>
  <si>
    <t xml:space="preserve">Target Time (s):</t>
  </si>
  <si>
    <t xml:space="preserve">Tiebreaks</t>
  </si>
  <si>
    <t xml:space="preserve">Mins</t>
  </si>
  <si>
    <t xml:space="preserve">Seconds</t>
  </si>
  <si>
    <t xml:space="preserve">Target Time Error</t>
  </si>
  <si>
    <t xml:space="preserve">Status</t>
  </si>
  <si>
    <t xml:space="preserve">Scored Run Score</t>
  </si>
  <si>
    <t xml:space="preserve">Final Score Penalties</t>
  </si>
  <si>
    <t xml:space="preserve">Event Time Bonus</t>
  </si>
  <si>
    <t xml:space="preserve">Dist Score of scored run (TB1)</t>
  </si>
  <si>
    <t xml:space="preserve">TB1 Rank</t>
  </si>
  <si>
    <t xml:space="preserve">Time Score of scored run (TB2)</t>
  </si>
  <si>
    <t xml:space="preserve">TB2 Rank</t>
  </si>
  <si>
    <t xml:space="preserve">Vehicle Dist of scored run (TB3)</t>
  </si>
  <si>
    <t xml:space="preserve">TB3 Rank</t>
  </si>
  <si>
    <t xml:space="preserve">Bottle Pusher Opening (TB4)</t>
  </si>
  <si>
    <t xml:space="preserve">TB4 Rank</t>
  </si>
  <si>
    <t xml:space="preserve">Rank w/ TB</t>
  </si>
  <si>
    <t xml:space="preserve">Rank Diff</t>
  </si>
  <si>
    <t xml:space="preserve">Errors</t>
  </si>
  <si>
    <t xml:space="preserve">Name Desc</t>
  </si>
  <si>
    <t xml:space="preserve">Value</t>
  </si>
  <si>
    <t xml:space="preserve">T</t>
  </si>
  <si>
    <t xml:space="preserve">F</t>
  </si>
  <si>
    <t xml:space="preserve">Successful Run</t>
  </si>
  <si>
    <t xml:space="preserve">Successful</t>
  </si>
  <si>
    <t xml:space="preserve">Failed Run</t>
  </si>
  <si>
    <t xml:space="preserve">Failed</t>
  </si>
  <si>
    <t xml:space="preserve">Competed</t>
  </si>
  <si>
    <t xml:space="preserve">C</t>
  </si>
  <si>
    <t xml:space="preserve">Participated</t>
  </si>
  <si>
    <t xml:space="preserve">P</t>
  </si>
  <si>
    <t xml:space="preserve">No-Show</t>
  </si>
  <si>
    <t xml:space="preserve">NS</t>
  </si>
  <si>
    <t xml:space="preserve">Disqualified</t>
  </si>
  <si>
    <t xml:space="preserve">DQ</t>
  </si>
  <si>
    <t xml:space="preserve">Error</t>
  </si>
  <si>
    <t xml:space="preserve">ERR</t>
  </si>
  <si>
    <t xml:space="preserve">Tier 1</t>
  </si>
  <si>
    <t xml:space="preserve">Competition Violation Penalty (run)</t>
  </si>
  <si>
    <t xml:space="preserve">Construction Violation Penalty (run)</t>
  </si>
  <si>
    <t xml:space="preserve">Non-modification Penalty (run)</t>
  </si>
  <si>
    <t xml:space="preserve">Impound Penalty (final)</t>
  </si>
  <si>
    <t xml:space="preserve">Base Run Score</t>
  </si>
  <si>
    <t xml:space="preserve">Vehicle Distance Score (pt/cm)</t>
  </si>
  <si>
    <t xml:space="preserve">Bottle Distance Score (pt/cm)</t>
  </si>
  <si>
    <t xml:space="preserve">Bottle Distance if not past Target Point / Moving Water Bottle Req. violated (cm)</t>
  </si>
  <si>
    <t xml:space="preserve">Failed Run Distance Score</t>
  </si>
  <si>
    <t xml:space="preserve">Time Score (pt/s)</t>
  </si>
  <si>
    <t xml:space="preserve">Pusher Bonus (pt/cm)</t>
  </si>
  <si>
    <t xml:space="preserve">Pusher Bonus Baseline / No Pusher Opening (cm)</t>
  </si>
  <si>
    <t xml:space="preserve">Event Time (s)</t>
  </si>
  <si>
    <t xml:space="preserve">Event Time Bonus Divisor (s/pt)</t>
  </si>
  <si>
    <t xml:space="preserve">Target Time Min (s)</t>
  </si>
  <si>
    <t xml:space="preserve">Target Time Max (s)</t>
  </si>
  <si>
    <t xml:space="preserve">Target Time Interval (s)</t>
  </si>
  <si>
    <t xml:space="preserve">Date</t>
  </si>
  <si>
    <t xml:space="preserve">Version #</t>
  </si>
  <si>
    <t xml:space="preserve">Change</t>
  </si>
  <si>
    <t xml:space="preserve">0.1.0</t>
  </si>
  <si>
    <t xml:space="preserve">First draft of 2027 scoresheet completed</t>
  </si>
  <si>
    <t xml:space="preserve">Event</t>
  </si>
  <si>
    <t xml:space="preserve">Electric Vehicle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</si>
  <si>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</si>
  <si>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</si>
  <si>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</si>
  <si>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</si>
  <si>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</si>
  <si>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</si>
  <si>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</si>
  <si>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Division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</si>
  <si>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</si>
  <si>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</si>
  <si>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</si>
  <si>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</si>
  <si>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</si>
  <si>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Complete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</si>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</sst>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#,##0.00"/>
    <numFmt numFmtId="167" formatCode="0"/>
    <numFmt numFmtId="168" formatCode="0.00"/>
    <numFmt numFmtId="169" formatCode="#,##0"/>
    <numFmt numFmtId="170" formatCode="m/d/yyyy"/>
    <numFmt numFmtId="171" formatCode="mm/dd/yyyy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b val="true"/>
      <sz val="11"/>
      <name val="Overpass"/>
      <family val="0"/>
      <charset val="1"/>
    </font>
    <font>
      <sz val="11"/>
      <color rgb="FF181A1B"/>
      <name val="Overpass"/>
      <family val="0"/>
      <charset val="1"/>
    </font>
    <font>
      <sz val="13"/>
      <color theme="1"/>
      <name val="Overpass"/>
      <family val="0"/>
      <charset val="1"/>
    </font>
    <font>
      <sz val="11"/>
      <name val="Overpass"/>
      <family val="0"/>
      <charset val="1"/>
    </font>
    <font>
      <sz val="11"/>
      <color rgb="FF000000"/>
      <name val="Overpass"/>
      <family val="0"/>
      <charset val="1"/>
    </font>
    <font>
      <sz val="18"/>
      <color theme="1"/>
      <name val="Overpass"/>
      <family val="0"/>
      <charset val="1"/>
    </font>
    <font>
      <sz val="16"/>
      <color theme="1"/>
      <name val="Overpass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B7E1CD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B7E1CD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9" fontId="8" fillId="0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7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8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8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8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1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000000"/>
      </font>
      <fill>
        <patternFill>
          <bgColor rgb="FFFFB3B3"/>
        </patternFill>
      </fill>
    </dxf>
    <dxf>
      <font>
        <b val="1"/>
        <color rgb="FFFFFFFF"/>
      </font>
      <fill>
        <patternFill>
          <bgColor rgb="FFCC0000"/>
        </patternFill>
      </fill>
    </dxf>
    <dxf>
      <fill>
        <patternFill>
          <bgColor rgb="FFF4C7C3"/>
        </patternFill>
      </fill>
    </dxf>
    <dxf>
      <fill>
        <patternFill>
          <bgColor rgb="FFFF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B7E1CD"/>
      <rgbColor rgb="FFFFB3B3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H9" activeCellId="0" sqref="C9:H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5" min="5" style="1" width="4.5"/>
    <col collapsed="false" customWidth="true" hidden="false" outlineLevel="0" max="6" min="6" style="1" width="6.68"/>
    <col collapsed="false" customWidth="true" hidden="false" outlineLevel="0" max="7" min="7" style="1" width="9.04"/>
    <col collapsed="false" customWidth="true" hidden="false" outlineLevel="0" max="8" min="8" style="1" width="7.65"/>
    <col collapsed="false" customWidth="true" hidden="false" outlineLevel="0" max="9" min="9" style="1" width="7.5"/>
    <col collapsed="false" customWidth="true" hidden="false" outlineLevel="0" max="10" min="10" style="1" width="6.68"/>
    <col collapsed="false" customWidth="true" hidden="false" outlineLevel="0" max="11" min="11" style="1" width="14.6"/>
    <col collapsed="false" customWidth="true" hidden="false" outlineLevel="0" max="12" min="12" style="1" width="7.5"/>
    <col collapsed="false" customWidth="true" hidden="false" outlineLevel="0" max="13" min="13" style="1" width="6.53"/>
    <col collapsed="false" customWidth="true" hidden="false" outlineLevel="0" max="14" min="14" style="1" width="9.04"/>
    <col collapsed="false" customWidth="true" hidden="false" outlineLevel="0" max="15" min="15" style="1" width="7.5"/>
    <col collapsed="false" customWidth="true" hidden="false" outlineLevel="0" max="16" min="16" style="1" width="4.5"/>
    <col collapsed="false" customWidth="true" hidden="false" outlineLevel="0" max="17" min="17" style="1" width="6.53"/>
    <col collapsed="false" customWidth="true" hidden="false" outlineLevel="0" max="18" min="18" style="1" width="7.65"/>
    <col collapsed="false" customWidth="true" hidden="false" outlineLevel="0" max="19" min="19" style="1" width="13.49"/>
    <col collapsed="false" customWidth="true" hidden="false" outlineLevel="0" max="21" min="20" style="1" width="7.5"/>
    <col collapsed="false" customWidth="true" hidden="false" outlineLevel="0" max="22" min="22" style="1" width="8.76"/>
    <col collapsed="false" customWidth="true" hidden="false" outlineLevel="0" max="23" min="23" style="1" width="7.5"/>
    <col collapsed="false" customWidth="true" hidden="false" outlineLevel="0" max="24" min="24" style="1" width="4.5"/>
    <col collapsed="false" customWidth="true" hidden="false" outlineLevel="0" max="25" min="25" style="1" width="5.84"/>
    <col collapsed="false" customWidth="true" hidden="false" outlineLevel="0" max="26" min="26" style="1" width="9.04"/>
    <col collapsed="false" customWidth="true" hidden="false" outlineLevel="0" max="27" min="27" style="1" width="4"/>
    <col collapsed="false" customWidth="true" hidden="true" outlineLevel="0" max="28" min="28" style="1" width="4.63"/>
    <col collapsed="false" customWidth="true" hidden="true" outlineLevel="0" max="29" min="29" style="1" width="9.33"/>
    <col collapsed="false" customWidth="true" hidden="true" outlineLevel="0" max="30" min="30" style="1" width="26.01"/>
    <col collapsed="false" customWidth="true" hidden="true" outlineLevel="0" max="31" min="31" style="1" width="8.62"/>
    <col collapsed="false" customWidth="true" hidden="true" outlineLevel="0" max="32" min="32" style="1" width="7.37"/>
    <col collapsed="false" customWidth="true" hidden="true" outlineLevel="0" max="33" min="33" style="1" width="7.23"/>
    <col collapsed="false" customWidth="true" hidden="true" outlineLevel="0" max="34" min="34" style="1" width="8.76"/>
    <col collapsed="false" customWidth="true" hidden="true" outlineLevel="0" max="35" min="35" style="1" width="5.75"/>
    <col collapsed="false" customWidth="true" hidden="true" outlineLevel="0" max="36" min="36" style="1" width="6.81"/>
    <col collapsed="false" customWidth="true" hidden="true" outlineLevel="0" max="37" min="37" style="1" width="7.78"/>
    <col collapsed="false" customWidth="true" hidden="true" outlineLevel="0" max="38" min="38" style="1" width="6.53"/>
    <col collapsed="false" customWidth="true" hidden="true" outlineLevel="0" max="39" min="39" style="1" width="8.21"/>
    <col collapsed="false" customWidth="true" hidden="true" outlineLevel="0" max="40" min="40" style="1" width="7.93"/>
    <col collapsed="false" customWidth="true" hidden="true" outlineLevel="0" max="41" min="41" style="1" width="6.81"/>
    <col collapsed="false" customWidth="true" hidden="true" outlineLevel="0" max="42" min="42" style="1" width="8.76"/>
    <col collapsed="false" customWidth="true" hidden="true" outlineLevel="0" max="43" min="43" style="1" width="8.9"/>
    <col collapsed="false" customWidth="true" hidden="true" outlineLevel="0" max="44" min="44" style="1" width="7.5"/>
    <col collapsed="false" customWidth="true" hidden="true" outlineLevel="0" max="45" min="45" style="1" width="8.06"/>
    <col collapsed="false" customWidth="true" hidden="true" outlineLevel="0" max="46" min="46" style="1" width="8.34"/>
    <col collapsed="false" customWidth="true" hidden="true" outlineLevel="0" max="47" min="47" style="1" width="8.49"/>
    <col collapsed="false" customWidth="true" hidden="true" outlineLevel="0" max="48" min="48" style="1" width="6.68"/>
    <col collapsed="false" customWidth="true" hidden="true" outlineLevel="0" max="49" min="49" style="1" width="7.65"/>
    <col collapsed="false" customWidth="true" hidden="true" outlineLevel="0" max="50" min="50" style="1" width="10.29"/>
    <col collapsed="false" customWidth="true" hidden="true" outlineLevel="0" max="52" min="51" style="1" width="7.78"/>
    <col collapsed="false" customWidth="true" hidden="true" outlineLevel="0" max="53" min="53" style="1" width="7.09"/>
    <col collapsed="false" customWidth="true" hidden="true" outlineLevel="0" max="54" min="54" style="1" width="8.06"/>
    <col collapsed="false" customWidth="true" hidden="true" outlineLevel="0" max="56" min="55" style="1" width="8.21"/>
    <col collapsed="false" customWidth="true" hidden="true" outlineLevel="0" max="57" min="57" style="1" width="8.49"/>
    <col collapsed="false" customWidth="true" hidden="true" outlineLevel="0" max="58" min="58" style="1" width="9.04"/>
    <col collapsed="false" customWidth="true" hidden="true" outlineLevel="0" max="59" min="59" style="1" width="8.21"/>
    <col collapsed="false" customWidth="true" hidden="true" outlineLevel="0" max="60" min="60" style="1" width="11.54"/>
    <col collapsed="false" customWidth="true" hidden="true" outlineLevel="0" max="61" min="61" style="1" width="5.75"/>
    <col collapsed="false" customWidth="true" hidden="true" outlineLevel="0" max="62" min="62" style="1" width="8.21"/>
    <col collapsed="false" customWidth="true" hidden="true" outlineLevel="0" max="63" min="63" style="1" width="7.5"/>
    <col collapsed="false" customWidth="true" hidden="true" outlineLevel="0" max="64" min="64" style="1" width="5.75"/>
    <col collapsed="false" customWidth="true" hidden="true" outlineLevel="0" max="65" min="65" style="1" width="8.21"/>
    <col collapsed="false" customWidth="true" hidden="true" outlineLevel="0" max="66" min="66" style="1" width="7.5"/>
    <col collapsed="false" customWidth="true" hidden="true" outlineLevel="0" max="67" min="67" style="1" width="8.21"/>
    <col collapsed="false" customWidth="true" hidden="true" outlineLevel="0" max="68" min="68" style="1" width="7.65"/>
    <col collapsed="false" customWidth="true" hidden="true" outlineLevel="0" max="69" min="69" style="1" width="8.06"/>
    <col collapsed="false" customWidth="true" hidden="true" outlineLevel="0" max="70" min="70" style="1" width="9.04"/>
    <col collapsed="false" customWidth="true" hidden="true" outlineLevel="0" max="71" min="71" style="1" width="13.22"/>
    <col collapsed="false" customWidth="true" hidden="true" outlineLevel="0" max="72" min="72" style="1" width="7.65"/>
    <col collapsed="false" customWidth="true" hidden="true" outlineLevel="0" max="73" min="73" style="1" width="7.78"/>
    <col collapsed="false" customWidth="true" hidden="true" outlineLevel="0" max="74" min="74" style="1" width="7.23"/>
    <col collapsed="false" customWidth="true" hidden="true" outlineLevel="0" max="75" min="75" style="1" width="21"/>
    <col collapsed="false" customWidth="true" hidden="true" outlineLevel="0" max="76" min="76" style="1" width="7.78"/>
    <col collapsed="false" customWidth="true" hidden="true" outlineLevel="0" max="77" min="77" style="1" width="4.63"/>
    <col collapsed="false" customWidth="true" hidden="true" outlineLevel="0" max="78" min="78" style="1" width="18.64"/>
    <col collapsed="false" customWidth="true" hidden="true" outlineLevel="0" max="79" min="79" style="1" width="23.09"/>
    <col collapsed="false" customWidth="true" hidden="true" outlineLevel="0" max="80" min="80" style="1" width="18.64"/>
    <col collapsed="false" customWidth="true" hidden="true" outlineLevel="0" max="81" min="81" style="1" width="11.96"/>
    <col collapsed="false" customWidth="true" hidden="true" outlineLevel="0" max="82" min="82" style="1" width="8.38"/>
    <col collapsed="false" customWidth="true" hidden="true" outlineLevel="0" max="83" min="83" style="1" width="29.77"/>
    <col collapsed="false" customWidth="true" hidden="true" outlineLevel="0" max="84" min="84" style="1" width="12"/>
    <col collapsed="false" customWidth="true" hidden="true" outlineLevel="0" max="85" min="85" style="1" width="31.44"/>
    <col collapsed="false" customWidth="true" hidden="true" outlineLevel="0" max="86" min="86" style="1" width="11.39"/>
    <col collapsed="false" customWidth="true" hidden="true" outlineLevel="0" max="87" min="87" style="1" width="33.24"/>
    <col collapsed="false" customWidth="true" hidden="true" outlineLevel="0" max="88" min="88" style="1" width="11.7"/>
    <col collapsed="false" customWidth="true" hidden="true" outlineLevel="0" max="89" min="89" style="1" width="57.18"/>
    <col collapsed="false" customWidth="true" hidden="true" outlineLevel="0" max="90" min="90" style="1" width="11.39"/>
    <col collapsed="false" customWidth="true" hidden="true" outlineLevel="0" max="91" min="91" style="1" width="13.07"/>
    <col collapsed="false" customWidth="true" hidden="true" outlineLevel="0" max="92" min="92" style="1" width="10.85"/>
    <col collapsed="false" customWidth="true" hidden="true" outlineLevel="0" max="94" min="93" style="1" width="4.63"/>
    <col collapsed="false" customWidth="true" hidden="false" outlineLevel="0" max="95" min="95" style="1" width="39.09"/>
    <col collapsed="false" customWidth="true" hidden="false" outlineLevel="0" max="96" min="96" style="1" width="4"/>
    <col collapsed="false" customWidth="true" hidden="false" outlineLevel="0" max="101" min="97" style="1" width="8.63"/>
    <col collapsed="false" customWidth="true" hidden="true" outlineLevel="0" max="102" min="102" style="1" width="4"/>
    <col collapsed="false" customWidth="true" hidden="false" outlineLevel="0" max="105" min="103" style="1" width="4"/>
    <col collapsed="false" customWidth="true" hidden="false" outlineLevel="0" max="106" min="106" style="1" width="2"/>
    <col collapsed="false" customWidth="true" hidden="true" outlineLevel="0" max="116" min="107" style="1" width="4.63"/>
    <col collapsed="false" customWidth="true" hidden="false" outlineLevel="0" max="117" min="117" style="1" width="4.63"/>
    <col collapsed="false" customWidth="true" hidden="false" outlineLevel="0" max="118" min="118" style="1" width="6.88"/>
    <col collapsed="false" customWidth="true" hidden="false" outlineLevel="0" max="119" min="119" style="1" width="30.75"/>
    <col collapsed="false" customWidth="true" hidden="false" outlineLevel="0" max="120" min="120" style="1" width="15.63"/>
    <col collapsed="false" customWidth="true" hidden="false" outlineLevel="0" max="121" min="121" style="1" width="4.63"/>
    <col collapsed="false" customWidth="true" hidden="false" outlineLevel="0" max="122" min="122" style="1" width="8.63"/>
    <col collapsed="false" customWidth="true" hidden="true" outlineLevel="0" max="123" min="123" style="1" width="6.63"/>
    <col collapsed="false" customWidth="true" hidden="false" outlineLevel="0" max="16384" min="16383" style="1" width="11.5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2"/>
      <c r="J1" s="2"/>
      <c r="K1" s="4"/>
      <c r="L1" s="5"/>
      <c r="M1" s="2"/>
      <c r="N1" s="2"/>
      <c r="O1" s="2"/>
      <c r="P1" s="2"/>
      <c r="Q1" s="2"/>
      <c r="R1" s="2"/>
      <c r="S1" s="4"/>
      <c r="T1" s="5"/>
      <c r="U1" s="5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3"/>
      <c r="BD1" s="6"/>
      <c r="BE1" s="2"/>
      <c r="BF1" s="2"/>
      <c r="BG1" s="2"/>
      <c r="BH1" s="6"/>
      <c r="BI1" s="6"/>
      <c r="BJ1" s="6"/>
      <c r="BK1" s="6"/>
      <c r="BL1" s="2"/>
      <c r="BM1" s="2"/>
      <c r="BN1" s="3"/>
      <c r="BO1" s="6"/>
      <c r="BP1" s="2"/>
      <c r="BQ1" s="2"/>
      <c r="BR1" s="2"/>
      <c r="BS1" s="6"/>
      <c r="BT1" s="6"/>
      <c r="BU1" s="6"/>
      <c r="BV1" s="6"/>
      <c r="BW1" s="2"/>
      <c r="BX1" s="2"/>
      <c r="BY1" s="2"/>
      <c r="BZ1" s="2"/>
      <c r="CA1" s="2"/>
      <c r="CB1" s="2"/>
      <c r="CC1" s="2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2"/>
      <c r="CP1" s="2"/>
      <c r="CQ1" s="2"/>
      <c r="CR1" s="2"/>
      <c r="CS1" s="2"/>
      <c r="CT1" s="2"/>
      <c r="CU1" s="2"/>
      <c r="CV1" s="2"/>
      <c r="CW1" s="2"/>
      <c r="CX1" s="8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</row>
    <row r="2" customFormat="false" ht="15.75" hidden="false" customHeight="true" outlineLevel="0" collapsed="false">
      <c r="A2" s="9"/>
      <c r="B2" s="10" t="str">
        <f aca="false">'Info.'!B1&amp;" "&amp;'Info.'!B4</f>
        <v>Electric Vehicle C</v>
      </c>
      <c r="C2" s="10"/>
      <c r="D2" s="10"/>
      <c r="E2" s="11"/>
      <c r="F2" s="12" t="s">
        <v>0</v>
      </c>
      <c r="G2" s="12"/>
      <c r="H2" s="12"/>
      <c r="I2" s="13" t="s">
        <v>1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 t="s">
        <v>2</v>
      </c>
      <c r="Z2" s="14"/>
      <c r="AA2" s="15" t="s">
        <v>3</v>
      </c>
      <c r="AB2" s="16"/>
      <c r="AC2" s="17"/>
      <c r="AD2" s="17"/>
      <c r="AE2" s="17"/>
      <c r="AF2" s="18" t="s">
        <v>4</v>
      </c>
      <c r="AG2" s="18"/>
      <c r="AH2" s="18"/>
      <c r="AI2" s="18"/>
      <c r="AJ2" s="18" t="s">
        <v>5</v>
      </c>
      <c r="AK2" s="18"/>
      <c r="AL2" s="18"/>
      <c r="AM2" s="18"/>
      <c r="AN2" s="18"/>
      <c r="AO2" s="18"/>
      <c r="AP2" s="18"/>
      <c r="AQ2" s="18"/>
      <c r="AR2" s="18" t="s">
        <v>6</v>
      </c>
      <c r="AS2" s="18"/>
      <c r="AT2" s="18"/>
      <c r="AU2" s="18"/>
      <c r="AV2" s="18"/>
      <c r="AW2" s="18"/>
      <c r="AX2" s="18"/>
      <c r="AY2" s="18"/>
      <c r="AZ2" s="19"/>
      <c r="BA2" s="19"/>
      <c r="BB2" s="17"/>
      <c r="BC2" s="20"/>
      <c r="BD2" s="21"/>
      <c r="BE2" s="17"/>
      <c r="BF2" s="17"/>
      <c r="BG2" s="17"/>
      <c r="BH2" s="21"/>
      <c r="BI2" s="21"/>
      <c r="BJ2" s="21"/>
      <c r="BK2" s="21"/>
      <c r="BL2" s="17"/>
      <c r="BM2" s="17"/>
      <c r="BN2" s="20"/>
      <c r="BO2" s="21"/>
      <c r="BP2" s="17"/>
      <c r="BQ2" s="17"/>
      <c r="BR2" s="17"/>
      <c r="BS2" s="21"/>
      <c r="BT2" s="21"/>
      <c r="BU2" s="21"/>
      <c r="BV2" s="21"/>
      <c r="BW2" s="17"/>
      <c r="BX2" s="17"/>
      <c r="BY2" s="17"/>
      <c r="BZ2" s="17"/>
      <c r="CA2" s="17"/>
      <c r="CB2" s="17"/>
      <c r="CC2" s="1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22"/>
      <c r="CP2" s="23"/>
      <c r="CQ2" s="23"/>
      <c r="CR2" s="23" t="s">
        <v>7</v>
      </c>
      <c r="CS2" s="23"/>
      <c r="CT2" s="23"/>
      <c r="CU2" s="23"/>
      <c r="CV2" s="23"/>
      <c r="CW2" s="23"/>
      <c r="CX2" s="18"/>
      <c r="CY2" s="18"/>
      <c r="CZ2" s="18"/>
      <c r="DA2" s="24"/>
      <c r="DB2" s="25"/>
      <c r="DC2" s="17"/>
      <c r="DD2" s="17"/>
      <c r="DE2" s="26" t="s">
        <v>8</v>
      </c>
      <c r="DF2" s="27" t="s">
        <v>9</v>
      </c>
      <c r="DG2" s="27" t="s">
        <v>10</v>
      </c>
      <c r="DH2" s="27" t="s">
        <v>11</v>
      </c>
      <c r="DI2" s="27" t="s">
        <v>12</v>
      </c>
      <c r="DJ2" s="27" t="s">
        <v>13</v>
      </c>
      <c r="DK2" s="27" t="s">
        <v>14</v>
      </c>
      <c r="DL2" s="28" t="s">
        <v>15</v>
      </c>
      <c r="DM2" s="29" t="s">
        <v>16</v>
      </c>
      <c r="DN2" s="29"/>
      <c r="DO2" s="29"/>
      <c r="DP2" s="29"/>
      <c r="DQ2" s="29"/>
      <c r="DR2" s="29"/>
      <c r="DS2" s="17"/>
    </row>
    <row r="3" customFormat="false" ht="15.85" hidden="false" customHeight="true" outlineLevel="0" collapsed="false">
      <c r="A3" s="9"/>
      <c r="B3" s="10"/>
      <c r="C3" s="10"/>
      <c r="D3" s="10"/>
      <c r="E3" s="30" t="s">
        <v>17</v>
      </c>
      <c r="F3" s="31" t="s">
        <v>18</v>
      </c>
      <c r="G3" s="32" t="s">
        <v>19</v>
      </c>
      <c r="H3" s="32" t="s">
        <v>20</v>
      </c>
      <c r="I3" s="33" t="s">
        <v>5</v>
      </c>
      <c r="J3" s="33"/>
      <c r="K3" s="33"/>
      <c r="L3" s="33"/>
      <c r="M3" s="33"/>
      <c r="N3" s="33"/>
      <c r="O3" s="33"/>
      <c r="P3" s="33"/>
      <c r="Q3" s="34" t="s">
        <v>6</v>
      </c>
      <c r="R3" s="34"/>
      <c r="S3" s="34"/>
      <c r="T3" s="34"/>
      <c r="U3" s="34"/>
      <c r="V3" s="34"/>
      <c r="W3" s="34"/>
      <c r="X3" s="34"/>
      <c r="Y3" s="14"/>
      <c r="Z3" s="14"/>
      <c r="AA3" s="15"/>
      <c r="AB3" s="16"/>
      <c r="AC3" s="35"/>
      <c r="AD3" s="35" t="s">
        <v>21</v>
      </c>
      <c r="AE3" s="35" t="s">
        <v>22</v>
      </c>
      <c r="AF3" s="36" t="str">
        <f aca="false">E3</f>
        <v>1. Impounded (T/F)</v>
      </c>
      <c r="AG3" s="36" t="str">
        <f aca="false">F3</f>
        <v>2. No batteries containing lithium or lead (T/F)</v>
      </c>
      <c r="AH3" s="36" t="str">
        <f aca="false">G3</f>
        <v>3. Conforms to kit modification requirements (T/F)</v>
      </c>
      <c r="AI3" s="36" t="str">
        <f aca="false">H3</f>
        <v>4. Bottle Pusher Width (cm)</v>
      </c>
      <c r="AJ3" s="36" t="str">
        <f aca="false">I4</f>
        <v>5. Met all const params (T/F)</v>
      </c>
      <c r="AK3" s="36" t="str">
        <f aca="false">J4</f>
        <v>6. Met all comp params (T/F)</v>
      </c>
      <c r="AL3" s="36" t="str">
        <f aca="false">K4</f>
        <v>7. Successful / Failed Run</v>
      </c>
      <c r="AM3" s="36" t="str">
        <f aca="false">L4</f>
        <v>8. Run Time (s)</v>
      </c>
      <c r="AN3" s="36" t="str">
        <f aca="false">M4</f>
        <v>9. Vehicle Distance (cm)</v>
      </c>
      <c r="AO3" s="36" t="str">
        <f aca="false">N4</f>
        <v>10. Bottle past Target Pt &amp; Moving Water Bottle Restrictions Upheld (T/F)</v>
      </c>
      <c r="AP3" s="36" t="str">
        <f aca="false">O4</f>
        <v>11. Bottle Distance (cm)</v>
      </c>
      <c r="AQ3" s="36" t="str">
        <f aca="false">P4</f>
        <v>12. Bottle Bonus (T/F)</v>
      </c>
      <c r="AR3" s="36" t="str">
        <f aca="false">Q4</f>
        <v>13. Met all const params (T/F)</v>
      </c>
      <c r="AS3" s="36" t="str">
        <f aca="false">R4</f>
        <v>14. Met all comp params (T/F)</v>
      </c>
      <c r="AT3" s="36" t="str">
        <f aca="false">S4</f>
        <v>15. Successful / Failed Run</v>
      </c>
      <c r="AU3" s="36" t="str">
        <f aca="false">T4</f>
        <v>16. Run Time (s)</v>
      </c>
      <c r="AV3" s="36" t="str">
        <f aca="false">U4</f>
        <v>17. Vehicle Distance (cm)</v>
      </c>
      <c r="AW3" s="36" t="str">
        <f aca="false">V4</f>
        <v>18. Bottle past Target Pt &amp; Moving Water Bottle Restrictions Upheld (T/F)</v>
      </c>
      <c r="AX3" s="36" t="str">
        <f aca="false">W4</f>
        <v>19. Bottle Distance (cm)</v>
      </c>
      <c r="AY3" s="36" t="str">
        <f aca="false">X4</f>
        <v>20. Bottle Bonus (T/F)</v>
      </c>
      <c r="AZ3" s="36" t="str">
        <f aca="false">Y2</f>
        <v>21. Nats Only: Event Time Left
(If Regional/State-level, leave blank)</v>
      </c>
      <c r="BA3" s="36" t="str">
        <f aca="false">AA2</f>
        <v>22. Disqualify (T/F)</v>
      </c>
      <c r="BB3" s="37" t="s">
        <v>5</v>
      </c>
      <c r="BC3" s="37"/>
      <c r="BD3" s="37"/>
      <c r="BE3" s="37"/>
      <c r="BF3" s="37"/>
      <c r="BG3" s="37"/>
      <c r="BH3" s="37"/>
      <c r="BI3" s="37"/>
      <c r="BJ3" s="37"/>
      <c r="BK3" s="37"/>
      <c r="BL3" s="38" t="s">
        <v>23</v>
      </c>
      <c r="BM3" s="37" t="s">
        <v>6</v>
      </c>
      <c r="BN3" s="37"/>
      <c r="BO3" s="37"/>
      <c r="BP3" s="37"/>
      <c r="BQ3" s="37"/>
      <c r="BR3" s="37"/>
      <c r="BS3" s="37"/>
      <c r="BT3" s="37"/>
      <c r="BU3" s="37"/>
      <c r="BV3" s="37"/>
      <c r="BW3" s="17"/>
      <c r="BX3" s="17"/>
      <c r="BY3" s="19" t="s">
        <v>24</v>
      </c>
      <c r="BZ3" s="19"/>
      <c r="CA3" s="19"/>
      <c r="CB3" s="19"/>
      <c r="CC3" s="19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22"/>
      <c r="CP3" s="39"/>
      <c r="CQ3" s="40"/>
      <c r="CR3" s="41" t="s">
        <v>23</v>
      </c>
      <c r="CS3" s="42" t="s">
        <v>25</v>
      </c>
      <c r="CT3" s="42" t="s">
        <v>26</v>
      </c>
      <c r="CU3" s="42" t="s">
        <v>27</v>
      </c>
      <c r="CV3" s="42" t="s">
        <v>28</v>
      </c>
      <c r="CW3" s="43" t="s">
        <v>29</v>
      </c>
      <c r="CX3" s="44" t="s">
        <v>30</v>
      </c>
      <c r="CY3" s="45" t="s">
        <v>31</v>
      </c>
      <c r="CZ3" s="44" t="s">
        <v>32</v>
      </c>
      <c r="DA3" s="46" t="s">
        <v>33</v>
      </c>
      <c r="DB3" s="47"/>
      <c r="DC3" s="17"/>
      <c r="DD3" s="17"/>
      <c r="DE3" s="26"/>
      <c r="DF3" s="27"/>
      <c r="DG3" s="27"/>
      <c r="DH3" s="27"/>
      <c r="DI3" s="27"/>
      <c r="DJ3" s="27"/>
      <c r="DK3" s="27"/>
      <c r="DL3" s="28"/>
      <c r="DM3" s="48" t="s">
        <v>32</v>
      </c>
      <c r="DN3" s="49" t="s">
        <v>34</v>
      </c>
      <c r="DO3" s="49" t="s">
        <v>35</v>
      </c>
      <c r="DP3" s="49" t="s">
        <v>36</v>
      </c>
      <c r="DQ3" s="49" t="s">
        <v>30</v>
      </c>
      <c r="DR3" s="50" t="s">
        <v>29</v>
      </c>
      <c r="DS3" s="17"/>
    </row>
    <row r="4" customFormat="false" ht="18.65" hidden="false" customHeight="true" outlineLevel="0" collapsed="false">
      <c r="A4" s="9"/>
      <c r="B4" s="51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51"/>
      <c r="D4" s="51"/>
      <c r="E4" s="30"/>
      <c r="F4" s="31"/>
      <c r="G4" s="32"/>
      <c r="H4" s="32"/>
      <c r="I4" s="52" t="s">
        <v>37</v>
      </c>
      <c r="J4" s="53" t="s">
        <v>38</v>
      </c>
      <c r="K4" s="53" t="s">
        <v>39</v>
      </c>
      <c r="L4" s="53" t="s">
        <v>40</v>
      </c>
      <c r="M4" s="53" t="s">
        <v>41</v>
      </c>
      <c r="N4" s="53" t="s">
        <v>42</v>
      </c>
      <c r="O4" s="53" t="s">
        <v>43</v>
      </c>
      <c r="P4" s="54" t="s">
        <v>44</v>
      </c>
      <c r="Q4" s="53" t="s">
        <v>45</v>
      </c>
      <c r="R4" s="53" t="s">
        <v>46</v>
      </c>
      <c r="S4" s="53" t="s">
        <v>47</v>
      </c>
      <c r="T4" s="53" t="s">
        <v>48</v>
      </c>
      <c r="U4" s="53" t="s">
        <v>49</v>
      </c>
      <c r="V4" s="53" t="s">
        <v>50</v>
      </c>
      <c r="W4" s="53" t="s">
        <v>51</v>
      </c>
      <c r="X4" s="53" t="s">
        <v>52</v>
      </c>
      <c r="Y4" s="14"/>
      <c r="Z4" s="14"/>
      <c r="AA4" s="15"/>
      <c r="AB4" s="16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55" t="s">
        <v>53</v>
      </c>
      <c r="BC4" s="56" t="s">
        <v>25</v>
      </c>
      <c r="BD4" s="57" t="s">
        <v>26</v>
      </c>
      <c r="BE4" s="38" t="s">
        <v>54</v>
      </c>
      <c r="BF4" s="38" t="s">
        <v>55</v>
      </c>
      <c r="BG4" s="38" t="s">
        <v>56</v>
      </c>
      <c r="BH4" s="57" t="s">
        <v>57</v>
      </c>
      <c r="BI4" s="58" t="s">
        <v>58</v>
      </c>
      <c r="BJ4" s="58" t="s">
        <v>59</v>
      </c>
      <c r="BK4" s="59" t="s">
        <v>60</v>
      </c>
      <c r="BL4" s="38"/>
      <c r="BM4" s="55" t="s">
        <v>61</v>
      </c>
      <c r="BN4" s="56" t="s">
        <v>25</v>
      </c>
      <c r="BO4" s="57" t="s">
        <v>26</v>
      </c>
      <c r="BP4" s="38" t="s">
        <v>54</v>
      </c>
      <c r="BQ4" s="38" t="s">
        <v>55</v>
      </c>
      <c r="BR4" s="38" t="s">
        <v>56</v>
      </c>
      <c r="BS4" s="57" t="s">
        <v>57</v>
      </c>
      <c r="BT4" s="58" t="s">
        <v>62</v>
      </c>
      <c r="BU4" s="58" t="s">
        <v>63</v>
      </c>
      <c r="BV4" s="59" t="s">
        <v>64</v>
      </c>
      <c r="BW4" s="17"/>
      <c r="BX4" s="17"/>
      <c r="BY4" s="17"/>
      <c r="BZ4" s="17"/>
      <c r="CA4" s="17"/>
      <c r="CB4" s="17"/>
      <c r="CC4" s="1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22"/>
      <c r="CP4" s="39"/>
      <c r="CQ4" s="40"/>
      <c r="CR4" s="41"/>
      <c r="CS4" s="42"/>
      <c r="CT4" s="42"/>
      <c r="CU4" s="42"/>
      <c r="CV4" s="42"/>
      <c r="CW4" s="43"/>
      <c r="CX4" s="44"/>
      <c r="CY4" s="44"/>
      <c r="CZ4" s="44"/>
      <c r="DA4" s="46"/>
      <c r="DB4" s="47"/>
      <c r="DC4" s="17"/>
      <c r="DD4" s="17"/>
      <c r="DE4" s="26"/>
      <c r="DF4" s="27"/>
      <c r="DG4" s="27"/>
      <c r="DH4" s="27"/>
      <c r="DI4" s="27"/>
      <c r="DJ4" s="27"/>
      <c r="DK4" s="27"/>
      <c r="DL4" s="28"/>
      <c r="DM4" s="48"/>
      <c r="DN4" s="49"/>
      <c r="DO4" s="49"/>
      <c r="DP4" s="49"/>
      <c r="DQ4" s="49"/>
      <c r="DR4" s="50"/>
      <c r="DS4" s="17"/>
    </row>
    <row r="5" customFormat="false" ht="118.5" hidden="true" customHeight="true" outlineLevel="0" collapsed="false">
      <c r="A5" s="9"/>
      <c r="B5" s="60"/>
      <c r="C5" s="60"/>
      <c r="D5" s="60"/>
      <c r="E5" s="30"/>
      <c r="F5" s="31"/>
      <c r="G5" s="32"/>
      <c r="H5" s="32"/>
      <c r="I5" s="52"/>
      <c r="J5" s="53"/>
      <c r="K5" s="53"/>
      <c r="L5" s="53"/>
      <c r="M5" s="53"/>
      <c r="N5" s="53"/>
      <c r="O5" s="53"/>
      <c r="P5" s="54"/>
      <c r="Q5" s="53"/>
      <c r="R5" s="53"/>
      <c r="S5" s="53"/>
      <c r="T5" s="53"/>
      <c r="U5" s="53"/>
      <c r="V5" s="53"/>
      <c r="W5" s="53"/>
      <c r="X5" s="53"/>
      <c r="Y5" s="14"/>
      <c r="Z5" s="14"/>
      <c r="AA5" s="15"/>
      <c r="AB5" s="16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55"/>
      <c r="BC5" s="56"/>
      <c r="BD5" s="56"/>
      <c r="BE5" s="56"/>
      <c r="BF5" s="56"/>
      <c r="BG5" s="56"/>
      <c r="BH5" s="57"/>
      <c r="BI5" s="58"/>
      <c r="BJ5" s="58"/>
      <c r="BK5" s="59"/>
      <c r="BL5" s="38"/>
      <c r="BM5" s="55"/>
      <c r="BN5" s="56"/>
      <c r="BO5" s="56"/>
      <c r="BP5" s="56"/>
      <c r="BQ5" s="56"/>
      <c r="BR5" s="56"/>
      <c r="BS5" s="57"/>
      <c r="BT5" s="58"/>
      <c r="BU5" s="58"/>
      <c r="BV5" s="59"/>
      <c r="BW5" s="17" t="s">
        <v>65</v>
      </c>
      <c r="BX5" s="17"/>
      <c r="BY5" s="17"/>
      <c r="BZ5" s="17"/>
      <c r="CA5" s="17"/>
      <c r="CB5" s="17"/>
      <c r="CC5" s="1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22"/>
      <c r="CP5" s="39"/>
      <c r="CQ5" s="40"/>
      <c r="CR5" s="41"/>
      <c r="CS5" s="42"/>
      <c r="CT5" s="42"/>
      <c r="CU5" s="42"/>
      <c r="CV5" s="42"/>
      <c r="CW5" s="43"/>
      <c r="CX5" s="44"/>
      <c r="CY5" s="44"/>
      <c r="CZ5" s="44"/>
      <c r="DA5" s="46"/>
      <c r="DB5" s="47"/>
      <c r="DC5" s="17"/>
      <c r="DD5" s="17"/>
      <c r="DE5" s="26"/>
      <c r="DF5" s="27"/>
      <c r="DG5" s="27"/>
      <c r="DH5" s="27"/>
      <c r="DI5" s="27"/>
      <c r="DJ5" s="27"/>
      <c r="DK5" s="27"/>
      <c r="DL5" s="28"/>
      <c r="DM5" s="48"/>
      <c r="DN5" s="49"/>
      <c r="DO5" s="49"/>
      <c r="DP5" s="49"/>
      <c r="DQ5" s="49"/>
      <c r="DR5" s="50"/>
      <c r="DS5" s="17"/>
    </row>
    <row r="6" customFormat="false" ht="76.5" hidden="false" customHeight="true" outlineLevel="0" collapsed="false">
      <c r="A6" s="9"/>
      <c r="B6" s="61" t="str">
        <f aca="false">"Last Updated: "&amp;TEXT('Info.'!B2, "mm/dd/yyyy")&amp;" (v"&amp;'Info.'!B3&amp;")
Direct all questions to scoresheets@soinc.org."</f>
        <v>Last Updated: 09/26/2026 (v0.1.0)
Direct all questions to scoresheets@soinc.org.</v>
      </c>
      <c r="C6" s="61"/>
      <c r="D6" s="61"/>
      <c r="E6" s="30"/>
      <c r="F6" s="31"/>
      <c r="G6" s="32"/>
      <c r="H6" s="32"/>
      <c r="I6" s="52"/>
      <c r="J6" s="53"/>
      <c r="K6" s="53"/>
      <c r="L6" s="53"/>
      <c r="M6" s="53"/>
      <c r="N6" s="53"/>
      <c r="O6" s="53"/>
      <c r="P6" s="54"/>
      <c r="Q6" s="53"/>
      <c r="R6" s="53"/>
      <c r="S6" s="53"/>
      <c r="T6" s="53"/>
      <c r="U6" s="53"/>
      <c r="V6" s="53"/>
      <c r="W6" s="53"/>
      <c r="X6" s="53"/>
      <c r="Y6" s="14"/>
      <c r="Z6" s="14"/>
      <c r="AA6" s="15"/>
      <c r="AB6" s="16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55"/>
      <c r="BC6" s="56"/>
      <c r="BD6" s="56"/>
      <c r="BE6" s="56"/>
      <c r="BF6" s="56"/>
      <c r="BG6" s="56"/>
      <c r="BH6" s="57"/>
      <c r="BI6" s="58"/>
      <c r="BJ6" s="58"/>
      <c r="BK6" s="59"/>
      <c r="BL6" s="38"/>
      <c r="BM6" s="55"/>
      <c r="BN6" s="56"/>
      <c r="BO6" s="56"/>
      <c r="BP6" s="56"/>
      <c r="BQ6" s="56"/>
      <c r="BR6" s="56"/>
      <c r="BS6" s="57"/>
      <c r="BT6" s="58"/>
      <c r="BU6" s="58"/>
      <c r="BV6" s="59"/>
      <c r="BW6" s="17" t="s">
        <v>66</v>
      </c>
      <c r="BX6" s="17"/>
      <c r="BY6" s="62"/>
      <c r="BZ6" s="17"/>
      <c r="CA6" s="17"/>
      <c r="CB6" s="17"/>
      <c r="CC6" s="1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22"/>
      <c r="CP6" s="39"/>
      <c r="CQ6" s="40"/>
      <c r="CR6" s="41"/>
      <c r="CS6" s="42"/>
      <c r="CT6" s="42"/>
      <c r="CU6" s="42"/>
      <c r="CV6" s="42"/>
      <c r="CW6" s="43"/>
      <c r="CX6" s="44"/>
      <c r="CY6" s="44"/>
      <c r="CZ6" s="44"/>
      <c r="DA6" s="46"/>
      <c r="DB6" s="47"/>
      <c r="DC6" s="17"/>
      <c r="DD6" s="17"/>
      <c r="DE6" s="26"/>
      <c r="DF6" s="27"/>
      <c r="DG6" s="27"/>
      <c r="DH6" s="27"/>
      <c r="DI6" s="27"/>
      <c r="DJ6" s="27"/>
      <c r="DK6" s="27"/>
      <c r="DL6" s="28"/>
      <c r="DM6" s="48"/>
      <c r="DN6" s="49"/>
      <c r="DO6" s="49"/>
      <c r="DP6" s="49"/>
      <c r="DQ6" s="49"/>
      <c r="DR6" s="50"/>
      <c r="DS6" s="17"/>
    </row>
    <row r="7" customFormat="false" ht="26.1" hidden="false" customHeight="true" outlineLevel="0" collapsed="false">
      <c r="A7" s="63"/>
      <c r="B7" s="64" t="s">
        <v>67</v>
      </c>
      <c r="C7" s="64"/>
      <c r="D7" s="65"/>
      <c r="E7" s="30"/>
      <c r="F7" s="31"/>
      <c r="G7" s="32"/>
      <c r="H7" s="32"/>
      <c r="I7" s="52"/>
      <c r="J7" s="53"/>
      <c r="K7" s="53"/>
      <c r="L7" s="53"/>
      <c r="M7" s="53"/>
      <c r="N7" s="53"/>
      <c r="O7" s="53"/>
      <c r="P7" s="54"/>
      <c r="Q7" s="53"/>
      <c r="R7" s="53"/>
      <c r="S7" s="53"/>
      <c r="T7" s="53"/>
      <c r="U7" s="53"/>
      <c r="V7" s="53"/>
      <c r="W7" s="53"/>
      <c r="X7" s="53"/>
      <c r="Y7" s="14"/>
      <c r="Z7" s="14"/>
      <c r="AA7" s="15"/>
      <c r="AB7" s="66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55"/>
      <c r="BC7" s="56"/>
      <c r="BD7" s="56"/>
      <c r="BE7" s="56"/>
      <c r="BF7" s="56"/>
      <c r="BG7" s="56"/>
      <c r="BH7" s="57"/>
      <c r="BI7" s="58"/>
      <c r="BJ7" s="58"/>
      <c r="BK7" s="59"/>
      <c r="BL7" s="38"/>
      <c r="BM7" s="55"/>
      <c r="BN7" s="56"/>
      <c r="BO7" s="56"/>
      <c r="BP7" s="56"/>
      <c r="BQ7" s="56"/>
      <c r="BR7" s="56"/>
      <c r="BS7" s="57"/>
      <c r="BT7" s="58"/>
      <c r="BU7" s="58"/>
      <c r="BV7" s="59"/>
      <c r="BW7" s="67"/>
      <c r="BX7" s="67"/>
      <c r="BY7" s="68"/>
      <c r="BZ7" s="67"/>
      <c r="CA7" s="67"/>
      <c r="CB7" s="67"/>
      <c r="CC7" s="67"/>
      <c r="CD7" s="69"/>
      <c r="CE7" s="34" t="s">
        <v>68</v>
      </c>
      <c r="CF7" s="34"/>
      <c r="CG7" s="34"/>
      <c r="CH7" s="34"/>
      <c r="CI7" s="34"/>
      <c r="CJ7" s="34"/>
      <c r="CK7" s="34"/>
      <c r="CL7" s="34"/>
      <c r="CM7" s="69"/>
      <c r="CN7" s="69"/>
      <c r="CO7" s="67"/>
      <c r="CP7" s="39"/>
      <c r="CQ7" s="40"/>
      <c r="CR7" s="41"/>
      <c r="CS7" s="42"/>
      <c r="CT7" s="42"/>
      <c r="CU7" s="42"/>
      <c r="CV7" s="42"/>
      <c r="CW7" s="43"/>
      <c r="CX7" s="44"/>
      <c r="CY7" s="44"/>
      <c r="CZ7" s="44"/>
      <c r="DA7" s="46"/>
      <c r="DB7" s="47"/>
      <c r="DC7" s="67"/>
      <c r="DD7" s="67"/>
      <c r="DE7" s="26"/>
      <c r="DF7" s="27"/>
      <c r="DG7" s="27"/>
      <c r="DH7" s="27"/>
      <c r="DI7" s="27"/>
      <c r="DJ7" s="27"/>
      <c r="DK7" s="27"/>
      <c r="DL7" s="28"/>
      <c r="DM7" s="48"/>
      <c r="DN7" s="49"/>
      <c r="DO7" s="49"/>
      <c r="DP7" s="49"/>
      <c r="DQ7" s="49"/>
      <c r="DR7" s="50"/>
      <c r="DS7" s="67"/>
    </row>
    <row r="8" customFormat="false" ht="15.75" hidden="false" customHeight="false" outlineLevel="0" collapsed="false">
      <c r="A8" s="9"/>
      <c r="B8" s="70" t="s">
        <v>34</v>
      </c>
      <c r="C8" s="71" t="s">
        <v>35</v>
      </c>
      <c r="D8" s="72" t="s">
        <v>36</v>
      </c>
      <c r="E8" s="30"/>
      <c r="F8" s="31"/>
      <c r="G8" s="32"/>
      <c r="H8" s="32"/>
      <c r="I8" s="52"/>
      <c r="J8" s="53"/>
      <c r="K8" s="53"/>
      <c r="L8" s="53"/>
      <c r="M8" s="53"/>
      <c r="N8" s="53"/>
      <c r="O8" s="53"/>
      <c r="P8" s="54"/>
      <c r="Q8" s="53"/>
      <c r="R8" s="53"/>
      <c r="S8" s="53"/>
      <c r="T8" s="53"/>
      <c r="U8" s="53"/>
      <c r="V8" s="53"/>
      <c r="W8" s="53"/>
      <c r="X8" s="53"/>
      <c r="Y8" s="73" t="s">
        <v>69</v>
      </c>
      <c r="Z8" s="74" t="s">
        <v>70</v>
      </c>
      <c r="AA8" s="15"/>
      <c r="AB8" s="75"/>
      <c r="AC8" s="35"/>
      <c r="AD8" s="35"/>
      <c r="AE8" s="35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55"/>
      <c r="BC8" s="56"/>
      <c r="BD8" s="56"/>
      <c r="BE8" s="56"/>
      <c r="BF8" s="56"/>
      <c r="BG8" s="56"/>
      <c r="BH8" s="57"/>
      <c r="BI8" s="58"/>
      <c r="BJ8" s="58"/>
      <c r="BK8" s="59"/>
      <c r="BL8" s="38"/>
      <c r="BM8" s="55"/>
      <c r="BN8" s="56"/>
      <c r="BO8" s="56"/>
      <c r="BP8" s="56"/>
      <c r="BQ8" s="56"/>
      <c r="BR8" s="56"/>
      <c r="BS8" s="57"/>
      <c r="BT8" s="58"/>
      <c r="BU8" s="58"/>
      <c r="BV8" s="59"/>
      <c r="BW8" s="62" t="s">
        <v>71</v>
      </c>
      <c r="BX8" s="62" t="s">
        <v>72</v>
      </c>
      <c r="BY8" s="62" t="s">
        <v>30</v>
      </c>
      <c r="BZ8" s="62" t="s">
        <v>73</v>
      </c>
      <c r="CA8" s="62" t="s">
        <v>74</v>
      </c>
      <c r="CB8" s="62" t="s">
        <v>75</v>
      </c>
      <c r="CC8" s="62" t="s">
        <v>24</v>
      </c>
      <c r="CD8" s="62" t="s">
        <v>32</v>
      </c>
      <c r="CE8" s="62" t="s">
        <v>76</v>
      </c>
      <c r="CF8" s="62" t="s">
        <v>77</v>
      </c>
      <c r="CG8" s="62" t="s">
        <v>78</v>
      </c>
      <c r="CH8" s="62" t="s">
        <v>79</v>
      </c>
      <c r="CI8" s="62" t="s">
        <v>80</v>
      </c>
      <c r="CJ8" s="62" t="s">
        <v>81</v>
      </c>
      <c r="CK8" s="62" t="s">
        <v>82</v>
      </c>
      <c r="CL8" s="62" t="s">
        <v>83</v>
      </c>
      <c r="CM8" s="62" t="s">
        <v>84</v>
      </c>
      <c r="CN8" s="62" t="s">
        <v>85</v>
      </c>
      <c r="CO8" s="76"/>
      <c r="CP8" s="39"/>
      <c r="CQ8" s="77" t="s">
        <v>86</v>
      </c>
      <c r="CR8" s="41"/>
      <c r="CS8" s="42"/>
      <c r="CT8" s="42"/>
      <c r="CU8" s="42"/>
      <c r="CV8" s="42"/>
      <c r="CW8" s="43"/>
      <c r="CX8" s="44"/>
      <c r="CY8" s="44"/>
      <c r="CZ8" s="44"/>
      <c r="DA8" s="46"/>
      <c r="DB8" s="47"/>
      <c r="DC8" s="17" t="n">
        <f aca="false">SUM($DC$9:$DC$508)</f>
        <v>0</v>
      </c>
      <c r="DD8" s="17"/>
      <c r="DE8" s="26"/>
      <c r="DF8" s="27"/>
      <c r="DG8" s="27"/>
      <c r="DH8" s="27"/>
      <c r="DI8" s="27"/>
      <c r="DJ8" s="27"/>
      <c r="DK8" s="27"/>
      <c r="DL8" s="28"/>
      <c r="DM8" s="48"/>
      <c r="DN8" s="49"/>
      <c r="DO8" s="49"/>
      <c r="DP8" s="49"/>
      <c r="DQ8" s="49"/>
      <c r="DR8" s="50"/>
      <c r="DS8" s="17"/>
    </row>
    <row r="9" customFormat="false" ht="15.75" hidden="false" customHeight="false" outlineLevel="0" collapsed="false">
      <c r="A9" s="9"/>
      <c r="B9" s="78"/>
      <c r="C9" s="79"/>
      <c r="D9" s="80"/>
      <c r="E9" s="81"/>
      <c r="F9" s="82"/>
      <c r="G9" s="83"/>
      <c r="H9" s="83"/>
      <c r="I9" s="84"/>
      <c r="J9" s="85"/>
      <c r="K9" s="86"/>
      <c r="L9" s="87"/>
      <c r="M9" s="88"/>
      <c r="N9" s="85"/>
      <c r="O9" s="85"/>
      <c r="P9" s="81"/>
      <c r="Q9" s="85"/>
      <c r="R9" s="85"/>
      <c r="S9" s="86"/>
      <c r="T9" s="86"/>
      <c r="U9" s="88"/>
      <c r="V9" s="89"/>
      <c r="W9" s="89"/>
      <c r="X9" s="81"/>
      <c r="Y9" s="90"/>
      <c r="Z9" s="91"/>
      <c r="AA9" s="90"/>
      <c r="AB9" s="92"/>
      <c r="AC9" s="93"/>
      <c r="AD9" s="93" t="str">
        <f aca="false">IF(ISNUMBER($D$7),$D$7,"")</f>
        <v/>
      </c>
      <c r="AE9" s="93" t="str">
        <f aca="false">IF(ISBLANK($D$7), "",
IF(NOT(ISNUMBER($D$7)),
  FALSE(),
IF($D$7&lt;Constants!$B$27,
  FALSE(),
IF($D$7&gt;Constants!$B$28,
  FALSE(),
  MOD($D$7,Constants!$B$29)=0
))))</f>
        <v/>
      </c>
      <c r="AF9" s="93" t="str">
        <f aca="false">IF(ISBLANK($C9),"",IF(E9=Constants!$B$2,TRUE(),IF(E9=Constants!$B$3,FALSE(),TRUE())))</f>
        <v/>
      </c>
      <c r="AG9" s="93" t="str">
        <f aca="false">IF(ISBLANK($C9),"",IF(F9=Constants!$B$2,TRUE(),IF(F9=Constants!$B$3,FALSE(),TRUE())))</f>
        <v/>
      </c>
      <c r="AH9" s="93" t="str">
        <f aca="false">IF(ISBLANK($C9),"",IF(G9=Constants!$B$2,TRUE(),IF(G9=Constants!$B$3,FALSE(),TRUE())))</f>
        <v/>
      </c>
      <c r="AI9" s="94" t="str">
        <f aca="false">IF(ISBLANK($C9),"",IF(AND(ISNUMBER(H9),H9&gt;=0),H9,Constants!$B$24))</f>
        <v/>
      </c>
      <c r="AJ9" s="93" t="str">
        <f aca="false">IF(ISBLANK($C9),"",IF(I9=Constants!$B$2,TRUE(),IF(I9=Constants!$B$3,FALSE(),TRUE())))</f>
        <v/>
      </c>
      <c r="AK9" s="93" t="str">
        <f aca="false">IF(ISBLANK($C9),"",IF(J9=Constants!$B$2,TRUE(),IF(J9=Constants!$B$3,FALSE(),TRUE())))</f>
        <v/>
      </c>
      <c r="AL9" s="93" t="str">
        <f aca="false">IF(ISBLANK($C9),"",IF(K9=Constants!$B$4,TRUE(),IF(K9=Constants!$B$5,FALSE(),COUNTA(L9:P9)&gt;0)))</f>
        <v/>
      </c>
      <c r="AM9" s="95" t="str">
        <f aca="false">IF(ISBLANK($C9),"",IF(ISNUMBER(L9),IF(L9&gt;=0,L9,""),""))</f>
        <v/>
      </c>
      <c r="AN9" s="94" t="str">
        <f aca="false">IF(ISBLANK($C9),"",IF(ISNUMBER(M9),IF(M9&gt;=0,M9,""),""))</f>
        <v/>
      </c>
      <c r="AO9" s="94" t="str">
        <f aca="false">IF(ISBLANK($C9),"",IF(N9=Constants!$B$2,TRUE(),IF(N9=Constants!$B$3,FALSE(),TRUE())))</f>
        <v/>
      </c>
      <c r="AP9" s="96" t="str">
        <f aca="false">IF(ISBLANK($C9),"",IF(ISNUMBER(O9),IF(O9&gt;=0,O9,""),""))</f>
        <v/>
      </c>
      <c r="AQ9" s="93" t="str">
        <f aca="false">IF(ISBLANK($C9),"",IF(P9=Constants!$B$2,TRUE(),IF(P9=Constants!$B$3,FALSE(),FALSE())))</f>
        <v/>
      </c>
      <c r="AR9" s="93" t="str">
        <f aca="false">IF(ISBLANK($C9),"",IF(Q9=Constants!$B$2,TRUE(),IF(Q9=Constants!$B$3,FALSE(),TRUE())))</f>
        <v/>
      </c>
      <c r="AS9" s="93" t="str">
        <f aca="false">IF(ISBLANK($C9),"",IF(R9=Constants!$B$2,TRUE(),IF(R9=Constants!$B$3,FALSE(),TRUE())))</f>
        <v/>
      </c>
      <c r="AT9" s="93" t="str">
        <f aca="false">IF(ISBLANK($C9),"",IF(S9=Constants!$B$4,TRUE(),IF(S9=Constants!$B$5,FALSE(),COUNTA(T9:X9)&gt;0)))</f>
        <v/>
      </c>
      <c r="AU9" s="95" t="str">
        <f aca="false">IF(ISBLANK($C9),"",IF(ISNUMBER(T9),IF(T9&gt;=0,T9,""),""))</f>
        <v/>
      </c>
      <c r="AV9" s="94" t="str">
        <f aca="false">IF(ISBLANK($C9),"",IF(ISNUMBER(U9),IF(U9&gt;=0,U9,""),""))</f>
        <v/>
      </c>
      <c r="AW9" s="94" t="str">
        <f aca="false">IF(ISBLANK($C9),"",IF(V9=Constants!$B$2,TRUE(),IF(V9=Constants!$B$3,FALSE(),TRUE())))</f>
        <v/>
      </c>
      <c r="AX9" s="93" t="str">
        <f aca="false">IF(ISBLANK($C9),"",IF(ISNUMBER(W9),IF(W9&gt;=0,W9,""),""))</f>
        <v/>
      </c>
      <c r="AY9" s="93" t="str">
        <f aca="false">IF(ISBLANK($C9),"",IF(X9=Constants!$B$2,TRUE(),IF(X9=Constants!$B$3,FALSE(),FALSE())))</f>
        <v/>
      </c>
      <c r="AZ9" s="93" t="str">
        <f aca="false">IF(ISBLANK($C9),"",MIN(Constants!$B$25,MAX(0,IF(ISNUMBER(Y9),Y9*60,0)+IF(ISNUMBER(Z9),Z9,0))))</f>
        <v/>
      </c>
      <c r="BA9" s="93" t="str">
        <f aca="false">IF(ISBLANK($C9),"",IF(AA9=Constants!$B$2,TRUE(),IF(AA9=Constants!$B$3,FALSE(),FALSE())))</f>
        <v/>
      </c>
      <c r="BB9" s="92" t="str">
        <f aca="false">IF(ISBLANK($C9),"",AND($AL9,OR($AM9="",$AN9="",AND($AO9,$AP9=""))))</f>
        <v/>
      </c>
      <c r="BC9" s="94" t="str">
        <f aca="false">IF($BX9&lt;&gt;Constants!$B$6,"",IF($AL9,Constants!$B$17*$AN9+Constants!$B$18*IF($AO9,$AP9,Constants!$B$19),Constants!$B$20))</f>
        <v/>
      </c>
      <c r="BD9" s="97" t="str">
        <f aca="false">IF($BX9&lt;&gt;Constants!$B$6,"",Constants!$B$21*ABS($AD$9-IF($AL9,$AM9,0)))</f>
        <v/>
      </c>
      <c r="BE9" s="97" t="str">
        <f aca="false">IF($BX9&lt;&gt;Constants!$B$6,"",IF(AND($AL9,$AQ9,$AO9),Constants!$B$22,0))</f>
        <v/>
      </c>
      <c r="BF9" s="97" t="str">
        <f aca="false">IF($BX9&lt;&gt;Constants!$B$6,"",IF($AL9,($AI9-Constants!$B$24)*Constants!$B$23,0))</f>
        <v/>
      </c>
      <c r="BG9" s="97" t="str">
        <f aca="false">IF($BX9&lt;&gt;Constants!$B$6,"",IF($AK9,0,Constants!$B$12)+IF($AJ9,0,Constants!$B$13)+IF($AH9,0,Constants!$B$14))</f>
        <v/>
      </c>
      <c r="BH9" s="98" t="str">
        <f aca="false">IF($BX9&lt;&gt;Constants!$B$6,"",Constants!$B$16+SUM($BC9:$BG9))</f>
        <v/>
      </c>
      <c r="BI9" s="97" t="str">
        <f aca="false">IF($BX9&lt;&gt;Constants!$B$6,"",$BC9)</f>
        <v/>
      </c>
      <c r="BJ9" s="97" t="str">
        <f aca="false">IF($BX9&lt;&gt;Constants!$B$6,"",$BD9)</f>
        <v/>
      </c>
      <c r="BK9" s="99" t="str">
        <f aca="false">IF($BX9&lt;&gt;Constants!$B$6,"",IF($AL9,$AN9,""))</f>
        <v/>
      </c>
      <c r="BL9" s="93" t="str">
        <f aca="false">IF($BX9&lt;&gt;Constants!$B$6,"",IF(OR($BS9&lt;$BH9,AND($BS9=$BH9,OR($BT9&lt;$BI9,AND($BT9=$BI9,OR($BU9&lt;$BJ9,AND($BU9=$BJ9,AND(ISNUMBER($BV9),OR(NOT(ISNUMBER($BK9)),$BV9&lt;$BK9)))))))),"-&gt;","&lt;-"))</f>
        <v/>
      </c>
      <c r="BM9" s="92" t="str">
        <f aca="false">IF(ISBLANK($C9),"",AND($AT9,OR($AU9="",$AV9="",AND($AW9,$AX9=""))))</f>
        <v/>
      </c>
      <c r="BN9" s="94" t="str">
        <f aca="false">IF($BX9&lt;&gt;Constants!$B$6,"",IF($AT9,Constants!$B$17*$AV9+Constants!$B$18*IF($AW9,$AX9,Constants!$B$19),Constants!$B$20))</f>
        <v/>
      </c>
      <c r="BO9" s="97" t="str">
        <f aca="false">IF($BX9&lt;&gt;Constants!$B$6,"",Constants!$B$21*ABS($AD$9-IF($AT9,$AU9,0)))</f>
        <v/>
      </c>
      <c r="BP9" s="97" t="str">
        <f aca="false">IF($BX9&lt;&gt;Constants!$B$6,"",IF(AND($AT9,$AY9,$AW9),Constants!$B$22,0))</f>
        <v/>
      </c>
      <c r="BQ9" s="97" t="str">
        <f aca="false">IF($BX9&lt;&gt;Constants!$B$6,"",IF($AT9,($AI9-Constants!$B$24)*Constants!$B$23,0))</f>
        <v/>
      </c>
      <c r="BR9" s="97" t="str">
        <f aca="false">IF($BX9&lt;&gt;Constants!$B$6,"",IF($AS9,0,Constants!$B$12)+IF($AR9,0,Constants!$B$13)+IF($AH9,0,Constants!$B$14))</f>
        <v/>
      </c>
      <c r="BS9" s="98" t="str">
        <f aca="false">IF($BX9&lt;&gt;Constants!$B$6,"",Constants!$B$16+SUM($BN9:$BR9))</f>
        <v/>
      </c>
      <c r="BT9" s="97" t="str">
        <f aca="false">IF($BX9&lt;&gt;Constants!$B$6,"",$BN9)</f>
        <v/>
      </c>
      <c r="BU9" s="97" t="str">
        <f aca="false">IF($BX9&lt;&gt;Constants!$B$6,"",$BO9)</f>
        <v/>
      </c>
      <c r="BV9" s="99" t="str">
        <f aca="false">IF($BX9&lt;&gt;Constants!$B$6,"",IF($AT9,$AV9,""))</f>
        <v/>
      </c>
      <c r="BW9" s="93" t="str">
        <f aca="false">IF(ISBLANK($C9),"",IF(ISBLANK($D$7),$BW$5,IF(NOT(ISNUMBER($D$7)),$BW$6,"")))</f>
        <v/>
      </c>
      <c r="BX9" s="93" t="str">
        <f aca="false">IF(ISBLANK($C9),"",IF($BA9,Constants!$B$9,IF(COUNTA($E9:$AA9)=0,Constants!$B$8,IF(NOT($AG9),Constants!$B$7,IF(OR($BW9&lt;&gt;"",$BB9,$BM9),Constants!$B$10,Constants!$B$6)))))</f>
        <v/>
      </c>
      <c r="BY9" s="93" t="str">
        <f aca="false">IF(ISBLANK($C9),"",IF($BX9&lt;&gt;Constants!$B$6,$BX9,Constants!$B$11))</f>
        <v/>
      </c>
      <c r="BZ9" s="97" t="str">
        <f aca="false">IF($BX9&lt;&gt;Constants!$B$6,"",IF($BL9="-&gt;",$BS9,$BH9))</f>
        <v/>
      </c>
      <c r="CA9" s="97" t="str">
        <f aca="false">IF($BX9&lt;&gt;Constants!$B$6,"",IF($AF9,0,Constants!$B$15))</f>
        <v/>
      </c>
      <c r="CB9" s="97" t="str">
        <f aca="false">IF($BX9&lt;&gt;Constants!$B$6,"",((Constants!$B$25-$AZ9)-Constants!$B$25)/Constants!$B$26)</f>
        <v/>
      </c>
      <c r="CC9" s="97" t="str">
        <f aca="false">IF(ISBLANK($C9),"",IF($BX9&lt;&gt;Constants!$B$6,$BX9,SUM($BZ9:$CB9)))</f>
        <v/>
      </c>
      <c r="CD9" s="93" t="str">
        <f aca="false">IF(ISBLANK($C9),"",IF($BX9&lt;&gt;Constants!$B$6,$BX9,RANK($CC9,$CC$9:$CC$508,1)))</f>
        <v/>
      </c>
      <c r="CE9" s="97" t="str">
        <f aca="false">IF($BX9&lt;&gt;Constants!$B$6,"",IF($BL9="-&gt;",$BT9,$BI9))</f>
        <v/>
      </c>
      <c r="CF9" s="93" t="str">
        <f aca="false">IF(ISBLANK($C9),"",IF($BX9&lt;&gt;Constants!$B$6,$BX9,IF(ISNUMBER($CE9),RANK($CE9,$CE$9:$CE$508,1),COUNT($CE$9:$CE$508)+1)))</f>
        <v/>
      </c>
      <c r="CG9" s="97" t="str">
        <f aca="false">IF($BX9&lt;&gt;Constants!$B$6,"",IF($BL9="-&gt;",$BU9,$BJ9))</f>
        <v/>
      </c>
      <c r="CH9" s="93" t="str">
        <f aca="false">IF(ISBLANK($C9),"",IF($BX9&lt;&gt;Constants!$B$6,$BX9,IF(ISNUMBER($CG9),RANK($CG9,$CG$9:$CG$508,1),COUNT($CG$9:$CG$508)+1)))</f>
        <v/>
      </c>
      <c r="CI9" s="97" t="str">
        <f aca="false">IF($BX9&lt;&gt;Constants!$B$6,"",IF($BL9="-&gt;",$BV9,$BK9))</f>
        <v/>
      </c>
      <c r="CJ9" s="93" t="str">
        <f aca="false">IF(ISBLANK($C9),"",IF($BX9&lt;&gt;Constants!$B$6,$BX9,IF(ISNUMBER($CI9),RANK($CI9,$CI$9:$CI$508,1),COUNT($CI$9:$CI$508)+1)))</f>
        <v/>
      </c>
      <c r="CK9" s="97" t="str">
        <f aca="false">IF($BX9&lt;&gt;Constants!$B$6,"",$AI9)</f>
        <v/>
      </c>
      <c r="CL9" s="93" t="str">
        <f aca="false">IF(ISBLANK($C9),"",IF($BX9&lt;&gt;Constants!$B$6,$BX9,IF(ISNUMBER($CK9),RANK($CK9,$CK$9:$CK$508,1),COUNT($CK$9:$CK$508)+1)))</f>
        <v/>
      </c>
      <c r="CM9" s="93" t="str">
        <f aca="false">IF(ISBLANK($C9),"",IF($BX9&lt;&gt;Constants!$B$6,$BX9,COUNTIFS($CD$9:$CD$508,"&lt;"&amp;$CD9)+COUNTIFS($CD$9:$CD$508,$CD9,$CF$9:$CF$508,"&lt;"&amp;$CF9)+COUNTIFS($CD$9:$CD$508,$CD9,$CF$9:$CF$508,$CF9,$CH$9:$CH$508,"&lt;"&amp;$CH9)+COUNTIFS($CD$9:$CD$508,$CD9,$CF$9:$CF$508,$CF9,$CH$9:$CH$508,$CH9,$CJ$9:$CJ$508,"&lt;"&amp;$CJ9)+COUNTIFS($CD$9:$CD$508,$CD9,$CF$9:$CF$508,$CF9,$CH$9:$CH$508,$CH9,$CJ$9:$CJ$508,$CJ9,$CL$9:$CL$508,"&lt;"&amp;$CL9)+1))</f>
        <v/>
      </c>
      <c r="CN9" s="93" t="str">
        <f aca="false">IF(ISBLANK($C9),"",IF($BX9&lt;&gt;Constants!$B$6,$BX9,$CD9-$CM9))</f>
        <v/>
      </c>
      <c r="CO9" s="100"/>
      <c r="CP9" s="101"/>
      <c r="CQ9" s="102" t="str">
        <f aca="false">IF(ISBLANK($C9),"",IF($BX9=Constants!$B$10,$BW9,""))</f>
        <v/>
      </c>
      <c r="CR9" s="101" t="str">
        <f aca="false">IF(ISBLANK($C9),"",IF($BX9&lt;&gt;Constants!$B$6,"",IF($BL9="-&gt;",2,1)))</f>
        <v/>
      </c>
      <c r="CS9" s="103" t="str">
        <f aca="false">IF(ISBLANK($C9),"",IF($BX9&lt;&gt;Constants!$B$6,"",IF($BL9="-&gt;",$BN9,$BC9)))</f>
        <v/>
      </c>
      <c r="CT9" s="103" t="str">
        <f aca="false">IF(ISBLANK($C9),"",IF($BX9&lt;&gt;Constants!$B$6,"",IF($BL9="-&gt;",$BO9,$BD9)))</f>
        <v/>
      </c>
      <c r="CU9" s="103" t="str">
        <f aca="false">IF(ISBLANK($C9),"",IF($BX9&lt;&gt;Constants!$B$6,"",IF($BL9="-&gt;",$BP9+$BQ9,$BE9+$BF9)+$CB9))</f>
        <v/>
      </c>
      <c r="CV9" s="103" t="str">
        <f aca="false">IF(ISBLANK($C9),"",IF($BX9&lt;&gt;Constants!$B$6,"",IF($BL9="-&gt;",$BR9,$BG9)+$CA9))</f>
        <v/>
      </c>
      <c r="CW9" s="104" t="str">
        <f aca="false">IF(ISBLANK($C9),"",IF($BX9&lt;&gt;Constants!$B$6,$BX9,$CC9))</f>
        <v/>
      </c>
      <c r="CX9" s="105" t="str">
        <f aca="false">IF(ISBLANK($C9),"",$BY9)</f>
        <v/>
      </c>
      <c r="CY9" s="106" t="str">
        <f aca="false">IF(ISBLANK($C9),"",$CN9)</f>
        <v/>
      </c>
      <c r="CZ9" s="106" t="str">
        <f aca="false">IF(ISBLANK($C9),"",$CM9)</f>
        <v/>
      </c>
      <c r="DA9" s="107" t="str">
        <f aca="false">IF(ISBLANK($C9),"",IFERROR(_xlfn.SWITCH($CZ9,Constants!$B$9,COUNTA($C$9:$C$508)+2,Constants!$B$8,COUNTA($C$9:$C$508)+1,Constants!$B$7,COUNTA($C$9:$C$508)),$CZ9))</f>
        <v/>
      </c>
      <c r="DB9" s="9"/>
      <c r="DC9" s="108" t="n">
        <f aca="false">IF(OR(ISNUMBER($CZ9),$CZ9=Constants!$B$9,$CZ9=Constants!$B$7,$CZ9=Constants!$B$8),1,0)</f>
        <v>0</v>
      </c>
      <c r="DD9" s="108" t="n">
        <v>1</v>
      </c>
      <c r="DE9" s="108" t="str">
        <f aca="false">IF(ISBLANK($C9),"",IF(ISNUMBER($DA9),$DA9+ROW($B9)/1000,""))</f>
        <v/>
      </c>
      <c r="DF9" s="108" t="str">
        <f aca="false">IF(ISNUMBER($DE9),RANK($DE9,$DE$9:$DE$508,1),"")</f>
        <v/>
      </c>
      <c r="DG9" s="108" t="str">
        <f aca="false">IF(ISBLANK($C9),"",$B9)</f>
        <v/>
      </c>
      <c r="DH9" s="108" t="str">
        <f aca="false">IF(ISBLANK($C9),"",$C9)</f>
        <v/>
      </c>
      <c r="DI9" s="108" t="str">
        <f aca="false">IF(ISBLANK($C9),"",$D9)</f>
        <v/>
      </c>
      <c r="DJ9" s="109" t="str">
        <f aca="false">$CX9</f>
        <v/>
      </c>
      <c r="DK9" s="110" t="str">
        <f aca="false">$CW9</f>
        <v/>
      </c>
      <c r="DL9" s="108" t="str">
        <f aca="false">IF(ISBLANK($C9),"",$CZ9)</f>
        <v/>
      </c>
      <c r="DM9" s="111" t="str">
        <f aca="false">IF($DD9&gt;$DC$8,"",VLOOKUP($DD9,$DF$9:$DL$508,7,FALSE()))</f>
        <v/>
      </c>
      <c r="DN9" s="112" t="str">
        <f aca="false">IF($DD9&gt;$DC$8,"",VLOOKUP($DD9,$DF$9:$DL$508,2,FALSE()))</f>
        <v/>
      </c>
      <c r="DO9" s="112" t="str">
        <f aca="false">IF($DD9&gt;$DC$8,"",VLOOKUP($DD9,$DF$9:$DL$508,3,FALSE()))</f>
        <v/>
      </c>
      <c r="DP9" s="112" t="str">
        <f aca="false">IF($DD9&gt;$DC$8,"",VLOOKUP($DD9,$DF$9:$DL$508,4,FALSE()))</f>
        <v/>
      </c>
      <c r="DQ9" s="112" t="str">
        <f aca="false">IF($DD9&gt;$DC$8,"",VLOOKUP($DD9,$DF$9:$DL$508,5,FALSE()))</f>
        <v/>
      </c>
      <c r="DR9" s="113" t="str">
        <f aca="false">IF($DD9&gt;$DC$8,"",VLOOKUP($DD9,$DF$9:$DL$508,6,FALSE()))</f>
        <v/>
      </c>
      <c r="DS9" s="76"/>
    </row>
    <row r="10" customFormat="false" ht="15.75" hidden="false" customHeight="false" outlineLevel="0" collapsed="false">
      <c r="A10" s="9"/>
      <c r="B10" s="114"/>
      <c r="C10" s="115"/>
      <c r="D10" s="80"/>
      <c r="E10" s="81"/>
      <c r="F10" s="116"/>
      <c r="G10" s="117"/>
      <c r="H10" s="117"/>
      <c r="I10" s="84"/>
      <c r="J10" s="85"/>
      <c r="K10" s="86"/>
      <c r="L10" s="87"/>
      <c r="M10" s="88"/>
      <c r="N10" s="85"/>
      <c r="O10" s="85"/>
      <c r="P10" s="81"/>
      <c r="Q10" s="85"/>
      <c r="R10" s="85"/>
      <c r="S10" s="86"/>
      <c r="T10" s="86"/>
      <c r="U10" s="88"/>
      <c r="V10" s="85"/>
      <c r="W10" s="85"/>
      <c r="X10" s="81"/>
      <c r="Y10" s="118"/>
      <c r="Z10" s="119"/>
      <c r="AA10" s="118"/>
      <c r="AB10" s="92"/>
      <c r="AC10" s="93"/>
      <c r="AD10" s="93"/>
      <c r="AE10" s="93"/>
      <c r="AF10" s="93" t="str">
        <f aca="false">IF(ISBLANK($C10),"",IF(E10=Constants!$B$2,TRUE(),IF(E10=Constants!$B$3,FALSE(),TRUE())))</f>
        <v/>
      </c>
      <c r="AG10" s="93" t="str">
        <f aca="false">IF(ISBLANK($C10),"",IF(F10=Constants!$B$2,TRUE(),IF(F10=Constants!$B$3,FALSE(),TRUE())))</f>
        <v/>
      </c>
      <c r="AH10" s="93" t="str">
        <f aca="false">IF(ISBLANK($C10),"",IF(G10=Constants!$B$2,TRUE(),IF(G10=Constants!$B$3,FALSE(),TRUE())))</f>
        <v/>
      </c>
      <c r="AI10" s="93" t="str">
        <f aca="false">IF(ISBLANK($C10),"",IF(AND(ISNUMBER(H10),H10&gt;=0),H10,Constants!$B$24))</f>
        <v/>
      </c>
      <c r="AJ10" s="93" t="str">
        <f aca="false">IF(ISBLANK($C10),"",IF(I10=Constants!$B$2,TRUE(),IF(I10=Constants!$B$3,FALSE(),TRUE())))</f>
        <v/>
      </c>
      <c r="AK10" s="93" t="str">
        <f aca="false">IF(ISBLANK($C10),"",IF(J10=Constants!$B$2,TRUE(),IF(J10=Constants!$B$3,FALSE(),TRUE())))</f>
        <v/>
      </c>
      <c r="AL10" s="93" t="str">
        <f aca="false">IF(ISBLANK($C10),"",IF(K10=Constants!$B$4,TRUE(),IF(K10=Constants!$B$5,FALSE(),COUNTA(L10:P10)&gt;0)))</f>
        <v/>
      </c>
      <c r="AM10" s="95" t="str">
        <f aca="false">IF(ISBLANK($C10),"",IF(ISNUMBER(L10),IF(L10&gt;=0,L10,""),""))</f>
        <v/>
      </c>
      <c r="AN10" s="94" t="str">
        <f aca="false">IF(ISBLANK($C10),"",IF(ISNUMBER(M10),IF(M10&gt;=0,M10,""),""))</f>
        <v/>
      </c>
      <c r="AO10" s="94" t="str">
        <f aca="false">IF(ISBLANK($C10),"",IF(N10=Constants!$B$2,TRUE(),IF(N10=Constants!$B$3,FALSE(),TRUE())))</f>
        <v/>
      </c>
      <c r="AP10" s="93" t="str">
        <f aca="false">IF(ISBLANK($C10),"",IF(ISNUMBER(O10),IF(O10&gt;=0,O10,""),""))</f>
        <v/>
      </c>
      <c r="AQ10" s="93" t="str">
        <f aca="false">IF(ISBLANK($C10),"",IF(P10=Constants!$B$2,TRUE(),IF(P10=Constants!$B$3,FALSE(),FALSE())))</f>
        <v/>
      </c>
      <c r="AR10" s="93" t="str">
        <f aca="false">IF(ISBLANK($C10),"",IF(Q10=Constants!$B$2,TRUE(),IF(Q10=Constants!$B$3,FALSE(),TRUE())))</f>
        <v/>
      </c>
      <c r="AS10" s="93" t="str">
        <f aca="false">IF(ISBLANK($C10),"",IF(R10=Constants!$B$2,TRUE(),IF(R10=Constants!$B$3,FALSE(),TRUE())))</f>
        <v/>
      </c>
      <c r="AT10" s="93" t="str">
        <f aca="false">IF(ISBLANK($C10),"",IF(S10=Constants!$B$4,TRUE(),IF(S10=Constants!$B$5,FALSE(),COUNTA(T10:X10)&gt;0)))</f>
        <v/>
      </c>
      <c r="AU10" s="95" t="str">
        <f aca="false">IF(ISBLANK($C10),"",IF(ISNUMBER(T10),IF(T10&gt;=0,T10,""),""))</f>
        <v/>
      </c>
      <c r="AV10" s="94" t="str">
        <f aca="false">IF(ISBLANK($C10),"",IF(ISNUMBER(U10),IF(U10&gt;=0,U10,""),""))</f>
        <v/>
      </c>
      <c r="AW10" s="94" t="str">
        <f aca="false">IF(ISBLANK($C10),"",IF(V10=Constants!$B$2,TRUE(),IF(V10=Constants!$B$3,FALSE(),TRUE())))</f>
        <v/>
      </c>
      <c r="AX10" s="93" t="str">
        <f aca="false">IF(ISBLANK($C10),"",IF(ISNUMBER(W10),IF(W10&gt;=0,W10,""),""))</f>
        <v/>
      </c>
      <c r="AY10" s="93" t="str">
        <f aca="false">IF(ISBLANK($C10),"",IF(X10=Constants!$B$2,TRUE(),IF(X10=Constants!$B$3,FALSE(),FALSE())))</f>
        <v/>
      </c>
      <c r="AZ10" s="93" t="str">
        <f aca="false">IF(ISBLANK($C10),"",MIN(Constants!$B$25,MAX(0,IF(ISNUMBER(Y10),Y10*60,0)+IF(ISNUMBER(Z10),Z10,0))))</f>
        <v/>
      </c>
      <c r="BA10" s="93" t="str">
        <f aca="false">IF(ISBLANK($C10),"",IF(AA10=Constants!$B$2,TRUE(),IF(AA10=Constants!$B$3,FALSE(),FALSE())))</f>
        <v/>
      </c>
      <c r="BB10" s="92" t="str">
        <f aca="false">IF(ISBLANK($C10),"",AND($AL10,OR($AM10="",$AN10="",AND($AO10,$AP10=""))))</f>
        <v/>
      </c>
      <c r="BC10" s="94" t="str">
        <f aca="false">IF($BX10&lt;&gt;Constants!$B$6,"",IF($AL10,Constants!$B$17*$AN10+Constants!$B$18*IF($AO10,$AP10,Constants!$B$19),Constants!$B$20))</f>
        <v/>
      </c>
      <c r="BD10" s="97" t="str">
        <f aca="false">IF($BX10&lt;&gt;Constants!$B$6,"",Constants!$B$21*ABS($AD$9-IF($AL10,$AM10,0)))</f>
        <v/>
      </c>
      <c r="BE10" s="97" t="str">
        <f aca="false">IF($BX10&lt;&gt;Constants!$B$6,"",IF(AND($AL10,$AQ10,$AO10),Constants!$B$22,0))</f>
        <v/>
      </c>
      <c r="BF10" s="97" t="str">
        <f aca="false">IF($BX10&lt;&gt;Constants!$B$6,"",IF($AL10,($AI10-Constants!$B$24)*Constants!$B$23,0))</f>
        <v/>
      </c>
      <c r="BG10" s="97" t="str">
        <f aca="false">IF($BX10&lt;&gt;Constants!$B$6,"",IF($AK10,0,Constants!$B$12)+IF($AJ10,0,Constants!$B$13)+IF($AH10,0,Constants!$B$14))</f>
        <v/>
      </c>
      <c r="BH10" s="98" t="str">
        <f aca="false">IF($BX10&lt;&gt;Constants!$B$6,"",Constants!$B$16+SUM($BC10:$BG10))</f>
        <v/>
      </c>
      <c r="BI10" s="97" t="str">
        <f aca="false">IF($BX10&lt;&gt;Constants!$B$6,"",$BC10)</f>
        <v/>
      </c>
      <c r="BJ10" s="97" t="str">
        <f aca="false">IF($BX10&lt;&gt;Constants!$B$6,"",$BD10)</f>
        <v/>
      </c>
      <c r="BK10" s="99" t="str">
        <f aca="false">IF($BX10&lt;&gt;Constants!$B$6,"",IF($AL10,$AN10,""))</f>
        <v/>
      </c>
      <c r="BL10" s="93" t="str">
        <f aca="false">IF($BX10&lt;&gt;Constants!$B$6,"",IF(OR($BS10&lt;$BH10,AND($BS10=$BH10,OR($BT10&lt;$BI10,AND($BT10=$BI10,OR($BU10&lt;$BJ10,AND($BU10=$BJ10,AND(ISNUMBER($BV10),OR(NOT(ISNUMBER($BK10)),$BV10&lt;$BK10)))))))),"-&gt;","&lt;-"))</f>
        <v/>
      </c>
      <c r="BM10" s="92" t="str">
        <f aca="false">IF(ISBLANK($C10),"",AND($AT10,OR($AU10="",$AV10="",AND($AW10,$AX10=""))))</f>
        <v/>
      </c>
      <c r="BN10" s="94" t="str">
        <f aca="false">IF($BX10&lt;&gt;Constants!$B$6,"",IF($AT10,Constants!$B$17*$AV10+Constants!$B$18*IF($AW10,$AX10,Constants!$B$19),Constants!$B$20))</f>
        <v/>
      </c>
      <c r="BO10" s="97" t="str">
        <f aca="false">IF($BX10&lt;&gt;Constants!$B$6,"",Constants!$B$21*ABS($AD$9-IF($AT10,$AU10,0)))</f>
        <v/>
      </c>
      <c r="BP10" s="97" t="str">
        <f aca="false">IF($BX10&lt;&gt;Constants!$B$6,"",IF(AND($AT10,$AY10,$AW10),Constants!$B$22,0))</f>
        <v/>
      </c>
      <c r="BQ10" s="97" t="str">
        <f aca="false">IF($BX10&lt;&gt;Constants!$B$6,"",IF($AT10,($AI10-Constants!$B$24)*Constants!$B$23,0))</f>
        <v/>
      </c>
      <c r="BR10" s="97" t="str">
        <f aca="false">IF($BX10&lt;&gt;Constants!$B$6,"",IF($AS10,0,Constants!$B$12)+IF($AR10,0,Constants!$B$13)+IF($AH10,0,Constants!$B$14))</f>
        <v/>
      </c>
      <c r="BS10" s="98" t="str">
        <f aca="false">IF($BX10&lt;&gt;Constants!$B$6,"",Constants!$B$16+SUM($BN10:$BR10))</f>
        <v/>
      </c>
      <c r="BT10" s="97" t="str">
        <f aca="false">IF($BX10&lt;&gt;Constants!$B$6,"",$BN10)</f>
        <v/>
      </c>
      <c r="BU10" s="97" t="str">
        <f aca="false">IF($BX10&lt;&gt;Constants!$B$6,"",$BO10)</f>
        <v/>
      </c>
      <c r="BV10" s="99" t="str">
        <f aca="false">IF($BX10&lt;&gt;Constants!$B$6,"",IF($AT10,$AV10,""))</f>
        <v/>
      </c>
      <c r="BW10" s="93" t="str">
        <f aca="false">IF(ISBLANK($C10),"",IF(ISBLANK($D$7),$BW$5,IF(NOT(ISNUMBER($D$7)),$BW$6,"")))</f>
        <v/>
      </c>
      <c r="BX10" s="93" t="str">
        <f aca="false">IF(ISBLANK($C10),"",IF($BA10,Constants!$B$9,IF(COUNTA($E10:$AA10)=0,Constants!$B$8,IF(NOT($AG10),Constants!$B$7,IF(OR($BW10&lt;&gt;"",$BB10,$BM10),Constants!$B$10,Constants!$B$6)))))</f>
        <v/>
      </c>
      <c r="BY10" s="93" t="str">
        <f aca="false">IF(ISBLANK($C10),"",IF($BX10&lt;&gt;Constants!$B$6,$BX10,Constants!$B$11))</f>
        <v/>
      </c>
      <c r="BZ10" s="97" t="str">
        <f aca="false">IF($BX10&lt;&gt;Constants!$B$6,"",IF($BL10="-&gt;",$BS10,$BH10))</f>
        <v/>
      </c>
      <c r="CA10" s="97" t="str">
        <f aca="false">IF($BX10&lt;&gt;Constants!$B$6,"",IF($AF10,0,Constants!$B$15))</f>
        <v/>
      </c>
      <c r="CB10" s="97" t="str">
        <f aca="false">IF($BX10&lt;&gt;Constants!$B$6,"",((Constants!$B$25-$AZ10)-Constants!$B$25)/Constants!$B$26)</f>
        <v/>
      </c>
      <c r="CC10" s="97" t="str">
        <f aca="false">IF(ISBLANK($C10),"",IF($BX10&lt;&gt;Constants!$B$6,$BX10,SUM($BZ10:$CB10)))</f>
        <v/>
      </c>
      <c r="CD10" s="93" t="str">
        <f aca="false">IF(ISBLANK($C10),"",IF($BX10&lt;&gt;Constants!$B$6,$BX10,RANK($CC10,$CC$9:$CC$508,1)))</f>
        <v/>
      </c>
      <c r="CE10" s="97" t="str">
        <f aca="false">IF($BX10&lt;&gt;Constants!$B$6,"",IF($BL10="-&gt;",$BT10,$BI10))</f>
        <v/>
      </c>
      <c r="CF10" s="93" t="str">
        <f aca="false">IF(ISBLANK($C10),"",IF($BX10&lt;&gt;Constants!$B$6,$BX10,IF(ISNUMBER($CE10),RANK($CE10,$CE$9:$CE$508,1),COUNT($CE$9:$CE$508)+1)))</f>
        <v/>
      </c>
      <c r="CG10" s="97" t="str">
        <f aca="false">IF($BX10&lt;&gt;Constants!$B$6,"",IF($BL10="-&gt;",$BU10,$BJ10))</f>
        <v/>
      </c>
      <c r="CH10" s="93" t="str">
        <f aca="false">IF(ISBLANK($C10),"",IF($BX10&lt;&gt;Constants!$B$6,$BX10,IF(ISNUMBER($CG10),RANK($CG10,$CG$9:$CG$508,1),COUNT($CG$9:$CG$508)+1)))</f>
        <v/>
      </c>
      <c r="CI10" s="97" t="str">
        <f aca="false">IF($BX10&lt;&gt;Constants!$B$6,"",IF($BL10="-&gt;",$BV10,$BK10))</f>
        <v/>
      </c>
      <c r="CJ10" s="93" t="str">
        <f aca="false">IF(ISBLANK($C10),"",IF($BX10&lt;&gt;Constants!$B$6,$BX10,IF(ISNUMBER($CI10),RANK($CI10,$CI$9:$CI$508,1),COUNT($CI$9:$CI$508)+1)))</f>
        <v/>
      </c>
      <c r="CK10" s="97" t="str">
        <f aca="false">IF($BX10&lt;&gt;Constants!$B$6,"",$AI10)</f>
        <v/>
      </c>
      <c r="CL10" s="93" t="str">
        <f aca="false">IF(ISBLANK($C10),"",IF($BX10&lt;&gt;Constants!$B$6,$BX10,IF(ISNUMBER($CK10),RANK($CK10,$CK$9:$CK$508,1),COUNT($CK$9:$CK$508)+1)))</f>
        <v/>
      </c>
      <c r="CM10" s="93" t="str">
        <f aca="false">IF(ISBLANK($C10),"",IF($BX10&lt;&gt;Constants!$B$6,$BX10,COUNTIFS($CD$9:$CD$508,"&lt;"&amp;$CD10)+COUNTIFS($CD$9:$CD$508,$CD10,$CF$9:$CF$508,"&lt;"&amp;$CF10)+COUNTIFS($CD$9:$CD$508,$CD10,$CF$9:$CF$508,$CF10,$CH$9:$CH$508,"&lt;"&amp;$CH10)+COUNTIFS($CD$9:$CD$508,$CD10,$CF$9:$CF$508,$CF10,$CH$9:$CH$508,$CH10,$CJ$9:$CJ$508,"&lt;"&amp;$CJ10)+COUNTIFS($CD$9:$CD$508,$CD10,$CF$9:$CF$508,$CF10,$CH$9:$CH$508,$CH10,$CJ$9:$CJ$508,$CJ10,$CL$9:$CL$508,"&lt;"&amp;$CL10)+1))</f>
        <v/>
      </c>
      <c r="CN10" s="93" t="str">
        <f aca="false">IF(ISBLANK($C10),"",IF($BX10&lt;&gt;Constants!$B$6,$BX10,$CD10-$CM10))</f>
        <v/>
      </c>
      <c r="CO10" s="100"/>
      <c r="CP10" s="101"/>
      <c r="CQ10" s="102" t="str">
        <f aca="false">IF(ISBLANK($C10),"",IF($BX10=Constants!$B$10,$BW10,""))</f>
        <v/>
      </c>
      <c r="CR10" s="101" t="str">
        <f aca="false">IF(ISBLANK($C10),"",IF($BX10&lt;&gt;Constants!$B$6,"",IF($BL10="-&gt;",2,1)))</f>
        <v/>
      </c>
      <c r="CS10" s="103" t="str">
        <f aca="false">IF(ISBLANK($C10),"",IF($BX10&lt;&gt;Constants!$B$6,"",IF($BL10="-&gt;",$BN10,$BC10)))</f>
        <v/>
      </c>
      <c r="CT10" s="103" t="str">
        <f aca="false">IF(ISBLANK($C10),"",IF($BX10&lt;&gt;Constants!$B$6,"",IF($BL10="-&gt;",$BO10,$BD10)))</f>
        <v/>
      </c>
      <c r="CU10" s="103" t="str">
        <f aca="false">IF(ISBLANK($C10),"",IF($BX10&lt;&gt;Constants!$B$6,"",IF($BL10="-&gt;",$BP10+$BQ10,$BE10+$BF10)+$CB10))</f>
        <v/>
      </c>
      <c r="CV10" s="103" t="str">
        <f aca="false">IF(ISBLANK($C10),"",IF($BX10&lt;&gt;Constants!$B$6,"",IF($BL10="-&gt;",$BR10,$BG10)+$CA10))</f>
        <v/>
      </c>
      <c r="CW10" s="104" t="str">
        <f aca="false">IF(ISBLANK($C10),"",IF($BX10&lt;&gt;Constants!$B$6,$BX10,$CC10))</f>
        <v/>
      </c>
      <c r="CX10" s="105" t="str">
        <f aca="false">IF(ISBLANK($C10),"",$BY10)</f>
        <v/>
      </c>
      <c r="CY10" s="106" t="str">
        <f aca="false">IF(ISBLANK($C10),"",$CN10)</f>
        <v/>
      </c>
      <c r="CZ10" s="106" t="str">
        <f aca="false">IF(ISBLANK($C10),"",$CM10)</f>
        <v/>
      </c>
      <c r="DA10" s="107" t="str">
        <f aca="false">IF(ISBLANK($C10),"",IFERROR(_xlfn.SWITCH($CZ10,Constants!$B$9,COUNTA($C$9:$C$508)+2,Constants!$B$8,COUNTA($C$9:$C$508)+1,Constants!$B$7,COUNTA($C$9:$C$508)),$CZ10))</f>
        <v/>
      </c>
      <c r="DB10" s="9"/>
      <c r="DC10" s="108" t="n">
        <f aca="false">IF(OR(ISNUMBER($CZ10),$CZ10=Constants!$B$9,$CZ10=Constants!$B$7,$CZ10=Constants!$B$8),1,0)</f>
        <v>0</v>
      </c>
      <c r="DD10" s="108" t="n">
        <v>2</v>
      </c>
      <c r="DE10" s="108" t="str">
        <f aca="false">IF(ISBLANK($C10),"",IF(ISNUMBER($DA10),$DA10+ROW($B10)/1000,""))</f>
        <v/>
      </c>
      <c r="DF10" s="108" t="str">
        <f aca="false">IF(ISNUMBER($DE10),RANK($DE10,$DE$9:$DE$508,1),"")</f>
        <v/>
      </c>
      <c r="DG10" s="108" t="str">
        <f aca="false">IF(ISBLANK($C10),"",$B10)</f>
        <v/>
      </c>
      <c r="DH10" s="108" t="str">
        <f aca="false">IF(ISBLANK($C10),"",$C10)</f>
        <v/>
      </c>
      <c r="DI10" s="108" t="str">
        <f aca="false">IF(ISBLANK($C10),"",$D10)</f>
        <v/>
      </c>
      <c r="DJ10" s="109" t="str">
        <f aca="false">$CX10</f>
        <v/>
      </c>
      <c r="DK10" s="110" t="str">
        <f aca="false">$CW10</f>
        <v/>
      </c>
      <c r="DL10" s="108" t="str">
        <f aca="false">IF(ISBLANK($C10),"",$CZ10)</f>
        <v/>
      </c>
      <c r="DM10" s="111" t="str">
        <f aca="false">IF($DD10&gt;$DC$8,"",VLOOKUP($DD10,$DF$9:$DL$508,7,FALSE()))</f>
        <v/>
      </c>
      <c r="DN10" s="112" t="str">
        <f aca="false">IF($DD10&gt;$DC$8,"",VLOOKUP($DD10,$DF$9:$DL$508,2,FALSE()))</f>
        <v/>
      </c>
      <c r="DO10" s="112" t="str">
        <f aca="false">IF($DD10&gt;$DC$8,"",VLOOKUP($DD10,$DF$9:$DL$508,3,FALSE()))</f>
        <v/>
      </c>
      <c r="DP10" s="112" t="str">
        <f aca="false">IF($DD10&gt;$DC$8,"",VLOOKUP($DD10,$DF$9:$DL$508,4,FALSE()))</f>
        <v/>
      </c>
      <c r="DQ10" s="112" t="str">
        <f aca="false">IF($DD10&gt;$DC$8,"",VLOOKUP($DD10,$DF$9:$DL$508,5,FALSE()))</f>
        <v/>
      </c>
      <c r="DR10" s="113" t="str">
        <f aca="false">IF($DD10&gt;$DC$8,"",VLOOKUP($DD10,$DF$9:$DL$508,6,FALSE()))</f>
        <v/>
      </c>
      <c r="DS10" s="76"/>
    </row>
    <row r="11" customFormat="false" ht="15.75" hidden="false" customHeight="false" outlineLevel="0" collapsed="false">
      <c r="A11" s="9"/>
      <c r="B11" s="114"/>
      <c r="C11" s="115"/>
      <c r="D11" s="80"/>
      <c r="E11" s="81"/>
      <c r="F11" s="116"/>
      <c r="G11" s="117"/>
      <c r="H11" s="117"/>
      <c r="I11" s="84"/>
      <c r="J11" s="85"/>
      <c r="K11" s="86"/>
      <c r="L11" s="87"/>
      <c r="M11" s="88"/>
      <c r="N11" s="85"/>
      <c r="O11" s="85"/>
      <c r="P11" s="81"/>
      <c r="Q11" s="85"/>
      <c r="R11" s="85"/>
      <c r="S11" s="86"/>
      <c r="T11" s="86"/>
      <c r="U11" s="88"/>
      <c r="V11" s="85"/>
      <c r="W11" s="85"/>
      <c r="X11" s="81"/>
      <c r="Y11" s="118"/>
      <c r="Z11" s="119"/>
      <c r="AA11" s="118"/>
      <c r="AB11" s="92"/>
      <c r="AC11" s="93"/>
      <c r="AD11" s="93"/>
      <c r="AE11" s="93"/>
      <c r="AF11" s="93" t="str">
        <f aca="false">IF(ISBLANK($C11),"",IF(E11=Constants!$B$2,TRUE(),IF(E11=Constants!$B$3,FALSE(),TRUE())))</f>
        <v/>
      </c>
      <c r="AG11" s="93" t="str">
        <f aca="false">IF(ISBLANK($C11),"",IF(F11=Constants!$B$2,TRUE(),IF(F11=Constants!$B$3,FALSE(),TRUE())))</f>
        <v/>
      </c>
      <c r="AH11" s="93" t="str">
        <f aca="false">IF(ISBLANK($C11),"",IF(G11=Constants!$B$2,TRUE(),IF(G11=Constants!$B$3,FALSE(),TRUE())))</f>
        <v/>
      </c>
      <c r="AI11" s="93" t="str">
        <f aca="false">IF(ISBLANK($C11),"",IF(AND(ISNUMBER(H11),H11&gt;=0),H11,Constants!$B$24))</f>
        <v/>
      </c>
      <c r="AJ11" s="93" t="str">
        <f aca="false">IF(ISBLANK($C11),"",IF(I11=Constants!$B$2,TRUE(),IF(I11=Constants!$B$3,FALSE(),TRUE())))</f>
        <v/>
      </c>
      <c r="AK11" s="93" t="str">
        <f aca="false">IF(ISBLANK($C11),"",IF(J11=Constants!$B$2,TRUE(),IF(J11=Constants!$B$3,FALSE(),TRUE())))</f>
        <v/>
      </c>
      <c r="AL11" s="93" t="str">
        <f aca="false">IF(ISBLANK($C11),"",IF(K11=Constants!$B$4,TRUE(),IF(K11=Constants!$B$5,FALSE(),COUNTA(L11:P11)&gt;0)))</f>
        <v/>
      </c>
      <c r="AM11" s="95" t="str">
        <f aca="false">IF(ISBLANK($C11),"",IF(ISNUMBER(L11),IF(L11&gt;=0,L11,""),""))</f>
        <v/>
      </c>
      <c r="AN11" s="94" t="str">
        <f aca="false">IF(ISBLANK($C11),"",IF(ISNUMBER(M11),IF(M11&gt;=0,M11,""),""))</f>
        <v/>
      </c>
      <c r="AO11" s="94" t="str">
        <f aca="false">IF(ISBLANK($C11),"",IF(N11=Constants!$B$2,TRUE(),IF(N11=Constants!$B$3,FALSE(),TRUE())))</f>
        <v/>
      </c>
      <c r="AP11" s="93" t="str">
        <f aca="false">IF(ISBLANK($C11),"",IF(ISNUMBER(O11),IF(O11&gt;=0,O11,""),""))</f>
        <v/>
      </c>
      <c r="AQ11" s="93" t="str">
        <f aca="false">IF(ISBLANK($C11),"",IF(P11=Constants!$B$2,TRUE(),IF(P11=Constants!$B$3,FALSE(),FALSE())))</f>
        <v/>
      </c>
      <c r="AR11" s="93" t="str">
        <f aca="false">IF(ISBLANK($C11),"",IF(Q11=Constants!$B$2,TRUE(),IF(Q11=Constants!$B$3,FALSE(),TRUE())))</f>
        <v/>
      </c>
      <c r="AS11" s="93" t="str">
        <f aca="false">IF(ISBLANK($C11),"",IF(R11=Constants!$B$2,TRUE(),IF(R11=Constants!$B$3,FALSE(),TRUE())))</f>
        <v/>
      </c>
      <c r="AT11" s="93" t="str">
        <f aca="false">IF(ISBLANK($C11),"",IF(S11=Constants!$B$4,TRUE(),IF(S11=Constants!$B$5,FALSE(),COUNTA(T11:X11)&gt;0)))</f>
        <v/>
      </c>
      <c r="AU11" s="95" t="str">
        <f aca="false">IF(ISBLANK($C11),"",IF(ISNUMBER(T11),IF(T11&gt;=0,T11,""),""))</f>
        <v/>
      </c>
      <c r="AV11" s="94" t="str">
        <f aca="false">IF(ISBLANK($C11),"",IF(ISNUMBER(U11),IF(U11&gt;=0,U11,""),""))</f>
        <v/>
      </c>
      <c r="AW11" s="94" t="str">
        <f aca="false">IF(ISBLANK($C11),"",IF(V11=Constants!$B$2,TRUE(),IF(V11=Constants!$B$3,FALSE(),TRUE())))</f>
        <v/>
      </c>
      <c r="AX11" s="93" t="str">
        <f aca="false">IF(ISBLANK($C11),"",IF(ISNUMBER(W11),IF(W11&gt;=0,W11,""),""))</f>
        <v/>
      </c>
      <c r="AY11" s="93" t="str">
        <f aca="false">IF(ISBLANK($C11),"",IF(X11=Constants!$B$2,TRUE(),IF(X11=Constants!$B$3,FALSE(),FALSE())))</f>
        <v/>
      </c>
      <c r="AZ11" s="93" t="str">
        <f aca="false">IF(ISBLANK($C11),"",MIN(Constants!$B$25,MAX(0,IF(ISNUMBER(Y11),Y11*60,0)+IF(ISNUMBER(Z11),Z11,0))))</f>
        <v/>
      </c>
      <c r="BA11" s="93" t="str">
        <f aca="false">IF(ISBLANK($C11),"",IF(AA11=Constants!$B$2,TRUE(),IF(AA11=Constants!$B$3,FALSE(),FALSE())))</f>
        <v/>
      </c>
      <c r="BB11" s="92" t="str">
        <f aca="false">IF(ISBLANK($C11),"",AND($AL11,OR($AM11="",$AN11="",AND($AO11,$AP11=""))))</f>
        <v/>
      </c>
      <c r="BC11" s="94" t="str">
        <f aca="false">IF($BX11&lt;&gt;Constants!$B$6,"",IF($AL11,Constants!$B$17*$AN11+Constants!$B$18*IF($AO11,$AP11,Constants!$B$19),Constants!$B$20))</f>
        <v/>
      </c>
      <c r="BD11" s="97" t="str">
        <f aca="false">IF($BX11&lt;&gt;Constants!$B$6,"",Constants!$B$21*ABS($AD$9-IF($AL11,$AM11,0)))</f>
        <v/>
      </c>
      <c r="BE11" s="97" t="str">
        <f aca="false">IF($BX11&lt;&gt;Constants!$B$6,"",IF(AND($AL11,$AQ11,$AO11),Constants!$B$22,0))</f>
        <v/>
      </c>
      <c r="BF11" s="97" t="str">
        <f aca="false">IF($BX11&lt;&gt;Constants!$B$6,"",IF($AL11,($AI11-Constants!$B$24)*Constants!$B$23,0))</f>
        <v/>
      </c>
      <c r="BG11" s="97" t="str">
        <f aca="false">IF($BX11&lt;&gt;Constants!$B$6,"",IF($AK11,0,Constants!$B$12)+IF($AJ11,0,Constants!$B$13)+IF($AH11,0,Constants!$B$14))</f>
        <v/>
      </c>
      <c r="BH11" s="98" t="str">
        <f aca="false">IF($BX11&lt;&gt;Constants!$B$6,"",Constants!$B$16+SUM($BC11:$BG11))</f>
        <v/>
      </c>
      <c r="BI11" s="97" t="str">
        <f aca="false">IF($BX11&lt;&gt;Constants!$B$6,"",$BC11)</f>
        <v/>
      </c>
      <c r="BJ11" s="97" t="str">
        <f aca="false">IF($BX11&lt;&gt;Constants!$B$6,"",$BD11)</f>
        <v/>
      </c>
      <c r="BK11" s="99" t="str">
        <f aca="false">IF($BX11&lt;&gt;Constants!$B$6,"",IF($AL11,$AN11,""))</f>
        <v/>
      </c>
      <c r="BL11" s="93" t="str">
        <f aca="false">IF($BX11&lt;&gt;Constants!$B$6,"",IF(OR($BS11&lt;$BH11,AND($BS11=$BH11,OR($BT11&lt;$BI11,AND($BT11=$BI11,OR($BU11&lt;$BJ11,AND($BU11=$BJ11,AND(ISNUMBER($BV11),OR(NOT(ISNUMBER($BK11)),$BV11&lt;$BK11)))))))),"-&gt;","&lt;-"))</f>
        <v/>
      </c>
      <c r="BM11" s="92" t="str">
        <f aca="false">IF(ISBLANK($C11),"",AND($AT11,OR($AU11="",$AV11="",AND($AW11,$AX11=""))))</f>
        <v/>
      </c>
      <c r="BN11" s="94" t="str">
        <f aca="false">IF($BX11&lt;&gt;Constants!$B$6,"",IF($AT11,Constants!$B$17*$AV11+Constants!$B$18*IF($AW11,$AX11,Constants!$B$19),Constants!$B$20))</f>
        <v/>
      </c>
      <c r="BO11" s="97" t="str">
        <f aca="false">IF($BX11&lt;&gt;Constants!$B$6,"",Constants!$B$21*ABS($AD$9-IF($AT11,$AU11,0)))</f>
        <v/>
      </c>
      <c r="BP11" s="97" t="str">
        <f aca="false">IF($BX11&lt;&gt;Constants!$B$6,"",IF(AND($AT11,$AY11,$AW11),Constants!$B$22,0))</f>
        <v/>
      </c>
      <c r="BQ11" s="97" t="str">
        <f aca="false">IF($BX11&lt;&gt;Constants!$B$6,"",IF($AT11,($AI11-Constants!$B$24)*Constants!$B$23,0))</f>
        <v/>
      </c>
      <c r="BR11" s="97" t="str">
        <f aca="false">IF($BX11&lt;&gt;Constants!$B$6,"",IF($AS11,0,Constants!$B$12)+IF($AR11,0,Constants!$B$13)+IF($AH11,0,Constants!$B$14))</f>
        <v/>
      </c>
      <c r="BS11" s="98" t="str">
        <f aca="false">IF($BX11&lt;&gt;Constants!$B$6,"",Constants!$B$16+SUM($BN11:$BR11))</f>
        <v/>
      </c>
      <c r="BT11" s="97" t="str">
        <f aca="false">IF($BX11&lt;&gt;Constants!$B$6,"",$BN11)</f>
        <v/>
      </c>
      <c r="BU11" s="97" t="str">
        <f aca="false">IF($BX11&lt;&gt;Constants!$B$6,"",$BO11)</f>
        <v/>
      </c>
      <c r="BV11" s="99" t="str">
        <f aca="false">IF($BX11&lt;&gt;Constants!$B$6,"",IF($AT11,$AV11,""))</f>
        <v/>
      </c>
      <c r="BW11" s="93" t="str">
        <f aca="false">IF(ISBLANK($C11),"",IF(ISBLANK($D$7),$BW$5,IF(NOT(ISNUMBER($D$7)),$BW$6,"")))</f>
        <v/>
      </c>
      <c r="BX11" s="93" t="str">
        <f aca="false">IF(ISBLANK($C11),"",IF($BA11,Constants!$B$9,IF(COUNTA($E11:$AA11)=0,Constants!$B$8,IF(NOT($AG11),Constants!$B$7,IF(OR($BW11&lt;&gt;"",$BB11,$BM11),Constants!$B$10,Constants!$B$6)))))</f>
        <v/>
      </c>
      <c r="BY11" s="93" t="str">
        <f aca="false">IF(ISBLANK($C11),"",IF($BX11&lt;&gt;Constants!$B$6,$BX11,Constants!$B$11))</f>
        <v/>
      </c>
      <c r="BZ11" s="97" t="str">
        <f aca="false">IF($BX11&lt;&gt;Constants!$B$6,"",IF($BL11="-&gt;",$BS11,$BH11))</f>
        <v/>
      </c>
      <c r="CA11" s="97" t="str">
        <f aca="false">IF($BX11&lt;&gt;Constants!$B$6,"",IF($AF11,0,Constants!$B$15))</f>
        <v/>
      </c>
      <c r="CB11" s="97" t="str">
        <f aca="false">IF($BX11&lt;&gt;Constants!$B$6,"",((Constants!$B$25-$AZ11)-Constants!$B$25)/Constants!$B$26)</f>
        <v/>
      </c>
      <c r="CC11" s="97" t="str">
        <f aca="false">IF(ISBLANK($C11),"",IF($BX11&lt;&gt;Constants!$B$6,$BX11,SUM($BZ11:$CB11)))</f>
        <v/>
      </c>
      <c r="CD11" s="93" t="str">
        <f aca="false">IF(ISBLANK($C11),"",IF($BX11&lt;&gt;Constants!$B$6,$BX11,RANK($CC11,$CC$9:$CC$508,1)))</f>
        <v/>
      </c>
      <c r="CE11" s="97" t="str">
        <f aca="false">IF($BX11&lt;&gt;Constants!$B$6,"",IF($BL11="-&gt;",$BT11,$BI11))</f>
        <v/>
      </c>
      <c r="CF11" s="93" t="str">
        <f aca="false">IF(ISBLANK($C11),"",IF($BX11&lt;&gt;Constants!$B$6,$BX11,IF(ISNUMBER($CE11),RANK($CE11,$CE$9:$CE$508,1),COUNT($CE$9:$CE$508)+1)))</f>
        <v/>
      </c>
      <c r="CG11" s="97" t="str">
        <f aca="false">IF($BX11&lt;&gt;Constants!$B$6,"",IF($BL11="-&gt;",$BU11,$BJ11))</f>
        <v/>
      </c>
      <c r="CH11" s="93" t="str">
        <f aca="false">IF(ISBLANK($C11),"",IF($BX11&lt;&gt;Constants!$B$6,$BX11,IF(ISNUMBER($CG11),RANK($CG11,$CG$9:$CG$508,1),COUNT($CG$9:$CG$508)+1)))</f>
        <v/>
      </c>
      <c r="CI11" s="97" t="str">
        <f aca="false">IF($BX11&lt;&gt;Constants!$B$6,"",IF($BL11="-&gt;",$BV11,$BK11))</f>
        <v/>
      </c>
      <c r="CJ11" s="93" t="str">
        <f aca="false">IF(ISBLANK($C11),"",IF($BX11&lt;&gt;Constants!$B$6,$BX11,IF(ISNUMBER($CI11),RANK($CI11,$CI$9:$CI$508,1),COUNT($CI$9:$CI$508)+1)))</f>
        <v/>
      </c>
      <c r="CK11" s="97" t="str">
        <f aca="false">IF($BX11&lt;&gt;Constants!$B$6,"",$AI11)</f>
        <v/>
      </c>
      <c r="CL11" s="93" t="str">
        <f aca="false">IF(ISBLANK($C11),"",IF($BX11&lt;&gt;Constants!$B$6,$BX11,IF(ISNUMBER($CK11),RANK($CK11,$CK$9:$CK$508,1),COUNT($CK$9:$CK$508)+1)))</f>
        <v/>
      </c>
      <c r="CM11" s="93" t="str">
        <f aca="false">IF(ISBLANK($C11),"",IF($BX11&lt;&gt;Constants!$B$6,$BX11,COUNTIFS($CD$9:$CD$508,"&lt;"&amp;$CD11)+COUNTIFS($CD$9:$CD$508,$CD11,$CF$9:$CF$508,"&lt;"&amp;$CF11)+COUNTIFS($CD$9:$CD$508,$CD11,$CF$9:$CF$508,$CF11,$CH$9:$CH$508,"&lt;"&amp;$CH11)+COUNTIFS($CD$9:$CD$508,$CD11,$CF$9:$CF$508,$CF11,$CH$9:$CH$508,$CH11,$CJ$9:$CJ$508,"&lt;"&amp;$CJ11)+COUNTIFS($CD$9:$CD$508,$CD11,$CF$9:$CF$508,$CF11,$CH$9:$CH$508,$CH11,$CJ$9:$CJ$508,$CJ11,$CL$9:$CL$508,"&lt;"&amp;$CL11)+1))</f>
        <v/>
      </c>
      <c r="CN11" s="93" t="str">
        <f aca="false">IF(ISBLANK($C11),"",IF($BX11&lt;&gt;Constants!$B$6,$BX11,$CD11-$CM11))</f>
        <v/>
      </c>
      <c r="CO11" s="100"/>
      <c r="CP11" s="101"/>
      <c r="CQ11" s="102" t="str">
        <f aca="false">IF(ISBLANK($C11),"",IF($BX11=Constants!$B$10,$BW11,""))</f>
        <v/>
      </c>
      <c r="CR11" s="101" t="str">
        <f aca="false">IF(ISBLANK($C11),"",IF($BX11&lt;&gt;Constants!$B$6,"",IF($BL11="-&gt;",2,1)))</f>
        <v/>
      </c>
      <c r="CS11" s="103" t="str">
        <f aca="false">IF(ISBLANK($C11),"",IF($BX11&lt;&gt;Constants!$B$6,"",IF($BL11="-&gt;",$BN11,$BC11)))</f>
        <v/>
      </c>
      <c r="CT11" s="103" t="str">
        <f aca="false">IF(ISBLANK($C11),"",IF($BX11&lt;&gt;Constants!$B$6,"",IF($BL11="-&gt;",$BO11,$BD11)))</f>
        <v/>
      </c>
      <c r="CU11" s="103" t="str">
        <f aca="false">IF(ISBLANK($C11),"",IF($BX11&lt;&gt;Constants!$B$6,"",IF($BL11="-&gt;",$BP11+$BQ11,$BE11+$BF11)+$CB11))</f>
        <v/>
      </c>
      <c r="CV11" s="103" t="str">
        <f aca="false">IF(ISBLANK($C11),"",IF($BX11&lt;&gt;Constants!$B$6,"",IF($BL11="-&gt;",$BR11,$BG11)+$CA11))</f>
        <v/>
      </c>
      <c r="CW11" s="104" t="str">
        <f aca="false">IF(ISBLANK($C11),"",IF($BX11&lt;&gt;Constants!$B$6,$BX11,$CC11))</f>
        <v/>
      </c>
      <c r="CX11" s="105" t="str">
        <f aca="false">IF(ISBLANK($C11),"",$BY11)</f>
        <v/>
      </c>
      <c r="CY11" s="106" t="str">
        <f aca="false">IF(ISBLANK($C11),"",$CN11)</f>
        <v/>
      </c>
      <c r="CZ11" s="106" t="str">
        <f aca="false">IF(ISBLANK($C11),"",$CM11)</f>
        <v/>
      </c>
      <c r="DA11" s="107" t="str">
        <f aca="false">IF(ISBLANK($C11),"",IFERROR(_xlfn.SWITCH($CZ11,Constants!$B$9,COUNTA($C$9:$C$508)+2,Constants!$B$8,COUNTA($C$9:$C$508)+1,Constants!$B$7,COUNTA($C$9:$C$508)),$CZ11))</f>
        <v/>
      </c>
      <c r="DB11" s="9"/>
      <c r="DC11" s="108" t="n">
        <f aca="false">IF(OR(ISNUMBER($CZ11),$CZ11=Constants!$B$9,$CZ11=Constants!$B$7,$CZ11=Constants!$B$8),1,0)</f>
        <v>0</v>
      </c>
      <c r="DD11" s="108" t="n">
        <v>3</v>
      </c>
      <c r="DE11" s="108" t="str">
        <f aca="false">IF(ISBLANK($C11),"",IF(ISNUMBER($DA11),$DA11+ROW($B11)/1000,""))</f>
        <v/>
      </c>
      <c r="DF11" s="108" t="str">
        <f aca="false">IF(ISNUMBER($DE11),RANK($DE11,$DE$9:$DE$508,1),"")</f>
        <v/>
      </c>
      <c r="DG11" s="108" t="str">
        <f aca="false">IF(ISBLANK($C11),"",$B11)</f>
        <v/>
      </c>
      <c r="DH11" s="108" t="str">
        <f aca="false">IF(ISBLANK($C11),"",$C11)</f>
        <v/>
      </c>
      <c r="DI11" s="108" t="str">
        <f aca="false">IF(ISBLANK($C11),"",$D11)</f>
        <v/>
      </c>
      <c r="DJ11" s="109" t="str">
        <f aca="false">$CX11</f>
        <v/>
      </c>
      <c r="DK11" s="110" t="str">
        <f aca="false">$CW11</f>
        <v/>
      </c>
      <c r="DL11" s="108" t="str">
        <f aca="false">IF(ISBLANK($C11),"",$CZ11)</f>
        <v/>
      </c>
      <c r="DM11" s="111" t="str">
        <f aca="false">IF($DD11&gt;$DC$8,"",VLOOKUP($DD11,$DF$9:$DL$508,7,FALSE()))</f>
        <v/>
      </c>
      <c r="DN11" s="112" t="str">
        <f aca="false">IF($DD11&gt;$DC$8,"",VLOOKUP($DD11,$DF$9:$DL$508,2,FALSE()))</f>
        <v/>
      </c>
      <c r="DO11" s="112" t="str">
        <f aca="false">IF($DD11&gt;$DC$8,"",VLOOKUP($DD11,$DF$9:$DL$508,3,FALSE()))</f>
        <v/>
      </c>
      <c r="DP11" s="112" t="str">
        <f aca="false">IF($DD11&gt;$DC$8,"",VLOOKUP($DD11,$DF$9:$DL$508,4,FALSE()))</f>
        <v/>
      </c>
      <c r="DQ11" s="112" t="str">
        <f aca="false">IF($DD11&gt;$DC$8,"",VLOOKUP($DD11,$DF$9:$DL$508,5,FALSE()))</f>
        <v/>
      </c>
      <c r="DR11" s="113" t="str">
        <f aca="false">IF($DD11&gt;$DC$8,"",VLOOKUP($DD11,$DF$9:$DL$508,6,FALSE()))</f>
        <v/>
      </c>
      <c r="DS11" s="76"/>
    </row>
    <row r="12" customFormat="false" ht="15.75" hidden="false" customHeight="false" outlineLevel="0" collapsed="false">
      <c r="A12" s="9"/>
      <c r="B12" s="120"/>
      <c r="C12" s="121"/>
      <c r="D12" s="122"/>
      <c r="E12" s="123"/>
      <c r="F12" s="124"/>
      <c r="G12" s="125"/>
      <c r="H12" s="125"/>
      <c r="I12" s="126"/>
      <c r="J12" s="127"/>
      <c r="K12" s="128"/>
      <c r="L12" s="129"/>
      <c r="M12" s="130"/>
      <c r="N12" s="127"/>
      <c r="O12" s="127"/>
      <c r="P12" s="123"/>
      <c r="Q12" s="127"/>
      <c r="R12" s="127"/>
      <c r="S12" s="128"/>
      <c r="T12" s="128"/>
      <c r="U12" s="130"/>
      <c r="V12" s="131"/>
      <c r="W12" s="131"/>
      <c r="X12" s="123"/>
      <c r="Y12" s="132"/>
      <c r="Z12" s="133"/>
      <c r="AA12" s="132"/>
      <c r="AB12" s="134"/>
      <c r="AC12" s="135"/>
      <c r="AD12" s="135"/>
      <c r="AE12" s="135"/>
      <c r="AF12" s="135" t="str">
        <f aca="false">IF(ISBLANK($C12),"",IF(E12=Constants!$B$2,TRUE(),IF(E12=Constants!$B$3,FALSE(),TRUE())))</f>
        <v/>
      </c>
      <c r="AG12" s="135" t="str">
        <f aca="false">IF(ISBLANK($C12),"",IF(F12=Constants!$B$2,TRUE(),IF(F12=Constants!$B$3,FALSE(),TRUE())))</f>
        <v/>
      </c>
      <c r="AH12" s="135" t="str">
        <f aca="false">IF(ISBLANK($C12),"",IF(G12=Constants!$B$2,TRUE(),IF(G12=Constants!$B$3,FALSE(),TRUE())))</f>
        <v/>
      </c>
      <c r="AI12" s="135" t="str">
        <f aca="false">IF(ISBLANK($C12),"",IF(AND(ISNUMBER(H12),H12&gt;=0),H12,Constants!$B$24))</f>
        <v/>
      </c>
      <c r="AJ12" s="135" t="str">
        <f aca="false">IF(ISBLANK($C12),"",IF(I12=Constants!$B$2,TRUE(),IF(I12=Constants!$B$3,FALSE(),TRUE())))</f>
        <v/>
      </c>
      <c r="AK12" s="135" t="str">
        <f aca="false">IF(ISBLANK($C12),"",IF(J12=Constants!$B$2,TRUE(),IF(J12=Constants!$B$3,FALSE(),TRUE())))</f>
        <v/>
      </c>
      <c r="AL12" s="135" t="str">
        <f aca="false">IF(ISBLANK($C12),"",IF(K12=Constants!$B$4,TRUE(),IF(K12=Constants!$B$5,FALSE(),COUNTA(L12:P12)&gt;0)))</f>
        <v/>
      </c>
      <c r="AM12" s="136" t="str">
        <f aca="false">IF(ISBLANK($C12),"",IF(ISNUMBER(L12),IF(L12&gt;=0,L12,""),""))</f>
        <v/>
      </c>
      <c r="AN12" s="137" t="str">
        <f aca="false">IF(ISBLANK($C12),"",IF(ISNUMBER(M12),IF(M12&gt;=0,M12,""),""))</f>
        <v/>
      </c>
      <c r="AO12" s="137" t="str">
        <f aca="false">IF(ISBLANK($C12),"",IF(N12=Constants!$B$2,TRUE(),IF(N12=Constants!$B$3,FALSE(),TRUE())))</f>
        <v/>
      </c>
      <c r="AP12" s="135" t="str">
        <f aca="false">IF(ISBLANK($C12),"",IF(ISNUMBER(O12),IF(O12&gt;=0,O12,""),""))</f>
        <v/>
      </c>
      <c r="AQ12" s="135" t="str">
        <f aca="false">IF(ISBLANK($C12),"",IF(P12=Constants!$B$2,TRUE(),IF(P12=Constants!$B$3,FALSE(),FALSE())))</f>
        <v/>
      </c>
      <c r="AR12" s="135" t="str">
        <f aca="false">IF(ISBLANK($C12),"",IF(Q12=Constants!$B$2,TRUE(),IF(Q12=Constants!$B$3,FALSE(),TRUE())))</f>
        <v/>
      </c>
      <c r="AS12" s="135" t="str">
        <f aca="false">IF(ISBLANK($C12),"",IF(R12=Constants!$B$2,TRUE(),IF(R12=Constants!$B$3,FALSE(),TRUE())))</f>
        <v/>
      </c>
      <c r="AT12" s="135" t="str">
        <f aca="false">IF(ISBLANK($C12),"",IF(S12=Constants!$B$4,TRUE(),IF(S12=Constants!$B$5,FALSE(),COUNTA(T12:X12)&gt;0)))</f>
        <v/>
      </c>
      <c r="AU12" s="136" t="str">
        <f aca="false">IF(ISBLANK($C12),"",IF(ISNUMBER(T12),IF(T12&gt;=0,T12,""),""))</f>
        <v/>
      </c>
      <c r="AV12" s="137" t="str">
        <f aca="false">IF(ISBLANK($C12),"",IF(ISNUMBER(U12),IF(U12&gt;=0,U12,""),""))</f>
        <v/>
      </c>
      <c r="AW12" s="137" t="str">
        <f aca="false">IF(ISBLANK($C12),"",IF(V12=Constants!$B$2,TRUE(),IF(V12=Constants!$B$3,FALSE(),TRUE())))</f>
        <v/>
      </c>
      <c r="AX12" s="135" t="str">
        <f aca="false">IF(ISBLANK($C12),"",IF(ISNUMBER(W12),IF(W12&gt;=0,W12,""),""))</f>
        <v/>
      </c>
      <c r="AY12" s="135" t="str">
        <f aca="false">IF(ISBLANK($C12),"",IF(X12=Constants!$B$2,TRUE(),IF(X12=Constants!$B$3,FALSE(),FALSE())))</f>
        <v/>
      </c>
      <c r="AZ12" s="135" t="str">
        <f aca="false">IF(ISBLANK($C12),"",MIN(Constants!$B$25,MAX(0,IF(ISNUMBER(Y12),Y12*60,0)+IF(ISNUMBER(Z12),Z12,0))))</f>
        <v/>
      </c>
      <c r="BA12" s="135" t="str">
        <f aca="false">IF(ISBLANK($C12),"",IF(AA12=Constants!$B$2,TRUE(),IF(AA12=Constants!$B$3,FALSE(),FALSE())))</f>
        <v/>
      </c>
      <c r="BB12" s="134" t="str">
        <f aca="false">IF(ISBLANK($C12),"",AND($AL12,OR($AM12="",$AN12="",AND($AO12,$AP12=""))))</f>
        <v/>
      </c>
      <c r="BC12" s="137" t="str">
        <f aca="false">IF($BX12&lt;&gt;Constants!$B$6,"",IF($AL12,Constants!$B$17*$AN12+Constants!$B$18*IF($AO12,$AP12,Constants!$B$19),Constants!$B$20))</f>
        <v/>
      </c>
      <c r="BD12" s="138" t="str">
        <f aca="false">IF($BX12&lt;&gt;Constants!$B$6,"",Constants!$B$21*ABS($AD$9-IF($AL12,$AM12,0)))</f>
        <v/>
      </c>
      <c r="BE12" s="138" t="str">
        <f aca="false">IF($BX12&lt;&gt;Constants!$B$6,"",IF(AND($AL12,$AQ12,$AO12),Constants!$B$22,0))</f>
        <v/>
      </c>
      <c r="BF12" s="138" t="str">
        <f aca="false">IF($BX12&lt;&gt;Constants!$B$6,"",IF($AL12,($AI12-Constants!$B$24)*Constants!$B$23,0))</f>
        <v/>
      </c>
      <c r="BG12" s="138" t="str">
        <f aca="false">IF($BX12&lt;&gt;Constants!$B$6,"",IF($AK12,0,Constants!$B$12)+IF($AJ12,0,Constants!$B$13)+IF($AH12,0,Constants!$B$14))</f>
        <v/>
      </c>
      <c r="BH12" s="139" t="str">
        <f aca="false">IF($BX12&lt;&gt;Constants!$B$6,"",Constants!$B$16+SUM($BC12:$BG12))</f>
        <v/>
      </c>
      <c r="BI12" s="138" t="str">
        <f aca="false">IF($BX12&lt;&gt;Constants!$B$6,"",$BC12)</f>
        <v/>
      </c>
      <c r="BJ12" s="138" t="str">
        <f aca="false">IF($BX12&lt;&gt;Constants!$B$6,"",$BD12)</f>
        <v/>
      </c>
      <c r="BK12" s="140" t="str">
        <f aca="false">IF($BX12&lt;&gt;Constants!$B$6,"",IF($AL12,$AN12,""))</f>
        <v/>
      </c>
      <c r="BL12" s="135" t="str">
        <f aca="false">IF($BX12&lt;&gt;Constants!$B$6,"",IF(OR($BS12&lt;$BH12,AND($BS12=$BH12,OR($BT12&lt;$BI12,AND($BT12=$BI12,OR($BU12&lt;$BJ12,AND($BU12=$BJ12,AND(ISNUMBER($BV12),OR(NOT(ISNUMBER($BK12)),$BV12&lt;$BK12)))))))),"-&gt;","&lt;-"))</f>
        <v/>
      </c>
      <c r="BM12" s="134" t="str">
        <f aca="false">IF(ISBLANK($C12),"",AND($AT12,OR($AU12="",$AV12="",AND($AW12,$AX12=""))))</f>
        <v/>
      </c>
      <c r="BN12" s="137" t="str">
        <f aca="false">IF($BX12&lt;&gt;Constants!$B$6,"",IF($AT12,Constants!$B$17*$AV12+Constants!$B$18*IF($AW12,$AX12,Constants!$B$19),Constants!$B$20))</f>
        <v/>
      </c>
      <c r="BO12" s="138" t="str">
        <f aca="false">IF($BX12&lt;&gt;Constants!$B$6,"",Constants!$B$21*ABS($AD$9-IF($AT12,$AU12,0)))</f>
        <v/>
      </c>
      <c r="BP12" s="138" t="str">
        <f aca="false">IF($BX12&lt;&gt;Constants!$B$6,"",IF(AND($AT12,$AY12,$AW12),Constants!$B$22,0))</f>
        <v/>
      </c>
      <c r="BQ12" s="138" t="str">
        <f aca="false">IF($BX12&lt;&gt;Constants!$B$6,"",IF($AT12,($AI12-Constants!$B$24)*Constants!$B$23,0))</f>
        <v/>
      </c>
      <c r="BR12" s="138" t="str">
        <f aca="false">IF($BX12&lt;&gt;Constants!$B$6,"",IF($AS12,0,Constants!$B$12)+IF($AR12,0,Constants!$B$13)+IF($AH12,0,Constants!$B$14))</f>
        <v/>
      </c>
      <c r="BS12" s="139" t="str">
        <f aca="false">IF($BX12&lt;&gt;Constants!$B$6,"",Constants!$B$16+SUM($BN12:$BR12))</f>
        <v/>
      </c>
      <c r="BT12" s="138" t="str">
        <f aca="false">IF($BX12&lt;&gt;Constants!$B$6,"",$BN12)</f>
        <v/>
      </c>
      <c r="BU12" s="138" t="str">
        <f aca="false">IF($BX12&lt;&gt;Constants!$B$6,"",$BO12)</f>
        <v/>
      </c>
      <c r="BV12" s="140" t="str">
        <f aca="false">IF($BX12&lt;&gt;Constants!$B$6,"",IF($AT12,$AV12,""))</f>
        <v/>
      </c>
      <c r="BW12" s="135" t="str">
        <f aca="false">IF(ISBLANK($C12),"",IF(ISBLANK($D$7),$BW$5,IF(NOT(ISNUMBER($D$7)),$BW$6,"")))</f>
        <v/>
      </c>
      <c r="BX12" s="135" t="str">
        <f aca="false">IF(ISBLANK($C12),"",IF($BA12,Constants!$B$9,IF(COUNTA($E12:$AA12)=0,Constants!$B$8,IF(NOT($AG12),Constants!$B$7,IF(OR($BW12&lt;&gt;"",$BB12,$BM12),Constants!$B$10,Constants!$B$6)))))</f>
        <v/>
      </c>
      <c r="BY12" s="135" t="str">
        <f aca="false">IF(ISBLANK($C12),"",IF($BX12&lt;&gt;Constants!$B$6,$BX12,Constants!$B$11))</f>
        <v/>
      </c>
      <c r="BZ12" s="138" t="str">
        <f aca="false">IF($BX12&lt;&gt;Constants!$B$6,"",IF($BL12="-&gt;",$BS12,$BH12))</f>
        <v/>
      </c>
      <c r="CA12" s="138" t="str">
        <f aca="false">IF($BX12&lt;&gt;Constants!$B$6,"",IF($AF12,0,Constants!$B$15))</f>
        <v/>
      </c>
      <c r="CB12" s="138" t="str">
        <f aca="false">IF($BX12&lt;&gt;Constants!$B$6,"",((Constants!$B$25-$AZ12)-Constants!$B$25)/Constants!$B$26)</f>
        <v/>
      </c>
      <c r="CC12" s="138" t="str">
        <f aca="false">IF(ISBLANK($C12),"",IF($BX12&lt;&gt;Constants!$B$6,$BX12,SUM($BZ12:$CB12)))</f>
        <v/>
      </c>
      <c r="CD12" s="135" t="str">
        <f aca="false">IF(ISBLANK($C12),"",IF($BX12&lt;&gt;Constants!$B$6,$BX12,RANK($CC12,$CC$9:$CC$508,1)))</f>
        <v/>
      </c>
      <c r="CE12" s="138" t="str">
        <f aca="false">IF($BX12&lt;&gt;Constants!$B$6,"",IF($BL12="-&gt;",$BT12,$BI12))</f>
        <v/>
      </c>
      <c r="CF12" s="135" t="str">
        <f aca="false">IF(ISBLANK($C12),"",IF($BX12&lt;&gt;Constants!$B$6,$BX12,IF(ISNUMBER($CE12),RANK($CE12,$CE$9:$CE$508,1),COUNT($CE$9:$CE$508)+1)))</f>
        <v/>
      </c>
      <c r="CG12" s="138" t="str">
        <f aca="false">IF($BX12&lt;&gt;Constants!$B$6,"",IF($BL12="-&gt;",$BU12,$BJ12))</f>
        <v/>
      </c>
      <c r="CH12" s="135" t="str">
        <f aca="false">IF(ISBLANK($C12),"",IF($BX12&lt;&gt;Constants!$B$6,$BX12,IF(ISNUMBER($CG12),RANK($CG12,$CG$9:$CG$508,1),COUNT($CG$9:$CG$508)+1)))</f>
        <v/>
      </c>
      <c r="CI12" s="138" t="str">
        <f aca="false">IF($BX12&lt;&gt;Constants!$B$6,"",IF($BL12="-&gt;",$BV12,$BK12))</f>
        <v/>
      </c>
      <c r="CJ12" s="135" t="str">
        <f aca="false">IF(ISBLANK($C12),"",IF($BX12&lt;&gt;Constants!$B$6,$BX12,IF(ISNUMBER($CI12),RANK($CI12,$CI$9:$CI$508,1),COUNT($CI$9:$CI$508)+1)))</f>
        <v/>
      </c>
      <c r="CK12" s="138" t="str">
        <f aca="false">IF($BX12&lt;&gt;Constants!$B$6,"",$AI12)</f>
        <v/>
      </c>
      <c r="CL12" s="135" t="str">
        <f aca="false">IF(ISBLANK($C12),"",IF($BX12&lt;&gt;Constants!$B$6,$BX12,IF(ISNUMBER($CK12),RANK($CK12,$CK$9:$CK$508,1),COUNT($CK$9:$CK$508)+1)))</f>
        <v/>
      </c>
      <c r="CM12" s="135" t="str">
        <f aca="false">IF(ISBLANK($C12),"",IF($BX12&lt;&gt;Constants!$B$6,$BX12,COUNTIFS($CD$9:$CD$508,"&lt;"&amp;$CD12)+COUNTIFS($CD$9:$CD$508,$CD12,$CF$9:$CF$508,"&lt;"&amp;$CF12)+COUNTIFS($CD$9:$CD$508,$CD12,$CF$9:$CF$508,$CF12,$CH$9:$CH$508,"&lt;"&amp;$CH12)+COUNTIFS($CD$9:$CD$508,$CD12,$CF$9:$CF$508,$CF12,$CH$9:$CH$508,$CH12,$CJ$9:$CJ$508,"&lt;"&amp;$CJ12)+COUNTIFS($CD$9:$CD$508,$CD12,$CF$9:$CF$508,$CF12,$CH$9:$CH$508,$CH12,$CJ$9:$CJ$508,$CJ12,$CL$9:$CL$508,"&lt;"&amp;$CL12)+1))</f>
        <v/>
      </c>
      <c r="CN12" s="135" t="str">
        <f aca="false">IF(ISBLANK($C12),"",IF($BX12&lt;&gt;Constants!$B$6,$BX12,$CD12-$CM12))</f>
        <v/>
      </c>
      <c r="CO12" s="141"/>
      <c r="CP12" s="142"/>
      <c r="CQ12" s="143" t="str">
        <f aca="false">IF(ISBLANK($C12),"",IF($BX12=Constants!$B$10,$BW12,""))</f>
        <v/>
      </c>
      <c r="CR12" s="142" t="str">
        <f aca="false">IF(ISBLANK($C12),"",IF($BX12&lt;&gt;Constants!$B$6,"",IF($BL12="-&gt;",2,1)))</f>
        <v/>
      </c>
      <c r="CS12" s="144" t="str">
        <f aca="false">IF(ISBLANK($C12),"",IF($BX12&lt;&gt;Constants!$B$6,"",IF($BL12="-&gt;",$BN12,$BC12)))</f>
        <v/>
      </c>
      <c r="CT12" s="144" t="str">
        <f aca="false">IF(ISBLANK($C12),"",IF($BX12&lt;&gt;Constants!$B$6,"",IF($BL12="-&gt;",$BO12,$BD12)))</f>
        <v/>
      </c>
      <c r="CU12" s="144" t="str">
        <f aca="false">IF(ISBLANK($C12),"",IF($BX12&lt;&gt;Constants!$B$6,"",IF($BL12="-&gt;",$BP12+$BQ12,$BE12+$BF12)+$CB12))</f>
        <v/>
      </c>
      <c r="CV12" s="144" t="str">
        <f aca="false">IF(ISBLANK($C12),"",IF($BX12&lt;&gt;Constants!$B$6,"",IF($BL12="-&gt;",$BR12,$BG12)+$CA12))</f>
        <v/>
      </c>
      <c r="CW12" s="145" t="str">
        <f aca="false">IF(ISBLANK($C12),"",IF($BX12&lt;&gt;Constants!$B$6,$BX12,$CC12))</f>
        <v/>
      </c>
      <c r="CX12" s="146" t="str">
        <f aca="false">IF(ISBLANK($C12),"",$BY12)</f>
        <v/>
      </c>
      <c r="CY12" s="147" t="str">
        <f aca="false">IF(ISBLANK($C12),"",$CN12)</f>
        <v/>
      </c>
      <c r="CZ12" s="147" t="str">
        <f aca="false">IF(ISBLANK($C12),"",$CM12)</f>
        <v/>
      </c>
      <c r="DA12" s="148" t="str">
        <f aca="false">IF(ISBLANK($C12),"",IFERROR(_xlfn.SWITCH($CZ12,Constants!$B$9,COUNTA($C$9:$C$508)+2,Constants!$B$8,COUNTA($C$9:$C$508)+1,Constants!$B$7,COUNTA($C$9:$C$508)),$CZ12))</f>
        <v/>
      </c>
      <c r="DB12" s="9"/>
      <c r="DC12" s="149" t="n">
        <f aca="false">IF(OR(ISNUMBER($CZ12),$CZ12=Constants!$B$9,$CZ12=Constants!$B$7,$CZ12=Constants!$B$8),1,0)</f>
        <v>0</v>
      </c>
      <c r="DD12" s="149" t="n">
        <v>4</v>
      </c>
      <c r="DE12" s="149" t="str">
        <f aca="false">IF(ISBLANK($C12),"",IF(ISNUMBER($DA12),$DA12+ROW($B12)/1000,""))</f>
        <v/>
      </c>
      <c r="DF12" s="149" t="str">
        <f aca="false">IF(ISNUMBER($DE12),RANK($DE12,$DE$9:$DE$508,1),"")</f>
        <v/>
      </c>
      <c r="DG12" s="149" t="str">
        <f aca="false">IF(ISBLANK($C12),"",$B12)</f>
        <v/>
      </c>
      <c r="DH12" s="149" t="str">
        <f aca="false">IF(ISBLANK($C12),"",$C12)</f>
        <v/>
      </c>
      <c r="DI12" s="149" t="str">
        <f aca="false">IF(ISBLANK($C12),"",$D12)</f>
        <v/>
      </c>
      <c r="DJ12" s="150" t="str">
        <f aca="false">$CX12</f>
        <v/>
      </c>
      <c r="DK12" s="151" t="str">
        <f aca="false">$CW12</f>
        <v/>
      </c>
      <c r="DL12" s="149" t="str">
        <f aca="false">IF(ISBLANK($C12),"",$CZ12)</f>
        <v/>
      </c>
      <c r="DM12" s="152" t="str">
        <f aca="false">IF($DD12&gt;$DC$8,"",VLOOKUP($DD12,$DF$9:$DL$508,7,FALSE()))</f>
        <v/>
      </c>
      <c r="DN12" s="153" t="str">
        <f aca="false">IF($DD12&gt;$DC$8,"",VLOOKUP($DD12,$DF$9:$DL$508,2,FALSE()))</f>
        <v/>
      </c>
      <c r="DO12" s="153" t="str">
        <f aca="false">IF($DD12&gt;$DC$8,"",VLOOKUP($DD12,$DF$9:$DL$508,3,FALSE()))</f>
        <v/>
      </c>
      <c r="DP12" s="153" t="str">
        <f aca="false">IF($DD12&gt;$DC$8,"",VLOOKUP($DD12,$DF$9:$DL$508,4,FALSE()))</f>
        <v/>
      </c>
      <c r="DQ12" s="153" t="str">
        <f aca="false">IF($DD12&gt;$DC$8,"",VLOOKUP($DD12,$DF$9:$DL$508,5,FALSE()))</f>
        <v/>
      </c>
      <c r="DR12" s="154" t="str">
        <f aca="false">IF($DD12&gt;$DC$8,"",VLOOKUP($DD12,$DF$9:$DL$508,6,FALSE()))</f>
        <v/>
      </c>
      <c r="DS12" s="76"/>
    </row>
    <row r="13" customFormat="false" ht="15.75" hidden="false" customHeight="false" outlineLevel="0" collapsed="false">
      <c r="A13" s="9"/>
      <c r="B13" s="120"/>
      <c r="C13" s="155"/>
      <c r="D13" s="122"/>
      <c r="E13" s="123"/>
      <c r="F13" s="156"/>
      <c r="G13" s="157"/>
      <c r="H13" s="157"/>
      <c r="I13" s="126"/>
      <c r="J13" s="127"/>
      <c r="K13" s="128"/>
      <c r="L13" s="129"/>
      <c r="M13" s="130"/>
      <c r="N13" s="127"/>
      <c r="O13" s="127"/>
      <c r="P13" s="123"/>
      <c r="Q13" s="127"/>
      <c r="R13" s="127"/>
      <c r="S13" s="128"/>
      <c r="T13" s="128"/>
      <c r="U13" s="130"/>
      <c r="V13" s="127"/>
      <c r="W13" s="127"/>
      <c r="X13" s="123"/>
      <c r="Y13" s="158"/>
      <c r="Z13" s="159"/>
      <c r="AA13" s="158"/>
      <c r="AB13" s="134"/>
      <c r="AC13" s="135"/>
      <c r="AD13" s="135"/>
      <c r="AE13" s="135"/>
      <c r="AF13" s="135" t="str">
        <f aca="false">IF(ISBLANK($C13),"",IF(E13=Constants!$B$2,TRUE(),IF(E13=Constants!$B$3,FALSE(),TRUE())))</f>
        <v/>
      </c>
      <c r="AG13" s="135" t="str">
        <f aca="false">IF(ISBLANK($C13),"",IF(F13=Constants!$B$2,TRUE(),IF(F13=Constants!$B$3,FALSE(),TRUE())))</f>
        <v/>
      </c>
      <c r="AH13" s="135" t="str">
        <f aca="false">IF(ISBLANK($C13),"",IF(G13=Constants!$B$2,TRUE(),IF(G13=Constants!$B$3,FALSE(),TRUE())))</f>
        <v/>
      </c>
      <c r="AI13" s="135" t="str">
        <f aca="false">IF(ISBLANK($C13),"",IF(AND(ISNUMBER(H13),H13&gt;=0),H13,Constants!$B$24))</f>
        <v/>
      </c>
      <c r="AJ13" s="135" t="str">
        <f aca="false">IF(ISBLANK($C13),"",IF(I13=Constants!$B$2,TRUE(),IF(I13=Constants!$B$3,FALSE(),TRUE())))</f>
        <v/>
      </c>
      <c r="AK13" s="135" t="str">
        <f aca="false">IF(ISBLANK($C13),"",IF(J13=Constants!$B$2,TRUE(),IF(J13=Constants!$B$3,FALSE(),TRUE())))</f>
        <v/>
      </c>
      <c r="AL13" s="135" t="str">
        <f aca="false">IF(ISBLANK($C13),"",IF(K13=Constants!$B$4,TRUE(),IF(K13=Constants!$B$5,FALSE(),COUNTA(L13:P13)&gt;0)))</f>
        <v/>
      </c>
      <c r="AM13" s="136" t="str">
        <f aca="false">IF(ISBLANK($C13),"",IF(ISNUMBER(L13),IF(L13&gt;=0,L13,""),""))</f>
        <v/>
      </c>
      <c r="AN13" s="137" t="str">
        <f aca="false">IF(ISBLANK($C13),"",IF(ISNUMBER(M13),IF(M13&gt;=0,M13,""),""))</f>
        <v/>
      </c>
      <c r="AO13" s="137" t="str">
        <f aca="false">IF(ISBLANK($C13),"",IF(N13=Constants!$B$2,TRUE(),IF(N13=Constants!$B$3,FALSE(),TRUE())))</f>
        <v/>
      </c>
      <c r="AP13" s="135" t="str">
        <f aca="false">IF(ISBLANK($C13),"",IF(ISNUMBER(O13),IF(O13&gt;=0,O13,""),""))</f>
        <v/>
      </c>
      <c r="AQ13" s="135" t="str">
        <f aca="false">IF(ISBLANK($C13),"",IF(P13=Constants!$B$2,TRUE(),IF(P13=Constants!$B$3,FALSE(),FALSE())))</f>
        <v/>
      </c>
      <c r="AR13" s="135" t="str">
        <f aca="false">IF(ISBLANK($C13),"",IF(Q13=Constants!$B$2,TRUE(),IF(Q13=Constants!$B$3,FALSE(),TRUE())))</f>
        <v/>
      </c>
      <c r="AS13" s="135" t="str">
        <f aca="false">IF(ISBLANK($C13),"",IF(R13=Constants!$B$2,TRUE(),IF(R13=Constants!$B$3,FALSE(),TRUE())))</f>
        <v/>
      </c>
      <c r="AT13" s="135" t="str">
        <f aca="false">IF(ISBLANK($C13),"",IF(S13=Constants!$B$4,TRUE(),IF(S13=Constants!$B$5,FALSE(),COUNTA(T13:X13)&gt;0)))</f>
        <v/>
      </c>
      <c r="AU13" s="136" t="str">
        <f aca="false">IF(ISBLANK($C13),"",IF(ISNUMBER(T13),IF(T13&gt;=0,T13,""),""))</f>
        <v/>
      </c>
      <c r="AV13" s="137" t="str">
        <f aca="false">IF(ISBLANK($C13),"",IF(ISNUMBER(U13),IF(U13&gt;=0,U13,""),""))</f>
        <v/>
      </c>
      <c r="AW13" s="137" t="str">
        <f aca="false">IF(ISBLANK($C13),"",IF(V13=Constants!$B$2,TRUE(),IF(V13=Constants!$B$3,FALSE(),TRUE())))</f>
        <v/>
      </c>
      <c r="AX13" s="135" t="str">
        <f aca="false">IF(ISBLANK($C13),"",IF(ISNUMBER(W13),IF(W13&gt;=0,W13,""),""))</f>
        <v/>
      </c>
      <c r="AY13" s="135" t="str">
        <f aca="false">IF(ISBLANK($C13),"",IF(X13=Constants!$B$2,TRUE(),IF(X13=Constants!$B$3,FALSE(),FALSE())))</f>
        <v/>
      </c>
      <c r="AZ13" s="135" t="str">
        <f aca="false">IF(ISBLANK($C13),"",MIN(Constants!$B$25,MAX(0,IF(ISNUMBER(Y13),Y13*60,0)+IF(ISNUMBER(Z13),Z13,0))))</f>
        <v/>
      </c>
      <c r="BA13" s="135" t="str">
        <f aca="false">IF(ISBLANK($C13),"",IF(AA13=Constants!$B$2,TRUE(),IF(AA13=Constants!$B$3,FALSE(),FALSE())))</f>
        <v/>
      </c>
      <c r="BB13" s="134" t="str">
        <f aca="false">IF(ISBLANK($C13),"",AND($AL13,OR($AM13="",$AN13="",AND($AO13,$AP13=""))))</f>
        <v/>
      </c>
      <c r="BC13" s="137" t="str">
        <f aca="false">IF($BX13&lt;&gt;Constants!$B$6,"",IF($AL13,Constants!$B$17*$AN13+Constants!$B$18*IF($AO13,$AP13,Constants!$B$19),Constants!$B$20))</f>
        <v/>
      </c>
      <c r="BD13" s="138" t="str">
        <f aca="false">IF($BX13&lt;&gt;Constants!$B$6,"",Constants!$B$21*ABS($AD$9-IF($AL13,$AM13,0)))</f>
        <v/>
      </c>
      <c r="BE13" s="138" t="str">
        <f aca="false">IF($BX13&lt;&gt;Constants!$B$6,"",IF(AND($AL13,$AQ13,$AO13),Constants!$B$22,0))</f>
        <v/>
      </c>
      <c r="BF13" s="138" t="str">
        <f aca="false">IF($BX13&lt;&gt;Constants!$B$6,"",IF($AL13,($AI13-Constants!$B$24)*Constants!$B$23,0))</f>
        <v/>
      </c>
      <c r="BG13" s="138" t="str">
        <f aca="false">IF($BX13&lt;&gt;Constants!$B$6,"",IF($AK13,0,Constants!$B$12)+IF($AJ13,0,Constants!$B$13)+IF($AH13,0,Constants!$B$14))</f>
        <v/>
      </c>
      <c r="BH13" s="139" t="str">
        <f aca="false">IF($BX13&lt;&gt;Constants!$B$6,"",Constants!$B$16+SUM($BC13:$BG13))</f>
        <v/>
      </c>
      <c r="BI13" s="138" t="str">
        <f aca="false">IF($BX13&lt;&gt;Constants!$B$6,"",$BC13)</f>
        <v/>
      </c>
      <c r="BJ13" s="138" t="str">
        <f aca="false">IF($BX13&lt;&gt;Constants!$B$6,"",$BD13)</f>
        <v/>
      </c>
      <c r="BK13" s="140" t="str">
        <f aca="false">IF($BX13&lt;&gt;Constants!$B$6,"",IF($AL13,$AN13,""))</f>
        <v/>
      </c>
      <c r="BL13" s="135" t="str">
        <f aca="false">IF($BX13&lt;&gt;Constants!$B$6,"",IF(OR($BS13&lt;$BH13,AND($BS13=$BH13,OR($BT13&lt;$BI13,AND($BT13=$BI13,OR($BU13&lt;$BJ13,AND($BU13=$BJ13,AND(ISNUMBER($BV13),OR(NOT(ISNUMBER($BK13)),$BV13&lt;$BK13)))))))),"-&gt;","&lt;-"))</f>
        <v/>
      </c>
      <c r="BM13" s="134" t="str">
        <f aca="false">IF(ISBLANK($C13),"",AND($AT13,OR($AU13="",$AV13="",AND($AW13,$AX13=""))))</f>
        <v/>
      </c>
      <c r="BN13" s="137" t="str">
        <f aca="false">IF($BX13&lt;&gt;Constants!$B$6,"",IF($AT13,Constants!$B$17*$AV13+Constants!$B$18*IF($AW13,$AX13,Constants!$B$19),Constants!$B$20))</f>
        <v/>
      </c>
      <c r="BO13" s="138" t="str">
        <f aca="false">IF($BX13&lt;&gt;Constants!$B$6,"",Constants!$B$21*ABS($AD$9-IF($AT13,$AU13,0)))</f>
        <v/>
      </c>
      <c r="BP13" s="138" t="str">
        <f aca="false">IF($BX13&lt;&gt;Constants!$B$6,"",IF(AND($AT13,$AY13,$AW13),Constants!$B$22,0))</f>
        <v/>
      </c>
      <c r="BQ13" s="138" t="str">
        <f aca="false">IF($BX13&lt;&gt;Constants!$B$6,"",IF($AT13,($AI13-Constants!$B$24)*Constants!$B$23,0))</f>
        <v/>
      </c>
      <c r="BR13" s="138" t="str">
        <f aca="false">IF($BX13&lt;&gt;Constants!$B$6,"",IF($AS13,0,Constants!$B$12)+IF($AR13,0,Constants!$B$13)+IF($AH13,0,Constants!$B$14))</f>
        <v/>
      </c>
      <c r="BS13" s="139" t="str">
        <f aca="false">IF($BX13&lt;&gt;Constants!$B$6,"",Constants!$B$16+SUM($BN13:$BR13))</f>
        <v/>
      </c>
      <c r="BT13" s="138" t="str">
        <f aca="false">IF($BX13&lt;&gt;Constants!$B$6,"",$BN13)</f>
        <v/>
      </c>
      <c r="BU13" s="138" t="str">
        <f aca="false">IF($BX13&lt;&gt;Constants!$B$6,"",$BO13)</f>
        <v/>
      </c>
      <c r="BV13" s="140" t="str">
        <f aca="false">IF($BX13&lt;&gt;Constants!$B$6,"",IF($AT13,$AV13,""))</f>
        <v/>
      </c>
      <c r="BW13" s="135" t="str">
        <f aca="false">IF(ISBLANK($C13),"",IF(ISBLANK($D$7),$BW$5,IF(NOT(ISNUMBER($D$7)),$BW$6,"")))</f>
        <v/>
      </c>
      <c r="BX13" s="135" t="str">
        <f aca="false">IF(ISBLANK($C13),"",IF($BA13,Constants!$B$9,IF(COUNTA($E13:$AA13)=0,Constants!$B$8,IF(NOT($AG13),Constants!$B$7,IF(OR($BW13&lt;&gt;"",$BB13,$BM13),Constants!$B$10,Constants!$B$6)))))</f>
        <v/>
      </c>
      <c r="BY13" s="135" t="str">
        <f aca="false">IF(ISBLANK($C13),"",IF($BX13&lt;&gt;Constants!$B$6,$BX13,Constants!$B$11))</f>
        <v/>
      </c>
      <c r="BZ13" s="138" t="str">
        <f aca="false">IF($BX13&lt;&gt;Constants!$B$6,"",IF($BL13="-&gt;",$BS13,$BH13))</f>
        <v/>
      </c>
      <c r="CA13" s="138" t="str">
        <f aca="false">IF($BX13&lt;&gt;Constants!$B$6,"",IF($AF13,0,Constants!$B$15))</f>
        <v/>
      </c>
      <c r="CB13" s="138" t="str">
        <f aca="false">IF($BX13&lt;&gt;Constants!$B$6,"",((Constants!$B$25-$AZ13)-Constants!$B$25)/Constants!$B$26)</f>
        <v/>
      </c>
      <c r="CC13" s="138" t="str">
        <f aca="false">IF(ISBLANK($C13),"",IF($BX13&lt;&gt;Constants!$B$6,$BX13,SUM($BZ13:$CB13)))</f>
        <v/>
      </c>
      <c r="CD13" s="135" t="str">
        <f aca="false">IF(ISBLANK($C13),"",IF($BX13&lt;&gt;Constants!$B$6,$BX13,RANK($CC13,$CC$9:$CC$508,1)))</f>
        <v/>
      </c>
      <c r="CE13" s="138" t="str">
        <f aca="false">IF($BX13&lt;&gt;Constants!$B$6,"",IF($BL13="-&gt;",$BT13,$BI13))</f>
        <v/>
      </c>
      <c r="CF13" s="135" t="str">
        <f aca="false">IF(ISBLANK($C13),"",IF($BX13&lt;&gt;Constants!$B$6,$BX13,IF(ISNUMBER($CE13),RANK($CE13,$CE$9:$CE$508,1),COUNT($CE$9:$CE$508)+1)))</f>
        <v/>
      </c>
      <c r="CG13" s="138" t="str">
        <f aca="false">IF($BX13&lt;&gt;Constants!$B$6,"",IF($BL13="-&gt;",$BU13,$BJ13))</f>
        <v/>
      </c>
      <c r="CH13" s="135" t="str">
        <f aca="false">IF(ISBLANK($C13),"",IF($BX13&lt;&gt;Constants!$B$6,$BX13,IF(ISNUMBER($CG13),RANK($CG13,$CG$9:$CG$508,1),COUNT($CG$9:$CG$508)+1)))</f>
        <v/>
      </c>
      <c r="CI13" s="138" t="str">
        <f aca="false">IF($BX13&lt;&gt;Constants!$B$6,"",IF($BL13="-&gt;",$BV13,$BK13))</f>
        <v/>
      </c>
      <c r="CJ13" s="135" t="str">
        <f aca="false">IF(ISBLANK($C13),"",IF($BX13&lt;&gt;Constants!$B$6,$BX13,IF(ISNUMBER($CI13),RANK($CI13,$CI$9:$CI$508,1),COUNT($CI$9:$CI$508)+1)))</f>
        <v/>
      </c>
      <c r="CK13" s="138" t="str">
        <f aca="false">IF($BX13&lt;&gt;Constants!$B$6,"",$AI13)</f>
        <v/>
      </c>
      <c r="CL13" s="135" t="str">
        <f aca="false">IF(ISBLANK($C13),"",IF($BX13&lt;&gt;Constants!$B$6,$BX13,IF(ISNUMBER($CK13),RANK($CK13,$CK$9:$CK$508,1),COUNT($CK$9:$CK$508)+1)))</f>
        <v/>
      </c>
      <c r="CM13" s="135" t="str">
        <f aca="false">IF(ISBLANK($C13),"",IF($BX13&lt;&gt;Constants!$B$6,$BX13,COUNTIFS($CD$9:$CD$508,"&lt;"&amp;$CD13)+COUNTIFS($CD$9:$CD$508,$CD13,$CF$9:$CF$508,"&lt;"&amp;$CF13)+COUNTIFS($CD$9:$CD$508,$CD13,$CF$9:$CF$508,$CF13,$CH$9:$CH$508,"&lt;"&amp;$CH13)+COUNTIFS($CD$9:$CD$508,$CD13,$CF$9:$CF$508,$CF13,$CH$9:$CH$508,$CH13,$CJ$9:$CJ$508,"&lt;"&amp;$CJ13)+COUNTIFS($CD$9:$CD$508,$CD13,$CF$9:$CF$508,$CF13,$CH$9:$CH$508,$CH13,$CJ$9:$CJ$508,$CJ13,$CL$9:$CL$508,"&lt;"&amp;$CL13)+1))</f>
        <v/>
      </c>
      <c r="CN13" s="135" t="str">
        <f aca="false">IF(ISBLANK($C13),"",IF($BX13&lt;&gt;Constants!$B$6,$BX13,$CD13-$CM13))</f>
        <v/>
      </c>
      <c r="CO13" s="141"/>
      <c r="CP13" s="142"/>
      <c r="CQ13" s="143" t="str">
        <f aca="false">IF(ISBLANK($C13),"",IF($BX13=Constants!$B$10,$BW13,""))</f>
        <v/>
      </c>
      <c r="CR13" s="142" t="str">
        <f aca="false">IF(ISBLANK($C13),"",IF($BX13&lt;&gt;Constants!$B$6,"",IF($BL13="-&gt;",2,1)))</f>
        <v/>
      </c>
      <c r="CS13" s="144" t="str">
        <f aca="false">IF(ISBLANK($C13),"",IF($BX13&lt;&gt;Constants!$B$6,"",IF($BL13="-&gt;",$BN13,$BC13)))</f>
        <v/>
      </c>
      <c r="CT13" s="144" t="str">
        <f aca="false">IF(ISBLANK($C13),"",IF($BX13&lt;&gt;Constants!$B$6,"",IF($BL13="-&gt;",$BO13,$BD13)))</f>
        <v/>
      </c>
      <c r="CU13" s="144" t="str">
        <f aca="false">IF(ISBLANK($C13),"",IF($BX13&lt;&gt;Constants!$B$6,"",IF($BL13="-&gt;",$BP13+$BQ13,$BE13+$BF13)+$CB13))</f>
        <v/>
      </c>
      <c r="CV13" s="144" t="str">
        <f aca="false">IF(ISBLANK($C13),"",IF($BX13&lt;&gt;Constants!$B$6,"",IF($BL13="-&gt;",$BR13,$BG13)+$CA13))</f>
        <v/>
      </c>
      <c r="CW13" s="145" t="str">
        <f aca="false">IF(ISBLANK($C13),"",IF($BX13&lt;&gt;Constants!$B$6,$BX13,$CC13))</f>
        <v/>
      </c>
      <c r="CX13" s="146" t="str">
        <f aca="false">IF(ISBLANK($C13),"",$BY13)</f>
        <v/>
      </c>
      <c r="CY13" s="147" t="str">
        <f aca="false">IF(ISBLANK($C13),"",$CN13)</f>
        <v/>
      </c>
      <c r="CZ13" s="147" t="str">
        <f aca="false">IF(ISBLANK($C13),"",$CM13)</f>
        <v/>
      </c>
      <c r="DA13" s="148" t="str">
        <f aca="false">IF(ISBLANK($C13),"",IFERROR(_xlfn.SWITCH($CZ13,Constants!$B$9,COUNTA($C$9:$C$508)+2,Constants!$B$8,COUNTA($C$9:$C$508)+1,Constants!$B$7,COUNTA($C$9:$C$508)),$CZ13))</f>
        <v/>
      </c>
      <c r="DB13" s="9"/>
      <c r="DC13" s="149" t="n">
        <f aca="false">IF(OR(ISNUMBER($CZ13),$CZ13=Constants!$B$9,$CZ13=Constants!$B$7,$CZ13=Constants!$B$8),1,0)</f>
        <v>0</v>
      </c>
      <c r="DD13" s="149" t="n">
        <v>5</v>
      </c>
      <c r="DE13" s="149" t="str">
        <f aca="false">IF(ISBLANK($C13),"",IF(ISNUMBER($DA13),$DA13+ROW($B13)/1000,""))</f>
        <v/>
      </c>
      <c r="DF13" s="149" t="str">
        <f aca="false">IF(ISNUMBER($DE13),RANK($DE13,$DE$9:$DE$508,1),"")</f>
        <v/>
      </c>
      <c r="DG13" s="149" t="str">
        <f aca="false">IF(ISBLANK($C13),"",$B13)</f>
        <v/>
      </c>
      <c r="DH13" s="149" t="str">
        <f aca="false">IF(ISBLANK($C13),"",$C13)</f>
        <v/>
      </c>
      <c r="DI13" s="149" t="str">
        <f aca="false">IF(ISBLANK($C13),"",$D13)</f>
        <v/>
      </c>
      <c r="DJ13" s="150" t="str">
        <f aca="false">$CX13</f>
        <v/>
      </c>
      <c r="DK13" s="151" t="str">
        <f aca="false">$CW13</f>
        <v/>
      </c>
      <c r="DL13" s="149" t="str">
        <f aca="false">IF(ISBLANK($C13),"",$CZ13)</f>
        <v/>
      </c>
      <c r="DM13" s="152" t="str">
        <f aca="false">IF($DD13&gt;$DC$8,"",VLOOKUP($DD13,$DF$9:$DL$508,7,FALSE()))</f>
        <v/>
      </c>
      <c r="DN13" s="153" t="str">
        <f aca="false">IF($DD13&gt;$DC$8,"",VLOOKUP($DD13,$DF$9:$DL$508,2,FALSE()))</f>
        <v/>
      </c>
      <c r="DO13" s="153" t="str">
        <f aca="false">IF($DD13&gt;$DC$8,"",VLOOKUP($DD13,$DF$9:$DL$508,3,FALSE()))</f>
        <v/>
      </c>
      <c r="DP13" s="153" t="str">
        <f aca="false">IF($DD13&gt;$DC$8,"",VLOOKUP($DD13,$DF$9:$DL$508,4,FALSE()))</f>
        <v/>
      </c>
      <c r="DQ13" s="153" t="str">
        <f aca="false">IF($DD13&gt;$DC$8,"",VLOOKUP($DD13,$DF$9:$DL$508,5,FALSE()))</f>
        <v/>
      </c>
      <c r="DR13" s="154" t="str">
        <f aca="false">IF($DD13&gt;$DC$8,"",VLOOKUP($DD13,$DF$9:$DL$508,6,FALSE()))</f>
        <v/>
      </c>
      <c r="DS13" s="76"/>
    </row>
    <row r="14" customFormat="false" ht="15.65" hidden="false" customHeight="true" outlineLevel="0" collapsed="false">
      <c r="A14" s="9"/>
      <c r="B14" s="120"/>
      <c r="C14" s="155"/>
      <c r="D14" s="122"/>
      <c r="E14" s="123"/>
      <c r="F14" s="156"/>
      <c r="G14" s="157"/>
      <c r="H14" s="157"/>
      <c r="I14" s="126"/>
      <c r="J14" s="127"/>
      <c r="K14" s="128"/>
      <c r="L14" s="129"/>
      <c r="M14" s="130"/>
      <c r="N14" s="127"/>
      <c r="O14" s="127"/>
      <c r="P14" s="123"/>
      <c r="Q14" s="127"/>
      <c r="R14" s="127"/>
      <c r="S14" s="128"/>
      <c r="T14" s="130"/>
      <c r="U14" s="130"/>
      <c r="V14" s="127"/>
      <c r="W14" s="127"/>
      <c r="X14" s="123"/>
      <c r="Y14" s="158"/>
      <c r="Z14" s="159"/>
      <c r="AA14" s="158"/>
      <c r="AB14" s="134"/>
      <c r="AC14" s="135"/>
      <c r="AD14" s="135"/>
      <c r="AE14" s="135"/>
      <c r="AF14" s="135" t="str">
        <f aca="false">IF(ISBLANK($C14),"",IF(E14=Constants!$B$2,TRUE(),IF(E14=Constants!$B$3,FALSE(),TRUE())))</f>
        <v/>
      </c>
      <c r="AG14" s="135" t="str">
        <f aca="false">IF(ISBLANK($C14),"",IF(F14=Constants!$B$2,TRUE(),IF(F14=Constants!$B$3,FALSE(),TRUE())))</f>
        <v/>
      </c>
      <c r="AH14" s="135" t="str">
        <f aca="false">IF(ISBLANK($C14),"",IF(G14=Constants!$B$2,TRUE(),IF(G14=Constants!$B$3,FALSE(),TRUE())))</f>
        <v/>
      </c>
      <c r="AI14" s="135" t="str">
        <f aca="false">IF(ISBLANK($C14),"",IF(AND(ISNUMBER(H14),H14&gt;=0),H14,Constants!$B$24))</f>
        <v/>
      </c>
      <c r="AJ14" s="135" t="str">
        <f aca="false">IF(ISBLANK($C14),"",IF(I14=Constants!$B$2,TRUE(),IF(I14=Constants!$B$3,FALSE(),TRUE())))</f>
        <v/>
      </c>
      <c r="AK14" s="135" t="str">
        <f aca="false">IF(ISBLANK($C14),"",IF(J14=Constants!$B$2,TRUE(),IF(J14=Constants!$B$3,FALSE(),TRUE())))</f>
        <v/>
      </c>
      <c r="AL14" s="135" t="str">
        <f aca="false">IF(ISBLANK($C14),"",IF(K14=Constants!$B$4,TRUE(),IF(K14=Constants!$B$5,FALSE(),COUNTA(L14:P14)&gt;0)))</f>
        <v/>
      </c>
      <c r="AM14" s="136" t="str">
        <f aca="false">IF(ISBLANK($C14),"",IF(ISNUMBER(L14),IF(L14&gt;=0,L14,""),""))</f>
        <v/>
      </c>
      <c r="AN14" s="137" t="str">
        <f aca="false">IF(ISBLANK($C14),"",IF(ISNUMBER(M14),IF(M14&gt;=0,M14,""),""))</f>
        <v/>
      </c>
      <c r="AO14" s="137" t="str">
        <f aca="false">IF(ISBLANK($C14),"",IF(N14=Constants!$B$2,TRUE(),IF(N14=Constants!$B$3,FALSE(),TRUE())))</f>
        <v/>
      </c>
      <c r="AP14" s="135" t="str">
        <f aca="false">IF(ISBLANK($C14),"",IF(ISNUMBER(O14),IF(O14&gt;=0,O14,""),""))</f>
        <v/>
      </c>
      <c r="AQ14" s="135" t="str">
        <f aca="false">IF(ISBLANK($C14),"",IF(P14=Constants!$B$2,TRUE(),IF(P14=Constants!$B$3,FALSE(),FALSE())))</f>
        <v/>
      </c>
      <c r="AR14" s="135" t="str">
        <f aca="false">IF(ISBLANK($C14),"",IF(Q14=Constants!$B$2,TRUE(),IF(Q14=Constants!$B$3,FALSE(),TRUE())))</f>
        <v/>
      </c>
      <c r="AS14" s="135" t="str">
        <f aca="false">IF(ISBLANK($C14),"",IF(R14=Constants!$B$2,TRUE(),IF(R14=Constants!$B$3,FALSE(),TRUE())))</f>
        <v/>
      </c>
      <c r="AT14" s="135" t="str">
        <f aca="false">IF(ISBLANK($C14),"",IF(S14=Constants!$B$4,TRUE(),IF(S14=Constants!$B$5,FALSE(),COUNTA(T14:X14)&gt;0)))</f>
        <v/>
      </c>
      <c r="AU14" s="136" t="str">
        <f aca="false">IF(ISBLANK($C14),"",IF(ISNUMBER(T14),IF(T14&gt;=0,T14,""),""))</f>
        <v/>
      </c>
      <c r="AV14" s="137" t="str">
        <f aca="false">IF(ISBLANK($C14),"",IF(ISNUMBER(U14),IF(U14&gt;=0,U14,""),""))</f>
        <v/>
      </c>
      <c r="AW14" s="137" t="str">
        <f aca="false">IF(ISBLANK($C14),"",IF(V14=Constants!$B$2,TRUE(),IF(V14=Constants!$B$3,FALSE(),TRUE())))</f>
        <v/>
      </c>
      <c r="AX14" s="135" t="str">
        <f aca="false">IF(ISBLANK($C14),"",IF(ISNUMBER(W14),IF(W14&gt;=0,W14,""),""))</f>
        <v/>
      </c>
      <c r="AY14" s="135" t="str">
        <f aca="false">IF(ISBLANK($C14),"",IF(X14=Constants!$B$2,TRUE(),IF(X14=Constants!$B$3,FALSE(),FALSE())))</f>
        <v/>
      </c>
      <c r="AZ14" s="135" t="str">
        <f aca="false">IF(ISBLANK($C14),"",MIN(Constants!$B$25,MAX(0,IF(ISNUMBER(Y14),Y14*60,0)+IF(ISNUMBER(Z14),Z14,0))))</f>
        <v/>
      </c>
      <c r="BA14" s="135" t="str">
        <f aca="false">IF(ISBLANK($C14),"",IF(AA14=Constants!$B$2,TRUE(),IF(AA14=Constants!$B$3,FALSE(),FALSE())))</f>
        <v/>
      </c>
      <c r="BB14" s="134" t="str">
        <f aca="false">IF(ISBLANK($C14),"",AND($AL14,OR($AM14="",$AN14="",AND($AO14,$AP14=""))))</f>
        <v/>
      </c>
      <c r="BC14" s="137" t="str">
        <f aca="false">IF($BX14&lt;&gt;Constants!$B$6,"",IF($AL14,Constants!$B$17*$AN14+Constants!$B$18*IF($AO14,$AP14,Constants!$B$19),Constants!$B$20))</f>
        <v/>
      </c>
      <c r="BD14" s="138" t="str">
        <f aca="false">IF($BX14&lt;&gt;Constants!$B$6,"",Constants!$B$21*ABS($AD$9-IF($AL14,$AM14,0)))</f>
        <v/>
      </c>
      <c r="BE14" s="138" t="str">
        <f aca="false">IF($BX14&lt;&gt;Constants!$B$6,"",IF(AND($AL14,$AQ14,$AO14),Constants!$B$22,0))</f>
        <v/>
      </c>
      <c r="BF14" s="138" t="str">
        <f aca="false">IF($BX14&lt;&gt;Constants!$B$6,"",IF($AL14,($AI14-Constants!$B$24)*Constants!$B$23,0))</f>
        <v/>
      </c>
      <c r="BG14" s="138" t="str">
        <f aca="false">IF($BX14&lt;&gt;Constants!$B$6,"",IF($AK14,0,Constants!$B$12)+IF($AJ14,0,Constants!$B$13)+IF($AH14,0,Constants!$B$14))</f>
        <v/>
      </c>
      <c r="BH14" s="139" t="str">
        <f aca="false">IF($BX14&lt;&gt;Constants!$B$6,"",Constants!$B$16+SUM($BC14:$BG14))</f>
        <v/>
      </c>
      <c r="BI14" s="138" t="str">
        <f aca="false">IF($BX14&lt;&gt;Constants!$B$6,"",$BC14)</f>
        <v/>
      </c>
      <c r="BJ14" s="138" t="str">
        <f aca="false">IF($BX14&lt;&gt;Constants!$B$6,"",$BD14)</f>
        <v/>
      </c>
      <c r="BK14" s="140" t="str">
        <f aca="false">IF($BX14&lt;&gt;Constants!$B$6,"",IF($AL14,$AN14,""))</f>
        <v/>
      </c>
      <c r="BL14" s="135" t="str">
        <f aca="false">IF($BX14&lt;&gt;Constants!$B$6,"",IF(OR($BS14&lt;$BH14,AND($BS14=$BH14,OR($BT14&lt;$BI14,AND($BT14=$BI14,OR($BU14&lt;$BJ14,AND($BU14=$BJ14,AND(ISNUMBER($BV14),OR(NOT(ISNUMBER($BK14)),$BV14&lt;$BK14)))))))),"-&gt;","&lt;-"))</f>
        <v/>
      </c>
      <c r="BM14" s="134" t="str">
        <f aca="false">IF(ISBLANK($C14),"",AND($AT14,OR($AU14="",$AV14="",AND($AW14,$AX14=""))))</f>
        <v/>
      </c>
      <c r="BN14" s="137" t="str">
        <f aca="false">IF($BX14&lt;&gt;Constants!$B$6,"",IF($AT14,Constants!$B$17*$AV14+Constants!$B$18*IF($AW14,$AX14,Constants!$B$19),Constants!$B$20))</f>
        <v/>
      </c>
      <c r="BO14" s="138" t="str">
        <f aca="false">IF($BX14&lt;&gt;Constants!$B$6,"",Constants!$B$21*ABS($AD$9-IF($AT14,$AU14,0)))</f>
        <v/>
      </c>
      <c r="BP14" s="138" t="str">
        <f aca="false">IF($BX14&lt;&gt;Constants!$B$6,"",IF(AND($AT14,$AY14,$AW14),Constants!$B$22,0))</f>
        <v/>
      </c>
      <c r="BQ14" s="138" t="str">
        <f aca="false">IF($BX14&lt;&gt;Constants!$B$6,"",IF($AT14,($AI14-Constants!$B$24)*Constants!$B$23,0))</f>
        <v/>
      </c>
      <c r="BR14" s="138" t="str">
        <f aca="false">IF($BX14&lt;&gt;Constants!$B$6,"",IF($AS14,0,Constants!$B$12)+IF($AR14,0,Constants!$B$13)+IF($AH14,0,Constants!$B$14))</f>
        <v/>
      </c>
      <c r="BS14" s="139" t="str">
        <f aca="false">IF($BX14&lt;&gt;Constants!$B$6,"",Constants!$B$16+SUM($BN14:$BR14))</f>
        <v/>
      </c>
      <c r="BT14" s="138" t="str">
        <f aca="false">IF($BX14&lt;&gt;Constants!$B$6,"",$BN14)</f>
        <v/>
      </c>
      <c r="BU14" s="138" t="str">
        <f aca="false">IF($BX14&lt;&gt;Constants!$B$6,"",$BO14)</f>
        <v/>
      </c>
      <c r="BV14" s="140" t="str">
        <f aca="false">IF($BX14&lt;&gt;Constants!$B$6,"",IF($AT14,$AV14,""))</f>
        <v/>
      </c>
      <c r="BW14" s="135" t="str">
        <f aca="false">IF(ISBLANK($C14),"",IF(ISBLANK($D$7),$BW$5,IF(NOT(ISNUMBER($D$7)),$BW$6,"")))</f>
        <v/>
      </c>
      <c r="BX14" s="135" t="str">
        <f aca="false">IF(ISBLANK($C14),"",IF($BA14,Constants!$B$9,IF(COUNTA($E14:$AA14)=0,Constants!$B$8,IF(NOT($AG14),Constants!$B$7,IF(OR($BW14&lt;&gt;"",$BB14,$BM14),Constants!$B$10,Constants!$B$6)))))</f>
        <v/>
      </c>
      <c r="BY14" s="135" t="str">
        <f aca="false">IF(ISBLANK($C14),"",IF($BX14&lt;&gt;Constants!$B$6,$BX14,Constants!$B$11))</f>
        <v/>
      </c>
      <c r="BZ14" s="138" t="str">
        <f aca="false">IF($BX14&lt;&gt;Constants!$B$6,"",IF($BL14="-&gt;",$BS14,$BH14))</f>
        <v/>
      </c>
      <c r="CA14" s="138" t="str">
        <f aca="false">IF($BX14&lt;&gt;Constants!$B$6,"",IF($AF14,0,Constants!$B$15))</f>
        <v/>
      </c>
      <c r="CB14" s="138" t="str">
        <f aca="false">IF($BX14&lt;&gt;Constants!$B$6,"",((Constants!$B$25-$AZ14)-Constants!$B$25)/Constants!$B$26)</f>
        <v/>
      </c>
      <c r="CC14" s="138" t="str">
        <f aca="false">IF(ISBLANK($C14),"",IF($BX14&lt;&gt;Constants!$B$6,$BX14,SUM($BZ14:$CB14)))</f>
        <v/>
      </c>
      <c r="CD14" s="135" t="str">
        <f aca="false">IF(ISBLANK($C14),"",IF($BX14&lt;&gt;Constants!$B$6,$BX14,RANK($CC14,$CC$9:$CC$508,1)))</f>
        <v/>
      </c>
      <c r="CE14" s="138" t="str">
        <f aca="false">IF($BX14&lt;&gt;Constants!$B$6,"",IF($BL14="-&gt;",$BT14,$BI14))</f>
        <v/>
      </c>
      <c r="CF14" s="135" t="str">
        <f aca="false">IF(ISBLANK($C14),"",IF($BX14&lt;&gt;Constants!$B$6,$BX14,IF(ISNUMBER($CE14),RANK($CE14,$CE$9:$CE$508,1),COUNT($CE$9:$CE$508)+1)))</f>
        <v/>
      </c>
      <c r="CG14" s="138" t="str">
        <f aca="false">IF($BX14&lt;&gt;Constants!$B$6,"",IF($BL14="-&gt;",$BU14,$BJ14))</f>
        <v/>
      </c>
      <c r="CH14" s="135" t="str">
        <f aca="false">IF(ISBLANK($C14),"",IF($BX14&lt;&gt;Constants!$B$6,$BX14,IF(ISNUMBER($CG14),RANK($CG14,$CG$9:$CG$508,1),COUNT($CG$9:$CG$508)+1)))</f>
        <v/>
      </c>
      <c r="CI14" s="138" t="str">
        <f aca="false">IF($BX14&lt;&gt;Constants!$B$6,"",IF($BL14="-&gt;",$BV14,$BK14))</f>
        <v/>
      </c>
      <c r="CJ14" s="135" t="str">
        <f aca="false">IF(ISBLANK($C14),"",IF($BX14&lt;&gt;Constants!$B$6,$BX14,IF(ISNUMBER($CI14),RANK($CI14,$CI$9:$CI$508,1),COUNT($CI$9:$CI$508)+1)))</f>
        <v/>
      </c>
      <c r="CK14" s="138" t="str">
        <f aca="false">IF($BX14&lt;&gt;Constants!$B$6,"",$AI14)</f>
        <v/>
      </c>
      <c r="CL14" s="135" t="str">
        <f aca="false">IF(ISBLANK($C14),"",IF($BX14&lt;&gt;Constants!$B$6,$BX14,IF(ISNUMBER($CK14),RANK($CK14,$CK$9:$CK$508,1),COUNT($CK$9:$CK$508)+1)))</f>
        <v/>
      </c>
      <c r="CM14" s="135" t="str">
        <f aca="false">IF(ISBLANK($C14),"",IF($BX14&lt;&gt;Constants!$B$6,$BX14,COUNTIFS($CD$9:$CD$508,"&lt;"&amp;$CD14)+COUNTIFS($CD$9:$CD$508,$CD14,$CF$9:$CF$508,"&lt;"&amp;$CF14)+COUNTIFS($CD$9:$CD$508,$CD14,$CF$9:$CF$508,$CF14,$CH$9:$CH$508,"&lt;"&amp;$CH14)+COUNTIFS($CD$9:$CD$508,$CD14,$CF$9:$CF$508,$CF14,$CH$9:$CH$508,$CH14,$CJ$9:$CJ$508,"&lt;"&amp;$CJ14)+COUNTIFS($CD$9:$CD$508,$CD14,$CF$9:$CF$508,$CF14,$CH$9:$CH$508,$CH14,$CJ$9:$CJ$508,$CJ14,$CL$9:$CL$508,"&lt;"&amp;$CL14)+1))</f>
        <v/>
      </c>
      <c r="CN14" s="135" t="str">
        <f aca="false">IF(ISBLANK($C14),"",IF($BX14&lt;&gt;Constants!$B$6,$BX14,$CD14-$CM14))</f>
        <v/>
      </c>
      <c r="CO14" s="141"/>
      <c r="CP14" s="142"/>
      <c r="CQ14" s="143" t="str">
        <f aca="false">IF(ISBLANK($C14),"",IF($BX14=Constants!$B$10,$BW14,""))</f>
        <v/>
      </c>
      <c r="CR14" s="142" t="str">
        <f aca="false">IF(ISBLANK($C14),"",IF($BX14&lt;&gt;Constants!$B$6,"",IF($BL14="-&gt;",2,1)))</f>
        <v/>
      </c>
      <c r="CS14" s="144" t="str">
        <f aca="false">IF(ISBLANK($C14),"",IF($BX14&lt;&gt;Constants!$B$6,"",IF($BL14="-&gt;",$BN14,$BC14)))</f>
        <v/>
      </c>
      <c r="CT14" s="144" t="str">
        <f aca="false">IF(ISBLANK($C14),"",IF($BX14&lt;&gt;Constants!$B$6,"",IF($BL14="-&gt;",$BO14,$BD14)))</f>
        <v/>
      </c>
      <c r="CU14" s="144" t="str">
        <f aca="false">IF(ISBLANK($C14),"",IF($BX14&lt;&gt;Constants!$B$6,"",IF($BL14="-&gt;",$BP14+$BQ14,$BE14+$BF14)+$CB14))</f>
        <v/>
      </c>
      <c r="CV14" s="144" t="str">
        <f aca="false">IF(ISBLANK($C14),"",IF($BX14&lt;&gt;Constants!$B$6,"",IF($BL14="-&gt;",$BR14,$BG14)+$CA14))</f>
        <v/>
      </c>
      <c r="CW14" s="145" t="str">
        <f aca="false">IF(ISBLANK($C14),"",IF($BX14&lt;&gt;Constants!$B$6,$BX14,$CC14))</f>
        <v/>
      </c>
      <c r="CX14" s="146" t="str">
        <f aca="false">IF(ISBLANK($C14),"",$BY14)</f>
        <v/>
      </c>
      <c r="CY14" s="147" t="str">
        <f aca="false">IF(ISBLANK($C14),"",$CN14)</f>
        <v/>
      </c>
      <c r="CZ14" s="147" t="str">
        <f aca="false">IF(ISBLANK($C14),"",$CM14)</f>
        <v/>
      </c>
      <c r="DA14" s="148" t="str">
        <f aca="false">IF(ISBLANK($C14),"",IFERROR(_xlfn.SWITCH($CZ14,Constants!$B$9,COUNTA($C$9:$C$508)+2,Constants!$B$8,COUNTA($C$9:$C$508)+1,Constants!$B$7,COUNTA($C$9:$C$508)),$CZ14))</f>
        <v/>
      </c>
      <c r="DB14" s="9"/>
      <c r="DC14" s="149" t="n">
        <f aca="false">IF(OR(ISNUMBER($CZ14),$CZ14=Constants!$B$9,$CZ14=Constants!$B$7,$CZ14=Constants!$B$8),1,0)</f>
        <v>0</v>
      </c>
      <c r="DD14" s="149" t="n">
        <v>6</v>
      </c>
      <c r="DE14" s="149" t="str">
        <f aca="false">IF(ISBLANK($C14),"",IF(ISNUMBER($DA14),$DA14+ROW($B14)/1000,""))</f>
        <v/>
      </c>
      <c r="DF14" s="149" t="str">
        <f aca="false">IF(ISNUMBER($DE14),RANK($DE14,$DE$9:$DE$508,1),"")</f>
        <v/>
      </c>
      <c r="DG14" s="149" t="str">
        <f aca="false">IF(ISBLANK($C14),"",$B14)</f>
        <v/>
      </c>
      <c r="DH14" s="149" t="str">
        <f aca="false">IF(ISBLANK($C14),"",$C14)</f>
        <v/>
      </c>
      <c r="DI14" s="149" t="str">
        <f aca="false">IF(ISBLANK($C14),"",$D14)</f>
        <v/>
      </c>
      <c r="DJ14" s="150" t="str">
        <f aca="false">$CX14</f>
        <v/>
      </c>
      <c r="DK14" s="151" t="str">
        <f aca="false">$CW14</f>
        <v/>
      </c>
      <c r="DL14" s="149" t="str">
        <f aca="false">IF(ISBLANK($C14),"",$CZ14)</f>
        <v/>
      </c>
      <c r="DM14" s="152" t="str">
        <f aca="false">IF($DD14&gt;$DC$8,"",VLOOKUP($DD14,$DF$9:$DL$508,7,FALSE()))</f>
        <v/>
      </c>
      <c r="DN14" s="153" t="str">
        <f aca="false">IF($DD14&gt;$DC$8,"",VLOOKUP($DD14,$DF$9:$DL$508,2,FALSE()))</f>
        <v/>
      </c>
      <c r="DO14" s="153" t="str">
        <f aca="false">IF($DD14&gt;$DC$8,"",VLOOKUP($DD14,$DF$9:$DL$508,3,FALSE()))</f>
        <v/>
      </c>
      <c r="DP14" s="153" t="str">
        <f aca="false">IF($DD14&gt;$DC$8,"",VLOOKUP($DD14,$DF$9:$DL$508,4,FALSE()))</f>
        <v/>
      </c>
      <c r="DQ14" s="153" t="str">
        <f aca="false">IF($DD14&gt;$DC$8,"",VLOOKUP($DD14,$DF$9:$DL$508,5,FALSE()))</f>
        <v/>
      </c>
      <c r="DR14" s="154" t="str">
        <f aca="false">IF($DD14&gt;$DC$8,"",VLOOKUP($DD14,$DF$9:$DL$508,6,FALSE()))</f>
        <v/>
      </c>
      <c r="DS14" s="76"/>
    </row>
    <row r="15" customFormat="false" ht="15.75" hidden="false" customHeight="false" outlineLevel="0" collapsed="false">
      <c r="A15" s="9"/>
      <c r="B15" s="114"/>
      <c r="C15" s="115"/>
      <c r="D15" s="80"/>
      <c r="E15" s="81"/>
      <c r="F15" s="116"/>
      <c r="G15" s="117"/>
      <c r="H15" s="117"/>
      <c r="I15" s="84"/>
      <c r="J15" s="85"/>
      <c r="K15" s="86"/>
      <c r="L15" s="87"/>
      <c r="M15" s="88"/>
      <c r="N15" s="85"/>
      <c r="O15" s="85"/>
      <c r="P15" s="81"/>
      <c r="Q15" s="85"/>
      <c r="R15" s="85"/>
      <c r="S15" s="86"/>
      <c r="T15" s="88"/>
      <c r="U15" s="88"/>
      <c r="V15" s="85"/>
      <c r="W15" s="85"/>
      <c r="X15" s="81"/>
      <c r="Y15" s="118"/>
      <c r="Z15" s="119"/>
      <c r="AA15" s="118"/>
      <c r="AB15" s="92"/>
      <c r="AC15" s="93"/>
      <c r="AD15" s="93"/>
      <c r="AE15" s="93"/>
      <c r="AF15" s="93" t="str">
        <f aca="false">IF(ISBLANK($C15),"",IF(E15=Constants!$B$2,TRUE(),IF(E15=Constants!$B$3,FALSE(),TRUE())))</f>
        <v/>
      </c>
      <c r="AG15" s="93" t="str">
        <f aca="false">IF(ISBLANK($C15),"",IF(F15=Constants!$B$2,TRUE(),IF(F15=Constants!$B$3,FALSE(),TRUE())))</f>
        <v/>
      </c>
      <c r="AH15" s="93" t="str">
        <f aca="false">IF(ISBLANK($C15),"",IF(G15=Constants!$B$2,TRUE(),IF(G15=Constants!$B$3,FALSE(),TRUE())))</f>
        <v/>
      </c>
      <c r="AI15" s="93" t="str">
        <f aca="false">IF(ISBLANK($C15),"",IF(AND(ISNUMBER(H15),H15&gt;=0),H15,Constants!$B$24))</f>
        <v/>
      </c>
      <c r="AJ15" s="93" t="str">
        <f aca="false">IF(ISBLANK($C15),"",IF(I15=Constants!$B$2,TRUE(),IF(I15=Constants!$B$3,FALSE(),TRUE())))</f>
        <v/>
      </c>
      <c r="AK15" s="93" t="str">
        <f aca="false">IF(ISBLANK($C15),"",IF(J15=Constants!$B$2,TRUE(),IF(J15=Constants!$B$3,FALSE(),TRUE())))</f>
        <v/>
      </c>
      <c r="AL15" s="93" t="str">
        <f aca="false">IF(ISBLANK($C15),"",IF(K15=Constants!$B$4,TRUE(),IF(K15=Constants!$B$5,FALSE(),COUNTA(L15:P15)&gt;0)))</f>
        <v/>
      </c>
      <c r="AM15" s="95" t="str">
        <f aca="false">IF(ISBLANK($C15),"",IF(ISNUMBER(L15),IF(L15&gt;=0,L15,""),""))</f>
        <v/>
      </c>
      <c r="AN15" s="94" t="str">
        <f aca="false">IF(ISBLANK($C15),"",IF(ISNUMBER(M15),IF(M15&gt;=0,M15,""),""))</f>
        <v/>
      </c>
      <c r="AO15" s="94" t="str">
        <f aca="false">IF(ISBLANK($C15),"",IF(N15=Constants!$B$2,TRUE(),IF(N15=Constants!$B$3,FALSE(),TRUE())))</f>
        <v/>
      </c>
      <c r="AP15" s="93" t="str">
        <f aca="false">IF(ISBLANK($C15),"",IF(ISNUMBER(O15),IF(O15&gt;=0,O15,""),""))</f>
        <v/>
      </c>
      <c r="AQ15" s="93" t="str">
        <f aca="false">IF(ISBLANK($C15),"",IF(P15=Constants!$B$2,TRUE(),IF(P15=Constants!$B$3,FALSE(),FALSE())))</f>
        <v/>
      </c>
      <c r="AR15" s="93" t="str">
        <f aca="false">IF(ISBLANK($C15),"",IF(Q15=Constants!$B$2,TRUE(),IF(Q15=Constants!$B$3,FALSE(),TRUE())))</f>
        <v/>
      </c>
      <c r="AS15" s="93" t="str">
        <f aca="false">IF(ISBLANK($C15),"",IF(R15=Constants!$B$2,TRUE(),IF(R15=Constants!$B$3,FALSE(),TRUE())))</f>
        <v/>
      </c>
      <c r="AT15" s="93" t="str">
        <f aca="false">IF(ISBLANK($C15),"",IF(S15=Constants!$B$4,TRUE(),IF(S15=Constants!$B$5,FALSE(),COUNTA(T15:X15)&gt;0)))</f>
        <v/>
      </c>
      <c r="AU15" s="95" t="str">
        <f aca="false">IF(ISBLANK($C15),"",IF(ISNUMBER(T15),IF(T15&gt;=0,T15,""),""))</f>
        <v/>
      </c>
      <c r="AV15" s="94" t="str">
        <f aca="false">IF(ISBLANK($C15),"",IF(ISNUMBER(U15),IF(U15&gt;=0,U15,""),""))</f>
        <v/>
      </c>
      <c r="AW15" s="94" t="str">
        <f aca="false">IF(ISBLANK($C15),"",IF(V15=Constants!$B$2,TRUE(),IF(V15=Constants!$B$3,FALSE(),TRUE())))</f>
        <v/>
      </c>
      <c r="AX15" s="93" t="str">
        <f aca="false">IF(ISBLANK($C15),"",IF(ISNUMBER(W15),IF(W15&gt;=0,W15,""),""))</f>
        <v/>
      </c>
      <c r="AY15" s="93" t="str">
        <f aca="false">IF(ISBLANK($C15),"",IF(X15=Constants!$B$2,TRUE(),IF(X15=Constants!$B$3,FALSE(),FALSE())))</f>
        <v/>
      </c>
      <c r="AZ15" s="93" t="str">
        <f aca="false">IF(ISBLANK($C15),"",MIN(Constants!$B$25,MAX(0,IF(ISNUMBER(Y15),Y15*60,0)+IF(ISNUMBER(Z15),Z15,0))))</f>
        <v/>
      </c>
      <c r="BA15" s="93" t="str">
        <f aca="false">IF(ISBLANK($C15),"",IF(AA15=Constants!$B$2,TRUE(),IF(AA15=Constants!$B$3,FALSE(),FALSE())))</f>
        <v/>
      </c>
      <c r="BB15" s="92" t="str">
        <f aca="false">IF(ISBLANK($C15),"",AND($AL15,OR($AM15="",$AN15="",AND($AO15,$AP15=""))))</f>
        <v/>
      </c>
      <c r="BC15" s="94" t="str">
        <f aca="false">IF($BX15&lt;&gt;Constants!$B$6,"",IF($AL15,Constants!$B$17*$AN15+Constants!$B$18*IF($AO15,$AP15,Constants!$B$19),Constants!$B$20))</f>
        <v/>
      </c>
      <c r="BD15" s="97" t="str">
        <f aca="false">IF($BX15&lt;&gt;Constants!$B$6,"",Constants!$B$21*ABS($AD$9-IF($AL15,$AM15,0)))</f>
        <v/>
      </c>
      <c r="BE15" s="97" t="str">
        <f aca="false">IF($BX15&lt;&gt;Constants!$B$6,"",IF(AND($AL15,$AQ15,$AO15),Constants!$B$22,0))</f>
        <v/>
      </c>
      <c r="BF15" s="97" t="str">
        <f aca="false">IF($BX15&lt;&gt;Constants!$B$6,"",IF($AL15,($AI15-Constants!$B$24)*Constants!$B$23,0))</f>
        <v/>
      </c>
      <c r="BG15" s="97" t="str">
        <f aca="false">IF($BX15&lt;&gt;Constants!$B$6,"",IF($AK15,0,Constants!$B$12)+IF($AJ15,0,Constants!$B$13)+IF($AH15,0,Constants!$B$14))</f>
        <v/>
      </c>
      <c r="BH15" s="98" t="str">
        <f aca="false">IF($BX15&lt;&gt;Constants!$B$6,"",Constants!$B$16+SUM($BC15:$BG15))</f>
        <v/>
      </c>
      <c r="BI15" s="97" t="str">
        <f aca="false">IF($BX15&lt;&gt;Constants!$B$6,"",$BC15)</f>
        <v/>
      </c>
      <c r="BJ15" s="97" t="str">
        <f aca="false">IF($BX15&lt;&gt;Constants!$B$6,"",$BD15)</f>
        <v/>
      </c>
      <c r="BK15" s="99" t="str">
        <f aca="false">IF($BX15&lt;&gt;Constants!$B$6,"",IF($AL15,$AN15,""))</f>
        <v/>
      </c>
      <c r="BL15" s="93" t="str">
        <f aca="false">IF($BX15&lt;&gt;Constants!$B$6,"",IF(OR($BS15&lt;$BH15,AND($BS15=$BH15,OR($BT15&lt;$BI15,AND($BT15=$BI15,OR($BU15&lt;$BJ15,AND($BU15=$BJ15,AND(ISNUMBER($BV15),OR(NOT(ISNUMBER($BK15)),$BV15&lt;$BK15)))))))),"-&gt;","&lt;-"))</f>
        <v/>
      </c>
      <c r="BM15" s="92" t="str">
        <f aca="false">IF(ISBLANK($C15),"",AND($AT15,OR($AU15="",$AV15="",AND($AW15,$AX15=""))))</f>
        <v/>
      </c>
      <c r="BN15" s="94" t="str">
        <f aca="false">IF($BX15&lt;&gt;Constants!$B$6,"",IF($AT15,Constants!$B$17*$AV15+Constants!$B$18*IF($AW15,$AX15,Constants!$B$19),Constants!$B$20))</f>
        <v/>
      </c>
      <c r="BO15" s="97" t="str">
        <f aca="false">IF($BX15&lt;&gt;Constants!$B$6,"",Constants!$B$21*ABS($AD$9-IF($AT15,$AU15,0)))</f>
        <v/>
      </c>
      <c r="BP15" s="97" t="str">
        <f aca="false">IF($BX15&lt;&gt;Constants!$B$6,"",IF(AND($AT15,$AY15,$AW15),Constants!$B$22,0))</f>
        <v/>
      </c>
      <c r="BQ15" s="97" t="str">
        <f aca="false">IF($BX15&lt;&gt;Constants!$B$6,"",IF($AT15,($AI15-Constants!$B$24)*Constants!$B$23,0))</f>
        <v/>
      </c>
      <c r="BR15" s="97" t="str">
        <f aca="false">IF($BX15&lt;&gt;Constants!$B$6,"",IF($AS15,0,Constants!$B$12)+IF($AR15,0,Constants!$B$13)+IF($AH15,0,Constants!$B$14))</f>
        <v/>
      </c>
      <c r="BS15" s="98" t="str">
        <f aca="false">IF($BX15&lt;&gt;Constants!$B$6,"",Constants!$B$16+SUM($BN15:$BR15))</f>
        <v/>
      </c>
      <c r="BT15" s="97" t="str">
        <f aca="false">IF($BX15&lt;&gt;Constants!$B$6,"",$BN15)</f>
        <v/>
      </c>
      <c r="BU15" s="97" t="str">
        <f aca="false">IF($BX15&lt;&gt;Constants!$B$6,"",$BO15)</f>
        <v/>
      </c>
      <c r="BV15" s="99" t="str">
        <f aca="false">IF($BX15&lt;&gt;Constants!$B$6,"",IF($AT15,$AV15,""))</f>
        <v/>
      </c>
      <c r="BW15" s="93" t="str">
        <f aca="false">IF(ISBLANK($C15),"",IF(ISBLANK($D$7),$BW$5,IF(NOT(ISNUMBER($D$7)),$BW$6,"")))</f>
        <v/>
      </c>
      <c r="BX15" s="93" t="str">
        <f aca="false">IF(ISBLANK($C15),"",IF($BA15,Constants!$B$9,IF(COUNTA($E15:$AA15)=0,Constants!$B$8,IF(NOT($AG15),Constants!$B$7,IF(OR($BW15&lt;&gt;"",$BB15,$BM15),Constants!$B$10,Constants!$B$6)))))</f>
        <v/>
      </c>
      <c r="BY15" s="93" t="str">
        <f aca="false">IF(ISBLANK($C15),"",IF($BX15&lt;&gt;Constants!$B$6,$BX15,Constants!$B$11))</f>
        <v/>
      </c>
      <c r="BZ15" s="97" t="str">
        <f aca="false">IF($BX15&lt;&gt;Constants!$B$6,"",IF($BL15="-&gt;",$BS15,$BH15))</f>
        <v/>
      </c>
      <c r="CA15" s="97" t="str">
        <f aca="false">IF($BX15&lt;&gt;Constants!$B$6,"",IF($AF15,0,Constants!$B$15))</f>
        <v/>
      </c>
      <c r="CB15" s="97" t="str">
        <f aca="false">IF($BX15&lt;&gt;Constants!$B$6,"",((Constants!$B$25-$AZ15)-Constants!$B$25)/Constants!$B$26)</f>
        <v/>
      </c>
      <c r="CC15" s="97" t="str">
        <f aca="false">IF(ISBLANK($C15),"",IF($BX15&lt;&gt;Constants!$B$6,$BX15,SUM($BZ15:$CB15)))</f>
        <v/>
      </c>
      <c r="CD15" s="93" t="str">
        <f aca="false">IF(ISBLANK($C15),"",IF($BX15&lt;&gt;Constants!$B$6,$BX15,RANK($CC15,$CC$9:$CC$508,1)))</f>
        <v/>
      </c>
      <c r="CE15" s="97" t="str">
        <f aca="false">IF($BX15&lt;&gt;Constants!$B$6,"",IF($BL15="-&gt;",$BT15,$BI15))</f>
        <v/>
      </c>
      <c r="CF15" s="93" t="str">
        <f aca="false">IF(ISBLANK($C15),"",IF($BX15&lt;&gt;Constants!$B$6,$BX15,IF(ISNUMBER($CE15),RANK($CE15,$CE$9:$CE$508,1),COUNT($CE$9:$CE$508)+1)))</f>
        <v/>
      </c>
      <c r="CG15" s="97" t="str">
        <f aca="false">IF($BX15&lt;&gt;Constants!$B$6,"",IF($BL15="-&gt;",$BU15,$BJ15))</f>
        <v/>
      </c>
      <c r="CH15" s="93" t="str">
        <f aca="false">IF(ISBLANK($C15),"",IF($BX15&lt;&gt;Constants!$B$6,$BX15,IF(ISNUMBER($CG15),RANK($CG15,$CG$9:$CG$508,1),COUNT($CG$9:$CG$508)+1)))</f>
        <v/>
      </c>
      <c r="CI15" s="97" t="str">
        <f aca="false">IF($BX15&lt;&gt;Constants!$B$6,"",IF($BL15="-&gt;",$BV15,$BK15))</f>
        <v/>
      </c>
      <c r="CJ15" s="93" t="str">
        <f aca="false">IF(ISBLANK($C15),"",IF($BX15&lt;&gt;Constants!$B$6,$BX15,IF(ISNUMBER($CI15),RANK($CI15,$CI$9:$CI$508,1),COUNT($CI$9:$CI$508)+1)))</f>
        <v/>
      </c>
      <c r="CK15" s="97" t="str">
        <f aca="false">IF($BX15&lt;&gt;Constants!$B$6,"",$AI15)</f>
        <v/>
      </c>
      <c r="CL15" s="93" t="str">
        <f aca="false">IF(ISBLANK($C15),"",IF($BX15&lt;&gt;Constants!$B$6,$BX15,IF(ISNUMBER($CK15),RANK($CK15,$CK$9:$CK$508,1),COUNT($CK$9:$CK$508)+1)))</f>
        <v/>
      </c>
      <c r="CM15" s="93" t="str">
        <f aca="false">IF(ISBLANK($C15),"",IF($BX15&lt;&gt;Constants!$B$6,$BX15,COUNTIFS($CD$9:$CD$508,"&lt;"&amp;$CD15)+COUNTIFS($CD$9:$CD$508,$CD15,$CF$9:$CF$508,"&lt;"&amp;$CF15)+COUNTIFS($CD$9:$CD$508,$CD15,$CF$9:$CF$508,$CF15,$CH$9:$CH$508,"&lt;"&amp;$CH15)+COUNTIFS($CD$9:$CD$508,$CD15,$CF$9:$CF$508,$CF15,$CH$9:$CH$508,$CH15,$CJ$9:$CJ$508,"&lt;"&amp;$CJ15)+COUNTIFS($CD$9:$CD$508,$CD15,$CF$9:$CF$508,$CF15,$CH$9:$CH$508,$CH15,$CJ$9:$CJ$508,$CJ15,$CL$9:$CL$508,"&lt;"&amp;$CL15)+1))</f>
        <v/>
      </c>
      <c r="CN15" s="93" t="str">
        <f aca="false">IF(ISBLANK($C15),"",IF($BX15&lt;&gt;Constants!$B$6,$BX15,$CD15-$CM15))</f>
        <v/>
      </c>
      <c r="CO15" s="100"/>
      <c r="CP15" s="101"/>
      <c r="CQ15" s="102" t="str">
        <f aca="false">IF(ISBLANK($C15),"",IF($BX15=Constants!$B$10,$BW15,""))</f>
        <v/>
      </c>
      <c r="CR15" s="101" t="str">
        <f aca="false">IF(ISBLANK($C15),"",IF($BX15&lt;&gt;Constants!$B$6,"",IF($BL15="-&gt;",2,1)))</f>
        <v/>
      </c>
      <c r="CS15" s="103" t="str">
        <f aca="false">IF(ISBLANK($C15),"",IF($BX15&lt;&gt;Constants!$B$6,"",IF($BL15="-&gt;",$BN15,$BC15)))</f>
        <v/>
      </c>
      <c r="CT15" s="103" t="str">
        <f aca="false">IF(ISBLANK($C15),"",IF($BX15&lt;&gt;Constants!$B$6,"",IF($BL15="-&gt;",$BO15,$BD15)))</f>
        <v/>
      </c>
      <c r="CU15" s="103" t="str">
        <f aca="false">IF(ISBLANK($C15),"",IF($BX15&lt;&gt;Constants!$B$6,"",IF($BL15="-&gt;",$BP15+$BQ15,$BE15+$BF15)+$CB15))</f>
        <v/>
      </c>
      <c r="CV15" s="103" t="str">
        <f aca="false">IF(ISBLANK($C15),"",IF($BX15&lt;&gt;Constants!$B$6,"",IF($BL15="-&gt;",$BR15,$BG15)+$CA15))</f>
        <v/>
      </c>
      <c r="CW15" s="104" t="str">
        <f aca="false">IF(ISBLANK($C15),"",IF($BX15&lt;&gt;Constants!$B$6,$BX15,$CC15))</f>
        <v/>
      </c>
      <c r="CX15" s="105" t="str">
        <f aca="false">IF(ISBLANK($C15),"",$BY15)</f>
        <v/>
      </c>
      <c r="CY15" s="106" t="str">
        <f aca="false">IF(ISBLANK($C15),"",$CN15)</f>
        <v/>
      </c>
      <c r="CZ15" s="106" t="str">
        <f aca="false">IF(ISBLANK($C15),"",$CM15)</f>
        <v/>
      </c>
      <c r="DA15" s="107" t="str">
        <f aca="false">IF(ISBLANK($C15),"",IFERROR(_xlfn.SWITCH($CZ15,Constants!$B$9,COUNTA($C$9:$C$508)+2,Constants!$B$8,COUNTA($C$9:$C$508)+1,Constants!$B$7,COUNTA($C$9:$C$508)),$CZ15))</f>
        <v/>
      </c>
      <c r="DB15" s="9"/>
      <c r="DC15" s="108" t="n">
        <f aca="false">IF(OR(ISNUMBER($CZ15),$CZ15=Constants!$B$9,$CZ15=Constants!$B$7,$CZ15=Constants!$B$8),1,0)</f>
        <v>0</v>
      </c>
      <c r="DD15" s="108" t="n">
        <v>7</v>
      </c>
      <c r="DE15" s="108" t="str">
        <f aca="false">IF(ISBLANK($C15),"",IF(ISNUMBER($DA15),$DA15+ROW($B15)/1000,""))</f>
        <v/>
      </c>
      <c r="DF15" s="108" t="str">
        <f aca="false">IF(ISNUMBER($DE15),RANK($DE15,$DE$9:$DE$508,1),"")</f>
        <v/>
      </c>
      <c r="DG15" s="108" t="str">
        <f aca="false">IF(ISBLANK($C15),"",$B15)</f>
        <v/>
      </c>
      <c r="DH15" s="108" t="str">
        <f aca="false">IF(ISBLANK($C15),"",$C15)</f>
        <v/>
      </c>
      <c r="DI15" s="108" t="str">
        <f aca="false">IF(ISBLANK($C15),"",$D15)</f>
        <v/>
      </c>
      <c r="DJ15" s="109" t="str">
        <f aca="false">$CX15</f>
        <v/>
      </c>
      <c r="DK15" s="110" t="str">
        <f aca="false">$CW15</f>
        <v/>
      </c>
      <c r="DL15" s="108" t="str">
        <f aca="false">IF(ISBLANK($C15),"",$CZ15)</f>
        <v/>
      </c>
      <c r="DM15" s="111" t="str">
        <f aca="false">IF($DD15&gt;$DC$8,"",VLOOKUP($DD15,$DF$9:$DL$508,7,FALSE()))</f>
        <v/>
      </c>
      <c r="DN15" s="112" t="str">
        <f aca="false">IF($DD15&gt;$DC$8,"",VLOOKUP($DD15,$DF$9:$DL$508,2,FALSE()))</f>
        <v/>
      </c>
      <c r="DO15" s="112" t="str">
        <f aca="false">IF($DD15&gt;$DC$8,"",VLOOKUP($DD15,$DF$9:$DL$508,3,FALSE()))</f>
        <v/>
      </c>
      <c r="DP15" s="112" t="str">
        <f aca="false">IF($DD15&gt;$DC$8,"",VLOOKUP($DD15,$DF$9:$DL$508,4,FALSE()))</f>
        <v/>
      </c>
      <c r="DQ15" s="112" t="str">
        <f aca="false">IF($DD15&gt;$DC$8,"",VLOOKUP($DD15,$DF$9:$DL$508,5,FALSE()))</f>
        <v/>
      </c>
      <c r="DR15" s="113" t="str">
        <f aca="false">IF($DD15&gt;$DC$8,"",VLOOKUP($DD15,$DF$9:$DL$508,6,FALSE()))</f>
        <v/>
      </c>
      <c r="DS15" s="76"/>
    </row>
    <row r="16" customFormat="false" ht="15.75" hidden="false" customHeight="false" outlineLevel="0" collapsed="false">
      <c r="A16" s="9"/>
      <c r="B16" s="114"/>
      <c r="C16" s="115"/>
      <c r="D16" s="80"/>
      <c r="E16" s="81"/>
      <c r="F16" s="116"/>
      <c r="G16" s="117"/>
      <c r="H16" s="117"/>
      <c r="I16" s="84"/>
      <c r="J16" s="85"/>
      <c r="K16" s="86"/>
      <c r="L16" s="87"/>
      <c r="M16" s="88"/>
      <c r="N16" s="85"/>
      <c r="O16" s="85"/>
      <c r="P16" s="81"/>
      <c r="Q16" s="85"/>
      <c r="R16" s="85"/>
      <c r="S16" s="86"/>
      <c r="T16" s="88"/>
      <c r="U16" s="88"/>
      <c r="V16" s="85"/>
      <c r="W16" s="85"/>
      <c r="X16" s="81"/>
      <c r="Y16" s="118"/>
      <c r="Z16" s="119"/>
      <c r="AA16" s="118"/>
      <c r="AB16" s="92"/>
      <c r="AC16" s="93"/>
      <c r="AD16" s="93"/>
      <c r="AE16" s="93"/>
      <c r="AF16" s="93" t="str">
        <f aca="false">IF(ISBLANK($C16),"",IF(E16=Constants!$B$2,TRUE(),IF(E16=Constants!$B$3,FALSE(),TRUE())))</f>
        <v/>
      </c>
      <c r="AG16" s="93" t="str">
        <f aca="false">IF(ISBLANK($C16),"",IF(F16=Constants!$B$2,TRUE(),IF(F16=Constants!$B$3,FALSE(),TRUE())))</f>
        <v/>
      </c>
      <c r="AH16" s="93" t="str">
        <f aca="false">IF(ISBLANK($C16),"",IF(G16=Constants!$B$2,TRUE(),IF(G16=Constants!$B$3,FALSE(),TRUE())))</f>
        <v/>
      </c>
      <c r="AI16" s="93" t="str">
        <f aca="false">IF(ISBLANK($C16),"",IF(AND(ISNUMBER(H16),H16&gt;=0),H16,Constants!$B$24))</f>
        <v/>
      </c>
      <c r="AJ16" s="93" t="str">
        <f aca="false">IF(ISBLANK($C16),"",IF(I16=Constants!$B$2,TRUE(),IF(I16=Constants!$B$3,FALSE(),TRUE())))</f>
        <v/>
      </c>
      <c r="AK16" s="93" t="str">
        <f aca="false">IF(ISBLANK($C16),"",IF(J16=Constants!$B$2,TRUE(),IF(J16=Constants!$B$3,FALSE(),TRUE())))</f>
        <v/>
      </c>
      <c r="AL16" s="93" t="str">
        <f aca="false">IF(ISBLANK($C16),"",IF(K16=Constants!$B$4,TRUE(),IF(K16=Constants!$B$5,FALSE(),COUNTA(L16:P16)&gt;0)))</f>
        <v/>
      </c>
      <c r="AM16" s="95" t="str">
        <f aca="false">IF(ISBLANK($C16),"",IF(ISNUMBER(L16),IF(L16&gt;=0,L16,""),""))</f>
        <v/>
      </c>
      <c r="AN16" s="94" t="str">
        <f aca="false">IF(ISBLANK($C16),"",IF(ISNUMBER(M16),IF(M16&gt;=0,M16,""),""))</f>
        <v/>
      </c>
      <c r="AO16" s="94" t="str">
        <f aca="false">IF(ISBLANK($C16),"",IF(N16=Constants!$B$2,TRUE(),IF(N16=Constants!$B$3,FALSE(),TRUE())))</f>
        <v/>
      </c>
      <c r="AP16" s="93" t="str">
        <f aca="false">IF(ISBLANK($C16),"",IF(ISNUMBER(O16),IF(O16&gt;=0,O16,""),""))</f>
        <v/>
      </c>
      <c r="AQ16" s="93" t="str">
        <f aca="false">IF(ISBLANK($C16),"",IF(P16=Constants!$B$2,TRUE(),IF(P16=Constants!$B$3,FALSE(),FALSE())))</f>
        <v/>
      </c>
      <c r="AR16" s="93" t="str">
        <f aca="false">IF(ISBLANK($C16),"",IF(Q16=Constants!$B$2,TRUE(),IF(Q16=Constants!$B$3,FALSE(),TRUE())))</f>
        <v/>
      </c>
      <c r="AS16" s="93" t="str">
        <f aca="false">IF(ISBLANK($C16),"",IF(R16=Constants!$B$2,TRUE(),IF(R16=Constants!$B$3,FALSE(),TRUE())))</f>
        <v/>
      </c>
      <c r="AT16" s="93" t="str">
        <f aca="false">IF(ISBLANK($C16),"",IF(S16=Constants!$B$4,TRUE(),IF(S16=Constants!$B$5,FALSE(),COUNTA(T16:X16)&gt;0)))</f>
        <v/>
      </c>
      <c r="AU16" s="95" t="str">
        <f aca="false">IF(ISBLANK($C16),"",IF(ISNUMBER(T16),IF(T16&gt;=0,T16,""),""))</f>
        <v/>
      </c>
      <c r="AV16" s="94" t="str">
        <f aca="false">IF(ISBLANK($C16),"",IF(ISNUMBER(U16),IF(U16&gt;=0,U16,""),""))</f>
        <v/>
      </c>
      <c r="AW16" s="94" t="str">
        <f aca="false">IF(ISBLANK($C16),"",IF(V16=Constants!$B$2,TRUE(),IF(V16=Constants!$B$3,FALSE(),TRUE())))</f>
        <v/>
      </c>
      <c r="AX16" s="93" t="str">
        <f aca="false">IF(ISBLANK($C16),"",IF(ISNUMBER(W16),IF(W16&gt;=0,W16,""),""))</f>
        <v/>
      </c>
      <c r="AY16" s="93" t="str">
        <f aca="false">IF(ISBLANK($C16),"",IF(X16=Constants!$B$2,TRUE(),IF(X16=Constants!$B$3,FALSE(),FALSE())))</f>
        <v/>
      </c>
      <c r="AZ16" s="93" t="str">
        <f aca="false">IF(ISBLANK($C16),"",MIN(Constants!$B$25,MAX(0,IF(ISNUMBER(Y16),Y16*60,0)+IF(ISNUMBER(Z16),Z16,0))))</f>
        <v/>
      </c>
      <c r="BA16" s="93" t="str">
        <f aca="false">IF(ISBLANK($C16),"",IF(AA16=Constants!$B$2,TRUE(),IF(AA16=Constants!$B$3,FALSE(),FALSE())))</f>
        <v/>
      </c>
      <c r="BB16" s="92" t="str">
        <f aca="false">IF(ISBLANK($C16),"",AND($AL16,OR($AM16="",$AN16="",AND($AO16,$AP16=""))))</f>
        <v/>
      </c>
      <c r="BC16" s="94" t="str">
        <f aca="false">IF($BX16&lt;&gt;Constants!$B$6,"",IF($AL16,Constants!$B$17*$AN16+Constants!$B$18*IF($AO16,$AP16,Constants!$B$19),Constants!$B$20))</f>
        <v/>
      </c>
      <c r="BD16" s="97" t="str">
        <f aca="false">IF($BX16&lt;&gt;Constants!$B$6,"",Constants!$B$21*ABS($AD$9-IF($AL16,$AM16,0)))</f>
        <v/>
      </c>
      <c r="BE16" s="97" t="str">
        <f aca="false">IF($BX16&lt;&gt;Constants!$B$6,"",IF(AND($AL16,$AQ16,$AO16),Constants!$B$22,0))</f>
        <v/>
      </c>
      <c r="BF16" s="97" t="str">
        <f aca="false">IF($BX16&lt;&gt;Constants!$B$6,"",IF($AL16,($AI16-Constants!$B$24)*Constants!$B$23,0))</f>
        <v/>
      </c>
      <c r="BG16" s="97" t="str">
        <f aca="false">IF($BX16&lt;&gt;Constants!$B$6,"",IF($AK16,0,Constants!$B$12)+IF($AJ16,0,Constants!$B$13)+IF($AH16,0,Constants!$B$14))</f>
        <v/>
      </c>
      <c r="BH16" s="98" t="str">
        <f aca="false">IF($BX16&lt;&gt;Constants!$B$6,"",Constants!$B$16+SUM($BC16:$BG16))</f>
        <v/>
      </c>
      <c r="BI16" s="97" t="str">
        <f aca="false">IF($BX16&lt;&gt;Constants!$B$6,"",$BC16)</f>
        <v/>
      </c>
      <c r="BJ16" s="97" t="str">
        <f aca="false">IF($BX16&lt;&gt;Constants!$B$6,"",$BD16)</f>
        <v/>
      </c>
      <c r="BK16" s="99" t="str">
        <f aca="false">IF($BX16&lt;&gt;Constants!$B$6,"",IF($AL16,$AN16,""))</f>
        <v/>
      </c>
      <c r="BL16" s="93" t="str">
        <f aca="false">IF($BX16&lt;&gt;Constants!$B$6,"",IF(OR($BS16&lt;$BH16,AND($BS16=$BH16,OR($BT16&lt;$BI16,AND($BT16=$BI16,OR($BU16&lt;$BJ16,AND($BU16=$BJ16,AND(ISNUMBER($BV16),OR(NOT(ISNUMBER($BK16)),$BV16&lt;$BK16)))))))),"-&gt;","&lt;-"))</f>
        <v/>
      </c>
      <c r="BM16" s="92" t="str">
        <f aca="false">IF(ISBLANK($C16),"",AND($AT16,OR($AU16="",$AV16="",AND($AW16,$AX16=""))))</f>
        <v/>
      </c>
      <c r="BN16" s="94" t="str">
        <f aca="false">IF($BX16&lt;&gt;Constants!$B$6,"",IF($AT16,Constants!$B$17*$AV16+Constants!$B$18*IF($AW16,$AX16,Constants!$B$19),Constants!$B$20))</f>
        <v/>
      </c>
      <c r="BO16" s="97" t="str">
        <f aca="false">IF($BX16&lt;&gt;Constants!$B$6,"",Constants!$B$21*ABS($AD$9-IF($AT16,$AU16,0)))</f>
        <v/>
      </c>
      <c r="BP16" s="97" t="str">
        <f aca="false">IF($BX16&lt;&gt;Constants!$B$6,"",IF(AND($AT16,$AY16,$AW16),Constants!$B$22,0))</f>
        <v/>
      </c>
      <c r="BQ16" s="97" t="str">
        <f aca="false">IF($BX16&lt;&gt;Constants!$B$6,"",IF($AT16,($AI16-Constants!$B$24)*Constants!$B$23,0))</f>
        <v/>
      </c>
      <c r="BR16" s="97" t="str">
        <f aca="false">IF($BX16&lt;&gt;Constants!$B$6,"",IF($AS16,0,Constants!$B$12)+IF($AR16,0,Constants!$B$13)+IF($AH16,0,Constants!$B$14))</f>
        <v/>
      </c>
      <c r="BS16" s="98" t="str">
        <f aca="false">IF($BX16&lt;&gt;Constants!$B$6,"",Constants!$B$16+SUM($BN16:$BR16))</f>
        <v/>
      </c>
      <c r="BT16" s="97" t="str">
        <f aca="false">IF($BX16&lt;&gt;Constants!$B$6,"",$BN16)</f>
        <v/>
      </c>
      <c r="BU16" s="97" t="str">
        <f aca="false">IF($BX16&lt;&gt;Constants!$B$6,"",$BO16)</f>
        <v/>
      </c>
      <c r="BV16" s="99" t="str">
        <f aca="false">IF($BX16&lt;&gt;Constants!$B$6,"",IF($AT16,$AV16,""))</f>
        <v/>
      </c>
      <c r="BW16" s="93" t="str">
        <f aca="false">IF(ISBLANK($C16),"",IF(ISBLANK($D$7),$BW$5,IF(NOT(ISNUMBER($D$7)),$BW$6,"")))</f>
        <v/>
      </c>
      <c r="BX16" s="93" t="str">
        <f aca="false">IF(ISBLANK($C16),"",IF($BA16,Constants!$B$9,IF(COUNTA($E16:$AA16)=0,Constants!$B$8,IF(NOT($AG16),Constants!$B$7,IF(OR($BW16&lt;&gt;"",$BB16,$BM16),Constants!$B$10,Constants!$B$6)))))</f>
        <v/>
      </c>
      <c r="BY16" s="93" t="str">
        <f aca="false">IF(ISBLANK($C16),"",IF($BX16&lt;&gt;Constants!$B$6,$BX16,Constants!$B$11))</f>
        <v/>
      </c>
      <c r="BZ16" s="97" t="str">
        <f aca="false">IF($BX16&lt;&gt;Constants!$B$6,"",IF($BL16="-&gt;",$BS16,$BH16))</f>
        <v/>
      </c>
      <c r="CA16" s="97" t="str">
        <f aca="false">IF($BX16&lt;&gt;Constants!$B$6,"",IF($AF16,0,Constants!$B$15))</f>
        <v/>
      </c>
      <c r="CB16" s="97" t="str">
        <f aca="false">IF($BX16&lt;&gt;Constants!$B$6,"",((Constants!$B$25-$AZ16)-Constants!$B$25)/Constants!$B$26)</f>
        <v/>
      </c>
      <c r="CC16" s="97" t="str">
        <f aca="false">IF(ISBLANK($C16),"",IF($BX16&lt;&gt;Constants!$B$6,$BX16,SUM($BZ16:$CB16)))</f>
        <v/>
      </c>
      <c r="CD16" s="93" t="str">
        <f aca="false">IF(ISBLANK($C16),"",IF($BX16&lt;&gt;Constants!$B$6,$BX16,RANK($CC16,$CC$9:$CC$508,1)))</f>
        <v/>
      </c>
      <c r="CE16" s="97" t="str">
        <f aca="false">IF($BX16&lt;&gt;Constants!$B$6,"",IF($BL16="-&gt;",$BT16,$BI16))</f>
        <v/>
      </c>
      <c r="CF16" s="93" t="str">
        <f aca="false">IF(ISBLANK($C16),"",IF($BX16&lt;&gt;Constants!$B$6,$BX16,IF(ISNUMBER($CE16),RANK($CE16,$CE$9:$CE$508,1),COUNT($CE$9:$CE$508)+1)))</f>
        <v/>
      </c>
      <c r="CG16" s="97" t="str">
        <f aca="false">IF($BX16&lt;&gt;Constants!$B$6,"",IF($BL16="-&gt;",$BU16,$BJ16))</f>
        <v/>
      </c>
      <c r="CH16" s="93" t="str">
        <f aca="false">IF(ISBLANK($C16),"",IF($BX16&lt;&gt;Constants!$B$6,$BX16,IF(ISNUMBER($CG16),RANK($CG16,$CG$9:$CG$508,1),COUNT($CG$9:$CG$508)+1)))</f>
        <v/>
      </c>
      <c r="CI16" s="97" t="str">
        <f aca="false">IF($BX16&lt;&gt;Constants!$B$6,"",IF($BL16="-&gt;",$BV16,$BK16))</f>
        <v/>
      </c>
      <c r="CJ16" s="93" t="str">
        <f aca="false">IF(ISBLANK($C16),"",IF($BX16&lt;&gt;Constants!$B$6,$BX16,IF(ISNUMBER($CI16),RANK($CI16,$CI$9:$CI$508,1),COUNT($CI$9:$CI$508)+1)))</f>
        <v/>
      </c>
      <c r="CK16" s="97" t="str">
        <f aca="false">IF($BX16&lt;&gt;Constants!$B$6,"",$AI16)</f>
        <v/>
      </c>
      <c r="CL16" s="93" t="str">
        <f aca="false">IF(ISBLANK($C16),"",IF($BX16&lt;&gt;Constants!$B$6,$BX16,IF(ISNUMBER($CK16),RANK($CK16,$CK$9:$CK$508,1),COUNT($CK$9:$CK$508)+1)))</f>
        <v/>
      </c>
      <c r="CM16" s="93" t="str">
        <f aca="false">IF(ISBLANK($C16),"",IF($BX16&lt;&gt;Constants!$B$6,$BX16,COUNTIFS($CD$9:$CD$508,"&lt;"&amp;$CD16)+COUNTIFS($CD$9:$CD$508,$CD16,$CF$9:$CF$508,"&lt;"&amp;$CF16)+COUNTIFS($CD$9:$CD$508,$CD16,$CF$9:$CF$508,$CF16,$CH$9:$CH$508,"&lt;"&amp;$CH16)+COUNTIFS($CD$9:$CD$508,$CD16,$CF$9:$CF$508,$CF16,$CH$9:$CH$508,$CH16,$CJ$9:$CJ$508,"&lt;"&amp;$CJ16)+COUNTIFS($CD$9:$CD$508,$CD16,$CF$9:$CF$508,$CF16,$CH$9:$CH$508,$CH16,$CJ$9:$CJ$508,$CJ16,$CL$9:$CL$508,"&lt;"&amp;$CL16)+1))</f>
        <v/>
      </c>
      <c r="CN16" s="93" t="str">
        <f aca="false">IF(ISBLANK($C16),"",IF($BX16&lt;&gt;Constants!$B$6,$BX16,$CD16-$CM16))</f>
        <v/>
      </c>
      <c r="CO16" s="100"/>
      <c r="CP16" s="101"/>
      <c r="CQ16" s="102" t="str">
        <f aca="false">IF(ISBLANK($C16),"",IF($BX16=Constants!$B$10,$BW16,""))</f>
        <v/>
      </c>
      <c r="CR16" s="101" t="str">
        <f aca="false">IF(ISBLANK($C16),"",IF($BX16&lt;&gt;Constants!$B$6,"",IF($BL16="-&gt;",2,1)))</f>
        <v/>
      </c>
      <c r="CS16" s="103" t="str">
        <f aca="false">IF(ISBLANK($C16),"",IF($BX16&lt;&gt;Constants!$B$6,"",IF($BL16="-&gt;",$BN16,$BC16)))</f>
        <v/>
      </c>
      <c r="CT16" s="103" t="str">
        <f aca="false">IF(ISBLANK($C16),"",IF($BX16&lt;&gt;Constants!$B$6,"",IF($BL16="-&gt;",$BO16,$BD16)))</f>
        <v/>
      </c>
      <c r="CU16" s="103" t="str">
        <f aca="false">IF(ISBLANK($C16),"",IF($BX16&lt;&gt;Constants!$B$6,"",IF($BL16="-&gt;",$BP16+$BQ16,$BE16+$BF16)+$CB16))</f>
        <v/>
      </c>
      <c r="CV16" s="103" t="str">
        <f aca="false">IF(ISBLANK($C16),"",IF($BX16&lt;&gt;Constants!$B$6,"",IF($BL16="-&gt;",$BR16,$BG16)+$CA16))</f>
        <v/>
      </c>
      <c r="CW16" s="104" t="str">
        <f aca="false">IF(ISBLANK($C16),"",IF($BX16&lt;&gt;Constants!$B$6,$BX16,$CC16))</f>
        <v/>
      </c>
      <c r="CX16" s="105" t="str">
        <f aca="false">IF(ISBLANK($C16),"",$BY16)</f>
        <v/>
      </c>
      <c r="CY16" s="106" t="str">
        <f aca="false">IF(ISBLANK($C16),"",$CN16)</f>
        <v/>
      </c>
      <c r="CZ16" s="106" t="str">
        <f aca="false">IF(ISBLANK($C16),"",$CM16)</f>
        <v/>
      </c>
      <c r="DA16" s="107" t="str">
        <f aca="false">IF(ISBLANK($C16),"",IFERROR(_xlfn.SWITCH($CZ16,Constants!$B$9,COUNTA($C$9:$C$508)+2,Constants!$B$8,COUNTA($C$9:$C$508)+1,Constants!$B$7,COUNTA($C$9:$C$508)),$CZ16))</f>
        <v/>
      </c>
      <c r="DB16" s="9"/>
      <c r="DC16" s="108" t="n">
        <f aca="false">IF(OR(ISNUMBER($CZ16),$CZ16=Constants!$B$9,$CZ16=Constants!$B$7,$CZ16=Constants!$B$8),1,0)</f>
        <v>0</v>
      </c>
      <c r="DD16" s="108" t="n">
        <v>8</v>
      </c>
      <c r="DE16" s="108" t="str">
        <f aca="false">IF(ISBLANK($C16),"",IF(ISNUMBER($DA16),$DA16+ROW($B16)/1000,""))</f>
        <v/>
      </c>
      <c r="DF16" s="108" t="str">
        <f aca="false">IF(ISNUMBER($DE16),RANK($DE16,$DE$9:$DE$508,1),"")</f>
        <v/>
      </c>
      <c r="DG16" s="108" t="str">
        <f aca="false">IF(ISBLANK($C16),"",$B16)</f>
        <v/>
      </c>
      <c r="DH16" s="108" t="str">
        <f aca="false">IF(ISBLANK($C16),"",$C16)</f>
        <v/>
      </c>
      <c r="DI16" s="108" t="str">
        <f aca="false">IF(ISBLANK($C16),"",$D16)</f>
        <v/>
      </c>
      <c r="DJ16" s="109" t="str">
        <f aca="false">$CX16</f>
        <v/>
      </c>
      <c r="DK16" s="110" t="str">
        <f aca="false">$CW16</f>
        <v/>
      </c>
      <c r="DL16" s="108" t="str">
        <f aca="false">IF(ISBLANK($C16),"",$CZ16)</f>
        <v/>
      </c>
      <c r="DM16" s="111" t="str">
        <f aca="false">IF($DD16&gt;$DC$8,"",VLOOKUP($DD16,$DF$9:$DL$508,7,FALSE()))</f>
        <v/>
      </c>
      <c r="DN16" s="112" t="str">
        <f aca="false">IF($DD16&gt;$DC$8,"",VLOOKUP($DD16,$DF$9:$DL$508,2,FALSE()))</f>
        <v/>
      </c>
      <c r="DO16" s="112" t="str">
        <f aca="false">IF($DD16&gt;$DC$8,"",VLOOKUP($DD16,$DF$9:$DL$508,3,FALSE()))</f>
        <v/>
      </c>
      <c r="DP16" s="112" t="str">
        <f aca="false">IF($DD16&gt;$DC$8,"",VLOOKUP($DD16,$DF$9:$DL$508,4,FALSE()))</f>
        <v/>
      </c>
      <c r="DQ16" s="112" t="str">
        <f aca="false">IF($DD16&gt;$DC$8,"",VLOOKUP($DD16,$DF$9:$DL$508,5,FALSE()))</f>
        <v/>
      </c>
      <c r="DR16" s="113" t="str">
        <f aca="false">IF($DD16&gt;$DC$8,"",VLOOKUP($DD16,$DF$9:$DL$508,6,FALSE()))</f>
        <v/>
      </c>
      <c r="DS16" s="76"/>
    </row>
    <row r="17" customFormat="false" ht="15.75" hidden="false" customHeight="false" outlineLevel="0" collapsed="false">
      <c r="A17" s="9"/>
      <c r="B17" s="114"/>
      <c r="C17" s="115"/>
      <c r="D17" s="80"/>
      <c r="E17" s="81"/>
      <c r="F17" s="116"/>
      <c r="G17" s="117"/>
      <c r="H17" s="117"/>
      <c r="I17" s="84"/>
      <c r="J17" s="85"/>
      <c r="K17" s="86"/>
      <c r="L17" s="87"/>
      <c r="M17" s="88"/>
      <c r="N17" s="85"/>
      <c r="O17" s="85"/>
      <c r="P17" s="81"/>
      <c r="Q17" s="85"/>
      <c r="R17" s="85"/>
      <c r="S17" s="86"/>
      <c r="T17" s="88"/>
      <c r="U17" s="88"/>
      <c r="V17" s="85"/>
      <c r="W17" s="85"/>
      <c r="X17" s="81"/>
      <c r="Y17" s="118"/>
      <c r="Z17" s="119"/>
      <c r="AA17" s="118"/>
      <c r="AB17" s="92"/>
      <c r="AC17" s="93"/>
      <c r="AD17" s="93"/>
      <c r="AE17" s="93"/>
      <c r="AF17" s="93" t="str">
        <f aca="false">IF(ISBLANK($C17),"",IF(E17=Constants!$B$2,TRUE(),IF(E17=Constants!$B$3,FALSE(),TRUE())))</f>
        <v/>
      </c>
      <c r="AG17" s="93" t="str">
        <f aca="false">IF(ISBLANK($C17),"",IF(F17=Constants!$B$2,TRUE(),IF(F17=Constants!$B$3,FALSE(),TRUE())))</f>
        <v/>
      </c>
      <c r="AH17" s="93" t="str">
        <f aca="false">IF(ISBLANK($C17),"",IF(G17=Constants!$B$2,TRUE(),IF(G17=Constants!$B$3,FALSE(),TRUE())))</f>
        <v/>
      </c>
      <c r="AI17" s="93" t="str">
        <f aca="false">IF(ISBLANK($C17),"",IF(AND(ISNUMBER(H17),H17&gt;=0),H17,Constants!$B$24))</f>
        <v/>
      </c>
      <c r="AJ17" s="93" t="str">
        <f aca="false">IF(ISBLANK($C17),"",IF(I17=Constants!$B$2,TRUE(),IF(I17=Constants!$B$3,FALSE(),TRUE())))</f>
        <v/>
      </c>
      <c r="AK17" s="93" t="str">
        <f aca="false">IF(ISBLANK($C17),"",IF(J17=Constants!$B$2,TRUE(),IF(J17=Constants!$B$3,FALSE(),TRUE())))</f>
        <v/>
      </c>
      <c r="AL17" s="93" t="str">
        <f aca="false">IF(ISBLANK($C17),"",IF(K17=Constants!$B$4,TRUE(),IF(K17=Constants!$B$5,FALSE(),COUNTA(L17:P17)&gt;0)))</f>
        <v/>
      </c>
      <c r="AM17" s="95" t="str">
        <f aca="false">IF(ISBLANK($C17),"",IF(ISNUMBER(L17),IF(L17&gt;=0,L17,""),""))</f>
        <v/>
      </c>
      <c r="AN17" s="94" t="str">
        <f aca="false">IF(ISBLANK($C17),"",IF(ISNUMBER(M17),IF(M17&gt;=0,M17,""),""))</f>
        <v/>
      </c>
      <c r="AO17" s="94" t="str">
        <f aca="false">IF(ISBLANK($C17),"",IF(N17=Constants!$B$2,TRUE(),IF(N17=Constants!$B$3,FALSE(),TRUE())))</f>
        <v/>
      </c>
      <c r="AP17" s="93" t="str">
        <f aca="false">IF(ISBLANK($C17),"",IF(ISNUMBER(O17),IF(O17&gt;=0,O17,""),""))</f>
        <v/>
      </c>
      <c r="AQ17" s="93" t="str">
        <f aca="false">IF(ISBLANK($C17),"",IF(P17=Constants!$B$2,TRUE(),IF(P17=Constants!$B$3,FALSE(),FALSE())))</f>
        <v/>
      </c>
      <c r="AR17" s="93" t="str">
        <f aca="false">IF(ISBLANK($C17),"",IF(Q17=Constants!$B$2,TRUE(),IF(Q17=Constants!$B$3,FALSE(),TRUE())))</f>
        <v/>
      </c>
      <c r="AS17" s="93" t="str">
        <f aca="false">IF(ISBLANK($C17),"",IF(R17=Constants!$B$2,TRUE(),IF(R17=Constants!$B$3,FALSE(),TRUE())))</f>
        <v/>
      </c>
      <c r="AT17" s="93" t="str">
        <f aca="false">IF(ISBLANK($C17),"",IF(S17=Constants!$B$4,TRUE(),IF(S17=Constants!$B$5,FALSE(),COUNTA(T17:X17)&gt;0)))</f>
        <v/>
      </c>
      <c r="AU17" s="95" t="str">
        <f aca="false">IF(ISBLANK($C17),"",IF(ISNUMBER(T17),IF(T17&gt;=0,T17,""),""))</f>
        <v/>
      </c>
      <c r="AV17" s="94" t="str">
        <f aca="false">IF(ISBLANK($C17),"",IF(ISNUMBER(U17),IF(U17&gt;=0,U17,""),""))</f>
        <v/>
      </c>
      <c r="AW17" s="94" t="str">
        <f aca="false">IF(ISBLANK($C17),"",IF(V17=Constants!$B$2,TRUE(),IF(V17=Constants!$B$3,FALSE(),TRUE())))</f>
        <v/>
      </c>
      <c r="AX17" s="93" t="str">
        <f aca="false">IF(ISBLANK($C17),"",IF(ISNUMBER(W17),IF(W17&gt;=0,W17,""),""))</f>
        <v/>
      </c>
      <c r="AY17" s="93" t="str">
        <f aca="false">IF(ISBLANK($C17),"",IF(X17=Constants!$B$2,TRUE(),IF(X17=Constants!$B$3,FALSE(),FALSE())))</f>
        <v/>
      </c>
      <c r="AZ17" s="93" t="str">
        <f aca="false">IF(ISBLANK($C17),"",MIN(Constants!$B$25,MAX(0,IF(ISNUMBER(Y17),Y17*60,0)+IF(ISNUMBER(Z17),Z17,0))))</f>
        <v/>
      </c>
      <c r="BA17" s="93" t="str">
        <f aca="false">IF(ISBLANK($C17),"",IF(AA17=Constants!$B$2,TRUE(),IF(AA17=Constants!$B$3,FALSE(),FALSE())))</f>
        <v/>
      </c>
      <c r="BB17" s="92" t="str">
        <f aca="false">IF(ISBLANK($C17),"",AND($AL17,OR($AM17="",$AN17="",AND($AO17,$AP17=""))))</f>
        <v/>
      </c>
      <c r="BC17" s="94" t="str">
        <f aca="false">IF($BX17&lt;&gt;Constants!$B$6,"",IF($AL17,Constants!$B$17*$AN17+Constants!$B$18*IF($AO17,$AP17,Constants!$B$19),Constants!$B$20))</f>
        <v/>
      </c>
      <c r="BD17" s="97" t="str">
        <f aca="false">IF($BX17&lt;&gt;Constants!$B$6,"",Constants!$B$21*ABS($AD$9-IF($AL17,$AM17,0)))</f>
        <v/>
      </c>
      <c r="BE17" s="97" t="str">
        <f aca="false">IF($BX17&lt;&gt;Constants!$B$6,"",IF(AND($AL17,$AQ17,$AO17),Constants!$B$22,0))</f>
        <v/>
      </c>
      <c r="BF17" s="97" t="str">
        <f aca="false">IF($BX17&lt;&gt;Constants!$B$6,"",IF($AL17,($AI17-Constants!$B$24)*Constants!$B$23,0))</f>
        <v/>
      </c>
      <c r="BG17" s="97" t="str">
        <f aca="false">IF($BX17&lt;&gt;Constants!$B$6,"",IF($AK17,0,Constants!$B$12)+IF($AJ17,0,Constants!$B$13)+IF($AH17,0,Constants!$B$14))</f>
        <v/>
      </c>
      <c r="BH17" s="98" t="str">
        <f aca="false">IF($BX17&lt;&gt;Constants!$B$6,"",Constants!$B$16+SUM($BC17:$BG17))</f>
        <v/>
      </c>
      <c r="BI17" s="97" t="str">
        <f aca="false">IF($BX17&lt;&gt;Constants!$B$6,"",$BC17)</f>
        <v/>
      </c>
      <c r="BJ17" s="97" t="str">
        <f aca="false">IF($BX17&lt;&gt;Constants!$B$6,"",$BD17)</f>
        <v/>
      </c>
      <c r="BK17" s="99" t="str">
        <f aca="false">IF($BX17&lt;&gt;Constants!$B$6,"",IF($AL17,$AN17,""))</f>
        <v/>
      </c>
      <c r="BL17" s="93" t="str">
        <f aca="false">IF($BX17&lt;&gt;Constants!$B$6,"",IF(OR($BS17&lt;$BH17,AND($BS17=$BH17,OR($BT17&lt;$BI17,AND($BT17=$BI17,OR($BU17&lt;$BJ17,AND($BU17=$BJ17,AND(ISNUMBER($BV17),OR(NOT(ISNUMBER($BK17)),$BV17&lt;$BK17)))))))),"-&gt;","&lt;-"))</f>
        <v/>
      </c>
      <c r="BM17" s="92" t="str">
        <f aca="false">IF(ISBLANK($C17),"",AND($AT17,OR($AU17="",$AV17="",AND($AW17,$AX17=""))))</f>
        <v/>
      </c>
      <c r="BN17" s="94" t="str">
        <f aca="false">IF($BX17&lt;&gt;Constants!$B$6,"",IF($AT17,Constants!$B$17*$AV17+Constants!$B$18*IF($AW17,$AX17,Constants!$B$19),Constants!$B$20))</f>
        <v/>
      </c>
      <c r="BO17" s="97" t="str">
        <f aca="false">IF($BX17&lt;&gt;Constants!$B$6,"",Constants!$B$21*ABS($AD$9-IF($AT17,$AU17,0)))</f>
        <v/>
      </c>
      <c r="BP17" s="97" t="str">
        <f aca="false">IF($BX17&lt;&gt;Constants!$B$6,"",IF(AND($AT17,$AY17,$AW17),Constants!$B$22,0))</f>
        <v/>
      </c>
      <c r="BQ17" s="97" t="str">
        <f aca="false">IF($BX17&lt;&gt;Constants!$B$6,"",IF($AT17,($AI17-Constants!$B$24)*Constants!$B$23,0))</f>
        <v/>
      </c>
      <c r="BR17" s="97" t="str">
        <f aca="false">IF($BX17&lt;&gt;Constants!$B$6,"",IF($AS17,0,Constants!$B$12)+IF($AR17,0,Constants!$B$13)+IF($AH17,0,Constants!$B$14))</f>
        <v/>
      </c>
      <c r="BS17" s="98" t="str">
        <f aca="false">IF($BX17&lt;&gt;Constants!$B$6,"",Constants!$B$16+SUM($BN17:$BR17))</f>
        <v/>
      </c>
      <c r="BT17" s="97" t="str">
        <f aca="false">IF($BX17&lt;&gt;Constants!$B$6,"",$BN17)</f>
        <v/>
      </c>
      <c r="BU17" s="97" t="str">
        <f aca="false">IF($BX17&lt;&gt;Constants!$B$6,"",$BO17)</f>
        <v/>
      </c>
      <c r="BV17" s="99" t="str">
        <f aca="false">IF($BX17&lt;&gt;Constants!$B$6,"",IF($AT17,$AV17,""))</f>
        <v/>
      </c>
      <c r="BW17" s="93" t="str">
        <f aca="false">IF(ISBLANK($C17),"",IF(ISBLANK($D$7),$BW$5,IF(NOT(ISNUMBER($D$7)),$BW$6,"")))</f>
        <v/>
      </c>
      <c r="BX17" s="93" t="str">
        <f aca="false">IF(ISBLANK($C17),"",IF($BA17,Constants!$B$9,IF(COUNTA($E17:$AA17)=0,Constants!$B$8,IF(NOT($AG17),Constants!$B$7,IF(OR($BW17&lt;&gt;"",$BB17,$BM17),Constants!$B$10,Constants!$B$6)))))</f>
        <v/>
      </c>
      <c r="BY17" s="93" t="str">
        <f aca="false">IF(ISBLANK($C17),"",IF($BX17&lt;&gt;Constants!$B$6,$BX17,Constants!$B$11))</f>
        <v/>
      </c>
      <c r="BZ17" s="97" t="str">
        <f aca="false">IF($BX17&lt;&gt;Constants!$B$6,"",IF($BL17="-&gt;",$BS17,$BH17))</f>
        <v/>
      </c>
      <c r="CA17" s="97" t="str">
        <f aca="false">IF($BX17&lt;&gt;Constants!$B$6,"",IF($AF17,0,Constants!$B$15))</f>
        <v/>
      </c>
      <c r="CB17" s="97" t="str">
        <f aca="false">IF($BX17&lt;&gt;Constants!$B$6,"",((Constants!$B$25-$AZ17)-Constants!$B$25)/Constants!$B$26)</f>
        <v/>
      </c>
      <c r="CC17" s="97" t="str">
        <f aca="false">IF(ISBLANK($C17),"",IF($BX17&lt;&gt;Constants!$B$6,$BX17,SUM($BZ17:$CB17)))</f>
        <v/>
      </c>
      <c r="CD17" s="93" t="str">
        <f aca="false">IF(ISBLANK($C17),"",IF($BX17&lt;&gt;Constants!$B$6,$BX17,RANK($CC17,$CC$9:$CC$508,1)))</f>
        <v/>
      </c>
      <c r="CE17" s="97" t="str">
        <f aca="false">IF($BX17&lt;&gt;Constants!$B$6,"",IF($BL17="-&gt;",$BT17,$BI17))</f>
        <v/>
      </c>
      <c r="CF17" s="93" t="str">
        <f aca="false">IF(ISBLANK($C17),"",IF($BX17&lt;&gt;Constants!$B$6,$BX17,IF(ISNUMBER($CE17),RANK($CE17,$CE$9:$CE$508,1),COUNT($CE$9:$CE$508)+1)))</f>
        <v/>
      </c>
      <c r="CG17" s="97" t="str">
        <f aca="false">IF($BX17&lt;&gt;Constants!$B$6,"",IF($BL17="-&gt;",$BU17,$BJ17))</f>
        <v/>
      </c>
      <c r="CH17" s="93" t="str">
        <f aca="false">IF(ISBLANK($C17),"",IF($BX17&lt;&gt;Constants!$B$6,$BX17,IF(ISNUMBER($CG17),RANK($CG17,$CG$9:$CG$508,1),COUNT($CG$9:$CG$508)+1)))</f>
        <v/>
      </c>
      <c r="CI17" s="97" t="str">
        <f aca="false">IF($BX17&lt;&gt;Constants!$B$6,"",IF($BL17="-&gt;",$BV17,$BK17))</f>
        <v/>
      </c>
      <c r="CJ17" s="93" t="str">
        <f aca="false">IF(ISBLANK($C17),"",IF($BX17&lt;&gt;Constants!$B$6,$BX17,IF(ISNUMBER($CI17),RANK($CI17,$CI$9:$CI$508,1),COUNT($CI$9:$CI$508)+1)))</f>
        <v/>
      </c>
      <c r="CK17" s="97" t="str">
        <f aca="false">IF($BX17&lt;&gt;Constants!$B$6,"",$AI17)</f>
        <v/>
      </c>
      <c r="CL17" s="93" t="str">
        <f aca="false">IF(ISBLANK($C17),"",IF($BX17&lt;&gt;Constants!$B$6,$BX17,IF(ISNUMBER($CK17),RANK($CK17,$CK$9:$CK$508,1),COUNT($CK$9:$CK$508)+1)))</f>
        <v/>
      </c>
      <c r="CM17" s="93" t="str">
        <f aca="false">IF(ISBLANK($C17),"",IF($BX17&lt;&gt;Constants!$B$6,$BX17,COUNTIFS($CD$9:$CD$508,"&lt;"&amp;$CD17)+COUNTIFS($CD$9:$CD$508,$CD17,$CF$9:$CF$508,"&lt;"&amp;$CF17)+COUNTIFS($CD$9:$CD$508,$CD17,$CF$9:$CF$508,$CF17,$CH$9:$CH$508,"&lt;"&amp;$CH17)+COUNTIFS($CD$9:$CD$508,$CD17,$CF$9:$CF$508,$CF17,$CH$9:$CH$508,$CH17,$CJ$9:$CJ$508,"&lt;"&amp;$CJ17)+COUNTIFS($CD$9:$CD$508,$CD17,$CF$9:$CF$508,$CF17,$CH$9:$CH$508,$CH17,$CJ$9:$CJ$508,$CJ17,$CL$9:$CL$508,"&lt;"&amp;$CL17)+1))</f>
        <v/>
      </c>
      <c r="CN17" s="93" t="str">
        <f aca="false">IF(ISBLANK($C17),"",IF($BX17&lt;&gt;Constants!$B$6,$BX17,$CD17-$CM17))</f>
        <v/>
      </c>
      <c r="CO17" s="100"/>
      <c r="CP17" s="101"/>
      <c r="CQ17" s="102" t="str">
        <f aca="false">IF(ISBLANK($C17),"",IF($BX17=Constants!$B$10,$BW17,""))</f>
        <v/>
      </c>
      <c r="CR17" s="101" t="str">
        <f aca="false">IF(ISBLANK($C17),"",IF($BX17&lt;&gt;Constants!$B$6,"",IF($BL17="-&gt;",2,1)))</f>
        <v/>
      </c>
      <c r="CS17" s="103" t="str">
        <f aca="false">IF(ISBLANK($C17),"",IF($BX17&lt;&gt;Constants!$B$6,"",IF($BL17="-&gt;",$BN17,$BC17)))</f>
        <v/>
      </c>
      <c r="CT17" s="103" t="str">
        <f aca="false">IF(ISBLANK($C17),"",IF($BX17&lt;&gt;Constants!$B$6,"",IF($BL17="-&gt;",$BO17,$BD17)))</f>
        <v/>
      </c>
      <c r="CU17" s="103" t="str">
        <f aca="false">IF(ISBLANK($C17),"",IF($BX17&lt;&gt;Constants!$B$6,"",IF($BL17="-&gt;",$BP17+$BQ17,$BE17+$BF17)+$CB17))</f>
        <v/>
      </c>
      <c r="CV17" s="103" t="str">
        <f aca="false">IF(ISBLANK($C17),"",IF($BX17&lt;&gt;Constants!$B$6,"",IF($BL17="-&gt;",$BR17,$BG17)+$CA17))</f>
        <v/>
      </c>
      <c r="CW17" s="104" t="str">
        <f aca="false">IF(ISBLANK($C17),"",IF($BX17&lt;&gt;Constants!$B$6,$BX17,$CC17))</f>
        <v/>
      </c>
      <c r="CX17" s="105" t="str">
        <f aca="false">IF(ISBLANK($C17),"",$BY17)</f>
        <v/>
      </c>
      <c r="CY17" s="106" t="str">
        <f aca="false">IF(ISBLANK($C17),"",$CN17)</f>
        <v/>
      </c>
      <c r="CZ17" s="106" t="str">
        <f aca="false">IF(ISBLANK($C17),"",$CM17)</f>
        <v/>
      </c>
      <c r="DA17" s="107" t="str">
        <f aca="false">IF(ISBLANK($C17),"",IFERROR(_xlfn.SWITCH($CZ17,Constants!$B$9,COUNTA($C$9:$C$508)+2,Constants!$B$8,COUNTA($C$9:$C$508)+1,Constants!$B$7,COUNTA($C$9:$C$508)),$CZ17))</f>
        <v/>
      </c>
      <c r="DB17" s="9"/>
      <c r="DC17" s="108" t="n">
        <f aca="false">IF(OR(ISNUMBER($CZ17),$CZ17=Constants!$B$9,$CZ17=Constants!$B$7,$CZ17=Constants!$B$8),1,0)</f>
        <v>0</v>
      </c>
      <c r="DD17" s="108" t="n">
        <v>9</v>
      </c>
      <c r="DE17" s="108" t="str">
        <f aca="false">IF(ISBLANK($C17),"",IF(ISNUMBER($DA17),$DA17+ROW($B17)/1000,""))</f>
        <v/>
      </c>
      <c r="DF17" s="108" t="str">
        <f aca="false">IF(ISNUMBER($DE17),RANK($DE17,$DE$9:$DE$508,1),"")</f>
        <v/>
      </c>
      <c r="DG17" s="108" t="str">
        <f aca="false">IF(ISBLANK($C17),"",$B17)</f>
        <v/>
      </c>
      <c r="DH17" s="108" t="str">
        <f aca="false">IF(ISBLANK($C17),"",$C17)</f>
        <v/>
      </c>
      <c r="DI17" s="108" t="str">
        <f aca="false">IF(ISBLANK($C17),"",$D17)</f>
        <v/>
      </c>
      <c r="DJ17" s="109" t="str">
        <f aca="false">$CX17</f>
        <v/>
      </c>
      <c r="DK17" s="110" t="str">
        <f aca="false">$CW17</f>
        <v/>
      </c>
      <c r="DL17" s="108" t="str">
        <f aca="false">IF(ISBLANK($C17),"",$CZ17)</f>
        <v/>
      </c>
      <c r="DM17" s="111" t="str">
        <f aca="false">IF($DD17&gt;$DC$8,"",VLOOKUP($DD17,$DF$9:$DL$508,7,FALSE()))</f>
        <v/>
      </c>
      <c r="DN17" s="112" t="str">
        <f aca="false">IF($DD17&gt;$DC$8,"",VLOOKUP($DD17,$DF$9:$DL$508,2,FALSE()))</f>
        <v/>
      </c>
      <c r="DO17" s="112" t="str">
        <f aca="false">IF($DD17&gt;$DC$8,"",VLOOKUP($DD17,$DF$9:$DL$508,3,FALSE()))</f>
        <v/>
      </c>
      <c r="DP17" s="112" t="str">
        <f aca="false">IF($DD17&gt;$DC$8,"",VLOOKUP($DD17,$DF$9:$DL$508,4,FALSE()))</f>
        <v/>
      </c>
      <c r="DQ17" s="112" t="str">
        <f aca="false">IF($DD17&gt;$DC$8,"",VLOOKUP($DD17,$DF$9:$DL$508,5,FALSE()))</f>
        <v/>
      </c>
      <c r="DR17" s="113" t="str">
        <f aca="false">IF($DD17&gt;$DC$8,"",VLOOKUP($DD17,$DF$9:$DL$508,6,FALSE()))</f>
        <v/>
      </c>
      <c r="DS17" s="76"/>
    </row>
    <row r="18" customFormat="false" ht="15.75" hidden="false" customHeight="false" outlineLevel="0" collapsed="false">
      <c r="A18" s="9"/>
      <c r="B18" s="160"/>
      <c r="C18" s="161"/>
      <c r="D18" s="162"/>
      <c r="E18" s="163"/>
      <c r="F18" s="164"/>
      <c r="G18" s="165"/>
      <c r="H18" s="165"/>
      <c r="I18" s="166"/>
      <c r="J18" s="167"/>
      <c r="K18" s="128"/>
      <c r="L18" s="129"/>
      <c r="M18" s="130"/>
      <c r="N18" s="167"/>
      <c r="O18" s="167"/>
      <c r="P18" s="163"/>
      <c r="Q18" s="167"/>
      <c r="R18" s="167"/>
      <c r="S18" s="128"/>
      <c r="T18" s="130"/>
      <c r="U18" s="130"/>
      <c r="V18" s="167"/>
      <c r="W18" s="167"/>
      <c r="X18" s="163"/>
      <c r="Y18" s="168"/>
      <c r="Z18" s="169"/>
      <c r="AA18" s="168"/>
      <c r="AB18" s="134"/>
      <c r="AC18" s="135"/>
      <c r="AD18" s="135"/>
      <c r="AE18" s="135"/>
      <c r="AF18" s="135" t="str">
        <f aca="false">IF(ISBLANK($C18),"",IF(E18=Constants!$B$2,TRUE(),IF(E18=Constants!$B$3,FALSE(),TRUE())))</f>
        <v/>
      </c>
      <c r="AG18" s="135" t="str">
        <f aca="false">IF(ISBLANK($C18),"",IF(F18=Constants!$B$2,TRUE(),IF(F18=Constants!$B$3,FALSE(),TRUE())))</f>
        <v/>
      </c>
      <c r="AH18" s="135" t="str">
        <f aca="false">IF(ISBLANK($C18),"",IF(G18=Constants!$B$2,TRUE(),IF(G18=Constants!$B$3,FALSE(),TRUE())))</f>
        <v/>
      </c>
      <c r="AI18" s="135" t="str">
        <f aca="false">IF(ISBLANK($C18),"",IF(AND(ISNUMBER(H18),H18&gt;=0),H18,Constants!$B$24))</f>
        <v/>
      </c>
      <c r="AJ18" s="135" t="str">
        <f aca="false">IF(ISBLANK($C18),"",IF(I18=Constants!$B$2,TRUE(),IF(I18=Constants!$B$3,FALSE(),TRUE())))</f>
        <v/>
      </c>
      <c r="AK18" s="135" t="str">
        <f aca="false">IF(ISBLANK($C18),"",IF(J18=Constants!$B$2,TRUE(),IF(J18=Constants!$B$3,FALSE(),TRUE())))</f>
        <v/>
      </c>
      <c r="AL18" s="135" t="str">
        <f aca="false">IF(ISBLANK($C18),"",IF(K18=Constants!$B$4,TRUE(),IF(K18=Constants!$B$5,FALSE(),COUNTA(L18:P18)&gt;0)))</f>
        <v/>
      </c>
      <c r="AM18" s="136" t="str">
        <f aca="false">IF(ISBLANK($C18),"",IF(ISNUMBER(L18),IF(L18&gt;=0,L18,""),""))</f>
        <v/>
      </c>
      <c r="AN18" s="137" t="str">
        <f aca="false">IF(ISBLANK($C18),"",IF(ISNUMBER(M18),IF(M18&gt;=0,M18,""),""))</f>
        <v/>
      </c>
      <c r="AO18" s="137" t="str">
        <f aca="false">IF(ISBLANK($C18),"",IF(N18=Constants!$B$2,TRUE(),IF(N18=Constants!$B$3,FALSE(),TRUE())))</f>
        <v/>
      </c>
      <c r="AP18" s="135" t="str">
        <f aca="false">IF(ISBLANK($C18),"",IF(ISNUMBER(O18),IF(O18&gt;=0,O18,""),""))</f>
        <v/>
      </c>
      <c r="AQ18" s="135" t="str">
        <f aca="false">IF(ISBLANK($C18),"",IF(P18=Constants!$B$2,TRUE(),IF(P18=Constants!$B$3,FALSE(),FALSE())))</f>
        <v/>
      </c>
      <c r="AR18" s="135" t="str">
        <f aca="false">IF(ISBLANK($C18),"",IF(Q18=Constants!$B$2,TRUE(),IF(Q18=Constants!$B$3,FALSE(),TRUE())))</f>
        <v/>
      </c>
      <c r="AS18" s="135" t="str">
        <f aca="false">IF(ISBLANK($C18),"",IF(R18=Constants!$B$2,TRUE(),IF(R18=Constants!$B$3,FALSE(),TRUE())))</f>
        <v/>
      </c>
      <c r="AT18" s="135" t="str">
        <f aca="false">IF(ISBLANK($C18),"",IF(S18=Constants!$B$4,TRUE(),IF(S18=Constants!$B$5,FALSE(),COUNTA(T18:X18)&gt;0)))</f>
        <v/>
      </c>
      <c r="AU18" s="136" t="str">
        <f aca="false">IF(ISBLANK($C18),"",IF(ISNUMBER(T18),IF(T18&gt;=0,T18,""),""))</f>
        <v/>
      </c>
      <c r="AV18" s="137" t="str">
        <f aca="false">IF(ISBLANK($C18),"",IF(ISNUMBER(U18),IF(U18&gt;=0,U18,""),""))</f>
        <v/>
      </c>
      <c r="AW18" s="137" t="str">
        <f aca="false">IF(ISBLANK($C18),"",IF(V18=Constants!$B$2,TRUE(),IF(V18=Constants!$B$3,FALSE(),TRUE())))</f>
        <v/>
      </c>
      <c r="AX18" s="135" t="str">
        <f aca="false">IF(ISBLANK($C18),"",IF(ISNUMBER(W18),IF(W18&gt;=0,W18,""),""))</f>
        <v/>
      </c>
      <c r="AY18" s="135" t="str">
        <f aca="false">IF(ISBLANK($C18),"",IF(X18=Constants!$B$2,TRUE(),IF(X18=Constants!$B$3,FALSE(),FALSE())))</f>
        <v/>
      </c>
      <c r="AZ18" s="135" t="str">
        <f aca="false">IF(ISBLANK($C18),"",MIN(Constants!$B$25,MAX(0,IF(ISNUMBER(Y18),Y18*60,0)+IF(ISNUMBER(Z18),Z18,0))))</f>
        <v/>
      </c>
      <c r="BA18" s="135" t="str">
        <f aca="false">IF(ISBLANK($C18),"",IF(AA18=Constants!$B$2,TRUE(),IF(AA18=Constants!$B$3,FALSE(),FALSE())))</f>
        <v/>
      </c>
      <c r="BB18" s="134" t="str">
        <f aca="false">IF(ISBLANK($C18),"",AND($AL18,OR($AM18="",$AN18="",AND($AO18,$AP18=""))))</f>
        <v/>
      </c>
      <c r="BC18" s="137" t="str">
        <f aca="false">IF($BX18&lt;&gt;Constants!$B$6,"",IF($AL18,Constants!$B$17*$AN18+Constants!$B$18*IF($AO18,$AP18,Constants!$B$19),Constants!$B$20))</f>
        <v/>
      </c>
      <c r="BD18" s="138" t="str">
        <f aca="false">IF($BX18&lt;&gt;Constants!$B$6,"",Constants!$B$21*ABS($AD$9-IF($AL18,$AM18,0)))</f>
        <v/>
      </c>
      <c r="BE18" s="138" t="str">
        <f aca="false">IF($BX18&lt;&gt;Constants!$B$6,"",IF(AND($AL18,$AQ18,$AO18),Constants!$B$22,0))</f>
        <v/>
      </c>
      <c r="BF18" s="138" t="str">
        <f aca="false">IF($BX18&lt;&gt;Constants!$B$6,"",IF($AL18,($AI18-Constants!$B$24)*Constants!$B$23,0))</f>
        <v/>
      </c>
      <c r="BG18" s="138" t="str">
        <f aca="false">IF($BX18&lt;&gt;Constants!$B$6,"",IF($AK18,0,Constants!$B$12)+IF($AJ18,0,Constants!$B$13)+IF($AH18,0,Constants!$B$14))</f>
        <v/>
      </c>
      <c r="BH18" s="139" t="str">
        <f aca="false">IF($BX18&lt;&gt;Constants!$B$6,"",Constants!$B$16+SUM($BC18:$BG18))</f>
        <v/>
      </c>
      <c r="BI18" s="138" t="str">
        <f aca="false">IF($BX18&lt;&gt;Constants!$B$6,"",$BC18)</f>
        <v/>
      </c>
      <c r="BJ18" s="138" t="str">
        <f aca="false">IF($BX18&lt;&gt;Constants!$B$6,"",$BD18)</f>
        <v/>
      </c>
      <c r="BK18" s="140" t="str">
        <f aca="false">IF($BX18&lt;&gt;Constants!$B$6,"",IF($AL18,$AN18,""))</f>
        <v/>
      </c>
      <c r="BL18" s="135" t="str">
        <f aca="false">IF($BX18&lt;&gt;Constants!$B$6,"",IF(OR($BS18&lt;$BH18,AND($BS18=$BH18,OR($BT18&lt;$BI18,AND($BT18=$BI18,OR($BU18&lt;$BJ18,AND($BU18=$BJ18,AND(ISNUMBER($BV18),OR(NOT(ISNUMBER($BK18)),$BV18&lt;$BK18)))))))),"-&gt;","&lt;-"))</f>
        <v/>
      </c>
      <c r="BM18" s="134" t="str">
        <f aca="false">IF(ISBLANK($C18),"",AND($AT18,OR($AU18="",$AV18="",AND($AW18,$AX18=""))))</f>
        <v/>
      </c>
      <c r="BN18" s="137" t="str">
        <f aca="false">IF($BX18&lt;&gt;Constants!$B$6,"",IF($AT18,Constants!$B$17*$AV18+Constants!$B$18*IF($AW18,$AX18,Constants!$B$19),Constants!$B$20))</f>
        <v/>
      </c>
      <c r="BO18" s="138" t="str">
        <f aca="false">IF($BX18&lt;&gt;Constants!$B$6,"",Constants!$B$21*ABS($AD$9-IF($AT18,$AU18,0)))</f>
        <v/>
      </c>
      <c r="BP18" s="138" t="str">
        <f aca="false">IF($BX18&lt;&gt;Constants!$B$6,"",IF(AND($AT18,$AY18,$AW18),Constants!$B$22,0))</f>
        <v/>
      </c>
      <c r="BQ18" s="138" t="str">
        <f aca="false">IF($BX18&lt;&gt;Constants!$B$6,"",IF($AT18,($AI18-Constants!$B$24)*Constants!$B$23,0))</f>
        <v/>
      </c>
      <c r="BR18" s="138" t="str">
        <f aca="false">IF($BX18&lt;&gt;Constants!$B$6,"",IF($AS18,0,Constants!$B$12)+IF($AR18,0,Constants!$B$13)+IF($AH18,0,Constants!$B$14))</f>
        <v/>
      </c>
      <c r="BS18" s="139" t="str">
        <f aca="false">IF($BX18&lt;&gt;Constants!$B$6,"",Constants!$B$16+SUM($BN18:$BR18))</f>
        <v/>
      </c>
      <c r="BT18" s="138" t="str">
        <f aca="false">IF($BX18&lt;&gt;Constants!$B$6,"",$BN18)</f>
        <v/>
      </c>
      <c r="BU18" s="138" t="str">
        <f aca="false">IF($BX18&lt;&gt;Constants!$B$6,"",$BO18)</f>
        <v/>
      </c>
      <c r="BV18" s="140" t="str">
        <f aca="false">IF($BX18&lt;&gt;Constants!$B$6,"",IF($AT18,$AV18,""))</f>
        <v/>
      </c>
      <c r="BW18" s="135" t="str">
        <f aca="false">IF(ISBLANK($C18),"",IF(ISBLANK($D$7),$BW$5,IF(NOT(ISNUMBER($D$7)),$BW$6,"")))</f>
        <v/>
      </c>
      <c r="BX18" s="135" t="str">
        <f aca="false">IF(ISBLANK($C18),"",IF($BA18,Constants!$B$9,IF(COUNTA($E18:$AA18)=0,Constants!$B$8,IF(NOT($AG18),Constants!$B$7,IF(OR($BW18&lt;&gt;"",$BB18,$BM18),Constants!$B$10,Constants!$B$6)))))</f>
        <v/>
      </c>
      <c r="BY18" s="135" t="str">
        <f aca="false">IF(ISBLANK($C18),"",IF($BX18&lt;&gt;Constants!$B$6,$BX18,Constants!$B$11))</f>
        <v/>
      </c>
      <c r="BZ18" s="138" t="str">
        <f aca="false">IF($BX18&lt;&gt;Constants!$B$6,"",IF($BL18="-&gt;",$BS18,$BH18))</f>
        <v/>
      </c>
      <c r="CA18" s="138" t="str">
        <f aca="false">IF($BX18&lt;&gt;Constants!$B$6,"",IF($AF18,0,Constants!$B$15))</f>
        <v/>
      </c>
      <c r="CB18" s="138" t="str">
        <f aca="false">IF($BX18&lt;&gt;Constants!$B$6,"",((Constants!$B$25-$AZ18)-Constants!$B$25)/Constants!$B$26)</f>
        <v/>
      </c>
      <c r="CC18" s="138" t="str">
        <f aca="false">IF(ISBLANK($C18),"",IF($BX18&lt;&gt;Constants!$B$6,$BX18,SUM($BZ18:$CB18)))</f>
        <v/>
      </c>
      <c r="CD18" s="135" t="str">
        <f aca="false">IF(ISBLANK($C18),"",IF($BX18&lt;&gt;Constants!$B$6,$BX18,RANK($CC18,$CC$9:$CC$508,1)))</f>
        <v/>
      </c>
      <c r="CE18" s="138" t="str">
        <f aca="false">IF($BX18&lt;&gt;Constants!$B$6,"",IF($BL18="-&gt;",$BT18,$BI18))</f>
        <v/>
      </c>
      <c r="CF18" s="135" t="str">
        <f aca="false">IF(ISBLANK($C18),"",IF($BX18&lt;&gt;Constants!$B$6,$BX18,IF(ISNUMBER($CE18),RANK($CE18,$CE$9:$CE$508,1),COUNT($CE$9:$CE$508)+1)))</f>
        <v/>
      </c>
      <c r="CG18" s="138" t="str">
        <f aca="false">IF($BX18&lt;&gt;Constants!$B$6,"",IF($BL18="-&gt;",$BU18,$BJ18))</f>
        <v/>
      </c>
      <c r="CH18" s="135" t="str">
        <f aca="false">IF(ISBLANK($C18),"",IF($BX18&lt;&gt;Constants!$B$6,$BX18,IF(ISNUMBER($CG18),RANK($CG18,$CG$9:$CG$508,1),COUNT($CG$9:$CG$508)+1)))</f>
        <v/>
      </c>
      <c r="CI18" s="138" t="str">
        <f aca="false">IF($BX18&lt;&gt;Constants!$B$6,"",IF($BL18="-&gt;",$BV18,$BK18))</f>
        <v/>
      </c>
      <c r="CJ18" s="135" t="str">
        <f aca="false">IF(ISBLANK($C18),"",IF($BX18&lt;&gt;Constants!$B$6,$BX18,IF(ISNUMBER($CI18),RANK($CI18,$CI$9:$CI$508,1),COUNT($CI$9:$CI$508)+1)))</f>
        <v/>
      </c>
      <c r="CK18" s="138" t="str">
        <f aca="false">IF($BX18&lt;&gt;Constants!$B$6,"",$AI18)</f>
        <v/>
      </c>
      <c r="CL18" s="135" t="str">
        <f aca="false">IF(ISBLANK($C18),"",IF($BX18&lt;&gt;Constants!$B$6,$BX18,IF(ISNUMBER($CK18),RANK($CK18,$CK$9:$CK$508,1),COUNT($CK$9:$CK$508)+1)))</f>
        <v/>
      </c>
      <c r="CM18" s="135" t="str">
        <f aca="false">IF(ISBLANK($C18),"",IF($BX18&lt;&gt;Constants!$B$6,$BX18,COUNTIFS($CD$9:$CD$508,"&lt;"&amp;$CD18)+COUNTIFS($CD$9:$CD$508,$CD18,$CF$9:$CF$508,"&lt;"&amp;$CF18)+COUNTIFS($CD$9:$CD$508,$CD18,$CF$9:$CF$508,$CF18,$CH$9:$CH$508,"&lt;"&amp;$CH18)+COUNTIFS($CD$9:$CD$508,$CD18,$CF$9:$CF$508,$CF18,$CH$9:$CH$508,$CH18,$CJ$9:$CJ$508,"&lt;"&amp;$CJ18)+COUNTIFS($CD$9:$CD$508,$CD18,$CF$9:$CF$508,$CF18,$CH$9:$CH$508,$CH18,$CJ$9:$CJ$508,$CJ18,$CL$9:$CL$508,"&lt;"&amp;$CL18)+1))</f>
        <v/>
      </c>
      <c r="CN18" s="135" t="str">
        <f aca="false">IF(ISBLANK($C18),"",IF($BX18&lt;&gt;Constants!$B$6,$BX18,$CD18-$CM18))</f>
        <v/>
      </c>
      <c r="CO18" s="141"/>
      <c r="CP18" s="142"/>
      <c r="CQ18" s="143" t="str">
        <f aca="false">IF(ISBLANK($C18),"",IF($BX18=Constants!$B$10,$BW18,""))</f>
        <v/>
      </c>
      <c r="CR18" s="142" t="str">
        <f aca="false">IF(ISBLANK($C18),"",IF($BX18&lt;&gt;Constants!$B$6,"",IF($BL18="-&gt;",2,1)))</f>
        <v/>
      </c>
      <c r="CS18" s="144" t="str">
        <f aca="false">IF(ISBLANK($C18),"",IF($BX18&lt;&gt;Constants!$B$6,"",IF($BL18="-&gt;",$BN18,$BC18)))</f>
        <v/>
      </c>
      <c r="CT18" s="144" t="str">
        <f aca="false">IF(ISBLANK($C18),"",IF($BX18&lt;&gt;Constants!$B$6,"",IF($BL18="-&gt;",$BO18,$BD18)))</f>
        <v/>
      </c>
      <c r="CU18" s="144" t="str">
        <f aca="false">IF(ISBLANK($C18),"",IF($BX18&lt;&gt;Constants!$B$6,"",IF($BL18="-&gt;",$BP18+$BQ18,$BE18+$BF18)+$CB18))</f>
        <v/>
      </c>
      <c r="CV18" s="144" t="str">
        <f aca="false">IF(ISBLANK($C18),"",IF($BX18&lt;&gt;Constants!$B$6,"",IF($BL18="-&gt;",$BR18,$BG18)+$CA18))</f>
        <v/>
      </c>
      <c r="CW18" s="145" t="str">
        <f aca="false">IF(ISBLANK($C18),"",IF($BX18&lt;&gt;Constants!$B$6,$BX18,$CC18))</f>
        <v/>
      </c>
      <c r="CX18" s="146" t="str">
        <f aca="false">IF(ISBLANK($C18),"",$BY18)</f>
        <v/>
      </c>
      <c r="CY18" s="147" t="str">
        <f aca="false">IF(ISBLANK($C18),"",$CN18)</f>
        <v/>
      </c>
      <c r="CZ18" s="147" t="str">
        <f aca="false">IF(ISBLANK($C18),"",$CM18)</f>
        <v/>
      </c>
      <c r="DA18" s="148" t="str">
        <f aca="false">IF(ISBLANK($C18),"",IFERROR(_xlfn.SWITCH($CZ18,Constants!$B$9,COUNTA($C$9:$C$508)+2,Constants!$B$8,COUNTA($C$9:$C$508)+1,Constants!$B$7,COUNTA($C$9:$C$508)),$CZ18))</f>
        <v/>
      </c>
      <c r="DB18" s="9"/>
      <c r="DC18" s="149" t="n">
        <f aca="false">IF(OR(ISNUMBER($CZ18),$CZ18=Constants!$B$9,$CZ18=Constants!$B$7,$CZ18=Constants!$B$8),1,0)</f>
        <v>0</v>
      </c>
      <c r="DD18" s="149" t="n">
        <v>10</v>
      </c>
      <c r="DE18" s="149" t="str">
        <f aca="false">IF(ISBLANK($C18),"",IF(ISNUMBER($DA18),$DA18+ROW($B18)/1000,""))</f>
        <v/>
      </c>
      <c r="DF18" s="149" t="str">
        <f aca="false">IF(ISNUMBER($DE18),RANK($DE18,$DE$9:$DE$508,1),"")</f>
        <v/>
      </c>
      <c r="DG18" s="149" t="str">
        <f aca="false">IF(ISBLANK($C18),"",$B18)</f>
        <v/>
      </c>
      <c r="DH18" s="149" t="str">
        <f aca="false">IF(ISBLANK($C18),"",$C18)</f>
        <v/>
      </c>
      <c r="DI18" s="149" t="str">
        <f aca="false">IF(ISBLANK($C18),"",$D18)</f>
        <v/>
      </c>
      <c r="DJ18" s="150" t="str">
        <f aca="false">$CX18</f>
        <v/>
      </c>
      <c r="DK18" s="151" t="str">
        <f aca="false">$CW18</f>
        <v/>
      </c>
      <c r="DL18" s="149" t="str">
        <f aca="false">IF(ISBLANK($C18),"",$CZ18)</f>
        <v/>
      </c>
      <c r="DM18" s="152" t="str">
        <f aca="false">IF($DD18&gt;$DC$8,"",VLOOKUP($DD18,$DF$9:$DL$508,7,FALSE()))</f>
        <v/>
      </c>
      <c r="DN18" s="153" t="str">
        <f aca="false">IF($DD18&gt;$DC$8,"",VLOOKUP($DD18,$DF$9:$DL$508,2,FALSE()))</f>
        <v/>
      </c>
      <c r="DO18" s="153" t="str">
        <f aca="false">IF($DD18&gt;$DC$8,"",VLOOKUP($DD18,$DF$9:$DL$508,3,FALSE()))</f>
        <v/>
      </c>
      <c r="DP18" s="153" t="str">
        <f aca="false">IF($DD18&gt;$DC$8,"",VLOOKUP($DD18,$DF$9:$DL$508,4,FALSE()))</f>
        <v/>
      </c>
      <c r="DQ18" s="153" t="str">
        <f aca="false">IF($DD18&gt;$DC$8,"",VLOOKUP($DD18,$DF$9:$DL$508,5,FALSE()))</f>
        <v/>
      </c>
      <c r="DR18" s="154" t="str">
        <f aca="false">IF($DD18&gt;$DC$8,"",VLOOKUP($DD18,$DF$9:$DL$508,6,FALSE()))</f>
        <v/>
      </c>
      <c r="DS18" s="76"/>
    </row>
    <row r="19" customFormat="false" ht="15.75" hidden="false" customHeight="false" outlineLevel="0" collapsed="false">
      <c r="A19" s="9"/>
      <c r="B19" s="160"/>
      <c r="C19" s="161"/>
      <c r="D19" s="162"/>
      <c r="E19" s="163"/>
      <c r="F19" s="164"/>
      <c r="G19" s="165"/>
      <c r="H19" s="165"/>
      <c r="I19" s="166"/>
      <c r="J19" s="167"/>
      <c r="K19" s="128"/>
      <c r="L19" s="129"/>
      <c r="M19" s="130"/>
      <c r="N19" s="167"/>
      <c r="O19" s="167"/>
      <c r="P19" s="163"/>
      <c r="Q19" s="167"/>
      <c r="R19" s="167"/>
      <c r="S19" s="128"/>
      <c r="T19" s="130"/>
      <c r="U19" s="130"/>
      <c r="V19" s="167"/>
      <c r="W19" s="167"/>
      <c r="X19" s="163"/>
      <c r="Y19" s="168"/>
      <c r="Z19" s="169"/>
      <c r="AA19" s="168"/>
      <c r="AB19" s="134"/>
      <c r="AC19" s="135"/>
      <c r="AD19" s="135"/>
      <c r="AE19" s="135"/>
      <c r="AF19" s="135" t="str">
        <f aca="false">IF(ISBLANK($C19),"",IF(E19=Constants!$B$2,TRUE(),IF(E19=Constants!$B$3,FALSE(),TRUE())))</f>
        <v/>
      </c>
      <c r="AG19" s="135" t="str">
        <f aca="false">IF(ISBLANK($C19),"",IF(F19=Constants!$B$2,TRUE(),IF(F19=Constants!$B$3,FALSE(),TRUE())))</f>
        <v/>
      </c>
      <c r="AH19" s="135" t="str">
        <f aca="false">IF(ISBLANK($C19),"",IF(G19=Constants!$B$2,TRUE(),IF(G19=Constants!$B$3,FALSE(),TRUE())))</f>
        <v/>
      </c>
      <c r="AI19" s="135" t="str">
        <f aca="false">IF(ISBLANK($C19),"",IF(AND(ISNUMBER(H19),H19&gt;=0),H19,Constants!$B$24))</f>
        <v/>
      </c>
      <c r="AJ19" s="135" t="str">
        <f aca="false">IF(ISBLANK($C19),"",IF(I19=Constants!$B$2,TRUE(),IF(I19=Constants!$B$3,FALSE(),TRUE())))</f>
        <v/>
      </c>
      <c r="AK19" s="135" t="str">
        <f aca="false">IF(ISBLANK($C19),"",IF(J19=Constants!$B$2,TRUE(),IF(J19=Constants!$B$3,FALSE(),TRUE())))</f>
        <v/>
      </c>
      <c r="AL19" s="135" t="str">
        <f aca="false">IF(ISBLANK($C19),"",IF(K19=Constants!$B$4,TRUE(),IF(K19=Constants!$B$5,FALSE(),COUNTA(L19:P19)&gt;0)))</f>
        <v/>
      </c>
      <c r="AM19" s="136" t="str">
        <f aca="false">IF(ISBLANK($C19),"",IF(ISNUMBER(L19),IF(L19&gt;=0,L19,""),""))</f>
        <v/>
      </c>
      <c r="AN19" s="137" t="str">
        <f aca="false">IF(ISBLANK($C19),"",IF(ISNUMBER(M19),IF(M19&gt;=0,M19,""),""))</f>
        <v/>
      </c>
      <c r="AO19" s="137" t="str">
        <f aca="false">IF(ISBLANK($C19),"",IF(N19=Constants!$B$2,TRUE(),IF(N19=Constants!$B$3,FALSE(),TRUE())))</f>
        <v/>
      </c>
      <c r="AP19" s="135" t="str">
        <f aca="false">IF(ISBLANK($C19),"",IF(ISNUMBER(O19),IF(O19&gt;=0,O19,""),""))</f>
        <v/>
      </c>
      <c r="AQ19" s="135" t="str">
        <f aca="false">IF(ISBLANK($C19),"",IF(P19=Constants!$B$2,TRUE(),IF(P19=Constants!$B$3,FALSE(),FALSE())))</f>
        <v/>
      </c>
      <c r="AR19" s="135" t="str">
        <f aca="false">IF(ISBLANK($C19),"",IF(Q19=Constants!$B$2,TRUE(),IF(Q19=Constants!$B$3,FALSE(),TRUE())))</f>
        <v/>
      </c>
      <c r="AS19" s="135" t="str">
        <f aca="false">IF(ISBLANK($C19),"",IF(R19=Constants!$B$2,TRUE(),IF(R19=Constants!$B$3,FALSE(),TRUE())))</f>
        <v/>
      </c>
      <c r="AT19" s="135" t="str">
        <f aca="false">IF(ISBLANK($C19),"",IF(S19=Constants!$B$4,TRUE(),IF(S19=Constants!$B$5,FALSE(),COUNTA(T19:X19)&gt;0)))</f>
        <v/>
      </c>
      <c r="AU19" s="136" t="str">
        <f aca="false">IF(ISBLANK($C19),"",IF(ISNUMBER(T19),IF(T19&gt;=0,T19,""),""))</f>
        <v/>
      </c>
      <c r="AV19" s="137" t="str">
        <f aca="false">IF(ISBLANK($C19),"",IF(ISNUMBER(U19),IF(U19&gt;=0,U19,""),""))</f>
        <v/>
      </c>
      <c r="AW19" s="137" t="str">
        <f aca="false">IF(ISBLANK($C19),"",IF(V19=Constants!$B$2,TRUE(),IF(V19=Constants!$B$3,FALSE(),TRUE())))</f>
        <v/>
      </c>
      <c r="AX19" s="135" t="str">
        <f aca="false">IF(ISBLANK($C19),"",IF(ISNUMBER(W19),IF(W19&gt;=0,W19,""),""))</f>
        <v/>
      </c>
      <c r="AY19" s="135" t="str">
        <f aca="false">IF(ISBLANK($C19),"",IF(X19=Constants!$B$2,TRUE(),IF(X19=Constants!$B$3,FALSE(),FALSE())))</f>
        <v/>
      </c>
      <c r="AZ19" s="135" t="str">
        <f aca="false">IF(ISBLANK($C19),"",MIN(Constants!$B$25,MAX(0,IF(ISNUMBER(Y19),Y19*60,0)+IF(ISNUMBER(Z19),Z19,0))))</f>
        <v/>
      </c>
      <c r="BA19" s="135" t="str">
        <f aca="false">IF(ISBLANK($C19),"",IF(AA19=Constants!$B$2,TRUE(),IF(AA19=Constants!$B$3,FALSE(),FALSE())))</f>
        <v/>
      </c>
      <c r="BB19" s="134" t="str">
        <f aca="false">IF(ISBLANK($C19),"",AND($AL19,OR($AM19="",$AN19="",AND($AO19,$AP19=""))))</f>
        <v/>
      </c>
      <c r="BC19" s="137" t="str">
        <f aca="false">IF($BX19&lt;&gt;Constants!$B$6,"",IF($AL19,Constants!$B$17*$AN19+Constants!$B$18*IF($AO19,$AP19,Constants!$B$19),Constants!$B$20))</f>
        <v/>
      </c>
      <c r="BD19" s="138" t="str">
        <f aca="false">IF($BX19&lt;&gt;Constants!$B$6,"",Constants!$B$21*ABS($AD$9-IF($AL19,$AM19,0)))</f>
        <v/>
      </c>
      <c r="BE19" s="138" t="str">
        <f aca="false">IF($BX19&lt;&gt;Constants!$B$6,"",IF(AND($AL19,$AQ19,$AO19),Constants!$B$22,0))</f>
        <v/>
      </c>
      <c r="BF19" s="138" t="str">
        <f aca="false">IF($BX19&lt;&gt;Constants!$B$6,"",IF($AL19,($AI19-Constants!$B$24)*Constants!$B$23,0))</f>
        <v/>
      </c>
      <c r="BG19" s="138" t="str">
        <f aca="false">IF($BX19&lt;&gt;Constants!$B$6,"",IF($AK19,0,Constants!$B$12)+IF($AJ19,0,Constants!$B$13)+IF($AH19,0,Constants!$B$14))</f>
        <v/>
      </c>
      <c r="BH19" s="139" t="str">
        <f aca="false">IF($BX19&lt;&gt;Constants!$B$6,"",Constants!$B$16+SUM($BC19:$BG19))</f>
        <v/>
      </c>
      <c r="BI19" s="138" t="str">
        <f aca="false">IF($BX19&lt;&gt;Constants!$B$6,"",$BC19)</f>
        <v/>
      </c>
      <c r="BJ19" s="138" t="str">
        <f aca="false">IF($BX19&lt;&gt;Constants!$B$6,"",$BD19)</f>
        <v/>
      </c>
      <c r="BK19" s="140" t="str">
        <f aca="false">IF($BX19&lt;&gt;Constants!$B$6,"",IF($AL19,$AN19,""))</f>
        <v/>
      </c>
      <c r="BL19" s="135" t="str">
        <f aca="false">IF($BX19&lt;&gt;Constants!$B$6,"",IF(OR($BS19&lt;$BH19,AND($BS19=$BH19,OR($BT19&lt;$BI19,AND($BT19=$BI19,OR($BU19&lt;$BJ19,AND($BU19=$BJ19,AND(ISNUMBER($BV19),OR(NOT(ISNUMBER($BK19)),$BV19&lt;$BK19)))))))),"-&gt;","&lt;-"))</f>
        <v/>
      </c>
      <c r="BM19" s="134" t="str">
        <f aca="false">IF(ISBLANK($C19),"",AND($AT19,OR($AU19="",$AV19="",AND($AW19,$AX19=""))))</f>
        <v/>
      </c>
      <c r="BN19" s="137" t="str">
        <f aca="false">IF($BX19&lt;&gt;Constants!$B$6,"",IF($AT19,Constants!$B$17*$AV19+Constants!$B$18*IF($AW19,$AX19,Constants!$B$19),Constants!$B$20))</f>
        <v/>
      </c>
      <c r="BO19" s="138" t="str">
        <f aca="false">IF($BX19&lt;&gt;Constants!$B$6,"",Constants!$B$21*ABS($AD$9-IF($AT19,$AU19,0)))</f>
        <v/>
      </c>
      <c r="BP19" s="138" t="str">
        <f aca="false">IF($BX19&lt;&gt;Constants!$B$6,"",IF(AND($AT19,$AY19,$AW19),Constants!$B$22,0))</f>
        <v/>
      </c>
      <c r="BQ19" s="138" t="str">
        <f aca="false">IF($BX19&lt;&gt;Constants!$B$6,"",IF($AT19,($AI19-Constants!$B$24)*Constants!$B$23,0))</f>
        <v/>
      </c>
      <c r="BR19" s="138" t="str">
        <f aca="false">IF($BX19&lt;&gt;Constants!$B$6,"",IF($AS19,0,Constants!$B$12)+IF($AR19,0,Constants!$B$13)+IF($AH19,0,Constants!$B$14))</f>
        <v/>
      </c>
      <c r="BS19" s="139" t="str">
        <f aca="false">IF($BX19&lt;&gt;Constants!$B$6,"",Constants!$B$16+SUM($BN19:$BR19))</f>
        <v/>
      </c>
      <c r="BT19" s="138" t="str">
        <f aca="false">IF($BX19&lt;&gt;Constants!$B$6,"",$BN19)</f>
        <v/>
      </c>
      <c r="BU19" s="138" t="str">
        <f aca="false">IF($BX19&lt;&gt;Constants!$B$6,"",$BO19)</f>
        <v/>
      </c>
      <c r="BV19" s="140" t="str">
        <f aca="false">IF($BX19&lt;&gt;Constants!$B$6,"",IF($AT19,$AV19,""))</f>
        <v/>
      </c>
      <c r="BW19" s="135" t="str">
        <f aca="false">IF(ISBLANK($C19),"",IF(ISBLANK($D$7),$BW$5,IF(NOT(ISNUMBER($D$7)),$BW$6,"")))</f>
        <v/>
      </c>
      <c r="BX19" s="135" t="str">
        <f aca="false">IF(ISBLANK($C19),"",IF($BA19,Constants!$B$9,IF(COUNTA($E19:$AA19)=0,Constants!$B$8,IF(NOT($AG19),Constants!$B$7,IF(OR($BW19&lt;&gt;"",$BB19,$BM19),Constants!$B$10,Constants!$B$6)))))</f>
        <v/>
      </c>
      <c r="BY19" s="135" t="str">
        <f aca="false">IF(ISBLANK($C19),"",IF($BX19&lt;&gt;Constants!$B$6,$BX19,Constants!$B$11))</f>
        <v/>
      </c>
      <c r="BZ19" s="138" t="str">
        <f aca="false">IF($BX19&lt;&gt;Constants!$B$6,"",IF($BL19="-&gt;",$BS19,$BH19))</f>
        <v/>
      </c>
      <c r="CA19" s="138" t="str">
        <f aca="false">IF($BX19&lt;&gt;Constants!$B$6,"",IF($AF19,0,Constants!$B$15))</f>
        <v/>
      </c>
      <c r="CB19" s="138" t="str">
        <f aca="false">IF($BX19&lt;&gt;Constants!$B$6,"",((Constants!$B$25-$AZ19)-Constants!$B$25)/Constants!$B$26)</f>
        <v/>
      </c>
      <c r="CC19" s="138" t="str">
        <f aca="false">IF(ISBLANK($C19),"",IF($BX19&lt;&gt;Constants!$B$6,$BX19,SUM($BZ19:$CB19)))</f>
        <v/>
      </c>
      <c r="CD19" s="135" t="str">
        <f aca="false">IF(ISBLANK($C19),"",IF($BX19&lt;&gt;Constants!$B$6,$BX19,RANK($CC19,$CC$9:$CC$508,1)))</f>
        <v/>
      </c>
      <c r="CE19" s="138" t="str">
        <f aca="false">IF($BX19&lt;&gt;Constants!$B$6,"",IF($BL19="-&gt;",$BT19,$BI19))</f>
        <v/>
      </c>
      <c r="CF19" s="135" t="str">
        <f aca="false">IF(ISBLANK($C19),"",IF($BX19&lt;&gt;Constants!$B$6,$BX19,IF(ISNUMBER($CE19),RANK($CE19,$CE$9:$CE$508,1),COUNT($CE$9:$CE$508)+1)))</f>
        <v/>
      </c>
      <c r="CG19" s="138" t="str">
        <f aca="false">IF($BX19&lt;&gt;Constants!$B$6,"",IF($BL19="-&gt;",$BU19,$BJ19))</f>
        <v/>
      </c>
      <c r="CH19" s="135" t="str">
        <f aca="false">IF(ISBLANK($C19),"",IF($BX19&lt;&gt;Constants!$B$6,$BX19,IF(ISNUMBER($CG19),RANK($CG19,$CG$9:$CG$508,1),COUNT($CG$9:$CG$508)+1)))</f>
        <v/>
      </c>
      <c r="CI19" s="138" t="str">
        <f aca="false">IF($BX19&lt;&gt;Constants!$B$6,"",IF($BL19="-&gt;",$BV19,$BK19))</f>
        <v/>
      </c>
      <c r="CJ19" s="135" t="str">
        <f aca="false">IF(ISBLANK($C19),"",IF($BX19&lt;&gt;Constants!$B$6,$BX19,IF(ISNUMBER($CI19),RANK($CI19,$CI$9:$CI$508,1),COUNT($CI$9:$CI$508)+1)))</f>
        <v/>
      </c>
      <c r="CK19" s="138" t="str">
        <f aca="false">IF($BX19&lt;&gt;Constants!$B$6,"",$AI19)</f>
        <v/>
      </c>
      <c r="CL19" s="135" t="str">
        <f aca="false">IF(ISBLANK($C19),"",IF($BX19&lt;&gt;Constants!$B$6,$BX19,IF(ISNUMBER($CK19),RANK($CK19,$CK$9:$CK$508,1),COUNT($CK$9:$CK$508)+1)))</f>
        <v/>
      </c>
      <c r="CM19" s="135" t="str">
        <f aca="false">IF(ISBLANK($C19),"",IF($BX19&lt;&gt;Constants!$B$6,$BX19,COUNTIFS($CD$9:$CD$508,"&lt;"&amp;$CD19)+COUNTIFS($CD$9:$CD$508,$CD19,$CF$9:$CF$508,"&lt;"&amp;$CF19)+COUNTIFS($CD$9:$CD$508,$CD19,$CF$9:$CF$508,$CF19,$CH$9:$CH$508,"&lt;"&amp;$CH19)+COUNTIFS($CD$9:$CD$508,$CD19,$CF$9:$CF$508,$CF19,$CH$9:$CH$508,$CH19,$CJ$9:$CJ$508,"&lt;"&amp;$CJ19)+COUNTIFS($CD$9:$CD$508,$CD19,$CF$9:$CF$508,$CF19,$CH$9:$CH$508,$CH19,$CJ$9:$CJ$508,$CJ19,$CL$9:$CL$508,"&lt;"&amp;$CL19)+1))</f>
        <v/>
      </c>
      <c r="CN19" s="135" t="str">
        <f aca="false">IF(ISBLANK($C19),"",IF($BX19&lt;&gt;Constants!$B$6,$BX19,$CD19-$CM19))</f>
        <v/>
      </c>
      <c r="CO19" s="141"/>
      <c r="CP19" s="142"/>
      <c r="CQ19" s="143" t="str">
        <f aca="false">IF(ISBLANK($C19),"",IF($BX19=Constants!$B$10,$BW19,""))</f>
        <v/>
      </c>
      <c r="CR19" s="142" t="str">
        <f aca="false">IF(ISBLANK($C19),"",IF($BX19&lt;&gt;Constants!$B$6,"",IF($BL19="-&gt;",2,1)))</f>
        <v/>
      </c>
      <c r="CS19" s="144" t="str">
        <f aca="false">IF(ISBLANK($C19),"",IF($BX19&lt;&gt;Constants!$B$6,"",IF($BL19="-&gt;",$BN19,$BC19)))</f>
        <v/>
      </c>
      <c r="CT19" s="144" t="str">
        <f aca="false">IF(ISBLANK($C19),"",IF($BX19&lt;&gt;Constants!$B$6,"",IF($BL19="-&gt;",$BO19,$BD19)))</f>
        <v/>
      </c>
      <c r="CU19" s="144" t="str">
        <f aca="false">IF(ISBLANK($C19),"",IF($BX19&lt;&gt;Constants!$B$6,"",IF($BL19="-&gt;",$BP19+$BQ19,$BE19+$BF19)+$CB19))</f>
        <v/>
      </c>
      <c r="CV19" s="144" t="str">
        <f aca="false">IF(ISBLANK($C19),"",IF($BX19&lt;&gt;Constants!$B$6,"",IF($BL19="-&gt;",$BR19,$BG19)+$CA19))</f>
        <v/>
      </c>
      <c r="CW19" s="145" t="str">
        <f aca="false">IF(ISBLANK($C19),"",IF($BX19&lt;&gt;Constants!$B$6,$BX19,$CC19))</f>
        <v/>
      </c>
      <c r="CX19" s="146" t="str">
        <f aca="false">IF(ISBLANK($C19),"",$BY19)</f>
        <v/>
      </c>
      <c r="CY19" s="147" t="str">
        <f aca="false">IF(ISBLANK($C19),"",$CN19)</f>
        <v/>
      </c>
      <c r="CZ19" s="147" t="str">
        <f aca="false">IF(ISBLANK($C19),"",$CM19)</f>
        <v/>
      </c>
      <c r="DA19" s="148" t="str">
        <f aca="false">IF(ISBLANK($C19),"",IFERROR(_xlfn.SWITCH($CZ19,Constants!$B$9,COUNTA($C$9:$C$508)+2,Constants!$B$8,COUNTA($C$9:$C$508)+1,Constants!$B$7,COUNTA($C$9:$C$508)),$CZ19))</f>
        <v/>
      </c>
      <c r="DB19" s="9"/>
      <c r="DC19" s="149" t="n">
        <f aca="false">IF(OR(ISNUMBER($CZ19),$CZ19=Constants!$B$9,$CZ19=Constants!$B$7,$CZ19=Constants!$B$8),1,0)</f>
        <v>0</v>
      </c>
      <c r="DD19" s="149" t="n">
        <v>11</v>
      </c>
      <c r="DE19" s="149" t="str">
        <f aca="false">IF(ISBLANK($C19),"",IF(ISNUMBER($DA19),$DA19+ROW($B19)/1000,""))</f>
        <v/>
      </c>
      <c r="DF19" s="149" t="str">
        <f aca="false">IF(ISNUMBER($DE19),RANK($DE19,$DE$9:$DE$508,1),"")</f>
        <v/>
      </c>
      <c r="DG19" s="149" t="str">
        <f aca="false">IF(ISBLANK($C19),"",$B19)</f>
        <v/>
      </c>
      <c r="DH19" s="149" t="str">
        <f aca="false">IF(ISBLANK($C19),"",$C19)</f>
        <v/>
      </c>
      <c r="DI19" s="149" t="str">
        <f aca="false">IF(ISBLANK($C19),"",$D19)</f>
        <v/>
      </c>
      <c r="DJ19" s="150" t="str">
        <f aca="false">$CX19</f>
        <v/>
      </c>
      <c r="DK19" s="151" t="str">
        <f aca="false">$CW19</f>
        <v/>
      </c>
      <c r="DL19" s="149" t="str">
        <f aca="false">IF(ISBLANK($C19),"",$CZ19)</f>
        <v/>
      </c>
      <c r="DM19" s="152" t="str">
        <f aca="false">IF($DD19&gt;$DC$8,"",VLOOKUP($DD19,$DF$9:$DL$508,7,FALSE()))</f>
        <v/>
      </c>
      <c r="DN19" s="153" t="str">
        <f aca="false">IF($DD19&gt;$DC$8,"",VLOOKUP($DD19,$DF$9:$DL$508,2,FALSE()))</f>
        <v/>
      </c>
      <c r="DO19" s="153" t="str">
        <f aca="false">IF($DD19&gt;$DC$8,"",VLOOKUP($DD19,$DF$9:$DL$508,3,FALSE()))</f>
        <v/>
      </c>
      <c r="DP19" s="153" t="str">
        <f aca="false">IF($DD19&gt;$DC$8,"",VLOOKUP($DD19,$DF$9:$DL$508,4,FALSE()))</f>
        <v/>
      </c>
      <c r="DQ19" s="153" t="str">
        <f aca="false">IF($DD19&gt;$DC$8,"",VLOOKUP($DD19,$DF$9:$DL$508,5,FALSE()))</f>
        <v/>
      </c>
      <c r="DR19" s="154" t="str">
        <f aca="false">IF($DD19&gt;$DC$8,"",VLOOKUP($DD19,$DF$9:$DL$508,6,FALSE()))</f>
        <v/>
      </c>
      <c r="DS19" s="76"/>
    </row>
    <row r="20" customFormat="false" ht="15.75" hidden="false" customHeight="false" outlineLevel="0" collapsed="false">
      <c r="A20" s="9"/>
      <c r="B20" s="160"/>
      <c r="C20" s="161"/>
      <c r="D20" s="162"/>
      <c r="E20" s="163"/>
      <c r="F20" s="164"/>
      <c r="G20" s="165"/>
      <c r="H20" s="165"/>
      <c r="I20" s="166"/>
      <c r="J20" s="167"/>
      <c r="K20" s="128"/>
      <c r="L20" s="129"/>
      <c r="M20" s="130"/>
      <c r="N20" s="167"/>
      <c r="O20" s="167"/>
      <c r="P20" s="163"/>
      <c r="Q20" s="167"/>
      <c r="R20" s="167"/>
      <c r="S20" s="128"/>
      <c r="T20" s="130"/>
      <c r="U20" s="130"/>
      <c r="V20" s="167"/>
      <c r="W20" s="167"/>
      <c r="X20" s="163"/>
      <c r="Y20" s="168"/>
      <c r="Z20" s="169"/>
      <c r="AA20" s="168"/>
      <c r="AB20" s="134"/>
      <c r="AC20" s="135"/>
      <c r="AD20" s="135"/>
      <c r="AE20" s="135"/>
      <c r="AF20" s="135" t="str">
        <f aca="false">IF(ISBLANK($C20),"",IF(E20=Constants!$B$2,TRUE(),IF(E20=Constants!$B$3,FALSE(),TRUE())))</f>
        <v/>
      </c>
      <c r="AG20" s="135" t="str">
        <f aca="false">IF(ISBLANK($C20),"",IF(F20=Constants!$B$2,TRUE(),IF(F20=Constants!$B$3,FALSE(),TRUE())))</f>
        <v/>
      </c>
      <c r="AH20" s="135" t="str">
        <f aca="false">IF(ISBLANK($C20),"",IF(G20=Constants!$B$2,TRUE(),IF(G20=Constants!$B$3,FALSE(),TRUE())))</f>
        <v/>
      </c>
      <c r="AI20" s="135" t="str">
        <f aca="false">IF(ISBLANK($C20),"",IF(AND(ISNUMBER(H20),H20&gt;=0),H20,Constants!$B$24))</f>
        <v/>
      </c>
      <c r="AJ20" s="135" t="str">
        <f aca="false">IF(ISBLANK($C20),"",IF(I20=Constants!$B$2,TRUE(),IF(I20=Constants!$B$3,FALSE(),TRUE())))</f>
        <v/>
      </c>
      <c r="AK20" s="135" t="str">
        <f aca="false">IF(ISBLANK($C20),"",IF(J20=Constants!$B$2,TRUE(),IF(J20=Constants!$B$3,FALSE(),TRUE())))</f>
        <v/>
      </c>
      <c r="AL20" s="135" t="str">
        <f aca="false">IF(ISBLANK($C20),"",IF(K20=Constants!$B$4,TRUE(),IF(K20=Constants!$B$5,FALSE(),COUNTA(L20:P20)&gt;0)))</f>
        <v/>
      </c>
      <c r="AM20" s="136" t="str">
        <f aca="false">IF(ISBLANK($C20),"",IF(ISNUMBER(L20),IF(L20&gt;=0,L20,""),""))</f>
        <v/>
      </c>
      <c r="AN20" s="137" t="str">
        <f aca="false">IF(ISBLANK($C20),"",IF(ISNUMBER(M20),IF(M20&gt;=0,M20,""),""))</f>
        <v/>
      </c>
      <c r="AO20" s="137" t="str">
        <f aca="false">IF(ISBLANK($C20),"",IF(N20=Constants!$B$2,TRUE(),IF(N20=Constants!$B$3,FALSE(),TRUE())))</f>
        <v/>
      </c>
      <c r="AP20" s="135" t="str">
        <f aca="false">IF(ISBLANK($C20),"",IF(ISNUMBER(O20),IF(O20&gt;=0,O20,""),""))</f>
        <v/>
      </c>
      <c r="AQ20" s="135" t="str">
        <f aca="false">IF(ISBLANK($C20),"",IF(P20=Constants!$B$2,TRUE(),IF(P20=Constants!$B$3,FALSE(),FALSE())))</f>
        <v/>
      </c>
      <c r="AR20" s="135" t="str">
        <f aca="false">IF(ISBLANK($C20),"",IF(Q20=Constants!$B$2,TRUE(),IF(Q20=Constants!$B$3,FALSE(),TRUE())))</f>
        <v/>
      </c>
      <c r="AS20" s="135" t="str">
        <f aca="false">IF(ISBLANK($C20),"",IF(R20=Constants!$B$2,TRUE(),IF(R20=Constants!$B$3,FALSE(),TRUE())))</f>
        <v/>
      </c>
      <c r="AT20" s="135" t="str">
        <f aca="false">IF(ISBLANK($C20),"",IF(S20=Constants!$B$4,TRUE(),IF(S20=Constants!$B$5,FALSE(),COUNTA(T20:X20)&gt;0)))</f>
        <v/>
      </c>
      <c r="AU20" s="136" t="str">
        <f aca="false">IF(ISBLANK($C20),"",IF(ISNUMBER(T20),IF(T20&gt;=0,T20,""),""))</f>
        <v/>
      </c>
      <c r="AV20" s="137" t="str">
        <f aca="false">IF(ISBLANK($C20),"",IF(ISNUMBER(U20),IF(U20&gt;=0,U20,""),""))</f>
        <v/>
      </c>
      <c r="AW20" s="137" t="str">
        <f aca="false">IF(ISBLANK($C20),"",IF(V20=Constants!$B$2,TRUE(),IF(V20=Constants!$B$3,FALSE(),TRUE())))</f>
        <v/>
      </c>
      <c r="AX20" s="135" t="str">
        <f aca="false">IF(ISBLANK($C20),"",IF(ISNUMBER(W20),IF(W20&gt;=0,W20,""),""))</f>
        <v/>
      </c>
      <c r="AY20" s="135" t="str">
        <f aca="false">IF(ISBLANK($C20),"",IF(X20=Constants!$B$2,TRUE(),IF(X20=Constants!$B$3,FALSE(),FALSE())))</f>
        <v/>
      </c>
      <c r="AZ20" s="135" t="str">
        <f aca="false">IF(ISBLANK($C20),"",MIN(Constants!$B$25,MAX(0,IF(ISNUMBER(Y20),Y20*60,0)+IF(ISNUMBER(Z20),Z20,0))))</f>
        <v/>
      </c>
      <c r="BA20" s="135" t="str">
        <f aca="false">IF(ISBLANK($C20),"",IF(AA20=Constants!$B$2,TRUE(),IF(AA20=Constants!$B$3,FALSE(),FALSE())))</f>
        <v/>
      </c>
      <c r="BB20" s="134" t="str">
        <f aca="false">IF(ISBLANK($C20),"",AND($AL20,OR($AM20="",$AN20="",AND($AO20,$AP20=""))))</f>
        <v/>
      </c>
      <c r="BC20" s="137" t="str">
        <f aca="false">IF($BX20&lt;&gt;Constants!$B$6,"",IF($AL20,Constants!$B$17*$AN20+Constants!$B$18*IF($AO20,$AP20,Constants!$B$19),Constants!$B$20))</f>
        <v/>
      </c>
      <c r="BD20" s="138" t="str">
        <f aca="false">IF($BX20&lt;&gt;Constants!$B$6,"",Constants!$B$21*ABS($AD$9-IF($AL20,$AM20,0)))</f>
        <v/>
      </c>
      <c r="BE20" s="138" t="str">
        <f aca="false">IF($BX20&lt;&gt;Constants!$B$6,"",IF(AND($AL20,$AQ20,$AO20),Constants!$B$22,0))</f>
        <v/>
      </c>
      <c r="BF20" s="138" t="str">
        <f aca="false">IF($BX20&lt;&gt;Constants!$B$6,"",IF($AL20,($AI20-Constants!$B$24)*Constants!$B$23,0))</f>
        <v/>
      </c>
      <c r="BG20" s="138" t="str">
        <f aca="false">IF($BX20&lt;&gt;Constants!$B$6,"",IF($AK20,0,Constants!$B$12)+IF($AJ20,0,Constants!$B$13)+IF($AH20,0,Constants!$B$14))</f>
        <v/>
      </c>
      <c r="BH20" s="139" t="str">
        <f aca="false">IF($BX20&lt;&gt;Constants!$B$6,"",Constants!$B$16+SUM($BC20:$BG20))</f>
        <v/>
      </c>
      <c r="BI20" s="138" t="str">
        <f aca="false">IF($BX20&lt;&gt;Constants!$B$6,"",$BC20)</f>
        <v/>
      </c>
      <c r="BJ20" s="138" t="str">
        <f aca="false">IF($BX20&lt;&gt;Constants!$B$6,"",$BD20)</f>
        <v/>
      </c>
      <c r="BK20" s="140" t="str">
        <f aca="false">IF($BX20&lt;&gt;Constants!$B$6,"",IF($AL20,$AN20,""))</f>
        <v/>
      </c>
      <c r="BL20" s="135" t="str">
        <f aca="false">IF($BX20&lt;&gt;Constants!$B$6,"",IF(OR($BS20&lt;$BH20,AND($BS20=$BH20,OR($BT20&lt;$BI20,AND($BT20=$BI20,OR($BU20&lt;$BJ20,AND($BU20=$BJ20,AND(ISNUMBER($BV20),OR(NOT(ISNUMBER($BK20)),$BV20&lt;$BK20)))))))),"-&gt;","&lt;-"))</f>
        <v/>
      </c>
      <c r="BM20" s="134" t="str">
        <f aca="false">IF(ISBLANK($C20),"",AND($AT20,OR($AU20="",$AV20="",AND($AW20,$AX20=""))))</f>
        <v/>
      </c>
      <c r="BN20" s="137" t="str">
        <f aca="false">IF($BX20&lt;&gt;Constants!$B$6,"",IF($AT20,Constants!$B$17*$AV20+Constants!$B$18*IF($AW20,$AX20,Constants!$B$19),Constants!$B$20))</f>
        <v/>
      </c>
      <c r="BO20" s="138" t="str">
        <f aca="false">IF($BX20&lt;&gt;Constants!$B$6,"",Constants!$B$21*ABS($AD$9-IF($AT20,$AU20,0)))</f>
        <v/>
      </c>
      <c r="BP20" s="138" t="str">
        <f aca="false">IF($BX20&lt;&gt;Constants!$B$6,"",IF(AND($AT20,$AY20,$AW20),Constants!$B$22,0))</f>
        <v/>
      </c>
      <c r="BQ20" s="138" t="str">
        <f aca="false">IF($BX20&lt;&gt;Constants!$B$6,"",IF($AT20,($AI20-Constants!$B$24)*Constants!$B$23,0))</f>
        <v/>
      </c>
      <c r="BR20" s="138" t="str">
        <f aca="false">IF($BX20&lt;&gt;Constants!$B$6,"",IF($AS20,0,Constants!$B$12)+IF($AR20,0,Constants!$B$13)+IF($AH20,0,Constants!$B$14))</f>
        <v/>
      </c>
      <c r="BS20" s="139" t="str">
        <f aca="false">IF($BX20&lt;&gt;Constants!$B$6,"",Constants!$B$16+SUM($BN20:$BR20))</f>
        <v/>
      </c>
      <c r="BT20" s="138" t="str">
        <f aca="false">IF($BX20&lt;&gt;Constants!$B$6,"",$BN20)</f>
        <v/>
      </c>
      <c r="BU20" s="138" t="str">
        <f aca="false">IF($BX20&lt;&gt;Constants!$B$6,"",$BO20)</f>
        <v/>
      </c>
      <c r="BV20" s="140" t="str">
        <f aca="false">IF($BX20&lt;&gt;Constants!$B$6,"",IF($AT20,$AV20,""))</f>
        <v/>
      </c>
      <c r="BW20" s="135" t="str">
        <f aca="false">IF(ISBLANK($C20),"",IF(ISBLANK($D$7),$BW$5,IF(NOT(ISNUMBER($D$7)),$BW$6,"")))</f>
        <v/>
      </c>
      <c r="BX20" s="135" t="str">
        <f aca="false">IF(ISBLANK($C20),"",IF($BA20,Constants!$B$9,IF(COUNTA($E20:$AA20)=0,Constants!$B$8,IF(NOT($AG20),Constants!$B$7,IF(OR($BW20&lt;&gt;"",$BB20,$BM20),Constants!$B$10,Constants!$B$6)))))</f>
        <v/>
      </c>
      <c r="BY20" s="135" t="str">
        <f aca="false">IF(ISBLANK($C20),"",IF($BX20&lt;&gt;Constants!$B$6,$BX20,Constants!$B$11))</f>
        <v/>
      </c>
      <c r="BZ20" s="138" t="str">
        <f aca="false">IF($BX20&lt;&gt;Constants!$B$6,"",IF($BL20="-&gt;",$BS20,$BH20))</f>
        <v/>
      </c>
      <c r="CA20" s="138" t="str">
        <f aca="false">IF($BX20&lt;&gt;Constants!$B$6,"",IF($AF20,0,Constants!$B$15))</f>
        <v/>
      </c>
      <c r="CB20" s="138" t="str">
        <f aca="false">IF($BX20&lt;&gt;Constants!$B$6,"",((Constants!$B$25-$AZ20)-Constants!$B$25)/Constants!$B$26)</f>
        <v/>
      </c>
      <c r="CC20" s="138" t="str">
        <f aca="false">IF(ISBLANK($C20),"",IF($BX20&lt;&gt;Constants!$B$6,$BX20,SUM($BZ20:$CB20)))</f>
        <v/>
      </c>
      <c r="CD20" s="135" t="str">
        <f aca="false">IF(ISBLANK($C20),"",IF($BX20&lt;&gt;Constants!$B$6,$BX20,RANK($CC20,$CC$9:$CC$508,1)))</f>
        <v/>
      </c>
      <c r="CE20" s="138" t="str">
        <f aca="false">IF($BX20&lt;&gt;Constants!$B$6,"",IF($BL20="-&gt;",$BT20,$BI20))</f>
        <v/>
      </c>
      <c r="CF20" s="135" t="str">
        <f aca="false">IF(ISBLANK($C20),"",IF($BX20&lt;&gt;Constants!$B$6,$BX20,IF(ISNUMBER($CE20),RANK($CE20,$CE$9:$CE$508,1),COUNT($CE$9:$CE$508)+1)))</f>
        <v/>
      </c>
      <c r="CG20" s="138" t="str">
        <f aca="false">IF($BX20&lt;&gt;Constants!$B$6,"",IF($BL20="-&gt;",$BU20,$BJ20))</f>
        <v/>
      </c>
      <c r="CH20" s="135" t="str">
        <f aca="false">IF(ISBLANK($C20),"",IF($BX20&lt;&gt;Constants!$B$6,$BX20,IF(ISNUMBER($CG20),RANK($CG20,$CG$9:$CG$508,1),COUNT($CG$9:$CG$508)+1)))</f>
        <v/>
      </c>
      <c r="CI20" s="138" t="str">
        <f aca="false">IF($BX20&lt;&gt;Constants!$B$6,"",IF($BL20="-&gt;",$BV20,$BK20))</f>
        <v/>
      </c>
      <c r="CJ20" s="135" t="str">
        <f aca="false">IF(ISBLANK($C20),"",IF($BX20&lt;&gt;Constants!$B$6,$BX20,IF(ISNUMBER($CI20),RANK($CI20,$CI$9:$CI$508,1),COUNT($CI$9:$CI$508)+1)))</f>
        <v/>
      </c>
      <c r="CK20" s="138" t="str">
        <f aca="false">IF($BX20&lt;&gt;Constants!$B$6,"",$AI20)</f>
        <v/>
      </c>
      <c r="CL20" s="135" t="str">
        <f aca="false">IF(ISBLANK($C20),"",IF($BX20&lt;&gt;Constants!$B$6,$BX20,IF(ISNUMBER($CK20),RANK($CK20,$CK$9:$CK$508,1),COUNT($CK$9:$CK$508)+1)))</f>
        <v/>
      </c>
      <c r="CM20" s="135" t="str">
        <f aca="false">IF(ISBLANK($C20),"",IF($BX20&lt;&gt;Constants!$B$6,$BX20,COUNTIFS($CD$9:$CD$508,"&lt;"&amp;$CD20)+COUNTIFS($CD$9:$CD$508,$CD20,$CF$9:$CF$508,"&lt;"&amp;$CF20)+COUNTIFS($CD$9:$CD$508,$CD20,$CF$9:$CF$508,$CF20,$CH$9:$CH$508,"&lt;"&amp;$CH20)+COUNTIFS($CD$9:$CD$508,$CD20,$CF$9:$CF$508,$CF20,$CH$9:$CH$508,$CH20,$CJ$9:$CJ$508,"&lt;"&amp;$CJ20)+COUNTIFS($CD$9:$CD$508,$CD20,$CF$9:$CF$508,$CF20,$CH$9:$CH$508,$CH20,$CJ$9:$CJ$508,$CJ20,$CL$9:$CL$508,"&lt;"&amp;$CL20)+1))</f>
        <v/>
      </c>
      <c r="CN20" s="135" t="str">
        <f aca="false">IF(ISBLANK($C20),"",IF($BX20&lt;&gt;Constants!$B$6,$BX20,$CD20-$CM20))</f>
        <v/>
      </c>
      <c r="CO20" s="141"/>
      <c r="CP20" s="142"/>
      <c r="CQ20" s="143" t="str">
        <f aca="false">IF(ISBLANK($C20),"",IF($BX20=Constants!$B$10,$BW20,""))</f>
        <v/>
      </c>
      <c r="CR20" s="142" t="str">
        <f aca="false">IF(ISBLANK($C20),"",IF($BX20&lt;&gt;Constants!$B$6,"",IF($BL20="-&gt;",2,1)))</f>
        <v/>
      </c>
      <c r="CS20" s="144" t="str">
        <f aca="false">IF(ISBLANK($C20),"",IF($BX20&lt;&gt;Constants!$B$6,"",IF($BL20="-&gt;",$BN20,$BC20)))</f>
        <v/>
      </c>
      <c r="CT20" s="144" t="str">
        <f aca="false">IF(ISBLANK($C20),"",IF($BX20&lt;&gt;Constants!$B$6,"",IF($BL20="-&gt;",$BO20,$BD20)))</f>
        <v/>
      </c>
      <c r="CU20" s="144" t="str">
        <f aca="false">IF(ISBLANK($C20),"",IF($BX20&lt;&gt;Constants!$B$6,"",IF($BL20="-&gt;",$BP20+$BQ20,$BE20+$BF20)+$CB20))</f>
        <v/>
      </c>
      <c r="CV20" s="144" t="str">
        <f aca="false">IF(ISBLANK($C20),"",IF($BX20&lt;&gt;Constants!$B$6,"",IF($BL20="-&gt;",$BR20,$BG20)+$CA20))</f>
        <v/>
      </c>
      <c r="CW20" s="145" t="str">
        <f aca="false">IF(ISBLANK($C20),"",IF($BX20&lt;&gt;Constants!$B$6,$BX20,$CC20))</f>
        <v/>
      </c>
      <c r="CX20" s="146" t="str">
        <f aca="false">IF(ISBLANK($C20),"",$BY20)</f>
        <v/>
      </c>
      <c r="CY20" s="147" t="str">
        <f aca="false">IF(ISBLANK($C20),"",$CN20)</f>
        <v/>
      </c>
      <c r="CZ20" s="147" t="str">
        <f aca="false">IF(ISBLANK($C20),"",$CM20)</f>
        <v/>
      </c>
      <c r="DA20" s="148" t="str">
        <f aca="false">IF(ISBLANK($C20),"",IFERROR(_xlfn.SWITCH($CZ20,Constants!$B$9,COUNTA($C$9:$C$508)+2,Constants!$B$8,COUNTA($C$9:$C$508)+1,Constants!$B$7,COUNTA($C$9:$C$508)),$CZ20))</f>
        <v/>
      </c>
      <c r="DB20" s="9"/>
      <c r="DC20" s="149" t="n">
        <f aca="false">IF(OR(ISNUMBER($CZ20),$CZ20=Constants!$B$9,$CZ20=Constants!$B$7,$CZ20=Constants!$B$8),1,0)</f>
        <v>0</v>
      </c>
      <c r="DD20" s="149" t="n">
        <v>12</v>
      </c>
      <c r="DE20" s="149" t="str">
        <f aca="false">IF(ISBLANK($C20),"",IF(ISNUMBER($DA20),$DA20+ROW($B20)/1000,""))</f>
        <v/>
      </c>
      <c r="DF20" s="149" t="str">
        <f aca="false">IF(ISNUMBER($DE20),RANK($DE20,$DE$9:$DE$508,1),"")</f>
        <v/>
      </c>
      <c r="DG20" s="149" t="str">
        <f aca="false">IF(ISBLANK($C20),"",$B20)</f>
        <v/>
      </c>
      <c r="DH20" s="149" t="str">
        <f aca="false">IF(ISBLANK($C20),"",$C20)</f>
        <v/>
      </c>
      <c r="DI20" s="149" t="str">
        <f aca="false">IF(ISBLANK($C20),"",$D20)</f>
        <v/>
      </c>
      <c r="DJ20" s="150" t="str">
        <f aca="false">$CX20</f>
        <v/>
      </c>
      <c r="DK20" s="151" t="str">
        <f aca="false">$CW20</f>
        <v/>
      </c>
      <c r="DL20" s="149" t="str">
        <f aca="false">IF(ISBLANK($C20),"",$CZ20)</f>
        <v/>
      </c>
      <c r="DM20" s="152" t="str">
        <f aca="false">IF($DD20&gt;$DC$8,"",VLOOKUP($DD20,$DF$9:$DL$508,7,FALSE()))</f>
        <v/>
      </c>
      <c r="DN20" s="153" t="str">
        <f aca="false">IF($DD20&gt;$DC$8,"",VLOOKUP($DD20,$DF$9:$DL$508,2,FALSE()))</f>
        <v/>
      </c>
      <c r="DO20" s="153" t="str">
        <f aca="false">IF($DD20&gt;$DC$8,"",VLOOKUP($DD20,$DF$9:$DL$508,3,FALSE()))</f>
        <v/>
      </c>
      <c r="DP20" s="153" t="str">
        <f aca="false">IF($DD20&gt;$DC$8,"",VLOOKUP($DD20,$DF$9:$DL$508,4,FALSE()))</f>
        <v/>
      </c>
      <c r="DQ20" s="153" t="str">
        <f aca="false">IF($DD20&gt;$DC$8,"",VLOOKUP($DD20,$DF$9:$DL$508,5,FALSE()))</f>
        <v/>
      </c>
      <c r="DR20" s="154" t="str">
        <f aca="false">IF($DD20&gt;$DC$8,"",VLOOKUP($DD20,$DF$9:$DL$508,6,FALSE()))</f>
        <v/>
      </c>
      <c r="DS20" s="76"/>
    </row>
    <row r="21" customFormat="false" ht="15.75" hidden="false" customHeight="false" outlineLevel="0" collapsed="false">
      <c r="A21" s="9"/>
      <c r="B21" s="78"/>
      <c r="C21" s="79"/>
      <c r="D21" s="170"/>
      <c r="E21" s="171"/>
      <c r="F21" s="172"/>
      <c r="G21" s="173"/>
      <c r="H21" s="173"/>
      <c r="I21" s="174"/>
      <c r="J21" s="175"/>
      <c r="K21" s="86"/>
      <c r="L21" s="87"/>
      <c r="M21" s="88"/>
      <c r="N21" s="175"/>
      <c r="O21" s="175"/>
      <c r="P21" s="171"/>
      <c r="Q21" s="175"/>
      <c r="R21" s="175"/>
      <c r="S21" s="86"/>
      <c r="T21" s="88"/>
      <c r="U21" s="88"/>
      <c r="V21" s="175"/>
      <c r="W21" s="175"/>
      <c r="X21" s="171"/>
      <c r="Y21" s="176"/>
      <c r="Z21" s="177"/>
      <c r="AA21" s="176"/>
      <c r="AB21" s="92"/>
      <c r="AC21" s="93"/>
      <c r="AD21" s="93"/>
      <c r="AE21" s="93"/>
      <c r="AF21" s="93" t="str">
        <f aca="false">IF(ISBLANK($C21),"",IF(E21=Constants!$B$2,TRUE(),IF(E21=Constants!$B$3,FALSE(),TRUE())))</f>
        <v/>
      </c>
      <c r="AG21" s="93" t="str">
        <f aca="false">IF(ISBLANK($C21),"",IF(F21=Constants!$B$2,TRUE(),IF(F21=Constants!$B$3,FALSE(),TRUE())))</f>
        <v/>
      </c>
      <c r="AH21" s="93" t="str">
        <f aca="false">IF(ISBLANK($C21),"",IF(G21=Constants!$B$2,TRUE(),IF(G21=Constants!$B$3,FALSE(),TRUE())))</f>
        <v/>
      </c>
      <c r="AI21" s="93" t="str">
        <f aca="false">IF(ISBLANK($C21),"",IF(AND(ISNUMBER(H21),H21&gt;=0),H21,Constants!$B$24))</f>
        <v/>
      </c>
      <c r="AJ21" s="93" t="str">
        <f aca="false">IF(ISBLANK($C21),"",IF(I21=Constants!$B$2,TRUE(),IF(I21=Constants!$B$3,FALSE(),TRUE())))</f>
        <v/>
      </c>
      <c r="AK21" s="93" t="str">
        <f aca="false">IF(ISBLANK($C21),"",IF(J21=Constants!$B$2,TRUE(),IF(J21=Constants!$B$3,FALSE(),TRUE())))</f>
        <v/>
      </c>
      <c r="AL21" s="93" t="str">
        <f aca="false">IF(ISBLANK($C21),"",IF(K21=Constants!$B$4,TRUE(),IF(K21=Constants!$B$5,FALSE(),COUNTA(L21:P21)&gt;0)))</f>
        <v/>
      </c>
      <c r="AM21" s="95" t="str">
        <f aca="false">IF(ISBLANK($C21),"",IF(ISNUMBER(L21),IF(L21&gt;=0,L21,""),""))</f>
        <v/>
      </c>
      <c r="AN21" s="94" t="str">
        <f aca="false">IF(ISBLANK($C21),"",IF(ISNUMBER(M21),IF(M21&gt;=0,M21,""),""))</f>
        <v/>
      </c>
      <c r="AO21" s="94" t="str">
        <f aca="false">IF(ISBLANK($C21),"",IF(N21=Constants!$B$2,TRUE(),IF(N21=Constants!$B$3,FALSE(),TRUE())))</f>
        <v/>
      </c>
      <c r="AP21" s="93" t="str">
        <f aca="false">IF(ISBLANK($C21),"",IF(ISNUMBER(O21),IF(O21&gt;=0,O21,""),""))</f>
        <v/>
      </c>
      <c r="AQ21" s="93" t="str">
        <f aca="false">IF(ISBLANK($C21),"",IF(P21=Constants!$B$2,TRUE(),IF(P21=Constants!$B$3,FALSE(),FALSE())))</f>
        <v/>
      </c>
      <c r="AR21" s="93" t="str">
        <f aca="false">IF(ISBLANK($C21),"",IF(Q21=Constants!$B$2,TRUE(),IF(Q21=Constants!$B$3,FALSE(),TRUE())))</f>
        <v/>
      </c>
      <c r="AS21" s="93" t="str">
        <f aca="false">IF(ISBLANK($C21),"",IF(R21=Constants!$B$2,TRUE(),IF(R21=Constants!$B$3,FALSE(),TRUE())))</f>
        <v/>
      </c>
      <c r="AT21" s="93" t="str">
        <f aca="false">IF(ISBLANK($C21),"",IF(S21=Constants!$B$4,TRUE(),IF(S21=Constants!$B$5,FALSE(),COUNTA(T21:X21)&gt;0)))</f>
        <v/>
      </c>
      <c r="AU21" s="95" t="str">
        <f aca="false">IF(ISBLANK($C21),"",IF(ISNUMBER(T21),IF(T21&gt;=0,T21,""),""))</f>
        <v/>
      </c>
      <c r="AV21" s="94" t="str">
        <f aca="false">IF(ISBLANK($C21),"",IF(ISNUMBER(U21),IF(U21&gt;=0,U21,""),""))</f>
        <v/>
      </c>
      <c r="AW21" s="94" t="str">
        <f aca="false">IF(ISBLANK($C21),"",IF(V21=Constants!$B$2,TRUE(),IF(V21=Constants!$B$3,FALSE(),TRUE())))</f>
        <v/>
      </c>
      <c r="AX21" s="93" t="str">
        <f aca="false">IF(ISBLANK($C21),"",IF(ISNUMBER(W21),IF(W21&gt;=0,W21,""),""))</f>
        <v/>
      </c>
      <c r="AY21" s="93" t="str">
        <f aca="false">IF(ISBLANK($C21),"",IF(X21=Constants!$B$2,TRUE(),IF(X21=Constants!$B$3,FALSE(),FALSE())))</f>
        <v/>
      </c>
      <c r="AZ21" s="93" t="str">
        <f aca="false">IF(ISBLANK($C21),"",MIN(Constants!$B$25,MAX(0,IF(ISNUMBER(Y21),Y21*60,0)+IF(ISNUMBER(Z21),Z21,0))))</f>
        <v/>
      </c>
      <c r="BA21" s="93" t="str">
        <f aca="false">IF(ISBLANK($C21),"",IF(AA21=Constants!$B$2,TRUE(),IF(AA21=Constants!$B$3,FALSE(),FALSE())))</f>
        <v/>
      </c>
      <c r="BB21" s="92" t="str">
        <f aca="false">IF(ISBLANK($C21),"",AND($AL21,OR($AM21="",$AN21="",AND($AO21,$AP21=""))))</f>
        <v/>
      </c>
      <c r="BC21" s="94" t="str">
        <f aca="false">IF($BX21&lt;&gt;Constants!$B$6,"",IF($AL21,Constants!$B$17*$AN21+Constants!$B$18*IF($AO21,$AP21,Constants!$B$19),Constants!$B$20))</f>
        <v/>
      </c>
      <c r="BD21" s="97" t="str">
        <f aca="false">IF($BX21&lt;&gt;Constants!$B$6,"",Constants!$B$21*ABS($AD$9-IF($AL21,$AM21,0)))</f>
        <v/>
      </c>
      <c r="BE21" s="97" t="str">
        <f aca="false">IF($BX21&lt;&gt;Constants!$B$6,"",IF(AND($AL21,$AQ21,$AO21),Constants!$B$22,0))</f>
        <v/>
      </c>
      <c r="BF21" s="97" t="str">
        <f aca="false">IF($BX21&lt;&gt;Constants!$B$6,"",IF($AL21,($AI21-Constants!$B$24)*Constants!$B$23,0))</f>
        <v/>
      </c>
      <c r="BG21" s="97" t="str">
        <f aca="false">IF($BX21&lt;&gt;Constants!$B$6,"",IF($AK21,0,Constants!$B$12)+IF($AJ21,0,Constants!$B$13)+IF($AH21,0,Constants!$B$14))</f>
        <v/>
      </c>
      <c r="BH21" s="98" t="str">
        <f aca="false">IF($BX21&lt;&gt;Constants!$B$6,"",Constants!$B$16+SUM($BC21:$BG21))</f>
        <v/>
      </c>
      <c r="BI21" s="97" t="str">
        <f aca="false">IF($BX21&lt;&gt;Constants!$B$6,"",$BC21)</f>
        <v/>
      </c>
      <c r="BJ21" s="97" t="str">
        <f aca="false">IF($BX21&lt;&gt;Constants!$B$6,"",$BD21)</f>
        <v/>
      </c>
      <c r="BK21" s="99" t="str">
        <f aca="false">IF($BX21&lt;&gt;Constants!$B$6,"",IF($AL21,$AN21,""))</f>
        <v/>
      </c>
      <c r="BL21" s="93" t="str">
        <f aca="false">IF($BX21&lt;&gt;Constants!$B$6,"",IF(OR($BS21&lt;$BH21,AND($BS21=$BH21,OR($BT21&lt;$BI21,AND($BT21=$BI21,OR($BU21&lt;$BJ21,AND($BU21=$BJ21,AND(ISNUMBER($BV21),OR(NOT(ISNUMBER($BK21)),$BV21&lt;$BK21)))))))),"-&gt;","&lt;-"))</f>
        <v/>
      </c>
      <c r="BM21" s="92" t="str">
        <f aca="false">IF(ISBLANK($C21),"",AND($AT21,OR($AU21="",$AV21="",AND($AW21,$AX21=""))))</f>
        <v/>
      </c>
      <c r="BN21" s="94" t="str">
        <f aca="false">IF($BX21&lt;&gt;Constants!$B$6,"",IF($AT21,Constants!$B$17*$AV21+Constants!$B$18*IF($AW21,$AX21,Constants!$B$19),Constants!$B$20))</f>
        <v/>
      </c>
      <c r="BO21" s="97" t="str">
        <f aca="false">IF($BX21&lt;&gt;Constants!$B$6,"",Constants!$B$21*ABS($AD$9-IF($AT21,$AU21,0)))</f>
        <v/>
      </c>
      <c r="BP21" s="97" t="str">
        <f aca="false">IF($BX21&lt;&gt;Constants!$B$6,"",IF(AND($AT21,$AY21,$AW21),Constants!$B$22,0))</f>
        <v/>
      </c>
      <c r="BQ21" s="97" t="str">
        <f aca="false">IF($BX21&lt;&gt;Constants!$B$6,"",IF($AT21,($AI21-Constants!$B$24)*Constants!$B$23,0))</f>
        <v/>
      </c>
      <c r="BR21" s="97" t="str">
        <f aca="false">IF($BX21&lt;&gt;Constants!$B$6,"",IF($AS21,0,Constants!$B$12)+IF($AR21,0,Constants!$B$13)+IF($AH21,0,Constants!$B$14))</f>
        <v/>
      </c>
      <c r="BS21" s="98" t="str">
        <f aca="false">IF($BX21&lt;&gt;Constants!$B$6,"",Constants!$B$16+SUM($BN21:$BR21))</f>
        <v/>
      </c>
      <c r="BT21" s="97" t="str">
        <f aca="false">IF($BX21&lt;&gt;Constants!$B$6,"",$BN21)</f>
        <v/>
      </c>
      <c r="BU21" s="97" t="str">
        <f aca="false">IF($BX21&lt;&gt;Constants!$B$6,"",$BO21)</f>
        <v/>
      </c>
      <c r="BV21" s="99" t="str">
        <f aca="false">IF($BX21&lt;&gt;Constants!$B$6,"",IF($AT21,$AV21,""))</f>
        <v/>
      </c>
      <c r="BW21" s="93" t="str">
        <f aca="false">IF(ISBLANK($C21),"",IF(ISBLANK($D$7),$BW$5,IF(NOT(ISNUMBER($D$7)),$BW$6,"")))</f>
        <v/>
      </c>
      <c r="BX21" s="93" t="str">
        <f aca="false">IF(ISBLANK($C21),"",IF($BA21,Constants!$B$9,IF(COUNTA($E21:$AA21)=0,Constants!$B$8,IF(NOT($AG21),Constants!$B$7,IF(OR($BW21&lt;&gt;"",$BB21,$BM21),Constants!$B$10,Constants!$B$6)))))</f>
        <v/>
      </c>
      <c r="BY21" s="93" t="str">
        <f aca="false">IF(ISBLANK($C21),"",IF($BX21&lt;&gt;Constants!$B$6,$BX21,Constants!$B$11))</f>
        <v/>
      </c>
      <c r="BZ21" s="97" t="str">
        <f aca="false">IF($BX21&lt;&gt;Constants!$B$6,"",IF($BL21="-&gt;",$BS21,$BH21))</f>
        <v/>
      </c>
      <c r="CA21" s="97" t="str">
        <f aca="false">IF($BX21&lt;&gt;Constants!$B$6,"",IF($AF21,0,Constants!$B$15))</f>
        <v/>
      </c>
      <c r="CB21" s="97" t="str">
        <f aca="false">IF($BX21&lt;&gt;Constants!$B$6,"",((Constants!$B$25-$AZ21)-Constants!$B$25)/Constants!$B$26)</f>
        <v/>
      </c>
      <c r="CC21" s="97" t="str">
        <f aca="false">IF(ISBLANK($C21),"",IF($BX21&lt;&gt;Constants!$B$6,$BX21,SUM($BZ21:$CB21)))</f>
        <v/>
      </c>
      <c r="CD21" s="93" t="str">
        <f aca="false">IF(ISBLANK($C21),"",IF($BX21&lt;&gt;Constants!$B$6,$BX21,RANK($CC21,$CC$9:$CC$508,1)))</f>
        <v/>
      </c>
      <c r="CE21" s="97" t="str">
        <f aca="false">IF($BX21&lt;&gt;Constants!$B$6,"",IF($BL21="-&gt;",$BT21,$BI21))</f>
        <v/>
      </c>
      <c r="CF21" s="93" t="str">
        <f aca="false">IF(ISBLANK($C21),"",IF($BX21&lt;&gt;Constants!$B$6,$BX21,IF(ISNUMBER($CE21),RANK($CE21,$CE$9:$CE$508,1),COUNT($CE$9:$CE$508)+1)))</f>
        <v/>
      </c>
      <c r="CG21" s="97" t="str">
        <f aca="false">IF($BX21&lt;&gt;Constants!$B$6,"",IF($BL21="-&gt;",$BU21,$BJ21))</f>
        <v/>
      </c>
      <c r="CH21" s="93" t="str">
        <f aca="false">IF(ISBLANK($C21),"",IF($BX21&lt;&gt;Constants!$B$6,$BX21,IF(ISNUMBER($CG21),RANK($CG21,$CG$9:$CG$508,1),COUNT($CG$9:$CG$508)+1)))</f>
        <v/>
      </c>
      <c r="CI21" s="97" t="str">
        <f aca="false">IF($BX21&lt;&gt;Constants!$B$6,"",IF($BL21="-&gt;",$BV21,$BK21))</f>
        <v/>
      </c>
      <c r="CJ21" s="93" t="str">
        <f aca="false">IF(ISBLANK($C21),"",IF($BX21&lt;&gt;Constants!$B$6,$BX21,IF(ISNUMBER($CI21),RANK($CI21,$CI$9:$CI$508,1),COUNT($CI$9:$CI$508)+1)))</f>
        <v/>
      </c>
      <c r="CK21" s="97" t="str">
        <f aca="false">IF($BX21&lt;&gt;Constants!$B$6,"",$AI21)</f>
        <v/>
      </c>
      <c r="CL21" s="93" t="str">
        <f aca="false">IF(ISBLANK($C21),"",IF($BX21&lt;&gt;Constants!$B$6,$BX21,IF(ISNUMBER($CK21),RANK($CK21,$CK$9:$CK$508,1),COUNT($CK$9:$CK$508)+1)))</f>
        <v/>
      </c>
      <c r="CM21" s="93" t="str">
        <f aca="false">IF(ISBLANK($C21),"",IF($BX21&lt;&gt;Constants!$B$6,$BX21,COUNTIFS($CD$9:$CD$508,"&lt;"&amp;$CD21)+COUNTIFS($CD$9:$CD$508,$CD21,$CF$9:$CF$508,"&lt;"&amp;$CF21)+COUNTIFS($CD$9:$CD$508,$CD21,$CF$9:$CF$508,$CF21,$CH$9:$CH$508,"&lt;"&amp;$CH21)+COUNTIFS($CD$9:$CD$508,$CD21,$CF$9:$CF$508,$CF21,$CH$9:$CH$508,$CH21,$CJ$9:$CJ$508,"&lt;"&amp;$CJ21)+COUNTIFS($CD$9:$CD$508,$CD21,$CF$9:$CF$508,$CF21,$CH$9:$CH$508,$CH21,$CJ$9:$CJ$508,$CJ21,$CL$9:$CL$508,"&lt;"&amp;$CL21)+1))</f>
        <v/>
      </c>
      <c r="CN21" s="93" t="str">
        <f aca="false">IF(ISBLANK($C21),"",IF($BX21&lt;&gt;Constants!$B$6,$BX21,$CD21-$CM21))</f>
        <v/>
      </c>
      <c r="CO21" s="100"/>
      <c r="CP21" s="101"/>
      <c r="CQ21" s="102" t="str">
        <f aca="false">IF(ISBLANK($C21),"",IF($BX21=Constants!$B$10,$BW21,""))</f>
        <v/>
      </c>
      <c r="CR21" s="101" t="str">
        <f aca="false">IF(ISBLANK($C21),"",IF($BX21&lt;&gt;Constants!$B$6,"",IF($BL21="-&gt;",2,1)))</f>
        <v/>
      </c>
      <c r="CS21" s="103" t="str">
        <f aca="false">IF(ISBLANK($C21),"",IF($BX21&lt;&gt;Constants!$B$6,"",IF($BL21="-&gt;",$BN21,$BC21)))</f>
        <v/>
      </c>
      <c r="CT21" s="103" t="str">
        <f aca="false">IF(ISBLANK($C21),"",IF($BX21&lt;&gt;Constants!$B$6,"",IF($BL21="-&gt;",$BO21,$BD21)))</f>
        <v/>
      </c>
      <c r="CU21" s="103" t="str">
        <f aca="false">IF(ISBLANK($C21),"",IF($BX21&lt;&gt;Constants!$B$6,"",IF($BL21="-&gt;",$BP21+$BQ21,$BE21+$BF21)+$CB21))</f>
        <v/>
      </c>
      <c r="CV21" s="103" t="str">
        <f aca="false">IF(ISBLANK($C21),"",IF($BX21&lt;&gt;Constants!$B$6,"",IF($BL21="-&gt;",$BR21,$BG21)+$CA21))</f>
        <v/>
      </c>
      <c r="CW21" s="104" t="str">
        <f aca="false">IF(ISBLANK($C21),"",IF($BX21&lt;&gt;Constants!$B$6,$BX21,$CC21))</f>
        <v/>
      </c>
      <c r="CX21" s="105" t="str">
        <f aca="false">IF(ISBLANK($C21),"",$BY21)</f>
        <v/>
      </c>
      <c r="CY21" s="106" t="str">
        <f aca="false">IF(ISBLANK($C21),"",$CN21)</f>
        <v/>
      </c>
      <c r="CZ21" s="106" t="str">
        <f aca="false">IF(ISBLANK($C21),"",$CM21)</f>
        <v/>
      </c>
      <c r="DA21" s="107" t="str">
        <f aca="false">IF(ISBLANK($C21),"",IFERROR(_xlfn.SWITCH($CZ21,Constants!$B$9,COUNTA($C$9:$C$508)+2,Constants!$B$8,COUNTA($C$9:$C$508)+1,Constants!$B$7,COUNTA($C$9:$C$508)),$CZ21))</f>
        <v/>
      </c>
      <c r="DB21" s="9"/>
      <c r="DC21" s="108" t="n">
        <f aca="false">IF(OR(ISNUMBER($CZ21),$CZ21=Constants!$B$9,$CZ21=Constants!$B$7,$CZ21=Constants!$B$8),1,0)</f>
        <v>0</v>
      </c>
      <c r="DD21" s="108" t="n">
        <v>13</v>
      </c>
      <c r="DE21" s="108" t="str">
        <f aca="false">IF(ISBLANK($C21),"",IF(ISNUMBER($DA21),$DA21+ROW($B21)/1000,""))</f>
        <v/>
      </c>
      <c r="DF21" s="108" t="str">
        <f aca="false">IF(ISNUMBER($DE21),RANK($DE21,$DE$9:$DE$508,1),"")</f>
        <v/>
      </c>
      <c r="DG21" s="108" t="str">
        <f aca="false">IF(ISBLANK($C21),"",$B21)</f>
        <v/>
      </c>
      <c r="DH21" s="108" t="str">
        <f aca="false">IF(ISBLANK($C21),"",$C21)</f>
        <v/>
      </c>
      <c r="DI21" s="108" t="str">
        <f aca="false">IF(ISBLANK($C21),"",$D21)</f>
        <v/>
      </c>
      <c r="DJ21" s="109" t="str">
        <f aca="false">$CX21</f>
        <v/>
      </c>
      <c r="DK21" s="110" t="str">
        <f aca="false">$CW21</f>
        <v/>
      </c>
      <c r="DL21" s="108" t="str">
        <f aca="false">IF(ISBLANK($C21),"",$CZ21)</f>
        <v/>
      </c>
      <c r="DM21" s="111" t="str">
        <f aca="false">IF($DD21&gt;$DC$8,"",VLOOKUP($DD21,$DF$9:$DL$508,7,FALSE()))</f>
        <v/>
      </c>
      <c r="DN21" s="112" t="str">
        <f aca="false">IF($DD21&gt;$DC$8,"",VLOOKUP($DD21,$DF$9:$DL$508,2,FALSE()))</f>
        <v/>
      </c>
      <c r="DO21" s="112" t="str">
        <f aca="false">IF($DD21&gt;$DC$8,"",VLOOKUP($DD21,$DF$9:$DL$508,3,FALSE()))</f>
        <v/>
      </c>
      <c r="DP21" s="112" t="str">
        <f aca="false">IF($DD21&gt;$DC$8,"",VLOOKUP($DD21,$DF$9:$DL$508,4,FALSE()))</f>
        <v/>
      </c>
      <c r="DQ21" s="112" t="str">
        <f aca="false">IF($DD21&gt;$DC$8,"",VLOOKUP($DD21,$DF$9:$DL$508,5,FALSE()))</f>
        <v/>
      </c>
      <c r="DR21" s="113" t="str">
        <f aca="false">IF($DD21&gt;$DC$8,"",VLOOKUP($DD21,$DF$9:$DL$508,6,FALSE()))</f>
        <v/>
      </c>
      <c r="DS21" s="76"/>
    </row>
    <row r="22" customFormat="false" ht="15.75" hidden="false" customHeight="false" outlineLevel="0" collapsed="false">
      <c r="A22" s="9"/>
      <c r="B22" s="78"/>
      <c r="C22" s="79"/>
      <c r="D22" s="170"/>
      <c r="E22" s="171"/>
      <c r="F22" s="172"/>
      <c r="G22" s="173"/>
      <c r="H22" s="173"/>
      <c r="I22" s="174"/>
      <c r="J22" s="175"/>
      <c r="K22" s="86"/>
      <c r="L22" s="87"/>
      <c r="M22" s="88"/>
      <c r="N22" s="175"/>
      <c r="O22" s="175"/>
      <c r="P22" s="171"/>
      <c r="Q22" s="175"/>
      <c r="R22" s="175"/>
      <c r="S22" s="86"/>
      <c r="T22" s="88"/>
      <c r="U22" s="88"/>
      <c r="V22" s="175"/>
      <c r="W22" s="175"/>
      <c r="X22" s="171"/>
      <c r="Y22" s="176"/>
      <c r="Z22" s="177"/>
      <c r="AA22" s="176"/>
      <c r="AB22" s="92"/>
      <c r="AC22" s="93"/>
      <c r="AD22" s="93"/>
      <c r="AE22" s="93"/>
      <c r="AF22" s="93" t="str">
        <f aca="false">IF(ISBLANK($C22),"",IF(E22=Constants!$B$2,TRUE(),IF(E22=Constants!$B$3,FALSE(),TRUE())))</f>
        <v/>
      </c>
      <c r="AG22" s="93" t="str">
        <f aca="false">IF(ISBLANK($C22),"",IF(F22=Constants!$B$2,TRUE(),IF(F22=Constants!$B$3,FALSE(),TRUE())))</f>
        <v/>
      </c>
      <c r="AH22" s="93" t="str">
        <f aca="false">IF(ISBLANK($C22),"",IF(G22=Constants!$B$2,TRUE(),IF(G22=Constants!$B$3,FALSE(),TRUE())))</f>
        <v/>
      </c>
      <c r="AI22" s="93" t="str">
        <f aca="false">IF(ISBLANK($C22),"",IF(AND(ISNUMBER(H22),H22&gt;=0),H22,Constants!$B$24))</f>
        <v/>
      </c>
      <c r="AJ22" s="93" t="str">
        <f aca="false">IF(ISBLANK($C22),"",IF(I22=Constants!$B$2,TRUE(),IF(I22=Constants!$B$3,FALSE(),TRUE())))</f>
        <v/>
      </c>
      <c r="AK22" s="93" t="str">
        <f aca="false">IF(ISBLANK($C22),"",IF(J22=Constants!$B$2,TRUE(),IF(J22=Constants!$B$3,FALSE(),TRUE())))</f>
        <v/>
      </c>
      <c r="AL22" s="93" t="str">
        <f aca="false">IF(ISBLANK($C22),"",IF(K22=Constants!$B$4,TRUE(),IF(K22=Constants!$B$5,FALSE(),COUNTA(L22:P22)&gt;0)))</f>
        <v/>
      </c>
      <c r="AM22" s="95" t="str">
        <f aca="false">IF(ISBLANK($C22),"",IF(ISNUMBER(L22),IF(L22&gt;=0,L22,""),""))</f>
        <v/>
      </c>
      <c r="AN22" s="94" t="str">
        <f aca="false">IF(ISBLANK($C22),"",IF(ISNUMBER(M22),IF(M22&gt;=0,M22,""),""))</f>
        <v/>
      </c>
      <c r="AO22" s="94" t="str">
        <f aca="false">IF(ISBLANK($C22),"",IF(N22=Constants!$B$2,TRUE(),IF(N22=Constants!$B$3,FALSE(),TRUE())))</f>
        <v/>
      </c>
      <c r="AP22" s="93" t="str">
        <f aca="false">IF(ISBLANK($C22),"",IF(ISNUMBER(O22),IF(O22&gt;=0,O22,""),""))</f>
        <v/>
      </c>
      <c r="AQ22" s="93" t="str">
        <f aca="false">IF(ISBLANK($C22),"",IF(P22=Constants!$B$2,TRUE(),IF(P22=Constants!$B$3,FALSE(),FALSE())))</f>
        <v/>
      </c>
      <c r="AR22" s="93" t="str">
        <f aca="false">IF(ISBLANK($C22),"",IF(Q22=Constants!$B$2,TRUE(),IF(Q22=Constants!$B$3,FALSE(),TRUE())))</f>
        <v/>
      </c>
      <c r="AS22" s="93" t="str">
        <f aca="false">IF(ISBLANK($C22),"",IF(R22=Constants!$B$2,TRUE(),IF(R22=Constants!$B$3,FALSE(),TRUE())))</f>
        <v/>
      </c>
      <c r="AT22" s="93" t="str">
        <f aca="false">IF(ISBLANK($C22),"",IF(S22=Constants!$B$4,TRUE(),IF(S22=Constants!$B$5,FALSE(),COUNTA(T22:X22)&gt;0)))</f>
        <v/>
      </c>
      <c r="AU22" s="95" t="str">
        <f aca="false">IF(ISBLANK($C22),"",IF(ISNUMBER(T22),IF(T22&gt;=0,T22,""),""))</f>
        <v/>
      </c>
      <c r="AV22" s="94" t="str">
        <f aca="false">IF(ISBLANK($C22),"",IF(ISNUMBER(U22),IF(U22&gt;=0,U22,""),""))</f>
        <v/>
      </c>
      <c r="AW22" s="94" t="str">
        <f aca="false">IF(ISBLANK($C22),"",IF(V22=Constants!$B$2,TRUE(),IF(V22=Constants!$B$3,FALSE(),TRUE())))</f>
        <v/>
      </c>
      <c r="AX22" s="93" t="str">
        <f aca="false">IF(ISBLANK($C22),"",IF(ISNUMBER(W22),IF(W22&gt;=0,W22,""),""))</f>
        <v/>
      </c>
      <c r="AY22" s="93" t="str">
        <f aca="false">IF(ISBLANK($C22),"",IF(X22=Constants!$B$2,TRUE(),IF(X22=Constants!$B$3,FALSE(),FALSE())))</f>
        <v/>
      </c>
      <c r="AZ22" s="93" t="str">
        <f aca="false">IF(ISBLANK($C22),"",MIN(Constants!$B$25,MAX(0,IF(ISNUMBER(Y22),Y22*60,0)+IF(ISNUMBER(Z22),Z22,0))))</f>
        <v/>
      </c>
      <c r="BA22" s="93" t="str">
        <f aca="false">IF(ISBLANK($C22),"",IF(AA22=Constants!$B$2,TRUE(),IF(AA22=Constants!$B$3,FALSE(),FALSE())))</f>
        <v/>
      </c>
      <c r="BB22" s="92" t="str">
        <f aca="false">IF(ISBLANK($C22),"",AND($AL22,OR($AM22="",$AN22="",AND($AO22,$AP22=""))))</f>
        <v/>
      </c>
      <c r="BC22" s="94" t="str">
        <f aca="false">IF($BX22&lt;&gt;Constants!$B$6,"",IF($AL22,Constants!$B$17*$AN22+Constants!$B$18*IF($AO22,$AP22,Constants!$B$19),Constants!$B$20))</f>
        <v/>
      </c>
      <c r="BD22" s="97" t="str">
        <f aca="false">IF($BX22&lt;&gt;Constants!$B$6,"",Constants!$B$21*ABS($AD$9-IF($AL22,$AM22,0)))</f>
        <v/>
      </c>
      <c r="BE22" s="97" t="str">
        <f aca="false">IF($BX22&lt;&gt;Constants!$B$6,"",IF(AND($AL22,$AQ22,$AO22),Constants!$B$22,0))</f>
        <v/>
      </c>
      <c r="BF22" s="97" t="str">
        <f aca="false">IF($BX22&lt;&gt;Constants!$B$6,"",IF($AL22,($AI22-Constants!$B$24)*Constants!$B$23,0))</f>
        <v/>
      </c>
      <c r="BG22" s="97" t="str">
        <f aca="false">IF($BX22&lt;&gt;Constants!$B$6,"",IF($AK22,0,Constants!$B$12)+IF($AJ22,0,Constants!$B$13)+IF($AH22,0,Constants!$B$14))</f>
        <v/>
      </c>
      <c r="BH22" s="98" t="str">
        <f aca="false">IF($BX22&lt;&gt;Constants!$B$6,"",Constants!$B$16+SUM($BC22:$BG22))</f>
        <v/>
      </c>
      <c r="BI22" s="97" t="str">
        <f aca="false">IF($BX22&lt;&gt;Constants!$B$6,"",$BC22)</f>
        <v/>
      </c>
      <c r="BJ22" s="97" t="str">
        <f aca="false">IF($BX22&lt;&gt;Constants!$B$6,"",$BD22)</f>
        <v/>
      </c>
      <c r="BK22" s="99" t="str">
        <f aca="false">IF($BX22&lt;&gt;Constants!$B$6,"",IF($AL22,$AN22,""))</f>
        <v/>
      </c>
      <c r="BL22" s="93" t="str">
        <f aca="false">IF($BX22&lt;&gt;Constants!$B$6,"",IF(OR($BS22&lt;$BH22,AND($BS22=$BH22,OR($BT22&lt;$BI22,AND($BT22=$BI22,OR($BU22&lt;$BJ22,AND($BU22=$BJ22,AND(ISNUMBER($BV22),OR(NOT(ISNUMBER($BK22)),$BV22&lt;$BK22)))))))),"-&gt;","&lt;-"))</f>
        <v/>
      </c>
      <c r="BM22" s="92" t="str">
        <f aca="false">IF(ISBLANK($C22),"",AND($AT22,OR($AU22="",$AV22="",AND($AW22,$AX22=""))))</f>
        <v/>
      </c>
      <c r="BN22" s="94" t="str">
        <f aca="false">IF($BX22&lt;&gt;Constants!$B$6,"",IF($AT22,Constants!$B$17*$AV22+Constants!$B$18*IF($AW22,$AX22,Constants!$B$19),Constants!$B$20))</f>
        <v/>
      </c>
      <c r="BO22" s="97" t="str">
        <f aca="false">IF($BX22&lt;&gt;Constants!$B$6,"",Constants!$B$21*ABS($AD$9-IF($AT22,$AU22,0)))</f>
        <v/>
      </c>
      <c r="BP22" s="97" t="str">
        <f aca="false">IF($BX22&lt;&gt;Constants!$B$6,"",IF(AND($AT22,$AY22,$AW22),Constants!$B$22,0))</f>
        <v/>
      </c>
      <c r="BQ22" s="97" t="str">
        <f aca="false">IF($BX22&lt;&gt;Constants!$B$6,"",IF($AT22,($AI22-Constants!$B$24)*Constants!$B$23,0))</f>
        <v/>
      </c>
      <c r="BR22" s="97" t="str">
        <f aca="false">IF($BX22&lt;&gt;Constants!$B$6,"",IF($AS22,0,Constants!$B$12)+IF($AR22,0,Constants!$B$13)+IF($AH22,0,Constants!$B$14))</f>
        <v/>
      </c>
      <c r="BS22" s="98" t="str">
        <f aca="false">IF($BX22&lt;&gt;Constants!$B$6,"",Constants!$B$16+SUM($BN22:$BR22))</f>
        <v/>
      </c>
      <c r="BT22" s="97" t="str">
        <f aca="false">IF($BX22&lt;&gt;Constants!$B$6,"",$BN22)</f>
        <v/>
      </c>
      <c r="BU22" s="97" t="str">
        <f aca="false">IF($BX22&lt;&gt;Constants!$B$6,"",$BO22)</f>
        <v/>
      </c>
      <c r="BV22" s="99" t="str">
        <f aca="false">IF($BX22&lt;&gt;Constants!$B$6,"",IF($AT22,$AV22,""))</f>
        <v/>
      </c>
      <c r="BW22" s="93" t="str">
        <f aca="false">IF(ISBLANK($C22),"",IF(ISBLANK($D$7),$BW$5,IF(NOT(ISNUMBER($D$7)),$BW$6,"")))</f>
        <v/>
      </c>
      <c r="BX22" s="93" t="str">
        <f aca="false">IF(ISBLANK($C22),"",IF($BA22,Constants!$B$9,IF(COUNTA($E22:$AA22)=0,Constants!$B$8,IF(NOT($AG22),Constants!$B$7,IF(OR($BW22&lt;&gt;"",$BB22,$BM22),Constants!$B$10,Constants!$B$6)))))</f>
        <v/>
      </c>
      <c r="BY22" s="93" t="str">
        <f aca="false">IF(ISBLANK($C22),"",IF($BX22&lt;&gt;Constants!$B$6,$BX22,Constants!$B$11))</f>
        <v/>
      </c>
      <c r="BZ22" s="97" t="str">
        <f aca="false">IF($BX22&lt;&gt;Constants!$B$6,"",IF($BL22="-&gt;",$BS22,$BH22))</f>
        <v/>
      </c>
      <c r="CA22" s="97" t="str">
        <f aca="false">IF($BX22&lt;&gt;Constants!$B$6,"",IF($AF22,0,Constants!$B$15))</f>
        <v/>
      </c>
      <c r="CB22" s="97" t="str">
        <f aca="false">IF($BX22&lt;&gt;Constants!$B$6,"",((Constants!$B$25-$AZ22)-Constants!$B$25)/Constants!$B$26)</f>
        <v/>
      </c>
      <c r="CC22" s="97" t="str">
        <f aca="false">IF(ISBLANK($C22),"",IF($BX22&lt;&gt;Constants!$B$6,$BX22,SUM($BZ22:$CB22)))</f>
        <v/>
      </c>
      <c r="CD22" s="93" t="str">
        <f aca="false">IF(ISBLANK($C22),"",IF($BX22&lt;&gt;Constants!$B$6,$BX22,RANK($CC22,$CC$9:$CC$508,1)))</f>
        <v/>
      </c>
      <c r="CE22" s="97" t="str">
        <f aca="false">IF($BX22&lt;&gt;Constants!$B$6,"",IF($BL22="-&gt;",$BT22,$BI22))</f>
        <v/>
      </c>
      <c r="CF22" s="93" t="str">
        <f aca="false">IF(ISBLANK($C22),"",IF($BX22&lt;&gt;Constants!$B$6,$BX22,IF(ISNUMBER($CE22),RANK($CE22,$CE$9:$CE$508,1),COUNT($CE$9:$CE$508)+1)))</f>
        <v/>
      </c>
      <c r="CG22" s="97" t="str">
        <f aca="false">IF($BX22&lt;&gt;Constants!$B$6,"",IF($BL22="-&gt;",$BU22,$BJ22))</f>
        <v/>
      </c>
      <c r="CH22" s="93" t="str">
        <f aca="false">IF(ISBLANK($C22),"",IF($BX22&lt;&gt;Constants!$B$6,$BX22,IF(ISNUMBER($CG22),RANK($CG22,$CG$9:$CG$508,1),COUNT($CG$9:$CG$508)+1)))</f>
        <v/>
      </c>
      <c r="CI22" s="97" t="str">
        <f aca="false">IF($BX22&lt;&gt;Constants!$B$6,"",IF($BL22="-&gt;",$BV22,$BK22))</f>
        <v/>
      </c>
      <c r="CJ22" s="93" t="str">
        <f aca="false">IF(ISBLANK($C22),"",IF($BX22&lt;&gt;Constants!$B$6,$BX22,IF(ISNUMBER($CI22),RANK($CI22,$CI$9:$CI$508,1),COUNT($CI$9:$CI$508)+1)))</f>
        <v/>
      </c>
      <c r="CK22" s="97" t="str">
        <f aca="false">IF($BX22&lt;&gt;Constants!$B$6,"",$AI22)</f>
        <v/>
      </c>
      <c r="CL22" s="93" t="str">
        <f aca="false">IF(ISBLANK($C22),"",IF($BX22&lt;&gt;Constants!$B$6,$BX22,IF(ISNUMBER($CK22),RANK($CK22,$CK$9:$CK$508,1),COUNT($CK$9:$CK$508)+1)))</f>
        <v/>
      </c>
      <c r="CM22" s="93" t="str">
        <f aca="false">IF(ISBLANK($C22),"",IF($BX22&lt;&gt;Constants!$B$6,$BX22,COUNTIFS($CD$9:$CD$508,"&lt;"&amp;$CD22)+COUNTIFS($CD$9:$CD$508,$CD22,$CF$9:$CF$508,"&lt;"&amp;$CF22)+COUNTIFS($CD$9:$CD$508,$CD22,$CF$9:$CF$508,$CF22,$CH$9:$CH$508,"&lt;"&amp;$CH22)+COUNTIFS($CD$9:$CD$508,$CD22,$CF$9:$CF$508,$CF22,$CH$9:$CH$508,$CH22,$CJ$9:$CJ$508,"&lt;"&amp;$CJ22)+COUNTIFS($CD$9:$CD$508,$CD22,$CF$9:$CF$508,$CF22,$CH$9:$CH$508,$CH22,$CJ$9:$CJ$508,$CJ22,$CL$9:$CL$508,"&lt;"&amp;$CL22)+1))</f>
        <v/>
      </c>
      <c r="CN22" s="93" t="str">
        <f aca="false">IF(ISBLANK($C22),"",IF($BX22&lt;&gt;Constants!$B$6,$BX22,$CD22-$CM22))</f>
        <v/>
      </c>
      <c r="CO22" s="100"/>
      <c r="CP22" s="101"/>
      <c r="CQ22" s="102" t="str">
        <f aca="false">IF(ISBLANK($C22),"",IF($BX22=Constants!$B$10,$BW22,""))</f>
        <v/>
      </c>
      <c r="CR22" s="101" t="str">
        <f aca="false">IF(ISBLANK($C22),"",IF($BX22&lt;&gt;Constants!$B$6,"",IF($BL22="-&gt;",2,1)))</f>
        <v/>
      </c>
      <c r="CS22" s="103" t="str">
        <f aca="false">IF(ISBLANK($C22),"",IF($BX22&lt;&gt;Constants!$B$6,"",IF($BL22="-&gt;",$BN22,$BC22)))</f>
        <v/>
      </c>
      <c r="CT22" s="103" t="str">
        <f aca="false">IF(ISBLANK($C22),"",IF($BX22&lt;&gt;Constants!$B$6,"",IF($BL22="-&gt;",$BO22,$BD22)))</f>
        <v/>
      </c>
      <c r="CU22" s="103" t="str">
        <f aca="false">IF(ISBLANK($C22),"",IF($BX22&lt;&gt;Constants!$B$6,"",IF($BL22="-&gt;",$BP22+$BQ22,$BE22+$BF22)+$CB22))</f>
        <v/>
      </c>
      <c r="CV22" s="103" t="str">
        <f aca="false">IF(ISBLANK($C22),"",IF($BX22&lt;&gt;Constants!$B$6,"",IF($BL22="-&gt;",$BR22,$BG22)+$CA22))</f>
        <v/>
      </c>
      <c r="CW22" s="104" t="str">
        <f aca="false">IF(ISBLANK($C22),"",IF($BX22&lt;&gt;Constants!$B$6,$BX22,$CC22))</f>
        <v/>
      </c>
      <c r="CX22" s="105" t="str">
        <f aca="false">IF(ISBLANK($C22),"",$BY22)</f>
        <v/>
      </c>
      <c r="CY22" s="106" t="str">
        <f aca="false">IF(ISBLANK($C22),"",$CN22)</f>
        <v/>
      </c>
      <c r="CZ22" s="106" t="str">
        <f aca="false">IF(ISBLANK($C22),"",$CM22)</f>
        <v/>
      </c>
      <c r="DA22" s="107" t="str">
        <f aca="false">IF(ISBLANK($C22),"",IFERROR(_xlfn.SWITCH($CZ22,Constants!$B$9,COUNTA($C$9:$C$508)+2,Constants!$B$8,COUNTA($C$9:$C$508)+1,Constants!$B$7,COUNTA($C$9:$C$508)),$CZ22))</f>
        <v/>
      </c>
      <c r="DB22" s="9"/>
      <c r="DC22" s="108" t="n">
        <f aca="false">IF(OR(ISNUMBER($CZ22),$CZ22=Constants!$B$9,$CZ22=Constants!$B$7,$CZ22=Constants!$B$8),1,0)</f>
        <v>0</v>
      </c>
      <c r="DD22" s="108" t="n">
        <v>14</v>
      </c>
      <c r="DE22" s="108" t="str">
        <f aca="false">IF(ISBLANK($C22),"",IF(ISNUMBER($DA22),$DA22+ROW($B22)/1000,""))</f>
        <v/>
      </c>
      <c r="DF22" s="108" t="str">
        <f aca="false">IF(ISNUMBER($DE22),RANK($DE22,$DE$9:$DE$508,1),"")</f>
        <v/>
      </c>
      <c r="DG22" s="108" t="str">
        <f aca="false">IF(ISBLANK($C22),"",$B22)</f>
        <v/>
      </c>
      <c r="DH22" s="108" t="str">
        <f aca="false">IF(ISBLANK($C22),"",$C22)</f>
        <v/>
      </c>
      <c r="DI22" s="108" t="str">
        <f aca="false">IF(ISBLANK($C22),"",$D22)</f>
        <v/>
      </c>
      <c r="DJ22" s="109" t="str">
        <f aca="false">$CX22</f>
        <v/>
      </c>
      <c r="DK22" s="110" t="str">
        <f aca="false">$CW22</f>
        <v/>
      </c>
      <c r="DL22" s="108" t="str">
        <f aca="false">IF(ISBLANK($C22),"",$CZ22)</f>
        <v/>
      </c>
      <c r="DM22" s="111" t="str">
        <f aca="false">IF($DD22&gt;$DC$8,"",VLOOKUP($DD22,$DF$9:$DL$508,7,FALSE()))</f>
        <v/>
      </c>
      <c r="DN22" s="112" t="str">
        <f aca="false">IF($DD22&gt;$DC$8,"",VLOOKUP($DD22,$DF$9:$DL$508,2,FALSE()))</f>
        <v/>
      </c>
      <c r="DO22" s="112" t="str">
        <f aca="false">IF($DD22&gt;$DC$8,"",VLOOKUP($DD22,$DF$9:$DL$508,3,FALSE()))</f>
        <v/>
      </c>
      <c r="DP22" s="112" t="str">
        <f aca="false">IF($DD22&gt;$DC$8,"",VLOOKUP($DD22,$DF$9:$DL$508,4,FALSE()))</f>
        <v/>
      </c>
      <c r="DQ22" s="112" t="str">
        <f aca="false">IF($DD22&gt;$DC$8,"",VLOOKUP($DD22,$DF$9:$DL$508,5,FALSE()))</f>
        <v/>
      </c>
      <c r="DR22" s="113" t="str">
        <f aca="false">IF($DD22&gt;$DC$8,"",VLOOKUP($DD22,$DF$9:$DL$508,6,FALSE()))</f>
        <v/>
      </c>
      <c r="DS22" s="76"/>
    </row>
    <row r="23" customFormat="false" ht="15.75" hidden="false" customHeight="false" outlineLevel="0" collapsed="false">
      <c r="A23" s="9"/>
      <c r="B23" s="78"/>
      <c r="C23" s="79"/>
      <c r="D23" s="170"/>
      <c r="E23" s="171"/>
      <c r="F23" s="172"/>
      <c r="G23" s="173"/>
      <c r="H23" s="173"/>
      <c r="I23" s="174"/>
      <c r="J23" s="175"/>
      <c r="K23" s="86"/>
      <c r="L23" s="87"/>
      <c r="M23" s="88"/>
      <c r="N23" s="175"/>
      <c r="O23" s="175"/>
      <c r="P23" s="171"/>
      <c r="Q23" s="175"/>
      <c r="R23" s="175"/>
      <c r="S23" s="86"/>
      <c r="T23" s="88"/>
      <c r="U23" s="88"/>
      <c r="V23" s="175"/>
      <c r="W23" s="175"/>
      <c r="X23" s="171"/>
      <c r="Y23" s="176"/>
      <c r="Z23" s="177"/>
      <c r="AA23" s="176"/>
      <c r="AB23" s="92"/>
      <c r="AC23" s="93"/>
      <c r="AD23" s="93"/>
      <c r="AE23" s="93"/>
      <c r="AF23" s="93" t="str">
        <f aca="false">IF(ISBLANK($C23),"",IF(E23=Constants!$B$2,TRUE(),IF(E23=Constants!$B$3,FALSE(),TRUE())))</f>
        <v/>
      </c>
      <c r="AG23" s="93" t="str">
        <f aca="false">IF(ISBLANK($C23),"",IF(F23=Constants!$B$2,TRUE(),IF(F23=Constants!$B$3,FALSE(),TRUE())))</f>
        <v/>
      </c>
      <c r="AH23" s="93" t="str">
        <f aca="false">IF(ISBLANK($C23),"",IF(G23=Constants!$B$2,TRUE(),IF(G23=Constants!$B$3,FALSE(),TRUE())))</f>
        <v/>
      </c>
      <c r="AI23" s="93" t="str">
        <f aca="false">IF(ISBLANK($C23),"",IF(AND(ISNUMBER(H23),H23&gt;=0),H23,Constants!$B$24))</f>
        <v/>
      </c>
      <c r="AJ23" s="93" t="str">
        <f aca="false">IF(ISBLANK($C23),"",IF(I23=Constants!$B$2,TRUE(),IF(I23=Constants!$B$3,FALSE(),TRUE())))</f>
        <v/>
      </c>
      <c r="AK23" s="93" t="str">
        <f aca="false">IF(ISBLANK($C23),"",IF(J23=Constants!$B$2,TRUE(),IF(J23=Constants!$B$3,FALSE(),TRUE())))</f>
        <v/>
      </c>
      <c r="AL23" s="93" t="str">
        <f aca="false">IF(ISBLANK($C23),"",IF(K23=Constants!$B$4,TRUE(),IF(K23=Constants!$B$5,FALSE(),COUNTA(L23:P23)&gt;0)))</f>
        <v/>
      </c>
      <c r="AM23" s="95" t="str">
        <f aca="false">IF(ISBLANK($C23),"",IF(ISNUMBER(L23),IF(L23&gt;=0,L23,""),""))</f>
        <v/>
      </c>
      <c r="AN23" s="94" t="str">
        <f aca="false">IF(ISBLANK($C23),"",IF(ISNUMBER(M23),IF(M23&gt;=0,M23,""),""))</f>
        <v/>
      </c>
      <c r="AO23" s="94" t="str">
        <f aca="false">IF(ISBLANK($C23),"",IF(N23=Constants!$B$2,TRUE(),IF(N23=Constants!$B$3,FALSE(),TRUE())))</f>
        <v/>
      </c>
      <c r="AP23" s="93" t="str">
        <f aca="false">IF(ISBLANK($C23),"",IF(ISNUMBER(O23),IF(O23&gt;=0,O23,""),""))</f>
        <v/>
      </c>
      <c r="AQ23" s="93" t="str">
        <f aca="false">IF(ISBLANK($C23),"",IF(P23=Constants!$B$2,TRUE(),IF(P23=Constants!$B$3,FALSE(),FALSE())))</f>
        <v/>
      </c>
      <c r="AR23" s="93" t="str">
        <f aca="false">IF(ISBLANK($C23),"",IF(Q23=Constants!$B$2,TRUE(),IF(Q23=Constants!$B$3,FALSE(),TRUE())))</f>
        <v/>
      </c>
      <c r="AS23" s="93" t="str">
        <f aca="false">IF(ISBLANK($C23),"",IF(R23=Constants!$B$2,TRUE(),IF(R23=Constants!$B$3,FALSE(),TRUE())))</f>
        <v/>
      </c>
      <c r="AT23" s="93" t="str">
        <f aca="false">IF(ISBLANK($C23),"",IF(S23=Constants!$B$4,TRUE(),IF(S23=Constants!$B$5,FALSE(),COUNTA(T23:X23)&gt;0)))</f>
        <v/>
      </c>
      <c r="AU23" s="95" t="str">
        <f aca="false">IF(ISBLANK($C23),"",IF(ISNUMBER(T23),IF(T23&gt;=0,T23,""),""))</f>
        <v/>
      </c>
      <c r="AV23" s="94" t="str">
        <f aca="false">IF(ISBLANK($C23),"",IF(ISNUMBER(U23),IF(U23&gt;=0,U23,""),""))</f>
        <v/>
      </c>
      <c r="AW23" s="94" t="str">
        <f aca="false">IF(ISBLANK($C23),"",IF(V23=Constants!$B$2,TRUE(),IF(V23=Constants!$B$3,FALSE(),TRUE())))</f>
        <v/>
      </c>
      <c r="AX23" s="93" t="str">
        <f aca="false">IF(ISBLANK($C23),"",IF(ISNUMBER(W23),IF(W23&gt;=0,W23,""),""))</f>
        <v/>
      </c>
      <c r="AY23" s="93" t="str">
        <f aca="false">IF(ISBLANK($C23),"",IF(X23=Constants!$B$2,TRUE(),IF(X23=Constants!$B$3,FALSE(),FALSE())))</f>
        <v/>
      </c>
      <c r="AZ23" s="93" t="str">
        <f aca="false">IF(ISBLANK($C23),"",MIN(Constants!$B$25,MAX(0,IF(ISNUMBER(Y23),Y23*60,0)+IF(ISNUMBER(Z23),Z23,0))))</f>
        <v/>
      </c>
      <c r="BA23" s="93" t="str">
        <f aca="false">IF(ISBLANK($C23),"",IF(AA23=Constants!$B$2,TRUE(),IF(AA23=Constants!$B$3,FALSE(),FALSE())))</f>
        <v/>
      </c>
      <c r="BB23" s="92" t="str">
        <f aca="false">IF(ISBLANK($C23),"",AND($AL23,OR($AM23="",$AN23="",AND($AO23,$AP23=""))))</f>
        <v/>
      </c>
      <c r="BC23" s="94" t="str">
        <f aca="false">IF($BX23&lt;&gt;Constants!$B$6,"",IF($AL23,Constants!$B$17*$AN23+Constants!$B$18*IF($AO23,$AP23,Constants!$B$19),Constants!$B$20))</f>
        <v/>
      </c>
      <c r="BD23" s="97" t="str">
        <f aca="false">IF($BX23&lt;&gt;Constants!$B$6,"",Constants!$B$21*ABS($AD$9-IF($AL23,$AM23,0)))</f>
        <v/>
      </c>
      <c r="BE23" s="97" t="str">
        <f aca="false">IF($BX23&lt;&gt;Constants!$B$6,"",IF(AND($AL23,$AQ23,$AO23),Constants!$B$22,0))</f>
        <v/>
      </c>
      <c r="BF23" s="97" t="str">
        <f aca="false">IF($BX23&lt;&gt;Constants!$B$6,"",IF($AL23,($AI23-Constants!$B$24)*Constants!$B$23,0))</f>
        <v/>
      </c>
      <c r="BG23" s="97" t="str">
        <f aca="false">IF($BX23&lt;&gt;Constants!$B$6,"",IF($AK23,0,Constants!$B$12)+IF($AJ23,0,Constants!$B$13)+IF($AH23,0,Constants!$B$14))</f>
        <v/>
      </c>
      <c r="BH23" s="98" t="str">
        <f aca="false">IF($BX23&lt;&gt;Constants!$B$6,"",Constants!$B$16+SUM($BC23:$BG23))</f>
        <v/>
      </c>
      <c r="BI23" s="97" t="str">
        <f aca="false">IF($BX23&lt;&gt;Constants!$B$6,"",$BC23)</f>
        <v/>
      </c>
      <c r="BJ23" s="97" t="str">
        <f aca="false">IF($BX23&lt;&gt;Constants!$B$6,"",$BD23)</f>
        <v/>
      </c>
      <c r="BK23" s="99" t="str">
        <f aca="false">IF($BX23&lt;&gt;Constants!$B$6,"",IF($AL23,$AN23,""))</f>
        <v/>
      </c>
      <c r="BL23" s="93" t="str">
        <f aca="false">IF($BX23&lt;&gt;Constants!$B$6,"",IF(OR($BS23&lt;$BH23,AND($BS23=$BH23,OR($BT23&lt;$BI23,AND($BT23=$BI23,OR($BU23&lt;$BJ23,AND($BU23=$BJ23,AND(ISNUMBER($BV23),OR(NOT(ISNUMBER($BK23)),$BV23&lt;$BK23)))))))),"-&gt;","&lt;-"))</f>
        <v/>
      </c>
      <c r="BM23" s="92" t="str">
        <f aca="false">IF(ISBLANK($C23),"",AND($AT23,OR($AU23="",$AV23="",AND($AW23,$AX23=""))))</f>
        <v/>
      </c>
      <c r="BN23" s="94" t="str">
        <f aca="false">IF($BX23&lt;&gt;Constants!$B$6,"",IF($AT23,Constants!$B$17*$AV23+Constants!$B$18*IF($AW23,$AX23,Constants!$B$19),Constants!$B$20))</f>
        <v/>
      </c>
      <c r="BO23" s="97" t="str">
        <f aca="false">IF($BX23&lt;&gt;Constants!$B$6,"",Constants!$B$21*ABS($AD$9-IF($AT23,$AU23,0)))</f>
        <v/>
      </c>
      <c r="BP23" s="97" t="str">
        <f aca="false">IF($BX23&lt;&gt;Constants!$B$6,"",IF(AND($AT23,$AY23,$AW23),Constants!$B$22,0))</f>
        <v/>
      </c>
      <c r="BQ23" s="97" t="str">
        <f aca="false">IF($BX23&lt;&gt;Constants!$B$6,"",IF($AT23,($AI23-Constants!$B$24)*Constants!$B$23,0))</f>
        <v/>
      </c>
      <c r="BR23" s="97" t="str">
        <f aca="false">IF($BX23&lt;&gt;Constants!$B$6,"",IF($AS23,0,Constants!$B$12)+IF($AR23,0,Constants!$B$13)+IF($AH23,0,Constants!$B$14))</f>
        <v/>
      </c>
      <c r="BS23" s="98" t="str">
        <f aca="false">IF($BX23&lt;&gt;Constants!$B$6,"",Constants!$B$16+SUM($BN23:$BR23))</f>
        <v/>
      </c>
      <c r="BT23" s="97" t="str">
        <f aca="false">IF($BX23&lt;&gt;Constants!$B$6,"",$BN23)</f>
        <v/>
      </c>
      <c r="BU23" s="97" t="str">
        <f aca="false">IF($BX23&lt;&gt;Constants!$B$6,"",$BO23)</f>
        <v/>
      </c>
      <c r="BV23" s="99" t="str">
        <f aca="false">IF($BX23&lt;&gt;Constants!$B$6,"",IF($AT23,$AV23,""))</f>
        <v/>
      </c>
      <c r="BW23" s="93" t="str">
        <f aca="false">IF(ISBLANK($C23),"",IF(ISBLANK($D$7),$BW$5,IF(NOT(ISNUMBER($D$7)),$BW$6,"")))</f>
        <v/>
      </c>
      <c r="BX23" s="93" t="str">
        <f aca="false">IF(ISBLANK($C23),"",IF($BA23,Constants!$B$9,IF(COUNTA($E23:$AA23)=0,Constants!$B$8,IF(NOT($AG23),Constants!$B$7,IF(OR($BW23&lt;&gt;"",$BB23,$BM23),Constants!$B$10,Constants!$B$6)))))</f>
        <v/>
      </c>
      <c r="BY23" s="93" t="str">
        <f aca="false">IF(ISBLANK($C23),"",IF($BX23&lt;&gt;Constants!$B$6,$BX23,Constants!$B$11))</f>
        <v/>
      </c>
      <c r="BZ23" s="97" t="str">
        <f aca="false">IF($BX23&lt;&gt;Constants!$B$6,"",IF($BL23="-&gt;",$BS23,$BH23))</f>
        <v/>
      </c>
      <c r="CA23" s="97" t="str">
        <f aca="false">IF($BX23&lt;&gt;Constants!$B$6,"",IF($AF23,0,Constants!$B$15))</f>
        <v/>
      </c>
      <c r="CB23" s="97" t="str">
        <f aca="false">IF($BX23&lt;&gt;Constants!$B$6,"",((Constants!$B$25-$AZ23)-Constants!$B$25)/Constants!$B$26)</f>
        <v/>
      </c>
      <c r="CC23" s="97" t="str">
        <f aca="false">IF(ISBLANK($C23),"",IF($BX23&lt;&gt;Constants!$B$6,$BX23,SUM($BZ23:$CB23)))</f>
        <v/>
      </c>
      <c r="CD23" s="93" t="str">
        <f aca="false">IF(ISBLANK($C23),"",IF($BX23&lt;&gt;Constants!$B$6,$BX23,RANK($CC23,$CC$9:$CC$508,1)))</f>
        <v/>
      </c>
      <c r="CE23" s="97" t="str">
        <f aca="false">IF($BX23&lt;&gt;Constants!$B$6,"",IF($BL23="-&gt;",$BT23,$BI23))</f>
        <v/>
      </c>
      <c r="CF23" s="93" t="str">
        <f aca="false">IF(ISBLANK($C23),"",IF($BX23&lt;&gt;Constants!$B$6,$BX23,IF(ISNUMBER($CE23),RANK($CE23,$CE$9:$CE$508,1),COUNT($CE$9:$CE$508)+1)))</f>
        <v/>
      </c>
      <c r="CG23" s="97" t="str">
        <f aca="false">IF($BX23&lt;&gt;Constants!$B$6,"",IF($BL23="-&gt;",$BU23,$BJ23))</f>
        <v/>
      </c>
      <c r="CH23" s="93" t="str">
        <f aca="false">IF(ISBLANK($C23),"",IF($BX23&lt;&gt;Constants!$B$6,$BX23,IF(ISNUMBER($CG23),RANK($CG23,$CG$9:$CG$508,1),COUNT($CG$9:$CG$508)+1)))</f>
        <v/>
      </c>
      <c r="CI23" s="97" t="str">
        <f aca="false">IF($BX23&lt;&gt;Constants!$B$6,"",IF($BL23="-&gt;",$BV23,$BK23))</f>
        <v/>
      </c>
      <c r="CJ23" s="93" t="str">
        <f aca="false">IF(ISBLANK($C23),"",IF($BX23&lt;&gt;Constants!$B$6,$BX23,IF(ISNUMBER($CI23),RANK($CI23,$CI$9:$CI$508,1),COUNT($CI$9:$CI$508)+1)))</f>
        <v/>
      </c>
      <c r="CK23" s="97" t="str">
        <f aca="false">IF($BX23&lt;&gt;Constants!$B$6,"",$AI23)</f>
        <v/>
      </c>
      <c r="CL23" s="93" t="str">
        <f aca="false">IF(ISBLANK($C23),"",IF($BX23&lt;&gt;Constants!$B$6,$BX23,IF(ISNUMBER($CK23),RANK($CK23,$CK$9:$CK$508,1),COUNT($CK$9:$CK$508)+1)))</f>
        <v/>
      </c>
      <c r="CM23" s="93" t="str">
        <f aca="false">IF(ISBLANK($C23),"",IF($BX23&lt;&gt;Constants!$B$6,$BX23,COUNTIFS($CD$9:$CD$508,"&lt;"&amp;$CD23)+COUNTIFS($CD$9:$CD$508,$CD23,$CF$9:$CF$508,"&lt;"&amp;$CF23)+COUNTIFS($CD$9:$CD$508,$CD23,$CF$9:$CF$508,$CF23,$CH$9:$CH$508,"&lt;"&amp;$CH23)+COUNTIFS($CD$9:$CD$508,$CD23,$CF$9:$CF$508,$CF23,$CH$9:$CH$508,$CH23,$CJ$9:$CJ$508,"&lt;"&amp;$CJ23)+COUNTIFS($CD$9:$CD$508,$CD23,$CF$9:$CF$508,$CF23,$CH$9:$CH$508,$CH23,$CJ$9:$CJ$508,$CJ23,$CL$9:$CL$508,"&lt;"&amp;$CL23)+1))</f>
        <v/>
      </c>
      <c r="CN23" s="93" t="str">
        <f aca="false">IF(ISBLANK($C23),"",IF($BX23&lt;&gt;Constants!$B$6,$BX23,$CD23-$CM23))</f>
        <v/>
      </c>
      <c r="CO23" s="100"/>
      <c r="CP23" s="101"/>
      <c r="CQ23" s="102" t="str">
        <f aca="false">IF(ISBLANK($C23),"",IF($BX23=Constants!$B$10,$BW23,""))</f>
        <v/>
      </c>
      <c r="CR23" s="101" t="str">
        <f aca="false">IF(ISBLANK($C23),"",IF($BX23&lt;&gt;Constants!$B$6,"",IF($BL23="-&gt;",2,1)))</f>
        <v/>
      </c>
      <c r="CS23" s="103" t="str">
        <f aca="false">IF(ISBLANK($C23),"",IF($BX23&lt;&gt;Constants!$B$6,"",IF($BL23="-&gt;",$BN23,$BC23)))</f>
        <v/>
      </c>
      <c r="CT23" s="103" t="str">
        <f aca="false">IF(ISBLANK($C23),"",IF($BX23&lt;&gt;Constants!$B$6,"",IF($BL23="-&gt;",$BO23,$BD23)))</f>
        <v/>
      </c>
      <c r="CU23" s="103" t="str">
        <f aca="false">IF(ISBLANK($C23),"",IF($BX23&lt;&gt;Constants!$B$6,"",IF($BL23="-&gt;",$BP23+$BQ23,$BE23+$BF23)+$CB23))</f>
        <v/>
      </c>
      <c r="CV23" s="103" t="str">
        <f aca="false">IF(ISBLANK($C23),"",IF($BX23&lt;&gt;Constants!$B$6,"",IF($BL23="-&gt;",$BR23,$BG23)+$CA23))</f>
        <v/>
      </c>
      <c r="CW23" s="104" t="str">
        <f aca="false">IF(ISBLANK($C23),"",IF($BX23&lt;&gt;Constants!$B$6,$BX23,$CC23))</f>
        <v/>
      </c>
      <c r="CX23" s="105" t="str">
        <f aca="false">IF(ISBLANK($C23),"",$BY23)</f>
        <v/>
      </c>
      <c r="CY23" s="106" t="str">
        <f aca="false">IF(ISBLANK($C23),"",$CN23)</f>
        <v/>
      </c>
      <c r="CZ23" s="106" t="str">
        <f aca="false">IF(ISBLANK($C23),"",$CM23)</f>
        <v/>
      </c>
      <c r="DA23" s="107" t="str">
        <f aca="false">IF(ISBLANK($C23),"",IFERROR(_xlfn.SWITCH($CZ23,Constants!$B$9,COUNTA($C$9:$C$508)+2,Constants!$B$8,COUNTA($C$9:$C$508)+1,Constants!$B$7,COUNTA($C$9:$C$508)),$CZ23))</f>
        <v/>
      </c>
      <c r="DB23" s="9"/>
      <c r="DC23" s="108" t="n">
        <f aca="false">IF(OR(ISNUMBER($CZ23),$CZ23=Constants!$B$9,$CZ23=Constants!$B$7,$CZ23=Constants!$B$8),1,0)</f>
        <v>0</v>
      </c>
      <c r="DD23" s="108" t="n">
        <v>15</v>
      </c>
      <c r="DE23" s="108" t="str">
        <f aca="false">IF(ISBLANK($C23),"",IF(ISNUMBER($DA23),$DA23+ROW($B23)/1000,""))</f>
        <v/>
      </c>
      <c r="DF23" s="108" t="str">
        <f aca="false">IF(ISNUMBER($DE23),RANK($DE23,$DE$9:$DE$508,1),"")</f>
        <v/>
      </c>
      <c r="DG23" s="108" t="str">
        <f aca="false">IF(ISBLANK($C23),"",$B23)</f>
        <v/>
      </c>
      <c r="DH23" s="108" t="str">
        <f aca="false">IF(ISBLANK($C23),"",$C23)</f>
        <v/>
      </c>
      <c r="DI23" s="108" t="str">
        <f aca="false">IF(ISBLANK($C23),"",$D23)</f>
        <v/>
      </c>
      <c r="DJ23" s="109" t="str">
        <f aca="false">$CX23</f>
        <v/>
      </c>
      <c r="DK23" s="110" t="str">
        <f aca="false">$CW23</f>
        <v/>
      </c>
      <c r="DL23" s="108" t="str">
        <f aca="false">IF(ISBLANK($C23),"",$CZ23)</f>
        <v/>
      </c>
      <c r="DM23" s="111" t="str">
        <f aca="false">IF($DD23&gt;$DC$8,"",VLOOKUP($DD23,$DF$9:$DL$508,7,FALSE()))</f>
        <v/>
      </c>
      <c r="DN23" s="112" t="str">
        <f aca="false">IF($DD23&gt;$DC$8,"",VLOOKUP($DD23,$DF$9:$DL$508,2,FALSE()))</f>
        <v/>
      </c>
      <c r="DO23" s="112" t="str">
        <f aca="false">IF($DD23&gt;$DC$8,"",VLOOKUP($DD23,$DF$9:$DL$508,3,FALSE()))</f>
        <v/>
      </c>
      <c r="DP23" s="112" t="str">
        <f aca="false">IF($DD23&gt;$DC$8,"",VLOOKUP($DD23,$DF$9:$DL$508,4,FALSE()))</f>
        <v/>
      </c>
      <c r="DQ23" s="112" t="str">
        <f aca="false">IF($DD23&gt;$DC$8,"",VLOOKUP($DD23,$DF$9:$DL$508,5,FALSE()))</f>
        <v/>
      </c>
      <c r="DR23" s="113" t="str">
        <f aca="false">IF($DD23&gt;$DC$8,"",VLOOKUP($DD23,$DF$9:$DL$508,6,FALSE()))</f>
        <v/>
      </c>
      <c r="DS23" s="76"/>
    </row>
    <row r="24" customFormat="false" ht="15.75" hidden="false" customHeight="false" outlineLevel="0" collapsed="false">
      <c r="A24" s="9"/>
      <c r="B24" s="160"/>
      <c r="C24" s="161"/>
      <c r="D24" s="162"/>
      <c r="E24" s="163"/>
      <c r="F24" s="164"/>
      <c r="G24" s="165"/>
      <c r="H24" s="165"/>
      <c r="I24" s="166"/>
      <c r="J24" s="167"/>
      <c r="K24" s="128"/>
      <c r="L24" s="129"/>
      <c r="M24" s="130"/>
      <c r="N24" s="167"/>
      <c r="O24" s="167"/>
      <c r="P24" s="163"/>
      <c r="Q24" s="167"/>
      <c r="R24" s="167"/>
      <c r="S24" s="128"/>
      <c r="T24" s="130"/>
      <c r="U24" s="130"/>
      <c r="V24" s="167"/>
      <c r="W24" s="167"/>
      <c r="X24" s="163"/>
      <c r="Y24" s="168"/>
      <c r="Z24" s="169"/>
      <c r="AA24" s="168"/>
      <c r="AB24" s="134"/>
      <c r="AC24" s="135"/>
      <c r="AD24" s="135"/>
      <c r="AE24" s="135"/>
      <c r="AF24" s="135" t="str">
        <f aca="false">IF(ISBLANK($C24),"",IF(E24=Constants!$B$2,TRUE(),IF(E24=Constants!$B$3,FALSE(),TRUE())))</f>
        <v/>
      </c>
      <c r="AG24" s="135" t="str">
        <f aca="false">IF(ISBLANK($C24),"",IF(F24=Constants!$B$2,TRUE(),IF(F24=Constants!$B$3,FALSE(),TRUE())))</f>
        <v/>
      </c>
      <c r="AH24" s="135" t="str">
        <f aca="false">IF(ISBLANK($C24),"",IF(G24=Constants!$B$2,TRUE(),IF(G24=Constants!$B$3,FALSE(),TRUE())))</f>
        <v/>
      </c>
      <c r="AI24" s="135" t="str">
        <f aca="false">IF(ISBLANK($C24),"",IF(AND(ISNUMBER(H24),H24&gt;=0),H24,Constants!$B$24))</f>
        <v/>
      </c>
      <c r="AJ24" s="135" t="str">
        <f aca="false">IF(ISBLANK($C24),"",IF(I24=Constants!$B$2,TRUE(),IF(I24=Constants!$B$3,FALSE(),TRUE())))</f>
        <v/>
      </c>
      <c r="AK24" s="135" t="str">
        <f aca="false">IF(ISBLANK($C24),"",IF(J24=Constants!$B$2,TRUE(),IF(J24=Constants!$B$3,FALSE(),TRUE())))</f>
        <v/>
      </c>
      <c r="AL24" s="135" t="str">
        <f aca="false">IF(ISBLANK($C24),"",IF(K24=Constants!$B$4,TRUE(),IF(K24=Constants!$B$5,FALSE(),COUNTA(L24:P24)&gt;0)))</f>
        <v/>
      </c>
      <c r="AM24" s="136" t="str">
        <f aca="false">IF(ISBLANK($C24),"",IF(ISNUMBER(L24),IF(L24&gt;=0,L24,""),""))</f>
        <v/>
      </c>
      <c r="AN24" s="137" t="str">
        <f aca="false">IF(ISBLANK($C24),"",IF(ISNUMBER(M24),IF(M24&gt;=0,M24,""),""))</f>
        <v/>
      </c>
      <c r="AO24" s="137" t="str">
        <f aca="false">IF(ISBLANK($C24),"",IF(N24=Constants!$B$2,TRUE(),IF(N24=Constants!$B$3,FALSE(),TRUE())))</f>
        <v/>
      </c>
      <c r="AP24" s="135" t="str">
        <f aca="false">IF(ISBLANK($C24),"",IF(ISNUMBER(O24),IF(O24&gt;=0,O24,""),""))</f>
        <v/>
      </c>
      <c r="AQ24" s="135" t="str">
        <f aca="false">IF(ISBLANK($C24),"",IF(P24=Constants!$B$2,TRUE(),IF(P24=Constants!$B$3,FALSE(),FALSE())))</f>
        <v/>
      </c>
      <c r="AR24" s="135" t="str">
        <f aca="false">IF(ISBLANK($C24),"",IF(Q24=Constants!$B$2,TRUE(),IF(Q24=Constants!$B$3,FALSE(),TRUE())))</f>
        <v/>
      </c>
      <c r="AS24" s="135" t="str">
        <f aca="false">IF(ISBLANK($C24),"",IF(R24=Constants!$B$2,TRUE(),IF(R24=Constants!$B$3,FALSE(),TRUE())))</f>
        <v/>
      </c>
      <c r="AT24" s="135" t="str">
        <f aca="false">IF(ISBLANK($C24),"",IF(S24=Constants!$B$4,TRUE(),IF(S24=Constants!$B$5,FALSE(),COUNTA(T24:X24)&gt;0)))</f>
        <v/>
      </c>
      <c r="AU24" s="136" t="str">
        <f aca="false">IF(ISBLANK($C24),"",IF(ISNUMBER(T24),IF(T24&gt;=0,T24,""),""))</f>
        <v/>
      </c>
      <c r="AV24" s="137" t="str">
        <f aca="false">IF(ISBLANK($C24),"",IF(ISNUMBER(U24),IF(U24&gt;=0,U24,""),""))</f>
        <v/>
      </c>
      <c r="AW24" s="137" t="str">
        <f aca="false">IF(ISBLANK($C24),"",IF(V24=Constants!$B$2,TRUE(),IF(V24=Constants!$B$3,FALSE(),TRUE())))</f>
        <v/>
      </c>
      <c r="AX24" s="135" t="str">
        <f aca="false">IF(ISBLANK($C24),"",IF(ISNUMBER(W24),IF(W24&gt;=0,W24,""),""))</f>
        <v/>
      </c>
      <c r="AY24" s="135" t="str">
        <f aca="false">IF(ISBLANK($C24),"",IF(X24=Constants!$B$2,TRUE(),IF(X24=Constants!$B$3,FALSE(),FALSE())))</f>
        <v/>
      </c>
      <c r="AZ24" s="135" t="str">
        <f aca="false">IF(ISBLANK($C24),"",MIN(Constants!$B$25,MAX(0,IF(ISNUMBER(Y24),Y24*60,0)+IF(ISNUMBER(Z24),Z24,0))))</f>
        <v/>
      </c>
      <c r="BA24" s="135" t="str">
        <f aca="false">IF(ISBLANK($C24),"",IF(AA24=Constants!$B$2,TRUE(),IF(AA24=Constants!$B$3,FALSE(),FALSE())))</f>
        <v/>
      </c>
      <c r="BB24" s="134" t="str">
        <f aca="false">IF(ISBLANK($C24),"",AND($AL24,OR($AM24="",$AN24="",AND($AO24,$AP24=""))))</f>
        <v/>
      </c>
      <c r="BC24" s="137" t="str">
        <f aca="false">IF($BX24&lt;&gt;Constants!$B$6,"",IF($AL24,Constants!$B$17*$AN24+Constants!$B$18*IF($AO24,$AP24,Constants!$B$19),Constants!$B$20))</f>
        <v/>
      </c>
      <c r="BD24" s="138" t="str">
        <f aca="false">IF($BX24&lt;&gt;Constants!$B$6,"",Constants!$B$21*ABS($AD$9-IF($AL24,$AM24,0)))</f>
        <v/>
      </c>
      <c r="BE24" s="138" t="str">
        <f aca="false">IF($BX24&lt;&gt;Constants!$B$6,"",IF(AND($AL24,$AQ24,$AO24),Constants!$B$22,0))</f>
        <v/>
      </c>
      <c r="BF24" s="138" t="str">
        <f aca="false">IF($BX24&lt;&gt;Constants!$B$6,"",IF($AL24,($AI24-Constants!$B$24)*Constants!$B$23,0))</f>
        <v/>
      </c>
      <c r="BG24" s="138" t="str">
        <f aca="false">IF($BX24&lt;&gt;Constants!$B$6,"",IF($AK24,0,Constants!$B$12)+IF($AJ24,0,Constants!$B$13)+IF($AH24,0,Constants!$B$14))</f>
        <v/>
      </c>
      <c r="BH24" s="139" t="str">
        <f aca="false">IF($BX24&lt;&gt;Constants!$B$6,"",Constants!$B$16+SUM($BC24:$BG24))</f>
        <v/>
      </c>
      <c r="BI24" s="138" t="str">
        <f aca="false">IF($BX24&lt;&gt;Constants!$B$6,"",$BC24)</f>
        <v/>
      </c>
      <c r="BJ24" s="138" t="str">
        <f aca="false">IF($BX24&lt;&gt;Constants!$B$6,"",$BD24)</f>
        <v/>
      </c>
      <c r="BK24" s="140" t="str">
        <f aca="false">IF($BX24&lt;&gt;Constants!$B$6,"",IF($AL24,$AN24,""))</f>
        <v/>
      </c>
      <c r="BL24" s="135" t="str">
        <f aca="false">IF($BX24&lt;&gt;Constants!$B$6,"",IF(OR($BS24&lt;$BH24,AND($BS24=$BH24,OR($BT24&lt;$BI24,AND($BT24=$BI24,OR($BU24&lt;$BJ24,AND($BU24=$BJ24,AND(ISNUMBER($BV24),OR(NOT(ISNUMBER($BK24)),$BV24&lt;$BK24)))))))),"-&gt;","&lt;-"))</f>
        <v/>
      </c>
      <c r="BM24" s="134" t="str">
        <f aca="false">IF(ISBLANK($C24),"",AND($AT24,OR($AU24="",$AV24="",AND($AW24,$AX24=""))))</f>
        <v/>
      </c>
      <c r="BN24" s="137" t="str">
        <f aca="false">IF($BX24&lt;&gt;Constants!$B$6,"",IF($AT24,Constants!$B$17*$AV24+Constants!$B$18*IF($AW24,$AX24,Constants!$B$19),Constants!$B$20))</f>
        <v/>
      </c>
      <c r="BO24" s="138" t="str">
        <f aca="false">IF($BX24&lt;&gt;Constants!$B$6,"",Constants!$B$21*ABS($AD$9-IF($AT24,$AU24,0)))</f>
        <v/>
      </c>
      <c r="BP24" s="138" t="str">
        <f aca="false">IF($BX24&lt;&gt;Constants!$B$6,"",IF(AND($AT24,$AY24,$AW24),Constants!$B$22,0))</f>
        <v/>
      </c>
      <c r="BQ24" s="138" t="str">
        <f aca="false">IF($BX24&lt;&gt;Constants!$B$6,"",IF($AT24,($AI24-Constants!$B$24)*Constants!$B$23,0))</f>
        <v/>
      </c>
      <c r="BR24" s="138" t="str">
        <f aca="false">IF($BX24&lt;&gt;Constants!$B$6,"",IF($AS24,0,Constants!$B$12)+IF($AR24,0,Constants!$B$13)+IF($AH24,0,Constants!$B$14))</f>
        <v/>
      </c>
      <c r="BS24" s="139" t="str">
        <f aca="false">IF($BX24&lt;&gt;Constants!$B$6,"",Constants!$B$16+SUM($BN24:$BR24))</f>
        <v/>
      </c>
      <c r="BT24" s="138" t="str">
        <f aca="false">IF($BX24&lt;&gt;Constants!$B$6,"",$BN24)</f>
        <v/>
      </c>
      <c r="BU24" s="138" t="str">
        <f aca="false">IF($BX24&lt;&gt;Constants!$B$6,"",$BO24)</f>
        <v/>
      </c>
      <c r="BV24" s="140" t="str">
        <f aca="false">IF($BX24&lt;&gt;Constants!$B$6,"",IF($AT24,$AV24,""))</f>
        <v/>
      </c>
      <c r="BW24" s="135" t="str">
        <f aca="false">IF(ISBLANK($C24),"",IF(ISBLANK($D$7),$BW$5,IF(NOT(ISNUMBER($D$7)),$BW$6,"")))</f>
        <v/>
      </c>
      <c r="BX24" s="135" t="str">
        <f aca="false">IF(ISBLANK($C24),"",IF($BA24,Constants!$B$9,IF(COUNTA($E24:$AA24)=0,Constants!$B$8,IF(NOT($AG24),Constants!$B$7,IF(OR($BW24&lt;&gt;"",$BB24,$BM24),Constants!$B$10,Constants!$B$6)))))</f>
        <v/>
      </c>
      <c r="BY24" s="135" t="str">
        <f aca="false">IF(ISBLANK($C24),"",IF($BX24&lt;&gt;Constants!$B$6,$BX24,Constants!$B$11))</f>
        <v/>
      </c>
      <c r="BZ24" s="138" t="str">
        <f aca="false">IF($BX24&lt;&gt;Constants!$B$6,"",IF($BL24="-&gt;",$BS24,$BH24))</f>
        <v/>
      </c>
      <c r="CA24" s="138" t="str">
        <f aca="false">IF($BX24&lt;&gt;Constants!$B$6,"",IF($AF24,0,Constants!$B$15))</f>
        <v/>
      </c>
      <c r="CB24" s="138" t="str">
        <f aca="false">IF($BX24&lt;&gt;Constants!$B$6,"",((Constants!$B$25-$AZ24)-Constants!$B$25)/Constants!$B$26)</f>
        <v/>
      </c>
      <c r="CC24" s="138" t="str">
        <f aca="false">IF(ISBLANK($C24),"",IF($BX24&lt;&gt;Constants!$B$6,$BX24,SUM($BZ24:$CB24)))</f>
        <v/>
      </c>
      <c r="CD24" s="135" t="str">
        <f aca="false">IF(ISBLANK($C24),"",IF($BX24&lt;&gt;Constants!$B$6,$BX24,RANK($CC24,$CC$9:$CC$508,1)))</f>
        <v/>
      </c>
      <c r="CE24" s="138" t="str">
        <f aca="false">IF($BX24&lt;&gt;Constants!$B$6,"",IF($BL24="-&gt;",$BT24,$BI24))</f>
        <v/>
      </c>
      <c r="CF24" s="135" t="str">
        <f aca="false">IF(ISBLANK($C24),"",IF($BX24&lt;&gt;Constants!$B$6,$BX24,IF(ISNUMBER($CE24),RANK($CE24,$CE$9:$CE$508,1),COUNT($CE$9:$CE$508)+1)))</f>
        <v/>
      </c>
      <c r="CG24" s="138" t="str">
        <f aca="false">IF($BX24&lt;&gt;Constants!$B$6,"",IF($BL24="-&gt;",$BU24,$BJ24))</f>
        <v/>
      </c>
      <c r="CH24" s="135" t="str">
        <f aca="false">IF(ISBLANK($C24),"",IF($BX24&lt;&gt;Constants!$B$6,$BX24,IF(ISNUMBER($CG24),RANK($CG24,$CG$9:$CG$508,1),COUNT($CG$9:$CG$508)+1)))</f>
        <v/>
      </c>
      <c r="CI24" s="138" t="str">
        <f aca="false">IF($BX24&lt;&gt;Constants!$B$6,"",IF($BL24="-&gt;",$BV24,$BK24))</f>
        <v/>
      </c>
      <c r="CJ24" s="135" t="str">
        <f aca="false">IF(ISBLANK($C24),"",IF($BX24&lt;&gt;Constants!$B$6,$BX24,IF(ISNUMBER($CI24),RANK($CI24,$CI$9:$CI$508,1),COUNT($CI$9:$CI$508)+1)))</f>
        <v/>
      </c>
      <c r="CK24" s="138" t="str">
        <f aca="false">IF($BX24&lt;&gt;Constants!$B$6,"",$AI24)</f>
        <v/>
      </c>
      <c r="CL24" s="135" t="str">
        <f aca="false">IF(ISBLANK($C24),"",IF($BX24&lt;&gt;Constants!$B$6,$BX24,IF(ISNUMBER($CK24),RANK($CK24,$CK$9:$CK$508,1),COUNT($CK$9:$CK$508)+1)))</f>
        <v/>
      </c>
      <c r="CM24" s="135" t="str">
        <f aca="false">IF(ISBLANK($C24),"",IF($BX24&lt;&gt;Constants!$B$6,$BX24,COUNTIFS($CD$9:$CD$508,"&lt;"&amp;$CD24)+COUNTIFS($CD$9:$CD$508,$CD24,$CF$9:$CF$508,"&lt;"&amp;$CF24)+COUNTIFS($CD$9:$CD$508,$CD24,$CF$9:$CF$508,$CF24,$CH$9:$CH$508,"&lt;"&amp;$CH24)+COUNTIFS($CD$9:$CD$508,$CD24,$CF$9:$CF$508,$CF24,$CH$9:$CH$508,$CH24,$CJ$9:$CJ$508,"&lt;"&amp;$CJ24)+COUNTIFS($CD$9:$CD$508,$CD24,$CF$9:$CF$508,$CF24,$CH$9:$CH$508,$CH24,$CJ$9:$CJ$508,$CJ24,$CL$9:$CL$508,"&lt;"&amp;$CL24)+1))</f>
        <v/>
      </c>
      <c r="CN24" s="135" t="str">
        <f aca="false">IF(ISBLANK($C24),"",IF($BX24&lt;&gt;Constants!$B$6,$BX24,$CD24-$CM24))</f>
        <v/>
      </c>
      <c r="CO24" s="141"/>
      <c r="CP24" s="142"/>
      <c r="CQ24" s="143" t="str">
        <f aca="false">IF(ISBLANK($C24),"",IF($BX24=Constants!$B$10,$BW24,""))</f>
        <v/>
      </c>
      <c r="CR24" s="142" t="str">
        <f aca="false">IF(ISBLANK($C24),"",IF($BX24&lt;&gt;Constants!$B$6,"",IF($BL24="-&gt;",2,1)))</f>
        <v/>
      </c>
      <c r="CS24" s="144" t="str">
        <f aca="false">IF(ISBLANK($C24),"",IF($BX24&lt;&gt;Constants!$B$6,"",IF($BL24="-&gt;",$BN24,$BC24)))</f>
        <v/>
      </c>
      <c r="CT24" s="144" t="str">
        <f aca="false">IF(ISBLANK($C24),"",IF($BX24&lt;&gt;Constants!$B$6,"",IF($BL24="-&gt;",$BO24,$BD24)))</f>
        <v/>
      </c>
      <c r="CU24" s="144" t="str">
        <f aca="false">IF(ISBLANK($C24),"",IF($BX24&lt;&gt;Constants!$B$6,"",IF($BL24="-&gt;",$BP24+$BQ24,$BE24+$BF24)+$CB24))</f>
        <v/>
      </c>
      <c r="CV24" s="144" t="str">
        <f aca="false">IF(ISBLANK($C24),"",IF($BX24&lt;&gt;Constants!$B$6,"",IF($BL24="-&gt;",$BR24,$BG24)+$CA24))</f>
        <v/>
      </c>
      <c r="CW24" s="145" t="str">
        <f aca="false">IF(ISBLANK($C24),"",IF($BX24&lt;&gt;Constants!$B$6,$BX24,$CC24))</f>
        <v/>
      </c>
      <c r="CX24" s="146" t="str">
        <f aca="false">IF(ISBLANK($C24),"",$BY24)</f>
        <v/>
      </c>
      <c r="CY24" s="147" t="str">
        <f aca="false">IF(ISBLANK($C24),"",$CN24)</f>
        <v/>
      </c>
      <c r="CZ24" s="147" t="str">
        <f aca="false">IF(ISBLANK($C24),"",$CM24)</f>
        <v/>
      </c>
      <c r="DA24" s="148" t="str">
        <f aca="false">IF(ISBLANK($C24),"",IFERROR(_xlfn.SWITCH($CZ24,Constants!$B$9,COUNTA($C$9:$C$508)+2,Constants!$B$8,COUNTA($C$9:$C$508)+1,Constants!$B$7,COUNTA($C$9:$C$508)),$CZ24))</f>
        <v/>
      </c>
      <c r="DB24" s="9"/>
      <c r="DC24" s="149" t="n">
        <f aca="false">IF(OR(ISNUMBER($CZ24),$CZ24=Constants!$B$9,$CZ24=Constants!$B$7,$CZ24=Constants!$B$8),1,0)</f>
        <v>0</v>
      </c>
      <c r="DD24" s="149" t="n">
        <v>16</v>
      </c>
      <c r="DE24" s="149" t="str">
        <f aca="false">IF(ISBLANK($C24),"",IF(ISNUMBER($DA24),$DA24+ROW($B24)/1000,""))</f>
        <v/>
      </c>
      <c r="DF24" s="149" t="str">
        <f aca="false">IF(ISNUMBER($DE24),RANK($DE24,$DE$9:$DE$508,1),"")</f>
        <v/>
      </c>
      <c r="DG24" s="149" t="str">
        <f aca="false">IF(ISBLANK($C24),"",$B24)</f>
        <v/>
      </c>
      <c r="DH24" s="149" t="str">
        <f aca="false">IF(ISBLANK($C24),"",$C24)</f>
        <v/>
      </c>
      <c r="DI24" s="149" t="str">
        <f aca="false">IF(ISBLANK($C24),"",$D24)</f>
        <v/>
      </c>
      <c r="DJ24" s="150" t="str">
        <f aca="false">$CX24</f>
        <v/>
      </c>
      <c r="DK24" s="151" t="str">
        <f aca="false">$CW24</f>
        <v/>
      </c>
      <c r="DL24" s="149" t="str">
        <f aca="false">IF(ISBLANK($C24),"",$CZ24)</f>
        <v/>
      </c>
      <c r="DM24" s="152" t="str">
        <f aca="false">IF($DD24&gt;$DC$8,"",VLOOKUP($DD24,$DF$9:$DL$508,7,FALSE()))</f>
        <v/>
      </c>
      <c r="DN24" s="153" t="str">
        <f aca="false">IF($DD24&gt;$DC$8,"",VLOOKUP($DD24,$DF$9:$DL$508,2,FALSE()))</f>
        <v/>
      </c>
      <c r="DO24" s="153" t="str">
        <f aca="false">IF($DD24&gt;$DC$8,"",VLOOKUP($DD24,$DF$9:$DL$508,3,FALSE()))</f>
        <v/>
      </c>
      <c r="DP24" s="153" t="str">
        <f aca="false">IF($DD24&gt;$DC$8,"",VLOOKUP($DD24,$DF$9:$DL$508,4,FALSE()))</f>
        <v/>
      </c>
      <c r="DQ24" s="153" t="str">
        <f aca="false">IF($DD24&gt;$DC$8,"",VLOOKUP($DD24,$DF$9:$DL$508,5,FALSE()))</f>
        <v/>
      </c>
      <c r="DR24" s="154" t="str">
        <f aca="false">IF($DD24&gt;$DC$8,"",VLOOKUP($DD24,$DF$9:$DL$508,6,FALSE()))</f>
        <v/>
      </c>
      <c r="DS24" s="76"/>
    </row>
    <row r="25" customFormat="false" ht="15.75" hidden="false" customHeight="false" outlineLevel="0" collapsed="false">
      <c r="A25" s="9"/>
      <c r="B25" s="160"/>
      <c r="C25" s="161"/>
      <c r="D25" s="162"/>
      <c r="E25" s="163"/>
      <c r="F25" s="164"/>
      <c r="G25" s="165"/>
      <c r="H25" s="165"/>
      <c r="I25" s="166"/>
      <c r="J25" s="167"/>
      <c r="K25" s="128"/>
      <c r="L25" s="129"/>
      <c r="M25" s="130"/>
      <c r="N25" s="167"/>
      <c r="O25" s="167"/>
      <c r="P25" s="163"/>
      <c r="Q25" s="167"/>
      <c r="R25" s="167"/>
      <c r="S25" s="128"/>
      <c r="T25" s="130"/>
      <c r="U25" s="130"/>
      <c r="V25" s="167"/>
      <c r="W25" s="167"/>
      <c r="X25" s="163"/>
      <c r="Y25" s="168"/>
      <c r="Z25" s="169"/>
      <c r="AA25" s="168"/>
      <c r="AB25" s="134"/>
      <c r="AC25" s="135"/>
      <c r="AD25" s="135"/>
      <c r="AE25" s="135"/>
      <c r="AF25" s="135" t="str">
        <f aca="false">IF(ISBLANK($C25),"",IF(E25=Constants!$B$2,TRUE(),IF(E25=Constants!$B$3,FALSE(),TRUE())))</f>
        <v/>
      </c>
      <c r="AG25" s="135" t="str">
        <f aca="false">IF(ISBLANK($C25),"",IF(F25=Constants!$B$2,TRUE(),IF(F25=Constants!$B$3,FALSE(),TRUE())))</f>
        <v/>
      </c>
      <c r="AH25" s="135" t="str">
        <f aca="false">IF(ISBLANK($C25),"",IF(G25=Constants!$B$2,TRUE(),IF(G25=Constants!$B$3,FALSE(),TRUE())))</f>
        <v/>
      </c>
      <c r="AI25" s="135" t="str">
        <f aca="false">IF(ISBLANK($C25),"",IF(AND(ISNUMBER(H25),H25&gt;=0),H25,Constants!$B$24))</f>
        <v/>
      </c>
      <c r="AJ25" s="135" t="str">
        <f aca="false">IF(ISBLANK($C25),"",IF(I25=Constants!$B$2,TRUE(),IF(I25=Constants!$B$3,FALSE(),TRUE())))</f>
        <v/>
      </c>
      <c r="AK25" s="135" t="str">
        <f aca="false">IF(ISBLANK($C25),"",IF(J25=Constants!$B$2,TRUE(),IF(J25=Constants!$B$3,FALSE(),TRUE())))</f>
        <v/>
      </c>
      <c r="AL25" s="135" t="str">
        <f aca="false">IF(ISBLANK($C25),"",IF(K25=Constants!$B$4,TRUE(),IF(K25=Constants!$B$5,FALSE(),COUNTA(L25:P25)&gt;0)))</f>
        <v/>
      </c>
      <c r="AM25" s="136" t="str">
        <f aca="false">IF(ISBLANK($C25),"",IF(ISNUMBER(L25),IF(L25&gt;=0,L25,""),""))</f>
        <v/>
      </c>
      <c r="AN25" s="137" t="str">
        <f aca="false">IF(ISBLANK($C25),"",IF(ISNUMBER(M25),IF(M25&gt;=0,M25,""),""))</f>
        <v/>
      </c>
      <c r="AO25" s="137" t="str">
        <f aca="false">IF(ISBLANK($C25),"",IF(N25=Constants!$B$2,TRUE(),IF(N25=Constants!$B$3,FALSE(),TRUE())))</f>
        <v/>
      </c>
      <c r="AP25" s="135" t="str">
        <f aca="false">IF(ISBLANK($C25),"",IF(ISNUMBER(O25),IF(O25&gt;=0,O25,""),""))</f>
        <v/>
      </c>
      <c r="AQ25" s="135" t="str">
        <f aca="false">IF(ISBLANK($C25),"",IF(P25=Constants!$B$2,TRUE(),IF(P25=Constants!$B$3,FALSE(),FALSE())))</f>
        <v/>
      </c>
      <c r="AR25" s="135" t="str">
        <f aca="false">IF(ISBLANK($C25),"",IF(Q25=Constants!$B$2,TRUE(),IF(Q25=Constants!$B$3,FALSE(),TRUE())))</f>
        <v/>
      </c>
      <c r="AS25" s="135" t="str">
        <f aca="false">IF(ISBLANK($C25),"",IF(R25=Constants!$B$2,TRUE(),IF(R25=Constants!$B$3,FALSE(),TRUE())))</f>
        <v/>
      </c>
      <c r="AT25" s="135" t="str">
        <f aca="false">IF(ISBLANK($C25),"",IF(S25=Constants!$B$4,TRUE(),IF(S25=Constants!$B$5,FALSE(),COUNTA(T25:X25)&gt;0)))</f>
        <v/>
      </c>
      <c r="AU25" s="136" t="str">
        <f aca="false">IF(ISBLANK($C25),"",IF(ISNUMBER(T25),IF(T25&gt;=0,T25,""),""))</f>
        <v/>
      </c>
      <c r="AV25" s="137" t="str">
        <f aca="false">IF(ISBLANK($C25),"",IF(ISNUMBER(U25),IF(U25&gt;=0,U25,""),""))</f>
        <v/>
      </c>
      <c r="AW25" s="137" t="str">
        <f aca="false">IF(ISBLANK($C25),"",IF(V25=Constants!$B$2,TRUE(),IF(V25=Constants!$B$3,FALSE(),TRUE())))</f>
        <v/>
      </c>
      <c r="AX25" s="135" t="str">
        <f aca="false">IF(ISBLANK($C25),"",IF(ISNUMBER(W25),IF(W25&gt;=0,W25,""),""))</f>
        <v/>
      </c>
      <c r="AY25" s="135" t="str">
        <f aca="false">IF(ISBLANK($C25),"",IF(X25=Constants!$B$2,TRUE(),IF(X25=Constants!$B$3,FALSE(),FALSE())))</f>
        <v/>
      </c>
      <c r="AZ25" s="135" t="str">
        <f aca="false">IF(ISBLANK($C25),"",MIN(Constants!$B$25,MAX(0,IF(ISNUMBER(Y25),Y25*60,0)+IF(ISNUMBER(Z25),Z25,0))))</f>
        <v/>
      </c>
      <c r="BA25" s="135" t="str">
        <f aca="false">IF(ISBLANK($C25),"",IF(AA25=Constants!$B$2,TRUE(),IF(AA25=Constants!$B$3,FALSE(),FALSE())))</f>
        <v/>
      </c>
      <c r="BB25" s="134" t="str">
        <f aca="false">IF(ISBLANK($C25),"",AND($AL25,OR($AM25="",$AN25="",AND($AO25,$AP25=""))))</f>
        <v/>
      </c>
      <c r="BC25" s="137" t="str">
        <f aca="false">IF($BX25&lt;&gt;Constants!$B$6,"",IF($AL25,Constants!$B$17*$AN25+Constants!$B$18*IF($AO25,$AP25,Constants!$B$19),Constants!$B$20))</f>
        <v/>
      </c>
      <c r="BD25" s="138" t="str">
        <f aca="false">IF($BX25&lt;&gt;Constants!$B$6,"",Constants!$B$21*ABS($AD$9-IF($AL25,$AM25,0)))</f>
        <v/>
      </c>
      <c r="BE25" s="138" t="str">
        <f aca="false">IF($BX25&lt;&gt;Constants!$B$6,"",IF(AND($AL25,$AQ25,$AO25),Constants!$B$22,0))</f>
        <v/>
      </c>
      <c r="BF25" s="138" t="str">
        <f aca="false">IF($BX25&lt;&gt;Constants!$B$6,"",IF($AL25,($AI25-Constants!$B$24)*Constants!$B$23,0))</f>
        <v/>
      </c>
      <c r="BG25" s="138" t="str">
        <f aca="false">IF($BX25&lt;&gt;Constants!$B$6,"",IF($AK25,0,Constants!$B$12)+IF($AJ25,0,Constants!$B$13)+IF($AH25,0,Constants!$B$14))</f>
        <v/>
      </c>
      <c r="BH25" s="139" t="str">
        <f aca="false">IF($BX25&lt;&gt;Constants!$B$6,"",Constants!$B$16+SUM($BC25:$BG25))</f>
        <v/>
      </c>
      <c r="BI25" s="138" t="str">
        <f aca="false">IF($BX25&lt;&gt;Constants!$B$6,"",$BC25)</f>
        <v/>
      </c>
      <c r="BJ25" s="138" t="str">
        <f aca="false">IF($BX25&lt;&gt;Constants!$B$6,"",$BD25)</f>
        <v/>
      </c>
      <c r="BK25" s="140" t="str">
        <f aca="false">IF($BX25&lt;&gt;Constants!$B$6,"",IF($AL25,$AN25,""))</f>
        <v/>
      </c>
      <c r="BL25" s="135" t="str">
        <f aca="false">IF($BX25&lt;&gt;Constants!$B$6,"",IF(OR($BS25&lt;$BH25,AND($BS25=$BH25,OR($BT25&lt;$BI25,AND($BT25=$BI25,OR($BU25&lt;$BJ25,AND($BU25=$BJ25,AND(ISNUMBER($BV25),OR(NOT(ISNUMBER($BK25)),$BV25&lt;$BK25)))))))),"-&gt;","&lt;-"))</f>
        <v/>
      </c>
      <c r="BM25" s="134" t="str">
        <f aca="false">IF(ISBLANK($C25),"",AND($AT25,OR($AU25="",$AV25="",AND($AW25,$AX25=""))))</f>
        <v/>
      </c>
      <c r="BN25" s="137" t="str">
        <f aca="false">IF($BX25&lt;&gt;Constants!$B$6,"",IF($AT25,Constants!$B$17*$AV25+Constants!$B$18*IF($AW25,$AX25,Constants!$B$19),Constants!$B$20))</f>
        <v/>
      </c>
      <c r="BO25" s="138" t="str">
        <f aca="false">IF($BX25&lt;&gt;Constants!$B$6,"",Constants!$B$21*ABS($AD$9-IF($AT25,$AU25,0)))</f>
        <v/>
      </c>
      <c r="BP25" s="138" t="str">
        <f aca="false">IF($BX25&lt;&gt;Constants!$B$6,"",IF(AND($AT25,$AY25,$AW25),Constants!$B$22,0))</f>
        <v/>
      </c>
      <c r="BQ25" s="138" t="str">
        <f aca="false">IF($BX25&lt;&gt;Constants!$B$6,"",IF($AT25,($AI25-Constants!$B$24)*Constants!$B$23,0))</f>
        <v/>
      </c>
      <c r="BR25" s="138" t="str">
        <f aca="false">IF($BX25&lt;&gt;Constants!$B$6,"",IF($AS25,0,Constants!$B$12)+IF($AR25,0,Constants!$B$13)+IF($AH25,0,Constants!$B$14))</f>
        <v/>
      </c>
      <c r="BS25" s="139" t="str">
        <f aca="false">IF($BX25&lt;&gt;Constants!$B$6,"",Constants!$B$16+SUM($BN25:$BR25))</f>
        <v/>
      </c>
      <c r="BT25" s="138" t="str">
        <f aca="false">IF($BX25&lt;&gt;Constants!$B$6,"",$BN25)</f>
        <v/>
      </c>
      <c r="BU25" s="138" t="str">
        <f aca="false">IF($BX25&lt;&gt;Constants!$B$6,"",$BO25)</f>
        <v/>
      </c>
      <c r="BV25" s="140" t="str">
        <f aca="false">IF($BX25&lt;&gt;Constants!$B$6,"",IF($AT25,$AV25,""))</f>
        <v/>
      </c>
      <c r="BW25" s="135" t="str">
        <f aca="false">IF(ISBLANK($C25),"",IF(ISBLANK($D$7),$BW$5,IF(NOT(ISNUMBER($D$7)),$BW$6,"")))</f>
        <v/>
      </c>
      <c r="BX25" s="135" t="str">
        <f aca="false">IF(ISBLANK($C25),"",IF($BA25,Constants!$B$9,IF(COUNTA($E25:$AA25)=0,Constants!$B$8,IF(NOT($AG25),Constants!$B$7,IF(OR($BW25&lt;&gt;"",$BB25,$BM25),Constants!$B$10,Constants!$B$6)))))</f>
        <v/>
      </c>
      <c r="BY25" s="135" t="str">
        <f aca="false">IF(ISBLANK($C25),"",IF($BX25&lt;&gt;Constants!$B$6,$BX25,Constants!$B$11))</f>
        <v/>
      </c>
      <c r="BZ25" s="138" t="str">
        <f aca="false">IF($BX25&lt;&gt;Constants!$B$6,"",IF($BL25="-&gt;",$BS25,$BH25))</f>
        <v/>
      </c>
      <c r="CA25" s="138" t="str">
        <f aca="false">IF($BX25&lt;&gt;Constants!$B$6,"",IF($AF25,0,Constants!$B$15))</f>
        <v/>
      </c>
      <c r="CB25" s="138" t="str">
        <f aca="false">IF($BX25&lt;&gt;Constants!$B$6,"",((Constants!$B$25-$AZ25)-Constants!$B$25)/Constants!$B$26)</f>
        <v/>
      </c>
      <c r="CC25" s="138" t="str">
        <f aca="false">IF(ISBLANK($C25),"",IF($BX25&lt;&gt;Constants!$B$6,$BX25,SUM($BZ25:$CB25)))</f>
        <v/>
      </c>
      <c r="CD25" s="135" t="str">
        <f aca="false">IF(ISBLANK($C25),"",IF($BX25&lt;&gt;Constants!$B$6,$BX25,RANK($CC25,$CC$9:$CC$508,1)))</f>
        <v/>
      </c>
      <c r="CE25" s="138" t="str">
        <f aca="false">IF($BX25&lt;&gt;Constants!$B$6,"",IF($BL25="-&gt;",$BT25,$BI25))</f>
        <v/>
      </c>
      <c r="CF25" s="135" t="str">
        <f aca="false">IF(ISBLANK($C25),"",IF($BX25&lt;&gt;Constants!$B$6,$BX25,IF(ISNUMBER($CE25),RANK($CE25,$CE$9:$CE$508,1),COUNT($CE$9:$CE$508)+1)))</f>
        <v/>
      </c>
      <c r="CG25" s="138" t="str">
        <f aca="false">IF($BX25&lt;&gt;Constants!$B$6,"",IF($BL25="-&gt;",$BU25,$BJ25))</f>
        <v/>
      </c>
      <c r="CH25" s="135" t="str">
        <f aca="false">IF(ISBLANK($C25),"",IF($BX25&lt;&gt;Constants!$B$6,$BX25,IF(ISNUMBER($CG25),RANK($CG25,$CG$9:$CG$508,1),COUNT($CG$9:$CG$508)+1)))</f>
        <v/>
      </c>
      <c r="CI25" s="138" t="str">
        <f aca="false">IF($BX25&lt;&gt;Constants!$B$6,"",IF($BL25="-&gt;",$BV25,$BK25))</f>
        <v/>
      </c>
      <c r="CJ25" s="135" t="str">
        <f aca="false">IF(ISBLANK($C25),"",IF($BX25&lt;&gt;Constants!$B$6,$BX25,IF(ISNUMBER($CI25),RANK($CI25,$CI$9:$CI$508,1),COUNT($CI$9:$CI$508)+1)))</f>
        <v/>
      </c>
      <c r="CK25" s="138" t="str">
        <f aca="false">IF($BX25&lt;&gt;Constants!$B$6,"",$AI25)</f>
        <v/>
      </c>
      <c r="CL25" s="135" t="str">
        <f aca="false">IF(ISBLANK($C25),"",IF($BX25&lt;&gt;Constants!$B$6,$BX25,IF(ISNUMBER($CK25),RANK($CK25,$CK$9:$CK$508,1),COUNT($CK$9:$CK$508)+1)))</f>
        <v/>
      </c>
      <c r="CM25" s="135" t="str">
        <f aca="false">IF(ISBLANK($C25),"",IF($BX25&lt;&gt;Constants!$B$6,$BX25,COUNTIFS($CD$9:$CD$508,"&lt;"&amp;$CD25)+COUNTIFS($CD$9:$CD$508,$CD25,$CF$9:$CF$508,"&lt;"&amp;$CF25)+COUNTIFS($CD$9:$CD$508,$CD25,$CF$9:$CF$508,$CF25,$CH$9:$CH$508,"&lt;"&amp;$CH25)+COUNTIFS($CD$9:$CD$508,$CD25,$CF$9:$CF$508,$CF25,$CH$9:$CH$508,$CH25,$CJ$9:$CJ$508,"&lt;"&amp;$CJ25)+COUNTIFS($CD$9:$CD$508,$CD25,$CF$9:$CF$508,$CF25,$CH$9:$CH$508,$CH25,$CJ$9:$CJ$508,$CJ25,$CL$9:$CL$508,"&lt;"&amp;$CL25)+1))</f>
        <v/>
      </c>
      <c r="CN25" s="135" t="str">
        <f aca="false">IF(ISBLANK($C25),"",IF($BX25&lt;&gt;Constants!$B$6,$BX25,$CD25-$CM25))</f>
        <v/>
      </c>
      <c r="CO25" s="141"/>
      <c r="CP25" s="142"/>
      <c r="CQ25" s="143" t="str">
        <f aca="false">IF(ISBLANK($C25),"",IF($BX25=Constants!$B$10,$BW25,""))</f>
        <v/>
      </c>
      <c r="CR25" s="142" t="str">
        <f aca="false">IF(ISBLANK($C25),"",IF($BX25&lt;&gt;Constants!$B$6,"",IF($BL25="-&gt;",2,1)))</f>
        <v/>
      </c>
      <c r="CS25" s="144" t="str">
        <f aca="false">IF(ISBLANK($C25),"",IF($BX25&lt;&gt;Constants!$B$6,"",IF($BL25="-&gt;",$BN25,$BC25)))</f>
        <v/>
      </c>
      <c r="CT25" s="144" t="str">
        <f aca="false">IF(ISBLANK($C25),"",IF($BX25&lt;&gt;Constants!$B$6,"",IF($BL25="-&gt;",$BO25,$BD25)))</f>
        <v/>
      </c>
      <c r="CU25" s="144" t="str">
        <f aca="false">IF(ISBLANK($C25),"",IF($BX25&lt;&gt;Constants!$B$6,"",IF($BL25="-&gt;",$BP25+$BQ25,$BE25+$BF25)+$CB25))</f>
        <v/>
      </c>
      <c r="CV25" s="144" t="str">
        <f aca="false">IF(ISBLANK($C25),"",IF($BX25&lt;&gt;Constants!$B$6,"",IF($BL25="-&gt;",$BR25,$BG25)+$CA25))</f>
        <v/>
      </c>
      <c r="CW25" s="145" t="str">
        <f aca="false">IF(ISBLANK($C25),"",IF($BX25&lt;&gt;Constants!$B$6,$BX25,$CC25))</f>
        <v/>
      </c>
      <c r="CX25" s="146" t="str">
        <f aca="false">IF(ISBLANK($C25),"",$BY25)</f>
        <v/>
      </c>
      <c r="CY25" s="147" t="str">
        <f aca="false">IF(ISBLANK($C25),"",$CN25)</f>
        <v/>
      </c>
      <c r="CZ25" s="147" t="str">
        <f aca="false">IF(ISBLANK($C25),"",$CM25)</f>
        <v/>
      </c>
      <c r="DA25" s="148" t="str">
        <f aca="false">IF(ISBLANK($C25),"",IFERROR(_xlfn.SWITCH($CZ25,Constants!$B$9,COUNTA($C$9:$C$508)+2,Constants!$B$8,COUNTA($C$9:$C$508)+1,Constants!$B$7,COUNTA($C$9:$C$508)),$CZ25))</f>
        <v/>
      </c>
      <c r="DB25" s="9"/>
      <c r="DC25" s="149" t="n">
        <f aca="false">IF(OR(ISNUMBER($CZ25),$CZ25=Constants!$B$9,$CZ25=Constants!$B$7,$CZ25=Constants!$B$8),1,0)</f>
        <v>0</v>
      </c>
      <c r="DD25" s="149" t="n">
        <v>17</v>
      </c>
      <c r="DE25" s="149" t="str">
        <f aca="false">IF(ISBLANK($C25),"",IF(ISNUMBER($DA25),$DA25+ROW($B25)/1000,""))</f>
        <v/>
      </c>
      <c r="DF25" s="149" t="str">
        <f aca="false">IF(ISNUMBER($DE25),RANK($DE25,$DE$9:$DE$508,1),"")</f>
        <v/>
      </c>
      <c r="DG25" s="149" t="str">
        <f aca="false">IF(ISBLANK($C25),"",$B25)</f>
        <v/>
      </c>
      <c r="DH25" s="149" t="str">
        <f aca="false">IF(ISBLANK($C25),"",$C25)</f>
        <v/>
      </c>
      <c r="DI25" s="149" t="str">
        <f aca="false">IF(ISBLANK($C25),"",$D25)</f>
        <v/>
      </c>
      <c r="DJ25" s="150" t="str">
        <f aca="false">$CX25</f>
        <v/>
      </c>
      <c r="DK25" s="151" t="str">
        <f aca="false">$CW25</f>
        <v/>
      </c>
      <c r="DL25" s="149" t="str">
        <f aca="false">IF(ISBLANK($C25),"",$CZ25)</f>
        <v/>
      </c>
      <c r="DM25" s="152" t="str">
        <f aca="false">IF($DD25&gt;$DC$8,"",VLOOKUP($DD25,$DF$9:$DL$508,7,FALSE()))</f>
        <v/>
      </c>
      <c r="DN25" s="153" t="str">
        <f aca="false">IF($DD25&gt;$DC$8,"",VLOOKUP($DD25,$DF$9:$DL$508,2,FALSE()))</f>
        <v/>
      </c>
      <c r="DO25" s="153" t="str">
        <f aca="false">IF($DD25&gt;$DC$8,"",VLOOKUP($DD25,$DF$9:$DL$508,3,FALSE()))</f>
        <v/>
      </c>
      <c r="DP25" s="153" t="str">
        <f aca="false">IF($DD25&gt;$DC$8,"",VLOOKUP($DD25,$DF$9:$DL$508,4,FALSE()))</f>
        <v/>
      </c>
      <c r="DQ25" s="153" t="str">
        <f aca="false">IF($DD25&gt;$DC$8,"",VLOOKUP($DD25,$DF$9:$DL$508,5,FALSE()))</f>
        <v/>
      </c>
      <c r="DR25" s="154" t="str">
        <f aca="false">IF($DD25&gt;$DC$8,"",VLOOKUP($DD25,$DF$9:$DL$508,6,FALSE()))</f>
        <v/>
      </c>
      <c r="DS25" s="76"/>
    </row>
    <row r="26" customFormat="false" ht="15.75" hidden="false" customHeight="false" outlineLevel="0" collapsed="false">
      <c r="A26" s="9"/>
      <c r="B26" s="160"/>
      <c r="C26" s="161"/>
      <c r="D26" s="162"/>
      <c r="E26" s="163"/>
      <c r="F26" s="164"/>
      <c r="G26" s="165"/>
      <c r="H26" s="165"/>
      <c r="I26" s="166"/>
      <c r="J26" s="167"/>
      <c r="K26" s="128"/>
      <c r="L26" s="129"/>
      <c r="M26" s="130"/>
      <c r="N26" s="167"/>
      <c r="O26" s="167"/>
      <c r="P26" s="163"/>
      <c r="Q26" s="167"/>
      <c r="R26" s="167"/>
      <c r="S26" s="128"/>
      <c r="T26" s="130"/>
      <c r="U26" s="130"/>
      <c r="V26" s="167"/>
      <c r="W26" s="167"/>
      <c r="X26" s="163"/>
      <c r="Y26" s="168"/>
      <c r="Z26" s="169"/>
      <c r="AA26" s="168"/>
      <c r="AB26" s="134"/>
      <c r="AC26" s="135"/>
      <c r="AD26" s="135"/>
      <c r="AE26" s="135"/>
      <c r="AF26" s="135" t="str">
        <f aca="false">IF(ISBLANK($C26),"",IF(E26=Constants!$B$2,TRUE(),IF(E26=Constants!$B$3,FALSE(),TRUE())))</f>
        <v/>
      </c>
      <c r="AG26" s="135" t="str">
        <f aca="false">IF(ISBLANK($C26),"",IF(F26=Constants!$B$2,TRUE(),IF(F26=Constants!$B$3,FALSE(),TRUE())))</f>
        <v/>
      </c>
      <c r="AH26" s="135" t="str">
        <f aca="false">IF(ISBLANK($C26),"",IF(G26=Constants!$B$2,TRUE(),IF(G26=Constants!$B$3,FALSE(),TRUE())))</f>
        <v/>
      </c>
      <c r="AI26" s="135" t="str">
        <f aca="false">IF(ISBLANK($C26),"",IF(AND(ISNUMBER(H26),H26&gt;=0),H26,Constants!$B$24))</f>
        <v/>
      </c>
      <c r="AJ26" s="135" t="str">
        <f aca="false">IF(ISBLANK($C26),"",IF(I26=Constants!$B$2,TRUE(),IF(I26=Constants!$B$3,FALSE(),TRUE())))</f>
        <v/>
      </c>
      <c r="AK26" s="135" t="str">
        <f aca="false">IF(ISBLANK($C26),"",IF(J26=Constants!$B$2,TRUE(),IF(J26=Constants!$B$3,FALSE(),TRUE())))</f>
        <v/>
      </c>
      <c r="AL26" s="135" t="str">
        <f aca="false">IF(ISBLANK($C26),"",IF(K26=Constants!$B$4,TRUE(),IF(K26=Constants!$B$5,FALSE(),COUNTA(L26:P26)&gt;0)))</f>
        <v/>
      </c>
      <c r="AM26" s="136" t="str">
        <f aca="false">IF(ISBLANK($C26),"",IF(ISNUMBER(L26),IF(L26&gt;=0,L26,""),""))</f>
        <v/>
      </c>
      <c r="AN26" s="137" t="str">
        <f aca="false">IF(ISBLANK($C26),"",IF(ISNUMBER(M26),IF(M26&gt;=0,M26,""),""))</f>
        <v/>
      </c>
      <c r="AO26" s="137" t="str">
        <f aca="false">IF(ISBLANK($C26),"",IF(N26=Constants!$B$2,TRUE(),IF(N26=Constants!$B$3,FALSE(),TRUE())))</f>
        <v/>
      </c>
      <c r="AP26" s="135" t="str">
        <f aca="false">IF(ISBLANK($C26),"",IF(ISNUMBER(O26),IF(O26&gt;=0,O26,""),""))</f>
        <v/>
      </c>
      <c r="AQ26" s="135" t="str">
        <f aca="false">IF(ISBLANK($C26),"",IF(P26=Constants!$B$2,TRUE(),IF(P26=Constants!$B$3,FALSE(),FALSE())))</f>
        <v/>
      </c>
      <c r="AR26" s="135" t="str">
        <f aca="false">IF(ISBLANK($C26),"",IF(Q26=Constants!$B$2,TRUE(),IF(Q26=Constants!$B$3,FALSE(),TRUE())))</f>
        <v/>
      </c>
      <c r="AS26" s="135" t="str">
        <f aca="false">IF(ISBLANK($C26),"",IF(R26=Constants!$B$2,TRUE(),IF(R26=Constants!$B$3,FALSE(),TRUE())))</f>
        <v/>
      </c>
      <c r="AT26" s="135" t="str">
        <f aca="false">IF(ISBLANK($C26),"",IF(S26=Constants!$B$4,TRUE(),IF(S26=Constants!$B$5,FALSE(),COUNTA(T26:X26)&gt;0)))</f>
        <v/>
      </c>
      <c r="AU26" s="136" t="str">
        <f aca="false">IF(ISBLANK($C26),"",IF(ISNUMBER(T26),IF(T26&gt;=0,T26,""),""))</f>
        <v/>
      </c>
      <c r="AV26" s="137" t="str">
        <f aca="false">IF(ISBLANK($C26),"",IF(ISNUMBER(U26),IF(U26&gt;=0,U26,""),""))</f>
        <v/>
      </c>
      <c r="AW26" s="137" t="str">
        <f aca="false">IF(ISBLANK($C26),"",IF(V26=Constants!$B$2,TRUE(),IF(V26=Constants!$B$3,FALSE(),TRUE())))</f>
        <v/>
      </c>
      <c r="AX26" s="135" t="str">
        <f aca="false">IF(ISBLANK($C26),"",IF(ISNUMBER(W26),IF(W26&gt;=0,W26,""),""))</f>
        <v/>
      </c>
      <c r="AY26" s="135" t="str">
        <f aca="false">IF(ISBLANK($C26),"",IF(X26=Constants!$B$2,TRUE(),IF(X26=Constants!$B$3,FALSE(),FALSE())))</f>
        <v/>
      </c>
      <c r="AZ26" s="135" t="str">
        <f aca="false">IF(ISBLANK($C26),"",MIN(Constants!$B$25,MAX(0,IF(ISNUMBER(Y26),Y26*60,0)+IF(ISNUMBER(Z26),Z26,0))))</f>
        <v/>
      </c>
      <c r="BA26" s="135" t="str">
        <f aca="false">IF(ISBLANK($C26),"",IF(AA26=Constants!$B$2,TRUE(),IF(AA26=Constants!$B$3,FALSE(),FALSE())))</f>
        <v/>
      </c>
      <c r="BB26" s="134" t="str">
        <f aca="false">IF(ISBLANK($C26),"",AND($AL26,OR($AM26="",$AN26="",AND($AO26,$AP26=""))))</f>
        <v/>
      </c>
      <c r="BC26" s="137" t="str">
        <f aca="false">IF($BX26&lt;&gt;Constants!$B$6,"",IF($AL26,Constants!$B$17*$AN26+Constants!$B$18*IF($AO26,$AP26,Constants!$B$19),Constants!$B$20))</f>
        <v/>
      </c>
      <c r="BD26" s="138" t="str">
        <f aca="false">IF($BX26&lt;&gt;Constants!$B$6,"",Constants!$B$21*ABS($AD$9-IF($AL26,$AM26,0)))</f>
        <v/>
      </c>
      <c r="BE26" s="138" t="str">
        <f aca="false">IF($BX26&lt;&gt;Constants!$B$6,"",IF(AND($AL26,$AQ26,$AO26),Constants!$B$22,0))</f>
        <v/>
      </c>
      <c r="BF26" s="138" t="str">
        <f aca="false">IF($BX26&lt;&gt;Constants!$B$6,"",IF($AL26,($AI26-Constants!$B$24)*Constants!$B$23,0))</f>
        <v/>
      </c>
      <c r="BG26" s="138" t="str">
        <f aca="false">IF($BX26&lt;&gt;Constants!$B$6,"",IF($AK26,0,Constants!$B$12)+IF($AJ26,0,Constants!$B$13)+IF($AH26,0,Constants!$B$14))</f>
        <v/>
      </c>
      <c r="BH26" s="139" t="str">
        <f aca="false">IF($BX26&lt;&gt;Constants!$B$6,"",Constants!$B$16+SUM($BC26:$BG26))</f>
        <v/>
      </c>
      <c r="BI26" s="138" t="str">
        <f aca="false">IF($BX26&lt;&gt;Constants!$B$6,"",$BC26)</f>
        <v/>
      </c>
      <c r="BJ26" s="138" t="str">
        <f aca="false">IF($BX26&lt;&gt;Constants!$B$6,"",$BD26)</f>
        <v/>
      </c>
      <c r="BK26" s="140" t="str">
        <f aca="false">IF($BX26&lt;&gt;Constants!$B$6,"",IF($AL26,$AN26,""))</f>
        <v/>
      </c>
      <c r="BL26" s="135" t="str">
        <f aca="false">IF($BX26&lt;&gt;Constants!$B$6,"",IF(OR($BS26&lt;$BH26,AND($BS26=$BH26,OR($BT26&lt;$BI26,AND($BT26=$BI26,OR($BU26&lt;$BJ26,AND($BU26=$BJ26,AND(ISNUMBER($BV26),OR(NOT(ISNUMBER($BK26)),$BV26&lt;$BK26)))))))),"-&gt;","&lt;-"))</f>
        <v/>
      </c>
      <c r="BM26" s="134" t="str">
        <f aca="false">IF(ISBLANK($C26),"",AND($AT26,OR($AU26="",$AV26="",AND($AW26,$AX26=""))))</f>
        <v/>
      </c>
      <c r="BN26" s="137" t="str">
        <f aca="false">IF($BX26&lt;&gt;Constants!$B$6,"",IF($AT26,Constants!$B$17*$AV26+Constants!$B$18*IF($AW26,$AX26,Constants!$B$19),Constants!$B$20))</f>
        <v/>
      </c>
      <c r="BO26" s="138" t="str">
        <f aca="false">IF($BX26&lt;&gt;Constants!$B$6,"",Constants!$B$21*ABS($AD$9-IF($AT26,$AU26,0)))</f>
        <v/>
      </c>
      <c r="BP26" s="138" t="str">
        <f aca="false">IF($BX26&lt;&gt;Constants!$B$6,"",IF(AND($AT26,$AY26,$AW26),Constants!$B$22,0))</f>
        <v/>
      </c>
      <c r="BQ26" s="138" t="str">
        <f aca="false">IF($BX26&lt;&gt;Constants!$B$6,"",IF($AT26,($AI26-Constants!$B$24)*Constants!$B$23,0))</f>
        <v/>
      </c>
      <c r="BR26" s="138" t="str">
        <f aca="false">IF($BX26&lt;&gt;Constants!$B$6,"",IF($AS26,0,Constants!$B$12)+IF($AR26,0,Constants!$B$13)+IF($AH26,0,Constants!$B$14))</f>
        <v/>
      </c>
      <c r="BS26" s="139" t="str">
        <f aca="false">IF($BX26&lt;&gt;Constants!$B$6,"",Constants!$B$16+SUM($BN26:$BR26))</f>
        <v/>
      </c>
      <c r="BT26" s="138" t="str">
        <f aca="false">IF($BX26&lt;&gt;Constants!$B$6,"",$BN26)</f>
        <v/>
      </c>
      <c r="BU26" s="138" t="str">
        <f aca="false">IF($BX26&lt;&gt;Constants!$B$6,"",$BO26)</f>
        <v/>
      </c>
      <c r="BV26" s="140" t="str">
        <f aca="false">IF($BX26&lt;&gt;Constants!$B$6,"",IF($AT26,$AV26,""))</f>
        <v/>
      </c>
      <c r="BW26" s="135" t="str">
        <f aca="false">IF(ISBLANK($C26),"",IF(ISBLANK($D$7),$BW$5,IF(NOT(ISNUMBER($D$7)),$BW$6,"")))</f>
        <v/>
      </c>
      <c r="BX26" s="135" t="str">
        <f aca="false">IF(ISBLANK($C26),"",IF($BA26,Constants!$B$9,IF(COUNTA($E26:$AA26)=0,Constants!$B$8,IF(NOT($AG26),Constants!$B$7,IF(OR($BW26&lt;&gt;"",$BB26,$BM26),Constants!$B$10,Constants!$B$6)))))</f>
        <v/>
      </c>
      <c r="BY26" s="135" t="str">
        <f aca="false">IF(ISBLANK($C26),"",IF($BX26&lt;&gt;Constants!$B$6,$BX26,Constants!$B$11))</f>
        <v/>
      </c>
      <c r="BZ26" s="138" t="str">
        <f aca="false">IF($BX26&lt;&gt;Constants!$B$6,"",IF($BL26="-&gt;",$BS26,$BH26))</f>
        <v/>
      </c>
      <c r="CA26" s="138" t="str">
        <f aca="false">IF($BX26&lt;&gt;Constants!$B$6,"",IF($AF26,0,Constants!$B$15))</f>
        <v/>
      </c>
      <c r="CB26" s="138" t="str">
        <f aca="false">IF($BX26&lt;&gt;Constants!$B$6,"",((Constants!$B$25-$AZ26)-Constants!$B$25)/Constants!$B$26)</f>
        <v/>
      </c>
      <c r="CC26" s="138" t="str">
        <f aca="false">IF(ISBLANK($C26),"",IF($BX26&lt;&gt;Constants!$B$6,$BX26,SUM($BZ26:$CB26)))</f>
        <v/>
      </c>
      <c r="CD26" s="135" t="str">
        <f aca="false">IF(ISBLANK($C26),"",IF($BX26&lt;&gt;Constants!$B$6,$BX26,RANK($CC26,$CC$9:$CC$508,1)))</f>
        <v/>
      </c>
      <c r="CE26" s="138" t="str">
        <f aca="false">IF($BX26&lt;&gt;Constants!$B$6,"",IF($BL26="-&gt;",$BT26,$BI26))</f>
        <v/>
      </c>
      <c r="CF26" s="135" t="str">
        <f aca="false">IF(ISBLANK($C26),"",IF($BX26&lt;&gt;Constants!$B$6,$BX26,IF(ISNUMBER($CE26),RANK($CE26,$CE$9:$CE$508,1),COUNT($CE$9:$CE$508)+1)))</f>
        <v/>
      </c>
      <c r="CG26" s="138" t="str">
        <f aca="false">IF($BX26&lt;&gt;Constants!$B$6,"",IF($BL26="-&gt;",$BU26,$BJ26))</f>
        <v/>
      </c>
      <c r="CH26" s="135" t="str">
        <f aca="false">IF(ISBLANK($C26),"",IF($BX26&lt;&gt;Constants!$B$6,$BX26,IF(ISNUMBER($CG26),RANK($CG26,$CG$9:$CG$508,1),COUNT($CG$9:$CG$508)+1)))</f>
        <v/>
      </c>
      <c r="CI26" s="138" t="str">
        <f aca="false">IF($BX26&lt;&gt;Constants!$B$6,"",IF($BL26="-&gt;",$BV26,$BK26))</f>
        <v/>
      </c>
      <c r="CJ26" s="135" t="str">
        <f aca="false">IF(ISBLANK($C26),"",IF($BX26&lt;&gt;Constants!$B$6,$BX26,IF(ISNUMBER($CI26),RANK($CI26,$CI$9:$CI$508,1),COUNT($CI$9:$CI$508)+1)))</f>
        <v/>
      </c>
      <c r="CK26" s="138" t="str">
        <f aca="false">IF($BX26&lt;&gt;Constants!$B$6,"",$AI26)</f>
        <v/>
      </c>
      <c r="CL26" s="135" t="str">
        <f aca="false">IF(ISBLANK($C26),"",IF($BX26&lt;&gt;Constants!$B$6,$BX26,IF(ISNUMBER($CK26),RANK($CK26,$CK$9:$CK$508,1),COUNT($CK$9:$CK$508)+1)))</f>
        <v/>
      </c>
      <c r="CM26" s="135" t="str">
        <f aca="false">IF(ISBLANK($C26),"",IF($BX26&lt;&gt;Constants!$B$6,$BX26,COUNTIFS($CD$9:$CD$508,"&lt;"&amp;$CD26)+COUNTIFS($CD$9:$CD$508,$CD26,$CF$9:$CF$508,"&lt;"&amp;$CF26)+COUNTIFS($CD$9:$CD$508,$CD26,$CF$9:$CF$508,$CF26,$CH$9:$CH$508,"&lt;"&amp;$CH26)+COUNTIFS($CD$9:$CD$508,$CD26,$CF$9:$CF$508,$CF26,$CH$9:$CH$508,$CH26,$CJ$9:$CJ$508,"&lt;"&amp;$CJ26)+COUNTIFS($CD$9:$CD$508,$CD26,$CF$9:$CF$508,$CF26,$CH$9:$CH$508,$CH26,$CJ$9:$CJ$508,$CJ26,$CL$9:$CL$508,"&lt;"&amp;$CL26)+1))</f>
        <v/>
      </c>
      <c r="CN26" s="135" t="str">
        <f aca="false">IF(ISBLANK($C26),"",IF($BX26&lt;&gt;Constants!$B$6,$BX26,$CD26-$CM26))</f>
        <v/>
      </c>
      <c r="CO26" s="141"/>
      <c r="CP26" s="142"/>
      <c r="CQ26" s="143" t="str">
        <f aca="false">IF(ISBLANK($C26),"",IF($BX26=Constants!$B$10,$BW26,""))</f>
        <v/>
      </c>
      <c r="CR26" s="142" t="str">
        <f aca="false">IF(ISBLANK($C26),"",IF($BX26&lt;&gt;Constants!$B$6,"",IF($BL26="-&gt;",2,1)))</f>
        <v/>
      </c>
      <c r="CS26" s="144" t="str">
        <f aca="false">IF(ISBLANK($C26),"",IF($BX26&lt;&gt;Constants!$B$6,"",IF($BL26="-&gt;",$BN26,$BC26)))</f>
        <v/>
      </c>
      <c r="CT26" s="144" t="str">
        <f aca="false">IF(ISBLANK($C26),"",IF($BX26&lt;&gt;Constants!$B$6,"",IF($BL26="-&gt;",$BO26,$BD26)))</f>
        <v/>
      </c>
      <c r="CU26" s="144" t="str">
        <f aca="false">IF(ISBLANK($C26),"",IF($BX26&lt;&gt;Constants!$B$6,"",IF($BL26="-&gt;",$BP26+$BQ26,$BE26+$BF26)+$CB26))</f>
        <v/>
      </c>
      <c r="CV26" s="144" t="str">
        <f aca="false">IF(ISBLANK($C26),"",IF($BX26&lt;&gt;Constants!$B$6,"",IF($BL26="-&gt;",$BR26,$BG26)+$CA26))</f>
        <v/>
      </c>
      <c r="CW26" s="145" t="str">
        <f aca="false">IF(ISBLANK($C26),"",IF($BX26&lt;&gt;Constants!$B$6,$BX26,$CC26))</f>
        <v/>
      </c>
      <c r="CX26" s="146" t="str">
        <f aca="false">IF(ISBLANK($C26),"",$BY26)</f>
        <v/>
      </c>
      <c r="CY26" s="147" t="str">
        <f aca="false">IF(ISBLANK($C26),"",$CN26)</f>
        <v/>
      </c>
      <c r="CZ26" s="147" t="str">
        <f aca="false">IF(ISBLANK($C26),"",$CM26)</f>
        <v/>
      </c>
      <c r="DA26" s="148" t="str">
        <f aca="false">IF(ISBLANK($C26),"",IFERROR(_xlfn.SWITCH($CZ26,Constants!$B$9,COUNTA($C$9:$C$508)+2,Constants!$B$8,COUNTA($C$9:$C$508)+1,Constants!$B$7,COUNTA($C$9:$C$508)),$CZ26))</f>
        <v/>
      </c>
      <c r="DB26" s="9"/>
      <c r="DC26" s="149" t="n">
        <f aca="false">IF(OR(ISNUMBER($CZ26),$CZ26=Constants!$B$9,$CZ26=Constants!$B$7,$CZ26=Constants!$B$8),1,0)</f>
        <v>0</v>
      </c>
      <c r="DD26" s="149" t="n">
        <v>18</v>
      </c>
      <c r="DE26" s="149" t="str">
        <f aca="false">IF(ISBLANK($C26),"",IF(ISNUMBER($DA26),$DA26+ROW($B26)/1000,""))</f>
        <v/>
      </c>
      <c r="DF26" s="149" t="str">
        <f aca="false">IF(ISNUMBER($DE26),RANK($DE26,$DE$9:$DE$508,1),"")</f>
        <v/>
      </c>
      <c r="DG26" s="149" t="str">
        <f aca="false">IF(ISBLANK($C26),"",$B26)</f>
        <v/>
      </c>
      <c r="DH26" s="149" t="str">
        <f aca="false">IF(ISBLANK($C26),"",$C26)</f>
        <v/>
      </c>
      <c r="DI26" s="149" t="str">
        <f aca="false">IF(ISBLANK($C26),"",$D26)</f>
        <v/>
      </c>
      <c r="DJ26" s="150" t="str">
        <f aca="false">$CX26</f>
        <v/>
      </c>
      <c r="DK26" s="151" t="str">
        <f aca="false">$CW26</f>
        <v/>
      </c>
      <c r="DL26" s="149" t="str">
        <f aca="false">IF(ISBLANK($C26),"",$CZ26)</f>
        <v/>
      </c>
      <c r="DM26" s="152" t="str">
        <f aca="false">IF($DD26&gt;$DC$8,"",VLOOKUP($DD26,$DF$9:$DL$508,7,FALSE()))</f>
        <v/>
      </c>
      <c r="DN26" s="153" t="str">
        <f aca="false">IF($DD26&gt;$DC$8,"",VLOOKUP($DD26,$DF$9:$DL$508,2,FALSE()))</f>
        <v/>
      </c>
      <c r="DO26" s="153" t="str">
        <f aca="false">IF($DD26&gt;$DC$8,"",VLOOKUP($DD26,$DF$9:$DL$508,3,FALSE()))</f>
        <v/>
      </c>
      <c r="DP26" s="153" t="str">
        <f aca="false">IF($DD26&gt;$DC$8,"",VLOOKUP($DD26,$DF$9:$DL$508,4,FALSE()))</f>
        <v/>
      </c>
      <c r="DQ26" s="153" t="str">
        <f aca="false">IF($DD26&gt;$DC$8,"",VLOOKUP($DD26,$DF$9:$DL$508,5,FALSE()))</f>
        <v/>
      </c>
      <c r="DR26" s="154" t="str">
        <f aca="false">IF($DD26&gt;$DC$8,"",VLOOKUP($DD26,$DF$9:$DL$508,6,FALSE()))</f>
        <v/>
      </c>
      <c r="DS26" s="76"/>
    </row>
    <row r="27" customFormat="false" ht="15.75" hidden="false" customHeight="false" outlineLevel="0" collapsed="false">
      <c r="A27" s="9"/>
      <c r="B27" s="78"/>
      <c r="C27" s="79"/>
      <c r="D27" s="170"/>
      <c r="E27" s="171"/>
      <c r="F27" s="172"/>
      <c r="G27" s="173"/>
      <c r="H27" s="173"/>
      <c r="I27" s="174"/>
      <c r="J27" s="175"/>
      <c r="K27" s="86"/>
      <c r="L27" s="87"/>
      <c r="M27" s="88"/>
      <c r="N27" s="175"/>
      <c r="O27" s="175"/>
      <c r="P27" s="171"/>
      <c r="Q27" s="175"/>
      <c r="R27" s="175"/>
      <c r="S27" s="86"/>
      <c r="T27" s="88"/>
      <c r="U27" s="88"/>
      <c r="V27" s="175"/>
      <c r="W27" s="175"/>
      <c r="X27" s="171"/>
      <c r="Y27" s="176"/>
      <c r="Z27" s="177"/>
      <c r="AA27" s="176"/>
      <c r="AB27" s="92"/>
      <c r="AC27" s="93"/>
      <c r="AD27" s="93"/>
      <c r="AE27" s="93"/>
      <c r="AF27" s="93" t="str">
        <f aca="false">IF(ISBLANK($C27),"",IF(E27=Constants!$B$2,TRUE(),IF(E27=Constants!$B$3,FALSE(),TRUE())))</f>
        <v/>
      </c>
      <c r="AG27" s="93" t="str">
        <f aca="false">IF(ISBLANK($C27),"",IF(F27=Constants!$B$2,TRUE(),IF(F27=Constants!$B$3,FALSE(),TRUE())))</f>
        <v/>
      </c>
      <c r="AH27" s="93" t="str">
        <f aca="false">IF(ISBLANK($C27),"",IF(G27=Constants!$B$2,TRUE(),IF(G27=Constants!$B$3,FALSE(),TRUE())))</f>
        <v/>
      </c>
      <c r="AI27" s="93" t="str">
        <f aca="false">IF(ISBLANK($C27),"",IF(AND(ISNUMBER(H27),H27&gt;=0),H27,Constants!$B$24))</f>
        <v/>
      </c>
      <c r="AJ27" s="93" t="str">
        <f aca="false">IF(ISBLANK($C27),"",IF(I27=Constants!$B$2,TRUE(),IF(I27=Constants!$B$3,FALSE(),TRUE())))</f>
        <v/>
      </c>
      <c r="AK27" s="93" t="str">
        <f aca="false">IF(ISBLANK($C27),"",IF(J27=Constants!$B$2,TRUE(),IF(J27=Constants!$B$3,FALSE(),TRUE())))</f>
        <v/>
      </c>
      <c r="AL27" s="93" t="str">
        <f aca="false">IF(ISBLANK($C27),"",IF(K27=Constants!$B$4,TRUE(),IF(K27=Constants!$B$5,FALSE(),COUNTA(L27:P27)&gt;0)))</f>
        <v/>
      </c>
      <c r="AM27" s="95" t="str">
        <f aca="false">IF(ISBLANK($C27),"",IF(ISNUMBER(L27),IF(L27&gt;=0,L27,""),""))</f>
        <v/>
      </c>
      <c r="AN27" s="94" t="str">
        <f aca="false">IF(ISBLANK($C27),"",IF(ISNUMBER(M27),IF(M27&gt;=0,M27,""),""))</f>
        <v/>
      </c>
      <c r="AO27" s="94" t="str">
        <f aca="false">IF(ISBLANK($C27),"",IF(N27=Constants!$B$2,TRUE(),IF(N27=Constants!$B$3,FALSE(),TRUE())))</f>
        <v/>
      </c>
      <c r="AP27" s="93" t="str">
        <f aca="false">IF(ISBLANK($C27),"",IF(ISNUMBER(O27),IF(O27&gt;=0,O27,""),""))</f>
        <v/>
      </c>
      <c r="AQ27" s="93" t="str">
        <f aca="false">IF(ISBLANK($C27),"",IF(P27=Constants!$B$2,TRUE(),IF(P27=Constants!$B$3,FALSE(),FALSE())))</f>
        <v/>
      </c>
      <c r="AR27" s="93" t="str">
        <f aca="false">IF(ISBLANK($C27),"",IF(Q27=Constants!$B$2,TRUE(),IF(Q27=Constants!$B$3,FALSE(),TRUE())))</f>
        <v/>
      </c>
      <c r="AS27" s="93" t="str">
        <f aca="false">IF(ISBLANK($C27),"",IF(R27=Constants!$B$2,TRUE(),IF(R27=Constants!$B$3,FALSE(),TRUE())))</f>
        <v/>
      </c>
      <c r="AT27" s="93" t="str">
        <f aca="false">IF(ISBLANK($C27),"",IF(S27=Constants!$B$4,TRUE(),IF(S27=Constants!$B$5,FALSE(),COUNTA(T27:X27)&gt;0)))</f>
        <v/>
      </c>
      <c r="AU27" s="95" t="str">
        <f aca="false">IF(ISBLANK($C27),"",IF(ISNUMBER(T27),IF(T27&gt;=0,T27,""),""))</f>
        <v/>
      </c>
      <c r="AV27" s="94" t="str">
        <f aca="false">IF(ISBLANK($C27),"",IF(ISNUMBER(U27),IF(U27&gt;=0,U27,""),""))</f>
        <v/>
      </c>
      <c r="AW27" s="94" t="str">
        <f aca="false">IF(ISBLANK($C27),"",IF(V27=Constants!$B$2,TRUE(),IF(V27=Constants!$B$3,FALSE(),TRUE())))</f>
        <v/>
      </c>
      <c r="AX27" s="93" t="str">
        <f aca="false">IF(ISBLANK($C27),"",IF(ISNUMBER(W27),IF(W27&gt;=0,W27,""),""))</f>
        <v/>
      </c>
      <c r="AY27" s="93" t="str">
        <f aca="false">IF(ISBLANK($C27),"",IF(X27=Constants!$B$2,TRUE(),IF(X27=Constants!$B$3,FALSE(),FALSE())))</f>
        <v/>
      </c>
      <c r="AZ27" s="93" t="str">
        <f aca="false">IF(ISBLANK($C27),"",MIN(Constants!$B$25,MAX(0,IF(ISNUMBER(Y27),Y27*60,0)+IF(ISNUMBER(Z27),Z27,0))))</f>
        <v/>
      </c>
      <c r="BA27" s="93" t="str">
        <f aca="false">IF(ISBLANK($C27),"",IF(AA27=Constants!$B$2,TRUE(),IF(AA27=Constants!$B$3,FALSE(),FALSE())))</f>
        <v/>
      </c>
      <c r="BB27" s="92" t="str">
        <f aca="false">IF(ISBLANK($C27),"",AND($AL27,OR($AM27="",$AN27="",AND($AO27,$AP27=""))))</f>
        <v/>
      </c>
      <c r="BC27" s="94" t="str">
        <f aca="false">IF($BX27&lt;&gt;Constants!$B$6,"",IF($AL27,Constants!$B$17*$AN27+Constants!$B$18*IF($AO27,$AP27,Constants!$B$19),Constants!$B$20))</f>
        <v/>
      </c>
      <c r="BD27" s="97" t="str">
        <f aca="false">IF($BX27&lt;&gt;Constants!$B$6,"",Constants!$B$21*ABS($AD$9-IF($AL27,$AM27,0)))</f>
        <v/>
      </c>
      <c r="BE27" s="97" t="str">
        <f aca="false">IF($BX27&lt;&gt;Constants!$B$6,"",IF(AND($AL27,$AQ27,$AO27),Constants!$B$22,0))</f>
        <v/>
      </c>
      <c r="BF27" s="97" t="str">
        <f aca="false">IF($BX27&lt;&gt;Constants!$B$6,"",IF($AL27,($AI27-Constants!$B$24)*Constants!$B$23,0))</f>
        <v/>
      </c>
      <c r="BG27" s="97" t="str">
        <f aca="false">IF($BX27&lt;&gt;Constants!$B$6,"",IF($AK27,0,Constants!$B$12)+IF($AJ27,0,Constants!$B$13)+IF($AH27,0,Constants!$B$14))</f>
        <v/>
      </c>
      <c r="BH27" s="98" t="str">
        <f aca="false">IF($BX27&lt;&gt;Constants!$B$6,"",Constants!$B$16+SUM($BC27:$BG27))</f>
        <v/>
      </c>
      <c r="BI27" s="97" t="str">
        <f aca="false">IF($BX27&lt;&gt;Constants!$B$6,"",$BC27)</f>
        <v/>
      </c>
      <c r="BJ27" s="97" t="str">
        <f aca="false">IF($BX27&lt;&gt;Constants!$B$6,"",$BD27)</f>
        <v/>
      </c>
      <c r="BK27" s="99" t="str">
        <f aca="false">IF($BX27&lt;&gt;Constants!$B$6,"",IF($AL27,$AN27,""))</f>
        <v/>
      </c>
      <c r="BL27" s="93" t="str">
        <f aca="false">IF($BX27&lt;&gt;Constants!$B$6,"",IF(OR($BS27&lt;$BH27,AND($BS27=$BH27,OR($BT27&lt;$BI27,AND($BT27=$BI27,OR($BU27&lt;$BJ27,AND($BU27=$BJ27,AND(ISNUMBER($BV27),OR(NOT(ISNUMBER($BK27)),$BV27&lt;$BK27)))))))),"-&gt;","&lt;-"))</f>
        <v/>
      </c>
      <c r="BM27" s="92" t="str">
        <f aca="false">IF(ISBLANK($C27),"",AND($AT27,OR($AU27="",$AV27="",AND($AW27,$AX27=""))))</f>
        <v/>
      </c>
      <c r="BN27" s="94" t="str">
        <f aca="false">IF($BX27&lt;&gt;Constants!$B$6,"",IF($AT27,Constants!$B$17*$AV27+Constants!$B$18*IF($AW27,$AX27,Constants!$B$19),Constants!$B$20))</f>
        <v/>
      </c>
      <c r="BO27" s="97" t="str">
        <f aca="false">IF($BX27&lt;&gt;Constants!$B$6,"",Constants!$B$21*ABS($AD$9-IF($AT27,$AU27,0)))</f>
        <v/>
      </c>
      <c r="BP27" s="97" t="str">
        <f aca="false">IF($BX27&lt;&gt;Constants!$B$6,"",IF(AND($AT27,$AY27,$AW27),Constants!$B$22,0))</f>
        <v/>
      </c>
      <c r="BQ27" s="97" t="str">
        <f aca="false">IF($BX27&lt;&gt;Constants!$B$6,"",IF($AT27,($AI27-Constants!$B$24)*Constants!$B$23,0))</f>
        <v/>
      </c>
      <c r="BR27" s="97" t="str">
        <f aca="false">IF($BX27&lt;&gt;Constants!$B$6,"",IF($AS27,0,Constants!$B$12)+IF($AR27,0,Constants!$B$13)+IF($AH27,0,Constants!$B$14))</f>
        <v/>
      </c>
      <c r="BS27" s="98" t="str">
        <f aca="false">IF($BX27&lt;&gt;Constants!$B$6,"",Constants!$B$16+SUM($BN27:$BR27))</f>
        <v/>
      </c>
      <c r="BT27" s="97" t="str">
        <f aca="false">IF($BX27&lt;&gt;Constants!$B$6,"",$BN27)</f>
        <v/>
      </c>
      <c r="BU27" s="97" t="str">
        <f aca="false">IF($BX27&lt;&gt;Constants!$B$6,"",$BO27)</f>
        <v/>
      </c>
      <c r="BV27" s="99" t="str">
        <f aca="false">IF($BX27&lt;&gt;Constants!$B$6,"",IF($AT27,$AV27,""))</f>
        <v/>
      </c>
      <c r="BW27" s="93" t="str">
        <f aca="false">IF(ISBLANK($C27),"",IF(ISBLANK($D$7),$BW$5,IF(NOT(ISNUMBER($D$7)),$BW$6,"")))</f>
        <v/>
      </c>
      <c r="BX27" s="93" t="str">
        <f aca="false">IF(ISBLANK($C27),"",IF($BA27,Constants!$B$9,IF(COUNTA($E27:$AA27)=0,Constants!$B$8,IF(NOT($AG27),Constants!$B$7,IF(OR($BW27&lt;&gt;"",$BB27,$BM27),Constants!$B$10,Constants!$B$6)))))</f>
        <v/>
      </c>
      <c r="BY27" s="93" t="str">
        <f aca="false">IF(ISBLANK($C27),"",IF($BX27&lt;&gt;Constants!$B$6,$BX27,Constants!$B$11))</f>
        <v/>
      </c>
      <c r="BZ27" s="97" t="str">
        <f aca="false">IF($BX27&lt;&gt;Constants!$B$6,"",IF($BL27="-&gt;",$BS27,$BH27))</f>
        <v/>
      </c>
      <c r="CA27" s="97" t="str">
        <f aca="false">IF($BX27&lt;&gt;Constants!$B$6,"",IF($AF27,0,Constants!$B$15))</f>
        <v/>
      </c>
      <c r="CB27" s="97" t="str">
        <f aca="false">IF($BX27&lt;&gt;Constants!$B$6,"",((Constants!$B$25-$AZ27)-Constants!$B$25)/Constants!$B$26)</f>
        <v/>
      </c>
      <c r="CC27" s="97" t="str">
        <f aca="false">IF(ISBLANK($C27),"",IF($BX27&lt;&gt;Constants!$B$6,$BX27,SUM($BZ27:$CB27)))</f>
        <v/>
      </c>
      <c r="CD27" s="93" t="str">
        <f aca="false">IF(ISBLANK($C27),"",IF($BX27&lt;&gt;Constants!$B$6,$BX27,RANK($CC27,$CC$9:$CC$508,1)))</f>
        <v/>
      </c>
      <c r="CE27" s="97" t="str">
        <f aca="false">IF($BX27&lt;&gt;Constants!$B$6,"",IF($BL27="-&gt;",$BT27,$BI27))</f>
        <v/>
      </c>
      <c r="CF27" s="93" t="str">
        <f aca="false">IF(ISBLANK($C27),"",IF($BX27&lt;&gt;Constants!$B$6,$BX27,IF(ISNUMBER($CE27),RANK($CE27,$CE$9:$CE$508,1),COUNT($CE$9:$CE$508)+1)))</f>
        <v/>
      </c>
      <c r="CG27" s="97" t="str">
        <f aca="false">IF($BX27&lt;&gt;Constants!$B$6,"",IF($BL27="-&gt;",$BU27,$BJ27))</f>
        <v/>
      </c>
      <c r="CH27" s="93" t="str">
        <f aca="false">IF(ISBLANK($C27),"",IF($BX27&lt;&gt;Constants!$B$6,$BX27,IF(ISNUMBER($CG27),RANK($CG27,$CG$9:$CG$508,1),COUNT($CG$9:$CG$508)+1)))</f>
        <v/>
      </c>
      <c r="CI27" s="97" t="str">
        <f aca="false">IF($BX27&lt;&gt;Constants!$B$6,"",IF($BL27="-&gt;",$BV27,$BK27))</f>
        <v/>
      </c>
      <c r="CJ27" s="93" t="str">
        <f aca="false">IF(ISBLANK($C27),"",IF($BX27&lt;&gt;Constants!$B$6,$BX27,IF(ISNUMBER($CI27),RANK($CI27,$CI$9:$CI$508,1),COUNT($CI$9:$CI$508)+1)))</f>
        <v/>
      </c>
      <c r="CK27" s="97" t="str">
        <f aca="false">IF($BX27&lt;&gt;Constants!$B$6,"",$AI27)</f>
        <v/>
      </c>
      <c r="CL27" s="93" t="str">
        <f aca="false">IF(ISBLANK($C27),"",IF($BX27&lt;&gt;Constants!$B$6,$BX27,IF(ISNUMBER($CK27),RANK($CK27,$CK$9:$CK$508,1),COUNT($CK$9:$CK$508)+1)))</f>
        <v/>
      </c>
      <c r="CM27" s="93" t="str">
        <f aca="false">IF(ISBLANK($C27),"",IF($BX27&lt;&gt;Constants!$B$6,$BX27,COUNTIFS($CD$9:$CD$508,"&lt;"&amp;$CD27)+COUNTIFS($CD$9:$CD$508,$CD27,$CF$9:$CF$508,"&lt;"&amp;$CF27)+COUNTIFS($CD$9:$CD$508,$CD27,$CF$9:$CF$508,$CF27,$CH$9:$CH$508,"&lt;"&amp;$CH27)+COUNTIFS($CD$9:$CD$508,$CD27,$CF$9:$CF$508,$CF27,$CH$9:$CH$508,$CH27,$CJ$9:$CJ$508,"&lt;"&amp;$CJ27)+COUNTIFS($CD$9:$CD$508,$CD27,$CF$9:$CF$508,$CF27,$CH$9:$CH$508,$CH27,$CJ$9:$CJ$508,$CJ27,$CL$9:$CL$508,"&lt;"&amp;$CL27)+1))</f>
        <v/>
      </c>
      <c r="CN27" s="93" t="str">
        <f aca="false">IF(ISBLANK($C27),"",IF($BX27&lt;&gt;Constants!$B$6,$BX27,$CD27-$CM27))</f>
        <v/>
      </c>
      <c r="CO27" s="100"/>
      <c r="CP27" s="101"/>
      <c r="CQ27" s="102" t="str">
        <f aca="false">IF(ISBLANK($C27),"",IF($BX27=Constants!$B$10,$BW27,""))</f>
        <v/>
      </c>
      <c r="CR27" s="101" t="str">
        <f aca="false">IF(ISBLANK($C27),"",IF($BX27&lt;&gt;Constants!$B$6,"",IF($BL27="-&gt;",2,1)))</f>
        <v/>
      </c>
      <c r="CS27" s="103" t="str">
        <f aca="false">IF(ISBLANK($C27),"",IF($BX27&lt;&gt;Constants!$B$6,"",IF($BL27="-&gt;",$BN27,$BC27)))</f>
        <v/>
      </c>
      <c r="CT27" s="103" t="str">
        <f aca="false">IF(ISBLANK($C27),"",IF($BX27&lt;&gt;Constants!$B$6,"",IF($BL27="-&gt;",$BO27,$BD27)))</f>
        <v/>
      </c>
      <c r="CU27" s="103" t="str">
        <f aca="false">IF(ISBLANK($C27),"",IF($BX27&lt;&gt;Constants!$B$6,"",IF($BL27="-&gt;",$BP27+$BQ27,$BE27+$BF27)+$CB27))</f>
        <v/>
      </c>
      <c r="CV27" s="103" t="str">
        <f aca="false">IF(ISBLANK($C27),"",IF($BX27&lt;&gt;Constants!$B$6,"",IF($BL27="-&gt;",$BR27,$BG27)+$CA27))</f>
        <v/>
      </c>
      <c r="CW27" s="104" t="str">
        <f aca="false">IF(ISBLANK($C27),"",IF($BX27&lt;&gt;Constants!$B$6,$BX27,$CC27))</f>
        <v/>
      </c>
      <c r="CX27" s="105" t="str">
        <f aca="false">IF(ISBLANK($C27),"",$BY27)</f>
        <v/>
      </c>
      <c r="CY27" s="106" t="str">
        <f aca="false">IF(ISBLANK($C27),"",$CN27)</f>
        <v/>
      </c>
      <c r="CZ27" s="106" t="str">
        <f aca="false">IF(ISBLANK($C27),"",$CM27)</f>
        <v/>
      </c>
      <c r="DA27" s="107" t="str">
        <f aca="false">IF(ISBLANK($C27),"",IFERROR(_xlfn.SWITCH($CZ27,Constants!$B$9,COUNTA($C$9:$C$508)+2,Constants!$B$8,COUNTA($C$9:$C$508)+1,Constants!$B$7,COUNTA($C$9:$C$508)),$CZ27))</f>
        <v/>
      </c>
      <c r="DB27" s="9"/>
      <c r="DC27" s="108" t="n">
        <f aca="false">IF(OR(ISNUMBER($CZ27),$CZ27=Constants!$B$9,$CZ27=Constants!$B$7,$CZ27=Constants!$B$8),1,0)</f>
        <v>0</v>
      </c>
      <c r="DD27" s="108" t="n">
        <v>19</v>
      </c>
      <c r="DE27" s="108" t="str">
        <f aca="false">IF(ISBLANK($C27),"",IF(ISNUMBER($DA27),$DA27+ROW($B27)/1000,""))</f>
        <v/>
      </c>
      <c r="DF27" s="108" t="str">
        <f aca="false">IF(ISNUMBER($DE27),RANK($DE27,$DE$9:$DE$508,1),"")</f>
        <v/>
      </c>
      <c r="DG27" s="108" t="str">
        <f aca="false">IF(ISBLANK($C27),"",$B27)</f>
        <v/>
      </c>
      <c r="DH27" s="108" t="str">
        <f aca="false">IF(ISBLANK($C27),"",$C27)</f>
        <v/>
      </c>
      <c r="DI27" s="108" t="str">
        <f aca="false">IF(ISBLANK($C27),"",$D27)</f>
        <v/>
      </c>
      <c r="DJ27" s="109" t="str">
        <f aca="false">$CX27</f>
        <v/>
      </c>
      <c r="DK27" s="110" t="str">
        <f aca="false">$CW27</f>
        <v/>
      </c>
      <c r="DL27" s="108" t="str">
        <f aca="false">IF(ISBLANK($C27),"",$CZ27)</f>
        <v/>
      </c>
      <c r="DM27" s="111" t="str">
        <f aca="false">IF($DD27&gt;$DC$8,"",VLOOKUP($DD27,$DF$9:$DL$508,7,FALSE()))</f>
        <v/>
      </c>
      <c r="DN27" s="112" t="str">
        <f aca="false">IF($DD27&gt;$DC$8,"",VLOOKUP($DD27,$DF$9:$DL$508,2,FALSE()))</f>
        <v/>
      </c>
      <c r="DO27" s="112" t="str">
        <f aca="false">IF($DD27&gt;$DC$8,"",VLOOKUP($DD27,$DF$9:$DL$508,3,FALSE()))</f>
        <v/>
      </c>
      <c r="DP27" s="112" t="str">
        <f aca="false">IF($DD27&gt;$DC$8,"",VLOOKUP($DD27,$DF$9:$DL$508,4,FALSE()))</f>
        <v/>
      </c>
      <c r="DQ27" s="112" t="str">
        <f aca="false">IF($DD27&gt;$DC$8,"",VLOOKUP($DD27,$DF$9:$DL$508,5,FALSE()))</f>
        <v/>
      </c>
      <c r="DR27" s="113" t="str">
        <f aca="false">IF($DD27&gt;$DC$8,"",VLOOKUP($DD27,$DF$9:$DL$508,6,FALSE()))</f>
        <v/>
      </c>
      <c r="DS27" s="76"/>
    </row>
    <row r="28" customFormat="false" ht="15.75" hidden="false" customHeight="false" outlineLevel="0" collapsed="false">
      <c r="A28" s="9"/>
      <c r="B28" s="78"/>
      <c r="C28" s="79"/>
      <c r="D28" s="170"/>
      <c r="E28" s="171"/>
      <c r="F28" s="172"/>
      <c r="G28" s="173"/>
      <c r="H28" s="173"/>
      <c r="I28" s="174"/>
      <c r="J28" s="175"/>
      <c r="K28" s="86"/>
      <c r="L28" s="87"/>
      <c r="M28" s="88"/>
      <c r="N28" s="175"/>
      <c r="O28" s="175"/>
      <c r="P28" s="171"/>
      <c r="Q28" s="175"/>
      <c r="R28" s="175"/>
      <c r="S28" s="86"/>
      <c r="T28" s="88"/>
      <c r="U28" s="88"/>
      <c r="V28" s="175"/>
      <c r="W28" s="175"/>
      <c r="X28" s="171"/>
      <c r="Y28" s="176"/>
      <c r="Z28" s="177"/>
      <c r="AA28" s="176"/>
      <c r="AB28" s="92"/>
      <c r="AC28" s="93"/>
      <c r="AD28" s="93"/>
      <c r="AE28" s="93"/>
      <c r="AF28" s="93" t="str">
        <f aca="false">IF(ISBLANK($C28),"",IF(E28=Constants!$B$2,TRUE(),IF(E28=Constants!$B$3,FALSE(),TRUE())))</f>
        <v/>
      </c>
      <c r="AG28" s="93" t="str">
        <f aca="false">IF(ISBLANK($C28),"",IF(F28=Constants!$B$2,TRUE(),IF(F28=Constants!$B$3,FALSE(),TRUE())))</f>
        <v/>
      </c>
      <c r="AH28" s="93" t="str">
        <f aca="false">IF(ISBLANK($C28),"",IF(G28=Constants!$B$2,TRUE(),IF(G28=Constants!$B$3,FALSE(),TRUE())))</f>
        <v/>
      </c>
      <c r="AI28" s="93" t="str">
        <f aca="false">IF(ISBLANK($C28),"",IF(AND(ISNUMBER(H28),H28&gt;=0),H28,Constants!$B$24))</f>
        <v/>
      </c>
      <c r="AJ28" s="93" t="str">
        <f aca="false">IF(ISBLANK($C28),"",IF(I28=Constants!$B$2,TRUE(),IF(I28=Constants!$B$3,FALSE(),TRUE())))</f>
        <v/>
      </c>
      <c r="AK28" s="93" t="str">
        <f aca="false">IF(ISBLANK($C28),"",IF(J28=Constants!$B$2,TRUE(),IF(J28=Constants!$B$3,FALSE(),TRUE())))</f>
        <v/>
      </c>
      <c r="AL28" s="93" t="str">
        <f aca="false">IF(ISBLANK($C28),"",IF(K28=Constants!$B$4,TRUE(),IF(K28=Constants!$B$5,FALSE(),COUNTA(L28:P28)&gt;0)))</f>
        <v/>
      </c>
      <c r="AM28" s="95" t="str">
        <f aca="false">IF(ISBLANK($C28),"",IF(ISNUMBER(L28),IF(L28&gt;=0,L28,""),""))</f>
        <v/>
      </c>
      <c r="AN28" s="94" t="str">
        <f aca="false">IF(ISBLANK($C28),"",IF(ISNUMBER(M28),IF(M28&gt;=0,M28,""),""))</f>
        <v/>
      </c>
      <c r="AO28" s="94" t="str">
        <f aca="false">IF(ISBLANK($C28),"",IF(N28=Constants!$B$2,TRUE(),IF(N28=Constants!$B$3,FALSE(),TRUE())))</f>
        <v/>
      </c>
      <c r="AP28" s="93" t="str">
        <f aca="false">IF(ISBLANK($C28),"",IF(ISNUMBER(O28),IF(O28&gt;=0,O28,""),""))</f>
        <v/>
      </c>
      <c r="AQ28" s="93" t="str">
        <f aca="false">IF(ISBLANK($C28),"",IF(P28=Constants!$B$2,TRUE(),IF(P28=Constants!$B$3,FALSE(),FALSE())))</f>
        <v/>
      </c>
      <c r="AR28" s="93" t="str">
        <f aca="false">IF(ISBLANK($C28),"",IF(Q28=Constants!$B$2,TRUE(),IF(Q28=Constants!$B$3,FALSE(),TRUE())))</f>
        <v/>
      </c>
      <c r="AS28" s="93" t="str">
        <f aca="false">IF(ISBLANK($C28),"",IF(R28=Constants!$B$2,TRUE(),IF(R28=Constants!$B$3,FALSE(),TRUE())))</f>
        <v/>
      </c>
      <c r="AT28" s="93" t="str">
        <f aca="false">IF(ISBLANK($C28),"",IF(S28=Constants!$B$4,TRUE(),IF(S28=Constants!$B$5,FALSE(),COUNTA(T28:X28)&gt;0)))</f>
        <v/>
      </c>
      <c r="AU28" s="95" t="str">
        <f aca="false">IF(ISBLANK($C28),"",IF(ISNUMBER(T28),IF(T28&gt;=0,T28,""),""))</f>
        <v/>
      </c>
      <c r="AV28" s="94" t="str">
        <f aca="false">IF(ISBLANK($C28),"",IF(ISNUMBER(U28),IF(U28&gt;=0,U28,""),""))</f>
        <v/>
      </c>
      <c r="AW28" s="94" t="str">
        <f aca="false">IF(ISBLANK($C28),"",IF(V28=Constants!$B$2,TRUE(),IF(V28=Constants!$B$3,FALSE(),TRUE())))</f>
        <v/>
      </c>
      <c r="AX28" s="93" t="str">
        <f aca="false">IF(ISBLANK($C28),"",IF(ISNUMBER(W28),IF(W28&gt;=0,W28,""),""))</f>
        <v/>
      </c>
      <c r="AY28" s="93" t="str">
        <f aca="false">IF(ISBLANK($C28),"",IF(X28=Constants!$B$2,TRUE(),IF(X28=Constants!$B$3,FALSE(),FALSE())))</f>
        <v/>
      </c>
      <c r="AZ28" s="93" t="str">
        <f aca="false">IF(ISBLANK($C28),"",MIN(Constants!$B$25,MAX(0,IF(ISNUMBER(Y28),Y28*60,0)+IF(ISNUMBER(Z28),Z28,0))))</f>
        <v/>
      </c>
      <c r="BA28" s="93" t="str">
        <f aca="false">IF(ISBLANK($C28),"",IF(AA28=Constants!$B$2,TRUE(),IF(AA28=Constants!$B$3,FALSE(),FALSE())))</f>
        <v/>
      </c>
      <c r="BB28" s="92" t="str">
        <f aca="false">IF(ISBLANK($C28),"",AND($AL28,OR($AM28="",$AN28="",AND($AO28,$AP28=""))))</f>
        <v/>
      </c>
      <c r="BC28" s="94" t="str">
        <f aca="false">IF($BX28&lt;&gt;Constants!$B$6,"",IF($AL28,Constants!$B$17*$AN28+Constants!$B$18*IF($AO28,$AP28,Constants!$B$19),Constants!$B$20))</f>
        <v/>
      </c>
      <c r="BD28" s="97" t="str">
        <f aca="false">IF($BX28&lt;&gt;Constants!$B$6,"",Constants!$B$21*ABS($AD$9-IF($AL28,$AM28,0)))</f>
        <v/>
      </c>
      <c r="BE28" s="97" t="str">
        <f aca="false">IF($BX28&lt;&gt;Constants!$B$6,"",IF(AND($AL28,$AQ28,$AO28),Constants!$B$22,0))</f>
        <v/>
      </c>
      <c r="BF28" s="97" t="str">
        <f aca="false">IF($BX28&lt;&gt;Constants!$B$6,"",IF($AL28,($AI28-Constants!$B$24)*Constants!$B$23,0))</f>
        <v/>
      </c>
      <c r="BG28" s="97" t="str">
        <f aca="false">IF($BX28&lt;&gt;Constants!$B$6,"",IF($AK28,0,Constants!$B$12)+IF($AJ28,0,Constants!$B$13)+IF($AH28,0,Constants!$B$14))</f>
        <v/>
      </c>
      <c r="BH28" s="98" t="str">
        <f aca="false">IF($BX28&lt;&gt;Constants!$B$6,"",Constants!$B$16+SUM($BC28:$BG28))</f>
        <v/>
      </c>
      <c r="BI28" s="97" t="str">
        <f aca="false">IF($BX28&lt;&gt;Constants!$B$6,"",$BC28)</f>
        <v/>
      </c>
      <c r="BJ28" s="97" t="str">
        <f aca="false">IF($BX28&lt;&gt;Constants!$B$6,"",$BD28)</f>
        <v/>
      </c>
      <c r="BK28" s="99" t="str">
        <f aca="false">IF($BX28&lt;&gt;Constants!$B$6,"",IF($AL28,$AN28,""))</f>
        <v/>
      </c>
      <c r="BL28" s="93" t="str">
        <f aca="false">IF($BX28&lt;&gt;Constants!$B$6,"",IF(OR($BS28&lt;$BH28,AND($BS28=$BH28,OR($BT28&lt;$BI28,AND($BT28=$BI28,OR($BU28&lt;$BJ28,AND($BU28=$BJ28,AND(ISNUMBER($BV28),OR(NOT(ISNUMBER($BK28)),$BV28&lt;$BK28)))))))),"-&gt;","&lt;-"))</f>
        <v/>
      </c>
      <c r="BM28" s="92" t="str">
        <f aca="false">IF(ISBLANK($C28),"",AND($AT28,OR($AU28="",$AV28="",AND($AW28,$AX28=""))))</f>
        <v/>
      </c>
      <c r="BN28" s="94" t="str">
        <f aca="false">IF($BX28&lt;&gt;Constants!$B$6,"",IF($AT28,Constants!$B$17*$AV28+Constants!$B$18*IF($AW28,$AX28,Constants!$B$19),Constants!$B$20))</f>
        <v/>
      </c>
      <c r="BO28" s="97" t="str">
        <f aca="false">IF($BX28&lt;&gt;Constants!$B$6,"",Constants!$B$21*ABS($AD$9-IF($AT28,$AU28,0)))</f>
        <v/>
      </c>
      <c r="BP28" s="97" t="str">
        <f aca="false">IF($BX28&lt;&gt;Constants!$B$6,"",IF(AND($AT28,$AY28,$AW28),Constants!$B$22,0))</f>
        <v/>
      </c>
      <c r="BQ28" s="97" t="str">
        <f aca="false">IF($BX28&lt;&gt;Constants!$B$6,"",IF($AT28,($AI28-Constants!$B$24)*Constants!$B$23,0))</f>
        <v/>
      </c>
      <c r="BR28" s="97" t="str">
        <f aca="false">IF($BX28&lt;&gt;Constants!$B$6,"",IF($AS28,0,Constants!$B$12)+IF($AR28,0,Constants!$B$13)+IF($AH28,0,Constants!$B$14))</f>
        <v/>
      </c>
      <c r="BS28" s="98" t="str">
        <f aca="false">IF($BX28&lt;&gt;Constants!$B$6,"",Constants!$B$16+SUM($BN28:$BR28))</f>
        <v/>
      </c>
      <c r="BT28" s="97" t="str">
        <f aca="false">IF($BX28&lt;&gt;Constants!$B$6,"",$BN28)</f>
        <v/>
      </c>
      <c r="BU28" s="97" t="str">
        <f aca="false">IF($BX28&lt;&gt;Constants!$B$6,"",$BO28)</f>
        <v/>
      </c>
      <c r="BV28" s="99" t="str">
        <f aca="false">IF($BX28&lt;&gt;Constants!$B$6,"",IF($AT28,$AV28,""))</f>
        <v/>
      </c>
      <c r="BW28" s="93" t="str">
        <f aca="false">IF(ISBLANK($C28),"",IF(ISBLANK($D$7),$BW$5,IF(NOT(ISNUMBER($D$7)),$BW$6,"")))</f>
        <v/>
      </c>
      <c r="BX28" s="93" t="str">
        <f aca="false">IF(ISBLANK($C28),"",IF($BA28,Constants!$B$9,IF(COUNTA($E28:$AA28)=0,Constants!$B$8,IF(NOT($AG28),Constants!$B$7,IF(OR($BW28&lt;&gt;"",$BB28,$BM28),Constants!$B$10,Constants!$B$6)))))</f>
        <v/>
      </c>
      <c r="BY28" s="93" t="str">
        <f aca="false">IF(ISBLANK($C28),"",IF($BX28&lt;&gt;Constants!$B$6,$BX28,Constants!$B$11))</f>
        <v/>
      </c>
      <c r="BZ28" s="97" t="str">
        <f aca="false">IF($BX28&lt;&gt;Constants!$B$6,"",IF($BL28="-&gt;",$BS28,$BH28))</f>
        <v/>
      </c>
      <c r="CA28" s="97" t="str">
        <f aca="false">IF($BX28&lt;&gt;Constants!$B$6,"",IF($AF28,0,Constants!$B$15))</f>
        <v/>
      </c>
      <c r="CB28" s="97" t="str">
        <f aca="false">IF($BX28&lt;&gt;Constants!$B$6,"",((Constants!$B$25-$AZ28)-Constants!$B$25)/Constants!$B$26)</f>
        <v/>
      </c>
      <c r="CC28" s="97" t="str">
        <f aca="false">IF(ISBLANK($C28),"",IF($BX28&lt;&gt;Constants!$B$6,$BX28,SUM($BZ28:$CB28)))</f>
        <v/>
      </c>
      <c r="CD28" s="93" t="str">
        <f aca="false">IF(ISBLANK($C28),"",IF($BX28&lt;&gt;Constants!$B$6,$BX28,RANK($CC28,$CC$9:$CC$508,1)))</f>
        <v/>
      </c>
      <c r="CE28" s="97" t="str">
        <f aca="false">IF($BX28&lt;&gt;Constants!$B$6,"",IF($BL28="-&gt;",$BT28,$BI28))</f>
        <v/>
      </c>
      <c r="CF28" s="93" t="str">
        <f aca="false">IF(ISBLANK($C28),"",IF($BX28&lt;&gt;Constants!$B$6,$BX28,IF(ISNUMBER($CE28),RANK($CE28,$CE$9:$CE$508,1),COUNT($CE$9:$CE$508)+1)))</f>
        <v/>
      </c>
      <c r="CG28" s="97" t="str">
        <f aca="false">IF($BX28&lt;&gt;Constants!$B$6,"",IF($BL28="-&gt;",$BU28,$BJ28))</f>
        <v/>
      </c>
      <c r="CH28" s="93" t="str">
        <f aca="false">IF(ISBLANK($C28),"",IF($BX28&lt;&gt;Constants!$B$6,$BX28,IF(ISNUMBER($CG28),RANK($CG28,$CG$9:$CG$508,1),COUNT($CG$9:$CG$508)+1)))</f>
        <v/>
      </c>
      <c r="CI28" s="97" t="str">
        <f aca="false">IF($BX28&lt;&gt;Constants!$B$6,"",IF($BL28="-&gt;",$BV28,$BK28))</f>
        <v/>
      </c>
      <c r="CJ28" s="93" t="str">
        <f aca="false">IF(ISBLANK($C28),"",IF($BX28&lt;&gt;Constants!$B$6,$BX28,IF(ISNUMBER($CI28),RANK($CI28,$CI$9:$CI$508,1),COUNT($CI$9:$CI$508)+1)))</f>
        <v/>
      </c>
      <c r="CK28" s="97" t="str">
        <f aca="false">IF($BX28&lt;&gt;Constants!$B$6,"",$AI28)</f>
        <v/>
      </c>
      <c r="CL28" s="93" t="str">
        <f aca="false">IF(ISBLANK($C28),"",IF($BX28&lt;&gt;Constants!$B$6,$BX28,IF(ISNUMBER($CK28),RANK($CK28,$CK$9:$CK$508,1),COUNT($CK$9:$CK$508)+1)))</f>
        <v/>
      </c>
      <c r="CM28" s="93" t="str">
        <f aca="false">IF(ISBLANK($C28),"",IF($BX28&lt;&gt;Constants!$B$6,$BX28,COUNTIFS($CD$9:$CD$508,"&lt;"&amp;$CD28)+COUNTIFS($CD$9:$CD$508,$CD28,$CF$9:$CF$508,"&lt;"&amp;$CF28)+COUNTIFS($CD$9:$CD$508,$CD28,$CF$9:$CF$508,$CF28,$CH$9:$CH$508,"&lt;"&amp;$CH28)+COUNTIFS($CD$9:$CD$508,$CD28,$CF$9:$CF$508,$CF28,$CH$9:$CH$508,$CH28,$CJ$9:$CJ$508,"&lt;"&amp;$CJ28)+COUNTIFS($CD$9:$CD$508,$CD28,$CF$9:$CF$508,$CF28,$CH$9:$CH$508,$CH28,$CJ$9:$CJ$508,$CJ28,$CL$9:$CL$508,"&lt;"&amp;$CL28)+1))</f>
        <v/>
      </c>
      <c r="CN28" s="93" t="str">
        <f aca="false">IF(ISBLANK($C28),"",IF($BX28&lt;&gt;Constants!$B$6,$BX28,$CD28-$CM28))</f>
        <v/>
      </c>
      <c r="CO28" s="100"/>
      <c r="CP28" s="101"/>
      <c r="CQ28" s="102" t="str">
        <f aca="false">IF(ISBLANK($C28),"",IF($BX28=Constants!$B$10,$BW28,""))</f>
        <v/>
      </c>
      <c r="CR28" s="101" t="str">
        <f aca="false">IF(ISBLANK($C28),"",IF($BX28&lt;&gt;Constants!$B$6,"",IF($BL28="-&gt;",2,1)))</f>
        <v/>
      </c>
      <c r="CS28" s="103" t="str">
        <f aca="false">IF(ISBLANK($C28),"",IF($BX28&lt;&gt;Constants!$B$6,"",IF($BL28="-&gt;",$BN28,$BC28)))</f>
        <v/>
      </c>
      <c r="CT28" s="103" t="str">
        <f aca="false">IF(ISBLANK($C28),"",IF($BX28&lt;&gt;Constants!$B$6,"",IF($BL28="-&gt;",$BO28,$BD28)))</f>
        <v/>
      </c>
      <c r="CU28" s="103" t="str">
        <f aca="false">IF(ISBLANK($C28),"",IF($BX28&lt;&gt;Constants!$B$6,"",IF($BL28="-&gt;",$BP28+$BQ28,$BE28+$BF28)+$CB28))</f>
        <v/>
      </c>
      <c r="CV28" s="103" t="str">
        <f aca="false">IF(ISBLANK($C28),"",IF($BX28&lt;&gt;Constants!$B$6,"",IF($BL28="-&gt;",$BR28,$BG28)+$CA28))</f>
        <v/>
      </c>
      <c r="CW28" s="104" t="str">
        <f aca="false">IF(ISBLANK($C28),"",IF($BX28&lt;&gt;Constants!$B$6,$BX28,$CC28))</f>
        <v/>
      </c>
      <c r="CX28" s="105" t="str">
        <f aca="false">IF(ISBLANK($C28),"",$BY28)</f>
        <v/>
      </c>
      <c r="CY28" s="106" t="str">
        <f aca="false">IF(ISBLANK($C28),"",$CN28)</f>
        <v/>
      </c>
      <c r="CZ28" s="106" t="str">
        <f aca="false">IF(ISBLANK($C28),"",$CM28)</f>
        <v/>
      </c>
      <c r="DA28" s="107" t="str">
        <f aca="false">IF(ISBLANK($C28),"",IFERROR(_xlfn.SWITCH($CZ28,Constants!$B$9,COUNTA($C$9:$C$508)+2,Constants!$B$8,COUNTA($C$9:$C$508)+1,Constants!$B$7,COUNTA($C$9:$C$508)),$CZ28))</f>
        <v/>
      </c>
      <c r="DB28" s="9"/>
      <c r="DC28" s="108" t="n">
        <f aca="false">IF(OR(ISNUMBER($CZ28),$CZ28=Constants!$B$9,$CZ28=Constants!$B$7,$CZ28=Constants!$B$8),1,0)</f>
        <v>0</v>
      </c>
      <c r="DD28" s="108" t="n">
        <v>20</v>
      </c>
      <c r="DE28" s="108" t="str">
        <f aca="false">IF(ISBLANK($C28),"",IF(ISNUMBER($DA28),$DA28+ROW($B28)/1000,""))</f>
        <v/>
      </c>
      <c r="DF28" s="108" t="str">
        <f aca="false">IF(ISNUMBER($DE28),RANK($DE28,$DE$9:$DE$508,1),"")</f>
        <v/>
      </c>
      <c r="DG28" s="108" t="str">
        <f aca="false">IF(ISBLANK($C28),"",$B28)</f>
        <v/>
      </c>
      <c r="DH28" s="108" t="str">
        <f aca="false">IF(ISBLANK($C28),"",$C28)</f>
        <v/>
      </c>
      <c r="DI28" s="108" t="str">
        <f aca="false">IF(ISBLANK($C28),"",$D28)</f>
        <v/>
      </c>
      <c r="DJ28" s="109" t="str">
        <f aca="false">$CX28</f>
        <v/>
      </c>
      <c r="DK28" s="110" t="str">
        <f aca="false">$CW28</f>
        <v/>
      </c>
      <c r="DL28" s="108" t="str">
        <f aca="false">IF(ISBLANK($C28),"",$CZ28)</f>
        <v/>
      </c>
      <c r="DM28" s="111" t="str">
        <f aca="false">IF($DD28&gt;$DC$8,"",VLOOKUP($DD28,$DF$9:$DL$508,7,FALSE()))</f>
        <v/>
      </c>
      <c r="DN28" s="112" t="str">
        <f aca="false">IF($DD28&gt;$DC$8,"",VLOOKUP($DD28,$DF$9:$DL$508,2,FALSE()))</f>
        <v/>
      </c>
      <c r="DO28" s="112" t="str">
        <f aca="false">IF($DD28&gt;$DC$8,"",VLOOKUP($DD28,$DF$9:$DL$508,3,FALSE()))</f>
        <v/>
      </c>
      <c r="DP28" s="112" t="str">
        <f aca="false">IF($DD28&gt;$DC$8,"",VLOOKUP($DD28,$DF$9:$DL$508,4,FALSE()))</f>
        <v/>
      </c>
      <c r="DQ28" s="112" t="str">
        <f aca="false">IF($DD28&gt;$DC$8,"",VLOOKUP($DD28,$DF$9:$DL$508,5,FALSE()))</f>
        <v/>
      </c>
      <c r="DR28" s="113" t="str">
        <f aca="false">IF($DD28&gt;$DC$8,"",VLOOKUP($DD28,$DF$9:$DL$508,6,FALSE()))</f>
        <v/>
      </c>
      <c r="DS28" s="76"/>
    </row>
    <row r="29" customFormat="false" ht="15.75" hidden="false" customHeight="false" outlineLevel="0" collapsed="false">
      <c r="A29" s="9"/>
      <c r="B29" s="78"/>
      <c r="C29" s="79"/>
      <c r="D29" s="170"/>
      <c r="E29" s="171"/>
      <c r="F29" s="172"/>
      <c r="G29" s="173"/>
      <c r="H29" s="173"/>
      <c r="I29" s="174"/>
      <c r="J29" s="175"/>
      <c r="K29" s="86"/>
      <c r="L29" s="87"/>
      <c r="M29" s="88"/>
      <c r="N29" s="175"/>
      <c r="O29" s="175"/>
      <c r="P29" s="171"/>
      <c r="Q29" s="175"/>
      <c r="R29" s="175"/>
      <c r="S29" s="86"/>
      <c r="T29" s="88"/>
      <c r="U29" s="88"/>
      <c r="V29" s="175"/>
      <c r="W29" s="175"/>
      <c r="X29" s="171"/>
      <c r="Y29" s="176"/>
      <c r="Z29" s="177"/>
      <c r="AA29" s="176"/>
      <c r="AB29" s="92"/>
      <c r="AC29" s="93"/>
      <c r="AD29" s="93"/>
      <c r="AE29" s="93"/>
      <c r="AF29" s="93" t="str">
        <f aca="false">IF(ISBLANK($C29),"",IF(E29=Constants!$B$2,TRUE(),IF(E29=Constants!$B$3,FALSE(),TRUE())))</f>
        <v/>
      </c>
      <c r="AG29" s="93" t="str">
        <f aca="false">IF(ISBLANK($C29),"",IF(F29=Constants!$B$2,TRUE(),IF(F29=Constants!$B$3,FALSE(),TRUE())))</f>
        <v/>
      </c>
      <c r="AH29" s="93" t="str">
        <f aca="false">IF(ISBLANK($C29),"",IF(G29=Constants!$B$2,TRUE(),IF(G29=Constants!$B$3,FALSE(),TRUE())))</f>
        <v/>
      </c>
      <c r="AI29" s="93" t="str">
        <f aca="false">IF(ISBLANK($C29),"",IF(AND(ISNUMBER(H29),H29&gt;=0),H29,Constants!$B$24))</f>
        <v/>
      </c>
      <c r="AJ29" s="93" t="str">
        <f aca="false">IF(ISBLANK($C29),"",IF(I29=Constants!$B$2,TRUE(),IF(I29=Constants!$B$3,FALSE(),TRUE())))</f>
        <v/>
      </c>
      <c r="AK29" s="93" t="str">
        <f aca="false">IF(ISBLANK($C29),"",IF(J29=Constants!$B$2,TRUE(),IF(J29=Constants!$B$3,FALSE(),TRUE())))</f>
        <v/>
      </c>
      <c r="AL29" s="93" t="str">
        <f aca="false">IF(ISBLANK($C29),"",IF(K29=Constants!$B$4,TRUE(),IF(K29=Constants!$B$5,FALSE(),COUNTA(L29:P29)&gt;0)))</f>
        <v/>
      </c>
      <c r="AM29" s="95" t="str">
        <f aca="false">IF(ISBLANK($C29),"",IF(ISNUMBER(L29),IF(L29&gt;=0,L29,""),""))</f>
        <v/>
      </c>
      <c r="AN29" s="94" t="str">
        <f aca="false">IF(ISBLANK($C29),"",IF(ISNUMBER(M29),IF(M29&gt;=0,M29,""),""))</f>
        <v/>
      </c>
      <c r="AO29" s="94" t="str">
        <f aca="false">IF(ISBLANK($C29),"",IF(N29=Constants!$B$2,TRUE(),IF(N29=Constants!$B$3,FALSE(),TRUE())))</f>
        <v/>
      </c>
      <c r="AP29" s="93" t="str">
        <f aca="false">IF(ISBLANK($C29),"",IF(ISNUMBER(O29),IF(O29&gt;=0,O29,""),""))</f>
        <v/>
      </c>
      <c r="AQ29" s="93" t="str">
        <f aca="false">IF(ISBLANK($C29),"",IF(P29=Constants!$B$2,TRUE(),IF(P29=Constants!$B$3,FALSE(),FALSE())))</f>
        <v/>
      </c>
      <c r="AR29" s="93" t="str">
        <f aca="false">IF(ISBLANK($C29),"",IF(Q29=Constants!$B$2,TRUE(),IF(Q29=Constants!$B$3,FALSE(),TRUE())))</f>
        <v/>
      </c>
      <c r="AS29" s="93" t="str">
        <f aca="false">IF(ISBLANK($C29),"",IF(R29=Constants!$B$2,TRUE(),IF(R29=Constants!$B$3,FALSE(),TRUE())))</f>
        <v/>
      </c>
      <c r="AT29" s="93" t="str">
        <f aca="false">IF(ISBLANK($C29),"",IF(S29=Constants!$B$4,TRUE(),IF(S29=Constants!$B$5,FALSE(),COUNTA(T29:X29)&gt;0)))</f>
        <v/>
      </c>
      <c r="AU29" s="95" t="str">
        <f aca="false">IF(ISBLANK($C29),"",IF(ISNUMBER(T29),IF(T29&gt;=0,T29,""),""))</f>
        <v/>
      </c>
      <c r="AV29" s="94" t="str">
        <f aca="false">IF(ISBLANK($C29),"",IF(ISNUMBER(U29),IF(U29&gt;=0,U29,""),""))</f>
        <v/>
      </c>
      <c r="AW29" s="94" t="str">
        <f aca="false">IF(ISBLANK($C29),"",IF(V29=Constants!$B$2,TRUE(),IF(V29=Constants!$B$3,FALSE(),TRUE())))</f>
        <v/>
      </c>
      <c r="AX29" s="93" t="str">
        <f aca="false">IF(ISBLANK($C29),"",IF(ISNUMBER(W29),IF(W29&gt;=0,W29,""),""))</f>
        <v/>
      </c>
      <c r="AY29" s="93" t="str">
        <f aca="false">IF(ISBLANK($C29),"",IF(X29=Constants!$B$2,TRUE(),IF(X29=Constants!$B$3,FALSE(),FALSE())))</f>
        <v/>
      </c>
      <c r="AZ29" s="93" t="str">
        <f aca="false">IF(ISBLANK($C29),"",MIN(Constants!$B$25,MAX(0,IF(ISNUMBER(Y29),Y29*60,0)+IF(ISNUMBER(Z29),Z29,0))))</f>
        <v/>
      </c>
      <c r="BA29" s="93" t="str">
        <f aca="false">IF(ISBLANK($C29),"",IF(AA29=Constants!$B$2,TRUE(),IF(AA29=Constants!$B$3,FALSE(),FALSE())))</f>
        <v/>
      </c>
      <c r="BB29" s="92" t="str">
        <f aca="false">IF(ISBLANK($C29),"",AND($AL29,OR($AM29="",$AN29="",AND($AO29,$AP29=""))))</f>
        <v/>
      </c>
      <c r="BC29" s="94" t="str">
        <f aca="false">IF($BX29&lt;&gt;Constants!$B$6,"",IF($AL29,Constants!$B$17*$AN29+Constants!$B$18*IF($AO29,$AP29,Constants!$B$19),Constants!$B$20))</f>
        <v/>
      </c>
      <c r="BD29" s="97" t="str">
        <f aca="false">IF($BX29&lt;&gt;Constants!$B$6,"",Constants!$B$21*ABS($AD$9-IF($AL29,$AM29,0)))</f>
        <v/>
      </c>
      <c r="BE29" s="97" t="str">
        <f aca="false">IF($BX29&lt;&gt;Constants!$B$6,"",IF(AND($AL29,$AQ29,$AO29),Constants!$B$22,0))</f>
        <v/>
      </c>
      <c r="BF29" s="97" t="str">
        <f aca="false">IF($BX29&lt;&gt;Constants!$B$6,"",IF($AL29,($AI29-Constants!$B$24)*Constants!$B$23,0))</f>
        <v/>
      </c>
      <c r="BG29" s="97" t="str">
        <f aca="false">IF($BX29&lt;&gt;Constants!$B$6,"",IF($AK29,0,Constants!$B$12)+IF($AJ29,0,Constants!$B$13)+IF($AH29,0,Constants!$B$14))</f>
        <v/>
      </c>
      <c r="BH29" s="98" t="str">
        <f aca="false">IF($BX29&lt;&gt;Constants!$B$6,"",Constants!$B$16+SUM($BC29:$BG29))</f>
        <v/>
      </c>
      <c r="BI29" s="97" t="str">
        <f aca="false">IF($BX29&lt;&gt;Constants!$B$6,"",$BC29)</f>
        <v/>
      </c>
      <c r="BJ29" s="97" t="str">
        <f aca="false">IF($BX29&lt;&gt;Constants!$B$6,"",$BD29)</f>
        <v/>
      </c>
      <c r="BK29" s="99" t="str">
        <f aca="false">IF($BX29&lt;&gt;Constants!$B$6,"",IF($AL29,$AN29,""))</f>
        <v/>
      </c>
      <c r="BL29" s="93" t="str">
        <f aca="false">IF($BX29&lt;&gt;Constants!$B$6,"",IF(OR($BS29&lt;$BH29,AND($BS29=$BH29,OR($BT29&lt;$BI29,AND($BT29=$BI29,OR($BU29&lt;$BJ29,AND($BU29=$BJ29,AND(ISNUMBER($BV29),OR(NOT(ISNUMBER($BK29)),$BV29&lt;$BK29)))))))),"-&gt;","&lt;-"))</f>
        <v/>
      </c>
      <c r="BM29" s="92" t="str">
        <f aca="false">IF(ISBLANK($C29),"",AND($AT29,OR($AU29="",$AV29="",AND($AW29,$AX29=""))))</f>
        <v/>
      </c>
      <c r="BN29" s="94" t="str">
        <f aca="false">IF($BX29&lt;&gt;Constants!$B$6,"",IF($AT29,Constants!$B$17*$AV29+Constants!$B$18*IF($AW29,$AX29,Constants!$B$19),Constants!$B$20))</f>
        <v/>
      </c>
      <c r="BO29" s="97" t="str">
        <f aca="false">IF($BX29&lt;&gt;Constants!$B$6,"",Constants!$B$21*ABS($AD$9-IF($AT29,$AU29,0)))</f>
        <v/>
      </c>
      <c r="BP29" s="97" t="str">
        <f aca="false">IF($BX29&lt;&gt;Constants!$B$6,"",IF(AND($AT29,$AY29,$AW29),Constants!$B$22,0))</f>
        <v/>
      </c>
      <c r="BQ29" s="97" t="str">
        <f aca="false">IF($BX29&lt;&gt;Constants!$B$6,"",IF($AT29,($AI29-Constants!$B$24)*Constants!$B$23,0))</f>
        <v/>
      </c>
      <c r="BR29" s="97" t="str">
        <f aca="false">IF($BX29&lt;&gt;Constants!$B$6,"",IF($AS29,0,Constants!$B$12)+IF($AR29,0,Constants!$B$13)+IF($AH29,0,Constants!$B$14))</f>
        <v/>
      </c>
      <c r="BS29" s="98" t="str">
        <f aca="false">IF($BX29&lt;&gt;Constants!$B$6,"",Constants!$B$16+SUM($BN29:$BR29))</f>
        <v/>
      </c>
      <c r="BT29" s="97" t="str">
        <f aca="false">IF($BX29&lt;&gt;Constants!$B$6,"",$BN29)</f>
        <v/>
      </c>
      <c r="BU29" s="97" t="str">
        <f aca="false">IF($BX29&lt;&gt;Constants!$B$6,"",$BO29)</f>
        <v/>
      </c>
      <c r="BV29" s="99" t="str">
        <f aca="false">IF($BX29&lt;&gt;Constants!$B$6,"",IF($AT29,$AV29,""))</f>
        <v/>
      </c>
      <c r="BW29" s="93" t="str">
        <f aca="false">IF(ISBLANK($C29),"",IF(ISBLANK($D$7),$BW$5,IF(NOT(ISNUMBER($D$7)),$BW$6,"")))</f>
        <v/>
      </c>
      <c r="BX29" s="93" t="str">
        <f aca="false">IF(ISBLANK($C29),"",IF($BA29,Constants!$B$9,IF(COUNTA($E29:$AA29)=0,Constants!$B$8,IF(NOT($AG29),Constants!$B$7,IF(OR($BW29&lt;&gt;"",$BB29,$BM29),Constants!$B$10,Constants!$B$6)))))</f>
        <v/>
      </c>
      <c r="BY29" s="93" t="str">
        <f aca="false">IF(ISBLANK($C29),"",IF($BX29&lt;&gt;Constants!$B$6,$BX29,Constants!$B$11))</f>
        <v/>
      </c>
      <c r="BZ29" s="97" t="str">
        <f aca="false">IF($BX29&lt;&gt;Constants!$B$6,"",IF($BL29="-&gt;",$BS29,$BH29))</f>
        <v/>
      </c>
      <c r="CA29" s="97" t="str">
        <f aca="false">IF($BX29&lt;&gt;Constants!$B$6,"",IF($AF29,0,Constants!$B$15))</f>
        <v/>
      </c>
      <c r="CB29" s="97" t="str">
        <f aca="false">IF($BX29&lt;&gt;Constants!$B$6,"",((Constants!$B$25-$AZ29)-Constants!$B$25)/Constants!$B$26)</f>
        <v/>
      </c>
      <c r="CC29" s="97" t="str">
        <f aca="false">IF(ISBLANK($C29),"",IF($BX29&lt;&gt;Constants!$B$6,$BX29,SUM($BZ29:$CB29)))</f>
        <v/>
      </c>
      <c r="CD29" s="93" t="str">
        <f aca="false">IF(ISBLANK($C29),"",IF($BX29&lt;&gt;Constants!$B$6,$BX29,RANK($CC29,$CC$9:$CC$508,1)))</f>
        <v/>
      </c>
      <c r="CE29" s="97" t="str">
        <f aca="false">IF($BX29&lt;&gt;Constants!$B$6,"",IF($BL29="-&gt;",$BT29,$BI29))</f>
        <v/>
      </c>
      <c r="CF29" s="93" t="str">
        <f aca="false">IF(ISBLANK($C29),"",IF($BX29&lt;&gt;Constants!$B$6,$BX29,IF(ISNUMBER($CE29),RANK($CE29,$CE$9:$CE$508,1),COUNT($CE$9:$CE$508)+1)))</f>
        <v/>
      </c>
      <c r="CG29" s="97" t="str">
        <f aca="false">IF($BX29&lt;&gt;Constants!$B$6,"",IF($BL29="-&gt;",$BU29,$BJ29))</f>
        <v/>
      </c>
      <c r="CH29" s="93" t="str">
        <f aca="false">IF(ISBLANK($C29),"",IF($BX29&lt;&gt;Constants!$B$6,$BX29,IF(ISNUMBER($CG29),RANK($CG29,$CG$9:$CG$508,1),COUNT($CG$9:$CG$508)+1)))</f>
        <v/>
      </c>
      <c r="CI29" s="97" t="str">
        <f aca="false">IF($BX29&lt;&gt;Constants!$B$6,"",IF($BL29="-&gt;",$BV29,$BK29))</f>
        <v/>
      </c>
      <c r="CJ29" s="93" t="str">
        <f aca="false">IF(ISBLANK($C29),"",IF($BX29&lt;&gt;Constants!$B$6,$BX29,IF(ISNUMBER($CI29),RANK($CI29,$CI$9:$CI$508,1),COUNT($CI$9:$CI$508)+1)))</f>
        <v/>
      </c>
      <c r="CK29" s="97" t="str">
        <f aca="false">IF($BX29&lt;&gt;Constants!$B$6,"",$AI29)</f>
        <v/>
      </c>
      <c r="CL29" s="93" t="str">
        <f aca="false">IF(ISBLANK($C29),"",IF($BX29&lt;&gt;Constants!$B$6,$BX29,IF(ISNUMBER($CK29),RANK($CK29,$CK$9:$CK$508,1),COUNT($CK$9:$CK$508)+1)))</f>
        <v/>
      </c>
      <c r="CM29" s="93" t="str">
        <f aca="false">IF(ISBLANK($C29),"",IF($BX29&lt;&gt;Constants!$B$6,$BX29,COUNTIFS($CD$9:$CD$508,"&lt;"&amp;$CD29)+COUNTIFS($CD$9:$CD$508,$CD29,$CF$9:$CF$508,"&lt;"&amp;$CF29)+COUNTIFS($CD$9:$CD$508,$CD29,$CF$9:$CF$508,$CF29,$CH$9:$CH$508,"&lt;"&amp;$CH29)+COUNTIFS($CD$9:$CD$508,$CD29,$CF$9:$CF$508,$CF29,$CH$9:$CH$508,$CH29,$CJ$9:$CJ$508,"&lt;"&amp;$CJ29)+COUNTIFS($CD$9:$CD$508,$CD29,$CF$9:$CF$508,$CF29,$CH$9:$CH$508,$CH29,$CJ$9:$CJ$508,$CJ29,$CL$9:$CL$508,"&lt;"&amp;$CL29)+1))</f>
        <v/>
      </c>
      <c r="CN29" s="93" t="str">
        <f aca="false">IF(ISBLANK($C29),"",IF($BX29&lt;&gt;Constants!$B$6,$BX29,$CD29-$CM29))</f>
        <v/>
      </c>
      <c r="CO29" s="100"/>
      <c r="CP29" s="101"/>
      <c r="CQ29" s="102" t="str">
        <f aca="false">IF(ISBLANK($C29),"",IF($BX29=Constants!$B$10,$BW29,""))</f>
        <v/>
      </c>
      <c r="CR29" s="101" t="str">
        <f aca="false">IF(ISBLANK($C29),"",IF($BX29&lt;&gt;Constants!$B$6,"",IF($BL29="-&gt;",2,1)))</f>
        <v/>
      </c>
      <c r="CS29" s="103" t="str">
        <f aca="false">IF(ISBLANK($C29),"",IF($BX29&lt;&gt;Constants!$B$6,"",IF($BL29="-&gt;",$BN29,$BC29)))</f>
        <v/>
      </c>
      <c r="CT29" s="103" t="str">
        <f aca="false">IF(ISBLANK($C29),"",IF($BX29&lt;&gt;Constants!$B$6,"",IF($BL29="-&gt;",$BO29,$BD29)))</f>
        <v/>
      </c>
      <c r="CU29" s="103" t="str">
        <f aca="false">IF(ISBLANK($C29),"",IF($BX29&lt;&gt;Constants!$B$6,"",IF($BL29="-&gt;",$BP29+$BQ29,$BE29+$BF29)+$CB29))</f>
        <v/>
      </c>
      <c r="CV29" s="103" t="str">
        <f aca="false">IF(ISBLANK($C29),"",IF($BX29&lt;&gt;Constants!$B$6,"",IF($BL29="-&gt;",$BR29,$BG29)+$CA29))</f>
        <v/>
      </c>
      <c r="CW29" s="104" t="str">
        <f aca="false">IF(ISBLANK($C29),"",IF($BX29&lt;&gt;Constants!$B$6,$BX29,$CC29))</f>
        <v/>
      </c>
      <c r="CX29" s="105" t="str">
        <f aca="false">IF(ISBLANK($C29),"",$BY29)</f>
        <v/>
      </c>
      <c r="CY29" s="106" t="str">
        <f aca="false">IF(ISBLANK($C29),"",$CN29)</f>
        <v/>
      </c>
      <c r="CZ29" s="106" t="str">
        <f aca="false">IF(ISBLANK($C29),"",$CM29)</f>
        <v/>
      </c>
      <c r="DA29" s="107" t="str">
        <f aca="false">IF(ISBLANK($C29),"",IFERROR(_xlfn.SWITCH($CZ29,Constants!$B$9,COUNTA($C$9:$C$508)+2,Constants!$B$8,COUNTA($C$9:$C$508)+1,Constants!$B$7,COUNTA($C$9:$C$508)),$CZ29))</f>
        <v/>
      </c>
      <c r="DB29" s="9"/>
      <c r="DC29" s="108" t="n">
        <f aca="false">IF(OR(ISNUMBER($CZ29),$CZ29=Constants!$B$9,$CZ29=Constants!$B$7,$CZ29=Constants!$B$8),1,0)</f>
        <v>0</v>
      </c>
      <c r="DD29" s="108" t="n">
        <v>21</v>
      </c>
      <c r="DE29" s="108" t="str">
        <f aca="false">IF(ISBLANK($C29),"",IF(ISNUMBER($DA29),$DA29+ROW($B29)/1000,""))</f>
        <v/>
      </c>
      <c r="DF29" s="108" t="str">
        <f aca="false">IF(ISNUMBER($DE29),RANK($DE29,$DE$9:$DE$508,1),"")</f>
        <v/>
      </c>
      <c r="DG29" s="108" t="str">
        <f aca="false">IF(ISBLANK($C29),"",$B29)</f>
        <v/>
      </c>
      <c r="DH29" s="108" t="str">
        <f aca="false">IF(ISBLANK($C29),"",$C29)</f>
        <v/>
      </c>
      <c r="DI29" s="108" t="str">
        <f aca="false">IF(ISBLANK($C29),"",$D29)</f>
        <v/>
      </c>
      <c r="DJ29" s="109" t="str">
        <f aca="false">$CX29</f>
        <v/>
      </c>
      <c r="DK29" s="110" t="str">
        <f aca="false">$CW29</f>
        <v/>
      </c>
      <c r="DL29" s="108" t="str">
        <f aca="false">IF(ISBLANK($C29),"",$CZ29)</f>
        <v/>
      </c>
      <c r="DM29" s="111" t="str">
        <f aca="false">IF($DD29&gt;$DC$8,"",VLOOKUP($DD29,$DF$9:$DL$508,7,FALSE()))</f>
        <v/>
      </c>
      <c r="DN29" s="112" t="str">
        <f aca="false">IF($DD29&gt;$DC$8,"",VLOOKUP($DD29,$DF$9:$DL$508,2,FALSE()))</f>
        <v/>
      </c>
      <c r="DO29" s="112" t="str">
        <f aca="false">IF($DD29&gt;$DC$8,"",VLOOKUP($DD29,$DF$9:$DL$508,3,FALSE()))</f>
        <v/>
      </c>
      <c r="DP29" s="112" t="str">
        <f aca="false">IF($DD29&gt;$DC$8,"",VLOOKUP($DD29,$DF$9:$DL$508,4,FALSE()))</f>
        <v/>
      </c>
      <c r="DQ29" s="112" t="str">
        <f aca="false">IF($DD29&gt;$DC$8,"",VLOOKUP($DD29,$DF$9:$DL$508,5,FALSE()))</f>
        <v/>
      </c>
      <c r="DR29" s="113" t="str">
        <f aca="false">IF($DD29&gt;$DC$8,"",VLOOKUP($DD29,$DF$9:$DL$508,6,FALSE()))</f>
        <v/>
      </c>
      <c r="DS29" s="76"/>
    </row>
    <row r="30" customFormat="false" ht="15.75" hidden="false" customHeight="false" outlineLevel="0" collapsed="false">
      <c r="A30" s="9"/>
      <c r="B30" s="160"/>
      <c r="C30" s="161"/>
      <c r="D30" s="162"/>
      <c r="E30" s="163"/>
      <c r="F30" s="164"/>
      <c r="G30" s="165"/>
      <c r="H30" s="165"/>
      <c r="I30" s="166"/>
      <c r="J30" s="167"/>
      <c r="K30" s="128"/>
      <c r="L30" s="129"/>
      <c r="M30" s="130"/>
      <c r="N30" s="167"/>
      <c r="O30" s="167"/>
      <c r="P30" s="163"/>
      <c r="Q30" s="167"/>
      <c r="R30" s="167"/>
      <c r="S30" s="128"/>
      <c r="T30" s="130"/>
      <c r="U30" s="130"/>
      <c r="V30" s="167"/>
      <c r="W30" s="167"/>
      <c r="X30" s="163"/>
      <c r="Y30" s="168"/>
      <c r="Z30" s="169"/>
      <c r="AA30" s="168"/>
      <c r="AB30" s="134"/>
      <c r="AC30" s="135"/>
      <c r="AD30" s="135"/>
      <c r="AE30" s="135"/>
      <c r="AF30" s="135" t="str">
        <f aca="false">IF(ISBLANK($C30),"",IF(E30=Constants!$B$2,TRUE(),IF(E30=Constants!$B$3,FALSE(),TRUE())))</f>
        <v/>
      </c>
      <c r="AG30" s="135" t="str">
        <f aca="false">IF(ISBLANK($C30),"",IF(F30=Constants!$B$2,TRUE(),IF(F30=Constants!$B$3,FALSE(),TRUE())))</f>
        <v/>
      </c>
      <c r="AH30" s="135" t="str">
        <f aca="false">IF(ISBLANK($C30),"",IF(G30=Constants!$B$2,TRUE(),IF(G30=Constants!$B$3,FALSE(),TRUE())))</f>
        <v/>
      </c>
      <c r="AI30" s="135" t="str">
        <f aca="false">IF(ISBLANK($C30),"",IF(AND(ISNUMBER(H30),H30&gt;=0),H30,Constants!$B$24))</f>
        <v/>
      </c>
      <c r="AJ30" s="135" t="str">
        <f aca="false">IF(ISBLANK($C30),"",IF(I30=Constants!$B$2,TRUE(),IF(I30=Constants!$B$3,FALSE(),TRUE())))</f>
        <v/>
      </c>
      <c r="AK30" s="135" t="str">
        <f aca="false">IF(ISBLANK($C30),"",IF(J30=Constants!$B$2,TRUE(),IF(J30=Constants!$B$3,FALSE(),TRUE())))</f>
        <v/>
      </c>
      <c r="AL30" s="135" t="str">
        <f aca="false">IF(ISBLANK($C30),"",IF(K30=Constants!$B$4,TRUE(),IF(K30=Constants!$B$5,FALSE(),COUNTA(L30:P30)&gt;0)))</f>
        <v/>
      </c>
      <c r="AM30" s="136" t="str">
        <f aca="false">IF(ISBLANK($C30),"",IF(ISNUMBER(L30),IF(L30&gt;=0,L30,""),""))</f>
        <v/>
      </c>
      <c r="AN30" s="137" t="str">
        <f aca="false">IF(ISBLANK($C30),"",IF(ISNUMBER(M30),IF(M30&gt;=0,M30,""),""))</f>
        <v/>
      </c>
      <c r="AO30" s="137" t="str">
        <f aca="false">IF(ISBLANK($C30),"",IF(N30=Constants!$B$2,TRUE(),IF(N30=Constants!$B$3,FALSE(),TRUE())))</f>
        <v/>
      </c>
      <c r="AP30" s="135" t="str">
        <f aca="false">IF(ISBLANK($C30),"",IF(ISNUMBER(O30),IF(O30&gt;=0,O30,""),""))</f>
        <v/>
      </c>
      <c r="AQ30" s="135" t="str">
        <f aca="false">IF(ISBLANK($C30),"",IF(P30=Constants!$B$2,TRUE(),IF(P30=Constants!$B$3,FALSE(),FALSE())))</f>
        <v/>
      </c>
      <c r="AR30" s="135" t="str">
        <f aca="false">IF(ISBLANK($C30),"",IF(Q30=Constants!$B$2,TRUE(),IF(Q30=Constants!$B$3,FALSE(),TRUE())))</f>
        <v/>
      </c>
      <c r="AS30" s="135" t="str">
        <f aca="false">IF(ISBLANK($C30),"",IF(R30=Constants!$B$2,TRUE(),IF(R30=Constants!$B$3,FALSE(),TRUE())))</f>
        <v/>
      </c>
      <c r="AT30" s="135" t="str">
        <f aca="false">IF(ISBLANK($C30),"",IF(S30=Constants!$B$4,TRUE(),IF(S30=Constants!$B$5,FALSE(),COUNTA(T30:X30)&gt;0)))</f>
        <v/>
      </c>
      <c r="AU30" s="136" t="str">
        <f aca="false">IF(ISBLANK($C30),"",IF(ISNUMBER(T30),IF(T30&gt;=0,T30,""),""))</f>
        <v/>
      </c>
      <c r="AV30" s="137" t="str">
        <f aca="false">IF(ISBLANK($C30),"",IF(ISNUMBER(U30),IF(U30&gt;=0,U30,""),""))</f>
        <v/>
      </c>
      <c r="AW30" s="137" t="str">
        <f aca="false">IF(ISBLANK($C30),"",IF(V30=Constants!$B$2,TRUE(),IF(V30=Constants!$B$3,FALSE(),TRUE())))</f>
        <v/>
      </c>
      <c r="AX30" s="135" t="str">
        <f aca="false">IF(ISBLANK($C30),"",IF(ISNUMBER(W30),IF(W30&gt;=0,W30,""),""))</f>
        <v/>
      </c>
      <c r="AY30" s="135" t="str">
        <f aca="false">IF(ISBLANK($C30),"",IF(X30=Constants!$B$2,TRUE(),IF(X30=Constants!$B$3,FALSE(),FALSE())))</f>
        <v/>
      </c>
      <c r="AZ30" s="135" t="str">
        <f aca="false">IF(ISBLANK($C30),"",MIN(Constants!$B$25,MAX(0,IF(ISNUMBER(Y30),Y30*60,0)+IF(ISNUMBER(Z30),Z30,0))))</f>
        <v/>
      </c>
      <c r="BA30" s="135" t="str">
        <f aca="false">IF(ISBLANK($C30),"",IF(AA30=Constants!$B$2,TRUE(),IF(AA30=Constants!$B$3,FALSE(),FALSE())))</f>
        <v/>
      </c>
      <c r="BB30" s="134" t="str">
        <f aca="false">IF(ISBLANK($C30),"",AND($AL30,OR($AM30="",$AN30="",AND($AO30,$AP30=""))))</f>
        <v/>
      </c>
      <c r="BC30" s="137" t="str">
        <f aca="false">IF($BX30&lt;&gt;Constants!$B$6,"",IF($AL30,Constants!$B$17*$AN30+Constants!$B$18*IF($AO30,$AP30,Constants!$B$19),Constants!$B$20))</f>
        <v/>
      </c>
      <c r="BD30" s="138" t="str">
        <f aca="false">IF($BX30&lt;&gt;Constants!$B$6,"",Constants!$B$21*ABS($AD$9-IF($AL30,$AM30,0)))</f>
        <v/>
      </c>
      <c r="BE30" s="138" t="str">
        <f aca="false">IF($BX30&lt;&gt;Constants!$B$6,"",IF(AND($AL30,$AQ30,$AO30),Constants!$B$22,0))</f>
        <v/>
      </c>
      <c r="BF30" s="138" t="str">
        <f aca="false">IF($BX30&lt;&gt;Constants!$B$6,"",IF($AL30,($AI30-Constants!$B$24)*Constants!$B$23,0))</f>
        <v/>
      </c>
      <c r="BG30" s="138" t="str">
        <f aca="false">IF($BX30&lt;&gt;Constants!$B$6,"",IF($AK30,0,Constants!$B$12)+IF($AJ30,0,Constants!$B$13)+IF($AH30,0,Constants!$B$14))</f>
        <v/>
      </c>
      <c r="BH30" s="139" t="str">
        <f aca="false">IF($BX30&lt;&gt;Constants!$B$6,"",Constants!$B$16+SUM($BC30:$BG30))</f>
        <v/>
      </c>
      <c r="BI30" s="138" t="str">
        <f aca="false">IF($BX30&lt;&gt;Constants!$B$6,"",$BC30)</f>
        <v/>
      </c>
      <c r="BJ30" s="138" t="str">
        <f aca="false">IF($BX30&lt;&gt;Constants!$B$6,"",$BD30)</f>
        <v/>
      </c>
      <c r="BK30" s="140" t="str">
        <f aca="false">IF($BX30&lt;&gt;Constants!$B$6,"",IF($AL30,$AN30,""))</f>
        <v/>
      </c>
      <c r="BL30" s="135" t="str">
        <f aca="false">IF($BX30&lt;&gt;Constants!$B$6,"",IF(OR($BS30&lt;$BH30,AND($BS30=$BH30,OR($BT30&lt;$BI30,AND($BT30=$BI30,OR($BU30&lt;$BJ30,AND($BU30=$BJ30,AND(ISNUMBER($BV30),OR(NOT(ISNUMBER($BK30)),$BV30&lt;$BK30)))))))),"-&gt;","&lt;-"))</f>
        <v/>
      </c>
      <c r="BM30" s="134" t="str">
        <f aca="false">IF(ISBLANK($C30),"",AND($AT30,OR($AU30="",$AV30="",AND($AW30,$AX30=""))))</f>
        <v/>
      </c>
      <c r="BN30" s="137" t="str">
        <f aca="false">IF($BX30&lt;&gt;Constants!$B$6,"",IF($AT30,Constants!$B$17*$AV30+Constants!$B$18*IF($AW30,$AX30,Constants!$B$19),Constants!$B$20))</f>
        <v/>
      </c>
      <c r="BO30" s="138" t="str">
        <f aca="false">IF($BX30&lt;&gt;Constants!$B$6,"",Constants!$B$21*ABS($AD$9-IF($AT30,$AU30,0)))</f>
        <v/>
      </c>
      <c r="BP30" s="138" t="str">
        <f aca="false">IF($BX30&lt;&gt;Constants!$B$6,"",IF(AND($AT30,$AY30,$AW30),Constants!$B$22,0))</f>
        <v/>
      </c>
      <c r="BQ30" s="138" t="str">
        <f aca="false">IF($BX30&lt;&gt;Constants!$B$6,"",IF($AT30,($AI30-Constants!$B$24)*Constants!$B$23,0))</f>
        <v/>
      </c>
      <c r="BR30" s="138" t="str">
        <f aca="false">IF($BX30&lt;&gt;Constants!$B$6,"",IF($AS30,0,Constants!$B$12)+IF($AR30,0,Constants!$B$13)+IF($AH30,0,Constants!$B$14))</f>
        <v/>
      </c>
      <c r="BS30" s="139" t="str">
        <f aca="false">IF($BX30&lt;&gt;Constants!$B$6,"",Constants!$B$16+SUM($BN30:$BR30))</f>
        <v/>
      </c>
      <c r="BT30" s="138" t="str">
        <f aca="false">IF($BX30&lt;&gt;Constants!$B$6,"",$BN30)</f>
        <v/>
      </c>
      <c r="BU30" s="138" t="str">
        <f aca="false">IF($BX30&lt;&gt;Constants!$B$6,"",$BO30)</f>
        <v/>
      </c>
      <c r="BV30" s="140" t="str">
        <f aca="false">IF($BX30&lt;&gt;Constants!$B$6,"",IF($AT30,$AV30,""))</f>
        <v/>
      </c>
      <c r="BW30" s="135" t="str">
        <f aca="false">IF(ISBLANK($C30),"",IF(ISBLANK($D$7),$BW$5,IF(NOT(ISNUMBER($D$7)),$BW$6,"")))</f>
        <v/>
      </c>
      <c r="BX30" s="135" t="str">
        <f aca="false">IF(ISBLANK($C30),"",IF($BA30,Constants!$B$9,IF(COUNTA($E30:$AA30)=0,Constants!$B$8,IF(NOT($AG30),Constants!$B$7,IF(OR($BW30&lt;&gt;"",$BB30,$BM30),Constants!$B$10,Constants!$B$6)))))</f>
        <v/>
      </c>
      <c r="BY30" s="135" t="str">
        <f aca="false">IF(ISBLANK($C30),"",IF($BX30&lt;&gt;Constants!$B$6,$BX30,Constants!$B$11))</f>
        <v/>
      </c>
      <c r="BZ30" s="138" t="str">
        <f aca="false">IF($BX30&lt;&gt;Constants!$B$6,"",IF($BL30="-&gt;",$BS30,$BH30))</f>
        <v/>
      </c>
      <c r="CA30" s="138" t="str">
        <f aca="false">IF($BX30&lt;&gt;Constants!$B$6,"",IF($AF30,0,Constants!$B$15))</f>
        <v/>
      </c>
      <c r="CB30" s="138" t="str">
        <f aca="false">IF($BX30&lt;&gt;Constants!$B$6,"",((Constants!$B$25-$AZ30)-Constants!$B$25)/Constants!$B$26)</f>
        <v/>
      </c>
      <c r="CC30" s="138" t="str">
        <f aca="false">IF(ISBLANK($C30),"",IF($BX30&lt;&gt;Constants!$B$6,$BX30,SUM($BZ30:$CB30)))</f>
        <v/>
      </c>
      <c r="CD30" s="135" t="str">
        <f aca="false">IF(ISBLANK($C30),"",IF($BX30&lt;&gt;Constants!$B$6,$BX30,RANK($CC30,$CC$9:$CC$508,1)))</f>
        <v/>
      </c>
      <c r="CE30" s="138" t="str">
        <f aca="false">IF($BX30&lt;&gt;Constants!$B$6,"",IF($BL30="-&gt;",$BT30,$BI30))</f>
        <v/>
      </c>
      <c r="CF30" s="135" t="str">
        <f aca="false">IF(ISBLANK($C30),"",IF($BX30&lt;&gt;Constants!$B$6,$BX30,IF(ISNUMBER($CE30),RANK($CE30,$CE$9:$CE$508,1),COUNT($CE$9:$CE$508)+1)))</f>
        <v/>
      </c>
      <c r="CG30" s="138" t="str">
        <f aca="false">IF($BX30&lt;&gt;Constants!$B$6,"",IF($BL30="-&gt;",$BU30,$BJ30))</f>
        <v/>
      </c>
      <c r="CH30" s="135" t="str">
        <f aca="false">IF(ISBLANK($C30),"",IF($BX30&lt;&gt;Constants!$B$6,$BX30,IF(ISNUMBER($CG30),RANK($CG30,$CG$9:$CG$508,1),COUNT($CG$9:$CG$508)+1)))</f>
        <v/>
      </c>
      <c r="CI30" s="138" t="str">
        <f aca="false">IF($BX30&lt;&gt;Constants!$B$6,"",IF($BL30="-&gt;",$BV30,$BK30))</f>
        <v/>
      </c>
      <c r="CJ30" s="135" t="str">
        <f aca="false">IF(ISBLANK($C30),"",IF($BX30&lt;&gt;Constants!$B$6,$BX30,IF(ISNUMBER($CI30),RANK($CI30,$CI$9:$CI$508,1),COUNT($CI$9:$CI$508)+1)))</f>
        <v/>
      </c>
      <c r="CK30" s="138" t="str">
        <f aca="false">IF($BX30&lt;&gt;Constants!$B$6,"",$AI30)</f>
        <v/>
      </c>
      <c r="CL30" s="135" t="str">
        <f aca="false">IF(ISBLANK($C30),"",IF($BX30&lt;&gt;Constants!$B$6,$BX30,IF(ISNUMBER($CK30),RANK($CK30,$CK$9:$CK$508,1),COUNT($CK$9:$CK$508)+1)))</f>
        <v/>
      </c>
      <c r="CM30" s="135" t="str">
        <f aca="false">IF(ISBLANK($C30),"",IF($BX30&lt;&gt;Constants!$B$6,$BX30,COUNTIFS($CD$9:$CD$508,"&lt;"&amp;$CD30)+COUNTIFS($CD$9:$CD$508,$CD30,$CF$9:$CF$508,"&lt;"&amp;$CF30)+COUNTIFS($CD$9:$CD$508,$CD30,$CF$9:$CF$508,$CF30,$CH$9:$CH$508,"&lt;"&amp;$CH30)+COUNTIFS($CD$9:$CD$508,$CD30,$CF$9:$CF$508,$CF30,$CH$9:$CH$508,$CH30,$CJ$9:$CJ$508,"&lt;"&amp;$CJ30)+COUNTIFS($CD$9:$CD$508,$CD30,$CF$9:$CF$508,$CF30,$CH$9:$CH$508,$CH30,$CJ$9:$CJ$508,$CJ30,$CL$9:$CL$508,"&lt;"&amp;$CL30)+1))</f>
        <v/>
      </c>
      <c r="CN30" s="135" t="str">
        <f aca="false">IF(ISBLANK($C30),"",IF($BX30&lt;&gt;Constants!$B$6,$BX30,$CD30-$CM30))</f>
        <v/>
      </c>
      <c r="CO30" s="141"/>
      <c r="CP30" s="142"/>
      <c r="CQ30" s="143" t="str">
        <f aca="false">IF(ISBLANK($C30),"",IF($BX30=Constants!$B$10,$BW30,""))</f>
        <v/>
      </c>
      <c r="CR30" s="142" t="str">
        <f aca="false">IF(ISBLANK($C30),"",IF($BX30&lt;&gt;Constants!$B$6,"",IF($BL30="-&gt;",2,1)))</f>
        <v/>
      </c>
      <c r="CS30" s="144" t="str">
        <f aca="false">IF(ISBLANK($C30),"",IF($BX30&lt;&gt;Constants!$B$6,"",IF($BL30="-&gt;",$BN30,$BC30)))</f>
        <v/>
      </c>
      <c r="CT30" s="144" t="str">
        <f aca="false">IF(ISBLANK($C30),"",IF($BX30&lt;&gt;Constants!$B$6,"",IF($BL30="-&gt;",$BO30,$BD30)))</f>
        <v/>
      </c>
      <c r="CU30" s="144" t="str">
        <f aca="false">IF(ISBLANK($C30),"",IF($BX30&lt;&gt;Constants!$B$6,"",IF($BL30="-&gt;",$BP30+$BQ30,$BE30+$BF30)+$CB30))</f>
        <v/>
      </c>
      <c r="CV30" s="144" t="str">
        <f aca="false">IF(ISBLANK($C30),"",IF($BX30&lt;&gt;Constants!$B$6,"",IF($BL30="-&gt;",$BR30,$BG30)+$CA30))</f>
        <v/>
      </c>
      <c r="CW30" s="145" t="str">
        <f aca="false">IF(ISBLANK($C30),"",IF($BX30&lt;&gt;Constants!$B$6,$BX30,$CC30))</f>
        <v/>
      </c>
      <c r="CX30" s="146" t="str">
        <f aca="false">IF(ISBLANK($C30),"",$BY30)</f>
        <v/>
      </c>
      <c r="CY30" s="147" t="str">
        <f aca="false">IF(ISBLANK($C30),"",$CN30)</f>
        <v/>
      </c>
      <c r="CZ30" s="147" t="str">
        <f aca="false">IF(ISBLANK($C30),"",$CM30)</f>
        <v/>
      </c>
      <c r="DA30" s="148" t="str">
        <f aca="false">IF(ISBLANK($C30),"",IFERROR(_xlfn.SWITCH($CZ30,Constants!$B$9,COUNTA($C$9:$C$508)+2,Constants!$B$8,COUNTA($C$9:$C$508)+1,Constants!$B$7,COUNTA($C$9:$C$508)),$CZ30))</f>
        <v/>
      </c>
      <c r="DB30" s="9"/>
      <c r="DC30" s="149" t="n">
        <f aca="false">IF(OR(ISNUMBER($CZ30),$CZ30=Constants!$B$9,$CZ30=Constants!$B$7,$CZ30=Constants!$B$8),1,0)</f>
        <v>0</v>
      </c>
      <c r="DD30" s="149" t="n">
        <v>22</v>
      </c>
      <c r="DE30" s="149" t="str">
        <f aca="false">IF(ISBLANK($C30),"",IF(ISNUMBER($DA30),$DA30+ROW($B30)/1000,""))</f>
        <v/>
      </c>
      <c r="DF30" s="149" t="str">
        <f aca="false">IF(ISNUMBER($DE30),RANK($DE30,$DE$9:$DE$508,1),"")</f>
        <v/>
      </c>
      <c r="DG30" s="149" t="str">
        <f aca="false">IF(ISBLANK($C30),"",$B30)</f>
        <v/>
      </c>
      <c r="DH30" s="149" t="str">
        <f aca="false">IF(ISBLANK($C30),"",$C30)</f>
        <v/>
      </c>
      <c r="DI30" s="149" t="str">
        <f aca="false">IF(ISBLANK($C30),"",$D30)</f>
        <v/>
      </c>
      <c r="DJ30" s="150" t="str">
        <f aca="false">$CX30</f>
        <v/>
      </c>
      <c r="DK30" s="151" t="str">
        <f aca="false">$CW30</f>
        <v/>
      </c>
      <c r="DL30" s="149" t="str">
        <f aca="false">IF(ISBLANK($C30),"",$CZ30)</f>
        <v/>
      </c>
      <c r="DM30" s="152" t="str">
        <f aca="false">IF($DD30&gt;$DC$8,"",VLOOKUP($DD30,$DF$9:$DL$508,7,FALSE()))</f>
        <v/>
      </c>
      <c r="DN30" s="153" t="str">
        <f aca="false">IF($DD30&gt;$DC$8,"",VLOOKUP($DD30,$DF$9:$DL$508,2,FALSE()))</f>
        <v/>
      </c>
      <c r="DO30" s="153" t="str">
        <f aca="false">IF($DD30&gt;$DC$8,"",VLOOKUP($DD30,$DF$9:$DL$508,3,FALSE()))</f>
        <v/>
      </c>
      <c r="DP30" s="153" t="str">
        <f aca="false">IF($DD30&gt;$DC$8,"",VLOOKUP($DD30,$DF$9:$DL$508,4,FALSE()))</f>
        <v/>
      </c>
      <c r="DQ30" s="153" t="str">
        <f aca="false">IF($DD30&gt;$DC$8,"",VLOOKUP($DD30,$DF$9:$DL$508,5,FALSE()))</f>
        <v/>
      </c>
      <c r="DR30" s="154" t="str">
        <f aca="false">IF($DD30&gt;$DC$8,"",VLOOKUP($DD30,$DF$9:$DL$508,6,FALSE()))</f>
        <v/>
      </c>
      <c r="DS30" s="76"/>
    </row>
    <row r="31" customFormat="false" ht="15.75" hidden="false" customHeight="false" outlineLevel="0" collapsed="false">
      <c r="A31" s="9"/>
      <c r="B31" s="160"/>
      <c r="C31" s="161"/>
      <c r="D31" s="162"/>
      <c r="E31" s="163"/>
      <c r="F31" s="164"/>
      <c r="G31" s="165"/>
      <c r="H31" s="165"/>
      <c r="I31" s="166"/>
      <c r="J31" s="167"/>
      <c r="K31" s="128"/>
      <c r="L31" s="129"/>
      <c r="M31" s="130"/>
      <c r="N31" s="167"/>
      <c r="O31" s="167"/>
      <c r="P31" s="163"/>
      <c r="Q31" s="167"/>
      <c r="R31" s="167"/>
      <c r="S31" s="128"/>
      <c r="T31" s="130"/>
      <c r="U31" s="130"/>
      <c r="V31" s="167"/>
      <c r="W31" s="167"/>
      <c r="X31" s="163"/>
      <c r="Y31" s="168"/>
      <c r="Z31" s="169"/>
      <c r="AA31" s="168"/>
      <c r="AB31" s="134"/>
      <c r="AC31" s="135"/>
      <c r="AD31" s="135"/>
      <c r="AE31" s="135"/>
      <c r="AF31" s="135" t="str">
        <f aca="false">IF(ISBLANK($C31),"",IF(E31=Constants!$B$2,TRUE(),IF(E31=Constants!$B$3,FALSE(),TRUE())))</f>
        <v/>
      </c>
      <c r="AG31" s="135" t="str">
        <f aca="false">IF(ISBLANK($C31),"",IF(F31=Constants!$B$2,TRUE(),IF(F31=Constants!$B$3,FALSE(),TRUE())))</f>
        <v/>
      </c>
      <c r="AH31" s="135" t="str">
        <f aca="false">IF(ISBLANK($C31),"",IF(G31=Constants!$B$2,TRUE(),IF(G31=Constants!$B$3,FALSE(),TRUE())))</f>
        <v/>
      </c>
      <c r="AI31" s="135" t="str">
        <f aca="false">IF(ISBLANK($C31),"",IF(AND(ISNUMBER(H31),H31&gt;=0),H31,Constants!$B$24))</f>
        <v/>
      </c>
      <c r="AJ31" s="135" t="str">
        <f aca="false">IF(ISBLANK($C31),"",IF(I31=Constants!$B$2,TRUE(),IF(I31=Constants!$B$3,FALSE(),TRUE())))</f>
        <v/>
      </c>
      <c r="AK31" s="135" t="str">
        <f aca="false">IF(ISBLANK($C31),"",IF(J31=Constants!$B$2,TRUE(),IF(J31=Constants!$B$3,FALSE(),TRUE())))</f>
        <v/>
      </c>
      <c r="AL31" s="135" t="str">
        <f aca="false">IF(ISBLANK($C31),"",IF(K31=Constants!$B$4,TRUE(),IF(K31=Constants!$B$5,FALSE(),COUNTA(L31:P31)&gt;0)))</f>
        <v/>
      </c>
      <c r="AM31" s="136" t="str">
        <f aca="false">IF(ISBLANK($C31),"",IF(ISNUMBER(L31),IF(L31&gt;=0,L31,""),""))</f>
        <v/>
      </c>
      <c r="AN31" s="137" t="str">
        <f aca="false">IF(ISBLANK($C31),"",IF(ISNUMBER(M31),IF(M31&gt;=0,M31,""),""))</f>
        <v/>
      </c>
      <c r="AO31" s="137" t="str">
        <f aca="false">IF(ISBLANK($C31),"",IF(N31=Constants!$B$2,TRUE(),IF(N31=Constants!$B$3,FALSE(),TRUE())))</f>
        <v/>
      </c>
      <c r="AP31" s="135" t="str">
        <f aca="false">IF(ISBLANK($C31),"",IF(ISNUMBER(O31),IF(O31&gt;=0,O31,""),""))</f>
        <v/>
      </c>
      <c r="AQ31" s="135" t="str">
        <f aca="false">IF(ISBLANK($C31),"",IF(P31=Constants!$B$2,TRUE(),IF(P31=Constants!$B$3,FALSE(),FALSE())))</f>
        <v/>
      </c>
      <c r="AR31" s="135" t="str">
        <f aca="false">IF(ISBLANK($C31),"",IF(Q31=Constants!$B$2,TRUE(),IF(Q31=Constants!$B$3,FALSE(),TRUE())))</f>
        <v/>
      </c>
      <c r="AS31" s="135" t="str">
        <f aca="false">IF(ISBLANK($C31),"",IF(R31=Constants!$B$2,TRUE(),IF(R31=Constants!$B$3,FALSE(),TRUE())))</f>
        <v/>
      </c>
      <c r="AT31" s="135" t="str">
        <f aca="false">IF(ISBLANK($C31),"",IF(S31=Constants!$B$4,TRUE(),IF(S31=Constants!$B$5,FALSE(),COUNTA(T31:X31)&gt;0)))</f>
        <v/>
      </c>
      <c r="AU31" s="136" t="str">
        <f aca="false">IF(ISBLANK($C31),"",IF(ISNUMBER(T31),IF(T31&gt;=0,T31,""),""))</f>
        <v/>
      </c>
      <c r="AV31" s="137" t="str">
        <f aca="false">IF(ISBLANK($C31),"",IF(ISNUMBER(U31),IF(U31&gt;=0,U31,""),""))</f>
        <v/>
      </c>
      <c r="AW31" s="137" t="str">
        <f aca="false">IF(ISBLANK($C31),"",IF(V31=Constants!$B$2,TRUE(),IF(V31=Constants!$B$3,FALSE(),TRUE())))</f>
        <v/>
      </c>
      <c r="AX31" s="135" t="str">
        <f aca="false">IF(ISBLANK($C31),"",IF(ISNUMBER(W31),IF(W31&gt;=0,W31,""),""))</f>
        <v/>
      </c>
      <c r="AY31" s="135" t="str">
        <f aca="false">IF(ISBLANK($C31),"",IF(X31=Constants!$B$2,TRUE(),IF(X31=Constants!$B$3,FALSE(),FALSE())))</f>
        <v/>
      </c>
      <c r="AZ31" s="135" t="str">
        <f aca="false">IF(ISBLANK($C31),"",MIN(Constants!$B$25,MAX(0,IF(ISNUMBER(Y31),Y31*60,0)+IF(ISNUMBER(Z31),Z31,0))))</f>
        <v/>
      </c>
      <c r="BA31" s="135" t="str">
        <f aca="false">IF(ISBLANK($C31),"",IF(AA31=Constants!$B$2,TRUE(),IF(AA31=Constants!$B$3,FALSE(),FALSE())))</f>
        <v/>
      </c>
      <c r="BB31" s="134" t="str">
        <f aca="false">IF(ISBLANK($C31),"",AND($AL31,OR($AM31="",$AN31="",AND($AO31,$AP31=""))))</f>
        <v/>
      </c>
      <c r="BC31" s="137" t="str">
        <f aca="false">IF($BX31&lt;&gt;Constants!$B$6,"",IF($AL31,Constants!$B$17*$AN31+Constants!$B$18*IF($AO31,$AP31,Constants!$B$19),Constants!$B$20))</f>
        <v/>
      </c>
      <c r="BD31" s="138" t="str">
        <f aca="false">IF($BX31&lt;&gt;Constants!$B$6,"",Constants!$B$21*ABS($AD$9-IF($AL31,$AM31,0)))</f>
        <v/>
      </c>
      <c r="BE31" s="138" t="str">
        <f aca="false">IF($BX31&lt;&gt;Constants!$B$6,"",IF(AND($AL31,$AQ31,$AO31),Constants!$B$22,0))</f>
        <v/>
      </c>
      <c r="BF31" s="138" t="str">
        <f aca="false">IF($BX31&lt;&gt;Constants!$B$6,"",IF($AL31,($AI31-Constants!$B$24)*Constants!$B$23,0))</f>
        <v/>
      </c>
      <c r="BG31" s="138" t="str">
        <f aca="false">IF($BX31&lt;&gt;Constants!$B$6,"",IF($AK31,0,Constants!$B$12)+IF($AJ31,0,Constants!$B$13)+IF($AH31,0,Constants!$B$14))</f>
        <v/>
      </c>
      <c r="BH31" s="139" t="str">
        <f aca="false">IF($BX31&lt;&gt;Constants!$B$6,"",Constants!$B$16+SUM($BC31:$BG31))</f>
        <v/>
      </c>
      <c r="BI31" s="138" t="str">
        <f aca="false">IF($BX31&lt;&gt;Constants!$B$6,"",$BC31)</f>
        <v/>
      </c>
      <c r="BJ31" s="138" t="str">
        <f aca="false">IF($BX31&lt;&gt;Constants!$B$6,"",$BD31)</f>
        <v/>
      </c>
      <c r="BK31" s="140" t="str">
        <f aca="false">IF($BX31&lt;&gt;Constants!$B$6,"",IF($AL31,$AN31,""))</f>
        <v/>
      </c>
      <c r="BL31" s="135" t="str">
        <f aca="false">IF($BX31&lt;&gt;Constants!$B$6,"",IF(OR($BS31&lt;$BH31,AND($BS31=$BH31,OR($BT31&lt;$BI31,AND($BT31=$BI31,OR($BU31&lt;$BJ31,AND($BU31=$BJ31,AND(ISNUMBER($BV31),OR(NOT(ISNUMBER($BK31)),$BV31&lt;$BK31)))))))),"-&gt;","&lt;-"))</f>
        <v/>
      </c>
      <c r="BM31" s="134" t="str">
        <f aca="false">IF(ISBLANK($C31),"",AND($AT31,OR($AU31="",$AV31="",AND($AW31,$AX31=""))))</f>
        <v/>
      </c>
      <c r="BN31" s="137" t="str">
        <f aca="false">IF($BX31&lt;&gt;Constants!$B$6,"",IF($AT31,Constants!$B$17*$AV31+Constants!$B$18*IF($AW31,$AX31,Constants!$B$19),Constants!$B$20))</f>
        <v/>
      </c>
      <c r="BO31" s="138" t="str">
        <f aca="false">IF($BX31&lt;&gt;Constants!$B$6,"",Constants!$B$21*ABS($AD$9-IF($AT31,$AU31,0)))</f>
        <v/>
      </c>
      <c r="BP31" s="138" t="str">
        <f aca="false">IF($BX31&lt;&gt;Constants!$B$6,"",IF(AND($AT31,$AY31,$AW31),Constants!$B$22,0))</f>
        <v/>
      </c>
      <c r="BQ31" s="138" t="str">
        <f aca="false">IF($BX31&lt;&gt;Constants!$B$6,"",IF($AT31,($AI31-Constants!$B$24)*Constants!$B$23,0))</f>
        <v/>
      </c>
      <c r="BR31" s="138" t="str">
        <f aca="false">IF($BX31&lt;&gt;Constants!$B$6,"",IF($AS31,0,Constants!$B$12)+IF($AR31,0,Constants!$B$13)+IF($AH31,0,Constants!$B$14))</f>
        <v/>
      </c>
      <c r="BS31" s="139" t="str">
        <f aca="false">IF($BX31&lt;&gt;Constants!$B$6,"",Constants!$B$16+SUM($BN31:$BR31))</f>
        <v/>
      </c>
      <c r="BT31" s="138" t="str">
        <f aca="false">IF($BX31&lt;&gt;Constants!$B$6,"",$BN31)</f>
        <v/>
      </c>
      <c r="BU31" s="138" t="str">
        <f aca="false">IF($BX31&lt;&gt;Constants!$B$6,"",$BO31)</f>
        <v/>
      </c>
      <c r="BV31" s="140" t="str">
        <f aca="false">IF($BX31&lt;&gt;Constants!$B$6,"",IF($AT31,$AV31,""))</f>
        <v/>
      </c>
      <c r="BW31" s="135" t="str">
        <f aca="false">IF(ISBLANK($C31),"",IF(ISBLANK($D$7),$BW$5,IF(NOT(ISNUMBER($D$7)),$BW$6,"")))</f>
        <v/>
      </c>
      <c r="BX31" s="135" t="str">
        <f aca="false">IF(ISBLANK($C31),"",IF($BA31,Constants!$B$9,IF(COUNTA($E31:$AA31)=0,Constants!$B$8,IF(NOT($AG31),Constants!$B$7,IF(OR($BW31&lt;&gt;"",$BB31,$BM31),Constants!$B$10,Constants!$B$6)))))</f>
        <v/>
      </c>
      <c r="BY31" s="135" t="str">
        <f aca="false">IF(ISBLANK($C31),"",IF($BX31&lt;&gt;Constants!$B$6,$BX31,Constants!$B$11))</f>
        <v/>
      </c>
      <c r="BZ31" s="138" t="str">
        <f aca="false">IF($BX31&lt;&gt;Constants!$B$6,"",IF($BL31="-&gt;",$BS31,$BH31))</f>
        <v/>
      </c>
      <c r="CA31" s="138" t="str">
        <f aca="false">IF($BX31&lt;&gt;Constants!$B$6,"",IF($AF31,0,Constants!$B$15))</f>
        <v/>
      </c>
      <c r="CB31" s="138" t="str">
        <f aca="false">IF($BX31&lt;&gt;Constants!$B$6,"",((Constants!$B$25-$AZ31)-Constants!$B$25)/Constants!$B$26)</f>
        <v/>
      </c>
      <c r="CC31" s="138" t="str">
        <f aca="false">IF(ISBLANK($C31),"",IF($BX31&lt;&gt;Constants!$B$6,$BX31,SUM($BZ31:$CB31)))</f>
        <v/>
      </c>
      <c r="CD31" s="135" t="str">
        <f aca="false">IF(ISBLANK($C31),"",IF($BX31&lt;&gt;Constants!$B$6,$BX31,RANK($CC31,$CC$9:$CC$508,1)))</f>
        <v/>
      </c>
      <c r="CE31" s="138" t="str">
        <f aca="false">IF($BX31&lt;&gt;Constants!$B$6,"",IF($BL31="-&gt;",$BT31,$BI31))</f>
        <v/>
      </c>
      <c r="CF31" s="135" t="str">
        <f aca="false">IF(ISBLANK($C31),"",IF($BX31&lt;&gt;Constants!$B$6,$BX31,IF(ISNUMBER($CE31),RANK($CE31,$CE$9:$CE$508,1),COUNT($CE$9:$CE$508)+1)))</f>
        <v/>
      </c>
      <c r="CG31" s="138" t="str">
        <f aca="false">IF($BX31&lt;&gt;Constants!$B$6,"",IF($BL31="-&gt;",$BU31,$BJ31))</f>
        <v/>
      </c>
      <c r="CH31" s="135" t="str">
        <f aca="false">IF(ISBLANK($C31),"",IF($BX31&lt;&gt;Constants!$B$6,$BX31,IF(ISNUMBER($CG31),RANK($CG31,$CG$9:$CG$508,1),COUNT($CG$9:$CG$508)+1)))</f>
        <v/>
      </c>
      <c r="CI31" s="138" t="str">
        <f aca="false">IF($BX31&lt;&gt;Constants!$B$6,"",IF($BL31="-&gt;",$BV31,$BK31))</f>
        <v/>
      </c>
      <c r="CJ31" s="135" t="str">
        <f aca="false">IF(ISBLANK($C31),"",IF($BX31&lt;&gt;Constants!$B$6,$BX31,IF(ISNUMBER($CI31),RANK($CI31,$CI$9:$CI$508,1),COUNT($CI$9:$CI$508)+1)))</f>
        <v/>
      </c>
      <c r="CK31" s="138" t="str">
        <f aca="false">IF($BX31&lt;&gt;Constants!$B$6,"",$AI31)</f>
        <v/>
      </c>
      <c r="CL31" s="135" t="str">
        <f aca="false">IF(ISBLANK($C31),"",IF($BX31&lt;&gt;Constants!$B$6,$BX31,IF(ISNUMBER($CK31),RANK($CK31,$CK$9:$CK$508,1),COUNT($CK$9:$CK$508)+1)))</f>
        <v/>
      </c>
      <c r="CM31" s="135" t="str">
        <f aca="false">IF(ISBLANK($C31),"",IF($BX31&lt;&gt;Constants!$B$6,$BX31,COUNTIFS($CD$9:$CD$508,"&lt;"&amp;$CD31)+COUNTIFS($CD$9:$CD$508,$CD31,$CF$9:$CF$508,"&lt;"&amp;$CF31)+COUNTIFS($CD$9:$CD$508,$CD31,$CF$9:$CF$508,$CF31,$CH$9:$CH$508,"&lt;"&amp;$CH31)+COUNTIFS($CD$9:$CD$508,$CD31,$CF$9:$CF$508,$CF31,$CH$9:$CH$508,$CH31,$CJ$9:$CJ$508,"&lt;"&amp;$CJ31)+COUNTIFS($CD$9:$CD$508,$CD31,$CF$9:$CF$508,$CF31,$CH$9:$CH$508,$CH31,$CJ$9:$CJ$508,$CJ31,$CL$9:$CL$508,"&lt;"&amp;$CL31)+1))</f>
        <v/>
      </c>
      <c r="CN31" s="135" t="str">
        <f aca="false">IF(ISBLANK($C31),"",IF($BX31&lt;&gt;Constants!$B$6,$BX31,$CD31-$CM31))</f>
        <v/>
      </c>
      <c r="CO31" s="141"/>
      <c r="CP31" s="142"/>
      <c r="CQ31" s="143" t="str">
        <f aca="false">IF(ISBLANK($C31),"",IF($BX31=Constants!$B$10,$BW31,""))</f>
        <v/>
      </c>
      <c r="CR31" s="142" t="str">
        <f aca="false">IF(ISBLANK($C31),"",IF($BX31&lt;&gt;Constants!$B$6,"",IF($BL31="-&gt;",2,1)))</f>
        <v/>
      </c>
      <c r="CS31" s="144" t="str">
        <f aca="false">IF(ISBLANK($C31),"",IF($BX31&lt;&gt;Constants!$B$6,"",IF($BL31="-&gt;",$BN31,$BC31)))</f>
        <v/>
      </c>
      <c r="CT31" s="144" t="str">
        <f aca="false">IF(ISBLANK($C31),"",IF($BX31&lt;&gt;Constants!$B$6,"",IF($BL31="-&gt;",$BO31,$BD31)))</f>
        <v/>
      </c>
      <c r="CU31" s="144" t="str">
        <f aca="false">IF(ISBLANK($C31),"",IF($BX31&lt;&gt;Constants!$B$6,"",IF($BL31="-&gt;",$BP31+$BQ31,$BE31+$BF31)+$CB31))</f>
        <v/>
      </c>
      <c r="CV31" s="144" t="str">
        <f aca="false">IF(ISBLANK($C31),"",IF($BX31&lt;&gt;Constants!$B$6,"",IF($BL31="-&gt;",$BR31,$BG31)+$CA31))</f>
        <v/>
      </c>
      <c r="CW31" s="145" t="str">
        <f aca="false">IF(ISBLANK($C31),"",IF($BX31&lt;&gt;Constants!$B$6,$BX31,$CC31))</f>
        <v/>
      </c>
      <c r="CX31" s="146" t="str">
        <f aca="false">IF(ISBLANK($C31),"",$BY31)</f>
        <v/>
      </c>
      <c r="CY31" s="147" t="str">
        <f aca="false">IF(ISBLANK($C31),"",$CN31)</f>
        <v/>
      </c>
      <c r="CZ31" s="147" t="str">
        <f aca="false">IF(ISBLANK($C31),"",$CM31)</f>
        <v/>
      </c>
      <c r="DA31" s="148" t="str">
        <f aca="false">IF(ISBLANK($C31),"",IFERROR(_xlfn.SWITCH($CZ31,Constants!$B$9,COUNTA($C$9:$C$508)+2,Constants!$B$8,COUNTA($C$9:$C$508)+1,Constants!$B$7,COUNTA($C$9:$C$508)),$CZ31))</f>
        <v/>
      </c>
      <c r="DB31" s="9"/>
      <c r="DC31" s="149" t="n">
        <f aca="false">IF(OR(ISNUMBER($CZ31),$CZ31=Constants!$B$9,$CZ31=Constants!$B$7,$CZ31=Constants!$B$8),1,0)</f>
        <v>0</v>
      </c>
      <c r="DD31" s="149" t="n">
        <v>23</v>
      </c>
      <c r="DE31" s="149" t="str">
        <f aca="false">IF(ISBLANK($C31),"",IF(ISNUMBER($DA31),$DA31+ROW($B31)/1000,""))</f>
        <v/>
      </c>
      <c r="DF31" s="149" t="str">
        <f aca="false">IF(ISNUMBER($DE31),RANK($DE31,$DE$9:$DE$508,1),"")</f>
        <v/>
      </c>
      <c r="DG31" s="149" t="str">
        <f aca="false">IF(ISBLANK($C31),"",$B31)</f>
        <v/>
      </c>
      <c r="DH31" s="149" t="str">
        <f aca="false">IF(ISBLANK($C31),"",$C31)</f>
        <v/>
      </c>
      <c r="DI31" s="149" t="str">
        <f aca="false">IF(ISBLANK($C31),"",$D31)</f>
        <v/>
      </c>
      <c r="DJ31" s="150" t="str">
        <f aca="false">$CX31</f>
        <v/>
      </c>
      <c r="DK31" s="151" t="str">
        <f aca="false">$CW31</f>
        <v/>
      </c>
      <c r="DL31" s="149" t="str">
        <f aca="false">IF(ISBLANK($C31),"",$CZ31)</f>
        <v/>
      </c>
      <c r="DM31" s="152" t="str">
        <f aca="false">IF($DD31&gt;$DC$8,"",VLOOKUP($DD31,$DF$9:$DL$508,7,FALSE()))</f>
        <v/>
      </c>
      <c r="DN31" s="153" t="str">
        <f aca="false">IF($DD31&gt;$DC$8,"",VLOOKUP($DD31,$DF$9:$DL$508,2,FALSE()))</f>
        <v/>
      </c>
      <c r="DO31" s="153" t="str">
        <f aca="false">IF($DD31&gt;$DC$8,"",VLOOKUP($DD31,$DF$9:$DL$508,3,FALSE()))</f>
        <v/>
      </c>
      <c r="DP31" s="153" t="str">
        <f aca="false">IF($DD31&gt;$DC$8,"",VLOOKUP($DD31,$DF$9:$DL$508,4,FALSE()))</f>
        <v/>
      </c>
      <c r="DQ31" s="153" t="str">
        <f aca="false">IF($DD31&gt;$DC$8,"",VLOOKUP($DD31,$DF$9:$DL$508,5,FALSE()))</f>
        <v/>
      </c>
      <c r="DR31" s="154" t="str">
        <f aca="false">IF($DD31&gt;$DC$8,"",VLOOKUP($DD31,$DF$9:$DL$508,6,FALSE()))</f>
        <v/>
      </c>
      <c r="DS31" s="76"/>
    </row>
    <row r="32" customFormat="false" ht="15.75" hidden="false" customHeight="false" outlineLevel="0" collapsed="false">
      <c r="A32" s="9"/>
      <c r="B32" s="160"/>
      <c r="C32" s="161"/>
      <c r="D32" s="162"/>
      <c r="E32" s="163"/>
      <c r="F32" s="164"/>
      <c r="G32" s="165"/>
      <c r="H32" s="165"/>
      <c r="I32" s="166"/>
      <c r="J32" s="167"/>
      <c r="K32" s="128"/>
      <c r="L32" s="129"/>
      <c r="M32" s="130"/>
      <c r="N32" s="167"/>
      <c r="O32" s="167"/>
      <c r="P32" s="163"/>
      <c r="Q32" s="167"/>
      <c r="R32" s="167"/>
      <c r="S32" s="128"/>
      <c r="T32" s="130"/>
      <c r="U32" s="130"/>
      <c r="V32" s="167"/>
      <c r="W32" s="167"/>
      <c r="X32" s="163"/>
      <c r="Y32" s="168"/>
      <c r="Z32" s="169"/>
      <c r="AA32" s="168"/>
      <c r="AB32" s="134"/>
      <c r="AC32" s="135"/>
      <c r="AD32" s="135"/>
      <c r="AE32" s="135"/>
      <c r="AF32" s="135" t="str">
        <f aca="false">IF(ISBLANK($C32),"",IF(E32=Constants!$B$2,TRUE(),IF(E32=Constants!$B$3,FALSE(),TRUE())))</f>
        <v/>
      </c>
      <c r="AG32" s="135" t="str">
        <f aca="false">IF(ISBLANK($C32),"",IF(F32=Constants!$B$2,TRUE(),IF(F32=Constants!$B$3,FALSE(),TRUE())))</f>
        <v/>
      </c>
      <c r="AH32" s="135" t="str">
        <f aca="false">IF(ISBLANK($C32),"",IF(G32=Constants!$B$2,TRUE(),IF(G32=Constants!$B$3,FALSE(),TRUE())))</f>
        <v/>
      </c>
      <c r="AI32" s="135" t="str">
        <f aca="false">IF(ISBLANK($C32),"",IF(AND(ISNUMBER(H32),H32&gt;=0),H32,Constants!$B$24))</f>
        <v/>
      </c>
      <c r="AJ32" s="135" t="str">
        <f aca="false">IF(ISBLANK($C32),"",IF(I32=Constants!$B$2,TRUE(),IF(I32=Constants!$B$3,FALSE(),TRUE())))</f>
        <v/>
      </c>
      <c r="AK32" s="135" t="str">
        <f aca="false">IF(ISBLANK($C32),"",IF(J32=Constants!$B$2,TRUE(),IF(J32=Constants!$B$3,FALSE(),TRUE())))</f>
        <v/>
      </c>
      <c r="AL32" s="135" t="str">
        <f aca="false">IF(ISBLANK($C32),"",IF(K32=Constants!$B$4,TRUE(),IF(K32=Constants!$B$5,FALSE(),COUNTA(L32:P32)&gt;0)))</f>
        <v/>
      </c>
      <c r="AM32" s="136" t="str">
        <f aca="false">IF(ISBLANK($C32),"",IF(ISNUMBER(L32),IF(L32&gt;=0,L32,""),""))</f>
        <v/>
      </c>
      <c r="AN32" s="137" t="str">
        <f aca="false">IF(ISBLANK($C32),"",IF(ISNUMBER(M32),IF(M32&gt;=0,M32,""),""))</f>
        <v/>
      </c>
      <c r="AO32" s="137" t="str">
        <f aca="false">IF(ISBLANK($C32),"",IF(N32=Constants!$B$2,TRUE(),IF(N32=Constants!$B$3,FALSE(),TRUE())))</f>
        <v/>
      </c>
      <c r="AP32" s="135" t="str">
        <f aca="false">IF(ISBLANK($C32),"",IF(ISNUMBER(O32),IF(O32&gt;=0,O32,""),""))</f>
        <v/>
      </c>
      <c r="AQ32" s="135" t="str">
        <f aca="false">IF(ISBLANK($C32),"",IF(P32=Constants!$B$2,TRUE(),IF(P32=Constants!$B$3,FALSE(),FALSE())))</f>
        <v/>
      </c>
      <c r="AR32" s="135" t="str">
        <f aca="false">IF(ISBLANK($C32),"",IF(Q32=Constants!$B$2,TRUE(),IF(Q32=Constants!$B$3,FALSE(),TRUE())))</f>
        <v/>
      </c>
      <c r="AS32" s="135" t="str">
        <f aca="false">IF(ISBLANK($C32),"",IF(R32=Constants!$B$2,TRUE(),IF(R32=Constants!$B$3,FALSE(),TRUE())))</f>
        <v/>
      </c>
      <c r="AT32" s="135" t="str">
        <f aca="false">IF(ISBLANK($C32),"",IF(S32=Constants!$B$4,TRUE(),IF(S32=Constants!$B$5,FALSE(),COUNTA(T32:X32)&gt;0)))</f>
        <v/>
      </c>
      <c r="AU32" s="136" t="str">
        <f aca="false">IF(ISBLANK($C32),"",IF(ISNUMBER(T32),IF(T32&gt;=0,T32,""),""))</f>
        <v/>
      </c>
      <c r="AV32" s="137" t="str">
        <f aca="false">IF(ISBLANK($C32),"",IF(ISNUMBER(U32),IF(U32&gt;=0,U32,""),""))</f>
        <v/>
      </c>
      <c r="AW32" s="137" t="str">
        <f aca="false">IF(ISBLANK($C32),"",IF(V32=Constants!$B$2,TRUE(),IF(V32=Constants!$B$3,FALSE(),TRUE())))</f>
        <v/>
      </c>
      <c r="AX32" s="135" t="str">
        <f aca="false">IF(ISBLANK($C32),"",IF(ISNUMBER(W32),IF(W32&gt;=0,W32,""),""))</f>
        <v/>
      </c>
      <c r="AY32" s="135" t="str">
        <f aca="false">IF(ISBLANK($C32),"",IF(X32=Constants!$B$2,TRUE(),IF(X32=Constants!$B$3,FALSE(),FALSE())))</f>
        <v/>
      </c>
      <c r="AZ32" s="135" t="str">
        <f aca="false">IF(ISBLANK($C32),"",MIN(Constants!$B$25,MAX(0,IF(ISNUMBER(Y32),Y32*60,0)+IF(ISNUMBER(Z32),Z32,0))))</f>
        <v/>
      </c>
      <c r="BA32" s="135" t="str">
        <f aca="false">IF(ISBLANK($C32),"",IF(AA32=Constants!$B$2,TRUE(),IF(AA32=Constants!$B$3,FALSE(),FALSE())))</f>
        <v/>
      </c>
      <c r="BB32" s="134" t="str">
        <f aca="false">IF(ISBLANK($C32),"",AND($AL32,OR($AM32="",$AN32="",AND($AO32,$AP32=""))))</f>
        <v/>
      </c>
      <c r="BC32" s="137" t="str">
        <f aca="false">IF($BX32&lt;&gt;Constants!$B$6,"",IF($AL32,Constants!$B$17*$AN32+Constants!$B$18*IF($AO32,$AP32,Constants!$B$19),Constants!$B$20))</f>
        <v/>
      </c>
      <c r="BD32" s="138" t="str">
        <f aca="false">IF($BX32&lt;&gt;Constants!$B$6,"",Constants!$B$21*ABS($AD$9-IF($AL32,$AM32,0)))</f>
        <v/>
      </c>
      <c r="BE32" s="138" t="str">
        <f aca="false">IF($BX32&lt;&gt;Constants!$B$6,"",IF(AND($AL32,$AQ32,$AO32),Constants!$B$22,0))</f>
        <v/>
      </c>
      <c r="BF32" s="138" t="str">
        <f aca="false">IF($BX32&lt;&gt;Constants!$B$6,"",IF($AL32,($AI32-Constants!$B$24)*Constants!$B$23,0))</f>
        <v/>
      </c>
      <c r="BG32" s="138" t="str">
        <f aca="false">IF($BX32&lt;&gt;Constants!$B$6,"",IF($AK32,0,Constants!$B$12)+IF($AJ32,0,Constants!$B$13)+IF($AH32,0,Constants!$B$14))</f>
        <v/>
      </c>
      <c r="BH32" s="139" t="str">
        <f aca="false">IF($BX32&lt;&gt;Constants!$B$6,"",Constants!$B$16+SUM($BC32:$BG32))</f>
        <v/>
      </c>
      <c r="BI32" s="138" t="str">
        <f aca="false">IF($BX32&lt;&gt;Constants!$B$6,"",$BC32)</f>
        <v/>
      </c>
      <c r="BJ32" s="138" t="str">
        <f aca="false">IF($BX32&lt;&gt;Constants!$B$6,"",$BD32)</f>
        <v/>
      </c>
      <c r="BK32" s="140" t="str">
        <f aca="false">IF($BX32&lt;&gt;Constants!$B$6,"",IF($AL32,$AN32,""))</f>
        <v/>
      </c>
      <c r="BL32" s="135" t="str">
        <f aca="false">IF($BX32&lt;&gt;Constants!$B$6,"",IF(OR($BS32&lt;$BH32,AND($BS32=$BH32,OR($BT32&lt;$BI32,AND($BT32=$BI32,OR($BU32&lt;$BJ32,AND($BU32=$BJ32,AND(ISNUMBER($BV32),OR(NOT(ISNUMBER($BK32)),$BV32&lt;$BK32)))))))),"-&gt;","&lt;-"))</f>
        <v/>
      </c>
      <c r="BM32" s="134" t="str">
        <f aca="false">IF(ISBLANK($C32),"",AND($AT32,OR($AU32="",$AV32="",AND($AW32,$AX32=""))))</f>
        <v/>
      </c>
      <c r="BN32" s="137" t="str">
        <f aca="false">IF($BX32&lt;&gt;Constants!$B$6,"",IF($AT32,Constants!$B$17*$AV32+Constants!$B$18*IF($AW32,$AX32,Constants!$B$19),Constants!$B$20))</f>
        <v/>
      </c>
      <c r="BO32" s="138" t="str">
        <f aca="false">IF($BX32&lt;&gt;Constants!$B$6,"",Constants!$B$21*ABS($AD$9-IF($AT32,$AU32,0)))</f>
        <v/>
      </c>
      <c r="BP32" s="138" t="str">
        <f aca="false">IF($BX32&lt;&gt;Constants!$B$6,"",IF(AND($AT32,$AY32,$AW32),Constants!$B$22,0))</f>
        <v/>
      </c>
      <c r="BQ32" s="138" t="str">
        <f aca="false">IF($BX32&lt;&gt;Constants!$B$6,"",IF($AT32,($AI32-Constants!$B$24)*Constants!$B$23,0))</f>
        <v/>
      </c>
      <c r="BR32" s="138" t="str">
        <f aca="false">IF($BX32&lt;&gt;Constants!$B$6,"",IF($AS32,0,Constants!$B$12)+IF($AR32,0,Constants!$B$13)+IF($AH32,0,Constants!$B$14))</f>
        <v/>
      </c>
      <c r="BS32" s="139" t="str">
        <f aca="false">IF($BX32&lt;&gt;Constants!$B$6,"",Constants!$B$16+SUM($BN32:$BR32))</f>
        <v/>
      </c>
      <c r="BT32" s="138" t="str">
        <f aca="false">IF($BX32&lt;&gt;Constants!$B$6,"",$BN32)</f>
        <v/>
      </c>
      <c r="BU32" s="138" t="str">
        <f aca="false">IF($BX32&lt;&gt;Constants!$B$6,"",$BO32)</f>
        <v/>
      </c>
      <c r="BV32" s="140" t="str">
        <f aca="false">IF($BX32&lt;&gt;Constants!$B$6,"",IF($AT32,$AV32,""))</f>
        <v/>
      </c>
      <c r="BW32" s="135" t="str">
        <f aca="false">IF(ISBLANK($C32),"",IF(ISBLANK($D$7),$BW$5,IF(NOT(ISNUMBER($D$7)),$BW$6,"")))</f>
        <v/>
      </c>
      <c r="BX32" s="135" t="str">
        <f aca="false">IF(ISBLANK($C32),"",IF($BA32,Constants!$B$9,IF(COUNTA($E32:$AA32)=0,Constants!$B$8,IF(NOT($AG32),Constants!$B$7,IF(OR($BW32&lt;&gt;"",$BB32,$BM32),Constants!$B$10,Constants!$B$6)))))</f>
        <v/>
      </c>
      <c r="BY32" s="135" t="str">
        <f aca="false">IF(ISBLANK($C32),"",IF($BX32&lt;&gt;Constants!$B$6,$BX32,Constants!$B$11))</f>
        <v/>
      </c>
      <c r="BZ32" s="138" t="str">
        <f aca="false">IF($BX32&lt;&gt;Constants!$B$6,"",IF($BL32="-&gt;",$BS32,$BH32))</f>
        <v/>
      </c>
      <c r="CA32" s="138" t="str">
        <f aca="false">IF($BX32&lt;&gt;Constants!$B$6,"",IF($AF32,0,Constants!$B$15))</f>
        <v/>
      </c>
      <c r="CB32" s="138" t="str">
        <f aca="false">IF($BX32&lt;&gt;Constants!$B$6,"",((Constants!$B$25-$AZ32)-Constants!$B$25)/Constants!$B$26)</f>
        <v/>
      </c>
      <c r="CC32" s="138" t="str">
        <f aca="false">IF(ISBLANK($C32),"",IF($BX32&lt;&gt;Constants!$B$6,$BX32,SUM($BZ32:$CB32)))</f>
        <v/>
      </c>
      <c r="CD32" s="135" t="str">
        <f aca="false">IF(ISBLANK($C32),"",IF($BX32&lt;&gt;Constants!$B$6,$BX32,RANK($CC32,$CC$9:$CC$508,1)))</f>
        <v/>
      </c>
      <c r="CE32" s="138" t="str">
        <f aca="false">IF($BX32&lt;&gt;Constants!$B$6,"",IF($BL32="-&gt;",$BT32,$BI32))</f>
        <v/>
      </c>
      <c r="CF32" s="135" t="str">
        <f aca="false">IF(ISBLANK($C32),"",IF($BX32&lt;&gt;Constants!$B$6,$BX32,IF(ISNUMBER($CE32),RANK($CE32,$CE$9:$CE$508,1),COUNT($CE$9:$CE$508)+1)))</f>
        <v/>
      </c>
      <c r="CG32" s="138" t="str">
        <f aca="false">IF($BX32&lt;&gt;Constants!$B$6,"",IF($BL32="-&gt;",$BU32,$BJ32))</f>
        <v/>
      </c>
      <c r="CH32" s="135" t="str">
        <f aca="false">IF(ISBLANK($C32),"",IF($BX32&lt;&gt;Constants!$B$6,$BX32,IF(ISNUMBER($CG32),RANK($CG32,$CG$9:$CG$508,1),COUNT($CG$9:$CG$508)+1)))</f>
        <v/>
      </c>
      <c r="CI32" s="138" t="str">
        <f aca="false">IF($BX32&lt;&gt;Constants!$B$6,"",IF($BL32="-&gt;",$BV32,$BK32))</f>
        <v/>
      </c>
      <c r="CJ32" s="135" t="str">
        <f aca="false">IF(ISBLANK($C32),"",IF($BX32&lt;&gt;Constants!$B$6,$BX32,IF(ISNUMBER($CI32),RANK($CI32,$CI$9:$CI$508,1),COUNT($CI$9:$CI$508)+1)))</f>
        <v/>
      </c>
      <c r="CK32" s="138" t="str">
        <f aca="false">IF($BX32&lt;&gt;Constants!$B$6,"",$AI32)</f>
        <v/>
      </c>
      <c r="CL32" s="135" t="str">
        <f aca="false">IF(ISBLANK($C32),"",IF($BX32&lt;&gt;Constants!$B$6,$BX32,IF(ISNUMBER($CK32),RANK($CK32,$CK$9:$CK$508,1),COUNT($CK$9:$CK$508)+1)))</f>
        <v/>
      </c>
      <c r="CM32" s="135" t="str">
        <f aca="false">IF(ISBLANK($C32),"",IF($BX32&lt;&gt;Constants!$B$6,$BX32,COUNTIFS($CD$9:$CD$508,"&lt;"&amp;$CD32)+COUNTIFS($CD$9:$CD$508,$CD32,$CF$9:$CF$508,"&lt;"&amp;$CF32)+COUNTIFS($CD$9:$CD$508,$CD32,$CF$9:$CF$508,$CF32,$CH$9:$CH$508,"&lt;"&amp;$CH32)+COUNTIFS($CD$9:$CD$508,$CD32,$CF$9:$CF$508,$CF32,$CH$9:$CH$508,$CH32,$CJ$9:$CJ$508,"&lt;"&amp;$CJ32)+COUNTIFS($CD$9:$CD$508,$CD32,$CF$9:$CF$508,$CF32,$CH$9:$CH$508,$CH32,$CJ$9:$CJ$508,$CJ32,$CL$9:$CL$508,"&lt;"&amp;$CL32)+1))</f>
        <v/>
      </c>
      <c r="CN32" s="135" t="str">
        <f aca="false">IF(ISBLANK($C32),"",IF($BX32&lt;&gt;Constants!$B$6,$BX32,$CD32-$CM32))</f>
        <v/>
      </c>
      <c r="CO32" s="141"/>
      <c r="CP32" s="142"/>
      <c r="CQ32" s="143" t="str">
        <f aca="false">IF(ISBLANK($C32),"",IF($BX32=Constants!$B$10,$BW32,""))</f>
        <v/>
      </c>
      <c r="CR32" s="142" t="str">
        <f aca="false">IF(ISBLANK($C32),"",IF($BX32&lt;&gt;Constants!$B$6,"",IF($BL32="-&gt;",2,1)))</f>
        <v/>
      </c>
      <c r="CS32" s="144" t="str">
        <f aca="false">IF(ISBLANK($C32),"",IF($BX32&lt;&gt;Constants!$B$6,"",IF($BL32="-&gt;",$BN32,$BC32)))</f>
        <v/>
      </c>
      <c r="CT32" s="144" t="str">
        <f aca="false">IF(ISBLANK($C32),"",IF($BX32&lt;&gt;Constants!$B$6,"",IF($BL32="-&gt;",$BO32,$BD32)))</f>
        <v/>
      </c>
      <c r="CU32" s="144" t="str">
        <f aca="false">IF(ISBLANK($C32),"",IF($BX32&lt;&gt;Constants!$B$6,"",IF($BL32="-&gt;",$BP32+$BQ32,$BE32+$BF32)+$CB32))</f>
        <v/>
      </c>
      <c r="CV32" s="144" t="str">
        <f aca="false">IF(ISBLANK($C32),"",IF($BX32&lt;&gt;Constants!$B$6,"",IF($BL32="-&gt;",$BR32,$BG32)+$CA32))</f>
        <v/>
      </c>
      <c r="CW32" s="145" t="str">
        <f aca="false">IF(ISBLANK($C32),"",IF($BX32&lt;&gt;Constants!$B$6,$BX32,$CC32))</f>
        <v/>
      </c>
      <c r="CX32" s="146" t="str">
        <f aca="false">IF(ISBLANK($C32),"",$BY32)</f>
        <v/>
      </c>
      <c r="CY32" s="147" t="str">
        <f aca="false">IF(ISBLANK($C32),"",$CN32)</f>
        <v/>
      </c>
      <c r="CZ32" s="147" t="str">
        <f aca="false">IF(ISBLANK($C32),"",$CM32)</f>
        <v/>
      </c>
      <c r="DA32" s="148" t="str">
        <f aca="false">IF(ISBLANK($C32),"",IFERROR(_xlfn.SWITCH($CZ32,Constants!$B$9,COUNTA($C$9:$C$508)+2,Constants!$B$8,COUNTA($C$9:$C$508)+1,Constants!$B$7,COUNTA($C$9:$C$508)),$CZ32))</f>
        <v/>
      </c>
      <c r="DB32" s="9"/>
      <c r="DC32" s="149" t="n">
        <f aca="false">IF(OR(ISNUMBER($CZ32),$CZ32=Constants!$B$9,$CZ32=Constants!$B$7,$CZ32=Constants!$B$8),1,0)</f>
        <v>0</v>
      </c>
      <c r="DD32" s="149" t="n">
        <v>24</v>
      </c>
      <c r="DE32" s="149" t="str">
        <f aca="false">IF(ISBLANK($C32),"",IF(ISNUMBER($DA32),$DA32+ROW($B32)/1000,""))</f>
        <v/>
      </c>
      <c r="DF32" s="149" t="str">
        <f aca="false">IF(ISNUMBER($DE32),RANK($DE32,$DE$9:$DE$508,1),"")</f>
        <v/>
      </c>
      <c r="DG32" s="149" t="str">
        <f aca="false">IF(ISBLANK($C32),"",$B32)</f>
        <v/>
      </c>
      <c r="DH32" s="149" t="str">
        <f aca="false">IF(ISBLANK($C32),"",$C32)</f>
        <v/>
      </c>
      <c r="DI32" s="149" t="str">
        <f aca="false">IF(ISBLANK($C32),"",$D32)</f>
        <v/>
      </c>
      <c r="DJ32" s="150" t="str">
        <f aca="false">$CX32</f>
        <v/>
      </c>
      <c r="DK32" s="151" t="str">
        <f aca="false">$CW32</f>
        <v/>
      </c>
      <c r="DL32" s="149" t="str">
        <f aca="false">IF(ISBLANK($C32),"",$CZ32)</f>
        <v/>
      </c>
      <c r="DM32" s="152" t="str">
        <f aca="false">IF($DD32&gt;$DC$8,"",VLOOKUP($DD32,$DF$9:$DL$508,7,FALSE()))</f>
        <v/>
      </c>
      <c r="DN32" s="153" t="str">
        <f aca="false">IF($DD32&gt;$DC$8,"",VLOOKUP($DD32,$DF$9:$DL$508,2,FALSE()))</f>
        <v/>
      </c>
      <c r="DO32" s="153" t="str">
        <f aca="false">IF($DD32&gt;$DC$8,"",VLOOKUP($DD32,$DF$9:$DL$508,3,FALSE()))</f>
        <v/>
      </c>
      <c r="DP32" s="153" t="str">
        <f aca="false">IF($DD32&gt;$DC$8,"",VLOOKUP($DD32,$DF$9:$DL$508,4,FALSE()))</f>
        <v/>
      </c>
      <c r="DQ32" s="153" t="str">
        <f aca="false">IF($DD32&gt;$DC$8,"",VLOOKUP($DD32,$DF$9:$DL$508,5,FALSE()))</f>
        <v/>
      </c>
      <c r="DR32" s="154" t="str">
        <f aca="false">IF($DD32&gt;$DC$8,"",VLOOKUP($DD32,$DF$9:$DL$508,6,FALSE()))</f>
        <v/>
      </c>
      <c r="DS32" s="76"/>
    </row>
    <row r="33" customFormat="false" ht="15.75" hidden="false" customHeight="false" outlineLevel="0" collapsed="false">
      <c r="A33" s="9"/>
      <c r="B33" s="78"/>
      <c r="C33" s="79"/>
      <c r="D33" s="170"/>
      <c r="E33" s="171"/>
      <c r="F33" s="172"/>
      <c r="G33" s="173"/>
      <c r="H33" s="173"/>
      <c r="I33" s="174"/>
      <c r="J33" s="175"/>
      <c r="K33" s="86"/>
      <c r="L33" s="87"/>
      <c r="M33" s="88"/>
      <c r="N33" s="175"/>
      <c r="O33" s="175"/>
      <c r="P33" s="171"/>
      <c r="Q33" s="175"/>
      <c r="R33" s="175"/>
      <c r="S33" s="86"/>
      <c r="T33" s="88"/>
      <c r="U33" s="88"/>
      <c r="V33" s="175"/>
      <c r="W33" s="175"/>
      <c r="X33" s="171"/>
      <c r="Y33" s="176"/>
      <c r="Z33" s="177"/>
      <c r="AA33" s="176"/>
      <c r="AB33" s="92"/>
      <c r="AC33" s="93"/>
      <c r="AD33" s="93"/>
      <c r="AE33" s="93"/>
      <c r="AF33" s="93" t="str">
        <f aca="false">IF(ISBLANK($C33),"",IF(E33=Constants!$B$2,TRUE(),IF(E33=Constants!$B$3,FALSE(),TRUE())))</f>
        <v/>
      </c>
      <c r="AG33" s="93" t="str">
        <f aca="false">IF(ISBLANK($C33),"",IF(F33=Constants!$B$2,TRUE(),IF(F33=Constants!$B$3,FALSE(),TRUE())))</f>
        <v/>
      </c>
      <c r="AH33" s="93" t="str">
        <f aca="false">IF(ISBLANK($C33),"",IF(G33=Constants!$B$2,TRUE(),IF(G33=Constants!$B$3,FALSE(),TRUE())))</f>
        <v/>
      </c>
      <c r="AI33" s="93" t="str">
        <f aca="false">IF(ISBLANK($C33),"",IF(AND(ISNUMBER(H33),H33&gt;=0),H33,Constants!$B$24))</f>
        <v/>
      </c>
      <c r="AJ33" s="93" t="str">
        <f aca="false">IF(ISBLANK($C33),"",IF(I33=Constants!$B$2,TRUE(),IF(I33=Constants!$B$3,FALSE(),TRUE())))</f>
        <v/>
      </c>
      <c r="AK33" s="93" t="str">
        <f aca="false">IF(ISBLANK($C33),"",IF(J33=Constants!$B$2,TRUE(),IF(J33=Constants!$B$3,FALSE(),TRUE())))</f>
        <v/>
      </c>
      <c r="AL33" s="93" t="str">
        <f aca="false">IF(ISBLANK($C33),"",IF(K33=Constants!$B$4,TRUE(),IF(K33=Constants!$B$5,FALSE(),COUNTA(L33:P33)&gt;0)))</f>
        <v/>
      </c>
      <c r="AM33" s="95" t="str">
        <f aca="false">IF(ISBLANK($C33),"",IF(ISNUMBER(L33),IF(L33&gt;=0,L33,""),""))</f>
        <v/>
      </c>
      <c r="AN33" s="94" t="str">
        <f aca="false">IF(ISBLANK($C33),"",IF(ISNUMBER(M33),IF(M33&gt;=0,M33,""),""))</f>
        <v/>
      </c>
      <c r="AO33" s="94" t="str">
        <f aca="false">IF(ISBLANK($C33),"",IF(N33=Constants!$B$2,TRUE(),IF(N33=Constants!$B$3,FALSE(),TRUE())))</f>
        <v/>
      </c>
      <c r="AP33" s="93" t="str">
        <f aca="false">IF(ISBLANK($C33),"",IF(ISNUMBER(O33),IF(O33&gt;=0,O33,""),""))</f>
        <v/>
      </c>
      <c r="AQ33" s="93" t="str">
        <f aca="false">IF(ISBLANK($C33),"",IF(P33=Constants!$B$2,TRUE(),IF(P33=Constants!$B$3,FALSE(),FALSE())))</f>
        <v/>
      </c>
      <c r="AR33" s="93" t="str">
        <f aca="false">IF(ISBLANK($C33),"",IF(Q33=Constants!$B$2,TRUE(),IF(Q33=Constants!$B$3,FALSE(),TRUE())))</f>
        <v/>
      </c>
      <c r="AS33" s="93" t="str">
        <f aca="false">IF(ISBLANK($C33),"",IF(R33=Constants!$B$2,TRUE(),IF(R33=Constants!$B$3,FALSE(),TRUE())))</f>
        <v/>
      </c>
      <c r="AT33" s="93" t="str">
        <f aca="false">IF(ISBLANK($C33),"",IF(S33=Constants!$B$4,TRUE(),IF(S33=Constants!$B$5,FALSE(),COUNTA(T33:X33)&gt;0)))</f>
        <v/>
      </c>
      <c r="AU33" s="95" t="str">
        <f aca="false">IF(ISBLANK($C33),"",IF(ISNUMBER(T33),IF(T33&gt;=0,T33,""),""))</f>
        <v/>
      </c>
      <c r="AV33" s="94" t="str">
        <f aca="false">IF(ISBLANK($C33),"",IF(ISNUMBER(U33),IF(U33&gt;=0,U33,""),""))</f>
        <v/>
      </c>
      <c r="AW33" s="94" t="str">
        <f aca="false">IF(ISBLANK($C33),"",IF(V33=Constants!$B$2,TRUE(),IF(V33=Constants!$B$3,FALSE(),TRUE())))</f>
        <v/>
      </c>
      <c r="AX33" s="93" t="str">
        <f aca="false">IF(ISBLANK($C33),"",IF(ISNUMBER(W33),IF(W33&gt;=0,W33,""),""))</f>
        <v/>
      </c>
      <c r="AY33" s="93" t="str">
        <f aca="false">IF(ISBLANK($C33),"",IF(X33=Constants!$B$2,TRUE(),IF(X33=Constants!$B$3,FALSE(),FALSE())))</f>
        <v/>
      </c>
      <c r="AZ33" s="93" t="str">
        <f aca="false">IF(ISBLANK($C33),"",MIN(Constants!$B$25,MAX(0,IF(ISNUMBER(Y33),Y33*60,0)+IF(ISNUMBER(Z33),Z33,0))))</f>
        <v/>
      </c>
      <c r="BA33" s="93" t="str">
        <f aca="false">IF(ISBLANK($C33),"",IF(AA33=Constants!$B$2,TRUE(),IF(AA33=Constants!$B$3,FALSE(),FALSE())))</f>
        <v/>
      </c>
      <c r="BB33" s="92" t="str">
        <f aca="false">IF(ISBLANK($C33),"",AND($AL33,OR($AM33="",$AN33="",AND($AO33,$AP33=""))))</f>
        <v/>
      </c>
      <c r="BC33" s="94" t="str">
        <f aca="false">IF($BX33&lt;&gt;Constants!$B$6,"",IF($AL33,Constants!$B$17*$AN33+Constants!$B$18*IF($AO33,$AP33,Constants!$B$19),Constants!$B$20))</f>
        <v/>
      </c>
      <c r="BD33" s="97" t="str">
        <f aca="false">IF($BX33&lt;&gt;Constants!$B$6,"",Constants!$B$21*ABS($AD$9-IF($AL33,$AM33,0)))</f>
        <v/>
      </c>
      <c r="BE33" s="97" t="str">
        <f aca="false">IF($BX33&lt;&gt;Constants!$B$6,"",IF(AND($AL33,$AQ33,$AO33),Constants!$B$22,0))</f>
        <v/>
      </c>
      <c r="BF33" s="97" t="str">
        <f aca="false">IF($BX33&lt;&gt;Constants!$B$6,"",IF($AL33,($AI33-Constants!$B$24)*Constants!$B$23,0))</f>
        <v/>
      </c>
      <c r="BG33" s="97" t="str">
        <f aca="false">IF($BX33&lt;&gt;Constants!$B$6,"",IF($AK33,0,Constants!$B$12)+IF($AJ33,0,Constants!$B$13)+IF($AH33,0,Constants!$B$14))</f>
        <v/>
      </c>
      <c r="BH33" s="98" t="str">
        <f aca="false">IF($BX33&lt;&gt;Constants!$B$6,"",Constants!$B$16+SUM($BC33:$BG33))</f>
        <v/>
      </c>
      <c r="BI33" s="97" t="str">
        <f aca="false">IF($BX33&lt;&gt;Constants!$B$6,"",$BC33)</f>
        <v/>
      </c>
      <c r="BJ33" s="97" t="str">
        <f aca="false">IF($BX33&lt;&gt;Constants!$B$6,"",$BD33)</f>
        <v/>
      </c>
      <c r="BK33" s="99" t="str">
        <f aca="false">IF($BX33&lt;&gt;Constants!$B$6,"",IF($AL33,$AN33,""))</f>
        <v/>
      </c>
      <c r="BL33" s="93" t="str">
        <f aca="false">IF($BX33&lt;&gt;Constants!$B$6,"",IF(OR($BS33&lt;$BH33,AND($BS33=$BH33,OR($BT33&lt;$BI33,AND($BT33=$BI33,OR($BU33&lt;$BJ33,AND($BU33=$BJ33,AND(ISNUMBER($BV33),OR(NOT(ISNUMBER($BK33)),$BV33&lt;$BK33)))))))),"-&gt;","&lt;-"))</f>
        <v/>
      </c>
      <c r="BM33" s="92" t="str">
        <f aca="false">IF(ISBLANK($C33),"",AND($AT33,OR($AU33="",$AV33="",AND($AW33,$AX33=""))))</f>
        <v/>
      </c>
      <c r="BN33" s="94" t="str">
        <f aca="false">IF($BX33&lt;&gt;Constants!$B$6,"",IF($AT33,Constants!$B$17*$AV33+Constants!$B$18*IF($AW33,$AX33,Constants!$B$19),Constants!$B$20))</f>
        <v/>
      </c>
      <c r="BO33" s="97" t="str">
        <f aca="false">IF($BX33&lt;&gt;Constants!$B$6,"",Constants!$B$21*ABS($AD$9-IF($AT33,$AU33,0)))</f>
        <v/>
      </c>
      <c r="BP33" s="97" t="str">
        <f aca="false">IF($BX33&lt;&gt;Constants!$B$6,"",IF(AND($AT33,$AY33,$AW33),Constants!$B$22,0))</f>
        <v/>
      </c>
      <c r="BQ33" s="97" t="str">
        <f aca="false">IF($BX33&lt;&gt;Constants!$B$6,"",IF($AT33,($AI33-Constants!$B$24)*Constants!$B$23,0))</f>
        <v/>
      </c>
      <c r="BR33" s="97" t="str">
        <f aca="false">IF($BX33&lt;&gt;Constants!$B$6,"",IF($AS33,0,Constants!$B$12)+IF($AR33,0,Constants!$B$13)+IF($AH33,0,Constants!$B$14))</f>
        <v/>
      </c>
      <c r="BS33" s="98" t="str">
        <f aca="false">IF($BX33&lt;&gt;Constants!$B$6,"",Constants!$B$16+SUM($BN33:$BR33))</f>
        <v/>
      </c>
      <c r="BT33" s="97" t="str">
        <f aca="false">IF($BX33&lt;&gt;Constants!$B$6,"",$BN33)</f>
        <v/>
      </c>
      <c r="BU33" s="97" t="str">
        <f aca="false">IF($BX33&lt;&gt;Constants!$B$6,"",$BO33)</f>
        <v/>
      </c>
      <c r="BV33" s="99" t="str">
        <f aca="false">IF($BX33&lt;&gt;Constants!$B$6,"",IF($AT33,$AV33,""))</f>
        <v/>
      </c>
      <c r="BW33" s="93" t="str">
        <f aca="false">IF(ISBLANK($C33),"",IF(ISBLANK($D$7),$BW$5,IF(NOT(ISNUMBER($D$7)),$BW$6,"")))</f>
        <v/>
      </c>
      <c r="BX33" s="93" t="str">
        <f aca="false">IF(ISBLANK($C33),"",IF($BA33,Constants!$B$9,IF(COUNTA($E33:$AA33)=0,Constants!$B$8,IF(NOT($AG33),Constants!$B$7,IF(OR($BW33&lt;&gt;"",$BB33,$BM33),Constants!$B$10,Constants!$B$6)))))</f>
        <v/>
      </c>
      <c r="BY33" s="93" t="str">
        <f aca="false">IF(ISBLANK($C33),"",IF($BX33&lt;&gt;Constants!$B$6,$BX33,Constants!$B$11))</f>
        <v/>
      </c>
      <c r="BZ33" s="97" t="str">
        <f aca="false">IF($BX33&lt;&gt;Constants!$B$6,"",IF($BL33="-&gt;",$BS33,$BH33))</f>
        <v/>
      </c>
      <c r="CA33" s="97" t="str">
        <f aca="false">IF($BX33&lt;&gt;Constants!$B$6,"",IF($AF33,0,Constants!$B$15))</f>
        <v/>
      </c>
      <c r="CB33" s="97" t="str">
        <f aca="false">IF($BX33&lt;&gt;Constants!$B$6,"",((Constants!$B$25-$AZ33)-Constants!$B$25)/Constants!$B$26)</f>
        <v/>
      </c>
      <c r="CC33" s="97" t="str">
        <f aca="false">IF(ISBLANK($C33),"",IF($BX33&lt;&gt;Constants!$B$6,$BX33,SUM($BZ33:$CB33)))</f>
        <v/>
      </c>
      <c r="CD33" s="93" t="str">
        <f aca="false">IF(ISBLANK($C33),"",IF($BX33&lt;&gt;Constants!$B$6,$BX33,RANK($CC33,$CC$9:$CC$508,1)))</f>
        <v/>
      </c>
      <c r="CE33" s="97" t="str">
        <f aca="false">IF($BX33&lt;&gt;Constants!$B$6,"",IF($BL33="-&gt;",$BT33,$BI33))</f>
        <v/>
      </c>
      <c r="CF33" s="93" t="str">
        <f aca="false">IF(ISBLANK($C33),"",IF($BX33&lt;&gt;Constants!$B$6,$BX33,IF(ISNUMBER($CE33),RANK($CE33,$CE$9:$CE$508,1),COUNT($CE$9:$CE$508)+1)))</f>
        <v/>
      </c>
      <c r="CG33" s="97" t="str">
        <f aca="false">IF($BX33&lt;&gt;Constants!$B$6,"",IF($BL33="-&gt;",$BU33,$BJ33))</f>
        <v/>
      </c>
      <c r="CH33" s="93" t="str">
        <f aca="false">IF(ISBLANK($C33),"",IF($BX33&lt;&gt;Constants!$B$6,$BX33,IF(ISNUMBER($CG33),RANK($CG33,$CG$9:$CG$508,1),COUNT($CG$9:$CG$508)+1)))</f>
        <v/>
      </c>
      <c r="CI33" s="97" t="str">
        <f aca="false">IF($BX33&lt;&gt;Constants!$B$6,"",IF($BL33="-&gt;",$BV33,$BK33))</f>
        <v/>
      </c>
      <c r="CJ33" s="93" t="str">
        <f aca="false">IF(ISBLANK($C33),"",IF($BX33&lt;&gt;Constants!$B$6,$BX33,IF(ISNUMBER($CI33),RANK($CI33,$CI$9:$CI$508,1),COUNT($CI$9:$CI$508)+1)))</f>
        <v/>
      </c>
      <c r="CK33" s="97" t="str">
        <f aca="false">IF($BX33&lt;&gt;Constants!$B$6,"",$AI33)</f>
        <v/>
      </c>
      <c r="CL33" s="93" t="str">
        <f aca="false">IF(ISBLANK($C33),"",IF($BX33&lt;&gt;Constants!$B$6,$BX33,IF(ISNUMBER($CK33),RANK($CK33,$CK$9:$CK$508,1),COUNT($CK$9:$CK$508)+1)))</f>
        <v/>
      </c>
      <c r="CM33" s="93" t="str">
        <f aca="false">IF(ISBLANK($C33),"",IF($BX33&lt;&gt;Constants!$B$6,$BX33,COUNTIFS($CD$9:$CD$508,"&lt;"&amp;$CD33)+COUNTIFS($CD$9:$CD$508,$CD33,$CF$9:$CF$508,"&lt;"&amp;$CF33)+COUNTIFS($CD$9:$CD$508,$CD33,$CF$9:$CF$508,$CF33,$CH$9:$CH$508,"&lt;"&amp;$CH33)+COUNTIFS($CD$9:$CD$508,$CD33,$CF$9:$CF$508,$CF33,$CH$9:$CH$508,$CH33,$CJ$9:$CJ$508,"&lt;"&amp;$CJ33)+COUNTIFS($CD$9:$CD$508,$CD33,$CF$9:$CF$508,$CF33,$CH$9:$CH$508,$CH33,$CJ$9:$CJ$508,$CJ33,$CL$9:$CL$508,"&lt;"&amp;$CL33)+1))</f>
        <v/>
      </c>
      <c r="CN33" s="93" t="str">
        <f aca="false">IF(ISBLANK($C33),"",IF($BX33&lt;&gt;Constants!$B$6,$BX33,$CD33-$CM33))</f>
        <v/>
      </c>
      <c r="CO33" s="100"/>
      <c r="CP33" s="101"/>
      <c r="CQ33" s="102" t="str">
        <f aca="false">IF(ISBLANK($C33),"",IF($BX33=Constants!$B$10,$BW33,""))</f>
        <v/>
      </c>
      <c r="CR33" s="101" t="str">
        <f aca="false">IF(ISBLANK($C33),"",IF($BX33&lt;&gt;Constants!$B$6,"",IF($BL33="-&gt;",2,1)))</f>
        <v/>
      </c>
      <c r="CS33" s="103" t="str">
        <f aca="false">IF(ISBLANK($C33),"",IF($BX33&lt;&gt;Constants!$B$6,"",IF($BL33="-&gt;",$BN33,$BC33)))</f>
        <v/>
      </c>
      <c r="CT33" s="103" t="str">
        <f aca="false">IF(ISBLANK($C33),"",IF($BX33&lt;&gt;Constants!$B$6,"",IF($BL33="-&gt;",$BO33,$BD33)))</f>
        <v/>
      </c>
      <c r="CU33" s="103" t="str">
        <f aca="false">IF(ISBLANK($C33),"",IF($BX33&lt;&gt;Constants!$B$6,"",IF($BL33="-&gt;",$BP33+$BQ33,$BE33+$BF33)+$CB33))</f>
        <v/>
      </c>
      <c r="CV33" s="103" t="str">
        <f aca="false">IF(ISBLANK($C33),"",IF($BX33&lt;&gt;Constants!$B$6,"",IF($BL33="-&gt;",$BR33,$BG33)+$CA33))</f>
        <v/>
      </c>
      <c r="CW33" s="104" t="str">
        <f aca="false">IF(ISBLANK($C33),"",IF($BX33&lt;&gt;Constants!$B$6,$BX33,$CC33))</f>
        <v/>
      </c>
      <c r="CX33" s="105" t="str">
        <f aca="false">IF(ISBLANK($C33),"",$BY33)</f>
        <v/>
      </c>
      <c r="CY33" s="106" t="str">
        <f aca="false">IF(ISBLANK($C33),"",$CN33)</f>
        <v/>
      </c>
      <c r="CZ33" s="106" t="str">
        <f aca="false">IF(ISBLANK($C33),"",$CM33)</f>
        <v/>
      </c>
      <c r="DA33" s="107" t="str">
        <f aca="false">IF(ISBLANK($C33),"",IFERROR(_xlfn.SWITCH($CZ33,Constants!$B$9,COUNTA($C$9:$C$508)+2,Constants!$B$8,COUNTA($C$9:$C$508)+1,Constants!$B$7,COUNTA($C$9:$C$508)),$CZ33))</f>
        <v/>
      </c>
      <c r="DB33" s="9"/>
      <c r="DC33" s="108" t="n">
        <f aca="false">IF(OR(ISNUMBER($CZ33),$CZ33=Constants!$B$9,$CZ33=Constants!$B$7,$CZ33=Constants!$B$8),1,0)</f>
        <v>0</v>
      </c>
      <c r="DD33" s="108" t="n">
        <v>25</v>
      </c>
      <c r="DE33" s="108" t="str">
        <f aca="false">IF(ISBLANK($C33),"",IF(ISNUMBER($DA33),$DA33+ROW($B33)/1000,""))</f>
        <v/>
      </c>
      <c r="DF33" s="108" t="str">
        <f aca="false">IF(ISNUMBER($DE33),RANK($DE33,$DE$9:$DE$508,1),"")</f>
        <v/>
      </c>
      <c r="DG33" s="108" t="str">
        <f aca="false">IF(ISBLANK($C33),"",$B33)</f>
        <v/>
      </c>
      <c r="DH33" s="108" t="str">
        <f aca="false">IF(ISBLANK($C33),"",$C33)</f>
        <v/>
      </c>
      <c r="DI33" s="108" t="str">
        <f aca="false">IF(ISBLANK($C33),"",$D33)</f>
        <v/>
      </c>
      <c r="DJ33" s="109" t="str">
        <f aca="false">$CX33</f>
        <v/>
      </c>
      <c r="DK33" s="110" t="str">
        <f aca="false">$CW33</f>
        <v/>
      </c>
      <c r="DL33" s="108" t="str">
        <f aca="false">IF(ISBLANK($C33),"",$CZ33)</f>
        <v/>
      </c>
      <c r="DM33" s="111" t="str">
        <f aca="false">IF($DD33&gt;$DC$8,"",VLOOKUP($DD33,$DF$9:$DL$508,7,FALSE()))</f>
        <v/>
      </c>
      <c r="DN33" s="112" t="str">
        <f aca="false">IF($DD33&gt;$DC$8,"",VLOOKUP($DD33,$DF$9:$DL$508,2,FALSE()))</f>
        <v/>
      </c>
      <c r="DO33" s="112" t="str">
        <f aca="false">IF($DD33&gt;$DC$8,"",VLOOKUP($DD33,$DF$9:$DL$508,3,FALSE()))</f>
        <v/>
      </c>
      <c r="DP33" s="112" t="str">
        <f aca="false">IF($DD33&gt;$DC$8,"",VLOOKUP($DD33,$DF$9:$DL$508,4,FALSE()))</f>
        <v/>
      </c>
      <c r="DQ33" s="112" t="str">
        <f aca="false">IF($DD33&gt;$DC$8,"",VLOOKUP($DD33,$DF$9:$DL$508,5,FALSE()))</f>
        <v/>
      </c>
      <c r="DR33" s="113" t="str">
        <f aca="false">IF($DD33&gt;$DC$8,"",VLOOKUP($DD33,$DF$9:$DL$508,6,FALSE()))</f>
        <v/>
      </c>
      <c r="DS33" s="76"/>
    </row>
    <row r="34" customFormat="false" ht="15.75" hidden="false" customHeight="false" outlineLevel="0" collapsed="false">
      <c r="A34" s="9"/>
      <c r="B34" s="78"/>
      <c r="C34" s="79"/>
      <c r="D34" s="170"/>
      <c r="E34" s="171"/>
      <c r="F34" s="172"/>
      <c r="G34" s="173"/>
      <c r="H34" s="173"/>
      <c r="I34" s="174"/>
      <c r="J34" s="175"/>
      <c r="K34" s="86"/>
      <c r="L34" s="87"/>
      <c r="M34" s="88"/>
      <c r="N34" s="175"/>
      <c r="O34" s="175"/>
      <c r="P34" s="171"/>
      <c r="Q34" s="175"/>
      <c r="R34" s="175"/>
      <c r="S34" s="86"/>
      <c r="T34" s="88"/>
      <c r="U34" s="88"/>
      <c r="V34" s="175"/>
      <c r="W34" s="175"/>
      <c r="X34" s="171"/>
      <c r="Y34" s="176"/>
      <c r="Z34" s="177"/>
      <c r="AA34" s="176"/>
      <c r="AB34" s="92"/>
      <c r="AC34" s="93"/>
      <c r="AD34" s="93"/>
      <c r="AE34" s="93"/>
      <c r="AF34" s="93" t="str">
        <f aca="false">IF(ISBLANK($C34),"",IF(E34=Constants!$B$2,TRUE(),IF(E34=Constants!$B$3,FALSE(),TRUE())))</f>
        <v/>
      </c>
      <c r="AG34" s="93" t="str">
        <f aca="false">IF(ISBLANK($C34),"",IF(F34=Constants!$B$2,TRUE(),IF(F34=Constants!$B$3,FALSE(),TRUE())))</f>
        <v/>
      </c>
      <c r="AH34" s="93" t="str">
        <f aca="false">IF(ISBLANK($C34),"",IF(G34=Constants!$B$2,TRUE(),IF(G34=Constants!$B$3,FALSE(),TRUE())))</f>
        <v/>
      </c>
      <c r="AI34" s="93" t="str">
        <f aca="false">IF(ISBLANK($C34),"",IF(AND(ISNUMBER(H34),H34&gt;=0),H34,Constants!$B$24))</f>
        <v/>
      </c>
      <c r="AJ34" s="93" t="str">
        <f aca="false">IF(ISBLANK($C34),"",IF(I34=Constants!$B$2,TRUE(),IF(I34=Constants!$B$3,FALSE(),TRUE())))</f>
        <v/>
      </c>
      <c r="AK34" s="93" t="str">
        <f aca="false">IF(ISBLANK($C34),"",IF(J34=Constants!$B$2,TRUE(),IF(J34=Constants!$B$3,FALSE(),TRUE())))</f>
        <v/>
      </c>
      <c r="AL34" s="93" t="str">
        <f aca="false">IF(ISBLANK($C34),"",IF(K34=Constants!$B$4,TRUE(),IF(K34=Constants!$B$5,FALSE(),COUNTA(L34:P34)&gt;0)))</f>
        <v/>
      </c>
      <c r="AM34" s="95" t="str">
        <f aca="false">IF(ISBLANK($C34),"",IF(ISNUMBER(L34),IF(L34&gt;=0,L34,""),""))</f>
        <v/>
      </c>
      <c r="AN34" s="94" t="str">
        <f aca="false">IF(ISBLANK($C34),"",IF(ISNUMBER(M34),IF(M34&gt;=0,M34,""),""))</f>
        <v/>
      </c>
      <c r="AO34" s="94" t="str">
        <f aca="false">IF(ISBLANK($C34),"",IF(N34=Constants!$B$2,TRUE(),IF(N34=Constants!$B$3,FALSE(),TRUE())))</f>
        <v/>
      </c>
      <c r="AP34" s="93" t="str">
        <f aca="false">IF(ISBLANK($C34),"",IF(ISNUMBER(O34),IF(O34&gt;=0,O34,""),""))</f>
        <v/>
      </c>
      <c r="AQ34" s="93" t="str">
        <f aca="false">IF(ISBLANK($C34),"",IF(P34=Constants!$B$2,TRUE(),IF(P34=Constants!$B$3,FALSE(),FALSE())))</f>
        <v/>
      </c>
      <c r="AR34" s="93" t="str">
        <f aca="false">IF(ISBLANK($C34),"",IF(Q34=Constants!$B$2,TRUE(),IF(Q34=Constants!$B$3,FALSE(),TRUE())))</f>
        <v/>
      </c>
      <c r="AS34" s="93" t="str">
        <f aca="false">IF(ISBLANK($C34),"",IF(R34=Constants!$B$2,TRUE(),IF(R34=Constants!$B$3,FALSE(),TRUE())))</f>
        <v/>
      </c>
      <c r="AT34" s="93" t="str">
        <f aca="false">IF(ISBLANK($C34),"",IF(S34=Constants!$B$4,TRUE(),IF(S34=Constants!$B$5,FALSE(),COUNTA(T34:X34)&gt;0)))</f>
        <v/>
      </c>
      <c r="AU34" s="95" t="str">
        <f aca="false">IF(ISBLANK($C34),"",IF(ISNUMBER(T34),IF(T34&gt;=0,T34,""),""))</f>
        <v/>
      </c>
      <c r="AV34" s="94" t="str">
        <f aca="false">IF(ISBLANK($C34),"",IF(ISNUMBER(U34),IF(U34&gt;=0,U34,""),""))</f>
        <v/>
      </c>
      <c r="AW34" s="94" t="str">
        <f aca="false">IF(ISBLANK($C34),"",IF(V34=Constants!$B$2,TRUE(),IF(V34=Constants!$B$3,FALSE(),TRUE())))</f>
        <v/>
      </c>
      <c r="AX34" s="93" t="str">
        <f aca="false">IF(ISBLANK($C34),"",IF(ISNUMBER(W34),IF(W34&gt;=0,W34,""),""))</f>
        <v/>
      </c>
      <c r="AY34" s="93" t="str">
        <f aca="false">IF(ISBLANK($C34),"",IF(X34=Constants!$B$2,TRUE(),IF(X34=Constants!$B$3,FALSE(),FALSE())))</f>
        <v/>
      </c>
      <c r="AZ34" s="93" t="str">
        <f aca="false">IF(ISBLANK($C34),"",MIN(Constants!$B$25,MAX(0,IF(ISNUMBER(Y34),Y34*60,0)+IF(ISNUMBER(Z34),Z34,0))))</f>
        <v/>
      </c>
      <c r="BA34" s="93" t="str">
        <f aca="false">IF(ISBLANK($C34),"",IF(AA34=Constants!$B$2,TRUE(),IF(AA34=Constants!$B$3,FALSE(),FALSE())))</f>
        <v/>
      </c>
      <c r="BB34" s="92" t="str">
        <f aca="false">IF(ISBLANK($C34),"",AND($AL34,OR($AM34="",$AN34="",AND($AO34,$AP34=""))))</f>
        <v/>
      </c>
      <c r="BC34" s="94" t="str">
        <f aca="false">IF($BX34&lt;&gt;Constants!$B$6,"",IF($AL34,Constants!$B$17*$AN34+Constants!$B$18*IF($AO34,$AP34,Constants!$B$19),Constants!$B$20))</f>
        <v/>
      </c>
      <c r="BD34" s="97" t="str">
        <f aca="false">IF($BX34&lt;&gt;Constants!$B$6,"",Constants!$B$21*ABS($AD$9-IF($AL34,$AM34,0)))</f>
        <v/>
      </c>
      <c r="BE34" s="97" t="str">
        <f aca="false">IF($BX34&lt;&gt;Constants!$B$6,"",IF(AND($AL34,$AQ34,$AO34),Constants!$B$22,0))</f>
        <v/>
      </c>
      <c r="BF34" s="97" t="str">
        <f aca="false">IF($BX34&lt;&gt;Constants!$B$6,"",IF($AL34,($AI34-Constants!$B$24)*Constants!$B$23,0))</f>
        <v/>
      </c>
      <c r="BG34" s="97" t="str">
        <f aca="false">IF($BX34&lt;&gt;Constants!$B$6,"",IF($AK34,0,Constants!$B$12)+IF($AJ34,0,Constants!$B$13)+IF($AH34,0,Constants!$B$14))</f>
        <v/>
      </c>
      <c r="BH34" s="98" t="str">
        <f aca="false">IF($BX34&lt;&gt;Constants!$B$6,"",Constants!$B$16+SUM($BC34:$BG34))</f>
        <v/>
      </c>
      <c r="BI34" s="97" t="str">
        <f aca="false">IF($BX34&lt;&gt;Constants!$B$6,"",$BC34)</f>
        <v/>
      </c>
      <c r="BJ34" s="97" t="str">
        <f aca="false">IF($BX34&lt;&gt;Constants!$B$6,"",$BD34)</f>
        <v/>
      </c>
      <c r="BK34" s="99" t="str">
        <f aca="false">IF($BX34&lt;&gt;Constants!$B$6,"",IF($AL34,$AN34,""))</f>
        <v/>
      </c>
      <c r="BL34" s="93" t="str">
        <f aca="false">IF($BX34&lt;&gt;Constants!$B$6,"",IF(OR($BS34&lt;$BH34,AND($BS34=$BH34,OR($BT34&lt;$BI34,AND($BT34=$BI34,OR($BU34&lt;$BJ34,AND($BU34=$BJ34,AND(ISNUMBER($BV34),OR(NOT(ISNUMBER($BK34)),$BV34&lt;$BK34)))))))),"-&gt;","&lt;-"))</f>
        <v/>
      </c>
      <c r="BM34" s="92" t="str">
        <f aca="false">IF(ISBLANK($C34),"",AND($AT34,OR($AU34="",$AV34="",AND($AW34,$AX34=""))))</f>
        <v/>
      </c>
      <c r="BN34" s="94" t="str">
        <f aca="false">IF($BX34&lt;&gt;Constants!$B$6,"",IF($AT34,Constants!$B$17*$AV34+Constants!$B$18*IF($AW34,$AX34,Constants!$B$19),Constants!$B$20))</f>
        <v/>
      </c>
      <c r="BO34" s="97" t="str">
        <f aca="false">IF($BX34&lt;&gt;Constants!$B$6,"",Constants!$B$21*ABS($AD$9-IF($AT34,$AU34,0)))</f>
        <v/>
      </c>
      <c r="BP34" s="97" t="str">
        <f aca="false">IF($BX34&lt;&gt;Constants!$B$6,"",IF(AND($AT34,$AY34,$AW34),Constants!$B$22,0))</f>
        <v/>
      </c>
      <c r="BQ34" s="97" t="str">
        <f aca="false">IF($BX34&lt;&gt;Constants!$B$6,"",IF($AT34,($AI34-Constants!$B$24)*Constants!$B$23,0))</f>
        <v/>
      </c>
      <c r="BR34" s="97" t="str">
        <f aca="false">IF($BX34&lt;&gt;Constants!$B$6,"",IF($AS34,0,Constants!$B$12)+IF($AR34,0,Constants!$B$13)+IF($AH34,0,Constants!$B$14))</f>
        <v/>
      </c>
      <c r="BS34" s="98" t="str">
        <f aca="false">IF($BX34&lt;&gt;Constants!$B$6,"",Constants!$B$16+SUM($BN34:$BR34))</f>
        <v/>
      </c>
      <c r="BT34" s="97" t="str">
        <f aca="false">IF($BX34&lt;&gt;Constants!$B$6,"",$BN34)</f>
        <v/>
      </c>
      <c r="BU34" s="97" t="str">
        <f aca="false">IF($BX34&lt;&gt;Constants!$B$6,"",$BO34)</f>
        <v/>
      </c>
      <c r="BV34" s="99" t="str">
        <f aca="false">IF($BX34&lt;&gt;Constants!$B$6,"",IF($AT34,$AV34,""))</f>
        <v/>
      </c>
      <c r="BW34" s="93" t="str">
        <f aca="false">IF(ISBLANK($C34),"",IF(ISBLANK($D$7),$BW$5,IF(NOT(ISNUMBER($D$7)),$BW$6,"")))</f>
        <v/>
      </c>
      <c r="BX34" s="93" t="str">
        <f aca="false">IF(ISBLANK($C34),"",IF($BA34,Constants!$B$9,IF(COUNTA($E34:$AA34)=0,Constants!$B$8,IF(NOT($AG34),Constants!$B$7,IF(OR($BW34&lt;&gt;"",$BB34,$BM34),Constants!$B$10,Constants!$B$6)))))</f>
        <v/>
      </c>
      <c r="BY34" s="93" t="str">
        <f aca="false">IF(ISBLANK($C34),"",IF($BX34&lt;&gt;Constants!$B$6,$BX34,Constants!$B$11))</f>
        <v/>
      </c>
      <c r="BZ34" s="97" t="str">
        <f aca="false">IF($BX34&lt;&gt;Constants!$B$6,"",IF($BL34="-&gt;",$BS34,$BH34))</f>
        <v/>
      </c>
      <c r="CA34" s="97" t="str">
        <f aca="false">IF($BX34&lt;&gt;Constants!$B$6,"",IF($AF34,0,Constants!$B$15))</f>
        <v/>
      </c>
      <c r="CB34" s="97" t="str">
        <f aca="false">IF($BX34&lt;&gt;Constants!$B$6,"",((Constants!$B$25-$AZ34)-Constants!$B$25)/Constants!$B$26)</f>
        <v/>
      </c>
      <c r="CC34" s="97" t="str">
        <f aca="false">IF(ISBLANK($C34),"",IF($BX34&lt;&gt;Constants!$B$6,$BX34,SUM($BZ34:$CB34)))</f>
        <v/>
      </c>
      <c r="CD34" s="93" t="str">
        <f aca="false">IF(ISBLANK($C34),"",IF($BX34&lt;&gt;Constants!$B$6,$BX34,RANK($CC34,$CC$9:$CC$508,1)))</f>
        <v/>
      </c>
      <c r="CE34" s="97" t="str">
        <f aca="false">IF($BX34&lt;&gt;Constants!$B$6,"",IF($BL34="-&gt;",$BT34,$BI34))</f>
        <v/>
      </c>
      <c r="CF34" s="93" t="str">
        <f aca="false">IF(ISBLANK($C34),"",IF($BX34&lt;&gt;Constants!$B$6,$BX34,IF(ISNUMBER($CE34),RANK($CE34,$CE$9:$CE$508,1),COUNT($CE$9:$CE$508)+1)))</f>
        <v/>
      </c>
      <c r="CG34" s="97" t="str">
        <f aca="false">IF($BX34&lt;&gt;Constants!$B$6,"",IF($BL34="-&gt;",$BU34,$BJ34))</f>
        <v/>
      </c>
      <c r="CH34" s="93" t="str">
        <f aca="false">IF(ISBLANK($C34),"",IF($BX34&lt;&gt;Constants!$B$6,$BX34,IF(ISNUMBER($CG34),RANK($CG34,$CG$9:$CG$508,1),COUNT($CG$9:$CG$508)+1)))</f>
        <v/>
      </c>
      <c r="CI34" s="97" t="str">
        <f aca="false">IF($BX34&lt;&gt;Constants!$B$6,"",IF($BL34="-&gt;",$BV34,$BK34))</f>
        <v/>
      </c>
      <c r="CJ34" s="93" t="str">
        <f aca="false">IF(ISBLANK($C34),"",IF($BX34&lt;&gt;Constants!$B$6,$BX34,IF(ISNUMBER($CI34),RANK($CI34,$CI$9:$CI$508,1),COUNT($CI$9:$CI$508)+1)))</f>
        <v/>
      </c>
      <c r="CK34" s="97" t="str">
        <f aca="false">IF($BX34&lt;&gt;Constants!$B$6,"",$AI34)</f>
        <v/>
      </c>
      <c r="CL34" s="93" t="str">
        <f aca="false">IF(ISBLANK($C34),"",IF($BX34&lt;&gt;Constants!$B$6,$BX34,IF(ISNUMBER($CK34),RANK($CK34,$CK$9:$CK$508,1),COUNT($CK$9:$CK$508)+1)))</f>
        <v/>
      </c>
      <c r="CM34" s="93" t="str">
        <f aca="false">IF(ISBLANK($C34),"",IF($BX34&lt;&gt;Constants!$B$6,$BX34,COUNTIFS($CD$9:$CD$508,"&lt;"&amp;$CD34)+COUNTIFS($CD$9:$CD$508,$CD34,$CF$9:$CF$508,"&lt;"&amp;$CF34)+COUNTIFS($CD$9:$CD$508,$CD34,$CF$9:$CF$508,$CF34,$CH$9:$CH$508,"&lt;"&amp;$CH34)+COUNTIFS($CD$9:$CD$508,$CD34,$CF$9:$CF$508,$CF34,$CH$9:$CH$508,$CH34,$CJ$9:$CJ$508,"&lt;"&amp;$CJ34)+COUNTIFS($CD$9:$CD$508,$CD34,$CF$9:$CF$508,$CF34,$CH$9:$CH$508,$CH34,$CJ$9:$CJ$508,$CJ34,$CL$9:$CL$508,"&lt;"&amp;$CL34)+1))</f>
        <v/>
      </c>
      <c r="CN34" s="93" t="str">
        <f aca="false">IF(ISBLANK($C34),"",IF($BX34&lt;&gt;Constants!$B$6,$BX34,$CD34-$CM34))</f>
        <v/>
      </c>
      <c r="CO34" s="100"/>
      <c r="CP34" s="101"/>
      <c r="CQ34" s="102" t="str">
        <f aca="false">IF(ISBLANK($C34),"",IF($BX34=Constants!$B$10,$BW34,""))</f>
        <v/>
      </c>
      <c r="CR34" s="101" t="str">
        <f aca="false">IF(ISBLANK($C34),"",IF($BX34&lt;&gt;Constants!$B$6,"",IF($BL34="-&gt;",2,1)))</f>
        <v/>
      </c>
      <c r="CS34" s="103" t="str">
        <f aca="false">IF(ISBLANK($C34),"",IF($BX34&lt;&gt;Constants!$B$6,"",IF($BL34="-&gt;",$BN34,$BC34)))</f>
        <v/>
      </c>
      <c r="CT34" s="103" t="str">
        <f aca="false">IF(ISBLANK($C34),"",IF($BX34&lt;&gt;Constants!$B$6,"",IF($BL34="-&gt;",$BO34,$BD34)))</f>
        <v/>
      </c>
      <c r="CU34" s="103" t="str">
        <f aca="false">IF(ISBLANK($C34),"",IF($BX34&lt;&gt;Constants!$B$6,"",IF($BL34="-&gt;",$BP34+$BQ34,$BE34+$BF34)+$CB34))</f>
        <v/>
      </c>
      <c r="CV34" s="103" t="str">
        <f aca="false">IF(ISBLANK($C34),"",IF($BX34&lt;&gt;Constants!$B$6,"",IF($BL34="-&gt;",$BR34,$BG34)+$CA34))</f>
        <v/>
      </c>
      <c r="CW34" s="104" t="str">
        <f aca="false">IF(ISBLANK($C34),"",IF($BX34&lt;&gt;Constants!$B$6,$BX34,$CC34))</f>
        <v/>
      </c>
      <c r="CX34" s="105" t="str">
        <f aca="false">IF(ISBLANK($C34),"",$BY34)</f>
        <v/>
      </c>
      <c r="CY34" s="106" t="str">
        <f aca="false">IF(ISBLANK($C34),"",$CN34)</f>
        <v/>
      </c>
      <c r="CZ34" s="106" t="str">
        <f aca="false">IF(ISBLANK($C34),"",$CM34)</f>
        <v/>
      </c>
      <c r="DA34" s="107" t="str">
        <f aca="false">IF(ISBLANK($C34),"",IFERROR(_xlfn.SWITCH($CZ34,Constants!$B$9,COUNTA($C$9:$C$508)+2,Constants!$B$8,COUNTA($C$9:$C$508)+1,Constants!$B$7,COUNTA($C$9:$C$508)),$CZ34))</f>
        <v/>
      </c>
      <c r="DB34" s="9"/>
      <c r="DC34" s="108" t="n">
        <f aca="false">IF(OR(ISNUMBER($CZ34),$CZ34=Constants!$B$9,$CZ34=Constants!$B$7,$CZ34=Constants!$B$8),1,0)</f>
        <v>0</v>
      </c>
      <c r="DD34" s="108" t="n">
        <v>26</v>
      </c>
      <c r="DE34" s="108" t="str">
        <f aca="false">IF(ISBLANK($C34),"",IF(ISNUMBER($DA34),$DA34+ROW($B34)/1000,""))</f>
        <v/>
      </c>
      <c r="DF34" s="108" t="str">
        <f aca="false">IF(ISNUMBER($DE34),RANK($DE34,$DE$9:$DE$508,1),"")</f>
        <v/>
      </c>
      <c r="DG34" s="108" t="str">
        <f aca="false">IF(ISBLANK($C34),"",$B34)</f>
        <v/>
      </c>
      <c r="DH34" s="108" t="str">
        <f aca="false">IF(ISBLANK($C34),"",$C34)</f>
        <v/>
      </c>
      <c r="DI34" s="108" t="str">
        <f aca="false">IF(ISBLANK($C34),"",$D34)</f>
        <v/>
      </c>
      <c r="DJ34" s="109" t="str">
        <f aca="false">$CX34</f>
        <v/>
      </c>
      <c r="DK34" s="110" t="str">
        <f aca="false">$CW34</f>
        <v/>
      </c>
      <c r="DL34" s="108" t="str">
        <f aca="false">IF(ISBLANK($C34),"",$CZ34)</f>
        <v/>
      </c>
      <c r="DM34" s="111" t="str">
        <f aca="false">IF($DD34&gt;$DC$8,"",VLOOKUP($DD34,$DF$9:$DL$508,7,FALSE()))</f>
        <v/>
      </c>
      <c r="DN34" s="112" t="str">
        <f aca="false">IF($DD34&gt;$DC$8,"",VLOOKUP($DD34,$DF$9:$DL$508,2,FALSE()))</f>
        <v/>
      </c>
      <c r="DO34" s="112" t="str">
        <f aca="false">IF($DD34&gt;$DC$8,"",VLOOKUP($DD34,$DF$9:$DL$508,3,FALSE()))</f>
        <v/>
      </c>
      <c r="DP34" s="112" t="str">
        <f aca="false">IF($DD34&gt;$DC$8,"",VLOOKUP($DD34,$DF$9:$DL$508,4,FALSE()))</f>
        <v/>
      </c>
      <c r="DQ34" s="112" t="str">
        <f aca="false">IF($DD34&gt;$DC$8,"",VLOOKUP($DD34,$DF$9:$DL$508,5,FALSE()))</f>
        <v/>
      </c>
      <c r="DR34" s="113" t="str">
        <f aca="false">IF($DD34&gt;$DC$8,"",VLOOKUP($DD34,$DF$9:$DL$508,6,FALSE()))</f>
        <v/>
      </c>
      <c r="DS34" s="76"/>
    </row>
    <row r="35" customFormat="false" ht="15.75" hidden="false" customHeight="false" outlineLevel="0" collapsed="false">
      <c r="A35" s="9"/>
      <c r="B35" s="78"/>
      <c r="C35" s="79"/>
      <c r="D35" s="170"/>
      <c r="E35" s="171"/>
      <c r="F35" s="172"/>
      <c r="G35" s="173"/>
      <c r="H35" s="173"/>
      <c r="I35" s="174"/>
      <c r="J35" s="175"/>
      <c r="K35" s="86"/>
      <c r="L35" s="87"/>
      <c r="M35" s="88"/>
      <c r="N35" s="175"/>
      <c r="O35" s="175"/>
      <c r="P35" s="171"/>
      <c r="Q35" s="175"/>
      <c r="R35" s="175"/>
      <c r="S35" s="86"/>
      <c r="T35" s="88"/>
      <c r="U35" s="88"/>
      <c r="V35" s="175"/>
      <c r="W35" s="175"/>
      <c r="X35" s="171"/>
      <c r="Y35" s="176"/>
      <c r="Z35" s="177"/>
      <c r="AA35" s="176"/>
      <c r="AB35" s="92"/>
      <c r="AC35" s="93"/>
      <c r="AD35" s="93"/>
      <c r="AE35" s="93"/>
      <c r="AF35" s="93" t="str">
        <f aca="false">IF(ISBLANK($C35),"",IF(E35=Constants!$B$2,TRUE(),IF(E35=Constants!$B$3,FALSE(),TRUE())))</f>
        <v/>
      </c>
      <c r="AG35" s="93" t="str">
        <f aca="false">IF(ISBLANK($C35),"",IF(F35=Constants!$B$2,TRUE(),IF(F35=Constants!$B$3,FALSE(),TRUE())))</f>
        <v/>
      </c>
      <c r="AH35" s="93" t="str">
        <f aca="false">IF(ISBLANK($C35),"",IF(G35=Constants!$B$2,TRUE(),IF(G35=Constants!$B$3,FALSE(),TRUE())))</f>
        <v/>
      </c>
      <c r="AI35" s="93" t="str">
        <f aca="false">IF(ISBLANK($C35),"",IF(AND(ISNUMBER(H35),H35&gt;=0),H35,Constants!$B$24))</f>
        <v/>
      </c>
      <c r="AJ35" s="93" t="str">
        <f aca="false">IF(ISBLANK($C35),"",IF(I35=Constants!$B$2,TRUE(),IF(I35=Constants!$B$3,FALSE(),TRUE())))</f>
        <v/>
      </c>
      <c r="AK35" s="93" t="str">
        <f aca="false">IF(ISBLANK($C35),"",IF(J35=Constants!$B$2,TRUE(),IF(J35=Constants!$B$3,FALSE(),TRUE())))</f>
        <v/>
      </c>
      <c r="AL35" s="93" t="str">
        <f aca="false">IF(ISBLANK($C35),"",IF(K35=Constants!$B$4,TRUE(),IF(K35=Constants!$B$5,FALSE(),COUNTA(L35:P35)&gt;0)))</f>
        <v/>
      </c>
      <c r="AM35" s="95" t="str">
        <f aca="false">IF(ISBLANK($C35),"",IF(ISNUMBER(L35),IF(L35&gt;=0,L35,""),""))</f>
        <v/>
      </c>
      <c r="AN35" s="94" t="str">
        <f aca="false">IF(ISBLANK($C35),"",IF(ISNUMBER(M35),IF(M35&gt;=0,M35,""),""))</f>
        <v/>
      </c>
      <c r="AO35" s="94" t="str">
        <f aca="false">IF(ISBLANK($C35),"",IF(N35=Constants!$B$2,TRUE(),IF(N35=Constants!$B$3,FALSE(),TRUE())))</f>
        <v/>
      </c>
      <c r="AP35" s="93" t="str">
        <f aca="false">IF(ISBLANK($C35),"",IF(ISNUMBER(O35),IF(O35&gt;=0,O35,""),""))</f>
        <v/>
      </c>
      <c r="AQ35" s="93" t="str">
        <f aca="false">IF(ISBLANK($C35),"",IF(P35=Constants!$B$2,TRUE(),IF(P35=Constants!$B$3,FALSE(),FALSE())))</f>
        <v/>
      </c>
      <c r="AR35" s="93" t="str">
        <f aca="false">IF(ISBLANK($C35),"",IF(Q35=Constants!$B$2,TRUE(),IF(Q35=Constants!$B$3,FALSE(),TRUE())))</f>
        <v/>
      </c>
      <c r="AS35" s="93" t="str">
        <f aca="false">IF(ISBLANK($C35),"",IF(R35=Constants!$B$2,TRUE(),IF(R35=Constants!$B$3,FALSE(),TRUE())))</f>
        <v/>
      </c>
      <c r="AT35" s="93" t="str">
        <f aca="false">IF(ISBLANK($C35),"",IF(S35=Constants!$B$4,TRUE(),IF(S35=Constants!$B$5,FALSE(),COUNTA(T35:X35)&gt;0)))</f>
        <v/>
      </c>
      <c r="AU35" s="95" t="str">
        <f aca="false">IF(ISBLANK($C35),"",IF(ISNUMBER(T35),IF(T35&gt;=0,T35,""),""))</f>
        <v/>
      </c>
      <c r="AV35" s="94" t="str">
        <f aca="false">IF(ISBLANK($C35),"",IF(ISNUMBER(U35),IF(U35&gt;=0,U35,""),""))</f>
        <v/>
      </c>
      <c r="AW35" s="94" t="str">
        <f aca="false">IF(ISBLANK($C35),"",IF(V35=Constants!$B$2,TRUE(),IF(V35=Constants!$B$3,FALSE(),TRUE())))</f>
        <v/>
      </c>
      <c r="AX35" s="93" t="str">
        <f aca="false">IF(ISBLANK($C35),"",IF(ISNUMBER(W35),IF(W35&gt;=0,W35,""),""))</f>
        <v/>
      </c>
      <c r="AY35" s="93" t="str">
        <f aca="false">IF(ISBLANK($C35),"",IF(X35=Constants!$B$2,TRUE(),IF(X35=Constants!$B$3,FALSE(),FALSE())))</f>
        <v/>
      </c>
      <c r="AZ35" s="93" t="str">
        <f aca="false">IF(ISBLANK($C35),"",MIN(Constants!$B$25,MAX(0,IF(ISNUMBER(Y35),Y35*60,0)+IF(ISNUMBER(Z35),Z35,0))))</f>
        <v/>
      </c>
      <c r="BA35" s="93" t="str">
        <f aca="false">IF(ISBLANK($C35),"",IF(AA35=Constants!$B$2,TRUE(),IF(AA35=Constants!$B$3,FALSE(),FALSE())))</f>
        <v/>
      </c>
      <c r="BB35" s="92" t="str">
        <f aca="false">IF(ISBLANK($C35),"",AND($AL35,OR($AM35="",$AN35="",AND($AO35,$AP35=""))))</f>
        <v/>
      </c>
      <c r="BC35" s="94" t="str">
        <f aca="false">IF($BX35&lt;&gt;Constants!$B$6,"",IF($AL35,Constants!$B$17*$AN35+Constants!$B$18*IF($AO35,$AP35,Constants!$B$19),Constants!$B$20))</f>
        <v/>
      </c>
      <c r="BD35" s="97" t="str">
        <f aca="false">IF($BX35&lt;&gt;Constants!$B$6,"",Constants!$B$21*ABS($AD$9-IF($AL35,$AM35,0)))</f>
        <v/>
      </c>
      <c r="BE35" s="97" t="str">
        <f aca="false">IF($BX35&lt;&gt;Constants!$B$6,"",IF(AND($AL35,$AQ35,$AO35),Constants!$B$22,0))</f>
        <v/>
      </c>
      <c r="BF35" s="97" t="str">
        <f aca="false">IF($BX35&lt;&gt;Constants!$B$6,"",IF($AL35,($AI35-Constants!$B$24)*Constants!$B$23,0))</f>
        <v/>
      </c>
      <c r="BG35" s="97" t="str">
        <f aca="false">IF($BX35&lt;&gt;Constants!$B$6,"",IF($AK35,0,Constants!$B$12)+IF($AJ35,0,Constants!$B$13)+IF($AH35,0,Constants!$B$14))</f>
        <v/>
      </c>
      <c r="BH35" s="98" t="str">
        <f aca="false">IF($BX35&lt;&gt;Constants!$B$6,"",Constants!$B$16+SUM($BC35:$BG35))</f>
        <v/>
      </c>
      <c r="BI35" s="97" t="str">
        <f aca="false">IF($BX35&lt;&gt;Constants!$B$6,"",$BC35)</f>
        <v/>
      </c>
      <c r="BJ35" s="97" t="str">
        <f aca="false">IF($BX35&lt;&gt;Constants!$B$6,"",$BD35)</f>
        <v/>
      </c>
      <c r="BK35" s="99" t="str">
        <f aca="false">IF($BX35&lt;&gt;Constants!$B$6,"",IF($AL35,$AN35,""))</f>
        <v/>
      </c>
      <c r="BL35" s="93" t="str">
        <f aca="false">IF($BX35&lt;&gt;Constants!$B$6,"",IF(OR($BS35&lt;$BH35,AND($BS35=$BH35,OR($BT35&lt;$BI35,AND($BT35=$BI35,OR($BU35&lt;$BJ35,AND($BU35=$BJ35,AND(ISNUMBER($BV35),OR(NOT(ISNUMBER($BK35)),$BV35&lt;$BK35)))))))),"-&gt;","&lt;-"))</f>
        <v/>
      </c>
      <c r="BM35" s="92" t="str">
        <f aca="false">IF(ISBLANK($C35),"",AND($AT35,OR($AU35="",$AV35="",AND($AW35,$AX35=""))))</f>
        <v/>
      </c>
      <c r="BN35" s="94" t="str">
        <f aca="false">IF($BX35&lt;&gt;Constants!$B$6,"",IF($AT35,Constants!$B$17*$AV35+Constants!$B$18*IF($AW35,$AX35,Constants!$B$19),Constants!$B$20))</f>
        <v/>
      </c>
      <c r="BO35" s="97" t="str">
        <f aca="false">IF($BX35&lt;&gt;Constants!$B$6,"",Constants!$B$21*ABS($AD$9-IF($AT35,$AU35,0)))</f>
        <v/>
      </c>
      <c r="BP35" s="97" t="str">
        <f aca="false">IF($BX35&lt;&gt;Constants!$B$6,"",IF(AND($AT35,$AY35,$AW35),Constants!$B$22,0))</f>
        <v/>
      </c>
      <c r="BQ35" s="97" t="str">
        <f aca="false">IF($BX35&lt;&gt;Constants!$B$6,"",IF($AT35,($AI35-Constants!$B$24)*Constants!$B$23,0))</f>
        <v/>
      </c>
      <c r="BR35" s="97" t="str">
        <f aca="false">IF($BX35&lt;&gt;Constants!$B$6,"",IF($AS35,0,Constants!$B$12)+IF($AR35,0,Constants!$B$13)+IF($AH35,0,Constants!$B$14))</f>
        <v/>
      </c>
      <c r="BS35" s="98" t="str">
        <f aca="false">IF($BX35&lt;&gt;Constants!$B$6,"",Constants!$B$16+SUM($BN35:$BR35))</f>
        <v/>
      </c>
      <c r="BT35" s="97" t="str">
        <f aca="false">IF($BX35&lt;&gt;Constants!$B$6,"",$BN35)</f>
        <v/>
      </c>
      <c r="BU35" s="97" t="str">
        <f aca="false">IF($BX35&lt;&gt;Constants!$B$6,"",$BO35)</f>
        <v/>
      </c>
      <c r="BV35" s="99" t="str">
        <f aca="false">IF($BX35&lt;&gt;Constants!$B$6,"",IF($AT35,$AV35,""))</f>
        <v/>
      </c>
      <c r="BW35" s="93" t="str">
        <f aca="false">IF(ISBLANK($C35),"",IF(ISBLANK($D$7),$BW$5,IF(NOT(ISNUMBER($D$7)),$BW$6,"")))</f>
        <v/>
      </c>
      <c r="BX35" s="93" t="str">
        <f aca="false">IF(ISBLANK($C35),"",IF($BA35,Constants!$B$9,IF(COUNTA($E35:$AA35)=0,Constants!$B$8,IF(NOT($AG35),Constants!$B$7,IF(OR($BW35&lt;&gt;"",$BB35,$BM35),Constants!$B$10,Constants!$B$6)))))</f>
        <v/>
      </c>
      <c r="BY35" s="93" t="str">
        <f aca="false">IF(ISBLANK($C35),"",IF($BX35&lt;&gt;Constants!$B$6,$BX35,Constants!$B$11))</f>
        <v/>
      </c>
      <c r="BZ35" s="97" t="str">
        <f aca="false">IF($BX35&lt;&gt;Constants!$B$6,"",IF($BL35="-&gt;",$BS35,$BH35))</f>
        <v/>
      </c>
      <c r="CA35" s="97" t="str">
        <f aca="false">IF($BX35&lt;&gt;Constants!$B$6,"",IF($AF35,0,Constants!$B$15))</f>
        <v/>
      </c>
      <c r="CB35" s="97" t="str">
        <f aca="false">IF($BX35&lt;&gt;Constants!$B$6,"",((Constants!$B$25-$AZ35)-Constants!$B$25)/Constants!$B$26)</f>
        <v/>
      </c>
      <c r="CC35" s="97" t="str">
        <f aca="false">IF(ISBLANK($C35),"",IF($BX35&lt;&gt;Constants!$B$6,$BX35,SUM($BZ35:$CB35)))</f>
        <v/>
      </c>
      <c r="CD35" s="93" t="str">
        <f aca="false">IF(ISBLANK($C35),"",IF($BX35&lt;&gt;Constants!$B$6,$BX35,RANK($CC35,$CC$9:$CC$508,1)))</f>
        <v/>
      </c>
      <c r="CE35" s="97" t="str">
        <f aca="false">IF($BX35&lt;&gt;Constants!$B$6,"",IF($BL35="-&gt;",$BT35,$BI35))</f>
        <v/>
      </c>
      <c r="CF35" s="93" t="str">
        <f aca="false">IF(ISBLANK($C35),"",IF($BX35&lt;&gt;Constants!$B$6,$BX35,IF(ISNUMBER($CE35),RANK($CE35,$CE$9:$CE$508,1),COUNT($CE$9:$CE$508)+1)))</f>
        <v/>
      </c>
      <c r="CG35" s="97" t="str">
        <f aca="false">IF($BX35&lt;&gt;Constants!$B$6,"",IF($BL35="-&gt;",$BU35,$BJ35))</f>
        <v/>
      </c>
      <c r="CH35" s="93" t="str">
        <f aca="false">IF(ISBLANK($C35),"",IF($BX35&lt;&gt;Constants!$B$6,$BX35,IF(ISNUMBER($CG35),RANK($CG35,$CG$9:$CG$508,1),COUNT($CG$9:$CG$508)+1)))</f>
        <v/>
      </c>
      <c r="CI35" s="97" t="str">
        <f aca="false">IF($BX35&lt;&gt;Constants!$B$6,"",IF($BL35="-&gt;",$BV35,$BK35))</f>
        <v/>
      </c>
      <c r="CJ35" s="93" t="str">
        <f aca="false">IF(ISBLANK($C35),"",IF($BX35&lt;&gt;Constants!$B$6,$BX35,IF(ISNUMBER($CI35),RANK($CI35,$CI$9:$CI$508,1),COUNT($CI$9:$CI$508)+1)))</f>
        <v/>
      </c>
      <c r="CK35" s="97" t="str">
        <f aca="false">IF($BX35&lt;&gt;Constants!$B$6,"",$AI35)</f>
        <v/>
      </c>
      <c r="CL35" s="93" t="str">
        <f aca="false">IF(ISBLANK($C35),"",IF($BX35&lt;&gt;Constants!$B$6,$BX35,IF(ISNUMBER($CK35),RANK($CK35,$CK$9:$CK$508,1),COUNT($CK$9:$CK$508)+1)))</f>
        <v/>
      </c>
      <c r="CM35" s="93" t="str">
        <f aca="false">IF(ISBLANK($C35),"",IF($BX35&lt;&gt;Constants!$B$6,$BX35,COUNTIFS($CD$9:$CD$508,"&lt;"&amp;$CD35)+COUNTIFS($CD$9:$CD$508,$CD35,$CF$9:$CF$508,"&lt;"&amp;$CF35)+COUNTIFS($CD$9:$CD$508,$CD35,$CF$9:$CF$508,$CF35,$CH$9:$CH$508,"&lt;"&amp;$CH35)+COUNTIFS($CD$9:$CD$508,$CD35,$CF$9:$CF$508,$CF35,$CH$9:$CH$508,$CH35,$CJ$9:$CJ$508,"&lt;"&amp;$CJ35)+COUNTIFS($CD$9:$CD$508,$CD35,$CF$9:$CF$508,$CF35,$CH$9:$CH$508,$CH35,$CJ$9:$CJ$508,$CJ35,$CL$9:$CL$508,"&lt;"&amp;$CL35)+1))</f>
        <v/>
      </c>
      <c r="CN35" s="93" t="str">
        <f aca="false">IF(ISBLANK($C35),"",IF($BX35&lt;&gt;Constants!$B$6,$BX35,$CD35-$CM35))</f>
        <v/>
      </c>
      <c r="CO35" s="100"/>
      <c r="CP35" s="101"/>
      <c r="CQ35" s="102" t="str">
        <f aca="false">IF(ISBLANK($C35),"",IF($BX35=Constants!$B$10,$BW35,""))</f>
        <v/>
      </c>
      <c r="CR35" s="101" t="str">
        <f aca="false">IF(ISBLANK($C35),"",IF($BX35&lt;&gt;Constants!$B$6,"",IF($BL35="-&gt;",2,1)))</f>
        <v/>
      </c>
      <c r="CS35" s="103" t="str">
        <f aca="false">IF(ISBLANK($C35),"",IF($BX35&lt;&gt;Constants!$B$6,"",IF($BL35="-&gt;",$BN35,$BC35)))</f>
        <v/>
      </c>
      <c r="CT35" s="103" t="str">
        <f aca="false">IF(ISBLANK($C35),"",IF($BX35&lt;&gt;Constants!$B$6,"",IF($BL35="-&gt;",$BO35,$BD35)))</f>
        <v/>
      </c>
      <c r="CU35" s="103" t="str">
        <f aca="false">IF(ISBLANK($C35),"",IF($BX35&lt;&gt;Constants!$B$6,"",IF($BL35="-&gt;",$BP35+$BQ35,$BE35+$BF35)+$CB35))</f>
        <v/>
      </c>
      <c r="CV35" s="103" t="str">
        <f aca="false">IF(ISBLANK($C35),"",IF($BX35&lt;&gt;Constants!$B$6,"",IF($BL35="-&gt;",$BR35,$BG35)+$CA35))</f>
        <v/>
      </c>
      <c r="CW35" s="104" t="str">
        <f aca="false">IF(ISBLANK($C35),"",IF($BX35&lt;&gt;Constants!$B$6,$BX35,$CC35))</f>
        <v/>
      </c>
      <c r="CX35" s="105" t="str">
        <f aca="false">IF(ISBLANK($C35),"",$BY35)</f>
        <v/>
      </c>
      <c r="CY35" s="106" t="str">
        <f aca="false">IF(ISBLANK($C35),"",$CN35)</f>
        <v/>
      </c>
      <c r="CZ35" s="106" t="str">
        <f aca="false">IF(ISBLANK($C35),"",$CM35)</f>
        <v/>
      </c>
      <c r="DA35" s="107" t="str">
        <f aca="false">IF(ISBLANK($C35),"",IFERROR(_xlfn.SWITCH($CZ35,Constants!$B$9,COUNTA($C$9:$C$508)+2,Constants!$B$8,COUNTA($C$9:$C$508)+1,Constants!$B$7,COUNTA($C$9:$C$508)),$CZ35))</f>
        <v/>
      </c>
      <c r="DB35" s="9"/>
      <c r="DC35" s="108" t="n">
        <f aca="false">IF(OR(ISNUMBER($CZ35),$CZ35=Constants!$B$9,$CZ35=Constants!$B$7,$CZ35=Constants!$B$8),1,0)</f>
        <v>0</v>
      </c>
      <c r="DD35" s="108" t="n">
        <v>27</v>
      </c>
      <c r="DE35" s="108" t="str">
        <f aca="false">IF(ISBLANK($C35),"",IF(ISNUMBER($DA35),$DA35+ROW($B35)/1000,""))</f>
        <v/>
      </c>
      <c r="DF35" s="108" t="str">
        <f aca="false">IF(ISNUMBER($DE35),RANK($DE35,$DE$9:$DE$508,1),"")</f>
        <v/>
      </c>
      <c r="DG35" s="108" t="str">
        <f aca="false">IF(ISBLANK($C35),"",$B35)</f>
        <v/>
      </c>
      <c r="DH35" s="108" t="str">
        <f aca="false">IF(ISBLANK($C35),"",$C35)</f>
        <v/>
      </c>
      <c r="DI35" s="108" t="str">
        <f aca="false">IF(ISBLANK($C35),"",$D35)</f>
        <v/>
      </c>
      <c r="DJ35" s="109" t="str">
        <f aca="false">$CX35</f>
        <v/>
      </c>
      <c r="DK35" s="110" t="str">
        <f aca="false">$CW35</f>
        <v/>
      </c>
      <c r="DL35" s="108" t="str">
        <f aca="false">IF(ISBLANK($C35),"",$CZ35)</f>
        <v/>
      </c>
      <c r="DM35" s="111" t="str">
        <f aca="false">IF($DD35&gt;$DC$8,"",VLOOKUP($DD35,$DF$9:$DL$508,7,FALSE()))</f>
        <v/>
      </c>
      <c r="DN35" s="112" t="str">
        <f aca="false">IF($DD35&gt;$DC$8,"",VLOOKUP($DD35,$DF$9:$DL$508,2,FALSE()))</f>
        <v/>
      </c>
      <c r="DO35" s="112" t="str">
        <f aca="false">IF($DD35&gt;$DC$8,"",VLOOKUP($DD35,$DF$9:$DL$508,3,FALSE()))</f>
        <v/>
      </c>
      <c r="DP35" s="112" t="str">
        <f aca="false">IF($DD35&gt;$DC$8,"",VLOOKUP($DD35,$DF$9:$DL$508,4,FALSE()))</f>
        <v/>
      </c>
      <c r="DQ35" s="112" t="str">
        <f aca="false">IF($DD35&gt;$DC$8,"",VLOOKUP($DD35,$DF$9:$DL$508,5,FALSE()))</f>
        <v/>
      </c>
      <c r="DR35" s="113" t="str">
        <f aca="false">IF($DD35&gt;$DC$8,"",VLOOKUP($DD35,$DF$9:$DL$508,6,FALSE()))</f>
        <v/>
      </c>
      <c r="DS35" s="76"/>
    </row>
    <row r="36" customFormat="false" ht="15.75" hidden="false" customHeight="false" outlineLevel="0" collapsed="false">
      <c r="A36" s="9"/>
      <c r="B36" s="160"/>
      <c r="C36" s="161"/>
      <c r="D36" s="162"/>
      <c r="E36" s="163"/>
      <c r="F36" s="164"/>
      <c r="G36" s="165"/>
      <c r="H36" s="165"/>
      <c r="I36" s="166"/>
      <c r="J36" s="167"/>
      <c r="K36" s="128"/>
      <c r="L36" s="129"/>
      <c r="M36" s="130"/>
      <c r="N36" s="167"/>
      <c r="O36" s="167"/>
      <c r="P36" s="163"/>
      <c r="Q36" s="167"/>
      <c r="R36" s="167"/>
      <c r="S36" s="128"/>
      <c r="T36" s="130"/>
      <c r="U36" s="130"/>
      <c r="V36" s="167"/>
      <c r="W36" s="167"/>
      <c r="X36" s="163"/>
      <c r="Y36" s="168"/>
      <c r="Z36" s="169"/>
      <c r="AA36" s="168"/>
      <c r="AB36" s="134"/>
      <c r="AC36" s="135"/>
      <c r="AD36" s="135"/>
      <c r="AE36" s="135"/>
      <c r="AF36" s="135" t="str">
        <f aca="false">IF(ISBLANK($C36),"",IF(E36=Constants!$B$2,TRUE(),IF(E36=Constants!$B$3,FALSE(),TRUE())))</f>
        <v/>
      </c>
      <c r="AG36" s="135" t="str">
        <f aca="false">IF(ISBLANK($C36),"",IF(F36=Constants!$B$2,TRUE(),IF(F36=Constants!$B$3,FALSE(),TRUE())))</f>
        <v/>
      </c>
      <c r="AH36" s="135" t="str">
        <f aca="false">IF(ISBLANK($C36),"",IF(G36=Constants!$B$2,TRUE(),IF(G36=Constants!$B$3,FALSE(),TRUE())))</f>
        <v/>
      </c>
      <c r="AI36" s="135" t="str">
        <f aca="false">IF(ISBLANK($C36),"",IF(AND(ISNUMBER(H36),H36&gt;=0),H36,Constants!$B$24))</f>
        <v/>
      </c>
      <c r="AJ36" s="135" t="str">
        <f aca="false">IF(ISBLANK($C36),"",IF(I36=Constants!$B$2,TRUE(),IF(I36=Constants!$B$3,FALSE(),TRUE())))</f>
        <v/>
      </c>
      <c r="AK36" s="135" t="str">
        <f aca="false">IF(ISBLANK($C36),"",IF(J36=Constants!$B$2,TRUE(),IF(J36=Constants!$B$3,FALSE(),TRUE())))</f>
        <v/>
      </c>
      <c r="AL36" s="135" t="str">
        <f aca="false">IF(ISBLANK($C36),"",IF(K36=Constants!$B$4,TRUE(),IF(K36=Constants!$B$5,FALSE(),COUNTA(L36:P36)&gt;0)))</f>
        <v/>
      </c>
      <c r="AM36" s="136" t="str">
        <f aca="false">IF(ISBLANK($C36),"",IF(ISNUMBER(L36),IF(L36&gt;=0,L36,""),""))</f>
        <v/>
      </c>
      <c r="AN36" s="137" t="str">
        <f aca="false">IF(ISBLANK($C36),"",IF(ISNUMBER(M36),IF(M36&gt;=0,M36,""),""))</f>
        <v/>
      </c>
      <c r="AO36" s="137" t="str">
        <f aca="false">IF(ISBLANK($C36),"",IF(N36=Constants!$B$2,TRUE(),IF(N36=Constants!$B$3,FALSE(),TRUE())))</f>
        <v/>
      </c>
      <c r="AP36" s="135" t="str">
        <f aca="false">IF(ISBLANK($C36),"",IF(ISNUMBER(O36),IF(O36&gt;=0,O36,""),""))</f>
        <v/>
      </c>
      <c r="AQ36" s="135" t="str">
        <f aca="false">IF(ISBLANK($C36),"",IF(P36=Constants!$B$2,TRUE(),IF(P36=Constants!$B$3,FALSE(),FALSE())))</f>
        <v/>
      </c>
      <c r="AR36" s="135" t="str">
        <f aca="false">IF(ISBLANK($C36),"",IF(Q36=Constants!$B$2,TRUE(),IF(Q36=Constants!$B$3,FALSE(),TRUE())))</f>
        <v/>
      </c>
      <c r="AS36" s="135" t="str">
        <f aca="false">IF(ISBLANK($C36),"",IF(R36=Constants!$B$2,TRUE(),IF(R36=Constants!$B$3,FALSE(),TRUE())))</f>
        <v/>
      </c>
      <c r="AT36" s="135" t="str">
        <f aca="false">IF(ISBLANK($C36),"",IF(S36=Constants!$B$4,TRUE(),IF(S36=Constants!$B$5,FALSE(),COUNTA(T36:X36)&gt;0)))</f>
        <v/>
      </c>
      <c r="AU36" s="136" t="str">
        <f aca="false">IF(ISBLANK($C36),"",IF(ISNUMBER(T36),IF(T36&gt;=0,T36,""),""))</f>
        <v/>
      </c>
      <c r="AV36" s="137" t="str">
        <f aca="false">IF(ISBLANK($C36),"",IF(ISNUMBER(U36),IF(U36&gt;=0,U36,""),""))</f>
        <v/>
      </c>
      <c r="AW36" s="137" t="str">
        <f aca="false">IF(ISBLANK($C36),"",IF(V36=Constants!$B$2,TRUE(),IF(V36=Constants!$B$3,FALSE(),TRUE())))</f>
        <v/>
      </c>
      <c r="AX36" s="135" t="str">
        <f aca="false">IF(ISBLANK($C36),"",IF(ISNUMBER(W36),IF(W36&gt;=0,W36,""),""))</f>
        <v/>
      </c>
      <c r="AY36" s="135" t="str">
        <f aca="false">IF(ISBLANK($C36),"",IF(X36=Constants!$B$2,TRUE(),IF(X36=Constants!$B$3,FALSE(),FALSE())))</f>
        <v/>
      </c>
      <c r="AZ36" s="135" t="str">
        <f aca="false">IF(ISBLANK($C36),"",MIN(Constants!$B$25,MAX(0,IF(ISNUMBER(Y36),Y36*60,0)+IF(ISNUMBER(Z36),Z36,0))))</f>
        <v/>
      </c>
      <c r="BA36" s="135" t="str">
        <f aca="false">IF(ISBLANK($C36),"",IF(AA36=Constants!$B$2,TRUE(),IF(AA36=Constants!$B$3,FALSE(),FALSE())))</f>
        <v/>
      </c>
      <c r="BB36" s="134" t="str">
        <f aca="false">IF(ISBLANK($C36),"",AND($AL36,OR($AM36="",$AN36="",AND($AO36,$AP36=""))))</f>
        <v/>
      </c>
      <c r="BC36" s="137" t="str">
        <f aca="false">IF($BX36&lt;&gt;Constants!$B$6,"",IF($AL36,Constants!$B$17*$AN36+Constants!$B$18*IF($AO36,$AP36,Constants!$B$19),Constants!$B$20))</f>
        <v/>
      </c>
      <c r="BD36" s="138" t="str">
        <f aca="false">IF($BX36&lt;&gt;Constants!$B$6,"",Constants!$B$21*ABS($AD$9-IF($AL36,$AM36,0)))</f>
        <v/>
      </c>
      <c r="BE36" s="138" t="str">
        <f aca="false">IF($BX36&lt;&gt;Constants!$B$6,"",IF(AND($AL36,$AQ36,$AO36),Constants!$B$22,0))</f>
        <v/>
      </c>
      <c r="BF36" s="138" t="str">
        <f aca="false">IF($BX36&lt;&gt;Constants!$B$6,"",IF($AL36,($AI36-Constants!$B$24)*Constants!$B$23,0))</f>
        <v/>
      </c>
      <c r="BG36" s="138" t="str">
        <f aca="false">IF($BX36&lt;&gt;Constants!$B$6,"",IF($AK36,0,Constants!$B$12)+IF($AJ36,0,Constants!$B$13)+IF($AH36,0,Constants!$B$14))</f>
        <v/>
      </c>
      <c r="BH36" s="139" t="str">
        <f aca="false">IF($BX36&lt;&gt;Constants!$B$6,"",Constants!$B$16+SUM($BC36:$BG36))</f>
        <v/>
      </c>
      <c r="BI36" s="138" t="str">
        <f aca="false">IF($BX36&lt;&gt;Constants!$B$6,"",$BC36)</f>
        <v/>
      </c>
      <c r="BJ36" s="138" t="str">
        <f aca="false">IF($BX36&lt;&gt;Constants!$B$6,"",$BD36)</f>
        <v/>
      </c>
      <c r="BK36" s="140" t="str">
        <f aca="false">IF($BX36&lt;&gt;Constants!$B$6,"",IF($AL36,$AN36,""))</f>
        <v/>
      </c>
      <c r="BL36" s="135" t="str">
        <f aca="false">IF($BX36&lt;&gt;Constants!$B$6,"",IF(OR($BS36&lt;$BH36,AND($BS36=$BH36,OR($BT36&lt;$BI36,AND($BT36=$BI36,OR($BU36&lt;$BJ36,AND($BU36=$BJ36,AND(ISNUMBER($BV36),OR(NOT(ISNUMBER($BK36)),$BV36&lt;$BK36)))))))),"-&gt;","&lt;-"))</f>
        <v/>
      </c>
      <c r="BM36" s="134" t="str">
        <f aca="false">IF(ISBLANK($C36),"",AND($AT36,OR($AU36="",$AV36="",AND($AW36,$AX36=""))))</f>
        <v/>
      </c>
      <c r="BN36" s="137" t="str">
        <f aca="false">IF($BX36&lt;&gt;Constants!$B$6,"",IF($AT36,Constants!$B$17*$AV36+Constants!$B$18*IF($AW36,$AX36,Constants!$B$19),Constants!$B$20))</f>
        <v/>
      </c>
      <c r="BO36" s="138" t="str">
        <f aca="false">IF($BX36&lt;&gt;Constants!$B$6,"",Constants!$B$21*ABS($AD$9-IF($AT36,$AU36,0)))</f>
        <v/>
      </c>
      <c r="BP36" s="138" t="str">
        <f aca="false">IF($BX36&lt;&gt;Constants!$B$6,"",IF(AND($AT36,$AY36,$AW36),Constants!$B$22,0))</f>
        <v/>
      </c>
      <c r="BQ36" s="138" t="str">
        <f aca="false">IF($BX36&lt;&gt;Constants!$B$6,"",IF($AT36,($AI36-Constants!$B$24)*Constants!$B$23,0))</f>
        <v/>
      </c>
      <c r="BR36" s="138" t="str">
        <f aca="false">IF($BX36&lt;&gt;Constants!$B$6,"",IF($AS36,0,Constants!$B$12)+IF($AR36,0,Constants!$B$13)+IF($AH36,0,Constants!$B$14))</f>
        <v/>
      </c>
      <c r="BS36" s="139" t="str">
        <f aca="false">IF($BX36&lt;&gt;Constants!$B$6,"",Constants!$B$16+SUM($BN36:$BR36))</f>
        <v/>
      </c>
      <c r="BT36" s="138" t="str">
        <f aca="false">IF($BX36&lt;&gt;Constants!$B$6,"",$BN36)</f>
        <v/>
      </c>
      <c r="BU36" s="138" t="str">
        <f aca="false">IF($BX36&lt;&gt;Constants!$B$6,"",$BO36)</f>
        <v/>
      </c>
      <c r="BV36" s="140" t="str">
        <f aca="false">IF($BX36&lt;&gt;Constants!$B$6,"",IF($AT36,$AV36,""))</f>
        <v/>
      </c>
      <c r="BW36" s="135" t="str">
        <f aca="false">IF(ISBLANK($C36),"",IF(ISBLANK($D$7),$BW$5,IF(NOT(ISNUMBER($D$7)),$BW$6,"")))</f>
        <v/>
      </c>
      <c r="BX36" s="135" t="str">
        <f aca="false">IF(ISBLANK($C36),"",IF($BA36,Constants!$B$9,IF(COUNTA($E36:$AA36)=0,Constants!$B$8,IF(NOT($AG36),Constants!$B$7,IF(OR($BW36&lt;&gt;"",$BB36,$BM36),Constants!$B$10,Constants!$B$6)))))</f>
        <v/>
      </c>
      <c r="BY36" s="135" t="str">
        <f aca="false">IF(ISBLANK($C36),"",IF($BX36&lt;&gt;Constants!$B$6,$BX36,Constants!$B$11))</f>
        <v/>
      </c>
      <c r="BZ36" s="138" t="str">
        <f aca="false">IF($BX36&lt;&gt;Constants!$B$6,"",IF($BL36="-&gt;",$BS36,$BH36))</f>
        <v/>
      </c>
      <c r="CA36" s="138" t="str">
        <f aca="false">IF($BX36&lt;&gt;Constants!$B$6,"",IF($AF36,0,Constants!$B$15))</f>
        <v/>
      </c>
      <c r="CB36" s="138" t="str">
        <f aca="false">IF($BX36&lt;&gt;Constants!$B$6,"",((Constants!$B$25-$AZ36)-Constants!$B$25)/Constants!$B$26)</f>
        <v/>
      </c>
      <c r="CC36" s="138" t="str">
        <f aca="false">IF(ISBLANK($C36),"",IF($BX36&lt;&gt;Constants!$B$6,$BX36,SUM($BZ36:$CB36)))</f>
        <v/>
      </c>
      <c r="CD36" s="135" t="str">
        <f aca="false">IF(ISBLANK($C36),"",IF($BX36&lt;&gt;Constants!$B$6,$BX36,RANK($CC36,$CC$9:$CC$508,1)))</f>
        <v/>
      </c>
      <c r="CE36" s="138" t="str">
        <f aca="false">IF($BX36&lt;&gt;Constants!$B$6,"",IF($BL36="-&gt;",$BT36,$BI36))</f>
        <v/>
      </c>
      <c r="CF36" s="135" t="str">
        <f aca="false">IF(ISBLANK($C36),"",IF($BX36&lt;&gt;Constants!$B$6,$BX36,IF(ISNUMBER($CE36),RANK($CE36,$CE$9:$CE$508,1),COUNT($CE$9:$CE$508)+1)))</f>
        <v/>
      </c>
      <c r="CG36" s="138" t="str">
        <f aca="false">IF($BX36&lt;&gt;Constants!$B$6,"",IF($BL36="-&gt;",$BU36,$BJ36))</f>
        <v/>
      </c>
      <c r="CH36" s="135" t="str">
        <f aca="false">IF(ISBLANK($C36),"",IF($BX36&lt;&gt;Constants!$B$6,$BX36,IF(ISNUMBER($CG36),RANK($CG36,$CG$9:$CG$508,1),COUNT($CG$9:$CG$508)+1)))</f>
        <v/>
      </c>
      <c r="CI36" s="138" t="str">
        <f aca="false">IF($BX36&lt;&gt;Constants!$B$6,"",IF($BL36="-&gt;",$BV36,$BK36))</f>
        <v/>
      </c>
      <c r="CJ36" s="135" t="str">
        <f aca="false">IF(ISBLANK($C36),"",IF($BX36&lt;&gt;Constants!$B$6,$BX36,IF(ISNUMBER($CI36),RANK($CI36,$CI$9:$CI$508,1),COUNT($CI$9:$CI$508)+1)))</f>
        <v/>
      </c>
      <c r="CK36" s="138" t="str">
        <f aca="false">IF($BX36&lt;&gt;Constants!$B$6,"",$AI36)</f>
        <v/>
      </c>
      <c r="CL36" s="135" t="str">
        <f aca="false">IF(ISBLANK($C36),"",IF($BX36&lt;&gt;Constants!$B$6,$BX36,IF(ISNUMBER($CK36),RANK($CK36,$CK$9:$CK$508,1),COUNT($CK$9:$CK$508)+1)))</f>
        <v/>
      </c>
      <c r="CM36" s="135" t="str">
        <f aca="false">IF(ISBLANK($C36),"",IF($BX36&lt;&gt;Constants!$B$6,$BX36,COUNTIFS($CD$9:$CD$508,"&lt;"&amp;$CD36)+COUNTIFS($CD$9:$CD$508,$CD36,$CF$9:$CF$508,"&lt;"&amp;$CF36)+COUNTIFS($CD$9:$CD$508,$CD36,$CF$9:$CF$508,$CF36,$CH$9:$CH$508,"&lt;"&amp;$CH36)+COUNTIFS($CD$9:$CD$508,$CD36,$CF$9:$CF$508,$CF36,$CH$9:$CH$508,$CH36,$CJ$9:$CJ$508,"&lt;"&amp;$CJ36)+COUNTIFS($CD$9:$CD$508,$CD36,$CF$9:$CF$508,$CF36,$CH$9:$CH$508,$CH36,$CJ$9:$CJ$508,$CJ36,$CL$9:$CL$508,"&lt;"&amp;$CL36)+1))</f>
        <v/>
      </c>
      <c r="CN36" s="135" t="str">
        <f aca="false">IF(ISBLANK($C36),"",IF($BX36&lt;&gt;Constants!$B$6,$BX36,$CD36-$CM36))</f>
        <v/>
      </c>
      <c r="CO36" s="141"/>
      <c r="CP36" s="142"/>
      <c r="CQ36" s="143" t="str">
        <f aca="false">IF(ISBLANK($C36),"",IF($BX36=Constants!$B$10,$BW36,""))</f>
        <v/>
      </c>
      <c r="CR36" s="142" t="str">
        <f aca="false">IF(ISBLANK($C36),"",IF($BX36&lt;&gt;Constants!$B$6,"",IF($BL36="-&gt;",2,1)))</f>
        <v/>
      </c>
      <c r="CS36" s="144" t="str">
        <f aca="false">IF(ISBLANK($C36),"",IF($BX36&lt;&gt;Constants!$B$6,"",IF($BL36="-&gt;",$BN36,$BC36)))</f>
        <v/>
      </c>
      <c r="CT36" s="144" t="str">
        <f aca="false">IF(ISBLANK($C36),"",IF($BX36&lt;&gt;Constants!$B$6,"",IF($BL36="-&gt;",$BO36,$BD36)))</f>
        <v/>
      </c>
      <c r="CU36" s="144" t="str">
        <f aca="false">IF(ISBLANK($C36),"",IF($BX36&lt;&gt;Constants!$B$6,"",IF($BL36="-&gt;",$BP36+$BQ36,$BE36+$BF36)+$CB36))</f>
        <v/>
      </c>
      <c r="CV36" s="144" t="str">
        <f aca="false">IF(ISBLANK($C36),"",IF($BX36&lt;&gt;Constants!$B$6,"",IF($BL36="-&gt;",$BR36,$BG36)+$CA36))</f>
        <v/>
      </c>
      <c r="CW36" s="145" t="str">
        <f aca="false">IF(ISBLANK($C36),"",IF($BX36&lt;&gt;Constants!$B$6,$BX36,$CC36))</f>
        <v/>
      </c>
      <c r="CX36" s="146" t="str">
        <f aca="false">IF(ISBLANK($C36),"",$BY36)</f>
        <v/>
      </c>
      <c r="CY36" s="147" t="str">
        <f aca="false">IF(ISBLANK($C36),"",$CN36)</f>
        <v/>
      </c>
      <c r="CZ36" s="147" t="str">
        <f aca="false">IF(ISBLANK($C36),"",$CM36)</f>
        <v/>
      </c>
      <c r="DA36" s="148" t="str">
        <f aca="false">IF(ISBLANK($C36),"",IFERROR(_xlfn.SWITCH($CZ36,Constants!$B$9,COUNTA($C$9:$C$508)+2,Constants!$B$8,COUNTA($C$9:$C$508)+1,Constants!$B$7,COUNTA($C$9:$C$508)),$CZ36))</f>
        <v/>
      </c>
      <c r="DB36" s="9"/>
      <c r="DC36" s="149" t="n">
        <f aca="false">IF(OR(ISNUMBER($CZ36),$CZ36=Constants!$B$9,$CZ36=Constants!$B$7,$CZ36=Constants!$B$8),1,0)</f>
        <v>0</v>
      </c>
      <c r="DD36" s="149" t="n">
        <v>28</v>
      </c>
      <c r="DE36" s="149" t="str">
        <f aca="false">IF(ISBLANK($C36),"",IF(ISNUMBER($DA36),$DA36+ROW($B36)/1000,""))</f>
        <v/>
      </c>
      <c r="DF36" s="149" t="str">
        <f aca="false">IF(ISNUMBER($DE36),RANK($DE36,$DE$9:$DE$508,1),"")</f>
        <v/>
      </c>
      <c r="DG36" s="149" t="str">
        <f aca="false">IF(ISBLANK($C36),"",$B36)</f>
        <v/>
      </c>
      <c r="DH36" s="149" t="str">
        <f aca="false">IF(ISBLANK($C36),"",$C36)</f>
        <v/>
      </c>
      <c r="DI36" s="149" t="str">
        <f aca="false">IF(ISBLANK($C36),"",$D36)</f>
        <v/>
      </c>
      <c r="DJ36" s="150" t="str">
        <f aca="false">$CX36</f>
        <v/>
      </c>
      <c r="DK36" s="151" t="str">
        <f aca="false">$CW36</f>
        <v/>
      </c>
      <c r="DL36" s="149" t="str">
        <f aca="false">IF(ISBLANK($C36),"",$CZ36)</f>
        <v/>
      </c>
      <c r="DM36" s="152" t="str">
        <f aca="false">IF($DD36&gt;$DC$8,"",VLOOKUP($DD36,$DF$9:$DL$508,7,FALSE()))</f>
        <v/>
      </c>
      <c r="DN36" s="153" t="str">
        <f aca="false">IF($DD36&gt;$DC$8,"",VLOOKUP($DD36,$DF$9:$DL$508,2,FALSE()))</f>
        <v/>
      </c>
      <c r="DO36" s="153" t="str">
        <f aca="false">IF($DD36&gt;$DC$8,"",VLOOKUP($DD36,$DF$9:$DL$508,3,FALSE()))</f>
        <v/>
      </c>
      <c r="DP36" s="153" t="str">
        <f aca="false">IF($DD36&gt;$DC$8,"",VLOOKUP($DD36,$DF$9:$DL$508,4,FALSE()))</f>
        <v/>
      </c>
      <c r="DQ36" s="153" t="str">
        <f aca="false">IF($DD36&gt;$DC$8,"",VLOOKUP($DD36,$DF$9:$DL$508,5,FALSE()))</f>
        <v/>
      </c>
      <c r="DR36" s="154" t="str">
        <f aca="false">IF($DD36&gt;$DC$8,"",VLOOKUP($DD36,$DF$9:$DL$508,6,FALSE()))</f>
        <v/>
      </c>
      <c r="DS36" s="76"/>
    </row>
    <row r="37" customFormat="false" ht="15.75" hidden="false" customHeight="false" outlineLevel="0" collapsed="false">
      <c r="A37" s="9"/>
      <c r="B37" s="160"/>
      <c r="C37" s="161"/>
      <c r="D37" s="162"/>
      <c r="E37" s="163"/>
      <c r="F37" s="164"/>
      <c r="G37" s="165"/>
      <c r="H37" s="165"/>
      <c r="I37" s="166"/>
      <c r="J37" s="167"/>
      <c r="K37" s="128"/>
      <c r="L37" s="129"/>
      <c r="M37" s="130"/>
      <c r="N37" s="167"/>
      <c r="O37" s="167"/>
      <c r="P37" s="163"/>
      <c r="Q37" s="167"/>
      <c r="R37" s="167"/>
      <c r="S37" s="128"/>
      <c r="T37" s="130"/>
      <c r="U37" s="130"/>
      <c r="V37" s="167"/>
      <c r="W37" s="167"/>
      <c r="X37" s="163"/>
      <c r="Y37" s="168"/>
      <c r="Z37" s="169"/>
      <c r="AA37" s="168"/>
      <c r="AB37" s="134"/>
      <c r="AC37" s="135"/>
      <c r="AD37" s="135"/>
      <c r="AE37" s="135"/>
      <c r="AF37" s="135" t="str">
        <f aca="false">IF(ISBLANK($C37),"",IF(E37=Constants!$B$2,TRUE(),IF(E37=Constants!$B$3,FALSE(),TRUE())))</f>
        <v/>
      </c>
      <c r="AG37" s="135" t="str">
        <f aca="false">IF(ISBLANK($C37),"",IF(F37=Constants!$B$2,TRUE(),IF(F37=Constants!$B$3,FALSE(),TRUE())))</f>
        <v/>
      </c>
      <c r="AH37" s="135" t="str">
        <f aca="false">IF(ISBLANK($C37),"",IF(G37=Constants!$B$2,TRUE(),IF(G37=Constants!$B$3,FALSE(),TRUE())))</f>
        <v/>
      </c>
      <c r="AI37" s="135" t="str">
        <f aca="false">IF(ISBLANK($C37),"",IF(AND(ISNUMBER(H37),H37&gt;=0),H37,Constants!$B$24))</f>
        <v/>
      </c>
      <c r="AJ37" s="135" t="str">
        <f aca="false">IF(ISBLANK($C37),"",IF(I37=Constants!$B$2,TRUE(),IF(I37=Constants!$B$3,FALSE(),TRUE())))</f>
        <v/>
      </c>
      <c r="AK37" s="135" t="str">
        <f aca="false">IF(ISBLANK($C37),"",IF(J37=Constants!$B$2,TRUE(),IF(J37=Constants!$B$3,FALSE(),TRUE())))</f>
        <v/>
      </c>
      <c r="AL37" s="135" t="str">
        <f aca="false">IF(ISBLANK($C37),"",IF(K37=Constants!$B$4,TRUE(),IF(K37=Constants!$B$5,FALSE(),COUNTA(L37:P37)&gt;0)))</f>
        <v/>
      </c>
      <c r="AM37" s="136" t="str">
        <f aca="false">IF(ISBLANK($C37),"",IF(ISNUMBER(L37),IF(L37&gt;=0,L37,""),""))</f>
        <v/>
      </c>
      <c r="AN37" s="137" t="str">
        <f aca="false">IF(ISBLANK($C37),"",IF(ISNUMBER(M37),IF(M37&gt;=0,M37,""),""))</f>
        <v/>
      </c>
      <c r="AO37" s="137" t="str">
        <f aca="false">IF(ISBLANK($C37),"",IF(N37=Constants!$B$2,TRUE(),IF(N37=Constants!$B$3,FALSE(),TRUE())))</f>
        <v/>
      </c>
      <c r="AP37" s="135" t="str">
        <f aca="false">IF(ISBLANK($C37),"",IF(ISNUMBER(O37),IF(O37&gt;=0,O37,""),""))</f>
        <v/>
      </c>
      <c r="AQ37" s="135" t="str">
        <f aca="false">IF(ISBLANK($C37),"",IF(P37=Constants!$B$2,TRUE(),IF(P37=Constants!$B$3,FALSE(),FALSE())))</f>
        <v/>
      </c>
      <c r="AR37" s="135" t="str">
        <f aca="false">IF(ISBLANK($C37),"",IF(Q37=Constants!$B$2,TRUE(),IF(Q37=Constants!$B$3,FALSE(),TRUE())))</f>
        <v/>
      </c>
      <c r="AS37" s="135" t="str">
        <f aca="false">IF(ISBLANK($C37),"",IF(R37=Constants!$B$2,TRUE(),IF(R37=Constants!$B$3,FALSE(),TRUE())))</f>
        <v/>
      </c>
      <c r="AT37" s="135" t="str">
        <f aca="false">IF(ISBLANK($C37),"",IF(S37=Constants!$B$4,TRUE(),IF(S37=Constants!$B$5,FALSE(),COUNTA(T37:X37)&gt;0)))</f>
        <v/>
      </c>
      <c r="AU37" s="136" t="str">
        <f aca="false">IF(ISBLANK($C37),"",IF(ISNUMBER(T37),IF(T37&gt;=0,T37,""),""))</f>
        <v/>
      </c>
      <c r="AV37" s="137" t="str">
        <f aca="false">IF(ISBLANK($C37),"",IF(ISNUMBER(U37),IF(U37&gt;=0,U37,""),""))</f>
        <v/>
      </c>
      <c r="AW37" s="137" t="str">
        <f aca="false">IF(ISBLANK($C37),"",IF(V37=Constants!$B$2,TRUE(),IF(V37=Constants!$B$3,FALSE(),TRUE())))</f>
        <v/>
      </c>
      <c r="AX37" s="135" t="str">
        <f aca="false">IF(ISBLANK($C37),"",IF(ISNUMBER(W37),IF(W37&gt;=0,W37,""),""))</f>
        <v/>
      </c>
      <c r="AY37" s="135" t="str">
        <f aca="false">IF(ISBLANK($C37),"",IF(X37=Constants!$B$2,TRUE(),IF(X37=Constants!$B$3,FALSE(),FALSE())))</f>
        <v/>
      </c>
      <c r="AZ37" s="135" t="str">
        <f aca="false">IF(ISBLANK($C37),"",MIN(Constants!$B$25,MAX(0,IF(ISNUMBER(Y37),Y37*60,0)+IF(ISNUMBER(Z37),Z37,0))))</f>
        <v/>
      </c>
      <c r="BA37" s="135" t="str">
        <f aca="false">IF(ISBLANK($C37),"",IF(AA37=Constants!$B$2,TRUE(),IF(AA37=Constants!$B$3,FALSE(),FALSE())))</f>
        <v/>
      </c>
      <c r="BB37" s="134" t="str">
        <f aca="false">IF(ISBLANK($C37),"",AND($AL37,OR($AM37="",$AN37="",AND($AO37,$AP37=""))))</f>
        <v/>
      </c>
      <c r="BC37" s="137" t="str">
        <f aca="false">IF($BX37&lt;&gt;Constants!$B$6,"",IF($AL37,Constants!$B$17*$AN37+Constants!$B$18*IF($AO37,$AP37,Constants!$B$19),Constants!$B$20))</f>
        <v/>
      </c>
      <c r="BD37" s="138" t="str">
        <f aca="false">IF($BX37&lt;&gt;Constants!$B$6,"",Constants!$B$21*ABS($AD$9-IF($AL37,$AM37,0)))</f>
        <v/>
      </c>
      <c r="BE37" s="138" t="str">
        <f aca="false">IF($BX37&lt;&gt;Constants!$B$6,"",IF(AND($AL37,$AQ37,$AO37),Constants!$B$22,0))</f>
        <v/>
      </c>
      <c r="BF37" s="138" t="str">
        <f aca="false">IF($BX37&lt;&gt;Constants!$B$6,"",IF($AL37,($AI37-Constants!$B$24)*Constants!$B$23,0))</f>
        <v/>
      </c>
      <c r="BG37" s="138" t="str">
        <f aca="false">IF($BX37&lt;&gt;Constants!$B$6,"",IF($AK37,0,Constants!$B$12)+IF($AJ37,0,Constants!$B$13)+IF($AH37,0,Constants!$B$14))</f>
        <v/>
      </c>
      <c r="BH37" s="139" t="str">
        <f aca="false">IF($BX37&lt;&gt;Constants!$B$6,"",Constants!$B$16+SUM($BC37:$BG37))</f>
        <v/>
      </c>
      <c r="BI37" s="138" t="str">
        <f aca="false">IF($BX37&lt;&gt;Constants!$B$6,"",$BC37)</f>
        <v/>
      </c>
      <c r="BJ37" s="138" t="str">
        <f aca="false">IF($BX37&lt;&gt;Constants!$B$6,"",$BD37)</f>
        <v/>
      </c>
      <c r="BK37" s="140" t="str">
        <f aca="false">IF($BX37&lt;&gt;Constants!$B$6,"",IF($AL37,$AN37,""))</f>
        <v/>
      </c>
      <c r="BL37" s="135" t="str">
        <f aca="false">IF($BX37&lt;&gt;Constants!$B$6,"",IF(OR($BS37&lt;$BH37,AND($BS37=$BH37,OR($BT37&lt;$BI37,AND($BT37=$BI37,OR($BU37&lt;$BJ37,AND($BU37=$BJ37,AND(ISNUMBER($BV37),OR(NOT(ISNUMBER($BK37)),$BV37&lt;$BK37)))))))),"-&gt;","&lt;-"))</f>
        <v/>
      </c>
      <c r="BM37" s="134" t="str">
        <f aca="false">IF(ISBLANK($C37),"",AND($AT37,OR($AU37="",$AV37="",AND($AW37,$AX37=""))))</f>
        <v/>
      </c>
      <c r="BN37" s="137" t="str">
        <f aca="false">IF($BX37&lt;&gt;Constants!$B$6,"",IF($AT37,Constants!$B$17*$AV37+Constants!$B$18*IF($AW37,$AX37,Constants!$B$19),Constants!$B$20))</f>
        <v/>
      </c>
      <c r="BO37" s="138" t="str">
        <f aca="false">IF($BX37&lt;&gt;Constants!$B$6,"",Constants!$B$21*ABS($AD$9-IF($AT37,$AU37,0)))</f>
        <v/>
      </c>
      <c r="BP37" s="138" t="str">
        <f aca="false">IF($BX37&lt;&gt;Constants!$B$6,"",IF(AND($AT37,$AY37,$AW37),Constants!$B$22,0))</f>
        <v/>
      </c>
      <c r="BQ37" s="138" t="str">
        <f aca="false">IF($BX37&lt;&gt;Constants!$B$6,"",IF($AT37,($AI37-Constants!$B$24)*Constants!$B$23,0))</f>
        <v/>
      </c>
      <c r="BR37" s="138" t="str">
        <f aca="false">IF($BX37&lt;&gt;Constants!$B$6,"",IF($AS37,0,Constants!$B$12)+IF($AR37,0,Constants!$B$13)+IF($AH37,0,Constants!$B$14))</f>
        <v/>
      </c>
      <c r="BS37" s="139" t="str">
        <f aca="false">IF($BX37&lt;&gt;Constants!$B$6,"",Constants!$B$16+SUM($BN37:$BR37))</f>
        <v/>
      </c>
      <c r="BT37" s="138" t="str">
        <f aca="false">IF($BX37&lt;&gt;Constants!$B$6,"",$BN37)</f>
        <v/>
      </c>
      <c r="BU37" s="138" t="str">
        <f aca="false">IF($BX37&lt;&gt;Constants!$B$6,"",$BO37)</f>
        <v/>
      </c>
      <c r="BV37" s="140" t="str">
        <f aca="false">IF($BX37&lt;&gt;Constants!$B$6,"",IF($AT37,$AV37,""))</f>
        <v/>
      </c>
      <c r="BW37" s="135" t="str">
        <f aca="false">IF(ISBLANK($C37),"",IF(ISBLANK($D$7),$BW$5,IF(NOT(ISNUMBER($D$7)),$BW$6,"")))</f>
        <v/>
      </c>
      <c r="BX37" s="135" t="str">
        <f aca="false">IF(ISBLANK($C37),"",IF($BA37,Constants!$B$9,IF(COUNTA($E37:$AA37)=0,Constants!$B$8,IF(NOT($AG37),Constants!$B$7,IF(OR($BW37&lt;&gt;"",$BB37,$BM37),Constants!$B$10,Constants!$B$6)))))</f>
        <v/>
      </c>
      <c r="BY37" s="135" t="str">
        <f aca="false">IF(ISBLANK($C37),"",IF($BX37&lt;&gt;Constants!$B$6,$BX37,Constants!$B$11))</f>
        <v/>
      </c>
      <c r="BZ37" s="138" t="str">
        <f aca="false">IF($BX37&lt;&gt;Constants!$B$6,"",IF($BL37="-&gt;",$BS37,$BH37))</f>
        <v/>
      </c>
      <c r="CA37" s="138" t="str">
        <f aca="false">IF($BX37&lt;&gt;Constants!$B$6,"",IF($AF37,0,Constants!$B$15))</f>
        <v/>
      </c>
      <c r="CB37" s="138" t="str">
        <f aca="false">IF($BX37&lt;&gt;Constants!$B$6,"",((Constants!$B$25-$AZ37)-Constants!$B$25)/Constants!$B$26)</f>
        <v/>
      </c>
      <c r="CC37" s="138" t="str">
        <f aca="false">IF(ISBLANK($C37),"",IF($BX37&lt;&gt;Constants!$B$6,$BX37,SUM($BZ37:$CB37)))</f>
        <v/>
      </c>
      <c r="CD37" s="135" t="str">
        <f aca="false">IF(ISBLANK($C37),"",IF($BX37&lt;&gt;Constants!$B$6,$BX37,RANK($CC37,$CC$9:$CC$508,1)))</f>
        <v/>
      </c>
      <c r="CE37" s="138" t="str">
        <f aca="false">IF($BX37&lt;&gt;Constants!$B$6,"",IF($BL37="-&gt;",$BT37,$BI37))</f>
        <v/>
      </c>
      <c r="CF37" s="135" t="str">
        <f aca="false">IF(ISBLANK($C37),"",IF($BX37&lt;&gt;Constants!$B$6,$BX37,IF(ISNUMBER($CE37),RANK($CE37,$CE$9:$CE$508,1),COUNT($CE$9:$CE$508)+1)))</f>
        <v/>
      </c>
      <c r="CG37" s="138" t="str">
        <f aca="false">IF($BX37&lt;&gt;Constants!$B$6,"",IF($BL37="-&gt;",$BU37,$BJ37))</f>
        <v/>
      </c>
      <c r="CH37" s="135" t="str">
        <f aca="false">IF(ISBLANK($C37),"",IF($BX37&lt;&gt;Constants!$B$6,$BX37,IF(ISNUMBER($CG37),RANK($CG37,$CG$9:$CG$508,1),COUNT($CG$9:$CG$508)+1)))</f>
        <v/>
      </c>
      <c r="CI37" s="138" t="str">
        <f aca="false">IF($BX37&lt;&gt;Constants!$B$6,"",IF($BL37="-&gt;",$BV37,$BK37))</f>
        <v/>
      </c>
      <c r="CJ37" s="135" t="str">
        <f aca="false">IF(ISBLANK($C37),"",IF($BX37&lt;&gt;Constants!$B$6,$BX37,IF(ISNUMBER($CI37),RANK($CI37,$CI$9:$CI$508,1),COUNT($CI$9:$CI$508)+1)))</f>
        <v/>
      </c>
      <c r="CK37" s="138" t="str">
        <f aca="false">IF($BX37&lt;&gt;Constants!$B$6,"",$AI37)</f>
        <v/>
      </c>
      <c r="CL37" s="135" t="str">
        <f aca="false">IF(ISBLANK($C37),"",IF($BX37&lt;&gt;Constants!$B$6,$BX37,IF(ISNUMBER($CK37),RANK($CK37,$CK$9:$CK$508,1),COUNT($CK$9:$CK$508)+1)))</f>
        <v/>
      </c>
      <c r="CM37" s="135" t="str">
        <f aca="false">IF(ISBLANK($C37),"",IF($BX37&lt;&gt;Constants!$B$6,$BX37,COUNTIFS($CD$9:$CD$508,"&lt;"&amp;$CD37)+COUNTIFS($CD$9:$CD$508,$CD37,$CF$9:$CF$508,"&lt;"&amp;$CF37)+COUNTIFS($CD$9:$CD$508,$CD37,$CF$9:$CF$508,$CF37,$CH$9:$CH$508,"&lt;"&amp;$CH37)+COUNTIFS($CD$9:$CD$508,$CD37,$CF$9:$CF$508,$CF37,$CH$9:$CH$508,$CH37,$CJ$9:$CJ$508,"&lt;"&amp;$CJ37)+COUNTIFS($CD$9:$CD$508,$CD37,$CF$9:$CF$508,$CF37,$CH$9:$CH$508,$CH37,$CJ$9:$CJ$508,$CJ37,$CL$9:$CL$508,"&lt;"&amp;$CL37)+1))</f>
        <v/>
      </c>
      <c r="CN37" s="135" t="str">
        <f aca="false">IF(ISBLANK($C37),"",IF($BX37&lt;&gt;Constants!$B$6,$BX37,$CD37-$CM37))</f>
        <v/>
      </c>
      <c r="CO37" s="141"/>
      <c r="CP37" s="142"/>
      <c r="CQ37" s="143" t="str">
        <f aca="false">IF(ISBLANK($C37),"",IF($BX37=Constants!$B$10,$BW37,""))</f>
        <v/>
      </c>
      <c r="CR37" s="142" t="str">
        <f aca="false">IF(ISBLANK($C37),"",IF($BX37&lt;&gt;Constants!$B$6,"",IF($BL37="-&gt;",2,1)))</f>
        <v/>
      </c>
      <c r="CS37" s="144" t="str">
        <f aca="false">IF(ISBLANK($C37),"",IF($BX37&lt;&gt;Constants!$B$6,"",IF($BL37="-&gt;",$BN37,$BC37)))</f>
        <v/>
      </c>
      <c r="CT37" s="144" t="str">
        <f aca="false">IF(ISBLANK($C37),"",IF($BX37&lt;&gt;Constants!$B$6,"",IF($BL37="-&gt;",$BO37,$BD37)))</f>
        <v/>
      </c>
      <c r="CU37" s="144" t="str">
        <f aca="false">IF(ISBLANK($C37),"",IF($BX37&lt;&gt;Constants!$B$6,"",IF($BL37="-&gt;",$BP37+$BQ37,$BE37+$BF37)+$CB37))</f>
        <v/>
      </c>
      <c r="CV37" s="144" t="str">
        <f aca="false">IF(ISBLANK($C37),"",IF($BX37&lt;&gt;Constants!$B$6,"",IF($BL37="-&gt;",$BR37,$BG37)+$CA37))</f>
        <v/>
      </c>
      <c r="CW37" s="145" t="str">
        <f aca="false">IF(ISBLANK($C37),"",IF($BX37&lt;&gt;Constants!$B$6,$BX37,$CC37))</f>
        <v/>
      </c>
      <c r="CX37" s="146" t="str">
        <f aca="false">IF(ISBLANK($C37),"",$BY37)</f>
        <v/>
      </c>
      <c r="CY37" s="147" t="str">
        <f aca="false">IF(ISBLANK($C37),"",$CN37)</f>
        <v/>
      </c>
      <c r="CZ37" s="147" t="str">
        <f aca="false">IF(ISBLANK($C37),"",$CM37)</f>
        <v/>
      </c>
      <c r="DA37" s="148" t="str">
        <f aca="false">IF(ISBLANK($C37),"",IFERROR(_xlfn.SWITCH($CZ37,Constants!$B$9,COUNTA($C$9:$C$508)+2,Constants!$B$8,COUNTA($C$9:$C$508)+1,Constants!$B$7,COUNTA($C$9:$C$508)),$CZ37))</f>
        <v/>
      </c>
      <c r="DB37" s="9"/>
      <c r="DC37" s="149" t="n">
        <f aca="false">IF(OR(ISNUMBER($CZ37),$CZ37=Constants!$B$9,$CZ37=Constants!$B$7,$CZ37=Constants!$B$8),1,0)</f>
        <v>0</v>
      </c>
      <c r="DD37" s="149" t="n">
        <v>29</v>
      </c>
      <c r="DE37" s="149" t="str">
        <f aca="false">IF(ISBLANK($C37),"",IF(ISNUMBER($DA37),$DA37+ROW($B37)/1000,""))</f>
        <v/>
      </c>
      <c r="DF37" s="149" t="str">
        <f aca="false">IF(ISNUMBER($DE37),RANK($DE37,$DE$9:$DE$508,1),"")</f>
        <v/>
      </c>
      <c r="DG37" s="149" t="str">
        <f aca="false">IF(ISBLANK($C37),"",$B37)</f>
        <v/>
      </c>
      <c r="DH37" s="149" t="str">
        <f aca="false">IF(ISBLANK($C37),"",$C37)</f>
        <v/>
      </c>
      <c r="DI37" s="149" t="str">
        <f aca="false">IF(ISBLANK($C37),"",$D37)</f>
        <v/>
      </c>
      <c r="DJ37" s="150" t="str">
        <f aca="false">$CX37</f>
        <v/>
      </c>
      <c r="DK37" s="151" t="str">
        <f aca="false">$CW37</f>
        <v/>
      </c>
      <c r="DL37" s="149" t="str">
        <f aca="false">IF(ISBLANK($C37),"",$CZ37)</f>
        <v/>
      </c>
      <c r="DM37" s="152" t="str">
        <f aca="false">IF($DD37&gt;$DC$8,"",VLOOKUP($DD37,$DF$9:$DL$508,7,FALSE()))</f>
        <v/>
      </c>
      <c r="DN37" s="153" t="str">
        <f aca="false">IF($DD37&gt;$DC$8,"",VLOOKUP($DD37,$DF$9:$DL$508,2,FALSE()))</f>
        <v/>
      </c>
      <c r="DO37" s="153" t="str">
        <f aca="false">IF($DD37&gt;$DC$8,"",VLOOKUP($DD37,$DF$9:$DL$508,3,FALSE()))</f>
        <v/>
      </c>
      <c r="DP37" s="153" t="str">
        <f aca="false">IF($DD37&gt;$DC$8,"",VLOOKUP($DD37,$DF$9:$DL$508,4,FALSE()))</f>
        <v/>
      </c>
      <c r="DQ37" s="153" t="str">
        <f aca="false">IF($DD37&gt;$DC$8,"",VLOOKUP($DD37,$DF$9:$DL$508,5,FALSE()))</f>
        <v/>
      </c>
      <c r="DR37" s="154" t="str">
        <f aca="false">IF($DD37&gt;$DC$8,"",VLOOKUP($DD37,$DF$9:$DL$508,6,FALSE()))</f>
        <v/>
      </c>
      <c r="DS37" s="76"/>
    </row>
    <row r="38" customFormat="false" ht="15.75" hidden="false" customHeight="false" outlineLevel="0" collapsed="false">
      <c r="A38" s="9"/>
      <c r="B38" s="160"/>
      <c r="C38" s="161"/>
      <c r="D38" s="162"/>
      <c r="E38" s="163"/>
      <c r="F38" s="164"/>
      <c r="G38" s="165"/>
      <c r="H38" s="165"/>
      <c r="I38" s="166"/>
      <c r="J38" s="167"/>
      <c r="K38" s="128"/>
      <c r="L38" s="129"/>
      <c r="M38" s="130"/>
      <c r="N38" s="167"/>
      <c r="O38" s="167"/>
      <c r="P38" s="163"/>
      <c r="Q38" s="167"/>
      <c r="R38" s="167"/>
      <c r="S38" s="128"/>
      <c r="T38" s="130"/>
      <c r="U38" s="130"/>
      <c r="V38" s="167"/>
      <c r="W38" s="167"/>
      <c r="X38" s="163"/>
      <c r="Y38" s="168"/>
      <c r="Z38" s="169"/>
      <c r="AA38" s="168"/>
      <c r="AB38" s="134"/>
      <c r="AC38" s="135"/>
      <c r="AD38" s="135"/>
      <c r="AE38" s="135"/>
      <c r="AF38" s="135" t="str">
        <f aca="false">IF(ISBLANK($C38),"",IF(E38=Constants!$B$2,TRUE(),IF(E38=Constants!$B$3,FALSE(),TRUE())))</f>
        <v/>
      </c>
      <c r="AG38" s="135" t="str">
        <f aca="false">IF(ISBLANK($C38),"",IF(F38=Constants!$B$2,TRUE(),IF(F38=Constants!$B$3,FALSE(),TRUE())))</f>
        <v/>
      </c>
      <c r="AH38" s="135" t="str">
        <f aca="false">IF(ISBLANK($C38),"",IF(G38=Constants!$B$2,TRUE(),IF(G38=Constants!$B$3,FALSE(),TRUE())))</f>
        <v/>
      </c>
      <c r="AI38" s="135" t="str">
        <f aca="false">IF(ISBLANK($C38),"",IF(AND(ISNUMBER(H38),H38&gt;=0),H38,Constants!$B$24))</f>
        <v/>
      </c>
      <c r="AJ38" s="135" t="str">
        <f aca="false">IF(ISBLANK($C38),"",IF(I38=Constants!$B$2,TRUE(),IF(I38=Constants!$B$3,FALSE(),TRUE())))</f>
        <v/>
      </c>
      <c r="AK38" s="135" t="str">
        <f aca="false">IF(ISBLANK($C38),"",IF(J38=Constants!$B$2,TRUE(),IF(J38=Constants!$B$3,FALSE(),TRUE())))</f>
        <v/>
      </c>
      <c r="AL38" s="135" t="str">
        <f aca="false">IF(ISBLANK($C38),"",IF(K38=Constants!$B$4,TRUE(),IF(K38=Constants!$B$5,FALSE(),COUNTA(L38:P38)&gt;0)))</f>
        <v/>
      </c>
      <c r="AM38" s="136" t="str">
        <f aca="false">IF(ISBLANK($C38),"",IF(ISNUMBER(L38),IF(L38&gt;=0,L38,""),""))</f>
        <v/>
      </c>
      <c r="AN38" s="137" t="str">
        <f aca="false">IF(ISBLANK($C38),"",IF(ISNUMBER(M38),IF(M38&gt;=0,M38,""),""))</f>
        <v/>
      </c>
      <c r="AO38" s="137" t="str">
        <f aca="false">IF(ISBLANK($C38),"",IF(N38=Constants!$B$2,TRUE(),IF(N38=Constants!$B$3,FALSE(),TRUE())))</f>
        <v/>
      </c>
      <c r="AP38" s="135" t="str">
        <f aca="false">IF(ISBLANK($C38),"",IF(ISNUMBER(O38),IF(O38&gt;=0,O38,""),""))</f>
        <v/>
      </c>
      <c r="AQ38" s="135" t="str">
        <f aca="false">IF(ISBLANK($C38),"",IF(P38=Constants!$B$2,TRUE(),IF(P38=Constants!$B$3,FALSE(),FALSE())))</f>
        <v/>
      </c>
      <c r="AR38" s="135" t="str">
        <f aca="false">IF(ISBLANK($C38),"",IF(Q38=Constants!$B$2,TRUE(),IF(Q38=Constants!$B$3,FALSE(),TRUE())))</f>
        <v/>
      </c>
      <c r="AS38" s="135" t="str">
        <f aca="false">IF(ISBLANK($C38),"",IF(R38=Constants!$B$2,TRUE(),IF(R38=Constants!$B$3,FALSE(),TRUE())))</f>
        <v/>
      </c>
      <c r="AT38" s="135" t="str">
        <f aca="false">IF(ISBLANK($C38),"",IF(S38=Constants!$B$4,TRUE(),IF(S38=Constants!$B$5,FALSE(),COUNTA(T38:X38)&gt;0)))</f>
        <v/>
      </c>
      <c r="AU38" s="136" t="str">
        <f aca="false">IF(ISBLANK($C38),"",IF(ISNUMBER(T38),IF(T38&gt;=0,T38,""),""))</f>
        <v/>
      </c>
      <c r="AV38" s="137" t="str">
        <f aca="false">IF(ISBLANK($C38),"",IF(ISNUMBER(U38),IF(U38&gt;=0,U38,""),""))</f>
        <v/>
      </c>
      <c r="AW38" s="137" t="str">
        <f aca="false">IF(ISBLANK($C38),"",IF(V38=Constants!$B$2,TRUE(),IF(V38=Constants!$B$3,FALSE(),TRUE())))</f>
        <v/>
      </c>
      <c r="AX38" s="135" t="str">
        <f aca="false">IF(ISBLANK($C38),"",IF(ISNUMBER(W38),IF(W38&gt;=0,W38,""),""))</f>
        <v/>
      </c>
      <c r="AY38" s="135" t="str">
        <f aca="false">IF(ISBLANK($C38),"",IF(X38=Constants!$B$2,TRUE(),IF(X38=Constants!$B$3,FALSE(),FALSE())))</f>
        <v/>
      </c>
      <c r="AZ38" s="135" t="str">
        <f aca="false">IF(ISBLANK($C38),"",MIN(Constants!$B$25,MAX(0,IF(ISNUMBER(Y38),Y38*60,0)+IF(ISNUMBER(Z38),Z38,0))))</f>
        <v/>
      </c>
      <c r="BA38" s="135" t="str">
        <f aca="false">IF(ISBLANK($C38),"",IF(AA38=Constants!$B$2,TRUE(),IF(AA38=Constants!$B$3,FALSE(),FALSE())))</f>
        <v/>
      </c>
      <c r="BB38" s="134" t="str">
        <f aca="false">IF(ISBLANK($C38),"",AND($AL38,OR($AM38="",$AN38="",AND($AO38,$AP38=""))))</f>
        <v/>
      </c>
      <c r="BC38" s="137" t="str">
        <f aca="false">IF($BX38&lt;&gt;Constants!$B$6,"",IF($AL38,Constants!$B$17*$AN38+Constants!$B$18*IF($AO38,$AP38,Constants!$B$19),Constants!$B$20))</f>
        <v/>
      </c>
      <c r="BD38" s="138" t="str">
        <f aca="false">IF($BX38&lt;&gt;Constants!$B$6,"",Constants!$B$21*ABS($AD$9-IF($AL38,$AM38,0)))</f>
        <v/>
      </c>
      <c r="BE38" s="138" t="str">
        <f aca="false">IF($BX38&lt;&gt;Constants!$B$6,"",IF(AND($AL38,$AQ38,$AO38),Constants!$B$22,0))</f>
        <v/>
      </c>
      <c r="BF38" s="138" t="str">
        <f aca="false">IF($BX38&lt;&gt;Constants!$B$6,"",IF($AL38,($AI38-Constants!$B$24)*Constants!$B$23,0))</f>
        <v/>
      </c>
      <c r="BG38" s="138" t="str">
        <f aca="false">IF($BX38&lt;&gt;Constants!$B$6,"",IF($AK38,0,Constants!$B$12)+IF($AJ38,0,Constants!$B$13)+IF($AH38,0,Constants!$B$14))</f>
        <v/>
      </c>
      <c r="BH38" s="139" t="str">
        <f aca="false">IF($BX38&lt;&gt;Constants!$B$6,"",Constants!$B$16+SUM($BC38:$BG38))</f>
        <v/>
      </c>
      <c r="BI38" s="138" t="str">
        <f aca="false">IF($BX38&lt;&gt;Constants!$B$6,"",$BC38)</f>
        <v/>
      </c>
      <c r="BJ38" s="138" t="str">
        <f aca="false">IF($BX38&lt;&gt;Constants!$B$6,"",$BD38)</f>
        <v/>
      </c>
      <c r="BK38" s="140" t="str">
        <f aca="false">IF($BX38&lt;&gt;Constants!$B$6,"",IF($AL38,$AN38,""))</f>
        <v/>
      </c>
      <c r="BL38" s="135" t="str">
        <f aca="false">IF($BX38&lt;&gt;Constants!$B$6,"",IF(OR($BS38&lt;$BH38,AND($BS38=$BH38,OR($BT38&lt;$BI38,AND($BT38=$BI38,OR($BU38&lt;$BJ38,AND($BU38=$BJ38,AND(ISNUMBER($BV38),OR(NOT(ISNUMBER($BK38)),$BV38&lt;$BK38)))))))),"-&gt;","&lt;-"))</f>
        <v/>
      </c>
      <c r="BM38" s="134" t="str">
        <f aca="false">IF(ISBLANK($C38),"",AND($AT38,OR($AU38="",$AV38="",AND($AW38,$AX38=""))))</f>
        <v/>
      </c>
      <c r="BN38" s="137" t="str">
        <f aca="false">IF($BX38&lt;&gt;Constants!$B$6,"",IF($AT38,Constants!$B$17*$AV38+Constants!$B$18*IF($AW38,$AX38,Constants!$B$19),Constants!$B$20))</f>
        <v/>
      </c>
      <c r="BO38" s="138" t="str">
        <f aca="false">IF($BX38&lt;&gt;Constants!$B$6,"",Constants!$B$21*ABS($AD$9-IF($AT38,$AU38,0)))</f>
        <v/>
      </c>
      <c r="BP38" s="138" t="str">
        <f aca="false">IF($BX38&lt;&gt;Constants!$B$6,"",IF(AND($AT38,$AY38,$AW38),Constants!$B$22,0))</f>
        <v/>
      </c>
      <c r="BQ38" s="138" t="str">
        <f aca="false">IF($BX38&lt;&gt;Constants!$B$6,"",IF($AT38,($AI38-Constants!$B$24)*Constants!$B$23,0))</f>
        <v/>
      </c>
      <c r="BR38" s="138" t="str">
        <f aca="false">IF($BX38&lt;&gt;Constants!$B$6,"",IF($AS38,0,Constants!$B$12)+IF($AR38,0,Constants!$B$13)+IF($AH38,0,Constants!$B$14))</f>
        <v/>
      </c>
      <c r="BS38" s="139" t="str">
        <f aca="false">IF($BX38&lt;&gt;Constants!$B$6,"",Constants!$B$16+SUM($BN38:$BR38))</f>
        <v/>
      </c>
      <c r="BT38" s="138" t="str">
        <f aca="false">IF($BX38&lt;&gt;Constants!$B$6,"",$BN38)</f>
        <v/>
      </c>
      <c r="BU38" s="138" t="str">
        <f aca="false">IF($BX38&lt;&gt;Constants!$B$6,"",$BO38)</f>
        <v/>
      </c>
      <c r="BV38" s="140" t="str">
        <f aca="false">IF($BX38&lt;&gt;Constants!$B$6,"",IF($AT38,$AV38,""))</f>
        <v/>
      </c>
      <c r="BW38" s="135" t="str">
        <f aca="false">IF(ISBLANK($C38),"",IF(ISBLANK($D$7),$BW$5,IF(NOT(ISNUMBER($D$7)),$BW$6,"")))</f>
        <v/>
      </c>
      <c r="BX38" s="135" t="str">
        <f aca="false">IF(ISBLANK($C38),"",IF($BA38,Constants!$B$9,IF(COUNTA($E38:$AA38)=0,Constants!$B$8,IF(NOT($AG38),Constants!$B$7,IF(OR($BW38&lt;&gt;"",$BB38,$BM38),Constants!$B$10,Constants!$B$6)))))</f>
        <v/>
      </c>
      <c r="BY38" s="135" t="str">
        <f aca="false">IF(ISBLANK($C38),"",IF($BX38&lt;&gt;Constants!$B$6,$BX38,Constants!$B$11))</f>
        <v/>
      </c>
      <c r="BZ38" s="138" t="str">
        <f aca="false">IF($BX38&lt;&gt;Constants!$B$6,"",IF($BL38="-&gt;",$BS38,$BH38))</f>
        <v/>
      </c>
      <c r="CA38" s="138" t="str">
        <f aca="false">IF($BX38&lt;&gt;Constants!$B$6,"",IF($AF38,0,Constants!$B$15))</f>
        <v/>
      </c>
      <c r="CB38" s="138" t="str">
        <f aca="false">IF($BX38&lt;&gt;Constants!$B$6,"",((Constants!$B$25-$AZ38)-Constants!$B$25)/Constants!$B$26)</f>
        <v/>
      </c>
      <c r="CC38" s="138" t="str">
        <f aca="false">IF(ISBLANK($C38),"",IF($BX38&lt;&gt;Constants!$B$6,$BX38,SUM($BZ38:$CB38)))</f>
        <v/>
      </c>
      <c r="CD38" s="135" t="str">
        <f aca="false">IF(ISBLANK($C38),"",IF($BX38&lt;&gt;Constants!$B$6,$BX38,RANK($CC38,$CC$9:$CC$508,1)))</f>
        <v/>
      </c>
      <c r="CE38" s="138" t="str">
        <f aca="false">IF($BX38&lt;&gt;Constants!$B$6,"",IF($BL38="-&gt;",$BT38,$BI38))</f>
        <v/>
      </c>
      <c r="CF38" s="135" t="str">
        <f aca="false">IF(ISBLANK($C38),"",IF($BX38&lt;&gt;Constants!$B$6,$BX38,IF(ISNUMBER($CE38),RANK($CE38,$CE$9:$CE$508,1),COUNT($CE$9:$CE$508)+1)))</f>
        <v/>
      </c>
      <c r="CG38" s="138" t="str">
        <f aca="false">IF($BX38&lt;&gt;Constants!$B$6,"",IF($BL38="-&gt;",$BU38,$BJ38))</f>
        <v/>
      </c>
      <c r="CH38" s="135" t="str">
        <f aca="false">IF(ISBLANK($C38),"",IF($BX38&lt;&gt;Constants!$B$6,$BX38,IF(ISNUMBER($CG38),RANK($CG38,$CG$9:$CG$508,1),COUNT($CG$9:$CG$508)+1)))</f>
        <v/>
      </c>
      <c r="CI38" s="138" t="str">
        <f aca="false">IF($BX38&lt;&gt;Constants!$B$6,"",IF($BL38="-&gt;",$BV38,$BK38))</f>
        <v/>
      </c>
      <c r="CJ38" s="135" t="str">
        <f aca="false">IF(ISBLANK($C38),"",IF($BX38&lt;&gt;Constants!$B$6,$BX38,IF(ISNUMBER($CI38),RANK($CI38,$CI$9:$CI$508,1),COUNT($CI$9:$CI$508)+1)))</f>
        <v/>
      </c>
      <c r="CK38" s="138" t="str">
        <f aca="false">IF($BX38&lt;&gt;Constants!$B$6,"",$AI38)</f>
        <v/>
      </c>
      <c r="CL38" s="135" t="str">
        <f aca="false">IF(ISBLANK($C38),"",IF($BX38&lt;&gt;Constants!$B$6,$BX38,IF(ISNUMBER($CK38),RANK($CK38,$CK$9:$CK$508,1),COUNT($CK$9:$CK$508)+1)))</f>
        <v/>
      </c>
      <c r="CM38" s="135" t="str">
        <f aca="false">IF(ISBLANK($C38),"",IF($BX38&lt;&gt;Constants!$B$6,$BX38,COUNTIFS($CD$9:$CD$508,"&lt;"&amp;$CD38)+COUNTIFS($CD$9:$CD$508,$CD38,$CF$9:$CF$508,"&lt;"&amp;$CF38)+COUNTIFS($CD$9:$CD$508,$CD38,$CF$9:$CF$508,$CF38,$CH$9:$CH$508,"&lt;"&amp;$CH38)+COUNTIFS($CD$9:$CD$508,$CD38,$CF$9:$CF$508,$CF38,$CH$9:$CH$508,$CH38,$CJ$9:$CJ$508,"&lt;"&amp;$CJ38)+COUNTIFS($CD$9:$CD$508,$CD38,$CF$9:$CF$508,$CF38,$CH$9:$CH$508,$CH38,$CJ$9:$CJ$508,$CJ38,$CL$9:$CL$508,"&lt;"&amp;$CL38)+1))</f>
        <v/>
      </c>
      <c r="CN38" s="135" t="str">
        <f aca="false">IF(ISBLANK($C38),"",IF($BX38&lt;&gt;Constants!$B$6,$BX38,$CD38-$CM38))</f>
        <v/>
      </c>
      <c r="CO38" s="141"/>
      <c r="CP38" s="142"/>
      <c r="CQ38" s="143" t="str">
        <f aca="false">IF(ISBLANK($C38),"",IF($BX38=Constants!$B$10,$BW38,""))</f>
        <v/>
      </c>
      <c r="CR38" s="142" t="str">
        <f aca="false">IF(ISBLANK($C38),"",IF($BX38&lt;&gt;Constants!$B$6,"",IF($BL38="-&gt;",2,1)))</f>
        <v/>
      </c>
      <c r="CS38" s="144" t="str">
        <f aca="false">IF(ISBLANK($C38),"",IF($BX38&lt;&gt;Constants!$B$6,"",IF($BL38="-&gt;",$BN38,$BC38)))</f>
        <v/>
      </c>
      <c r="CT38" s="144" t="str">
        <f aca="false">IF(ISBLANK($C38),"",IF($BX38&lt;&gt;Constants!$B$6,"",IF($BL38="-&gt;",$BO38,$BD38)))</f>
        <v/>
      </c>
      <c r="CU38" s="144" t="str">
        <f aca="false">IF(ISBLANK($C38),"",IF($BX38&lt;&gt;Constants!$B$6,"",IF($BL38="-&gt;",$BP38+$BQ38,$BE38+$BF38)+$CB38))</f>
        <v/>
      </c>
      <c r="CV38" s="144" t="str">
        <f aca="false">IF(ISBLANK($C38),"",IF($BX38&lt;&gt;Constants!$B$6,"",IF($BL38="-&gt;",$BR38,$BG38)+$CA38))</f>
        <v/>
      </c>
      <c r="CW38" s="145" t="str">
        <f aca="false">IF(ISBLANK($C38),"",IF($BX38&lt;&gt;Constants!$B$6,$BX38,$CC38))</f>
        <v/>
      </c>
      <c r="CX38" s="146" t="str">
        <f aca="false">IF(ISBLANK($C38),"",$BY38)</f>
        <v/>
      </c>
      <c r="CY38" s="147" t="str">
        <f aca="false">IF(ISBLANK($C38),"",$CN38)</f>
        <v/>
      </c>
      <c r="CZ38" s="147" t="str">
        <f aca="false">IF(ISBLANK($C38),"",$CM38)</f>
        <v/>
      </c>
      <c r="DA38" s="148" t="str">
        <f aca="false">IF(ISBLANK($C38),"",IFERROR(_xlfn.SWITCH($CZ38,Constants!$B$9,COUNTA($C$9:$C$508)+2,Constants!$B$8,COUNTA($C$9:$C$508)+1,Constants!$B$7,COUNTA($C$9:$C$508)),$CZ38))</f>
        <v/>
      </c>
      <c r="DB38" s="9"/>
      <c r="DC38" s="149" t="n">
        <f aca="false">IF(OR(ISNUMBER($CZ38),$CZ38=Constants!$B$9,$CZ38=Constants!$B$7,$CZ38=Constants!$B$8),1,0)</f>
        <v>0</v>
      </c>
      <c r="DD38" s="149" t="n">
        <v>30</v>
      </c>
      <c r="DE38" s="149" t="str">
        <f aca="false">IF(ISBLANK($C38),"",IF(ISNUMBER($DA38),$DA38+ROW($B38)/1000,""))</f>
        <v/>
      </c>
      <c r="DF38" s="149" t="str">
        <f aca="false">IF(ISNUMBER($DE38),RANK($DE38,$DE$9:$DE$508,1),"")</f>
        <v/>
      </c>
      <c r="DG38" s="149" t="str">
        <f aca="false">IF(ISBLANK($C38),"",$B38)</f>
        <v/>
      </c>
      <c r="DH38" s="149" t="str">
        <f aca="false">IF(ISBLANK($C38),"",$C38)</f>
        <v/>
      </c>
      <c r="DI38" s="149" t="str">
        <f aca="false">IF(ISBLANK($C38),"",$D38)</f>
        <v/>
      </c>
      <c r="DJ38" s="150" t="str">
        <f aca="false">$CX38</f>
        <v/>
      </c>
      <c r="DK38" s="151" t="str">
        <f aca="false">$CW38</f>
        <v/>
      </c>
      <c r="DL38" s="149" t="str">
        <f aca="false">IF(ISBLANK($C38),"",$CZ38)</f>
        <v/>
      </c>
      <c r="DM38" s="152" t="str">
        <f aca="false">IF($DD38&gt;$DC$8,"",VLOOKUP($DD38,$DF$9:$DL$508,7,FALSE()))</f>
        <v/>
      </c>
      <c r="DN38" s="153" t="str">
        <f aca="false">IF($DD38&gt;$DC$8,"",VLOOKUP($DD38,$DF$9:$DL$508,2,FALSE()))</f>
        <v/>
      </c>
      <c r="DO38" s="153" t="str">
        <f aca="false">IF($DD38&gt;$DC$8,"",VLOOKUP($DD38,$DF$9:$DL$508,3,FALSE()))</f>
        <v/>
      </c>
      <c r="DP38" s="153" t="str">
        <f aca="false">IF($DD38&gt;$DC$8,"",VLOOKUP($DD38,$DF$9:$DL$508,4,FALSE()))</f>
        <v/>
      </c>
      <c r="DQ38" s="153" t="str">
        <f aca="false">IF($DD38&gt;$DC$8,"",VLOOKUP($DD38,$DF$9:$DL$508,5,FALSE()))</f>
        <v/>
      </c>
      <c r="DR38" s="154" t="str">
        <f aca="false">IF($DD38&gt;$DC$8,"",VLOOKUP($DD38,$DF$9:$DL$508,6,FALSE()))</f>
        <v/>
      </c>
      <c r="DS38" s="76"/>
    </row>
    <row r="39" customFormat="false" ht="15.75" hidden="false" customHeight="false" outlineLevel="0" collapsed="false">
      <c r="A39" s="9"/>
      <c r="B39" s="78"/>
      <c r="C39" s="79"/>
      <c r="D39" s="170"/>
      <c r="E39" s="171"/>
      <c r="F39" s="172"/>
      <c r="G39" s="173"/>
      <c r="H39" s="173"/>
      <c r="I39" s="174"/>
      <c r="J39" s="175"/>
      <c r="K39" s="86"/>
      <c r="L39" s="87"/>
      <c r="M39" s="88"/>
      <c r="N39" s="175"/>
      <c r="O39" s="175"/>
      <c r="P39" s="171"/>
      <c r="Q39" s="175"/>
      <c r="R39" s="175"/>
      <c r="S39" s="86"/>
      <c r="T39" s="88"/>
      <c r="U39" s="88"/>
      <c r="V39" s="175"/>
      <c r="W39" s="175"/>
      <c r="X39" s="171"/>
      <c r="Y39" s="176"/>
      <c r="Z39" s="177"/>
      <c r="AA39" s="176"/>
      <c r="AB39" s="92"/>
      <c r="AC39" s="93"/>
      <c r="AD39" s="93"/>
      <c r="AE39" s="93"/>
      <c r="AF39" s="93" t="str">
        <f aca="false">IF(ISBLANK($C39),"",IF(E39=Constants!$B$2,TRUE(),IF(E39=Constants!$B$3,FALSE(),TRUE())))</f>
        <v/>
      </c>
      <c r="AG39" s="93" t="str">
        <f aca="false">IF(ISBLANK($C39),"",IF(F39=Constants!$B$2,TRUE(),IF(F39=Constants!$B$3,FALSE(),TRUE())))</f>
        <v/>
      </c>
      <c r="AH39" s="93" t="str">
        <f aca="false">IF(ISBLANK($C39),"",IF(G39=Constants!$B$2,TRUE(),IF(G39=Constants!$B$3,FALSE(),TRUE())))</f>
        <v/>
      </c>
      <c r="AI39" s="93" t="str">
        <f aca="false">IF(ISBLANK($C39),"",IF(AND(ISNUMBER(H39),H39&gt;=0),H39,Constants!$B$24))</f>
        <v/>
      </c>
      <c r="AJ39" s="93" t="str">
        <f aca="false">IF(ISBLANK($C39),"",IF(I39=Constants!$B$2,TRUE(),IF(I39=Constants!$B$3,FALSE(),TRUE())))</f>
        <v/>
      </c>
      <c r="AK39" s="93" t="str">
        <f aca="false">IF(ISBLANK($C39),"",IF(J39=Constants!$B$2,TRUE(),IF(J39=Constants!$B$3,FALSE(),TRUE())))</f>
        <v/>
      </c>
      <c r="AL39" s="93" t="str">
        <f aca="false">IF(ISBLANK($C39),"",IF(K39=Constants!$B$4,TRUE(),IF(K39=Constants!$B$5,FALSE(),COUNTA(L39:P39)&gt;0)))</f>
        <v/>
      </c>
      <c r="AM39" s="95" t="str">
        <f aca="false">IF(ISBLANK($C39),"",IF(ISNUMBER(L39),IF(L39&gt;=0,L39,""),""))</f>
        <v/>
      </c>
      <c r="AN39" s="94" t="str">
        <f aca="false">IF(ISBLANK($C39),"",IF(ISNUMBER(M39),IF(M39&gt;=0,M39,""),""))</f>
        <v/>
      </c>
      <c r="AO39" s="94" t="str">
        <f aca="false">IF(ISBLANK($C39),"",IF(N39=Constants!$B$2,TRUE(),IF(N39=Constants!$B$3,FALSE(),TRUE())))</f>
        <v/>
      </c>
      <c r="AP39" s="93" t="str">
        <f aca="false">IF(ISBLANK($C39),"",IF(ISNUMBER(O39),IF(O39&gt;=0,O39,""),""))</f>
        <v/>
      </c>
      <c r="AQ39" s="93" t="str">
        <f aca="false">IF(ISBLANK($C39),"",IF(P39=Constants!$B$2,TRUE(),IF(P39=Constants!$B$3,FALSE(),FALSE())))</f>
        <v/>
      </c>
      <c r="AR39" s="93" t="str">
        <f aca="false">IF(ISBLANK($C39),"",IF(Q39=Constants!$B$2,TRUE(),IF(Q39=Constants!$B$3,FALSE(),TRUE())))</f>
        <v/>
      </c>
      <c r="AS39" s="93" t="str">
        <f aca="false">IF(ISBLANK($C39),"",IF(R39=Constants!$B$2,TRUE(),IF(R39=Constants!$B$3,FALSE(),TRUE())))</f>
        <v/>
      </c>
      <c r="AT39" s="93" t="str">
        <f aca="false">IF(ISBLANK($C39),"",IF(S39=Constants!$B$4,TRUE(),IF(S39=Constants!$B$5,FALSE(),COUNTA(T39:X39)&gt;0)))</f>
        <v/>
      </c>
      <c r="AU39" s="95" t="str">
        <f aca="false">IF(ISBLANK($C39),"",IF(ISNUMBER(T39),IF(T39&gt;=0,T39,""),""))</f>
        <v/>
      </c>
      <c r="AV39" s="94" t="str">
        <f aca="false">IF(ISBLANK($C39),"",IF(ISNUMBER(U39),IF(U39&gt;=0,U39,""),""))</f>
        <v/>
      </c>
      <c r="AW39" s="94" t="str">
        <f aca="false">IF(ISBLANK($C39),"",IF(V39=Constants!$B$2,TRUE(),IF(V39=Constants!$B$3,FALSE(),TRUE())))</f>
        <v/>
      </c>
      <c r="AX39" s="93" t="str">
        <f aca="false">IF(ISBLANK($C39),"",IF(ISNUMBER(W39),IF(W39&gt;=0,W39,""),""))</f>
        <v/>
      </c>
      <c r="AY39" s="93" t="str">
        <f aca="false">IF(ISBLANK($C39),"",IF(X39=Constants!$B$2,TRUE(),IF(X39=Constants!$B$3,FALSE(),FALSE())))</f>
        <v/>
      </c>
      <c r="AZ39" s="93" t="str">
        <f aca="false">IF(ISBLANK($C39),"",MIN(Constants!$B$25,MAX(0,IF(ISNUMBER(Y39),Y39*60,0)+IF(ISNUMBER(Z39),Z39,0))))</f>
        <v/>
      </c>
      <c r="BA39" s="93" t="str">
        <f aca="false">IF(ISBLANK($C39),"",IF(AA39=Constants!$B$2,TRUE(),IF(AA39=Constants!$B$3,FALSE(),FALSE())))</f>
        <v/>
      </c>
      <c r="BB39" s="92" t="str">
        <f aca="false">IF(ISBLANK($C39),"",AND($AL39,OR($AM39="",$AN39="",AND($AO39,$AP39=""))))</f>
        <v/>
      </c>
      <c r="BC39" s="94" t="str">
        <f aca="false">IF($BX39&lt;&gt;Constants!$B$6,"",IF($AL39,Constants!$B$17*$AN39+Constants!$B$18*IF($AO39,$AP39,Constants!$B$19),Constants!$B$20))</f>
        <v/>
      </c>
      <c r="BD39" s="97" t="str">
        <f aca="false">IF($BX39&lt;&gt;Constants!$B$6,"",Constants!$B$21*ABS($AD$9-IF($AL39,$AM39,0)))</f>
        <v/>
      </c>
      <c r="BE39" s="97" t="str">
        <f aca="false">IF($BX39&lt;&gt;Constants!$B$6,"",IF(AND($AL39,$AQ39,$AO39),Constants!$B$22,0))</f>
        <v/>
      </c>
      <c r="BF39" s="97" t="str">
        <f aca="false">IF($BX39&lt;&gt;Constants!$B$6,"",IF($AL39,($AI39-Constants!$B$24)*Constants!$B$23,0))</f>
        <v/>
      </c>
      <c r="BG39" s="97" t="str">
        <f aca="false">IF($BX39&lt;&gt;Constants!$B$6,"",IF($AK39,0,Constants!$B$12)+IF($AJ39,0,Constants!$B$13)+IF($AH39,0,Constants!$B$14))</f>
        <v/>
      </c>
      <c r="BH39" s="98" t="str">
        <f aca="false">IF($BX39&lt;&gt;Constants!$B$6,"",Constants!$B$16+SUM($BC39:$BG39))</f>
        <v/>
      </c>
      <c r="BI39" s="97" t="str">
        <f aca="false">IF($BX39&lt;&gt;Constants!$B$6,"",$BC39)</f>
        <v/>
      </c>
      <c r="BJ39" s="97" t="str">
        <f aca="false">IF($BX39&lt;&gt;Constants!$B$6,"",$BD39)</f>
        <v/>
      </c>
      <c r="BK39" s="99" t="str">
        <f aca="false">IF($BX39&lt;&gt;Constants!$B$6,"",IF($AL39,$AN39,""))</f>
        <v/>
      </c>
      <c r="BL39" s="93" t="str">
        <f aca="false">IF($BX39&lt;&gt;Constants!$B$6,"",IF(OR($BS39&lt;$BH39,AND($BS39=$BH39,OR($BT39&lt;$BI39,AND($BT39=$BI39,OR($BU39&lt;$BJ39,AND($BU39=$BJ39,AND(ISNUMBER($BV39),OR(NOT(ISNUMBER($BK39)),$BV39&lt;$BK39)))))))),"-&gt;","&lt;-"))</f>
        <v/>
      </c>
      <c r="BM39" s="92" t="str">
        <f aca="false">IF(ISBLANK($C39),"",AND($AT39,OR($AU39="",$AV39="",AND($AW39,$AX39=""))))</f>
        <v/>
      </c>
      <c r="BN39" s="94" t="str">
        <f aca="false">IF($BX39&lt;&gt;Constants!$B$6,"",IF($AT39,Constants!$B$17*$AV39+Constants!$B$18*IF($AW39,$AX39,Constants!$B$19),Constants!$B$20))</f>
        <v/>
      </c>
      <c r="BO39" s="97" t="str">
        <f aca="false">IF($BX39&lt;&gt;Constants!$B$6,"",Constants!$B$21*ABS($AD$9-IF($AT39,$AU39,0)))</f>
        <v/>
      </c>
      <c r="BP39" s="97" t="str">
        <f aca="false">IF($BX39&lt;&gt;Constants!$B$6,"",IF(AND($AT39,$AY39,$AW39),Constants!$B$22,0))</f>
        <v/>
      </c>
      <c r="BQ39" s="97" t="str">
        <f aca="false">IF($BX39&lt;&gt;Constants!$B$6,"",IF($AT39,($AI39-Constants!$B$24)*Constants!$B$23,0))</f>
        <v/>
      </c>
      <c r="BR39" s="97" t="str">
        <f aca="false">IF($BX39&lt;&gt;Constants!$B$6,"",IF($AS39,0,Constants!$B$12)+IF($AR39,0,Constants!$B$13)+IF($AH39,0,Constants!$B$14))</f>
        <v/>
      </c>
      <c r="BS39" s="98" t="str">
        <f aca="false">IF($BX39&lt;&gt;Constants!$B$6,"",Constants!$B$16+SUM($BN39:$BR39))</f>
        <v/>
      </c>
      <c r="BT39" s="97" t="str">
        <f aca="false">IF($BX39&lt;&gt;Constants!$B$6,"",$BN39)</f>
        <v/>
      </c>
      <c r="BU39" s="97" t="str">
        <f aca="false">IF($BX39&lt;&gt;Constants!$B$6,"",$BO39)</f>
        <v/>
      </c>
      <c r="BV39" s="99" t="str">
        <f aca="false">IF($BX39&lt;&gt;Constants!$B$6,"",IF($AT39,$AV39,""))</f>
        <v/>
      </c>
      <c r="BW39" s="93" t="str">
        <f aca="false">IF(ISBLANK($C39),"",IF(ISBLANK($D$7),$BW$5,IF(NOT(ISNUMBER($D$7)),$BW$6,"")))</f>
        <v/>
      </c>
      <c r="BX39" s="93" t="str">
        <f aca="false">IF(ISBLANK($C39),"",IF($BA39,Constants!$B$9,IF(COUNTA($E39:$AA39)=0,Constants!$B$8,IF(NOT($AG39),Constants!$B$7,IF(OR($BW39&lt;&gt;"",$BB39,$BM39),Constants!$B$10,Constants!$B$6)))))</f>
        <v/>
      </c>
      <c r="BY39" s="93" t="str">
        <f aca="false">IF(ISBLANK($C39),"",IF($BX39&lt;&gt;Constants!$B$6,$BX39,Constants!$B$11))</f>
        <v/>
      </c>
      <c r="BZ39" s="97" t="str">
        <f aca="false">IF($BX39&lt;&gt;Constants!$B$6,"",IF($BL39="-&gt;",$BS39,$BH39))</f>
        <v/>
      </c>
      <c r="CA39" s="97" t="str">
        <f aca="false">IF($BX39&lt;&gt;Constants!$B$6,"",IF($AF39,0,Constants!$B$15))</f>
        <v/>
      </c>
      <c r="CB39" s="97" t="str">
        <f aca="false">IF($BX39&lt;&gt;Constants!$B$6,"",((Constants!$B$25-$AZ39)-Constants!$B$25)/Constants!$B$26)</f>
        <v/>
      </c>
      <c r="CC39" s="97" t="str">
        <f aca="false">IF(ISBLANK($C39),"",IF($BX39&lt;&gt;Constants!$B$6,$BX39,SUM($BZ39:$CB39)))</f>
        <v/>
      </c>
      <c r="CD39" s="93" t="str">
        <f aca="false">IF(ISBLANK($C39),"",IF($BX39&lt;&gt;Constants!$B$6,$BX39,RANK($CC39,$CC$9:$CC$508,1)))</f>
        <v/>
      </c>
      <c r="CE39" s="97" t="str">
        <f aca="false">IF($BX39&lt;&gt;Constants!$B$6,"",IF($BL39="-&gt;",$BT39,$BI39))</f>
        <v/>
      </c>
      <c r="CF39" s="93" t="str">
        <f aca="false">IF(ISBLANK($C39),"",IF($BX39&lt;&gt;Constants!$B$6,$BX39,IF(ISNUMBER($CE39),RANK($CE39,$CE$9:$CE$508,1),COUNT($CE$9:$CE$508)+1)))</f>
        <v/>
      </c>
      <c r="CG39" s="97" t="str">
        <f aca="false">IF($BX39&lt;&gt;Constants!$B$6,"",IF($BL39="-&gt;",$BU39,$BJ39))</f>
        <v/>
      </c>
      <c r="CH39" s="93" t="str">
        <f aca="false">IF(ISBLANK($C39),"",IF($BX39&lt;&gt;Constants!$B$6,$BX39,IF(ISNUMBER($CG39),RANK($CG39,$CG$9:$CG$508,1),COUNT($CG$9:$CG$508)+1)))</f>
        <v/>
      </c>
      <c r="CI39" s="97" t="str">
        <f aca="false">IF($BX39&lt;&gt;Constants!$B$6,"",IF($BL39="-&gt;",$BV39,$BK39))</f>
        <v/>
      </c>
      <c r="CJ39" s="93" t="str">
        <f aca="false">IF(ISBLANK($C39),"",IF($BX39&lt;&gt;Constants!$B$6,$BX39,IF(ISNUMBER($CI39),RANK($CI39,$CI$9:$CI$508,1),COUNT($CI$9:$CI$508)+1)))</f>
        <v/>
      </c>
      <c r="CK39" s="97" t="str">
        <f aca="false">IF($BX39&lt;&gt;Constants!$B$6,"",$AI39)</f>
        <v/>
      </c>
      <c r="CL39" s="93" t="str">
        <f aca="false">IF(ISBLANK($C39),"",IF($BX39&lt;&gt;Constants!$B$6,$BX39,IF(ISNUMBER($CK39),RANK($CK39,$CK$9:$CK$508,1),COUNT($CK$9:$CK$508)+1)))</f>
        <v/>
      </c>
      <c r="CM39" s="93" t="str">
        <f aca="false">IF(ISBLANK($C39),"",IF($BX39&lt;&gt;Constants!$B$6,$BX39,COUNTIFS($CD$9:$CD$508,"&lt;"&amp;$CD39)+COUNTIFS($CD$9:$CD$508,$CD39,$CF$9:$CF$508,"&lt;"&amp;$CF39)+COUNTIFS($CD$9:$CD$508,$CD39,$CF$9:$CF$508,$CF39,$CH$9:$CH$508,"&lt;"&amp;$CH39)+COUNTIFS($CD$9:$CD$508,$CD39,$CF$9:$CF$508,$CF39,$CH$9:$CH$508,$CH39,$CJ$9:$CJ$508,"&lt;"&amp;$CJ39)+COUNTIFS($CD$9:$CD$508,$CD39,$CF$9:$CF$508,$CF39,$CH$9:$CH$508,$CH39,$CJ$9:$CJ$508,$CJ39,$CL$9:$CL$508,"&lt;"&amp;$CL39)+1))</f>
        <v/>
      </c>
      <c r="CN39" s="93" t="str">
        <f aca="false">IF(ISBLANK($C39),"",IF($BX39&lt;&gt;Constants!$B$6,$BX39,$CD39-$CM39))</f>
        <v/>
      </c>
      <c r="CO39" s="100"/>
      <c r="CP39" s="101"/>
      <c r="CQ39" s="102" t="str">
        <f aca="false">IF(ISBLANK($C39),"",IF($BX39=Constants!$B$10,$BW39,""))</f>
        <v/>
      </c>
      <c r="CR39" s="101" t="str">
        <f aca="false">IF(ISBLANK($C39),"",IF($BX39&lt;&gt;Constants!$B$6,"",IF($BL39="-&gt;",2,1)))</f>
        <v/>
      </c>
      <c r="CS39" s="103" t="str">
        <f aca="false">IF(ISBLANK($C39),"",IF($BX39&lt;&gt;Constants!$B$6,"",IF($BL39="-&gt;",$BN39,$BC39)))</f>
        <v/>
      </c>
      <c r="CT39" s="103" t="str">
        <f aca="false">IF(ISBLANK($C39),"",IF($BX39&lt;&gt;Constants!$B$6,"",IF($BL39="-&gt;",$BO39,$BD39)))</f>
        <v/>
      </c>
      <c r="CU39" s="103" t="str">
        <f aca="false">IF(ISBLANK($C39),"",IF($BX39&lt;&gt;Constants!$B$6,"",IF($BL39="-&gt;",$BP39+$BQ39,$BE39+$BF39)+$CB39))</f>
        <v/>
      </c>
      <c r="CV39" s="103" t="str">
        <f aca="false">IF(ISBLANK($C39),"",IF($BX39&lt;&gt;Constants!$B$6,"",IF($BL39="-&gt;",$BR39,$BG39)+$CA39))</f>
        <v/>
      </c>
      <c r="CW39" s="104" t="str">
        <f aca="false">IF(ISBLANK($C39),"",IF($BX39&lt;&gt;Constants!$B$6,$BX39,$CC39))</f>
        <v/>
      </c>
      <c r="CX39" s="105" t="str">
        <f aca="false">IF(ISBLANK($C39),"",$BY39)</f>
        <v/>
      </c>
      <c r="CY39" s="106" t="str">
        <f aca="false">IF(ISBLANK($C39),"",$CN39)</f>
        <v/>
      </c>
      <c r="CZ39" s="106" t="str">
        <f aca="false">IF(ISBLANK($C39),"",$CM39)</f>
        <v/>
      </c>
      <c r="DA39" s="107" t="str">
        <f aca="false">IF(ISBLANK($C39),"",IFERROR(_xlfn.SWITCH($CZ39,Constants!$B$9,COUNTA($C$9:$C$508)+2,Constants!$B$8,COUNTA($C$9:$C$508)+1,Constants!$B$7,COUNTA($C$9:$C$508)),$CZ39))</f>
        <v/>
      </c>
      <c r="DB39" s="9"/>
      <c r="DC39" s="108" t="n">
        <f aca="false">IF(OR(ISNUMBER($CZ39),$CZ39=Constants!$B$9,$CZ39=Constants!$B$7,$CZ39=Constants!$B$8),1,0)</f>
        <v>0</v>
      </c>
      <c r="DD39" s="108" t="n">
        <v>31</v>
      </c>
      <c r="DE39" s="108" t="str">
        <f aca="false">IF(ISBLANK($C39),"",IF(ISNUMBER($DA39),$DA39+ROW($B39)/1000,""))</f>
        <v/>
      </c>
      <c r="DF39" s="108" t="str">
        <f aca="false">IF(ISNUMBER($DE39),RANK($DE39,$DE$9:$DE$508,1),"")</f>
        <v/>
      </c>
      <c r="DG39" s="108" t="str">
        <f aca="false">IF(ISBLANK($C39),"",$B39)</f>
        <v/>
      </c>
      <c r="DH39" s="108" t="str">
        <f aca="false">IF(ISBLANK($C39),"",$C39)</f>
        <v/>
      </c>
      <c r="DI39" s="108" t="str">
        <f aca="false">IF(ISBLANK($C39),"",$D39)</f>
        <v/>
      </c>
      <c r="DJ39" s="109" t="str">
        <f aca="false">$CX39</f>
        <v/>
      </c>
      <c r="DK39" s="110" t="str">
        <f aca="false">$CW39</f>
        <v/>
      </c>
      <c r="DL39" s="108" t="str">
        <f aca="false">IF(ISBLANK($C39),"",$CZ39)</f>
        <v/>
      </c>
      <c r="DM39" s="111" t="str">
        <f aca="false">IF($DD39&gt;$DC$8,"",VLOOKUP($DD39,$DF$9:$DL$508,7,FALSE()))</f>
        <v/>
      </c>
      <c r="DN39" s="112" t="str">
        <f aca="false">IF($DD39&gt;$DC$8,"",VLOOKUP($DD39,$DF$9:$DL$508,2,FALSE()))</f>
        <v/>
      </c>
      <c r="DO39" s="112" t="str">
        <f aca="false">IF($DD39&gt;$DC$8,"",VLOOKUP($DD39,$DF$9:$DL$508,3,FALSE()))</f>
        <v/>
      </c>
      <c r="DP39" s="112" t="str">
        <f aca="false">IF($DD39&gt;$DC$8,"",VLOOKUP($DD39,$DF$9:$DL$508,4,FALSE()))</f>
        <v/>
      </c>
      <c r="DQ39" s="112" t="str">
        <f aca="false">IF($DD39&gt;$DC$8,"",VLOOKUP($DD39,$DF$9:$DL$508,5,FALSE()))</f>
        <v/>
      </c>
      <c r="DR39" s="113" t="str">
        <f aca="false">IF($DD39&gt;$DC$8,"",VLOOKUP($DD39,$DF$9:$DL$508,6,FALSE()))</f>
        <v/>
      </c>
      <c r="DS39" s="76"/>
    </row>
    <row r="40" customFormat="false" ht="15.75" hidden="false" customHeight="false" outlineLevel="0" collapsed="false">
      <c r="A40" s="9"/>
      <c r="B40" s="78"/>
      <c r="C40" s="79"/>
      <c r="D40" s="170"/>
      <c r="E40" s="178"/>
      <c r="F40" s="172"/>
      <c r="G40" s="173"/>
      <c r="H40" s="173"/>
      <c r="I40" s="179"/>
      <c r="J40" s="176"/>
      <c r="K40" s="86"/>
      <c r="L40" s="87"/>
      <c r="M40" s="88"/>
      <c r="N40" s="176"/>
      <c r="O40" s="176"/>
      <c r="P40" s="178"/>
      <c r="Q40" s="176"/>
      <c r="R40" s="176"/>
      <c r="S40" s="86"/>
      <c r="T40" s="88"/>
      <c r="U40" s="88"/>
      <c r="V40" s="176"/>
      <c r="W40" s="176"/>
      <c r="X40" s="178"/>
      <c r="Y40" s="176"/>
      <c r="Z40" s="177"/>
      <c r="AA40" s="176"/>
      <c r="AB40" s="92"/>
      <c r="AC40" s="93"/>
      <c r="AD40" s="93"/>
      <c r="AE40" s="93"/>
      <c r="AF40" s="93" t="str">
        <f aca="false">IF(ISBLANK($C40),"",IF(E40=Constants!$B$2,TRUE(),IF(E40=Constants!$B$3,FALSE(),TRUE())))</f>
        <v/>
      </c>
      <c r="AG40" s="93" t="str">
        <f aca="false">IF(ISBLANK($C40),"",IF(F40=Constants!$B$2,TRUE(),IF(F40=Constants!$B$3,FALSE(),TRUE())))</f>
        <v/>
      </c>
      <c r="AH40" s="93" t="str">
        <f aca="false">IF(ISBLANK($C40),"",IF(G40=Constants!$B$2,TRUE(),IF(G40=Constants!$B$3,FALSE(),TRUE())))</f>
        <v/>
      </c>
      <c r="AI40" s="93" t="str">
        <f aca="false">IF(ISBLANK($C40),"",IF(AND(ISNUMBER(H40),H40&gt;=0),H40,Constants!$B$24))</f>
        <v/>
      </c>
      <c r="AJ40" s="93" t="str">
        <f aca="false">IF(ISBLANK($C40),"",IF(I40=Constants!$B$2,TRUE(),IF(I40=Constants!$B$3,FALSE(),TRUE())))</f>
        <v/>
      </c>
      <c r="AK40" s="93" t="str">
        <f aca="false">IF(ISBLANK($C40),"",IF(J40=Constants!$B$2,TRUE(),IF(J40=Constants!$B$3,FALSE(),TRUE())))</f>
        <v/>
      </c>
      <c r="AL40" s="93" t="str">
        <f aca="false">IF(ISBLANK($C40),"",IF(K40=Constants!$B$4,TRUE(),IF(K40=Constants!$B$5,FALSE(),COUNTA(L40:P40)&gt;0)))</f>
        <v/>
      </c>
      <c r="AM40" s="95" t="str">
        <f aca="false">IF(ISBLANK($C40),"",IF(ISNUMBER(L40),IF(L40&gt;=0,L40,""),""))</f>
        <v/>
      </c>
      <c r="AN40" s="94" t="str">
        <f aca="false">IF(ISBLANK($C40),"",IF(ISNUMBER(M40),IF(M40&gt;=0,M40,""),""))</f>
        <v/>
      </c>
      <c r="AO40" s="94" t="str">
        <f aca="false">IF(ISBLANK($C40),"",IF(N40=Constants!$B$2,TRUE(),IF(N40=Constants!$B$3,FALSE(),TRUE())))</f>
        <v/>
      </c>
      <c r="AP40" s="93" t="str">
        <f aca="false">IF(ISBLANK($C40),"",IF(ISNUMBER(O40),IF(O40&gt;=0,O40,""),""))</f>
        <v/>
      </c>
      <c r="AQ40" s="93" t="str">
        <f aca="false">IF(ISBLANK($C40),"",IF(P40=Constants!$B$2,TRUE(),IF(P40=Constants!$B$3,FALSE(),FALSE())))</f>
        <v/>
      </c>
      <c r="AR40" s="93" t="str">
        <f aca="false">IF(ISBLANK($C40),"",IF(Q40=Constants!$B$2,TRUE(),IF(Q40=Constants!$B$3,FALSE(),TRUE())))</f>
        <v/>
      </c>
      <c r="AS40" s="93" t="str">
        <f aca="false">IF(ISBLANK($C40),"",IF(R40=Constants!$B$2,TRUE(),IF(R40=Constants!$B$3,FALSE(),TRUE())))</f>
        <v/>
      </c>
      <c r="AT40" s="93" t="str">
        <f aca="false">IF(ISBLANK($C40),"",IF(S40=Constants!$B$4,TRUE(),IF(S40=Constants!$B$5,FALSE(),COUNTA(T40:X40)&gt;0)))</f>
        <v/>
      </c>
      <c r="AU40" s="95" t="str">
        <f aca="false">IF(ISBLANK($C40),"",IF(ISNUMBER(T40),IF(T40&gt;=0,T40,""),""))</f>
        <v/>
      </c>
      <c r="AV40" s="94" t="str">
        <f aca="false">IF(ISBLANK($C40),"",IF(ISNUMBER(U40),IF(U40&gt;=0,U40,""),""))</f>
        <v/>
      </c>
      <c r="AW40" s="94" t="str">
        <f aca="false">IF(ISBLANK($C40),"",IF(V40=Constants!$B$2,TRUE(),IF(V40=Constants!$B$3,FALSE(),TRUE())))</f>
        <v/>
      </c>
      <c r="AX40" s="93" t="str">
        <f aca="false">IF(ISBLANK($C40),"",IF(ISNUMBER(W40),IF(W40&gt;=0,W40,""),""))</f>
        <v/>
      </c>
      <c r="AY40" s="93" t="str">
        <f aca="false">IF(ISBLANK($C40),"",IF(X40=Constants!$B$2,TRUE(),IF(X40=Constants!$B$3,FALSE(),FALSE())))</f>
        <v/>
      </c>
      <c r="AZ40" s="93" t="str">
        <f aca="false">IF(ISBLANK($C40),"",MIN(Constants!$B$25,MAX(0,IF(ISNUMBER(Y40),Y40*60,0)+IF(ISNUMBER(Z40),Z40,0))))</f>
        <v/>
      </c>
      <c r="BA40" s="93" t="str">
        <f aca="false">IF(ISBLANK($C40),"",IF(AA40=Constants!$B$2,TRUE(),IF(AA40=Constants!$B$3,FALSE(),FALSE())))</f>
        <v/>
      </c>
      <c r="BB40" s="92" t="str">
        <f aca="false">IF(ISBLANK($C40),"",AND($AL40,OR($AM40="",$AN40="",AND($AO40,$AP40=""))))</f>
        <v/>
      </c>
      <c r="BC40" s="94" t="str">
        <f aca="false">IF($BX40&lt;&gt;Constants!$B$6,"",IF($AL40,Constants!$B$17*$AN40+Constants!$B$18*IF($AO40,$AP40,Constants!$B$19),Constants!$B$20))</f>
        <v/>
      </c>
      <c r="BD40" s="97" t="str">
        <f aca="false">IF($BX40&lt;&gt;Constants!$B$6,"",Constants!$B$21*ABS($AD$9-IF($AL40,$AM40,0)))</f>
        <v/>
      </c>
      <c r="BE40" s="97" t="str">
        <f aca="false">IF($BX40&lt;&gt;Constants!$B$6,"",IF(AND($AL40,$AQ40,$AO40),Constants!$B$22,0))</f>
        <v/>
      </c>
      <c r="BF40" s="97" t="str">
        <f aca="false">IF($BX40&lt;&gt;Constants!$B$6,"",IF($AL40,($AI40-Constants!$B$24)*Constants!$B$23,0))</f>
        <v/>
      </c>
      <c r="BG40" s="97" t="str">
        <f aca="false">IF($BX40&lt;&gt;Constants!$B$6,"",IF($AK40,0,Constants!$B$12)+IF($AJ40,0,Constants!$B$13)+IF($AH40,0,Constants!$B$14))</f>
        <v/>
      </c>
      <c r="BH40" s="98" t="str">
        <f aca="false">IF($BX40&lt;&gt;Constants!$B$6,"",Constants!$B$16+SUM($BC40:$BG40))</f>
        <v/>
      </c>
      <c r="BI40" s="97" t="str">
        <f aca="false">IF($BX40&lt;&gt;Constants!$B$6,"",$BC40)</f>
        <v/>
      </c>
      <c r="BJ40" s="97" t="str">
        <f aca="false">IF($BX40&lt;&gt;Constants!$B$6,"",$BD40)</f>
        <v/>
      </c>
      <c r="BK40" s="99" t="str">
        <f aca="false">IF($BX40&lt;&gt;Constants!$B$6,"",IF($AL40,$AN40,""))</f>
        <v/>
      </c>
      <c r="BL40" s="93" t="str">
        <f aca="false">IF($BX40&lt;&gt;Constants!$B$6,"",IF(OR($BS40&lt;$BH40,AND($BS40=$BH40,OR($BT40&lt;$BI40,AND($BT40=$BI40,OR($BU40&lt;$BJ40,AND($BU40=$BJ40,AND(ISNUMBER($BV40),OR(NOT(ISNUMBER($BK40)),$BV40&lt;$BK40)))))))),"-&gt;","&lt;-"))</f>
        <v/>
      </c>
      <c r="BM40" s="92" t="str">
        <f aca="false">IF(ISBLANK($C40),"",AND($AT40,OR($AU40="",$AV40="",AND($AW40,$AX40=""))))</f>
        <v/>
      </c>
      <c r="BN40" s="94" t="str">
        <f aca="false">IF($BX40&lt;&gt;Constants!$B$6,"",IF($AT40,Constants!$B$17*$AV40+Constants!$B$18*IF($AW40,$AX40,Constants!$B$19),Constants!$B$20))</f>
        <v/>
      </c>
      <c r="BO40" s="97" t="str">
        <f aca="false">IF($BX40&lt;&gt;Constants!$B$6,"",Constants!$B$21*ABS($AD$9-IF($AT40,$AU40,0)))</f>
        <v/>
      </c>
      <c r="BP40" s="97" t="str">
        <f aca="false">IF($BX40&lt;&gt;Constants!$B$6,"",IF(AND($AT40,$AY40,$AW40),Constants!$B$22,0))</f>
        <v/>
      </c>
      <c r="BQ40" s="97" t="str">
        <f aca="false">IF($BX40&lt;&gt;Constants!$B$6,"",IF($AT40,($AI40-Constants!$B$24)*Constants!$B$23,0))</f>
        <v/>
      </c>
      <c r="BR40" s="97" t="str">
        <f aca="false">IF($BX40&lt;&gt;Constants!$B$6,"",IF($AS40,0,Constants!$B$12)+IF($AR40,0,Constants!$B$13)+IF($AH40,0,Constants!$B$14))</f>
        <v/>
      </c>
      <c r="BS40" s="98" t="str">
        <f aca="false">IF($BX40&lt;&gt;Constants!$B$6,"",Constants!$B$16+SUM($BN40:$BR40))</f>
        <v/>
      </c>
      <c r="BT40" s="97" t="str">
        <f aca="false">IF($BX40&lt;&gt;Constants!$B$6,"",$BN40)</f>
        <v/>
      </c>
      <c r="BU40" s="97" t="str">
        <f aca="false">IF($BX40&lt;&gt;Constants!$B$6,"",$BO40)</f>
        <v/>
      </c>
      <c r="BV40" s="99" t="str">
        <f aca="false">IF($BX40&lt;&gt;Constants!$B$6,"",IF($AT40,$AV40,""))</f>
        <v/>
      </c>
      <c r="BW40" s="93" t="str">
        <f aca="false">IF(ISBLANK($C40),"",IF(ISBLANK($D$7),$BW$5,IF(NOT(ISNUMBER($D$7)),$BW$6,"")))</f>
        <v/>
      </c>
      <c r="BX40" s="93" t="str">
        <f aca="false">IF(ISBLANK($C40),"",IF($BA40,Constants!$B$9,IF(COUNTA($E40:$AA40)=0,Constants!$B$8,IF(NOT($AG40),Constants!$B$7,IF(OR($BW40&lt;&gt;"",$BB40,$BM40),Constants!$B$10,Constants!$B$6)))))</f>
        <v/>
      </c>
      <c r="BY40" s="93" t="str">
        <f aca="false">IF(ISBLANK($C40),"",IF($BX40&lt;&gt;Constants!$B$6,$BX40,Constants!$B$11))</f>
        <v/>
      </c>
      <c r="BZ40" s="97" t="str">
        <f aca="false">IF($BX40&lt;&gt;Constants!$B$6,"",IF($BL40="-&gt;",$BS40,$BH40))</f>
        <v/>
      </c>
      <c r="CA40" s="97" t="str">
        <f aca="false">IF($BX40&lt;&gt;Constants!$B$6,"",IF($AF40,0,Constants!$B$15))</f>
        <v/>
      </c>
      <c r="CB40" s="97" t="str">
        <f aca="false">IF($BX40&lt;&gt;Constants!$B$6,"",((Constants!$B$25-$AZ40)-Constants!$B$25)/Constants!$B$26)</f>
        <v/>
      </c>
      <c r="CC40" s="97" t="str">
        <f aca="false">IF(ISBLANK($C40),"",IF($BX40&lt;&gt;Constants!$B$6,$BX40,SUM($BZ40:$CB40)))</f>
        <v/>
      </c>
      <c r="CD40" s="93" t="str">
        <f aca="false">IF(ISBLANK($C40),"",IF($BX40&lt;&gt;Constants!$B$6,$BX40,RANK($CC40,$CC$9:$CC$508,1)))</f>
        <v/>
      </c>
      <c r="CE40" s="97" t="str">
        <f aca="false">IF($BX40&lt;&gt;Constants!$B$6,"",IF($BL40="-&gt;",$BT40,$BI40))</f>
        <v/>
      </c>
      <c r="CF40" s="93" t="str">
        <f aca="false">IF(ISBLANK($C40),"",IF($BX40&lt;&gt;Constants!$B$6,$BX40,IF(ISNUMBER($CE40),RANK($CE40,$CE$9:$CE$508,1),COUNT($CE$9:$CE$508)+1)))</f>
        <v/>
      </c>
      <c r="CG40" s="97" t="str">
        <f aca="false">IF($BX40&lt;&gt;Constants!$B$6,"",IF($BL40="-&gt;",$BU40,$BJ40))</f>
        <v/>
      </c>
      <c r="CH40" s="93" t="str">
        <f aca="false">IF(ISBLANK($C40),"",IF($BX40&lt;&gt;Constants!$B$6,$BX40,IF(ISNUMBER($CG40),RANK($CG40,$CG$9:$CG$508,1),COUNT($CG$9:$CG$508)+1)))</f>
        <v/>
      </c>
      <c r="CI40" s="97" t="str">
        <f aca="false">IF($BX40&lt;&gt;Constants!$B$6,"",IF($BL40="-&gt;",$BV40,$BK40))</f>
        <v/>
      </c>
      <c r="CJ40" s="93" t="str">
        <f aca="false">IF(ISBLANK($C40),"",IF($BX40&lt;&gt;Constants!$B$6,$BX40,IF(ISNUMBER($CI40),RANK($CI40,$CI$9:$CI$508,1),COUNT($CI$9:$CI$508)+1)))</f>
        <v/>
      </c>
      <c r="CK40" s="97" t="str">
        <f aca="false">IF($BX40&lt;&gt;Constants!$B$6,"",$AI40)</f>
        <v/>
      </c>
      <c r="CL40" s="93" t="str">
        <f aca="false">IF(ISBLANK($C40),"",IF($BX40&lt;&gt;Constants!$B$6,$BX40,IF(ISNUMBER($CK40),RANK($CK40,$CK$9:$CK$508,1),COUNT($CK$9:$CK$508)+1)))</f>
        <v/>
      </c>
      <c r="CM40" s="93" t="str">
        <f aca="false">IF(ISBLANK($C40),"",IF($BX40&lt;&gt;Constants!$B$6,$BX40,COUNTIFS($CD$9:$CD$508,"&lt;"&amp;$CD40)+COUNTIFS($CD$9:$CD$508,$CD40,$CF$9:$CF$508,"&lt;"&amp;$CF40)+COUNTIFS($CD$9:$CD$508,$CD40,$CF$9:$CF$508,$CF40,$CH$9:$CH$508,"&lt;"&amp;$CH40)+COUNTIFS($CD$9:$CD$508,$CD40,$CF$9:$CF$508,$CF40,$CH$9:$CH$508,$CH40,$CJ$9:$CJ$508,"&lt;"&amp;$CJ40)+COUNTIFS($CD$9:$CD$508,$CD40,$CF$9:$CF$508,$CF40,$CH$9:$CH$508,$CH40,$CJ$9:$CJ$508,$CJ40,$CL$9:$CL$508,"&lt;"&amp;$CL40)+1))</f>
        <v/>
      </c>
      <c r="CN40" s="93" t="str">
        <f aca="false">IF(ISBLANK($C40),"",IF($BX40&lt;&gt;Constants!$B$6,$BX40,$CD40-$CM40))</f>
        <v/>
      </c>
      <c r="CO40" s="100"/>
      <c r="CP40" s="101"/>
      <c r="CQ40" s="102" t="str">
        <f aca="false">IF(ISBLANK($C40),"",IF($BX40=Constants!$B$10,$BW40,""))</f>
        <v/>
      </c>
      <c r="CR40" s="101" t="str">
        <f aca="false">IF(ISBLANK($C40),"",IF($BX40&lt;&gt;Constants!$B$6,"",IF($BL40="-&gt;",2,1)))</f>
        <v/>
      </c>
      <c r="CS40" s="103" t="str">
        <f aca="false">IF(ISBLANK($C40),"",IF($BX40&lt;&gt;Constants!$B$6,"",IF($BL40="-&gt;",$BN40,$BC40)))</f>
        <v/>
      </c>
      <c r="CT40" s="103" t="str">
        <f aca="false">IF(ISBLANK($C40),"",IF($BX40&lt;&gt;Constants!$B$6,"",IF($BL40="-&gt;",$BO40,$BD40)))</f>
        <v/>
      </c>
      <c r="CU40" s="103" t="str">
        <f aca="false">IF(ISBLANK($C40),"",IF($BX40&lt;&gt;Constants!$B$6,"",IF($BL40="-&gt;",$BP40+$BQ40,$BE40+$BF40)+$CB40))</f>
        <v/>
      </c>
      <c r="CV40" s="103" t="str">
        <f aca="false">IF(ISBLANK($C40),"",IF($BX40&lt;&gt;Constants!$B$6,"",IF($BL40="-&gt;",$BR40,$BG40)+$CA40))</f>
        <v/>
      </c>
      <c r="CW40" s="104" t="str">
        <f aca="false">IF(ISBLANK($C40),"",IF($BX40&lt;&gt;Constants!$B$6,$BX40,$CC40))</f>
        <v/>
      </c>
      <c r="CX40" s="105" t="str">
        <f aca="false">IF(ISBLANK($C40),"",$BY40)</f>
        <v/>
      </c>
      <c r="CY40" s="106" t="str">
        <f aca="false">IF(ISBLANK($C40),"",$CN40)</f>
        <v/>
      </c>
      <c r="CZ40" s="106" t="str">
        <f aca="false">IF(ISBLANK($C40),"",$CM40)</f>
        <v/>
      </c>
      <c r="DA40" s="107" t="str">
        <f aca="false">IF(ISBLANK($C40),"",IFERROR(_xlfn.SWITCH($CZ40,Constants!$B$9,COUNTA($C$9:$C$508)+2,Constants!$B$8,COUNTA($C$9:$C$508)+1,Constants!$B$7,COUNTA($C$9:$C$508)),$CZ40))</f>
        <v/>
      </c>
      <c r="DB40" s="9"/>
      <c r="DC40" s="108" t="n">
        <f aca="false">IF(OR(ISNUMBER($CZ40),$CZ40=Constants!$B$9,$CZ40=Constants!$B$7,$CZ40=Constants!$B$8),1,0)</f>
        <v>0</v>
      </c>
      <c r="DD40" s="108" t="n">
        <v>32</v>
      </c>
      <c r="DE40" s="108" t="str">
        <f aca="false">IF(ISBLANK($C40),"",IF(ISNUMBER($DA40),$DA40+ROW($B40)/1000,""))</f>
        <v/>
      </c>
      <c r="DF40" s="108" t="str">
        <f aca="false">IF(ISNUMBER($DE40),RANK($DE40,$DE$9:$DE$508,1),"")</f>
        <v/>
      </c>
      <c r="DG40" s="108" t="str">
        <f aca="false">IF(ISBLANK($C40),"",$B40)</f>
        <v/>
      </c>
      <c r="DH40" s="108" t="str">
        <f aca="false">IF(ISBLANK($C40),"",$C40)</f>
        <v/>
      </c>
      <c r="DI40" s="108" t="str">
        <f aca="false">IF(ISBLANK($C40),"",$D40)</f>
        <v/>
      </c>
      <c r="DJ40" s="109" t="str">
        <f aca="false">$CX40</f>
        <v/>
      </c>
      <c r="DK40" s="110" t="str">
        <f aca="false">$CW40</f>
        <v/>
      </c>
      <c r="DL40" s="108" t="str">
        <f aca="false">IF(ISBLANK($C40),"",$CZ40)</f>
        <v/>
      </c>
      <c r="DM40" s="111" t="str">
        <f aca="false">IF($DD40&gt;$DC$8,"",VLOOKUP($DD40,$DF$9:$DL$508,7,FALSE()))</f>
        <v/>
      </c>
      <c r="DN40" s="112" t="str">
        <f aca="false">IF($DD40&gt;$DC$8,"",VLOOKUP($DD40,$DF$9:$DL$508,2,FALSE()))</f>
        <v/>
      </c>
      <c r="DO40" s="112" t="str">
        <f aca="false">IF($DD40&gt;$DC$8,"",VLOOKUP($DD40,$DF$9:$DL$508,3,FALSE()))</f>
        <v/>
      </c>
      <c r="DP40" s="112" t="str">
        <f aca="false">IF($DD40&gt;$DC$8,"",VLOOKUP($DD40,$DF$9:$DL$508,4,FALSE()))</f>
        <v/>
      </c>
      <c r="DQ40" s="112" t="str">
        <f aca="false">IF($DD40&gt;$DC$8,"",VLOOKUP($DD40,$DF$9:$DL$508,5,FALSE()))</f>
        <v/>
      </c>
      <c r="DR40" s="113" t="str">
        <f aca="false">IF($DD40&gt;$DC$8,"",VLOOKUP($DD40,$DF$9:$DL$508,6,FALSE()))</f>
        <v/>
      </c>
      <c r="DS40" s="76"/>
    </row>
    <row r="41" customFormat="false" ht="15.75" hidden="false" customHeight="false" outlineLevel="0" collapsed="false">
      <c r="A41" s="9"/>
      <c r="B41" s="78"/>
      <c r="C41" s="79"/>
      <c r="D41" s="170"/>
      <c r="E41" s="178"/>
      <c r="F41" s="172"/>
      <c r="G41" s="173"/>
      <c r="H41" s="173"/>
      <c r="I41" s="179"/>
      <c r="J41" s="176"/>
      <c r="K41" s="86"/>
      <c r="L41" s="87"/>
      <c r="M41" s="88"/>
      <c r="N41" s="176"/>
      <c r="O41" s="176"/>
      <c r="P41" s="178"/>
      <c r="Q41" s="176"/>
      <c r="R41" s="176"/>
      <c r="S41" s="86"/>
      <c r="T41" s="88"/>
      <c r="U41" s="88"/>
      <c r="V41" s="176"/>
      <c r="W41" s="176"/>
      <c r="X41" s="178"/>
      <c r="Y41" s="176"/>
      <c r="Z41" s="177"/>
      <c r="AA41" s="176"/>
      <c r="AB41" s="92"/>
      <c r="AC41" s="93"/>
      <c r="AD41" s="93"/>
      <c r="AE41" s="93"/>
      <c r="AF41" s="93" t="str">
        <f aca="false">IF(ISBLANK($C41),"",IF(E41=Constants!$B$2,TRUE(),IF(E41=Constants!$B$3,FALSE(),TRUE())))</f>
        <v/>
      </c>
      <c r="AG41" s="93" t="str">
        <f aca="false">IF(ISBLANK($C41),"",IF(F41=Constants!$B$2,TRUE(),IF(F41=Constants!$B$3,FALSE(),TRUE())))</f>
        <v/>
      </c>
      <c r="AH41" s="93" t="str">
        <f aca="false">IF(ISBLANK($C41),"",IF(G41=Constants!$B$2,TRUE(),IF(G41=Constants!$B$3,FALSE(),TRUE())))</f>
        <v/>
      </c>
      <c r="AI41" s="93" t="str">
        <f aca="false">IF(ISBLANK($C41),"",IF(AND(ISNUMBER(H41),H41&gt;=0),H41,Constants!$B$24))</f>
        <v/>
      </c>
      <c r="AJ41" s="93" t="str">
        <f aca="false">IF(ISBLANK($C41),"",IF(I41=Constants!$B$2,TRUE(),IF(I41=Constants!$B$3,FALSE(),TRUE())))</f>
        <v/>
      </c>
      <c r="AK41" s="93" t="str">
        <f aca="false">IF(ISBLANK($C41),"",IF(J41=Constants!$B$2,TRUE(),IF(J41=Constants!$B$3,FALSE(),TRUE())))</f>
        <v/>
      </c>
      <c r="AL41" s="93" t="str">
        <f aca="false">IF(ISBLANK($C41),"",IF(K41=Constants!$B$4,TRUE(),IF(K41=Constants!$B$5,FALSE(),COUNTA(L41:P41)&gt;0)))</f>
        <v/>
      </c>
      <c r="AM41" s="95" t="str">
        <f aca="false">IF(ISBLANK($C41),"",IF(ISNUMBER(L41),IF(L41&gt;=0,L41,""),""))</f>
        <v/>
      </c>
      <c r="AN41" s="94" t="str">
        <f aca="false">IF(ISBLANK($C41),"",IF(ISNUMBER(M41),IF(M41&gt;=0,M41,""),""))</f>
        <v/>
      </c>
      <c r="AO41" s="94" t="str">
        <f aca="false">IF(ISBLANK($C41),"",IF(N41=Constants!$B$2,TRUE(),IF(N41=Constants!$B$3,FALSE(),TRUE())))</f>
        <v/>
      </c>
      <c r="AP41" s="93" t="str">
        <f aca="false">IF(ISBLANK($C41),"",IF(ISNUMBER(O41),IF(O41&gt;=0,O41,""),""))</f>
        <v/>
      </c>
      <c r="AQ41" s="93" t="str">
        <f aca="false">IF(ISBLANK($C41),"",IF(P41=Constants!$B$2,TRUE(),IF(P41=Constants!$B$3,FALSE(),FALSE())))</f>
        <v/>
      </c>
      <c r="AR41" s="93" t="str">
        <f aca="false">IF(ISBLANK($C41),"",IF(Q41=Constants!$B$2,TRUE(),IF(Q41=Constants!$B$3,FALSE(),TRUE())))</f>
        <v/>
      </c>
      <c r="AS41" s="93" t="str">
        <f aca="false">IF(ISBLANK($C41),"",IF(R41=Constants!$B$2,TRUE(),IF(R41=Constants!$B$3,FALSE(),TRUE())))</f>
        <v/>
      </c>
      <c r="AT41" s="93" t="str">
        <f aca="false">IF(ISBLANK($C41),"",IF(S41=Constants!$B$4,TRUE(),IF(S41=Constants!$B$5,FALSE(),COUNTA(T41:X41)&gt;0)))</f>
        <v/>
      </c>
      <c r="AU41" s="95" t="str">
        <f aca="false">IF(ISBLANK($C41),"",IF(ISNUMBER(T41),IF(T41&gt;=0,T41,""),""))</f>
        <v/>
      </c>
      <c r="AV41" s="94" t="str">
        <f aca="false">IF(ISBLANK($C41),"",IF(ISNUMBER(U41),IF(U41&gt;=0,U41,""),""))</f>
        <v/>
      </c>
      <c r="AW41" s="94" t="str">
        <f aca="false">IF(ISBLANK($C41),"",IF(V41=Constants!$B$2,TRUE(),IF(V41=Constants!$B$3,FALSE(),TRUE())))</f>
        <v/>
      </c>
      <c r="AX41" s="93" t="str">
        <f aca="false">IF(ISBLANK($C41),"",IF(ISNUMBER(W41),IF(W41&gt;=0,W41,""),""))</f>
        <v/>
      </c>
      <c r="AY41" s="93" t="str">
        <f aca="false">IF(ISBLANK($C41),"",IF(X41=Constants!$B$2,TRUE(),IF(X41=Constants!$B$3,FALSE(),FALSE())))</f>
        <v/>
      </c>
      <c r="AZ41" s="93" t="str">
        <f aca="false">IF(ISBLANK($C41),"",MIN(Constants!$B$25,MAX(0,IF(ISNUMBER(Y41),Y41*60,0)+IF(ISNUMBER(Z41),Z41,0))))</f>
        <v/>
      </c>
      <c r="BA41" s="93" t="str">
        <f aca="false">IF(ISBLANK($C41),"",IF(AA41=Constants!$B$2,TRUE(),IF(AA41=Constants!$B$3,FALSE(),FALSE())))</f>
        <v/>
      </c>
      <c r="BB41" s="92" t="str">
        <f aca="false">IF(ISBLANK($C41),"",AND($AL41,OR($AM41="",$AN41="",AND($AO41,$AP41=""))))</f>
        <v/>
      </c>
      <c r="BC41" s="94" t="str">
        <f aca="false">IF($BX41&lt;&gt;Constants!$B$6,"",IF($AL41,Constants!$B$17*$AN41+Constants!$B$18*IF($AO41,$AP41,Constants!$B$19),Constants!$B$20))</f>
        <v/>
      </c>
      <c r="BD41" s="97" t="str">
        <f aca="false">IF($BX41&lt;&gt;Constants!$B$6,"",Constants!$B$21*ABS($AD$9-IF($AL41,$AM41,0)))</f>
        <v/>
      </c>
      <c r="BE41" s="97" t="str">
        <f aca="false">IF($BX41&lt;&gt;Constants!$B$6,"",IF(AND($AL41,$AQ41,$AO41),Constants!$B$22,0))</f>
        <v/>
      </c>
      <c r="BF41" s="97" t="str">
        <f aca="false">IF($BX41&lt;&gt;Constants!$B$6,"",IF($AL41,($AI41-Constants!$B$24)*Constants!$B$23,0))</f>
        <v/>
      </c>
      <c r="BG41" s="97" t="str">
        <f aca="false">IF($BX41&lt;&gt;Constants!$B$6,"",IF($AK41,0,Constants!$B$12)+IF($AJ41,0,Constants!$B$13)+IF($AH41,0,Constants!$B$14))</f>
        <v/>
      </c>
      <c r="BH41" s="98" t="str">
        <f aca="false">IF($BX41&lt;&gt;Constants!$B$6,"",Constants!$B$16+SUM($BC41:$BG41))</f>
        <v/>
      </c>
      <c r="BI41" s="97" t="str">
        <f aca="false">IF($BX41&lt;&gt;Constants!$B$6,"",$BC41)</f>
        <v/>
      </c>
      <c r="BJ41" s="97" t="str">
        <f aca="false">IF($BX41&lt;&gt;Constants!$B$6,"",$BD41)</f>
        <v/>
      </c>
      <c r="BK41" s="99" t="str">
        <f aca="false">IF($BX41&lt;&gt;Constants!$B$6,"",IF($AL41,$AN41,""))</f>
        <v/>
      </c>
      <c r="BL41" s="93" t="str">
        <f aca="false">IF($BX41&lt;&gt;Constants!$B$6,"",IF(OR($BS41&lt;$BH41,AND($BS41=$BH41,OR($BT41&lt;$BI41,AND($BT41=$BI41,OR($BU41&lt;$BJ41,AND($BU41=$BJ41,AND(ISNUMBER($BV41),OR(NOT(ISNUMBER($BK41)),$BV41&lt;$BK41)))))))),"-&gt;","&lt;-"))</f>
        <v/>
      </c>
      <c r="BM41" s="92" t="str">
        <f aca="false">IF(ISBLANK($C41),"",AND($AT41,OR($AU41="",$AV41="",AND($AW41,$AX41=""))))</f>
        <v/>
      </c>
      <c r="BN41" s="94" t="str">
        <f aca="false">IF($BX41&lt;&gt;Constants!$B$6,"",IF($AT41,Constants!$B$17*$AV41+Constants!$B$18*IF($AW41,$AX41,Constants!$B$19),Constants!$B$20))</f>
        <v/>
      </c>
      <c r="BO41" s="97" t="str">
        <f aca="false">IF($BX41&lt;&gt;Constants!$B$6,"",Constants!$B$21*ABS($AD$9-IF($AT41,$AU41,0)))</f>
        <v/>
      </c>
      <c r="BP41" s="97" t="str">
        <f aca="false">IF($BX41&lt;&gt;Constants!$B$6,"",IF(AND($AT41,$AY41,$AW41),Constants!$B$22,0))</f>
        <v/>
      </c>
      <c r="BQ41" s="97" t="str">
        <f aca="false">IF($BX41&lt;&gt;Constants!$B$6,"",IF($AT41,($AI41-Constants!$B$24)*Constants!$B$23,0))</f>
        <v/>
      </c>
      <c r="BR41" s="97" t="str">
        <f aca="false">IF($BX41&lt;&gt;Constants!$B$6,"",IF($AS41,0,Constants!$B$12)+IF($AR41,0,Constants!$B$13)+IF($AH41,0,Constants!$B$14))</f>
        <v/>
      </c>
      <c r="BS41" s="98" t="str">
        <f aca="false">IF($BX41&lt;&gt;Constants!$B$6,"",Constants!$B$16+SUM($BN41:$BR41))</f>
        <v/>
      </c>
      <c r="BT41" s="97" t="str">
        <f aca="false">IF($BX41&lt;&gt;Constants!$B$6,"",$BN41)</f>
        <v/>
      </c>
      <c r="BU41" s="97" t="str">
        <f aca="false">IF($BX41&lt;&gt;Constants!$B$6,"",$BO41)</f>
        <v/>
      </c>
      <c r="BV41" s="99" t="str">
        <f aca="false">IF($BX41&lt;&gt;Constants!$B$6,"",IF($AT41,$AV41,""))</f>
        <v/>
      </c>
      <c r="BW41" s="93" t="str">
        <f aca="false">IF(ISBLANK($C41),"",IF(ISBLANK($D$7),$BW$5,IF(NOT(ISNUMBER($D$7)),$BW$6,"")))</f>
        <v/>
      </c>
      <c r="BX41" s="93" t="str">
        <f aca="false">IF(ISBLANK($C41),"",IF($BA41,Constants!$B$9,IF(COUNTA($E41:$AA41)=0,Constants!$B$8,IF(NOT($AG41),Constants!$B$7,IF(OR($BW41&lt;&gt;"",$BB41,$BM41),Constants!$B$10,Constants!$B$6)))))</f>
        <v/>
      </c>
      <c r="BY41" s="93" t="str">
        <f aca="false">IF(ISBLANK($C41),"",IF($BX41&lt;&gt;Constants!$B$6,$BX41,Constants!$B$11))</f>
        <v/>
      </c>
      <c r="BZ41" s="97" t="str">
        <f aca="false">IF($BX41&lt;&gt;Constants!$B$6,"",IF($BL41="-&gt;",$BS41,$BH41))</f>
        <v/>
      </c>
      <c r="CA41" s="97" t="str">
        <f aca="false">IF($BX41&lt;&gt;Constants!$B$6,"",IF($AF41,0,Constants!$B$15))</f>
        <v/>
      </c>
      <c r="CB41" s="97" t="str">
        <f aca="false">IF($BX41&lt;&gt;Constants!$B$6,"",((Constants!$B$25-$AZ41)-Constants!$B$25)/Constants!$B$26)</f>
        <v/>
      </c>
      <c r="CC41" s="97" t="str">
        <f aca="false">IF(ISBLANK($C41),"",IF($BX41&lt;&gt;Constants!$B$6,$BX41,SUM($BZ41:$CB41)))</f>
        <v/>
      </c>
      <c r="CD41" s="93" t="str">
        <f aca="false">IF(ISBLANK($C41),"",IF($BX41&lt;&gt;Constants!$B$6,$BX41,RANK($CC41,$CC$9:$CC$508,1)))</f>
        <v/>
      </c>
      <c r="CE41" s="97" t="str">
        <f aca="false">IF($BX41&lt;&gt;Constants!$B$6,"",IF($BL41="-&gt;",$BT41,$BI41))</f>
        <v/>
      </c>
      <c r="CF41" s="93" t="str">
        <f aca="false">IF(ISBLANK($C41),"",IF($BX41&lt;&gt;Constants!$B$6,$BX41,IF(ISNUMBER($CE41),RANK($CE41,$CE$9:$CE$508,1),COUNT($CE$9:$CE$508)+1)))</f>
        <v/>
      </c>
      <c r="CG41" s="97" t="str">
        <f aca="false">IF($BX41&lt;&gt;Constants!$B$6,"",IF($BL41="-&gt;",$BU41,$BJ41))</f>
        <v/>
      </c>
      <c r="CH41" s="93" t="str">
        <f aca="false">IF(ISBLANK($C41),"",IF($BX41&lt;&gt;Constants!$B$6,$BX41,IF(ISNUMBER($CG41),RANK($CG41,$CG$9:$CG$508,1),COUNT($CG$9:$CG$508)+1)))</f>
        <v/>
      </c>
      <c r="CI41" s="97" t="str">
        <f aca="false">IF($BX41&lt;&gt;Constants!$B$6,"",IF($BL41="-&gt;",$BV41,$BK41))</f>
        <v/>
      </c>
      <c r="CJ41" s="93" t="str">
        <f aca="false">IF(ISBLANK($C41),"",IF($BX41&lt;&gt;Constants!$B$6,$BX41,IF(ISNUMBER($CI41),RANK($CI41,$CI$9:$CI$508,1),COUNT($CI$9:$CI$508)+1)))</f>
        <v/>
      </c>
      <c r="CK41" s="97" t="str">
        <f aca="false">IF($BX41&lt;&gt;Constants!$B$6,"",$AI41)</f>
        <v/>
      </c>
      <c r="CL41" s="93" t="str">
        <f aca="false">IF(ISBLANK($C41),"",IF($BX41&lt;&gt;Constants!$B$6,$BX41,IF(ISNUMBER($CK41),RANK($CK41,$CK$9:$CK$508,1),COUNT($CK$9:$CK$508)+1)))</f>
        <v/>
      </c>
      <c r="CM41" s="93" t="str">
        <f aca="false">IF(ISBLANK($C41),"",IF($BX41&lt;&gt;Constants!$B$6,$BX41,COUNTIFS($CD$9:$CD$508,"&lt;"&amp;$CD41)+COUNTIFS($CD$9:$CD$508,$CD41,$CF$9:$CF$508,"&lt;"&amp;$CF41)+COUNTIFS($CD$9:$CD$508,$CD41,$CF$9:$CF$508,$CF41,$CH$9:$CH$508,"&lt;"&amp;$CH41)+COUNTIFS($CD$9:$CD$508,$CD41,$CF$9:$CF$508,$CF41,$CH$9:$CH$508,$CH41,$CJ$9:$CJ$508,"&lt;"&amp;$CJ41)+COUNTIFS($CD$9:$CD$508,$CD41,$CF$9:$CF$508,$CF41,$CH$9:$CH$508,$CH41,$CJ$9:$CJ$508,$CJ41,$CL$9:$CL$508,"&lt;"&amp;$CL41)+1))</f>
        <v/>
      </c>
      <c r="CN41" s="93" t="str">
        <f aca="false">IF(ISBLANK($C41),"",IF($BX41&lt;&gt;Constants!$B$6,$BX41,$CD41-$CM41))</f>
        <v/>
      </c>
      <c r="CO41" s="100"/>
      <c r="CP41" s="101"/>
      <c r="CQ41" s="102" t="str">
        <f aca="false">IF(ISBLANK($C41),"",IF($BX41=Constants!$B$10,$BW41,""))</f>
        <v/>
      </c>
      <c r="CR41" s="101" t="str">
        <f aca="false">IF(ISBLANK($C41),"",IF($BX41&lt;&gt;Constants!$B$6,"",IF($BL41="-&gt;",2,1)))</f>
        <v/>
      </c>
      <c r="CS41" s="103" t="str">
        <f aca="false">IF(ISBLANK($C41),"",IF($BX41&lt;&gt;Constants!$B$6,"",IF($BL41="-&gt;",$BN41,$BC41)))</f>
        <v/>
      </c>
      <c r="CT41" s="103" t="str">
        <f aca="false">IF(ISBLANK($C41),"",IF($BX41&lt;&gt;Constants!$B$6,"",IF($BL41="-&gt;",$BO41,$BD41)))</f>
        <v/>
      </c>
      <c r="CU41" s="103" t="str">
        <f aca="false">IF(ISBLANK($C41),"",IF($BX41&lt;&gt;Constants!$B$6,"",IF($BL41="-&gt;",$BP41+$BQ41,$BE41+$BF41)+$CB41))</f>
        <v/>
      </c>
      <c r="CV41" s="103" t="str">
        <f aca="false">IF(ISBLANK($C41),"",IF($BX41&lt;&gt;Constants!$B$6,"",IF($BL41="-&gt;",$BR41,$BG41)+$CA41))</f>
        <v/>
      </c>
      <c r="CW41" s="104" t="str">
        <f aca="false">IF(ISBLANK($C41),"",IF($BX41&lt;&gt;Constants!$B$6,$BX41,$CC41))</f>
        <v/>
      </c>
      <c r="CX41" s="105" t="str">
        <f aca="false">IF(ISBLANK($C41),"",$BY41)</f>
        <v/>
      </c>
      <c r="CY41" s="106" t="str">
        <f aca="false">IF(ISBLANK($C41),"",$CN41)</f>
        <v/>
      </c>
      <c r="CZ41" s="106" t="str">
        <f aca="false">IF(ISBLANK($C41),"",$CM41)</f>
        <v/>
      </c>
      <c r="DA41" s="107" t="str">
        <f aca="false">IF(ISBLANK($C41),"",IFERROR(_xlfn.SWITCH($CZ41,Constants!$B$9,COUNTA($C$9:$C$508)+2,Constants!$B$8,COUNTA($C$9:$C$508)+1,Constants!$B$7,COUNTA($C$9:$C$508)),$CZ41))</f>
        <v/>
      </c>
      <c r="DB41" s="9"/>
      <c r="DC41" s="108" t="n">
        <f aca="false">IF(OR(ISNUMBER($CZ41),$CZ41=Constants!$B$9,$CZ41=Constants!$B$7,$CZ41=Constants!$B$8),1,0)</f>
        <v>0</v>
      </c>
      <c r="DD41" s="108" t="n">
        <v>33</v>
      </c>
      <c r="DE41" s="108" t="str">
        <f aca="false">IF(ISBLANK($C41),"",IF(ISNUMBER($DA41),$DA41+ROW($B41)/1000,""))</f>
        <v/>
      </c>
      <c r="DF41" s="108" t="str">
        <f aca="false">IF(ISNUMBER($DE41),RANK($DE41,$DE$9:$DE$508,1),"")</f>
        <v/>
      </c>
      <c r="DG41" s="108" t="str">
        <f aca="false">IF(ISBLANK($C41),"",$B41)</f>
        <v/>
      </c>
      <c r="DH41" s="108" t="str">
        <f aca="false">IF(ISBLANK($C41),"",$C41)</f>
        <v/>
      </c>
      <c r="DI41" s="108" t="str">
        <f aca="false">IF(ISBLANK($C41),"",$D41)</f>
        <v/>
      </c>
      <c r="DJ41" s="109" t="str">
        <f aca="false">$CX41</f>
        <v/>
      </c>
      <c r="DK41" s="110" t="str">
        <f aca="false">$CW41</f>
        <v/>
      </c>
      <c r="DL41" s="108" t="str">
        <f aca="false">IF(ISBLANK($C41),"",$CZ41)</f>
        <v/>
      </c>
      <c r="DM41" s="111" t="str">
        <f aca="false">IF($DD41&gt;$DC$8,"",VLOOKUP($DD41,$DF$9:$DL$508,7,FALSE()))</f>
        <v/>
      </c>
      <c r="DN41" s="112" t="str">
        <f aca="false">IF($DD41&gt;$DC$8,"",VLOOKUP($DD41,$DF$9:$DL$508,2,FALSE()))</f>
        <v/>
      </c>
      <c r="DO41" s="112" t="str">
        <f aca="false">IF($DD41&gt;$DC$8,"",VLOOKUP($DD41,$DF$9:$DL$508,3,FALSE()))</f>
        <v/>
      </c>
      <c r="DP41" s="112" t="str">
        <f aca="false">IF($DD41&gt;$DC$8,"",VLOOKUP($DD41,$DF$9:$DL$508,4,FALSE()))</f>
        <v/>
      </c>
      <c r="DQ41" s="112" t="str">
        <f aca="false">IF($DD41&gt;$DC$8,"",VLOOKUP($DD41,$DF$9:$DL$508,5,FALSE()))</f>
        <v/>
      </c>
      <c r="DR41" s="113" t="str">
        <f aca="false">IF($DD41&gt;$DC$8,"",VLOOKUP($DD41,$DF$9:$DL$508,6,FALSE()))</f>
        <v/>
      </c>
      <c r="DS41" s="76"/>
    </row>
    <row r="42" customFormat="false" ht="15.75" hidden="false" customHeight="false" outlineLevel="0" collapsed="false">
      <c r="A42" s="9"/>
      <c r="B42" s="160"/>
      <c r="C42" s="161"/>
      <c r="D42" s="162"/>
      <c r="E42" s="180"/>
      <c r="F42" s="164"/>
      <c r="G42" s="165"/>
      <c r="H42" s="165"/>
      <c r="I42" s="181"/>
      <c r="J42" s="168"/>
      <c r="K42" s="128"/>
      <c r="L42" s="129"/>
      <c r="M42" s="130"/>
      <c r="N42" s="168"/>
      <c r="O42" s="168"/>
      <c r="P42" s="180"/>
      <c r="Q42" s="168"/>
      <c r="R42" s="168"/>
      <c r="S42" s="128"/>
      <c r="T42" s="130"/>
      <c r="U42" s="130"/>
      <c r="V42" s="168"/>
      <c r="W42" s="168"/>
      <c r="X42" s="180"/>
      <c r="Y42" s="168"/>
      <c r="Z42" s="169"/>
      <c r="AA42" s="168"/>
      <c r="AB42" s="134"/>
      <c r="AC42" s="135"/>
      <c r="AD42" s="135"/>
      <c r="AE42" s="135"/>
      <c r="AF42" s="135" t="str">
        <f aca="false">IF(ISBLANK($C42),"",IF(E42=Constants!$B$2,TRUE(),IF(E42=Constants!$B$3,FALSE(),TRUE())))</f>
        <v/>
      </c>
      <c r="AG42" s="135" t="str">
        <f aca="false">IF(ISBLANK($C42),"",IF(F42=Constants!$B$2,TRUE(),IF(F42=Constants!$B$3,FALSE(),TRUE())))</f>
        <v/>
      </c>
      <c r="AH42" s="135" t="str">
        <f aca="false">IF(ISBLANK($C42),"",IF(G42=Constants!$B$2,TRUE(),IF(G42=Constants!$B$3,FALSE(),TRUE())))</f>
        <v/>
      </c>
      <c r="AI42" s="135" t="str">
        <f aca="false">IF(ISBLANK($C42),"",IF(AND(ISNUMBER(H42),H42&gt;=0),H42,Constants!$B$24))</f>
        <v/>
      </c>
      <c r="AJ42" s="135" t="str">
        <f aca="false">IF(ISBLANK($C42),"",IF(I42=Constants!$B$2,TRUE(),IF(I42=Constants!$B$3,FALSE(),TRUE())))</f>
        <v/>
      </c>
      <c r="AK42" s="135" t="str">
        <f aca="false">IF(ISBLANK($C42),"",IF(J42=Constants!$B$2,TRUE(),IF(J42=Constants!$B$3,FALSE(),TRUE())))</f>
        <v/>
      </c>
      <c r="AL42" s="135" t="str">
        <f aca="false">IF(ISBLANK($C42),"",IF(K42=Constants!$B$4,TRUE(),IF(K42=Constants!$B$5,FALSE(),COUNTA(L42:P42)&gt;0)))</f>
        <v/>
      </c>
      <c r="AM42" s="136" t="str">
        <f aca="false">IF(ISBLANK($C42),"",IF(ISNUMBER(L42),IF(L42&gt;=0,L42,""),""))</f>
        <v/>
      </c>
      <c r="AN42" s="137" t="str">
        <f aca="false">IF(ISBLANK($C42),"",IF(ISNUMBER(M42),IF(M42&gt;=0,M42,""),""))</f>
        <v/>
      </c>
      <c r="AO42" s="137" t="str">
        <f aca="false">IF(ISBLANK($C42),"",IF(N42=Constants!$B$2,TRUE(),IF(N42=Constants!$B$3,FALSE(),TRUE())))</f>
        <v/>
      </c>
      <c r="AP42" s="135" t="str">
        <f aca="false">IF(ISBLANK($C42),"",IF(ISNUMBER(O42),IF(O42&gt;=0,O42,""),""))</f>
        <v/>
      </c>
      <c r="AQ42" s="135" t="str">
        <f aca="false">IF(ISBLANK($C42),"",IF(P42=Constants!$B$2,TRUE(),IF(P42=Constants!$B$3,FALSE(),FALSE())))</f>
        <v/>
      </c>
      <c r="AR42" s="135" t="str">
        <f aca="false">IF(ISBLANK($C42),"",IF(Q42=Constants!$B$2,TRUE(),IF(Q42=Constants!$B$3,FALSE(),TRUE())))</f>
        <v/>
      </c>
      <c r="AS42" s="135" t="str">
        <f aca="false">IF(ISBLANK($C42),"",IF(R42=Constants!$B$2,TRUE(),IF(R42=Constants!$B$3,FALSE(),TRUE())))</f>
        <v/>
      </c>
      <c r="AT42" s="135" t="str">
        <f aca="false">IF(ISBLANK($C42),"",IF(S42=Constants!$B$4,TRUE(),IF(S42=Constants!$B$5,FALSE(),COUNTA(T42:X42)&gt;0)))</f>
        <v/>
      </c>
      <c r="AU42" s="136" t="str">
        <f aca="false">IF(ISBLANK($C42),"",IF(ISNUMBER(T42),IF(T42&gt;=0,T42,""),""))</f>
        <v/>
      </c>
      <c r="AV42" s="137" t="str">
        <f aca="false">IF(ISBLANK($C42),"",IF(ISNUMBER(U42),IF(U42&gt;=0,U42,""),""))</f>
        <v/>
      </c>
      <c r="AW42" s="137" t="str">
        <f aca="false">IF(ISBLANK($C42),"",IF(V42=Constants!$B$2,TRUE(),IF(V42=Constants!$B$3,FALSE(),TRUE())))</f>
        <v/>
      </c>
      <c r="AX42" s="135" t="str">
        <f aca="false">IF(ISBLANK($C42),"",IF(ISNUMBER(W42),IF(W42&gt;=0,W42,""),""))</f>
        <v/>
      </c>
      <c r="AY42" s="135" t="str">
        <f aca="false">IF(ISBLANK($C42),"",IF(X42=Constants!$B$2,TRUE(),IF(X42=Constants!$B$3,FALSE(),FALSE())))</f>
        <v/>
      </c>
      <c r="AZ42" s="135" t="str">
        <f aca="false">IF(ISBLANK($C42),"",MIN(Constants!$B$25,MAX(0,IF(ISNUMBER(Y42),Y42*60,0)+IF(ISNUMBER(Z42),Z42,0))))</f>
        <v/>
      </c>
      <c r="BA42" s="135" t="str">
        <f aca="false">IF(ISBLANK($C42),"",IF(AA42=Constants!$B$2,TRUE(),IF(AA42=Constants!$B$3,FALSE(),FALSE())))</f>
        <v/>
      </c>
      <c r="BB42" s="134" t="str">
        <f aca="false">IF(ISBLANK($C42),"",AND($AL42,OR($AM42="",$AN42="",AND($AO42,$AP42=""))))</f>
        <v/>
      </c>
      <c r="BC42" s="137" t="str">
        <f aca="false">IF($BX42&lt;&gt;Constants!$B$6,"",IF($AL42,Constants!$B$17*$AN42+Constants!$B$18*IF($AO42,$AP42,Constants!$B$19),Constants!$B$20))</f>
        <v/>
      </c>
      <c r="BD42" s="138" t="str">
        <f aca="false">IF($BX42&lt;&gt;Constants!$B$6,"",Constants!$B$21*ABS($AD$9-IF($AL42,$AM42,0)))</f>
        <v/>
      </c>
      <c r="BE42" s="138" t="str">
        <f aca="false">IF($BX42&lt;&gt;Constants!$B$6,"",IF(AND($AL42,$AQ42,$AO42),Constants!$B$22,0))</f>
        <v/>
      </c>
      <c r="BF42" s="138" t="str">
        <f aca="false">IF($BX42&lt;&gt;Constants!$B$6,"",IF($AL42,($AI42-Constants!$B$24)*Constants!$B$23,0))</f>
        <v/>
      </c>
      <c r="BG42" s="138" t="str">
        <f aca="false">IF($BX42&lt;&gt;Constants!$B$6,"",IF($AK42,0,Constants!$B$12)+IF($AJ42,0,Constants!$B$13)+IF($AH42,0,Constants!$B$14))</f>
        <v/>
      </c>
      <c r="BH42" s="139" t="str">
        <f aca="false">IF($BX42&lt;&gt;Constants!$B$6,"",Constants!$B$16+SUM($BC42:$BG42))</f>
        <v/>
      </c>
      <c r="BI42" s="138" t="str">
        <f aca="false">IF($BX42&lt;&gt;Constants!$B$6,"",$BC42)</f>
        <v/>
      </c>
      <c r="BJ42" s="138" t="str">
        <f aca="false">IF($BX42&lt;&gt;Constants!$B$6,"",$BD42)</f>
        <v/>
      </c>
      <c r="BK42" s="140" t="str">
        <f aca="false">IF($BX42&lt;&gt;Constants!$B$6,"",IF($AL42,$AN42,""))</f>
        <v/>
      </c>
      <c r="BL42" s="135" t="str">
        <f aca="false">IF($BX42&lt;&gt;Constants!$B$6,"",IF(OR($BS42&lt;$BH42,AND($BS42=$BH42,OR($BT42&lt;$BI42,AND($BT42=$BI42,OR($BU42&lt;$BJ42,AND($BU42=$BJ42,AND(ISNUMBER($BV42),OR(NOT(ISNUMBER($BK42)),$BV42&lt;$BK42)))))))),"-&gt;","&lt;-"))</f>
        <v/>
      </c>
      <c r="BM42" s="134" t="str">
        <f aca="false">IF(ISBLANK($C42),"",AND($AT42,OR($AU42="",$AV42="",AND($AW42,$AX42=""))))</f>
        <v/>
      </c>
      <c r="BN42" s="137" t="str">
        <f aca="false">IF($BX42&lt;&gt;Constants!$B$6,"",IF($AT42,Constants!$B$17*$AV42+Constants!$B$18*IF($AW42,$AX42,Constants!$B$19),Constants!$B$20))</f>
        <v/>
      </c>
      <c r="BO42" s="138" t="str">
        <f aca="false">IF($BX42&lt;&gt;Constants!$B$6,"",Constants!$B$21*ABS($AD$9-IF($AT42,$AU42,0)))</f>
        <v/>
      </c>
      <c r="BP42" s="138" t="str">
        <f aca="false">IF($BX42&lt;&gt;Constants!$B$6,"",IF(AND($AT42,$AY42,$AW42),Constants!$B$22,0))</f>
        <v/>
      </c>
      <c r="BQ42" s="138" t="str">
        <f aca="false">IF($BX42&lt;&gt;Constants!$B$6,"",IF($AT42,($AI42-Constants!$B$24)*Constants!$B$23,0))</f>
        <v/>
      </c>
      <c r="BR42" s="138" t="str">
        <f aca="false">IF($BX42&lt;&gt;Constants!$B$6,"",IF($AS42,0,Constants!$B$12)+IF($AR42,0,Constants!$B$13)+IF($AH42,0,Constants!$B$14))</f>
        <v/>
      </c>
      <c r="BS42" s="139" t="str">
        <f aca="false">IF($BX42&lt;&gt;Constants!$B$6,"",Constants!$B$16+SUM($BN42:$BR42))</f>
        <v/>
      </c>
      <c r="BT42" s="138" t="str">
        <f aca="false">IF($BX42&lt;&gt;Constants!$B$6,"",$BN42)</f>
        <v/>
      </c>
      <c r="BU42" s="138" t="str">
        <f aca="false">IF($BX42&lt;&gt;Constants!$B$6,"",$BO42)</f>
        <v/>
      </c>
      <c r="BV42" s="140" t="str">
        <f aca="false">IF($BX42&lt;&gt;Constants!$B$6,"",IF($AT42,$AV42,""))</f>
        <v/>
      </c>
      <c r="BW42" s="135" t="str">
        <f aca="false">IF(ISBLANK($C42),"",IF(ISBLANK($D$7),$BW$5,IF(NOT(ISNUMBER($D$7)),$BW$6,"")))</f>
        <v/>
      </c>
      <c r="BX42" s="135" t="str">
        <f aca="false">IF(ISBLANK($C42),"",IF($BA42,Constants!$B$9,IF(COUNTA($E42:$AA42)=0,Constants!$B$8,IF(NOT($AG42),Constants!$B$7,IF(OR($BW42&lt;&gt;"",$BB42,$BM42),Constants!$B$10,Constants!$B$6)))))</f>
        <v/>
      </c>
      <c r="BY42" s="135" t="str">
        <f aca="false">IF(ISBLANK($C42),"",IF($BX42&lt;&gt;Constants!$B$6,$BX42,Constants!$B$11))</f>
        <v/>
      </c>
      <c r="BZ42" s="138" t="str">
        <f aca="false">IF($BX42&lt;&gt;Constants!$B$6,"",IF($BL42="-&gt;",$BS42,$BH42))</f>
        <v/>
      </c>
      <c r="CA42" s="138" t="str">
        <f aca="false">IF($BX42&lt;&gt;Constants!$B$6,"",IF($AF42,0,Constants!$B$15))</f>
        <v/>
      </c>
      <c r="CB42" s="138" t="str">
        <f aca="false">IF($BX42&lt;&gt;Constants!$B$6,"",((Constants!$B$25-$AZ42)-Constants!$B$25)/Constants!$B$26)</f>
        <v/>
      </c>
      <c r="CC42" s="138" t="str">
        <f aca="false">IF(ISBLANK($C42),"",IF($BX42&lt;&gt;Constants!$B$6,$BX42,SUM($BZ42:$CB42)))</f>
        <v/>
      </c>
      <c r="CD42" s="135" t="str">
        <f aca="false">IF(ISBLANK($C42),"",IF($BX42&lt;&gt;Constants!$B$6,$BX42,RANK($CC42,$CC$9:$CC$508,1)))</f>
        <v/>
      </c>
      <c r="CE42" s="138" t="str">
        <f aca="false">IF($BX42&lt;&gt;Constants!$B$6,"",IF($BL42="-&gt;",$BT42,$BI42))</f>
        <v/>
      </c>
      <c r="CF42" s="135" t="str">
        <f aca="false">IF(ISBLANK($C42),"",IF($BX42&lt;&gt;Constants!$B$6,$BX42,IF(ISNUMBER($CE42),RANK($CE42,$CE$9:$CE$508,1),COUNT($CE$9:$CE$508)+1)))</f>
        <v/>
      </c>
      <c r="CG42" s="138" t="str">
        <f aca="false">IF($BX42&lt;&gt;Constants!$B$6,"",IF($BL42="-&gt;",$BU42,$BJ42))</f>
        <v/>
      </c>
      <c r="CH42" s="135" t="str">
        <f aca="false">IF(ISBLANK($C42),"",IF($BX42&lt;&gt;Constants!$B$6,$BX42,IF(ISNUMBER($CG42),RANK($CG42,$CG$9:$CG$508,1),COUNT($CG$9:$CG$508)+1)))</f>
        <v/>
      </c>
      <c r="CI42" s="138" t="str">
        <f aca="false">IF($BX42&lt;&gt;Constants!$B$6,"",IF($BL42="-&gt;",$BV42,$BK42))</f>
        <v/>
      </c>
      <c r="CJ42" s="135" t="str">
        <f aca="false">IF(ISBLANK($C42),"",IF($BX42&lt;&gt;Constants!$B$6,$BX42,IF(ISNUMBER($CI42),RANK($CI42,$CI$9:$CI$508,1),COUNT($CI$9:$CI$508)+1)))</f>
        <v/>
      </c>
      <c r="CK42" s="138" t="str">
        <f aca="false">IF($BX42&lt;&gt;Constants!$B$6,"",$AI42)</f>
        <v/>
      </c>
      <c r="CL42" s="135" t="str">
        <f aca="false">IF(ISBLANK($C42),"",IF($BX42&lt;&gt;Constants!$B$6,$BX42,IF(ISNUMBER($CK42),RANK($CK42,$CK$9:$CK$508,1),COUNT($CK$9:$CK$508)+1)))</f>
        <v/>
      </c>
      <c r="CM42" s="135" t="str">
        <f aca="false">IF(ISBLANK($C42),"",IF($BX42&lt;&gt;Constants!$B$6,$BX42,COUNTIFS($CD$9:$CD$508,"&lt;"&amp;$CD42)+COUNTIFS($CD$9:$CD$508,$CD42,$CF$9:$CF$508,"&lt;"&amp;$CF42)+COUNTIFS($CD$9:$CD$508,$CD42,$CF$9:$CF$508,$CF42,$CH$9:$CH$508,"&lt;"&amp;$CH42)+COUNTIFS($CD$9:$CD$508,$CD42,$CF$9:$CF$508,$CF42,$CH$9:$CH$508,$CH42,$CJ$9:$CJ$508,"&lt;"&amp;$CJ42)+COUNTIFS($CD$9:$CD$508,$CD42,$CF$9:$CF$508,$CF42,$CH$9:$CH$508,$CH42,$CJ$9:$CJ$508,$CJ42,$CL$9:$CL$508,"&lt;"&amp;$CL42)+1))</f>
        <v/>
      </c>
      <c r="CN42" s="135" t="str">
        <f aca="false">IF(ISBLANK($C42),"",IF($BX42&lt;&gt;Constants!$B$6,$BX42,$CD42-$CM42))</f>
        <v/>
      </c>
      <c r="CO42" s="141"/>
      <c r="CP42" s="142"/>
      <c r="CQ42" s="143" t="str">
        <f aca="false">IF(ISBLANK($C42),"",IF($BX42=Constants!$B$10,$BW42,""))</f>
        <v/>
      </c>
      <c r="CR42" s="142" t="str">
        <f aca="false">IF(ISBLANK($C42),"",IF($BX42&lt;&gt;Constants!$B$6,"",IF($BL42="-&gt;",2,1)))</f>
        <v/>
      </c>
      <c r="CS42" s="144" t="str">
        <f aca="false">IF(ISBLANK($C42),"",IF($BX42&lt;&gt;Constants!$B$6,"",IF($BL42="-&gt;",$BN42,$BC42)))</f>
        <v/>
      </c>
      <c r="CT42" s="144" t="str">
        <f aca="false">IF(ISBLANK($C42),"",IF($BX42&lt;&gt;Constants!$B$6,"",IF($BL42="-&gt;",$BO42,$BD42)))</f>
        <v/>
      </c>
      <c r="CU42" s="144" t="str">
        <f aca="false">IF(ISBLANK($C42),"",IF($BX42&lt;&gt;Constants!$B$6,"",IF($BL42="-&gt;",$BP42+$BQ42,$BE42+$BF42)+$CB42))</f>
        <v/>
      </c>
      <c r="CV42" s="144" t="str">
        <f aca="false">IF(ISBLANK($C42),"",IF($BX42&lt;&gt;Constants!$B$6,"",IF($BL42="-&gt;",$BR42,$BG42)+$CA42))</f>
        <v/>
      </c>
      <c r="CW42" s="145" t="str">
        <f aca="false">IF(ISBLANK($C42),"",IF($BX42&lt;&gt;Constants!$B$6,$BX42,$CC42))</f>
        <v/>
      </c>
      <c r="CX42" s="146" t="str">
        <f aca="false">IF(ISBLANK($C42),"",$BY42)</f>
        <v/>
      </c>
      <c r="CY42" s="147" t="str">
        <f aca="false">IF(ISBLANK($C42),"",$CN42)</f>
        <v/>
      </c>
      <c r="CZ42" s="147" t="str">
        <f aca="false">IF(ISBLANK($C42),"",$CM42)</f>
        <v/>
      </c>
      <c r="DA42" s="148" t="str">
        <f aca="false">IF(ISBLANK($C42),"",IFERROR(_xlfn.SWITCH($CZ42,Constants!$B$9,COUNTA($C$9:$C$508)+2,Constants!$B$8,COUNTA($C$9:$C$508)+1,Constants!$B$7,COUNTA($C$9:$C$508)),$CZ42))</f>
        <v/>
      </c>
      <c r="DB42" s="9"/>
      <c r="DC42" s="149" t="n">
        <f aca="false">IF(OR(ISNUMBER($CZ42),$CZ42=Constants!$B$9,$CZ42=Constants!$B$7,$CZ42=Constants!$B$8),1,0)</f>
        <v>0</v>
      </c>
      <c r="DD42" s="149" t="n">
        <v>34</v>
      </c>
      <c r="DE42" s="149" t="str">
        <f aca="false">IF(ISBLANK($C42),"",IF(ISNUMBER($DA42),$DA42+ROW($B42)/1000,""))</f>
        <v/>
      </c>
      <c r="DF42" s="149" t="str">
        <f aca="false">IF(ISNUMBER($DE42),RANK($DE42,$DE$9:$DE$508,1),"")</f>
        <v/>
      </c>
      <c r="DG42" s="149" t="str">
        <f aca="false">IF(ISBLANK($C42),"",$B42)</f>
        <v/>
      </c>
      <c r="DH42" s="149" t="str">
        <f aca="false">IF(ISBLANK($C42),"",$C42)</f>
        <v/>
      </c>
      <c r="DI42" s="149" t="str">
        <f aca="false">IF(ISBLANK($C42),"",$D42)</f>
        <v/>
      </c>
      <c r="DJ42" s="150" t="str">
        <f aca="false">$CX42</f>
        <v/>
      </c>
      <c r="DK42" s="151" t="str">
        <f aca="false">$CW42</f>
        <v/>
      </c>
      <c r="DL42" s="149" t="str">
        <f aca="false">IF(ISBLANK($C42),"",$CZ42)</f>
        <v/>
      </c>
      <c r="DM42" s="152" t="str">
        <f aca="false">IF($DD42&gt;$DC$8,"",VLOOKUP($DD42,$DF$9:$DL$508,7,FALSE()))</f>
        <v/>
      </c>
      <c r="DN42" s="153" t="str">
        <f aca="false">IF($DD42&gt;$DC$8,"",VLOOKUP($DD42,$DF$9:$DL$508,2,FALSE()))</f>
        <v/>
      </c>
      <c r="DO42" s="153" t="str">
        <f aca="false">IF($DD42&gt;$DC$8,"",VLOOKUP($DD42,$DF$9:$DL$508,3,FALSE()))</f>
        <v/>
      </c>
      <c r="DP42" s="153" t="str">
        <f aca="false">IF($DD42&gt;$DC$8,"",VLOOKUP($DD42,$DF$9:$DL$508,4,FALSE()))</f>
        <v/>
      </c>
      <c r="DQ42" s="153" t="str">
        <f aca="false">IF($DD42&gt;$DC$8,"",VLOOKUP($DD42,$DF$9:$DL$508,5,FALSE()))</f>
        <v/>
      </c>
      <c r="DR42" s="154" t="str">
        <f aca="false">IF($DD42&gt;$DC$8,"",VLOOKUP($DD42,$DF$9:$DL$508,6,FALSE()))</f>
        <v/>
      </c>
      <c r="DS42" s="76"/>
    </row>
    <row r="43" customFormat="false" ht="15.75" hidden="false" customHeight="false" outlineLevel="0" collapsed="false">
      <c r="A43" s="9"/>
      <c r="B43" s="160"/>
      <c r="C43" s="161"/>
      <c r="D43" s="162"/>
      <c r="E43" s="180"/>
      <c r="F43" s="164"/>
      <c r="G43" s="165"/>
      <c r="H43" s="165"/>
      <c r="I43" s="181"/>
      <c r="J43" s="168"/>
      <c r="K43" s="128"/>
      <c r="L43" s="129"/>
      <c r="M43" s="130"/>
      <c r="N43" s="168"/>
      <c r="O43" s="168"/>
      <c r="P43" s="180"/>
      <c r="Q43" s="168"/>
      <c r="R43" s="168"/>
      <c r="S43" s="128"/>
      <c r="T43" s="130"/>
      <c r="U43" s="130"/>
      <c r="V43" s="168"/>
      <c r="W43" s="168"/>
      <c r="X43" s="180"/>
      <c r="Y43" s="168"/>
      <c r="Z43" s="169"/>
      <c r="AA43" s="168"/>
      <c r="AB43" s="134"/>
      <c r="AC43" s="135"/>
      <c r="AD43" s="135"/>
      <c r="AE43" s="135"/>
      <c r="AF43" s="135" t="str">
        <f aca="false">IF(ISBLANK($C43),"",IF(E43=Constants!$B$2,TRUE(),IF(E43=Constants!$B$3,FALSE(),TRUE())))</f>
        <v/>
      </c>
      <c r="AG43" s="135" t="str">
        <f aca="false">IF(ISBLANK($C43),"",IF(F43=Constants!$B$2,TRUE(),IF(F43=Constants!$B$3,FALSE(),TRUE())))</f>
        <v/>
      </c>
      <c r="AH43" s="135" t="str">
        <f aca="false">IF(ISBLANK($C43),"",IF(G43=Constants!$B$2,TRUE(),IF(G43=Constants!$B$3,FALSE(),TRUE())))</f>
        <v/>
      </c>
      <c r="AI43" s="135" t="str">
        <f aca="false">IF(ISBLANK($C43),"",IF(AND(ISNUMBER(H43),H43&gt;=0),H43,Constants!$B$24))</f>
        <v/>
      </c>
      <c r="AJ43" s="135" t="str">
        <f aca="false">IF(ISBLANK($C43),"",IF(I43=Constants!$B$2,TRUE(),IF(I43=Constants!$B$3,FALSE(),TRUE())))</f>
        <v/>
      </c>
      <c r="AK43" s="135" t="str">
        <f aca="false">IF(ISBLANK($C43),"",IF(J43=Constants!$B$2,TRUE(),IF(J43=Constants!$B$3,FALSE(),TRUE())))</f>
        <v/>
      </c>
      <c r="AL43" s="135" t="str">
        <f aca="false">IF(ISBLANK($C43),"",IF(K43=Constants!$B$4,TRUE(),IF(K43=Constants!$B$5,FALSE(),COUNTA(L43:P43)&gt;0)))</f>
        <v/>
      </c>
      <c r="AM43" s="136" t="str">
        <f aca="false">IF(ISBLANK($C43),"",IF(ISNUMBER(L43),IF(L43&gt;=0,L43,""),""))</f>
        <v/>
      </c>
      <c r="AN43" s="137" t="str">
        <f aca="false">IF(ISBLANK($C43),"",IF(ISNUMBER(M43),IF(M43&gt;=0,M43,""),""))</f>
        <v/>
      </c>
      <c r="AO43" s="137" t="str">
        <f aca="false">IF(ISBLANK($C43),"",IF(N43=Constants!$B$2,TRUE(),IF(N43=Constants!$B$3,FALSE(),TRUE())))</f>
        <v/>
      </c>
      <c r="AP43" s="135" t="str">
        <f aca="false">IF(ISBLANK($C43),"",IF(ISNUMBER(O43),IF(O43&gt;=0,O43,""),""))</f>
        <v/>
      </c>
      <c r="AQ43" s="135" t="str">
        <f aca="false">IF(ISBLANK($C43),"",IF(P43=Constants!$B$2,TRUE(),IF(P43=Constants!$B$3,FALSE(),FALSE())))</f>
        <v/>
      </c>
      <c r="AR43" s="135" t="str">
        <f aca="false">IF(ISBLANK($C43),"",IF(Q43=Constants!$B$2,TRUE(),IF(Q43=Constants!$B$3,FALSE(),TRUE())))</f>
        <v/>
      </c>
      <c r="AS43" s="135" t="str">
        <f aca="false">IF(ISBLANK($C43),"",IF(R43=Constants!$B$2,TRUE(),IF(R43=Constants!$B$3,FALSE(),TRUE())))</f>
        <v/>
      </c>
      <c r="AT43" s="135" t="str">
        <f aca="false">IF(ISBLANK($C43),"",IF(S43=Constants!$B$4,TRUE(),IF(S43=Constants!$B$5,FALSE(),COUNTA(T43:X43)&gt;0)))</f>
        <v/>
      </c>
      <c r="AU43" s="136" t="str">
        <f aca="false">IF(ISBLANK($C43),"",IF(ISNUMBER(T43),IF(T43&gt;=0,T43,""),""))</f>
        <v/>
      </c>
      <c r="AV43" s="137" t="str">
        <f aca="false">IF(ISBLANK($C43),"",IF(ISNUMBER(U43),IF(U43&gt;=0,U43,""),""))</f>
        <v/>
      </c>
      <c r="AW43" s="137" t="str">
        <f aca="false">IF(ISBLANK($C43),"",IF(V43=Constants!$B$2,TRUE(),IF(V43=Constants!$B$3,FALSE(),TRUE())))</f>
        <v/>
      </c>
      <c r="AX43" s="135" t="str">
        <f aca="false">IF(ISBLANK($C43),"",IF(ISNUMBER(W43),IF(W43&gt;=0,W43,""),""))</f>
        <v/>
      </c>
      <c r="AY43" s="135" t="str">
        <f aca="false">IF(ISBLANK($C43),"",IF(X43=Constants!$B$2,TRUE(),IF(X43=Constants!$B$3,FALSE(),FALSE())))</f>
        <v/>
      </c>
      <c r="AZ43" s="135" t="str">
        <f aca="false">IF(ISBLANK($C43),"",MIN(Constants!$B$25,MAX(0,IF(ISNUMBER(Y43),Y43*60,0)+IF(ISNUMBER(Z43),Z43,0))))</f>
        <v/>
      </c>
      <c r="BA43" s="135" t="str">
        <f aca="false">IF(ISBLANK($C43),"",IF(AA43=Constants!$B$2,TRUE(),IF(AA43=Constants!$B$3,FALSE(),FALSE())))</f>
        <v/>
      </c>
      <c r="BB43" s="134" t="str">
        <f aca="false">IF(ISBLANK($C43),"",AND($AL43,OR($AM43="",$AN43="",AND($AO43,$AP43=""))))</f>
        <v/>
      </c>
      <c r="BC43" s="137" t="str">
        <f aca="false">IF($BX43&lt;&gt;Constants!$B$6,"",IF($AL43,Constants!$B$17*$AN43+Constants!$B$18*IF($AO43,$AP43,Constants!$B$19),Constants!$B$20))</f>
        <v/>
      </c>
      <c r="BD43" s="138" t="str">
        <f aca="false">IF($BX43&lt;&gt;Constants!$B$6,"",Constants!$B$21*ABS($AD$9-IF($AL43,$AM43,0)))</f>
        <v/>
      </c>
      <c r="BE43" s="138" t="str">
        <f aca="false">IF($BX43&lt;&gt;Constants!$B$6,"",IF(AND($AL43,$AQ43,$AO43),Constants!$B$22,0))</f>
        <v/>
      </c>
      <c r="BF43" s="138" t="str">
        <f aca="false">IF($BX43&lt;&gt;Constants!$B$6,"",IF($AL43,($AI43-Constants!$B$24)*Constants!$B$23,0))</f>
        <v/>
      </c>
      <c r="BG43" s="138" t="str">
        <f aca="false">IF($BX43&lt;&gt;Constants!$B$6,"",IF($AK43,0,Constants!$B$12)+IF($AJ43,0,Constants!$B$13)+IF($AH43,0,Constants!$B$14))</f>
        <v/>
      </c>
      <c r="BH43" s="139" t="str">
        <f aca="false">IF($BX43&lt;&gt;Constants!$B$6,"",Constants!$B$16+SUM($BC43:$BG43))</f>
        <v/>
      </c>
      <c r="BI43" s="138" t="str">
        <f aca="false">IF($BX43&lt;&gt;Constants!$B$6,"",$BC43)</f>
        <v/>
      </c>
      <c r="BJ43" s="138" t="str">
        <f aca="false">IF($BX43&lt;&gt;Constants!$B$6,"",$BD43)</f>
        <v/>
      </c>
      <c r="BK43" s="140" t="str">
        <f aca="false">IF($BX43&lt;&gt;Constants!$B$6,"",IF($AL43,$AN43,""))</f>
        <v/>
      </c>
      <c r="BL43" s="135" t="str">
        <f aca="false">IF($BX43&lt;&gt;Constants!$B$6,"",IF(OR($BS43&lt;$BH43,AND($BS43=$BH43,OR($BT43&lt;$BI43,AND($BT43=$BI43,OR($BU43&lt;$BJ43,AND($BU43=$BJ43,AND(ISNUMBER($BV43),OR(NOT(ISNUMBER($BK43)),$BV43&lt;$BK43)))))))),"-&gt;","&lt;-"))</f>
        <v/>
      </c>
      <c r="BM43" s="134" t="str">
        <f aca="false">IF(ISBLANK($C43),"",AND($AT43,OR($AU43="",$AV43="",AND($AW43,$AX43=""))))</f>
        <v/>
      </c>
      <c r="BN43" s="137" t="str">
        <f aca="false">IF($BX43&lt;&gt;Constants!$B$6,"",IF($AT43,Constants!$B$17*$AV43+Constants!$B$18*IF($AW43,$AX43,Constants!$B$19),Constants!$B$20))</f>
        <v/>
      </c>
      <c r="BO43" s="138" t="str">
        <f aca="false">IF($BX43&lt;&gt;Constants!$B$6,"",Constants!$B$21*ABS($AD$9-IF($AT43,$AU43,0)))</f>
        <v/>
      </c>
      <c r="BP43" s="138" t="str">
        <f aca="false">IF($BX43&lt;&gt;Constants!$B$6,"",IF(AND($AT43,$AY43,$AW43),Constants!$B$22,0))</f>
        <v/>
      </c>
      <c r="BQ43" s="138" t="str">
        <f aca="false">IF($BX43&lt;&gt;Constants!$B$6,"",IF($AT43,($AI43-Constants!$B$24)*Constants!$B$23,0))</f>
        <v/>
      </c>
      <c r="BR43" s="138" t="str">
        <f aca="false">IF($BX43&lt;&gt;Constants!$B$6,"",IF($AS43,0,Constants!$B$12)+IF($AR43,0,Constants!$B$13)+IF($AH43,0,Constants!$B$14))</f>
        <v/>
      </c>
      <c r="BS43" s="139" t="str">
        <f aca="false">IF($BX43&lt;&gt;Constants!$B$6,"",Constants!$B$16+SUM($BN43:$BR43))</f>
        <v/>
      </c>
      <c r="BT43" s="138" t="str">
        <f aca="false">IF($BX43&lt;&gt;Constants!$B$6,"",$BN43)</f>
        <v/>
      </c>
      <c r="BU43" s="138" t="str">
        <f aca="false">IF($BX43&lt;&gt;Constants!$B$6,"",$BO43)</f>
        <v/>
      </c>
      <c r="BV43" s="140" t="str">
        <f aca="false">IF($BX43&lt;&gt;Constants!$B$6,"",IF($AT43,$AV43,""))</f>
        <v/>
      </c>
      <c r="BW43" s="135" t="str">
        <f aca="false">IF(ISBLANK($C43),"",IF(ISBLANK($D$7),$BW$5,IF(NOT(ISNUMBER($D$7)),$BW$6,"")))</f>
        <v/>
      </c>
      <c r="BX43" s="135" t="str">
        <f aca="false">IF(ISBLANK($C43),"",IF($BA43,Constants!$B$9,IF(COUNTA($E43:$AA43)=0,Constants!$B$8,IF(NOT($AG43),Constants!$B$7,IF(OR($BW43&lt;&gt;"",$BB43,$BM43),Constants!$B$10,Constants!$B$6)))))</f>
        <v/>
      </c>
      <c r="BY43" s="135" t="str">
        <f aca="false">IF(ISBLANK($C43),"",IF($BX43&lt;&gt;Constants!$B$6,$BX43,Constants!$B$11))</f>
        <v/>
      </c>
      <c r="BZ43" s="138" t="str">
        <f aca="false">IF($BX43&lt;&gt;Constants!$B$6,"",IF($BL43="-&gt;",$BS43,$BH43))</f>
        <v/>
      </c>
      <c r="CA43" s="138" t="str">
        <f aca="false">IF($BX43&lt;&gt;Constants!$B$6,"",IF($AF43,0,Constants!$B$15))</f>
        <v/>
      </c>
      <c r="CB43" s="138" t="str">
        <f aca="false">IF($BX43&lt;&gt;Constants!$B$6,"",((Constants!$B$25-$AZ43)-Constants!$B$25)/Constants!$B$26)</f>
        <v/>
      </c>
      <c r="CC43" s="138" t="str">
        <f aca="false">IF(ISBLANK($C43),"",IF($BX43&lt;&gt;Constants!$B$6,$BX43,SUM($BZ43:$CB43)))</f>
        <v/>
      </c>
      <c r="CD43" s="135" t="str">
        <f aca="false">IF(ISBLANK($C43),"",IF($BX43&lt;&gt;Constants!$B$6,$BX43,RANK($CC43,$CC$9:$CC$508,1)))</f>
        <v/>
      </c>
      <c r="CE43" s="138" t="str">
        <f aca="false">IF($BX43&lt;&gt;Constants!$B$6,"",IF($BL43="-&gt;",$BT43,$BI43))</f>
        <v/>
      </c>
      <c r="CF43" s="135" t="str">
        <f aca="false">IF(ISBLANK($C43),"",IF($BX43&lt;&gt;Constants!$B$6,$BX43,IF(ISNUMBER($CE43),RANK($CE43,$CE$9:$CE$508,1),COUNT($CE$9:$CE$508)+1)))</f>
        <v/>
      </c>
      <c r="CG43" s="138" t="str">
        <f aca="false">IF($BX43&lt;&gt;Constants!$B$6,"",IF($BL43="-&gt;",$BU43,$BJ43))</f>
        <v/>
      </c>
      <c r="CH43" s="135" t="str">
        <f aca="false">IF(ISBLANK($C43),"",IF($BX43&lt;&gt;Constants!$B$6,$BX43,IF(ISNUMBER($CG43),RANK($CG43,$CG$9:$CG$508,1),COUNT($CG$9:$CG$508)+1)))</f>
        <v/>
      </c>
      <c r="CI43" s="138" t="str">
        <f aca="false">IF($BX43&lt;&gt;Constants!$B$6,"",IF($BL43="-&gt;",$BV43,$BK43))</f>
        <v/>
      </c>
      <c r="CJ43" s="135" t="str">
        <f aca="false">IF(ISBLANK($C43),"",IF($BX43&lt;&gt;Constants!$B$6,$BX43,IF(ISNUMBER($CI43),RANK($CI43,$CI$9:$CI$508,1),COUNT($CI$9:$CI$508)+1)))</f>
        <v/>
      </c>
      <c r="CK43" s="138" t="str">
        <f aca="false">IF($BX43&lt;&gt;Constants!$B$6,"",$AI43)</f>
        <v/>
      </c>
      <c r="CL43" s="135" t="str">
        <f aca="false">IF(ISBLANK($C43),"",IF($BX43&lt;&gt;Constants!$B$6,$BX43,IF(ISNUMBER($CK43),RANK($CK43,$CK$9:$CK$508,1),COUNT($CK$9:$CK$508)+1)))</f>
        <v/>
      </c>
      <c r="CM43" s="135" t="str">
        <f aca="false">IF(ISBLANK($C43),"",IF($BX43&lt;&gt;Constants!$B$6,$BX43,COUNTIFS($CD$9:$CD$508,"&lt;"&amp;$CD43)+COUNTIFS($CD$9:$CD$508,$CD43,$CF$9:$CF$508,"&lt;"&amp;$CF43)+COUNTIFS($CD$9:$CD$508,$CD43,$CF$9:$CF$508,$CF43,$CH$9:$CH$508,"&lt;"&amp;$CH43)+COUNTIFS($CD$9:$CD$508,$CD43,$CF$9:$CF$508,$CF43,$CH$9:$CH$508,$CH43,$CJ$9:$CJ$508,"&lt;"&amp;$CJ43)+COUNTIFS($CD$9:$CD$508,$CD43,$CF$9:$CF$508,$CF43,$CH$9:$CH$508,$CH43,$CJ$9:$CJ$508,$CJ43,$CL$9:$CL$508,"&lt;"&amp;$CL43)+1))</f>
        <v/>
      </c>
      <c r="CN43" s="135" t="str">
        <f aca="false">IF(ISBLANK($C43),"",IF($BX43&lt;&gt;Constants!$B$6,$BX43,$CD43-$CM43))</f>
        <v/>
      </c>
      <c r="CO43" s="141"/>
      <c r="CP43" s="142"/>
      <c r="CQ43" s="143" t="str">
        <f aca="false">IF(ISBLANK($C43),"",IF($BX43=Constants!$B$10,$BW43,""))</f>
        <v/>
      </c>
      <c r="CR43" s="142" t="str">
        <f aca="false">IF(ISBLANK($C43),"",IF($BX43&lt;&gt;Constants!$B$6,"",IF($BL43="-&gt;",2,1)))</f>
        <v/>
      </c>
      <c r="CS43" s="144" t="str">
        <f aca="false">IF(ISBLANK($C43),"",IF($BX43&lt;&gt;Constants!$B$6,"",IF($BL43="-&gt;",$BN43,$BC43)))</f>
        <v/>
      </c>
      <c r="CT43" s="144" t="str">
        <f aca="false">IF(ISBLANK($C43),"",IF($BX43&lt;&gt;Constants!$B$6,"",IF($BL43="-&gt;",$BO43,$BD43)))</f>
        <v/>
      </c>
      <c r="CU43" s="144" t="str">
        <f aca="false">IF(ISBLANK($C43),"",IF($BX43&lt;&gt;Constants!$B$6,"",IF($BL43="-&gt;",$BP43+$BQ43,$BE43+$BF43)+$CB43))</f>
        <v/>
      </c>
      <c r="CV43" s="144" t="str">
        <f aca="false">IF(ISBLANK($C43),"",IF($BX43&lt;&gt;Constants!$B$6,"",IF($BL43="-&gt;",$BR43,$BG43)+$CA43))</f>
        <v/>
      </c>
      <c r="CW43" s="145" t="str">
        <f aca="false">IF(ISBLANK($C43),"",IF($BX43&lt;&gt;Constants!$B$6,$BX43,$CC43))</f>
        <v/>
      </c>
      <c r="CX43" s="146" t="str">
        <f aca="false">IF(ISBLANK($C43),"",$BY43)</f>
        <v/>
      </c>
      <c r="CY43" s="147" t="str">
        <f aca="false">IF(ISBLANK($C43),"",$CN43)</f>
        <v/>
      </c>
      <c r="CZ43" s="147" t="str">
        <f aca="false">IF(ISBLANK($C43),"",$CM43)</f>
        <v/>
      </c>
      <c r="DA43" s="148" t="str">
        <f aca="false">IF(ISBLANK($C43),"",IFERROR(_xlfn.SWITCH($CZ43,Constants!$B$9,COUNTA($C$9:$C$508)+2,Constants!$B$8,COUNTA($C$9:$C$508)+1,Constants!$B$7,COUNTA($C$9:$C$508)),$CZ43))</f>
        <v/>
      </c>
      <c r="DB43" s="9"/>
      <c r="DC43" s="149" t="n">
        <f aca="false">IF(OR(ISNUMBER($CZ43),$CZ43=Constants!$B$9,$CZ43=Constants!$B$7,$CZ43=Constants!$B$8),1,0)</f>
        <v>0</v>
      </c>
      <c r="DD43" s="149" t="n">
        <v>35</v>
      </c>
      <c r="DE43" s="149" t="str">
        <f aca="false">IF(ISBLANK($C43),"",IF(ISNUMBER($DA43),$DA43+ROW($B43)/1000,""))</f>
        <v/>
      </c>
      <c r="DF43" s="149" t="str">
        <f aca="false">IF(ISNUMBER($DE43),RANK($DE43,$DE$9:$DE$508,1),"")</f>
        <v/>
      </c>
      <c r="DG43" s="149" t="str">
        <f aca="false">IF(ISBLANK($C43),"",$B43)</f>
        <v/>
      </c>
      <c r="DH43" s="149" t="str">
        <f aca="false">IF(ISBLANK($C43),"",$C43)</f>
        <v/>
      </c>
      <c r="DI43" s="149" t="str">
        <f aca="false">IF(ISBLANK($C43),"",$D43)</f>
        <v/>
      </c>
      <c r="DJ43" s="150" t="str">
        <f aca="false">$CX43</f>
        <v/>
      </c>
      <c r="DK43" s="151" t="str">
        <f aca="false">$CW43</f>
        <v/>
      </c>
      <c r="DL43" s="149" t="str">
        <f aca="false">IF(ISBLANK($C43),"",$CZ43)</f>
        <v/>
      </c>
      <c r="DM43" s="152" t="str">
        <f aca="false">IF($DD43&gt;$DC$8,"",VLOOKUP($DD43,$DF$9:$DL$508,7,FALSE()))</f>
        <v/>
      </c>
      <c r="DN43" s="153" t="str">
        <f aca="false">IF($DD43&gt;$DC$8,"",VLOOKUP($DD43,$DF$9:$DL$508,2,FALSE()))</f>
        <v/>
      </c>
      <c r="DO43" s="153" t="str">
        <f aca="false">IF($DD43&gt;$DC$8,"",VLOOKUP($DD43,$DF$9:$DL$508,3,FALSE()))</f>
        <v/>
      </c>
      <c r="DP43" s="153" t="str">
        <f aca="false">IF($DD43&gt;$DC$8,"",VLOOKUP($DD43,$DF$9:$DL$508,4,FALSE()))</f>
        <v/>
      </c>
      <c r="DQ43" s="153" t="str">
        <f aca="false">IF($DD43&gt;$DC$8,"",VLOOKUP($DD43,$DF$9:$DL$508,5,FALSE()))</f>
        <v/>
      </c>
      <c r="DR43" s="154" t="str">
        <f aca="false">IF($DD43&gt;$DC$8,"",VLOOKUP($DD43,$DF$9:$DL$508,6,FALSE()))</f>
        <v/>
      </c>
      <c r="DS43" s="76"/>
    </row>
    <row r="44" customFormat="false" ht="15.75" hidden="false" customHeight="false" outlineLevel="0" collapsed="false">
      <c r="A44" s="9"/>
      <c r="B44" s="160"/>
      <c r="C44" s="161"/>
      <c r="D44" s="162"/>
      <c r="E44" s="180"/>
      <c r="F44" s="164"/>
      <c r="G44" s="165"/>
      <c r="H44" s="165"/>
      <c r="I44" s="181"/>
      <c r="J44" s="168"/>
      <c r="K44" s="128"/>
      <c r="L44" s="129"/>
      <c r="M44" s="130"/>
      <c r="N44" s="168"/>
      <c r="O44" s="168"/>
      <c r="P44" s="180"/>
      <c r="Q44" s="168"/>
      <c r="R44" s="168"/>
      <c r="S44" s="128"/>
      <c r="T44" s="130"/>
      <c r="U44" s="130"/>
      <c r="V44" s="168"/>
      <c r="W44" s="168"/>
      <c r="X44" s="180"/>
      <c r="Y44" s="168"/>
      <c r="Z44" s="169"/>
      <c r="AA44" s="168"/>
      <c r="AB44" s="134"/>
      <c r="AC44" s="135"/>
      <c r="AD44" s="135"/>
      <c r="AE44" s="135"/>
      <c r="AF44" s="135" t="str">
        <f aca="false">IF(ISBLANK($C44),"",IF(E44=Constants!$B$2,TRUE(),IF(E44=Constants!$B$3,FALSE(),TRUE())))</f>
        <v/>
      </c>
      <c r="AG44" s="135" t="str">
        <f aca="false">IF(ISBLANK($C44),"",IF(F44=Constants!$B$2,TRUE(),IF(F44=Constants!$B$3,FALSE(),TRUE())))</f>
        <v/>
      </c>
      <c r="AH44" s="135" t="str">
        <f aca="false">IF(ISBLANK($C44),"",IF(G44=Constants!$B$2,TRUE(),IF(G44=Constants!$B$3,FALSE(),TRUE())))</f>
        <v/>
      </c>
      <c r="AI44" s="135" t="str">
        <f aca="false">IF(ISBLANK($C44),"",IF(AND(ISNUMBER(H44),H44&gt;=0),H44,Constants!$B$24))</f>
        <v/>
      </c>
      <c r="AJ44" s="135" t="str">
        <f aca="false">IF(ISBLANK($C44),"",IF(I44=Constants!$B$2,TRUE(),IF(I44=Constants!$B$3,FALSE(),TRUE())))</f>
        <v/>
      </c>
      <c r="AK44" s="135" t="str">
        <f aca="false">IF(ISBLANK($C44),"",IF(J44=Constants!$B$2,TRUE(),IF(J44=Constants!$B$3,FALSE(),TRUE())))</f>
        <v/>
      </c>
      <c r="AL44" s="135" t="str">
        <f aca="false">IF(ISBLANK($C44),"",IF(K44=Constants!$B$4,TRUE(),IF(K44=Constants!$B$5,FALSE(),COUNTA(L44:P44)&gt;0)))</f>
        <v/>
      </c>
      <c r="AM44" s="136" t="str">
        <f aca="false">IF(ISBLANK($C44),"",IF(ISNUMBER(L44),IF(L44&gt;=0,L44,""),""))</f>
        <v/>
      </c>
      <c r="AN44" s="137" t="str">
        <f aca="false">IF(ISBLANK($C44),"",IF(ISNUMBER(M44),IF(M44&gt;=0,M44,""),""))</f>
        <v/>
      </c>
      <c r="AO44" s="137" t="str">
        <f aca="false">IF(ISBLANK($C44),"",IF(N44=Constants!$B$2,TRUE(),IF(N44=Constants!$B$3,FALSE(),TRUE())))</f>
        <v/>
      </c>
      <c r="AP44" s="135" t="str">
        <f aca="false">IF(ISBLANK($C44),"",IF(ISNUMBER(O44),IF(O44&gt;=0,O44,""),""))</f>
        <v/>
      </c>
      <c r="AQ44" s="135" t="str">
        <f aca="false">IF(ISBLANK($C44),"",IF(P44=Constants!$B$2,TRUE(),IF(P44=Constants!$B$3,FALSE(),FALSE())))</f>
        <v/>
      </c>
      <c r="AR44" s="135" t="str">
        <f aca="false">IF(ISBLANK($C44),"",IF(Q44=Constants!$B$2,TRUE(),IF(Q44=Constants!$B$3,FALSE(),TRUE())))</f>
        <v/>
      </c>
      <c r="AS44" s="135" t="str">
        <f aca="false">IF(ISBLANK($C44),"",IF(R44=Constants!$B$2,TRUE(),IF(R44=Constants!$B$3,FALSE(),TRUE())))</f>
        <v/>
      </c>
      <c r="AT44" s="135" t="str">
        <f aca="false">IF(ISBLANK($C44),"",IF(S44=Constants!$B$4,TRUE(),IF(S44=Constants!$B$5,FALSE(),COUNTA(T44:X44)&gt;0)))</f>
        <v/>
      </c>
      <c r="AU44" s="136" t="str">
        <f aca="false">IF(ISBLANK($C44),"",IF(ISNUMBER(T44),IF(T44&gt;=0,T44,""),""))</f>
        <v/>
      </c>
      <c r="AV44" s="137" t="str">
        <f aca="false">IF(ISBLANK($C44),"",IF(ISNUMBER(U44),IF(U44&gt;=0,U44,""),""))</f>
        <v/>
      </c>
      <c r="AW44" s="137" t="str">
        <f aca="false">IF(ISBLANK($C44),"",IF(V44=Constants!$B$2,TRUE(),IF(V44=Constants!$B$3,FALSE(),TRUE())))</f>
        <v/>
      </c>
      <c r="AX44" s="135" t="str">
        <f aca="false">IF(ISBLANK($C44),"",IF(ISNUMBER(W44),IF(W44&gt;=0,W44,""),""))</f>
        <v/>
      </c>
      <c r="AY44" s="135" t="str">
        <f aca="false">IF(ISBLANK($C44),"",IF(X44=Constants!$B$2,TRUE(),IF(X44=Constants!$B$3,FALSE(),FALSE())))</f>
        <v/>
      </c>
      <c r="AZ44" s="135" t="str">
        <f aca="false">IF(ISBLANK($C44),"",MIN(Constants!$B$25,MAX(0,IF(ISNUMBER(Y44),Y44*60,0)+IF(ISNUMBER(Z44),Z44,0))))</f>
        <v/>
      </c>
      <c r="BA44" s="135" t="str">
        <f aca="false">IF(ISBLANK($C44),"",IF(AA44=Constants!$B$2,TRUE(),IF(AA44=Constants!$B$3,FALSE(),FALSE())))</f>
        <v/>
      </c>
      <c r="BB44" s="134" t="str">
        <f aca="false">IF(ISBLANK($C44),"",AND($AL44,OR($AM44="",$AN44="",AND($AO44,$AP44=""))))</f>
        <v/>
      </c>
      <c r="BC44" s="137" t="str">
        <f aca="false">IF($BX44&lt;&gt;Constants!$B$6,"",IF($AL44,Constants!$B$17*$AN44+Constants!$B$18*IF($AO44,$AP44,Constants!$B$19),Constants!$B$20))</f>
        <v/>
      </c>
      <c r="BD44" s="138" t="str">
        <f aca="false">IF($BX44&lt;&gt;Constants!$B$6,"",Constants!$B$21*ABS($AD$9-IF($AL44,$AM44,0)))</f>
        <v/>
      </c>
      <c r="BE44" s="138" t="str">
        <f aca="false">IF($BX44&lt;&gt;Constants!$B$6,"",IF(AND($AL44,$AQ44,$AO44),Constants!$B$22,0))</f>
        <v/>
      </c>
      <c r="BF44" s="138" t="str">
        <f aca="false">IF($BX44&lt;&gt;Constants!$B$6,"",IF($AL44,($AI44-Constants!$B$24)*Constants!$B$23,0))</f>
        <v/>
      </c>
      <c r="BG44" s="138" t="str">
        <f aca="false">IF($BX44&lt;&gt;Constants!$B$6,"",IF($AK44,0,Constants!$B$12)+IF($AJ44,0,Constants!$B$13)+IF($AH44,0,Constants!$B$14))</f>
        <v/>
      </c>
      <c r="BH44" s="139" t="str">
        <f aca="false">IF($BX44&lt;&gt;Constants!$B$6,"",Constants!$B$16+SUM($BC44:$BG44))</f>
        <v/>
      </c>
      <c r="BI44" s="138" t="str">
        <f aca="false">IF($BX44&lt;&gt;Constants!$B$6,"",$BC44)</f>
        <v/>
      </c>
      <c r="BJ44" s="138" t="str">
        <f aca="false">IF($BX44&lt;&gt;Constants!$B$6,"",$BD44)</f>
        <v/>
      </c>
      <c r="BK44" s="140" t="str">
        <f aca="false">IF($BX44&lt;&gt;Constants!$B$6,"",IF($AL44,$AN44,""))</f>
        <v/>
      </c>
      <c r="BL44" s="135" t="str">
        <f aca="false">IF($BX44&lt;&gt;Constants!$B$6,"",IF(OR($BS44&lt;$BH44,AND($BS44=$BH44,OR($BT44&lt;$BI44,AND($BT44=$BI44,OR($BU44&lt;$BJ44,AND($BU44=$BJ44,AND(ISNUMBER($BV44),OR(NOT(ISNUMBER($BK44)),$BV44&lt;$BK44)))))))),"-&gt;","&lt;-"))</f>
        <v/>
      </c>
      <c r="BM44" s="134" t="str">
        <f aca="false">IF(ISBLANK($C44),"",AND($AT44,OR($AU44="",$AV44="",AND($AW44,$AX44=""))))</f>
        <v/>
      </c>
      <c r="BN44" s="137" t="str">
        <f aca="false">IF($BX44&lt;&gt;Constants!$B$6,"",IF($AT44,Constants!$B$17*$AV44+Constants!$B$18*IF($AW44,$AX44,Constants!$B$19),Constants!$B$20))</f>
        <v/>
      </c>
      <c r="BO44" s="138" t="str">
        <f aca="false">IF($BX44&lt;&gt;Constants!$B$6,"",Constants!$B$21*ABS($AD$9-IF($AT44,$AU44,0)))</f>
        <v/>
      </c>
      <c r="BP44" s="138" t="str">
        <f aca="false">IF($BX44&lt;&gt;Constants!$B$6,"",IF(AND($AT44,$AY44,$AW44),Constants!$B$22,0))</f>
        <v/>
      </c>
      <c r="BQ44" s="138" t="str">
        <f aca="false">IF($BX44&lt;&gt;Constants!$B$6,"",IF($AT44,($AI44-Constants!$B$24)*Constants!$B$23,0))</f>
        <v/>
      </c>
      <c r="BR44" s="138" t="str">
        <f aca="false">IF($BX44&lt;&gt;Constants!$B$6,"",IF($AS44,0,Constants!$B$12)+IF($AR44,0,Constants!$B$13)+IF($AH44,0,Constants!$B$14))</f>
        <v/>
      </c>
      <c r="BS44" s="139" t="str">
        <f aca="false">IF($BX44&lt;&gt;Constants!$B$6,"",Constants!$B$16+SUM($BN44:$BR44))</f>
        <v/>
      </c>
      <c r="BT44" s="138" t="str">
        <f aca="false">IF($BX44&lt;&gt;Constants!$B$6,"",$BN44)</f>
        <v/>
      </c>
      <c r="BU44" s="138" t="str">
        <f aca="false">IF($BX44&lt;&gt;Constants!$B$6,"",$BO44)</f>
        <v/>
      </c>
      <c r="BV44" s="140" t="str">
        <f aca="false">IF($BX44&lt;&gt;Constants!$B$6,"",IF($AT44,$AV44,""))</f>
        <v/>
      </c>
      <c r="BW44" s="135" t="str">
        <f aca="false">IF(ISBLANK($C44),"",IF(ISBLANK($D$7),$BW$5,IF(NOT(ISNUMBER($D$7)),$BW$6,"")))</f>
        <v/>
      </c>
      <c r="BX44" s="135" t="str">
        <f aca="false">IF(ISBLANK($C44),"",IF($BA44,Constants!$B$9,IF(COUNTA($E44:$AA44)=0,Constants!$B$8,IF(NOT($AG44),Constants!$B$7,IF(OR($BW44&lt;&gt;"",$BB44,$BM44),Constants!$B$10,Constants!$B$6)))))</f>
        <v/>
      </c>
      <c r="BY44" s="135" t="str">
        <f aca="false">IF(ISBLANK($C44),"",IF($BX44&lt;&gt;Constants!$B$6,$BX44,Constants!$B$11))</f>
        <v/>
      </c>
      <c r="BZ44" s="138" t="str">
        <f aca="false">IF($BX44&lt;&gt;Constants!$B$6,"",IF($BL44="-&gt;",$BS44,$BH44))</f>
        <v/>
      </c>
      <c r="CA44" s="138" t="str">
        <f aca="false">IF($BX44&lt;&gt;Constants!$B$6,"",IF($AF44,0,Constants!$B$15))</f>
        <v/>
      </c>
      <c r="CB44" s="138" t="str">
        <f aca="false">IF($BX44&lt;&gt;Constants!$B$6,"",((Constants!$B$25-$AZ44)-Constants!$B$25)/Constants!$B$26)</f>
        <v/>
      </c>
      <c r="CC44" s="138" t="str">
        <f aca="false">IF(ISBLANK($C44),"",IF($BX44&lt;&gt;Constants!$B$6,$BX44,SUM($BZ44:$CB44)))</f>
        <v/>
      </c>
      <c r="CD44" s="135" t="str">
        <f aca="false">IF(ISBLANK($C44),"",IF($BX44&lt;&gt;Constants!$B$6,$BX44,RANK($CC44,$CC$9:$CC$508,1)))</f>
        <v/>
      </c>
      <c r="CE44" s="138" t="str">
        <f aca="false">IF($BX44&lt;&gt;Constants!$B$6,"",IF($BL44="-&gt;",$BT44,$BI44))</f>
        <v/>
      </c>
      <c r="CF44" s="135" t="str">
        <f aca="false">IF(ISBLANK($C44),"",IF($BX44&lt;&gt;Constants!$B$6,$BX44,IF(ISNUMBER($CE44),RANK($CE44,$CE$9:$CE$508,1),COUNT($CE$9:$CE$508)+1)))</f>
        <v/>
      </c>
      <c r="CG44" s="138" t="str">
        <f aca="false">IF($BX44&lt;&gt;Constants!$B$6,"",IF($BL44="-&gt;",$BU44,$BJ44))</f>
        <v/>
      </c>
      <c r="CH44" s="135" t="str">
        <f aca="false">IF(ISBLANK($C44),"",IF($BX44&lt;&gt;Constants!$B$6,$BX44,IF(ISNUMBER($CG44),RANK($CG44,$CG$9:$CG$508,1),COUNT($CG$9:$CG$508)+1)))</f>
        <v/>
      </c>
      <c r="CI44" s="138" t="str">
        <f aca="false">IF($BX44&lt;&gt;Constants!$B$6,"",IF($BL44="-&gt;",$BV44,$BK44))</f>
        <v/>
      </c>
      <c r="CJ44" s="135" t="str">
        <f aca="false">IF(ISBLANK($C44),"",IF($BX44&lt;&gt;Constants!$B$6,$BX44,IF(ISNUMBER($CI44),RANK($CI44,$CI$9:$CI$508,1),COUNT($CI$9:$CI$508)+1)))</f>
        <v/>
      </c>
      <c r="CK44" s="138" t="str">
        <f aca="false">IF($BX44&lt;&gt;Constants!$B$6,"",$AI44)</f>
        <v/>
      </c>
      <c r="CL44" s="135" t="str">
        <f aca="false">IF(ISBLANK($C44),"",IF($BX44&lt;&gt;Constants!$B$6,$BX44,IF(ISNUMBER($CK44),RANK($CK44,$CK$9:$CK$508,1),COUNT($CK$9:$CK$508)+1)))</f>
        <v/>
      </c>
      <c r="CM44" s="135" t="str">
        <f aca="false">IF(ISBLANK($C44),"",IF($BX44&lt;&gt;Constants!$B$6,$BX44,COUNTIFS($CD$9:$CD$508,"&lt;"&amp;$CD44)+COUNTIFS($CD$9:$CD$508,$CD44,$CF$9:$CF$508,"&lt;"&amp;$CF44)+COUNTIFS($CD$9:$CD$508,$CD44,$CF$9:$CF$508,$CF44,$CH$9:$CH$508,"&lt;"&amp;$CH44)+COUNTIFS($CD$9:$CD$508,$CD44,$CF$9:$CF$508,$CF44,$CH$9:$CH$508,$CH44,$CJ$9:$CJ$508,"&lt;"&amp;$CJ44)+COUNTIFS($CD$9:$CD$508,$CD44,$CF$9:$CF$508,$CF44,$CH$9:$CH$508,$CH44,$CJ$9:$CJ$508,$CJ44,$CL$9:$CL$508,"&lt;"&amp;$CL44)+1))</f>
        <v/>
      </c>
      <c r="CN44" s="135" t="str">
        <f aca="false">IF(ISBLANK($C44),"",IF($BX44&lt;&gt;Constants!$B$6,$BX44,$CD44-$CM44))</f>
        <v/>
      </c>
      <c r="CO44" s="141"/>
      <c r="CP44" s="142"/>
      <c r="CQ44" s="143" t="str">
        <f aca="false">IF(ISBLANK($C44),"",IF($BX44=Constants!$B$10,$BW44,""))</f>
        <v/>
      </c>
      <c r="CR44" s="142" t="str">
        <f aca="false">IF(ISBLANK($C44),"",IF($BX44&lt;&gt;Constants!$B$6,"",IF($BL44="-&gt;",2,1)))</f>
        <v/>
      </c>
      <c r="CS44" s="144" t="str">
        <f aca="false">IF(ISBLANK($C44),"",IF($BX44&lt;&gt;Constants!$B$6,"",IF($BL44="-&gt;",$BN44,$BC44)))</f>
        <v/>
      </c>
      <c r="CT44" s="144" t="str">
        <f aca="false">IF(ISBLANK($C44),"",IF($BX44&lt;&gt;Constants!$B$6,"",IF($BL44="-&gt;",$BO44,$BD44)))</f>
        <v/>
      </c>
      <c r="CU44" s="144" t="str">
        <f aca="false">IF(ISBLANK($C44),"",IF($BX44&lt;&gt;Constants!$B$6,"",IF($BL44="-&gt;",$BP44+$BQ44,$BE44+$BF44)+$CB44))</f>
        <v/>
      </c>
      <c r="CV44" s="144" t="str">
        <f aca="false">IF(ISBLANK($C44),"",IF($BX44&lt;&gt;Constants!$B$6,"",IF($BL44="-&gt;",$BR44,$BG44)+$CA44))</f>
        <v/>
      </c>
      <c r="CW44" s="145" t="str">
        <f aca="false">IF(ISBLANK($C44),"",IF($BX44&lt;&gt;Constants!$B$6,$BX44,$CC44))</f>
        <v/>
      </c>
      <c r="CX44" s="146" t="str">
        <f aca="false">IF(ISBLANK($C44),"",$BY44)</f>
        <v/>
      </c>
      <c r="CY44" s="147" t="str">
        <f aca="false">IF(ISBLANK($C44),"",$CN44)</f>
        <v/>
      </c>
      <c r="CZ44" s="147" t="str">
        <f aca="false">IF(ISBLANK($C44),"",$CM44)</f>
        <v/>
      </c>
      <c r="DA44" s="148" t="str">
        <f aca="false">IF(ISBLANK($C44),"",IFERROR(_xlfn.SWITCH($CZ44,Constants!$B$9,COUNTA($C$9:$C$508)+2,Constants!$B$8,COUNTA($C$9:$C$508)+1,Constants!$B$7,COUNTA($C$9:$C$508)),$CZ44))</f>
        <v/>
      </c>
      <c r="DB44" s="9"/>
      <c r="DC44" s="149" t="n">
        <f aca="false">IF(OR(ISNUMBER($CZ44),$CZ44=Constants!$B$9,$CZ44=Constants!$B$7,$CZ44=Constants!$B$8),1,0)</f>
        <v>0</v>
      </c>
      <c r="DD44" s="149" t="n">
        <v>36</v>
      </c>
      <c r="DE44" s="149" t="str">
        <f aca="false">IF(ISBLANK($C44),"",IF(ISNUMBER($DA44),$DA44+ROW($B44)/1000,""))</f>
        <v/>
      </c>
      <c r="DF44" s="149" t="str">
        <f aca="false">IF(ISNUMBER($DE44),RANK($DE44,$DE$9:$DE$508,1),"")</f>
        <v/>
      </c>
      <c r="DG44" s="149" t="str">
        <f aca="false">IF(ISBLANK($C44),"",$B44)</f>
        <v/>
      </c>
      <c r="DH44" s="149" t="str">
        <f aca="false">IF(ISBLANK($C44),"",$C44)</f>
        <v/>
      </c>
      <c r="DI44" s="149" t="str">
        <f aca="false">IF(ISBLANK($C44),"",$D44)</f>
        <v/>
      </c>
      <c r="DJ44" s="150" t="str">
        <f aca="false">$CX44</f>
        <v/>
      </c>
      <c r="DK44" s="151" t="str">
        <f aca="false">$CW44</f>
        <v/>
      </c>
      <c r="DL44" s="149" t="str">
        <f aca="false">IF(ISBLANK($C44),"",$CZ44)</f>
        <v/>
      </c>
      <c r="DM44" s="152" t="str">
        <f aca="false">IF($DD44&gt;$DC$8,"",VLOOKUP($DD44,$DF$9:$DL$508,7,FALSE()))</f>
        <v/>
      </c>
      <c r="DN44" s="153" t="str">
        <f aca="false">IF($DD44&gt;$DC$8,"",VLOOKUP($DD44,$DF$9:$DL$508,2,FALSE()))</f>
        <v/>
      </c>
      <c r="DO44" s="153" t="str">
        <f aca="false">IF($DD44&gt;$DC$8,"",VLOOKUP($DD44,$DF$9:$DL$508,3,FALSE()))</f>
        <v/>
      </c>
      <c r="DP44" s="153" t="str">
        <f aca="false">IF($DD44&gt;$DC$8,"",VLOOKUP($DD44,$DF$9:$DL$508,4,FALSE()))</f>
        <v/>
      </c>
      <c r="DQ44" s="153" t="str">
        <f aca="false">IF($DD44&gt;$DC$8,"",VLOOKUP($DD44,$DF$9:$DL$508,5,FALSE()))</f>
        <v/>
      </c>
      <c r="DR44" s="154" t="str">
        <f aca="false">IF($DD44&gt;$DC$8,"",VLOOKUP($DD44,$DF$9:$DL$508,6,FALSE()))</f>
        <v/>
      </c>
      <c r="DS44" s="76"/>
    </row>
    <row r="45" customFormat="false" ht="15.75" hidden="false" customHeight="false" outlineLevel="0" collapsed="false">
      <c r="A45" s="9"/>
      <c r="B45" s="78"/>
      <c r="C45" s="79"/>
      <c r="D45" s="170"/>
      <c r="E45" s="178"/>
      <c r="F45" s="172"/>
      <c r="G45" s="173"/>
      <c r="H45" s="173"/>
      <c r="I45" s="179"/>
      <c r="J45" s="176"/>
      <c r="K45" s="86"/>
      <c r="L45" s="87"/>
      <c r="M45" s="88"/>
      <c r="N45" s="176"/>
      <c r="O45" s="176"/>
      <c r="P45" s="178"/>
      <c r="Q45" s="176"/>
      <c r="R45" s="176"/>
      <c r="S45" s="86"/>
      <c r="T45" s="88"/>
      <c r="U45" s="88"/>
      <c r="V45" s="176"/>
      <c r="W45" s="176"/>
      <c r="X45" s="178"/>
      <c r="Y45" s="176"/>
      <c r="Z45" s="177"/>
      <c r="AA45" s="176"/>
      <c r="AB45" s="92"/>
      <c r="AC45" s="93"/>
      <c r="AD45" s="93"/>
      <c r="AE45" s="93"/>
      <c r="AF45" s="93" t="str">
        <f aca="false">IF(ISBLANK($C45),"",IF(E45=Constants!$B$2,TRUE(),IF(E45=Constants!$B$3,FALSE(),TRUE())))</f>
        <v/>
      </c>
      <c r="AG45" s="93" t="str">
        <f aca="false">IF(ISBLANK($C45),"",IF(F45=Constants!$B$2,TRUE(),IF(F45=Constants!$B$3,FALSE(),TRUE())))</f>
        <v/>
      </c>
      <c r="AH45" s="93" t="str">
        <f aca="false">IF(ISBLANK($C45),"",IF(G45=Constants!$B$2,TRUE(),IF(G45=Constants!$B$3,FALSE(),TRUE())))</f>
        <v/>
      </c>
      <c r="AI45" s="93" t="str">
        <f aca="false">IF(ISBLANK($C45),"",IF(AND(ISNUMBER(H45),H45&gt;=0),H45,Constants!$B$24))</f>
        <v/>
      </c>
      <c r="AJ45" s="93" t="str">
        <f aca="false">IF(ISBLANK($C45),"",IF(I45=Constants!$B$2,TRUE(),IF(I45=Constants!$B$3,FALSE(),TRUE())))</f>
        <v/>
      </c>
      <c r="AK45" s="93" t="str">
        <f aca="false">IF(ISBLANK($C45),"",IF(J45=Constants!$B$2,TRUE(),IF(J45=Constants!$B$3,FALSE(),TRUE())))</f>
        <v/>
      </c>
      <c r="AL45" s="93" t="str">
        <f aca="false">IF(ISBLANK($C45),"",IF(K45=Constants!$B$4,TRUE(),IF(K45=Constants!$B$5,FALSE(),COUNTA(L45:P45)&gt;0)))</f>
        <v/>
      </c>
      <c r="AM45" s="95" t="str">
        <f aca="false">IF(ISBLANK($C45),"",IF(ISNUMBER(L45),IF(L45&gt;=0,L45,""),""))</f>
        <v/>
      </c>
      <c r="AN45" s="94" t="str">
        <f aca="false">IF(ISBLANK($C45),"",IF(ISNUMBER(M45),IF(M45&gt;=0,M45,""),""))</f>
        <v/>
      </c>
      <c r="AO45" s="94" t="str">
        <f aca="false">IF(ISBLANK($C45),"",IF(N45=Constants!$B$2,TRUE(),IF(N45=Constants!$B$3,FALSE(),TRUE())))</f>
        <v/>
      </c>
      <c r="AP45" s="93" t="str">
        <f aca="false">IF(ISBLANK($C45),"",IF(ISNUMBER(O45),IF(O45&gt;=0,O45,""),""))</f>
        <v/>
      </c>
      <c r="AQ45" s="93" t="str">
        <f aca="false">IF(ISBLANK($C45),"",IF(P45=Constants!$B$2,TRUE(),IF(P45=Constants!$B$3,FALSE(),FALSE())))</f>
        <v/>
      </c>
      <c r="AR45" s="93" t="str">
        <f aca="false">IF(ISBLANK($C45),"",IF(Q45=Constants!$B$2,TRUE(),IF(Q45=Constants!$B$3,FALSE(),TRUE())))</f>
        <v/>
      </c>
      <c r="AS45" s="93" t="str">
        <f aca="false">IF(ISBLANK($C45),"",IF(R45=Constants!$B$2,TRUE(),IF(R45=Constants!$B$3,FALSE(),TRUE())))</f>
        <v/>
      </c>
      <c r="AT45" s="93" t="str">
        <f aca="false">IF(ISBLANK($C45),"",IF(S45=Constants!$B$4,TRUE(),IF(S45=Constants!$B$5,FALSE(),COUNTA(T45:X45)&gt;0)))</f>
        <v/>
      </c>
      <c r="AU45" s="95" t="str">
        <f aca="false">IF(ISBLANK($C45),"",IF(ISNUMBER(T45),IF(T45&gt;=0,T45,""),""))</f>
        <v/>
      </c>
      <c r="AV45" s="94" t="str">
        <f aca="false">IF(ISBLANK($C45),"",IF(ISNUMBER(U45),IF(U45&gt;=0,U45,""),""))</f>
        <v/>
      </c>
      <c r="AW45" s="94" t="str">
        <f aca="false">IF(ISBLANK($C45),"",IF(V45=Constants!$B$2,TRUE(),IF(V45=Constants!$B$3,FALSE(),TRUE())))</f>
        <v/>
      </c>
      <c r="AX45" s="93" t="str">
        <f aca="false">IF(ISBLANK($C45),"",IF(ISNUMBER(W45),IF(W45&gt;=0,W45,""),""))</f>
        <v/>
      </c>
      <c r="AY45" s="93" t="str">
        <f aca="false">IF(ISBLANK($C45),"",IF(X45=Constants!$B$2,TRUE(),IF(X45=Constants!$B$3,FALSE(),FALSE())))</f>
        <v/>
      </c>
      <c r="AZ45" s="93" t="str">
        <f aca="false">IF(ISBLANK($C45),"",MIN(Constants!$B$25,MAX(0,IF(ISNUMBER(Y45),Y45*60,0)+IF(ISNUMBER(Z45),Z45,0))))</f>
        <v/>
      </c>
      <c r="BA45" s="93" t="str">
        <f aca="false">IF(ISBLANK($C45),"",IF(AA45=Constants!$B$2,TRUE(),IF(AA45=Constants!$B$3,FALSE(),FALSE())))</f>
        <v/>
      </c>
      <c r="BB45" s="92" t="str">
        <f aca="false">IF(ISBLANK($C45),"",AND($AL45,OR($AM45="",$AN45="",AND($AO45,$AP45=""))))</f>
        <v/>
      </c>
      <c r="BC45" s="94" t="str">
        <f aca="false">IF($BX45&lt;&gt;Constants!$B$6,"",IF($AL45,Constants!$B$17*$AN45+Constants!$B$18*IF($AO45,$AP45,Constants!$B$19),Constants!$B$20))</f>
        <v/>
      </c>
      <c r="BD45" s="97" t="str">
        <f aca="false">IF($BX45&lt;&gt;Constants!$B$6,"",Constants!$B$21*ABS($AD$9-IF($AL45,$AM45,0)))</f>
        <v/>
      </c>
      <c r="BE45" s="97" t="str">
        <f aca="false">IF($BX45&lt;&gt;Constants!$B$6,"",IF(AND($AL45,$AQ45,$AO45),Constants!$B$22,0))</f>
        <v/>
      </c>
      <c r="BF45" s="97" t="str">
        <f aca="false">IF($BX45&lt;&gt;Constants!$B$6,"",IF($AL45,($AI45-Constants!$B$24)*Constants!$B$23,0))</f>
        <v/>
      </c>
      <c r="BG45" s="97" t="str">
        <f aca="false">IF($BX45&lt;&gt;Constants!$B$6,"",IF($AK45,0,Constants!$B$12)+IF($AJ45,0,Constants!$B$13)+IF($AH45,0,Constants!$B$14))</f>
        <v/>
      </c>
      <c r="BH45" s="98" t="str">
        <f aca="false">IF($BX45&lt;&gt;Constants!$B$6,"",Constants!$B$16+SUM($BC45:$BG45))</f>
        <v/>
      </c>
      <c r="BI45" s="97" t="str">
        <f aca="false">IF($BX45&lt;&gt;Constants!$B$6,"",$BC45)</f>
        <v/>
      </c>
      <c r="BJ45" s="97" t="str">
        <f aca="false">IF($BX45&lt;&gt;Constants!$B$6,"",$BD45)</f>
        <v/>
      </c>
      <c r="BK45" s="99" t="str">
        <f aca="false">IF($BX45&lt;&gt;Constants!$B$6,"",IF($AL45,$AN45,""))</f>
        <v/>
      </c>
      <c r="BL45" s="93" t="str">
        <f aca="false">IF($BX45&lt;&gt;Constants!$B$6,"",IF(OR($BS45&lt;$BH45,AND($BS45=$BH45,OR($BT45&lt;$BI45,AND($BT45=$BI45,OR($BU45&lt;$BJ45,AND($BU45=$BJ45,AND(ISNUMBER($BV45),OR(NOT(ISNUMBER($BK45)),$BV45&lt;$BK45)))))))),"-&gt;","&lt;-"))</f>
        <v/>
      </c>
      <c r="BM45" s="92" t="str">
        <f aca="false">IF(ISBLANK($C45),"",AND($AT45,OR($AU45="",$AV45="",AND($AW45,$AX45=""))))</f>
        <v/>
      </c>
      <c r="BN45" s="94" t="str">
        <f aca="false">IF($BX45&lt;&gt;Constants!$B$6,"",IF($AT45,Constants!$B$17*$AV45+Constants!$B$18*IF($AW45,$AX45,Constants!$B$19),Constants!$B$20))</f>
        <v/>
      </c>
      <c r="BO45" s="97" t="str">
        <f aca="false">IF($BX45&lt;&gt;Constants!$B$6,"",Constants!$B$21*ABS($AD$9-IF($AT45,$AU45,0)))</f>
        <v/>
      </c>
      <c r="BP45" s="97" t="str">
        <f aca="false">IF($BX45&lt;&gt;Constants!$B$6,"",IF(AND($AT45,$AY45,$AW45),Constants!$B$22,0))</f>
        <v/>
      </c>
      <c r="BQ45" s="97" t="str">
        <f aca="false">IF($BX45&lt;&gt;Constants!$B$6,"",IF($AT45,($AI45-Constants!$B$24)*Constants!$B$23,0))</f>
        <v/>
      </c>
      <c r="BR45" s="97" t="str">
        <f aca="false">IF($BX45&lt;&gt;Constants!$B$6,"",IF($AS45,0,Constants!$B$12)+IF($AR45,0,Constants!$B$13)+IF($AH45,0,Constants!$B$14))</f>
        <v/>
      </c>
      <c r="BS45" s="98" t="str">
        <f aca="false">IF($BX45&lt;&gt;Constants!$B$6,"",Constants!$B$16+SUM($BN45:$BR45))</f>
        <v/>
      </c>
      <c r="BT45" s="97" t="str">
        <f aca="false">IF($BX45&lt;&gt;Constants!$B$6,"",$BN45)</f>
        <v/>
      </c>
      <c r="BU45" s="97" t="str">
        <f aca="false">IF($BX45&lt;&gt;Constants!$B$6,"",$BO45)</f>
        <v/>
      </c>
      <c r="BV45" s="99" t="str">
        <f aca="false">IF($BX45&lt;&gt;Constants!$B$6,"",IF($AT45,$AV45,""))</f>
        <v/>
      </c>
      <c r="BW45" s="93" t="str">
        <f aca="false">IF(ISBLANK($C45),"",IF(ISBLANK($D$7),$BW$5,IF(NOT(ISNUMBER($D$7)),$BW$6,"")))</f>
        <v/>
      </c>
      <c r="BX45" s="93" t="str">
        <f aca="false">IF(ISBLANK($C45),"",IF($BA45,Constants!$B$9,IF(COUNTA($E45:$AA45)=0,Constants!$B$8,IF(NOT($AG45),Constants!$B$7,IF(OR($BW45&lt;&gt;"",$BB45,$BM45),Constants!$B$10,Constants!$B$6)))))</f>
        <v/>
      </c>
      <c r="BY45" s="93" t="str">
        <f aca="false">IF(ISBLANK($C45),"",IF($BX45&lt;&gt;Constants!$B$6,$BX45,Constants!$B$11))</f>
        <v/>
      </c>
      <c r="BZ45" s="97" t="str">
        <f aca="false">IF($BX45&lt;&gt;Constants!$B$6,"",IF($BL45="-&gt;",$BS45,$BH45))</f>
        <v/>
      </c>
      <c r="CA45" s="97" t="str">
        <f aca="false">IF($BX45&lt;&gt;Constants!$B$6,"",IF($AF45,0,Constants!$B$15))</f>
        <v/>
      </c>
      <c r="CB45" s="97" t="str">
        <f aca="false">IF($BX45&lt;&gt;Constants!$B$6,"",((Constants!$B$25-$AZ45)-Constants!$B$25)/Constants!$B$26)</f>
        <v/>
      </c>
      <c r="CC45" s="97" t="str">
        <f aca="false">IF(ISBLANK($C45),"",IF($BX45&lt;&gt;Constants!$B$6,$BX45,SUM($BZ45:$CB45)))</f>
        <v/>
      </c>
      <c r="CD45" s="93" t="str">
        <f aca="false">IF(ISBLANK($C45),"",IF($BX45&lt;&gt;Constants!$B$6,$BX45,RANK($CC45,$CC$9:$CC$508,1)))</f>
        <v/>
      </c>
      <c r="CE45" s="97" t="str">
        <f aca="false">IF($BX45&lt;&gt;Constants!$B$6,"",IF($BL45="-&gt;",$BT45,$BI45))</f>
        <v/>
      </c>
      <c r="CF45" s="93" t="str">
        <f aca="false">IF(ISBLANK($C45),"",IF($BX45&lt;&gt;Constants!$B$6,$BX45,IF(ISNUMBER($CE45),RANK($CE45,$CE$9:$CE$508,1),COUNT($CE$9:$CE$508)+1)))</f>
        <v/>
      </c>
      <c r="CG45" s="97" t="str">
        <f aca="false">IF($BX45&lt;&gt;Constants!$B$6,"",IF($BL45="-&gt;",$BU45,$BJ45))</f>
        <v/>
      </c>
      <c r="CH45" s="93" t="str">
        <f aca="false">IF(ISBLANK($C45),"",IF($BX45&lt;&gt;Constants!$B$6,$BX45,IF(ISNUMBER($CG45),RANK($CG45,$CG$9:$CG$508,1),COUNT($CG$9:$CG$508)+1)))</f>
        <v/>
      </c>
      <c r="CI45" s="97" t="str">
        <f aca="false">IF($BX45&lt;&gt;Constants!$B$6,"",IF($BL45="-&gt;",$BV45,$BK45))</f>
        <v/>
      </c>
      <c r="CJ45" s="93" t="str">
        <f aca="false">IF(ISBLANK($C45),"",IF($BX45&lt;&gt;Constants!$B$6,$BX45,IF(ISNUMBER($CI45),RANK($CI45,$CI$9:$CI$508,1),COUNT($CI$9:$CI$508)+1)))</f>
        <v/>
      </c>
      <c r="CK45" s="97" t="str">
        <f aca="false">IF($BX45&lt;&gt;Constants!$B$6,"",$AI45)</f>
        <v/>
      </c>
      <c r="CL45" s="93" t="str">
        <f aca="false">IF(ISBLANK($C45),"",IF($BX45&lt;&gt;Constants!$B$6,$BX45,IF(ISNUMBER($CK45),RANK($CK45,$CK$9:$CK$508,1),COUNT($CK$9:$CK$508)+1)))</f>
        <v/>
      </c>
      <c r="CM45" s="93" t="str">
        <f aca="false">IF(ISBLANK($C45),"",IF($BX45&lt;&gt;Constants!$B$6,$BX45,COUNTIFS($CD$9:$CD$508,"&lt;"&amp;$CD45)+COUNTIFS($CD$9:$CD$508,$CD45,$CF$9:$CF$508,"&lt;"&amp;$CF45)+COUNTIFS($CD$9:$CD$508,$CD45,$CF$9:$CF$508,$CF45,$CH$9:$CH$508,"&lt;"&amp;$CH45)+COUNTIFS($CD$9:$CD$508,$CD45,$CF$9:$CF$508,$CF45,$CH$9:$CH$508,$CH45,$CJ$9:$CJ$508,"&lt;"&amp;$CJ45)+COUNTIFS($CD$9:$CD$508,$CD45,$CF$9:$CF$508,$CF45,$CH$9:$CH$508,$CH45,$CJ$9:$CJ$508,$CJ45,$CL$9:$CL$508,"&lt;"&amp;$CL45)+1))</f>
        <v/>
      </c>
      <c r="CN45" s="93" t="str">
        <f aca="false">IF(ISBLANK($C45),"",IF($BX45&lt;&gt;Constants!$B$6,$BX45,$CD45-$CM45))</f>
        <v/>
      </c>
      <c r="CO45" s="100"/>
      <c r="CP45" s="101"/>
      <c r="CQ45" s="102" t="str">
        <f aca="false">IF(ISBLANK($C45),"",IF($BX45=Constants!$B$10,$BW45,""))</f>
        <v/>
      </c>
      <c r="CR45" s="101" t="str">
        <f aca="false">IF(ISBLANK($C45),"",IF($BX45&lt;&gt;Constants!$B$6,"",IF($BL45="-&gt;",2,1)))</f>
        <v/>
      </c>
      <c r="CS45" s="103" t="str">
        <f aca="false">IF(ISBLANK($C45),"",IF($BX45&lt;&gt;Constants!$B$6,"",IF($BL45="-&gt;",$BN45,$BC45)))</f>
        <v/>
      </c>
      <c r="CT45" s="103" t="str">
        <f aca="false">IF(ISBLANK($C45),"",IF($BX45&lt;&gt;Constants!$B$6,"",IF($BL45="-&gt;",$BO45,$BD45)))</f>
        <v/>
      </c>
      <c r="CU45" s="103" t="str">
        <f aca="false">IF(ISBLANK($C45),"",IF($BX45&lt;&gt;Constants!$B$6,"",IF($BL45="-&gt;",$BP45+$BQ45,$BE45+$BF45)+$CB45))</f>
        <v/>
      </c>
      <c r="CV45" s="103" t="str">
        <f aca="false">IF(ISBLANK($C45),"",IF($BX45&lt;&gt;Constants!$B$6,"",IF($BL45="-&gt;",$BR45,$BG45)+$CA45))</f>
        <v/>
      </c>
      <c r="CW45" s="104" t="str">
        <f aca="false">IF(ISBLANK($C45),"",IF($BX45&lt;&gt;Constants!$B$6,$BX45,$CC45))</f>
        <v/>
      </c>
      <c r="CX45" s="105" t="str">
        <f aca="false">IF(ISBLANK($C45),"",$BY45)</f>
        <v/>
      </c>
      <c r="CY45" s="106" t="str">
        <f aca="false">IF(ISBLANK($C45),"",$CN45)</f>
        <v/>
      </c>
      <c r="CZ45" s="106" t="str">
        <f aca="false">IF(ISBLANK($C45),"",$CM45)</f>
        <v/>
      </c>
      <c r="DA45" s="107" t="str">
        <f aca="false">IF(ISBLANK($C45),"",IFERROR(_xlfn.SWITCH($CZ45,Constants!$B$9,COUNTA($C$9:$C$508)+2,Constants!$B$8,COUNTA($C$9:$C$508)+1,Constants!$B$7,COUNTA($C$9:$C$508)),$CZ45))</f>
        <v/>
      </c>
      <c r="DB45" s="9"/>
      <c r="DC45" s="108" t="n">
        <f aca="false">IF(OR(ISNUMBER($CZ45),$CZ45=Constants!$B$9,$CZ45=Constants!$B$7,$CZ45=Constants!$B$8),1,0)</f>
        <v>0</v>
      </c>
      <c r="DD45" s="108" t="n">
        <v>37</v>
      </c>
      <c r="DE45" s="108" t="str">
        <f aca="false">IF(ISBLANK($C45),"",IF(ISNUMBER($DA45),$DA45+ROW($B45)/1000,""))</f>
        <v/>
      </c>
      <c r="DF45" s="108" t="str">
        <f aca="false">IF(ISNUMBER($DE45),RANK($DE45,$DE$9:$DE$508,1),"")</f>
        <v/>
      </c>
      <c r="DG45" s="108" t="str">
        <f aca="false">IF(ISBLANK($C45),"",$B45)</f>
        <v/>
      </c>
      <c r="DH45" s="108" t="str">
        <f aca="false">IF(ISBLANK($C45),"",$C45)</f>
        <v/>
      </c>
      <c r="DI45" s="108" t="str">
        <f aca="false">IF(ISBLANK($C45),"",$D45)</f>
        <v/>
      </c>
      <c r="DJ45" s="109" t="str">
        <f aca="false">$CX45</f>
        <v/>
      </c>
      <c r="DK45" s="110" t="str">
        <f aca="false">$CW45</f>
        <v/>
      </c>
      <c r="DL45" s="108" t="str">
        <f aca="false">IF(ISBLANK($C45),"",$CZ45)</f>
        <v/>
      </c>
      <c r="DM45" s="111" t="str">
        <f aca="false">IF($DD45&gt;$DC$8,"",VLOOKUP($DD45,$DF$9:$DL$508,7,FALSE()))</f>
        <v/>
      </c>
      <c r="DN45" s="112" t="str">
        <f aca="false">IF($DD45&gt;$DC$8,"",VLOOKUP($DD45,$DF$9:$DL$508,2,FALSE()))</f>
        <v/>
      </c>
      <c r="DO45" s="112" t="str">
        <f aca="false">IF($DD45&gt;$DC$8,"",VLOOKUP($DD45,$DF$9:$DL$508,3,FALSE()))</f>
        <v/>
      </c>
      <c r="DP45" s="112" t="str">
        <f aca="false">IF($DD45&gt;$DC$8,"",VLOOKUP($DD45,$DF$9:$DL$508,4,FALSE()))</f>
        <v/>
      </c>
      <c r="DQ45" s="112" t="str">
        <f aca="false">IF($DD45&gt;$DC$8,"",VLOOKUP($DD45,$DF$9:$DL$508,5,FALSE()))</f>
        <v/>
      </c>
      <c r="DR45" s="113" t="str">
        <f aca="false">IF($DD45&gt;$DC$8,"",VLOOKUP($DD45,$DF$9:$DL$508,6,FALSE()))</f>
        <v/>
      </c>
      <c r="DS45" s="76"/>
    </row>
    <row r="46" customFormat="false" ht="15.75" hidden="false" customHeight="false" outlineLevel="0" collapsed="false">
      <c r="A46" s="9"/>
      <c r="B46" s="78"/>
      <c r="C46" s="79"/>
      <c r="D46" s="170"/>
      <c r="E46" s="178"/>
      <c r="F46" s="172"/>
      <c r="G46" s="173"/>
      <c r="H46" s="173"/>
      <c r="I46" s="179"/>
      <c r="J46" s="176"/>
      <c r="K46" s="86"/>
      <c r="L46" s="87"/>
      <c r="M46" s="88"/>
      <c r="N46" s="176"/>
      <c r="O46" s="176"/>
      <c r="P46" s="178"/>
      <c r="Q46" s="176"/>
      <c r="R46" s="176"/>
      <c r="S46" s="86"/>
      <c r="T46" s="88"/>
      <c r="U46" s="88"/>
      <c r="V46" s="176"/>
      <c r="W46" s="176"/>
      <c r="X46" s="178"/>
      <c r="Y46" s="176"/>
      <c r="Z46" s="177"/>
      <c r="AA46" s="176"/>
      <c r="AB46" s="92"/>
      <c r="AC46" s="93"/>
      <c r="AD46" s="93"/>
      <c r="AE46" s="93"/>
      <c r="AF46" s="93" t="str">
        <f aca="false">IF(ISBLANK($C46),"",IF(E46=Constants!$B$2,TRUE(),IF(E46=Constants!$B$3,FALSE(),TRUE())))</f>
        <v/>
      </c>
      <c r="AG46" s="93" t="str">
        <f aca="false">IF(ISBLANK($C46),"",IF(F46=Constants!$B$2,TRUE(),IF(F46=Constants!$B$3,FALSE(),TRUE())))</f>
        <v/>
      </c>
      <c r="AH46" s="93" t="str">
        <f aca="false">IF(ISBLANK($C46),"",IF(G46=Constants!$B$2,TRUE(),IF(G46=Constants!$B$3,FALSE(),TRUE())))</f>
        <v/>
      </c>
      <c r="AI46" s="93" t="str">
        <f aca="false">IF(ISBLANK($C46),"",IF(AND(ISNUMBER(H46),H46&gt;=0),H46,Constants!$B$24))</f>
        <v/>
      </c>
      <c r="AJ46" s="93" t="str">
        <f aca="false">IF(ISBLANK($C46),"",IF(I46=Constants!$B$2,TRUE(),IF(I46=Constants!$B$3,FALSE(),TRUE())))</f>
        <v/>
      </c>
      <c r="AK46" s="93" t="str">
        <f aca="false">IF(ISBLANK($C46),"",IF(J46=Constants!$B$2,TRUE(),IF(J46=Constants!$B$3,FALSE(),TRUE())))</f>
        <v/>
      </c>
      <c r="AL46" s="93" t="str">
        <f aca="false">IF(ISBLANK($C46),"",IF(K46=Constants!$B$4,TRUE(),IF(K46=Constants!$B$5,FALSE(),COUNTA(L46:P46)&gt;0)))</f>
        <v/>
      </c>
      <c r="AM46" s="95" t="str">
        <f aca="false">IF(ISBLANK($C46),"",IF(ISNUMBER(L46),IF(L46&gt;=0,L46,""),""))</f>
        <v/>
      </c>
      <c r="AN46" s="94" t="str">
        <f aca="false">IF(ISBLANK($C46),"",IF(ISNUMBER(M46),IF(M46&gt;=0,M46,""),""))</f>
        <v/>
      </c>
      <c r="AO46" s="94" t="str">
        <f aca="false">IF(ISBLANK($C46),"",IF(N46=Constants!$B$2,TRUE(),IF(N46=Constants!$B$3,FALSE(),TRUE())))</f>
        <v/>
      </c>
      <c r="AP46" s="93" t="str">
        <f aca="false">IF(ISBLANK($C46),"",IF(ISNUMBER(O46),IF(O46&gt;=0,O46,""),""))</f>
        <v/>
      </c>
      <c r="AQ46" s="93" t="str">
        <f aca="false">IF(ISBLANK($C46),"",IF(P46=Constants!$B$2,TRUE(),IF(P46=Constants!$B$3,FALSE(),FALSE())))</f>
        <v/>
      </c>
      <c r="AR46" s="93" t="str">
        <f aca="false">IF(ISBLANK($C46),"",IF(Q46=Constants!$B$2,TRUE(),IF(Q46=Constants!$B$3,FALSE(),TRUE())))</f>
        <v/>
      </c>
      <c r="AS46" s="93" t="str">
        <f aca="false">IF(ISBLANK($C46),"",IF(R46=Constants!$B$2,TRUE(),IF(R46=Constants!$B$3,FALSE(),TRUE())))</f>
        <v/>
      </c>
      <c r="AT46" s="93" t="str">
        <f aca="false">IF(ISBLANK($C46),"",IF(S46=Constants!$B$4,TRUE(),IF(S46=Constants!$B$5,FALSE(),COUNTA(T46:X46)&gt;0)))</f>
        <v/>
      </c>
      <c r="AU46" s="95" t="str">
        <f aca="false">IF(ISBLANK($C46),"",IF(ISNUMBER(T46),IF(T46&gt;=0,T46,""),""))</f>
        <v/>
      </c>
      <c r="AV46" s="94" t="str">
        <f aca="false">IF(ISBLANK($C46),"",IF(ISNUMBER(U46),IF(U46&gt;=0,U46,""),""))</f>
        <v/>
      </c>
      <c r="AW46" s="94" t="str">
        <f aca="false">IF(ISBLANK($C46),"",IF(V46=Constants!$B$2,TRUE(),IF(V46=Constants!$B$3,FALSE(),TRUE())))</f>
        <v/>
      </c>
      <c r="AX46" s="93" t="str">
        <f aca="false">IF(ISBLANK($C46),"",IF(ISNUMBER(W46),IF(W46&gt;=0,W46,""),""))</f>
        <v/>
      </c>
      <c r="AY46" s="93" t="str">
        <f aca="false">IF(ISBLANK($C46),"",IF(X46=Constants!$B$2,TRUE(),IF(X46=Constants!$B$3,FALSE(),FALSE())))</f>
        <v/>
      </c>
      <c r="AZ46" s="93" t="str">
        <f aca="false">IF(ISBLANK($C46),"",MIN(Constants!$B$25,MAX(0,IF(ISNUMBER(Y46),Y46*60,0)+IF(ISNUMBER(Z46),Z46,0))))</f>
        <v/>
      </c>
      <c r="BA46" s="93" t="str">
        <f aca="false">IF(ISBLANK($C46),"",IF(AA46=Constants!$B$2,TRUE(),IF(AA46=Constants!$B$3,FALSE(),FALSE())))</f>
        <v/>
      </c>
      <c r="BB46" s="92" t="str">
        <f aca="false">IF(ISBLANK($C46),"",AND($AL46,OR($AM46="",$AN46="",AND($AO46,$AP46=""))))</f>
        <v/>
      </c>
      <c r="BC46" s="94" t="str">
        <f aca="false">IF($BX46&lt;&gt;Constants!$B$6,"",IF($AL46,Constants!$B$17*$AN46+Constants!$B$18*IF($AO46,$AP46,Constants!$B$19),Constants!$B$20))</f>
        <v/>
      </c>
      <c r="BD46" s="97" t="str">
        <f aca="false">IF($BX46&lt;&gt;Constants!$B$6,"",Constants!$B$21*ABS($AD$9-IF($AL46,$AM46,0)))</f>
        <v/>
      </c>
      <c r="BE46" s="97" t="str">
        <f aca="false">IF($BX46&lt;&gt;Constants!$B$6,"",IF(AND($AL46,$AQ46,$AO46),Constants!$B$22,0))</f>
        <v/>
      </c>
      <c r="BF46" s="97" t="str">
        <f aca="false">IF($BX46&lt;&gt;Constants!$B$6,"",IF($AL46,($AI46-Constants!$B$24)*Constants!$B$23,0))</f>
        <v/>
      </c>
      <c r="BG46" s="97" t="str">
        <f aca="false">IF($BX46&lt;&gt;Constants!$B$6,"",IF($AK46,0,Constants!$B$12)+IF($AJ46,0,Constants!$B$13)+IF($AH46,0,Constants!$B$14))</f>
        <v/>
      </c>
      <c r="BH46" s="98" t="str">
        <f aca="false">IF($BX46&lt;&gt;Constants!$B$6,"",Constants!$B$16+SUM($BC46:$BG46))</f>
        <v/>
      </c>
      <c r="BI46" s="97" t="str">
        <f aca="false">IF($BX46&lt;&gt;Constants!$B$6,"",$BC46)</f>
        <v/>
      </c>
      <c r="BJ46" s="97" t="str">
        <f aca="false">IF($BX46&lt;&gt;Constants!$B$6,"",$BD46)</f>
        <v/>
      </c>
      <c r="BK46" s="99" t="str">
        <f aca="false">IF($BX46&lt;&gt;Constants!$B$6,"",IF($AL46,$AN46,""))</f>
        <v/>
      </c>
      <c r="BL46" s="93" t="str">
        <f aca="false">IF($BX46&lt;&gt;Constants!$B$6,"",IF(OR($BS46&lt;$BH46,AND($BS46=$BH46,OR($BT46&lt;$BI46,AND($BT46=$BI46,OR($BU46&lt;$BJ46,AND($BU46=$BJ46,AND(ISNUMBER($BV46),OR(NOT(ISNUMBER($BK46)),$BV46&lt;$BK46)))))))),"-&gt;","&lt;-"))</f>
        <v/>
      </c>
      <c r="BM46" s="92" t="str">
        <f aca="false">IF(ISBLANK($C46),"",AND($AT46,OR($AU46="",$AV46="",AND($AW46,$AX46=""))))</f>
        <v/>
      </c>
      <c r="BN46" s="94" t="str">
        <f aca="false">IF($BX46&lt;&gt;Constants!$B$6,"",IF($AT46,Constants!$B$17*$AV46+Constants!$B$18*IF($AW46,$AX46,Constants!$B$19),Constants!$B$20))</f>
        <v/>
      </c>
      <c r="BO46" s="97" t="str">
        <f aca="false">IF($BX46&lt;&gt;Constants!$B$6,"",Constants!$B$21*ABS($AD$9-IF($AT46,$AU46,0)))</f>
        <v/>
      </c>
      <c r="BP46" s="97" t="str">
        <f aca="false">IF($BX46&lt;&gt;Constants!$B$6,"",IF(AND($AT46,$AY46,$AW46),Constants!$B$22,0))</f>
        <v/>
      </c>
      <c r="BQ46" s="97" t="str">
        <f aca="false">IF($BX46&lt;&gt;Constants!$B$6,"",IF($AT46,($AI46-Constants!$B$24)*Constants!$B$23,0))</f>
        <v/>
      </c>
      <c r="BR46" s="97" t="str">
        <f aca="false">IF($BX46&lt;&gt;Constants!$B$6,"",IF($AS46,0,Constants!$B$12)+IF($AR46,0,Constants!$B$13)+IF($AH46,0,Constants!$B$14))</f>
        <v/>
      </c>
      <c r="BS46" s="98" t="str">
        <f aca="false">IF($BX46&lt;&gt;Constants!$B$6,"",Constants!$B$16+SUM($BN46:$BR46))</f>
        <v/>
      </c>
      <c r="BT46" s="97" t="str">
        <f aca="false">IF($BX46&lt;&gt;Constants!$B$6,"",$BN46)</f>
        <v/>
      </c>
      <c r="BU46" s="97" t="str">
        <f aca="false">IF($BX46&lt;&gt;Constants!$B$6,"",$BO46)</f>
        <v/>
      </c>
      <c r="BV46" s="99" t="str">
        <f aca="false">IF($BX46&lt;&gt;Constants!$B$6,"",IF($AT46,$AV46,""))</f>
        <v/>
      </c>
      <c r="BW46" s="93" t="str">
        <f aca="false">IF(ISBLANK($C46),"",IF(ISBLANK($D$7),$BW$5,IF(NOT(ISNUMBER($D$7)),$BW$6,"")))</f>
        <v/>
      </c>
      <c r="BX46" s="93" t="str">
        <f aca="false">IF(ISBLANK($C46),"",IF($BA46,Constants!$B$9,IF(COUNTA($E46:$AA46)=0,Constants!$B$8,IF(NOT($AG46),Constants!$B$7,IF(OR($BW46&lt;&gt;"",$BB46,$BM46),Constants!$B$10,Constants!$B$6)))))</f>
        <v/>
      </c>
      <c r="BY46" s="93" t="str">
        <f aca="false">IF(ISBLANK($C46),"",IF($BX46&lt;&gt;Constants!$B$6,$BX46,Constants!$B$11))</f>
        <v/>
      </c>
      <c r="BZ46" s="97" t="str">
        <f aca="false">IF($BX46&lt;&gt;Constants!$B$6,"",IF($BL46="-&gt;",$BS46,$BH46))</f>
        <v/>
      </c>
      <c r="CA46" s="97" t="str">
        <f aca="false">IF($BX46&lt;&gt;Constants!$B$6,"",IF($AF46,0,Constants!$B$15))</f>
        <v/>
      </c>
      <c r="CB46" s="97" t="str">
        <f aca="false">IF($BX46&lt;&gt;Constants!$B$6,"",((Constants!$B$25-$AZ46)-Constants!$B$25)/Constants!$B$26)</f>
        <v/>
      </c>
      <c r="CC46" s="97" t="str">
        <f aca="false">IF(ISBLANK($C46),"",IF($BX46&lt;&gt;Constants!$B$6,$BX46,SUM($BZ46:$CB46)))</f>
        <v/>
      </c>
      <c r="CD46" s="93" t="str">
        <f aca="false">IF(ISBLANK($C46),"",IF($BX46&lt;&gt;Constants!$B$6,$BX46,RANK($CC46,$CC$9:$CC$508,1)))</f>
        <v/>
      </c>
      <c r="CE46" s="97" t="str">
        <f aca="false">IF($BX46&lt;&gt;Constants!$B$6,"",IF($BL46="-&gt;",$BT46,$BI46))</f>
        <v/>
      </c>
      <c r="CF46" s="93" t="str">
        <f aca="false">IF(ISBLANK($C46),"",IF($BX46&lt;&gt;Constants!$B$6,$BX46,IF(ISNUMBER($CE46),RANK($CE46,$CE$9:$CE$508,1),COUNT($CE$9:$CE$508)+1)))</f>
        <v/>
      </c>
      <c r="CG46" s="97" t="str">
        <f aca="false">IF($BX46&lt;&gt;Constants!$B$6,"",IF($BL46="-&gt;",$BU46,$BJ46))</f>
        <v/>
      </c>
      <c r="CH46" s="93" t="str">
        <f aca="false">IF(ISBLANK($C46),"",IF($BX46&lt;&gt;Constants!$B$6,$BX46,IF(ISNUMBER($CG46),RANK($CG46,$CG$9:$CG$508,1),COUNT($CG$9:$CG$508)+1)))</f>
        <v/>
      </c>
      <c r="CI46" s="97" t="str">
        <f aca="false">IF($BX46&lt;&gt;Constants!$B$6,"",IF($BL46="-&gt;",$BV46,$BK46))</f>
        <v/>
      </c>
      <c r="CJ46" s="93" t="str">
        <f aca="false">IF(ISBLANK($C46),"",IF($BX46&lt;&gt;Constants!$B$6,$BX46,IF(ISNUMBER($CI46),RANK($CI46,$CI$9:$CI$508,1),COUNT($CI$9:$CI$508)+1)))</f>
        <v/>
      </c>
      <c r="CK46" s="97" t="str">
        <f aca="false">IF($BX46&lt;&gt;Constants!$B$6,"",$AI46)</f>
        <v/>
      </c>
      <c r="CL46" s="93" t="str">
        <f aca="false">IF(ISBLANK($C46),"",IF($BX46&lt;&gt;Constants!$B$6,$BX46,IF(ISNUMBER($CK46),RANK($CK46,$CK$9:$CK$508,1),COUNT($CK$9:$CK$508)+1)))</f>
        <v/>
      </c>
      <c r="CM46" s="93" t="str">
        <f aca="false">IF(ISBLANK($C46),"",IF($BX46&lt;&gt;Constants!$B$6,$BX46,COUNTIFS($CD$9:$CD$508,"&lt;"&amp;$CD46)+COUNTIFS($CD$9:$CD$508,$CD46,$CF$9:$CF$508,"&lt;"&amp;$CF46)+COUNTIFS($CD$9:$CD$508,$CD46,$CF$9:$CF$508,$CF46,$CH$9:$CH$508,"&lt;"&amp;$CH46)+COUNTIFS($CD$9:$CD$508,$CD46,$CF$9:$CF$508,$CF46,$CH$9:$CH$508,$CH46,$CJ$9:$CJ$508,"&lt;"&amp;$CJ46)+COUNTIFS($CD$9:$CD$508,$CD46,$CF$9:$CF$508,$CF46,$CH$9:$CH$508,$CH46,$CJ$9:$CJ$508,$CJ46,$CL$9:$CL$508,"&lt;"&amp;$CL46)+1))</f>
        <v/>
      </c>
      <c r="CN46" s="93" t="str">
        <f aca="false">IF(ISBLANK($C46),"",IF($BX46&lt;&gt;Constants!$B$6,$BX46,$CD46-$CM46))</f>
        <v/>
      </c>
      <c r="CO46" s="100"/>
      <c r="CP46" s="101"/>
      <c r="CQ46" s="102" t="str">
        <f aca="false">IF(ISBLANK($C46),"",IF($BX46=Constants!$B$10,$BW46,""))</f>
        <v/>
      </c>
      <c r="CR46" s="101" t="str">
        <f aca="false">IF(ISBLANK($C46),"",IF($BX46&lt;&gt;Constants!$B$6,"",IF($BL46="-&gt;",2,1)))</f>
        <v/>
      </c>
      <c r="CS46" s="103" t="str">
        <f aca="false">IF(ISBLANK($C46),"",IF($BX46&lt;&gt;Constants!$B$6,"",IF($BL46="-&gt;",$BN46,$BC46)))</f>
        <v/>
      </c>
      <c r="CT46" s="103" t="str">
        <f aca="false">IF(ISBLANK($C46),"",IF($BX46&lt;&gt;Constants!$B$6,"",IF($BL46="-&gt;",$BO46,$BD46)))</f>
        <v/>
      </c>
      <c r="CU46" s="103" t="str">
        <f aca="false">IF(ISBLANK($C46),"",IF($BX46&lt;&gt;Constants!$B$6,"",IF($BL46="-&gt;",$BP46+$BQ46,$BE46+$BF46)+$CB46))</f>
        <v/>
      </c>
      <c r="CV46" s="103" t="str">
        <f aca="false">IF(ISBLANK($C46),"",IF($BX46&lt;&gt;Constants!$B$6,"",IF($BL46="-&gt;",$BR46,$BG46)+$CA46))</f>
        <v/>
      </c>
      <c r="CW46" s="104" t="str">
        <f aca="false">IF(ISBLANK($C46),"",IF($BX46&lt;&gt;Constants!$B$6,$BX46,$CC46))</f>
        <v/>
      </c>
      <c r="CX46" s="105" t="str">
        <f aca="false">IF(ISBLANK($C46),"",$BY46)</f>
        <v/>
      </c>
      <c r="CY46" s="106" t="str">
        <f aca="false">IF(ISBLANK($C46),"",$CN46)</f>
        <v/>
      </c>
      <c r="CZ46" s="106" t="str">
        <f aca="false">IF(ISBLANK($C46),"",$CM46)</f>
        <v/>
      </c>
      <c r="DA46" s="107" t="str">
        <f aca="false">IF(ISBLANK($C46),"",IFERROR(_xlfn.SWITCH($CZ46,Constants!$B$9,COUNTA($C$9:$C$508)+2,Constants!$B$8,COUNTA($C$9:$C$508)+1,Constants!$B$7,COUNTA($C$9:$C$508)),$CZ46))</f>
        <v/>
      </c>
      <c r="DB46" s="9"/>
      <c r="DC46" s="108" t="n">
        <f aca="false">IF(OR(ISNUMBER($CZ46),$CZ46=Constants!$B$9,$CZ46=Constants!$B$7,$CZ46=Constants!$B$8),1,0)</f>
        <v>0</v>
      </c>
      <c r="DD46" s="108" t="n">
        <v>38</v>
      </c>
      <c r="DE46" s="108" t="str">
        <f aca="false">IF(ISBLANK($C46),"",IF(ISNUMBER($DA46),$DA46+ROW($B46)/1000,""))</f>
        <v/>
      </c>
      <c r="DF46" s="108" t="str">
        <f aca="false">IF(ISNUMBER($DE46),RANK($DE46,$DE$9:$DE$508,1),"")</f>
        <v/>
      </c>
      <c r="DG46" s="108" t="str">
        <f aca="false">IF(ISBLANK($C46),"",$B46)</f>
        <v/>
      </c>
      <c r="DH46" s="108" t="str">
        <f aca="false">IF(ISBLANK($C46),"",$C46)</f>
        <v/>
      </c>
      <c r="DI46" s="108" t="str">
        <f aca="false">IF(ISBLANK($C46),"",$D46)</f>
        <v/>
      </c>
      <c r="DJ46" s="109" t="str">
        <f aca="false">$CX46</f>
        <v/>
      </c>
      <c r="DK46" s="110" t="str">
        <f aca="false">$CW46</f>
        <v/>
      </c>
      <c r="DL46" s="108" t="str">
        <f aca="false">IF(ISBLANK($C46),"",$CZ46)</f>
        <v/>
      </c>
      <c r="DM46" s="111" t="str">
        <f aca="false">IF($DD46&gt;$DC$8,"",VLOOKUP($DD46,$DF$9:$DL$508,7,FALSE()))</f>
        <v/>
      </c>
      <c r="DN46" s="112" t="str">
        <f aca="false">IF($DD46&gt;$DC$8,"",VLOOKUP($DD46,$DF$9:$DL$508,2,FALSE()))</f>
        <v/>
      </c>
      <c r="DO46" s="112" t="str">
        <f aca="false">IF($DD46&gt;$DC$8,"",VLOOKUP($DD46,$DF$9:$DL$508,3,FALSE()))</f>
        <v/>
      </c>
      <c r="DP46" s="112" t="str">
        <f aca="false">IF($DD46&gt;$DC$8,"",VLOOKUP($DD46,$DF$9:$DL$508,4,FALSE()))</f>
        <v/>
      </c>
      <c r="DQ46" s="112" t="str">
        <f aca="false">IF($DD46&gt;$DC$8,"",VLOOKUP($DD46,$DF$9:$DL$508,5,FALSE()))</f>
        <v/>
      </c>
      <c r="DR46" s="113" t="str">
        <f aca="false">IF($DD46&gt;$DC$8,"",VLOOKUP($DD46,$DF$9:$DL$508,6,FALSE()))</f>
        <v/>
      </c>
      <c r="DS46" s="76"/>
    </row>
    <row r="47" customFormat="false" ht="15.75" hidden="false" customHeight="false" outlineLevel="0" collapsed="false">
      <c r="A47" s="9"/>
      <c r="B47" s="78"/>
      <c r="C47" s="79"/>
      <c r="D47" s="170"/>
      <c r="E47" s="178"/>
      <c r="F47" s="172"/>
      <c r="G47" s="173"/>
      <c r="H47" s="173"/>
      <c r="I47" s="179"/>
      <c r="J47" s="176"/>
      <c r="K47" s="86"/>
      <c r="L47" s="87"/>
      <c r="M47" s="88"/>
      <c r="N47" s="176"/>
      <c r="O47" s="176"/>
      <c r="P47" s="178"/>
      <c r="Q47" s="176"/>
      <c r="R47" s="176"/>
      <c r="S47" s="86"/>
      <c r="T47" s="88"/>
      <c r="U47" s="88"/>
      <c r="V47" s="176"/>
      <c r="W47" s="176"/>
      <c r="X47" s="178"/>
      <c r="Y47" s="176"/>
      <c r="Z47" s="177"/>
      <c r="AA47" s="176"/>
      <c r="AB47" s="92"/>
      <c r="AC47" s="93"/>
      <c r="AD47" s="93"/>
      <c r="AE47" s="93"/>
      <c r="AF47" s="93" t="str">
        <f aca="false">IF(ISBLANK($C47),"",IF(E47=Constants!$B$2,TRUE(),IF(E47=Constants!$B$3,FALSE(),TRUE())))</f>
        <v/>
      </c>
      <c r="AG47" s="93" t="str">
        <f aca="false">IF(ISBLANK($C47),"",IF(F47=Constants!$B$2,TRUE(),IF(F47=Constants!$B$3,FALSE(),TRUE())))</f>
        <v/>
      </c>
      <c r="AH47" s="93" t="str">
        <f aca="false">IF(ISBLANK($C47),"",IF(G47=Constants!$B$2,TRUE(),IF(G47=Constants!$B$3,FALSE(),TRUE())))</f>
        <v/>
      </c>
      <c r="AI47" s="93" t="str">
        <f aca="false">IF(ISBLANK($C47),"",IF(AND(ISNUMBER(H47),H47&gt;=0),H47,Constants!$B$24))</f>
        <v/>
      </c>
      <c r="AJ47" s="93" t="str">
        <f aca="false">IF(ISBLANK($C47),"",IF(I47=Constants!$B$2,TRUE(),IF(I47=Constants!$B$3,FALSE(),TRUE())))</f>
        <v/>
      </c>
      <c r="AK47" s="93" t="str">
        <f aca="false">IF(ISBLANK($C47),"",IF(J47=Constants!$B$2,TRUE(),IF(J47=Constants!$B$3,FALSE(),TRUE())))</f>
        <v/>
      </c>
      <c r="AL47" s="93" t="str">
        <f aca="false">IF(ISBLANK($C47),"",IF(K47=Constants!$B$4,TRUE(),IF(K47=Constants!$B$5,FALSE(),COUNTA(L47:P47)&gt;0)))</f>
        <v/>
      </c>
      <c r="AM47" s="95" t="str">
        <f aca="false">IF(ISBLANK($C47),"",IF(ISNUMBER(L47),IF(L47&gt;=0,L47,""),""))</f>
        <v/>
      </c>
      <c r="AN47" s="94" t="str">
        <f aca="false">IF(ISBLANK($C47),"",IF(ISNUMBER(M47),IF(M47&gt;=0,M47,""),""))</f>
        <v/>
      </c>
      <c r="AO47" s="94" t="str">
        <f aca="false">IF(ISBLANK($C47),"",IF(N47=Constants!$B$2,TRUE(),IF(N47=Constants!$B$3,FALSE(),TRUE())))</f>
        <v/>
      </c>
      <c r="AP47" s="93" t="str">
        <f aca="false">IF(ISBLANK($C47),"",IF(ISNUMBER(O47),IF(O47&gt;=0,O47,""),""))</f>
        <v/>
      </c>
      <c r="AQ47" s="93" t="str">
        <f aca="false">IF(ISBLANK($C47),"",IF(P47=Constants!$B$2,TRUE(),IF(P47=Constants!$B$3,FALSE(),FALSE())))</f>
        <v/>
      </c>
      <c r="AR47" s="93" t="str">
        <f aca="false">IF(ISBLANK($C47),"",IF(Q47=Constants!$B$2,TRUE(),IF(Q47=Constants!$B$3,FALSE(),TRUE())))</f>
        <v/>
      </c>
      <c r="AS47" s="93" t="str">
        <f aca="false">IF(ISBLANK($C47),"",IF(R47=Constants!$B$2,TRUE(),IF(R47=Constants!$B$3,FALSE(),TRUE())))</f>
        <v/>
      </c>
      <c r="AT47" s="93" t="str">
        <f aca="false">IF(ISBLANK($C47),"",IF(S47=Constants!$B$4,TRUE(),IF(S47=Constants!$B$5,FALSE(),COUNTA(T47:X47)&gt;0)))</f>
        <v/>
      </c>
      <c r="AU47" s="95" t="str">
        <f aca="false">IF(ISBLANK($C47),"",IF(ISNUMBER(T47),IF(T47&gt;=0,T47,""),""))</f>
        <v/>
      </c>
      <c r="AV47" s="94" t="str">
        <f aca="false">IF(ISBLANK($C47),"",IF(ISNUMBER(U47),IF(U47&gt;=0,U47,""),""))</f>
        <v/>
      </c>
      <c r="AW47" s="94" t="str">
        <f aca="false">IF(ISBLANK($C47),"",IF(V47=Constants!$B$2,TRUE(),IF(V47=Constants!$B$3,FALSE(),TRUE())))</f>
        <v/>
      </c>
      <c r="AX47" s="93" t="str">
        <f aca="false">IF(ISBLANK($C47),"",IF(ISNUMBER(W47),IF(W47&gt;=0,W47,""),""))</f>
        <v/>
      </c>
      <c r="AY47" s="93" t="str">
        <f aca="false">IF(ISBLANK($C47),"",IF(X47=Constants!$B$2,TRUE(),IF(X47=Constants!$B$3,FALSE(),FALSE())))</f>
        <v/>
      </c>
      <c r="AZ47" s="93" t="str">
        <f aca="false">IF(ISBLANK($C47),"",MIN(Constants!$B$25,MAX(0,IF(ISNUMBER(Y47),Y47*60,0)+IF(ISNUMBER(Z47),Z47,0))))</f>
        <v/>
      </c>
      <c r="BA47" s="93" t="str">
        <f aca="false">IF(ISBLANK($C47),"",IF(AA47=Constants!$B$2,TRUE(),IF(AA47=Constants!$B$3,FALSE(),FALSE())))</f>
        <v/>
      </c>
      <c r="BB47" s="92" t="str">
        <f aca="false">IF(ISBLANK($C47),"",AND($AL47,OR($AM47="",$AN47="",AND($AO47,$AP47=""))))</f>
        <v/>
      </c>
      <c r="BC47" s="94" t="str">
        <f aca="false">IF($BX47&lt;&gt;Constants!$B$6,"",IF($AL47,Constants!$B$17*$AN47+Constants!$B$18*IF($AO47,$AP47,Constants!$B$19),Constants!$B$20))</f>
        <v/>
      </c>
      <c r="BD47" s="97" t="str">
        <f aca="false">IF($BX47&lt;&gt;Constants!$B$6,"",Constants!$B$21*ABS($AD$9-IF($AL47,$AM47,0)))</f>
        <v/>
      </c>
      <c r="BE47" s="97" t="str">
        <f aca="false">IF($BX47&lt;&gt;Constants!$B$6,"",IF(AND($AL47,$AQ47,$AO47),Constants!$B$22,0))</f>
        <v/>
      </c>
      <c r="BF47" s="97" t="str">
        <f aca="false">IF($BX47&lt;&gt;Constants!$B$6,"",IF($AL47,($AI47-Constants!$B$24)*Constants!$B$23,0))</f>
        <v/>
      </c>
      <c r="BG47" s="97" t="str">
        <f aca="false">IF($BX47&lt;&gt;Constants!$B$6,"",IF($AK47,0,Constants!$B$12)+IF($AJ47,0,Constants!$B$13)+IF($AH47,0,Constants!$B$14))</f>
        <v/>
      </c>
      <c r="BH47" s="98" t="str">
        <f aca="false">IF($BX47&lt;&gt;Constants!$B$6,"",Constants!$B$16+SUM($BC47:$BG47))</f>
        <v/>
      </c>
      <c r="BI47" s="97" t="str">
        <f aca="false">IF($BX47&lt;&gt;Constants!$B$6,"",$BC47)</f>
        <v/>
      </c>
      <c r="BJ47" s="97" t="str">
        <f aca="false">IF($BX47&lt;&gt;Constants!$B$6,"",$BD47)</f>
        <v/>
      </c>
      <c r="BK47" s="99" t="str">
        <f aca="false">IF($BX47&lt;&gt;Constants!$B$6,"",IF($AL47,$AN47,""))</f>
        <v/>
      </c>
      <c r="BL47" s="93" t="str">
        <f aca="false">IF($BX47&lt;&gt;Constants!$B$6,"",IF(OR($BS47&lt;$BH47,AND($BS47=$BH47,OR($BT47&lt;$BI47,AND($BT47=$BI47,OR($BU47&lt;$BJ47,AND($BU47=$BJ47,AND(ISNUMBER($BV47),OR(NOT(ISNUMBER($BK47)),$BV47&lt;$BK47)))))))),"-&gt;","&lt;-"))</f>
        <v/>
      </c>
      <c r="BM47" s="92" t="str">
        <f aca="false">IF(ISBLANK($C47),"",AND($AT47,OR($AU47="",$AV47="",AND($AW47,$AX47=""))))</f>
        <v/>
      </c>
      <c r="BN47" s="94" t="str">
        <f aca="false">IF($BX47&lt;&gt;Constants!$B$6,"",IF($AT47,Constants!$B$17*$AV47+Constants!$B$18*IF($AW47,$AX47,Constants!$B$19),Constants!$B$20))</f>
        <v/>
      </c>
      <c r="BO47" s="97" t="str">
        <f aca="false">IF($BX47&lt;&gt;Constants!$B$6,"",Constants!$B$21*ABS($AD$9-IF($AT47,$AU47,0)))</f>
        <v/>
      </c>
      <c r="BP47" s="97" t="str">
        <f aca="false">IF($BX47&lt;&gt;Constants!$B$6,"",IF(AND($AT47,$AY47,$AW47),Constants!$B$22,0))</f>
        <v/>
      </c>
      <c r="BQ47" s="97" t="str">
        <f aca="false">IF($BX47&lt;&gt;Constants!$B$6,"",IF($AT47,($AI47-Constants!$B$24)*Constants!$B$23,0))</f>
        <v/>
      </c>
      <c r="BR47" s="97" t="str">
        <f aca="false">IF($BX47&lt;&gt;Constants!$B$6,"",IF($AS47,0,Constants!$B$12)+IF($AR47,0,Constants!$B$13)+IF($AH47,0,Constants!$B$14))</f>
        <v/>
      </c>
      <c r="BS47" s="98" t="str">
        <f aca="false">IF($BX47&lt;&gt;Constants!$B$6,"",Constants!$B$16+SUM($BN47:$BR47))</f>
        <v/>
      </c>
      <c r="BT47" s="97" t="str">
        <f aca="false">IF($BX47&lt;&gt;Constants!$B$6,"",$BN47)</f>
        <v/>
      </c>
      <c r="BU47" s="97" t="str">
        <f aca="false">IF($BX47&lt;&gt;Constants!$B$6,"",$BO47)</f>
        <v/>
      </c>
      <c r="BV47" s="99" t="str">
        <f aca="false">IF($BX47&lt;&gt;Constants!$B$6,"",IF($AT47,$AV47,""))</f>
        <v/>
      </c>
      <c r="BW47" s="93" t="str">
        <f aca="false">IF(ISBLANK($C47),"",IF(ISBLANK($D$7),$BW$5,IF(NOT(ISNUMBER($D$7)),$BW$6,"")))</f>
        <v/>
      </c>
      <c r="BX47" s="93" t="str">
        <f aca="false">IF(ISBLANK($C47),"",IF($BA47,Constants!$B$9,IF(COUNTA($E47:$AA47)=0,Constants!$B$8,IF(NOT($AG47),Constants!$B$7,IF(OR($BW47&lt;&gt;"",$BB47,$BM47),Constants!$B$10,Constants!$B$6)))))</f>
        <v/>
      </c>
      <c r="BY47" s="93" t="str">
        <f aca="false">IF(ISBLANK($C47),"",IF($BX47&lt;&gt;Constants!$B$6,$BX47,Constants!$B$11))</f>
        <v/>
      </c>
      <c r="BZ47" s="97" t="str">
        <f aca="false">IF($BX47&lt;&gt;Constants!$B$6,"",IF($BL47="-&gt;",$BS47,$BH47))</f>
        <v/>
      </c>
      <c r="CA47" s="97" t="str">
        <f aca="false">IF($BX47&lt;&gt;Constants!$B$6,"",IF($AF47,0,Constants!$B$15))</f>
        <v/>
      </c>
      <c r="CB47" s="97" t="str">
        <f aca="false">IF($BX47&lt;&gt;Constants!$B$6,"",((Constants!$B$25-$AZ47)-Constants!$B$25)/Constants!$B$26)</f>
        <v/>
      </c>
      <c r="CC47" s="97" t="str">
        <f aca="false">IF(ISBLANK($C47),"",IF($BX47&lt;&gt;Constants!$B$6,$BX47,SUM($BZ47:$CB47)))</f>
        <v/>
      </c>
      <c r="CD47" s="93" t="str">
        <f aca="false">IF(ISBLANK($C47),"",IF($BX47&lt;&gt;Constants!$B$6,$BX47,RANK($CC47,$CC$9:$CC$508,1)))</f>
        <v/>
      </c>
      <c r="CE47" s="97" t="str">
        <f aca="false">IF($BX47&lt;&gt;Constants!$B$6,"",IF($BL47="-&gt;",$BT47,$BI47))</f>
        <v/>
      </c>
      <c r="CF47" s="93" t="str">
        <f aca="false">IF(ISBLANK($C47),"",IF($BX47&lt;&gt;Constants!$B$6,$BX47,IF(ISNUMBER($CE47),RANK($CE47,$CE$9:$CE$508,1),COUNT($CE$9:$CE$508)+1)))</f>
        <v/>
      </c>
      <c r="CG47" s="97" t="str">
        <f aca="false">IF($BX47&lt;&gt;Constants!$B$6,"",IF($BL47="-&gt;",$BU47,$BJ47))</f>
        <v/>
      </c>
      <c r="CH47" s="93" t="str">
        <f aca="false">IF(ISBLANK($C47),"",IF($BX47&lt;&gt;Constants!$B$6,$BX47,IF(ISNUMBER($CG47),RANK($CG47,$CG$9:$CG$508,1),COUNT($CG$9:$CG$508)+1)))</f>
        <v/>
      </c>
      <c r="CI47" s="97" t="str">
        <f aca="false">IF($BX47&lt;&gt;Constants!$B$6,"",IF($BL47="-&gt;",$BV47,$BK47))</f>
        <v/>
      </c>
      <c r="CJ47" s="93" t="str">
        <f aca="false">IF(ISBLANK($C47),"",IF($BX47&lt;&gt;Constants!$B$6,$BX47,IF(ISNUMBER($CI47),RANK($CI47,$CI$9:$CI$508,1),COUNT($CI$9:$CI$508)+1)))</f>
        <v/>
      </c>
      <c r="CK47" s="97" t="str">
        <f aca="false">IF($BX47&lt;&gt;Constants!$B$6,"",$AI47)</f>
        <v/>
      </c>
      <c r="CL47" s="93" t="str">
        <f aca="false">IF(ISBLANK($C47),"",IF($BX47&lt;&gt;Constants!$B$6,$BX47,IF(ISNUMBER($CK47),RANK($CK47,$CK$9:$CK$508,1),COUNT($CK$9:$CK$508)+1)))</f>
        <v/>
      </c>
      <c r="CM47" s="93" t="str">
        <f aca="false">IF(ISBLANK($C47),"",IF($BX47&lt;&gt;Constants!$B$6,$BX47,COUNTIFS($CD$9:$CD$508,"&lt;"&amp;$CD47)+COUNTIFS($CD$9:$CD$508,$CD47,$CF$9:$CF$508,"&lt;"&amp;$CF47)+COUNTIFS($CD$9:$CD$508,$CD47,$CF$9:$CF$508,$CF47,$CH$9:$CH$508,"&lt;"&amp;$CH47)+COUNTIFS($CD$9:$CD$508,$CD47,$CF$9:$CF$508,$CF47,$CH$9:$CH$508,$CH47,$CJ$9:$CJ$508,"&lt;"&amp;$CJ47)+COUNTIFS($CD$9:$CD$508,$CD47,$CF$9:$CF$508,$CF47,$CH$9:$CH$508,$CH47,$CJ$9:$CJ$508,$CJ47,$CL$9:$CL$508,"&lt;"&amp;$CL47)+1))</f>
        <v/>
      </c>
      <c r="CN47" s="93" t="str">
        <f aca="false">IF(ISBLANK($C47),"",IF($BX47&lt;&gt;Constants!$B$6,$BX47,$CD47-$CM47))</f>
        <v/>
      </c>
      <c r="CO47" s="100"/>
      <c r="CP47" s="101"/>
      <c r="CQ47" s="102" t="str">
        <f aca="false">IF(ISBLANK($C47),"",IF($BX47=Constants!$B$10,$BW47,""))</f>
        <v/>
      </c>
      <c r="CR47" s="101" t="str">
        <f aca="false">IF(ISBLANK($C47),"",IF($BX47&lt;&gt;Constants!$B$6,"",IF($BL47="-&gt;",2,1)))</f>
        <v/>
      </c>
      <c r="CS47" s="103" t="str">
        <f aca="false">IF(ISBLANK($C47),"",IF($BX47&lt;&gt;Constants!$B$6,"",IF($BL47="-&gt;",$BN47,$BC47)))</f>
        <v/>
      </c>
      <c r="CT47" s="103" t="str">
        <f aca="false">IF(ISBLANK($C47),"",IF($BX47&lt;&gt;Constants!$B$6,"",IF($BL47="-&gt;",$BO47,$BD47)))</f>
        <v/>
      </c>
      <c r="CU47" s="103" t="str">
        <f aca="false">IF(ISBLANK($C47),"",IF($BX47&lt;&gt;Constants!$B$6,"",IF($BL47="-&gt;",$BP47+$BQ47,$BE47+$BF47)+$CB47))</f>
        <v/>
      </c>
      <c r="CV47" s="103" t="str">
        <f aca="false">IF(ISBLANK($C47),"",IF($BX47&lt;&gt;Constants!$B$6,"",IF($BL47="-&gt;",$BR47,$BG47)+$CA47))</f>
        <v/>
      </c>
      <c r="CW47" s="104" t="str">
        <f aca="false">IF(ISBLANK($C47),"",IF($BX47&lt;&gt;Constants!$B$6,$BX47,$CC47))</f>
        <v/>
      </c>
      <c r="CX47" s="105" t="str">
        <f aca="false">IF(ISBLANK($C47),"",$BY47)</f>
        <v/>
      </c>
      <c r="CY47" s="106" t="str">
        <f aca="false">IF(ISBLANK($C47),"",$CN47)</f>
        <v/>
      </c>
      <c r="CZ47" s="106" t="str">
        <f aca="false">IF(ISBLANK($C47),"",$CM47)</f>
        <v/>
      </c>
      <c r="DA47" s="107" t="str">
        <f aca="false">IF(ISBLANK($C47),"",IFERROR(_xlfn.SWITCH($CZ47,Constants!$B$9,COUNTA($C$9:$C$508)+2,Constants!$B$8,COUNTA($C$9:$C$508)+1,Constants!$B$7,COUNTA($C$9:$C$508)),$CZ47))</f>
        <v/>
      </c>
      <c r="DB47" s="9"/>
      <c r="DC47" s="108" t="n">
        <f aca="false">IF(OR(ISNUMBER($CZ47),$CZ47=Constants!$B$9,$CZ47=Constants!$B$7,$CZ47=Constants!$B$8),1,0)</f>
        <v>0</v>
      </c>
      <c r="DD47" s="108" t="n">
        <v>39</v>
      </c>
      <c r="DE47" s="108" t="str">
        <f aca="false">IF(ISBLANK($C47),"",IF(ISNUMBER($DA47),$DA47+ROW($B47)/1000,""))</f>
        <v/>
      </c>
      <c r="DF47" s="108" t="str">
        <f aca="false">IF(ISNUMBER($DE47),RANK($DE47,$DE$9:$DE$508,1),"")</f>
        <v/>
      </c>
      <c r="DG47" s="108" t="str">
        <f aca="false">IF(ISBLANK($C47),"",$B47)</f>
        <v/>
      </c>
      <c r="DH47" s="108" t="str">
        <f aca="false">IF(ISBLANK($C47),"",$C47)</f>
        <v/>
      </c>
      <c r="DI47" s="108" t="str">
        <f aca="false">IF(ISBLANK($C47),"",$D47)</f>
        <v/>
      </c>
      <c r="DJ47" s="109" t="str">
        <f aca="false">$CX47</f>
        <v/>
      </c>
      <c r="DK47" s="110" t="str">
        <f aca="false">$CW47</f>
        <v/>
      </c>
      <c r="DL47" s="108" t="str">
        <f aca="false">IF(ISBLANK($C47),"",$CZ47)</f>
        <v/>
      </c>
      <c r="DM47" s="111" t="str">
        <f aca="false">IF($DD47&gt;$DC$8,"",VLOOKUP($DD47,$DF$9:$DL$508,7,FALSE()))</f>
        <v/>
      </c>
      <c r="DN47" s="112" t="str">
        <f aca="false">IF($DD47&gt;$DC$8,"",VLOOKUP($DD47,$DF$9:$DL$508,2,FALSE()))</f>
        <v/>
      </c>
      <c r="DO47" s="112" t="str">
        <f aca="false">IF($DD47&gt;$DC$8,"",VLOOKUP($DD47,$DF$9:$DL$508,3,FALSE()))</f>
        <v/>
      </c>
      <c r="DP47" s="112" t="str">
        <f aca="false">IF($DD47&gt;$DC$8,"",VLOOKUP($DD47,$DF$9:$DL$508,4,FALSE()))</f>
        <v/>
      </c>
      <c r="DQ47" s="112" t="str">
        <f aca="false">IF($DD47&gt;$DC$8,"",VLOOKUP($DD47,$DF$9:$DL$508,5,FALSE()))</f>
        <v/>
      </c>
      <c r="DR47" s="113" t="str">
        <f aca="false">IF($DD47&gt;$DC$8,"",VLOOKUP($DD47,$DF$9:$DL$508,6,FALSE()))</f>
        <v/>
      </c>
      <c r="DS47" s="76"/>
    </row>
    <row r="48" customFormat="false" ht="15.75" hidden="false" customHeight="false" outlineLevel="0" collapsed="false">
      <c r="A48" s="9"/>
      <c r="B48" s="160"/>
      <c r="C48" s="161"/>
      <c r="D48" s="162"/>
      <c r="E48" s="180"/>
      <c r="F48" s="164"/>
      <c r="G48" s="165"/>
      <c r="H48" s="165"/>
      <c r="I48" s="181"/>
      <c r="J48" s="168"/>
      <c r="K48" s="128"/>
      <c r="L48" s="129"/>
      <c r="M48" s="130"/>
      <c r="N48" s="168"/>
      <c r="O48" s="168"/>
      <c r="P48" s="180"/>
      <c r="Q48" s="168"/>
      <c r="R48" s="168"/>
      <c r="S48" s="128"/>
      <c r="T48" s="130"/>
      <c r="U48" s="130"/>
      <c r="V48" s="168"/>
      <c r="W48" s="168"/>
      <c r="X48" s="180"/>
      <c r="Y48" s="168"/>
      <c r="Z48" s="169"/>
      <c r="AA48" s="168"/>
      <c r="AB48" s="134"/>
      <c r="AC48" s="135"/>
      <c r="AD48" s="135"/>
      <c r="AE48" s="135"/>
      <c r="AF48" s="135" t="str">
        <f aca="false">IF(ISBLANK($C48),"",IF(E48=Constants!$B$2,TRUE(),IF(E48=Constants!$B$3,FALSE(),TRUE())))</f>
        <v/>
      </c>
      <c r="AG48" s="135" t="str">
        <f aca="false">IF(ISBLANK($C48),"",IF(F48=Constants!$B$2,TRUE(),IF(F48=Constants!$B$3,FALSE(),TRUE())))</f>
        <v/>
      </c>
      <c r="AH48" s="135" t="str">
        <f aca="false">IF(ISBLANK($C48),"",IF(G48=Constants!$B$2,TRUE(),IF(G48=Constants!$B$3,FALSE(),TRUE())))</f>
        <v/>
      </c>
      <c r="AI48" s="135" t="str">
        <f aca="false">IF(ISBLANK($C48),"",IF(AND(ISNUMBER(H48),H48&gt;=0),H48,Constants!$B$24))</f>
        <v/>
      </c>
      <c r="AJ48" s="135" t="str">
        <f aca="false">IF(ISBLANK($C48),"",IF(I48=Constants!$B$2,TRUE(),IF(I48=Constants!$B$3,FALSE(),TRUE())))</f>
        <v/>
      </c>
      <c r="AK48" s="135" t="str">
        <f aca="false">IF(ISBLANK($C48),"",IF(J48=Constants!$B$2,TRUE(),IF(J48=Constants!$B$3,FALSE(),TRUE())))</f>
        <v/>
      </c>
      <c r="AL48" s="135" t="str">
        <f aca="false">IF(ISBLANK($C48),"",IF(K48=Constants!$B$4,TRUE(),IF(K48=Constants!$B$5,FALSE(),COUNTA(L48:P48)&gt;0)))</f>
        <v/>
      </c>
      <c r="AM48" s="136" t="str">
        <f aca="false">IF(ISBLANK($C48),"",IF(ISNUMBER(L48),IF(L48&gt;=0,L48,""),""))</f>
        <v/>
      </c>
      <c r="AN48" s="137" t="str">
        <f aca="false">IF(ISBLANK($C48),"",IF(ISNUMBER(M48),IF(M48&gt;=0,M48,""),""))</f>
        <v/>
      </c>
      <c r="AO48" s="137" t="str">
        <f aca="false">IF(ISBLANK($C48),"",IF(N48=Constants!$B$2,TRUE(),IF(N48=Constants!$B$3,FALSE(),TRUE())))</f>
        <v/>
      </c>
      <c r="AP48" s="135" t="str">
        <f aca="false">IF(ISBLANK($C48),"",IF(ISNUMBER(O48),IF(O48&gt;=0,O48,""),""))</f>
        <v/>
      </c>
      <c r="AQ48" s="135" t="str">
        <f aca="false">IF(ISBLANK($C48),"",IF(P48=Constants!$B$2,TRUE(),IF(P48=Constants!$B$3,FALSE(),FALSE())))</f>
        <v/>
      </c>
      <c r="AR48" s="135" t="str">
        <f aca="false">IF(ISBLANK($C48),"",IF(Q48=Constants!$B$2,TRUE(),IF(Q48=Constants!$B$3,FALSE(),TRUE())))</f>
        <v/>
      </c>
      <c r="AS48" s="135" t="str">
        <f aca="false">IF(ISBLANK($C48),"",IF(R48=Constants!$B$2,TRUE(),IF(R48=Constants!$B$3,FALSE(),TRUE())))</f>
        <v/>
      </c>
      <c r="AT48" s="135" t="str">
        <f aca="false">IF(ISBLANK($C48),"",IF(S48=Constants!$B$4,TRUE(),IF(S48=Constants!$B$5,FALSE(),COUNTA(T48:X48)&gt;0)))</f>
        <v/>
      </c>
      <c r="AU48" s="136" t="str">
        <f aca="false">IF(ISBLANK($C48),"",IF(ISNUMBER(T48),IF(T48&gt;=0,T48,""),""))</f>
        <v/>
      </c>
      <c r="AV48" s="137" t="str">
        <f aca="false">IF(ISBLANK($C48),"",IF(ISNUMBER(U48),IF(U48&gt;=0,U48,""),""))</f>
        <v/>
      </c>
      <c r="AW48" s="137" t="str">
        <f aca="false">IF(ISBLANK($C48),"",IF(V48=Constants!$B$2,TRUE(),IF(V48=Constants!$B$3,FALSE(),TRUE())))</f>
        <v/>
      </c>
      <c r="AX48" s="135" t="str">
        <f aca="false">IF(ISBLANK($C48),"",IF(ISNUMBER(W48),IF(W48&gt;=0,W48,""),""))</f>
        <v/>
      </c>
      <c r="AY48" s="135" t="str">
        <f aca="false">IF(ISBLANK($C48),"",IF(X48=Constants!$B$2,TRUE(),IF(X48=Constants!$B$3,FALSE(),FALSE())))</f>
        <v/>
      </c>
      <c r="AZ48" s="135" t="str">
        <f aca="false">IF(ISBLANK($C48),"",MIN(Constants!$B$25,MAX(0,IF(ISNUMBER(Y48),Y48*60,0)+IF(ISNUMBER(Z48),Z48,0))))</f>
        <v/>
      </c>
      <c r="BA48" s="135" t="str">
        <f aca="false">IF(ISBLANK($C48),"",IF(AA48=Constants!$B$2,TRUE(),IF(AA48=Constants!$B$3,FALSE(),FALSE())))</f>
        <v/>
      </c>
      <c r="BB48" s="134" t="str">
        <f aca="false">IF(ISBLANK($C48),"",AND($AL48,OR($AM48="",$AN48="",AND($AO48,$AP48=""))))</f>
        <v/>
      </c>
      <c r="BC48" s="137" t="str">
        <f aca="false">IF($BX48&lt;&gt;Constants!$B$6,"",IF($AL48,Constants!$B$17*$AN48+Constants!$B$18*IF($AO48,$AP48,Constants!$B$19),Constants!$B$20))</f>
        <v/>
      </c>
      <c r="BD48" s="138" t="str">
        <f aca="false">IF($BX48&lt;&gt;Constants!$B$6,"",Constants!$B$21*ABS($AD$9-IF($AL48,$AM48,0)))</f>
        <v/>
      </c>
      <c r="BE48" s="138" t="str">
        <f aca="false">IF($BX48&lt;&gt;Constants!$B$6,"",IF(AND($AL48,$AQ48,$AO48),Constants!$B$22,0))</f>
        <v/>
      </c>
      <c r="BF48" s="138" t="str">
        <f aca="false">IF($BX48&lt;&gt;Constants!$B$6,"",IF($AL48,($AI48-Constants!$B$24)*Constants!$B$23,0))</f>
        <v/>
      </c>
      <c r="BG48" s="138" t="str">
        <f aca="false">IF($BX48&lt;&gt;Constants!$B$6,"",IF($AK48,0,Constants!$B$12)+IF($AJ48,0,Constants!$B$13)+IF($AH48,0,Constants!$B$14))</f>
        <v/>
      </c>
      <c r="BH48" s="139" t="str">
        <f aca="false">IF($BX48&lt;&gt;Constants!$B$6,"",Constants!$B$16+SUM($BC48:$BG48))</f>
        <v/>
      </c>
      <c r="BI48" s="138" t="str">
        <f aca="false">IF($BX48&lt;&gt;Constants!$B$6,"",$BC48)</f>
        <v/>
      </c>
      <c r="BJ48" s="138" t="str">
        <f aca="false">IF($BX48&lt;&gt;Constants!$B$6,"",$BD48)</f>
        <v/>
      </c>
      <c r="BK48" s="140" t="str">
        <f aca="false">IF($BX48&lt;&gt;Constants!$B$6,"",IF($AL48,$AN48,""))</f>
        <v/>
      </c>
      <c r="BL48" s="135" t="str">
        <f aca="false">IF($BX48&lt;&gt;Constants!$B$6,"",IF(OR($BS48&lt;$BH48,AND($BS48=$BH48,OR($BT48&lt;$BI48,AND($BT48=$BI48,OR($BU48&lt;$BJ48,AND($BU48=$BJ48,AND(ISNUMBER($BV48),OR(NOT(ISNUMBER($BK48)),$BV48&lt;$BK48)))))))),"-&gt;","&lt;-"))</f>
        <v/>
      </c>
      <c r="BM48" s="134" t="str">
        <f aca="false">IF(ISBLANK($C48),"",AND($AT48,OR($AU48="",$AV48="",AND($AW48,$AX48=""))))</f>
        <v/>
      </c>
      <c r="BN48" s="137" t="str">
        <f aca="false">IF($BX48&lt;&gt;Constants!$B$6,"",IF($AT48,Constants!$B$17*$AV48+Constants!$B$18*IF($AW48,$AX48,Constants!$B$19),Constants!$B$20))</f>
        <v/>
      </c>
      <c r="BO48" s="138" t="str">
        <f aca="false">IF($BX48&lt;&gt;Constants!$B$6,"",Constants!$B$21*ABS($AD$9-IF($AT48,$AU48,0)))</f>
        <v/>
      </c>
      <c r="BP48" s="138" t="str">
        <f aca="false">IF($BX48&lt;&gt;Constants!$B$6,"",IF(AND($AT48,$AY48,$AW48),Constants!$B$22,0))</f>
        <v/>
      </c>
      <c r="BQ48" s="138" t="str">
        <f aca="false">IF($BX48&lt;&gt;Constants!$B$6,"",IF($AT48,($AI48-Constants!$B$24)*Constants!$B$23,0))</f>
        <v/>
      </c>
      <c r="BR48" s="138" t="str">
        <f aca="false">IF($BX48&lt;&gt;Constants!$B$6,"",IF($AS48,0,Constants!$B$12)+IF($AR48,0,Constants!$B$13)+IF($AH48,0,Constants!$B$14))</f>
        <v/>
      </c>
      <c r="BS48" s="139" t="str">
        <f aca="false">IF($BX48&lt;&gt;Constants!$B$6,"",Constants!$B$16+SUM($BN48:$BR48))</f>
        <v/>
      </c>
      <c r="BT48" s="138" t="str">
        <f aca="false">IF($BX48&lt;&gt;Constants!$B$6,"",$BN48)</f>
        <v/>
      </c>
      <c r="BU48" s="138" t="str">
        <f aca="false">IF($BX48&lt;&gt;Constants!$B$6,"",$BO48)</f>
        <v/>
      </c>
      <c r="BV48" s="140" t="str">
        <f aca="false">IF($BX48&lt;&gt;Constants!$B$6,"",IF($AT48,$AV48,""))</f>
        <v/>
      </c>
      <c r="BW48" s="135" t="str">
        <f aca="false">IF(ISBLANK($C48),"",IF(ISBLANK($D$7),$BW$5,IF(NOT(ISNUMBER($D$7)),$BW$6,"")))</f>
        <v/>
      </c>
      <c r="BX48" s="135" t="str">
        <f aca="false">IF(ISBLANK($C48),"",IF($BA48,Constants!$B$9,IF(COUNTA($E48:$AA48)=0,Constants!$B$8,IF(NOT($AG48),Constants!$B$7,IF(OR($BW48&lt;&gt;"",$BB48,$BM48),Constants!$B$10,Constants!$B$6)))))</f>
        <v/>
      </c>
      <c r="BY48" s="135" t="str">
        <f aca="false">IF(ISBLANK($C48),"",IF($BX48&lt;&gt;Constants!$B$6,$BX48,Constants!$B$11))</f>
        <v/>
      </c>
      <c r="BZ48" s="138" t="str">
        <f aca="false">IF($BX48&lt;&gt;Constants!$B$6,"",IF($BL48="-&gt;",$BS48,$BH48))</f>
        <v/>
      </c>
      <c r="CA48" s="138" t="str">
        <f aca="false">IF($BX48&lt;&gt;Constants!$B$6,"",IF($AF48,0,Constants!$B$15))</f>
        <v/>
      </c>
      <c r="CB48" s="138" t="str">
        <f aca="false">IF($BX48&lt;&gt;Constants!$B$6,"",((Constants!$B$25-$AZ48)-Constants!$B$25)/Constants!$B$26)</f>
        <v/>
      </c>
      <c r="CC48" s="138" t="str">
        <f aca="false">IF(ISBLANK($C48),"",IF($BX48&lt;&gt;Constants!$B$6,$BX48,SUM($BZ48:$CB48)))</f>
        <v/>
      </c>
      <c r="CD48" s="135" t="str">
        <f aca="false">IF(ISBLANK($C48),"",IF($BX48&lt;&gt;Constants!$B$6,$BX48,RANK($CC48,$CC$9:$CC$508,1)))</f>
        <v/>
      </c>
      <c r="CE48" s="138" t="str">
        <f aca="false">IF($BX48&lt;&gt;Constants!$B$6,"",IF($BL48="-&gt;",$BT48,$BI48))</f>
        <v/>
      </c>
      <c r="CF48" s="135" t="str">
        <f aca="false">IF(ISBLANK($C48),"",IF($BX48&lt;&gt;Constants!$B$6,$BX48,IF(ISNUMBER($CE48),RANK($CE48,$CE$9:$CE$508,1),COUNT($CE$9:$CE$508)+1)))</f>
        <v/>
      </c>
      <c r="CG48" s="138" t="str">
        <f aca="false">IF($BX48&lt;&gt;Constants!$B$6,"",IF($BL48="-&gt;",$BU48,$BJ48))</f>
        <v/>
      </c>
      <c r="CH48" s="135" t="str">
        <f aca="false">IF(ISBLANK($C48),"",IF($BX48&lt;&gt;Constants!$B$6,$BX48,IF(ISNUMBER($CG48),RANK($CG48,$CG$9:$CG$508,1),COUNT($CG$9:$CG$508)+1)))</f>
        <v/>
      </c>
      <c r="CI48" s="138" t="str">
        <f aca="false">IF($BX48&lt;&gt;Constants!$B$6,"",IF($BL48="-&gt;",$BV48,$BK48))</f>
        <v/>
      </c>
      <c r="CJ48" s="135" t="str">
        <f aca="false">IF(ISBLANK($C48),"",IF($BX48&lt;&gt;Constants!$B$6,$BX48,IF(ISNUMBER($CI48),RANK($CI48,$CI$9:$CI$508,1),COUNT($CI$9:$CI$508)+1)))</f>
        <v/>
      </c>
      <c r="CK48" s="138" t="str">
        <f aca="false">IF($BX48&lt;&gt;Constants!$B$6,"",$AI48)</f>
        <v/>
      </c>
      <c r="CL48" s="135" t="str">
        <f aca="false">IF(ISBLANK($C48),"",IF($BX48&lt;&gt;Constants!$B$6,$BX48,IF(ISNUMBER($CK48),RANK($CK48,$CK$9:$CK$508,1),COUNT($CK$9:$CK$508)+1)))</f>
        <v/>
      </c>
      <c r="CM48" s="135" t="str">
        <f aca="false">IF(ISBLANK($C48),"",IF($BX48&lt;&gt;Constants!$B$6,$BX48,COUNTIFS($CD$9:$CD$508,"&lt;"&amp;$CD48)+COUNTIFS($CD$9:$CD$508,$CD48,$CF$9:$CF$508,"&lt;"&amp;$CF48)+COUNTIFS($CD$9:$CD$508,$CD48,$CF$9:$CF$508,$CF48,$CH$9:$CH$508,"&lt;"&amp;$CH48)+COUNTIFS($CD$9:$CD$508,$CD48,$CF$9:$CF$508,$CF48,$CH$9:$CH$508,$CH48,$CJ$9:$CJ$508,"&lt;"&amp;$CJ48)+COUNTIFS($CD$9:$CD$508,$CD48,$CF$9:$CF$508,$CF48,$CH$9:$CH$508,$CH48,$CJ$9:$CJ$508,$CJ48,$CL$9:$CL$508,"&lt;"&amp;$CL48)+1))</f>
        <v/>
      </c>
      <c r="CN48" s="135" t="str">
        <f aca="false">IF(ISBLANK($C48),"",IF($BX48&lt;&gt;Constants!$B$6,$BX48,$CD48-$CM48))</f>
        <v/>
      </c>
      <c r="CO48" s="141"/>
      <c r="CP48" s="142"/>
      <c r="CQ48" s="143" t="str">
        <f aca="false">IF(ISBLANK($C48),"",IF($BX48=Constants!$B$10,$BW48,""))</f>
        <v/>
      </c>
      <c r="CR48" s="142" t="str">
        <f aca="false">IF(ISBLANK($C48),"",IF($BX48&lt;&gt;Constants!$B$6,"",IF($BL48="-&gt;",2,1)))</f>
        <v/>
      </c>
      <c r="CS48" s="144" t="str">
        <f aca="false">IF(ISBLANK($C48),"",IF($BX48&lt;&gt;Constants!$B$6,"",IF($BL48="-&gt;",$BN48,$BC48)))</f>
        <v/>
      </c>
      <c r="CT48" s="144" t="str">
        <f aca="false">IF(ISBLANK($C48),"",IF($BX48&lt;&gt;Constants!$B$6,"",IF($BL48="-&gt;",$BO48,$BD48)))</f>
        <v/>
      </c>
      <c r="CU48" s="144" t="str">
        <f aca="false">IF(ISBLANK($C48),"",IF($BX48&lt;&gt;Constants!$B$6,"",IF($BL48="-&gt;",$BP48+$BQ48,$BE48+$BF48)+$CB48))</f>
        <v/>
      </c>
      <c r="CV48" s="144" t="str">
        <f aca="false">IF(ISBLANK($C48),"",IF($BX48&lt;&gt;Constants!$B$6,"",IF($BL48="-&gt;",$BR48,$BG48)+$CA48))</f>
        <v/>
      </c>
      <c r="CW48" s="145" t="str">
        <f aca="false">IF(ISBLANK($C48),"",IF($BX48&lt;&gt;Constants!$B$6,$BX48,$CC48))</f>
        <v/>
      </c>
      <c r="CX48" s="146" t="str">
        <f aca="false">IF(ISBLANK($C48),"",$BY48)</f>
        <v/>
      </c>
      <c r="CY48" s="147" t="str">
        <f aca="false">IF(ISBLANK($C48),"",$CN48)</f>
        <v/>
      </c>
      <c r="CZ48" s="147" t="str">
        <f aca="false">IF(ISBLANK($C48),"",$CM48)</f>
        <v/>
      </c>
      <c r="DA48" s="148" t="str">
        <f aca="false">IF(ISBLANK($C48),"",IFERROR(_xlfn.SWITCH($CZ48,Constants!$B$9,COUNTA($C$9:$C$508)+2,Constants!$B$8,COUNTA($C$9:$C$508)+1,Constants!$B$7,COUNTA($C$9:$C$508)),$CZ48))</f>
        <v/>
      </c>
      <c r="DB48" s="9"/>
      <c r="DC48" s="149" t="n">
        <f aca="false">IF(OR(ISNUMBER($CZ48),$CZ48=Constants!$B$9,$CZ48=Constants!$B$7,$CZ48=Constants!$B$8),1,0)</f>
        <v>0</v>
      </c>
      <c r="DD48" s="149" t="n">
        <v>40</v>
      </c>
      <c r="DE48" s="149" t="str">
        <f aca="false">IF(ISBLANK($C48),"",IF(ISNUMBER($DA48),$DA48+ROW($B48)/1000,""))</f>
        <v/>
      </c>
      <c r="DF48" s="149" t="str">
        <f aca="false">IF(ISNUMBER($DE48),RANK($DE48,$DE$9:$DE$508,1),"")</f>
        <v/>
      </c>
      <c r="DG48" s="149" t="str">
        <f aca="false">IF(ISBLANK($C48),"",$B48)</f>
        <v/>
      </c>
      <c r="DH48" s="149" t="str">
        <f aca="false">IF(ISBLANK($C48),"",$C48)</f>
        <v/>
      </c>
      <c r="DI48" s="149" t="str">
        <f aca="false">IF(ISBLANK($C48),"",$D48)</f>
        <v/>
      </c>
      <c r="DJ48" s="150" t="str">
        <f aca="false">$CX48</f>
        <v/>
      </c>
      <c r="DK48" s="151" t="str">
        <f aca="false">$CW48</f>
        <v/>
      </c>
      <c r="DL48" s="149" t="str">
        <f aca="false">IF(ISBLANK($C48),"",$CZ48)</f>
        <v/>
      </c>
      <c r="DM48" s="152" t="str">
        <f aca="false">IF($DD48&gt;$DC$8,"",VLOOKUP($DD48,$DF$9:$DL$508,7,FALSE()))</f>
        <v/>
      </c>
      <c r="DN48" s="153" t="str">
        <f aca="false">IF($DD48&gt;$DC$8,"",VLOOKUP($DD48,$DF$9:$DL$508,2,FALSE()))</f>
        <v/>
      </c>
      <c r="DO48" s="153" t="str">
        <f aca="false">IF($DD48&gt;$DC$8,"",VLOOKUP($DD48,$DF$9:$DL$508,3,FALSE()))</f>
        <v/>
      </c>
      <c r="DP48" s="153" t="str">
        <f aca="false">IF($DD48&gt;$DC$8,"",VLOOKUP($DD48,$DF$9:$DL$508,4,FALSE()))</f>
        <v/>
      </c>
      <c r="DQ48" s="153" t="str">
        <f aca="false">IF($DD48&gt;$DC$8,"",VLOOKUP($DD48,$DF$9:$DL$508,5,FALSE()))</f>
        <v/>
      </c>
      <c r="DR48" s="154" t="str">
        <f aca="false">IF($DD48&gt;$DC$8,"",VLOOKUP($DD48,$DF$9:$DL$508,6,FALSE()))</f>
        <v/>
      </c>
      <c r="DS48" s="76"/>
    </row>
    <row r="49" customFormat="false" ht="15.75" hidden="false" customHeight="false" outlineLevel="0" collapsed="false">
      <c r="A49" s="9"/>
      <c r="B49" s="160"/>
      <c r="C49" s="161"/>
      <c r="D49" s="162"/>
      <c r="E49" s="180"/>
      <c r="F49" s="164"/>
      <c r="G49" s="165"/>
      <c r="H49" s="165"/>
      <c r="I49" s="181"/>
      <c r="J49" s="168"/>
      <c r="K49" s="128"/>
      <c r="L49" s="129"/>
      <c r="M49" s="130"/>
      <c r="N49" s="168"/>
      <c r="O49" s="168"/>
      <c r="P49" s="180"/>
      <c r="Q49" s="168"/>
      <c r="R49" s="168"/>
      <c r="S49" s="128"/>
      <c r="T49" s="130"/>
      <c r="U49" s="130"/>
      <c r="V49" s="168"/>
      <c r="W49" s="168"/>
      <c r="X49" s="180"/>
      <c r="Y49" s="168"/>
      <c r="Z49" s="169"/>
      <c r="AA49" s="168"/>
      <c r="AB49" s="134"/>
      <c r="AC49" s="135"/>
      <c r="AD49" s="135"/>
      <c r="AE49" s="135"/>
      <c r="AF49" s="135" t="str">
        <f aca="false">IF(ISBLANK($C49),"",IF(E49=Constants!$B$2,TRUE(),IF(E49=Constants!$B$3,FALSE(),TRUE())))</f>
        <v/>
      </c>
      <c r="AG49" s="135" t="str">
        <f aca="false">IF(ISBLANK($C49),"",IF(F49=Constants!$B$2,TRUE(),IF(F49=Constants!$B$3,FALSE(),TRUE())))</f>
        <v/>
      </c>
      <c r="AH49" s="135" t="str">
        <f aca="false">IF(ISBLANK($C49),"",IF(G49=Constants!$B$2,TRUE(),IF(G49=Constants!$B$3,FALSE(),TRUE())))</f>
        <v/>
      </c>
      <c r="AI49" s="135" t="str">
        <f aca="false">IF(ISBLANK($C49),"",IF(AND(ISNUMBER(H49),H49&gt;=0),H49,Constants!$B$24))</f>
        <v/>
      </c>
      <c r="AJ49" s="135" t="str">
        <f aca="false">IF(ISBLANK($C49),"",IF(I49=Constants!$B$2,TRUE(),IF(I49=Constants!$B$3,FALSE(),TRUE())))</f>
        <v/>
      </c>
      <c r="AK49" s="135" t="str">
        <f aca="false">IF(ISBLANK($C49),"",IF(J49=Constants!$B$2,TRUE(),IF(J49=Constants!$B$3,FALSE(),TRUE())))</f>
        <v/>
      </c>
      <c r="AL49" s="135" t="str">
        <f aca="false">IF(ISBLANK($C49),"",IF(K49=Constants!$B$4,TRUE(),IF(K49=Constants!$B$5,FALSE(),COUNTA(L49:P49)&gt;0)))</f>
        <v/>
      </c>
      <c r="AM49" s="136" t="str">
        <f aca="false">IF(ISBLANK($C49),"",IF(ISNUMBER(L49),IF(L49&gt;=0,L49,""),""))</f>
        <v/>
      </c>
      <c r="AN49" s="137" t="str">
        <f aca="false">IF(ISBLANK($C49),"",IF(ISNUMBER(M49),IF(M49&gt;=0,M49,""),""))</f>
        <v/>
      </c>
      <c r="AO49" s="137" t="str">
        <f aca="false">IF(ISBLANK($C49),"",IF(N49=Constants!$B$2,TRUE(),IF(N49=Constants!$B$3,FALSE(),TRUE())))</f>
        <v/>
      </c>
      <c r="AP49" s="135" t="str">
        <f aca="false">IF(ISBLANK($C49),"",IF(ISNUMBER(O49),IF(O49&gt;=0,O49,""),""))</f>
        <v/>
      </c>
      <c r="AQ49" s="135" t="str">
        <f aca="false">IF(ISBLANK($C49),"",IF(P49=Constants!$B$2,TRUE(),IF(P49=Constants!$B$3,FALSE(),FALSE())))</f>
        <v/>
      </c>
      <c r="AR49" s="135" t="str">
        <f aca="false">IF(ISBLANK($C49),"",IF(Q49=Constants!$B$2,TRUE(),IF(Q49=Constants!$B$3,FALSE(),TRUE())))</f>
        <v/>
      </c>
      <c r="AS49" s="135" t="str">
        <f aca="false">IF(ISBLANK($C49),"",IF(R49=Constants!$B$2,TRUE(),IF(R49=Constants!$B$3,FALSE(),TRUE())))</f>
        <v/>
      </c>
      <c r="AT49" s="135" t="str">
        <f aca="false">IF(ISBLANK($C49),"",IF(S49=Constants!$B$4,TRUE(),IF(S49=Constants!$B$5,FALSE(),COUNTA(T49:X49)&gt;0)))</f>
        <v/>
      </c>
      <c r="AU49" s="136" t="str">
        <f aca="false">IF(ISBLANK($C49),"",IF(ISNUMBER(T49),IF(T49&gt;=0,T49,""),""))</f>
        <v/>
      </c>
      <c r="AV49" s="137" t="str">
        <f aca="false">IF(ISBLANK($C49),"",IF(ISNUMBER(U49),IF(U49&gt;=0,U49,""),""))</f>
        <v/>
      </c>
      <c r="AW49" s="137" t="str">
        <f aca="false">IF(ISBLANK($C49),"",IF(V49=Constants!$B$2,TRUE(),IF(V49=Constants!$B$3,FALSE(),TRUE())))</f>
        <v/>
      </c>
      <c r="AX49" s="135" t="str">
        <f aca="false">IF(ISBLANK($C49),"",IF(ISNUMBER(W49),IF(W49&gt;=0,W49,""),""))</f>
        <v/>
      </c>
      <c r="AY49" s="135" t="str">
        <f aca="false">IF(ISBLANK($C49),"",IF(X49=Constants!$B$2,TRUE(),IF(X49=Constants!$B$3,FALSE(),FALSE())))</f>
        <v/>
      </c>
      <c r="AZ49" s="135" t="str">
        <f aca="false">IF(ISBLANK($C49),"",MIN(Constants!$B$25,MAX(0,IF(ISNUMBER(Y49),Y49*60,0)+IF(ISNUMBER(Z49),Z49,0))))</f>
        <v/>
      </c>
      <c r="BA49" s="135" t="str">
        <f aca="false">IF(ISBLANK($C49),"",IF(AA49=Constants!$B$2,TRUE(),IF(AA49=Constants!$B$3,FALSE(),FALSE())))</f>
        <v/>
      </c>
      <c r="BB49" s="134" t="str">
        <f aca="false">IF(ISBLANK($C49),"",AND($AL49,OR($AM49="",$AN49="",AND($AO49,$AP49=""))))</f>
        <v/>
      </c>
      <c r="BC49" s="137" t="str">
        <f aca="false">IF($BX49&lt;&gt;Constants!$B$6,"",IF($AL49,Constants!$B$17*$AN49+Constants!$B$18*IF($AO49,$AP49,Constants!$B$19),Constants!$B$20))</f>
        <v/>
      </c>
      <c r="BD49" s="138" t="str">
        <f aca="false">IF($BX49&lt;&gt;Constants!$B$6,"",Constants!$B$21*ABS($AD$9-IF($AL49,$AM49,0)))</f>
        <v/>
      </c>
      <c r="BE49" s="138" t="str">
        <f aca="false">IF($BX49&lt;&gt;Constants!$B$6,"",IF(AND($AL49,$AQ49,$AO49),Constants!$B$22,0))</f>
        <v/>
      </c>
      <c r="BF49" s="138" t="str">
        <f aca="false">IF($BX49&lt;&gt;Constants!$B$6,"",IF($AL49,($AI49-Constants!$B$24)*Constants!$B$23,0))</f>
        <v/>
      </c>
      <c r="BG49" s="138" t="str">
        <f aca="false">IF($BX49&lt;&gt;Constants!$B$6,"",IF($AK49,0,Constants!$B$12)+IF($AJ49,0,Constants!$B$13)+IF($AH49,0,Constants!$B$14))</f>
        <v/>
      </c>
      <c r="BH49" s="139" t="str">
        <f aca="false">IF($BX49&lt;&gt;Constants!$B$6,"",Constants!$B$16+SUM($BC49:$BG49))</f>
        <v/>
      </c>
      <c r="BI49" s="138" t="str">
        <f aca="false">IF($BX49&lt;&gt;Constants!$B$6,"",$BC49)</f>
        <v/>
      </c>
      <c r="BJ49" s="138" t="str">
        <f aca="false">IF($BX49&lt;&gt;Constants!$B$6,"",$BD49)</f>
        <v/>
      </c>
      <c r="BK49" s="140" t="str">
        <f aca="false">IF($BX49&lt;&gt;Constants!$B$6,"",IF($AL49,$AN49,""))</f>
        <v/>
      </c>
      <c r="BL49" s="135" t="str">
        <f aca="false">IF($BX49&lt;&gt;Constants!$B$6,"",IF(OR($BS49&lt;$BH49,AND($BS49=$BH49,OR($BT49&lt;$BI49,AND($BT49=$BI49,OR($BU49&lt;$BJ49,AND($BU49=$BJ49,AND(ISNUMBER($BV49),OR(NOT(ISNUMBER($BK49)),$BV49&lt;$BK49)))))))),"-&gt;","&lt;-"))</f>
        <v/>
      </c>
      <c r="BM49" s="134" t="str">
        <f aca="false">IF(ISBLANK($C49),"",AND($AT49,OR($AU49="",$AV49="",AND($AW49,$AX49=""))))</f>
        <v/>
      </c>
      <c r="BN49" s="137" t="str">
        <f aca="false">IF($BX49&lt;&gt;Constants!$B$6,"",IF($AT49,Constants!$B$17*$AV49+Constants!$B$18*IF($AW49,$AX49,Constants!$B$19),Constants!$B$20))</f>
        <v/>
      </c>
      <c r="BO49" s="138" t="str">
        <f aca="false">IF($BX49&lt;&gt;Constants!$B$6,"",Constants!$B$21*ABS($AD$9-IF($AT49,$AU49,0)))</f>
        <v/>
      </c>
      <c r="BP49" s="138" t="str">
        <f aca="false">IF($BX49&lt;&gt;Constants!$B$6,"",IF(AND($AT49,$AY49,$AW49),Constants!$B$22,0))</f>
        <v/>
      </c>
      <c r="BQ49" s="138" t="str">
        <f aca="false">IF($BX49&lt;&gt;Constants!$B$6,"",IF($AT49,($AI49-Constants!$B$24)*Constants!$B$23,0))</f>
        <v/>
      </c>
      <c r="BR49" s="138" t="str">
        <f aca="false">IF($BX49&lt;&gt;Constants!$B$6,"",IF($AS49,0,Constants!$B$12)+IF($AR49,0,Constants!$B$13)+IF($AH49,0,Constants!$B$14))</f>
        <v/>
      </c>
      <c r="BS49" s="139" t="str">
        <f aca="false">IF($BX49&lt;&gt;Constants!$B$6,"",Constants!$B$16+SUM($BN49:$BR49))</f>
        <v/>
      </c>
      <c r="BT49" s="138" t="str">
        <f aca="false">IF($BX49&lt;&gt;Constants!$B$6,"",$BN49)</f>
        <v/>
      </c>
      <c r="BU49" s="138" t="str">
        <f aca="false">IF($BX49&lt;&gt;Constants!$B$6,"",$BO49)</f>
        <v/>
      </c>
      <c r="BV49" s="140" t="str">
        <f aca="false">IF($BX49&lt;&gt;Constants!$B$6,"",IF($AT49,$AV49,""))</f>
        <v/>
      </c>
      <c r="BW49" s="135" t="str">
        <f aca="false">IF(ISBLANK($C49),"",IF(ISBLANK($D$7),$BW$5,IF(NOT(ISNUMBER($D$7)),$BW$6,"")))</f>
        <v/>
      </c>
      <c r="BX49" s="135" t="str">
        <f aca="false">IF(ISBLANK($C49),"",IF($BA49,Constants!$B$9,IF(COUNTA($E49:$AA49)=0,Constants!$B$8,IF(NOT($AG49),Constants!$B$7,IF(OR($BW49&lt;&gt;"",$BB49,$BM49),Constants!$B$10,Constants!$B$6)))))</f>
        <v/>
      </c>
      <c r="BY49" s="135" t="str">
        <f aca="false">IF(ISBLANK($C49),"",IF($BX49&lt;&gt;Constants!$B$6,$BX49,Constants!$B$11))</f>
        <v/>
      </c>
      <c r="BZ49" s="138" t="str">
        <f aca="false">IF($BX49&lt;&gt;Constants!$B$6,"",IF($BL49="-&gt;",$BS49,$BH49))</f>
        <v/>
      </c>
      <c r="CA49" s="138" t="str">
        <f aca="false">IF($BX49&lt;&gt;Constants!$B$6,"",IF($AF49,0,Constants!$B$15))</f>
        <v/>
      </c>
      <c r="CB49" s="138" t="str">
        <f aca="false">IF($BX49&lt;&gt;Constants!$B$6,"",((Constants!$B$25-$AZ49)-Constants!$B$25)/Constants!$B$26)</f>
        <v/>
      </c>
      <c r="CC49" s="138" t="str">
        <f aca="false">IF(ISBLANK($C49),"",IF($BX49&lt;&gt;Constants!$B$6,$BX49,SUM($BZ49:$CB49)))</f>
        <v/>
      </c>
      <c r="CD49" s="135" t="str">
        <f aca="false">IF(ISBLANK($C49),"",IF($BX49&lt;&gt;Constants!$B$6,$BX49,RANK($CC49,$CC$9:$CC$508,1)))</f>
        <v/>
      </c>
      <c r="CE49" s="138" t="str">
        <f aca="false">IF($BX49&lt;&gt;Constants!$B$6,"",IF($BL49="-&gt;",$BT49,$BI49))</f>
        <v/>
      </c>
      <c r="CF49" s="135" t="str">
        <f aca="false">IF(ISBLANK($C49),"",IF($BX49&lt;&gt;Constants!$B$6,$BX49,IF(ISNUMBER($CE49),RANK($CE49,$CE$9:$CE$508,1),COUNT($CE$9:$CE$508)+1)))</f>
        <v/>
      </c>
      <c r="CG49" s="138" t="str">
        <f aca="false">IF($BX49&lt;&gt;Constants!$B$6,"",IF($BL49="-&gt;",$BU49,$BJ49))</f>
        <v/>
      </c>
      <c r="CH49" s="135" t="str">
        <f aca="false">IF(ISBLANK($C49),"",IF($BX49&lt;&gt;Constants!$B$6,$BX49,IF(ISNUMBER($CG49),RANK($CG49,$CG$9:$CG$508,1),COUNT($CG$9:$CG$508)+1)))</f>
        <v/>
      </c>
      <c r="CI49" s="138" t="str">
        <f aca="false">IF($BX49&lt;&gt;Constants!$B$6,"",IF($BL49="-&gt;",$BV49,$BK49))</f>
        <v/>
      </c>
      <c r="CJ49" s="135" t="str">
        <f aca="false">IF(ISBLANK($C49),"",IF($BX49&lt;&gt;Constants!$B$6,$BX49,IF(ISNUMBER($CI49),RANK($CI49,$CI$9:$CI$508,1),COUNT($CI$9:$CI$508)+1)))</f>
        <v/>
      </c>
      <c r="CK49" s="138" t="str">
        <f aca="false">IF($BX49&lt;&gt;Constants!$B$6,"",$AI49)</f>
        <v/>
      </c>
      <c r="CL49" s="135" t="str">
        <f aca="false">IF(ISBLANK($C49),"",IF($BX49&lt;&gt;Constants!$B$6,$BX49,IF(ISNUMBER($CK49),RANK($CK49,$CK$9:$CK$508,1),COUNT($CK$9:$CK$508)+1)))</f>
        <v/>
      </c>
      <c r="CM49" s="135" t="str">
        <f aca="false">IF(ISBLANK($C49),"",IF($BX49&lt;&gt;Constants!$B$6,$BX49,COUNTIFS($CD$9:$CD$508,"&lt;"&amp;$CD49)+COUNTIFS($CD$9:$CD$508,$CD49,$CF$9:$CF$508,"&lt;"&amp;$CF49)+COUNTIFS($CD$9:$CD$508,$CD49,$CF$9:$CF$508,$CF49,$CH$9:$CH$508,"&lt;"&amp;$CH49)+COUNTIFS($CD$9:$CD$508,$CD49,$CF$9:$CF$508,$CF49,$CH$9:$CH$508,$CH49,$CJ$9:$CJ$508,"&lt;"&amp;$CJ49)+COUNTIFS($CD$9:$CD$508,$CD49,$CF$9:$CF$508,$CF49,$CH$9:$CH$508,$CH49,$CJ$9:$CJ$508,$CJ49,$CL$9:$CL$508,"&lt;"&amp;$CL49)+1))</f>
        <v/>
      </c>
      <c r="CN49" s="135" t="str">
        <f aca="false">IF(ISBLANK($C49),"",IF($BX49&lt;&gt;Constants!$B$6,$BX49,$CD49-$CM49))</f>
        <v/>
      </c>
      <c r="CO49" s="141"/>
      <c r="CP49" s="142"/>
      <c r="CQ49" s="143" t="str">
        <f aca="false">IF(ISBLANK($C49),"",IF($BX49=Constants!$B$10,$BW49,""))</f>
        <v/>
      </c>
      <c r="CR49" s="142" t="str">
        <f aca="false">IF(ISBLANK($C49),"",IF($BX49&lt;&gt;Constants!$B$6,"",IF($BL49="-&gt;",2,1)))</f>
        <v/>
      </c>
      <c r="CS49" s="144" t="str">
        <f aca="false">IF(ISBLANK($C49),"",IF($BX49&lt;&gt;Constants!$B$6,"",IF($BL49="-&gt;",$BN49,$BC49)))</f>
        <v/>
      </c>
      <c r="CT49" s="144" t="str">
        <f aca="false">IF(ISBLANK($C49),"",IF($BX49&lt;&gt;Constants!$B$6,"",IF($BL49="-&gt;",$BO49,$BD49)))</f>
        <v/>
      </c>
      <c r="CU49" s="144" t="str">
        <f aca="false">IF(ISBLANK($C49),"",IF($BX49&lt;&gt;Constants!$B$6,"",IF($BL49="-&gt;",$BP49+$BQ49,$BE49+$BF49)+$CB49))</f>
        <v/>
      </c>
      <c r="CV49" s="144" t="str">
        <f aca="false">IF(ISBLANK($C49),"",IF($BX49&lt;&gt;Constants!$B$6,"",IF($BL49="-&gt;",$BR49,$BG49)+$CA49))</f>
        <v/>
      </c>
      <c r="CW49" s="145" t="str">
        <f aca="false">IF(ISBLANK($C49),"",IF($BX49&lt;&gt;Constants!$B$6,$BX49,$CC49))</f>
        <v/>
      </c>
      <c r="CX49" s="146" t="str">
        <f aca="false">IF(ISBLANK($C49),"",$BY49)</f>
        <v/>
      </c>
      <c r="CY49" s="147" t="str">
        <f aca="false">IF(ISBLANK($C49),"",$CN49)</f>
        <v/>
      </c>
      <c r="CZ49" s="147" t="str">
        <f aca="false">IF(ISBLANK($C49),"",$CM49)</f>
        <v/>
      </c>
      <c r="DA49" s="148" t="str">
        <f aca="false">IF(ISBLANK($C49),"",IFERROR(_xlfn.SWITCH($CZ49,Constants!$B$9,COUNTA($C$9:$C$508)+2,Constants!$B$8,COUNTA($C$9:$C$508)+1,Constants!$B$7,COUNTA($C$9:$C$508)),$CZ49))</f>
        <v/>
      </c>
      <c r="DB49" s="9"/>
      <c r="DC49" s="149" t="n">
        <f aca="false">IF(OR(ISNUMBER($CZ49),$CZ49=Constants!$B$9,$CZ49=Constants!$B$7,$CZ49=Constants!$B$8),1,0)</f>
        <v>0</v>
      </c>
      <c r="DD49" s="149" t="n">
        <v>41</v>
      </c>
      <c r="DE49" s="149" t="str">
        <f aca="false">IF(ISBLANK($C49),"",IF(ISNUMBER($DA49),$DA49+ROW($B49)/1000,""))</f>
        <v/>
      </c>
      <c r="DF49" s="149" t="str">
        <f aca="false">IF(ISNUMBER($DE49),RANK($DE49,$DE$9:$DE$508,1),"")</f>
        <v/>
      </c>
      <c r="DG49" s="149" t="str">
        <f aca="false">IF(ISBLANK($C49),"",$B49)</f>
        <v/>
      </c>
      <c r="DH49" s="149" t="str">
        <f aca="false">IF(ISBLANK($C49),"",$C49)</f>
        <v/>
      </c>
      <c r="DI49" s="149" t="str">
        <f aca="false">IF(ISBLANK($C49),"",$D49)</f>
        <v/>
      </c>
      <c r="DJ49" s="150" t="str">
        <f aca="false">$CX49</f>
        <v/>
      </c>
      <c r="DK49" s="151" t="str">
        <f aca="false">$CW49</f>
        <v/>
      </c>
      <c r="DL49" s="149" t="str">
        <f aca="false">IF(ISBLANK($C49),"",$CZ49)</f>
        <v/>
      </c>
      <c r="DM49" s="152" t="str">
        <f aca="false">IF($DD49&gt;$DC$8,"",VLOOKUP($DD49,$DF$9:$DL$508,7,FALSE()))</f>
        <v/>
      </c>
      <c r="DN49" s="153" t="str">
        <f aca="false">IF($DD49&gt;$DC$8,"",VLOOKUP($DD49,$DF$9:$DL$508,2,FALSE()))</f>
        <v/>
      </c>
      <c r="DO49" s="153" t="str">
        <f aca="false">IF($DD49&gt;$DC$8,"",VLOOKUP($DD49,$DF$9:$DL$508,3,FALSE()))</f>
        <v/>
      </c>
      <c r="DP49" s="153" t="str">
        <f aca="false">IF($DD49&gt;$DC$8,"",VLOOKUP($DD49,$DF$9:$DL$508,4,FALSE()))</f>
        <v/>
      </c>
      <c r="DQ49" s="153" t="str">
        <f aca="false">IF($DD49&gt;$DC$8,"",VLOOKUP($DD49,$DF$9:$DL$508,5,FALSE()))</f>
        <v/>
      </c>
      <c r="DR49" s="154" t="str">
        <f aca="false">IF($DD49&gt;$DC$8,"",VLOOKUP($DD49,$DF$9:$DL$508,6,FALSE()))</f>
        <v/>
      </c>
      <c r="DS49" s="76"/>
    </row>
    <row r="50" customFormat="false" ht="15.75" hidden="false" customHeight="false" outlineLevel="0" collapsed="false">
      <c r="A50" s="9"/>
      <c r="B50" s="160"/>
      <c r="C50" s="161"/>
      <c r="D50" s="162"/>
      <c r="E50" s="180"/>
      <c r="F50" s="164"/>
      <c r="G50" s="165"/>
      <c r="H50" s="165"/>
      <c r="I50" s="181"/>
      <c r="J50" s="168"/>
      <c r="K50" s="128"/>
      <c r="L50" s="129"/>
      <c r="M50" s="130"/>
      <c r="N50" s="168"/>
      <c r="O50" s="168"/>
      <c r="P50" s="180"/>
      <c r="Q50" s="168"/>
      <c r="R50" s="168"/>
      <c r="S50" s="128"/>
      <c r="T50" s="130"/>
      <c r="U50" s="130"/>
      <c r="V50" s="168"/>
      <c r="W50" s="168"/>
      <c r="X50" s="180"/>
      <c r="Y50" s="168"/>
      <c r="Z50" s="169"/>
      <c r="AA50" s="168"/>
      <c r="AB50" s="134"/>
      <c r="AC50" s="135"/>
      <c r="AD50" s="135"/>
      <c r="AE50" s="135"/>
      <c r="AF50" s="135" t="str">
        <f aca="false">IF(ISBLANK($C50),"",IF(E50=Constants!$B$2,TRUE(),IF(E50=Constants!$B$3,FALSE(),TRUE())))</f>
        <v/>
      </c>
      <c r="AG50" s="135" t="str">
        <f aca="false">IF(ISBLANK($C50),"",IF(F50=Constants!$B$2,TRUE(),IF(F50=Constants!$B$3,FALSE(),TRUE())))</f>
        <v/>
      </c>
      <c r="AH50" s="135" t="str">
        <f aca="false">IF(ISBLANK($C50),"",IF(G50=Constants!$B$2,TRUE(),IF(G50=Constants!$B$3,FALSE(),TRUE())))</f>
        <v/>
      </c>
      <c r="AI50" s="135" t="str">
        <f aca="false">IF(ISBLANK($C50),"",IF(AND(ISNUMBER(H50),H50&gt;=0),H50,Constants!$B$24))</f>
        <v/>
      </c>
      <c r="AJ50" s="135" t="str">
        <f aca="false">IF(ISBLANK($C50),"",IF(I50=Constants!$B$2,TRUE(),IF(I50=Constants!$B$3,FALSE(),TRUE())))</f>
        <v/>
      </c>
      <c r="AK50" s="135" t="str">
        <f aca="false">IF(ISBLANK($C50),"",IF(J50=Constants!$B$2,TRUE(),IF(J50=Constants!$B$3,FALSE(),TRUE())))</f>
        <v/>
      </c>
      <c r="AL50" s="135" t="str">
        <f aca="false">IF(ISBLANK($C50),"",IF(K50=Constants!$B$4,TRUE(),IF(K50=Constants!$B$5,FALSE(),COUNTA(L50:P50)&gt;0)))</f>
        <v/>
      </c>
      <c r="AM50" s="136" t="str">
        <f aca="false">IF(ISBLANK($C50),"",IF(ISNUMBER(L50),IF(L50&gt;=0,L50,""),""))</f>
        <v/>
      </c>
      <c r="AN50" s="137" t="str">
        <f aca="false">IF(ISBLANK($C50),"",IF(ISNUMBER(M50),IF(M50&gt;=0,M50,""),""))</f>
        <v/>
      </c>
      <c r="AO50" s="137" t="str">
        <f aca="false">IF(ISBLANK($C50),"",IF(N50=Constants!$B$2,TRUE(),IF(N50=Constants!$B$3,FALSE(),TRUE())))</f>
        <v/>
      </c>
      <c r="AP50" s="135" t="str">
        <f aca="false">IF(ISBLANK($C50),"",IF(ISNUMBER(O50),IF(O50&gt;=0,O50,""),""))</f>
        <v/>
      </c>
      <c r="AQ50" s="135" t="str">
        <f aca="false">IF(ISBLANK($C50),"",IF(P50=Constants!$B$2,TRUE(),IF(P50=Constants!$B$3,FALSE(),FALSE())))</f>
        <v/>
      </c>
      <c r="AR50" s="135" t="str">
        <f aca="false">IF(ISBLANK($C50),"",IF(Q50=Constants!$B$2,TRUE(),IF(Q50=Constants!$B$3,FALSE(),TRUE())))</f>
        <v/>
      </c>
      <c r="AS50" s="135" t="str">
        <f aca="false">IF(ISBLANK($C50),"",IF(R50=Constants!$B$2,TRUE(),IF(R50=Constants!$B$3,FALSE(),TRUE())))</f>
        <v/>
      </c>
      <c r="AT50" s="135" t="str">
        <f aca="false">IF(ISBLANK($C50),"",IF(S50=Constants!$B$4,TRUE(),IF(S50=Constants!$B$5,FALSE(),COUNTA(T50:X50)&gt;0)))</f>
        <v/>
      </c>
      <c r="AU50" s="136" t="str">
        <f aca="false">IF(ISBLANK($C50),"",IF(ISNUMBER(T50),IF(T50&gt;=0,T50,""),""))</f>
        <v/>
      </c>
      <c r="AV50" s="137" t="str">
        <f aca="false">IF(ISBLANK($C50),"",IF(ISNUMBER(U50),IF(U50&gt;=0,U50,""),""))</f>
        <v/>
      </c>
      <c r="AW50" s="137" t="str">
        <f aca="false">IF(ISBLANK($C50),"",IF(V50=Constants!$B$2,TRUE(),IF(V50=Constants!$B$3,FALSE(),TRUE())))</f>
        <v/>
      </c>
      <c r="AX50" s="135" t="str">
        <f aca="false">IF(ISBLANK($C50),"",IF(ISNUMBER(W50),IF(W50&gt;=0,W50,""),""))</f>
        <v/>
      </c>
      <c r="AY50" s="135" t="str">
        <f aca="false">IF(ISBLANK($C50),"",IF(X50=Constants!$B$2,TRUE(),IF(X50=Constants!$B$3,FALSE(),FALSE())))</f>
        <v/>
      </c>
      <c r="AZ50" s="135" t="str">
        <f aca="false">IF(ISBLANK($C50),"",MIN(Constants!$B$25,MAX(0,IF(ISNUMBER(Y50),Y50*60,0)+IF(ISNUMBER(Z50),Z50,0))))</f>
        <v/>
      </c>
      <c r="BA50" s="135" t="str">
        <f aca="false">IF(ISBLANK($C50),"",IF(AA50=Constants!$B$2,TRUE(),IF(AA50=Constants!$B$3,FALSE(),FALSE())))</f>
        <v/>
      </c>
      <c r="BB50" s="134" t="str">
        <f aca="false">IF(ISBLANK($C50),"",AND($AL50,OR($AM50="",$AN50="",AND($AO50,$AP50=""))))</f>
        <v/>
      </c>
      <c r="BC50" s="137" t="str">
        <f aca="false">IF($BX50&lt;&gt;Constants!$B$6,"",IF($AL50,Constants!$B$17*$AN50+Constants!$B$18*IF($AO50,$AP50,Constants!$B$19),Constants!$B$20))</f>
        <v/>
      </c>
      <c r="BD50" s="138" t="str">
        <f aca="false">IF($BX50&lt;&gt;Constants!$B$6,"",Constants!$B$21*ABS($AD$9-IF($AL50,$AM50,0)))</f>
        <v/>
      </c>
      <c r="BE50" s="138" t="str">
        <f aca="false">IF($BX50&lt;&gt;Constants!$B$6,"",IF(AND($AL50,$AQ50,$AO50),Constants!$B$22,0))</f>
        <v/>
      </c>
      <c r="BF50" s="138" t="str">
        <f aca="false">IF($BX50&lt;&gt;Constants!$B$6,"",IF($AL50,($AI50-Constants!$B$24)*Constants!$B$23,0))</f>
        <v/>
      </c>
      <c r="BG50" s="138" t="str">
        <f aca="false">IF($BX50&lt;&gt;Constants!$B$6,"",IF($AK50,0,Constants!$B$12)+IF($AJ50,0,Constants!$B$13)+IF($AH50,0,Constants!$B$14))</f>
        <v/>
      </c>
      <c r="BH50" s="139" t="str">
        <f aca="false">IF($BX50&lt;&gt;Constants!$B$6,"",Constants!$B$16+SUM($BC50:$BG50))</f>
        <v/>
      </c>
      <c r="BI50" s="138" t="str">
        <f aca="false">IF($BX50&lt;&gt;Constants!$B$6,"",$BC50)</f>
        <v/>
      </c>
      <c r="BJ50" s="138" t="str">
        <f aca="false">IF($BX50&lt;&gt;Constants!$B$6,"",$BD50)</f>
        <v/>
      </c>
      <c r="BK50" s="140" t="str">
        <f aca="false">IF($BX50&lt;&gt;Constants!$B$6,"",IF($AL50,$AN50,""))</f>
        <v/>
      </c>
      <c r="BL50" s="135" t="str">
        <f aca="false">IF($BX50&lt;&gt;Constants!$B$6,"",IF(OR($BS50&lt;$BH50,AND($BS50=$BH50,OR($BT50&lt;$BI50,AND($BT50=$BI50,OR($BU50&lt;$BJ50,AND($BU50=$BJ50,AND(ISNUMBER($BV50),OR(NOT(ISNUMBER($BK50)),$BV50&lt;$BK50)))))))),"-&gt;","&lt;-"))</f>
        <v/>
      </c>
      <c r="BM50" s="134" t="str">
        <f aca="false">IF(ISBLANK($C50),"",AND($AT50,OR($AU50="",$AV50="",AND($AW50,$AX50=""))))</f>
        <v/>
      </c>
      <c r="BN50" s="137" t="str">
        <f aca="false">IF($BX50&lt;&gt;Constants!$B$6,"",IF($AT50,Constants!$B$17*$AV50+Constants!$B$18*IF($AW50,$AX50,Constants!$B$19),Constants!$B$20))</f>
        <v/>
      </c>
      <c r="BO50" s="138" t="str">
        <f aca="false">IF($BX50&lt;&gt;Constants!$B$6,"",Constants!$B$21*ABS($AD$9-IF($AT50,$AU50,0)))</f>
        <v/>
      </c>
      <c r="BP50" s="138" t="str">
        <f aca="false">IF($BX50&lt;&gt;Constants!$B$6,"",IF(AND($AT50,$AY50,$AW50),Constants!$B$22,0))</f>
        <v/>
      </c>
      <c r="BQ50" s="138" t="str">
        <f aca="false">IF($BX50&lt;&gt;Constants!$B$6,"",IF($AT50,($AI50-Constants!$B$24)*Constants!$B$23,0))</f>
        <v/>
      </c>
      <c r="BR50" s="138" t="str">
        <f aca="false">IF($BX50&lt;&gt;Constants!$B$6,"",IF($AS50,0,Constants!$B$12)+IF($AR50,0,Constants!$B$13)+IF($AH50,0,Constants!$B$14))</f>
        <v/>
      </c>
      <c r="BS50" s="139" t="str">
        <f aca="false">IF($BX50&lt;&gt;Constants!$B$6,"",Constants!$B$16+SUM($BN50:$BR50))</f>
        <v/>
      </c>
      <c r="BT50" s="138" t="str">
        <f aca="false">IF($BX50&lt;&gt;Constants!$B$6,"",$BN50)</f>
        <v/>
      </c>
      <c r="BU50" s="138" t="str">
        <f aca="false">IF($BX50&lt;&gt;Constants!$B$6,"",$BO50)</f>
        <v/>
      </c>
      <c r="BV50" s="140" t="str">
        <f aca="false">IF($BX50&lt;&gt;Constants!$B$6,"",IF($AT50,$AV50,""))</f>
        <v/>
      </c>
      <c r="BW50" s="135" t="str">
        <f aca="false">IF(ISBLANK($C50),"",IF(ISBLANK($D$7),$BW$5,IF(NOT(ISNUMBER($D$7)),$BW$6,"")))</f>
        <v/>
      </c>
      <c r="BX50" s="135" t="str">
        <f aca="false">IF(ISBLANK($C50),"",IF($BA50,Constants!$B$9,IF(COUNTA($E50:$AA50)=0,Constants!$B$8,IF(NOT($AG50),Constants!$B$7,IF(OR($BW50&lt;&gt;"",$BB50,$BM50),Constants!$B$10,Constants!$B$6)))))</f>
        <v/>
      </c>
      <c r="BY50" s="135" t="str">
        <f aca="false">IF(ISBLANK($C50),"",IF($BX50&lt;&gt;Constants!$B$6,$BX50,Constants!$B$11))</f>
        <v/>
      </c>
      <c r="BZ50" s="138" t="str">
        <f aca="false">IF($BX50&lt;&gt;Constants!$B$6,"",IF($BL50="-&gt;",$BS50,$BH50))</f>
        <v/>
      </c>
      <c r="CA50" s="138" t="str">
        <f aca="false">IF($BX50&lt;&gt;Constants!$B$6,"",IF($AF50,0,Constants!$B$15))</f>
        <v/>
      </c>
      <c r="CB50" s="138" t="str">
        <f aca="false">IF($BX50&lt;&gt;Constants!$B$6,"",((Constants!$B$25-$AZ50)-Constants!$B$25)/Constants!$B$26)</f>
        <v/>
      </c>
      <c r="CC50" s="138" t="str">
        <f aca="false">IF(ISBLANK($C50),"",IF($BX50&lt;&gt;Constants!$B$6,$BX50,SUM($BZ50:$CB50)))</f>
        <v/>
      </c>
      <c r="CD50" s="135" t="str">
        <f aca="false">IF(ISBLANK($C50),"",IF($BX50&lt;&gt;Constants!$B$6,$BX50,RANK($CC50,$CC$9:$CC$508,1)))</f>
        <v/>
      </c>
      <c r="CE50" s="138" t="str">
        <f aca="false">IF($BX50&lt;&gt;Constants!$B$6,"",IF($BL50="-&gt;",$BT50,$BI50))</f>
        <v/>
      </c>
      <c r="CF50" s="135" t="str">
        <f aca="false">IF(ISBLANK($C50),"",IF($BX50&lt;&gt;Constants!$B$6,$BX50,IF(ISNUMBER($CE50),RANK($CE50,$CE$9:$CE$508,1),COUNT($CE$9:$CE$508)+1)))</f>
        <v/>
      </c>
      <c r="CG50" s="138" t="str">
        <f aca="false">IF($BX50&lt;&gt;Constants!$B$6,"",IF($BL50="-&gt;",$BU50,$BJ50))</f>
        <v/>
      </c>
      <c r="CH50" s="135" t="str">
        <f aca="false">IF(ISBLANK($C50),"",IF($BX50&lt;&gt;Constants!$B$6,$BX50,IF(ISNUMBER($CG50),RANK($CG50,$CG$9:$CG$508,1),COUNT($CG$9:$CG$508)+1)))</f>
        <v/>
      </c>
      <c r="CI50" s="138" t="str">
        <f aca="false">IF($BX50&lt;&gt;Constants!$B$6,"",IF($BL50="-&gt;",$BV50,$BK50))</f>
        <v/>
      </c>
      <c r="CJ50" s="135" t="str">
        <f aca="false">IF(ISBLANK($C50),"",IF($BX50&lt;&gt;Constants!$B$6,$BX50,IF(ISNUMBER($CI50),RANK($CI50,$CI$9:$CI$508,1),COUNT($CI$9:$CI$508)+1)))</f>
        <v/>
      </c>
      <c r="CK50" s="138" t="str">
        <f aca="false">IF($BX50&lt;&gt;Constants!$B$6,"",$AI50)</f>
        <v/>
      </c>
      <c r="CL50" s="135" t="str">
        <f aca="false">IF(ISBLANK($C50),"",IF($BX50&lt;&gt;Constants!$B$6,$BX50,IF(ISNUMBER($CK50),RANK($CK50,$CK$9:$CK$508,1),COUNT($CK$9:$CK$508)+1)))</f>
        <v/>
      </c>
      <c r="CM50" s="135" t="str">
        <f aca="false">IF(ISBLANK($C50),"",IF($BX50&lt;&gt;Constants!$B$6,$BX50,COUNTIFS($CD$9:$CD$508,"&lt;"&amp;$CD50)+COUNTIFS($CD$9:$CD$508,$CD50,$CF$9:$CF$508,"&lt;"&amp;$CF50)+COUNTIFS($CD$9:$CD$508,$CD50,$CF$9:$CF$508,$CF50,$CH$9:$CH$508,"&lt;"&amp;$CH50)+COUNTIFS($CD$9:$CD$508,$CD50,$CF$9:$CF$508,$CF50,$CH$9:$CH$508,$CH50,$CJ$9:$CJ$508,"&lt;"&amp;$CJ50)+COUNTIFS($CD$9:$CD$508,$CD50,$CF$9:$CF$508,$CF50,$CH$9:$CH$508,$CH50,$CJ$9:$CJ$508,$CJ50,$CL$9:$CL$508,"&lt;"&amp;$CL50)+1))</f>
        <v/>
      </c>
      <c r="CN50" s="135" t="str">
        <f aca="false">IF(ISBLANK($C50),"",IF($BX50&lt;&gt;Constants!$B$6,$BX50,$CD50-$CM50))</f>
        <v/>
      </c>
      <c r="CO50" s="141"/>
      <c r="CP50" s="142"/>
      <c r="CQ50" s="143" t="str">
        <f aca="false">IF(ISBLANK($C50),"",IF($BX50=Constants!$B$10,$BW50,""))</f>
        <v/>
      </c>
      <c r="CR50" s="142" t="str">
        <f aca="false">IF(ISBLANK($C50),"",IF($BX50&lt;&gt;Constants!$B$6,"",IF($BL50="-&gt;",2,1)))</f>
        <v/>
      </c>
      <c r="CS50" s="144" t="str">
        <f aca="false">IF(ISBLANK($C50),"",IF($BX50&lt;&gt;Constants!$B$6,"",IF($BL50="-&gt;",$BN50,$BC50)))</f>
        <v/>
      </c>
      <c r="CT50" s="144" t="str">
        <f aca="false">IF(ISBLANK($C50),"",IF($BX50&lt;&gt;Constants!$B$6,"",IF($BL50="-&gt;",$BO50,$BD50)))</f>
        <v/>
      </c>
      <c r="CU50" s="144" t="str">
        <f aca="false">IF(ISBLANK($C50),"",IF($BX50&lt;&gt;Constants!$B$6,"",IF($BL50="-&gt;",$BP50+$BQ50,$BE50+$BF50)+$CB50))</f>
        <v/>
      </c>
      <c r="CV50" s="144" t="str">
        <f aca="false">IF(ISBLANK($C50),"",IF($BX50&lt;&gt;Constants!$B$6,"",IF($BL50="-&gt;",$BR50,$BG50)+$CA50))</f>
        <v/>
      </c>
      <c r="CW50" s="145" t="str">
        <f aca="false">IF(ISBLANK($C50),"",IF($BX50&lt;&gt;Constants!$B$6,$BX50,$CC50))</f>
        <v/>
      </c>
      <c r="CX50" s="146" t="str">
        <f aca="false">IF(ISBLANK($C50),"",$BY50)</f>
        <v/>
      </c>
      <c r="CY50" s="147" t="str">
        <f aca="false">IF(ISBLANK($C50),"",$CN50)</f>
        <v/>
      </c>
      <c r="CZ50" s="147" t="str">
        <f aca="false">IF(ISBLANK($C50),"",$CM50)</f>
        <v/>
      </c>
      <c r="DA50" s="148" t="str">
        <f aca="false">IF(ISBLANK($C50),"",IFERROR(_xlfn.SWITCH($CZ50,Constants!$B$9,COUNTA($C$9:$C$508)+2,Constants!$B$8,COUNTA($C$9:$C$508)+1,Constants!$B$7,COUNTA($C$9:$C$508)),$CZ50))</f>
        <v/>
      </c>
      <c r="DB50" s="9"/>
      <c r="DC50" s="149" t="n">
        <f aca="false">IF(OR(ISNUMBER($CZ50),$CZ50=Constants!$B$9,$CZ50=Constants!$B$7,$CZ50=Constants!$B$8),1,0)</f>
        <v>0</v>
      </c>
      <c r="DD50" s="149" t="n">
        <v>42</v>
      </c>
      <c r="DE50" s="149" t="str">
        <f aca="false">IF(ISBLANK($C50),"",IF(ISNUMBER($DA50),$DA50+ROW($B50)/1000,""))</f>
        <v/>
      </c>
      <c r="DF50" s="149" t="str">
        <f aca="false">IF(ISNUMBER($DE50),RANK($DE50,$DE$9:$DE$508,1),"")</f>
        <v/>
      </c>
      <c r="DG50" s="149" t="str">
        <f aca="false">IF(ISBLANK($C50),"",$B50)</f>
        <v/>
      </c>
      <c r="DH50" s="149" t="str">
        <f aca="false">IF(ISBLANK($C50),"",$C50)</f>
        <v/>
      </c>
      <c r="DI50" s="149" t="str">
        <f aca="false">IF(ISBLANK($C50),"",$D50)</f>
        <v/>
      </c>
      <c r="DJ50" s="150" t="str">
        <f aca="false">$CX50</f>
        <v/>
      </c>
      <c r="DK50" s="151" t="str">
        <f aca="false">$CW50</f>
        <v/>
      </c>
      <c r="DL50" s="149" t="str">
        <f aca="false">IF(ISBLANK($C50),"",$CZ50)</f>
        <v/>
      </c>
      <c r="DM50" s="152" t="str">
        <f aca="false">IF($DD50&gt;$DC$8,"",VLOOKUP($DD50,$DF$9:$DL$508,7,FALSE()))</f>
        <v/>
      </c>
      <c r="DN50" s="153" t="str">
        <f aca="false">IF($DD50&gt;$DC$8,"",VLOOKUP($DD50,$DF$9:$DL$508,2,FALSE()))</f>
        <v/>
      </c>
      <c r="DO50" s="153" t="str">
        <f aca="false">IF($DD50&gt;$DC$8,"",VLOOKUP($DD50,$DF$9:$DL$508,3,FALSE()))</f>
        <v/>
      </c>
      <c r="DP50" s="153" t="str">
        <f aca="false">IF($DD50&gt;$DC$8,"",VLOOKUP($DD50,$DF$9:$DL$508,4,FALSE()))</f>
        <v/>
      </c>
      <c r="DQ50" s="153" t="str">
        <f aca="false">IF($DD50&gt;$DC$8,"",VLOOKUP($DD50,$DF$9:$DL$508,5,FALSE()))</f>
        <v/>
      </c>
      <c r="DR50" s="154" t="str">
        <f aca="false">IF($DD50&gt;$DC$8,"",VLOOKUP($DD50,$DF$9:$DL$508,6,FALSE()))</f>
        <v/>
      </c>
      <c r="DS50" s="76"/>
    </row>
    <row r="51" customFormat="false" ht="15.75" hidden="false" customHeight="false" outlineLevel="0" collapsed="false">
      <c r="A51" s="9"/>
      <c r="B51" s="78"/>
      <c r="C51" s="79"/>
      <c r="D51" s="170"/>
      <c r="E51" s="178"/>
      <c r="F51" s="172"/>
      <c r="G51" s="173"/>
      <c r="H51" s="173"/>
      <c r="I51" s="179"/>
      <c r="J51" s="176"/>
      <c r="K51" s="86"/>
      <c r="L51" s="87"/>
      <c r="M51" s="88"/>
      <c r="N51" s="176"/>
      <c r="O51" s="176"/>
      <c r="P51" s="178"/>
      <c r="Q51" s="176"/>
      <c r="R51" s="176"/>
      <c r="S51" s="86"/>
      <c r="T51" s="88"/>
      <c r="U51" s="88"/>
      <c r="V51" s="176"/>
      <c r="W51" s="176"/>
      <c r="X51" s="178"/>
      <c r="Y51" s="176"/>
      <c r="Z51" s="177"/>
      <c r="AA51" s="176"/>
      <c r="AB51" s="92"/>
      <c r="AC51" s="93"/>
      <c r="AD51" s="93"/>
      <c r="AE51" s="93"/>
      <c r="AF51" s="93" t="str">
        <f aca="false">IF(ISBLANK($C51),"",IF(E51=Constants!$B$2,TRUE(),IF(E51=Constants!$B$3,FALSE(),TRUE())))</f>
        <v/>
      </c>
      <c r="AG51" s="93" t="str">
        <f aca="false">IF(ISBLANK($C51),"",IF(F51=Constants!$B$2,TRUE(),IF(F51=Constants!$B$3,FALSE(),TRUE())))</f>
        <v/>
      </c>
      <c r="AH51" s="93" t="str">
        <f aca="false">IF(ISBLANK($C51),"",IF(G51=Constants!$B$2,TRUE(),IF(G51=Constants!$B$3,FALSE(),TRUE())))</f>
        <v/>
      </c>
      <c r="AI51" s="93" t="str">
        <f aca="false">IF(ISBLANK($C51),"",IF(AND(ISNUMBER(H51),H51&gt;=0),H51,Constants!$B$24))</f>
        <v/>
      </c>
      <c r="AJ51" s="93" t="str">
        <f aca="false">IF(ISBLANK($C51),"",IF(I51=Constants!$B$2,TRUE(),IF(I51=Constants!$B$3,FALSE(),TRUE())))</f>
        <v/>
      </c>
      <c r="AK51" s="93" t="str">
        <f aca="false">IF(ISBLANK($C51),"",IF(J51=Constants!$B$2,TRUE(),IF(J51=Constants!$B$3,FALSE(),TRUE())))</f>
        <v/>
      </c>
      <c r="AL51" s="93" t="str">
        <f aca="false">IF(ISBLANK($C51),"",IF(K51=Constants!$B$4,TRUE(),IF(K51=Constants!$B$5,FALSE(),COUNTA(L51:P51)&gt;0)))</f>
        <v/>
      </c>
      <c r="AM51" s="95" t="str">
        <f aca="false">IF(ISBLANK($C51),"",IF(ISNUMBER(L51),IF(L51&gt;=0,L51,""),""))</f>
        <v/>
      </c>
      <c r="AN51" s="94" t="str">
        <f aca="false">IF(ISBLANK($C51),"",IF(ISNUMBER(M51),IF(M51&gt;=0,M51,""),""))</f>
        <v/>
      </c>
      <c r="AO51" s="94" t="str">
        <f aca="false">IF(ISBLANK($C51),"",IF(N51=Constants!$B$2,TRUE(),IF(N51=Constants!$B$3,FALSE(),TRUE())))</f>
        <v/>
      </c>
      <c r="AP51" s="93" t="str">
        <f aca="false">IF(ISBLANK($C51),"",IF(ISNUMBER(O51),IF(O51&gt;=0,O51,""),""))</f>
        <v/>
      </c>
      <c r="AQ51" s="93" t="str">
        <f aca="false">IF(ISBLANK($C51),"",IF(P51=Constants!$B$2,TRUE(),IF(P51=Constants!$B$3,FALSE(),FALSE())))</f>
        <v/>
      </c>
      <c r="AR51" s="93" t="str">
        <f aca="false">IF(ISBLANK($C51),"",IF(Q51=Constants!$B$2,TRUE(),IF(Q51=Constants!$B$3,FALSE(),TRUE())))</f>
        <v/>
      </c>
      <c r="AS51" s="93" t="str">
        <f aca="false">IF(ISBLANK($C51),"",IF(R51=Constants!$B$2,TRUE(),IF(R51=Constants!$B$3,FALSE(),TRUE())))</f>
        <v/>
      </c>
      <c r="AT51" s="93" t="str">
        <f aca="false">IF(ISBLANK($C51),"",IF(S51=Constants!$B$4,TRUE(),IF(S51=Constants!$B$5,FALSE(),COUNTA(T51:X51)&gt;0)))</f>
        <v/>
      </c>
      <c r="AU51" s="95" t="str">
        <f aca="false">IF(ISBLANK($C51),"",IF(ISNUMBER(T51),IF(T51&gt;=0,T51,""),""))</f>
        <v/>
      </c>
      <c r="AV51" s="94" t="str">
        <f aca="false">IF(ISBLANK($C51),"",IF(ISNUMBER(U51),IF(U51&gt;=0,U51,""),""))</f>
        <v/>
      </c>
      <c r="AW51" s="94" t="str">
        <f aca="false">IF(ISBLANK($C51),"",IF(V51=Constants!$B$2,TRUE(),IF(V51=Constants!$B$3,FALSE(),TRUE())))</f>
        <v/>
      </c>
      <c r="AX51" s="93" t="str">
        <f aca="false">IF(ISBLANK($C51),"",IF(ISNUMBER(W51),IF(W51&gt;=0,W51,""),""))</f>
        <v/>
      </c>
      <c r="AY51" s="93" t="str">
        <f aca="false">IF(ISBLANK($C51),"",IF(X51=Constants!$B$2,TRUE(),IF(X51=Constants!$B$3,FALSE(),FALSE())))</f>
        <v/>
      </c>
      <c r="AZ51" s="93" t="str">
        <f aca="false">IF(ISBLANK($C51),"",MIN(Constants!$B$25,MAX(0,IF(ISNUMBER(Y51),Y51*60,0)+IF(ISNUMBER(Z51),Z51,0))))</f>
        <v/>
      </c>
      <c r="BA51" s="93" t="str">
        <f aca="false">IF(ISBLANK($C51),"",IF(AA51=Constants!$B$2,TRUE(),IF(AA51=Constants!$B$3,FALSE(),FALSE())))</f>
        <v/>
      </c>
      <c r="BB51" s="92" t="str">
        <f aca="false">IF(ISBLANK($C51),"",AND($AL51,OR($AM51="",$AN51="",AND($AO51,$AP51=""))))</f>
        <v/>
      </c>
      <c r="BC51" s="94" t="str">
        <f aca="false">IF($BX51&lt;&gt;Constants!$B$6,"",IF($AL51,Constants!$B$17*$AN51+Constants!$B$18*IF($AO51,$AP51,Constants!$B$19),Constants!$B$20))</f>
        <v/>
      </c>
      <c r="BD51" s="97" t="str">
        <f aca="false">IF($BX51&lt;&gt;Constants!$B$6,"",Constants!$B$21*ABS($AD$9-IF($AL51,$AM51,0)))</f>
        <v/>
      </c>
      <c r="BE51" s="97" t="str">
        <f aca="false">IF($BX51&lt;&gt;Constants!$B$6,"",IF(AND($AL51,$AQ51,$AO51),Constants!$B$22,0))</f>
        <v/>
      </c>
      <c r="BF51" s="97" t="str">
        <f aca="false">IF($BX51&lt;&gt;Constants!$B$6,"",IF($AL51,($AI51-Constants!$B$24)*Constants!$B$23,0))</f>
        <v/>
      </c>
      <c r="BG51" s="97" t="str">
        <f aca="false">IF($BX51&lt;&gt;Constants!$B$6,"",IF($AK51,0,Constants!$B$12)+IF($AJ51,0,Constants!$B$13)+IF($AH51,0,Constants!$B$14))</f>
        <v/>
      </c>
      <c r="BH51" s="98" t="str">
        <f aca="false">IF($BX51&lt;&gt;Constants!$B$6,"",Constants!$B$16+SUM($BC51:$BG51))</f>
        <v/>
      </c>
      <c r="BI51" s="97" t="str">
        <f aca="false">IF($BX51&lt;&gt;Constants!$B$6,"",$BC51)</f>
        <v/>
      </c>
      <c r="BJ51" s="97" t="str">
        <f aca="false">IF($BX51&lt;&gt;Constants!$B$6,"",$BD51)</f>
        <v/>
      </c>
      <c r="BK51" s="99" t="str">
        <f aca="false">IF($BX51&lt;&gt;Constants!$B$6,"",IF($AL51,$AN51,""))</f>
        <v/>
      </c>
      <c r="BL51" s="93" t="str">
        <f aca="false">IF($BX51&lt;&gt;Constants!$B$6,"",IF(OR($BS51&lt;$BH51,AND($BS51=$BH51,OR($BT51&lt;$BI51,AND($BT51=$BI51,OR($BU51&lt;$BJ51,AND($BU51=$BJ51,AND(ISNUMBER($BV51),OR(NOT(ISNUMBER($BK51)),$BV51&lt;$BK51)))))))),"-&gt;","&lt;-"))</f>
        <v/>
      </c>
      <c r="BM51" s="92" t="str">
        <f aca="false">IF(ISBLANK($C51),"",AND($AT51,OR($AU51="",$AV51="",AND($AW51,$AX51=""))))</f>
        <v/>
      </c>
      <c r="BN51" s="94" t="str">
        <f aca="false">IF($BX51&lt;&gt;Constants!$B$6,"",IF($AT51,Constants!$B$17*$AV51+Constants!$B$18*IF($AW51,$AX51,Constants!$B$19),Constants!$B$20))</f>
        <v/>
      </c>
      <c r="BO51" s="97" t="str">
        <f aca="false">IF($BX51&lt;&gt;Constants!$B$6,"",Constants!$B$21*ABS($AD$9-IF($AT51,$AU51,0)))</f>
        <v/>
      </c>
      <c r="BP51" s="97" t="str">
        <f aca="false">IF($BX51&lt;&gt;Constants!$B$6,"",IF(AND($AT51,$AY51,$AW51),Constants!$B$22,0))</f>
        <v/>
      </c>
      <c r="BQ51" s="97" t="str">
        <f aca="false">IF($BX51&lt;&gt;Constants!$B$6,"",IF($AT51,($AI51-Constants!$B$24)*Constants!$B$23,0))</f>
        <v/>
      </c>
      <c r="BR51" s="97" t="str">
        <f aca="false">IF($BX51&lt;&gt;Constants!$B$6,"",IF($AS51,0,Constants!$B$12)+IF($AR51,0,Constants!$B$13)+IF($AH51,0,Constants!$B$14))</f>
        <v/>
      </c>
      <c r="BS51" s="98" t="str">
        <f aca="false">IF($BX51&lt;&gt;Constants!$B$6,"",Constants!$B$16+SUM($BN51:$BR51))</f>
        <v/>
      </c>
      <c r="BT51" s="97" t="str">
        <f aca="false">IF($BX51&lt;&gt;Constants!$B$6,"",$BN51)</f>
        <v/>
      </c>
      <c r="BU51" s="97" t="str">
        <f aca="false">IF($BX51&lt;&gt;Constants!$B$6,"",$BO51)</f>
        <v/>
      </c>
      <c r="BV51" s="99" t="str">
        <f aca="false">IF($BX51&lt;&gt;Constants!$B$6,"",IF($AT51,$AV51,""))</f>
        <v/>
      </c>
      <c r="BW51" s="93" t="str">
        <f aca="false">IF(ISBLANK($C51),"",IF(ISBLANK($D$7),$BW$5,IF(NOT(ISNUMBER($D$7)),$BW$6,"")))</f>
        <v/>
      </c>
      <c r="BX51" s="93" t="str">
        <f aca="false">IF(ISBLANK($C51),"",IF($BA51,Constants!$B$9,IF(COUNTA($E51:$AA51)=0,Constants!$B$8,IF(NOT($AG51),Constants!$B$7,IF(OR($BW51&lt;&gt;"",$BB51,$BM51),Constants!$B$10,Constants!$B$6)))))</f>
        <v/>
      </c>
      <c r="BY51" s="93" t="str">
        <f aca="false">IF(ISBLANK($C51),"",IF($BX51&lt;&gt;Constants!$B$6,$BX51,Constants!$B$11))</f>
        <v/>
      </c>
      <c r="BZ51" s="97" t="str">
        <f aca="false">IF($BX51&lt;&gt;Constants!$B$6,"",IF($BL51="-&gt;",$BS51,$BH51))</f>
        <v/>
      </c>
      <c r="CA51" s="97" t="str">
        <f aca="false">IF($BX51&lt;&gt;Constants!$B$6,"",IF($AF51,0,Constants!$B$15))</f>
        <v/>
      </c>
      <c r="CB51" s="97" t="str">
        <f aca="false">IF($BX51&lt;&gt;Constants!$B$6,"",((Constants!$B$25-$AZ51)-Constants!$B$25)/Constants!$B$26)</f>
        <v/>
      </c>
      <c r="CC51" s="97" t="str">
        <f aca="false">IF(ISBLANK($C51),"",IF($BX51&lt;&gt;Constants!$B$6,$BX51,SUM($BZ51:$CB51)))</f>
        <v/>
      </c>
      <c r="CD51" s="93" t="str">
        <f aca="false">IF(ISBLANK($C51),"",IF($BX51&lt;&gt;Constants!$B$6,$BX51,RANK($CC51,$CC$9:$CC$508,1)))</f>
        <v/>
      </c>
      <c r="CE51" s="97" t="str">
        <f aca="false">IF($BX51&lt;&gt;Constants!$B$6,"",IF($BL51="-&gt;",$BT51,$BI51))</f>
        <v/>
      </c>
      <c r="CF51" s="93" t="str">
        <f aca="false">IF(ISBLANK($C51),"",IF($BX51&lt;&gt;Constants!$B$6,$BX51,IF(ISNUMBER($CE51),RANK($CE51,$CE$9:$CE$508,1),COUNT($CE$9:$CE$508)+1)))</f>
        <v/>
      </c>
      <c r="CG51" s="97" t="str">
        <f aca="false">IF($BX51&lt;&gt;Constants!$B$6,"",IF($BL51="-&gt;",$BU51,$BJ51))</f>
        <v/>
      </c>
      <c r="CH51" s="93" t="str">
        <f aca="false">IF(ISBLANK($C51),"",IF($BX51&lt;&gt;Constants!$B$6,$BX51,IF(ISNUMBER($CG51),RANK($CG51,$CG$9:$CG$508,1),COUNT($CG$9:$CG$508)+1)))</f>
        <v/>
      </c>
      <c r="CI51" s="97" t="str">
        <f aca="false">IF($BX51&lt;&gt;Constants!$B$6,"",IF($BL51="-&gt;",$BV51,$BK51))</f>
        <v/>
      </c>
      <c r="CJ51" s="93" t="str">
        <f aca="false">IF(ISBLANK($C51),"",IF($BX51&lt;&gt;Constants!$B$6,$BX51,IF(ISNUMBER($CI51),RANK($CI51,$CI$9:$CI$508,1),COUNT($CI$9:$CI$508)+1)))</f>
        <v/>
      </c>
      <c r="CK51" s="97" t="str">
        <f aca="false">IF($BX51&lt;&gt;Constants!$B$6,"",$AI51)</f>
        <v/>
      </c>
      <c r="CL51" s="93" t="str">
        <f aca="false">IF(ISBLANK($C51),"",IF($BX51&lt;&gt;Constants!$B$6,$BX51,IF(ISNUMBER($CK51),RANK($CK51,$CK$9:$CK$508,1),COUNT($CK$9:$CK$508)+1)))</f>
        <v/>
      </c>
      <c r="CM51" s="93" t="str">
        <f aca="false">IF(ISBLANK($C51),"",IF($BX51&lt;&gt;Constants!$B$6,$BX51,COUNTIFS($CD$9:$CD$508,"&lt;"&amp;$CD51)+COUNTIFS($CD$9:$CD$508,$CD51,$CF$9:$CF$508,"&lt;"&amp;$CF51)+COUNTIFS($CD$9:$CD$508,$CD51,$CF$9:$CF$508,$CF51,$CH$9:$CH$508,"&lt;"&amp;$CH51)+COUNTIFS($CD$9:$CD$508,$CD51,$CF$9:$CF$508,$CF51,$CH$9:$CH$508,$CH51,$CJ$9:$CJ$508,"&lt;"&amp;$CJ51)+COUNTIFS($CD$9:$CD$508,$CD51,$CF$9:$CF$508,$CF51,$CH$9:$CH$508,$CH51,$CJ$9:$CJ$508,$CJ51,$CL$9:$CL$508,"&lt;"&amp;$CL51)+1))</f>
        <v/>
      </c>
      <c r="CN51" s="93" t="str">
        <f aca="false">IF(ISBLANK($C51),"",IF($BX51&lt;&gt;Constants!$B$6,$BX51,$CD51-$CM51))</f>
        <v/>
      </c>
      <c r="CO51" s="100"/>
      <c r="CP51" s="101"/>
      <c r="CQ51" s="102" t="str">
        <f aca="false">IF(ISBLANK($C51),"",IF($BX51=Constants!$B$10,$BW51,""))</f>
        <v/>
      </c>
      <c r="CR51" s="101" t="str">
        <f aca="false">IF(ISBLANK($C51),"",IF($BX51&lt;&gt;Constants!$B$6,"",IF($BL51="-&gt;",2,1)))</f>
        <v/>
      </c>
      <c r="CS51" s="103" t="str">
        <f aca="false">IF(ISBLANK($C51),"",IF($BX51&lt;&gt;Constants!$B$6,"",IF($BL51="-&gt;",$BN51,$BC51)))</f>
        <v/>
      </c>
      <c r="CT51" s="103" t="str">
        <f aca="false">IF(ISBLANK($C51),"",IF($BX51&lt;&gt;Constants!$B$6,"",IF($BL51="-&gt;",$BO51,$BD51)))</f>
        <v/>
      </c>
      <c r="CU51" s="103" t="str">
        <f aca="false">IF(ISBLANK($C51),"",IF($BX51&lt;&gt;Constants!$B$6,"",IF($BL51="-&gt;",$BP51+$BQ51,$BE51+$BF51)+$CB51))</f>
        <v/>
      </c>
      <c r="CV51" s="103" t="str">
        <f aca="false">IF(ISBLANK($C51),"",IF($BX51&lt;&gt;Constants!$B$6,"",IF($BL51="-&gt;",$BR51,$BG51)+$CA51))</f>
        <v/>
      </c>
      <c r="CW51" s="104" t="str">
        <f aca="false">IF(ISBLANK($C51),"",IF($BX51&lt;&gt;Constants!$B$6,$BX51,$CC51))</f>
        <v/>
      </c>
      <c r="CX51" s="105" t="str">
        <f aca="false">IF(ISBLANK($C51),"",$BY51)</f>
        <v/>
      </c>
      <c r="CY51" s="106" t="str">
        <f aca="false">IF(ISBLANK($C51),"",$CN51)</f>
        <v/>
      </c>
      <c r="CZ51" s="106" t="str">
        <f aca="false">IF(ISBLANK($C51),"",$CM51)</f>
        <v/>
      </c>
      <c r="DA51" s="107" t="str">
        <f aca="false">IF(ISBLANK($C51),"",IFERROR(_xlfn.SWITCH($CZ51,Constants!$B$9,COUNTA($C$9:$C$508)+2,Constants!$B$8,COUNTA($C$9:$C$508)+1,Constants!$B$7,COUNTA($C$9:$C$508)),$CZ51))</f>
        <v/>
      </c>
      <c r="DB51" s="9"/>
      <c r="DC51" s="108" t="n">
        <f aca="false">IF(OR(ISNUMBER($CZ51),$CZ51=Constants!$B$9,$CZ51=Constants!$B$7,$CZ51=Constants!$B$8),1,0)</f>
        <v>0</v>
      </c>
      <c r="DD51" s="108" t="n">
        <v>43</v>
      </c>
      <c r="DE51" s="108" t="str">
        <f aca="false">IF(ISBLANK($C51),"",IF(ISNUMBER($DA51),$DA51+ROW($B51)/1000,""))</f>
        <v/>
      </c>
      <c r="DF51" s="108" t="str">
        <f aca="false">IF(ISNUMBER($DE51),RANK($DE51,$DE$9:$DE$508,1),"")</f>
        <v/>
      </c>
      <c r="DG51" s="108" t="str">
        <f aca="false">IF(ISBLANK($C51),"",$B51)</f>
        <v/>
      </c>
      <c r="DH51" s="108" t="str">
        <f aca="false">IF(ISBLANK($C51),"",$C51)</f>
        <v/>
      </c>
      <c r="DI51" s="108" t="str">
        <f aca="false">IF(ISBLANK($C51),"",$D51)</f>
        <v/>
      </c>
      <c r="DJ51" s="109" t="str">
        <f aca="false">$CX51</f>
        <v/>
      </c>
      <c r="DK51" s="110" t="str">
        <f aca="false">$CW51</f>
        <v/>
      </c>
      <c r="DL51" s="108" t="str">
        <f aca="false">IF(ISBLANK($C51),"",$CZ51)</f>
        <v/>
      </c>
      <c r="DM51" s="111" t="str">
        <f aca="false">IF($DD51&gt;$DC$8,"",VLOOKUP($DD51,$DF$9:$DL$508,7,FALSE()))</f>
        <v/>
      </c>
      <c r="DN51" s="112" t="str">
        <f aca="false">IF($DD51&gt;$DC$8,"",VLOOKUP($DD51,$DF$9:$DL$508,2,FALSE()))</f>
        <v/>
      </c>
      <c r="DO51" s="112" t="str">
        <f aca="false">IF($DD51&gt;$DC$8,"",VLOOKUP($DD51,$DF$9:$DL$508,3,FALSE()))</f>
        <v/>
      </c>
      <c r="DP51" s="112" t="str">
        <f aca="false">IF($DD51&gt;$DC$8,"",VLOOKUP($DD51,$DF$9:$DL$508,4,FALSE()))</f>
        <v/>
      </c>
      <c r="DQ51" s="112" t="str">
        <f aca="false">IF($DD51&gt;$DC$8,"",VLOOKUP($DD51,$DF$9:$DL$508,5,FALSE()))</f>
        <v/>
      </c>
      <c r="DR51" s="113" t="str">
        <f aca="false">IF($DD51&gt;$DC$8,"",VLOOKUP($DD51,$DF$9:$DL$508,6,FALSE()))</f>
        <v/>
      </c>
      <c r="DS51" s="76"/>
    </row>
    <row r="52" customFormat="false" ht="15.75" hidden="false" customHeight="false" outlineLevel="0" collapsed="false">
      <c r="A52" s="9"/>
      <c r="B52" s="78"/>
      <c r="C52" s="79"/>
      <c r="D52" s="170"/>
      <c r="E52" s="178"/>
      <c r="F52" s="172"/>
      <c r="G52" s="173"/>
      <c r="H52" s="173"/>
      <c r="I52" s="179"/>
      <c r="J52" s="176"/>
      <c r="K52" s="86"/>
      <c r="L52" s="87"/>
      <c r="M52" s="88"/>
      <c r="N52" s="176"/>
      <c r="O52" s="176"/>
      <c r="P52" s="178"/>
      <c r="Q52" s="176"/>
      <c r="R52" s="176"/>
      <c r="S52" s="86"/>
      <c r="T52" s="88"/>
      <c r="U52" s="88"/>
      <c r="V52" s="176"/>
      <c r="W52" s="176"/>
      <c r="X52" s="178"/>
      <c r="Y52" s="176"/>
      <c r="Z52" s="177"/>
      <c r="AA52" s="176"/>
      <c r="AB52" s="92"/>
      <c r="AC52" s="93"/>
      <c r="AD52" s="93"/>
      <c r="AE52" s="93"/>
      <c r="AF52" s="93" t="str">
        <f aca="false">IF(ISBLANK($C52),"",IF(E52=Constants!$B$2,TRUE(),IF(E52=Constants!$B$3,FALSE(),TRUE())))</f>
        <v/>
      </c>
      <c r="AG52" s="93" t="str">
        <f aca="false">IF(ISBLANK($C52),"",IF(F52=Constants!$B$2,TRUE(),IF(F52=Constants!$B$3,FALSE(),TRUE())))</f>
        <v/>
      </c>
      <c r="AH52" s="93" t="str">
        <f aca="false">IF(ISBLANK($C52),"",IF(G52=Constants!$B$2,TRUE(),IF(G52=Constants!$B$3,FALSE(),TRUE())))</f>
        <v/>
      </c>
      <c r="AI52" s="93" t="str">
        <f aca="false">IF(ISBLANK($C52),"",IF(AND(ISNUMBER(H52),H52&gt;=0),H52,Constants!$B$24))</f>
        <v/>
      </c>
      <c r="AJ52" s="93" t="str">
        <f aca="false">IF(ISBLANK($C52),"",IF(I52=Constants!$B$2,TRUE(),IF(I52=Constants!$B$3,FALSE(),TRUE())))</f>
        <v/>
      </c>
      <c r="AK52" s="93" t="str">
        <f aca="false">IF(ISBLANK($C52),"",IF(J52=Constants!$B$2,TRUE(),IF(J52=Constants!$B$3,FALSE(),TRUE())))</f>
        <v/>
      </c>
      <c r="AL52" s="93" t="str">
        <f aca="false">IF(ISBLANK($C52),"",IF(K52=Constants!$B$4,TRUE(),IF(K52=Constants!$B$5,FALSE(),COUNTA(L52:P52)&gt;0)))</f>
        <v/>
      </c>
      <c r="AM52" s="95" t="str">
        <f aca="false">IF(ISBLANK($C52),"",IF(ISNUMBER(L52),IF(L52&gt;=0,L52,""),""))</f>
        <v/>
      </c>
      <c r="AN52" s="94" t="str">
        <f aca="false">IF(ISBLANK($C52),"",IF(ISNUMBER(M52),IF(M52&gt;=0,M52,""),""))</f>
        <v/>
      </c>
      <c r="AO52" s="94" t="str">
        <f aca="false">IF(ISBLANK($C52),"",IF(N52=Constants!$B$2,TRUE(),IF(N52=Constants!$B$3,FALSE(),TRUE())))</f>
        <v/>
      </c>
      <c r="AP52" s="93" t="str">
        <f aca="false">IF(ISBLANK($C52),"",IF(ISNUMBER(O52),IF(O52&gt;=0,O52,""),""))</f>
        <v/>
      </c>
      <c r="AQ52" s="93" t="str">
        <f aca="false">IF(ISBLANK($C52),"",IF(P52=Constants!$B$2,TRUE(),IF(P52=Constants!$B$3,FALSE(),FALSE())))</f>
        <v/>
      </c>
      <c r="AR52" s="93" t="str">
        <f aca="false">IF(ISBLANK($C52),"",IF(Q52=Constants!$B$2,TRUE(),IF(Q52=Constants!$B$3,FALSE(),TRUE())))</f>
        <v/>
      </c>
      <c r="AS52" s="93" t="str">
        <f aca="false">IF(ISBLANK($C52),"",IF(R52=Constants!$B$2,TRUE(),IF(R52=Constants!$B$3,FALSE(),TRUE())))</f>
        <v/>
      </c>
      <c r="AT52" s="93" t="str">
        <f aca="false">IF(ISBLANK($C52),"",IF(S52=Constants!$B$4,TRUE(),IF(S52=Constants!$B$5,FALSE(),COUNTA(T52:X52)&gt;0)))</f>
        <v/>
      </c>
      <c r="AU52" s="95" t="str">
        <f aca="false">IF(ISBLANK($C52),"",IF(ISNUMBER(T52),IF(T52&gt;=0,T52,""),""))</f>
        <v/>
      </c>
      <c r="AV52" s="94" t="str">
        <f aca="false">IF(ISBLANK($C52),"",IF(ISNUMBER(U52),IF(U52&gt;=0,U52,""),""))</f>
        <v/>
      </c>
      <c r="AW52" s="94" t="str">
        <f aca="false">IF(ISBLANK($C52),"",IF(V52=Constants!$B$2,TRUE(),IF(V52=Constants!$B$3,FALSE(),TRUE())))</f>
        <v/>
      </c>
      <c r="AX52" s="93" t="str">
        <f aca="false">IF(ISBLANK($C52),"",IF(ISNUMBER(W52),IF(W52&gt;=0,W52,""),""))</f>
        <v/>
      </c>
      <c r="AY52" s="93" t="str">
        <f aca="false">IF(ISBLANK($C52),"",IF(X52=Constants!$B$2,TRUE(),IF(X52=Constants!$B$3,FALSE(),FALSE())))</f>
        <v/>
      </c>
      <c r="AZ52" s="93" t="str">
        <f aca="false">IF(ISBLANK($C52),"",MIN(Constants!$B$25,MAX(0,IF(ISNUMBER(Y52),Y52*60,0)+IF(ISNUMBER(Z52),Z52,0))))</f>
        <v/>
      </c>
      <c r="BA52" s="93" t="str">
        <f aca="false">IF(ISBLANK($C52),"",IF(AA52=Constants!$B$2,TRUE(),IF(AA52=Constants!$B$3,FALSE(),FALSE())))</f>
        <v/>
      </c>
      <c r="BB52" s="92" t="str">
        <f aca="false">IF(ISBLANK($C52),"",AND($AL52,OR($AM52="",$AN52="",AND($AO52,$AP52=""))))</f>
        <v/>
      </c>
      <c r="BC52" s="94" t="str">
        <f aca="false">IF($BX52&lt;&gt;Constants!$B$6,"",IF($AL52,Constants!$B$17*$AN52+Constants!$B$18*IF($AO52,$AP52,Constants!$B$19),Constants!$B$20))</f>
        <v/>
      </c>
      <c r="BD52" s="97" t="str">
        <f aca="false">IF($BX52&lt;&gt;Constants!$B$6,"",Constants!$B$21*ABS($AD$9-IF($AL52,$AM52,0)))</f>
        <v/>
      </c>
      <c r="BE52" s="97" t="str">
        <f aca="false">IF($BX52&lt;&gt;Constants!$B$6,"",IF(AND($AL52,$AQ52,$AO52),Constants!$B$22,0))</f>
        <v/>
      </c>
      <c r="BF52" s="97" t="str">
        <f aca="false">IF($BX52&lt;&gt;Constants!$B$6,"",IF($AL52,($AI52-Constants!$B$24)*Constants!$B$23,0))</f>
        <v/>
      </c>
      <c r="BG52" s="97" t="str">
        <f aca="false">IF($BX52&lt;&gt;Constants!$B$6,"",IF($AK52,0,Constants!$B$12)+IF($AJ52,0,Constants!$B$13)+IF($AH52,0,Constants!$B$14))</f>
        <v/>
      </c>
      <c r="BH52" s="98" t="str">
        <f aca="false">IF($BX52&lt;&gt;Constants!$B$6,"",Constants!$B$16+SUM($BC52:$BG52))</f>
        <v/>
      </c>
      <c r="BI52" s="97" t="str">
        <f aca="false">IF($BX52&lt;&gt;Constants!$B$6,"",$BC52)</f>
        <v/>
      </c>
      <c r="BJ52" s="97" t="str">
        <f aca="false">IF($BX52&lt;&gt;Constants!$B$6,"",$BD52)</f>
        <v/>
      </c>
      <c r="BK52" s="99" t="str">
        <f aca="false">IF($BX52&lt;&gt;Constants!$B$6,"",IF($AL52,$AN52,""))</f>
        <v/>
      </c>
      <c r="BL52" s="93" t="str">
        <f aca="false">IF($BX52&lt;&gt;Constants!$B$6,"",IF(OR($BS52&lt;$BH52,AND($BS52=$BH52,OR($BT52&lt;$BI52,AND($BT52=$BI52,OR($BU52&lt;$BJ52,AND($BU52=$BJ52,AND(ISNUMBER($BV52),OR(NOT(ISNUMBER($BK52)),$BV52&lt;$BK52)))))))),"-&gt;","&lt;-"))</f>
        <v/>
      </c>
      <c r="BM52" s="92" t="str">
        <f aca="false">IF(ISBLANK($C52),"",AND($AT52,OR($AU52="",$AV52="",AND($AW52,$AX52=""))))</f>
        <v/>
      </c>
      <c r="BN52" s="94" t="str">
        <f aca="false">IF($BX52&lt;&gt;Constants!$B$6,"",IF($AT52,Constants!$B$17*$AV52+Constants!$B$18*IF($AW52,$AX52,Constants!$B$19),Constants!$B$20))</f>
        <v/>
      </c>
      <c r="BO52" s="97" t="str">
        <f aca="false">IF($BX52&lt;&gt;Constants!$B$6,"",Constants!$B$21*ABS($AD$9-IF($AT52,$AU52,0)))</f>
        <v/>
      </c>
      <c r="BP52" s="97" t="str">
        <f aca="false">IF($BX52&lt;&gt;Constants!$B$6,"",IF(AND($AT52,$AY52,$AW52),Constants!$B$22,0))</f>
        <v/>
      </c>
      <c r="BQ52" s="97" t="str">
        <f aca="false">IF($BX52&lt;&gt;Constants!$B$6,"",IF($AT52,($AI52-Constants!$B$24)*Constants!$B$23,0))</f>
        <v/>
      </c>
      <c r="BR52" s="97" t="str">
        <f aca="false">IF($BX52&lt;&gt;Constants!$B$6,"",IF($AS52,0,Constants!$B$12)+IF($AR52,0,Constants!$B$13)+IF($AH52,0,Constants!$B$14))</f>
        <v/>
      </c>
      <c r="BS52" s="98" t="str">
        <f aca="false">IF($BX52&lt;&gt;Constants!$B$6,"",Constants!$B$16+SUM($BN52:$BR52))</f>
        <v/>
      </c>
      <c r="BT52" s="97" t="str">
        <f aca="false">IF($BX52&lt;&gt;Constants!$B$6,"",$BN52)</f>
        <v/>
      </c>
      <c r="BU52" s="97" t="str">
        <f aca="false">IF($BX52&lt;&gt;Constants!$B$6,"",$BO52)</f>
        <v/>
      </c>
      <c r="BV52" s="99" t="str">
        <f aca="false">IF($BX52&lt;&gt;Constants!$B$6,"",IF($AT52,$AV52,""))</f>
        <v/>
      </c>
      <c r="BW52" s="93" t="str">
        <f aca="false">IF(ISBLANK($C52),"",IF(ISBLANK($D$7),$BW$5,IF(NOT(ISNUMBER($D$7)),$BW$6,"")))</f>
        <v/>
      </c>
      <c r="BX52" s="93" t="str">
        <f aca="false">IF(ISBLANK($C52),"",IF($BA52,Constants!$B$9,IF(COUNTA($E52:$AA52)=0,Constants!$B$8,IF(NOT($AG52),Constants!$B$7,IF(OR($BW52&lt;&gt;"",$BB52,$BM52),Constants!$B$10,Constants!$B$6)))))</f>
        <v/>
      </c>
      <c r="BY52" s="93" t="str">
        <f aca="false">IF(ISBLANK($C52),"",IF($BX52&lt;&gt;Constants!$B$6,$BX52,Constants!$B$11))</f>
        <v/>
      </c>
      <c r="BZ52" s="97" t="str">
        <f aca="false">IF($BX52&lt;&gt;Constants!$B$6,"",IF($BL52="-&gt;",$BS52,$BH52))</f>
        <v/>
      </c>
      <c r="CA52" s="97" t="str">
        <f aca="false">IF($BX52&lt;&gt;Constants!$B$6,"",IF($AF52,0,Constants!$B$15))</f>
        <v/>
      </c>
      <c r="CB52" s="97" t="str">
        <f aca="false">IF($BX52&lt;&gt;Constants!$B$6,"",((Constants!$B$25-$AZ52)-Constants!$B$25)/Constants!$B$26)</f>
        <v/>
      </c>
      <c r="CC52" s="97" t="str">
        <f aca="false">IF(ISBLANK($C52),"",IF($BX52&lt;&gt;Constants!$B$6,$BX52,SUM($BZ52:$CB52)))</f>
        <v/>
      </c>
      <c r="CD52" s="93" t="str">
        <f aca="false">IF(ISBLANK($C52),"",IF($BX52&lt;&gt;Constants!$B$6,$BX52,RANK($CC52,$CC$9:$CC$508,1)))</f>
        <v/>
      </c>
      <c r="CE52" s="97" t="str">
        <f aca="false">IF($BX52&lt;&gt;Constants!$B$6,"",IF($BL52="-&gt;",$BT52,$BI52))</f>
        <v/>
      </c>
      <c r="CF52" s="93" t="str">
        <f aca="false">IF(ISBLANK($C52),"",IF($BX52&lt;&gt;Constants!$B$6,$BX52,IF(ISNUMBER($CE52),RANK($CE52,$CE$9:$CE$508,1),COUNT($CE$9:$CE$508)+1)))</f>
        <v/>
      </c>
      <c r="CG52" s="97" t="str">
        <f aca="false">IF($BX52&lt;&gt;Constants!$B$6,"",IF($BL52="-&gt;",$BU52,$BJ52))</f>
        <v/>
      </c>
      <c r="CH52" s="93" t="str">
        <f aca="false">IF(ISBLANK($C52),"",IF($BX52&lt;&gt;Constants!$B$6,$BX52,IF(ISNUMBER($CG52),RANK($CG52,$CG$9:$CG$508,1),COUNT($CG$9:$CG$508)+1)))</f>
        <v/>
      </c>
      <c r="CI52" s="97" t="str">
        <f aca="false">IF($BX52&lt;&gt;Constants!$B$6,"",IF($BL52="-&gt;",$BV52,$BK52))</f>
        <v/>
      </c>
      <c r="CJ52" s="93" t="str">
        <f aca="false">IF(ISBLANK($C52),"",IF($BX52&lt;&gt;Constants!$B$6,$BX52,IF(ISNUMBER($CI52),RANK($CI52,$CI$9:$CI$508,1),COUNT($CI$9:$CI$508)+1)))</f>
        <v/>
      </c>
      <c r="CK52" s="97" t="str">
        <f aca="false">IF($BX52&lt;&gt;Constants!$B$6,"",$AI52)</f>
        <v/>
      </c>
      <c r="CL52" s="93" t="str">
        <f aca="false">IF(ISBLANK($C52),"",IF($BX52&lt;&gt;Constants!$B$6,$BX52,IF(ISNUMBER($CK52),RANK($CK52,$CK$9:$CK$508,1),COUNT($CK$9:$CK$508)+1)))</f>
        <v/>
      </c>
      <c r="CM52" s="93" t="str">
        <f aca="false">IF(ISBLANK($C52),"",IF($BX52&lt;&gt;Constants!$B$6,$BX52,COUNTIFS($CD$9:$CD$508,"&lt;"&amp;$CD52)+COUNTIFS($CD$9:$CD$508,$CD52,$CF$9:$CF$508,"&lt;"&amp;$CF52)+COUNTIFS($CD$9:$CD$508,$CD52,$CF$9:$CF$508,$CF52,$CH$9:$CH$508,"&lt;"&amp;$CH52)+COUNTIFS($CD$9:$CD$508,$CD52,$CF$9:$CF$508,$CF52,$CH$9:$CH$508,$CH52,$CJ$9:$CJ$508,"&lt;"&amp;$CJ52)+COUNTIFS($CD$9:$CD$508,$CD52,$CF$9:$CF$508,$CF52,$CH$9:$CH$508,$CH52,$CJ$9:$CJ$508,$CJ52,$CL$9:$CL$508,"&lt;"&amp;$CL52)+1))</f>
        <v/>
      </c>
      <c r="CN52" s="93" t="str">
        <f aca="false">IF(ISBLANK($C52),"",IF($BX52&lt;&gt;Constants!$B$6,$BX52,$CD52-$CM52))</f>
        <v/>
      </c>
      <c r="CO52" s="100"/>
      <c r="CP52" s="101"/>
      <c r="CQ52" s="102" t="str">
        <f aca="false">IF(ISBLANK($C52),"",IF($BX52=Constants!$B$10,$BW52,""))</f>
        <v/>
      </c>
      <c r="CR52" s="101" t="str">
        <f aca="false">IF(ISBLANK($C52),"",IF($BX52&lt;&gt;Constants!$B$6,"",IF($BL52="-&gt;",2,1)))</f>
        <v/>
      </c>
      <c r="CS52" s="103" t="str">
        <f aca="false">IF(ISBLANK($C52),"",IF($BX52&lt;&gt;Constants!$B$6,"",IF($BL52="-&gt;",$BN52,$BC52)))</f>
        <v/>
      </c>
      <c r="CT52" s="103" t="str">
        <f aca="false">IF(ISBLANK($C52),"",IF($BX52&lt;&gt;Constants!$B$6,"",IF($BL52="-&gt;",$BO52,$BD52)))</f>
        <v/>
      </c>
      <c r="CU52" s="103" t="str">
        <f aca="false">IF(ISBLANK($C52),"",IF($BX52&lt;&gt;Constants!$B$6,"",IF($BL52="-&gt;",$BP52+$BQ52,$BE52+$BF52)+$CB52))</f>
        <v/>
      </c>
      <c r="CV52" s="103" t="str">
        <f aca="false">IF(ISBLANK($C52),"",IF($BX52&lt;&gt;Constants!$B$6,"",IF($BL52="-&gt;",$BR52,$BG52)+$CA52))</f>
        <v/>
      </c>
      <c r="CW52" s="104" t="str">
        <f aca="false">IF(ISBLANK($C52),"",IF($BX52&lt;&gt;Constants!$B$6,$BX52,$CC52))</f>
        <v/>
      </c>
      <c r="CX52" s="105" t="str">
        <f aca="false">IF(ISBLANK($C52),"",$BY52)</f>
        <v/>
      </c>
      <c r="CY52" s="106" t="str">
        <f aca="false">IF(ISBLANK($C52),"",$CN52)</f>
        <v/>
      </c>
      <c r="CZ52" s="106" t="str">
        <f aca="false">IF(ISBLANK($C52),"",$CM52)</f>
        <v/>
      </c>
      <c r="DA52" s="107" t="str">
        <f aca="false">IF(ISBLANK($C52),"",IFERROR(_xlfn.SWITCH($CZ52,Constants!$B$9,COUNTA($C$9:$C$508)+2,Constants!$B$8,COUNTA($C$9:$C$508)+1,Constants!$B$7,COUNTA($C$9:$C$508)),$CZ52))</f>
        <v/>
      </c>
      <c r="DB52" s="9"/>
      <c r="DC52" s="108" t="n">
        <f aca="false">IF(OR(ISNUMBER($CZ52),$CZ52=Constants!$B$9,$CZ52=Constants!$B$7,$CZ52=Constants!$B$8),1,0)</f>
        <v>0</v>
      </c>
      <c r="DD52" s="108" t="n">
        <v>44</v>
      </c>
      <c r="DE52" s="108" t="str">
        <f aca="false">IF(ISBLANK($C52),"",IF(ISNUMBER($DA52),$DA52+ROW($B52)/1000,""))</f>
        <v/>
      </c>
      <c r="DF52" s="108" t="str">
        <f aca="false">IF(ISNUMBER($DE52),RANK($DE52,$DE$9:$DE$508,1),"")</f>
        <v/>
      </c>
      <c r="DG52" s="108" t="str">
        <f aca="false">IF(ISBLANK($C52),"",$B52)</f>
        <v/>
      </c>
      <c r="DH52" s="108" t="str">
        <f aca="false">IF(ISBLANK($C52),"",$C52)</f>
        <v/>
      </c>
      <c r="DI52" s="108" t="str">
        <f aca="false">IF(ISBLANK($C52),"",$D52)</f>
        <v/>
      </c>
      <c r="DJ52" s="109" t="str">
        <f aca="false">$CX52</f>
        <v/>
      </c>
      <c r="DK52" s="110" t="str">
        <f aca="false">$CW52</f>
        <v/>
      </c>
      <c r="DL52" s="108" t="str">
        <f aca="false">IF(ISBLANK($C52),"",$CZ52)</f>
        <v/>
      </c>
      <c r="DM52" s="111" t="str">
        <f aca="false">IF($DD52&gt;$DC$8,"",VLOOKUP($DD52,$DF$9:$DL$508,7,FALSE()))</f>
        <v/>
      </c>
      <c r="DN52" s="112" t="str">
        <f aca="false">IF($DD52&gt;$DC$8,"",VLOOKUP($DD52,$DF$9:$DL$508,2,FALSE()))</f>
        <v/>
      </c>
      <c r="DO52" s="112" t="str">
        <f aca="false">IF($DD52&gt;$DC$8,"",VLOOKUP($DD52,$DF$9:$DL$508,3,FALSE()))</f>
        <v/>
      </c>
      <c r="DP52" s="112" t="str">
        <f aca="false">IF($DD52&gt;$DC$8,"",VLOOKUP($DD52,$DF$9:$DL$508,4,FALSE()))</f>
        <v/>
      </c>
      <c r="DQ52" s="112" t="str">
        <f aca="false">IF($DD52&gt;$DC$8,"",VLOOKUP($DD52,$DF$9:$DL$508,5,FALSE()))</f>
        <v/>
      </c>
      <c r="DR52" s="113" t="str">
        <f aca="false">IF($DD52&gt;$DC$8,"",VLOOKUP($DD52,$DF$9:$DL$508,6,FALSE()))</f>
        <v/>
      </c>
      <c r="DS52" s="76"/>
    </row>
    <row r="53" customFormat="false" ht="15.75" hidden="false" customHeight="false" outlineLevel="0" collapsed="false">
      <c r="A53" s="9"/>
      <c r="B53" s="78"/>
      <c r="C53" s="79"/>
      <c r="D53" s="170"/>
      <c r="E53" s="178"/>
      <c r="F53" s="172"/>
      <c r="G53" s="173"/>
      <c r="H53" s="173"/>
      <c r="I53" s="179"/>
      <c r="J53" s="176"/>
      <c r="K53" s="86"/>
      <c r="L53" s="87"/>
      <c r="M53" s="88"/>
      <c r="N53" s="176"/>
      <c r="O53" s="176"/>
      <c r="P53" s="178"/>
      <c r="Q53" s="176"/>
      <c r="R53" s="176"/>
      <c r="S53" s="86"/>
      <c r="T53" s="88"/>
      <c r="U53" s="88"/>
      <c r="V53" s="176"/>
      <c r="W53" s="176"/>
      <c r="X53" s="178"/>
      <c r="Y53" s="176"/>
      <c r="Z53" s="177"/>
      <c r="AA53" s="176"/>
      <c r="AB53" s="92"/>
      <c r="AC53" s="93"/>
      <c r="AD53" s="93"/>
      <c r="AE53" s="93"/>
      <c r="AF53" s="93" t="str">
        <f aca="false">IF(ISBLANK($C53),"",IF(E53=Constants!$B$2,TRUE(),IF(E53=Constants!$B$3,FALSE(),TRUE())))</f>
        <v/>
      </c>
      <c r="AG53" s="93" t="str">
        <f aca="false">IF(ISBLANK($C53),"",IF(F53=Constants!$B$2,TRUE(),IF(F53=Constants!$B$3,FALSE(),TRUE())))</f>
        <v/>
      </c>
      <c r="AH53" s="93" t="str">
        <f aca="false">IF(ISBLANK($C53),"",IF(G53=Constants!$B$2,TRUE(),IF(G53=Constants!$B$3,FALSE(),TRUE())))</f>
        <v/>
      </c>
      <c r="AI53" s="93" t="str">
        <f aca="false">IF(ISBLANK($C53),"",IF(AND(ISNUMBER(H53),H53&gt;=0),H53,Constants!$B$24))</f>
        <v/>
      </c>
      <c r="AJ53" s="93" t="str">
        <f aca="false">IF(ISBLANK($C53),"",IF(I53=Constants!$B$2,TRUE(),IF(I53=Constants!$B$3,FALSE(),TRUE())))</f>
        <v/>
      </c>
      <c r="AK53" s="93" t="str">
        <f aca="false">IF(ISBLANK($C53),"",IF(J53=Constants!$B$2,TRUE(),IF(J53=Constants!$B$3,FALSE(),TRUE())))</f>
        <v/>
      </c>
      <c r="AL53" s="93" t="str">
        <f aca="false">IF(ISBLANK($C53),"",IF(K53=Constants!$B$4,TRUE(),IF(K53=Constants!$B$5,FALSE(),COUNTA(L53:P53)&gt;0)))</f>
        <v/>
      </c>
      <c r="AM53" s="95" t="str">
        <f aca="false">IF(ISBLANK($C53),"",IF(ISNUMBER(L53),IF(L53&gt;=0,L53,""),""))</f>
        <v/>
      </c>
      <c r="AN53" s="94" t="str">
        <f aca="false">IF(ISBLANK($C53),"",IF(ISNUMBER(M53),IF(M53&gt;=0,M53,""),""))</f>
        <v/>
      </c>
      <c r="AO53" s="94" t="str">
        <f aca="false">IF(ISBLANK($C53),"",IF(N53=Constants!$B$2,TRUE(),IF(N53=Constants!$B$3,FALSE(),TRUE())))</f>
        <v/>
      </c>
      <c r="AP53" s="93" t="str">
        <f aca="false">IF(ISBLANK($C53),"",IF(ISNUMBER(O53),IF(O53&gt;=0,O53,""),""))</f>
        <v/>
      </c>
      <c r="AQ53" s="93" t="str">
        <f aca="false">IF(ISBLANK($C53),"",IF(P53=Constants!$B$2,TRUE(),IF(P53=Constants!$B$3,FALSE(),FALSE())))</f>
        <v/>
      </c>
      <c r="AR53" s="93" t="str">
        <f aca="false">IF(ISBLANK($C53),"",IF(Q53=Constants!$B$2,TRUE(),IF(Q53=Constants!$B$3,FALSE(),TRUE())))</f>
        <v/>
      </c>
      <c r="AS53" s="93" t="str">
        <f aca="false">IF(ISBLANK($C53),"",IF(R53=Constants!$B$2,TRUE(),IF(R53=Constants!$B$3,FALSE(),TRUE())))</f>
        <v/>
      </c>
      <c r="AT53" s="93" t="str">
        <f aca="false">IF(ISBLANK($C53),"",IF(S53=Constants!$B$4,TRUE(),IF(S53=Constants!$B$5,FALSE(),COUNTA(T53:X53)&gt;0)))</f>
        <v/>
      </c>
      <c r="AU53" s="95" t="str">
        <f aca="false">IF(ISBLANK($C53),"",IF(ISNUMBER(T53),IF(T53&gt;=0,T53,""),""))</f>
        <v/>
      </c>
      <c r="AV53" s="94" t="str">
        <f aca="false">IF(ISBLANK($C53),"",IF(ISNUMBER(U53),IF(U53&gt;=0,U53,""),""))</f>
        <v/>
      </c>
      <c r="AW53" s="94" t="str">
        <f aca="false">IF(ISBLANK($C53),"",IF(V53=Constants!$B$2,TRUE(),IF(V53=Constants!$B$3,FALSE(),TRUE())))</f>
        <v/>
      </c>
      <c r="AX53" s="93" t="str">
        <f aca="false">IF(ISBLANK($C53),"",IF(ISNUMBER(W53),IF(W53&gt;=0,W53,""),""))</f>
        <v/>
      </c>
      <c r="AY53" s="93" t="str">
        <f aca="false">IF(ISBLANK($C53),"",IF(X53=Constants!$B$2,TRUE(),IF(X53=Constants!$B$3,FALSE(),FALSE())))</f>
        <v/>
      </c>
      <c r="AZ53" s="93" t="str">
        <f aca="false">IF(ISBLANK($C53),"",MIN(Constants!$B$25,MAX(0,IF(ISNUMBER(Y53),Y53*60,0)+IF(ISNUMBER(Z53),Z53,0))))</f>
        <v/>
      </c>
      <c r="BA53" s="93" t="str">
        <f aca="false">IF(ISBLANK($C53),"",IF(AA53=Constants!$B$2,TRUE(),IF(AA53=Constants!$B$3,FALSE(),FALSE())))</f>
        <v/>
      </c>
      <c r="BB53" s="92" t="str">
        <f aca="false">IF(ISBLANK($C53),"",AND($AL53,OR($AM53="",$AN53="",AND($AO53,$AP53=""))))</f>
        <v/>
      </c>
      <c r="BC53" s="94" t="str">
        <f aca="false">IF($BX53&lt;&gt;Constants!$B$6,"",IF($AL53,Constants!$B$17*$AN53+Constants!$B$18*IF($AO53,$AP53,Constants!$B$19),Constants!$B$20))</f>
        <v/>
      </c>
      <c r="BD53" s="97" t="str">
        <f aca="false">IF($BX53&lt;&gt;Constants!$B$6,"",Constants!$B$21*ABS($AD$9-IF($AL53,$AM53,0)))</f>
        <v/>
      </c>
      <c r="BE53" s="97" t="str">
        <f aca="false">IF($BX53&lt;&gt;Constants!$B$6,"",IF(AND($AL53,$AQ53,$AO53),Constants!$B$22,0))</f>
        <v/>
      </c>
      <c r="BF53" s="97" t="str">
        <f aca="false">IF($BX53&lt;&gt;Constants!$B$6,"",IF($AL53,($AI53-Constants!$B$24)*Constants!$B$23,0))</f>
        <v/>
      </c>
      <c r="BG53" s="97" t="str">
        <f aca="false">IF($BX53&lt;&gt;Constants!$B$6,"",IF($AK53,0,Constants!$B$12)+IF($AJ53,0,Constants!$B$13)+IF($AH53,0,Constants!$B$14))</f>
        <v/>
      </c>
      <c r="BH53" s="98" t="str">
        <f aca="false">IF($BX53&lt;&gt;Constants!$B$6,"",Constants!$B$16+SUM($BC53:$BG53))</f>
        <v/>
      </c>
      <c r="BI53" s="97" t="str">
        <f aca="false">IF($BX53&lt;&gt;Constants!$B$6,"",$BC53)</f>
        <v/>
      </c>
      <c r="BJ53" s="97" t="str">
        <f aca="false">IF($BX53&lt;&gt;Constants!$B$6,"",$BD53)</f>
        <v/>
      </c>
      <c r="BK53" s="99" t="str">
        <f aca="false">IF($BX53&lt;&gt;Constants!$B$6,"",IF($AL53,$AN53,""))</f>
        <v/>
      </c>
      <c r="BL53" s="93" t="str">
        <f aca="false">IF($BX53&lt;&gt;Constants!$B$6,"",IF(OR($BS53&lt;$BH53,AND($BS53=$BH53,OR($BT53&lt;$BI53,AND($BT53=$BI53,OR($BU53&lt;$BJ53,AND($BU53=$BJ53,AND(ISNUMBER($BV53),OR(NOT(ISNUMBER($BK53)),$BV53&lt;$BK53)))))))),"-&gt;","&lt;-"))</f>
        <v/>
      </c>
      <c r="BM53" s="92" t="str">
        <f aca="false">IF(ISBLANK($C53),"",AND($AT53,OR($AU53="",$AV53="",AND($AW53,$AX53=""))))</f>
        <v/>
      </c>
      <c r="BN53" s="94" t="str">
        <f aca="false">IF($BX53&lt;&gt;Constants!$B$6,"",IF($AT53,Constants!$B$17*$AV53+Constants!$B$18*IF($AW53,$AX53,Constants!$B$19),Constants!$B$20))</f>
        <v/>
      </c>
      <c r="BO53" s="97" t="str">
        <f aca="false">IF($BX53&lt;&gt;Constants!$B$6,"",Constants!$B$21*ABS($AD$9-IF($AT53,$AU53,0)))</f>
        <v/>
      </c>
      <c r="BP53" s="97" t="str">
        <f aca="false">IF($BX53&lt;&gt;Constants!$B$6,"",IF(AND($AT53,$AY53,$AW53),Constants!$B$22,0))</f>
        <v/>
      </c>
      <c r="BQ53" s="97" t="str">
        <f aca="false">IF($BX53&lt;&gt;Constants!$B$6,"",IF($AT53,($AI53-Constants!$B$24)*Constants!$B$23,0))</f>
        <v/>
      </c>
      <c r="BR53" s="97" t="str">
        <f aca="false">IF($BX53&lt;&gt;Constants!$B$6,"",IF($AS53,0,Constants!$B$12)+IF($AR53,0,Constants!$B$13)+IF($AH53,0,Constants!$B$14))</f>
        <v/>
      </c>
      <c r="BS53" s="98" t="str">
        <f aca="false">IF($BX53&lt;&gt;Constants!$B$6,"",Constants!$B$16+SUM($BN53:$BR53))</f>
        <v/>
      </c>
      <c r="BT53" s="97" t="str">
        <f aca="false">IF($BX53&lt;&gt;Constants!$B$6,"",$BN53)</f>
        <v/>
      </c>
      <c r="BU53" s="97" t="str">
        <f aca="false">IF($BX53&lt;&gt;Constants!$B$6,"",$BO53)</f>
        <v/>
      </c>
      <c r="BV53" s="99" t="str">
        <f aca="false">IF($BX53&lt;&gt;Constants!$B$6,"",IF($AT53,$AV53,""))</f>
        <v/>
      </c>
      <c r="BW53" s="93" t="str">
        <f aca="false">IF(ISBLANK($C53),"",IF(ISBLANK($D$7),$BW$5,IF(NOT(ISNUMBER($D$7)),$BW$6,"")))</f>
        <v/>
      </c>
      <c r="BX53" s="93" t="str">
        <f aca="false">IF(ISBLANK($C53),"",IF($BA53,Constants!$B$9,IF(COUNTA($E53:$AA53)=0,Constants!$B$8,IF(NOT($AG53),Constants!$B$7,IF(OR($BW53&lt;&gt;"",$BB53,$BM53),Constants!$B$10,Constants!$B$6)))))</f>
        <v/>
      </c>
      <c r="BY53" s="93" t="str">
        <f aca="false">IF(ISBLANK($C53),"",IF($BX53&lt;&gt;Constants!$B$6,$BX53,Constants!$B$11))</f>
        <v/>
      </c>
      <c r="BZ53" s="97" t="str">
        <f aca="false">IF($BX53&lt;&gt;Constants!$B$6,"",IF($BL53="-&gt;",$BS53,$BH53))</f>
        <v/>
      </c>
      <c r="CA53" s="97" t="str">
        <f aca="false">IF($BX53&lt;&gt;Constants!$B$6,"",IF($AF53,0,Constants!$B$15))</f>
        <v/>
      </c>
      <c r="CB53" s="97" t="str">
        <f aca="false">IF($BX53&lt;&gt;Constants!$B$6,"",((Constants!$B$25-$AZ53)-Constants!$B$25)/Constants!$B$26)</f>
        <v/>
      </c>
      <c r="CC53" s="97" t="str">
        <f aca="false">IF(ISBLANK($C53),"",IF($BX53&lt;&gt;Constants!$B$6,$BX53,SUM($BZ53:$CB53)))</f>
        <v/>
      </c>
      <c r="CD53" s="93" t="str">
        <f aca="false">IF(ISBLANK($C53),"",IF($BX53&lt;&gt;Constants!$B$6,$BX53,RANK($CC53,$CC$9:$CC$508,1)))</f>
        <v/>
      </c>
      <c r="CE53" s="97" t="str">
        <f aca="false">IF($BX53&lt;&gt;Constants!$B$6,"",IF($BL53="-&gt;",$BT53,$BI53))</f>
        <v/>
      </c>
      <c r="CF53" s="93" t="str">
        <f aca="false">IF(ISBLANK($C53),"",IF($BX53&lt;&gt;Constants!$B$6,$BX53,IF(ISNUMBER($CE53),RANK($CE53,$CE$9:$CE$508,1),COUNT($CE$9:$CE$508)+1)))</f>
        <v/>
      </c>
      <c r="CG53" s="97" t="str">
        <f aca="false">IF($BX53&lt;&gt;Constants!$B$6,"",IF($BL53="-&gt;",$BU53,$BJ53))</f>
        <v/>
      </c>
      <c r="CH53" s="93" t="str">
        <f aca="false">IF(ISBLANK($C53),"",IF($BX53&lt;&gt;Constants!$B$6,$BX53,IF(ISNUMBER($CG53),RANK($CG53,$CG$9:$CG$508,1),COUNT($CG$9:$CG$508)+1)))</f>
        <v/>
      </c>
      <c r="CI53" s="97" t="str">
        <f aca="false">IF($BX53&lt;&gt;Constants!$B$6,"",IF($BL53="-&gt;",$BV53,$BK53))</f>
        <v/>
      </c>
      <c r="CJ53" s="93" t="str">
        <f aca="false">IF(ISBLANK($C53),"",IF($BX53&lt;&gt;Constants!$B$6,$BX53,IF(ISNUMBER($CI53),RANK($CI53,$CI$9:$CI$508,1),COUNT($CI$9:$CI$508)+1)))</f>
        <v/>
      </c>
      <c r="CK53" s="97" t="str">
        <f aca="false">IF($BX53&lt;&gt;Constants!$B$6,"",$AI53)</f>
        <v/>
      </c>
      <c r="CL53" s="93" t="str">
        <f aca="false">IF(ISBLANK($C53),"",IF($BX53&lt;&gt;Constants!$B$6,$BX53,IF(ISNUMBER($CK53),RANK($CK53,$CK$9:$CK$508,1),COUNT($CK$9:$CK$508)+1)))</f>
        <v/>
      </c>
      <c r="CM53" s="93" t="str">
        <f aca="false">IF(ISBLANK($C53),"",IF($BX53&lt;&gt;Constants!$B$6,$BX53,COUNTIFS($CD$9:$CD$508,"&lt;"&amp;$CD53)+COUNTIFS($CD$9:$CD$508,$CD53,$CF$9:$CF$508,"&lt;"&amp;$CF53)+COUNTIFS($CD$9:$CD$508,$CD53,$CF$9:$CF$508,$CF53,$CH$9:$CH$508,"&lt;"&amp;$CH53)+COUNTIFS($CD$9:$CD$508,$CD53,$CF$9:$CF$508,$CF53,$CH$9:$CH$508,$CH53,$CJ$9:$CJ$508,"&lt;"&amp;$CJ53)+COUNTIFS($CD$9:$CD$508,$CD53,$CF$9:$CF$508,$CF53,$CH$9:$CH$508,$CH53,$CJ$9:$CJ$508,$CJ53,$CL$9:$CL$508,"&lt;"&amp;$CL53)+1))</f>
        <v/>
      </c>
      <c r="CN53" s="93" t="str">
        <f aca="false">IF(ISBLANK($C53),"",IF($BX53&lt;&gt;Constants!$B$6,$BX53,$CD53-$CM53))</f>
        <v/>
      </c>
      <c r="CO53" s="100"/>
      <c r="CP53" s="101"/>
      <c r="CQ53" s="102" t="str">
        <f aca="false">IF(ISBLANK($C53),"",IF($BX53=Constants!$B$10,$BW53,""))</f>
        <v/>
      </c>
      <c r="CR53" s="101" t="str">
        <f aca="false">IF(ISBLANK($C53),"",IF($BX53&lt;&gt;Constants!$B$6,"",IF($BL53="-&gt;",2,1)))</f>
        <v/>
      </c>
      <c r="CS53" s="103" t="str">
        <f aca="false">IF(ISBLANK($C53),"",IF($BX53&lt;&gt;Constants!$B$6,"",IF($BL53="-&gt;",$BN53,$BC53)))</f>
        <v/>
      </c>
      <c r="CT53" s="103" t="str">
        <f aca="false">IF(ISBLANK($C53),"",IF($BX53&lt;&gt;Constants!$B$6,"",IF($BL53="-&gt;",$BO53,$BD53)))</f>
        <v/>
      </c>
      <c r="CU53" s="103" t="str">
        <f aca="false">IF(ISBLANK($C53),"",IF($BX53&lt;&gt;Constants!$B$6,"",IF($BL53="-&gt;",$BP53+$BQ53,$BE53+$BF53)+$CB53))</f>
        <v/>
      </c>
      <c r="CV53" s="103" t="str">
        <f aca="false">IF(ISBLANK($C53),"",IF($BX53&lt;&gt;Constants!$B$6,"",IF($BL53="-&gt;",$BR53,$BG53)+$CA53))</f>
        <v/>
      </c>
      <c r="CW53" s="104" t="str">
        <f aca="false">IF(ISBLANK($C53),"",IF($BX53&lt;&gt;Constants!$B$6,$BX53,$CC53))</f>
        <v/>
      </c>
      <c r="CX53" s="105" t="str">
        <f aca="false">IF(ISBLANK($C53),"",$BY53)</f>
        <v/>
      </c>
      <c r="CY53" s="106" t="str">
        <f aca="false">IF(ISBLANK($C53),"",$CN53)</f>
        <v/>
      </c>
      <c r="CZ53" s="106" t="str">
        <f aca="false">IF(ISBLANK($C53),"",$CM53)</f>
        <v/>
      </c>
      <c r="DA53" s="107" t="str">
        <f aca="false">IF(ISBLANK($C53),"",IFERROR(_xlfn.SWITCH($CZ53,Constants!$B$9,COUNTA($C$9:$C$508)+2,Constants!$B$8,COUNTA($C$9:$C$508)+1,Constants!$B$7,COUNTA($C$9:$C$508)),$CZ53))</f>
        <v/>
      </c>
      <c r="DB53" s="9"/>
      <c r="DC53" s="108" t="n">
        <f aca="false">IF(OR(ISNUMBER($CZ53),$CZ53=Constants!$B$9,$CZ53=Constants!$B$7,$CZ53=Constants!$B$8),1,0)</f>
        <v>0</v>
      </c>
      <c r="DD53" s="108" t="n">
        <v>45</v>
      </c>
      <c r="DE53" s="108" t="str">
        <f aca="false">IF(ISBLANK($C53),"",IF(ISNUMBER($DA53),$DA53+ROW($B53)/1000,""))</f>
        <v/>
      </c>
      <c r="DF53" s="108" t="str">
        <f aca="false">IF(ISNUMBER($DE53),RANK($DE53,$DE$9:$DE$508,1),"")</f>
        <v/>
      </c>
      <c r="DG53" s="108" t="str">
        <f aca="false">IF(ISBLANK($C53),"",$B53)</f>
        <v/>
      </c>
      <c r="DH53" s="108" t="str">
        <f aca="false">IF(ISBLANK($C53),"",$C53)</f>
        <v/>
      </c>
      <c r="DI53" s="108" t="str">
        <f aca="false">IF(ISBLANK($C53),"",$D53)</f>
        <v/>
      </c>
      <c r="DJ53" s="109" t="str">
        <f aca="false">$CX53</f>
        <v/>
      </c>
      <c r="DK53" s="110" t="str">
        <f aca="false">$CW53</f>
        <v/>
      </c>
      <c r="DL53" s="108" t="str">
        <f aca="false">IF(ISBLANK($C53),"",$CZ53)</f>
        <v/>
      </c>
      <c r="DM53" s="111" t="str">
        <f aca="false">IF($DD53&gt;$DC$8,"",VLOOKUP($DD53,$DF$9:$DL$508,7,FALSE()))</f>
        <v/>
      </c>
      <c r="DN53" s="112" t="str">
        <f aca="false">IF($DD53&gt;$DC$8,"",VLOOKUP($DD53,$DF$9:$DL$508,2,FALSE()))</f>
        <v/>
      </c>
      <c r="DO53" s="112" t="str">
        <f aca="false">IF($DD53&gt;$DC$8,"",VLOOKUP($DD53,$DF$9:$DL$508,3,FALSE()))</f>
        <v/>
      </c>
      <c r="DP53" s="112" t="str">
        <f aca="false">IF($DD53&gt;$DC$8,"",VLOOKUP($DD53,$DF$9:$DL$508,4,FALSE()))</f>
        <v/>
      </c>
      <c r="DQ53" s="112" t="str">
        <f aca="false">IF($DD53&gt;$DC$8,"",VLOOKUP($DD53,$DF$9:$DL$508,5,FALSE()))</f>
        <v/>
      </c>
      <c r="DR53" s="113" t="str">
        <f aca="false">IF($DD53&gt;$DC$8,"",VLOOKUP($DD53,$DF$9:$DL$508,6,FALSE()))</f>
        <v/>
      </c>
      <c r="DS53" s="76"/>
    </row>
    <row r="54" customFormat="false" ht="15.75" hidden="false" customHeight="false" outlineLevel="0" collapsed="false">
      <c r="A54" s="9"/>
      <c r="B54" s="160"/>
      <c r="C54" s="161"/>
      <c r="D54" s="162"/>
      <c r="E54" s="180"/>
      <c r="F54" s="164"/>
      <c r="G54" s="165"/>
      <c r="H54" s="165"/>
      <c r="I54" s="181"/>
      <c r="J54" s="168"/>
      <c r="K54" s="128"/>
      <c r="L54" s="129"/>
      <c r="M54" s="130"/>
      <c r="N54" s="168"/>
      <c r="O54" s="168"/>
      <c r="P54" s="180"/>
      <c r="Q54" s="168"/>
      <c r="R54" s="168"/>
      <c r="S54" s="128"/>
      <c r="T54" s="130"/>
      <c r="U54" s="130"/>
      <c r="V54" s="168"/>
      <c r="W54" s="168"/>
      <c r="X54" s="180"/>
      <c r="Y54" s="168"/>
      <c r="Z54" s="169"/>
      <c r="AA54" s="168"/>
      <c r="AB54" s="134"/>
      <c r="AC54" s="135"/>
      <c r="AD54" s="135"/>
      <c r="AE54" s="135"/>
      <c r="AF54" s="135" t="str">
        <f aca="false">IF(ISBLANK($C54),"",IF(E54=Constants!$B$2,TRUE(),IF(E54=Constants!$B$3,FALSE(),TRUE())))</f>
        <v/>
      </c>
      <c r="AG54" s="135" t="str">
        <f aca="false">IF(ISBLANK($C54),"",IF(F54=Constants!$B$2,TRUE(),IF(F54=Constants!$B$3,FALSE(),TRUE())))</f>
        <v/>
      </c>
      <c r="AH54" s="135" t="str">
        <f aca="false">IF(ISBLANK($C54),"",IF(G54=Constants!$B$2,TRUE(),IF(G54=Constants!$B$3,FALSE(),TRUE())))</f>
        <v/>
      </c>
      <c r="AI54" s="135" t="str">
        <f aca="false">IF(ISBLANK($C54),"",IF(AND(ISNUMBER(H54),H54&gt;=0),H54,Constants!$B$24))</f>
        <v/>
      </c>
      <c r="AJ54" s="135" t="str">
        <f aca="false">IF(ISBLANK($C54),"",IF(I54=Constants!$B$2,TRUE(),IF(I54=Constants!$B$3,FALSE(),TRUE())))</f>
        <v/>
      </c>
      <c r="AK54" s="135" t="str">
        <f aca="false">IF(ISBLANK($C54),"",IF(J54=Constants!$B$2,TRUE(),IF(J54=Constants!$B$3,FALSE(),TRUE())))</f>
        <v/>
      </c>
      <c r="AL54" s="135" t="str">
        <f aca="false">IF(ISBLANK($C54),"",IF(K54=Constants!$B$4,TRUE(),IF(K54=Constants!$B$5,FALSE(),COUNTA(L54:P54)&gt;0)))</f>
        <v/>
      </c>
      <c r="AM54" s="136" t="str">
        <f aca="false">IF(ISBLANK($C54),"",IF(ISNUMBER(L54),IF(L54&gt;=0,L54,""),""))</f>
        <v/>
      </c>
      <c r="AN54" s="137" t="str">
        <f aca="false">IF(ISBLANK($C54),"",IF(ISNUMBER(M54),IF(M54&gt;=0,M54,""),""))</f>
        <v/>
      </c>
      <c r="AO54" s="137" t="str">
        <f aca="false">IF(ISBLANK($C54),"",IF(N54=Constants!$B$2,TRUE(),IF(N54=Constants!$B$3,FALSE(),TRUE())))</f>
        <v/>
      </c>
      <c r="AP54" s="135" t="str">
        <f aca="false">IF(ISBLANK($C54),"",IF(ISNUMBER(O54),IF(O54&gt;=0,O54,""),""))</f>
        <v/>
      </c>
      <c r="AQ54" s="135" t="str">
        <f aca="false">IF(ISBLANK($C54),"",IF(P54=Constants!$B$2,TRUE(),IF(P54=Constants!$B$3,FALSE(),FALSE())))</f>
        <v/>
      </c>
      <c r="AR54" s="135" t="str">
        <f aca="false">IF(ISBLANK($C54),"",IF(Q54=Constants!$B$2,TRUE(),IF(Q54=Constants!$B$3,FALSE(),TRUE())))</f>
        <v/>
      </c>
      <c r="AS54" s="135" t="str">
        <f aca="false">IF(ISBLANK($C54),"",IF(R54=Constants!$B$2,TRUE(),IF(R54=Constants!$B$3,FALSE(),TRUE())))</f>
        <v/>
      </c>
      <c r="AT54" s="135" t="str">
        <f aca="false">IF(ISBLANK($C54),"",IF(S54=Constants!$B$4,TRUE(),IF(S54=Constants!$B$5,FALSE(),COUNTA(T54:X54)&gt;0)))</f>
        <v/>
      </c>
      <c r="AU54" s="136" t="str">
        <f aca="false">IF(ISBLANK($C54),"",IF(ISNUMBER(T54),IF(T54&gt;=0,T54,""),""))</f>
        <v/>
      </c>
      <c r="AV54" s="137" t="str">
        <f aca="false">IF(ISBLANK($C54),"",IF(ISNUMBER(U54),IF(U54&gt;=0,U54,""),""))</f>
        <v/>
      </c>
      <c r="AW54" s="137" t="str">
        <f aca="false">IF(ISBLANK($C54),"",IF(V54=Constants!$B$2,TRUE(),IF(V54=Constants!$B$3,FALSE(),TRUE())))</f>
        <v/>
      </c>
      <c r="AX54" s="135" t="str">
        <f aca="false">IF(ISBLANK($C54),"",IF(ISNUMBER(W54),IF(W54&gt;=0,W54,""),""))</f>
        <v/>
      </c>
      <c r="AY54" s="135" t="str">
        <f aca="false">IF(ISBLANK($C54),"",IF(X54=Constants!$B$2,TRUE(),IF(X54=Constants!$B$3,FALSE(),FALSE())))</f>
        <v/>
      </c>
      <c r="AZ54" s="135" t="str">
        <f aca="false">IF(ISBLANK($C54),"",MIN(Constants!$B$25,MAX(0,IF(ISNUMBER(Y54),Y54*60,0)+IF(ISNUMBER(Z54),Z54,0))))</f>
        <v/>
      </c>
      <c r="BA54" s="135" t="str">
        <f aca="false">IF(ISBLANK($C54),"",IF(AA54=Constants!$B$2,TRUE(),IF(AA54=Constants!$B$3,FALSE(),FALSE())))</f>
        <v/>
      </c>
      <c r="BB54" s="134" t="str">
        <f aca="false">IF(ISBLANK($C54),"",AND($AL54,OR($AM54="",$AN54="",AND($AO54,$AP54=""))))</f>
        <v/>
      </c>
      <c r="BC54" s="137" t="str">
        <f aca="false">IF($BX54&lt;&gt;Constants!$B$6,"",IF($AL54,Constants!$B$17*$AN54+Constants!$B$18*IF($AO54,$AP54,Constants!$B$19),Constants!$B$20))</f>
        <v/>
      </c>
      <c r="BD54" s="138" t="str">
        <f aca="false">IF($BX54&lt;&gt;Constants!$B$6,"",Constants!$B$21*ABS($AD$9-IF($AL54,$AM54,0)))</f>
        <v/>
      </c>
      <c r="BE54" s="138" t="str">
        <f aca="false">IF($BX54&lt;&gt;Constants!$B$6,"",IF(AND($AL54,$AQ54,$AO54),Constants!$B$22,0))</f>
        <v/>
      </c>
      <c r="BF54" s="138" t="str">
        <f aca="false">IF($BX54&lt;&gt;Constants!$B$6,"",IF($AL54,($AI54-Constants!$B$24)*Constants!$B$23,0))</f>
        <v/>
      </c>
      <c r="BG54" s="138" t="str">
        <f aca="false">IF($BX54&lt;&gt;Constants!$B$6,"",IF($AK54,0,Constants!$B$12)+IF($AJ54,0,Constants!$B$13)+IF($AH54,0,Constants!$B$14))</f>
        <v/>
      </c>
      <c r="BH54" s="139" t="str">
        <f aca="false">IF($BX54&lt;&gt;Constants!$B$6,"",Constants!$B$16+SUM($BC54:$BG54))</f>
        <v/>
      </c>
      <c r="BI54" s="138" t="str">
        <f aca="false">IF($BX54&lt;&gt;Constants!$B$6,"",$BC54)</f>
        <v/>
      </c>
      <c r="BJ54" s="138" t="str">
        <f aca="false">IF($BX54&lt;&gt;Constants!$B$6,"",$BD54)</f>
        <v/>
      </c>
      <c r="BK54" s="140" t="str">
        <f aca="false">IF($BX54&lt;&gt;Constants!$B$6,"",IF($AL54,$AN54,""))</f>
        <v/>
      </c>
      <c r="BL54" s="135" t="str">
        <f aca="false">IF($BX54&lt;&gt;Constants!$B$6,"",IF(OR($BS54&lt;$BH54,AND($BS54=$BH54,OR($BT54&lt;$BI54,AND($BT54=$BI54,OR($BU54&lt;$BJ54,AND($BU54=$BJ54,AND(ISNUMBER($BV54),OR(NOT(ISNUMBER($BK54)),$BV54&lt;$BK54)))))))),"-&gt;","&lt;-"))</f>
        <v/>
      </c>
      <c r="BM54" s="134" t="str">
        <f aca="false">IF(ISBLANK($C54),"",AND($AT54,OR($AU54="",$AV54="",AND($AW54,$AX54=""))))</f>
        <v/>
      </c>
      <c r="BN54" s="137" t="str">
        <f aca="false">IF($BX54&lt;&gt;Constants!$B$6,"",IF($AT54,Constants!$B$17*$AV54+Constants!$B$18*IF($AW54,$AX54,Constants!$B$19),Constants!$B$20))</f>
        <v/>
      </c>
      <c r="BO54" s="138" t="str">
        <f aca="false">IF($BX54&lt;&gt;Constants!$B$6,"",Constants!$B$21*ABS($AD$9-IF($AT54,$AU54,0)))</f>
        <v/>
      </c>
      <c r="BP54" s="138" t="str">
        <f aca="false">IF($BX54&lt;&gt;Constants!$B$6,"",IF(AND($AT54,$AY54,$AW54),Constants!$B$22,0))</f>
        <v/>
      </c>
      <c r="BQ54" s="138" t="str">
        <f aca="false">IF($BX54&lt;&gt;Constants!$B$6,"",IF($AT54,($AI54-Constants!$B$24)*Constants!$B$23,0))</f>
        <v/>
      </c>
      <c r="BR54" s="138" t="str">
        <f aca="false">IF($BX54&lt;&gt;Constants!$B$6,"",IF($AS54,0,Constants!$B$12)+IF($AR54,0,Constants!$B$13)+IF($AH54,0,Constants!$B$14))</f>
        <v/>
      </c>
      <c r="BS54" s="139" t="str">
        <f aca="false">IF($BX54&lt;&gt;Constants!$B$6,"",Constants!$B$16+SUM($BN54:$BR54))</f>
        <v/>
      </c>
      <c r="BT54" s="138" t="str">
        <f aca="false">IF($BX54&lt;&gt;Constants!$B$6,"",$BN54)</f>
        <v/>
      </c>
      <c r="BU54" s="138" t="str">
        <f aca="false">IF($BX54&lt;&gt;Constants!$B$6,"",$BO54)</f>
        <v/>
      </c>
      <c r="BV54" s="140" t="str">
        <f aca="false">IF($BX54&lt;&gt;Constants!$B$6,"",IF($AT54,$AV54,""))</f>
        <v/>
      </c>
      <c r="BW54" s="135" t="str">
        <f aca="false">IF(ISBLANK($C54),"",IF(ISBLANK($D$7),$BW$5,IF(NOT(ISNUMBER($D$7)),$BW$6,"")))</f>
        <v/>
      </c>
      <c r="BX54" s="135" t="str">
        <f aca="false">IF(ISBLANK($C54),"",IF($BA54,Constants!$B$9,IF(COUNTA($E54:$AA54)=0,Constants!$B$8,IF(NOT($AG54),Constants!$B$7,IF(OR($BW54&lt;&gt;"",$BB54,$BM54),Constants!$B$10,Constants!$B$6)))))</f>
        <v/>
      </c>
      <c r="BY54" s="135" t="str">
        <f aca="false">IF(ISBLANK($C54),"",IF($BX54&lt;&gt;Constants!$B$6,$BX54,Constants!$B$11))</f>
        <v/>
      </c>
      <c r="BZ54" s="138" t="str">
        <f aca="false">IF($BX54&lt;&gt;Constants!$B$6,"",IF($BL54="-&gt;",$BS54,$BH54))</f>
        <v/>
      </c>
      <c r="CA54" s="138" t="str">
        <f aca="false">IF($BX54&lt;&gt;Constants!$B$6,"",IF($AF54,0,Constants!$B$15))</f>
        <v/>
      </c>
      <c r="CB54" s="138" t="str">
        <f aca="false">IF($BX54&lt;&gt;Constants!$B$6,"",((Constants!$B$25-$AZ54)-Constants!$B$25)/Constants!$B$26)</f>
        <v/>
      </c>
      <c r="CC54" s="138" t="str">
        <f aca="false">IF(ISBLANK($C54),"",IF($BX54&lt;&gt;Constants!$B$6,$BX54,SUM($BZ54:$CB54)))</f>
        <v/>
      </c>
      <c r="CD54" s="135" t="str">
        <f aca="false">IF(ISBLANK($C54),"",IF($BX54&lt;&gt;Constants!$B$6,$BX54,RANK($CC54,$CC$9:$CC$508,1)))</f>
        <v/>
      </c>
      <c r="CE54" s="138" t="str">
        <f aca="false">IF($BX54&lt;&gt;Constants!$B$6,"",IF($BL54="-&gt;",$BT54,$BI54))</f>
        <v/>
      </c>
      <c r="CF54" s="135" t="str">
        <f aca="false">IF(ISBLANK($C54),"",IF($BX54&lt;&gt;Constants!$B$6,$BX54,IF(ISNUMBER($CE54),RANK($CE54,$CE$9:$CE$508,1),COUNT($CE$9:$CE$508)+1)))</f>
        <v/>
      </c>
      <c r="CG54" s="138" t="str">
        <f aca="false">IF($BX54&lt;&gt;Constants!$B$6,"",IF($BL54="-&gt;",$BU54,$BJ54))</f>
        <v/>
      </c>
      <c r="CH54" s="135" t="str">
        <f aca="false">IF(ISBLANK($C54),"",IF($BX54&lt;&gt;Constants!$B$6,$BX54,IF(ISNUMBER($CG54),RANK($CG54,$CG$9:$CG$508,1),COUNT($CG$9:$CG$508)+1)))</f>
        <v/>
      </c>
      <c r="CI54" s="138" t="str">
        <f aca="false">IF($BX54&lt;&gt;Constants!$B$6,"",IF($BL54="-&gt;",$BV54,$BK54))</f>
        <v/>
      </c>
      <c r="CJ54" s="135" t="str">
        <f aca="false">IF(ISBLANK($C54),"",IF($BX54&lt;&gt;Constants!$B$6,$BX54,IF(ISNUMBER($CI54),RANK($CI54,$CI$9:$CI$508,1),COUNT($CI$9:$CI$508)+1)))</f>
        <v/>
      </c>
      <c r="CK54" s="138" t="str">
        <f aca="false">IF($BX54&lt;&gt;Constants!$B$6,"",$AI54)</f>
        <v/>
      </c>
      <c r="CL54" s="135" t="str">
        <f aca="false">IF(ISBLANK($C54),"",IF($BX54&lt;&gt;Constants!$B$6,$BX54,IF(ISNUMBER($CK54),RANK($CK54,$CK$9:$CK$508,1),COUNT($CK$9:$CK$508)+1)))</f>
        <v/>
      </c>
      <c r="CM54" s="135" t="str">
        <f aca="false">IF(ISBLANK($C54),"",IF($BX54&lt;&gt;Constants!$B$6,$BX54,COUNTIFS($CD$9:$CD$508,"&lt;"&amp;$CD54)+COUNTIFS($CD$9:$CD$508,$CD54,$CF$9:$CF$508,"&lt;"&amp;$CF54)+COUNTIFS($CD$9:$CD$508,$CD54,$CF$9:$CF$508,$CF54,$CH$9:$CH$508,"&lt;"&amp;$CH54)+COUNTIFS($CD$9:$CD$508,$CD54,$CF$9:$CF$508,$CF54,$CH$9:$CH$508,$CH54,$CJ$9:$CJ$508,"&lt;"&amp;$CJ54)+COUNTIFS($CD$9:$CD$508,$CD54,$CF$9:$CF$508,$CF54,$CH$9:$CH$508,$CH54,$CJ$9:$CJ$508,$CJ54,$CL$9:$CL$508,"&lt;"&amp;$CL54)+1))</f>
        <v/>
      </c>
      <c r="CN54" s="135" t="str">
        <f aca="false">IF(ISBLANK($C54),"",IF($BX54&lt;&gt;Constants!$B$6,$BX54,$CD54-$CM54))</f>
        <v/>
      </c>
      <c r="CO54" s="141"/>
      <c r="CP54" s="142"/>
      <c r="CQ54" s="143" t="str">
        <f aca="false">IF(ISBLANK($C54),"",IF($BX54=Constants!$B$10,$BW54,""))</f>
        <v/>
      </c>
      <c r="CR54" s="142" t="str">
        <f aca="false">IF(ISBLANK($C54),"",IF($BX54&lt;&gt;Constants!$B$6,"",IF($BL54="-&gt;",2,1)))</f>
        <v/>
      </c>
      <c r="CS54" s="144" t="str">
        <f aca="false">IF(ISBLANK($C54),"",IF($BX54&lt;&gt;Constants!$B$6,"",IF($BL54="-&gt;",$BN54,$BC54)))</f>
        <v/>
      </c>
      <c r="CT54" s="144" t="str">
        <f aca="false">IF(ISBLANK($C54),"",IF($BX54&lt;&gt;Constants!$B$6,"",IF($BL54="-&gt;",$BO54,$BD54)))</f>
        <v/>
      </c>
      <c r="CU54" s="144" t="str">
        <f aca="false">IF(ISBLANK($C54),"",IF($BX54&lt;&gt;Constants!$B$6,"",IF($BL54="-&gt;",$BP54+$BQ54,$BE54+$BF54)+$CB54))</f>
        <v/>
      </c>
      <c r="CV54" s="144" t="str">
        <f aca="false">IF(ISBLANK($C54),"",IF($BX54&lt;&gt;Constants!$B$6,"",IF($BL54="-&gt;",$BR54,$BG54)+$CA54))</f>
        <v/>
      </c>
      <c r="CW54" s="145" t="str">
        <f aca="false">IF(ISBLANK($C54),"",IF($BX54&lt;&gt;Constants!$B$6,$BX54,$CC54))</f>
        <v/>
      </c>
      <c r="CX54" s="146" t="str">
        <f aca="false">IF(ISBLANK($C54),"",$BY54)</f>
        <v/>
      </c>
      <c r="CY54" s="147" t="str">
        <f aca="false">IF(ISBLANK($C54),"",$CN54)</f>
        <v/>
      </c>
      <c r="CZ54" s="147" t="str">
        <f aca="false">IF(ISBLANK($C54),"",$CM54)</f>
        <v/>
      </c>
      <c r="DA54" s="148" t="str">
        <f aca="false">IF(ISBLANK($C54),"",IFERROR(_xlfn.SWITCH($CZ54,Constants!$B$9,COUNTA($C$9:$C$508)+2,Constants!$B$8,COUNTA($C$9:$C$508)+1,Constants!$B$7,COUNTA($C$9:$C$508)),$CZ54))</f>
        <v/>
      </c>
      <c r="DB54" s="9"/>
      <c r="DC54" s="149" t="n">
        <f aca="false">IF(OR(ISNUMBER($CZ54),$CZ54=Constants!$B$9,$CZ54=Constants!$B$7,$CZ54=Constants!$B$8),1,0)</f>
        <v>0</v>
      </c>
      <c r="DD54" s="149" t="n">
        <v>46</v>
      </c>
      <c r="DE54" s="149" t="str">
        <f aca="false">IF(ISBLANK($C54),"",IF(ISNUMBER($DA54),$DA54+ROW($B54)/1000,""))</f>
        <v/>
      </c>
      <c r="DF54" s="149" t="str">
        <f aca="false">IF(ISNUMBER($DE54),RANK($DE54,$DE$9:$DE$508,1),"")</f>
        <v/>
      </c>
      <c r="DG54" s="149" t="str">
        <f aca="false">IF(ISBLANK($C54),"",$B54)</f>
        <v/>
      </c>
      <c r="DH54" s="149" t="str">
        <f aca="false">IF(ISBLANK($C54),"",$C54)</f>
        <v/>
      </c>
      <c r="DI54" s="149" t="str">
        <f aca="false">IF(ISBLANK($C54),"",$D54)</f>
        <v/>
      </c>
      <c r="DJ54" s="150" t="str">
        <f aca="false">$CX54</f>
        <v/>
      </c>
      <c r="DK54" s="151" t="str">
        <f aca="false">$CW54</f>
        <v/>
      </c>
      <c r="DL54" s="149" t="str">
        <f aca="false">IF(ISBLANK($C54),"",$CZ54)</f>
        <v/>
      </c>
      <c r="DM54" s="152" t="str">
        <f aca="false">IF($DD54&gt;$DC$8,"",VLOOKUP($DD54,$DF$9:$DL$508,7,FALSE()))</f>
        <v/>
      </c>
      <c r="DN54" s="153" t="str">
        <f aca="false">IF($DD54&gt;$DC$8,"",VLOOKUP($DD54,$DF$9:$DL$508,2,FALSE()))</f>
        <v/>
      </c>
      <c r="DO54" s="153" t="str">
        <f aca="false">IF($DD54&gt;$DC$8,"",VLOOKUP($DD54,$DF$9:$DL$508,3,FALSE()))</f>
        <v/>
      </c>
      <c r="DP54" s="153" t="str">
        <f aca="false">IF($DD54&gt;$DC$8,"",VLOOKUP($DD54,$DF$9:$DL$508,4,FALSE()))</f>
        <v/>
      </c>
      <c r="DQ54" s="153" t="str">
        <f aca="false">IF($DD54&gt;$DC$8,"",VLOOKUP($DD54,$DF$9:$DL$508,5,FALSE()))</f>
        <v/>
      </c>
      <c r="DR54" s="154" t="str">
        <f aca="false">IF($DD54&gt;$DC$8,"",VLOOKUP($DD54,$DF$9:$DL$508,6,FALSE()))</f>
        <v/>
      </c>
      <c r="DS54" s="76"/>
    </row>
    <row r="55" customFormat="false" ht="15.75" hidden="false" customHeight="false" outlineLevel="0" collapsed="false">
      <c r="A55" s="9"/>
      <c r="B55" s="160"/>
      <c r="C55" s="161"/>
      <c r="D55" s="162"/>
      <c r="E55" s="180"/>
      <c r="F55" s="164"/>
      <c r="G55" s="165"/>
      <c r="H55" s="165"/>
      <c r="I55" s="181"/>
      <c r="J55" s="168"/>
      <c r="K55" s="128"/>
      <c r="L55" s="129"/>
      <c r="M55" s="130"/>
      <c r="N55" s="168"/>
      <c r="O55" s="168"/>
      <c r="P55" s="180"/>
      <c r="Q55" s="168"/>
      <c r="R55" s="168"/>
      <c r="S55" s="128"/>
      <c r="T55" s="130"/>
      <c r="U55" s="130"/>
      <c r="V55" s="168"/>
      <c r="W55" s="168"/>
      <c r="X55" s="180"/>
      <c r="Y55" s="168"/>
      <c r="Z55" s="169"/>
      <c r="AA55" s="168"/>
      <c r="AB55" s="134"/>
      <c r="AC55" s="135"/>
      <c r="AD55" s="135"/>
      <c r="AE55" s="135"/>
      <c r="AF55" s="135" t="str">
        <f aca="false">IF(ISBLANK($C55),"",IF(E55=Constants!$B$2,TRUE(),IF(E55=Constants!$B$3,FALSE(),TRUE())))</f>
        <v/>
      </c>
      <c r="AG55" s="135" t="str">
        <f aca="false">IF(ISBLANK($C55),"",IF(F55=Constants!$B$2,TRUE(),IF(F55=Constants!$B$3,FALSE(),TRUE())))</f>
        <v/>
      </c>
      <c r="AH55" s="135" t="str">
        <f aca="false">IF(ISBLANK($C55),"",IF(G55=Constants!$B$2,TRUE(),IF(G55=Constants!$B$3,FALSE(),TRUE())))</f>
        <v/>
      </c>
      <c r="AI55" s="135" t="str">
        <f aca="false">IF(ISBLANK($C55),"",IF(AND(ISNUMBER(H55),H55&gt;=0),H55,Constants!$B$24))</f>
        <v/>
      </c>
      <c r="AJ55" s="135" t="str">
        <f aca="false">IF(ISBLANK($C55),"",IF(I55=Constants!$B$2,TRUE(),IF(I55=Constants!$B$3,FALSE(),TRUE())))</f>
        <v/>
      </c>
      <c r="AK55" s="135" t="str">
        <f aca="false">IF(ISBLANK($C55),"",IF(J55=Constants!$B$2,TRUE(),IF(J55=Constants!$B$3,FALSE(),TRUE())))</f>
        <v/>
      </c>
      <c r="AL55" s="135" t="str">
        <f aca="false">IF(ISBLANK($C55),"",IF(K55=Constants!$B$4,TRUE(),IF(K55=Constants!$B$5,FALSE(),COUNTA(L55:P55)&gt;0)))</f>
        <v/>
      </c>
      <c r="AM55" s="136" t="str">
        <f aca="false">IF(ISBLANK($C55),"",IF(ISNUMBER(L55),IF(L55&gt;=0,L55,""),""))</f>
        <v/>
      </c>
      <c r="AN55" s="137" t="str">
        <f aca="false">IF(ISBLANK($C55),"",IF(ISNUMBER(M55),IF(M55&gt;=0,M55,""),""))</f>
        <v/>
      </c>
      <c r="AO55" s="137" t="str">
        <f aca="false">IF(ISBLANK($C55),"",IF(N55=Constants!$B$2,TRUE(),IF(N55=Constants!$B$3,FALSE(),TRUE())))</f>
        <v/>
      </c>
      <c r="AP55" s="135" t="str">
        <f aca="false">IF(ISBLANK($C55),"",IF(ISNUMBER(O55),IF(O55&gt;=0,O55,""),""))</f>
        <v/>
      </c>
      <c r="AQ55" s="135" t="str">
        <f aca="false">IF(ISBLANK($C55),"",IF(P55=Constants!$B$2,TRUE(),IF(P55=Constants!$B$3,FALSE(),FALSE())))</f>
        <v/>
      </c>
      <c r="AR55" s="135" t="str">
        <f aca="false">IF(ISBLANK($C55),"",IF(Q55=Constants!$B$2,TRUE(),IF(Q55=Constants!$B$3,FALSE(),TRUE())))</f>
        <v/>
      </c>
      <c r="AS55" s="135" t="str">
        <f aca="false">IF(ISBLANK($C55),"",IF(R55=Constants!$B$2,TRUE(),IF(R55=Constants!$B$3,FALSE(),TRUE())))</f>
        <v/>
      </c>
      <c r="AT55" s="135" t="str">
        <f aca="false">IF(ISBLANK($C55),"",IF(S55=Constants!$B$4,TRUE(),IF(S55=Constants!$B$5,FALSE(),COUNTA(T55:X55)&gt;0)))</f>
        <v/>
      </c>
      <c r="AU55" s="136" t="str">
        <f aca="false">IF(ISBLANK($C55),"",IF(ISNUMBER(T55),IF(T55&gt;=0,T55,""),""))</f>
        <v/>
      </c>
      <c r="AV55" s="137" t="str">
        <f aca="false">IF(ISBLANK($C55),"",IF(ISNUMBER(U55),IF(U55&gt;=0,U55,""),""))</f>
        <v/>
      </c>
      <c r="AW55" s="137" t="str">
        <f aca="false">IF(ISBLANK($C55),"",IF(V55=Constants!$B$2,TRUE(),IF(V55=Constants!$B$3,FALSE(),TRUE())))</f>
        <v/>
      </c>
      <c r="AX55" s="135" t="str">
        <f aca="false">IF(ISBLANK($C55),"",IF(ISNUMBER(W55),IF(W55&gt;=0,W55,""),""))</f>
        <v/>
      </c>
      <c r="AY55" s="135" t="str">
        <f aca="false">IF(ISBLANK($C55),"",IF(X55=Constants!$B$2,TRUE(),IF(X55=Constants!$B$3,FALSE(),FALSE())))</f>
        <v/>
      </c>
      <c r="AZ55" s="135" t="str">
        <f aca="false">IF(ISBLANK($C55),"",MIN(Constants!$B$25,MAX(0,IF(ISNUMBER(Y55),Y55*60,0)+IF(ISNUMBER(Z55),Z55,0))))</f>
        <v/>
      </c>
      <c r="BA55" s="135" t="str">
        <f aca="false">IF(ISBLANK($C55),"",IF(AA55=Constants!$B$2,TRUE(),IF(AA55=Constants!$B$3,FALSE(),FALSE())))</f>
        <v/>
      </c>
      <c r="BB55" s="134" t="str">
        <f aca="false">IF(ISBLANK($C55),"",AND($AL55,OR($AM55="",$AN55="",AND($AO55,$AP55=""))))</f>
        <v/>
      </c>
      <c r="BC55" s="137" t="str">
        <f aca="false">IF($BX55&lt;&gt;Constants!$B$6,"",IF($AL55,Constants!$B$17*$AN55+Constants!$B$18*IF($AO55,$AP55,Constants!$B$19),Constants!$B$20))</f>
        <v/>
      </c>
      <c r="BD55" s="138" t="str">
        <f aca="false">IF($BX55&lt;&gt;Constants!$B$6,"",Constants!$B$21*ABS($AD$9-IF($AL55,$AM55,0)))</f>
        <v/>
      </c>
      <c r="BE55" s="138" t="str">
        <f aca="false">IF($BX55&lt;&gt;Constants!$B$6,"",IF(AND($AL55,$AQ55,$AO55),Constants!$B$22,0))</f>
        <v/>
      </c>
      <c r="BF55" s="138" t="str">
        <f aca="false">IF($BX55&lt;&gt;Constants!$B$6,"",IF($AL55,($AI55-Constants!$B$24)*Constants!$B$23,0))</f>
        <v/>
      </c>
      <c r="BG55" s="138" t="str">
        <f aca="false">IF($BX55&lt;&gt;Constants!$B$6,"",IF($AK55,0,Constants!$B$12)+IF($AJ55,0,Constants!$B$13)+IF($AH55,0,Constants!$B$14))</f>
        <v/>
      </c>
      <c r="BH55" s="139" t="str">
        <f aca="false">IF($BX55&lt;&gt;Constants!$B$6,"",Constants!$B$16+SUM($BC55:$BG55))</f>
        <v/>
      </c>
      <c r="BI55" s="138" t="str">
        <f aca="false">IF($BX55&lt;&gt;Constants!$B$6,"",$BC55)</f>
        <v/>
      </c>
      <c r="BJ55" s="138" t="str">
        <f aca="false">IF($BX55&lt;&gt;Constants!$B$6,"",$BD55)</f>
        <v/>
      </c>
      <c r="BK55" s="140" t="str">
        <f aca="false">IF($BX55&lt;&gt;Constants!$B$6,"",IF($AL55,$AN55,""))</f>
        <v/>
      </c>
      <c r="BL55" s="135" t="str">
        <f aca="false">IF($BX55&lt;&gt;Constants!$B$6,"",IF(OR($BS55&lt;$BH55,AND($BS55=$BH55,OR($BT55&lt;$BI55,AND($BT55=$BI55,OR($BU55&lt;$BJ55,AND($BU55=$BJ55,AND(ISNUMBER($BV55),OR(NOT(ISNUMBER($BK55)),$BV55&lt;$BK55)))))))),"-&gt;","&lt;-"))</f>
        <v/>
      </c>
      <c r="BM55" s="134" t="str">
        <f aca="false">IF(ISBLANK($C55),"",AND($AT55,OR($AU55="",$AV55="",AND($AW55,$AX55=""))))</f>
        <v/>
      </c>
      <c r="BN55" s="137" t="str">
        <f aca="false">IF($BX55&lt;&gt;Constants!$B$6,"",IF($AT55,Constants!$B$17*$AV55+Constants!$B$18*IF($AW55,$AX55,Constants!$B$19),Constants!$B$20))</f>
        <v/>
      </c>
      <c r="BO55" s="138" t="str">
        <f aca="false">IF($BX55&lt;&gt;Constants!$B$6,"",Constants!$B$21*ABS($AD$9-IF($AT55,$AU55,0)))</f>
        <v/>
      </c>
      <c r="BP55" s="138" t="str">
        <f aca="false">IF($BX55&lt;&gt;Constants!$B$6,"",IF(AND($AT55,$AY55,$AW55),Constants!$B$22,0))</f>
        <v/>
      </c>
      <c r="BQ55" s="138" t="str">
        <f aca="false">IF($BX55&lt;&gt;Constants!$B$6,"",IF($AT55,($AI55-Constants!$B$24)*Constants!$B$23,0))</f>
        <v/>
      </c>
      <c r="BR55" s="138" t="str">
        <f aca="false">IF($BX55&lt;&gt;Constants!$B$6,"",IF($AS55,0,Constants!$B$12)+IF($AR55,0,Constants!$B$13)+IF($AH55,0,Constants!$B$14))</f>
        <v/>
      </c>
      <c r="BS55" s="139" t="str">
        <f aca="false">IF($BX55&lt;&gt;Constants!$B$6,"",Constants!$B$16+SUM($BN55:$BR55))</f>
        <v/>
      </c>
      <c r="BT55" s="138" t="str">
        <f aca="false">IF($BX55&lt;&gt;Constants!$B$6,"",$BN55)</f>
        <v/>
      </c>
      <c r="BU55" s="138" t="str">
        <f aca="false">IF($BX55&lt;&gt;Constants!$B$6,"",$BO55)</f>
        <v/>
      </c>
      <c r="BV55" s="140" t="str">
        <f aca="false">IF($BX55&lt;&gt;Constants!$B$6,"",IF($AT55,$AV55,""))</f>
        <v/>
      </c>
      <c r="BW55" s="135" t="str">
        <f aca="false">IF(ISBLANK($C55),"",IF(ISBLANK($D$7),$BW$5,IF(NOT(ISNUMBER($D$7)),$BW$6,"")))</f>
        <v/>
      </c>
      <c r="BX55" s="135" t="str">
        <f aca="false">IF(ISBLANK($C55),"",IF($BA55,Constants!$B$9,IF(COUNTA($E55:$AA55)=0,Constants!$B$8,IF(NOT($AG55),Constants!$B$7,IF(OR($BW55&lt;&gt;"",$BB55,$BM55),Constants!$B$10,Constants!$B$6)))))</f>
        <v/>
      </c>
      <c r="BY55" s="135" t="str">
        <f aca="false">IF(ISBLANK($C55),"",IF($BX55&lt;&gt;Constants!$B$6,$BX55,Constants!$B$11))</f>
        <v/>
      </c>
      <c r="BZ55" s="138" t="str">
        <f aca="false">IF($BX55&lt;&gt;Constants!$B$6,"",IF($BL55="-&gt;",$BS55,$BH55))</f>
        <v/>
      </c>
      <c r="CA55" s="138" t="str">
        <f aca="false">IF($BX55&lt;&gt;Constants!$B$6,"",IF($AF55,0,Constants!$B$15))</f>
        <v/>
      </c>
      <c r="CB55" s="138" t="str">
        <f aca="false">IF($BX55&lt;&gt;Constants!$B$6,"",((Constants!$B$25-$AZ55)-Constants!$B$25)/Constants!$B$26)</f>
        <v/>
      </c>
      <c r="CC55" s="138" t="str">
        <f aca="false">IF(ISBLANK($C55),"",IF($BX55&lt;&gt;Constants!$B$6,$BX55,SUM($BZ55:$CB55)))</f>
        <v/>
      </c>
      <c r="CD55" s="135" t="str">
        <f aca="false">IF(ISBLANK($C55),"",IF($BX55&lt;&gt;Constants!$B$6,$BX55,RANK($CC55,$CC$9:$CC$508,1)))</f>
        <v/>
      </c>
      <c r="CE55" s="138" t="str">
        <f aca="false">IF($BX55&lt;&gt;Constants!$B$6,"",IF($BL55="-&gt;",$BT55,$BI55))</f>
        <v/>
      </c>
      <c r="CF55" s="135" t="str">
        <f aca="false">IF(ISBLANK($C55),"",IF($BX55&lt;&gt;Constants!$B$6,$BX55,IF(ISNUMBER($CE55),RANK($CE55,$CE$9:$CE$508,1),COUNT($CE$9:$CE$508)+1)))</f>
        <v/>
      </c>
      <c r="CG55" s="138" t="str">
        <f aca="false">IF($BX55&lt;&gt;Constants!$B$6,"",IF($BL55="-&gt;",$BU55,$BJ55))</f>
        <v/>
      </c>
      <c r="CH55" s="135" t="str">
        <f aca="false">IF(ISBLANK($C55),"",IF($BX55&lt;&gt;Constants!$B$6,$BX55,IF(ISNUMBER($CG55),RANK($CG55,$CG$9:$CG$508,1),COUNT($CG$9:$CG$508)+1)))</f>
        <v/>
      </c>
      <c r="CI55" s="138" t="str">
        <f aca="false">IF($BX55&lt;&gt;Constants!$B$6,"",IF($BL55="-&gt;",$BV55,$BK55))</f>
        <v/>
      </c>
      <c r="CJ55" s="135" t="str">
        <f aca="false">IF(ISBLANK($C55),"",IF($BX55&lt;&gt;Constants!$B$6,$BX55,IF(ISNUMBER($CI55),RANK($CI55,$CI$9:$CI$508,1),COUNT($CI$9:$CI$508)+1)))</f>
        <v/>
      </c>
      <c r="CK55" s="138" t="str">
        <f aca="false">IF($BX55&lt;&gt;Constants!$B$6,"",$AI55)</f>
        <v/>
      </c>
      <c r="CL55" s="135" t="str">
        <f aca="false">IF(ISBLANK($C55),"",IF($BX55&lt;&gt;Constants!$B$6,$BX55,IF(ISNUMBER($CK55),RANK($CK55,$CK$9:$CK$508,1),COUNT($CK$9:$CK$508)+1)))</f>
        <v/>
      </c>
      <c r="CM55" s="135" t="str">
        <f aca="false">IF(ISBLANK($C55),"",IF($BX55&lt;&gt;Constants!$B$6,$BX55,COUNTIFS($CD$9:$CD$508,"&lt;"&amp;$CD55)+COUNTIFS($CD$9:$CD$508,$CD55,$CF$9:$CF$508,"&lt;"&amp;$CF55)+COUNTIFS($CD$9:$CD$508,$CD55,$CF$9:$CF$508,$CF55,$CH$9:$CH$508,"&lt;"&amp;$CH55)+COUNTIFS($CD$9:$CD$508,$CD55,$CF$9:$CF$508,$CF55,$CH$9:$CH$508,$CH55,$CJ$9:$CJ$508,"&lt;"&amp;$CJ55)+COUNTIFS($CD$9:$CD$508,$CD55,$CF$9:$CF$508,$CF55,$CH$9:$CH$508,$CH55,$CJ$9:$CJ$508,$CJ55,$CL$9:$CL$508,"&lt;"&amp;$CL55)+1))</f>
        <v/>
      </c>
      <c r="CN55" s="135" t="str">
        <f aca="false">IF(ISBLANK($C55),"",IF($BX55&lt;&gt;Constants!$B$6,$BX55,$CD55-$CM55))</f>
        <v/>
      </c>
      <c r="CO55" s="141"/>
      <c r="CP55" s="142"/>
      <c r="CQ55" s="143" t="str">
        <f aca="false">IF(ISBLANK($C55),"",IF($BX55=Constants!$B$10,$BW55,""))</f>
        <v/>
      </c>
      <c r="CR55" s="142" t="str">
        <f aca="false">IF(ISBLANK($C55),"",IF($BX55&lt;&gt;Constants!$B$6,"",IF($BL55="-&gt;",2,1)))</f>
        <v/>
      </c>
      <c r="CS55" s="144" t="str">
        <f aca="false">IF(ISBLANK($C55),"",IF($BX55&lt;&gt;Constants!$B$6,"",IF($BL55="-&gt;",$BN55,$BC55)))</f>
        <v/>
      </c>
      <c r="CT55" s="144" t="str">
        <f aca="false">IF(ISBLANK($C55),"",IF($BX55&lt;&gt;Constants!$B$6,"",IF($BL55="-&gt;",$BO55,$BD55)))</f>
        <v/>
      </c>
      <c r="CU55" s="144" t="str">
        <f aca="false">IF(ISBLANK($C55),"",IF($BX55&lt;&gt;Constants!$B$6,"",IF($BL55="-&gt;",$BP55+$BQ55,$BE55+$BF55)+$CB55))</f>
        <v/>
      </c>
      <c r="CV55" s="144" t="str">
        <f aca="false">IF(ISBLANK($C55),"",IF($BX55&lt;&gt;Constants!$B$6,"",IF($BL55="-&gt;",$BR55,$BG55)+$CA55))</f>
        <v/>
      </c>
      <c r="CW55" s="145" t="str">
        <f aca="false">IF(ISBLANK($C55),"",IF($BX55&lt;&gt;Constants!$B$6,$BX55,$CC55))</f>
        <v/>
      </c>
      <c r="CX55" s="146" t="str">
        <f aca="false">IF(ISBLANK($C55),"",$BY55)</f>
        <v/>
      </c>
      <c r="CY55" s="147" t="str">
        <f aca="false">IF(ISBLANK($C55),"",$CN55)</f>
        <v/>
      </c>
      <c r="CZ55" s="147" t="str">
        <f aca="false">IF(ISBLANK($C55),"",$CM55)</f>
        <v/>
      </c>
      <c r="DA55" s="148" t="str">
        <f aca="false">IF(ISBLANK($C55),"",IFERROR(_xlfn.SWITCH($CZ55,Constants!$B$9,COUNTA($C$9:$C$508)+2,Constants!$B$8,COUNTA($C$9:$C$508)+1,Constants!$B$7,COUNTA($C$9:$C$508)),$CZ55))</f>
        <v/>
      </c>
      <c r="DB55" s="9"/>
      <c r="DC55" s="149" t="n">
        <f aca="false">IF(OR(ISNUMBER($CZ55),$CZ55=Constants!$B$9,$CZ55=Constants!$B$7,$CZ55=Constants!$B$8),1,0)</f>
        <v>0</v>
      </c>
      <c r="DD55" s="149" t="n">
        <v>47</v>
      </c>
      <c r="DE55" s="149" t="str">
        <f aca="false">IF(ISBLANK($C55),"",IF(ISNUMBER($DA55),$DA55+ROW($B55)/1000,""))</f>
        <v/>
      </c>
      <c r="DF55" s="149" t="str">
        <f aca="false">IF(ISNUMBER($DE55),RANK($DE55,$DE$9:$DE$508,1),"")</f>
        <v/>
      </c>
      <c r="DG55" s="149" t="str">
        <f aca="false">IF(ISBLANK($C55),"",$B55)</f>
        <v/>
      </c>
      <c r="DH55" s="149" t="str">
        <f aca="false">IF(ISBLANK($C55),"",$C55)</f>
        <v/>
      </c>
      <c r="DI55" s="149" t="str">
        <f aca="false">IF(ISBLANK($C55),"",$D55)</f>
        <v/>
      </c>
      <c r="DJ55" s="150" t="str">
        <f aca="false">$CX55</f>
        <v/>
      </c>
      <c r="DK55" s="151" t="str">
        <f aca="false">$CW55</f>
        <v/>
      </c>
      <c r="DL55" s="149" t="str">
        <f aca="false">IF(ISBLANK($C55),"",$CZ55)</f>
        <v/>
      </c>
      <c r="DM55" s="152" t="str">
        <f aca="false">IF($DD55&gt;$DC$8,"",VLOOKUP($DD55,$DF$9:$DL$508,7,FALSE()))</f>
        <v/>
      </c>
      <c r="DN55" s="153" t="str">
        <f aca="false">IF($DD55&gt;$DC$8,"",VLOOKUP($DD55,$DF$9:$DL$508,2,FALSE()))</f>
        <v/>
      </c>
      <c r="DO55" s="153" t="str">
        <f aca="false">IF($DD55&gt;$DC$8,"",VLOOKUP($DD55,$DF$9:$DL$508,3,FALSE()))</f>
        <v/>
      </c>
      <c r="DP55" s="153" t="str">
        <f aca="false">IF($DD55&gt;$DC$8,"",VLOOKUP($DD55,$DF$9:$DL$508,4,FALSE()))</f>
        <v/>
      </c>
      <c r="DQ55" s="153" t="str">
        <f aca="false">IF($DD55&gt;$DC$8,"",VLOOKUP($DD55,$DF$9:$DL$508,5,FALSE()))</f>
        <v/>
      </c>
      <c r="DR55" s="154" t="str">
        <f aca="false">IF($DD55&gt;$DC$8,"",VLOOKUP($DD55,$DF$9:$DL$508,6,FALSE()))</f>
        <v/>
      </c>
      <c r="DS55" s="76"/>
    </row>
    <row r="56" customFormat="false" ht="15.75" hidden="false" customHeight="false" outlineLevel="0" collapsed="false">
      <c r="A56" s="9"/>
      <c r="B56" s="160"/>
      <c r="C56" s="161"/>
      <c r="D56" s="162"/>
      <c r="E56" s="180"/>
      <c r="F56" s="164"/>
      <c r="G56" s="165"/>
      <c r="H56" s="165"/>
      <c r="I56" s="181"/>
      <c r="J56" s="168"/>
      <c r="K56" s="128"/>
      <c r="L56" s="129"/>
      <c r="M56" s="130"/>
      <c r="N56" s="168"/>
      <c r="O56" s="168"/>
      <c r="P56" s="180"/>
      <c r="Q56" s="168"/>
      <c r="R56" s="168"/>
      <c r="S56" s="128"/>
      <c r="T56" s="130"/>
      <c r="U56" s="130"/>
      <c r="V56" s="168"/>
      <c r="W56" s="168"/>
      <c r="X56" s="180"/>
      <c r="Y56" s="168"/>
      <c r="Z56" s="169"/>
      <c r="AA56" s="168"/>
      <c r="AB56" s="134"/>
      <c r="AC56" s="135"/>
      <c r="AD56" s="135"/>
      <c r="AE56" s="135"/>
      <c r="AF56" s="135" t="str">
        <f aca="false">IF(ISBLANK($C56),"",IF(E56=Constants!$B$2,TRUE(),IF(E56=Constants!$B$3,FALSE(),TRUE())))</f>
        <v/>
      </c>
      <c r="AG56" s="135" t="str">
        <f aca="false">IF(ISBLANK($C56),"",IF(F56=Constants!$B$2,TRUE(),IF(F56=Constants!$B$3,FALSE(),TRUE())))</f>
        <v/>
      </c>
      <c r="AH56" s="135" t="str">
        <f aca="false">IF(ISBLANK($C56),"",IF(G56=Constants!$B$2,TRUE(),IF(G56=Constants!$B$3,FALSE(),TRUE())))</f>
        <v/>
      </c>
      <c r="AI56" s="135" t="str">
        <f aca="false">IF(ISBLANK($C56),"",IF(AND(ISNUMBER(H56),H56&gt;=0),H56,Constants!$B$24))</f>
        <v/>
      </c>
      <c r="AJ56" s="135" t="str">
        <f aca="false">IF(ISBLANK($C56),"",IF(I56=Constants!$B$2,TRUE(),IF(I56=Constants!$B$3,FALSE(),TRUE())))</f>
        <v/>
      </c>
      <c r="AK56" s="135" t="str">
        <f aca="false">IF(ISBLANK($C56),"",IF(J56=Constants!$B$2,TRUE(),IF(J56=Constants!$B$3,FALSE(),TRUE())))</f>
        <v/>
      </c>
      <c r="AL56" s="135" t="str">
        <f aca="false">IF(ISBLANK($C56),"",IF(K56=Constants!$B$4,TRUE(),IF(K56=Constants!$B$5,FALSE(),COUNTA(L56:P56)&gt;0)))</f>
        <v/>
      </c>
      <c r="AM56" s="136" t="str">
        <f aca="false">IF(ISBLANK($C56),"",IF(ISNUMBER(L56),IF(L56&gt;=0,L56,""),""))</f>
        <v/>
      </c>
      <c r="AN56" s="137" t="str">
        <f aca="false">IF(ISBLANK($C56),"",IF(ISNUMBER(M56),IF(M56&gt;=0,M56,""),""))</f>
        <v/>
      </c>
      <c r="AO56" s="137" t="str">
        <f aca="false">IF(ISBLANK($C56),"",IF(N56=Constants!$B$2,TRUE(),IF(N56=Constants!$B$3,FALSE(),TRUE())))</f>
        <v/>
      </c>
      <c r="AP56" s="135" t="str">
        <f aca="false">IF(ISBLANK($C56),"",IF(ISNUMBER(O56),IF(O56&gt;=0,O56,""),""))</f>
        <v/>
      </c>
      <c r="AQ56" s="135" t="str">
        <f aca="false">IF(ISBLANK($C56),"",IF(P56=Constants!$B$2,TRUE(),IF(P56=Constants!$B$3,FALSE(),FALSE())))</f>
        <v/>
      </c>
      <c r="AR56" s="135" t="str">
        <f aca="false">IF(ISBLANK($C56),"",IF(Q56=Constants!$B$2,TRUE(),IF(Q56=Constants!$B$3,FALSE(),TRUE())))</f>
        <v/>
      </c>
      <c r="AS56" s="135" t="str">
        <f aca="false">IF(ISBLANK($C56),"",IF(R56=Constants!$B$2,TRUE(),IF(R56=Constants!$B$3,FALSE(),TRUE())))</f>
        <v/>
      </c>
      <c r="AT56" s="135" t="str">
        <f aca="false">IF(ISBLANK($C56),"",IF(S56=Constants!$B$4,TRUE(),IF(S56=Constants!$B$5,FALSE(),COUNTA(T56:X56)&gt;0)))</f>
        <v/>
      </c>
      <c r="AU56" s="136" t="str">
        <f aca="false">IF(ISBLANK($C56),"",IF(ISNUMBER(T56),IF(T56&gt;=0,T56,""),""))</f>
        <v/>
      </c>
      <c r="AV56" s="137" t="str">
        <f aca="false">IF(ISBLANK($C56),"",IF(ISNUMBER(U56),IF(U56&gt;=0,U56,""),""))</f>
        <v/>
      </c>
      <c r="AW56" s="137" t="str">
        <f aca="false">IF(ISBLANK($C56),"",IF(V56=Constants!$B$2,TRUE(),IF(V56=Constants!$B$3,FALSE(),TRUE())))</f>
        <v/>
      </c>
      <c r="AX56" s="135" t="str">
        <f aca="false">IF(ISBLANK($C56),"",IF(ISNUMBER(W56),IF(W56&gt;=0,W56,""),""))</f>
        <v/>
      </c>
      <c r="AY56" s="135" t="str">
        <f aca="false">IF(ISBLANK($C56),"",IF(X56=Constants!$B$2,TRUE(),IF(X56=Constants!$B$3,FALSE(),FALSE())))</f>
        <v/>
      </c>
      <c r="AZ56" s="135" t="str">
        <f aca="false">IF(ISBLANK($C56),"",MIN(Constants!$B$25,MAX(0,IF(ISNUMBER(Y56),Y56*60,0)+IF(ISNUMBER(Z56),Z56,0))))</f>
        <v/>
      </c>
      <c r="BA56" s="135" t="str">
        <f aca="false">IF(ISBLANK($C56),"",IF(AA56=Constants!$B$2,TRUE(),IF(AA56=Constants!$B$3,FALSE(),FALSE())))</f>
        <v/>
      </c>
      <c r="BB56" s="134" t="str">
        <f aca="false">IF(ISBLANK($C56),"",AND($AL56,OR($AM56="",$AN56="",AND($AO56,$AP56=""))))</f>
        <v/>
      </c>
      <c r="BC56" s="137" t="str">
        <f aca="false">IF($BX56&lt;&gt;Constants!$B$6,"",IF($AL56,Constants!$B$17*$AN56+Constants!$B$18*IF($AO56,$AP56,Constants!$B$19),Constants!$B$20))</f>
        <v/>
      </c>
      <c r="BD56" s="138" t="str">
        <f aca="false">IF($BX56&lt;&gt;Constants!$B$6,"",Constants!$B$21*ABS($AD$9-IF($AL56,$AM56,0)))</f>
        <v/>
      </c>
      <c r="BE56" s="138" t="str">
        <f aca="false">IF($BX56&lt;&gt;Constants!$B$6,"",IF(AND($AL56,$AQ56,$AO56),Constants!$B$22,0))</f>
        <v/>
      </c>
      <c r="BF56" s="138" t="str">
        <f aca="false">IF($BX56&lt;&gt;Constants!$B$6,"",IF($AL56,($AI56-Constants!$B$24)*Constants!$B$23,0))</f>
        <v/>
      </c>
      <c r="BG56" s="138" t="str">
        <f aca="false">IF($BX56&lt;&gt;Constants!$B$6,"",IF($AK56,0,Constants!$B$12)+IF($AJ56,0,Constants!$B$13)+IF($AH56,0,Constants!$B$14))</f>
        <v/>
      </c>
      <c r="BH56" s="139" t="str">
        <f aca="false">IF($BX56&lt;&gt;Constants!$B$6,"",Constants!$B$16+SUM($BC56:$BG56))</f>
        <v/>
      </c>
      <c r="BI56" s="138" t="str">
        <f aca="false">IF($BX56&lt;&gt;Constants!$B$6,"",$BC56)</f>
        <v/>
      </c>
      <c r="BJ56" s="138" t="str">
        <f aca="false">IF($BX56&lt;&gt;Constants!$B$6,"",$BD56)</f>
        <v/>
      </c>
      <c r="BK56" s="140" t="str">
        <f aca="false">IF($BX56&lt;&gt;Constants!$B$6,"",IF($AL56,$AN56,""))</f>
        <v/>
      </c>
      <c r="BL56" s="135" t="str">
        <f aca="false">IF($BX56&lt;&gt;Constants!$B$6,"",IF(OR($BS56&lt;$BH56,AND($BS56=$BH56,OR($BT56&lt;$BI56,AND($BT56=$BI56,OR($BU56&lt;$BJ56,AND($BU56=$BJ56,AND(ISNUMBER($BV56),OR(NOT(ISNUMBER($BK56)),$BV56&lt;$BK56)))))))),"-&gt;","&lt;-"))</f>
        <v/>
      </c>
      <c r="BM56" s="134" t="str">
        <f aca="false">IF(ISBLANK($C56),"",AND($AT56,OR($AU56="",$AV56="",AND($AW56,$AX56=""))))</f>
        <v/>
      </c>
      <c r="BN56" s="137" t="str">
        <f aca="false">IF($BX56&lt;&gt;Constants!$B$6,"",IF($AT56,Constants!$B$17*$AV56+Constants!$B$18*IF($AW56,$AX56,Constants!$B$19),Constants!$B$20))</f>
        <v/>
      </c>
      <c r="BO56" s="138" t="str">
        <f aca="false">IF($BX56&lt;&gt;Constants!$B$6,"",Constants!$B$21*ABS($AD$9-IF($AT56,$AU56,0)))</f>
        <v/>
      </c>
      <c r="BP56" s="138" t="str">
        <f aca="false">IF($BX56&lt;&gt;Constants!$B$6,"",IF(AND($AT56,$AY56,$AW56),Constants!$B$22,0))</f>
        <v/>
      </c>
      <c r="BQ56" s="138" t="str">
        <f aca="false">IF($BX56&lt;&gt;Constants!$B$6,"",IF($AT56,($AI56-Constants!$B$24)*Constants!$B$23,0))</f>
        <v/>
      </c>
      <c r="BR56" s="138" t="str">
        <f aca="false">IF($BX56&lt;&gt;Constants!$B$6,"",IF($AS56,0,Constants!$B$12)+IF($AR56,0,Constants!$B$13)+IF($AH56,0,Constants!$B$14))</f>
        <v/>
      </c>
      <c r="BS56" s="139" t="str">
        <f aca="false">IF($BX56&lt;&gt;Constants!$B$6,"",Constants!$B$16+SUM($BN56:$BR56))</f>
        <v/>
      </c>
      <c r="BT56" s="138" t="str">
        <f aca="false">IF($BX56&lt;&gt;Constants!$B$6,"",$BN56)</f>
        <v/>
      </c>
      <c r="BU56" s="138" t="str">
        <f aca="false">IF($BX56&lt;&gt;Constants!$B$6,"",$BO56)</f>
        <v/>
      </c>
      <c r="BV56" s="140" t="str">
        <f aca="false">IF($BX56&lt;&gt;Constants!$B$6,"",IF($AT56,$AV56,""))</f>
        <v/>
      </c>
      <c r="BW56" s="135" t="str">
        <f aca="false">IF(ISBLANK($C56),"",IF(ISBLANK($D$7),$BW$5,IF(NOT(ISNUMBER($D$7)),$BW$6,"")))</f>
        <v/>
      </c>
      <c r="BX56" s="135" t="str">
        <f aca="false">IF(ISBLANK($C56),"",IF($BA56,Constants!$B$9,IF(COUNTA($E56:$AA56)=0,Constants!$B$8,IF(NOT($AG56),Constants!$B$7,IF(OR($BW56&lt;&gt;"",$BB56,$BM56),Constants!$B$10,Constants!$B$6)))))</f>
        <v/>
      </c>
      <c r="BY56" s="135" t="str">
        <f aca="false">IF(ISBLANK($C56),"",IF($BX56&lt;&gt;Constants!$B$6,$BX56,Constants!$B$11))</f>
        <v/>
      </c>
      <c r="BZ56" s="138" t="str">
        <f aca="false">IF($BX56&lt;&gt;Constants!$B$6,"",IF($BL56="-&gt;",$BS56,$BH56))</f>
        <v/>
      </c>
      <c r="CA56" s="138" t="str">
        <f aca="false">IF($BX56&lt;&gt;Constants!$B$6,"",IF($AF56,0,Constants!$B$15))</f>
        <v/>
      </c>
      <c r="CB56" s="138" t="str">
        <f aca="false">IF($BX56&lt;&gt;Constants!$B$6,"",((Constants!$B$25-$AZ56)-Constants!$B$25)/Constants!$B$26)</f>
        <v/>
      </c>
      <c r="CC56" s="138" t="str">
        <f aca="false">IF(ISBLANK($C56),"",IF($BX56&lt;&gt;Constants!$B$6,$BX56,SUM($BZ56:$CB56)))</f>
        <v/>
      </c>
      <c r="CD56" s="135" t="str">
        <f aca="false">IF(ISBLANK($C56),"",IF($BX56&lt;&gt;Constants!$B$6,$BX56,RANK($CC56,$CC$9:$CC$508,1)))</f>
        <v/>
      </c>
      <c r="CE56" s="138" t="str">
        <f aca="false">IF($BX56&lt;&gt;Constants!$B$6,"",IF($BL56="-&gt;",$BT56,$BI56))</f>
        <v/>
      </c>
      <c r="CF56" s="135" t="str">
        <f aca="false">IF(ISBLANK($C56),"",IF($BX56&lt;&gt;Constants!$B$6,$BX56,IF(ISNUMBER($CE56),RANK($CE56,$CE$9:$CE$508,1),COUNT($CE$9:$CE$508)+1)))</f>
        <v/>
      </c>
      <c r="CG56" s="138" t="str">
        <f aca="false">IF($BX56&lt;&gt;Constants!$B$6,"",IF($BL56="-&gt;",$BU56,$BJ56))</f>
        <v/>
      </c>
      <c r="CH56" s="135" t="str">
        <f aca="false">IF(ISBLANK($C56),"",IF($BX56&lt;&gt;Constants!$B$6,$BX56,IF(ISNUMBER($CG56),RANK($CG56,$CG$9:$CG$508,1),COUNT($CG$9:$CG$508)+1)))</f>
        <v/>
      </c>
      <c r="CI56" s="138" t="str">
        <f aca="false">IF($BX56&lt;&gt;Constants!$B$6,"",IF($BL56="-&gt;",$BV56,$BK56))</f>
        <v/>
      </c>
      <c r="CJ56" s="135" t="str">
        <f aca="false">IF(ISBLANK($C56),"",IF($BX56&lt;&gt;Constants!$B$6,$BX56,IF(ISNUMBER($CI56),RANK($CI56,$CI$9:$CI$508,1),COUNT($CI$9:$CI$508)+1)))</f>
        <v/>
      </c>
      <c r="CK56" s="138" t="str">
        <f aca="false">IF($BX56&lt;&gt;Constants!$B$6,"",$AI56)</f>
        <v/>
      </c>
      <c r="CL56" s="135" t="str">
        <f aca="false">IF(ISBLANK($C56),"",IF($BX56&lt;&gt;Constants!$B$6,$BX56,IF(ISNUMBER($CK56),RANK($CK56,$CK$9:$CK$508,1),COUNT($CK$9:$CK$508)+1)))</f>
        <v/>
      </c>
      <c r="CM56" s="135" t="str">
        <f aca="false">IF(ISBLANK($C56),"",IF($BX56&lt;&gt;Constants!$B$6,$BX56,COUNTIFS($CD$9:$CD$508,"&lt;"&amp;$CD56)+COUNTIFS($CD$9:$CD$508,$CD56,$CF$9:$CF$508,"&lt;"&amp;$CF56)+COUNTIFS($CD$9:$CD$508,$CD56,$CF$9:$CF$508,$CF56,$CH$9:$CH$508,"&lt;"&amp;$CH56)+COUNTIFS($CD$9:$CD$508,$CD56,$CF$9:$CF$508,$CF56,$CH$9:$CH$508,$CH56,$CJ$9:$CJ$508,"&lt;"&amp;$CJ56)+COUNTIFS($CD$9:$CD$508,$CD56,$CF$9:$CF$508,$CF56,$CH$9:$CH$508,$CH56,$CJ$9:$CJ$508,$CJ56,$CL$9:$CL$508,"&lt;"&amp;$CL56)+1))</f>
        <v/>
      </c>
      <c r="CN56" s="135" t="str">
        <f aca="false">IF(ISBLANK($C56),"",IF($BX56&lt;&gt;Constants!$B$6,$BX56,$CD56-$CM56))</f>
        <v/>
      </c>
      <c r="CO56" s="141"/>
      <c r="CP56" s="142"/>
      <c r="CQ56" s="143" t="str">
        <f aca="false">IF(ISBLANK($C56),"",IF($BX56=Constants!$B$10,$BW56,""))</f>
        <v/>
      </c>
      <c r="CR56" s="142" t="str">
        <f aca="false">IF(ISBLANK($C56),"",IF($BX56&lt;&gt;Constants!$B$6,"",IF($BL56="-&gt;",2,1)))</f>
        <v/>
      </c>
      <c r="CS56" s="144" t="str">
        <f aca="false">IF(ISBLANK($C56),"",IF($BX56&lt;&gt;Constants!$B$6,"",IF($BL56="-&gt;",$BN56,$BC56)))</f>
        <v/>
      </c>
      <c r="CT56" s="144" t="str">
        <f aca="false">IF(ISBLANK($C56),"",IF($BX56&lt;&gt;Constants!$B$6,"",IF($BL56="-&gt;",$BO56,$BD56)))</f>
        <v/>
      </c>
      <c r="CU56" s="144" t="str">
        <f aca="false">IF(ISBLANK($C56),"",IF($BX56&lt;&gt;Constants!$B$6,"",IF($BL56="-&gt;",$BP56+$BQ56,$BE56+$BF56)+$CB56))</f>
        <v/>
      </c>
      <c r="CV56" s="144" t="str">
        <f aca="false">IF(ISBLANK($C56),"",IF($BX56&lt;&gt;Constants!$B$6,"",IF($BL56="-&gt;",$BR56,$BG56)+$CA56))</f>
        <v/>
      </c>
      <c r="CW56" s="145" t="str">
        <f aca="false">IF(ISBLANK($C56),"",IF($BX56&lt;&gt;Constants!$B$6,$BX56,$CC56))</f>
        <v/>
      </c>
      <c r="CX56" s="146" t="str">
        <f aca="false">IF(ISBLANK($C56),"",$BY56)</f>
        <v/>
      </c>
      <c r="CY56" s="147" t="str">
        <f aca="false">IF(ISBLANK($C56),"",$CN56)</f>
        <v/>
      </c>
      <c r="CZ56" s="147" t="str">
        <f aca="false">IF(ISBLANK($C56),"",$CM56)</f>
        <v/>
      </c>
      <c r="DA56" s="148" t="str">
        <f aca="false">IF(ISBLANK($C56),"",IFERROR(_xlfn.SWITCH($CZ56,Constants!$B$9,COUNTA($C$9:$C$508)+2,Constants!$B$8,COUNTA($C$9:$C$508)+1,Constants!$B$7,COUNTA($C$9:$C$508)),$CZ56))</f>
        <v/>
      </c>
      <c r="DB56" s="9"/>
      <c r="DC56" s="149" t="n">
        <f aca="false">IF(OR(ISNUMBER($CZ56),$CZ56=Constants!$B$9,$CZ56=Constants!$B$7,$CZ56=Constants!$B$8),1,0)</f>
        <v>0</v>
      </c>
      <c r="DD56" s="149" t="n">
        <v>48</v>
      </c>
      <c r="DE56" s="149" t="str">
        <f aca="false">IF(ISBLANK($C56),"",IF(ISNUMBER($DA56),$DA56+ROW($B56)/1000,""))</f>
        <v/>
      </c>
      <c r="DF56" s="149" t="str">
        <f aca="false">IF(ISNUMBER($DE56),RANK($DE56,$DE$9:$DE$508,1),"")</f>
        <v/>
      </c>
      <c r="DG56" s="149" t="str">
        <f aca="false">IF(ISBLANK($C56),"",$B56)</f>
        <v/>
      </c>
      <c r="DH56" s="149" t="str">
        <f aca="false">IF(ISBLANK($C56),"",$C56)</f>
        <v/>
      </c>
      <c r="DI56" s="149" t="str">
        <f aca="false">IF(ISBLANK($C56),"",$D56)</f>
        <v/>
      </c>
      <c r="DJ56" s="150" t="str">
        <f aca="false">$CX56</f>
        <v/>
      </c>
      <c r="DK56" s="151" t="str">
        <f aca="false">$CW56</f>
        <v/>
      </c>
      <c r="DL56" s="149" t="str">
        <f aca="false">IF(ISBLANK($C56),"",$CZ56)</f>
        <v/>
      </c>
      <c r="DM56" s="152" t="str">
        <f aca="false">IF($DD56&gt;$DC$8,"",VLOOKUP($DD56,$DF$9:$DL$508,7,FALSE()))</f>
        <v/>
      </c>
      <c r="DN56" s="153" t="str">
        <f aca="false">IF($DD56&gt;$DC$8,"",VLOOKUP($DD56,$DF$9:$DL$508,2,FALSE()))</f>
        <v/>
      </c>
      <c r="DO56" s="153" t="str">
        <f aca="false">IF($DD56&gt;$DC$8,"",VLOOKUP($DD56,$DF$9:$DL$508,3,FALSE()))</f>
        <v/>
      </c>
      <c r="DP56" s="153" t="str">
        <f aca="false">IF($DD56&gt;$DC$8,"",VLOOKUP($DD56,$DF$9:$DL$508,4,FALSE()))</f>
        <v/>
      </c>
      <c r="DQ56" s="153" t="str">
        <f aca="false">IF($DD56&gt;$DC$8,"",VLOOKUP($DD56,$DF$9:$DL$508,5,FALSE()))</f>
        <v/>
      </c>
      <c r="DR56" s="154" t="str">
        <f aca="false">IF($DD56&gt;$DC$8,"",VLOOKUP($DD56,$DF$9:$DL$508,6,FALSE()))</f>
        <v/>
      </c>
      <c r="DS56" s="76"/>
    </row>
    <row r="57" customFormat="false" ht="15.75" hidden="false" customHeight="false" outlineLevel="0" collapsed="false">
      <c r="A57" s="9"/>
      <c r="B57" s="78"/>
      <c r="C57" s="79"/>
      <c r="D57" s="170"/>
      <c r="E57" s="178"/>
      <c r="F57" s="172"/>
      <c r="G57" s="173"/>
      <c r="H57" s="173"/>
      <c r="I57" s="179"/>
      <c r="J57" s="176"/>
      <c r="K57" s="86"/>
      <c r="L57" s="87"/>
      <c r="M57" s="88"/>
      <c r="N57" s="176"/>
      <c r="O57" s="176"/>
      <c r="P57" s="178"/>
      <c r="Q57" s="176"/>
      <c r="R57" s="176"/>
      <c r="S57" s="86"/>
      <c r="T57" s="88"/>
      <c r="U57" s="88"/>
      <c r="V57" s="176"/>
      <c r="W57" s="176"/>
      <c r="X57" s="178"/>
      <c r="Y57" s="176"/>
      <c r="Z57" s="177"/>
      <c r="AA57" s="176"/>
      <c r="AB57" s="92"/>
      <c r="AC57" s="93"/>
      <c r="AD57" s="93"/>
      <c r="AE57" s="93"/>
      <c r="AF57" s="93" t="str">
        <f aca="false">IF(ISBLANK($C57),"",IF(E57=Constants!$B$2,TRUE(),IF(E57=Constants!$B$3,FALSE(),TRUE())))</f>
        <v/>
      </c>
      <c r="AG57" s="93" t="str">
        <f aca="false">IF(ISBLANK($C57),"",IF(F57=Constants!$B$2,TRUE(),IF(F57=Constants!$B$3,FALSE(),TRUE())))</f>
        <v/>
      </c>
      <c r="AH57" s="93" t="str">
        <f aca="false">IF(ISBLANK($C57),"",IF(G57=Constants!$B$2,TRUE(),IF(G57=Constants!$B$3,FALSE(),TRUE())))</f>
        <v/>
      </c>
      <c r="AI57" s="93" t="str">
        <f aca="false">IF(ISBLANK($C57),"",IF(AND(ISNUMBER(H57),H57&gt;=0),H57,Constants!$B$24))</f>
        <v/>
      </c>
      <c r="AJ57" s="93" t="str">
        <f aca="false">IF(ISBLANK($C57),"",IF(I57=Constants!$B$2,TRUE(),IF(I57=Constants!$B$3,FALSE(),TRUE())))</f>
        <v/>
      </c>
      <c r="AK57" s="93" t="str">
        <f aca="false">IF(ISBLANK($C57),"",IF(J57=Constants!$B$2,TRUE(),IF(J57=Constants!$B$3,FALSE(),TRUE())))</f>
        <v/>
      </c>
      <c r="AL57" s="93" t="str">
        <f aca="false">IF(ISBLANK($C57),"",IF(K57=Constants!$B$4,TRUE(),IF(K57=Constants!$B$5,FALSE(),COUNTA(L57:P57)&gt;0)))</f>
        <v/>
      </c>
      <c r="AM57" s="95" t="str">
        <f aca="false">IF(ISBLANK($C57),"",IF(ISNUMBER(L57),IF(L57&gt;=0,L57,""),""))</f>
        <v/>
      </c>
      <c r="AN57" s="94" t="str">
        <f aca="false">IF(ISBLANK($C57),"",IF(ISNUMBER(M57),IF(M57&gt;=0,M57,""),""))</f>
        <v/>
      </c>
      <c r="AO57" s="94" t="str">
        <f aca="false">IF(ISBLANK($C57),"",IF(N57=Constants!$B$2,TRUE(),IF(N57=Constants!$B$3,FALSE(),TRUE())))</f>
        <v/>
      </c>
      <c r="AP57" s="93" t="str">
        <f aca="false">IF(ISBLANK($C57),"",IF(ISNUMBER(O57),IF(O57&gt;=0,O57,""),""))</f>
        <v/>
      </c>
      <c r="AQ57" s="93" t="str">
        <f aca="false">IF(ISBLANK($C57),"",IF(P57=Constants!$B$2,TRUE(),IF(P57=Constants!$B$3,FALSE(),FALSE())))</f>
        <v/>
      </c>
      <c r="AR57" s="93" t="str">
        <f aca="false">IF(ISBLANK($C57),"",IF(Q57=Constants!$B$2,TRUE(),IF(Q57=Constants!$B$3,FALSE(),TRUE())))</f>
        <v/>
      </c>
      <c r="AS57" s="93" t="str">
        <f aca="false">IF(ISBLANK($C57),"",IF(R57=Constants!$B$2,TRUE(),IF(R57=Constants!$B$3,FALSE(),TRUE())))</f>
        <v/>
      </c>
      <c r="AT57" s="93" t="str">
        <f aca="false">IF(ISBLANK($C57),"",IF(S57=Constants!$B$4,TRUE(),IF(S57=Constants!$B$5,FALSE(),COUNTA(T57:X57)&gt;0)))</f>
        <v/>
      </c>
      <c r="AU57" s="95" t="str">
        <f aca="false">IF(ISBLANK($C57),"",IF(ISNUMBER(T57),IF(T57&gt;=0,T57,""),""))</f>
        <v/>
      </c>
      <c r="AV57" s="94" t="str">
        <f aca="false">IF(ISBLANK($C57),"",IF(ISNUMBER(U57),IF(U57&gt;=0,U57,""),""))</f>
        <v/>
      </c>
      <c r="AW57" s="94" t="str">
        <f aca="false">IF(ISBLANK($C57),"",IF(V57=Constants!$B$2,TRUE(),IF(V57=Constants!$B$3,FALSE(),TRUE())))</f>
        <v/>
      </c>
      <c r="AX57" s="93" t="str">
        <f aca="false">IF(ISBLANK($C57),"",IF(ISNUMBER(W57),IF(W57&gt;=0,W57,""),""))</f>
        <v/>
      </c>
      <c r="AY57" s="93" t="str">
        <f aca="false">IF(ISBLANK($C57),"",IF(X57=Constants!$B$2,TRUE(),IF(X57=Constants!$B$3,FALSE(),FALSE())))</f>
        <v/>
      </c>
      <c r="AZ57" s="93" t="str">
        <f aca="false">IF(ISBLANK($C57),"",MIN(Constants!$B$25,MAX(0,IF(ISNUMBER(Y57),Y57*60,0)+IF(ISNUMBER(Z57),Z57,0))))</f>
        <v/>
      </c>
      <c r="BA57" s="93" t="str">
        <f aca="false">IF(ISBLANK($C57),"",IF(AA57=Constants!$B$2,TRUE(),IF(AA57=Constants!$B$3,FALSE(),FALSE())))</f>
        <v/>
      </c>
      <c r="BB57" s="92" t="str">
        <f aca="false">IF(ISBLANK($C57),"",AND($AL57,OR($AM57="",$AN57="",AND($AO57,$AP57=""))))</f>
        <v/>
      </c>
      <c r="BC57" s="94" t="str">
        <f aca="false">IF($BX57&lt;&gt;Constants!$B$6,"",IF($AL57,Constants!$B$17*$AN57+Constants!$B$18*IF($AO57,$AP57,Constants!$B$19),Constants!$B$20))</f>
        <v/>
      </c>
      <c r="BD57" s="97" t="str">
        <f aca="false">IF($BX57&lt;&gt;Constants!$B$6,"",Constants!$B$21*ABS($AD$9-IF($AL57,$AM57,0)))</f>
        <v/>
      </c>
      <c r="BE57" s="97" t="str">
        <f aca="false">IF($BX57&lt;&gt;Constants!$B$6,"",IF(AND($AL57,$AQ57,$AO57),Constants!$B$22,0))</f>
        <v/>
      </c>
      <c r="BF57" s="97" t="str">
        <f aca="false">IF($BX57&lt;&gt;Constants!$B$6,"",IF($AL57,($AI57-Constants!$B$24)*Constants!$B$23,0))</f>
        <v/>
      </c>
      <c r="BG57" s="97" t="str">
        <f aca="false">IF($BX57&lt;&gt;Constants!$B$6,"",IF($AK57,0,Constants!$B$12)+IF($AJ57,0,Constants!$B$13)+IF($AH57,0,Constants!$B$14))</f>
        <v/>
      </c>
      <c r="BH57" s="98" t="str">
        <f aca="false">IF($BX57&lt;&gt;Constants!$B$6,"",Constants!$B$16+SUM($BC57:$BG57))</f>
        <v/>
      </c>
      <c r="BI57" s="97" t="str">
        <f aca="false">IF($BX57&lt;&gt;Constants!$B$6,"",$BC57)</f>
        <v/>
      </c>
      <c r="BJ57" s="97" t="str">
        <f aca="false">IF($BX57&lt;&gt;Constants!$B$6,"",$BD57)</f>
        <v/>
      </c>
      <c r="BK57" s="99" t="str">
        <f aca="false">IF($BX57&lt;&gt;Constants!$B$6,"",IF($AL57,$AN57,""))</f>
        <v/>
      </c>
      <c r="BL57" s="93" t="str">
        <f aca="false">IF($BX57&lt;&gt;Constants!$B$6,"",IF(OR($BS57&lt;$BH57,AND($BS57=$BH57,OR($BT57&lt;$BI57,AND($BT57=$BI57,OR($BU57&lt;$BJ57,AND($BU57=$BJ57,AND(ISNUMBER($BV57),OR(NOT(ISNUMBER($BK57)),$BV57&lt;$BK57)))))))),"-&gt;","&lt;-"))</f>
        <v/>
      </c>
      <c r="BM57" s="92" t="str">
        <f aca="false">IF(ISBLANK($C57),"",AND($AT57,OR($AU57="",$AV57="",AND($AW57,$AX57=""))))</f>
        <v/>
      </c>
      <c r="BN57" s="94" t="str">
        <f aca="false">IF($BX57&lt;&gt;Constants!$B$6,"",IF($AT57,Constants!$B$17*$AV57+Constants!$B$18*IF($AW57,$AX57,Constants!$B$19),Constants!$B$20))</f>
        <v/>
      </c>
      <c r="BO57" s="97" t="str">
        <f aca="false">IF($BX57&lt;&gt;Constants!$B$6,"",Constants!$B$21*ABS($AD$9-IF($AT57,$AU57,0)))</f>
        <v/>
      </c>
      <c r="BP57" s="97" t="str">
        <f aca="false">IF($BX57&lt;&gt;Constants!$B$6,"",IF(AND($AT57,$AY57,$AW57),Constants!$B$22,0))</f>
        <v/>
      </c>
      <c r="BQ57" s="97" t="str">
        <f aca="false">IF($BX57&lt;&gt;Constants!$B$6,"",IF($AT57,($AI57-Constants!$B$24)*Constants!$B$23,0))</f>
        <v/>
      </c>
      <c r="BR57" s="97" t="str">
        <f aca="false">IF($BX57&lt;&gt;Constants!$B$6,"",IF($AS57,0,Constants!$B$12)+IF($AR57,0,Constants!$B$13)+IF($AH57,0,Constants!$B$14))</f>
        <v/>
      </c>
      <c r="BS57" s="98" t="str">
        <f aca="false">IF($BX57&lt;&gt;Constants!$B$6,"",Constants!$B$16+SUM($BN57:$BR57))</f>
        <v/>
      </c>
      <c r="BT57" s="97" t="str">
        <f aca="false">IF($BX57&lt;&gt;Constants!$B$6,"",$BN57)</f>
        <v/>
      </c>
      <c r="BU57" s="97" t="str">
        <f aca="false">IF($BX57&lt;&gt;Constants!$B$6,"",$BO57)</f>
        <v/>
      </c>
      <c r="BV57" s="99" t="str">
        <f aca="false">IF($BX57&lt;&gt;Constants!$B$6,"",IF($AT57,$AV57,""))</f>
        <v/>
      </c>
      <c r="BW57" s="93" t="str">
        <f aca="false">IF(ISBLANK($C57),"",IF(ISBLANK($D$7),$BW$5,IF(NOT(ISNUMBER($D$7)),$BW$6,"")))</f>
        <v/>
      </c>
      <c r="BX57" s="93" t="str">
        <f aca="false">IF(ISBLANK($C57),"",IF($BA57,Constants!$B$9,IF(COUNTA($E57:$AA57)=0,Constants!$B$8,IF(NOT($AG57),Constants!$B$7,IF(OR($BW57&lt;&gt;"",$BB57,$BM57),Constants!$B$10,Constants!$B$6)))))</f>
        <v/>
      </c>
      <c r="BY57" s="93" t="str">
        <f aca="false">IF(ISBLANK($C57),"",IF($BX57&lt;&gt;Constants!$B$6,$BX57,Constants!$B$11))</f>
        <v/>
      </c>
      <c r="BZ57" s="97" t="str">
        <f aca="false">IF($BX57&lt;&gt;Constants!$B$6,"",IF($BL57="-&gt;",$BS57,$BH57))</f>
        <v/>
      </c>
      <c r="CA57" s="97" t="str">
        <f aca="false">IF($BX57&lt;&gt;Constants!$B$6,"",IF($AF57,0,Constants!$B$15))</f>
        <v/>
      </c>
      <c r="CB57" s="97" t="str">
        <f aca="false">IF($BX57&lt;&gt;Constants!$B$6,"",((Constants!$B$25-$AZ57)-Constants!$B$25)/Constants!$B$26)</f>
        <v/>
      </c>
      <c r="CC57" s="97" t="str">
        <f aca="false">IF(ISBLANK($C57),"",IF($BX57&lt;&gt;Constants!$B$6,$BX57,SUM($BZ57:$CB57)))</f>
        <v/>
      </c>
      <c r="CD57" s="93" t="str">
        <f aca="false">IF(ISBLANK($C57),"",IF($BX57&lt;&gt;Constants!$B$6,$BX57,RANK($CC57,$CC$9:$CC$508,1)))</f>
        <v/>
      </c>
      <c r="CE57" s="97" t="str">
        <f aca="false">IF($BX57&lt;&gt;Constants!$B$6,"",IF($BL57="-&gt;",$BT57,$BI57))</f>
        <v/>
      </c>
      <c r="CF57" s="93" t="str">
        <f aca="false">IF(ISBLANK($C57),"",IF($BX57&lt;&gt;Constants!$B$6,$BX57,IF(ISNUMBER($CE57),RANK($CE57,$CE$9:$CE$508,1),COUNT($CE$9:$CE$508)+1)))</f>
        <v/>
      </c>
      <c r="CG57" s="97" t="str">
        <f aca="false">IF($BX57&lt;&gt;Constants!$B$6,"",IF($BL57="-&gt;",$BU57,$BJ57))</f>
        <v/>
      </c>
      <c r="CH57" s="93" t="str">
        <f aca="false">IF(ISBLANK($C57),"",IF($BX57&lt;&gt;Constants!$B$6,$BX57,IF(ISNUMBER($CG57),RANK($CG57,$CG$9:$CG$508,1),COUNT($CG$9:$CG$508)+1)))</f>
        <v/>
      </c>
      <c r="CI57" s="97" t="str">
        <f aca="false">IF($BX57&lt;&gt;Constants!$B$6,"",IF($BL57="-&gt;",$BV57,$BK57))</f>
        <v/>
      </c>
      <c r="CJ57" s="93" t="str">
        <f aca="false">IF(ISBLANK($C57),"",IF($BX57&lt;&gt;Constants!$B$6,$BX57,IF(ISNUMBER($CI57),RANK($CI57,$CI$9:$CI$508,1),COUNT($CI$9:$CI$508)+1)))</f>
        <v/>
      </c>
      <c r="CK57" s="97" t="str">
        <f aca="false">IF($BX57&lt;&gt;Constants!$B$6,"",$AI57)</f>
        <v/>
      </c>
      <c r="CL57" s="93" t="str">
        <f aca="false">IF(ISBLANK($C57),"",IF($BX57&lt;&gt;Constants!$B$6,$BX57,IF(ISNUMBER($CK57),RANK($CK57,$CK$9:$CK$508,1),COUNT($CK$9:$CK$508)+1)))</f>
        <v/>
      </c>
      <c r="CM57" s="93" t="str">
        <f aca="false">IF(ISBLANK($C57),"",IF($BX57&lt;&gt;Constants!$B$6,$BX57,COUNTIFS($CD$9:$CD$508,"&lt;"&amp;$CD57)+COUNTIFS($CD$9:$CD$508,$CD57,$CF$9:$CF$508,"&lt;"&amp;$CF57)+COUNTIFS($CD$9:$CD$508,$CD57,$CF$9:$CF$508,$CF57,$CH$9:$CH$508,"&lt;"&amp;$CH57)+COUNTIFS($CD$9:$CD$508,$CD57,$CF$9:$CF$508,$CF57,$CH$9:$CH$508,$CH57,$CJ$9:$CJ$508,"&lt;"&amp;$CJ57)+COUNTIFS($CD$9:$CD$508,$CD57,$CF$9:$CF$508,$CF57,$CH$9:$CH$508,$CH57,$CJ$9:$CJ$508,$CJ57,$CL$9:$CL$508,"&lt;"&amp;$CL57)+1))</f>
        <v/>
      </c>
      <c r="CN57" s="93" t="str">
        <f aca="false">IF(ISBLANK($C57),"",IF($BX57&lt;&gt;Constants!$B$6,$BX57,$CD57-$CM57))</f>
        <v/>
      </c>
      <c r="CO57" s="100"/>
      <c r="CP57" s="101"/>
      <c r="CQ57" s="102" t="str">
        <f aca="false">IF(ISBLANK($C57),"",IF($BX57=Constants!$B$10,$BW57,""))</f>
        <v/>
      </c>
      <c r="CR57" s="101" t="str">
        <f aca="false">IF(ISBLANK($C57),"",IF($BX57&lt;&gt;Constants!$B$6,"",IF($BL57="-&gt;",2,1)))</f>
        <v/>
      </c>
      <c r="CS57" s="103" t="str">
        <f aca="false">IF(ISBLANK($C57),"",IF($BX57&lt;&gt;Constants!$B$6,"",IF($BL57="-&gt;",$BN57,$BC57)))</f>
        <v/>
      </c>
      <c r="CT57" s="103" t="str">
        <f aca="false">IF(ISBLANK($C57),"",IF($BX57&lt;&gt;Constants!$B$6,"",IF($BL57="-&gt;",$BO57,$BD57)))</f>
        <v/>
      </c>
      <c r="CU57" s="103" t="str">
        <f aca="false">IF(ISBLANK($C57),"",IF($BX57&lt;&gt;Constants!$B$6,"",IF($BL57="-&gt;",$BP57+$BQ57,$BE57+$BF57)+$CB57))</f>
        <v/>
      </c>
      <c r="CV57" s="103" t="str">
        <f aca="false">IF(ISBLANK($C57),"",IF($BX57&lt;&gt;Constants!$B$6,"",IF($BL57="-&gt;",$BR57,$BG57)+$CA57))</f>
        <v/>
      </c>
      <c r="CW57" s="104" t="str">
        <f aca="false">IF(ISBLANK($C57),"",IF($BX57&lt;&gt;Constants!$B$6,$BX57,$CC57))</f>
        <v/>
      </c>
      <c r="CX57" s="105" t="str">
        <f aca="false">IF(ISBLANK($C57),"",$BY57)</f>
        <v/>
      </c>
      <c r="CY57" s="106" t="str">
        <f aca="false">IF(ISBLANK($C57),"",$CN57)</f>
        <v/>
      </c>
      <c r="CZ57" s="106" t="str">
        <f aca="false">IF(ISBLANK($C57),"",$CM57)</f>
        <v/>
      </c>
      <c r="DA57" s="107" t="str">
        <f aca="false">IF(ISBLANK($C57),"",IFERROR(_xlfn.SWITCH($CZ57,Constants!$B$9,COUNTA($C$9:$C$508)+2,Constants!$B$8,COUNTA($C$9:$C$508)+1,Constants!$B$7,COUNTA($C$9:$C$508)),$CZ57))</f>
        <v/>
      </c>
      <c r="DB57" s="9"/>
      <c r="DC57" s="108" t="n">
        <f aca="false">IF(OR(ISNUMBER($CZ57),$CZ57=Constants!$B$9,$CZ57=Constants!$B$7,$CZ57=Constants!$B$8),1,0)</f>
        <v>0</v>
      </c>
      <c r="DD57" s="108" t="n">
        <v>49</v>
      </c>
      <c r="DE57" s="108" t="str">
        <f aca="false">IF(ISBLANK($C57),"",IF(ISNUMBER($DA57),$DA57+ROW($B57)/1000,""))</f>
        <v/>
      </c>
      <c r="DF57" s="108" t="str">
        <f aca="false">IF(ISNUMBER($DE57),RANK($DE57,$DE$9:$DE$508,1),"")</f>
        <v/>
      </c>
      <c r="DG57" s="108" t="str">
        <f aca="false">IF(ISBLANK($C57),"",$B57)</f>
        <v/>
      </c>
      <c r="DH57" s="108" t="str">
        <f aca="false">IF(ISBLANK($C57),"",$C57)</f>
        <v/>
      </c>
      <c r="DI57" s="108" t="str">
        <f aca="false">IF(ISBLANK($C57),"",$D57)</f>
        <v/>
      </c>
      <c r="DJ57" s="109" t="str">
        <f aca="false">$CX57</f>
        <v/>
      </c>
      <c r="DK57" s="110" t="str">
        <f aca="false">$CW57</f>
        <v/>
      </c>
      <c r="DL57" s="108" t="str">
        <f aca="false">IF(ISBLANK($C57),"",$CZ57)</f>
        <v/>
      </c>
      <c r="DM57" s="111" t="str">
        <f aca="false">IF($DD57&gt;$DC$8,"",VLOOKUP($DD57,$DF$9:$DL$508,7,FALSE()))</f>
        <v/>
      </c>
      <c r="DN57" s="112" t="str">
        <f aca="false">IF($DD57&gt;$DC$8,"",VLOOKUP($DD57,$DF$9:$DL$508,2,FALSE()))</f>
        <v/>
      </c>
      <c r="DO57" s="112" t="str">
        <f aca="false">IF($DD57&gt;$DC$8,"",VLOOKUP($DD57,$DF$9:$DL$508,3,FALSE()))</f>
        <v/>
      </c>
      <c r="DP57" s="112" t="str">
        <f aca="false">IF($DD57&gt;$DC$8,"",VLOOKUP($DD57,$DF$9:$DL$508,4,FALSE()))</f>
        <v/>
      </c>
      <c r="DQ57" s="112" t="str">
        <f aca="false">IF($DD57&gt;$DC$8,"",VLOOKUP($DD57,$DF$9:$DL$508,5,FALSE()))</f>
        <v/>
      </c>
      <c r="DR57" s="113" t="str">
        <f aca="false">IF($DD57&gt;$DC$8,"",VLOOKUP($DD57,$DF$9:$DL$508,6,FALSE()))</f>
        <v/>
      </c>
      <c r="DS57" s="76"/>
    </row>
    <row r="58" customFormat="false" ht="15.75" hidden="false" customHeight="false" outlineLevel="0" collapsed="false">
      <c r="A58" s="9"/>
      <c r="B58" s="78"/>
      <c r="C58" s="79"/>
      <c r="D58" s="170"/>
      <c r="E58" s="178"/>
      <c r="F58" s="172"/>
      <c r="G58" s="173"/>
      <c r="H58" s="173"/>
      <c r="I58" s="179"/>
      <c r="J58" s="176"/>
      <c r="K58" s="86"/>
      <c r="L58" s="87"/>
      <c r="M58" s="88"/>
      <c r="N58" s="176"/>
      <c r="O58" s="176"/>
      <c r="P58" s="178"/>
      <c r="Q58" s="176"/>
      <c r="R58" s="176"/>
      <c r="S58" s="86"/>
      <c r="T58" s="88"/>
      <c r="U58" s="88"/>
      <c r="V58" s="176"/>
      <c r="W58" s="176"/>
      <c r="X58" s="178"/>
      <c r="Y58" s="176"/>
      <c r="Z58" s="177"/>
      <c r="AA58" s="176"/>
      <c r="AB58" s="92"/>
      <c r="AC58" s="93"/>
      <c r="AD58" s="93"/>
      <c r="AE58" s="93"/>
      <c r="AF58" s="93" t="str">
        <f aca="false">IF(ISBLANK($C58),"",IF(E58=Constants!$B$2,TRUE(),IF(E58=Constants!$B$3,FALSE(),TRUE())))</f>
        <v/>
      </c>
      <c r="AG58" s="93" t="str">
        <f aca="false">IF(ISBLANK($C58),"",IF(F58=Constants!$B$2,TRUE(),IF(F58=Constants!$B$3,FALSE(),TRUE())))</f>
        <v/>
      </c>
      <c r="AH58" s="93" t="str">
        <f aca="false">IF(ISBLANK($C58),"",IF(G58=Constants!$B$2,TRUE(),IF(G58=Constants!$B$3,FALSE(),TRUE())))</f>
        <v/>
      </c>
      <c r="AI58" s="93" t="str">
        <f aca="false">IF(ISBLANK($C58),"",IF(AND(ISNUMBER(H58),H58&gt;=0),H58,Constants!$B$24))</f>
        <v/>
      </c>
      <c r="AJ58" s="93" t="str">
        <f aca="false">IF(ISBLANK($C58),"",IF(I58=Constants!$B$2,TRUE(),IF(I58=Constants!$B$3,FALSE(),TRUE())))</f>
        <v/>
      </c>
      <c r="AK58" s="93" t="str">
        <f aca="false">IF(ISBLANK($C58),"",IF(J58=Constants!$B$2,TRUE(),IF(J58=Constants!$B$3,FALSE(),TRUE())))</f>
        <v/>
      </c>
      <c r="AL58" s="93" t="str">
        <f aca="false">IF(ISBLANK($C58),"",IF(K58=Constants!$B$4,TRUE(),IF(K58=Constants!$B$5,FALSE(),COUNTA(L58:P58)&gt;0)))</f>
        <v/>
      </c>
      <c r="AM58" s="95" t="str">
        <f aca="false">IF(ISBLANK($C58),"",IF(ISNUMBER(L58),IF(L58&gt;=0,L58,""),""))</f>
        <v/>
      </c>
      <c r="AN58" s="94" t="str">
        <f aca="false">IF(ISBLANK($C58),"",IF(ISNUMBER(M58),IF(M58&gt;=0,M58,""),""))</f>
        <v/>
      </c>
      <c r="AO58" s="94" t="str">
        <f aca="false">IF(ISBLANK($C58),"",IF(N58=Constants!$B$2,TRUE(),IF(N58=Constants!$B$3,FALSE(),TRUE())))</f>
        <v/>
      </c>
      <c r="AP58" s="93" t="str">
        <f aca="false">IF(ISBLANK($C58),"",IF(ISNUMBER(O58),IF(O58&gt;=0,O58,""),""))</f>
        <v/>
      </c>
      <c r="AQ58" s="93" t="str">
        <f aca="false">IF(ISBLANK($C58),"",IF(P58=Constants!$B$2,TRUE(),IF(P58=Constants!$B$3,FALSE(),FALSE())))</f>
        <v/>
      </c>
      <c r="AR58" s="93" t="str">
        <f aca="false">IF(ISBLANK($C58),"",IF(Q58=Constants!$B$2,TRUE(),IF(Q58=Constants!$B$3,FALSE(),TRUE())))</f>
        <v/>
      </c>
      <c r="AS58" s="93" t="str">
        <f aca="false">IF(ISBLANK($C58),"",IF(R58=Constants!$B$2,TRUE(),IF(R58=Constants!$B$3,FALSE(),TRUE())))</f>
        <v/>
      </c>
      <c r="AT58" s="93" t="str">
        <f aca="false">IF(ISBLANK($C58),"",IF(S58=Constants!$B$4,TRUE(),IF(S58=Constants!$B$5,FALSE(),COUNTA(T58:X58)&gt;0)))</f>
        <v/>
      </c>
      <c r="AU58" s="95" t="str">
        <f aca="false">IF(ISBLANK($C58),"",IF(ISNUMBER(T58),IF(T58&gt;=0,T58,""),""))</f>
        <v/>
      </c>
      <c r="AV58" s="94" t="str">
        <f aca="false">IF(ISBLANK($C58),"",IF(ISNUMBER(U58),IF(U58&gt;=0,U58,""),""))</f>
        <v/>
      </c>
      <c r="AW58" s="94" t="str">
        <f aca="false">IF(ISBLANK($C58),"",IF(V58=Constants!$B$2,TRUE(),IF(V58=Constants!$B$3,FALSE(),TRUE())))</f>
        <v/>
      </c>
      <c r="AX58" s="93" t="str">
        <f aca="false">IF(ISBLANK($C58),"",IF(ISNUMBER(W58),IF(W58&gt;=0,W58,""),""))</f>
        <v/>
      </c>
      <c r="AY58" s="93" t="str">
        <f aca="false">IF(ISBLANK($C58),"",IF(X58=Constants!$B$2,TRUE(),IF(X58=Constants!$B$3,FALSE(),FALSE())))</f>
        <v/>
      </c>
      <c r="AZ58" s="93" t="str">
        <f aca="false">IF(ISBLANK($C58),"",MIN(Constants!$B$25,MAX(0,IF(ISNUMBER(Y58),Y58*60,0)+IF(ISNUMBER(Z58),Z58,0))))</f>
        <v/>
      </c>
      <c r="BA58" s="93" t="str">
        <f aca="false">IF(ISBLANK($C58),"",IF(AA58=Constants!$B$2,TRUE(),IF(AA58=Constants!$B$3,FALSE(),FALSE())))</f>
        <v/>
      </c>
      <c r="BB58" s="92" t="str">
        <f aca="false">IF(ISBLANK($C58),"",AND($AL58,OR($AM58="",$AN58="",AND($AO58,$AP58=""))))</f>
        <v/>
      </c>
      <c r="BC58" s="94" t="str">
        <f aca="false">IF($BX58&lt;&gt;Constants!$B$6,"",IF($AL58,Constants!$B$17*$AN58+Constants!$B$18*IF($AO58,$AP58,Constants!$B$19),Constants!$B$20))</f>
        <v/>
      </c>
      <c r="BD58" s="97" t="str">
        <f aca="false">IF($BX58&lt;&gt;Constants!$B$6,"",Constants!$B$21*ABS($AD$9-IF($AL58,$AM58,0)))</f>
        <v/>
      </c>
      <c r="BE58" s="97" t="str">
        <f aca="false">IF($BX58&lt;&gt;Constants!$B$6,"",IF(AND($AL58,$AQ58,$AO58),Constants!$B$22,0))</f>
        <v/>
      </c>
      <c r="BF58" s="97" t="str">
        <f aca="false">IF($BX58&lt;&gt;Constants!$B$6,"",IF($AL58,($AI58-Constants!$B$24)*Constants!$B$23,0))</f>
        <v/>
      </c>
      <c r="BG58" s="97" t="str">
        <f aca="false">IF($BX58&lt;&gt;Constants!$B$6,"",IF($AK58,0,Constants!$B$12)+IF($AJ58,0,Constants!$B$13)+IF($AH58,0,Constants!$B$14))</f>
        <v/>
      </c>
      <c r="BH58" s="98" t="str">
        <f aca="false">IF($BX58&lt;&gt;Constants!$B$6,"",Constants!$B$16+SUM($BC58:$BG58))</f>
        <v/>
      </c>
      <c r="BI58" s="97" t="str">
        <f aca="false">IF($BX58&lt;&gt;Constants!$B$6,"",$BC58)</f>
        <v/>
      </c>
      <c r="BJ58" s="97" t="str">
        <f aca="false">IF($BX58&lt;&gt;Constants!$B$6,"",$BD58)</f>
        <v/>
      </c>
      <c r="BK58" s="99" t="str">
        <f aca="false">IF($BX58&lt;&gt;Constants!$B$6,"",IF($AL58,$AN58,""))</f>
        <v/>
      </c>
      <c r="BL58" s="93" t="str">
        <f aca="false">IF($BX58&lt;&gt;Constants!$B$6,"",IF(OR($BS58&lt;$BH58,AND($BS58=$BH58,OR($BT58&lt;$BI58,AND($BT58=$BI58,OR($BU58&lt;$BJ58,AND($BU58=$BJ58,AND(ISNUMBER($BV58),OR(NOT(ISNUMBER($BK58)),$BV58&lt;$BK58)))))))),"-&gt;","&lt;-"))</f>
        <v/>
      </c>
      <c r="BM58" s="92" t="str">
        <f aca="false">IF(ISBLANK($C58),"",AND($AT58,OR($AU58="",$AV58="",AND($AW58,$AX58=""))))</f>
        <v/>
      </c>
      <c r="BN58" s="94" t="str">
        <f aca="false">IF($BX58&lt;&gt;Constants!$B$6,"",IF($AT58,Constants!$B$17*$AV58+Constants!$B$18*IF($AW58,$AX58,Constants!$B$19),Constants!$B$20))</f>
        <v/>
      </c>
      <c r="BO58" s="97" t="str">
        <f aca="false">IF($BX58&lt;&gt;Constants!$B$6,"",Constants!$B$21*ABS($AD$9-IF($AT58,$AU58,0)))</f>
        <v/>
      </c>
      <c r="BP58" s="97" t="str">
        <f aca="false">IF($BX58&lt;&gt;Constants!$B$6,"",IF(AND($AT58,$AY58,$AW58),Constants!$B$22,0))</f>
        <v/>
      </c>
      <c r="BQ58" s="97" t="str">
        <f aca="false">IF($BX58&lt;&gt;Constants!$B$6,"",IF($AT58,($AI58-Constants!$B$24)*Constants!$B$23,0))</f>
        <v/>
      </c>
      <c r="BR58" s="97" t="str">
        <f aca="false">IF($BX58&lt;&gt;Constants!$B$6,"",IF($AS58,0,Constants!$B$12)+IF($AR58,0,Constants!$B$13)+IF($AH58,0,Constants!$B$14))</f>
        <v/>
      </c>
      <c r="BS58" s="98" t="str">
        <f aca="false">IF($BX58&lt;&gt;Constants!$B$6,"",Constants!$B$16+SUM($BN58:$BR58))</f>
        <v/>
      </c>
      <c r="BT58" s="97" t="str">
        <f aca="false">IF($BX58&lt;&gt;Constants!$B$6,"",$BN58)</f>
        <v/>
      </c>
      <c r="BU58" s="97" t="str">
        <f aca="false">IF($BX58&lt;&gt;Constants!$B$6,"",$BO58)</f>
        <v/>
      </c>
      <c r="BV58" s="99" t="str">
        <f aca="false">IF($BX58&lt;&gt;Constants!$B$6,"",IF($AT58,$AV58,""))</f>
        <v/>
      </c>
      <c r="BW58" s="93" t="str">
        <f aca="false">IF(ISBLANK($C58),"",IF(ISBLANK($D$7),$BW$5,IF(NOT(ISNUMBER($D$7)),$BW$6,"")))</f>
        <v/>
      </c>
      <c r="BX58" s="93" t="str">
        <f aca="false">IF(ISBLANK($C58),"",IF($BA58,Constants!$B$9,IF(COUNTA($E58:$AA58)=0,Constants!$B$8,IF(NOT($AG58),Constants!$B$7,IF(OR($BW58&lt;&gt;"",$BB58,$BM58),Constants!$B$10,Constants!$B$6)))))</f>
        <v/>
      </c>
      <c r="BY58" s="93" t="str">
        <f aca="false">IF(ISBLANK($C58),"",IF($BX58&lt;&gt;Constants!$B$6,$BX58,Constants!$B$11))</f>
        <v/>
      </c>
      <c r="BZ58" s="97" t="str">
        <f aca="false">IF($BX58&lt;&gt;Constants!$B$6,"",IF($BL58="-&gt;",$BS58,$BH58))</f>
        <v/>
      </c>
      <c r="CA58" s="97" t="str">
        <f aca="false">IF($BX58&lt;&gt;Constants!$B$6,"",IF($AF58,0,Constants!$B$15))</f>
        <v/>
      </c>
      <c r="CB58" s="97" t="str">
        <f aca="false">IF($BX58&lt;&gt;Constants!$B$6,"",((Constants!$B$25-$AZ58)-Constants!$B$25)/Constants!$B$26)</f>
        <v/>
      </c>
      <c r="CC58" s="97" t="str">
        <f aca="false">IF(ISBLANK($C58),"",IF($BX58&lt;&gt;Constants!$B$6,$BX58,SUM($BZ58:$CB58)))</f>
        <v/>
      </c>
      <c r="CD58" s="93" t="str">
        <f aca="false">IF(ISBLANK($C58),"",IF($BX58&lt;&gt;Constants!$B$6,$BX58,RANK($CC58,$CC$9:$CC$508,1)))</f>
        <v/>
      </c>
      <c r="CE58" s="97" t="str">
        <f aca="false">IF($BX58&lt;&gt;Constants!$B$6,"",IF($BL58="-&gt;",$BT58,$BI58))</f>
        <v/>
      </c>
      <c r="CF58" s="93" t="str">
        <f aca="false">IF(ISBLANK($C58),"",IF($BX58&lt;&gt;Constants!$B$6,$BX58,IF(ISNUMBER($CE58),RANK($CE58,$CE$9:$CE$508,1),COUNT($CE$9:$CE$508)+1)))</f>
        <v/>
      </c>
      <c r="CG58" s="97" t="str">
        <f aca="false">IF($BX58&lt;&gt;Constants!$B$6,"",IF($BL58="-&gt;",$BU58,$BJ58))</f>
        <v/>
      </c>
      <c r="CH58" s="93" t="str">
        <f aca="false">IF(ISBLANK($C58),"",IF($BX58&lt;&gt;Constants!$B$6,$BX58,IF(ISNUMBER($CG58),RANK($CG58,$CG$9:$CG$508,1),COUNT($CG$9:$CG$508)+1)))</f>
        <v/>
      </c>
      <c r="CI58" s="97" t="str">
        <f aca="false">IF($BX58&lt;&gt;Constants!$B$6,"",IF($BL58="-&gt;",$BV58,$BK58))</f>
        <v/>
      </c>
      <c r="CJ58" s="93" t="str">
        <f aca="false">IF(ISBLANK($C58),"",IF($BX58&lt;&gt;Constants!$B$6,$BX58,IF(ISNUMBER($CI58),RANK($CI58,$CI$9:$CI$508,1),COUNT($CI$9:$CI$508)+1)))</f>
        <v/>
      </c>
      <c r="CK58" s="97" t="str">
        <f aca="false">IF($BX58&lt;&gt;Constants!$B$6,"",$AI58)</f>
        <v/>
      </c>
      <c r="CL58" s="93" t="str">
        <f aca="false">IF(ISBLANK($C58),"",IF($BX58&lt;&gt;Constants!$B$6,$BX58,IF(ISNUMBER($CK58),RANK($CK58,$CK$9:$CK$508,1),COUNT($CK$9:$CK$508)+1)))</f>
        <v/>
      </c>
      <c r="CM58" s="93" t="str">
        <f aca="false">IF(ISBLANK($C58),"",IF($BX58&lt;&gt;Constants!$B$6,$BX58,COUNTIFS($CD$9:$CD$508,"&lt;"&amp;$CD58)+COUNTIFS($CD$9:$CD$508,$CD58,$CF$9:$CF$508,"&lt;"&amp;$CF58)+COUNTIFS($CD$9:$CD$508,$CD58,$CF$9:$CF$508,$CF58,$CH$9:$CH$508,"&lt;"&amp;$CH58)+COUNTIFS($CD$9:$CD$508,$CD58,$CF$9:$CF$508,$CF58,$CH$9:$CH$508,$CH58,$CJ$9:$CJ$508,"&lt;"&amp;$CJ58)+COUNTIFS($CD$9:$CD$508,$CD58,$CF$9:$CF$508,$CF58,$CH$9:$CH$508,$CH58,$CJ$9:$CJ$508,$CJ58,$CL$9:$CL$508,"&lt;"&amp;$CL58)+1))</f>
        <v/>
      </c>
      <c r="CN58" s="93" t="str">
        <f aca="false">IF(ISBLANK($C58),"",IF($BX58&lt;&gt;Constants!$B$6,$BX58,$CD58-$CM58))</f>
        <v/>
      </c>
      <c r="CO58" s="100"/>
      <c r="CP58" s="101"/>
      <c r="CQ58" s="102" t="str">
        <f aca="false">IF(ISBLANK($C58),"",IF($BX58=Constants!$B$10,$BW58,""))</f>
        <v/>
      </c>
      <c r="CR58" s="101" t="str">
        <f aca="false">IF(ISBLANK($C58),"",IF($BX58&lt;&gt;Constants!$B$6,"",IF($BL58="-&gt;",2,1)))</f>
        <v/>
      </c>
      <c r="CS58" s="103" t="str">
        <f aca="false">IF(ISBLANK($C58),"",IF($BX58&lt;&gt;Constants!$B$6,"",IF($BL58="-&gt;",$BN58,$BC58)))</f>
        <v/>
      </c>
      <c r="CT58" s="103" t="str">
        <f aca="false">IF(ISBLANK($C58),"",IF($BX58&lt;&gt;Constants!$B$6,"",IF($BL58="-&gt;",$BO58,$BD58)))</f>
        <v/>
      </c>
      <c r="CU58" s="103" t="str">
        <f aca="false">IF(ISBLANK($C58),"",IF($BX58&lt;&gt;Constants!$B$6,"",IF($BL58="-&gt;",$BP58+$BQ58,$BE58+$BF58)+$CB58))</f>
        <v/>
      </c>
      <c r="CV58" s="103" t="str">
        <f aca="false">IF(ISBLANK($C58),"",IF($BX58&lt;&gt;Constants!$B$6,"",IF($BL58="-&gt;",$BR58,$BG58)+$CA58))</f>
        <v/>
      </c>
      <c r="CW58" s="104" t="str">
        <f aca="false">IF(ISBLANK($C58),"",IF($BX58&lt;&gt;Constants!$B$6,$BX58,$CC58))</f>
        <v/>
      </c>
      <c r="CX58" s="105" t="str">
        <f aca="false">IF(ISBLANK($C58),"",$BY58)</f>
        <v/>
      </c>
      <c r="CY58" s="106" t="str">
        <f aca="false">IF(ISBLANK($C58),"",$CN58)</f>
        <v/>
      </c>
      <c r="CZ58" s="106" t="str">
        <f aca="false">IF(ISBLANK($C58),"",$CM58)</f>
        <v/>
      </c>
      <c r="DA58" s="107" t="str">
        <f aca="false">IF(ISBLANK($C58),"",IFERROR(_xlfn.SWITCH($CZ58,Constants!$B$9,COUNTA($C$9:$C$508)+2,Constants!$B$8,COUNTA($C$9:$C$508)+1,Constants!$B$7,COUNTA($C$9:$C$508)),$CZ58))</f>
        <v/>
      </c>
      <c r="DB58" s="9"/>
      <c r="DC58" s="108" t="n">
        <f aca="false">IF(OR(ISNUMBER($CZ58),$CZ58=Constants!$B$9,$CZ58=Constants!$B$7,$CZ58=Constants!$B$8),1,0)</f>
        <v>0</v>
      </c>
      <c r="DD58" s="108" t="n">
        <v>50</v>
      </c>
      <c r="DE58" s="108" t="str">
        <f aca="false">IF(ISBLANK($C58),"",IF(ISNUMBER($DA58),$DA58+ROW($B58)/1000,""))</f>
        <v/>
      </c>
      <c r="DF58" s="108" t="str">
        <f aca="false">IF(ISNUMBER($DE58),RANK($DE58,$DE$9:$DE$508,1),"")</f>
        <v/>
      </c>
      <c r="DG58" s="108" t="str">
        <f aca="false">IF(ISBLANK($C58),"",$B58)</f>
        <v/>
      </c>
      <c r="DH58" s="108" t="str">
        <f aca="false">IF(ISBLANK($C58),"",$C58)</f>
        <v/>
      </c>
      <c r="DI58" s="108" t="str">
        <f aca="false">IF(ISBLANK($C58),"",$D58)</f>
        <v/>
      </c>
      <c r="DJ58" s="109" t="str">
        <f aca="false">$CX58</f>
        <v/>
      </c>
      <c r="DK58" s="110" t="str">
        <f aca="false">$CW58</f>
        <v/>
      </c>
      <c r="DL58" s="108" t="str">
        <f aca="false">IF(ISBLANK($C58),"",$CZ58)</f>
        <v/>
      </c>
      <c r="DM58" s="111" t="str">
        <f aca="false">IF($DD58&gt;$DC$8,"",VLOOKUP($DD58,$DF$9:$DL$508,7,FALSE()))</f>
        <v/>
      </c>
      <c r="DN58" s="112" t="str">
        <f aca="false">IF($DD58&gt;$DC$8,"",VLOOKUP($DD58,$DF$9:$DL$508,2,FALSE()))</f>
        <v/>
      </c>
      <c r="DO58" s="112" t="str">
        <f aca="false">IF($DD58&gt;$DC$8,"",VLOOKUP($DD58,$DF$9:$DL$508,3,FALSE()))</f>
        <v/>
      </c>
      <c r="DP58" s="112" t="str">
        <f aca="false">IF($DD58&gt;$DC$8,"",VLOOKUP($DD58,$DF$9:$DL$508,4,FALSE()))</f>
        <v/>
      </c>
      <c r="DQ58" s="112" t="str">
        <f aca="false">IF($DD58&gt;$DC$8,"",VLOOKUP($DD58,$DF$9:$DL$508,5,FALSE()))</f>
        <v/>
      </c>
      <c r="DR58" s="113" t="str">
        <f aca="false">IF($DD58&gt;$DC$8,"",VLOOKUP($DD58,$DF$9:$DL$508,6,FALSE()))</f>
        <v/>
      </c>
      <c r="DS58" s="76"/>
    </row>
    <row r="59" customFormat="false" ht="15.75" hidden="false" customHeight="false" outlineLevel="0" collapsed="false">
      <c r="A59" s="9"/>
      <c r="B59" s="78"/>
      <c r="C59" s="79"/>
      <c r="D59" s="170"/>
      <c r="E59" s="178"/>
      <c r="F59" s="172"/>
      <c r="G59" s="173"/>
      <c r="H59" s="173"/>
      <c r="I59" s="179"/>
      <c r="J59" s="176"/>
      <c r="K59" s="86"/>
      <c r="L59" s="87"/>
      <c r="M59" s="88"/>
      <c r="N59" s="176"/>
      <c r="O59" s="176"/>
      <c r="P59" s="178"/>
      <c r="Q59" s="176"/>
      <c r="R59" s="176"/>
      <c r="S59" s="86"/>
      <c r="T59" s="88"/>
      <c r="U59" s="88"/>
      <c r="V59" s="176"/>
      <c r="W59" s="176"/>
      <c r="X59" s="178"/>
      <c r="Y59" s="176"/>
      <c r="Z59" s="177"/>
      <c r="AA59" s="176"/>
      <c r="AB59" s="92"/>
      <c r="AC59" s="93"/>
      <c r="AD59" s="93"/>
      <c r="AE59" s="93"/>
      <c r="AF59" s="93" t="str">
        <f aca="false">IF(ISBLANK($C59),"",IF(E59=Constants!$B$2,TRUE(),IF(E59=Constants!$B$3,FALSE(),TRUE())))</f>
        <v/>
      </c>
      <c r="AG59" s="93" t="str">
        <f aca="false">IF(ISBLANK($C59),"",IF(F59=Constants!$B$2,TRUE(),IF(F59=Constants!$B$3,FALSE(),TRUE())))</f>
        <v/>
      </c>
      <c r="AH59" s="93" t="str">
        <f aca="false">IF(ISBLANK($C59),"",IF(G59=Constants!$B$2,TRUE(),IF(G59=Constants!$B$3,FALSE(),TRUE())))</f>
        <v/>
      </c>
      <c r="AI59" s="93" t="str">
        <f aca="false">IF(ISBLANK($C59),"",IF(AND(ISNUMBER(H59),H59&gt;=0),H59,Constants!$B$24))</f>
        <v/>
      </c>
      <c r="AJ59" s="93" t="str">
        <f aca="false">IF(ISBLANK($C59),"",IF(I59=Constants!$B$2,TRUE(),IF(I59=Constants!$B$3,FALSE(),TRUE())))</f>
        <v/>
      </c>
      <c r="AK59" s="93" t="str">
        <f aca="false">IF(ISBLANK($C59),"",IF(J59=Constants!$B$2,TRUE(),IF(J59=Constants!$B$3,FALSE(),TRUE())))</f>
        <v/>
      </c>
      <c r="AL59" s="93" t="str">
        <f aca="false">IF(ISBLANK($C59),"",IF(K59=Constants!$B$4,TRUE(),IF(K59=Constants!$B$5,FALSE(),COUNTA(L59:P59)&gt;0)))</f>
        <v/>
      </c>
      <c r="AM59" s="95" t="str">
        <f aca="false">IF(ISBLANK($C59),"",IF(ISNUMBER(L59),IF(L59&gt;=0,L59,""),""))</f>
        <v/>
      </c>
      <c r="AN59" s="94" t="str">
        <f aca="false">IF(ISBLANK($C59),"",IF(ISNUMBER(M59),IF(M59&gt;=0,M59,""),""))</f>
        <v/>
      </c>
      <c r="AO59" s="94" t="str">
        <f aca="false">IF(ISBLANK($C59),"",IF(N59=Constants!$B$2,TRUE(),IF(N59=Constants!$B$3,FALSE(),TRUE())))</f>
        <v/>
      </c>
      <c r="AP59" s="93" t="str">
        <f aca="false">IF(ISBLANK($C59),"",IF(ISNUMBER(O59),IF(O59&gt;=0,O59,""),""))</f>
        <v/>
      </c>
      <c r="AQ59" s="93" t="str">
        <f aca="false">IF(ISBLANK($C59),"",IF(P59=Constants!$B$2,TRUE(),IF(P59=Constants!$B$3,FALSE(),FALSE())))</f>
        <v/>
      </c>
      <c r="AR59" s="93" t="str">
        <f aca="false">IF(ISBLANK($C59),"",IF(Q59=Constants!$B$2,TRUE(),IF(Q59=Constants!$B$3,FALSE(),TRUE())))</f>
        <v/>
      </c>
      <c r="AS59" s="93" t="str">
        <f aca="false">IF(ISBLANK($C59),"",IF(R59=Constants!$B$2,TRUE(),IF(R59=Constants!$B$3,FALSE(),TRUE())))</f>
        <v/>
      </c>
      <c r="AT59" s="93" t="str">
        <f aca="false">IF(ISBLANK($C59),"",IF(S59=Constants!$B$4,TRUE(),IF(S59=Constants!$B$5,FALSE(),COUNTA(T59:X59)&gt;0)))</f>
        <v/>
      </c>
      <c r="AU59" s="95" t="str">
        <f aca="false">IF(ISBLANK($C59),"",IF(ISNUMBER(T59),IF(T59&gt;=0,T59,""),""))</f>
        <v/>
      </c>
      <c r="AV59" s="94" t="str">
        <f aca="false">IF(ISBLANK($C59),"",IF(ISNUMBER(U59),IF(U59&gt;=0,U59,""),""))</f>
        <v/>
      </c>
      <c r="AW59" s="94" t="str">
        <f aca="false">IF(ISBLANK($C59),"",IF(V59=Constants!$B$2,TRUE(),IF(V59=Constants!$B$3,FALSE(),TRUE())))</f>
        <v/>
      </c>
      <c r="AX59" s="93" t="str">
        <f aca="false">IF(ISBLANK($C59),"",IF(ISNUMBER(W59),IF(W59&gt;=0,W59,""),""))</f>
        <v/>
      </c>
      <c r="AY59" s="93" t="str">
        <f aca="false">IF(ISBLANK($C59),"",IF(X59=Constants!$B$2,TRUE(),IF(X59=Constants!$B$3,FALSE(),FALSE())))</f>
        <v/>
      </c>
      <c r="AZ59" s="93" t="str">
        <f aca="false">IF(ISBLANK($C59),"",MIN(Constants!$B$25,MAX(0,IF(ISNUMBER(Y59),Y59*60,0)+IF(ISNUMBER(Z59),Z59,0))))</f>
        <v/>
      </c>
      <c r="BA59" s="93" t="str">
        <f aca="false">IF(ISBLANK($C59),"",IF(AA59=Constants!$B$2,TRUE(),IF(AA59=Constants!$B$3,FALSE(),FALSE())))</f>
        <v/>
      </c>
      <c r="BB59" s="92" t="str">
        <f aca="false">IF(ISBLANK($C59),"",AND($AL59,OR($AM59="",$AN59="",AND($AO59,$AP59=""))))</f>
        <v/>
      </c>
      <c r="BC59" s="94" t="str">
        <f aca="false">IF($BX59&lt;&gt;Constants!$B$6,"",IF($AL59,Constants!$B$17*$AN59+Constants!$B$18*IF($AO59,$AP59,Constants!$B$19),Constants!$B$20))</f>
        <v/>
      </c>
      <c r="BD59" s="97" t="str">
        <f aca="false">IF($BX59&lt;&gt;Constants!$B$6,"",Constants!$B$21*ABS($AD$9-IF($AL59,$AM59,0)))</f>
        <v/>
      </c>
      <c r="BE59" s="97" t="str">
        <f aca="false">IF($BX59&lt;&gt;Constants!$B$6,"",IF(AND($AL59,$AQ59,$AO59),Constants!$B$22,0))</f>
        <v/>
      </c>
      <c r="BF59" s="97" t="str">
        <f aca="false">IF($BX59&lt;&gt;Constants!$B$6,"",IF($AL59,($AI59-Constants!$B$24)*Constants!$B$23,0))</f>
        <v/>
      </c>
      <c r="BG59" s="97" t="str">
        <f aca="false">IF($BX59&lt;&gt;Constants!$B$6,"",IF($AK59,0,Constants!$B$12)+IF($AJ59,0,Constants!$B$13)+IF($AH59,0,Constants!$B$14))</f>
        <v/>
      </c>
      <c r="BH59" s="98" t="str">
        <f aca="false">IF($BX59&lt;&gt;Constants!$B$6,"",Constants!$B$16+SUM($BC59:$BG59))</f>
        <v/>
      </c>
      <c r="BI59" s="97" t="str">
        <f aca="false">IF($BX59&lt;&gt;Constants!$B$6,"",$BC59)</f>
        <v/>
      </c>
      <c r="BJ59" s="97" t="str">
        <f aca="false">IF($BX59&lt;&gt;Constants!$B$6,"",$BD59)</f>
        <v/>
      </c>
      <c r="BK59" s="99" t="str">
        <f aca="false">IF($BX59&lt;&gt;Constants!$B$6,"",IF($AL59,$AN59,""))</f>
        <v/>
      </c>
      <c r="BL59" s="93" t="str">
        <f aca="false">IF($BX59&lt;&gt;Constants!$B$6,"",IF(OR($BS59&lt;$BH59,AND($BS59=$BH59,OR($BT59&lt;$BI59,AND($BT59=$BI59,OR($BU59&lt;$BJ59,AND($BU59=$BJ59,AND(ISNUMBER($BV59),OR(NOT(ISNUMBER($BK59)),$BV59&lt;$BK59)))))))),"-&gt;","&lt;-"))</f>
        <v/>
      </c>
      <c r="BM59" s="92" t="str">
        <f aca="false">IF(ISBLANK($C59),"",AND($AT59,OR($AU59="",$AV59="",AND($AW59,$AX59=""))))</f>
        <v/>
      </c>
      <c r="BN59" s="94" t="str">
        <f aca="false">IF($BX59&lt;&gt;Constants!$B$6,"",IF($AT59,Constants!$B$17*$AV59+Constants!$B$18*IF($AW59,$AX59,Constants!$B$19),Constants!$B$20))</f>
        <v/>
      </c>
      <c r="BO59" s="97" t="str">
        <f aca="false">IF($BX59&lt;&gt;Constants!$B$6,"",Constants!$B$21*ABS($AD$9-IF($AT59,$AU59,0)))</f>
        <v/>
      </c>
      <c r="BP59" s="97" t="str">
        <f aca="false">IF($BX59&lt;&gt;Constants!$B$6,"",IF(AND($AT59,$AY59,$AW59),Constants!$B$22,0))</f>
        <v/>
      </c>
      <c r="BQ59" s="97" t="str">
        <f aca="false">IF($BX59&lt;&gt;Constants!$B$6,"",IF($AT59,($AI59-Constants!$B$24)*Constants!$B$23,0))</f>
        <v/>
      </c>
      <c r="BR59" s="97" t="str">
        <f aca="false">IF($BX59&lt;&gt;Constants!$B$6,"",IF($AS59,0,Constants!$B$12)+IF($AR59,0,Constants!$B$13)+IF($AH59,0,Constants!$B$14))</f>
        <v/>
      </c>
      <c r="BS59" s="98" t="str">
        <f aca="false">IF($BX59&lt;&gt;Constants!$B$6,"",Constants!$B$16+SUM($BN59:$BR59))</f>
        <v/>
      </c>
      <c r="BT59" s="97" t="str">
        <f aca="false">IF($BX59&lt;&gt;Constants!$B$6,"",$BN59)</f>
        <v/>
      </c>
      <c r="BU59" s="97" t="str">
        <f aca="false">IF($BX59&lt;&gt;Constants!$B$6,"",$BO59)</f>
        <v/>
      </c>
      <c r="BV59" s="99" t="str">
        <f aca="false">IF($BX59&lt;&gt;Constants!$B$6,"",IF($AT59,$AV59,""))</f>
        <v/>
      </c>
      <c r="BW59" s="93" t="str">
        <f aca="false">IF(ISBLANK($C59),"",IF(ISBLANK($D$7),$BW$5,IF(NOT(ISNUMBER($D$7)),$BW$6,"")))</f>
        <v/>
      </c>
      <c r="BX59" s="93" t="str">
        <f aca="false">IF(ISBLANK($C59),"",IF($BA59,Constants!$B$9,IF(COUNTA($E59:$AA59)=0,Constants!$B$8,IF(NOT($AG59),Constants!$B$7,IF(OR($BW59&lt;&gt;"",$BB59,$BM59),Constants!$B$10,Constants!$B$6)))))</f>
        <v/>
      </c>
      <c r="BY59" s="93" t="str">
        <f aca="false">IF(ISBLANK($C59),"",IF($BX59&lt;&gt;Constants!$B$6,$BX59,Constants!$B$11))</f>
        <v/>
      </c>
      <c r="BZ59" s="97" t="str">
        <f aca="false">IF($BX59&lt;&gt;Constants!$B$6,"",IF($BL59="-&gt;",$BS59,$BH59))</f>
        <v/>
      </c>
      <c r="CA59" s="97" t="str">
        <f aca="false">IF($BX59&lt;&gt;Constants!$B$6,"",IF($AF59,0,Constants!$B$15))</f>
        <v/>
      </c>
      <c r="CB59" s="97" t="str">
        <f aca="false">IF($BX59&lt;&gt;Constants!$B$6,"",((Constants!$B$25-$AZ59)-Constants!$B$25)/Constants!$B$26)</f>
        <v/>
      </c>
      <c r="CC59" s="97" t="str">
        <f aca="false">IF(ISBLANK($C59),"",IF($BX59&lt;&gt;Constants!$B$6,$BX59,SUM($BZ59:$CB59)))</f>
        <v/>
      </c>
      <c r="CD59" s="93" t="str">
        <f aca="false">IF(ISBLANK($C59),"",IF($BX59&lt;&gt;Constants!$B$6,$BX59,RANK($CC59,$CC$9:$CC$508,1)))</f>
        <v/>
      </c>
      <c r="CE59" s="97" t="str">
        <f aca="false">IF($BX59&lt;&gt;Constants!$B$6,"",IF($BL59="-&gt;",$BT59,$BI59))</f>
        <v/>
      </c>
      <c r="CF59" s="93" t="str">
        <f aca="false">IF(ISBLANK($C59),"",IF($BX59&lt;&gt;Constants!$B$6,$BX59,IF(ISNUMBER($CE59),RANK($CE59,$CE$9:$CE$508,1),COUNT($CE$9:$CE$508)+1)))</f>
        <v/>
      </c>
      <c r="CG59" s="97" t="str">
        <f aca="false">IF($BX59&lt;&gt;Constants!$B$6,"",IF($BL59="-&gt;",$BU59,$BJ59))</f>
        <v/>
      </c>
      <c r="CH59" s="93" t="str">
        <f aca="false">IF(ISBLANK($C59),"",IF($BX59&lt;&gt;Constants!$B$6,$BX59,IF(ISNUMBER($CG59),RANK($CG59,$CG$9:$CG$508,1),COUNT($CG$9:$CG$508)+1)))</f>
        <v/>
      </c>
      <c r="CI59" s="97" t="str">
        <f aca="false">IF($BX59&lt;&gt;Constants!$B$6,"",IF($BL59="-&gt;",$BV59,$BK59))</f>
        <v/>
      </c>
      <c r="CJ59" s="93" t="str">
        <f aca="false">IF(ISBLANK($C59),"",IF($BX59&lt;&gt;Constants!$B$6,$BX59,IF(ISNUMBER($CI59),RANK($CI59,$CI$9:$CI$508,1),COUNT($CI$9:$CI$508)+1)))</f>
        <v/>
      </c>
      <c r="CK59" s="97" t="str">
        <f aca="false">IF($BX59&lt;&gt;Constants!$B$6,"",$AI59)</f>
        <v/>
      </c>
      <c r="CL59" s="93" t="str">
        <f aca="false">IF(ISBLANK($C59),"",IF($BX59&lt;&gt;Constants!$B$6,$BX59,IF(ISNUMBER($CK59),RANK($CK59,$CK$9:$CK$508,1),COUNT($CK$9:$CK$508)+1)))</f>
        <v/>
      </c>
      <c r="CM59" s="93" t="str">
        <f aca="false">IF(ISBLANK($C59),"",IF($BX59&lt;&gt;Constants!$B$6,$BX59,COUNTIFS($CD$9:$CD$508,"&lt;"&amp;$CD59)+COUNTIFS($CD$9:$CD$508,$CD59,$CF$9:$CF$508,"&lt;"&amp;$CF59)+COUNTIFS($CD$9:$CD$508,$CD59,$CF$9:$CF$508,$CF59,$CH$9:$CH$508,"&lt;"&amp;$CH59)+COUNTIFS($CD$9:$CD$508,$CD59,$CF$9:$CF$508,$CF59,$CH$9:$CH$508,$CH59,$CJ$9:$CJ$508,"&lt;"&amp;$CJ59)+COUNTIFS($CD$9:$CD$508,$CD59,$CF$9:$CF$508,$CF59,$CH$9:$CH$508,$CH59,$CJ$9:$CJ$508,$CJ59,$CL$9:$CL$508,"&lt;"&amp;$CL59)+1))</f>
        <v/>
      </c>
      <c r="CN59" s="93" t="str">
        <f aca="false">IF(ISBLANK($C59),"",IF($BX59&lt;&gt;Constants!$B$6,$BX59,$CD59-$CM59))</f>
        <v/>
      </c>
      <c r="CO59" s="100"/>
      <c r="CP59" s="101"/>
      <c r="CQ59" s="102" t="str">
        <f aca="false">IF(ISBLANK($C59),"",IF($BX59=Constants!$B$10,$BW59,""))</f>
        <v/>
      </c>
      <c r="CR59" s="101" t="str">
        <f aca="false">IF(ISBLANK($C59),"",IF($BX59&lt;&gt;Constants!$B$6,"",IF($BL59="-&gt;",2,1)))</f>
        <v/>
      </c>
      <c r="CS59" s="103" t="str">
        <f aca="false">IF(ISBLANK($C59),"",IF($BX59&lt;&gt;Constants!$B$6,"",IF($BL59="-&gt;",$BN59,$BC59)))</f>
        <v/>
      </c>
      <c r="CT59" s="103" t="str">
        <f aca="false">IF(ISBLANK($C59),"",IF($BX59&lt;&gt;Constants!$B$6,"",IF($BL59="-&gt;",$BO59,$BD59)))</f>
        <v/>
      </c>
      <c r="CU59" s="103" t="str">
        <f aca="false">IF(ISBLANK($C59),"",IF($BX59&lt;&gt;Constants!$B$6,"",IF($BL59="-&gt;",$BP59+$BQ59,$BE59+$BF59)+$CB59))</f>
        <v/>
      </c>
      <c r="CV59" s="103" t="str">
        <f aca="false">IF(ISBLANK($C59),"",IF($BX59&lt;&gt;Constants!$B$6,"",IF($BL59="-&gt;",$BR59,$BG59)+$CA59))</f>
        <v/>
      </c>
      <c r="CW59" s="104" t="str">
        <f aca="false">IF(ISBLANK($C59),"",IF($BX59&lt;&gt;Constants!$B$6,$BX59,$CC59))</f>
        <v/>
      </c>
      <c r="CX59" s="105" t="str">
        <f aca="false">IF(ISBLANK($C59),"",$BY59)</f>
        <v/>
      </c>
      <c r="CY59" s="106" t="str">
        <f aca="false">IF(ISBLANK($C59),"",$CN59)</f>
        <v/>
      </c>
      <c r="CZ59" s="106" t="str">
        <f aca="false">IF(ISBLANK($C59),"",$CM59)</f>
        <v/>
      </c>
      <c r="DA59" s="107" t="str">
        <f aca="false">IF(ISBLANK($C59),"",IFERROR(_xlfn.SWITCH($CZ59,Constants!$B$9,COUNTA($C$9:$C$508)+2,Constants!$B$8,COUNTA($C$9:$C$508)+1,Constants!$B$7,COUNTA($C$9:$C$508)),$CZ59))</f>
        <v/>
      </c>
      <c r="DB59" s="9"/>
      <c r="DC59" s="108" t="n">
        <f aca="false">IF(OR(ISNUMBER($CZ59),$CZ59=Constants!$B$9,$CZ59=Constants!$B$7,$CZ59=Constants!$B$8),1,0)</f>
        <v>0</v>
      </c>
      <c r="DD59" s="108" t="n">
        <v>51</v>
      </c>
      <c r="DE59" s="108" t="str">
        <f aca="false">IF(ISBLANK($C59),"",IF(ISNUMBER($DA59),$DA59+ROW($B59)/1000,""))</f>
        <v/>
      </c>
      <c r="DF59" s="108" t="str">
        <f aca="false">IF(ISNUMBER($DE59),RANK($DE59,$DE$9:$DE$508,1),"")</f>
        <v/>
      </c>
      <c r="DG59" s="108" t="str">
        <f aca="false">IF(ISBLANK($C59),"",$B59)</f>
        <v/>
      </c>
      <c r="DH59" s="108" t="str">
        <f aca="false">IF(ISBLANK($C59),"",$C59)</f>
        <v/>
      </c>
      <c r="DI59" s="108" t="str">
        <f aca="false">IF(ISBLANK($C59),"",$D59)</f>
        <v/>
      </c>
      <c r="DJ59" s="109" t="str">
        <f aca="false">$CX59</f>
        <v/>
      </c>
      <c r="DK59" s="110" t="str">
        <f aca="false">$CW59</f>
        <v/>
      </c>
      <c r="DL59" s="108" t="str">
        <f aca="false">IF(ISBLANK($C59),"",$CZ59)</f>
        <v/>
      </c>
      <c r="DM59" s="111" t="str">
        <f aca="false">IF($DD59&gt;$DC$8,"",VLOOKUP($DD59,$DF$9:$DL$508,7,FALSE()))</f>
        <v/>
      </c>
      <c r="DN59" s="112" t="str">
        <f aca="false">IF($DD59&gt;$DC$8,"",VLOOKUP($DD59,$DF$9:$DL$508,2,FALSE()))</f>
        <v/>
      </c>
      <c r="DO59" s="112" t="str">
        <f aca="false">IF($DD59&gt;$DC$8,"",VLOOKUP($DD59,$DF$9:$DL$508,3,FALSE()))</f>
        <v/>
      </c>
      <c r="DP59" s="112" t="str">
        <f aca="false">IF($DD59&gt;$DC$8,"",VLOOKUP($DD59,$DF$9:$DL$508,4,FALSE()))</f>
        <v/>
      </c>
      <c r="DQ59" s="112" t="str">
        <f aca="false">IF($DD59&gt;$DC$8,"",VLOOKUP($DD59,$DF$9:$DL$508,5,FALSE()))</f>
        <v/>
      </c>
      <c r="DR59" s="113" t="str">
        <f aca="false">IF($DD59&gt;$DC$8,"",VLOOKUP($DD59,$DF$9:$DL$508,6,FALSE()))</f>
        <v/>
      </c>
      <c r="DS59" s="76"/>
    </row>
    <row r="60" customFormat="false" ht="15.75" hidden="false" customHeight="false" outlineLevel="0" collapsed="false">
      <c r="A60" s="9"/>
      <c r="B60" s="160"/>
      <c r="C60" s="161"/>
      <c r="D60" s="162"/>
      <c r="E60" s="180"/>
      <c r="F60" s="164"/>
      <c r="G60" s="165"/>
      <c r="H60" s="165"/>
      <c r="I60" s="181"/>
      <c r="J60" s="168"/>
      <c r="K60" s="128"/>
      <c r="L60" s="129"/>
      <c r="M60" s="130"/>
      <c r="N60" s="168"/>
      <c r="O60" s="168"/>
      <c r="P60" s="180"/>
      <c r="Q60" s="168"/>
      <c r="R60" s="168"/>
      <c r="S60" s="128"/>
      <c r="T60" s="130"/>
      <c r="U60" s="130"/>
      <c r="V60" s="168"/>
      <c r="W60" s="168"/>
      <c r="X60" s="180"/>
      <c r="Y60" s="168"/>
      <c r="Z60" s="169"/>
      <c r="AA60" s="168"/>
      <c r="AB60" s="134"/>
      <c r="AC60" s="135"/>
      <c r="AD60" s="135"/>
      <c r="AE60" s="135"/>
      <c r="AF60" s="135" t="str">
        <f aca="false">IF(ISBLANK($C60),"",IF(E60=Constants!$B$2,TRUE(),IF(E60=Constants!$B$3,FALSE(),TRUE())))</f>
        <v/>
      </c>
      <c r="AG60" s="135" t="str">
        <f aca="false">IF(ISBLANK($C60),"",IF(F60=Constants!$B$2,TRUE(),IF(F60=Constants!$B$3,FALSE(),TRUE())))</f>
        <v/>
      </c>
      <c r="AH60" s="135" t="str">
        <f aca="false">IF(ISBLANK($C60),"",IF(G60=Constants!$B$2,TRUE(),IF(G60=Constants!$B$3,FALSE(),TRUE())))</f>
        <v/>
      </c>
      <c r="AI60" s="135" t="str">
        <f aca="false">IF(ISBLANK($C60),"",IF(AND(ISNUMBER(H60),H60&gt;=0),H60,Constants!$B$24))</f>
        <v/>
      </c>
      <c r="AJ60" s="135" t="str">
        <f aca="false">IF(ISBLANK($C60),"",IF(I60=Constants!$B$2,TRUE(),IF(I60=Constants!$B$3,FALSE(),TRUE())))</f>
        <v/>
      </c>
      <c r="AK60" s="135" t="str">
        <f aca="false">IF(ISBLANK($C60),"",IF(J60=Constants!$B$2,TRUE(),IF(J60=Constants!$B$3,FALSE(),TRUE())))</f>
        <v/>
      </c>
      <c r="AL60" s="135" t="str">
        <f aca="false">IF(ISBLANK($C60),"",IF(K60=Constants!$B$4,TRUE(),IF(K60=Constants!$B$5,FALSE(),COUNTA(L60:P60)&gt;0)))</f>
        <v/>
      </c>
      <c r="AM60" s="136" t="str">
        <f aca="false">IF(ISBLANK($C60),"",IF(ISNUMBER(L60),IF(L60&gt;=0,L60,""),""))</f>
        <v/>
      </c>
      <c r="AN60" s="137" t="str">
        <f aca="false">IF(ISBLANK($C60),"",IF(ISNUMBER(M60),IF(M60&gt;=0,M60,""),""))</f>
        <v/>
      </c>
      <c r="AO60" s="137" t="str">
        <f aca="false">IF(ISBLANK($C60),"",IF(N60=Constants!$B$2,TRUE(),IF(N60=Constants!$B$3,FALSE(),TRUE())))</f>
        <v/>
      </c>
      <c r="AP60" s="135" t="str">
        <f aca="false">IF(ISBLANK($C60),"",IF(ISNUMBER(O60),IF(O60&gt;=0,O60,""),""))</f>
        <v/>
      </c>
      <c r="AQ60" s="135" t="str">
        <f aca="false">IF(ISBLANK($C60),"",IF(P60=Constants!$B$2,TRUE(),IF(P60=Constants!$B$3,FALSE(),FALSE())))</f>
        <v/>
      </c>
      <c r="AR60" s="135" t="str">
        <f aca="false">IF(ISBLANK($C60),"",IF(Q60=Constants!$B$2,TRUE(),IF(Q60=Constants!$B$3,FALSE(),TRUE())))</f>
        <v/>
      </c>
      <c r="AS60" s="135" t="str">
        <f aca="false">IF(ISBLANK($C60),"",IF(R60=Constants!$B$2,TRUE(),IF(R60=Constants!$B$3,FALSE(),TRUE())))</f>
        <v/>
      </c>
      <c r="AT60" s="135" t="str">
        <f aca="false">IF(ISBLANK($C60),"",IF(S60=Constants!$B$4,TRUE(),IF(S60=Constants!$B$5,FALSE(),COUNTA(T60:X60)&gt;0)))</f>
        <v/>
      </c>
      <c r="AU60" s="136" t="str">
        <f aca="false">IF(ISBLANK($C60),"",IF(ISNUMBER(T60),IF(T60&gt;=0,T60,""),""))</f>
        <v/>
      </c>
      <c r="AV60" s="137" t="str">
        <f aca="false">IF(ISBLANK($C60),"",IF(ISNUMBER(U60),IF(U60&gt;=0,U60,""),""))</f>
        <v/>
      </c>
      <c r="AW60" s="137" t="str">
        <f aca="false">IF(ISBLANK($C60),"",IF(V60=Constants!$B$2,TRUE(),IF(V60=Constants!$B$3,FALSE(),TRUE())))</f>
        <v/>
      </c>
      <c r="AX60" s="135" t="str">
        <f aca="false">IF(ISBLANK($C60),"",IF(ISNUMBER(W60),IF(W60&gt;=0,W60,""),""))</f>
        <v/>
      </c>
      <c r="AY60" s="135" t="str">
        <f aca="false">IF(ISBLANK($C60),"",IF(X60=Constants!$B$2,TRUE(),IF(X60=Constants!$B$3,FALSE(),FALSE())))</f>
        <v/>
      </c>
      <c r="AZ60" s="135" t="str">
        <f aca="false">IF(ISBLANK($C60),"",MIN(Constants!$B$25,MAX(0,IF(ISNUMBER(Y60),Y60*60,0)+IF(ISNUMBER(Z60),Z60,0))))</f>
        <v/>
      </c>
      <c r="BA60" s="135" t="str">
        <f aca="false">IF(ISBLANK($C60),"",IF(AA60=Constants!$B$2,TRUE(),IF(AA60=Constants!$B$3,FALSE(),FALSE())))</f>
        <v/>
      </c>
      <c r="BB60" s="134" t="str">
        <f aca="false">IF(ISBLANK($C60),"",AND($AL60,OR($AM60="",$AN60="",AND($AO60,$AP60=""))))</f>
        <v/>
      </c>
      <c r="BC60" s="137" t="str">
        <f aca="false">IF($BX60&lt;&gt;Constants!$B$6,"",IF($AL60,Constants!$B$17*$AN60+Constants!$B$18*IF($AO60,$AP60,Constants!$B$19),Constants!$B$20))</f>
        <v/>
      </c>
      <c r="BD60" s="138" t="str">
        <f aca="false">IF($BX60&lt;&gt;Constants!$B$6,"",Constants!$B$21*ABS($AD$9-IF($AL60,$AM60,0)))</f>
        <v/>
      </c>
      <c r="BE60" s="138" t="str">
        <f aca="false">IF($BX60&lt;&gt;Constants!$B$6,"",IF(AND($AL60,$AQ60,$AO60),Constants!$B$22,0))</f>
        <v/>
      </c>
      <c r="BF60" s="138" t="str">
        <f aca="false">IF($BX60&lt;&gt;Constants!$B$6,"",IF($AL60,($AI60-Constants!$B$24)*Constants!$B$23,0))</f>
        <v/>
      </c>
      <c r="BG60" s="138" t="str">
        <f aca="false">IF($BX60&lt;&gt;Constants!$B$6,"",IF($AK60,0,Constants!$B$12)+IF($AJ60,0,Constants!$B$13)+IF($AH60,0,Constants!$B$14))</f>
        <v/>
      </c>
      <c r="BH60" s="139" t="str">
        <f aca="false">IF($BX60&lt;&gt;Constants!$B$6,"",Constants!$B$16+SUM($BC60:$BG60))</f>
        <v/>
      </c>
      <c r="BI60" s="138" t="str">
        <f aca="false">IF($BX60&lt;&gt;Constants!$B$6,"",$BC60)</f>
        <v/>
      </c>
      <c r="BJ60" s="138" t="str">
        <f aca="false">IF($BX60&lt;&gt;Constants!$B$6,"",$BD60)</f>
        <v/>
      </c>
      <c r="BK60" s="140" t="str">
        <f aca="false">IF($BX60&lt;&gt;Constants!$B$6,"",IF($AL60,$AN60,""))</f>
        <v/>
      </c>
      <c r="BL60" s="135" t="str">
        <f aca="false">IF($BX60&lt;&gt;Constants!$B$6,"",IF(OR($BS60&lt;$BH60,AND($BS60=$BH60,OR($BT60&lt;$BI60,AND($BT60=$BI60,OR($BU60&lt;$BJ60,AND($BU60=$BJ60,AND(ISNUMBER($BV60),OR(NOT(ISNUMBER($BK60)),$BV60&lt;$BK60)))))))),"-&gt;","&lt;-"))</f>
        <v/>
      </c>
      <c r="BM60" s="134" t="str">
        <f aca="false">IF(ISBLANK($C60),"",AND($AT60,OR($AU60="",$AV60="",AND($AW60,$AX60=""))))</f>
        <v/>
      </c>
      <c r="BN60" s="137" t="str">
        <f aca="false">IF($BX60&lt;&gt;Constants!$B$6,"",IF($AT60,Constants!$B$17*$AV60+Constants!$B$18*IF($AW60,$AX60,Constants!$B$19),Constants!$B$20))</f>
        <v/>
      </c>
      <c r="BO60" s="138" t="str">
        <f aca="false">IF($BX60&lt;&gt;Constants!$B$6,"",Constants!$B$21*ABS($AD$9-IF($AT60,$AU60,0)))</f>
        <v/>
      </c>
      <c r="BP60" s="138" t="str">
        <f aca="false">IF($BX60&lt;&gt;Constants!$B$6,"",IF(AND($AT60,$AY60,$AW60),Constants!$B$22,0))</f>
        <v/>
      </c>
      <c r="BQ60" s="138" t="str">
        <f aca="false">IF($BX60&lt;&gt;Constants!$B$6,"",IF($AT60,($AI60-Constants!$B$24)*Constants!$B$23,0))</f>
        <v/>
      </c>
      <c r="BR60" s="138" t="str">
        <f aca="false">IF($BX60&lt;&gt;Constants!$B$6,"",IF($AS60,0,Constants!$B$12)+IF($AR60,0,Constants!$B$13)+IF($AH60,0,Constants!$B$14))</f>
        <v/>
      </c>
      <c r="BS60" s="139" t="str">
        <f aca="false">IF($BX60&lt;&gt;Constants!$B$6,"",Constants!$B$16+SUM($BN60:$BR60))</f>
        <v/>
      </c>
      <c r="BT60" s="138" t="str">
        <f aca="false">IF($BX60&lt;&gt;Constants!$B$6,"",$BN60)</f>
        <v/>
      </c>
      <c r="BU60" s="138" t="str">
        <f aca="false">IF($BX60&lt;&gt;Constants!$B$6,"",$BO60)</f>
        <v/>
      </c>
      <c r="BV60" s="140" t="str">
        <f aca="false">IF($BX60&lt;&gt;Constants!$B$6,"",IF($AT60,$AV60,""))</f>
        <v/>
      </c>
      <c r="BW60" s="135" t="str">
        <f aca="false">IF(ISBLANK($C60),"",IF(ISBLANK($D$7),$BW$5,IF(NOT(ISNUMBER($D$7)),$BW$6,"")))</f>
        <v/>
      </c>
      <c r="BX60" s="135" t="str">
        <f aca="false">IF(ISBLANK($C60),"",IF($BA60,Constants!$B$9,IF(COUNTA($E60:$AA60)=0,Constants!$B$8,IF(NOT($AG60),Constants!$B$7,IF(OR($BW60&lt;&gt;"",$BB60,$BM60),Constants!$B$10,Constants!$B$6)))))</f>
        <v/>
      </c>
      <c r="BY60" s="135" t="str">
        <f aca="false">IF(ISBLANK($C60),"",IF($BX60&lt;&gt;Constants!$B$6,$BX60,Constants!$B$11))</f>
        <v/>
      </c>
      <c r="BZ60" s="138" t="str">
        <f aca="false">IF($BX60&lt;&gt;Constants!$B$6,"",IF($BL60="-&gt;",$BS60,$BH60))</f>
        <v/>
      </c>
      <c r="CA60" s="138" t="str">
        <f aca="false">IF($BX60&lt;&gt;Constants!$B$6,"",IF($AF60,0,Constants!$B$15))</f>
        <v/>
      </c>
      <c r="CB60" s="138" t="str">
        <f aca="false">IF($BX60&lt;&gt;Constants!$B$6,"",((Constants!$B$25-$AZ60)-Constants!$B$25)/Constants!$B$26)</f>
        <v/>
      </c>
      <c r="CC60" s="138" t="str">
        <f aca="false">IF(ISBLANK($C60),"",IF($BX60&lt;&gt;Constants!$B$6,$BX60,SUM($BZ60:$CB60)))</f>
        <v/>
      </c>
      <c r="CD60" s="135" t="str">
        <f aca="false">IF(ISBLANK($C60),"",IF($BX60&lt;&gt;Constants!$B$6,$BX60,RANK($CC60,$CC$9:$CC$508,1)))</f>
        <v/>
      </c>
      <c r="CE60" s="138" t="str">
        <f aca="false">IF($BX60&lt;&gt;Constants!$B$6,"",IF($BL60="-&gt;",$BT60,$BI60))</f>
        <v/>
      </c>
      <c r="CF60" s="135" t="str">
        <f aca="false">IF(ISBLANK($C60),"",IF($BX60&lt;&gt;Constants!$B$6,$BX60,IF(ISNUMBER($CE60),RANK($CE60,$CE$9:$CE$508,1),COUNT($CE$9:$CE$508)+1)))</f>
        <v/>
      </c>
      <c r="CG60" s="138" t="str">
        <f aca="false">IF($BX60&lt;&gt;Constants!$B$6,"",IF($BL60="-&gt;",$BU60,$BJ60))</f>
        <v/>
      </c>
      <c r="CH60" s="135" t="str">
        <f aca="false">IF(ISBLANK($C60),"",IF($BX60&lt;&gt;Constants!$B$6,$BX60,IF(ISNUMBER($CG60),RANK($CG60,$CG$9:$CG$508,1),COUNT($CG$9:$CG$508)+1)))</f>
        <v/>
      </c>
      <c r="CI60" s="138" t="str">
        <f aca="false">IF($BX60&lt;&gt;Constants!$B$6,"",IF($BL60="-&gt;",$BV60,$BK60))</f>
        <v/>
      </c>
      <c r="CJ60" s="135" t="str">
        <f aca="false">IF(ISBLANK($C60),"",IF($BX60&lt;&gt;Constants!$B$6,$BX60,IF(ISNUMBER($CI60),RANK($CI60,$CI$9:$CI$508,1),COUNT($CI$9:$CI$508)+1)))</f>
        <v/>
      </c>
      <c r="CK60" s="138" t="str">
        <f aca="false">IF($BX60&lt;&gt;Constants!$B$6,"",$AI60)</f>
        <v/>
      </c>
      <c r="CL60" s="135" t="str">
        <f aca="false">IF(ISBLANK($C60),"",IF($BX60&lt;&gt;Constants!$B$6,$BX60,IF(ISNUMBER($CK60),RANK($CK60,$CK$9:$CK$508,1),COUNT($CK$9:$CK$508)+1)))</f>
        <v/>
      </c>
      <c r="CM60" s="135" t="str">
        <f aca="false">IF(ISBLANK($C60),"",IF($BX60&lt;&gt;Constants!$B$6,$BX60,COUNTIFS($CD$9:$CD$508,"&lt;"&amp;$CD60)+COUNTIFS($CD$9:$CD$508,$CD60,$CF$9:$CF$508,"&lt;"&amp;$CF60)+COUNTIFS($CD$9:$CD$508,$CD60,$CF$9:$CF$508,$CF60,$CH$9:$CH$508,"&lt;"&amp;$CH60)+COUNTIFS($CD$9:$CD$508,$CD60,$CF$9:$CF$508,$CF60,$CH$9:$CH$508,$CH60,$CJ$9:$CJ$508,"&lt;"&amp;$CJ60)+COUNTIFS($CD$9:$CD$508,$CD60,$CF$9:$CF$508,$CF60,$CH$9:$CH$508,$CH60,$CJ$9:$CJ$508,$CJ60,$CL$9:$CL$508,"&lt;"&amp;$CL60)+1))</f>
        <v/>
      </c>
      <c r="CN60" s="135" t="str">
        <f aca="false">IF(ISBLANK($C60),"",IF($BX60&lt;&gt;Constants!$B$6,$BX60,$CD60-$CM60))</f>
        <v/>
      </c>
      <c r="CO60" s="141"/>
      <c r="CP60" s="142"/>
      <c r="CQ60" s="143" t="str">
        <f aca="false">IF(ISBLANK($C60),"",IF($BX60=Constants!$B$10,$BW60,""))</f>
        <v/>
      </c>
      <c r="CR60" s="142" t="str">
        <f aca="false">IF(ISBLANK($C60),"",IF($BX60&lt;&gt;Constants!$B$6,"",IF($BL60="-&gt;",2,1)))</f>
        <v/>
      </c>
      <c r="CS60" s="144" t="str">
        <f aca="false">IF(ISBLANK($C60),"",IF($BX60&lt;&gt;Constants!$B$6,"",IF($BL60="-&gt;",$BN60,$BC60)))</f>
        <v/>
      </c>
      <c r="CT60" s="144" t="str">
        <f aca="false">IF(ISBLANK($C60),"",IF($BX60&lt;&gt;Constants!$B$6,"",IF($BL60="-&gt;",$BO60,$BD60)))</f>
        <v/>
      </c>
      <c r="CU60" s="144" t="str">
        <f aca="false">IF(ISBLANK($C60),"",IF($BX60&lt;&gt;Constants!$B$6,"",IF($BL60="-&gt;",$BP60+$BQ60,$BE60+$BF60)+$CB60))</f>
        <v/>
      </c>
      <c r="CV60" s="144" t="str">
        <f aca="false">IF(ISBLANK($C60),"",IF($BX60&lt;&gt;Constants!$B$6,"",IF($BL60="-&gt;",$BR60,$BG60)+$CA60))</f>
        <v/>
      </c>
      <c r="CW60" s="145" t="str">
        <f aca="false">IF(ISBLANK($C60),"",IF($BX60&lt;&gt;Constants!$B$6,$BX60,$CC60))</f>
        <v/>
      </c>
      <c r="CX60" s="146" t="str">
        <f aca="false">IF(ISBLANK($C60),"",$BY60)</f>
        <v/>
      </c>
      <c r="CY60" s="147" t="str">
        <f aca="false">IF(ISBLANK($C60),"",$CN60)</f>
        <v/>
      </c>
      <c r="CZ60" s="147" t="str">
        <f aca="false">IF(ISBLANK($C60),"",$CM60)</f>
        <v/>
      </c>
      <c r="DA60" s="148" t="str">
        <f aca="false">IF(ISBLANK($C60),"",IFERROR(_xlfn.SWITCH($CZ60,Constants!$B$9,COUNTA($C$9:$C$508)+2,Constants!$B$8,COUNTA($C$9:$C$508)+1,Constants!$B$7,COUNTA($C$9:$C$508)),$CZ60))</f>
        <v/>
      </c>
      <c r="DB60" s="9"/>
      <c r="DC60" s="149" t="n">
        <f aca="false">IF(OR(ISNUMBER($CZ60),$CZ60=Constants!$B$9,$CZ60=Constants!$B$7,$CZ60=Constants!$B$8),1,0)</f>
        <v>0</v>
      </c>
      <c r="DD60" s="149" t="n">
        <v>52</v>
      </c>
      <c r="DE60" s="149" t="str">
        <f aca="false">IF(ISBLANK($C60),"",IF(ISNUMBER($DA60),$DA60+ROW($B60)/1000,""))</f>
        <v/>
      </c>
      <c r="DF60" s="149" t="str">
        <f aca="false">IF(ISNUMBER($DE60),RANK($DE60,$DE$9:$DE$508,1),"")</f>
        <v/>
      </c>
      <c r="DG60" s="149" t="str">
        <f aca="false">IF(ISBLANK($C60),"",$B60)</f>
        <v/>
      </c>
      <c r="DH60" s="149" t="str">
        <f aca="false">IF(ISBLANK($C60),"",$C60)</f>
        <v/>
      </c>
      <c r="DI60" s="149" t="str">
        <f aca="false">IF(ISBLANK($C60),"",$D60)</f>
        <v/>
      </c>
      <c r="DJ60" s="150" t="str">
        <f aca="false">$CX60</f>
        <v/>
      </c>
      <c r="DK60" s="151" t="str">
        <f aca="false">$CW60</f>
        <v/>
      </c>
      <c r="DL60" s="149" t="str">
        <f aca="false">IF(ISBLANK($C60),"",$CZ60)</f>
        <v/>
      </c>
      <c r="DM60" s="152" t="str">
        <f aca="false">IF($DD60&gt;$DC$8,"",VLOOKUP($DD60,$DF$9:$DL$508,7,FALSE()))</f>
        <v/>
      </c>
      <c r="DN60" s="153" t="str">
        <f aca="false">IF($DD60&gt;$DC$8,"",VLOOKUP($DD60,$DF$9:$DL$508,2,FALSE()))</f>
        <v/>
      </c>
      <c r="DO60" s="153" t="str">
        <f aca="false">IF($DD60&gt;$DC$8,"",VLOOKUP($DD60,$DF$9:$DL$508,3,FALSE()))</f>
        <v/>
      </c>
      <c r="DP60" s="153" t="str">
        <f aca="false">IF($DD60&gt;$DC$8,"",VLOOKUP($DD60,$DF$9:$DL$508,4,FALSE()))</f>
        <v/>
      </c>
      <c r="DQ60" s="153" t="str">
        <f aca="false">IF($DD60&gt;$DC$8,"",VLOOKUP($DD60,$DF$9:$DL$508,5,FALSE()))</f>
        <v/>
      </c>
      <c r="DR60" s="154" t="str">
        <f aca="false">IF($DD60&gt;$DC$8,"",VLOOKUP($DD60,$DF$9:$DL$508,6,FALSE()))</f>
        <v/>
      </c>
      <c r="DS60" s="76"/>
    </row>
    <row r="61" customFormat="false" ht="15.75" hidden="false" customHeight="false" outlineLevel="0" collapsed="false">
      <c r="A61" s="9"/>
      <c r="B61" s="160"/>
      <c r="C61" s="161"/>
      <c r="D61" s="162"/>
      <c r="E61" s="180"/>
      <c r="F61" s="164"/>
      <c r="G61" s="165"/>
      <c r="H61" s="165"/>
      <c r="I61" s="181"/>
      <c r="J61" s="168"/>
      <c r="K61" s="128"/>
      <c r="L61" s="129"/>
      <c r="M61" s="130"/>
      <c r="N61" s="168"/>
      <c r="O61" s="168"/>
      <c r="P61" s="180"/>
      <c r="Q61" s="168"/>
      <c r="R61" s="168"/>
      <c r="S61" s="128"/>
      <c r="T61" s="130"/>
      <c r="U61" s="130"/>
      <c r="V61" s="168"/>
      <c r="W61" s="168"/>
      <c r="X61" s="180"/>
      <c r="Y61" s="168"/>
      <c r="Z61" s="169"/>
      <c r="AA61" s="168"/>
      <c r="AB61" s="134"/>
      <c r="AC61" s="135"/>
      <c r="AD61" s="135"/>
      <c r="AE61" s="135"/>
      <c r="AF61" s="135" t="str">
        <f aca="false">IF(ISBLANK($C61),"",IF(E61=Constants!$B$2,TRUE(),IF(E61=Constants!$B$3,FALSE(),TRUE())))</f>
        <v/>
      </c>
      <c r="AG61" s="135" t="str">
        <f aca="false">IF(ISBLANK($C61),"",IF(F61=Constants!$B$2,TRUE(),IF(F61=Constants!$B$3,FALSE(),TRUE())))</f>
        <v/>
      </c>
      <c r="AH61" s="135" t="str">
        <f aca="false">IF(ISBLANK($C61),"",IF(G61=Constants!$B$2,TRUE(),IF(G61=Constants!$B$3,FALSE(),TRUE())))</f>
        <v/>
      </c>
      <c r="AI61" s="135" t="str">
        <f aca="false">IF(ISBLANK($C61),"",IF(AND(ISNUMBER(H61),H61&gt;=0),H61,Constants!$B$24))</f>
        <v/>
      </c>
      <c r="AJ61" s="135" t="str">
        <f aca="false">IF(ISBLANK($C61),"",IF(I61=Constants!$B$2,TRUE(),IF(I61=Constants!$B$3,FALSE(),TRUE())))</f>
        <v/>
      </c>
      <c r="AK61" s="135" t="str">
        <f aca="false">IF(ISBLANK($C61),"",IF(J61=Constants!$B$2,TRUE(),IF(J61=Constants!$B$3,FALSE(),TRUE())))</f>
        <v/>
      </c>
      <c r="AL61" s="135" t="str">
        <f aca="false">IF(ISBLANK($C61),"",IF(K61=Constants!$B$4,TRUE(),IF(K61=Constants!$B$5,FALSE(),COUNTA(L61:P61)&gt;0)))</f>
        <v/>
      </c>
      <c r="AM61" s="136" t="str">
        <f aca="false">IF(ISBLANK($C61),"",IF(ISNUMBER(L61),IF(L61&gt;=0,L61,""),""))</f>
        <v/>
      </c>
      <c r="AN61" s="137" t="str">
        <f aca="false">IF(ISBLANK($C61),"",IF(ISNUMBER(M61),IF(M61&gt;=0,M61,""),""))</f>
        <v/>
      </c>
      <c r="AO61" s="137" t="str">
        <f aca="false">IF(ISBLANK($C61),"",IF(N61=Constants!$B$2,TRUE(),IF(N61=Constants!$B$3,FALSE(),TRUE())))</f>
        <v/>
      </c>
      <c r="AP61" s="135" t="str">
        <f aca="false">IF(ISBLANK($C61),"",IF(ISNUMBER(O61),IF(O61&gt;=0,O61,""),""))</f>
        <v/>
      </c>
      <c r="AQ61" s="135" t="str">
        <f aca="false">IF(ISBLANK($C61),"",IF(P61=Constants!$B$2,TRUE(),IF(P61=Constants!$B$3,FALSE(),FALSE())))</f>
        <v/>
      </c>
      <c r="AR61" s="135" t="str">
        <f aca="false">IF(ISBLANK($C61),"",IF(Q61=Constants!$B$2,TRUE(),IF(Q61=Constants!$B$3,FALSE(),TRUE())))</f>
        <v/>
      </c>
      <c r="AS61" s="135" t="str">
        <f aca="false">IF(ISBLANK($C61),"",IF(R61=Constants!$B$2,TRUE(),IF(R61=Constants!$B$3,FALSE(),TRUE())))</f>
        <v/>
      </c>
      <c r="AT61" s="135" t="str">
        <f aca="false">IF(ISBLANK($C61),"",IF(S61=Constants!$B$4,TRUE(),IF(S61=Constants!$B$5,FALSE(),COUNTA(T61:X61)&gt;0)))</f>
        <v/>
      </c>
      <c r="AU61" s="136" t="str">
        <f aca="false">IF(ISBLANK($C61),"",IF(ISNUMBER(T61),IF(T61&gt;=0,T61,""),""))</f>
        <v/>
      </c>
      <c r="AV61" s="137" t="str">
        <f aca="false">IF(ISBLANK($C61),"",IF(ISNUMBER(U61),IF(U61&gt;=0,U61,""),""))</f>
        <v/>
      </c>
      <c r="AW61" s="137" t="str">
        <f aca="false">IF(ISBLANK($C61),"",IF(V61=Constants!$B$2,TRUE(),IF(V61=Constants!$B$3,FALSE(),TRUE())))</f>
        <v/>
      </c>
      <c r="AX61" s="135" t="str">
        <f aca="false">IF(ISBLANK($C61),"",IF(ISNUMBER(W61),IF(W61&gt;=0,W61,""),""))</f>
        <v/>
      </c>
      <c r="AY61" s="135" t="str">
        <f aca="false">IF(ISBLANK($C61),"",IF(X61=Constants!$B$2,TRUE(),IF(X61=Constants!$B$3,FALSE(),FALSE())))</f>
        <v/>
      </c>
      <c r="AZ61" s="135" t="str">
        <f aca="false">IF(ISBLANK($C61),"",MIN(Constants!$B$25,MAX(0,IF(ISNUMBER(Y61),Y61*60,0)+IF(ISNUMBER(Z61),Z61,0))))</f>
        <v/>
      </c>
      <c r="BA61" s="135" t="str">
        <f aca="false">IF(ISBLANK($C61),"",IF(AA61=Constants!$B$2,TRUE(),IF(AA61=Constants!$B$3,FALSE(),FALSE())))</f>
        <v/>
      </c>
      <c r="BB61" s="134" t="str">
        <f aca="false">IF(ISBLANK($C61),"",AND($AL61,OR($AM61="",$AN61="",AND($AO61,$AP61=""))))</f>
        <v/>
      </c>
      <c r="BC61" s="137" t="str">
        <f aca="false">IF($BX61&lt;&gt;Constants!$B$6,"",IF($AL61,Constants!$B$17*$AN61+Constants!$B$18*IF($AO61,$AP61,Constants!$B$19),Constants!$B$20))</f>
        <v/>
      </c>
      <c r="BD61" s="138" t="str">
        <f aca="false">IF($BX61&lt;&gt;Constants!$B$6,"",Constants!$B$21*ABS($AD$9-IF($AL61,$AM61,0)))</f>
        <v/>
      </c>
      <c r="BE61" s="138" t="str">
        <f aca="false">IF($BX61&lt;&gt;Constants!$B$6,"",IF(AND($AL61,$AQ61,$AO61),Constants!$B$22,0))</f>
        <v/>
      </c>
      <c r="BF61" s="138" t="str">
        <f aca="false">IF($BX61&lt;&gt;Constants!$B$6,"",IF($AL61,($AI61-Constants!$B$24)*Constants!$B$23,0))</f>
        <v/>
      </c>
      <c r="BG61" s="138" t="str">
        <f aca="false">IF($BX61&lt;&gt;Constants!$B$6,"",IF($AK61,0,Constants!$B$12)+IF($AJ61,0,Constants!$B$13)+IF($AH61,0,Constants!$B$14))</f>
        <v/>
      </c>
      <c r="BH61" s="139" t="str">
        <f aca="false">IF($BX61&lt;&gt;Constants!$B$6,"",Constants!$B$16+SUM($BC61:$BG61))</f>
        <v/>
      </c>
      <c r="BI61" s="138" t="str">
        <f aca="false">IF($BX61&lt;&gt;Constants!$B$6,"",$BC61)</f>
        <v/>
      </c>
      <c r="BJ61" s="138" t="str">
        <f aca="false">IF($BX61&lt;&gt;Constants!$B$6,"",$BD61)</f>
        <v/>
      </c>
      <c r="BK61" s="140" t="str">
        <f aca="false">IF($BX61&lt;&gt;Constants!$B$6,"",IF($AL61,$AN61,""))</f>
        <v/>
      </c>
      <c r="BL61" s="135" t="str">
        <f aca="false">IF($BX61&lt;&gt;Constants!$B$6,"",IF(OR($BS61&lt;$BH61,AND($BS61=$BH61,OR($BT61&lt;$BI61,AND($BT61=$BI61,OR($BU61&lt;$BJ61,AND($BU61=$BJ61,AND(ISNUMBER($BV61),OR(NOT(ISNUMBER($BK61)),$BV61&lt;$BK61)))))))),"-&gt;","&lt;-"))</f>
        <v/>
      </c>
      <c r="BM61" s="134" t="str">
        <f aca="false">IF(ISBLANK($C61),"",AND($AT61,OR($AU61="",$AV61="",AND($AW61,$AX61=""))))</f>
        <v/>
      </c>
      <c r="BN61" s="137" t="str">
        <f aca="false">IF($BX61&lt;&gt;Constants!$B$6,"",IF($AT61,Constants!$B$17*$AV61+Constants!$B$18*IF($AW61,$AX61,Constants!$B$19),Constants!$B$20))</f>
        <v/>
      </c>
      <c r="BO61" s="138" t="str">
        <f aca="false">IF($BX61&lt;&gt;Constants!$B$6,"",Constants!$B$21*ABS($AD$9-IF($AT61,$AU61,0)))</f>
        <v/>
      </c>
      <c r="BP61" s="138" t="str">
        <f aca="false">IF($BX61&lt;&gt;Constants!$B$6,"",IF(AND($AT61,$AY61,$AW61),Constants!$B$22,0))</f>
        <v/>
      </c>
      <c r="BQ61" s="138" t="str">
        <f aca="false">IF($BX61&lt;&gt;Constants!$B$6,"",IF($AT61,($AI61-Constants!$B$24)*Constants!$B$23,0))</f>
        <v/>
      </c>
      <c r="BR61" s="138" t="str">
        <f aca="false">IF($BX61&lt;&gt;Constants!$B$6,"",IF($AS61,0,Constants!$B$12)+IF($AR61,0,Constants!$B$13)+IF($AH61,0,Constants!$B$14))</f>
        <v/>
      </c>
      <c r="BS61" s="139" t="str">
        <f aca="false">IF($BX61&lt;&gt;Constants!$B$6,"",Constants!$B$16+SUM($BN61:$BR61))</f>
        <v/>
      </c>
      <c r="BT61" s="138" t="str">
        <f aca="false">IF($BX61&lt;&gt;Constants!$B$6,"",$BN61)</f>
        <v/>
      </c>
      <c r="BU61" s="138" t="str">
        <f aca="false">IF($BX61&lt;&gt;Constants!$B$6,"",$BO61)</f>
        <v/>
      </c>
      <c r="BV61" s="140" t="str">
        <f aca="false">IF($BX61&lt;&gt;Constants!$B$6,"",IF($AT61,$AV61,""))</f>
        <v/>
      </c>
      <c r="BW61" s="135" t="str">
        <f aca="false">IF(ISBLANK($C61),"",IF(ISBLANK($D$7),$BW$5,IF(NOT(ISNUMBER($D$7)),$BW$6,"")))</f>
        <v/>
      </c>
      <c r="BX61" s="135" t="str">
        <f aca="false">IF(ISBLANK($C61),"",IF($BA61,Constants!$B$9,IF(COUNTA($E61:$AA61)=0,Constants!$B$8,IF(NOT($AG61),Constants!$B$7,IF(OR($BW61&lt;&gt;"",$BB61,$BM61),Constants!$B$10,Constants!$B$6)))))</f>
        <v/>
      </c>
      <c r="BY61" s="135" t="str">
        <f aca="false">IF(ISBLANK($C61),"",IF($BX61&lt;&gt;Constants!$B$6,$BX61,Constants!$B$11))</f>
        <v/>
      </c>
      <c r="BZ61" s="138" t="str">
        <f aca="false">IF($BX61&lt;&gt;Constants!$B$6,"",IF($BL61="-&gt;",$BS61,$BH61))</f>
        <v/>
      </c>
      <c r="CA61" s="138" t="str">
        <f aca="false">IF($BX61&lt;&gt;Constants!$B$6,"",IF($AF61,0,Constants!$B$15))</f>
        <v/>
      </c>
      <c r="CB61" s="138" t="str">
        <f aca="false">IF($BX61&lt;&gt;Constants!$B$6,"",((Constants!$B$25-$AZ61)-Constants!$B$25)/Constants!$B$26)</f>
        <v/>
      </c>
      <c r="CC61" s="138" t="str">
        <f aca="false">IF(ISBLANK($C61),"",IF($BX61&lt;&gt;Constants!$B$6,$BX61,SUM($BZ61:$CB61)))</f>
        <v/>
      </c>
      <c r="CD61" s="135" t="str">
        <f aca="false">IF(ISBLANK($C61),"",IF($BX61&lt;&gt;Constants!$B$6,$BX61,RANK($CC61,$CC$9:$CC$508,1)))</f>
        <v/>
      </c>
      <c r="CE61" s="138" t="str">
        <f aca="false">IF($BX61&lt;&gt;Constants!$B$6,"",IF($BL61="-&gt;",$BT61,$BI61))</f>
        <v/>
      </c>
      <c r="CF61" s="135" t="str">
        <f aca="false">IF(ISBLANK($C61),"",IF($BX61&lt;&gt;Constants!$B$6,$BX61,IF(ISNUMBER($CE61),RANK($CE61,$CE$9:$CE$508,1),COUNT($CE$9:$CE$508)+1)))</f>
        <v/>
      </c>
      <c r="CG61" s="138" t="str">
        <f aca="false">IF($BX61&lt;&gt;Constants!$B$6,"",IF($BL61="-&gt;",$BU61,$BJ61))</f>
        <v/>
      </c>
      <c r="CH61" s="135" t="str">
        <f aca="false">IF(ISBLANK($C61),"",IF($BX61&lt;&gt;Constants!$B$6,$BX61,IF(ISNUMBER($CG61),RANK($CG61,$CG$9:$CG$508,1),COUNT($CG$9:$CG$508)+1)))</f>
        <v/>
      </c>
      <c r="CI61" s="138" t="str">
        <f aca="false">IF($BX61&lt;&gt;Constants!$B$6,"",IF($BL61="-&gt;",$BV61,$BK61))</f>
        <v/>
      </c>
      <c r="CJ61" s="135" t="str">
        <f aca="false">IF(ISBLANK($C61),"",IF($BX61&lt;&gt;Constants!$B$6,$BX61,IF(ISNUMBER($CI61),RANK($CI61,$CI$9:$CI$508,1),COUNT($CI$9:$CI$508)+1)))</f>
        <v/>
      </c>
      <c r="CK61" s="138" t="str">
        <f aca="false">IF($BX61&lt;&gt;Constants!$B$6,"",$AI61)</f>
        <v/>
      </c>
      <c r="CL61" s="135" t="str">
        <f aca="false">IF(ISBLANK($C61),"",IF($BX61&lt;&gt;Constants!$B$6,$BX61,IF(ISNUMBER($CK61),RANK($CK61,$CK$9:$CK$508,1),COUNT($CK$9:$CK$508)+1)))</f>
        <v/>
      </c>
      <c r="CM61" s="135" t="str">
        <f aca="false">IF(ISBLANK($C61),"",IF($BX61&lt;&gt;Constants!$B$6,$BX61,COUNTIFS($CD$9:$CD$508,"&lt;"&amp;$CD61)+COUNTIFS($CD$9:$CD$508,$CD61,$CF$9:$CF$508,"&lt;"&amp;$CF61)+COUNTIFS($CD$9:$CD$508,$CD61,$CF$9:$CF$508,$CF61,$CH$9:$CH$508,"&lt;"&amp;$CH61)+COUNTIFS($CD$9:$CD$508,$CD61,$CF$9:$CF$508,$CF61,$CH$9:$CH$508,$CH61,$CJ$9:$CJ$508,"&lt;"&amp;$CJ61)+COUNTIFS($CD$9:$CD$508,$CD61,$CF$9:$CF$508,$CF61,$CH$9:$CH$508,$CH61,$CJ$9:$CJ$508,$CJ61,$CL$9:$CL$508,"&lt;"&amp;$CL61)+1))</f>
        <v/>
      </c>
      <c r="CN61" s="135" t="str">
        <f aca="false">IF(ISBLANK($C61),"",IF($BX61&lt;&gt;Constants!$B$6,$BX61,$CD61-$CM61))</f>
        <v/>
      </c>
      <c r="CO61" s="141"/>
      <c r="CP61" s="142"/>
      <c r="CQ61" s="143" t="str">
        <f aca="false">IF(ISBLANK($C61),"",IF($BX61=Constants!$B$10,$BW61,""))</f>
        <v/>
      </c>
      <c r="CR61" s="142" t="str">
        <f aca="false">IF(ISBLANK($C61),"",IF($BX61&lt;&gt;Constants!$B$6,"",IF($BL61="-&gt;",2,1)))</f>
        <v/>
      </c>
      <c r="CS61" s="144" t="str">
        <f aca="false">IF(ISBLANK($C61),"",IF($BX61&lt;&gt;Constants!$B$6,"",IF($BL61="-&gt;",$BN61,$BC61)))</f>
        <v/>
      </c>
      <c r="CT61" s="144" t="str">
        <f aca="false">IF(ISBLANK($C61),"",IF($BX61&lt;&gt;Constants!$B$6,"",IF($BL61="-&gt;",$BO61,$BD61)))</f>
        <v/>
      </c>
      <c r="CU61" s="144" t="str">
        <f aca="false">IF(ISBLANK($C61),"",IF($BX61&lt;&gt;Constants!$B$6,"",IF($BL61="-&gt;",$BP61+$BQ61,$BE61+$BF61)+$CB61))</f>
        <v/>
      </c>
      <c r="CV61" s="144" t="str">
        <f aca="false">IF(ISBLANK($C61),"",IF($BX61&lt;&gt;Constants!$B$6,"",IF($BL61="-&gt;",$BR61,$BG61)+$CA61))</f>
        <v/>
      </c>
      <c r="CW61" s="145" t="str">
        <f aca="false">IF(ISBLANK($C61),"",IF($BX61&lt;&gt;Constants!$B$6,$BX61,$CC61))</f>
        <v/>
      </c>
      <c r="CX61" s="146" t="str">
        <f aca="false">IF(ISBLANK($C61),"",$BY61)</f>
        <v/>
      </c>
      <c r="CY61" s="147" t="str">
        <f aca="false">IF(ISBLANK($C61),"",$CN61)</f>
        <v/>
      </c>
      <c r="CZ61" s="147" t="str">
        <f aca="false">IF(ISBLANK($C61),"",$CM61)</f>
        <v/>
      </c>
      <c r="DA61" s="148" t="str">
        <f aca="false">IF(ISBLANK($C61),"",IFERROR(_xlfn.SWITCH($CZ61,Constants!$B$9,COUNTA($C$9:$C$508)+2,Constants!$B$8,COUNTA($C$9:$C$508)+1,Constants!$B$7,COUNTA($C$9:$C$508)),$CZ61))</f>
        <v/>
      </c>
      <c r="DB61" s="9"/>
      <c r="DC61" s="149" t="n">
        <f aca="false">IF(OR(ISNUMBER($CZ61),$CZ61=Constants!$B$9,$CZ61=Constants!$B$7,$CZ61=Constants!$B$8),1,0)</f>
        <v>0</v>
      </c>
      <c r="DD61" s="149" t="n">
        <v>53</v>
      </c>
      <c r="DE61" s="149" t="str">
        <f aca="false">IF(ISBLANK($C61),"",IF(ISNUMBER($DA61),$DA61+ROW($B61)/1000,""))</f>
        <v/>
      </c>
      <c r="DF61" s="149" t="str">
        <f aca="false">IF(ISNUMBER($DE61),RANK($DE61,$DE$9:$DE$508,1),"")</f>
        <v/>
      </c>
      <c r="DG61" s="149" t="str">
        <f aca="false">IF(ISBLANK($C61),"",$B61)</f>
        <v/>
      </c>
      <c r="DH61" s="149" t="str">
        <f aca="false">IF(ISBLANK($C61),"",$C61)</f>
        <v/>
      </c>
      <c r="DI61" s="149" t="str">
        <f aca="false">IF(ISBLANK($C61),"",$D61)</f>
        <v/>
      </c>
      <c r="DJ61" s="150" t="str">
        <f aca="false">$CX61</f>
        <v/>
      </c>
      <c r="DK61" s="151" t="str">
        <f aca="false">$CW61</f>
        <v/>
      </c>
      <c r="DL61" s="149" t="str">
        <f aca="false">IF(ISBLANK($C61),"",$CZ61)</f>
        <v/>
      </c>
      <c r="DM61" s="152" t="str">
        <f aca="false">IF($DD61&gt;$DC$8,"",VLOOKUP($DD61,$DF$9:$DL$508,7,FALSE()))</f>
        <v/>
      </c>
      <c r="DN61" s="153" t="str">
        <f aca="false">IF($DD61&gt;$DC$8,"",VLOOKUP($DD61,$DF$9:$DL$508,2,FALSE()))</f>
        <v/>
      </c>
      <c r="DO61" s="153" t="str">
        <f aca="false">IF($DD61&gt;$DC$8,"",VLOOKUP($DD61,$DF$9:$DL$508,3,FALSE()))</f>
        <v/>
      </c>
      <c r="DP61" s="153" t="str">
        <f aca="false">IF($DD61&gt;$DC$8,"",VLOOKUP($DD61,$DF$9:$DL$508,4,FALSE()))</f>
        <v/>
      </c>
      <c r="DQ61" s="153" t="str">
        <f aca="false">IF($DD61&gt;$DC$8,"",VLOOKUP($DD61,$DF$9:$DL$508,5,FALSE()))</f>
        <v/>
      </c>
      <c r="DR61" s="154" t="str">
        <f aca="false">IF($DD61&gt;$DC$8,"",VLOOKUP($DD61,$DF$9:$DL$508,6,FALSE()))</f>
        <v/>
      </c>
      <c r="DS61" s="76"/>
    </row>
    <row r="62" customFormat="false" ht="15.75" hidden="false" customHeight="false" outlineLevel="0" collapsed="false">
      <c r="A62" s="9"/>
      <c r="B62" s="160"/>
      <c r="C62" s="161"/>
      <c r="D62" s="162"/>
      <c r="E62" s="180"/>
      <c r="F62" s="164"/>
      <c r="G62" s="165"/>
      <c r="H62" s="165"/>
      <c r="I62" s="181"/>
      <c r="J62" s="168"/>
      <c r="K62" s="128"/>
      <c r="L62" s="129"/>
      <c r="M62" s="130"/>
      <c r="N62" s="168"/>
      <c r="O62" s="168"/>
      <c r="P62" s="180"/>
      <c r="Q62" s="168"/>
      <c r="R62" s="168"/>
      <c r="S62" s="128"/>
      <c r="T62" s="130"/>
      <c r="U62" s="130"/>
      <c r="V62" s="168"/>
      <c r="W62" s="168"/>
      <c r="X62" s="180"/>
      <c r="Y62" s="168"/>
      <c r="Z62" s="169"/>
      <c r="AA62" s="168"/>
      <c r="AB62" s="134"/>
      <c r="AC62" s="135"/>
      <c r="AD62" s="135"/>
      <c r="AE62" s="135"/>
      <c r="AF62" s="135" t="str">
        <f aca="false">IF(ISBLANK($C62),"",IF(E62=Constants!$B$2,TRUE(),IF(E62=Constants!$B$3,FALSE(),TRUE())))</f>
        <v/>
      </c>
      <c r="AG62" s="135" t="str">
        <f aca="false">IF(ISBLANK($C62),"",IF(F62=Constants!$B$2,TRUE(),IF(F62=Constants!$B$3,FALSE(),TRUE())))</f>
        <v/>
      </c>
      <c r="AH62" s="135" t="str">
        <f aca="false">IF(ISBLANK($C62),"",IF(G62=Constants!$B$2,TRUE(),IF(G62=Constants!$B$3,FALSE(),TRUE())))</f>
        <v/>
      </c>
      <c r="AI62" s="135" t="str">
        <f aca="false">IF(ISBLANK($C62),"",IF(AND(ISNUMBER(H62),H62&gt;=0),H62,Constants!$B$24))</f>
        <v/>
      </c>
      <c r="AJ62" s="135" t="str">
        <f aca="false">IF(ISBLANK($C62),"",IF(I62=Constants!$B$2,TRUE(),IF(I62=Constants!$B$3,FALSE(),TRUE())))</f>
        <v/>
      </c>
      <c r="AK62" s="135" t="str">
        <f aca="false">IF(ISBLANK($C62),"",IF(J62=Constants!$B$2,TRUE(),IF(J62=Constants!$B$3,FALSE(),TRUE())))</f>
        <v/>
      </c>
      <c r="AL62" s="135" t="str">
        <f aca="false">IF(ISBLANK($C62),"",IF(K62=Constants!$B$4,TRUE(),IF(K62=Constants!$B$5,FALSE(),COUNTA(L62:P62)&gt;0)))</f>
        <v/>
      </c>
      <c r="AM62" s="136" t="str">
        <f aca="false">IF(ISBLANK($C62),"",IF(ISNUMBER(L62),IF(L62&gt;=0,L62,""),""))</f>
        <v/>
      </c>
      <c r="AN62" s="137" t="str">
        <f aca="false">IF(ISBLANK($C62),"",IF(ISNUMBER(M62),IF(M62&gt;=0,M62,""),""))</f>
        <v/>
      </c>
      <c r="AO62" s="137" t="str">
        <f aca="false">IF(ISBLANK($C62),"",IF(N62=Constants!$B$2,TRUE(),IF(N62=Constants!$B$3,FALSE(),TRUE())))</f>
        <v/>
      </c>
      <c r="AP62" s="135" t="str">
        <f aca="false">IF(ISBLANK($C62),"",IF(ISNUMBER(O62),IF(O62&gt;=0,O62,""),""))</f>
        <v/>
      </c>
      <c r="AQ62" s="135" t="str">
        <f aca="false">IF(ISBLANK($C62),"",IF(P62=Constants!$B$2,TRUE(),IF(P62=Constants!$B$3,FALSE(),FALSE())))</f>
        <v/>
      </c>
      <c r="AR62" s="135" t="str">
        <f aca="false">IF(ISBLANK($C62),"",IF(Q62=Constants!$B$2,TRUE(),IF(Q62=Constants!$B$3,FALSE(),TRUE())))</f>
        <v/>
      </c>
      <c r="AS62" s="135" t="str">
        <f aca="false">IF(ISBLANK($C62),"",IF(R62=Constants!$B$2,TRUE(),IF(R62=Constants!$B$3,FALSE(),TRUE())))</f>
        <v/>
      </c>
      <c r="AT62" s="135" t="str">
        <f aca="false">IF(ISBLANK($C62),"",IF(S62=Constants!$B$4,TRUE(),IF(S62=Constants!$B$5,FALSE(),COUNTA(T62:X62)&gt;0)))</f>
        <v/>
      </c>
      <c r="AU62" s="136" t="str">
        <f aca="false">IF(ISBLANK($C62),"",IF(ISNUMBER(T62),IF(T62&gt;=0,T62,""),""))</f>
        <v/>
      </c>
      <c r="AV62" s="137" t="str">
        <f aca="false">IF(ISBLANK($C62),"",IF(ISNUMBER(U62),IF(U62&gt;=0,U62,""),""))</f>
        <v/>
      </c>
      <c r="AW62" s="137" t="str">
        <f aca="false">IF(ISBLANK($C62),"",IF(V62=Constants!$B$2,TRUE(),IF(V62=Constants!$B$3,FALSE(),TRUE())))</f>
        <v/>
      </c>
      <c r="AX62" s="135" t="str">
        <f aca="false">IF(ISBLANK($C62),"",IF(ISNUMBER(W62),IF(W62&gt;=0,W62,""),""))</f>
        <v/>
      </c>
      <c r="AY62" s="135" t="str">
        <f aca="false">IF(ISBLANK($C62),"",IF(X62=Constants!$B$2,TRUE(),IF(X62=Constants!$B$3,FALSE(),FALSE())))</f>
        <v/>
      </c>
      <c r="AZ62" s="135" t="str">
        <f aca="false">IF(ISBLANK($C62),"",MIN(Constants!$B$25,MAX(0,IF(ISNUMBER(Y62),Y62*60,0)+IF(ISNUMBER(Z62),Z62,0))))</f>
        <v/>
      </c>
      <c r="BA62" s="135" t="str">
        <f aca="false">IF(ISBLANK($C62),"",IF(AA62=Constants!$B$2,TRUE(),IF(AA62=Constants!$B$3,FALSE(),FALSE())))</f>
        <v/>
      </c>
      <c r="BB62" s="134" t="str">
        <f aca="false">IF(ISBLANK($C62),"",AND($AL62,OR($AM62="",$AN62="",AND($AO62,$AP62=""))))</f>
        <v/>
      </c>
      <c r="BC62" s="137" t="str">
        <f aca="false">IF($BX62&lt;&gt;Constants!$B$6,"",IF($AL62,Constants!$B$17*$AN62+Constants!$B$18*IF($AO62,$AP62,Constants!$B$19),Constants!$B$20))</f>
        <v/>
      </c>
      <c r="BD62" s="138" t="str">
        <f aca="false">IF($BX62&lt;&gt;Constants!$B$6,"",Constants!$B$21*ABS($AD$9-IF($AL62,$AM62,0)))</f>
        <v/>
      </c>
      <c r="BE62" s="138" t="str">
        <f aca="false">IF($BX62&lt;&gt;Constants!$B$6,"",IF(AND($AL62,$AQ62,$AO62),Constants!$B$22,0))</f>
        <v/>
      </c>
      <c r="BF62" s="138" t="str">
        <f aca="false">IF($BX62&lt;&gt;Constants!$B$6,"",IF($AL62,($AI62-Constants!$B$24)*Constants!$B$23,0))</f>
        <v/>
      </c>
      <c r="BG62" s="138" t="str">
        <f aca="false">IF($BX62&lt;&gt;Constants!$B$6,"",IF($AK62,0,Constants!$B$12)+IF($AJ62,0,Constants!$B$13)+IF($AH62,0,Constants!$B$14))</f>
        <v/>
      </c>
      <c r="BH62" s="139" t="str">
        <f aca="false">IF($BX62&lt;&gt;Constants!$B$6,"",Constants!$B$16+SUM($BC62:$BG62))</f>
        <v/>
      </c>
      <c r="BI62" s="138" t="str">
        <f aca="false">IF($BX62&lt;&gt;Constants!$B$6,"",$BC62)</f>
        <v/>
      </c>
      <c r="BJ62" s="138" t="str">
        <f aca="false">IF($BX62&lt;&gt;Constants!$B$6,"",$BD62)</f>
        <v/>
      </c>
      <c r="BK62" s="140" t="str">
        <f aca="false">IF($BX62&lt;&gt;Constants!$B$6,"",IF($AL62,$AN62,""))</f>
        <v/>
      </c>
      <c r="BL62" s="135" t="str">
        <f aca="false">IF($BX62&lt;&gt;Constants!$B$6,"",IF(OR($BS62&lt;$BH62,AND($BS62=$BH62,OR($BT62&lt;$BI62,AND($BT62=$BI62,OR($BU62&lt;$BJ62,AND($BU62=$BJ62,AND(ISNUMBER($BV62),OR(NOT(ISNUMBER($BK62)),$BV62&lt;$BK62)))))))),"-&gt;","&lt;-"))</f>
        <v/>
      </c>
      <c r="BM62" s="134" t="str">
        <f aca="false">IF(ISBLANK($C62),"",AND($AT62,OR($AU62="",$AV62="",AND($AW62,$AX62=""))))</f>
        <v/>
      </c>
      <c r="BN62" s="137" t="str">
        <f aca="false">IF($BX62&lt;&gt;Constants!$B$6,"",IF($AT62,Constants!$B$17*$AV62+Constants!$B$18*IF($AW62,$AX62,Constants!$B$19),Constants!$B$20))</f>
        <v/>
      </c>
      <c r="BO62" s="138" t="str">
        <f aca="false">IF($BX62&lt;&gt;Constants!$B$6,"",Constants!$B$21*ABS($AD$9-IF($AT62,$AU62,0)))</f>
        <v/>
      </c>
      <c r="BP62" s="138" t="str">
        <f aca="false">IF($BX62&lt;&gt;Constants!$B$6,"",IF(AND($AT62,$AY62,$AW62),Constants!$B$22,0))</f>
        <v/>
      </c>
      <c r="BQ62" s="138" t="str">
        <f aca="false">IF($BX62&lt;&gt;Constants!$B$6,"",IF($AT62,($AI62-Constants!$B$24)*Constants!$B$23,0))</f>
        <v/>
      </c>
      <c r="BR62" s="138" t="str">
        <f aca="false">IF($BX62&lt;&gt;Constants!$B$6,"",IF($AS62,0,Constants!$B$12)+IF($AR62,0,Constants!$B$13)+IF($AH62,0,Constants!$B$14))</f>
        <v/>
      </c>
      <c r="BS62" s="139" t="str">
        <f aca="false">IF($BX62&lt;&gt;Constants!$B$6,"",Constants!$B$16+SUM($BN62:$BR62))</f>
        <v/>
      </c>
      <c r="BT62" s="138" t="str">
        <f aca="false">IF($BX62&lt;&gt;Constants!$B$6,"",$BN62)</f>
        <v/>
      </c>
      <c r="BU62" s="138" t="str">
        <f aca="false">IF($BX62&lt;&gt;Constants!$B$6,"",$BO62)</f>
        <v/>
      </c>
      <c r="BV62" s="140" t="str">
        <f aca="false">IF($BX62&lt;&gt;Constants!$B$6,"",IF($AT62,$AV62,""))</f>
        <v/>
      </c>
      <c r="BW62" s="135" t="str">
        <f aca="false">IF(ISBLANK($C62),"",IF(ISBLANK($D$7),$BW$5,IF(NOT(ISNUMBER($D$7)),$BW$6,"")))</f>
        <v/>
      </c>
      <c r="BX62" s="135" t="str">
        <f aca="false">IF(ISBLANK($C62),"",IF($BA62,Constants!$B$9,IF(COUNTA($E62:$AA62)=0,Constants!$B$8,IF(NOT($AG62),Constants!$B$7,IF(OR($BW62&lt;&gt;"",$BB62,$BM62),Constants!$B$10,Constants!$B$6)))))</f>
        <v/>
      </c>
      <c r="BY62" s="135" t="str">
        <f aca="false">IF(ISBLANK($C62),"",IF($BX62&lt;&gt;Constants!$B$6,$BX62,Constants!$B$11))</f>
        <v/>
      </c>
      <c r="BZ62" s="138" t="str">
        <f aca="false">IF($BX62&lt;&gt;Constants!$B$6,"",IF($BL62="-&gt;",$BS62,$BH62))</f>
        <v/>
      </c>
      <c r="CA62" s="138" t="str">
        <f aca="false">IF($BX62&lt;&gt;Constants!$B$6,"",IF($AF62,0,Constants!$B$15))</f>
        <v/>
      </c>
      <c r="CB62" s="138" t="str">
        <f aca="false">IF($BX62&lt;&gt;Constants!$B$6,"",((Constants!$B$25-$AZ62)-Constants!$B$25)/Constants!$B$26)</f>
        <v/>
      </c>
      <c r="CC62" s="138" t="str">
        <f aca="false">IF(ISBLANK($C62),"",IF($BX62&lt;&gt;Constants!$B$6,$BX62,SUM($BZ62:$CB62)))</f>
        <v/>
      </c>
      <c r="CD62" s="135" t="str">
        <f aca="false">IF(ISBLANK($C62),"",IF($BX62&lt;&gt;Constants!$B$6,$BX62,RANK($CC62,$CC$9:$CC$508,1)))</f>
        <v/>
      </c>
      <c r="CE62" s="138" t="str">
        <f aca="false">IF($BX62&lt;&gt;Constants!$B$6,"",IF($BL62="-&gt;",$BT62,$BI62))</f>
        <v/>
      </c>
      <c r="CF62" s="135" t="str">
        <f aca="false">IF(ISBLANK($C62),"",IF($BX62&lt;&gt;Constants!$B$6,$BX62,IF(ISNUMBER($CE62),RANK($CE62,$CE$9:$CE$508,1),COUNT($CE$9:$CE$508)+1)))</f>
        <v/>
      </c>
      <c r="CG62" s="138" t="str">
        <f aca="false">IF($BX62&lt;&gt;Constants!$B$6,"",IF($BL62="-&gt;",$BU62,$BJ62))</f>
        <v/>
      </c>
      <c r="CH62" s="135" t="str">
        <f aca="false">IF(ISBLANK($C62),"",IF($BX62&lt;&gt;Constants!$B$6,$BX62,IF(ISNUMBER($CG62),RANK($CG62,$CG$9:$CG$508,1),COUNT($CG$9:$CG$508)+1)))</f>
        <v/>
      </c>
      <c r="CI62" s="138" t="str">
        <f aca="false">IF($BX62&lt;&gt;Constants!$B$6,"",IF($BL62="-&gt;",$BV62,$BK62))</f>
        <v/>
      </c>
      <c r="CJ62" s="135" t="str">
        <f aca="false">IF(ISBLANK($C62),"",IF($BX62&lt;&gt;Constants!$B$6,$BX62,IF(ISNUMBER($CI62),RANK($CI62,$CI$9:$CI$508,1),COUNT($CI$9:$CI$508)+1)))</f>
        <v/>
      </c>
      <c r="CK62" s="138" t="str">
        <f aca="false">IF($BX62&lt;&gt;Constants!$B$6,"",$AI62)</f>
        <v/>
      </c>
      <c r="CL62" s="135" t="str">
        <f aca="false">IF(ISBLANK($C62),"",IF($BX62&lt;&gt;Constants!$B$6,$BX62,IF(ISNUMBER($CK62),RANK($CK62,$CK$9:$CK$508,1),COUNT($CK$9:$CK$508)+1)))</f>
        <v/>
      </c>
      <c r="CM62" s="135" t="str">
        <f aca="false">IF(ISBLANK($C62),"",IF($BX62&lt;&gt;Constants!$B$6,$BX62,COUNTIFS($CD$9:$CD$508,"&lt;"&amp;$CD62)+COUNTIFS($CD$9:$CD$508,$CD62,$CF$9:$CF$508,"&lt;"&amp;$CF62)+COUNTIFS($CD$9:$CD$508,$CD62,$CF$9:$CF$508,$CF62,$CH$9:$CH$508,"&lt;"&amp;$CH62)+COUNTIFS($CD$9:$CD$508,$CD62,$CF$9:$CF$508,$CF62,$CH$9:$CH$508,$CH62,$CJ$9:$CJ$508,"&lt;"&amp;$CJ62)+COUNTIFS($CD$9:$CD$508,$CD62,$CF$9:$CF$508,$CF62,$CH$9:$CH$508,$CH62,$CJ$9:$CJ$508,$CJ62,$CL$9:$CL$508,"&lt;"&amp;$CL62)+1))</f>
        <v/>
      </c>
      <c r="CN62" s="135" t="str">
        <f aca="false">IF(ISBLANK($C62),"",IF($BX62&lt;&gt;Constants!$B$6,$BX62,$CD62-$CM62))</f>
        <v/>
      </c>
      <c r="CO62" s="141"/>
      <c r="CP62" s="142"/>
      <c r="CQ62" s="143" t="str">
        <f aca="false">IF(ISBLANK($C62),"",IF($BX62=Constants!$B$10,$BW62,""))</f>
        <v/>
      </c>
      <c r="CR62" s="142" t="str">
        <f aca="false">IF(ISBLANK($C62),"",IF($BX62&lt;&gt;Constants!$B$6,"",IF($BL62="-&gt;",2,1)))</f>
        <v/>
      </c>
      <c r="CS62" s="144" t="str">
        <f aca="false">IF(ISBLANK($C62),"",IF($BX62&lt;&gt;Constants!$B$6,"",IF($BL62="-&gt;",$BN62,$BC62)))</f>
        <v/>
      </c>
      <c r="CT62" s="144" t="str">
        <f aca="false">IF(ISBLANK($C62),"",IF($BX62&lt;&gt;Constants!$B$6,"",IF($BL62="-&gt;",$BO62,$BD62)))</f>
        <v/>
      </c>
      <c r="CU62" s="144" t="str">
        <f aca="false">IF(ISBLANK($C62),"",IF($BX62&lt;&gt;Constants!$B$6,"",IF($BL62="-&gt;",$BP62+$BQ62,$BE62+$BF62)+$CB62))</f>
        <v/>
      </c>
      <c r="CV62" s="144" t="str">
        <f aca="false">IF(ISBLANK($C62),"",IF($BX62&lt;&gt;Constants!$B$6,"",IF($BL62="-&gt;",$BR62,$BG62)+$CA62))</f>
        <v/>
      </c>
      <c r="CW62" s="145" t="str">
        <f aca="false">IF(ISBLANK($C62),"",IF($BX62&lt;&gt;Constants!$B$6,$BX62,$CC62))</f>
        <v/>
      </c>
      <c r="CX62" s="146" t="str">
        <f aca="false">IF(ISBLANK($C62),"",$BY62)</f>
        <v/>
      </c>
      <c r="CY62" s="147" t="str">
        <f aca="false">IF(ISBLANK($C62),"",$CN62)</f>
        <v/>
      </c>
      <c r="CZ62" s="147" t="str">
        <f aca="false">IF(ISBLANK($C62),"",$CM62)</f>
        <v/>
      </c>
      <c r="DA62" s="148" t="str">
        <f aca="false">IF(ISBLANK($C62),"",IFERROR(_xlfn.SWITCH($CZ62,Constants!$B$9,COUNTA($C$9:$C$508)+2,Constants!$B$8,COUNTA($C$9:$C$508)+1,Constants!$B$7,COUNTA($C$9:$C$508)),$CZ62))</f>
        <v/>
      </c>
      <c r="DB62" s="9"/>
      <c r="DC62" s="149" t="n">
        <f aca="false">IF(OR(ISNUMBER($CZ62),$CZ62=Constants!$B$9,$CZ62=Constants!$B$7,$CZ62=Constants!$B$8),1,0)</f>
        <v>0</v>
      </c>
      <c r="DD62" s="149" t="n">
        <v>54</v>
      </c>
      <c r="DE62" s="149" t="str">
        <f aca="false">IF(ISBLANK($C62),"",IF(ISNUMBER($DA62),$DA62+ROW($B62)/1000,""))</f>
        <v/>
      </c>
      <c r="DF62" s="149" t="str">
        <f aca="false">IF(ISNUMBER($DE62),RANK($DE62,$DE$9:$DE$508,1),"")</f>
        <v/>
      </c>
      <c r="DG62" s="149" t="str">
        <f aca="false">IF(ISBLANK($C62),"",$B62)</f>
        <v/>
      </c>
      <c r="DH62" s="149" t="str">
        <f aca="false">IF(ISBLANK($C62),"",$C62)</f>
        <v/>
      </c>
      <c r="DI62" s="149" t="str">
        <f aca="false">IF(ISBLANK($C62),"",$D62)</f>
        <v/>
      </c>
      <c r="DJ62" s="150" t="str">
        <f aca="false">$CX62</f>
        <v/>
      </c>
      <c r="DK62" s="151" t="str">
        <f aca="false">$CW62</f>
        <v/>
      </c>
      <c r="DL62" s="149" t="str">
        <f aca="false">IF(ISBLANK($C62),"",$CZ62)</f>
        <v/>
      </c>
      <c r="DM62" s="152" t="str">
        <f aca="false">IF($DD62&gt;$DC$8,"",VLOOKUP($DD62,$DF$9:$DL$508,7,FALSE()))</f>
        <v/>
      </c>
      <c r="DN62" s="153" t="str">
        <f aca="false">IF($DD62&gt;$DC$8,"",VLOOKUP($DD62,$DF$9:$DL$508,2,FALSE()))</f>
        <v/>
      </c>
      <c r="DO62" s="153" t="str">
        <f aca="false">IF($DD62&gt;$DC$8,"",VLOOKUP($DD62,$DF$9:$DL$508,3,FALSE()))</f>
        <v/>
      </c>
      <c r="DP62" s="153" t="str">
        <f aca="false">IF($DD62&gt;$DC$8,"",VLOOKUP($DD62,$DF$9:$DL$508,4,FALSE()))</f>
        <v/>
      </c>
      <c r="DQ62" s="153" t="str">
        <f aca="false">IF($DD62&gt;$DC$8,"",VLOOKUP($DD62,$DF$9:$DL$508,5,FALSE()))</f>
        <v/>
      </c>
      <c r="DR62" s="154" t="str">
        <f aca="false">IF($DD62&gt;$DC$8,"",VLOOKUP($DD62,$DF$9:$DL$508,6,FALSE()))</f>
        <v/>
      </c>
      <c r="DS62" s="76"/>
    </row>
    <row r="63" customFormat="false" ht="15.75" hidden="false" customHeight="false" outlineLevel="0" collapsed="false">
      <c r="A63" s="9"/>
      <c r="B63" s="78"/>
      <c r="C63" s="79"/>
      <c r="D63" s="170"/>
      <c r="E63" s="178"/>
      <c r="F63" s="172"/>
      <c r="G63" s="173"/>
      <c r="H63" s="173"/>
      <c r="I63" s="179"/>
      <c r="J63" s="176"/>
      <c r="K63" s="86"/>
      <c r="L63" s="87"/>
      <c r="M63" s="88"/>
      <c r="N63" s="176"/>
      <c r="O63" s="176"/>
      <c r="P63" s="178"/>
      <c r="Q63" s="176"/>
      <c r="R63" s="176"/>
      <c r="S63" s="86"/>
      <c r="T63" s="88"/>
      <c r="U63" s="88"/>
      <c r="V63" s="176"/>
      <c r="W63" s="176"/>
      <c r="X63" s="178"/>
      <c r="Y63" s="176"/>
      <c r="Z63" s="177"/>
      <c r="AA63" s="176"/>
      <c r="AB63" s="92"/>
      <c r="AC63" s="93"/>
      <c r="AD63" s="93"/>
      <c r="AE63" s="93"/>
      <c r="AF63" s="93" t="str">
        <f aca="false">IF(ISBLANK($C63),"",IF(E63=Constants!$B$2,TRUE(),IF(E63=Constants!$B$3,FALSE(),TRUE())))</f>
        <v/>
      </c>
      <c r="AG63" s="93" t="str">
        <f aca="false">IF(ISBLANK($C63),"",IF(F63=Constants!$B$2,TRUE(),IF(F63=Constants!$B$3,FALSE(),TRUE())))</f>
        <v/>
      </c>
      <c r="AH63" s="93" t="str">
        <f aca="false">IF(ISBLANK($C63),"",IF(G63=Constants!$B$2,TRUE(),IF(G63=Constants!$B$3,FALSE(),TRUE())))</f>
        <v/>
      </c>
      <c r="AI63" s="93" t="str">
        <f aca="false">IF(ISBLANK($C63),"",IF(AND(ISNUMBER(H63),H63&gt;=0),H63,Constants!$B$24))</f>
        <v/>
      </c>
      <c r="AJ63" s="93" t="str">
        <f aca="false">IF(ISBLANK($C63),"",IF(I63=Constants!$B$2,TRUE(),IF(I63=Constants!$B$3,FALSE(),TRUE())))</f>
        <v/>
      </c>
      <c r="AK63" s="93" t="str">
        <f aca="false">IF(ISBLANK($C63),"",IF(J63=Constants!$B$2,TRUE(),IF(J63=Constants!$B$3,FALSE(),TRUE())))</f>
        <v/>
      </c>
      <c r="AL63" s="93" t="str">
        <f aca="false">IF(ISBLANK($C63),"",IF(K63=Constants!$B$4,TRUE(),IF(K63=Constants!$B$5,FALSE(),COUNTA(L63:P63)&gt;0)))</f>
        <v/>
      </c>
      <c r="AM63" s="95" t="str">
        <f aca="false">IF(ISBLANK($C63),"",IF(ISNUMBER(L63),IF(L63&gt;=0,L63,""),""))</f>
        <v/>
      </c>
      <c r="AN63" s="94" t="str">
        <f aca="false">IF(ISBLANK($C63),"",IF(ISNUMBER(M63),IF(M63&gt;=0,M63,""),""))</f>
        <v/>
      </c>
      <c r="AO63" s="94" t="str">
        <f aca="false">IF(ISBLANK($C63),"",IF(N63=Constants!$B$2,TRUE(),IF(N63=Constants!$B$3,FALSE(),TRUE())))</f>
        <v/>
      </c>
      <c r="AP63" s="93" t="str">
        <f aca="false">IF(ISBLANK($C63),"",IF(ISNUMBER(O63),IF(O63&gt;=0,O63,""),""))</f>
        <v/>
      </c>
      <c r="AQ63" s="93" t="str">
        <f aca="false">IF(ISBLANK($C63),"",IF(P63=Constants!$B$2,TRUE(),IF(P63=Constants!$B$3,FALSE(),FALSE())))</f>
        <v/>
      </c>
      <c r="AR63" s="93" t="str">
        <f aca="false">IF(ISBLANK($C63),"",IF(Q63=Constants!$B$2,TRUE(),IF(Q63=Constants!$B$3,FALSE(),TRUE())))</f>
        <v/>
      </c>
      <c r="AS63" s="93" t="str">
        <f aca="false">IF(ISBLANK($C63),"",IF(R63=Constants!$B$2,TRUE(),IF(R63=Constants!$B$3,FALSE(),TRUE())))</f>
        <v/>
      </c>
      <c r="AT63" s="93" t="str">
        <f aca="false">IF(ISBLANK($C63),"",IF(S63=Constants!$B$4,TRUE(),IF(S63=Constants!$B$5,FALSE(),COUNTA(T63:X63)&gt;0)))</f>
        <v/>
      </c>
      <c r="AU63" s="95" t="str">
        <f aca="false">IF(ISBLANK($C63),"",IF(ISNUMBER(T63),IF(T63&gt;=0,T63,""),""))</f>
        <v/>
      </c>
      <c r="AV63" s="94" t="str">
        <f aca="false">IF(ISBLANK($C63),"",IF(ISNUMBER(U63),IF(U63&gt;=0,U63,""),""))</f>
        <v/>
      </c>
      <c r="AW63" s="94" t="str">
        <f aca="false">IF(ISBLANK($C63),"",IF(V63=Constants!$B$2,TRUE(),IF(V63=Constants!$B$3,FALSE(),TRUE())))</f>
        <v/>
      </c>
      <c r="AX63" s="93" t="str">
        <f aca="false">IF(ISBLANK($C63),"",IF(ISNUMBER(W63),IF(W63&gt;=0,W63,""),""))</f>
        <v/>
      </c>
      <c r="AY63" s="93" t="str">
        <f aca="false">IF(ISBLANK($C63),"",IF(X63=Constants!$B$2,TRUE(),IF(X63=Constants!$B$3,FALSE(),FALSE())))</f>
        <v/>
      </c>
      <c r="AZ63" s="93" t="str">
        <f aca="false">IF(ISBLANK($C63),"",MIN(Constants!$B$25,MAX(0,IF(ISNUMBER(Y63),Y63*60,0)+IF(ISNUMBER(Z63),Z63,0))))</f>
        <v/>
      </c>
      <c r="BA63" s="93" t="str">
        <f aca="false">IF(ISBLANK($C63),"",IF(AA63=Constants!$B$2,TRUE(),IF(AA63=Constants!$B$3,FALSE(),FALSE())))</f>
        <v/>
      </c>
      <c r="BB63" s="92" t="str">
        <f aca="false">IF(ISBLANK($C63),"",AND($AL63,OR($AM63="",$AN63="",AND($AO63,$AP63=""))))</f>
        <v/>
      </c>
      <c r="BC63" s="94" t="str">
        <f aca="false">IF($BX63&lt;&gt;Constants!$B$6,"",IF($AL63,Constants!$B$17*$AN63+Constants!$B$18*IF($AO63,$AP63,Constants!$B$19),Constants!$B$20))</f>
        <v/>
      </c>
      <c r="BD63" s="97" t="str">
        <f aca="false">IF($BX63&lt;&gt;Constants!$B$6,"",Constants!$B$21*ABS($AD$9-IF($AL63,$AM63,0)))</f>
        <v/>
      </c>
      <c r="BE63" s="97" t="str">
        <f aca="false">IF($BX63&lt;&gt;Constants!$B$6,"",IF(AND($AL63,$AQ63,$AO63),Constants!$B$22,0))</f>
        <v/>
      </c>
      <c r="BF63" s="97" t="str">
        <f aca="false">IF($BX63&lt;&gt;Constants!$B$6,"",IF($AL63,($AI63-Constants!$B$24)*Constants!$B$23,0))</f>
        <v/>
      </c>
      <c r="BG63" s="97" t="str">
        <f aca="false">IF($BX63&lt;&gt;Constants!$B$6,"",IF($AK63,0,Constants!$B$12)+IF($AJ63,0,Constants!$B$13)+IF($AH63,0,Constants!$B$14))</f>
        <v/>
      </c>
      <c r="BH63" s="98" t="str">
        <f aca="false">IF($BX63&lt;&gt;Constants!$B$6,"",Constants!$B$16+SUM($BC63:$BG63))</f>
        <v/>
      </c>
      <c r="BI63" s="97" t="str">
        <f aca="false">IF($BX63&lt;&gt;Constants!$B$6,"",$BC63)</f>
        <v/>
      </c>
      <c r="BJ63" s="97" t="str">
        <f aca="false">IF($BX63&lt;&gt;Constants!$B$6,"",$BD63)</f>
        <v/>
      </c>
      <c r="BK63" s="99" t="str">
        <f aca="false">IF($BX63&lt;&gt;Constants!$B$6,"",IF($AL63,$AN63,""))</f>
        <v/>
      </c>
      <c r="BL63" s="93" t="str">
        <f aca="false">IF($BX63&lt;&gt;Constants!$B$6,"",IF(OR($BS63&lt;$BH63,AND($BS63=$BH63,OR($BT63&lt;$BI63,AND($BT63=$BI63,OR($BU63&lt;$BJ63,AND($BU63=$BJ63,AND(ISNUMBER($BV63),OR(NOT(ISNUMBER($BK63)),$BV63&lt;$BK63)))))))),"-&gt;","&lt;-"))</f>
        <v/>
      </c>
      <c r="BM63" s="92" t="str">
        <f aca="false">IF(ISBLANK($C63),"",AND($AT63,OR($AU63="",$AV63="",AND($AW63,$AX63=""))))</f>
        <v/>
      </c>
      <c r="BN63" s="94" t="str">
        <f aca="false">IF($BX63&lt;&gt;Constants!$B$6,"",IF($AT63,Constants!$B$17*$AV63+Constants!$B$18*IF($AW63,$AX63,Constants!$B$19),Constants!$B$20))</f>
        <v/>
      </c>
      <c r="BO63" s="97" t="str">
        <f aca="false">IF($BX63&lt;&gt;Constants!$B$6,"",Constants!$B$21*ABS($AD$9-IF($AT63,$AU63,0)))</f>
        <v/>
      </c>
      <c r="BP63" s="97" t="str">
        <f aca="false">IF($BX63&lt;&gt;Constants!$B$6,"",IF(AND($AT63,$AY63,$AW63),Constants!$B$22,0))</f>
        <v/>
      </c>
      <c r="BQ63" s="97" t="str">
        <f aca="false">IF($BX63&lt;&gt;Constants!$B$6,"",IF($AT63,($AI63-Constants!$B$24)*Constants!$B$23,0))</f>
        <v/>
      </c>
      <c r="BR63" s="97" t="str">
        <f aca="false">IF($BX63&lt;&gt;Constants!$B$6,"",IF($AS63,0,Constants!$B$12)+IF($AR63,0,Constants!$B$13)+IF($AH63,0,Constants!$B$14))</f>
        <v/>
      </c>
      <c r="BS63" s="98" t="str">
        <f aca="false">IF($BX63&lt;&gt;Constants!$B$6,"",Constants!$B$16+SUM($BN63:$BR63))</f>
        <v/>
      </c>
      <c r="BT63" s="97" t="str">
        <f aca="false">IF($BX63&lt;&gt;Constants!$B$6,"",$BN63)</f>
        <v/>
      </c>
      <c r="BU63" s="97" t="str">
        <f aca="false">IF($BX63&lt;&gt;Constants!$B$6,"",$BO63)</f>
        <v/>
      </c>
      <c r="BV63" s="99" t="str">
        <f aca="false">IF($BX63&lt;&gt;Constants!$B$6,"",IF($AT63,$AV63,""))</f>
        <v/>
      </c>
      <c r="BW63" s="93" t="str">
        <f aca="false">IF(ISBLANK($C63),"",IF(ISBLANK($D$7),$BW$5,IF(NOT(ISNUMBER($D$7)),$BW$6,"")))</f>
        <v/>
      </c>
      <c r="BX63" s="93" t="str">
        <f aca="false">IF(ISBLANK($C63),"",IF($BA63,Constants!$B$9,IF(COUNTA($E63:$AA63)=0,Constants!$B$8,IF(NOT($AG63),Constants!$B$7,IF(OR($BW63&lt;&gt;"",$BB63,$BM63),Constants!$B$10,Constants!$B$6)))))</f>
        <v/>
      </c>
      <c r="BY63" s="93" t="str">
        <f aca="false">IF(ISBLANK($C63),"",IF($BX63&lt;&gt;Constants!$B$6,$BX63,Constants!$B$11))</f>
        <v/>
      </c>
      <c r="BZ63" s="97" t="str">
        <f aca="false">IF($BX63&lt;&gt;Constants!$B$6,"",IF($BL63="-&gt;",$BS63,$BH63))</f>
        <v/>
      </c>
      <c r="CA63" s="97" t="str">
        <f aca="false">IF($BX63&lt;&gt;Constants!$B$6,"",IF($AF63,0,Constants!$B$15))</f>
        <v/>
      </c>
      <c r="CB63" s="97" t="str">
        <f aca="false">IF($BX63&lt;&gt;Constants!$B$6,"",((Constants!$B$25-$AZ63)-Constants!$B$25)/Constants!$B$26)</f>
        <v/>
      </c>
      <c r="CC63" s="97" t="str">
        <f aca="false">IF(ISBLANK($C63),"",IF($BX63&lt;&gt;Constants!$B$6,$BX63,SUM($BZ63:$CB63)))</f>
        <v/>
      </c>
      <c r="CD63" s="93" t="str">
        <f aca="false">IF(ISBLANK($C63),"",IF($BX63&lt;&gt;Constants!$B$6,$BX63,RANK($CC63,$CC$9:$CC$508,1)))</f>
        <v/>
      </c>
      <c r="CE63" s="97" t="str">
        <f aca="false">IF($BX63&lt;&gt;Constants!$B$6,"",IF($BL63="-&gt;",$BT63,$BI63))</f>
        <v/>
      </c>
      <c r="CF63" s="93" t="str">
        <f aca="false">IF(ISBLANK($C63),"",IF($BX63&lt;&gt;Constants!$B$6,$BX63,IF(ISNUMBER($CE63),RANK($CE63,$CE$9:$CE$508,1),COUNT($CE$9:$CE$508)+1)))</f>
        <v/>
      </c>
      <c r="CG63" s="97" t="str">
        <f aca="false">IF($BX63&lt;&gt;Constants!$B$6,"",IF($BL63="-&gt;",$BU63,$BJ63))</f>
        <v/>
      </c>
      <c r="CH63" s="93" t="str">
        <f aca="false">IF(ISBLANK($C63),"",IF($BX63&lt;&gt;Constants!$B$6,$BX63,IF(ISNUMBER($CG63),RANK($CG63,$CG$9:$CG$508,1),COUNT($CG$9:$CG$508)+1)))</f>
        <v/>
      </c>
      <c r="CI63" s="97" t="str">
        <f aca="false">IF($BX63&lt;&gt;Constants!$B$6,"",IF($BL63="-&gt;",$BV63,$BK63))</f>
        <v/>
      </c>
      <c r="CJ63" s="93" t="str">
        <f aca="false">IF(ISBLANK($C63),"",IF($BX63&lt;&gt;Constants!$B$6,$BX63,IF(ISNUMBER($CI63),RANK($CI63,$CI$9:$CI$508,1),COUNT($CI$9:$CI$508)+1)))</f>
        <v/>
      </c>
      <c r="CK63" s="97" t="str">
        <f aca="false">IF($BX63&lt;&gt;Constants!$B$6,"",$AI63)</f>
        <v/>
      </c>
      <c r="CL63" s="93" t="str">
        <f aca="false">IF(ISBLANK($C63),"",IF($BX63&lt;&gt;Constants!$B$6,$BX63,IF(ISNUMBER($CK63),RANK($CK63,$CK$9:$CK$508,1),COUNT($CK$9:$CK$508)+1)))</f>
        <v/>
      </c>
      <c r="CM63" s="93" t="str">
        <f aca="false">IF(ISBLANK($C63),"",IF($BX63&lt;&gt;Constants!$B$6,$BX63,COUNTIFS($CD$9:$CD$508,"&lt;"&amp;$CD63)+COUNTIFS($CD$9:$CD$508,$CD63,$CF$9:$CF$508,"&lt;"&amp;$CF63)+COUNTIFS($CD$9:$CD$508,$CD63,$CF$9:$CF$508,$CF63,$CH$9:$CH$508,"&lt;"&amp;$CH63)+COUNTIFS($CD$9:$CD$508,$CD63,$CF$9:$CF$508,$CF63,$CH$9:$CH$508,$CH63,$CJ$9:$CJ$508,"&lt;"&amp;$CJ63)+COUNTIFS($CD$9:$CD$508,$CD63,$CF$9:$CF$508,$CF63,$CH$9:$CH$508,$CH63,$CJ$9:$CJ$508,$CJ63,$CL$9:$CL$508,"&lt;"&amp;$CL63)+1))</f>
        <v/>
      </c>
      <c r="CN63" s="93" t="str">
        <f aca="false">IF(ISBLANK($C63),"",IF($BX63&lt;&gt;Constants!$B$6,$BX63,$CD63-$CM63))</f>
        <v/>
      </c>
      <c r="CO63" s="100"/>
      <c r="CP63" s="101"/>
      <c r="CQ63" s="102" t="str">
        <f aca="false">IF(ISBLANK($C63),"",IF($BX63=Constants!$B$10,$BW63,""))</f>
        <v/>
      </c>
      <c r="CR63" s="101" t="str">
        <f aca="false">IF(ISBLANK($C63),"",IF($BX63&lt;&gt;Constants!$B$6,"",IF($BL63="-&gt;",2,1)))</f>
        <v/>
      </c>
      <c r="CS63" s="103" t="str">
        <f aca="false">IF(ISBLANK($C63),"",IF($BX63&lt;&gt;Constants!$B$6,"",IF($BL63="-&gt;",$BN63,$BC63)))</f>
        <v/>
      </c>
      <c r="CT63" s="103" t="str">
        <f aca="false">IF(ISBLANK($C63),"",IF($BX63&lt;&gt;Constants!$B$6,"",IF($BL63="-&gt;",$BO63,$BD63)))</f>
        <v/>
      </c>
      <c r="CU63" s="103" t="str">
        <f aca="false">IF(ISBLANK($C63),"",IF($BX63&lt;&gt;Constants!$B$6,"",IF($BL63="-&gt;",$BP63+$BQ63,$BE63+$BF63)+$CB63))</f>
        <v/>
      </c>
      <c r="CV63" s="103" t="str">
        <f aca="false">IF(ISBLANK($C63),"",IF($BX63&lt;&gt;Constants!$B$6,"",IF($BL63="-&gt;",$BR63,$BG63)+$CA63))</f>
        <v/>
      </c>
      <c r="CW63" s="104" t="str">
        <f aca="false">IF(ISBLANK($C63),"",IF($BX63&lt;&gt;Constants!$B$6,$BX63,$CC63))</f>
        <v/>
      </c>
      <c r="CX63" s="105" t="str">
        <f aca="false">IF(ISBLANK($C63),"",$BY63)</f>
        <v/>
      </c>
      <c r="CY63" s="106" t="str">
        <f aca="false">IF(ISBLANK($C63),"",$CN63)</f>
        <v/>
      </c>
      <c r="CZ63" s="106" t="str">
        <f aca="false">IF(ISBLANK($C63),"",$CM63)</f>
        <v/>
      </c>
      <c r="DA63" s="107" t="str">
        <f aca="false">IF(ISBLANK($C63),"",IFERROR(_xlfn.SWITCH($CZ63,Constants!$B$9,COUNTA($C$9:$C$508)+2,Constants!$B$8,COUNTA($C$9:$C$508)+1,Constants!$B$7,COUNTA($C$9:$C$508)),$CZ63))</f>
        <v/>
      </c>
      <c r="DB63" s="9"/>
      <c r="DC63" s="108" t="n">
        <f aca="false">IF(OR(ISNUMBER($CZ63),$CZ63=Constants!$B$9,$CZ63=Constants!$B$7,$CZ63=Constants!$B$8),1,0)</f>
        <v>0</v>
      </c>
      <c r="DD63" s="108" t="n">
        <v>55</v>
      </c>
      <c r="DE63" s="108" t="str">
        <f aca="false">IF(ISBLANK($C63),"",IF(ISNUMBER($DA63),$DA63+ROW($B63)/1000,""))</f>
        <v/>
      </c>
      <c r="DF63" s="108" t="str">
        <f aca="false">IF(ISNUMBER($DE63),RANK($DE63,$DE$9:$DE$508,1),"")</f>
        <v/>
      </c>
      <c r="DG63" s="108" t="str">
        <f aca="false">IF(ISBLANK($C63),"",$B63)</f>
        <v/>
      </c>
      <c r="DH63" s="108" t="str">
        <f aca="false">IF(ISBLANK($C63),"",$C63)</f>
        <v/>
      </c>
      <c r="DI63" s="108" t="str">
        <f aca="false">IF(ISBLANK($C63),"",$D63)</f>
        <v/>
      </c>
      <c r="DJ63" s="109" t="str">
        <f aca="false">$CX63</f>
        <v/>
      </c>
      <c r="DK63" s="110" t="str">
        <f aca="false">$CW63</f>
        <v/>
      </c>
      <c r="DL63" s="108" t="str">
        <f aca="false">IF(ISBLANK($C63),"",$CZ63)</f>
        <v/>
      </c>
      <c r="DM63" s="111" t="str">
        <f aca="false">IF($DD63&gt;$DC$8,"",VLOOKUP($DD63,$DF$9:$DL$508,7,FALSE()))</f>
        <v/>
      </c>
      <c r="DN63" s="112" t="str">
        <f aca="false">IF($DD63&gt;$DC$8,"",VLOOKUP($DD63,$DF$9:$DL$508,2,FALSE()))</f>
        <v/>
      </c>
      <c r="DO63" s="112" t="str">
        <f aca="false">IF($DD63&gt;$DC$8,"",VLOOKUP($DD63,$DF$9:$DL$508,3,FALSE()))</f>
        <v/>
      </c>
      <c r="DP63" s="112" t="str">
        <f aca="false">IF($DD63&gt;$DC$8,"",VLOOKUP($DD63,$DF$9:$DL$508,4,FALSE()))</f>
        <v/>
      </c>
      <c r="DQ63" s="112" t="str">
        <f aca="false">IF($DD63&gt;$DC$8,"",VLOOKUP($DD63,$DF$9:$DL$508,5,FALSE()))</f>
        <v/>
      </c>
      <c r="DR63" s="113" t="str">
        <f aca="false">IF($DD63&gt;$DC$8,"",VLOOKUP($DD63,$DF$9:$DL$508,6,FALSE()))</f>
        <v/>
      </c>
      <c r="DS63" s="76"/>
    </row>
    <row r="64" customFormat="false" ht="15.75" hidden="false" customHeight="false" outlineLevel="0" collapsed="false">
      <c r="A64" s="9"/>
      <c r="B64" s="78"/>
      <c r="C64" s="79"/>
      <c r="D64" s="170"/>
      <c r="E64" s="178"/>
      <c r="F64" s="172"/>
      <c r="G64" s="173"/>
      <c r="H64" s="173"/>
      <c r="I64" s="179"/>
      <c r="J64" s="176"/>
      <c r="K64" s="86"/>
      <c r="L64" s="87"/>
      <c r="M64" s="88"/>
      <c r="N64" s="176"/>
      <c r="O64" s="176"/>
      <c r="P64" s="178"/>
      <c r="Q64" s="176"/>
      <c r="R64" s="176"/>
      <c r="S64" s="86"/>
      <c r="T64" s="88"/>
      <c r="U64" s="88"/>
      <c r="V64" s="176"/>
      <c r="W64" s="176"/>
      <c r="X64" s="178"/>
      <c r="Y64" s="176"/>
      <c r="Z64" s="177"/>
      <c r="AA64" s="176"/>
      <c r="AB64" s="92"/>
      <c r="AC64" s="93"/>
      <c r="AD64" s="93"/>
      <c r="AE64" s="93"/>
      <c r="AF64" s="93" t="str">
        <f aca="false">IF(ISBLANK($C64),"",IF(E64=Constants!$B$2,TRUE(),IF(E64=Constants!$B$3,FALSE(),TRUE())))</f>
        <v/>
      </c>
      <c r="AG64" s="93" t="str">
        <f aca="false">IF(ISBLANK($C64),"",IF(F64=Constants!$B$2,TRUE(),IF(F64=Constants!$B$3,FALSE(),TRUE())))</f>
        <v/>
      </c>
      <c r="AH64" s="93" t="str">
        <f aca="false">IF(ISBLANK($C64),"",IF(G64=Constants!$B$2,TRUE(),IF(G64=Constants!$B$3,FALSE(),TRUE())))</f>
        <v/>
      </c>
      <c r="AI64" s="93" t="str">
        <f aca="false">IF(ISBLANK($C64),"",IF(AND(ISNUMBER(H64),H64&gt;=0),H64,Constants!$B$24))</f>
        <v/>
      </c>
      <c r="AJ64" s="93" t="str">
        <f aca="false">IF(ISBLANK($C64),"",IF(I64=Constants!$B$2,TRUE(),IF(I64=Constants!$B$3,FALSE(),TRUE())))</f>
        <v/>
      </c>
      <c r="AK64" s="93" t="str">
        <f aca="false">IF(ISBLANK($C64),"",IF(J64=Constants!$B$2,TRUE(),IF(J64=Constants!$B$3,FALSE(),TRUE())))</f>
        <v/>
      </c>
      <c r="AL64" s="93" t="str">
        <f aca="false">IF(ISBLANK($C64),"",IF(K64=Constants!$B$4,TRUE(),IF(K64=Constants!$B$5,FALSE(),COUNTA(L64:P64)&gt;0)))</f>
        <v/>
      </c>
      <c r="AM64" s="95" t="str">
        <f aca="false">IF(ISBLANK($C64),"",IF(ISNUMBER(L64),IF(L64&gt;=0,L64,""),""))</f>
        <v/>
      </c>
      <c r="AN64" s="94" t="str">
        <f aca="false">IF(ISBLANK($C64),"",IF(ISNUMBER(M64),IF(M64&gt;=0,M64,""),""))</f>
        <v/>
      </c>
      <c r="AO64" s="94" t="str">
        <f aca="false">IF(ISBLANK($C64),"",IF(N64=Constants!$B$2,TRUE(),IF(N64=Constants!$B$3,FALSE(),TRUE())))</f>
        <v/>
      </c>
      <c r="AP64" s="93" t="str">
        <f aca="false">IF(ISBLANK($C64),"",IF(ISNUMBER(O64),IF(O64&gt;=0,O64,""),""))</f>
        <v/>
      </c>
      <c r="AQ64" s="93" t="str">
        <f aca="false">IF(ISBLANK($C64),"",IF(P64=Constants!$B$2,TRUE(),IF(P64=Constants!$B$3,FALSE(),FALSE())))</f>
        <v/>
      </c>
      <c r="AR64" s="93" t="str">
        <f aca="false">IF(ISBLANK($C64),"",IF(Q64=Constants!$B$2,TRUE(),IF(Q64=Constants!$B$3,FALSE(),TRUE())))</f>
        <v/>
      </c>
      <c r="AS64" s="93" t="str">
        <f aca="false">IF(ISBLANK($C64),"",IF(R64=Constants!$B$2,TRUE(),IF(R64=Constants!$B$3,FALSE(),TRUE())))</f>
        <v/>
      </c>
      <c r="AT64" s="93" t="str">
        <f aca="false">IF(ISBLANK($C64),"",IF(S64=Constants!$B$4,TRUE(),IF(S64=Constants!$B$5,FALSE(),COUNTA(T64:X64)&gt;0)))</f>
        <v/>
      </c>
      <c r="AU64" s="95" t="str">
        <f aca="false">IF(ISBLANK($C64),"",IF(ISNUMBER(T64),IF(T64&gt;=0,T64,""),""))</f>
        <v/>
      </c>
      <c r="AV64" s="94" t="str">
        <f aca="false">IF(ISBLANK($C64),"",IF(ISNUMBER(U64),IF(U64&gt;=0,U64,""),""))</f>
        <v/>
      </c>
      <c r="AW64" s="94" t="str">
        <f aca="false">IF(ISBLANK($C64),"",IF(V64=Constants!$B$2,TRUE(),IF(V64=Constants!$B$3,FALSE(),TRUE())))</f>
        <v/>
      </c>
      <c r="AX64" s="93" t="str">
        <f aca="false">IF(ISBLANK($C64),"",IF(ISNUMBER(W64),IF(W64&gt;=0,W64,""),""))</f>
        <v/>
      </c>
      <c r="AY64" s="93" t="str">
        <f aca="false">IF(ISBLANK($C64),"",IF(X64=Constants!$B$2,TRUE(),IF(X64=Constants!$B$3,FALSE(),FALSE())))</f>
        <v/>
      </c>
      <c r="AZ64" s="93" t="str">
        <f aca="false">IF(ISBLANK($C64),"",MIN(Constants!$B$25,MAX(0,IF(ISNUMBER(Y64),Y64*60,0)+IF(ISNUMBER(Z64),Z64,0))))</f>
        <v/>
      </c>
      <c r="BA64" s="93" t="str">
        <f aca="false">IF(ISBLANK($C64),"",IF(AA64=Constants!$B$2,TRUE(),IF(AA64=Constants!$B$3,FALSE(),FALSE())))</f>
        <v/>
      </c>
      <c r="BB64" s="92" t="str">
        <f aca="false">IF(ISBLANK($C64),"",AND($AL64,OR($AM64="",$AN64="",AND($AO64,$AP64=""))))</f>
        <v/>
      </c>
      <c r="BC64" s="94" t="str">
        <f aca="false">IF($BX64&lt;&gt;Constants!$B$6,"",IF($AL64,Constants!$B$17*$AN64+Constants!$B$18*IF($AO64,$AP64,Constants!$B$19),Constants!$B$20))</f>
        <v/>
      </c>
      <c r="BD64" s="97" t="str">
        <f aca="false">IF($BX64&lt;&gt;Constants!$B$6,"",Constants!$B$21*ABS($AD$9-IF($AL64,$AM64,0)))</f>
        <v/>
      </c>
      <c r="BE64" s="97" t="str">
        <f aca="false">IF($BX64&lt;&gt;Constants!$B$6,"",IF(AND($AL64,$AQ64,$AO64),Constants!$B$22,0))</f>
        <v/>
      </c>
      <c r="BF64" s="97" t="str">
        <f aca="false">IF($BX64&lt;&gt;Constants!$B$6,"",IF($AL64,($AI64-Constants!$B$24)*Constants!$B$23,0))</f>
        <v/>
      </c>
      <c r="BG64" s="97" t="str">
        <f aca="false">IF($BX64&lt;&gt;Constants!$B$6,"",IF($AK64,0,Constants!$B$12)+IF($AJ64,0,Constants!$B$13)+IF($AH64,0,Constants!$B$14))</f>
        <v/>
      </c>
      <c r="BH64" s="98" t="str">
        <f aca="false">IF($BX64&lt;&gt;Constants!$B$6,"",Constants!$B$16+SUM($BC64:$BG64))</f>
        <v/>
      </c>
      <c r="BI64" s="97" t="str">
        <f aca="false">IF($BX64&lt;&gt;Constants!$B$6,"",$BC64)</f>
        <v/>
      </c>
      <c r="BJ64" s="97" t="str">
        <f aca="false">IF($BX64&lt;&gt;Constants!$B$6,"",$BD64)</f>
        <v/>
      </c>
      <c r="BK64" s="99" t="str">
        <f aca="false">IF($BX64&lt;&gt;Constants!$B$6,"",IF($AL64,$AN64,""))</f>
        <v/>
      </c>
      <c r="BL64" s="93" t="str">
        <f aca="false">IF($BX64&lt;&gt;Constants!$B$6,"",IF(OR($BS64&lt;$BH64,AND($BS64=$BH64,OR($BT64&lt;$BI64,AND($BT64=$BI64,OR($BU64&lt;$BJ64,AND($BU64=$BJ64,AND(ISNUMBER($BV64),OR(NOT(ISNUMBER($BK64)),$BV64&lt;$BK64)))))))),"-&gt;","&lt;-"))</f>
        <v/>
      </c>
      <c r="BM64" s="92" t="str">
        <f aca="false">IF(ISBLANK($C64),"",AND($AT64,OR($AU64="",$AV64="",AND($AW64,$AX64=""))))</f>
        <v/>
      </c>
      <c r="BN64" s="94" t="str">
        <f aca="false">IF($BX64&lt;&gt;Constants!$B$6,"",IF($AT64,Constants!$B$17*$AV64+Constants!$B$18*IF($AW64,$AX64,Constants!$B$19),Constants!$B$20))</f>
        <v/>
      </c>
      <c r="BO64" s="97" t="str">
        <f aca="false">IF($BX64&lt;&gt;Constants!$B$6,"",Constants!$B$21*ABS($AD$9-IF($AT64,$AU64,0)))</f>
        <v/>
      </c>
      <c r="BP64" s="97" t="str">
        <f aca="false">IF($BX64&lt;&gt;Constants!$B$6,"",IF(AND($AT64,$AY64,$AW64),Constants!$B$22,0))</f>
        <v/>
      </c>
      <c r="BQ64" s="97" t="str">
        <f aca="false">IF($BX64&lt;&gt;Constants!$B$6,"",IF($AT64,($AI64-Constants!$B$24)*Constants!$B$23,0))</f>
        <v/>
      </c>
      <c r="BR64" s="97" t="str">
        <f aca="false">IF($BX64&lt;&gt;Constants!$B$6,"",IF($AS64,0,Constants!$B$12)+IF($AR64,0,Constants!$B$13)+IF($AH64,0,Constants!$B$14))</f>
        <v/>
      </c>
      <c r="BS64" s="98" t="str">
        <f aca="false">IF($BX64&lt;&gt;Constants!$B$6,"",Constants!$B$16+SUM($BN64:$BR64))</f>
        <v/>
      </c>
      <c r="BT64" s="97" t="str">
        <f aca="false">IF($BX64&lt;&gt;Constants!$B$6,"",$BN64)</f>
        <v/>
      </c>
      <c r="BU64" s="97" t="str">
        <f aca="false">IF($BX64&lt;&gt;Constants!$B$6,"",$BO64)</f>
        <v/>
      </c>
      <c r="BV64" s="99" t="str">
        <f aca="false">IF($BX64&lt;&gt;Constants!$B$6,"",IF($AT64,$AV64,""))</f>
        <v/>
      </c>
      <c r="BW64" s="93" t="str">
        <f aca="false">IF(ISBLANK($C64),"",IF(ISBLANK($D$7),$BW$5,IF(NOT(ISNUMBER($D$7)),$BW$6,"")))</f>
        <v/>
      </c>
      <c r="BX64" s="93" t="str">
        <f aca="false">IF(ISBLANK($C64),"",IF($BA64,Constants!$B$9,IF(COUNTA($E64:$AA64)=0,Constants!$B$8,IF(NOT($AG64),Constants!$B$7,IF(OR($BW64&lt;&gt;"",$BB64,$BM64),Constants!$B$10,Constants!$B$6)))))</f>
        <v/>
      </c>
      <c r="BY64" s="93" t="str">
        <f aca="false">IF(ISBLANK($C64),"",IF($BX64&lt;&gt;Constants!$B$6,$BX64,Constants!$B$11))</f>
        <v/>
      </c>
      <c r="BZ64" s="97" t="str">
        <f aca="false">IF($BX64&lt;&gt;Constants!$B$6,"",IF($BL64="-&gt;",$BS64,$BH64))</f>
        <v/>
      </c>
      <c r="CA64" s="97" t="str">
        <f aca="false">IF($BX64&lt;&gt;Constants!$B$6,"",IF($AF64,0,Constants!$B$15))</f>
        <v/>
      </c>
      <c r="CB64" s="97" t="str">
        <f aca="false">IF($BX64&lt;&gt;Constants!$B$6,"",((Constants!$B$25-$AZ64)-Constants!$B$25)/Constants!$B$26)</f>
        <v/>
      </c>
      <c r="CC64" s="97" t="str">
        <f aca="false">IF(ISBLANK($C64),"",IF($BX64&lt;&gt;Constants!$B$6,$BX64,SUM($BZ64:$CB64)))</f>
        <v/>
      </c>
      <c r="CD64" s="93" t="str">
        <f aca="false">IF(ISBLANK($C64),"",IF($BX64&lt;&gt;Constants!$B$6,$BX64,RANK($CC64,$CC$9:$CC$508,1)))</f>
        <v/>
      </c>
      <c r="CE64" s="97" t="str">
        <f aca="false">IF($BX64&lt;&gt;Constants!$B$6,"",IF($BL64="-&gt;",$BT64,$BI64))</f>
        <v/>
      </c>
      <c r="CF64" s="93" t="str">
        <f aca="false">IF(ISBLANK($C64),"",IF($BX64&lt;&gt;Constants!$B$6,$BX64,IF(ISNUMBER($CE64),RANK($CE64,$CE$9:$CE$508,1),COUNT($CE$9:$CE$508)+1)))</f>
        <v/>
      </c>
      <c r="CG64" s="97" t="str">
        <f aca="false">IF($BX64&lt;&gt;Constants!$B$6,"",IF($BL64="-&gt;",$BU64,$BJ64))</f>
        <v/>
      </c>
      <c r="CH64" s="93" t="str">
        <f aca="false">IF(ISBLANK($C64),"",IF($BX64&lt;&gt;Constants!$B$6,$BX64,IF(ISNUMBER($CG64),RANK($CG64,$CG$9:$CG$508,1),COUNT($CG$9:$CG$508)+1)))</f>
        <v/>
      </c>
      <c r="CI64" s="97" t="str">
        <f aca="false">IF($BX64&lt;&gt;Constants!$B$6,"",IF($BL64="-&gt;",$BV64,$BK64))</f>
        <v/>
      </c>
      <c r="CJ64" s="93" t="str">
        <f aca="false">IF(ISBLANK($C64),"",IF($BX64&lt;&gt;Constants!$B$6,$BX64,IF(ISNUMBER($CI64),RANK($CI64,$CI$9:$CI$508,1),COUNT($CI$9:$CI$508)+1)))</f>
        <v/>
      </c>
      <c r="CK64" s="97" t="str">
        <f aca="false">IF($BX64&lt;&gt;Constants!$B$6,"",$AI64)</f>
        <v/>
      </c>
      <c r="CL64" s="93" t="str">
        <f aca="false">IF(ISBLANK($C64),"",IF($BX64&lt;&gt;Constants!$B$6,$BX64,IF(ISNUMBER($CK64),RANK($CK64,$CK$9:$CK$508,1),COUNT($CK$9:$CK$508)+1)))</f>
        <v/>
      </c>
      <c r="CM64" s="93" t="str">
        <f aca="false">IF(ISBLANK($C64),"",IF($BX64&lt;&gt;Constants!$B$6,$BX64,COUNTIFS($CD$9:$CD$508,"&lt;"&amp;$CD64)+COUNTIFS($CD$9:$CD$508,$CD64,$CF$9:$CF$508,"&lt;"&amp;$CF64)+COUNTIFS($CD$9:$CD$508,$CD64,$CF$9:$CF$508,$CF64,$CH$9:$CH$508,"&lt;"&amp;$CH64)+COUNTIFS($CD$9:$CD$508,$CD64,$CF$9:$CF$508,$CF64,$CH$9:$CH$508,$CH64,$CJ$9:$CJ$508,"&lt;"&amp;$CJ64)+COUNTIFS($CD$9:$CD$508,$CD64,$CF$9:$CF$508,$CF64,$CH$9:$CH$508,$CH64,$CJ$9:$CJ$508,$CJ64,$CL$9:$CL$508,"&lt;"&amp;$CL64)+1))</f>
        <v/>
      </c>
      <c r="CN64" s="93" t="str">
        <f aca="false">IF(ISBLANK($C64),"",IF($BX64&lt;&gt;Constants!$B$6,$BX64,$CD64-$CM64))</f>
        <v/>
      </c>
      <c r="CO64" s="100"/>
      <c r="CP64" s="101"/>
      <c r="CQ64" s="102" t="str">
        <f aca="false">IF(ISBLANK($C64),"",IF($BX64=Constants!$B$10,$BW64,""))</f>
        <v/>
      </c>
      <c r="CR64" s="101" t="str">
        <f aca="false">IF(ISBLANK($C64),"",IF($BX64&lt;&gt;Constants!$B$6,"",IF($BL64="-&gt;",2,1)))</f>
        <v/>
      </c>
      <c r="CS64" s="103" t="str">
        <f aca="false">IF(ISBLANK($C64),"",IF($BX64&lt;&gt;Constants!$B$6,"",IF($BL64="-&gt;",$BN64,$BC64)))</f>
        <v/>
      </c>
      <c r="CT64" s="103" t="str">
        <f aca="false">IF(ISBLANK($C64),"",IF($BX64&lt;&gt;Constants!$B$6,"",IF($BL64="-&gt;",$BO64,$BD64)))</f>
        <v/>
      </c>
      <c r="CU64" s="103" t="str">
        <f aca="false">IF(ISBLANK($C64),"",IF($BX64&lt;&gt;Constants!$B$6,"",IF($BL64="-&gt;",$BP64+$BQ64,$BE64+$BF64)+$CB64))</f>
        <v/>
      </c>
      <c r="CV64" s="103" t="str">
        <f aca="false">IF(ISBLANK($C64),"",IF($BX64&lt;&gt;Constants!$B$6,"",IF($BL64="-&gt;",$BR64,$BG64)+$CA64))</f>
        <v/>
      </c>
      <c r="CW64" s="104" t="str">
        <f aca="false">IF(ISBLANK($C64),"",IF($BX64&lt;&gt;Constants!$B$6,$BX64,$CC64))</f>
        <v/>
      </c>
      <c r="CX64" s="105" t="str">
        <f aca="false">IF(ISBLANK($C64),"",$BY64)</f>
        <v/>
      </c>
      <c r="CY64" s="106" t="str">
        <f aca="false">IF(ISBLANK($C64),"",$CN64)</f>
        <v/>
      </c>
      <c r="CZ64" s="106" t="str">
        <f aca="false">IF(ISBLANK($C64),"",$CM64)</f>
        <v/>
      </c>
      <c r="DA64" s="107" t="str">
        <f aca="false">IF(ISBLANK($C64),"",IFERROR(_xlfn.SWITCH($CZ64,Constants!$B$9,COUNTA($C$9:$C$508)+2,Constants!$B$8,COUNTA($C$9:$C$508)+1,Constants!$B$7,COUNTA($C$9:$C$508)),$CZ64))</f>
        <v/>
      </c>
      <c r="DB64" s="9"/>
      <c r="DC64" s="108" t="n">
        <f aca="false">IF(OR(ISNUMBER($CZ64),$CZ64=Constants!$B$9,$CZ64=Constants!$B$7,$CZ64=Constants!$B$8),1,0)</f>
        <v>0</v>
      </c>
      <c r="DD64" s="108" t="n">
        <v>56</v>
      </c>
      <c r="DE64" s="108" t="str">
        <f aca="false">IF(ISBLANK($C64),"",IF(ISNUMBER($DA64),$DA64+ROW($B64)/1000,""))</f>
        <v/>
      </c>
      <c r="DF64" s="108" t="str">
        <f aca="false">IF(ISNUMBER($DE64),RANK($DE64,$DE$9:$DE$508,1),"")</f>
        <v/>
      </c>
      <c r="DG64" s="108" t="str">
        <f aca="false">IF(ISBLANK($C64),"",$B64)</f>
        <v/>
      </c>
      <c r="DH64" s="108" t="str">
        <f aca="false">IF(ISBLANK($C64),"",$C64)</f>
        <v/>
      </c>
      <c r="DI64" s="108" t="str">
        <f aca="false">IF(ISBLANK($C64),"",$D64)</f>
        <v/>
      </c>
      <c r="DJ64" s="109" t="str">
        <f aca="false">$CX64</f>
        <v/>
      </c>
      <c r="DK64" s="110" t="str">
        <f aca="false">$CW64</f>
        <v/>
      </c>
      <c r="DL64" s="108" t="str">
        <f aca="false">IF(ISBLANK($C64),"",$CZ64)</f>
        <v/>
      </c>
      <c r="DM64" s="111" t="str">
        <f aca="false">IF($DD64&gt;$DC$8,"",VLOOKUP($DD64,$DF$9:$DL$508,7,FALSE()))</f>
        <v/>
      </c>
      <c r="DN64" s="112" t="str">
        <f aca="false">IF($DD64&gt;$DC$8,"",VLOOKUP($DD64,$DF$9:$DL$508,2,FALSE()))</f>
        <v/>
      </c>
      <c r="DO64" s="112" t="str">
        <f aca="false">IF($DD64&gt;$DC$8,"",VLOOKUP($DD64,$DF$9:$DL$508,3,FALSE()))</f>
        <v/>
      </c>
      <c r="DP64" s="112" t="str">
        <f aca="false">IF($DD64&gt;$DC$8,"",VLOOKUP($DD64,$DF$9:$DL$508,4,FALSE()))</f>
        <v/>
      </c>
      <c r="DQ64" s="112" t="str">
        <f aca="false">IF($DD64&gt;$DC$8,"",VLOOKUP($DD64,$DF$9:$DL$508,5,FALSE()))</f>
        <v/>
      </c>
      <c r="DR64" s="113" t="str">
        <f aca="false">IF($DD64&gt;$DC$8,"",VLOOKUP($DD64,$DF$9:$DL$508,6,FALSE()))</f>
        <v/>
      </c>
      <c r="DS64" s="76"/>
    </row>
    <row r="65" customFormat="false" ht="15.75" hidden="false" customHeight="false" outlineLevel="0" collapsed="false">
      <c r="A65" s="9"/>
      <c r="B65" s="78"/>
      <c r="C65" s="79"/>
      <c r="D65" s="170"/>
      <c r="E65" s="178"/>
      <c r="F65" s="172"/>
      <c r="G65" s="173"/>
      <c r="H65" s="173"/>
      <c r="I65" s="179"/>
      <c r="J65" s="176"/>
      <c r="K65" s="86"/>
      <c r="L65" s="87"/>
      <c r="M65" s="88"/>
      <c r="N65" s="176"/>
      <c r="O65" s="176"/>
      <c r="P65" s="178"/>
      <c r="Q65" s="176"/>
      <c r="R65" s="176"/>
      <c r="S65" s="86"/>
      <c r="T65" s="88"/>
      <c r="U65" s="88"/>
      <c r="V65" s="176"/>
      <c r="W65" s="176"/>
      <c r="X65" s="178"/>
      <c r="Y65" s="176"/>
      <c r="Z65" s="177"/>
      <c r="AA65" s="176"/>
      <c r="AB65" s="92"/>
      <c r="AC65" s="93"/>
      <c r="AD65" s="93"/>
      <c r="AE65" s="93"/>
      <c r="AF65" s="93" t="str">
        <f aca="false">IF(ISBLANK($C65),"",IF(E65=Constants!$B$2,TRUE(),IF(E65=Constants!$B$3,FALSE(),TRUE())))</f>
        <v/>
      </c>
      <c r="AG65" s="93" t="str">
        <f aca="false">IF(ISBLANK($C65),"",IF(F65=Constants!$B$2,TRUE(),IF(F65=Constants!$B$3,FALSE(),TRUE())))</f>
        <v/>
      </c>
      <c r="AH65" s="93" t="str">
        <f aca="false">IF(ISBLANK($C65),"",IF(G65=Constants!$B$2,TRUE(),IF(G65=Constants!$B$3,FALSE(),TRUE())))</f>
        <v/>
      </c>
      <c r="AI65" s="93" t="str">
        <f aca="false">IF(ISBLANK($C65),"",IF(AND(ISNUMBER(H65),H65&gt;=0),H65,Constants!$B$24))</f>
        <v/>
      </c>
      <c r="AJ65" s="93" t="str">
        <f aca="false">IF(ISBLANK($C65),"",IF(I65=Constants!$B$2,TRUE(),IF(I65=Constants!$B$3,FALSE(),TRUE())))</f>
        <v/>
      </c>
      <c r="AK65" s="93" t="str">
        <f aca="false">IF(ISBLANK($C65),"",IF(J65=Constants!$B$2,TRUE(),IF(J65=Constants!$B$3,FALSE(),TRUE())))</f>
        <v/>
      </c>
      <c r="AL65" s="93" t="str">
        <f aca="false">IF(ISBLANK($C65),"",IF(K65=Constants!$B$4,TRUE(),IF(K65=Constants!$B$5,FALSE(),COUNTA(L65:P65)&gt;0)))</f>
        <v/>
      </c>
      <c r="AM65" s="95" t="str">
        <f aca="false">IF(ISBLANK($C65),"",IF(ISNUMBER(L65),IF(L65&gt;=0,L65,""),""))</f>
        <v/>
      </c>
      <c r="AN65" s="94" t="str">
        <f aca="false">IF(ISBLANK($C65),"",IF(ISNUMBER(M65),IF(M65&gt;=0,M65,""),""))</f>
        <v/>
      </c>
      <c r="AO65" s="94" t="str">
        <f aca="false">IF(ISBLANK($C65),"",IF(N65=Constants!$B$2,TRUE(),IF(N65=Constants!$B$3,FALSE(),TRUE())))</f>
        <v/>
      </c>
      <c r="AP65" s="93" t="str">
        <f aca="false">IF(ISBLANK($C65),"",IF(ISNUMBER(O65),IF(O65&gt;=0,O65,""),""))</f>
        <v/>
      </c>
      <c r="AQ65" s="93" t="str">
        <f aca="false">IF(ISBLANK($C65),"",IF(P65=Constants!$B$2,TRUE(),IF(P65=Constants!$B$3,FALSE(),FALSE())))</f>
        <v/>
      </c>
      <c r="AR65" s="93" t="str">
        <f aca="false">IF(ISBLANK($C65),"",IF(Q65=Constants!$B$2,TRUE(),IF(Q65=Constants!$B$3,FALSE(),TRUE())))</f>
        <v/>
      </c>
      <c r="AS65" s="93" t="str">
        <f aca="false">IF(ISBLANK($C65),"",IF(R65=Constants!$B$2,TRUE(),IF(R65=Constants!$B$3,FALSE(),TRUE())))</f>
        <v/>
      </c>
      <c r="AT65" s="93" t="str">
        <f aca="false">IF(ISBLANK($C65),"",IF(S65=Constants!$B$4,TRUE(),IF(S65=Constants!$B$5,FALSE(),COUNTA(T65:X65)&gt;0)))</f>
        <v/>
      </c>
      <c r="AU65" s="95" t="str">
        <f aca="false">IF(ISBLANK($C65),"",IF(ISNUMBER(T65),IF(T65&gt;=0,T65,""),""))</f>
        <v/>
      </c>
      <c r="AV65" s="94" t="str">
        <f aca="false">IF(ISBLANK($C65),"",IF(ISNUMBER(U65),IF(U65&gt;=0,U65,""),""))</f>
        <v/>
      </c>
      <c r="AW65" s="94" t="str">
        <f aca="false">IF(ISBLANK($C65),"",IF(V65=Constants!$B$2,TRUE(),IF(V65=Constants!$B$3,FALSE(),TRUE())))</f>
        <v/>
      </c>
      <c r="AX65" s="93" t="str">
        <f aca="false">IF(ISBLANK($C65),"",IF(ISNUMBER(W65),IF(W65&gt;=0,W65,""),""))</f>
        <v/>
      </c>
      <c r="AY65" s="93" t="str">
        <f aca="false">IF(ISBLANK($C65),"",IF(X65=Constants!$B$2,TRUE(),IF(X65=Constants!$B$3,FALSE(),FALSE())))</f>
        <v/>
      </c>
      <c r="AZ65" s="93" t="str">
        <f aca="false">IF(ISBLANK($C65),"",MIN(Constants!$B$25,MAX(0,IF(ISNUMBER(Y65),Y65*60,0)+IF(ISNUMBER(Z65),Z65,0))))</f>
        <v/>
      </c>
      <c r="BA65" s="93" t="str">
        <f aca="false">IF(ISBLANK($C65),"",IF(AA65=Constants!$B$2,TRUE(),IF(AA65=Constants!$B$3,FALSE(),FALSE())))</f>
        <v/>
      </c>
      <c r="BB65" s="92" t="str">
        <f aca="false">IF(ISBLANK($C65),"",AND($AL65,OR($AM65="",$AN65="",AND($AO65,$AP65=""))))</f>
        <v/>
      </c>
      <c r="BC65" s="94" t="str">
        <f aca="false">IF($BX65&lt;&gt;Constants!$B$6,"",IF($AL65,Constants!$B$17*$AN65+Constants!$B$18*IF($AO65,$AP65,Constants!$B$19),Constants!$B$20))</f>
        <v/>
      </c>
      <c r="BD65" s="97" t="str">
        <f aca="false">IF($BX65&lt;&gt;Constants!$B$6,"",Constants!$B$21*ABS($AD$9-IF($AL65,$AM65,0)))</f>
        <v/>
      </c>
      <c r="BE65" s="97" t="str">
        <f aca="false">IF($BX65&lt;&gt;Constants!$B$6,"",IF(AND($AL65,$AQ65,$AO65),Constants!$B$22,0))</f>
        <v/>
      </c>
      <c r="BF65" s="97" t="str">
        <f aca="false">IF($BX65&lt;&gt;Constants!$B$6,"",IF($AL65,($AI65-Constants!$B$24)*Constants!$B$23,0))</f>
        <v/>
      </c>
      <c r="BG65" s="97" t="str">
        <f aca="false">IF($BX65&lt;&gt;Constants!$B$6,"",IF($AK65,0,Constants!$B$12)+IF($AJ65,0,Constants!$B$13)+IF($AH65,0,Constants!$B$14))</f>
        <v/>
      </c>
      <c r="BH65" s="98" t="str">
        <f aca="false">IF($BX65&lt;&gt;Constants!$B$6,"",Constants!$B$16+SUM($BC65:$BG65))</f>
        <v/>
      </c>
      <c r="BI65" s="97" t="str">
        <f aca="false">IF($BX65&lt;&gt;Constants!$B$6,"",$BC65)</f>
        <v/>
      </c>
      <c r="BJ65" s="97" t="str">
        <f aca="false">IF($BX65&lt;&gt;Constants!$B$6,"",$BD65)</f>
        <v/>
      </c>
      <c r="BK65" s="99" t="str">
        <f aca="false">IF($BX65&lt;&gt;Constants!$B$6,"",IF($AL65,$AN65,""))</f>
        <v/>
      </c>
      <c r="BL65" s="93" t="str">
        <f aca="false">IF($BX65&lt;&gt;Constants!$B$6,"",IF(OR($BS65&lt;$BH65,AND($BS65=$BH65,OR($BT65&lt;$BI65,AND($BT65=$BI65,OR($BU65&lt;$BJ65,AND($BU65=$BJ65,AND(ISNUMBER($BV65),OR(NOT(ISNUMBER($BK65)),$BV65&lt;$BK65)))))))),"-&gt;","&lt;-"))</f>
        <v/>
      </c>
      <c r="BM65" s="92" t="str">
        <f aca="false">IF(ISBLANK($C65),"",AND($AT65,OR($AU65="",$AV65="",AND($AW65,$AX65=""))))</f>
        <v/>
      </c>
      <c r="BN65" s="94" t="str">
        <f aca="false">IF($BX65&lt;&gt;Constants!$B$6,"",IF($AT65,Constants!$B$17*$AV65+Constants!$B$18*IF($AW65,$AX65,Constants!$B$19),Constants!$B$20))</f>
        <v/>
      </c>
      <c r="BO65" s="97" t="str">
        <f aca="false">IF($BX65&lt;&gt;Constants!$B$6,"",Constants!$B$21*ABS($AD$9-IF($AT65,$AU65,0)))</f>
        <v/>
      </c>
      <c r="BP65" s="97" t="str">
        <f aca="false">IF($BX65&lt;&gt;Constants!$B$6,"",IF(AND($AT65,$AY65,$AW65),Constants!$B$22,0))</f>
        <v/>
      </c>
      <c r="BQ65" s="97" t="str">
        <f aca="false">IF($BX65&lt;&gt;Constants!$B$6,"",IF($AT65,($AI65-Constants!$B$24)*Constants!$B$23,0))</f>
        <v/>
      </c>
      <c r="BR65" s="97" t="str">
        <f aca="false">IF($BX65&lt;&gt;Constants!$B$6,"",IF($AS65,0,Constants!$B$12)+IF($AR65,0,Constants!$B$13)+IF($AH65,0,Constants!$B$14))</f>
        <v/>
      </c>
      <c r="BS65" s="98" t="str">
        <f aca="false">IF($BX65&lt;&gt;Constants!$B$6,"",Constants!$B$16+SUM($BN65:$BR65))</f>
        <v/>
      </c>
      <c r="BT65" s="97" t="str">
        <f aca="false">IF($BX65&lt;&gt;Constants!$B$6,"",$BN65)</f>
        <v/>
      </c>
      <c r="BU65" s="97" t="str">
        <f aca="false">IF($BX65&lt;&gt;Constants!$B$6,"",$BO65)</f>
        <v/>
      </c>
      <c r="BV65" s="99" t="str">
        <f aca="false">IF($BX65&lt;&gt;Constants!$B$6,"",IF($AT65,$AV65,""))</f>
        <v/>
      </c>
      <c r="BW65" s="93" t="str">
        <f aca="false">IF(ISBLANK($C65),"",IF(ISBLANK($D$7),$BW$5,IF(NOT(ISNUMBER($D$7)),$BW$6,"")))</f>
        <v/>
      </c>
      <c r="BX65" s="93" t="str">
        <f aca="false">IF(ISBLANK($C65),"",IF($BA65,Constants!$B$9,IF(COUNTA($E65:$AA65)=0,Constants!$B$8,IF(NOT($AG65),Constants!$B$7,IF(OR($BW65&lt;&gt;"",$BB65,$BM65),Constants!$B$10,Constants!$B$6)))))</f>
        <v/>
      </c>
      <c r="BY65" s="93" t="str">
        <f aca="false">IF(ISBLANK($C65),"",IF($BX65&lt;&gt;Constants!$B$6,$BX65,Constants!$B$11))</f>
        <v/>
      </c>
      <c r="BZ65" s="97" t="str">
        <f aca="false">IF($BX65&lt;&gt;Constants!$B$6,"",IF($BL65="-&gt;",$BS65,$BH65))</f>
        <v/>
      </c>
      <c r="CA65" s="97" t="str">
        <f aca="false">IF($BX65&lt;&gt;Constants!$B$6,"",IF($AF65,0,Constants!$B$15))</f>
        <v/>
      </c>
      <c r="CB65" s="97" t="str">
        <f aca="false">IF($BX65&lt;&gt;Constants!$B$6,"",((Constants!$B$25-$AZ65)-Constants!$B$25)/Constants!$B$26)</f>
        <v/>
      </c>
      <c r="CC65" s="97" t="str">
        <f aca="false">IF(ISBLANK($C65),"",IF($BX65&lt;&gt;Constants!$B$6,$BX65,SUM($BZ65:$CB65)))</f>
        <v/>
      </c>
      <c r="CD65" s="93" t="str">
        <f aca="false">IF(ISBLANK($C65),"",IF($BX65&lt;&gt;Constants!$B$6,$BX65,RANK($CC65,$CC$9:$CC$508,1)))</f>
        <v/>
      </c>
      <c r="CE65" s="97" t="str">
        <f aca="false">IF($BX65&lt;&gt;Constants!$B$6,"",IF($BL65="-&gt;",$BT65,$BI65))</f>
        <v/>
      </c>
      <c r="CF65" s="93" t="str">
        <f aca="false">IF(ISBLANK($C65),"",IF($BX65&lt;&gt;Constants!$B$6,$BX65,IF(ISNUMBER($CE65),RANK($CE65,$CE$9:$CE$508,1),COUNT($CE$9:$CE$508)+1)))</f>
        <v/>
      </c>
      <c r="CG65" s="97" t="str">
        <f aca="false">IF($BX65&lt;&gt;Constants!$B$6,"",IF($BL65="-&gt;",$BU65,$BJ65))</f>
        <v/>
      </c>
      <c r="CH65" s="93" t="str">
        <f aca="false">IF(ISBLANK($C65),"",IF($BX65&lt;&gt;Constants!$B$6,$BX65,IF(ISNUMBER($CG65),RANK($CG65,$CG$9:$CG$508,1),COUNT($CG$9:$CG$508)+1)))</f>
        <v/>
      </c>
      <c r="CI65" s="97" t="str">
        <f aca="false">IF($BX65&lt;&gt;Constants!$B$6,"",IF($BL65="-&gt;",$BV65,$BK65))</f>
        <v/>
      </c>
      <c r="CJ65" s="93" t="str">
        <f aca="false">IF(ISBLANK($C65),"",IF($BX65&lt;&gt;Constants!$B$6,$BX65,IF(ISNUMBER($CI65),RANK($CI65,$CI$9:$CI$508,1),COUNT($CI$9:$CI$508)+1)))</f>
        <v/>
      </c>
      <c r="CK65" s="97" t="str">
        <f aca="false">IF($BX65&lt;&gt;Constants!$B$6,"",$AI65)</f>
        <v/>
      </c>
      <c r="CL65" s="93" t="str">
        <f aca="false">IF(ISBLANK($C65),"",IF($BX65&lt;&gt;Constants!$B$6,$BX65,IF(ISNUMBER($CK65),RANK($CK65,$CK$9:$CK$508,1),COUNT($CK$9:$CK$508)+1)))</f>
        <v/>
      </c>
      <c r="CM65" s="93" t="str">
        <f aca="false">IF(ISBLANK($C65),"",IF($BX65&lt;&gt;Constants!$B$6,$BX65,COUNTIFS($CD$9:$CD$508,"&lt;"&amp;$CD65)+COUNTIFS($CD$9:$CD$508,$CD65,$CF$9:$CF$508,"&lt;"&amp;$CF65)+COUNTIFS($CD$9:$CD$508,$CD65,$CF$9:$CF$508,$CF65,$CH$9:$CH$508,"&lt;"&amp;$CH65)+COUNTIFS($CD$9:$CD$508,$CD65,$CF$9:$CF$508,$CF65,$CH$9:$CH$508,$CH65,$CJ$9:$CJ$508,"&lt;"&amp;$CJ65)+COUNTIFS($CD$9:$CD$508,$CD65,$CF$9:$CF$508,$CF65,$CH$9:$CH$508,$CH65,$CJ$9:$CJ$508,$CJ65,$CL$9:$CL$508,"&lt;"&amp;$CL65)+1))</f>
        <v/>
      </c>
      <c r="CN65" s="93" t="str">
        <f aca="false">IF(ISBLANK($C65),"",IF($BX65&lt;&gt;Constants!$B$6,$BX65,$CD65-$CM65))</f>
        <v/>
      </c>
      <c r="CO65" s="100"/>
      <c r="CP65" s="101"/>
      <c r="CQ65" s="102" t="str">
        <f aca="false">IF(ISBLANK($C65),"",IF($BX65=Constants!$B$10,$BW65,""))</f>
        <v/>
      </c>
      <c r="CR65" s="101" t="str">
        <f aca="false">IF(ISBLANK($C65),"",IF($BX65&lt;&gt;Constants!$B$6,"",IF($BL65="-&gt;",2,1)))</f>
        <v/>
      </c>
      <c r="CS65" s="103" t="str">
        <f aca="false">IF(ISBLANK($C65),"",IF($BX65&lt;&gt;Constants!$B$6,"",IF($BL65="-&gt;",$BN65,$BC65)))</f>
        <v/>
      </c>
      <c r="CT65" s="103" t="str">
        <f aca="false">IF(ISBLANK($C65),"",IF($BX65&lt;&gt;Constants!$B$6,"",IF($BL65="-&gt;",$BO65,$BD65)))</f>
        <v/>
      </c>
      <c r="CU65" s="103" t="str">
        <f aca="false">IF(ISBLANK($C65),"",IF($BX65&lt;&gt;Constants!$B$6,"",IF($BL65="-&gt;",$BP65+$BQ65,$BE65+$BF65)+$CB65))</f>
        <v/>
      </c>
      <c r="CV65" s="103" t="str">
        <f aca="false">IF(ISBLANK($C65),"",IF($BX65&lt;&gt;Constants!$B$6,"",IF($BL65="-&gt;",$BR65,$BG65)+$CA65))</f>
        <v/>
      </c>
      <c r="CW65" s="104" t="str">
        <f aca="false">IF(ISBLANK($C65),"",IF($BX65&lt;&gt;Constants!$B$6,$BX65,$CC65))</f>
        <v/>
      </c>
      <c r="CX65" s="105" t="str">
        <f aca="false">IF(ISBLANK($C65),"",$BY65)</f>
        <v/>
      </c>
      <c r="CY65" s="106" t="str">
        <f aca="false">IF(ISBLANK($C65),"",$CN65)</f>
        <v/>
      </c>
      <c r="CZ65" s="106" t="str">
        <f aca="false">IF(ISBLANK($C65),"",$CM65)</f>
        <v/>
      </c>
      <c r="DA65" s="107" t="str">
        <f aca="false">IF(ISBLANK($C65),"",IFERROR(_xlfn.SWITCH($CZ65,Constants!$B$9,COUNTA($C$9:$C$508)+2,Constants!$B$8,COUNTA($C$9:$C$508)+1,Constants!$B$7,COUNTA($C$9:$C$508)),$CZ65))</f>
        <v/>
      </c>
      <c r="DB65" s="9"/>
      <c r="DC65" s="108" t="n">
        <f aca="false">IF(OR(ISNUMBER($CZ65),$CZ65=Constants!$B$9,$CZ65=Constants!$B$7,$CZ65=Constants!$B$8),1,0)</f>
        <v>0</v>
      </c>
      <c r="DD65" s="108" t="n">
        <v>57</v>
      </c>
      <c r="DE65" s="108" t="str">
        <f aca="false">IF(ISBLANK($C65),"",IF(ISNUMBER($DA65),$DA65+ROW($B65)/1000,""))</f>
        <v/>
      </c>
      <c r="DF65" s="108" t="str">
        <f aca="false">IF(ISNUMBER($DE65),RANK($DE65,$DE$9:$DE$508,1),"")</f>
        <v/>
      </c>
      <c r="DG65" s="108" t="str">
        <f aca="false">IF(ISBLANK($C65),"",$B65)</f>
        <v/>
      </c>
      <c r="DH65" s="108" t="str">
        <f aca="false">IF(ISBLANK($C65),"",$C65)</f>
        <v/>
      </c>
      <c r="DI65" s="108" t="str">
        <f aca="false">IF(ISBLANK($C65),"",$D65)</f>
        <v/>
      </c>
      <c r="DJ65" s="109" t="str">
        <f aca="false">$CX65</f>
        <v/>
      </c>
      <c r="DK65" s="110" t="str">
        <f aca="false">$CW65</f>
        <v/>
      </c>
      <c r="DL65" s="108" t="str">
        <f aca="false">IF(ISBLANK($C65),"",$CZ65)</f>
        <v/>
      </c>
      <c r="DM65" s="111" t="str">
        <f aca="false">IF($DD65&gt;$DC$8,"",VLOOKUP($DD65,$DF$9:$DL$508,7,FALSE()))</f>
        <v/>
      </c>
      <c r="DN65" s="112" t="str">
        <f aca="false">IF($DD65&gt;$DC$8,"",VLOOKUP($DD65,$DF$9:$DL$508,2,FALSE()))</f>
        <v/>
      </c>
      <c r="DO65" s="112" t="str">
        <f aca="false">IF($DD65&gt;$DC$8,"",VLOOKUP($DD65,$DF$9:$DL$508,3,FALSE()))</f>
        <v/>
      </c>
      <c r="DP65" s="112" t="str">
        <f aca="false">IF($DD65&gt;$DC$8,"",VLOOKUP($DD65,$DF$9:$DL$508,4,FALSE()))</f>
        <v/>
      </c>
      <c r="DQ65" s="112" t="str">
        <f aca="false">IF($DD65&gt;$DC$8,"",VLOOKUP($DD65,$DF$9:$DL$508,5,FALSE()))</f>
        <v/>
      </c>
      <c r="DR65" s="113" t="str">
        <f aca="false">IF($DD65&gt;$DC$8,"",VLOOKUP($DD65,$DF$9:$DL$508,6,FALSE()))</f>
        <v/>
      </c>
      <c r="DS65" s="76"/>
    </row>
    <row r="66" customFormat="false" ht="15.75" hidden="false" customHeight="false" outlineLevel="0" collapsed="false">
      <c r="A66" s="9"/>
      <c r="B66" s="160"/>
      <c r="C66" s="161"/>
      <c r="D66" s="162"/>
      <c r="E66" s="180"/>
      <c r="F66" s="164"/>
      <c r="G66" s="165"/>
      <c r="H66" s="165"/>
      <c r="I66" s="181"/>
      <c r="J66" s="168"/>
      <c r="K66" s="128"/>
      <c r="L66" s="129"/>
      <c r="M66" s="130"/>
      <c r="N66" s="168"/>
      <c r="O66" s="168"/>
      <c r="P66" s="180"/>
      <c r="Q66" s="168"/>
      <c r="R66" s="168"/>
      <c r="S66" s="128"/>
      <c r="T66" s="130"/>
      <c r="U66" s="130"/>
      <c r="V66" s="168"/>
      <c r="W66" s="168"/>
      <c r="X66" s="180"/>
      <c r="Y66" s="168"/>
      <c r="Z66" s="169"/>
      <c r="AA66" s="168"/>
      <c r="AB66" s="134"/>
      <c r="AC66" s="135"/>
      <c r="AD66" s="135"/>
      <c r="AE66" s="135"/>
      <c r="AF66" s="135" t="str">
        <f aca="false">IF(ISBLANK($C66),"",IF(E66=Constants!$B$2,TRUE(),IF(E66=Constants!$B$3,FALSE(),TRUE())))</f>
        <v/>
      </c>
      <c r="AG66" s="135" t="str">
        <f aca="false">IF(ISBLANK($C66),"",IF(F66=Constants!$B$2,TRUE(),IF(F66=Constants!$B$3,FALSE(),TRUE())))</f>
        <v/>
      </c>
      <c r="AH66" s="135" t="str">
        <f aca="false">IF(ISBLANK($C66),"",IF(G66=Constants!$B$2,TRUE(),IF(G66=Constants!$B$3,FALSE(),TRUE())))</f>
        <v/>
      </c>
      <c r="AI66" s="135" t="str">
        <f aca="false">IF(ISBLANK($C66),"",IF(AND(ISNUMBER(H66),H66&gt;=0),H66,Constants!$B$24))</f>
        <v/>
      </c>
      <c r="AJ66" s="135" t="str">
        <f aca="false">IF(ISBLANK($C66),"",IF(I66=Constants!$B$2,TRUE(),IF(I66=Constants!$B$3,FALSE(),TRUE())))</f>
        <v/>
      </c>
      <c r="AK66" s="135" t="str">
        <f aca="false">IF(ISBLANK($C66),"",IF(J66=Constants!$B$2,TRUE(),IF(J66=Constants!$B$3,FALSE(),TRUE())))</f>
        <v/>
      </c>
      <c r="AL66" s="135" t="str">
        <f aca="false">IF(ISBLANK($C66),"",IF(K66=Constants!$B$4,TRUE(),IF(K66=Constants!$B$5,FALSE(),COUNTA(L66:P66)&gt;0)))</f>
        <v/>
      </c>
      <c r="AM66" s="136" t="str">
        <f aca="false">IF(ISBLANK($C66),"",IF(ISNUMBER(L66),IF(L66&gt;=0,L66,""),""))</f>
        <v/>
      </c>
      <c r="AN66" s="137" t="str">
        <f aca="false">IF(ISBLANK($C66),"",IF(ISNUMBER(M66),IF(M66&gt;=0,M66,""),""))</f>
        <v/>
      </c>
      <c r="AO66" s="137" t="str">
        <f aca="false">IF(ISBLANK($C66),"",IF(N66=Constants!$B$2,TRUE(),IF(N66=Constants!$B$3,FALSE(),TRUE())))</f>
        <v/>
      </c>
      <c r="AP66" s="135" t="str">
        <f aca="false">IF(ISBLANK($C66),"",IF(ISNUMBER(O66),IF(O66&gt;=0,O66,""),""))</f>
        <v/>
      </c>
      <c r="AQ66" s="135" t="str">
        <f aca="false">IF(ISBLANK($C66),"",IF(P66=Constants!$B$2,TRUE(),IF(P66=Constants!$B$3,FALSE(),FALSE())))</f>
        <v/>
      </c>
      <c r="AR66" s="135" t="str">
        <f aca="false">IF(ISBLANK($C66),"",IF(Q66=Constants!$B$2,TRUE(),IF(Q66=Constants!$B$3,FALSE(),TRUE())))</f>
        <v/>
      </c>
      <c r="AS66" s="135" t="str">
        <f aca="false">IF(ISBLANK($C66),"",IF(R66=Constants!$B$2,TRUE(),IF(R66=Constants!$B$3,FALSE(),TRUE())))</f>
        <v/>
      </c>
      <c r="AT66" s="135" t="str">
        <f aca="false">IF(ISBLANK($C66),"",IF(S66=Constants!$B$4,TRUE(),IF(S66=Constants!$B$5,FALSE(),COUNTA(T66:X66)&gt;0)))</f>
        <v/>
      </c>
      <c r="AU66" s="136" t="str">
        <f aca="false">IF(ISBLANK($C66),"",IF(ISNUMBER(T66),IF(T66&gt;=0,T66,""),""))</f>
        <v/>
      </c>
      <c r="AV66" s="137" t="str">
        <f aca="false">IF(ISBLANK($C66),"",IF(ISNUMBER(U66),IF(U66&gt;=0,U66,""),""))</f>
        <v/>
      </c>
      <c r="AW66" s="137" t="str">
        <f aca="false">IF(ISBLANK($C66),"",IF(V66=Constants!$B$2,TRUE(),IF(V66=Constants!$B$3,FALSE(),TRUE())))</f>
        <v/>
      </c>
      <c r="AX66" s="135" t="str">
        <f aca="false">IF(ISBLANK($C66),"",IF(ISNUMBER(W66),IF(W66&gt;=0,W66,""),""))</f>
        <v/>
      </c>
      <c r="AY66" s="135" t="str">
        <f aca="false">IF(ISBLANK($C66),"",IF(X66=Constants!$B$2,TRUE(),IF(X66=Constants!$B$3,FALSE(),FALSE())))</f>
        <v/>
      </c>
      <c r="AZ66" s="135" t="str">
        <f aca="false">IF(ISBLANK($C66),"",MIN(Constants!$B$25,MAX(0,IF(ISNUMBER(Y66),Y66*60,0)+IF(ISNUMBER(Z66),Z66,0))))</f>
        <v/>
      </c>
      <c r="BA66" s="135" t="str">
        <f aca="false">IF(ISBLANK($C66),"",IF(AA66=Constants!$B$2,TRUE(),IF(AA66=Constants!$B$3,FALSE(),FALSE())))</f>
        <v/>
      </c>
      <c r="BB66" s="134" t="str">
        <f aca="false">IF(ISBLANK($C66),"",AND($AL66,OR($AM66="",$AN66="",AND($AO66,$AP66=""))))</f>
        <v/>
      </c>
      <c r="BC66" s="137" t="str">
        <f aca="false">IF($BX66&lt;&gt;Constants!$B$6,"",IF($AL66,Constants!$B$17*$AN66+Constants!$B$18*IF($AO66,$AP66,Constants!$B$19),Constants!$B$20))</f>
        <v/>
      </c>
      <c r="BD66" s="138" t="str">
        <f aca="false">IF($BX66&lt;&gt;Constants!$B$6,"",Constants!$B$21*ABS($AD$9-IF($AL66,$AM66,0)))</f>
        <v/>
      </c>
      <c r="BE66" s="138" t="str">
        <f aca="false">IF($BX66&lt;&gt;Constants!$B$6,"",IF(AND($AL66,$AQ66,$AO66),Constants!$B$22,0))</f>
        <v/>
      </c>
      <c r="BF66" s="138" t="str">
        <f aca="false">IF($BX66&lt;&gt;Constants!$B$6,"",IF($AL66,($AI66-Constants!$B$24)*Constants!$B$23,0))</f>
        <v/>
      </c>
      <c r="BG66" s="138" t="str">
        <f aca="false">IF($BX66&lt;&gt;Constants!$B$6,"",IF($AK66,0,Constants!$B$12)+IF($AJ66,0,Constants!$B$13)+IF($AH66,0,Constants!$B$14))</f>
        <v/>
      </c>
      <c r="BH66" s="139" t="str">
        <f aca="false">IF($BX66&lt;&gt;Constants!$B$6,"",Constants!$B$16+SUM($BC66:$BG66))</f>
        <v/>
      </c>
      <c r="BI66" s="138" t="str">
        <f aca="false">IF($BX66&lt;&gt;Constants!$B$6,"",$BC66)</f>
        <v/>
      </c>
      <c r="BJ66" s="138" t="str">
        <f aca="false">IF($BX66&lt;&gt;Constants!$B$6,"",$BD66)</f>
        <v/>
      </c>
      <c r="BK66" s="140" t="str">
        <f aca="false">IF($BX66&lt;&gt;Constants!$B$6,"",IF($AL66,$AN66,""))</f>
        <v/>
      </c>
      <c r="BL66" s="135" t="str">
        <f aca="false">IF($BX66&lt;&gt;Constants!$B$6,"",IF(OR($BS66&lt;$BH66,AND($BS66=$BH66,OR($BT66&lt;$BI66,AND($BT66=$BI66,OR($BU66&lt;$BJ66,AND($BU66=$BJ66,AND(ISNUMBER($BV66),OR(NOT(ISNUMBER($BK66)),$BV66&lt;$BK66)))))))),"-&gt;","&lt;-"))</f>
        <v/>
      </c>
      <c r="BM66" s="134" t="str">
        <f aca="false">IF(ISBLANK($C66),"",AND($AT66,OR($AU66="",$AV66="",AND($AW66,$AX66=""))))</f>
        <v/>
      </c>
      <c r="BN66" s="137" t="str">
        <f aca="false">IF($BX66&lt;&gt;Constants!$B$6,"",IF($AT66,Constants!$B$17*$AV66+Constants!$B$18*IF($AW66,$AX66,Constants!$B$19),Constants!$B$20))</f>
        <v/>
      </c>
      <c r="BO66" s="138" t="str">
        <f aca="false">IF($BX66&lt;&gt;Constants!$B$6,"",Constants!$B$21*ABS($AD$9-IF($AT66,$AU66,0)))</f>
        <v/>
      </c>
      <c r="BP66" s="138" t="str">
        <f aca="false">IF($BX66&lt;&gt;Constants!$B$6,"",IF(AND($AT66,$AY66,$AW66),Constants!$B$22,0))</f>
        <v/>
      </c>
      <c r="BQ66" s="138" t="str">
        <f aca="false">IF($BX66&lt;&gt;Constants!$B$6,"",IF($AT66,($AI66-Constants!$B$24)*Constants!$B$23,0))</f>
        <v/>
      </c>
      <c r="BR66" s="138" t="str">
        <f aca="false">IF($BX66&lt;&gt;Constants!$B$6,"",IF($AS66,0,Constants!$B$12)+IF($AR66,0,Constants!$B$13)+IF($AH66,0,Constants!$B$14))</f>
        <v/>
      </c>
      <c r="BS66" s="139" t="str">
        <f aca="false">IF($BX66&lt;&gt;Constants!$B$6,"",Constants!$B$16+SUM($BN66:$BR66))</f>
        <v/>
      </c>
      <c r="BT66" s="138" t="str">
        <f aca="false">IF($BX66&lt;&gt;Constants!$B$6,"",$BN66)</f>
        <v/>
      </c>
      <c r="BU66" s="138" t="str">
        <f aca="false">IF($BX66&lt;&gt;Constants!$B$6,"",$BO66)</f>
        <v/>
      </c>
      <c r="BV66" s="140" t="str">
        <f aca="false">IF($BX66&lt;&gt;Constants!$B$6,"",IF($AT66,$AV66,""))</f>
        <v/>
      </c>
      <c r="BW66" s="135" t="str">
        <f aca="false">IF(ISBLANK($C66),"",IF(ISBLANK($D$7),$BW$5,IF(NOT(ISNUMBER($D$7)),$BW$6,"")))</f>
        <v/>
      </c>
      <c r="BX66" s="135" t="str">
        <f aca="false">IF(ISBLANK($C66),"",IF($BA66,Constants!$B$9,IF(COUNTA($E66:$AA66)=0,Constants!$B$8,IF(NOT($AG66),Constants!$B$7,IF(OR($BW66&lt;&gt;"",$BB66,$BM66),Constants!$B$10,Constants!$B$6)))))</f>
        <v/>
      </c>
      <c r="BY66" s="135" t="str">
        <f aca="false">IF(ISBLANK($C66),"",IF($BX66&lt;&gt;Constants!$B$6,$BX66,Constants!$B$11))</f>
        <v/>
      </c>
      <c r="BZ66" s="138" t="str">
        <f aca="false">IF($BX66&lt;&gt;Constants!$B$6,"",IF($BL66="-&gt;",$BS66,$BH66))</f>
        <v/>
      </c>
      <c r="CA66" s="138" t="str">
        <f aca="false">IF($BX66&lt;&gt;Constants!$B$6,"",IF($AF66,0,Constants!$B$15))</f>
        <v/>
      </c>
      <c r="CB66" s="138" t="str">
        <f aca="false">IF($BX66&lt;&gt;Constants!$B$6,"",((Constants!$B$25-$AZ66)-Constants!$B$25)/Constants!$B$26)</f>
        <v/>
      </c>
      <c r="CC66" s="138" t="str">
        <f aca="false">IF(ISBLANK($C66),"",IF($BX66&lt;&gt;Constants!$B$6,$BX66,SUM($BZ66:$CB66)))</f>
        <v/>
      </c>
      <c r="CD66" s="135" t="str">
        <f aca="false">IF(ISBLANK($C66),"",IF($BX66&lt;&gt;Constants!$B$6,$BX66,RANK($CC66,$CC$9:$CC$508,1)))</f>
        <v/>
      </c>
      <c r="CE66" s="138" t="str">
        <f aca="false">IF($BX66&lt;&gt;Constants!$B$6,"",IF($BL66="-&gt;",$BT66,$BI66))</f>
        <v/>
      </c>
      <c r="CF66" s="135" t="str">
        <f aca="false">IF(ISBLANK($C66),"",IF($BX66&lt;&gt;Constants!$B$6,$BX66,IF(ISNUMBER($CE66),RANK($CE66,$CE$9:$CE$508,1),COUNT($CE$9:$CE$508)+1)))</f>
        <v/>
      </c>
      <c r="CG66" s="138" t="str">
        <f aca="false">IF($BX66&lt;&gt;Constants!$B$6,"",IF($BL66="-&gt;",$BU66,$BJ66))</f>
        <v/>
      </c>
      <c r="CH66" s="135" t="str">
        <f aca="false">IF(ISBLANK($C66),"",IF($BX66&lt;&gt;Constants!$B$6,$BX66,IF(ISNUMBER($CG66),RANK($CG66,$CG$9:$CG$508,1),COUNT($CG$9:$CG$508)+1)))</f>
        <v/>
      </c>
      <c r="CI66" s="138" t="str">
        <f aca="false">IF($BX66&lt;&gt;Constants!$B$6,"",IF($BL66="-&gt;",$BV66,$BK66))</f>
        <v/>
      </c>
      <c r="CJ66" s="135" t="str">
        <f aca="false">IF(ISBLANK($C66),"",IF($BX66&lt;&gt;Constants!$B$6,$BX66,IF(ISNUMBER($CI66),RANK($CI66,$CI$9:$CI$508,1),COUNT($CI$9:$CI$508)+1)))</f>
        <v/>
      </c>
      <c r="CK66" s="138" t="str">
        <f aca="false">IF($BX66&lt;&gt;Constants!$B$6,"",$AI66)</f>
        <v/>
      </c>
      <c r="CL66" s="135" t="str">
        <f aca="false">IF(ISBLANK($C66),"",IF($BX66&lt;&gt;Constants!$B$6,$BX66,IF(ISNUMBER($CK66),RANK($CK66,$CK$9:$CK$508,1),COUNT($CK$9:$CK$508)+1)))</f>
        <v/>
      </c>
      <c r="CM66" s="135" t="str">
        <f aca="false">IF(ISBLANK($C66),"",IF($BX66&lt;&gt;Constants!$B$6,$BX66,COUNTIFS($CD$9:$CD$508,"&lt;"&amp;$CD66)+COUNTIFS($CD$9:$CD$508,$CD66,$CF$9:$CF$508,"&lt;"&amp;$CF66)+COUNTIFS($CD$9:$CD$508,$CD66,$CF$9:$CF$508,$CF66,$CH$9:$CH$508,"&lt;"&amp;$CH66)+COUNTIFS($CD$9:$CD$508,$CD66,$CF$9:$CF$508,$CF66,$CH$9:$CH$508,$CH66,$CJ$9:$CJ$508,"&lt;"&amp;$CJ66)+COUNTIFS($CD$9:$CD$508,$CD66,$CF$9:$CF$508,$CF66,$CH$9:$CH$508,$CH66,$CJ$9:$CJ$508,$CJ66,$CL$9:$CL$508,"&lt;"&amp;$CL66)+1))</f>
        <v/>
      </c>
      <c r="CN66" s="135" t="str">
        <f aca="false">IF(ISBLANK($C66),"",IF($BX66&lt;&gt;Constants!$B$6,$BX66,$CD66-$CM66))</f>
        <v/>
      </c>
      <c r="CO66" s="141"/>
      <c r="CP66" s="142"/>
      <c r="CQ66" s="143" t="str">
        <f aca="false">IF(ISBLANK($C66),"",IF($BX66=Constants!$B$10,$BW66,""))</f>
        <v/>
      </c>
      <c r="CR66" s="142" t="str">
        <f aca="false">IF(ISBLANK($C66),"",IF($BX66&lt;&gt;Constants!$B$6,"",IF($BL66="-&gt;",2,1)))</f>
        <v/>
      </c>
      <c r="CS66" s="144" t="str">
        <f aca="false">IF(ISBLANK($C66),"",IF($BX66&lt;&gt;Constants!$B$6,"",IF($BL66="-&gt;",$BN66,$BC66)))</f>
        <v/>
      </c>
      <c r="CT66" s="144" t="str">
        <f aca="false">IF(ISBLANK($C66),"",IF($BX66&lt;&gt;Constants!$B$6,"",IF($BL66="-&gt;",$BO66,$BD66)))</f>
        <v/>
      </c>
      <c r="CU66" s="144" t="str">
        <f aca="false">IF(ISBLANK($C66),"",IF($BX66&lt;&gt;Constants!$B$6,"",IF($BL66="-&gt;",$BP66+$BQ66,$BE66+$BF66)+$CB66))</f>
        <v/>
      </c>
      <c r="CV66" s="144" t="str">
        <f aca="false">IF(ISBLANK($C66),"",IF($BX66&lt;&gt;Constants!$B$6,"",IF($BL66="-&gt;",$BR66,$BG66)+$CA66))</f>
        <v/>
      </c>
      <c r="CW66" s="145" t="str">
        <f aca="false">IF(ISBLANK($C66),"",IF($BX66&lt;&gt;Constants!$B$6,$BX66,$CC66))</f>
        <v/>
      </c>
      <c r="CX66" s="146" t="str">
        <f aca="false">IF(ISBLANK($C66),"",$BY66)</f>
        <v/>
      </c>
      <c r="CY66" s="147" t="str">
        <f aca="false">IF(ISBLANK($C66),"",$CN66)</f>
        <v/>
      </c>
      <c r="CZ66" s="147" t="str">
        <f aca="false">IF(ISBLANK($C66),"",$CM66)</f>
        <v/>
      </c>
      <c r="DA66" s="148" t="str">
        <f aca="false">IF(ISBLANK($C66),"",IFERROR(_xlfn.SWITCH($CZ66,Constants!$B$9,COUNTA($C$9:$C$508)+2,Constants!$B$8,COUNTA($C$9:$C$508)+1,Constants!$B$7,COUNTA($C$9:$C$508)),$CZ66))</f>
        <v/>
      </c>
      <c r="DB66" s="9"/>
      <c r="DC66" s="149" t="n">
        <f aca="false">IF(OR(ISNUMBER($CZ66),$CZ66=Constants!$B$9,$CZ66=Constants!$B$7,$CZ66=Constants!$B$8),1,0)</f>
        <v>0</v>
      </c>
      <c r="DD66" s="149" t="n">
        <v>58</v>
      </c>
      <c r="DE66" s="149" t="str">
        <f aca="false">IF(ISBLANK($C66),"",IF(ISNUMBER($DA66),$DA66+ROW($B66)/1000,""))</f>
        <v/>
      </c>
      <c r="DF66" s="149" t="str">
        <f aca="false">IF(ISNUMBER($DE66),RANK($DE66,$DE$9:$DE$508,1),"")</f>
        <v/>
      </c>
      <c r="DG66" s="149" t="str">
        <f aca="false">IF(ISBLANK($C66),"",$B66)</f>
        <v/>
      </c>
      <c r="DH66" s="149" t="str">
        <f aca="false">IF(ISBLANK($C66),"",$C66)</f>
        <v/>
      </c>
      <c r="DI66" s="149" t="str">
        <f aca="false">IF(ISBLANK($C66),"",$D66)</f>
        <v/>
      </c>
      <c r="DJ66" s="150" t="str">
        <f aca="false">$CX66</f>
        <v/>
      </c>
      <c r="DK66" s="151" t="str">
        <f aca="false">$CW66</f>
        <v/>
      </c>
      <c r="DL66" s="149" t="str">
        <f aca="false">IF(ISBLANK($C66),"",$CZ66)</f>
        <v/>
      </c>
      <c r="DM66" s="152" t="str">
        <f aca="false">IF($DD66&gt;$DC$8,"",VLOOKUP($DD66,$DF$9:$DL$508,7,FALSE()))</f>
        <v/>
      </c>
      <c r="DN66" s="153" t="str">
        <f aca="false">IF($DD66&gt;$DC$8,"",VLOOKUP($DD66,$DF$9:$DL$508,2,FALSE()))</f>
        <v/>
      </c>
      <c r="DO66" s="153" t="str">
        <f aca="false">IF($DD66&gt;$DC$8,"",VLOOKUP($DD66,$DF$9:$DL$508,3,FALSE()))</f>
        <v/>
      </c>
      <c r="DP66" s="153" t="str">
        <f aca="false">IF($DD66&gt;$DC$8,"",VLOOKUP($DD66,$DF$9:$DL$508,4,FALSE()))</f>
        <v/>
      </c>
      <c r="DQ66" s="153" t="str">
        <f aca="false">IF($DD66&gt;$DC$8,"",VLOOKUP($DD66,$DF$9:$DL$508,5,FALSE()))</f>
        <v/>
      </c>
      <c r="DR66" s="154" t="str">
        <f aca="false">IF($DD66&gt;$DC$8,"",VLOOKUP($DD66,$DF$9:$DL$508,6,FALSE()))</f>
        <v/>
      </c>
      <c r="DS66" s="76"/>
    </row>
    <row r="67" customFormat="false" ht="15.75" hidden="false" customHeight="false" outlineLevel="0" collapsed="false">
      <c r="A67" s="9"/>
      <c r="B67" s="160"/>
      <c r="C67" s="161"/>
      <c r="D67" s="162"/>
      <c r="E67" s="180"/>
      <c r="F67" s="164"/>
      <c r="G67" s="165"/>
      <c r="H67" s="165"/>
      <c r="I67" s="181"/>
      <c r="J67" s="168"/>
      <c r="K67" s="128"/>
      <c r="L67" s="129"/>
      <c r="M67" s="130"/>
      <c r="N67" s="168"/>
      <c r="O67" s="168"/>
      <c r="P67" s="180"/>
      <c r="Q67" s="168"/>
      <c r="R67" s="168"/>
      <c r="S67" s="128"/>
      <c r="T67" s="130"/>
      <c r="U67" s="130"/>
      <c r="V67" s="168"/>
      <c r="W67" s="168"/>
      <c r="X67" s="180"/>
      <c r="Y67" s="168"/>
      <c r="Z67" s="169"/>
      <c r="AA67" s="168"/>
      <c r="AB67" s="134"/>
      <c r="AC67" s="135"/>
      <c r="AD67" s="135"/>
      <c r="AE67" s="135"/>
      <c r="AF67" s="135" t="str">
        <f aca="false">IF(ISBLANK($C67),"",IF(E67=Constants!$B$2,TRUE(),IF(E67=Constants!$B$3,FALSE(),TRUE())))</f>
        <v/>
      </c>
      <c r="AG67" s="135" t="str">
        <f aca="false">IF(ISBLANK($C67),"",IF(F67=Constants!$B$2,TRUE(),IF(F67=Constants!$B$3,FALSE(),TRUE())))</f>
        <v/>
      </c>
      <c r="AH67" s="135" t="str">
        <f aca="false">IF(ISBLANK($C67),"",IF(G67=Constants!$B$2,TRUE(),IF(G67=Constants!$B$3,FALSE(),TRUE())))</f>
        <v/>
      </c>
      <c r="AI67" s="135" t="str">
        <f aca="false">IF(ISBLANK($C67),"",IF(AND(ISNUMBER(H67),H67&gt;=0),H67,Constants!$B$24))</f>
        <v/>
      </c>
      <c r="AJ67" s="135" t="str">
        <f aca="false">IF(ISBLANK($C67),"",IF(I67=Constants!$B$2,TRUE(),IF(I67=Constants!$B$3,FALSE(),TRUE())))</f>
        <v/>
      </c>
      <c r="AK67" s="135" t="str">
        <f aca="false">IF(ISBLANK($C67),"",IF(J67=Constants!$B$2,TRUE(),IF(J67=Constants!$B$3,FALSE(),TRUE())))</f>
        <v/>
      </c>
      <c r="AL67" s="135" t="str">
        <f aca="false">IF(ISBLANK($C67),"",IF(K67=Constants!$B$4,TRUE(),IF(K67=Constants!$B$5,FALSE(),COUNTA(L67:P67)&gt;0)))</f>
        <v/>
      </c>
      <c r="AM67" s="136" t="str">
        <f aca="false">IF(ISBLANK($C67),"",IF(ISNUMBER(L67),IF(L67&gt;=0,L67,""),""))</f>
        <v/>
      </c>
      <c r="AN67" s="137" t="str">
        <f aca="false">IF(ISBLANK($C67),"",IF(ISNUMBER(M67),IF(M67&gt;=0,M67,""),""))</f>
        <v/>
      </c>
      <c r="AO67" s="137" t="str">
        <f aca="false">IF(ISBLANK($C67),"",IF(N67=Constants!$B$2,TRUE(),IF(N67=Constants!$B$3,FALSE(),TRUE())))</f>
        <v/>
      </c>
      <c r="AP67" s="135" t="str">
        <f aca="false">IF(ISBLANK($C67),"",IF(ISNUMBER(O67),IF(O67&gt;=0,O67,""),""))</f>
        <v/>
      </c>
      <c r="AQ67" s="135" t="str">
        <f aca="false">IF(ISBLANK($C67),"",IF(P67=Constants!$B$2,TRUE(),IF(P67=Constants!$B$3,FALSE(),FALSE())))</f>
        <v/>
      </c>
      <c r="AR67" s="135" t="str">
        <f aca="false">IF(ISBLANK($C67),"",IF(Q67=Constants!$B$2,TRUE(),IF(Q67=Constants!$B$3,FALSE(),TRUE())))</f>
        <v/>
      </c>
      <c r="AS67" s="135" t="str">
        <f aca="false">IF(ISBLANK($C67),"",IF(R67=Constants!$B$2,TRUE(),IF(R67=Constants!$B$3,FALSE(),TRUE())))</f>
        <v/>
      </c>
      <c r="AT67" s="135" t="str">
        <f aca="false">IF(ISBLANK($C67),"",IF(S67=Constants!$B$4,TRUE(),IF(S67=Constants!$B$5,FALSE(),COUNTA(T67:X67)&gt;0)))</f>
        <v/>
      </c>
      <c r="AU67" s="136" t="str">
        <f aca="false">IF(ISBLANK($C67),"",IF(ISNUMBER(T67),IF(T67&gt;=0,T67,""),""))</f>
        <v/>
      </c>
      <c r="AV67" s="137" t="str">
        <f aca="false">IF(ISBLANK($C67),"",IF(ISNUMBER(U67),IF(U67&gt;=0,U67,""),""))</f>
        <v/>
      </c>
      <c r="AW67" s="137" t="str">
        <f aca="false">IF(ISBLANK($C67),"",IF(V67=Constants!$B$2,TRUE(),IF(V67=Constants!$B$3,FALSE(),TRUE())))</f>
        <v/>
      </c>
      <c r="AX67" s="135" t="str">
        <f aca="false">IF(ISBLANK($C67),"",IF(ISNUMBER(W67),IF(W67&gt;=0,W67,""),""))</f>
        <v/>
      </c>
      <c r="AY67" s="135" t="str">
        <f aca="false">IF(ISBLANK($C67),"",IF(X67=Constants!$B$2,TRUE(),IF(X67=Constants!$B$3,FALSE(),FALSE())))</f>
        <v/>
      </c>
      <c r="AZ67" s="135" t="str">
        <f aca="false">IF(ISBLANK($C67),"",MIN(Constants!$B$25,MAX(0,IF(ISNUMBER(Y67),Y67*60,0)+IF(ISNUMBER(Z67),Z67,0))))</f>
        <v/>
      </c>
      <c r="BA67" s="135" t="str">
        <f aca="false">IF(ISBLANK($C67),"",IF(AA67=Constants!$B$2,TRUE(),IF(AA67=Constants!$B$3,FALSE(),FALSE())))</f>
        <v/>
      </c>
      <c r="BB67" s="134" t="str">
        <f aca="false">IF(ISBLANK($C67),"",AND($AL67,OR($AM67="",$AN67="",AND($AO67,$AP67=""))))</f>
        <v/>
      </c>
      <c r="BC67" s="137" t="str">
        <f aca="false">IF($BX67&lt;&gt;Constants!$B$6,"",IF($AL67,Constants!$B$17*$AN67+Constants!$B$18*IF($AO67,$AP67,Constants!$B$19),Constants!$B$20))</f>
        <v/>
      </c>
      <c r="BD67" s="138" t="str">
        <f aca="false">IF($BX67&lt;&gt;Constants!$B$6,"",Constants!$B$21*ABS($AD$9-IF($AL67,$AM67,0)))</f>
        <v/>
      </c>
      <c r="BE67" s="138" t="str">
        <f aca="false">IF($BX67&lt;&gt;Constants!$B$6,"",IF(AND($AL67,$AQ67,$AO67),Constants!$B$22,0))</f>
        <v/>
      </c>
      <c r="BF67" s="138" t="str">
        <f aca="false">IF($BX67&lt;&gt;Constants!$B$6,"",IF($AL67,($AI67-Constants!$B$24)*Constants!$B$23,0))</f>
        <v/>
      </c>
      <c r="BG67" s="138" t="str">
        <f aca="false">IF($BX67&lt;&gt;Constants!$B$6,"",IF($AK67,0,Constants!$B$12)+IF($AJ67,0,Constants!$B$13)+IF($AH67,0,Constants!$B$14))</f>
        <v/>
      </c>
      <c r="BH67" s="139" t="str">
        <f aca="false">IF($BX67&lt;&gt;Constants!$B$6,"",Constants!$B$16+SUM($BC67:$BG67))</f>
        <v/>
      </c>
      <c r="BI67" s="138" t="str">
        <f aca="false">IF($BX67&lt;&gt;Constants!$B$6,"",$BC67)</f>
        <v/>
      </c>
      <c r="BJ67" s="138" t="str">
        <f aca="false">IF($BX67&lt;&gt;Constants!$B$6,"",$BD67)</f>
        <v/>
      </c>
      <c r="BK67" s="140" t="str">
        <f aca="false">IF($BX67&lt;&gt;Constants!$B$6,"",IF($AL67,$AN67,""))</f>
        <v/>
      </c>
      <c r="BL67" s="135" t="str">
        <f aca="false">IF($BX67&lt;&gt;Constants!$B$6,"",IF(OR($BS67&lt;$BH67,AND($BS67=$BH67,OR($BT67&lt;$BI67,AND($BT67=$BI67,OR($BU67&lt;$BJ67,AND($BU67=$BJ67,AND(ISNUMBER($BV67),OR(NOT(ISNUMBER($BK67)),$BV67&lt;$BK67)))))))),"-&gt;","&lt;-"))</f>
        <v/>
      </c>
      <c r="BM67" s="134" t="str">
        <f aca="false">IF(ISBLANK($C67),"",AND($AT67,OR($AU67="",$AV67="",AND($AW67,$AX67=""))))</f>
        <v/>
      </c>
      <c r="BN67" s="137" t="str">
        <f aca="false">IF($BX67&lt;&gt;Constants!$B$6,"",IF($AT67,Constants!$B$17*$AV67+Constants!$B$18*IF($AW67,$AX67,Constants!$B$19),Constants!$B$20))</f>
        <v/>
      </c>
      <c r="BO67" s="138" t="str">
        <f aca="false">IF($BX67&lt;&gt;Constants!$B$6,"",Constants!$B$21*ABS($AD$9-IF($AT67,$AU67,0)))</f>
        <v/>
      </c>
      <c r="BP67" s="138" t="str">
        <f aca="false">IF($BX67&lt;&gt;Constants!$B$6,"",IF(AND($AT67,$AY67,$AW67),Constants!$B$22,0))</f>
        <v/>
      </c>
      <c r="BQ67" s="138" t="str">
        <f aca="false">IF($BX67&lt;&gt;Constants!$B$6,"",IF($AT67,($AI67-Constants!$B$24)*Constants!$B$23,0))</f>
        <v/>
      </c>
      <c r="BR67" s="138" t="str">
        <f aca="false">IF($BX67&lt;&gt;Constants!$B$6,"",IF($AS67,0,Constants!$B$12)+IF($AR67,0,Constants!$B$13)+IF($AH67,0,Constants!$B$14))</f>
        <v/>
      </c>
      <c r="BS67" s="139" t="str">
        <f aca="false">IF($BX67&lt;&gt;Constants!$B$6,"",Constants!$B$16+SUM($BN67:$BR67))</f>
        <v/>
      </c>
      <c r="BT67" s="138" t="str">
        <f aca="false">IF($BX67&lt;&gt;Constants!$B$6,"",$BN67)</f>
        <v/>
      </c>
      <c r="BU67" s="138" t="str">
        <f aca="false">IF($BX67&lt;&gt;Constants!$B$6,"",$BO67)</f>
        <v/>
      </c>
      <c r="BV67" s="140" t="str">
        <f aca="false">IF($BX67&lt;&gt;Constants!$B$6,"",IF($AT67,$AV67,""))</f>
        <v/>
      </c>
      <c r="BW67" s="135" t="str">
        <f aca="false">IF(ISBLANK($C67),"",IF(ISBLANK($D$7),$BW$5,IF(NOT(ISNUMBER($D$7)),$BW$6,"")))</f>
        <v/>
      </c>
      <c r="BX67" s="135" t="str">
        <f aca="false">IF(ISBLANK($C67),"",IF($BA67,Constants!$B$9,IF(COUNTA($E67:$AA67)=0,Constants!$B$8,IF(NOT($AG67),Constants!$B$7,IF(OR($BW67&lt;&gt;"",$BB67,$BM67),Constants!$B$10,Constants!$B$6)))))</f>
        <v/>
      </c>
      <c r="BY67" s="135" t="str">
        <f aca="false">IF(ISBLANK($C67),"",IF($BX67&lt;&gt;Constants!$B$6,$BX67,Constants!$B$11))</f>
        <v/>
      </c>
      <c r="BZ67" s="138" t="str">
        <f aca="false">IF($BX67&lt;&gt;Constants!$B$6,"",IF($BL67="-&gt;",$BS67,$BH67))</f>
        <v/>
      </c>
      <c r="CA67" s="138" t="str">
        <f aca="false">IF($BX67&lt;&gt;Constants!$B$6,"",IF($AF67,0,Constants!$B$15))</f>
        <v/>
      </c>
      <c r="CB67" s="138" t="str">
        <f aca="false">IF($BX67&lt;&gt;Constants!$B$6,"",((Constants!$B$25-$AZ67)-Constants!$B$25)/Constants!$B$26)</f>
        <v/>
      </c>
      <c r="CC67" s="138" t="str">
        <f aca="false">IF(ISBLANK($C67),"",IF($BX67&lt;&gt;Constants!$B$6,$BX67,SUM($BZ67:$CB67)))</f>
        <v/>
      </c>
      <c r="CD67" s="135" t="str">
        <f aca="false">IF(ISBLANK($C67),"",IF($BX67&lt;&gt;Constants!$B$6,$BX67,RANK($CC67,$CC$9:$CC$508,1)))</f>
        <v/>
      </c>
      <c r="CE67" s="138" t="str">
        <f aca="false">IF($BX67&lt;&gt;Constants!$B$6,"",IF($BL67="-&gt;",$BT67,$BI67))</f>
        <v/>
      </c>
      <c r="CF67" s="135" t="str">
        <f aca="false">IF(ISBLANK($C67),"",IF($BX67&lt;&gt;Constants!$B$6,$BX67,IF(ISNUMBER($CE67),RANK($CE67,$CE$9:$CE$508,1),COUNT($CE$9:$CE$508)+1)))</f>
        <v/>
      </c>
      <c r="CG67" s="138" t="str">
        <f aca="false">IF($BX67&lt;&gt;Constants!$B$6,"",IF($BL67="-&gt;",$BU67,$BJ67))</f>
        <v/>
      </c>
      <c r="CH67" s="135" t="str">
        <f aca="false">IF(ISBLANK($C67),"",IF($BX67&lt;&gt;Constants!$B$6,$BX67,IF(ISNUMBER($CG67),RANK($CG67,$CG$9:$CG$508,1),COUNT($CG$9:$CG$508)+1)))</f>
        <v/>
      </c>
      <c r="CI67" s="138" t="str">
        <f aca="false">IF($BX67&lt;&gt;Constants!$B$6,"",IF($BL67="-&gt;",$BV67,$BK67))</f>
        <v/>
      </c>
      <c r="CJ67" s="135" t="str">
        <f aca="false">IF(ISBLANK($C67),"",IF($BX67&lt;&gt;Constants!$B$6,$BX67,IF(ISNUMBER($CI67),RANK($CI67,$CI$9:$CI$508,1),COUNT($CI$9:$CI$508)+1)))</f>
        <v/>
      </c>
      <c r="CK67" s="138" t="str">
        <f aca="false">IF($BX67&lt;&gt;Constants!$B$6,"",$AI67)</f>
        <v/>
      </c>
      <c r="CL67" s="135" t="str">
        <f aca="false">IF(ISBLANK($C67),"",IF($BX67&lt;&gt;Constants!$B$6,$BX67,IF(ISNUMBER($CK67),RANK($CK67,$CK$9:$CK$508,1),COUNT($CK$9:$CK$508)+1)))</f>
        <v/>
      </c>
      <c r="CM67" s="135" t="str">
        <f aca="false">IF(ISBLANK($C67),"",IF($BX67&lt;&gt;Constants!$B$6,$BX67,COUNTIFS($CD$9:$CD$508,"&lt;"&amp;$CD67)+COUNTIFS($CD$9:$CD$508,$CD67,$CF$9:$CF$508,"&lt;"&amp;$CF67)+COUNTIFS($CD$9:$CD$508,$CD67,$CF$9:$CF$508,$CF67,$CH$9:$CH$508,"&lt;"&amp;$CH67)+COUNTIFS($CD$9:$CD$508,$CD67,$CF$9:$CF$508,$CF67,$CH$9:$CH$508,$CH67,$CJ$9:$CJ$508,"&lt;"&amp;$CJ67)+COUNTIFS($CD$9:$CD$508,$CD67,$CF$9:$CF$508,$CF67,$CH$9:$CH$508,$CH67,$CJ$9:$CJ$508,$CJ67,$CL$9:$CL$508,"&lt;"&amp;$CL67)+1))</f>
        <v/>
      </c>
      <c r="CN67" s="135" t="str">
        <f aca="false">IF(ISBLANK($C67),"",IF($BX67&lt;&gt;Constants!$B$6,$BX67,$CD67-$CM67))</f>
        <v/>
      </c>
      <c r="CO67" s="141"/>
      <c r="CP67" s="142"/>
      <c r="CQ67" s="143" t="str">
        <f aca="false">IF(ISBLANK($C67),"",IF($BX67=Constants!$B$10,$BW67,""))</f>
        <v/>
      </c>
      <c r="CR67" s="142" t="str">
        <f aca="false">IF(ISBLANK($C67),"",IF($BX67&lt;&gt;Constants!$B$6,"",IF($BL67="-&gt;",2,1)))</f>
        <v/>
      </c>
      <c r="CS67" s="144" t="str">
        <f aca="false">IF(ISBLANK($C67),"",IF($BX67&lt;&gt;Constants!$B$6,"",IF($BL67="-&gt;",$BN67,$BC67)))</f>
        <v/>
      </c>
      <c r="CT67" s="144" t="str">
        <f aca="false">IF(ISBLANK($C67),"",IF($BX67&lt;&gt;Constants!$B$6,"",IF($BL67="-&gt;",$BO67,$BD67)))</f>
        <v/>
      </c>
      <c r="CU67" s="144" t="str">
        <f aca="false">IF(ISBLANK($C67),"",IF($BX67&lt;&gt;Constants!$B$6,"",IF($BL67="-&gt;",$BP67+$BQ67,$BE67+$BF67)+$CB67))</f>
        <v/>
      </c>
      <c r="CV67" s="144" t="str">
        <f aca="false">IF(ISBLANK($C67),"",IF($BX67&lt;&gt;Constants!$B$6,"",IF($BL67="-&gt;",$BR67,$BG67)+$CA67))</f>
        <v/>
      </c>
      <c r="CW67" s="145" t="str">
        <f aca="false">IF(ISBLANK($C67),"",IF($BX67&lt;&gt;Constants!$B$6,$BX67,$CC67))</f>
        <v/>
      </c>
      <c r="CX67" s="146" t="str">
        <f aca="false">IF(ISBLANK($C67),"",$BY67)</f>
        <v/>
      </c>
      <c r="CY67" s="147" t="str">
        <f aca="false">IF(ISBLANK($C67),"",$CN67)</f>
        <v/>
      </c>
      <c r="CZ67" s="147" t="str">
        <f aca="false">IF(ISBLANK($C67),"",$CM67)</f>
        <v/>
      </c>
      <c r="DA67" s="148" t="str">
        <f aca="false">IF(ISBLANK($C67),"",IFERROR(_xlfn.SWITCH($CZ67,Constants!$B$9,COUNTA($C$9:$C$508)+2,Constants!$B$8,COUNTA($C$9:$C$508)+1,Constants!$B$7,COUNTA($C$9:$C$508)),$CZ67))</f>
        <v/>
      </c>
      <c r="DB67" s="9"/>
      <c r="DC67" s="149" t="n">
        <f aca="false">IF(OR(ISNUMBER($CZ67),$CZ67=Constants!$B$9,$CZ67=Constants!$B$7,$CZ67=Constants!$B$8),1,0)</f>
        <v>0</v>
      </c>
      <c r="DD67" s="149" t="n">
        <v>59</v>
      </c>
      <c r="DE67" s="149" t="str">
        <f aca="false">IF(ISBLANK($C67),"",IF(ISNUMBER($DA67),$DA67+ROW($B67)/1000,""))</f>
        <v/>
      </c>
      <c r="DF67" s="149" t="str">
        <f aca="false">IF(ISNUMBER($DE67),RANK($DE67,$DE$9:$DE$508,1),"")</f>
        <v/>
      </c>
      <c r="DG67" s="149" t="str">
        <f aca="false">IF(ISBLANK($C67),"",$B67)</f>
        <v/>
      </c>
      <c r="DH67" s="149" t="str">
        <f aca="false">IF(ISBLANK($C67),"",$C67)</f>
        <v/>
      </c>
      <c r="DI67" s="149" t="str">
        <f aca="false">IF(ISBLANK($C67),"",$D67)</f>
        <v/>
      </c>
      <c r="DJ67" s="150" t="str">
        <f aca="false">$CX67</f>
        <v/>
      </c>
      <c r="DK67" s="151" t="str">
        <f aca="false">$CW67</f>
        <v/>
      </c>
      <c r="DL67" s="149" t="str">
        <f aca="false">IF(ISBLANK($C67),"",$CZ67)</f>
        <v/>
      </c>
      <c r="DM67" s="152" t="str">
        <f aca="false">IF($DD67&gt;$DC$8,"",VLOOKUP($DD67,$DF$9:$DL$508,7,FALSE()))</f>
        <v/>
      </c>
      <c r="DN67" s="153" t="str">
        <f aca="false">IF($DD67&gt;$DC$8,"",VLOOKUP($DD67,$DF$9:$DL$508,2,FALSE()))</f>
        <v/>
      </c>
      <c r="DO67" s="153" t="str">
        <f aca="false">IF($DD67&gt;$DC$8,"",VLOOKUP($DD67,$DF$9:$DL$508,3,FALSE()))</f>
        <v/>
      </c>
      <c r="DP67" s="153" t="str">
        <f aca="false">IF($DD67&gt;$DC$8,"",VLOOKUP($DD67,$DF$9:$DL$508,4,FALSE()))</f>
        <v/>
      </c>
      <c r="DQ67" s="153" t="str">
        <f aca="false">IF($DD67&gt;$DC$8,"",VLOOKUP($DD67,$DF$9:$DL$508,5,FALSE()))</f>
        <v/>
      </c>
      <c r="DR67" s="154" t="str">
        <f aca="false">IF($DD67&gt;$DC$8,"",VLOOKUP($DD67,$DF$9:$DL$508,6,FALSE()))</f>
        <v/>
      </c>
      <c r="DS67" s="76"/>
    </row>
    <row r="68" customFormat="false" ht="15.75" hidden="false" customHeight="false" outlineLevel="0" collapsed="false">
      <c r="A68" s="9"/>
      <c r="B68" s="160"/>
      <c r="C68" s="161"/>
      <c r="D68" s="162"/>
      <c r="E68" s="180"/>
      <c r="F68" s="164"/>
      <c r="G68" s="165"/>
      <c r="H68" s="165"/>
      <c r="I68" s="181"/>
      <c r="J68" s="168"/>
      <c r="K68" s="128"/>
      <c r="L68" s="129"/>
      <c r="M68" s="130"/>
      <c r="N68" s="168"/>
      <c r="O68" s="168"/>
      <c r="P68" s="180"/>
      <c r="Q68" s="168"/>
      <c r="R68" s="168"/>
      <c r="S68" s="128"/>
      <c r="T68" s="130"/>
      <c r="U68" s="130"/>
      <c r="V68" s="168"/>
      <c r="W68" s="168"/>
      <c r="X68" s="180"/>
      <c r="Y68" s="168"/>
      <c r="Z68" s="169"/>
      <c r="AA68" s="168"/>
      <c r="AB68" s="134"/>
      <c r="AC68" s="135"/>
      <c r="AD68" s="135"/>
      <c r="AE68" s="135"/>
      <c r="AF68" s="135" t="str">
        <f aca="false">IF(ISBLANK($C68),"",IF(E68=Constants!$B$2,TRUE(),IF(E68=Constants!$B$3,FALSE(),TRUE())))</f>
        <v/>
      </c>
      <c r="AG68" s="135" t="str">
        <f aca="false">IF(ISBLANK($C68),"",IF(F68=Constants!$B$2,TRUE(),IF(F68=Constants!$B$3,FALSE(),TRUE())))</f>
        <v/>
      </c>
      <c r="AH68" s="135" t="str">
        <f aca="false">IF(ISBLANK($C68),"",IF(G68=Constants!$B$2,TRUE(),IF(G68=Constants!$B$3,FALSE(),TRUE())))</f>
        <v/>
      </c>
      <c r="AI68" s="135" t="str">
        <f aca="false">IF(ISBLANK($C68),"",IF(AND(ISNUMBER(H68),H68&gt;=0),H68,Constants!$B$24))</f>
        <v/>
      </c>
      <c r="AJ68" s="135" t="str">
        <f aca="false">IF(ISBLANK($C68),"",IF(I68=Constants!$B$2,TRUE(),IF(I68=Constants!$B$3,FALSE(),TRUE())))</f>
        <v/>
      </c>
      <c r="AK68" s="135" t="str">
        <f aca="false">IF(ISBLANK($C68),"",IF(J68=Constants!$B$2,TRUE(),IF(J68=Constants!$B$3,FALSE(),TRUE())))</f>
        <v/>
      </c>
      <c r="AL68" s="135" t="str">
        <f aca="false">IF(ISBLANK($C68),"",IF(K68=Constants!$B$4,TRUE(),IF(K68=Constants!$B$5,FALSE(),COUNTA(L68:P68)&gt;0)))</f>
        <v/>
      </c>
      <c r="AM68" s="136" t="str">
        <f aca="false">IF(ISBLANK($C68),"",IF(ISNUMBER(L68),IF(L68&gt;=0,L68,""),""))</f>
        <v/>
      </c>
      <c r="AN68" s="137" t="str">
        <f aca="false">IF(ISBLANK($C68),"",IF(ISNUMBER(M68),IF(M68&gt;=0,M68,""),""))</f>
        <v/>
      </c>
      <c r="AO68" s="137" t="str">
        <f aca="false">IF(ISBLANK($C68),"",IF(N68=Constants!$B$2,TRUE(),IF(N68=Constants!$B$3,FALSE(),TRUE())))</f>
        <v/>
      </c>
      <c r="AP68" s="135" t="str">
        <f aca="false">IF(ISBLANK($C68),"",IF(ISNUMBER(O68),IF(O68&gt;=0,O68,""),""))</f>
        <v/>
      </c>
      <c r="AQ68" s="135" t="str">
        <f aca="false">IF(ISBLANK($C68),"",IF(P68=Constants!$B$2,TRUE(),IF(P68=Constants!$B$3,FALSE(),FALSE())))</f>
        <v/>
      </c>
      <c r="AR68" s="135" t="str">
        <f aca="false">IF(ISBLANK($C68),"",IF(Q68=Constants!$B$2,TRUE(),IF(Q68=Constants!$B$3,FALSE(),TRUE())))</f>
        <v/>
      </c>
      <c r="AS68" s="135" t="str">
        <f aca="false">IF(ISBLANK($C68),"",IF(R68=Constants!$B$2,TRUE(),IF(R68=Constants!$B$3,FALSE(),TRUE())))</f>
        <v/>
      </c>
      <c r="AT68" s="135" t="str">
        <f aca="false">IF(ISBLANK($C68),"",IF(S68=Constants!$B$4,TRUE(),IF(S68=Constants!$B$5,FALSE(),COUNTA(T68:X68)&gt;0)))</f>
        <v/>
      </c>
      <c r="AU68" s="136" t="str">
        <f aca="false">IF(ISBLANK($C68),"",IF(ISNUMBER(T68),IF(T68&gt;=0,T68,""),""))</f>
        <v/>
      </c>
      <c r="AV68" s="137" t="str">
        <f aca="false">IF(ISBLANK($C68),"",IF(ISNUMBER(U68),IF(U68&gt;=0,U68,""),""))</f>
        <v/>
      </c>
      <c r="AW68" s="137" t="str">
        <f aca="false">IF(ISBLANK($C68),"",IF(V68=Constants!$B$2,TRUE(),IF(V68=Constants!$B$3,FALSE(),TRUE())))</f>
        <v/>
      </c>
      <c r="AX68" s="135" t="str">
        <f aca="false">IF(ISBLANK($C68),"",IF(ISNUMBER(W68),IF(W68&gt;=0,W68,""),""))</f>
        <v/>
      </c>
      <c r="AY68" s="135" t="str">
        <f aca="false">IF(ISBLANK($C68),"",IF(X68=Constants!$B$2,TRUE(),IF(X68=Constants!$B$3,FALSE(),FALSE())))</f>
        <v/>
      </c>
      <c r="AZ68" s="135" t="str">
        <f aca="false">IF(ISBLANK($C68),"",MIN(Constants!$B$25,MAX(0,IF(ISNUMBER(Y68),Y68*60,0)+IF(ISNUMBER(Z68),Z68,0))))</f>
        <v/>
      </c>
      <c r="BA68" s="135" t="str">
        <f aca="false">IF(ISBLANK($C68),"",IF(AA68=Constants!$B$2,TRUE(),IF(AA68=Constants!$B$3,FALSE(),FALSE())))</f>
        <v/>
      </c>
      <c r="BB68" s="134" t="str">
        <f aca="false">IF(ISBLANK($C68),"",AND($AL68,OR($AM68="",$AN68="",AND($AO68,$AP68=""))))</f>
        <v/>
      </c>
      <c r="BC68" s="137" t="str">
        <f aca="false">IF($BX68&lt;&gt;Constants!$B$6,"",IF($AL68,Constants!$B$17*$AN68+Constants!$B$18*IF($AO68,$AP68,Constants!$B$19),Constants!$B$20))</f>
        <v/>
      </c>
      <c r="BD68" s="138" t="str">
        <f aca="false">IF($BX68&lt;&gt;Constants!$B$6,"",Constants!$B$21*ABS($AD$9-IF($AL68,$AM68,0)))</f>
        <v/>
      </c>
      <c r="BE68" s="138" t="str">
        <f aca="false">IF($BX68&lt;&gt;Constants!$B$6,"",IF(AND($AL68,$AQ68,$AO68),Constants!$B$22,0))</f>
        <v/>
      </c>
      <c r="BF68" s="138" t="str">
        <f aca="false">IF($BX68&lt;&gt;Constants!$B$6,"",IF($AL68,($AI68-Constants!$B$24)*Constants!$B$23,0))</f>
        <v/>
      </c>
      <c r="BG68" s="138" t="str">
        <f aca="false">IF($BX68&lt;&gt;Constants!$B$6,"",IF($AK68,0,Constants!$B$12)+IF($AJ68,0,Constants!$B$13)+IF($AH68,0,Constants!$B$14))</f>
        <v/>
      </c>
      <c r="BH68" s="139" t="str">
        <f aca="false">IF($BX68&lt;&gt;Constants!$B$6,"",Constants!$B$16+SUM($BC68:$BG68))</f>
        <v/>
      </c>
      <c r="BI68" s="138" t="str">
        <f aca="false">IF($BX68&lt;&gt;Constants!$B$6,"",$BC68)</f>
        <v/>
      </c>
      <c r="BJ68" s="138" t="str">
        <f aca="false">IF($BX68&lt;&gt;Constants!$B$6,"",$BD68)</f>
        <v/>
      </c>
      <c r="BK68" s="140" t="str">
        <f aca="false">IF($BX68&lt;&gt;Constants!$B$6,"",IF($AL68,$AN68,""))</f>
        <v/>
      </c>
      <c r="BL68" s="135" t="str">
        <f aca="false">IF($BX68&lt;&gt;Constants!$B$6,"",IF(OR($BS68&lt;$BH68,AND($BS68=$BH68,OR($BT68&lt;$BI68,AND($BT68=$BI68,OR($BU68&lt;$BJ68,AND($BU68=$BJ68,AND(ISNUMBER($BV68),OR(NOT(ISNUMBER($BK68)),$BV68&lt;$BK68)))))))),"-&gt;","&lt;-"))</f>
        <v/>
      </c>
      <c r="BM68" s="134" t="str">
        <f aca="false">IF(ISBLANK($C68),"",AND($AT68,OR($AU68="",$AV68="",AND($AW68,$AX68=""))))</f>
        <v/>
      </c>
      <c r="BN68" s="137" t="str">
        <f aca="false">IF($BX68&lt;&gt;Constants!$B$6,"",IF($AT68,Constants!$B$17*$AV68+Constants!$B$18*IF($AW68,$AX68,Constants!$B$19),Constants!$B$20))</f>
        <v/>
      </c>
      <c r="BO68" s="138" t="str">
        <f aca="false">IF($BX68&lt;&gt;Constants!$B$6,"",Constants!$B$21*ABS($AD$9-IF($AT68,$AU68,0)))</f>
        <v/>
      </c>
      <c r="BP68" s="138" t="str">
        <f aca="false">IF($BX68&lt;&gt;Constants!$B$6,"",IF(AND($AT68,$AY68,$AW68),Constants!$B$22,0))</f>
        <v/>
      </c>
      <c r="BQ68" s="138" t="str">
        <f aca="false">IF($BX68&lt;&gt;Constants!$B$6,"",IF($AT68,($AI68-Constants!$B$24)*Constants!$B$23,0))</f>
        <v/>
      </c>
      <c r="BR68" s="138" t="str">
        <f aca="false">IF($BX68&lt;&gt;Constants!$B$6,"",IF($AS68,0,Constants!$B$12)+IF($AR68,0,Constants!$B$13)+IF($AH68,0,Constants!$B$14))</f>
        <v/>
      </c>
      <c r="BS68" s="139" t="str">
        <f aca="false">IF($BX68&lt;&gt;Constants!$B$6,"",Constants!$B$16+SUM($BN68:$BR68))</f>
        <v/>
      </c>
      <c r="BT68" s="138" t="str">
        <f aca="false">IF($BX68&lt;&gt;Constants!$B$6,"",$BN68)</f>
        <v/>
      </c>
      <c r="BU68" s="138" t="str">
        <f aca="false">IF($BX68&lt;&gt;Constants!$B$6,"",$BO68)</f>
        <v/>
      </c>
      <c r="BV68" s="140" t="str">
        <f aca="false">IF($BX68&lt;&gt;Constants!$B$6,"",IF($AT68,$AV68,""))</f>
        <v/>
      </c>
      <c r="BW68" s="135" t="str">
        <f aca="false">IF(ISBLANK($C68),"",IF(ISBLANK($D$7),$BW$5,IF(NOT(ISNUMBER($D$7)),$BW$6,"")))</f>
        <v/>
      </c>
      <c r="BX68" s="135" t="str">
        <f aca="false">IF(ISBLANK($C68),"",IF($BA68,Constants!$B$9,IF(COUNTA($E68:$AA68)=0,Constants!$B$8,IF(NOT($AG68),Constants!$B$7,IF(OR($BW68&lt;&gt;"",$BB68,$BM68),Constants!$B$10,Constants!$B$6)))))</f>
        <v/>
      </c>
      <c r="BY68" s="135" t="str">
        <f aca="false">IF(ISBLANK($C68),"",IF($BX68&lt;&gt;Constants!$B$6,$BX68,Constants!$B$11))</f>
        <v/>
      </c>
      <c r="BZ68" s="138" t="str">
        <f aca="false">IF($BX68&lt;&gt;Constants!$B$6,"",IF($BL68="-&gt;",$BS68,$BH68))</f>
        <v/>
      </c>
      <c r="CA68" s="138" t="str">
        <f aca="false">IF($BX68&lt;&gt;Constants!$B$6,"",IF($AF68,0,Constants!$B$15))</f>
        <v/>
      </c>
      <c r="CB68" s="138" t="str">
        <f aca="false">IF($BX68&lt;&gt;Constants!$B$6,"",((Constants!$B$25-$AZ68)-Constants!$B$25)/Constants!$B$26)</f>
        <v/>
      </c>
      <c r="CC68" s="138" t="str">
        <f aca="false">IF(ISBLANK($C68),"",IF($BX68&lt;&gt;Constants!$B$6,$BX68,SUM($BZ68:$CB68)))</f>
        <v/>
      </c>
      <c r="CD68" s="135" t="str">
        <f aca="false">IF(ISBLANK($C68),"",IF($BX68&lt;&gt;Constants!$B$6,$BX68,RANK($CC68,$CC$9:$CC$508,1)))</f>
        <v/>
      </c>
      <c r="CE68" s="138" t="str">
        <f aca="false">IF($BX68&lt;&gt;Constants!$B$6,"",IF($BL68="-&gt;",$BT68,$BI68))</f>
        <v/>
      </c>
      <c r="CF68" s="135" t="str">
        <f aca="false">IF(ISBLANK($C68),"",IF($BX68&lt;&gt;Constants!$B$6,$BX68,IF(ISNUMBER($CE68),RANK($CE68,$CE$9:$CE$508,1),COUNT($CE$9:$CE$508)+1)))</f>
        <v/>
      </c>
      <c r="CG68" s="138" t="str">
        <f aca="false">IF($BX68&lt;&gt;Constants!$B$6,"",IF($BL68="-&gt;",$BU68,$BJ68))</f>
        <v/>
      </c>
      <c r="CH68" s="135" t="str">
        <f aca="false">IF(ISBLANK($C68),"",IF($BX68&lt;&gt;Constants!$B$6,$BX68,IF(ISNUMBER($CG68),RANK($CG68,$CG$9:$CG$508,1),COUNT($CG$9:$CG$508)+1)))</f>
        <v/>
      </c>
      <c r="CI68" s="138" t="str">
        <f aca="false">IF($BX68&lt;&gt;Constants!$B$6,"",IF($BL68="-&gt;",$BV68,$BK68))</f>
        <v/>
      </c>
      <c r="CJ68" s="135" t="str">
        <f aca="false">IF(ISBLANK($C68),"",IF($BX68&lt;&gt;Constants!$B$6,$BX68,IF(ISNUMBER($CI68),RANK($CI68,$CI$9:$CI$508,1),COUNT($CI$9:$CI$508)+1)))</f>
        <v/>
      </c>
      <c r="CK68" s="138" t="str">
        <f aca="false">IF($BX68&lt;&gt;Constants!$B$6,"",$AI68)</f>
        <v/>
      </c>
      <c r="CL68" s="135" t="str">
        <f aca="false">IF(ISBLANK($C68),"",IF($BX68&lt;&gt;Constants!$B$6,$BX68,IF(ISNUMBER($CK68),RANK($CK68,$CK$9:$CK$508,1),COUNT($CK$9:$CK$508)+1)))</f>
        <v/>
      </c>
      <c r="CM68" s="135" t="str">
        <f aca="false">IF(ISBLANK($C68),"",IF($BX68&lt;&gt;Constants!$B$6,$BX68,COUNTIFS($CD$9:$CD$508,"&lt;"&amp;$CD68)+COUNTIFS($CD$9:$CD$508,$CD68,$CF$9:$CF$508,"&lt;"&amp;$CF68)+COUNTIFS($CD$9:$CD$508,$CD68,$CF$9:$CF$508,$CF68,$CH$9:$CH$508,"&lt;"&amp;$CH68)+COUNTIFS($CD$9:$CD$508,$CD68,$CF$9:$CF$508,$CF68,$CH$9:$CH$508,$CH68,$CJ$9:$CJ$508,"&lt;"&amp;$CJ68)+COUNTIFS($CD$9:$CD$508,$CD68,$CF$9:$CF$508,$CF68,$CH$9:$CH$508,$CH68,$CJ$9:$CJ$508,$CJ68,$CL$9:$CL$508,"&lt;"&amp;$CL68)+1))</f>
        <v/>
      </c>
      <c r="CN68" s="135" t="str">
        <f aca="false">IF(ISBLANK($C68),"",IF($BX68&lt;&gt;Constants!$B$6,$BX68,$CD68-$CM68))</f>
        <v/>
      </c>
      <c r="CO68" s="141"/>
      <c r="CP68" s="142"/>
      <c r="CQ68" s="143" t="str">
        <f aca="false">IF(ISBLANK($C68),"",IF($BX68=Constants!$B$10,$BW68,""))</f>
        <v/>
      </c>
      <c r="CR68" s="142" t="str">
        <f aca="false">IF(ISBLANK($C68),"",IF($BX68&lt;&gt;Constants!$B$6,"",IF($BL68="-&gt;",2,1)))</f>
        <v/>
      </c>
      <c r="CS68" s="144" t="str">
        <f aca="false">IF(ISBLANK($C68),"",IF($BX68&lt;&gt;Constants!$B$6,"",IF($BL68="-&gt;",$BN68,$BC68)))</f>
        <v/>
      </c>
      <c r="CT68" s="144" t="str">
        <f aca="false">IF(ISBLANK($C68),"",IF($BX68&lt;&gt;Constants!$B$6,"",IF($BL68="-&gt;",$BO68,$BD68)))</f>
        <v/>
      </c>
      <c r="CU68" s="144" t="str">
        <f aca="false">IF(ISBLANK($C68),"",IF($BX68&lt;&gt;Constants!$B$6,"",IF($BL68="-&gt;",$BP68+$BQ68,$BE68+$BF68)+$CB68))</f>
        <v/>
      </c>
      <c r="CV68" s="144" t="str">
        <f aca="false">IF(ISBLANK($C68),"",IF($BX68&lt;&gt;Constants!$B$6,"",IF($BL68="-&gt;",$BR68,$BG68)+$CA68))</f>
        <v/>
      </c>
      <c r="CW68" s="145" t="str">
        <f aca="false">IF(ISBLANK($C68),"",IF($BX68&lt;&gt;Constants!$B$6,$BX68,$CC68))</f>
        <v/>
      </c>
      <c r="CX68" s="146" t="str">
        <f aca="false">IF(ISBLANK($C68),"",$BY68)</f>
        <v/>
      </c>
      <c r="CY68" s="147" t="str">
        <f aca="false">IF(ISBLANK($C68),"",$CN68)</f>
        <v/>
      </c>
      <c r="CZ68" s="147" t="str">
        <f aca="false">IF(ISBLANK($C68),"",$CM68)</f>
        <v/>
      </c>
      <c r="DA68" s="148" t="str">
        <f aca="false">IF(ISBLANK($C68),"",IFERROR(_xlfn.SWITCH($CZ68,Constants!$B$9,COUNTA($C$9:$C$508)+2,Constants!$B$8,COUNTA($C$9:$C$508)+1,Constants!$B$7,COUNTA($C$9:$C$508)),$CZ68))</f>
        <v/>
      </c>
      <c r="DB68" s="9"/>
      <c r="DC68" s="149" t="n">
        <f aca="false">IF(OR(ISNUMBER($CZ68),$CZ68=Constants!$B$9,$CZ68=Constants!$B$7,$CZ68=Constants!$B$8),1,0)</f>
        <v>0</v>
      </c>
      <c r="DD68" s="149" t="n">
        <v>60</v>
      </c>
      <c r="DE68" s="149" t="str">
        <f aca="false">IF(ISBLANK($C68),"",IF(ISNUMBER($DA68),$DA68+ROW($B68)/1000,""))</f>
        <v/>
      </c>
      <c r="DF68" s="149" t="str">
        <f aca="false">IF(ISNUMBER($DE68),RANK($DE68,$DE$9:$DE$508,1),"")</f>
        <v/>
      </c>
      <c r="DG68" s="149" t="str">
        <f aca="false">IF(ISBLANK($C68),"",$B68)</f>
        <v/>
      </c>
      <c r="DH68" s="149" t="str">
        <f aca="false">IF(ISBLANK($C68),"",$C68)</f>
        <v/>
      </c>
      <c r="DI68" s="149" t="str">
        <f aca="false">IF(ISBLANK($C68),"",$D68)</f>
        <v/>
      </c>
      <c r="DJ68" s="150" t="str">
        <f aca="false">$CX68</f>
        <v/>
      </c>
      <c r="DK68" s="151" t="str">
        <f aca="false">$CW68</f>
        <v/>
      </c>
      <c r="DL68" s="149" t="str">
        <f aca="false">IF(ISBLANK($C68),"",$CZ68)</f>
        <v/>
      </c>
      <c r="DM68" s="152" t="str">
        <f aca="false">IF($DD68&gt;$DC$8,"",VLOOKUP($DD68,$DF$9:$DL$508,7,FALSE()))</f>
        <v/>
      </c>
      <c r="DN68" s="153" t="str">
        <f aca="false">IF($DD68&gt;$DC$8,"",VLOOKUP($DD68,$DF$9:$DL$508,2,FALSE()))</f>
        <v/>
      </c>
      <c r="DO68" s="153" t="str">
        <f aca="false">IF($DD68&gt;$DC$8,"",VLOOKUP($DD68,$DF$9:$DL$508,3,FALSE()))</f>
        <v/>
      </c>
      <c r="DP68" s="153" t="str">
        <f aca="false">IF($DD68&gt;$DC$8,"",VLOOKUP($DD68,$DF$9:$DL$508,4,FALSE()))</f>
        <v/>
      </c>
      <c r="DQ68" s="153" t="str">
        <f aca="false">IF($DD68&gt;$DC$8,"",VLOOKUP($DD68,$DF$9:$DL$508,5,FALSE()))</f>
        <v/>
      </c>
      <c r="DR68" s="154" t="str">
        <f aca="false">IF($DD68&gt;$DC$8,"",VLOOKUP($DD68,$DF$9:$DL$508,6,FALSE()))</f>
        <v/>
      </c>
      <c r="DS68" s="76"/>
    </row>
    <row r="69" customFormat="false" ht="15.75" hidden="false" customHeight="false" outlineLevel="0" collapsed="false">
      <c r="A69" s="9"/>
      <c r="B69" s="78"/>
      <c r="C69" s="79"/>
      <c r="D69" s="170"/>
      <c r="E69" s="178"/>
      <c r="F69" s="172"/>
      <c r="G69" s="173"/>
      <c r="H69" s="173"/>
      <c r="I69" s="179"/>
      <c r="J69" s="176"/>
      <c r="K69" s="86"/>
      <c r="L69" s="87"/>
      <c r="M69" s="88"/>
      <c r="N69" s="176"/>
      <c r="O69" s="176"/>
      <c r="P69" s="178"/>
      <c r="Q69" s="176"/>
      <c r="R69" s="176"/>
      <c r="S69" s="86"/>
      <c r="T69" s="88"/>
      <c r="U69" s="88"/>
      <c r="V69" s="176"/>
      <c r="W69" s="176"/>
      <c r="X69" s="178"/>
      <c r="Y69" s="176"/>
      <c r="Z69" s="177"/>
      <c r="AA69" s="176"/>
      <c r="AB69" s="92"/>
      <c r="AC69" s="93"/>
      <c r="AD69" s="93"/>
      <c r="AE69" s="93"/>
      <c r="AF69" s="93" t="str">
        <f aca="false">IF(ISBLANK($C69),"",IF(E69=Constants!$B$2,TRUE(),IF(E69=Constants!$B$3,FALSE(),TRUE())))</f>
        <v/>
      </c>
      <c r="AG69" s="93" t="str">
        <f aca="false">IF(ISBLANK($C69),"",IF(F69=Constants!$B$2,TRUE(),IF(F69=Constants!$B$3,FALSE(),TRUE())))</f>
        <v/>
      </c>
      <c r="AH69" s="93" t="str">
        <f aca="false">IF(ISBLANK($C69),"",IF(G69=Constants!$B$2,TRUE(),IF(G69=Constants!$B$3,FALSE(),TRUE())))</f>
        <v/>
      </c>
      <c r="AI69" s="93" t="str">
        <f aca="false">IF(ISBLANK($C69),"",IF(AND(ISNUMBER(H69),H69&gt;=0),H69,Constants!$B$24))</f>
        <v/>
      </c>
      <c r="AJ69" s="93" t="str">
        <f aca="false">IF(ISBLANK($C69),"",IF(I69=Constants!$B$2,TRUE(),IF(I69=Constants!$B$3,FALSE(),TRUE())))</f>
        <v/>
      </c>
      <c r="AK69" s="93" t="str">
        <f aca="false">IF(ISBLANK($C69),"",IF(J69=Constants!$B$2,TRUE(),IF(J69=Constants!$B$3,FALSE(),TRUE())))</f>
        <v/>
      </c>
      <c r="AL69" s="93" t="str">
        <f aca="false">IF(ISBLANK($C69),"",IF(K69=Constants!$B$4,TRUE(),IF(K69=Constants!$B$5,FALSE(),COUNTA(L69:P69)&gt;0)))</f>
        <v/>
      </c>
      <c r="AM69" s="95" t="str">
        <f aca="false">IF(ISBLANK($C69),"",IF(ISNUMBER(L69),IF(L69&gt;=0,L69,""),""))</f>
        <v/>
      </c>
      <c r="AN69" s="94" t="str">
        <f aca="false">IF(ISBLANK($C69),"",IF(ISNUMBER(M69),IF(M69&gt;=0,M69,""),""))</f>
        <v/>
      </c>
      <c r="AO69" s="94" t="str">
        <f aca="false">IF(ISBLANK($C69),"",IF(N69=Constants!$B$2,TRUE(),IF(N69=Constants!$B$3,FALSE(),TRUE())))</f>
        <v/>
      </c>
      <c r="AP69" s="93" t="str">
        <f aca="false">IF(ISBLANK($C69),"",IF(ISNUMBER(O69),IF(O69&gt;=0,O69,""),""))</f>
        <v/>
      </c>
      <c r="AQ69" s="93" t="str">
        <f aca="false">IF(ISBLANK($C69),"",IF(P69=Constants!$B$2,TRUE(),IF(P69=Constants!$B$3,FALSE(),FALSE())))</f>
        <v/>
      </c>
      <c r="AR69" s="93" t="str">
        <f aca="false">IF(ISBLANK($C69),"",IF(Q69=Constants!$B$2,TRUE(),IF(Q69=Constants!$B$3,FALSE(),TRUE())))</f>
        <v/>
      </c>
      <c r="AS69" s="93" t="str">
        <f aca="false">IF(ISBLANK($C69),"",IF(R69=Constants!$B$2,TRUE(),IF(R69=Constants!$B$3,FALSE(),TRUE())))</f>
        <v/>
      </c>
      <c r="AT69" s="93" t="str">
        <f aca="false">IF(ISBLANK($C69),"",IF(S69=Constants!$B$4,TRUE(),IF(S69=Constants!$B$5,FALSE(),COUNTA(T69:X69)&gt;0)))</f>
        <v/>
      </c>
      <c r="AU69" s="95" t="str">
        <f aca="false">IF(ISBLANK($C69),"",IF(ISNUMBER(T69),IF(T69&gt;=0,T69,""),""))</f>
        <v/>
      </c>
      <c r="AV69" s="94" t="str">
        <f aca="false">IF(ISBLANK($C69),"",IF(ISNUMBER(U69),IF(U69&gt;=0,U69,""),""))</f>
        <v/>
      </c>
      <c r="AW69" s="94" t="str">
        <f aca="false">IF(ISBLANK($C69),"",IF(V69=Constants!$B$2,TRUE(),IF(V69=Constants!$B$3,FALSE(),TRUE())))</f>
        <v/>
      </c>
      <c r="AX69" s="93" t="str">
        <f aca="false">IF(ISBLANK($C69),"",IF(ISNUMBER(W69),IF(W69&gt;=0,W69,""),""))</f>
        <v/>
      </c>
      <c r="AY69" s="93" t="str">
        <f aca="false">IF(ISBLANK($C69),"",IF(X69=Constants!$B$2,TRUE(),IF(X69=Constants!$B$3,FALSE(),FALSE())))</f>
        <v/>
      </c>
      <c r="AZ69" s="93" t="str">
        <f aca="false">IF(ISBLANK($C69),"",MIN(Constants!$B$25,MAX(0,IF(ISNUMBER(Y69),Y69*60,0)+IF(ISNUMBER(Z69),Z69,0))))</f>
        <v/>
      </c>
      <c r="BA69" s="93" t="str">
        <f aca="false">IF(ISBLANK($C69),"",IF(AA69=Constants!$B$2,TRUE(),IF(AA69=Constants!$B$3,FALSE(),FALSE())))</f>
        <v/>
      </c>
      <c r="BB69" s="92" t="str">
        <f aca="false">IF(ISBLANK($C69),"",AND($AL69,OR($AM69="",$AN69="",AND($AO69,$AP69=""))))</f>
        <v/>
      </c>
      <c r="BC69" s="94" t="str">
        <f aca="false">IF($BX69&lt;&gt;Constants!$B$6,"",IF($AL69,Constants!$B$17*$AN69+Constants!$B$18*IF($AO69,$AP69,Constants!$B$19),Constants!$B$20))</f>
        <v/>
      </c>
      <c r="BD69" s="97" t="str">
        <f aca="false">IF($BX69&lt;&gt;Constants!$B$6,"",Constants!$B$21*ABS($AD$9-IF($AL69,$AM69,0)))</f>
        <v/>
      </c>
      <c r="BE69" s="97" t="str">
        <f aca="false">IF($BX69&lt;&gt;Constants!$B$6,"",IF(AND($AL69,$AQ69,$AO69),Constants!$B$22,0))</f>
        <v/>
      </c>
      <c r="BF69" s="97" t="str">
        <f aca="false">IF($BX69&lt;&gt;Constants!$B$6,"",IF($AL69,($AI69-Constants!$B$24)*Constants!$B$23,0))</f>
        <v/>
      </c>
      <c r="BG69" s="97" t="str">
        <f aca="false">IF($BX69&lt;&gt;Constants!$B$6,"",IF($AK69,0,Constants!$B$12)+IF($AJ69,0,Constants!$B$13)+IF($AH69,0,Constants!$B$14))</f>
        <v/>
      </c>
      <c r="BH69" s="98" t="str">
        <f aca="false">IF($BX69&lt;&gt;Constants!$B$6,"",Constants!$B$16+SUM($BC69:$BG69))</f>
        <v/>
      </c>
      <c r="BI69" s="97" t="str">
        <f aca="false">IF($BX69&lt;&gt;Constants!$B$6,"",$BC69)</f>
        <v/>
      </c>
      <c r="BJ69" s="97" t="str">
        <f aca="false">IF($BX69&lt;&gt;Constants!$B$6,"",$BD69)</f>
        <v/>
      </c>
      <c r="BK69" s="99" t="str">
        <f aca="false">IF($BX69&lt;&gt;Constants!$B$6,"",IF($AL69,$AN69,""))</f>
        <v/>
      </c>
      <c r="BL69" s="93" t="str">
        <f aca="false">IF($BX69&lt;&gt;Constants!$B$6,"",IF(OR($BS69&lt;$BH69,AND($BS69=$BH69,OR($BT69&lt;$BI69,AND($BT69=$BI69,OR($BU69&lt;$BJ69,AND($BU69=$BJ69,AND(ISNUMBER($BV69),OR(NOT(ISNUMBER($BK69)),$BV69&lt;$BK69)))))))),"-&gt;","&lt;-"))</f>
        <v/>
      </c>
      <c r="BM69" s="92" t="str">
        <f aca="false">IF(ISBLANK($C69),"",AND($AT69,OR($AU69="",$AV69="",AND($AW69,$AX69=""))))</f>
        <v/>
      </c>
      <c r="BN69" s="94" t="str">
        <f aca="false">IF($BX69&lt;&gt;Constants!$B$6,"",IF($AT69,Constants!$B$17*$AV69+Constants!$B$18*IF($AW69,$AX69,Constants!$B$19),Constants!$B$20))</f>
        <v/>
      </c>
      <c r="BO69" s="97" t="str">
        <f aca="false">IF($BX69&lt;&gt;Constants!$B$6,"",Constants!$B$21*ABS($AD$9-IF($AT69,$AU69,0)))</f>
        <v/>
      </c>
      <c r="BP69" s="97" t="str">
        <f aca="false">IF($BX69&lt;&gt;Constants!$B$6,"",IF(AND($AT69,$AY69,$AW69),Constants!$B$22,0))</f>
        <v/>
      </c>
      <c r="BQ69" s="97" t="str">
        <f aca="false">IF($BX69&lt;&gt;Constants!$B$6,"",IF($AT69,($AI69-Constants!$B$24)*Constants!$B$23,0))</f>
        <v/>
      </c>
      <c r="BR69" s="97" t="str">
        <f aca="false">IF($BX69&lt;&gt;Constants!$B$6,"",IF($AS69,0,Constants!$B$12)+IF($AR69,0,Constants!$B$13)+IF($AH69,0,Constants!$B$14))</f>
        <v/>
      </c>
      <c r="BS69" s="98" t="str">
        <f aca="false">IF($BX69&lt;&gt;Constants!$B$6,"",Constants!$B$16+SUM($BN69:$BR69))</f>
        <v/>
      </c>
      <c r="BT69" s="97" t="str">
        <f aca="false">IF($BX69&lt;&gt;Constants!$B$6,"",$BN69)</f>
        <v/>
      </c>
      <c r="BU69" s="97" t="str">
        <f aca="false">IF($BX69&lt;&gt;Constants!$B$6,"",$BO69)</f>
        <v/>
      </c>
      <c r="BV69" s="99" t="str">
        <f aca="false">IF($BX69&lt;&gt;Constants!$B$6,"",IF($AT69,$AV69,""))</f>
        <v/>
      </c>
      <c r="BW69" s="93" t="str">
        <f aca="false">IF(ISBLANK($C69),"",IF(ISBLANK($D$7),$BW$5,IF(NOT(ISNUMBER($D$7)),$BW$6,"")))</f>
        <v/>
      </c>
      <c r="BX69" s="93" t="str">
        <f aca="false">IF(ISBLANK($C69),"",IF($BA69,Constants!$B$9,IF(COUNTA($E69:$AA69)=0,Constants!$B$8,IF(NOT($AG69),Constants!$B$7,IF(OR($BW69&lt;&gt;"",$BB69,$BM69),Constants!$B$10,Constants!$B$6)))))</f>
        <v/>
      </c>
      <c r="BY69" s="93" t="str">
        <f aca="false">IF(ISBLANK($C69),"",IF($BX69&lt;&gt;Constants!$B$6,$BX69,Constants!$B$11))</f>
        <v/>
      </c>
      <c r="BZ69" s="97" t="str">
        <f aca="false">IF($BX69&lt;&gt;Constants!$B$6,"",IF($BL69="-&gt;",$BS69,$BH69))</f>
        <v/>
      </c>
      <c r="CA69" s="97" t="str">
        <f aca="false">IF($BX69&lt;&gt;Constants!$B$6,"",IF($AF69,0,Constants!$B$15))</f>
        <v/>
      </c>
      <c r="CB69" s="97" t="str">
        <f aca="false">IF($BX69&lt;&gt;Constants!$B$6,"",((Constants!$B$25-$AZ69)-Constants!$B$25)/Constants!$B$26)</f>
        <v/>
      </c>
      <c r="CC69" s="97" t="str">
        <f aca="false">IF(ISBLANK($C69),"",IF($BX69&lt;&gt;Constants!$B$6,$BX69,SUM($BZ69:$CB69)))</f>
        <v/>
      </c>
      <c r="CD69" s="93" t="str">
        <f aca="false">IF(ISBLANK($C69),"",IF($BX69&lt;&gt;Constants!$B$6,$BX69,RANK($CC69,$CC$9:$CC$508,1)))</f>
        <v/>
      </c>
      <c r="CE69" s="97" t="str">
        <f aca="false">IF($BX69&lt;&gt;Constants!$B$6,"",IF($BL69="-&gt;",$BT69,$BI69))</f>
        <v/>
      </c>
      <c r="CF69" s="93" t="str">
        <f aca="false">IF(ISBLANK($C69),"",IF($BX69&lt;&gt;Constants!$B$6,$BX69,IF(ISNUMBER($CE69),RANK($CE69,$CE$9:$CE$508,1),COUNT($CE$9:$CE$508)+1)))</f>
        <v/>
      </c>
      <c r="CG69" s="97" t="str">
        <f aca="false">IF($BX69&lt;&gt;Constants!$B$6,"",IF($BL69="-&gt;",$BU69,$BJ69))</f>
        <v/>
      </c>
      <c r="CH69" s="93" t="str">
        <f aca="false">IF(ISBLANK($C69),"",IF($BX69&lt;&gt;Constants!$B$6,$BX69,IF(ISNUMBER($CG69),RANK($CG69,$CG$9:$CG$508,1),COUNT($CG$9:$CG$508)+1)))</f>
        <v/>
      </c>
      <c r="CI69" s="97" t="str">
        <f aca="false">IF($BX69&lt;&gt;Constants!$B$6,"",IF($BL69="-&gt;",$BV69,$BK69))</f>
        <v/>
      </c>
      <c r="CJ69" s="93" t="str">
        <f aca="false">IF(ISBLANK($C69),"",IF($BX69&lt;&gt;Constants!$B$6,$BX69,IF(ISNUMBER($CI69),RANK($CI69,$CI$9:$CI$508,1),COUNT($CI$9:$CI$508)+1)))</f>
        <v/>
      </c>
      <c r="CK69" s="97" t="str">
        <f aca="false">IF($BX69&lt;&gt;Constants!$B$6,"",$AI69)</f>
        <v/>
      </c>
      <c r="CL69" s="93" t="str">
        <f aca="false">IF(ISBLANK($C69),"",IF($BX69&lt;&gt;Constants!$B$6,$BX69,IF(ISNUMBER($CK69),RANK($CK69,$CK$9:$CK$508,1),COUNT($CK$9:$CK$508)+1)))</f>
        <v/>
      </c>
      <c r="CM69" s="93" t="str">
        <f aca="false">IF(ISBLANK($C69),"",IF($BX69&lt;&gt;Constants!$B$6,$BX69,COUNTIFS($CD$9:$CD$508,"&lt;"&amp;$CD69)+COUNTIFS($CD$9:$CD$508,$CD69,$CF$9:$CF$508,"&lt;"&amp;$CF69)+COUNTIFS($CD$9:$CD$508,$CD69,$CF$9:$CF$508,$CF69,$CH$9:$CH$508,"&lt;"&amp;$CH69)+COUNTIFS($CD$9:$CD$508,$CD69,$CF$9:$CF$508,$CF69,$CH$9:$CH$508,$CH69,$CJ$9:$CJ$508,"&lt;"&amp;$CJ69)+COUNTIFS($CD$9:$CD$508,$CD69,$CF$9:$CF$508,$CF69,$CH$9:$CH$508,$CH69,$CJ$9:$CJ$508,$CJ69,$CL$9:$CL$508,"&lt;"&amp;$CL69)+1))</f>
        <v/>
      </c>
      <c r="CN69" s="93" t="str">
        <f aca="false">IF(ISBLANK($C69),"",IF($BX69&lt;&gt;Constants!$B$6,$BX69,$CD69-$CM69))</f>
        <v/>
      </c>
      <c r="CO69" s="100"/>
      <c r="CP69" s="101"/>
      <c r="CQ69" s="102" t="str">
        <f aca="false">IF(ISBLANK($C69),"",IF($BX69=Constants!$B$10,$BW69,""))</f>
        <v/>
      </c>
      <c r="CR69" s="101" t="str">
        <f aca="false">IF(ISBLANK($C69),"",IF($BX69&lt;&gt;Constants!$B$6,"",IF($BL69="-&gt;",2,1)))</f>
        <v/>
      </c>
      <c r="CS69" s="103" t="str">
        <f aca="false">IF(ISBLANK($C69),"",IF($BX69&lt;&gt;Constants!$B$6,"",IF($BL69="-&gt;",$BN69,$BC69)))</f>
        <v/>
      </c>
      <c r="CT69" s="103" t="str">
        <f aca="false">IF(ISBLANK($C69),"",IF($BX69&lt;&gt;Constants!$B$6,"",IF($BL69="-&gt;",$BO69,$BD69)))</f>
        <v/>
      </c>
      <c r="CU69" s="103" t="str">
        <f aca="false">IF(ISBLANK($C69),"",IF($BX69&lt;&gt;Constants!$B$6,"",IF($BL69="-&gt;",$BP69+$BQ69,$BE69+$BF69)+$CB69))</f>
        <v/>
      </c>
      <c r="CV69" s="103" t="str">
        <f aca="false">IF(ISBLANK($C69),"",IF($BX69&lt;&gt;Constants!$B$6,"",IF($BL69="-&gt;",$BR69,$BG69)+$CA69))</f>
        <v/>
      </c>
      <c r="CW69" s="104" t="str">
        <f aca="false">IF(ISBLANK($C69),"",IF($BX69&lt;&gt;Constants!$B$6,$BX69,$CC69))</f>
        <v/>
      </c>
      <c r="CX69" s="105" t="str">
        <f aca="false">IF(ISBLANK($C69),"",$BY69)</f>
        <v/>
      </c>
      <c r="CY69" s="106" t="str">
        <f aca="false">IF(ISBLANK($C69),"",$CN69)</f>
        <v/>
      </c>
      <c r="CZ69" s="106" t="str">
        <f aca="false">IF(ISBLANK($C69),"",$CM69)</f>
        <v/>
      </c>
      <c r="DA69" s="107" t="str">
        <f aca="false">IF(ISBLANK($C69),"",IFERROR(_xlfn.SWITCH($CZ69,Constants!$B$9,COUNTA($C$9:$C$508)+2,Constants!$B$8,COUNTA($C$9:$C$508)+1,Constants!$B$7,COUNTA($C$9:$C$508)),$CZ69))</f>
        <v/>
      </c>
      <c r="DB69" s="9"/>
      <c r="DC69" s="108" t="n">
        <f aca="false">IF(OR(ISNUMBER($CZ69),$CZ69=Constants!$B$9,$CZ69=Constants!$B$7,$CZ69=Constants!$B$8),1,0)</f>
        <v>0</v>
      </c>
      <c r="DD69" s="108" t="n">
        <v>61</v>
      </c>
      <c r="DE69" s="108" t="str">
        <f aca="false">IF(ISBLANK($C69),"",IF(ISNUMBER($DA69),$DA69+ROW($B69)/1000,""))</f>
        <v/>
      </c>
      <c r="DF69" s="108" t="str">
        <f aca="false">IF(ISNUMBER($DE69),RANK($DE69,$DE$9:$DE$508,1),"")</f>
        <v/>
      </c>
      <c r="DG69" s="108" t="str">
        <f aca="false">IF(ISBLANK($C69),"",$B69)</f>
        <v/>
      </c>
      <c r="DH69" s="108" t="str">
        <f aca="false">IF(ISBLANK($C69),"",$C69)</f>
        <v/>
      </c>
      <c r="DI69" s="108" t="str">
        <f aca="false">IF(ISBLANK($C69),"",$D69)</f>
        <v/>
      </c>
      <c r="DJ69" s="109" t="str">
        <f aca="false">$CX69</f>
        <v/>
      </c>
      <c r="DK69" s="110" t="str">
        <f aca="false">$CW69</f>
        <v/>
      </c>
      <c r="DL69" s="108" t="str">
        <f aca="false">IF(ISBLANK($C69),"",$CZ69)</f>
        <v/>
      </c>
      <c r="DM69" s="111" t="str">
        <f aca="false">IF($DD69&gt;$DC$8,"",VLOOKUP($DD69,$DF$9:$DL$508,7,FALSE()))</f>
        <v/>
      </c>
      <c r="DN69" s="112" t="str">
        <f aca="false">IF($DD69&gt;$DC$8,"",VLOOKUP($DD69,$DF$9:$DL$508,2,FALSE()))</f>
        <v/>
      </c>
      <c r="DO69" s="112" t="str">
        <f aca="false">IF($DD69&gt;$DC$8,"",VLOOKUP($DD69,$DF$9:$DL$508,3,FALSE()))</f>
        <v/>
      </c>
      <c r="DP69" s="112" t="str">
        <f aca="false">IF($DD69&gt;$DC$8,"",VLOOKUP($DD69,$DF$9:$DL$508,4,FALSE()))</f>
        <v/>
      </c>
      <c r="DQ69" s="112" t="str">
        <f aca="false">IF($DD69&gt;$DC$8,"",VLOOKUP($DD69,$DF$9:$DL$508,5,FALSE()))</f>
        <v/>
      </c>
      <c r="DR69" s="113" t="str">
        <f aca="false">IF($DD69&gt;$DC$8,"",VLOOKUP($DD69,$DF$9:$DL$508,6,FALSE()))</f>
        <v/>
      </c>
      <c r="DS69" s="76"/>
    </row>
    <row r="70" customFormat="false" ht="15.75" hidden="false" customHeight="false" outlineLevel="0" collapsed="false">
      <c r="A70" s="9"/>
      <c r="B70" s="78"/>
      <c r="C70" s="79"/>
      <c r="D70" s="170"/>
      <c r="E70" s="178"/>
      <c r="F70" s="172"/>
      <c r="G70" s="173"/>
      <c r="H70" s="173"/>
      <c r="I70" s="179"/>
      <c r="J70" s="176"/>
      <c r="K70" s="86"/>
      <c r="L70" s="87"/>
      <c r="M70" s="88"/>
      <c r="N70" s="176"/>
      <c r="O70" s="176"/>
      <c r="P70" s="178"/>
      <c r="Q70" s="176"/>
      <c r="R70" s="176"/>
      <c r="S70" s="86"/>
      <c r="T70" s="88"/>
      <c r="U70" s="88"/>
      <c r="V70" s="176"/>
      <c r="W70" s="176"/>
      <c r="X70" s="178"/>
      <c r="Y70" s="176"/>
      <c r="Z70" s="177"/>
      <c r="AA70" s="176"/>
      <c r="AB70" s="92"/>
      <c r="AC70" s="93"/>
      <c r="AD70" s="93"/>
      <c r="AE70" s="93"/>
      <c r="AF70" s="93" t="str">
        <f aca="false">IF(ISBLANK($C70),"",IF(E70=Constants!$B$2,TRUE(),IF(E70=Constants!$B$3,FALSE(),TRUE())))</f>
        <v/>
      </c>
      <c r="AG70" s="93" t="str">
        <f aca="false">IF(ISBLANK($C70),"",IF(F70=Constants!$B$2,TRUE(),IF(F70=Constants!$B$3,FALSE(),TRUE())))</f>
        <v/>
      </c>
      <c r="AH70" s="93" t="str">
        <f aca="false">IF(ISBLANK($C70),"",IF(G70=Constants!$B$2,TRUE(),IF(G70=Constants!$B$3,FALSE(),TRUE())))</f>
        <v/>
      </c>
      <c r="AI70" s="93" t="str">
        <f aca="false">IF(ISBLANK($C70),"",IF(AND(ISNUMBER(H70),H70&gt;=0),H70,Constants!$B$24))</f>
        <v/>
      </c>
      <c r="AJ70" s="93" t="str">
        <f aca="false">IF(ISBLANK($C70),"",IF(I70=Constants!$B$2,TRUE(),IF(I70=Constants!$B$3,FALSE(),TRUE())))</f>
        <v/>
      </c>
      <c r="AK70" s="93" t="str">
        <f aca="false">IF(ISBLANK($C70),"",IF(J70=Constants!$B$2,TRUE(),IF(J70=Constants!$B$3,FALSE(),TRUE())))</f>
        <v/>
      </c>
      <c r="AL70" s="93" t="str">
        <f aca="false">IF(ISBLANK($C70),"",IF(K70=Constants!$B$4,TRUE(),IF(K70=Constants!$B$5,FALSE(),COUNTA(L70:P70)&gt;0)))</f>
        <v/>
      </c>
      <c r="AM70" s="95" t="str">
        <f aca="false">IF(ISBLANK($C70),"",IF(ISNUMBER(L70),IF(L70&gt;=0,L70,""),""))</f>
        <v/>
      </c>
      <c r="AN70" s="94" t="str">
        <f aca="false">IF(ISBLANK($C70),"",IF(ISNUMBER(M70),IF(M70&gt;=0,M70,""),""))</f>
        <v/>
      </c>
      <c r="AO70" s="94" t="str">
        <f aca="false">IF(ISBLANK($C70),"",IF(N70=Constants!$B$2,TRUE(),IF(N70=Constants!$B$3,FALSE(),TRUE())))</f>
        <v/>
      </c>
      <c r="AP70" s="93" t="str">
        <f aca="false">IF(ISBLANK($C70),"",IF(ISNUMBER(O70),IF(O70&gt;=0,O70,""),""))</f>
        <v/>
      </c>
      <c r="AQ70" s="93" t="str">
        <f aca="false">IF(ISBLANK($C70),"",IF(P70=Constants!$B$2,TRUE(),IF(P70=Constants!$B$3,FALSE(),FALSE())))</f>
        <v/>
      </c>
      <c r="AR70" s="93" t="str">
        <f aca="false">IF(ISBLANK($C70),"",IF(Q70=Constants!$B$2,TRUE(),IF(Q70=Constants!$B$3,FALSE(),TRUE())))</f>
        <v/>
      </c>
      <c r="AS70" s="93" t="str">
        <f aca="false">IF(ISBLANK($C70),"",IF(R70=Constants!$B$2,TRUE(),IF(R70=Constants!$B$3,FALSE(),TRUE())))</f>
        <v/>
      </c>
      <c r="AT70" s="93" t="str">
        <f aca="false">IF(ISBLANK($C70),"",IF(S70=Constants!$B$4,TRUE(),IF(S70=Constants!$B$5,FALSE(),COUNTA(T70:X70)&gt;0)))</f>
        <v/>
      </c>
      <c r="AU70" s="95" t="str">
        <f aca="false">IF(ISBLANK($C70),"",IF(ISNUMBER(T70),IF(T70&gt;=0,T70,""),""))</f>
        <v/>
      </c>
      <c r="AV70" s="94" t="str">
        <f aca="false">IF(ISBLANK($C70),"",IF(ISNUMBER(U70),IF(U70&gt;=0,U70,""),""))</f>
        <v/>
      </c>
      <c r="AW70" s="94" t="str">
        <f aca="false">IF(ISBLANK($C70),"",IF(V70=Constants!$B$2,TRUE(),IF(V70=Constants!$B$3,FALSE(),TRUE())))</f>
        <v/>
      </c>
      <c r="AX70" s="93" t="str">
        <f aca="false">IF(ISBLANK($C70),"",IF(ISNUMBER(W70),IF(W70&gt;=0,W70,""),""))</f>
        <v/>
      </c>
      <c r="AY70" s="93" t="str">
        <f aca="false">IF(ISBLANK($C70),"",IF(X70=Constants!$B$2,TRUE(),IF(X70=Constants!$B$3,FALSE(),FALSE())))</f>
        <v/>
      </c>
      <c r="AZ70" s="93" t="str">
        <f aca="false">IF(ISBLANK($C70),"",MIN(Constants!$B$25,MAX(0,IF(ISNUMBER(Y70),Y70*60,0)+IF(ISNUMBER(Z70),Z70,0))))</f>
        <v/>
      </c>
      <c r="BA70" s="93" t="str">
        <f aca="false">IF(ISBLANK($C70),"",IF(AA70=Constants!$B$2,TRUE(),IF(AA70=Constants!$B$3,FALSE(),FALSE())))</f>
        <v/>
      </c>
      <c r="BB70" s="92" t="str">
        <f aca="false">IF(ISBLANK($C70),"",AND($AL70,OR($AM70="",$AN70="",AND($AO70,$AP70=""))))</f>
        <v/>
      </c>
      <c r="BC70" s="94" t="str">
        <f aca="false">IF($BX70&lt;&gt;Constants!$B$6,"",IF($AL70,Constants!$B$17*$AN70+Constants!$B$18*IF($AO70,$AP70,Constants!$B$19),Constants!$B$20))</f>
        <v/>
      </c>
      <c r="BD70" s="97" t="str">
        <f aca="false">IF($BX70&lt;&gt;Constants!$B$6,"",Constants!$B$21*ABS($AD$9-IF($AL70,$AM70,0)))</f>
        <v/>
      </c>
      <c r="BE70" s="97" t="str">
        <f aca="false">IF($BX70&lt;&gt;Constants!$B$6,"",IF(AND($AL70,$AQ70,$AO70),Constants!$B$22,0))</f>
        <v/>
      </c>
      <c r="BF70" s="97" t="str">
        <f aca="false">IF($BX70&lt;&gt;Constants!$B$6,"",IF($AL70,($AI70-Constants!$B$24)*Constants!$B$23,0))</f>
        <v/>
      </c>
      <c r="BG70" s="97" t="str">
        <f aca="false">IF($BX70&lt;&gt;Constants!$B$6,"",IF($AK70,0,Constants!$B$12)+IF($AJ70,0,Constants!$B$13)+IF($AH70,0,Constants!$B$14))</f>
        <v/>
      </c>
      <c r="BH70" s="98" t="str">
        <f aca="false">IF($BX70&lt;&gt;Constants!$B$6,"",Constants!$B$16+SUM($BC70:$BG70))</f>
        <v/>
      </c>
      <c r="BI70" s="97" t="str">
        <f aca="false">IF($BX70&lt;&gt;Constants!$B$6,"",$BC70)</f>
        <v/>
      </c>
      <c r="BJ70" s="97" t="str">
        <f aca="false">IF($BX70&lt;&gt;Constants!$B$6,"",$BD70)</f>
        <v/>
      </c>
      <c r="BK70" s="99" t="str">
        <f aca="false">IF($BX70&lt;&gt;Constants!$B$6,"",IF($AL70,$AN70,""))</f>
        <v/>
      </c>
      <c r="BL70" s="93" t="str">
        <f aca="false">IF($BX70&lt;&gt;Constants!$B$6,"",IF(OR($BS70&lt;$BH70,AND($BS70=$BH70,OR($BT70&lt;$BI70,AND($BT70=$BI70,OR($BU70&lt;$BJ70,AND($BU70=$BJ70,AND(ISNUMBER($BV70),OR(NOT(ISNUMBER($BK70)),$BV70&lt;$BK70)))))))),"-&gt;","&lt;-"))</f>
        <v/>
      </c>
      <c r="BM70" s="92" t="str">
        <f aca="false">IF(ISBLANK($C70),"",AND($AT70,OR($AU70="",$AV70="",AND($AW70,$AX70=""))))</f>
        <v/>
      </c>
      <c r="BN70" s="94" t="str">
        <f aca="false">IF($BX70&lt;&gt;Constants!$B$6,"",IF($AT70,Constants!$B$17*$AV70+Constants!$B$18*IF($AW70,$AX70,Constants!$B$19),Constants!$B$20))</f>
        <v/>
      </c>
      <c r="BO70" s="97" t="str">
        <f aca="false">IF($BX70&lt;&gt;Constants!$B$6,"",Constants!$B$21*ABS($AD$9-IF($AT70,$AU70,0)))</f>
        <v/>
      </c>
      <c r="BP70" s="97" t="str">
        <f aca="false">IF($BX70&lt;&gt;Constants!$B$6,"",IF(AND($AT70,$AY70,$AW70),Constants!$B$22,0))</f>
        <v/>
      </c>
      <c r="BQ70" s="97" t="str">
        <f aca="false">IF($BX70&lt;&gt;Constants!$B$6,"",IF($AT70,($AI70-Constants!$B$24)*Constants!$B$23,0))</f>
        <v/>
      </c>
      <c r="BR70" s="97" t="str">
        <f aca="false">IF($BX70&lt;&gt;Constants!$B$6,"",IF($AS70,0,Constants!$B$12)+IF($AR70,0,Constants!$B$13)+IF($AH70,0,Constants!$B$14))</f>
        <v/>
      </c>
      <c r="BS70" s="98" t="str">
        <f aca="false">IF($BX70&lt;&gt;Constants!$B$6,"",Constants!$B$16+SUM($BN70:$BR70))</f>
        <v/>
      </c>
      <c r="BT70" s="97" t="str">
        <f aca="false">IF($BX70&lt;&gt;Constants!$B$6,"",$BN70)</f>
        <v/>
      </c>
      <c r="BU70" s="97" t="str">
        <f aca="false">IF($BX70&lt;&gt;Constants!$B$6,"",$BO70)</f>
        <v/>
      </c>
      <c r="BV70" s="99" t="str">
        <f aca="false">IF($BX70&lt;&gt;Constants!$B$6,"",IF($AT70,$AV70,""))</f>
        <v/>
      </c>
      <c r="BW70" s="93" t="str">
        <f aca="false">IF(ISBLANK($C70),"",IF(ISBLANK($D$7),$BW$5,IF(NOT(ISNUMBER($D$7)),$BW$6,"")))</f>
        <v/>
      </c>
      <c r="BX70" s="93" t="str">
        <f aca="false">IF(ISBLANK($C70),"",IF($BA70,Constants!$B$9,IF(COUNTA($E70:$AA70)=0,Constants!$B$8,IF(NOT($AG70),Constants!$B$7,IF(OR($BW70&lt;&gt;"",$BB70,$BM70),Constants!$B$10,Constants!$B$6)))))</f>
        <v/>
      </c>
      <c r="BY70" s="93" t="str">
        <f aca="false">IF(ISBLANK($C70),"",IF($BX70&lt;&gt;Constants!$B$6,$BX70,Constants!$B$11))</f>
        <v/>
      </c>
      <c r="BZ70" s="97" t="str">
        <f aca="false">IF($BX70&lt;&gt;Constants!$B$6,"",IF($BL70="-&gt;",$BS70,$BH70))</f>
        <v/>
      </c>
      <c r="CA70" s="97" t="str">
        <f aca="false">IF($BX70&lt;&gt;Constants!$B$6,"",IF($AF70,0,Constants!$B$15))</f>
        <v/>
      </c>
      <c r="CB70" s="97" t="str">
        <f aca="false">IF($BX70&lt;&gt;Constants!$B$6,"",((Constants!$B$25-$AZ70)-Constants!$B$25)/Constants!$B$26)</f>
        <v/>
      </c>
      <c r="CC70" s="97" t="str">
        <f aca="false">IF(ISBLANK($C70),"",IF($BX70&lt;&gt;Constants!$B$6,$BX70,SUM($BZ70:$CB70)))</f>
        <v/>
      </c>
      <c r="CD70" s="93" t="str">
        <f aca="false">IF(ISBLANK($C70),"",IF($BX70&lt;&gt;Constants!$B$6,$BX70,RANK($CC70,$CC$9:$CC$508,1)))</f>
        <v/>
      </c>
      <c r="CE70" s="97" t="str">
        <f aca="false">IF($BX70&lt;&gt;Constants!$B$6,"",IF($BL70="-&gt;",$BT70,$BI70))</f>
        <v/>
      </c>
      <c r="CF70" s="93" t="str">
        <f aca="false">IF(ISBLANK($C70),"",IF($BX70&lt;&gt;Constants!$B$6,$BX70,IF(ISNUMBER($CE70),RANK($CE70,$CE$9:$CE$508,1),COUNT($CE$9:$CE$508)+1)))</f>
        <v/>
      </c>
      <c r="CG70" s="97" t="str">
        <f aca="false">IF($BX70&lt;&gt;Constants!$B$6,"",IF($BL70="-&gt;",$BU70,$BJ70))</f>
        <v/>
      </c>
      <c r="CH70" s="93" t="str">
        <f aca="false">IF(ISBLANK($C70),"",IF($BX70&lt;&gt;Constants!$B$6,$BX70,IF(ISNUMBER($CG70),RANK($CG70,$CG$9:$CG$508,1),COUNT($CG$9:$CG$508)+1)))</f>
        <v/>
      </c>
      <c r="CI70" s="97" t="str">
        <f aca="false">IF($BX70&lt;&gt;Constants!$B$6,"",IF($BL70="-&gt;",$BV70,$BK70))</f>
        <v/>
      </c>
      <c r="CJ70" s="93" t="str">
        <f aca="false">IF(ISBLANK($C70),"",IF($BX70&lt;&gt;Constants!$B$6,$BX70,IF(ISNUMBER($CI70),RANK($CI70,$CI$9:$CI$508,1),COUNT($CI$9:$CI$508)+1)))</f>
        <v/>
      </c>
      <c r="CK70" s="97" t="str">
        <f aca="false">IF($BX70&lt;&gt;Constants!$B$6,"",$AI70)</f>
        <v/>
      </c>
      <c r="CL70" s="93" t="str">
        <f aca="false">IF(ISBLANK($C70),"",IF($BX70&lt;&gt;Constants!$B$6,$BX70,IF(ISNUMBER($CK70),RANK($CK70,$CK$9:$CK$508,1),COUNT($CK$9:$CK$508)+1)))</f>
        <v/>
      </c>
      <c r="CM70" s="93" t="str">
        <f aca="false">IF(ISBLANK($C70),"",IF($BX70&lt;&gt;Constants!$B$6,$BX70,COUNTIFS($CD$9:$CD$508,"&lt;"&amp;$CD70)+COUNTIFS($CD$9:$CD$508,$CD70,$CF$9:$CF$508,"&lt;"&amp;$CF70)+COUNTIFS($CD$9:$CD$508,$CD70,$CF$9:$CF$508,$CF70,$CH$9:$CH$508,"&lt;"&amp;$CH70)+COUNTIFS($CD$9:$CD$508,$CD70,$CF$9:$CF$508,$CF70,$CH$9:$CH$508,$CH70,$CJ$9:$CJ$508,"&lt;"&amp;$CJ70)+COUNTIFS($CD$9:$CD$508,$CD70,$CF$9:$CF$508,$CF70,$CH$9:$CH$508,$CH70,$CJ$9:$CJ$508,$CJ70,$CL$9:$CL$508,"&lt;"&amp;$CL70)+1))</f>
        <v/>
      </c>
      <c r="CN70" s="93" t="str">
        <f aca="false">IF(ISBLANK($C70),"",IF($BX70&lt;&gt;Constants!$B$6,$BX70,$CD70-$CM70))</f>
        <v/>
      </c>
      <c r="CO70" s="100"/>
      <c r="CP70" s="101"/>
      <c r="CQ70" s="102" t="str">
        <f aca="false">IF(ISBLANK($C70),"",IF($BX70=Constants!$B$10,$BW70,""))</f>
        <v/>
      </c>
      <c r="CR70" s="101" t="str">
        <f aca="false">IF(ISBLANK($C70),"",IF($BX70&lt;&gt;Constants!$B$6,"",IF($BL70="-&gt;",2,1)))</f>
        <v/>
      </c>
      <c r="CS70" s="103" t="str">
        <f aca="false">IF(ISBLANK($C70),"",IF($BX70&lt;&gt;Constants!$B$6,"",IF($BL70="-&gt;",$BN70,$BC70)))</f>
        <v/>
      </c>
      <c r="CT70" s="103" t="str">
        <f aca="false">IF(ISBLANK($C70),"",IF($BX70&lt;&gt;Constants!$B$6,"",IF($BL70="-&gt;",$BO70,$BD70)))</f>
        <v/>
      </c>
      <c r="CU70" s="103" t="str">
        <f aca="false">IF(ISBLANK($C70),"",IF($BX70&lt;&gt;Constants!$B$6,"",IF($BL70="-&gt;",$BP70+$BQ70,$BE70+$BF70)+$CB70))</f>
        <v/>
      </c>
      <c r="CV70" s="103" t="str">
        <f aca="false">IF(ISBLANK($C70),"",IF($BX70&lt;&gt;Constants!$B$6,"",IF($BL70="-&gt;",$BR70,$BG70)+$CA70))</f>
        <v/>
      </c>
      <c r="CW70" s="104" t="str">
        <f aca="false">IF(ISBLANK($C70),"",IF($BX70&lt;&gt;Constants!$B$6,$BX70,$CC70))</f>
        <v/>
      </c>
      <c r="CX70" s="105" t="str">
        <f aca="false">IF(ISBLANK($C70),"",$BY70)</f>
        <v/>
      </c>
      <c r="CY70" s="106" t="str">
        <f aca="false">IF(ISBLANK($C70),"",$CN70)</f>
        <v/>
      </c>
      <c r="CZ70" s="106" t="str">
        <f aca="false">IF(ISBLANK($C70),"",$CM70)</f>
        <v/>
      </c>
      <c r="DA70" s="107" t="str">
        <f aca="false">IF(ISBLANK($C70),"",IFERROR(_xlfn.SWITCH($CZ70,Constants!$B$9,COUNTA($C$9:$C$508)+2,Constants!$B$8,COUNTA($C$9:$C$508)+1,Constants!$B$7,COUNTA($C$9:$C$508)),$CZ70))</f>
        <v/>
      </c>
      <c r="DB70" s="9"/>
      <c r="DC70" s="108" t="n">
        <f aca="false">IF(OR(ISNUMBER($CZ70),$CZ70=Constants!$B$9,$CZ70=Constants!$B$7,$CZ70=Constants!$B$8),1,0)</f>
        <v>0</v>
      </c>
      <c r="DD70" s="108" t="n">
        <v>62</v>
      </c>
      <c r="DE70" s="108" t="str">
        <f aca="false">IF(ISBLANK($C70),"",IF(ISNUMBER($DA70),$DA70+ROW($B70)/1000,""))</f>
        <v/>
      </c>
      <c r="DF70" s="108" t="str">
        <f aca="false">IF(ISNUMBER($DE70),RANK($DE70,$DE$9:$DE$508,1),"")</f>
        <v/>
      </c>
      <c r="DG70" s="108" t="str">
        <f aca="false">IF(ISBLANK($C70),"",$B70)</f>
        <v/>
      </c>
      <c r="DH70" s="108" t="str">
        <f aca="false">IF(ISBLANK($C70),"",$C70)</f>
        <v/>
      </c>
      <c r="DI70" s="108" t="str">
        <f aca="false">IF(ISBLANK($C70),"",$D70)</f>
        <v/>
      </c>
      <c r="DJ70" s="109" t="str">
        <f aca="false">$CX70</f>
        <v/>
      </c>
      <c r="DK70" s="110" t="str">
        <f aca="false">$CW70</f>
        <v/>
      </c>
      <c r="DL70" s="108" t="str">
        <f aca="false">IF(ISBLANK($C70),"",$CZ70)</f>
        <v/>
      </c>
      <c r="DM70" s="111" t="str">
        <f aca="false">IF($DD70&gt;$DC$8,"",VLOOKUP($DD70,$DF$9:$DL$508,7,FALSE()))</f>
        <v/>
      </c>
      <c r="DN70" s="112" t="str">
        <f aca="false">IF($DD70&gt;$DC$8,"",VLOOKUP($DD70,$DF$9:$DL$508,2,FALSE()))</f>
        <v/>
      </c>
      <c r="DO70" s="112" t="str">
        <f aca="false">IF($DD70&gt;$DC$8,"",VLOOKUP($DD70,$DF$9:$DL$508,3,FALSE()))</f>
        <v/>
      </c>
      <c r="DP70" s="112" t="str">
        <f aca="false">IF($DD70&gt;$DC$8,"",VLOOKUP($DD70,$DF$9:$DL$508,4,FALSE()))</f>
        <v/>
      </c>
      <c r="DQ70" s="112" t="str">
        <f aca="false">IF($DD70&gt;$DC$8,"",VLOOKUP($DD70,$DF$9:$DL$508,5,FALSE()))</f>
        <v/>
      </c>
      <c r="DR70" s="113" t="str">
        <f aca="false">IF($DD70&gt;$DC$8,"",VLOOKUP($DD70,$DF$9:$DL$508,6,FALSE()))</f>
        <v/>
      </c>
      <c r="DS70" s="76"/>
    </row>
    <row r="71" customFormat="false" ht="15.75" hidden="false" customHeight="false" outlineLevel="0" collapsed="false">
      <c r="A71" s="9"/>
      <c r="B71" s="78"/>
      <c r="C71" s="79"/>
      <c r="D71" s="170"/>
      <c r="E71" s="178"/>
      <c r="F71" s="172"/>
      <c r="G71" s="173"/>
      <c r="H71" s="173"/>
      <c r="I71" s="179"/>
      <c r="J71" s="176"/>
      <c r="K71" s="86"/>
      <c r="L71" s="87"/>
      <c r="M71" s="88"/>
      <c r="N71" s="176"/>
      <c r="O71" s="176"/>
      <c r="P71" s="178"/>
      <c r="Q71" s="176"/>
      <c r="R71" s="176"/>
      <c r="S71" s="86"/>
      <c r="T71" s="88"/>
      <c r="U71" s="88"/>
      <c r="V71" s="176"/>
      <c r="W71" s="176"/>
      <c r="X71" s="178"/>
      <c r="Y71" s="176"/>
      <c r="Z71" s="177"/>
      <c r="AA71" s="176"/>
      <c r="AB71" s="92"/>
      <c r="AC71" s="93"/>
      <c r="AD71" s="93"/>
      <c r="AE71" s="93"/>
      <c r="AF71" s="93" t="str">
        <f aca="false">IF(ISBLANK($C71),"",IF(E71=Constants!$B$2,TRUE(),IF(E71=Constants!$B$3,FALSE(),TRUE())))</f>
        <v/>
      </c>
      <c r="AG71" s="93" t="str">
        <f aca="false">IF(ISBLANK($C71),"",IF(F71=Constants!$B$2,TRUE(),IF(F71=Constants!$B$3,FALSE(),TRUE())))</f>
        <v/>
      </c>
      <c r="AH71" s="93" t="str">
        <f aca="false">IF(ISBLANK($C71),"",IF(G71=Constants!$B$2,TRUE(),IF(G71=Constants!$B$3,FALSE(),TRUE())))</f>
        <v/>
      </c>
      <c r="AI71" s="93" t="str">
        <f aca="false">IF(ISBLANK($C71),"",IF(AND(ISNUMBER(H71),H71&gt;=0),H71,Constants!$B$24))</f>
        <v/>
      </c>
      <c r="AJ71" s="93" t="str">
        <f aca="false">IF(ISBLANK($C71),"",IF(I71=Constants!$B$2,TRUE(),IF(I71=Constants!$B$3,FALSE(),TRUE())))</f>
        <v/>
      </c>
      <c r="AK71" s="93" t="str">
        <f aca="false">IF(ISBLANK($C71),"",IF(J71=Constants!$B$2,TRUE(),IF(J71=Constants!$B$3,FALSE(),TRUE())))</f>
        <v/>
      </c>
      <c r="AL71" s="93" t="str">
        <f aca="false">IF(ISBLANK($C71),"",IF(K71=Constants!$B$4,TRUE(),IF(K71=Constants!$B$5,FALSE(),COUNTA(L71:P71)&gt;0)))</f>
        <v/>
      </c>
      <c r="AM71" s="95" t="str">
        <f aca="false">IF(ISBLANK($C71),"",IF(ISNUMBER(L71),IF(L71&gt;=0,L71,""),""))</f>
        <v/>
      </c>
      <c r="AN71" s="94" t="str">
        <f aca="false">IF(ISBLANK($C71),"",IF(ISNUMBER(M71),IF(M71&gt;=0,M71,""),""))</f>
        <v/>
      </c>
      <c r="AO71" s="94" t="str">
        <f aca="false">IF(ISBLANK($C71),"",IF(N71=Constants!$B$2,TRUE(),IF(N71=Constants!$B$3,FALSE(),TRUE())))</f>
        <v/>
      </c>
      <c r="AP71" s="93" t="str">
        <f aca="false">IF(ISBLANK($C71),"",IF(ISNUMBER(O71),IF(O71&gt;=0,O71,""),""))</f>
        <v/>
      </c>
      <c r="AQ71" s="93" t="str">
        <f aca="false">IF(ISBLANK($C71),"",IF(P71=Constants!$B$2,TRUE(),IF(P71=Constants!$B$3,FALSE(),FALSE())))</f>
        <v/>
      </c>
      <c r="AR71" s="93" t="str">
        <f aca="false">IF(ISBLANK($C71),"",IF(Q71=Constants!$B$2,TRUE(),IF(Q71=Constants!$B$3,FALSE(),TRUE())))</f>
        <v/>
      </c>
      <c r="AS71" s="93" t="str">
        <f aca="false">IF(ISBLANK($C71),"",IF(R71=Constants!$B$2,TRUE(),IF(R71=Constants!$B$3,FALSE(),TRUE())))</f>
        <v/>
      </c>
      <c r="AT71" s="93" t="str">
        <f aca="false">IF(ISBLANK($C71),"",IF(S71=Constants!$B$4,TRUE(),IF(S71=Constants!$B$5,FALSE(),COUNTA(T71:X71)&gt;0)))</f>
        <v/>
      </c>
      <c r="AU71" s="95" t="str">
        <f aca="false">IF(ISBLANK($C71),"",IF(ISNUMBER(T71),IF(T71&gt;=0,T71,""),""))</f>
        <v/>
      </c>
      <c r="AV71" s="94" t="str">
        <f aca="false">IF(ISBLANK($C71),"",IF(ISNUMBER(U71),IF(U71&gt;=0,U71,""),""))</f>
        <v/>
      </c>
      <c r="AW71" s="94" t="str">
        <f aca="false">IF(ISBLANK($C71),"",IF(V71=Constants!$B$2,TRUE(),IF(V71=Constants!$B$3,FALSE(),TRUE())))</f>
        <v/>
      </c>
      <c r="AX71" s="93" t="str">
        <f aca="false">IF(ISBLANK($C71),"",IF(ISNUMBER(W71),IF(W71&gt;=0,W71,""),""))</f>
        <v/>
      </c>
      <c r="AY71" s="93" t="str">
        <f aca="false">IF(ISBLANK($C71),"",IF(X71=Constants!$B$2,TRUE(),IF(X71=Constants!$B$3,FALSE(),FALSE())))</f>
        <v/>
      </c>
      <c r="AZ71" s="93" t="str">
        <f aca="false">IF(ISBLANK($C71),"",MIN(Constants!$B$25,MAX(0,IF(ISNUMBER(Y71),Y71*60,0)+IF(ISNUMBER(Z71),Z71,0))))</f>
        <v/>
      </c>
      <c r="BA71" s="93" t="str">
        <f aca="false">IF(ISBLANK($C71),"",IF(AA71=Constants!$B$2,TRUE(),IF(AA71=Constants!$B$3,FALSE(),FALSE())))</f>
        <v/>
      </c>
      <c r="BB71" s="92" t="str">
        <f aca="false">IF(ISBLANK($C71),"",AND($AL71,OR($AM71="",$AN71="",AND($AO71,$AP71=""))))</f>
        <v/>
      </c>
      <c r="BC71" s="94" t="str">
        <f aca="false">IF($BX71&lt;&gt;Constants!$B$6,"",IF($AL71,Constants!$B$17*$AN71+Constants!$B$18*IF($AO71,$AP71,Constants!$B$19),Constants!$B$20))</f>
        <v/>
      </c>
      <c r="BD71" s="97" t="str">
        <f aca="false">IF($BX71&lt;&gt;Constants!$B$6,"",Constants!$B$21*ABS($AD$9-IF($AL71,$AM71,0)))</f>
        <v/>
      </c>
      <c r="BE71" s="97" t="str">
        <f aca="false">IF($BX71&lt;&gt;Constants!$B$6,"",IF(AND($AL71,$AQ71,$AO71),Constants!$B$22,0))</f>
        <v/>
      </c>
      <c r="BF71" s="97" t="str">
        <f aca="false">IF($BX71&lt;&gt;Constants!$B$6,"",IF($AL71,($AI71-Constants!$B$24)*Constants!$B$23,0))</f>
        <v/>
      </c>
      <c r="BG71" s="97" t="str">
        <f aca="false">IF($BX71&lt;&gt;Constants!$B$6,"",IF($AK71,0,Constants!$B$12)+IF($AJ71,0,Constants!$B$13)+IF($AH71,0,Constants!$B$14))</f>
        <v/>
      </c>
      <c r="BH71" s="98" t="str">
        <f aca="false">IF($BX71&lt;&gt;Constants!$B$6,"",Constants!$B$16+SUM($BC71:$BG71))</f>
        <v/>
      </c>
      <c r="BI71" s="97" t="str">
        <f aca="false">IF($BX71&lt;&gt;Constants!$B$6,"",$BC71)</f>
        <v/>
      </c>
      <c r="BJ71" s="97" t="str">
        <f aca="false">IF($BX71&lt;&gt;Constants!$B$6,"",$BD71)</f>
        <v/>
      </c>
      <c r="BK71" s="99" t="str">
        <f aca="false">IF($BX71&lt;&gt;Constants!$B$6,"",IF($AL71,$AN71,""))</f>
        <v/>
      </c>
      <c r="BL71" s="93" t="str">
        <f aca="false">IF($BX71&lt;&gt;Constants!$B$6,"",IF(OR($BS71&lt;$BH71,AND($BS71=$BH71,OR($BT71&lt;$BI71,AND($BT71=$BI71,OR($BU71&lt;$BJ71,AND($BU71=$BJ71,AND(ISNUMBER($BV71),OR(NOT(ISNUMBER($BK71)),$BV71&lt;$BK71)))))))),"-&gt;","&lt;-"))</f>
        <v/>
      </c>
      <c r="BM71" s="92" t="str">
        <f aca="false">IF(ISBLANK($C71),"",AND($AT71,OR($AU71="",$AV71="",AND($AW71,$AX71=""))))</f>
        <v/>
      </c>
      <c r="BN71" s="94" t="str">
        <f aca="false">IF($BX71&lt;&gt;Constants!$B$6,"",IF($AT71,Constants!$B$17*$AV71+Constants!$B$18*IF($AW71,$AX71,Constants!$B$19),Constants!$B$20))</f>
        <v/>
      </c>
      <c r="BO71" s="97" t="str">
        <f aca="false">IF($BX71&lt;&gt;Constants!$B$6,"",Constants!$B$21*ABS($AD$9-IF($AT71,$AU71,0)))</f>
        <v/>
      </c>
      <c r="BP71" s="97" t="str">
        <f aca="false">IF($BX71&lt;&gt;Constants!$B$6,"",IF(AND($AT71,$AY71,$AW71),Constants!$B$22,0))</f>
        <v/>
      </c>
      <c r="BQ71" s="97" t="str">
        <f aca="false">IF($BX71&lt;&gt;Constants!$B$6,"",IF($AT71,($AI71-Constants!$B$24)*Constants!$B$23,0))</f>
        <v/>
      </c>
      <c r="BR71" s="97" t="str">
        <f aca="false">IF($BX71&lt;&gt;Constants!$B$6,"",IF($AS71,0,Constants!$B$12)+IF($AR71,0,Constants!$B$13)+IF($AH71,0,Constants!$B$14))</f>
        <v/>
      </c>
      <c r="BS71" s="98" t="str">
        <f aca="false">IF($BX71&lt;&gt;Constants!$B$6,"",Constants!$B$16+SUM($BN71:$BR71))</f>
        <v/>
      </c>
      <c r="BT71" s="97" t="str">
        <f aca="false">IF($BX71&lt;&gt;Constants!$B$6,"",$BN71)</f>
        <v/>
      </c>
      <c r="BU71" s="97" t="str">
        <f aca="false">IF($BX71&lt;&gt;Constants!$B$6,"",$BO71)</f>
        <v/>
      </c>
      <c r="BV71" s="99" t="str">
        <f aca="false">IF($BX71&lt;&gt;Constants!$B$6,"",IF($AT71,$AV71,""))</f>
        <v/>
      </c>
      <c r="BW71" s="93" t="str">
        <f aca="false">IF(ISBLANK($C71),"",IF(ISBLANK($D$7),$BW$5,IF(NOT(ISNUMBER($D$7)),$BW$6,"")))</f>
        <v/>
      </c>
      <c r="BX71" s="93" t="str">
        <f aca="false">IF(ISBLANK($C71),"",IF($BA71,Constants!$B$9,IF(COUNTA($E71:$AA71)=0,Constants!$B$8,IF(NOT($AG71),Constants!$B$7,IF(OR($BW71&lt;&gt;"",$BB71,$BM71),Constants!$B$10,Constants!$B$6)))))</f>
        <v/>
      </c>
      <c r="BY71" s="93" t="str">
        <f aca="false">IF(ISBLANK($C71),"",IF($BX71&lt;&gt;Constants!$B$6,$BX71,Constants!$B$11))</f>
        <v/>
      </c>
      <c r="BZ71" s="97" t="str">
        <f aca="false">IF($BX71&lt;&gt;Constants!$B$6,"",IF($BL71="-&gt;",$BS71,$BH71))</f>
        <v/>
      </c>
      <c r="CA71" s="97" t="str">
        <f aca="false">IF($BX71&lt;&gt;Constants!$B$6,"",IF($AF71,0,Constants!$B$15))</f>
        <v/>
      </c>
      <c r="CB71" s="97" t="str">
        <f aca="false">IF($BX71&lt;&gt;Constants!$B$6,"",((Constants!$B$25-$AZ71)-Constants!$B$25)/Constants!$B$26)</f>
        <v/>
      </c>
      <c r="CC71" s="97" t="str">
        <f aca="false">IF(ISBLANK($C71),"",IF($BX71&lt;&gt;Constants!$B$6,$BX71,SUM($BZ71:$CB71)))</f>
        <v/>
      </c>
      <c r="CD71" s="93" t="str">
        <f aca="false">IF(ISBLANK($C71),"",IF($BX71&lt;&gt;Constants!$B$6,$BX71,RANK($CC71,$CC$9:$CC$508,1)))</f>
        <v/>
      </c>
      <c r="CE71" s="97" t="str">
        <f aca="false">IF($BX71&lt;&gt;Constants!$B$6,"",IF($BL71="-&gt;",$BT71,$BI71))</f>
        <v/>
      </c>
      <c r="CF71" s="93" t="str">
        <f aca="false">IF(ISBLANK($C71),"",IF($BX71&lt;&gt;Constants!$B$6,$BX71,IF(ISNUMBER($CE71),RANK($CE71,$CE$9:$CE$508,1),COUNT($CE$9:$CE$508)+1)))</f>
        <v/>
      </c>
      <c r="CG71" s="97" t="str">
        <f aca="false">IF($BX71&lt;&gt;Constants!$B$6,"",IF($BL71="-&gt;",$BU71,$BJ71))</f>
        <v/>
      </c>
      <c r="CH71" s="93" t="str">
        <f aca="false">IF(ISBLANK($C71),"",IF($BX71&lt;&gt;Constants!$B$6,$BX71,IF(ISNUMBER($CG71),RANK($CG71,$CG$9:$CG$508,1),COUNT($CG$9:$CG$508)+1)))</f>
        <v/>
      </c>
      <c r="CI71" s="97" t="str">
        <f aca="false">IF($BX71&lt;&gt;Constants!$B$6,"",IF($BL71="-&gt;",$BV71,$BK71))</f>
        <v/>
      </c>
      <c r="CJ71" s="93" t="str">
        <f aca="false">IF(ISBLANK($C71),"",IF($BX71&lt;&gt;Constants!$B$6,$BX71,IF(ISNUMBER($CI71),RANK($CI71,$CI$9:$CI$508,1),COUNT($CI$9:$CI$508)+1)))</f>
        <v/>
      </c>
      <c r="CK71" s="97" t="str">
        <f aca="false">IF($BX71&lt;&gt;Constants!$B$6,"",$AI71)</f>
        <v/>
      </c>
      <c r="CL71" s="93" t="str">
        <f aca="false">IF(ISBLANK($C71),"",IF($BX71&lt;&gt;Constants!$B$6,$BX71,IF(ISNUMBER($CK71),RANK($CK71,$CK$9:$CK$508,1),COUNT($CK$9:$CK$508)+1)))</f>
        <v/>
      </c>
      <c r="CM71" s="93" t="str">
        <f aca="false">IF(ISBLANK($C71),"",IF($BX71&lt;&gt;Constants!$B$6,$BX71,COUNTIFS($CD$9:$CD$508,"&lt;"&amp;$CD71)+COUNTIFS($CD$9:$CD$508,$CD71,$CF$9:$CF$508,"&lt;"&amp;$CF71)+COUNTIFS($CD$9:$CD$508,$CD71,$CF$9:$CF$508,$CF71,$CH$9:$CH$508,"&lt;"&amp;$CH71)+COUNTIFS($CD$9:$CD$508,$CD71,$CF$9:$CF$508,$CF71,$CH$9:$CH$508,$CH71,$CJ$9:$CJ$508,"&lt;"&amp;$CJ71)+COUNTIFS($CD$9:$CD$508,$CD71,$CF$9:$CF$508,$CF71,$CH$9:$CH$508,$CH71,$CJ$9:$CJ$508,$CJ71,$CL$9:$CL$508,"&lt;"&amp;$CL71)+1))</f>
        <v/>
      </c>
      <c r="CN71" s="93" t="str">
        <f aca="false">IF(ISBLANK($C71),"",IF($BX71&lt;&gt;Constants!$B$6,$BX71,$CD71-$CM71))</f>
        <v/>
      </c>
      <c r="CO71" s="100"/>
      <c r="CP71" s="101"/>
      <c r="CQ71" s="102" t="str">
        <f aca="false">IF(ISBLANK($C71),"",IF($BX71=Constants!$B$10,$BW71,""))</f>
        <v/>
      </c>
      <c r="CR71" s="101" t="str">
        <f aca="false">IF(ISBLANK($C71),"",IF($BX71&lt;&gt;Constants!$B$6,"",IF($BL71="-&gt;",2,1)))</f>
        <v/>
      </c>
      <c r="CS71" s="103" t="str">
        <f aca="false">IF(ISBLANK($C71),"",IF($BX71&lt;&gt;Constants!$B$6,"",IF($BL71="-&gt;",$BN71,$BC71)))</f>
        <v/>
      </c>
      <c r="CT71" s="103" t="str">
        <f aca="false">IF(ISBLANK($C71),"",IF($BX71&lt;&gt;Constants!$B$6,"",IF($BL71="-&gt;",$BO71,$BD71)))</f>
        <v/>
      </c>
      <c r="CU71" s="103" t="str">
        <f aca="false">IF(ISBLANK($C71),"",IF($BX71&lt;&gt;Constants!$B$6,"",IF($BL71="-&gt;",$BP71+$BQ71,$BE71+$BF71)+$CB71))</f>
        <v/>
      </c>
      <c r="CV71" s="103" t="str">
        <f aca="false">IF(ISBLANK($C71),"",IF($BX71&lt;&gt;Constants!$B$6,"",IF($BL71="-&gt;",$BR71,$BG71)+$CA71))</f>
        <v/>
      </c>
      <c r="CW71" s="104" t="str">
        <f aca="false">IF(ISBLANK($C71),"",IF($BX71&lt;&gt;Constants!$B$6,$BX71,$CC71))</f>
        <v/>
      </c>
      <c r="CX71" s="105" t="str">
        <f aca="false">IF(ISBLANK($C71),"",$BY71)</f>
        <v/>
      </c>
      <c r="CY71" s="106" t="str">
        <f aca="false">IF(ISBLANK($C71),"",$CN71)</f>
        <v/>
      </c>
      <c r="CZ71" s="106" t="str">
        <f aca="false">IF(ISBLANK($C71),"",$CM71)</f>
        <v/>
      </c>
      <c r="DA71" s="107" t="str">
        <f aca="false">IF(ISBLANK($C71),"",IFERROR(_xlfn.SWITCH($CZ71,Constants!$B$9,COUNTA($C$9:$C$508)+2,Constants!$B$8,COUNTA($C$9:$C$508)+1,Constants!$B$7,COUNTA($C$9:$C$508)),$CZ71))</f>
        <v/>
      </c>
      <c r="DB71" s="9"/>
      <c r="DC71" s="108" t="n">
        <f aca="false">IF(OR(ISNUMBER($CZ71),$CZ71=Constants!$B$9,$CZ71=Constants!$B$7,$CZ71=Constants!$B$8),1,0)</f>
        <v>0</v>
      </c>
      <c r="DD71" s="108" t="n">
        <v>63</v>
      </c>
      <c r="DE71" s="108" t="str">
        <f aca="false">IF(ISBLANK($C71),"",IF(ISNUMBER($DA71),$DA71+ROW($B71)/1000,""))</f>
        <v/>
      </c>
      <c r="DF71" s="108" t="str">
        <f aca="false">IF(ISNUMBER($DE71),RANK($DE71,$DE$9:$DE$508,1),"")</f>
        <v/>
      </c>
      <c r="DG71" s="108" t="str">
        <f aca="false">IF(ISBLANK($C71),"",$B71)</f>
        <v/>
      </c>
      <c r="DH71" s="108" t="str">
        <f aca="false">IF(ISBLANK($C71),"",$C71)</f>
        <v/>
      </c>
      <c r="DI71" s="108" t="str">
        <f aca="false">IF(ISBLANK($C71),"",$D71)</f>
        <v/>
      </c>
      <c r="DJ71" s="109" t="str">
        <f aca="false">$CX71</f>
        <v/>
      </c>
      <c r="DK71" s="110" t="str">
        <f aca="false">$CW71</f>
        <v/>
      </c>
      <c r="DL71" s="108" t="str">
        <f aca="false">IF(ISBLANK($C71),"",$CZ71)</f>
        <v/>
      </c>
      <c r="DM71" s="111" t="str">
        <f aca="false">IF($DD71&gt;$DC$8,"",VLOOKUP($DD71,$DF$9:$DL$508,7,FALSE()))</f>
        <v/>
      </c>
      <c r="DN71" s="112" t="str">
        <f aca="false">IF($DD71&gt;$DC$8,"",VLOOKUP($DD71,$DF$9:$DL$508,2,FALSE()))</f>
        <v/>
      </c>
      <c r="DO71" s="112" t="str">
        <f aca="false">IF($DD71&gt;$DC$8,"",VLOOKUP($DD71,$DF$9:$DL$508,3,FALSE()))</f>
        <v/>
      </c>
      <c r="DP71" s="112" t="str">
        <f aca="false">IF($DD71&gt;$DC$8,"",VLOOKUP($DD71,$DF$9:$DL$508,4,FALSE()))</f>
        <v/>
      </c>
      <c r="DQ71" s="112" t="str">
        <f aca="false">IF($DD71&gt;$DC$8,"",VLOOKUP($DD71,$DF$9:$DL$508,5,FALSE()))</f>
        <v/>
      </c>
      <c r="DR71" s="113" t="str">
        <f aca="false">IF($DD71&gt;$DC$8,"",VLOOKUP($DD71,$DF$9:$DL$508,6,FALSE()))</f>
        <v/>
      </c>
      <c r="DS71" s="76"/>
    </row>
    <row r="72" customFormat="false" ht="15.75" hidden="false" customHeight="false" outlineLevel="0" collapsed="false">
      <c r="A72" s="9"/>
      <c r="B72" s="160"/>
      <c r="C72" s="161"/>
      <c r="D72" s="162"/>
      <c r="E72" s="180"/>
      <c r="F72" s="164"/>
      <c r="G72" s="165"/>
      <c r="H72" s="165"/>
      <c r="I72" s="181"/>
      <c r="J72" s="168"/>
      <c r="K72" s="128"/>
      <c r="L72" s="129"/>
      <c r="M72" s="130"/>
      <c r="N72" s="168"/>
      <c r="O72" s="168"/>
      <c r="P72" s="180"/>
      <c r="Q72" s="168"/>
      <c r="R72" s="168"/>
      <c r="S72" s="128"/>
      <c r="T72" s="130"/>
      <c r="U72" s="130"/>
      <c r="V72" s="168"/>
      <c r="W72" s="168"/>
      <c r="X72" s="180"/>
      <c r="Y72" s="168"/>
      <c r="Z72" s="169"/>
      <c r="AA72" s="168"/>
      <c r="AB72" s="134"/>
      <c r="AC72" s="135"/>
      <c r="AD72" s="135"/>
      <c r="AE72" s="135"/>
      <c r="AF72" s="135" t="str">
        <f aca="false">IF(ISBLANK($C72),"",IF(E72=Constants!$B$2,TRUE(),IF(E72=Constants!$B$3,FALSE(),TRUE())))</f>
        <v/>
      </c>
      <c r="AG72" s="135" t="str">
        <f aca="false">IF(ISBLANK($C72),"",IF(F72=Constants!$B$2,TRUE(),IF(F72=Constants!$B$3,FALSE(),TRUE())))</f>
        <v/>
      </c>
      <c r="AH72" s="135" t="str">
        <f aca="false">IF(ISBLANK($C72),"",IF(G72=Constants!$B$2,TRUE(),IF(G72=Constants!$B$3,FALSE(),TRUE())))</f>
        <v/>
      </c>
      <c r="AI72" s="135" t="str">
        <f aca="false">IF(ISBLANK($C72),"",IF(AND(ISNUMBER(H72),H72&gt;=0),H72,Constants!$B$24))</f>
        <v/>
      </c>
      <c r="AJ72" s="135" t="str">
        <f aca="false">IF(ISBLANK($C72),"",IF(I72=Constants!$B$2,TRUE(),IF(I72=Constants!$B$3,FALSE(),TRUE())))</f>
        <v/>
      </c>
      <c r="AK72" s="135" t="str">
        <f aca="false">IF(ISBLANK($C72),"",IF(J72=Constants!$B$2,TRUE(),IF(J72=Constants!$B$3,FALSE(),TRUE())))</f>
        <v/>
      </c>
      <c r="AL72" s="135" t="str">
        <f aca="false">IF(ISBLANK($C72),"",IF(K72=Constants!$B$4,TRUE(),IF(K72=Constants!$B$5,FALSE(),COUNTA(L72:P72)&gt;0)))</f>
        <v/>
      </c>
      <c r="AM72" s="136" t="str">
        <f aca="false">IF(ISBLANK($C72),"",IF(ISNUMBER(L72),IF(L72&gt;=0,L72,""),""))</f>
        <v/>
      </c>
      <c r="AN72" s="137" t="str">
        <f aca="false">IF(ISBLANK($C72),"",IF(ISNUMBER(M72),IF(M72&gt;=0,M72,""),""))</f>
        <v/>
      </c>
      <c r="AO72" s="137" t="str">
        <f aca="false">IF(ISBLANK($C72),"",IF(N72=Constants!$B$2,TRUE(),IF(N72=Constants!$B$3,FALSE(),TRUE())))</f>
        <v/>
      </c>
      <c r="AP72" s="135" t="str">
        <f aca="false">IF(ISBLANK($C72),"",IF(ISNUMBER(O72),IF(O72&gt;=0,O72,""),""))</f>
        <v/>
      </c>
      <c r="AQ72" s="135" t="str">
        <f aca="false">IF(ISBLANK($C72),"",IF(P72=Constants!$B$2,TRUE(),IF(P72=Constants!$B$3,FALSE(),FALSE())))</f>
        <v/>
      </c>
      <c r="AR72" s="135" t="str">
        <f aca="false">IF(ISBLANK($C72),"",IF(Q72=Constants!$B$2,TRUE(),IF(Q72=Constants!$B$3,FALSE(),TRUE())))</f>
        <v/>
      </c>
      <c r="AS72" s="135" t="str">
        <f aca="false">IF(ISBLANK($C72),"",IF(R72=Constants!$B$2,TRUE(),IF(R72=Constants!$B$3,FALSE(),TRUE())))</f>
        <v/>
      </c>
      <c r="AT72" s="135" t="str">
        <f aca="false">IF(ISBLANK($C72),"",IF(S72=Constants!$B$4,TRUE(),IF(S72=Constants!$B$5,FALSE(),COUNTA(T72:X72)&gt;0)))</f>
        <v/>
      </c>
      <c r="AU72" s="136" t="str">
        <f aca="false">IF(ISBLANK($C72),"",IF(ISNUMBER(T72),IF(T72&gt;=0,T72,""),""))</f>
        <v/>
      </c>
      <c r="AV72" s="137" t="str">
        <f aca="false">IF(ISBLANK($C72),"",IF(ISNUMBER(U72),IF(U72&gt;=0,U72,""),""))</f>
        <v/>
      </c>
      <c r="AW72" s="137" t="str">
        <f aca="false">IF(ISBLANK($C72),"",IF(V72=Constants!$B$2,TRUE(),IF(V72=Constants!$B$3,FALSE(),TRUE())))</f>
        <v/>
      </c>
      <c r="AX72" s="135" t="str">
        <f aca="false">IF(ISBLANK($C72),"",IF(ISNUMBER(W72),IF(W72&gt;=0,W72,""),""))</f>
        <v/>
      </c>
      <c r="AY72" s="135" t="str">
        <f aca="false">IF(ISBLANK($C72),"",IF(X72=Constants!$B$2,TRUE(),IF(X72=Constants!$B$3,FALSE(),FALSE())))</f>
        <v/>
      </c>
      <c r="AZ72" s="135" t="str">
        <f aca="false">IF(ISBLANK($C72),"",MIN(Constants!$B$25,MAX(0,IF(ISNUMBER(Y72),Y72*60,0)+IF(ISNUMBER(Z72),Z72,0))))</f>
        <v/>
      </c>
      <c r="BA72" s="135" t="str">
        <f aca="false">IF(ISBLANK($C72),"",IF(AA72=Constants!$B$2,TRUE(),IF(AA72=Constants!$B$3,FALSE(),FALSE())))</f>
        <v/>
      </c>
      <c r="BB72" s="134" t="str">
        <f aca="false">IF(ISBLANK($C72),"",AND($AL72,OR($AM72="",$AN72="",AND($AO72,$AP72=""))))</f>
        <v/>
      </c>
      <c r="BC72" s="137" t="str">
        <f aca="false">IF($BX72&lt;&gt;Constants!$B$6,"",IF($AL72,Constants!$B$17*$AN72+Constants!$B$18*IF($AO72,$AP72,Constants!$B$19),Constants!$B$20))</f>
        <v/>
      </c>
      <c r="BD72" s="138" t="str">
        <f aca="false">IF($BX72&lt;&gt;Constants!$B$6,"",Constants!$B$21*ABS($AD$9-IF($AL72,$AM72,0)))</f>
        <v/>
      </c>
      <c r="BE72" s="138" t="str">
        <f aca="false">IF($BX72&lt;&gt;Constants!$B$6,"",IF(AND($AL72,$AQ72,$AO72),Constants!$B$22,0))</f>
        <v/>
      </c>
      <c r="BF72" s="138" t="str">
        <f aca="false">IF($BX72&lt;&gt;Constants!$B$6,"",IF($AL72,($AI72-Constants!$B$24)*Constants!$B$23,0))</f>
        <v/>
      </c>
      <c r="BG72" s="138" t="str">
        <f aca="false">IF($BX72&lt;&gt;Constants!$B$6,"",IF($AK72,0,Constants!$B$12)+IF($AJ72,0,Constants!$B$13)+IF($AH72,0,Constants!$B$14))</f>
        <v/>
      </c>
      <c r="BH72" s="139" t="str">
        <f aca="false">IF($BX72&lt;&gt;Constants!$B$6,"",Constants!$B$16+SUM($BC72:$BG72))</f>
        <v/>
      </c>
      <c r="BI72" s="138" t="str">
        <f aca="false">IF($BX72&lt;&gt;Constants!$B$6,"",$BC72)</f>
        <v/>
      </c>
      <c r="BJ72" s="138" t="str">
        <f aca="false">IF($BX72&lt;&gt;Constants!$B$6,"",$BD72)</f>
        <v/>
      </c>
      <c r="BK72" s="140" t="str">
        <f aca="false">IF($BX72&lt;&gt;Constants!$B$6,"",IF($AL72,$AN72,""))</f>
        <v/>
      </c>
      <c r="BL72" s="135" t="str">
        <f aca="false">IF($BX72&lt;&gt;Constants!$B$6,"",IF(OR($BS72&lt;$BH72,AND($BS72=$BH72,OR($BT72&lt;$BI72,AND($BT72=$BI72,OR($BU72&lt;$BJ72,AND($BU72=$BJ72,AND(ISNUMBER($BV72),OR(NOT(ISNUMBER($BK72)),$BV72&lt;$BK72)))))))),"-&gt;","&lt;-"))</f>
        <v/>
      </c>
      <c r="BM72" s="134" t="str">
        <f aca="false">IF(ISBLANK($C72),"",AND($AT72,OR($AU72="",$AV72="",AND($AW72,$AX72=""))))</f>
        <v/>
      </c>
      <c r="BN72" s="137" t="str">
        <f aca="false">IF($BX72&lt;&gt;Constants!$B$6,"",IF($AT72,Constants!$B$17*$AV72+Constants!$B$18*IF($AW72,$AX72,Constants!$B$19),Constants!$B$20))</f>
        <v/>
      </c>
      <c r="BO72" s="138" t="str">
        <f aca="false">IF($BX72&lt;&gt;Constants!$B$6,"",Constants!$B$21*ABS($AD$9-IF($AT72,$AU72,0)))</f>
        <v/>
      </c>
      <c r="BP72" s="138" t="str">
        <f aca="false">IF($BX72&lt;&gt;Constants!$B$6,"",IF(AND($AT72,$AY72,$AW72),Constants!$B$22,0))</f>
        <v/>
      </c>
      <c r="BQ72" s="138" t="str">
        <f aca="false">IF($BX72&lt;&gt;Constants!$B$6,"",IF($AT72,($AI72-Constants!$B$24)*Constants!$B$23,0))</f>
        <v/>
      </c>
      <c r="BR72" s="138" t="str">
        <f aca="false">IF($BX72&lt;&gt;Constants!$B$6,"",IF($AS72,0,Constants!$B$12)+IF($AR72,0,Constants!$B$13)+IF($AH72,0,Constants!$B$14))</f>
        <v/>
      </c>
      <c r="BS72" s="139" t="str">
        <f aca="false">IF($BX72&lt;&gt;Constants!$B$6,"",Constants!$B$16+SUM($BN72:$BR72))</f>
        <v/>
      </c>
      <c r="BT72" s="138" t="str">
        <f aca="false">IF($BX72&lt;&gt;Constants!$B$6,"",$BN72)</f>
        <v/>
      </c>
      <c r="BU72" s="138" t="str">
        <f aca="false">IF($BX72&lt;&gt;Constants!$B$6,"",$BO72)</f>
        <v/>
      </c>
      <c r="BV72" s="140" t="str">
        <f aca="false">IF($BX72&lt;&gt;Constants!$B$6,"",IF($AT72,$AV72,""))</f>
        <v/>
      </c>
      <c r="BW72" s="135" t="str">
        <f aca="false">IF(ISBLANK($C72),"",IF(ISBLANK($D$7),$BW$5,IF(NOT(ISNUMBER($D$7)),$BW$6,"")))</f>
        <v/>
      </c>
      <c r="BX72" s="135" t="str">
        <f aca="false">IF(ISBLANK($C72),"",IF($BA72,Constants!$B$9,IF(COUNTA($E72:$AA72)=0,Constants!$B$8,IF(NOT($AG72),Constants!$B$7,IF(OR($BW72&lt;&gt;"",$BB72,$BM72),Constants!$B$10,Constants!$B$6)))))</f>
        <v/>
      </c>
      <c r="BY72" s="135" t="str">
        <f aca="false">IF(ISBLANK($C72),"",IF($BX72&lt;&gt;Constants!$B$6,$BX72,Constants!$B$11))</f>
        <v/>
      </c>
      <c r="BZ72" s="138" t="str">
        <f aca="false">IF($BX72&lt;&gt;Constants!$B$6,"",IF($BL72="-&gt;",$BS72,$BH72))</f>
        <v/>
      </c>
      <c r="CA72" s="138" t="str">
        <f aca="false">IF($BX72&lt;&gt;Constants!$B$6,"",IF($AF72,0,Constants!$B$15))</f>
        <v/>
      </c>
      <c r="CB72" s="138" t="str">
        <f aca="false">IF($BX72&lt;&gt;Constants!$B$6,"",((Constants!$B$25-$AZ72)-Constants!$B$25)/Constants!$B$26)</f>
        <v/>
      </c>
      <c r="CC72" s="138" t="str">
        <f aca="false">IF(ISBLANK($C72),"",IF($BX72&lt;&gt;Constants!$B$6,$BX72,SUM($BZ72:$CB72)))</f>
        <v/>
      </c>
      <c r="CD72" s="135" t="str">
        <f aca="false">IF(ISBLANK($C72),"",IF($BX72&lt;&gt;Constants!$B$6,$BX72,RANK($CC72,$CC$9:$CC$508,1)))</f>
        <v/>
      </c>
      <c r="CE72" s="138" t="str">
        <f aca="false">IF($BX72&lt;&gt;Constants!$B$6,"",IF($BL72="-&gt;",$BT72,$BI72))</f>
        <v/>
      </c>
      <c r="CF72" s="135" t="str">
        <f aca="false">IF(ISBLANK($C72),"",IF($BX72&lt;&gt;Constants!$B$6,$BX72,IF(ISNUMBER($CE72),RANK($CE72,$CE$9:$CE$508,1),COUNT($CE$9:$CE$508)+1)))</f>
        <v/>
      </c>
      <c r="CG72" s="138" t="str">
        <f aca="false">IF($BX72&lt;&gt;Constants!$B$6,"",IF($BL72="-&gt;",$BU72,$BJ72))</f>
        <v/>
      </c>
      <c r="CH72" s="135" t="str">
        <f aca="false">IF(ISBLANK($C72),"",IF($BX72&lt;&gt;Constants!$B$6,$BX72,IF(ISNUMBER($CG72),RANK($CG72,$CG$9:$CG$508,1),COUNT($CG$9:$CG$508)+1)))</f>
        <v/>
      </c>
      <c r="CI72" s="138" t="str">
        <f aca="false">IF($BX72&lt;&gt;Constants!$B$6,"",IF($BL72="-&gt;",$BV72,$BK72))</f>
        <v/>
      </c>
      <c r="CJ72" s="135" t="str">
        <f aca="false">IF(ISBLANK($C72),"",IF($BX72&lt;&gt;Constants!$B$6,$BX72,IF(ISNUMBER($CI72),RANK($CI72,$CI$9:$CI$508,1),COUNT($CI$9:$CI$508)+1)))</f>
        <v/>
      </c>
      <c r="CK72" s="138" t="str">
        <f aca="false">IF($BX72&lt;&gt;Constants!$B$6,"",$AI72)</f>
        <v/>
      </c>
      <c r="CL72" s="135" t="str">
        <f aca="false">IF(ISBLANK($C72),"",IF($BX72&lt;&gt;Constants!$B$6,$BX72,IF(ISNUMBER($CK72),RANK($CK72,$CK$9:$CK$508,1),COUNT($CK$9:$CK$508)+1)))</f>
        <v/>
      </c>
      <c r="CM72" s="135" t="str">
        <f aca="false">IF(ISBLANK($C72),"",IF($BX72&lt;&gt;Constants!$B$6,$BX72,COUNTIFS($CD$9:$CD$508,"&lt;"&amp;$CD72)+COUNTIFS($CD$9:$CD$508,$CD72,$CF$9:$CF$508,"&lt;"&amp;$CF72)+COUNTIFS($CD$9:$CD$508,$CD72,$CF$9:$CF$508,$CF72,$CH$9:$CH$508,"&lt;"&amp;$CH72)+COUNTIFS($CD$9:$CD$508,$CD72,$CF$9:$CF$508,$CF72,$CH$9:$CH$508,$CH72,$CJ$9:$CJ$508,"&lt;"&amp;$CJ72)+COUNTIFS($CD$9:$CD$508,$CD72,$CF$9:$CF$508,$CF72,$CH$9:$CH$508,$CH72,$CJ$9:$CJ$508,$CJ72,$CL$9:$CL$508,"&lt;"&amp;$CL72)+1))</f>
        <v/>
      </c>
      <c r="CN72" s="135" t="str">
        <f aca="false">IF(ISBLANK($C72),"",IF($BX72&lt;&gt;Constants!$B$6,$BX72,$CD72-$CM72))</f>
        <v/>
      </c>
      <c r="CO72" s="141"/>
      <c r="CP72" s="142"/>
      <c r="CQ72" s="143" t="str">
        <f aca="false">IF(ISBLANK($C72),"",IF($BX72=Constants!$B$10,$BW72,""))</f>
        <v/>
      </c>
      <c r="CR72" s="142" t="str">
        <f aca="false">IF(ISBLANK($C72),"",IF($BX72&lt;&gt;Constants!$B$6,"",IF($BL72="-&gt;",2,1)))</f>
        <v/>
      </c>
      <c r="CS72" s="144" t="str">
        <f aca="false">IF(ISBLANK($C72),"",IF($BX72&lt;&gt;Constants!$B$6,"",IF($BL72="-&gt;",$BN72,$BC72)))</f>
        <v/>
      </c>
      <c r="CT72" s="144" t="str">
        <f aca="false">IF(ISBLANK($C72),"",IF($BX72&lt;&gt;Constants!$B$6,"",IF($BL72="-&gt;",$BO72,$BD72)))</f>
        <v/>
      </c>
      <c r="CU72" s="144" t="str">
        <f aca="false">IF(ISBLANK($C72),"",IF($BX72&lt;&gt;Constants!$B$6,"",IF($BL72="-&gt;",$BP72+$BQ72,$BE72+$BF72)+$CB72))</f>
        <v/>
      </c>
      <c r="CV72" s="144" t="str">
        <f aca="false">IF(ISBLANK($C72),"",IF($BX72&lt;&gt;Constants!$B$6,"",IF($BL72="-&gt;",$BR72,$BG72)+$CA72))</f>
        <v/>
      </c>
      <c r="CW72" s="145" t="str">
        <f aca="false">IF(ISBLANK($C72),"",IF($BX72&lt;&gt;Constants!$B$6,$BX72,$CC72))</f>
        <v/>
      </c>
      <c r="CX72" s="146" t="str">
        <f aca="false">IF(ISBLANK($C72),"",$BY72)</f>
        <v/>
      </c>
      <c r="CY72" s="147" t="str">
        <f aca="false">IF(ISBLANK($C72),"",$CN72)</f>
        <v/>
      </c>
      <c r="CZ72" s="147" t="str">
        <f aca="false">IF(ISBLANK($C72),"",$CM72)</f>
        <v/>
      </c>
      <c r="DA72" s="148" t="str">
        <f aca="false">IF(ISBLANK($C72),"",IFERROR(_xlfn.SWITCH($CZ72,Constants!$B$9,COUNTA($C$9:$C$508)+2,Constants!$B$8,COUNTA($C$9:$C$508)+1,Constants!$B$7,COUNTA($C$9:$C$508)),$CZ72))</f>
        <v/>
      </c>
      <c r="DB72" s="9"/>
      <c r="DC72" s="149" t="n">
        <f aca="false">IF(OR(ISNUMBER($CZ72),$CZ72=Constants!$B$9,$CZ72=Constants!$B$7,$CZ72=Constants!$B$8),1,0)</f>
        <v>0</v>
      </c>
      <c r="DD72" s="149" t="n">
        <v>64</v>
      </c>
      <c r="DE72" s="149" t="str">
        <f aca="false">IF(ISBLANK($C72),"",IF(ISNUMBER($DA72),$DA72+ROW($B72)/1000,""))</f>
        <v/>
      </c>
      <c r="DF72" s="149" t="str">
        <f aca="false">IF(ISNUMBER($DE72),RANK($DE72,$DE$9:$DE$508,1),"")</f>
        <v/>
      </c>
      <c r="DG72" s="149" t="str">
        <f aca="false">IF(ISBLANK($C72),"",$B72)</f>
        <v/>
      </c>
      <c r="DH72" s="149" t="str">
        <f aca="false">IF(ISBLANK($C72),"",$C72)</f>
        <v/>
      </c>
      <c r="DI72" s="149" t="str">
        <f aca="false">IF(ISBLANK($C72),"",$D72)</f>
        <v/>
      </c>
      <c r="DJ72" s="150" t="str">
        <f aca="false">$CX72</f>
        <v/>
      </c>
      <c r="DK72" s="151" t="str">
        <f aca="false">$CW72</f>
        <v/>
      </c>
      <c r="DL72" s="149" t="str">
        <f aca="false">IF(ISBLANK($C72),"",$CZ72)</f>
        <v/>
      </c>
      <c r="DM72" s="152" t="str">
        <f aca="false">IF($DD72&gt;$DC$8,"",VLOOKUP($DD72,$DF$9:$DL$508,7,FALSE()))</f>
        <v/>
      </c>
      <c r="DN72" s="153" t="str">
        <f aca="false">IF($DD72&gt;$DC$8,"",VLOOKUP($DD72,$DF$9:$DL$508,2,FALSE()))</f>
        <v/>
      </c>
      <c r="DO72" s="153" t="str">
        <f aca="false">IF($DD72&gt;$DC$8,"",VLOOKUP($DD72,$DF$9:$DL$508,3,FALSE()))</f>
        <v/>
      </c>
      <c r="DP72" s="153" t="str">
        <f aca="false">IF($DD72&gt;$DC$8,"",VLOOKUP($DD72,$DF$9:$DL$508,4,FALSE()))</f>
        <v/>
      </c>
      <c r="DQ72" s="153" t="str">
        <f aca="false">IF($DD72&gt;$DC$8,"",VLOOKUP($DD72,$DF$9:$DL$508,5,FALSE()))</f>
        <v/>
      </c>
      <c r="DR72" s="154" t="str">
        <f aca="false">IF($DD72&gt;$DC$8,"",VLOOKUP($DD72,$DF$9:$DL$508,6,FALSE()))</f>
        <v/>
      </c>
      <c r="DS72" s="76"/>
    </row>
    <row r="73" customFormat="false" ht="15.75" hidden="false" customHeight="false" outlineLevel="0" collapsed="false">
      <c r="A73" s="9"/>
      <c r="B73" s="160"/>
      <c r="C73" s="161"/>
      <c r="D73" s="162"/>
      <c r="E73" s="180"/>
      <c r="F73" s="164"/>
      <c r="G73" s="165"/>
      <c r="H73" s="165"/>
      <c r="I73" s="181"/>
      <c r="J73" s="168"/>
      <c r="K73" s="128"/>
      <c r="L73" s="129"/>
      <c r="M73" s="130"/>
      <c r="N73" s="168"/>
      <c r="O73" s="168"/>
      <c r="P73" s="180"/>
      <c r="Q73" s="168"/>
      <c r="R73" s="168"/>
      <c r="S73" s="128"/>
      <c r="T73" s="130"/>
      <c r="U73" s="130"/>
      <c r="V73" s="168"/>
      <c r="W73" s="168"/>
      <c r="X73" s="180"/>
      <c r="Y73" s="168"/>
      <c r="Z73" s="169"/>
      <c r="AA73" s="168"/>
      <c r="AB73" s="134"/>
      <c r="AC73" s="135"/>
      <c r="AD73" s="135"/>
      <c r="AE73" s="135"/>
      <c r="AF73" s="135" t="str">
        <f aca="false">IF(ISBLANK($C73),"",IF(E73=Constants!$B$2,TRUE(),IF(E73=Constants!$B$3,FALSE(),TRUE())))</f>
        <v/>
      </c>
      <c r="AG73" s="135" t="str">
        <f aca="false">IF(ISBLANK($C73),"",IF(F73=Constants!$B$2,TRUE(),IF(F73=Constants!$B$3,FALSE(),TRUE())))</f>
        <v/>
      </c>
      <c r="AH73" s="135" t="str">
        <f aca="false">IF(ISBLANK($C73),"",IF(G73=Constants!$B$2,TRUE(),IF(G73=Constants!$B$3,FALSE(),TRUE())))</f>
        <v/>
      </c>
      <c r="AI73" s="135" t="str">
        <f aca="false">IF(ISBLANK($C73),"",IF(AND(ISNUMBER(H73),H73&gt;=0),H73,Constants!$B$24))</f>
        <v/>
      </c>
      <c r="AJ73" s="135" t="str">
        <f aca="false">IF(ISBLANK($C73),"",IF(I73=Constants!$B$2,TRUE(),IF(I73=Constants!$B$3,FALSE(),TRUE())))</f>
        <v/>
      </c>
      <c r="AK73" s="135" t="str">
        <f aca="false">IF(ISBLANK($C73),"",IF(J73=Constants!$B$2,TRUE(),IF(J73=Constants!$B$3,FALSE(),TRUE())))</f>
        <v/>
      </c>
      <c r="AL73" s="135" t="str">
        <f aca="false">IF(ISBLANK($C73),"",IF(K73=Constants!$B$4,TRUE(),IF(K73=Constants!$B$5,FALSE(),COUNTA(L73:P73)&gt;0)))</f>
        <v/>
      </c>
      <c r="AM73" s="136" t="str">
        <f aca="false">IF(ISBLANK($C73),"",IF(ISNUMBER(L73),IF(L73&gt;=0,L73,""),""))</f>
        <v/>
      </c>
      <c r="AN73" s="137" t="str">
        <f aca="false">IF(ISBLANK($C73),"",IF(ISNUMBER(M73),IF(M73&gt;=0,M73,""),""))</f>
        <v/>
      </c>
      <c r="AO73" s="137" t="str">
        <f aca="false">IF(ISBLANK($C73),"",IF(N73=Constants!$B$2,TRUE(),IF(N73=Constants!$B$3,FALSE(),TRUE())))</f>
        <v/>
      </c>
      <c r="AP73" s="135" t="str">
        <f aca="false">IF(ISBLANK($C73),"",IF(ISNUMBER(O73),IF(O73&gt;=0,O73,""),""))</f>
        <v/>
      </c>
      <c r="AQ73" s="135" t="str">
        <f aca="false">IF(ISBLANK($C73),"",IF(P73=Constants!$B$2,TRUE(),IF(P73=Constants!$B$3,FALSE(),FALSE())))</f>
        <v/>
      </c>
      <c r="AR73" s="135" t="str">
        <f aca="false">IF(ISBLANK($C73),"",IF(Q73=Constants!$B$2,TRUE(),IF(Q73=Constants!$B$3,FALSE(),TRUE())))</f>
        <v/>
      </c>
      <c r="AS73" s="135" t="str">
        <f aca="false">IF(ISBLANK($C73),"",IF(R73=Constants!$B$2,TRUE(),IF(R73=Constants!$B$3,FALSE(),TRUE())))</f>
        <v/>
      </c>
      <c r="AT73" s="135" t="str">
        <f aca="false">IF(ISBLANK($C73),"",IF(S73=Constants!$B$4,TRUE(),IF(S73=Constants!$B$5,FALSE(),COUNTA(T73:X73)&gt;0)))</f>
        <v/>
      </c>
      <c r="AU73" s="136" t="str">
        <f aca="false">IF(ISBLANK($C73),"",IF(ISNUMBER(T73),IF(T73&gt;=0,T73,""),""))</f>
        <v/>
      </c>
      <c r="AV73" s="137" t="str">
        <f aca="false">IF(ISBLANK($C73),"",IF(ISNUMBER(U73),IF(U73&gt;=0,U73,""),""))</f>
        <v/>
      </c>
      <c r="AW73" s="137" t="str">
        <f aca="false">IF(ISBLANK($C73),"",IF(V73=Constants!$B$2,TRUE(),IF(V73=Constants!$B$3,FALSE(),TRUE())))</f>
        <v/>
      </c>
      <c r="AX73" s="135" t="str">
        <f aca="false">IF(ISBLANK($C73),"",IF(ISNUMBER(W73),IF(W73&gt;=0,W73,""),""))</f>
        <v/>
      </c>
      <c r="AY73" s="135" t="str">
        <f aca="false">IF(ISBLANK($C73),"",IF(X73=Constants!$B$2,TRUE(),IF(X73=Constants!$B$3,FALSE(),FALSE())))</f>
        <v/>
      </c>
      <c r="AZ73" s="135" t="str">
        <f aca="false">IF(ISBLANK($C73),"",MIN(Constants!$B$25,MAX(0,IF(ISNUMBER(Y73),Y73*60,0)+IF(ISNUMBER(Z73),Z73,0))))</f>
        <v/>
      </c>
      <c r="BA73" s="135" t="str">
        <f aca="false">IF(ISBLANK($C73),"",IF(AA73=Constants!$B$2,TRUE(),IF(AA73=Constants!$B$3,FALSE(),FALSE())))</f>
        <v/>
      </c>
      <c r="BB73" s="134" t="str">
        <f aca="false">IF(ISBLANK($C73),"",AND($AL73,OR($AM73="",$AN73="",AND($AO73,$AP73=""))))</f>
        <v/>
      </c>
      <c r="BC73" s="137" t="str">
        <f aca="false">IF($BX73&lt;&gt;Constants!$B$6,"",IF($AL73,Constants!$B$17*$AN73+Constants!$B$18*IF($AO73,$AP73,Constants!$B$19),Constants!$B$20))</f>
        <v/>
      </c>
      <c r="BD73" s="138" t="str">
        <f aca="false">IF($BX73&lt;&gt;Constants!$B$6,"",Constants!$B$21*ABS($AD$9-IF($AL73,$AM73,0)))</f>
        <v/>
      </c>
      <c r="BE73" s="138" t="str">
        <f aca="false">IF($BX73&lt;&gt;Constants!$B$6,"",IF(AND($AL73,$AQ73,$AO73),Constants!$B$22,0))</f>
        <v/>
      </c>
      <c r="BF73" s="138" t="str">
        <f aca="false">IF($BX73&lt;&gt;Constants!$B$6,"",IF($AL73,($AI73-Constants!$B$24)*Constants!$B$23,0))</f>
        <v/>
      </c>
      <c r="BG73" s="138" t="str">
        <f aca="false">IF($BX73&lt;&gt;Constants!$B$6,"",IF($AK73,0,Constants!$B$12)+IF($AJ73,0,Constants!$B$13)+IF($AH73,0,Constants!$B$14))</f>
        <v/>
      </c>
      <c r="BH73" s="139" t="str">
        <f aca="false">IF($BX73&lt;&gt;Constants!$B$6,"",Constants!$B$16+SUM($BC73:$BG73))</f>
        <v/>
      </c>
      <c r="BI73" s="138" t="str">
        <f aca="false">IF($BX73&lt;&gt;Constants!$B$6,"",$BC73)</f>
        <v/>
      </c>
      <c r="BJ73" s="138" t="str">
        <f aca="false">IF($BX73&lt;&gt;Constants!$B$6,"",$BD73)</f>
        <v/>
      </c>
      <c r="BK73" s="140" t="str">
        <f aca="false">IF($BX73&lt;&gt;Constants!$B$6,"",IF($AL73,$AN73,""))</f>
        <v/>
      </c>
      <c r="BL73" s="135" t="str">
        <f aca="false">IF($BX73&lt;&gt;Constants!$B$6,"",IF(OR($BS73&lt;$BH73,AND($BS73=$BH73,OR($BT73&lt;$BI73,AND($BT73=$BI73,OR($BU73&lt;$BJ73,AND($BU73=$BJ73,AND(ISNUMBER($BV73),OR(NOT(ISNUMBER($BK73)),$BV73&lt;$BK73)))))))),"-&gt;","&lt;-"))</f>
        <v/>
      </c>
      <c r="BM73" s="134" t="str">
        <f aca="false">IF(ISBLANK($C73),"",AND($AT73,OR($AU73="",$AV73="",AND($AW73,$AX73=""))))</f>
        <v/>
      </c>
      <c r="BN73" s="137" t="str">
        <f aca="false">IF($BX73&lt;&gt;Constants!$B$6,"",IF($AT73,Constants!$B$17*$AV73+Constants!$B$18*IF($AW73,$AX73,Constants!$B$19),Constants!$B$20))</f>
        <v/>
      </c>
      <c r="BO73" s="138" t="str">
        <f aca="false">IF($BX73&lt;&gt;Constants!$B$6,"",Constants!$B$21*ABS($AD$9-IF($AT73,$AU73,0)))</f>
        <v/>
      </c>
      <c r="BP73" s="138" t="str">
        <f aca="false">IF($BX73&lt;&gt;Constants!$B$6,"",IF(AND($AT73,$AY73,$AW73),Constants!$B$22,0))</f>
        <v/>
      </c>
      <c r="BQ73" s="138" t="str">
        <f aca="false">IF($BX73&lt;&gt;Constants!$B$6,"",IF($AT73,($AI73-Constants!$B$24)*Constants!$B$23,0))</f>
        <v/>
      </c>
      <c r="BR73" s="138" t="str">
        <f aca="false">IF($BX73&lt;&gt;Constants!$B$6,"",IF($AS73,0,Constants!$B$12)+IF($AR73,0,Constants!$B$13)+IF($AH73,0,Constants!$B$14))</f>
        <v/>
      </c>
      <c r="BS73" s="139" t="str">
        <f aca="false">IF($BX73&lt;&gt;Constants!$B$6,"",Constants!$B$16+SUM($BN73:$BR73))</f>
        <v/>
      </c>
      <c r="BT73" s="138" t="str">
        <f aca="false">IF($BX73&lt;&gt;Constants!$B$6,"",$BN73)</f>
        <v/>
      </c>
      <c r="BU73" s="138" t="str">
        <f aca="false">IF($BX73&lt;&gt;Constants!$B$6,"",$BO73)</f>
        <v/>
      </c>
      <c r="BV73" s="140" t="str">
        <f aca="false">IF($BX73&lt;&gt;Constants!$B$6,"",IF($AT73,$AV73,""))</f>
        <v/>
      </c>
      <c r="BW73" s="135" t="str">
        <f aca="false">IF(ISBLANK($C73),"",IF(ISBLANK($D$7),$BW$5,IF(NOT(ISNUMBER($D$7)),$BW$6,"")))</f>
        <v/>
      </c>
      <c r="BX73" s="135" t="str">
        <f aca="false">IF(ISBLANK($C73),"",IF($BA73,Constants!$B$9,IF(COUNTA($E73:$AA73)=0,Constants!$B$8,IF(NOT($AG73),Constants!$B$7,IF(OR($BW73&lt;&gt;"",$BB73,$BM73),Constants!$B$10,Constants!$B$6)))))</f>
        <v/>
      </c>
      <c r="BY73" s="135" t="str">
        <f aca="false">IF(ISBLANK($C73),"",IF($BX73&lt;&gt;Constants!$B$6,$BX73,Constants!$B$11))</f>
        <v/>
      </c>
      <c r="BZ73" s="138" t="str">
        <f aca="false">IF($BX73&lt;&gt;Constants!$B$6,"",IF($BL73="-&gt;",$BS73,$BH73))</f>
        <v/>
      </c>
      <c r="CA73" s="138" t="str">
        <f aca="false">IF($BX73&lt;&gt;Constants!$B$6,"",IF($AF73,0,Constants!$B$15))</f>
        <v/>
      </c>
      <c r="CB73" s="138" t="str">
        <f aca="false">IF($BX73&lt;&gt;Constants!$B$6,"",((Constants!$B$25-$AZ73)-Constants!$B$25)/Constants!$B$26)</f>
        <v/>
      </c>
      <c r="CC73" s="138" t="str">
        <f aca="false">IF(ISBLANK($C73),"",IF($BX73&lt;&gt;Constants!$B$6,$BX73,SUM($BZ73:$CB73)))</f>
        <v/>
      </c>
      <c r="CD73" s="135" t="str">
        <f aca="false">IF(ISBLANK($C73),"",IF($BX73&lt;&gt;Constants!$B$6,$BX73,RANK($CC73,$CC$9:$CC$508,1)))</f>
        <v/>
      </c>
      <c r="CE73" s="138" t="str">
        <f aca="false">IF($BX73&lt;&gt;Constants!$B$6,"",IF($BL73="-&gt;",$BT73,$BI73))</f>
        <v/>
      </c>
      <c r="CF73" s="135" t="str">
        <f aca="false">IF(ISBLANK($C73),"",IF($BX73&lt;&gt;Constants!$B$6,$BX73,IF(ISNUMBER($CE73),RANK($CE73,$CE$9:$CE$508,1),COUNT($CE$9:$CE$508)+1)))</f>
        <v/>
      </c>
      <c r="CG73" s="138" t="str">
        <f aca="false">IF($BX73&lt;&gt;Constants!$B$6,"",IF($BL73="-&gt;",$BU73,$BJ73))</f>
        <v/>
      </c>
      <c r="CH73" s="135" t="str">
        <f aca="false">IF(ISBLANK($C73),"",IF($BX73&lt;&gt;Constants!$B$6,$BX73,IF(ISNUMBER($CG73),RANK($CG73,$CG$9:$CG$508,1),COUNT($CG$9:$CG$508)+1)))</f>
        <v/>
      </c>
      <c r="CI73" s="138" t="str">
        <f aca="false">IF($BX73&lt;&gt;Constants!$B$6,"",IF($BL73="-&gt;",$BV73,$BK73))</f>
        <v/>
      </c>
      <c r="CJ73" s="135" t="str">
        <f aca="false">IF(ISBLANK($C73),"",IF($BX73&lt;&gt;Constants!$B$6,$BX73,IF(ISNUMBER($CI73),RANK($CI73,$CI$9:$CI$508,1),COUNT($CI$9:$CI$508)+1)))</f>
        <v/>
      </c>
      <c r="CK73" s="138" t="str">
        <f aca="false">IF($BX73&lt;&gt;Constants!$B$6,"",$AI73)</f>
        <v/>
      </c>
      <c r="CL73" s="135" t="str">
        <f aca="false">IF(ISBLANK($C73),"",IF($BX73&lt;&gt;Constants!$B$6,$BX73,IF(ISNUMBER($CK73),RANK($CK73,$CK$9:$CK$508,1),COUNT($CK$9:$CK$508)+1)))</f>
        <v/>
      </c>
      <c r="CM73" s="135" t="str">
        <f aca="false">IF(ISBLANK($C73),"",IF($BX73&lt;&gt;Constants!$B$6,$BX73,COUNTIFS($CD$9:$CD$508,"&lt;"&amp;$CD73)+COUNTIFS($CD$9:$CD$508,$CD73,$CF$9:$CF$508,"&lt;"&amp;$CF73)+COUNTIFS($CD$9:$CD$508,$CD73,$CF$9:$CF$508,$CF73,$CH$9:$CH$508,"&lt;"&amp;$CH73)+COUNTIFS($CD$9:$CD$508,$CD73,$CF$9:$CF$508,$CF73,$CH$9:$CH$508,$CH73,$CJ$9:$CJ$508,"&lt;"&amp;$CJ73)+COUNTIFS($CD$9:$CD$508,$CD73,$CF$9:$CF$508,$CF73,$CH$9:$CH$508,$CH73,$CJ$9:$CJ$508,$CJ73,$CL$9:$CL$508,"&lt;"&amp;$CL73)+1))</f>
        <v/>
      </c>
      <c r="CN73" s="135" t="str">
        <f aca="false">IF(ISBLANK($C73),"",IF($BX73&lt;&gt;Constants!$B$6,$BX73,$CD73-$CM73))</f>
        <v/>
      </c>
      <c r="CO73" s="141"/>
      <c r="CP73" s="142"/>
      <c r="CQ73" s="143" t="str">
        <f aca="false">IF(ISBLANK($C73),"",IF($BX73=Constants!$B$10,$BW73,""))</f>
        <v/>
      </c>
      <c r="CR73" s="142" t="str">
        <f aca="false">IF(ISBLANK($C73),"",IF($BX73&lt;&gt;Constants!$B$6,"",IF($BL73="-&gt;",2,1)))</f>
        <v/>
      </c>
      <c r="CS73" s="144" t="str">
        <f aca="false">IF(ISBLANK($C73),"",IF($BX73&lt;&gt;Constants!$B$6,"",IF($BL73="-&gt;",$BN73,$BC73)))</f>
        <v/>
      </c>
      <c r="CT73" s="144" t="str">
        <f aca="false">IF(ISBLANK($C73),"",IF($BX73&lt;&gt;Constants!$B$6,"",IF($BL73="-&gt;",$BO73,$BD73)))</f>
        <v/>
      </c>
      <c r="CU73" s="144" t="str">
        <f aca="false">IF(ISBLANK($C73),"",IF($BX73&lt;&gt;Constants!$B$6,"",IF($BL73="-&gt;",$BP73+$BQ73,$BE73+$BF73)+$CB73))</f>
        <v/>
      </c>
      <c r="CV73" s="144" t="str">
        <f aca="false">IF(ISBLANK($C73),"",IF($BX73&lt;&gt;Constants!$B$6,"",IF($BL73="-&gt;",$BR73,$BG73)+$CA73))</f>
        <v/>
      </c>
      <c r="CW73" s="145" t="str">
        <f aca="false">IF(ISBLANK($C73),"",IF($BX73&lt;&gt;Constants!$B$6,$BX73,$CC73))</f>
        <v/>
      </c>
      <c r="CX73" s="146" t="str">
        <f aca="false">IF(ISBLANK($C73),"",$BY73)</f>
        <v/>
      </c>
      <c r="CY73" s="147" t="str">
        <f aca="false">IF(ISBLANK($C73),"",$CN73)</f>
        <v/>
      </c>
      <c r="CZ73" s="147" t="str">
        <f aca="false">IF(ISBLANK($C73),"",$CM73)</f>
        <v/>
      </c>
      <c r="DA73" s="148" t="str">
        <f aca="false">IF(ISBLANK($C73),"",IFERROR(_xlfn.SWITCH($CZ73,Constants!$B$9,COUNTA($C$9:$C$508)+2,Constants!$B$8,COUNTA($C$9:$C$508)+1,Constants!$B$7,COUNTA($C$9:$C$508)),$CZ73))</f>
        <v/>
      </c>
      <c r="DB73" s="9"/>
      <c r="DC73" s="149" t="n">
        <f aca="false">IF(OR(ISNUMBER($CZ73),$CZ73=Constants!$B$9,$CZ73=Constants!$B$7,$CZ73=Constants!$B$8),1,0)</f>
        <v>0</v>
      </c>
      <c r="DD73" s="149" t="n">
        <v>65</v>
      </c>
      <c r="DE73" s="149" t="str">
        <f aca="false">IF(ISBLANK($C73),"",IF(ISNUMBER($DA73),$DA73+ROW($B73)/1000,""))</f>
        <v/>
      </c>
      <c r="DF73" s="149" t="str">
        <f aca="false">IF(ISNUMBER($DE73),RANK($DE73,$DE$9:$DE$508,1),"")</f>
        <v/>
      </c>
      <c r="DG73" s="149" t="str">
        <f aca="false">IF(ISBLANK($C73),"",$B73)</f>
        <v/>
      </c>
      <c r="DH73" s="149" t="str">
        <f aca="false">IF(ISBLANK($C73),"",$C73)</f>
        <v/>
      </c>
      <c r="DI73" s="149" t="str">
        <f aca="false">IF(ISBLANK($C73),"",$D73)</f>
        <v/>
      </c>
      <c r="DJ73" s="150" t="str">
        <f aca="false">$CX73</f>
        <v/>
      </c>
      <c r="DK73" s="151" t="str">
        <f aca="false">$CW73</f>
        <v/>
      </c>
      <c r="DL73" s="149" t="str">
        <f aca="false">IF(ISBLANK($C73),"",$CZ73)</f>
        <v/>
      </c>
      <c r="DM73" s="152" t="str">
        <f aca="false">IF($DD73&gt;$DC$8,"",VLOOKUP($DD73,$DF$9:$DL$508,7,FALSE()))</f>
        <v/>
      </c>
      <c r="DN73" s="153" t="str">
        <f aca="false">IF($DD73&gt;$DC$8,"",VLOOKUP($DD73,$DF$9:$DL$508,2,FALSE()))</f>
        <v/>
      </c>
      <c r="DO73" s="153" t="str">
        <f aca="false">IF($DD73&gt;$DC$8,"",VLOOKUP($DD73,$DF$9:$DL$508,3,FALSE()))</f>
        <v/>
      </c>
      <c r="DP73" s="153" t="str">
        <f aca="false">IF($DD73&gt;$DC$8,"",VLOOKUP($DD73,$DF$9:$DL$508,4,FALSE()))</f>
        <v/>
      </c>
      <c r="DQ73" s="153" t="str">
        <f aca="false">IF($DD73&gt;$DC$8,"",VLOOKUP($DD73,$DF$9:$DL$508,5,FALSE()))</f>
        <v/>
      </c>
      <c r="DR73" s="154" t="str">
        <f aca="false">IF($DD73&gt;$DC$8,"",VLOOKUP($DD73,$DF$9:$DL$508,6,FALSE()))</f>
        <v/>
      </c>
      <c r="DS73" s="76"/>
    </row>
    <row r="74" customFormat="false" ht="15.75" hidden="false" customHeight="false" outlineLevel="0" collapsed="false">
      <c r="A74" s="9"/>
      <c r="B74" s="160"/>
      <c r="C74" s="161"/>
      <c r="D74" s="162"/>
      <c r="E74" s="180"/>
      <c r="F74" s="164"/>
      <c r="G74" s="165"/>
      <c r="H74" s="165"/>
      <c r="I74" s="181"/>
      <c r="J74" s="168"/>
      <c r="K74" s="128"/>
      <c r="L74" s="129"/>
      <c r="M74" s="130"/>
      <c r="N74" s="168"/>
      <c r="O74" s="168"/>
      <c r="P74" s="180"/>
      <c r="Q74" s="168"/>
      <c r="R74" s="168"/>
      <c r="S74" s="128"/>
      <c r="T74" s="130"/>
      <c r="U74" s="130"/>
      <c r="V74" s="168"/>
      <c r="W74" s="168"/>
      <c r="X74" s="180"/>
      <c r="Y74" s="168"/>
      <c r="Z74" s="169"/>
      <c r="AA74" s="168"/>
      <c r="AB74" s="134"/>
      <c r="AC74" s="135"/>
      <c r="AD74" s="135"/>
      <c r="AE74" s="135"/>
      <c r="AF74" s="135" t="str">
        <f aca="false">IF(ISBLANK($C74),"",IF(E74=Constants!$B$2,TRUE(),IF(E74=Constants!$B$3,FALSE(),TRUE())))</f>
        <v/>
      </c>
      <c r="AG74" s="135" t="str">
        <f aca="false">IF(ISBLANK($C74),"",IF(F74=Constants!$B$2,TRUE(),IF(F74=Constants!$B$3,FALSE(),TRUE())))</f>
        <v/>
      </c>
      <c r="AH74" s="135" t="str">
        <f aca="false">IF(ISBLANK($C74),"",IF(G74=Constants!$B$2,TRUE(),IF(G74=Constants!$B$3,FALSE(),TRUE())))</f>
        <v/>
      </c>
      <c r="AI74" s="135" t="str">
        <f aca="false">IF(ISBLANK($C74),"",IF(AND(ISNUMBER(H74),H74&gt;=0),H74,Constants!$B$24))</f>
        <v/>
      </c>
      <c r="AJ74" s="135" t="str">
        <f aca="false">IF(ISBLANK($C74),"",IF(I74=Constants!$B$2,TRUE(),IF(I74=Constants!$B$3,FALSE(),TRUE())))</f>
        <v/>
      </c>
      <c r="AK74" s="135" t="str">
        <f aca="false">IF(ISBLANK($C74),"",IF(J74=Constants!$B$2,TRUE(),IF(J74=Constants!$B$3,FALSE(),TRUE())))</f>
        <v/>
      </c>
      <c r="AL74" s="135" t="str">
        <f aca="false">IF(ISBLANK($C74),"",IF(K74=Constants!$B$4,TRUE(),IF(K74=Constants!$B$5,FALSE(),COUNTA(L74:P74)&gt;0)))</f>
        <v/>
      </c>
      <c r="AM74" s="136" t="str">
        <f aca="false">IF(ISBLANK($C74),"",IF(ISNUMBER(L74),IF(L74&gt;=0,L74,""),""))</f>
        <v/>
      </c>
      <c r="AN74" s="137" t="str">
        <f aca="false">IF(ISBLANK($C74),"",IF(ISNUMBER(M74),IF(M74&gt;=0,M74,""),""))</f>
        <v/>
      </c>
      <c r="AO74" s="137" t="str">
        <f aca="false">IF(ISBLANK($C74),"",IF(N74=Constants!$B$2,TRUE(),IF(N74=Constants!$B$3,FALSE(),TRUE())))</f>
        <v/>
      </c>
      <c r="AP74" s="135" t="str">
        <f aca="false">IF(ISBLANK($C74),"",IF(ISNUMBER(O74),IF(O74&gt;=0,O74,""),""))</f>
        <v/>
      </c>
      <c r="AQ74" s="135" t="str">
        <f aca="false">IF(ISBLANK($C74),"",IF(P74=Constants!$B$2,TRUE(),IF(P74=Constants!$B$3,FALSE(),FALSE())))</f>
        <v/>
      </c>
      <c r="AR74" s="135" t="str">
        <f aca="false">IF(ISBLANK($C74),"",IF(Q74=Constants!$B$2,TRUE(),IF(Q74=Constants!$B$3,FALSE(),TRUE())))</f>
        <v/>
      </c>
      <c r="AS74" s="135" t="str">
        <f aca="false">IF(ISBLANK($C74),"",IF(R74=Constants!$B$2,TRUE(),IF(R74=Constants!$B$3,FALSE(),TRUE())))</f>
        <v/>
      </c>
      <c r="AT74" s="135" t="str">
        <f aca="false">IF(ISBLANK($C74),"",IF(S74=Constants!$B$4,TRUE(),IF(S74=Constants!$B$5,FALSE(),COUNTA(T74:X74)&gt;0)))</f>
        <v/>
      </c>
      <c r="AU74" s="136" t="str">
        <f aca="false">IF(ISBLANK($C74),"",IF(ISNUMBER(T74),IF(T74&gt;=0,T74,""),""))</f>
        <v/>
      </c>
      <c r="AV74" s="137" t="str">
        <f aca="false">IF(ISBLANK($C74),"",IF(ISNUMBER(U74),IF(U74&gt;=0,U74,""),""))</f>
        <v/>
      </c>
      <c r="AW74" s="137" t="str">
        <f aca="false">IF(ISBLANK($C74),"",IF(V74=Constants!$B$2,TRUE(),IF(V74=Constants!$B$3,FALSE(),TRUE())))</f>
        <v/>
      </c>
      <c r="AX74" s="135" t="str">
        <f aca="false">IF(ISBLANK($C74),"",IF(ISNUMBER(W74),IF(W74&gt;=0,W74,""),""))</f>
        <v/>
      </c>
      <c r="AY74" s="135" t="str">
        <f aca="false">IF(ISBLANK($C74),"",IF(X74=Constants!$B$2,TRUE(),IF(X74=Constants!$B$3,FALSE(),FALSE())))</f>
        <v/>
      </c>
      <c r="AZ74" s="135" t="str">
        <f aca="false">IF(ISBLANK($C74),"",MIN(Constants!$B$25,MAX(0,IF(ISNUMBER(Y74),Y74*60,0)+IF(ISNUMBER(Z74),Z74,0))))</f>
        <v/>
      </c>
      <c r="BA74" s="135" t="str">
        <f aca="false">IF(ISBLANK($C74),"",IF(AA74=Constants!$B$2,TRUE(),IF(AA74=Constants!$B$3,FALSE(),FALSE())))</f>
        <v/>
      </c>
      <c r="BB74" s="134" t="str">
        <f aca="false">IF(ISBLANK($C74),"",AND($AL74,OR($AM74="",$AN74="",AND($AO74,$AP74=""))))</f>
        <v/>
      </c>
      <c r="BC74" s="137" t="str">
        <f aca="false">IF($BX74&lt;&gt;Constants!$B$6,"",IF($AL74,Constants!$B$17*$AN74+Constants!$B$18*IF($AO74,$AP74,Constants!$B$19),Constants!$B$20))</f>
        <v/>
      </c>
      <c r="BD74" s="138" t="str">
        <f aca="false">IF($BX74&lt;&gt;Constants!$B$6,"",Constants!$B$21*ABS($AD$9-IF($AL74,$AM74,0)))</f>
        <v/>
      </c>
      <c r="BE74" s="138" t="str">
        <f aca="false">IF($BX74&lt;&gt;Constants!$B$6,"",IF(AND($AL74,$AQ74,$AO74),Constants!$B$22,0))</f>
        <v/>
      </c>
      <c r="BF74" s="138" t="str">
        <f aca="false">IF($BX74&lt;&gt;Constants!$B$6,"",IF($AL74,($AI74-Constants!$B$24)*Constants!$B$23,0))</f>
        <v/>
      </c>
      <c r="BG74" s="138" t="str">
        <f aca="false">IF($BX74&lt;&gt;Constants!$B$6,"",IF($AK74,0,Constants!$B$12)+IF($AJ74,0,Constants!$B$13)+IF($AH74,0,Constants!$B$14))</f>
        <v/>
      </c>
      <c r="BH74" s="139" t="str">
        <f aca="false">IF($BX74&lt;&gt;Constants!$B$6,"",Constants!$B$16+SUM($BC74:$BG74))</f>
        <v/>
      </c>
      <c r="BI74" s="138" t="str">
        <f aca="false">IF($BX74&lt;&gt;Constants!$B$6,"",$BC74)</f>
        <v/>
      </c>
      <c r="BJ74" s="138" t="str">
        <f aca="false">IF($BX74&lt;&gt;Constants!$B$6,"",$BD74)</f>
        <v/>
      </c>
      <c r="BK74" s="140" t="str">
        <f aca="false">IF($BX74&lt;&gt;Constants!$B$6,"",IF($AL74,$AN74,""))</f>
        <v/>
      </c>
      <c r="BL74" s="135" t="str">
        <f aca="false">IF($BX74&lt;&gt;Constants!$B$6,"",IF(OR($BS74&lt;$BH74,AND($BS74=$BH74,OR($BT74&lt;$BI74,AND($BT74=$BI74,OR($BU74&lt;$BJ74,AND($BU74=$BJ74,AND(ISNUMBER($BV74),OR(NOT(ISNUMBER($BK74)),$BV74&lt;$BK74)))))))),"-&gt;","&lt;-"))</f>
        <v/>
      </c>
      <c r="BM74" s="134" t="str">
        <f aca="false">IF(ISBLANK($C74),"",AND($AT74,OR($AU74="",$AV74="",AND($AW74,$AX74=""))))</f>
        <v/>
      </c>
      <c r="BN74" s="137" t="str">
        <f aca="false">IF($BX74&lt;&gt;Constants!$B$6,"",IF($AT74,Constants!$B$17*$AV74+Constants!$B$18*IF($AW74,$AX74,Constants!$B$19),Constants!$B$20))</f>
        <v/>
      </c>
      <c r="BO74" s="138" t="str">
        <f aca="false">IF($BX74&lt;&gt;Constants!$B$6,"",Constants!$B$21*ABS($AD$9-IF($AT74,$AU74,0)))</f>
        <v/>
      </c>
      <c r="BP74" s="138" t="str">
        <f aca="false">IF($BX74&lt;&gt;Constants!$B$6,"",IF(AND($AT74,$AY74,$AW74),Constants!$B$22,0))</f>
        <v/>
      </c>
      <c r="BQ74" s="138" t="str">
        <f aca="false">IF($BX74&lt;&gt;Constants!$B$6,"",IF($AT74,($AI74-Constants!$B$24)*Constants!$B$23,0))</f>
        <v/>
      </c>
      <c r="BR74" s="138" t="str">
        <f aca="false">IF($BX74&lt;&gt;Constants!$B$6,"",IF($AS74,0,Constants!$B$12)+IF($AR74,0,Constants!$B$13)+IF($AH74,0,Constants!$B$14))</f>
        <v/>
      </c>
      <c r="BS74" s="139" t="str">
        <f aca="false">IF($BX74&lt;&gt;Constants!$B$6,"",Constants!$B$16+SUM($BN74:$BR74))</f>
        <v/>
      </c>
      <c r="BT74" s="138" t="str">
        <f aca="false">IF($BX74&lt;&gt;Constants!$B$6,"",$BN74)</f>
        <v/>
      </c>
      <c r="BU74" s="138" t="str">
        <f aca="false">IF($BX74&lt;&gt;Constants!$B$6,"",$BO74)</f>
        <v/>
      </c>
      <c r="BV74" s="140" t="str">
        <f aca="false">IF($BX74&lt;&gt;Constants!$B$6,"",IF($AT74,$AV74,""))</f>
        <v/>
      </c>
      <c r="BW74" s="135" t="str">
        <f aca="false">IF(ISBLANK($C74),"",IF(ISBLANK($D$7),$BW$5,IF(NOT(ISNUMBER($D$7)),$BW$6,"")))</f>
        <v/>
      </c>
      <c r="BX74" s="135" t="str">
        <f aca="false">IF(ISBLANK($C74),"",IF($BA74,Constants!$B$9,IF(COUNTA($E74:$AA74)=0,Constants!$B$8,IF(NOT($AG74),Constants!$B$7,IF(OR($BW74&lt;&gt;"",$BB74,$BM74),Constants!$B$10,Constants!$B$6)))))</f>
        <v/>
      </c>
      <c r="BY74" s="135" t="str">
        <f aca="false">IF(ISBLANK($C74),"",IF($BX74&lt;&gt;Constants!$B$6,$BX74,Constants!$B$11))</f>
        <v/>
      </c>
      <c r="BZ74" s="138" t="str">
        <f aca="false">IF($BX74&lt;&gt;Constants!$B$6,"",IF($BL74="-&gt;",$BS74,$BH74))</f>
        <v/>
      </c>
      <c r="CA74" s="138" t="str">
        <f aca="false">IF($BX74&lt;&gt;Constants!$B$6,"",IF($AF74,0,Constants!$B$15))</f>
        <v/>
      </c>
      <c r="CB74" s="138" t="str">
        <f aca="false">IF($BX74&lt;&gt;Constants!$B$6,"",((Constants!$B$25-$AZ74)-Constants!$B$25)/Constants!$B$26)</f>
        <v/>
      </c>
      <c r="CC74" s="138" t="str">
        <f aca="false">IF(ISBLANK($C74),"",IF($BX74&lt;&gt;Constants!$B$6,$BX74,SUM($BZ74:$CB74)))</f>
        <v/>
      </c>
      <c r="CD74" s="135" t="str">
        <f aca="false">IF(ISBLANK($C74),"",IF($BX74&lt;&gt;Constants!$B$6,$BX74,RANK($CC74,$CC$9:$CC$508,1)))</f>
        <v/>
      </c>
      <c r="CE74" s="138" t="str">
        <f aca="false">IF($BX74&lt;&gt;Constants!$B$6,"",IF($BL74="-&gt;",$BT74,$BI74))</f>
        <v/>
      </c>
      <c r="CF74" s="135" t="str">
        <f aca="false">IF(ISBLANK($C74),"",IF($BX74&lt;&gt;Constants!$B$6,$BX74,IF(ISNUMBER($CE74),RANK($CE74,$CE$9:$CE$508,1),COUNT($CE$9:$CE$508)+1)))</f>
        <v/>
      </c>
      <c r="CG74" s="138" t="str">
        <f aca="false">IF($BX74&lt;&gt;Constants!$B$6,"",IF($BL74="-&gt;",$BU74,$BJ74))</f>
        <v/>
      </c>
      <c r="CH74" s="135" t="str">
        <f aca="false">IF(ISBLANK($C74),"",IF($BX74&lt;&gt;Constants!$B$6,$BX74,IF(ISNUMBER($CG74),RANK($CG74,$CG$9:$CG$508,1),COUNT($CG$9:$CG$508)+1)))</f>
        <v/>
      </c>
      <c r="CI74" s="138" t="str">
        <f aca="false">IF($BX74&lt;&gt;Constants!$B$6,"",IF($BL74="-&gt;",$BV74,$BK74))</f>
        <v/>
      </c>
      <c r="CJ74" s="135" t="str">
        <f aca="false">IF(ISBLANK($C74),"",IF($BX74&lt;&gt;Constants!$B$6,$BX74,IF(ISNUMBER($CI74),RANK($CI74,$CI$9:$CI$508,1),COUNT($CI$9:$CI$508)+1)))</f>
        <v/>
      </c>
      <c r="CK74" s="138" t="str">
        <f aca="false">IF($BX74&lt;&gt;Constants!$B$6,"",$AI74)</f>
        <v/>
      </c>
      <c r="CL74" s="135" t="str">
        <f aca="false">IF(ISBLANK($C74),"",IF($BX74&lt;&gt;Constants!$B$6,$BX74,IF(ISNUMBER($CK74),RANK($CK74,$CK$9:$CK$508,1),COUNT($CK$9:$CK$508)+1)))</f>
        <v/>
      </c>
      <c r="CM74" s="135" t="str">
        <f aca="false">IF(ISBLANK($C74),"",IF($BX74&lt;&gt;Constants!$B$6,$BX74,COUNTIFS($CD$9:$CD$508,"&lt;"&amp;$CD74)+COUNTIFS($CD$9:$CD$508,$CD74,$CF$9:$CF$508,"&lt;"&amp;$CF74)+COUNTIFS($CD$9:$CD$508,$CD74,$CF$9:$CF$508,$CF74,$CH$9:$CH$508,"&lt;"&amp;$CH74)+COUNTIFS($CD$9:$CD$508,$CD74,$CF$9:$CF$508,$CF74,$CH$9:$CH$508,$CH74,$CJ$9:$CJ$508,"&lt;"&amp;$CJ74)+COUNTIFS($CD$9:$CD$508,$CD74,$CF$9:$CF$508,$CF74,$CH$9:$CH$508,$CH74,$CJ$9:$CJ$508,$CJ74,$CL$9:$CL$508,"&lt;"&amp;$CL74)+1))</f>
        <v/>
      </c>
      <c r="CN74" s="135" t="str">
        <f aca="false">IF(ISBLANK($C74),"",IF($BX74&lt;&gt;Constants!$B$6,$BX74,$CD74-$CM74))</f>
        <v/>
      </c>
      <c r="CO74" s="141"/>
      <c r="CP74" s="142"/>
      <c r="CQ74" s="143" t="str">
        <f aca="false">IF(ISBLANK($C74),"",IF($BX74=Constants!$B$10,$BW74,""))</f>
        <v/>
      </c>
      <c r="CR74" s="142" t="str">
        <f aca="false">IF(ISBLANK($C74),"",IF($BX74&lt;&gt;Constants!$B$6,"",IF($BL74="-&gt;",2,1)))</f>
        <v/>
      </c>
      <c r="CS74" s="144" t="str">
        <f aca="false">IF(ISBLANK($C74),"",IF($BX74&lt;&gt;Constants!$B$6,"",IF($BL74="-&gt;",$BN74,$BC74)))</f>
        <v/>
      </c>
      <c r="CT74" s="144" t="str">
        <f aca="false">IF(ISBLANK($C74),"",IF($BX74&lt;&gt;Constants!$B$6,"",IF($BL74="-&gt;",$BO74,$BD74)))</f>
        <v/>
      </c>
      <c r="CU74" s="144" t="str">
        <f aca="false">IF(ISBLANK($C74),"",IF($BX74&lt;&gt;Constants!$B$6,"",IF($BL74="-&gt;",$BP74+$BQ74,$BE74+$BF74)+$CB74))</f>
        <v/>
      </c>
      <c r="CV74" s="144" t="str">
        <f aca="false">IF(ISBLANK($C74),"",IF($BX74&lt;&gt;Constants!$B$6,"",IF($BL74="-&gt;",$BR74,$BG74)+$CA74))</f>
        <v/>
      </c>
      <c r="CW74" s="145" t="str">
        <f aca="false">IF(ISBLANK($C74),"",IF($BX74&lt;&gt;Constants!$B$6,$BX74,$CC74))</f>
        <v/>
      </c>
      <c r="CX74" s="146" t="str">
        <f aca="false">IF(ISBLANK($C74),"",$BY74)</f>
        <v/>
      </c>
      <c r="CY74" s="147" t="str">
        <f aca="false">IF(ISBLANK($C74),"",$CN74)</f>
        <v/>
      </c>
      <c r="CZ74" s="147" t="str">
        <f aca="false">IF(ISBLANK($C74),"",$CM74)</f>
        <v/>
      </c>
      <c r="DA74" s="148" t="str">
        <f aca="false">IF(ISBLANK($C74),"",IFERROR(_xlfn.SWITCH($CZ74,Constants!$B$9,COUNTA($C$9:$C$508)+2,Constants!$B$8,COUNTA($C$9:$C$508)+1,Constants!$B$7,COUNTA($C$9:$C$508)),$CZ74))</f>
        <v/>
      </c>
      <c r="DB74" s="9"/>
      <c r="DC74" s="149" t="n">
        <f aca="false">IF(OR(ISNUMBER($CZ74),$CZ74=Constants!$B$9,$CZ74=Constants!$B$7,$CZ74=Constants!$B$8),1,0)</f>
        <v>0</v>
      </c>
      <c r="DD74" s="149" t="n">
        <v>66</v>
      </c>
      <c r="DE74" s="149" t="str">
        <f aca="false">IF(ISBLANK($C74),"",IF(ISNUMBER($DA74),$DA74+ROW($B74)/1000,""))</f>
        <v/>
      </c>
      <c r="DF74" s="149" t="str">
        <f aca="false">IF(ISNUMBER($DE74),RANK($DE74,$DE$9:$DE$508,1),"")</f>
        <v/>
      </c>
      <c r="DG74" s="149" t="str">
        <f aca="false">IF(ISBLANK($C74),"",$B74)</f>
        <v/>
      </c>
      <c r="DH74" s="149" t="str">
        <f aca="false">IF(ISBLANK($C74),"",$C74)</f>
        <v/>
      </c>
      <c r="DI74" s="149" t="str">
        <f aca="false">IF(ISBLANK($C74),"",$D74)</f>
        <v/>
      </c>
      <c r="DJ74" s="150" t="str">
        <f aca="false">$CX74</f>
        <v/>
      </c>
      <c r="DK74" s="151" t="str">
        <f aca="false">$CW74</f>
        <v/>
      </c>
      <c r="DL74" s="149" t="str">
        <f aca="false">IF(ISBLANK($C74),"",$CZ74)</f>
        <v/>
      </c>
      <c r="DM74" s="152" t="str">
        <f aca="false">IF($DD74&gt;$DC$8,"",VLOOKUP($DD74,$DF$9:$DL$508,7,FALSE()))</f>
        <v/>
      </c>
      <c r="DN74" s="153" t="str">
        <f aca="false">IF($DD74&gt;$DC$8,"",VLOOKUP($DD74,$DF$9:$DL$508,2,FALSE()))</f>
        <v/>
      </c>
      <c r="DO74" s="153" t="str">
        <f aca="false">IF($DD74&gt;$DC$8,"",VLOOKUP($DD74,$DF$9:$DL$508,3,FALSE()))</f>
        <v/>
      </c>
      <c r="DP74" s="153" t="str">
        <f aca="false">IF($DD74&gt;$DC$8,"",VLOOKUP($DD74,$DF$9:$DL$508,4,FALSE()))</f>
        <v/>
      </c>
      <c r="DQ74" s="153" t="str">
        <f aca="false">IF($DD74&gt;$DC$8,"",VLOOKUP($DD74,$DF$9:$DL$508,5,FALSE()))</f>
        <v/>
      </c>
      <c r="DR74" s="154" t="str">
        <f aca="false">IF($DD74&gt;$DC$8,"",VLOOKUP($DD74,$DF$9:$DL$508,6,FALSE()))</f>
        <v/>
      </c>
      <c r="DS74" s="76"/>
    </row>
    <row r="75" customFormat="false" ht="15.75" hidden="false" customHeight="false" outlineLevel="0" collapsed="false">
      <c r="A75" s="9"/>
      <c r="B75" s="78"/>
      <c r="C75" s="79"/>
      <c r="D75" s="170"/>
      <c r="E75" s="178"/>
      <c r="F75" s="172"/>
      <c r="G75" s="173"/>
      <c r="H75" s="173"/>
      <c r="I75" s="179"/>
      <c r="J75" s="176"/>
      <c r="K75" s="86"/>
      <c r="L75" s="87"/>
      <c r="M75" s="88"/>
      <c r="N75" s="176"/>
      <c r="O75" s="176"/>
      <c r="P75" s="178"/>
      <c r="Q75" s="176"/>
      <c r="R75" s="176"/>
      <c r="S75" s="86"/>
      <c r="T75" s="88"/>
      <c r="U75" s="88"/>
      <c r="V75" s="176"/>
      <c r="W75" s="176"/>
      <c r="X75" s="178"/>
      <c r="Y75" s="176"/>
      <c r="Z75" s="177"/>
      <c r="AA75" s="176"/>
      <c r="AB75" s="92"/>
      <c r="AC75" s="93"/>
      <c r="AD75" s="93"/>
      <c r="AE75" s="93"/>
      <c r="AF75" s="93" t="str">
        <f aca="false">IF(ISBLANK($C75),"",IF(E75=Constants!$B$2,TRUE(),IF(E75=Constants!$B$3,FALSE(),TRUE())))</f>
        <v/>
      </c>
      <c r="AG75" s="93" t="str">
        <f aca="false">IF(ISBLANK($C75),"",IF(F75=Constants!$B$2,TRUE(),IF(F75=Constants!$B$3,FALSE(),TRUE())))</f>
        <v/>
      </c>
      <c r="AH75" s="93" t="str">
        <f aca="false">IF(ISBLANK($C75),"",IF(G75=Constants!$B$2,TRUE(),IF(G75=Constants!$B$3,FALSE(),TRUE())))</f>
        <v/>
      </c>
      <c r="AI75" s="93" t="str">
        <f aca="false">IF(ISBLANK($C75),"",IF(AND(ISNUMBER(H75),H75&gt;=0),H75,Constants!$B$24))</f>
        <v/>
      </c>
      <c r="AJ75" s="93" t="str">
        <f aca="false">IF(ISBLANK($C75),"",IF(I75=Constants!$B$2,TRUE(),IF(I75=Constants!$B$3,FALSE(),TRUE())))</f>
        <v/>
      </c>
      <c r="AK75" s="93" t="str">
        <f aca="false">IF(ISBLANK($C75),"",IF(J75=Constants!$B$2,TRUE(),IF(J75=Constants!$B$3,FALSE(),TRUE())))</f>
        <v/>
      </c>
      <c r="AL75" s="93" t="str">
        <f aca="false">IF(ISBLANK($C75),"",IF(K75=Constants!$B$4,TRUE(),IF(K75=Constants!$B$5,FALSE(),COUNTA(L75:P75)&gt;0)))</f>
        <v/>
      </c>
      <c r="AM75" s="95" t="str">
        <f aca="false">IF(ISBLANK($C75),"",IF(ISNUMBER(L75),IF(L75&gt;=0,L75,""),""))</f>
        <v/>
      </c>
      <c r="AN75" s="94" t="str">
        <f aca="false">IF(ISBLANK($C75),"",IF(ISNUMBER(M75),IF(M75&gt;=0,M75,""),""))</f>
        <v/>
      </c>
      <c r="AO75" s="94" t="str">
        <f aca="false">IF(ISBLANK($C75),"",IF(N75=Constants!$B$2,TRUE(),IF(N75=Constants!$B$3,FALSE(),TRUE())))</f>
        <v/>
      </c>
      <c r="AP75" s="93" t="str">
        <f aca="false">IF(ISBLANK($C75),"",IF(ISNUMBER(O75),IF(O75&gt;=0,O75,""),""))</f>
        <v/>
      </c>
      <c r="AQ75" s="93" t="str">
        <f aca="false">IF(ISBLANK($C75),"",IF(P75=Constants!$B$2,TRUE(),IF(P75=Constants!$B$3,FALSE(),FALSE())))</f>
        <v/>
      </c>
      <c r="AR75" s="93" t="str">
        <f aca="false">IF(ISBLANK($C75),"",IF(Q75=Constants!$B$2,TRUE(),IF(Q75=Constants!$B$3,FALSE(),TRUE())))</f>
        <v/>
      </c>
      <c r="AS75" s="93" t="str">
        <f aca="false">IF(ISBLANK($C75),"",IF(R75=Constants!$B$2,TRUE(),IF(R75=Constants!$B$3,FALSE(),TRUE())))</f>
        <v/>
      </c>
      <c r="AT75" s="93" t="str">
        <f aca="false">IF(ISBLANK($C75),"",IF(S75=Constants!$B$4,TRUE(),IF(S75=Constants!$B$5,FALSE(),COUNTA(T75:X75)&gt;0)))</f>
        <v/>
      </c>
      <c r="AU75" s="95" t="str">
        <f aca="false">IF(ISBLANK($C75),"",IF(ISNUMBER(T75),IF(T75&gt;=0,T75,""),""))</f>
        <v/>
      </c>
      <c r="AV75" s="94" t="str">
        <f aca="false">IF(ISBLANK($C75),"",IF(ISNUMBER(U75),IF(U75&gt;=0,U75,""),""))</f>
        <v/>
      </c>
      <c r="AW75" s="94" t="str">
        <f aca="false">IF(ISBLANK($C75),"",IF(V75=Constants!$B$2,TRUE(),IF(V75=Constants!$B$3,FALSE(),TRUE())))</f>
        <v/>
      </c>
      <c r="AX75" s="93" t="str">
        <f aca="false">IF(ISBLANK($C75),"",IF(ISNUMBER(W75),IF(W75&gt;=0,W75,""),""))</f>
        <v/>
      </c>
      <c r="AY75" s="93" t="str">
        <f aca="false">IF(ISBLANK($C75),"",IF(X75=Constants!$B$2,TRUE(),IF(X75=Constants!$B$3,FALSE(),FALSE())))</f>
        <v/>
      </c>
      <c r="AZ75" s="93" t="str">
        <f aca="false">IF(ISBLANK($C75),"",MIN(Constants!$B$25,MAX(0,IF(ISNUMBER(Y75),Y75*60,0)+IF(ISNUMBER(Z75),Z75,0))))</f>
        <v/>
      </c>
      <c r="BA75" s="93" t="str">
        <f aca="false">IF(ISBLANK($C75),"",IF(AA75=Constants!$B$2,TRUE(),IF(AA75=Constants!$B$3,FALSE(),FALSE())))</f>
        <v/>
      </c>
      <c r="BB75" s="92" t="str">
        <f aca="false">IF(ISBLANK($C75),"",AND($AL75,OR($AM75="",$AN75="",AND($AO75,$AP75=""))))</f>
        <v/>
      </c>
      <c r="BC75" s="94" t="str">
        <f aca="false">IF($BX75&lt;&gt;Constants!$B$6,"",IF($AL75,Constants!$B$17*$AN75+Constants!$B$18*IF($AO75,$AP75,Constants!$B$19),Constants!$B$20))</f>
        <v/>
      </c>
      <c r="BD75" s="97" t="str">
        <f aca="false">IF($BX75&lt;&gt;Constants!$B$6,"",Constants!$B$21*ABS($AD$9-IF($AL75,$AM75,0)))</f>
        <v/>
      </c>
      <c r="BE75" s="97" t="str">
        <f aca="false">IF($BX75&lt;&gt;Constants!$B$6,"",IF(AND($AL75,$AQ75,$AO75),Constants!$B$22,0))</f>
        <v/>
      </c>
      <c r="BF75" s="97" t="str">
        <f aca="false">IF($BX75&lt;&gt;Constants!$B$6,"",IF($AL75,($AI75-Constants!$B$24)*Constants!$B$23,0))</f>
        <v/>
      </c>
      <c r="BG75" s="97" t="str">
        <f aca="false">IF($BX75&lt;&gt;Constants!$B$6,"",IF($AK75,0,Constants!$B$12)+IF($AJ75,0,Constants!$B$13)+IF($AH75,0,Constants!$B$14))</f>
        <v/>
      </c>
      <c r="BH75" s="98" t="str">
        <f aca="false">IF($BX75&lt;&gt;Constants!$B$6,"",Constants!$B$16+SUM($BC75:$BG75))</f>
        <v/>
      </c>
      <c r="BI75" s="97" t="str">
        <f aca="false">IF($BX75&lt;&gt;Constants!$B$6,"",$BC75)</f>
        <v/>
      </c>
      <c r="BJ75" s="97" t="str">
        <f aca="false">IF($BX75&lt;&gt;Constants!$B$6,"",$BD75)</f>
        <v/>
      </c>
      <c r="BK75" s="99" t="str">
        <f aca="false">IF($BX75&lt;&gt;Constants!$B$6,"",IF($AL75,$AN75,""))</f>
        <v/>
      </c>
      <c r="BL75" s="93" t="str">
        <f aca="false">IF($BX75&lt;&gt;Constants!$B$6,"",IF(OR($BS75&lt;$BH75,AND($BS75=$BH75,OR($BT75&lt;$BI75,AND($BT75=$BI75,OR($BU75&lt;$BJ75,AND($BU75=$BJ75,AND(ISNUMBER($BV75),OR(NOT(ISNUMBER($BK75)),$BV75&lt;$BK75)))))))),"-&gt;","&lt;-"))</f>
        <v/>
      </c>
      <c r="BM75" s="92" t="str">
        <f aca="false">IF(ISBLANK($C75),"",AND($AT75,OR($AU75="",$AV75="",AND($AW75,$AX75=""))))</f>
        <v/>
      </c>
      <c r="BN75" s="94" t="str">
        <f aca="false">IF($BX75&lt;&gt;Constants!$B$6,"",IF($AT75,Constants!$B$17*$AV75+Constants!$B$18*IF($AW75,$AX75,Constants!$B$19),Constants!$B$20))</f>
        <v/>
      </c>
      <c r="BO75" s="97" t="str">
        <f aca="false">IF($BX75&lt;&gt;Constants!$B$6,"",Constants!$B$21*ABS($AD$9-IF($AT75,$AU75,0)))</f>
        <v/>
      </c>
      <c r="BP75" s="97" t="str">
        <f aca="false">IF($BX75&lt;&gt;Constants!$B$6,"",IF(AND($AT75,$AY75,$AW75),Constants!$B$22,0))</f>
        <v/>
      </c>
      <c r="BQ75" s="97" t="str">
        <f aca="false">IF($BX75&lt;&gt;Constants!$B$6,"",IF($AT75,($AI75-Constants!$B$24)*Constants!$B$23,0))</f>
        <v/>
      </c>
      <c r="BR75" s="97" t="str">
        <f aca="false">IF($BX75&lt;&gt;Constants!$B$6,"",IF($AS75,0,Constants!$B$12)+IF($AR75,0,Constants!$B$13)+IF($AH75,0,Constants!$B$14))</f>
        <v/>
      </c>
      <c r="BS75" s="98" t="str">
        <f aca="false">IF($BX75&lt;&gt;Constants!$B$6,"",Constants!$B$16+SUM($BN75:$BR75))</f>
        <v/>
      </c>
      <c r="BT75" s="97" t="str">
        <f aca="false">IF($BX75&lt;&gt;Constants!$B$6,"",$BN75)</f>
        <v/>
      </c>
      <c r="BU75" s="97" t="str">
        <f aca="false">IF($BX75&lt;&gt;Constants!$B$6,"",$BO75)</f>
        <v/>
      </c>
      <c r="BV75" s="99" t="str">
        <f aca="false">IF($BX75&lt;&gt;Constants!$B$6,"",IF($AT75,$AV75,""))</f>
        <v/>
      </c>
      <c r="BW75" s="93" t="str">
        <f aca="false">IF(ISBLANK($C75),"",IF(ISBLANK($D$7),$BW$5,IF(NOT(ISNUMBER($D$7)),$BW$6,"")))</f>
        <v/>
      </c>
      <c r="BX75" s="93" t="str">
        <f aca="false">IF(ISBLANK($C75),"",IF($BA75,Constants!$B$9,IF(COUNTA($E75:$AA75)=0,Constants!$B$8,IF(NOT($AG75),Constants!$B$7,IF(OR($BW75&lt;&gt;"",$BB75,$BM75),Constants!$B$10,Constants!$B$6)))))</f>
        <v/>
      </c>
      <c r="BY75" s="93" t="str">
        <f aca="false">IF(ISBLANK($C75),"",IF($BX75&lt;&gt;Constants!$B$6,$BX75,Constants!$B$11))</f>
        <v/>
      </c>
      <c r="BZ75" s="97" t="str">
        <f aca="false">IF($BX75&lt;&gt;Constants!$B$6,"",IF($BL75="-&gt;",$BS75,$BH75))</f>
        <v/>
      </c>
      <c r="CA75" s="97" t="str">
        <f aca="false">IF($BX75&lt;&gt;Constants!$B$6,"",IF($AF75,0,Constants!$B$15))</f>
        <v/>
      </c>
      <c r="CB75" s="97" t="str">
        <f aca="false">IF($BX75&lt;&gt;Constants!$B$6,"",((Constants!$B$25-$AZ75)-Constants!$B$25)/Constants!$B$26)</f>
        <v/>
      </c>
      <c r="CC75" s="97" t="str">
        <f aca="false">IF(ISBLANK($C75),"",IF($BX75&lt;&gt;Constants!$B$6,$BX75,SUM($BZ75:$CB75)))</f>
        <v/>
      </c>
      <c r="CD75" s="93" t="str">
        <f aca="false">IF(ISBLANK($C75),"",IF($BX75&lt;&gt;Constants!$B$6,$BX75,RANK($CC75,$CC$9:$CC$508,1)))</f>
        <v/>
      </c>
      <c r="CE75" s="97" t="str">
        <f aca="false">IF($BX75&lt;&gt;Constants!$B$6,"",IF($BL75="-&gt;",$BT75,$BI75))</f>
        <v/>
      </c>
      <c r="CF75" s="93" t="str">
        <f aca="false">IF(ISBLANK($C75),"",IF($BX75&lt;&gt;Constants!$B$6,$BX75,IF(ISNUMBER($CE75),RANK($CE75,$CE$9:$CE$508,1),COUNT($CE$9:$CE$508)+1)))</f>
        <v/>
      </c>
      <c r="CG75" s="97" t="str">
        <f aca="false">IF($BX75&lt;&gt;Constants!$B$6,"",IF($BL75="-&gt;",$BU75,$BJ75))</f>
        <v/>
      </c>
      <c r="CH75" s="93" t="str">
        <f aca="false">IF(ISBLANK($C75),"",IF($BX75&lt;&gt;Constants!$B$6,$BX75,IF(ISNUMBER($CG75),RANK($CG75,$CG$9:$CG$508,1),COUNT($CG$9:$CG$508)+1)))</f>
        <v/>
      </c>
      <c r="CI75" s="97" t="str">
        <f aca="false">IF($BX75&lt;&gt;Constants!$B$6,"",IF($BL75="-&gt;",$BV75,$BK75))</f>
        <v/>
      </c>
      <c r="CJ75" s="93" t="str">
        <f aca="false">IF(ISBLANK($C75),"",IF($BX75&lt;&gt;Constants!$B$6,$BX75,IF(ISNUMBER($CI75),RANK($CI75,$CI$9:$CI$508,1),COUNT($CI$9:$CI$508)+1)))</f>
        <v/>
      </c>
      <c r="CK75" s="97" t="str">
        <f aca="false">IF($BX75&lt;&gt;Constants!$B$6,"",$AI75)</f>
        <v/>
      </c>
      <c r="CL75" s="93" t="str">
        <f aca="false">IF(ISBLANK($C75),"",IF($BX75&lt;&gt;Constants!$B$6,$BX75,IF(ISNUMBER($CK75),RANK($CK75,$CK$9:$CK$508,1),COUNT($CK$9:$CK$508)+1)))</f>
        <v/>
      </c>
      <c r="CM75" s="93" t="str">
        <f aca="false">IF(ISBLANK($C75),"",IF($BX75&lt;&gt;Constants!$B$6,$BX75,COUNTIFS($CD$9:$CD$508,"&lt;"&amp;$CD75)+COUNTIFS($CD$9:$CD$508,$CD75,$CF$9:$CF$508,"&lt;"&amp;$CF75)+COUNTIFS($CD$9:$CD$508,$CD75,$CF$9:$CF$508,$CF75,$CH$9:$CH$508,"&lt;"&amp;$CH75)+COUNTIFS($CD$9:$CD$508,$CD75,$CF$9:$CF$508,$CF75,$CH$9:$CH$508,$CH75,$CJ$9:$CJ$508,"&lt;"&amp;$CJ75)+COUNTIFS($CD$9:$CD$508,$CD75,$CF$9:$CF$508,$CF75,$CH$9:$CH$508,$CH75,$CJ$9:$CJ$508,$CJ75,$CL$9:$CL$508,"&lt;"&amp;$CL75)+1))</f>
        <v/>
      </c>
      <c r="CN75" s="93" t="str">
        <f aca="false">IF(ISBLANK($C75),"",IF($BX75&lt;&gt;Constants!$B$6,$BX75,$CD75-$CM75))</f>
        <v/>
      </c>
      <c r="CO75" s="100"/>
      <c r="CP75" s="101"/>
      <c r="CQ75" s="102" t="str">
        <f aca="false">IF(ISBLANK($C75),"",IF($BX75=Constants!$B$10,$BW75,""))</f>
        <v/>
      </c>
      <c r="CR75" s="101" t="str">
        <f aca="false">IF(ISBLANK($C75),"",IF($BX75&lt;&gt;Constants!$B$6,"",IF($BL75="-&gt;",2,1)))</f>
        <v/>
      </c>
      <c r="CS75" s="103" t="str">
        <f aca="false">IF(ISBLANK($C75),"",IF($BX75&lt;&gt;Constants!$B$6,"",IF($BL75="-&gt;",$BN75,$BC75)))</f>
        <v/>
      </c>
      <c r="CT75" s="103" t="str">
        <f aca="false">IF(ISBLANK($C75),"",IF($BX75&lt;&gt;Constants!$B$6,"",IF($BL75="-&gt;",$BO75,$BD75)))</f>
        <v/>
      </c>
      <c r="CU75" s="103" t="str">
        <f aca="false">IF(ISBLANK($C75),"",IF($BX75&lt;&gt;Constants!$B$6,"",IF($BL75="-&gt;",$BP75+$BQ75,$BE75+$BF75)+$CB75))</f>
        <v/>
      </c>
      <c r="CV75" s="103" t="str">
        <f aca="false">IF(ISBLANK($C75),"",IF($BX75&lt;&gt;Constants!$B$6,"",IF($BL75="-&gt;",$BR75,$BG75)+$CA75))</f>
        <v/>
      </c>
      <c r="CW75" s="104" t="str">
        <f aca="false">IF(ISBLANK($C75),"",IF($BX75&lt;&gt;Constants!$B$6,$BX75,$CC75))</f>
        <v/>
      </c>
      <c r="CX75" s="105" t="str">
        <f aca="false">IF(ISBLANK($C75),"",$BY75)</f>
        <v/>
      </c>
      <c r="CY75" s="106" t="str">
        <f aca="false">IF(ISBLANK($C75),"",$CN75)</f>
        <v/>
      </c>
      <c r="CZ75" s="106" t="str">
        <f aca="false">IF(ISBLANK($C75),"",$CM75)</f>
        <v/>
      </c>
      <c r="DA75" s="107" t="str">
        <f aca="false">IF(ISBLANK($C75),"",IFERROR(_xlfn.SWITCH($CZ75,Constants!$B$9,COUNTA($C$9:$C$508)+2,Constants!$B$8,COUNTA($C$9:$C$508)+1,Constants!$B$7,COUNTA($C$9:$C$508)),$CZ75))</f>
        <v/>
      </c>
      <c r="DB75" s="9"/>
      <c r="DC75" s="108" t="n">
        <f aca="false">IF(OR(ISNUMBER($CZ75),$CZ75=Constants!$B$9,$CZ75=Constants!$B$7,$CZ75=Constants!$B$8),1,0)</f>
        <v>0</v>
      </c>
      <c r="DD75" s="108" t="n">
        <v>67</v>
      </c>
      <c r="DE75" s="108" t="str">
        <f aca="false">IF(ISBLANK($C75),"",IF(ISNUMBER($DA75),$DA75+ROW($B75)/1000,""))</f>
        <v/>
      </c>
      <c r="DF75" s="108" t="str">
        <f aca="false">IF(ISNUMBER($DE75),RANK($DE75,$DE$9:$DE$508,1),"")</f>
        <v/>
      </c>
      <c r="DG75" s="108" t="str">
        <f aca="false">IF(ISBLANK($C75),"",$B75)</f>
        <v/>
      </c>
      <c r="DH75" s="108" t="str">
        <f aca="false">IF(ISBLANK($C75),"",$C75)</f>
        <v/>
      </c>
      <c r="DI75" s="108" t="str">
        <f aca="false">IF(ISBLANK($C75),"",$D75)</f>
        <v/>
      </c>
      <c r="DJ75" s="109" t="str">
        <f aca="false">$CX75</f>
        <v/>
      </c>
      <c r="DK75" s="110" t="str">
        <f aca="false">$CW75</f>
        <v/>
      </c>
      <c r="DL75" s="108" t="str">
        <f aca="false">IF(ISBLANK($C75),"",$CZ75)</f>
        <v/>
      </c>
      <c r="DM75" s="111" t="str">
        <f aca="false">IF($DD75&gt;$DC$8,"",VLOOKUP($DD75,$DF$9:$DL$508,7,FALSE()))</f>
        <v/>
      </c>
      <c r="DN75" s="112" t="str">
        <f aca="false">IF($DD75&gt;$DC$8,"",VLOOKUP($DD75,$DF$9:$DL$508,2,FALSE()))</f>
        <v/>
      </c>
      <c r="DO75" s="112" t="str">
        <f aca="false">IF($DD75&gt;$DC$8,"",VLOOKUP($DD75,$DF$9:$DL$508,3,FALSE()))</f>
        <v/>
      </c>
      <c r="DP75" s="112" t="str">
        <f aca="false">IF($DD75&gt;$DC$8,"",VLOOKUP($DD75,$DF$9:$DL$508,4,FALSE()))</f>
        <v/>
      </c>
      <c r="DQ75" s="112" t="str">
        <f aca="false">IF($DD75&gt;$DC$8,"",VLOOKUP($DD75,$DF$9:$DL$508,5,FALSE()))</f>
        <v/>
      </c>
      <c r="DR75" s="113" t="str">
        <f aca="false">IF($DD75&gt;$DC$8,"",VLOOKUP($DD75,$DF$9:$DL$508,6,FALSE()))</f>
        <v/>
      </c>
      <c r="DS75" s="76"/>
    </row>
    <row r="76" customFormat="false" ht="15.75" hidden="false" customHeight="false" outlineLevel="0" collapsed="false">
      <c r="A76" s="9"/>
      <c r="B76" s="78"/>
      <c r="C76" s="79"/>
      <c r="D76" s="170"/>
      <c r="E76" s="178"/>
      <c r="F76" s="172"/>
      <c r="G76" s="173"/>
      <c r="H76" s="173"/>
      <c r="I76" s="179"/>
      <c r="J76" s="176"/>
      <c r="K76" s="86"/>
      <c r="L76" s="87"/>
      <c r="M76" s="88"/>
      <c r="N76" s="176"/>
      <c r="O76" s="176"/>
      <c r="P76" s="178"/>
      <c r="Q76" s="176"/>
      <c r="R76" s="176"/>
      <c r="S76" s="86"/>
      <c r="T76" s="88"/>
      <c r="U76" s="88"/>
      <c r="V76" s="176"/>
      <c r="W76" s="176"/>
      <c r="X76" s="178"/>
      <c r="Y76" s="176"/>
      <c r="Z76" s="177"/>
      <c r="AA76" s="176"/>
      <c r="AB76" s="92"/>
      <c r="AC76" s="93"/>
      <c r="AD76" s="93"/>
      <c r="AE76" s="93"/>
      <c r="AF76" s="93" t="str">
        <f aca="false">IF(ISBLANK($C76),"",IF(E76=Constants!$B$2,TRUE(),IF(E76=Constants!$B$3,FALSE(),TRUE())))</f>
        <v/>
      </c>
      <c r="AG76" s="93" t="str">
        <f aca="false">IF(ISBLANK($C76),"",IF(F76=Constants!$B$2,TRUE(),IF(F76=Constants!$B$3,FALSE(),TRUE())))</f>
        <v/>
      </c>
      <c r="AH76" s="93" t="str">
        <f aca="false">IF(ISBLANK($C76),"",IF(G76=Constants!$B$2,TRUE(),IF(G76=Constants!$B$3,FALSE(),TRUE())))</f>
        <v/>
      </c>
      <c r="AI76" s="93" t="str">
        <f aca="false">IF(ISBLANK($C76),"",IF(AND(ISNUMBER(H76),H76&gt;=0),H76,Constants!$B$24))</f>
        <v/>
      </c>
      <c r="AJ76" s="93" t="str">
        <f aca="false">IF(ISBLANK($C76),"",IF(I76=Constants!$B$2,TRUE(),IF(I76=Constants!$B$3,FALSE(),TRUE())))</f>
        <v/>
      </c>
      <c r="AK76" s="93" t="str">
        <f aca="false">IF(ISBLANK($C76),"",IF(J76=Constants!$B$2,TRUE(),IF(J76=Constants!$B$3,FALSE(),TRUE())))</f>
        <v/>
      </c>
      <c r="AL76" s="93" t="str">
        <f aca="false">IF(ISBLANK($C76),"",IF(K76=Constants!$B$4,TRUE(),IF(K76=Constants!$B$5,FALSE(),COUNTA(L76:P76)&gt;0)))</f>
        <v/>
      </c>
      <c r="AM76" s="95" t="str">
        <f aca="false">IF(ISBLANK($C76),"",IF(ISNUMBER(L76),IF(L76&gt;=0,L76,""),""))</f>
        <v/>
      </c>
      <c r="AN76" s="94" t="str">
        <f aca="false">IF(ISBLANK($C76),"",IF(ISNUMBER(M76),IF(M76&gt;=0,M76,""),""))</f>
        <v/>
      </c>
      <c r="AO76" s="94" t="str">
        <f aca="false">IF(ISBLANK($C76),"",IF(N76=Constants!$B$2,TRUE(),IF(N76=Constants!$B$3,FALSE(),TRUE())))</f>
        <v/>
      </c>
      <c r="AP76" s="93" t="str">
        <f aca="false">IF(ISBLANK($C76),"",IF(ISNUMBER(O76),IF(O76&gt;=0,O76,""),""))</f>
        <v/>
      </c>
      <c r="AQ76" s="93" t="str">
        <f aca="false">IF(ISBLANK($C76),"",IF(P76=Constants!$B$2,TRUE(),IF(P76=Constants!$B$3,FALSE(),FALSE())))</f>
        <v/>
      </c>
      <c r="AR76" s="93" t="str">
        <f aca="false">IF(ISBLANK($C76),"",IF(Q76=Constants!$B$2,TRUE(),IF(Q76=Constants!$B$3,FALSE(),TRUE())))</f>
        <v/>
      </c>
      <c r="AS76" s="93" t="str">
        <f aca="false">IF(ISBLANK($C76),"",IF(R76=Constants!$B$2,TRUE(),IF(R76=Constants!$B$3,FALSE(),TRUE())))</f>
        <v/>
      </c>
      <c r="AT76" s="93" t="str">
        <f aca="false">IF(ISBLANK($C76),"",IF(S76=Constants!$B$4,TRUE(),IF(S76=Constants!$B$5,FALSE(),COUNTA(T76:X76)&gt;0)))</f>
        <v/>
      </c>
      <c r="AU76" s="95" t="str">
        <f aca="false">IF(ISBLANK($C76),"",IF(ISNUMBER(T76),IF(T76&gt;=0,T76,""),""))</f>
        <v/>
      </c>
      <c r="AV76" s="94" t="str">
        <f aca="false">IF(ISBLANK($C76),"",IF(ISNUMBER(U76),IF(U76&gt;=0,U76,""),""))</f>
        <v/>
      </c>
      <c r="AW76" s="94" t="str">
        <f aca="false">IF(ISBLANK($C76),"",IF(V76=Constants!$B$2,TRUE(),IF(V76=Constants!$B$3,FALSE(),TRUE())))</f>
        <v/>
      </c>
      <c r="AX76" s="93" t="str">
        <f aca="false">IF(ISBLANK($C76),"",IF(ISNUMBER(W76),IF(W76&gt;=0,W76,""),""))</f>
        <v/>
      </c>
      <c r="AY76" s="93" t="str">
        <f aca="false">IF(ISBLANK($C76),"",IF(X76=Constants!$B$2,TRUE(),IF(X76=Constants!$B$3,FALSE(),FALSE())))</f>
        <v/>
      </c>
      <c r="AZ76" s="93" t="str">
        <f aca="false">IF(ISBLANK($C76),"",MIN(Constants!$B$25,MAX(0,IF(ISNUMBER(Y76),Y76*60,0)+IF(ISNUMBER(Z76),Z76,0))))</f>
        <v/>
      </c>
      <c r="BA76" s="93" t="str">
        <f aca="false">IF(ISBLANK($C76),"",IF(AA76=Constants!$B$2,TRUE(),IF(AA76=Constants!$B$3,FALSE(),FALSE())))</f>
        <v/>
      </c>
      <c r="BB76" s="92" t="str">
        <f aca="false">IF(ISBLANK($C76),"",AND($AL76,OR($AM76="",$AN76="",AND($AO76,$AP76=""))))</f>
        <v/>
      </c>
      <c r="BC76" s="94" t="str">
        <f aca="false">IF($BX76&lt;&gt;Constants!$B$6,"",IF($AL76,Constants!$B$17*$AN76+Constants!$B$18*IF($AO76,$AP76,Constants!$B$19),Constants!$B$20))</f>
        <v/>
      </c>
      <c r="BD76" s="97" t="str">
        <f aca="false">IF($BX76&lt;&gt;Constants!$B$6,"",Constants!$B$21*ABS($AD$9-IF($AL76,$AM76,0)))</f>
        <v/>
      </c>
      <c r="BE76" s="97" t="str">
        <f aca="false">IF($BX76&lt;&gt;Constants!$B$6,"",IF(AND($AL76,$AQ76,$AO76),Constants!$B$22,0))</f>
        <v/>
      </c>
      <c r="BF76" s="97" t="str">
        <f aca="false">IF($BX76&lt;&gt;Constants!$B$6,"",IF($AL76,($AI76-Constants!$B$24)*Constants!$B$23,0))</f>
        <v/>
      </c>
      <c r="BG76" s="97" t="str">
        <f aca="false">IF($BX76&lt;&gt;Constants!$B$6,"",IF($AK76,0,Constants!$B$12)+IF($AJ76,0,Constants!$B$13)+IF($AH76,0,Constants!$B$14))</f>
        <v/>
      </c>
      <c r="BH76" s="98" t="str">
        <f aca="false">IF($BX76&lt;&gt;Constants!$B$6,"",Constants!$B$16+SUM($BC76:$BG76))</f>
        <v/>
      </c>
      <c r="BI76" s="97" t="str">
        <f aca="false">IF($BX76&lt;&gt;Constants!$B$6,"",$BC76)</f>
        <v/>
      </c>
      <c r="BJ76" s="97" t="str">
        <f aca="false">IF($BX76&lt;&gt;Constants!$B$6,"",$BD76)</f>
        <v/>
      </c>
      <c r="BK76" s="99" t="str">
        <f aca="false">IF($BX76&lt;&gt;Constants!$B$6,"",IF($AL76,$AN76,""))</f>
        <v/>
      </c>
      <c r="BL76" s="93" t="str">
        <f aca="false">IF($BX76&lt;&gt;Constants!$B$6,"",IF(OR($BS76&lt;$BH76,AND($BS76=$BH76,OR($BT76&lt;$BI76,AND($BT76=$BI76,OR($BU76&lt;$BJ76,AND($BU76=$BJ76,AND(ISNUMBER($BV76),OR(NOT(ISNUMBER($BK76)),$BV76&lt;$BK76)))))))),"-&gt;","&lt;-"))</f>
        <v/>
      </c>
      <c r="BM76" s="92" t="str">
        <f aca="false">IF(ISBLANK($C76),"",AND($AT76,OR($AU76="",$AV76="",AND($AW76,$AX76=""))))</f>
        <v/>
      </c>
      <c r="BN76" s="94" t="str">
        <f aca="false">IF($BX76&lt;&gt;Constants!$B$6,"",IF($AT76,Constants!$B$17*$AV76+Constants!$B$18*IF($AW76,$AX76,Constants!$B$19),Constants!$B$20))</f>
        <v/>
      </c>
      <c r="BO76" s="97" t="str">
        <f aca="false">IF($BX76&lt;&gt;Constants!$B$6,"",Constants!$B$21*ABS($AD$9-IF($AT76,$AU76,0)))</f>
        <v/>
      </c>
      <c r="BP76" s="97" t="str">
        <f aca="false">IF($BX76&lt;&gt;Constants!$B$6,"",IF(AND($AT76,$AY76,$AW76),Constants!$B$22,0))</f>
        <v/>
      </c>
      <c r="BQ76" s="97" t="str">
        <f aca="false">IF($BX76&lt;&gt;Constants!$B$6,"",IF($AT76,($AI76-Constants!$B$24)*Constants!$B$23,0))</f>
        <v/>
      </c>
      <c r="BR76" s="97" t="str">
        <f aca="false">IF($BX76&lt;&gt;Constants!$B$6,"",IF($AS76,0,Constants!$B$12)+IF($AR76,0,Constants!$B$13)+IF($AH76,0,Constants!$B$14))</f>
        <v/>
      </c>
      <c r="BS76" s="98" t="str">
        <f aca="false">IF($BX76&lt;&gt;Constants!$B$6,"",Constants!$B$16+SUM($BN76:$BR76))</f>
        <v/>
      </c>
      <c r="BT76" s="97" t="str">
        <f aca="false">IF($BX76&lt;&gt;Constants!$B$6,"",$BN76)</f>
        <v/>
      </c>
      <c r="BU76" s="97" t="str">
        <f aca="false">IF($BX76&lt;&gt;Constants!$B$6,"",$BO76)</f>
        <v/>
      </c>
      <c r="BV76" s="99" t="str">
        <f aca="false">IF($BX76&lt;&gt;Constants!$B$6,"",IF($AT76,$AV76,""))</f>
        <v/>
      </c>
      <c r="BW76" s="93" t="str">
        <f aca="false">IF(ISBLANK($C76),"",IF(ISBLANK($D$7),$BW$5,IF(NOT(ISNUMBER($D$7)),$BW$6,"")))</f>
        <v/>
      </c>
      <c r="BX76" s="93" t="str">
        <f aca="false">IF(ISBLANK($C76),"",IF($BA76,Constants!$B$9,IF(COUNTA($E76:$AA76)=0,Constants!$B$8,IF(NOT($AG76),Constants!$B$7,IF(OR($BW76&lt;&gt;"",$BB76,$BM76),Constants!$B$10,Constants!$B$6)))))</f>
        <v/>
      </c>
      <c r="BY76" s="93" t="str">
        <f aca="false">IF(ISBLANK($C76),"",IF($BX76&lt;&gt;Constants!$B$6,$BX76,Constants!$B$11))</f>
        <v/>
      </c>
      <c r="BZ76" s="97" t="str">
        <f aca="false">IF($BX76&lt;&gt;Constants!$B$6,"",IF($BL76="-&gt;",$BS76,$BH76))</f>
        <v/>
      </c>
      <c r="CA76" s="97" t="str">
        <f aca="false">IF($BX76&lt;&gt;Constants!$B$6,"",IF($AF76,0,Constants!$B$15))</f>
        <v/>
      </c>
      <c r="CB76" s="97" t="str">
        <f aca="false">IF($BX76&lt;&gt;Constants!$B$6,"",((Constants!$B$25-$AZ76)-Constants!$B$25)/Constants!$B$26)</f>
        <v/>
      </c>
      <c r="CC76" s="97" t="str">
        <f aca="false">IF(ISBLANK($C76),"",IF($BX76&lt;&gt;Constants!$B$6,$BX76,SUM($BZ76:$CB76)))</f>
        <v/>
      </c>
      <c r="CD76" s="93" t="str">
        <f aca="false">IF(ISBLANK($C76),"",IF($BX76&lt;&gt;Constants!$B$6,$BX76,RANK($CC76,$CC$9:$CC$508,1)))</f>
        <v/>
      </c>
      <c r="CE76" s="97" t="str">
        <f aca="false">IF($BX76&lt;&gt;Constants!$B$6,"",IF($BL76="-&gt;",$BT76,$BI76))</f>
        <v/>
      </c>
      <c r="CF76" s="93" t="str">
        <f aca="false">IF(ISBLANK($C76),"",IF($BX76&lt;&gt;Constants!$B$6,$BX76,IF(ISNUMBER($CE76),RANK($CE76,$CE$9:$CE$508,1),COUNT($CE$9:$CE$508)+1)))</f>
        <v/>
      </c>
      <c r="CG76" s="97" t="str">
        <f aca="false">IF($BX76&lt;&gt;Constants!$B$6,"",IF($BL76="-&gt;",$BU76,$BJ76))</f>
        <v/>
      </c>
      <c r="CH76" s="93" t="str">
        <f aca="false">IF(ISBLANK($C76),"",IF($BX76&lt;&gt;Constants!$B$6,$BX76,IF(ISNUMBER($CG76),RANK($CG76,$CG$9:$CG$508,1),COUNT($CG$9:$CG$508)+1)))</f>
        <v/>
      </c>
      <c r="CI76" s="97" t="str">
        <f aca="false">IF($BX76&lt;&gt;Constants!$B$6,"",IF($BL76="-&gt;",$BV76,$BK76))</f>
        <v/>
      </c>
      <c r="CJ76" s="93" t="str">
        <f aca="false">IF(ISBLANK($C76),"",IF($BX76&lt;&gt;Constants!$B$6,$BX76,IF(ISNUMBER($CI76),RANK($CI76,$CI$9:$CI$508,1),COUNT($CI$9:$CI$508)+1)))</f>
        <v/>
      </c>
      <c r="CK76" s="97" t="str">
        <f aca="false">IF($BX76&lt;&gt;Constants!$B$6,"",$AI76)</f>
        <v/>
      </c>
      <c r="CL76" s="93" t="str">
        <f aca="false">IF(ISBLANK($C76),"",IF($BX76&lt;&gt;Constants!$B$6,$BX76,IF(ISNUMBER($CK76),RANK($CK76,$CK$9:$CK$508,1),COUNT($CK$9:$CK$508)+1)))</f>
        <v/>
      </c>
      <c r="CM76" s="93" t="str">
        <f aca="false">IF(ISBLANK($C76),"",IF($BX76&lt;&gt;Constants!$B$6,$BX76,COUNTIFS($CD$9:$CD$508,"&lt;"&amp;$CD76)+COUNTIFS($CD$9:$CD$508,$CD76,$CF$9:$CF$508,"&lt;"&amp;$CF76)+COUNTIFS($CD$9:$CD$508,$CD76,$CF$9:$CF$508,$CF76,$CH$9:$CH$508,"&lt;"&amp;$CH76)+COUNTIFS($CD$9:$CD$508,$CD76,$CF$9:$CF$508,$CF76,$CH$9:$CH$508,$CH76,$CJ$9:$CJ$508,"&lt;"&amp;$CJ76)+COUNTIFS($CD$9:$CD$508,$CD76,$CF$9:$CF$508,$CF76,$CH$9:$CH$508,$CH76,$CJ$9:$CJ$508,$CJ76,$CL$9:$CL$508,"&lt;"&amp;$CL76)+1))</f>
        <v/>
      </c>
      <c r="CN76" s="93" t="str">
        <f aca="false">IF(ISBLANK($C76),"",IF($BX76&lt;&gt;Constants!$B$6,$BX76,$CD76-$CM76))</f>
        <v/>
      </c>
      <c r="CO76" s="100"/>
      <c r="CP76" s="101"/>
      <c r="CQ76" s="102" t="str">
        <f aca="false">IF(ISBLANK($C76),"",IF($BX76=Constants!$B$10,$BW76,""))</f>
        <v/>
      </c>
      <c r="CR76" s="101" t="str">
        <f aca="false">IF(ISBLANK($C76),"",IF($BX76&lt;&gt;Constants!$B$6,"",IF($BL76="-&gt;",2,1)))</f>
        <v/>
      </c>
      <c r="CS76" s="103" t="str">
        <f aca="false">IF(ISBLANK($C76),"",IF($BX76&lt;&gt;Constants!$B$6,"",IF($BL76="-&gt;",$BN76,$BC76)))</f>
        <v/>
      </c>
      <c r="CT76" s="103" t="str">
        <f aca="false">IF(ISBLANK($C76),"",IF($BX76&lt;&gt;Constants!$B$6,"",IF($BL76="-&gt;",$BO76,$BD76)))</f>
        <v/>
      </c>
      <c r="CU76" s="103" t="str">
        <f aca="false">IF(ISBLANK($C76),"",IF($BX76&lt;&gt;Constants!$B$6,"",IF($BL76="-&gt;",$BP76+$BQ76,$BE76+$BF76)+$CB76))</f>
        <v/>
      </c>
      <c r="CV76" s="103" t="str">
        <f aca="false">IF(ISBLANK($C76),"",IF($BX76&lt;&gt;Constants!$B$6,"",IF($BL76="-&gt;",$BR76,$BG76)+$CA76))</f>
        <v/>
      </c>
      <c r="CW76" s="104" t="str">
        <f aca="false">IF(ISBLANK($C76),"",IF($BX76&lt;&gt;Constants!$B$6,$BX76,$CC76))</f>
        <v/>
      </c>
      <c r="CX76" s="105" t="str">
        <f aca="false">IF(ISBLANK($C76),"",$BY76)</f>
        <v/>
      </c>
      <c r="CY76" s="106" t="str">
        <f aca="false">IF(ISBLANK($C76),"",$CN76)</f>
        <v/>
      </c>
      <c r="CZ76" s="106" t="str">
        <f aca="false">IF(ISBLANK($C76),"",$CM76)</f>
        <v/>
      </c>
      <c r="DA76" s="107" t="str">
        <f aca="false">IF(ISBLANK($C76),"",IFERROR(_xlfn.SWITCH($CZ76,Constants!$B$9,COUNTA($C$9:$C$508)+2,Constants!$B$8,COUNTA($C$9:$C$508)+1,Constants!$B$7,COUNTA($C$9:$C$508)),$CZ76))</f>
        <v/>
      </c>
      <c r="DB76" s="9"/>
      <c r="DC76" s="108" t="n">
        <f aca="false">IF(OR(ISNUMBER($CZ76),$CZ76=Constants!$B$9,$CZ76=Constants!$B$7,$CZ76=Constants!$B$8),1,0)</f>
        <v>0</v>
      </c>
      <c r="DD76" s="108" t="n">
        <v>68</v>
      </c>
      <c r="DE76" s="108" t="str">
        <f aca="false">IF(ISBLANK($C76),"",IF(ISNUMBER($DA76),$DA76+ROW($B76)/1000,""))</f>
        <v/>
      </c>
      <c r="DF76" s="108" t="str">
        <f aca="false">IF(ISNUMBER($DE76),RANK($DE76,$DE$9:$DE$508,1),"")</f>
        <v/>
      </c>
      <c r="DG76" s="108" t="str">
        <f aca="false">IF(ISBLANK($C76),"",$B76)</f>
        <v/>
      </c>
      <c r="DH76" s="108" t="str">
        <f aca="false">IF(ISBLANK($C76),"",$C76)</f>
        <v/>
      </c>
      <c r="DI76" s="108" t="str">
        <f aca="false">IF(ISBLANK($C76),"",$D76)</f>
        <v/>
      </c>
      <c r="DJ76" s="109" t="str">
        <f aca="false">$CX76</f>
        <v/>
      </c>
      <c r="DK76" s="110" t="str">
        <f aca="false">$CW76</f>
        <v/>
      </c>
      <c r="DL76" s="108" t="str">
        <f aca="false">IF(ISBLANK($C76),"",$CZ76)</f>
        <v/>
      </c>
      <c r="DM76" s="111" t="str">
        <f aca="false">IF($DD76&gt;$DC$8,"",VLOOKUP($DD76,$DF$9:$DL$508,7,FALSE()))</f>
        <v/>
      </c>
      <c r="DN76" s="112" t="str">
        <f aca="false">IF($DD76&gt;$DC$8,"",VLOOKUP($DD76,$DF$9:$DL$508,2,FALSE()))</f>
        <v/>
      </c>
      <c r="DO76" s="112" t="str">
        <f aca="false">IF($DD76&gt;$DC$8,"",VLOOKUP($DD76,$DF$9:$DL$508,3,FALSE()))</f>
        <v/>
      </c>
      <c r="DP76" s="112" t="str">
        <f aca="false">IF($DD76&gt;$DC$8,"",VLOOKUP($DD76,$DF$9:$DL$508,4,FALSE()))</f>
        <v/>
      </c>
      <c r="DQ76" s="112" t="str">
        <f aca="false">IF($DD76&gt;$DC$8,"",VLOOKUP($DD76,$DF$9:$DL$508,5,FALSE()))</f>
        <v/>
      </c>
      <c r="DR76" s="113" t="str">
        <f aca="false">IF($DD76&gt;$DC$8,"",VLOOKUP($DD76,$DF$9:$DL$508,6,FALSE()))</f>
        <v/>
      </c>
      <c r="DS76" s="76"/>
    </row>
    <row r="77" customFormat="false" ht="15.75" hidden="false" customHeight="false" outlineLevel="0" collapsed="false">
      <c r="A77" s="9"/>
      <c r="B77" s="78"/>
      <c r="C77" s="79"/>
      <c r="D77" s="170"/>
      <c r="E77" s="178"/>
      <c r="F77" s="172"/>
      <c r="G77" s="173"/>
      <c r="H77" s="173"/>
      <c r="I77" s="179"/>
      <c r="J77" s="176"/>
      <c r="K77" s="86"/>
      <c r="L77" s="87"/>
      <c r="M77" s="88"/>
      <c r="N77" s="176"/>
      <c r="O77" s="176"/>
      <c r="P77" s="178"/>
      <c r="Q77" s="176"/>
      <c r="R77" s="176"/>
      <c r="S77" s="86"/>
      <c r="T77" s="88"/>
      <c r="U77" s="88"/>
      <c r="V77" s="176"/>
      <c r="W77" s="176"/>
      <c r="X77" s="178"/>
      <c r="Y77" s="176"/>
      <c r="Z77" s="177"/>
      <c r="AA77" s="176"/>
      <c r="AB77" s="92"/>
      <c r="AC77" s="93"/>
      <c r="AD77" s="93"/>
      <c r="AE77" s="93"/>
      <c r="AF77" s="93" t="str">
        <f aca="false">IF(ISBLANK($C77),"",IF(E77=Constants!$B$2,TRUE(),IF(E77=Constants!$B$3,FALSE(),TRUE())))</f>
        <v/>
      </c>
      <c r="AG77" s="93" t="str">
        <f aca="false">IF(ISBLANK($C77),"",IF(F77=Constants!$B$2,TRUE(),IF(F77=Constants!$B$3,FALSE(),TRUE())))</f>
        <v/>
      </c>
      <c r="AH77" s="93" t="str">
        <f aca="false">IF(ISBLANK($C77),"",IF(G77=Constants!$B$2,TRUE(),IF(G77=Constants!$B$3,FALSE(),TRUE())))</f>
        <v/>
      </c>
      <c r="AI77" s="93" t="str">
        <f aca="false">IF(ISBLANK($C77),"",IF(AND(ISNUMBER(H77),H77&gt;=0),H77,Constants!$B$24))</f>
        <v/>
      </c>
      <c r="AJ77" s="93" t="str">
        <f aca="false">IF(ISBLANK($C77),"",IF(I77=Constants!$B$2,TRUE(),IF(I77=Constants!$B$3,FALSE(),TRUE())))</f>
        <v/>
      </c>
      <c r="AK77" s="93" t="str">
        <f aca="false">IF(ISBLANK($C77),"",IF(J77=Constants!$B$2,TRUE(),IF(J77=Constants!$B$3,FALSE(),TRUE())))</f>
        <v/>
      </c>
      <c r="AL77" s="93" t="str">
        <f aca="false">IF(ISBLANK($C77),"",IF(K77=Constants!$B$4,TRUE(),IF(K77=Constants!$B$5,FALSE(),COUNTA(L77:P77)&gt;0)))</f>
        <v/>
      </c>
      <c r="AM77" s="95" t="str">
        <f aca="false">IF(ISBLANK($C77),"",IF(ISNUMBER(L77),IF(L77&gt;=0,L77,""),""))</f>
        <v/>
      </c>
      <c r="AN77" s="94" t="str">
        <f aca="false">IF(ISBLANK($C77),"",IF(ISNUMBER(M77),IF(M77&gt;=0,M77,""),""))</f>
        <v/>
      </c>
      <c r="AO77" s="94" t="str">
        <f aca="false">IF(ISBLANK($C77),"",IF(N77=Constants!$B$2,TRUE(),IF(N77=Constants!$B$3,FALSE(),TRUE())))</f>
        <v/>
      </c>
      <c r="AP77" s="93" t="str">
        <f aca="false">IF(ISBLANK($C77),"",IF(ISNUMBER(O77),IF(O77&gt;=0,O77,""),""))</f>
        <v/>
      </c>
      <c r="AQ77" s="93" t="str">
        <f aca="false">IF(ISBLANK($C77),"",IF(P77=Constants!$B$2,TRUE(),IF(P77=Constants!$B$3,FALSE(),FALSE())))</f>
        <v/>
      </c>
      <c r="AR77" s="93" t="str">
        <f aca="false">IF(ISBLANK($C77),"",IF(Q77=Constants!$B$2,TRUE(),IF(Q77=Constants!$B$3,FALSE(),TRUE())))</f>
        <v/>
      </c>
      <c r="AS77" s="93" t="str">
        <f aca="false">IF(ISBLANK($C77),"",IF(R77=Constants!$B$2,TRUE(),IF(R77=Constants!$B$3,FALSE(),TRUE())))</f>
        <v/>
      </c>
      <c r="AT77" s="93" t="str">
        <f aca="false">IF(ISBLANK($C77),"",IF(S77=Constants!$B$4,TRUE(),IF(S77=Constants!$B$5,FALSE(),COUNTA(T77:X77)&gt;0)))</f>
        <v/>
      </c>
      <c r="AU77" s="95" t="str">
        <f aca="false">IF(ISBLANK($C77),"",IF(ISNUMBER(T77),IF(T77&gt;=0,T77,""),""))</f>
        <v/>
      </c>
      <c r="AV77" s="94" t="str">
        <f aca="false">IF(ISBLANK($C77),"",IF(ISNUMBER(U77),IF(U77&gt;=0,U77,""),""))</f>
        <v/>
      </c>
      <c r="AW77" s="94" t="str">
        <f aca="false">IF(ISBLANK($C77),"",IF(V77=Constants!$B$2,TRUE(),IF(V77=Constants!$B$3,FALSE(),TRUE())))</f>
        <v/>
      </c>
      <c r="AX77" s="93" t="str">
        <f aca="false">IF(ISBLANK($C77),"",IF(ISNUMBER(W77),IF(W77&gt;=0,W77,""),""))</f>
        <v/>
      </c>
      <c r="AY77" s="93" t="str">
        <f aca="false">IF(ISBLANK($C77),"",IF(X77=Constants!$B$2,TRUE(),IF(X77=Constants!$B$3,FALSE(),FALSE())))</f>
        <v/>
      </c>
      <c r="AZ77" s="93" t="str">
        <f aca="false">IF(ISBLANK($C77),"",MIN(Constants!$B$25,MAX(0,IF(ISNUMBER(Y77),Y77*60,0)+IF(ISNUMBER(Z77),Z77,0))))</f>
        <v/>
      </c>
      <c r="BA77" s="93" t="str">
        <f aca="false">IF(ISBLANK($C77),"",IF(AA77=Constants!$B$2,TRUE(),IF(AA77=Constants!$B$3,FALSE(),FALSE())))</f>
        <v/>
      </c>
      <c r="BB77" s="92" t="str">
        <f aca="false">IF(ISBLANK($C77),"",AND($AL77,OR($AM77="",$AN77="",AND($AO77,$AP77=""))))</f>
        <v/>
      </c>
      <c r="BC77" s="94" t="str">
        <f aca="false">IF($BX77&lt;&gt;Constants!$B$6,"",IF($AL77,Constants!$B$17*$AN77+Constants!$B$18*IF($AO77,$AP77,Constants!$B$19),Constants!$B$20))</f>
        <v/>
      </c>
      <c r="BD77" s="97" t="str">
        <f aca="false">IF($BX77&lt;&gt;Constants!$B$6,"",Constants!$B$21*ABS($AD$9-IF($AL77,$AM77,0)))</f>
        <v/>
      </c>
      <c r="BE77" s="97" t="str">
        <f aca="false">IF($BX77&lt;&gt;Constants!$B$6,"",IF(AND($AL77,$AQ77,$AO77),Constants!$B$22,0))</f>
        <v/>
      </c>
      <c r="BF77" s="97" t="str">
        <f aca="false">IF($BX77&lt;&gt;Constants!$B$6,"",IF($AL77,($AI77-Constants!$B$24)*Constants!$B$23,0))</f>
        <v/>
      </c>
      <c r="BG77" s="97" t="str">
        <f aca="false">IF($BX77&lt;&gt;Constants!$B$6,"",IF($AK77,0,Constants!$B$12)+IF($AJ77,0,Constants!$B$13)+IF($AH77,0,Constants!$B$14))</f>
        <v/>
      </c>
      <c r="BH77" s="98" t="str">
        <f aca="false">IF($BX77&lt;&gt;Constants!$B$6,"",Constants!$B$16+SUM($BC77:$BG77))</f>
        <v/>
      </c>
      <c r="BI77" s="97" t="str">
        <f aca="false">IF($BX77&lt;&gt;Constants!$B$6,"",$BC77)</f>
        <v/>
      </c>
      <c r="BJ77" s="97" t="str">
        <f aca="false">IF($BX77&lt;&gt;Constants!$B$6,"",$BD77)</f>
        <v/>
      </c>
      <c r="BK77" s="99" t="str">
        <f aca="false">IF($BX77&lt;&gt;Constants!$B$6,"",IF($AL77,$AN77,""))</f>
        <v/>
      </c>
      <c r="BL77" s="93" t="str">
        <f aca="false">IF($BX77&lt;&gt;Constants!$B$6,"",IF(OR($BS77&lt;$BH77,AND($BS77=$BH77,OR($BT77&lt;$BI77,AND($BT77=$BI77,OR($BU77&lt;$BJ77,AND($BU77=$BJ77,AND(ISNUMBER($BV77),OR(NOT(ISNUMBER($BK77)),$BV77&lt;$BK77)))))))),"-&gt;","&lt;-"))</f>
        <v/>
      </c>
      <c r="BM77" s="92" t="str">
        <f aca="false">IF(ISBLANK($C77),"",AND($AT77,OR($AU77="",$AV77="",AND($AW77,$AX77=""))))</f>
        <v/>
      </c>
      <c r="BN77" s="94" t="str">
        <f aca="false">IF($BX77&lt;&gt;Constants!$B$6,"",IF($AT77,Constants!$B$17*$AV77+Constants!$B$18*IF($AW77,$AX77,Constants!$B$19),Constants!$B$20))</f>
        <v/>
      </c>
      <c r="BO77" s="97" t="str">
        <f aca="false">IF($BX77&lt;&gt;Constants!$B$6,"",Constants!$B$21*ABS($AD$9-IF($AT77,$AU77,0)))</f>
        <v/>
      </c>
      <c r="BP77" s="97" t="str">
        <f aca="false">IF($BX77&lt;&gt;Constants!$B$6,"",IF(AND($AT77,$AY77,$AW77),Constants!$B$22,0))</f>
        <v/>
      </c>
      <c r="BQ77" s="97" t="str">
        <f aca="false">IF($BX77&lt;&gt;Constants!$B$6,"",IF($AT77,($AI77-Constants!$B$24)*Constants!$B$23,0))</f>
        <v/>
      </c>
      <c r="BR77" s="97" t="str">
        <f aca="false">IF($BX77&lt;&gt;Constants!$B$6,"",IF($AS77,0,Constants!$B$12)+IF($AR77,0,Constants!$B$13)+IF($AH77,0,Constants!$B$14))</f>
        <v/>
      </c>
      <c r="BS77" s="98" t="str">
        <f aca="false">IF($BX77&lt;&gt;Constants!$B$6,"",Constants!$B$16+SUM($BN77:$BR77))</f>
        <v/>
      </c>
      <c r="BT77" s="97" t="str">
        <f aca="false">IF($BX77&lt;&gt;Constants!$B$6,"",$BN77)</f>
        <v/>
      </c>
      <c r="BU77" s="97" t="str">
        <f aca="false">IF($BX77&lt;&gt;Constants!$B$6,"",$BO77)</f>
        <v/>
      </c>
      <c r="BV77" s="99" t="str">
        <f aca="false">IF($BX77&lt;&gt;Constants!$B$6,"",IF($AT77,$AV77,""))</f>
        <v/>
      </c>
      <c r="BW77" s="93" t="str">
        <f aca="false">IF(ISBLANK($C77),"",IF(ISBLANK($D$7),$BW$5,IF(NOT(ISNUMBER($D$7)),$BW$6,"")))</f>
        <v/>
      </c>
      <c r="BX77" s="93" t="str">
        <f aca="false">IF(ISBLANK($C77),"",IF($BA77,Constants!$B$9,IF(COUNTA($E77:$AA77)=0,Constants!$B$8,IF(NOT($AG77),Constants!$B$7,IF(OR($BW77&lt;&gt;"",$BB77,$BM77),Constants!$B$10,Constants!$B$6)))))</f>
        <v/>
      </c>
      <c r="BY77" s="93" t="str">
        <f aca="false">IF(ISBLANK($C77),"",IF($BX77&lt;&gt;Constants!$B$6,$BX77,Constants!$B$11))</f>
        <v/>
      </c>
      <c r="BZ77" s="97" t="str">
        <f aca="false">IF($BX77&lt;&gt;Constants!$B$6,"",IF($BL77="-&gt;",$BS77,$BH77))</f>
        <v/>
      </c>
      <c r="CA77" s="97" t="str">
        <f aca="false">IF($BX77&lt;&gt;Constants!$B$6,"",IF($AF77,0,Constants!$B$15))</f>
        <v/>
      </c>
      <c r="CB77" s="97" t="str">
        <f aca="false">IF($BX77&lt;&gt;Constants!$B$6,"",((Constants!$B$25-$AZ77)-Constants!$B$25)/Constants!$B$26)</f>
        <v/>
      </c>
      <c r="CC77" s="97" t="str">
        <f aca="false">IF(ISBLANK($C77),"",IF($BX77&lt;&gt;Constants!$B$6,$BX77,SUM($BZ77:$CB77)))</f>
        <v/>
      </c>
      <c r="CD77" s="93" t="str">
        <f aca="false">IF(ISBLANK($C77),"",IF($BX77&lt;&gt;Constants!$B$6,$BX77,RANK($CC77,$CC$9:$CC$508,1)))</f>
        <v/>
      </c>
      <c r="CE77" s="97" t="str">
        <f aca="false">IF($BX77&lt;&gt;Constants!$B$6,"",IF($BL77="-&gt;",$BT77,$BI77))</f>
        <v/>
      </c>
      <c r="CF77" s="93" t="str">
        <f aca="false">IF(ISBLANK($C77),"",IF($BX77&lt;&gt;Constants!$B$6,$BX77,IF(ISNUMBER($CE77),RANK($CE77,$CE$9:$CE$508,1),COUNT($CE$9:$CE$508)+1)))</f>
        <v/>
      </c>
      <c r="CG77" s="97" t="str">
        <f aca="false">IF($BX77&lt;&gt;Constants!$B$6,"",IF($BL77="-&gt;",$BU77,$BJ77))</f>
        <v/>
      </c>
      <c r="CH77" s="93" t="str">
        <f aca="false">IF(ISBLANK($C77),"",IF($BX77&lt;&gt;Constants!$B$6,$BX77,IF(ISNUMBER($CG77),RANK($CG77,$CG$9:$CG$508,1),COUNT($CG$9:$CG$508)+1)))</f>
        <v/>
      </c>
      <c r="CI77" s="97" t="str">
        <f aca="false">IF($BX77&lt;&gt;Constants!$B$6,"",IF($BL77="-&gt;",$BV77,$BK77))</f>
        <v/>
      </c>
      <c r="CJ77" s="93" t="str">
        <f aca="false">IF(ISBLANK($C77),"",IF($BX77&lt;&gt;Constants!$B$6,$BX77,IF(ISNUMBER($CI77),RANK($CI77,$CI$9:$CI$508,1),COUNT($CI$9:$CI$508)+1)))</f>
        <v/>
      </c>
      <c r="CK77" s="97" t="str">
        <f aca="false">IF($BX77&lt;&gt;Constants!$B$6,"",$AI77)</f>
        <v/>
      </c>
      <c r="CL77" s="93" t="str">
        <f aca="false">IF(ISBLANK($C77),"",IF($BX77&lt;&gt;Constants!$B$6,$BX77,IF(ISNUMBER($CK77),RANK($CK77,$CK$9:$CK$508,1),COUNT($CK$9:$CK$508)+1)))</f>
        <v/>
      </c>
      <c r="CM77" s="93" t="str">
        <f aca="false">IF(ISBLANK($C77),"",IF($BX77&lt;&gt;Constants!$B$6,$BX77,COUNTIFS($CD$9:$CD$508,"&lt;"&amp;$CD77)+COUNTIFS($CD$9:$CD$508,$CD77,$CF$9:$CF$508,"&lt;"&amp;$CF77)+COUNTIFS($CD$9:$CD$508,$CD77,$CF$9:$CF$508,$CF77,$CH$9:$CH$508,"&lt;"&amp;$CH77)+COUNTIFS($CD$9:$CD$508,$CD77,$CF$9:$CF$508,$CF77,$CH$9:$CH$508,$CH77,$CJ$9:$CJ$508,"&lt;"&amp;$CJ77)+COUNTIFS($CD$9:$CD$508,$CD77,$CF$9:$CF$508,$CF77,$CH$9:$CH$508,$CH77,$CJ$9:$CJ$508,$CJ77,$CL$9:$CL$508,"&lt;"&amp;$CL77)+1))</f>
        <v/>
      </c>
      <c r="CN77" s="93" t="str">
        <f aca="false">IF(ISBLANK($C77),"",IF($BX77&lt;&gt;Constants!$B$6,$BX77,$CD77-$CM77))</f>
        <v/>
      </c>
      <c r="CO77" s="100"/>
      <c r="CP77" s="101"/>
      <c r="CQ77" s="102" t="str">
        <f aca="false">IF(ISBLANK($C77),"",IF($BX77=Constants!$B$10,$BW77,""))</f>
        <v/>
      </c>
      <c r="CR77" s="101" t="str">
        <f aca="false">IF(ISBLANK($C77),"",IF($BX77&lt;&gt;Constants!$B$6,"",IF($BL77="-&gt;",2,1)))</f>
        <v/>
      </c>
      <c r="CS77" s="103" t="str">
        <f aca="false">IF(ISBLANK($C77),"",IF($BX77&lt;&gt;Constants!$B$6,"",IF($BL77="-&gt;",$BN77,$BC77)))</f>
        <v/>
      </c>
      <c r="CT77" s="103" t="str">
        <f aca="false">IF(ISBLANK($C77),"",IF($BX77&lt;&gt;Constants!$B$6,"",IF($BL77="-&gt;",$BO77,$BD77)))</f>
        <v/>
      </c>
      <c r="CU77" s="103" t="str">
        <f aca="false">IF(ISBLANK($C77),"",IF($BX77&lt;&gt;Constants!$B$6,"",IF($BL77="-&gt;",$BP77+$BQ77,$BE77+$BF77)+$CB77))</f>
        <v/>
      </c>
      <c r="CV77" s="103" t="str">
        <f aca="false">IF(ISBLANK($C77),"",IF($BX77&lt;&gt;Constants!$B$6,"",IF($BL77="-&gt;",$BR77,$BG77)+$CA77))</f>
        <v/>
      </c>
      <c r="CW77" s="104" t="str">
        <f aca="false">IF(ISBLANK($C77),"",IF($BX77&lt;&gt;Constants!$B$6,$BX77,$CC77))</f>
        <v/>
      </c>
      <c r="CX77" s="105" t="str">
        <f aca="false">IF(ISBLANK($C77),"",$BY77)</f>
        <v/>
      </c>
      <c r="CY77" s="106" t="str">
        <f aca="false">IF(ISBLANK($C77),"",$CN77)</f>
        <v/>
      </c>
      <c r="CZ77" s="106" t="str">
        <f aca="false">IF(ISBLANK($C77),"",$CM77)</f>
        <v/>
      </c>
      <c r="DA77" s="107" t="str">
        <f aca="false">IF(ISBLANK($C77),"",IFERROR(_xlfn.SWITCH($CZ77,Constants!$B$9,COUNTA($C$9:$C$508)+2,Constants!$B$8,COUNTA($C$9:$C$508)+1,Constants!$B$7,COUNTA($C$9:$C$508)),$CZ77))</f>
        <v/>
      </c>
      <c r="DB77" s="9"/>
      <c r="DC77" s="108" t="n">
        <f aca="false">IF(OR(ISNUMBER($CZ77),$CZ77=Constants!$B$9,$CZ77=Constants!$B$7,$CZ77=Constants!$B$8),1,0)</f>
        <v>0</v>
      </c>
      <c r="DD77" s="108" t="n">
        <v>69</v>
      </c>
      <c r="DE77" s="108" t="str">
        <f aca="false">IF(ISBLANK($C77),"",IF(ISNUMBER($DA77),$DA77+ROW($B77)/1000,""))</f>
        <v/>
      </c>
      <c r="DF77" s="108" t="str">
        <f aca="false">IF(ISNUMBER($DE77),RANK($DE77,$DE$9:$DE$508,1),"")</f>
        <v/>
      </c>
      <c r="DG77" s="108" t="str">
        <f aca="false">IF(ISBLANK($C77),"",$B77)</f>
        <v/>
      </c>
      <c r="DH77" s="108" t="str">
        <f aca="false">IF(ISBLANK($C77),"",$C77)</f>
        <v/>
      </c>
      <c r="DI77" s="108" t="str">
        <f aca="false">IF(ISBLANK($C77),"",$D77)</f>
        <v/>
      </c>
      <c r="DJ77" s="109" t="str">
        <f aca="false">$CX77</f>
        <v/>
      </c>
      <c r="DK77" s="110" t="str">
        <f aca="false">$CW77</f>
        <v/>
      </c>
      <c r="DL77" s="108" t="str">
        <f aca="false">IF(ISBLANK($C77),"",$CZ77)</f>
        <v/>
      </c>
      <c r="DM77" s="111" t="str">
        <f aca="false">IF($DD77&gt;$DC$8,"",VLOOKUP($DD77,$DF$9:$DL$508,7,FALSE()))</f>
        <v/>
      </c>
      <c r="DN77" s="112" t="str">
        <f aca="false">IF($DD77&gt;$DC$8,"",VLOOKUP($DD77,$DF$9:$DL$508,2,FALSE()))</f>
        <v/>
      </c>
      <c r="DO77" s="112" t="str">
        <f aca="false">IF($DD77&gt;$DC$8,"",VLOOKUP($DD77,$DF$9:$DL$508,3,FALSE()))</f>
        <v/>
      </c>
      <c r="DP77" s="112" t="str">
        <f aca="false">IF($DD77&gt;$DC$8,"",VLOOKUP($DD77,$DF$9:$DL$508,4,FALSE()))</f>
        <v/>
      </c>
      <c r="DQ77" s="112" t="str">
        <f aca="false">IF($DD77&gt;$DC$8,"",VLOOKUP($DD77,$DF$9:$DL$508,5,FALSE()))</f>
        <v/>
      </c>
      <c r="DR77" s="113" t="str">
        <f aca="false">IF($DD77&gt;$DC$8,"",VLOOKUP($DD77,$DF$9:$DL$508,6,FALSE()))</f>
        <v/>
      </c>
      <c r="DS77" s="76"/>
    </row>
    <row r="78" customFormat="false" ht="15.75" hidden="false" customHeight="false" outlineLevel="0" collapsed="false">
      <c r="A78" s="9"/>
      <c r="B78" s="160"/>
      <c r="C78" s="161"/>
      <c r="D78" s="162"/>
      <c r="E78" s="180"/>
      <c r="F78" s="164"/>
      <c r="G78" s="165"/>
      <c r="H78" s="165"/>
      <c r="I78" s="181"/>
      <c r="J78" s="168"/>
      <c r="K78" s="128"/>
      <c r="L78" s="129"/>
      <c r="M78" s="130"/>
      <c r="N78" s="168"/>
      <c r="O78" s="168"/>
      <c r="P78" s="180"/>
      <c r="Q78" s="168"/>
      <c r="R78" s="168"/>
      <c r="S78" s="128"/>
      <c r="T78" s="130"/>
      <c r="U78" s="130"/>
      <c r="V78" s="168"/>
      <c r="W78" s="168"/>
      <c r="X78" s="180"/>
      <c r="Y78" s="168"/>
      <c r="Z78" s="169"/>
      <c r="AA78" s="168"/>
      <c r="AB78" s="134"/>
      <c r="AC78" s="135"/>
      <c r="AD78" s="135"/>
      <c r="AE78" s="135"/>
      <c r="AF78" s="135" t="str">
        <f aca="false">IF(ISBLANK($C78),"",IF(E78=Constants!$B$2,TRUE(),IF(E78=Constants!$B$3,FALSE(),TRUE())))</f>
        <v/>
      </c>
      <c r="AG78" s="135" t="str">
        <f aca="false">IF(ISBLANK($C78),"",IF(F78=Constants!$B$2,TRUE(),IF(F78=Constants!$B$3,FALSE(),TRUE())))</f>
        <v/>
      </c>
      <c r="AH78" s="135" t="str">
        <f aca="false">IF(ISBLANK($C78),"",IF(G78=Constants!$B$2,TRUE(),IF(G78=Constants!$B$3,FALSE(),TRUE())))</f>
        <v/>
      </c>
      <c r="AI78" s="135" t="str">
        <f aca="false">IF(ISBLANK($C78),"",IF(AND(ISNUMBER(H78),H78&gt;=0),H78,Constants!$B$24))</f>
        <v/>
      </c>
      <c r="AJ78" s="135" t="str">
        <f aca="false">IF(ISBLANK($C78),"",IF(I78=Constants!$B$2,TRUE(),IF(I78=Constants!$B$3,FALSE(),TRUE())))</f>
        <v/>
      </c>
      <c r="AK78" s="135" t="str">
        <f aca="false">IF(ISBLANK($C78),"",IF(J78=Constants!$B$2,TRUE(),IF(J78=Constants!$B$3,FALSE(),TRUE())))</f>
        <v/>
      </c>
      <c r="AL78" s="135" t="str">
        <f aca="false">IF(ISBLANK($C78),"",IF(K78=Constants!$B$4,TRUE(),IF(K78=Constants!$B$5,FALSE(),COUNTA(L78:P78)&gt;0)))</f>
        <v/>
      </c>
      <c r="AM78" s="136" t="str">
        <f aca="false">IF(ISBLANK($C78),"",IF(ISNUMBER(L78),IF(L78&gt;=0,L78,""),""))</f>
        <v/>
      </c>
      <c r="AN78" s="137" t="str">
        <f aca="false">IF(ISBLANK($C78),"",IF(ISNUMBER(M78),IF(M78&gt;=0,M78,""),""))</f>
        <v/>
      </c>
      <c r="AO78" s="137" t="str">
        <f aca="false">IF(ISBLANK($C78),"",IF(N78=Constants!$B$2,TRUE(),IF(N78=Constants!$B$3,FALSE(),TRUE())))</f>
        <v/>
      </c>
      <c r="AP78" s="135" t="str">
        <f aca="false">IF(ISBLANK($C78),"",IF(ISNUMBER(O78),IF(O78&gt;=0,O78,""),""))</f>
        <v/>
      </c>
      <c r="AQ78" s="135" t="str">
        <f aca="false">IF(ISBLANK($C78),"",IF(P78=Constants!$B$2,TRUE(),IF(P78=Constants!$B$3,FALSE(),FALSE())))</f>
        <v/>
      </c>
      <c r="AR78" s="135" t="str">
        <f aca="false">IF(ISBLANK($C78),"",IF(Q78=Constants!$B$2,TRUE(),IF(Q78=Constants!$B$3,FALSE(),TRUE())))</f>
        <v/>
      </c>
      <c r="AS78" s="135" t="str">
        <f aca="false">IF(ISBLANK($C78),"",IF(R78=Constants!$B$2,TRUE(),IF(R78=Constants!$B$3,FALSE(),TRUE())))</f>
        <v/>
      </c>
      <c r="AT78" s="135" t="str">
        <f aca="false">IF(ISBLANK($C78),"",IF(S78=Constants!$B$4,TRUE(),IF(S78=Constants!$B$5,FALSE(),COUNTA(T78:X78)&gt;0)))</f>
        <v/>
      </c>
      <c r="AU78" s="136" t="str">
        <f aca="false">IF(ISBLANK($C78),"",IF(ISNUMBER(T78),IF(T78&gt;=0,T78,""),""))</f>
        <v/>
      </c>
      <c r="AV78" s="137" t="str">
        <f aca="false">IF(ISBLANK($C78),"",IF(ISNUMBER(U78),IF(U78&gt;=0,U78,""),""))</f>
        <v/>
      </c>
      <c r="AW78" s="137" t="str">
        <f aca="false">IF(ISBLANK($C78),"",IF(V78=Constants!$B$2,TRUE(),IF(V78=Constants!$B$3,FALSE(),TRUE())))</f>
        <v/>
      </c>
      <c r="AX78" s="135" t="str">
        <f aca="false">IF(ISBLANK($C78),"",IF(ISNUMBER(W78),IF(W78&gt;=0,W78,""),""))</f>
        <v/>
      </c>
      <c r="AY78" s="135" t="str">
        <f aca="false">IF(ISBLANK($C78),"",IF(X78=Constants!$B$2,TRUE(),IF(X78=Constants!$B$3,FALSE(),FALSE())))</f>
        <v/>
      </c>
      <c r="AZ78" s="135" t="str">
        <f aca="false">IF(ISBLANK($C78),"",MIN(Constants!$B$25,MAX(0,IF(ISNUMBER(Y78),Y78*60,0)+IF(ISNUMBER(Z78),Z78,0))))</f>
        <v/>
      </c>
      <c r="BA78" s="135" t="str">
        <f aca="false">IF(ISBLANK($C78),"",IF(AA78=Constants!$B$2,TRUE(),IF(AA78=Constants!$B$3,FALSE(),FALSE())))</f>
        <v/>
      </c>
      <c r="BB78" s="134" t="str">
        <f aca="false">IF(ISBLANK($C78),"",AND($AL78,OR($AM78="",$AN78="",AND($AO78,$AP78=""))))</f>
        <v/>
      </c>
      <c r="BC78" s="137" t="str">
        <f aca="false">IF($BX78&lt;&gt;Constants!$B$6,"",IF($AL78,Constants!$B$17*$AN78+Constants!$B$18*IF($AO78,$AP78,Constants!$B$19),Constants!$B$20))</f>
        <v/>
      </c>
      <c r="BD78" s="138" t="str">
        <f aca="false">IF($BX78&lt;&gt;Constants!$B$6,"",Constants!$B$21*ABS($AD$9-IF($AL78,$AM78,0)))</f>
        <v/>
      </c>
      <c r="BE78" s="138" t="str">
        <f aca="false">IF($BX78&lt;&gt;Constants!$B$6,"",IF(AND($AL78,$AQ78,$AO78),Constants!$B$22,0))</f>
        <v/>
      </c>
      <c r="BF78" s="138" t="str">
        <f aca="false">IF($BX78&lt;&gt;Constants!$B$6,"",IF($AL78,($AI78-Constants!$B$24)*Constants!$B$23,0))</f>
        <v/>
      </c>
      <c r="BG78" s="138" t="str">
        <f aca="false">IF($BX78&lt;&gt;Constants!$B$6,"",IF($AK78,0,Constants!$B$12)+IF($AJ78,0,Constants!$B$13)+IF($AH78,0,Constants!$B$14))</f>
        <v/>
      </c>
      <c r="BH78" s="139" t="str">
        <f aca="false">IF($BX78&lt;&gt;Constants!$B$6,"",Constants!$B$16+SUM($BC78:$BG78))</f>
        <v/>
      </c>
      <c r="BI78" s="138" t="str">
        <f aca="false">IF($BX78&lt;&gt;Constants!$B$6,"",$BC78)</f>
        <v/>
      </c>
      <c r="BJ78" s="138" t="str">
        <f aca="false">IF($BX78&lt;&gt;Constants!$B$6,"",$BD78)</f>
        <v/>
      </c>
      <c r="BK78" s="140" t="str">
        <f aca="false">IF($BX78&lt;&gt;Constants!$B$6,"",IF($AL78,$AN78,""))</f>
        <v/>
      </c>
      <c r="BL78" s="135" t="str">
        <f aca="false">IF($BX78&lt;&gt;Constants!$B$6,"",IF(OR($BS78&lt;$BH78,AND($BS78=$BH78,OR($BT78&lt;$BI78,AND($BT78=$BI78,OR($BU78&lt;$BJ78,AND($BU78=$BJ78,AND(ISNUMBER($BV78),OR(NOT(ISNUMBER($BK78)),$BV78&lt;$BK78)))))))),"-&gt;","&lt;-"))</f>
        <v/>
      </c>
      <c r="BM78" s="134" t="str">
        <f aca="false">IF(ISBLANK($C78),"",AND($AT78,OR($AU78="",$AV78="",AND($AW78,$AX78=""))))</f>
        <v/>
      </c>
      <c r="BN78" s="137" t="str">
        <f aca="false">IF($BX78&lt;&gt;Constants!$B$6,"",IF($AT78,Constants!$B$17*$AV78+Constants!$B$18*IF($AW78,$AX78,Constants!$B$19),Constants!$B$20))</f>
        <v/>
      </c>
      <c r="BO78" s="138" t="str">
        <f aca="false">IF($BX78&lt;&gt;Constants!$B$6,"",Constants!$B$21*ABS($AD$9-IF($AT78,$AU78,0)))</f>
        <v/>
      </c>
      <c r="BP78" s="138" t="str">
        <f aca="false">IF($BX78&lt;&gt;Constants!$B$6,"",IF(AND($AT78,$AY78,$AW78),Constants!$B$22,0))</f>
        <v/>
      </c>
      <c r="BQ78" s="138" t="str">
        <f aca="false">IF($BX78&lt;&gt;Constants!$B$6,"",IF($AT78,($AI78-Constants!$B$24)*Constants!$B$23,0))</f>
        <v/>
      </c>
      <c r="BR78" s="138" t="str">
        <f aca="false">IF($BX78&lt;&gt;Constants!$B$6,"",IF($AS78,0,Constants!$B$12)+IF($AR78,0,Constants!$B$13)+IF($AH78,0,Constants!$B$14))</f>
        <v/>
      </c>
      <c r="BS78" s="139" t="str">
        <f aca="false">IF($BX78&lt;&gt;Constants!$B$6,"",Constants!$B$16+SUM($BN78:$BR78))</f>
        <v/>
      </c>
      <c r="BT78" s="138" t="str">
        <f aca="false">IF($BX78&lt;&gt;Constants!$B$6,"",$BN78)</f>
        <v/>
      </c>
      <c r="BU78" s="138" t="str">
        <f aca="false">IF($BX78&lt;&gt;Constants!$B$6,"",$BO78)</f>
        <v/>
      </c>
      <c r="BV78" s="140" t="str">
        <f aca="false">IF($BX78&lt;&gt;Constants!$B$6,"",IF($AT78,$AV78,""))</f>
        <v/>
      </c>
      <c r="BW78" s="135" t="str">
        <f aca="false">IF(ISBLANK($C78),"",IF(ISBLANK($D$7),$BW$5,IF(NOT(ISNUMBER($D$7)),$BW$6,"")))</f>
        <v/>
      </c>
      <c r="BX78" s="135" t="str">
        <f aca="false">IF(ISBLANK($C78),"",IF($BA78,Constants!$B$9,IF(COUNTA($E78:$AA78)=0,Constants!$B$8,IF(NOT($AG78),Constants!$B$7,IF(OR($BW78&lt;&gt;"",$BB78,$BM78),Constants!$B$10,Constants!$B$6)))))</f>
        <v/>
      </c>
      <c r="BY78" s="135" t="str">
        <f aca="false">IF(ISBLANK($C78),"",IF($BX78&lt;&gt;Constants!$B$6,$BX78,Constants!$B$11))</f>
        <v/>
      </c>
      <c r="BZ78" s="138" t="str">
        <f aca="false">IF($BX78&lt;&gt;Constants!$B$6,"",IF($BL78="-&gt;",$BS78,$BH78))</f>
        <v/>
      </c>
      <c r="CA78" s="138" t="str">
        <f aca="false">IF($BX78&lt;&gt;Constants!$B$6,"",IF($AF78,0,Constants!$B$15))</f>
        <v/>
      </c>
      <c r="CB78" s="138" t="str">
        <f aca="false">IF($BX78&lt;&gt;Constants!$B$6,"",((Constants!$B$25-$AZ78)-Constants!$B$25)/Constants!$B$26)</f>
        <v/>
      </c>
      <c r="CC78" s="138" t="str">
        <f aca="false">IF(ISBLANK($C78),"",IF($BX78&lt;&gt;Constants!$B$6,$BX78,SUM($BZ78:$CB78)))</f>
        <v/>
      </c>
      <c r="CD78" s="135" t="str">
        <f aca="false">IF(ISBLANK($C78),"",IF($BX78&lt;&gt;Constants!$B$6,$BX78,RANK($CC78,$CC$9:$CC$508,1)))</f>
        <v/>
      </c>
      <c r="CE78" s="138" t="str">
        <f aca="false">IF($BX78&lt;&gt;Constants!$B$6,"",IF($BL78="-&gt;",$BT78,$BI78))</f>
        <v/>
      </c>
      <c r="CF78" s="135" t="str">
        <f aca="false">IF(ISBLANK($C78),"",IF($BX78&lt;&gt;Constants!$B$6,$BX78,IF(ISNUMBER($CE78),RANK($CE78,$CE$9:$CE$508,1),COUNT($CE$9:$CE$508)+1)))</f>
        <v/>
      </c>
      <c r="CG78" s="138" t="str">
        <f aca="false">IF($BX78&lt;&gt;Constants!$B$6,"",IF($BL78="-&gt;",$BU78,$BJ78))</f>
        <v/>
      </c>
      <c r="CH78" s="135" t="str">
        <f aca="false">IF(ISBLANK($C78),"",IF($BX78&lt;&gt;Constants!$B$6,$BX78,IF(ISNUMBER($CG78),RANK($CG78,$CG$9:$CG$508,1),COUNT($CG$9:$CG$508)+1)))</f>
        <v/>
      </c>
      <c r="CI78" s="138" t="str">
        <f aca="false">IF($BX78&lt;&gt;Constants!$B$6,"",IF($BL78="-&gt;",$BV78,$BK78))</f>
        <v/>
      </c>
      <c r="CJ78" s="135" t="str">
        <f aca="false">IF(ISBLANK($C78),"",IF($BX78&lt;&gt;Constants!$B$6,$BX78,IF(ISNUMBER($CI78),RANK($CI78,$CI$9:$CI$508,1),COUNT($CI$9:$CI$508)+1)))</f>
        <v/>
      </c>
      <c r="CK78" s="138" t="str">
        <f aca="false">IF($BX78&lt;&gt;Constants!$B$6,"",$AI78)</f>
        <v/>
      </c>
      <c r="CL78" s="135" t="str">
        <f aca="false">IF(ISBLANK($C78),"",IF($BX78&lt;&gt;Constants!$B$6,$BX78,IF(ISNUMBER($CK78),RANK($CK78,$CK$9:$CK$508,1),COUNT($CK$9:$CK$508)+1)))</f>
        <v/>
      </c>
      <c r="CM78" s="135" t="str">
        <f aca="false">IF(ISBLANK($C78),"",IF($BX78&lt;&gt;Constants!$B$6,$BX78,COUNTIFS($CD$9:$CD$508,"&lt;"&amp;$CD78)+COUNTIFS($CD$9:$CD$508,$CD78,$CF$9:$CF$508,"&lt;"&amp;$CF78)+COUNTIFS($CD$9:$CD$508,$CD78,$CF$9:$CF$508,$CF78,$CH$9:$CH$508,"&lt;"&amp;$CH78)+COUNTIFS($CD$9:$CD$508,$CD78,$CF$9:$CF$508,$CF78,$CH$9:$CH$508,$CH78,$CJ$9:$CJ$508,"&lt;"&amp;$CJ78)+COUNTIFS($CD$9:$CD$508,$CD78,$CF$9:$CF$508,$CF78,$CH$9:$CH$508,$CH78,$CJ$9:$CJ$508,$CJ78,$CL$9:$CL$508,"&lt;"&amp;$CL78)+1))</f>
        <v/>
      </c>
      <c r="CN78" s="135" t="str">
        <f aca="false">IF(ISBLANK($C78),"",IF($BX78&lt;&gt;Constants!$B$6,$BX78,$CD78-$CM78))</f>
        <v/>
      </c>
      <c r="CO78" s="141"/>
      <c r="CP78" s="142"/>
      <c r="CQ78" s="143" t="str">
        <f aca="false">IF(ISBLANK($C78),"",IF($BX78=Constants!$B$10,$BW78,""))</f>
        <v/>
      </c>
      <c r="CR78" s="142" t="str">
        <f aca="false">IF(ISBLANK($C78),"",IF($BX78&lt;&gt;Constants!$B$6,"",IF($BL78="-&gt;",2,1)))</f>
        <v/>
      </c>
      <c r="CS78" s="144" t="str">
        <f aca="false">IF(ISBLANK($C78),"",IF($BX78&lt;&gt;Constants!$B$6,"",IF($BL78="-&gt;",$BN78,$BC78)))</f>
        <v/>
      </c>
      <c r="CT78" s="144" t="str">
        <f aca="false">IF(ISBLANK($C78),"",IF($BX78&lt;&gt;Constants!$B$6,"",IF($BL78="-&gt;",$BO78,$BD78)))</f>
        <v/>
      </c>
      <c r="CU78" s="144" t="str">
        <f aca="false">IF(ISBLANK($C78),"",IF($BX78&lt;&gt;Constants!$B$6,"",IF($BL78="-&gt;",$BP78+$BQ78,$BE78+$BF78)+$CB78))</f>
        <v/>
      </c>
      <c r="CV78" s="144" t="str">
        <f aca="false">IF(ISBLANK($C78),"",IF($BX78&lt;&gt;Constants!$B$6,"",IF($BL78="-&gt;",$BR78,$BG78)+$CA78))</f>
        <v/>
      </c>
      <c r="CW78" s="145" t="str">
        <f aca="false">IF(ISBLANK($C78),"",IF($BX78&lt;&gt;Constants!$B$6,$BX78,$CC78))</f>
        <v/>
      </c>
      <c r="CX78" s="146" t="str">
        <f aca="false">IF(ISBLANK($C78),"",$BY78)</f>
        <v/>
      </c>
      <c r="CY78" s="147" t="str">
        <f aca="false">IF(ISBLANK($C78),"",$CN78)</f>
        <v/>
      </c>
      <c r="CZ78" s="147" t="str">
        <f aca="false">IF(ISBLANK($C78),"",$CM78)</f>
        <v/>
      </c>
      <c r="DA78" s="148" t="str">
        <f aca="false">IF(ISBLANK($C78),"",IFERROR(_xlfn.SWITCH($CZ78,Constants!$B$9,COUNTA($C$9:$C$508)+2,Constants!$B$8,COUNTA($C$9:$C$508)+1,Constants!$B$7,COUNTA($C$9:$C$508)),$CZ78))</f>
        <v/>
      </c>
      <c r="DB78" s="9"/>
      <c r="DC78" s="149" t="n">
        <f aca="false">IF(OR(ISNUMBER($CZ78),$CZ78=Constants!$B$9,$CZ78=Constants!$B$7,$CZ78=Constants!$B$8),1,0)</f>
        <v>0</v>
      </c>
      <c r="DD78" s="149" t="n">
        <v>70</v>
      </c>
      <c r="DE78" s="149" t="str">
        <f aca="false">IF(ISBLANK($C78),"",IF(ISNUMBER($DA78),$DA78+ROW($B78)/1000,""))</f>
        <v/>
      </c>
      <c r="DF78" s="149" t="str">
        <f aca="false">IF(ISNUMBER($DE78),RANK($DE78,$DE$9:$DE$508,1),"")</f>
        <v/>
      </c>
      <c r="DG78" s="149" t="str">
        <f aca="false">IF(ISBLANK($C78),"",$B78)</f>
        <v/>
      </c>
      <c r="DH78" s="149" t="str">
        <f aca="false">IF(ISBLANK($C78),"",$C78)</f>
        <v/>
      </c>
      <c r="DI78" s="149" t="str">
        <f aca="false">IF(ISBLANK($C78),"",$D78)</f>
        <v/>
      </c>
      <c r="DJ78" s="150" t="str">
        <f aca="false">$CX78</f>
        <v/>
      </c>
      <c r="DK78" s="151" t="str">
        <f aca="false">$CW78</f>
        <v/>
      </c>
      <c r="DL78" s="149" t="str">
        <f aca="false">IF(ISBLANK($C78),"",$CZ78)</f>
        <v/>
      </c>
      <c r="DM78" s="152" t="str">
        <f aca="false">IF($DD78&gt;$DC$8,"",VLOOKUP($DD78,$DF$9:$DL$508,7,FALSE()))</f>
        <v/>
      </c>
      <c r="DN78" s="153" t="str">
        <f aca="false">IF($DD78&gt;$DC$8,"",VLOOKUP($DD78,$DF$9:$DL$508,2,FALSE()))</f>
        <v/>
      </c>
      <c r="DO78" s="153" t="str">
        <f aca="false">IF($DD78&gt;$DC$8,"",VLOOKUP($DD78,$DF$9:$DL$508,3,FALSE()))</f>
        <v/>
      </c>
      <c r="DP78" s="153" t="str">
        <f aca="false">IF($DD78&gt;$DC$8,"",VLOOKUP($DD78,$DF$9:$DL$508,4,FALSE()))</f>
        <v/>
      </c>
      <c r="DQ78" s="153" t="str">
        <f aca="false">IF($DD78&gt;$DC$8,"",VLOOKUP($DD78,$DF$9:$DL$508,5,FALSE()))</f>
        <v/>
      </c>
      <c r="DR78" s="154" t="str">
        <f aca="false">IF($DD78&gt;$DC$8,"",VLOOKUP($DD78,$DF$9:$DL$508,6,FALSE()))</f>
        <v/>
      </c>
      <c r="DS78" s="76"/>
    </row>
    <row r="79" customFormat="false" ht="15.75" hidden="false" customHeight="false" outlineLevel="0" collapsed="false">
      <c r="A79" s="9"/>
      <c r="B79" s="160"/>
      <c r="C79" s="161"/>
      <c r="D79" s="162"/>
      <c r="E79" s="180"/>
      <c r="F79" s="164"/>
      <c r="G79" s="165"/>
      <c r="H79" s="165"/>
      <c r="I79" s="181"/>
      <c r="J79" s="168"/>
      <c r="K79" s="128"/>
      <c r="L79" s="129"/>
      <c r="M79" s="130"/>
      <c r="N79" s="168"/>
      <c r="O79" s="168"/>
      <c r="P79" s="180"/>
      <c r="Q79" s="168"/>
      <c r="R79" s="168"/>
      <c r="S79" s="128"/>
      <c r="T79" s="130"/>
      <c r="U79" s="130"/>
      <c r="V79" s="168"/>
      <c r="W79" s="168"/>
      <c r="X79" s="180"/>
      <c r="Y79" s="168"/>
      <c r="Z79" s="169"/>
      <c r="AA79" s="168"/>
      <c r="AB79" s="134"/>
      <c r="AC79" s="135"/>
      <c r="AD79" s="135"/>
      <c r="AE79" s="135"/>
      <c r="AF79" s="135" t="str">
        <f aca="false">IF(ISBLANK($C79),"",IF(E79=Constants!$B$2,TRUE(),IF(E79=Constants!$B$3,FALSE(),TRUE())))</f>
        <v/>
      </c>
      <c r="AG79" s="135" t="str">
        <f aca="false">IF(ISBLANK($C79),"",IF(F79=Constants!$B$2,TRUE(),IF(F79=Constants!$B$3,FALSE(),TRUE())))</f>
        <v/>
      </c>
      <c r="AH79" s="135" t="str">
        <f aca="false">IF(ISBLANK($C79),"",IF(G79=Constants!$B$2,TRUE(),IF(G79=Constants!$B$3,FALSE(),TRUE())))</f>
        <v/>
      </c>
      <c r="AI79" s="135" t="str">
        <f aca="false">IF(ISBLANK($C79),"",IF(AND(ISNUMBER(H79),H79&gt;=0),H79,Constants!$B$24))</f>
        <v/>
      </c>
      <c r="AJ79" s="135" t="str">
        <f aca="false">IF(ISBLANK($C79),"",IF(I79=Constants!$B$2,TRUE(),IF(I79=Constants!$B$3,FALSE(),TRUE())))</f>
        <v/>
      </c>
      <c r="AK79" s="135" t="str">
        <f aca="false">IF(ISBLANK($C79),"",IF(J79=Constants!$B$2,TRUE(),IF(J79=Constants!$B$3,FALSE(),TRUE())))</f>
        <v/>
      </c>
      <c r="AL79" s="135" t="str">
        <f aca="false">IF(ISBLANK($C79),"",IF(K79=Constants!$B$4,TRUE(),IF(K79=Constants!$B$5,FALSE(),COUNTA(L79:P79)&gt;0)))</f>
        <v/>
      </c>
      <c r="AM79" s="136" t="str">
        <f aca="false">IF(ISBLANK($C79),"",IF(ISNUMBER(L79),IF(L79&gt;=0,L79,""),""))</f>
        <v/>
      </c>
      <c r="AN79" s="137" t="str">
        <f aca="false">IF(ISBLANK($C79),"",IF(ISNUMBER(M79),IF(M79&gt;=0,M79,""),""))</f>
        <v/>
      </c>
      <c r="AO79" s="137" t="str">
        <f aca="false">IF(ISBLANK($C79),"",IF(N79=Constants!$B$2,TRUE(),IF(N79=Constants!$B$3,FALSE(),TRUE())))</f>
        <v/>
      </c>
      <c r="AP79" s="135" t="str">
        <f aca="false">IF(ISBLANK($C79),"",IF(ISNUMBER(O79),IF(O79&gt;=0,O79,""),""))</f>
        <v/>
      </c>
      <c r="AQ79" s="135" t="str">
        <f aca="false">IF(ISBLANK($C79),"",IF(P79=Constants!$B$2,TRUE(),IF(P79=Constants!$B$3,FALSE(),FALSE())))</f>
        <v/>
      </c>
      <c r="AR79" s="135" t="str">
        <f aca="false">IF(ISBLANK($C79),"",IF(Q79=Constants!$B$2,TRUE(),IF(Q79=Constants!$B$3,FALSE(),TRUE())))</f>
        <v/>
      </c>
      <c r="AS79" s="135" t="str">
        <f aca="false">IF(ISBLANK($C79),"",IF(R79=Constants!$B$2,TRUE(),IF(R79=Constants!$B$3,FALSE(),TRUE())))</f>
        <v/>
      </c>
      <c r="AT79" s="135" t="str">
        <f aca="false">IF(ISBLANK($C79),"",IF(S79=Constants!$B$4,TRUE(),IF(S79=Constants!$B$5,FALSE(),COUNTA(T79:X79)&gt;0)))</f>
        <v/>
      </c>
      <c r="AU79" s="136" t="str">
        <f aca="false">IF(ISBLANK($C79),"",IF(ISNUMBER(T79),IF(T79&gt;=0,T79,""),""))</f>
        <v/>
      </c>
      <c r="AV79" s="137" t="str">
        <f aca="false">IF(ISBLANK($C79),"",IF(ISNUMBER(U79),IF(U79&gt;=0,U79,""),""))</f>
        <v/>
      </c>
      <c r="AW79" s="137" t="str">
        <f aca="false">IF(ISBLANK($C79),"",IF(V79=Constants!$B$2,TRUE(),IF(V79=Constants!$B$3,FALSE(),TRUE())))</f>
        <v/>
      </c>
      <c r="AX79" s="135" t="str">
        <f aca="false">IF(ISBLANK($C79),"",IF(ISNUMBER(W79),IF(W79&gt;=0,W79,""),""))</f>
        <v/>
      </c>
      <c r="AY79" s="135" t="str">
        <f aca="false">IF(ISBLANK($C79),"",IF(X79=Constants!$B$2,TRUE(),IF(X79=Constants!$B$3,FALSE(),FALSE())))</f>
        <v/>
      </c>
      <c r="AZ79" s="135" t="str">
        <f aca="false">IF(ISBLANK($C79),"",MIN(Constants!$B$25,MAX(0,IF(ISNUMBER(Y79),Y79*60,0)+IF(ISNUMBER(Z79),Z79,0))))</f>
        <v/>
      </c>
      <c r="BA79" s="135" t="str">
        <f aca="false">IF(ISBLANK($C79),"",IF(AA79=Constants!$B$2,TRUE(),IF(AA79=Constants!$B$3,FALSE(),FALSE())))</f>
        <v/>
      </c>
      <c r="BB79" s="134" t="str">
        <f aca="false">IF(ISBLANK($C79),"",AND($AL79,OR($AM79="",$AN79="",AND($AO79,$AP79=""))))</f>
        <v/>
      </c>
      <c r="BC79" s="137" t="str">
        <f aca="false">IF($BX79&lt;&gt;Constants!$B$6,"",IF($AL79,Constants!$B$17*$AN79+Constants!$B$18*IF($AO79,$AP79,Constants!$B$19),Constants!$B$20))</f>
        <v/>
      </c>
      <c r="BD79" s="138" t="str">
        <f aca="false">IF($BX79&lt;&gt;Constants!$B$6,"",Constants!$B$21*ABS($AD$9-IF($AL79,$AM79,0)))</f>
        <v/>
      </c>
      <c r="BE79" s="138" t="str">
        <f aca="false">IF($BX79&lt;&gt;Constants!$B$6,"",IF(AND($AL79,$AQ79,$AO79),Constants!$B$22,0))</f>
        <v/>
      </c>
      <c r="BF79" s="138" t="str">
        <f aca="false">IF($BX79&lt;&gt;Constants!$B$6,"",IF($AL79,($AI79-Constants!$B$24)*Constants!$B$23,0))</f>
        <v/>
      </c>
      <c r="BG79" s="138" t="str">
        <f aca="false">IF($BX79&lt;&gt;Constants!$B$6,"",IF($AK79,0,Constants!$B$12)+IF($AJ79,0,Constants!$B$13)+IF($AH79,0,Constants!$B$14))</f>
        <v/>
      </c>
      <c r="BH79" s="139" t="str">
        <f aca="false">IF($BX79&lt;&gt;Constants!$B$6,"",Constants!$B$16+SUM($BC79:$BG79))</f>
        <v/>
      </c>
      <c r="BI79" s="138" t="str">
        <f aca="false">IF($BX79&lt;&gt;Constants!$B$6,"",$BC79)</f>
        <v/>
      </c>
      <c r="BJ79" s="138" t="str">
        <f aca="false">IF($BX79&lt;&gt;Constants!$B$6,"",$BD79)</f>
        <v/>
      </c>
      <c r="BK79" s="140" t="str">
        <f aca="false">IF($BX79&lt;&gt;Constants!$B$6,"",IF($AL79,$AN79,""))</f>
        <v/>
      </c>
      <c r="BL79" s="135" t="str">
        <f aca="false">IF($BX79&lt;&gt;Constants!$B$6,"",IF(OR($BS79&lt;$BH79,AND($BS79=$BH79,OR($BT79&lt;$BI79,AND($BT79=$BI79,OR($BU79&lt;$BJ79,AND($BU79=$BJ79,AND(ISNUMBER($BV79),OR(NOT(ISNUMBER($BK79)),$BV79&lt;$BK79)))))))),"-&gt;","&lt;-"))</f>
        <v/>
      </c>
      <c r="BM79" s="134" t="str">
        <f aca="false">IF(ISBLANK($C79),"",AND($AT79,OR($AU79="",$AV79="",AND($AW79,$AX79=""))))</f>
        <v/>
      </c>
      <c r="BN79" s="137" t="str">
        <f aca="false">IF($BX79&lt;&gt;Constants!$B$6,"",IF($AT79,Constants!$B$17*$AV79+Constants!$B$18*IF($AW79,$AX79,Constants!$B$19),Constants!$B$20))</f>
        <v/>
      </c>
      <c r="BO79" s="138" t="str">
        <f aca="false">IF($BX79&lt;&gt;Constants!$B$6,"",Constants!$B$21*ABS($AD$9-IF($AT79,$AU79,0)))</f>
        <v/>
      </c>
      <c r="BP79" s="138" t="str">
        <f aca="false">IF($BX79&lt;&gt;Constants!$B$6,"",IF(AND($AT79,$AY79,$AW79),Constants!$B$22,0))</f>
        <v/>
      </c>
      <c r="BQ79" s="138" t="str">
        <f aca="false">IF($BX79&lt;&gt;Constants!$B$6,"",IF($AT79,($AI79-Constants!$B$24)*Constants!$B$23,0))</f>
        <v/>
      </c>
      <c r="BR79" s="138" t="str">
        <f aca="false">IF($BX79&lt;&gt;Constants!$B$6,"",IF($AS79,0,Constants!$B$12)+IF($AR79,0,Constants!$B$13)+IF($AH79,0,Constants!$B$14))</f>
        <v/>
      </c>
      <c r="BS79" s="139" t="str">
        <f aca="false">IF($BX79&lt;&gt;Constants!$B$6,"",Constants!$B$16+SUM($BN79:$BR79))</f>
        <v/>
      </c>
      <c r="BT79" s="138" t="str">
        <f aca="false">IF($BX79&lt;&gt;Constants!$B$6,"",$BN79)</f>
        <v/>
      </c>
      <c r="BU79" s="138" t="str">
        <f aca="false">IF($BX79&lt;&gt;Constants!$B$6,"",$BO79)</f>
        <v/>
      </c>
      <c r="BV79" s="140" t="str">
        <f aca="false">IF($BX79&lt;&gt;Constants!$B$6,"",IF($AT79,$AV79,""))</f>
        <v/>
      </c>
      <c r="BW79" s="135" t="str">
        <f aca="false">IF(ISBLANK($C79),"",IF(ISBLANK($D$7),$BW$5,IF(NOT(ISNUMBER($D$7)),$BW$6,"")))</f>
        <v/>
      </c>
      <c r="BX79" s="135" t="str">
        <f aca="false">IF(ISBLANK($C79),"",IF($BA79,Constants!$B$9,IF(COUNTA($E79:$AA79)=0,Constants!$B$8,IF(NOT($AG79),Constants!$B$7,IF(OR($BW79&lt;&gt;"",$BB79,$BM79),Constants!$B$10,Constants!$B$6)))))</f>
        <v/>
      </c>
      <c r="BY79" s="135" t="str">
        <f aca="false">IF(ISBLANK($C79),"",IF($BX79&lt;&gt;Constants!$B$6,$BX79,Constants!$B$11))</f>
        <v/>
      </c>
      <c r="BZ79" s="138" t="str">
        <f aca="false">IF($BX79&lt;&gt;Constants!$B$6,"",IF($BL79="-&gt;",$BS79,$BH79))</f>
        <v/>
      </c>
      <c r="CA79" s="138" t="str">
        <f aca="false">IF($BX79&lt;&gt;Constants!$B$6,"",IF($AF79,0,Constants!$B$15))</f>
        <v/>
      </c>
      <c r="CB79" s="138" t="str">
        <f aca="false">IF($BX79&lt;&gt;Constants!$B$6,"",((Constants!$B$25-$AZ79)-Constants!$B$25)/Constants!$B$26)</f>
        <v/>
      </c>
      <c r="CC79" s="138" t="str">
        <f aca="false">IF(ISBLANK($C79),"",IF($BX79&lt;&gt;Constants!$B$6,$BX79,SUM($BZ79:$CB79)))</f>
        <v/>
      </c>
      <c r="CD79" s="135" t="str">
        <f aca="false">IF(ISBLANK($C79),"",IF($BX79&lt;&gt;Constants!$B$6,$BX79,RANK($CC79,$CC$9:$CC$508,1)))</f>
        <v/>
      </c>
      <c r="CE79" s="138" t="str">
        <f aca="false">IF($BX79&lt;&gt;Constants!$B$6,"",IF($BL79="-&gt;",$BT79,$BI79))</f>
        <v/>
      </c>
      <c r="CF79" s="135" t="str">
        <f aca="false">IF(ISBLANK($C79),"",IF($BX79&lt;&gt;Constants!$B$6,$BX79,IF(ISNUMBER($CE79),RANK($CE79,$CE$9:$CE$508,1),COUNT($CE$9:$CE$508)+1)))</f>
        <v/>
      </c>
      <c r="CG79" s="138" t="str">
        <f aca="false">IF($BX79&lt;&gt;Constants!$B$6,"",IF($BL79="-&gt;",$BU79,$BJ79))</f>
        <v/>
      </c>
      <c r="CH79" s="135" t="str">
        <f aca="false">IF(ISBLANK($C79),"",IF($BX79&lt;&gt;Constants!$B$6,$BX79,IF(ISNUMBER($CG79),RANK($CG79,$CG$9:$CG$508,1),COUNT($CG$9:$CG$508)+1)))</f>
        <v/>
      </c>
      <c r="CI79" s="138" t="str">
        <f aca="false">IF($BX79&lt;&gt;Constants!$B$6,"",IF($BL79="-&gt;",$BV79,$BK79))</f>
        <v/>
      </c>
      <c r="CJ79" s="135" t="str">
        <f aca="false">IF(ISBLANK($C79),"",IF($BX79&lt;&gt;Constants!$B$6,$BX79,IF(ISNUMBER($CI79),RANK($CI79,$CI$9:$CI$508,1),COUNT($CI$9:$CI$508)+1)))</f>
        <v/>
      </c>
      <c r="CK79" s="138" t="str">
        <f aca="false">IF($BX79&lt;&gt;Constants!$B$6,"",$AI79)</f>
        <v/>
      </c>
      <c r="CL79" s="135" t="str">
        <f aca="false">IF(ISBLANK($C79),"",IF($BX79&lt;&gt;Constants!$B$6,$BX79,IF(ISNUMBER($CK79),RANK($CK79,$CK$9:$CK$508,1),COUNT($CK$9:$CK$508)+1)))</f>
        <v/>
      </c>
      <c r="CM79" s="135" t="str">
        <f aca="false">IF(ISBLANK($C79),"",IF($BX79&lt;&gt;Constants!$B$6,$BX79,COUNTIFS($CD$9:$CD$508,"&lt;"&amp;$CD79)+COUNTIFS($CD$9:$CD$508,$CD79,$CF$9:$CF$508,"&lt;"&amp;$CF79)+COUNTIFS($CD$9:$CD$508,$CD79,$CF$9:$CF$508,$CF79,$CH$9:$CH$508,"&lt;"&amp;$CH79)+COUNTIFS($CD$9:$CD$508,$CD79,$CF$9:$CF$508,$CF79,$CH$9:$CH$508,$CH79,$CJ$9:$CJ$508,"&lt;"&amp;$CJ79)+COUNTIFS($CD$9:$CD$508,$CD79,$CF$9:$CF$508,$CF79,$CH$9:$CH$508,$CH79,$CJ$9:$CJ$508,$CJ79,$CL$9:$CL$508,"&lt;"&amp;$CL79)+1))</f>
        <v/>
      </c>
      <c r="CN79" s="135" t="str">
        <f aca="false">IF(ISBLANK($C79),"",IF($BX79&lt;&gt;Constants!$B$6,$BX79,$CD79-$CM79))</f>
        <v/>
      </c>
      <c r="CO79" s="141"/>
      <c r="CP79" s="142"/>
      <c r="CQ79" s="143" t="str">
        <f aca="false">IF(ISBLANK($C79),"",IF($BX79=Constants!$B$10,$BW79,""))</f>
        <v/>
      </c>
      <c r="CR79" s="142" t="str">
        <f aca="false">IF(ISBLANK($C79),"",IF($BX79&lt;&gt;Constants!$B$6,"",IF($BL79="-&gt;",2,1)))</f>
        <v/>
      </c>
      <c r="CS79" s="144" t="str">
        <f aca="false">IF(ISBLANK($C79),"",IF($BX79&lt;&gt;Constants!$B$6,"",IF($BL79="-&gt;",$BN79,$BC79)))</f>
        <v/>
      </c>
      <c r="CT79" s="144" t="str">
        <f aca="false">IF(ISBLANK($C79),"",IF($BX79&lt;&gt;Constants!$B$6,"",IF($BL79="-&gt;",$BO79,$BD79)))</f>
        <v/>
      </c>
      <c r="CU79" s="144" t="str">
        <f aca="false">IF(ISBLANK($C79),"",IF($BX79&lt;&gt;Constants!$B$6,"",IF($BL79="-&gt;",$BP79+$BQ79,$BE79+$BF79)+$CB79))</f>
        <v/>
      </c>
      <c r="CV79" s="144" t="str">
        <f aca="false">IF(ISBLANK($C79),"",IF($BX79&lt;&gt;Constants!$B$6,"",IF($BL79="-&gt;",$BR79,$BG79)+$CA79))</f>
        <v/>
      </c>
      <c r="CW79" s="145" t="str">
        <f aca="false">IF(ISBLANK($C79),"",IF($BX79&lt;&gt;Constants!$B$6,$BX79,$CC79))</f>
        <v/>
      </c>
      <c r="CX79" s="146" t="str">
        <f aca="false">IF(ISBLANK($C79),"",$BY79)</f>
        <v/>
      </c>
      <c r="CY79" s="147" t="str">
        <f aca="false">IF(ISBLANK($C79),"",$CN79)</f>
        <v/>
      </c>
      <c r="CZ79" s="147" t="str">
        <f aca="false">IF(ISBLANK($C79),"",$CM79)</f>
        <v/>
      </c>
      <c r="DA79" s="148" t="str">
        <f aca="false">IF(ISBLANK($C79),"",IFERROR(_xlfn.SWITCH($CZ79,Constants!$B$9,COUNTA($C$9:$C$508)+2,Constants!$B$8,COUNTA($C$9:$C$508)+1,Constants!$B$7,COUNTA($C$9:$C$508)),$CZ79))</f>
        <v/>
      </c>
      <c r="DB79" s="9"/>
      <c r="DC79" s="149" t="n">
        <f aca="false">IF(OR(ISNUMBER($CZ79),$CZ79=Constants!$B$9,$CZ79=Constants!$B$7,$CZ79=Constants!$B$8),1,0)</f>
        <v>0</v>
      </c>
      <c r="DD79" s="149" t="n">
        <v>71</v>
      </c>
      <c r="DE79" s="149" t="str">
        <f aca="false">IF(ISBLANK($C79),"",IF(ISNUMBER($DA79),$DA79+ROW($B79)/1000,""))</f>
        <v/>
      </c>
      <c r="DF79" s="149" t="str">
        <f aca="false">IF(ISNUMBER($DE79),RANK($DE79,$DE$9:$DE$508,1),"")</f>
        <v/>
      </c>
      <c r="DG79" s="149" t="str">
        <f aca="false">IF(ISBLANK($C79),"",$B79)</f>
        <v/>
      </c>
      <c r="DH79" s="149" t="str">
        <f aca="false">IF(ISBLANK($C79),"",$C79)</f>
        <v/>
      </c>
      <c r="DI79" s="149" t="str">
        <f aca="false">IF(ISBLANK($C79),"",$D79)</f>
        <v/>
      </c>
      <c r="DJ79" s="150" t="str">
        <f aca="false">$CX79</f>
        <v/>
      </c>
      <c r="DK79" s="151" t="str">
        <f aca="false">$CW79</f>
        <v/>
      </c>
      <c r="DL79" s="149" t="str">
        <f aca="false">IF(ISBLANK($C79),"",$CZ79)</f>
        <v/>
      </c>
      <c r="DM79" s="152" t="str">
        <f aca="false">IF($DD79&gt;$DC$8,"",VLOOKUP($DD79,$DF$9:$DL$508,7,FALSE()))</f>
        <v/>
      </c>
      <c r="DN79" s="153" t="str">
        <f aca="false">IF($DD79&gt;$DC$8,"",VLOOKUP($DD79,$DF$9:$DL$508,2,FALSE()))</f>
        <v/>
      </c>
      <c r="DO79" s="153" t="str">
        <f aca="false">IF($DD79&gt;$DC$8,"",VLOOKUP($DD79,$DF$9:$DL$508,3,FALSE()))</f>
        <v/>
      </c>
      <c r="DP79" s="153" t="str">
        <f aca="false">IF($DD79&gt;$DC$8,"",VLOOKUP($DD79,$DF$9:$DL$508,4,FALSE()))</f>
        <v/>
      </c>
      <c r="DQ79" s="153" t="str">
        <f aca="false">IF($DD79&gt;$DC$8,"",VLOOKUP($DD79,$DF$9:$DL$508,5,FALSE()))</f>
        <v/>
      </c>
      <c r="DR79" s="154" t="str">
        <f aca="false">IF($DD79&gt;$DC$8,"",VLOOKUP($DD79,$DF$9:$DL$508,6,FALSE()))</f>
        <v/>
      </c>
      <c r="DS79" s="76"/>
    </row>
    <row r="80" customFormat="false" ht="15.75" hidden="false" customHeight="false" outlineLevel="0" collapsed="false">
      <c r="A80" s="9"/>
      <c r="B80" s="160"/>
      <c r="C80" s="161"/>
      <c r="D80" s="162"/>
      <c r="E80" s="180"/>
      <c r="F80" s="164"/>
      <c r="G80" s="165"/>
      <c r="H80" s="165"/>
      <c r="I80" s="181"/>
      <c r="J80" s="168"/>
      <c r="K80" s="128"/>
      <c r="L80" s="129"/>
      <c r="M80" s="130"/>
      <c r="N80" s="168"/>
      <c r="O80" s="168"/>
      <c r="P80" s="180"/>
      <c r="Q80" s="168"/>
      <c r="R80" s="168"/>
      <c r="S80" s="128"/>
      <c r="T80" s="130"/>
      <c r="U80" s="130"/>
      <c r="V80" s="168"/>
      <c r="W80" s="168"/>
      <c r="X80" s="180"/>
      <c r="Y80" s="168"/>
      <c r="Z80" s="169"/>
      <c r="AA80" s="168"/>
      <c r="AB80" s="134"/>
      <c r="AC80" s="135"/>
      <c r="AD80" s="135"/>
      <c r="AE80" s="135"/>
      <c r="AF80" s="135" t="str">
        <f aca="false">IF(ISBLANK($C80),"",IF(E80=Constants!$B$2,TRUE(),IF(E80=Constants!$B$3,FALSE(),TRUE())))</f>
        <v/>
      </c>
      <c r="AG80" s="135" t="str">
        <f aca="false">IF(ISBLANK($C80),"",IF(F80=Constants!$B$2,TRUE(),IF(F80=Constants!$B$3,FALSE(),TRUE())))</f>
        <v/>
      </c>
      <c r="AH80" s="135" t="str">
        <f aca="false">IF(ISBLANK($C80),"",IF(G80=Constants!$B$2,TRUE(),IF(G80=Constants!$B$3,FALSE(),TRUE())))</f>
        <v/>
      </c>
      <c r="AI80" s="135" t="str">
        <f aca="false">IF(ISBLANK($C80),"",IF(AND(ISNUMBER(H80),H80&gt;=0),H80,Constants!$B$24))</f>
        <v/>
      </c>
      <c r="AJ80" s="135" t="str">
        <f aca="false">IF(ISBLANK($C80),"",IF(I80=Constants!$B$2,TRUE(),IF(I80=Constants!$B$3,FALSE(),TRUE())))</f>
        <v/>
      </c>
      <c r="AK80" s="135" t="str">
        <f aca="false">IF(ISBLANK($C80),"",IF(J80=Constants!$B$2,TRUE(),IF(J80=Constants!$B$3,FALSE(),TRUE())))</f>
        <v/>
      </c>
      <c r="AL80" s="135" t="str">
        <f aca="false">IF(ISBLANK($C80),"",IF(K80=Constants!$B$4,TRUE(),IF(K80=Constants!$B$5,FALSE(),COUNTA(L80:P80)&gt;0)))</f>
        <v/>
      </c>
      <c r="AM80" s="136" t="str">
        <f aca="false">IF(ISBLANK($C80),"",IF(ISNUMBER(L80),IF(L80&gt;=0,L80,""),""))</f>
        <v/>
      </c>
      <c r="AN80" s="137" t="str">
        <f aca="false">IF(ISBLANK($C80),"",IF(ISNUMBER(M80),IF(M80&gt;=0,M80,""),""))</f>
        <v/>
      </c>
      <c r="AO80" s="137" t="str">
        <f aca="false">IF(ISBLANK($C80),"",IF(N80=Constants!$B$2,TRUE(),IF(N80=Constants!$B$3,FALSE(),TRUE())))</f>
        <v/>
      </c>
      <c r="AP80" s="135" t="str">
        <f aca="false">IF(ISBLANK($C80),"",IF(ISNUMBER(O80),IF(O80&gt;=0,O80,""),""))</f>
        <v/>
      </c>
      <c r="AQ80" s="135" t="str">
        <f aca="false">IF(ISBLANK($C80),"",IF(P80=Constants!$B$2,TRUE(),IF(P80=Constants!$B$3,FALSE(),FALSE())))</f>
        <v/>
      </c>
      <c r="AR80" s="135" t="str">
        <f aca="false">IF(ISBLANK($C80),"",IF(Q80=Constants!$B$2,TRUE(),IF(Q80=Constants!$B$3,FALSE(),TRUE())))</f>
        <v/>
      </c>
      <c r="AS80" s="135" t="str">
        <f aca="false">IF(ISBLANK($C80),"",IF(R80=Constants!$B$2,TRUE(),IF(R80=Constants!$B$3,FALSE(),TRUE())))</f>
        <v/>
      </c>
      <c r="AT80" s="135" t="str">
        <f aca="false">IF(ISBLANK($C80),"",IF(S80=Constants!$B$4,TRUE(),IF(S80=Constants!$B$5,FALSE(),COUNTA(T80:X80)&gt;0)))</f>
        <v/>
      </c>
      <c r="AU80" s="136" t="str">
        <f aca="false">IF(ISBLANK($C80),"",IF(ISNUMBER(T80),IF(T80&gt;=0,T80,""),""))</f>
        <v/>
      </c>
      <c r="AV80" s="137" t="str">
        <f aca="false">IF(ISBLANK($C80),"",IF(ISNUMBER(U80),IF(U80&gt;=0,U80,""),""))</f>
        <v/>
      </c>
      <c r="AW80" s="137" t="str">
        <f aca="false">IF(ISBLANK($C80),"",IF(V80=Constants!$B$2,TRUE(),IF(V80=Constants!$B$3,FALSE(),TRUE())))</f>
        <v/>
      </c>
      <c r="AX80" s="135" t="str">
        <f aca="false">IF(ISBLANK($C80),"",IF(ISNUMBER(W80),IF(W80&gt;=0,W80,""),""))</f>
        <v/>
      </c>
      <c r="AY80" s="135" t="str">
        <f aca="false">IF(ISBLANK($C80),"",IF(X80=Constants!$B$2,TRUE(),IF(X80=Constants!$B$3,FALSE(),FALSE())))</f>
        <v/>
      </c>
      <c r="AZ80" s="135" t="str">
        <f aca="false">IF(ISBLANK($C80),"",MIN(Constants!$B$25,MAX(0,IF(ISNUMBER(Y80),Y80*60,0)+IF(ISNUMBER(Z80),Z80,0))))</f>
        <v/>
      </c>
      <c r="BA80" s="135" t="str">
        <f aca="false">IF(ISBLANK($C80),"",IF(AA80=Constants!$B$2,TRUE(),IF(AA80=Constants!$B$3,FALSE(),FALSE())))</f>
        <v/>
      </c>
      <c r="BB80" s="134" t="str">
        <f aca="false">IF(ISBLANK($C80),"",AND($AL80,OR($AM80="",$AN80="",AND($AO80,$AP80=""))))</f>
        <v/>
      </c>
      <c r="BC80" s="137" t="str">
        <f aca="false">IF($BX80&lt;&gt;Constants!$B$6,"",IF($AL80,Constants!$B$17*$AN80+Constants!$B$18*IF($AO80,$AP80,Constants!$B$19),Constants!$B$20))</f>
        <v/>
      </c>
      <c r="BD80" s="138" t="str">
        <f aca="false">IF($BX80&lt;&gt;Constants!$B$6,"",Constants!$B$21*ABS($AD$9-IF($AL80,$AM80,0)))</f>
        <v/>
      </c>
      <c r="BE80" s="138" t="str">
        <f aca="false">IF($BX80&lt;&gt;Constants!$B$6,"",IF(AND($AL80,$AQ80,$AO80),Constants!$B$22,0))</f>
        <v/>
      </c>
      <c r="BF80" s="138" t="str">
        <f aca="false">IF($BX80&lt;&gt;Constants!$B$6,"",IF($AL80,($AI80-Constants!$B$24)*Constants!$B$23,0))</f>
        <v/>
      </c>
      <c r="BG80" s="138" t="str">
        <f aca="false">IF($BX80&lt;&gt;Constants!$B$6,"",IF($AK80,0,Constants!$B$12)+IF($AJ80,0,Constants!$B$13)+IF($AH80,0,Constants!$B$14))</f>
        <v/>
      </c>
      <c r="BH80" s="139" t="str">
        <f aca="false">IF($BX80&lt;&gt;Constants!$B$6,"",Constants!$B$16+SUM($BC80:$BG80))</f>
        <v/>
      </c>
      <c r="BI80" s="138" t="str">
        <f aca="false">IF($BX80&lt;&gt;Constants!$B$6,"",$BC80)</f>
        <v/>
      </c>
      <c r="BJ80" s="138" t="str">
        <f aca="false">IF($BX80&lt;&gt;Constants!$B$6,"",$BD80)</f>
        <v/>
      </c>
      <c r="BK80" s="140" t="str">
        <f aca="false">IF($BX80&lt;&gt;Constants!$B$6,"",IF($AL80,$AN80,""))</f>
        <v/>
      </c>
      <c r="BL80" s="135" t="str">
        <f aca="false">IF($BX80&lt;&gt;Constants!$B$6,"",IF(OR($BS80&lt;$BH80,AND($BS80=$BH80,OR($BT80&lt;$BI80,AND($BT80=$BI80,OR($BU80&lt;$BJ80,AND($BU80=$BJ80,AND(ISNUMBER($BV80),OR(NOT(ISNUMBER($BK80)),$BV80&lt;$BK80)))))))),"-&gt;","&lt;-"))</f>
        <v/>
      </c>
      <c r="BM80" s="134" t="str">
        <f aca="false">IF(ISBLANK($C80),"",AND($AT80,OR($AU80="",$AV80="",AND($AW80,$AX80=""))))</f>
        <v/>
      </c>
      <c r="BN80" s="137" t="str">
        <f aca="false">IF($BX80&lt;&gt;Constants!$B$6,"",IF($AT80,Constants!$B$17*$AV80+Constants!$B$18*IF($AW80,$AX80,Constants!$B$19),Constants!$B$20))</f>
        <v/>
      </c>
      <c r="BO80" s="138" t="str">
        <f aca="false">IF($BX80&lt;&gt;Constants!$B$6,"",Constants!$B$21*ABS($AD$9-IF($AT80,$AU80,0)))</f>
        <v/>
      </c>
      <c r="BP80" s="138" t="str">
        <f aca="false">IF($BX80&lt;&gt;Constants!$B$6,"",IF(AND($AT80,$AY80,$AW80),Constants!$B$22,0))</f>
        <v/>
      </c>
      <c r="BQ80" s="138" t="str">
        <f aca="false">IF($BX80&lt;&gt;Constants!$B$6,"",IF($AT80,($AI80-Constants!$B$24)*Constants!$B$23,0))</f>
        <v/>
      </c>
      <c r="BR80" s="138" t="str">
        <f aca="false">IF($BX80&lt;&gt;Constants!$B$6,"",IF($AS80,0,Constants!$B$12)+IF($AR80,0,Constants!$B$13)+IF($AH80,0,Constants!$B$14))</f>
        <v/>
      </c>
      <c r="BS80" s="139" t="str">
        <f aca="false">IF($BX80&lt;&gt;Constants!$B$6,"",Constants!$B$16+SUM($BN80:$BR80))</f>
        <v/>
      </c>
      <c r="BT80" s="138" t="str">
        <f aca="false">IF($BX80&lt;&gt;Constants!$B$6,"",$BN80)</f>
        <v/>
      </c>
      <c r="BU80" s="138" t="str">
        <f aca="false">IF($BX80&lt;&gt;Constants!$B$6,"",$BO80)</f>
        <v/>
      </c>
      <c r="BV80" s="140" t="str">
        <f aca="false">IF($BX80&lt;&gt;Constants!$B$6,"",IF($AT80,$AV80,""))</f>
        <v/>
      </c>
      <c r="BW80" s="135" t="str">
        <f aca="false">IF(ISBLANK($C80),"",IF(ISBLANK($D$7),$BW$5,IF(NOT(ISNUMBER($D$7)),$BW$6,"")))</f>
        <v/>
      </c>
      <c r="BX80" s="135" t="str">
        <f aca="false">IF(ISBLANK($C80),"",IF($BA80,Constants!$B$9,IF(COUNTA($E80:$AA80)=0,Constants!$B$8,IF(NOT($AG80),Constants!$B$7,IF(OR($BW80&lt;&gt;"",$BB80,$BM80),Constants!$B$10,Constants!$B$6)))))</f>
        <v/>
      </c>
      <c r="BY80" s="135" t="str">
        <f aca="false">IF(ISBLANK($C80),"",IF($BX80&lt;&gt;Constants!$B$6,$BX80,Constants!$B$11))</f>
        <v/>
      </c>
      <c r="BZ80" s="138" t="str">
        <f aca="false">IF($BX80&lt;&gt;Constants!$B$6,"",IF($BL80="-&gt;",$BS80,$BH80))</f>
        <v/>
      </c>
      <c r="CA80" s="138" t="str">
        <f aca="false">IF($BX80&lt;&gt;Constants!$B$6,"",IF($AF80,0,Constants!$B$15))</f>
        <v/>
      </c>
      <c r="CB80" s="138" t="str">
        <f aca="false">IF($BX80&lt;&gt;Constants!$B$6,"",((Constants!$B$25-$AZ80)-Constants!$B$25)/Constants!$B$26)</f>
        <v/>
      </c>
      <c r="CC80" s="138" t="str">
        <f aca="false">IF(ISBLANK($C80),"",IF($BX80&lt;&gt;Constants!$B$6,$BX80,SUM($BZ80:$CB80)))</f>
        <v/>
      </c>
      <c r="CD80" s="135" t="str">
        <f aca="false">IF(ISBLANK($C80),"",IF($BX80&lt;&gt;Constants!$B$6,$BX80,RANK($CC80,$CC$9:$CC$508,1)))</f>
        <v/>
      </c>
      <c r="CE80" s="138" t="str">
        <f aca="false">IF($BX80&lt;&gt;Constants!$B$6,"",IF($BL80="-&gt;",$BT80,$BI80))</f>
        <v/>
      </c>
      <c r="CF80" s="135" t="str">
        <f aca="false">IF(ISBLANK($C80),"",IF($BX80&lt;&gt;Constants!$B$6,$BX80,IF(ISNUMBER($CE80),RANK($CE80,$CE$9:$CE$508,1),COUNT($CE$9:$CE$508)+1)))</f>
        <v/>
      </c>
      <c r="CG80" s="138" t="str">
        <f aca="false">IF($BX80&lt;&gt;Constants!$B$6,"",IF($BL80="-&gt;",$BU80,$BJ80))</f>
        <v/>
      </c>
      <c r="CH80" s="135" t="str">
        <f aca="false">IF(ISBLANK($C80),"",IF($BX80&lt;&gt;Constants!$B$6,$BX80,IF(ISNUMBER($CG80),RANK($CG80,$CG$9:$CG$508,1),COUNT($CG$9:$CG$508)+1)))</f>
        <v/>
      </c>
      <c r="CI80" s="138" t="str">
        <f aca="false">IF($BX80&lt;&gt;Constants!$B$6,"",IF($BL80="-&gt;",$BV80,$BK80))</f>
        <v/>
      </c>
      <c r="CJ80" s="135" t="str">
        <f aca="false">IF(ISBLANK($C80),"",IF($BX80&lt;&gt;Constants!$B$6,$BX80,IF(ISNUMBER($CI80),RANK($CI80,$CI$9:$CI$508,1),COUNT($CI$9:$CI$508)+1)))</f>
        <v/>
      </c>
      <c r="CK80" s="138" t="str">
        <f aca="false">IF($BX80&lt;&gt;Constants!$B$6,"",$AI80)</f>
        <v/>
      </c>
      <c r="CL80" s="135" t="str">
        <f aca="false">IF(ISBLANK($C80),"",IF($BX80&lt;&gt;Constants!$B$6,$BX80,IF(ISNUMBER($CK80),RANK($CK80,$CK$9:$CK$508,1),COUNT($CK$9:$CK$508)+1)))</f>
        <v/>
      </c>
      <c r="CM80" s="135" t="str">
        <f aca="false">IF(ISBLANK($C80),"",IF($BX80&lt;&gt;Constants!$B$6,$BX80,COUNTIFS($CD$9:$CD$508,"&lt;"&amp;$CD80)+COUNTIFS($CD$9:$CD$508,$CD80,$CF$9:$CF$508,"&lt;"&amp;$CF80)+COUNTIFS($CD$9:$CD$508,$CD80,$CF$9:$CF$508,$CF80,$CH$9:$CH$508,"&lt;"&amp;$CH80)+COUNTIFS($CD$9:$CD$508,$CD80,$CF$9:$CF$508,$CF80,$CH$9:$CH$508,$CH80,$CJ$9:$CJ$508,"&lt;"&amp;$CJ80)+COUNTIFS($CD$9:$CD$508,$CD80,$CF$9:$CF$508,$CF80,$CH$9:$CH$508,$CH80,$CJ$9:$CJ$508,$CJ80,$CL$9:$CL$508,"&lt;"&amp;$CL80)+1))</f>
        <v/>
      </c>
      <c r="CN80" s="135" t="str">
        <f aca="false">IF(ISBLANK($C80),"",IF($BX80&lt;&gt;Constants!$B$6,$BX80,$CD80-$CM80))</f>
        <v/>
      </c>
      <c r="CO80" s="141"/>
      <c r="CP80" s="142"/>
      <c r="CQ80" s="143" t="str">
        <f aca="false">IF(ISBLANK($C80),"",IF($BX80=Constants!$B$10,$BW80,""))</f>
        <v/>
      </c>
      <c r="CR80" s="142" t="str">
        <f aca="false">IF(ISBLANK($C80),"",IF($BX80&lt;&gt;Constants!$B$6,"",IF($BL80="-&gt;",2,1)))</f>
        <v/>
      </c>
      <c r="CS80" s="144" t="str">
        <f aca="false">IF(ISBLANK($C80),"",IF($BX80&lt;&gt;Constants!$B$6,"",IF($BL80="-&gt;",$BN80,$BC80)))</f>
        <v/>
      </c>
      <c r="CT80" s="144" t="str">
        <f aca="false">IF(ISBLANK($C80),"",IF($BX80&lt;&gt;Constants!$B$6,"",IF($BL80="-&gt;",$BO80,$BD80)))</f>
        <v/>
      </c>
      <c r="CU80" s="144" t="str">
        <f aca="false">IF(ISBLANK($C80),"",IF($BX80&lt;&gt;Constants!$B$6,"",IF($BL80="-&gt;",$BP80+$BQ80,$BE80+$BF80)+$CB80))</f>
        <v/>
      </c>
      <c r="CV80" s="144" t="str">
        <f aca="false">IF(ISBLANK($C80),"",IF($BX80&lt;&gt;Constants!$B$6,"",IF($BL80="-&gt;",$BR80,$BG80)+$CA80))</f>
        <v/>
      </c>
      <c r="CW80" s="145" t="str">
        <f aca="false">IF(ISBLANK($C80),"",IF($BX80&lt;&gt;Constants!$B$6,$BX80,$CC80))</f>
        <v/>
      </c>
      <c r="CX80" s="146" t="str">
        <f aca="false">IF(ISBLANK($C80),"",$BY80)</f>
        <v/>
      </c>
      <c r="CY80" s="147" t="str">
        <f aca="false">IF(ISBLANK($C80),"",$CN80)</f>
        <v/>
      </c>
      <c r="CZ80" s="147" t="str">
        <f aca="false">IF(ISBLANK($C80),"",$CM80)</f>
        <v/>
      </c>
      <c r="DA80" s="148" t="str">
        <f aca="false">IF(ISBLANK($C80),"",IFERROR(_xlfn.SWITCH($CZ80,Constants!$B$9,COUNTA($C$9:$C$508)+2,Constants!$B$8,COUNTA($C$9:$C$508)+1,Constants!$B$7,COUNTA($C$9:$C$508)),$CZ80))</f>
        <v/>
      </c>
      <c r="DB80" s="9"/>
      <c r="DC80" s="149" t="n">
        <f aca="false">IF(OR(ISNUMBER($CZ80),$CZ80=Constants!$B$9,$CZ80=Constants!$B$7,$CZ80=Constants!$B$8),1,0)</f>
        <v>0</v>
      </c>
      <c r="DD80" s="149" t="n">
        <v>72</v>
      </c>
      <c r="DE80" s="149" t="str">
        <f aca="false">IF(ISBLANK($C80),"",IF(ISNUMBER($DA80),$DA80+ROW($B80)/1000,""))</f>
        <v/>
      </c>
      <c r="DF80" s="149" t="str">
        <f aca="false">IF(ISNUMBER($DE80),RANK($DE80,$DE$9:$DE$508,1),"")</f>
        <v/>
      </c>
      <c r="DG80" s="149" t="str">
        <f aca="false">IF(ISBLANK($C80),"",$B80)</f>
        <v/>
      </c>
      <c r="DH80" s="149" t="str">
        <f aca="false">IF(ISBLANK($C80),"",$C80)</f>
        <v/>
      </c>
      <c r="DI80" s="149" t="str">
        <f aca="false">IF(ISBLANK($C80),"",$D80)</f>
        <v/>
      </c>
      <c r="DJ80" s="150" t="str">
        <f aca="false">$CX80</f>
        <v/>
      </c>
      <c r="DK80" s="151" t="str">
        <f aca="false">$CW80</f>
        <v/>
      </c>
      <c r="DL80" s="149" t="str">
        <f aca="false">IF(ISBLANK($C80),"",$CZ80)</f>
        <v/>
      </c>
      <c r="DM80" s="152" t="str">
        <f aca="false">IF($DD80&gt;$DC$8,"",VLOOKUP($DD80,$DF$9:$DL$508,7,FALSE()))</f>
        <v/>
      </c>
      <c r="DN80" s="153" t="str">
        <f aca="false">IF($DD80&gt;$DC$8,"",VLOOKUP($DD80,$DF$9:$DL$508,2,FALSE()))</f>
        <v/>
      </c>
      <c r="DO80" s="153" t="str">
        <f aca="false">IF($DD80&gt;$DC$8,"",VLOOKUP($DD80,$DF$9:$DL$508,3,FALSE()))</f>
        <v/>
      </c>
      <c r="DP80" s="153" t="str">
        <f aca="false">IF($DD80&gt;$DC$8,"",VLOOKUP($DD80,$DF$9:$DL$508,4,FALSE()))</f>
        <v/>
      </c>
      <c r="DQ80" s="153" t="str">
        <f aca="false">IF($DD80&gt;$DC$8,"",VLOOKUP($DD80,$DF$9:$DL$508,5,FALSE()))</f>
        <v/>
      </c>
      <c r="DR80" s="154" t="str">
        <f aca="false">IF($DD80&gt;$DC$8,"",VLOOKUP($DD80,$DF$9:$DL$508,6,FALSE()))</f>
        <v/>
      </c>
      <c r="DS80" s="76"/>
    </row>
    <row r="81" customFormat="false" ht="15.75" hidden="false" customHeight="false" outlineLevel="0" collapsed="false">
      <c r="A81" s="9"/>
      <c r="B81" s="78"/>
      <c r="C81" s="79"/>
      <c r="D81" s="170"/>
      <c r="E81" s="178"/>
      <c r="F81" s="172"/>
      <c r="G81" s="173"/>
      <c r="H81" s="173"/>
      <c r="I81" s="179"/>
      <c r="J81" s="176"/>
      <c r="K81" s="86"/>
      <c r="L81" s="87"/>
      <c r="M81" s="88"/>
      <c r="N81" s="176"/>
      <c r="O81" s="176"/>
      <c r="P81" s="178"/>
      <c r="Q81" s="176"/>
      <c r="R81" s="176"/>
      <c r="S81" s="86"/>
      <c r="T81" s="88"/>
      <c r="U81" s="88"/>
      <c r="V81" s="176"/>
      <c r="W81" s="176"/>
      <c r="X81" s="178"/>
      <c r="Y81" s="176"/>
      <c r="Z81" s="177"/>
      <c r="AA81" s="176"/>
      <c r="AB81" s="92"/>
      <c r="AC81" s="93"/>
      <c r="AD81" s="93"/>
      <c r="AE81" s="93"/>
      <c r="AF81" s="93" t="str">
        <f aca="false">IF(ISBLANK($C81),"",IF(E81=Constants!$B$2,TRUE(),IF(E81=Constants!$B$3,FALSE(),TRUE())))</f>
        <v/>
      </c>
      <c r="AG81" s="93" t="str">
        <f aca="false">IF(ISBLANK($C81),"",IF(F81=Constants!$B$2,TRUE(),IF(F81=Constants!$B$3,FALSE(),TRUE())))</f>
        <v/>
      </c>
      <c r="AH81" s="93" t="str">
        <f aca="false">IF(ISBLANK($C81),"",IF(G81=Constants!$B$2,TRUE(),IF(G81=Constants!$B$3,FALSE(),TRUE())))</f>
        <v/>
      </c>
      <c r="AI81" s="93" t="str">
        <f aca="false">IF(ISBLANK($C81),"",IF(AND(ISNUMBER(H81),H81&gt;=0),H81,Constants!$B$24))</f>
        <v/>
      </c>
      <c r="AJ81" s="93" t="str">
        <f aca="false">IF(ISBLANK($C81),"",IF(I81=Constants!$B$2,TRUE(),IF(I81=Constants!$B$3,FALSE(),TRUE())))</f>
        <v/>
      </c>
      <c r="AK81" s="93" t="str">
        <f aca="false">IF(ISBLANK($C81),"",IF(J81=Constants!$B$2,TRUE(),IF(J81=Constants!$B$3,FALSE(),TRUE())))</f>
        <v/>
      </c>
      <c r="AL81" s="93" t="str">
        <f aca="false">IF(ISBLANK($C81),"",IF(K81=Constants!$B$4,TRUE(),IF(K81=Constants!$B$5,FALSE(),COUNTA(L81:P81)&gt;0)))</f>
        <v/>
      </c>
      <c r="AM81" s="95" t="str">
        <f aca="false">IF(ISBLANK($C81),"",IF(ISNUMBER(L81),IF(L81&gt;=0,L81,""),""))</f>
        <v/>
      </c>
      <c r="AN81" s="94" t="str">
        <f aca="false">IF(ISBLANK($C81),"",IF(ISNUMBER(M81),IF(M81&gt;=0,M81,""),""))</f>
        <v/>
      </c>
      <c r="AO81" s="94" t="str">
        <f aca="false">IF(ISBLANK($C81),"",IF(N81=Constants!$B$2,TRUE(),IF(N81=Constants!$B$3,FALSE(),TRUE())))</f>
        <v/>
      </c>
      <c r="AP81" s="93" t="str">
        <f aca="false">IF(ISBLANK($C81),"",IF(ISNUMBER(O81),IF(O81&gt;=0,O81,""),""))</f>
        <v/>
      </c>
      <c r="AQ81" s="93" t="str">
        <f aca="false">IF(ISBLANK($C81),"",IF(P81=Constants!$B$2,TRUE(),IF(P81=Constants!$B$3,FALSE(),FALSE())))</f>
        <v/>
      </c>
      <c r="AR81" s="93" t="str">
        <f aca="false">IF(ISBLANK($C81),"",IF(Q81=Constants!$B$2,TRUE(),IF(Q81=Constants!$B$3,FALSE(),TRUE())))</f>
        <v/>
      </c>
      <c r="AS81" s="93" t="str">
        <f aca="false">IF(ISBLANK($C81),"",IF(R81=Constants!$B$2,TRUE(),IF(R81=Constants!$B$3,FALSE(),TRUE())))</f>
        <v/>
      </c>
      <c r="AT81" s="93" t="str">
        <f aca="false">IF(ISBLANK($C81),"",IF(S81=Constants!$B$4,TRUE(),IF(S81=Constants!$B$5,FALSE(),COUNTA(T81:X81)&gt;0)))</f>
        <v/>
      </c>
      <c r="AU81" s="95" t="str">
        <f aca="false">IF(ISBLANK($C81),"",IF(ISNUMBER(T81),IF(T81&gt;=0,T81,""),""))</f>
        <v/>
      </c>
      <c r="AV81" s="94" t="str">
        <f aca="false">IF(ISBLANK($C81),"",IF(ISNUMBER(U81),IF(U81&gt;=0,U81,""),""))</f>
        <v/>
      </c>
      <c r="AW81" s="94" t="str">
        <f aca="false">IF(ISBLANK($C81),"",IF(V81=Constants!$B$2,TRUE(),IF(V81=Constants!$B$3,FALSE(),TRUE())))</f>
        <v/>
      </c>
      <c r="AX81" s="93" t="str">
        <f aca="false">IF(ISBLANK($C81),"",IF(ISNUMBER(W81),IF(W81&gt;=0,W81,""),""))</f>
        <v/>
      </c>
      <c r="AY81" s="93" t="str">
        <f aca="false">IF(ISBLANK($C81),"",IF(X81=Constants!$B$2,TRUE(),IF(X81=Constants!$B$3,FALSE(),FALSE())))</f>
        <v/>
      </c>
      <c r="AZ81" s="93" t="str">
        <f aca="false">IF(ISBLANK($C81),"",MIN(Constants!$B$25,MAX(0,IF(ISNUMBER(Y81),Y81*60,0)+IF(ISNUMBER(Z81),Z81,0))))</f>
        <v/>
      </c>
      <c r="BA81" s="93" t="str">
        <f aca="false">IF(ISBLANK($C81),"",IF(AA81=Constants!$B$2,TRUE(),IF(AA81=Constants!$B$3,FALSE(),FALSE())))</f>
        <v/>
      </c>
      <c r="BB81" s="92" t="str">
        <f aca="false">IF(ISBLANK($C81),"",AND($AL81,OR($AM81="",$AN81="",AND($AO81,$AP81=""))))</f>
        <v/>
      </c>
      <c r="BC81" s="94" t="str">
        <f aca="false">IF($BX81&lt;&gt;Constants!$B$6,"",IF($AL81,Constants!$B$17*$AN81+Constants!$B$18*IF($AO81,$AP81,Constants!$B$19),Constants!$B$20))</f>
        <v/>
      </c>
      <c r="BD81" s="97" t="str">
        <f aca="false">IF($BX81&lt;&gt;Constants!$B$6,"",Constants!$B$21*ABS($AD$9-IF($AL81,$AM81,0)))</f>
        <v/>
      </c>
      <c r="BE81" s="97" t="str">
        <f aca="false">IF($BX81&lt;&gt;Constants!$B$6,"",IF(AND($AL81,$AQ81,$AO81),Constants!$B$22,0))</f>
        <v/>
      </c>
      <c r="BF81" s="97" t="str">
        <f aca="false">IF($BX81&lt;&gt;Constants!$B$6,"",IF($AL81,($AI81-Constants!$B$24)*Constants!$B$23,0))</f>
        <v/>
      </c>
      <c r="BG81" s="97" t="str">
        <f aca="false">IF($BX81&lt;&gt;Constants!$B$6,"",IF($AK81,0,Constants!$B$12)+IF($AJ81,0,Constants!$B$13)+IF($AH81,0,Constants!$B$14))</f>
        <v/>
      </c>
      <c r="BH81" s="98" t="str">
        <f aca="false">IF($BX81&lt;&gt;Constants!$B$6,"",Constants!$B$16+SUM($BC81:$BG81))</f>
        <v/>
      </c>
      <c r="BI81" s="97" t="str">
        <f aca="false">IF($BX81&lt;&gt;Constants!$B$6,"",$BC81)</f>
        <v/>
      </c>
      <c r="BJ81" s="97" t="str">
        <f aca="false">IF($BX81&lt;&gt;Constants!$B$6,"",$BD81)</f>
        <v/>
      </c>
      <c r="BK81" s="99" t="str">
        <f aca="false">IF($BX81&lt;&gt;Constants!$B$6,"",IF($AL81,$AN81,""))</f>
        <v/>
      </c>
      <c r="BL81" s="93" t="str">
        <f aca="false">IF($BX81&lt;&gt;Constants!$B$6,"",IF(OR($BS81&lt;$BH81,AND($BS81=$BH81,OR($BT81&lt;$BI81,AND($BT81=$BI81,OR($BU81&lt;$BJ81,AND($BU81=$BJ81,AND(ISNUMBER($BV81),OR(NOT(ISNUMBER($BK81)),$BV81&lt;$BK81)))))))),"-&gt;","&lt;-"))</f>
        <v/>
      </c>
      <c r="BM81" s="92" t="str">
        <f aca="false">IF(ISBLANK($C81),"",AND($AT81,OR($AU81="",$AV81="",AND($AW81,$AX81=""))))</f>
        <v/>
      </c>
      <c r="BN81" s="94" t="str">
        <f aca="false">IF($BX81&lt;&gt;Constants!$B$6,"",IF($AT81,Constants!$B$17*$AV81+Constants!$B$18*IF($AW81,$AX81,Constants!$B$19),Constants!$B$20))</f>
        <v/>
      </c>
      <c r="BO81" s="97" t="str">
        <f aca="false">IF($BX81&lt;&gt;Constants!$B$6,"",Constants!$B$21*ABS($AD$9-IF($AT81,$AU81,0)))</f>
        <v/>
      </c>
      <c r="BP81" s="97" t="str">
        <f aca="false">IF($BX81&lt;&gt;Constants!$B$6,"",IF(AND($AT81,$AY81,$AW81),Constants!$B$22,0))</f>
        <v/>
      </c>
      <c r="BQ81" s="97" t="str">
        <f aca="false">IF($BX81&lt;&gt;Constants!$B$6,"",IF($AT81,($AI81-Constants!$B$24)*Constants!$B$23,0))</f>
        <v/>
      </c>
      <c r="BR81" s="97" t="str">
        <f aca="false">IF($BX81&lt;&gt;Constants!$B$6,"",IF($AS81,0,Constants!$B$12)+IF($AR81,0,Constants!$B$13)+IF($AH81,0,Constants!$B$14))</f>
        <v/>
      </c>
      <c r="BS81" s="98" t="str">
        <f aca="false">IF($BX81&lt;&gt;Constants!$B$6,"",Constants!$B$16+SUM($BN81:$BR81))</f>
        <v/>
      </c>
      <c r="BT81" s="97" t="str">
        <f aca="false">IF($BX81&lt;&gt;Constants!$B$6,"",$BN81)</f>
        <v/>
      </c>
      <c r="BU81" s="97" t="str">
        <f aca="false">IF($BX81&lt;&gt;Constants!$B$6,"",$BO81)</f>
        <v/>
      </c>
      <c r="BV81" s="99" t="str">
        <f aca="false">IF($BX81&lt;&gt;Constants!$B$6,"",IF($AT81,$AV81,""))</f>
        <v/>
      </c>
      <c r="BW81" s="93" t="str">
        <f aca="false">IF(ISBLANK($C81),"",IF(ISBLANK($D$7),$BW$5,IF(NOT(ISNUMBER($D$7)),$BW$6,"")))</f>
        <v/>
      </c>
      <c r="BX81" s="93" t="str">
        <f aca="false">IF(ISBLANK($C81),"",IF($BA81,Constants!$B$9,IF(COUNTA($E81:$AA81)=0,Constants!$B$8,IF(NOT($AG81),Constants!$B$7,IF(OR($BW81&lt;&gt;"",$BB81,$BM81),Constants!$B$10,Constants!$B$6)))))</f>
        <v/>
      </c>
      <c r="BY81" s="93" t="str">
        <f aca="false">IF(ISBLANK($C81),"",IF($BX81&lt;&gt;Constants!$B$6,$BX81,Constants!$B$11))</f>
        <v/>
      </c>
      <c r="BZ81" s="97" t="str">
        <f aca="false">IF($BX81&lt;&gt;Constants!$B$6,"",IF($BL81="-&gt;",$BS81,$BH81))</f>
        <v/>
      </c>
      <c r="CA81" s="97" t="str">
        <f aca="false">IF($BX81&lt;&gt;Constants!$B$6,"",IF($AF81,0,Constants!$B$15))</f>
        <v/>
      </c>
      <c r="CB81" s="97" t="str">
        <f aca="false">IF($BX81&lt;&gt;Constants!$B$6,"",((Constants!$B$25-$AZ81)-Constants!$B$25)/Constants!$B$26)</f>
        <v/>
      </c>
      <c r="CC81" s="97" t="str">
        <f aca="false">IF(ISBLANK($C81),"",IF($BX81&lt;&gt;Constants!$B$6,$BX81,SUM($BZ81:$CB81)))</f>
        <v/>
      </c>
      <c r="CD81" s="93" t="str">
        <f aca="false">IF(ISBLANK($C81),"",IF($BX81&lt;&gt;Constants!$B$6,$BX81,RANK($CC81,$CC$9:$CC$508,1)))</f>
        <v/>
      </c>
      <c r="CE81" s="97" t="str">
        <f aca="false">IF($BX81&lt;&gt;Constants!$B$6,"",IF($BL81="-&gt;",$BT81,$BI81))</f>
        <v/>
      </c>
      <c r="CF81" s="93" t="str">
        <f aca="false">IF(ISBLANK($C81),"",IF($BX81&lt;&gt;Constants!$B$6,$BX81,IF(ISNUMBER($CE81),RANK($CE81,$CE$9:$CE$508,1),COUNT($CE$9:$CE$508)+1)))</f>
        <v/>
      </c>
      <c r="CG81" s="97" t="str">
        <f aca="false">IF($BX81&lt;&gt;Constants!$B$6,"",IF($BL81="-&gt;",$BU81,$BJ81))</f>
        <v/>
      </c>
      <c r="CH81" s="93" t="str">
        <f aca="false">IF(ISBLANK($C81),"",IF($BX81&lt;&gt;Constants!$B$6,$BX81,IF(ISNUMBER($CG81),RANK($CG81,$CG$9:$CG$508,1),COUNT($CG$9:$CG$508)+1)))</f>
        <v/>
      </c>
      <c r="CI81" s="97" t="str">
        <f aca="false">IF($BX81&lt;&gt;Constants!$B$6,"",IF($BL81="-&gt;",$BV81,$BK81))</f>
        <v/>
      </c>
      <c r="CJ81" s="93" t="str">
        <f aca="false">IF(ISBLANK($C81),"",IF($BX81&lt;&gt;Constants!$B$6,$BX81,IF(ISNUMBER($CI81),RANK($CI81,$CI$9:$CI$508,1),COUNT($CI$9:$CI$508)+1)))</f>
        <v/>
      </c>
      <c r="CK81" s="97" t="str">
        <f aca="false">IF($BX81&lt;&gt;Constants!$B$6,"",$AI81)</f>
        <v/>
      </c>
      <c r="CL81" s="93" t="str">
        <f aca="false">IF(ISBLANK($C81),"",IF($BX81&lt;&gt;Constants!$B$6,$BX81,IF(ISNUMBER($CK81),RANK($CK81,$CK$9:$CK$508,1),COUNT($CK$9:$CK$508)+1)))</f>
        <v/>
      </c>
      <c r="CM81" s="93" t="str">
        <f aca="false">IF(ISBLANK($C81),"",IF($BX81&lt;&gt;Constants!$B$6,$BX81,COUNTIFS($CD$9:$CD$508,"&lt;"&amp;$CD81)+COUNTIFS($CD$9:$CD$508,$CD81,$CF$9:$CF$508,"&lt;"&amp;$CF81)+COUNTIFS($CD$9:$CD$508,$CD81,$CF$9:$CF$508,$CF81,$CH$9:$CH$508,"&lt;"&amp;$CH81)+COUNTIFS($CD$9:$CD$508,$CD81,$CF$9:$CF$508,$CF81,$CH$9:$CH$508,$CH81,$CJ$9:$CJ$508,"&lt;"&amp;$CJ81)+COUNTIFS($CD$9:$CD$508,$CD81,$CF$9:$CF$508,$CF81,$CH$9:$CH$508,$CH81,$CJ$9:$CJ$508,$CJ81,$CL$9:$CL$508,"&lt;"&amp;$CL81)+1))</f>
        <v/>
      </c>
      <c r="CN81" s="93" t="str">
        <f aca="false">IF(ISBLANK($C81),"",IF($BX81&lt;&gt;Constants!$B$6,$BX81,$CD81-$CM81))</f>
        <v/>
      </c>
      <c r="CO81" s="100"/>
      <c r="CP81" s="101"/>
      <c r="CQ81" s="102" t="str">
        <f aca="false">IF(ISBLANK($C81),"",IF($BX81=Constants!$B$10,$BW81,""))</f>
        <v/>
      </c>
      <c r="CR81" s="101" t="str">
        <f aca="false">IF(ISBLANK($C81),"",IF($BX81&lt;&gt;Constants!$B$6,"",IF($BL81="-&gt;",2,1)))</f>
        <v/>
      </c>
      <c r="CS81" s="103" t="str">
        <f aca="false">IF(ISBLANK($C81),"",IF($BX81&lt;&gt;Constants!$B$6,"",IF($BL81="-&gt;",$BN81,$BC81)))</f>
        <v/>
      </c>
      <c r="CT81" s="103" t="str">
        <f aca="false">IF(ISBLANK($C81),"",IF($BX81&lt;&gt;Constants!$B$6,"",IF($BL81="-&gt;",$BO81,$BD81)))</f>
        <v/>
      </c>
      <c r="CU81" s="103" t="str">
        <f aca="false">IF(ISBLANK($C81),"",IF($BX81&lt;&gt;Constants!$B$6,"",IF($BL81="-&gt;",$BP81+$BQ81,$BE81+$BF81)+$CB81))</f>
        <v/>
      </c>
      <c r="CV81" s="103" t="str">
        <f aca="false">IF(ISBLANK($C81),"",IF($BX81&lt;&gt;Constants!$B$6,"",IF($BL81="-&gt;",$BR81,$BG81)+$CA81))</f>
        <v/>
      </c>
      <c r="CW81" s="104" t="str">
        <f aca="false">IF(ISBLANK($C81),"",IF($BX81&lt;&gt;Constants!$B$6,$BX81,$CC81))</f>
        <v/>
      </c>
      <c r="CX81" s="105" t="str">
        <f aca="false">IF(ISBLANK($C81),"",$BY81)</f>
        <v/>
      </c>
      <c r="CY81" s="106" t="str">
        <f aca="false">IF(ISBLANK($C81),"",$CN81)</f>
        <v/>
      </c>
      <c r="CZ81" s="106" t="str">
        <f aca="false">IF(ISBLANK($C81),"",$CM81)</f>
        <v/>
      </c>
      <c r="DA81" s="107" t="str">
        <f aca="false">IF(ISBLANK($C81),"",IFERROR(_xlfn.SWITCH($CZ81,Constants!$B$9,COUNTA($C$9:$C$508)+2,Constants!$B$8,COUNTA($C$9:$C$508)+1,Constants!$B$7,COUNTA($C$9:$C$508)),$CZ81))</f>
        <v/>
      </c>
      <c r="DB81" s="9"/>
      <c r="DC81" s="108" t="n">
        <f aca="false">IF(OR(ISNUMBER($CZ81),$CZ81=Constants!$B$9,$CZ81=Constants!$B$7,$CZ81=Constants!$B$8),1,0)</f>
        <v>0</v>
      </c>
      <c r="DD81" s="108" t="n">
        <v>73</v>
      </c>
      <c r="DE81" s="108" t="str">
        <f aca="false">IF(ISBLANK($C81),"",IF(ISNUMBER($DA81),$DA81+ROW($B81)/1000,""))</f>
        <v/>
      </c>
      <c r="DF81" s="108" t="str">
        <f aca="false">IF(ISNUMBER($DE81),RANK($DE81,$DE$9:$DE$508,1),"")</f>
        <v/>
      </c>
      <c r="DG81" s="108" t="str">
        <f aca="false">IF(ISBLANK($C81),"",$B81)</f>
        <v/>
      </c>
      <c r="DH81" s="108" t="str">
        <f aca="false">IF(ISBLANK($C81),"",$C81)</f>
        <v/>
      </c>
      <c r="DI81" s="108" t="str">
        <f aca="false">IF(ISBLANK($C81),"",$D81)</f>
        <v/>
      </c>
      <c r="DJ81" s="109" t="str">
        <f aca="false">$CX81</f>
        <v/>
      </c>
      <c r="DK81" s="110" t="str">
        <f aca="false">$CW81</f>
        <v/>
      </c>
      <c r="DL81" s="108" t="str">
        <f aca="false">IF(ISBLANK($C81),"",$CZ81)</f>
        <v/>
      </c>
      <c r="DM81" s="111" t="str">
        <f aca="false">IF($DD81&gt;$DC$8,"",VLOOKUP($DD81,$DF$9:$DL$508,7,FALSE()))</f>
        <v/>
      </c>
      <c r="DN81" s="112" t="str">
        <f aca="false">IF($DD81&gt;$DC$8,"",VLOOKUP($DD81,$DF$9:$DL$508,2,FALSE()))</f>
        <v/>
      </c>
      <c r="DO81" s="112" t="str">
        <f aca="false">IF($DD81&gt;$DC$8,"",VLOOKUP($DD81,$DF$9:$DL$508,3,FALSE()))</f>
        <v/>
      </c>
      <c r="DP81" s="112" t="str">
        <f aca="false">IF($DD81&gt;$DC$8,"",VLOOKUP($DD81,$DF$9:$DL$508,4,FALSE()))</f>
        <v/>
      </c>
      <c r="DQ81" s="112" t="str">
        <f aca="false">IF($DD81&gt;$DC$8,"",VLOOKUP($DD81,$DF$9:$DL$508,5,FALSE()))</f>
        <v/>
      </c>
      <c r="DR81" s="113" t="str">
        <f aca="false">IF($DD81&gt;$DC$8,"",VLOOKUP($DD81,$DF$9:$DL$508,6,FALSE()))</f>
        <v/>
      </c>
      <c r="DS81" s="76"/>
    </row>
    <row r="82" customFormat="false" ht="15.75" hidden="false" customHeight="false" outlineLevel="0" collapsed="false">
      <c r="A82" s="9"/>
      <c r="B82" s="78"/>
      <c r="C82" s="79"/>
      <c r="D82" s="170"/>
      <c r="E82" s="178"/>
      <c r="F82" s="172"/>
      <c r="G82" s="173"/>
      <c r="H82" s="173"/>
      <c r="I82" s="179"/>
      <c r="J82" s="176"/>
      <c r="K82" s="86"/>
      <c r="L82" s="87"/>
      <c r="M82" s="88"/>
      <c r="N82" s="176"/>
      <c r="O82" s="176"/>
      <c r="P82" s="178"/>
      <c r="Q82" s="176"/>
      <c r="R82" s="176"/>
      <c r="S82" s="86"/>
      <c r="T82" s="88"/>
      <c r="U82" s="88"/>
      <c r="V82" s="176"/>
      <c r="W82" s="176"/>
      <c r="X82" s="178"/>
      <c r="Y82" s="176"/>
      <c r="Z82" s="177"/>
      <c r="AA82" s="176"/>
      <c r="AB82" s="92"/>
      <c r="AC82" s="93"/>
      <c r="AD82" s="93"/>
      <c r="AE82" s="93"/>
      <c r="AF82" s="93" t="str">
        <f aca="false">IF(ISBLANK($C82),"",IF(E82=Constants!$B$2,TRUE(),IF(E82=Constants!$B$3,FALSE(),TRUE())))</f>
        <v/>
      </c>
      <c r="AG82" s="93" t="str">
        <f aca="false">IF(ISBLANK($C82),"",IF(F82=Constants!$B$2,TRUE(),IF(F82=Constants!$B$3,FALSE(),TRUE())))</f>
        <v/>
      </c>
      <c r="AH82" s="93" t="str">
        <f aca="false">IF(ISBLANK($C82),"",IF(G82=Constants!$B$2,TRUE(),IF(G82=Constants!$B$3,FALSE(),TRUE())))</f>
        <v/>
      </c>
      <c r="AI82" s="93" t="str">
        <f aca="false">IF(ISBLANK($C82),"",IF(AND(ISNUMBER(H82),H82&gt;=0),H82,Constants!$B$24))</f>
        <v/>
      </c>
      <c r="AJ82" s="93" t="str">
        <f aca="false">IF(ISBLANK($C82),"",IF(I82=Constants!$B$2,TRUE(),IF(I82=Constants!$B$3,FALSE(),TRUE())))</f>
        <v/>
      </c>
      <c r="AK82" s="93" t="str">
        <f aca="false">IF(ISBLANK($C82),"",IF(J82=Constants!$B$2,TRUE(),IF(J82=Constants!$B$3,FALSE(),TRUE())))</f>
        <v/>
      </c>
      <c r="AL82" s="93" t="str">
        <f aca="false">IF(ISBLANK($C82),"",IF(K82=Constants!$B$4,TRUE(),IF(K82=Constants!$B$5,FALSE(),COUNTA(L82:P82)&gt;0)))</f>
        <v/>
      </c>
      <c r="AM82" s="95" t="str">
        <f aca="false">IF(ISBLANK($C82),"",IF(ISNUMBER(L82),IF(L82&gt;=0,L82,""),""))</f>
        <v/>
      </c>
      <c r="AN82" s="94" t="str">
        <f aca="false">IF(ISBLANK($C82),"",IF(ISNUMBER(M82),IF(M82&gt;=0,M82,""),""))</f>
        <v/>
      </c>
      <c r="AO82" s="94" t="str">
        <f aca="false">IF(ISBLANK($C82),"",IF(N82=Constants!$B$2,TRUE(),IF(N82=Constants!$B$3,FALSE(),TRUE())))</f>
        <v/>
      </c>
      <c r="AP82" s="93" t="str">
        <f aca="false">IF(ISBLANK($C82),"",IF(ISNUMBER(O82),IF(O82&gt;=0,O82,""),""))</f>
        <v/>
      </c>
      <c r="AQ82" s="93" t="str">
        <f aca="false">IF(ISBLANK($C82),"",IF(P82=Constants!$B$2,TRUE(),IF(P82=Constants!$B$3,FALSE(),FALSE())))</f>
        <v/>
      </c>
      <c r="AR82" s="93" t="str">
        <f aca="false">IF(ISBLANK($C82),"",IF(Q82=Constants!$B$2,TRUE(),IF(Q82=Constants!$B$3,FALSE(),TRUE())))</f>
        <v/>
      </c>
      <c r="AS82" s="93" t="str">
        <f aca="false">IF(ISBLANK($C82),"",IF(R82=Constants!$B$2,TRUE(),IF(R82=Constants!$B$3,FALSE(),TRUE())))</f>
        <v/>
      </c>
      <c r="AT82" s="93" t="str">
        <f aca="false">IF(ISBLANK($C82),"",IF(S82=Constants!$B$4,TRUE(),IF(S82=Constants!$B$5,FALSE(),COUNTA(T82:X82)&gt;0)))</f>
        <v/>
      </c>
      <c r="AU82" s="95" t="str">
        <f aca="false">IF(ISBLANK($C82),"",IF(ISNUMBER(T82),IF(T82&gt;=0,T82,""),""))</f>
        <v/>
      </c>
      <c r="AV82" s="94" t="str">
        <f aca="false">IF(ISBLANK($C82),"",IF(ISNUMBER(U82),IF(U82&gt;=0,U82,""),""))</f>
        <v/>
      </c>
      <c r="AW82" s="94" t="str">
        <f aca="false">IF(ISBLANK($C82),"",IF(V82=Constants!$B$2,TRUE(),IF(V82=Constants!$B$3,FALSE(),TRUE())))</f>
        <v/>
      </c>
      <c r="AX82" s="93" t="str">
        <f aca="false">IF(ISBLANK($C82),"",IF(ISNUMBER(W82),IF(W82&gt;=0,W82,""),""))</f>
        <v/>
      </c>
      <c r="AY82" s="93" t="str">
        <f aca="false">IF(ISBLANK($C82),"",IF(X82=Constants!$B$2,TRUE(),IF(X82=Constants!$B$3,FALSE(),FALSE())))</f>
        <v/>
      </c>
      <c r="AZ82" s="93" t="str">
        <f aca="false">IF(ISBLANK($C82),"",MIN(Constants!$B$25,MAX(0,IF(ISNUMBER(Y82),Y82*60,0)+IF(ISNUMBER(Z82),Z82,0))))</f>
        <v/>
      </c>
      <c r="BA82" s="93" t="str">
        <f aca="false">IF(ISBLANK($C82),"",IF(AA82=Constants!$B$2,TRUE(),IF(AA82=Constants!$B$3,FALSE(),FALSE())))</f>
        <v/>
      </c>
      <c r="BB82" s="92" t="str">
        <f aca="false">IF(ISBLANK($C82),"",AND($AL82,OR($AM82="",$AN82="",AND($AO82,$AP82=""))))</f>
        <v/>
      </c>
      <c r="BC82" s="94" t="str">
        <f aca="false">IF($BX82&lt;&gt;Constants!$B$6,"",IF($AL82,Constants!$B$17*$AN82+Constants!$B$18*IF($AO82,$AP82,Constants!$B$19),Constants!$B$20))</f>
        <v/>
      </c>
      <c r="BD82" s="97" t="str">
        <f aca="false">IF($BX82&lt;&gt;Constants!$B$6,"",Constants!$B$21*ABS($AD$9-IF($AL82,$AM82,0)))</f>
        <v/>
      </c>
      <c r="BE82" s="97" t="str">
        <f aca="false">IF($BX82&lt;&gt;Constants!$B$6,"",IF(AND($AL82,$AQ82,$AO82),Constants!$B$22,0))</f>
        <v/>
      </c>
      <c r="BF82" s="97" t="str">
        <f aca="false">IF($BX82&lt;&gt;Constants!$B$6,"",IF($AL82,($AI82-Constants!$B$24)*Constants!$B$23,0))</f>
        <v/>
      </c>
      <c r="BG82" s="97" t="str">
        <f aca="false">IF($BX82&lt;&gt;Constants!$B$6,"",IF($AK82,0,Constants!$B$12)+IF($AJ82,0,Constants!$B$13)+IF($AH82,0,Constants!$B$14))</f>
        <v/>
      </c>
      <c r="BH82" s="98" t="str">
        <f aca="false">IF($BX82&lt;&gt;Constants!$B$6,"",Constants!$B$16+SUM($BC82:$BG82))</f>
        <v/>
      </c>
      <c r="BI82" s="97" t="str">
        <f aca="false">IF($BX82&lt;&gt;Constants!$B$6,"",$BC82)</f>
        <v/>
      </c>
      <c r="BJ82" s="97" t="str">
        <f aca="false">IF($BX82&lt;&gt;Constants!$B$6,"",$BD82)</f>
        <v/>
      </c>
      <c r="BK82" s="99" t="str">
        <f aca="false">IF($BX82&lt;&gt;Constants!$B$6,"",IF($AL82,$AN82,""))</f>
        <v/>
      </c>
      <c r="BL82" s="93" t="str">
        <f aca="false">IF($BX82&lt;&gt;Constants!$B$6,"",IF(OR($BS82&lt;$BH82,AND($BS82=$BH82,OR($BT82&lt;$BI82,AND($BT82=$BI82,OR($BU82&lt;$BJ82,AND($BU82=$BJ82,AND(ISNUMBER($BV82),OR(NOT(ISNUMBER($BK82)),$BV82&lt;$BK82)))))))),"-&gt;","&lt;-"))</f>
        <v/>
      </c>
      <c r="BM82" s="92" t="str">
        <f aca="false">IF(ISBLANK($C82),"",AND($AT82,OR($AU82="",$AV82="",AND($AW82,$AX82=""))))</f>
        <v/>
      </c>
      <c r="BN82" s="94" t="str">
        <f aca="false">IF($BX82&lt;&gt;Constants!$B$6,"",IF($AT82,Constants!$B$17*$AV82+Constants!$B$18*IF($AW82,$AX82,Constants!$B$19),Constants!$B$20))</f>
        <v/>
      </c>
      <c r="BO82" s="97" t="str">
        <f aca="false">IF($BX82&lt;&gt;Constants!$B$6,"",Constants!$B$21*ABS($AD$9-IF($AT82,$AU82,0)))</f>
        <v/>
      </c>
      <c r="BP82" s="97" t="str">
        <f aca="false">IF($BX82&lt;&gt;Constants!$B$6,"",IF(AND($AT82,$AY82,$AW82),Constants!$B$22,0))</f>
        <v/>
      </c>
      <c r="BQ82" s="97" t="str">
        <f aca="false">IF($BX82&lt;&gt;Constants!$B$6,"",IF($AT82,($AI82-Constants!$B$24)*Constants!$B$23,0))</f>
        <v/>
      </c>
      <c r="BR82" s="97" t="str">
        <f aca="false">IF($BX82&lt;&gt;Constants!$B$6,"",IF($AS82,0,Constants!$B$12)+IF($AR82,0,Constants!$B$13)+IF($AH82,0,Constants!$B$14))</f>
        <v/>
      </c>
      <c r="BS82" s="98" t="str">
        <f aca="false">IF($BX82&lt;&gt;Constants!$B$6,"",Constants!$B$16+SUM($BN82:$BR82))</f>
        <v/>
      </c>
      <c r="BT82" s="97" t="str">
        <f aca="false">IF($BX82&lt;&gt;Constants!$B$6,"",$BN82)</f>
        <v/>
      </c>
      <c r="BU82" s="97" t="str">
        <f aca="false">IF($BX82&lt;&gt;Constants!$B$6,"",$BO82)</f>
        <v/>
      </c>
      <c r="BV82" s="99" t="str">
        <f aca="false">IF($BX82&lt;&gt;Constants!$B$6,"",IF($AT82,$AV82,""))</f>
        <v/>
      </c>
      <c r="BW82" s="93" t="str">
        <f aca="false">IF(ISBLANK($C82),"",IF(ISBLANK($D$7),$BW$5,IF(NOT(ISNUMBER($D$7)),$BW$6,"")))</f>
        <v/>
      </c>
      <c r="BX82" s="93" t="str">
        <f aca="false">IF(ISBLANK($C82),"",IF($BA82,Constants!$B$9,IF(COUNTA($E82:$AA82)=0,Constants!$B$8,IF(NOT($AG82),Constants!$B$7,IF(OR($BW82&lt;&gt;"",$BB82,$BM82),Constants!$B$10,Constants!$B$6)))))</f>
        <v/>
      </c>
      <c r="BY82" s="93" t="str">
        <f aca="false">IF(ISBLANK($C82),"",IF($BX82&lt;&gt;Constants!$B$6,$BX82,Constants!$B$11))</f>
        <v/>
      </c>
      <c r="BZ82" s="97" t="str">
        <f aca="false">IF($BX82&lt;&gt;Constants!$B$6,"",IF($BL82="-&gt;",$BS82,$BH82))</f>
        <v/>
      </c>
      <c r="CA82" s="97" t="str">
        <f aca="false">IF($BX82&lt;&gt;Constants!$B$6,"",IF($AF82,0,Constants!$B$15))</f>
        <v/>
      </c>
      <c r="CB82" s="97" t="str">
        <f aca="false">IF($BX82&lt;&gt;Constants!$B$6,"",((Constants!$B$25-$AZ82)-Constants!$B$25)/Constants!$B$26)</f>
        <v/>
      </c>
      <c r="CC82" s="97" t="str">
        <f aca="false">IF(ISBLANK($C82),"",IF($BX82&lt;&gt;Constants!$B$6,$BX82,SUM($BZ82:$CB82)))</f>
        <v/>
      </c>
      <c r="CD82" s="93" t="str">
        <f aca="false">IF(ISBLANK($C82),"",IF($BX82&lt;&gt;Constants!$B$6,$BX82,RANK($CC82,$CC$9:$CC$508,1)))</f>
        <v/>
      </c>
      <c r="CE82" s="97" t="str">
        <f aca="false">IF($BX82&lt;&gt;Constants!$B$6,"",IF($BL82="-&gt;",$BT82,$BI82))</f>
        <v/>
      </c>
      <c r="CF82" s="93" t="str">
        <f aca="false">IF(ISBLANK($C82),"",IF($BX82&lt;&gt;Constants!$B$6,$BX82,IF(ISNUMBER($CE82),RANK($CE82,$CE$9:$CE$508,1),COUNT($CE$9:$CE$508)+1)))</f>
        <v/>
      </c>
      <c r="CG82" s="97" t="str">
        <f aca="false">IF($BX82&lt;&gt;Constants!$B$6,"",IF($BL82="-&gt;",$BU82,$BJ82))</f>
        <v/>
      </c>
      <c r="CH82" s="93" t="str">
        <f aca="false">IF(ISBLANK($C82),"",IF($BX82&lt;&gt;Constants!$B$6,$BX82,IF(ISNUMBER($CG82),RANK($CG82,$CG$9:$CG$508,1),COUNT($CG$9:$CG$508)+1)))</f>
        <v/>
      </c>
      <c r="CI82" s="97" t="str">
        <f aca="false">IF($BX82&lt;&gt;Constants!$B$6,"",IF($BL82="-&gt;",$BV82,$BK82))</f>
        <v/>
      </c>
      <c r="CJ82" s="93" t="str">
        <f aca="false">IF(ISBLANK($C82),"",IF($BX82&lt;&gt;Constants!$B$6,$BX82,IF(ISNUMBER($CI82),RANK($CI82,$CI$9:$CI$508,1),COUNT($CI$9:$CI$508)+1)))</f>
        <v/>
      </c>
      <c r="CK82" s="97" t="str">
        <f aca="false">IF($BX82&lt;&gt;Constants!$B$6,"",$AI82)</f>
        <v/>
      </c>
      <c r="CL82" s="93" t="str">
        <f aca="false">IF(ISBLANK($C82),"",IF($BX82&lt;&gt;Constants!$B$6,$BX82,IF(ISNUMBER($CK82),RANK($CK82,$CK$9:$CK$508,1),COUNT($CK$9:$CK$508)+1)))</f>
        <v/>
      </c>
      <c r="CM82" s="93" t="str">
        <f aca="false">IF(ISBLANK($C82),"",IF($BX82&lt;&gt;Constants!$B$6,$BX82,COUNTIFS($CD$9:$CD$508,"&lt;"&amp;$CD82)+COUNTIFS($CD$9:$CD$508,$CD82,$CF$9:$CF$508,"&lt;"&amp;$CF82)+COUNTIFS($CD$9:$CD$508,$CD82,$CF$9:$CF$508,$CF82,$CH$9:$CH$508,"&lt;"&amp;$CH82)+COUNTIFS($CD$9:$CD$508,$CD82,$CF$9:$CF$508,$CF82,$CH$9:$CH$508,$CH82,$CJ$9:$CJ$508,"&lt;"&amp;$CJ82)+COUNTIFS($CD$9:$CD$508,$CD82,$CF$9:$CF$508,$CF82,$CH$9:$CH$508,$CH82,$CJ$9:$CJ$508,$CJ82,$CL$9:$CL$508,"&lt;"&amp;$CL82)+1))</f>
        <v/>
      </c>
      <c r="CN82" s="93" t="str">
        <f aca="false">IF(ISBLANK($C82),"",IF($BX82&lt;&gt;Constants!$B$6,$BX82,$CD82-$CM82))</f>
        <v/>
      </c>
      <c r="CO82" s="100"/>
      <c r="CP82" s="101"/>
      <c r="CQ82" s="102" t="str">
        <f aca="false">IF(ISBLANK($C82),"",IF($BX82=Constants!$B$10,$BW82,""))</f>
        <v/>
      </c>
      <c r="CR82" s="101" t="str">
        <f aca="false">IF(ISBLANK($C82),"",IF($BX82&lt;&gt;Constants!$B$6,"",IF($BL82="-&gt;",2,1)))</f>
        <v/>
      </c>
      <c r="CS82" s="103" t="str">
        <f aca="false">IF(ISBLANK($C82),"",IF($BX82&lt;&gt;Constants!$B$6,"",IF($BL82="-&gt;",$BN82,$BC82)))</f>
        <v/>
      </c>
      <c r="CT82" s="103" t="str">
        <f aca="false">IF(ISBLANK($C82),"",IF($BX82&lt;&gt;Constants!$B$6,"",IF($BL82="-&gt;",$BO82,$BD82)))</f>
        <v/>
      </c>
      <c r="CU82" s="103" t="str">
        <f aca="false">IF(ISBLANK($C82),"",IF($BX82&lt;&gt;Constants!$B$6,"",IF($BL82="-&gt;",$BP82+$BQ82,$BE82+$BF82)+$CB82))</f>
        <v/>
      </c>
      <c r="CV82" s="103" t="str">
        <f aca="false">IF(ISBLANK($C82),"",IF($BX82&lt;&gt;Constants!$B$6,"",IF($BL82="-&gt;",$BR82,$BG82)+$CA82))</f>
        <v/>
      </c>
      <c r="CW82" s="104" t="str">
        <f aca="false">IF(ISBLANK($C82),"",IF($BX82&lt;&gt;Constants!$B$6,$BX82,$CC82))</f>
        <v/>
      </c>
      <c r="CX82" s="105" t="str">
        <f aca="false">IF(ISBLANK($C82),"",$BY82)</f>
        <v/>
      </c>
      <c r="CY82" s="106" t="str">
        <f aca="false">IF(ISBLANK($C82),"",$CN82)</f>
        <v/>
      </c>
      <c r="CZ82" s="106" t="str">
        <f aca="false">IF(ISBLANK($C82),"",$CM82)</f>
        <v/>
      </c>
      <c r="DA82" s="107" t="str">
        <f aca="false">IF(ISBLANK($C82),"",IFERROR(_xlfn.SWITCH($CZ82,Constants!$B$9,COUNTA($C$9:$C$508)+2,Constants!$B$8,COUNTA($C$9:$C$508)+1,Constants!$B$7,COUNTA($C$9:$C$508)),$CZ82))</f>
        <v/>
      </c>
      <c r="DB82" s="9"/>
      <c r="DC82" s="108" t="n">
        <f aca="false">IF(OR(ISNUMBER($CZ82),$CZ82=Constants!$B$9,$CZ82=Constants!$B$7,$CZ82=Constants!$B$8),1,0)</f>
        <v>0</v>
      </c>
      <c r="DD82" s="108" t="n">
        <v>74</v>
      </c>
      <c r="DE82" s="108" t="str">
        <f aca="false">IF(ISBLANK($C82),"",IF(ISNUMBER($DA82),$DA82+ROW($B82)/1000,""))</f>
        <v/>
      </c>
      <c r="DF82" s="108" t="str">
        <f aca="false">IF(ISNUMBER($DE82),RANK($DE82,$DE$9:$DE$508,1),"")</f>
        <v/>
      </c>
      <c r="DG82" s="108" t="str">
        <f aca="false">IF(ISBLANK($C82),"",$B82)</f>
        <v/>
      </c>
      <c r="DH82" s="108" t="str">
        <f aca="false">IF(ISBLANK($C82),"",$C82)</f>
        <v/>
      </c>
      <c r="DI82" s="108" t="str">
        <f aca="false">IF(ISBLANK($C82),"",$D82)</f>
        <v/>
      </c>
      <c r="DJ82" s="109" t="str">
        <f aca="false">$CX82</f>
        <v/>
      </c>
      <c r="DK82" s="110" t="str">
        <f aca="false">$CW82</f>
        <v/>
      </c>
      <c r="DL82" s="108" t="str">
        <f aca="false">IF(ISBLANK($C82),"",$CZ82)</f>
        <v/>
      </c>
      <c r="DM82" s="111" t="str">
        <f aca="false">IF($DD82&gt;$DC$8,"",VLOOKUP($DD82,$DF$9:$DL$508,7,FALSE()))</f>
        <v/>
      </c>
      <c r="DN82" s="112" t="str">
        <f aca="false">IF($DD82&gt;$DC$8,"",VLOOKUP($DD82,$DF$9:$DL$508,2,FALSE()))</f>
        <v/>
      </c>
      <c r="DO82" s="112" t="str">
        <f aca="false">IF($DD82&gt;$DC$8,"",VLOOKUP($DD82,$DF$9:$DL$508,3,FALSE()))</f>
        <v/>
      </c>
      <c r="DP82" s="112" t="str">
        <f aca="false">IF($DD82&gt;$DC$8,"",VLOOKUP($DD82,$DF$9:$DL$508,4,FALSE()))</f>
        <v/>
      </c>
      <c r="DQ82" s="112" t="str">
        <f aca="false">IF($DD82&gt;$DC$8,"",VLOOKUP($DD82,$DF$9:$DL$508,5,FALSE()))</f>
        <v/>
      </c>
      <c r="DR82" s="113" t="str">
        <f aca="false">IF($DD82&gt;$DC$8,"",VLOOKUP($DD82,$DF$9:$DL$508,6,FALSE()))</f>
        <v/>
      </c>
      <c r="DS82" s="76"/>
    </row>
    <row r="83" customFormat="false" ht="15.75" hidden="false" customHeight="false" outlineLevel="0" collapsed="false">
      <c r="A83" s="9"/>
      <c r="B83" s="78"/>
      <c r="C83" s="79"/>
      <c r="D83" s="170"/>
      <c r="E83" s="178"/>
      <c r="F83" s="172"/>
      <c r="G83" s="173"/>
      <c r="H83" s="173"/>
      <c r="I83" s="179"/>
      <c r="J83" s="176"/>
      <c r="K83" s="86"/>
      <c r="L83" s="87"/>
      <c r="M83" s="88"/>
      <c r="N83" s="176"/>
      <c r="O83" s="176"/>
      <c r="P83" s="178"/>
      <c r="Q83" s="176"/>
      <c r="R83" s="176"/>
      <c r="S83" s="86"/>
      <c r="T83" s="88"/>
      <c r="U83" s="88"/>
      <c r="V83" s="176"/>
      <c r="W83" s="176"/>
      <c r="X83" s="178"/>
      <c r="Y83" s="176"/>
      <c r="Z83" s="177"/>
      <c r="AA83" s="176"/>
      <c r="AB83" s="92"/>
      <c r="AC83" s="93"/>
      <c r="AD83" s="93"/>
      <c r="AE83" s="93"/>
      <c r="AF83" s="93" t="str">
        <f aca="false">IF(ISBLANK($C83),"",IF(E83=Constants!$B$2,TRUE(),IF(E83=Constants!$B$3,FALSE(),TRUE())))</f>
        <v/>
      </c>
      <c r="AG83" s="93" t="str">
        <f aca="false">IF(ISBLANK($C83),"",IF(F83=Constants!$B$2,TRUE(),IF(F83=Constants!$B$3,FALSE(),TRUE())))</f>
        <v/>
      </c>
      <c r="AH83" s="93" t="str">
        <f aca="false">IF(ISBLANK($C83),"",IF(G83=Constants!$B$2,TRUE(),IF(G83=Constants!$B$3,FALSE(),TRUE())))</f>
        <v/>
      </c>
      <c r="AI83" s="93" t="str">
        <f aca="false">IF(ISBLANK($C83),"",IF(AND(ISNUMBER(H83),H83&gt;=0),H83,Constants!$B$24))</f>
        <v/>
      </c>
      <c r="AJ83" s="93" t="str">
        <f aca="false">IF(ISBLANK($C83),"",IF(I83=Constants!$B$2,TRUE(),IF(I83=Constants!$B$3,FALSE(),TRUE())))</f>
        <v/>
      </c>
      <c r="AK83" s="93" t="str">
        <f aca="false">IF(ISBLANK($C83),"",IF(J83=Constants!$B$2,TRUE(),IF(J83=Constants!$B$3,FALSE(),TRUE())))</f>
        <v/>
      </c>
      <c r="AL83" s="93" t="str">
        <f aca="false">IF(ISBLANK($C83),"",IF(K83=Constants!$B$4,TRUE(),IF(K83=Constants!$B$5,FALSE(),COUNTA(L83:P83)&gt;0)))</f>
        <v/>
      </c>
      <c r="AM83" s="95" t="str">
        <f aca="false">IF(ISBLANK($C83),"",IF(ISNUMBER(L83),IF(L83&gt;=0,L83,""),""))</f>
        <v/>
      </c>
      <c r="AN83" s="94" t="str">
        <f aca="false">IF(ISBLANK($C83),"",IF(ISNUMBER(M83),IF(M83&gt;=0,M83,""),""))</f>
        <v/>
      </c>
      <c r="AO83" s="94" t="str">
        <f aca="false">IF(ISBLANK($C83),"",IF(N83=Constants!$B$2,TRUE(),IF(N83=Constants!$B$3,FALSE(),TRUE())))</f>
        <v/>
      </c>
      <c r="AP83" s="93" t="str">
        <f aca="false">IF(ISBLANK($C83),"",IF(ISNUMBER(O83),IF(O83&gt;=0,O83,""),""))</f>
        <v/>
      </c>
      <c r="AQ83" s="93" t="str">
        <f aca="false">IF(ISBLANK($C83),"",IF(P83=Constants!$B$2,TRUE(),IF(P83=Constants!$B$3,FALSE(),FALSE())))</f>
        <v/>
      </c>
      <c r="AR83" s="93" t="str">
        <f aca="false">IF(ISBLANK($C83),"",IF(Q83=Constants!$B$2,TRUE(),IF(Q83=Constants!$B$3,FALSE(),TRUE())))</f>
        <v/>
      </c>
      <c r="AS83" s="93" t="str">
        <f aca="false">IF(ISBLANK($C83),"",IF(R83=Constants!$B$2,TRUE(),IF(R83=Constants!$B$3,FALSE(),TRUE())))</f>
        <v/>
      </c>
      <c r="AT83" s="93" t="str">
        <f aca="false">IF(ISBLANK($C83),"",IF(S83=Constants!$B$4,TRUE(),IF(S83=Constants!$B$5,FALSE(),COUNTA(T83:X83)&gt;0)))</f>
        <v/>
      </c>
      <c r="AU83" s="95" t="str">
        <f aca="false">IF(ISBLANK($C83),"",IF(ISNUMBER(T83),IF(T83&gt;=0,T83,""),""))</f>
        <v/>
      </c>
      <c r="AV83" s="94" t="str">
        <f aca="false">IF(ISBLANK($C83),"",IF(ISNUMBER(U83),IF(U83&gt;=0,U83,""),""))</f>
        <v/>
      </c>
      <c r="AW83" s="94" t="str">
        <f aca="false">IF(ISBLANK($C83),"",IF(V83=Constants!$B$2,TRUE(),IF(V83=Constants!$B$3,FALSE(),TRUE())))</f>
        <v/>
      </c>
      <c r="AX83" s="93" t="str">
        <f aca="false">IF(ISBLANK($C83),"",IF(ISNUMBER(W83),IF(W83&gt;=0,W83,""),""))</f>
        <v/>
      </c>
      <c r="AY83" s="93" t="str">
        <f aca="false">IF(ISBLANK($C83),"",IF(X83=Constants!$B$2,TRUE(),IF(X83=Constants!$B$3,FALSE(),FALSE())))</f>
        <v/>
      </c>
      <c r="AZ83" s="93" t="str">
        <f aca="false">IF(ISBLANK($C83),"",MIN(Constants!$B$25,MAX(0,IF(ISNUMBER(Y83),Y83*60,0)+IF(ISNUMBER(Z83),Z83,0))))</f>
        <v/>
      </c>
      <c r="BA83" s="93" t="str">
        <f aca="false">IF(ISBLANK($C83),"",IF(AA83=Constants!$B$2,TRUE(),IF(AA83=Constants!$B$3,FALSE(),FALSE())))</f>
        <v/>
      </c>
      <c r="BB83" s="92" t="str">
        <f aca="false">IF(ISBLANK($C83),"",AND($AL83,OR($AM83="",$AN83="",AND($AO83,$AP83=""))))</f>
        <v/>
      </c>
      <c r="BC83" s="94" t="str">
        <f aca="false">IF($BX83&lt;&gt;Constants!$B$6,"",IF($AL83,Constants!$B$17*$AN83+Constants!$B$18*IF($AO83,$AP83,Constants!$B$19),Constants!$B$20))</f>
        <v/>
      </c>
      <c r="BD83" s="97" t="str">
        <f aca="false">IF($BX83&lt;&gt;Constants!$B$6,"",Constants!$B$21*ABS($AD$9-IF($AL83,$AM83,0)))</f>
        <v/>
      </c>
      <c r="BE83" s="97" t="str">
        <f aca="false">IF($BX83&lt;&gt;Constants!$B$6,"",IF(AND($AL83,$AQ83,$AO83),Constants!$B$22,0))</f>
        <v/>
      </c>
      <c r="BF83" s="97" t="str">
        <f aca="false">IF($BX83&lt;&gt;Constants!$B$6,"",IF($AL83,($AI83-Constants!$B$24)*Constants!$B$23,0))</f>
        <v/>
      </c>
      <c r="BG83" s="97" t="str">
        <f aca="false">IF($BX83&lt;&gt;Constants!$B$6,"",IF($AK83,0,Constants!$B$12)+IF($AJ83,0,Constants!$B$13)+IF($AH83,0,Constants!$B$14))</f>
        <v/>
      </c>
      <c r="BH83" s="98" t="str">
        <f aca="false">IF($BX83&lt;&gt;Constants!$B$6,"",Constants!$B$16+SUM($BC83:$BG83))</f>
        <v/>
      </c>
      <c r="BI83" s="97" t="str">
        <f aca="false">IF($BX83&lt;&gt;Constants!$B$6,"",$BC83)</f>
        <v/>
      </c>
      <c r="BJ83" s="97" t="str">
        <f aca="false">IF($BX83&lt;&gt;Constants!$B$6,"",$BD83)</f>
        <v/>
      </c>
      <c r="BK83" s="99" t="str">
        <f aca="false">IF($BX83&lt;&gt;Constants!$B$6,"",IF($AL83,$AN83,""))</f>
        <v/>
      </c>
      <c r="BL83" s="93" t="str">
        <f aca="false">IF($BX83&lt;&gt;Constants!$B$6,"",IF(OR($BS83&lt;$BH83,AND($BS83=$BH83,OR($BT83&lt;$BI83,AND($BT83=$BI83,OR($BU83&lt;$BJ83,AND($BU83=$BJ83,AND(ISNUMBER($BV83),OR(NOT(ISNUMBER($BK83)),$BV83&lt;$BK83)))))))),"-&gt;","&lt;-"))</f>
        <v/>
      </c>
      <c r="BM83" s="92" t="str">
        <f aca="false">IF(ISBLANK($C83),"",AND($AT83,OR($AU83="",$AV83="",AND($AW83,$AX83=""))))</f>
        <v/>
      </c>
      <c r="BN83" s="94" t="str">
        <f aca="false">IF($BX83&lt;&gt;Constants!$B$6,"",IF($AT83,Constants!$B$17*$AV83+Constants!$B$18*IF($AW83,$AX83,Constants!$B$19),Constants!$B$20))</f>
        <v/>
      </c>
      <c r="BO83" s="97" t="str">
        <f aca="false">IF($BX83&lt;&gt;Constants!$B$6,"",Constants!$B$21*ABS($AD$9-IF($AT83,$AU83,0)))</f>
        <v/>
      </c>
      <c r="BP83" s="97" t="str">
        <f aca="false">IF($BX83&lt;&gt;Constants!$B$6,"",IF(AND($AT83,$AY83,$AW83),Constants!$B$22,0))</f>
        <v/>
      </c>
      <c r="BQ83" s="97" t="str">
        <f aca="false">IF($BX83&lt;&gt;Constants!$B$6,"",IF($AT83,($AI83-Constants!$B$24)*Constants!$B$23,0))</f>
        <v/>
      </c>
      <c r="BR83" s="97" t="str">
        <f aca="false">IF($BX83&lt;&gt;Constants!$B$6,"",IF($AS83,0,Constants!$B$12)+IF($AR83,0,Constants!$B$13)+IF($AH83,0,Constants!$B$14))</f>
        <v/>
      </c>
      <c r="BS83" s="98" t="str">
        <f aca="false">IF($BX83&lt;&gt;Constants!$B$6,"",Constants!$B$16+SUM($BN83:$BR83))</f>
        <v/>
      </c>
      <c r="BT83" s="97" t="str">
        <f aca="false">IF($BX83&lt;&gt;Constants!$B$6,"",$BN83)</f>
        <v/>
      </c>
      <c r="BU83" s="97" t="str">
        <f aca="false">IF($BX83&lt;&gt;Constants!$B$6,"",$BO83)</f>
        <v/>
      </c>
      <c r="BV83" s="99" t="str">
        <f aca="false">IF($BX83&lt;&gt;Constants!$B$6,"",IF($AT83,$AV83,""))</f>
        <v/>
      </c>
      <c r="BW83" s="93" t="str">
        <f aca="false">IF(ISBLANK($C83),"",IF(ISBLANK($D$7),$BW$5,IF(NOT(ISNUMBER($D$7)),$BW$6,"")))</f>
        <v/>
      </c>
      <c r="BX83" s="93" t="str">
        <f aca="false">IF(ISBLANK($C83),"",IF($BA83,Constants!$B$9,IF(COUNTA($E83:$AA83)=0,Constants!$B$8,IF(NOT($AG83),Constants!$B$7,IF(OR($BW83&lt;&gt;"",$BB83,$BM83),Constants!$B$10,Constants!$B$6)))))</f>
        <v/>
      </c>
      <c r="BY83" s="93" t="str">
        <f aca="false">IF(ISBLANK($C83),"",IF($BX83&lt;&gt;Constants!$B$6,$BX83,Constants!$B$11))</f>
        <v/>
      </c>
      <c r="BZ83" s="97" t="str">
        <f aca="false">IF($BX83&lt;&gt;Constants!$B$6,"",IF($BL83="-&gt;",$BS83,$BH83))</f>
        <v/>
      </c>
      <c r="CA83" s="97" t="str">
        <f aca="false">IF($BX83&lt;&gt;Constants!$B$6,"",IF($AF83,0,Constants!$B$15))</f>
        <v/>
      </c>
      <c r="CB83" s="97" t="str">
        <f aca="false">IF($BX83&lt;&gt;Constants!$B$6,"",((Constants!$B$25-$AZ83)-Constants!$B$25)/Constants!$B$26)</f>
        <v/>
      </c>
      <c r="CC83" s="97" t="str">
        <f aca="false">IF(ISBLANK($C83),"",IF($BX83&lt;&gt;Constants!$B$6,$BX83,SUM($BZ83:$CB83)))</f>
        <v/>
      </c>
      <c r="CD83" s="93" t="str">
        <f aca="false">IF(ISBLANK($C83),"",IF($BX83&lt;&gt;Constants!$B$6,$BX83,RANK($CC83,$CC$9:$CC$508,1)))</f>
        <v/>
      </c>
      <c r="CE83" s="97" t="str">
        <f aca="false">IF($BX83&lt;&gt;Constants!$B$6,"",IF($BL83="-&gt;",$BT83,$BI83))</f>
        <v/>
      </c>
      <c r="CF83" s="93" t="str">
        <f aca="false">IF(ISBLANK($C83),"",IF($BX83&lt;&gt;Constants!$B$6,$BX83,IF(ISNUMBER($CE83),RANK($CE83,$CE$9:$CE$508,1),COUNT($CE$9:$CE$508)+1)))</f>
        <v/>
      </c>
      <c r="CG83" s="97" t="str">
        <f aca="false">IF($BX83&lt;&gt;Constants!$B$6,"",IF($BL83="-&gt;",$BU83,$BJ83))</f>
        <v/>
      </c>
      <c r="CH83" s="93" t="str">
        <f aca="false">IF(ISBLANK($C83),"",IF($BX83&lt;&gt;Constants!$B$6,$BX83,IF(ISNUMBER($CG83),RANK($CG83,$CG$9:$CG$508,1),COUNT($CG$9:$CG$508)+1)))</f>
        <v/>
      </c>
      <c r="CI83" s="97" t="str">
        <f aca="false">IF($BX83&lt;&gt;Constants!$B$6,"",IF($BL83="-&gt;",$BV83,$BK83))</f>
        <v/>
      </c>
      <c r="CJ83" s="93" t="str">
        <f aca="false">IF(ISBLANK($C83),"",IF($BX83&lt;&gt;Constants!$B$6,$BX83,IF(ISNUMBER($CI83),RANK($CI83,$CI$9:$CI$508,1),COUNT($CI$9:$CI$508)+1)))</f>
        <v/>
      </c>
      <c r="CK83" s="97" t="str">
        <f aca="false">IF($BX83&lt;&gt;Constants!$B$6,"",$AI83)</f>
        <v/>
      </c>
      <c r="CL83" s="93" t="str">
        <f aca="false">IF(ISBLANK($C83),"",IF($BX83&lt;&gt;Constants!$B$6,$BX83,IF(ISNUMBER($CK83),RANK($CK83,$CK$9:$CK$508,1),COUNT($CK$9:$CK$508)+1)))</f>
        <v/>
      </c>
      <c r="CM83" s="93" t="str">
        <f aca="false">IF(ISBLANK($C83),"",IF($BX83&lt;&gt;Constants!$B$6,$BX83,COUNTIFS($CD$9:$CD$508,"&lt;"&amp;$CD83)+COUNTIFS($CD$9:$CD$508,$CD83,$CF$9:$CF$508,"&lt;"&amp;$CF83)+COUNTIFS($CD$9:$CD$508,$CD83,$CF$9:$CF$508,$CF83,$CH$9:$CH$508,"&lt;"&amp;$CH83)+COUNTIFS($CD$9:$CD$508,$CD83,$CF$9:$CF$508,$CF83,$CH$9:$CH$508,$CH83,$CJ$9:$CJ$508,"&lt;"&amp;$CJ83)+COUNTIFS($CD$9:$CD$508,$CD83,$CF$9:$CF$508,$CF83,$CH$9:$CH$508,$CH83,$CJ$9:$CJ$508,$CJ83,$CL$9:$CL$508,"&lt;"&amp;$CL83)+1))</f>
        <v/>
      </c>
      <c r="CN83" s="93" t="str">
        <f aca="false">IF(ISBLANK($C83),"",IF($BX83&lt;&gt;Constants!$B$6,$BX83,$CD83-$CM83))</f>
        <v/>
      </c>
      <c r="CO83" s="100"/>
      <c r="CP83" s="101"/>
      <c r="CQ83" s="102" t="str">
        <f aca="false">IF(ISBLANK($C83),"",IF($BX83=Constants!$B$10,$BW83,""))</f>
        <v/>
      </c>
      <c r="CR83" s="101" t="str">
        <f aca="false">IF(ISBLANK($C83),"",IF($BX83&lt;&gt;Constants!$B$6,"",IF($BL83="-&gt;",2,1)))</f>
        <v/>
      </c>
      <c r="CS83" s="103" t="str">
        <f aca="false">IF(ISBLANK($C83),"",IF($BX83&lt;&gt;Constants!$B$6,"",IF($BL83="-&gt;",$BN83,$BC83)))</f>
        <v/>
      </c>
      <c r="CT83" s="103" t="str">
        <f aca="false">IF(ISBLANK($C83),"",IF($BX83&lt;&gt;Constants!$B$6,"",IF($BL83="-&gt;",$BO83,$BD83)))</f>
        <v/>
      </c>
      <c r="CU83" s="103" t="str">
        <f aca="false">IF(ISBLANK($C83),"",IF($BX83&lt;&gt;Constants!$B$6,"",IF($BL83="-&gt;",$BP83+$BQ83,$BE83+$BF83)+$CB83))</f>
        <v/>
      </c>
      <c r="CV83" s="103" t="str">
        <f aca="false">IF(ISBLANK($C83),"",IF($BX83&lt;&gt;Constants!$B$6,"",IF($BL83="-&gt;",$BR83,$BG83)+$CA83))</f>
        <v/>
      </c>
      <c r="CW83" s="104" t="str">
        <f aca="false">IF(ISBLANK($C83),"",IF($BX83&lt;&gt;Constants!$B$6,$BX83,$CC83))</f>
        <v/>
      </c>
      <c r="CX83" s="105" t="str">
        <f aca="false">IF(ISBLANK($C83),"",$BY83)</f>
        <v/>
      </c>
      <c r="CY83" s="106" t="str">
        <f aca="false">IF(ISBLANK($C83),"",$CN83)</f>
        <v/>
      </c>
      <c r="CZ83" s="106" t="str">
        <f aca="false">IF(ISBLANK($C83),"",$CM83)</f>
        <v/>
      </c>
      <c r="DA83" s="107" t="str">
        <f aca="false">IF(ISBLANK($C83),"",IFERROR(_xlfn.SWITCH($CZ83,Constants!$B$9,COUNTA($C$9:$C$508)+2,Constants!$B$8,COUNTA($C$9:$C$508)+1,Constants!$B$7,COUNTA($C$9:$C$508)),$CZ83))</f>
        <v/>
      </c>
      <c r="DB83" s="9"/>
      <c r="DC83" s="108" t="n">
        <f aca="false">IF(OR(ISNUMBER($CZ83),$CZ83=Constants!$B$9,$CZ83=Constants!$B$7,$CZ83=Constants!$B$8),1,0)</f>
        <v>0</v>
      </c>
      <c r="DD83" s="108" t="n">
        <v>75</v>
      </c>
      <c r="DE83" s="108" t="str">
        <f aca="false">IF(ISBLANK($C83),"",IF(ISNUMBER($DA83),$DA83+ROW($B83)/1000,""))</f>
        <v/>
      </c>
      <c r="DF83" s="108" t="str">
        <f aca="false">IF(ISNUMBER($DE83),RANK($DE83,$DE$9:$DE$508,1),"")</f>
        <v/>
      </c>
      <c r="DG83" s="108" t="str">
        <f aca="false">IF(ISBLANK($C83),"",$B83)</f>
        <v/>
      </c>
      <c r="DH83" s="108" t="str">
        <f aca="false">IF(ISBLANK($C83),"",$C83)</f>
        <v/>
      </c>
      <c r="DI83" s="108" t="str">
        <f aca="false">IF(ISBLANK($C83),"",$D83)</f>
        <v/>
      </c>
      <c r="DJ83" s="109" t="str">
        <f aca="false">$CX83</f>
        <v/>
      </c>
      <c r="DK83" s="110" t="str">
        <f aca="false">$CW83</f>
        <v/>
      </c>
      <c r="DL83" s="108" t="str">
        <f aca="false">IF(ISBLANK($C83),"",$CZ83)</f>
        <v/>
      </c>
      <c r="DM83" s="111" t="str">
        <f aca="false">IF($DD83&gt;$DC$8,"",VLOOKUP($DD83,$DF$9:$DL$508,7,FALSE()))</f>
        <v/>
      </c>
      <c r="DN83" s="112" t="str">
        <f aca="false">IF($DD83&gt;$DC$8,"",VLOOKUP($DD83,$DF$9:$DL$508,2,FALSE()))</f>
        <v/>
      </c>
      <c r="DO83" s="112" t="str">
        <f aca="false">IF($DD83&gt;$DC$8,"",VLOOKUP($DD83,$DF$9:$DL$508,3,FALSE()))</f>
        <v/>
      </c>
      <c r="DP83" s="112" t="str">
        <f aca="false">IF($DD83&gt;$DC$8,"",VLOOKUP($DD83,$DF$9:$DL$508,4,FALSE()))</f>
        <v/>
      </c>
      <c r="DQ83" s="112" t="str">
        <f aca="false">IF($DD83&gt;$DC$8,"",VLOOKUP($DD83,$DF$9:$DL$508,5,FALSE()))</f>
        <v/>
      </c>
      <c r="DR83" s="113" t="str">
        <f aca="false">IF($DD83&gt;$DC$8,"",VLOOKUP($DD83,$DF$9:$DL$508,6,FALSE()))</f>
        <v/>
      </c>
      <c r="DS83" s="76"/>
    </row>
    <row r="84" customFormat="false" ht="15.75" hidden="false" customHeight="false" outlineLevel="0" collapsed="false">
      <c r="A84" s="9"/>
      <c r="B84" s="160"/>
      <c r="C84" s="161"/>
      <c r="D84" s="162"/>
      <c r="E84" s="180"/>
      <c r="F84" s="164"/>
      <c r="G84" s="165"/>
      <c r="H84" s="165"/>
      <c r="I84" s="181"/>
      <c r="J84" s="168"/>
      <c r="K84" s="128"/>
      <c r="L84" s="129"/>
      <c r="M84" s="130"/>
      <c r="N84" s="168"/>
      <c r="O84" s="168"/>
      <c r="P84" s="180"/>
      <c r="Q84" s="168"/>
      <c r="R84" s="168"/>
      <c r="S84" s="128"/>
      <c r="T84" s="130"/>
      <c r="U84" s="130"/>
      <c r="V84" s="168"/>
      <c r="W84" s="168"/>
      <c r="X84" s="180"/>
      <c r="Y84" s="168"/>
      <c r="Z84" s="169"/>
      <c r="AA84" s="168"/>
      <c r="AB84" s="134"/>
      <c r="AC84" s="135"/>
      <c r="AD84" s="135"/>
      <c r="AE84" s="135"/>
      <c r="AF84" s="135" t="str">
        <f aca="false">IF(ISBLANK($C84),"",IF(E84=Constants!$B$2,TRUE(),IF(E84=Constants!$B$3,FALSE(),TRUE())))</f>
        <v/>
      </c>
      <c r="AG84" s="135" t="str">
        <f aca="false">IF(ISBLANK($C84),"",IF(F84=Constants!$B$2,TRUE(),IF(F84=Constants!$B$3,FALSE(),TRUE())))</f>
        <v/>
      </c>
      <c r="AH84" s="135" t="str">
        <f aca="false">IF(ISBLANK($C84),"",IF(G84=Constants!$B$2,TRUE(),IF(G84=Constants!$B$3,FALSE(),TRUE())))</f>
        <v/>
      </c>
      <c r="AI84" s="135" t="str">
        <f aca="false">IF(ISBLANK($C84),"",IF(AND(ISNUMBER(H84),H84&gt;=0),H84,Constants!$B$24))</f>
        <v/>
      </c>
      <c r="AJ84" s="135" t="str">
        <f aca="false">IF(ISBLANK($C84),"",IF(I84=Constants!$B$2,TRUE(),IF(I84=Constants!$B$3,FALSE(),TRUE())))</f>
        <v/>
      </c>
      <c r="AK84" s="135" t="str">
        <f aca="false">IF(ISBLANK($C84),"",IF(J84=Constants!$B$2,TRUE(),IF(J84=Constants!$B$3,FALSE(),TRUE())))</f>
        <v/>
      </c>
      <c r="AL84" s="135" t="str">
        <f aca="false">IF(ISBLANK($C84),"",IF(K84=Constants!$B$4,TRUE(),IF(K84=Constants!$B$5,FALSE(),COUNTA(L84:P84)&gt;0)))</f>
        <v/>
      </c>
      <c r="AM84" s="136" t="str">
        <f aca="false">IF(ISBLANK($C84),"",IF(ISNUMBER(L84),IF(L84&gt;=0,L84,""),""))</f>
        <v/>
      </c>
      <c r="AN84" s="137" t="str">
        <f aca="false">IF(ISBLANK($C84),"",IF(ISNUMBER(M84),IF(M84&gt;=0,M84,""),""))</f>
        <v/>
      </c>
      <c r="AO84" s="137" t="str">
        <f aca="false">IF(ISBLANK($C84),"",IF(N84=Constants!$B$2,TRUE(),IF(N84=Constants!$B$3,FALSE(),TRUE())))</f>
        <v/>
      </c>
      <c r="AP84" s="135" t="str">
        <f aca="false">IF(ISBLANK($C84),"",IF(ISNUMBER(O84),IF(O84&gt;=0,O84,""),""))</f>
        <v/>
      </c>
      <c r="AQ84" s="135" t="str">
        <f aca="false">IF(ISBLANK($C84),"",IF(P84=Constants!$B$2,TRUE(),IF(P84=Constants!$B$3,FALSE(),FALSE())))</f>
        <v/>
      </c>
      <c r="AR84" s="135" t="str">
        <f aca="false">IF(ISBLANK($C84),"",IF(Q84=Constants!$B$2,TRUE(),IF(Q84=Constants!$B$3,FALSE(),TRUE())))</f>
        <v/>
      </c>
      <c r="AS84" s="135" t="str">
        <f aca="false">IF(ISBLANK($C84),"",IF(R84=Constants!$B$2,TRUE(),IF(R84=Constants!$B$3,FALSE(),TRUE())))</f>
        <v/>
      </c>
      <c r="AT84" s="135" t="str">
        <f aca="false">IF(ISBLANK($C84),"",IF(S84=Constants!$B$4,TRUE(),IF(S84=Constants!$B$5,FALSE(),COUNTA(T84:X84)&gt;0)))</f>
        <v/>
      </c>
      <c r="AU84" s="136" t="str">
        <f aca="false">IF(ISBLANK($C84),"",IF(ISNUMBER(T84),IF(T84&gt;=0,T84,""),""))</f>
        <v/>
      </c>
      <c r="AV84" s="137" t="str">
        <f aca="false">IF(ISBLANK($C84),"",IF(ISNUMBER(U84),IF(U84&gt;=0,U84,""),""))</f>
        <v/>
      </c>
      <c r="AW84" s="137" t="str">
        <f aca="false">IF(ISBLANK($C84),"",IF(V84=Constants!$B$2,TRUE(),IF(V84=Constants!$B$3,FALSE(),TRUE())))</f>
        <v/>
      </c>
      <c r="AX84" s="135" t="str">
        <f aca="false">IF(ISBLANK($C84),"",IF(ISNUMBER(W84),IF(W84&gt;=0,W84,""),""))</f>
        <v/>
      </c>
      <c r="AY84" s="135" t="str">
        <f aca="false">IF(ISBLANK($C84),"",IF(X84=Constants!$B$2,TRUE(),IF(X84=Constants!$B$3,FALSE(),FALSE())))</f>
        <v/>
      </c>
      <c r="AZ84" s="135" t="str">
        <f aca="false">IF(ISBLANK($C84),"",MIN(Constants!$B$25,MAX(0,IF(ISNUMBER(Y84),Y84*60,0)+IF(ISNUMBER(Z84),Z84,0))))</f>
        <v/>
      </c>
      <c r="BA84" s="135" t="str">
        <f aca="false">IF(ISBLANK($C84),"",IF(AA84=Constants!$B$2,TRUE(),IF(AA84=Constants!$B$3,FALSE(),FALSE())))</f>
        <v/>
      </c>
      <c r="BB84" s="134" t="str">
        <f aca="false">IF(ISBLANK($C84),"",AND($AL84,OR($AM84="",$AN84="",AND($AO84,$AP84=""))))</f>
        <v/>
      </c>
      <c r="BC84" s="137" t="str">
        <f aca="false">IF($BX84&lt;&gt;Constants!$B$6,"",IF($AL84,Constants!$B$17*$AN84+Constants!$B$18*IF($AO84,$AP84,Constants!$B$19),Constants!$B$20))</f>
        <v/>
      </c>
      <c r="BD84" s="138" t="str">
        <f aca="false">IF($BX84&lt;&gt;Constants!$B$6,"",Constants!$B$21*ABS($AD$9-IF($AL84,$AM84,0)))</f>
        <v/>
      </c>
      <c r="BE84" s="138" t="str">
        <f aca="false">IF($BX84&lt;&gt;Constants!$B$6,"",IF(AND($AL84,$AQ84,$AO84),Constants!$B$22,0))</f>
        <v/>
      </c>
      <c r="BF84" s="138" t="str">
        <f aca="false">IF($BX84&lt;&gt;Constants!$B$6,"",IF($AL84,($AI84-Constants!$B$24)*Constants!$B$23,0))</f>
        <v/>
      </c>
      <c r="BG84" s="138" t="str">
        <f aca="false">IF($BX84&lt;&gt;Constants!$B$6,"",IF($AK84,0,Constants!$B$12)+IF($AJ84,0,Constants!$B$13)+IF($AH84,0,Constants!$B$14))</f>
        <v/>
      </c>
      <c r="BH84" s="139" t="str">
        <f aca="false">IF($BX84&lt;&gt;Constants!$B$6,"",Constants!$B$16+SUM($BC84:$BG84))</f>
        <v/>
      </c>
      <c r="BI84" s="138" t="str">
        <f aca="false">IF($BX84&lt;&gt;Constants!$B$6,"",$BC84)</f>
        <v/>
      </c>
      <c r="BJ84" s="138" t="str">
        <f aca="false">IF($BX84&lt;&gt;Constants!$B$6,"",$BD84)</f>
        <v/>
      </c>
      <c r="BK84" s="140" t="str">
        <f aca="false">IF($BX84&lt;&gt;Constants!$B$6,"",IF($AL84,$AN84,""))</f>
        <v/>
      </c>
      <c r="BL84" s="135" t="str">
        <f aca="false">IF($BX84&lt;&gt;Constants!$B$6,"",IF(OR($BS84&lt;$BH84,AND($BS84=$BH84,OR($BT84&lt;$BI84,AND($BT84=$BI84,OR($BU84&lt;$BJ84,AND($BU84=$BJ84,AND(ISNUMBER($BV84),OR(NOT(ISNUMBER($BK84)),$BV84&lt;$BK84)))))))),"-&gt;","&lt;-"))</f>
        <v/>
      </c>
      <c r="BM84" s="134" t="str">
        <f aca="false">IF(ISBLANK($C84),"",AND($AT84,OR($AU84="",$AV84="",AND($AW84,$AX84=""))))</f>
        <v/>
      </c>
      <c r="BN84" s="137" t="str">
        <f aca="false">IF($BX84&lt;&gt;Constants!$B$6,"",IF($AT84,Constants!$B$17*$AV84+Constants!$B$18*IF($AW84,$AX84,Constants!$B$19),Constants!$B$20))</f>
        <v/>
      </c>
      <c r="BO84" s="138" t="str">
        <f aca="false">IF($BX84&lt;&gt;Constants!$B$6,"",Constants!$B$21*ABS($AD$9-IF($AT84,$AU84,0)))</f>
        <v/>
      </c>
      <c r="BP84" s="138" t="str">
        <f aca="false">IF($BX84&lt;&gt;Constants!$B$6,"",IF(AND($AT84,$AY84,$AW84),Constants!$B$22,0))</f>
        <v/>
      </c>
      <c r="BQ84" s="138" t="str">
        <f aca="false">IF($BX84&lt;&gt;Constants!$B$6,"",IF($AT84,($AI84-Constants!$B$24)*Constants!$B$23,0))</f>
        <v/>
      </c>
      <c r="BR84" s="138" t="str">
        <f aca="false">IF($BX84&lt;&gt;Constants!$B$6,"",IF($AS84,0,Constants!$B$12)+IF($AR84,0,Constants!$B$13)+IF($AH84,0,Constants!$B$14))</f>
        <v/>
      </c>
      <c r="BS84" s="139" t="str">
        <f aca="false">IF($BX84&lt;&gt;Constants!$B$6,"",Constants!$B$16+SUM($BN84:$BR84))</f>
        <v/>
      </c>
      <c r="BT84" s="138" t="str">
        <f aca="false">IF($BX84&lt;&gt;Constants!$B$6,"",$BN84)</f>
        <v/>
      </c>
      <c r="BU84" s="138" t="str">
        <f aca="false">IF($BX84&lt;&gt;Constants!$B$6,"",$BO84)</f>
        <v/>
      </c>
      <c r="BV84" s="140" t="str">
        <f aca="false">IF($BX84&lt;&gt;Constants!$B$6,"",IF($AT84,$AV84,""))</f>
        <v/>
      </c>
      <c r="BW84" s="135" t="str">
        <f aca="false">IF(ISBLANK($C84),"",IF(ISBLANK($D$7),$BW$5,IF(NOT(ISNUMBER($D$7)),$BW$6,"")))</f>
        <v/>
      </c>
      <c r="BX84" s="135" t="str">
        <f aca="false">IF(ISBLANK($C84),"",IF($BA84,Constants!$B$9,IF(COUNTA($E84:$AA84)=0,Constants!$B$8,IF(NOT($AG84),Constants!$B$7,IF(OR($BW84&lt;&gt;"",$BB84,$BM84),Constants!$B$10,Constants!$B$6)))))</f>
        <v/>
      </c>
      <c r="BY84" s="135" t="str">
        <f aca="false">IF(ISBLANK($C84),"",IF($BX84&lt;&gt;Constants!$B$6,$BX84,Constants!$B$11))</f>
        <v/>
      </c>
      <c r="BZ84" s="138" t="str">
        <f aca="false">IF($BX84&lt;&gt;Constants!$B$6,"",IF($BL84="-&gt;",$BS84,$BH84))</f>
        <v/>
      </c>
      <c r="CA84" s="138" t="str">
        <f aca="false">IF($BX84&lt;&gt;Constants!$B$6,"",IF($AF84,0,Constants!$B$15))</f>
        <v/>
      </c>
      <c r="CB84" s="138" t="str">
        <f aca="false">IF($BX84&lt;&gt;Constants!$B$6,"",((Constants!$B$25-$AZ84)-Constants!$B$25)/Constants!$B$26)</f>
        <v/>
      </c>
      <c r="CC84" s="138" t="str">
        <f aca="false">IF(ISBLANK($C84),"",IF($BX84&lt;&gt;Constants!$B$6,$BX84,SUM($BZ84:$CB84)))</f>
        <v/>
      </c>
      <c r="CD84" s="135" t="str">
        <f aca="false">IF(ISBLANK($C84),"",IF($BX84&lt;&gt;Constants!$B$6,$BX84,RANK($CC84,$CC$9:$CC$508,1)))</f>
        <v/>
      </c>
      <c r="CE84" s="138" t="str">
        <f aca="false">IF($BX84&lt;&gt;Constants!$B$6,"",IF($BL84="-&gt;",$BT84,$BI84))</f>
        <v/>
      </c>
      <c r="CF84" s="135" t="str">
        <f aca="false">IF(ISBLANK($C84),"",IF($BX84&lt;&gt;Constants!$B$6,$BX84,IF(ISNUMBER($CE84),RANK($CE84,$CE$9:$CE$508,1),COUNT($CE$9:$CE$508)+1)))</f>
        <v/>
      </c>
      <c r="CG84" s="138" t="str">
        <f aca="false">IF($BX84&lt;&gt;Constants!$B$6,"",IF($BL84="-&gt;",$BU84,$BJ84))</f>
        <v/>
      </c>
      <c r="CH84" s="135" t="str">
        <f aca="false">IF(ISBLANK($C84),"",IF($BX84&lt;&gt;Constants!$B$6,$BX84,IF(ISNUMBER($CG84),RANK($CG84,$CG$9:$CG$508,1),COUNT($CG$9:$CG$508)+1)))</f>
        <v/>
      </c>
      <c r="CI84" s="138" t="str">
        <f aca="false">IF($BX84&lt;&gt;Constants!$B$6,"",IF($BL84="-&gt;",$BV84,$BK84))</f>
        <v/>
      </c>
      <c r="CJ84" s="135" t="str">
        <f aca="false">IF(ISBLANK($C84),"",IF($BX84&lt;&gt;Constants!$B$6,$BX84,IF(ISNUMBER($CI84),RANK($CI84,$CI$9:$CI$508,1),COUNT($CI$9:$CI$508)+1)))</f>
        <v/>
      </c>
      <c r="CK84" s="138" t="str">
        <f aca="false">IF($BX84&lt;&gt;Constants!$B$6,"",$AI84)</f>
        <v/>
      </c>
      <c r="CL84" s="135" t="str">
        <f aca="false">IF(ISBLANK($C84),"",IF($BX84&lt;&gt;Constants!$B$6,$BX84,IF(ISNUMBER($CK84),RANK($CK84,$CK$9:$CK$508,1),COUNT($CK$9:$CK$508)+1)))</f>
        <v/>
      </c>
      <c r="CM84" s="135" t="str">
        <f aca="false">IF(ISBLANK($C84),"",IF($BX84&lt;&gt;Constants!$B$6,$BX84,COUNTIFS($CD$9:$CD$508,"&lt;"&amp;$CD84)+COUNTIFS($CD$9:$CD$508,$CD84,$CF$9:$CF$508,"&lt;"&amp;$CF84)+COUNTIFS($CD$9:$CD$508,$CD84,$CF$9:$CF$508,$CF84,$CH$9:$CH$508,"&lt;"&amp;$CH84)+COUNTIFS($CD$9:$CD$508,$CD84,$CF$9:$CF$508,$CF84,$CH$9:$CH$508,$CH84,$CJ$9:$CJ$508,"&lt;"&amp;$CJ84)+COUNTIFS($CD$9:$CD$508,$CD84,$CF$9:$CF$508,$CF84,$CH$9:$CH$508,$CH84,$CJ$9:$CJ$508,$CJ84,$CL$9:$CL$508,"&lt;"&amp;$CL84)+1))</f>
        <v/>
      </c>
      <c r="CN84" s="135" t="str">
        <f aca="false">IF(ISBLANK($C84),"",IF($BX84&lt;&gt;Constants!$B$6,$BX84,$CD84-$CM84))</f>
        <v/>
      </c>
      <c r="CO84" s="141"/>
      <c r="CP84" s="142"/>
      <c r="CQ84" s="143" t="str">
        <f aca="false">IF(ISBLANK($C84),"",IF($BX84=Constants!$B$10,$BW84,""))</f>
        <v/>
      </c>
      <c r="CR84" s="142" t="str">
        <f aca="false">IF(ISBLANK($C84),"",IF($BX84&lt;&gt;Constants!$B$6,"",IF($BL84="-&gt;",2,1)))</f>
        <v/>
      </c>
      <c r="CS84" s="144" t="str">
        <f aca="false">IF(ISBLANK($C84),"",IF($BX84&lt;&gt;Constants!$B$6,"",IF($BL84="-&gt;",$BN84,$BC84)))</f>
        <v/>
      </c>
      <c r="CT84" s="144" t="str">
        <f aca="false">IF(ISBLANK($C84),"",IF($BX84&lt;&gt;Constants!$B$6,"",IF($BL84="-&gt;",$BO84,$BD84)))</f>
        <v/>
      </c>
      <c r="CU84" s="144" t="str">
        <f aca="false">IF(ISBLANK($C84),"",IF($BX84&lt;&gt;Constants!$B$6,"",IF($BL84="-&gt;",$BP84+$BQ84,$BE84+$BF84)+$CB84))</f>
        <v/>
      </c>
      <c r="CV84" s="144" t="str">
        <f aca="false">IF(ISBLANK($C84),"",IF($BX84&lt;&gt;Constants!$B$6,"",IF($BL84="-&gt;",$BR84,$BG84)+$CA84))</f>
        <v/>
      </c>
      <c r="CW84" s="145" t="str">
        <f aca="false">IF(ISBLANK($C84),"",IF($BX84&lt;&gt;Constants!$B$6,$BX84,$CC84))</f>
        <v/>
      </c>
      <c r="CX84" s="146" t="str">
        <f aca="false">IF(ISBLANK($C84),"",$BY84)</f>
        <v/>
      </c>
      <c r="CY84" s="147" t="str">
        <f aca="false">IF(ISBLANK($C84),"",$CN84)</f>
        <v/>
      </c>
      <c r="CZ84" s="147" t="str">
        <f aca="false">IF(ISBLANK($C84),"",$CM84)</f>
        <v/>
      </c>
      <c r="DA84" s="148" t="str">
        <f aca="false">IF(ISBLANK($C84),"",IFERROR(_xlfn.SWITCH($CZ84,Constants!$B$9,COUNTA($C$9:$C$508)+2,Constants!$B$8,COUNTA($C$9:$C$508)+1,Constants!$B$7,COUNTA($C$9:$C$508)),$CZ84))</f>
        <v/>
      </c>
      <c r="DB84" s="9"/>
      <c r="DC84" s="149" t="n">
        <f aca="false">IF(OR(ISNUMBER($CZ84),$CZ84=Constants!$B$9,$CZ84=Constants!$B$7,$CZ84=Constants!$B$8),1,0)</f>
        <v>0</v>
      </c>
      <c r="DD84" s="149" t="n">
        <v>76</v>
      </c>
      <c r="DE84" s="149" t="str">
        <f aca="false">IF(ISBLANK($C84),"",IF(ISNUMBER($DA84),$DA84+ROW($B84)/1000,""))</f>
        <v/>
      </c>
      <c r="DF84" s="149" t="str">
        <f aca="false">IF(ISNUMBER($DE84),RANK($DE84,$DE$9:$DE$508,1),"")</f>
        <v/>
      </c>
      <c r="DG84" s="149" t="str">
        <f aca="false">IF(ISBLANK($C84),"",$B84)</f>
        <v/>
      </c>
      <c r="DH84" s="149" t="str">
        <f aca="false">IF(ISBLANK($C84),"",$C84)</f>
        <v/>
      </c>
      <c r="DI84" s="149" t="str">
        <f aca="false">IF(ISBLANK($C84),"",$D84)</f>
        <v/>
      </c>
      <c r="DJ84" s="150" t="str">
        <f aca="false">$CX84</f>
        <v/>
      </c>
      <c r="DK84" s="151" t="str">
        <f aca="false">$CW84</f>
        <v/>
      </c>
      <c r="DL84" s="149" t="str">
        <f aca="false">IF(ISBLANK($C84),"",$CZ84)</f>
        <v/>
      </c>
      <c r="DM84" s="152" t="str">
        <f aca="false">IF($DD84&gt;$DC$8,"",VLOOKUP($DD84,$DF$9:$DL$508,7,FALSE()))</f>
        <v/>
      </c>
      <c r="DN84" s="153" t="str">
        <f aca="false">IF($DD84&gt;$DC$8,"",VLOOKUP($DD84,$DF$9:$DL$508,2,FALSE()))</f>
        <v/>
      </c>
      <c r="DO84" s="153" t="str">
        <f aca="false">IF($DD84&gt;$DC$8,"",VLOOKUP($DD84,$DF$9:$DL$508,3,FALSE()))</f>
        <v/>
      </c>
      <c r="DP84" s="153" t="str">
        <f aca="false">IF($DD84&gt;$DC$8,"",VLOOKUP($DD84,$DF$9:$DL$508,4,FALSE()))</f>
        <v/>
      </c>
      <c r="DQ84" s="153" t="str">
        <f aca="false">IF($DD84&gt;$DC$8,"",VLOOKUP($DD84,$DF$9:$DL$508,5,FALSE()))</f>
        <v/>
      </c>
      <c r="DR84" s="154" t="str">
        <f aca="false">IF($DD84&gt;$DC$8,"",VLOOKUP($DD84,$DF$9:$DL$508,6,FALSE()))</f>
        <v/>
      </c>
      <c r="DS84" s="76"/>
    </row>
    <row r="85" customFormat="false" ht="15.75" hidden="false" customHeight="false" outlineLevel="0" collapsed="false">
      <c r="A85" s="9"/>
      <c r="B85" s="160"/>
      <c r="C85" s="161"/>
      <c r="D85" s="162"/>
      <c r="E85" s="180"/>
      <c r="F85" s="164"/>
      <c r="G85" s="165"/>
      <c r="H85" s="165"/>
      <c r="I85" s="181"/>
      <c r="J85" s="168"/>
      <c r="K85" s="128"/>
      <c r="L85" s="129"/>
      <c r="M85" s="130"/>
      <c r="N85" s="168"/>
      <c r="O85" s="168"/>
      <c r="P85" s="180"/>
      <c r="Q85" s="168"/>
      <c r="R85" s="168"/>
      <c r="S85" s="128"/>
      <c r="T85" s="130"/>
      <c r="U85" s="130"/>
      <c r="V85" s="168"/>
      <c r="W85" s="168"/>
      <c r="X85" s="180"/>
      <c r="Y85" s="168"/>
      <c r="Z85" s="169"/>
      <c r="AA85" s="168"/>
      <c r="AB85" s="134"/>
      <c r="AC85" s="135"/>
      <c r="AD85" s="135"/>
      <c r="AE85" s="135"/>
      <c r="AF85" s="135" t="str">
        <f aca="false">IF(ISBLANK($C85),"",IF(E85=Constants!$B$2,TRUE(),IF(E85=Constants!$B$3,FALSE(),TRUE())))</f>
        <v/>
      </c>
      <c r="AG85" s="135" t="str">
        <f aca="false">IF(ISBLANK($C85),"",IF(F85=Constants!$B$2,TRUE(),IF(F85=Constants!$B$3,FALSE(),TRUE())))</f>
        <v/>
      </c>
      <c r="AH85" s="135" t="str">
        <f aca="false">IF(ISBLANK($C85),"",IF(G85=Constants!$B$2,TRUE(),IF(G85=Constants!$B$3,FALSE(),TRUE())))</f>
        <v/>
      </c>
      <c r="AI85" s="135" t="str">
        <f aca="false">IF(ISBLANK($C85),"",IF(AND(ISNUMBER(H85),H85&gt;=0),H85,Constants!$B$24))</f>
        <v/>
      </c>
      <c r="AJ85" s="135" t="str">
        <f aca="false">IF(ISBLANK($C85),"",IF(I85=Constants!$B$2,TRUE(),IF(I85=Constants!$B$3,FALSE(),TRUE())))</f>
        <v/>
      </c>
      <c r="AK85" s="135" t="str">
        <f aca="false">IF(ISBLANK($C85),"",IF(J85=Constants!$B$2,TRUE(),IF(J85=Constants!$B$3,FALSE(),TRUE())))</f>
        <v/>
      </c>
      <c r="AL85" s="135" t="str">
        <f aca="false">IF(ISBLANK($C85),"",IF(K85=Constants!$B$4,TRUE(),IF(K85=Constants!$B$5,FALSE(),COUNTA(L85:P85)&gt;0)))</f>
        <v/>
      </c>
      <c r="AM85" s="136" t="str">
        <f aca="false">IF(ISBLANK($C85),"",IF(ISNUMBER(L85),IF(L85&gt;=0,L85,""),""))</f>
        <v/>
      </c>
      <c r="AN85" s="137" t="str">
        <f aca="false">IF(ISBLANK($C85),"",IF(ISNUMBER(M85),IF(M85&gt;=0,M85,""),""))</f>
        <v/>
      </c>
      <c r="AO85" s="137" t="str">
        <f aca="false">IF(ISBLANK($C85),"",IF(N85=Constants!$B$2,TRUE(),IF(N85=Constants!$B$3,FALSE(),TRUE())))</f>
        <v/>
      </c>
      <c r="AP85" s="135" t="str">
        <f aca="false">IF(ISBLANK($C85),"",IF(ISNUMBER(O85),IF(O85&gt;=0,O85,""),""))</f>
        <v/>
      </c>
      <c r="AQ85" s="135" t="str">
        <f aca="false">IF(ISBLANK($C85),"",IF(P85=Constants!$B$2,TRUE(),IF(P85=Constants!$B$3,FALSE(),FALSE())))</f>
        <v/>
      </c>
      <c r="AR85" s="135" t="str">
        <f aca="false">IF(ISBLANK($C85),"",IF(Q85=Constants!$B$2,TRUE(),IF(Q85=Constants!$B$3,FALSE(),TRUE())))</f>
        <v/>
      </c>
      <c r="AS85" s="135" t="str">
        <f aca="false">IF(ISBLANK($C85),"",IF(R85=Constants!$B$2,TRUE(),IF(R85=Constants!$B$3,FALSE(),TRUE())))</f>
        <v/>
      </c>
      <c r="AT85" s="135" t="str">
        <f aca="false">IF(ISBLANK($C85),"",IF(S85=Constants!$B$4,TRUE(),IF(S85=Constants!$B$5,FALSE(),COUNTA(T85:X85)&gt;0)))</f>
        <v/>
      </c>
      <c r="AU85" s="136" t="str">
        <f aca="false">IF(ISBLANK($C85),"",IF(ISNUMBER(T85),IF(T85&gt;=0,T85,""),""))</f>
        <v/>
      </c>
      <c r="AV85" s="137" t="str">
        <f aca="false">IF(ISBLANK($C85),"",IF(ISNUMBER(U85),IF(U85&gt;=0,U85,""),""))</f>
        <v/>
      </c>
      <c r="AW85" s="137" t="str">
        <f aca="false">IF(ISBLANK($C85),"",IF(V85=Constants!$B$2,TRUE(),IF(V85=Constants!$B$3,FALSE(),TRUE())))</f>
        <v/>
      </c>
      <c r="AX85" s="135" t="str">
        <f aca="false">IF(ISBLANK($C85),"",IF(ISNUMBER(W85),IF(W85&gt;=0,W85,""),""))</f>
        <v/>
      </c>
      <c r="AY85" s="135" t="str">
        <f aca="false">IF(ISBLANK($C85),"",IF(X85=Constants!$B$2,TRUE(),IF(X85=Constants!$B$3,FALSE(),FALSE())))</f>
        <v/>
      </c>
      <c r="AZ85" s="135" t="str">
        <f aca="false">IF(ISBLANK($C85),"",MIN(Constants!$B$25,MAX(0,IF(ISNUMBER(Y85),Y85*60,0)+IF(ISNUMBER(Z85),Z85,0))))</f>
        <v/>
      </c>
      <c r="BA85" s="135" t="str">
        <f aca="false">IF(ISBLANK($C85),"",IF(AA85=Constants!$B$2,TRUE(),IF(AA85=Constants!$B$3,FALSE(),FALSE())))</f>
        <v/>
      </c>
      <c r="BB85" s="134" t="str">
        <f aca="false">IF(ISBLANK($C85),"",AND($AL85,OR($AM85="",$AN85="",AND($AO85,$AP85=""))))</f>
        <v/>
      </c>
      <c r="BC85" s="137" t="str">
        <f aca="false">IF($BX85&lt;&gt;Constants!$B$6,"",IF($AL85,Constants!$B$17*$AN85+Constants!$B$18*IF($AO85,$AP85,Constants!$B$19),Constants!$B$20))</f>
        <v/>
      </c>
      <c r="BD85" s="138" t="str">
        <f aca="false">IF($BX85&lt;&gt;Constants!$B$6,"",Constants!$B$21*ABS($AD$9-IF($AL85,$AM85,0)))</f>
        <v/>
      </c>
      <c r="BE85" s="138" t="str">
        <f aca="false">IF($BX85&lt;&gt;Constants!$B$6,"",IF(AND($AL85,$AQ85,$AO85),Constants!$B$22,0))</f>
        <v/>
      </c>
      <c r="BF85" s="138" t="str">
        <f aca="false">IF($BX85&lt;&gt;Constants!$B$6,"",IF($AL85,($AI85-Constants!$B$24)*Constants!$B$23,0))</f>
        <v/>
      </c>
      <c r="BG85" s="138" t="str">
        <f aca="false">IF($BX85&lt;&gt;Constants!$B$6,"",IF($AK85,0,Constants!$B$12)+IF($AJ85,0,Constants!$B$13)+IF($AH85,0,Constants!$B$14))</f>
        <v/>
      </c>
      <c r="BH85" s="139" t="str">
        <f aca="false">IF($BX85&lt;&gt;Constants!$B$6,"",Constants!$B$16+SUM($BC85:$BG85))</f>
        <v/>
      </c>
      <c r="BI85" s="138" t="str">
        <f aca="false">IF($BX85&lt;&gt;Constants!$B$6,"",$BC85)</f>
        <v/>
      </c>
      <c r="BJ85" s="138" t="str">
        <f aca="false">IF($BX85&lt;&gt;Constants!$B$6,"",$BD85)</f>
        <v/>
      </c>
      <c r="BK85" s="140" t="str">
        <f aca="false">IF($BX85&lt;&gt;Constants!$B$6,"",IF($AL85,$AN85,""))</f>
        <v/>
      </c>
      <c r="BL85" s="135" t="str">
        <f aca="false">IF($BX85&lt;&gt;Constants!$B$6,"",IF(OR($BS85&lt;$BH85,AND($BS85=$BH85,OR($BT85&lt;$BI85,AND($BT85=$BI85,OR($BU85&lt;$BJ85,AND($BU85=$BJ85,AND(ISNUMBER($BV85),OR(NOT(ISNUMBER($BK85)),$BV85&lt;$BK85)))))))),"-&gt;","&lt;-"))</f>
        <v/>
      </c>
      <c r="BM85" s="134" t="str">
        <f aca="false">IF(ISBLANK($C85),"",AND($AT85,OR($AU85="",$AV85="",AND($AW85,$AX85=""))))</f>
        <v/>
      </c>
      <c r="BN85" s="137" t="str">
        <f aca="false">IF($BX85&lt;&gt;Constants!$B$6,"",IF($AT85,Constants!$B$17*$AV85+Constants!$B$18*IF($AW85,$AX85,Constants!$B$19),Constants!$B$20))</f>
        <v/>
      </c>
      <c r="BO85" s="138" t="str">
        <f aca="false">IF($BX85&lt;&gt;Constants!$B$6,"",Constants!$B$21*ABS($AD$9-IF($AT85,$AU85,0)))</f>
        <v/>
      </c>
      <c r="BP85" s="138" t="str">
        <f aca="false">IF($BX85&lt;&gt;Constants!$B$6,"",IF(AND($AT85,$AY85,$AW85),Constants!$B$22,0))</f>
        <v/>
      </c>
      <c r="BQ85" s="138" t="str">
        <f aca="false">IF($BX85&lt;&gt;Constants!$B$6,"",IF($AT85,($AI85-Constants!$B$24)*Constants!$B$23,0))</f>
        <v/>
      </c>
      <c r="BR85" s="138" t="str">
        <f aca="false">IF($BX85&lt;&gt;Constants!$B$6,"",IF($AS85,0,Constants!$B$12)+IF($AR85,0,Constants!$B$13)+IF($AH85,0,Constants!$B$14))</f>
        <v/>
      </c>
      <c r="BS85" s="139" t="str">
        <f aca="false">IF($BX85&lt;&gt;Constants!$B$6,"",Constants!$B$16+SUM($BN85:$BR85))</f>
        <v/>
      </c>
      <c r="BT85" s="138" t="str">
        <f aca="false">IF($BX85&lt;&gt;Constants!$B$6,"",$BN85)</f>
        <v/>
      </c>
      <c r="BU85" s="138" t="str">
        <f aca="false">IF($BX85&lt;&gt;Constants!$B$6,"",$BO85)</f>
        <v/>
      </c>
      <c r="BV85" s="140" t="str">
        <f aca="false">IF($BX85&lt;&gt;Constants!$B$6,"",IF($AT85,$AV85,""))</f>
        <v/>
      </c>
      <c r="BW85" s="135" t="str">
        <f aca="false">IF(ISBLANK($C85),"",IF(ISBLANK($D$7),$BW$5,IF(NOT(ISNUMBER($D$7)),$BW$6,"")))</f>
        <v/>
      </c>
      <c r="BX85" s="135" t="str">
        <f aca="false">IF(ISBLANK($C85),"",IF($BA85,Constants!$B$9,IF(COUNTA($E85:$AA85)=0,Constants!$B$8,IF(NOT($AG85),Constants!$B$7,IF(OR($BW85&lt;&gt;"",$BB85,$BM85),Constants!$B$10,Constants!$B$6)))))</f>
        <v/>
      </c>
      <c r="BY85" s="135" t="str">
        <f aca="false">IF(ISBLANK($C85),"",IF($BX85&lt;&gt;Constants!$B$6,$BX85,Constants!$B$11))</f>
        <v/>
      </c>
      <c r="BZ85" s="138" t="str">
        <f aca="false">IF($BX85&lt;&gt;Constants!$B$6,"",IF($BL85="-&gt;",$BS85,$BH85))</f>
        <v/>
      </c>
      <c r="CA85" s="138" t="str">
        <f aca="false">IF($BX85&lt;&gt;Constants!$B$6,"",IF($AF85,0,Constants!$B$15))</f>
        <v/>
      </c>
      <c r="CB85" s="138" t="str">
        <f aca="false">IF($BX85&lt;&gt;Constants!$B$6,"",((Constants!$B$25-$AZ85)-Constants!$B$25)/Constants!$B$26)</f>
        <v/>
      </c>
      <c r="CC85" s="138" t="str">
        <f aca="false">IF(ISBLANK($C85),"",IF($BX85&lt;&gt;Constants!$B$6,$BX85,SUM($BZ85:$CB85)))</f>
        <v/>
      </c>
      <c r="CD85" s="135" t="str">
        <f aca="false">IF(ISBLANK($C85),"",IF($BX85&lt;&gt;Constants!$B$6,$BX85,RANK($CC85,$CC$9:$CC$508,1)))</f>
        <v/>
      </c>
      <c r="CE85" s="138" t="str">
        <f aca="false">IF($BX85&lt;&gt;Constants!$B$6,"",IF($BL85="-&gt;",$BT85,$BI85))</f>
        <v/>
      </c>
      <c r="CF85" s="135" t="str">
        <f aca="false">IF(ISBLANK($C85),"",IF($BX85&lt;&gt;Constants!$B$6,$BX85,IF(ISNUMBER($CE85),RANK($CE85,$CE$9:$CE$508,1),COUNT($CE$9:$CE$508)+1)))</f>
        <v/>
      </c>
      <c r="CG85" s="138" t="str">
        <f aca="false">IF($BX85&lt;&gt;Constants!$B$6,"",IF($BL85="-&gt;",$BU85,$BJ85))</f>
        <v/>
      </c>
      <c r="CH85" s="135" t="str">
        <f aca="false">IF(ISBLANK($C85),"",IF($BX85&lt;&gt;Constants!$B$6,$BX85,IF(ISNUMBER($CG85),RANK($CG85,$CG$9:$CG$508,1),COUNT($CG$9:$CG$508)+1)))</f>
        <v/>
      </c>
      <c r="CI85" s="138" t="str">
        <f aca="false">IF($BX85&lt;&gt;Constants!$B$6,"",IF($BL85="-&gt;",$BV85,$BK85))</f>
        <v/>
      </c>
      <c r="CJ85" s="135" t="str">
        <f aca="false">IF(ISBLANK($C85),"",IF($BX85&lt;&gt;Constants!$B$6,$BX85,IF(ISNUMBER($CI85),RANK($CI85,$CI$9:$CI$508,1),COUNT($CI$9:$CI$508)+1)))</f>
        <v/>
      </c>
      <c r="CK85" s="138" t="str">
        <f aca="false">IF($BX85&lt;&gt;Constants!$B$6,"",$AI85)</f>
        <v/>
      </c>
      <c r="CL85" s="135" t="str">
        <f aca="false">IF(ISBLANK($C85),"",IF($BX85&lt;&gt;Constants!$B$6,$BX85,IF(ISNUMBER($CK85),RANK($CK85,$CK$9:$CK$508,1),COUNT($CK$9:$CK$508)+1)))</f>
        <v/>
      </c>
      <c r="CM85" s="135" t="str">
        <f aca="false">IF(ISBLANK($C85),"",IF($BX85&lt;&gt;Constants!$B$6,$BX85,COUNTIFS($CD$9:$CD$508,"&lt;"&amp;$CD85)+COUNTIFS($CD$9:$CD$508,$CD85,$CF$9:$CF$508,"&lt;"&amp;$CF85)+COUNTIFS($CD$9:$CD$508,$CD85,$CF$9:$CF$508,$CF85,$CH$9:$CH$508,"&lt;"&amp;$CH85)+COUNTIFS($CD$9:$CD$508,$CD85,$CF$9:$CF$508,$CF85,$CH$9:$CH$508,$CH85,$CJ$9:$CJ$508,"&lt;"&amp;$CJ85)+COUNTIFS($CD$9:$CD$508,$CD85,$CF$9:$CF$508,$CF85,$CH$9:$CH$508,$CH85,$CJ$9:$CJ$508,$CJ85,$CL$9:$CL$508,"&lt;"&amp;$CL85)+1))</f>
        <v/>
      </c>
      <c r="CN85" s="135" t="str">
        <f aca="false">IF(ISBLANK($C85),"",IF($BX85&lt;&gt;Constants!$B$6,$BX85,$CD85-$CM85))</f>
        <v/>
      </c>
      <c r="CO85" s="141"/>
      <c r="CP85" s="142"/>
      <c r="CQ85" s="143" t="str">
        <f aca="false">IF(ISBLANK($C85),"",IF($BX85=Constants!$B$10,$BW85,""))</f>
        <v/>
      </c>
      <c r="CR85" s="142" t="str">
        <f aca="false">IF(ISBLANK($C85),"",IF($BX85&lt;&gt;Constants!$B$6,"",IF($BL85="-&gt;",2,1)))</f>
        <v/>
      </c>
      <c r="CS85" s="144" t="str">
        <f aca="false">IF(ISBLANK($C85),"",IF($BX85&lt;&gt;Constants!$B$6,"",IF($BL85="-&gt;",$BN85,$BC85)))</f>
        <v/>
      </c>
      <c r="CT85" s="144" t="str">
        <f aca="false">IF(ISBLANK($C85),"",IF($BX85&lt;&gt;Constants!$B$6,"",IF($BL85="-&gt;",$BO85,$BD85)))</f>
        <v/>
      </c>
      <c r="CU85" s="144" t="str">
        <f aca="false">IF(ISBLANK($C85),"",IF($BX85&lt;&gt;Constants!$B$6,"",IF($BL85="-&gt;",$BP85+$BQ85,$BE85+$BF85)+$CB85))</f>
        <v/>
      </c>
      <c r="CV85" s="144" t="str">
        <f aca="false">IF(ISBLANK($C85),"",IF($BX85&lt;&gt;Constants!$B$6,"",IF($BL85="-&gt;",$BR85,$BG85)+$CA85))</f>
        <v/>
      </c>
      <c r="CW85" s="145" t="str">
        <f aca="false">IF(ISBLANK($C85),"",IF($BX85&lt;&gt;Constants!$B$6,$BX85,$CC85))</f>
        <v/>
      </c>
      <c r="CX85" s="146" t="str">
        <f aca="false">IF(ISBLANK($C85),"",$BY85)</f>
        <v/>
      </c>
      <c r="CY85" s="147" t="str">
        <f aca="false">IF(ISBLANK($C85),"",$CN85)</f>
        <v/>
      </c>
      <c r="CZ85" s="147" t="str">
        <f aca="false">IF(ISBLANK($C85),"",$CM85)</f>
        <v/>
      </c>
      <c r="DA85" s="148" t="str">
        <f aca="false">IF(ISBLANK($C85),"",IFERROR(_xlfn.SWITCH($CZ85,Constants!$B$9,COUNTA($C$9:$C$508)+2,Constants!$B$8,COUNTA($C$9:$C$508)+1,Constants!$B$7,COUNTA($C$9:$C$508)),$CZ85))</f>
        <v/>
      </c>
      <c r="DB85" s="9"/>
      <c r="DC85" s="149" t="n">
        <f aca="false">IF(OR(ISNUMBER($CZ85),$CZ85=Constants!$B$9,$CZ85=Constants!$B$7,$CZ85=Constants!$B$8),1,0)</f>
        <v>0</v>
      </c>
      <c r="DD85" s="149" t="n">
        <v>77</v>
      </c>
      <c r="DE85" s="149" t="str">
        <f aca="false">IF(ISBLANK($C85),"",IF(ISNUMBER($DA85),$DA85+ROW($B85)/1000,""))</f>
        <v/>
      </c>
      <c r="DF85" s="149" t="str">
        <f aca="false">IF(ISNUMBER($DE85),RANK($DE85,$DE$9:$DE$508,1),"")</f>
        <v/>
      </c>
      <c r="DG85" s="149" t="str">
        <f aca="false">IF(ISBLANK($C85),"",$B85)</f>
        <v/>
      </c>
      <c r="DH85" s="149" t="str">
        <f aca="false">IF(ISBLANK($C85),"",$C85)</f>
        <v/>
      </c>
      <c r="DI85" s="149" t="str">
        <f aca="false">IF(ISBLANK($C85),"",$D85)</f>
        <v/>
      </c>
      <c r="DJ85" s="150" t="str">
        <f aca="false">$CX85</f>
        <v/>
      </c>
      <c r="DK85" s="151" t="str">
        <f aca="false">$CW85</f>
        <v/>
      </c>
      <c r="DL85" s="149" t="str">
        <f aca="false">IF(ISBLANK($C85),"",$CZ85)</f>
        <v/>
      </c>
      <c r="DM85" s="152" t="str">
        <f aca="false">IF($DD85&gt;$DC$8,"",VLOOKUP($DD85,$DF$9:$DL$508,7,FALSE()))</f>
        <v/>
      </c>
      <c r="DN85" s="153" t="str">
        <f aca="false">IF($DD85&gt;$DC$8,"",VLOOKUP($DD85,$DF$9:$DL$508,2,FALSE()))</f>
        <v/>
      </c>
      <c r="DO85" s="153" t="str">
        <f aca="false">IF($DD85&gt;$DC$8,"",VLOOKUP($DD85,$DF$9:$DL$508,3,FALSE()))</f>
        <v/>
      </c>
      <c r="DP85" s="153" t="str">
        <f aca="false">IF($DD85&gt;$DC$8,"",VLOOKUP($DD85,$DF$9:$DL$508,4,FALSE()))</f>
        <v/>
      </c>
      <c r="DQ85" s="153" t="str">
        <f aca="false">IF($DD85&gt;$DC$8,"",VLOOKUP($DD85,$DF$9:$DL$508,5,FALSE()))</f>
        <v/>
      </c>
      <c r="DR85" s="154" t="str">
        <f aca="false">IF($DD85&gt;$DC$8,"",VLOOKUP($DD85,$DF$9:$DL$508,6,FALSE()))</f>
        <v/>
      </c>
      <c r="DS85" s="76"/>
    </row>
    <row r="86" customFormat="false" ht="15.75" hidden="false" customHeight="false" outlineLevel="0" collapsed="false">
      <c r="A86" s="9"/>
      <c r="B86" s="160"/>
      <c r="C86" s="161"/>
      <c r="D86" s="162"/>
      <c r="E86" s="180"/>
      <c r="F86" s="164"/>
      <c r="G86" s="165"/>
      <c r="H86" s="165"/>
      <c r="I86" s="181"/>
      <c r="J86" s="168"/>
      <c r="K86" s="128"/>
      <c r="L86" s="129"/>
      <c r="M86" s="130"/>
      <c r="N86" s="168"/>
      <c r="O86" s="168"/>
      <c r="P86" s="180"/>
      <c r="Q86" s="168"/>
      <c r="R86" s="168"/>
      <c r="S86" s="128"/>
      <c r="T86" s="130"/>
      <c r="U86" s="130"/>
      <c r="V86" s="168"/>
      <c r="W86" s="168"/>
      <c r="X86" s="180"/>
      <c r="Y86" s="168"/>
      <c r="Z86" s="169"/>
      <c r="AA86" s="168"/>
      <c r="AB86" s="134"/>
      <c r="AC86" s="135"/>
      <c r="AD86" s="135"/>
      <c r="AE86" s="135"/>
      <c r="AF86" s="135" t="str">
        <f aca="false">IF(ISBLANK($C86),"",IF(E86=Constants!$B$2,TRUE(),IF(E86=Constants!$B$3,FALSE(),TRUE())))</f>
        <v/>
      </c>
      <c r="AG86" s="135" t="str">
        <f aca="false">IF(ISBLANK($C86),"",IF(F86=Constants!$B$2,TRUE(),IF(F86=Constants!$B$3,FALSE(),TRUE())))</f>
        <v/>
      </c>
      <c r="AH86" s="135" t="str">
        <f aca="false">IF(ISBLANK($C86),"",IF(G86=Constants!$B$2,TRUE(),IF(G86=Constants!$B$3,FALSE(),TRUE())))</f>
        <v/>
      </c>
      <c r="AI86" s="135" t="str">
        <f aca="false">IF(ISBLANK($C86),"",IF(AND(ISNUMBER(H86),H86&gt;=0),H86,Constants!$B$24))</f>
        <v/>
      </c>
      <c r="AJ86" s="135" t="str">
        <f aca="false">IF(ISBLANK($C86),"",IF(I86=Constants!$B$2,TRUE(),IF(I86=Constants!$B$3,FALSE(),TRUE())))</f>
        <v/>
      </c>
      <c r="AK86" s="135" t="str">
        <f aca="false">IF(ISBLANK($C86),"",IF(J86=Constants!$B$2,TRUE(),IF(J86=Constants!$B$3,FALSE(),TRUE())))</f>
        <v/>
      </c>
      <c r="AL86" s="135" t="str">
        <f aca="false">IF(ISBLANK($C86),"",IF(K86=Constants!$B$4,TRUE(),IF(K86=Constants!$B$5,FALSE(),COUNTA(L86:P86)&gt;0)))</f>
        <v/>
      </c>
      <c r="AM86" s="136" t="str">
        <f aca="false">IF(ISBLANK($C86),"",IF(ISNUMBER(L86),IF(L86&gt;=0,L86,""),""))</f>
        <v/>
      </c>
      <c r="AN86" s="137" t="str">
        <f aca="false">IF(ISBLANK($C86),"",IF(ISNUMBER(M86),IF(M86&gt;=0,M86,""),""))</f>
        <v/>
      </c>
      <c r="AO86" s="137" t="str">
        <f aca="false">IF(ISBLANK($C86),"",IF(N86=Constants!$B$2,TRUE(),IF(N86=Constants!$B$3,FALSE(),TRUE())))</f>
        <v/>
      </c>
      <c r="AP86" s="135" t="str">
        <f aca="false">IF(ISBLANK($C86),"",IF(ISNUMBER(O86),IF(O86&gt;=0,O86,""),""))</f>
        <v/>
      </c>
      <c r="AQ86" s="135" t="str">
        <f aca="false">IF(ISBLANK($C86),"",IF(P86=Constants!$B$2,TRUE(),IF(P86=Constants!$B$3,FALSE(),FALSE())))</f>
        <v/>
      </c>
      <c r="AR86" s="135" t="str">
        <f aca="false">IF(ISBLANK($C86),"",IF(Q86=Constants!$B$2,TRUE(),IF(Q86=Constants!$B$3,FALSE(),TRUE())))</f>
        <v/>
      </c>
      <c r="AS86" s="135" t="str">
        <f aca="false">IF(ISBLANK($C86),"",IF(R86=Constants!$B$2,TRUE(),IF(R86=Constants!$B$3,FALSE(),TRUE())))</f>
        <v/>
      </c>
      <c r="AT86" s="135" t="str">
        <f aca="false">IF(ISBLANK($C86),"",IF(S86=Constants!$B$4,TRUE(),IF(S86=Constants!$B$5,FALSE(),COUNTA(T86:X86)&gt;0)))</f>
        <v/>
      </c>
      <c r="AU86" s="136" t="str">
        <f aca="false">IF(ISBLANK($C86),"",IF(ISNUMBER(T86),IF(T86&gt;=0,T86,""),""))</f>
        <v/>
      </c>
      <c r="AV86" s="137" t="str">
        <f aca="false">IF(ISBLANK($C86),"",IF(ISNUMBER(U86),IF(U86&gt;=0,U86,""),""))</f>
        <v/>
      </c>
      <c r="AW86" s="137" t="str">
        <f aca="false">IF(ISBLANK($C86),"",IF(V86=Constants!$B$2,TRUE(),IF(V86=Constants!$B$3,FALSE(),TRUE())))</f>
        <v/>
      </c>
      <c r="AX86" s="135" t="str">
        <f aca="false">IF(ISBLANK($C86),"",IF(ISNUMBER(W86),IF(W86&gt;=0,W86,""),""))</f>
        <v/>
      </c>
      <c r="AY86" s="135" t="str">
        <f aca="false">IF(ISBLANK($C86),"",IF(X86=Constants!$B$2,TRUE(),IF(X86=Constants!$B$3,FALSE(),FALSE())))</f>
        <v/>
      </c>
      <c r="AZ86" s="135" t="str">
        <f aca="false">IF(ISBLANK($C86),"",MIN(Constants!$B$25,MAX(0,IF(ISNUMBER(Y86),Y86*60,0)+IF(ISNUMBER(Z86),Z86,0))))</f>
        <v/>
      </c>
      <c r="BA86" s="135" t="str">
        <f aca="false">IF(ISBLANK($C86),"",IF(AA86=Constants!$B$2,TRUE(),IF(AA86=Constants!$B$3,FALSE(),FALSE())))</f>
        <v/>
      </c>
      <c r="BB86" s="134" t="str">
        <f aca="false">IF(ISBLANK($C86),"",AND($AL86,OR($AM86="",$AN86="",AND($AO86,$AP86=""))))</f>
        <v/>
      </c>
      <c r="BC86" s="137" t="str">
        <f aca="false">IF($BX86&lt;&gt;Constants!$B$6,"",IF($AL86,Constants!$B$17*$AN86+Constants!$B$18*IF($AO86,$AP86,Constants!$B$19),Constants!$B$20))</f>
        <v/>
      </c>
      <c r="BD86" s="138" t="str">
        <f aca="false">IF($BX86&lt;&gt;Constants!$B$6,"",Constants!$B$21*ABS($AD$9-IF($AL86,$AM86,0)))</f>
        <v/>
      </c>
      <c r="BE86" s="138" t="str">
        <f aca="false">IF($BX86&lt;&gt;Constants!$B$6,"",IF(AND($AL86,$AQ86,$AO86),Constants!$B$22,0))</f>
        <v/>
      </c>
      <c r="BF86" s="138" t="str">
        <f aca="false">IF($BX86&lt;&gt;Constants!$B$6,"",IF($AL86,($AI86-Constants!$B$24)*Constants!$B$23,0))</f>
        <v/>
      </c>
      <c r="BG86" s="138" t="str">
        <f aca="false">IF($BX86&lt;&gt;Constants!$B$6,"",IF($AK86,0,Constants!$B$12)+IF($AJ86,0,Constants!$B$13)+IF($AH86,0,Constants!$B$14))</f>
        <v/>
      </c>
      <c r="BH86" s="139" t="str">
        <f aca="false">IF($BX86&lt;&gt;Constants!$B$6,"",Constants!$B$16+SUM($BC86:$BG86))</f>
        <v/>
      </c>
      <c r="BI86" s="138" t="str">
        <f aca="false">IF($BX86&lt;&gt;Constants!$B$6,"",$BC86)</f>
        <v/>
      </c>
      <c r="BJ86" s="138" t="str">
        <f aca="false">IF($BX86&lt;&gt;Constants!$B$6,"",$BD86)</f>
        <v/>
      </c>
      <c r="BK86" s="140" t="str">
        <f aca="false">IF($BX86&lt;&gt;Constants!$B$6,"",IF($AL86,$AN86,""))</f>
        <v/>
      </c>
      <c r="BL86" s="135" t="str">
        <f aca="false">IF($BX86&lt;&gt;Constants!$B$6,"",IF(OR($BS86&lt;$BH86,AND($BS86=$BH86,OR($BT86&lt;$BI86,AND($BT86=$BI86,OR($BU86&lt;$BJ86,AND($BU86=$BJ86,AND(ISNUMBER($BV86),OR(NOT(ISNUMBER($BK86)),$BV86&lt;$BK86)))))))),"-&gt;","&lt;-"))</f>
        <v/>
      </c>
      <c r="BM86" s="134" t="str">
        <f aca="false">IF(ISBLANK($C86),"",AND($AT86,OR($AU86="",$AV86="",AND($AW86,$AX86=""))))</f>
        <v/>
      </c>
      <c r="BN86" s="137" t="str">
        <f aca="false">IF($BX86&lt;&gt;Constants!$B$6,"",IF($AT86,Constants!$B$17*$AV86+Constants!$B$18*IF($AW86,$AX86,Constants!$B$19),Constants!$B$20))</f>
        <v/>
      </c>
      <c r="BO86" s="138" t="str">
        <f aca="false">IF($BX86&lt;&gt;Constants!$B$6,"",Constants!$B$21*ABS($AD$9-IF($AT86,$AU86,0)))</f>
        <v/>
      </c>
      <c r="BP86" s="138" t="str">
        <f aca="false">IF($BX86&lt;&gt;Constants!$B$6,"",IF(AND($AT86,$AY86,$AW86),Constants!$B$22,0))</f>
        <v/>
      </c>
      <c r="BQ86" s="138" t="str">
        <f aca="false">IF($BX86&lt;&gt;Constants!$B$6,"",IF($AT86,($AI86-Constants!$B$24)*Constants!$B$23,0))</f>
        <v/>
      </c>
      <c r="BR86" s="138" t="str">
        <f aca="false">IF($BX86&lt;&gt;Constants!$B$6,"",IF($AS86,0,Constants!$B$12)+IF($AR86,0,Constants!$B$13)+IF($AH86,0,Constants!$B$14))</f>
        <v/>
      </c>
      <c r="BS86" s="139" t="str">
        <f aca="false">IF($BX86&lt;&gt;Constants!$B$6,"",Constants!$B$16+SUM($BN86:$BR86))</f>
        <v/>
      </c>
      <c r="BT86" s="138" t="str">
        <f aca="false">IF($BX86&lt;&gt;Constants!$B$6,"",$BN86)</f>
        <v/>
      </c>
      <c r="BU86" s="138" t="str">
        <f aca="false">IF($BX86&lt;&gt;Constants!$B$6,"",$BO86)</f>
        <v/>
      </c>
      <c r="BV86" s="140" t="str">
        <f aca="false">IF($BX86&lt;&gt;Constants!$B$6,"",IF($AT86,$AV86,""))</f>
        <v/>
      </c>
      <c r="BW86" s="135" t="str">
        <f aca="false">IF(ISBLANK($C86),"",IF(ISBLANK($D$7),$BW$5,IF(NOT(ISNUMBER($D$7)),$BW$6,"")))</f>
        <v/>
      </c>
      <c r="BX86" s="135" t="str">
        <f aca="false">IF(ISBLANK($C86),"",IF($BA86,Constants!$B$9,IF(COUNTA($E86:$AA86)=0,Constants!$B$8,IF(NOT($AG86),Constants!$B$7,IF(OR($BW86&lt;&gt;"",$BB86,$BM86),Constants!$B$10,Constants!$B$6)))))</f>
        <v/>
      </c>
      <c r="BY86" s="135" t="str">
        <f aca="false">IF(ISBLANK($C86),"",IF($BX86&lt;&gt;Constants!$B$6,$BX86,Constants!$B$11))</f>
        <v/>
      </c>
      <c r="BZ86" s="138" t="str">
        <f aca="false">IF($BX86&lt;&gt;Constants!$B$6,"",IF($BL86="-&gt;",$BS86,$BH86))</f>
        <v/>
      </c>
      <c r="CA86" s="138" t="str">
        <f aca="false">IF($BX86&lt;&gt;Constants!$B$6,"",IF($AF86,0,Constants!$B$15))</f>
        <v/>
      </c>
      <c r="CB86" s="138" t="str">
        <f aca="false">IF($BX86&lt;&gt;Constants!$B$6,"",((Constants!$B$25-$AZ86)-Constants!$B$25)/Constants!$B$26)</f>
        <v/>
      </c>
      <c r="CC86" s="138" t="str">
        <f aca="false">IF(ISBLANK($C86),"",IF($BX86&lt;&gt;Constants!$B$6,$BX86,SUM($BZ86:$CB86)))</f>
        <v/>
      </c>
      <c r="CD86" s="135" t="str">
        <f aca="false">IF(ISBLANK($C86),"",IF($BX86&lt;&gt;Constants!$B$6,$BX86,RANK($CC86,$CC$9:$CC$508,1)))</f>
        <v/>
      </c>
      <c r="CE86" s="138" t="str">
        <f aca="false">IF($BX86&lt;&gt;Constants!$B$6,"",IF($BL86="-&gt;",$BT86,$BI86))</f>
        <v/>
      </c>
      <c r="CF86" s="135" t="str">
        <f aca="false">IF(ISBLANK($C86),"",IF($BX86&lt;&gt;Constants!$B$6,$BX86,IF(ISNUMBER($CE86),RANK($CE86,$CE$9:$CE$508,1),COUNT($CE$9:$CE$508)+1)))</f>
        <v/>
      </c>
      <c r="CG86" s="138" t="str">
        <f aca="false">IF($BX86&lt;&gt;Constants!$B$6,"",IF($BL86="-&gt;",$BU86,$BJ86))</f>
        <v/>
      </c>
      <c r="CH86" s="135" t="str">
        <f aca="false">IF(ISBLANK($C86),"",IF($BX86&lt;&gt;Constants!$B$6,$BX86,IF(ISNUMBER($CG86),RANK($CG86,$CG$9:$CG$508,1),COUNT($CG$9:$CG$508)+1)))</f>
        <v/>
      </c>
      <c r="CI86" s="138" t="str">
        <f aca="false">IF($BX86&lt;&gt;Constants!$B$6,"",IF($BL86="-&gt;",$BV86,$BK86))</f>
        <v/>
      </c>
      <c r="CJ86" s="135" t="str">
        <f aca="false">IF(ISBLANK($C86),"",IF($BX86&lt;&gt;Constants!$B$6,$BX86,IF(ISNUMBER($CI86),RANK($CI86,$CI$9:$CI$508,1),COUNT($CI$9:$CI$508)+1)))</f>
        <v/>
      </c>
      <c r="CK86" s="138" t="str">
        <f aca="false">IF($BX86&lt;&gt;Constants!$B$6,"",$AI86)</f>
        <v/>
      </c>
      <c r="CL86" s="135" t="str">
        <f aca="false">IF(ISBLANK($C86),"",IF($BX86&lt;&gt;Constants!$B$6,$BX86,IF(ISNUMBER($CK86),RANK($CK86,$CK$9:$CK$508,1),COUNT($CK$9:$CK$508)+1)))</f>
        <v/>
      </c>
      <c r="CM86" s="135" t="str">
        <f aca="false">IF(ISBLANK($C86),"",IF($BX86&lt;&gt;Constants!$B$6,$BX86,COUNTIFS($CD$9:$CD$508,"&lt;"&amp;$CD86)+COUNTIFS($CD$9:$CD$508,$CD86,$CF$9:$CF$508,"&lt;"&amp;$CF86)+COUNTIFS($CD$9:$CD$508,$CD86,$CF$9:$CF$508,$CF86,$CH$9:$CH$508,"&lt;"&amp;$CH86)+COUNTIFS($CD$9:$CD$508,$CD86,$CF$9:$CF$508,$CF86,$CH$9:$CH$508,$CH86,$CJ$9:$CJ$508,"&lt;"&amp;$CJ86)+COUNTIFS($CD$9:$CD$508,$CD86,$CF$9:$CF$508,$CF86,$CH$9:$CH$508,$CH86,$CJ$9:$CJ$508,$CJ86,$CL$9:$CL$508,"&lt;"&amp;$CL86)+1))</f>
        <v/>
      </c>
      <c r="CN86" s="135" t="str">
        <f aca="false">IF(ISBLANK($C86),"",IF($BX86&lt;&gt;Constants!$B$6,$BX86,$CD86-$CM86))</f>
        <v/>
      </c>
      <c r="CO86" s="141"/>
      <c r="CP86" s="142"/>
      <c r="CQ86" s="143" t="str">
        <f aca="false">IF(ISBLANK($C86),"",IF($BX86=Constants!$B$10,$BW86,""))</f>
        <v/>
      </c>
      <c r="CR86" s="142" t="str">
        <f aca="false">IF(ISBLANK($C86),"",IF($BX86&lt;&gt;Constants!$B$6,"",IF($BL86="-&gt;",2,1)))</f>
        <v/>
      </c>
      <c r="CS86" s="144" t="str">
        <f aca="false">IF(ISBLANK($C86),"",IF($BX86&lt;&gt;Constants!$B$6,"",IF($BL86="-&gt;",$BN86,$BC86)))</f>
        <v/>
      </c>
      <c r="CT86" s="144" t="str">
        <f aca="false">IF(ISBLANK($C86),"",IF($BX86&lt;&gt;Constants!$B$6,"",IF($BL86="-&gt;",$BO86,$BD86)))</f>
        <v/>
      </c>
      <c r="CU86" s="144" t="str">
        <f aca="false">IF(ISBLANK($C86),"",IF($BX86&lt;&gt;Constants!$B$6,"",IF($BL86="-&gt;",$BP86+$BQ86,$BE86+$BF86)+$CB86))</f>
        <v/>
      </c>
      <c r="CV86" s="144" t="str">
        <f aca="false">IF(ISBLANK($C86),"",IF($BX86&lt;&gt;Constants!$B$6,"",IF($BL86="-&gt;",$BR86,$BG86)+$CA86))</f>
        <v/>
      </c>
      <c r="CW86" s="145" t="str">
        <f aca="false">IF(ISBLANK($C86),"",IF($BX86&lt;&gt;Constants!$B$6,$BX86,$CC86))</f>
        <v/>
      </c>
      <c r="CX86" s="146" t="str">
        <f aca="false">IF(ISBLANK($C86),"",$BY86)</f>
        <v/>
      </c>
      <c r="CY86" s="147" t="str">
        <f aca="false">IF(ISBLANK($C86),"",$CN86)</f>
        <v/>
      </c>
      <c r="CZ86" s="147" t="str">
        <f aca="false">IF(ISBLANK($C86),"",$CM86)</f>
        <v/>
      </c>
      <c r="DA86" s="148" t="str">
        <f aca="false">IF(ISBLANK($C86),"",IFERROR(_xlfn.SWITCH($CZ86,Constants!$B$9,COUNTA($C$9:$C$508)+2,Constants!$B$8,COUNTA($C$9:$C$508)+1,Constants!$B$7,COUNTA($C$9:$C$508)),$CZ86))</f>
        <v/>
      </c>
      <c r="DB86" s="9"/>
      <c r="DC86" s="149" t="n">
        <f aca="false">IF(OR(ISNUMBER($CZ86),$CZ86=Constants!$B$9,$CZ86=Constants!$B$7,$CZ86=Constants!$B$8),1,0)</f>
        <v>0</v>
      </c>
      <c r="DD86" s="149" t="n">
        <v>78</v>
      </c>
      <c r="DE86" s="149" t="str">
        <f aca="false">IF(ISBLANK($C86),"",IF(ISNUMBER($DA86),$DA86+ROW($B86)/1000,""))</f>
        <v/>
      </c>
      <c r="DF86" s="149" t="str">
        <f aca="false">IF(ISNUMBER($DE86),RANK($DE86,$DE$9:$DE$508,1),"")</f>
        <v/>
      </c>
      <c r="DG86" s="149" t="str">
        <f aca="false">IF(ISBLANK($C86),"",$B86)</f>
        <v/>
      </c>
      <c r="DH86" s="149" t="str">
        <f aca="false">IF(ISBLANK($C86),"",$C86)</f>
        <v/>
      </c>
      <c r="DI86" s="149" t="str">
        <f aca="false">IF(ISBLANK($C86),"",$D86)</f>
        <v/>
      </c>
      <c r="DJ86" s="150" t="str">
        <f aca="false">$CX86</f>
        <v/>
      </c>
      <c r="DK86" s="151" t="str">
        <f aca="false">$CW86</f>
        <v/>
      </c>
      <c r="DL86" s="149" t="str">
        <f aca="false">IF(ISBLANK($C86),"",$CZ86)</f>
        <v/>
      </c>
      <c r="DM86" s="152" t="str">
        <f aca="false">IF($DD86&gt;$DC$8,"",VLOOKUP($DD86,$DF$9:$DL$508,7,FALSE()))</f>
        <v/>
      </c>
      <c r="DN86" s="153" t="str">
        <f aca="false">IF($DD86&gt;$DC$8,"",VLOOKUP($DD86,$DF$9:$DL$508,2,FALSE()))</f>
        <v/>
      </c>
      <c r="DO86" s="153" t="str">
        <f aca="false">IF($DD86&gt;$DC$8,"",VLOOKUP($DD86,$DF$9:$DL$508,3,FALSE()))</f>
        <v/>
      </c>
      <c r="DP86" s="153" t="str">
        <f aca="false">IF($DD86&gt;$DC$8,"",VLOOKUP($DD86,$DF$9:$DL$508,4,FALSE()))</f>
        <v/>
      </c>
      <c r="DQ86" s="153" t="str">
        <f aca="false">IF($DD86&gt;$DC$8,"",VLOOKUP($DD86,$DF$9:$DL$508,5,FALSE()))</f>
        <v/>
      </c>
      <c r="DR86" s="154" t="str">
        <f aca="false">IF($DD86&gt;$DC$8,"",VLOOKUP($DD86,$DF$9:$DL$508,6,FALSE()))</f>
        <v/>
      </c>
      <c r="DS86" s="76"/>
    </row>
    <row r="87" customFormat="false" ht="15.75" hidden="false" customHeight="false" outlineLevel="0" collapsed="false">
      <c r="A87" s="9"/>
      <c r="B87" s="78"/>
      <c r="C87" s="79"/>
      <c r="D87" s="170"/>
      <c r="E87" s="178"/>
      <c r="F87" s="172"/>
      <c r="G87" s="173"/>
      <c r="H87" s="173"/>
      <c r="I87" s="179"/>
      <c r="J87" s="176"/>
      <c r="K87" s="86"/>
      <c r="L87" s="87"/>
      <c r="M87" s="88"/>
      <c r="N87" s="176"/>
      <c r="O87" s="176"/>
      <c r="P87" s="178"/>
      <c r="Q87" s="176"/>
      <c r="R87" s="176"/>
      <c r="S87" s="86"/>
      <c r="T87" s="88"/>
      <c r="U87" s="88"/>
      <c r="V87" s="176"/>
      <c r="W87" s="176"/>
      <c r="X87" s="178"/>
      <c r="Y87" s="176"/>
      <c r="Z87" s="177"/>
      <c r="AA87" s="176"/>
      <c r="AB87" s="92"/>
      <c r="AC87" s="93"/>
      <c r="AD87" s="93"/>
      <c r="AE87" s="93"/>
      <c r="AF87" s="93" t="str">
        <f aca="false">IF(ISBLANK($C87),"",IF(E87=Constants!$B$2,TRUE(),IF(E87=Constants!$B$3,FALSE(),TRUE())))</f>
        <v/>
      </c>
      <c r="AG87" s="93" t="str">
        <f aca="false">IF(ISBLANK($C87),"",IF(F87=Constants!$B$2,TRUE(),IF(F87=Constants!$B$3,FALSE(),TRUE())))</f>
        <v/>
      </c>
      <c r="AH87" s="93" t="str">
        <f aca="false">IF(ISBLANK($C87),"",IF(G87=Constants!$B$2,TRUE(),IF(G87=Constants!$B$3,FALSE(),TRUE())))</f>
        <v/>
      </c>
      <c r="AI87" s="93" t="str">
        <f aca="false">IF(ISBLANK($C87),"",IF(AND(ISNUMBER(H87),H87&gt;=0),H87,Constants!$B$24))</f>
        <v/>
      </c>
      <c r="AJ87" s="93" t="str">
        <f aca="false">IF(ISBLANK($C87),"",IF(I87=Constants!$B$2,TRUE(),IF(I87=Constants!$B$3,FALSE(),TRUE())))</f>
        <v/>
      </c>
      <c r="AK87" s="93" t="str">
        <f aca="false">IF(ISBLANK($C87),"",IF(J87=Constants!$B$2,TRUE(),IF(J87=Constants!$B$3,FALSE(),TRUE())))</f>
        <v/>
      </c>
      <c r="AL87" s="93" t="str">
        <f aca="false">IF(ISBLANK($C87),"",IF(K87=Constants!$B$4,TRUE(),IF(K87=Constants!$B$5,FALSE(),COUNTA(L87:P87)&gt;0)))</f>
        <v/>
      </c>
      <c r="AM87" s="95" t="str">
        <f aca="false">IF(ISBLANK($C87),"",IF(ISNUMBER(L87),IF(L87&gt;=0,L87,""),""))</f>
        <v/>
      </c>
      <c r="AN87" s="94" t="str">
        <f aca="false">IF(ISBLANK($C87),"",IF(ISNUMBER(M87),IF(M87&gt;=0,M87,""),""))</f>
        <v/>
      </c>
      <c r="AO87" s="94" t="str">
        <f aca="false">IF(ISBLANK($C87),"",IF(N87=Constants!$B$2,TRUE(),IF(N87=Constants!$B$3,FALSE(),TRUE())))</f>
        <v/>
      </c>
      <c r="AP87" s="93" t="str">
        <f aca="false">IF(ISBLANK($C87),"",IF(ISNUMBER(O87),IF(O87&gt;=0,O87,""),""))</f>
        <v/>
      </c>
      <c r="AQ87" s="93" t="str">
        <f aca="false">IF(ISBLANK($C87),"",IF(P87=Constants!$B$2,TRUE(),IF(P87=Constants!$B$3,FALSE(),FALSE())))</f>
        <v/>
      </c>
      <c r="AR87" s="93" t="str">
        <f aca="false">IF(ISBLANK($C87),"",IF(Q87=Constants!$B$2,TRUE(),IF(Q87=Constants!$B$3,FALSE(),TRUE())))</f>
        <v/>
      </c>
      <c r="AS87" s="93" t="str">
        <f aca="false">IF(ISBLANK($C87),"",IF(R87=Constants!$B$2,TRUE(),IF(R87=Constants!$B$3,FALSE(),TRUE())))</f>
        <v/>
      </c>
      <c r="AT87" s="93" t="str">
        <f aca="false">IF(ISBLANK($C87),"",IF(S87=Constants!$B$4,TRUE(),IF(S87=Constants!$B$5,FALSE(),COUNTA(T87:X87)&gt;0)))</f>
        <v/>
      </c>
      <c r="AU87" s="95" t="str">
        <f aca="false">IF(ISBLANK($C87),"",IF(ISNUMBER(T87),IF(T87&gt;=0,T87,""),""))</f>
        <v/>
      </c>
      <c r="AV87" s="94" t="str">
        <f aca="false">IF(ISBLANK($C87),"",IF(ISNUMBER(U87),IF(U87&gt;=0,U87,""),""))</f>
        <v/>
      </c>
      <c r="AW87" s="94" t="str">
        <f aca="false">IF(ISBLANK($C87),"",IF(V87=Constants!$B$2,TRUE(),IF(V87=Constants!$B$3,FALSE(),TRUE())))</f>
        <v/>
      </c>
      <c r="AX87" s="93" t="str">
        <f aca="false">IF(ISBLANK($C87),"",IF(ISNUMBER(W87),IF(W87&gt;=0,W87,""),""))</f>
        <v/>
      </c>
      <c r="AY87" s="93" t="str">
        <f aca="false">IF(ISBLANK($C87),"",IF(X87=Constants!$B$2,TRUE(),IF(X87=Constants!$B$3,FALSE(),FALSE())))</f>
        <v/>
      </c>
      <c r="AZ87" s="93" t="str">
        <f aca="false">IF(ISBLANK($C87),"",MIN(Constants!$B$25,MAX(0,IF(ISNUMBER(Y87),Y87*60,0)+IF(ISNUMBER(Z87),Z87,0))))</f>
        <v/>
      </c>
      <c r="BA87" s="93" t="str">
        <f aca="false">IF(ISBLANK($C87),"",IF(AA87=Constants!$B$2,TRUE(),IF(AA87=Constants!$B$3,FALSE(),FALSE())))</f>
        <v/>
      </c>
      <c r="BB87" s="92" t="str">
        <f aca="false">IF(ISBLANK($C87),"",AND($AL87,OR($AM87="",$AN87="",AND($AO87,$AP87=""))))</f>
        <v/>
      </c>
      <c r="BC87" s="94" t="str">
        <f aca="false">IF($BX87&lt;&gt;Constants!$B$6,"",IF($AL87,Constants!$B$17*$AN87+Constants!$B$18*IF($AO87,$AP87,Constants!$B$19),Constants!$B$20))</f>
        <v/>
      </c>
      <c r="BD87" s="97" t="str">
        <f aca="false">IF($BX87&lt;&gt;Constants!$B$6,"",Constants!$B$21*ABS($AD$9-IF($AL87,$AM87,0)))</f>
        <v/>
      </c>
      <c r="BE87" s="97" t="str">
        <f aca="false">IF($BX87&lt;&gt;Constants!$B$6,"",IF(AND($AL87,$AQ87,$AO87),Constants!$B$22,0))</f>
        <v/>
      </c>
      <c r="BF87" s="97" t="str">
        <f aca="false">IF($BX87&lt;&gt;Constants!$B$6,"",IF($AL87,($AI87-Constants!$B$24)*Constants!$B$23,0))</f>
        <v/>
      </c>
      <c r="BG87" s="97" t="str">
        <f aca="false">IF($BX87&lt;&gt;Constants!$B$6,"",IF($AK87,0,Constants!$B$12)+IF($AJ87,0,Constants!$B$13)+IF($AH87,0,Constants!$B$14))</f>
        <v/>
      </c>
      <c r="BH87" s="98" t="str">
        <f aca="false">IF($BX87&lt;&gt;Constants!$B$6,"",Constants!$B$16+SUM($BC87:$BG87))</f>
        <v/>
      </c>
      <c r="BI87" s="97" t="str">
        <f aca="false">IF($BX87&lt;&gt;Constants!$B$6,"",$BC87)</f>
        <v/>
      </c>
      <c r="BJ87" s="97" t="str">
        <f aca="false">IF($BX87&lt;&gt;Constants!$B$6,"",$BD87)</f>
        <v/>
      </c>
      <c r="BK87" s="99" t="str">
        <f aca="false">IF($BX87&lt;&gt;Constants!$B$6,"",IF($AL87,$AN87,""))</f>
        <v/>
      </c>
      <c r="BL87" s="93" t="str">
        <f aca="false">IF($BX87&lt;&gt;Constants!$B$6,"",IF(OR($BS87&lt;$BH87,AND($BS87=$BH87,OR($BT87&lt;$BI87,AND($BT87=$BI87,OR($BU87&lt;$BJ87,AND($BU87=$BJ87,AND(ISNUMBER($BV87),OR(NOT(ISNUMBER($BK87)),$BV87&lt;$BK87)))))))),"-&gt;","&lt;-"))</f>
        <v/>
      </c>
      <c r="BM87" s="92" t="str">
        <f aca="false">IF(ISBLANK($C87),"",AND($AT87,OR($AU87="",$AV87="",AND($AW87,$AX87=""))))</f>
        <v/>
      </c>
      <c r="BN87" s="94" t="str">
        <f aca="false">IF($BX87&lt;&gt;Constants!$B$6,"",IF($AT87,Constants!$B$17*$AV87+Constants!$B$18*IF($AW87,$AX87,Constants!$B$19),Constants!$B$20))</f>
        <v/>
      </c>
      <c r="BO87" s="97" t="str">
        <f aca="false">IF($BX87&lt;&gt;Constants!$B$6,"",Constants!$B$21*ABS($AD$9-IF($AT87,$AU87,0)))</f>
        <v/>
      </c>
      <c r="BP87" s="97" t="str">
        <f aca="false">IF($BX87&lt;&gt;Constants!$B$6,"",IF(AND($AT87,$AY87,$AW87),Constants!$B$22,0))</f>
        <v/>
      </c>
      <c r="BQ87" s="97" t="str">
        <f aca="false">IF($BX87&lt;&gt;Constants!$B$6,"",IF($AT87,($AI87-Constants!$B$24)*Constants!$B$23,0))</f>
        <v/>
      </c>
      <c r="BR87" s="97" t="str">
        <f aca="false">IF($BX87&lt;&gt;Constants!$B$6,"",IF($AS87,0,Constants!$B$12)+IF($AR87,0,Constants!$B$13)+IF($AH87,0,Constants!$B$14))</f>
        <v/>
      </c>
      <c r="BS87" s="98" t="str">
        <f aca="false">IF($BX87&lt;&gt;Constants!$B$6,"",Constants!$B$16+SUM($BN87:$BR87))</f>
        <v/>
      </c>
      <c r="BT87" s="97" t="str">
        <f aca="false">IF($BX87&lt;&gt;Constants!$B$6,"",$BN87)</f>
        <v/>
      </c>
      <c r="BU87" s="97" t="str">
        <f aca="false">IF($BX87&lt;&gt;Constants!$B$6,"",$BO87)</f>
        <v/>
      </c>
      <c r="BV87" s="99" t="str">
        <f aca="false">IF($BX87&lt;&gt;Constants!$B$6,"",IF($AT87,$AV87,""))</f>
        <v/>
      </c>
      <c r="BW87" s="93" t="str">
        <f aca="false">IF(ISBLANK($C87),"",IF(ISBLANK($D$7),$BW$5,IF(NOT(ISNUMBER($D$7)),$BW$6,"")))</f>
        <v/>
      </c>
      <c r="BX87" s="93" t="str">
        <f aca="false">IF(ISBLANK($C87),"",IF($BA87,Constants!$B$9,IF(COUNTA($E87:$AA87)=0,Constants!$B$8,IF(NOT($AG87),Constants!$B$7,IF(OR($BW87&lt;&gt;"",$BB87,$BM87),Constants!$B$10,Constants!$B$6)))))</f>
        <v/>
      </c>
      <c r="BY87" s="93" t="str">
        <f aca="false">IF(ISBLANK($C87),"",IF($BX87&lt;&gt;Constants!$B$6,$BX87,Constants!$B$11))</f>
        <v/>
      </c>
      <c r="BZ87" s="97" t="str">
        <f aca="false">IF($BX87&lt;&gt;Constants!$B$6,"",IF($BL87="-&gt;",$BS87,$BH87))</f>
        <v/>
      </c>
      <c r="CA87" s="97" t="str">
        <f aca="false">IF($BX87&lt;&gt;Constants!$B$6,"",IF($AF87,0,Constants!$B$15))</f>
        <v/>
      </c>
      <c r="CB87" s="97" t="str">
        <f aca="false">IF($BX87&lt;&gt;Constants!$B$6,"",((Constants!$B$25-$AZ87)-Constants!$B$25)/Constants!$B$26)</f>
        <v/>
      </c>
      <c r="CC87" s="97" t="str">
        <f aca="false">IF(ISBLANK($C87),"",IF($BX87&lt;&gt;Constants!$B$6,$BX87,SUM($BZ87:$CB87)))</f>
        <v/>
      </c>
      <c r="CD87" s="93" t="str">
        <f aca="false">IF(ISBLANK($C87),"",IF($BX87&lt;&gt;Constants!$B$6,$BX87,RANK($CC87,$CC$9:$CC$508,1)))</f>
        <v/>
      </c>
      <c r="CE87" s="97" t="str">
        <f aca="false">IF($BX87&lt;&gt;Constants!$B$6,"",IF($BL87="-&gt;",$BT87,$BI87))</f>
        <v/>
      </c>
      <c r="CF87" s="93" t="str">
        <f aca="false">IF(ISBLANK($C87),"",IF($BX87&lt;&gt;Constants!$B$6,$BX87,IF(ISNUMBER($CE87),RANK($CE87,$CE$9:$CE$508,1),COUNT($CE$9:$CE$508)+1)))</f>
        <v/>
      </c>
      <c r="CG87" s="97" t="str">
        <f aca="false">IF($BX87&lt;&gt;Constants!$B$6,"",IF($BL87="-&gt;",$BU87,$BJ87))</f>
        <v/>
      </c>
      <c r="CH87" s="93" t="str">
        <f aca="false">IF(ISBLANK($C87),"",IF($BX87&lt;&gt;Constants!$B$6,$BX87,IF(ISNUMBER($CG87),RANK($CG87,$CG$9:$CG$508,1),COUNT($CG$9:$CG$508)+1)))</f>
        <v/>
      </c>
      <c r="CI87" s="97" t="str">
        <f aca="false">IF($BX87&lt;&gt;Constants!$B$6,"",IF($BL87="-&gt;",$BV87,$BK87))</f>
        <v/>
      </c>
      <c r="CJ87" s="93" t="str">
        <f aca="false">IF(ISBLANK($C87),"",IF($BX87&lt;&gt;Constants!$B$6,$BX87,IF(ISNUMBER($CI87),RANK($CI87,$CI$9:$CI$508,1),COUNT($CI$9:$CI$508)+1)))</f>
        <v/>
      </c>
      <c r="CK87" s="97" t="str">
        <f aca="false">IF($BX87&lt;&gt;Constants!$B$6,"",$AI87)</f>
        <v/>
      </c>
      <c r="CL87" s="93" t="str">
        <f aca="false">IF(ISBLANK($C87),"",IF($BX87&lt;&gt;Constants!$B$6,$BX87,IF(ISNUMBER($CK87),RANK($CK87,$CK$9:$CK$508,1),COUNT($CK$9:$CK$508)+1)))</f>
        <v/>
      </c>
      <c r="CM87" s="93" t="str">
        <f aca="false">IF(ISBLANK($C87),"",IF($BX87&lt;&gt;Constants!$B$6,$BX87,COUNTIFS($CD$9:$CD$508,"&lt;"&amp;$CD87)+COUNTIFS($CD$9:$CD$508,$CD87,$CF$9:$CF$508,"&lt;"&amp;$CF87)+COUNTIFS($CD$9:$CD$508,$CD87,$CF$9:$CF$508,$CF87,$CH$9:$CH$508,"&lt;"&amp;$CH87)+COUNTIFS($CD$9:$CD$508,$CD87,$CF$9:$CF$508,$CF87,$CH$9:$CH$508,$CH87,$CJ$9:$CJ$508,"&lt;"&amp;$CJ87)+COUNTIFS($CD$9:$CD$508,$CD87,$CF$9:$CF$508,$CF87,$CH$9:$CH$508,$CH87,$CJ$9:$CJ$508,$CJ87,$CL$9:$CL$508,"&lt;"&amp;$CL87)+1))</f>
        <v/>
      </c>
      <c r="CN87" s="93" t="str">
        <f aca="false">IF(ISBLANK($C87),"",IF($BX87&lt;&gt;Constants!$B$6,$BX87,$CD87-$CM87))</f>
        <v/>
      </c>
      <c r="CO87" s="100"/>
      <c r="CP87" s="101"/>
      <c r="CQ87" s="102" t="str">
        <f aca="false">IF(ISBLANK($C87),"",IF($BX87=Constants!$B$10,$BW87,""))</f>
        <v/>
      </c>
      <c r="CR87" s="101" t="str">
        <f aca="false">IF(ISBLANK($C87),"",IF($BX87&lt;&gt;Constants!$B$6,"",IF($BL87="-&gt;",2,1)))</f>
        <v/>
      </c>
      <c r="CS87" s="103" t="str">
        <f aca="false">IF(ISBLANK($C87),"",IF($BX87&lt;&gt;Constants!$B$6,"",IF($BL87="-&gt;",$BN87,$BC87)))</f>
        <v/>
      </c>
      <c r="CT87" s="103" t="str">
        <f aca="false">IF(ISBLANK($C87),"",IF($BX87&lt;&gt;Constants!$B$6,"",IF($BL87="-&gt;",$BO87,$BD87)))</f>
        <v/>
      </c>
      <c r="CU87" s="103" t="str">
        <f aca="false">IF(ISBLANK($C87),"",IF($BX87&lt;&gt;Constants!$B$6,"",IF($BL87="-&gt;",$BP87+$BQ87,$BE87+$BF87)+$CB87))</f>
        <v/>
      </c>
      <c r="CV87" s="103" t="str">
        <f aca="false">IF(ISBLANK($C87),"",IF($BX87&lt;&gt;Constants!$B$6,"",IF($BL87="-&gt;",$BR87,$BG87)+$CA87))</f>
        <v/>
      </c>
      <c r="CW87" s="104" t="str">
        <f aca="false">IF(ISBLANK($C87),"",IF($BX87&lt;&gt;Constants!$B$6,$BX87,$CC87))</f>
        <v/>
      </c>
      <c r="CX87" s="105" t="str">
        <f aca="false">IF(ISBLANK($C87),"",$BY87)</f>
        <v/>
      </c>
      <c r="CY87" s="106" t="str">
        <f aca="false">IF(ISBLANK($C87),"",$CN87)</f>
        <v/>
      </c>
      <c r="CZ87" s="106" t="str">
        <f aca="false">IF(ISBLANK($C87),"",$CM87)</f>
        <v/>
      </c>
      <c r="DA87" s="107" t="str">
        <f aca="false">IF(ISBLANK($C87),"",IFERROR(_xlfn.SWITCH($CZ87,Constants!$B$9,COUNTA($C$9:$C$508)+2,Constants!$B$8,COUNTA($C$9:$C$508)+1,Constants!$B$7,COUNTA($C$9:$C$508)),$CZ87))</f>
        <v/>
      </c>
      <c r="DB87" s="9"/>
      <c r="DC87" s="108" t="n">
        <f aca="false">IF(OR(ISNUMBER($CZ87),$CZ87=Constants!$B$9,$CZ87=Constants!$B$7,$CZ87=Constants!$B$8),1,0)</f>
        <v>0</v>
      </c>
      <c r="DD87" s="108" t="n">
        <v>79</v>
      </c>
      <c r="DE87" s="108" t="str">
        <f aca="false">IF(ISBLANK($C87),"",IF(ISNUMBER($DA87),$DA87+ROW($B87)/1000,""))</f>
        <v/>
      </c>
      <c r="DF87" s="108" t="str">
        <f aca="false">IF(ISNUMBER($DE87),RANK($DE87,$DE$9:$DE$508,1),"")</f>
        <v/>
      </c>
      <c r="DG87" s="108" t="str">
        <f aca="false">IF(ISBLANK($C87),"",$B87)</f>
        <v/>
      </c>
      <c r="DH87" s="108" t="str">
        <f aca="false">IF(ISBLANK($C87),"",$C87)</f>
        <v/>
      </c>
      <c r="DI87" s="108" t="str">
        <f aca="false">IF(ISBLANK($C87),"",$D87)</f>
        <v/>
      </c>
      <c r="DJ87" s="109" t="str">
        <f aca="false">$CX87</f>
        <v/>
      </c>
      <c r="DK87" s="110" t="str">
        <f aca="false">$CW87</f>
        <v/>
      </c>
      <c r="DL87" s="108" t="str">
        <f aca="false">IF(ISBLANK($C87),"",$CZ87)</f>
        <v/>
      </c>
      <c r="DM87" s="111" t="str">
        <f aca="false">IF($DD87&gt;$DC$8,"",VLOOKUP($DD87,$DF$9:$DL$508,7,FALSE()))</f>
        <v/>
      </c>
      <c r="DN87" s="112" t="str">
        <f aca="false">IF($DD87&gt;$DC$8,"",VLOOKUP($DD87,$DF$9:$DL$508,2,FALSE()))</f>
        <v/>
      </c>
      <c r="DO87" s="112" t="str">
        <f aca="false">IF($DD87&gt;$DC$8,"",VLOOKUP($DD87,$DF$9:$DL$508,3,FALSE()))</f>
        <v/>
      </c>
      <c r="DP87" s="112" t="str">
        <f aca="false">IF($DD87&gt;$DC$8,"",VLOOKUP($DD87,$DF$9:$DL$508,4,FALSE()))</f>
        <v/>
      </c>
      <c r="DQ87" s="112" t="str">
        <f aca="false">IF($DD87&gt;$DC$8,"",VLOOKUP($DD87,$DF$9:$DL$508,5,FALSE()))</f>
        <v/>
      </c>
      <c r="DR87" s="113" t="str">
        <f aca="false">IF($DD87&gt;$DC$8,"",VLOOKUP($DD87,$DF$9:$DL$508,6,FALSE()))</f>
        <v/>
      </c>
      <c r="DS87" s="76"/>
    </row>
    <row r="88" customFormat="false" ht="15.75" hidden="false" customHeight="false" outlineLevel="0" collapsed="false">
      <c r="A88" s="9"/>
      <c r="B88" s="78"/>
      <c r="C88" s="79"/>
      <c r="D88" s="170"/>
      <c r="E88" s="178"/>
      <c r="F88" s="172"/>
      <c r="G88" s="173"/>
      <c r="H88" s="173"/>
      <c r="I88" s="179"/>
      <c r="J88" s="176"/>
      <c r="K88" s="86"/>
      <c r="L88" s="87"/>
      <c r="M88" s="88"/>
      <c r="N88" s="176"/>
      <c r="O88" s="176"/>
      <c r="P88" s="178"/>
      <c r="Q88" s="176"/>
      <c r="R88" s="176"/>
      <c r="S88" s="86"/>
      <c r="T88" s="88"/>
      <c r="U88" s="88"/>
      <c r="V88" s="176"/>
      <c r="W88" s="176"/>
      <c r="X88" s="178"/>
      <c r="Y88" s="176"/>
      <c r="Z88" s="177"/>
      <c r="AA88" s="176"/>
      <c r="AB88" s="92"/>
      <c r="AC88" s="93"/>
      <c r="AD88" s="93"/>
      <c r="AE88" s="93"/>
      <c r="AF88" s="93" t="str">
        <f aca="false">IF(ISBLANK($C88),"",IF(E88=Constants!$B$2,TRUE(),IF(E88=Constants!$B$3,FALSE(),TRUE())))</f>
        <v/>
      </c>
      <c r="AG88" s="93" t="str">
        <f aca="false">IF(ISBLANK($C88),"",IF(F88=Constants!$B$2,TRUE(),IF(F88=Constants!$B$3,FALSE(),TRUE())))</f>
        <v/>
      </c>
      <c r="AH88" s="93" t="str">
        <f aca="false">IF(ISBLANK($C88),"",IF(G88=Constants!$B$2,TRUE(),IF(G88=Constants!$B$3,FALSE(),TRUE())))</f>
        <v/>
      </c>
      <c r="AI88" s="93" t="str">
        <f aca="false">IF(ISBLANK($C88),"",IF(AND(ISNUMBER(H88),H88&gt;=0),H88,Constants!$B$24))</f>
        <v/>
      </c>
      <c r="AJ88" s="93" t="str">
        <f aca="false">IF(ISBLANK($C88),"",IF(I88=Constants!$B$2,TRUE(),IF(I88=Constants!$B$3,FALSE(),TRUE())))</f>
        <v/>
      </c>
      <c r="AK88" s="93" t="str">
        <f aca="false">IF(ISBLANK($C88),"",IF(J88=Constants!$B$2,TRUE(),IF(J88=Constants!$B$3,FALSE(),TRUE())))</f>
        <v/>
      </c>
      <c r="AL88" s="93" t="str">
        <f aca="false">IF(ISBLANK($C88),"",IF(K88=Constants!$B$4,TRUE(),IF(K88=Constants!$B$5,FALSE(),COUNTA(L88:P88)&gt;0)))</f>
        <v/>
      </c>
      <c r="AM88" s="95" t="str">
        <f aca="false">IF(ISBLANK($C88),"",IF(ISNUMBER(L88),IF(L88&gt;=0,L88,""),""))</f>
        <v/>
      </c>
      <c r="AN88" s="94" t="str">
        <f aca="false">IF(ISBLANK($C88),"",IF(ISNUMBER(M88),IF(M88&gt;=0,M88,""),""))</f>
        <v/>
      </c>
      <c r="AO88" s="94" t="str">
        <f aca="false">IF(ISBLANK($C88),"",IF(N88=Constants!$B$2,TRUE(),IF(N88=Constants!$B$3,FALSE(),TRUE())))</f>
        <v/>
      </c>
      <c r="AP88" s="93" t="str">
        <f aca="false">IF(ISBLANK($C88),"",IF(ISNUMBER(O88),IF(O88&gt;=0,O88,""),""))</f>
        <v/>
      </c>
      <c r="AQ88" s="93" t="str">
        <f aca="false">IF(ISBLANK($C88),"",IF(P88=Constants!$B$2,TRUE(),IF(P88=Constants!$B$3,FALSE(),FALSE())))</f>
        <v/>
      </c>
      <c r="AR88" s="93" t="str">
        <f aca="false">IF(ISBLANK($C88),"",IF(Q88=Constants!$B$2,TRUE(),IF(Q88=Constants!$B$3,FALSE(),TRUE())))</f>
        <v/>
      </c>
      <c r="AS88" s="93" t="str">
        <f aca="false">IF(ISBLANK($C88),"",IF(R88=Constants!$B$2,TRUE(),IF(R88=Constants!$B$3,FALSE(),TRUE())))</f>
        <v/>
      </c>
      <c r="AT88" s="93" t="str">
        <f aca="false">IF(ISBLANK($C88),"",IF(S88=Constants!$B$4,TRUE(),IF(S88=Constants!$B$5,FALSE(),COUNTA(T88:X88)&gt;0)))</f>
        <v/>
      </c>
      <c r="AU88" s="95" t="str">
        <f aca="false">IF(ISBLANK($C88),"",IF(ISNUMBER(T88),IF(T88&gt;=0,T88,""),""))</f>
        <v/>
      </c>
      <c r="AV88" s="94" t="str">
        <f aca="false">IF(ISBLANK($C88),"",IF(ISNUMBER(U88),IF(U88&gt;=0,U88,""),""))</f>
        <v/>
      </c>
      <c r="AW88" s="94" t="str">
        <f aca="false">IF(ISBLANK($C88),"",IF(V88=Constants!$B$2,TRUE(),IF(V88=Constants!$B$3,FALSE(),TRUE())))</f>
        <v/>
      </c>
      <c r="AX88" s="93" t="str">
        <f aca="false">IF(ISBLANK($C88),"",IF(ISNUMBER(W88),IF(W88&gt;=0,W88,""),""))</f>
        <v/>
      </c>
      <c r="AY88" s="93" t="str">
        <f aca="false">IF(ISBLANK($C88),"",IF(X88=Constants!$B$2,TRUE(),IF(X88=Constants!$B$3,FALSE(),FALSE())))</f>
        <v/>
      </c>
      <c r="AZ88" s="93" t="str">
        <f aca="false">IF(ISBLANK($C88),"",MIN(Constants!$B$25,MAX(0,IF(ISNUMBER(Y88),Y88*60,0)+IF(ISNUMBER(Z88),Z88,0))))</f>
        <v/>
      </c>
      <c r="BA88" s="93" t="str">
        <f aca="false">IF(ISBLANK($C88),"",IF(AA88=Constants!$B$2,TRUE(),IF(AA88=Constants!$B$3,FALSE(),FALSE())))</f>
        <v/>
      </c>
      <c r="BB88" s="92" t="str">
        <f aca="false">IF(ISBLANK($C88),"",AND($AL88,OR($AM88="",$AN88="",AND($AO88,$AP88=""))))</f>
        <v/>
      </c>
      <c r="BC88" s="94" t="str">
        <f aca="false">IF($BX88&lt;&gt;Constants!$B$6,"",IF($AL88,Constants!$B$17*$AN88+Constants!$B$18*IF($AO88,$AP88,Constants!$B$19),Constants!$B$20))</f>
        <v/>
      </c>
      <c r="BD88" s="97" t="str">
        <f aca="false">IF($BX88&lt;&gt;Constants!$B$6,"",Constants!$B$21*ABS($AD$9-IF($AL88,$AM88,0)))</f>
        <v/>
      </c>
      <c r="BE88" s="97" t="str">
        <f aca="false">IF($BX88&lt;&gt;Constants!$B$6,"",IF(AND($AL88,$AQ88,$AO88),Constants!$B$22,0))</f>
        <v/>
      </c>
      <c r="BF88" s="97" t="str">
        <f aca="false">IF($BX88&lt;&gt;Constants!$B$6,"",IF($AL88,($AI88-Constants!$B$24)*Constants!$B$23,0))</f>
        <v/>
      </c>
      <c r="BG88" s="97" t="str">
        <f aca="false">IF($BX88&lt;&gt;Constants!$B$6,"",IF($AK88,0,Constants!$B$12)+IF($AJ88,0,Constants!$B$13)+IF($AH88,0,Constants!$B$14))</f>
        <v/>
      </c>
      <c r="BH88" s="98" t="str">
        <f aca="false">IF($BX88&lt;&gt;Constants!$B$6,"",Constants!$B$16+SUM($BC88:$BG88))</f>
        <v/>
      </c>
      <c r="BI88" s="97" t="str">
        <f aca="false">IF($BX88&lt;&gt;Constants!$B$6,"",$BC88)</f>
        <v/>
      </c>
      <c r="BJ88" s="97" t="str">
        <f aca="false">IF($BX88&lt;&gt;Constants!$B$6,"",$BD88)</f>
        <v/>
      </c>
      <c r="BK88" s="99" t="str">
        <f aca="false">IF($BX88&lt;&gt;Constants!$B$6,"",IF($AL88,$AN88,""))</f>
        <v/>
      </c>
      <c r="BL88" s="93" t="str">
        <f aca="false">IF($BX88&lt;&gt;Constants!$B$6,"",IF(OR($BS88&lt;$BH88,AND($BS88=$BH88,OR($BT88&lt;$BI88,AND($BT88=$BI88,OR($BU88&lt;$BJ88,AND($BU88=$BJ88,AND(ISNUMBER($BV88),OR(NOT(ISNUMBER($BK88)),$BV88&lt;$BK88)))))))),"-&gt;","&lt;-"))</f>
        <v/>
      </c>
      <c r="BM88" s="92" t="str">
        <f aca="false">IF(ISBLANK($C88),"",AND($AT88,OR($AU88="",$AV88="",AND($AW88,$AX88=""))))</f>
        <v/>
      </c>
      <c r="BN88" s="94" t="str">
        <f aca="false">IF($BX88&lt;&gt;Constants!$B$6,"",IF($AT88,Constants!$B$17*$AV88+Constants!$B$18*IF($AW88,$AX88,Constants!$B$19),Constants!$B$20))</f>
        <v/>
      </c>
      <c r="BO88" s="97" t="str">
        <f aca="false">IF($BX88&lt;&gt;Constants!$B$6,"",Constants!$B$21*ABS($AD$9-IF($AT88,$AU88,0)))</f>
        <v/>
      </c>
      <c r="BP88" s="97" t="str">
        <f aca="false">IF($BX88&lt;&gt;Constants!$B$6,"",IF(AND($AT88,$AY88,$AW88),Constants!$B$22,0))</f>
        <v/>
      </c>
      <c r="BQ88" s="97" t="str">
        <f aca="false">IF($BX88&lt;&gt;Constants!$B$6,"",IF($AT88,($AI88-Constants!$B$24)*Constants!$B$23,0))</f>
        <v/>
      </c>
      <c r="BR88" s="97" t="str">
        <f aca="false">IF($BX88&lt;&gt;Constants!$B$6,"",IF($AS88,0,Constants!$B$12)+IF($AR88,0,Constants!$B$13)+IF($AH88,0,Constants!$B$14))</f>
        <v/>
      </c>
      <c r="BS88" s="98" t="str">
        <f aca="false">IF($BX88&lt;&gt;Constants!$B$6,"",Constants!$B$16+SUM($BN88:$BR88))</f>
        <v/>
      </c>
      <c r="BT88" s="97" t="str">
        <f aca="false">IF($BX88&lt;&gt;Constants!$B$6,"",$BN88)</f>
        <v/>
      </c>
      <c r="BU88" s="97" t="str">
        <f aca="false">IF($BX88&lt;&gt;Constants!$B$6,"",$BO88)</f>
        <v/>
      </c>
      <c r="BV88" s="99" t="str">
        <f aca="false">IF($BX88&lt;&gt;Constants!$B$6,"",IF($AT88,$AV88,""))</f>
        <v/>
      </c>
      <c r="BW88" s="93" t="str">
        <f aca="false">IF(ISBLANK($C88),"",IF(ISBLANK($D$7),$BW$5,IF(NOT(ISNUMBER($D$7)),$BW$6,"")))</f>
        <v/>
      </c>
      <c r="BX88" s="93" t="str">
        <f aca="false">IF(ISBLANK($C88),"",IF($BA88,Constants!$B$9,IF(COUNTA($E88:$AA88)=0,Constants!$B$8,IF(NOT($AG88),Constants!$B$7,IF(OR($BW88&lt;&gt;"",$BB88,$BM88),Constants!$B$10,Constants!$B$6)))))</f>
        <v/>
      </c>
      <c r="BY88" s="93" t="str">
        <f aca="false">IF(ISBLANK($C88),"",IF($BX88&lt;&gt;Constants!$B$6,$BX88,Constants!$B$11))</f>
        <v/>
      </c>
      <c r="BZ88" s="97" t="str">
        <f aca="false">IF($BX88&lt;&gt;Constants!$B$6,"",IF($BL88="-&gt;",$BS88,$BH88))</f>
        <v/>
      </c>
      <c r="CA88" s="97" t="str">
        <f aca="false">IF($BX88&lt;&gt;Constants!$B$6,"",IF($AF88,0,Constants!$B$15))</f>
        <v/>
      </c>
      <c r="CB88" s="97" t="str">
        <f aca="false">IF($BX88&lt;&gt;Constants!$B$6,"",((Constants!$B$25-$AZ88)-Constants!$B$25)/Constants!$B$26)</f>
        <v/>
      </c>
      <c r="CC88" s="97" t="str">
        <f aca="false">IF(ISBLANK($C88),"",IF($BX88&lt;&gt;Constants!$B$6,$BX88,SUM($BZ88:$CB88)))</f>
        <v/>
      </c>
      <c r="CD88" s="93" t="str">
        <f aca="false">IF(ISBLANK($C88),"",IF($BX88&lt;&gt;Constants!$B$6,$BX88,RANK($CC88,$CC$9:$CC$508,1)))</f>
        <v/>
      </c>
      <c r="CE88" s="97" t="str">
        <f aca="false">IF($BX88&lt;&gt;Constants!$B$6,"",IF($BL88="-&gt;",$BT88,$BI88))</f>
        <v/>
      </c>
      <c r="CF88" s="93" t="str">
        <f aca="false">IF(ISBLANK($C88),"",IF($BX88&lt;&gt;Constants!$B$6,$BX88,IF(ISNUMBER($CE88),RANK($CE88,$CE$9:$CE$508,1),COUNT($CE$9:$CE$508)+1)))</f>
        <v/>
      </c>
      <c r="CG88" s="97" t="str">
        <f aca="false">IF($BX88&lt;&gt;Constants!$B$6,"",IF($BL88="-&gt;",$BU88,$BJ88))</f>
        <v/>
      </c>
      <c r="CH88" s="93" t="str">
        <f aca="false">IF(ISBLANK($C88),"",IF($BX88&lt;&gt;Constants!$B$6,$BX88,IF(ISNUMBER($CG88),RANK($CG88,$CG$9:$CG$508,1),COUNT($CG$9:$CG$508)+1)))</f>
        <v/>
      </c>
      <c r="CI88" s="97" t="str">
        <f aca="false">IF($BX88&lt;&gt;Constants!$B$6,"",IF($BL88="-&gt;",$BV88,$BK88))</f>
        <v/>
      </c>
      <c r="CJ88" s="93" t="str">
        <f aca="false">IF(ISBLANK($C88),"",IF($BX88&lt;&gt;Constants!$B$6,$BX88,IF(ISNUMBER($CI88),RANK($CI88,$CI$9:$CI$508,1),COUNT($CI$9:$CI$508)+1)))</f>
        <v/>
      </c>
      <c r="CK88" s="97" t="str">
        <f aca="false">IF($BX88&lt;&gt;Constants!$B$6,"",$AI88)</f>
        <v/>
      </c>
      <c r="CL88" s="93" t="str">
        <f aca="false">IF(ISBLANK($C88),"",IF($BX88&lt;&gt;Constants!$B$6,$BX88,IF(ISNUMBER($CK88),RANK($CK88,$CK$9:$CK$508,1),COUNT($CK$9:$CK$508)+1)))</f>
        <v/>
      </c>
      <c r="CM88" s="93" t="str">
        <f aca="false">IF(ISBLANK($C88),"",IF($BX88&lt;&gt;Constants!$B$6,$BX88,COUNTIFS($CD$9:$CD$508,"&lt;"&amp;$CD88)+COUNTIFS($CD$9:$CD$508,$CD88,$CF$9:$CF$508,"&lt;"&amp;$CF88)+COUNTIFS($CD$9:$CD$508,$CD88,$CF$9:$CF$508,$CF88,$CH$9:$CH$508,"&lt;"&amp;$CH88)+COUNTIFS($CD$9:$CD$508,$CD88,$CF$9:$CF$508,$CF88,$CH$9:$CH$508,$CH88,$CJ$9:$CJ$508,"&lt;"&amp;$CJ88)+COUNTIFS($CD$9:$CD$508,$CD88,$CF$9:$CF$508,$CF88,$CH$9:$CH$508,$CH88,$CJ$9:$CJ$508,$CJ88,$CL$9:$CL$508,"&lt;"&amp;$CL88)+1))</f>
        <v/>
      </c>
      <c r="CN88" s="93" t="str">
        <f aca="false">IF(ISBLANK($C88),"",IF($BX88&lt;&gt;Constants!$B$6,$BX88,$CD88-$CM88))</f>
        <v/>
      </c>
      <c r="CO88" s="100"/>
      <c r="CP88" s="101"/>
      <c r="CQ88" s="102" t="str">
        <f aca="false">IF(ISBLANK($C88),"",IF($BX88=Constants!$B$10,$BW88,""))</f>
        <v/>
      </c>
      <c r="CR88" s="101" t="str">
        <f aca="false">IF(ISBLANK($C88),"",IF($BX88&lt;&gt;Constants!$B$6,"",IF($BL88="-&gt;",2,1)))</f>
        <v/>
      </c>
      <c r="CS88" s="103" t="str">
        <f aca="false">IF(ISBLANK($C88),"",IF($BX88&lt;&gt;Constants!$B$6,"",IF($BL88="-&gt;",$BN88,$BC88)))</f>
        <v/>
      </c>
      <c r="CT88" s="103" t="str">
        <f aca="false">IF(ISBLANK($C88),"",IF($BX88&lt;&gt;Constants!$B$6,"",IF($BL88="-&gt;",$BO88,$BD88)))</f>
        <v/>
      </c>
      <c r="CU88" s="103" t="str">
        <f aca="false">IF(ISBLANK($C88),"",IF($BX88&lt;&gt;Constants!$B$6,"",IF($BL88="-&gt;",$BP88+$BQ88,$BE88+$BF88)+$CB88))</f>
        <v/>
      </c>
      <c r="CV88" s="103" t="str">
        <f aca="false">IF(ISBLANK($C88),"",IF($BX88&lt;&gt;Constants!$B$6,"",IF($BL88="-&gt;",$BR88,$BG88)+$CA88))</f>
        <v/>
      </c>
      <c r="CW88" s="104" t="str">
        <f aca="false">IF(ISBLANK($C88),"",IF($BX88&lt;&gt;Constants!$B$6,$BX88,$CC88))</f>
        <v/>
      </c>
      <c r="CX88" s="105" t="str">
        <f aca="false">IF(ISBLANK($C88),"",$BY88)</f>
        <v/>
      </c>
      <c r="CY88" s="106" t="str">
        <f aca="false">IF(ISBLANK($C88),"",$CN88)</f>
        <v/>
      </c>
      <c r="CZ88" s="106" t="str">
        <f aca="false">IF(ISBLANK($C88),"",$CM88)</f>
        <v/>
      </c>
      <c r="DA88" s="107" t="str">
        <f aca="false">IF(ISBLANK($C88),"",IFERROR(_xlfn.SWITCH($CZ88,Constants!$B$9,COUNTA($C$9:$C$508)+2,Constants!$B$8,COUNTA($C$9:$C$508)+1,Constants!$B$7,COUNTA($C$9:$C$508)),$CZ88))</f>
        <v/>
      </c>
      <c r="DB88" s="9"/>
      <c r="DC88" s="108" t="n">
        <f aca="false">IF(OR(ISNUMBER($CZ88),$CZ88=Constants!$B$9,$CZ88=Constants!$B$7,$CZ88=Constants!$B$8),1,0)</f>
        <v>0</v>
      </c>
      <c r="DD88" s="108" t="n">
        <v>80</v>
      </c>
      <c r="DE88" s="108" t="str">
        <f aca="false">IF(ISBLANK($C88),"",IF(ISNUMBER($DA88),$DA88+ROW($B88)/1000,""))</f>
        <v/>
      </c>
      <c r="DF88" s="108" t="str">
        <f aca="false">IF(ISNUMBER($DE88),RANK($DE88,$DE$9:$DE$508,1),"")</f>
        <v/>
      </c>
      <c r="DG88" s="108" t="str">
        <f aca="false">IF(ISBLANK($C88),"",$B88)</f>
        <v/>
      </c>
      <c r="DH88" s="108" t="str">
        <f aca="false">IF(ISBLANK($C88),"",$C88)</f>
        <v/>
      </c>
      <c r="DI88" s="108" t="str">
        <f aca="false">IF(ISBLANK($C88),"",$D88)</f>
        <v/>
      </c>
      <c r="DJ88" s="109" t="str">
        <f aca="false">$CX88</f>
        <v/>
      </c>
      <c r="DK88" s="110" t="str">
        <f aca="false">$CW88</f>
        <v/>
      </c>
      <c r="DL88" s="108" t="str">
        <f aca="false">IF(ISBLANK($C88),"",$CZ88)</f>
        <v/>
      </c>
      <c r="DM88" s="111" t="str">
        <f aca="false">IF($DD88&gt;$DC$8,"",VLOOKUP($DD88,$DF$9:$DL$508,7,FALSE()))</f>
        <v/>
      </c>
      <c r="DN88" s="112" t="str">
        <f aca="false">IF($DD88&gt;$DC$8,"",VLOOKUP($DD88,$DF$9:$DL$508,2,FALSE()))</f>
        <v/>
      </c>
      <c r="DO88" s="112" t="str">
        <f aca="false">IF($DD88&gt;$DC$8,"",VLOOKUP($DD88,$DF$9:$DL$508,3,FALSE()))</f>
        <v/>
      </c>
      <c r="DP88" s="112" t="str">
        <f aca="false">IF($DD88&gt;$DC$8,"",VLOOKUP($DD88,$DF$9:$DL$508,4,FALSE()))</f>
        <v/>
      </c>
      <c r="DQ88" s="112" t="str">
        <f aca="false">IF($DD88&gt;$DC$8,"",VLOOKUP($DD88,$DF$9:$DL$508,5,FALSE()))</f>
        <v/>
      </c>
      <c r="DR88" s="113" t="str">
        <f aca="false">IF($DD88&gt;$DC$8,"",VLOOKUP($DD88,$DF$9:$DL$508,6,FALSE()))</f>
        <v/>
      </c>
      <c r="DS88" s="76"/>
    </row>
    <row r="89" customFormat="false" ht="15.75" hidden="false" customHeight="false" outlineLevel="0" collapsed="false">
      <c r="A89" s="9"/>
      <c r="B89" s="78"/>
      <c r="C89" s="79"/>
      <c r="D89" s="170"/>
      <c r="E89" s="178"/>
      <c r="F89" s="172"/>
      <c r="G89" s="173"/>
      <c r="H89" s="173"/>
      <c r="I89" s="179"/>
      <c r="J89" s="176"/>
      <c r="K89" s="86"/>
      <c r="L89" s="87"/>
      <c r="M89" s="88"/>
      <c r="N89" s="176"/>
      <c r="O89" s="176"/>
      <c r="P89" s="178"/>
      <c r="Q89" s="176"/>
      <c r="R89" s="176"/>
      <c r="S89" s="86"/>
      <c r="T89" s="88"/>
      <c r="U89" s="88"/>
      <c r="V89" s="176"/>
      <c r="W89" s="176"/>
      <c r="X89" s="178"/>
      <c r="Y89" s="176"/>
      <c r="Z89" s="177"/>
      <c r="AA89" s="176"/>
      <c r="AB89" s="92"/>
      <c r="AC89" s="93"/>
      <c r="AD89" s="93"/>
      <c r="AE89" s="93"/>
      <c r="AF89" s="93" t="str">
        <f aca="false">IF(ISBLANK($C89),"",IF(E89=Constants!$B$2,TRUE(),IF(E89=Constants!$B$3,FALSE(),TRUE())))</f>
        <v/>
      </c>
      <c r="AG89" s="93" t="str">
        <f aca="false">IF(ISBLANK($C89),"",IF(F89=Constants!$B$2,TRUE(),IF(F89=Constants!$B$3,FALSE(),TRUE())))</f>
        <v/>
      </c>
      <c r="AH89" s="93" t="str">
        <f aca="false">IF(ISBLANK($C89),"",IF(G89=Constants!$B$2,TRUE(),IF(G89=Constants!$B$3,FALSE(),TRUE())))</f>
        <v/>
      </c>
      <c r="AI89" s="93" t="str">
        <f aca="false">IF(ISBLANK($C89),"",IF(AND(ISNUMBER(H89),H89&gt;=0),H89,Constants!$B$24))</f>
        <v/>
      </c>
      <c r="AJ89" s="93" t="str">
        <f aca="false">IF(ISBLANK($C89),"",IF(I89=Constants!$B$2,TRUE(),IF(I89=Constants!$B$3,FALSE(),TRUE())))</f>
        <v/>
      </c>
      <c r="AK89" s="93" t="str">
        <f aca="false">IF(ISBLANK($C89),"",IF(J89=Constants!$B$2,TRUE(),IF(J89=Constants!$B$3,FALSE(),TRUE())))</f>
        <v/>
      </c>
      <c r="AL89" s="93" t="str">
        <f aca="false">IF(ISBLANK($C89),"",IF(K89=Constants!$B$4,TRUE(),IF(K89=Constants!$B$5,FALSE(),COUNTA(L89:P89)&gt;0)))</f>
        <v/>
      </c>
      <c r="AM89" s="95" t="str">
        <f aca="false">IF(ISBLANK($C89),"",IF(ISNUMBER(L89),IF(L89&gt;=0,L89,""),""))</f>
        <v/>
      </c>
      <c r="AN89" s="94" t="str">
        <f aca="false">IF(ISBLANK($C89),"",IF(ISNUMBER(M89),IF(M89&gt;=0,M89,""),""))</f>
        <v/>
      </c>
      <c r="AO89" s="94" t="str">
        <f aca="false">IF(ISBLANK($C89),"",IF(N89=Constants!$B$2,TRUE(),IF(N89=Constants!$B$3,FALSE(),TRUE())))</f>
        <v/>
      </c>
      <c r="AP89" s="93" t="str">
        <f aca="false">IF(ISBLANK($C89),"",IF(ISNUMBER(O89),IF(O89&gt;=0,O89,""),""))</f>
        <v/>
      </c>
      <c r="AQ89" s="93" t="str">
        <f aca="false">IF(ISBLANK($C89),"",IF(P89=Constants!$B$2,TRUE(),IF(P89=Constants!$B$3,FALSE(),FALSE())))</f>
        <v/>
      </c>
      <c r="AR89" s="93" t="str">
        <f aca="false">IF(ISBLANK($C89),"",IF(Q89=Constants!$B$2,TRUE(),IF(Q89=Constants!$B$3,FALSE(),TRUE())))</f>
        <v/>
      </c>
      <c r="AS89" s="93" t="str">
        <f aca="false">IF(ISBLANK($C89),"",IF(R89=Constants!$B$2,TRUE(),IF(R89=Constants!$B$3,FALSE(),TRUE())))</f>
        <v/>
      </c>
      <c r="AT89" s="93" t="str">
        <f aca="false">IF(ISBLANK($C89),"",IF(S89=Constants!$B$4,TRUE(),IF(S89=Constants!$B$5,FALSE(),COUNTA(T89:X89)&gt;0)))</f>
        <v/>
      </c>
      <c r="AU89" s="95" t="str">
        <f aca="false">IF(ISBLANK($C89),"",IF(ISNUMBER(T89),IF(T89&gt;=0,T89,""),""))</f>
        <v/>
      </c>
      <c r="AV89" s="94" t="str">
        <f aca="false">IF(ISBLANK($C89),"",IF(ISNUMBER(U89),IF(U89&gt;=0,U89,""),""))</f>
        <v/>
      </c>
      <c r="AW89" s="94" t="str">
        <f aca="false">IF(ISBLANK($C89),"",IF(V89=Constants!$B$2,TRUE(),IF(V89=Constants!$B$3,FALSE(),TRUE())))</f>
        <v/>
      </c>
      <c r="AX89" s="93" t="str">
        <f aca="false">IF(ISBLANK($C89),"",IF(ISNUMBER(W89),IF(W89&gt;=0,W89,""),""))</f>
        <v/>
      </c>
      <c r="AY89" s="93" t="str">
        <f aca="false">IF(ISBLANK($C89),"",IF(X89=Constants!$B$2,TRUE(),IF(X89=Constants!$B$3,FALSE(),FALSE())))</f>
        <v/>
      </c>
      <c r="AZ89" s="93" t="str">
        <f aca="false">IF(ISBLANK($C89),"",MIN(Constants!$B$25,MAX(0,IF(ISNUMBER(Y89),Y89*60,0)+IF(ISNUMBER(Z89),Z89,0))))</f>
        <v/>
      </c>
      <c r="BA89" s="93" t="str">
        <f aca="false">IF(ISBLANK($C89),"",IF(AA89=Constants!$B$2,TRUE(),IF(AA89=Constants!$B$3,FALSE(),FALSE())))</f>
        <v/>
      </c>
      <c r="BB89" s="92" t="str">
        <f aca="false">IF(ISBLANK($C89),"",AND($AL89,OR($AM89="",$AN89="",AND($AO89,$AP89=""))))</f>
        <v/>
      </c>
      <c r="BC89" s="94" t="str">
        <f aca="false">IF($BX89&lt;&gt;Constants!$B$6,"",IF($AL89,Constants!$B$17*$AN89+Constants!$B$18*IF($AO89,$AP89,Constants!$B$19),Constants!$B$20))</f>
        <v/>
      </c>
      <c r="BD89" s="97" t="str">
        <f aca="false">IF($BX89&lt;&gt;Constants!$B$6,"",Constants!$B$21*ABS($AD$9-IF($AL89,$AM89,0)))</f>
        <v/>
      </c>
      <c r="BE89" s="97" t="str">
        <f aca="false">IF($BX89&lt;&gt;Constants!$B$6,"",IF(AND($AL89,$AQ89,$AO89),Constants!$B$22,0))</f>
        <v/>
      </c>
      <c r="BF89" s="97" t="str">
        <f aca="false">IF($BX89&lt;&gt;Constants!$B$6,"",IF($AL89,($AI89-Constants!$B$24)*Constants!$B$23,0))</f>
        <v/>
      </c>
      <c r="BG89" s="97" t="str">
        <f aca="false">IF($BX89&lt;&gt;Constants!$B$6,"",IF($AK89,0,Constants!$B$12)+IF($AJ89,0,Constants!$B$13)+IF($AH89,0,Constants!$B$14))</f>
        <v/>
      </c>
      <c r="BH89" s="98" t="str">
        <f aca="false">IF($BX89&lt;&gt;Constants!$B$6,"",Constants!$B$16+SUM($BC89:$BG89))</f>
        <v/>
      </c>
      <c r="BI89" s="97" t="str">
        <f aca="false">IF($BX89&lt;&gt;Constants!$B$6,"",$BC89)</f>
        <v/>
      </c>
      <c r="BJ89" s="97" t="str">
        <f aca="false">IF($BX89&lt;&gt;Constants!$B$6,"",$BD89)</f>
        <v/>
      </c>
      <c r="BK89" s="99" t="str">
        <f aca="false">IF($BX89&lt;&gt;Constants!$B$6,"",IF($AL89,$AN89,""))</f>
        <v/>
      </c>
      <c r="BL89" s="93" t="str">
        <f aca="false">IF($BX89&lt;&gt;Constants!$B$6,"",IF(OR($BS89&lt;$BH89,AND($BS89=$BH89,OR($BT89&lt;$BI89,AND($BT89=$BI89,OR($BU89&lt;$BJ89,AND($BU89=$BJ89,AND(ISNUMBER($BV89),OR(NOT(ISNUMBER($BK89)),$BV89&lt;$BK89)))))))),"-&gt;","&lt;-"))</f>
        <v/>
      </c>
      <c r="BM89" s="92" t="str">
        <f aca="false">IF(ISBLANK($C89),"",AND($AT89,OR($AU89="",$AV89="",AND($AW89,$AX89=""))))</f>
        <v/>
      </c>
      <c r="BN89" s="94" t="str">
        <f aca="false">IF($BX89&lt;&gt;Constants!$B$6,"",IF($AT89,Constants!$B$17*$AV89+Constants!$B$18*IF($AW89,$AX89,Constants!$B$19),Constants!$B$20))</f>
        <v/>
      </c>
      <c r="BO89" s="97" t="str">
        <f aca="false">IF($BX89&lt;&gt;Constants!$B$6,"",Constants!$B$21*ABS($AD$9-IF($AT89,$AU89,0)))</f>
        <v/>
      </c>
      <c r="BP89" s="97" t="str">
        <f aca="false">IF($BX89&lt;&gt;Constants!$B$6,"",IF(AND($AT89,$AY89,$AW89),Constants!$B$22,0))</f>
        <v/>
      </c>
      <c r="BQ89" s="97" t="str">
        <f aca="false">IF($BX89&lt;&gt;Constants!$B$6,"",IF($AT89,($AI89-Constants!$B$24)*Constants!$B$23,0))</f>
        <v/>
      </c>
      <c r="BR89" s="97" t="str">
        <f aca="false">IF($BX89&lt;&gt;Constants!$B$6,"",IF($AS89,0,Constants!$B$12)+IF($AR89,0,Constants!$B$13)+IF($AH89,0,Constants!$B$14))</f>
        <v/>
      </c>
      <c r="BS89" s="98" t="str">
        <f aca="false">IF($BX89&lt;&gt;Constants!$B$6,"",Constants!$B$16+SUM($BN89:$BR89))</f>
        <v/>
      </c>
      <c r="BT89" s="97" t="str">
        <f aca="false">IF($BX89&lt;&gt;Constants!$B$6,"",$BN89)</f>
        <v/>
      </c>
      <c r="BU89" s="97" t="str">
        <f aca="false">IF($BX89&lt;&gt;Constants!$B$6,"",$BO89)</f>
        <v/>
      </c>
      <c r="BV89" s="99" t="str">
        <f aca="false">IF($BX89&lt;&gt;Constants!$B$6,"",IF($AT89,$AV89,""))</f>
        <v/>
      </c>
      <c r="BW89" s="93" t="str">
        <f aca="false">IF(ISBLANK($C89),"",IF(ISBLANK($D$7),$BW$5,IF(NOT(ISNUMBER($D$7)),$BW$6,"")))</f>
        <v/>
      </c>
      <c r="BX89" s="93" t="str">
        <f aca="false">IF(ISBLANK($C89),"",IF($BA89,Constants!$B$9,IF(COUNTA($E89:$AA89)=0,Constants!$B$8,IF(NOT($AG89),Constants!$B$7,IF(OR($BW89&lt;&gt;"",$BB89,$BM89),Constants!$B$10,Constants!$B$6)))))</f>
        <v/>
      </c>
      <c r="BY89" s="93" t="str">
        <f aca="false">IF(ISBLANK($C89),"",IF($BX89&lt;&gt;Constants!$B$6,$BX89,Constants!$B$11))</f>
        <v/>
      </c>
      <c r="BZ89" s="97" t="str">
        <f aca="false">IF($BX89&lt;&gt;Constants!$B$6,"",IF($BL89="-&gt;",$BS89,$BH89))</f>
        <v/>
      </c>
      <c r="CA89" s="97" t="str">
        <f aca="false">IF($BX89&lt;&gt;Constants!$B$6,"",IF($AF89,0,Constants!$B$15))</f>
        <v/>
      </c>
      <c r="CB89" s="97" t="str">
        <f aca="false">IF($BX89&lt;&gt;Constants!$B$6,"",((Constants!$B$25-$AZ89)-Constants!$B$25)/Constants!$B$26)</f>
        <v/>
      </c>
      <c r="CC89" s="97" t="str">
        <f aca="false">IF(ISBLANK($C89),"",IF($BX89&lt;&gt;Constants!$B$6,$BX89,SUM($BZ89:$CB89)))</f>
        <v/>
      </c>
      <c r="CD89" s="93" t="str">
        <f aca="false">IF(ISBLANK($C89),"",IF($BX89&lt;&gt;Constants!$B$6,$BX89,RANK($CC89,$CC$9:$CC$508,1)))</f>
        <v/>
      </c>
      <c r="CE89" s="97" t="str">
        <f aca="false">IF($BX89&lt;&gt;Constants!$B$6,"",IF($BL89="-&gt;",$BT89,$BI89))</f>
        <v/>
      </c>
      <c r="CF89" s="93" t="str">
        <f aca="false">IF(ISBLANK($C89),"",IF($BX89&lt;&gt;Constants!$B$6,$BX89,IF(ISNUMBER($CE89),RANK($CE89,$CE$9:$CE$508,1),COUNT($CE$9:$CE$508)+1)))</f>
        <v/>
      </c>
      <c r="CG89" s="97" t="str">
        <f aca="false">IF($BX89&lt;&gt;Constants!$B$6,"",IF($BL89="-&gt;",$BU89,$BJ89))</f>
        <v/>
      </c>
      <c r="CH89" s="93" t="str">
        <f aca="false">IF(ISBLANK($C89),"",IF($BX89&lt;&gt;Constants!$B$6,$BX89,IF(ISNUMBER($CG89),RANK($CG89,$CG$9:$CG$508,1),COUNT($CG$9:$CG$508)+1)))</f>
        <v/>
      </c>
      <c r="CI89" s="97" t="str">
        <f aca="false">IF($BX89&lt;&gt;Constants!$B$6,"",IF($BL89="-&gt;",$BV89,$BK89))</f>
        <v/>
      </c>
      <c r="CJ89" s="93" t="str">
        <f aca="false">IF(ISBLANK($C89),"",IF($BX89&lt;&gt;Constants!$B$6,$BX89,IF(ISNUMBER($CI89),RANK($CI89,$CI$9:$CI$508,1),COUNT($CI$9:$CI$508)+1)))</f>
        <v/>
      </c>
      <c r="CK89" s="97" t="str">
        <f aca="false">IF($BX89&lt;&gt;Constants!$B$6,"",$AI89)</f>
        <v/>
      </c>
      <c r="CL89" s="93" t="str">
        <f aca="false">IF(ISBLANK($C89),"",IF($BX89&lt;&gt;Constants!$B$6,$BX89,IF(ISNUMBER($CK89),RANK($CK89,$CK$9:$CK$508,1),COUNT($CK$9:$CK$508)+1)))</f>
        <v/>
      </c>
      <c r="CM89" s="93" t="str">
        <f aca="false">IF(ISBLANK($C89),"",IF($BX89&lt;&gt;Constants!$B$6,$BX89,COUNTIFS($CD$9:$CD$508,"&lt;"&amp;$CD89)+COUNTIFS($CD$9:$CD$508,$CD89,$CF$9:$CF$508,"&lt;"&amp;$CF89)+COUNTIFS($CD$9:$CD$508,$CD89,$CF$9:$CF$508,$CF89,$CH$9:$CH$508,"&lt;"&amp;$CH89)+COUNTIFS($CD$9:$CD$508,$CD89,$CF$9:$CF$508,$CF89,$CH$9:$CH$508,$CH89,$CJ$9:$CJ$508,"&lt;"&amp;$CJ89)+COUNTIFS($CD$9:$CD$508,$CD89,$CF$9:$CF$508,$CF89,$CH$9:$CH$508,$CH89,$CJ$9:$CJ$508,$CJ89,$CL$9:$CL$508,"&lt;"&amp;$CL89)+1))</f>
        <v/>
      </c>
      <c r="CN89" s="93" t="str">
        <f aca="false">IF(ISBLANK($C89),"",IF($BX89&lt;&gt;Constants!$B$6,$BX89,$CD89-$CM89))</f>
        <v/>
      </c>
      <c r="CO89" s="100"/>
      <c r="CP89" s="101"/>
      <c r="CQ89" s="102" t="str">
        <f aca="false">IF(ISBLANK($C89),"",IF($BX89=Constants!$B$10,$BW89,""))</f>
        <v/>
      </c>
      <c r="CR89" s="101" t="str">
        <f aca="false">IF(ISBLANK($C89),"",IF($BX89&lt;&gt;Constants!$B$6,"",IF($BL89="-&gt;",2,1)))</f>
        <v/>
      </c>
      <c r="CS89" s="103" t="str">
        <f aca="false">IF(ISBLANK($C89),"",IF($BX89&lt;&gt;Constants!$B$6,"",IF($BL89="-&gt;",$BN89,$BC89)))</f>
        <v/>
      </c>
      <c r="CT89" s="103" t="str">
        <f aca="false">IF(ISBLANK($C89),"",IF($BX89&lt;&gt;Constants!$B$6,"",IF($BL89="-&gt;",$BO89,$BD89)))</f>
        <v/>
      </c>
      <c r="CU89" s="103" t="str">
        <f aca="false">IF(ISBLANK($C89),"",IF($BX89&lt;&gt;Constants!$B$6,"",IF($BL89="-&gt;",$BP89+$BQ89,$BE89+$BF89)+$CB89))</f>
        <v/>
      </c>
      <c r="CV89" s="103" t="str">
        <f aca="false">IF(ISBLANK($C89),"",IF($BX89&lt;&gt;Constants!$B$6,"",IF($BL89="-&gt;",$BR89,$BG89)+$CA89))</f>
        <v/>
      </c>
      <c r="CW89" s="104" t="str">
        <f aca="false">IF(ISBLANK($C89),"",IF($BX89&lt;&gt;Constants!$B$6,$BX89,$CC89))</f>
        <v/>
      </c>
      <c r="CX89" s="105" t="str">
        <f aca="false">IF(ISBLANK($C89),"",$BY89)</f>
        <v/>
      </c>
      <c r="CY89" s="106" t="str">
        <f aca="false">IF(ISBLANK($C89),"",$CN89)</f>
        <v/>
      </c>
      <c r="CZ89" s="106" t="str">
        <f aca="false">IF(ISBLANK($C89),"",$CM89)</f>
        <v/>
      </c>
      <c r="DA89" s="107" t="str">
        <f aca="false">IF(ISBLANK($C89),"",IFERROR(_xlfn.SWITCH($CZ89,Constants!$B$9,COUNTA($C$9:$C$508)+2,Constants!$B$8,COUNTA($C$9:$C$508)+1,Constants!$B$7,COUNTA($C$9:$C$508)),$CZ89))</f>
        <v/>
      </c>
      <c r="DB89" s="9"/>
      <c r="DC89" s="108" t="n">
        <f aca="false">IF(OR(ISNUMBER($CZ89),$CZ89=Constants!$B$9,$CZ89=Constants!$B$7,$CZ89=Constants!$B$8),1,0)</f>
        <v>0</v>
      </c>
      <c r="DD89" s="108" t="n">
        <v>81</v>
      </c>
      <c r="DE89" s="108" t="str">
        <f aca="false">IF(ISBLANK($C89),"",IF(ISNUMBER($DA89),$DA89+ROW($B89)/1000,""))</f>
        <v/>
      </c>
      <c r="DF89" s="108" t="str">
        <f aca="false">IF(ISNUMBER($DE89),RANK($DE89,$DE$9:$DE$508,1),"")</f>
        <v/>
      </c>
      <c r="DG89" s="108" t="str">
        <f aca="false">IF(ISBLANK($C89),"",$B89)</f>
        <v/>
      </c>
      <c r="DH89" s="108" t="str">
        <f aca="false">IF(ISBLANK($C89),"",$C89)</f>
        <v/>
      </c>
      <c r="DI89" s="108" t="str">
        <f aca="false">IF(ISBLANK($C89),"",$D89)</f>
        <v/>
      </c>
      <c r="DJ89" s="109" t="str">
        <f aca="false">$CX89</f>
        <v/>
      </c>
      <c r="DK89" s="110" t="str">
        <f aca="false">$CW89</f>
        <v/>
      </c>
      <c r="DL89" s="108" t="str">
        <f aca="false">IF(ISBLANK($C89),"",$CZ89)</f>
        <v/>
      </c>
      <c r="DM89" s="111" t="str">
        <f aca="false">IF($DD89&gt;$DC$8,"",VLOOKUP($DD89,$DF$9:$DL$508,7,FALSE()))</f>
        <v/>
      </c>
      <c r="DN89" s="112" t="str">
        <f aca="false">IF($DD89&gt;$DC$8,"",VLOOKUP($DD89,$DF$9:$DL$508,2,FALSE()))</f>
        <v/>
      </c>
      <c r="DO89" s="112" t="str">
        <f aca="false">IF($DD89&gt;$DC$8,"",VLOOKUP($DD89,$DF$9:$DL$508,3,FALSE()))</f>
        <v/>
      </c>
      <c r="DP89" s="112" t="str">
        <f aca="false">IF($DD89&gt;$DC$8,"",VLOOKUP($DD89,$DF$9:$DL$508,4,FALSE()))</f>
        <v/>
      </c>
      <c r="DQ89" s="112" t="str">
        <f aca="false">IF($DD89&gt;$DC$8,"",VLOOKUP($DD89,$DF$9:$DL$508,5,FALSE()))</f>
        <v/>
      </c>
      <c r="DR89" s="113" t="str">
        <f aca="false">IF($DD89&gt;$DC$8,"",VLOOKUP($DD89,$DF$9:$DL$508,6,FALSE()))</f>
        <v/>
      </c>
      <c r="DS89" s="76"/>
    </row>
    <row r="90" customFormat="false" ht="15.75" hidden="false" customHeight="false" outlineLevel="0" collapsed="false">
      <c r="A90" s="9"/>
      <c r="B90" s="160"/>
      <c r="C90" s="161"/>
      <c r="D90" s="162"/>
      <c r="E90" s="180"/>
      <c r="F90" s="164"/>
      <c r="G90" s="165"/>
      <c r="H90" s="165"/>
      <c r="I90" s="181"/>
      <c r="J90" s="168"/>
      <c r="K90" s="128"/>
      <c r="L90" s="129"/>
      <c r="M90" s="130"/>
      <c r="N90" s="168"/>
      <c r="O90" s="168"/>
      <c r="P90" s="180"/>
      <c r="Q90" s="168"/>
      <c r="R90" s="168"/>
      <c r="S90" s="128"/>
      <c r="T90" s="130"/>
      <c r="U90" s="130"/>
      <c r="V90" s="168"/>
      <c r="W90" s="168"/>
      <c r="X90" s="180"/>
      <c r="Y90" s="168"/>
      <c r="Z90" s="169"/>
      <c r="AA90" s="168"/>
      <c r="AB90" s="134"/>
      <c r="AC90" s="135"/>
      <c r="AD90" s="135"/>
      <c r="AE90" s="135"/>
      <c r="AF90" s="135" t="str">
        <f aca="false">IF(ISBLANK($C90),"",IF(E90=Constants!$B$2,TRUE(),IF(E90=Constants!$B$3,FALSE(),TRUE())))</f>
        <v/>
      </c>
      <c r="AG90" s="135" t="str">
        <f aca="false">IF(ISBLANK($C90),"",IF(F90=Constants!$B$2,TRUE(),IF(F90=Constants!$B$3,FALSE(),TRUE())))</f>
        <v/>
      </c>
      <c r="AH90" s="135" t="str">
        <f aca="false">IF(ISBLANK($C90),"",IF(G90=Constants!$B$2,TRUE(),IF(G90=Constants!$B$3,FALSE(),TRUE())))</f>
        <v/>
      </c>
      <c r="AI90" s="135" t="str">
        <f aca="false">IF(ISBLANK($C90),"",IF(AND(ISNUMBER(H90),H90&gt;=0),H90,Constants!$B$24))</f>
        <v/>
      </c>
      <c r="AJ90" s="135" t="str">
        <f aca="false">IF(ISBLANK($C90),"",IF(I90=Constants!$B$2,TRUE(),IF(I90=Constants!$B$3,FALSE(),TRUE())))</f>
        <v/>
      </c>
      <c r="AK90" s="135" t="str">
        <f aca="false">IF(ISBLANK($C90),"",IF(J90=Constants!$B$2,TRUE(),IF(J90=Constants!$B$3,FALSE(),TRUE())))</f>
        <v/>
      </c>
      <c r="AL90" s="135" t="str">
        <f aca="false">IF(ISBLANK($C90),"",IF(K90=Constants!$B$4,TRUE(),IF(K90=Constants!$B$5,FALSE(),COUNTA(L90:P90)&gt;0)))</f>
        <v/>
      </c>
      <c r="AM90" s="136" t="str">
        <f aca="false">IF(ISBLANK($C90),"",IF(ISNUMBER(L90),IF(L90&gt;=0,L90,""),""))</f>
        <v/>
      </c>
      <c r="AN90" s="137" t="str">
        <f aca="false">IF(ISBLANK($C90),"",IF(ISNUMBER(M90),IF(M90&gt;=0,M90,""),""))</f>
        <v/>
      </c>
      <c r="AO90" s="137" t="str">
        <f aca="false">IF(ISBLANK($C90),"",IF(N90=Constants!$B$2,TRUE(),IF(N90=Constants!$B$3,FALSE(),TRUE())))</f>
        <v/>
      </c>
      <c r="AP90" s="135" t="str">
        <f aca="false">IF(ISBLANK($C90),"",IF(ISNUMBER(O90),IF(O90&gt;=0,O90,""),""))</f>
        <v/>
      </c>
      <c r="AQ90" s="135" t="str">
        <f aca="false">IF(ISBLANK($C90),"",IF(P90=Constants!$B$2,TRUE(),IF(P90=Constants!$B$3,FALSE(),FALSE())))</f>
        <v/>
      </c>
      <c r="AR90" s="135" t="str">
        <f aca="false">IF(ISBLANK($C90),"",IF(Q90=Constants!$B$2,TRUE(),IF(Q90=Constants!$B$3,FALSE(),TRUE())))</f>
        <v/>
      </c>
      <c r="AS90" s="135" t="str">
        <f aca="false">IF(ISBLANK($C90),"",IF(R90=Constants!$B$2,TRUE(),IF(R90=Constants!$B$3,FALSE(),TRUE())))</f>
        <v/>
      </c>
      <c r="AT90" s="135" t="str">
        <f aca="false">IF(ISBLANK($C90),"",IF(S90=Constants!$B$4,TRUE(),IF(S90=Constants!$B$5,FALSE(),COUNTA(T90:X90)&gt;0)))</f>
        <v/>
      </c>
      <c r="AU90" s="136" t="str">
        <f aca="false">IF(ISBLANK($C90),"",IF(ISNUMBER(T90),IF(T90&gt;=0,T90,""),""))</f>
        <v/>
      </c>
      <c r="AV90" s="137" t="str">
        <f aca="false">IF(ISBLANK($C90),"",IF(ISNUMBER(U90),IF(U90&gt;=0,U90,""),""))</f>
        <v/>
      </c>
      <c r="AW90" s="137" t="str">
        <f aca="false">IF(ISBLANK($C90),"",IF(V90=Constants!$B$2,TRUE(),IF(V90=Constants!$B$3,FALSE(),TRUE())))</f>
        <v/>
      </c>
      <c r="AX90" s="135" t="str">
        <f aca="false">IF(ISBLANK($C90),"",IF(ISNUMBER(W90),IF(W90&gt;=0,W90,""),""))</f>
        <v/>
      </c>
      <c r="AY90" s="135" t="str">
        <f aca="false">IF(ISBLANK($C90),"",IF(X90=Constants!$B$2,TRUE(),IF(X90=Constants!$B$3,FALSE(),FALSE())))</f>
        <v/>
      </c>
      <c r="AZ90" s="135" t="str">
        <f aca="false">IF(ISBLANK($C90),"",MIN(Constants!$B$25,MAX(0,IF(ISNUMBER(Y90),Y90*60,0)+IF(ISNUMBER(Z90),Z90,0))))</f>
        <v/>
      </c>
      <c r="BA90" s="135" t="str">
        <f aca="false">IF(ISBLANK($C90),"",IF(AA90=Constants!$B$2,TRUE(),IF(AA90=Constants!$B$3,FALSE(),FALSE())))</f>
        <v/>
      </c>
      <c r="BB90" s="134" t="str">
        <f aca="false">IF(ISBLANK($C90),"",AND($AL90,OR($AM90="",$AN90="",AND($AO90,$AP90=""))))</f>
        <v/>
      </c>
      <c r="BC90" s="137" t="str">
        <f aca="false">IF($BX90&lt;&gt;Constants!$B$6,"",IF($AL90,Constants!$B$17*$AN90+Constants!$B$18*IF($AO90,$AP90,Constants!$B$19),Constants!$B$20))</f>
        <v/>
      </c>
      <c r="BD90" s="138" t="str">
        <f aca="false">IF($BX90&lt;&gt;Constants!$B$6,"",Constants!$B$21*ABS($AD$9-IF($AL90,$AM90,0)))</f>
        <v/>
      </c>
      <c r="BE90" s="138" t="str">
        <f aca="false">IF($BX90&lt;&gt;Constants!$B$6,"",IF(AND($AL90,$AQ90,$AO90),Constants!$B$22,0))</f>
        <v/>
      </c>
      <c r="BF90" s="138" t="str">
        <f aca="false">IF($BX90&lt;&gt;Constants!$B$6,"",IF($AL90,($AI90-Constants!$B$24)*Constants!$B$23,0))</f>
        <v/>
      </c>
      <c r="BG90" s="138" t="str">
        <f aca="false">IF($BX90&lt;&gt;Constants!$B$6,"",IF($AK90,0,Constants!$B$12)+IF($AJ90,0,Constants!$B$13)+IF($AH90,0,Constants!$B$14))</f>
        <v/>
      </c>
      <c r="BH90" s="139" t="str">
        <f aca="false">IF($BX90&lt;&gt;Constants!$B$6,"",Constants!$B$16+SUM($BC90:$BG90))</f>
        <v/>
      </c>
      <c r="BI90" s="138" t="str">
        <f aca="false">IF($BX90&lt;&gt;Constants!$B$6,"",$BC90)</f>
        <v/>
      </c>
      <c r="BJ90" s="138" t="str">
        <f aca="false">IF($BX90&lt;&gt;Constants!$B$6,"",$BD90)</f>
        <v/>
      </c>
      <c r="BK90" s="140" t="str">
        <f aca="false">IF($BX90&lt;&gt;Constants!$B$6,"",IF($AL90,$AN90,""))</f>
        <v/>
      </c>
      <c r="BL90" s="135" t="str">
        <f aca="false">IF($BX90&lt;&gt;Constants!$B$6,"",IF(OR($BS90&lt;$BH90,AND($BS90=$BH90,OR($BT90&lt;$BI90,AND($BT90=$BI90,OR($BU90&lt;$BJ90,AND($BU90=$BJ90,AND(ISNUMBER($BV90),OR(NOT(ISNUMBER($BK90)),$BV90&lt;$BK90)))))))),"-&gt;","&lt;-"))</f>
        <v/>
      </c>
      <c r="BM90" s="134" t="str">
        <f aca="false">IF(ISBLANK($C90),"",AND($AT90,OR($AU90="",$AV90="",AND($AW90,$AX90=""))))</f>
        <v/>
      </c>
      <c r="BN90" s="137" t="str">
        <f aca="false">IF($BX90&lt;&gt;Constants!$B$6,"",IF($AT90,Constants!$B$17*$AV90+Constants!$B$18*IF($AW90,$AX90,Constants!$B$19),Constants!$B$20))</f>
        <v/>
      </c>
      <c r="BO90" s="138" t="str">
        <f aca="false">IF($BX90&lt;&gt;Constants!$B$6,"",Constants!$B$21*ABS($AD$9-IF($AT90,$AU90,0)))</f>
        <v/>
      </c>
      <c r="BP90" s="138" t="str">
        <f aca="false">IF($BX90&lt;&gt;Constants!$B$6,"",IF(AND($AT90,$AY90,$AW90),Constants!$B$22,0))</f>
        <v/>
      </c>
      <c r="BQ90" s="138" t="str">
        <f aca="false">IF($BX90&lt;&gt;Constants!$B$6,"",IF($AT90,($AI90-Constants!$B$24)*Constants!$B$23,0))</f>
        <v/>
      </c>
      <c r="BR90" s="138" t="str">
        <f aca="false">IF($BX90&lt;&gt;Constants!$B$6,"",IF($AS90,0,Constants!$B$12)+IF($AR90,0,Constants!$B$13)+IF($AH90,0,Constants!$B$14))</f>
        <v/>
      </c>
      <c r="BS90" s="139" t="str">
        <f aca="false">IF($BX90&lt;&gt;Constants!$B$6,"",Constants!$B$16+SUM($BN90:$BR90))</f>
        <v/>
      </c>
      <c r="BT90" s="138" t="str">
        <f aca="false">IF($BX90&lt;&gt;Constants!$B$6,"",$BN90)</f>
        <v/>
      </c>
      <c r="BU90" s="138" t="str">
        <f aca="false">IF($BX90&lt;&gt;Constants!$B$6,"",$BO90)</f>
        <v/>
      </c>
      <c r="BV90" s="140" t="str">
        <f aca="false">IF($BX90&lt;&gt;Constants!$B$6,"",IF($AT90,$AV90,""))</f>
        <v/>
      </c>
      <c r="BW90" s="135" t="str">
        <f aca="false">IF(ISBLANK($C90),"",IF(ISBLANK($D$7),$BW$5,IF(NOT(ISNUMBER($D$7)),$BW$6,"")))</f>
        <v/>
      </c>
      <c r="BX90" s="135" t="str">
        <f aca="false">IF(ISBLANK($C90),"",IF($BA90,Constants!$B$9,IF(COUNTA($E90:$AA90)=0,Constants!$B$8,IF(NOT($AG90),Constants!$B$7,IF(OR($BW90&lt;&gt;"",$BB90,$BM90),Constants!$B$10,Constants!$B$6)))))</f>
        <v/>
      </c>
      <c r="BY90" s="135" t="str">
        <f aca="false">IF(ISBLANK($C90),"",IF($BX90&lt;&gt;Constants!$B$6,$BX90,Constants!$B$11))</f>
        <v/>
      </c>
      <c r="BZ90" s="138" t="str">
        <f aca="false">IF($BX90&lt;&gt;Constants!$B$6,"",IF($BL90="-&gt;",$BS90,$BH90))</f>
        <v/>
      </c>
      <c r="CA90" s="138" t="str">
        <f aca="false">IF($BX90&lt;&gt;Constants!$B$6,"",IF($AF90,0,Constants!$B$15))</f>
        <v/>
      </c>
      <c r="CB90" s="138" t="str">
        <f aca="false">IF($BX90&lt;&gt;Constants!$B$6,"",((Constants!$B$25-$AZ90)-Constants!$B$25)/Constants!$B$26)</f>
        <v/>
      </c>
      <c r="CC90" s="138" t="str">
        <f aca="false">IF(ISBLANK($C90),"",IF($BX90&lt;&gt;Constants!$B$6,$BX90,SUM($BZ90:$CB90)))</f>
        <v/>
      </c>
      <c r="CD90" s="135" t="str">
        <f aca="false">IF(ISBLANK($C90),"",IF($BX90&lt;&gt;Constants!$B$6,$BX90,RANK($CC90,$CC$9:$CC$508,1)))</f>
        <v/>
      </c>
      <c r="CE90" s="138" t="str">
        <f aca="false">IF($BX90&lt;&gt;Constants!$B$6,"",IF($BL90="-&gt;",$BT90,$BI90))</f>
        <v/>
      </c>
      <c r="CF90" s="135" t="str">
        <f aca="false">IF(ISBLANK($C90),"",IF($BX90&lt;&gt;Constants!$B$6,$BX90,IF(ISNUMBER($CE90),RANK($CE90,$CE$9:$CE$508,1),COUNT($CE$9:$CE$508)+1)))</f>
        <v/>
      </c>
      <c r="CG90" s="138" t="str">
        <f aca="false">IF($BX90&lt;&gt;Constants!$B$6,"",IF($BL90="-&gt;",$BU90,$BJ90))</f>
        <v/>
      </c>
      <c r="CH90" s="135" t="str">
        <f aca="false">IF(ISBLANK($C90),"",IF($BX90&lt;&gt;Constants!$B$6,$BX90,IF(ISNUMBER($CG90),RANK($CG90,$CG$9:$CG$508,1),COUNT($CG$9:$CG$508)+1)))</f>
        <v/>
      </c>
      <c r="CI90" s="138" t="str">
        <f aca="false">IF($BX90&lt;&gt;Constants!$B$6,"",IF($BL90="-&gt;",$BV90,$BK90))</f>
        <v/>
      </c>
      <c r="CJ90" s="135" t="str">
        <f aca="false">IF(ISBLANK($C90),"",IF($BX90&lt;&gt;Constants!$B$6,$BX90,IF(ISNUMBER($CI90),RANK($CI90,$CI$9:$CI$508,1),COUNT($CI$9:$CI$508)+1)))</f>
        <v/>
      </c>
      <c r="CK90" s="138" t="str">
        <f aca="false">IF($BX90&lt;&gt;Constants!$B$6,"",$AI90)</f>
        <v/>
      </c>
      <c r="CL90" s="135" t="str">
        <f aca="false">IF(ISBLANK($C90),"",IF($BX90&lt;&gt;Constants!$B$6,$BX90,IF(ISNUMBER($CK90),RANK($CK90,$CK$9:$CK$508,1),COUNT($CK$9:$CK$508)+1)))</f>
        <v/>
      </c>
      <c r="CM90" s="135" t="str">
        <f aca="false">IF(ISBLANK($C90),"",IF($BX90&lt;&gt;Constants!$B$6,$BX90,COUNTIFS($CD$9:$CD$508,"&lt;"&amp;$CD90)+COUNTIFS($CD$9:$CD$508,$CD90,$CF$9:$CF$508,"&lt;"&amp;$CF90)+COUNTIFS($CD$9:$CD$508,$CD90,$CF$9:$CF$508,$CF90,$CH$9:$CH$508,"&lt;"&amp;$CH90)+COUNTIFS($CD$9:$CD$508,$CD90,$CF$9:$CF$508,$CF90,$CH$9:$CH$508,$CH90,$CJ$9:$CJ$508,"&lt;"&amp;$CJ90)+COUNTIFS($CD$9:$CD$508,$CD90,$CF$9:$CF$508,$CF90,$CH$9:$CH$508,$CH90,$CJ$9:$CJ$508,$CJ90,$CL$9:$CL$508,"&lt;"&amp;$CL90)+1))</f>
        <v/>
      </c>
      <c r="CN90" s="135" t="str">
        <f aca="false">IF(ISBLANK($C90),"",IF($BX90&lt;&gt;Constants!$B$6,$BX90,$CD90-$CM90))</f>
        <v/>
      </c>
      <c r="CO90" s="141"/>
      <c r="CP90" s="142"/>
      <c r="CQ90" s="143" t="str">
        <f aca="false">IF(ISBLANK($C90),"",IF($BX90=Constants!$B$10,$BW90,""))</f>
        <v/>
      </c>
      <c r="CR90" s="142" t="str">
        <f aca="false">IF(ISBLANK($C90),"",IF($BX90&lt;&gt;Constants!$B$6,"",IF($BL90="-&gt;",2,1)))</f>
        <v/>
      </c>
      <c r="CS90" s="144" t="str">
        <f aca="false">IF(ISBLANK($C90),"",IF($BX90&lt;&gt;Constants!$B$6,"",IF($BL90="-&gt;",$BN90,$BC90)))</f>
        <v/>
      </c>
      <c r="CT90" s="144" t="str">
        <f aca="false">IF(ISBLANK($C90),"",IF($BX90&lt;&gt;Constants!$B$6,"",IF($BL90="-&gt;",$BO90,$BD90)))</f>
        <v/>
      </c>
      <c r="CU90" s="144" t="str">
        <f aca="false">IF(ISBLANK($C90),"",IF($BX90&lt;&gt;Constants!$B$6,"",IF($BL90="-&gt;",$BP90+$BQ90,$BE90+$BF90)+$CB90))</f>
        <v/>
      </c>
      <c r="CV90" s="144" t="str">
        <f aca="false">IF(ISBLANK($C90),"",IF($BX90&lt;&gt;Constants!$B$6,"",IF($BL90="-&gt;",$BR90,$BG90)+$CA90))</f>
        <v/>
      </c>
      <c r="CW90" s="145" t="str">
        <f aca="false">IF(ISBLANK($C90),"",IF($BX90&lt;&gt;Constants!$B$6,$BX90,$CC90))</f>
        <v/>
      </c>
      <c r="CX90" s="146" t="str">
        <f aca="false">IF(ISBLANK($C90),"",$BY90)</f>
        <v/>
      </c>
      <c r="CY90" s="147" t="str">
        <f aca="false">IF(ISBLANK($C90),"",$CN90)</f>
        <v/>
      </c>
      <c r="CZ90" s="147" t="str">
        <f aca="false">IF(ISBLANK($C90),"",$CM90)</f>
        <v/>
      </c>
      <c r="DA90" s="148" t="str">
        <f aca="false">IF(ISBLANK($C90),"",IFERROR(_xlfn.SWITCH($CZ90,Constants!$B$9,COUNTA($C$9:$C$508)+2,Constants!$B$8,COUNTA($C$9:$C$508)+1,Constants!$B$7,COUNTA($C$9:$C$508)),$CZ90))</f>
        <v/>
      </c>
      <c r="DB90" s="9"/>
      <c r="DC90" s="149" t="n">
        <f aca="false">IF(OR(ISNUMBER($CZ90),$CZ90=Constants!$B$9,$CZ90=Constants!$B$7,$CZ90=Constants!$B$8),1,0)</f>
        <v>0</v>
      </c>
      <c r="DD90" s="149" t="n">
        <v>82</v>
      </c>
      <c r="DE90" s="149" t="str">
        <f aca="false">IF(ISBLANK($C90),"",IF(ISNUMBER($DA90),$DA90+ROW($B90)/1000,""))</f>
        <v/>
      </c>
      <c r="DF90" s="149" t="str">
        <f aca="false">IF(ISNUMBER($DE90),RANK($DE90,$DE$9:$DE$508,1),"")</f>
        <v/>
      </c>
      <c r="DG90" s="149" t="str">
        <f aca="false">IF(ISBLANK($C90),"",$B90)</f>
        <v/>
      </c>
      <c r="DH90" s="149" t="str">
        <f aca="false">IF(ISBLANK($C90),"",$C90)</f>
        <v/>
      </c>
      <c r="DI90" s="149" t="str">
        <f aca="false">IF(ISBLANK($C90),"",$D90)</f>
        <v/>
      </c>
      <c r="DJ90" s="150" t="str">
        <f aca="false">$CX90</f>
        <v/>
      </c>
      <c r="DK90" s="151" t="str">
        <f aca="false">$CW90</f>
        <v/>
      </c>
      <c r="DL90" s="149" t="str">
        <f aca="false">IF(ISBLANK($C90),"",$CZ90)</f>
        <v/>
      </c>
      <c r="DM90" s="152" t="str">
        <f aca="false">IF($DD90&gt;$DC$8,"",VLOOKUP($DD90,$DF$9:$DL$508,7,FALSE()))</f>
        <v/>
      </c>
      <c r="DN90" s="153" t="str">
        <f aca="false">IF($DD90&gt;$DC$8,"",VLOOKUP($DD90,$DF$9:$DL$508,2,FALSE()))</f>
        <v/>
      </c>
      <c r="DO90" s="153" t="str">
        <f aca="false">IF($DD90&gt;$DC$8,"",VLOOKUP($DD90,$DF$9:$DL$508,3,FALSE()))</f>
        <v/>
      </c>
      <c r="DP90" s="153" t="str">
        <f aca="false">IF($DD90&gt;$DC$8,"",VLOOKUP($DD90,$DF$9:$DL$508,4,FALSE()))</f>
        <v/>
      </c>
      <c r="DQ90" s="153" t="str">
        <f aca="false">IF($DD90&gt;$DC$8,"",VLOOKUP($DD90,$DF$9:$DL$508,5,FALSE()))</f>
        <v/>
      </c>
      <c r="DR90" s="154" t="str">
        <f aca="false">IF($DD90&gt;$DC$8,"",VLOOKUP($DD90,$DF$9:$DL$508,6,FALSE()))</f>
        <v/>
      </c>
      <c r="DS90" s="76"/>
    </row>
    <row r="91" customFormat="false" ht="15.75" hidden="false" customHeight="false" outlineLevel="0" collapsed="false">
      <c r="A91" s="9"/>
      <c r="B91" s="160"/>
      <c r="C91" s="161"/>
      <c r="D91" s="162"/>
      <c r="E91" s="180"/>
      <c r="F91" s="164"/>
      <c r="G91" s="165"/>
      <c r="H91" s="165"/>
      <c r="I91" s="181"/>
      <c r="J91" s="168"/>
      <c r="K91" s="128"/>
      <c r="L91" s="129"/>
      <c r="M91" s="130"/>
      <c r="N91" s="168"/>
      <c r="O91" s="168"/>
      <c r="P91" s="180"/>
      <c r="Q91" s="168"/>
      <c r="R91" s="168"/>
      <c r="S91" s="128"/>
      <c r="T91" s="130"/>
      <c r="U91" s="130"/>
      <c r="V91" s="168"/>
      <c r="W91" s="168"/>
      <c r="X91" s="180"/>
      <c r="Y91" s="168"/>
      <c r="Z91" s="169"/>
      <c r="AA91" s="168"/>
      <c r="AB91" s="134"/>
      <c r="AC91" s="135"/>
      <c r="AD91" s="135"/>
      <c r="AE91" s="135"/>
      <c r="AF91" s="135" t="str">
        <f aca="false">IF(ISBLANK($C91),"",IF(E91=Constants!$B$2,TRUE(),IF(E91=Constants!$B$3,FALSE(),TRUE())))</f>
        <v/>
      </c>
      <c r="AG91" s="135" t="str">
        <f aca="false">IF(ISBLANK($C91),"",IF(F91=Constants!$B$2,TRUE(),IF(F91=Constants!$B$3,FALSE(),TRUE())))</f>
        <v/>
      </c>
      <c r="AH91" s="135" t="str">
        <f aca="false">IF(ISBLANK($C91),"",IF(G91=Constants!$B$2,TRUE(),IF(G91=Constants!$B$3,FALSE(),TRUE())))</f>
        <v/>
      </c>
      <c r="AI91" s="135" t="str">
        <f aca="false">IF(ISBLANK($C91),"",IF(AND(ISNUMBER(H91),H91&gt;=0),H91,Constants!$B$24))</f>
        <v/>
      </c>
      <c r="AJ91" s="135" t="str">
        <f aca="false">IF(ISBLANK($C91),"",IF(I91=Constants!$B$2,TRUE(),IF(I91=Constants!$B$3,FALSE(),TRUE())))</f>
        <v/>
      </c>
      <c r="AK91" s="135" t="str">
        <f aca="false">IF(ISBLANK($C91),"",IF(J91=Constants!$B$2,TRUE(),IF(J91=Constants!$B$3,FALSE(),TRUE())))</f>
        <v/>
      </c>
      <c r="AL91" s="135" t="str">
        <f aca="false">IF(ISBLANK($C91),"",IF(K91=Constants!$B$4,TRUE(),IF(K91=Constants!$B$5,FALSE(),COUNTA(L91:P91)&gt;0)))</f>
        <v/>
      </c>
      <c r="AM91" s="136" t="str">
        <f aca="false">IF(ISBLANK($C91),"",IF(ISNUMBER(L91),IF(L91&gt;=0,L91,""),""))</f>
        <v/>
      </c>
      <c r="AN91" s="137" t="str">
        <f aca="false">IF(ISBLANK($C91),"",IF(ISNUMBER(M91),IF(M91&gt;=0,M91,""),""))</f>
        <v/>
      </c>
      <c r="AO91" s="137" t="str">
        <f aca="false">IF(ISBLANK($C91),"",IF(N91=Constants!$B$2,TRUE(),IF(N91=Constants!$B$3,FALSE(),TRUE())))</f>
        <v/>
      </c>
      <c r="AP91" s="135" t="str">
        <f aca="false">IF(ISBLANK($C91),"",IF(ISNUMBER(O91),IF(O91&gt;=0,O91,""),""))</f>
        <v/>
      </c>
      <c r="AQ91" s="135" t="str">
        <f aca="false">IF(ISBLANK($C91),"",IF(P91=Constants!$B$2,TRUE(),IF(P91=Constants!$B$3,FALSE(),FALSE())))</f>
        <v/>
      </c>
      <c r="AR91" s="135" t="str">
        <f aca="false">IF(ISBLANK($C91),"",IF(Q91=Constants!$B$2,TRUE(),IF(Q91=Constants!$B$3,FALSE(),TRUE())))</f>
        <v/>
      </c>
      <c r="AS91" s="135" t="str">
        <f aca="false">IF(ISBLANK($C91),"",IF(R91=Constants!$B$2,TRUE(),IF(R91=Constants!$B$3,FALSE(),TRUE())))</f>
        <v/>
      </c>
      <c r="AT91" s="135" t="str">
        <f aca="false">IF(ISBLANK($C91),"",IF(S91=Constants!$B$4,TRUE(),IF(S91=Constants!$B$5,FALSE(),COUNTA(T91:X91)&gt;0)))</f>
        <v/>
      </c>
      <c r="AU91" s="136" t="str">
        <f aca="false">IF(ISBLANK($C91),"",IF(ISNUMBER(T91),IF(T91&gt;=0,T91,""),""))</f>
        <v/>
      </c>
      <c r="AV91" s="137" t="str">
        <f aca="false">IF(ISBLANK($C91),"",IF(ISNUMBER(U91),IF(U91&gt;=0,U91,""),""))</f>
        <v/>
      </c>
      <c r="AW91" s="137" t="str">
        <f aca="false">IF(ISBLANK($C91),"",IF(V91=Constants!$B$2,TRUE(),IF(V91=Constants!$B$3,FALSE(),TRUE())))</f>
        <v/>
      </c>
      <c r="AX91" s="135" t="str">
        <f aca="false">IF(ISBLANK($C91),"",IF(ISNUMBER(W91),IF(W91&gt;=0,W91,""),""))</f>
        <v/>
      </c>
      <c r="AY91" s="135" t="str">
        <f aca="false">IF(ISBLANK($C91),"",IF(X91=Constants!$B$2,TRUE(),IF(X91=Constants!$B$3,FALSE(),FALSE())))</f>
        <v/>
      </c>
      <c r="AZ91" s="135" t="str">
        <f aca="false">IF(ISBLANK($C91),"",MIN(Constants!$B$25,MAX(0,IF(ISNUMBER(Y91),Y91*60,0)+IF(ISNUMBER(Z91),Z91,0))))</f>
        <v/>
      </c>
      <c r="BA91" s="135" t="str">
        <f aca="false">IF(ISBLANK($C91),"",IF(AA91=Constants!$B$2,TRUE(),IF(AA91=Constants!$B$3,FALSE(),FALSE())))</f>
        <v/>
      </c>
      <c r="BB91" s="134" t="str">
        <f aca="false">IF(ISBLANK($C91),"",AND($AL91,OR($AM91="",$AN91="",AND($AO91,$AP91=""))))</f>
        <v/>
      </c>
      <c r="BC91" s="137" t="str">
        <f aca="false">IF($BX91&lt;&gt;Constants!$B$6,"",IF($AL91,Constants!$B$17*$AN91+Constants!$B$18*IF($AO91,$AP91,Constants!$B$19),Constants!$B$20))</f>
        <v/>
      </c>
      <c r="BD91" s="138" t="str">
        <f aca="false">IF($BX91&lt;&gt;Constants!$B$6,"",Constants!$B$21*ABS($AD$9-IF($AL91,$AM91,0)))</f>
        <v/>
      </c>
      <c r="BE91" s="138" t="str">
        <f aca="false">IF($BX91&lt;&gt;Constants!$B$6,"",IF(AND($AL91,$AQ91,$AO91),Constants!$B$22,0))</f>
        <v/>
      </c>
      <c r="BF91" s="138" t="str">
        <f aca="false">IF($BX91&lt;&gt;Constants!$B$6,"",IF($AL91,($AI91-Constants!$B$24)*Constants!$B$23,0))</f>
        <v/>
      </c>
      <c r="BG91" s="138" t="str">
        <f aca="false">IF($BX91&lt;&gt;Constants!$B$6,"",IF($AK91,0,Constants!$B$12)+IF($AJ91,0,Constants!$B$13)+IF($AH91,0,Constants!$B$14))</f>
        <v/>
      </c>
      <c r="BH91" s="139" t="str">
        <f aca="false">IF($BX91&lt;&gt;Constants!$B$6,"",Constants!$B$16+SUM($BC91:$BG91))</f>
        <v/>
      </c>
      <c r="BI91" s="138" t="str">
        <f aca="false">IF($BX91&lt;&gt;Constants!$B$6,"",$BC91)</f>
        <v/>
      </c>
      <c r="BJ91" s="138" t="str">
        <f aca="false">IF($BX91&lt;&gt;Constants!$B$6,"",$BD91)</f>
        <v/>
      </c>
      <c r="BK91" s="140" t="str">
        <f aca="false">IF($BX91&lt;&gt;Constants!$B$6,"",IF($AL91,$AN91,""))</f>
        <v/>
      </c>
      <c r="BL91" s="135" t="str">
        <f aca="false">IF($BX91&lt;&gt;Constants!$B$6,"",IF(OR($BS91&lt;$BH91,AND($BS91=$BH91,OR($BT91&lt;$BI91,AND($BT91=$BI91,OR($BU91&lt;$BJ91,AND($BU91=$BJ91,AND(ISNUMBER($BV91),OR(NOT(ISNUMBER($BK91)),$BV91&lt;$BK91)))))))),"-&gt;","&lt;-"))</f>
        <v/>
      </c>
      <c r="BM91" s="134" t="str">
        <f aca="false">IF(ISBLANK($C91),"",AND($AT91,OR($AU91="",$AV91="",AND($AW91,$AX91=""))))</f>
        <v/>
      </c>
      <c r="BN91" s="137" t="str">
        <f aca="false">IF($BX91&lt;&gt;Constants!$B$6,"",IF($AT91,Constants!$B$17*$AV91+Constants!$B$18*IF($AW91,$AX91,Constants!$B$19),Constants!$B$20))</f>
        <v/>
      </c>
      <c r="BO91" s="138" t="str">
        <f aca="false">IF($BX91&lt;&gt;Constants!$B$6,"",Constants!$B$21*ABS($AD$9-IF($AT91,$AU91,0)))</f>
        <v/>
      </c>
      <c r="BP91" s="138" t="str">
        <f aca="false">IF($BX91&lt;&gt;Constants!$B$6,"",IF(AND($AT91,$AY91,$AW91),Constants!$B$22,0))</f>
        <v/>
      </c>
      <c r="BQ91" s="138" t="str">
        <f aca="false">IF($BX91&lt;&gt;Constants!$B$6,"",IF($AT91,($AI91-Constants!$B$24)*Constants!$B$23,0))</f>
        <v/>
      </c>
      <c r="BR91" s="138" t="str">
        <f aca="false">IF($BX91&lt;&gt;Constants!$B$6,"",IF($AS91,0,Constants!$B$12)+IF($AR91,0,Constants!$B$13)+IF($AH91,0,Constants!$B$14))</f>
        <v/>
      </c>
      <c r="BS91" s="139" t="str">
        <f aca="false">IF($BX91&lt;&gt;Constants!$B$6,"",Constants!$B$16+SUM($BN91:$BR91))</f>
        <v/>
      </c>
      <c r="BT91" s="138" t="str">
        <f aca="false">IF($BX91&lt;&gt;Constants!$B$6,"",$BN91)</f>
        <v/>
      </c>
      <c r="BU91" s="138" t="str">
        <f aca="false">IF($BX91&lt;&gt;Constants!$B$6,"",$BO91)</f>
        <v/>
      </c>
      <c r="BV91" s="140" t="str">
        <f aca="false">IF($BX91&lt;&gt;Constants!$B$6,"",IF($AT91,$AV91,""))</f>
        <v/>
      </c>
      <c r="BW91" s="135" t="str">
        <f aca="false">IF(ISBLANK($C91),"",IF(ISBLANK($D$7),$BW$5,IF(NOT(ISNUMBER($D$7)),$BW$6,"")))</f>
        <v/>
      </c>
      <c r="BX91" s="135" t="str">
        <f aca="false">IF(ISBLANK($C91),"",IF($BA91,Constants!$B$9,IF(COUNTA($E91:$AA91)=0,Constants!$B$8,IF(NOT($AG91),Constants!$B$7,IF(OR($BW91&lt;&gt;"",$BB91,$BM91),Constants!$B$10,Constants!$B$6)))))</f>
        <v/>
      </c>
      <c r="BY91" s="135" t="str">
        <f aca="false">IF(ISBLANK($C91),"",IF($BX91&lt;&gt;Constants!$B$6,$BX91,Constants!$B$11))</f>
        <v/>
      </c>
      <c r="BZ91" s="138" t="str">
        <f aca="false">IF($BX91&lt;&gt;Constants!$B$6,"",IF($BL91="-&gt;",$BS91,$BH91))</f>
        <v/>
      </c>
      <c r="CA91" s="138" t="str">
        <f aca="false">IF($BX91&lt;&gt;Constants!$B$6,"",IF($AF91,0,Constants!$B$15))</f>
        <v/>
      </c>
      <c r="CB91" s="138" t="str">
        <f aca="false">IF($BX91&lt;&gt;Constants!$B$6,"",((Constants!$B$25-$AZ91)-Constants!$B$25)/Constants!$B$26)</f>
        <v/>
      </c>
      <c r="CC91" s="138" t="str">
        <f aca="false">IF(ISBLANK($C91),"",IF($BX91&lt;&gt;Constants!$B$6,$BX91,SUM($BZ91:$CB91)))</f>
        <v/>
      </c>
      <c r="CD91" s="135" t="str">
        <f aca="false">IF(ISBLANK($C91),"",IF($BX91&lt;&gt;Constants!$B$6,$BX91,RANK($CC91,$CC$9:$CC$508,1)))</f>
        <v/>
      </c>
      <c r="CE91" s="138" t="str">
        <f aca="false">IF($BX91&lt;&gt;Constants!$B$6,"",IF($BL91="-&gt;",$BT91,$BI91))</f>
        <v/>
      </c>
      <c r="CF91" s="135" t="str">
        <f aca="false">IF(ISBLANK($C91),"",IF($BX91&lt;&gt;Constants!$B$6,$BX91,IF(ISNUMBER($CE91),RANK($CE91,$CE$9:$CE$508,1),COUNT($CE$9:$CE$508)+1)))</f>
        <v/>
      </c>
      <c r="CG91" s="138" t="str">
        <f aca="false">IF($BX91&lt;&gt;Constants!$B$6,"",IF($BL91="-&gt;",$BU91,$BJ91))</f>
        <v/>
      </c>
      <c r="CH91" s="135" t="str">
        <f aca="false">IF(ISBLANK($C91),"",IF($BX91&lt;&gt;Constants!$B$6,$BX91,IF(ISNUMBER($CG91),RANK($CG91,$CG$9:$CG$508,1),COUNT($CG$9:$CG$508)+1)))</f>
        <v/>
      </c>
      <c r="CI91" s="138" t="str">
        <f aca="false">IF($BX91&lt;&gt;Constants!$B$6,"",IF($BL91="-&gt;",$BV91,$BK91))</f>
        <v/>
      </c>
      <c r="CJ91" s="135" t="str">
        <f aca="false">IF(ISBLANK($C91),"",IF($BX91&lt;&gt;Constants!$B$6,$BX91,IF(ISNUMBER($CI91),RANK($CI91,$CI$9:$CI$508,1),COUNT($CI$9:$CI$508)+1)))</f>
        <v/>
      </c>
      <c r="CK91" s="138" t="str">
        <f aca="false">IF($BX91&lt;&gt;Constants!$B$6,"",$AI91)</f>
        <v/>
      </c>
      <c r="CL91" s="135" t="str">
        <f aca="false">IF(ISBLANK($C91),"",IF($BX91&lt;&gt;Constants!$B$6,$BX91,IF(ISNUMBER($CK91),RANK($CK91,$CK$9:$CK$508,1),COUNT($CK$9:$CK$508)+1)))</f>
        <v/>
      </c>
      <c r="CM91" s="135" t="str">
        <f aca="false">IF(ISBLANK($C91),"",IF($BX91&lt;&gt;Constants!$B$6,$BX91,COUNTIFS($CD$9:$CD$508,"&lt;"&amp;$CD91)+COUNTIFS($CD$9:$CD$508,$CD91,$CF$9:$CF$508,"&lt;"&amp;$CF91)+COUNTIFS($CD$9:$CD$508,$CD91,$CF$9:$CF$508,$CF91,$CH$9:$CH$508,"&lt;"&amp;$CH91)+COUNTIFS($CD$9:$CD$508,$CD91,$CF$9:$CF$508,$CF91,$CH$9:$CH$508,$CH91,$CJ$9:$CJ$508,"&lt;"&amp;$CJ91)+COUNTIFS($CD$9:$CD$508,$CD91,$CF$9:$CF$508,$CF91,$CH$9:$CH$508,$CH91,$CJ$9:$CJ$508,$CJ91,$CL$9:$CL$508,"&lt;"&amp;$CL91)+1))</f>
        <v/>
      </c>
      <c r="CN91" s="135" t="str">
        <f aca="false">IF(ISBLANK($C91),"",IF($BX91&lt;&gt;Constants!$B$6,$BX91,$CD91-$CM91))</f>
        <v/>
      </c>
      <c r="CO91" s="141"/>
      <c r="CP91" s="142"/>
      <c r="CQ91" s="143" t="str">
        <f aca="false">IF(ISBLANK($C91),"",IF($BX91=Constants!$B$10,$BW91,""))</f>
        <v/>
      </c>
      <c r="CR91" s="142" t="str">
        <f aca="false">IF(ISBLANK($C91),"",IF($BX91&lt;&gt;Constants!$B$6,"",IF($BL91="-&gt;",2,1)))</f>
        <v/>
      </c>
      <c r="CS91" s="144" t="str">
        <f aca="false">IF(ISBLANK($C91),"",IF($BX91&lt;&gt;Constants!$B$6,"",IF($BL91="-&gt;",$BN91,$BC91)))</f>
        <v/>
      </c>
      <c r="CT91" s="144" t="str">
        <f aca="false">IF(ISBLANK($C91),"",IF($BX91&lt;&gt;Constants!$B$6,"",IF($BL91="-&gt;",$BO91,$BD91)))</f>
        <v/>
      </c>
      <c r="CU91" s="144" t="str">
        <f aca="false">IF(ISBLANK($C91),"",IF($BX91&lt;&gt;Constants!$B$6,"",IF($BL91="-&gt;",$BP91+$BQ91,$BE91+$BF91)+$CB91))</f>
        <v/>
      </c>
      <c r="CV91" s="144" t="str">
        <f aca="false">IF(ISBLANK($C91),"",IF($BX91&lt;&gt;Constants!$B$6,"",IF($BL91="-&gt;",$BR91,$BG91)+$CA91))</f>
        <v/>
      </c>
      <c r="CW91" s="145" t="str">
        <f aca="false">IF(ISBLANK($C91),"",IF($BX91&lt;&gt;Constants!$B$6,$BX91,$CC91))</f>
        <v/>
      </c>
      <c r="CX91" s="146" t="str">
        <f aca="false">IF(ISBLANK($C91),"",$BY91)</f>
        <v/>
      </c>
      <c r="CY91" s="147" t="str">
        <f aca="false">IF(ISBLANK($C91),"",$CN91)</f>
        <v/>
      </c>
      <c r="CZ91" s="147" t="str">
        <f aca="false">IF(ISBLANK($C91),"",$CM91)</f>
        <v/>
      </c>
      <c r="DA91" s="148" t="str">
        <f aca="false">IF(ISBLANK($C91),"",IFERROR(_xlfn.SWITCH($CZ91,Constants!$B$9,COUNTA($C$9:$C$508)+2,Constants!$B$8,COUNTA($C$9:$C$508)+1,Constants!$B$7,COUNTA($C$9:$C$508)),$CZ91))</f>
        <v/>
      </c>
      <c r="DB91" s="9"/>
      <c r="DC91" s="149" t="n">
        <f aca="false">IF(OR(ISNUMBER($CZ91),$CZ91=Constants!$B$9,$CZ91=Constants!$B$7,$CZ91=Constants!$B$8),1,0)</f>
        <v>0</v>
      </c>
      <c r="DD91" s="149" t="n">
        <v>83</v>
      </c>
      <c r="DE91" s="149" t="str">
        <f aca="false">IF(ISBLANK($C91),"",IF(ISNUMBER($DA91),$DA91+ROW($B91)/1000,""))</f>
        <v/>
      </c>
      <c r="DF91" s="149" t="str">
        <f aca="false">IF(ISNUMBER($DE91),RANK($DE91,$DE$9:$DE$508,1),"")</f>
        <v/>
      </c>
      <c r="DG91" s="149" t="str">
        <f aca="false">IF(ISBLANK($C91),"",$B91)</f>
        <v/>
      </c>
      <c r="DH91" s="149" t="str">
        <f aca="false">IF(ISBLANK($C91),"",$C91)</f>
        <v/>
      </c>
      <c r="DI91" s="149" t="str">
        <f aca="false">IF(ISBLANK($C91),"",$D91)</f>
        <v/>
      </c>
      <c r="DJ91" s="150" t="str">
        <f aca="false">$CX91</f>
        <v/>
      </c>
      <c r="DK91" s="151" t="str">
        <f aca="false">$CW91</f>
        <v/>
      </c>
      <c r="DL91" s="149" t="str">
        <f aca="false">IF(ISBLANK($C91),"",$CZ91)</f>
        <v/>
      </c>
      <c r="DM91" s="152" t="str">
        <f aca="false">IF($DD91&gt;$DC$8,"",VLOOKUP($DD91,$DF$9:$DL$508,7,FALSE()))</f>
        <v/>
      </c>
      <c r="DN91" s="153" t="str">
        <f aca="false">IF($DD91&gt;$DC$8,"",VLOOKUP($DD91,$DF$9:$DL$508,2,FALSE()))</f>
        <v/>
      </c>
      <c r="DO91" s="153" t="str">
        <f aca="false">IF($DD91&gt;$DC$8,"",VLOOKUP($DD91,$DF$9:$DL$508,3,FALSE()))</f>
        <v/>
      </c>
      <c r="DP91" s="153" t="str">
        <f aca="false">IF($DD91&gt;$DC$8,"",VLOOKUP($DD91,$DF$9:$DL$508,4,FALSE()))</f>
        <v/>
      </c>
      <c r="DQ91" s="153" t="str">
        <f aca="false">IF($DD91&gt;$DC$8,"",VLOOKUP($DD91,$DF$9:$DL$508,5,FALSE()))</f>
        <v/>
      </c>
      <c r="DR91" s="154" t="str">
        <f aca="false">IF($DD91&gt;$DC$8,"",VLOOKUP($DD91,$DF$9:$DL$508,6,FALSE()))</f>
        <v/>
      </c>
      <c r="DS91" s="76"/>
    </row>
    <row r="92" customFormat="false" ht="15.75" hidden="false" customHeight="false" outlineLevel="0" collapsed="false">
      <c r="A92" s="9"/>
      <c r="B92" s="160"/>
      <c r="C92" s="161"/>
      <c r="D92" s="162"/>
      <c r="E92" s="180"/>
      <c r="F92" s="164"/>
      <c r="G92" s="165"/>
      <c r="H92" s="165"/>
      <c r="I92" s="181"/>
      <c r="J92" s="168"/>
      <c r="K92" s="128"/>
      <c r="L92" s="129"/>
      <c r="M92" s="130"/>
      <c r="N92" s="168"/>
      <c r="O92" s="168"/>
      <c r="P92" s="180"/>
      <c r="Q92" s="168"/>
      <c r="R92" s="168"/>
      <c r="S92" s="128"/>
      <c r="T92" s="130"/>
      <c r="U92" s="130"/>
      <c r="V92" s="168"/>
      <c r="W92" s="168"/>
      <c r="X92" s="180"/>
      <c r="Y92" s="168"/>
      <c r="Z92" s="169"/>
      <c r="AA92" s="168"/>
      <c r="AB92" s="134"/>
      <c r="AC92" s="135"/>
      <c r="AD92" s="135"/>
      <c r="AE92" s="135"/>
      <c r="AF92" s="135" t="str">
        <f aca="false">IF(ISBLANK($C92),"",IF(E92=Constants!$B$2,TRUE(),IF(E92=Constants!$B$3,FALSE(),TRUE())))</f>
        <v/>
      </c>
      <c r="AG92" s="135" t="str">
        <f aca="false">IF(ISBLANK($C92),"",IF(F92=Constants!$B$2,TRUE(),IF(F92=Constants!$B$3,FALSE(),TRUE())))</f>
        <v/>
      </c>
      <c r="AH92" s="135" t="str">
        <f aca="false">IF(ISBLANK($C92),"",IF(G92=Constants!$B$2,TRUE(),IF(G92=Constants!$B$3,FALSE(),TRUE())))</f>
        <v/>
      </c>
      <c r="AI92" s="135" t="str">
        <f aca="false">IF(ISBLANK($C92),"",IF(AND(ISNUMBER(H92),H92&gt;=0),H92,Constants!$B$24))</f>
        <v/>
      </c>
      <c r="AJ92" s="135" t="str">
        <f aca="false">IF(ISBLANK($C92),"",IF(I92=Constants!$B$2,TRUE(),IF(I92=Constants!$B$3,FALSE(),TRUE())))</f>
        <v/>
      </c>
      <c r="AK92" s="135" t="str">
        <f aca="false">IF(ISBLANK($C92),"",IF(J92=Constants!$B$2,TRUE(),IF(J92=Constants!$B$3,FALSE(),TRUE())))</f>
        <v/>
      </c>
      <c r="AL92" s="135" t="str">
        <f aca="false">IF(ISBLANK($C92),"",IF(K92=Constants!$B$4,TRUE(),IF(K92=Constants!$B$5,FALSE(),COUNTA(L92:P92)&gt;0)))</f>
        <v/>
      </c>
      <c r="AM92" s="136" t="str">
        <f aca="false">IF(ISBLANK($C92),"",IF(ISNUMBER(L92),IF(L92&gt;=0,L92,""),""))</f>
        <v/>
      </c>
      <c r="AN92" s="137" t="str">
        <f aca="false">IF(ISBLANK($C92),"",IF(ISNUMBER(M92),IF(M92&gt;=0,M92,""),""))</f>
        <v/>
      </c>
      <c r="AO92" s="137" t="str">
        <f aca="false">IF(ISBLANK($C92),"",IF(N92=Constants!$B$2,TRUE(),IF(N92=Constants!$B$3,FALSE(),TRUE())))</f>
        <v/>
      </c>
      <c r="AP92" s="135" t="str">
        <f aca="false">IF(ISBLANK($C92),"",IF(ISNUMBER(O92),IF(O92&gt;=0,O92,""),""))</f>
        <v/>
      </c>
      <c r="AQ92" s="135" t="str">
        <f aca="false">IF(ISBLANK($C92),"",IF(P92=Constants!$B$2,TRUE(),IF(P92=Constants!$B$3,FALSE(),FALSE())))</f>
        <v/>
      </c>
      <c r="AR92" s="135" t="str">
        <f aca="false">IF(ISBLANK($C92),"",IF(Q92=Constants!$B$2,TRUE(),IF(Q92=Constants!$B$3,FALSE(),TRUE())))</f>
        <v/>
      </c>
      <c r="AS92" s="135" t="str">
        <f aca="false">IF(ISBLANK($C92),"",IF(R92=Constants!$B$2,TRUE(),IF(R92=Constants!$B$3,FALSE(),TRUE())))</f>
        <v/>
      </c>
      <c r="AT92" s="135" t="str">
        <f aca="false">IF(ISBLANK($C92),"",IF(S92=Constants!$B$4,TRUE(),IF(S92=Constants!$B$5,FALSE(),COUNTA(T92:X92)&gt;0)))</f>
        <v/>
      </c>
      <c r="AU92" s="136" t="str">
        <f aca="false">IF(ISBLANK($C92),"",IF(ISNUMBER(T92),IF(T92&gt;=0,T92,""),""))</f>
        <v/>
      </c>
      <c r="AV92" s="137" t="str">
        <f aca="false">IF(ISBLANK($C92),"",IF(ISNUMBER(U92),IF(U92&gt;=0,U92,""),""))</f>
        <v/>
      </c>
      <c r="AW92" s="137" t="str">
        <f aca="false">IF(ISBLANK($C92),"",IF(V92=Constants!$B$2,TRUE(),IF(V92=Constants!$B$3,FALSE(),TRUE())))</f>
        <v/>
      </c>
      <c r="AX92" s="135" t="str">
        <f aca="false">IF(ISBLANK($C92),"",IF(ISNUMBER(W92),IF(W92&gt;=0,W92,""),""))</f>
        <v/>
      </c>
      <c r="AY92" s="135" t="str">
        <f aca="false">IF(ISBLANK($C92),"",IF(X92=Constants!$B$2,TRUE(),IF(X92=Constants!$B$3,FALSE(),FALSE())))</f>
        <v/>
      </c>
      <c r="AZ92" s="135" t="str">
        <f aca="false">IF(ISBLANK($C92),"",MIN(Constants!$B$25,MAX(0,IF(ISNUMBER(Y92),Y92*60,0)+IF(ISNUMBER(Z92),Z92,0))))</f>
        <v/>
      </c>
      <c r="BA92" s="135" t="str">
        <f aca="false">IF(ISBLANK($C92),"",IF(AA92=Constants!$B$2,TRUE(),IF(AA92=Constants!$B$3,FALSE(),FALSE())))</f>
        <v/>
      </c>
      <c r="BB92" s="134" t="str">
        <f aca="false">IF(ISBLANK($C92),"",AND($AL92,OR($AM92="",$AN92="",AND($AO92,$AP92=""))))</f>
        <v/>
      </c>
      <c r="BC92" s="137" t="str">
        <f aca="false">IF($BX92&lt;&gt;Constants!$B$6,"",IF($AL92,Constants!$B$17*$AN92+Constants!$B$18*IF($AO92,$AP92,Constants!$B$19),Constants!$B$20))</f>
        <v/>
      </c>
      <c r="BD92" s="138" t="str">
        <f aca="false">IF($BX92&lt;&gt;Constants!$B$6,"",Constants!$B$21*ABS($AD$9-IF($AL92,$AM92,0)))</f>
        <v/>
      </c>
      <c r="BE92" s="138" t="str">
        <f aca="false">IF($BX92&lt;&gt;Constants!$B$6,"",IF(AND($AL92,$AQ92,$AO92),Constants!$B$22,0))</f>
        <v/>
      </c>
      <c r="BF92" s="138" t="str">
        <f aca="false">IF($BX92&lt;&gt;Constants!$B$6,"",IF($AL92,($AI92-Constants!$B$24)*Constants!$B$23,0))</f>
        <v/>
      </c>
      <c r="BG92" s="138" t="str">
        <f aca="false">IF($BX92&lt;&gt;Constants!$B$6,"",IF($AK92,0,Constants!$B$12)+IF($AJ92,0,Constants!$B$13)+IF($AH92,0,Constants!$B$14))</f>
        <v/>
      </c>
      <c r="BH92" s="139" t="str">
        <f aca="false">IF($BX92&lt;&gt;Constants!$B$6,"",Constants!$B$16+SUM($BC92:$BG92))</f>
        <v/>
      </c>
      <c r="BI92" s="138" t="str">
        <f aca="false">IF($BX92&lt;&gt;Constants!$B$6,"",$BC92)</f>
        <v/>
      </c>
      <c r="BJ92" s="138" t="str">
        <f aca="false">IF($BX92&lt;&gt;Constants!$B$6,"",$BD92)</f>
        <v/>
      </c>
      <c r="BK92" s="140" t="str">
        <f aca="false">IF($BX92&lt;&gt;Constants!$B$6,"",IF($AL92,$AN92,""))</f>
        <v/>
      </c>
      <c r="BL92" s="135" t="str">
        <f aca="false">IF($BX92&lt;&gt;Constants!$B$6,"",IF(OR($BS92&lt;$BH92,AND($BS92=$BH92,OR($BT92&lt;$BI92,AND($BT92=$BI92,OR($BU92&lt;$BJ92,AND($BU92=$BJ92,AND(ISNUMBER($BV92),OR(NOT(ISNUMBER($BK92)),$BV92&lt;$BK92)))))))),"-&gt;","&lt;-"))</f>
        <v/>
      </c>
      <c r="BM92" s="134" t="str">
        <f aca="false">IF(ISBLANK($C92),"",AND($AT92,OR($AU92="",$AV92="",AND($AW92,$AX92=""))))</f>
        <v/>
      </c>
      <c r="BN92" s="137" t="str">
        <f aca="false">IF($BX92&lt;&gt;Constants!$B$6,"",IF($AT92,Constants!$B$17*$AV92+Constants!$B$18*IF($AW92,$AX92,Constants!$B$19),Constants!$B$20))</f>
        <v/>
      </c>
      <c r="BO92" s="138" t="str">
        <f aca="false">IF($BX92&lt;&gt;Constants!$B$6,"",Constants!$B$21*ABS($AD$9-IF($AT92,$AU92,0)))</f>
        <v/>
      </c>
      <c r="BP92" s="138" t="str">
        <f aca="false">IF($BX92&lt;&gt;Constants!$B$6,"",IF(AND($AT92,$AY92,$AW92),Constants!$B$22,0))</f>
        <v/>
      </c>
      <c r="BQ92" s="138" t="str">
        <f aca="false">IF($BX92&lt;&gt;Constants!$B$6,"",IF($AT92,($AI92-Constants!$B$24)*Constants!$B$23,0))</f>
        <v/>
      </c>
      <c r="BR92" s="138" t="str">
        <f aca="false">IF($BX92&lt;&gt;Constants!$B$6,"",IF($AS92,0,Constants!$B$12)+IF($AR92,0,Constants!$B$13)+IF($AH92,0,Constants!$B$14))</f>
        <v/>
      </c>
      <c r="BS92" s="139" t="str">
        <f aca="false">IF($BX92&lt;&gt;Constants!$B$6,"",Constants!$B$16+SUM($BN92:$BR92))</f>
        <v/>
      </c>
      <c r="BT92" s="138" t="str">
        <f aca="false">IF($BX92&lt;&gt;Constants!$B$6,"",$BN92)</f>
        <v/>
      </c>
      <c r="BU92" s="138" t="str">
        <f aca="false">IF($BX92&lt;&gt;Constants!$B$6,"",$BO92)</f>
        <v/>
      </c>
      <c r="BV92" s="140" t="str">
        <f aca="false">IF($BX92&lt;&gt;Constants!$B$6,"",IF($AT92,$AV92,""))</f>
        <v/>
      </c>
      <c r="BW92" s="135" t="str">
        <f aca="false">IF(ISBLANK($C92),"",IF(ISBLANK($D$7),$BW$5,IF(NOT(ISNUMBER($D$7)),$BW$6,"")))</f>
        <v/>
      </c>
      <c r="BX92" s="135" t="str">
        <f aca="false">IF(ISBLANK($C92),"",IF($BA92,Constants!$B$9,IF(COUNTA($E92:$AA92)=0,Constants!$B$8,IF(NOT($AG92),Constants!$B$7,IF(OR($BW92&lt;&gt;"",$BB92,$BM92),Constants!$B$10,Constants!$B$6)))))</f>
        <v/>
      </c>
      <c r="BY92" s="135" t="str">
        <f aca="false">IF(ISBLANK($C92),"",IF($BX92&lt;&gt;Constants!$B$6,$BX92,Constants!$B$11))</f>
        <v/>
      </c>
      <c r="BZ92" s="138" t="str">
        <f aca="false">IF($BX92&lt;&gt;Constants!$B$6,"",IF($BL92="-&gt;",$BS92,$BH92))</f>
        <v/>
      </c>
      <c r="CA92" s="138" t="str">
        <f aca="false">IF($BX92&lt;&gt;Constants!$B$6,"",IF($AF92,0,Constants!$B$15))</f>
        <v/>
      </c>
      <c r="CB92" s="138" t="str">
        <f aca="false">IF($BX92&lt;&gt;Constants!$B$6,"",((Constants!$B$25-$AZ92)-Constants!$B$25)/Constants!$B$26)</f>
        <v/>
      </c>
      <c r="CC92" s="138" t="str">
        <f aca="false">IF(ISBLANK($C92),"",IF($BX92&lt;&gt;Constants!$B$6,$BX92,SUM($BZ92:$CB92)))</f>
        <v/>
      </c>
      <c r="CD92" s="135" t="str">
        <f aca="false">IF(ISBLANK($C92),"",IF($BX92&lt;&gt;Constants!$B$6,$BX92,RANK($CC92,$CC$9:$CC$508,1)))</f>
        <v/>
      </c>
      <c r="CE92" s="138" t="str">
        <f aca="false">IF($BX92&lt;&gt;Constants!$B$6,"",IF($BL92="-&gt;",$BT92,$BI92))</f>
        <v/>
      </c>
      <c r="CF92" s="135" t="str">
        <f aca="false">IF(ISBLANK($C92),"",IF($BX92&lt;&gt;Constants!$B$6,$BX92,IF(ISNUMBER($CE92),RANK($CE92,$CE$9:$CE$508,1),COUNT($CE$9:$CE$508)+1)))</f>
        <v/>
      </c>
      <c r="CG92" s="138" t="str">
        <f aca="false">IF($BX92&lt;&gt;Constants!$B$6,"",IF($BL92="-&gt;",$BU92,$BJ92))</f>
        <v/>
      </c>
      <c r="CH92" s="135" t="str">
        <f aca="false">IF(ISBLANK($C92),"",IF($BX92&lt;&gt;Constants!$B$6,$BX92,IF(ISNUMBER($CG92),RANK($CG92,$CG$9:$CG$508,1),COUNT($CG$9:$CG$508)+1)))</f>
        <v/>
      </c>
      <c r="CI92" s="138" t="str">
        <f aca="false">IF($BX92&lt;&gt;Constants!$B$6,"",IF($BL92="-&gt;",$BV92,$BK92))</f>
        <v/>
      </c>
      <c r="CJ92" s="135" t="str">
        <f aca="false">IF(ISBLANK($C92),"",IF($BX92&lt;&gt;Constants!$B$6,$BX92,IF(ISNUMBER($CI92),RANK($CI92,$CI$9:$CI$508,1),COUNT($CI$9:$CI$508)+1)))</f>
        <v/>
      </c>
      <c r="CK92" s="138" t="str">
        <f aca="false">IF($BX92&lt;&gt;Constants!$B$6,"",$AI92)</f>
        <v/>
      </c>
      <c r="CL92" s="135" t="str">
        <f aca="false">IF(ISBLANK($C92),"",IF($BX92&lt;&gt;Constants!$B$6,$BX92,IF(ISNUMBER($CK92),RANK($CK92,$CK$9:$CK$508,1),COUNT($CK$9:$CK$508)+1)))</f>
        <v/>
      </c>
      <c r="CM92" s="135" t="str">
        <f aca="false">IF(ISBLANK($C92),"",IF($BX92&lt;&gt;Constants!$B$6,$BX92,COUNTIFS($CD$9:$CD$508,"&lt;"&amp;$CD92)+COUNTIFS($CD$9:$CD$508,$CD92,$CF$9:$CF$508,"&lt;"&amp;$CF92)+COUNTIFS($CD$9:$CD$508,$CD92,$CF$9:$CF$508,$CF92,$CH$9:$CH$508,"&lt;"&amp;$CH92)+COUNTIFS($CD$9:$CD$508,$CD92,$CF$9:$CF$508,$CF92,$CH$9:$CH$508,$CH92,$CJ$9:$CJ$508,"&lt;"&amp;$CJ92)+COUNTIFS($CD$9:$CD$508,$CD92,$CF$9:$CF$508,$CF92,$CH$9:$CH$508,$CH92,$CJ$9:$CJ$508,$CJ92,$CL$9:$CL$508,"&lt;"&amp;$CL92)+1))</f>
        <v/>
      </c>
      <c r="CN92" s="135" t="str">
        <f aca="false">IF(ISBLANK($C92),"",IF($BX92&lt;&gt;Constants!$B$6,$BX92,$CD92-$CM92))</f>
        <v/>
      </c>
      <c r="CO92" s="141"/>
      <c r="CP92" s="142"/>
      <c r="CQ92" s="143" t="str">
        <f aca="false">IF(ISBLANK($C92),"",IF($BX92=Constants!$B$10,$BW92,""))</f>
        <v/>
      </c>
      <c r="CR92" s="142" t="str">
        <f aca="false">IF(ISBLANK($C92),"",IF($BX92&lt;&gt;Constants!$B$6,"",IF($BL92="-&gt;",2,1)))</f>
        <v/>
      </c>
      <c r="CS92" s="144" t="str">
        <f aca="false">IF(ISBLANK($C92),"",IF($BX92&lt;&gt;Constants!$B$6,"",IF($BL92="-&gt;",$BN92,$BC92)))</f>
        <v/>
      </c>
      <c r="CT92" s="144" t="str">
        <f aca="false">IF(ISBLANK($C92),"",IF($BX92&lt;&gt;Constants!$B$6,"",IF($BL92="-&gt;",$BO92,$BD92)))</f>
        <v/>
      </c>
      <c r="CU92" s="144" t="str">
        <f aca="false">IF(ISBLANK($C92),"",IF($BX92&lt;&gt;Constants!$B$6,"",IF($BL92="-&gt;",$BP92+$BQ92,$BE92+$BF92)+$CB92))</f>
        <v/>
      </c>
      <c r="CV92" s="144" t="str">
        <f aca="false">IF(ISBLANK($C92),"",IF($BX92&lt;&gt;Constants!$B$6,"",IF($BL92="-&gt;",$BR92,$BG92)+$CA92))</f>
        <v/>
      </c>
      <c r="CW92" s="145" t="str">
        <f aca="false">IF(ISBLANK($C92),"",IF($BX92&lt;&gt;Constants!$B$6,$BX92,$CC92))</f>
        <v/>
      </c>
      <c r="CX92" s="146" t="str">
        <f aca="false">IF(ISBLANK($C92),"",$BY92)</f>
        <v/>
      </c>
      <c r="CY92" s="147" t="str">
        <f aca="false">IF(ISBLANK($C92),"",$CN92)</f>
        <v/>
      </c>
      <c r="CZ92" s="147" t="str">
        <f aca="false">IF(ISBLANK($C92),"",$CM92)</f>
        <v/>
      </c>
      <c r="DA92" s="148" t="str">
        <f aca="false">IF(ISBLANK($C92),"",IFERROR(_xlfn.SWITCH($CZ92,Constants!$B$9,COUNTA($C$9:$C$508)+2,Constants!$B$8,COUNTA($C$9:$C$508)+1,Constants!$B$7,COUNTA($C$9:$C$508)),$CZ92))</f>
        <v/>
      </c>
      <c r="DB92" s="9"/>
      <c r="DC92" s="149" t="n">
        <f aca="false">IF(OR(ISNUMBER($CZ92),$CZ92=Constants!$B$9,$CZ92=Constants!$B$7,$CZ92=Constants!$B$8),1,0)</f>
        <v>0</v>
      </c>
      <c r="DD92" s="149" t="n">
        <v>84</v>
      </c>
      <c r="DE92" s="149" t="str">
        <f aca="false">IF(ISBLANK($C92),"",IF(ISNUMBER($DA92),$DA92+ROW($B92)/1000,""))</f>
        <v/>
      </c>
      <c r="DF92" s="149" t="str">
        <f aca="false">IF(ISNUMBER($DE92),RANK($DE92,$DE$9:$DE$508,1),"")</f>
        <v/>
      </c>
      <c r="DG92" s="149" t="str">
        <f aca="false">IF(ISBLANK($C92),"",$B92)</f>
        <v/>
      </c>
      <c r="DH92" s="149" t="str">
        <f aca="false">IF(ISBLANK($C92),"",$C92)</f>
        <v/>
      </c>
      <c r="DI92" s="149" t="str">
        <f aca="false">IF(ISBLANK($C92),"",$D92)</f>
        <v/>
      </c>
      <c r="DJ92" s="150" t="str">
        <f aca="false">$CX92</f>
        <v/>
      </c>
      <c r="DK92" s="151" t="str">
        <f aca="false">$CW92</f>
        <v/>
      </c>
      <c r="DL92" s="149" t="str">
        <f aca="false">IF(ISBLANK($C92),"",$CZ92)</f>
        <v/>
      </c>
      <c r="DM92" s="152" t="str">
        <f aca="false">IF($DD92&gt;$DC$8,"",VLOOKUP($DD92,$DF$9:$DL$508,7,FALSE()))</f>
        <v/>
      </c>
      <c r="DN92" s="153" t="str">
        <f aca="false">IF($DD92&gt;$DC$8,"",VLOOKUP($DD92,$DF$9:$DL$508,2,FALSE()))</f>
        <v/>
      </c>
      <c r="DO92" s="153" t="str">
        <f aca="false">IF($DD92&gt;$DC$8,"",VLOOKUP($DD92,$DF$9:$DL$508,3,FALSE()))</f>
        <v/>
      </c>
      <c r="DP92" s="153" t="str">
        <f aca="false">IF($DD92&gt;$DC$8,"",VLOOKUP($DD92,$DF$9:$DL$508,4,FALSE()))</f>
        <v/>
      </c>
      <c r="DQ92" s="153" t="str">
        <f aca="false">IF($DD92&gt;$DC$8,"",VLOOKUP($DD92,$DF$9:$DL$508,5,FALSE()))</f>
        <v/>
      </c>
      <c r="DR92" s="154" t="str">
        <f aca="false">IF($DD92&gt;$DC$8,"",VLOOKUP($DD92,$DF$9:$DL$508,6,FALSE()))</f>
        <v/>
      </c>
      <c r="DS92" s="76"/>
    </row>
    <row r="93" customFormat="false" ht="15.75" hidden="false" customHeight="false" outlineLevel="0" collapsed="false">
      <c r="A93" s="9"/>
      <c r="B93" s="78"/>
      <c r="C93" s="79"/>
      <c r="D93" s="170"/>
      <c r="E93" s="178"/>
      <c r="F93" s="172"/>
      <c r="G93" s="173"/>
      <c r="H93" s="173"/>
      <c r="I93" s="179"/>
      <c r="J93" s="176"/>
      <c r="K93" s="86"/>
      <c r="L93" s="87"/>
      <c r="M93" s="88"/>
      <c r="N93" s="176"/>
      <c r="O93" s="176"/>
      <c r="P93" s="178"/>
      <c r="Q93" s="176"/>
      <c r="R93" s="176"/>
      <c r="S93" s="86"/>
      <c r="T93" s="88"/>
      <c r="U93" s="88"/>
      <c r="V93" s="176"/>
      <c r="W93" s="176"/>
      <c r="X93" s="178"/>
      <c r="Y93" s="176"/>
      <c r="Z93" s="177"/>
      <c r="AA93" s="176"/>
      <c r="AB93" s="92"/>
      <c r="AC93" s="93"/>
      <c r="AD93" s="93"/>
      <c r="AE93" s="93"/>
      <c r="AF93" s="93" t="str">
        <f aca="false">IF(ISBLANK($C93),"",IF(E93=Constants!$B$2,TRUE(),IF(E93=Constants!$B$3,FALSE(),TRUE())))</f>
        <v/>
      </c>
      <c r="AG93" s="93" t="str">
        <f aca="false">IF(ISBLANK($C93),"",IF(F93=Constants!$B$2,TRUE(),IF(F93=Constants!$B$3,FALSE(),TRUE())))</f>
        <v/>
      </c>
      <c r="AH93" s="93" t="str">
        <f aca="false">IF(ISBLANK($C93),"",IF(G93=Constants!$B$2,TRUE(),IF(G93=Constants!$B$3,FALSE(),TRUE())))</f>
        <v/>
      </c>
      <c r="AI93" s="93" t="str">
        <f aca="false">IF(ISBLANK($C93),"",IF(AND(ISNUMBER(H93),H93&gt;=0),H93,Constants!$B$24))</f>
        <v/>
      </c>
      <c r="AJ93" s="93" t="str">
        <f aca="false">IF(ISBLANK($C93),"",IF(I93=Constants!$B$2,TRUE(),IF(I93=Constants!$B$3,FALSE(),TRUE())))</f>
        <v/>
      </c>
      <c r="AK93" s="93" t="str">
        <f aca="false">IF(ISBLANK($C93),"",IF(J93=Constants!$B$2,TRUE(),IF(J93=Constants!$B$3,FALSE(),TRUE())))</f>
        <v/>
      </c>
      <c r="AL93" s="93" t="str">
        <f aca="false">IF(ISBLANK($C93),"",IF(K93=Constants!$B$4,TRUE(),IF(K93=Constants!$B$5,FALSE(),COUNTA(L93:P93)&gt;0)))</f>
        <v/>
      </c>
      <c r="AM93" s="95" t="str">
        <f aca="false">IF(ISBLANK($C93),"",IF(ISNUMBER(L93),IF(L93&gt;=0,L93,""),""))</f>
        <v/>
      </c>
      <c r="AN93" s="94" t="str">
        <f aca="false">IF(ISBLANK($C93),"",IF(ISNUMBER(M93),IF(M93&gt;=0,M93,""),""))</f>
        <v/>
      </c>
      <c r="AO93" s="94" t="str">
        <f aca="false">IF(ISBLANK($C93),"",IF(N93=Constants!$B$2,TRUE(),IF(N93=Constants!$B$3,FALSE(),TRUE())))</f>
        <v/>
      </c>
      <c r="AP93" s="93" t="str">
        <f aca="false">IF(ISBLANK($C93),"",IF(ISNUMBER(O93),IF(O93&gt;=0,O93,""),""))</f>
        <v/>
      </c>
      <c r="AQ93" s="93" t="str">
        <f aca="false">IF(ISBLANK($C93),"",IF(P93=Constants!$B$2,TRUE(),IF(P93=Constants!$B$3,FALSE(),FALSE())))</f>
        <v/>
      </c>
      <c r="AR93" s="93" t="str">
        <f aca="false">IF(ISBLANK($C93),"",IF(Q93=Constants!$B$2,TRUE(),IF(Q93=Constants!$B$3,FALSE(),TRUE())))</f>
        <v/>
      </c>
      <c r="AS93" s="93" t="str">
        <f aca="false">IF(ISBLANK($C93),"",IF(R93=Constants!$B$2,TRUE(),IF(R93=Constants!$B$3,FALSE(),TRUE())))</f>
        <v/>
      </c>
      <c r="AT93" s="93" t="str">
        <f aca="false">IF(ISBLANK($C93),"",IF(S93=Constants!$B$4,TRUE(),IF(S93=Constants!$B$5,FALSE(),COUNTA(T93:X93)&gt;0)))</f>
        <v/>
      </c>
      <c r="AU93" s="95" t="str">
        <f aca="false">IF(ISBLANK($C93),"",IF(ISNUMBER(T93),IF(T93&gt;=0,T93,""),""))</f>
        <v/>
      </c>
      <c r="AV93" s="94" t="str">
        <f aca="false">IF(ISBLANK($C93),"",IF(ISNUMBER(U93),IF(U93&gt;=0,U93,""),""))</f>
        <v/>
      </c>
      <c r="AW93" s="94" t="str">
        <f aca="false">IF(ISBLANK($C93),"",IF(V93=Constants!$B$2,TRUE(),IF(V93=Constants!$B$3,FALSE(),TRUE())))</f>
        <v/>
      </c>
      <c r="AX93" s="93" t="str">
        <f aca="false">IF(ISBLANK($C93),"",IF(ISNUMBER(W93),IF(W93&gt;=0,W93,""),""))</f>
        <v/>
      </c>
      <c r="AY93" s="93" t="str">
        <f aca="false">IF(ISBLANK($C93),"",IF(X93=Constants!$B$2,TRUE(),IF(X93=Constants!$B$3,FALSE(),FALSE())))</f>
        <v/>
      </c>
      <c r="AZ93" s="93" t="str">
        <f aca="false">IF(ISBLANK($C93),"",MIN(Constants!$B$25,MAX(0,IF(ISNUMBER(Y93),Y93*60,0)+IF(ISNUMBER(Z93),Z93,0))))</f>
        <v/>
      </c>
      <c r="BA93" s="93" t="str">
        <f aca="false">IF(ISBLANK($C93),"",IF(AA93=Constants!$B$2,TRUE(),IF(AA93=Constants!$B$3,FALSE(),FALSE())))</f>
        <v/>
      </c>
      <c r="BB93" s="92" t="str">
        <f aca="false">IF(ISBLANK($C93),"",AND($AL93,OR($AM93="",$AN93="",AND($AO93,$AP93=""))))</f>
        <v/>
      </c>
      <c r="BC93" s="94" t="str">
        <f aca="false">IF($BX93&lt;&gt;Constants!$B$6,"",IF($AL93,Constants!$B$17*$AN93+Constants!$B$18*IF($AO93,$AP93,Constants!$B$19),Constants!$B$20))</f>
        <v/>
      </c>
      <c r="BD93" s="97" t="str">
        <f aca="false">IF($BX93&lt;&gt;Constants!$B$6,"",Constants!$B$21*ABS($AD$9-IF($AL93,$AM93,0)))</f>
        <v/>
      </c>
      <c r="BE93" s="97" t="str">
        <f aca="false">IF($BX93&lt;&gt;Constants!$B$6,"",IF(AND($AL93,$AQ93,$AO93),Constants!$B$22,0))</f>
        <v/>
      </c>
      <c r="BF93" s="97" t="str">
        <f aca="false">IF($BX93&lt;&gt;Constants!$B$6,"",IF($AL93,($AI93-Constants!$B$24)*Constants!$B$23,0))</f>
        <v/>
      </c>
      <c r="BG93" s="97" t="str">
        <f aca="false">IF($BX93&lt;&gt;Constants!$B$6,"",IF($AK93,0,Constants!$B$12)+IF($AJ93,0,Constants!$B$13)+IF($AH93,0,Constants!$B$14))</f>
        <v/>
      </c>
      <c r="BH93" s="98" t="str">
        <f aca="false">IF($BX93&lt;&gt;Constants!$B$6,"",Constants!$B$16+SUM($BC93:$BG93))</f>
        <v/>
      </c>
      <c r="BI93" s="97" t="str">
        <f aca="false">IF($BX93&lt;&gt;Constants!$B$6,"",$BC93)</f>
        <v/>
      </c>
      <c r="BJ93" s="97" t="str">
        <f aca="false">IF($BX93&lt;&gt;Constants!$B$6,"",$BD93)</f>
        <v/>
      </c>
      <c r="BK93" s="99" t="str">
        <f aca="false">IF($BX93&lt;&gt;Constants!$B$6,"",IF($AL93,$AN93,""))</f>
        <v/>
      </c>
      <c r="BL93" s="93" t="str">
        <f aca="false">IF($BX93&lt;&gt;Constants!$B$6,"",IF(OR($BS93&lt;$BH93,AND($BS93=$BH93,OR($BT93&lt;$BI93,AND($BT93=$BI93,OR($BU93&lt;$BJ93,AND($BU93=$BJ93,AND(ISNUMBER($BV93),OR(NOT(ISNUMBER($BK93)),$BV93&lt;$BK93)))))))),"-&gt;","&lt;-"))</f>
        <v/>
      </c>
      <c r="BM93" s="92" t="str">
        <f aca="false">IF(ISBLANK($C93),"",AND($AT93,OR($AU93="",$AV93="",AND($AW93,$AX93=""))))</f>
        <v/>
      </c>
      <c r="BN93" s="94" t="str">
        <f aca="false">IF($BX93&lt;&gt;Constants!$B$6,"",IF($AT93,Constants!$B$17*$AV93+Constants!$B$18*IF($AW93,$AX93,Constants!$B$19),Constants!$B$20))</f>
        <v/>
      </c>
      <c r="BO93" s="97" t="str">
        <f aca="false">IF($BX93&lt;&gt;Constants!$B$6,"",Constants!$B$21*ABS($AD$9-IF($AT93,$AU93,0)))</f>
        <v/>
      </c>
      <c r="BP93" s="97" t="str">
        <f aca="false">IF($BX93&lt;&gt;Constants!$B$6,"",IF(AND($AT93,$AY93,$AW93),Constants!$B$22,0))</f>
        <v/>
      </c>
      <c r="BQ93" s="97" t="str">
        <f aca="false">IF($BX93&lt;&gt;Constants!$B$6,"",IF($AT93,($AI93-Constants!$B$24)*Constants!$B$23,0))</f>
        <v/>
      </c>
      <c r="BR93" s="97" t="str">
        <f aca="false">IF($BX93&lt;&gt;Constants!$B$6,"",IF($AS93,0,Constants!$B$12)+IF($AR93,0,Constants!$B$13)+IF($AH93,0,Constants!$B$14))</f>
        <v/>
      </c>
      <c r="BS93" s="98" t="str">
        <f aca="false">IF($BX93&lt;&gt;Constants!$B$6,"",Constants!$B$16+SUM($BN93:$BR93))</f>
        <v/>
      </c>
      <c r="BT93" s="97" t="str">
        <f aca="false">IF($BX93&lt;&gt;Constants!$B$6,"",$BN93)</f>
        <v/>
      </c>
      <c r="BU93" s="97" t="str">
        <f aca="false">IF($BX93&lt;&gt;Constants!$B$6,"",$BO93)</f>
        <v/>
      </c>
      <c r="BV93" s="99" t="str">
        <f aca="false">IF($BX93&lt;&gt;Constants!$B$6,"",IF($AT93,$AV93,""))</f>
        <v/>
      </c>
      <c r="BW93" s="93" t="str">
        <f aca="false">IF(ISBLANK($C93),"",IF(ISBLANK($D$7),$BW$5,IF(NOT(ISNUMBER($D$7)),$BW$6,"")))</f>
        <v/>
      </c>
      <c r="BX93" s="93" t="str">
        <f aca="false">IF(ISBLANK($C93),"",IF($BA93,Constants!$B$9,IF(COUNTA($E93:$AA93)=0,Constants!$B$8,IF(NOT($AG93),Constants!$B$7,IF(OR($BW93&lt;&gt;"",$BB93,$BM93),Constants!$B$10,Constants!$B$6)))))</f>
        <v/>
      </c>
      <c r="BY93" s="93" t="str">
        <f aca="false">IF(ISBLANK($C93),"",IF($BX93&lt;&gt;Constants!$B$6,$BX93,Constants!$B$11))</f>
        <v/>
      </c>
      <c r="BZ93" s="97" t="str">
        <f aca="false">IF($BX93&lt;&gt;Constants!$B$6,"",IF($BL93="-&gt;",$BS93,$BH93))</f>
        <v/>
      </c>
      <c r="CA93" s="97" t="str">
        <f aca="false">IF($BX93&lt;&gt;Constants!$B$6,"",IF($AF93,0,Constants!$B$15))</f>
        <v/>
      </c>
      <c r="CB93" s="97" t="str">
        <f aca="false">IF($BX93&lt;&gt;Constants!$B$6,"",((Constants!$B$25-$AZ93)-Constants!$B$25)/Constants!$B$26)</f>
        <v/>
      </c>
      <c r="CC93" s="97" t="str">
        <f aca="false">IF(ISBLANK($C93),"",IF($BX93&lt;&gt;Constants!$B$6,$BX93,SUM($BZ93:$CB93)))</f>
        <v/>
      </c>
      <c r="CD93" s="93" t="str">
        <f aca="false">IF(ISBLANK($C93),"",IF($BX93&lt;&gt;Constants!$B$6,$BX93,RANK($CC93,$CC$9:$CC$508,1)))</f>
        <v/>
      </c>
      <c r="CE93" s="97" t="str">
        <f aca="false">IF($BX93&lt;&gt;Constants!$B$6,"",IF($BL93="-&gt;",$BT93,$BI93))</f>
        <v/>
      </c>
      <c r="CF93" s="93" t="str">
        <f aca="false">IF(ISBLANK($C93),"",IF($BX93&lt;&gt;Constants!$B$6,$BX93,IF(ISNUMBER($CE93),RANK($CE93,$CE$9:$CE$508,1),COUNT($CE$9:$CE$508)+1)))</f>
        <v/>
      </c>
      <c r="CG93" s="97" t="str">
        <f aca="false">IF($BX93&lt;&gt;Constants!$B$6,"",IF($BL93="-&gt;",$BU93,$BJ93))</f>
        <v/>
      </c>
      <c r="CH93" s="93" t="str">
        <f aca="false">IF(ISBLANK($C93),"",IF($BX93&lt;&gt;Constants!$B$6,$BX93,IF(ISNUMBER($CG93),RANK($CG93,$CG$9:$CG$508,1),COUNT($CG$9:$CG$508)+1)))</f>
        <v/>
      </c>
      <c r="CI93" s="97" t="str">
        <f aca="false">IF($BX93&lt;&gt;Constants!$B$6,"",IF($BL93="-&gt;",$BV93,$BK93))</f>
        <v/>
      </c>
      <c r="CJ93" s="93" t="str">
        <f aca="false">IF(ISBLANK($C93),"",IF($BX93&lt;&gt;Constants!$B$6,$BX93,IF(ISNUMBER($CI93),RANK($CI93,$CI$9:$CI$508,1),COUNT($CI$9:$CI$508)+1)))</f>
        <v/>
      </c>
      <c r="CK93" s="97" t="str">
        <f aca="false">IF($BX93&lt;&gt;Constants!$B$6,"",$AI93)</f>
        <v/>
      </c>
      <c r="CL93" s="93" t="str">
        <f aca="false">IF(ISBLANK($C93),"",IF($BX93&lt;&gt;Constants!$B$6,$BX93,IF(ISNUMBER($CK93),RANK($CK93,$CK$9:$CK$508,1),COUNT($CK$9:$CK$508)+1)))</f>
        <v/>
      </c>
      <c r="CM93" s="93" t="str">
        <f aca="false">IF(ISBLANK($C93),"",IF($BX93&lt;&gt;Constants!$B$6,$BX93,COUNTIFS($CD$9:$CD$508,"&lt;"&amp;$CD93)+COUNTIFS($CD$9:$CD$508,$CD93,$CF$9:$CF$508,"&lt;"&amp;$CF93)+COUNTIFS($CD$9:$CD$508,$CD93,$CF$9:$CF$508,$CF93,$CH$9:$CH$508,"&lt;"&amp;$CH93)+COUNTIFS($CD$9:$CD$508,$CD93,$CF$9:$CF$508,$CF93,$CH$9:$CH$508,$CH93,$CJ$9:$CJ$508,"&lt;"&amp;$CJ93)+COUNTIFS($CD$9:$CD$508,$CD93,$CF$9:$CF$508,$CF93,$CH$9:$CH$508,$CH93,$CJ$9:$CJ$508,$CJ93,$CL$9:$CL$508,"&lt;"&amp;$CL93)+1))</f>
        <v/>
      </c>
      <c r="CN93" s="93" t="str">
        <f aca="false">IF(ISBLANK($C93),"",IF($BX93&lt;&gt;Constants!$B$6,$BX93,$CD93-$CM93))</f>
        <v/>
      </c>
      <c r="CO93" s="100"/>
      <c r="CP93" s="101"/>
      <c r="CQ93" s="102" t="str">
        <f aca="false">IF(ISBLANK($C93),"",IF($BX93=Constants!$B$10,$BW93,""))</f>
        <v/>
      </c>
      <c r="CR93" s="101" t="str">
        <f aca="false">IF(ISBLANK($C93),"",IF($BX93&lt;&gt;Constants!$B$6,"",IF($BL93="-&gt;",2,1)))</f>
        <v/>
      </c>
      <c r="CS93" s="103" t="str">
        <f aca="false">IF(ISBLANK($C93),"",IF($BX93&lt;&gt;Constants!$B$6,"",IF($BL93="-&gt;",$BN93,$BC93)))</f>
        <v/>
      </c>
      <c r="CT93" s="103" t="str">
        <f aca="false">IF(ISBLANK($C93),"",IF($BX93&lt;&gt;Constants!$B$6,"",IF($BL93="-&gt;",$BO93,$BD93)))</f>
        <v/>
      </c>
      <c r="CU93" s="103" t="str">
        <f aca="false">IF(ISBLANK($C93),"",IF($BX93&lt;&gt;Constants!$B$6,"",IF($BL93="-&gt;",$BP93+$BQ93,$BE93+$BF93)+$CB93))</f>
        <v/>
      </c>
      <c r="CV93" s="103" t="str">
        <f aca="false">IF(ISBLANK($C93),"",IF($BX93&lt;&gt;Constants!$B$6,"",IF($BL93="-&gt;",$BR93,$BG93)+$CA93))</f>
        <v/>
      </c>
      <c r="CW93" s="104" t="str">
        <f aca="false">IF(ISBLANK($C93),"",IF($BX93&lt;&gt;Constants!$B$6,$BX93,$CC93))</f>
        <v/>
      </c>
      <c r="CX93" s="105" t="str">
        <f aca="false">IF(ISBLANK($C93),"",$BY93)</f>
        <v/>
      </c>
      <c r="CY93" s="106" t="str">
        <f aca="false">IF(ISBLANK($C93),"",$CN93)</f>
        <v/>
      </c>
      <c r="CZ93" s="106" t="str">
        <f aca="false">IF(ISBLANK($C93),"",$CM93)</f>
        <v/>
      </c>
      <c r="DA93" s="107" t="str">
        <f aca="false">IF(ISBLANK($C93),"",IFERROR(_xlfn.SWITCH($CZ93,Constants!$B$9,COUNTA($C$9:$C$508)+2,Constants!$B$8,COUNTA($C$9:$C$508)+1,Constants!$B$7,COUNTA($C$9:$C$508)),$CZ93))</f>
        <v/>
      </c>
      <c r="DB93" s="9"/>
      <c r="DC93" s="108" t="n">
        <f aca="false">IF(OR(ISNUMBER($CZ93),$CZ93=Constants!$B$9,$CZ93=Constants!$B$7,$CZ93=Constants!$B$8),1,0)</f>
        <v>0</v>
      </c>
      <c r="DD93" s="108" t="n">
        <v>85</v>
      </c>
      <c r="DE93" s="108" t="str">
        <f aca="false">IF(ISBLANK($C93),"",IF(ISNUMBER($DA93),$DA93+ROW($B93)/1000,""))</f>
        <v/>
      </c>
      <c r="DF93" s="108" t="str">
        <f aca="false">IF(ISNUMBER($DE93),RANK($DE93,$DE$9:$DE$508,1),"")</f>
        <v/>
      </c>
      <c r="DG93" s="108" t="str">
        <f aca="false">IF(ISBLANK($C93),"",$B93)</f>
        <v/>
      </c>
      <c r="DH93" s="108" t="str">
        <f aca="false">IF(ISBLANK($C93),"",$C93)</f>
        <v/>
      </c>
      <c r="DI93" s="108" t="str">
        <f aca="false">IF(ISBLANK($C93),"",$D93)</f>
        <v/>
      </c>
      <c r="DJ93" s="109" t="str">
        <f aca="false">$CX93</f>
        <v/>
      </c>
      <c r="DK93" s="110" t="str">
        <f aca="false">$CW93</f>
        <v/>
      </c>
      <c r="DL93" s="108" t="str">
        <f aca="false">IF(ISBLANK($C93),"",$CZ93)</f>
        <v/>
      </c>
      <c r="DM93" s="111" t="str">
        <f aca="false">IF($DD93&gt;$DC$8,"",VLOOKUP($DD93,$DF$9:$DL$508,7,FALSE()))</f>
        <v/>
      </c>
      <c r="DN93" s="112" t="str">
        <f aca="false">IF($DD93&gt;$DC$8,"",VLOOKUP($DD93,$DF$9:$DL$508,2,FALSE()))</f>
        <v/>
      </c>
      <c r="DO93" s="112" t="str">
        <f aca="false">IF($DD93&gt;$DC$8,"",VLOOKUP($DD93,$DF$9:$DL$508,3,FALSE()))</f>
        <v/>
      </c>
      <c r="DP93" s="112" t="str">
        <f aca="false">IF($DD93&gt;$DC$8,"",VLOOKUP($DD93,$DF$9:$DL$508,4,FALSE()))</f>
        <v/>
      </c>
      <c r="DQ93" s="112" t="str">
        <f aca="false">IF($DD93&gt;$DC$8,"",VLOOKUP($DD93,$DF$9:$DL$508,5,FALSE()))</f>
        <v/>
      </c>
      <c r="DR93" s="113" t="str">
        <f aca="false">IF($DD93&gt;$DC$8,"",VLOOKUP($DD93,$DF$9:$DL$508,6,FALSE()))</f>
        <v/>
      </c>
      <c r="DS93" s="76"/>
    </row>
    <row r="94" customFormat="false" ht="15.75" hidden="false" customHeight="false" outlineLevel="0" collapsed="false">
      <c r="A94" s="9"/>
      <c r="B94" s="78"/>
      <c r="C94" s="79"/>
      <c r="D94" s="170"/>
      <c r="E94" s="178"/>
      <c r="F94" s="172"/>
      <c r="G94" s="173"/>
      <c r="H94" s="173"/>
      <c r="I94" s="179"/>
      <c r="J94" s="176"/>
      <c r="K94" s="86"/>
      <c r="L94" s="87"/>
      <c r="M94" s="88"/>
      <c r="N94" s="176"/>
      <c r="O94" s="176"/>
      <c r="P94" s="178"/>
      <c r="Q94" s="176"/>
      <c r="R94" s="176"/>
      <c r="S94" s="86"/>
      <c r="T94" s="88"/>
      <c r="U94" s="88"/>
      <c r="V94" s="176"/>
      <c r="W94" s="176"/>
      <c r="X94" s="178"/>
      <c r="Y94" s="176"/>
      <c r="Z94" s="177"/>
      <c r="AA94" s="176"/>
      <c r="AB94" s="92"/>
      <c r="AC94" s="93"/>
      <c r="AD94" s="93"/>
      <c r="AE94" s="93"/>
      <c r="AF94" s="93" t="str">
        <f aca="false">IF(ISBLANK($C94),"",IF(E94=Constants!$B$2,TRUE(),IF(E94=Constants!$B$3,FALSE(),TRUE())))</f>
        <v/>
      </c>
      <c r="AG94" s="93" t="str">
        <f aca="false">IF(ISBLANK($C94),"",IF(F94=Constants!$B$2,TRUE(),IF(F94=Constants!$B$3,FALSE(),TRUE())))</f>
        <v/>
      </c>
      <c r="AH94" s="93" t="str">
        <f aca="false">IF(ISBLANK($C94),"",IF(G94=Constants!$B$2,TRUE(),IF(G94=Constants!$B$3,FALSE(),TRUE())))</f>
        <v/>
      </c>
      <c r="AI94" s="93" t="str">
        <f aca="false">IF(ISBLANK($C94),"",IF(AND(ISNUMBER(H94),H94&gt;=0),H94,Constants!$B$24))</f>
        <v/>
      </c>
      <c r="AJ94" s="93" t="str">
        <f aca="false">IF(ISBLANK($C94),"",IF(I94=Constants!$B$2,TRUE(),IF(I94=Constants!$B$3,FALSE(),TRUE())))</f>
        <v/>
      </c>
      <c r="AK94" s="93" t="str">
        <f aca="false">IF(ISBLANK($C94),"",IF(J94=Constants!$B$2,TRUE(),IF(J94=Constants!$B$3,FALSE(),TRUE())))</f>
        <v/>
      </c>
      <c r="AL94" s="93" t="str">
        <f aca="false">IF(ISBLANK($C94),"",IF(K94=Constants!$B$4,TRUE(),IF(K94=Constants!$B$5,FALSE(),COUNTA(L94:P94)&gt;0)))</f>
        <v/>
      </c>
      <c r="AM94" s="95" t="str">
        <f aca="false">IF(ISBLANK($C94),"",IF(ISNUMBER(L94),IF(L94&gt;=0,L94,""),""))</f>
        <v/>
      </c>
      <c r="AN94" s="94" t="str">
        <f aca="false">IF(ISBLANK($C94),"",IF(ISNUMBER(M94),IF(M94&gt;=0,M94,""),""))</f>
        <v/>
      </c>
      <c r="AO94" s="94" t="str">
        <f aca="false">IF(ISBLANK($C94),"",IF(N94=Constants!$B$2,TRUE(),IF(N94=Constants!$B$3,FALSE(),TRUE())))</f>
        <v/>
      </c>
      <c r="AP94" s="93" t="str">
        <f aca="false">IF(ISBLANK($C94),"",IF(ISNUMBER(O94),IF(O94&gt;=0,O94,""),""))</f>
        <v/>
      </c>
      <c r="AQ94" s="93" t="str">
        <f aca="false">IF(ISBLANK($C94),"",IF(P94=Constants!$B$2,TRUE(),IF(P94=Constants!$B$3,FALSE(),FALSE())))</f>
        <v/>
      </c>
      <c r="AR94" s="93" t="str">
        <f aca="false">IF(ISBLANK($C94),"",IF(Q94=Constants!$B$2,TRUE(),IF(Q94=Constants!$B$3,FALSE(),TRUE())))</f>
        <v/>
      </c>
      <c r="AS94" s="93" t="str">
        <f aca="false">IF(ISBLANK($C94),"",IF(R94=Constants!$B$2,TRUE(),IF(R94=Constants!$B$3,FALSE(),TRUE())))</f>
        <v/>
      </c>
      <c r="AT94" s="93" t="str">
        <f aca="false">IF(ISBLANK($C94),"",IF(S94=Constants!$B$4,TRUE(),IF(S94=Constants!$B$5,FALSE(),COUNTA(T94:X94)&gt;0)))</f>
        <v/>
      </c>
      <c r="AU94" s="95" t="str">
        <f aca="false">IF(ISBLANK($C94),"",IF(ISNUMBER(T94),IF(T94&gt;=0,T94,""),""))</f>
        <v/>
      </c>
      <c r="AV94" s="94" t="str">
        <f aca="false">IF(ISBLANK($C94),"",IF(ISNUMBER(U94),IF(U94&gt;=0,U94,""),""))</f>
        <v/>
      </c>
      <c r="AW94" s="94" t="str">
        <f aca="false">IF(ISBLANK($C94),"",IF(V94=Constants!$B$2,TRUE(),IF(V94=Constants!$B$3,FALSE(),TRUE())))</f>
        <v/>
      </c>
      <c r="AX94" s="93" t="str">
        <f aca="false">IF(ISBLANK($C94),"",IF(ISNUMBER(W94),IF(W94&gt;=0,W94,""),""))</f>
        <v/>
      </c>
      <c r="AY94" s="93" t="str">
        <f aca="false">IF(ISBLANK($C94),"",IF(X94=Constants!$B$2,TRUE(),IF(X94=Constants!$B$3,FALSE(),FALSE())))</f>
        <v/>
      </c>
      <c r="AZ94" s="93" t="str">
        <f aca="false">IF(ISBLANK($C94),"",MIN(Constants!$B$25,MAX(0,IF(ISNUMBER(Y94),Y94*60,0)+IF(ISNUMBER(Z94),Z94,0))))</f>
        <v/>
      </c>
      <c r="BA94" s="93" t="str">
        <f aca="false">IF(ISBLANK($C94),"",IF(AA94=Constants!$B$2,TRUE(),IF(AA94=Constants!$B$3,FALSE(),FALSE())))</f>
        <v/>
      </c>
      <c r="BB94" s="92" t="str">
        <f aca="false">IF(ISBLANK($C94),"",AND($AL94,OR($AM94="",$AN94="",AND($AO94,$AP94=""))))</f>
        <v/>
      </c>
      <c r="BC94" s="94" t="str">
        <f aca="false">IF($BX94&lt;&gt;Constants!$B$6,"",IF($AL94,Constants!$B$17*$AN94+Constants!$B$18*IF($AO94,$AP94,Constants!$B$19),Constants!$B$20))</f>
        <v/>
      </c>
      <c r="BD94" s="97" t="str">
        <f aca="false">IF($BX94&lt;&gt;Constants!$B$6,"",Constants!$B$21*ABS($AD$9-IF($AL94,$AM94,0)))</f>
        <v/>
      </c>
      <c r="BE94" s="97" t="str">
        <f aca="false">IF($BX94&lt;&gt;Constants!$B$6,"",IF(AND($AL94,$AQ94,$AO94),Constants!$B$22,0))</f>
        <v/>
      </c>
      <c r="BF94" s="97" t="str">
        <f aca="false">IF($BX94&lt;&gt;Constants!$B$6,"",IF($AL94,($AI94-Constants!$B$24)*Constants!$B$23,0))</f>
        <v/>
      </c>
      <c r="BG94" s="97" t="str">
        <f aca="false">IF($BX94&lt;&gt;Constants!$B$6,"",IF($AK94,0,Constants!$B$12)+IF($AJ94,0,Constants!$B$13)+IF($AH94,0,Constants!$B$14))</f>
        <v/>
      </c>
      <c r="BH94" s="98" t="str">
        <f aca="false">IF($BX94&lt;&gt;Constants!$B$6,"",Constants!$B$16+SUM($BC94:$BG94))</f>
        <v/>
      </c>
      <c r="BI94" s="97" t="str">
        <f aca="false">IF($BX94&lt;&gt;Constants!$B$6,"",$BC94)</f>
        <v/>
      </c>
      <c r="BJ94" s="97" t="str">
        <f aca="false">IF($BX94&lt;&gt;Constants!$B$6,"",$BD94)</f>
        <v/>
      </c>
      <c r="BK94" s="99" t="str">
        <f aca="false">IF($BX94&lt;&gt;Constants!$B$6,"",IF($AL94,$AN94,""))</f>
        <v/>
      </c>
      <c r="BL94" s="93" t="str">
        <f aca="false">IF($BX94&lt;&gt;Constants!$B$6,"",IF(OR($BS94&lt;$BH94,AND($BS94=$BH94,OR($BT94&lt;$BI94,AND($BT94=$BI94,OR($BU94&lt;$BJ94,AND($BU94=$BJ94,AND(ISNUMBER($BV94),OR(NOT(ISNUMBER($BK94)),$BV94&lt;$BK94)))))))),"-&gt;","&lt;-"))</f>
        <v/>
      </c>
      <c r="BM94" s="92" t="str">
        <f aca="false">IF(ISBLANK($C94),"",AND($AT94,OR($AU94="",$AV94="",AND($AW94,$AX94=""))))</f>
        <v/>
      </c>
      <c r="BN94" s="94" t="str">
        <f aca="false">IF($BX94&lt;&gt;Constants!$B$6,"",IF($AT94,Constants!$B$17*$AV94+Constants!$B$18*IF($AW94,$AX94,Constants!$B$19),Constants!$B$20))</f>
        <v/>
      </c>
      <c r="BO94" s="97" t="str">
        <f aca="false">IF($BX94&lt;&gt;Constants!$B$6,"",Constants!$B$21*ABS($AD$9-IF($AT94,$AU94,0)))</f>
        <v/>
      </c>
      <c r="BP94" s="97" t="str">
        <f aca="false">IF($BX94&lt;&gt;Constants!$B$6,"",IF(AND($AT94,$AY94,$AW94),Constants!$B$22,0))</f>
        <v/>
      </c>
      <c r="BQ94" s="97" t="str">
        <f aca="false">IF($BX94&lt;&gt;Constants!$B$6,"",IF($AT94,($AI94-Constants!$B$24)*Constants!$B$23,0))</f>
        <v/>
      </c>
      <c r="BR94" s="97" t="str">
        <f aca="false">IF($BX94&lt;&gt;Constants!$B$6,"",IF($AS94,0,Constants!$B$12)+IF($AR94,0,Constants!$B$13)+IF($AH94,0,Constants!$B$14))</f>
        <v/>
      </c>
      <c r="BS94" s="98" t="str">
        <f aca="false">IF($BX94&lt;&gt;Constants!$B$6,"",Constants!$B$16+SUM($BN94:$BR94))</f>
        <v/>
      </c>
      <c r="BT94" s="97" t="str">
        <f aca="false">IF($BX94&lt;&gt;Constants!$B$6,"",$BN94)</f>
        <v/>
      </c>
      <c r="BU94" s="97" t="str">
        <f aca="false">IF($BX94&lt;&gt;Constants!$B$6,"",$BO94)</f>
        <v/>
      </c>
      <c r="BV94" s="99" t="str">
        <f aca="false">IF($BX94&lt;&gt;Constants!$B$6,"",IF($AT94,$AV94,""))</f>
        <v/>
      </c>
      <c r="BW94" s="93" t="str">
        <f aca="false">IF(ISBLANK($C94),"",IF(ISBLANK($D$7),$BW$5,IF(NOT(ISNUMBER($D$7)),$BW$6,"")))</f>
        <v/>
      </c>
      <c r="BX94" s="93" t="str">
        <f aca="false">IF(ISBLANK($C94),"",IF($BA94,Constants!$B$9,IF(COUNTA($E94:$AA94)=0,Constants!$B$8,IF(NOT($AG94),Constants!$B$7,IF(OR($BW94&lt;&gt;"",$BB94,$BM94),Constants!$B$10,Constants!$B$6)))))</f>
        <v/>
      </c>
      <c r="BY94" s="93" t="str">
        <f aca="false">IF(ISBLANK($C94),"",IF($BX94&lt;&gt;Constants!$B$6,$BX94,Constants!$B$11))</f>
        <v/>
      </c>
      <c r="BZ94" s="97" t="str">
        <f aca="false">IF($BX94&lt;&gt;Constants!$B$6,"",IF($BL94="-&gt;",$BS94,$BH94))</f>
        <v/>
      </c>
      <c r="CA94" s="97" t="str">
        <f aca="false">IF($BX94&lt;&gt;Constants!$B$6,"",IF($AF94,0,Constants!$B$15))</f>
        <v/>
      </c>
      <c r="CB94" s="97" t="str">
        <f aca="false">IF($BX94&lt;&gt;Constants!$B$6,"",((Constants!$B$25-$AZ94)-Constants!$B$25)/Constants!$B$26)</f>
        <v/>
      </c>
      <c r="CC94" s="97" t="str">
        <f aca="false">IF(ISBLANK($C94),"",IF($BX94&lt;&gt;Constants!$B$6,$BX94,SUM($BZ94:$CB94)))</f>
        <v/>
      </c>
      <c r="CD94" s="93" t="str">
        <f aca="false">IF(ISBLANK($C94),"",IF($BX94&lt;&gt;Constants!$B$6,$BX94,RANK($CC94,$CC$9:$CC$508,1)))</f>
        <v/>
      </c>
      <c r="CE94" s="97" t="str">
        <f aca="false">IF($BX94&lt;&gt;Constants!$B$6,"",IF($BL94="-&gt;",$BT94,$BI94))</f>
        <v/>
      </c>
      <c r="CF94" s="93" t="str">
        <f aca="false">IF(ISBLANK($C94),"",IF($BX94&lt;&gt;Constants!$B$6,$BX94,IF(ISNUMBER($CE94),RANK($CE94,$CE$9:$CE$508,1),COUNT($CE$9:$CE$508)+1)))</f>
        <v/>
      </c>
      <c r="CG94" s="97" t="str">
        <f aca="false">IF($BX94&lt;&gt;Constants!$B$6,"",IF($BL94="-&gt;",$BU94,$BJ94))</f>
        <v/>
      </c>
      <c r="CH94" s="93" t="str">
        <f aca="false">IF(ISBLANK($C94),"",IF($BX94&lt;&gt;Constants!$B$6,$BX94,IF(ISNUMBER($CG94),RANK($CG94,$CG$9:$CG$508,1),COUNT($CG$9:$CG$508)+1)))</f>
        <v/>
      </c>
      <c r="CI94" s="97" t="str">
        <f aca="false">IF($BX94&lt;&gt;Constants!$B$6,"",IF($BL94="-&gt;",$BV94,$BK94))</f>
        <v/>
      </c>
      <c r="CJ94" s="93" t="str">
        <f aca="false">IF(ISBLANK($C94),"",IF($BX94&lt;&gt;Constants!$B$6,$BX94,IF(ISNUMBER($CI94),RANK($CI94,$CI$9:$CI$508,1),COUNT($CI$9:$CI$508)+1)))</f>
        <v/>
      </c>
      <c r="CK94" s="97" t="str">
        <f aca="false">IF($BX94&lt;&gt;Constants!$B$6,"",$AI94)</f>
        <v/>
      </c>
      <c r="CL94" s="93" t="str">
        <f aca="false">IF(ISBLANK($C94),"",IF($BX94&lt;&gt;Constants!$B$6,$BX94,IF(ISNUMBER($CK94),RANK($CK94,$CK$9:$CK$508,1),COUNT($CK$9:$CK$508)+1)))</f>
        <v/>
      </c>
      <c r="CM94" s="93" t="str">
        <f aca="false">IF(ISBLANK($C94),"",IF($BX94&lt;&gt;Constants!$B$6,$BX94,COUNTIFS($CD$9:$CD$508,"&lt;"&amp;$CD94)+COUNTIFS($CD$9:$CD$508,$CD94,$CF$9:$CF$508,"&lt;"&amp;$CF94)+COUNTIFS($CD$9:$CD$508,$CD94,$CF$9:$CF$508,$CF94,$CH$9:$CH$508,"&lt;"&amp;$CH94)+COUNTIFS($CD$9:$CD$508,$CD94,$CF$9:$CF$508,$CF94,$CH$9:$CH$508,$CH94,$CJ$9:$CJ$508,"&lt;"&amp;$CJ94)+COUNTIFS($CD$9:$CD$508,$CD94,$CF$9:$CF$508,$CF94,$CH$9:$CH$508,$CH94,$CJ$9:$CJ$508,$CJ94,$CL$9:$CL$508,"&lt;"&amp;$CL94)+1))</f>
        <v/>
      </c>
      <c r="CN94" s="93" t="str">
        <f aca="false">IF(ISBLANK($C94),"",IF($BX94&lt;&gt;Constants!$B$6,$BX94,$CD94-$CM94))</f>
        <v/>
      </c>
      <c r="CO94" s="100"/>
      <c r="CP94" s="101"/>
      <c r="CQ94" s="102" t="str">
        <f aca="false">IF(ISBLANK($C94),"",IF($BX94=Constants!$B$10,$BW94,""))</f>
        <v/>
      </c>
      <c r="CR94" s="101" t="str">
        <f aca="false">IF(ISBLANK($C94),"",IF($BX94&lt;&gt;Constants!$B$6,"",IF($BL94="-&gt;",2,1)))</f>
        <v/>
      </c>
      <c r="CS94" s="103" t="str">
        <f aca="false">IF(ISBLANK($C94),"",IF($BX94&lt;&gt;Constants!$B$6,"",IF($BL94="-&gt;",$BN94,$BC94)))</f>
        <v/>
      </c>
      <c r="CT94" s="103" t="str">
        <f aca="false">IF(ISBLANK($C94),"",IF($BX94&lt;&gt;Constants!$B$6,"",IF($BL94="-&gt;",$BO94,$BD94)))</f>
        <v/>
      </c>
      <c r="CU94" s="103" t="str">
        <f aca="false">IF(ISBLANK($C94),"",IF($BX94&lt;&gt;Constants!$B$6,"",IF($BL94="-&gt;",$BP94+$BQ94,$BE94+$BF94)+$CB94))</f>
        <v/>
      </c>
      <c r="CV94" s="103" t="str">
        <f aca="false">IF(ISBLANK($C94),"",IF($BX94&lt;&gt;Constants!$B$6,"",IF($BL94="-&gt;",$BR94,$BG94)+$CA94))</f>
        <v/>
      </c>
      <c r="CW94" s="104" t="str">
        <f aca="false">IF(ISBLANK($C94),"",IF($BX94&lt;&gt;Constants!$B$6,$BX94,$CC94))</f>
        <v/>
      </c>
      <c r="CX94" s="105" t="str">
        <f aca="false">IF(ISBLANK($C94),"",$BY94)</f>
        <v/>
      </c>
      <c r="CY94" s="106" t="str">
        <f aca="false">IF(ISBLANK($C94),"",$CN94)</f>
        <v/>
      </c>
      <c r="CZ94" s="106" t="str">
        <f aca="false">IF(ISBLANK($C94),"",$CM94)</f>
        <v/>
      </c>
      <c r="DA94" s="107" t="str">
        <f aca="false">IF(ISBLANK($C94),"",IFERROR(_xlfn.SWITCH($CZ94,Constants!$B$9,COUNTA($C$9:$C$508)+2,Constants!$B$8,COUNTA($C$9:$C$508)+1,Constants!$B$7,COUNTA($C$9:$C$508)),$CZ94))</f>
        <v/>
      </c>
      <c r="DB94" s="9"/>
      <c r="DC94" s="108" t="n">
        <f aca="false">IF(OR(ISNUMBER($CZ94),$CZ94=Constants!$B$9,$CZ94=Constants!$B$7,$CZ94=Constants!$B$8),1,0)</f>
        <v>0</v>
      </c>
      <c r="DD94" s="108" t="n">
        <v>86</v>
      </c>
      <c r="DE94" s="108" t="str">
        <f aca="false">IF(ISBLANK($C94),"",IF(ISNUMBER($DA94),$DA94+ROW($B94)/1000,""))</f>
        <v/>
      </c>
      <c r="DF94" s="108" t="str">
        <f aca="false">IF(ISNUMBER($DE94),RANK($DE94,$DE$9:$DE$508,1),"")</f>
        <v/>
      </c>
      <c r="DG94" s="108" t="str">
        <f aca="false">IF(ISBLANK($C94),"",$B94)</f>
        <v/>
      </c>
      <c r="DH94" s="108" t="str">
        <f aca="false">IF(ISBLANK($C94),"",$C94)</f>
        <v/>
      </c>
      <c r="DI94" s="108" t="str">
        <f aca="false">IF(ISBLANK($C94),"",$D94)</f>
        <v/>
      </c>
      <c r="DJ94" s="109" t="str">
        <f aca="false">$CX94</f>
        <v/>
      </c>
      <c r="DK94" s="110" t="str">
        <f aca="false">$CW94</f>
        <v/>
      </c>
      <c r="DL94" s="108" t="str">
        <f aca="false">IF(ISBLANK($C94),"",$CZ94)</f>
        <v/>
      </c>
      <c r="DM94" s="111" t="str">
        <f aca="false">IF($DD94&gt;$DC$8,"",VLOOKUP($DD94,$DF$9:$DL$508,7,FALSE()))</f>
        <v/>
      </c>
      <c r="DN94" s="112" t="str">
        <f aca="false">IF($DD94&gt;$DC$8,"",VLOOKUP($DD94,$DF$9:$DL$508,2,FALSE()))</f>
        <v/>
      </c>
      <c r="DO94" s="112" t="str">
        <f aca="false">IF($DD94&gt;$DC$8,"",VLOOKUP($DD94,$DF$9:$DL$508,3,FALSE()))</f>
        <v/>
      </c>
      <c r="DP94" s="112" t="str">
        <f aca="false">IF($DD94&gt;$DC$8,"",VLOOKUP($DD94,$DF$9:$DL$508,4,FALSE()))</f>
        <v/>
      </c>
      <c r="DQ94" s="112" t="str">
        <f aca="false">IF($DD94&gt;$DC$8,"",VLOOKUP($DD94,$DF$9:$DL$508,5,FALSE()))</f>
        <v/>
      </c>
      <c r="DR94" s="113" t="str">
        <f aca="false">IF($DD94&gt;$DC$8,"",VLOOKUP($DD94,$DF$9:$DL$508,6,FALSE()))</f>
        <v/>
      </c>
      <c r="DS94" s="76"/>
    </row>
    <row r="95" customFormat="false" ht="15.75" hidden="false" customHeight="false" outlineLevel="0" collapsed="false">
      <c r="A95" s="9"/>
      <c r="B95" s="78"/>
      <c r="C95" s="79"/>
      <c r="D95" s="170"/>
      <c r="E95" s="178"/>
      <c r="F95" s="172"/>
      <c r="G95" s="173"/>
      <c r="H95" s="173"/>
      <c r="I95" s="179"/>
      <c r="J95" s="176"/>
      <c r="K95" s="86"/>
      <c r="L95" s="87"/>
      <c r="M95" s="88"/>
      <c r="N95" s="176"/>
      <c r="O95" s="176"/>
      <c r="P95" s="178"/>
      <c r="Q95" s="176"/>
      <c r="R95" s="176"/>
      <c r="S95" s="86"/>
      <c r="T95" s="88"/>
      <c r="U95" s="88"/>
      <c r="V95" s="176"/>
      <c r="W95" s="176"/>
      <c r="X95" s="178"/>
      <c r="Y95" s="176"/>
      <c r="Z95" s="177"/>
      <c r="AA95" s="176"/>
      <c r="AB95" s="92"/>
      <c r="AC95" s="93"/>
      <c r="AD95" s="93"/>
      <c r="AE95" s="93"/>
      <c r="AF95" s="93" t="str">
        <f aca="false">IF(ISBLANK($C95),"",IF(E95=Constants!$B$2,TRUE(),IF(E95=Constants!$B$3,FALSE(),TRUE())))</f>
        <v/>
      </c>
      <c r="AG95" s="93" t="str">
        <f aca="false">IF(ISBLANK($C95),"",IF(F95=Constants!$B$2,TRUE(),IF(F95=Constants!$B$3,FALSE(),TRUE())))</f>
        <v/>
      </c>
      <c r="AH95" s="93" t="str">
        <f aca="false">IF(ISBLANK($C95),"",IF(G95=Constants!$B$2,TRUE(),IF(G95=Constants!$B$3,FALSE(),TRUE())))</f>
        <v/>
      </c>
      <c r="AI95" s="93" t="str">
        <f aca="false">IF(ISBLANK($C95),"",IF(AND(ISNUMBER(H95),H95&gt;=0),H95,Constants!$B$24))</f>
        <v/>
      </c>
      <c r="AJ95" s="93" t="str">
        <f aca="false">IF(ISBLANK($C95),"",IF(I95=Constants!$B$2,TRUE(),IF(I95=Constants!$B$3,FALSE(),TRUE())))</f>
        <v/>
      </c>
      <c r="AK95" s="93" t="str">
        <f aca="false">IF(ISBLANK($C95),"",IF(J95=Constants!$B$2,TRUE(),IF(J95=Constants!$B$3,FALSE(),TRUE())))</f>
        <v/>
      </c>
      <c r="AL95" s="93" t="str">
        <f aca="false">IF(ISBLANK($C95),"",IF(K95=Constants!$B$4,TRUE(),IF(K95=Constants!$B$5,FALSE(),COUNTA(L95:P95)&gt;0)))</f>
        <v/>
      </c>
      <c r="AM95" s="95" t="str">
        <f aca="false">IF(ISBLANK($C95),"",IF(ISNUMBER(L95),IF(L95&gt;=0,L95,""),""))</f>
        <v/>
      </c>
      <c r="AN95" s="94" t="str">
        <f aca="false">IF(ISBLANK($C95),"",IF(ISNUMBER(M95),IF(M95&gt;=0,M95,""),""))</f>
        <v/>
      </c>
      <c r="AO95" s="94" t="str">
        <f aca="false">IF(ISBLANK($C95),"",IF(N95=Constants!$B$2,TRUE(),IF(N95=Constants!$B$3,FALSE(),TRUE())))</f>
        <v/>
      </c>
      <c r="AP95" s="93" t="str">
        <f aca="false">IF(ISBLANK($C95),"",IF(ISNUMBER(O95),IF(O95&gt;=0,O95,""),""))</f>
        <v/>
      </c>
      <c r="AQ95" s="93" t="str">
        <f aca="false">IF(ISBLANK($C95),"",IF(P95=Constants!$B$2,TRUE(),IF(P95=Constants!$B$3,FALSE(),FALSE())))</f>
        <v/>
      </c>
      <c r="AR95" s="93" t="str">
        <f aca="false">IF(ISBLANK($C95),"",IF(Q95=Constants!$B$2,TRUE(),IF(Q95=Constants!$B$3,FALSE(),TRUE())))</f>
        <v/>
      </c>
      <c r="AS95" s="93" t="str">
        <f aca="false">IF(ISBLANK($C95),"",IF(R95=Constants!$B$2,TRUE(),IF(R95=Constants!$B$3,FALSE(),TRUE())))</f>
        <v/>
      </c>
      <c r="AT95" s="93" t="str">
        <f aca="false">IF(ISBLANK($C95),"",IF(S95=Constants!$B$4,TRUE(),IF(S95=Constants!$B$5,FALSE(),COUNTA(T95:X95)&gt;0)))</f>
        <v/>
      </c>
      <c r="AU95" s="95" t="str">
        <f aca="false">IF(ISBLANK($C95),"",IF(ISNUMBER(T95),IF(T95&gt;=0,T95,""),""))</f>
        <v/>
      </c>
      <c r="AV95" s="94" t="str">
        <f aca="false">IF(ISBLANK($C95),"",IF(ISNUMBER(U95),IF(U95&gt;=0,U95,""),""))</f>
        <v/>
      </c>
      <c r="AW95" s="94" t="str">
        <f aca="false">IF(ISBLANK($C95),"",IF(V95=Constants!$B$2,TRUE(),IF(V95=Constants!$B$3,FALSE(),TRUE())))</f>
        <v/>
      </c>
      <c r="AX95" s="93" t="str">
        <f aca="false">IF(ISBLANK($C95),"",IF(ISNUMBER(W95),IF(W95&gt;=0,W95,""),""))</f>
        <v/>
      </c>
      <c r="AY95" s="93" t="str">
        <f aca="false">IF(ISBLANK($C95),"",IF(X95=Constants!$B$2,TRUE(),IF(X95=Constants!$B$3,FALSE(),FALSE())))</f>
        <v/>
      </c>
      <c r="AZ95" s="93" t="str">
        <f aca="false">IF(ISBLANK($C95),"",MIN(Constants!$B$25,MAX(0,IF(ISNUMBER(Y95),Y95*60,0)+IF(ISNUMBER(Z95),Z95,0))))</f>
        <v/>
      </c>
      <c r="BA95" s="93" t="str">
        <f aca="false">IF(ISBLANK($C95),"",IF(AA95=Constants!$B$2,TRUE(),IF(AA95=Constants!$B$3,FALSE(),FALSE())))</f>
        <v/>
      </c>
      <c r="BB95" s="92" t="str">
        <f aca="false">IF(ISBLANK($C95),"",AND($AL95,OR($AM95="",$AN95="",AND($AO95,$AP95=""))))</f>
        <v/>
      </c>
      <c r="BC95" s="94" t="str">
        <f aca="false">IF($BX95&lt;&gt;Constants!$B$6,"",IF($AL95,Constants!$B$17*$AN95+Constants!$B$18*IF($AO95,$AP95,Constants!$B$19),Constants!$B$20))</f>
        <v/>
      </c>
      <c r="BD95" s="97" t="str">
        <f aca="false">IF($BX95&lt;&gt;Constants!$B$6,"",Constants!$B$21*ABS($AD$9-IF($AL95,$AM95,0)))</f>
        <v/>
      </c>
      <c r="BE95" s="97" t="str">
        <f aca="false">IF($BX95&lt;&gt;Constants!$B$6,"",IF(AND($AL95,$AQ95,$AO95),Constants!$B$22,0))</f>
        <v/>
      </c>
      <c r="BF95" s="97" t="str">
        <f aca="false">IF($BX95&lt;&gt;Constants!$B$6,"",IF($AL95,($AI95-Constants!$B$24)*Constants!$B$23,0))</f>
        <v/>
      </c>
      <c r="BG95" s="97" t="str">
        <f aca="false">IF($BX95&lt;&gt;Constants!$B$6,"",IF($AK95,0,Constants!$B$12)+IF($AJ95,0,Constants!$B$13)+IF($AH95,0,Constants!$B$14))</f>
        <v/>
      </c>
      <c r="BH95" s="98" t="str">
        <f aca="false">IF($BX95&lt;&gt;Constants!$B$6,"",Constants!$B$16+SUM($BC95:$BG95))</f>
        <v/>
      </c>
      <c r="BI95" s="97" t="str">
        <f aca="false">IF($BX95&lt;&gt;Constants!$B$6,"",$BC95)</f>
        <v/>
      </c>
      <c r="BJ95" s="97" t="str">
        <f aca="false">IF($BX95&lt;&gt;Constants!$B$6,"",$BD95)</f>
        <v/>
      </c>
      <c r="BK95" s="99" t="str">
        <f aca="false">IF($BX95&lt;&gt;Constants!$B$6,"",IF($AL95,$AN95,""))</f>
        <v/>
      </c>
      <c r="BL95" s="93" t="str">
        <f aca="false">IF($BX95&lt;&gt;Constants!$B$6,"",IF(OR($BS95&lt;$BH95,AND($BS95=$BH95,OR($BT95&lt;$BI95,AND($BT95=$BI95,OR($BU95&lt;$BJ95,AND($BU95=$BJ95,AND(ISNUMBER($BV95),OR(NOT(ISNUMBER($BK95)),$BV95&lt;$BK95)))))))),"-&gt;","&lt;-"))</f>
        <v/>
      </c>
      <c r="BM95" s="92" t="str">
        <f aca="false">IF(ISBLANK($C95),"",AND($AT95,OR($AU95="",$AV95="",AND($AW95,$AX95=""))))</f>
        <v/>
      </c>
      <c r="BN95" s="94" t="str">
        <f aca="false">IF($BX95&lt;&gt;Constants!$B$6,"",IF($AT95,Constants!$B$17*$AV95+Constants!$B$18*IF($AW95,$AX95,Constants!$B$19),Constants!$B$20))</f>
        <v/>
      </c>
      <c r="BO95" s="97" t="str">
        <f aca="false">IF($BX95&lt;&gt;Constants!$B$6,"",Constants!$B$21*ABS($AD$9-IF($AT95,$AU95,0)))</f>
        <v/>
      </c>
      <c r="BP95" s="97" t="str">
        <f aca="false">IF($BX95&lt;&gt;Constants!$B$6,"",IF(AND($AT95,$AY95,$AW95),Constants!$B$22,0))</f>
        <v/>
      </c>
      <c r="BQ95" s="97" t="str">
        <f aca="false">IF($BX95&lt;&gt;Constants!$B$6,"",IF($AT95,($AI95-Constants!$B$24)*Constants!$B$23,0))</f>
        <v/>
      </c>
      <c r="BR95" s="97" t="str">
        <f aca="false">IF($BX95&lt;&gt;Constants!$B$6,"",IF($AS95,0,Constants!$B$12)+IF($AR95,0,Constants!$B$13)+IF($AH95,0,Constants!$B$14))</f>
        <v/>
      </c>
      <c r="BS95" s="98" t="str">
        <f aca="false">IF($BX95&lt;&gt;Constants!$B$6,"",Constants!$B$16+SUM($BN95:$BR95))</f>
        <v/>
      </c>
      <c r="BT95" s="97" t="str">
        <f aca="false">IF($BX95&lt;&gt;Constants!$B$6,"",$BN95)</f>
        <v/>
      </c>
      <c r="BU95" s="97" t="str">
        <f aca="false">IF($BX95&lt;&gt;Constants!$B$6,"",$BO95)</f>
        <v/>
      </c>
      <c r="BV95" s="99" t="str">
        <f aca="false">IF($BX95&lt;&gt;Constants!$B$6,"",IF($AT95,$AV95,""))</f>
        <v/>
      </c>
      <c r="BW95" s="93" t="str">
        <f aca="false">IF(ISBLANK($C95),"",IF(ISBLANK($D$7),$BW$5,IF(NOT(ISNUMBER($D$7)),$BW$6,"")))</f>
        <v/>
      </c>
      <c r="BX95" s="93" t="str">
        <f aca="false">IF(ISBLANK($C95),"",IF($BA95,Constants!$B$9,IF(COUNTA($E95:$AA95)=0,Constants!$B$8,IF(NOT($AG95),Constants!$B$7,IF(OR($BW95&lt;&gt;"",$BB95,$BM95),Constants!$B$10,Constants!$B$6)))))</f>
        <v/>
      </c>
      <c r="BY95" s="93" t="str">
        <f aca="false">IF(ISBLANK($C95),"",IF($BX95&lt;&gt;Constants!$B$6,$BX95,Constants!$B$11))</f>
        <v/>
      </c>
      <c r="BZ95" s="97" t="str">
        <f aca="false">IF($BX95&lt;&gt;Constants!$B$6,"",IF($BL95="-&gt;",$BS95,$BH95))</f>
        <v/>
      </c>
      <c r="CA95" s="97" t="str">
        <f aca="false">IF($BX95&lt;&gt;Constants!$B$6,"",IF($AF95,0,Constants!$B$15))</f>
        <v/>
      </c>
      <c r="CB95" s="97" t="str">
        <f aca="false">IF($BX95&lt;&gt;Constants!$B$6,"",((Constants!$B$25-$AZ95)-Constants!$B$25)/Constants!$B$26)</f>
        <v/>
      </c>
      <c r="CC95" s="97" t="str">
        <f aca="false">IF(ISBLANK($C95),"",IF($BX95&lt;&gt;Constants!$B$6,$BX95,SUM($BZ95:$CB95)))</f>
        <v/>
      </c>
      <c r="CD95" s="93" t="str">
        <f aca="false">IF(ISBLANK($C95),"",IF($BX95&lt;&gt;Constants!$B$6,$BX95,RANK($CC95,$CC$9:$CC$508,1)))</f>
        <v/>
      </c>
      <c r="CE95" s="97" t="str">
        <f aca="false">IF($BX95&lt;&gt;Constants!$B$6,"",IF($BL95="-&gt;",$BT95,$BI95))</f>
        <v/>
      </c>
      <c r="CF95" s="93" t="str">
        <f aca="false">IF(ISBLANK($C95),"",IF($BX95&lt;&gt;Constants!$B$6,$BX95,IF(ISNUMBER($CE95),RANK($CE95,$CE$9:$CE$508,1),COUNT($CE$9:$CE$508)+1)))</f>
        <v/>
      </c>
      <c r="CG95" s="97" t="str">
        <f aca="false">IF($BX95&lt;&gt;Constants!$B$6,"",IF($BL95="-&gt;",$BU95,$BJ95))</f>
        <v/>
      </c>
      <c r="CH95" s="93" t="str">
        <f aca="false">IF(ISBLANK($C95),"",IF($BX95&lt;&gt;Constants!$B$6,$BX95,IF(ISNUMBER($CG95),RANK($CG95,$CG$9:$CG$508,1),COUNT($CG$9:$CG$508)+1)))</f>
        <v/>
      </c>
      <c r="CI95" s="97" t="str">
        <f aca="false">IF($BX95&lt;&gt;Constants!$B$6,"",IF($BL95="-&gt;",$BV95,$BK95))</f>
        <v/>
      </c>
      <c r="CJ95" s="93" t="str">
        <f aca="false">IF(ISBLANK($C95),"",IF($BX95&lt;&gt;Constants!$B$6,$BX95,IF(ISNUMBER($CI95),RANK($CI95,$CI$9:$CI$508,1),COUNT($CI$9:$CI$508)+1)))</f>
        <v/>
      </c>
      <c r="CK95" s="97" t="str">
        <f aca="false">IF($BX95&lt;&gt;Constants!$B$6,"",$AI95)</f>
        <v/>
      </c>
      <c r="CL95" s="93" t="str">
        <f aca="false">IF(ISBLANK($C95),"",IF($BX95&lt;&gt;Constants!$B$6,$BX95,IF(ISNUMBER($CK95),RANK($CK95,$CK$9:$CK$508,1),COUNT($CK$9:$CK$508)+1)))</f>
        <v/>
      </c>
      <c r="CM95" s="93" t="str">
        <f aca="false">IF(ISBLANK($C95),"",IF($BX95&lt;&gt;Constants!$B$6,$BX95,COUNTIFS($CD$9:$CD$508,"&lt;"&amp;$CD95)+COUNTIFS($CD$9:$CD$508,$CD95,$CF$9:$CF$508,"&lt;"&amp;$CF95)+COUNTIFS($CD$9:$CD$508,$CD95,$CF$9:$CF$508,$CF95,$CH$9:$CH$508,"&lt;"&amp;$CH95)+COUNTIFS($CD$9:$CD$508,$CD95,$CF$9:$CF$508,$CF95,$CH$9:$CH$508,$CH95,$CJ$9:$CJ$508,"&lt;"&amp;$CJ95)+COUNTIFS($CD$9:$CD$508,$CD95,$CF$9:$CF$508,$CF95,$CH$9:$CH$508,$CH95,$CJ$9:$CJ$508,$CJ95,$CL$9:$CL$508,"&lt;"&amp;$CL95)+1))</f>
        <v/>
      </c>
      <c r="CN95" s="93" t="str">
        <f aca="false">IF(ISBLANK($C95),"",IF($BX95&lt;&gt;Constants!$B$6,$BX95,$CD95-$CM95))</f>
        <v/>
      </c>
      <c r="CO95" s="100"/>
      <c r="CP95" s="101"/>
      <c r="CQ95" s="102" t="str">
        <f aca="false">IF(ISBLANK($C95),"",IF($BX95=Constants!$B$10,$BW95,""))</f>
        <v/>
      </c>
      <c r="CR95" s="101" t="str">
        <f aca="false">IF(ISBLANK($C95),"",IF($BX95&lt;&gt;Constants!$B$6,"",IF($BL95="-&gt;",2,1)))</f>
        <v/>
      </c>
      <c r="CS95" s="103" t="str">
        <f aca="false">IF(ISBLANK($C95),"",IF($BX95&lt;&gt;Constants!$B$6,"",IF($BL95="-&gt;",$BN95,$BC95)))</f>
        <v/>
      </c>
      <c r="CT95" s="103" t="str">
        <f aca="false">IF(ISBLANK($C95),"",IF($BX95&lt;&gt;Constants!$B$6,"",IF($BL95="-&gt;",$BO95,$BD95)))</f>
        <v/>
      </c>
      <c r="CU95" s="103" t="str">
        <f aca="false">IF(ISBLANK($C95),"",IF($BX95&lt;&gt;Constants!$B$6,"",IF($BL95="-&gt;",$BP95+$BQ95,$BE95+$BF95)+$CB95))</f>
        <v/>
      </c>
      <c r="CV95" s="103" t="str">
        <f aca="false">IF(ISBLANK($C95),"",IF($BX95&lt;&gt;Constants!$B$6,"",IF($BL95="-&gt;",$BR95,$BG95)+$CA95))</f>
        <v/>
      </c>
      <c r="CW95" s="104" t="str">
        <f aca="false">IF(ISBLANK($C95),"",IF($BX95&lt;&gt;Constants!$B$6,$BX95,$CC95))</f>
        <v/>
      </c>
      <c r="CX95" s="105" t="str">
        <f aca="false">IF(ISBLANK($C95),"",$BY95)</f>
        <v/>
      </c>
      <c r="CY95" s="106" t="str">
        <f aca="false">IF(ISBLANK($C95),"",$CN95)</f>
        <v/>
      </c>
      <c r="CZ95" s="106" t="str">
        <f aca="false">IF(ISBLANK($C95),"",$CM95)</f>
        <v/>
      </c>
      <c r="DA95" s="107" t="str">
        <f aca="false">IF(ISBLANK($C95),"",IFERROR(_xlfn.SWITCH($CZ95,Constants!$B$9,COUNTA($C$9:$C$508)+2,Constants!$B$8,COUNTA($C$9:$C$508)+1,Constants!$B$7,COUNTA($C$9:$C$508)),$CZ95))</f>
        <v/>
      </c>
      <c r="DB95" s="9"/>
      <c r="DC95" s="108" t="n">
        <f aca="false">IF(OR(ISNUMBER($CZ95),$CZ95=Constants!$B$9,$CZ95=Constants!$B$7,$CZ95=Constants!$B$8),1,0)</f>
        <v>0</v>
      </c>
      <c r="DD95" s="108" t="n">
        <v>87</v>
      </c>
      <c r="DE95" s="108" t="str">
        <f aca="false">IF(ISBLANK($C95),"",IF(ISNUMBER($DA95),$DA95+ROW($B95)/1000,""))</f>
        <v/>
      </c>
      <c r="DF95" s="108" t="str">
        <f aca="false">IF(ISNUMBER($DE95),RANK($DE95,$DE$9:$DE$508,1),"")</f>
        <v/>
      </c>
      <c r="DG95" s="108" t="str">
        <f aca="false">IF(ISBLANK($C95),"",$B95)</f>
        <v/>
      </c>
      <c r="DH95" s="108" t="str">
        <f aca="false">IF(ISBLANK($C95),"",$C95)</f>
        <v/>
      </c>
      <c r="DI95" s="108" t="str">
        <f aca="false">IF(ISBLANK($C95),"",$D95)</f>
        <v/>
      </c>
      <c r="DJ95" s="109" t="str">
        <f aca="false">$CX95</f>
        <v/>
      </c>
      <c r="DK95" s="110" t="str">
        <f aca="false">$CW95</f>
        <v/>
      </c>
      <c r="DL95" s="108" t="str">
        <f aca="false">IF(ISBLANK($C95),"",$CZ95)</f>
        <v/>
      </c>
      <c r="DM95" s="111" t="str">
        <f aca="false">IF($DD95&gt;$DC$8,"",VLOOKUP($DD95,$DF$9:$DL$508,7,FALSE()))</f>
        <v/>
      </c>
      <c r="DN95" s="112" t="str">
        <f aca="false">IF($DD95&gt;$DC$8,"",VLOOKUP($DD95,$DF$9:$DL$508,2,FALSE()))</f>
        <v/>
      </c>
      <c r="DO95" s="112" t="str">
        <f aca="false">IF($DD95&gt;$DC$8,"",VLOOKUP($DD95,$DF$9:$DL$508,3,FALSE()))</f>
        <v/>
      </c>
      <c r="DP95" s="112" t="str">
        <f aca="false">IF($DD95&gt;$DC$8,"",VLOOKUP($DD95,$DF$9:$DL$508,4,FALSE()))</f>
        <v/>
      </c>
      <c r="DQ95" s="112" t="str">
        <f aca="false">IF($DD95&gt;$DC$8,"",VLOOKUP($DD95,$DF$9:$DL$508,5,FALSE()))</f>
        <v/>
      </c>
      <c r="DR95" s="113" t="str">
        <f aca="false">IF($DD95&gt;$DC$8,"",VLOOKUP($DD95,$DF$9:$DL$508,6,FALSE()))</f>
        <v/>
      </c>
      <c r="DS95" s="76"/>
    </row>
    <row r="96" customFormat="false" ht="15.75" hidden="false" customHeight="false" outlineLevel="0" collapsed="false">
      <c r="A96" s="9"/>
      <c r="B96" s="160"/>
      <c r="C96" s="161"/>
      <c r="D96" s="162"/>
      <c r="E96" s="180"/>
      <c r="F96" s="164"/>
      <c r="G96" s="165"/>
      <c r="H96" s="165"/>
      <c r="I96" s="181"/>
      <c r="J96" s="168"/>
      <c r="K96" s="128"/>
      <c r="L96" s="129"/>
      <c r="M96" s="130"/>
      <c r="N96" s="168"/>
      <c r="O96" s="168"/>
      <c r="P96" s="180"/>
      <c r="Q96" s="168"/>
      <c r="R96" s="168"/>
      <c r="S96" s="128"/>
      <c r="T96" s="130"/>
      <c r="U96" s="130"/>
      <c r="V96" s="168"/>
      <c r="W96" s="168"/>
      <c r="X96" s="180"/>
      <c r="Y96" s="168"/>
      <c r="Z96" s="169"/>
      <c r="AA96" s="168"/>
      <c r="AB96" s="134"/>
      <c r="AC96" s="135"/>
      <c r="AD96" s="135"/>
      <c r="AE96" s="135"/>
      <c r="AF96" s="135" t="str">
        <f aca="false">IF(ISBLANK($C96),"",IF(E96=Constants!$B$2,TRUE(),IF(E96=Constants!$B$3,FALSE(),TRUE())))</f>
        <v/>
      </c>
      <c r="AG96" s="135" t="str">
        <f aca="false">IF(ISBLANK($C96),"",IF(F96=Constants!$B$2,TRUE(),IF(F96=Constants!$B$3,FALSE(),TRUE())))</f>
        <v/>
      </c>
      <c r="AH96" s="135" t="str">
        <f aca="false">IF(ISBLANK($C96),"",IF(G96=Constants!$B$2,TRUE(),IF(G96=Constants!$B$3,FALSE(),TRUE())))</f>
        <v/>
      </c>
      <c r="AI96" s="135" t="str">
        <f aca="false">IF(ISBLANK($C96),"",IF(AND(ISNUMBER(H96),H96&gt;=0),H96,Constants!$B$24))</f>
        <v/>
      </c>
      <c r="AJ96" s="135" t="str">
        <f aca="false">IF(ISBLANK($C96),"",IF(I96=Constants!$B$2,TRUE(),IF(I96=Constants!$B$3,FALSE(),TRUE())))</f>
        <v/>
      </c>
      <c r="AK96" s="135" t="str">
        <f aca="false">IF(ISBLANK($C96),"",IF(J96=Constants!$B$2,TRUE(),IF(J96=Constants!$B$3,FALSE(),TRUE())))</f>
        <v/>
      </c>
      <c r="AL96" s="135" t="str">
        <f aca="false">IF(ISBLANK($C96),"",IF(K96=Constants!$B$4,TRUE(),IF(K96=Constants!$B$5,FALSE(),COUNTA(L96:P96)&gt;0)))</f>
        <v/>
      </c>
      <c r="AM96" s="136" t="str">
        <f aca="false">IF(ISBLANK($C96),"",IF(ISNUMBER(L96),IF(L96&gt;=0,L96,""),""))</f>
        <v/>
      </c>
      <c r="AN96" s="137" t="str">
        <f aca="false">IF(ISBLANK($C96),"",IF(ISNUMBER(M96),IF(M96&gt;=0,M96,""),""))</f>
        <v/>
      </c>
      <c r="AO96" s="137" t="str">
        <f aca="false">IF(ISBLANK($C96),"",IF(N96=Constants!$B$2,TRUE(),IF(N96=Constants!$B$3,FALSE(),TRUE())))</f>
        <v/>
      </c>
      <c r="AP96" s="135" t="str">
        <f aca="false">IF(ISBLANK($C96),"",IF(ISNUMBER(O96),IF(O96&gt;=0,O96,""),""))</f>
        <v/>
      </c>
      <c r="AQ96" s="135" t="str">
        <f aca="false">IF(ISBLANK($C96),"",IF(P96=Constants!$B$2,TRUE(),IF(P96=Constants!$B$3,FALSE(),FALSE())))</f>
        <v/>
      </c>
      <c r="AR96" s="135" t="str">
        <f aca="false">IF(ISBLANK($C96),"",IF(Q96=Constants!$B$2,TRUE(),IF(Q96=Constants!$B$3,FALSE(),TRUE())))</f>
        <v/>
      </c>
      <c r="AS96" s="135" t="str">
        <f aca="false">IF(ISBLANK($C96),"",IF(R96=Constants!$B$2,TRUE(),IF(R96=Constants!$B$3,FALSE(),TRUE())))</f>
        <v/>
      </c>
      <c r="AT96" s="135" t="str">
        <f aca="false">IF(ISBLANK($C96),"",IF(S96=Constants!$B$4,TRUE(),IF(S96=Constants!$B$5,FALSE(),COUNTA(T96:X96)&gt;0)))</f>
        <v/>
      </c>
      <c r="AU96" s="136" t="str">
        <f aca="false">IF(ISBLANK($C96),"",IF(ISNUMBER(T96),IF(T96&gt;=0,T96,""),""))</f>
        <v/>
      </c>
      <c r="AV96" s="137" t="str">
        <f aca="false">IF(ISBLANK($C96),"",IF(ISNUMBER(U96),IF(U96&gt;=0,U96,""),""))</f>
        <v/>
      </c>
      <c r="AW96" s="137" t="str">
        <f aca="false">IF(ISBLANK($C96),"",IF(V96=Constants!$B$2,TRUE(),IF(V96=Constants!$B$3,FALSE(),TRUE())))</f>
        <v/>
      </c>
      <c r="AX96" s="135" t="str">
        <f aca="false">IF(ISBLANK($C96),"",IF(ISNUMBER(W96),IF(W96&gt;=0,W96,""),""))</f>
        <v/>
      </c>
      <c r="AY96" s="135" t="str">
        <f aca="false">IF(ISBLANK($C96),"",IF(X96=Constants!$B$2,TRUE(),IF(X96=Constants!$B$3,FALSE(),FALSE())))</f>
        <v/>
      </c>
      <c r="AZ96" s="135" t="str">
        <f aca="false">IF(ISBLANK($C96),"",MIN(Constants!$B$25,MAX(0,IF(ISNUMBER(Y96),Y96*60,0)+IF(ISNUMBER(Z96),Z96,0))))</f>
        <v/>
      </c>
      <c r="BA96" s="135" t="str">
        <f aca="false">IF(ISBLANK($C96),"",IF(AA96=Constants!$B$2,TRUE(),IF(AA96=Constants!$B$3,FALSE(),FALSE())))</f>
        <v/>
      </c>
      <c r="BB96" s="134" t="str">
        <f aca="false">IF(ISBLANK($C96),"",AND($AL96,OR($AM96="",$AN96="",AND($AO96,$AP96=""))))</f>
        <v/>
      </c>
      <c r="BC96" s="137" t="str">
        <f aca="false">IF($BX96&lt;&gt;Constants!$B$6,"",IF($AL96,Constants!$B$17*$AN96+Constants!$B$18*IF($AO96,$AP96,Constants!$B$19),Constants!$B$20))</f>
        <v/>
      </c>
      <c r="BD96" s="138" t="str">
        <f aca="false">IF($BX96&lt;&gt;Constants!$B$6,"",Constants!$B$21*ABS($AD$9-IF($AL96,$AM96,0)))</f>
        <v/>
      </c>
      <c r="BE96" s="138" t="str">
        <f aca="false">IF($BX96&lt;&gt;Constants!$B$6,"",IF(AND($AL96,$AQ96,$AO96),Constants!$B$22,0))</f>
        <v/>
      </c>
      <c r="BF96" s="138" t="str">
        <f aca="false">IF($BX96&lt;&gt;Constants!$B$6,"",IF($AL96,($AI96-Constants!$B$24)*Constants!$B$23,0))</f>
        <v/>
      </c>
      <c r="BG96" s="138" t="str">
        <f aca="false">IF($BX96&lt;&gt;Constants!$B$6,"",IF($AK96,0,Constants!$B$12)+IF($AJ96,0,Constants!$B$13)+IF($AH96,0,Constants!$B$14))</f>
        <v/>
      </c>
      <c r="BH96" s="139" t="str">
        <f aca="false">IF($BX96&lt;&gt;Constants!$B$6,"",Constants!$B$16+SUM($BC96:$BG96))</f>
        <v/>
      </c>
      <c r="BI96" s="138" t="str">
        <f aca="false">IF($BX96&lt;&gt;Constants!$B$6,"",$BC96)</f>
        <v/>
      </c>
      <c r="BJ96" s="138" t="str">
        <f aca="false">IF($BX96&lt;&gt;Constants!$B$6,"",$BD96)</f>
        <v/>
      </c>
      <c r="BK96" s="140" t="str">
        <f aca="false">IF($BX96&lt;&gt;Constants!$B$6,"",IF($AL96,$AN96,""))</f>
        <v/>
      </c>
      <c r="BL96" s="135" t="str">
        <f aca="false">IF($BX96&lt;&gt;Constants!$B$6,"",IF(OR($BS96&lt;$BH96,AND($BS96=$BH96,OR($BT96&lt;$BI96,AND($BT96=$BI96,OR($BU96&lt;$BJ96,AND($BU96=$BJ96,AND(ISNUMBER($BV96),OR(NOT(ISNUMBER($BK96)),$BV96&lt;$BK96)))))))),"-&gt;","&lt;-"))</f>
        <v/>
      </c>
      <c r="BM96" s="134" t="str">
        <f aca="false">IF(ISBLANK($C96),"",AND($AT96,OR($AU96="",$AV96="",AND($AW96,$AX96=""))))</f>
        <v/>
      </c>
      <c r="BN96" s="137" t="str">
        <f aca="false">IF($BX96&lt;&gt;Constants!$B$6,"",IF($AT96,Constants!$B$17*$AV96+Constants!$B$18*IF($AW96,$AX96,Constants!$B$19),Constants!$B$20))</f>
        <v/>
      </c>
      <c r="BO96" s="138" t="str">
        <f aca="false">IF($BX96&lt;&gt;Constants!$B$6,"",Constants!$B$21*ABS($AD$9-IF($AT96,$AU96,0)))</f>
        <v/>
      </c>
      <c r="BP96" s="138" t="str">
        <f aca="false">IF($BX96&lt;&gt;Constants!$B$6,"",IF(AND($AT96,$AY96,$AW96),Constants!$B$22,0))</f>
        <v/>
      </c>
      <c r="BQ96" s="138" t="str">
        <f aca="false">IF($BX96&lt;&gt;Constants!$B$6,"",IF($AT96,($AI96-Constants!$B$24)*Constants!$B$23,0))</f>
        <v/>
      </c>
      <c r="BR96" s="138" t="str">
        <f aca="false">IF($BX96&lt;&gt;Constants!$B$6,"",IF($AS96,0,Constants!$B$12)+IF($AR96,0,Constants!$B$13)+IF($AH96,0,Constants!$B$14))</f>
        <v/>
      </c>
      <c r="BS96" s="139" t="str">
        <f aca="false">IF($BX96&lt;&gt;Constants!$B$6,"",Constants!$B$16+SUM($BN96:$BR96))</f>
        <v/>
      </c>
      <c r="BT96" s="138" t="str">
        <f aca="false">IF($BX96&lt;&gt;Constants!$B$6,"",$BN96)</f>
        <v/>
      </c>
      <c r="BU96" s="138" t="str">
        <f aca="false">IF($BX96&lt;&gt;Constants!$B$6,"",$BO96)</f>
        <v/>
      </c>
      <c r="BV96" s="140" t="str">
        <f aca="false">IF($BX96&lt;&gt;Constants!$B$6,"",IF($AT96,$AV96,""))</f>
        <v/>
      </c>
      <c r="BW96" s="135" t="str">
        <f aca="false">IF(ISBLANK($C96),"",IF(ISBLANK($D$7),$BW$5,IF(NOT(ISNUMBER($D$7)),$BW$6,"")))</f>
        <v/>
      </c>
      <c r="BX96" s="135" t="str">
        <f aca="false">IF(ISBLANK($C96),"",IF($BA96,Constants!$B$9,IF(COUNTA($E96:$AA96)=0,Constants!$B$8,IF(NOT($AG96),Constants!$B$7,IF(OR($BW96&lt;&gt;"",$BB96,$BM96),Constants!$B$10,Constants!$B$6)))))</f>
        <v/>
      </c>
      <c r="BY96" s="135" t="str">
        <f aca="false">IF(ISBLANK($C96),"",IF($BX96&lt;&gt;Constants!$B$6,$BX96,Constants!$B$11))</f>
        <v/>
      </c>
      <c r="BZ96" s="138" t="str">
        <f aca="false">IF($BX96&lt;&gt;Constants!$B$6,"",IF($BL96="-&gt;",$BS96,$BH96))</f>
        <v/>
      </c>
      <c r="CA96" s="138" t="str">
        <f aca="false">IF($BX96&lt;&gt;Constants!$B$6,"",IF($AF96,0,Constants!$B$15))</f>
        <v/>
      </c>
      <c r="CB96" s="138" t="str">
        <f aca="false">IF($BX96&lt;&gt;Constants!$B$6,"",((Constants!$B$25-$AZ96)-Constants!$B$25)/Constants!$B$26)</f>
        <v/>
      </c>
      <c r="CC96" s="138" t="str">
        <f aca="false">IF(ISBLANK($C96),"",IF($BX96&lt;&gt;Constants!$B$6,$BX96,SUM($BZ96:$CB96)))</f>
        <v/>
      </c>
      <c r="CD96" s="135" t="str">
        <f aca="false">IF(ISBLANK($C96),"",IF($BX96&lt;&gt;Constants!$B$6,$BX96,RANK($CC96,$CC$9:$CC$508,1)))</f>
        <v/>
      </c>
      <c r="CE96" s="138" t="str">
        <f aca="false">IF($BX96&lt;&gt;Constants!$B$6,"",IF($BL96="-&gt;",$BT96,$BI96))</f>
        <v/>
      </c>
      <c r="CF96" s="135" t="str">
        <f aca="false">IF(ISBLANK($C96),"",IF($BX96&lt;&gt;Constants!$B$6,$BX96,IF(ISNUMBER($CE96),RANK($CE96,$CE$9:$CE$508,1),COUNT($CE$9:$CE$508)+1)))</f>
        <v/>
      </c>
      <c r="CG96" s="138" t="str">
        <f aca="false">IF($BX96&lt;&gt;Constants!$B$6,"",IF($BL96="-&gt;",$BU96,$BJ96))</f>
        <v/>
      </c>
      <c r="CH96" s="135" t="str">
        <f aca="false">IF(ISBLANK($C96),"",IF($BX96&lt;&gt;Constants!$B$6,$BX96,IF(ISNUMBER($CG96),RANK($CG96,$CG$9:$CG$508,1),COUNT($CG$9:$CG$508)+1)))</f>
        <v/>
      </c>
      <c r="CI96" s="138" t="str">
        <f aca="false">IF($BX96&lt;&gt;Constants!$B$6,"",IF($BL96="-&gt;",$BV96,$BK96))</f>
        <v/>
      </c>
      <c r="CJ96" s="135" t="str">
        <f aca="false">IF(ISBLANK($C96),"",IF($BX96&lt;&gt;Constants!$B$6,$BX96,IF(ISNUMBER($CI96),RANK($CI96,$CI$9:$CI$508,1),COUNT($CI$9:$CI$508)+1)))</f>
        <v/>
      </c>
      <c r="CK96" s="138" t="str">
        <f aca="false">IF($BX96&lt;&gt;Constants!$B$6,"",$AI96)</f>
        <v/>
      </c>
      <c r="CL96" s="135" t="str">
        <f aca="false">IF(ISBLANK($C96),"",IF($BX96&lt;&gt;Constants!$B$6,$BX96,IF(ISNUMBER($CK96),RANK($CK96,$CK$9:$CK$508,1),COUNT($CK$9:$CK$508)+1)))</f>
        <v/>
      </c>
      <c r="CM96" s="135" t="str">
        <f aca="false">IF(ISBLANK($C96),"",IF($BX96&lt;&gt;Constants!$B$6,$BX96,COUNTIFS($CD$9:$CD$508,"&lt;"&amp;$CD96)+COUNTIFS($CD$9:$CD$508,$CD96,$CF$9:$CF$508,"&lt;"&amp;$CF96)+COUNTIFS($CD$9:$CD$508,$CD96,$CF$9:$CF$508,$CF96,$CH$9:$CH$508,"&lt;"&amp;$CH96)+COUNTIFS($CD$9:$CD$508,$CD96,$CF$9:$CF$508,$CF96,$CH$9:$CH$508,$CH96,$CJ$9:$CJ$508,"&lt;"&amp;$CJ96)+COUNTIFS($CD$9:$CD$508,$CD96,$CF$9:$CF$508,$CF96,$CH$9:$CH$508,$CH96,$CJ$9:$CJ$508,$CJ96,$CL$9:$CL$508,"&lt;"&amp;$CL96)+1))</f>
        <v/>
      </c>
      <c r="CN96" s="135" t="str">
        <f aca="false">IF(ISBLANK($C96),"",IF($BX96&lt;&gt;Constants!$B$6,$BX96,$CD96-$CM96))</f>
        <v/>
      </c>
      <c r="CO96" s="141"/>
      <c r="CP96" s="142"/>
      <c r="CQ96" s="143" t="str">
        <f aca="false">IF(ISBLANK($C96),"",IF($BX96=Constants!$B$10,$BW96,""))</f>
        <v/>
      </c>
      <c r="CR96" s="142" t="str">
        <f aca="false">IF(ISBLANK($C96),"",IF($BX96&lt;&gt;Constants!$B$6,"",IF($BL96="-&gt;",2,1)))</f>
        <v/>
      </c>
      <c r="CS96" s="144" t="str">
        <f aca="false">IF(ISBLANK($C96),"",IF($BX96&lt;&gt;Constants!$B$6,"",IF($BL96="-&gt;",$BN96,$BC96)))</f>
        <v/>
      </c>
      <c r="CT96" s="144" t="str">
        <f aca="false">IF(ISBLANK($C96),"",IF($BX96&lt;&gt;Constants!$B$6,"",IF($BL96="-&gt;",$BO96,$BD96)))</f>
        <v/>
      </c>
      <c r="CU96" s="144" t="str">
        <f aca="false">IF(ISBLANK($C96),"",IF($BX96&lt;&gt;Constants!$B$6,"",IF($BL96="-&gt;",$BP96+$BQ96,$BE96+$BF96)+$CB96))</f>
        <v/>
      </c>
      <c r="CV96" s="144" t="str">
        <f aca="false">IF(ISBLANK($C96),"",IF($BX96&lt;&gt;Constants!$B$6,"",IF($BL96="-&gt;",$BR96,$BG96)+$CA96))</f>
        <v/>
      </c>
      <c r="CW96" s="145" t="str">
        <f aca="false">IF(ISBLANK($C96),"",IF($BX96&lt;&gt;Constants!$B$6,$BX96,$CC96))</f>
        <v/>
      </c>
      <c r="CX96" s="146" t="str">
        <f aca="false">IF(ISBLANK($C96),"",$BY96)</f>
        <v/>
      </c>
      <c r="CY96" s="147" t="str">
        <f aca="false">IF(ISBLANK($C96),"",$CN96)</f>
        <v/>
      </c>
      <c r="CZ96" s="147" t="str">
        <f aca="false">IF(ISBLANK($C96),"",$CM96)</f>
        <v/>
      </c>
      <c r="DA96" s="148" t="str">
        <f aca="false">IF(ISBLANK($C96),"",IFERROR(_xlfn.SWITCH($CZ96,Constants!$B$9,COUNTA($C$9:$C$508)+2,Constants!$B$8,COUNTA($C$9:$C$508)+1,Constants!$B$7,COUNTA($C$9:$C$508)),$CZ96))</f>
        <v/>
      </c>
      <c r="DB96" s="9"/>
      <c r="DC96" s="149" t="n">
        <f aca="false">IF(OR(ISNUMBER($CZ96),$CZ96=Constants!$B$9,$CZ96=Constants!$B$7,$CZ96=Constants!$B$8),1,0)</f>
        <v>0</v>
      </c>
      <c r="DD96" s="149" t="n">
        <v>88</v>
      </c>
      <c r="DE96" s="149" t="str">
        <f aca="false">IF(ISBLANK($C96),"",IF(ISNUMBER($DA96),$DA96+ROW($B96)/1000,""))</f>
        <v/>
      </c>
      <c r="DF96" s="149" t="str">
        <f aca="false">IF(ISNUMBER($DE96),RANK($DE96,$DE$9:$DE$508,1),"")</f>
        <v/>
      </c>
      <c r="DG96" s="149" t="str">
        <f aca="false">IF(ISBLANK($C96),"",$B96)</f>
        <v/>
      </c>
      <c r="DH96" s="149" t="str">
        <f aca="false">IF(ISBLANK($C96),"",$C96)</f>
        <v/>
      </c>
      <c r="DI96" s="149" t="str">
        <f aca="false">IF(ISBLANK($C96),"",$D96)</f>
        <v/>
      </c>
      <c r="DJ96" s="150" t="str">
        <f aca="false">$CX96</f>
        <v/>
      </c>
      <c r="DK96" s="151" t="str">
        <f aca="false">$CW96</f>
        <v/>
      </c>
      <c r="DL96" s="149" t="str">
        <f aca="false">IF(ISBLANK($C96),"",$CZ96)</f>
        <v/>
      </c>
      <c r="DM96" s="152" t="str">
        <f aca="false">IF($DD96&gt;$DC$8,"",VLOOKUP($DD96,$DF$9:$DL$508,7,FALSE()))</f>
        <v/>
      </c>
      <c r="DN96" s="153" t="str">
        <f aca="false">IF($DD96&gt;$DC$8,"",VLOOKUP($DD96,$DF$9:$DL$508,2,FALSE()))</f>
        <v/>
      </c>
      <c r="DO96" s="153" t="str">
        <f aca="false">IF($DD96&gt;$DC$8,"",VLOOKUP($DD96,$DF$9:$DL$508,3,FALSE()))</f>
        <v/>
      </c>
      <c r="DP96" s="153" t="str">
        <f aca="false">IF($DD96&gt;$DC$8,"",VLOOKUP($DD96,$DF$9:$DL$508,4,FALSE()))</f>
        <v/>
      </c>
      <c r="DQ96" s="153" t="str">
        <f aca="false">IF($DD96&gt;$DC$8,"",VLOOKUP($DD96,$DF$9:$DL$508,5,FALSE()))</f>
        <v/>
      </c>
      <c r="DR96" s="154" t="str">
        <f aca="false">IF($DD96&gt;$DC$8,"",VLOOKUP($DD96,$DF$9:$DL$508,6,FALSE()))</f>
        <v/>
      </c>
      <c r="DS96" s="76"/>
    </row>
    <row r="97" customFormat="false" ht="15.75" hidden="false" customHeight="false" outlineLevel="0" collapsed="false">
      <c r="A97" s="9"/>
      <c r="B97" s="160"/>
      <c r="C97" s="161"/>
      <c r="D97" s="162"/>
      <c r="E97" s="180"/>
      <c r="F97" s="164"/>
      <c r="G97" s="165"/>
      <c r="H97" s="165"/>
      <c r="I97" s="181"/>
      <c r="J97" s="168"/>
      <c r="K97" s="128"/>
      <c r="L97" s="129"/>
      <c r="M97" s="130"/>
      <c r="N97" s="168"/>
      <c r="O97" s="168"/>
      <c r="P97" s="180"/>
      <c r="Q97" s="168"/>
      <c r="R97" s="168"/>
      <c r="S97" s="128"/>
      <c r="T97" s="130"/>
      <c r="U97" s="130"/>
      <c r="V97" s="168"/>
      <c r="W97" s="168"/>
      <c r="X97" s="180"/>
      <c r="Y97" s="168"/>
      <c r="Z97" s="169"/>
      <c r="AA97" s="168"/>
      <c r="AB97" s="134"/>
      <c r="AC97" s="135"/>
      <c r="AD97" s="135"/>
      <c r="AE97" s="135"/>
      <c r="AF97" s="135" t="str">
        <f aca="false">IF(ISBLANK($C97),"",IF(E97=Constants!$B$2,TRUE(),IF(E97=Constants!$B$3,FALSE(),TRUE())))</f>
        <v/>
      </c>
      <c r="AG97" s="135" t="str">
        <f aca="false">IF(ISBLANK($C97),"",IF(F97=Constants!$B$2,TRUE(),IF(F97=Constants!$B$3,FALSE(),TRUE())))</f>
        <v/>
      </c>
      <c r="AH97" s="135" t="str">
        <f aca="false">IF(ISBLANK($C97),"",IF(G97=Constants!$B$2,TRUE(),IF(G97=Constants!$B$3,FALSE(),TRUE())))</f>
        <v/>
      </c>
      <c r="AI97" s="135" t="str">
        <f aca="false">IF(ISBLANK($C97),"",IF(AND(ISNUMBER(H97),H97&gt;=0),H97,Constants!$B$24))</f>
        <v/>
      </c>
      <c r="AJ97" s="135" t="str">
        <f aca="false">IF(ISBLANK($C97),"",IF(I97=Constants!$B$2,TRUE(),IF(I97=Constants!$B$3,FALSE(),TRUE())))</f>
        <v/>
      </c>
      <c r="AK97" s="135" t="str">
        <f aca="false">IF(ISBLANK($C97),"",IF(J97=Constants!$B$2,TRUE(),IF(J97=Constants!$B$3,FALSE(),TRUE())))</f>
        <v/>
      </c>
      <c r="AL97" s="135" t="str">
        <f aca="false">IF(ISBLANK($C97),"",IF(K97=Constants!$B$4,TRUE(),IF(K97=Constants!$B$5,FALSE(),COUNTA(L97:P97)&gt;0)))</f>
        <v/>
      </c>
      <c r="AM97" s="136" t="str">
        <f aca="false">IF(ISBLANK($C97),"",IF(ISNUMBER(L97),IF(L97&gt;=0,L97,""),""))</f>
        <v/>
      </c>
      <c r="AN97" s="137" t="str">
        <f aca="false">IF(ISBLANK($C97),"",IF(ISNUMBER(M97),IF(M97&gt;=0,M97,""),""))</f>
        <v/>
      </c>
      <c r="AO97" s="137" t="str">
        <f aca="false">IF(ISBLANK($C97),"",IF(N97=Constants!$B$2,TRUE(),IF(N97=Constants!$B$3,FALSE(),TRUE())))</f>
        <v/>
      </c>
      <c r="AP97" s="135" t="str">
        <f aca="false">IF(ISBLANK($C97),"",IF(ISNUMBER(O97),IF(O97&gt;=0,O97,""),""))</f>
        <v/>
      </c>
      <c r="AQ97" s="135" t="str">
        <f aca="false">IF(ISBLANK($C97),"",IF(P97=Constants!$B$2,TRUE(),IF(P97=Constants!$B$3,FALSE(),FALSE())))</f>
        <v/>
      </c>
      <c r="AR97" s="135" t="str">
        <f aca="false">IF(ISBLANK($C97),"",IF(Q97=Constants!$B$2,TRUE(),IF(Q97=Constants!$B$3,FALSE(),TRUE())))</f>
        <v/>
      </c>
      <c r="AS97" s="135" t="str">
        <f aca="false">IF(ISBLANK($C97),"",IF(R97=Constants!$B$2,TRUE(),IF(R97=Constants!$B$3,FALSE(),TRUE())))</f>
        <v/>
      </c>
      <c r="AT97" s="135" t="str">
        <f aca="false">IF(ISBLANK($C97),"",IF(S97=Constants!$B$4,TRUE(),IF(S97=Constants!$B$5,FALSE(),COUNTA(T97:X97)&gt;0)))</f>
        <v/>
      </c>
      <c r="AU97" s="136" t="str">
        <f aca="false">IF(ISBLANK($C97),"",IF(ISNUMBER(T97),IF(T97&gt;=0,T97,""),""))</f>
        <v/>
      </c>
      <c r="AV97" s="137" t="str">
        <f aca="false">IF(ISBLANK($C97),"",IF(ISNUMBER(U97),IF(U97&gt;=0,U97,""),""))</f>
        <v/>
      </c>
      <c r="AW97" s="137" t="str">
        <f aca="false">IF(ISBLANK($C97),"",IF(V97=Constants!$B$2,TRUE(),IF(V97=Constants!$B$3,FALSE(),TRUE())))</f>
        <v/>
      </c>
      <c r="AX97" s="135" t="str">
        <f aca="false">IF(ISBLANK($C97),"",IF(ISNUMBER(W97),IF(W97&gt;=0,W97,""),""))</f>
        <v/>
      </c>
      <c r="AY97" s="135" t="str">
        <f aca="false">IF(ISBLANK($C97),"",IF(X97=Constants!$B$2,TRUE(),IF(X97=Constants!$B$3,FALSE(),FALSE())))</f>
        <v/>
      </c>
      <c r="AZ97" s="135" t="str">
        <f aca="false">IF(ISBLANK($C97),"",MIN(Constants!$B$25,MAX(0,IF(ISNUMBER(Y97),Y97*60,0)+IF(ISNUMBER(Z97),Z97,0))))</f>
        <v/>
      </c>
      <c r="BA97" s="135" t="str">
        <f aca="false">IF(ISBLANK($C97),"",IF(AA97=Constants!$B$2,TRUE(),IF(AA97=Constants!$B$3,FALSE(),FALSE())))</f>
        <v/>
      </c>
      <c r="BB97" s="134" t="str">
        <f aca="false">IF(ISBLANK($C97),"",AND($AL97,OR($AM97="",$AN97="",AND($AO97,$AP97=""))))</f>
        <v/>
      </c>
      <c r="BC97" s="137" t="str">
        <f aca="false">IF($BX97&lt;&gt;Constants!$B$6,"",IF($AL97,Constants!$B$17*$AN97+Constants!$B$18*IF($AO97,$AP97,Constants!$B$19),Constants!$B$20))</f>
        <v/>
      </c>
      <c r="BD97" s="138" t="str">
        <f aca="false">IF($BX97&lt;&gt;Constants!$B$6,"",Constants!$B$21*ABS($AD$9-IF($AL97,$AM97,0)))</f>
        <v/>
      </c>
      <c r="BE97" s="138" t="str">
        <f aca="false">IF($BX97&lt;&gt;Constants!$B$6,"",IF(AND($AL97,$AQ97,$AO97),Constants!$B$22,0))</f>
        <v/>
      </c>
      <c r="BF97" s="138" t="str">
        <f aca="false">IF($BX97&lt;&gt;Constants!$B$6,"",IF($AL97,($AI97-Constants!$B$24)*Constants!$B$23,0))</f>
        <v/>
      </c>
      <c r="BG97" s="138" t="str">
        <f aca="false">IF($BX97&lt;&gt;Constants!$B$6,"",IF($AK97,0,Constants!$B$12)+IF($AJ97,0,Constants!$B$13)+IF($AH97,0,Constants!$B$14))</f>
        <v/>
      </c>
      <c r="BH97" s="139" t="str">
        <f aca="false">IF($BX97&lt;&gt;Constants!$B$6,"",Constants!$B$16+SUM($BC97:$BG97))</f>
        <v/>
      </c>
      <c r="BI97" s="138" t="str">
        <f aca="false">IF($BX97&lt;&gt;Constants!$B$6,"",$BC97)</f>
        <v/>
      </c>
      <c r="BJ97" s="138" t="str">
        <f aca="false">IF($BX97&lt;&gt;Constants!$B$6,"",$BD97)</f>
        <v/>
      </c>
      <c r="BK97" s="140" t="str">
        <f aca="false">IF($BX97&lt;&gt;Constants!$B$6,"",IF($AL97,$AN97,""))</f>
        <v/>
      </c>
      <c r="BL97" s="135" t="str">
        <f aca="false">IF($BX97&lt;&gt;Constants!$B$6,"",IF(OR($BS97&lt;$BH97,AND($BS97=$BH97,OR($BT97&lt;$BI97,AND($BT97=$BI97,OR($BU97&lt;$BJ97,AND($BU97=$BJ97,AND(ISNUMBER($BV97),OR(NOT(ISNUMBER($BK97)),$BV97&lt;$BK97)))))))),"-&gt;","&lt;-"))</f>
        <v/>
      </c>
      <c r="BM97" s="134" t="str">
        <f aca="false">IF(ISBLANK($C97),"",AND($AT97,OR($AU97="",$AV97="",AND($AW97,$AX97=""))))</f>
        <v/>
      </c>
      <c r="BN97" s="137" t="str">
        <f aca="false">IF($BX97&lt;&gt;Constants!$B$6,"",IF($AT97,Constants!$B$17*$AV97+Constants!$B$18*IF($AW97,$AX97,Constants!$B$19),Constants!$B$20))</f>
        <v/>
      </c>
      <c r="BO97" s="138" t="str">
        <f aca="false">IF($BX97&lt;&gt;Constants!$B$6,"",Constants!$B$21*ABS($AD$9-IF($AT97,$AU97,0)))</f>
        <v/>
      </c>
      <c r="BP97" s="138" t="str">
        <f aca="false">IF($BX97&lt;&gt;Constants!$B$6,"",IF(AND($AT97,$AY97,$AW97),Constants!$B$22,0))</f>
        <v/>
      </c>
      <c r="BQ97" s="138" t="str">
        <f aca="false">IF($BX97&lt;&gt;Constants!$B$6,"",IF($AT97,($AI97-Constants!$B$24)*Constants!$B$23,0))</f>
        <v/>
      </c>
      <c r="BR97" s="138" t="str">
        <f aca="false">IF($BX97&lt;&gt;Constants!$B$6,"",IF($AS97,0,Constants!$B$12)+IF($AR97,0,Constants!$B$13)+IF($AH97,0,Constants!$B$14))</f>
        <v/>
      </c>
      <c r="BS97" s="139" t="str">
        <f aca="false">IF($BX97&lt;&gt;Constants!$B$6,"",Constants!$B$16+SUM($BN97:$BR97))</f>
        <v/>
      </c>
      <c r="BT97" s="138" t="str">
        <f aca="false">IF($BX97&lt;&gt;Constants!$B$6,"",$BN97)</f>
        <v/>
      </c>
      <c r="BU97" s="138" t="str">
        <f aca="false">IF($BX97&lt;&gt;Constants!$B$6,"",$BO97)</f>
        <v/>
      </c>
      <c r="BV97" s="140" t="str">
        <f aca="false">IF($BX97&lt;&gt;Constants!$B$6,"",IF($AT97,$AV97,""))</f>
        <v/>
      </c>
      <c r="BW97" s="135" t="str">
        <f aca="false">IF(ISBLANK($C97),"",IF(ISBLANK($D$7),$BW$5,IF(NOT(ISNUMBER($D$7)),$BW$6,"")))</f>
        <v/>
      </c>
      <c r="BX97" s="135" t="str">
        <f aca="false">IF(ISBLANK($C97),"",IF($BA97,Constants!$B$9,IF(COUNTA($E97:$AA97)=0,Constants!$B$8,IF(NOT($AG97),Constants!$B$7,IF(OR($BW97&lt;&gt;"",$BB97,$BM97),Constants!$B$10,Constants!$B$6)))))</f>
        <v/>
      </c>
      <c r="BY97" s="135" t="str">
        <f aca="false">IF(ISBLANK($C97),"",IF($BX97&lt;&gt;Constants!$B$6,$BX97,Constants!$B$11))</f>
        <v/>
      </c>
      <c r="BZ97" s="138" t="str">
        <f aca="false">IF($BX97&lt;&gt;Constants!$B$6,"",IF($BL97="-&gt;",$BS97,$BH97))</f>
        <v/>
      </c>
      <c r="CA97" s="138" t="str">
        <f aca="false">IF($BX97&lt;&gt;Constants!$B$6,"",IF($AF97,0,Constants!$B$15))</f>
        <v/>
      </c>
      <c r="CB97" s="138" t="str">
        <f aca="false">IF($BX97&lt;&gt;Constants!$B$6,"",((Constants!$B$25-$AZ97)-Constants!$B$25)/Constants!$B$26)</f>
        <v/>
      </c>
      <c r="CC97" s="138" t="str">
        <f aca="false">IF(ISBLANK($C97),"",IF($BX97&lt;&gt;Constants!$B$6,$BX97,SUM($BZ97:$CB97)))</f>
        <v/>
      </c>
      <c r="CD97" s="135" t="str">
        <f aca="false">IF(ISBLANK($C97),"",IF($BX97&lt;&gt;Constants!$B$6,$BX97,RANK($CC97,$CC$9:$CC$508,1)))</f>
        <v/>
      </c>
      <c r="CE97" s="138" t="str">
        <f aca="false">IF($BX97&lt;&gt;Constants!$B$6,"",IF($BL97="-&gt;",$BT97,$BI97))</f>
        <v/>
      </c>
      <c r="CF97" s="135" t="str">
        <f aca="false">IF(ISBLANK($C97),"",IF($BX97&lt;&gt;Constants!$B$6,$BX97,IF(ISNUMBER($CE97),RANK($CE97,$CE$9:$CE$508,1),COUNT($CE$9:$CE$508)+1)))</f>
        <v/>
      </c>
      <c r="CG97" s="138" t="str">
        <f aca="false">IF($BX97&lt;&gt;Constants!$B$6,"",IF($BL97="-&gt;",$BU97,$BJ97))</f>
        <v/>
      </c>
      <c r="CH97" s="135" t="str">
        <f aca="false">IF(ISBLANK($C97),"",IF($BX97&lt;&gt;Constants!$B$6,$BX97,IF(ISNUMBER($CG97),RANK($CG97,$CG$9:$CG$508,1),COUNT($CG$9:$CG$508)+1)))</f>
        <v/>
      </c>
      <c r="CI97" s="138" t="str">
        <f aca="false">IF($BX97&lt;&gt;Constants!$B$6,"",IF($BL97="-&gt;",$BV97,$BK97))</f>
        <v/>
      </c>
      <c r="CJ97" s="135" t="str">
        <f aca="false">IF(ISBLANK($C97),"",IF($BX97&lt;&gt;Constants!$B$6,$BX97,IF(ISNUMBER($CI97),RANK($CI97,$CI$9:$CI$508,1),COUNT($CI$9:$CI$508)+1)))</f>
        <v/>
      </c>
      <c r="CK97" s="138" t="str">
        <f aca="false">IF($BX97&lt;&gt;Constants!$B$6,"",$AI97)</f>
        <v/>
      </c>
      <c r="CL97" s="135" t="str">
        <f aca="false">IF(ISBLANK($C97),"",IF($BX97&lt;&gt;Constants!$B$6,$BX97,IF(ISNUMBER($CK97),RANK($CK97,$CK$9:$CK$508,1),COUNT($CK$9:$CK$508)+1)))</f>
        <v/>
      </c>
      <c r="CM97" s="135" t="str">
        <f aca="false">IF(ISBLANK($C97),"",IF($BX97&lt;&gt;Constants!$B$6,$BX97,COUNTIFS($CD$9:$CD$508,"&lt;"&amp;$CD97)+COUNTIFS($CD$9:$CD$508,$CD97,$CF$9:$CF$508,"&lt;"&amp;$CF97)+COUNTIFS($CD$9:$CD$508,$CD97,$CF$9:$CF$508,$CF97,$CH$9:$CH$508,"&lt;"&amp;$CH97)+COUNTIFS($CD$9:$CD$508,$CD97,$CF$9:$CF$508,$CF97,$CH$9:$CH$508,$CH97,$CJ$9:$CJ$508,"&lt;"&amp;$CJ97)+COUNTIFS($CD$9:$CD$508,$CD97,$CF$9:$CF$508,$CF97,$CH$9:$CH$508,$CH97,$CJ$9:$CJ$508,$CJ97,$CL$9:$CL$508,"&lt;"&amp;$CL97)+1))</f>
        <v/>
      </c>
      <c r="CN97" s="135" t="str">
        <f aca="false">IF(ISBLANK($C97),"",IF($BX97&lt;&gt;Constants!$B$6,$BX97,$CD97-$CM97))</f>
        <v/>
      </c>
      <c r="CO97" s="141"/>
      <c r="CP97" s="142"/>
      <c r="CQ97" s="143" t="str">
        <f aca="false">IF(ISBLANK($C97),"",IF($BX97=Constants!$B$10,$BW97,""))</f>
        <v/>
      </c>
      <c r="CR97" s="142" t="str">
        <f aca="false">IF(ISBLANK($C97),"",IF($BX97&lt;&gt;Constants!$B$6,"",IF($BL97="-&gt;",2,1)))</f>
        <v/>
      </c>
      <c r="CS97" s="144" t="str">
        <f aca="false">IF(ISBLANK($C97),"",IF($BX97&lt;&gt;Constants!$B$6,"",IF($BL97="-&gt;",$BN97,$BC97)))</f>
        <v/>
      </c>
      <c r="CT97" s="144" t="str">
        <f aca="false">IF(ISBLANK($C97),"",IF($BX97&lt;&gt;Constants!$B$6,"",IF($BL97="-&gt;",$BO97,$BD97)))</f>
        <v/>
      </c>
      <c r="CU97" s="144" t="str">
        <f aca="false">IF(ISBLANK($C97),"",IF($BX97&lt;&gt;Constants!$B$6,"",IF($BL97="-&gt;",$BP97+$BQ97,$BE97+$BF97)+$CB97))</f>
        <v/>
      </c>
      <c r="CV97" s="144" t="str">
        <f aca="false">IF(ISBLANK($C97),"",IF($BX97&lt;&gt;Constants!$B$6,"",IF($BL97="-&gt;",$BR97,$BG97)+$CA97))</f>
        <v/>
      </c>
      <c r="CW97" s="145" t="str">
        <f aca="false">IF(ISBLANK($C97),"",IF($BX97&lt;&gt;Constants!$B$6,$BX97,$CC97))</f>
        <v/>
      </c>
      <c r="CX97" s="146" t="str">
        <f aca="false">IF(ISBLANK($C97),"",$BY97)</f>
        <v/>
      </c>
      <c r="CY97" s="147" t="str">
        <f aca="false">IF(ISBLANK($C97),"",$CN97)</f>
        <v/>
      </c>
      <c r="CZ97" s="147" t="str">
        <f aca="false">IF(ISBLANK($C97),"",$CM97)</f>
        <v/>
      </c>
      <c r="DA97" s="148" t="str">
        <f aca="false">IF(ISBLANK($C97),"",IFERROR(_xlfn.SWITCH($CZ97,Constants!$B$9,COUNTA($C$9:$C$508)+2,Constants!$B$8,COUNTA($C$9:$C$508)+1,Constants!$B$7,COUNTA($C$9:$C$508)),$CZ97))</f>
        <v/>
      </c>
      <c r="DB97" s="9"/>
      <c r="DC97" s="149" t="n">
        <f aca="false">IF(OR(ISNUMBER($CZ97),$CZ97=Constants!$B$9,$CZ97=Constants!$B$7,$CZ97=Constants!$B$8),1,0)</f>
        <v>0</v>
      </c>
      <c r="DD97" s="149" t="n">
        <v>89</v>
      </c>
      <c r="DE97" s="149" t="str">
        <f aca="false">IF(ISBLANK($C97),"",IF(ISNUMBER($DA97),$DA97+ROW($B97)/1000,""))</f>
        <v/>
      </c>
      <c r="DF97" s="149" t="str">
        <f aca="false">IF(ISNUMBER($DE97),RANK($DE97,$DE$9:$DE$508,1),"")</f>
        <v/>
      </c>
      <c r="DG97" s="149" t="str">
        <f aca="false">IF(ISBLANK($C97),"",$B97)</f>
        <v/>
      </c>
      <c r="DH97" s="149" t="str">
        <f aca="false">IF(ISBLANK($C97),"",$C97)</f>
        <v/>
      </c>
      <c r="DI97" s="149" t="str">
        <f aca="false">IF(ISBLANK($C97),"",$D97)</f>
        <v/>
      </c>
      <c r="DJ97" s="150" t="str">
        <f aca="false">$CX97</f>
        <v/>
      </c>
      <c r="DK97" s="151" t="str">
        <f aca="false">$CW97</f>
        <v/>
      </c>
      <c r="DL97" s="149" t="str">
        <f aca="false">IF(ISBLANK($C97),"",$CZ97)</f>
        <v/>
      </c>
      <c r="DM97" s="152" t="str">
        <f aca="false">IF($DD97&gt;$DC$8,"",VLOOKUP($DD97,$DF$9:$DL$508,7,FALSE()))</f>
        <v/>
      </c>
      <c r="DN97" s="153" t="str">
        <f aca="false">IF($DD97&gt;$DC$8,"",VLOOKUP($DD97,$DF$9:$DL$508,2,FALSE()))</f>
        <v/>
      </c>
      <c r="DO97" s="153" t="str">
        <f aca="false">IF($DD97&gt;$DC$8,"",VLOOKUP($DD97,$DF$9:$DL$508,3,FALSE()))</f>
        <v/>
      </c>
      <c r="DP97" s="153" t="str">
        <f aca="false">IF($DD97&gt;$DC$8,"",VLOOKUP($DD97,$DF$9:$DL$508,4,FALSE()))</f>
        <v/>
      </c>
      <c r="DQ97" s="153" t="str">
        <f aca="false">IF($DD97&gt;$DC$8,"",VLOOKUP($DD97,$DF$9:$DL$508,5,FALSE()))</f>
        <v/>
      </c>
      <c r="DR97" s="154" t="str">
        <f aca="false">IF($DD97&gt;$DC$8,"",VLOOKUP($DD97,$DF$9:$DL$508,6,FALSE()))</f>
        <v/>
      </c>
      <c r="DS97" s="76"/>
    </row>
    <row r="98" customFormat="false" ht="15.75" hidden="false" customHeight="false" outlineLevel="0" collapsed="false">
      <c r="A98" s="9"/>
      <c r="B98" s="160"/>
      <c r="C98" s="161"/>
      <c r="D98" s="162"/>
      <c r="E98" s="180"/>
      <c r="F98" s="164"/>
      <c r="G98" s="165"/>
      <c r="H98" s="165"/>
      <c r="I98" s="181"/>
      <c r="J98" s="168"/>
      <c r="K98" s="128"/>
      <c r="L98" s="129"/>
      <c r="M98" s="130"/>
      <c r="N98" s="168"/>
      <c r="O98" s="168"/>
      <c r="P98" s="180"/>
      <c r="Q98" s="168"/>
      <c r="R98" s="168"/>
      <c r="S98" s="128"/>
      <c r="T98" s="130"/>
      <c r="U98" s="130"/>
      <c r="V98" s="168"/>
      <c r="W98" s="168"/>
      <c r="X98" s="180"/>
      <c r="Y98" s="168"/>
      <c r="Z98" s="169"/>
      <c r="AA98" s="168"/>
      <c r="AB98" s="134"/>
      <c r="AC98" s="135"/>
      <c r="AD98" s="135"/>
      <c r="AE98" s="135"/>
      <c r="AF98" s="135" t="str">
        <f aca="false">IF(ISBLANK($C98),"",IF(E98=Constants!$B$2,TRUE(),IF(E98=Constants!$B$3,FALSE(),TRUE())))</f>
        <v/>
      </c>
      <c r="AG98" s="135" t="str">
        <f aca="false">IF(ISBLANK($C98),"",IF(F98=Constants!$B$2,TRUE(),IF(F98=Constants!$B$3,FALSE(),TRUE())))</f>
        <v/>
      </c>
      <c r="AH98" s="135" t="str">
        <f aca="false">IF(ISBLANK($C98),"",IF(G98=Constants!$B$2,TRUE(),IF(G98=Constants!$B$3,FALSE(),TRUE())))</f>
        <v/>
      </c>
      <c r="AI98" s="135" t="str">
        <f aca="false">IF(ISBLANK($C98),"",IF(AND(ISNUMBER(H98),H98&gt;=0),H98,Constants!$B$24))</f>
        <v/>
      </c>
      <c r="AJ98" s="135" t="str">
        <f aca="false">IF(ISBLANK($C98),"",IF(I98=Constants!$B$2,TRUE(),IF(I98=Constants!$B$3,FALSE(),TRUE())))</f>
        <v/>
      </c>
      <c r="AK98" s="135" t="str">
        <f aca="false">IF(ISBLANK($C98),"",IF(J98=Constants!$B$2,TRUE(),IF(J98=Constants!$B$3,FALSE(),TRUE())))</f>
        <v/>
      </c>
      <c r="AL98" s="135" t="str">
        <f aca="false">IF(ISBLANK($C98),"",IF(K98=Constants!$B$4,TRUE(),IF(K98=Constants!$B$5,FALSE(),COUNTA(L98:P98)&gt;0)))</f>
        <v/>
      </c>
      <c r="AM98" s="136" t="str">
        <f aca="false">IF(ISBLANK($C98),"",IF(ISNUMBER(L98),IF(L98&gt;=0,L98,""),""))</f>
        <v/>
      </c>
      <c r="AN98" s="137" t="str">
        <f aca="false">IF(ISBLANK($C98),"",IF(ISNUMBER(M98),IF(M98&gt;=0,M98,""),""))</f>
        <v/>
      </c>
      <c r="AO98" s="137" t="str">
        <f aca="false">IF(ISBLANK($C98),"",IF(N98=Constants!$B$2,TRUE(),IF(N98=Constants!$B$3,FALSE(),TRUE())))</f>
        <v/>
      </c>
      <c r="AP98" s="135" t="str">
        <f aca="false">IF(ISBLANK($C98),"",IF(ISNUMBER(O98),IF(O98&gt;=0,O98,""),""))</f>
        <v/>
      </c>
      <c r="AQ98" s="135" t="str">
        <f aca="false">IF(ISBLANK($C98),"",IF(P98=Constants!$B$2,TRUE(),IF(P98=Constants!$B$3,FALSE(),FALSE())))</f>
        <v/>
      </c>
      <c r="AR98" s="135" t="str">
        <f aca="false">IF(ISBLANK($C98),"",IF(Q98=Constants!$B$2,TRUE(),IF(Q98=Constants!$B$3,FALSE(),TRUE())))</f>
        <v/>
      </c>
      <c r="AS98" s="135" t="str">
        <f aca="false">IF(ISBLANK($C98),"",IF(R98=Constants!$B$2,TRUE(),IF(R98=Constants!$B$3,FALSE(),TRUE())))</f>
        <v/>
      </c>
      <c r="AT98" s="135" t="str">
        <f aca="false">IF(ISBLANK($C98),"",IF(S98=Constants!$B$4,TRUE(),IF(S98=Constants!$B$5,FALSE(),COUNTA(T98:X98)&gt;0)))</f>
        <v/>
      </c>
      <c r="AU98" s="136" t="str">
        <f aca="false">IF(ISBLANK($C98),"",IF(ISNUMBER(T98),IF(T98&gt;=0,T98,""),""))</f>
        <v/>
      </c>
      <c r="AV98" s="137" t="str">
        <f aca="false">IF(ISBLANK($C98),"",IF(ISNUMBER(U98),IF(U98&gt;=0,U98,""),""))</f>
        <v/>
      </c>
      <c r="AW98" s="137" t="str">
        <f aca="false">IF(ISBLANK($C98),"",IF(V98=Constants!$B$2,TRUE(),IF(V98=Constants!$B$3,FALSE(),TRUE())))</f>
        <v/>
      </c>
      <c r="AX98" s="135" t="str">
        <f aca="false">IF(ISBLANK($C98),"",IF(ISNUMBER(W98),IF(W98&gt;=0,W98,""),""))</f>
        <v/>
      </c>
      <c r="AY98" s="135" t="str">
        <f aca="false">IF(ISBLANK($C98),"",IF(X98=Constants!$B$2,TRUE(),IF(X98=Constants!$B$3,FALSE(),FALSE())))</f>
        <v/>
      </c>
      <c r="AZ98" s="135" t="str">
        <f aca="false">IF(ISBLANK($C98),"",MIN(Constants!$B$25,MAX(0,IF(ISNUMBER(Y98),Y98*60,0)+IF(ISNUMBER(Z98),Z98,0))))</f>
        <v/>
      </c>
      <c r="BA98" s="135" t="str">
        <f aca="false">IF(ISBLANK($C98),"",IF(AA98=Constants!$B$2,TRUE(),IF(AA98=Constants!$B$3,FALSE(),FALSE())))</f>
        <v/>
      </c>
      <c r="BB98" s="134" t="str">
        <f aca="false">IF(ISBLANK($C98),"",AND($AL98,OR($AM98="",$AN98="",AND($AO98,$AP98=""))))</f>
        <v/>
      </c>
      <c r="BC98" s="137" t="str">
        <f aca="false">IF($BX98&lt;&gt;Constants!$B$6,"",IF($AL98,Constants!$B$17*$AN98+Constants!$B$18*IF($AO98,$AP98,Constants!$B$19),Constants!$B$20))</f>
        <v/>
      </c>
      <c r="BD98" s="138" t="str">
        <f aca="false">IF($BX98&lt;&gt;Constants!$B$6,"",Constants!$B$21*ABS($AD$9-IF($AL98,$AM98,0)))</f>
        <v/>
      </c>
      <c r="BE98" s="138" t="str">
        <f aca="false">IF($BX98&lt;&gt;Constants!$B$6,"",IF(AND($AL98,$AQ98,$AO98),Constants!$B$22,0))</f>
        <v/>
      </c>
      <c r="BF98" s="138" t="str">
        <f aca="false">IF($BX98&lt;&gt;Constants!$B$6,"",IF($AL98,($AI98-Constants!$B$24)*Constants!$B$23,0))</f>
        <v/>
      </c>
      <c r="BG98" s="138" t="str">
        <f aca="false">IF($BX98&lt;&gt;Constants!$B$6,"",IF($AK98,0,Constants!$B$12)+IF($AJ98,0,Constants!$B$13)+IF($AH98,0,Constants!$B$14))</f>
        <v/>
      </c>
      <c r="BH98" s="139" t="str">
        <f aca="false">IF($BX98&lt;&gt;Constants!$B$6,"",Constants!$B$16+SUM($BC98:$BG98))</f>
        <v/>
      </c>
      <c r="BI98" s="138" t="str">
        <f aca="false">IF($BX98&lt;&gt;Constants!$B$6,"",$BC98)</f>
        <v/>
      </c>
      <c r="BJ98" s="138" t="str">
        <f aca="false">IF($BX98&lt;&gt;Constants!$B$6,"",$BD98)</f>
        <v/>
      </c>
      <c r="BK98" s="140" t="str">
        <f aca="false">IF($BX98&lt;&gt;Constants!$B$6,"",IF($AL98,$AN98,""))</f>
        <v/>
      </c>
      <c r="BL98" s="135" t="str">
        <f aca="false">IF($BX98&lt;&gt;Constants!$B$6,"",IF(OR($BS98&lt;$BH98,AND($BS98=$BH98,OR($BT98&lt;$BI98,AND($BT98=$BI98,OR($BU98&lt;$BJ98,AND($BU98=$BJ98,AND(ISNUMBER($BV98),OR(NOT(ISNUMBER($BK98)),$BV98&lt;$BK98)))))))),"-&gt;","&lt;-"))</f>
        <v/>
      </c>
      <c r="BM98" s="134" t="str">
        <f aca="false">IF(ISBLANK($C98),"",AND($AT98,OR($AU98="",$AV98="",AND($AW98,$AX98=""))))</f>
        <v/>
      </c>
      <c r="BN98" s="137" t="str">
        <f aca="false">IF($BX98&lt;&gt;Constants!$B$6,"",IF($AT98,Constants!$B$17*$AV98+Constants!$B$18*IF($AW98,$AX98,Constants!$B$19),Constants!$B$20))</f>
        <v/>
      </c>
      <c r="BO98" s="138" t="str">
        <f aca="false">IF($BX98&lt;&gt;Constants!$B$6,"",Constants!$B$21*ABS($AD$9-IF($AT98,$AU98,0)))</f>
        <v/>
      </c>
      <c r="BP98" s="138" t="str">
        <f aca="false">IF($BX98&lt;&gt;Constants!$B$6,"",IF(AND($AT98,$AY98,$AW98),Constants!$B$22,0))</f>
        <v/>
      </c>
      <c r="BQ98" s="138" t="str">
        <f aca="false">IF($BX98&lt;&gt;Constants!$B$6,"",IF($AT98,($AI98-Constants!$B$24)*Constants!$B$23,0))</f>
        <v/>
      </c>
      <c r="BR98" s="138" t="str">
        <f aca="false">IF($BX98&lt;&gt;Constants!$B$6,"",IF($AS98,0,Constants!$B$12)+IF($AR98,0,Constants!$B$13)+IF($AH98,0,Constants!$B$14))</f>
        <v/>
      </c>
      <c r="BS98" s="139" t="str">
        <f aca="false">IF($BX98&lt;&gt;Constants!$B$6,"",Constants!$B$16+SUM($BN98:$BR98))</f>
        <v/>
      </c>
      <c r="BT98" s="138" t="str">
        <f aca="false">IF($BX98&lt;&gt;Constants!$B$6,"",$BN98)</f>
        <v/>
      </c>
      <c r="BU98" s="138" t="str">
        <f aca="false">IF($BX98&lt;&gt;Constants!$B$6,"",$BO98)</f>
        <v/>
      </c>
      <c r="BV98" s="140" t="str">
        <f aca="false">IF($BX98&lt;&gt;Constants!$B$6,"",IF($AT98,$AV98,""))</f>
        <v/>
      </c>
      <c r="BW98" s="135" t="str">
        <f aca="false">IF(ISBLANK($C98),"",IF(ISBLANK($D$7),$BW$5,IF(NOT(ISNUMBER($D$7)),$BW$6,"")))</f>
        <v/>
      </c>
      <c r="BX98" s="135" t="str">
        <f aca="false">IF(ISBLANK($C98),"",IF($BA98,Constants!$B$9,IF(COUNTA($E98:$AA98)=0,Constants!$B$8,IF(NOT($AG98),Constants!$B$7,IF(OR($BW98&lt;&gt;"",$BB98,$BM98),Constants!$B$10,Constants!$B$6)))))</f>
        <v/>
      </c>
      <c r="BY98" s="135" t="str">
        <f aca="false">IF(ISBLANK($C98),"",IF($BX98&lt;&gt;Constants!$B$6,$BX98,Constants!$B$11))</f>
        <v/>
      </c>
      <c r="BZ98" s="138" t="str">
        <f aca="false">IF($BX98&lt;&gt;Constants!$B$6,"",IF($BL98="-&gt;",$BS98,$BH98))</f>
        <v/>
      </c>
      <c r="CA98" s="138" t="str">
        <f aca="false">IF($BX98&lt;&gt;Constants!$B$6,"",IF($AF98,0,Constants!$B$15))</f>
        <v/>
      </c>
      <c r="CB98" s="138" t="str">
        <f aca="false">IF($BX98&lt;&gt;Constants!$B$6,"",((Constants!$B$25-$AZ98)-Constants!$B$25)/Constants!$B$26)</f>
        <v/>
      </c>
      <c r="CC98" s="138" t="str">
        <f aca="false">IF(ISBLANK($C98),"",IF($BX98&lt;&gt;Constants!$B$6,$BX98,SUM($BZ98:$CB98)))</f>
        <v/>
      </c>
      <c r="CD98" s="135" t="str">
        <f aca="false">IF(ISBLANK($C98),"",IF($BX98&lt;&gt;Constants!$B$6,$BX98,RANK($CC98,$CC$9:$CC$508,1)))</f>
        <v/>
      </c>
      <c r="CE98" s="138" t="str">
        <f aca="false">IF($BX98&lt;&gt;Constants!$B$6,"",IF($BL98="-&gt;",$BT98,$BI98))</f>
        <v/>
      </c>
      <c r="CF98" s="135" t="str">
        <f aca="false">IF(ISBLANK($C98),"",IF($BX98&lt;&gt;Constants!$B$6,$BX98,IF(ISNUMBER($CE98),RANK($CE98,$CE$9:$CE$508,1),COUNT($CE$9:$CE$508)+1)))</f>
        <v/>
      </c>
      <c r="CG98" s="138" t="str">
        <f aca="false">IF($BX98&lt;&gt;Constants!$B$6,"",IF($BL98="-&gt;",$BU98,$BJ98))</f>
        <v/>
      </c>
      <c r="CH98" s="135" t="str">
        <f aca="false">IF(ISBLANK($C98),"",IF($BX98&lt;&gt;Constants!$B$6,$BX98,IF(ISNUMBER($CG98),RANK($CG98,$CG$9:$CG$508,1),COUNT($CG$9:$CG$508)+1)))</f>
        <v/>
      </c>
      <c r="CI98" s="138" t="str">
        <f aca="false">IF($BX98&lt;&gt;Constants!$B$6,"",IF($BL98="-&gt;",$BV98,$BK98))</f>
        <v/>
      </c>
      <c r="CJ98" s="135" t="str">
        <f aca="false">IF(ISBLANK($C98),"",IF($BX98&lt;&gt;Constants!$B$6,$BX98,IF(ISNUMBER($CI98),RANK($CI98,$CI$9:$CI$508,1),COUNT($CI$9:$CI$508)+1)))</f>
        <v/>
      </c>
      <c r="CK98" s="138" t="str">
        <f aca="false">IF($BX98&lt;&gt;Constants!$B$6,"",$AI98)</f>
        <v/>
      </c>
      <c r="CL98" s="135" t="str">
        <f aca="false">IF(ISBLANK($C98),"",IF($BX98&lt;&gt;Constants!$B$6,$BX98,IF(ISNUMBER($CK98),RANK($CK98,$CK$9:$CK$508,1),COUNT($CK$9:$CK$508)+1)))</f>
        <v/>
      </c>
      <c r="CM98" s="135" t="str">
        <f aca="false">IF(ISBLANK($C98),"",IF($BX98&lt;&gt;Constants!$B$6,$BX98,COUNTIFS($CD$9:$CD$508,"&lt;"&amp;$CD98)+COUNTIFS($CD$9:$CD$508,$CD98,$CF$9:$CF$508,"&lt;"&amp;$CF98)+COUNTIFS($CD$9:$CD$508,$CD98,$CF$9:$CF$508,$CF98,$CH$9:$CH$508,"&lt;"&amp;$CH98)+COUNTIFS($CD$9:$CD$508,$CD98,$CF$9:$CF$508,$CF98,$CH$9:$CH$508,$CH98,$CJ$9:$CJ$508,"&lt;"&amp;$CJ98)+COUNTIFS($CD$9:$CD$508,$CD98,$CF$9:$CF$508,$CF98,$CH$9:$CH$508,$CH98,$CJ$9:$CJ$508,$CJ98,$CL$9:$CL$508,"&lt;"&amp;$CL98)+1))</f>
        <v/>
      </c>
      <c r="CN98" s="135" t="str">
        <f aca="false">IF(ISBLANK($C98),"",IF($BX98&lt;&gt;Constants!$B$6,$BX98,$CD98-$CM98))</f>
        <v/>
      </c>
      <c r="CO98" s="141"/>
      <c r="CP98" s="142"/>
      <c r="CQ98" s="143" t="str">
        <f aca="false">IF(ISBLANK($C98),"",IF($BX98=Constants!$B$10,$BW98,""))</f>
        <v/>
      </c>
      <c r="CR98" s="142" t="str">
        <f aca="false">IF(ISBLANK($C98),"",IF($BX98&lt;&gt;Constants!$B$6,"",IF($BL98="-&gt;",2,1)))</f>
        <v/>
      </c>
      <c r="CS98" s="144" t="str">
        <f aca="false">IF(ISBLANK($C98),"",IF($BX98&lt;&gt;Constants!$B$6,"",IF($BL98="-&gt;",$BN98,$BC98)))</f>
        <v/>
      </c>
      <c r="CT98" s="144" t="str">
        <f aca="false">IF(ISBLANK($C98),"",IF($BX98&lt;&gt;Constants!$B$6,"",IF($BL98="-&gt;",$BO98,$BD98)))</f>
        <v/>
      </c>
      <c r="CU98" s="144" t="str">
        <f aca="false">IF(ISBLANK($C98),"",IF($BX98&lt;&gt;Constants!$B$6,"",IF($BL98="-&gt;",$BP98+$BQ98,$BE98+$BF98)+$CB98))</f>
        <v/>
      </c>
      <c r="CV98" s="144" t="str">
        <f aca="false">IF(ISBLANK($C98),"",IF($BX98&lt;&gt;Constants!$B$6,"",IF($BL98="-&gt;",$BR98,$BG98)+$CA98))</f>
        <v/>
      </c>
      <c r="CW98" s="145" t="str">
        <f aca="false">IF(ISBLANK($C98),"",IF($BX98&lt;&gt;Constants!$B$6,$BX98,$CC98))</f>
        <v/>
      </c>
      <c r="CX98" s="146" t="str">
        <f aca="false">IF(ISBLANK($C98),"",$BY98)</f>
        <v/>
      </c>
      <c r="CY98" s="147" t="str">
        <f aca="false">IF(ISBLANK($C98),"",$CN98)</f>
        <v/>
      </c>
      <c r="CZ98" s="147" t="str">
        <f aca="false">IF(ISBLANK($C98),"",$CM98)</f>
        <v/>
      </c>
      <c r="DA98" s="148" t="str">
        <f aca="false">IF(ISBLANK($C98),"",IFERROR(_xlfn.SWITCH($CZ98,Constants!$B$9,COUNTA($C$9:$C$508)+2,Constants!$B$8,COUNTA($C$9:$C$508)+1,Constants!$B$7,COUNTA($C$9:$C$508)),$CZ98))</f>
        <v/>
      </c>
      <c r="DB98" s="9"/>
      <c r="DC98" s="149" t="n">
        <f aca="false">IF(OR(ISNUMBER($CZ98),$CZ98=Constants!$B$9,$CZ98=Constants!$B$7,$CZ98=Constants!$B$8),1,0)</f>
        <v>0</v>
      </c>
      <c r="DD98" s="149" t="n">
        <v>90</v>
      </c>
      <c r="DE98" s="149" t="str">
        <f aca="false">IF(ISBLANK($C98),"",IF(ISNUMBER($DA98),$DA98+ROW($B98)/1000,""))</f>
        <v/>
      </c>
      <c r="DF98" s="149" t="str">
        <f aca="false">IF(ISNUMBER($DE98),RANK($DE98,$DE$9:$DE$508,1),"")</f>
        <v/>
      </c>
      <c r="DG98" s="149" t="str">
        <f aca="false">IF(ISBLANK($C98),"",$B98)</f>
        <v/>
      </c>
      <c r="DH98" s="149" t="str">
        <f aca="false">IF(ISBLANK($C98),"",$C98)</f>
        <v/>
      </c>
      <c r="DI98" s="149" t="str">
        <f aca="false">IF(ISBLANK($C98),"",$D98)</f>
        <v/>
      </c>
      <c r="DJ98" s="150" t="str">
        <f aca="false">$CX98</f>
        <v/>
      </c>
      <c r="DK98" s="151" t="str">
        <f aca="false">$CW98</f>
        <v/>
      </c>
      <c r="DL98" s="149" t="str">
        <f aca="false">IF(ISBLANK($C98),"",$CZ98)</f>
        <v/>
      </c>
      <c r="DM98" s="152" t="str">
        <f aca="false">IF($DD98&gt;$DC$8,"",VLOOKUP($DD98,$DF$9:$DL$508,7,FALSE()))</f>
        <v/>
      </c>
      <c r="DN98" s="153" t="str">
        <f aca="false">IF($DD98&gt;$DC$8,"",VLOOKUP($DD98,$DF$9:$DL$508,2,FALSE()))</f>
        <v/>
      </c>
      <c r="DO98" s="153" t="str">
        <f aca="false">IF($DD98&gt;$DC$8,"",VLOOKUP($DD98,$DF$9:$DL$508,3,FALSE()))</f>
        <v/>
      </c>
      <c r="DP98" s="153" t="str">
        <f aca="false">IF($DD98&gt;$DC$8,"",VLOOKUP($DD98,$DF$9:$DL$508,4,FALSE()))</f>
        <v/>
      </c>
      <c r="DQ98" s="153" t="str">
        <f aca="false">IF($DD98&gt;$DC$8,"",VLOOKUP($DD98,$DF$9:$DL$508,5,FALSE()))</f>
        <v/>
      </c>
      <c r="DR98" s="154" t="str">
        <f aca="false">IF($DD98&gt;$DC$8,"",VLOOKUP($DD98,$DF$9:$DL$508,6,FALSE()))</f>
        <v/>
      </c>
      <c r="DS98" s="76"/>
    </row>
    <row r="99" customFormat="false" ht="15.75" hidden="false" customHeight="false" outlineLevel="0" collapsed="false">
      <c r="A99" s="9"/>
      <c r="B99" s="78"/>
      <c r="C99" s="79"/>
      <c r="D99" s="170"/>
      <c r="E99" s="178"/>
      <c r="F99" s="172"/>
      <c r="G99" s="173"/>
      <c r="H99" s="173"/>
      <c r="I99" s="179"/>
      <c r="J99" s="176"/>
      <c r="K99" s="86"/>
      <c r="L99" s="87"/>
      <c r="M99" s="88"/>
      <c r="N99" s="176"/>
      <c r="O99" s="176"/>
      <c r="P99" s="178"/>
      <c r="Q99" s="176"/>
      <c r="R99" s="176"/>
      <c r="S99" s="86"/>
      <c r="T99" s="88"/>
      <c r="U99" s="88"/>
      <c r="V99" s="176"/>
      <c r="W99" s="176"/>
      <c r="X99" s="178"/>
      <c r="Y99" s="176"/>
      <c r="Z99" s="177"/>
      <c r="AA99" s="176"/>
      <c r="AB99" s="92"/>
      <c r="AC99" s="93"/>
      <c r="AD99" s="93"/>
      <c r="AE99" s="93"/>
      <c r="AF99" s="93" t="str">
        <f aca="false">IF(ISBLANK($C99),"",IF(E99=Constants!$B$2,TRUE(),IF(E99=Constants!$B$3,FALSE(),TRUE())))</f>
        <v/>
      </c>
      <c r="AG99" s="93" t="str">
        <f aca="false">IF(ISBLANK($C99),"",IF(F99=Constants!$B$2,TRUE(),IF(F99=Constants!$B$3,FALSE(),TRUE())))</f>
        <v/>
      </c>
      <c r="AH99" s="93" t="str">
        <f aca="false">IF(ISBLANK($C99),"",IF(G99=Constants!$B$2,TRUE(),IF(G99=Constants!$B$3,FALSE(),TRUE())))</f>
        <v/>
      </c>
      <c r="AI99" s="93" t="str">
        <f aca="false">IF(ISBLANK($C99),"",IF(AND(ISNUMBER(H99),H99&gt;=0),H99,Constants!$B$24))</f>
        <v/>
      </c>
      <c r="AJ99" s="93" t="str">
        <f aca="false">IF(ISBLANK($C99),"",IF(I99=Constants!$B$2,TRUE(),IF(I99=Constants!$B$3,FALSE(),TRUE())))</f>
        <v/>
      </c>
      <c r="AK99" s="93" t="str">
        <f aca="false">IF(ISBLANK($C99),"",IF(J99=Constants!$B$2,TRUE(),IF(J99=Constants!$B$3,FALSE(),TRUE())))</f>
        <v/>
      </c>
      <c r="AL99" s="93" t="str">
        <f aca="false">IF(ISBLANK($C99),"",IF(K99=Constants!$B$4,TRUE(),IF(K99=Constants!$B$5,FALSE(),COUNTA(L99:P99)&gt;0)))</f>
        <v/>
      </c>
      <c r="AM99" s="95" t="str">
        <f aca="false">IF(ISBLANK($C99),"",IF(ISNUMBER(L99),IF(L99&gt;=0,L99,""),""))</f>
        <v/>
      </c>
      <c r="AN99" s="94" t="str">
        <f aca="false">IF(ISBLANK($C99),"",IF(ISNUMBER(M99),IF(M99&gt;=0,M99,""),""))</f>
        <v/>
      </c>
      <c r="AO99" s="94" t="str">
        <f aca="false">IF(ISBLANK($C99),"",IF(N99=Constants!$B$2,TRUE(),IF(N99=Constants!$B$3,FALSE(),TRUE())))</f>
        <v/>
      </c>
      <c r="AP99" s="93" t="str">
        <f aca="false">IF(ISBLANK($C99),"",IF(ISNUMBER(O99),IF(O99&gt;=0,O99,""),""))</f>
        <v/>
      </c>
      <c r="AQ99" s="93" t="str">
        <f aca="false">IF(ISBLANK($C99),"",IF(P99=Constants!$B$2,TRUE(),IF(P99=Constants!$B$3,FALSE(),FALSE())))</f>
        <v/>
      </c>
      <c r="AR99" s="93" t="str">
        <f aca="false">IF(ISBLANK($C99),"",IF(Q99=Constants!$B$2,TRUE(),IF(Q99=Constants!$B$3,FALSE(),TRUE())))</f>
        <v/>
      </c>
      <c r="AS99" s="93" t="str">
        <f aca="false">IF(ISBLANK($C99),"",IF(R99=Constants!$B$2,TRUE(),IF(R99=Constants!$B$3,FALSE(),TRUE())))</f>
        <v/>
      </c>
      <c r="AT99" s="93" t="str">
        <f aca="false">IF(ISBLANK($C99),"",IF(S99=Constants!$B$4,TRUE(),IF(S99=Constants!$B$5,FALSE(),COUNTA(T99:X99)&gt;0)))</f>
        <v/>
      </c>
      <c r="AU99" s="95" t="str">
        <f aca="false">IF(ISBLANK($C99),"",IF(ISNUMBER(T99),IF(T99&gt;=0,T99,""),""))</f>
        <v/>
      </c>
      <c r="AV99" s="94" t="str">
        <f aca="false">IF(ISBLANK($C99),"",IF(ISNUMBER(U99),IF(U99&gt;=0,U99,""),""))</f>
        <v/>
      </c>
      <c r="AW99" s="94" t="str">
        <f aca="false">IF(ISBLANK($C99),"",IF(V99=Constants!$B$2,TRUE(),IF(V99=Constants!$B$3,FALSE(),TRUE())))</f>
        <v/>
      </c>
      <c r="AX99" s="93" t="str">
        <f aca="false">IF(ISBLANK($C99),"",IF(ISNUMBER(W99),IF(W99&gt;=0,W99,""),""))</f>
        <v/>
      </c>
      <c r="AY99" s="93" t="str">
        <f aca="false">IF(ISBLANK($C99),"",IF(X99=Constants!$B$2,TRUE(),IF(X99=Constants!$B$3,FALSE(),FALSE())))</f>
        <v/>
      </c>
      <c r="AZ99" s="93" t="str">
        <f aca="false">IF(ISBLANK($C99),"",MIN(Constants!$B$25,MAX(0,IF(ISNUMBER(Y99),Y99*60,0)+IF(ISNUMBER(Z99),Z99,0))))</f>
        <v/>
      </c>
      <c r="BA99" s="93" t="str">
        <f aca="false">IF(ISBLANK($C99),"",IF(AA99=Constants!$B$2,TRUE(),IF(AA99=Constants!$B$3,FALSE(),FALSE())))</f>
        <v/>
      </c>
      <c r="BB99" s="92" t="str">
        <f aca="false">IF(ISBLANK($C99),"",AND($AL99,OR($AM99="",$AN99="",AND($AO99,$AP99=""))))</f>
        <v/>
      </c>
      <c r="BC99" s="94" t="str">
        <f aca="false">IF($BX99&lt;&gt;Constants!$B$6,"",IF($AL99,Constants!$B$17*$AN99+Constants!$B$18*IF($AO99,$AP99,Constants!$B$19),Constants!$B$20))</f>
        <v/>
      </c>
      <c r="BD99" s="97" t="str">
        <f aca="false">IF($BX99&lt;&gt;Constants!$B$6,"",Constants!$B$21*ABS($AD$9-IF($AL99,$AM99,0)))</f>
        <v/>
      </c>
      <c r="BE99" s="97" t="str">
        <f aca="false">IF($BX99&lt;&gt;Constants!$B$6,"",IF(AND($AL99,$AQ99,$AO99),Constants!$B$22,0))</f>
        <v/>
      </c>
      <c r="BF99" s="97" t="str">
        <f aca="false">IF($BX99&lt;&gt;Constants!$B$6,"",IF($AL99,($AI99-Constants!$B$24)*Constants!$B$23,0))</f>
        <v/>
      </c>
      <c r="BG99" s="97" t="str">
        <f aca="false">IF($BX99&lt;&gt;Constants!$B$6,"",IF($AK99,0,Constants!$B$12)+IF($AJ99,0,Constants!$B$13)+IF($AH99,0,Constants!$B$14))</f>
        <v/>
      </c>
      <c r="BH99" s="98" t="str">
        <f aca="false">IF($BX99&lt;&gt;Constants!$B$6,"",Constants!$B$16+SUM($BC99:$BG99))</f>
        <v/>
      </c>
      <c r="BI99" s="97" t="str">
        <f aca="false">IF($BX99&lt;&gt;Constants!$B$6,"",$BC99)</f>
        <v/>
      </c>
      <c r="BJ99" s="97" t="str">
        <f aca="false">IF($BX99&lt;&gt;Constants!$B$6,"",$BD99)</f>
        <v/>
      </c>
      <c r="BK99" s="99" t="str">
        <f aca="false">IF($BX99&lt;&gt;Constants!$B$6,"",IF($AL99,$AN99,""))</f>
        <v/>
      </c>
      <c r="BL99" s="93" t="str">
        <f aca="false">IF($BX99&lt;&gt;Constants!$B$6,"",IF(OR($BS99&lt;$BH99,AND($BS99=$BH99,OR($BT99&lt;$BI99,AND($BT99=$BI99,OR($BU99&lt;$BJ99,AND($BU99=$BJ99,AND(ISNUMBER($BV99),OR(NOT(ISNUMBER($BK99)),$BV99&lt;$BK99)))))))),"-&gt;","&lt;-"))</f>
        <v/>
      </c>
      <c r="BM99" s="92" t="str">
        <f aca="false">IF(ISBLANK($C99),"",AND($AT99,OR($AU99="",$AV99="",AND($AW99,$AX99=""))))</f>
        <v/>
      </c>
      <c r="BN99" s="94" t="str">
        <f aca="false">IF($BX99&lt;&gt;Constants!$B$6,"",IF($AT99,Constants!$B$17*$AV99+Constants!$B$18*IF($AW99,$AX99,Constants!$B$19),Constants!$B$20))</f>
        <v/>
      </c>
      <c r="BO99" s="97" t="str">
        <f aca="false">IF($BX99&lt;&gt;Constants!$B$6,"",Constants!$B$21*ABS($AD$9-IF($AT99,$AU99,0)))</f>
        <v/>
      </c>
      <c r="BP99" s="97" t="str">
        <f aca="false">IF($BX99&lt;&gt;Constants!$B$6,"",IF(AND($AT99,$AY99,$AW99),Constants!$B$22,0))</f>
        <v/>
      </c>
      <c r="BQ99" s="97" t="str">
        <f aca="false">IF($BX99&lt;&gt;Constants!$B$6,"",IF($AT99,($AI99-Constants!$B$24)*Constants!$B$23,0))</f>
        <v/>
      </c>
      <c r="BR99" s="97" t="str">
        <f aca="false">IF($BX99&lt;&gt;Constants!$B$6,"",IF($AS99,0,Constants!$B$12)+IF($AR99,0,Constants!$B$13)+IF($AH99,0,Constants!$B$14))</f>
        <v/>
      </c>
      <c r="BS99" s="98" t="str">
        <f aca="false">IF($BX99&lt;&gt;Constants!$B$6,"",Constants!$B$16+SUM($BN99:$BR99))</f>
        <v/>
      </c>
      <c r="BT99" s="97" t="str">
        <f aca="false">IF($BX99&lt;&gt;Constants!$B$6,"",$BN99)</f>
        <v/>
      </c>
      <c r="BU99" s="97" t="str">
        <f aca="false">IF($BX99&lt;&gt;Constants!$B$6,"",$BO99)</f>
        <v/>
      </c>
      <c r="BV99" s="99" t="str">
        <f aca="false">IF($BX99&lt;&gt;Constants!$B$6,"",IF($AT99,$AV99,""))</f>
        <v/>
      </c>
      <c r="BW99" s="93" t="str">
        <f aca="false">IF(ISBLANK($C99),"",IF(ISBLANK($D$7),$BW$5,IF(NOT(ISNUMBER($D$7)),$BW$6,"")))</f>
        <v/>
      </c>
      <c r="BX99" s="93" t="str">
        <f aca="false">IF(ISBLANK($C99),"",IF($BA99,Constants!$B$9,IF(COUNTA($E99:$AA99)=0,Constants!$B$8,IF(NOT($AG99),Constants!$B$7,IF(OR($BW99&lt;&gt;"",$BB99,$BM99),Constants!$B$10,Constants!$B$6)))))</f>
        <v/>
      </c>
      <c r="BY99" s="93" t="str">
        <f aca="false">IF(ISBLANK($C99),"",IF($BX99&lt;&gt;Constants!$B$6,$BX99,Constants!$B$11))</f>
        <v/>
      </c>
      <c r="BZ99" s="97" t="str">
        <f aca="false">IF($BX99&lt;&gt;Constants!$B$6,"",IF($BL99="-&gt;",$BS99,$BH99))</f>
        <v/>
      </c>
      <c r="CA99" s="97" t="str">
        <f aca="false">IF($BX99&lt;&gt;Constants!$B$6,"",IF($AF99,0,Constants!$B$15))</f>
        <v/>
      </c>
      <c r="CB99" s="97" t="str">
        <f aca="false">IF($BX99&lt;&gt;Constants!$B$6,"",((Constants!$B$25-$AZ99)-Constants!$B$25)/Constants!$B$26)</f>
        <v/>
      </c>
      <c r="CC99" s="97" t="str">
        <f aca="false">IF(ISBLANK($C99),"",IF($BX99&lt;&gt;Constants!$B$6,$BX99,SUM($BZ99:$CB99)))</f>
        <v/>
      </c>
      <c r="CD99" s="93" t="str">
        <f aca="false">IF(ISBLANK($C99),"",IF($BX99&lt;&gt;Constants!$B$6,$BX99,RANK($CC99,$CC$9:$CC$508,1)))</f>
        <v/>
      </c>
      <c r="CE99" s="97" t="str">
        <f aca="false">IF($BX99&lt;&gt;Constants!$B$6,"",IF($BL99="-&gt;",$BT99,$BI99))</f>
        <v/>
      </c>
      <c r="CF99" s="93" t="str">
        <f aca="false">IF(ISBLANK($C99),"",IF($BX99&lt;&gt;Constants!$B$6,$BX99,IF(ISNUMBER($CE99),RANK($CE99,$CE$9:$CE$508,1),COUNT($CE$9:$CE$508)+1)))</f>
        <v/>
      </c>
      <c r="CG99" s="97" t="str">
        <f aca="false">IF($BX99&lt;&gt;Constants!$B$6,"",IF($BL99="-&gt;",$BU99,$BJ99))</f>
        <v/>
      </c>
      <c r="CH99" s="93" t="str">
        <f aca="false">IF(ISBLANK($C99),"",IF($BX99&lt;&gt;Constants!$B$6,$BX99,IF(ISNUMBER($CG99),RANK($CG99,$CG$9:$CG$508,1),COUNT($CG$9:$CG$508)+1)))</f>
        <v/>
      </c>
      <c r="CI99" s="97" t="str">
        <f aca="false">IF($BX99&lt;&gt;Constants!$B$6,"",IF($BL99="-&gt;",$BV99,$BK99))</f>
        <v/>
      </c>
      <c r="CJ99" s="93" t="str">
        <f aca="false">IF(ISBLANK($C99),"",IF($BX99&lt;&gt;Constants!$B$6,$BX99,IF(ISNUMBER($CI99),RANK($CI99,$CI$9:$CI$508,1),COUNT($CI$9:$CI$508)+1)))</f>
        <v/>
      </c>
      <c r="CK99" s="97" t="str">
        <f aca="false">IF($BX99&lt;&gt;Constants!$B$6,"",$AI99)</f>
        <v/>
      </c>
      <c r="CL99" s="93" t="str">
        <f aca="false">IF(ISBLANK($C99),"",IF($BX99&lt;&gt;Constants!$B$6,$BX99,IF(ISNUMBER($CK99),RANK($CK99,$CK$9:$CK$508,1),COUNT($CK$9:$CK$508)+1)))</f>
        <v/>
      </c>
      <c r="CM99" s="93" t="str">
        <f aca="false">IF(ISBLANK($C99),"",IF($BX99&lt;&gt;Constants!$B$6,$BX99,COUNTIFS($CD$9:$CD$508,"&lt;"&amp;$CD99)+COUNTIFS($CD$9:$CD$508,$CD99,$CF$9:$CF$508,"&lt;"&amp;$CF99)+COUNTIFS($CD$9:$CD$508,$CD99,$CF$9:$CF$508,$CF99,$CH$9:$CH$508,"&lt;"&amp;$CH99)+COUNTIFS($CD$9:$CD$508,$CD99,$CF$9:$CF$508,$CF99,$CH$9:$CH$508,$CH99,$CJ$9:$CJ$508,"&lt;"&amp;$CJ99)+COUNTIFS($CD$9:$CD$508,$CD99,$CF$9:$CF$508,$CF99,$CH$9:$CH$508,$CH99,$CJ$9:$CJ$508,$CJ99,$CL$9:$CL$508,"&lt;"&amp;$CL99)+1))</f>
        <v/>
      </c>
      <c r="CN99" s="93" t="str">
        <f aca="false">IF(ISBLANK($C99),"",IF($BX99&lt;&gt;Constants!$B$6,$BX99,$CD99-$CM99))</f>
        <v/>
      </c>
      <c r="CO99" s="100"/>
      <c r="CP99" s="101"/>
      <c r="CQ99" s="102" t="str">
        <f aca="false">IF(ISBLANK($C99),"",IF($BX99=Constants!$B$10,$BW99,""))</f>
        <v/>
      </c>
      <c r="CR99" s="101" t="str">
        <f aca="false">IF(ISBLANK($C99),"",IF($BX99&lt;&gt;Constants!$B$6,"",IF($BL99="-&gt;",2,1)))</f>
        <v/>
      </c>
      <c r="CS99" s="103" t="str">
        <f aca="false">IF(ISBLANK($C99),"",IF($BX99&lt;&gt;Constants!$B$6,"",IF($BL99="-&gt;",$BN99,$BC99)))</f>
        <v/>
      </c>
      <c r="CT99" s="103" t="str">
        <f aca="false">IF(ISBLANK($C99),"",IF($BX99&lt;&gt;Constants!$B$6,"",IF($BL99="-&gt;",$BO99,$BD99)))</f>
        <v/>
      </c>
      <c r="CU99" s="103" t="str">
        <f aca="false">IF(ISBLANK($C99),"",IF($BX99&lt;&gt;Constants!$B$6,"",IF($BL99="-&gt;",$BP99+$BQ99,$BE99+$BF99)+$CB99))</f>
        <v/>
      </c>
      <c r="CV99" s="103" t="str">
        <f aca="false">IF(ISBLANK($C99),"",IF($BX99&lt;&gt;Constants!$B$6,"",IF($BL99="-&gt;",$BR99,$BG99)+$CA99))</f>
        <v/>
      </c>
      <c r="CW99" s="104" t="str">
        <f aca="false">IF(ISBLANK($C99),"",IF($BX99&lt;&gt;Constants!$B$6,$BX99,$CC99))</f>
        <v/>
      </c>
      <c r="CX99" s="105" t="str">
        <f aca="false">IF(ISBLANK($C99),"",$BY99)</f>
        <v/>
      </c>
      <c r="CY99" s="106" t="str">
        <f aca="false">IF(ISBLANK($C99),"",$CN99)</f>
        <v/>
      </c>
      <c r="CZ99" s="106" t="str">
        <f aca="false">IF(ISBLANK($C99),"",$CM99)</f>
        <v/>
      </c>
      <c r="DA99" s="107" t="str">
        <f aca="false">IF(ISBLANK($C99),"",IFERROR(_xlfn.SWITCH($CZ99,Constants!$B$9,COUNTA($C$9:$C$508)+2,Constants!$B$8,COUNTA($C$9:$C$508)+1,Constants!$B$7,COUNTA($C$9:$C$508)),$CZ99))</f>
        <v/>
      </c>
      <c r="DB99" s="9"/>
      <c r="DC99" s="108" t="n">
        <f aca="false">IF(OR(ISNUMBER($CZ99),$CZ99=Constants!$B$9,$CZ99=Constants!$B$7,$CZ99=Constants!$B$8),1,0)</f>
        <v>0</v>
      </c>
      <c r="DD99" s="108" t="n">
        <v>91</v>
      </c>
      <c r="DE99" s="108" t="str">
        <f aca="false">IF(ISBLANK($C99),"",IF(ISNUMBER($DA99),$DA99+ROW($B99)/1000,""))</f>
        <v/>
      </c>
      <c r="DF99" s="108" t="str">
        <f aca="false">IF(ISNUMBER($DE99),RANK($DE99,$DE$9:$DE$508,1),"")</f>
        <v/>
      </c>
      <c r="DG99" s="108" t="str">
        <f aca="false">IF(ISBLANK($C99),"",$B99)</f>
        <v/>
      </c>
      <c r="DH99" s="108" t="str">
        <f aca="false">IF(ISBLANK($C99),"",$C99)</f>
        <v/>
      </c>
      <c r="DI99" s="108" t="str">
        <f aca="false">IF(ISBLANK($C99),"",$D99)</f>
        <v/>
      </c>
      <c r="DJ99" s="109" t="str">
        <f aca="false">$CX99</f>
        <v/>
      </c>
      <c r="DK99" s="110" t="str">
        <f aca="false">$CW99</f>
        <v/>
      </c>
      <c r="DL99" s="108" t="str">
        <f aca="false">IF(ISBLANK($C99),"",$CZ99)</f>
        <v/>
      </c>
      <c r="DM99" s="111" t="str">
        <f aca="false">IF($DD99&gt;$DC$8,"",VLOOKUP($DD99,$DF$9:$DL$508,7,FALSE()))</f>
        <v/>
      </c>
      <c r="DN99" s="112" t="str">
        <f aca="false">IF($DD99&gt;$DC$8,"",VLOOKUP($DD99,$DF$9:$DL$508,2,FALSE()))</f>
        <v/>
      </c>
      <c r="DO99" s="112" t="str">
        <f aca="false">IF($DD99&gt;$DC$8,"",VLOOKUP($DD99,$DF$9:$DL$508,3,FALSE()))</f>
        <v/>
      </c>
      <c r="DP99" s="112" t="str">
        <f aca="false">IF($DD99&gt;$DC$8,"",VLOOKUP($DD99,$DF$9:$DL$508,4,FALSE()))</f>
        <v/>
      </c>
      <c r="DQ99" s="112" t="str">
        <f aca="false">IF($DD99&gt;$DC$8,"",VLOOKUP($DD99,$DF$9:$DL$508,5,FALSE()))</f>
        <v/>
      </c>
      <c r="DR99" s="113" t="str">
        <f aca="false">IF($DD99&gt;$DC$8,"",VLOOKUP($DD99,$DF$9:$DL$508,6,FALSE()))</f>
        <v/>
      </c>
      <c r="DS99" s="76"/>
    </row>
    <row r="100" customFormat="false" ht="15.75" hidden="false" customHeight="false" outlineLevel="0" collapsed="false">
      <c r="A100" s="9"/>
      <c r="B100" s="78"/>
      <c r="C100" s="79"/>
      <c r="D100" s="170"/>
      <c r="E100" s="178"/>
      <c r="F100" s="172"/>
      <c r="G100" s="173"/>
      <c r="H100" s="173"/>
      <c r="I100" s="179"/>
      <c r="J100" s="176"/>
      <c r="K100" s="86"/>
      <c r="L100" s="87"/>
      <c r="M100" s="88"/>
      <c r="N100" s="176"/>
      <c r="O100" s="176"/>
      <c r="P100" s="178"/>
      <c r="Q100" s="176"/>
      <c r="R100" s="176"/>
      <c r="S100" s="86"/>
      <c r="T100" s="88"/>
      <c r="U100" s="88"/>
      <c r="V100" s="176"/>
      <c r="W100" s="176"/>
      <c r="X100" s="178"/>
      <c r="Y100" s="176"/>
      <c r="Z100" s="177"/>
      <c r="AA100" s="176"/>
      <c r="AB100" s="92"/>
      <c r="AC100" s="93"/>
      <c r="AD100" s="93"/>
      <c r="AE100" s="93"/>
      <c r="AF100" s="93" t="str">
        <f aca="false">IF(ISBLANK($C100),"",IF(E100=Constants!$B$2,TRUE(),IF(E100=Constants!$B$3,FALSE(),TRUE())))</f>
        <v/>
      </c>
      <c r="AG100" s="93" t="str">
        <f aca="false">IF(ISBLANK($C100),"",IF(F100=Constants!$B$2,TRUE(),IF(F100=Constants!$B$3,FALSE(),TRUE())))</f>
        <v/>
      </c>
      <c r="AH100" s="93" t="str">
        <f aca="false">IF(ISBLANK($C100),"",IF(G100=Constants!$B$2,TRUE(),IF(G100=Constants!$B$3,FALSE(),TRUE())))</f>
        <v/>
      </c>
      <c r="AI100" s="93" t="str">
        <f aca="false">IF(ISBLANK($C100),"",IF(AND(ISNUMBER(H100),H100&gt;=0),H100,Constants!$B$24))</f>
        <v/>
      </c>
      <c r="AJ100" s="93" t="str">
        <f aca="false">IF(ISBLANK($C100),"",IF(I100=Constants!$B$2,TRUE(),IF(I100=Constants!$B$3,FALSE(),TRUE())))</f>
        <v/>
      </c>
      <c r="AK100" s="93" t="str">
        <f aca="false">IF(ISBLANK($C100),"",IF(J100=Constants!$B$2,TRUE(),IF(J100=Constants!$B$3,FALSE(),TRUE())))</f>
        <v/>
      </c>
      <c r="AL100" s="93" t="str">
        <f aca="false">IF(ISBLANK($C100),"",IF(K100=Constants!$B$4,TRUE(),IF(K100=Constants!$B$5,FALSE(),COUNTA(L100:P100)&gt;0)))</f>
        <v/>
      </c>
      <c r="AM100" s="95" t="str">
        <f aca="false">IF(ISBLANK($C100),"",IF(ISNUMBER(L100),IF(L100&gt;=0,L100,""),""))</f>
        <v/>
      </c>
      <c r="AN100" s="94" t="str">
        <f aca="false">IF(ISBLANK($C100),"",IF(ISNUMBER(M100),IF(M100&gt;=0,M100,""),""))</f>
        <v/>
      </c>
      <c r="AO100" s="94" t="str">
        <f aca="false">IF(ISBLANK($C100),"",IF(N100=Constants!$B$2,TRUE(),IF(N100=Constants!$B$3,FALSE(),TRUE())))</f>
        <v/>
      </c>
      <c r="AP100" s="93" t="str">
        <f aca="false">IF(ISBLANK($C100),"",IF(ISNUMBER(O100),IF(O100&gt;=0,O100,""),""))</f>
        <v/>
      </c>
      <c r="AQ100" s="93" t="str">
        <f aca="false">IF(ISBLANK($C100),"",IF(P100=Constants!$B$2,TRUE(),IF(P100=Constants!$B$3,FALSE(),FALSE())))</f>
        <v/>
      </c>
      <c r="AR100" s="93" t="str">
        <f aca="false">IF(ISBLANK($C100),"",IF(Q100=Constants!$B$2,TRUE(),IF(Q100=Constants!$B$3,FALSE(),TRUE())))</f>
        <v/>
      </c>
      <c r="AS100" s="93" t="str">
        <f aca="false">IF(ISBLANK($C100),"",IF(R100=Constants!$B$2,TRUE(),IF(R100=Constants!$B$3,FALSE(),TRUE())))</f>
        <v/>
      </c>
      <c r="AT100" s="93" t="str">
        <f aca="false">IF(ISBLANK($C100),"",IF(S100=Constants!$B$4,TRUE(),IF(S100=Constants!$B$5,FALSE(),COUNTA(T100:X100)&gt;0)))</f>
        <v/>
      </c>
      <c r="AU100" s="95" t="str">
        <f aca="false">IF(ISBLANK($C100),"",IF(ISNUMBER(T100),IF(T100&gt;=0,T100,""),""))</f>
        <v/>
      </c>
      <c r="AV100" s="94" t="str">
        <f aca="false">IF(ISBLANK($C100),"",IF(ISNUMBER(U100),IF(U100&gt;=0,U100,""),""))</f>
        <v/>
      </c>
      <c r="AW100" s="94" t="str">
        <f aca="false">IF(ISBLANK($C100),"",IF(V100=Constants!$B$2,TRUE(),IF(V100=Constants!$B$3,FALSE(),TRUE())))</f>
        <v/>
      </c>
      <c r="AX100" s="93" t="str">
        <f aca="false">IF(ISBLANK($C100),"",IF(ISNUMBER(W100),IF(W100&gt;=0,W100,""),""))</f>
        <v/>
      </c>
      <c r="AY100" s="93" t="str">
        <f aca="false">IF(ISBLANK($C100),"",IF(X100=Constants!$B$2,TRUE(),IF(X100=Constants!$B$3,FALSE(),FALSE())))</f>
        <v/>
      </c>
      <c r="AZ100" s="93" t="str">
        <f aca="false">IF(ISBLANK($C100),"",MIN(Constants!$B$25,MAX(0,IF(ISNUMBER(Y100),Y100*60,0)+IF(ISNUMBER(Z100),Z100,0))))</f>
        <v/>
      </c>
      <c r="BA100" s="93" t="str">
        <f aca="false">IF(ISBLANK($C100),"",IF(AA100=Constants!$B$2,TRUE(),IF(AA100=Constants!$B$3,FALSE(),FALSE())))</f>
        <v/>
      </c>
      <c r="BB100" s="92" t="str">
        <f aca="false">IF(ISBLANK($C100),"",AND($AL100,OR($AM100="",$AN100="",AND($AO100,$AP100=""))))</f>
        <v/>
      </c>
      <c r="BC100" s="94" t="str">
        <f aca="false">IF($BX100&lt;&gt;Constants!$B$6,"",IF($AL100,Constants!$B$17*$AN100+Constants!$B$18*IF($AO100,$AP100,Constants!$B$19),Constants!$B$20))</f>
        <v/>
      </c>
      <c r="BD100" s="97" t="str">
        <f aca="false">IF($BX100&lt;&gt;Constants!$B$6,"",Constants!$B$21*ABS($AD$9-IF($AL100,$AM100,0)))</f>
        <v/>
      </c>
      <c r="BE100" s="97" t="str">
        <f aca="false">IF($BX100&lt;&gt;Constants!$B$6,"",IF(AND($AL100,$AQ100,$AO100),Constants!$B$22,0))</f>
        <v/>
      </c>
      <c r="BF100" s="97" t="str">
        <f aca="false">IF($BX100&lt;&gt;Constants!$B$6,"",IF($AL100,($AI100-Constants!$B$24)*Constants!$B$23,0))</f>
        <v/>
      </c>
      <c r="BG100" s="97" t="str">
        <f aca="false">IF($BX100&lt;&gt;Constants!$B$6,"",IF($AK100,0,Constants!$B$12)+IF($AJ100,0,Constants!$B$13)+IF($AH100,0,Constants!$B$14))</f>
        <v/>
      </c>
      <c r="BH100" s="98" t="str">
        <f aca="false">IF($BX100&lt;&gt;Constants!$B$6,"",Constants!$B$16+SUM($BC100:$BG100))</f>
        <v/>
      </c>
      <c r="BI100" s="97" t="str">
        <f aca="false">IF($BX100&lt;&gt;Constants!$B$6,"",$BC100)</f>
        <v/>
      </c>
      <c r="BJ100" s="97" t="str">
        <f aca="false">IF($BX100&lt;&gt;Constants!$B$6,"",$BD100)</f>
        <v/>
      </c>
      <c r="BK100" s="99" t="str">
        <f aca="false">IF($BX100&lt;&gt;Constants!$B$6,"",IF($AL100,$AN100,""))</f>
        <v/>
      </c>
      <c r="BL100" s="93" t="str">
        <f aca="false">IF($BX100&lt;&gt;Constants!$B$6,"",IF(OR($BS100&lt;$BH100,AND($BS100=$BH100,OR($BT100&lt;$BI100,AND($BT100=$BI100,OR($BU100&lt;$BJ100,AND($BU100=$BJ100,AND(ISNUMBER($BV100),OR(NOT(ISNUMBER($BK100)),$BV100&lt;$BK100)))))))),"-&gt;","&lt;-"))</f>
        <v/>
      </c>
      <c r="BM100" s="92" t="str">
        <f aca="false">IF(ISBLANK($C100),"",AND($AT100,OR($AU100="",$AV100="",AND($AW100,$AX100=""))))</f>
        <v/>
      </c>
      <c r="BN100" s="94" t="str">
        <f aca="false">IF($BX100&lt;&gt;Constants!$B$6,"",IF($AT100,Constants!$B$17*$AV100+Constants!$B$18*IF($AW100,$AX100,Constants!$B$19),Constants!$B$20))</f>
        <v/>
      </c>
      <c r="BO100" s="97" t="str">
        <f aca="false">IF($BX100&lt;&gt;Constants!$B$6,"",Constants!$B$21*ABS($AD$9-IF($AT100,$AU100,0)))</f>
        <v/>
      </c>
      <c r="BP100" s="97" t="str">
        <f aca="false">IF($BX100&lt;&gt;Constants!$B$6,"",IF(AND($AT100,$AY100,$AW100),Constants!$B$22,0))</f>
        <v/>
      </c>
      <c r="BQ100" s="97" t="str">
        <f aca="false">IF($BX100&lt;&gt;Constants!$B$6,"",IF($AT100,($AI100-Constants!$B$24)*Constants!$B$23,0))</f>
        <v/>
      </c>
      <c r="BR100" s="97" t="str">
        <f aca="false">IF($BX100&lt;&gt;Constants!$B$6,"",IF($AS100,0,Constants!$B$12)+IF($AR100,0,Constants!$B$13)+IF($AH100,0,Constants!$B$14))</f>
        <v/>
      </c>
      <c r="BS100" s="98" t="str">
        <f aca="false">IF($BX100&lt;&gt;Constants!$B$6,"",Constants!$B$16+SUM($BN100:$BR100))</f>
        <v/>
      </c>
      <c r="BT100" s="97" t="str">
        <f aca="false">IF($BX100&lt;&gt;Constants!$B$6,"",$BN100)</f>
        <v/>
      </c>
      <c r="BU100" s="97" t="str">
        <f aca="false">IF($BX100&lt;&gt;Constants!$B$6,"",$BO100)</f>
        <v/>
      </c>
      <c r="BV100" s="99" t="str">
        <f aca="false">IF($BX100&lt;&gt;Constants!$B$6,"",IF($AT100,$AV100,""))</f>
        <v/>
      </c>
      <c r="BW100" s="93" t="str">
        <f aca="false">IF(ISBLANK($C100),"",IF(ISBLANK($D$7),$BW$5,IF(NOT(ISNUMBER($D$7)),$BW$6,"")))</f>
        <v/>
      </c>
      <c r="BX100" s="93" t="str">
        <f aca="false">IF(ISBLANK($C100),"",IF($BA100,Constants!$B$9,IF(COUNTA($E100:$AA100)=0,Constants!$B$8,IF(NOT($AG100),Constants!$B$7,IF(OR($BW100&lt;&gt;"",$BB100,$BM100),Constants!$B$10,Constants!$B$6)))))</f>
        <v/>
      </c>
      <c r="BY100" s="93" t="str">
        <f aca="false">IF(ISBLANK($C100),"",IF($BX100&lt;&gt;Constants!$B$6,$BX100,Constants!$B$11))</f>
        <v/>
      </c>
      <c r="BZ100" s="97" t="str">
        <f aca="false">IF($BX100&lt;&gt;Constants!$B$6,"",IF($BL100="-&gt;",$BS100,$BH100))</f>
        <v/>
      </c>
      <c r="CA100" s="97" t="str">
        <f aca="false">IF($BX100&lt;&gt;Constants!$B$6,"",IF($AF100,0,Constants!$B$15))</f>
        <v/>
      </c>
      <c r="CB100" s="97" t="str">
        <f aca="false">IF($BX100&lt;&gt;Constants!$B$6,"",((Constants!$B$25-$AZ100)-Constants!$B$25)/Constants!$B$26)</f>
        <v/>
      </c>
      <c r="CC100" s="97" t="str">
        <f aca="false">IF(ISBLANK($C100),"",IF($BX100&lt;&gt;Constants!$B$6,$BX100,SUM($BZ100:$CB100)))</f>
        <v/>
      </c>
      <c r="CD100" s="93" t="str">
        <f aca="false">IF(ISBLANK($C100),"",IF($BX100&lt;&gt;Constants!$B$6,$BX100,RANK($CC100,$CC$9:$CC$508,1)))</f>
        <v/>
      </c>
      <c r="CE100" s="97" t="str">
        <f aca="false">IF($BX100&lt;&gt;Constants!$B$6,"",IF($BL100="-&gt;",$BT100,$BI100))</f>
        <v/>
      </c>
      <c r="CF100" s="93" t="str">
        <f aca="false">IF(ISBLANK($C100),"",IF($BX100&lt;&gt;Constants!$B$6,$BX100,IF(ISNUMBER($CE100),RANK($CE100,$CE$9:$CE$508,1),COUNT($CE$9:$CE$508)+1)))</f>
        <v/>
      </c>
      <c r="CG100" s="97" t="str">
        <f aca="false">IF($BX100&lt;&gt;Constants!$B$6,"",IF($BL100="-&gt;",$BU100,$BJ100))</f>
        <v/>
      </c>
      <c r="CH100" s="93" t="str">
        <f aca="false">IF(ISBLANK($C100),"",IF($BX100&lt;&gt;Constants!$B$6,$BX100,IF(ISNUMBER($CG100),RANK($CG100,$CG$9:$CG$508,1),COUNT($CG$9:$CG$508)+1)))</f>
        <v/>
      </c>
      <c r="CI100" s="97" t="str">
        <f aca="false">IF($BX100&lt;&gt;Constants!$B$6,"",IF($BL100="-&gt;",$BV100,$BK100))</f>
        <v/>
      </c>
      <c r="CJ100" s="93" t="str">
        <f aca="false">IF(ISBLANK($C100),"",IF($BX100&lt;&gt;Constants!$B$6,$BX100,IF(ISNUMBER($CI100),RANK($CI100,$CI$9:$CI$508,1),COUNT($CI$9:$CI$508)+1)))</f>
        <v/>
      </c>
      <c r="CK100" s="97" t="str">
        <f aca="false">IF($BX100&lt;&gt;Constants!$B$6,"",$AI100)</f>
        <v/>
      </c>
      <c r="CL100" s="93" t="str">
        <f aca="false">IF(ISBLANK($C100),"",IF($BX100&lt;&gt;Constants!$B$6,$BX100,IF(ISNUMBER($CK100),RANK($CK100,$CK$9:$CK$508,1),COUNT($CK$9:$CK$508)+1)))</f>
        <v/>
      </c>
      <c r="CM100" s="93" t="str">
        <f aca="false">IF(ISBLANK($C100),"",IF($BX100&lt;&gt;Constants!$B$6,$BX100,COUNTIFS($CD$9:$CD$508,"&lt;"&amp;$CD100)+COUNTIFS($CD$9:$CD$508,$CD100,$CF$9:$CF$508,"&lt;"&amp;$CF100)+COUNTIFS($CD$9:$CD$508,$CD100,$CF$9:$CF$508,$CF100,$CH$9:$CH$508,"&lt;"&amp;$CH100)+COUNTIFS($CD$9:$CD$508,$CD100,$CF$9:$CF$508,$CF100,$CH$9:$CH$508,$CH100,$CJ$9:$CJ$508,"&lt;"&amp;$CJ100)+COUNTIFS($CD$9:$CD$508,$CD100,$CF$9:$CF$508,$CF100,$CH$9:$CH$508,$CH100,$CJ$9:$CJ$508,$CJ100,$CL$9:$CL$508,"&lt;"&amp;$CL100)+1))</f>
        <v/>
      </c>
      <c r="CN100" s="93" t="str">
        <f aca="false">IF(ISBLANK($C100),"",IF($BX100&lt;&gt;Constants!$B$6,$BX100,$CD100-$CM100))</f>
        <v/>
      </c>
      <c r="CO100" s="100"/>
      <c r="CP100" s="101"/>
      <c r="CQ100" s="102" t="str">
        <f aca="false">IF(ISBLANK($C100),"",IF($BX100=Constants!$B$10,$BW100,""))</f>
        <v/>
      </c>
      <c r="CR100" s="101" t="str">
        <f aca="false">IF(ISBLANK($C100),"",IF($BX100&lt;&gt;Constants!$B$6,"",IF($BL100="-&gt;",2,1)))</f>
        <v/>
      </c>
      <c r="CS100" s="103" t="str">
        <f aca="false">IF(ISBLANK($C100),"",IF($BX100&lt;&gt;Constants!$B$6,"",IF($BL100="-&gt;",$BN100,$BC100)))</f>
        <v/>
      </c>
      <c r="CT100" s="103" t="str">
        <f aca="false">IF(ISBLANK($C100),"",IF($BX100&lt;&gt;Constants!$B$6,"",IF($BL100="-&gt;",$BO100,$BD100)))</f>
        <v/>
      </c>
      <c r="CU100" s="103" t="str">
        <f aca="false">IF(ISBLANK($C100),"",IF($BX100&lt;&gt;Constants!$B$6,"",IF($BL100="-&gt;",$BP100+$BQ100,$BE100+$BF100)+$CB100))</f>
        <v/>
      </c>
      <c r="CV100" s="103" t="str">
        <f aca="false">IF(ISBLANK($C100),"",IF($BX100&lt;&gt;Constants!$B$6,"",IF($BL100="-&gt;",$BR100,$BG100)+$CA100))</f>
        <v/>
      </c>
      <c r="CW100" s="104" t="str">
        <f aca="false">IF(ISBLANK($C100),"",IF($BX100&lt;&gt;Constants!$B$6,$BX100,$CC100))</f>
        <v/>
      </c>
      <c r="CX100" s="105" t="str">
        <f aca="false">IF(ISBLANK($C100),"",$BY100)</f>
        <v/>
      </c>
      <c r="CY100" s="106" t="str">
        <f aca="false">IF(ISBLANK($C100),"",$CN100)</f>
        <v/>
      </c>
      <c r="CZ100" s="106" t="str">
        <f aca="false">IF(ISBLANK($C100),"",$CM100)</f>
        <v/>
      </c>
      <c r="DA100" s="107" t="str">
        <f aca="false">IF(ISBLANK($C100),"",IFERROR(_xlfn.SWITCH($CZ100,Constants!$B$9,COUNTA($C$9:$C$508)+2,Constants!$B$8,COUNTA($C$9:$C$508)+1,Constants!$B$7,COUNTA($C$9:$C$508)),$CZ100))</f>
        <v/>
      </c>
      <c r="DB100" s="9"/>
      <c r="DC100" s="108" t="n">
        <f aca="false">IF(OR(ISNUMBER($CZ100),$CZ100=Constants!$B$9,$CZ100=Constants!$B$7,$CZ100=Constants!$B$8),1,0)</f>
        <v>0</v>
      </c>
      <c r="DD100" s="108" t="n">
        <v>92</v>
      </c>
      <c r="DE100" s="108" t="str">
        <f aca="false">IF(ISBLANK($C100),"",IF(ISNUMBER($DA100),$DA100+ROW($B100)/1000,""))</f>
        <v/>
      </c>
      <c r="DF100" s="108" t="str">
        <f aca="false">IF(ISNUMBER($DE100),RANK($DE100,$DE$9:$DE$508,1),"")</f>
        <v/>
      </c>
      <c r="DG100" s="108" t="str">
        <f aca="false">IF(ISBLANK($C100),"",$B100)</f>
        <v/>
      </c>
      <c r="DH100" s="108" t="str">
        <f aca="false">IF(ISBLANK($C100),"",$C100)</f>
        <v/>
      </c>
      <c r="DI100" s="108" t="str">
        <f aca="false">IF(ISBLANK($C100),"",$D100)</f>
        <v/>
      </c>
      <c r="DJ100" s="109" t="str">
        <f aca="false">$CX100</f>
        <v/>
      </c>
      <c r="DK100" s="110" t="str">
        <f aca="false">$CW100</f>
        <v/>
      </c>
      <c r="DL100" s="108" t="str">
        <f aca="false">IF(ISBLANK($C100),"",$CZ100)</f>
        <v/>
      </c>
      <c r="DM100" s="111" t="str">
        <f aca="false">IF($DD100&gt;$DC$8,"",VLOOKUP($DD100,$DF$9:$DL$508,7,FALSE()))</f>
        <v/>
      </c>
      <c r="DN100" s="112" t="str">
        <f aca="false">IF($DD100&gt;$DC$8,"",VLOOKUP($DD100,$DF$9:$DL$508,2,FALSE()))</f>
        <v/>
      </c>
      <c r="DO100" s="112" t="str">
        <f aca="false">IF($DD100&gt;$DC$8,"",VLOOKUP($DD100,$DF$9:$DL$508,3,FALSE()))</f>
        <v/>
      </c>
      <c r="DP100" s="112" t="str">
        <f aca="false">IF($DD100&gt;$DC$8,"",VLOOKUP($DD100,$DF$9:$DL$508,4,FALSE()))</f>
        <v/>
      </c>
      <c r="DQ100" s="112" t="str">
        <f aca="false">IF($DD100&gt;$DC$8,"",VLOOKUP($DD100,$DF$9:$DL$508,5,FALSE()))</f>
        <v/>
      </c>
      <c r="DR100" s="113" t="str">
        <f aca="false">IF($DD100&gt;$DC$8,"",VLOOKUP($DD100,$DF$9:$DL$508,6,FALSE()))</f>
        <v/>
      </c>
      <c r="DS100" s="76"/>
    </row>
    <row r="101" customFormat="false" ht="15.75" hidden="false" customHeight="false" outlineLevel="0" collapsed="false">
      <c r="A101" s="9"/>
      <c r="B101" s="78"/>
      <c r="C101" s="79"/>
      <c r="D101" s="170"/>
      <c r="E101" s="178"/>
      <c r="F101" s="172"/>
      <c r="G101" s="173"/>
      <c r="H101" s="173"/>
      <c r="I101" s="179"/>
      <c r="J101" s="176"/>
      <c r="K101" s="86"/>
      <c r="L101" s="87"/>
      <c r="M101" s="88"/>
      <c r="N101" s="176"/>
      <c r="O101" s="176"/>
      <c r="P101" s="178"/>
      <c r="Q101" s="176"/>
      <c r="R101" s="176"/>
      <c r="S101" s="86"/>
      <c r="T101" s="88"/>
      <c r="U101" s="88"/>
      <c r="V101" s="176"/>
      <c r="W101" s="176"/>
      <c r="X101" s="178"/>
      <c r="Y101" s="176"/>
      <c r="Z101" s="177"/>
      <c r="AA101" s="176"/>
      <c r="AB101" s="92"/>
      <c r="AC101" s="93"/>
      <c r="AD101" s="93"/>
      <c r="AE101" s="93"/>
      <c r="AF101" s="93" t="str">
        <f aca="false">IF(ISBLANK($C101),"",IF(E101=Constants!$B$2,TRUE(),IF(E101=Constants!$B$3,FALSE(),TRUE())))</f>
        <v/>
      </c>
      <c r="AG101" s="93" t="str">
        <f aca="false">IF(ISBLANK($C101),"",IF(F101=Constants!$B$2,TRUE(),IF(F101=Constants!$B$3,FALSE(),TRUE())))</f>
        <v/>
      </c>
      <c r="AH101" s="93" t="str">
        <f aca="false">IF(ISBLANK($C101),"",IF(G101=Constants!$B$2,TRUE(),IF(G101=Constants!$B$3,FALSE(),TRUE())))</f>
        <v/>
      </c>
      <c r="AI101" s="93" t="str">
        <f aca="false">IF(ISBLANK($C101),"",IF(AND(ISNUMBER(H101),H101&gt;=0),H101,Constants!$B$24))</f>
        <v/>
      </c>
      <c r="AJ101" s="93" t="str">
        <f aca="false">IF(ISBLANK($C101),"",IF(I101=Constants!$B$2,TRUE(),IF(I101=Constants!$B$3,FALSE(),TRUE())))</f>
        <v/>
      </c>
      <c r="AK101" s="93" t="str">
        <f aca="false">IF(ISBLANK($C101),"",IF(J101=Constants!$B$2,TRUE(),IF(J101=Constants!$B$3,FALSE(),TRUE())))</f>
        <v/>
      </c>
      <c r="AL101" s="93" t="str">
        <f aca="false">IF(ISBLANK($C101),"",IF(K101=Constants!$B$4,TRUE(),IF(K101=Constants!$B$5,FALSE(),COUNTA(L101:P101)&gt;0)))</f>
        <v/>
      </c>
      <c r="AM101" s="95" t="str">
        <f aca="false">IF(ISBLANK($C101),"",IF(ISNUMBER(L101),IF(L101&gt;=0,L101,""),""))</f>
        <v/>
      </c>
      <c r="AN101" s="94" t="str">
        <f aca="false">IF(ISBLANK($C101),"",IF(ISNUMBER(M101),IF(M101&gt;=0,M101,""),""))</f>
        <v/>
      </c>
      <c r="AO101" s="94" t="str">
        <f aca="false">IF(ISBLANK($C101),"",IF(N101=Constants!$B$2,TRUE(),IF(N101=Constants!$B$3,FALSE(),TRUE())))</f>
        <v/>
      </c>
      <c r="AP101" s="93" t="str">
        <f aca="false">IF(ISBLANK($C101),"",IF(ISNUMBER(O101),IF(O101&gt;=0,O101,""),""))</f>
        <v/>
      </c>
      <c r="AQ101" s="93" t="str">
        <f aca="false">IF(ISBLANK($C101),"",IF(P101=Constants!$B$2,TRUE(),IF(P101=Constants!$B$3,FALSE(),FALSE())))</f>
        <v/>
      </c>
      <c r="AR101" s="93" t="str">
        <f aca="false">IF(ISBLANK($C101),"",IF(Q101=Constants!$B$2,TRUE(),IF(Q101=Constants!$B$3,FALSE(),TRUE())))</f>
        <v/>
      </c>
      <c r="AS101" s="93" t="str">
        <f aca="false">IF(ISBLANK($C101),"",IF(R101=Constants!$B$2,TRUE(),IF(R101=Constants!$B$3,FALSE(),TRUE())))</f>
        <v/>
      </c>
      <c r="AT101" s="93" t="str">
        <f aca="false">IF(ISBLANK($C101),"",IF(S101=Constants!$B$4,TRUE(),IF(S101=Constants!$B$5,FALSE(),COUNTA(T101:X101)&gt;0)))</f>
        <v/>
      </c>
      <c r="AU101" s="95" t="str">
        <f aca="false">IF(ISBLANK($C101),"",IF(ISNUMBER(T101),IF(T101&gt;=0,T101,""),""))</f>
        <v/>
      </c>
      <c r="AV101" s="94" t="str">
        <f aca="false">IF(ISBLANK($C101),"",IF(ISNUMBER(U101),IF(U101&gt;=0,U101,""),""))</f>
        <v/>
      </c>
      <c r="AW101" s="94" t="str">
        <f aca="false">IF(ISBLANK($C101),"",IF(V101=Constants!$B$2,TRUE(),IF(V101=Constants!$B$3,FALSE(),TRUE())))</f>
        <v/>
      </c>
      <c r="AX101" s="93" t="str">
        <f aca="false">IF(ISBLANK($C101),"",IF(ISNUMBER(W101),IF(W101&gt;=0,W101,""),""))</f>
        <v/>
      </c>
      <c r="AY101" s="93" t="str">
        <f aca="false">IF(ISBLANK($C101),"",IF(X101=Constants!$B$2,TRUE(),IF(X101=Constants!$B$3,FALSE(),FALSE())))</f>
        <v/>
      </c>
      <c r="AZ101" s="93" t="str">
        <f aca="false">IF(ISBLANK($C101),"",MIN(Constants!$B$25,MAX(0,IF(ISNUMBER(Y101),Y101*60,0)+IF(ISNUMBER(Z101),Z101,0))))</f>
        <v/>
      </c>
      <c r="BA101" s="93" t="str">
        <f aca="false">IF(ISBLANK($C101),"",IF(AA101=Constants!$B$2,TRUE(),IF(AA101=Constants!$B$3,FALSE(),FALSE())))</f>
        <v/>
      </c>
      <c r="BB101" s="92" t="str">
        <f aca="false">IF(ISBLANK($C101),"",AND($AL101,OR($AM101="",$AN101="",AND($AO101,$AP101=""))))</f>
        <v/>
      </c>
      <c r="BC101" s="94" t="str">
        <f aca="false">IF($BX101&lt;&gt;Constants!$B$6,"",IF($AL101,Constants!$B$17*$AN101+Constants!$B$18*IF($AO101,$AP101,Constants!$B$19),Constants!$B$20))</f>
        <v/>
      </c>
      <c r="BD101" s="97" t="str">
        <f aca="false">IF($BX101&lt;&gt;Constants!$B$6,"",Constants!$B$21*ABS($AD$9-IF($AL101,$AM101,0)))</f>
        <v/>
      </c>
      <c r="BE101" s="97" t="str">
        <f aca="false">IF($BX101&lt;&gt;Constants!$B$6,"",IF(AND($AL101,$AQ101,$AO101),Constants!$B$22,0))</f>
        <v/>
      </c>
      <c r="BF101" s="97" t="str">
        <f aca="false">IF($BX101&lt;&gt;Constants!$B$6,"",IF($AL101,($AI101-Constants!$B$24)*Constants!$B$23,0))</f>
        <v/>
      </c>
      <c r="BG101" s="97" t="str">
        <f aca="false">IF($BX101&lt;&gt;Constants!$B$6,"",IF($AK101,0,Constants!$B$12)+IF($AJ101,0,Constants!$B$13)+IF($AH101,0,Constants!$B$14))</f>
        <v/>
      </c>
      <c r="BH101" s="98" t="str">
        <f aca="false">IF($BX101&lt;&gt;Constants!$B$6,"",Constants!$B$16+SUM($BC101:$BG101))</f>
        <v/>
      </c>
      <c r="BI101" s="97" t="str">
        <f aca="false">IF($BX101&lt;&gt;Constants!$B$6,"",$BC101)</f>
        <v/>
      </c>
      <c r="BJ101" s="97" t="str">
        <f aca="false">IF($BX101&lt;&gt;Constants!$B$6,"",$BD101)</f>
        <v/>
      </c>
      <c r="BK101" s="99" t="str">
        <f aca="false">IF($BX101&lt;&gt;Constants!$B$6,"",IF($AL101,$AN101,""))</f>
        <v/>
      </c>
      <c r="BL101" s="93" t="str">
        <f aca="false">IF($BX101&lt;&gt;Constants!$B$6,"",IF(OR($BS101&lt;$BH101,AND($BS101=$BH101,OR($BT101&lt;$BI101,AND($BT101=$BI101,OR($BU101&lt;$BJ101,AND($BU101=$BJ101,AND(ISNUMBER($BV101),OR(NOT(ISNUMBER($BK101)),$BV101&lt;$BK101)))))))),"-&gt;","&lt;-"))</f>
        <v/>
      </c>
      <c r="BM101" s="92" t="str">
        <f aca="false">IF(ISBLANK($C101),"",AND($AT101,OR($AU101="",$AV101="",AND($AW101,$AX101=""))))</f>
        <v/>
      </c>
      <c r="BN101" s="94" t="str">
        <f aca="false">IF($BX101&lt;&gt;Constants!$B$6,"",IF($AT101,Constants!$B$17*$AV101+Constants!$B$18*IF($AW101,$AX101,Constants!$B$19),Constants!$B$20))</f>
        <v/>
      </c>
      <c r="BO101" s="97" t="str">
        <f aca="false">IF($BX101&lt;&gt;Constants!$B$6,"",Constants!$B$21*ABS($AD$9-IF($AT101,$AU101,0)))</f>
        <v/>
      </c>
      <c r="BP101" s="97" t="str">
        <f aca="false">IF($BX101&lt;&gt;Constants!$B$6,"",IF(AND($AT101,$AY101,$AW101),Constants!$B$22,0))</f>
        <v/>
      </c>
      <c r="BQ101" s="97" t="str">
        <f aca="false">IF($BX101&lt;&gt;Constants!$B$6,"",IF($AT101,($AI101-Constants!$B$24)*Constants!$B$23,0))</f>
        <v/>
      </c>
      <c r="BR101" s="97" t="str">
        <f aca="false">IF($BX101&lt;&gt;Constants!$B$6,"",IF($AS101,0,Constants!$B$12)+IF($AR101,0,Constants!$B$13)+IF($AH101,0,Constants!$B$14))</f>
        <v/>
      </c>
      <c r="BS101" s="98" t="str">
        <f aca="false">IF($BX101&lt;&gt;Constants!$B$6,"",Constants!$B$16+SUM($BN101:$BR101))</f>
        <v/>
      </c>
      <c r="BT101" s="97" t="str">
        <f aca="false">IF($BX101&lt;&gt;Constants!$B$6,"",$BN101)</f>
        <v/>
      </c>
      <c r="BU101" s="97" t="str">
        <f aca="false">IF($BX101&lt;&gt;Constants!$B$6,"",$BO101)</f>
        <v/>
      </c>
      <c r="BV101" s="99" t="str">
        <f aca="false">IF($BX101&lt;&gt;Constants!$B$6,"",IF($AT101,$AV101,""))</f>
        <v/>
      </c>
      <c r="BW101" s="93" t="str">
        <f aca="false">IF(ISBLANK($C101),"",IF(ISBLANK($D$7),$BW$5,IF(NOT(ISNUMBER($D$7)),$BW$6,"")))</f>
        <v/>
      </c>
      <c r="BX101" s="93" t="str">
        <f aca="false">IF(ISBLANK($C101),"",IF($BA101,Constants!$B$9,IF(COUNTA($E101:$AA101)=0,Constants!$B$8,IF(NOT($AG101),Constants!$B$7,IF(OR($BW101&lt;&gt;"",$BB101,$BM101),Constants!$B$10,Constants!$B$6)))))</f>
        <v/>
      </c>
      <c r="BY101" s="93" t="str">
        <f aca="false">IF(ISBLANK($C101),"",IF($BX101&lt;&gt;Constants!$B$6,$BX101,Constants!$B$11))</f>
        <v/>
      </c>
      <c r="BZ101" s="97" t="str">
        <f aca="false">IF($BX101&lt;&gt;Constants!$B$6,"",IF($BL101="-&gt;",$BS101,$BH101))</f>
        <v/>
      </c>
      <c r="CA101" s="97" t="str">
        <f aca="false">IF($BX101&lt;&gt;Constants!$B$6,"",IF($AF101,0,Constants!$B$15))</f>
        <v/>
      </c>
      <c r="CB101" s="97" t="str">
        <f aca="false">IF($BX101&lt;&gt;Constants!$B$6,"",((Constants!$B$25-$AZ101)-Constants!$B$25)/Constants!$B$26)</f>
        <v/>
      </c>
      <c r="CC101" s="97" t="str">
        <f aca="false">IF(ISBLANK($C101),"",IF($BX101&lt;&gt;Constants!$B$6,$BX101,SUM($BZ101:$CB101)))</f>
        <v/>
      </c>
      <c r="CD101" s="93" t="str">
        <f aca="false">IF(ISBLANK($C101),"",IF($BX101&lt;&gt;Constants!$B$6,$BX101,RANK($CC101,$CC$9:$CC$508,1)))</f>
        <v/>
      </c>
      <c r="CE101" s="97" t="str">
        <f aca="false">IF($BX101&lt;&gt;Constants!$B$6,"",IF($BL101="-&gt;",$BT101,$BI101))</f>
        <v/>
      </c>
      <c r="CF101" s="93" t="str">
        <f aca="false">IF(ISBLANK($C101),"",IF($BX101&lt;&gt;Constants!$B$6,$BX101,IF(ISNUMBER($CE101),RANK($CE101,$CE$9:$CE$508,1),COUNT($CE$9:$CE$508)+1)))</f>
        <v/>
      </c>
      <c r="CG101" s="97" t="str">
        <f aca="false">IF($BX101&lt;&gt;Constants!$B$6,"",IF($BL101="-&gt;",$BU101,$BJ101))</f>
        <v/>
      </c>
      <c r="CH101" s="93" t="str">
        <f aca="false">IF(ISBLANK($C101),"",IF($BX101&lt;&gt;Constants!$B$6,$BX101,IF(ISNUMBER($CG101),RANK($CG101,$CG$9:$CG$508,1),COUNT($CG$9:$CG$508)+1)))</f>
        <v/>
      </c>
      <c r="CI101" s="97" t="str">
        <f aca="false">IF($BX101&lt;&gt;Constants!$B$6,"",IF($BL101="-&gt;",$BV101,$BK101))</f>
        <v/>
      </c>
      <c r="CJ101" s="93" t="str">
        <f aca="false">IF(ISBLANK($C101),"",IF($BX101&lt;&gt;Constants!$B$6,$BX101,IF(ISNUMBER($CI101),RANK($CI101,$CI$9:$CI$508,1),COUNT($CI$9:$CI$508)+1)))</f>
        <v/>
      </c>
      <c r="CK101" s="97" t="str">
        <f aca="false">IF($BX101&lt;&gt;Constants!$B$6,"",$AI101)</f>
        <v/>
      </c>
      <c r="CL101" s="93" t="str">
        <f aca="false">IF(ISBLANK($C101),"",IF($BX101&lt;&gt;Constants!$B$6,$BX101,IF(ISNUMBER($CK101),RANK($CK101,$CK$9:$CK$508,1),COUNT($CK$9:$CK$508)+1)))</f>
        <v/>
      </c>
      <c r="CM101" s="93" t="str">
        <f aca="false">IF(ISBLANK($C101),"",IF($BX101&lt;&gt;Constants!$B$6,$BX101,COUNTIFS($CD$9:$CD$508,"&lt;"&amp;$CD101)+COUNTIFS($CD$9:$CD$508,$CD101,$CF$9:$CF$508,"&lt;"&amp;$CF101)+COUNTIFS($CD$9:$CD$508,$CD101,$CF$9:$CF$508,$CF101,$CH$9:$CH$508,"&lt;"&amp;$CH101)+COUNTIFS($CD$9:$CD$508,$CD101,$CF$9:$CF$508,$CF101,$CH$9:$CH$508,$CH101,$CJ$9:$CJ$508,"&lt;"&amp;$CJ101)+COUNTIFS($CD$9:$CD$508,$CD101,$CF$9:$CF$508,$CF101,$CH$9:$CH$508,$CH101,$CJ$9:$CJ$508,$CJ101,$CL$9:$CL$508,"&lt;"&amp;$CL101)+1))</f>
        <v/>
      </c>
      <c r="CN101" s="93" t="str">
        <f aca="false">IF(ISBLANK($C101),"",IF($BX101&lt;&gt;Constants!$B$6,$BX101,$CD101-$CM101))</f>
        <v/>
      </c>
      <c r="CO101" s="100"/>
      <c r="CP101" s="101"/>
      <c r="CQ101" s="102" t="str">
        <f aca="false">IF(ISBLANK($C101),"",IF($BX101=Constants!$B$10,$BW101,""))</f>
        <v/>
      </c>
      <c r="CR101" s="101" t="str">
        <f aca="false">IF(ISBLANK($C101),"",IF($BX101&lt;&gt;Constants!$B$6,"",IF($BL101="-&gt;",2,1)))</f>
        <v/>
      </c>
      <c r="CS101" s="103" t="str">
        <f aca="false">IF(ISBLANK($C101),"",IF($BX101&lt;&gt;Constants!$B$6,"",IF($BL101="-&gt;",$BN101,$BC101)))</f>
        <v/>
      </c>
      <c r="CT101" s="103" t="str">
        <f aca="false">IF(ISBLANK($C101),"",IF($BX101&lt;&gt;Constants!$B$6,"",IF($BL101="-&gt;",$BO101,$BD101)))</f>
        <v/>
      </c>
      <c r="CU101" s="103" t="str">
        <f aca="false">IF(ISBLANK($C101),"",IF($BX101&lt;&gt;Constants!$B$6,"",IF($BL101="-&gt;",$BP101+$BQ101,$BE101+$BF101)+$CB101))</f>
        <v/>
      </c>
      <c r="CV101" s="103" t="str">
        <f aca="false">IF(ISBLANK($C101),"",IF($BX101&lt;&gt;Constants!$B$6,"",IF($BL101="-&gt;",$BR101,$BG101)+$CA101))</f>
        <v/>
      </c>
      <c r="CW101" s="104" t="str">
        <f aca="false">IF(ISBLANK($C101),"",IF($BX101&lt;&gt;Constants!$B$6,$BX101,$CC101))</f>
        <v/>
      </c>
      <c r="CX101" s="105" t="str">
        <f aca="false">IF(ISBLANK($C101),"",$BY101)</f>
        <v/>
      </c>
      <c r="CY101" s="106" t="str">
        <f aca="false">IF(ISBLANK($C101),"",$CN101)</f>
        <v/>
      </c>
      <c r="CZ101" s="106" t="str">
        <f aca="false">IF(ISBLANK($C101),"",$CM101)</f>
        <v/>
      </c>
      <c r="DA101" s="107" t="str">
        <f aca="false">IF(ISBLANK($C101),"",IFERROR(_xlfn.SWITCH($CZ101,Constants!$B$9,COUNTA($C$9:$C$508)+2,Constants!$B$8,COUNTA($C$9:$C$508)+1,Constants!$B$7,COUNTA($C$9:$C$508)),$CZ101))</f>
        <v/>
      </c>
      <c r="DB101" s="9"/>
      <c r="DC101" s="108" t="n">
        <f aca="false">IF(OR(ISNUMBER($CZ101),$CZ101=Constants!$B$9,$CZ101=Constants!$B$7,$CZ101=Constants!$B$8),1,0)</f>
        <v>0</v>
      </c>
      <c r="DD101" s="108" t="n">
        <v>93</v>
      </c>
      <c r="DE101" s="108" t="str">
        <f aca="false">IF(ISBLANK($C101),"",IF(ISNUMBER($DA101),$DA101+ROW($B101)/1000,""))</f>
        <v/>
      </c>
      <c r="DF101" s="108" t="str">
        <f aca="false">IF(ISNUMBER($DE101),RANK($DE101,$DE$9:$DE$508,1),"")</f>
        <v/>
      </c>
      <c r="DG101" s="108" t="str">
        <f aca="false">IF(ISBLANK($C101),"",$B101)</f>
        <v/>
      </c>
      <c r="DH101" s="108" t="str">
        <f aca="false">IF(ISBLANK($C101),"",$C101)</f>
        <v/>
      </c>
      <c r="DI101" s="108" t="str">
        <f aca="false">IF(ISBLANK($C101),"",$D101)</f>
        <v/>
      </c>
      <c r="DJ101" s="109" t="str">
        <f aca="false">$CX101</f>
        <v/>
      </c>
      <c r="DK101" s="110" t="str">
        <f aca="false">$CW101</f>
        <v/>
      </c>
      <c r="DL101" s="108" t="str">
        <f aca="false">IF(ISBLANK($C101),"",$CZ101)</f>
        <v/>
      </c>
      <c r="DM101" s="111" t="str">
        <f aca="false">IF($DD101&gt;$DC$8,"",VLOOKUP($DD101,$DF$9:$DL$508,7,FALSE()))</f>
        <v/>
      </c>
      <c r="DN101" s="112" t="str">
        <f aca="false">IF($DD101&gt;$DC$8,"",VLOOKUP($DD101,$DF$9:$DL$508,2,FALSE()))</f>
        <v/>
      </c>
      <c r="DO101" s="112" t="str">
        <f aca="false">IF($DD101&gt;$DC$8,"",VLOOKUP($DD101,$DF$9:$DL$508,3,FALSE()))</f>
        <v/>
      </c>
      <c r="DP101" s="112" t="str">
        <f aca="false">IF($DD101&gt;$DC$8,"",VLOOKUP($DD101,$DF$9:$DL$508,4,FALSE()))</f>
        <v/>
      </c>
      <c r="DQ101" s="112" t="str">
        <f aca="false">IF($DD101&gt;$DC$8,"",VLOOKUP($DD101,$DF$9:$DL$508,5,FALSE()))</f>
        <v/>
      </c>
      <c r="DR101" s="113" t="str">
        <f aca="false">IF($DD101&gt;$DC$8,"",VLOOKUP($DD101,$DF$9:$DL$508,6,FALSE()))</f>
        <v/>
      </c>
      <c r="DS101" s="76"/>
    </row>
    <row r="102" customFormat="false" ht="15.75" hidden="false" customHeight="false" outlineLevel="0" collapsed="false">
      <c r="A102" s="9"/>
      <c r="B102" s="160"/>
      <c r="C102" s="161"/>
      <c r="D102" s="162"/>
      <c r="E102" s="180"/>
      <c r="F102" s="164"/>
      <c r="G102" s="165"/>
      <c r="H102" s="165"/>
      <c r="I102" s="181"/>
      <c r="J102" s="168"/>
      <c r="K102" s="128"/>
      <c r="L102" s="129"/>
      <c r="M102" s="130"/>
      <c r="N102" s="168"/>
      <c r="O102" s="168"/>
      <c r="P102" s="180"/>
      <c r="Q102" s="168"/>
      <c r="R102" s="168"/>
      <c r="S102" s="128"/>
      <c r="T102" s="130"/>
      <c r="U102" s="130"/>
      <c r="V102" s="168"/>
      <c r="W102" s="168"/>
      <c r="X102" s="180"/>
      <c r="Y102" s="168"/>
      <c r="Z102" s="169"/>
      <c r="AA102" s="168"/>
      <c r="AB102" s="134"/>
      <c r="AC102" s="135"/>
      <c r="AD102" s="135"/>
      <c r="AE102" s="135"/>
      <c r="AF102" s="135" t="str">
        <f aca="false">IF(ISBLANK($C102),"",IF(E102=Constants!$B$2,TRUE(),IF(E102=Constants!$B$3,FALSE(),TRUE())))</f>
        <v/>
      </c>
      <c r="AG102" s="135" t="str">
        <f aca="false">IF(ISBLANK($C102),"",IF(F102=Constants!$B$2,TRUE(),IF(F102=Constants!$B$3,FALSE(),TRUE())))</f>
        <v/>
      </c>
      <c r="AH102" s="135" t="str">
        <f aca="false">IF(ISBLANK($C102),"",IF(G102=Constants!$B$2,TRUE(),IF(G102=Constants!$B$3,FALSE(),TRUE())))</f>
        <v/>
      </c>
      <c r="AI102" s="135" t="str">
        <f aca="false">IF(ISBLANK($C102),"",IF(AND(ISNUMBER(H102),H102&gt;=0),H102,Constants!$B$24))</f>
        <v/>
      </c>
      <c r="AJ102" s="135" t="str">
        <f aca="false">IF(ISBLANK($C102),"",IF(I102=Constants!$B$2,TRUE(),IF(I102=Constants!$B$3,FALSE(),TRUE())))</f>
        <v/>
      </c>
      <c r="AK102" s="135" t="str">
        <f aca="false">IF(ISBLANK($C102),"",IF(J102=Constants!$B$2,TRUE(),IF(J102=Constants!$B$3,FALSE(),TRUE())))</f>
        <v/>
      </c>
      <c r="AL102" s="135" t="str">
        <f aca="false">IF(ISBLANK($C102),"",IF(K102=Constants!$B$4,TRUE(),IF(K102=Constants!$B$5,FALSE(),COUNTA(L102:P102)&gt;0)))</f>
        <v/>
      </c>
      <c r="AM102" s="136" t="str">
        <f aca="false">IF(ISBLANK($C102),"",IF(ISNUMBER(L102),IF(L102&gt;=0,L102,""),""))</f>
        <v/>
      </c>
      <c r="AN102" s="137" t="str">
        <f aca="false">IF(ISBLANK($C102),"",IF(ISNUMBER(M102),IF(M102&gt;=0,M102,""),""))</f>
        <v/>
      </c>
      <c r="AO102" s="137" t="str">
        <f aca="false">IF(ISBLANK($C102),"",IF(N102=Constants!$B$2,TRUE(),IF(N102=Constants!$B$3,FALSE(),TRUE())))</f>
        <v/>
      </c>
      <c r="AP102" s="135" t="str">
        <f aca="false">IF(ISBLANK($C102),"",IF(ISNUMBER(O102),IF(O102&gt;=0,O102,""),""))</f>
        <v/>
      </c>
      <c r="AQ102" s="135" t="str">
        <f aca="false">IF(ISBLANK($C102),"",IF(P102=Constants!$B$2,TRUE(),IF(P102=Constants!$B$3,FALSE(),FALSE())))</f>
        <v/>
      </c>
      <c r="AR102" s="135" t="str">
        <f aca="false">IF(ISBLANK($C102),"",IF(Q102=Constants!$B$2,TRUE(),IF(Q102=Constants!$B$3,FALSE(),TRUE())))</f>
        <v/>
      </c>
      <c r="AS102" s="135" t="str">
        <f aca="false">IF(ISBLANK($C102),"",IF(R102=Constants!$B$2,TRUE(),IF(R102=Constants!$B$3,FALSE(),TRUE())))</f>
        <v/>
      </c>
      <c r="AT102" s="135" t="str">
        <f aca="false">IF(ISBLANK($C102),"",IF(S102=Constants!$B$4,TRUE(),IF(S102=Constants!$B$5,FALSE(),COUNTA(T102:X102)&gt;0)))</f>
        <v/>
      </c>
      <c r="AU102" s="136" t="str">
        <f aca="false">IF(ISBLANK($C102),"",IF(ISNUMBER(T102),IF(T102&gt;=0,T102,""),""))</f>
        <v/>
      </c>
      <c r="AV102" s="137" t="str">
        <f aca="false">IF(ISBLANK($C102),"",IF(ISNUMBER(U102),IF(U102&gt;=0,U102,""),""))</f>
        <v/>
      </c>
      <c r="AW102" s="137" t="str">
        <f aca="false">IF(ISBLANK($C102),"",IF(V102=Constants!$B$2,TRUE(),IF(V102=Constants!$B$3,FALSE(),TRUE())))</f>
        <v/>
      </c>
      <c r="AX102" s="135" t="str">
        <f aca="false">IF(ISBLANK($C102),"",IF(ISNUMBER(W102),IF(W102&gt;=0,W102,""),""))</f>
        <v/>
      </c>
      <c r="AY102" s="135" t="str">
        <f aca="false">IF(ISBLANK($C102),"",IF(X102=Constants!$B$2,TRUE(),IF(X102=Constants!$B$3,FALSE(),FALSE())))</f>
        <v/>
      </c>
      <c r="AZ102" s="135" t="str">
        <f aca="false">IF(ISBLANK($C102),"",MIN(Constants!$B$25,MAX(0,IF(ISNUMBER(Y102),Y102*60,0)+IF(ISNUMBER(Z102),Z102,0))))</f>
        <v/>
      </c>
      <c r="BA102" s="135" t="str">
        <f aca="false">IF(ISBLANK($C102),"",IF(AA102=Constants!$B$2,TRUE(),IF(AA102=Constants!$B$3,FALSE(),FALSE())))</f>
        <v/>
      </c>
      <c r="BB102" s="134" t="str">
        <f aca="false">IF(ISBLANK($C102),"",AND($AL102,OR($AM102="",$AN102="",AND($AO102,$AP102=""))))</f>
        <v/>
      </c>
      <c r="BC102" s="137" t="str">
        <f aca="false">IF($BX102&lt;&gt;Constants!$B$6,"",IF($AL102,Constants!$B$17*$AN102+Constants!$B$18*IF($AO102,$AP102,Constants!$B$19),Constants!$B$20))</f>
        <v/>
      </c>
      <c r="BD102" s="138" t="str">
        <f aca="false">IF($BX102&lt;&gt;Constants!$B$6,"",Constants!$B$21*ABS($AD$9-IF($AL102,$AM102,0)))</f>
        <v/>
      </c>
      <c r="BE102" s="138" t="str">
        <f aca="false">IF($BX102&lt;&gt;Constants!$B$6,"",IF(AND($AL102,$AQ102,$AO102),Constants!$B$22,0))</f>
        <v/>
      </c>
      <c r="BF102" s="138" t="str">
        <f aca="false">IF($BX102&lt;&gt;Constants!$B$6,"",IF($AL102,($AI102-Constants!$B$24)*Constants!$B$23,0))</f>
        <v/>
      </c>
      <c r="BG102" s="138" t="str">
        <f aca="false">IF($BX102&lt;&gt;Constants!$B$6,"",IF($AK102,0,Constants!$B$12)+IF($AJ102,0,Constants!$B$13)+IF($AH102,0,Constants!$B$14))</f>
        <v/>
      </c>
      <c r="BH102" s="139" t="str">
        <f aca="false">IF($BX102&lt;&gt;Constants!$B$6,"",Constants!$B$16+SUM($BC102:$BG102))</f>
        <v/>
      </c>
      <c r="BI102" s="138" t="str">
        <f aca="false">IF($BX102&lt;&gt;Constants!$B$6,"",$BC102)</f>
        <v/>
      </c>
      <c r="BJ102" s="138" t="str">
        <f aca="false">IF($BX102&lt;&gt;Constants!$B$6,"",$BD102)</f>
        <v/>
      </c>
      <c r="BK102" s="140" t="str">
        <f aca="false">IF($BX102&lt;&gt;Constants!$B$6,"",IF($AL102,$AN102,""))</f>
        <v/>
      </c>
      <c r="BL102" s="135" t="str">
        <f aca="false">IF($BX102&lt;&gt;Constants!$B$6,"",IF(OR($BS102&lt;$BH102,AND($BS102=$BH102,OR($BT102&lt;$BI102,AND($BT102=$BI102,OR($BU102&lt;$BJ102,AND($BU102=$BJ102,AND(ISNUMBER($BV102),OR(NOT(ISNUMBER($BK102)),$BV102&lt;$BK102)))))))),"-&gt;","&lt;-"))</f>
        <v/>
      </c>
      <c r="BM102" s="134" t="str">
        <f aca="false">IF(ISBLANK($C102),"",AND($AT102,OR($AU102="",$AV102="",AND($AW102,$AX102=""))))</f>
        <v/>
      </c>
      <c r="BN102" s="137" t="str">
        <f aca="false">IF($BX102&lt;&gt;Constants!$B$6,"",IF($AT102,Constants!$B$17*$AV102+Constants!$B$18*IF($AW102,$AX102,Constants!$B$19),Constants!$B$20))</f>
        <v/>
      </c>
      <c r="BO102" s="138" t="str">
        <f aca="false">IF($BX102&lt;&gt;Constants!$B$6,"",Constants!$B$21*ABS($AD$9-IF($AT102,$AU102,0)))</f>
        <v/>
      </c>
      <c r="BP102" s="138" t="str">
        <f aca="false">IF($BX102&lt;&gt;Constants!$B$6,"",IF(AND($AT102,$AY102,$AW102),Constants!$B$22,0))</f>
        <v/>
      </c>
      <c r="BQ102" s="138" t="str">
        <f aca="false">IF($BX102&lt;&gt;Constants!$B$6,"",IF($AT102,($AI102-Constants!$B$24)*Constants!$B$23,0))</f>
        <v/>
      </c>
      <c r="BR102" s="138" t="str">
        <f aca="false">IF($BX102&lt;&gt;Constants!$B$6,"",IF($AS102,0,Constants!$B$12)+IF($AR102,0,Constants!$B$13)+IF($AH102,0,Constants!$B$14))</f>
        <v/>
      </c>
      <c r="BS102" s="139" t="str">
        <f aca="false">IF($BX102&lt;&gt;Constants!$B$6,"",Constants!$B$16+SUM($BN102:$BR102))</f>
        <v/>
      </c>
      <c r="BT102" s="138" t="str">
        <f aca="false">IF($BX102&lt;&gt;Constants!$B$6,"",$BN102)</f>
        <v/>
      </c>
      <c r="BU102" s="138" t="str">
        <f aca="false">IF($BX102&lt;&gt;Constants!$B$6,"",$BO102)</f>
        <v/>
      </c>
      <c r="BV102" s="140" t="str">
        <f aca="false">IF($BX102&lt;&gt;Constants!$B$6,"",IF($AT102,$AV102,""))</f>
        <v/>
      </c>
      <c r="BW102" s="135" t="str">
        <f aca="false">IF(ISBLANK($C102),"",IF(ISBLANK($D$7),$BW$5,IF(NOT(ISNUMBER($D$7)),$BW$6,"")))</f>
        <v/>
      </c>
      <c r="BX102" s="135" t="str">
        <f aca="false">IF(ISBLANK($C102),"",IF($BA102,Constants!$B$9,IF(COUNTA($E102:$AA102)=0,Constants!$B$8,IF(NOT($AG102),Constants!$B$7,IF(OR($BW102&lt;&gt;"",$BB102,$BM102),Constants!$B$10,Constants!$B$6)))))</f>
        <v/>
      </c>
      <c r="BY102" s="135" t="str">
        <f aca="false">IF(ISBLANK($C102),"",IF($BX102&lt;&gt;Constants!$B$6,$BX102,Constants!$B$11))</f>
        <v/>
      </c>
      <c r="BZ102" s="138" t="str">
        <f aca="false">IF($BX102&lt;&gt;Constants!$B$6,"",IF($BL102="-&gt;",$BS102,$BH102))</f>
        <v/>
      </c>
      <c r="CA102" s="138" t="str">
        <f aca="false">IF($BX102&lt;&gt;Constants!$B$6,"",IF($AF102,0,Constants!$B$15))</f>
        <v/>
      </c>
      <c r="CB102" s="138" t="str">
        <f aca="false">IF($BX102&lt;&gt;Constants!$B$6,"",((Constants!$B$25-$AZ102)-Constants!$B$25)/Constants!$B$26)</f>
        <v/>
      </c>
      <c r="CC102" s="138" t="str">
        <f aca="false">IF(ISBLANK($C102),"",IF($BX102&lt;&gt;Constants!$B$6,$BX102,SUM($BZ102:$CB102)))</f>
        <v/>
      </c>
      <c r="CD102" s="135" t="str">
        <f aca="false">IF(ISBLANK($C102),"",IF($BX102&lt;&gt;Constants!$B$6,$BX102,RANK($CC102,$CC$9:$CC$508,1)))</f>
        <v/>
      </c>
      <c r="CE102" s="138" t="str">
        <f aca="false">IF($BX102&lt;&gt;Constants!$B$6,"",IF($BL102="-&gt;",$BT102,$BI102))</f>
        <v/>
      </c>
      <c r="CF102" s="135" t="str">
        <f aca="false">IF(ISBLANK($C102),"",IF($BX102&lt;&gt;Constants!$B$6,$BX102,IF(ISNUMBER($CE102),RANK($CE102,$CE$9:$CE$508,1),COUNT($CE$9:$CE$508)+1)))</f>
        <v/>
      </c>
      <c r="CG102" s="138" t="str">
        <f aca="false">IF($BX102&lt;&gt;Constants!$B$6,"",IF($BL102="-&gt;",$BU102,$BJ102))</f>
        <v/>
      </c>
      <c r="CH102" s="135" t="str">
        <f aca="false">IF(ISBLANK($C102),"",IF($BX102&lt;&gt;Constants!$B$6,$BX102,IF(ISNUMBER($CG102),RANK($CG102,$CG$9:$CG$508,1),COUNT($CG$9:$CG$508)+1)))</f>
        <v/>
      </c>
      <c r="CI102" s="138" t="str">
        <f aca="false">IF($BX102&lt;&gt;Constants!$B$6,"",IF($BL102="-&gt;",$BV102,$BK102))</f>
        <v/>
      </c>
      <c r="CJ102" s="135" t="str">
        <f aca="false">IF(ISBLANK($C102),"",IF($BX102&lt;&gt;Constants!$B$6,$BX102,IF(ISNUMBER($CI102),RANK($CI102,$CI$9:$CI$508,1),COUNT($CI$9:$CI$508)+1)))</f>
        <v/>
      </c>
      <c r="CK102" s="138" t="str">
        <f aca="false">IF($BX102&lt;&gt;Constants!$B$6,"",$AI102)</f>
        <v/>
      </c>
      <c r="CL102" s="135" t="str">
        <f aca="false">IF(ISBLANK($C102),"",IF($BX102&lt;&gt;Constants!$B$6,$BX102,IF(ISNUMBER($CK102),RANK($CK102,$CK$9:$CK$508,1),COUNT($CK$9:$CK$508)+1)))</f>
        <v/>
      </c>
      <c r="CM102" s="135" t="str">
        <f aca="false">IF(ISBLANK($C102),"",IF($BX102&lt;&gt;Constants!$B$6,$BX102,COUNTIFS($CD$9:$CD$508,"&lt;"&amp;$CD102)+COUNTIFS($CD$9:$CD$508,$CD102,$CF$9:$CF$508,"&lt;"&amp;$CF102)+COUNTIFS($CD$9:$CD$508,$CD102,$CF$9:$CF$508,$CF102,$CH$9:$CH$508,"&lt;"&amp;$CH102)+COUNTIFS($CD$9:$CD$508,$CD102,$CF$9:$CF$508,$CF102,$CH$9:$CH$508,$CH102,$CJ$9:$CJ$508,"&lt;"&amp;$CJ102)+COUNTIFS($CD$9:$CD$508,$CD102,$CF$9:$CF$508,$CF102,$CH$9:$CH$508,$CH102,$CJ$9:$CJ$508,$CJ102,$CL$9:$CL$508,"&lt;"&amp;$CL102)+1))</f>
        <v/>
      </c>
      <c r="CN102" s="135" t="str">
        <f aca="false">IF(ISBLANK($C102),"",IF($BX102&lt;&gt;Constants!$B$6,$BX102,$CD102-$CM102))</f>
        <v/>
      </c>
      <c r="CO102" s="141"/>
      <c r="CP102" s="142"/>
      <c r="CQ102" s="143" t="str">
        <f aca="false">IF(ISBLANK($C102),"",IF($BX102=Constants!$B$10,$BW102,""))</f>
        <v/>
      </c>
      <c r="CR102" s="142" t="str">
        <f aca="false">IF(ISBLANK($C102),"",IF($BX102&lt;&gt;Constants!$B$6,"",IF($BL102="-&gt;",2,1)))</f>
        <v/>
      </c>
      <c r="CS102" s="144" t="str">
        <f aca="false">IF(ISBLANK($C102),"",IF($BX102&lt;&gt;Constants!$B$6,"",IF($BL102="-&gt;",$BN102,$BC102)))</f>
        <v/>
      </c>
      <c r="CT102" s="144" t="str">
        <f aca="false">IF(ISBLANK($C102),"",IF($BX102&lt;&gt;Constants!$B$6,"",IF($BL102="-&gt;",$BO102,$BD102)))</f>
        <v/>
      </c>
      <c r="CU102" s="144" t="str">
        <f aca="false">IF(ISBLANK($C102),"",IF($BX102&lt;&gt;Constants!$B$6,"",IF($BL102="-&gt;",$BP102+$BQ102,$BE102+$BF102)+$CB102))</f>
        <v/>
      </c>
      <c r="CV102" s="144" t="str">
        <f aca="false">IF(ISBLANK($C102),"",IF($BX102&lt;&gt;Constants!$B$6,"",IF($BL102="-&gt;",$BR102,$BG102)+$CA102))</f>
        <v/>
      </c>
      <c r="CW102" s="145" t="str">
        <f aca="false">IF(ISBLANK($C102),"",IF($BX102&lt;&gt;Constants!$B$6,$BX102,$CC102))</f>
        <v/>
      </c>
      <c r="CX102" s="146" t="str">
        <f aca="false">IF(ISBLANK($C102),"",$BY102)</f>
        <v/>
      </c>
      <c r="CY102" s="147" t="str">
        <f aca="false">IF(ISBLANK($C102),"",$CN102)</f>
        <v/>
      </c>
      <c r="CZ102" s="147" t="str">
        <f aca="false">IF(ISBLANK($C102),"",$CM102)</f>
        <v/>
      </c>
      <c r="DA102" s="148" t="str">
        <f aca="false">IF(ISBLANK($C102),"",IFERROR(_xlfn.SWITCH($CZ102,Constants!$B$9,COUNTA($C$9:$C$508)+2,Constants!$B$8,COUNTA($C$9:$C$508)+1,Constants!$B$7,COUNTA($C$9:$C$508)),$CZ102))</f>
        <v/>
      </c>
      <c r="DB102" s="9"/>
      <c r="DC102" s="149" t="n">
        <f aca="false">IF(OR(ISNUMBER($CZ102),$CZ102=Constants!$B$9,$CZ102=Constants!$B$7,$CZ102=Constants!$B$8),1,0)</f>
        <v>0</v>
      </c>
      <c r="DD102" s="149" t="n">
        <v>94</v>
      </c>
      <c r="DE102" s="149" t="str">
        <f aca="false">IF(ISBLANK($C102),"",IF(ISNUMBER($DA102),$DA102+ROW($B102)/1000,""))</f>
        <v/>
      </c>
      <c r="DF102" s="149" t="str">
        <f aca="false">IF(ISNUMBER($DE102),RANK($DE102,$DE$9:$DE$508,1),"")</f>
        <v/>
      </c>
      <c r="DG102" s="149" t="str">
        <f aca="false">IF(ISBLANK($C102),"",$B102)</f>
        <v/>
      </c>
      <c r="DH102" s="149" t="str">
        <f aca="false">IF(ISBLANK($C102),"",$C102)</f>
        <v/>
      </c>
      <c r="DI102" s="149" t="str">
        <f aca="false">IF(ISBLANK($C102),"",$D102)</f>
        <v/>
      </c>
      <c r="DJ102" s="150" t="str">
        <f aca="false">$CX102</f>
        <v/>
      </c>
      <c r="DK102" s="151" t="str">
        <f aca="false">$CW102</f>
        <v/>
      </c>
      <c r="DL102" s="149" t="str">
        <f aca="false">IF(ISBLANK($C102),"",$CZ102)</f>
        <v/>
      </c>
      <c r="DM102" s="152" t="str">
        <f aca="false">IF($DD102&gt;$DC$8,"",VLOOKUP($DD102,$DF$9:$DL$508,7,FALSE()))</f>
        <v/>
      </c>
      <c r="DN102" s="153" t="str">
        <f aca="false">IF($DD102&gt;$DC$8,"",VLOOKUP($DD102,$DF$9:$DL$508,2,FALSE()))</f>
        <v/>
      </c>
      <c r="DO102" s="153" t="str">
        <f aca="false">IF($DD102&gt;$DC$8,"",VLOOKUP($DD102,$DF$9:$DL$508,3,FALSE()))</f>
        <v/>
      </c>
      <c r="DP102" s="153" t="str">
        <f aca="false">IF($DD102&gt;$DC$8,"",VLOOKUP($DD102,$DF$9:$DL$508,4,FALSE()))</f>
        <v/>
      </c>
      <c r="DQ102" s="153" t="str">
        <f aca="false">IF($DD102&gt;$DC$8,"",VLOOKUP($DD102,$DF$9:$DL$508,5,FALSE()))</f>
        <v/>
      </c>
      <c r="DR102" s="154" t="str">
        <f aca="false">IF($DD102&gt;$DC$8,"",VLOOKUP($DD102,$DF$9:$DL$508,6,FALSE()))</f>
        <v/>
      </c>
      <c r="DS102" s="76"/>
    </row>
    <row r="103" customFormat="false" ht="15.75" hidden="false" customHeight="false" outlineLevel="0" collapsed="false">
      <c r="A103" s="9"/>
      <c r="B103" s="160"/>
      <c r="C103" s="161"/>
      <c r="D103" s="162"/>
      <c r="E103" s="180"/>
      <c r="F103" s="164"/>
      <c r="G103" s="165"/>
      <c r="H103" s="165"/>
      <c r="I103" s="181"/>
      <c r="J103" s="168"/>
      <c r="K103" s="128"/>
      <c r="L103" s="129"/>
      <c r="M103" s="130"/>
      <c r="N103" s="168"/>
      <c r="O103" s="168"/>
      <c r="P103" s="180"/>
      <c r="Q103" s="168"/>
      <c r="R103" s="168"/>
      <c r="S103" s="128"/>
      <c r="T103" s="130"/>
      <c r="U103" s="130"/>
      <c r="V103" s="168"/>
      <c r="W103" s="168"/>
      <c r="X103" s="180"/>
      <c r="Y103" s="168"/>
      <c r="Z103" s="169"/>
      <c r="AA103" s="168"/>
      <c r="AB103" s="134"/>
      <c r="AC103" s="135"/>
      <c r="AD103" s="135"/>
      <c r="AE103" s="135"/>
      <c r="AF103" s="135" t="str">
        <f aca="false">IF(ISBLANK($C103),"",IF(E103=Constants!$B$2,TRUE(),IF(E103=Constants!$B$3,FALSE(),TRUE())))</f>
        <v/>
      </c>
      <c r="AG103" s="135" t="str">
        <f aca="false">IF(ISBLANK($C103),"",IF(F103=Constants!$B$2,TRUE(),IF(F103=Constants!$B$3,FALSE(),TRUE())))</f>
        <v/>
      </c>
      <c r="AH103" s="135" t="str">
        <f aca="false">IF(ISBLANK($C103),"",IF(G103=Constants!$B$2,TRUE(),IF(G103=Constants!$B$3,FALSE(),TRUE())))</f>
        <v/>
      </c>
      <c r="AI103" s="135" t="str">
        <f aca="false">IF(ISBLANK($C103),"",IF(AND(ISNUMBER(H103),H103&gt;=0),H103,Constants!$B$24))</f>
        <v/>
      </c>
      <c r="AJ103" s="135" t="str">
        <f aca="false">IF(ISBLANK($C103),"",IF(I103=Constants!$B$2,TRUE(),IF(I103=Constants!$B$3,FALSE(),TRUE())))</f>
        <v/>
      </c>
      <c r="AK103" s="135" t="str">
        <f aca="false">IF(ISBLANK($C103),"",IF(J103=Constants!$B$2,TRUE(),IF(J103=Constants!$B$3,FALSE(),TRUE())))</f>
        <v/>
      </c>
      <c r="AL103" s="135" t="str">
        <f aca="false">IF(ISBLANK($C103),"",IF(K103=Constants!$B$4,TRUE(),IF(K103=Constants!$B$5,FALSE(),COUNTA(L103:P103)&gt;0)))</f>
        <v/>
      </c>
      <c r="AM103" s="136" t="str">
        <f aca="false">IF(ISBLANK($C103),"",IF(ISNUMBER(L103),IF(L103&gt;=0,L103,""),""))</f>
        <v/>
      </c>
      <c r="AN103" s="137" t="str">
        <f aca="false">IF(ISBLANK($C103),"",IF(ISNUMBER(M103),IF(M103&gt;=0,M103,""),""))</f>
        <v/>
      </c>
      <c r="AO103" s="137" t="str">
        <f aca="false">IF(ISBLANK($C103),"",IF(N103=Constants!$B$2,TRUE(),IF(N103=Constants!$B$3,FALSE(),TRUE())))</f>
        <v/>
      </c>
      <c r="AP103" s="135" t="str">
        <f aca="false">IF(ISBLANK($C103),"",IF(ISNUMBER(O103),IF(O103&gt;=0,O103,""),""))</f>
        <v/>
      </c>
      <c r="AQ103" s="135" t="str">
        <f aca="false">IF(ISBLANK($C103),"",IF(P103=Constants!$B$2,TRUE(),IF(P103=Constants!$B$3,FALSE(),FALSE())))</f>
        <v/>
      </c>
      <c r="AR103" s="135" t="str">
        <f aca="false">IF(ISBLANK($C103),"",IF(Q103=Constants!$B$2,TRUE(),IF(Q103=Constants!$B$3,FALSE(),TRUE())))</f>
        <v/>
      </c>
      <c r="AS103" s="135" t="str">
        <f aca="false">IF(ISBLANK($C103),"",IF(R103=Constants!$B$2,TRUE(),IF(R103=Constants!$B$3,FALSE(),TRUE())))</f>
        <v/>
      </c>
      <c r="AT103" s="135" t="str">
        <f aca="false">IF(ISBLANK($C103),"",IF(S103=Constants!$B$4,TRUE(),IF(S103=Constants!$B$5,FALSE(),COUNTA(T103:X103)&gt;0)))</f>
        <v/>
      </c>
      <c r="AU103" s="136" t="str">
        <f aca="false">IF(ISBLANK($C103),"",IF(ISNUMBER(T103),IF(T103&gt;=0,T103,""),""))</f>
        <v/>
      </c>
      <c r="AV103" s="137" t="str">
        <f aca="false">IF(ISBLANK($C103),"",IF(ISNUMBER(U103),IF(U103&gt;=0,U103,""),""))</f>
        <v/>
      </c>
      <c r="AW103" s="137" t="str">
        <f aca="false">IF(ISBLANK($C103),"",IF(V103=Constants!$B$2,TRUE(),IF(V103=Constants!$B$3,FALSE(),TRUE())))</f>
        <v/>
      </c>
      <c r="AX103" s="135" t="str">
        <f aca="false">IF(ISBLANK($C103),"",IF(ISNUMBER(W103),IF(W103&gt;=0,W103,""),""))</f>
        <v/>
      </c>
      <c r="AY103" s="135" t="str">
        <f aca="false">IF(ISBLANK($C103),"",IF(X103=Constants!$B$2,TRUE(),IF(X103=Constants!$B$3,FALSE(),FALSE())))</f>
        <v/>
      </c>
      <c r="AZ103" s="135" t="str">
        <f aca="false">IF(ISBLANK($C103),"",MIN(Constants!$B$25,MAX(0,IF(ISNUMBER(Y103),Y103*60,0)+IF(ISNUMBER(Z103),Z103,0))))</f>
        <v/>
      </c>
      <c r="BA103" s="135" t="str">
        <f aca="false">IF(ISBLANK($C103),"",IF(AA103=Constants!$B$2,TRUE(),IF(AA103=Constants!$B$3,FALSE(),FALSE())))</f>
        <v/>
      </c>
      <c r="BB103" s="134" t="str">
        <f aca="false">IF(ISBLANK($C103),"",AND($AL103,OR($AM103="",$AN103="",AND($AO103,$AP103=""))))</f>
        <v/>
      </c>
      <c r="BC103" s="137" t="str">
        <f aca="false">IF($BX103&lt;&gt;Constants!$B$6,"",IF($AL103,Constants!$B$17*$AN103+Constants!$B$18*IF($AO103,$AP103,Constants!$B$19),Constants!$B$20))</f>
        <v/>
      </c>
      <c r="BD103" s="138" t="str">
        <f aca="false">IF($BX103&lt;&gt;Constants!$B$6,"",Constants!$B$21*ABS($AD$9-IF($AL103,$AM103,0)))</f>
        <v/>
      </c>
      <c r="BE103" s="138" t="str">
        <f aca="false">IF($BX103&lt;&gt;Constants!$B$6,"",IF(AND($AL103,$AQ103,$AO103),Constants!$B$22,0))</f>
        <v/>
      </c>
      <c r="BF103" s="138" t="str">
        <f aca="false">IF($BX103&lt;&gt;Constants!$B$6,"",IF($AL103,($AI103-Constants!$B$24)*Constants!$B$23,0))</f>
        <v/>
      </c>
      <c r="BG103" s="138" t="str">
        <f aca="false">IF($BX103&lt;&gt;Constants!$B$6,"",IF($AK103,0,Constants!$B$12)+IF($AJ103,0,Constants!$B$13)+IF($AH103,0,Constants!$B$14))</f>
        <v/>
      </c>
      <c r="BH103" s="139" t="str">
        <f aca="false">IF($BX103&lt;&gt;Constants!$B$6,"",Constants!$B$16+SUM($BC103:$BG103))</f>
        <v/>
      </c>
      <c r="BI103" s="138" t="str">
        <f aca="false">IF($BX103&lt;&gt;Constants!$B$6,"",$BC103)</f>
        <v/>
      </c>
      <c r="BJ103" s="138" t="str">
        <f aca="false">IF($BX103&lt;&gt;Constants!$B$6,"",$BD103)</f>
        <v/>
      </c>
      <c r="BK103" s="140" t="str">
        <f aca="false">IF($BX103&lt;&gt;Constants!$B$6,"",IF($AL103,$AN103,""))</f>
        <v/>
      </c>
      <c r="BL103" s="135" t="str">
        <f aca="false">IF($BX103&lt;&gt;Constants!$B$6,"",IF(OR($BS103&lt;$BH103,AND($BS103=$BH103,OR($BT103&lt;$BI103,AND($BT103=$BI103,OR($BU103&lt;$BJ103,AND($BU103=$BJ103,AND(ISNUMBER($BV103),OR(NOT(ISNUMBER($BK103)),$BV103&lt;$BK103)))))))),"-&gt;","&lt;-"))</f>
        <v/>
      </c>
      <c r="BM103" s="134" t="str">
        <f aca="false">IF(ISBLANK($C103),"",AND($AT103,OR($AU103="",$AV103="",AND($AW103,$AX103=""))))</f>
        <v/>
      </c>
      <c r="BN103" s="137" t="str">
        <f aca="false">IF($BX103&lt;&gt;Constants!$B$6,"",IF($AT103,Constants!$B$17*$AV103+Constants!$B$18*IF($AW103,$AX103,Constants!$B$19),Constants!$B$20))</f>
        <v/>
      </c>
      <c r="BO103" s="138" t="str">
        <f aca="false">IF($BX103&lt;&gt;Constants!$B$6,"",Constants!$B$21*ABS($AD$9-IF($AT103,$AU103,0)))</f>
        <v/>
      </c>
      <c r="BP103" s="138" t="str">
        <f aca="false">IF($BX103&lt;&gt;Constants!$B$6,"",IF(AND($AT103,$AY103,$AW103),Constants!$B$22,0))</f>
        <v/>
      </c>
      <c r="BQ103" s="138" t="str">
        <f aca="false">IF($BX103&lt;&gt;Constants!$B$6,"",IF($AT103,($AI103-Constants!$B$24)*Constants!$B$23,0))</f>
        <v/>
      </c>
      <c r="BR103" s="138" t="str">
        <f aca="false">IF($BX103&lt;&gt;Constants!$B$6,"",IF($AS103,0,Constants!$B$12)+IF($AR103,0,Constants!$B$13)+IF($AH103,0,Constants!$B$14))</f>
        <v/>
      </c>
      <c r="BS103" s="139" t="str">
        <f aca="false">IF($BX103&lt;&gt;Constants!$B$6,"",Constants!$B$16+SUM($BN103:$BR103))</f>
        <v/>
      </c>
      <c r="BT103" s="138" t="str">
        <f aca="false">IF($BX103&lt;&gt;Constants!$B$6,"",$BN103)</f>
        <v/>
      </c>
      <c r="BU103" s="138" t="str">
        <f aca="false">IF($BX103&lt;&gt;Constants!$B$6,"",$BO103)</f>
        <v/>
      </c>
      <c r="BV103" s="140" t="str">
        <f aca="false">IF($BX103&lt;&gt;Constants!$B$6,"",IF($AT103,$AV103,""))</f>
        <v/>
      </c>
      <c r="BW103" s="135" t="str">
        <f aca="false">IF(ISBLANK($C103),"",IF(ISBLANK($D$7),$BW$5,IF(NOT(ISNUMBER($D$7)),$BW$6,"")))</f>
        <v/>
      </c>
      <c r="BX103" s="135" t="str">
        <f aca="false">IF(ISBLANK($C103),"",IF($BA103,Constants!$B$9,IF(COUNTA($E103:$AA103)=0,Constants!$B$8,IF(NOT($AG103),Constants!$B$7,IF(OR($BW103&lt;&gt;"",$BB103,$BM103),Constants!$B$10,Constants!$B$6)))))</f>
        <v/>
      </c>
      <c r="BY103" s="135" t="str">
        <f aca="false">IF(ISBLANK($C103),"",IF($BX103&lt;&gt;Constants!$B$6,$BX103,Constants!$B$11))</f>
        <v/>
      </c>
      <c r="BZ103" s="138" t="str">
        <f aca="false">IF($BX103&lt;&gt;Constants!$B$6,"",IF($BL103="-&gt;",$BS103,$BH103))</f>
        <v/>
      </c>
      <c r="CA103" s="138" t="str">
        <f aca="false">IF($BX103&lt;&gt;Constants!$B$6,"",IF($AF103,0,Constants!$B$15))</f>
        <v/>
      </c>
      <c r="CB103" s="138" t="str">
        <f aca="false">IF($BX103&lt;&gt;Constants!$B$6,"",((Constants!$B$25-$AZ103)-Constants!$B$25)/Constants!$B$26)</f>
        <v/>
      </c>
      <c r="CC103" s="138" t="str">
        <f aca="false">IF(ISBLANK($C103),"",IF($BX103&lt;&gt;Constants!$B$6,$BX103,SUM($BZ103:$CB103)))</f>
        <v/>
      </c>
      <c r="CD103" s="135" t="str">
        <f aca="false">IF(ISBLANK($C103),"",IF($BX103&lt;&gt;Constants!$B$6,$BX103,RANK($CC103,$CC$9:$CC$508,1)))</f>
        <v/>
      </c>
      <c r="CE103" s="138" t="str">
        <f aca="false">IF($BX103&lt;&gt;Constants!$B$6,"",IF($BL103="-&gt;",$BT103,$BI103))</f>
        <v/>
      </c>
      <c r="CF103" s="135" t="str">
        <f aca="false">IF(ISBLANK($C103),"",IF($BX103&lt;&gt;Constants!$B$6,$BX103,IF(ISNUMBER($CE103),RANK($CE103,$CE$9:$CE$508,1),COUNT($CE$9:$CE$508)+1)))</f>
        <v/>
      </c>
      <c r="CG103" s="138" t="str">
        <f aca="false">IF($BX103&lt;&gt;Constants!$B$6,"",IF($BL103="-&gt;",$BU103,$BJ103))</f>
        <v/>
      </c>
      <c r="CH103" s="135" t="str">
        <f aca="false">IF(ISBLANK($C103),"",IF($BX103&lt;&gt;Constants!$B$6,$BX103,IF(ISNUMBER($CG103),RANK($CG103,$CG$9:$CG$508,1),COUNT($CG$9:$CG$508)+1)))</f>
        <v/>
      </c>
      <c r="CI103" s="138" t="str">
        <f aca="false">IF($BX103&lt;&gt;Constants!$B$6,"",IF($BL103="-&gt;",$BV103,$BK103))</f>
        <v/>
      </c>
      <c r="CJ103" s="135" t="str">
        <f aca="false">IF(ISBLANK($C103),"",IF($BX103&lt;&gt;Constants!$B$6,$BX103,IF(ISNUMBER($CI103),RANK($CI103,$CI$9:$CI$508,1),COUNT($CI$9:$CI$508)+1)))</f>
        <v/>
      </c>
      <c r="CK103" s="138" t="str">
        <f aca="false">IF($BX103&lt;&gt;Constants!$B$6,"",$AI103)</f>
        <v/>
      </c>
      <c r="CL103" s="135" t="str">
        <f aca="false">IF(ISBLANK($C103),"",IF($BX103&lt;&gt;Constants!$B$6,$BX103,IF(ISNUMBER($CK103),RANK($CK103,$CK$9:$CK$508,1),COUNT($CK$9:$CK$508)+1)))</f>
        <v/>
      </c>
      <c r="CM103" s="135" t="str">
        <f aca="false">IF(ISBLANK($C103),"",IF($BX103&lt;&gt;Constants!$B$6,$BX103,COUNTIFS($CD$9:$CD$508,"&lt;"&amp;$CD103)+COUNTIFS($CD$9:$CD$508,$CD103,$CF$9:$CF$508,"&lt;"&amp;$CF103)+COUNTIFS($CD$9:$CD$508,$CD103,$CF$9:$CF$508,$CF103,$CH$9:$CH$508,"&lt;"&amp;$CH103)+COUNTIFS($CD$9:$CD$508,$CD103,$CF$9:$CF$508,$CF103,$CH$9:$CH$508,$CH103,$CJ$9:$CJ$508,"&lt;"&amp;$CJ103)+COUNTIFS($CD$9:$CD$508,$CD103,$CF$9:$CF$508,$CF103,$CH$9:$CH$508,$CH103,$CJ$9:$CJ$508,$CJ103,$CL$9:$CL$508,"&lt;"&amp;$CL103)+1))</f>
        <v/>
      </c>
      <c r="CN103" s="135" t="str">
        <f aca="false">IF(ISBLANK($C103),"",IF($BX103&lt;&gt;Constants!$B$6,$BX103,$CD103-$CM103))</f>
        <v/>
      </c>
      <c r="CO103" s="141"/>
      <c r="CP103" s="142"/>
      <c r="CQ103" s="143" t="str">
        <f aca="false">IF(ISBLANK($C103),"",IF($BX103=Constants!$B$10,$BW103,""))</f>
        <v/>
      </c>
      <c r="CR103" s="142" t="str">
        <f aca="false">IF(ISBLANK($C103),"",IF($BX103&lt;&gt;Constants!$B$6,"",IF($BL103="-&gt;",2,1)))</f>
        <v/>
      </c>
      <c r="CS103" s="144" t="str">
        <f aca="false">IF(ISBLANK($C103),"",IF($BX103&lt;&gt;Constants!$B$6,"",IF($BL103="-&gt;",$BN103,$BC103)))</f>
        <v/>
      </c>
      <c r="CT103" s="144" t="str">
        <f aca="false">IF(ISBLANK($C103),"",IF($BX103&lt;&gt;Constants!$B$6,"",IF($BL103="-&gt;",$BO103,$BD103)))</f>
        <v/>
      </c>
      <c r="CU103" s="144" t="str">
        <f aca="false">IF(ISBLANK($C103),"",IF($BX103&lt;&gt;Constants!$B$6,"",IF($BL103="-&gt;",$BP103+$BQ103,$BE103+$BF103)+$CB103))</f>
        <v/>
      </c>
      <c r="CV103" s="144" t="str">
        <f aca="false">IF(ISBLANK($C103),"",IF($BX103&lt;&gt;Constants!$B$6,"",IF($BL103="-&gt;",$BR103,$BG103)+$CA103))</f>
        <v/>
      </c>
      <c r="CW103" s="145" t="str">
        <f aca="false">IF(ISBLANK($C103),"",IF($BX103&lt;&gt;Constants!$B$6,$BX103,$CC103))</f>
        <v/>
      </c>
      <c r="CX103" s="146" t="str">
        <f aca="false">IF(ISBLANK($C103),"",$BY103)</f>
        <v/>
      </c>
      <c r="CY103" s="147" t="str">
        <f aca="false">IF(ISBLANK($C103),"",$CN103)</f>
        <v/>
      </c>
      <c r="CZ103" s="147" t="str">
        <f aca="false">IF(ISBLANK($C103),"",$CM103)</f>
        <v/>
      </c>
      <c r="DA103" s="148" t="str">
        <f aca="false">IF(ISBLANK($C103),"",IFERROR(_xlfn.SWITCH($CZ103,Constants!$B$9,COUNTA($C$9:$C$508)+2,Constants!$B$8,COUNTA($C$9:$C$508)+1,Constants!$B$7,COUNTA($C$9:$C$508)),$CZ103))</f>
        <v/>
      </c>
      <c r="DB103" s="9"/>
      <c r="DC103" s="149" t="n">
        <f aca="false">IF(OR(ISNUMBER($CZ103),$CZ103=Constants!$B$9,$CZ103=Constants!$B$7,$CZ103=Constants!$B$8),1,0)</f>
        <v>0</v>
      </c>
      <c r="DD103" s="149" t="n">
        <v>95</v>
      </c>
      <c r="DE103" s="149" t="str">
        <f aca="false">IF(ISBLANK($C103),"",IF(ISNUMBER($DA103),$DA103+ROW($B103)/1000,""))</f>
        <v/>
      </c>
      <c r="DF103" s="149" t="str">
        <f aca="false">IF(ISNUMBER($DE103),RANK($DE103,$DE$9:$DE$508,1),"")</f>
        <v/>
      </c>
      <c r="DG103" s="149" t="str">
        <f aca="false">IF(ISBLANK($C103),"",$B103)</f>
        <v/>
      </c>
      <c r="DH103" s="149" t="str">
        <f aca="false">IF(ISBLANK($C103),"",$C103)</f>
        <v/>
      </c>
      <c r="DI103" s="149" t="str">
        <f aca="false">IF(ISBLANK($C103),"",$D103)</f>
        <v/>
      </c>
      <c r="DJ103" s="150" t="str">
        <f aca="false">$CX103</f>
        <v/>
      </c>
      <c r="DK103" s="151" t="str">
        <f aca="false">$CW103</f>
        <v/>
      </c>
      <c r="DL103" s="149" t="str">
        <f aca="false">IF(ISBLANK($C103),"",$CZ103)</f>
        <v/>
      </c>
      <c r="DM103" s="152" t="str">
        <f aca="false">IF($DD103&gt;$DC$8,"",VLOOKUP($DD103,$DF$9:$DL$508,7,FALSE()))</f>
        <v/>
      </c>
      <c r="DN103" s="153" t="str">
        <f aca="false">IF($DD103&gt;$DC$8,"",VLOOKUP($DD103,$DF$9:$DL$508,2,FALSE()))</f>
        <v/>
      </c>
      <c r="DO103" s="153" t="str">
        <f aca="false">IF($DD103&gt;$DC$8,"",VLOOKUP($DD103,$DF$9:$DL$508,3,FALSE()))</f>
        <v/>
      </c>
      <c r="DP103" s="153" t="str">
        <f aca="false">IF($DD103&gt;$DC$8,"",VLOOKUP($DD103,$DF$9:$DL$508,4,FALSE()))</f>
        <v/>
      </c>
      <c r="DQ103" s="153" t="str">
        <f aca="false">IF($DD103&gt;$DC$8,"",VLOOKUP($DD103,$DF$9:$DL$508,5,FALSE()))</f>
        <v/>
      </c>
      <c r="DR103" s="154" t="str">
        <f aca="false">IF($DD103&gt;$DC$8,"",VLOOKUP($DD103,$DF$9:$DL$508,6,FALSE()))</f>
        <v/>
      </c>
      <c r="DS103" s="76"/>
    </row>
    <row r="104" customFormat="false" ht="15.75" hidden="false" customHeight="false" outlineLevel="0" collapsed="false">
      <c r="A104" s="9"/>
      <c r="B104" s="160"/>
      <c r="C104" s="161"/>
      <c r="D104" s="162"/>
      <c r="E104" s="180"/>
      <c r="F104" s="164"/>
      <c r="G104" s="165"/>
      <c r="H104" s="165"/>
      <c r="I104" s="181"/>
      <c r="J104" s="168"/>
      <c r="K104" s="128"/>
      <c r="L104" s="129"/>
      <c r="M104" s="130"/>
      <c r="N104" s="168"/>
      <c r="O104" s="168"/>
      <c r="P104" s="180"/>
      <c r="Q104" s="168"/>
      <c r="R104" s="168"/>
      <c r="S104" s="128"/>
      <c r="T104" s="130"/>
      <c r="U104" s="130"/>
      <c r="V104" s="168"/>
      <c r="W104" s="168"/>
      <c r="X104" s="180"/>
      <c r="Y104" s="168"/>
      <c r="Z104" s="169"/>
      <c r="AA104" s="168"/>
      <c r="AB104" s="134"/>
      <c r="AC104" s="135"/>
      <c r="AD104" s="135"/>
      <c r="AE104" s="135"/>
      <c r="AF104" s="135" t="str">
        <f aca="false">IF(ISBLANK($C104),"",IF(E104=Constants!$B$2,TRUE(),IF(E104=Constants!$B$3,FALSE(),TRUE())))</f>
        <v/>
      </c>
      <c r="AG104" s="135" t="str">
        <f aca="false">IF(ISBLANK($C104),"",IF(F104=Constants!$B$2,TRUE(),IF(F104=Constants!$B$3,FALSE(),TRUE())))</f>
        <v/>
      </c>
      <c r="AH104" s="135" t="str">
        <f aca="false">IF(ISBLANK($C104),"",IF(G104=Constants!$B$2,TRUE(),IF(G104=Constants!$B$3,FALSE(),TRUE())))</f>
        <v/>
      </c>
      <c r="AI104" s="135" t="str">
        <f aca="false">IF(ISBLANK($C104),"",IF(AND(ISNUMBER(H104),H104&gt;=0),H104,Constants!$B$24))</f>
        <v/>
      </c>
      <c r="AJ104" s="135" t="str">
        <f aca="false">IF(ISBLANK($C104),"",IF(I104=Constants!$B$2,TRUE(),IF(I104=Constants!$B$3,FALSE(),TRUE())))</f>
        <v/>
      </c>
      <c r="AK104" s="135" t="str">
        <f aca="false">IF(ISBLANK($C104),"",IF(J104=Constants!$B$2,TRUE(),IF(J104=Constants!$B$3,FALSE(),TRUE())))</f>
        <v/>
      </c>
      <c r="AL104" s="135" t="str">
        <f aca="false">IF(ISBLANK($C104),"",IF(K104=Constants!$B$4,TRUE(),IF(K104=Constants!$B$5,FALSE(),COUNTA(L104:P104)&gt;0)))</f>
        <v/>
      </c>
      <c r="AM104" s="136" t="str">
        <f aca="false">IF(ISBLANK($C104),"",IF(ISNUMBER(L104),IF(L104&gt;=0,L104,""),""))</f>
        <v/>
      </c>
      <c r="AN104" s="137" t="str">
        <f aca="false">IF(ISBLANK($C104),"",IF(ISNUMBER(M104),IF(M104&gt;=0,M104,""),""))</f>
        <v/>
      </c>
      <c r="AO104" s="137" t="str">
        <f aca="false">IF(ISBLANK($C104),"",IF(N104=Constants!$B$2,TRUE(),IF(N104=Constants!$B$3,FALSE(),TRUE())))</f>
        <v/>
      </c>
      <c r="AP104" s="135" t="str">
        <f aca="false">IF(ISBLANK($C104),"",IF(ISNUMBER(O104),IF(O104&gt;=0,O104,""),""))</f>
        <v/>
      </c>
      <c r="AQ104" s="135" t="str">
        <f aca="false">IF(ISBLANK($C104),"",IF(P104=Constants!$B$2,TRUE(),IF(P104=Constants!$B$3,FALSE(),FALSE())))</f>
        <v/>
      </c>
      <c r="AR104" s="135" t="str">
        <f aca="false">IF(ISBLANK($C104),"",IF(Q104=Constants!$B$2,TRUE(),IF(Q104=Constants!$B$3,FALSE(),TRUE())))</f>
        <v/>
      </c>
      <c r="AS104" s="135" t="str">
        <f aca="false">IF(ISBLANK($C104),"",IF(R104=Constants!$B$2,TRUE(),IF(R104=Constants!$B$3,FALSE(),TRUE())))</f>
        <v/>
      </c>
      <c r="AT104" s="135" t="str">
        <f aca="false">IF(ISBLANK($C104),"",IF(S104=Constants!$B$4,TRUE(),IF(S104=Constants!$B$5,FALSE(),COUNTA(T104:X104)&gt;0)))</f>
        <v/>
      </c>
      <c r="AU104" s="136" t="str">
        <f aca="false">IF(ISBLANK($C104),"",IF(ISNUMBER(T104),IF(T104&gt;=0,T104,""),""))</f>
        <v/>
      </c>
      <c r="AV104" s="137" t="str">
        <f aca="false">IF(ISBLANK($C104),"",IF(ISNUMBER(U104),IF(U104&gt;=0,U104,""),""))</f>
        <v/>
      </c>
      <c r="AW104" s="137" t="str">
        <f aca="false">IF(ISBLANK($C104),"",IF(V104=Constants!$B$2,TRUE(),IF(V104=Constants!$B$3,FALSE(),TRUE())))</f>
        <v/>
      </c>
      <c r="AX104" s="135" t="str">
        <f aca="false">IF(ISBLANK($C104),"",IF(ISNUMBER(W104),IF(W104&gt;=0,W104,""),""))</f>
        <v/>
      </c>
      <c r="AY104" s="135" t="str">
        <f aca="false">IF(ISBLANK($C104),"",IF(X104=Constants!$B$2,TRUE(),IF(X104=Constants!$B$3,FALSE(),FALSE())))</f>
        <v/>
      </c>
      <c r="AZ104" s="135" t="str">
        <f aca="false">IF(ISBLANK($C104),"",MIN(Constants!$B$25,MAX(0,IF(ISNUMBER(Y104),Y104*60,0)+IF(ISNUMBER(Z104),Z104,0))))</f>
        <v/>
      </c>
      <c r="BA104" s="135" t="str">
        <f aca="false">IF(ISBLANK($C104),"",IF(AA104=Constants!$B$2,TRUE(),IF(AA104=Constants!$B$3,FALSE(),FALSE())))</f>
        <v/>
      </c>
      <c r="BB104" s="134" t="str">
        <f aca="false">IF(ISBLANK($C104),"",AND($AL104,OR($AM104="",$AN104="",AND($AO104,$AP104=""))))</f>
        <v/>
      </c>
      <c r="BC104" s="137" t="str">
        <f aca="false">IF($BX104&lt;&gt;Constants!$B$6,"",IF($AL104,Constants!$B$17*$AN104+Constants!$B$18*IF($AO104,$AP104,Constants!$B$19),Constants!$B$20))</f>
        <v/>
      </c>
      <c r="BD104" s="138" t="str">
        <f aca="false">IF($BX104&lt;&gt;Constants!$B$6,"",Constants!$B$21*ABS($AD$9-IF($AL104,$AM104,0)))</f>
        <v/>
      </c>
      <c r="BE104" s="138" t="str">
        <f aca="false">IF($BX104&lt;&gt;Constants!$B$6,"",IF(AND($AL104,$AQ104,$AO104),Constants!$B$22,0))</f>
        <v/>
      </c>
      <c r="BF104" s="138" t="str">
        <f aca="false">IF($BX104&lt;&gt;Constants!$B$6,"",IF($AL104,($AI104-Constants!$B$24)*Constants!$B$23,0))</f>
        <v/>
      </c>
      <c r="BG104" s="138" t="str">
        <f aca="false">IF($BX104&lt;&gt;Constants!$B$6,"",IF($AK104,0,Constants!$B$12)+IF($AJ104,0,Constants!$B$13)+IF($AH104,0,Constants!$B$14))</f>
        <v/>
      </c>
      <c r="BH104" s="139" t="str">
        <f aca="false">IF($BX104&lt;&gt;Constants!$B$6,"",Constants!$B$16+SUM($BC104:$BG104))</f>
        <v/>
      </c>
      <c r="BI104" s="138" t="str">
        <f aca="false">IF($BX104&lt;&gt;Constants!$B$6,"",$BC104)</f>
        <v/>
      </c>
      <c r="BJ104" s="138" t="str">
        <f aca="false">IF($BX104&lt;&gt;Constants!$B$6,"",$BD104)</f>
        <v/>
      </c>
      <c r="BK104" s="140" t="str">
        <f aca="false">IF($BX104&lt;&gt;Constants!$B$6,"",IF($AL104,$AN104,""))</f>
        <v/>
      </c>
      <c r="BL104" s="135" t="str">
        <f aca="false">IF($BX104&lt;&gt;Constants!$B$6,"",IF(OR($BS104&lt;$BH104,AND($BS104=$BH104,OR($BT104&lt;$BI104,AND($BT104=$BI104,OR($BU104&lt;$BJ104,AND($BU104=$BJ104,AND(ISNUMBER($BV104),OR(NOT(ISNUMBER($BK104)),$BV104&lt;$BK104)))))))),"-&gt;","&lt;-"))</f>
        <v/>
      </c>
      <c r="BM104" s="134" t="str">
        <f aca="false">IF(ISBLANK($C104),"",AND($AT104,OR($AU104="",$AV104="",AND($AW104,$AX104=""))))</f>
        <v/>
      </c>
      <c r="BN104" s="137" t="str">
        <f aca="false">IF($BX104&lt;&gt;Constants!$B$6,"",IF($AT104,Constants!$B$17*$AV104+Constants!$B$18*IF($AW104,$AX104,Constants!$B$19),Constants!$B$20))</f>
        <v/>
      </c>
      <c r="BO104" s="138" t="str">
        <f aca="false">IF($BX104&lt;&gt;Constants!$B$6,"",Constants!$B$21*ABS($AD$9-IF($AT104,$AU104,0)))</f>
        <v/>
      </c>
      <c r="BP104" s="138" t="str">
        <f aca="false">IF($BX104&lt;&gt;Constants!$B$6,"",IF(AND($AT104,$AY104,$AW104),Constants!$B$22,0))</f>
        <v/>
      </c>
      <c r="BQ104" s="138" t="str">
        <f aca="false">IF($BX104&lt;&gt;Constants!$B$6,"",IF($AT104,($AI104-Constants!$B$24)*Constants!$B$23,0))</f>
        <v/>
      </c>
      <c r="BR104" s="138" t="str">
        <f aca="false">IF($BX104&lt;&gt;Constants!$B$6,"",IF($AS104,0,Constants!$B$12)+IF($AR104,0,Constants!$B$13)+IF($AH104,0,Constants!$B$14))</f>
        <v/>
      </c>
      <c r="BS104" s="139" t="str">
        <f aca="false">IF($BX104&lt;&gt;Constants!$B$6,"",Constants!$B$16+SUM($BN104:$BR104))</f>
        <v/>
      </c>
      <c r="BT104" s="138" t="str">
        <f aca="false">IF($BX104&lt;&gt;Constants!$B$6,"",$BN104)</f>
        <v/>
      </c>
      <c r="BU104" s="138" t="str">
        <f aca="false">IF($BX104&lt;&gt;Constants!$B$6,"",$BO104)</f>
        <v/>
      </c>
      <c r="BV104" s="140" t="str">
        <f aca="false">IF($BX104&lt;&gt;Constants!$B$6,"",IF($AT104,$AV104,""))</f>
        <v/>
      </c>
      <c r="BW104" s="135" t="str">
        <f aca="false">IF(ISBLANK($C104),"",IF(ISBLANK($D$7),$BW$5,IF(NOT(ISNUMBER($D$7)),$BW$6,"")))</f>
        <v/>
      </c>
      <c r="BX104" s="135" t="str">
        <f aca="false">IF(ISBLANK($C104),"",IF($BA104,Constants!$B$9,IF(COUNTA($E104:$AA104)=0,Constants!$B$8,IF(NOT($AG104),Constants!$B$7,IF(OR($BW104&lt;&gt;"",$BB104,$BM104),Constants!$B$10,Constants!$B$6)))))</f>
        <v/>
      </c>
      <c r="BY104" s="135" t="str">
        <f aca="false">IF(ISBLANK($C104),"",IF($BX104&lt;&gt;Constants!$B$6,$BX104,Constants!$B$11))</f>
        <v/>
      </c>
      <c r="BZ104" s="138" t="str">
        <f aca="false">IF($BX104&lt;&gt;Constants!$B$6,"",IF($BL104="-&gt;",$BS104,$BH104))</f>
        <v/>
      </c>
      <c r="CA104" s="138" t="str">
        <f aca="false">IF($BX104&lt;&gt;Constants!$B$6,"",IF($AF104,0,Constants!$B$15))</f>
        <v/>
      </c>
      <c r="CB104" s="138" t="str">
        <f aca="false">IF($BX104&lt;&gt;Constants!$B$6,"",((Constants!$B$25-$AZ104)-Constants!$B$25)/Constants!$B$26)</f>
        <v/>
      </c>
      <c r="CC104" s="138" t="str">
        <f aca="false">IF(ISBLANK($C104),"",IF($BX104&lt;&gt;Constants!$B$6,$BX104,SUM($BZ104:$CB104)))</f>
        <v/>
      </c>
      <c r="CD104" s="135" t="str">
        <f aca="false">IF(ISBLANK($C104),"",IF($BX104&lt;&gt;Constants!$B$6,$BX104,RANK($CC104,$CC$9:$CC$508,1)))</f>
        <v/>
      </c>
      <c r="CE104" s="138" t="str">
        <f aca="false">IF($BX104&lt;&gt;Constants!$B$6,"",IF($BL104="-&gt;",$BT104,$BI104))</f>
        <v/>
      </c>
      <c r="CF104" s="135" t="str">
        <f aca="false">IF(ISBLANK($C104),"",IF($BX104&lt;&gt;Constants!$B$6,$BX104,IF(ISNUMBER($CE104),RANK($CE104,$CE$9:$CE$508,1),COUNT($CE$9:$CE$508)+1)))</f>
        <v/>
      </c>
      <c r="CG104" s="138" t="str">
        <f aca="false">IF($BX104&lt;&gt;Constants!$B$6,"",IF($BL104="-&gt;",$BU104,$BJ104))</f>
        <v/>
      </c>
      <c r="CH104" s="135" t="str">
        <f aca="false">IF(ISBLANK($C104),"",IF($BX104&lt;&gt;Constants!$B$6,$BX104,IF(ISNUMBER($CG104),RANK($CG104,$CG$9:$CG$508,1),COUNT($CG$9:$CG$508)+1)))</f>
        <v/>
      </c>
      <c r="CI104" s="138" t="str">
        <f aca="false">IF($BX104&lt;&gt;Constants!$B$6,"",IF($BL104="-&gt;",$BV104,$BK104))</f>
        <v/>
      </c>
      <c r="CJ104" s="135" t="str">
        <f aca="false">IF(ISBLANK($C104),"",IF($BX104&lt;&gt;Constants!$B$6,$BX104,IF(ISNUMBER($CI104),RANK($CI104,$CI$9:$CI$508,1),COUNT($CI$9:$CI$508)+1)))</f>
        <v/>
      </c>
      <c r="CK104" s="138" t="str">
        <f aca="false">IF($BX104&lt;&gt;Constants!$B$6,"",$AI104)</f>
        <v/>
      </c>
      <c r="CL104" s="135" t="str">
        <f aca="false">IF(ISBLANK($C104),"",IF($BX104&lt;&gt;Constants!$B$6,$BX104,IF(ISNUMBER($CK104),RANK($CK104,$CK$9:$CK$508,1),COUNT($CK$9:$CK$508)+1)))</f>
        <v/>
      </c>
      <c r="CM104" s="135" t="str">
        <f aca="false">IF(ISBLANK($C104),"",IF($BX104&lt;&gt;Constants!$B$6,$BX104,COUNTIFS($CD$9:$CD$508,"&lt;"&amp;$CD104)+COUNTIFS($CD$9:$CD$508,$CD104,$CF$9:$CF$508,"&lt;"&amp;$CF104)+COUNTIFS($CD$9:$CD$508,$CD104,$CF$9:$CF$508,$CF104,$CH$9:$CH$508,"&lt;"&amp;$CH104)+COUNTIFS($CD$9:$CD$508,$CD104,$CF$9:$CF$508,$CF104,$CH$9:$CH$508,$CH104,$CJ$9:$CJ$508,"&lt;"&amp;$CJ104)+COUNTIFS($CD$9:$CD$508,$CD104,$CF$9:$CF$508,$CF104,$CH$9:$CH$508,$CH104,$CJ$9:$CJ$508,$CJ104,$CL$9:$CL$508,"&lt;"&amp;$CL104)+1))</f>
        <v/>
      </c>
      <c r="CN104" s="135" t="str">
        <f aca="false">IF(ISBLANK($C104),"",IF($BX104&lt;&gt;Constants!$B$6,$BX104,$CD104-$CM104))</f>
        <v/>
      </c>
      <c r="CO104" s="141"/>
      <c r="CP104" s="142"/>
      <c r="CQ104" s="143" t="str">
        <f aca="false">IF(ISBLANK($C104),"",IF($BX104=Constants!$B$10,$BW104,""))</f>
        <v/>
      </c>
      <c r="CR104" s="142" t="str">
        <f aca="false">IF(ISBLANK($C104),"",IF($BX104&lt;&gt;Constants!$B$6,"",IF($BL104="-&gt;",2,1)))</f>
        <v/>
      </c>
      <c r="CS104" s="144" t="str">
        <f aca="false">IF(ISBLANK($C104),"",IF($BX104&lt;&gt;Constants!$B$6,"",IF($BL104="-&gt;",$BN104,$BC104)))</f>
        <v/>
      </c>
      <c r="CT104" s="144" t="str">
        <f aca="false">IF(ISBLANK($C104),"",IF($BX104&lt;&gt;Constants!$B$6,"",IF($BL104="-&gt;",$BO104,$BD104)))</f>
        <v/>
      </c>
      <c r="CU104" s="144" t="str">
        <f aca="false">IF(ISBLANK($C104),"",IF($BX104&lt;&gt;Constants!$B$6,"",IF($BL104="-&gt;",$BP104+$BQ104,$BE104+$BF104)+$CB104))</f>
        <v/>
      </c>
      <c r="CV104" s="144" t="str">
        <f aca="false">IF(ISBLANK($C104),"",IF($BX104&lt;&gt;Constants!$B$6,"",IF($BL104="-&gt;",$BR104,$BG104)+$CA104))</f>
        <v/>
      </c>
      <c r="CW104" s="145" t="str">
        <f aca="false">IF(ISBLANK($C104),"",IF($BX104&lt;&gt;Constants!$B$6,$BX104,$CC104))</f>
        <v/>
      </c>
      <c r="CX104" s="146" t="str">
        <f aca="false">IF(ISBLANK($C104),"",$BY104)</f>
        <v/>
      </c>
      <c r="CY104" s="147" t="str">
        <f aca="false">IF(ISBLANK($C104),"",$CN104)</f>
        <v/>
      </c>
      <c r="CZ104" s="147" t="str">
        <f aca="false">IF(ISBLANK($C104),"",$CM104)</f>
        <v/>
      </c>
      <c r="DA104" s="148" t="str">
        <f aca="false">IF(ISBLANK($C104),"",IFERROR(_xlfn.SWITCH($CZ104,Constants!$B$9,COUNTA($C$9:$C$508)+2,Constants!$B$8,COUNTA($C$9:$C$508)+1,Constants!$B$7,COUNTA($C$9:$C$508)),$CZ104))</f>
        <v/>
      </c>
      <c r="DB104" s="9"/>
      <c r="DC104" s="149" t="n">
        <f aca="false">IF(OR(ISNUMBER($CZ104),$CZ104=Constants!$B$9,$CZ104=Constants!$B$7,$CZ104=Constants!$B$8),1,0)</f>
        <v>0</v>
      </c>
      <c r="DD104" s="149" t="n">
        <v>96</v>
      </c>
      <c r="DE104" s="149" t="str">
        <f aca="false">IF(ISBLANK($C104),"",IF(ISNUMBER($DA104),$DA104+ROW($B104)/1000,""))</f>
        <v/>
      </c>
      <c r="DF104" s="149" t="str">
        <f aca="false">IF(ISNUMBER($DE104),RANK($DE104,$DE$9:$DE$508,1),"")</f>
        <v/>
      </c>
      <c r="DG104" s="149" t="str">
        <f aca="false">IF(ISBLANK($C104),"",$B104)</f>
        <v/>
      </c>
      <c r="DH104" s="149" t="str">
        <f aca="false">IF(ISBLANK($C104),"",$C104)</f>
        <v/>
      </c>
      <c r="DI104" s="149" t="str">
        <f aca="false">IF(ISBLANK($C104),"",$D104)</f>
        <v/>
      </c>
      <c r="DJ104" s="150" t="str">
        <f aca="false">$CX104</f>
        <v/>
      </c>
      <c r="DK104" s="151" t="str">
        <f aca="false">$CW104</f>
        <v/>
      </c>
      <c r="DL104" s="149" t="str">
        <f aca="false">IF(ISBLANK($C104),"",$CZ104)</f>
        <v/>
      </c>
      <c r="DM104" s="152" t="str">
        <f aca="false">IF($DD104&gt;$DC$8,"",VLOOKUP($DD104,$DF$9:$DL$508,7,FALSE()))</f>
        <v/>
      </c>
      <c r="DN104" s="153" t="str">
        <f aca="false">IF($DD104&gt;$DC$8,"",VLOOKUP($DD104,$DF$9:$DL$508,2,FALSE()))</f>
        <v/>
      </c>
      <c r="DO104" s="153" t="str">
        <f aca="false">IF($DD104&gt;$DC$8,"",VLOOKUP($DD104,$DF$9:$DL$508,3,FALSE()))</f>
        <v/>
      </c>
      <c r="DP104" s="153" t="str">
        <f aca="false">IF($DD104&gt;$DC$8,"",VLOOKUP($DD104,$DF$9:$DL$508,4,FALSE()))</f>
        <v/>
      </c>
      <c r="DQ104" s="153" t="str">
        <f aca="false">IF($DD104&gt;$DC$8,"",VLOOKUP($DD104,$DF$9:$DL$508,5,FALSE()))</f>
        <v/>
      </c>
      <c r="DR104" s="154" t="str">
        <f aca="false">IF($DD104&gt;$DC$8,"",VLOOKUP($DD104,$DF$9:$DL$508,6,FALSE()))</f>
        <v/>
      </c>
      <c r="DS104" s="76"/>
    </row>
    <row r="105" customFormat="false" ht="15.75" hidden="false" customHeight="false" outlineLevel="0" collapsed="false">
      <c r="A105" s="9"/>
      <c r="B105" s="78"/>
      <c r="C105" s="79"/>
      <c r="D105" s="170"/>
      <c r="E105" s="178"/>
      <c r="F105" s="172"/>
      <c r="G105" s="173"/>
      <c r="H105" s="173"/>
      <c r="I105" s="179"/>
      <c r="J105" s="176"/>
      <c r="K105" s="86"/>
      <c r="L105" s="87"/>
      <c r="M105" s="88"/>
      <c r="N105" s="176"/>
      <c r="O105" s="176"/>
      <c r="P105" s="178"/>
      <c r="Q105" s="176"/>
      <c r="R105" s="176"/>
      <c r="S105" s="86"/>
      <c r="T105" s="88"/>
      <c r="U105" s="88"/>
      <c r="V105" s="176"/>
      <c r="W105" s="176"/>
      <c r="X105" s="178"/>
      <c r="Y105" s="176"/>
      <c r="Z105" s="177"/>
      <c r="AA105" s="176"/>
      <c r="AB105" s="92"/>
      <c r="AC105" s="93"/>
      <c r="AD105" s="93"/>
      <c r="AE105" s="93"/>
      <c r="AF105" s="93" t="str">
        <f aca="false">IF(ISBLANK($C105),"",IF(E105=Constants!$B$2,TRUE(),IF(E105=Constants!$B$3,FALSE(),TRUE())))</f>
        <v/>
      </c>
      <c r="AG105" s="93" t="str">
        <f aca="false">IF(ISBLANK($C105),"",IF(F105=Constants!$B$2,TRUE(),IF(F105=Constants!$B$3,FALSE(),TRUE())))</f>
        <v/>
      </c>
      <c r="AH105" s="93" t="str">
        <f aca="false">IF(ISBLANK($C105),"",IF(G105=Constants!$B$2,TRUE(),IF(G105=Constants!$B$3,FALSE(),TRUE())))</f>
        <v/>
      </c>
      <c r="AI105" s="93" t="str">
        <f aca="false">IF(ISBLANK($C105),"",IF(AND(ISNUMBER(H105),H105&gt;=0),H105,Constants!$B$24))</f>
        <v/>
      </c>
      <c r="AJ105" s="93" t="str">
        <f aca="false">IF(ISBLANK($C105),"",IF(I105=Constants!$B$2,TRUE(),IF(I105=Constants!$B$3,FALSE(),TRUE())))</f>
        <v/>
      </c>
      <c r="AK105" s="93" t="str">
        <f aca="false">IF(ISBLANK($C105),"",IF(J105=Constants!$B$2,TRUE(),IF(J105=Constants!$B$3,FALSE(),TRUE())))</f>
        <v/>
      </c>
      <c r="AL105" s="93" t="str">
        <f aca="false">IF(ISBLANK($C105),"",IF(K105=Constants!$B$4,TRUE(),IF(K105=Constants!$B$5,FALSE(),COUNTA(L105:P105)&gt;0)))</f>
        <v/>
      </c>
      <c r="AM105" s="95" t="str">
        <f aca="false">IF(ISBLANK($C105),"",IF(ISNUMBER(L105),IF(L105&gt;=0,L105,""),""))</f>
        <v/>
      </c>
      <c r="AN105" s="94" t="str">
        <f aca="false">IF(ISBLANK($C105),"",IF(ISNUMBER(M105),IF(M105&gt;=0,M105,""),""))</f>
        <v/>
      </c>
      <c r="AO105" s="94" t="str">
        <f aca="false">IF(ISBLANK($C105),"",IF(N105=Constants!$B$2,TRUE(),IF(N105=Constants!$B$3,FALSE(),TRUE())))</f>
        <v/>
      </c>
      <c r="AP105" s="93" t="str">
        <f aca="false">IF(ISBLANK($C105),"",IF(ISNUMBER(O105),IF(O105&gt;=0,O105,""),""))</f>
        <v/>
      </c>
      <c r="AQ105" s="93" t="str">
        <f aca="false">IF(ISBLANK($C105),"",IF(P105=Constants!$B$2,TRUE(),IF(P105=Constants!$B$3,FALSE(),FALSE())))</f>
        <v/>
      </c>
      <c r="AR105" s="93" t="str">
        <f aca="false">IF(ISBLANK($C105),"",IF(Q105=Constants!$B$2,TRUE(),IF(Q105=Constants!$B$3,FALSE(),TRUE())))</f>
        <v/>
      </c>
      <c r="AS105" s="93" t="str">
        <f aca="false">IF(ISBLANK($C105),"",IF(R105=Constants!$B$2,TRUE(),IF(R105=Constants!$B$3,FALSE(),TRUE())))</f>
        <v/>
      </c>
      <c r="AT105" s="93" t="str">
        <f aca="false">IF(ISBLANK($C105),"",IF(S105=Constants!$B$4,TRUE(),IF(S105=Constants!$B$5,FALSE(),COUNTA(T105:X105)&gt;0)))</f>
        <v/>
      </c>
      <c r="AU105" s="95" t="str">
        <f aca="false">IF(ISBLANK($C105),"",IF(ISNUMBER(T105),IF(T105&gt;=0,T105,""),""))</f>
        <v/>
      </c>
      <c r="AV105" s="94" t="str">
        <f aca="false">IF(ISBLANK($C105),"",IF(ISNUMBER(U105),IF(U105&gt;=0,U105,""),""))</f>
        <v/>
      </c>
      <c r="AW105" s="94" t="str">
        <f aca="false">IF(ISBLANK($C105),"",IF(V105=Constants!$B$2,TRUE(),IF(V105=Constants!$B$3,FALSE(),TRUE())))</f>
        <v/>
      </c>
      <c r="AX105" s="93" t="str">
        <f aca="false">IF(ISBLANK($C105),"",IF(ISNUMBER(W105),IF(W105&gt;=0,W105,""),""))</f>
        <v/>
      </c>
      <c r="AY105" s="93" t="str">
        <f aca="false">IF(ISBLANK($C105),"",IF(X105=Constants!$B$2,TRUE(),IF(X105=Constants!$B$3,FALSE(),FALSE())))</f>
        <v/>
      </c>
      <c r="AZ105" s="93" t="str">
        <f aca="false">IF(ISBLANK($C105),"",MIN(Constants!$B$25,MAX(0,IF(ISNUMBER(Y105),Y105*60,0)+IF(ISNUMBER(Z105),Z105,0))))</f>
        <v/>
      </c>
      <c r="BA105" s="93" t="str">
        <f aca="false">IF(ISBLANK($C105),"",IF(AA105=Constants!$B$2,TRUE(),IF(AA105=Constants!$B$3,FALSE(),FALSE())))</f>
        <v/>
      </c>
      <c r="BB105" s="92" t="str">
        <f aca="false">IF(ISBLANK($C105),"",AND($AL105,OR($AM105="",$AN105="",AND($AO105,$AP105=""))))</f>
        <v/>
      </c>
      <c r="BC105" s="94" t="str">
        <f aca="false">IF($BX105&lt;&gt;Constants!$B$6,"",IF($AL105,Constants!$B$17*$AN105+Constants!$B$18*IF($AO105,$AP105,Constants!$B$19),Constants!$B$20))</f>
        <v/>
      </c>
      <c r="BD105" s="97" t="str">
        <f aca="false">IF($BX105&lt;&gt;Constants!$B$6,"",Constants!$B$21*ABS($AD$9-IF($AL105,$AM105,0)))</f>
        <v/>
      </c>
      <c r="BE105" s="97" t="str">
        <f aca="false">IF($BX105&lt;&gt;Constants!$B$6,"",IF(AND($AL105,$AQ105,$AO105),Constants!$B$22,0))</f>
        <v/>
      </c>
      <c r="BF105" s="97" t="str">
        <f aca="false">IF($BX105&lt;&gt;Constants!$B$6,"",IF($AL105,($AI105-Constants!$B$24)*Constants!$B$23,0))</f>
        <v/>
      </c>
      <c r="BG105" s="97" t="str">
        <f aca="false">IF($BX105&lt;&gt;Constants!$B$6,"",IF($AK105,0,Constants!$B$12)+IF($AJ105,0,Constants!$B$13)+IF($AH105,0,Constants!$B$14))</f>
        <v/>
      </c>
      <c r="BH105" s="98" t="str">
        <f aca="false">IF($BX105&lt;&gt;Constants!$B$6,"",Constants!$B$16+SUM($BC105:$BG105))</f>
        <v/>
      </c>
      <c r="BI105" s="97" t="str">
        <f aca="false">IF($BX105&lt;&gt;Constants!$B$6,"",$BC105)</f>
        <v/>
      </c>
      <c r="BJ105" s="97" t="str">
        <f aca="false">IF($BX105&lt;&gt;Constants!$B$6,"",$BD105)</f>
        <v/>
      </c>
      <c r="BK105" s="99" t="str">
        <f aca="false">IF($BX105&lt;&gt;Constants!$B$6,"",IF($AL105,$AN105,""))</f>
        <v/>
      </c>
      <c r="BL105" s="93" t="str">
        <f aca="false">IF($BX105&lt;&gt;Constants!$B$6,"",IF(OR($BS105&lt;$BH105,AND($BS105=$BH105,OR($BT105&lt;$BI105,AND($BT105=$BI105,OR($BU105&lt;$BJ105,AND($BU105=$BJ105,AND(ISNUMBER($BV105),OR(NOT(ISNUMBER($BK105)),$BV105&lt;$BK105)))))))),"-&gt;","&lt;-"))</f>
        <v/>
      </c>
      <c r="BM105" s="92" t="str">
        <f aca="false">IF(ISBLANK($C105),"",AND($AT105,OR($AU105="",$AV105="",AND($AW105,$AX105=""))))</f>
        <v/>
      </c>
      <c r="BN105" s="94" t="str">
        <f aca="false">IF($BX105&lt;&gt;Constants!$B$6,"",IF($AT105,Constants!$B$17*$AV105+Constants!$B$18*IF($AW105,$AX105,Constants!$B$19),Constants!$B$20))</f>
        <v/>
      </c>
      <c r="BO105" s="97" t="str">
        <f aca="false">IF($BX105&lt;&gt;Constants!$B$6,"",Constants!$B$21*ABS($AD$9-IF($AT105,$AU105,0)))</f>
        <v/>
      </c>
      <c r="BP105" s="97" t="str">
        <f aca="false">IF($BX105&lt;&gt;Constants!$B$6,"",IF(AND($AT105,$AY105,$AW105),Constants!$B$22,0))</f>
        <v/>
      </c>
      <c r="BQ105" s="97" t="str">
        <f aca="false">IF($BX105&lt;&gt;Constants!$B$6,"",IF($AT105,($AI105-Constants!$B$24)*Constants!$B$23,0))</f>
        <v/>
      </c>
      <c r="BR105" s="97" t="str">
        <f aca="false">IF($BX105&lt;&gt;Constants!$B$6,"",IF($AS105,0,Constants!$B$12)+IF($AR105,0,Constants!$B$13)+IF($AH105,0,Constants!$B$14))</f>
        <v/>
      </c>
      <c r="BS105" s="98" t="str">
        <f aca="false">IF($BX105&lt;&gt;Constants!$B$6,"",Constants!$B$16+SUM($BN105:$BR105))</f>
        <v/>
      </c>
      <c r="BT105" s="97" t="str">
        <f aca="false">IF($BX105&lt;&gt;Constants!$B$6,"",$BN105)</f>
        <v/>
      </c>
      <c r="BU105" s="97" t="str">
        <f aca="false">IF($BX105&lt;&gt;Constants!$B$6,"",$BO105)</f>
        <v/>
      </c>
      <c r="BV105" s="99" t="str">
        <f aca="false">IF($BX105&lt;&gt;Constants!$B$6,"",IF($AT105,$AV105,""))</f>
        <v/>
      </c>
      <c r="BW105" s="93" t="str">
        <f aca="false">IF(ISBLANK($C105),"",IF(ISBLANK($D$7),$BW$5,IF(NOT(ISNUMBER($D$7)),$BW$6,"")))</f>
        <v/>
      </c>
      <c r="BX105" s="93" t="str">
        <f aca="false">IF(ISBLANK($C105),"",IF($BA105,Constants!$B$9,IF(COUNTA($E105:$AA105)=0,Constants!$B$8,IF(NOT($AG105),Constants!$B$7,IF(OR($BW105&lt;&gt;"",$BB105,$BM105),Constants!$B$10,Constants!$B$6)))))</f>
        <v/>
      </c>
      <c r="BY105" s="93" t="str">
        <f aca="false">IF(ISBLANK($C105),"",IF($BX105&lt;&gt;Constants!$B$6,$BX105,Constants!$B$11))</f>
        <v/>
      </c>
      <c r="BZ105" s="97" t="str">
        <f aca="false">IF($BX105&lt;&gt;Constants!$B$6,"",IF($BL105="-&gt;",$BS105,$BH105))</f>
        <v/>
      </c>
      <c r="CA105" s="97" t="str">
        <f aca="false">IF($BX105&lt;&gt;Constants!$B$6,"",IF($AF105,0,Constants!$B$15))</f>
        <v/>
      </c>
      <c r="CB105" s="97" t="str">
        <f aca="false">IF($BX105&lt;&gt;Constants!$B$6,"",((Constants!$B$25-$AZ105)-Constants!$B$25)/Constants!$B$26)</f>
        <v/>
      </c>
      <c r="CC105" s="97" t="str">
        <f aca="false">IF(ISBLANK($C105),"",IF($BX105&lt;&gt;Constants!$B$6,$BX105,SUM($BZ105:$CB105)))</f>
        <v/>
      </c>
      <c r="CD105" s="93" t="str">
        <f aca="false">IF(ISBLANK($C105),"",IF($BX105&lt;&gt;Constants!$B$6,$BX105,RANK($CC105,$CC$9:$CC$508,1)))</f>
        <v/>
      </c>
      <c r="CE105" s="97" t="str">
        <f aca="false">IF($BX105&lt;&gt;Constants!$B$6,"",IF($BL105="-&gt;",$BT105,$BI105))</f>
        <v/>
      </c>
      <c r="CF105" s="93" t="str">
        <f aca="false">IF(ISBLANK($C105),"",IF($BX105&lt;&gt;Constants!$B$6,$BX105,IF(ISNUMBER($CE105),RANK($CE105,$CE$9:$CE$508,1),COUNT($CE$9:$CE$508)+1)))</f>
        <v/>
      </c>
      <c r="CG105" s="97" t="str">
        <f aca="false">IF($BX105&lt;&gt;Constants!$B$6,"",IF($BL105="-&gt;",$BU105,$BJ105))</f>
        <v/>
      </c>
      <c r="CH105" s="93" t="str">
        <f aca="false">IF(ISBLANK($C105),"",IF($BX105&lt;&gt;Constants!$B$6,$BX105,IF(ISNUMBER($CG105),RANK($CG105,$CG$9:$CG$508,1),COUNT($CG$9:$CG$508)+1)))</f>
        <v/>
      </c>
      <c r="CI105" s="97" t="str">
        <f aca="false">IF($BX105&lt;&gt;Constants!$B$6,"",IF($BL105="-&gt;",$BV105,$BK105))</f>
        <v/>
      </c>
      <c r="CJ105" s="93" t="str">
        <f aca="false">IF(ISBLANK($C105),"",IF($BX105&lt;&gt;Constants!$B$6,$BX105,IF(ISNUMBER($CI105),RANK($CI105,$CI$9:$CI$508,1),COUNT($CI$9:$CI$508)+1)))</f>
        <v/>
      </c>
      <c r="CK105" s="97" t="str">
        <f aca="false">IF($BX105&lt;&gt;Constants!$B$6,"",$AI105)</f>
        <v/>
      </c>
      <c r="CL105" s="93" t="str">
        <f aca="false">IF(ISBLANK($C105),"",IF($BX105&lt;&gt;Constants!$B$6,$BX105,IF(ISNUMBER($CK105),RANK($CK105,$CK$9:$CK$508,1),COUNT($CK$9:$CK$508)+1)))</f>
        <v/>
      </c>
      <c r="CM105" s="93" t="str">
        <f aca="false">IF(ISBLANK($C105),"",IF($BX105&lt;&gt;Constants!$B$6,$BX105,COUNTIFS($CD$9:$CD$508,"&lt;"&amp;$CD105)+COUNTIFS($CD$9:$CD$508,$CD105,$CF$9:$CF$508,"&lt;"&amp;$CF105)+COUNTIFS($CD$9:$CD$508,$CD105,$CF$9:$CF$508,$CF105,$CH$9:$CH$508,"&lt;"&amp;$CH105)+COUNTIFS($CD$9:$CD$508,$CD105,$CF$9:$CF$508,$CF105,$CH$9:$CH$508,$CH105,$CJ$9:$CJ$508,"&lt;"&amp;$CJ105)+COUNTIFS($CD$9:$CD$508,$CD105,$CF$9:$CF$508,$CF105,$CH$9:$CH$508,$CH105,$CJ$9:$CJ$508,$CJ105,$CL$9:$CL$508,"&lt;"&amp;$CL105)+1))</f>
        <v/>
      </c>
      <c r="CN105" s="93" t="str">
        <f aca="false">IF(ISBLANK($C105),"",IF($BX105&lt;&gt;Constants!$B$6,$BX105,$CD105-$CM105))</f>
        <v/>
      </c>
      <c r="CO105" s="100"/>
      <c r="CP105" s="101"/>
      <c r="CQ105" s="102" t="str">
        <f aca="false">IF(ISBLANK($C105),"",IF($BX105=Constants!$B$10,$BW105,""))</f>
        <v/>
      </c>
      <c r="CR105" s="101" t="str">
        <f aca="false">IF(ISBLANK($C105),"",IF($BX105&lt;&gt;Constants!$B$6,"",IF($BL105="-&gt;",2,1)))</f>
        <v/>
      </c>
      <c r="CS105" s="103" t="str">
        <f aca="false">IF(ISBLANK($C105),"",IF($BX105&lt;&gt;Constants!$B$6,"",IF($BL105="-&gt;",$BN105,$BC105)))</f>
        <v/>
      </c>
      <c r="CT105" s="103" t="str">
        <f aca="false">IF(ISBLANK($C105),"",IF($BX105&lt;&gt;Constants!$B$6,"",IF($BL105="-&gt;",$BO105,$BD105)))</f>
        <v/>
      </c>
      <c r="CU105" s="103" t="str">
        <f aca="false">IF(ISBLANK($C105),"",IF($BX105&lt;&gt;Constants!$B$6,"",IF($BL105="-&gt;",$BP105+$BQ105,$BE105+$BF105)+$CB105))</f>
        <v/>
      </c>
      <c r="CV105" s="103" t="str">
        <f aca="false">IF(ISBLANK($C105),"",IF($BX105&lt;&gt;Constants!$B$6,"",IF($BL105="-&gt;",$BR105,$BG105)+$CA105))</f>
        <v/>
      </c>
      <c r="CW105" s="104" t="str">
        <f aca="false">IF(ISBLANK($C105),"",IF($BX105&lt;&gt;Constants!$B$6,$BX105,$CC105))</f>
        <v/>
      </c>
      <c r="CX105" s="105" t="str">
        <f aca="false">IF(ISBLANK($C105),"",$BY105)</f>
        <v/>
      </c>
      <c r="CY105" s="106" t="str">
        <f aca="false">IF(ISBLANK($C105),"",$CN105)</f>
        <v/>
      </c>
      <c r="CZ105" s="106" t="str">
        <f aca="false">IF(ISBLANK($C105),"",$CM105)</f>
        <v/>
      </c>
      <c r="DA105" s="107" t="str">
        <f aca="false">IF(ISBLANK($C105),"",IFERROR(_xlfn.SWITCH($CZ105,Constants!$B$9,COUNTA($C$9:$C$508)+2,Constants!$B$8,COUNTA($C$9:$C$508)+1,Constants!$B$7,COUNTA($C$9:$C$508)),$CZ105))</f>
        <v/>
      </c>
      <c r="DB105" s="9"/>
      <c r="DC105" s="108" t="n">
        <f aca="false">IF(OR(ISNUMBER($CZ105),$CZ105=Constants!$B$9,$CZ105=Constants!$B$7,$CZ105=Constants!$B$8),1,0)</f>
        <v>0</v>
      </c>
      <c r="DD105" s="108" t="n">
        <v>97</v>
      </c>
      <c r="DE105" s="108" t="str">
        <f aca="false">IF(ISBLANK($C105),"",IF(ISNUMBER($DA105),$DA105+ROW($B105)/1000,""))</f>
        <v/>
      </c>
      <c r="DF105" s="108" t="str">
        <f aca="false">IF(ISNUMBER($DE105),RANK($DE105,$DE$9:$DE$508,1),"")</f>
        <v/>
      </c>
      <c r="DG105" s="108" t="str">
        <f aca="false">IF(ISBLANK($C105),"",$B105)</f>
        <v/>
      </c>
      <c r="DH105" s="108" t="str">
        <f aca="false">IF(ISBLANK($C105),"",$C105)</f>
        <v/>
      </c>
      <c r="DI105" s="108" t="str">
        <f aca="false">IF(ISBLANK($C105),"",$D105)</f>
        <v/>
      </c>
      <c r="DJ105" s="109" t="str">
        <f aca="false">$CX105</f>
        <v/>
      </c>
      <c r="DK105" s="110" t="str">
        <f aca="false">$CW105</f>
        <v/>
      </c>
      <c r="DL105" s="108" t="str">
        <f aca="false">IF(ISBLANK($C105),"",$CZ105)</f>
        <v/>
      </c>
      <c r="DM105" s="111" t="str">
        <f aca="false">IF($DD105&gt;$DC$8,"",VLOOKUP($DD105,$DF$9:$DL$508,7,FALSE()))</f>
        <v/>
      </c>
      <c r="DN105" s="112" t="str">
        <f aca="false">IF($DD105&gt;$DC$8,"",VLOOKUP($DD105,$DF$9:$DL$508,2,FALSE()))</f>
        <v/>
      </c>
      <c r="DO105" s="112" t="str">
        <f aca="false">IF($DD105&gt;$DC$8,"",VLOOKUP($DD105,$DF$9:$DL$508,3,FALSE()))</f>
        <v/>
      </c>
      <c r="DP105" s="112" t="str">
        <f aca="false">IF($DD105&gt;$DC$8,"",VLOOKUP($DD105,$DF$9:$DL$508,4,FALSE()))</f>
        <v/>
      </c>
      <c r="DQ105" s="112" t="str">
        <f aca="false">IF($DD105&gt;$DC$8,"",VLOOKUP($DD105,$DF$9:$DL$508,5,FALSE()))</f>
        <v/>
      </c>
      <c r="DR105" s="113" t="str">
        <f aca="false">IF($DD105&gt;$DC$8,"",VLOOKUP($DD105,$DF$9:$DL$508,6,FALSE()))</f>
        <v/>
      </c>
      <c r="DS105" s="76"/>
    </row>
    <row r="106" customFormat="false" ht="15.75" hidden="false" customHeight="false" outlineLevel="0" collapsed="false">
      <c r="A106" s="9"/>
      <c r="B106" s="78"/>
      <c r="C106" s="79"/>
      <c r="D106" s="170"/>
      <c r="E106" s="178"/>
      <c r="F106" s="172"/>
      <c r="G106" s="173"/>
      <c r="H106" s="173"/>
      <c r="I106" s="179"/>
      <c r="J106" s="176"/>
      <c r="K106" s="86"/>
      <c r="L106" s="87"/>
      <c r="M106" s="88"/>
      <c r="N106" s="176"/>
      <c r="O106" s="176"/>
      <c r="P106" s="178"/>
      <c r="Q106" s="176"/>
      <c r="R106" s="176"/>
      <c r="S106" s="86"/>
      <c r="T106" s="88"/>
      <c r="U106" s="88"/>
      <c r="V106" s="176"/>
      <c r="W106" s="176"/>
      <c r="X106" s="178"/>
      <c r="Y106" s="176"/>
      <c r="Z106" s="177"/>
      <c r="AA106" s="176"/>
      <c r="AB106" s="92"/>
      <c r="AC106" s="93"/>
      <c r="AD106" s="93"/>
      <c r="AE106" s="93"/>
      <c r="AF106" s="93" t="str">
        <f aca="false">IF(ISBLANK($C106),"",IF(E106=Constants!$B$2,TRUE(),IF(E106=Constants!$B$3,FALSE(),TRUE())))</f>
        <v/>
      </c>
      <c r="AG106" s="93" t="str">
        <f aca="false">IF(ISBLANK($C106),"",IF(F106=Constants!$B$2,TRUE(),IF(F106=Constants!$B$3,FALSE(),TRUE())))</f>
        <v/>
      </c>
      <c r="AH106" s="93" t="str">
        <f aca="false">IF(ISBLANK($C106),"",IF(G106=Constants!$B$2,TRUE(),IF(G106=Constants!$B$3,FALSE(),TRUE())))</f>
        <v/>
      </c>
      <c r="AI106" s="93" t="str">
        <f aca="false">IF(ISBLANK($C106),"",IF(AND(ISNUMBER(H106),H106&gt;=0),H106,Constants!$B$24))</f>
        <v/>
      </c>
      <c r="AJ106" s="93" t="str">
        <f aca="false">IF(ISBLANK($C106),"",IF(I106=Constants!$B$2,TRUE(),IF(I106=Constants!$B$3,FALSE(),TRUE())))</f>
        <v/>
      </c>
      <c r="AK106" s="93" t="str">
        <f aca="false">IF(ISBLANK($C106),"",IF(J106=Constants!$B$2,TRUE(),IF(J106=Constants!$B$3,FALSE(),TRUE())))</f>
        <v/>
      </c>
      <c r="AL106" s="93" t="str">
        <f aca="false">IF(ISBLANK($C106),"",IF(K106=Constants!$B$4,TRUE(),IF(K106=Constants!$B$5,FALSE(),COUNTA(L106:P106)&gt;0)))</f>
        <v/>
      </c>
      <c r="AM106" s="95" t="str">
        <f aca="false">IF(ISBLANK($C106),"",IF(ISNUMBER(L106),IF(L106&gt;=0,L106,""),""))</f>
        <v/>
      </c>
      <c r="AN106" s="94" t="str">
        <f aca="false">IF(ISBLANK($C106),"",IF(ISNUMBER(M106),IF(M106&gt;=0,M106,""),""))</f>
        <v/>
      </c>
      <c r="AO106" s="94" t="str">
        <f aca="false">IF(ISBLANK($C106),"",IF(N106=Constants!$B$2,TRUE(),IF(N106=Constants!$B$3,FALSE(),TRUE())))</f>
        <v/>
      </c>
      <c r="AP106" s="93" t="str">
        <f aca="false">IF(ISBLANK($C106),"",IF(ISNUMBER(O106),IF(O106&gt;=0,O106,""),""))</f>
        <v/>
      </c>
      <c r="AQ106" s="93" t="str">
        <f aca="false">IF(ISBLANK($C106),"",IF(P106=Constants!$B$2,TRUE(),IF(P106=Constants!$B$3,FALSE(),FALSE())))</f>
        <v/>
      </c>
      <c r="AR106" s="93" t="str">
        <f aca="false">IF(ISBLANK($C106),"",IF(Q106=Constants!$B$2,TRUE(),IF(Q106=Constants!$B$3,FALSE(),TRUE())))</f>
        <v/>
      </c>
      <c r="AS106" s="93" t="str">
        <f aca="false">IF(ISBLANK($C106),"",IF(R106=Constants!$B$2,TRUE(),IF(R106=Constants!$B$3,FALSE(),TRUE())))</f>
        <v/>
      </c>
      <c r="AT106" s="93" t="str">
        <f aca="false">IF(ISBLANK($C106),"",IF(S106=Constants!$B$4,TRUE(),IF(S106=Constants!$B$5,FALSE(),COUNTA(T106:X106)&gt;0)))</f>
        <v/>
      </c>
      <c r="AU106" s="95" t="str">
        <f aca="false">IF(ISBLANK($C106),"",IF(ISNUMBER(T106),IF(T106&gt;=0,T106,""),""))</f>
        <v/>
      </c>
      <c r="AV106" s="94" t="str">
        <f aca="false">IF(ISBLANK($C106),"",IF(ISNUMBER(U106),IF(U106&gt;=0,U106,""),""))</f>
        <v/>
      </c>
      <c r="AW106" s="94" t="str">
        <f aca="false">IF(ISBLANK($C106),"",IF(V106=Constants!$B$2,TRUE(),IF(V106=Constants!$B$3,FALSE(),TRUE())))</f>
        <v/>
      </c>
      <c r="AX106" s="93" t="str">
        <f aca="false">IF(ISBLANK($C106),"",IF(ISNUMBER(W106),IF(W106&gt;=0,W106,""),""))</f>
        <v/>
      </c>
      <c r="AY106" s="93" t="str">
        <f aca="false">IF(ISBLANK($C106),"",IF(X106=Constants!$B$2,TRUE(),IF(X106=Constants!$B$3,FALSE(),FALSE())))</f>
        <v/>
      </c>
      <c r="AZ106" s="93" t="str">
        <f aca="false">IF(ISBLANK($C106),"",MIN(Constants!$B$25,MAX(0,IF(ISNUMBER(Y106),Y106*60,0)+IF(ISNUMBER(Z106),Z106,0))))</f>
        <v/>
      </c>
      <c r="BA106" s="93" t="str">
        <f aca="false">IF(ISBLANK($C106),"",IF(AA106=Constants!$B$2,TRUE(),IF(AA106=Constants!$B$3,FALSE(),FALSE())))</f>
        <v/>
      </c>
      <c r="BB106" s="92" t="str">
        <f aca="false">IF(ISBLANK($C106),"",AND($AL106,OR($AM106="",$AN106="",AND($AO106,$AP106=""))))</f>
        <v/>
      </c>
      <c r="BC106" s="94" t="str">
        <f aca="false">IF($BX106&lt;&gt;Constants!$B$6,"",IF($AL106,Constants!$B$17*$AN106+Constants!$B$18*IF($AO106,$AP106,Constants!$B$19),Constants!$B$20))</f>
        <v/>
      </c>
      <c r="BD106" s="97" t="str">
        <f aca="false">IF($BX106&lt;&gt;Constants!$B$6,"",Constants!$B$21*ABS($AD$9-IF($AL106,$AM106,0)))</f>
        <v/>
      </c>
      <c r="BE106" s="97" t="str">
        <f aca="false">IF($BX106&lt;&gt;Constants!$B$6,"",IF(AND($AL106,$AQ106,$AO106),Constants!$B$22,0))</f>
        <v/>
      </c>
      <c r="BF106" s="97" t="str">
        <f aca="false">IF($BX106&lt;&gt;Constants!$B$6,"",IF($AL106,($AI106-Constants!$B$24)*Constants!$B$23,0))</f>
        <v/>
      </c>
      <c r="BG106" s="97" t="str">
        <f aca="false">IF($BX106&lt;&gt;Constants!$B$6,"",IF($AK106,0,Constants!$B$12)+IF($AJ106,0,Constants!$B$13)+IF($AH106,0,Constants!$B$14))</f>
        <v/>
      </c>
      <c r="BH106" s="98" t="str">
        <f aca="false">IF($BX106&lt;&gt;Constants!$B$6,"",Constants!$B$16+SUM($BC106:$BG106))</f>
        <v/>
      </c>
      <c r="BI106" s="97" t="str">
        <f aca="false">IF($BX106&lt;&gt;Constants!$B$6,"",$BC106)</f>
        <v/>
      </c>
      <c r="BJ106" s="97" t="str">
        <f aca="false">IF($BX106&lt;&gt;Constants!$B$6,"",$BD106)</f>
        <v/>
      </c>
      <c r="BK106" s="99" t="str">
        <f aca="false">IF($BX106&lt;&gt;Constants!$B$6,"",IF($AL106,$AN106,""))</f>
        <v/>
      </c>
      <c r="BL106" s="93" t="str">
        <f aca="false">IF($BX106&lt;&gt;Constants!$B$6,"",IF(OR($BS106&lt;$BH106,AND($BS106=$BH106,OR($BT106&lt;$BI106,AND($BT106=$BI106,OR($BU106&lt;$BJ106,AND($BU106=$BJ106,AND(ISNUMBER($BV106),OR(NOT(ISNUMBER($BK106)),$BV106&lt;$BK106)))))))),"-&gt;","&lt;-"))</f>
        <v/>
      </c>
      <c r="BM106" s="92" t="str">
        <f aca="false">IF(ISBLANK($C106),"",AND($AT106,OR($AU106="",$AV106="",AND($AW106,$AX106=""))))</f>
        <v/>
      </c>
      <c r="BN106" s="94" t="str">
        <f aca="false">IF($BX106&lt;&gt;Constants!$B$6,"",IF($AT106,Constants!$B$17*$AV106+Constants!$B$18*IF($AW106,$AX106,Constants!$B$19),Constants!$B$20))</f>
        <v/>
      </c>
      <c r="BO106" s="97" t="str">
        <f aca="false">IF($BX106&lt;&gt;Constants!$B$6,"",Constants!$B$21*ABS($AD$9-IF($AT106,$AU106,0)))</f>
        <v/>
      </c>
      <c r="BP106" s="97" t="str">
        <f aca="false">IF($BX106&lt;&gt;Constants!$B$6,"",IF(AND($AT106,$AY106,$AW106),Constants!$B$22,0))</f>
        <v/>
      </c>
      <c r="BQ106" s="97" t="str">
        <f aca="false">IF($BX106&lt;&gt;Constants!$B$6,"",IF($AT106,($AI106-Constants!$B$24)*Constants!$B$23,0))</f>
        <v/>
      </c>
      <c r="BR106" s="97" t="str">
        <f aca="false">IF($BX106&lt;&gt;Constants!$B$6,"",IF($AS106,0,Constants!$B$12)+IF($AR106,0,Constants!$B$13)+IF($AH106,0,Constants!$B$14))</f>
        <v/>
      </c>
      <c r="BS106" s="98" t="str">
        <f aca="false">IF($BX106&lt;&gt;Constants!$B$6,"",Constants!$B$16+SUM($BN106:$BR106))</f>
        <v/>
      </c>
      <c r="BT106" s="97" t="str">
        <f aca="false">IF($BX106&lt;&gt;Constants!$B$6,"",$BN106)</f>
        <v/>
      </c>
      <c r="BU106" s="97" t="str">
        <f aca="false">IF($BX106&lt;&gt;Constants!$B$6,"",$BO106)</f>
        <v/>
      </c>
      <c r="BV106" s="99" t="str">
        <f aca="false">IF($BX106&lt;&gt;Constants!$B$6,"",IF($AT106,$AV106,""))</f>
        <v/>
      </c>
      <c r="BW106" s="93" t="str">
        <f aca="false">IF(ISBLANK($C106),"",IF(ISBLANK($D$7),$BW$5,IF(NOT(ISNUMBER($D$7)),$BW$6,"")))</f>
        <v/>
      </c>
      <c r="BX106" s="93" t="str">
        <f aca="false">IF(ISBLANK($C106),"",IF($BA106,Constants!$B$9,IF(COUNTA($E106:$AA106)=0,Constants!$B$8,IF(NOT($AG106),Constants!$B$7,IF(OR($BW106&lt;&gt;"",$BB106,$BM106),Constants!$B$10,Constants!$B$6)))))</f>
        <v/>
      </c>
      <c r="BY106" s="93" t="str">
        <f aca="false">IF(ISBLANK($C106),"",IF($BX106&lt;&gt;Constants!$B$6,$BX106,Constants!$B$11))</f>
        <v/>
      </c>
      <c r="BZ106" s="97" t="str">
        <f aca="false">IF($BX106&lt;&gt;Constants!$B$6,"",IF($BL106="-&gt;",$BS106,$BH106))</f>
        <v/>
      </c>
      <c r="CA106" s="97" t="str">
        <f aca="false">IF($BX106&lt;&gt;Constants!$B$6,"",IF($AF106,0,Constants!$B$15))</f>
        <v/>
      </c>
      <c r="CB106" s="97" t="str">
        <f aca="false">IF($BX106&lt;&gt;Constants!$B$6,"",((Constants!$B$25-$AZ106)-Constants!$B$25)/Constants!$B$26)</f>
        <v/>
      </c>
      <c r="CC106" s="97" t="str">
        <f aca="false">IF(ISBLANK($C106),"",IF($BX106&lt;&gt;Constants!$B$6,$BX106,SUM($BZ106:$CB106)))</f>
        <v/>
      </c>
      <c r="CD106" s="93" t="str">
        <f aca="false">IF(ISBLANK($C106),"",IF($BX106&lt;&gt;Constants!$B$6,$BX106,RANK($CC106,$CC$9:$CC$508,1)))</f>
        <v/>
      </c>
      <c r="CE106" s="97" t="str">
        <f aca="false">IF($BX106&lt;&gt;Constants!$B$6,"",IF($BL106="-&gt;",$BT106,$BI106))</f>
        <v/>
      </c>
      <c r="CF106" s="93" t="str">
        <f aca="false">IF(ISBLANK($C106),"",IF($BX106&lt;&gt;Constants!$B$6,$BX106,IF(ISNUMBER($CE106),RANK($CE106,$CE$9:$CE$508,1),COUNT($CE$9:$CE$508)+1)))</f>
        <v/>
      </c>
      <c r="CG106" s="97" t="str">
        <f aca="false">IF($BX106&lt;&gt;Constants!$B$6,"",IF($BL106="-&gt;",$BU106,$BJ106))</f>
        <v/>
      </c>
      <c r="CH106" s="93" t="str">
        <f aca="false">IF(ISBLANK($C106),"",IF($BX106&lt;&gt;Constants!$B$6,$BX106,IF(ISNUMBER($CG106),RANK($CG106,$CG$9:$CG$508,1),COUNT($CG$9:$CG$508)+1)))</f>
        <v/>
      </c>
      <c r="CI106" s="97" t="str">
        <f aca="false">IF($BX106&lt;&gt;Constants!$B$6,"",IF($BL106="-&gt;",$BV106,$BK106))</f>
        <v/>
      </c>
      <c r="CJ106" s="93" t="str">
        <f aca="false">IF(ISBLANK($C106),"",IF($BX106&lt;&gt;Constants!$B$6,$BX106,IF(ISNUMBER($CI106),RANK($CI106,$CI$9:$CI$508,1),COUNT($CI$9:$CI$508)+1)))</f>
        <v/>
      </c>
      <c r="CK106" s="97" t="str">
        <f aca="false">IF($BX106&lt;&gt;Constants!$B$6,"",$AI106)</f>
        <v/>
      </c>
      <c r="CL106" s="93" t="str">
        <f aca="false">IF(ISBLANK($C106),"",IF($BX106&lt;&gt;Constants!$B$6,$BX106,IF(ISNUMBER($CK106),RANK($CK106,$CK$9:$CK$508,1),COUNT($CK$9:$CK$508)+1)))</f>
        <v/>
      </c>
      <c r="CM106" s="93" t="str">
        <f aca="false">IF(ISBLANK($C106),"",IF($BX106&lt;&gt;Constants!$B$6,$BX106,COUNTIFS($CD$9:$CD$508,"&lt;"&amp;$CD106)+COUNTIFS($CD$9:$CD$508,$CD106,$CF$9:$CF$508,"&lt;"&amp;$CF106)+COUNTIFS($CD$9:$CD$508,$CD106,$CF$9:$CF$508,$CF106,$CH$9:$CH$508,"&lt;"&amp;$CH106)+COUNTIFS($CD$9:$CD$508,$CD106,$CF$9:$CF$508,$CF106,$CH$9:$CH$508,$CH106,$CJ$9:$CJ$508,"&lt;"&amp;$CJ106)+COUNTIFS($CD$9:$CD$508,$CD106,$CF$9:$CF$508,$CF106,$CH$9:$CH$508,$CH106,$CJ$9:$CJ$508,$CJ106,$CL$9:$CL$508,"&lt;"&amp;$CL106)+1))</f>
        <v/>
      </c>
      <c r="CN106" s="93" t="str">
        <f aca="false">IF(ISBLANK($C106),"",IF($BX106&lt;&gt;Constants!$B$6,$BX106,$CD106-$CM106))</f>
        <v/>
      </c>
      <c r="CO106" s="100"/>
      <c r="CP106" s="101"/>
      <c r="CQ106" s="102" t="str">
        <f aca="false">IF(ISBLANK($C106),"",IF($BX106=Constants!$B$10,$BW106,""))</f>
        <v/>
      </c>
      <c r="CR106" s="101" t="str">
        <f aca="false">IF(ISBLANK($C106),"",IF($BX106&lt;&gt;Constants!$B$6,"",IF($BL106="-&gt;",2,1)))</f>
        <v/>
      </c>
      <c r="CS106" s="103" t="str">
        <f aca="false">IF(ISBLANK($C106),"",IF($BX106&lt;&gt;Constants!$B$6,"",IF($BL106="-&gt;",$BN106,$BC106)))</f>
        <v/>
      </c>
      <c r="CT106" s="103" t="str">
        <f aca="false">IF(ISBLANK($C106),"",IF($BX106&lt;&gt;Constants!$B$6,"",IF($BL106="-&gt;",$BO106,$BD106)))</f>
        <v/>
      </c>
      <c r="CU106" s="103" t="str">
        <f aca="false">IF(ISBLANK($C106),"",IF($BX106&lt;&gt;Constants!$B$6,"",IF($BL106="-&gt;",$BP106+$BQ106,$BE106+$BF106)+$CB106))</f>
        <v/>
      </c>
      <c r="CV106" s="103" t="str">
        <f aca="false">IF(ISBLANK($C106),"",IF($BX106&lt;&gt;Constants!$B$6,"",IF($BL106="-&gt;",$BR106,$BG106)+$CA106))</f>
        <v/>
      </c>
      <c r="CW106" s="104" t="str">
        <f aca="false">IF(ISBLANK($C106),"",IF($BX106&lt;&gt;Constants!$B$6,$BX106,$CC106))</f>
        <v/>
      </c>
      <c r="CX106" s="105" t="str">
        <f aca="false">IF(ISBLANK($C106),"",$BY106)</f>
        <v/>
      </c>
      <c r="CY106" s="106" t="str">
        <f aca="false">IF(ISBLANK($C106),"",$CN106)</f>
        <v/>
      </c>
      <c r="CZ106" s="106" t="str">
        <f aca="false">IF(ISBLANK($C106),"",$CM106)</f>
        <v/>
      </c>
      <c r="DA106" s="107" t="str">
        <f aca="false">IF(ISBLANK($C106),"",IFERROR(_xlfn.SWITCH($CZ106,Constants!$B$9,COUNTA($C$9:$C$508)+2,Constants!$B$8,COUNTA($C$9:$C$508)+1,Constants!$B$7,COUNTA($C$9:$C$508)),$CZ106))</f>
        <v/>
      </c>
      <c r="DB106" s="9"/>
      <c r="DC106" s="108" t="n">
        <f aca="false">IF(OR(ISNUMBER($CZ106),$CZ106=Constants!$B$9,$CZ106=Constants!$B$7,$CZ106=Constants!$B$8),1,0)</f>
        <v>0</v>
      </c>
      <c r="DD106" s="108" t="n">
        <v>98</v>
      </c>
      <c r="DE106" s="108" t="str">
        <f aca="false">IF(ISBLANK($C106),"",IF(ISNUMBER($DA106),$DA106+ROW($B106)/1000,""))</f>
        <v/>
      </c>
      <c r="DF106" s="108" t="str">
        <f aca="false">IF(ISNUMBER($DE106),RANK($DE106,$DE$9:$DE$508,1),"")</f>
        <v/>
      </c>
      <c r="DG106" s="108" t="str">
        <f aca="false">IF(ISBLANK($C106),"",$B106)</f>
        <v/>
      </c>
      <c r="DH106" s="108" t="str">
        <f aca="false">IF(ISBLANK($C106),"",$C106)</f>
        <v/>
      </c>
      <c r="DI106" s="108" t="str">
        <f aca="false">IF(ISBLANK($C106),"",$D106)</f>
        <v/>
      </c>
      <c r="DJ106" s="109" t="str">
        <f aca="false">$CX106</f>
        <v/>
      </c>
      <c r="DK106" s="110" t="str">
        <f aca="false">$CW106</f>
        <v/>
      </c>
      <c r="DL106" s="108" t="str">
        <f aca="false">IF(ISBLANK($C106),"",$CZ106)</f>
        <v/>
      </c>
      <c r="DM106" s="111" t="str">
        <f aca="false">IF($DD106&gt;$DC$8,"",VLOOKUP($DD106,$DF$9:$DL$508,7,FALSE()))</f>
        <v/>
      </c>
      <c r="DN106" s="112" t="str">
        <f aca="false">IF($DD106&gt;$DC$8,"",VLOOKUP($DD106,$DF$9:$DL$508,2,FALSE()))</f>
        <v/>
      </c>
      <c r="DO106" s="112" t="str">
        <f aca="false">IF($DD106&gt;$DC$8,"",VLOOKUP($DD106,$DF$9:$DL$508,3,FALSE()))</f>
        <v/>
      </c>
      <c r="DP106" s="112" t="str">
        <f aca="false">IF($DD106&gt;$DC$8,"",VLOOKUP($DD106,$DF$9:$DL$508,4,FALSE()))</f>
        <v/>
      </c>
      <c r="DQ106" s="112" t="str">
        <f aca="false">IF($DD106&gt;$DC$8,"",VLOOKUP($DD106,$DF$9:$DL$508,5,FALSE()))</f>
        <v/>
      </c>
      <c r="DR106" s="113" t="str">
        <f aca="false">IF($DD106&gt;$DC$8,"",VLOOKUP($DD106,$DF$9:$DL$508,6,FALSE()))</f>
        <v/>
      </c>
      <c r="DS106" s="76"/>
    </row>
    <row r="107" customFormat="false" ht="15.75" hidden="false" customHeight="false" outlineLevel="0" collapsed="false">
      <c r="A107" s="9"/>
      <c r="B107" s="78"/>
      <c r="C107" s="79"/>
      <c r="D107" s="170"/>
      <c r="E107" s="178"/>
      <c r="F107" s="172"/>
      <c r="G107" s="173"/>
      <c r="H107" s="173"/>
      <c r="I107" s="179"/>
      <c r="J107" s="176"/>
      <c r="K107" s="86"/>
      <c r="L107" s="87"/>
      <c r="M107" s="88"/>
      <c r="N107" s="176"/>
      <c r="O107" s="176"/>
      <c r="P107" s="178"/>
      <c r="Q107" s="176"/>
      <c r="R107" s="176"/>
      <c r="S107" s="86"/>
      <c r="T107" s="88"/>
      <c r="U107" s="88"/>
      <c r="V107" s="176"/>
      <c r="W107" s="176"/>
      <c r="X107" s="178"/>
      <c r="Y107" s="176"/>
      <c r="Z107" s="177"/>
      <c r="AA107" s="176"/>
      <c r="AB107" s="92"/>
      <c r="AC107" s="93"/>
      <c r="AD107" s="93"/>
      <c r="AE107" s="93"/>
      <c r="AF107" s="93" t="str">
        <f aca="false">IF(ISBLANK($C107),"",IF(E107=Constants!$B$2,TRUE(),IF(E107=Constants!$B$3,FALSE(),TRUE())))</f>
        <v/>
      </c>
      <c r="AG107" s="93" t="str">
        <f aca="false">IF(ISBLANK($C107),"",IF(F107=Constants!$B$2,TRUE(),IF(F107=Constants!$B$3,FALSE(),TRUE())))</f>
        <v/>
      </c>
      <c r="AH107" s="93" t="str">
        <f aca="false">IF(ISBLANK($C107),"",IF(G107=Constants!$B$2,TRUE(),IF(G107=Constants!$B$3,FALSE(),TRUE())))</f>
        <v/>
      </c>
      <c r="AI107" s="93" t="str">
        <f aca="false">IF(ISBLANK($C107),"",IF(AND(ISNUMBER(H107),H107&gt;=0),H107,Constants!$B$24))</f>
        <v/>
      </c>
      <c r="AJ107" s="93" t="str">
        <f aca="false">IF(ISBLANK($C107),"",IF(I107=Constants!$B$2,TRUE(),IF(I107=Constants!$B$3,FALSE(),TRUE())))</f>
        <v/>
      </c>
      <c r="AK107" s="93" t="str">
        <f aca="false">IF(ISBLANK($C107),"",IF(J107=Constants!$B$2,TRUE(),IF(J107=Constants!$B$3,FALSE(),TRUE())))</f>
        <v/>
      </c>
      <c r="AL107" s="93" t="str">
        <f aca="false">IF(ISBLANK($C107),"",IF(K107=Constants!$B$4,TRUE(),IF(K107=Constants!$B$5,FALSE(),COUNTA(L107:P107)&gt;0)))</f>
        <v/>
      </c>
      <c r="AM107" s="95" t="str">
        <f aca="false">IF(ISBLANK($C107),"",IF(ISNUMBER(L107),IF(L107&gt;=0,L107,""),""))</f>
        <v/>
      </c>
      <c r="AN107" s="94" t="str">
        <f aca="false">IF(ISBLANK($C107),"",IF(ISNUMBER(M107),IF(M107&gt;=0,M107,""),""))</f>
        <v/>
      </c>
      <c r="AO107" s="94" t="str">
        <f aca="false">IF(ISBLANK($C107),"",IF(N107=Constants!$B$2,TRUE(),IF(N107=Constants!$B$3,FALSE(),TRUE())))</f>
        <v/>
      </c>
      <c r="AP107" s="93" t="str">
        <f aca="false">IF(ISBLANK($C107),"",IF(ISNUMBER(O107),IF(O107&gt;=0,O107,""),""))</f>
        <v/>
      </c>
      <c r="AQ107" s="93" t="str">
        <f aca="false">IF(ISBLANK($C107),"",IF(P107=Constants!$B$2,TRUE(),IF(P107=Constants!$B$3,FALSE(),FALSE())))</f>
        <v/>
      </c>
      <c r="AR107" s="93" t="str">
        <f aca="false">IF(ISBLANK($C107),"",IF(Q107=Constants!$B$2,TRUE(),IF(Q107=Constants!$B$3,FALSE(),TRUE())))</f>
        <v/>
      </c>
      <c r="AS107" s="93" t="str">
        <f aca="false">IF(ISBLANK($C107),"",IF(R107=Constants!$B$2,TRUE(),IF(R107=Constants!$B$3,FALSE(),TRUE())))</f>
        <v/>
      </c>
      <c r="AT107" s="93" t="str">
        <f aca="false">IF(ISBLANK($C107),"",IF(S107=Constants!$B$4,TRUE(),IF(S107=Constants!$B$5,FALSE(),COUNTA(T107:X107)&gt;0)))</f>
        <v/>
      </c>
      <c r="AU107" s="95" t="str">
        <f aca="false">IF(ISBLANK($C107),"",IF(ISNUMBER(T107),IF(T107&gt;=0,T107,""),""))</f>
        <v/>
      </c>
      <c r="AV107" s="94" t="str">
        <f aca="false">IF(ISBLANK($C107),"",IF(ISNUMBER(U107),IF(U107&gt;=0,U107,""),""))</f>
        <v/>
      </c>
      <c r="AW107" s="94" t="str">
        <f aca="false">IF(ISBLANK($C107),"",IF(V107=Constants!$B$2,TRUE(),IF(V107=Constants!$B$3,FALSE(),TRUE())))</f>
        <v/>
      </c>
      <c r="AX107" s="93" t="str">
        <f aca="false">IF(ISBLANK($C107),"",IF(ISNUMBER(W107),IF(W107&gt;=0,W107,""),""))</f>
        <v/>
      </c>
      <c r="AY107" s="93" t="str">
        <f aca="false">IF(ISBLANK($C107),"",IF(X107=Constants!$B$2,TRUE(),IF(X107=Constants!$B$3,FALSE(),FALSE())))</f>
        <v/>
      </c>
      <c r="AZ107" s="93" t="str">
        <f aca="false">IF(ISBLANK($C107),"",MIN(Constants!$B$25,MAX(0,IF(ISNUMBER(Y107),Y107*60,0)+IF(ISNUMBER(Z107),Z107,0))))</f>
        <v/>
      </c>
      <c r="BA107" s="93" t="str">
        <f aca="false">IF(ISBLANK($C107),"",IF(AA107=Constants!$B$2,TRUE(),IF(AA107=Constants!$B$3,FALSE(),FALSE())))</f>
        <v/>
      </c>
      <c r="BB107" s="92" t="str">
        <f aca="false">IF(ISBLANK($C107),"",AND($AL107,OR($AM107="",$AN107="",AND($AO107,$AP107=""))))</f>
        <v/>
      </c>
      <c r="BC107" s="94" t="str">
        <f aca="false">IF($BX107&lt;&gt;Constants!$B$6,"",IF($AL107,Constants!$B$17*$AN107+Constants!$B$18*IF($AO107,$AP107,Constants!$B$19),Constants!$B$20))</f>
        <v/>
      </c>
      <c r="BD107" s="97" t="str">
        <f aca="false">IF($BX107&lt;&gt;Constants!$B$6,"",Constants!$B$21*ABS($AD$9-IF($AL107,$AM107,0)))</f>
        <v/>
      </c>
      <c r="BE107" s="97" t="str">
        <f aca="false">IF($BX107&lt;&gt;Constants!$B$6,"",IF(AND($AL107,$AQ107,$AO107),Constants!$B$22,0))</f>
        <v/>
      </c>
      <c r="BF107" s="97" t="str">
        <f aca="false">IF($BX107&lt;&gt;Constants!$B$6,"",IF($AL107,($AI107-Constants!$B$24)*Constants!$B$23,0))</f>
        <v/>
      </c>
      <c r="BG107" s="97" t="str">
        <f aca="false">IF($BX107&lt;&gt;Constants!$B$6,"",IF($AK107,0,Constants!$B$12)+IF($AJ107,0,Constants!$B$13)+IF($AH107,0,Constants!$B$14))</f>
        <v/>
      </c>
      <c r="BH107" s="98" t="str">
        <f aca="false">IF($BX107&lt;&gt;Constants!$B$6,"",Constants!$B$16+SUM($BC107:$BG107))</f>
        <v/>
      </c>
      <c r="BI107" s="97" t="str">
        <f aca="false">IF($BX107&lt;&gt;Constants!$B$6,"",$BC107)</f>
        <v/>
      </c>
      <c r="BJ107" s="97" t="str">
        <f aca="false">IF($BX107&lt;&gt;Constants!$B$6,"",$BD107)</f>
        <v/>
      </c>
      <c r="BK107" s="99" t="str">
        <f aca="false">IF($BX107&lt;&gt;Constants!$B$6,"",IF($AL107,$AN107,""))</f>
        <v/>
      </c>
      <c r="BL107" s="93" t="str">
        <f aca="false">IF($BX107&lt;&gt;Constants!$B$6,"",IF(OR($BS107&lt;$BH107,AND($BS107=$BH107,OR($BT107&lt;$BI107,AND($BT107=$BI107,OR($BU107&lt;$BJ107,AND($BU107=$BJ107,AND(ISNUMBER($BV107),OR(NOT(ISNUMBER($BK107)),$BV107&lt;$BK107)))))))),"-&gt;","&lt;-"))</f>
        <v/>
      </c>
      <c r="BM107" s="92" t="str">
        <f aca="false">IF(ISBLANK($C107),"",AND($AT107,OR($AU107="",$AV107="",AND($AW107,$AX107=""))))</f>
        <v/>
      </c>
      <c r="BN107" s="94" t="str">
        <f aca="false">IF($BX107&lt;&gt;Constants!$B$6,"",IF($AT107,Constants!$B$17*$AV107+Constants!$B$18*IF($AW107,$AX107,Constants!$B$19),Constants!$B$20))</f>
        <v/>
      </c>
      <c r="BO107" s="97" t="str">
        <f aca="false">IF($BX107&lt;&gt;Constants!$B$6,"",Constants!$B$21*ABS($AD$9-IF($AT107,$AU107,0)))</f>
        <v/>
      </c>
      <c r="BP107" s="97" t="str">
        <f aca="false">IF($BX107&lt;&gt;Constants!$B$6,"",IF(AND($AT107,$AY107,$AW107),Constants!$B$22,0))</f>
        <v/>
      </c>
      <c r="BQ107" s="97" t="str">
        <f aca="false">IF($BX107&lt;&gt;Constants!$B$6,"",IF($AT107,($AI107-Constants!$B$24)*Constants!$B$23,0))</f>
        <v/>
      </c>
      <c r="BR107" s="97" t="str">
        <f aca="false">IF($BX107&lt;&gt;Constants!$B$6,"",IF($AS107,0,Constants!$B$12)+IF($AR107,0,Constants!$B$13)+IF($AH107,0,Constants!$B$14))</f>
        <v/>
      </c>
      <c r="BS107" s="98" t="str">
        <f aca="false">IF($BX107&lt;&gt;Constants!$B$6,"",Constants!$B$16+SUM($BN107:$BR107))</f>
        <v/>
      </c>
      <c r="BT107" s="97" t="str">
        <f aca="false">IF($BX107&lt;&gt;Constants!$B$6,"",$BN107)</f>
        <v/>
      </c>
      <c r="BU107" s="97" t="str">
        <f aca="false">IF($BX107&lt;&gt;Constants!$B$6,"",$BO107)</f>
        <v/>
      </c>
      <c r="BV107" s="99" t="str">
        <f aca="false">IF($BX107&lt;&gt;Constants!$B$6,"",IF($AT107,$AV107,""))</f>
        <v/>
      </c>
      <c r="BW107" s="93" t="str">
        <f aca="false">IF(ISBLANK($C107),"",IF(ISBLANK($D$7),$BW$5,IF(NOT(ISNUMBER($D$7)),$BW$6,"")))</f>
        <v/>
      </c>
      <c r="BX107" s="93" t="str">
        <f aca="false">IF(ISBLANK($C107),"",IF($BA107,Constants!$B$9,IF(COUNTA($E107:$AA107)=0,Constants!$B$8,IF(NOT($AG107),Constants!$B$7,IF(OR($BW107&lt;&gt;"",$BB107,$BM107),Constants!$B$10,Constants!$B$6)))))</f>
        <v/>
      </c>
      <c r="BY107" s="93" t="str">
        <f aca="false">IF(ISBLANK($C107),"",IF($BX107&lt;&gt;Constants!$B$6,$BX107,Constants!$B$11))</f>
        <v/>
      </c>
      <c r="BZ107" s="97" t="str">
        <f aca="false">IF($BX107&lt;&gt;Constants!$B$6,"",IF($BL107="-&gt;",$BS107,$BH107))</f>
        <v/>
      </c>
      <c r="CA107" s="97" t="str">
        <f aca="false">IF($BX107&lt;&gt;Constants!$B$6,"",IF($AF107,0,Constants!$B$15))</f>
        <v/>
      </c>
      <c r="CB107" s="97" t="str">
        <f aca="false">IF($BX107&lt;&gt;Constants!$B$6,"",((Constants!$B$25-$AZ107)-Constants!$B$25)/Constants!$B$26)</f>
        <v/>
      </c>
      <c r="CC107" s="97" t="str">
        <f aca="false">IF(ISBLANK($C107),"",IF($BX107&lt;&gt;Constants!$B$6,$BX107,SUM($BZ107:$CB107)))</f>
        <v/>
      </c>
      <c r="CD107" s="93" t="str">
        <f aca="false">IF(ISBLANK($C107),"",IF($BX107&lt;&gt;Constants!$B$6,$BX107,RANK($CC107,$CC$9:$CC$508,1)))</f>
        <v/>
      </c>
      <c r="CE107" s="97" t="str">
        <f aca="false">IF($BX107&lt;&gt;Constants!$B$6,"",IF($BL107="-&gt;",$BT107,$BI107))</f>
        <v/>
      </c>
      <c r="CF107" s="93" t="str">
        <f aca="false">IF(ISBLANK($C107),"",IF($BX107&lt;&gt;Constants!$B$6,$BX107,IF(ISNUMBER($CE107),RANK($CE107,$CE$9:$CE$508,1),COUNT($CE$9:$CE$508)+1)))</f>
        <v/>
      </c>
      <c r="CG107" s="97" t="str">
        <f aca="false">IF($BX107&lt;&gt;Constants!$B$6,"",IF($BL107="-&gt;",$BU107,$BJ107))</f>
        <v/>
      </c>
      <c r="CH107" s="93" t="str">
        <f aca="false">IF(ISBLANK($C107),"",IF($BX107&lt;&gt;Constants!$B$6,$BX107,IF(ISNUMBER($CG107),RANK($CG107,$CG$9:$CG$508,1),COUNT($CG$9:$CG$508)+1)))</f>
        <v/>
      </c>
      <c r="CI107" s="97" t="str">
        <f aca="false">IF($BX107&lt;&gt;Constants!$B$6,"",IF($BL107="-&gt;",$BV107,$BK107))</f>
        <v/>
      </c>
      <c r="CJ107" s="93" t="str">
        <f aca="false">IF(ISBLANK($C107),"",IF($BX107&lt;&gt;Constants!$B$6,$BX107,IF(ISNUMBER($CI107),RANK($CI107,$CI$9:$CI$508,1),COUNT($CI$9:$CI$508)+1)))</f>
        <v/>
      </c>
      <c r="CK107" s="97" t="str">
        <f aca="false">IF($BX107&lt;&gt;Constants!$B$6,"",$AI107)</f>
        <v/>
      </c>
      <c r="CL107" s="93" t="str">
        <f aca="false">IF(ISBLANK($C107),"",IF($BX107&lt;&gt;Constants!$B$6,$BX107,IF(ISNUMBER($CK107),RANK($CK107,$CK$9:$CK$508,1),COUNT($CK$9:$CK$508)+1)))</f>
        <v/>
      </c>
      <c r="CM107" s="93" t="str">
        <f aca="false">IF(ISBLANK($C107),"",IF($BX107&lt;&gt;Constants!$B$6,$BX107,COUNTIFS($CD$9:$CD$508,"&lt;"&amp;$CD107)+COUNTIFS($CD$9:$CD$508,$CD107,$CF$9:$CF$508,"&lt;"&amp;$CF107)+COUNTIFS($CD$9:$CD$508,$CD107,$CF$9:$CF$508,$CF107,$CH$9:$CH$508,"&lt;"&amp;$CH107)+COUNTIFS($CD$9:$CD$508,$CD107,$CF$9:$CF$508,$CF107,$CH$9:$CH$508,$CH107,$CJ$9:$CJ$508,"&lt;"&amp;$CJ107)+COUNTIFS($CD$9:$CD$508,$CD107,$CF$9:$CF$508,$CF107,$CH$9:$CH$508,$CH107,$CJ$9:$CJ$508,$CJ107,$CL$9:$CL$508,"&lt;"&amp;$CL107)+1))</f>
        <v/>
      </c>
      <c r="CN107" s="93" t="str">
        <f aca="false">IF(ISBLANK($C107),"",IF($BX107&lt;&gt;Constants!$B$6,$BX107,$CD107-$CM107))</f>
        <v/>
      </c>
      <c r="CO107" s="100"/>
      <c r="CP107" s="101"/>
      <c r="CQ107" s="102" t="str">
        <f aca="false">IF(ISBLANK($C107),"",IF($BX107=Constants!$B$10,$BW107,""))</f>
        <v/>
      </c>
      <c r="CR107" s="101" t="str">
        <f aca="false">IF(ISBLANK($C107),"",IF($BX107&lt;&gt;Constants!$B$6,"",IF($BL107="-&gt;",2,1)))</f>
        <v/>
      </c>
      <c r="CS107" s="103" t="str">
        <f aca="false">IF(ISBLANK($C107),"",IF($BX107&lt;&gt;Constants!$B$6,"",IF($BL107="-&gt;",$BN107,$BC107)))</f>
        <v/>
      </c>
      <c r="CT107" s="103" t="str">
        <f aca="false">IF(ISBLANK($C107),"",IF($BX107&lt;&gt;Constants!$B$6,"",IF($BL107="-&gt;",$BO107,$BD107)))</f>
        <v/>
      </c>
      <c r="CU107" s="103" t="str">
        <f aca="false">IF(ISBLANK($C107),"",IF($BX107&lt;&gt;Constants!$B$6,"",IF($BL107="-&gt;",$BP107+$BQ107,$BE107+$BF107)+$CB107))</f>
        <v/>
      </c>
      <c r="CV107" s="103" t="str">
        <f aca="false">IF(ISBLANK($C107),"",IF($BX107&lt;&gt;Constants!$B$6,"",IF($BL107="-&gt;",$BR107,$BG107)+$CA107))</f>
        <v/>
      </c>
      <c r="CW107" s="104" t="str">
        <f aca="false">IF(ISBLANK($C107),"",IF($BX107&lt;&gt;Constants!$B$6,$BX107,$CC107))</f>
        <v/>
      </c>
      <c r="CX107" s="105" t="str">
        <f aca="false">IF(ISBLANK($C107),"",$BY107)</f>
        <v/>
      </c>
      <c r="CY107" s="106" t="str">
        <f aca="false">IF(ISBLANK($C107),"",$CN107)</f>
        <v/>
      </c>
      <c r="CZ107" s="106" t="str">
        <f aca="false">IF(ISBLANK($C107),"",$CM107)</f>
        <v/>
      </c>
      <c r="DA107" s="107" t="str">
        <f aca="false">IF(ISBLANK($C107),"",IFERROR(_xlfn.SWITCH($CZ107,Constants!$B$9,COUNTA($C$9:$C$508)+2,Constants!$B$8,COUNTA($C$9:$C$508)+1,Constants!$B$7,COUNTA($C$9:$C$508)),$CZ107))</f>
        <v/>
      </c>
      <c r="DB107" s="9"/>
      <c r="DC107" s="108" t="n">
        <f aca="false">IF(OR(ISNUMBER($CZ107),$CZ107=Constants!$B$9,$CZ107=Constants!$B$7,$CZ107=Constants!$B$8),1,0)</f>
        <v>0</v>
      </c>
      <c r="DD107" s="108" t="n">
        <v>99</v>
      </c>
      <c r="DE107" s="108" t="str">
        <f aca="false">IF(ISBLANK($C107),"",IF(ISNUMBER($DA107),$DA107+ROW($B107)/1000,""))</f>
        <v/>
      </c>
      <c r="DF107" s="108" t="str">
        <f aca="false">IF(ISNUMBER($DE107),RANK($DE107,$DE$9:$DE$508,1),"")</f>
        <v/>
      </c>
      <c r="DG107" s="108" t="str">
        <f aca="false">IF(ISBLANK($C107),"",$B107)</f>
        <v/>
      </c>
      <c r="DH107" s="108" t="str">
        <f aca="false">IF(ISBLANK($C107),"",$C107)</f>
        <v/>
      </c>
      <c r="DI107" s="108" t="str">
        <f aca="false">IF(ISBLANK($C107),"",$D107)</f>
        <v/>
      </c>
      <c r="DJ107" s="109" t="str">
        <f aca="false">$CX107</f>
        <v/>
      </c>
      <c r="DK107" s="110" t="str">
        <f aca="false">$CW107</f>
        <v/>
      </c>
      <c r="DL107" s="108" t="str">
        <f aca="false">IF(ISBLANK($C107),"",$CZ107)</f>
        <v/>
      </c>
      <c r="DM107" s="111" t="str">
        <f aca="false">IF($DD107&gt;$DC$8,"",VLOOKUP($DD107,$DF$9:$DL$508,7,FALSE()))</f>
        <v/>
      </c>
      <c r="DN107" s="112" t="str">
        <f aca="false">IF($DD107&gt;$DC$8,"",VLOOKUP($DD107,$DF$9:$DL$508,2,FALSE()))</f>
        <v/>
      </c>
      <c r="DO107" s="112" t="str">
        <f aca="false">IF($DD107&gt;$DC$8,"",VLOOKUP($DD107,$DF$9:$DL$508,3,FALSE()))</f>
        <v/>
      </c>
      <c r="DP107" s="112" t="str">
        <f aca="false">IF($DD107&gt;$DC$8,"",VLOOKUP($DD107,$DF$9:$DL$508,4,FALSE()))</f>
        <v/>
      </c>
      <c r="DQ107" s="112" t="str">
        <f aca="false">IF($DD107&gt;$DC$8,"",VLOOKUP($DD107,$DF$9:$DL$508,5,FALSE()))</f>
        <v/>
      </c>
      <c r="DR107" s="113" t="str">
        <f aca="false">IF($DD107&gt;$DC$8,"",VLOOKUP($DD107,$DF$9:$DL$508,6,FALSE()))</f>
        <v/>
      </c>
      <c r="DS107" s="76"/>
    </row>
    <row r="108" customFormat="false" ht="15.75" hidden="false" customHeight="false" outlineLevel="0" collapsed="false">
      <c r="A108" s="9"/>
      <c r="B108" s="160"/>
      <c r="C108" s="161"/>
      <c r="D108" s="162"/>
      <c r="E108" s="180"/>
      <c r="F108" s="164"/>
      <c r="G108" s="165"/>
      <c r="H108" s="165"/>
      <c r="I108" s="181"/>
      <c r="J108" s="168"/>
      <c r="K108" s="128"/>
      <c r="L108" s="129"/>
      <c r="M108" s="130"/>
      <c r="N108" s="168"/>
      <c r="O108" s="168"/>
      <c r="P108" s="180"/>
      <c r="Q108" s="168"/>
      <c r="R108" s="168"/>
      <c r="S108" s="128"/>
      <c r="T108" s="130"/>
      <c r="U108" s="130"/>
      <c r="V108" s="168"/>
      <c r="W108" s="168"/>
      <c r="X108" s="180"/>
      <c r="Y108" s="168"/>
      <c r="Z108" s="169"/>
      <c r="AA108" s="168"/>
      <c r="AB108" s="134"/>
      <c r="AC108" s="135"/>
      <c r="AD108" s="135"/>
      <c r="AE108" s="135"/>
      <c r="AF108" s="135" t="str">
        <f aca="false">IF(ISBLANK($C108),"",IF(E108=Constants!$B$2,TRUE(),IF(E108=Constants!$B$3,FALSE(),TRUE())))</f>
        <v/>
      </c>
      <c r="AG108" s="135" t="str">
        <f aca="false">IF(ISBLANK($C108),"",IF(F108=Constants!$B$2,TRUE(),IF(F108=Constants!$B$3,FALSE(),TRUE())))</f>
        <v/>
      </c>
      <c r="AH108" s="135" t="str">
        <f aca="false">IF(ISBLANK($C108),"",IF(G108=Constants!$B$2,TRUE(),IF(G108=Constants!$B$3,FALSE(),TRUE())))</f>
        <v/>
      </c>
      <c r="AI108" s="135" t="str">
        <f aca="false">IF(ISBLANK($C108),"",IF(AND(ISNUMBER(H108),H108&gt;=0),H108,Constants!$B$24))</f>
        <v/>
      </c>
      <c r="AJ108" s="135" t="str">
        <f aca="false">IF(ISBLANK($C108),"",IF(I108=Constants!$B$2,TRUE(),IF(I108=Constants!$B$3,FALSE(),TRUE())))</f>
        <v/>
      </c>
      <c r="AK108" s="135" t="str">
        <f aca="false">IF(ISBLANK($C108),"",IF(J108=Constants!$B$2,TRUE(),IF(J108=Constants!$B$3,FALSE(),TRUE())))</f>
        <v/>
      </c>
      <c r="AL108" s="135" t="str">
        <f aca="false">IF(ISBLANK($C108),"",IF(K108=Constants!$B$4,TRUE(),IF(K108=Constants!$B$5,FALSE(),COUNTA(L108:P108)&gt;0)))</f>
        <v/>
      </c>
      <c r="AM108" s="136" t="str">
        <f aca="false">IF(ISBLANK($C108),"",IF(ISNUMBER(L108),IF(L108&gt;=0,L108,""),""))</f>
        <v/>
      </c>
      <c r="AN108" s="137" t="str">
        <f aca="false">IF(ISBLANK($C108),"",IF(ISNUMBER(M108),IF(M108&gt;=0,M108,""),""))</f>
        <v/>
      </c>
      <c r="AO108" s="137" t="str">
        <f aca="false">IF(ISBLANK($C108),"",IF(N108=Constants!$B$2,TRUE(),IF(N108=Constants!$B$3,FALSE(),TRUE())))</f>
        <v/>
      </c>
      <c r="AP108" s="135" t="str">
        <f aca="false">IF(ISBLANK($C108),"",IF(ISNUMBER(O108),IF(O108&gt;=0,O108,""),""))</f>
        <v/>
      </c>
      <c r="AQ108" s="135" t="str">
        <f aca="false">IF(ISBLANK($C108),"",IF(P108=Constants!$B$2,TRUE(),IF(P108=Constants!$B$3,FALSE(),FALSE())))</f>
        <v/>
      </c>
      <c r="AR108" s="135" t="str">
        <f aca="false">IF(ISBLANK($C108),"",IF(Q108=Constants!$B$2,TRUE(),IF(Q108=Constants!$B$3,FALSE(),TRUE())))</f>
        <v/>
      </c>
      <c r="AS108" s="135" t="str">
        <f aca="false">IF(ISBLANK($C108),"",IF(R108=Constants!$B$2,TRUE(),IF(R108=Constants!$B$3,FALSE(),TRUE())))</f>
        <v/>
      </c>
      <c r="AT108" s="135" t="str">
        <f aca="false">IF(ISBLANK($C108),"",IF(S108=Constants!$B$4,TRUE(),IF(S108=Constants!$B$5,FALSE(),COUNTA(T108:X108)&gt;0)))</f>
        <v/>
      </c>
      <c r="AU108" s="136" t="str">
        <f aca="false">IF(ISBLANK($C108),"",IF(ISNUMBER(T108),IF(T108&gt;=0,T108,""),""))</f>
        <v/>
      </c>
      <c r="AV108" s="137" t="str">
        <f aca="false">IF(ISBLANK($C108),"",IF(ISNUMBER(U108),IF(U108&gt;=0,U108,""),""))</f>
        <v/>
      </c>
      <c r="AW108" s="137" t="str">
        <f aca="false">IF(ISBLANK($C108),"",IF(V108=Constants!$B$2,TRUE(),IF(V108=Constants!$B$3,FALSE(),TRUE())))</f>
        <v/>
      </c>
      <c r="AX108" s="135" t="str">
        <f aca="false">IF(ISBLANK($C108),"",IF(ISNUMBER(W108),IF(W108&gt;=0,W108,""),""))</f>
        <v/>
      </c>
      <c r="AY108" s="135" t="str">
        <f aca="false">IF(ISBLANK($C108),"",IF(X108=Constants!$B$2,TRUE(),IF(X108=Constants!$B$3,FALSE(),FALSE())))</f>
        <v/>
      </c>
      <c r="AZ108" s="135" t="str">
        <f aca="false">IF(ISBLANK($C108),"",MIN(Constants!$B$25,MAX(0,IF(ISNUMBER(Y108),Y108*60,0)+IF(ISNUMBER(Z108),Z108,0))))</f>
        <v/>
      </c>
      <c r="BA108" s="135" t="str">
        <f aca="false">IF(ISBLANK($C108),"",IF(AA108=Constants!$B$2,TRUE(),IF(AA108=Constants!$B$3,FALSE(),FALSE())))</f>
        <v/>
      </c>
      <c r="BB108" s="134" t="str">
        <f aca="false">IF(ISBLANK($C108),"",AND($AL108,OR($AM108="",$AN108="",AND($AO108,$AP108=""))))</f>
        <v/>
      </c>
      <c r="BC108" s="137" t="str">
        <f aca="false">IF($BX108&lt;&gt;Constants!$B$6,"",IF($AL108,Constants!$B$17*$AN108+Constants!$B$18*IF($AO108,$AP108,Constants!$B$19),Constants!$B$20))</f>
        <v/>
      </c>
      <c r="BD108" s="138" t="str">
        <f aca="false">IF($BX108&lt;&gt;Constants!$B$6,"",Constants!$B$21*ABS($AD$9-IF($AL108,$AM108,0)))</f>
        <v/>
      </c>
      <c r="BE108" s="138" t="str">
        <f aca="false">IF($BX108&lt;&gt;Constants!$B$6,"",IF(AND($AL108,$AQ108,$AO108),Constants!$B$22,0))</f>
        <v/>
      </c>
      <c r="BF108" s="138" t="str">
        <f aca="false">IF($BX108&lt;&gt;Constants!$B$6,"",IF($AL108,($AI108-Constants!$B$24)*Constants!$B$23,0))</f>
        <v/>
      </c>
      <c r="BG108" s="138" t="str">
        <f aca="false">IF($BX108&lt;&gt;Constants!$B$6,"",IF($AK108,0,Constants!$B$12)+IF($AJ108,0,Constants!$B$13)+IF($AH108,0,Constants!$B$14))</f>
        <v/>
      </c>
      <c r="BH108" s="139" t="str">
        <f aca="false">IF($BX108&lt;&gt;Constants!$B$6,"",Constants!$B$16+SUM($BC108:$BG108))</f>
        <v/>
      </c>
      <c r="BI108" s="138" t="str">
        <f aca="false">IF($BX108&lt;&gt;Constants!$B$6,"",$BC108)</f>
        <v/>
      </c>
      <c r="BJ108" s="138" t="str">
        <f aca="false">IF($BX108&lt;&gt;Constants!$B$6,"",$BD108)</f>
        <v/>
      </c>
      <c r="BK108" s="140" t="str">
        <f aca="false">IF($BX108&lt;&gt;Constants!$B$6,"",IF($AL108,$AN108,""))</f>
        <v/>
      </c>
      <c r="BL108" s="135" t="str">
        <f aca="false">IF($BX108&lt;&gt;Constants!$B$6,"",IF(OR($BS108&lt;$BH108,AND($BS108=$BH108,OR($BT108&lt;$BI108,AND($BT108=$BI108,OR($BU108&lt;$BJ108,AND($BU108=$BJ108,AND(ISNUMBER($BV108),OR(NOT(ISNUMBER($BK108)),$BV108&lt;$BK108)))))))),"-&gt;","&lt;-"))</f>
        <v/>
      </c>
      <c r="BM108" s="134" t="str">
        <f aca="false">IF(ISBLANK($C108),"",AND($AT108,OR($AU108="",$AV108="",AND($AW108,$AX108=""))))</f>
        <v/>
      </c>
      <c r="BN108" s="137" t="str">
        <f aca="false">IF($BX108&lt;&gt;Constants!$B$6,"",IF($AT108,Constants!$B$17*$AV108+Constants!$B$18*IF($AW108,$AX108,Constants!$B$19),Constants!$B$20))</f>
        <v/>
      </c>
      <c r="BO108" s="138" t="str">
        <f aca="false">IF($BX108&lt;&gt;Constants!$B$6,"",Constants!$B$21*ABS($AD$9-IF($AT108,$AU108,0)))</f>
        <v/>
      </c>
      <c r="BP108" s="138" t="str">
        <f aca="false">IF($BX108&lt;&gt;Constants!$B$6,"",IF(AND($AT108,$AY108,$AW108),Constants!$B$22,0))</f>
        <v/>
      </c>
      <c r="BQ108" s="138" t="str">
        <f aca="false">IF($BX108&lt;&gt;Constants!$B$6,"",IF($AT108,($AI108-Constants!$B$24)*Constants!$B$23,0))</f>
        <v/>
      </c>
      <c r="BR108" s="138" t="str">
        <f aca="false">IF($BX108&lt;&gt;Constants!$B$6,"",IF($AS108,0,Constants!$B$12)+IF($AR108,0,Constants!$B$13)+IF($AH108,0,Constants!$B$14))</f>
        <v/>
      </c>
      <c r="BS108" s="139" t="str">
        <f aca="false">IF($BX108&lt;&gt;Constants!$B$6,"",Constants!$B$16+SUM($BN108:$BR108))</f>
        <v/>
      </c>
      <c r="BT108" s="138" t="str">
        <f aca="false">IF($BX108&lt;&gt;Constants!$B$6,"",$BN108)</f>
        <v/>
      </c>
      <c r="BU108" s="138" t="str">
        <f aca="false">IF($BX108&lt;&gt;Constants!$B$6,"",$BO108)</f>
        <v/>
      </c>
      <c r="BV108" s="140" t="str">
        <f aca="false">IF($BX108&lt;&gt;Constants!$B$6,"",IF($AT108,$AV108,""))</f>
        <v/>
      </c>
      <c r="BW108" s="135" t="str">
        <f aca="false">IF(ISBLANK($C108),"",IF(ISBLANK($D$7),$BW$5,IF(NOT(ISNUMBER($D$7)),$BW$6,"")))</f>
        <v/>
      </c>
      <c r="BX108" s="135" t="str">
        <f aca="false">IF(ISBLANK($C108),"",IF($BA108,Constants!$B$9,IF(COUNTA($E108:$AA108)=0,Constants!$B$8,IF(NOT($AG108),Constants!$B$7,IF(OR($BW108&lt;&gt;"",$BB108,$BM108),Constants!$B$10,Constants!$B$6)))))</f>
        <v/>
      </c>
      <c r="BY108" s="135" t="str">
        <f aca="false">IF(ISBLANK($C108),"",IF($BX108&lt;&gt;Constants!$B$6,$BX108,Constants!$B$11))</f>
        <v/>
      </c>
      <c r="BZ108" s="138" t="str">
        <f aca="false">IF($BX108&lt;&gt;Constants!$B$6,"",IF($BL108="-&gt;",$BS108,$BH108))</f>
        <v/>
      </c>
      <c r="CA108" s="138" t="str">
        <f aca="false">IF($BX108&lt;&gt;Constants!$B$6,"",IF($AF108,0,Constants!$B$15))</f>
        <v/>
      </c>
      <c r="CB108" s="138" t="str">
        <f aca="false">IF($BX108&lt;&gt;Constants!$B$6,"",((Constants!$B$25-$AZ108)-Constants!$B$25)/Constants!$B$26)</f>
        <v/>
      </c>
      <c r="CC108" s="138" t="str">
        <f aca="false">IF(ISBLANK($C108),"",IF($BX108&lt;&gt;Constants!$B$6,$BX108,SUM($BZ108:$CB108)))</f>
        <v/>
      </c>
      <c r="CD108" s="135" t="str">
        <f aca="false">IF(ISBLANK($C108),"",IF($BX108&lt;&gt;Constants!$B$6,$BX108,RANK($CC108,$CC$9:$CC$508,1)))</f>
        <v/>
      </c>
      <c r="CE108" s="138" t="str">
        <f aca="false">IF($BX108&lt;&gt;Constants!$B$6,"",IF($BL108="-&gt;",$BT108,$BI108))</f>
        <v/>
      </c>
      <c r="CF108" s="135" t="str">
        <f aca="false">IF(ISBLANK($C108),"",IF($BX108&lt;&gt;Constants!$B$6,$BX108,IF(ISNUMBER($CE108),RANK($CE108,$CE$9:$CE$508,1),COUNT($CE$9:$CE$508)+1)))</f>
        <v/>
      </c>
      <c r="CG108" s="138" t="str">
        <f aca="false">IF($BX108&lt;&gt;Constants!$B$6,"",IF($BL108="-&gt;",$BU108,$BJ108))</f>
        <v/>
      </c>
      <c r="CH108" s="135" t="str">
        <f aca="false">IF(ISBLANK($C108),"",IF($BX108&lt;&gt;Constants!$B$6,$BX108,IF(ISNUMBER($CG108),RANK($CG108,$CG$9:$CG$508,1),COUNT($CG$9:$CG$508)+1)))</f>
        <v/>
      </c>
      <c r="CI108" s="138" t="str">
        <f aca="false">IF($BX108&lt;&gt;Constants!$B$6,"",IF($BL108="-&gt;",$BV108,$BK108))</f>
        <v/>
      </c>
      <c r="CJ108" s="135" t="str">
        <f aca="false">IF(ISBLANK($C108),"",IF($BX108&lt;&gt;Constants!$B$6,$BX108,IF(ISNUMBER($CI108),RANK($CI108,$CI$9:$CI$508,1),COUNT($CI$9:$CI$508)+1)))</f>
        <v/>
      </c>
      <c r="CK108" s="138" t="str">
        <f aca="false">IF($BX108&lt;&gt;Constants!$B$6,"",$AI108)</f>
        <v/>
      </c>
      <c r="CL108" s="135" t="str">
        <f aca="false">IF(ISBLANK($C108),"",IF($BX108&lt;&gt;Constants!$B$6,$BX108,IF(ISNUMBER($CK108),RANK($CK108,$CK$9:$CK$508,1),COUNT($CK$9:$CK$508)+1)))</f>
        <v/>
      </c>
      <c r="CM108" s="135" t="str">
        <f aca="false">IF(ISBLANK($C108),"",IF($BX108&lt;&gt;Constants!$B$6,$BX108,COUNTIFS($CD$9:$CD$508,"&lt;"&amp;$CD108)+COUNTIFS($CD$9:$CD$508,$CD108,$CF$9:$CF$508,"&lt;"&amp;$CF108)+COUNTIFS($CD$9:$CD$508,$CD108,$CF$9:$CF$508,$CF108,$CH$9:$CH$508,"&lt;"&amp;$CH108)+COUNTIFS($CD$9:$CD$508,$CD108,$CF$9:$CF$508,$CF108,$CH$9:$CH$508,$CH108,$CJ$9:$CJ$508,"&lt;"&amp;$CJ108)+COUNTIFS($CD$9:$CD$508,$CD108,$CF$9:$CF$508,$CF108,$CH$9:$CH$508,$CH108,$CJ$9:$CJ$508,$CJ108,$CL$9:$CL$508,"&lt;"&amp;$CL108)+1))</f>
        <v/>
      </c>
      <c r="CN108" s="135" t="str">
        <f aca="false">IF(ISBLANK($C108),"",IF($BX108&lt;&gt;Constants!$B$6,$BX108,$CD108-$CM108))</f>
        <v/>
      </c>
      <c r="CO108" s="141"/>
      <c r="CP108" s="142"/>
      <c r="CQ108" s="143" t="str">
        <f aca="false">IF(ISBLANK($C108),"",IF($BX108=Constants!$B$10,$BW108,""))</f>
        <v/>
      </c>
      <c r="CR108" s="142" t="str">
        <f aca="false">IF(ISBLANK($C108),"",IF($BX108&lt;&gt;Constants!$B$6,"",IF($BL108="-&gt;",2,1)))</f>
        <v/>
      </c>
      <c r="CS108" s="144" t="str">
        <f aca="false">IF(ISBLANK($C108),"",IF($BX108&lt;&gt;Constants!$B$6,"",IF($BL108="-&gt;",$BN108,$BC108)))</f>
        <v/>
      </c>
      <c r="CT108" s="144" t="str">
        <f aca="false">IF(ISBLANK($C108),"",IF($BX108&lt;&gt;Constants!$B$6,"",IF($BL108="-&gt;",$BO108,$BD108)))</f>
        <v/>
      </c>
      <c r="CU108" s="144" t="str">
        <f aca="false">IF(ISBLANK($C108),"",IF($BX108&lt;&gt;Constants!$B$6,"",IF($BL108="-&gt;",$BP108+$BQ108,$BE108+$BF108)+$CB108))</f>
        <v/>
      </c>
      <c r="CV108" s="144" t="str">
        <f aca="false">IF(ISBLANK($C108),"",IF($BX108&lt;&gt;Constants!$B$6,"",IF($BL108="-&gt;",$BR108,$BG108)+$CA108))</f>
        <v/>
      </c>
      <c r="CW108" s="145" t="str">
        <f aca="false">IF(ISBLANK($C108),"",IF($BX108&lt;&gt;Constants!$B$6,$BX108,$CC108))</f>
        <v/>
      </c>
      <c r="CX108" s="146" t="str">
        <f aca="false">IF(ISBLANK($C108),"",$BY108)</f>
        <v/>
      </c>
      <c r="CY108" s="147" t="str">
        <f aca="false">IF(ISBLANK($C108),"",$CN108)</f>
        <v/>
      </c>
      <c r="CZ108" s="147" t="str">
        <f aca="false">IF(ISBLANK($C108),"",$CM108)</f>
        <v/>
      </c>
      <c r="DA108" s="148" t="str">
        <f aca="false">IF(ISBLANK($C108),"",IFERROR(_xlfn.SWITCH($CZ108,Constants!$B$9,COUNTA($C$9:$C$508)+2,Constants!$B$8,COUNTA($C$9:$C$508)+1,Constants!$B$7,COUNTA($C$9:$C$508)),$CZ108))</f>
        <v/>
      </c>
      <c r="DB108" s="9"/>
      <c r="DC108" s="149" t="n">
        <f aca="false">IF(OR(ISNUMBER($CZ108),$CZ108=Constants!$B$9,$CZ108=Constants!$B$7,$CZ108=Constants!$B$8),1,0)</f>
        <v>0</v>
      </c>
      <c r="DD108" s="149" t="n">
        <v>100</v>
      </c>
      <c r="DE108" s="149" t="str">
        <f aca="false">IF(ISBLANK($C108),"",IF(ISNUMBER($DA108),$DA108+ROW($B108)/1000,""))</f>
        <v/>
      </c>
      <c r="DF108" s="149" t="str">
        <f aca="false">IF(ISNUMBER($DE108),RANK($DE108,$DE$9:$DE$508,1),"")</f>
        <v/>
      </c>
      <c r="DG108" s="149" t="str">
        <f aca="false">IF(ISBLANK($C108),"",$B108)</f>
        <v/>
      </c>
      <c r="DH108" s="149" t="str">
        <f aca="false">IF(ISBLANK($C108),"",$C108)</f>
        <v/>
      </c>
      <c r="DI108" s="149" t="str">
        <f aca="false">IF(ISBLANK($C108),"",$D108)</f>
        <v/>
      </c>
      <c r="DJ108" s="150" t="str">
        <f aca="false">$CX108</f>
        <v/>
      </c>
      <c r="DK108" s="151" t="str">
        <f aca="false">$CW108</f>
        <v/>
      </c>
      <c r="DL108" s="149" t="str">
        <f aca="false">IF(ISBLANK($C108),"",$CZ108)</f>
        <v/>
      </c>
      <c r="DM108" s="152" t="str">
        <f aca="false">IF($DD108&gt;$DC$8,"",VLOOKUP($DD108,$DF$9:$DL$508,7,FALSE()))</f>
        <v/>
      </c>
      <c r="DN108" s="153" t="str">
        <f aca="false">IF($DD108&gt;$DC$8,"",VLOOKUP($DD108,$DF$9:$DL$508,2,FALSE()))</f>
        <v/>
      </c>
      <c r="DO108" s="153" t="str">
        <f aca="false">IF($DD108&gt;$DC$8,"",VLOOKUP($DD108,$DF$9:$DL$508,3,FALSE()))</f>
        <v/>
      </c>
      <c r="DP108" s="153" t="str">
        <f aca="false">IF($DD108&gt;$DC$8,"",VLOOKUP($DD108,$DF$9:$DL$508,4,FALSE()))</f>
        <v/>
      </c>
      <c r="DQ108" s="153" t="str">
        <f aca="false">IF($DD108&gt;$DC$8,"",VLOOKUP($DD108,$DF$9:$DL$508,5,FALSE()))</f>
        <v/>
      </c>
      <c r="DR108" s="154" t="str">
        <f aca="false">IF($DD108&gt;$DC$8,"",VLOOKUP($DD108,$DF$9:$DL$508,6,FALSE()))</f>
        <v/>
      </c>
      <c r="DS108" s="76"/>
    </row>
    <row r="109" customFormat="false" ht="15.75" hidden="false" customHeight="false" outlineLevel="0" collapsed="false">
      <c r="A109" s="9"/>
      <c r="B109" s="160"/>
      <c r="C109" s="161"/>
      <c r="D109" s="162"/>
      <c r="E109" s="180"/>
      <c r="F109" s="164"/>
      <c r="G109" s="165"/>
      <c r="H109" s="165"/>
      <c r="I109" s="181"/>
      <c r="J109" s="168"/>
      <c r="K109" s="128"/>
      <c r="L109" s="129"/>
      <c r="M109" s="130"/>
      <c r="N109" s="168"/>
      <c r="O109" s="168"/>
      <c r="P109" s="180"/>
      <c r="Q109" s="168"/>
      <c r="R109" s="168"/>
      <c r="S109" s="128"/>
      <c r="T109" s="130"/>
      <c r="U109" s="130"/>
      <c r="V109" s="168"/>
      <c r="W109" s="168"/>
      <c r="X109" s="180"/>
      <c r="Y109" s="168"/>
      <c r="Z109" s="169"/>
      <c r="AA109" s="168"/>
      <c r="AB109" s="134"/>
      <c r="AC109" s="135"/>
      <c r="AD109" s="135"/>
      <c r="AE109" s="135"/>
      <c r="AF109" s="135" t="str">
        <f aca="false">IF(ISBLANK($C109),"",IF(E109=Constants!$B$2,TRUE(),IF(E109=Constants!$B$3,FALSE(),TRUE())))</f>
        <v/>
      </c>
      <c r="AG109" s="135" t="str">
        <f aca="false">IF(ISBLANK($C109),"",IF(F109=Constants!$B$2,TRUE(),IF(F109=Constants!$B$3,FALSE(),TRUE())))</f>
        <v/>
      </c>
      <c r="AH109" s="135" t="str">
        <f aca="false">IF(ISBLANK($C109),"",IF(G109=Constants!$B$2,TRUE(),IF(G109=Constants!$B$3,FALSE(),TRUE())))</f>
        <v/>
      </c>
      <c r="AI109" s="135" t="str">
        <f aca="false">IF(ISBLANK($C109),"",IF(AND(ISNUMBER(H109),H109&gt;=0),H109,Constants!$B$24))</f>
        <v/>
      </c>
      <c r="AJ109" s="135" t="str">
        <f aca="false">IF(ISBLANK($C109),"",IF(I109=Constants!$B$2,TRUE(),IF(I109=Constants!$B$3,FALSE(),TRUE())))</f>
        <v/>
      </c>
      <c r="AK109" s="135" t="str">
        <f aca="false">IF(ISBLANK($C109),"",IF(J109=Constants!$B$2,TRUE(),IF(J109=Constants!$B$3,FALSE(),TRUE())))</f>
        <v/>
      </c>
      <c r="AL109" s="135" t="str">
        <f aca="false">IF(ISBLANK($C109),"",IF(K109=Constants!$B$4,TRUE(),IF(K109=Constants!$B$5,FALSE(),COUNTA(L109:P109)&gt;0)))</f>
        <v/>
      </c>
      <c r="AM109" s="136" t="str">
        <f aca="false">IF(ISBLANK($C109),"",IF(ISNUMBER(L109),IF(L109&gt;=0,L109,""),""))</f>
        <v/>
      </c>
      <c r="AN109" s="137" t="str">
        <f aca="false">IF(ISBLANK($C109),"",IF(ISNUMBER(M109),IF(M109&gt;=0,M109,""),""))</f>
        <v/>
      </c>
      <c r="AO109" s="137" t="str">
        <f aca="false">IF(ISBLANK($C109),"",IF(N109=Constants!$B$2,TRUE(),IF(N109=Constants!$B$3,FALSE(),TRUE())))</f>
        <v/>
      </c>
      <c r="AP109" s="135" t="str">
        <f aca="false">IF(ISBLANK($C109),"",IF(ISNUMBER(O109),IF(O109&gt;=0,O109,""),""))</f>
        <v/>
      </c>
      <c r="AQ109" s="135" t="str">
        <f aca="false">IF(ISBLANK($C109),"",IF(P109=Constants!$B$2,TRUE(),IF(P109=Constants!$B$3,FALSE(),FALSE())))</f>
        <v/>
      </c>
      <c r="AR109" s="135" t="str">
        <f aca="false">IF(ISBLANK($C109),"",IF(Q109=Constants!$B$2,TRUE(),IF(Q109=Constants!$B$3,FALSE(),TRUE())))</f>
        <v/>
      </c>
      <c r="AS109" s="135" t="str">
        <f aca="false">IF(ISBLANK($C109),"",IF(R109=Constants!$B$2,TRUE(),IF(R109=Constants!$B$3,FALSE(),TRUE())))</f>
        <v/>
      </c>
      <c r="AT109" s="135" t="str">
        <f aca="false">IF(ISBLANK($C109),"",IF(S109=Constants!$B$4,TRUE(),IF(S109=Constants!$B$5,FALSE(),COUNTA(T109:X109)&gt;0)))</f>
        <v/>
      </c>
      <c r="AU109" s="136" t="str">
        <f aca="false">IF(ISBLANK($C109),"",IF(ISNUMBER(T109),IF(T109&gt;=0,T109,""),""))</f>
        <v/>
      </c>
      <c r="AV109" s="137" t="str">
        <f aca="false">IF(ISBLANK($C109),"",IF(ISNUMBER(U109),IF(U109&gt;=0,U109,""),""))</f>
        <v/>
      </c>
      <c r="AW109" s="137" t="str">
        <f aca="false">IF(ISBLANK($C109),"",IF(V109=Constants!$B$2,TRUE(),IF(V109=Constants!$B$3,FALSE(),TRUE())))</f>
        <v/>
      </c>
      <c r="AX109" s="135" t="str">
        <f aca="false">IF(ISBLANK($C109),"",IF(ISNUMBER(W109),IF(W109&gt;=0,W109,""),""))</f>
        <v/>
      </c>
      <c r="AY109" s="135" t="str">
        <f aca="false">IF(ISBLANK($C109),"",IF(X109=Constants!$B$2,TRUE(),IF(X109=Constants!$B$3,FALSE(),FALSE())))</f>
        <v/>
      </c>
      <c r="AZ109" s="135" t="str">
        <f aca="false">IF(ISBLANK($C109),"",MIN(Constants!$B$25,MAX(0,IF(ISNUMBER(Y109),Y109*60,0)+IF(ISNUMBER(Z109),Z109,0))))</f>
        <v/>
      </c>
      <c r="BA109" s="135" t="str">
        <f aca="false">IF(ISBLANK($C109),"",IF(AA109=Constants!$B$2,TRUE(),IF(AA109=Constants!$B$3,FALSE(),FALSE())))</f>
        <v/>
      </c>
      <c r="BB109" s="134" t="str">
        <f aca="false">IF(ISBLANK($C109),"",AND($AL109,OR($AM109="",$AN109="",AND($AO109,$AP109=""))))</f>
        <v/>
      </c>
      <c r="BC109" s="137" t="str">
        <f aca="false">IF($BX109&lt;&gt;Constants!$B$6,"",IF($AL109,Constants!$B$17*$AN109+Constants!$B$18*IF($AO109,$AP109,Constants!$B$19),Constants!$B$20))</f>
        <v/>
      </c>
      <c r="BD109" s="138" t="str">
        <f aca="false">IF($BX109&lt;&gt;Constants!$B$6,"",Constants!$B$21*ABS($AD$9-IF($AL109,$AM109,0)))</f>
        <v/>
      </c>
      <c r="BE109" s="138" t="str">
        <f aca="false">IF($BX109&lt;&gt;Constants!$B$6,"",IF(AND($AL109,$AQ109,$AO109),Constants!$B$22,0))</f>
        <v/>
      </c>
      <c r="BF109" s="138" t="str">
        <f aca="false">IF($BX109&lt;&gt;Constants!$B$6,"",IF($AL109,($AI109-Constants!$B$24)*Constants!$B$23,0))</f>
        <v/>
      </c>
      <c r="BG109" s="138" t="str">
        <f aca="false">IF($BX109&lt;&gt;Constants!$B$6,"",IF($AK109,0,Constants!$B$12)+IF($AJ109,0,Constants!$B$13)+IF($AH109,0,Constants!$B$14))</f>
        <v/>
      </c>
      <c r="BH109" s="139" t="str">
        <f aca="false">IF($BX109&lt;&gt;Constants!$B$6,"",Constants!$B$16+SUM($BC109:$BG109))</f>
        <v/>
      </c>
      <c r="BI109" s="138" t="str">
        <f aca="false">IF($BX109&lt;&gt;Constants!$B$6,"",$BC109)</f>
        <v/>
      </c>
      <c r="BJ109" s="138" t="str">
        <f aca="false">IF($BX109&lt;&gt;Constants!$B$6,"",$BD109)</f>
        <v/>
      </c>
      <c r="BK109" s="140" t="str">
        <f aca="false">IF($BX109&lt;&gt;Constants!$B$6,"",IF($AL109,$AN109,""))</f>
        <v/>
      </c>
      <c r="BL109" s="135" t="str">
        <f aca="false">IF($BX109&lt;&gt;Constants!$B$6,"",IF(OR($BS109&lt;$BH109,AND($BS109=$BH109,OR($BT109&lt;$BI109,AND($BT109=$BI109,OR($BU109&lt;$BJ109,AND($BU109=$BJ109,AND(ISNUMBER($BV109),OR(NOT(ISNUMBER($BK109)),$BV109&lt;$BK109)))))))),"-&gt;","&lt;-"))</f>
        <v/>
      </c>
      <c r="BM109" s="134" t="str">
        <f aca="false">IF(ISBLANK($C109),"",AND($AT109,OR($AU109="",$AV109="",AND($AW109,$AX109=""))))</f>
        <v/>
      </c>
      <c r="BN109" s="137" t="str">
        <f aca="false">IF($BX109&lt;&gt;Constants!$B$6,"",IF($AT109,Constants!$B$17*$AV109+Constants!$B$18*IF($AW109,$AX109,Constants!$B$19),Constants!$B$20))</f>
        <v/>
      </c>
      <c r="BO109" s="138" t="str">
        <f aca="false">IF($BX109&lt;&gt;Constants!$B$6,"",Constants!$B$21*ABS($AD$9-IF($AT109,$AU109,0)))</f>
        <v/>
      </c>
      <c r="BP109" s="138" t="str">
        <f aca="false">IF($BX109&lt;&gt;Constants!$B$6,"",IF(AND($AT109,$AY109,$AW109),Constants!$B$22,0))</f>
        <v/>
      </c>
      <c r="BQ109" s="138" t="str">
        <f aca="false">IF($BX109&lt;&gt;Constants!$B$6,"",IF($AT109,($AI109-Constants!$B$24)*Constants!$B$23,0))</f>
        <v/>
      </c>
      <c r="BR109" s="138" t="str">
        <f aca="false">IF($BX109&lt;&gt;Constants!$B$6,"",IF($AS109,0,Constants!$B$12)+IF($AR109,0,Constants!$B$13)+IF($AH109,0,Constants!$B$14))</f>
        <v/>
      </c>
      <c r="BS109" s="139" t="str">
        <f aca="false">IF($BX109&lt;&gt;Constants!$B$6,"",Constants!$B$16+SUM($BN109:$BR109))</f>
        <v/>
      </c>
      <c r="BT109" s="138" t="str">
        <f aca="false">IF($BX109&lt;&gt;Constants!$B$6,"",$BN109)</f>
        <v/>
      </c>
      <c r="BU109" s="138" t="str">
        <f aca="false">IF($BX109&lt;&gt;Constants!$B$6,"",$BO109)</f>
        <v/>
      </c>
      <c r="BV109" s="140" t="str">
        <f aca="false">IF($BX109&lt;&gt;Constants!$B$6,"",IF($AT109,$AV109,""))</f>
        <v/>
      </c>
      <c r="BW109" s="135" t="str">
        <f aca="false">IF(ISBLANK($C109),"",IF(ISBLANK($D$7),$BW$5,IF(NOT(ISNUMBER($D$7)),$BW$6,"")))</f>
        <v/>
      </c>
      <c r="BX109" s="135" t="str">
        <f aca="false">IF(ISBLANK($C109),"",IF($BA109,Constants!$B$9,IF(COUNTA($E109:$AA109)=0,Constants!$B$8,IF(NOT($AG109),Constants!$B$7,IF(OR($BW109&lt;&gt;"",$BB109,$BM109),Constants!$B$10,Constants!$B$6)))))</f>
        <v/>
      </c>
      <c r="BY109" s="135" t="str">
        <f aca="false">IF(ISBLANK($C109),"",IF($BX109&lt;&gt;Constants!$B$6,$BX109,Constants!$B$11))</f>
        <v/>
      </c>
      <c r="BZ109" s="138" t="str">
        <f aca="false">IF($BX109&lt;&gt;Constants!$B$6,"",IF($BL109="-&gt;",$BS109,$BH109))</f>
        <v/>
      </c>
      <c r="CA109" s="138" t="str">
        <f aca="false">IF($BX109&lt;&gt;Constants!$B$6,"",IF($AF109,0,Constants!$B$15))</f>
        <v/>
      </c>
      <c r="CB109" s="138" t="str">
        <f aca="false">IF($BX109&lt;&gt;Constants!$B$6,"",((Constants!$B$25-$AZ109)-Constants!$B$25)/Constants!$B$26)</f>
        <v/>
      </c>
      <c r="CC109" s="138" t="str">
        <f aca="false">IF(ISBLANK($C109),"",IF($BX109&lt;&gt;Constants!$B$6,$BX109,SUM($BZ109:$CB109)))</f>
        <v/>
      </c>
      <c r="CD109" s="135" t="str">
        <f aca="false">IF(ISBLANK($C109),"",IF($BX109&lt;&gt;Constants!$B$6,$BX109,RANK($CC109,$CC$9:$CC$508,1)))</f>
        <v/>
      </c>
      <c r="CE109" s="138" t="str">
        <f aca="false">IF($BX109&lt;&gt;Constants!$B$6,"",IF($BL109="-&gt;",$BT109,$BI109))</f>
        <v/>
      </c>
      <c r="CF109" s="135" t="str">
        <f aca="false">IF(ISBLANK($C109),"",IF($BX109&lt;&gt;Constants!$B$6,$BX109,IF(ISNUMBER($CE109),RANK($CE109,$CE$9:$CE$508,1),COUNT($CE$9:$CE$508)+1)))</f>
        <v/>
      </c>
      <c r="CG109" s="138" t="str">
        <f aca="false">IF($BX109&lt;&gt;Constants!$B$6,"",IF($BL109="-&gt;",$BU109,$BJ109))</f>
        <v/>
      </c>
      <c r="CH109" s="135" t="str">
        <f aca="false">IF(ISBLANK($C109),"",IF($BX109&lt;&gt;Constants!$B$6,$BX109,IF(ISNUMBER($CG109),RANK($CG109,$CG$9:$CG$508,1),COUNT($CG$9:$CG$508)+1)))</f>
        <v/>
      </c>
      <c r="CI109" s="138" t="str">
        <f aca="false">IF($BX109&lt;&gt;Constants!$B$6,"",IF($BL109="-&gt;",$BV109,$BK109))</f>
        <v/>
      </c>
      <c r="CJ109" s="135" t="str">
        <f aca="false">IF(ISBLANK($C109),"",IF($BX109&lt;&gt;Constants!$B$6,$BX109,IF(ISNUMBER($CI109),RANK($CI109,$CI$9:$CI$508,1),COUNT($CI$9:$CI$508)+1)))</f>
        <v/>
      </c>
      <c r="CK109" s="138" t="str">
        <f aca="false">IF($BX109&lt;&gt;Constants!$B$6,"",$AI109)</f>
        <v/>
      </c>
      <c r="CL109" s="135" t="str">
        <f aca="false">IF(ISBLANK($C109),"",IF($BX109&lt;&gt;Constants!$B$6,$BX109,IF(ISNUMBER($CK109),RANK($CK109,$CK$9:$CK$508,1),COUNT($CK$9:$CK$508)+1)))</f>
        <v/>
      </c>
      <c r="CM109" s="135" t="str">
        <f aca="false">IF(ISBLANK($C109),"",IF($BX109&lt;&gt;Constants!$B$6,$BX109,COUNTIFS($CD$9:$CD$508,"&lt;"&amp;$CD109)+COUNTIFS($CD$9:$CD$508,$CD109,$CF$9:$CF$508,"&lt;"&amp;$CF109)+COUNTIFS($CD$9:$CD$508,$CD109,$CF$9:$CF$508,$CF109,$CH$9:$CH$508,"&lt;"&amp;$CH109)+COUNTIFS($CD$9:$CD$508,$CD109,$CF$9:$CF$508,$CF109,$CH$9:$CH$508,$CH109,$CJ$9:$CJ$508,"&lt;"&amp;$CJ109)+COUNTIFS($CD$9:$CD$508,$CD109,$CF$9:$CF$508,$CF109,$CH$9:$CH$508,$CH109,$CJ$9:$CJ$508,$CJ109,$CL$9:$CL$508,"&lt;"&amp;$CL109)+1))</f>
        <v/>
      </c>
      <c r="CN109" s="135" t="str">
        <f aca="false">IF(ISBLANK($C109),"",IF($BX109&lt;&gt;Constants!$B$6,$BX109,$CD109-$CM109))</f>
        <v/>
      </c>
      <c r="CO109" s="141"/>
      <c r="CP109" s="142"/>
      <c r="CQ109" s="143" t="str">
        <f aca="false">IF(ISBLANK($C109),"",IF($BX109=Constants!$B$10,$BW109,""))</f>
        <v/>
      </c>
      <c r="CR109" s="142" t="str">
        <f aca="false">IF(ISBLANK($C109),"",IF($BX109&lt;&gt;Constants!$B$6,"",IF($BL109="-&gt;",2,1)))</f>
        <v/>
      </c>
      <c r="CS109" s="144" t="str">
        <f aca="false">IF(ISBLANK($C109),"",IF($BX109&lt;&gt;Constants!$B$6,"",IF($BL109="-&gt;",$BN109,$BC109)))</f>
        <v/>
      </c>
      <c r="CT109" s="144" t="str">
        <f aca="false">IF(ISBLANK($C109),"",IF($BX109&lt;&gt;Constants!$B$6,"",IF($BL109="-&gt;",$BO109,$BD109)))</f>
        <v/>
      </c>
      <c r="CU109" s="144" t="str">
        <f aca="false">IF(ISBLANK($C109),"",IF($BX109&lt;&gt;Constants!$B$6,"",IF($BL109="-&gt;",$BP109+$BQ109,$BE109+$BF109)+$CB109))</f>
        <v/>
      </c>
      <c r="CV109" s="144" t="str">
        <f aca="false">IF(ISBLANK($C109),"",IF($BX109&lt;&gt;Constants!$B$6,"",IF($BL109="-&gt;",$BR109,$BG109)+$CA109))</f>
        <v/>
      </c>
      <c r="CW109" s="145" t="str">
        <f aca="false">IF(ISBLANK($C109),"",IF($BX109&lt;&gt;Constants!$B$6,$BX109,$CC109))</f>
        <v/>
      </c>
      <c r="CX109" s="146" t="str">
        <f aca="false">IF(ISBLANK($C109),"",$BY109)</f>
        <v/>
      </c>
      <c r="CY109" s="147" t="str">
        <f aca="false">IF(ISBLANK($C109),"",$CN109)</f>
        <v/>
      </c>
      <c r="CZ109" s="147" t="str">
        <f aca="false">IF(ISBLANK($C109),"",$CM109)</f>
        <v/>
      </c>
      <c r="DA109" s="148" t="str">
        <f aca="false">IF(ISBLANK($C109),"",IFERROR(_xlfn.SWITCH($CZ109,Constants!$B$9,COUNTA($C$9:$C$508)+2,Constants!$B$8,COUNTA($C$9:$C$508)+1,Constants!$B$7,COUNTA($C$9:$C$508)),$CZ109))</f>
        <v/>
      </c>
      <c r="DB109" s="9"/>
      <c r="DC109" s="149" t="n">
        <f aca="false">IF(OR(ISNUMBER($CZ109),$CZ109=Constants!$B$9,$CZ109=Constants!$B$7,$CZ109=Constants!$B$8),1,0)</f>
        <v>0</v>
      </c>
      <c r="DD109" s="149" t="n">
        <v>101</v>
      </c>
      <c r="DE109" s="149" t="str">
        <f aca="false">IF(ISBLANK($C109),"",IF(ISNUMBER($DA109),$DA109+ROW($B109)/1000,""))</f>
        <v/>
      </c>
      <c r="DF109" s="149" t="str">
        <f aca="false">IF(ISNUMBER($DE109),RANK($DE109,$DE$9:$DE$508,1),"")</f>
        <v/>
      </c>
      <c r="DG109" s="149" t="str">
        <f aca="false">IF(ISBLANK($C109),"",$B109)</f>
        <v/>
      </c>
      <c r="DH109" s="149" t="str">
        <f aca="false">IF(ISBLANK($C109),"",$C109)</f>
        <v/>
      </c>
      <c r="DI109" s="149" t="str">
        <f aca="false">IF(ISBLANK($C109),"",$D109)</f>
        <v/>
      </c>
      <c r="DJ109" s="150" t="str">
        <f aca="false">$CX109</f>
        <v/>
      </c>
      <c r="DK109" s="151" t="str">
        <f aca="false">$CW109</f>
        <v/>
      </c>
      <c r="DL109" s="149" t="str">
        <f aca="false">IF(ISBLANK($C109),"",$CZ109)</f>
        <v/>
      </c>
      <c r="DM109" s="152" t="str">
        <f aca="false">IF($DD109&gt;$DC$8,"",VLOOKUP($DD109,$DF$9:$DL$508,7,FALSE()))</f>
        <v/>
      </c>
      <c r="DN109" s="153" t="str">
        <f aca="false">IF($DD109&gt;$DC$8,"",VLOOKUP($DD109,$DF$9:$DL$508,2,FALSE()))</f>
        <v/>
      </c>
      <c r="DO109" s="153" t="str">
        <f aca="false">IF($DD109&gt;$DC$8,"",VLOOKUP($DD109,$DF$9:$DL$508,3,FALSE()))</f>
        <v/>
      </c>
      <c r="DP109" s="153" t="str">
        <f aca="false">IF($DD109&gt;$DC$8,"",VLOOKUP($DD109,$DF$9:$DL$508,4,FALSE()))</f>
        <v/>
      </c>
      <c r="DQ109" s="153" t="str">
        <f aca="false">IF($DD109&gt;$DC$8,"",VLOOKUP($DD109,$DF$9:$DL$508,5,FALSE()))</f>
        <v/>
      </c>
      <c r="DR109" s="154" t="str">
        <f aca="false">IF($DD109&gt;$DC$8,"",VLOOKUP($DD109,$DF$9:$DL$508,6,FALSE()))</f>
        <v/>
      </c>
      <c r="DS109" s="76"/>
    </row>
    <row r="110" customFormat="false" ht="15.75" hidden="false" customHeight="false" outlineLevel="0" collapsed="false">
      <c r="A110" s="9"/>
      <c r="B110" s="160"/>
      <c r="C110" s="161"/>
      <c r="D110" s="162"/>
      <c r="E110" s="180"/>
      <c r="F110" s="164"/>
      <c r="G110" s="165"/>
      <c r="H110" s="165"/>
      <c r="I110" s="181"/>
      <c r="J110" s="168"/>
      <c r="K110" s="128"/>
      <c r="L110" s="129"/>
      <c r="M110" s="130"/>
      <c r="N110" s="168"/>
      <c r="O110" s="168"/>
      <c r="P110" s="180"/>
      <c r="Q110" s="168"/>
      <c r="R110" s="168"/>
      <c r="S110" s="128"/>
      <c r="T110" s="130"/>
      <c r="U110" s="130"/>
      <c r="V110" s="168"/>
      <c r="W110" s="168"/>
      <c r="X110" s="180"/>
      <c r="Y110" s="168"/>
      <c r="Z110" s="169"/>
      <c r="AA110" s="168"/>
      <c r="AB110" s="134"/>
      <c r="AC110" s="135"/>
      <c r="AD110" s="135"/>
      <c r="AE110" s="135"/>
      <c r="AF110" s="135" t="str">
        <f aca="false">IF(ISBLANK($C110),"",IF(E110=Constants!$B$2,TRUE(),IF(E110=Constants!$B$3,FALSE(),TRUE())))</f>
        <v/>
      </c>
      <c r="AG110" s="135" t="str">
        <f aca="false">IF(ISBLANK($C110),"",IF(F110=Constants!$B$2,TRUE(),IF(F110=Constants!$B$3,FALSE(),TRUE())))</f>
        <v/>
      </c>
      <c r="AH110" s="135" t="str">
        <f aca="false">IF(ISBLANK($C110),"",IF(G110=Constants!$B$2,TRUE(),IF(G110=Constants!$B$3,FALSE(),TRUE())))</f>
        <v/>
      </c>
      <c r="AI110" s="135" t="str">
        <f aca="false">IF(ISBLANK($C110),"",IF(AND(ISNUMBER(H110),H110&gt;=0),H110,Constants!$B$24))</f>
        <v/>
      </c>
      <c r="AJ110" s="135" t="str">
        <f aca="false">IF(ISBLANK($C110),"",IF(I110=Constants!$B$2,TRUE(),IF(I110=Constants!$B$3,FALSE(),TRUE())))</f>
        <v/>
      </c>
      <c r="AK110" s="135" t="str">
        <f aca="false">IF(ISBLANK($C110),"",IF(J110=Constants!$B$2,TRUE(),IF(J110=Constants!$B$3,FALSE(),TRUE())))</f>
        <v/>
      </c>
      <c r="AL110" s="135" t="str">
        <f aca="false">IF(ISBLANK($C110),"",IF(K110=Constants!$B$4,TRUE(),IF(K110=Constants!$B$5,FALSE(),COUNTA(L110:P110)&gt;0)))</f>
        <v/>
      </c>
      <c r="AM110" s="136" t="str">
        <f aca="false">IF(ISBLANK($C110),"",IF(ISNUMBER(L110),IF(L110&gt;=0,L110,""),""))</f>
        <v/>
      </c>
      <c r="AN110" s="137" t="str">
        <f aca="false">IF(ISBLANK($C110),"",IF(ISNUMBER(M110),IF(M110&gt;=0,M110,""),""))</f>
        <v/>
      </c>
      <c r="AO110" s="137" t="str">
        <f aca="false">IF(ISBLANK($C110),"",IF(N110=Constants!$B$2,TRUE(),IF(N110=Constants!$B$3,FALSE(),TRUE())))</f>
        <v/>
      </c>
      <c r="AP110" s="135" t="str">
        <f aca="false">IF(ISBLANK($C110),"",IF(ISNUMBER(O110),IF(O110&gt;=0,O110,""),""))</f>
        <v/>
      </c>
      <c r="AQ110" s="135" t="str">
        <f aca="false">IF(ISBLANK($C110),"",IF(P110=Constants!$B$2,TRUE(),IF(P110=Constants!$B$3,FALSE(),FALSE())))</f>
        <v/>
      </c>
      <c r="AR110" s="135" t="str">
        <f aca="false">IF(ISBLANK($C110),"",IF(Q110=Constants!$B$2,TRUE(),IF(Q110=Constants!$B$3,FALSE(),TRUE())))</f>
        <v/>
      </c>
      <c r="AS110" s="135" t="str">
        <f aca="false">IF(ISBLANK($C110),"",IF(R110=Constants!$B$2,TRUE(),IF(R110=Constants!$B$3,FALSE(),TRUE())))</f>
        <v/>
      </c>
      <c r="AT110" s="135" t="str">
        <f aca="false">IF(ISBLANK($C110),"",IF(S110=Constants!$B$4,TRUE(),IF(S110=Constants!$B$5,FALSE(),COUNTA(T110:X110)&gt;0)))</f>
        <v/>
      </c>
      <c r="AU110" s="136" t="str">
        <f aca="false">IF(ISBLANK($C110),"",IF(ISNUMBER(T110),IF(T110&gt;=0,T110,""),""))</f>
        <v/>
      </c>
      <c r="AV110" s="137" t="str">
        <f aca="false">IF(ISBLANK($C110),"",IF(ISNUMBER(U110),IF(U110&gt;=0,U110,""),""))</f>
        <v/>
      </c>
      <c r="AW110" s="137" t="str">
        <f aca="false">IF(ISBLANK($C110),"",IF(V110=Constants!$B$2,TRUE(),IF(V110=Constants!$B$3,FALSE(),TRUE())))</f>
        <v/>
      </c>
      <c r="AX110" s="135" t="str">
        <f aca="false">IF(ISBLANK($C110),"",IF(ISNUMBER(W110),IF(W110&gt;=0,W110,""),""))</f>
        <v/>
      </c>
      <c r="AY110" s="135" t="str">
        <f aca="false">IF(ISBLANK($C110),"",IF(X110=Constants!$B$2,TRUE(),IF(X110=Constants!$B$3,FALSE(),FALSE())))</f>
        <v/>
      </c>
      <c r="AZ110" s="135" t="str">
        <f aca="false">IF(ISBLANK($C110),"",MIN(Constants!$B$25,MAX(0,IF(ISNUMBER(Y110),Y110*60,0)+IF(ISNUMBER(Z110),Z110,0))))</f>
        <v/>
      </c>
      <c r="BA110" s="135" t="str">
        <f aca="false">IF(ISBLANK($C110),"",IF(AA110=Constants!$B$2,TRUE(),IF(AA110=Constants!$B$3,FALSE(),FALSE())))</f>
        <v/>
      </c>
      <c r="BB110" s="134" t="str">
        <f aca="false">IF(ISBLANK($C110),"",AND($AL110,OR($AM110="",$AN110="",AND($AO110,$AP110=""))))</f>
        <v/>
      </c>
      <c r="BC110" s="137" t="str">
        <f aca="false">IF($BX110&lt;&gt;Constants!$B$6,"",IF($AL110,Constants!$B$17*$AN110+Constants!$B$18*IF($AO110,$AP110,Constants!$B$19),Constants!$B$20))</f>
        <v/>
      </c>
      <c r="BD110" s="138" t="str">
        <f aca="false">IF($BX110&lt;&gt;Constants!$B$6,"",Constants!$B$21*ABS($AD$9-IF($AL110,$AM110,0)))</f>
        <v/>
      </c>
      <c r="BE110" s="138" t="str">
        <f aca="false">IF($BX110&lt;&gt;Constants!$B$6,"",IF(AND($AL110,$AQ110,$AO110),Constants!$B$22,0))</f>
        <v/>
      </c>
      <c r="BF110" s="138" t="str">
        <f aca="false">IF($BX110&lt;&gt;Constants!$B$6,"",IF($AL110,($AI110-Constants!$B$24)*Constants!$B$23,0))</f>
        <v/>
      </c>
      <c r="BG110" s="138" t="str">
        <f aca="false">IF($BX110&lt;&gt;Constants!$B$6,"",IF($AK110,0,Constants!$B$12)+IF($AJ110,0,Constants!$B$13)+IF($AH110,0,Constants!$B$14))</f>
        <v/>
      </c>
      <c r="BH110" s="139" t="str">
        <f aca="false">IF($BX110&lt;&gt;Constants!$B$6,"",Constants!$B$16+SUM($BC110:$BG110))</f>
        <v/>
      </c>
      <c r="BI110" s="138" t="str">
        <f aca="false">IF($BX110&lt;&gt;Constants!$B$6,"",$BC110)</f>
        <v/>
      </c>
      <c r="BJ110" s="138" t="str">
        <f aca="false">IF($BX110&lt;&gt;Constants!$B$6,"",$BD110)</f>
        <v/>
      </c>
      <c r="BK110" s="140" t="str">
        <f aca="false">IF($BX110&lt;&gt;Constants!$B$6,"",IF($AL110,$AN110,""))</f>
        <v/>
      </c>
      <c r="BL110" s="135" t="str">
        <f aca="false">IF($BX110&lt;&gt;Constants!$B$6,"",IF(OR($BS110&lt;$BH110,AND($BS110=$BH110,OR($BT110&lt;$BI110,AND($BT110=$BI110,OR($BU110&lt;$BJ110,AND($BU110=$BJ110,AND(ISNUMBER($BV110),OR(NOT(ISNUMBER($BK110)),$BV110&lt;$BK110)))))))),"-&gt;","&lt;-"))</f>
        <v/>
      </c>
      <c r="BM110" s="134" t="str">
        <f aca="false">IF(ISBLANK($C110),"",AND($AT110,OR($AU110="",$AV110="",AND($AW110,$AX110=""))))</f>
        <v/>
      </c>
      <c r="BN110" s="137" t="str">
        <f aca="false">IF($BX110&lt;&gt;Constants!$B$6,"",IF($AT110,Constants!$B$17*$AV110+Constants!$B$18*IF($AW110,$AX110,Constants!$B$19),Constants!$B$20))</f>
        <v/>
      </c>
      <c r="BO110" s="138" t="str">
        <f aca="false">IF($BX110&lt;&gt;Constants!$B$6,"",Constants!$B$21*ABS($AD$9-IF($AT110,$AU110,0)))</f>
        <v/>
      </c>
      <c r="BP110" s="138" t="str">
        <f aca="false">IF($BX110&lt;&gt;Constants!$B$6,"",IF(AND($AT110,$AY110,$AW110),Constants!$B$22,0))</f>
        <v/>
      </c>
      <c r="BQ110" s="138" t="str">
        <f aca="false">IF($BX110&lt;&gt;Constants!$B$6,"",IF($AT110,($AI110-Constants!$B$24)*Constants!$B$23,0))</f>
        <v/>
      </c>
      <c r="BR110" s="138" t="str">
        <f aca="false">IF($BX110&lt;&gt;Constants!$B$6,"",IF($AS110,0,Constants!$B$12)+IF($AR110,0,Constants!$B$13)+IF($AH110,0,Constants!$B$14))</f>
        <v/>
      </c>
      <c r="BS110" s="139" t="str">
        <f aca="false">IF($BX110&lt;&gt;Constants!$B$6,"",Constants!$B$16+SUM($BN110:$BR110))</f>
        <v/>
      </c>
      <c r="BT110" s="138" t="str">
        <f aca="false">IF($BX110&lt;&gt;Constants!$B$6,"",$BN110)</f>
        <v/>
      </c>
      <c r="BU110" s="138" t="str">
        <f aca="false">IF($BX110&lt;&gt;Constants!$B$6,"",$BO110)</f>
        <v/>
      </c>
      <c r="BV110" s="140" t="str">
        <f aca="false">IF($BX110&lt;&gt;Constants!$B$6,"",IF($AT110,$AV110,""))</f>
        <v/>
      </c>
      <c r="BW110" s="135" t="str">
        <f aca="false">IF(ISBLANK($C110),"",IF(ISBLANK($D$7),$BW$5,IF(NOT(ISNUMBER($D$7)),$BW$6,"")))</f>
        <v/>
      </c>
      <c r="BX110" s="135" t="str">
        <f aca="false">IF(ISBLANK($C110),"",IF($BA110,Constants!$B$9,IF(COUNTA($E110:$AA110)=0,Constants!$B$8,IF(NOT($AG110),Constants!$B$7,IF(OR($BW110&lt;&gt;"",$BB110,$BM110),Constants!$B$10,Constants!$B$6)))))</f>
        <v/>
      </c>
      <c r="BY110" s="135" t="str">
        <f aca="false">IF(ISBLANK($C110),"",IF($BX110&lt;&gt;Constants!$B$6,$BX110,Constants!$B$11))</f>
        <v/>
      </c>
      <c r="BZ110" s="138" t="str">
        <f aca="false">IF($BX110&lt;&gt;Constants!$B$6,"",IF($BL110="-&gt;",$BS110,$BH110))</f>
        <v/>
      </c>
      <c r="CA110" s="138" t="str">
        <f aca="false">IF($BX110&lt;&gt;Constants!$B$6,"",IF($AF110,0,Constants!$B$15))</f>
        <v/>
      </c>
      <c r="CB110" s="138" t="str">
        <f aca="false">IF($BX110&lt;&gt;Constants!$B$6,"",((Constants!$B$25-$AZ110)-Constants!$B$25)/Constants!$B$26)</f>
        <v/>
      </c>
      <c r="CC110" s="138" t="str">
        <f aca="false">IF(ISBLANK($C110),"",IF($BX110&lt;&gt;Constants!$B$6,$BX110,SUM($BZ110:$CB110)))</f>
        <v/>
      </c>
      <c r="CD110" s="135" t="str">
        <f aca="false">IF(ISBLANK($C110),"",IF($BX110&lt;&gt;Constants!$B$6,$BX110,RANK($CC110,$CC$9:$CC$508,1)))</f>
        <v/>
      </c>
      <c r="CE110" s="138" t="str">
        <f aca="false">IF($BX110&lt;&gt;Constants!$B$6,"",IF($BL110="-&gt;",$BT110,$BI110))</f>
        <v/>
      </c>
      <c r="CF110" s="135" t="str">
        <f aca="false">IF(ISBLANK($C110),"",IF($BX110&lt;&gt;Constants!$B$6,$BX110,IF(ISNUMBER($CE110),RANK($CE110,$CE$9:$CE$508,1),COUNT($CE$9:$CE$508)+1)))</f>
        <v/>
      </c>
      <c r="CG110" s="138" t="str">
        <f aca="false">IF($BX110&lt;&gt;Constants!$B$6,"",IF($BL110="-&gt;",$BU110,$BJ110))</f>
        <v/>
      </c>
      <c r="CH110" s="135" t="str">
        <f aca="false">IF(ISBLANK($C110),"",IF($BX110&lt;&gt;Constants!$B$6,$BX110,IF(ISNUMBER($CG110),RANK($CG110,$CG$9:$CG$508,1),COUNT($CG$9:$CG$508)+1)))</f>
        <v/>
      </c>
      <c r="CI110" s="138" t="str">
        <f aca="false">IF($BX110&lt;&gt;Constants!$B$6,"",IF($BL110="-&gt;",$BV110,$BK110))</f>
        <v/>
      </c>
      <c r="CJ110" s="135" t="str">
        <f aca="false">IF(ISBLANK($C110),"",IF($BX110&lt;&gt;Constants!$B$6,$BX110,IF(ISNUMBER($CI110),RANK($CI110,$CI$9:$CI$508,1),COUNT($CI$9:$CI$508)+1)))</f>
        <v/>
      </c>
      <c r="CK110" s="138" t="str">
        <f aca="false">IF($BX110&lt;&gt;Constants!$B$6,"",$AI110)</f>
        <v/>
      </c>
      <c r="CL110" s="135" t="str">
        <f aca="false">IF(ISBLANK($C110),"",IF($BX110&lt;&gt;Constants!$B$6,$BX110,IF(ISNUMBER($CK110),RANK($CK110,$CK$9:$CK$508,1),COUNT($CK$9:$CK$508)+1)))</f>
        <v/>
      </c>
      <c r="CM110" s="135" t="str">
        <f aca="false">IF(ISBLANK($C110),"",IF($BX110&lt;&gt;Constants!$B$6,$BX110,COUNTIFS($CD$9:$CD$508,"&lt;"&amp;$CD110)+COUNTIFS($CD$9:$CD$508,$CD110,$CF$9:$CF$508,"&lt;"&amp;$CF110)+COUNTIFS($CD$9:$CD$508,$CD110,$CF$9:$CF$508,$CF110,$CH$9:$CH$508,"&lt;"&amp;$CH110)+COUNTIFS($CD$9:$CD$508,$CD110,$CF$9:$CF$508,$CF110,$CH$9:$CH$508,$CH110,$CJ$9:$CJ$508,"&lt;"&amp;$CJ110)+COUNTIFS($CD$9:$CD$508,$CD110,$CF$9:$CF$508,$CF110,$CH$9:$CH$508,$CH110,$CJ$9:$CJ$508,$CJ110,$CL$9:$CL$508,"&lt;"&amp;$CL110)+1))</f>
        <v/>
      </c>
      <c r="CN110" s="135" t="str">
        <f aca="false">IF(ISBLANK($C110),"",IF($BX110&lt;&gt;Constants!$B$6,$BX110,$CD110-$CM110))</f>
        <v/>
      </c>
      <c r="CO110" s="141"/>
      <c r="CP110" s="142"/>
      <c r="CQ110" s="143" t="str">
        <f aca="false">IF(ISBLANK($C110),"",IF($BX110=Constants!$B$10,$BW110,""))</f>
        <v/>
      </c>
      <c r="CR110" s="142" t="str">
        <f aca="false">IF(ISBLANK($C110),"",IF($BX110&lt;&gt;Constants!$B$6,"",IF($BL110="-&gt;",2,1)))</f>
        <v/>
      </c>
      <c r="CS110" s="144" t="str">
        <f aca="false">IF(ISBLANK($C110),"",IF($BX110&lt;&gt;Constants!$B$6,"",IF($BL110="-&gt;",$BN110,$BC110)))</f>
        <v/>
      </c>
      <c r="CT110" s="144" t="str">
        <f aca="false">IF(ISBLANK($C110),"",IF($BX110&lt;&gt;Constants!$B$6,"",IF($BL110="-&gt;",$BO110,$BD110)))</f>
        <v/>
      </c>
      <c r="CU110" s="144" t="str">
        <f aca="false">IF(ISBLANK($C110),"",IF($BX110&lt;&gt;Constants!$B$6,"",IF($BL110="-&gt;",$BP110+$BQ110,$BE110+$BF110)+$CB110))</f>
        <v/>
      </c>
      <c r="CV110" s="144" t="str">
        <f aca="false">IF(ISBLANK($C110),"",IF($BX110&lt;&gt;Constants!$B$6,"",IF($BL110="-&gt;",$BR110,$BG110)+$CA110))</f>
        <v/>
      </c>
      <c r="CW110" s="145" t="str">
        <f aca="false">IF(ISBLANK($C110),"",IF($BX110&lt;&gt;Constants!$B$6,$BX110,$CC110))</f>
        <v/>
      </c>
      <c r="CX110" s="146" t="str">
        <f aca="false">IF(ISBLANK($C110),"",$BY110)</f>
        <v/>
      </c>
      <c r="CY110" s="147" t="str">
        <f aca="false">IF(ISBLANK($C110),"",$CN110)</f>
        <v/>
      </c>
      <c r="CZ110" s="147" t="str">
        <f aca="false">IF(ISBLANK($C110),"",$CM110)</f>
        <v/>
      </c>
      <c r="DA110" s="148" t="str">
        <f aca="false">IF(ISBLANK($C110),"",IFERROR(_xlfn.SWITCH($CZ110,Constants!$B$9,COUNTA($C$9:$C$508)+2,Constants!$B$8,COUNTA($C$9:$C$508)+1,Constants!$B$7,COUNTA($C$9:$C$508)),$CZ110))</f>
        <v/>
      </c>
      <c r="DB110" s="9"/>
      <c r="DC110" s="149" t="n">
        <f aca="false">IF(OR(ISNUMBER($CZ110),$CZ110=Constants!$B$9,$CZ110=Constants!$B$7,$CZ110=Constants!$B$8),1,0)</f>
        <v>0</v>
      </c>
      <c r="DD110" s="149" t="n">
        <v>102</v>
      </c>
      <c r="DE110" s="149" t="str">
        <f aca="false">IF(ISBLANK($C110),"",IF(ISNUMBER($DA110),$DA110+ROW($B110)/1000,""))</f>
        <v/>
      </c>
      <c r="DF110" s="149" t="str">
        <f aca="false">IF(ISNUMBER($DE110),RANK($DE110,$DE$9:$DE$508,1),"")</f>
        <v/>
      </c>
      <c r="DG110" s="149" t="str">
        <f aca="false">IF(ISBLANK($C110),"",$B110)</f>
        <v/>
      </c>
      <c r="DH110" s="149" t="str">
        <f aca="false">IF(ISBLANK($C110),"",$C110)</f>
        <v/>
      </c>
      <c r="DI110" s="149" t="str">
        <f aca="false">IF(ISBLANK($C110),"",$D110)</f>
        <v/>
      </c>
      <c r="DJ110" s="150" t="str">
        <f aca="false">$CX110</f>
        <v/>
      </c>
      <c r="DK110" s="151" t="str">
        <f aca="false">$CW110</f>
        <v/>
      </c>
      <c r="DL110" s="149" t="str">
        <f aca="false">IF(ISBLANK($C110),"",$CZ110)</f>
        <v/>
      </c>
      <c r="DM110" s="152" t="str">
        <f aca="false">IF($DD110&gt;$DC$8,"",VLOOKUP($DD110,$DF$9:$DL$508,7,FALSE()))</f>
        <v/>
      </c>
      <c r="DN110" s="153" t="str">
        <f aca="false">IF($DD110&gt;$DC$8,"",VLOOKUP($DD110,$DF$9:$DL$508,2,FALSE()))</f>
        <v/>
      </c>
      <c r="DO110" s="153" t="str">
        <f aca="false">IF($DD110&gt;$DC$8,"",VLOOKUP($DD110,$DF$9:$DL$508,3,FALSE()))</f>
        <v/>
      </c>
      <c r="DP110" s="153" t="str">
        <f aca="false">IF($DD110&gt;$DC$8,"",VLOOKUP($DD110,$DF$9:$DL$508,4,FALSE()))</f>
        <v/>
      </c>
      <c r="DQ110" s="153" t="str">
        <f aca="false">IF($DD110&gt;$DC$8,"",VLOOKUP($DD110,$DF$9:$DL$508,5,FALSE()))</f>
        <v/>
      </c>
      <c r="DR110" s="154" t="str">
        <f aca="false">IF($DD110&gt;$DC$8,"",VLOOKUP($DD110,$DF$9:$DL$508,6,FALSE()))</f>
        <v/>
      </c>
      <c r="DS110" s="76"/>
    </row>
    <row r="111" customFormat="false" ht="15.75" hidden="false" customHeight="false" outlineLevel="0" collapsed="false">
      <c r="A111" s="9"/>
      <c r="B111" s="78"/>
      <c r="C111" s="79"/>
      <c r="D111" s="170"/>
      <c r="E111" s="178"/>
      <c r="F111" s="172"/>
      <c r="G111" s="173"/>
      <c r="H111" s="173"/>
      <c r="I111" s="179"/>
      <c r="J111" s="176"/>
      <c r="K111" s="86"/>
      <c r="L111" s="87"/>
      <c r="M111" s="88"/>
      <c r="N111" s="176"/>
      <c r="O111" s="176"/>
      <c r="P111" s="178"/>
      <c r="Q111" s="176"/>
      <c r="R111" s="176"/>
      <c r="S111" s="86"/>
      <c r="T111" s="88"/>
      <c r="U111" s="88"/>
      <c r="V111" s="176"/>
      <c r="W111" s="176"/>
      <c r="X111" s="178"/>
      <c r="Y111" s="176"/>
      <c r="Z111" s="177"/>
      <c r="AA111" s="176"/>
      <c r="AB111" s="92"/>
      <c r="AC111" s="93"/>
      <c r="AD111" s="93"/>
      <c r="AE111" s="93"/>
      <c r="AF111" s="93" t="str">
        <f aca="false">IF(ISBLANK($C111),"",IF(E111=Constants!$B$2,TRUE(),IF(E111=Constants!$B$3,FALSE(),TRUE())))</f>
        <v/>
      </c>
      <c r="AG111" s="93" t="str">
        <f aca="false">IF(ISBLANK($C111),"",IF(F111=Constants!$B$2,TRUE(),IF(F111=Constants!$B$3,FALSE(),TRUE())))</f>
        <v/>
      </c>
      <c r="AH111" s="93" t="str">
        <f aca="false">IF(ISBLANK($C111),"",IF(G111=Constants!$B$2,TRUE(),IF(G111=Constants!$B$3,FALSE(),TRUE())))</f>
        <v/>
      </c>
      <c r="AI111" s="93" t="str">
        <f aca="false">IF(ISBLANK($C111),"",IF(AND(ISNUMBER(H111),H111&gt;=0),H111,Constants!$B$24))</f>
        <v/>
      </c>
      <c r="AJ111" s="93" t="str">
        <f aca="false">IF(ISBLANK($C111),"",IF(I111=Constants!$B$2,TRUE(),IF(I111=Constants!$B$3,FALSE(),TRUE())))</f>
        <v/>
      </c>
      <c r="AK111" s="93" t="str">
        <f aca="false">IF(ISBLANK($C111),"",IF(J111=Constants!$B$2,TRUE(),IF(J111=Constants!$B$3,FALSE(),TRUE())))</f>
        <v/>
      </c>
      <c r="AL111" s="93" t="str">
        <f aca="false">IF(ISBLANK($C111),"",IF(K111=Constants!$B$4,TRUE(),IF(K111=Constants!$B$5,FALSE(),COUNTA(L111:P111)&gt;0)))</f>
        <v/>
      </c>
      <c r="AM111" s="95" t="str">
        <f aca="false">IF(ISBLANK($C111),"",IF(ISNUMBER(L111),IF(L111&gt;=0,L111,""),""))</f>
        <v/>
      </c>
      <c r="AN111" s="94" t="str">
        <f aca="false">IF(ISBLANK($C111),"",IF(ISNUMBER(M111),IF(M111&gt;=0,M111,""),""))</f>
        <v/>
      </c>
      <c r="AO111" s="94" t="str">
        <f aca="false">IF(ISBLANK($C111),"",IF(N111=Constants!$B$2,TRUE(),IF(N111=Constants!$B$3,FALSE(),TRUE())))</f>
        <v/>
      </c>
      <c r="AP111" s="93" t="str">
        <f aca="false">IF(ISBLANK($C111),"",IF(ISNUMBER(O111),IF(O111&gt;=0,O111,""),""))</f>
        <v/>
      </c>
      <c r="AQ111" s="93" t="str">
        <f aca="false">IF(ISBLANK($C111),"",IF(P111=Constants!$B$2,TRUE(),IF(P111=Constants!$B$3,FALSE(),FALSE())))</f>
        <v/>
      </c>
      <c r="AR111" s="93" t="str">
        <f aca="false">IF(ISBLANK($C111),"",IF(Q111=Constants!$B$2,TRUE(),IF(Q111=Constants!$B$3,FALSE(),TRUE())))</f>
        <v/>
      </c>
      <c r="AS111" s="93" t="str">
        <f aca="false">IF(ISBLANK($C111),"",IF(R111=Constants!$B$2,TRUE(),IF(R111=Constants!$B$3,FALSE(),TRUE())))</f>
        <v/>
      </c>
      <c r="AT111" s="93" t="str">
        <f aca="false">IF(ISBLANK($C111),"",IF(S111=Constants!$B$4,TRUE(),IF(S111=Constants!$B$5,FALSE(),COUNTA(T111:X111)&gt;0)))</f>
        <v/>
      </c>
      <c r="AU111" s="95" t="str">
        <f aca="false">IF(ISBLANK($C111),"",IF(ISNUMBER(T111),IF(T111&gt;=0,T111,""),""))</f>
        <v/>
      </c>
      <c r="AV111" s="94" t="str">
        <f aca="false">IF(ISBLANK($C111),"",IF(ISNUMBER(U111),IF(U111&gt;=0,U111,""),""))</f>
        <v/>
      </c>
      <c r="AW111" s="94" t="str">
        <f aca="false">IF(ISBLANK($C111),"",IF(V111=Constants!$B$2,TRUE(),IF(V111=Constants!$B$3,FALSE(),TRUE())))</f>
        <v/>
      </c>
      <c r="AX111" s="93" t="str">
        <f aca="false">IF(ISBLANK($C111),"",IF(ISNUMBER(W111),IF(W111&gt;=0,W111,""),""))</f>
        <v/>
      </c>
      <c r="AY111" s="93" t="str">
        <f aca="false">IF(ISBLANK($C111),"",IF(X111=Constants!$B$2,TRUE(),IF(X111=Constants!$B$3,FALSE(),FALSE())))</f>
        <v/>
      </c>
      <c r="AZ111" s="93" t="str">
        <f aca="false">IF(ISBLANK($C111),"",MIN(Constants!$B$25,MAX(0,IF(ISNUMBER(Y111),Y111*60,0)+IF(ISNUMBER(Z111),Z111,0))))</f>
        <v/>
      </c>
      <c r="BA111" s="93" t="str">
        <f aca="false">IF(ISBLANK($C111),"",IF(AA111=Constants!$B$2,TRUE(),IF(AA111=Constants!$B$3,FALSE(),FALSE())))</f>
        <v/>
      </c>
      <c r="BB111" s="92" t="str">
        <f aca="false">IF(ISBLANK($C111),"",AND($AL111,OR($AM111="",$AN111="",AND($AO111,$AP111=""))))</f>
        <v/>
      </c>
      <c r="BC111" s="94" t="str">
        <f aca="false">IF($BX111&lt;&gt;Constants!$B$6,"",IF($AL111,Constants!$B$17*$AN111+Constants!$B$18*IF($AO111,$AP111,Constants!$B$19),Constants!$B$20))</f>
        <v/>
      </c>
      <c r="BD111" s="97" t="str">
        <f aca="false">IF($BX111&lt;&gt;Constants!$B$6,"",Constants!$B$21*ABS($AD$9-IF($AL111,$AM111,0)))</f>
        <v/>
      </c>
      <c r="BE111" s="97" t="str">
        <f aca="false">IF($BX111&lt;&gt;Constants!$B$6,"",IF(AND($AL111,$AQ111,$AO111),Constants!$B$22,0))</f>
        <v/>
      </c>
      <c r="BF111" s="97" t="str">
        <f aca="false">IF($BX111&lt;&gt;Constants!$B$6,"",IF($AL111,($AI111-Constants!$B$24)*Constants!$B$23,0))</f>
        <v/>
      </c>
      <c r="BG111" s="97" t="str">
        <f aca="false">IF($BX111&lt;&gt;Constants!$B$6,"",IF($AK111,0,Constants!$B$12)+IF($AJ111,0,Constants!$B$13)+IF($AH111,0,Constants!$B$14))</f>
        <v/>
      </c>
      <c r="BH111" s="98" t="str">
        <f aca="false">IF($BX111&lt;&gt;Constants!$B$6,"",Constants!$B$16+SUM($BC111:$BG111))</f>
        <v/>
      </c>
      <c r="BI111" s="97" t="str">
        <f aca="false">IF($BX111&lt;&gt;Constants!$B$6,"",$BC111)</f>
        <v/>
      </c>
      <c r="BJ111" s="97" t="str">
        <f aca="false">IF($BX111&lt;&gt;Constants!$B$6,"",$BD111)</f>
        <v/>
      </c>
      <c r="BK111" s="99" t="str">
        <f aca="false">IF($BX111&lt;&gt;Constants!$B$6,"",IF($AL111,$AN111,""))</f>
        <v/>
      </c>
      <c r="BL111" s="93" t="str">
        <f aca="false">IF($BX111&lt;&gt;Constants!$B$6,"",IF(OR($BS111&lt;$BH111,AND($BS111=$BH111,OR($BT111&lt;$BI111,AND($BT111=$BI111,OR($BU111&lt;$BJ111,AND($BU111=$BJ111,AND(ISNUMBER($BV111),OR(NOT(ISNUMBER($BK111)),$BV111&lt;$BK111)))))))),"-&gt;","&lt;-"))</f>
        <v/>
      </c>
      <c r="BM111" s="92" t="str">
        <f aca="false">IF(ISBLANK($C111),"",AND($AT111,OR($AU111="",$AV111="",AND($AW111,$AX111=""))))</f>
        <v/>
      </c>
      <c r="BN111" s="94" t="str">
        <f aca="false">IF($BX111&lt;&gt;Constants!$B$6,"",IF($AT111,Constants!$B$17*$AV111+Constants!$B$18*IF($AW111,$AX111,Constants!$B$19),Constants!$B$20))</f>
        <v/>
      </c>
      <c r="BO111" s="97" t="str">
        <f aca="false">IF($BX111&lt;&gt;Constants!$B$6,"",Constants!$B$21*ABS($AD$9-IF($AT111,$AU111,0)))</f>
        <v/>
      </c>
      <c r="BP111" s="97" t="str">
        <f aca="false">IF($BX111&lt;&gt;Constants!$B$6,"",IF(AND($AT111,$AY111,$AW111),Constants!$B$22,0))</f>
        <v/>
      </c>
      <c r="BQ111" s="97" t="str">
        <f aca="false">IF($BX111&lt;&gt;Constants!$B$6,"",IF($AT111,($AI111-Constants!$B$24)*Constants!$B$23,0))</f>
        <v/>
      </c>
      <c r="BR111" s="97" t="str">
        <f aca="false">IF($BX111&lt;&gt;Constants!$B$6,"",IF($AS111,0,Constants!$B$12)+IF($AR111,0,Constants!$B$13)+IF($AH111,0,Constants!$B$14))</f>
        <v/>
      </c>
      <c r="BS111" s="98" t="str">
        <f aca="false">IF($BX111&lt;&gt;Constants!$B$6,"",Constants!$B$16+SUM($BN111:$BR111))</f>
        <v/>
      </c>
      <c r="BT111" s="97" t="str">
        <f aca="false">IF($BX111&lt;&gt;Constants!$B$6,"",$BN111)</f>
        <v/>
      </c>
      <c r="BU111" s="97" t="str">
        <f aca="false">IF($BX111&lt;&gt;Constants!$B$6,"",$BO111)</f>
        <v/>
      </c>
      <c r="BV111" s="99" t="str">
        <f aca="false">IF($BX111&lt;&gt;Constants!$B$6,"",IF($AT111,$AV111,""))</f>
        <v/>
      </c>
      <c r="BW111" s="93" t="str">
        <f aca="false">IF(ISBLANK($C111),"",IF(ISBLANK($D$7),$BW$5,IF(NOT(ISNUMBER($D$7)),$BW$6,"")))</f>
        <v/>
      </c>
      <c r="BX111" s="93" t="str">
        <f aca="false">IF(ISBLANK($C111),"",IF($BA111,Constants!$B$9,IF(COUNTA($E111:$AA111)=0,Constants!$B$8,IF(NOT($AG111),Constants!$B$7,IF(OR($BW111&lt;&gt;"",$BB111,$BM111),Constants!$B$10,Constants!$B$6)))))</f>
        <v/>
      </c>
      <c r="BY111" s="93" t="str">
        <f aca="false">IF(ISBLANK($C111),"",IF($BX111&lt;&gt;Constants!$B$6,$BX111,Constants!$B$11))</f>
        <v/>
      </c>
      <c r="BZ111" s="97" t="str">
        <f aca="false">IF($BX111&lt;&gt;Constants!$B$6,"",IF($BL111="-&gt;",$BS111,$BH111))</f>
        <v/>
      </c>
      <c r="CA111" s="97" t="str">
        <f aca="false">IF($BX111&lt;&gt;Constants!$B$6,"",IF($AF111,0,Constants!$B$15))</f>
        <v/>
      </c>
      <c r="CB111" s="97" t="str">
        <f aca="false">IF($BX111&lt;&gt;Constants!$B$6,"",((Constants!$B$25-$AZ111)-Constants!$B$25)/Constants!$B$26)</f>
        <v/>
      </c>
      <c r="CC111" s="97" t="str">
        <f aca="false">IF(ISBLANK($C111),"",IF($BX111&lt;&gt;Constants!$B$6,$BX111,SUM($BZ111:$CB111)))</f>
        <v/>
      </c>
      <c r="CD111" s="93" t="str">
        <f aca="false">IF(ISBLANK($C111),"",IF($BX111&lt;&gt;Constants!$B$6,$BX111,RANK($CC111,$CC$9:$CC$508,1)))</f>
        <v/>
      </c>
      <c r="CE111" s="97" t="str">
        <f aca="false">IF($BX111&lt;&gt;Constants!$B$6,"",IF($BL111="-&gt;",$BT111,$BI111))</f>
        <v/>
      </c>
      <c r="CF111" s="93" t="str">
        <f aca="false">IF(ISBLANK($C111),"",IF($BX111&lt;&gt;Constants!$B$6,$BX111,IF(ISNUMBER($CE111),RANK($CE111,$CE$9:$CE$508,1),COUNT($CE$9:$CE$508)+1)))</f>
        <v/>
      </c>
      <c r="CG111" s="97" t="str">
        <f aca="false">IF($BX111&lt;&gt;Constants!$B$6,"",IF($BL111="-&gt;",$BU111,$BJ111))</f>
        <v/>
      </c>
      <c r="CH111" s="93" t="str">
        <f aca="false">IF(ISBLANK($C111),"",IF($BX111&lt;&gt;Constants!$B$6,$BX111,IF(ISNUMBER($CG111),RANK($CG111,$CG$9:$CG$508,1),COUNT($CG$9:$CG$508)+1)))</f>
        <v/>
      </c>
      <c r="CI111" s="97" t="str">
        <f aca="false">IF($BX111&lt;&gt;Constants!$B$6,"",IF($BL111="-&gt;",$BV111,$BK111))</f>
        <v/>
      </c>
      <c r="CJ111" s="93" t="str">
        <f aca="false">IF(ISBLANK($C111),"",IF($BX111&lt;&gt;Constants!$B$6,$BX111,IF(ISNUMBER($CI111),RANK($CI111,$CI$9:$CI$508,1),COUNT($CI$9:$CI$508)+1)))</f>
        <v/>
      </c>
      <c r="CK111" s="97" t="str">
        <f aca="false">IF($BX111&lt;&gt;Constants!$B$6,"",$AI111)</f>
        <v/>
      </c>
      <c r="CL111" s="93" t="str">
        <f aca="false">IF(ISBLANK($C111),"",IF($BX111&lt;&gt;Constants!$B$6,$BX111,IF(ISNUMBER($CK111),RANK($CK111,$CK$9:$CK$508,1),COUNT($CK$9:$CK$508)+1)))</f>
        <v/>
      </c>
      <c r="CM111" s="93" t="str">
        <f aca="false">IF(ISBLANK($C111),"",IF($BX111&lt;&gt;Constants!$B$6,$BX111,COUNTIFS($CD$9:$CD$508,"&lt;"&amp;$CD111)+COUNTIFS($CD$9:$CD$508,$CD111,$CF$9:$CF$508,"&lt;"&amp;$CF111)+COUNTIFS($CD$9:$CD$508,$CD111,$CF$9:$CF$508,$CF111,$CH$9:$CH$508,"&lt;"&amp;$CH111)+COUNTIFS($CD$9:$CD$508,$CD111,$CF$9:$CF$508,$CF111,$CH$9:$CH$508,$CH111,$CJ$9:$CJ$508,"&lt;"&amp;$CJ111)+COUNTIFS($CD$9:$CD$508,$CD111,$CF$9:$CF$508,$CF111,$CH$9:$CH$508,$CH111,$CJ$9:$CJ$508,$CJ111,$CL$9:$CL$508,"&lt;"&amp;$CL111)+1))</f>
        <v/>
      </c>
      <c r="CN111" s="93" t="str">
        <f aca="false">IF(ISBLANK($C111),"",IF($BX111&lt;&gt;Constants!$B$6,$BX111,$CD111-$CM111))</f>
        <v/>
      </c>
      <c r="CO111" s="100"/>
      <c r="CP111" s="101"/>
      <c r="CQ111" s="102" t="str">
        <f aca="false">IF(ISBLANK($C111),"",IF($BX111=Constants!$B$10,$BW111,""))</f>
        <v/>
      </c>
      <c r="CR111" s="101" t="str">
        <f aca="false">IF(ISBLANK($C111),"",IF($BX111&lt;&gt;Constants!$B$6,"",IF($BL111="-&gt;",2,1)))</f>
        <v/>
      </c>
      <c r="CS111" s="103" t="str">
        <f aca="false">IF(ISBLANK($C111),"",IF($BX111&lt;&gt;Constants!$B$6,"",IF($BL111="-&gt;",$BN111,$BC111)))</f>
        <v/>
      </c>
      <c r="CT111" s="103" t="str">
        <f aca="false">IF(ISBLANK($C111),"",IF($BX111&lt;&gt;Constants!$B$6,"",IF($BL111="-&gt;",$BO111,$BD111)))</f>
        <v/>
      </c>
      <c r="CU111" s="103" t="str">
        <f aca="false">IF(ISBLANK($C111),"",IF($BX111&lt;&gt;Constants!$B$6,"",IF($BL111="-&gt;",$BP111+$BQ111,$BE111+$BF111)+$CB111))</f>
        <v/>
      </c>
      <c r="CV111" s="103" t="str">
        <f aca="false">IF(ISBLANK($C111),"",IF($BX111&lt;&gt;Constants!$B$6,"",IF($BL111="-&gt;",$BR111,$BG111)+$CA111))</f>
        <v/>
      </c>
      <c r="CW111" s="104" t="str">
        <f aca="false">IF(ISBLANK($C111),"",IF($BX111&lt;&gt;Constants!$B$6,$BX111,$CC111))</f>
        <v/>
      </c>
      <c r="CX111" s="105" t="str">
        <f aca="false">IF(ISBLANK($C111),"",$BY111)</f>
        <v/>
      </c>
      <c r="CY111" s="106" t="str">
        <f aca="false">IF(ISBLANK($C111),"",$CN111)</f>
        <v/>
      </c>
      <c r="CZ111" s="106" t="str">
        <f aca="false">IF(ISBLANK($C111),"",$CM111)</f>
        <v/>
      </c>
      <c r="DA111" s="107" t="str">
        <f aca="false">IF(ISBLANK($C111),"",IFERROR(_xlfn.SWITCH($CZ111,Constants!$B$9,COUNTA($C$9:$C$508)+2,Constants!$B$8,COUNTA($C$9:$C$508)+1,Constants!$B$7,COUNTA($C$9:$C$508)),$CZ111))</f>
        <v/>
      </c>
      <c r="DB111" s="9"/>
      <c r="DC111" s="108" t="n">
        <f aca="false">IF(OR(ISNUMBER($CZ111),$CZ111=Constants!$B$9,$CZ111=Constants!$B$7,$CZ111=Constants!$B$8),1,0)</f>
        <v>0</v>
      </c>
      <c r="DD111" s="108" t="n">
        <v>103</v>
      </c>
      <c r="DE111" s="108" t="str">
        <f aca="false">IF(ISBLANK($C111),"",IF(ISNUMBER($DA111),$DA111+ROW($B111)/1000,""))</f>
        <v/>
      </c>
      <c r="DF111" s="108" t="str">
        <f aca="false">IF(ISNUMBER($DE111),RANK($DE111,$DE$9:$DE$508,1),"")</f>
        <v/>
      </c>
      <c r="DG111" s="108" t="str">
        <f aca="false">IF(ISBLANK($C111),"",$B111)</f>
        <v/>
      </c>
      <c r="DH111" s="108" t="str">
        <f aca="false">IF(ISBLANK($C111),"",$C111)</f>
        <v/>
      </c>
      <c r="DI111" s="108" t="str">
        <f aca="false">IF(ISBLANK($C111),"",$D111)</f>
        <v/>
      </c>
      <c r="DJ111" s="109" t="str">
        <f aca="false">$CX111</f>
        <v/>
      </c>
      <c r="DK111" s="110" t="str">
        <f aca="false">$CW111</f>
        <v/>
      </c>
      <c r="DL111" s="108" t="str">
        <f aca="false">IF(ISBLANK($C111),"",$CZ111)</f>
        <v/>
      </c>
      <c r="DM111" s="111" t="str">
        <f aca="false">IF($DD111&gt;$DC$8,"",VLOOKUP($DD111,$DF$9:$DL$508,7,FALSE()))</f>
        <v/>
      </c>
      <c r="DN111" s="112" t="str">
        <f aca="false">IF($DD111&gt;$DC$8,"",VLOOKUP($DD111,$DF$9:$DL$508,2,FALSE()))</f>
        <v/>
      </c>
      <c r="DO111" s="112" t="str">
        <f aca="false">IF($DD111&gt;$DC$8,"",VLOOKUP($DD111,$DF$9:$DL$508,3,FALSE()))</f>
        <v/>
      </c>
      <c r="DP111" s="112" t="str">
        <f aca="false">IF($DD111&gt;$DC$8,"",VLOOKUP($DD111,$DF$9:$DL$508,4,FALSE()))</f>
        <v/>
      </c>
      <c r="DQ111" s="112" t="str">
        <f aca="false">IF($DD111&gt;$DC$8,"",VLOOKUP($DD111,$DF$9:$DL$508,5,FALSE()))</f>
        <v/>
      </c>
      <c r="DR111" s="113" t="str">
        <f aca="false">IF($DD111&gt;$DC$8,"",VLOOKUP($DD111,$DF$9:$DL$508,6,FALSE()))</f>
        <v/>
      </c>
      <c r="DS111" s="76"/>
    </row>
    <row r="112" customFormat="false" ht="15.75" hidden="false" customHeight="false" outlineLevel="0" collapsed="false">
      <c r="A112" s="9"/>
      <c r="B112" s="78"/>
      <c r="C112" s="79"/>
      <c r="D112" s="170"/>
      <c r="E112" s="178"/>
      <c r="F112" s="172"/>
      <c r="G112" s="173"/>
      <c r="H112" s="173"/>
      <c r="I112" s="179"/>
      <c r="J112" s="176"/>
      <c r="K112" s="86"/>
      <c r="L112" s="87"/>
      <c r="M112" s="88"/>
      <c r="N112" s="176"/>
      <c r="O112" s="176"/>
      <c r="P112" s="178"/>
      <c r="Q112" s="176"/>
      <c r="R112" s="176"/>
      <c r="S112" s="86"/>
      <c r="T112" s="88"/>
      <c r="U112" s="88"/>
      <c r="V112" s="176"/>
      <c r="W112" s="176"/>
      <c r="X112" s="178"/>
      <c r="Y112" s="176"/>
      <c r="Z112" s="177"/>
      <c r="AA112" s="176"/>
      <c r="AB112" s="92"/>
      <c r="AC112" s="93"/>
      <c r="AD112" s="93"/>
      <c r="AE112" s="93"/>
      <c r="AF112" s="93" t="str">
        <f aca="false">IF(ISBLANK($C112),"",IF(E112=Constants!$B$2,TRUE(),IF(E112=Constants!$B$3,FALSE(),TRUE())))</f>
        <v/>
      </c>
      <c r="AG112" s="93" t="str">
        <f aca="false">IF(ISBLANK($C112),"",IF(F112=Constants!$B$2,TRUE(),IF(F112=Constants!$B$3,FALSE(),TRUE())))</f>
        <v/>
      </c>
      <c r="AH112" s="93" t="str">
        <f aca="false">IF(ISBLANK($C112),"",IF(G112=Constants!$B$2,TRUE(),IF(G112=Constants!$B$3,FALSE(),TRUE())))</f>
        <v/>
      </c>
      <c r="AI112" s="93" t="str">
        <f aca="false">IF(ISBLANK($C112),"",IF(AND(ISNUMBER(H112),H112&gt;=0),H112,Constants!$B$24))</f>
        <v/>
      </c>
      <c r="AJ112" s="93" t="str">
        <f aca="false">IF(ISBLANK($C112),"",IF(I112=Constants!$B$2,TRUE(),IF(I112=Constants!$B$3,FALSE(),TRUE())))</f>
        <v/>
      </c>
      <c r="AK112" s="93" t="str">
        <f aca="false">IF(ISBLANK($C112),"",IF(J112=Constants!$B$2,TRUE(),IF(J112=Constants!$B$3,FALSE(),TRUE())))</f>
        <v/>
      </c>
      <c r="AL112" s="93" t="str">
        <f aca="false">IF(ISBLANK($C112),"",IF(K112=Constants!$B$4,TRUE(),IF(K112=Constants!$B$5,FALSE(),COUNTA(L112:P112)&gt;0)))</f>
        <v/>
      </c>
      <c r="AM112" s="95" t="str">
        <f aca="false">IF(ISBLANK($C112),"",IF(ISNUMBER(L112),IF(L112&gt;=0,L112,""),""))</f>
        <v/>
      </c>
      <c r="AN112" s="94" t="str">
        <f aca="false">IF(ISBLANK($C112),"",IF(ISNUMBER(M112),IF(M112&gt;=0,M112,""),""))</f>
        <v/>
      </c>
      <c r="AO112" s="94" t="str">
        <f aca="false">IF(ISBLANK($C112),"",IF(N112=Constants!$B$2,TRUE(),IF(N112=Constants!$B$3,FALSE(),TRUE())))</f>
        <v/>
      </c>
      <c r="AP112" s="93" t="str">
        <f aca="false">IF(ISBLANK($C112),"",IF(ISNUMBER(O112),IF(O112&gt;=0,O112,""),""))</f>
        <v/>
      </c>
      <c r="AQ112" s="93" t="str">
        <f aca="false">IF(ISBLANK($C112),"",IF(P112=Constants!$B$2,TRUE(),IF(P112=Constants!$B$3,FALSE(),FALSE())))</f>
        <v/>
      </c>
      <c r="AR112" s="93" t="str">
        <f aca="false">IF(ISBLANK($C112),"",IF(Q112=Constants!$B$2,TRUE(),IF(Q112=Constants!$B$3,FALSE(),TRUE())))</f>
        <v/>
      </c>
      <c r="AS112" s="93" t="str">
        <f aca="false">IF(ISBLANK($C112),"",IF(R112=Constants!$B$2,TRUE(),IF(R112=Constants!$B$3,FALSE(),TRUE())))</f>
        <v/>
      </c>
      <c r="AT112" s="93" t="str">
        <f aca="false">IF(ISBLANK($C112),"",IF(S112=Constants!$B$4,TRUE(),IF(S112=Constants!$B$5,FALSE(),COUNTA(T112:X112)&gt;0)))</f>
        <v/>
      </c>
      <c r="AU112" s="95" t="str">
        <f aca="false">IF(ISBLANK($C112),"",IF(ISNUMBER(T112),IF(T112&gt;=0,T112,""),""))</f>
        <v/>
      </c>
      <c r="AV112" s="94" t="str">
        <f aca="false">IF(ISBLANK($C112),"",IF(ISNUMBER(U112),IF(U112&gt;=0,U112,""),""))</f>
        <v/>
      </c>
      <c r="AW112" s="94" t="str">
        <f aca="false">IF(ISBLANK($C112),"",IF(V112=Constants!$B$2,TRUE(),IF(V112=Constants!$B$3,FALSE(),TRUE())))</f>
        <v/>
      </c>
      <c r="AX112" s="93" t="str">
        <f aca="false">IF(ISBLANK($C112),"",IF(ISNUMBER(W112),IF(W112&gt;=0,W112,""),""))</f>
        <v/>
      </c>
      <c r="AY112" s="93" t="str">
        <f aca="false">IF(ISBLANK($C112),"",IF(X112=Constants!$B$2,TRUE(),IF(X112=Constants!$B$3,FALSE(),FALSE())))</f>
        <v/>
      </c>
      <c r="AZ112" s="93" t="str">
        <f aca="false">IF(ISBLANK($C112),"",MIN(Constants!$B$25,MAX(0,IF(ISNUMBER(Y112),Y112*60,0)+IF(ISNUMBER(Z112),Z112,0))))</f>
        <v/>
      </c>
      <c r="BA112" s="93" t="str">
        <f aca="false">IF(ISBLANK($C112),"",IF(AA112=Constants!$B$2,TRUE(),IF(AA112=Constants!$B$3,FALSE(),FALSE())))</f>
        <v/>
      </c>
      <c r="BB112" s="92" t="str">
        <f aca="false">IF(ISBLANK($C112),"",AND($AL112,OR($AM112="",$AN112="",AND($AO112,$AP112=""))))</f>
        <v/>
      </c>
      <c r="BC112" s="94" t="str">
        <f aca="false">IF($BX112&lt;&gt;Constants!$B$6,"",IF($AL112,Constants!$B$17*$AN112+Constants!$B$18*IF($AO112,$AP112,Constants!$B$19),Constants!$B$20))</f>
        <v/>
      </c>
      <c r="BD112" s="97" t="str">
        <f aca="false">IF($BX112&lt;&gt;Constants!$B$6,"",Constants!$B$21*ABS($AD$9-IF($AL112,$AM112,0)))</f>
        <v/>
      </c>
      <c r="BE112" s="97" t="str">
        <f aca="false">IF($BX112&lt;&gt;Constants!$B$6,"",IF(AND($AL112,$AQ112,$AO112),Constants!$B$22,0))</f>
        <v/>
      </c>
      <c r="BF112" s="97" t="str">
        <f aca="false">IF($BX112&lt;&gt;Constants!$B$6,"",IF($AL112,($AI112-Constants!$B$24)*Constants!$B$23,0))</f>
        <v/>
      </c>
      <c r="BG112" s="97" t="str">
        <f aca="false">IF($BX112&lt;&gt;Constants!$B$6,"",IF($AK112,0,Constants!$B$12)+IF($AJ112,0,Constants!$B$13)+IF($AH112,0,Constants!$B$14))</f>
        <v/>
      </c>
      <c r="BH112" s="98" t="str">
        <f aca="false">IF($BX112&lt;&gt;Constants!$B$6,"",Constants!$B$16+SUM($BC112:$BG112))</f>
        <v/>
      </c>
      <c r="BI112" s="97" t="str">
        <f aca="false">IF($BX112&lt;&gt;Constants!$B$6,"",$BC112)</f>
        <v/>
      </c>
      <c r="BJ112" s="97" t="str">
        <f aca="false">IF($BX112&lt;&gt;Constants!$B$6,"",$BD112)</f>
        <v/>
      </c>
      <c r="BK112" s="99" t="str">
        <f aca="false">IF($BX112&lt;&gt;Constants!$B$6,"",IF($AL112,$AN112,""))</f>
        <v/>
      </c>
      <c r="BL112" s="93" t="str">
        <f aca="false">IF($BX112&lt;&gt;Constants!$B$6,"",IF(OR($BS112&lt;$BH112,AND($BS112=$BH112,OR($BT112&lt;$BI112,AND($BT112=$BI112,OR($BU112&lt;$BJ112,AND($BU112=$BJ112,AND(ISNUMBER($BV112),OR(NOT(ISNUMBER($BK112)),$BV112&lt;$BK112)))))))),"-&gt;","&lt;-"))</f>
        <v/>
      </c>
      <c r="BM112" s="92" t="str">
        <f aca="false">IF(ISBLANK($C112),"",AND($AT112,OR($AU112="",$AV112="",AND($AW112,$AX112=""))))</f>
        <v/>
      </c>
      <c r="BN112" s="94" t="str">
        <f aca="false">IF($BX112&lt;&gt;Constants!$B$6,"",IF($AT112,Constants!$B$17*$AV112+Constants!$B$18*IF($AW112,$AX112,Constants!$B$19),Constants!$B$20))</f>
        <v/>
      </c>
      <c r="BO112" s="97" t="str">
        <f aca="false">IF($BX112&lt;&gt;Constants!$B$6,"",Constants!$B$21*ABS($AD$9-IF($AT112,$AU112,0)))</f>
        <v/>
      </c>
      <c r="BP112" s="97" t="str">
        <f aca="false">IF($BX112&lt;&gt;Constants!$B$6,"",IF(AND($AT112,$AY112,$AW112),Constants!$B$22,0))</f>
        <v/>
      </c>
      <c r="BQ112" s="97" t="str">
        <f aca="false">IF($BX112&lt;&gt;Constants!$B$6,"",IF($AT112,($AI112-Constants!$B$24)*Constants!$B$23,0))</f>
        <v/>
      </c>
      <c r="BR112" s="97" t="str">
        <f aca="false">IF($BX112&lt;&gt;Constants!$B$6,"",IF($AS112,0,Constants!$B$12)+IF($AR112,0,Constants!$B$13)+IF($AH112,0,Constants!$B$14))</f>
        <v/>
      </c>
      <c r="BS112" s="98" t="str">
        <f aca="false">IF($BX112&lt;&gt;Constants!$B$6,"",Constants!$B$16+SUM($BN112:$BR112))</f>
        <v/>
      </c>
      <c r="BT112" s="97" t="str">
        <f aca="false">IF($BX112&lt;&gt;Constants!$B$6,"",$BN112)</f>
        <v/>
      </c>
      <c r="BU112" s="97" t="str">
        <f aca="false">IF($BX112&lt;&gt;Constants!$B$6,"",$BO112)</f>
        <v/>
      </c>
      <c r="BV112" s="99" t="str">
        <f aca="false">IF($BX112&lt;&gt;Constants!$B$6,"",IF($AT112,$AV112,""))</f>
        <v/>
      </c>
      <c r="BW112" s="93" t="str">
        <f aca="false">IF(ISBLANK($C112),"",IF(ISBLANK($D$7),$BW$5,IF(NOT(ISNUMBER($D$7)),$BW$6,"")))</f>
        <v/>
      </c>
      <c r="BX112" s="93" t="str">
        <f aca="false">IF(ISBLANK($C112),"",IF($BA112,Constants!$B$9,IF(COUNTA($E112:$AA112)=0,Constants!$B$8,IF(NOT($AG112),Constants!$B$7,IF(OR($BW112&lt;&gt;"",$BB112,$BM112),Constants!$B$10,Constants!$B$6)))))</f>
        <v/>
      </c>
      <c r="BY112" s="93" t="str">
        <f aca="false">IF(ISBLANK($C112),"",IF($BX112&lt;&gt;Constants!$B$6,$BX112,Constants!$B$11))</f>
        <v/>
      </c>
      <c r="BZ112" s="97" t="str">
        <f aca="false">IF($BX112&lt;&gt;Constants!$B$6,"",IF($BL112="-&gt;",$BS112,$BH112))</f>
        <v/>
      </c>
      <c r="CA112" s="97" t="str">
        <f aca="false">IF($BX112&lt;&gt;Constants!$B$6,"",IF($AF112,0,Constants!$B$15))</f>
        <v/>
      </c>
      <c r="CB112" s="97" t="str">
        <f aca="false">IF($BX112&lt;&gt;Constants!$B$6,"",((Constants!$B$25-$AZ112)-Constants!$B$25)/Constants!$B$26)</f>
        <v/>
      </c>
      <c r="CC112" s="97" t="str">
        <f aca="false">IF(ISBLANK($C112),"",IF($BX112&lt;&gt;Constants!$B$6,$BX112,SUM($BZ112:$CB112)))</f>
        <v/>
      </c>
      <c r="CD112" s="93" t="str">
        <f aca="false">IF(ISBLANK($C112),"",IF($BX112&lt;&gt;Constants!$B$6,$BX112,RANK($CC112,$CC$9:$CC$508,1)))</f>
        <v/>
      </c>
      <c r="CE112" s="97" t="str">
        <f aca="false">IF($BX112&lt;&gt;Constants!$B$6,"",IF($BL112="-&gt;",$BT112,$BI112))</f>
        <v/>
      </c>
      <c r="CF112" s="93" t="str">
        <f aca="false">IF(ISBLANK($C112),"",IF($BX112&lt;&gt;Constants!$B$6,$BX112,IF(ISNUMBER($CE112),RANK($CE112,$CE$9:$CE$508,1),COUNT($CE$9:$CE$508)+1)))</f>
        <v/>
      </c>
      <c r="CG112" s="97" t="str">
        <f aca="false">IF($BX112&lt;&gt;Constants!$B$6,"",IF($BL112="-&gt;",$BU112,$BJ112))</f>
        <v/>
      </c>
      <c r="CH112" s="93" t="str">
        <f aca="false">IF(ISBLANK($C112),"",IF($BX112&lt;&gt;Constants!$B$6,$BX112,IF(ISNUMBER($CG112),RANK($CG112,$CG$9:$CG$508,1),COUNT($CG$9:$CG$508)+1)))</f>
        <v/>
      </c>
      <c r="CI112" s="97" t="str">
        <f aca="false">IF($BX112&lt;&gt;Constants!$B$6,"",IF($BL112="-&gt;",$BV112,$BK112))</f>
        <v/>
      </c>
      <c r="CJ112" s="93" t="str">
        <f aca="false">IF(ISBLANK($C112),"",IF($BX112&lt;&gt;Constants!$B$6,$BX112,IF(ISNUMBER($CI112),RANK($CI112,$CI$9:$CI$508,1),COUNT($CI$9:$CI$508)+1)))</f>
        <v/>
      </c>
      <c r="CK112" s="97" t="str">
        <f aca="false">IF($BX112&lt;&gt;Constants!$B$6,"",$AI112)</f>
        <v/>
      </c>
      <c r="CL112" s="93" t="str">
        <f aca="false">IF(ISBLANK($C112),"",IF($BX112&lt;&gt;Constants!$B$6,$BX112,IF(ISNUMBER($CK112),RANK($CK112,$CK$9:$CK$508,1),COUNT($CK$9:$CK$508)+1)))</f>
        <v/>
      </c>
      <c r="CM112" s="93" t="str">
        <f aca="false">IF(ISBLANK($C112),"",IF($BX112&lt;&gt;Constants!$B$6,$BX112,COUNTIFS($CD$9:$CD$508,"&lt;"&amp;$CD112)+COUNTIFS($CD$9:$CD$508,$CD112,$CF$9:$CF$508,"&lt;"&amp;$CF112)+COUNTIFS($CD$9:$CD$508,$CD112,$CF$9:$CF$508,$CF112,$CH$9:$CH$508,"&lt;"&amp;$CH112)+COUNTIFS($CD$9:$CD$508,$CD112,$CF$9:$CF$508,$CF112,$CH$9:$CH$508,$CH112,$CJ$9:$CJ$508,"&lt;"&amp;$CJ112)+COUNTIFS($CD$9:$CD$508,$CD112,$CF$9:$CF$508,$CF112,$CH$9:$CH$508,$CH112,$CJ$9:$CJ$508,$CJ112,$CL$9:$CL$508,"&lt;"&amp;$CL112)+1))</f>
        <v/>
      </c>
      <c r="CN112" s="93" t="str">
        <f aca="false">IF(ISBLANK($C112),"",IF($BX112&lt;&gt;Constants!$B$6,$BX112,$CD112-$CM112))</f>
        <v/>
      </c>
      <c r="CO112" s="100"/>
      <c r="CP112" s="101"/>
      <c r="CQ112" s="102" t="str">
        <f aca="false">IF(ISBLANK($C112),"",IF($BX112=Constants!$B$10,$BW112,""))</f>
        <v/>
      </c>
      <c r="CR112" s="101" t="str">
        <f aca="false">IF(ISBLANK($C112),"",IF($BX112&lt;&gt;Constants!$B$6,"",IF($BL112="-&gt;",2,1)))</f>
        <v/>
      </c>
      <c r="CS112" s="103" t="str">
        <f aca="false">IF(ISBLANK($C112),"",IF($BX112&lt;&gt;Constants!$B$6,"",IF($BL112="-&gt;",$BN112,$BC112)))</f>
        <v/>
      </c>
      <c r="CT112" s="103" t="str">
        <f aca="false">IF(ISBLANK($C112),"",IF($BX112&lt;&gt;Constants!$B$6,"",IF($BL112="-&gt;",$BO112,$BD112)))</f>
        <v/>
      </c>
      <c r="CU112" s="103" t="str">
        <f aca="false">IF(ISBLANK($C112),"",IF($BX112&lt;&gt;Constants!$B$6,"",IF($BL112="-&gt;",$BP112+$BQ112,$BE112+$BF112)+$CB112))</f>
        <v/>
      </c>
      <c r="CV112" s="103" t="str">
        <f aca="false">IF(ISBLANK($C112),"",IF($BX112&lt;&gt;Constants!$B$6,"",IF($BL112="-&gt;",$BR112,$BG112)+$CA112))</f>
        <v/>
      </c>
      <c r="CW112" s="104" t="str">
        <f aca="false">IF(ISBLANK($C112),"",IF($BX112&lt;&gt;Constants!$B$6,$BX112,$CC112))</f>
        <v/>
      </c>
      <c r="CX112" s="105" t="str">
        <f aca="false">IF(ISBLANK($C112),"",$BY112)</f>
        <v/>
      </c>
      <c r="CY112" s="106" t="str">
        <f aca="false">IF(ISBLANK($C112),"",$CN112)</f>
        <v/>
      </c>
      <c r="CZ112" s="106" t="str">
        <f aca="false">IF(ISBLANK($C112),"",$CM112)</f>
        <v/>
      </c>
      <c r="DA112" s="107" t="str">
        <f aca="false">IF(ISBLANK($C112),"",IFERROR(_xlfn.SWITCH($CZ112,Constants!$B$9,COUNTA($C$9:$C$508)+2,Constants!$B$8,COUNTA($C$9:$C$508)+1,Constants!$B$7,COUNTA($C$9:$C$508)),$CZ112))</f>
        <v/>
      </c>
      <c r="DB112" s="9"/>
      <c r="DC112" s="108" t="n">
        <f aca="false">IF(OR(ISNUMBER($CZ112),$CZ112=Constants!$B$9,$CZ112=Constants!$B$7,$CZ112=Constants!$B$8),1,0)</f>
        <v>0</v>
      </c>
      <c r="DD112" s="108" t="n">
        <v>104</v>
      </c>
      <c r="DE112" s="108" t="str">
        <f aca="false">IF(ISBLANK($C112),"",IF(ISNUMBER($DA112),$DA112+ROW($B112)/1000,""))</f>
        <v/>
      </c>
      <c r="DF112" s="108" t="str">
        <f aca="false">IF(ISNUMBER($DE112),RANK($DE112,$DE$9:$DE$508,1),"")</f>
        <v/>
      </c>
      <c r="DG112" s="108" t="str">
        <f aca="false">IF(ISBLANK($C112),"",$B112)</f>
        <v/>
      </c>
      <c r="DH112" s="108" t="str">
        <f aca="false">IF(ISBLANK($C112),"",$C112)</f>
        <v/>
      </c>
      <c r="DI112" s="108" t="str">
        <f aca="false">IF(ISBLANK($C112),"",$D112)</f>
        <v/>
      </c>
      <c r="DJ112" s="109" t="str">
        <f aca="false">$CX112</f>
        <v/>
      </c>
      <c r="DK112" s="110" t="str">
        <f aca="false">$CW112</f>
        <v/>
      </c>
      <c r="DL112" s="108" t="str">
        <f aca="false">IF(ISBLANK($C112),"",$CZ112)</f>
        <v/>
      </c>
      <c r="DM112" s="111" t="str">
        <f aca="false">IF($DD112&gt;$DC$8,"",VLOOKUP($DD112,$DF$9:$DL$508,7,FALSE()))</f>
        <v/>
      </c>
      <c r="DN112" s="112" t="str">
        <f aca="false">IF($DD112&gt;$DC$8,"",VLOOKUP($DD112,$DF$9:$DL$508,2,FALSE()))</f>
        <v/>
      </c>
      <c r="DO112" s="112" t="str">
        <f aca="false">IF($DD112&gt;$DC$8,"",VLOOKUP($DD112,$DF$9:$DL$508,3,FALSE()))</f>
        <v/>
      </c>
      <c r="DP112" s="112" t="str">
        <f aca="false">IF($DD112&gt;$DC$8,"",VLOOKUP($DD112,$DF$9:$DL$508,4,FALSE()))</f>
        <v/>
      </c>
      <c r="DQ112" s="112" t="str">
        <f aca="false">IF($DD112&gt;$DC$8,"",VLOOKUP($DD112,$DF$9:$DL$508,5,FALSE()))</f>
        <v/>
      </c>
      <c r="DR112" s="113" t="str">
        <f aca="false">IF($DD112&gt;$DC$8,"",VLOOKUP($DD112,$DF$9:$DL$508,6,FALSE()))</f>
        <v/>
      </c>
      <c r="DS112" s="76"/>
    </row>
    <row r="113" customFormat="false" ht="15.75" hidden="false" customHeight="false" outlineLevel="0" collapsed="false">
      <c r="A113" s="9"/>
      <c r="B113" s="78"/>
      <c r="C113" s="79"/>
      <c r="D113" s="170"/>
      <c r="E113" s="178"/>
      <c r="F113" s="172"/>
      <c r="G113" s="173"/>
      <c r="H113" s="173"/>
      <c r="I113" s="179"/>
      <c r="J113" s="176"/>
      <c r="K113" s="86"/>
      <c r="L113" s="87"/>
      <c r="M113" s="88"/>
      <c r="N113" s="176"/>
      <c r="O113" s="176"/>
      <c r="P113" s="178"/>
      <c r="Q113" s="176"/>
      <c r="R113" s="176"/>
      <c r="S113" s="86"/>
      <c r="T113" s="88"/>
      <c r="U113" s="88"/>
      <c r="V113" s="176"/>
      <c r="W113" s="176"/>
      <c r="X113" s="178"/>
      <c r="Y113" s="176"/>
      <c r="Z113" s="177"/>
      <c r="AA113" s="176"/>
      <c r="AB113" s="92"/>
      <c r="AC113" s="93"/>
      <c r="AD113" s="93"/>
      <c r="AE113" s="93"/>
      <c r="AF113" s="93" t="str">
        <f aca="false">IF(ISBLANK($C113),"",IF(E113=Constants!$B$2,TRUE(),IF(E113=Constants!$B$3,FALSE(),TRUE())))</f>
        <v/>
      </c>
      <c r="AG113" s="93" t="str">
        <f aca="false">IF(ISBLANK($C113),"",IF(F113=Constants!$B$2,TRUE(),IF(F113=Constants!$B$3,FALSE(),TRUE())))</f>
        <v/>
      </c>
      <c r="AH113" s="93" t="str">
        <f aca="false">IF(ISBLANK($C113),"",IF(G113=Constants!$B$2,TRUE(),IF(G113=Constants!$B$3,FALSE(),TRUE())))</f>
        <v/>
      </c>
      <c r="AI113" s="93" t="str">
        <f aca="false">IF(ISBLANK($C113),"",IF(AND(ISNUMBER(H113),H113&gt;=0),H113,Constants!$B$24))</f>
        <v/>
      </c>
      <c r="AJ113" s="93" t="str">
        <f aca="false">IF(ISBLANK($C113),"",IF(I113=Constants!$B$2,TRUE(),IF(I113=Constants!$B$3,FALSE(),TRUE())))</f>
        <v/>
      </c>
      <c r="AK113" s="93" t="str">
        <f aca="false">IF(ISBLANK($C113),"",IF(J113=Constants!$B$2,TRUE(),IF(J113=Constants!$B$3,FALSE(),TRUE())))</f>
        <v/>
      </c>
      <c r="AL113" s="93" t="str">
        <f aca="false">IF(ISBLANK($C113),"",IF(K113=Constants!$B$4,TRUE(),IF(K113=Constants!$B$5,FALSE(),COUNTA(L113:P113)&gt;0)))</f>
        <v/>
      </c>
      <c r="AM113" s="95" t="str">
        <f aca="false">IF(ISBLANK($C113),"",IF(ISNUMBER(L113),IF(L113&gt;=0,L113,""),""))</f>
        <v/>
      </c>
      <c r="AN113" s="94" t="str">
        <f aca="false">IF(ISBLANK($C113),"",IF(ISNUMBER(M113),IF(M113&gt;=0,M113,""),""))</f>
        <v/>
      </c>
      <c r="AO113" s="94" t="str">
        <f aca="false">IF(ISBLANK($C113),"",IF(N113=Constants!$B$2,TRUE(),IF(N113=Constants!$B$3,FALSE(),TRUE())))</f>
        <v/>
      </c>
      <c r="AP113" s="93" t="str">
        <f aca="false">IF(ISBLANK($C113),"",IF(ISNUMBER(O113),IF(O113&gt;=0,O113,""),""))</f>
        <v/>
      </c>
      <c r="AQ113" s="93" t="str">
        <f aca="false">IF(ISBLANK($C113),"",IF(P113=Constants!$B$2,TRUE(),IF(P113=Constants!$B$3,FALSE(),FALSE())))</f>
        <v/>
      </c>
      <c r="AR113" s="93" t="str">
        <f aca="false">IF(ISBLANK($C113),"",IF(Q113=Constants!$B$2,TRUE(),IF(Q113=Constants!$B$3,FALSE(),TRUE())))</f>
        <v/>
      </c>
      <c r="AS113" s="93" t="str">
        <f aca="false">IF(ISBLANK($C113),"",IF(R113=Constants!$B$2,TRUE(),IF(R113=Constants!$B$3,FALSE(),TRUE())))</f>
        <v/>
      </c>
      <c r="AT113" s="93" t="str">
        <f aca="false">IF(ISBLANK($C113),"",IF(S113=Constants!$B$4,TRUE(),IF(S113=Constants!$B$5,FALSE(),COUNTA(T113:X113)&gt;0)))</f>
        <v/>
      </c>
      <c r="AU113" s="95" t="str">
        <f aca="false">IF(ISBLANK($C113),"",IF(ISNUMBER(T113),IF(T113&gt;=0,T113,""),""))</f>
        <v/>
      </c>
      <c r="AV113" s="94" t="str">
        <f aca="false">IF(ISBLANK($C113),"",IF(ISNUMBER(U113),IF(U113&gt;=0,U113,""),""))</f>
        <v/>
      </c>
      <c r="AW113" s="94" t="str">
        <f aca="false">IF(ISBLANK($C113),"",IF(V113=Constants!$B$2,TRUE(),IF(V113=Constants!$B$3,FALSE(),TRUE())))</f>
        <v/>
      </c>
      <c r="AX113" s="93" t="str">
        <f aca="false">IF(ISBLANK($C113),"",IF(ISNUMBER(W113),IF(W113&gt;=0,W113,""),""))</f>
        <v/>
      </c>
      <c r="AY113" s="93" t="str">
        <f aca="false">IF(ISBLANK($C113),"",IF(X113=Constants!$B$2,TRUE(),IF(X113=Constants!$B$3,FALSE(),FALSE())))</f>
        <v/>
      </c>
      <c r="AZ113" s="93" t="str">
        <f aca="false">IF(ISBLANK($C113),"",MIN(Constants!$B$25,MAX(0,IF(ISNUMBER(Y113),Y113*60,0)+IF(ISNUMBER(Z113),Z113,0))))</f>
        <v/>
      </c>
      <c r="BA113" s="93" t="str">
        <f aca="false">IF(ISBLANK($C113),"",IF(AA113=Constants!$B$2,TRUE(),IF(AA113=Constants!$B$3,FALSE(),FALSE())))</f>
        <v/>
      </c>
      <c r="BB113" s="92" t="str">
        <f aca="false">IF(ISBLANK($C113),"",AND($AL113,OR($AM113="",$AN113="",AND($AO113,$AP113=""))))</f>
        <v/>
      </c>
      <c r="BC113" s="94" t="str">
        <f aca="false">IF($BX113&lt;&gt;Constants!$B$6,"",IF($AL113,Constants!$B$17*$AN113+Constants!$B$18*IF($AO113,$AP113,Constants!$B$19),Constants!$B$20))</f>
        <v/>
      </c>
      <c r="BD113" s="97" t="str">
        <f aca="false">IF($BX113&lt;&gt;Constants!$B$6,"",Constants!$B$21*ABS($AD$9-IF($AL113,$AM113,0)))</f>
        <v/>
      </c>
      <c r="BE113" s="97" t="str">
        <f aca="false">IF($BX113&lt;&gt;Constants!$B$6,"",IF(AND($AL113,$AQ113,$AO113),Constants!$B$22,0))</f>
        <v/>
      </c>
      <c r="BF113" s="97" t="str">
        <f aca="false">IF($BX113&lt;&gt;Constants!$B$6,"",IF($AL113,($AI113-Constants!$B$24)*Constants!$B$23,0))</f>
        <v/>
      </c>
      <c r="BG113" s="97" t="str">
        <f aca="false">IF($BX113&lt;&gt;Constants!$B$6,"",IF($AK113,0,Constants!$B$12)+IF($AJ113,0,Constants!$B$13)+IF($AH113,0,Constants!$B$14))</f>
        <v/>
      </c>
      <c r="BH113" s="98" t="str">
        <f aca="false">IF($BX113&lt;&gt;Constants!$B$6,"",Constants!$B$16+SUM($BC113:$BG113))</f>
        <v/>
      </c>
      <c r="BI113" s="97" t="str">
        <f aca="false">IF($BX113&lt;&gt;Constants!$B$6,"",$BC113)</f>
        <v/>
      </c>
      <c r="BJ113" s="97" t="str">
        <f aca="false">IF($BX113&lt;&gt;Constants!$B$6,"",$BD113)</f>
        <v/>
      </c>
      <c r="BK113" s="99" t="str">
        <f aca="false">IF($BX113&lt;&gt;Constants!$B$6,"",IF($AL113,$AN113,""))</f>
        <v/>
      </c>
      <c r="BL113" s="93" t="str">
        <f aca="false">IF($BX113&lt;&gt;Constants!$B$6,"",IF(OR($BS113&lt;$BH113,AND($BS113=$BH113,OR($BT113&lt;$BI113,AND($BT113=$BI113,OR($BU113&lt;$BJ113,AND($BU113=$BJ113,AND(ISNUMBER($BV113),OR(NOT(ISNUMBER($BK113)),$BV113&lt;$BK113)))))))),"-&gt;","&lt;-"))</f>
        <v/>
      </c>
      <c r="BM113" s="92" t="str">
        <f aca="false">IF(ISBLANK($C113),"",AND($AT113,OR($AU113="",$AV113="",AND($AW113,$AX113=""))))</f>
        <v/>
      </c>
      <c r="BN113" s="94" t="str">
        <f aca="false">IF($BX113&lt;&gt;Constants!$B$6,"",IF($AT113,Constants!$B$17*$AV113+Constants!$B$18*IF($AW113,$AX113,Constants!$B$19),Constants!$B$20))</f>
        <v/>
      </c>
      <c r="BO113" s="97" t="str">
        <f aca="false">IF($BX113&lt;&gt;Constants!$B$6,"",Constants!$B$21*ABS($AD$9-IF($AT113,$AU113,0)))</f>
        <v/>
      </c>
      <c r="BP113" s="97" t="str">
        <f aca="false">IF($BX113&lt;&gt;Constants!$B$6,"",IF(AND($AT113,$AY113,$AW113),Constants!$B$22,0))</f>
        <v/>
      </c>
      <c r="BQ113" s="97" t="str">
        <f aca="false">IF($BX113&lt;&gt;Constants!$B$6,"",IF($AT113,($AI113-Constants!$B$24)*Constants!$B$23,0))</f>
        <v/>
      </c>
      <c r="BR113" s="97" t="str">
        <f aca="false">IF($BX113&lt;&gt;Constants!$B$6,"",IF($AS113,0,Constants!$B$12)+IF($AR113,0,Constants!$B$13)+IF($AH113,0,Constants!$B$14))</f>
        <v/>
      </c>
      <c r="BS113" s="98" t="str">
        <f aca="false">IF($BX113&lt;&gt;Constants!$B$6,"",Constants!$B$16+SUM($BN113:$BR113))</f>
        <v/>
      </c>
      <c r="BT113" s="97" t="str">
        <f aca="false">IF($BX113&lt;&gt;Constants!$B$6,"",$BN113)</f>
        <v/>
      </c>
      <c r="BU113" s="97" t="str">
        <f aca="false">IF($BX113&lt;&gt;Constants!$B$6,"",$BO113)</f>
        <v/>
      </c>
      <c r="BV113" s="99" t="str">
        <f aca="false">IF($BX113&lt;&gt;Constants!$B$6,"",IF($AT113,$AV113,""))</f>
        <v/>
      </c>
      <c r="BW113" s="93" t="str">
        <f aca="false">IF(ISBLANK($C113),"",IF(ISBLANK($D$7),$BW$5,IF(NOT(ISNUMBER($D$7)),$BW$6,"")))</f>
        <v/>
      </c>
      <c r="BX113" s="93" t="str">
        <f aca="false">IF(ISBLANK($C113),"",IF($BA113,Constants!$B$9,IF(COUNTA($E113:$AA113)=0,Constants!$B$8,IF(NOT($AG113),Constants!$B$7,IF(OR($BW113&lt;&gt;"",$BB113,$BM113),Constants!$B$10,Constants!$B$6)))))</f>
        <v/>
      </c>
      <c r="BY113" s="93" t="str">
        <f aca="false">IF(ISBLANK($C113),"",IF($BX113&lt;&gt;Constants!$B$6,$BX113,Constants!$B$11))</f>
        <v/>
      </c>
      <c r="BZ113" s="97" t="str">
        <f aca="false">IF($BX113&lt;&gt;Constants!$B$6,"",IF($BL113="-&gt;",$BS113,$BH113))</f>
        <v/>
      </c>
      <c r="CA113" s="97" t="str">
        <f aca="false">IF($BX113&lt;&gt;Constants!$B$6,"",IF($AF113,0,Constants!$B$15))</f>
        <v/>
      </c>
      <c r="CB113" s="97" t="str">
        <f aca="false">IF($BX113&lt;&gt;Constants!$B$6,"",((Constants!$B$25-$AZ113)-Constants!$B$25)/Constants!$B$26)</f>
        <v/>
      </c>
      <c r="CC113" s="97" t="str">
        <f aca="false">IF(ISBLANK($C113),"",IF($BX113&lt;&gt;Constants!$B$6,$BX113,SUM($BZ113:$CB113)))</f>
        <v/>
      </c>
      <c r="CD113" s="93" t="str">
        <f aca="false">IF(ISBLANK($C113),"",IF($BX113&lt;&gt;Constants!$B$6,$BX113,RANK($CC113,$CC$9:$CC$508,1)))</f>
        <v/>
      </c>
      <c r="CE113" s="97" t="str">
        <f aca="false">IF($BX113&lt;&gt;Constants!$B$6,"",IF($BL113="-&gt;",$BT113,$BI113))</f>
        <v/>
      </c>
      <c r="CF113" s="93" t="str">
        <f aca="false">IF(ISBLANK($C113),"",IF($BX113&lt;&gt;Constants!$B$6,$BX113,IF(ISNUMBER($CE113),RANK($CE113,$CE$9:$CE$508,1),COUNT($CE$9:$CE$508)+1)))</f>
        <v/>
      </c>
      <c r="CG113" s="97" t="str">
        <f aca="false">IF($BX113&lt;&gt;Constants!$B$6,"",IF($BL113="-&gt;",$BU113,$BJ113))</f>
        <v/>
      </c>
      <c r="CH113" s="93" t="str">
        <f aca="false">IF(ISBLANK($C113),"",IF($BX113&lt;&gt;Constants!$B$6,$BX113,IF(ISNUMBER($CG113),RANK($CG113,$CG$9:$CG$508,1),COUNT($CG$9:$CG$508)+1)))</f>
        <v/>
      </c>
      <c r="CI113" s="97" t="str">
        <f aca="false">IF($BX113&lt;&gt;Constants!$B$6,"",IF($BL113="-&gt;",$BV113,$BK113))</f>
        <v/>
      </c>
      <c r="CJ113" s="93" t="str">
        <f aca="false">IF(ISBLANK($C113),"",IF($BX113&lt;&gt;Constants!$B$6,$BX113,IF(ISNUMBER($CI113),RANK($CI113,$CI$9:$CI$508,1),COUNT($CI$9:$CI$508)+1)))</f>
        <v/>
      </c>
      <c r="CK113" s="97" t="str">
        <f aca="false">IF($BX113&lt;&gt;Constants!$B$6,"",$AI113)</f>
        <v/>
      </c>
      <c r="CL113" s="93" t="str">
        <f aca="false">IF(ISBLANK($C113),"",IF($BX113&lt;&gt;Constants!$B$6,$BX113,IF(ISNUMBER($CK113),RANK($CK113,$CK$9:$CK$508,1),COUNT($CK$9:$CK$508)+1)))</f>
        <v/>
      </c>
      <c r="CM113" s="93" t="str">
        <f aca="false">IF(ISBLANK($C113),"",IF($BX113&lt;&gt;Constants!$B$6,$BX113,COUNTIFS($CD$9:$CD$508,"&lt;"&amp;$CD113)+COUNTIFS($CD$9:$CD$508,$CD113,$CF$9:$CF$508,"&lt;"&amp;$CF113)+COUNTIFS($CD$9:$CD$508,$CD113,$CF$9:$CF$508,$CF113,$CH$9:$CH$508,"&lt;"&amp;$CH113)+COUNTIFS($CD$9:$CD$508,$CD113,$CF$9:$CF$508,$CF113,$CH$9:$CH$508,$CH113,$CJ$9:$CJ$508,"&lt;"&amp;$CJ113)+COUNTIFS($CD$9:$CD$508,$CD113,$CF$9:$CF$508,$CF113,$CH$9:$CH$508,$CH113,$CJ$9:$CJ$508,$CJ113,$CL$9:$CL$508,"&lt;"&amp;$CL113)+1))</f>
        <v/>
      </c>
      <c r="CN113" s="93" t="str">
        <f aca="false">IF(ISBLANK($C113),"",IF($BX113&lt;&gt;Constants!$B$6,$BX113,$CD113-$CM113))</f>
        <v/>
      </c>
      <c r="CO113" s="100"/>
      <c r="CP113" s="101"/>
      <c r="CQ113" s="102" t="str">
        <f aca="false">IF(ISBLANK($C113),"",IF($BX113=Constants!$B$10,$BW113,""))</f>
        <v/>
      </c>
      <c r="CR113" s="101" t="str">
        <f aca="false">IF(ISBLANK($C113),"",IF($BX113&lt;&gt;Constants!$B$6,"",IF($BL113="-&gt;",2,1)))</f>
        <v/>
      </c>
      <c r="CS113" s="103" t="str">
        <f aca="false">IF(ISBLANK($C113),"",IF($BX113&lt;&gt;Constants!$B$6,"",IF($BL113="-&gt;",$BN113,$BC113)))</f>
        <v/>
      </c>
      <c r="CT113" s="103" t="str">
        <f aca="false">IF(ISBLANK($C113),"",IF($BX113&lt;&gt;Constants!$B$6,"",IF($BL113="-&gt;",$BO113,$BD113)))</f>
        <v/>
      </c>
      <c r="CU113" s="103" t="str">
        <f aca="false">IF(ISBLANK($C113),"",IF($BX113&lt;&gt;Constants!$B$6,"",IF($BL113="-&gt;",$BP113+$BQ113,$BE113+$BF113)+$CB113))</f>
        <v/>
      </c>
      <c r="CV113" s="103" t="str">
        <f aca="false">IF(ISBLANK($C113),"",IF($BX113&lt;&gt;Constants!$B$6,"",IF($BL113="-&gt;",$BR113,$BG113)+$CA113))</f>
        <v/>
      </c>
      <c r="CW113" s="104" t="str">
        <f aca="false">IF(ISBLANK($C113),"",IF($BX113&lt;&gt;Constants!$B$6,$BX113,$CC113))</f>
        <v/>
      </c>
      <c r="CX113" s="105" t="str">
        <f aca="false">IF(ISBLANK($C113),"",$BY113)</f>
        <v/>
      </c>
      <c r="CY113" s="106" t="str">
        <f aca="false">IF(ISBLANK($C113),"",$CN113)</f>
        <v/>
      </c>
      <c r="CZ113" s="106" t="str">
        <f aca="false">IF(ISBLANK($C113),"",$CM113)</f>
        <v/>
      </c>
      <c r="DA113" s="107" t="str">
        <f aca="false">IF(ISBLANK($C113),"",IFERROR(_xlfn.SWITCH($CZ113,Constants!$B$9,COUNTA($C$9:$C$508)+2,Constants!$B$8,COUNTA($C$9:$C$508)+1,Constants!$B$7,COUNTA($C$9:$C$508)),$CZ113))</f>
        <v/>
      </c>
      <c r="DB113" s="9"/>
      <c r="DC113" s="108" t="n">
        <f aca="false">IF(OR(ISNUMBER($CZ113),$CZ113=Constants!$B$9,$CZ113=Constants!$B$7,$CZ113=Constants!$B$8),1,0)</f>
        <v>0</v>
      </c>
      <c r="DD113" s="108" t="n">
        <v>105</v>
      </c>
      <c r="DE113" s="108" t="str">
        <f aca="false">IF(ISBLANK($C113),"",IF(ISNUMBER($DA113),$DA113+ROW($B113)/1000,""))</f>
        <v/>
      </c>
      <c r="DF113" s="108" t="str">
        <f aca="false">IF(ISNUMBER($DE113),RANK($DE113,$DE$9:$DE$508,1),"")</f>
        <v/>
      </c>
      <c r="DG113" s="108" t="str">
        <f aca="false">IF(ISBLANK($C113),"",$B113)</f>
        <v/>
      </c>
      <c r="DH113" s="108" t="str">
        <f aca="false">IF(ISBLANK($C113),"",$C113)</f>
        <v/>
      </c>
      <c r="DI113" s="108" t="str">
        <f aca="false">IF(ISBLANK($C113),"",$D113)</f>
        <v/>
      </c>
      <c r="DJ113" s="109" t="str">
        <f aca="false">$CX113</f>
        <v/>
      </c>
      <c r="DK113" s="110" t="str">
        <f aca="false">$CW113</f>
        <v/>
      </c>
      <c r="DL113" s="108" t="str">
        <f aca="false">IF(ISBLANK($C113),"",$CZ113)</f>
        <v/>
      </c>
      <c r="DM113" s="111" t="str">
        <f aca="false">IF($DD113&gt;$DC$8,"",VLOOKUP($DD113,$DF$9:$DL$508,7,FALSE()))</f>
        <v/>
      </c>
      <c r="DN113" s="112" t="str">
        <f aca="false">IF($DD113&gt;$DC$8,"",VLOOKUP($DD113,$DF$9:$DL$508,2,FALSE()))</f>
        <v/>
      </c>
      <c r="DO113" s="112" t="str">
        <f aca="false">IF($DD113&gt;$DC$8,"",VLOOKUP($DD113,$DF$9:$DL$508,3,FALSE()))</f>
        <v/>
      </c>
      <c r="DP113" s="112" t="str">
        <f aca="false">IF($DD113&gt;$DC$8,"",VLOOKUP($DD113,$DF$9:$DL$508,4,FALSE()))</f>
        <v/>
      </c>
      <c r="DQ113" s="112" t="str">
        <f aca="false">IF($DD113&gt;$DC$8,"",VLOOKUP($DD113,$DF$9:$DL$508,5,FALSE()))</f>
        <v/>
      </c>
      <c r="DR113" s="113" t="str">
        <f aca="false">IF($DD113&gt;$DC$8,"",VLOOKUP($DD113,$DF$9:$DL$508,6,FALSE()))</f>
        <v/>
      </c>
      <c r="DS113" s="76"/>
    </row>
    <row r="114" customFormat="false" ht="15.75" hidden="false" customHeight="false" outlineLevel="0" collapsed="false">
      <c r="A114" s="9"/>
      <c r="B114" s="160"/>
      <c r="C114" s="161"/>
      <c r="D114" s="162"/>
      <c r="E114" s="180"/>
      <c r="F114" s="164"/>
      <c r="G114" s="165"/>
      <c r="H114" s="165"/>
      <c r="I114" s="181"/>
      <c r="J114" s="168"/>
      <c r="K114" s="128"/>
      <c r="L114" s="129"/>
      <c r="M114" s="130"/>
      <c r="N114" s="168"/>
      <c r="O114" s="168"/>
      <c r="P114" s="180"/>
      <c r="Q114" s="168"/>
      <c r="R114" s="168"/>
      <c r="S114" s="128"/>
      <c r="T114" s="130"/>
      <c r="U114" s="130"/>
      <c r="V114" s="168"/>
      <c r="W114" s="168"/>
      <c r="X114" s="180"/>
      <c r="Y114" s="168"/>
      <c r="Z114" s="169"/>
      <c r="AA114" s="168"/>
      <c r="AB114" s="134"/>
      <c r="AC114" s="135"/>
      <c r="AD114" s="135"/>
      <c r="AE114" s="135"/>
      <c r="AF114" s="135" t="str">
        <f aca="false">IF(ISBLANK($C114),"",IF(E114=Constants!$B$2,TRUE(),IF(E114=Constants!$B$3,FALSE(),TRUE())))</f>
        <v/>
      </c>
      <c r="AG114" s="135" t="str">
        <f aca="false">IF(ISBLANK($C114),"",IF(F114=Constants!$B$2,TRUE(),IF(F114=Constants!$B$3,FALSE(),TRUE())))</f>
        <v/>
      </c>
      <c r="AH114" s="135" t="str">
        <f aca="false">IF(ISBLANK($C114),"",IF(G114=Constants!$B$2,TRUE(),IF(G114=Constants!$B$3,FALSE(),TRUE())))</f>
        <v/>
      </c>
      <c r="AI114" s="135" t="str">
        <f aca="false">IF(ISBLANK($C114),"",IF(AND(ISNUMBER(H114),H114&gt;=0),H114,Constants!$B$24))</f>
        <v/>
      </c>
      <c r="AJ114" s="135" t="str">
        <f aca="false">IF(ISBLANK($C114),"",IF(I114=Constants!$B$2,TRUE(),IF(I114=Constants!$B$3,FALSE(),TRUE())))</f>
        <v/>
      </c>
      <c r="AK114" s="135" t="str">
        <f aca="false">IF(ISBLANK($C114),"",IF(J114=Constants!$B$2,TRUE(),IF(J114=Constants!$B$3,FALSE(),TRUE())))</f>
        <v/>
      </c>
      <c r="AL114" s="135" t="str">
        <f aca="false">IF(ISBLANK($C114),"",IF(K114=Constants!$B$4,TRUE(),IF(K114=Constants!$B$5,FALSE(),COUNTA(L114:P114)&gt;0)))</f>
        <v/>
      </c>
      <c r="AM114" s="136" t="str">
        <f aca="false">IF(ISBLANK($C114),"",IF(ISNUMBER(L114),IF(L114&gt;=0,L114,""),""))</f>
        <v/>
      </c>
      <c r="AN114" s="137" t="str">
        <f aca="false">IF(ISBLANK($C114),"",IF(ISNUMBER(M114),IF(M114&gt;=0,M114,""),""))</f>
        <v/>
      </c>
      <c r="AO114" s="137" t="str">
        <f aca="false">IF(ISBLANK($C114),"",IF(N114=Constants!$B$2,TRUE(),IF(N114=Constants!$B$3,FALSE(),TRUE())))</f>
        <v/>
      </c>
      <c r="AP114" s="135" t="str">
        <f aca="false">IF(ISBLANK($C114),"",IF(ISNUMBER(O114),IF(O114&gt;=0,O114,""),""))</f>
        <v/>
      </c>
      <c r="AQ114" s="135" t="str">
        <f aca="false">IF(ISBLANK($C114),"",IF(P114=Constants!$B$2,TRUE(),IF(P114=Constants!$B$3,FALSE(),FALSE())))</f>
        <v/>
      </c>
      <c r="AR114" s="135" t="str">
        <f aca="false">IF(ISBLANK($C114),"",IF(Q114=Constants!$B$2,TRUE(),IF(Q114=Constants!$B$3,FALSE(),TRUE())))</f>
        <v/>
      </c>
      <c r="AS114" s="135" t="str">
        <f aca="false">IF(ISBLANK($C114),"",IF(R114=Constants!$B$2,TRUE(),IF(R114=Constants!$B$3,FALSE(),TRUE())))</f>
        <v/>
      </c>
      <c r="AT114" s="135" t="str">
        <f aca="false">IF(ISBLANK($C114),"",IF(S114=Constants!$B$4,TRUE(),IF(S114=Constants!$B$5,FALSE(),COUNTA(T114:X114)&gt;0)))</f>
        <v/>
      </c>
      <c r="AU114" s="136" t="str">
        <f aca="false">IF(ISBLANK($C114),"",IF(ISNUMBER(T114),IF(T114&gt;=0,T114,""),""))</f>
        <v/>
      </c>
      <c r="AV114" s="137" t="str">
        <f aca="false">IF(ISBLANK($C114),"",IF(ISNUMBER(U114),IF(U114&gt;=0,U114,""),""))</f>
        <v/>
      </c>
      <c r="AW114" s="137" t="str">
        <f aca="false">IF(ISBLANK($C114),"",IF(V114=Constants!$B$2,TRUE(),IF(V114=Constants!$B$3,FALSE(),TRUE())))</f>
        <v/>
      </c>
      <c r="AX114" s="135" t="str">
        <f aca="false">IF(ISBLANK($C114),"",IF(ISNUMBER(W114),IF(W114&gt;=0,W114,""),""))</f>
        <v/>
      </c>
      <c r="AY114" s="135" t="str">
        <f aca="false">IF(ISBLANK($C114),"",IF(X114=Constants!$B$2,TRUE(),IF(X114=Constants!$B$3,FALSE(),FALSE())))</f>
        <v/>
      </c>
      <c r="AZ114" s="135" t="str">
        <f aca="false">IF(ISBLANK($C114),"",MIN(Constants!$B$25,MAX(0,IF(ISNUMBER(Y114),Y114*60,0)+IF(ISNUMBER(Z114),Z114,0))))</f>
        <v/>
      </c>
      <c r="BA114" s="135" t="str">
        <f aca="false">IF(ISBLANK($C114),"",IF(AA114=Constants!$B$2,TRUE(),IF(AA114=Constants!$B$3,FALSE(),FALSE())))</f>
        <v/>
      </c>
      <c r="BB114" s="134" t="str">
        <f aca="false">IF(ISBLANK($C114),"",AND($AL114,OR($AM114="",$AN114="",AND($AO114,$AP114=""))))</f>
        <v/>
      </c>
      <c r="BC114" s="137" t="str">
        <f aca="false">IF($BX114&lt;&gt;Constants!$B$6,"",IF($AL114,Constants!$B$17*$AN114+Constants!$B$18*IF($AO114,$AP114,Constants!$B$19),Constants!$B$20))</f>
        <v/>
      </c>
      <c r="BD114" s="138" t="str">
        <f aca="false">IF($BX114&lt;&gt;Constants!$B$6,"",Constants!$B$21*ABS($AD$9-IF($AL114,$AM114,0)))</f>
        <v/>
      </c>
      <c r="BE114" s="138" t="str">
        <f aca="false">IF($BX114&lt;&gt;Constants!$B$6,"",IF(AND($AL114,$AQ114,$AO114),Constants!$B$22,0))</f>
        <v/>
      </c>
      <c r="BF114" s="138" t="str">
        <f aca="false">IF($BX114&lt;&gt;Constants!$B$6,"",IF($AL114,($AI114-Constants!$B$24)*Constants!$B$23,0))</f>
        <v/>
      </c>
      <c r="BG114" s="138" t="str">
        <f aca="false">IF($BX114&lt;&gt;Constants!$B$6,"",IF($AK114,0,Constants!$B$12)+IF($AJ114,0,Constants!$B$13)+IF($AH114,0,Constants!$B$14))</f>
        <v/>
      </c>
      <c r="BH114" s="139" t="str">
        <f aca="false">IF($BX114&lt;&gt;Constants!$B$6,"",Constants!$B$16+SUM($BC114:$BG114))</f>
        <v/>
      </c>
      <c r="BI114" s="138" t="str">
        <f aca="false">IF($BX114&lt;&gt;Constants!$B$6,"",$BC114)</f>
        <v/>
      </c>
      <c r="BJ114" s="138" t="str">
        <f aca="false">IF($BX114&lt;&gt;Constants!$B$6,"",$BD114)</f>
        <v/>
      </c>
      <c r="BK114" s="140" t="str">
        <f aca="false">IF($BX114&lt;&gt;Constants!$B$6,"",IF($AL114,$AN114,""))</f>
        <v/>
      </c>
      <c r="BL114" s="135" t="str">
        <f aca="false">IF($BX114&lt;&gt;Constants!$B$6,"",IF(OR($BS114&lt;$BH114,AND($BS114=$BH114,OR($BT114&lt;$BI114,AND($BT114=$BI114,OR($BU114&lt;$BJ114,AND($BU114=$BJ114,AND(ISNUMBER($BV114),OR(NOT(ISNUMBER($BK114)),$BV114&lt;$BK114)))))))),"-&gt;","&lt;-"))</f>
        <v/>
      </c>
      <c r="BM114" s="134" t="str">
        <f aca="false">IF(ISBLANK($C114),"",AND($AT114,OR($AU114="",$AV114="",AND($AW114,$AX114=""))))</f>
        <v/>
      </c>
      <c r="BN114" s="137" t="str">
        <f aca="false">IF($BX114&lt;&gt;Constants!$B$6,"",IF($AT114,Constants!$B$17*$AV114+Constants!$B$18*IF($AW114,$AX114,Constants!$B$19),Constants!$B$20))</f>
        <v/>
      </c>
      <c r="BO114" s="138" t="str">
        <f aca="false">IF($BX114&lt;&gt;Constants!$B$6,"",Constants!$B$21*ABS($AD$9-IF($AT114,$AU114,0)))</f>
        <v/>
      </c>
      <c r="BP114" s="138" t="str">
        <f aca="false">IF($BX114&lt;&gt;Constants!$B$6,"",IF(AND($AT114,$AY114,$AW114),Constants!$B$22,0))</f>
        <v/>
      </c>
      <c r="BQ114" s="138" t="str">
        <f aca="false">IF($BX114&lt;&gt;Constants!$B$6,"",IF($AT114,($AI114-Constants!$B$24)*Constants!$B$23,0))</f>
        <v/>
      </c>
      <c r="BR114" s="138" t="str">
        <f aca="false">IF($BX114&lt;&gt;Constants!$B$6,"",IF($AS114,0,Constants!$B$12)+IF($AR114,0,Constants!$B$13)+IF($AH114,0,Constants!$B$14))</f>
        <v/>
      </c>
      <c r="BS114" s="139" t="str">
        <f aca="false">IF($BX114&lt;&gt;Constants!$B$6,"",Constants!$B$16+SUM($BN114:$BR114))</f>
        <v/>
      </c>
      <c r="BT114" s="138" t="str">
        <f aca="false">IF($BX114&lt;&gt;Constants!$B$6,"",$BN114)</f>
        <v/>
      </c>
      <c r="BU114" s="138" t="str">
        <f aca="false">IF($BX114&lt;&gt;Constants!$B$6,"",$BO114)</f>
        <v/>
      </c>
      <c r="BV114" s="140" t="str">
        <f aca="false">IF($BX114&lt;&gt;Constants!$B$6,"",IF($AT114,$AV114,""))</f>
        <v/>
      </c>
      <c r="BW114" s="135" t="str">
        <f aca="false">IF(ISBLANK($C114),"",IF(ISBLANK($D$7),$BW$5,IF(NOT(ISNUMBER($D$7)),$BW$6,"")))</f>
        <v/>
      </c>
      <c r="BX114" s="135" t="str">
        <f aca="false">IF(ISBLANK($C114),"",IF($BA114,Constants!$B$9,IF(COUNTA($E114:$AA114)=0,Constants!$B$8,IF(NOT($AG114),Constants!$B$7,IF(OR($BW114&lt;&gt;"",$BB114,$BM114),Constants!$B$10,Constants!$B$6)))))</f>
        <v/>
      </c>
      <c r="BY114" s="135" t="str">
        <f aca="false">IF(ISBLANK($C114),"",IF($BX114&lt;&gt;Constants!$B$6,$BX114,Constants!$B$11))</f>
        <v/>
      </c>
      <c r="BZ114" s="138" t="str">
        <f aca="false">IF($BX114&lt;&gt;Constants!$B$6,"",IF($BL114="-&gt;",$BS114,$BH114))</f>
        <v/>
      </c>
      <c r="CA114" s="138" t="str">
        <f aca="false">IF($BX114&lt;&gt;Constants!$B$6,"",IF($AF114,0,Constants!$B$15))</f>
        <v/>
      </c>
      <c r="CB114" s="138" t="str">
        <f aca="false">IF($BX114&lt;&gt;Constants!$B$6,"",((Constants!$B$25-$AZ114)-Constants!$B$25)/Constants!$B$26)</f>
        <v/>
      </c>
      <c r="CC114" s="138" t="str">
        <f aca="false">IF(ISBLANK($C114),"",IF($BX114&lt;&gt;Constants!$B$6,$BX114,SUM($BZ114:$CB114)))</f>
        <v/>
      </c>
      <c r="CD114" s="135" t="str">
        <f aca="false">IF(ISBLANK($C114),"",IF($BX114&lt;&gt;Constants!$B$6,$BX114,RANK($CC114,$CC$9:$CC$508,1)))</f>
        <v/>
      </c>
      <c r="CE114" s="138" t="str">
        <f aca="false">IF($BX114&lt;&gt;Constants!$B$6,"",IF($BL114="-&gt;",$BT114,$BI114))</f>
        <v/>
      </c>
      <c r="CF114" s="135" t="str">
        <f aca="false">IF(ISBLANK($C114),"",IF($BX114&lt;&gt;Constants!$B$6,$BX114,IF(ISNUMBER($CE114),RANK($CE114,$CE$9:$CE$508,1),COUNT($CE$9:$CE$508)+1)))</f>
        <v/>
      </c>
      <c r="CG114" s="138" t="str">
        <f aca="false">IF($BX114&lt;&gt;Constants!$B$6,"",IF($BL114="-&gt;",$BU114,$BJ114))</f>
        <v/>
      </c>
      <c r="CH114" s="135" t="str">
        <f aca="false">IF(ISBLANK($C114),"",IF($BX114&lt;&gt;Constants!$B$6,$BX114,IF(ISNUMBER($CG114),RANK($CG114,$CG$9:$CG$508,1),COUNT($CG$9:$CG$508)+1)))</f>
        <v/>
      </c>
      <c r="CI114" s="138" t="str">
        <f aca="false">IF($BX114&lt;&gt;Constants!$B$6,"",IF($BL114="-&gt;",$BV114,$BK114))</f>
        <v/>
      </c>
      <c r="CJ114" s="135" t="str">
        <f aca="false">IF(ISBLANK($C114),"",IF($BX114&lt;&gt;Constants!$B$6,$BX114,IF(ISNUMBER($CI114),RANK($CI114,$CI$9:$CI$508,1),COUNT($CI$9:$CI$508)+1)))</f>
        <v/>
      </c>
      <c r="CK114" s="138" t="str">
        <f aca="false">IF($BX114&lt;&gt;Constants!$B$6,"",$AI114)</f>
        <v/>
      </c>
      <c r="CL114" s="135" t="str">
        <f aca="false">IF(ISBLANK($C114),"",IF($BX114&lt;&gt;Constants!$B$6,$BX114,IF(ISNUMBER($CK114),RANK($CK114,$CK$9:$CK$508,1),COUNT($CK$9:$CK$508)+1)))</f>
        <v/>
      </c>
      <c r="CM114" s="135" t="str">
        <f aca="false">IF(ISBLANK($C114),"",IF($BX114&lt;&gt;Constants!$B$6,$BX114,COUNTIFS($CD$9:$CD$508,"&lt;"&amp;$CD114)+COUNTIFS($CD$9:$CD$508,$CD114,$CF$9:$CF$508,"&lt;"&amp;$CF114)+COUNTIFS($CD$9:$CD$508,$CD114,$CF$9:$CF$508,$CF114,$CH$9:$CH$508,"&lt;"&amp;$CH114)+COUNTIFS($CD$9:$CD$508,$CD114,$CF$9:$CF$508,$CF114,$CH$9:$CH$508,$CH114,$CJ$9:$CJ$508,"&lt;"&amp;$CJ114)+COUNTIFS($CD$9:$CD$508,$CD114,$CF$9:$CF$508,$CF114,$CH$9:$CH$508,$CH114,$CJ$9:$CJ$508,$CJ114,$CL$9:$CL$508,"&lt;"&amp;$CL114)+1))</f>
        <v/>
      </c>
      <c r="CN114" s="135" t="str">
        <f aca="false">IF(ISBLANK($C114),"",IF($BX114&lt;&gt;Constants!$B$6,$BX114,$CD114-$CM114))</f>
        <v/>
      </c>
      <c r="CO114" s="141"/>
      <c r="CP114" s="142"/>
      <c r="CQ114" s="143" t="str">
        <f aca="false">IF(ISBLANK($C114),"",IF($BX114=Constants!$B$10,$BW114,""))</f>
        <v/>
      </c>
      <c r="CR114" s="142" t="str">
        <f aca="false">IF(ISBLANK($C114),"",IF($BX114&lt;&gt;Constants!$B$6,"",IF($BL114="-&gt;",2,1)))</f>
        <v/>
      </c>
      <c r="CS114" s="144" t="str">
        <f aca="false">IF(ISBLANK($C114),"",IF($BX114&lt;&gt;Constants!$B$6,"",IF($BL114="-&gt;",$BN114,$BC114)))</f>
        <v/>
      </c>
      <c r="CT114" s="144" t="str">
        <f aca="false">IF(ISBLANK($C114),"",IF($BX114&lt;&gt;Constants!$B$6,"",IF($BL114="-&gt;",$BO114,$BD114)))</f>
        <v/>
      </c>
      <c r="CU114" s="144" t="str">
        <f aca="false">IF(ISBLANK($C114),"",IF($BX114&lt;&gt;Constants!$B$6,"",IF($BL114="-&gt;",$BP114+$BQ114,$BE114+$BF114)+$CB114))</f>
        <v/>
      </c>
      <c r="CV114" s="144" t="str">
        <f aca="false">IF(ISBLANK($C114),"",IF($BX114&lt;&gt;Constants!$B$6,"",IF($BL114="-&gt;",$BR114,$BG114)+$CA114))</f>
        <v/>
      </c>
      <c r="CW114" s="145" t="str">
        <f aca="false">IF(ISBLANK($C114),"",IF($BX114&lt;&gt;Constants!$B$6,$BX114,$CC114))</f>
        <v/>
      </c>
      <c r="CX114" s="146" t="str">
        <f aca="false">IF(ISBLANK($C114),"",$BY114)</f>
        <v/>
      </c>
      <c r="CY114" s="147" t="str">
        <f aca="false">IF(ISBLANK($C114),"",$CN114)</f>
        <v/>
      </c>
      <c r="CZ114" s="147" t="str">
        <f aca="false">IF(ISBLANK($C114),"",$CM114)</f>
        <v/>
      </c>
      <c r="DA114" s="148" t="str">
        <f aca="false">IF(ISBLANK($C114),"",IFERROR(_xlfn.SWITCH($CZ114,Constants!$B$9,COUNTA($C$9:$C$508)+2,Constants!$B$8,COUNTA($C$9:$C$508)+1,Constants!$B$7,COUNTA($C$9:$C$508)),$CZ114))</f>
        <v/>
      </c>
      <c r="DB114" s="9"/>
      <c r="DC114" s="149" t="n">
        <f aca="false">IF(OR(ISNUMBER($CZ114),$CZ114=Constants!$B$9,$CZ114=Constants!$B$7,$CZ114=Constants!$B$8),1,0)</f>
        <v>0</v>
      </c>
      <c r="DD114" s="149" t="n">
        <v>106</v>
      </c>
      <c r="DE114" s="149" t="str">
        <f aca="false">IF(ISBLANK($C114),"",IF(ISNUMBER($DA114),$DA114+ROW($B114)/1000,""))</f>
        <v/>
      </c>
      <c r="DF114" s="149" t="str">
        <f aca="false">IF(ISNUMBER($DE114),RANK($DE114,$DE$9:$DE$508,1),"")</f>
        <v/>
      </c>
      <c r="DG114" s="149" t="str">
        <f aca="false">IF(ISBLANK($C114),"",$B114)</f>
        <v/>
      </c>
      <c r="DH114" s="149" t="str">
        <f aca="false">IF(ISBLANK($C114),"",$C114)</f>
        <v/>
      </c>
      <c r="DI114" s="149" t="str">
        <f aca="false">IF(ISBLANK($C114),"",$D114)</f>
        <v/>
      </c>
      <c r="DJ114" s="150" t="str">
        <f aca="false">$CX114</f>
        <v/>
      </c>
      <c r="DK114" s="151" t="str">
        <f aca="false">$CW114</f>
        <v/>
      </c>
      <c r="DL114" s="149" t="str">
        <f aca="false">IF(ISBLANK($C114),"",$CZ114)</f>
        <v/>
      </c>
      <c r="DM114" s="152" t="str">
        <f aca="false">IF($DD114&gt;$DC$8,"",VLOOKUP($DD114,$DF$9:$DL$508,7,FALSE()))</f>
        <v/>
      </c>
      <c r="DN114" s="153" t="str">
        <f aca="false">IF($DD114&gt;$DC$8,"",VLOOKUP($DD114,$DF$9:$DL$508,2,FALSE()))</f>
        <v/>
      </c>
      <c r="DO114" s="153" t="str">
        <f aca="false">IF($DD114&gt;$DC$8,"",VLOOKUP($DD114,$DF$9:$DL$508,3,FALSE()))</f>
        <v/>
      </c>
      <c r="DP114" s="153" t="str">
        <f aca="false">IF($DD114&gt;$DC$8,"",VLOOKUP($DD114,$DF$9:$DL$508,4,FALSE()))</f>
        <v/>
      </c>
      <c r="DQ114" s="153" t="str">
        <f aca="false">IF($DD114&gt;$DC$8,"",VLOOKUP($DD114,$DF$9:$DL$508,5,FALSE()))</f>
        <v/>
      </c>
      <c r="DR114" s="154" t="str">
        <f aca="false">IF($DD114&gt;$DC$8,"",VLOOKUP($DD114,$DF$9:$DL$508,6,FALSE()))</f>
        <v/>
      </c>
      <c r="DS114" s="76"/>
    </row>
    <row r="115" customFormat="false" ht="15.75" hidden="false" customHeight="false" outlineLevel="0" collapsed="false">
      <c r="A115" s="9"/>
      <c r="B115" s="160"/>
      <c r="C115" s="161"/>
      <c r="D115" s="162"/>
      <c r="E115" s="180"/>
      <c r="F115" s="164"/>
      <c r="G115" s="165"/>
      <c r="H115" s="165"/>
      <c r="I115" s="181"/>
      <c r="J115" s="168"/>
      <c r="K115" s="128"/>
      <c r="L115" s="129"/>
      <c r="M115" s="130"/>
      <c r="N115" s="168"/>
      <c r="O115" s="168"/>
      <c r="P115" s="180"/>
      <c r="Q115" s="168"/>
      <c r="R115" s="168"/>
      <c r="S115" s="128"/>
      <c r="T115" s="130"/>
      <c r="U115" s="130"/>
      <c r="V115" s="168"/>
      <c r="W115" s="168"/>
      <c r="X115" s="180"/>
      <c r="Y115" s="168"/>
      <c r="Z115" s="169"/>
      <c r="AA115" s="168"/>
      <c r="AB115" s="134"/>
      <c r="AC115" s="135"/>
      <c r="AD115" s="135"/>
      <c r="AE115" s="135"/>
      <c r="AF115" s="135" t="str">
        <f aca="false">IF(ISBLANK($C115),"",IF(E115=Constants!$B$2,TRUE(),IF(E115=Constants!$B$3,FALSE(),TRUE())))</f>
        <v/>
      </c>
      <c r="AG115" s="135" t="str">
        <f aca="false">IF(ISBLANK($C115),"",IF(F115=Constants!$B$2,TRUE(),IF(F115=Constants!$B$3,FALSE(),TRUE())))</f>
        <v/>
      </c>
      <c r="AH115" s="135" t="str">
        <f aca="false">IF(ISBLANK($C115),"",IF(G115=Constants!$B$2,TRUE(),IF(G115=Constants!$B$3,FALSE(),TRUE())))</f>
        <v/>
      </c>
      <c r="AI115" s="135" t="str">
        <f aca="false">IF(ISBLANK($C115),"",IF(AND(ISNUMBER(H115),H115&gt;=0),H115,Constants!$B$24))</f>
        <v/>
      </c>
      <c r="AJ115" s="135" t="str">
        <f aca="false">IF(ISBLANK($C115),"",IF(I115=Constants!$B$2,TRUE(),IF(I115=Constants!$B$3,FALSE(),TRUE())))</f>
        <v/>
      </c>
      <c r="AK115" s="135" t="str">
        <f aca="false">IF(ISBLANK($C115),"",IF(J115=Constants!$B$2,TRUE(),IF(J115=Constants!$B$3,FALSE(),TRUE())))</f>
        <v/>
      </c>
      <c r="AL115" s="135" t="str">
        <f aca="false">IF(ISBLANK($C115),"",IF(K115=Constants!$B$4,TRUE(),IF(K115=Constants!$B$5,FALSE(),COUNTA(L115:P115)&gt;0)))</f>
        <v/>
      </c>
      <c r="AM115" s="136" t="str">
        <f aca="false">IF(ISBLANK($C115),"",IF(ISNUMBER(L115),IF(L115&gt;=0,L115,""),""))</f>
        <v/>
      </c>
      <c r="AN115" s="137" t="str">
        <f aca="false">IF(ISBLANK($C115),"",IF(ISNUMBER(M115),IF(M115&gt;=0,M115,""),""))</f>
        <v/>
      </c>
      <c r="AO115" s="137" t="str">
        <f aca="false">IF(ISBLANK($C115),"",IF(N115=Constants!$B$2,TRUE(),IF(N115=Constants!$B$3,FALSE(),TRUE())))</f>
        <v/>
      </c>
      <c r="AP115" s="135" t="str">
        <f aca="false">IF(ISBLANK($C115),"",IF(ISNUMBER(O115),IF(O115&gt;=0,O115,""),""))</f>
        <v/>
      </c>
      <c r="AQ115" s="135" t="str">
        <f aca="false">IF(ISBLANK($C115),"",IF(P115=Constants!$B$2,TRUE(),IF(P115=Constants!$B$3,FALSE(),FALSE())))</f>
        <v/>
      </c>
      <c r="AR115" s="135" t="str">
        <f aca="false">IF(ISBLANK($C115),"",IF(Q115=Constants!$B$2,TRUE(),IF(Q115=Constants!$B$3,FALSE(),TRUE())))</f>
        <v/>
      </c>
      <c r="AS115" s="135" t="str">
        <f aca="false">IF(ISBLANK($C115),"",IF(R115=Constants!$B$2,TRUE(),IF(R115=Constants!$B$3,FALSE(),TRUE())))</f>
        <v/>
      </c>
      <c r="AT115" s="135" t="str">
        <f aca="false">IF(ISBLANK($C115),"",IF(S115=Constants!$B$4,TRUE(),IF(S115=Constants!$B$5,FALSE(),COUNTA(T115:X115)&gt;0)))</f>
        <v/>
      </c>
      <c r="AU115" s="136" t="str">
        <f aca="false">IF(ISBLANK($C115),"",IF(ISNUMBER(T115),IF(T115&gt;=0,T115,""),""))</f>
        <v/>
      </c>
      <c r="AV115" s="137" t="str">
        <f aca="false">IF(ISBLANK($C115),"",IF(ISNUMBER(U115),IF(U115&gt;=0,U115,""),""))</f>
        <v/>
      </c>
      <c r="AW115" s="137" t="str">
        <f aca="false">IF(ISBLANK($C115),"",IF(V115=Constants!$B$2,TRUE(),IF(V115=Constants!$B$3,FALSE(),TRUE())))</f>
        <v/>
      </c>
      <c r="AX115" s="135" t="str">
        <f aca="false">IF(ISBLANK($C115),"",IF(ISNUMBER(W115),IF(W115&gt;=0,W115,""),""))</f>
        <v/>
      </c>
      <c r="AY115" s="135" t="str">
        <f aca="false">IF(ISBLANK($C115),"",IF(X115=Constants!$B$2,TRUE(),IF(X115=Constants!$B$3,FALSE(),FALSE())))</f>
        <v/>
      </c>
      <c r="AZ115" s="135" t="str">
        <f aca="false">IF(ISBLANK($C115),"",MIN(Constants!$B$25,MAX(0,IF(ISNUMBER(Y115),Y115*60,0)+IF(ISNUMBER(Z115),Z115,0))))</f>
        <v/>
      </c>
      <c r="BA115" s="135" t="str">
        <f aca="false">IF(ISBLANK($C115),"",IF(AA115=Constants!$B$2,TRUE(),IF(AA115=Constants!$B$3,FALSE(),FALSE())))</f>
        <v/>
      </c>
      <c r="BB115" s="134" t="str">
        <f aca="false">IF(ISBLANK($C115),"",AND($AL115,OR($AM115="",$AN115="",AND($AO115,$AP115=""))))</f>
        <v/>
      </c>
      <c r="BC115" s="137" t="str">
        <f aca="false">IF($BX115&lt;&gt;Constants!$B$6,"",IF($AL115,Constants!$B$17*$AN115+Constants!$B$18*IF($AO115,$AP115,Constants!$B$19),Constants!$B$20))</f>
        <v/>
      </c>
      <c r="BD115" s="138" t="str">
        <f aca="false">IF($BX115&lt;&gt;Constants!$B$6,"",Constants!$B$21*ABS($AD$9-IF($AL115,$AM115,0)))</f>
        <v/>
      </c>
      <c r="BE115" s="138" t="str">
        <f aca="false">IF($BX115&lt;&gt;Constants!$B$6,"",IF(AND($AL115,$AQ115,$AO115),Constants!$B$22,0))</f>
        <v/>
      </c>
      <c r="BF115" s="138" t="str">
        <f aca="false">IF($BX115&lt;&gt;Constants!$B$6,"",IF($AL115,($AI115-Constants!$B$24)*Constants!$B$23,0))</f>
        <v/>
      </c>
      <c r="BG115" s="138" t="str">
        <f aca="false">IF($BX115&lt;&gt;Constants!$B$6,"",IF($AK115,0,Constants!$B$12)+IF($AJ115,0,Constants!$B$13)+IF($AH115,0,Constants!$B$14))</f>
        <v/>
      </c>
      <c r="BH115" s="139" t="str">
        <f aca="false">IF($BX115&lt;&gt;Constants!$B$6,"",Constants!$B$16+SUM($BC115:$BG115))</f>
        <v/>
      </c>
      <c r="BI115" s="138" t="str">
        <f aca="false">IF($BX115&lt;&gt;Constants!$B$6,"",$BC115)</f>
        <v/>
      </c>
      <c r="BJ115" s="138" t="str">
        <f aca="false">IF($BX115&lt;&gt;Constants!$B$6,"",$BD115)</f>
        <v/>
      </c>
      <c r="BK115" s="140" t="str">
        <f aca="false">IF($BX115&lt;&gt;Constants!$B$6,"",IF($AL115,$AN115,""))</f>
        <v/>
      </c>
      <c r="BL115" s="135" t="str">
        <f aca="false">IF($BX115&lt;&gt;Constants!$B$6,"",IF(OR($BS115&lt;$BH115,AND($BS115=$BH115,OR($BT115&lt;$BI115,AND($BT115=$BI115,OR($BU115&lt;$BJ115,AND($BU115=$BJ115,AND(ISNUMBER($BV115),OR(NOT(ISNUMBER($BK115)),$BV115&lt;$BK115)))))))),"-&gt;","&lt;-"))</f>
        <v/>
      </c>
      <c r="BM115" s="134" t="str">
        <f aca="false">IF(ISBLANK($C115),"",AND($AT115,OR($AU115="",$AV115="",AND($AW115,$AX115=""))))</f>
        <v/>
      </c>
      <c r="BN115" s="137" t="str">
        <f aca="false">IF($BX115&lt;&gt;Constants!$B$6,"",IF($AT115,Constants!$B$17*$AV115+Constants!$B$18*IF($AW115,$AX115,Constants!$B$19),Constants!$B$20))</f>
        <v/>
      </c>
      <c r="BO115" s="138" t="str">
        <f aca="false">IF($BX115&lt;&gt;Constants!$B$6,"",Constants!$B$21*ABS($AD$9-IF($AT115,$AU115,0)))</f>
        <v/>
      </c>
      <c r="BP115" s="138" t="str">
        <f aca="false">IF($BX115&lt;&gt;Constants!$B$6,"",IF(AND($AT115,$AY115,$AW115),Constants!$B$22,0))</f>
        <v/>
      </c>
      <c r="BQ115" s="138" t="str">
        <f aca="false">IF($BX115&lt;&gt;Constants!$B$6,"",IF($AT115,($AI115-Constants!$B$24)*Constants!$B$23,0))</f>
        <v/>
      </c>
      <c r="BR115" s="138" t="str">
        <f aca="false">IF($BX115&lt;&gt;Constants!$B$6,"",IF($AS115,0,Constants!$B$12)+IF($AR115,0,Constants!$B$13)+IF($AH115,0,Constants!$B$14))</f>
        <v/>
      </c>
      <c r="BS115" s="139" t="str">
        <f aca="false">IF($BX115&lt;&gt;Constants!$B$6,"",Constants!$B$16+SUM($BN115:$BR115))</f>
        <v/>
      </c>
      <c r="BT115" s="138" t="str">
        <f aca="false">IF($BX115&lt;&gt;Constants!$B$6,"",$BN115)</f>
        <v/>
      </c>
      <c r="BU115" s="138" t="str">
        <f aca="false">IF($BX115&lt;&gt;Constants!$B$6,"",$BO115)</f>
        <v/>
      </c>
      <c r="BV115" s="140" t="str">
        <f aca="false">IF($BX115&lt;&gt;Constants!$B$6,"",IF($AT115,$AV115,""))</f>
        <v/>
      </c>
      <c r="BW115" s="135" t="str">
        <f aca="false">IF(ISBLANK($C115),"",IF(ISBLANK($D$7),$BW$5,IF(NOT(ISNUMBER($D$7)),$BW$6,"")))</f>
        <v/>
      </c>
      <c r="BX115" s="135" t="str">
        <f aca="false">IF(ISBLANK($C115),"",IF($BA115,Constants!$B$9,IF(COUNTA($E115:$AA115)=0,Constants!$B$8,IF(NOT($AG115),Constants!$B$7,IF(OR($BW115&lt;&gt;"",$BB115,$BM115),Constants!$B$10,Constants!$B$6)))))</f>
        <v/>
      </c>
      <c r="BY115" s="135" t="str">
        <f aca="false">IF(ISBLANK($C115),"",IF($BX115&lt;&gt;Constants!$B$6,$BX115,Constants!$B$11))</f>
        <v/>
      </c>
      <c r="BZ115" s="138" t="str">
        <f aca="false">IF($BX115&lt;&gt;Constants!$B$6,"",IF($BL115="-&gt;",$BS115,$BH115))</f>
        <v/>
      </c>
      <c r="CA115" s="138" t="str">
        <f aca="false">IF($BX115&lt;&gt;Constants!$B$6,"",IF($AF115,0,Constants!$B$15))</f>
        <v/>
      </c>
      <c r="CB115" s="138" t="str">
        <f aca="false">IF($BX115&lt;&gt;Constants!$B$6,"",((Constants!$B$25-$AZ115)-Constants!$B$25)/Constants!$B$26)</f>
        <v/>
      </c>
      <c r="CC115" s="138" t="str">
        <f aca="false">IF(ISBLANK($C115),"",IF($BX115&lt;&gt;Constants!$B$6,$BX115,SUM($BZ115:$CB115)))</f>
        <v/>
      </c>
      <c r="CD115" s="135" t="str">
        <f aca="false">IF(ISBLANK($C115),"",IF($BX115&lt;&gt;Constants!$B$6,$BX115,RANK($CC115,$CC$9:$CC$508,1)))</f>
        <v/>
      </c>
      <c r="CE115" s="138" t="str">
        <f aca="false">IF($BX115&lt;&gt;Constants!$B$6,"",IF($BL115="-&gt;",$BT115,$BI115))</f>
        <v/>
      </c>
      <c r="CF115" s="135" t="str">
        <f aca="false">IF(ISBLANK($C115),"",IF($BX115&lt;&gt;Constants!$B$6,$BX115,IF(ISNUMBER($CE115),RANK($CE115,$CE$9:$CE$508,1),COUNT($CE$9:$CE$508)+1)))</f>
        <v/>
      </c>
      <c r="CG115" s="138" t="str">
        <f aca="false">IF($BX115&lt;&gt;Constants!$B$6,"",IF($BL115="-&gt;",$BU115,$BJ115))</f>
        <v/>
      </c>
      <c r="CH115" s="135" t="str">
        <f aca="false">IF(ISBLANK($C115),"",IF($BX115&lt;&gt;Constants!$B$6,$BX115,IF(ISNUMBER($CG115),RANK($CG115,$CG$9:$CG$508,1),COUNT($CG$9:$CG$508)+1)))</f>
        <v/>
      </c>
      <c r="CI115" s="138" t="str">
        <f aca="false">IF($BX115&lt;&gt;Constants!$B$6,"",IF($BL115="-&gt;",$BV115,$BK115))</f>
        <v/>
      </c>
      <c r="CJ115" s="135" t="str">
        <f aca="false">IF(ISBLANK($C115),"",IF($BX115&lt;&gt;Constants!$B$6,$BX115,IF(ISNUMBER($CI115),RANK($CI115,$CI$9:$CI$508,1),COUNT($CI$9:$CI$508)+1)))</f>
        <v/>
      </c>
      <c r="CK115" s="138" t="str">
        <f aca="false">IF($BX115&lt;&gt;Constants!$B$6,"",$AI115)</f>
        <v/>
      </c>
      <c r="CL115" s="135" t="str">
        <f aca="false">IF(ISBLANK($C115),"",IF($BX115&lt;&gt;Constants!$B$6,$BX115,IF(ISNUMBER($CK115),RANK($CK115,$CK$9:$CK$508,1),COUNT($CK$9:$CK$508)+1)))</f>
        <v/>
      </c>
      <c r="CM115" s="135" t="str">
        <f aca="false">IF(ISBLANK($C115),"",IF($BX115&lt;&gt;Constants!$B$6,$BX115,COUNTIFS($CD$9:$CD$508,"&lt;"&amp;$CD115)+COUNTIFS($CD$9:$CD$508,$CD115,$CF$9:$CF$508,"&lt;"&amp;$CF115)+COUNTIFS($CD$9:$CD$508,$CD115,$CF$9:$CF$508,$CF115,$CH$9:$CH$508,"&lt;"&amp;$CH115)+COUNTIFS($CD$9:$CD$508,$CD115,$CF$9:$CF$508,$CF115,$CH$9:$CH$508,$CH115,$CJ$9:$CJ$508,"&lt;"&amp;$CJ115)+COUNTIFS($CD$9:$CD$508,$CD115,$CF$9:$CF$508,$CF115,$CH$9:$CH$508,$CH115,$CJ$9:$CJ$508,$CJ115,$CL$9:$CL$508,"&lt;"&amp;$CL115)+1))</f>
        <v/>
      </c>
      <c r="CN115" s="135" t="str">
        <f aca="false">IF(ISBLANK($C115),"",IF($BX115&lt;&gt;Constants!$B$6,$BX115,$CD115-$CM115))</f>
        <v/>
      </c>
      <c r="CO115" s="141"/>
      <c r="CP115" s="142"/>
      <c r="CQ115" s="143" t="str">
        <f aca="false">IF(ISBLANK($C115),"",IF($BX115=Constants!$B$10,$BW115,""))</f>
        <v/>
      </c>
      <c r="CR115" s="142" t="str">
        <f aca="false">IF(ISBLANK($C115),"",IF($BX115&lt;&gt;Constants!$B$6,"",IF($BL115="-&gt;",2,1)))</f>
        <v/>
      </c>
      <c r="CS115" s="144" t="str">
        <f aca="false">IF(ISBLANK($C115),"",IF($BX115&lt;&gt;Constants!$B$6,"",IF($BL115="-&gt;",$BN115,$BC115)))</f>
        <v/>
      </c>
      <c r="CT115" s="144" t="str">
        <f aca="false">IF(ISBLANK($C115),"",IF($BX115&lt;&gt;Constants!$B$6,"",IF($BL115="-&gt;",$BO115,$BD115)))</f>
        <v/>
      </c>
      <c r="CU115" s="144" t="str">
        <f aca="false">IF(ISBLANK($C115),"",IF($BX115&lt;&gt;Constants!$B$6,"",IF($BL115="-&gt;",$BP115+$BQ115,$BE115+$BF115)+$CB115))</f>
        <v/>
      </c>
      <c r="CV115" s="144" t="str">
        <f aca="false">IF(ISBLANK($C115),"",IF($BX115&lt;&gt;Constants!$B$6,"",IF($BL115="-&gt;",$BR115,$BG115)+$CA115))</f>
        <v/>
      </c>
      <c r="CW115" s="145" t="str">
        <f aca="false">IF(ISBLANK($C115),"",IF($BX115&lt;&gt;Constants!$B$6,$BX115,$CC115))</f>
        <v/>
      </c>
      <c r="CX115" s="146" t="str">
        <f aca="false">IF(ISBLANK($C115),"",$BY115)</f>
        <v/>
      </c>
      <c r="CY115" s="147" t="str">
        <f aca="false">IF(ISBLANK($C115),"",$CN115)</f>
        <v/>
      </c>
      <c r="CZ115" s="147" t="str">
        <f aca="false">IF(ISBLANK($C115),"",$CM115)</f>
        <v/>
      </c>
      <c r="DA115" s="148" t="str">
        <f aca="false">IF(ISBLANK($C115),"",IFERROR(_xlfn.SWITCH($CZ115,Constants!$B$9,COUNTA($C$9:$C$508)+2,Constants!$B$8,COUNTA($C$9:$C$508)+1,Constants!$B$7,COUNTA($C$9:$C$508)),$CZ115))</f>
        <v/>
      </c>
      <c r="DB115" s="9"/>
      <c r="DC115" s="149" t="n">
        <f aca="false">IF(OR(ISNUMBER($CZ115),$CZ115=Constants!$B$9,$CZ115=Constants!$B$7,$CZ115=Constants!$B$8),1,0)</f>
        <v>0</v>
      </c>
      <c r="DD115" s="149" t="n">
        <v>107</v>
      </c>
      <c r="DE115" s="149" t="str">
        <f aca="false">IF(ISBLANK($C115),"",IF(ISNUMBER($DA115),$DA115+ROW($B115)/1000,""))</f>
        <v/>
      </c>
      <c r="DF115" s="149" t="str">
        <f aca="false">IF(ISNUMBER($DE115),RANK($DE115,$DE$9:$DE$508,1),"")</f>
        <v/>
      </c>
      <c r="DG115" s="149" t="str">
        <f aca="false">IF(ISBLANK($C115),"",$B115)</f>
        <v/>
      </c>
      <c r="DH115" s="149" t="str">
        <f aca="false">IF(ISBLANK($C115),"",$C115)</f>
        <v/>
      </c>
      <c r="DI115" s="149" t="str">
        <f aca="false">IF(ISBLANK($C115),"",$D115)</f>
        <v/>
      </c>
      <c r="DJ115" s="150" t="str">
        <f aca="false">$CX115</f>
        <v/>
      </c>
      <c r="DK115" s="151" t="str">
        <f aca="false">$CW115</f>
        <v/>
      </c>
      <c r="DL115" s="149" t="str">
        <f aca="false">IF(ISBLANK($C115),"",$CZ115)</f>
        <v/>
      </c>
      <c r="DM115" s="152" t="str">
        <f aca="false">IF($DD115&gt;$DC$8,"",VLOOKUP($DD115,$DF$9:$DL$508,7,FALSE()))</f>
        <v/>
      </c>
      <c r="DN115" s="153" t="str">
        <f aca="false">IF($DD115&gt;$DC$8,"",VLOOKUP($DD115,$DF$9:$DL$508,2,FALSE()))</f>
        <v/>
      </c>
      <c r="DO115" s="153" t="str">
        <f aca="false">IF($DD115&gt;$DC$8,"",VLOOKUP($DD115,$DF$9:$DL$508,3,FALSE()))</f>
        <v/>
      </c>
      <c r="DP115" s="153" t="str">
        <f aca="false">IF($DD115&gt;$DC$8,"",VLOOKUP($DD115,$DF$9:$DL$508,4,FALSE()))</f>
        <v/>
      </c>
      <c r="DQ115" s="153" t="str">
        <f aca="false">IF($DD115&gt;$DC$8,"",VLOOKUP($DD115,$DF$9:$DL$508,5,FALSE()))</f>
        <v/>
      </c>
      <c r="DR115" s="154" t="str">
        <f aca="false">IF($DD115&gt;$DC$8,"",VLOOKUP($DD115,$DF$9:$DL$508,6,FALSE()))</f>
        <v/>
      </c>
      <c r="DS115" s="76"/>
    </row>
    <row r="116" customFormat="false" ht="15.75" hidden="false" customHeight="false" outlineLevel="0" collapsed="false">
      <c r="A116" s="9"/>
      <c r="B116" s="160"/>
      <c r="C116" s="161"/>
      <c r="D116" s="162"/>
      <c r="E116" s="180"/>
      <c r="F116" s="164"/>
      <c r="G116" s="165"/>
      <c r="H116" s="165"/>
      <c r="I116" s="181"/>
      <c r="J116" s="168"/>
      <c r="K116" s="128"/>
      <c r="L116" s="129"/>
      <c r="M116" s="130"/>
      <c r="N116" s="168"/>
      <c r="O116" s="168"/>
      <c r="P116" s="180"/>
      <c r="Q116" s="168"/>
      <c r="R116" s="168"/>
      <c r="S116" s="128"/>
      <c r="T116" s="130"/>
      <c r="U116" s="130"/>
      <c r="V116" s="168"/>
      <c r="W116" s="168"/>
      <c r="X116" s="180"/>
      <c r="Y116" s="168"/>
      <c r="Z116" s="169"/>
      <c r="AA116" s="168"/>
      <c r="AB116" s="134"/>
      <c r="AC116" s="135"/>
      <c r="AD116" s="135"/>
      <c r="AE116" s="135"/>
      <c r="AF116" s="135" t="str">
        <f aca="false">IF(ISBLANK($C116),"",IF(E116=Constants!$B$2,TRUE(),IF(E116=Constants!$B$3,FALSE(),TRUE())))</f>
        <v/>
      </c>
      <c r="AG116" s="135" t="str">
        <f aca="false">IF(ISBLANK($C116),"",IF(F116=Constants!$B$2,TRUE(),IF(F116=Constants!$B$3,FALSE(),TRUE())))</f>
        <v/>
      </c>
      <c r="AH116" s="135" t="str">
        <f aca="false">IF(ISBLANK($C116),"",IF(G116=Constants!$B$2,TRUE(),IF(G116=Constants!$B$3,FALSE(),TRUE())))</f>
        <v/>
      </c>
      <c r="AI116" s="135" t="str">
        <f aca="false">IF(ISBLANK($C116),"",IF(AND(ISNUMBER(H116),H116&gt;=0),H116,Constants!$B$24))</f>
        <v/>
      </c>
      <c r="AJ116" s="135" t="str">
        <f aca="false">IF(ISBLANK($C116),"",IF(I116=Constants!$B$2,TRUE(),IF(I116=Constants!$B$3,FALSE(),TRUE())))</f>
        <v/>
      </c>
      <c r="AK116" s="135" t="str">
        <f aca="false">IF(ISBLANK($C116),"",IF(J116=Constants!$B$2,TRUE(),IF(J116=Constants!$B$3,FALSE(),TRUE())))</f>
        <v/>
      </c>
      <c r="AL116" s="135" t="str">
        <f aca="false">IF(ISBLANK($C116),"",IF(K116=Constants!$B$4,TRUE(),IF(K116=Constants!$B$5,FALSE(),COUNTA(L116:P116)&gt;0)))</f>
        <v/>
      </c>
      <c r="AM116" s="136" t="str">
        <f aca="false">IF(ISBLANK($C116),"",IF(ISNUMBER(L116),IF(L116&gt;=0,L116,""),""))</f>
        <v/>
      </c>
      <c r="AN116" s="137" t="str">
        <f aca="false">IF(ISBLANK($C116),"",IF(ISNUMBER(M116),IF(M116&gt;=0,M116,""),""))</f>
        <v/>
      </c>
      <c r="AO116" s="137" t="str">
        <f aca="false">IF(ISBLANK($C116),"",IF(N116=Constants!$B$2,TRUE(),IF(N116=Constants!$B$3,FALSE(),TRUE())))</f>
        <v/>
      </c>
      <c r="AP116" s="135" t="str">
        <f aca="false">IF(ISBLANK($C116),"",IF(ISNUMBER(O116),IF(O116&gt;=0,O116,""),""))</f>
        <v/>
      </c>
      <c r="AQ116" s="135" t="str">
        <f aca="false">IF(ISBLANK($C116),"",IF(P116=Constants!$B$2,TRUE(),IF(P116=Constants!$B$3,FALSE(),FALSE())))</f>
        <v/>
      </c>
      <c r="AR116" s="135" t="str">
        <f aca="false">IF(ISBLANK($C116),"",IF(Q116=Constants!$B$2,TRUE(),IF(Q116=Constants!$B$3,FALSE(),TRUE())))</f>
        <v/>
      </c>
      <c r="AS116" s="135" t="str">
        <f aca="false">IF(ISBLANK($C116),"",IF(R116=Constants!$B$2,TRUE(),IF(R116=Constants!$B$3,FALSE(),TRUE())))</f>
        <v/>
      </c>
      <c r="AT116" s="135" t="str">
        <f aca="false">IF(ISBLANK($C116),"",IF(S116=Constants!$B$4,TRUE(),IF(S116=Constants!$B$5,FALSE(),COUNTA(T116:X116)&gt;0)))</f>
        <v/>
      </c>
      <c r="AU116" s="136" t="str">
        <f aca="false">IF(ISBLANK($C116),"",IF(ISNUMBER(T116),IF(T116&gt;=0,T116,""),""))</f>
        <v/>
      </c>
      <c r="AV116" s="137" t="str">
        <f aca="false">IF(ISBLANK($C116),"",IF(ISNUMBER(U116),IF(U116&gt;=0,U116,""),""))</f>
        <v/>
      </c>
      <c r="AW116" s="137" t="str">
        <f aca="false">IF(ISBLANK($C116),"",IF(V116=Constants!$B$2,TRUE(),IF(V116=Constants!$B$3,FALSE(),TRUE())))</f>
        <v/>
      </c>
      <c r="AX116" s="135" t="str">
        <f aca="false">IF(ISBLANK($C116),"",IF(ISNUMBER(W116),IF(W116&gt;=0,W116,""),""))</f>
        <v/>
      </c>
      <c r="AY116" s="135" t="str">
        <f aca="false">IF(ISBLANK($C116),"",IF(X116=Constants!$B$2,TRUE(),IF(X116=Constants!$B$3,FALSE(),FALSE())))</f>
        <v/>
      </c>
      <c r="AZ116" s="135" t="str">
        <f aca="false">IF(ISBLANK($C116),"",MIN(Constants!$B$25,MAX(0,IF(ISNUMBER(Y116),Y116*60,0)+IF(ISNUMBER(Z116),Z116,0))))</f>
        <v/>
      </c>
      <c r="BA116" s="135" t="str">
        <f aca="false">IF(ISBLANK($C116),"",IF(AA116=Constants!$B$2,TRUE(),IF(AA116=Constants!$B$3,FALSE(),FALSE())))</f>
        <v/>
      </c>
      <c r="BB116" s="134" t="str">
        <f aca="false">IF(ISBLANK($C116),"",AND($AL116,OR($AM116="",$AN116="",AND($AO116,$AP116=""))))</f>
        <v/>
      </c>
      <c r="BC116" s="137" t="str">
        <f aca="false">IF($BX116&lt;&gt;Constants!$B$6,"",IF($AL116,Constants!$B$17*$AN116+Constants!$B$18*IF($AO116,$AP116,Constants!$B$19),Constants!$B$20))</f>
        <v/>
      </c>
      <c r="BD116" s="138" t="str">
        <f aca="false">IF($BX116&lt;&gt;Constants!$B$6,"",Constants!$B$21*ABS($AD$9-IF($AL116,$AM116,0)))</f>
        <v/>
      </c>
      <c r="BE116" s="138" t="str">
        <f aca="false">IF($BX116&lt;&gt;Constants!$B$6,"",IF(AND($AL116,$AQ116,$AO116),Constants!$B$22,0))</f>
        <v/>
      </c>
      <c r="BF116" s="138" t="str">
        <f aca="false">IF($BX116&lt;&gt;Constants!$B$6,"",IF($AL116,($AI116-Constants!$B$24)*Constants!$B$23,0))</f>
        <v/>
      </c>
      <c r="BG116" s="138" t="str">
        <f aca="false">IF($BX116&lt;&gt;Constants!$B$6,"",IF($AK116,0,Constants!$B$12)+IF($AJ116,0,Constants!$B$13)+IF($AH116,0,Constants!$B$14))</f>
        <v/>
      </c>
      <c r="BH116" s="139" t="str">
        <f aca="false">IF($BX116&lt;&gt;Constants!$B$6,"",Constants!$B$16+SUM($BC116:$BG116))</f>
        <v/>
      </c>
      <c r="BI116" s="138" t="str">
        <f aca="false">IF($BX116&lt;&gt;Constants!$B$6,"",$BC116)</f>
        <v/>
      </c>
      <c r="BJ116" s="138" t="str">
        <f aca="false">IF($BX116&lt;&gt;Constants!$B$6,"",$BD116)</f>
        <v/>
      </c>
      <c r="BK116" s="140" t="str">
        <f aca="false">IF($BX116&lt;&gt;Constants!$B$6,"",IF($AL116,$AN116,""))</f>
        <v/>
      </c>
      <c r="BL116" s="135" t="str">
        <f aca="false">IF($BX116&lt;&gt;Constants!$B$6,"",IF(OR($BS116&lt;$BH116,AND($BS116=$BH116,OR($BT116&lt;$BI116,AND($BT116=$BI116,OR($BU116&lt;$BJ116,AND($BU116=$BJ116,AND(ISNUMBER($BV116),OR(NOT(ISNUMBER($BK116)),$BV116&lt;$BK116)))))))),"-&gt;","&lt;-"))</f>
        <v/>
      </c>
      <c r="BM116" s="134" t="str">
        <f aca="false">IF(ISBLANK($C116),"",AND($AT116,OR($AU116="",$AV116="",AND($AW116,$AX116=""))))</f>
        <v/>
      </c>
      <c r="BN116" s="137" t="str">
        <f aca="false">IF($BX116&lt;&gt;Constants!$B$6,"",IF($AT116,Constants!$B$17*$AV116+Constants!$B$18*IF($AW116,$AX116,Constants!$B$19),Constants!$B$20))</f>
        <v/>
      </c>
      <c r="BO116" s="138" t="str">
        <f aca="false">IF($BX116&lt;&gt;Constants!$B$6,"",Constants!$B$21*ABS($AD$9-IF($AT116,$AU116,0)))</f>
        <v/>
      </c>
      <c r="BP116" s="138" t="str">
        <f aca="false">IF($BX116&lt;&gt;Constants!$B$6,"",IF(AND($AT116,$AY116,$AW116),Constants!$B$22,0))</f>
        <v/>
      </c>
      <c r="BQ116" s="138" t="str">
        <f aca="false">IF($BX116&lt;&gt;Constants!$B$6,"",IF($AT116,($AI116-Constants!$B$24)*Constants!$B$23,0))</f>
        <v/>
      </c>
      <c r="BR116" s="138" t="str">
        <f aca="false">IF($BX116&lt;&gt;Constants!$B$6,"",IF($AS116,0,Constants!$B$12)+IF($AR116,0,Constants!$B$13)+IF($AH116,0,Constants!$B$14))</f>
        <v/>
      </c>
      <c r="BS116" s="139" t="str">
        <f aca="false">IF($BX116&lt;&gt;Constants!$B$6,"",Constants!$B$16+SUM($BN116:$BR116))</f>
        <v/>
      </c>
      <c r="BT116" s="138" t="str">
        <f aca="false">IF($BX116&lt;&gt;Constants!$B$6,"",$BN116)</f>
        <v/>
      </c>
      <c r="BU116" s="138" t="str">
        <f aca="false">IF($BX116&lt;&gt;Constants!$B$6,"",$BO116)</f>
        <v/>
      </c>
      <c r="BV116" s="140" t="str">
        <f aca="false">IF($BX116&lt;&gt;Constants!$B$6,"",IF($AT116,$AV116,""))</f>
        <v/>
      </c>
      <c r="BW116" s="135" t="str">
        <f aca="false">IF(ISBLANK($C116),"",IF(ISBLANK($D$7),$BW$5,IF(NOT(ISNUMBER($D$7)),$BW$6,"")))</f>
        <v/>
      </c>
      <c r="BX116" s="135" t="str">
        <f aca="false">IF(ISBLANK($C116),"",IF($BA116,Constants!$B$9,IF(COUNTA($E116:$AA116)=0,Constants!$B$8,IF(NOT($AG116),Constants!$B$7,IF(OR($BW116&lt;&gt;"",$BB116,$BM116),Constants!$B$10,Constants!$B$6)))))</f>
        <v/>
      </c>
      <c r="BY116" s="135" t="str">
        <f aca="false">IF(ISBLANK($C116),"",IF($BX116&lt;&gt;Constants!$B$6,$BX116,Constants!$B$11))</f>
        <v/>
      </c>
      <c r="BZ116" s="138" t="str">
        <f aca="false">IF($BX116&lt;&gt;Constants!$B$6,"",IF($BL116="-&gt;",$BS116,$BH116))</f>
        <v/>
      </c>
      <c r="CA116" s="138" t="str">
        <f aca="false">IF($BX116&lt;&gt;Constants!$B$6,"",IF($AF116,0,Constants!$B$15))</f>
        <v/>
      </c>
      <c r="CB116" s="138" t="str">
        <f aca="false">IF($BX116&lt;&gt;Constants!$B$6,"",((Constants!$B$25-$AZ116)-Constants!$B$25)/Constants!$B$26)</f>
        <v/>
      </c>
      <c r="CC116" s="138" t="str">
        <f aca="false">IF(ISBLANK($C116),"",IF($BX116&lt;&gt;Constants!$B$6,$BX116,SUM($BZ116:$CB116)))</f>
        <v/>
      </c>
      <c r="CD116" s="135" t="str">
        <f aca="false">IF(ISBLANK($C116),"",IF($BX116&lt;&gt;Constants!$B$6,$BX116,RANK($CC116,$CC$9:$CC$508,1)))</f>
        <v/>
      </c>
      <c r="CE116" s="138" t="str">
        <f aca="false">IF($BX116&lt;&gt;Constants!$B$6,"",IF($BL116="-&gt;",$BT116,$BI116))</f>
        <v/>
      </c>
      <c r="CF116" s="135" t="str">
        <f aca="false">IF(ISBLANK($C116),"",IF($BX116&lt;&gt;Constants!$B$6,$BX116,IF(ISNUMBER($CE116),RANK($CE116,$CE$9:$CE$508,1),COUNT($CE$9:$CE$508)+1)))</f>
        <v/>
      </c>
      <c r="CG116" s="138" t="str">
        <f aca="false">IF($BX116&lt;&gt;Constants!$B$6,"",IF($BL116="-&gt;",$BU116,$BJ116))</f>
        <v/>
      </c>
      <c r="CH116" s="135" t="str">
        <f aca="false">IF(ISBLANK($C116),"",IF($BX116&lt;&gt;Constants!$B$6,$BX116,IF(ISNUMBER($CG116),RANK($CG116,$CG$9:$CG$508,1),COUNT($CG$9:$CG$508)+1)))</f>
        <v/>
      </c>
      <c r="CI116" s="138" t="str">
        <f aca="false">IF($BX116&lt;&gt;Constants!$B$6,"",IF($BL116="-&gt;",$BV116,$BK116))</f>
        <v/>
      </c>
      <c r="CJ116" s="135" t="str">
        <f aca="false">IF(ISBLANK($C116),"",IF($BX116&lt;&gt;Constants!$B$6,$BX116,IF(ISNUMBER($CI116),RANK($CI116,$CI$9:$CI$508,1),COUNT($CI$9:$CI$508)+1)))</f>
        <v/>
      </c>
      <c r="CK116" s="138" t="str">
        <f aca="false">IF($BX116&lt;&gt;Constants!$B$6,"",$AI116)</f>
        <v/>
      </c>
      <c r="CL116" s="135" t="str">
        <f aca="false">IF(ISBLANK($C116),"",IF($BX116&lt;&gt;Constants!$B$6,$BX116,IF(ISNUMBER($CK116),RANK($CK116,$CK$9:$CK$508,1),COUNT($CK$9:$CK$508)+1)))</f>
        <v/>
      </c>
      <c r="CM116" s="135" t="str">
        <f aca="false">IF(ISBLANK($C116),"",IF($BX116&lt;&gt;Constants!$B$6,$BX116,COUNTIFS($CD$9:$CD$508,"&lt;"&amp;$CD116)+COUNTIFS($CD$9:$CD$508,$CD116,$CF$9:$CF$508,"&lt;"&amp;$CF116)+COUNTIFS($CD$9:$CD$508,$CD116,$CF$9:$CF$508,$CF116,$CH$9:$CH$508,"&lt;"&amp;$CH116)+COUNTIFS($CD$9:$CD$508,$CD116,$CF$9:$CF$508,$CF116,$CH$9:$CH$508,$CH116,$CJ$9:$CJ$508,"&lt;"&amp;$CJ116)+COUNTIFS($CD$9:$CD$508,$CD116,$CF$9:$CF$508,$CF116,$CH$9:$CH$508,$CH116,$CJ$9:$CJ$508,$CJ116,$CL$9:$CL$508,"&lt;"&amp;$CL116)+1))</f>
        <v/>
      </c>
      <c r="CN116" s="135" t="str">
        <f aca="false">IF(ISBLANK($C116),"",IF($BX116&lt;&gt;Constants!$B$6,$BX116,$CD116-$CM116))</f>
        <v/>
      </c>
      <c r="CO116" s="141"/>
      <c r="CP116" s="142"/>
      <c r="CQ116" s="143" t="str">
        <f aca="false">IF(ISBLANK($C116),"",IF($BX116=Constants!$B$10,$BW116,""))</f>
        <v/>
      </c>
      <c r="CR116" s="142" t="str">
        <f aca="false">IF(ISBLANK($C116),"",IF($BX116&lt;&gt;Constants!$B$6,"",IF($BL116="-&gt;",2,1)))</f>
        <v/>
      </c>
      <c r="CS116" s="144" t="str">
        <f aca="false">IF(ISBLANK($C116),"",IF($BX116&lt;&gt;Constants!$B$6,"",IF($BL116="-&gt;",$BN116,$BC116)))</f>
        <v/>
      </c>
      <c r="CT116" s="144" t="str">
        <f aca="false">IF(ISBLANK($C116),"",IF($BX116&lt;&gt;Constants!$B$6,"",IF($BL116="-&gt;",$BO116,$BD116)))</f>
        <v/>
      </c>
      <c r="CU116" s="144" t="str">
        <f aca="false">IF(ISBLANK($C116),"",IF($BX116&lt;&gt;Constants!$B$6,"",IF($BL116="-&gt;",$BP116+$BQ116,$BE116+$BF116)+$CB116))</f>
        <v/>
      </c>
      <c r="CV116" s="144" t="str">
        <f aca="false">IF(ISBLANK($C116),"",IF($BX116&lt;&gt;Constants!$B$6,"",IF($BL116="-&gt;",$BR116,$BG116)+$CA116))</f>
        <v/>
      </c>
      <c r="CW116" s="145" t="str">
        <f aca="false">IF(ISBLANK($C116),"",IF($BX116&lt;&gt;Constants!$B$6,$BX116,$CC116))</f>
        <v/>
      </c>
      <c r="CX116" s="146" t="str">
        <f aca="false">IF(ISBLANK($C116),"",$BY116)</f>
        <v/>
      </c>
      <c r="CY116" s="147" t="str">
        <f aca="false">IF(ISBLANK($C116),"",$CN116)</f>
        <v/>
      </c>
      <c r="CZ116" s="147" t="str">
        <f aca="false">IF(ISBLANK($C116),"",$CM116)</f>
        <v/>
      </c>
      <c r="DA116" s="148" t="str">
        <f aca="false">IF(ISBLANK($C116),"",IFERROR(_xlfn.SWITCH($CZ116,Constants!$B$9,COUNTA($C$9:$C$508)+2,Constants!$B$8,COUNTA($C$9:$C$508)+1,Constants!$B$7,COUNTA($C$9:$C$508)),$CZ116))</f>
        <v/>
      </c>
      <c r="DB116" s="9"/>
      <c r="DC116" s="149" t="n">
        <f aca="false">IF(OR(ISNUMBER($CZ116),$CZ116=Constants!$B$9,$CZ116=Constants!$B$7,$CZ116=Constants!$B$8),1,0)</f>
        <v>0</v>
      </c>
      <c r="DD116" s="149" t="n">
        <v>108</v>
      </c>
      <c r="DE116" s="149" t="str">
        <f aca="false">IF(ISBLANK($C116),"",IF(ISNUMBER($DA116),$DA116+ROW($B116)/1000,""))</f>
        <v/>
      </c>
      <c r="DF116" s="149" t="str">
        <f aca="false">IF(ISNUMBER($DE116),RANK($DE116,$DE$9:$DE$508,1),"")</f>
        <v/>
      </c>
      <c r="DG116" s="149" t="str">
        <f aca="false">IF(ISBLANK($C116),"",$B116)</f>
        <v/>
      </c>
      <c r="DH116" s="149" t="str">
        <f aca="false">IF(ISBLANK($C116),"",$C116)</f>
        <v/>
      </c>
      <c r="DI116" s="149" t="str">
        <f aca="false">IF(ISBLANK($C116),"",$D116)</f>
        <v/>
      </c>
      <c r="DJ116" s="150" t="str">
        <f aca="false">$CX116</f>
        <v/>
      </c>
      <c r="DK116" s="151" t="str">
        <f aca="false">$CW116</f>
        <v/>
      </c>
      <c r="DL116" s="149" t="str">
        <f aca="false">IF(ISBLANK($C116),"",$CZ116)</f>
        <v/>
      </c>
      <c r="DM116" s="152" t="str">
        <f aca="false">IF($DD116&gt;$DC$8,"",VLOOKUP($DD116,$DF$9:$DL$508,7,FALSE()))</f>
        <v/>
      </c>
      <c r="DN116" s="153" t="str">
        <f aca="false">IF($DD116&gt;$DC$8,"",VLOOKUP($DD116,$DF$9:$DL$508,2,FALSE()))</f>
        <v/>
      </c>
      <c r="DO116" s="153" t="str">
        <f aca="false">IF($DD116&gt;$DC$8,"",VLOOKUP($DD116,$DF$9:$DL$508,3,FALSE()))</f>
        <v/>
      </c>
      <c r="DP116" s="153" t="str">
        <f aca="false">IF($DD116&gt;$DC$8,"",VLOOKUP($DD116,$DF$9:$DL$508,4,FALSE()))</f>
        <v/>
      </c>
      <c r="DQ116" s="153" t="str">
        <f aca="false">IF($DD116&gt;$DC$8,"",VLOOKUP($DD116,$DF$9:$DL$508,5,FALSE()))</f>
        <v/>
      </c>
      <c r="DR116" s="154" t="str">
        <f aca="false">IF($DD116&gt;$DC$8,"",VLOOKUP($DD116,$DF$9:$DL$508,6,FALSE()))</f>
        <v/>
      </c>
      <c r="DS116" s="76"/>
    </row>
    <row r="117" customFormat="false" ht="15.75" hidden="false" customHeight="false" outlineLevel="0" collapsed="false">
      <c r="A117" s="9"/>
      <c r="B117" s="78"/>
      <c r="C117" s="79"/>
      <c r="D117" s="170"/>
      <c r="E117" s="178"/>
      <c r="F117" s="172"/>
      <c r="G117" s="173"/>
      <c r="H117" s="173"/>
      <c r="I117" s="179"/>
      <c r="J117" s="176"/>
      <c r="K117" s="86"/>
      <c r="L117" s="87"/>
      <c r="M117" s="88"/>
      <c r="N117" s="176"/>
      <c r="O117" s="176"/>
      <c r="P117" s="178"/>
      <c r="Q117" s="176"/>
      <c r="R117" s="176"/>
      <c r="S117" s="86"/>
      <c r="T117" s="88"/>
      <c r="U117" s="88"/>
      <c r="V117" s="176"/>
      <c r="W117" s="176"/>
      <c r="X117" s="178"/>
      <c r="Y117" s="176"/>
      <c r="Z117" s="177"/>
      <c r="AA117" s="176"/>
      <c r="AB117" s="92"/>
      <c r="AC117" s="93"/>
      <c r="AD117" s="93"/>
      <c r="AE117" s="93"/>
      <c r="AF117" s="93" t="str">
        <f aca="false">IF(ISBLANK($C117),"",IF(E117=Constants!$B$2,TRUE(),IF(E117=Constants!$B$3,FALSE(),TRUE())))</f>
        <v/>
      </c>
      <c r="AG117" s="93" t="str">
        <f aca="false">IF(ISBLANK($C117),"",IF(F117=Constants!$B$2,TRUE(),IF(F117=Constants!$B$3,FALSE(),TRUE())))</f>
        <v/>
      </c>
      <c r="AH117" s="93" t="str">
        <f aca="false">IF(ISBLANK($C117),"",IF(G117=Constants!$B$2,TRUE(),IF(G117=Constants!$B$3,FALSE(),TRUE())))</f>
        <v/>
      </c>
      <c r="AI117" s="93" t="str">
        <f aca="false">IF(ISBLANK($C117),"",IF(AND(ISNUMBER(H117),H117&gt;=0),H117,Constants!$B$24))</f>
        <v/>
      </c>
      <c r="AJ117" s="93" t="str">
        <f aca="false">IF(ISBLANK($C117),"",IF(I117=Constants!$B$2,TRUE(),IF(I117=Constants!$B$3,FALSE(),TRUE())))</f>
        <v/>
      </c>
      <c r="AK117" s="93" t="str">
        <f aca="false">IF(ISBLANK($C117),"",IF(J117=Constants!$B$2,TRUE(),IF(J117=Constants!$B$3,FALSE(),TRUE())))</f>
        <v/>
      </c>
      <c r="AL117" s="93" t="str">
        <f aca="false">IF(ISBLANK($C117),"",IF(K117=Constants!$B$4,TRUE(),IF(K117=Constants!$B$5,FALSE(),COUNTA(L117:P117)&gt;0)))</f>
        <v/>
      </c>
      <c r="AM117" s="95" t="str">
        <f aca="false">IF(ISBLANK($C117),"",IF(ISNUMBER(L117),IF(L117&gt;=0,L117,""),""))</f>
        <v/>
      </c>
      <c r="AN117" s="94" t="str">
        <f aca="false">IF(ISBLANK($C117),"",IF(ISNUMBER(M117),IF(M117&gt;=0,M117,""),""))</f>
        <v/>
      </c>
      <c r="AO117" s="94" t="str">
        <f aca="false">IF(ISBLANK($C117),"",IF(N117=Constants!$B$2,TRUE(),IF(N117=Constants!$B$3,FALSE(),TRUE())))</f>
        <v/>
      </c>
      <c r="AP117" s="93" t="str">
        <f aca="false">IF(ISBLANK($C117),"",IF(ISNUMBER(O117),IF(O117&gt;=0,O117,""),""))</f>
        <v/>
      </c>
      <c r="AQ117" s="93" t="str">
        <f aca="false">IF(ISBLANK($C117),"",IF(P117=Constants!$B$2,TRUE(),IF(P117=Constants!$B$3,FALSE(),FALSE())))</f>
        <v/>
      </c>
      <c r="AR117" s="93" t="str">
        <f aca="false">IF(ISBLANK($C117),"",IF(Q117=Constants!$B$2,TRUE(),IF(Q117=Constants!$B$3,FALSE(),TRUE())))</f>
        <v/>
      </c>
      <c r="AS117" s="93" t="str">
        <f aca="false">IF(ISBLANK($C117),"",IF(R117=Constants!$B$2,TRUE(),IF(R117=Constants!$B$3,FALSE(),TRUE())))</f>
        <v/>
      </c>
      <c r="AT117" s="93" t="str">
        <f aca="false">IF(ISBLANK($C117),"",IF(S117=Constants!$B$4,TRUE(),IF(S117=Constants!$B$5,FALSE(),COUNTA(T117:X117)&gt;0)))</f>
        <v/>
      </c>
      <c r="AU117" s="95" t="str">
        <f aca="false">IF(ISBLANK($C117),"",IF(ISNUMBER(T117),IF(T117&gt;=0,T117,""),""))</f>
        <v/>
      </c>
      <c r="AV117" s="94" t="str">
        <f aca="false">IF(ISBLANK($C117),"",IF(ISNUMBER(U117),IF(U117&gt;=0,U117,""),""))</f>
        <v/>
      </c>
      <c r="AW117" s="94" t="str">
        <f aca="false">IF(ISBLANK($C117),"",IF(V117=Constants!$B$2,TRUE(),IF(V117=Constants!$B$3,FALSE(),TRUE())))</f>
        <v/>
      </c>
      <c r="AX117" s="93" t="str">
        <f aca="false">IF(ISBLANK($C117),"",IF(ISNUMBER(W117),IF(W117&gt;=0,W117,""),""))</f>
        <v/>
      </c>
      <c r="AY117" s="93" t="str">
        <f aca="false">IF(ISBLANK($C117),"",IF(X117=Constants!$B$2,TRUE(),IF(X117=Constants!$B$3,FALSE(),FALSE())))</f>
        <v/>
      </c>
      <c r="AZ117" s="93" t="str">
        <f aca="false">IF(ISBLANK($C117),"",MIN(Constants!$B$25,MAX(0,IF(ISNUMBER(Y117),Y117*60,0)+IF(ISNUMBER(Z117),Z117,0))))</f>
        <v/>
      </c>
      <c r="BA117" s="93" t="str">
        <f aca="false">IF(ISBLANK($C117),"",IF(AA117=Constants!$B$2,TRUE(),IF(AA117=Constants!$B$3,FALSE(),FALSE())))</f>
        <v/>
      </c>
      <c r="BB117" s="92" t="str">
        <f aca="false">IF(ISBLANK($C117),"",AND($AL117,OR($AM117="",$AN117="",AND($AO117,$AP117=""))))</f>
        <v/>
      </c>
      <c r="BC117" s="94" t="str">
        <f aca="false">IF($BX117&lt;&gt;Constants!$B$6,"",IF($AL117,Constants!$B$17*$AN117+Constants!$B$18*IF($AO117,$AP117,Constants!$B$19),Constants!$B$20))</f>
        <v/>
      </c>
      <c r="BD117" s="97" t="str">
        <f aca="false">IF($BX117&lt;&gt;Constants!$B$6,"",Constants!$B$21*ABS($AD$9-IF($AL117,$AM117,0)))</f>
        <v/>
      </c>
      <c r="BE117" s="97" t="str">
        <f aca="false">IF($BX117&lt;&gt;Constants!$B$6,"",IF(AND($AL117,$AQ117,$AO117),Constants!$B$22,0))</f>
        <v/>
      </c>
      <c r="BF117" s="97" t="str">
        <f aca="false">IF($BX117&lt;&gt;Constants!$B$6,"",IF($AL117,($AI117-Constants!$B$24)*Constants!$B$23,0))</f>
        <v/>
      </c>
      <c r="BG117" s="97" t="str">
        <f aca="false">IF($BX117&lt;&gt;Constants!$B$6,"",IF($AK117,0,Constants!$B$12)+IF($AJ117,0,Constants!$B$13)+IF($AH117,0,Constants!$B$14))</f>
        <v/>
      </c>
      <c r="BH117" s="98" t="str">
        <f aca="false">IF($BX117&lt;&gt;Constants!$B$6,"",Constants!$B$16+SUM($BC117:$BG117))</f>
        <v/>
      </c>
      <c r="BI117" s="97" t="str">
        <f aca="false">IF($BX117&lt;&gt;Constants!$B$6,"",$BC117)</f>
        <v/>
      </c>
      <c r="BJ117" s="97" t="str">
        <f aca="false">IF($BX117&lt;&gt;Constants!$B$6,"",$BD117)</f>
        <v/>
      </c>
      <c r="BK117" s="99" t="str">
        <f aca="false">IF($BX117&lt;&gt;Constants!$B$6,"",IF($AL117,$AN117,""))</f>
        <v/>
      </c>
      <c r="BL117" s="93" t="str">
        <f aca="false">IF($BX117&lt;&gt;Constants!$B$6,"",IF(OR($BS117&lt;$BH117,AND($BS117=$BH117,OR($BT117&lt;$BI117,AND($BT117=$BI117,OR($BU117&lt;$BJ117,AND($BU117=$BJ117,AND(ISNUMBER($BV117),OR(NOT(ISNUMBER($BK117)),$BV117&lt;$BK117)))))))),"-&gt;","&lt;-"))</f>
        <v/>
      </c>
      <c r="BM117" s="92" t="str">
        <f aca="false">IF(ISBLANK($C117),"",AND($AT117,OR($AU117="",$AV117="",AND($AW117,$AX117=""))))</f>
        <v/>
      </c>
      <c r="BN117" s="94" t="str">
        <f aca="false">IF($BX117&lt;&gt;Constants!$B$6,"",IF($AT117,Constants!$B$17*$AV117+Constants!$B$18*IF($AW117,$AX117,Constants!$B$19),Constants!$B$20))</f>
        <v/>
      </c>
      <c r="BO117" s="97" t="str">
        <f aca="false">IF($BX117&lt;&gt;Constants!$B$6,"",Constants!$B$21*ABS($AD$9-IF($AT117,$AU117,0)))</f>
        <v/>
      </c>
      <c r="BP117" s="97" t="str">
        <f aca="false">IF($BX117&lt;&gt;Constants!$B$6,"",IF(AND($AT117,$AY117,$AW117),Constants!$B$22,0))</f>
        <v/>
      </c>
      <c r="BQ117" s="97" t="str">
        <f aca="false">IF($BX117&lt;&gt;Constants!$B$6,"",IF($AT117,($AI117-Constants!$B$24)*Constants!$B$23,0))</f>
        <v/>
      </c>
      <c r="BR117" s="97" t="str">
        <f aca="false">IF($BX117&lt;&gt;Constants!$B$6,"",IF($AS117,0,Constants!$B$12)+IF($AR117,0,Constants!$B$13)+IF($AH117,0,Constants!$B$14))</f>
        <v/>
      </c>
      <c r="BS117" s="98" t="str">
        <f aca="false">IF($BX117&lt;&gt;Constants!$B$6,"",Constants!$B$16+SUM($BN117:$BR117))</f>
        <v/>
      </c>
      <c r="BT117" s="97" t="str">
        <f aca="false">IF($BX117&lt;&gt;Constants!$B$6,"",$BN117)</f>
        <v/>
      </c>
      <c r="BU117" s="97" t="str">
        <f aca="false">IF($BX117&lt;&gt;Constants!$B$6,"",$BO117)</f>
        <v/>
      </c>
      <c r="BV117" s="99" t="str">
        <f aca="false">IF($BX117&lt;&gt;Constants!$B$6,"",IF($AT117,$AV117,""))</f>
        <v/>
      </c>
      <c r="BW117" s="93" t="str">
        <f aca="false">IF(ISBLANK($C117),"",IF(ISBLANK($D$7),$BW$5,IF(NOT(ISNUMBER($D$7)),$BW$6,"")))</f>
        <v/>
      </c>
      <c r="BX117" s="93" t="str">
        <f aca="false">IF(ISBLANK($C117),"",IF($BA117,Constants!$B$9,IF(COUNTA($E117:$AA117)=0,Constants!$B$8,IF(NOT($AG117),Constants!$B$7,IF(OR($BW117&lt;&gt;"",$BB117,$BM117),Constants!$B$10,Constants!$B$6)))))</f>
        <v/>
      </c>
      <c r="BY117" s="93" t="str">
        <f aca="false">IF(ISBLANK($C117),"",IF($BX117&lt;&gt;Constants!$B$6,$BX117,Constants!$B$11))</f>
        <v/>
      </c>
      <c r="BZ117" s="97" t="str">
        <f aca="false">IF($BX117&lt;&gt;Constants!$B$6,"",IF($BL117="-&gt;",$BS117,$BH117))</f>
        <v/>
      </c>
      <c r="CA117" s="97" t="str">
        <f aca="false">IF($BX117&lt;&gt;Constants!$B$6,"",IF($AF117,0,Constants!$B$15))</f>
        <v/>
      </c>
      <c r="CB117" s="97" t="str">
        <f aca="false">IF($BX117&lt;&gt;Constants!$B$6,"",((Constants!$B$25-$AZ117)-Constants!$B$25)/Constants!$B$26)</f>
        <v/>
      </c>
      <c r="CC117" s="97" t="str">
        <f aca="false">IF(ISBLANK($C117),"",IF($BX117&lt;&gt;Constants!$B$6,$BX117,SUM($BZ117:$CB117)))</f>
        <v/>
      </c>
      <c r="CD117" s="93" t="str">
        <f aca="false">IF(ISBLANK($C117),"",IF($BX117&lt;&gt;Constants!$B$6,$BX117,RANK($CC117,$CC$9:$CC$508,1)))</f>
        <v/>
      </c>
      <c r="CE117" s="97" t="str">
        <f aca="false">IF($BX117&lt;&gt;Constants!$B$6,"",IF($BL117="-&gt;",$BT117,$BI117))</f>
        <v/>
      </c>
      <c r="CF117" s="93" t="str">
        <f aca="false">IF(ISBLANK($C117),"",IF($BX117&lt;&gt;Constants!$B$6,$BX117,IF(ISNUMBER($CE117),RANK($CE117,$CE$9:$CE$508,1),COUNT($CE$9:$CE$508)+1)))</f>
        <v/>
      </c>
      <c r="CG117" s="97" t="str">
        <f aca="false">IF($BX117&lt;&gt;Constants!$B$6,"",IF($BL117="-&gt;",$BU117,$BJ117))</f>
        <v/>
      </c>
      <c r="CH117" s="93" t="str">
        <f aca="false">IF(ISBLANK($C117),"",IF($BX117&lt;&gt;Constants!$B$6,$BX117,IF(ISNUMBER($CG117),RANK($CG117,$CG$9:$CG$508,1),COUNT($CG$9:$CG$508)+1)))</f>
        <v/>
      </c>
      <c r="CI117" s="97" t="str">
        <f aca="false">IF($BX117&lt;&gt;Constants!$B$6,"",IF($BL117="-&gt;",$BV117,$BK117))</f>
        <v/>
      </c>
      <c r="CJ117" s="93" t="str">
        <f aca="false">IF(ISBLANK($C117),"",IF($BX117&lt;&gt;Constants!$B$6,$BX117,IF(ISNUMBER($CI117),RANK($CI117,$CI$9:$CI$508,1),COUNT($CI$9:$CI$508)+1)))</f>
        <v/>
      </c>
      <c r="CK117" s="97" t="str">
        <f aca="false">IF($BX117&lt;&gt;Constants!$B$6,"",$AI117)</f>
        <v/>
      </c>
      <c r="CL117" s="93" t="str">
        <f aca="false">IF(ISBLANK($C117),"",IF($BX117&lt;&gt;Constants!$B$6,$BX117,IF(ISNUMBER($CK117),RANK($CK117,$CK$9:$CK$508,1),COUNT($CK$9:$CK$508)+1)))</f>
        <v/>
      </c>
      <c r="CM117" s="93" t="str">
        <f aca="false">IF(ISBLANK($C117),"",IF($BX117&lt;&gt;Constants!$B$6,$BX117,COUNTIFS($CD$9:$CD$508,"&lt;"&amp;$CD117)+COUNTIFS($CD$9:$CD$508,$CD117,$CF$9:$CF$508,"&lt;"&amp;$CF117)+COUNTIFS($CD$9:$CD$508,$CD117,$CF$9:$CF$508,$CF117,$CH$9:$CH$508,"&lt;"&amp;$CH117)+COUNTIFS($CD$9:$CD$508,$CD117,$CF$9:$CF$508,$CF117,$CH$9:$CH$508,$CH117,$CJ$9:$CJ$508,"&lt;"&amp;$CJ117)+COUNTIFS($CD$9:$CD$508,$CD117,$CF$9:$CF$508,$CF117,$CH$9:$CH$508,$CH117,$CJ$9:$CJ$508,$CJ117,$CL$9:$CL$508,"&lt;"&amp;$CL117)+1))</f>
        <v/>
      </c>
      <c r="CN117" s="93" t="str">
        <f aca="false">IF(ISBLANK($C117),"",IF($BX117&lt;&gt;Constants!$B$6,$BX117,$CD117-$CM117))</f>
        <v/>
      </c>
      <c r="CO117" s="100"/>
      <c r="CP117" s="101"/>
      <c r="CQ117" s="102" t="str">
        <f aca="false">IF(ISBLANK($C117),"",IF($BX117=Constants!$B$10,$BW117,""))</f>
        <v/>
      </c>
      <c r="CR117" s="101" t="str">
        <f aca="false">IF(ISBLANK($C117),"",IF($BX117&lt;&gt;Constants!$B$6,"",IF($BL117="-&gt;",2,1)))</f>
        <v/>
      </c>
      <c r="CS117" s="103" t="str">
        <f aca="false">IF(ISBLANK($C117),"",IF($BX117&lt;&gt;Constants!$B$6,"",IF($BL117="-&gt;",$BN117,$BC117)))</f>
        <v/>
      </c>
      <c r="CT117" s="103" t="str">
        <f aca="false">IF(ISBLANK($C117),"",IF($BX117&lt;&gt;Constants!$B$6,"",IF($BL117="-&gt;",$BO117,$BD117)))</f>
        <v/>
      </c>
      <c r="CU117" s="103" t="str">
        <f aca="false">IF(ISBLANK($C117),"",IF($BX117&lt;&gt;Constants!$B$6,"",IF($BL117="-&gt;",$BP117+$BQ117,$BE117+$BF117)+$CB117))</f>
        <v/>
      </c>
      <c r="CV117" s="103" t="str">
        <f aca="false">IF(ISBLANK($C117),"",IF($BX117&lt;&gt;Constants!$B$6,"",IF($BL117="-&gt;",$BR117,$BG117)+$CA117))</f>
        <v/>
      </c>
      <c r="CW117" s="104" t="str">
        <f aca="false">IF(ISBLANK($C117),"",IF($BX117&lt;&gt;Constants!$B$6,$BX117,$CC117))</f>
        <v/>
      </c>
      <c r="CX117" s="105" t="str">
        <f aca="false">IF(ISBLANK($C117),"",$BY117)</f>
        <v/>
      </c>
      <c r="CY117" s="106" t="str">
        <f aca="false">IF(ISBLANK($C117),"",$CN117)</f>
        <v/>
      </c>
      <c r="CZ117" s="106" t="str">
        <f aca="false">IF(ISBLANK($C117),"",$CM117)</f>
        <v/>
      </c>
      <c r="DA117" s="107" t="str">
        <f aca="false">IF(ISBLANK($C117),"",IFERROR(_xlfn.SWITCH($CZ117,Constants!$B$9,COUNTA($C$9:$C$508)+2,Constants!$B$8,COUNTA($C$9:$C$508)+1,Constants!$B$7,COUNTA($C$9:$C$508)),$CZ117))</f>
        <v/>
      </c>
      <c r="DB117" s="9"/>
      <c r="DC117" s="108" t="n">
        <f aca="false">IF(OR(ISNUMBER($CZ117),$CZ117=Constants!$B$9,$CZ117=Constants!$B$7,$CZ117=Constants!$B$8),1,0)</f>
        <v>0</v>
      </c>
      <c r="DD117" s="108" t="n">
        <v>109</v>
      </c>
      <c r="DE117" s="108" t="str">
        <f aca="false">IF(ISBLANK($C117),"",IF(ISNUMBER($DA117),$DA117+ROW($B117)/1000,""))</f>
        <v/>
      </c>
      <c r="DF117" s="108" t="str">
        <f aca="false">IF(ISNUMBER($DE117),RANK($DE117,$DE$9:$DE$508,1),"")</f>
        <v/>
      </c>
      <c r="DG117" s="108" t="str">
        <f aca="false">IF(ISBLANK($C117),"",$B117)</f>
        <v/>
      </c>
      <c r="DH117" s="108" t="str">
        <f aca="false">IF(ISBLANK($C117),"",$C117)</f>
        <v/>
      </c>
      <c r="DI117" s="108" t="str">
        <f aca="false">IF(ISBLANK($C117),"",$D117)</f>
        <v/>
      </c>
      <c r="DJ117" s="109" t="str">
        <f aca="false">$CX117</f>
        <v/>
      </c>
      <c r="DK117" s="110" t="str">
        <f aca="false">$CW117</f>
        <v/>
      </c>
      <c r="DL117" s="108" t="str">
        <f aca="false">IF(ISBLANK($C117),"",$CZ117)</f>
        <v/>
      </c>
      <c r="DM117" s="111" t="str">
        <f aca="false">IF($DD117&gt;$DC$8,"",VLOOKUP($DD117,$DF$9:$DL$508,7,FALSE()))</f>
        <v/>
      </c>
      <c r="DN117" s="112" t="str">
        <f aca="false">IF($DD117&gt;$DC$8,"",VLOOKUP($DD117,$DF$9:$DL$508,2,FALSE()))</f>
        <v/>
      </c>
      <c r="DO117" s="112" t="str">
        <f aca="false">IF($DD117&gt;$DC$8,"",VLOOKUP($DD117,$DF$9:$DL$508,3,FALSE()))</f>
        <v/>
      </c>
      <c r="DP117" s="112" t="str">
        <f aca="false">IF($DD117&gt;$DC$8,"",VLOOKUP($DD117,$DF$9:$DL$508,4,FALSE()))</f>
        <v/>
      </c>
      <c r="DQ117" s="112" t="str">
        <f aca="false">IF($DD117&gt;$DC$8,"",VLOOKUP($DD117,$DF$9:$DL$508,5,FALSE()))</f>
        <v/>
      </c>
      <c r="DR117" s="113" t="str">
        <f aca="false">IF($DD117&gt;$DC$8,"",VLOOKUP($DD117,$DF$9:$DL$508,6,FALSE()))</f>
        <v/>
      </c>
      <c r="DS117" s="76"/>
    </row>
    <row r="118" customFormat="false" ht="15.75" hidden="false" customHeight="false" outlineLevel="0" collapsed="false">
      <c r="A118" s="9"/>
      <c r="B118" s="78"/>
      <c r="C118" s="79"/>
      <c r="D118" s="170"/>
      <c r="E118" s="178"/>
      <c r="F118" s="172"/>
      <c r="G118" s="173"/>
      <c r="H118" s="173"/>
      <c r="I118" s="179"/>
      <c r="J118" s="176"/>
      <c r="K118" s="86"/>
      <c r="L118" s="87"/>
      <c r="M118" s="88"/>
      <c r="N118" s="176"/>
      <c r="O118" s="176"/>
      <c r="P118" s="178"/>
      <c r="Q118" s="176"/>
      <c r="R118" s="176"/>
      <c r="S118" s="86"/>
      <c r="T118" s="88"/>
      <c r="U118" s="88"/>
      <c r="V118" s="176"/>
      <c r="W118" s="176"/>
      <c r="X118" s="178"/>
      <c r="Y118" s="176"/>
      <c r="Z118" s="177"/>
      <c r="AA118" s="176"/>
      <c r="AB118" s="92"/>
      <c r="AC118" s="93"/>
      <c r="AD118" s="93"/>
      <c r="AE118" s="93"/>
      <c r="AF118" s="93" t="str">
        <f aca="false">IF(ISBLANK($C118),"",IF(E118=Constants!$B$2,TRUE(),IF(E118=Constants!$B$3,FALSE(),TRUE())))</f>
        <v/>
      </c>
      <c r="AG118" s="93" t="str">
        <f aca="false">IF(ISBLANK($C118),"",IF(F118=Constants!$B$2,TRUE(),IF(F118=Constants!$B$3,FALSE(),TRUE())))</f>
        <v/>
      </c>
      <c r="AH118" s="93" t="str">
        <f aca="false">IF(ISBLANK($C118),"",IF(G118=Constants!$B$2,TRUE(),IF(G118=Constants!$B$3,FALSE(),TRUE())))</f>
        <v/>
      </c>
      <c r="AI118" s="93" t="str">
        <f aca="false">IF(ISBLANK($C118),"",IF(AND(ISNUMBER(H118),H118&gt;=0),H118,Constants!$B$24))</f>
        <v/>
      </c>
      <c r="AJ118" s="93" t="str">
        <f aca="false">IF(ISBLANK($C118),"",IF(I118=Constants!$B$2,TRUE(),IF(I118=Constants!$B$3,FALSE(),TRUE())))</f>
        <v/>
      </c>
      <c r="AK118" s="93" t="str">
        <f aca="false">IF(ISBLANK($C118),"",IF(J118=Constants!$B$2,TRUE(),IF(J118=Constants!$B$3,FALSE(),TRUE())))</f>
        <v/>
      </c>
      <c r="AL118" s="93" t="str">
        <f aca="false">IF(ISBLANK($C118),"",IF(K118=Constants!$B$4,TRUE(),IF(K118=Constants!$B$5,FALSE(),COUNTA(L118:P118)&gt;0)))</f>
        <v/>
      </c>
      <c r="AM118" s="95" t="str">
        <f aca="false">IF(ISBLANK($C118),"",IF(ISNUMBER(L118),IF(L118&gt;=0,L118,""),""))</f>
        <v/>
      </c>
      <c r="AN118" s="94" t="str">
        <f aca="false">IF(ISBLANK($C118),"",IF(ISNUMBER(M118),IF(M118&gt;=0,M118,""),""))</f>
        <v/>
      </c>
      <c r="AO118" s="94" t="str">
        <f aca="false">IF(ISBLANK($C118),"",IF(N118=Constants!$B$2,TRUE(),IF(N118=Constants!$B$3,FALSE(),TRUE())))</f>
        <v/>
      </c>
      <c r="AP118" s="93" t="str">
        <f aca="false">IF(ISBLANK($C118),"",IF(ISNUMBER(O118),IF(O118&gt;=0,O118,""),""))</f>
        <v/>
      </c>
      <c r="AQ118" s="93" t="str">
        <f aca="false">IF(ISBLANK($C118),"",IF(P118=Constants!$B$2,TRUE(),IF(P118=Constants!$B$3,FALSE(),FALSE())))</f>
        <v/>
      </c>
      <c r="AR118" s="93" t="str">
        <f aca="false">IF(ISBLANK($C118),"",IF(Q118=Constants!$B$2,TRUE(),IF(Q118=Constants!$B$3,FALSE(),TRUE())))</f>
        <v/>
      </c>
      <c r="AS118" s="93" t="str">
        <f aca="false">IF(ISBLANK($C118),"",IF(R118=Constants!$B$2,TRUE(),IF(R118=Constants!$B$3,FALSE(),TRUE())))</f>
        <v/>
      </c>
      <c r="AT118" s="93" t="str">
        <f aca="false">IF(ISBLANK($C118),"",IF(S118=Constants!$B$4,TRUE(),IF(S118=Constants!$B$5,FALSE(),COUNTA(T118:X118)&gt;0)))</f>
        <v/>
      </c>
      <c r="AU118" s="95" t="str">
        <f aca="false">IF(ISBLANK($C118),"",IF(ISNUMBER(T118),IF(T118&gt;=0,T118,""),""))</f>
        <v/>
      </c>
      <c r="AV118" s="94" t="str">
        <f aca="false">IF(ISBLANK($C118),"",IF(ISNUMBER(U118),IF(U118&gt;=0,U118,""),""))</f>
        <v/>
      </c>
      <c r="AW118" s="94" t="str">
        <f aca="false">IF(ISBLANK($C118),"",IF(V118=Constants!$B$2,TRUE(),IF(V118=Constants!$B$3,FALSE(),TRUE())))</f>
        <v/>
      </c>
      <c r="AX118" s="93" t="str">
        <f aca="false">IF(ISBLANK($C118),"",IF(ISNUMBER(W118),IF(W118&gt;=0,W118,""),""))</f>
        <v/>
      </c>
      <c r="AY118" s="93" t="str">
        <f aca="false">IF(ISBLANK($C118),"",IF(X118=Constants!$B$2,TRUE(),IF(X118=Constants!$B$3,FALSE(),FALSE())))</f>
        <v/>
      </c>
      <c r="AZ118" s="93" t="str">
        <f aca="false">IF(ISBLANK($C118),"",MIN(Constants!$B$25,MAX(0,IF(ISNUMBER(Y118),Y118*60,0)+IF(ISNUMBER(Z118),Z118,0))))</f>
        <v/>
      </c>
      <c r="BA118" s="93" t="str">
        <f aca="false">IF(ISBLANK($C118),"",IF(AA118=Constants!$B$2,TRUE(),IF(AA118=Constants!$B$3,FALSE(),FALSE())))</f>
        <v/>
      </c>
      <c r="BB118" s="92" t="str">
        <f aca="false">IF(ISBLANK($C118),"",AND($AL118,OR($AM118="",$AN118="",AND($AO118,$AP118=""))))</f>
        <v/>
      </c>
      <c r="BC118" s="94" t="str">
        <f aca="false">IF($BX118&lt;&gt;Constants!$B$6,"",IF($AL118,Constants!$B$17*$AN118+Constants!$B$18*IF($AO118,$AP118,Constants!$B$19),Constants!$B$20))</f>
        <v/>
      </c>
      <c r="BD118" s="97" t="str">
        <f aca="false">IF($BX118&lt;&gt;Constants!$B$6,"",Constants!$B$21*ABS($AD$9-IF($AL118,$AM118,0)))</f>
        <v/>
      </c>
      <c r="BE118" s="97" t="str">
        <f aca="false">IF($BX118&lt;&gt;Constants!$B$6,"",IF(AND($AL118,$AQ118,$AO118),Constants!$B$22,0))</f>
        <v/>
      </c>
      <c r="BF118" s="97" t="str">
        <f aca="false">IF($BX118&lt;&gt;Constants!$B$6,"",IF($AL118,($AI118-Constants!$B$24)*Constants!$B$23,0))</f>
        <v/>
      </c>
      <c r="BG118" s="97" t="str">
        <f aca="false">IF($BX118&lt;&gt;Constants!$B$6,"",IF($AK118,0,Constants!$B$12)+IF($AJ118,0,Constants!$B$13)+IF($AH118,0,Constants!$B$14))</f>
        <v/>
      </c>
      <c r="BH118" s="98" t="str">
        <f aca="false">IF($BX118&lt;&gt;Constants!$B$6,"",Constants!$B$16+SUM($BC118:$BG118))</f>
        <v/>
      </c>
      <c r="BI118" s="97" t="str">
        <f aca="false">IF($BX118&lt;&gt;Constants!$B$6,"",$BC118)</f>
        <v/>
      </c>
      <c r="BJ118" s="97" t="str">
        <f aca="false">IF($BX118&lt;&gt;Constants!$B$6,"",$BD118)</f>
        <v/>
      </c>
      <c r="BK118" s="99" t="str">
        <f aca="false">IF($BX118&lt;&gt;Constants!$B$6,"",IF($AL118,$AN118,""))</f>
        <v/>
      </c>
      <c r="BL118" s="93" t="str">
        <f aca="false">IF($BX118&lt;&gt;Constants!$B$6,"",IF(OR($BS118&lt;$BH118,AND($BS118=$BH118,OR($BT118&lt;$BI118,AND($BT118=$BI118,OR($BU118&lt;$BJ118,AND($BU118=$BJ118,AND(ISNUMBER($BV118),OR(NOT(ISNUMBER($BK118)),$BV118&lt;$BK118)))))))),"-&gt;","&lt;-"))</f>
        <v/>
      </c>
      <c r="BM118" s="92" t="str">
        <f aca="false">IF(ISBLANK($C118),"",AND($AT118,OR($AU118="",$AV118="",AND($AW118,$AX118=""))))</f>
        <v/>
      </c>
      <c r="BN118" s="94" t="str">
        <f aca="false">IF($BX118&lt;&gt;Constants!$B$6,"",IF($AT118,Constants!$B$17*$AV118+Constants!$B$18*IF($AW118,$AX118,Constants!$B$19),Constants!$B$20))</f>
        <v/>
      </c>
      <c r="BO118" s="97" t="str">
        <f aca="false">IF($BX118&lt;&gt;Constants!$B$6,"",Constants!$B$21*ABS($AD$9-IF($AT118,$AU118,0)))</f>
        <v/>
      </c>
      <c r="BP118" s="97" t="str">
        <f aca="false">IF($BX118&lt;&gt;Constants!$B$6,"",IF(AND($AT118,$AY118,$AW118),Constants!$B$22,0))</f>
        <v/>
      </c>
      <c r="BQ118" s="97" t="str">
        <f aca="false">IF($BX118&lt;&gt;Constants!$B$6,"",IF($AT118,($AI118-Constants!$B$24)*Constants!$B$23,0))</f>
        <v/>
      </c>
      <c r="BR118" s="97" t="str">
        <f aca="false">IF($BX118&lt;&gt;Constants!$B$6,"",IF($AS118,0,Constants!$B$12)+IF($AR118,0,Constants!$B$13)+IF($AH118,0,Constants!$B$14))</f>
        <v/>
      </c>
      <c r="BS118" s="98" t="str">
        <f aca="false">IF($BX118&lt;&gt;Constants!$B$6,"",Constants!$B$16+SUM($BN118:$BR118))</f>
        <v/>
      </c>
      <c r="BT118" s="97" t="str">
        <f aca="false">IF($BX118&lt;&gt;Constants!$B$6,"",$BN118)</f>
        <v/>
      </c>
      <c r="BU118" s="97" t="str">
        <f aca="false">IF($BX118&lt;&gt;Constants!$B$6,"",$BO118)</f>
        <v/>
      </c>
      <c r="BV118" s="99" t="str">
        <f aca="false">IF($BX118&lt;&gt;Constants!$B$6,"",IF($AT118,$AV118,""))</f>
        <v/>
      </c>
      <c r="BW118" s="93" t="str">
        <f aca="false">IF(ISBLANK($C118),"",IF(ISBLANK($D$7),$BW$5,IF(NOT(ISNUMBER($D$7)),$BW$6,"")))</f>
        <v/>
      </c>
      <c r="BX118" s="93" t="str">
        <f aca="false">IF(ISBLANK($C118),"",IF($BA118,Constants!$B$9,IF(COUNTA($E118:$AA118)=0,Constants!$B$8,IF(NOT($AG118),Constants!$B$7,IF(OR($BW118&lt;&gt;"",$BB118,$BM118),Constants!$B$10,Constants!$B$6)))))</f>
        <v/>
      </c>
      <c r="BY118" s="93" t="str">
        <f aca="false">IF(ISBLANK($C118),"",IF($BX118&lt;&gt;Constants!$B$6,$BX118,Constants!$B$11))</f>
        <v/>
      </c>
      <c r="BZ118" s="97" t="str">
        <f aca="false">IF($BX118&lt;&gt;Constants!$B$6,"",IF($BL118="-&gt;",$BS118,$BH118))</f>
        <v/>
      </c>
      <c r="CA118" s="97" t="str">
        <f aca="false">IF($BX118&lt;&gt;Constants!$B$6,"",IF($AF118,0,Constants!$B$15))</f>
        <v/>
      </c>
      <c r="CB118" s="97" t="str">
        <f aca="false">IF($BX118&lt;&gt;Constants!$B$6,"",((Constants!$B$25-$AZ118)-Constants!$B$25)/Constants!$B$26)</f>
        <v/>
      </c>
      <c r="CC118" s="97" t="str">
        <f aca="false">IF(ISBLANK($C118),"",IF($BX118&lt;&gt;Constants!$B$6,$BX118,SUM($BZ118:$CB118)))</f>
        <v/>
      </c>
      <c r="CD118" s="93" t="str">
        <f aca="false">IF(ISBLANK($C118),"",IF($BX118&lt;&gt;Constants!$B$6,$BX118,RANK($CC118,$CC$9:$CC$508,1)))</f>
        <v/>
      </c>
      <c r="CE118" s="97" t="str">
        <f aca="false">IF($BX118&lt;&gt;Constants!$B$6,"",IF($BL118="-&gt;",$BT118,$BI118))</f>
        <v/>
      </c>
      <c r="CF118" s="93" t="str">
        <f aca="false">IF(ISBLANK($C118),"",IF($BX118&lt;&gt;Constants!$B$6,$BX118,IF(ISNUMBER($CE118),RANK($CE118,$CE$9:$CE$508,1),COUNT($CE$9:$CE$508)+1)))</f>
        <v/>
      </c>
      <c r="CG118" s="97" t="str">
        <f aca="false">IF($BX118&lt;&gt;Constants!$B$6,"",IF($BL118="-&gt;",$BU118,$BJ118))</f>
        <v/>
      </c>
      <c r="CH118" s="93" t="str">
        <f aca="false">IF(ISBLANK($C118),"",IF($BX118&lt;&gt;Constants!$B$6,$BX118,IF(ISNUMBER($CG118),RANK($CG118,$CG$9:$CG$508,1),COUNT($CG$9:$CG$508)+1)))</f>
        <v/>
      </c>
      <c r="CI118" s="97" t="str">
        <f aca="false">IF($BX118&lt;&gt;Constants!$B$6,"",IF($BL118="-&gt;",$BV118,$BK118))</f>
        <v/>
      </c>
      <c r="CJ118" s="93" t="str">
        <f aca="false">IF(ISBLANK($C118),"",IF($BX118&lt;&gt;Constants!$B$6,$BX118,IF(ISNUMBER($CI118),RANK($CI118,$CI$9:$CI$508,1),COUNT($CI$9:$CI$508)+1)))</f>
        <v/>
      </c>
      <c r="CK118" s="97" t="str">
        <f aca="false">IF($BX118&lt;&gt;Constants!$B$6,"",$AI118)</f>
        <v/>
      </c>
      <c r="CL118" s="93" t="str">
        <f aca="false">IF(ISBLANK($C118),"",IF($BX118&lt;&gt;Constants!$B$6,$BX118,IF(ISNUMBER($CK118),RANK($CK118,$CK$9:$CK$508,1),COUNT($CK$9:$CK$508)+1)))</f>
        <v/>
      </c>
      <c r="CM118" s="93" t="str">
        <f aca="false">IF(ISBLANK($C118),"",IF($BX118&lt;&gt;Constants!$B$6,$BX118,COUNTIFS($CD$9:$CD$508,"&lt;"&amp;$CD118)+COUNTIFS($CD$9:$CD$508,$CD118,$CF$9:$CF$508,"&lt;"&amp;$CF118)+COUNTIFS($CD$9:$CD$508,$CD118,$CF$9:$CF$508,$CF118,$CH$9:$CH$508,"&lt;"&amp;$CH118)+COUNTIFS($CD$9:$CD$508,$CD118,$CF$9:$CF$508,$CF118,$CH$9:$CH$508,$CH118,$CJ$9:$CJ$508,"&lt;"&amp;$CJ118)+COUNTIFS($CD$9:$CD$508,$CD118,$CF$9:$CF$508,$CF118,$CH$9:$CH$508,$CH118,$CJ$9:$CJ$508,$CJ118,$CL$9:$CL$508,"&lt;"&amp;$CL118)+1))</f>
        <v/>
      </c>
      <c r="CN118" s="93" t="str">
        <f aca="false">IF(ISBLANK($C118),"",IF($BX118&lt;&gt;Constants!$B$6,$BX118,$CD118-$CM118))</f>
        <v/>
      </c>
      <c r="CO118" s="100"/>
      <c r="CP118" s="101"/>
      <c r="CQ118" s="102" t="str">
        <f aca="false">IF(ISBLANK($C118),"",IF($BX118=Constants!$B$10,$BW118,""))</f>
        <v/>
      </c>
      <c r="CR118" s="101" t="str">
        <f aca="false">IF(ISBLANK($C118),"",IF($BX118&lt;&gt;Constants!$B$6,"",IF($BL118="-&gt;",2,1)))</f>
        <v/>
      </c>
      <c r="CS118" s="103" t="str">
        <f aca="false">IF(ISBLANK($C118),"",IF($BX118&lt;&gt;Constants!$B$6,"",IF($BL118="-&gt;",$BN118,$BC118)))</f>
        <v/>
      </c>
      <c r="CT118" s="103" t="str">
        <f aca="false">IF(ISBLANK($C118),"",IF($BX118&lt;&gt;Constants!$B$6,"",IF($BL118="-&gt;",$BO118,$BD118)))</f>
        <v/>
      </c>
      <c r="CU118" s="103" t="str">
        <f aca="false">IF(ISBLANK($C118),"",IF($BX118&lt;&gt;Constants!$B$6,"",IF($BL118="-&gt;",$BP118+$BQ118,$BE118+$BF118)+$CB118))</f>
        <v/>
      </c>
      <c r="CV118" s="103" t="str">
        <f aca="false">IF(ISBLANK($C118),"",IF($BX118&lt;&gt;Constants!$B$6,"",IF($BL118="-&gt;",$BR118,$BG118)+$CA118))</f>
        <v/>
      </c>
      <c r="CW118" s="104" t="str">
        <f aca="false">IF(ISBLANK($C118),"",IF($BX118&lt;&gt;Constants!$B$6,$BX118,$CC118))</f>
        <v/>
      </c>
      <c r="CX118" s="105" t="str">
        <f aca="false">IF(ISBLANK($C118),"",$BY118)</f>
        <v/>
      </c>
      <c r="CY118" s="106" t="str">
        <f aca="false">IF(ISBLANK($C118),"",$CN118)</f>
        <v/>
      </c>
      <c r="CZ118" s="106" t="str">
        <f aca="false">IF(ISBLANK($C118),"",$CM118)</f>
        <v/>
      </c>
      <c r="DA118" s="107" t="str">
        <f aca="false">IF(ISBLANK($C118),"",IFERROR(_xlfn.SWITCH($CZ118,Constants!$B$9,COUNTA($C$9:$C$508)+2,Constants!$B$8,COUNTA($C$9:$C$508)+1,Constants!$B$7,COUNTA($C$9:$C$508)),$CZ118))</f>
        <v/>
      </c>
      <c r="DB118" s="9"/>
      <c r="DC118" s="108" t="n">
        <f aca="false">IF(OR(ISNUMBER($CZ118),$CZ118=Constants!$B$9,$CZ118=Constants!$B$7,$CZ118=Constants!$B$8),1,0)</f>
        <v>0</v>
      </c>
      <c r="DD118" s="108" t="n">
        <v>110</v>
      </c>
      <c r="DE118" s="108" t="str">
        <f aca="false">IF(ISBLANK($C118),"",IF(ISNUMBER($DA118),$DA118+ROW($B118)/1000,""))</f>
        <v/>
      </c>
      <c r="DF118" s="108" t="str">
        <f aca="false">IF(ISNUMBER($DE118),RANK($DE118,$DE$9:$DE$508,1),"")</f>
        <v/>
      </c>
      <c r="DG118" s="108" t="str">
        <f aca="false">IF(ISBLANK($C118),"",$B118)</f>
        <v/>
      </c>
      <c r="DH118" s="108" t="str">
        <f aca="false">IF(ISBLANK($C118),"",$C118)</f>
        <v/>
      </c>
      <c r="DI118" s="108" t="str">
        <f aca="false">IF(ISBLANK($C118),"",$D118)</f>
        <v/>
      </c>
      <c r="DJ118" s="109" t="str">
        <f aca="false">$CX118</f>
        <v/>
      </c>
      <c r="DK118" s="110" t="str">
        <f aca="false">$CW118</f>
        <v/>
      </c>
      <c r="DL118" s="108" t="str">
        <f aca="false">IF(ISBLANK($C118),"",$CZ118)</f>
        <v/>
      </c>
      <c r="DM118" s="111" t="str">
        <f aca="false">IF($DD118&gt;$DC$8,"",VLOOKUP($DD118,$DF$9:$DL$508,7,FALSE()))</f>
        <v/>
      </c>
      <c r="DN118" s="112" t="str">
        <f aca="false">IF($DD118&gt;$DC$8,"",VLOOKUP($DD118,$DF$9:$DL$508,2,FALSE()))</f>
        <v/>
      </c>
      <c r="DO118" s="112" t="str">
        <f aca="false">IF($DD118&gt;$DC$8,"",VLOOKUP($DD118,$DF$9:$DL$508,3,FALSE()))</f>
        <v/>
      </c>
      <c r="DP118" s="112" t="str">
        <f aca="false">IF($DD118&gt;$DC$8,"",VLOOKUP($DD118,$DF$9:$DL$508,4,FALSE()))</f>
        <v/>
      </c>
      <c r="DQ118" s="112" t="str">
        <f aca="false">IF($DD118&gt;$DC$8,"",VLOOKUP($DD118,$DF$9:$DL$508,5,FALSE()))</f>
        <v/>
      </c>
      <c r="DR118" s="113" t="str">
        <f aca="false">IF($DD118&gt;$DC$8,"",VLOOKUP($DD118,$DF$9:$DL$508,6,FALSE()))</f>
        <v/>
      </c>
      <c r="DS118" s="76"/>
    </row>
    <row r="119" customFormat="false" ht="15.75" hidden="false" customHeight="false" outlineLevel="0" collapsed="false">
      <c r="A119" s="9"/>
      <c r="B119" s="78"/>
      <c r="C119" s="79"/>
      <c r="D119" s="170"/>
      <c r="E119" s="178"/>
      <c r="F119" s="172"/>
      <c r="G119" s="173"/>
      <c r="H119" s="173"/>
      <c r="I119" s="179"/>
      <c r="J119" s="176"/>
      <c r="K119" s="86"/>
      <c r="L119" s="87"/>
      <c r="M119" s="88"/>
      <c r="N119" s="176"/>
      <c r="O119" s="176"/>
      <c r="P119" s="178"/>
      <c r="Q119" s="176"/>
      <c r="R119" s="176"/>
      <c r="S119" s="86"/>
      <c r="T119" s="88"/>
      <c r="U119" s="88"/>
      <c r="V119" s="176"/>
      <c r="W119" s="176"/>
      <c r="X119" s="178"/>
      <c r="Y119" s="176"/>
      <c r="Z119" s="177"/>
      <c r="AA119" s="176"/>
      <c r="AB119" s="92"/>
      <c r="AC119" s="93"/>
      <c r="AD119" s="93"/>
      <c r="AE119" s="93"/>
      <c r="AF119" s="93" t="str">
        <f aca="false">IF(ISBLANK($C119),"",IF(E119=Constants!$B$2,TRUE(),IF(E119=Constants!$B$3,FALSE(),TRUE())))</f>
        <v/>
      </c>
      <c r="AG119" s="93" t="str">
        <f aca="false">IF(ISBLANK($C119),"",IF(F119=Constants!$B$2,TRUE(),IF(F119=Constants!$B$3,FALSE(),TRUE())))</f>
        <v/>
      </c>
      <c r="AH119" s="93" t="str">
        <f aca="false">IF(ISBLANK($C119),"",IF(G119=Constants!$B$2,TRUE(),IF(G119=Constants!$B$3,FALSE(),TRUE())))</f>
        <v/>
      </c>
      <c r="AI119" s="93" t="str">
        <f aca="false">IF(ISBLANK($C119),"",IF(AND(ISNUMBER(H119),H119&gt;=0),H119,Constants!$B$24))</f>
        <v/>
      </c>
      <c r="AJ119" s="93" t="str">
        <f aca="false">IF(ISBLANK($C119),"",IF(I119=Constants!$B$2,TRUE(),IF(I119=Constants!$B$3,FALSE(),TRUE())))</f>
        <v/>
      </c>
      <c r="AK119" s="93" t="str">
        <f aca="false">IF(ISBLANK($C119),"",IF(J119=Constants!$B$2,TRUE(),IF(J119=Constants!$B$3,FALSE(),TRUE())))</f>
        <v/>
      </c>
      <c r="AL119" s="93" t="str">
        <f aca="false">IF(ISBLANK($C119),"",IF(K119=Constants!$B$4,TRUE(),IF(K119=Constants!$B$5,FALSE(),COUNTA(L119:P119)&gt;0)))</f>
        <v/>
      </c>
      <c r="AM119" s="95" t="str">
        <f aca="false">IF(ISBLANK($C119),"",IF(ISNUMBER(L119),IF(L119&gt;=0,L119,""),""))</f>
        <v/>
      </c>
      <c r="AN119" s="94" t="str">
        <f aca="false">IF(ISBLANK($C119),"",IF(ISNUMBER(M119),IF(M119&gt;=0,M119,""),""))</f>
        <v/>
      </c>
      <c r="AO119" s="94" t="str">
        <f aca="false">IF(ISBLANK($C119),"",IF(N119=Constants!$B$2,TRUE(),IF(N119=Constants!$B$3,FALSE(),TRUE())))</f>
        <v/>
      </c>
      <c r="AP119" s="93" t="str">
        <f aca="false">IF(ISBLANK($C119),"",IF(ISNUMBER(O119),IF(O119&gt;=0,O119,""),""))</f>
        <v/>
      </c>
      <c r="AQ119" s="93" t="str">
        <f aca="false">IF(ISBLANK($C119),"",IF(P119=Constants!$B$2,TRUE(),IF(P119=Constants!$B$3,FALSE(),FALSE())))</f>
        <v/>
      </c>
      <c r="AR119" s="93" t="str">
        <f aca="false">IF(ISBLANK($C119),"",IF(Q119=Constants!$B$2,TRUE(),IF(Q119=Constants!$B$3,FALSE(),TRUE())))</f>
        <v/>
      </c>
      <c r="AS119" s="93" t="str">
        <f aca="false">IF(ISBLANK($C119),"",IF(R119=Constants!$B$2,TRUE(),IF(R119=Constants!$B$3,FALSE(),TRUE())))</f>
        <v/>
      </c>
      <c r="AT119" s="93" t="str">
        <f aca="false">IF(ISBLANK($C119),"",IF(S119=Constants!$B$4,TRUE(),IF(S119=Constants!$B$5,FALSE(),COUNTA(T119:X119)&gt;0)))</f>
        <v/>
      </c>
      <c r="AU119" s="95" t="str">
        <f aca="false">IF(ISBLANK($C119),"",IF(ISNUMBER(T119),IF(T119&gt;=0,T119,""),""))</f>
        <v/>
      </c>
      <c r="AV119" s="94" t="str">
        <f aca="false">IF(ISBLANK($C119),"",IF(ISNUMBER(U119),IF(U119&gt;=0,U119,""),""))</f>
        <v/>
      </c>
      <c r="AW119" s="94" t="str">
        <f aca="false">IF(ISBLANK($C119),"",IF(V119=Constants!$B$2,TRUE(),IF(V119=Constants!$B$3,FALSE(),TRUE())))</f>
        <v/>
      </c>
      <c r="AX119" s="93" t="str">
        <f aca="false">IF(ISBLANK($C119),"",IF(ISNUMBER(W119),IF(W119&gt;=0,W119,""),""))</f>
        <v/>
      </c>
      <c r="AY119" s="93" t="str">
        <f aca="false">IF(ISBLANK($C119),"",IF(X119=Constants!$B$2,TRUE(),IF(X119=Constants!$B$3,FALSE(),FALSE())))</f>
        <v/>
      </c>
      <c r="AZ119" s="93" t="str">
        <f aca="false">IF(ISBLANK($C119),"",MIN(Constants!$B$25,MAX(0,IF(ISNUMBER(Y119),Y119*60,0)+IF(ISNUMBER(Z119),Z119,0))))</f>
        <v/>
      </c>
      <c r="BA119" s="93" t="str">
        <f aca="false">IF(ISBLANK($C119),"",IF(AA119=Constants!$B$2,TRUE(),IF(AA119=Constants!$B$3,FALSE(),FALSE())))</f>
        <v/>
      </c>
      <c r="BB119" s="92" t="str">
        <f aca="false">IF(ISBLANK($C119),"",AND($AL119,OR($AM119="",$AN119="",AND($AO119,$AP119=""))))</f>
        <v/>
      </c>
      <c r="BC119" s="94" t="str">
        <f aca="false">IF($BX119&lt;&gt;Constants!$B$6,"",IF($AL119,Constants!$B$17*$AN119+Constants!$B$18*IF($AO119,$AP119,Constants!$B$19),Constants!$B$20))</f>
        <v/>
      </c>
      <c r="BD119" s="97" t="str">
        <f aca="false">IF($BX119&lt;&gt;Constants!$B$6,"",Constants!$B$21*ABS($AD$9-IF($AL119,$AM119,0)))</f>
        <v/>
      </c>
      <c r="BE119" s="97" t="str">
        <f aca="false">IF($BX119&lt;&gt;Constants!$B$6,"",IF(AND($AL119,$AQ119,$AO119),Constants!$B$22,0))</f>
        <v/>
      </c>
      <c r="BF119" s="97" t="str">
        <f aca="false">IF($BX119&lt;&gt;Constants!$B$6,"",IF($AL119,($AI119-Constants!$B$24)*Constants!$B$23,0))</f>
        <v/>
      </c>
      <c r="BG119" s="97" t="str">
        <f aca="false">IF($BX119&lt;&gt;Constants!$B$6,"",IF($AK119,0,Constants!$B$12)+IF($AJ119,0,Constants!$B$13)+IF($AH119,0,Constants!$B$14))</f>
        <v/>
      </c>
      <c r="BH119" s="98" t="str">
        <f aca="false">IF($BX119&lt;&gt;Constants!$B$6,"",Constants!$B$16+SUM($BC119:$BG119))</f>
        <v/>
      </c>
      <c r="BI119" s="97" t="str">
        <f aca="false">IF($BX119&lt;&gt;Constants!$B$6,"",$BC119)</f>
        <v/>
      </c>
      <c r="BJ119" s="97" t="str">
        <f aca="false">IF($BX119&lt;&gt;Constants!$B$6,"",$BD119)</f>
        <v/>
      </c>
      <c r="BK119" s="99" t="str">
        <f aca="false">IF($BX119&lt;&gt;Constants!$B$6,"",IF($AL119,$AN119,""))</f>
        <v/>
      </c>
      <c r="BL119" s="93" t="str">
        <f aca="false">IF($BX119&lt;&gt;Constants!$B$6,"",IF(OR($BS119&lt;$BH119,AND($BS119=$BH119,OR($BT119&lt;$BI119,AND($BT119=$BI119,OR($BU119&lt;$BJ119,AND($BU119=$BJ119,AND(ISNUMBER($BV119),OR(NOT(ISNUMBER($BK119)),$BV119&lt;$BK119)))))))),"-&gt;","&lt;-"))</f>
        <v/>
      </c>
      <c r="BM119" s="92" t="str">
        <f aca="false">IF(ISBLANK($C119),"",AND($AT119,OR($AU119="",$AV119="",AND($AW119,$AX119=""))))</f>
        <v/>
      </c>
      <c r="BN119" s="94" t="str">
        <f aca="false">IF($BX119&lt;&gt;Constants!$B$6,"",IF($AT119,Constants!$B$17*$AV119+Constants!$B$18*IF($AW119,$AX119,Constants!$B$19),Constants!$B$20))</f>
        <v/>
      </c>
      <c r="BO119" s="97" t="str">
        <f aca="false">IF($BX119&lt;&gt;Constants!$B$6,"",Constants!$B$21*ABS($AD$9-IF($AT119,$AU119,0)))</f>
        <v/>
      </c>
      <c r="BP119" s="97" t="str">
        <f aca="false">IF($BX119&lt;&gt;Constants!$B$6,"",IF(AND($AT119,$AY119,$AW119),Constants!$B$22,0))</f>
        <v/>
      </c>
      <c r="BQ119" s="97" t="str">
        <f aca="false">IF($BX119&lt;&gt;Constants!$B$6,"",IF($AT119,($AI119-Constants!$B$24)*Constants!$B$23,0))</f>
        <v/>
      </c>
      <c r="BR119" s="97" t="str">
        <f aca="false">IF($BX119&lt;&gt;Constants!$B$6,"",IF($AS119,0,Constants!$B$12)+IF($AR119,0,Constants!$B$13)+IF($AH119,0,Constants!$B$14))</f>
        <v/>
      </c>
      <c r="BS119" s="98" t="str">
        <f aca="false">IF($BX119&lt;&gt;Constants!$B$6,"",Constants!$B$16+SUM($BN119:$BR119))</f>
        <v/>
      </c>
      <c r="BT119" s="97" t="str">
        <f aca="false">IF($BX119&lt;&gt;Constants!$B$6,"",$BN119)</f>
        <v/>
      </c>
      <c r="BU119" s="97" t="str">
        <f aca="false">IF($BX119&lt;&gt;Constants!$B$6,"",$BO119)</f>
        <v/>
      </c>
      <c r="BV119" s="99" t="str">
        <f aca="false">IF($BX119&lt;&gt;Constants!$B$6,"",IF($AT119,$AV119,""))</f>
        <v/>
      </c>
      <c r="BW119" s="93" t="str">
        <f aca="false">IF(ISBLANK($C119),"",IF(ISBLANK($D$7),$BW$5,IF(NOT(ISNUMBER($D$7)),$BW$6,"")))</f>
        <v/>
      </c>
      <c r="BX119" s="93" t="str">
        <f aca="false">IF(ISBLANK($C119),"",IF($BA119,Constants!$B$9,IF(COUNTA($E119:$AA119)=0,Constants!$B$8,IF(NOT($AG119),Constants!$B$7,IF(OR($BW119&lt;&gt;"",$BB119,$BM119),Constants!$B$10,Constants!$B$6)))))</f>
        <v/>
      </c>
      <c r="BY119" s="93" t="str">
        <f aca="false">IF(ISBLANK($C119),"",IF($BX119&lt;&gt;Constants!$B$6,$BX119,Constants!$B$11))</f>
        <v/>
      </c>
      <c r="BZ119" s="97" t="str">
        <f aca="false">IF($BX119&lt;&gt;Constants!$B$6,"",IF($BL119="-&gt;",$BS119,$BH119))</f>
        <v/>
      </c>
      <c r="CA119" s="97" t="str">
        <f aca="false">IF($BX119&lt;&gt;Constants!$B$6,"",IF($AF119,0,Constants!$B$15))</f>
        <v/>
      </c>
      <c r="CB119" s="97" t="str">
        <f aca="false">IF($BX119&lt;&gt;Constants!$B$6,"",((Constants!$B$25-$AZ119)-Constants!$B$25)/Constants!$B$26)</f>
        <v/>
      </c>
      <c r="CC119" s="97" t="str">
        <f aca="false">IF(ISBLANK($C119),"",IF($BX119&lt;&gt;Constants!$B$6,$BX119,SUM($BZ119:$CB119)))</f>
        <v/>
      </c>
      <c r="CD119" s="93" t="str">
        <f aca="false">IF(ISBLANK($C119),"",IF($BX119&lt;&gt;Constants!$B$6,$BX119,RANK($CC119,$CC$9:$CC$508,1)))</f>
        <v/>
      </c>
      <c r="CE119" s="97" t="str">
        <f aca="false">IF($BX119&lt;&gt;Constants!$B$6,"",IF($BL119="-&gt;",$BT119,$BI119))</f>
        <v/>
      </c>
      <c r="CF119" s="93" t="str">
        <f aca="false">IF(ISBLANK($C119),"",IF($BX119&lt;&gt;Constants!$B$6,$BX119,IF(ISNUMBER($CE119),RANK($CE119,$CE$9:$CE$508,1),COUNT($CE$9:$CE$508)+1)))</f>
        <v/>
      </c>
      <c r="CG119" s="97" t="str">
        <f aca="false">IF($BX119&lt;&gt;Constants!$B$6,"",IF($BL119="-&gt;",$BU119,$BJ119))</f>
        <v/>
      </c>
      <c r="CH119" s="93" t="str">
        <f aca="false">IF(ISBLANK($C119),"",IF($BX119&lt;&gt;Constants!$B$6,$BX119,IF(ISNUMBER($CG119),RANK($CG119,$CG$9:$CG$508,1),COUNT($CG$9:$CG$508)+1)))</f>
        <v/>
      </c>
      <c r="CI119" s="97" t="str">
        <f aca="false">IF($BX119&lt;&gt;Constants!$B$6,"",IF($BL119="-&gt;",$BV119,$BK119))</f>
        <v/>
      </c>
      <c r="CJ119" s="93" t="str">
        <f aca="false">IF(ISBLANK($C119),"",IF($BX119&lt;&gt;Constants!$B$6,$BX119,IF(ISNUMBER($CI119),RANK($CI119,$CI$9:$CI$508,1),COUNT($CI$9:$CI$508)+1)))</f>
        <v/>
      </c>
      <c r="CK119" s="97" t="str">
        <f aca="false">IF($BX119&lt;&gt;Constants!$B$6,"",$AI119)</f>
        <v/>
      </c>
      <c r="CL119" s="93" t="str">
        <f aca="false">IF(ISBLANK($C119),"",IF($BX119&lt;&gt;Constants!$B$6,$BX119,IF(ISNUMBER($CK119),RANK($CK119,$CK$9:$CK$508,1),COUNT($CK$9:$CK$508)+1)))</f>
        <v/>
      </c>
      <c r="CM119" s="93" t="str">
        <f aca="false">IF(ISBLANK($C119),"",IF($BX119&lt;&gt;Constants!$B$6,$BX119,COUNTIFS($CD$9:$CD$508,"&lt;"&amp;$CD119)+COUNTIFS($CD$9:$CD$508,$CD119,$CF$9:$CF$508,"&lt;"&amp;$CF119)+COUNTIFS($CD$9:$CD$508,$CD119,$CF$9:$CF$508,$CF119,$CH$9:$CH$508,"&lt;"&amp;$CH119)+COUNTIFS($CD$9:$CD$508,$CD119,$CF$9:$CF$508,$CF119,$CH$9:$CH$508,$CH119,$CJ$9:$CJ$508,"&lt;"&amp;$CJ119)+COUNTIFS($CD$9:$CD$508,$CD119,$CF$9:$CF$508,$CF119,$CH$9:$CH$508,$CH119,$CJ$9:$CJ$508,$CJ119,$CL$9:$CL$508,"&lt;"&amp;$CL119)+1))</f>
        <v/>
      </c>
      <c r="CN119" s="93" t="str">
        <f aca="false">IF(ISBLANK($C119),"",IF($BX119&lt;&gt;Constants!$B$6,$BX119,$CD119-$CM119))</f>
        <v/>
      </c>
      <c r="CO119" s="100"/>
      <c r="CP119" s="101"/>
      <c r="CQ119" s="102" t="str">
        <f aca="false">IF(ISBLANK($C119),"",IF($BX119=Constants!$B$10,$BW119,""))</f>
        <v/>
      </c>
      <c r="CR119" s="101" t="str">
        <f aca="false">IF(ISBLANK($C119),"",IF($BX119&lt;&gt;Constants!$B$6,"",IF($BL119="-&gt;",2,1)))</f>
        <v/>
      </c>
      <c r="CS119" s="103" t="str">
        <f aca="false">IF(ISBLANK($C119),"",IF($BX119&lt;&gt;Constants!$B$6,"",IF($BL119="-&gt;",$BN119,$BC119)))</f>
        <v/>
      </c>
      <c r="CT119" s="103" t="str">
        <f aca="false">IF(ISBLANK($C119),"",IF($BX119&lt;&gt;Constants!$B$6,"",IF($BL119="-&gt;",$BO119,$BD119)))</f>
        <v/>
      </c>
      <c r="CU119" s="103" t="str">
        <f aca="false">IF(ISBLANK($C119),"",IF($BX119&lt;&gt;Constants!$B$6,"",IF($BL119="-&gt;",$BP119+$BQ119,$BE119+$BF119)+$CB119))</f>
        <v/>
      </c>
      <c r="CV119" s="103" t="str">
        <f aca="false">IF(ISBLANK($C119),"",IF($BX119&lt;&gt;Constants!$B$6,"",IF($BL119="-&gt;",$BR119,$BG119)+$CA119))</f>
        <v/>
      </c>
      <c r="CW119" s="104" t="str">
        <f aca="false">IF(ISBLANK($C119),"",IF($BX119&lt;&gt;Constants!$B$6,$BX119,$CC119))</f>
        <v/>
      </c>
      <c r="CX119" s="105" t="str">
        <f aca="false">IF(ISBLANK($C119),"",$BY119)</f>
        <v/>
      </c>
      <c r="CY119" s="106" t="str">
        <f aca="false">IF(ISBLANK($C119),"",$CN119)</f>
        <v/>
      </c>
      <c r="CZ119" s="106" t="str">
        <f aca="false">IF(ISBLANK($C119),"",$CM119)</f>
        <v/>
      </c>
      <c r="DA119" s="107" t="str">
        <f aca="false">IF(ISBLANK($C119),"",IFERROR(_xlfn.SWITCH($CZ119,Constants!$B$9,COUNTA($C$9:$C$508)+2,Constants!$B$8,COUNTA($C$9:$C$508)+1,Constants!$B$7,COUNTA($C$9:$C$508)),$CZ119))</f>
        <v/>
      </c>
      <c r="DB119" s="9"/>
      <c r="DC119" s="108" t="n">
        <f aca="false">IF(OR(ISNUMBER($CZ119),$CZ119=Constants!$B$9,$CZ119=Constants!$B$7,$CZ119=Constants!$B$8),1,0)</f>
        <v>0</v>
      </c>
      <c r="DD119" s="108" t="n">
        <v>111</v>
      </c>
      <c r="DE119" s="108" t="str">
        <f aca="false">IF(ISBLANK($C119),"",IF(ISNUMBER($DA119),$DA119+ROW($B119)/1000,""))</f>
        <v/>
      </c>
      <c r="DF119" s="108" t="str">
        <f aca="false">IF(ISNUMBER($DE119),RANK($DE119,$DE$9:$DE$508,1),"")</f>
        <v/>
      </c>
      <c r="DG119" s="108" t="str">
        <f aca="false">IF(ISBLANK($C119),"",$B119)</f>
        <v/>
      </c>
      <c r="DH119" s="108" t="str">
        <f aca="false">IF(ISBLANK($C119),"",$C119)</f>
        <v/>
      </c>
      <c r="DI119" s="108" t="str">
        <f aca="false">IF(ISBLANK($C119),"",$D119)</f>
        <v/>
      </c>
      <c r="DJ119" s="109" t="str">
        <f aca="false">$CX119</f>
        <v/>
      </c>
      <c r="DK119" s="110" t="str">
        <f aca="false">$CW119</f>
        <v/>
      </c>
      <c r="DL119" s="108" t="str">
        <f aca="false">IF(ISBLANK($C119),"",$CZ119)</f>
        <v/>
      </c>
      <c r="DM119" s="111" t="str">
        <f aca="false">IF($DD119&gt;$DC$8,"",VLOOKUP($DD119,$DF$9:$DL$508,7,FALSE()))</f>
        <v/>
      </c>
      <c r="DN119" s="112" t="str">
        <f aca="false">IF($DD119&gt;$DC$8,"",VLOOKUP($DD119,$DF$9:$DL$508,2,FALSE()))</f>
        <v/>
      </c>
      <c r="DO119" s="112" t="str">
        <f aca="false">IF($DD119&gt;$DC$8,"",VLOOKUP($DD119,$DF$9:$DL$508,3,FALSE()))</f>
        <v/>
      </c>
      <c r="DP119" s="112" t="str">
        <f aca="false">IF($DD119&gt;$DC$8,"",VLOOKUP($DD119,$DF$9:$DL$508,4,FALSE()))</f>
        <v/>
      </c>
      <c r="DQ119" s="112" t="str">
        <f aca="false">IF($DD119&gt;$DC$8,"",VLOOKUP($DD119,$DF$9:$DL$508,5,FALSE()))</f>
        <v/>
      </c>
      <c r="DR119" s="113" t="str">
        <f aca="false">IF($DD119&gt;$DC$8,"",VLOOKUP($DD119,$DF$9:$DL$508,6,FALSE()))</f>
        <v/>
      </c>
      <c r="DS119" s="76"/>
    </row>
    <row r="120" customFormat="false" ht="15.75" hidden="false" customHeight="false" outlineLevel="0" collapsed="false">
      <c r="A120" s="9"/>
      <c r="B120" s="160"/>
      <c r="C120" s="161"/>
      <c r="D120" s="162"/>
      <c r="E120" s="180"/>
      <c r="F120" s="164"/>
      <c r="G120" s="165"/>
      <c r="H120" s="165"/>
      <c r="I120" s="181"/>
      <c r="J120" s="168"/>
      <c r="K120" s="128"/>
      <c r="L120" s="129"/>
      <c r="M120" s="130"/>
      <c r="N120" s="168"/>
      <c r="O120" s="168"/>
      <c r="P120" s="180"/>
      <c r="Q120" s="168"/>
      <c r="R120" s="168"/>
      <c r="S120" s="128"/>
      <c r="T120" s="130"/>
      <c r="U120" s="130"/>
      <c r="V120" s="168"/>
      <c r="W120" s="168"/>
      <c r="X120" s="180"/>
      <c r="Y120" s="168"/>
      <c r="Z120" s="169"/>
      <c r="AA120" s="168"/>
      <c r="AB120" s="134"/>
      <c r="AC120" s="135"/>
      <c r="AD120" s="135"/>
      <c r="AE120" s="135"/>
      <c r="AF120" s="135" t="str">
        <f aca="false">IF(ISBLANK($C120),"",IF(E120=Constants!$B$2,TRUE(),IF(E120=Constants!$B$3,FALSE(),TRUE())))</f>
        <v/>
      </c>
      <c r="AG120" s="135" t="str">
        <f aca="false">IF(ISBLANK($C120),"",IF(F120=Constants!$B$2,TRUE(),IF(F120=Constants!$B$3,FALSE(),TRUE())))</f>
        <v/>
      </c>
      <c r="AH120" s="135" t="str">
        <f aca="false">IF(ISBLANK($C120),"",IF(G120=Constants!$B$2,TRUE(),IF(G120=Constants!$B$3,FALSE(),TRUE())))</f>
        <v/>
      </c>
      <c r="AI120" s="135" t="str">
        <f aca="false">IF(ISBLANK($C120),"",IF(AND(ISNUMBER(H120),H120&gt;=0),H120,Constants!$B$24))</f>
        <v/>
      </c>
      <c r="AJ120" s="135" t="str">
        <f aca="false">IF(ISBLANK($C120),"",IF(I120=Constants!$B$2,TRUE(),IF(I120=Constants!$B$3,FALSE(),TRUE())))</f>
        <v/>
      </c>
      <c r="AK120" s="135" t="str">
        <f aca="false">IF(ISBLANK($C120),"",IF(J120=Constants!$B$2,TRUE(),IF(J120=Constants!$B$3,FALSE(),TRUE())))</f>
        <v/>
      </c>
      <c r="AL120" s="135" t="str">
        <f aca="false">IF(ISBLANK($C120),"",IF(K120=Constants!$B$4,TRUE(),IF(K120=Constants!$B$5,FALSE(),COUNTA(L120:P120)&gt;0)))</f>
        <v/>
      </c>
      <c r="AM120" s="136" t="str">
        <f aca="false">IF(ISBLANK($C120),"",IF(ISNUMBER(L120),IF(L120&gt;=0,L120,""),""))</f>
        <v/>
      </c>
      <c r="AN120" s="137" t="str">
        <f aca="false">IF(ISBLANK($C120),"",IF(ISNUMBER(M120),IF(M120&gt;=0,M120,""),""))</f>
        <v/>
      </c>
      <c r="AO120" s="137" t="str">
        <f aca="false">IF(ISBLANK($C120),"",IF(N120=Constants!$B$2,TRUE(),IF(N120=Constants!$B$3,FALSE(),TRUE())))</f>
        <v/>
      </c>
      <c r="AP120" s="135" t="str">
        <f aca="false">IF(ISBLANK($C120),"",IF(ISNUMBER(O120),IF(O120&gt;=0,O120,""),""))</f>
        <v/>
      </c>
      <c r="AQ120" s="135" t="str">
        <f aca="false">IF(ISBLANK($C120),"",IF(P120=Constants!$B$2,TRUE(),IF(P120=Constants!$B$3,FALSE(),FALSE())))</f>
        <v/>
      </c>
      <c r="AR120" s="135" t="str">
        <f aca="false">IF(ISBLANK($C120),"",IF(Q120=Constants!$B$2,TRUE(),IF(Q120=Constants!$B$3,FALSE(),TRUE())))</f>
        <v/>
      </c>
      <c r="AS120" s="135" t="str">
        <f aca="false">IF(ISBLANK($C120),"",IF(R120=Constants!$B$2,TRUE(),IF(R120=Constants!$B$3,FALSE(),TRUE())))</f>
        <v/>
      </c>
      <c r="AT120" s="135" t="str">
        <f aca="false">IF(ISBLANK($C120),"",IF(S120=Constants!$B$4,TRUE(),IF(S120=Constants!$B$5,FALSE(),COUNTA(T120:X120)&gt;0)))</f>
        <v/>
      </c>
      <c r="AU120" s="136" t="str">
        <f aca="false">IF(ISBLANK($C120),"",IF(ISNUMBER(T120),IF(T120&gt;=0,T120,""),""))</f>
        <v/>
      </c>
      <c r="AV120" s="137" t="str">
        <f aca="false">IF(ISBLANK($C120),"",IF(ISNUMBER(U120),IF(U120&gt;=0,U120,""),""))</f>
        <v/>
      </c>
      <c r="AW120" s="137" t="str">
        <f aca="false">IF(ISBLANK($C120),"",IF(V120=Constants!$B$2,TRUE(),IF(V120=Constants!$B$3,FALSE(),TRUE())))</f>
        <v/>
      </c>
      <c r="AX120" s="135" t="str">
        <f aca="false">IF(ISBLANK($C120),"",IF(ISNUMBER(W120),IF(W120&gt;=0,W120,""),""))</f>
        <v/>
      </c>
      <c r="AY120" s="135" t="str">
        <f aca="false">IF(ISBLANK($C120),"",IF(X120=Constants!$B$2,TRUE(),IF(X120=Constants!$B$3,FALSE(),FALSE())))</f>
        <v/>
      </c>
      <c r="AZ120" s="135" t="str">
        <f aca="false">IF(ISBLANK($C120),"",MIN(Constants!$B$25,MAX(0,IF(ISNUMBER(Y120),Y120*60,0)+IF(ISNUMBER(Z120),Z120,0))))</f>
        <v/>
      </c>
      <c r="BA120" s="135" t="str">
        <f aca="false">IF(ISBLANK($C120),"",IF(AA120=Constants!$B$2,TRUE(),IF(AA120=Constants!$B$3,FALSE(),FALSE())))</f>
        <v/>
      </c>
      <c r="BB120" s="134" t="str">
        <f aca="false">IF(ISBLANK($C120),"",AND($AL120,OR($AM120="",$AN120="",AND($AO120,$AP120=""))))</f>
        <v/>
      </c>
      <c r="BC120" s="137" t="str">
        <f aca="false">IF($BX120&lt;&gt;Constants!$B$6,"",IF($AL120,Constants!$B$17*$AN120+Constants!$B$18*IF($AO120,$AP120,Constants!$B$19),Constants!$B$20))</f>
        <v/>
      </c>
      <c r="BD120" s="138" t="str">
        <f aca="false">IF($BX120&lt;&gt;Constants!$B$6,"",Constants!$B$21*ABS($AD$9-IF($AL120,$AM120,0)))</f>
        <v/>
      </c>
      <c r="BE120" s="138" t="str">
        <f aca="false">IF($BX120&lt;&gt;Constants!$B$6,"",IF(AND($AL120,$AQ120,$AO120),Constants!$B$22,0))</f>
        <v/>
      </c>
      <c r="BF120" s="138" t="str">
        <f aca="false">IF($BX120&lt;&gt;Constants!$B$6,"",IF($AL120,($AI120-Constants!$B$24)*Constants!$B$23,0))</f>
        <v/>
      </c>
      <c r="BG120" s="138" t="str">
        <f aca="false">IF($BX120&lt;&gt;Constants!$B$6,"",IF($AK120,0,Constants!$B$12)+IF($AJ120,0,Constants!$B$13)+IF($AH120,0,Constants!$B$14))</f>
        <v/>
      </c>
      <c r="BH120" s="139" t="str">
        <f aca="false">IF($BX120&lt;&gt;Constants!$B$6,"",Constants!$B$16+SUM($BC120:$BG120))</f>
        <v/>
      </c>
      <c r="BI120" s="138" t="str">
        <f aca="false">IF($BX120&lt;&gt;Constants!$B$6,"",$BC120)</f>
        <v/>
      </c>
      <c r="BJ120" s="138" t="str">
        <f aca="false">IF($BX120&lt;&gt;Constants!$B$6,"",$BD120)</f>
        <v/>
      </c>
      <c r="BK120" s="140" t="str">
        <f aca="false">IF($BX120&lt;&gt;Constants!$B$6,"",IF($AL120,$AN120,""))</f>
        <v/>
      </c>
      <c r="BL120" s="135" t="str">
        <f aca="false">IF($BX120&lt;&gt;Constants!$B$6,"",IF(OR($BS120&lt;$BH120,AND($BS120=$BH120,OR($BT120&lt;$BI120,AND($BT120=$BI120,OR($BU120&lt;$BJ120,AND($BU120=$BJ120,AND(ISNUMBER($BV120),OR(NOT(ISNUMBER($BK120)),$BV120&lt;$BK120)))))))),"-&gt;","&lt;-"))</f>
        <v/>
      </c>
      <c r="BM120" s="134" t="str">
        <f aca="false">IF(ISBLANK($C120),"",AND($AT120,OR($AU120="",$AV120="",AND($AW120,$AX120=""))))</f>
        <v/>
      </c>
      <c r="BN120" s="137" t="str">
        <f aca="false">IF($BX120&lt;&gt;Constants!$B$6,"",IF($AT120,Constants!$B$17*$AV120+Constants!$B$18*IF($AW120,$AX120,Constants!$B$19),Constants!$B$20))</f>
        <v/>
      </c>
      <c r="BO120" s="138" t="str">
        <f aca="false">IF($BX120&lt;&gt;Constants!$B$6,"",Constants!$B$21*ABS($AD$9-IF($AT120,$AU120,0)))</f>
        <v/>
      </c>
      <c r="BP120" s="138" t="str">
        <f aca="false">IF($BX120&lt;&gt;Constants!$B$6,"",IF(AND($AT120,$AY120,$AW120),Constants!$B$22,0))</f>
        <v/>
      </c>
      <c r="BQ120" s="138" t="str">
        <f aca="false">IF($BX120&lt;&gt;Constants!$B$6,"",IF($AT120,($AI120-Constants!$B$24)*Constants!$B$23,0))</f>
        <v/>
      </c>
      <c r="BR120" s="138" t="str">
        <f aca="false">IF($BX120&lt;&gt;Constants!$B$6,"",IF($AS120,0,Constants!$B$12)+IF($AR120,0,Constants!$B$13)+IF($AH120,0,Constants!$B$14))</f>
        <v/>
      </c>
      <c r="BS120" s="139" t="str">
        <f aca="false">IF($BX120&lt;&gt;Constants!$B$6,"",Constants!$B$16+SUM($BN120:$BR120))</f>
        <v/>
      </c>
      <c r="BT120" s="138" t="str">
        <f aca="false">IF($BX120&lt;&gt;Constants!$B$6,"",$BN120)</f>
        <v/>
      </c>
      <c r="BU120" s="138" t="str">
        <f aca="false">IF($BX120&lt;&gt;Constants!$B$6,"",$BO120)</f>
        <v/>
      </c>
      <c r="BV120" s="140" t="str">
        <f aca="false">IF($BX120&lt;&gt;Constants!$B$6,"",IF($AT120,$AV120,""))</f>
        <v/>
      </c>
      <c r="BW120" s="135" t="str">
        <f aca="false">IF(ISBLANK($C120),"",IF(ISBLANK($D$7),$BW$5,IF(NOT(ISNUMBER($D$7)),$BW$6,"")))</f>
        <v/>
      </c>
      <c r="BX120" s="135" t="str">
        <f aca="false">IF(ISBLANK($C120),"",IF($BA120,Constants!$B$9,IF(COUNTA($E120:$AA120)=0,Constants!$B$8,IF(NOT($AG120),Constants!$B$7,IF(OR($BW120&lt;&gt;"",$BB120,$BM120),Constants!$B$10,Constants!$B$6)))))</f>
        <v/>
      </c>
      <c r="BY120" s="135" t="str">
        <f aca="false">IF(ISBLANK($C120),"",IF($BX120&lt;&gt;Constants!$B$6,$BX120,Constants!$B$11))</f>
        <v/>
      </c>
      <c r="BZ120" s="138" t="str">
        <f aca="false">IF($BX120&lt;&gt;Constants!$B$6,"",IF($BL120="-&gt;",$BS120,$BH120))</f>
        <v/>
      </c>
      <c r="CA120" s="138" t="str">
        <f aca="false">IF($BX120&lt;&gt;Constants!$B$6,"",IF($AF120,0,Constants!$B$15))</f>
        <v/>
      </c>
      <c r="CB120" s="138" t="str">
        <f aca="false">IF($BX120&lt;&gt;Constants!$B$6,"",((Constants!$B$25-$AZ120)-Constants!$B$25)/Constants!$B$26)</f>
        <v/>
      </c>
      <c r="CC120" s="138" t="str">
        <f aca="false">IF(ISBLANK($C120),"",IF($BX120&lt;&gt;Constants!$B$6,$BX120,SUM($BZ120:$CB120)))</f>
        <v/>
      </c>
      <c r="CD120" s="135" t="str">
        <f aca="false">IF(ISBLANK($C120),"",IF($BX120&lt;&gt;Constants!$B$6,$BX120,RANK($CC120,$CC$9:$CC$508,1)))</f>
        <v/>
      </c>
      <c r="CE120" s="138" t="str">
        <f aca="false">IF($BX120&lt;&gt;Constants!$B$6,"",IF($BL120="-&gt;",$BT120,$BI120))</f>
        <v/>
      </c>
      <c r="CF120" s="135" t="str">
        <f aca="false">IF(ISBLANK($C120),"",IF($BX120&lt;&gt;Constants!$B$6,$BX120,IF(ISNUMBER($CE120),RANK($CE120,$CE$9:$CE$508,1),COUNT($CE$9:$CE$508)+1)))</f>
        <v/>
      </c>
      <c r="CG120" s="138" t="str">
        <f aca="false">IF($BX120&lt;&gt;Constants!$B$6,"",IF($BL120="-&gt;",$BU120,$BJ120))</f>
        <v/>
      </c>
      <c r="CH120" s="135" t="str">
        <f aca="false">IF(ISBLANK($C120),"",IF($BX120&lt;&gt;Constants!$B$6,$BX120,IF(ISNUMBER($CG120),RANK($CG120,$CG$9:$CG$508,1),COUNT($CG$9:$CG$508)+1)))</f>
        <v/>
      </c>
      <c r="CI120" s="138" t="str">
        <f aca="false">IF($BX120&lt;&gt;Constants!$B$6,"",IF($BL120="-&gt;",$BV120,$BK120))</f>
        <v/>
      </c>
      <c r="CJ120" s="135" t="str">
        <f aca="false">IF(ISBLANK($C120),"",IF($BX120&lt;&gt;Constants!$B$6,$BX120,IF(ISNUMBER($CI120),RANK($CI120,$CI$9:$CI$508,1),COUNT($CI$9:$CI$508)+1)))</f>
        <v/>
      </c>
      <c r="CK120" s="138" t="str">
        <f aca="false">IF($BX120&lt;&gt;Constants!$B$6,"",$AI120)</f>
        <v/>
      </c>
      <c r="CL120" s="135" t="str">
        <f aca="false">IF(ISBLANK($C120),"",IF($BX120&lt;&gt;Constants!$B$6,$BX120,IF(ISNUMBER($CK120),RANK($CK120,$CK$9:$CK$508,1),COUNT($CK$9:$CK$508)+1)))</f>
        <v/>
      </c>
      <c r="CM120" s="135" t="str">
        <f aca="false">IF(ISBLANK($C120),"",IF($BX120&lt;&gt;Constants!$B$6,$BX120,COUNTIFS($CD$9:$CD$508,"&lt;"&amp;$CD120)+COUNTIFS($CD$9:$CD$508,$CD120,$CF$9:$CF$508,"&lt;"&amp;$CF120)+COUNTIFS($CD$9:$CD$508,$CD120,$CF$9:$CF$508,$CF120,$CH$9:$CH$508,"&lt;"&amp;$CH120)+COUNTIFS($CD$9:$CD$508,$CD120,$CF$9:$CF$508,$CF120,$CH$9:$CH$508,$CH120,$CJ$9:$CJ$508,"&lt;"&amp;$CJ120)+COUNTIFS($CD$9:$CD$508,$CD120,$CF$9:$CF$508,$CF120,$CH$9:$CH$508,$CH120,$CJ$9:$CJ$508,$CJ120,$CL$9:$CL$508,"&lt;"&amp;$CL120)+1))</f>
        <v/>
      </c>
      <c r="CN120" s="135" t="str">
        <f aca="false">IF(ISBLANK($C120),"",IF($BX120&lt;&gt;Constants!$B$6,$BX120,$CD120-$CM120))</f>
        <v/>
      </c>
      <c r="CO120" s="141"/>
      <c r="CP120" s="142"/>
      <c r="CQ120" s="143" t="str">
        <f aca="false">IF(ISBLANK($C120),"",IF($BX120=Constants!$B$10,$BW120,""))</f>
        <v/>
      </c>
      <c r="CR120" s="142" t="str">
        <f aca="false">IF(ISBLANK($C120),"",IF($BX120&lt;&gt;Constants!$B$6,"",IF($BL120="-&gt;",2,1)))</f>
        <v/>
      </c>
      <c r="CS120" s="144" t="str">
        <f aca="false">IF(ISBLANK($C120),"",IF($BX120&lt;&gt;Constants!$B$6,"",IF($BL120="-&gt;",$BN120,$BC120)))</f>
        <v/>
      </c>
      <c r="CT120" s="144" t="str">
        <f aca="false">IF(ISBLANK($C120),"",IF($BX120&lt;&gt;Constants!$B$6,"",IF($BL120="-&gt;",$BO120,$BD120)))</f>
        <v/>
      </c>
      <c r="CU120" s="144" t="str">
        <f aca="false">IF(ISBLANK($C120),"",IF($BX120&lt;&gt;Constants!$B$6,"",IF($BL120="-&gt;",$BP120+$BQ120,$BE120+$BF120)+$CB120))</f>
        <v/>
      </c>
      <c r="CV120" s="144" t="str">
        <f aca="false">IF(ISBLANK($C120),"",IF($BX120&lt;&gt;Constants!$B$6,"",IF($BL120="-&gt;",$BR120,$BG120)+$CA120))</f>
        <v/>
      </c>
      <c r="CW120" s="145" t="str">
        <f aca="false">IF(ISBLANK($C120),"",IF($BX120&lt;&gt;Constants!$B$6,$BX120,$CC120))</f>
        <v/>
      </c>
      <c r="CX120" s="146" t="str">
        <f aca="false">IF(ISBLANK($C120),"",$BY120)</f>
        <v/>
      </c>
      <c r="CY120" s="147" t="str">
        <f aca="false">IF(ISBLANK($C120),"",$CN120)</f>
        <v/>
      </c>
      <c r="CZ120" s="147" t="str">
        <f aca="false">IF(ISBLANK($C120),"",$CM120)</f>
        <v/>
      </c>
      <c r="DA120" s="148" t="str">
        <f aca="false">IF(ISBLANK($C120),"",IFERROR(_xlfn.SWITCH($CZ120,Constants!$B$9,COUNTA($C$9:$C$508)+2,Constants!$B$8,COUNTA($C$9:$C$508)+1,Constants!$B$7,COUNTA($C$9:$C$508)),$CZ120))</f>
        <v/>
      </c>
      <c r="DB120" s="9"/>
      <c r="DC120" s="149" t="n">
        <f aca="false">IF(OR(ISNUMBER($CZ120),$CZ120=Constants!$B$9,$CZ120=Constants!$B$7,$CZ120=Constants!$B$8),1,0)</f>
        <v>0</v>
      </c>
      <c r="DD120" s="149" t="n">
        <v>112</v>
      </c>
      <c r="DE120" s="149" t="str">
        <f aca="false">IF(ISBLANK($C120),"",IF(ISNUMBER($DA120),$DA120+ROW($B120)/1000,""))</f>
        <v/>
      </c>
      <c r="DF120" s="149" t="str">
        <f aca="false">IF(ISNUMBER($DE120),RANK($DE120,$DE$9:$DE$508,1),"")</f>
        <v/>
      </c>
      <c r="DG120" s="149" t="str">
        <f aca="false">IF(ISBLANK($C120),"",$B120)</f>
        <v/>
      </c>
      <c r="DH120" s="149" t="str">
        <f aca="false">IF(ISBLANK($C120),"",$C120)</f>
        <v/>
      </c>
      <c r="DI120" s="149" t="str">
        <f aca="false">IF(ISBLANK($C120),"",$D120)</f>
        <v/>
      </c>
      <c r="DJ120" s="150" t="str">
        <f aca="false">$CX120</f>
        <v/>
      </c>
      <c r="DK120" s="151" t="str">
        <f aca="false">$CW120</f>
        <v/>
      </c>
      <c r="DL120" s="149" t="str">
        <f aca="false">IF(ISBLANK($C120),"",$CZ120)</f>
        <v/>
      </c>
      <c r="DM120" s="152" t="str">
        <f aca="false">IF($DD120&gt;$DC$8,"",VLOOKUP($DD120,$DF$9:$DL$508,7,FALSE()))</f>
        <v/>
      </c>
      <c r="DN120" s="153" t="str">
        <f aca="false">IF($DD120&gt;$DC$8,"",VLOOKUP($DD120,$DF$9:$DL$508,2,FALSE()))</f>
        <v/>
      </c>
      <c r="DO120" s="153" t="str">
        <f aca="false">IF($DD120&gt;$DC$8,"",VLOOKUP($DD120,$DF$9:$DL$508,3,FALSE()))</f>
        <v/>
      </c>
      <c r="DP120" s="153" t="str">
        <f aca="false">IF($DD120&gt;$DC$8,"",VLOOKUP($DD120,$DF$9:$DL$508,4,FALSE()))</f>
        <v/>
      </c>
      <c r="DQ120" s="153" t="str">
        <f aca="false">IF($DD120&gt;$DC$8,"",VLOOKUP($DD120,$DF$9:$DL$508,5,FALSE()))</f>
        <v/>
      </c>
      <c r="DR120" s="154" t="str">
        <f aca="false">IF($DD120&gt;$DC$8,"",VLOOKUP($DD120,$DF$9:$DL$508,6,FALSE()))</f>
        <v/>
      </c>
      <c r="DS120" s="76"/>
    </row>
    <row r="121" customFormat="false" ht="15.75" hidden="false" customHeight="false" outlineLevel="0" collapsed="false">
      <c r="A121" s="9"/>
      <c r="B121" s="160"/>
      <c r="C121" s="161"/>
      <c r="D121" s="162"/>
      <c r="E121" s="180"/>
      <c r="F121" s="164"/>
      <c r="G121" s="165"/>
      <c r="H121" s="165"/>
      <c r="I121" s="181"/>
      <c r="J121" s="168"/>
      <c r="K121" s="128"/>
      <c r="L121" s="129"/>
      <c r="M121" s="130"/>
      <c r="N121" s="168"/>
      <c r="O121" s="168"/>
      <c r="P121" s="180"/>
      <c r="Q121" s="168"/>
      <c r="R121" s="168"/>
      <c r="S121" s="128"/>
      <c r="T121" s="130"/>
      <c r="U121" s="130"/>
      <c r="V121" s="168"/>
      <c r="W121" s="168"/>
      <c r="X121" s="180"/>
      <c r="Y121" s="168"/>
      <c r="Z121" s="169"/>
      <c r="AA121" s="168"/>
      <c r="AB121" s="134"/>
      <c r="AC121" s="135"/>
      <c r="AD121" s="135"/>
      <c r="AE121" s="135"/>
      <c r="AF121" s="135" t="str">
        <f aca="false">IF(ISBLANK($C121),"",IF(E121=Constants!$B$2,TRUE(),IF(E121=Constants!$B$3,FALSE(),TRUE())))</f>
        <v/>
      </c>
      <c r="AG121" s="135" t="str">
        <f aca="false">IF(ISBLANK($C121),"",IF(F121=Constants!$B$2,TRUE(),IF(F121=Constants!$B$3,FALSE(),TRUE())))</f>
        <v/>
      </c>
      <c r="AH121" s="135" t="str">
        <f aca="false">IF(ISBLANK($C121),"",IF(G121=Constants!$B$2,TRUE(),IF(G121=Constants!$B$3,FALSE(),TRUE())))</f>
        <v/>
      </c>
      <c r="AI121" s="135" t="str">
        <f aca="false">IF(ISBLANK($C121),"",IF(AND(ISNUMBER(H121),H121&gt;=0),H121,Constants!$B$24))</f>
        <v/>
      </c>
      <c r="AJ121" s="135" t="str">
        <f aca="false">IF(ISBLANK($C121),"",IF(I121=Constants!$B$2,TRUE(),IF(I121=Constants!$B$3,FALSE(),TRUE())))</f>
        <v/>
      </c>
      <c r="AK121" s="135" t="str">
        <f aca="false">IF(ISBLANK($C121),"",IF(J121=Constants!$B$2,TRUE(),IF(J121=Constants!$B$3,FALSE(),TRUE())))</f>
        <v/>
      </c>
      <c r="AL121" s="135" t="str">
        <f aca="false">IF(ISBLANK($C121),"",IF(K121=Constants!$B$4,TRUE(),IF(K121=Constants!$B$5,FALSE(),COUNTA(L121:P121)&gt;0)))</f>
        <v/>
      </c>
      <c r="AM121" s="136" t="str">
        <f aca="false">IF(ISBLANK($C121),"",IF(ISNUMBER(L121),IF(L121&gt;=0,L121,""),""))</f>
        <v/>
      </c>
      <c r="AN121" s="137" t="str">
        <f aca="false">IF(ISBLANK($C121),"",IF(ISNUMBER(M121),IF(M121&gt;=0,M121,""),""))</f>
        <v/>
      </c>
      <c r="AO121" s="137" t="str">
        <f aca="false">IF(ISBLANK($C121),"",IF(N121=Constants!$B$2,TRUE(),IF(N121=Constants!$B$3,FALSE(),TRUE())))</f>
        <v/>
      </c>
      <c r="AP121" s="135" t="str">
        <f aca="false">IF(ISBLANK($C121),"",IF(ISNUMBER(O121),IF(O121&gt;=0,O121,""),""))</f>
        <v/>
      </c>
      <c r="AQ121" s="135" t="str">
        <f aca="false">IF(ISBLANK($C121),"",IF(P121=Constants!$B$2,TRUE(),IF(P121=Constants!$B$3,FALSE(),FALSE())))</f>
        <v/>
      </c>
      <c r="AR121" s="135" t="str">
        <f aca="false">IF(ISBLANK($C121),"",IF(Q121=Constants!$B$2,TRUE(),IF(Q121=Constants!$B$3,FALSE(),TRUE())))</f>
        <v/>
      </c>
      <c r="AS121" s="135" t="str">
        <f aca="false">IF(ISBLANK($C121),"",IF(R121=Constants!$B$2,TRUE(),IF(R121=Constants!$B$3,FALSE(),TRUE())))</f>
        <v/>
      </c>
      <c r="AT121" s="135" t="str">
        <f aca="false">IF(ISBLANK($C121),"",IF(S121=Constants!$B$4,TRUE(),IF(S121=Constants!$B$5,FALSE(),COUNTA(T121:X121)&gt;0)))</f>
        <v/>
      </c>
      <c r="AU121" s="136" t="str">
        <f aca="false">IF(ISBLANK($C121),"",IF(ISNUMBER(T121),IF(T121&gt;=0,T121,""),""))</f>
        <v/>
      </c>
      <c r="AV121" s="137" t="str">
        <f aca="false">IF(ISBLANK($C121),"",IF(ISNUMBER(U121),IF(U121&gt;=0,U121,""),""))</f>
        <v/>
      </c>
      <c r="AW121" s="137" t="str">
        <f aca="false">IF(ISBLANK($C121),"",IF(V121=Constants!$B$2,TRUE(),IF(V121=Constants!$B$3,FALSE(),TRUE())))</f>
        <v/>
      </c>
      <c r="AX121" s="135" t="str">
        <f aca="false">IF(ISBLANK($C121),"",IF(ISNUMBER(W121),IF(W121&gt;=0,W121,""),""))</f>
        <v/>
      </c>
      <c r="AY121" s="135" t="str">
        <f aca="false">IF(ISBLANK($C121),"",IF(X121=Constants!$B$2,TRUE(),IF(X121=Constants!$B$3,FALSE(),FALSE())))</f>
        <v/>
      </c>
      <c r="AZ121" s="135" t="str">
        <f aca="false">IF(ISBLANK($C121),"",MIN(Constants!$B$25,MAX(0,IF(ISNUMBER(Y121),Y121*60,0)+IF(ISNUMBER(Z121),Z121,0))))</f>
        <v/>
      </c>
      <c r="BA121" s="135" t="str">
        <f aca="false">IF(ISBLANK($C121),"",IF(AA121=Constants!$B$2,TRUE(),IF(AA121=Constants!$B$3,FALSE(),FALSE())))</f>
        <v/>
      </c>
      <c r="BB121" s="134" t="str">
        <f aca="false">IF(ISBLANK($C121),"",AND($AL121,OR($AM121="",$AN121="",AND($AO121,$AP121=""))))</f>
        <v/>
      </c>
      <c r="BC121" s="137" t="str">
        <f aca="false">IF($BX121&lt;&gt;Constants!$B$6,"",IF($AL121,Constants!$B$17*$AN121+Constants!$B$18*IF($AO121,$AP121,Constants!$B$19),Constants!$B$20))</f>
        <v/>
      </c>
      <c r="BD121" s="138" t="str">
        <f aca="false">IF($BX121&lt;&gt;Constants!$B$6,"",Constants!$B$21*ABS($AD$9-IF($AL121,$AM121,0)))</f>
        <v/>
      </c>
      <c r="BE121" s="138" t="str">
        <f aca="false">IF($BX121&lt;&gt;Constants!$B$6,"",IF(AND($AL121,$AQ121,$AO121),Constants!$B$22,0))</f>
        <v/>
      </c>
      <c r="BF121" s="138" t="str">
        <f aca="false">IF($BX121&lt;&gt;Constants!$B$6,"",IF($AL121,($AI121-Constants!$B$24)*Constants!$B$23,0))</f>
        <v/>
      </c>
      <c r="BG121" s="138" t="str">
        <f aca="false">IF($BX121&lt;&gt;Constants!$B$6,"",IF($AK121,0,Constants!$B$12)+IF($AJ121,0,Constants!$B$13)+IF($AH121,0,Constants!$B$14))</f>
        <v/>
      </c>
      <c r="BH121" s="139" t="str">
        <f aca="false">IF($BX121&lt;&gt;Constants!$B$6,"",Constants!$B$16+SUM($BC121:$BG121))</f>
        <v/>
      </c>
      <c r="BI121" s="138" t="str">
        <f aca="false">IF($BX121&lt;&gt;Constants!$B$6,"",$BC121)</f>
        <v/>
      </c>
      <c r="BJ121" s="138" t="str">
        <f aca="false">IF($BX121&lt;&gt;Constants!$B$6,"",$BD121)</f>
        <v/>
      </c>
      <c r="BK121" s="140" t="str">
        <f aca="false">IF($BX121&lt;&gt;Constants!$B$6,"",IF($AL121,$AN121,""))</f>
        <v/>
      </c>
      <c r="BL121" s="135" t="str">
        <f aca="false">IF($BX121&lt;&gt;Constants!$B$6,"",IF(OR($BS121&lt;$BH121,AND($BS121=$BH121,OR($BT121&lt;$BI121,AND($BT121=$BI121,OR($BU121&lt;$BJ121,AND($BU121=$BJ121,AND(ISNUMBER($BV121),OR(NOT(ISNUMBER($BK121)),$BV121&lt;$BK121)))))))),"-&gt;","&lt;-"))</f>
        <v/>
      </c>
      <c r="BM121" s="134" t="str">
        <f aca="false">IF(ISBLANK($C121),"",AND($AT121,OR($AU121="",$AV121="",AND($AW121,$AX121=""))))</f>
        <v/>
      </c>
      <c r="BN121" s="137" t="str">
        <f aca="false">IF($BX121&lt;&gt;Constants!$B$6,"",IF($AT121,Constants!$B$17*$AV121+Constants!$B$18*IF($AW121,$AX121,Constants!$B$19),Constants!$B$20))</f>
        <v/>
      </c>
      <c r="BO121" s="138" t="str">
        <f aca="false">IF($BX121&lt;&gt;Constants!$B$6,"",Constants!$B$21*ABS($AD$9-IF($AT121,$AU121,0)))</f>
        <v/>
      </c>
      <c r="BP121" s="138" t="str">
        <f aca="false">IF($BX121&lt;&gt;Constants!$B$6,"",IF(AND($AT121,$AY121,$AW121),Constants!$B$22,0))</f>
        <v/>
      </c>
      <c r="BQ121" s="138" t="str">
        <f aca="false">IF($BX121&lt;&gt;Constants!$B$6,"",IF($AT121,($AI121-Constants!$B$24)*Constants!$B$23,0))</f>
        <v/>
      </c>
      <c r="BR121" s="138" t="str">
        <f aca="false">IF($BX121&lt;&gt;Constants!$B$6,"",IF($AS121,0,Constants!$B$12)+IF($AR121,0,Constants!$B$13)+IF($AH121,0,Constants!$B$14))</f>
        <v/>
      </c>
      <c r="BS121" s="139" t="str">
        <f aca="false">IF($BX121&lt;&gt;Constants!$B$6,"",Constants!$B$16+SUM($BN121:$BR121))</f>
        <v/>
      </c>
      <c r="BT121" s="138" t="str">
        <f aca="false">IF($BX121&lt;&gt;Constants!$B$6,"",$BN121)</f>
        <v/>
      </c>
      <c r="BU121" s="138" t="str">
        <f aca="false">IF($BX121&lt;&gt;Constants!$B$6,"",$BO121)</f>
        <v/>
      </c>
      <c r="BV121" s="140" t="str">
        <f aca="false">IF($BX121&lt;&gt;Constants!$B$6,"",IF($AT121,$AV121,""))</f>
        <v/>
      </c>
      <c r="BW121" s="135" t="str">
        <f aca="false">IF(ISBLANK($C121),"",IF(ISBLANK($D$7),$BW$5,IF(NOT(ISNUMBER($D$7)),$BW$6,"")))</f>
        <v/>
      </c>
      <c r="BX121" s="135" t="str">
        <f aca="false">IF(ISBLANK($C121),"",IF($BA121,Constants!$B$9,IF(COUNTA($E121:$AA121)=0,Constants!$B$8,IF(NOT($AG121),Constants!$B$7,IF(OR($BW121&lt;&gt;"",$BB121,$BM121),Constants!$B$10,Constants!$B$6)))))</f>
        <v/>
      </c>
      <c r="BY121" s="135" t="str">
        <f aca="false">IF(ISBLANK($C121),"",IF($BX121&lt;&gt;Constants!$B$6,$BX121,Constants!$B$11))</f>
        <v/>
      </c>
      <c r="BZ121" s="138" t="str">
        <f aca="false">IF($BX121&lt;&gt;Constants!$B$6,"",IF($BL121="-&gt;",$BS121,$BH121))</f>
        <v/>
      </c>
      <c r="CA121" s="138" t="str">
        <f aca="false">IF($BX121&lt;&gt;Constants!$B$6,"",IF($AF121,0,Constants!$B$15))</f>
        <v/>
      </c>
      <c r="CB121" s="138" t="str">
        <f aca="false">IF($BX121&lt;&gt;Constants!$B$6,"",((Constants!$B$25-$AZ121)-Constants!$B$25)/Constants!$B$26)</f>
        <v/>
      </c>
      <c r="CC121" s="138" t="str">
        <f aca="false">IF(ISBLANK($C121),"",IF($BX121&lt;&gt;Constants!$B$6,$BX121,SUM($BZ121:$CB121)))</f>
        <v/>
      </c>
      <c r="CD121" s="135" t="str">
        <f aca="false">IF(ISBLANK($C121),"",IF($BX121&lt;&gt;Constants!$B$6,$BX121,RANK($CC121,$CC$9:$CC$508,1)))</f>
        <v/>
      </c>
      <c r="CE121" s="138" t="str">
        <f aca="false">IF($BX121&lt;&gt;Constants!$B$6,"",IF($BL121="-&gt;",$BT121,$BI121))</f>
        <v/>
      </c>
      <c r="CF121" s="135" t="str">
        <f aca="false">IF(ISBLANK($C121),"",IF($BX121&lt;&gt;Constants!$B$6,$BX121,IF(ISNUMBER($CE121),RANK($CE121,$CE$9:$CE$508,1),COUNT($CE$9:$CE$508)+1)))</f>
        <v/>
      </c>
      <c r="CG121" s="138" t="str">
        <f aca="false">IF($BX121&lt;&gt;Constants!$B$6,"",IF($BL121="-&gt;",$BU121,$BJ121))</f>
        <v/>
      </c>
      <c r="CH121" s="135" t="str">
        <f aca="false">IF(ISBLANK($C121),"",IF($BX121&lt;&gt;Constants!$B$6,$BX121,IF(ISNUMBER($CG121),RANK($CG121,$CG$9:$CG$508,1),COUNT($CG$9:$CG$508)+1)))</f>
        <v/>
      </c>
      <c r="CI121" s="138" t="str">
        <f aca="false">IF($BX121&lt;&gt;Constants!$B$6,"",IF($BL121="-&gt;",$BV121,$BK121))</f>
        <v/>
      </c>
      <c r="CJ121" s="135" t="str">
        <f aca="false">IF(ISBLANK($C121),"",IF($BX121&lt;&gt;Constants!$B$6,$BX121,IF(ISNUMBER($CI121),RANK($CI121,$CI$9:$CI$508,1),COUNT($CI$9:$CI$508)+1)))</f>
        <v/>
      </c>
      <c r="CK121" s="138" t="str">
        <f aca="false">IF($BX121&lt;&gt;Constants!$B$6,"",$AI121)</f>
        <v/>
      </c>
      <c r="CL121" s="135" t="str">
        <f aca="false">IF(ISBLANK($C121),"",IF($BX121&lt;&gt;Constants!$B$6,$BX121,IF(ISNUMBER($CK121),RANK($CK121,$CK$9:$CK$508,1),COUNT($CK$9:$CK$508)+1)))</f>
        <v/>
      </c>
      <c r="CM121" s="135" t="str">
        <f aca="false">IF(ISBLANK($C121),"",IF($BX121&lt;&gt;Constants!$B$6,$BX121,COUNTIFS($CD$9:$CD$508,"&lt;"&amp;$CD121)+COUNTIFS($CD$9:$CD$508,$CD121,$CF$9:$CF$508,"&lt;"&amp;$CF121)+COUNTIFS($CD$9:$CD$508,$CD121,$CF$9:$CF$508,$CF121,$CH$9:$CH$508,"&lt;"&amp;$CH121)+COUNTIFS($CD$9:$CD$508,$CD121,$CF$9:$CF$508,$CF121,$CH$9:$CH$508,$CH121,$CJ$9:$CJ$508,"&lt;"&amp;$CJ121)+COUNTIFS($CD$9:$CD$508,$CD121,$CF$9:$CF$508,$CF121,$CH$9:$CH$508,$CH121,$CJ$9:$CJ$508,$CJ121,$CL$9:$CL$508,"&lt;"&amp;$CL121)+1))</f>
        <v/>
      </c>
      <c r="CN121" s="135" t="str">
        <f aca="false">IF(ISBLANK($C121),"",IF($BX121&lt;&gt;Constants!$B$6,$BX121,$CD121-$CM121))</f>
        <v/>
      </c>
      <c r="CO121" s="141"/>
      <c r="CP121" s="142"/>
      <c r="CQ121" s="143" t="str">
        <f aca="false">IF(ISBLANK($C121),"",IF($BX121=Constants!$B$10,$BW121,""))</f>
        <v/>
      </c>
      <c r="CR121" s="142" t="str">
        <f aca="false">IF(ISBLANK($C121),"",IF($BX121&lt;&gt;Constants!$B$6,"",IF($BL121="-&gt;",2,1)))</f>
        <v/>
      </c>
      <c r="CS121" s="144" t="str">
        <f aca="false">IF(ISBLANK($C121),"",IF($BX121&lt;&gt;Constants!$B$6,"",IF($BL121="-&gt;",$BN121,$BC121)))</f>
        <v/>
      </c>
      <c r="CT121" s="144" t="str">
        <f aca="false">IF(ISBLANK($C121),"",IF($BX121&lt;&gt;Constants!$B$6,"",IF($BL121="-&gt;",$BO121,$BD121)))</f>
        <v/>
      </c>
      <c r="CU121" s="144" t="str">
        <f aca="false">IF(ISBLANK($C121),"",IF($BX121&lt;&gt;Constants!$B$6,"",IF($BL121="-&gt;",$BP121+$BQ121,$BE121+$BF121)+$CB121))</f>
        <v/>
      </c>
      <c r="CV121" s="144" t="str">
        <f aca="false">IF(ISBLANK($C121),"",IF($BX121&lt;&gt;Constants!$B$6,"",IF($BL121="-&gt;",$BR121,$BG121)+$CA121))</f>
        <v/>
      </c>
      <c r="CW121" s="145" t="str">
        <f aca="false">IF(ISBLANK($C121),"",IF($BX121&lt;&gt;Constants!$B$6,$BX121,$CC121))</f>
        <v/>
      </c>
      <c r="CX121" s="146" t="str">
        <f aca="false">IF(ISBLANK($C121),"",$BY121)</f>
        <v/>
      </c>
      <c r="CY121" s="147" t="str">
        <f aca="false">IF(ISBLANK($C121),"",$CN121)</f>
        <v/>
      </c>
      <c r="CZ121" s="147" t="str">
        <f aca="false">IF(ISBLANK($C121),"",$CM121)</f>
        <v/>
      </c>
      <c r="DA121" s="148" t="str">
        <f aca="false">IF(ISBLANK($C121),"",IFERROR(_xlfn.SWITCH($CZ121,Constants!$B$9,COUNTA($C$9:$C$508)+2,Constants!$B$8,COUNTA($C$9:$C$508)+1,Constants!$B$7,COUNTA($C$9:$C$508)),$CZ121))</f>
        <v/>
      </c>
      <c r="DB121" s="9"/>
      <c r="DC121" s="149" t="n">
        <f aca="false">IF(OR(ISNUMBER($CZ121),$CZ121=Constants!$B$9,$CZ121=Constants!$B$7,$CZ121=Constants!$B$8),1,0)</f>
        <v>0</v>
      </c>
      <c r="DD121" s="149" t="n">
        <v>113</v>
      </c>
      <c r="DE121" s="149" t="str">
        <f aca="false">IF(ISBLANK($C121),"",IF(ISNUMBER($DA121),$DA121+ROW($B121)/1000,""))</f>
        <v/>
      </c>
      <c r="DF121" s="149" t="str">
        <f aca="false">IF(ISNUMBER($DE121),RANK($DE121,$DE$9:$DE$508,1),"")</f>
        <v/>
      </c>
      <c r="DG121" s="149" t="str">
        <f aca="false">IF(ISBLANK($C121),"",$B121)</f>
        <v/>
      </c>
      <c r="DH121" s="149" t="str">
        <f aca="false">IF(ISBLANK($C121),"",$C121)</f>
        <v/>
      </c>
      <c r="DI121" s="149" t="str">
        <f aca="false">IF(ISBLANK($C121),"",$D121)</f>
        <v/>
      </c>
      <c r="DJ121" s="150" t="str">
        <f aca="false">$CX121</f>
        <v/>
      </c>
      <c r="DK121" s="151" t="str">
        <f aca="false">$CW121</f>
        <v/>
      </c>
      <c r="DL121" s="149" t="str">
        <f aca="false">IF(ISBLANK($C121),"",$CZ121)</f>
        <v/>
      </c>
      <c r="DM121" s="152" t="str">
        <f aca="false">IF($DD121&gt;$DC$8,"",VLOOKUP($DD121,$DF$9:$DL$508,7,FALSE()))</f>
        <v/>
      </c>
      <c r="DN121" s="153" t="str">
        <f aca="false">IF($DD121&gt;$DC$8,"",VLOOKUP($DD121,$DF$9:$DL$508,2,FALSE()))</f>
        <v/>
      </c>
      <c r="DO121" s="153" t="str">
        <f aca="false">IF($DD121&gt;$DC$8,"",VLOOKUP($DD121,$DF$9:$DL$508,3,FALSE()))</f>
        <v/>
      </c>
      <c r="DP121" s="153" t="str">
        <f aca="false">IF($DD121&gt;$DC$8,"",VLOOKUP($DD121,$DF$9:$DL$508,4,FALSE()))</f>
        <v/>
      </c>
      <c r="DQ121" s="153" t="str">
        <f aca="false">IF($DD121&gt;$DC$8,"",VLOOKUP($DD121,$DF$9:$DL$508,5,FALSE()))</f>
        <v/>
      </c>
      <c r="DR121" s="154" t="str">
        <f aca="false">IF($DD121&gt;$DC$8,"",VLOOKUP($DD121,$DF$9:$DL$508,6,FALSE()))</f>
        <v/>
      </c>
      <c r="DS121" s="76"/>
    </row>
    <row r="122" customFormat="false" ht="15.75" hidden="false" customHeight="false" outlineLevel="0" collapsed="false">
      <c r="A122" s="9"/>
      <c r="B122" s="160"/>
      <c r="C122" s="161"/>
      <c r="D122" s="162"/>
      <c r="E122" s="180"/>
      <c r="F122" s="164"/>
      <c r="G122" s="165"/>
      <c r="H122" s="165"/>
      <c r="I122" s="181"/>
      <c r="J122" s="168"/>
      <c r="K122" s="128"/>
      <c r="L122" s="129"/>
      <c r="M122" s="130"/>
      <c r="N122" s="168"/>
      <c r="O122" s="168"/>
      <c r="P122" s="180"/>
      <c r="Q122" s="168"/>
      <c r="R122" s="168"/>
      <c r="S122" s="128"/>
      <c r="T122" s="130"/>
      <c r="U122" s="130"/>
      <c r="V122" s="168"/>
      <c r="W122" s="168"/>
      <c r="X122" s="180"/>
      <c r="Y122" s="168"/>
      <c r="Z122" s="169"/>
      <c r="AA122" s="168"/>
      <c r="AB122" s="134"/>
      <c r="AC122" s="135"/>
      <c r="AD122" s="135"/>
      <c r="AE122" s="135"/>
      <c r="AF122" s="135" t="str">
        <f aca="false">IF(ISBLANK($C122),"",IF(E122=Constants!$B$2,TRUE(),IF(E122=Constants!$B$3,FALSE(),TRUE())))</f>
        <v/>
      </c>
      <c r="AG122" s="135" t="str">
        <f aca="false">IF(ISBLANK($C122),"",IF(F122=Constants!$B$2,TRUE(),IF(F122=Constants!$B$3,FALSE(),TRUE())))</f>
        <v/>
      </c>
      <c r="AH122" s="135" t="str">
        <f aca="false">IF(ISBLANK($C122),"",IF(G122=Constants!$B$2,TRUE(),IF(G122=Constants!$B$3,FALSE(),TRUE())))</f>
        <v/>
      </c>
      <c r="AI122" s="135" t="str">
        <f aca="false">IF(ISBLANK($C122),"",IF(AND(ISNUMBER(H122),H122&gt;=0),H122,Constants!$B$24))</f>
        <v/>
      </c>
      <c r="AJ122" s="135" t="str">
        <f aca="false">IF(ISBLANK($C122),"",IF(I122=Constants!$B$2,TRUE(),IF(I122=Constants!$B$3,FALSE(),TRUE())))</f>
        <v/>
      </c>
      <c r="AK122" s="135" t="str">
        <f aca="false">IF(ISBLANK($C122),"",IF(J122=Constants!$B$2,TRUE(),IF(J122=Constants!$B$3,FALSE(),TRUE())))</f>
        <v/>
      </c>
      <c r="AL122" s="135" t="str">
        <f aca="false">IF(ISBLANK($C122),"",IF(K122=Constants!$B$4,TRUE(),IF(K122=Constants!$B$5,FALSE(),COUNTA(L122:P122)&gt;0)))</f>
        <v/>
      </c>
      <c r="AM122" s="136" t="str">
        <f aca="false">IF(ISBLANK($C122),"",IF(ISNUMBER(L122),IF(L122&gt;=0,L122,""),""))</f>
        <v/>
      </c>
      <c r="AN122" s="137" t="str">
        <f aca="false">IF(ISBLANK($C122),"",IF(ISNUMBER(M122),IF(M122&gt;=0,M122,""),""))</f>
        <v/>
      </c>
      <c r="AO122" s="137" t="str">
        <f aca="false">IF(ISBLANK($C122),"",IF(N122=Constants!$B$2,TRUE(),IF(N122=Constants!$B$3,FALSE(),TRUE())))</f>
        <v/>
      </c>
      <c r="AP122" s="135" t="str">
        <f aca="false">IF(ISBLANK($C122),"",IF(ISNUMBER(O122),IF(O122&gt;=0,O122,""),""))</f>
        <v/>
      </c>
      <c r="AQ122" s="135" t="str">
        <f aca="false">IF(ISBLANK($C122),"",IF(P122=Constants!$B$2,TRUE(),IF(P122=Constants!$B$3,FALSE(),FALSE())))</f>
        <v/>
      </c>
      <c r="AR122" s="135" t="str">
        <f aca="false">IF(ISBLANK($C122),"",IF(Q122=Constants!$B$2,TRUE(),IF(Q122=Constants!$B$3,FALSE(),TRUE())))</f>
        <v/>
      </c>
      <c r="AS122" s="135" t="str">
        <f aca="false">IF(ISBLANK($C122),"",IF(R122=Constants!$B$2,TRUE(),IF(R122=Constants!$B$3,FALSE(),TRUE())))</f>
        <v/>
      </c>
      <c r="AT122" s="135" t="str">
        <f aca="false">IF(ISBLANK($C122),"",IF(S122=Constants!$B$4,TRUE(),IF(S122=Constants!$B$5,FALSE(),COUNTA(T122:X122)&gt;0)))</f>
        <v/>
      </c>
      <c r="AU122" s="136" t="str">
        <f aca="false">IF(ISBLANK($C122),"",IF(ISNUMBER(T122),IF(T122&gt;=0,T122,""),""))</f>
        <v/>
      </c>
      <c r="AV122" s="137" t="str">
        <f aca="false">IF(ISBLANK($C122),"",IF(ISNUMBER(U122),IF(U122&gt;=0,U122,""),""))</f>
        <v/>
      </c>
      <c r="AW122" s="137" t="str">
        <f aca="false">IF(ISBLANK($C122),"",IF(V122=Constants!$B$2,TRUE(),IF(V122=Constants!$B$3,FALSE(),TRUE())))</f>
        <v/>
      </c>
      <c r="AX122" s="135" t="str">
        <f aca="false">IF(ISBLANK($C122),"",IF(ISNUMBER(W122),IF(W122&gt;=0,W122,""),""))</f>
        <v/>
      </c>
      <c r="AY122" s="135" t="str">
        <f aca="false">IF(ISBLANK($C122),"",IF(X122=Constants!$B$2,TRUE(),IF(X122=Constants!$B$3,FALSE(),FALSE())))</f>
        <v/>
      </c>
      <c r="AZ122" s="135" t="str">
        <f aca="false">IF(ISBLANK($C122),"",MIN(Constants!$B$25,MAX(0,IF(ISNUMBER(Y122),Y122*60,0)+IF(ISNUMBER(Z122),Z122,0))))</f>
        <v/>
      </c>
      <c r="BA122" s="135" t="str">
        <f aca="false">IF(ISBLANK($C122),"",IF(AA122=Constants!$B$2,TRUE(),IF(AA122=Constants!$B$3,FALSE(),FALSE())))</f>
        <v/>
      </c>
      <c r="BB122" s="134" t="str">
        <f aca="false">IF(ISBLANK($C122),"",AND($AL122,OR($AM122="",$AN122="",AND($AO122,$AP122=""))))</f>
        <v/>
      </c>
      <c r="BC122" s="137" t="str">
        <f aca="false">IF($BX122&lt;&gt;Constants!$B$6,"",IF($AL122,Constants!$B$17*$AN122+Constants!$B$18*IF($AO122,$AP122,Constants!$B$19),Constants!$B$20))</f>
        <v/>
      </c>
      <c r="BD122" s="138" t="str">
        <f aca="false">IF($BX122&lt;&gt;Constants!$B$6,"",Constants!$B$21*ABS($AD$9-IF($AL122,$AM122,0)))</f>
        <v/>
      </c>
      <c r="BE122" s="138" t="str">
        <f aca="false">IF($BX122&lt;&gt;Constants!$B$6,"",IF(AND($AL122,$AQ122,$AO122),Constants!$B$22,0))</f>
        <v/>
      </c>
      <c r="BF122" s="138" t="str">
        <f aca="false">IF($BX122&lt;&gt;Constants!$B$6,"",IF($AL122,($AI122-Constants!$B$24)*Constants!$B$23,0))</f>
        <v/>
      </c>
      <c r="BG122" s="138" t="str">
        <f aca="false">IF($BX122&lt;&gt;Constants!$B$6,"",IF($AK122,0,Constants!$B$12)+IF($AJ122,0,Constants!$B$13)+IF($AH122,0,Constants!$B$14))</f>
        <v/>
      </c>
      <c r="BH122" s="139" t="str">
        <f aca="false">IF($BX122&lt;&gt;Constants!$B$6,"",Constants!$B$16+SUM($BC122:$BG122))</f>
        <v/>
      </c>
      <c r="BI122" s="138" t="str">
        <f aca="false">IF($BX122&lt;&gt;Constants!$B$6,"",$BC122)</f>
        <v/>
      </c>
      <c r="BJ122" s="138" t="str">
        <f aca="false">IF($BX122&lt;&gt;Constants!$B$6,"",$BD122)</f>
        <v/>
      </c>
      <c r="BK122" s="140" t="str">
        <f aca="false">IF($BX122&lt;&gt;Constants!$B$6,"",IF($AL122,$AN122,""))</f>
        <v/>
      </c>
      <c r="BL122" s="135" t="str">
        <f aca="false">IF($BX122&lt;&gt;Constants!$B$6,"",IF(OR($BS122&lt;$BH122,AND($BS122=$BH122,OR($BT122&lt;$BI122,AND($BT122=$BI122,OR($BU122&lt;$BJ122,AND($BU122=$BJ122,AND(ISNUMBER($BV122),OR(NOT(ISNUMBER($BK122)),$BV122&lt;$BK122)))))))),"-&gt;","&lt;-"))</f>
        <v/>
      </c>
      <c r="BM122" s="134" t="str">
        <f aca="false">IF(ISBLANK($C122),"",AND($AT122,OR($AU122="",$AV122="",AND($AW122,$AX122=""))))</f>
        <v/>
      </c>
      <c r="BN122" s="137" t="str">
        <f aca="false">IF($BX122&lt;&gt;Constants!$B$6,"",IF($AT122,Constants!$B$17*$AV122+Constants!$B$18*IF($AW122,$AX122,Constants!$B$19),Constants!$B$20))</f>
        <v/>
      </c>
      <c r="BO122" s="138" t="str">
        <f aca="false">IF($BX122&lt;&gt;Constants!$B$6,"",Constants!$B$21*ABS($AD$9-IF($AT122,$AU122,0)))</f>
        <v/>
      </c>
      <c r="BP122" s="138" t="str">
        <f aca="false">IF($BX122&lt;&gt;Constants!$B$6,"",IF(AND($AT122,$AY122,$AW122),Constants!$B$22,0))</f>
        <v/>
      </c>
      <c r="BQ122" s="138" t="str">
        <f aca="false">IF($BX122&lt;&gt;Constants!$B$6,"",IF($AT122,($AI122-Constants!$B$24)*Constants!$B$23,0))</f>
        <v/>
      </c>
      <c r="BR122" s="138" t="str">
        <f aca="false">IF($BX122&lt;&gt;Constants!$B$6,"",IF($AS122,0,Constants!$B$12)+IF($AR122,0,Constants!$B$13)+IF($AH122,0,Constants!$B$14))</f>
        <v/>
      </c>
      <c r="BS122" s="139" t="str">
        <f aca="false">IF($BX122&lt;&gt;Constants!$B$6,"",Constants!$B$16+SUM($BN122:$BR122))</f>
        <v/>
      </c>
      <c r="BT122" s="138" t="str">
        <f aca="false">IF($BX122&lt;&gt;Constants!$B$6,"",$BN122)</f>
        <v/>
      </c>
      <c r="BU122" s="138" t="str">
        <f aca="false">IF($BX122&lt;&gt;Constants!$B$6,"",$BO122)</f>
        <v/>
      </c>
      <c r="BV122" s="140" t="str">
        <f aca="false">IF($BX122&lt;&gt;Constants!$B$6,"",IF($AT122,$AV122,""))</f>
        <v/>
      </c>
      <c r="BW122" s="135" t="str">
        <f aca="false">IF(ISBLANK($C122),"",IF(ISBLANK($D$7),$BW$5,IF(NOT(ISNUMBER($D$7)),$BW$6,"")))</f>
        <v/>
      </c>
      <c r="BX122" s="135" t="str">
        <f aca="false">IF(ISBLANK($C122),"",IF($BA122,Constants!$B$9,IF(COUNTA($E122:$AA122)=0,Constants!$B$8,IF(NOT($AG122),Constants!$B$7,IF(OR($BW122&lt;&gt;"",$BB122,$BM122),Constants!$B$10,Constants!$B$6)))))</f>
        <v/>
      </c>
      <c r="BY122" s="135" t="str">
        <f aca="false">IF(ISBLANK($C122),"",IF($BX122&lt;&gt;Constants!$B$6,$BX122,Constants!$B$11))</f>
        <v/>
      </c>
      <c r="BZ122" s="138" t="str">
        <f aca="false">IF($BX122&lt;&gt;Constants!$B$6,"",IF($BL122="-&gt;",$BS122,$BH122))</f>
        <v/>
      </c>
      <c r="CA122" s="138" t="str">
        <f aca="false">IF($BX122&lt;&gt;Constants!$B$6,"",IF($AF122,0,Constants!$B$15))</f>
        <v/>
      </c>
      <c r="CB122" s="138" t="str">
        <f aca="false">IF($BX122&lt;&gt;Constants!$B$6,"",((Constants!$B$25-$AZ122)-Constants!$B$25)/Constants!$B$26)</f>
        <v/>
      </c>
      <c r="CC122" s="138" t="str">
        <f aca="false">IF(ISBLANK($C122),"",IF($BX122&lt;&gt;Constants!$B$6,$BX122,SUM($BZ122:$CB122)))</f>
        <v/>
      </c>
      <c r="CD122" s="135" t="str">
        <f aca="false">IF(ISBLANK($C122),"",IF($BX122&lt;&gt;Constants!$B$6,$BX122,RANK($CC122,$CC$9:$CC$508,1)))</f>
        <v/>
      </c>
      <c r="CE122" s="138" t="str">
        <f aca="false">IF($BX122&lt;&gt;Constants!$B$6,"",IF($BL122="-&gt;",$BT122,$BI122))</f>
        <v/>
      </c>
      <c r="CF122" s="135" t="str">
        <f aca="false">IF(ISBLANK($C122),"",IF($BX122&lt;&gt;Constants!$B$6,$BX122,IF(ISNUMBER($CE122),RANK($CE122,$CE$9:$CE$508,1),COUNT($CE$9:$CE$508)+1)))</f>
        <v/>
      </c>
      <c r="CG122" s="138" t="str">
        <f aca="false">IF($BX122&lt;&gt;Constants!$B$6,"",IF($BL122="-&gt;",$BU122,$BJ122))</f>
        <v/>
      </c>
      <c r="CH122" s="135" t="str">
        <f aca="false">IF(ISBLANK($C122),"",IF($BX122&lt;&gt;Constants!$B$6,$BX122,IF(ISNUMBER($CG122),RANK($CG122,$CG$9:$CG$508,1),COUNT($CG$9:$CG$508)+1)))</f>
        <v/>
      </c>
      <c r="CI122" s="138" t="str">
        <f aca="false">IF($BX122&lt;&gt;Constants!$B$6,"",IF($BL122="-&gt;",$BV122,$BK122))</f>
        <v/>
      </c>
      <c r="CJ122" s="135" t="str">
        <f aca="false">IF(ISBLANK($C122),"",IF($BX122&lt;&gt;Constants!$B$6,$BX122,IF(ISNUMBER($CI122),RANK($CI122,$CI$9:$CI$508,1),COUNT($CI$9:$CI$508)+1)))</f>
        <v/>
      </c>
      <c r="CK122" s="138" t="str">
        <f aca="false">IF($BX122&lt;&gt;Constants!$B$6,"",$AI122)</f>
        <v/>
      </c>
      <c r="CL122" s="135" t="str">
        <f aca="false">IF(ISBLANK($C122),"",IF($BX122&lt;&gt;Constants!$B$6,$BX122,IF(ISNUMBER($CK122),RANK($CK122,$CK$9:$CK$508,1),COUNT($CK$9:$CK$508)+1)))</f>
        <v/>
      </c>
      <c r="CM122" s="135" t="str">
        <f aca="false">IF(ISBLANK($C122),"",IF($BX122&lt;&gt;Constants!$B$6,$BX122,COUNTIFS($CD$9:$CD$508,"&lt;"&amp;$CD122)+COUNTIFS($CD$9:$CD$508,$CD122,$CF$9:$CF$508,"&lt;"&amp;$CF122)+COUNTIFS($CD$9:$CD$508,$CD122,$CF$9:$CF$508,$CF122,$CH$9:$CH$508,"&lt;"&amp;$CH122)+COUNTIFS($CD$9:$CD$508,$CD122,$CF$9:$CF$508,$CF122,$CH$9:$CH$508,$CH122,$CJ$9:$CJ$508,"&lt;"&amp;$CJ122)+COUNTIFS($CD$9:$CD$508,$CD122,$CF$9:$CF$508,$CF122,$CH$9:$CH$508,$CH122,$CJ$9:$CJ$508,$CJ122,$CL$9:$CL$508,"&lt;"&amp;$CL122)+1))</f>
        <v/>
      </c>
      <c r="CN122" s="135" t="str">
        <f aca="false">IF(ISBLANK($C122),"",IF($BX122&lt;&gt;Constants!$B$6,$BX122,$CD122-$CM122))</f>
        <v/>
      </c>
      <c r="CO122" s="141"/>
      <c r="CP122" s="142"/>
      <c r="CQ122" s="143" t="str">
        <f aca="false">IF(ISBLANK($C122),"",IF($BX122=Constants!$B$10,$BW122,""))</f>
        <v/>
      </c>
      <c r="CR122" s="142" t="str">
        <f aca="false">IF(ISBLANK($C122),"",IF($BX122&lt;&gt;Constants!$B$6,"",IF($BL122="-&gt;",2,1)))</f>
        <v/>
      </c>
      <c r="CS122" s="144" t="str">
        <f aca="false">IF(ISBLANK($C122),"",IF($BX122&lt;&gt;Constants!$B$6,"",IF($BL122="-&gt;",$BN122,$BC122)))</f>
        <v/>
      </c>
      <c r="CT122" s="144" t="str">
        <f aca="false">IF(ISBLANK($C122),"",IF($BX122&lt;&gt;Constants!$B$6,"",IF($BL122="-&gt;",$BO122,$BD122)))</f>
        <v/>
      </c>
      <c r="CU122" s="144" t="str">
        <f aca="false">IF(ISBLANK($C122),"",IF($BX122&lt;&gt;Constants!$B$6,"",IF($BL122="-&gt;",$BP122+$BQ122,$BE122+$BF122)+$CB122))</f>
        <v/>
      </c>
      <c r="CV122" s="144" t="str">
        <f aca="false">IF(ISBLANK($C122),"",IF($BX122&lt;&gt;Constants!$B$6,"",IF($BL122="-&gt;",$BR122,$BG122)+$CA122))</f>
        <v/>
      </c>
      <c r="CW122" s="145" t="str">
        <f aca="false">IF(ISBLANK($C122),"",IF($BX122&lt;&gt;Constants!$B$6,$BX122,$CC122))</f>
        <v/>
      </c>
      <c r="CX122" s="146" t="str">
        <f aca="false">IF(ISBLANK($C122),"",$BY122)</f>
        <v/>
      </c>
      <c r="CY122" s="147" t="str">
        <f aca="false">IF(ISBLANK($C122),"",$CN122)</f>
        <v/>
      </c>
      <c r="CZ122" s="147" t="str">
        <f aca="false">IF(ISBLANK($C122),"",$CM122)</f>
        <v/>
      </c>
      <c r="DA122" s="148" t="str">
        <f aca="false">IF(ISBLANK($C122),"",IFERROR(_xlfn.SWITCH($CZ122,Constants!$B$9,COUNTA($C$9:$C$508)+2,Constants!$B$8,COUNTA($C$9:$C$508)+1,Constants!$B$7,COUNTA($C$9:$C$508)),$CZ122))</f>
        <v/>
      </c>
      <c r="DB122" s="9"/>
      <c r="DC122" s="149" t="n">
        <f aca="false">IF(OR(ISNUMBER($CZ122),$CZ122=Constants!$B$9,$CZ122=Constants!$B$7,$CZ122=Constants!$B$8),1,0)</f>
        <v>0</v>
      </c>
      <c r="DD122" s="149" t="n">
        <v>114</v>
      </c>
      <c r="DE122" s="149" t="str">
        <f aca="false">IF(ISBLANK($C122),"",IF(ISNUMBER($DA122),$DA122+ROW($B122)/1000,""))</f>
        <v/>
      </c>
      <c r="DF122" s="149" t="str">
        <f aca="false">IF(ISNUMBER($DE122),RANK($DE122,$DE$9:$DE$508,1),"")</f>
        <v/>
      </c>
      <c r="DG122" s="149" t="str">
        <f aca="false">IF(ISBLANK($C122),"",$B122)</f>
        <v/>
      </c>
      <c r="DH122" s="149" t="str">
        <f aca="false">IF(ISBLANK($C122),"",$C122)</f>
        <v/>
      </c>
      <c r="DI122" s="149" t="str">
        <f aca="false">IF(ISBLANK($C122),"",$D122)</f>
        <v/>
      </c>
      <c r="DJ122" s="150" t="str">
        <f aca="false">$CX122</f>
        <v/>
      </c>
      <c r="DK122" s="151" t="str">
        <f aca="false">$CW122</f>
        <v/>
      </c>
      <c r="DL122" s="149" t="str">
        <f aca="false">IF(ISBLANK($C122),"",$CZ122)</f>
        <v/>
      </c>
      <c r="DM122" s="152" t="str">
        <f aca="false">IF($DD122&gt;$DC$8,"",VLOOKUP($DD122,$DF$9:$DL$508,7,FALSE()))</f>
        <v/>
      </c>
      <c r="DN122" s="153" t="str">
        <f aca="false">IF($DD122&gt;$DC$8,"",VLOOKUP($DD122,$DF$9:$DL$508,2,FALSE()))</f>
        <v/>
      </c>
      <c r="DO122" s="153" t="str">
        <f aca="false">IF($DD122&gt;$DC$8,"",VLOOKUP($DD122,$DF$9:$DL$508,3,FALSE()))</f>
        <v/>
      </c>
      <c r="DP122" s="153" t="str">
        <f aca="false">IF($DD122&gt;$DC$8,"",VLOOKUP($DD122,$DF$9:$DL$508,4,FALSE()))</f>
        <v/>
      </c>
      <c r="DQ122" s="153" t="str">
        <f aca="false">IF($DD122&gt;$DC$8,"",VLOOKUP($DD122,$DF$9:$DL$508,5,FALSE()))</f>
        <v/>
      </c>
      <c r="DR122" s="154" t="str">
        <f aca="false">IF($DD122&gt;$DC$8,"",VLOOKUP($DD122,$DF$9:$DL$508,6,FALSE()))</f>
        <v/>
      </c>
      <c r="DS122" s="76"/>
    </row>
    <row r="123" customFormat="false" ht="15.75" hidden="false" customHeight="false" outlineLevel="0" collapsed="false">
      <c r="A123" s="9"/>
      <c r="B123" s="78"/>
      <c r="C123" s="79"/>
      <c r="D123" s="170"/>
      <c r="E123" s="178"/>
      <c r="F123" s="172"/>
      <c r="G123" s="173"/>
      <c r="H123" s="173"/>
      <c r="I123" s="179"/>
      <c r="J123" s="176"/>
      <c r="K123" s="86"/>
      <c r="L123" s="87"/>
      <c r="M123" s="88"/>
      <c r="N123" s="176"/>
      <c r="O123" s="176"/>
      <c r="P123" s="178"/>
      <c r="Q123" s="176"/>
      <c r="R123" s="176"/>
      <c r="S123" s="86"/>
      <c r="T123" s="88"/>
      <c r="U123" s="88"/>
      <c r="V123" s="176"/>
      <c r="W123" s="176"/>
      <c r="X123" s="178"/>
      <c r="Y123" s="176"/>
      <c r="Z123" s="177"/>
      <c r="AA123" s="176"/>
      <c r="AB123" s="92"/>
      <c r="AC123" s="93"/>
      <c r="AD123" s="93"/>
      <c r="AE123" s="93"/>
      <c r="AF123" s="93" t="str">
        <f aca="false">IF(ISBLANK($C123),"",IF(E123=Constants!$B$2,TRUE(),IF(E123=Constants!$B$3,FALSE(),TRUE())))</f>
        <v/>
      </c>
      <c r="AG123" s="93" t="str">
        <f aca="false">IF(ISBLANK($C123),"",IF(F123=Constants!$B$2,TRUE(),IF(F123=Constants!$B$3,FALSE(),TRUE())))</f>
        <v/>
      </c>
      <c r="AH123" s="93" t="str">
        <f aca="false">IF(ISBLANK($C123),"",IF(G123=Constants!$B$2,TRUE(),IF(G123=Constants!$B$3,FALSE(),TRUE())))</f>
        <v/>
      </c>
      <c r="AI123" s="93" t="str">
        <f aca="false">IF(ISBLANK($C123),"",IF(AND(ISNUMBER(H123),H123&gt;=0),H123,Constants!$B$24))</f>
        <v/>
      </c>
      <c r="AJ123" s="93" t="str">
        <f aca="false">IF(ISBLANK($C123),"",IF(I123=Constants!$B$2,TRUE(),IF(I123=Constants!$B$3,FALSE(),TRUE())))</f>
        <v/>
      </c>
      <c r="AK123" s="93" t="str">
        <f aca="false">IF(ISBLANK($C123),"",IF(J123=Constants!$B$2,TRUE(),IF(J123=Constants!$B$3,FALSE(),TRUE())))</f>
        <v/>
      </c>
      <c r="AL123" s="93" t="str">
        <f aca="false">IF(ISBLANK($C123),"",IF(K123=Constants!$B$4,TRUE(),IF(K123=Constants!$B$5,FALSE(),COUNTA(L123:P123)&gt;0)))</f>
        <v/>
      </c>
      <c r="AM123" s="95" t="str">
        <f aca="false">IF(ISBLANK($C123),"",IF(ISNUMBER(L123),IF(L123&gt;=0,L123,""),""))</f>
        <v/>
      </c>
      <c r="AN123" s="94" t="str">
        <f aca="false">IF(ISBLANK($C123),"",IF(ISNUMBER(M123),IF(M123&gt;=0,M123,""),""))</f>
        <v/>
      </c>
      <c r="AO123" s="94" t="str">
        <f aca="false">IF(ISBLANK($C123),"",IF(N123=Constants!$B$2,TRUE(),IF(N123=Constants!$B$3,FALSE(),TRUE())))</f>
        <v/>
      </c>
      <c r="AP123" s="93" t="str">
        <f aca="false">IF(ISBLANK($C123),"",IF(ISNUMBER(O123),IF(O123&gt;=0,O123,""),""))</f>
        <v/>
      </c>
      <c r="AQ123" s="93" t="str">
        <f aca="false">IF(ISBLANK($C123),"",IF(P123=Constants!$B$2,TRUE(),IF(P123=Constants!$B$3,FALSE(),FALSE())))</f>
        <v/>
      </c>
      <c r="AR123" s="93" t="str">
        <f aca="false">IF(ISBLANK($C123),"",IF(Q123=Constants!$B$2,TRUE(),IF(Q123=Constants!$B$3,FALSE(),TRUE())))</f>
        <v/>
      </c>
      <c r="AS123" s="93" t="str">
        <f aca="false">IF(ISBLANK($C123),"",IF(R123=Constants!$B$2,TRUE(),IF(R123=Constants!$B$3,FALSE(),TRUE())))</f>
        <v/>
      </c>
      <c r="AT123" s="93" t="str">
        <f aca="false">IF(ISBLANK($C123),"",IF(S123=Constants!$B$4,TRUE(),IF(S123=Constants!$B$5,FALSE(),COUNTA(T123:X123)&gt;0)))</f>
        <v/>
      </c>
      <c r="AU123" s="95" t="str">
        <f aca="false">IF(ISBLANK($C123),"",IF(ISNUMBER(T123),IF(T123&gt;=0,T123,""),""))</f>
        <v/>
      </c>
      <c r="AV123" s="94" t="str">
        <f aca="false">IF(ISBLANK($C123),"",IF(ISNUMBER(U123),IF(U123&gt;=0,U123,""),""))</f>
        <v/>
      </c>
      <c r="AW123" s="94" t="str">
        <f aca="false">IF(ISBLANK($C123),"",IF(V123=Constants!$B$2,TRUE(),IF(V123=Constants!$B$3,FALSE(),TRUE())))</f>
        <v/>
      </c>
      <c r="AX123" s="93" t="str">
        <f aca="false">IF(ISBLANK($C123),"",IF(ISNUMBER(W123),IF(W123&gt;=0,W123,""),""))</f>
        <v/>
      </c>
      <c r="AY123" s="93" t="str">
        <f aca="false">IF(ISBLANK($C123),"",IF(X123=Constants!$B$2,TRUE(),IF(X123=Constants!$B$3,FALSE(),FALSE())))</f>
        <v/>
      </c>
      <c r="AZ123" s="93" t="str">
        <f aca="false">IF(ISBLANK($C123),"",MIN(Constants!$B$25,MAX(0,IF(ISNUMBER(Y123),Y123*60,0)+IF(ISNUMBER(Z123),Z123,0))))</f>
        <v/>
      </c>
      <c r="BA123" s="93" t="str">
        <f aca="false">IF(ISBLANK($C123),"",IF(AA123=Constants!$B$2,TRUE(),IF(AA123=Constants!$B$3,FALSE(),FALSE())))</f>
        <v/>
      </c>
      <c r="BB123" s="92" t="str">
        <f aca="false">IF(ISBLANK($C123),"",AND($AL123,OR($AM123="",$AN123="",AND($AO123,$AP123=""))))</f>
        <v/>
      </c>
      <c r="BC123" s="94" t="str">
        <f aca="false">IF($BX123&lt;&gt;Constants!$B$6,"",IF($AL123,Constants!$B$17*$AN123+Constants!$B$18*IF($AO123,$AP123,Constants!$B$19),Constants!$B$20))</f>
        <v/>
      </c>
      <c r="BD123" s="97" t="str">
        <f aca="false">IF($BX123&lt;&gt;Constants!$B$6,"",Constants!$B$21*ABS($AD$9-IF($AL123,$AM123,0)))</f>
        <v/>
      </c>
      <c r="BE123" s="97" t="str">
        <f aca="false">IF($BX123&lt;&gt;Constants!$B$6,"",IF(AND($AL123,$AQ123,$AO123),Constants!$B$22,0))</f>
        <v/>
      </c>
      <c r="BF123" s="97" t="str">
        <f aca="false">IF($BX123&lt;&gt;Constants!$B$6,"",IF($AL123,($AI123-Constants!$B$24)*Constants!$B$23,0))</f>
        <v/>
      </c>
      <c r="BG123" s="97" t="str">
        <f aca="false">IF($BX123&lt;&gt;Constants!$B$6,"",IF($AK123,0,Constants!$B$12)+IF($AJ123,0,Constants!$B$13)+IF($AH123,0,Constants!$B$14))</f>
        <v/>
      </c>
      <c r="BH123" s="98" t="str">
        <f aca="false">IF($BX123&lt;&gt;Constants!$B$6,"",Constants!$B$16+SUM($BC123:$BG123))</f>
        <v/>
      </c>
      <c r="BI123" s="97" t="str">
        <f aca="false">IF($BX123&lt;&gt;Constants!$B$6,"",$BC123)</f>
        <v/>
      </c>
      <c r="BJ123" s="97" t="str">
        <f aca="false">IF($BX123&lt;&gt;Constants!$B$6,"",$BD123)</f>
        <v/>
      </c>
      <c r="BK123" s="99" t="str">
        <f aca="false">IF($BX123&lt;&gt;Constants!$B$6,"",IF($AL123,$AN123,""))</f>
        <v/>
      </c>
      <c r="BL123" s="93" t="str">
        <f aca="false">IF($BX123&lt;&gt;Constants!$B$6,"",IF(OR($BS123&lt;$BH123,AND($BS123=$BH123,OR($BT123&lt;$BI123,AND($BT123=$BI123,OR($BU123&lt;$BJ123,AND($BU123=$BJ123,AND(ISNUMBER($BV123),OR(NOT(ISNUMBER($BK123)),$BV123&lt;$BK123)))))))),"-&gt;","&lt;-"))</f>
        <v/>
      </c>
      <c r="BM123" s="92" t="str">
        <f aca="false">IF(ISBLANK($C123),"",AND($AT123,OR($AU123="",$AV123="",AND($AW123,$AX123=""))))</f>
        <v/>
      </c>
      <c r="BN123" s="94" t="str">
        <f aca="false">IF($BX123&lt;&gt;Constants!$B$6,"",IF($AT123,Constants!$B$17*$AV123+Constants!$B$18*IF($AW123,$AX123,Constants!$B$19),Constants!$B$20))</f>
        <v/>
      </c>
      <c r="BO123" s="97" t="str">
        <f aca="false">IF($BX123&lt;&gt;Constants!$B$6,"",Constants!$B$21*ABS($AD$9-IF($AT123,$AU123,0)))</f>
        <v/>
      </c>
      <c r="BP123" s="97" t="str">
        <f aca="false">IF($BX123&lt;&gt;Constants!$B$6,"",IF(AND($AT123,$AY123,$AW123),Constants!$B$22,0))</f>
        <v/>
      </c>
      <c r="BQ123" s="97" t="str">
        <f aca="false">IF($BX123&lt;&gt;Constants!$B$6,"",IF($AT123,($AI123-Constants!$B$24)*Constants!$B$23,0))</f>
        <v/>
      </c>
      <c r="BR123" s="97" t="str">
        <f aca="false">IF($BX123&lt;&gt;Constants!$B$6,"",IF($AS123,0,Constants!$B$12)+IF($AR123,0,Constants!$B$13)+IF($AH123,0,Constants!$B$14))</f>
        <v/>
      </c>
      <c r="BS123" s="98" t="str">
        <f aca="false">IF($BX123&lt;&gt;Constants!$B$6,"",Constants!$B$16+SUM($BN123:$BR123))</f>
        <v/>
      </c>
      <c r="BT123" s="97" t="str">
        <f aca="false">IF($BX123&lt;&gt;Constants!$B$6,"",$BN123)</f>
        <v/>
      </c>
      <c r="BU123" s="97" t="str">
        <f aca="false">IF($BX123&lt;&gt;Constants!$B$6,"",$BO123)</f>
        <v/>
      </c>
      <c r="BV123" s="99" t="str">
        <f aca="false">IF($BX123&lt;&gt;Constants!$B$6,"",IF($AT123,$AV123,""))</f>
        <v/>
      </c>
      <c r="BW123" s="93" t="str">
        <f aca="false">IF(ISBLANK($C123),"",IF(ISBLANK($D$7),$BW$5,IF(NOT(ISNUMBER($D$7)),$BW$6,"")))</f>
        <v/>
      </c>
      <c r="BX123" s="93" t="str">
        <f aca="false">IF(ISBLANK($C123),"",IF($BA123,Constants!$B$9,IF(COUNTA($E123:$AA123)=0,Constants!$B$8,IF(NOT($AG123),Constants!$B$7,IF(OR($BW123&lt;&gt;"",$BB123,$BM123),Constants!$B$10,Constants!$B$6)))))</f>
        <v/>
      </c>
      <c r="BY123" s="93" t="str">
        <f aca="false">IF(ISBLANK($C123),"",IF($BX123&lt;&gt;Constants!$B$6,$BX123,Constants!$B$11))</f>
        <v/>
      </c>
      <c r="BZ123" s="97" t="str">
        <f aca="false">IF($BX123&lt;&gt;Constants!$B$6,"",IF($BL123="-&gt;",$BS123,$BH123))</f>
        <v/>
      </c>
      <c r="CA123" s="97" t="str">
        <f aca="false">IF($BX123&lt;&gt;Constants!$B$6,"",IF($AF123,0,Constants!$B$15))</f>
        <v/>
      </c>
      <c r="CB123" s="97" t="str">
        <f aca="false">IF($BX123&lt;&gt;Constants!$B$6,"",((Constants!$B$25-$AZ123)-Constants!$B$25)/Constants!$B$26)</f>
        <v/>
      </c>
      <c r="CC123" s="97" t="str">
        <f aca="false">IF(ISBLANK($C123),"",IF($BX123&lt;&gt;Constants!$B$6,$BX123,SUM($BZ123:$CB123)))</f>
        <v/>
      </c>
      <c r="CD123" s="93" t="str">
        <f aca="false">IF(ISBLANK($C123),"",IF($BX123&lt;&gt;Constants!$B$6,$BX123,RANK($CC123,$CC$9:$CC$508,1)))</f>
        <v/>
      </c>
      <c r="CE123" s="97" t="str">
        <f aca="false">IF($BX123&lt;&gt;Constants!$B$6,"",IF($BL123="-&gt;",$BT123,$BI123))</f>
        <v/>
      </c>
      <c r="CF123" s="93" t="str">
        <f aca="false">IF(ISBLANK($C123),"",IF($BX123&lt;&gt;Constants!$B$6,$BX123,IF(ISNUMBER($CE123),RANK($CE123,$CE$9:$CE$508,1),COUNT($CE$9:$CE$508)+1)))</f>
        <v/>
      </c>
      <c r="CG123" s="97" t="str">
        <f aca="false">IF($BX123&lt;&gt;Constants!$B$6,"",IF($BL123="-&gt;",$BU123,$BJ123))</f>
        <v/>
      </c>
      <c r="CH123" s="93" t="str">
        <f aca="false">IF(ISBLANK($C123),"",IF($BX123&lt;&gt;Constants!$B$6,$BX123,IF(ISNUMBER($CG123),RANK($CG123,$CG$9:$CG$508,1),COUNT($CG$9:$CG$508)+1)))</f>
        <v/>
      </c>
      <c r="CI123" s="97" t="str">
        <f aca="false">IF($BX123&lt;&gt;Constants!$B$6,"",IF($BL123="-&gt;",$BV123,$BK123))</f>
        <v/>
      </c>
      <c r="CJ123" s="93" t="str">
        <f aca="false">IF(ISBLANK($C123),"",IF($BX123&lt;&gt;Constants!$B$6,$BX123,IF(ISNUMBER($CI123),RANK($CI123,$CI$9:$CI$508,1),COUNT($CI$9:$CI$508)+1)))</f>
        <v/>
      </c>
      <c r="CK123" s="97" t="str">
        <f aca="false">IF($BX123&lt;&gt;Constants!$B$6,"",$AI123)</f>
        <v/>
      </c>
      <c r="CL123" s="93" t="str">
        <f aca="false">IF(ISBLANK($C123),"",IF($BX123&lt;&gt;Constants!$B$6,$BX123,IF(ISNUMBER($CK123),RANK($CK123,$CK$9:$CK$508,1),COUNT($CK$9:$CK$508)+1)))</f>
        <v/>
      </c>
      <c r="CM123" s="93" t="str">
        <f aca="false">IF(ISBLANK($C123),"",IF($BX123&lt;&gt;Constants!$B$6,$BX123,COUNTIFS($CD$9:$CD$508,"&lt;"&amp;$CD123)+COUNTIFS($CD$9:$CD$508,$CD123,$CF$9:$CF$508,"&lt;"&amp;$CF123)+COUNTIFS($CD$9:$CD$508,$CD123,$CF$9:$CF$508,$CF123,$CH$9:$CH$508,"&lt;"&amp;$CH123)+COUNTIFS($CD$9:$CD$508,$CD123,$CF$9:$CF$508,$CF123,$CH$9:$CH$508,$CH123,$CJ$9:$CJ$508,"&lt;"&amp;$CJ123)+COUNTIFS($CD$9:$CD$508,$CD123,$CF$9:$CF$508,$CF123,$CH$9:$CH$508,$CH123,$CJ$9:$CJ$508,$CJ123,$CL$9:$CL$508,"&lt;"&amp;$CL123)+1))</f>
        <v/>
      </c>
      <c r="CN123" s="93" t="str">
        <f aca="false">IF(ISBLANK($C123),"",IF($BX123&lt;&gt;Constants!$B$6,$BX123,$CD123-$CM123))</f>
        <v/>
      </c>
      <c r="CO123" s="100"/>
      <c r="CP123" s="101"/>
      <c r="CQ123" s="102" t="str">
        <f aca="false">IF(ISBLANK($C123),"",IF($BX123=Constants!$B$10,$BW123,""))</f>
        <v/>
      </c>
      <c r="CR123" s="101" t="str">
        <f aca="false">IF(ISBLANK($C123),"",IF($BX123&lt;&gt;Constants!$B$6,"",IF($BL123="-&gt;",2,1)))</f>
        <v/>
      </c>
      <c r="CS123" s="103" t="str">
        <f aca="false">IF(ISBLANK($C123),"",IF($BX123&lt;&gt;Constants!$B$6,"",IF($BL123="-&gt;",$BN123,$BC123)))</f>
        <v/>
      </c>
      <c r="CT123" s="103" t="str">
        <f aca="false">IF(ISBLANK($C123),"",IF($BX123&lt;&gt;Constants!$B$6,"",IF($BL123="-&gt;",$BO123,$BD123)))</f>
        <v/>
      </c>
      <c r="CU123" s="103" t="str">
        <f aca="false">IF(ISBLANK($C123),"",IF($BX123&lt;&gt;Constants!$B$6,"",IF($BL123="-&gt;",$BP123+$BQ123,$BE123+$BF123)+$CB123))</f>
        <v/>
      </c>
      <c r="CV123" s="103" t="str">
        <f aca="false">IF(ISBLANK($C123),"",IF($BX123&lt;&gt;Constants!$B$6,"",IF($BL123="-&gt;",$BR123,$BG123)+$CA123))</f>
        <v/>
      </c>
      <c r="CW123" s="104" t="str">
        <f aca="false">IF(ISBLANK($C123),"",IF($BX123&lt;&gt;Constants!$B$6,$BX123,$CC123))</f>
        <v/>
      </c>
      <c r="CX123" s="105" t="str">
        <f aca="false">IF(ISBLANK($C123),"",$BY123)</f>
        <v/>
      </c>
      <c r="CY123" s="106" t="str">
        <f aca="false">IF(ISBLANK($C123),"",$CN123)</f>
        <v/>
      </c>
      <c r="CZ123" s="106" t="str">
        <f aca="false">IF(ISBLANK($C123),"",$CM123)</f>
        <v/>
      </c>
      <c r="DA123" s="107" t="str">
        <f aca="false">IF(ISBLANK($C123),"",IFERROR(_xlfn.SWITCH($CZ123,Constants!$B$9,COUNTA($C$9:$C$508)+2,Constants!$B$8,COUNTA($C$9:$C$508)+1,Constants!$B$7,COUNTA($C$9:$C$508)),$CZ123))</f>
        <v/>
      </c>
      <c r="DB123" s="9"/>
      <c r="DC123" s="108" t="n">
        <f aca="false">IF(OR(ISNUMBER($CZ123),$CZ123=Constants!$B$9,$CZ123=Constants!$B$7,$CZ123=Constants!$B$8),1,0)</f>
        <v>0</v>
      </c>
      <c r="DD123" s="108" t="n">
        <v>115</v>
      </c>
      <c r="DE123" s="108" t="str">
        <f aca="false">IF(ISBLANK($C123),"",IF(ISNUMBER($DA123),$DA123+ROW($B123)/1000,""))</f>
        <v/>
      </c>
      <c r="DF123" s="108" t="str">
        <f aca="false">IF(ISNUMBER($DE123),RANK($DE123,$DE$9:$DE$508,1),"")</f>
        <v/>
      </c>
      <c r="DG123" s="108" t="str">
        <f aca="false">IF(ISBLANK($C123),"",$B123)</f>
        <v/>
      </c>
      <c r="DH123" s="108" t="str">
        <f aca="false">IF(ISBLANK($C123),"",$C123)</f>
        <v/>
      </c>
      <c r="DI123" s="108" t="str">
        <f aca="false">IF(ISBLANK($C123),"",$D123)</f>
        <v/>
      </c>
      <c r="DJ123" s="109" t="str">
        <f aca="false">$CX123</f>
        <v/>
      </c>
      <c r="DK123" s="110" t="str">
        <f aca="false">$CW123</f>
        <v/>
      </c>
      <c r="DL123" s="108" t="str">
        <f aca="false">IF(ISBLANK($C123),"",$CZ123)</f>
        <v/>
      </c>
      <c r="DM123" s="111" t="str">
        <f aca="false">IF($DD123&gt;$DC$8,"",VLOOKUP($DD123,$DF$9:$DL$508,7,FALSE()))</f>
        <v/>
      </c>
      <c r="DN123" s="112" t="str">
        <f aca="false">IF($DD123&gt;$DC$8,"",VLOOKUP($DD123,$DF$9:$DL$508,2,FALSE()))</f>
        <v/>
      </c>
      <c r="DO123" s="112" t="str">
        <f aca="false">IF($DD123&gt;$DC$8,"",VLOOKUP($DD123,$DF$9:$DL$508,3,FALSE()))</f>
        <v/>
      </c>
      <c r="DP123" s="112" t="str">
        <f aca="false">IF($DD123&gt;$DC$8,"",VLOOKUP($DD123,$DF$9:$DL$508,4,FALSE()))</f>
        <v/>
      </c>
      <c r="DQ123" s="112" t="str">
        <f aca="false">IF($DD123&gt;$DC$8,"",VLOOKUP($DD123,$DF$9:$DL$508,5,FALSE()))</f>
        <v/>
      </c>
      <c r="DR123" s="113" t="str">
        <f aca="false">IF($DD123&gt;$DC$8,"",VLOOKUP($DD123,$DF$9:$DL$508,6,FALSE()))</f>
        <v/>
      </c>
      <c r="DS123" s="76"/>
    </row>
    <row r="124" customFormat="false" ht="15.75" hidden="false" customHeight="false" outlineLevel="0" collapsed="false">
      <c r="A124" s="9"/>
      <c r="B124" s="78"/>
      <c r="C124" s="79"/>
      <c r="D124" s="170"/>
      <c r="E124" s="178"/>
      <c r="F124" s="172"/>
      <c r="G124" s="173"/>
      <c r="H124" s="173"/>
      <c r="I124" s="179"/>
      <c r="J124" s="176"/>
      <c r="K124" s="86"/>
      <c r="L124" s="87"/>
      <c r="M124" s="88"/>
      <c r="N124" s="176"/>
      <c r="O124" s="176"/>
      <c r="P124" s="178"/>
      <c r="Q124" s="176"/>
      <c r="R124" s="176"/>
      <c r="S124" s="86"/>
      <c r="T124" s="88"/>
      <c r="U124" s="88"/>
      <c r="V124" s="176"/>
      <c r="W124" s="176"/>
      <c r="X124" s="178"/>
      <c r="Y124" s="176"/>
      <c r="Z124" s="177"/>
      <c r="AA124" s="176"/>
      <c r="AB124" s="92"/>
      <c r="AC124" s="93"/>
      <c r="AD124" s="93"/>
      <c r="AE124" s="93"/>
      <c r="AF124" s="93" t="str">
        <f aca="false">IF(ISBLANK($C124),"",IF(E124=Constants!$B$2,TRUE(),IF(E124=Constants!$B$3,FALSE(),TRUE())))</f>
        <v/>
      </c>
      <c r="AG124" s="93" t="str">
        <f aca="false">IF(ISBLANK($C124),"",IF(F124=Constants!$B$2,TRUE(),IF(F124=Constants!$B$3,FALSE(),TRUE())))</f>
        <v/>
      </c>
      <c r="AH124" s="93" t="str">
        <f aca="false">IF(ISBLANK($C124),"",IF(G124=Constants!$B$2,TRUE(),IF(G124=Constants!$B$3,FALSE(),TRUE())))</f>
        <v/>
      </c>
      <c r="AI124" s="93" t="str">
        <f aca="false">IF(ISBLANK($C124),"",IF(AND(ISNUMBER(H124),H124&gt;=0),H124,Constants!$B$24))</f>
        <v/>
      </c>
      <c r="AJ124" s="93" t="str">
        <f aca="false">IF(ISBLANK($C124),"",IF(I124=Constants!$B$2,TRUE(),IF(I124=Constants!$B$3,FALSE(),TRUE())))</f>
        <v/>
      </c>
      <c r="AK124" s="93" t="str">
        <f aca="false">IF(ISBLANK($C124),"",IF(J124=Constants!$B$2,TRUE(),IF(J124=Constants!$B$3,FALSE(),TRUE())))</f>
        <v/>
      </c>
      <c r="AL124" s="93" t="str">
        <f aca="false">IF(ISBLANK($C124),"",IF(K124=Constants!$B$4,TRUE(),IF(K124=Constants!$B$5,FALSE(),COUNTA(L124:P124)&gt;0)))</f>
        <v/>
      </c>
      <c r="AM124" s="95" t="str">
        <f aca="false">IF(ISBLANK($C124),"",IF(ISNUMBER(L124),IF(L124&gt;=0,L124,""),""))</f>
        <v/>
      </c>
      <c r="AN124" s="94" t="str">
        <f aca="false">IF(ISBLANK($C124),"",IF(ISNUMBER(M124),IF(M124&gt;=0,M124,""),""))</f>
        <v/>
      </c>
      <c r="AO124" s="94" t="str">
        <f aca="false">IF(ISBLANK($C124),"",IF(N124=Constants!$B$2,TRUE(),IF(N124=Constants!$B$3,FALSE(),TRUE())))</f>
        <v/>
      </c>
      <c r="AP124" s="93" t="str">
        <f aca="false">IF(ISBLANK($C124),"",IF(ISNUMBER(O124),IF(O124&gt;=0,O124,""),""))</f>
        <v/>
      </c>
      <c r="AQ124" s="93" t="str">
        <f aca="false">IF(ISBLANK($C124),"",IF(P124=Constants!$B$2,TRUE(),IF(P124=Constants!$B$3,FALSE(),FALSE())))</f>
        <v/>
      </c>
      <c r="AR124" s="93" t="str">
        <f aca="false">IF(ISBLANK($C124),"",IF(Q124=Constants!$B$2,TRUE(),IF(Q124=Constants!$B$3,FALSE(),TRUE())))</f>
        <v/>
      </c>
      <c r="AS124" s="93" t="str">
        <f aca="false">IF(ISBLANK($C124),"",IF(R124=Constants!$B$2,TRUE(),IF(R124=Constants!$B$3,FALSE(),TRUE())))</f>
        <v/>
      </c>
      <c r="AT124" s="93" t="str">
        <f aca="false">IF(ISBLANK($C124),"",IF(S124=Constants!$B$4,TRUE(),IF(S124=Constants!$B$5,FALSE(),COUNTA(T124:X124)&gt;0)))</f>
        <v/>
      </c>
      <c r="AU124" s="95" t="str">
        <f aca="false">IF(ISBLANK($C124),"",IF(ISNUMBER(T124),IF(T124&gt;=0,T124,""),""))</f>
        <v/>
      </c>
      <c r="AV124" s="94" t="str">
        <f aca="false">IF(ISBLANK($C124),"",IF(ISNUMBER(U124),IF(U124&gt;=0,U124,""),""))</f>
        <v/>
      </c>
      <c r="AW124" s="94" t="str">
        <f aca="false">IF(ISBLANK($C124),"",IF(V124=Constants!$B$2,TRUE(),IF(V124=Constants!$B$3,FALSE(),TRUE())))</f>
        <v/>
      </c>
      <c r="AX124" s="93" t="str">
        <f aca="false">IF(ISBLANK($C124),"",IF(ISNUMBER(W124),IF(W124&gt;=0,W124,""),""))</f>
        <v/>
      </c>
      <c r="AY124" s="93" t="str">
        <f aca="false">IF(ISBLANK($C124),"",IF(X124=Constants!$B$2,TRUE(),IF(X124=Constants!$B$3,FALSE(),FALSE())))</f>
        <v/>
      </c>
      <c r="AZ124" s="93" t="str">
        <f aca="false">IF(ISBLANK($C124),"",MIN(Constants!$B$25,MAX(0,IF(ISNUMBER(Y124),Y124*60,0)+IF(ISNUMBER(Z124),Z124,0))))</f>
        <v/>
      </c>
      <c r="BA124" s="93" t="str">
        <f aca="false">IF(ISBLANK($C124),"",IF(AA124=Constants!$B$2,TRUE(),IF(AA124=Constants!$B$3,FALSE(),FALSE())))</f>
        <v/>
      </c>
      <c r="BB124" s="92" t="str">
        <f aca="false">IF(ISBLANK($C124),"",AND($AL124,OR($AM124="",$AN124="",AND($AO124,$AP124=""))))</f>
        <v/>
      </c>
      <c r="BC124" s="94" t="str">
        <f aca="false">IF($BX124&lt;&gt;Constants!$B$6,"",IF($AL124,Constants!$B$17*$AN124+Constants!$B$18*IF($AO124,$AP124,Constants!$B$19),Constants!$B$20))</f>
        <v/>
      </c>
      <c r="BD124" s="97" t="str">
        <f aca="false">IF($BX124&lt;&gt;Constants!$B$6,"",Constants!$B$21*ABS($AD$9-IF($AL124,$AM124,0)))</f>
        <v/>
      </c>
      <c r="BE124" s="97" t="str">
        <f aca="false">IF($BX124&lt;&gt;Constants!$B$6,"",IF(AND($AL124,$AQ124,$AO124),Constants!$B$22,0))</f>
        <v/>
      </c>
      <c r="BF124" s="97" t="str">
        <f aca="false">IF($BX124&lt;&gt;Constants!$B$6,"",IF($AL124,($AI124-Constants!$B$24)*Constants!$B$23,0))</f>
        <v/>
      </c>
      <c r="BG124" s="97" t="str">
        <f aca="false">IF($BX124&lt;&gt;Constants!$B$6,"",IF($AK124,0,Constants!$B$12)+IF($AJ124,0,Constants!$B$13)+IF($AH124,0,Constants!$B$14))</f>
        <v/>
      </c>
      <c r="BH124" s="98" t="str">
        <f aca="false">IF($BX124&lt;&gt;Constants!$B$6,"",Constants!$B$16+SUM($BC124:$BG124))</f>
        <v/>
      </c>
      <c r="BI124" s="97" t="str">
        <f aca="false">IF($BX124&lt;&gt;Constants!$B$6,"",$BC124)</f>
        <v/>
      </c>
      <c r="BJ124" s="97" t="str">
        <f aca="false">IF($BX124&lt;&gt;Constants!$B$6,"",$BD124)</f>
        <v/>
      </c>
      <c r="BK124" s="99" t="str">
        <f aca="false">IF($BX124&lt;&gt;Constants!$B$6,"",IF($AL124,$AN124,""))</f>
        <v/>
      </c>
      <c r="BL124" s="93" t="str">
        <f aca="false">IF($BX124&lt;&gt;Constants!$B$6,"",IF(OR($BS124&lt;$BH124,AND($BS124=$BH124,OR($BT124&lt;$BI124,AND($BT124=$BI124,OR($BU124&lt;$BJ124,AND($BU124=$BJ124,AND(ISNUMBER($BV124),OR(NOT(ISNUMBER($BK124)),$BV124&lt;$BK124)))))))),"-&gt;","&lt;-"))</f>
        <v/>
      </c>
      <c r="BM124" s="92" t="str">
        <f aca="false">IF(ISBLANK($C124),"",AND($AT124,OR($AU124="",$AV124="",AND($AW124,$AX124=""))))</f>
        <v/>
      </c>
      <c r="BN124" s="94" t="str">
        <f aca="false">IF($BX124&lt;&gt;Constants!$B$6,"",IF($AT124,Constants!$B$17*$AV124+Constants!$B$18*IF($AW124,$AX124,Constants!$B$19),Constants!$B$20))</f>
        <v/>
      </c>
      <c r="BO124" s="97" t="str">
        <f aca="false">IF($BX124&lt;&gt;Constants!$B$6,"",Constants!$B$21*ABS($AD$9-IF($AT124,$AU124,0)))</f>
        <v/>
      </c>
      <c r="BP124" s="97" t="str">
        <f aca="false">IF($BX124&lt;&gt;Constants!$B$6,"",IF(AND($AT124,$AY124,$AW124),Constants!$B$22,0))</f>
        <v/>
      </c>
      <c r="BQ124" s="97" t="str">
        <f aca="false">IF($BX124&lt;&gt;Constants!$B$6,"",IF($AT124,($AI124-Constants!$B$24)*Constants!$B$23,0))</f>
        <v/>
      </c>
      <c r="BR124" s="97" t="str">
        <f aca="false">IF($BX124&lt;&gt;Constants!$B$6,"",IF($AS124,0,Constants!$B$12)+IF($AR124,0,Constants!$B$13)+IF($AH124,0,Constants!$B$14))</f>
        <v/>
      </c>
      <c r="BS124" s="98" t="str">
        <f aca="false">IF($BX124&lt;&gt;Constants!$B$6,"",Constants!$B$16+SUM($BN124:$BR124))</f>
        <v/>
      </c>
      <c r="BT124" s="97" t="str">
        <f aca="false">IF($BX124&lt;&gt;Constants!$B$6,"",$BN124)</f>
        <v/>
      </c>
      <c r="BU124" s="97" t="str">
        <f aca="false">IF($BX124&lt;&gt;Constants!$B$6,"",$BO124)</f>
        <v/>
      </c>
      <c r="BV124" s="99" t="str">
        <f aca="false">IF($BX124&lt;&gt;Constants!$B$6,"",IF($AT124,$AV124,""))</f>
        <v/>
      </c>
      <c r="BW124" s="93" t="str">
        <f aca="false">IF(ISBLANK($C124),"",IF(ISBLANK($D$7),$BW$5,IF(NOT(ISNUMBER($D$7)),$BW$6,"")))</f>
        <v/>
      </c>
      <c r="BX124" s="93" t="str">
        <f aca="false">IF(ISBLANK($C124),"",IF($BA124,Constants!$B$9,IF(COUNTA($E124:$AA124)=0,Constants!$B$8,IF(NOT($AG124),Constants!$B$7,IF(OR($BW124&lt;&gt;"",$BB124,$BM124),Constants!$B$10,Constants!$B$6)))))</f>
        <v/>
      </c>
      <c r="BY124" s="93" t="str">
        <f aca="false">IF(ISBLANK($C124),"",IF($BX124&lt;&gt;Constants!$B$6,$BX124,Constants!$B$11))</f>
        <v/>
      </c>
      <c r="BZ124" s="97" t="str">
        <f aca="false">IF($BX124&lt;&gt;Constants!$B$6,"",IF($BL124="-&gt;",$BS124,$BH124))</f>
        <v/>
      </c>
      <c r="CA124" s="97" t="str">
        <f aca="false">IF($BX124&lt;&gt;Constants!$B$6,"",IF($AF124,0,Constants!$B$15))</f>
        <v/>
      </c>
      <c r="CB124" s="97" t="str">
        <f aca="false">IF($BX124&lt;&gt;Constants!$B$6,"",((Constants!$B$25-$AZ124)-Constants!$B$25)/Constants!$B$26)</f>
        <v/>
      </c>
      <c r="CC124" s="97" t="str">
        <f aca="false">IF(ISBLANK($C124),"",IF($BX124&lt;&gt;Constants!$B$6,$BX124,SUM($BZ124:$CB124)))</f>
        <v/>
      </c>
      <c r="CD124" s="93" t="str">
        <f aca="false">IF(ISBLANK($C124),"",IF($BX124&lt;&gt;Constants!$B$6,$BX124,RANK($CC124,$CC$9:$CC$508,1)))</f>
        <v/>
      </c>
      <c r="CE124" s="97" t="str">
        <f aca="false">IF($BX124&lt;&gt;Constants!$B$6,"",IF($BL124="-&gt;",$BT124,$BI124))</f>
        <v/>
      </c>
      <c r="CF124" s="93" t="str">
        <f aca="false">IF(ISBLANK($C124),"",IF($BX124&lt;&gt;Constants!$B$6,$BX124,IF(ISNUMBER($CE124),RANK($CE124,$CE$9:$CE$508,1),COUNT($CE$9:$CE$508)+1)))</f>
        <v/>
      </c>
      <c r="CG124" s="97" t="str">
        <f aca="false">IF($BX124&lt;&gt;Constants!$B$6,"",IF($BL124="-&gt;",$BU124,$BJ124))</f>
        <v/>
      </c>
      <c r="CH124" s="93" t="str">
        <f aca="false">IF(ISBLANK($C124),"",IF($BX124&lt;&gt;Constants!$B$6,$BX124,IF(ISNUMBER($CG124),RANK($CG124,$CG$9:$CG$508,1),COUNT($CG$9:$CG$508)+1)))</f>
        <v/>
      </c>
      <c r="CI124" s="97" t="str">
        <f aca="false">IF($BX124&lt;&gt;Constants!$B$6,"",IF($BL124="-&gt;",$BV124,$BK124))</f>
        <v/>
      </c>
      <c r="CJ124" s="93" t="str">
        <f aca="false">IF(ISBLANK($C124),"",IF($BX124&lt;&gt;Constants!$B$6,$BX124,IF(ISNUMBER($CI124),RANK($CI124,$CI$9:$CI$508,1),COUNT($CI$9:$CI$508)+1)))</f>
        <v/>
      </c>
      <c r="CK124" s="97" t="str">
        <f aca="false">IF($BX124&lt;&gt;Constants!$B$6,"",$AI124)</f>
        <v/>
      </c>
      <c r="CL124" s="93" t="str">
        <f aca="false">IF(ISBLANK($C124),"",IF($BX124&lt;&gt;Constants!$B$6,$BX124,IF(ISNUMBER($CK124),RANK($CK124,$CK$9:$CK$508,1),COUNT($CK$9:$CK$508)+1)))</f>
        <v/>
      </c>
      <c r="CM124" s="93" t="str">
        <f aca="false">IF(ISBLANK($C124),"",IF($BX124&lt;&gt;Constants!$B$6,$BX124,COUNTIFS($CD$9:$CD$508,"&lt;"&amp;$CD124)+COUNTIFS($CD$9:$CD$508,$CD124,$CF$9:$CF$508,"&lt;"&amp;$CF124)+COUNTIFS($CD$9:$CD$508,$CD124,$CF$9:$CF$508,$CF124,$CH$9:$CH$508,"&lt;"&amp;$CH124)+COUNTIFS($CD$9:$CD$508,$CD124,$CF$9:$CF$508,$CF124,$CH$9:$CH$508,$CH124,$CJ$9:$CJ$508,"&lt;"&amp;$CJ124)+COUNTIFS($CD$9:$CD$508,$CD124,$CF$9:$CF$508,$CF124,$CH$9:$CH$508,$CH124,$CJ$9:$CJ$508,$CJ124,$CL$9:$CL$508,"&lt;"&amp;$CL124)+1))</f>
        <v/>
      </c>
      <c r="CN124" s="93" t="str">
        <f aca="false">IF(ISBLANK($C124),"",IF($BX124&lt;&gt;Constants!$B$6,$BX124,$CD124-$CM124))</f>
        <v/>
      </c>
      <c r="CO124" s="100"/>
      <c r="CP124" s="101"/>
      <c r="CQ124" s="102" t="str">
        <f aca="false">IF(ISBLANK($C124),"",IF($BX124=Constants!$B$10,$BW124,""))</f>
        <v/>
      </c>
      <c r="CR124" s="101" t="str">
        <f aca="false">IF(ISBLANK($C124),"",IF($BX124&lt;&gt;Constants!$B$6,"",IF($BL124="-&gt;",2,1)))</f>
        <v/>
      </c>
      <c r="CS124" s="103" t="str">
        <f aca="false">IF(ISBLANK($C124),"",IF($BX124&lt;&gt;Constants!$B$6,"",IF($BL124="-&gt;",$BN124,$BC124)))</f>
        <v/>
      </c>
      <c r="CT124" s="103" t="str">
        <f aca="false">IF(ISBLANK($C124),"",IF($BX124&lt;&gt;Constants!$B$6,"",IF($BL124="-&gt;",$BO124,$BD124)))</f>
        <v/>
      </c>
      <c r="CU124" s="103" t="str">
        <f aca="false">IF(ISBLANK($C124),"",IF($BX124&lt;&gt;Constants!$B$6,"",IF($BL124="-&gt;",$BP124+$BQ124,$BE124+$BF124)+$CB124))</f>
        <v/>
      </c>
      <c r="CV124" s="103" t="str">
        <f aca="false">IF(ISBLANK($C124),"",IF($BX124&lt;&gt;Constants!$B$6,"",IF($BL124="-&gt;",$BR124,$BG124)+$CA124))</f>
        <v/>
      </c>
      <c r="CW124" s="104" t="str">
        <f aca="false">IF(ISBLANK($C124),"",IF($BX124&lt;&gt;Constants!$B$6,$BX124,$CC124))</f>
        <v/>
      </c>
      <c r="CX124" s="105" t="str">
        <f aca="false">IF(ISBLANK($C124),"",$BY124)</f>
        <v/>
      </c>
      <c r="CY124" s="106" t="str">
        <f aca="false">IF(ISBLANK($C124),"",$CN124)</f>
        <v/>
      </c>
      <c r="CZ124" s="106" t="str">
        <f aca="false">IF(ISBLANK($C124),"",$CM124)</f>
        <v/>
      </c>
      <c r="DA124" s="107" t="str">
        <f aca="false">IF(ISBLANK($C124),"",IFERROR(_xlfn.SWITCH($CZ124,Constants!$B$9,COUNTA($C$9:$C$508)+2,Constants!$B$8,COUNTA($C$9:$C$508)+1,Constants!$B$7,COUNTA($C$9:$C$508)),$CZ124))</f>
        <v/>
      </c>
      <c r="DB124" s="9"/>
      <c r="DC124" s="108" t="n">
        <f aca="false">IF(OR(ISNUMBER($CZ124),$CZ124=Constants!$B$9,$CZ124=Constants!$B$7,$CZ124=Constants!$B$8),1,0)</f>
        <v>0</v>
      </c>
      <c r="DD124" s="108" t="n">
        <v>116</v>
      </c>
      <c r="DE124" s="108" t="str">
        <f aca="false">IF(ISBLANK($C124),"",IF(ISNUMBER($DA124),$DA124+ROW($B124)/1000,""))</f>
        <v/>
      </c>
      <c r="DF124" s="108" t="str">
        <f aca="false">IF(ISNUMBER($DE124),RANK($DE124,$DE$9:$DE$508,1),"")</f>
        <v/>
      </c>
      <c r="DG124" s="108" t="str">
        <f aca="false">IF(ISBLANK($C124),"",$B124)</f>
        <v/>
      </c>
      <c r="DH124" s="108" t="str">
        <f aca="false">IF(ISBLANK($C124),"",$C124)</f>
        <v/>
      </c>
      <c r="DI124" s="108" t="str">
        <f aca="false">IF(ISBLANK($C124),"",$D124)</f>
        <v/>
      </c>
      <c r="DJ124" s="109" t="str">
        <f aca="false">$CX124</f>
        <v/>
      </c>
      <c r="DK124" s="110" t="str">
        <f aca="false">$CW124</f>
        <v/>
      </c>
      <c r="DL124" s="108" t="str">
        <f aca="false">IF(ISBLANK($C124),"",$CZ124)</f>
        <v/>
      </c>
      <c r="DM124" s="111" t="str">
        <f aca="false">IF($DD124&gt;$DC$8,"",VLOOKUP($DD124,$DF$9:$DL$508,7,FALSE()))</f>
        <v/>
      </c>
      <c r="DN124" s="112" t="str">
        <f aca="false">IF($DD124&gt;$DC$8,"",VLOOKUP($DD124,$DF$9:$DL$508,2,FALSE()))</f>
        <v/>
      </c>
      <c r="DO124" s="112" t="str">
        <f aca="false">IF($DD124&gt;$DC$8,"",VLOOKUP($DD124,$DF$9:$DL$508,3,FALSE()))</f>
        <v/>
      </c>
      <c r="DP124" s="112" t="str">
        <f aca="false">IF($DD124&gt;$DC$8,"",VLOOKUP($DD124,$DF$9:$DL$508,4,FALSE()))</f>
        <v/>
      </c>
      <c r="DQ124" s="112" t="str">
        <f aca="false">IF($DD124&gt;$DC$8,"",VLOOKUP($DD124,$DF$9:$DL$508,5,FALSE()))</f>
        <v/>
      </c>
      <c r="DR124" s="113" t="str">
        <f aca="false">IF($DD124&gt;$DC$8,"",VLOOKUP($DD124,$DF$9:$DL$508,6,FALSE()))</f>
        <v/>
      </c>
      <c r="DS124" s="76"/>
    </row>
    <row r="125" customFormat="false" ht="15.75" hidden="false" customHeight="false" outlineLevel="0" collapsed="false">
      <c r="A125" s="9"/>
      <c r="B125" s="78"/>
      <c r="C125" s="79"/>
      <c r="D125" s="170"/>
      <c r="E125" s="178"/>
      <c r="F125" s="172"/>
      <c r="G125" s="173"/>
      <c r="H125" s="173"/>
      <c r="I125" s="179"/>
      <c r="J125" s="176"/>
      <c r="K125" s="86"/>
      <c r="L125" s="87"/>
      <c r="M125" s="88"/>
      <c r="N125" s="176"/>
      <c r="O125" s="176"/>
      <c r="P125" s="178"/>
      <c r="Q125" s="176"/>
      <c r="R125" s="176"/>
      <c r="S125" s="86"/>
      <c r="T125" s="88"/>
      <c r="U125" s="88"/>
      <c r="V125" s="176"/>
      <c r="W125" s="176"/>
      <c r="X125" s="178"/>
      <c r="Y125" s="176"/>
      <c r="Z125" s="177"/>
      <c r="AA125" s="176"/>
      <c r="AB125" s="92"/>
      <c r="AC125" s="93"/>
      <c r="AD125" s="93"/>
      <c r="AE125" s="93"/>
      <c r="AF125" s="93" t="str">
        <f aca="false">IF(ISBLANK($C125),"",IF(E125=Constants!$B$2,TRUE(),IF(E125=Constants!$B$3,FALSE(),TRUE())))</f>
        <v/>
      </c>
      <c r="AG125" s="93" t="str">
        <f aca="false">IF(ISBLANK($C125),"",IF(F125=Constants!$B$2,TRUE(),IF(F125=Constants!$B$3,FALSE(),TRUE())))</f>
        <v/>
      </c>
      <c r="AH125" s="93" t="str">
        <f aca="false">IF(ISBLANK($C125),"",IF(G125=Constants!$B$2,TRUE(),IF(G125=Constants!$B$3,FALSE(),TRUE())))</f>
        <v/>
      </c>
      <c r="AI125" s="93" t="str">
        <f aca="false">IF(ISBLANK($C125),"",IF(AND(ISNUMBER(H125),H125&gt;=0),H125,Constants!$B$24))</f>
        <v/>
      </c>
      <c r="AJ125" s="93" t="str">
        <f aca="false">IF(ISBLANK($C125),"",IF(I125=Constants!$B$2,TRUE(),IF(I125=Constants!$B$3,FALSE(),TRUE())))</f>
        <v/>
      </c>
      <c r="AK125" s="93" t="str">
        <f aca="false">IF(ISBLANK($C125),"",IF(J125=Constants!$B$2,TRUE(),IF(J125=Constants!$B$3,FALSE(),TRUE())))</f>
        <v/>
      </c>
      <c r="AL125" s="93" t="str">
        <f aca="false">IF(ISBLANK($C125),"",IF(K125=Constants!$B$4,TRUE(),IF(K125=Constants!$B$5,FALSE(),COUNTA(L125:P125)&gt;0)))</f>
        <v/>
      </c>
      <c r="AM125" s="95" t="str">
        <f aca="false">IF(ISBLANK($C125),"",IF(ISNUMBER(L125),IF(L125&gt;=0,L125,""),""))</f>
        <v/>
      </c>
      <c r="AN125" s="94" t="str">
        <f aca="false">IF(ISBLANK($C125),"",IF(ISNUMBER(M125),IF(M125&gt;=0,M125,""),""))</f>
        <v/>
      </c>
      <c r="AO125" s="94" t="str">
        <f aca="false">IF(ISBLANK($C125),"",IF(N125=Constants!$B$2,TRUE(),IF(N125=Constants!$B$3,FALSE(),TRUE())))</f>
        <v/>
      </c>
      <c r="AP125" s="93" t="str">
        <f aca="false">IF(ISBLANK($C125),"",IF(ISNUMBER(O125),IF(O125&gt;=0,O125,""),""))</f>
        <v/>
      </c>
      <c r="AQ125" s="93" t="str">
        <f aca="false">IF(ISBLANK($C125),"",IF(P125=Constants!$B$2,TRUE(),IF(P125=Constants!$B$3,FALSE(),FALSE())))</f>
        <v/>
      </c>
      <c r="AR125" s="93" t="str">
        <f aca="false">IF(ISBLANK($C125),"",IF(Q125=Constants!$B$2,TRUE(),IF(Q125=Constants!$B$3,FALSE(),TRUE())))</f>
        <v/>
      </c>
      <c r="AS125" s="93" t="str">
        <f aca="false">IF(ISBLANK($C125),"",IF(R125=Constants!$B$2,TRUE(),IF(R125=Constants!$B$3,FALSE(),TRUE())))</f>
        <v/>
      </c>
      <c r="AT125" s="93" t="str">
        <f aca="false">IF(ISBLANK($C125),"",IF(S125=Constants!$B$4,TRUE(),IF(S125=Constants!$B$5,FALSE(),COUNTA(T125:X125)&gt;0)))</f>
        <v/>
      </c>
      <c r="AU125" s="95" t="str">
        <f aca="false">IF(ISBLANK($C125),"",IF(ISNUMBER(T125),IF(T125&gt;=0,T125,""),""))</f>
        <v/>
      </c>
      <c r="AV125" s="94" t="str">
        <f aca="false">IF(ISBLANK($C125),"",IF(ISNUMBER(U125),IF(U125&gt;=0,U125,""),""))</f>
        <v/>
      </c>
      <c r="AW125" s="94" t="str">
        <f aca="false">IF(ISBLANK($C125),"",IF(V125=Constants!$B$2,TRUE(),IF(V125=Constants!$B$3,FALSE(),TRUE())))</f>
        <v/>
      </c>
      <c r="AX125" s="93" t="str">
        <f aca="false">IF(ISBLANK($C125),"",IF(ISNUMBER(W125),IF(W125&gt;=0,W125,""),""))</f>
        <v/>
      </c>
      <c r="AY125" s="93" t="str">
        <f aca="false">IF(ISBLANK($C125),"",IF(X125=Constants!$B$2,TRUE(),IF(X125=Constants!$B$3,FALSE(),FALSE())))</f>
        <v/>
      </c>
      <c r="AZ125" s="93" t="str">
        <f aca="false">IF(ISBLANK($C125),"",MIN(Constants!$B$25,MAX(0,IF(ISNUMBER(Y125),Y125*60,0)+IF(ISNUMBER(Z125),Z125,0))))</f>
        <v/>
      </c>
      <c r="BA125" s="93" t="str">
        <f aca="false">IF(ISBLANK($C125),"",IF(AA125=Constants!$B$2,TRUE(),IF(AA125=Constants!$B$3,FALSE(),FALSE())))</f>
        <v/>
      </c>
      <c r="BB125" s="92" t="str">
        <f aca="false">IF(ISBLANK($C125),"",AND($AL125,OR($AM125="",$AN125="",AND($AO125,$AP125=""))))</f>
        <v/>
      </c>
      <c r="BC125" s="94" t="str">
        <f aca="false">IF($BX125&lt;&gt;Constants!$B$6,"",IF($AL125,Constants!$B$17*$AN125+Constants!$B$18*IF($AO125,$AP125,Constants!$B$19),Constants!$B$20))</f>
        <v/>
      </c>
      <c r="BD125" s="97" t="str">
        <f aca="false">IF($BX125&lt;&gt;Constants!$B$6,"",Constants!$B$21*ABS($AD$9-IF($AL125,$AM125,0)))</f>
        <v/>
      </c>
      <c r="BE125" s="97" t="str">
        <f aca="false">IF($BX125&lt;&gt;Constants!$B$6,"",IF(AND($AL125,$AQ125,$AO125),Constants!$B$22,0))</f>
        <v/>
      </c>
      <c r="BF125" s="97" t="str">
        <f aca="false">IF($BX125&lt;&gt;Constants!$B$6,"",IF($AL125,($AI125-Constants!$B$24)*Constants!$B$23,0))</f>
        <v/>
      </c>
      <c r="BG125" s="97" t="str">
        <f aca="false">IF($BX125&lt;&gt;Constants!$B$6,"",IF($AK125,0,Constants!$B$12)+IF($AJ125,0,Constants!$B$13)+IF($AH125,0,Constants!$B$14))</f>
        <v/>
      </c>
      <c r="BH125" s="98" t="str">
        <f aca="false">IF($BX125&lt;&gt;Constants!$B$6,"",Constants!$B$16+SUM($BC125:$BG125))</f>
        <v/>
      </c>
      <c r="BI125" s="97" t="str">
        <f aca="false">IF($BX125&lt;&gt;Constants!$B$6,"",$BC125)</f>
        <v/>
      </c>
      <c r="BJ125" s="97" t="str">
        <f aca="false">IF($BX125&lt;&gt;Constants!$B$6,"",$BD125)</f>
        <v/>
      </c>
      <c r="BK125" s="99" t="str">
        <f aca="false">IF($BX125&lt;&gt;Constants!$B$6,"",IF($AL125,$AN125,""))</f>
        <v/>
      </c>
      <c r="BL125" s="93" t="str">
        <f aca="false">IF($BX125&lt;&gt;Constants!$B$6,"",IF(OR($BS125&lt;$BH125,AND($BS125=$BH125,OR($BT125&lt;$BI125,AND($BT125=$BI125,OR($BU125&lt;$BJ125,AND($BU125=$BJ125,AND(ISNUMBER($BV125),OR(NOT(ISNUMBER($BK125)),$BV125&lt;$BK125)))))))),"-&gt;","&lt;-"))</f>
        <v/>
      </c>
      <c r="BM125" s="92" t="str">
        <f aca="false">IF(ISBLANK($C125),"",AND($AT125,OR($AU125="",$AV125="",AND($AW125,$AX125=""))))</f>
        <v/>
      </c>
      <c r="BN125" s="94" t="str">
        <f aca="false">IF($BX125&lt;&gt;Constants!$B$6,"",IF($AT125,Constants!$B$17*$AV125+Constants!$B$18*IF($AW125,$AX125,Constants!$B$19),Constants!$B$20))</f>
        <v/>
      </c>
      <c r="BO125" s="97" t="str">
        <f aca="false">IF($BX125&lt;&gt;Constants!$B$6,"",Constants!$B$21*ABS($AD$9-IF($AT125,$AU125,0)))</f>
        <v/>
      </c>
      <c r="BP125" s="97" t="str">
        <f aca="false">IF($BX125&lt;&gt;Constants!$B$6,"",IF(AND($AT125,$AY125,$AW125),Constants!$B$22,0))</f>
        <v/>
      </c>
      <c r="BQ125" s="97" t="str">
        <f aca="false">IF($BX125&lt;&gt;Constants!$B$6,"",IF($AT125,($AI125-Constants!$B$24)*Constants!$B$23,0))</f>
        <v/>
      </c>
      <c r="BR125" s="97" t="str">
        <f aca="false">IF($BX125&lt;&gt;Constants!$B$6,"",IF($AS125,0,Constants!$B$12)+IF($AR125,0,Constants!$B$13)+IF($AH125,0,Constants!$B$14))</f>
        <v/>
      </c>
      <c r="BS125" s="98" t="str">
        <f aca="false">IF($BX125&lt;&gt;Constants!$B$6,"",Constants!$B$16+SUM($BN125:$BR125))</f>
        <v/>
      </c>
      <c r="BT125" s="97" t="str">
        <f aca="false">IF($BX125&lt;&gt;Constants!$B$6,"",$BN125)</f>
        <v/>
      </c>
      <c r="BU125" s="97" t="str">
        <f aca="false">IF($BX125&lt;&gt;Constants!$B$6,"",$BO125)</f>
        <v/>
      </c>
      <c r="BV125" s="99" t="str">
        <f aca="false">IF($BX125&lt;&gt;Constants!$B$6,"",IF($AT125,$AV125,""))</f>
        <v/>
      </c>
      <c r="BW125" s="93" t="str">
        <f aca="false">IF(ISBLANK($C125),"",IF(ISBLANK($D$7),$BW$5,IF(NOT(ISNUMBER($D$7)),$BW$6,"")))</f>
        <v/>
      </c>
      <c r="BX125" s="93" t="str">
        <f aca="false">IF(ISBLANK($C125),"",IF($BA125,Constants!$B$9,IF(COUNTA($E125:$AA125)=0,Constants!$B$8,IF(NOT($AG125),Constants!$B$7,IF(OR($BW125&lt;&gt;"",$BB125,$BM125),Constants!$B$10,Constants!$B$6)))))</f>
        <v/>
      </c>
      <c r="BY125" s="93" t="str">
        <f aca="false">IF(ISBLANK($C125),"",IF($BX125&lt;&gt;Constants!$B$6,$BX125,Constants!$B$11))</f>
        <v/>
      </c>
      <c r="BZ125" s="97" t="str">
        <f aca="false">IF($BX125&lt;&gt;Constants!$B$6,"",IF($BL125="-&gt;",$BS125,$BH125))</f>
        <v/>
      </c>
      <c r="CA125" s="97" t="str">
        <f aca="false">IF($BX125&lt;&gt;Constants!$B$6,"",IF($AF125,0,Constants!$B$15))</f>
        <v/>
      </c>
      <c r="CB125" s="97" t="str">
        <f aca="false">IF($BX125&lt;&gt;Constants!$B$6,"",((Constants!$B$25-$AZ125)-Constants!$B$25)/Constants!$B$26)</f>
        <v/>
      </c>
      <c r="CC125" s="97" t="str">
        <f aca="false">IF(ISBLANK($C125),"",IF($BX125&lt;&gt;Constants!$B$6,$BX125,SUM($BZ125:$CB125)))</f>
        <v/>
      </c>
      <c r="CD125" s="93" t="str">
        <f aca="false">IF(ISBLANK($C125),"",IF($BX125&lt;&gt;Constants!$B$6,$BX125,RANK($CC125,$CC$9:$CC$508,1)))</f>
        <v/>
      </c>
      <c r="CE125" s="97" t="str">
        <f aca="false">IF($BX125&lt;&gt;Constants!$B$6,"",IF($BL125="-&gt;",$BT125,$BI125))</f>
        <v/>
      </c>
      <c r="CF125" s="93" t="str">
        <f aca="false">IF(ISBLANK($C125),"",IF($BX125&lt;&gt;Constants!$B$6,$BX125,IF(ISNUMBER($CE125),RANK($CE125,$CE$9:$CE$508,1),COUNT($CE$9:$CE$508)+1)))</f>
        <v/>
      </c>
      <c r="CG125" s="97" t="str">
        <f aca="false">IF($BX125&lt;&gt;Constants!$B$6,"",IF($BL125="-&gt;",$BU125,$BJ125))</f>
        <v/>
      </c>
      <c r="CH125" s="93" t="str">
        <f aca="false">IF(ISBLANK($C125),"",IF($BX125&lt;&gt;Constants!$B$6,$BX125,IF(ISNUMBER($CG125),RANK($CG125,$CG$9:$CG$508,1),COUNT($CG$9:$CG$508)+1)))</f>
        <v/>
      </c>
      <c r="CI125" s="97" t="str">
        <f aca="false">IF($BX125&lt;&gt;Constants!$B$6,"",IF($BL125="-&gt;",$BV125,$BK125))</f>
        <v/>
      </c>
      <c r="CJ125" s="93" t="str">
        <f aca="false">IF(ISBLANK($C125),"",IF($BX125&lt;&gt;Constants!$B$6,$BX125,IF(ISNUMBER($CI125),RANK($CI125,$CI$9:$CI$508,1),COUNT($CI$9:$CI$508)+1)))</f>
        <v/>
      </c>
      <c r="CK125" s="97" t="str">
        <f aca="false">IF($BX125&lt;&gt;Constants!$B$6,"",$AI125)</f>
        <v/>
      </c>
      <c r="CL125" s="93" t="str">
        <f aca="false">IF(ISBLANK($C125),"",IF($BX125&lt;&gt;Constants!$B$6,$BX125,IF(ISNUMBER($CK125),RANK($CK125,$CK$9:$CK$508,1),COUNT($CK$9:$CK$508)+1)))</f>
        <v/>
      </c>
      <c r="CM125" s="93" t="str">
        <f aca="false">IF(ISBLANK($C125),"",IF($BX125&lt;&gt;Constants!$B$6,$BX125,COUNTIFS($CD$9:$CD$508,"&lt;"&amp;$CD125)+COUNTIFS($CD$9:$CD$508,$CD125,$CF$9:$CF$508,"&lt;"&amp;$CF125)+COUNTIFS($CD$9:$CD$508,$CD125,$CF$9:$CF$508,$CF125,$CH$9:$CH$508,"&lt;"&amp;$CH125)+COUNTIFS($CD$9:$CD$508,$CD125,$CF$9:$CF$508,$CF125,$CH$9:$CH$508,$CH125,$CJ$9:$CJ$508,"&lt;"&amp;$CJ125)+COUNTIFS($CD$9:$CD$508,$CD125,$CF$9:$CF$508,$CF125,$CH$9:$CH$508,$CH125,$CJ$9:$CJ$508,$CJ125,$CL$9:$CL$508,"&lt;"&amp;$CL125)+1))</f>
        <v/>
      </c>
      <c r="CN125" s="93" t="str">
        <f aca="false">IF(ISBLANK($C125),"",IF($BX125&lt;&gt;Constants!$B$6,$BX125,$CD125-$CM125))</f>
        <v/>
      </c>
      <c r="CO125" s="100"/>
      <c r="CP125" s="101"/>
      <c r="CQ125" s="102" t="str">
        <f aca="false">IF(ISBLANK($C125),"",IF($BX125=Constants!$B$10,$BW125,""))</f>
        <v/>
      </c>
      <c r="CR125" s="101" t="str">
        <f aca="false">IF(ISBLANK($C125),"",IF($BX125&lt;&gt;Constants!$B$6,"",IF($BL125="-&gt;",2,1)))</f>
        <v/>
      </c>
      <c r="CS125" s="103" t="str">
        <f aca="false">IF(ISBLANK($C125),"",IF($BX125&lt;&gt;Constants!$B$6,"",IF($BL125="-&gt;",$BN125,$BC125)))</f>
        <v/>
      </c>
      <c r="CT125" s="103" t="str">
        <f aca="false">IF(ISBLANK($C125),"",IF($BX125&lt;&gt;Constants!$B$6,"",IF($BL125="-&gt;",$BO125,$BD125)))</f>
        <v/>
      </c>
      <c r="CU125" s="103" t="str">
        <f aca="false">IF(ISBLANK($C125),"",IF($BX125&lt;&gt;Constants!$B$6,"",IF($BL125="-&gt;",$BP125+$BQ125,$BE125+$BF125)+$CB125))</f>
        <v/>
      </c>
      <c r="CV125" s="103" t="str">
        <f aca="false">IF(ISBLANK($C125),"",IF($BX125&lt;&gt;Constants!$B$6,"",IF($BL125="-&gt;",$BR125,$BG125)+$CA125))</f>
        <v/>
      </c>
      <c r="CW125" s="104" t="str">
        <f aca="false">IF(ISBLANK($C125),"",IF($BX125&lt;&gt;Constants!$B$6,$BX125,$CC125))</f>
        <v/>
      </c>
      <c r="CX125" s="105" t="str">
        <f aca="false">IF(ISBLANK($C125),"",$BY125)</f>
        <v/>
      </c>
      <c r="CY125" s="106" t="str">
        <f aca="false">IF(ISBLANK($C125),"",$CN125)</f>
        <v/>
      </c>
      <c r="CZ125" s="106" t="str">
        <f aca="false">IF(ISBLANK($C125),"",$CM125)</f>
        <v/>
      </c>
      <c r="DA125" s="107" t="str">
        <f aca="false">IF(ISBLANK($C125),"",IFERROR(_xlfn.SWITCH($CZ125,Constants!$B$9,COUNTA($C$9:$C$508)+2,Constants!$B$8,COUNTA($C$9:$C$508)+1,Constants!$B$7,COUNTA($C$9:$C$508)),$CZ125))</f>
        <v/>
      </c>
      <c r="DB125" s="9"/>
      <c r="DC125" s="108" t="n">
        <f aca="false">IF(OR(ISNUMBER($CZ125),$CZ125=Constants!$B$9,$CZ125=Constants!$B$7,$CZ125=Constants!$B$8),1,0)</f>
        <v>0</v>
      </c>
      <c r="DD125" s="108" t="n">
        <v>117</v>
      </c>
      <c r="DE125" s="108" t="str">
        <f aca="false">IF(ISBLANK($C125),"",IF(ISNUMBER($DA125),$DA125+ROW($B125)/1000,""))</f>
        <v/>
      </c>
      <c r="DF125" s="108" t="str">
        <f aca="false">IF(ISNUMBER($DE125),RANK($DE125,$DE$9:$DE$508,1),"")</f>
        <v/>
      </c>
      <c r="DG125" s="108" t="str">
        <f aca="false">IF(ISBLANK($C125),"",$B125)</f>
        <v/>
      </c>
      <c r="DH125" s="108" t="str">
        <f aca="false">IF(ISBLANK($C125),"",$C125)</f>
        <v/>
      </c>
      <c r="DI125" s="108" t="str">
        <f aca="false">IF(ISBLANK($C125),"",$D125)</f>
        <v/>
      </c>
      <c r="DJ125" s="109" t="str">
        <f aca="false">$CX125</f>
        <v/>
      </c>
      <c r="DK125" s="110" t="str">
        <f aca="false">$CW125</f>
        <v/>
      </c>
      <c r="DL125" s="108" t="str">
        <f aca="false">IF(ISBLANK($C125),"",$CZ125)</f>
        <v/>
      </c>
      <c r="DM125" s="111" t="str">
        <f aca="false">IF($DD125&gt;$DC$8,"",VLOOKUP($DD125,$DF$9:$DL$508,7,FALSE()))</f>
        <v/>
      </c>
      <c r="DN125" s="112" t="str">
        <f aca="false">IF($DD125&gt;$DC$8,"",VLOOKUP($DD125,$DF$9:$DL$508,2,FALSE()))</f>
        <v/>
      </c>
      <c r="DO125" s="112" t="str">
        <f aca="false">IF($DD125&gt;$DC$8,"",VLOOKUP($DD125,$DF$9:$DL$508,3,FALSE()))</f>
        <v/>
      </c>
      <c r="DP125" s="112" t="str">
        <f aca="false">IF($DD125&gt;$DC$8,"",VLOOKUP($DD125,$DF$9:$DL$508,4,FALSE()))</f>
        <v/>
      </c>
      <c r="DQ125" s="112" t="str">
        <f aca="false">IF($DD125&gt;$DC$8,"",VLOOKUP($DD125,$DF$9:$DL$508,5,FALSE()))</f>
        <v/>
      </c>
      <c r="DR125" s="113" t="str">
        <f aca="false">IF($DD125&gt;$DC$8,"",VLOOKUP($DD125,$DF$9:$DL$508,6,FALSE()))</f>
        <v/>
      </c>
      <c r="DS125" s="76"/>
    </row>
    <row r="126" customFormat="false" ht="15.75" hidden="false" customHeight="false" outlineLevel="0" collapsed="false">
      <c r="A126" s="9"/>
      <c r="B126" s="160"/>
      <c r="C126" s="161"/>
      <c r="D126" s="162"/>
      <c r="E126" s="180"/>
      <c r="F126" s="164"/>
      <c r="G126" s="165"/>
      <c r="H126" s="165"/>
      <c r="I126" s="181"/>
      <c r="J126" s="168"/>
      <c r="K126" s="128"/>
      <c r="L126" s="129"/>
      <c r="M126" s="130"/>
      <c r="N126" s="168"/>
      <c r="O126" s="168"/>
      <c r="P126" s="180"/>
      <c r="Q126" s="168"/>
      <c r="R126" s="168"/>
      <c r="S126" s="128"/>
      <c r="T126" s="130"/>
      <c r="U126" s="130"/>
      <c r="V126" s="168"/>
      <c r="W126" s="168"/>
      <c r="X126" s="180"/>
      <c r="Y126" s="168"/>
      <c r="Z126" s="169"/>
      <c r="AA126" s="168"/>
      <c r="AB126" s="134"/>
      <c r="AC126" s="135"/>
      <c r="AD126" s="135"/>
      <c r="AE126" s="135"/>
      <c r="AF126" s="135" t="str">
        <f aca="false">IF(ISBLANK($C126),"",IF(E126=Constants!$B$2,TRUE(),IF(E126=Constants!$B$3,FALSE(),TRUE())))</f>
        <v/>
      </c>
      <c r="AG126" s="135" t="str">
        <f aca="false">IF(ISBLANK($C126),"",IF(F126=Constants!$B$2,TRUE(),IF(F126=Constants!$B$3,FALSE(),TRUE())))</f>
        <v/>
      </c>
      <c r="AH126" s="135" t="str">
        <f aca="false">IF(ISBLANK($C126),"",IF(G126=Constants!$B$2,TRUE(),IF(G126=Constants!$B$3,FALSE(),TRUE())))</f>
        <v/>
      </c>
      <c r="AI126" s="135" t="str">
        <f aca="false">IF(ISBLANK($C126),"",IF(AND(ISNUMBER(H126),H126&gt;=0),H126,Constants!$B$24))</f>
        <v/>
      </c>
      <c r="AJ126" s="135" t="str">
        <f aca="false">IF(ISBLANK($C126),"",IF(I126=Constants!$B$2,TRUE(),IF(I126=Constants!$B$3,FALSE(),TRUE())))</f>
        <v/>
      </c>
      <c r="AK126" s="135" t="str">
        <f aca="false">IF(ISBLANK($C126),"",IF(J126=Constants!$B$2,TRUE(),IF(J126=Constants!$B$3,FALSE(),TRUE())))</f>
        <v/>
      </c>
      <c r="AL126" s="135" t="str">
        <f aca="false">IF(ISBLANK($C126),"",IF(K126=Constants!$B$4,TRUE(),IF(K126=Constants!$B$5,FALSE(),COUNTA(L126:P126)&gt;0)))</f>
        <v/>
      </c>
      <c r="AM126" s="136" t="str">
        <f aca="false">IF(ISBLANK($C126),"",IF(ISNUMBER(L126),IF(L126&gt;=0,L126,""),""))</f>
        <v/>
      </c>
      <c r="AN126" s="137" t="str">
        <f aca="false">IF(ISBLANK($C126),"",IF(ISNUMBER(M126),IF(M126&gt;=0,M126,""),""))</f>
        <v/>
      </c>
      <c r="AO126" s="137" t="str">
        <f aca="false">IF(ISBLANK($C126),"",IF(N126=Constants!$B$2,TRUE(),IF(N126=Constants!$B$3,FALSE(),TRUE())))</f>
        <v/>
      </c>
      <c r="AP126" s="135" t="str">
        <f aca="false">IF(ISBLANK($C126),"",IF(ISNUMBER(O126),IF(O126&gt;=0,O126,""),""))</f>
        <v/>
      </c>
      <c r="AQ126" s="135" t="str">
        <f aca="false">IF(ISBLANK($C126),"",IF(P126=Constants!$B$2,TRUE(),IF(P126=Constants!$B$3,FALSE(),FALSE())))</f>
        <v/>
      </c>
      <c r="AR126" s="135" t="str">
        <f aca="false">IF(ISBLANK($C126),"",IF(Q126=Constants!$B$2,TRUE(),IF(Q126=Constants!$B$3,FALSE(),TRUE())))</f>
        <v/>
      </c>
      <c r="AS126" s="135" t="str">
        <f aca="false">IF(ISBLANK($C126),"",IF(R126=Constants!$B$2,TRUE(),IF(R126=Constants!$B$3,FALSE(),TRUE())))</f>
        <v/>
      </c>
      <c r="AT126" s="135" t="str">
        <f aca="false">IF(ISBLANK($C126),"",IF(S126=Constants!$B$4,TRUE(),IF(S126=Constants!$B$5,FALSE(),COUNTA(T126:X126)&gt;0)))</f>
        <v/>
      </c>
      <c r="AU126" s="136" t="str">
        <f aca="false">IF(ISBLANK($C126),"",IF(ISNUMBER(T126),IF(T126&gt;=0,T126,""),""))</f>
        <v/>
      </c>
      <c r="AV126" s="137" t="str">
        <f aca="false">IF(ISBLANK($C126),"",IF(ISNUMBER(U126),IF(U126&gt;=0,U126,""),""))</f>
        <v/>
      </c>
      <c r="AW126" s="137" t="str">
        <f aca="false">IF(ISBLANK($C126),"",IF(V126=Constants!$B$2,TRUE(),IF(V126=Constants!$B$3,FALSE(),TRUE())))</f>
        <v/>
      </c>
      <c r="AX126" s="135" t="str">
        <f aca="false">IF(ISBLANK($C126),"",IF(ISNUMBER(W126),IF(W126&gt;=0,W126,""),""))</f>
        <v/>
      </c>
      <c r="AY126" s="135" t="str">
        <f aca="false">IF(ISBLANK($C126),"",IF(X126=Constants!$B$2,TRUE(),IF(X126=Constants!$B$3,FALSE(),FALSE())))</f>
        <v/>
      </c>
      <c r="AZ126" s="135" t="str">
        <f aca="false">IF(ISBLANK($C126),"",MIN(Constants!$B$25,MAX(0,IF(ISNUMBER(Y126),Y126*60,0)+IF(ISNUMBER(Z126),Z126,0))))</f>
        <v/>
      </c>
      <c r="BA126" s="135" t="str">
        <f aca="false">IF(ISBLANK($C126),"",IF(AA126=Constants!$B$2,TRUE(),IF(AA126=Constants!$B$3,FALSE(),FALSE())))</f>
        <v/>
      </c>
      <c r="BB126" s="134" t="str">
        <f aca="false">IF(ISBLANK($C126),"",AND($AL126,OR($AM126="",$AN126="",AND($AO126,$AP126=""))))</f>
        <v/>
      </c>
      <c r="BC126" s="137" t="str">
        <f aca="false">IF($BX126&lt;&gt;Constants!$B$6,"",IF($AL126,Constants!$B$17*$AN126+Constants!$B$18*IF($AO126,$AP126,Constants!$B$19),Constants!$B$20))</f>
        <v/>
      </c>
      <c r="BD126" s="138" t="str">
        <f aca="false">IF($BX126&lt;&gt;Constants!$B$6,"",Constants!$B$21*ABS($AD$9-IF($AL126,$AM126,0)))</f>
        <v/>
      </c>
      <c r="BE126" s="138" t="str">
        <f aca="false">IF($BX126&lt;&gt;Constants!$B$6,"",IF(AND($AL126,$AQ126,$AO126),Constants!$B$22,0))</f>
        <v/>
      </c>
      <c r="BF126" s="138" t="str">
        <f aca="false">IF($BX126&lt;&gt;Constants!$B$6,"",IF($AL126,($AI126-Constants!$B$24)*Constants!$B$23,0))</f>
        <v/>
      </c>
      <c r="BG126" s="138" t="str">
        <f aca="false">IF($BX126&lt;&gt;Constants!$B$6,"",IF($AK126,0,Constants!$B$12)+IF($AJ126,0,Constants!$B$13)+IF($AH126,0,Constants!$B$14))</f>
        <v/>
      </c>
      <c r="BH126" s="139" t="str">
        <f aca="false">IF($BX126&lt;&gt;Constants!$B$6,"",Constants!$B$16+SUM($BC126:$BG126))</f>
        <v/>
      </c>
      <c r="BI126" s="138" t="str">
        <f aca="false">IF($BX126&lt;&gt;Constants!$B$6,"",$BC126)</f>
        <v/>
      </c>
      <c r="BJ126" s="138" t="str">
        <f aca="false">IF($BX126&lt;&gt;Constants!$B$6,"",$BD126)</f>
        <v/>
      </c>
      <c r="BK126" s="140" t="str">
        <f aca="false">IF($BX126&lt;&gt;Constants!$B$6,"",IF($AL126,$AN126,""))</f>
        <v/>
      </c>
      <c r="BL126" s="135" t="str">
        <f aca="false">IF($BX126&lt;&gt;Constants!$B$6,"",IF(OR($BS126&lt;$BH126,AND($BS126=$BH126,OR($BT126&lt;$BI126,AND($BT126=$BI126,OR($BU126&lt;$BJ126,AND($BU126=$BJ126,AND(ISNUMBER($BV126),OR(NOT(ISNUMBER($BK126)),$BV126&lt;$BK126)))))))),"-&gt;","&lt;-"))</f>
        <v/>
      </c>
      <c r="BM126" s="134" t="str">
        <f aca="false">IF(ISBLANK($C126),"",AND($AT126,OR($AU126="",$AV126="",AND($AW126,$AX126=""))))</f>
        <v/>
      </c>
      <c r="BN126" s="137" t="str">
        <f aca="false">IF($BX126&lt;&gt;Constants!$B$6,"",IF($AT126,Constants!$B$17*$AV126+Constants!$B$18*IF($AW126,$AX126,Constants!$B$19),Constants!$B$20))</f>
        <v/>
      </c>
      <c r="BO126" s="138" t="str">
        <f aca="false">IF($BX126&lt;&gt;Constants!$B$6,"",Constants!$B$21*ABS($AD$9-IF($AT126,$AU126,0)))</f>
        <v/>
      </c>
      <c r="BP126" s="138" t="str">
        <f aca="false">IF($BX126&lt;&gt;Constants!$B$6,"",IF(AND($AT126,$AY126,$AW126),Constants!$B$22,0))</f>
        <v/>
      </c>
      <c r="BQ126" s="138" t="str">
        <f aca="false">IF($BX126&lt;&gt;Constants!$B$6,"",IF($AT126,($AI126-Constants!$B$24)*Constants!$B$23,0))</f>
        <v/>
      </c>
      <c r="BR126" s="138" t="str">
        <f aca="false">IF($BX126&lt;&gt;Constants!$B$6,"",IF($AS126,0,Constants!$B$12)+IF($AR126,0,Constants!$B$13)+IF($AH126,0,Constants!$B$14))</f>
        <v/>
      </c>
      <c r="BS126" s="139" t="str">
        <f aca="false">IF($BX126&lt;&gt;Constants!$B$6,"",Constants!$B$16+SUM($BN126:$BR126))</f>
        <v/>
      </c>
      <c r="BT126" s="138" t="str">
        <f aca="false">IF($BX126&lt;&gt;Constants!$B$6,"",$BN126)</f>
        <v/>
      </c>
      <c r="BU126" s="138" t="str">
        <f aca="false">IF($BX126&lt;&gt;Constants!$B$6,"",$BO126)</f>
        <v/>
      </c>
      <c r="BV126" s="140" t="str">
        <f aca="false">IF($BX126&lt;&gt;Constants!$B$6,"",IF($AT126,$AV126,""))</f>
        <v/>
      </c>
      <c r="BW126" s="135" t="str">
        <f aca="false">IF(ISBLANK($C126),"",IF(ISBLANK($D$7),$BW$5,IF(NOT(ISNUMBER($D$7)),$BW$6,"")))</f>
        <v/>
      </c>
      <c r="BX126" s="135" t="str">
        <f aca="false">IF(ISBLANK($C126),"",IF($BA126,Constants!$B$9,IF(COUNTA($E126:$AA126)=0,Constants!$B$8,IF(NOT($AG126),Constants!$B$7,IF(OR($BW126&lt;&gt;"",$BB126,$BM126),Constants!$B$10,Constants!$B$6)))))</f>
        <v/>
      </c>
      <c r="BY126" s="135" t="str">
        <f aca="false">IF(ISBLANK($C126),"",IF($BX126&lt;&gt;Constants!$B$6,$BX126,Constants!$B$11))</f>
        <v/>
      </c>
      <c r="BZ126" s="138" t="str">
        <f aca="false">IF($BX126&lt;&gt;Constants!$B$6,"",IF($BL126="-&gt;",$BS126,$BH126))</f>
        <v/>
      </c>
      <c r="CA126" s="138" t="str">
        <f aca="false">IF($BX126&lt;&gt;Constants!$B$6,"",IF($AF126,0,Constants!$B$15))</f>
        <v/>
      </c>
      <c r="CB126" s="138" t="str">
        <f aca="false">IF($BX126&lt;&gt;Constants!$B$6,"",((Constants!$B$25-$AZ126)-Constants!$B$25)/Constants!$B$26)</f>
        <v/>
      </c>
      <c r="CC126" s="138" t="str">
        <f aca="false">IF(ISBLANK($C126),"",IF($BX126&lt;&gt;Constants!$B$6,$BX126,SUM($BZ126:$CB126)))</f>
        <v/>
      </c>
      <c r="CD126" s="135" t="str">
        <f aca="false">IF(ISBLANK($C126),"",IF($BX126&lt;&gt;Constants!$B$6,$BX126,RANK($CC126,$CC$9:$CC$508,1)))</f>
        <v/>
      </c>
      <c r="CE126" s="138" t="str">
        <f aca="false">IF($BX126&lt;&gt;Constants!$B$6,"",IF($BL126="-&gt;",$BT126,$BI126))</f>
        <v/>
      </c>
      <c r="CF126" s="135" t="str">
        <f aca="false">IF(ISBLANK($C126),"",IF($BX126&lt;&gt;Constants!$B$6,$BX126,IF(ISNUMBER($CE126),RANK($CE126,$CE$9:$CE$508,1),COUNT($CE$9:$CE$508)+1)))</f>
        <v/>
      </c>
      <c r="CG126" s="138" t="str">
        <f aca="false">IF($BX126&lt;&gt;Constants!$B$6,"",IF($BL126="-&gt;",$BU126,$BJ126))</f>
        <v/>
      </c>
      <c r="CH126" s="135" t="str">
        <f aca="false">IF(ISBLANK($C126),"",IF($BX126&lt;&gt;Constants!$B$6,$BX126,IF(ISNUMBER($CG126),RANK($CG126,$CG$9:$CG$508,1),COUNT($CG$9:$CG$508)+1)))</f>
        <v/>
      </c>
      <c r="CI126" s="138" t="str">
        <f aca="false">IF($BX126&lt;&gt;Constants!$B$6,"",IF($BL126="-&gt;",$BV126,$BK126))</f>
        <v/>
      </c>
      <c r="CJ126" s="135" t="str">
        <f aca="false">IF(ISBLANK($C126),"",IF($BX126&lt;&gt;Constants!$B$6,$BX126,IF(ISNUMBER($CI126),RANK($CI126,$CI$9:$CI$508,1),COUNT($CI$9:$CI$508)+1)))</f>
        <v/>
      </c>
      <c r="CK126" s="138" t="str">
        <f aca="false">IF($BX126&lt;&gt;Constants!$B$6,"",$AI126)</f>
        <v/>
      </c>
      <c r="CL126" s="135" t="str">
        <f aca="false">IF(ISBLANK($C126),"",IF($BX126&lt;&gt;Constants!$B$6,$BX126,IF(ISNUMBER($CK126),RANK($CK126,$CK$9:$CK$508,1),COUNT($CK$9:$CK$508)+1)))</f>
        <v/>
      </c>
      <c r="CM126" s="135" t="str">
        <f aca="false">IF(ISBLANK($C126),"",IF($BX126&lt;&gt;Constants!$B$6,$BX126,COUNTIFS($CD$9:$CD$508,"&lt;"&amp;$CD126)+COUNTIFS($CD$9:$CD$508,$CD126,$CF$9:$CF$508,"&lt;"&amp;$CF126)+COUNTIFS($CD$9:$CD$508,$CD126,$CF$9:$CF$508,$CF126,$CH$9:$CH$508,"&lt;"&amp;$CH126)+COUNTIFS($CD$9:$CD$508,$CD126,$CF$9:$CF$508,$CF126,$CH$9:$CH$508,$CH126,$CJ$9:$CJ$508,"&lt;"&amp;$CJ126)+COUNTIFS($CD$9:$CD$508,$CD126,$CF$9:$CF$508,$CF126,$CH$9:$CH$508,$CH126,$CJ$9:$CJ$508,$CJ126,$CL$9:$CL$508,"&lt;"&amp;$CL126)+1))</f>
        <v/>
      </c>
      <c r="CN126" s="135" t="str">
        <f aca="false">IF(ISBLANK($C126),"",IF($BX126&lt;&gt;Constants!$B$6,$BX126,$CD126-$CM126))</f>
        <v/>
      </c>
      <c r="CO126" s="141"/>
      <c r="CP126" s="142"/>
      <c r="CQ126" s="143" t="str">
        <f aca="false">IF(ISBLANK($C126),"",IF($BX126=Constants!$B$10,$BW126,""))</f>
        <v/>
      </c>
      <c r="CR126" s="142" t="str">
        <f aca="false">IF(ISBLANK($C126),"",IF($BX126&lt;&gt;Constants!$B$6,"",IF($BL126="-&gt;",2,1)))</f>
        <v/>
      </c>
      <c r="CS126" s="144" t="str">
        <f aca="false">IF(ISBLANK($C126),"",IF($BX126&lt;&gt;Constants!$B$6,"",IF($BL126="-&gt;",$BN126,$BC126)))</f>
        <v/>
      </c>
      <c r="CT126" s="144" t="str">
        <f aca="false">IF(ISBLANK($C126),"",IF($BX126&lt;&gt;Constants!$B$6,"",IF($BL126="-&gt;",$BO126,$BD126)))</f>
        <v/>
      </c>
      <c r="CU126" s="144" t="str">
        <f aca="false">IF(ISBLANK($C126),"",IF($BX126&lt;&gt;Constants!$B$6,"",IF($BL126="-&gt;",$BP126+$BQ126,$BE126+$BF126)+$CB126))</f>
        <v/>
      </c>
      <c r="CV126" s="144" t="str">
        <f aca="false">IF(ISBLANK($C126),"",IF($BX126&lt;&gt;Constants!$B$6,"",IF($BL126="-&gt;",$BR126,$BG126)+$CA126))</f>
        <v/>
      </c>
      <c r="CW126" s="145" t="str">
        <f aca="false">IF(ISBLANK($C126),"",IF($BX126&lt;&gt;Constants!$B$6,$BX126,$CC126))</f>
        <v/>
      </c>
      <c r="CX126" s="146" t="str">
        <f aca="false">IF(ISBLANK($C126),"",$BY126)</f>
        <v/>
      </c>
      <c r="CY126" s="147" t="str">
        <f aca="false">IF(ISBLANK($C126),"",$CN126)</f>
        <v/>
      </c>
      <c r="CZ126" s="147" t="str">
        <f aca="false">IF(ISBLANK($C126),"",$CM126)</f>
        <v/>
      </c>
      <c r="DA126" s="148" t="str">
        <f aca="false">IF(ISBLANK($C126),"",IFERROR(_xlfn.SWITCH($CZ126,Constants!$B$9,COUNTA($C$9:$C$508)+2,Constants!$B$8,COUNTA($C$9:$C$508)+1,Constants!$B$7,COUNTA($C$9:$C$508)),$CZ126))</f>
        <v/>
      </c>
      <c r="DB126" s="9"/>
      <c r="DC126" s="149" t="n">
        <f aca="false">IF(OR(ISNUMBER($CZ126),$CZ126=Constants!$B$9,$CZ126=Constants!$B$7,$CZ126=Constants!$B$8),1,0)</f>
        <v>0</v>
      </c>
      <c r="DD126" s="149" t="n">
        <v>118</v>
      </c>
      <c r="DE126" s="149" t="str">
        <f aca="false">IF(ISBLANK($C126),"",IF(ISNUMBER($DA126),$DA126+ROW($B126)/1000,""))</f>
        <v/>
      </c>
      <c r="DF126" s="149" t="str">
        <f aca="false">IF(ISNUMBER($DE126),RANK($DE126,$DE$9:$DE$508,1),"")</f>
        <v/>
      </c>
      <c r="DG126" s="149" t="str">
        <f aca="false">IF(ISBLANK($C126),"",$B126)</f>
        <v/>
      </c>
      <c r="DH126" s="149" t="str">
        <f aca="false">IF(ISBLANK($C126),"",$C126)</f>
        <v/>
      </c>
      <c r="DI126" s="149" t="str">
        <f aca="false">IF(ISBLANK($C126),"",$D126)</f>
        <v/>
      </c>
      <c r="DJ126" s="150" t="str">
        <f aca="false">$CX126</f>
        <v/>
      </c>
      <c r="DK126" s="151" t="str">
        <f aca="false">$CW126</f>
        <v/>
      </c>
      <c r="DL126" s="149" t="str">
        <f aca="false">IF(ISBLANK($C126),"",$CZ126)</f>
        <v/>
      </c>
      <c r="DM126" s="152" t="str">
        <f aca="false">IF($DD126&gt;$DC$8,"",VLOOKUP($DD126,$DF$9:$DL$508,7,FALSE()))</f>
        <v/>
      </c>
      <c r="DN126" s="153" t="str">
        <f aca="false">IF($DD126&gt;$DC$8,"",VLOOKUP($DD126,$DF$9:$DL$508,2,FALSE()))</f>
        <v/>
      </c>
      <c r="DO126" s="153" t="str">
        <f aca="false">IF($DD126&gt;$DC$8,"",VLOOKUP($DD126,$DF$9:$DL$508,3,FALSE()))</f>
        <v/>
      </c>
      <c r="DP126" s="153" t="str">
        <f aca="false">IF($DD126&gt;$DC$8,"",VLOOKUP($DD126,$DF$9:$DL$508,4,FALSE()))</f>
        <v/>
      </c>
      <c r="DQ126" s="153" t="str">
        <f aca="false">IF($DD126&gt;$DC$8,"",VLOOKUP($DD126,$DF$9:$DL$508,5,FALSE()))</f>
        <v/>
      </c>
      <c r="DR126" s="154" t="str">
        <f aca="false">IF($DD126&gt;$DC$8,"",VLOOKUP($DD126,$DF$9:$DL$508,6,FALSE()))</f>
        <v/>
      </c>
      <c r="DS126" s="76"/>
    </row>
    <row r="127" customFormat="false" ht="15.75" hidden="false" customHeight="false" outlineLevel="0" collapsed="false">
      <c r="A127" s="9"/>
      <c r="B127" s="160"/>
      <c r="C127" s="161"/>
      <c r="D127" s="162"/>
      <c r="E127" s="180"/>
      <c r="F127" s="164"/>
      <c r="G127" s="165"/>
      <c r="H127" s="165"/>
      <c r="I127" s="181"/>
      <c r="J127" s="168"/>
      <c r="K127" s="128"/>
      <c r="L127" s="129"/>
      <c r="M127" s="130"/>
      <c r="N127" s="168"/>
      <c r="O127" s="168"/>
      <c r="P127" s="180"/>
      <c r="Q127" s="168"/>
      <c r="R127" s="168"/>
      <c r="S127" s="128"/>
      <c r="T127" s="130"/>
      <c r="U127" s="130"/>
      <c r="V127" s="168"/>
      <c r="W127" s="168"/>
      <c r="X127" s="180"/>
      <c r="Y127" s="168"/>
      <c r="Z127" s="169"/>
      <c r="AA127" s="168"/>
      <c r="AB127" s="134"/>
      <c r="AC127" s="135"/>
      <c r="AD127" s="135"/>
      <c r="AE127" s="135"/>
      <c r="AF127" s="135" t="str">
        <f aca="false">IF(ISBLANK($C127),"",IF(E127=Constants!$B$2,TRUE(),IF(E127=Constants!$B$3,FALSE(),TRUE())))</f>
        <v/>
      </c>
      <c r="AG127" s="135" t="str">
        <f aca="false">IF(ISBLANK($C127),"",IF(F127=Constants!$B$2,TRUE(),IF(F127=Constants!$B$3,FALSE(),TRUE())))</f>
        <v/>
      </c>
      <c r="AH127" s="135" t="str">
        <f aca="false">IF(ISBLANK($C127),"",IF(G127=Constants!$B$2,TRUE(),IF(G127=Constants!$B$3,FALSE(),TRUE())))</f>
        <v/>
      </c>
      <c r="AI127" s="135" t="str">
        <f aca="false">IF(ISBLANK($C127),"",IF(AND(ISNUMBER(H127),H127&gt;=0),H127,Constants!$B$24))</f>
        <v/>
      </c>
      <c r="AJ127" s="135" t="str">
        <f aca="false">IF(ISBLANK($C127),"",IF(I127=Constants!$B$2,TRUE(),IF(I127=Constants!$B$3,FALSE(),TRUE())))</f>
        <v/>
      </c>
      <c r="AK127" s="135" t="str">
        <f aca="false">IF(ISBLANK($C127),"",IF(J127=Constants!$B$2,TRUE(),IF(J127=Constants!$B$3,FALSE(),TRUE())))</f>
        <v/>
      </c>
      <c r="AL127" s="135" t="str">
        <f aca="false">IF(ISBLANK($C127),"",IF(K127=Constants!$B$4,TRUE(),IF(K127=Constants!$B$5,FALSE(),COUNTA(L127:P127)&gt;0)))</f>
        <v/>
      </c>
      <c r="AM127" s="136" t="str">
        <f aca="false">IF(ISBLANK($C127),"",IF(ISNUMBER(L127),IF(L127&gt;=0,L127,""),""))</f>
        <v/>
      </c>
      <c r="AN127" s="137" t="str">
        <f aca="false">IF(ISBLANK($C127),"",IF(ISNUMBER(M127),IF(M127&gt;=0,M127,""),""))</f>
        <v/>
      </c>
      <c r="AO127" s="137" t="str">
        <f aca="false">IF(ISBLANK($C127),"",IF(N127=Constants!$B$2,TRUE(),IF(N127=Constants!$B$3,FALSE(),TRUE())))</f>
        <v/>
      </c>
      <c r="AP127" s="135" t="str">
        <f aca="false">IF(ISBLANK($C127),"",IF(ISNUMBER(O127),IF(O127&gt;=0,O127,""),""))</f>
        <v/>
      </c>
      <c r="AQ127" s="135" t="str">
        <f aca="false">IF(ISBLANK($C127),"",IF(P127=Constants!$B$2,TRUE(),IF(P127=Constants!$B$3,FALSE(),FALSE())))</f>
        <v/>
      </c>
      <c r="AR127" s="135" t="str">
        <f aca="false">IF(ISBLANK($C127),"",IF(Q127=Constants!$B$2,TRUE(),IF(Q127=Constants!$B$3,FALSE(),TRUE())))</f>
        <v/>
      </c>
      <c r="AS127" s="135" t="str">
        <f aca="false">IF(ISBLANK($C127),"",IF(R127=Constants!$B$2,TRUE(),IF(R127=Constants!$B$3,FALSE(),TRUE())))</f>
        <v/>
      </c>
      <c r="AT127" s="135" t="str">
        <f aca="false">IF(ISBLANK($C127),"",IF(S127=Constants!$B$4,TRUE(),IF(S127=Constants!$B$5,FALSE(),COUNTA(T127:X127)&gt;0)))</f>
        <v/>
      </c>
      <c r="AU127" s="136" t="str">
        <f aca="false">IF(ISBLANK($C127),"",IF(ISNUMBER(T127),IF(T127&gt;=0,T127,""),""))</f>
        <v/>
      </c>
      <c r="AV127" s="137" t="str">
        <f aca="false">IF(ISBLANK($C127),"",IF(ISNUMBER(U127),IF(U127&gt;=0,U127,""),""))</f>
        <v/>
      </c>
      <c r="AW127" s="137" t="str">
        <f aca="false">IF(ISBLANK($C127),"",IF(V127=Constants!$B$2,TRUE(),IF(V127=Constants!$B$3,FALSE(),TRUE())))</f>
        <v/>
      </c>
      <c r="AX127" s="135" t="str">
        <f aca="false">IF(ISBLANK($C127),"",IF(ISNUMBER(W127),IF(W127&gt;=0,W127,""),""))</f>
        <v/>
      </c>
      <c r="AY127" s="135" t="str">
        <f aca="false">IF(ISBLANK($C127),"",IF(X127=Constants!$B$2,TRUE(),IF(X127=Constants!$B$3,FALSE(),FALSE())))</f>
        <v/>
      </c>
      <c r="AZ127" s="135" t="str">
        <f aca="false">IF(ISBLANK($C127),"",MIN(Constants!$B$25,MAX(0,IF(ISNUMBER(Y127),Y127*60,0)+IF(ISNUMBER(Z127),Z127,0))))</f>
        <v/>
      </c>
      <c r="BA127" s="135" t="str">
        <f aca="false">IF(ISBLANK($C127),"",IF(AA127=Constants!$B$2,TRUE(),IF(AA127=Constants!$B$3,FALSE(),FALSE())))</f>
        <v/>
      </c>
      <c r="BB127" s="134" t="str">
        <f aca="false">IF(ISBLANK($C127),"",AND($AL127,OR($AM127="",$AN127="",AND($AO127,$AP127=""))))</f>
        <v/>
      </c>
      <c r="BC127" s="137" t="str">
        <f aca="false">IF($BX127&lt;&gt;Constants!$B$6,"",IF($AL127,Constants!$B$17*$AN127+Constants!$B$18*IF($AO127,$AP127,Constants!$B$19),Constants!$B$20))</f>
        <v/>
      </c>
      <c r="BD127" s="138" t="str">
        <f aca="false">IF($BX127&lt;&gt;Constants!$B$6,"",Constants!$B$21*ABS($AD$9-IF($AL127,$AM127,0)))</f>
        <v/>
      </c>
      <c r="BE127" s="138" t="str">
        <f aca="false">IF($BX127&lt;&gt;Constants!$B$6,"",IF(AND($AL127,$AQ127,$AO127),Constants!$B$22,0))</f>
        <v/>
      </c>
      <c r="BF127" s="138" t="str">
        <f aca="false">IF($BX127&lt;&gt;Constants!$B$6,"",IF($AL127,($AI127-Constants!$B$24)*Constants!$B$23,0))</f>
        <v/>
      </c>
      <c r="BG127" s="138" t="str">
        <f aca="false">IF($BX127&lt;&gt;Constants!$B$6,"",IF($AK127,0,Constants!$B$12)+IF($AJ127,0,Constants!$B$13)+IF($AH127,0,Constants!$B$14))</f>
        <v/>
      </c>
      <c r="BH127" s="139" t="str">
        <f aca="false">IF($BX127&lt;&gt;Constants!$B$6,"",Constants!$B$16+SUM($BC127:$BG127))</f>
        <v/>
      </c>
      <c r="BI127" s="138" t="str">
        <f aca="false">IF($BX127&lt;&gt;Constants!$B$6,"",$BC127)</f>
        <v/>
      </c>
      <c r="BJ127" s="138" t="str">
        <f aca="false">IF($BX127&lt;&gt;Constants!$B$6,"",$BD127)</f>
        <v/>
      </c>
      <c r="BK127" s="140" t="str">
        <f aca="false">IF($BX127&lt;&gt;Constants!$B$6,"",IF($AL127,$AN127,""))</f>
        <v/>
      </c>
      <c r="BL127" s="135" t="str">
        <f aca="false">IF($BX127&lt;&gt;Constants!$B$6,"",IF(OR($BS127&lt;$BH127,AND($BS127=$BH127,OR($BT127&lt;$BI127,AND($BT127=$BI127,OR($BU127&lt;$BJ127,AND($BU127=$BJ127,AND(ISNUMBER($BV127),OR(NOT(ISNUMBER($BK127)),$BV127&lt;$BK127)))))))),"-&gt;","&lt;-"))</f>
        <v/>
      </c>
      <c r="BM127" s="134" t="str">
        <f aca="false">IF(ISBLANK($C127),"",AND($AT127,OR($AU127="",$AV127="",AND($AW127,$AX127=""))))</f>
        <v/>
      </c>
      <c r="BN127" s="137" t="str">
        <f aca="false">IF($BX127&lt;&gt;Constants!$B$6,"",IF($AT127,Constants!$B$17*$AV127+Constants!$B$18*IF($AW127,$AX127,Constants!$B$19),Constants!$B$20))</f>
        <v/>
      </c>
      <c r="BO127" s="138" t="str">
        <f aca="false">IF($BX127&lt;&gt;Constants!$B$6,"",Constants!$B$21*ABS($AD$9-IF($AT127,$AU127,0)))</f>
        <v/>
      </c>
      <c r="BP127" s="138" t="str">
        <f aca="false">IF($BX127&lt;&gt;Constants!$B$6,"",IF(AND($AT127,$AY127,$AW127),Constants!$B$22,0))</f>
        <v/>
      </c>
      <c r="BQ127" s="138" t="str">
        <f aca="false">IF($BX127&lt;&gt;Constants!$B$6,"",IF($AT127,($AI127-Constants!$B$24)*Constants!$B$23,0))</f>
        <v/>
      </c>
      <c r="BR127" s="138" t="str">
        <f aca="false">IF($BX127&lt;&gt;Constants!$B$6,"",IF($AS127,0,Constants!$B$12)+IF($AR127,0,Constants!$B$13)+IF($AH127,0,Constants!$B$14))</f>
        <v/>
      </c>
      <c r="BS127" s="139" t="str">
        <f aca="false">IF($BX127&lt;&gt;Constants!$B$6,"",Constants!$B$16+SUM($BN127:$BR127))</f>
        <v/>
      </c>
      <c r="BT127" s="138" t="str">
        <f aca="false">IF($BX127&lt;&gt;Constants!$B$6,"",$BN127)</f>
        <v/>
      </c>
      <c r="BU127" s="138" t="str">
        <f aca="false">IF($BX127&lt;&gt;Constants!$B$6,"",$BO127)</f>
        <v/>
      </c>
      <c r="BV127" s="140" t="str">
        <f aca="false">IF($BX127&lt;&gt;Constants!$B$6,"",IF($AT127,$AV127,""))</f>
        <v/>
      </c>
      <c r="BW127" s="135" t="str">
        <f aca="false">IF(ISBLANK($C127),"",IF(ISBLANK($D$7),$BW$5,IF(NOT(ISNUMBER($D$7)),$BW$6,"")))</f>
        <v/>
      </c>
      <c r="BX127" s="135" t="str">
        <f aca="false">IF(ISBLANK($C127),"",IF($BA127,Constants!$B$9,IF(COUNTA($E127:$AA127)=0,Constants!$B$8,IF(NOT($AG127),Constants!$B$7,IF(OR($BW127&lt;&gt;"",$BB127,$BM127),Constants!$B$10,Constants!$B$6)))))</f>
        <v/>
      </c>
      <c r="BY127" s="135" t="str">
        <f aca="false">IF(ISBLANK($C127),"",IF($BX127&lt;&gt;Constants!$B$6,$BX127,Constants!$B$11))</f>
        <v/>
      </c>
      <c r="BZ127" s="138" t="str">
        <f aca="false">IF($BX127&lt;&gt;Constants!$B$6,"",IF($BL127="-&gt;",$BS127,$BH127))</f>
        <v/>
      </c>
      <c r="CA127" s="138" t="str">
        <f aca="false">IF($BX127&lt;&gt;Constants!$B$6,"",IF($AF127,0,Constants!$B$15))</f>
        <v/>
      </c>
      <c r="CB127" s="138" t="str">
        <f aca="false">IF($BX127&lt;&gt;Constants!$B$6,"",((Constants!$B$25-$AZ127)-Constants!$B$25)/Constants!$B$26)</f>
        <v/>
      </c>
      <c r="CC127" s="138" t="str">
        <f aca="false">IF(ISBLANK($C127),"",IF($BX127&lt;&gt;Constants!$B$6,$BX127,SUM($BZ127:$CB127)))</f>
        <v/>
      </c>
      <c r="CD127" s="135" t="str">
        <f aca="false">IF(ISBLANK($C127),"",IF($BX127&lt;&gt;Constants!$B$6,$BX127,RANK($CC127,$CC$9:$CC$508,1)))</f>
        <v/>
      </c>
      <c r="CE127" s="138" t="str">
        <f aca="false">IF($BX127&lt;&gt;Constants!$B$6,"",IF($BL127="-&gt;",$BT127,$BI127))</f>
        <v/>
      </c>
      <c r="CF127" s="135" t="str">
        <f aca="false">IF(ISBLANK($C127),"",IF($BX127&lt;&gt;Constants!$B$6,$BX127,IF(ISNUMBER($CE127),RANK($CE127,$CE$9:$CE$508,1),COUNT($CE$9:$CE$508)+1)))</f>
        <v/>
      </c>
      <c r="CG127" s="138" t="str">
        <f aca="false">IF($BX127&lt;&gt;Constants!$B$6,"",IF($BL127="-&gt;",$BU127,$BJ127))</f>
        <v/>
      </c>
      <c r="CH127" s="135" t="str">
        <f aca="false">IF(ISBLANK($C127),"",IF($BX127&lt;&gt;Constants!$B$6,$BX127,IF(ISNUMBER($CG127),RANK($CG127,$CG$9:$CG$508,1),COUNT($CG$9:$CG$508)+1)))</f>
        <v/>
      </c>
      <c r="CI127" s="138" t="str">
        <f aca="false">IF($BX127&lt;&gt;Constants!$B$6,"",IF($BL127="-&gt;",$BV127,$BK127))</f>
        <v/>
      </c>
      <c r="CJ127" s="135" t="str">
        <f aca="false">IF(ISBLANK($C127),"",IF($BX127&lt;&gt;Constants!$B$6,$BX127,IF(ISNUMBER($CI127),RANK($CI127,$CI$9:$CI$508,1),COUNT($CI$9:$CI$508)+1)))</f>
        <v/>
      </c>
      <c r="CK127" s="138" t="str">
        <f aca="false">IF($BX127&lt;&gt;Constants!$B$6,"",$AI127)</f>
        <v/>
      </c>
      <c r="CL127" s="135" t="str">
        <f aca="false">IF(ISBLANK($C127),"",IF($BX127&lt;&gt;Constants!$B$6,$BX127,IF(ISNUMBER($CK127),RANK($CK127,$CK$9:$CK$508,1),COUNT($CK$9:$CK$508)+1)))</f>
        <v/>
      </c>
      <c r="CM127" s="135" t="str">
        <f aca="false">IF(ISBLANK($C127),"",IF($BX127&lt;&gt;Constants!$B$6,$BX127,COUNTIFS($CD$9:$CD$508,"&lt;"&amp;$CD127)+COUNTIFS($CD$9:$CD$508,$CD127,$CF$9:$CF$508,"&lt;"&amp;$CF127)+COUNTIFS($CD$9:$CD$508,$CD127,$CF$9:$CF$508,$CF127,$CH$9:$CH$508,"&lt;"&amp;$CH127)+COUNTIFS($CD$9:$CD$508,$CD127,$CF$9:$CF$508,$CF127,$CH$9:$CH$508,$CH127,$CJ$9:$CJ$508,"&lt;"&amp;$CJ127)+COUNTIFS($CD$9:$CD$508,$CD127,$CF$9:$CF$508,$CF127,$CH$9:$CH$508,$CH127,$CJ$9:$CJ$508,$CJ127,$CL$9:$CL$508,"&lt;"&amp;$CL127)+1))</f>
        <v/>
      </c>
      <c r="CN127" s="135" t="str">
        <f aca="false">IF(ISBLANK($C127),"",IF($BX127&lt;&gt;Constants!$B$6,$BX127,$CD127-$CM127))</f>
        <v/>
      </c>
      <c r="CO127" s="141"/>
      <c r="CP127" s="142"/>
      <c r="CQ127" s="143" t="str">
        <f aca="false">IF(ISBLANK($C127),"",IF($BX127=Constants!$B$10,$BW127,""))</f>
        <v/>
      </c>
      <c r="CR127" s="142" t="str">
        <f aca="false">IF(ISBLANK($C127),"",IF($BX127&lt;&gt;Constants!$B$6,"",IF($BL127="-&gt;",2,1)))</f>
        <v/>
      </c>
      <c r="CS127" s="144" t="str">
        <f aca="false">IF(ISBLANK($C127),"",IF($BX127&lt;&gt;Constants!$B$6,"",IF($BL127="-&gt;",$BN127,$BC127)))</f>
        <v/>
      </c>
      <c r="CT127" s="144" t="str">
        <f aca="false">IF(ISBLANK($C127),"",IF($BX127&lt;&gt;Constants!$B$6,"",IF($BL127="-&gt;",$BO127,$BD127)))</f>
        <v/>
      </c>
      <c r="CU127" s="144" t="str">
        <f aca="false">IF(ISBLANK($C127),"",IF($BX127&lt;&gt;Constants!$B$6,"",IF($BL127="-&gt;",$BP127+$BQ127,$BE127+$BF127)+$CB127))</f>
        <v/>
      </c>
      <c r="CV127" s="144" t="str">
        <f aca="false">IF(ISBLANK($C127),"",IF($BX127&lt;&gt;Constants!$B$6,"",IF($BL127="-&gt;",$BR127,$BG127)+$CA127))</f>
        <v/>
      </c>
      <c r="CW127" s="145" t="str">
        <f aca="false">IF(ISBLANK($C127),"",IF($BX127&lt;&gt;Constants!$B$6,$BX127,$CC127))</f>
        <v/>
      </c>
      <c r="CX127" s="146" t="str">
        <f aca="false">IF(ISBLANK($C127),"",$BY127)</f>
        <v/>
      </c>
      <c r="CY127" s="147" t="str">
        <f aca="false">IF(ISBLANK($C127),"",$CN127)</f>
        <v/>
      </c>
      <c r="CZ127" s="147" t="str">
        <f aca="false">IF(ISBLANK($C127),"",$CM127)</f>
        <v/>
      </c>
      <c r="DA127" s="148" t="str">
        <f aca="false">IF(ISBLANK($C127),"",IFERROR(_xlfn.SWITCH($CZ127,Constants!$B$9,COUNTA($C$9:$C$508)+2,Constants!$B$8,COUNTA($C$9:$C$508)+1,Constants!$B$7,COUNTA($C$9:$C$508)),$CZ127))</f>
        <v/>
      </c>
      <c r="DB127" s="9"/>
      <c r="DC127" s="149" t="n">
        <f aca="false">IF(OR(ISNUMBER($CZ127),$CZ127=Constants!$B$9,$CZ127=Constants!$B$7,$CZ127=Constants!$B$8),1,0)</f>
        <v>0</v>
      </c>
      <c r="DD127" s="149" t="n">
        <v>119</v>
      </c>
      <c r="DE127" s="149" t="str">
        <f aca="false">IF(ISBLANK($C127),"",IF(ISNUMBER($DA127),$DA127+ROW($B127)/1000,""))</f>
        <v/>
      </c>
      <c r="DF127" s="149" t="str">
        <f aca="false">IF(ISNUMBER($DE127),RANK($DE127,$DE$9:$DE$508,1),"")</f>
        <v/>
      </c>
      <c r="DG127" s="149" t="str">
        <f aca="false">IF(ISBLANK($C127),"",$B127)</f>
        <v/>
      </c>
      <c r="DH127" s="149" t="str">
        <f aca="false">IF(ISBLANK($C127),"",$C127)</f>
        <v/>
      </c>
      <c r="DI127" s="149" t="str">
        <f aca="false">IF(ISBLANK($C127),"",$D127)</f>
        <v/>
      </c>
      <c r="DJ127" s="150" t="str">
        <f aca="false">$CX127</f>
        <v/>
      </c>
      <c r="DK127" s="151" t="str">
        <f aca="false">$CW127</f>
        <v/>
      </c>
      <c r="DL127" s="149" t="str">
        <f aca="false">IF(ISBLANK($C127),"",$CZ127)</f>
        <v/>
      </c>
      <c r="DM127" s="152" t="str">
        <f aca="false">IF($DD127&gt;$DC$8,"",VLOOKUP($DD127,$DF$9:$DL$508,7,FALSE()))</f>
        <v/>
      </c>
      <c r="DN127" s="153" t="str">
        <f aca="false">IF($DD127&gt;$DC$8,"",VLOOKUP($DD127,$DF$9:$DL$508,2,FALSE()))</f>
        <v/>
      </c>
      <c r="DO127" s="153" t="str">
        <f aca="false">IF($DD127&gt;$DC$8,"",VLOOKUP($DD127,$DF$9:$DL$508,3,FALSE()))</f>
        <v/>
      </c>
      <c r="DP127" s="153" t="str">
        <f aca="false">IF($DD127&gt;$DC$8,"",VLOOKUP($DD127,$DF$9:$DL$508,4,FALSE()))</f>
        <v/>
      </c>
      <c r="DQ127" s="153" t="str">
        <f aca="false">IF($DD127&gt;$DC$8,"",VLOOKUP($DD127,$DF$9:$DL$508,5,FALSE()))</f>
        <v/>
      </c>
      <c r="DR127" s="154" t="str">
        <f aca="false">IF($DD127&gt;$DC$8,"",VLOOKUP($DD127,$DF$9:$DL$508,6,FALSE()))</f>
        <v/>
      </c>
      <c r="DS127" s="76"/>
    </row>
    <row r="128" customFormat="false" ht="15.75" hidden="false" customHeight="false" outlineLevel="0" collapsed="false">
      <c r="A128" s="9"/>
      <c r="B128" s="160"/>
      <c r="C128" s="161"/>
      <c r="D128" s="162"/>
      <c r="E128" s="180"/>
      <c r="F128" s="164"/>
      <c r="G128" s="165"/>
      <c r="H128" s="165"/>
      <c r="I128" s="181"/>
      <c r="J128" s="168"/>
      <c r="K128" s="128"/>
      <c r="L128" s="129"/>
      <c r="M128" s="130"/>
      <c r="N128" s="168"/>
      <c r="O128" s="168"/>
      <c r="P128" s="180"/>
      <c r="Q128" s="168"/>
      <c r="R128" s="168"/>
      <c r="S128" s="128"/>
      <c r="T128" s="130"/>
      <c r="U128" s="130"/>
      <c r="V128" s="168"/>
      <c r="W128" s="168"/>
      <c r="X128" s="180"/>
      <c r="Y128" s="168"/>
      <c r="Z128" s="169"/>
      <c r="AA128" s="168"/>
      <c r="AB128" s="134"/>
      <c r="AC128" s="135"/>
      <c r="AD128" s="135"/>
      <c r="AE128" s="135"/>
      <c r="AF128" s="135" t="str">
        <f aca="false">IF(ISBLANK($C128),"",IF(E128=Constants!$B$2,TRUE(),IF(E128=Constants!$B$3,FALSE(),TRUE())))</f>
        <v/>
      </c>
      <c r="AG128" s="135" t="str">
        <f aca="false">IF(ISBLANK($C128),"",IF(F128=Constants!$B$2,TRUE(),IF(F128=Constants!$B$3,FALSE(),TRUE())))</f>
        <v/>
      </c>
      <c r="AH128" s="135" t="str">
        <f aca="false">IF(ISBLANK($C128),"",IF(G128=Constants!$B$2,TRUE(),IF(G128=Constants!$B$3,FALSE(),TRUE())))</f>
        <v/>
      </c>
      <c r="AI128" s="135" t="str">
        <f aca="false">IF(ISBLANK($C128),"",IF(AND(ISNUMBER(H128),H128&gt;=0),H128,Constants!$B$24))</f>
        <v/>
      </c>
      <c r="AJ128" s="135" t="str">
        <f aca="false">IF(ISBLANK($C128),"",IF(I128=Constants!$B$2,TRUE(),IF(I128=Constants!$B$3,FALSE(),TRUE())))</f>
        <v/>
      </c>
      <c r="AK128" s="135" t="str">
        <f aca="false">IF(ISBLANK($C128),"",IF(J128=Constants!$B$2,TRUE(),IF(J128=Constants!$B$3,FALSE(),TRUE())))</f>
        <v/>
      </c>
      <c r="AL128" s="135" t="str">
        <f aca="false">IF(ISBLANK($C128),"",IF(K128=Constants!$B$4,TRUE(),IF(K128=Constants!$B$5,FALSE(),COUNTA(L128:P128)&gt;0)))</f>
        <v/>
      </c>
      <c r="AM128" s="136" t="str">
        <f aca="false">IF(ISBLANK($C128),"",IF(ISNUMBER(L128),IF(L128&gt;=0,L128,""),""))</f>
        <v/>
      </c>
      <c r="AN128" s="137" t="str">
        <f aca="false">IF(ISBLANK($C128),"",IF(ISNUMBER(M128),IF(M128&gt;=0,M128,""),""))</f>
        <v/>
      </c>
      <c r="AO128" s="137" t="str">
        <f aca="false">IF(ISBLANK($C128),"",IF(N128=Constants!$B$2,TRUE(),IF(N128=Constants!$B$3,FALSE(),TRUE())))</f>
        <v/>
      </c>
      <c r="AP128" s="135" t="str">
        <f aca="false">IF(ISBLANK($C128),"",IF(ISNUMBER(O128),IF(O128&gt;=0,O128,""),""))</f>
        <v/>
      </c>
      <c r="AQ128" s="135" t="str">
        <f aca="false">IF(ISBLANK($C128),"",IF(P128=Constants!$B$2,TRUE(),IF(P128=Constants!$B$3,FALSE(),FALSE())))</f>
        <v/>
      </c>
      <c r="AR128" s="135" t="str">
        <f aca="false">IF(ISBLANK($C128),"",IF(Q128=Constants!$B$2,TRUE(),IF(Q128=Constants!$B$3,FALSE(),TRUE())))</f>
        <v/>
      </c>
      <c r="AS128" s="135" t="str">
        <f aca="false">IF(ISBLANK($C128),"",IF(R128=Constants!$B$2,TRUE(),IF(R128=Constants!$B$3,FALSE(),TRUE())))</f>
        <v/>
      </c>
      <c r="AT128" s="135" t="str">
        <f aca="false">IF(ISBLANK($C128),"",IF(S128=Constants!$B$4,TRUE(),IF(S128=Constants!$B$5,FALSE(),COUNTA(T128:X128)&gt;0)))</f>
        <v/>
      </c>
      <c r="AU128" s="136" t="str">
        <f aca="false">IF(ISBLANK($C128),"",IF(ISNUMBER(T128),IF(T128&gt;=0,T128,""),""))</f>
        <v/>
      </c>
      <c r="AV128" s="137" t="str">
        <f aca="false">IF(ISBLANK($C128),"",IF(ISNUMBER(U128),IF(U128&gt;=0,U128,""),""))</f>
        <v/>
      </c>
      <c r="AW128" s="137" t="str">
        <f aca="false">IF(ISBLANK($C128),"",IF(V128=Constants!$B$2,TRUE(),IF(V128=Constants!$B$3,FALSE(),TRUE())))</f>
        <v/>
      </c>
      <c r="AX128" s="135" t="str">
        <f aca="false">IF(ISBLANK($C128),"",IF(ISNUMBER(W128),IF(W128&gt;=0,W128,""),""))</f>
        <v/>
      </c>
      <c r="AY128" s="135" t="str">
        <f aca="false">IF(ISBLANK($C128),"",IF(X128=Constants!$B$2,TRUE(),IF(X128=Constants!$B$3,FALSE(),FALSE())))</f>
        <v/>
      </c>
      <c r="AZ128" s="135" t="str">
        <f aca="false">IF(ISBLANK($C128),"",MIN(Constants!$B$25,MAX(0,IF(ISNUMBER(Y128),Y128*60,0)+IF(ISNUMBER(Z128),Z128,0))))</f>
        <v/>
      </c>
      <c r="BA128" s="135" t="str">
        <f aca="false">IF(ISBLANK($C128),"",IF(AA128=Constants!$B$2,TRUE(),IF(AA128=Constants!$B$3,FALSE(),FALSE())))</f>
        <v/>
      </c>
      <c r="BB128" s="134" t="str">
        <f aca="false">IF(ISBLANK($C128),"",AND($AL128,OR($AM128="",$AN128="",AND($AO128,$AP128=""))))</f>
        <v/>
      </c>
      <c r="BC128" s="137" t="str">
        <f aca="false">IF($BX128&lt;&gt;Constants!$B$6,"",IF($AL128,Constants!$B$17*$AN128+Constants!$B$18*IF($AO128,$AP128,Constants!$B$19),Constants!$B$20))</f>
        <v/>
      </c>
      <c r="BD128" s="138" t="str">
        <f aca="false">IF($BX128&lt;&gt;Constants!$B$6,"",Constants!$B$21*ABS($AD$9-IF($AL128,$AM128,0)))</f>
        <v/>
      </c>
      <c r="BE128" s="138" t="str">
        <f aca="false">IF($BX128&lt;&gt;Constants!$B$6,"",IF(AND($AL128,$AQ128,$AO128),Constants!$B$22,0))</f>
        <v/>
      </c>
      <c r="BF128" s="138" t="str">
        <f aca="false">IF($BX128&lt;&gt;Constants!$B$6,"",IF($AL128,($AI128-Constants!$B$24)*Constants!$B$23,0))</f>
        <v/>
      </c>
      <c r="BG128" s="138" t="str">
        <f aca="false">IF($BX128&lt;&gt;Constants!$B$6,"",IF($AK128,0,Constants!$B$12)+IF($AJ128,0,Constants!$B$13)+IF($AH128,0,Constants!$B$14))</f>
        <v/>
      </c>
      <c r="BH128" s="139" t="str">
        <f aca="false">IF($BX128&lt;&gt;Constants!$B$6,"",Constants!$B$16+SUM($BC128:$BG128))</f>
        <v/>
      </c>
      <c r="BI128" s="138" t="str">
        <f aca="false">IF($BX128&lt;&gt;Constants!$B$6,"",$BC128)</f>
        <v/>
      </c>
      <c r="BJ128" s="138" t="str">
        <f aca="false">IF($BX128&lt;&gt;Constants!$B$6,"",$BD128)</f>
        <v/>
      </c>
      <c r="BK128" s="140" t="str">
        <f aca="false">IF($BX128&lt;&gt;Constants!$B$6,"",IF($AL128,$AN128,""))</f>
        <v/>
      </c>
      <c r="BL128" s="135" t="str">
        <f aca="false">IF($BX128&lt;&gt;Constants!$B$6,"",IF(OR($BS128&lt;$BH128,AND($BS128=$BH128,OR($BT128&lt;$BI128,AND($BT128=$BI128,OR($BU128&lt;$BJ128,AND($BU128=$BJ128,AND(ISNUMBER($BV128),OR(NOT(ISNUMBER($BK128)),$BV128&lt;$BK128)))))))),"-&gt;","&lt;-"))</f>
        <v/>
      </c>
      <c r="BM128" s="134" t="str">
        <f aca="false">IF(ISBLANK($C128),"",AND($AT128,OR($AU128="",$AV128="",AND($AW128,$AX128=""))))</f>
        <v/>
      </c>
      <c r="BN128" s="137" t="str">
        <f aca="false">IF($BX128&lt;&gt;Constants!$B$6,"",IF($AT128,Constants!$B$17*$AV128+Constants!$B$18*IF($AW128,$AX128,Constants!$B$19),Constants!$B$20))</f>
        <v/>
      </c>
      <c r="BO128" s="138" t="str">
        <f aca="false">IF($BX128&lt;&gt;Constants!$B$6,"",Constants!$B$21*ABS($AD$9-IF($AT128,$AU128,0)))</f>
        <v/>
      </c>
      <c r="BP128" s="138" t="str">
        <f aca="false">IF($BX128&lt;&gt;Constants!$B$6,"",IF(AND($AT128,$AY128,$AW128),Constants!$B$22,0))</f>
        <v/>
      </c>
      <c r="BQ128" s="138" t="str">
        <f aca="false">IF($BX128&lt;&gt;Constants!$B$6,"",IF($AT128,($AI128-Constants!$B$24)*Constants!$B$23,0))</f>
        <v/>
      </c>
      <c r="BR128" s="138" t="str">
        <f aca="false">IF($BX128&lt;&gt;Constants!$B$6,"",IF($AS128,0,Constants!$B$12)+IF($AR128,0,Constants!$B$13)+IF($AH128,0,Constants!$B$14))</f>
        <v/>
      </c>
      <c r="BS128" s="139" t="str">
        <f aca="false">IF($BX128&lt;&gt;Constants!$B$6,"",Constants!$B$16+SUM($BN128:$BR128))</f>
        <v/>
      </c>
      <c r="BT128" s="138" t="str">
        <f aca="false">IF($BX128&lt;&gt;Constants!$B$6,"",$BN128)</f>
        <v/>
      </c>
      <c r="BU128" s="138" t="str">
        <f aca="false">IF($BX128&lt;&gt;Constants!$B$6,"",$BO128)</f>
        <v/>
      </c>
      <c r="BV128" s="140" t="str">
        <f aca="false">IF($BX128&lt;&gt;Constants!$B$6,"",IF($AT128,$AV128,""))</f>
        <v/>
      </c>
      <c r="BW128" s="135" t="str">
        <f aca="false">IF(ISBLANK($C128),"",IF(ISBLANK($D$7),$BW$5,IF(NOT(ISNUMBER($D$7)),$BW$6,"")))</f>
        <v/>
      </c>
      <c r="BX128" s="135" t="str">
        <f aca="false">IF(ISBLANK($C128),"",IF($BA128,Constants!$B$9,IF(COUNTA($E128:$AA128)=0,Constants!$B$8,IF(NOT($AG128),Constants!$B$7,IF(OR($BW128&lt;&gt;"",$BB128,$BM128),Constants!$B$10,Constants!$B$6)))))</f>
        <v/>
      </c>
      <c r="BY128" s="135" t="str">
        <f aca="false">IF(ISBLANK($C128),"",IF($BX128&lt;&gt;Constants!$B$6,$BX128,Constants!$B$11))</f>
        <v/>
      </c>
      <c r="BZ128" s="138" t="str">
        <f aca="false">IF($BX128&lt;&gt;Constants!$B$6,"",IF($BL128="-&gt;",$BS128,$BH128))</f>
        <v/>
      </c>
      <c r="CA128" s="138" t="str">
        <f aca="false">IF($BX128&lt;&gt;Constants!$B$6,"",IF($AF128,0,Constants!$B$15))</f>
        <v/>
      </c>
      <c r="CB128" s="138" t="str">
        <f aca="false">IF($BX128&lt;&gt;Constants!$B$6,"",((Constants!$B$25-$AZ128)-Constants!$B$25)/Constants!$B$26)</f>
        <v/>
      </c>
      <c r="CC128" s="138" t="str">
        <f aca="false">IF(ISBLANK($C128),"",IF($BX128&lt;&gt;Constants!$B$6,$BX128,SUM($BZ128:$CB128)))</f>
        <v/>
      </c>
      <c r="CD128" s="135" t="str">
        <f aca="false">IF(ISBLANK($C128),"",IF($BX128&lt;&gt;Constants!$B$6,$BX128,RANK($CC128,$CC$9:$CC$508,1)))</f>
        <v/>
      </c>
      <c r="CE128" s="138" t="str">
        <f aca="false">IF($BX128&lt;&gt;Constants!$B$6,"",IF($BL128="-&gt;",$BT128,$BI128))</f>
        <v/>
      </c>
      <c r="CF128" s="135" t="str">
        <f aca="false">IF(ISBLANK($C128),"",IF($BX128&lt;&gt;Constants!$B$6,$BX128,IF(ISNUMBER($CE128),RANK($CE128,$CE$9:$CE$508,1),COUNT($CE$9:$CE$508)+1)))</f>
        <v/>
      </c>
      <c r="CG128" s="138" t="str">
        <f aca="false">IF($BX128&lt;&gt;Constants!$B$6,"",IF($BL128="-&gt;",$BU128,$BJ128))</f>
        <v/>
      </c>
      <c r="CH128" s="135" t="str">
        <f aca="false">IF(ISBLANK($C128),"",IF($BX128&lt;&gt;Constants!$B$6,$BX128,IF(ISNUMBER($CG128),RANK($CG128,$CG$9:$CG$508,1),COUNT($CG$9:$CG$508)+1)))</f>
        <v/>
      </c>
      <c r="CI128" s="138" t="str">
        <f aca="false">IF($BX128&lt;&gt;Constants!$B$6,"",IF($BL128="-&gt;",$BV128,$BK128))</f>
        <v/>
      </c>
      <c r="CJ128" s="135" t="str">
        <f aca="false">IF(ISBLANK($C128),"",IF($BX128&lt;&gt;Constants!$B$6,$BX128,IF(ISNUMBER($CI128),RANK($CI128,$CI$9:$CI$508,1),COUNT($CI$9:$CI$508)+1)))</f>
        <v/>
      </c>
      <c r="CK128" s="138" t="str">
        <f aca="false">IF($BX128&lt;&gt;Constants!$B$6,"",$AI128)</f>
        <v/>
      </c>
      <c r="CL128" s="135" t="str">
        <f aca="false">IF(ISBLANK($C128),"",IF($BX128&lt;&gt;Constants!$B$6,$BX128,IF(ISNUMBER($CK128),RANK($CK128,$CK$9:$CK$508,1),COUNT($CK$9:$CK$508)+1)))</f>
        <v/>
      </c>
      <c r="CM128" s="135" t="str">
        <f aca="false">IF(ISBLANK($C128),"",IF($BX128&lt;&gt;Constants!$B$6,$BX128,COUNTIFS($CD$9:$CD$508,"&lt;"&amp;$CD128)+COUNTIFS($CD$9:$CD$508,$CD128,$CF$9:$CF$508,"&lt;"&amp;$CF128)+COUNTIFS($CD$9:$CD$508,$CD128,$CF$9:$CF$508,$CF128,$CH$9:$CH$508,"&lt;"&amp;$CH128)+COUNTIFS($CD$9:$CD$508,$CD128,$CF$9:$CF$508,$CF128,$CH$9:$CH$508,$CH128,$CJ$9:$CJ$508,"&lt;"&amp;$CJ128)+COUNTIFS($CD$9:$CD$508,$CD128,$CF$9:$CF$508,$CF128,$CH$9:$CH$508,$CH128,$CJ$9:$CJ$508,$CJ128,$CL$9:$CL$508,"&lt;"&amp;$CL128)+1))</f>
        <v/>
      </c>
      <c r="CN128" s="135" t="str">
        <f aca="false">IF(ISBLANK($C128),"",IF($BX128&lt;&gt;Constants!$B$6,$BX128,$CD128-$CM128))</f>
        <v/>
      </c>
      <c r="CO128" s="141"/>
      <c r="CP128" s="142"/>
      <c r="CQ128" s="143" t="str">
        <f aca="false">IF(ISBLANK($C128),"",IF($BX128=Constants!$B$10,$BW128,""))</f>
        <v/>
      </c>
      <c r="CR128" s="142" t="str">
        <f aca="false">IF(ISBLANK($C128),"",IF($BX128&lt;&gt;Constants!$B$6,"",IF($BL128="-&gt;",2,1)))</f>
        <v/>
      </c>
      <c r="CS128" s="144" t="str">
        <f aca="false">IF(ISBLANK($C128),"",IF($BX128&lt;&gt;Constants!$B$6,"",IF($BL128="-&gt;",$BN128,$BC128)))</f>
        <v/>
      </c>
      <c r="CT128" s="144" t="str">
        <f aca="false">IF(ISBLANK($C128),"",IF($BX128&lt;&gt;Constants!$B$6,"",IF($BL128="-&gt;",$BO128,$BD128)))</f>
        <v/>
      </c>
      <c r="CU128" s="144" t="str">
        <f aca="false">IF(ISBLANK($C128),"",IF($BX128&lt;&gt;Constants!$B$6,"",IF($BL128="-&gt;",$BP128+$BQ128,$BE128+$BF128)+$CB128))</f>
        <v/>
      </c>
      <c r="CV128" s="144" t="str">
        <f aca="false">IF(ISBLANK($C128),"",IF($BX128&lt;&gt;Constants!$B$6,"",IF($BL128="-&gt;",$BR128,$BG128)+$CA128))</f>
        <v/>
      </c>
      <c r="CW128" s="145" t="str">
        <f aca="false">IF(ISBLANK($C128),"",IF($BX128&lt;&gt;Constants!$B$6,$BX128,$CC128))</f>
        <v/>
      </c>
      <c r="CX128" s="146" t="str">
        <f aca="false">IF(ISBLANK($C128),"",$BY128)</f>
        <v/>
      </c>
      <c r="CY128" s="147" t="str">
        <f aca="false">IF(ISBLANK($C128),"",$CN128)</f>
        <v/>
      </c>
      <c r="CZ128" s="147" t="str">
        <f aca="false">IF(ISBLANK($C128),"",$CM128)</f>
        <v/>
      </c>
      <c r="DA128" s="148" t="str">
        <f aca="false">IF(ISBLANK($C128),"",IFERROR(_xlfn.SWITCH($CZ128,Constants!$B$9,COUNTA($C$9:$C$508)+2,Constants!$B$8,COUNTA($C$9:$C$508)+1,Constants!$B$7,COUNTA($C$9:$C$508)),$CZ128))</f>
        <v/>
      </c>
      <c r="DB128" s="9"/>
      <c r="DC128" s="149" t="n">
        <f aca="false">IF(OR(ISNUMBER($CZ128),$CZ128=Constants!$B$9,$CZ128=Constants!$B$7,$CZ128=Constants!$B$8),1,0)</f>
        <v>0</v>
      </c>
      <c r="DD128" s="149" t="n">
        <v>120</v>
      </c>
      <c r="DE128" s="149" t="str">
        <f aca="false">IF(ISBLANK($C128),"",IF(ISNUMBER($DA128),$DA128+ROW($B128)/1000,""))</f>
        <v/>
      </c>
      <c r="DF128" s="149" t="str">
        <f aca="false">IF(ISNUMBER($DE128),RANK($DE128,$DE$9:$DE$508,1),"")</f>
        <v/>
      </c>
      <c r="DG128" s="149" t="str">
        <f aca="false">IF(ISBLANK($C128),"",$B128)</f>
        <v/>
      </c>
      <c r="DH128" s="149" t="str">
        <f aca="false">IF(ISBLANK($C128),"",$C128)</f>
        <v/>
      </c>
      <c r="DI128" s="149" t="str">
        <f aca="false">IF(ISBLANK($C128),"",$D128)</f>
        <v/>
      </c>
      <c r="DJ128" s="150" t="str">
        <f aca="false">$CX128</f>
        <v/>
      </c>
      <c r="DK128" s="151" t="str">
        <f aca="false">$CW128</f>
        <v/>
      </c>
      <c r="DL128" s="149" t="str">
        <f aca="false">IF(ISBLANK($C128),"",$CZ128)</f>
        <v/>
      </c>
      <c r="DM128" s="152" t="str">
        <f aca="false">IF($DD128&gt;$DC$8,"",VLOOKUP($DD128,$DF$9:$DL$508,7,FALSE()))</f>
        <v/>
      </c>
      <c r="DN128" s="153" t="str">
        <f aca="false">IF($DD128&gt;$DC$8,"",VLOOKUP($DD128,$DF$9:$DL$508,2,FALSE()))</f>
        <v/>
      </c>
      <c r="DO128" s="153" t="str">
        <f aca="false">IF($DD128&gt;$DC$8,"",VLOOKUP($DD128,$DF$9:$DL$508,3,FALSE()))</f>
        <v/>
      </c>
      <c r="DP128" s="153" t="str">
        <f aca="false">IF($DD128&gt;$DC$8,"",VLOOKUP($DD128,$DF$9:$DL$508,4,FALSE()))</f>
        <v/>
      </c>
      <c r="DQ128" s="153" t="str">
        <f aca="false">IF($DD128&gt;$DC$8,"",VLOOKUP($DD128,$DF$9:$DL$508,5,FALSE()))</f>
        <v/>
      </c>
      <c r="DR128" s="154" t="str">
        <f aca="false">IF($DD128&gt;$DC$8,"",VLOOKUP($DD128,$DF$9:$DL$508,6,FALSE()))</f>
        <v/>
      </c>
      <c r="DS128" s="76"/>
    </row>
    <row r="129" customFormat="false" ht="15.75" hidden="false" customHeight="false" outlineLevel="0" collapsed="false">
      <c r="A129" s="9"/>
      <c r="B129" s="78"/>
      <c r="C129" s="79"/>
      <c r="D129" s="170"/>
      <c r="E129" s="178"/>
      <c r="F129" s="172"/>
      <c r="G129" s="173"/>
      <c r="H129" s="173"/>
      <c r="I129" s="179"/>
      <c r="J129" s="176"/>
      <c r="K129" s="86"/>
      <c r="L129" s="87"/>
      <c r="M129" s="88"/>
      <c r="N129" s="176"/>
      <c r="O129" s="176"/>
      <c r="P129" s="178"/>
      <c r="Q129" s="176"/>
      <c r="R129" s="176"/>
      <c r="S129" s="86"/>
      <c r="T129" s="88"/>
      <c r="U129" s="88"/>
      <c r="V129" s="176"/>
      <c r="W129" s="176"/>
      <c r="X129" s="178"/>
      <c r="Y129" s="176"/>
      <c r="Z129" s="177"/>
      <c r="AA129" s="176"/>
      <c r="AB129" s="92"/>
      <c r="AC129" s="93"/>
      <c r="AD129" s="93"/>
      <c r="AE129" s="93"/>
      <c r="AF129" s="93" t="str">
        <f aca="false">IF(ISBLANK($C129),"",IF(E129=Constants!$B$2,TRUE(),IF(E129=Constants!$B$3,FALSE(),TRUE())))</f>
        <v/>
      </c>
      <c r="AG129" s="93" t="str">
        <f aca="false">IF(ISBLANK($C129),"",IF(F129=Constants!$B$2,TRUE(),IF(F129=Constants!$B$3,FALSE(),TRUE())))</f>
        <v/>
      </c>
      <c r="AH129" s="93" t="str">
        <f aca="false">IF(ISBLANK($C129),"",IF(G129=Constants!$B$2,TRUE(),IF(G129=Constants!$B$3,FALSE(),TRUE())))</f>
        <v/>
      </c>
      <c r="AI129" s="93" t="str">
        <f aca="false">IF(ISBLANK($C129),"",IF(AND(ISNUMBER(H129),H129&gt;=0),H129,Constants!$B$24))</f>
        <v/>
      </c>
      <c r="AJ129" s="93" t="str">
        <f aca="false">IF(ISBLANK($C129),"",IF(I129=Constants!$B$2,TRUE(),IF(I129=Constants!$B$3,FALSE(),TRUE())))</f>
        <v/>
      </c>
      <c r="AK129" s="93" t="str">
        <f aca="false">IF(ISBLANK($C129),"",IF(J129=Constants!$B$2,TRUE(),IF(J129=Constants!$B$3,FALSE(),TRUE())))</f>
        <v/>
      </c>
      <c r="AL129" s="93" t="str">
        <f aca="false">IF(ISBLANK($C129),"",IF(K129=Constants!$B$4,TRUE(),IF(K129=Constants!$B$5,FALSE(),COUNTA(L129:P129)&gt;0)))</f>
        <v/>
      </c>
      <c r="AM129" s="95" t="str">
        <f aca="false">IF(ISBLANK($C129),"",IF(ISNUMBER(L129),IF(L129&gt;=0,L129,""),""))</f>
        <v/>
      </c>
      <c r="AN129" s="94" t="str">
        <f aca="false">IF(ISBLANK($C129),"",IF(ISNUMBER(M129),IF(M129&gt;=0,M129,""),""))</f>
        <v/>
      </c>
      <c r="AO129" s="94" t="str">
        <f aca="false">IF(ISBLANK($C129),"",IF(N129=Constants!$B$2,TRUE(),IF(N129=Constants!$B$3,FALSE(),TRUE())))</f>
        <v/>
      </c>
      <c r="AP129" s="93" t="str">
        <f aca="false">IF(ISBLANK($C129),"",IF(ISNUMBER(O129),IF(O129&gt;=0,O129,""),""))</f>
        <v/>
      </c>
      <c r="AQ129" s="93" t="str">
        <f aca="false">IF(ISBLANK($C129),"",IF(P129=Constants!$B$2,TRUE(),IF(P129=Constants!$B$3,FALSE(),FALSE())))</f>
        <v/>
      </c>
      <c r="AR129" s="93" t="str">
        <f aca="false">IF(ISBLANK($C129),"",IF(Q129=Constants!$B$2,TRUE(),IF(Q129=Constants!$B$3,FALSE(),TRUE())))</f>
        <v/>
      </c>
      <c r="AS129" s="93" t="str">
        <f aca="false">IF(ISBLANK($C129),"",IF(R129=Constants!$B$2,TRUE(),IF(R129=Constants!$B$3,FALSE(),TRUE())))</f>
        <v/>
      </c>
      <c r="AT129" s="93" t="str">
        <f aca="false">IF(ISBLANK($C129),"",IF(S129=Constants!$B$4,TRUE(),IF(S129=Constants!$B$5,FALSE(),COUNTA(T129:X129)&gt;0)))</f>
        <v/>
      </c>
      <c r="AU129" s="95" t="str">
        <f aca="false">IF(ISBLANK($C129),"",IF(ISNUMBER(T129),IF(T129&gt;=0,T129,""),""))</f>
        <v/>
      </c>
      <c r="AV129" s="94" t="str">
        <f aca="false">IF(ISBLANK($C129),"",IF(ISNUMBER(U129),IF(U129&gt;=0,U129,""),""))</f>
        <v/>
      </c>
      <c r="AW129" s="94" t="str">
        <f aca="false">IF(ISBLANK($C129),"",IF(V129=Constants!$B$2,TRUE(),IF(V129=Constants!$B$3,FALSE(),TRUE())))</f>
        <v/>
      </c>
      <c r="AX129" s="93" t="str">
        <f aca="false">IF(ISBLANK($C129),"",IF(ISNUMBER(W129),IF(W129&gt;=0,W129,""),""))</f>
        <v/>
      </c>
      <c r="AY129" s="93" t="str">
        <f aca="false">IF(ISBLANK($C129),"",IF(X129=Constants!$B$2,TRUE(),IF(X129=Constants!$B$3,FALSE(),FALSE())))</f>
        <v/>
      </c>
      <c r="AZ129" s="93" t="str">
        <f aca="false">IF(ISBLANK($C129),"",MIN(Constants!$B$25,MAX(0,IF(ISNUMBER(Y129),Y129*60,0)+IF(ISNUMBER(Z129),Z129,0))))</f>
        <v/>
      </c>
      <c r="BA129" s="93" t="str">
        <f aca="false">IF(ISBLANK($C129),"",IF(AA129=Constants!$B$2,TRUE(),IF(AA129=Constants!$B$3,FALSE(),FALSE())))</f>
        <v/>
      </c>
      <c r="BB129" s="92" t="str">
        <f aca="false">IF(ISBLANK($C129),"",AND($AL129,OR($AM129="",$AN129="",AND($AO129,$AP129=""))))</f>
        <v/>
      </c>
      <c r="BC129" s="94" t="str">
        <f aca="false">IF($BX129&lt;&gt;Constants!$B$6,"",IF($AL129,Constants!$B$17*$AN129+Constants!$B$18*IF($AO129,$AP129,Constants!$B$19),Constants!$B$20))</f>
        <v/>
      </c>
      <c r="BD129" s="97" t="str">
        <f aca="false">IF($BX129&lt;&gt;Constants!$B$6,"",Constants!$B$21*ABS($AD$9-IF($AL129,$AM129,0)))</f>
        <v/>
      </c>
      <c r="BE129" s="97" t="str">
        <f aca="false">IF($BX129&lt;&gt;Constants!$B$6,"",IF(AND($AL129,$AQ129,$AO129),Constants!$B$22,0))</f>
        <v/>
      </c>
      <c r="BF129" s="97" t="str">
        <f aca="false">IF($BX129&lt;&gt;Constants!$B$6,"",IF($AL129,($AI129-Constants!$B$24)*Constants!$B$23,0))</f>
        <v/>
      </c>
      <c r="BG129" s="97" t="str">
        <f aca="false">IF($BX129&lt;&gt;Constants!$B$6,"",IF($AK129,0,Constants!$B$12)+IF($AJ129,0,Constants!$B$13)+IF($AH129,0,Constants!$B$14))</f>
        <v/>
      </c>
      <c r="BH129" s="98" t="str">
        <f aca="false">IF($BX129&lt;&gt;Constants!$B$6,"",Constants!$B$16+SUM($BC129:$BG129))</f>
        <v/>
      </c>
      <c r="BI129" s="97" t="str">
        <f aca="false">IF($BX129&lt;&gt;Constants!$B$6,"",$BC129)</f>
        <v/>
      </c>
      <c r="BJ129" s="97" t="str">
        <f aca="false">IF($BX129&lt;&gt;Constants!$B$6,"",$BD129)</f>
        <v/>
      </c>
      <c r="BK129" s="99" t="str">
        <f aca="false">IF($BX129&lt;&gt;Constants!$B$6,"",IF($AL129,$AN129,""))</f>
        <v/>
      </c>
      <c r="BL129" s="93" t="str">
        <f aca="false">IF($BX129&lt;&gt;Constants!$B$6,"",IF(OR($BS129&lt;$BH129,AND($BS129=$BH129,OR($BT129&lt;$BI129,AND($BT129=$BI129,OR($BU129&lt;$BJ129,AND($BU129=$BJ129,AND(ISNUMBER($BV129),OR(NOT(ISNUMBER($BK129)),$BV129&lt;$BK129)))))))),"-&gt;","&lt;-"))</f>
        <v/>
      </c>
      <c r="BM129" s="92" t="str">
        <f aca="false">IF(ISBLANK($C129),"",AND($AT129,OR($AU129="",$AV129="",AND($AW129,$AX129=""))))</f>
        <v/>
      </c>
      <c r="BN129" s="94" t="str">
        <f aca="false">IF($BX129&lt;&gt;Constants!$B$6,"",IF($AT129,Constants!$B$17*$AV129+Constants!$B$18*IF($AW129,$AX129,Constants!$B$19),Constants!$B$20))</f>
        <v/>
      </c>
      <c r="BO129" s="97" t="str">
        <f aca="false">IF($BX129&lt;&gt;Constants!$B$6,"",Constants!$B$21*ABS($AD$9-IF($AT129,$AU129,0)))</f>
        <v/>
      </c>
      <c r="BP129" s="97" t="str">
        <f aca="false">IF($BX129&lt;&gt;Constants!$B$6,"",IF(AND($AT129,$AY129,$AW129),Constants!$B$22,0))</f>
        <v/>
      </c>
      <c r="BQ129" s="97" t="str">
        <f aca="false">IF($BX129&lt;&gt;Constants!$B$6,"",IF($AT129,($AI129-Constants!$B$24)*Constants!$B$23,0))</f>
        <v/>
      </c>
      <c r="BR129" s="97" t="str">
        <f aca="false">IF($BX129&lt;&gt;Constants!$B$6,"",IF($AS129,0,Constants!$B$12)+IF($AR129,0,Constants!$B$13)+IF($AH129,0,Constants!$B$14))</f>
        <v/>
      </c>
      <c r="BS129" s="98" t="str">
        <f aca="false">IF($BX129&lt;&gt;Constants!$B$6,"",Constants!$B$16+SUM($BN129:$BR129))</f>
        <v/>
      </c>
      <c r="BT129" s="97" t="str">
        <f aca="false">IF($BX129&lt;&gt;Constants!$B$6,"",$BN129)</f>
        <v/>
      </c>
      <c r="BU129" s="97" t="str">
        <f aca="false">IF($BX129&lt;&gt;Constants!$B$6,"",$BO129)</f>
        <v/>
      </c>
      <c r="BV129" s="99" t="str">
        <f aca="false">IF($BX129&lt;&gt;Constants!$B$6,"",IF($AT129,$AV129,""))</f>
        <v/>
      </c>
      <c r="BW129" s="93" t="str">
        <f aca="false">IF(ISBLANK($C129),"",IF(ISBLANK($D$7),$BW$5,IF(NOT(ISNUMBER($D$7)),$BW$6,"")))</f>
        <v/>
      </c>
      <c r="BX129" s="93" t="str">
        <f aca="false">IF(ISBLANK($C129),"",IF($BA129,Constants!$B$9,IF(COUNTA($E129:$AA129)=0,Constants!$B$8,IF(NOT($AG129),Constants!$B$7,IF(OR($BW129&lt;&gt;"",$BB129,$BM129),Constants!$B$10,Constants!$B$6)))))</f>
        <v/>
      </c>
      <c r="BY129" s="93" t="str">
        <f aca="false">IF(ISBLANK($C129),"",IF($BX129&lt;&gt;Constants!$B$6,$BX129,Constants!$B$11))</f>
        <v/>
      </c>
      <c r="BZ129" s="97" t="str">
        <f aca="false">IF($BX129&lt;&gt;Constants!$B$6,"",IF($BL129="-&gt;",$BS129,$BH129))</f>
        <v/>
      </c>
      <c r="CA129" s="97" t="str">
        <f aca="false">IF($BX129&lt;&gt;Constants!$B$6,"",IF($AF129,0,Constants!$B$15))</f>
        <v/>
      </c>
      <c r="CB129" s="97" t="str">
        <f aca="false">IF($BX129&lt;&gt;Constants!$B$6,"",((Constants!$B$25-$AZ129)-Constants!$B$25)/Constants!$B$26)</f>
        <v/>
      </c>
      <c r="CC129" s="97" t="str">
        <f aca="false">IF(ISBLANK($C129),"",IF($BX129&lt;&gt;Constants!$B$6,$BX129,SUM($BZ129:$CB129)))</f>
        <v/>
      </c>
      <c r="CD129" s="93" t="str">
        <f aca="false">IF(ISBLANK($C129),"",IF($BX129&lt;&gt;Constants!$B$6,$BX129,RANK($CC129,$CC$9:$CC$508,1)))</f>
        <v/>
      </c>
      <c r="CE129" s="97" t="str">
        <f aca="false">IF($BX129&lt;&gt;Constants!$B$6,"",IF($BL129="-&gt;",$BT129,$BI129))</f>
        <v/>
      </c>
      <c r="CF129" s="93" t="str">
        <f aca="false">IF(ISBLANK($C129),"",IF($BX129&lt;&gt;Constants!$B$6,$BX129,IF(ISNUMBER($CE129),RANK($CE129,$CE$9:$CE$508,1),COUNT($CE$9:$CE$508)+1)))</f>
        <v/>
      </c>
      <c r="CG129" s="97" t="str">
        <f aca="false">IF($BX129&lt;&gt;Constants!$B$6,"",IF($BL129="-&gt;",$BU129,$BJ129))</f>
        <v/>
      </c>
      <c r="CH129" s="93" t="str">
        <f aca="false">IF(ISBLANK($C129),"",IF($BX129&lt;&gt;Constants!$B$6,$BX129,IF(ISNUMBER($CG129),RANK($CG129,$CG$9:$CG$508,1),COUNT($CG$9:$CG$508)+1)))</f>
        <v/>
      </c>
      <c r="CI129" s="97" t="str">
        <f aca="false">IF($BX129&lt;&gt;Constants!$B$6,"",IF($BL129="-&gt;",$BV129,$BK129))</f>
        <v/>
      </c>
      <c r="CJ129" s="93" t="str">
        <f aca="false">IF(ISBLANK($C129),"",IF($BX129&lt;&gt;Constants!$B$6,$BX129,IF(ISNUMBER($CI129),RANK($CI129,$CI$9:$CI$508,1),COUNT($CI$9:$CI$508)+1)))</f>
        <v/>
      </c>
      <c r="CK129" s="97" t="str">
        <f aca="false">IF($BX129&lt;&gt;Constants!$B$6,"",$AI129)</f>
        <v/>
      </c>
      <c r="CL129" s="93" t="str">
        <f aca="false">IF(ISBLANK($C129),"",IF($BX129&lt;&gt;Constants!$B$6,$BX129,IF(ISNUMBER($CK129),RANK($CK129,$CK$9:$CK$508,1),COUNT($CK$9:$CK$508)+1)))</f>
        <v/>
      </c>
      <c r="CM129" s="93" t="str">
        <f aca="false">IF(ISBLANK($C129),"",IF($BX129&lt;&gt;Constants!$B$6,$BX129,COUNTIFS($CD$9:$CD$508,"&lt;"&amp;$CD129)+COUNTIFS($CD$9:$CD$508,$CD129,$CF$9:$CF$508,"&lt;"&amp;$CF129)+COUNTIFS($CD$9:$CD$508,$CD129,$CF$9:$CF$508,$CF129,$CH$9:$CH$508,"&lt;"&amp;$CH129)+COUNTIFS($CD$9:$CD$508,$CD129,$CF$9:$CF$508,$CF129,$CH$9:$CH$508,$CH129,$CJ$9:$CJ$508,"&lt;"&amp;$CJ129)+COUNTIFS($CD$9:$CD$508,$CD129,$CF$9:$CF$508,$CF129,$CH$9:$CH$508,$CH129,$CJ$9:$CJ$508,$CJ129,$CL$9:$CL$508,"&lt;"&amp;$CL129)+1))</f>
        <v/>
      </c>
      <c r="CN129" s="93" t="str">
        <f aca="false">IF(ISBLANK($C129),"",IF($BX129&lt;&gt;Constants!$B$6,$BX129,$CD129-$CM129))</f>
        <v/>
      </c>
      <c r="CO129" s="100"/>
      <c r="CP129" s="101"/>
      <c r="CQ129" s="102" t="str">
        <f aca="false">IF(ISBLANK($C129),"",IF($BX129=Constants!$B$10,$BW129,""))</f>
        <v/>
      </c>
      <c r="CR129" s="101" t="str">
        <f aca="false">IF(ISBLANK($C129),"",IF($BX129&lt;&gt;Constants!$B$6,"",IF($BL129="-&gt;",2,1)))</f>
        <v/>
      </c>
      <c r="CS129" s="103" t="str">
        <f aca="false">IF(ISBLANK($C129),"",IF($BX129&lt;&gt;Constants!$B$6,"",IF($BL129="-&gt;",$BN129,$BC129)))</f>
        <v/>
      </c>
      <c r="CT129" s="103" t="str">
        <f aca="false">IF(ISBLANK($C129),"",IF($BX129&lt;&gt;Constants!$B$6,"",IF($BL129="-&gt;",$BO129,$BD129)))</f>
        <v/>
      </c>
      <c r="CU129" s="103" t="str">
        <f aca="false">IF(ISBLANK($C129),"",IF($BX129&lt;&gt;Constants!$B$6,"",IF($BL129="-&gt;",$BP129+$BQ129,$BE129+$BF129)+$CB129))</f>
        <v/>
      </c>
      <c r="CV129" s="103" t="str">
        <f aca="false">IF(ISBLANK($C129),"",IF($BX129&lt;&gt;Constants!$B$6,"",IF($BL129="-&gt;",$BR129,$BG129)+$CA129))</f>
        <v/>
      </c>
      <c r="CW129" s="104" t="str">
        <f aca="false">IF(ISBLANK($C129),"",IF($BX129&lt;&gt;Constants!$B$6,$BX129,$CC129))</f>
        <v/>
      </c>
      <c r="CX129" s="105" t="str">
        <f aca="false">IF(ISBLANK($C129),"",$BY129)</f>
        <v/>
      </c>
      <c r="CY129" s="106" t="str">
        <f aca="false">IF(ISBLANK($C129),"",$CN129)</f>
        <v/>
      </c>
      <c r="CZ129" s="106" t="str">
        <f aca="false">IF(ISBLANK($C129),"",$CM129)</f>
        <v/>
      </c>
      <c r="DA129" s="107" t="str">
        <f aca="false">IF(ISBLANK($C129),"",IFERROR(_xlfn.SWITCH($CZ129,Constants!$B$9,COUNTA($C$9:$C$508)+2,Constants!$B$8,COUNTA($C$9:$C$508)+1,Constants!$B$7,COUNTA($C$9:$C$508)),$CZ129))</f>
        <v/>
      </c>
      <c r="DB129" s="9"/>
      <c r="DC129" s="108" t="n">
        <f aca="false">IF(OR(ISNUMBER($CZ129),$CZ129=Constants!$B$9,$CZ129=Constants!$B$7,$CZ129=Constants!$B$8),1,0)</f>
        <v>0</v>
      </c>
      <c r="DD129" s="108" t="n">
        <v>121</v>
      </c>
      <c r="DE129" s="108" t="str">
        <f aca="false">IF(ISBLANK($C129),"",IF(ISNUMBER($DA129),$DA129+ROW($B129)/1000,""))</f>
        <v/>
      </c>
      <c r="DF129" s="108" t="str">
        <f aca="false">IF(ISNUMBER($DE129),RANK($DE129,$DE$9:$DE$508,1),"")</f>
        <v/>
      </c>
      <c r="DG129" s="108" t="str">
        <f aca="false">IF(ISBLANK($C129),"",$B129)</f>
        <v/>
      </c>
      <c r="DH129" s="108" t="str">
        <f aca="false">IF(ISBLANK($C129),"",$C129)</f>
        <v/>
      </c>
      <c r="DI129" s="108" t="str">
        <f aca="false">IF(ISBLANK($C129),"",$D129)</f>
        <v/>
      </c>
      <c r="DJ129" s="109" t="str">
        <f aca="false">$CX129</f>
        <v/>
      </c>
      <c r="DK129" s="110" t="str">
        <f aca="false">$CW129</f>
        <v/>
      </c>
      <c r="DL129" s="108" t="str">
        <f aca="false">IF(ISBLANK($C129),"",$CZ129)</f>
        <v/>
      </c>
      <c r="DM129" s="111" t="str">
        <f aca="false">IF($DD129&gt;$DC$8,"",VLOOKUP($DD129,$DF$9:$DL$508,7,FALSE()))</f>
        <v/>
      </c>
      <c r="DN129" s="112" t="str">
        <f aca="false">IF($DD129&gt;$DC$8,"",VLOOKUP($DD129,$DF$9:$DL$508,2,FALSE()))</f>
        <v/>
      </c>
      <c r="DO129" s="112" t="str">
        <f aca="false">IF($DD129&gt;$DC$8,"",VLOOKUP($DD129,$DF$9:$DL$508,3,FALSE()))</f>
        <v/>
      </c>
      <c r="DP129" s="112" t="str">
        <f aca="false">IF($DD129&gt;$DC$8,"",VLOOKUP($DD129,$DF$9:$DL$508,4,FALSE()))</f>
        <v/>
      </c>
      <c r="DQ129" s="112" t="str">
        <f aca="false">IF($DD129&gt;$DC$8,"",VLOOKUP($DD129,$DF$9:$DL$508,5,FALSE()))</f>
        <v/>
      </c>
      <c r="DR129" s="113" t="str">
        <f aca="false">IF($DD129&gt;$DC$8,"",VLOOKUP($DD129,$DF$9:$DL$508,6,FALSE()))</f>
        <v/>
      </c>
      <c r="DS129" s="76"/>
    </row>
    <row r="130" customFormat="false" ht="15.75" hidden="false" customHeight="false" outlineLevel="0" collapsed="false">
      <c r="A130" s="9"/>
      <c r="B130" s="78"/>
      <c r="C130" s="79"/>
      <c r="D130" s="170"/>
      <c r="E130" s="178"/>
      <c r="F130" s="172"/>
      <c r="G130" s="173"/>
      <c r="H130" s="173"/>
      <c r="I130" s="179"/>
      <c r="J130" s="176"/>
      <c r="K130" s="86"/>
      <c r="L130" s="87"/>
      <c r="M130" s="88"/>
      <c r="N130" s="176"/>
      <c r="O130" s="176"/>
      <c r="P130" s="178"/>
      <c r="Q130" s="176"/>
      <c r="R130" s="176"/>
      <c r="S130" s="86"/>
      <c r="T130" s="88"/>
      <c r="U130" s="88"/>
      <c r="V130" s="176"/>
      <c r="W130" s="176"/>
      <c r="X130" s="178"/>
      <c r="Y130" s="176"/>
      <c r="Z130" s="177"/>
      <c r="AA130" s="176"/>
      <c r="AB130" s="92"/>
      <c r="AC130" s="93"/>
      <c r="AD130" s="93"/>
      <c r="AE130" s="93"/>
      <c r="AF130" s="93" t="str">
        <f aca="false">IF(ISBLANK($C130),"",IF(E130=Constants!$B$2,TRUE(),IF(E130=Constants!$B$3,FALSE(),TRUE())))</f>
        <v/>
      </c>
      <c r="AG130" s="93" t="str">
        <f aca="false">IF(ISBLANK($C130),"",IF(F130=Constants!$B$2,TRUE(),IF(F130=Constants!$B$3,FALSE(),TRUE())))</f>
        <v/>
      </c>
      <c r="AH130" s="93" t="str">
        <f aca="false">IF(ISBLANK($C130),"",IF(G130=Constants!$B$2,TRUE(),IF(G130=Constants!$B$3,FALSE(),TRUE())))</f>
        <v/>
      </c>
      <c r="AI130" s="93" t="str">
        <f aca="false">IF(ISBLANK($C130),"",IF(AND(ISNUMBER(H130),H130&gt;=0),H130,Constants!$B$24))</f>
        <v/>
      </c>
      <c r="AJ130" s="93" t="str">
        <f aca="false">IF(ISBLANK($C130),"",IF(I130=Constants!$B$2,TRUE(),IF(I130=Constants!$B$3,FALSE(),TRUE())))</f>
        <v/>
      </c>
      <c r="AK130" s="93" t="str">
        <f aca="false">IF(ISBLANK($C130),"",IF(J130=Constants!$B$2,TRUE(),IF(J130=Constants!$B$3,FALSE(),TRUE())))</f>
        <v/>
      </c>
      <c r="AL130" s="93" t="str">
        <f aca="false">IF(ISBLANK($C130),"",IF(K130=Constants!$B$4,TRUE(),IF(K130=Constants!$B$5,FALSE(),COUNTA(L130:P130)&gt;0)))</f>
        <v/>
      </c>
      <c r="AM130" s="95" t="str">
        <f aca="false">IF(ISBLANK($C130),"",IF(ISNUMBER(L130),IF(L130&gt;=0,L130,""),""))</f>
        <v/>
      </c>
      <c r="AN130" s="94" t="str">
        <f aca="false">IF(ISBLANK($C130),"",IF(ISNUMBER(M130),IF(M130&gt;=0,M130,""),""))</f>
        <v/>
      </c>
      <c r="AO130" s="94" t="str">
        <f aca="false">IF(ISBLANK($C130),"",IF(N130=Constants!$B$2,TRUE(),IF(N130=Constants!$B$3,FALSE(),TRUE())))</f>
        <v/>
      </c>
      <c r="AP130" s="93" t="str">
        <f aca="false">IF(ISBLANK($C130),"",IF(ISNUMBER(O130),IF(O130&gt;=0,O130,""),""))</f>
        <v/>
      </c>
      <c r="AQ130" s="93" t="str">
        <f aca="false">IF(ISBLANK($C130),"",IF(P130=Constants!$B$2,TRUE(),IF(P130=Constants!$B$3,FALSE(),FALSE())))</f>
        <v/>
      </c>
      <c r="AR130" s="93" t="str">
        <f aca="false">IF(ISBLANK($C130),"",IF(Q130=Constants!$B$2,TRUE(),IF(Q130=Constants!$B$3,FALSE(),TRUE())))</f>
        <v/>
      </c>
      <c r="AS130" s="93" t="str">
        <f aca="false">IF(ISBLANK($C130),"",IF(R130=Constants!$B$2,TRUE(),IF(R130=Constants!$B$3,FALSE(),TRUE())))</f>
        <v/>
      </c>
      <c r="AT130" s="93" t="str">
        <f aca="false">IF(ISBLANK($C130),"",IF(S130=Constants!$B$4,TRUE(),IF(S130=Constants!$B$5,FALSE(),COUNTA(T130:X130)&gt;0)))</f>
        <v/>
      </c>
      <c r="AU130" s="95" t="str">
        <f aca="false">IF(ISBLANK($C130),"",IF(ISNUMBER(T130),IF(T130&gt;=0,T130,""),""))</f>
        <v/>
      </c>
      <c r="AV130" s="94" t="str">
        <f aca="false">IF(ISBLANK($C130),"",IF(ISNUMBER(U130),IF(U130&gt;=0,U130,""),""))</f>
        <v/>
      </c>
      <c r="AW130" s="94" t="str">
        <f aca="false">IF(ISBLANK($C130),"",IF(V130=Constants!$B$2,TRUE(),IF(V130=Constants!$B$3,FALSE(),TRUE())))</f>
        <v/>
      </c>
      <c r="AX130" s="93" t="str">
        <f aca="false">IF(ISBLANK($C130),"",IF(ISNUMBER(W130),IF(W130&gt;=0,W130,""),""))</f>
        <v/>
      </c>
      <c r="AY130" s="93" t="str">
        <f aca="false">IF(ISBLANK($C130),"",IF(X130=Constants!$B$2,TRUE(),IF(X130=Constants!$B$3,FALSE(),FALSE())))</f>
        <v/>
      </c>
      <c r="AZ130" s="93" t="str">
        <f aca="false">IF(ISBLANK($C130),"",MIN(Constants!$B$25,MAX(0,IF(ISNUMBER(Y130),Y130*60,0)+IF(ISNUMBER(Z130),Z130,0))))</f>
        <v/>
      </c>
      <c r="BA130" s="93" t="str">
        <f aca="false">IF(ISBLANK($C130),"",IF(AA130=Constants!$B$2,TRUE(),IF(AA130=Constants!$B$3,FALSE(),FALSE())))</f>
        <v/>
      </c>
      <c r="BB130" s="92" t="str">
        <f aca="false">IF(ISBLANK($C130),"",AND($AL130,OR($AM130="",$AN130="",AND($AO130,$AP130=""))))</f>
        <v/>
      </c>
      <c r="BC130" s="94" t="str">
        <f aca="false">IF($BX130&lt;&gt;Constants!$B$6,"",IF($AL130,Constants!$B$17*$AN130+Constants!$B$18*IF($AO130,$AP130,Constants!$B$19),Constants!$B$20))</f>
        <v/>
      </c>
      <c r="BD130" s="97" t="str">
        <f aca="false">IF($BX130&lt;&gt;Constants!$B$6,"",Constants!$B$21*ABS($AD$9-IF($AL130,$AM130,0)))</f>
        <v/>
      </c>
      <c r="BE130" s="97" t="str">
        <f aca="false">IF($BX130&lt;&gt;Constants!$B$6,"",IF(AND($AL130,$AQ130,$AO130),Constants!$B$22,0))</f>
        <v/>
      </c>
      <c r="BF130" s="97" t="str">
        <f aca="false">IF($BX130&lt;&gt;Constants!$B$6,"",IF($AL130,($AI130-Constants!$B$24)*Constants!$B$23,0))</f>
        <v/>
      </c>
      <c r="BG130" s="97" t="str">
        <f aca="false">IF($BX130&lt;&gt;Constants!$B$6,"",IF($AK130,0,Constants!$B$12)+IF($AJ130,0,Constants!$B$13)+IF($AH130,0,Constants!$B$14))</f>
        <v/>
      </c>
      <c r="BH130" s="98" t="str">
        <f aca="false">IF($BX130&lt;&gt;Constants!$B$6,"",Constants!$B$16+SUM($BC130:$BG130))</f>
        <v/>
      </c>
      <c r="BI130" s="97" t="str">
        <f aca="false">IF($BX130&lt;&gt;Constants!$B$6,"",$BC130)</f>
        <v/>
      </c>
      <c r="BJ130" s="97" t="str">
        <f aca="false">IF($BX130&lt;&gt;Constants!$B$6,"",$BD130)</f>
        <v/>
      </c>
      <c r="BK130" s="99" t="str">
        <f aca="false">IF($BX130&lt;&gt;Constants!$B$6,"",IF($AL130,$AN130,""))</f>
        <v/>
      </c>
      <c r="BL130" s="93" t="str">
        <f aca="false">IF($BX130&lt;&gt;Constants!$B$6,"",IF(OR($BS130&lt;$BH130,AND($BS130=$BH130,OR($BT130&lt;$BI130,AND($BT130=$BI130,OR($BU130&lt;$BJ130,AND($BU130=$BJ130,AND(ISNUMBER($BV130),OR(NOT(ISNUMBER($BK130)),$BV130&lt;$BK130)))))))),"-&gt;","&lt;-"))</f>
        <v/>
      </c>
      <c r="BM130" s="92" t="str">
        <f aca="false">IF(ISBLANK($C130),"",AND($AT130,OR($AU130="",$AV130="",AND($AW130,$AX130=""))))</f>
        <v/>
      </c>
      <c r="BN130" s="94" t="str">
        <f aca="false">IF($BX130&lt;&gt;Constants!$B$6,"",IF($AT130,Constants!$B$17*$AV130+Constants!$B$18*IF($AW130,$AX130,Constants!$B$19),Constants!$B$20))</f>
        <v/>
      </c>
      <c r="BO130" s="97" t="str">
        <f aca="false">IF($BX130&lt;&gt;Constants!$B$6,"",Constants!$B$21*ABS($AD$9-IF($AT130,$AU130,0)))</f>
        <v/>
      </c>
      <c r="BP130" s="97" t="str">
        <f aca="false">IF($BX130&lt;&gt;Constants!$B$6,"",IF(AND($AT130,$AY130,$AW130),Constants!$B$22,0))</f>
        <v/>
      </c>
      <c r="BQ130" s="97" t="str">
        <f aca="false">IF($BX130&lt;&gt;Constants!$B$6,"",IF($AT130,($AI130-Constants!$B$24)*Constants!$B$23,0))</f>
        <v/>
      </c>
      <c r="BR130" s="97" t="str">
        <f aca="false">IF($BX130&lt;&gt;Constants!$B$6,"",IF($AS130,0,Constants!$B$12)+IF($AR130,0,Constants!$B$13)+IF($AH130,0,Constants!$B$14))</f>
        <v/>
      </c>
      <c r="BS130" s="98" t="str">
        <f aca="false">IF($BX130&lt;&gt;Constants!$B$6,"",Constants!$B$16+SUM($BN130:$BR130))</f>
        <v/>
      </c>
      <c r="BT130" s="97" t="str">
        <f aca="false">IF($BX130&lt;&gt;Constants!$B$6,"",$BN130)</f>
        <v/>
      </c>
      <c r="BU130" s="97" t="str">
        <f aca="false">IF($BX130&lt;&gt;Constants!$B$6,"",$BO130)</f>
        <v/>
      </c>
      <c r="BV130" s="99" t="str">
        <f aca="false">IF($BX130&lt;&gt;Constants!$B$6,"",IF($AT130,$AV130,""))</f>
        <v/>
      </c>
      <c r="BW130" s="93" t="str">
        <f aca="false">IF(ISBLANK($C130),"",IF(ISBLANK($D$7),$BW$5,IF(NOT(ISNUMBER($D$7)),$BW$6,"")))</f>
        <v/>
      </c>
      <c r="BX130" s="93" t="str">
        <f aca="false">IF(ISBLANK($C130),"",IF($BA130,Constants!$B$9,IF(COUNTA($E130:$AA130)=0,Constants!$B$8,IF(NOT($AG130),Constants!$B$7,IF(OR($BW130&lt;&gt;"",$BB130,$BM130),Constants!$B$10,Constants!$B$6)))))</f>
        <v/>
      </c>
      <c r="BY130" s="93" t="str">
        <f aca="false">IF(ISBLANK($C130),"",IF($BX130&lt;&gt;Constants!$B$6,$BX130,Constants!$B$11))</f>
        <v/>
      </c>
      <c r="BZ130" s="97" t="str">
        <f aca="false">IF($BX130&lt;&gt;Constants!$B$6,"",IF($BL130="-&gt;",$BS130,$BH130))</f>
        <v/>
      </c>
      <c r="CA130" s="97" t="str">
        <f aca="false">IF($BX130&lt;&gt;Constants!$B$6,"",IF($AF130,0,Constants!$B$15))</f>
        <v/>
      </c>
      <c r="CB130" s="97" t="str">
        <f aca="false">IF($BX130&lt;&gt;Constants!$B$6,"",((Constants!$B$25-$AZ130)-Constants!$B$25)/Constants!$B$26)</f>
        <v/>
      </c>
      <c r="CC130" s="97" t="str">
        <f aca="false">IF(ISBLANK($C130),"",IF($BX130&lt;&gt;Constants!$B$6,$BX130,SUM($BZ130:$CB130)))</f>
        <v/>
      </c>
      <c r="CD130" s="93" t="str">
        <f aca="false">IF(ISBLANK($C130),"",IF($BX130&lt;&gt;Constants!$B$6,$BX130,RANK($CC130,$CC$9:$CC$508,1)))</f>
        <v/>
      </c>
      <c r="CE130" s="97" t="str">
        <f aca="false">IF($BX130&lt;&gt;Constants!$B$6,"",IF($BL130="-&gt;",$BT130,$BI130))</f>
        <v/>
      </c>
      <c r="CF130" s="93" t="str">
        <f aca="false">IF(ISBLANK($C130),"",IF($BX130&lt;&gt;Constants!$B$6,$BX130,IF(ISNUMBER($CE130),RANK($CE130,$CE$9:$CE$508,1),COUNT($CE$9:$CE$508)+1)))</f>
        <v/>
      </c>
      <c r="CG130" s="97" t="str">
        <f aca="false">IF($BX130&lt;&gt;Constants!$B$6,"",IF($BL130="-&gt;",$BU130,$BJ130))</f>
        <v/>
      </c>
      <c r="CH130" s="93" t="str">
        <f aca="false">IF(ISBLANK($C130),"",IF($BX130&lt;&gt;Constants!$B$6,$BX130,IF(ISNUMBER($CG130),RANK($CG130,$CG$9:$CG$508,1),COUNT($CG$9:$CG$508)+1)))</f>
        <v/>
      </c>
      <c r="CI130" s="97" t="str">
        <f aca="false">IF($BX130&lt;&gt;Constants!$B$6,"",IF($BL130="-&gt;",$BV130,$BK130))</f>
        <v/>
      </c>
      <c r="CJ130" s="93" t="str">
        <f aca="false">IF(ISBLANK($C130),"",IF($BX130&lt;&gt;Constants!$B$6,$BX130,IF(ISNUMBER($CI130),RANK($CI130,$CI$9:$CI$508,1),COUNT($CI$9:$CI$508)+1)))</f>
        <v/>
      </c>
      <c r="CK130" s="97" t="str">
        <f aca="false">IF($BX130&lt;&gt;Constants!$B$6,"",$AI130)</f>
        <v/>
      </c>
      <c r="CL130" s="93" t="str">
        <f aca="false">IF(ISBLANK($C130),"",IF($BX130&lt;&gt;Constants!$B$6,$BX130,IF(ISNUMBER($CK130),RANK($CK130,$CK$9:$CK$508,1),COUNT($CK$9:$CK$508)+1)))</f>
        <v/>
      </c>
      <c r="CM130" s="93" t="str">
        <f aca="false">IF(ISBLANK($C130),"",IF($BX130&lt;&gt;Constants!$B$6,$BX130,COUNTIFS($CD$9:$CD$508,"&lt;"&amp;$CD130)+COUNTIFS($CD$9:$CD$508,$CD130,$CF$9:$CF$508,"&lt;"&amp;$CF130)+COUNTIFS($CD$9:$CD$508,$CD130,$CF$9:$CF$508,$CF130,$CH$9:$CH$508,"&lt;"&amp;$CH130)+COUNTIFS($CD$9:$CD$508,$CD130,$CF$9:$CF$508,$CF130,$CH$9:$CH$508,$CH130,$CJ$9:$CJ$508,"&lt;"&amp;$CJ130)+COUNTIFS($CD$9:$CD$508,$CD130,$CF$9:$CF$508,$CF130,$CH$9:$CH$508,$CH130,$CJ$9:$CJ$508,$CJ130,$CL$9:$CL$508,"&lt;"&amp;$CL130)+1))</f>
        <v/>
      </c>
      <c r="CN130" s="93" t="str">
        <f aca="false">IF(ISBLANK($C130),"",IF($BX130&lt;&gt;Constants!$B$6,$BX130,$CD130-$CM130))</f>
        <v/>
      </c>
      <c r="CO130" s="100"/>
      <c r="CP130" s="101"/>
      <c r="CQ130" s="102" t="str">
        <f aca="false">IF(ISBLANK($C130),"",IF($BX130=Constants!$B$10,$BW130,""))</f>
        <v/>
      </c>
      <c r="CR130" s="101" t="str">
        <f aca="false">IF(ISBLANK($C130),"",IF($BX130&lt;&gt;Constants!$B$6,"",IF($BL130="-&gt;",2,1)))</f>
        <v/>
      </c>
      <c r="CS130" s="103" t="str">
        <f aca="false">IF(ISBLANK($C130),"",IF($BX130&lt;&gt;Constants!$B$6,"",IF($BL130="-&gt;",$BN130,$BC130)))</f>
        <v/>
      </c>
      <c r="CT130" s="103" t="str">
        <f aca="false">IF(ISBLANK($C130),"",IF($BX130&lt;&gt;Constants!$B$6,"",IF($BL130="-&gt;",$BO130,$BD130)))</f>
        <v/>
      </c>
      <c r="CU130" s="103" t="str">
        <f aca="false">IF(ISBLANK($C130),"",IF($BX130&lt;&gt;Constants!$B$6,"",IF($BL130="-&gt;",$BP130+$BQ130,$BE130+$BF130)+$CB130))</f>
        <v/>
      </c>
      <c r="CV130" s="103" t="str">
        <f aca="false">IF(ISBLANK($C130),"",IF($BX130&lt;&gt;Constants!$B$6,"",IF($BL130="-&gt;",$BR130,$BG130)+$CA130))</f>
        <v/>
      </c>
      <c r="CW130" s="104" t="str">
        <f aca="false">IF(ISBLANK($C130),"",IF($BX130&lt;&gt;Constants!$B$6,$BX130,$CC130))</f>
        <v/>
      </c>
      <c r="CX130" s="105" t="str">
        <f aca="false">IF(ISBLANK($C130),"",$BY130)</f>
        <v/>
      </c>
      <c r="CY130" s="106" t="str">
        <f aca="false">IF(ISBLANK($C130),"",$CN130)</f>
        <v/>
      </c>
      <c r="CZ130" s="106" t="str">
        <f aca="false">IF(ISBLANK($C130),"",$CM130)</f>
        <v/>
      </c>
      <c r="DA130" s="107" t="str">
        <f aca="false">IF(ISBLANK($C130),"",IFERROR(_xlfn.SWITCH($CZ130,Constants!$B$9,COUNTA($C$9:$C$508)+2,Constants!$B$8,COUNTA($C$9:$C$508)+1,Constants!$B$7,COUNTA($C$9:$C$508)),$CZ130))</f>
        <v/>
      </c>
      <c r="DB130" s="9"/>
      <c r="DC130" s="108" t="n">
        <f aca="false">IF(OR(ISNUMBER($CZ130),$CZ130=Constants!$B$9,$CZ130=Constants!$B$7,$CZ130=Constants!$B$8),1,0)</f>
        <v>0</v>
      </c>
      <c r="DD130" s="108" t="n">
        <v>122</v>
      </c>
      <c r="DE130" s="108" t="str">
        <f aca="false">IF(ISBLANK($C130),"",IF(ISNUMBER($DA130),$DA130+ROW($B130)/1000,""))</f>
        <v/>
      </c>
      <c r="DF130" s="108" t="str">
        <f aca="false">IF(ISNUMBER($DE130),RANK($DE130,$DE$9:$DE$508,1),"")</f>
        <v/>
      </c>
      <c r="DG130" s="108" t="str">
        <f aca="false">IF(ISBLANK($C130),"",$B130)</f>
        <v/>
      </c>
      <c r="DH130" s="108" t="str">
        <f aca="false">IF(ISBLANK($C130),"",$C130)</f>
        <v/>
      </c>
      <c r="DI130" s="108" t="str">
        <f aca="false">IF(ISBLANK($C130),"",$D130)</f>
        <v/>
      </c>
      <c r="DJ130" s="109" t="str">
        <f aca="false">$CX130</f>
        <v/>
      </c>
      <c r="DK130" s="110" t="str">
        <f aca="false">$CW130</f>
        <v/>
      </c>
      <c r="DL130" s="108" t="str">
        <f aca="false">IF(ISBLANK($C130),"",$CZ130)</f>
        <v/>
      </c>
      <c r="DM130" s="111" t="str">
        <f aca="false">IF($DD130&gt;$DC$8,"",VLOOKUP($DD130,$DF$9:$DL$508,7,FALSE()))</f>
        <v/>
      </c>
      <c r="DN130" s="112" t="str">
        <f aca="false">IF($DD130&gt;$DC$8,"",VLOOKUP($DD130,$DF$9:$DL$508,2,FALSE()))</f>
        <v/>
      </c>
      <c r="DO130" s="112" t="str">
        <f aca="false">IF($DD130&gt;$DC$8,"",VLOOKUP($DD130,$DF$9:$DL$508,3,FALSE()))</f>
        <v/>
      </c>
      <c r="DP130" s="112" t="str">
        <f aca="false">IF($DD130&gt;$DC$8,"",VLOOKUP($DD130,$DF$9:$DL$508,4,FALSE()))</f>
        <v/>
      </c>
      <c r="DQ130" s="112" t="str">
        <f aca="false">IF($DD130&gt;$DC$8,"",VLOOKUP($DD130,$DF$9:$DL$508,5,FALSE()))</f>
        <v/>
      </c>
      <c r="DR130" s="113" t="str">
        <f aca="false">IF($DD130&gt;$DC$8,"",VLOOKUP($DD130,$DF$9:$DL$508,6,FALSE()))</f>
        <v/>
      </c>
      <c r="DS130" s="76"/>
    </row>
    <row r="131" customFormat="false" ht="15.75" hidden="false" customHeight="false" outlineLevel="0" collapsed="false">
      <c r="A131" s="9"/>
      <c r="B131" s="78"/>
      <c r="C131" s="79"/>
      <c r="D131" s="170"/>
      <c r="E131" s="178"/>
      <c r="F131" s="172"/>
      <c r="G131" s="173"/>
      <c r="H131" s="173"/>
      <c r="I131" s="179"/>
      <c r="J131" s="176"/>
      <c r="K131" s="86"/>
      <c r="L131" s="87"/>
      <c r="M131" s="88"/>
      <c r="N131" s="176"/>
      <c r="O131" s="176"/>
      <c r="P131" s="178"/>
      <c r="Q131" s="176"/>
      <c r="R131" s="176"/>
      <c r="S131" s="86"/>
      <c r="T131" s="88"/>
      <c r="U131" s="88"/>
      <c r="V131" s="176"/>
      <c r="W131" s="176"/>
      <c r="X131" s="178"/>
      <c r="Y131" s="176"/>
      <c r="Z131" s="177"/>
      <c r="AA131" s="176"/>
      <c r="AB131" s="92"/>
      <c r="AC131" s="93"/>
      <c r="AD131" s="93"/>
      <c r="AE131" s="93"/>
      <c r="AF131" s="93" t="str">
        <f aca="false">IF(ISBLANK($C131),"",IF(E131=Constants!$B$2,TRUE(),IF(E131=Constants!$B$3,FALSE(),TRUE())))</f>
        <v/>
      </c>
      <c r="AG131" s="93" t="str">
        <f aca="false">IF(ISBLANK($C131),"",IF(F131=Constants!$B$2,TRUE(),IF(F131=Constants!$B$3,FALSE(),TRUE())))</f>
        <v/>
      </c>
      <c r="AH131" s="93" t="str">
        <f aca="false">IF(ISBLANK($C131),"",IF(G131=Constants!$B$2,TRUE(),IF(G131=Constants!$B$3,FALSE(),TRUE())))</f>
        <v/>
      </c>
      <c r="AI131" s="93" t="str">
        <f aca="false">IF(ISBLANK($C131),"",IF(AND(ISNUMBER(H131),H131&gt;=0),H131,Constants!$B$24))</f>
        <v/>
      </c>
      <c r="AJ131" s="93" t="str">
        <f aca="false">IF(ISBLANK($C131),"",IF(I131=Constants!$B$2,TRUE(),IF(I131=Constants!$B$3,FALSE(),TRUE())))</f>
        <v/>
      </c>
      <c r="AK131" s="93" t="str">
        <f aca="false">IF(ISBLANK($C131),"",IF(J131=Constants!$B$2,TRUE(),IF(J131=Constants!$B$3,FALSE(),TRUE())))</f>
        <v/>
      </c>
      <c r="AL131" s="93" t="str">
        <f aca="false">IF(ISBLANK($C131),"",IF(K131=Constants!$B$4,TRUE(),IF(K131=Constants!$B$5,FALSE(),COUNTA(L131:P131)&gt;0)))</f>
        <v/>
      </c>
      <c r="AM131" s="95" t="str">
        <f aca="false">IF(ISBLANK($C131),"",IF(ISNUMBER(L131),IF(L131&gt;=0,L131,""),""))</f>
        <v/>
      </c>
      <c r="AN131" s="94" t="str">
        <f aca="false">IF(ISBLANK($C131),"",IF(ISNUMBER(M131),IF(M131&gt;=0,M131,""),""))</f>
        <v/>
      </c>
      <c r="AO131" s="94" t="str">
        <f aca="false">IF(ISBLANK($C131),"",IF(N131=Constants!$B$2,TRUE(),IF(N131=Constants!$B$3,FALSE(),TRUE())))</f>
        <v/>
      </c>
      <c r="AP131" s="93" t="str">
        <f aca="false">IF(ISBLANK($C131),"",IF(ISNUMBER(O131),IF(O131&gt;=0,O131,""),""))</f>
        <v/>
      </c>
      <c r="AQ131" s="93" t="str">
        <f aca="false">IF(ISBLANK($C131),"",IF(P131=Constants!$B$2,TRUE(),IF(P131=Constants!$B$3,FALSE(),FALSE())))</f>
        <v/>
      </c>
      <c r="AR131" s="93" t="str">
        <f aca="false">IF(ISBLANK($C131),"",IF(Q131=Constants!$B$2,TRUE(),IF(Q131=Constants!$B$3,FALSE(),TRUE())))</f>
        <v/>
      </c>
      <c r="AS131" s="93" t="str">
        <f aca="false">IF(ISBLANK($C131),"",IF(R131=Constants!$B$2,TRUE(),IF(R131=Constants!$B$3,FALSE(),TRUE())))</f>
        <v/>
      </c>
      <c r="AT131" s="93" t="str">
        <f aca="false">IF(ISBLANK($C131),"",IF(S131=Constants!$B$4,TRUE(),IF(S131=Constants!$B$5,FALSE(),COUNTA(T131:X131)&gt;0)))</f>
        <v/>
      </c>
      <c r="AU131" s="95" t="str">
        <f aca="false">IF(ISBLANK($C131),"",IF(ISNUMBER(T131),IF(T131&gt;=0,T131,""),""))</f>
        <v/>
      </c>
      <c r="AV131" s="94" t="str">
        <f aca="false">IF(ISBLANK($C131),"",IF(ISNUMBER(U131),IF(U131&gt;=0,U131,""),""))</f>
        <v/>
      </c>
      <c r="AW131" s="94" t="str">
        <f aca="false">IF(ISBLANK($C131),"",IF(V131=Constants!$B$2,TRUE(),IF(V131=Constants!$B$3,FALSE(),TRUE())))</f>
        <v/>
      </c>
      <c r="AX131" s="93" t="str">
        <f aca="false">IF(ISBLANK($C131),"",IF(ISNUMBER(W131),IF(W131&gt;=0,W131,""),""))</f>
        <v/>
      </c>
      <c r="AY131" s="93" t="str">
        <f aca="false">IF(ISBLANK($C131),"",IF(X131=Constants!$B$2,TRUE(),IF(X131=Constants!$B$3,FALSE(),FALSE())))</f>
        <v/>
      </c>
      <c r="AZ131" s="93" t="str">
        <f aca="false">IF(ISBLANK($C131),"",MIN(Constants!$B$25,MAX(0,IF(ISNUMBER(Y131),Y131*60,0)+IF(ISNUMBER(Z131),Z131,0))))</f>
        <v/>
      </c>
      <c r="BA131" s="93" t="str">
        <f aca="false">IF(ISBLANK($C131),"",IF(AA131=Constants!$B$2,TRUE(),IF(AA131=Constants!$B$3,FALSE(),FALSE())))</f>
        <v/>
      </c>
      <c r="BB131" s="92" t="str">
        <f aca="false">IF(ISBLANK($C131),"",AND($AL131,OR($AM131="",$AN131="",AND($AO131,$AP131=""))))</f>
        <v/>
      </c>
      <c r="BC131" s="94" t="str">
        <f aca="false">IF($BX131&lt;&gt;Constants!$B$6,"",IF($AL131,Constants!$B$17*$AN131+Constants!$B$18*IF($AO131,$AP131,Constants!$B$19),Constants!$B$20))</f>
        <v/>
      </c>
      <c r="BD131" s="97" t="str">
        <f aca="false">IF($BX131&lt;&gt;Constants!$B$6,"",Constants!$B$21*ABS($AD$9-IF($AL131,$AM131,0)))</f>
        <v/>
      </c>
      <c r="BE131" s="97" t="str">
        <f aca="false">IF($BX131&lt;&gt;Constants!$B$6,"",IF(AND($AL131,$AQ131,$AO131),Constants!$B$22,0))</f>
        <v/>
      </c>
      <c r="BF131" s="97" t="str">
        <f aca="false">IF($BX131&lt;&gt;Constants!$B$6,"",IF($AL131,($AI131-Constants!$B$24)*Constants!$B$23,0))</f>
        <v/>
      </c>
      <c r="BG131" s="97" t="str">
        <f aca="false">IF($BX131&lt;&gt;Constants!$B$6,"",IF($AK131,0,Constants!$B$12)+IF($AJ131,0,Constants!$B$13)+IF($AH131,0,Constants!$B$14))</f>
        <v/>
      </c>
      <c r="BH131" s="98" t="str">
        <f aca="false">IF($BX131&lt;&gt;Constants!$B$6,"",Constants!$B$16+SUM($BC131:$BG131))</f>
        <v/>
      </c>
      <c r="BI131" s="97" t="str">
        <f aca="false">IF($BX131&lt;&gt;Constants!$B$6,"",$BC131)</f>
        <v/>
      </c>
      <c r="BJ131" s="97" t="str">
        <f aca="false">IF($BX131&lt;&gt;Constants!$B$6,"",$BD131)</f>
        <v/>
      </c>
      <c r="BK131" s="99" t="str">
        <f aca="false">IF($BX131&lt;&gt;Constants!$B$6,"",IF($AL131,$AN131,""))</f>
        <v/>
      </c>
      <c r="BL131" s="93" t="str">
        <f aca="false">IF($BX131&lt;&gt;Constants!$B$6,"",IF(OR($BS131&lt;$BH131,AND($BS131=$BH131,OR($BT131&lt;$BI131,AND($BT131=$BI131,OR($BU131&lt;$BJ131,AND($BU131=$BJ131,AND(ISNUMBER($BV131),OR(NOT(ISNUMBER($BK131)),$BV131&lt;$BK131)))))))),"-&gt;","&lt;-"))</f>
        <v/>
      </c>
      <c r="BM131" s="92" t="str">
        <f aca="false">IF(ISBLANK($C131),"",AND($AT131,OR($AU131="",$AV131="",AND($AW131,$AX131=""))))</f>
        <v/>
      </c>
      <c r="BN131" s="94" t="str">
        <f aca="false">IF($BX131&lt;&gt;Constants!$B$6,"",IF($AT131,Constants!$B$17*$AV131+Constants!$B$18*IF($AW131,$AX131,Constants!$B$19),Constants!$B$20))</f>
        <v/>
      </c>
      <c r="BO131" s="97" t="str">
        <f aca="false">IF($BX131&lt;&gt;Constants!$B$6,"",Constants!$B$21*ABS($AD$9-IF($AT131,$AU131,0)))</f>
        <v/>
      </c>
      <c r="BP131" s="97" t="str">
        <f aca="false">IF($BX131&lt;&gt;Constants!$B$6,"",IF(AND($AT131,$AY131,$AW131),Constants!$B$22,0))</f>
        <v/>
      </c>
      <c r="BQ131" s="97" t="str">
        <f aca="false">IF($BX131&lt;&gt;Constants!$B$6,"",IF($AT131,($AI131-Constants!$B$24)*Constants!$B$23,0))</f>
        <v/>
      </c>
      <c r="BR131" s="97" t="str">
        <f aca="false">IF($BX131&lt;&gt;Constants!$B$6,"",IF($AS131,0,Constants!$B$12)+IF($AR131,0,Constants!$B$13)+IF($AH131,0,Constants!$B$14))</f>
        <v/>
      </c>
      <c r="BS131" s="98" t="str">
        <f aca="false">IF($BX131&lt;&gt;Constants!$B$6,"",Constants!$B$16+SUM($BN131:$BR131))</f>
        <v/>
      </c>
      <c r="BT131" s="97" t="str">
        <f aca="false">IF($BX131&lt;&gt;Constants!$B$6,"",$BN131)</f>
        <v/>
      </c>
      <c r="BU131" s="97" t="str">
        <f aca="false">IF($BX131&lt;&gt;Constants!$B$6,"",$BO131)</f>
        <v/>
      </c>
      <c r="BV131" s="99" t="str">
        <f aca="false">IF($BX131&lt;&gt;Constants!$B$6,"",IF($AT131,$AV131,""))</f>
        <v/>
      </c>
      <c r="BW131" s="93" t="str">
        <f aca="false">IF(ISBLANK($C131),"",IF(ISBLANK($D$7),$BW$5,IF(NOT(ISNUMBER($D$7)),$BW$6,"")))</f>
        <v/>
      </c>
      <c r="BX131" s="93" t="str">
        <f aca="false">IF(ISBLANK($C131),"",IF($BA131,Constants!$B$9,IF(COUNTA($E131:$AA131)=0,Constants!$B$8,IF(NOT($AG131),Constants!$B$7,IF(OR($BW131&lt;&gt;"",$BB131,$BM131),Constants!$B$10,Constants!$B$6)))))</f>
        <v/>
      </c>
      <c r="BY131" s="93" t="str">
        <f aca="false">IF(ISBLANK($C131),"",IF($BX131&lt;&gt;Constants!$B$6,$BX131,Constants!$B$11))</f>
        <v/>
      </c>
      <c r="BZ131" s="97" t="str">
        <f aca="false">IF($BX131&lt;&gt;Constants!$B$6,"",IF($BL131="-&gt;",$BS131,$BH131))</f>
        <v/>
      </c>
      <c r="CA131" s="97" t="str">
        <f aca="false">IF($BX131&lt;&gt;Constants!$B$6,"",IF($AF131,0,Constants!$B$15))</f>
        <v/>
      </c>
      <c r="CB131" s="97" t="str">
        <f aca="false">IF($BX131&lt;&gt;Constants!$B$6,"",((Constants!$B$25-$AZ131)-Constants!$B$25)/Constants!$B$26)</f>
        <v/>
      </c>
      <c r="CC131" s="97" t="str">
        <f aca="false">IF(ISBLANK($C131),"",IF($BX131&lt;&gt;Constants!$B$6,$BX131,SUM($BZ131:$CB131)))</f>
        <v/>
      </c>
      <c r="CD131" s="93" t="str">
        <f aca="false">IF(ISBLANK($C131),"",IF($BX131&lt;&gt;Constants!$B$6,$BX131,RANK($CC131,$CC$9:$CC$508,1)))</f>
        <v/>
      </c>
      <c r="CE131" s="97" t="str">
        <f aca="false">IF($BX131&lt;&gt;Constants!$B$6,"",IF($BL131="-&gt;",$BT131,$BI131))</f>
        <v/>
      </c>
      <c r="CF131" s="93" t="str">
        <f aca="false">IF(ISBLANK($C131),"",IF($BX131&lt;&gt;Constants!$B$6,$BX131,IF(ISNUMBER($CE131),RANK($CE131,$CE$9:$CE$508,1),COUNT($CE$9:$CE$508)+1)))</f>
        <v/>
      </c>
      <c r="CG131" s="97" t="str">
        <f aca="false">IF($BX131&lt;&gt;Constants!$B$6,"",IF($BL131="-&gt;",$BU131,$BJ131))</f>
        <v/>
      </c>
      <c r="CH131" s="93" t="str">
        <f aca="false">IF(ISBLANK($C131),"",IF($BX131&lt;&gt;Constants!$B$6,$BX131,IF(ISNUMBER($CG131),RANK($CG131,$CG$9:$CG$508,1),COUNT($CG$9:$CG$508)+1)))</f>
        <v/>
      </c>
      <c r="CI131" s="97" t="str">
        <f aca="false">IF($BX131&lt;&gt;Constants!$B$6,"",IF($BL131="-&gt;",$BV131,$BK131))</f>
        <v/>
      </c>
      <c r="CJ131" s="93" t="str">
        <f aca="false">IF(ISBLANK($C131),"",IF($BX131&lt;&gt;Constants!$B$6,$BX131,IF(ISNUMBER($CI131),RANK($CI131,$CI$9:$CI$508,1),COUNT($CI$9:$CI$508)+1)))</f>
        <v/>
      </c>
      <c r="CK131" s="97" t="str">
        <f aca="false">IF($BX131&lt;&gt;Constants!$B$6,"",$AI131)</f>
        <v/>
      </c>
      <c r="CL131" s="93" t="str">
        <f aca="false">IF(ISBLANK($C131),"",IF($BX131&lt;&gt;Constants!$B$6,$BX131,IF(ISNUMBER($CK131),RANK($CK131,$CK$9:$CK$508,1),COUNT($CK$9:$CK$508)+1)))</f>
        <v/>
      </c>
      <c r="CM131" s="93" t="str">
        <f aca="false">IF(ISBLANK($C131),"",IF($BX131&lt;&gt;Constants!$B$6,$BX131,COUNTIFS($CD$9:$CD$508,"&lt;"&amp;$CD131)+COUNTIFS($CD$9:$CD$508,$CD131,$CF$9:$CF$508,"&lt;"&amp;$CF131)+COUNTIFS($CD$9:$CD$508,$CD131,$CF$9:$CF$508,$CF131,$CH$9:$CH$508,"&lt;"&amp;$CH131)+COUNTIFS($CD$9:$CD$508,$CD131,$CF$9:$CF$508,$CF131,$CH$9:$CH$508,$CH131,$CJ$9:$CJ$508,"&lt;"&amp;$CJ131)+COUNTIFS($CD$9:$CD$508,$CD131,$CF$9:$CF$508,$CF131,$CH$9:$CH$508,$CH131,$CJ$9:$CJ$508,$CJ131,$CL$9:$CL$508,"&lt;"&amp;$CL131)+1))</f>
        <v/>
      </c>
      <c r="CN131" s="93" t="str">
        <f aca="false">IF(ISBLANK($C131),"",IF($BX131&lt;&gt;Constants!$B$6,$BX131,$CD131-$CM131))</f>
        <v/>
      </c>
      <c r="CO131" s="100"/>
      <c r="CP131" s="101"/>
      <c r="CQ131" s="102" t="str">
        <f aca="false">IF(ISBLANK($C131),"",IF($BX131=Constants!$B$10,$BW131,""))</f>
        <v/>
      </c>
      <c r="CR131" s="101" t="str">
        <f aca="false">IF(ISBLANK($C131),"",IF($BX131&lt;&gt;Constants!$B$6,"",IF($BL131="-&gt;",2,1)))</f>
        <v/>
      </c>
      <c r="CS131" s="103" t="str">
        <f aca="false">IF(ISBLANK($C131),"",IF($BX131&lt;&gt;Constants!$B$6,"",IF($BL131="-&gt;",$BN131,$BC131)))</f>
        <v/>
      </c>
      <c r="CT131" s="103" t="str">
        <f aca="false">IF(ISBLANK($C131),"",IF($BX131&lt;&gt;Constants!$B$6,"",IF($BL131="-&gt;",$BO131,$BD131)))</f>
        <v/>
      </c>
      <c r="CU131" s="103" t="str">
        <f aca="false">IF(ISBLANK($C131),"",IF($BX131&lt;&gt;Constants!$B$6,"",IF($BL131="-&gt;",$BP131+$BQ131,$BE131+$BF131)+$CB131))</f>
        <v/>
      </c>
      <c r="CV131" s="103" t="str">
        <f aca="false">IF(ISBLANK($C131),"",IF($BX131&lt;&gt;Constants!$B$6,"",IF($BL131="-&gt;",$BR131,$BG131)+$CA131))</f>
        <v/>
      </c>
      <c r="CW131" s="104" t="str">
        <f aca="false">IF(ISBLANK($C131),"",IF($BX131&lt;&gt;Constants!$B$6,$BX131,$CC131))</f>
        <v/>
      </c>
      <c r="CX131" s="105" t="str">
        <f aca="false">IF(ISBLANK($C131),"",$BY131)</f>
        <v/>
      </c>
      <c r="CY131" s="106" t="str">
        <f aca="false">IF(ISBLANK($C131),"",$CN131)</f>
        <v/>
      </c>
      <c r="CZ131" s="106" t="str">
        <f aca="false">IF(ISBLANK($C131),"",$CM131)</f>
        <v/>
      </c>
      <c r="DA131" s="107" t="str">
        <f aca="false">IF(ISBLANK($C131),"",IFERROR(_xlfn.SWITCH($CZ131,Constants!$B$9,COUNTA($C$9:$C$508)+2,Constants!$B$8,COUNTA($C$9:$C$508)+1,Constants!$B$7,COUNTA($C$9:$C$508)),$CZ131))</f>
        <v/>
      </c>
      <c r="DB131" s="9"/>
      <c r="DC131" s="108" t="n">
        <f aca="false">IF(OR(ISNUMBER($CZ131),$CZ131=Constants!$B$9,$CZ131=Constants!$B$7,$CZ131=Constants!$B$8),1,0)</f>
        <v>0</v>
      </c>
      <c r="DD131" s="108" t="n">
        <v>123</v>
      </c>
      <c r="DE131" s="108" t="str">
        <f aca="false">IF(ISBLANK($C131),"",IF(ISNUMBER($DA131),$DA131+ROW($B131)/1000,""))</f>
        <v/>
      </c>
      <c r="DF131" s="108" t="str">
        <f aca="false">IF(ISNUMBER($DE131),RANK($DE131,$DE$9:$DE$508,1),"")</f>
        <v/>
      </c>
      <c r="DG131" s="108" t="str">
        <f aca="false">IF(ISBLANK($C131),"",$B131)</f>
        <v/>
      </c>
      <c r="DH131" s="108" t="str">
        <f aca="false">IF(ISBLANK($C131),"",$C131)</f>
        <v/>
      </c>
      <c r="DI131" s="108" t="str">
        <f aca="false">IF(ISBLANK($C131),"",$D131)</f>
        <v/>
      </c>
      <c r="DJ131" s="109" t="str">
        <f aca="false">$CX131</f>
        <v/>
      </c>
      <c r="DK131" s="110" t="str">
        <f aca="false">$CW131</f>
        <v/>
      </c>
      <c r="DL131" s="108" t="str">
        <f aca="false">IF(ISBLANK($C131),"",$CZ131)</f>
        <v/>
      </c>
      <c r="DM131" s="111" t="str">
        <f aca="false">IF($DD131&gt;$DC$8,"",VLOOKUP($DD131,$DF$9:$DL$508,7,FALSE()))</f>
        <v/>
      </c>
      <c r="DN131" s="112" t="str">
        <f aca="false">IF($DD131&gt;$DC$8,"",VLOOKUP($DD131,$DF$9:$DL$508,2,FALSE()))</f>
        <v/>
      </c>
      <c r="DO131" s="112" t="str">
        <f aca="false">IF($DD131&gt;$DC$8,"",VLOOKUP($DD131,$DF$9:$DL$508,3,FALSE()))</f>
        <v/>
      </c>
      <c r="DP131" s="112" t="str">
        <f aca="false">IF($DD131&gt;$DC$8,"",VLOOKUP($DD131,$DF$9:$DL$508,4,FALSE()))</f>
        <v/>
      </c>
      <c r="DQ131" s="112" t="str">
        <f aca="false">IF($DD131&gt;$DC$8,"",VLOOKUP($DD131,$DF$9:$DL$508,5,FALSE()))</f>
        <v/>
      </c>
      <c r="DR131" s="113" t="str">
        <f aca="false">IF($DD131&gt;$DC$8,"",VLOOKUP($DD131,$DF$9:$DL$508,6,FALSE()))</f>
        <v/>
      </c>
      <c r="DS131" s="76"/>
    </row>
    <row r="132" customFormat="false" ht="15.75" hidden="false" customHeight="false" outlineLevel="0" collapsed="false">
      <c r="A132" s="9"/>
      <c r="B132" s="160"/>
      <c r="C132" s="161"/>
      <c r="D132" s="162"/>
      <c r="E132" s="180"/>
      <c r="F132" s="164"/>
      <c r="G132" s="165"/>
      <c r="H132" s="165"/>
      <c r="I132" s="181"/>
      <c r="J132" s="168"/>
      <c r="K132" s="128"/>
      <c r="L132" s="129"/>
      <c r="M132" s="130"/>
      <c r="N132" s="168"/>
      <c r="O132" s="168"/>
      <c r="P132" s="180"/>
      <c r="Q132" s="168"/>
      <c r="R132" s="168"/>
      <c r="S132" s="128"/>
      <c r="T132" s="130"/>
      <c r="U132" s="130"/>
      <c r="V132" s="168"/>
      <c r="W132" s="168"/>
      <c r="X132" s="180"/>
      <c r="Y132" s="168"/>
      <c r="Z132" s="169"/>
      <c r="AA132" s="168"/>
      <c r="AB132" s="134"/>
      <c r="AC132" s="135"/>
      <c r="AD132" s="135"/>
      <c r="AE132" s="135"/>
      <c r="AF132" s="135" t="str">
        <f aca="false">IF(ISBLANK($C132),"",IF(E132=Constants!$B$2,TRUE(),IF(E132=Constants!$B$3,FALSE(),TRUE())))</f>
        <v/>
      </c>
      <c r="AG132" s="135" t="str">
        <f aca="false">IF(ISBLANK($C132),"",IF(F132=Constants!$B$2,TRUE(),IF(F132=Constants!$B$3,FALSE(),TRUE())))</f>
        <v/>
      </c>
      <c r="AH132" s="135" t="str">
        <f aca="false">IF(ISBLANK($C132),"",IF(G132=Constants!$B$2,TRUE(),IF(G132=Constants!$B$3,FALSE(),TRUE())))</f>
        <v/>
      </c>
      <c r="AI132" s="135" t="str">
        <f aca="false">IF(ISBLANK($C132),"",IF(AND(ISNUMBER(H132),H132&gt;=0),H132,Constants!$B$24))</f>
        <v/>
      </c>
      <c r="AJ132" s="135" t="str">
        <f aca="false">IF(ISBLANK($C132),"",IF(I132=Constants!$B$2,TRUE(),IF(I132=Constants!$B$3,FALSE(),TRUE())))</f>
        <v/>
      </c>
      <c r="AK132" s="135" t="str">
        <f aca="false">IF(ISBLANK($C132),"",IF(J132=Constants!$B$2,TRUE(),IF(J132=Constants!$B$3,FALSE(),TRUE())))</f>
        <v/>
      </c>
      <c r="AL132" s="135" t="str">
        <f aca="false">IF(ISBLANK($C132),"",IF(K132=Constants!$B$4,TRUE(),IF(K132=Constants!$B$5,FALSE(),COUNTA(L132:P132)&gt;0)))</f>
        <v/>
      </c>
      <c r="AM132" s="136" t="str">
        <f aca="false">IF(ISBLANK($C132),"",IF(ISNUMBER(L132),IF(L132&gt;=0,L132,""),""))</f>
        <v/>
      </c>
      <c r="AN132" s="137" t="str">
        <f aca="false">IF(ISBLANK($C132),"",IF(ISNUMBER(M132),IF(M132&gt;=0,M132,""),""))</f>
        <v/>
      </c>
      <c r="AO132" s="137" t="str">
        <f aca="false">IF(ISBLANK($C132),"",IF(N132=Constants!$B$2,TRUE(),IF(N132=Constants!$B$3,FALSE(),TRUE())))</f>
        <v/>
      </c>
      <c r="AP132" s="135" t="str">
        <f aca="false">IF(ISBLANK($C132),"",IF(ISNUMBER(O132),IF(O132&gt;=0,O132,""),""))</f>
        <v/>
      </c>
      <c r="AQ132" s="135" t="str">
        <f aca="false">IF(ISBLANK($C132),"",IF(P132=Constants!$B$2,TRUE(),IF(P132=Constants!$B$3,FALSE(),FALSE())))</f>
        <v/>
      </c>
      <c r="AR132" s="135" t="str">
        <f aca="false">IF(ISBLANK($C132),"",IF(Q132=Constants!$B$2,TRUE(),IF(Q132=Constants!$B$3,FALSE(),TRUE())))</f>
        <v/>
      </c>
      <c r="AS132" s="135" t="str">
        <f aca="false">IF(ISBLANK($C132),"",IF(R132=Constants!$B$2,TRUE(),IF(R132=Constants!$B$3,FALSE(),TRUE())))</f>
        <v/>
      </c>
      <c r="AT132" s="135" t="str">
        <f aca="false">IF(ISBLANK($C132),"",IF(S132=Constants!$B$4,TRUE(),IF(S132=Constants!$B$5,FALSE(),COUNTA(T132:X132)&gt;0)))</f>
        <v/>
      </c>
      <c r="AU132" s="136" t="str">
        <f aca="false">IF(ISBLANK($C132),"",IF(ISNUMBER(T132),IF(T132&gt;=0,T132,""),""))</f>
        <v/>
      </c>
      <c r="AV132" s="137" t="str">
        <f aca="false">IF(ISBLANK($C132),"",IF(ISNUMBER(U132),IF(U132&gt;=0,U132,""),""))</f>
        <v/>
      </c>
      <c r="AW132" s="137" t="str">
        <f aca="false">IF(ISBLANK($C132),"",IF(V132=Constants!$B$2,TRUE(),IF(V132=Constants!$B$3,FALSE(),TRUE())))</f>
        <v/>
      </c>
      <c r="AX132" s="135" t="str">
        <f aca="false">IF(ISBLANK($C132),"",IF(ISNUMBER(W132),IF(W132&gt;=0,W132,""),""))</f>
        <v/>
      </c>
      <c r="AY132" s="135" t="str">
        <f aca="false">IF(ISBLANK($C132),"",IF(X132=Constants!$B$2,TRUE(),IF(X132=Constants!$B$3,FALSE(),FALSE())))</f>
        <v/>
      </c>
      <c r="AZ132" s="135" t="str">
        <f aca="false">IF(ISBLANK($C132),"",MIN(Constants!$B$25,MAX(0,IF(ISNUMBER(Y132),Y132*60,0)+IF(ISNUMBER(Z132),Z132,0))))</f>
        <v/>
      </c>
      <c r="BA132" s="135" t="str">
        <f aca="false">IF(ISBLANK($C132),"",IF(AA132=Constants!$B$2,TRUE(),IF(AA132=Constants!$B$3,FALSE(),FALSE())))</f>
        <v/>
      </c>
      <c r="BB132" s="134" t="str">
        <f aca="false">IF(ISBLANK($C132),"",AND($AL132,OR($AM132="",$AN132="",AND($AO132,$AP132=""))))</f>
        <v/>
      </c>
      <c r="BC132" s="137" t="str">
        <f aca="false">IF($BX132&lt;&gt;Constants!$B$6,"",IF($AL132,Constants!$B$17*$AN132+Constants!$B$18*IF($AO132,$AP132,Constants!$B$19),Constants!$B$20))</f>
        <v/>
      </c>
      <c r="BD132" s="138" t="str">
        <f aca="false">IF($BX132&lt;&gt;Constants!$B$6,"",Constants!$B$21*ABS($AD$9-IF($AL132,$AM132,0)))</f>
        <v/>
      </c>
      <c r="BE132" s="138" t="str">
        <f aca="false">IF($BX132&lt;&gt;Constants!$B$6,"",IF(AND($AL132,$AQ132,$AO132),Constants!$B$22,0))</f>
        <v/>
      </c>
      <c r="BF132" s="138" t="str">
        <f aca="false">IF($BX132&lt;&gt;Constants!$B$6,"",IF($AL132,($AI132-Constants!$B$24)*Constants!$B$23,0))</f>
        <v/>
      </c>
      <c r="BG132" s="138" t="str">
        <f aca="false">IF($BX132&lt;&gt;Constants!$B$6,"",IF($AK132,0,Constants!$B$12)+IF($AJ132,0,Constants!$B$13)+IF($AH132,0,Constants!$B$14))</f>
        <v/>
      </c>
      <c r="BH132" s="139" t="str">
        <f aca="false">IF($BX132&lt;&gt;Constants!$B$6,"",Constants!$B$16+SUM($BC132:$BG132))</f>
        <v/>
      </c>
      <c r="BI132" s="138" t="str">
        <f aca="false">IF($BX132&lt;&gt;Constants!$B$6,"",$BC132)</f>
        <v/>
      </c>
      <c r="BJ132" s="138" t="str">
        <f aca="false">IF($BX132&lt;&gt;Constants!$B$6,"",$BD132)</f>
        <v/>
      </c>
      <c r="BK132" s="140" t="str">
        <f aca="false">IF($BX132&lt;&gt;Constants!$B$6,"",IF($AL132,$AN132,""))</f>
        <v/>
      </c>
      <c r="BL132" s="135" t="str">
        <f aca="false">IF($BX132&lt;&gt;Constants!$B$6,"",IF(OR($BS132&lt;$BH132,AND($BS132=$BH132,OR($BT132&lt;$BI132,AND($BT132=$BI132,OR($BU132&lt;$BJ132,AND($BU132=$BJ132,AND(ISNUMBER($BV132),OR(NOT(ISNUMBER($BK132)),$BV132&lt;$BK132)))))))),"-&gt;","&lt;-"))</f>
        <v/>
      </c>
      <c r="BM132" s="134" t="str">
        <f aca="false">IF(ISBLANK($C132),"",AND($AT132,OR($AU132="",$AV132="",AND($AW132,$AX132=""))))</f>
        <v/>
      </c>
      <c r="BN132" s="137" t="str">
        <f aca="false">IF($BX132&lt;&gt;Constants!$B$6,"",IF($AT132,Constants!$B$17*$AV132+Constants!$B$18*IF($AW132,$AX132,Constants!$B$19),Constants!$B$20))</f>
        <v/>
      </c>
      <c r="BO132" s="138" t="str">
        <f aca="false">IF($BX132&lt;&gt;Constants!$B$6,"",Constants!$B$21*ABS($AD$9-IF($AT132,$AU132,0)))</f>
        <v/>
      </c>
      <c r="BP132" s="138" t="str">
        <f aca="false">IF($BX132&lt;&gt;Constants!$B$6,"",IF(AND($AT132,$AY132,$AW132),Constants!$B$22,0))</f>
        <v/>
      </c>
      <c r="BQ132" s="138" t="str">
        <f aca="false">IF($BX132&lt;&gt;Constants!$B$6,"",IF($AT132,($AI132-Constants!$B$24)*Constants!$B$23,0))</f>
        <v/>
      </c>
      <c r="BR132" s="138" t="str">
        <f aca="false">IF($BX132&lt;&gt;Constants!$B$6,"",IF($AS132,0,Constants!$B$12)+IF($AR132,0,Constants!$B$13)+IF($AH132,0,Constants!$B$14))</f>
        <v/>
      </c>
      <c r="BS132" s="139" t="str">
        <f aca="false">IF($BX132&lt;&gt;Constants!$B$6,"",Constants!$B$16+SUM($BN132:$BR132))</f>
        <v/>
      </c>
      <c r="BT132" s="138" t="str">
        <f aca="false">IF($BX132&lt;&gt;Constants!$B$6,"",$BN132)</f>
        <v/>
      </c>
      <c r="BU132" s="138" t="str">
        <f aca="false">IF($BX132&lt;&gt;Constants!$B$6,"",$BO132)</f>
        <v/>
      </c>
      <c r="BV132" s="140" t="str">
        <f aca="false">IF($BX132&lt;&gt;Constants!$B$6,"",IF($AT132,$AV132,""))</f>
        <v/>
      </c>
      <c r="BW132" s="135" t="str">
        <f aca="false">IF(ISBLANK($C132),"",IF(ISBLANK($D$7),$BW$5,IF(NOT(ISNUMBER($D$7)),$BW$6,"")))</f>
        <v/>
      </c>
      <c r="BX132" s="135" t="str">
        <f aca="false">IF(ISBLANK($C132),"",IF($BA132,Constants!$B$9,IF(COUNTA($E132:$AA132)=0,Constants!$B$8,IF(NOT($AG132),Constants!$B$7,IF(OR($BW132&lt;&gt;"",$BB132,$BM132),Constants!$B$10,Constants!$B$6)))))</f>
        <v/>
      </c>
      <c r="BY132" s="135" t="str">
        <f aca="false">IF(ISBLANK($C132),"",IF($BX132&lt;&gt;Constants!$B$6,$BX132,Constants!$B$11))</f>
        <v/>
      </c>
      <c r="BZ132" s="138" t="str">
        <f aca="false">IF($BX132&lt;&gt;Constants!$B$6,"",IF($BL132="-&gt;",$BS132,$BH132))</f>
        <v/>
      </c>
      <c r="CA132" s="138" t="str">
        <f aca="false">IF($BX132&lt;&gt;Constants!$B$6,"",IF($AF132,0,Constants!$B$15))</f>
        <v/>
      </c>
      <c r="CB132" s="138" t="str">
        <f aca="false">IF($BX132&lt;&gt;Constants!$B$6,"",((Constants!$B$25-$AZ132)-Constants!$B$25)/Constants!$B$26)</f>
        <v/>
      </c>
      <c r="CC132" s="138" t="str">
        <f aca="false">IF(ISBLANK($C132),"",IF($BX132&lt;&gt;Constants!$B$6,$BX132,SUM($BZ132:$CB132)))</f>
        <v/>
      </c>
      <c r="CD132" s="135" t="str">
        <f aca="false">IF(ISBLANK($C132),"",IF($BX132&lt;&gt;Constants!$B$6,$BX132,RANK($CC132,$CC$9:$CC$508,1)))</f>
        <v/>
      </c>
      <c r="CE132" s="138" t="str">
        <f aca="false">IF($BX132&lt;&gt;Constants!$B$6,"",IF($BL132="-&gt;",$BT132,$BI132))</f>
        <v/>
      </c>
      <c r="CF132" s="135" t="str">
        <f aca="false">IF(ISBLANK($C132),"",IF($BX132&lt;&gt;Constants!$B$6,$BX132,IF(ISNUMBER($CE132),RANK($CE132,$CE$9:$CE$508,1),COUNT($CE$9:$CE$508)+1)))</f>
        <v/>
      </c>
      <c r="CG132" s="138" t="str">
        <f aca="false">IF($BX132&lt;&gt;Constants!$B$6,"",IF($BL132="-&gt;",$BU132,$BJ132))</f>
        <v/>
      </c>
      <c r="CH132" s="135" t="str">
        <f aca="false">IF(ISBLANK($C132),"",IF($BX132&lt;&gt;Constants!$B$6,$BX132,IF(ISNUMBER($CG132),RANK($CG132,$CG$9:$CG$508,1),COUNT($CG$9:$CG$508)+1)))</f>
        <v/>
      </c>
      <c r="CI132" s="138" t="str">
        <f aca="false">IF($BX132&lt;&gt;Constants!$B$6,"",IF($BL132="-&gt;",$BV132,$BK132))</f>
        <v/>
      </c>
      <c r="CJ132" s="135" t="str">
        <f aca="false">IF(ISBLANK($C132),"",IF($BX132&lt;&gt;Constants!$B$6,$BX132,IF(ISNUMBER($CI132),RANK($CI132,$CI$9:$CI$508,1),COUNT($CI$9:$CI$508)+1)))</f>
        <v/>
      </c>
      <c r="CK132" s="138" t="str">
        <f aca="false">IF($BX132&lt;&gt;Constants!$B$6,"",$AI132)</f>
        <v/>
      </c>
      <c r="CL132" s="135" t="str">
        <f aca="false">IF(ISBLANK($C132),"",IF($BX132&lt;&gt;Constants!$B$6,$BX132,IF(ISNUMBER($CK132),RANK($CK132,$CK$9:$CK$508,1),COUNT($CK$9:$CK$508)+1)))</f>
        <v/>
      </c>
      <c r="CM132" s="135" t="str">
        <f aca="false">IF(ISBLANK($C132),"",IF($BX132&lt;&gt;Constants!$B$6,$BX132,COUNTIFS($CD$9:$CD$508,"&lt;"&amp;$CD132)+COUNTIFS($CD$9:$CD$508,$CD132,$CF$9:$CF$508,"&lt;"&amp;$CF132)+COUNTIFS($CD$9:$CD$508,$CD132,$CF$9:$CF$508,$CF132,$CH$9:$CH$508,"&lt;"&amp;$CH132)+COUNTIFS($CD$9:$CD$508,$CD132,$CF$9:$CF$508,$CF132,$CH$9:$CH$508,$CH132,$CJ$9:$CJ$508,"&lt;"&amp;$CJ132)+COUNTIFS($CD$9:$CD$508,$CD132,$CF$9:$CF$508,$CF132,$CH$9:$CH$508,$CH132,$CJ$9:$CJ$508,$CJ132,$CL$9:$CL$508,"&lt;"&amp;$CL132)+1))</f>
        <v/>
      </c>
      <c r="CN132" s="135" t="str">
        <f aca="false">IF(ISBLANK($C132),"",IF($BX132&lt;&gt;Constants!$B$6,$BX132,$CD132-$CM132))</f>
        <v/>
      </c>
      <c r="CO132" s="141"/>
      <c r="CP132" s="142"/>
      <c r="CQ132" s="143" t="str">
        <f aca="false">IF(ISBLANK($C132),"",IF($BX132=Constants!$B$10,$BW132,""))</f>
        <v/>
      </c>
      <c r="CR132" s="142" t="str">
        <f aca="false">IF(ISBLANK($C132),"",IF($BX132&lt;&gt;Constants!$B$6,"",IF($BL132="-&gt;",2,1)))</f>
        <v/>
      </c>
      <c r="CS132" s="144" t="str">
        <f aca="false">IF(ISBLANK($C132),"",IF($BX132&lt;&gt;Constants!$B$6,"",IF($BL132="-&gt;",$BN132,$BC132)))</f>
        <v/>
      </c>
      <c r="CT132" s="144" t="str">
        <f aca="false">IF(ISBLANK($C132),"",IF($BX132&lt;&gt;Constants!$B$6,"",IF($BL132="-&gt;",$BO132,$BD132)))</f>
        <v/>
      </c>
      <c r="CU132" s="144" t="str">
        <f aca="false">IF(ISBLANK($C132),"",IF($BX132&lt;&gt;Constants!$B$6,"",IF($BL132="-&gt;",$BP132+$BQ132,$BE132+$BF132)+$CB132))</f>
        <v/>
      </c>
      <c r="CV132" s="144" t="str">
        <f aca="false">IF(ISBLANK($C132),"",IF($BX132&lt;&gt;Constants!$B$6,"",IF($BL132="-&gt;",$BR132,$BG132)+$CA132))</f>
        <v/>
      </c>
      <c r="CW132" s="145" t="str">
        <f aca="false">IF(ISBLANK($C132),"",IF($BX132&lt;&gt;Constants!$B$6,$BX132,$CC132))</f>
        <v/>
      </c>
      <c r="CX132" s="146" t="str">
        <f aca="false">IF(ISBLANK($C132),"",$BY132)</f>
        <v/>
      </c>
      <c r="CY132" s="147" t="str">
        <f aca="false">IF(ISBLANK($C132),"",$CN132)</f>
        <v/>
      </c>
      <c r="CZ132" s="147" t="str">
        <f aca="false">IF(ISBLANK($C132),"",$CM132)</f>
        <v/>
      </c>
      <c r="DA132" s="148" t="str">
        <f aca="false">IF(ISBLANK($C132),"",IFERROR(_xlfn.SWITCH($CZ132,Constants!$B$9,COUNTA($C$9:$C$508)+2,Constants!$B$8,COUNTA($C$9:$C$508)+1,Constants!$B$7,COUNTA($C$9:$C$508)),$CZ132))</f>
        <v/>
      </c>
      <c r="DB132" s="9"/>
      <c r="DC132" s="149" t="n">
        <f aca="false">IF(OR(ISNUMBER($CZ132),$CZ132=Constants!$B$9,$CZ132=Constants!$B$7,$CZ132=Constants!$B$8),1,0)</f>
        <v>0</v>
      </c>
      <c r="DD132" s="149" t="n">
        <v>124</v>
      </c>
      <c r="DE132" s="149" t="str">
        <f aca="false">IF(ISBLANK($C132),"",IF(ISNUMBER($DA132),$DA132+ROW($B132)/1000,""))</f>
        <v/>
      </c>
      <c r="DF132" s="149" t="str">
        <f aca="false">IF(ISNUMBER($DE132),RANK($DE132,$DE$9:$DE$508,1),"")</f>
        <v/>
      </c>
      <c r="DG132" s="149" t="str">
        <f aca="false">IF(ISBLANK($C132),"",$B132)</f>
        <v/>
      </c>
      <c r="DH132" s="149" t="str">
        <f aca="false">IF(ISBLANK($C132),"",$C132)</f>
        <v/>
      </c>
      <c r="DI132" s="149" t="str">
        <f aca="false">IF(ISBLANK($C132),"",$D132)</f>
        <v/>
      </c>
      <c r="DJ132" s="150" t="str">
        <f aca="false">$CX132</f>
        <v/>
      </c>
      <c r="DK132" s="151" t="str">
        <f aca="false">$CW132</f>
        <v/>
      </c>
      <c r="DL132" s="149" t="str">
        <f aca="false">IF(ISBLANK($C132),"",$CZ132)</f>
        <v/>
      </c>
      <c r="DM132" s="152" t="str">
        <f aca="false">IF($DD132&gt;$DC$8,"",VLOOKUP($DD132,$DF$9:$DL$508,7,FALSE()))</f>
        <v/>
      </c>
      <c r="DN132" s="153" t="str">
        <f aca="false">IF($DD132&gt;$DC$8,"",VLOOKUP($DD132,$DF$9:$DL$508,2,FALSE()))</f>
        <v/>
      </c>
      <c r="DO132" s="153" t="str">
        <f aca="false">IF($DD132&gt;$DC$8,"",VLOOKUP($DD132,$DF$9:$DL$508,3,FALSE()))</f>
        <v/>
      </c>
      <c r="DP132" s="153" t="str">
        <f aca="false">IF($DD132&gt;$DC$8,"",VLOOKUP($DD132,$DF$9:$DL$508,4,FALSE()))</f>
        <v/>
      </c>
      <c r="DQ132" s="153" t="str">
        <f aca="false">IF($DD132&gt;$DC$8,"",VLOOKUP($DD132,$DF$9:$DL$508,5,FALSE()))</f>
        <v/>
      </c>
      <c r="DR132" s="154" t="str">
        <f aca="false">IF($DD132&gt;$DC$8,"",VLOOKUP($DD132,$DF$9:$DL$508,6,FALSE()))</f>
        <v/>
      </c>
      <c r="DS132" s="76"/>
    </row>
    <row r="133" customFormat="false" ht="15.75" hidden="false" customHeight="false" outlineLevel="0" collapsed="false">
      <c r="A133" s="9"/>
      <c r="B133" s="160"/>
      <c r="C133" s="161"/>
      <c r="D133" s="162"/>
      <c r="E133" s="180"/>
      <c r="F133" s="164"/>
      <c r="G133" s="165"/>
      <c r="H133" s="165"/>
      <c r="I133" s="181"/>
      <c r="J133" s="168"/>
      <c r="K133" s="128"/>
      <c r="L133" s="129"/>
      <c r="M133" s="130"/>
      <c r="N133" s="168"/>
      <c r="O133" s="168"/>
      <c r="P133" s="180"/>
      <c r="Q133" s="168"/>
      <c r="R133" s="168"/>
      <c r="S133" s="128"/>
      <c r="T133" s="130"/>
      <c r="U133" s="130"/>
      <c r="V133" s="168"/>
      <c r="W133" s="168"/>
      <c r="X133" s="180"/>
      <c r="Y133" s="168"/>
      <c r="Z133" s="169"/>
      <c r="AA133" s="168"/>
      <c r="AB133" s="134"/>
      <c r="AC133" s="135"/>
      <c r="AD133" s="135"/>
      <c r="AE133" s="135"/>
      <c r="AF133" s="135" t="str">
        <f aca="false">IF(ISBLANK($C133),"",IF(E133=Constants!$B$2,TRUE(),IF(E133=Constants!$B$3,FALSE(),TRUE())))</f>
        <v/>
      </c>
      <c r="AG133" s="135" t="str">
        <f aca="false">IF(ISBLANK($C133),"",IF(F133=Constants!$B$2,TRUE(),IF(F133=Constants!$B$3,FALSE(),TRUE())))</f>
        <v/>
      </c>
      <c r="AH133" s="135" t="str">
        <f aca="false">IF(ISBLANK($C133),"",IF(G133=Constants!$B$2,TRUE(),IF(G133=Constants!$B$3,FALSE(),TRUE())))</f>
        <v/>
      </c>
      <c r="AI133" s="135" t="str">
        <f aca="false">IF(ISBLANK($C133),"",IF(AND(ISNUMBER(H133),H133&gt;=0),H133,Constants!$B$24))</f>
        <v/>
      </c>
      <c r="AJ133" s="135" t="str">
        <f aca="false">IF(ISBLANK($C133),"",IF(I133=Constants!$B$2,TRUE(),IF(I133=Constants!$B$3,FALSE(),TRUE())))</f>
        <v/>
      </c>
      <c r="AK133" s="135" t="str">
        <f aca="false">IF(ISBLANK($C133),"",IF(J133=Constants!$B$2,TRUE(),IF(J133=Constants!$B$3,FALSE(),TRUE())))</f>
        <v/>
      </c>
      <c r="AL133" s="135" t="str">
        <f aca="false">IF(ISBLANK($C133),"",IF(K133=Constants!$B$4,TRUE(),IF(K133=Constants!$B$5,FALSE(),COUNTA(L133:P133)&gt;0)))</f>
        <v/>
      </c>
      <c r="AM133" s="136" t="str">
        <f aca="false">IF(ISBLANK($C133),"",IF(ISNUMBER(L133),IF(L133&gt;=0,L133,""),""))</f>
        <v/>
      </c>
      <c r="AN133" s="137" t="str">
        <f aca="false">IF(ISBLANK($C133),"",IF(ISNUMBER(M133),IF(M133&gt;=0,M133,""),""))</f>
        <v/>
      </c>
      <c r="AO133" s="137" t="str">
        <f aca="false">IF(ISBLANK($C133),"",IF(N133=Constants!$B$2,TRUE(),IF(N133=Constants!$B$3,FALSE(),TRUE())))</f>
        <v/>
      </c>
      <c r="AP133" s="135" t="str">
        <f aca="false">IF(ISBLANK($C133),"",IF(ISNUMBER(O133),IF(O133&gt;=0,O133,""),""))</f>
        <v/>
      </c>
      <c r="AQ133" s="135" t="str">
        <f aca="false">IF(ISBLANK($C133),"",IF(P133=Constants!$B$2,TRUE(),IF(P133=Constants!$B$3,FALSE(),FALSE())))</f>
        <v/>
      </c>
      <c r="AR133" s="135" t="str">
        <f aca="false">IF(ISBLANK($C133),"",IF(Q133=Constants!$B$2,TRUE(),IF(Q133=Constants!$B$3,FALSE(),TRUE())))</f>
        <v/>
      </c>
      <c r="AS133" s="135" t="str">
        <f aca="false">IF(ISBLANK($C133),"",IF(R133=Constants!$B$2,TRUE(),IF(R133=Constants!$B$3,FALSE(),TRUE())))</f>
        <v/>
      </c>
      <c r="AT133" s="135" t="str">
        <f aca="false">IF(ISBLANK($C133),"",IF(S133=Constants!$B$4,TRUE(),IF(S133=Constants!$B$5,FALSE(),COUNTA(T133:X133)&gt;0)))</f>
        <v/>
      </c>
      <c r="AU133" s="136" t="str">
        <f aca="false">IF(ISBLANK($C133),"",IF(ISNUMBER(T133),IF(T133&gt;=0,T133,""),""))</f>
        <v/>
      </c>
      <c r="AV133" s="137" t="str">
        <f aca="false">IF(ISBLANK($C133),"",IF(ISNUMBER(U133),IF(U133&gt;=0,U133,""),""))</f>
        <v/>
      </c>
      <c r="AW133" s="137" t="str">
        <f aca="false">IF(ISBLANK($C133),"",IF(V133=Constants!$B$2,TRUE(),IF(V133=Constants!$B$3,FALSE(),TRUE())))</f>
        <v/>
      </c>
      <c r="AX133" s="135" t="str">
        <f aca="false">IF(ISBLANK($C133),"",IF(ISNUMBER(W133),IF(W133&gt;=0,W133,""),""))</f>
        <v/>
      </c>
      <c r="AY133" s="135" t="str">
        <f aca="false">IF(ISBLANK($C133),"",IF(X133=Constants!$B$2,TRUE(),IF(X133=Constants!$B$3,FALSE(),FALSE())))</f>
        <v/>
      </c>
      <c r="AZ133" s="135" t="str">
        <f aca="false">IF(ISBLANK($C133),"",MIN(Constants!$B$25,MAX(0,IF(ISNUMBER(Y133),Y133*60,0)+IF(ISNUMBER(Z133),Z133,0))))</f>
        <v/>
      </c>
      <c r="BA133" s="135" t="str">
        <f aca="false">IF(ISBLANK($C133),"",IF(AA133=Constants!$B$2,TRUE(),IF(AA133=Constants!$B$3,FALSE(),FALSE())))</f>
        <v/>
      </c>
      <c r="BB133" s="134" t="str">
        <f aca="false">IF(ISBLANK($C133),"",AND($AL133,OR($AM133="",$AN133="",AND($AO133,$AP133=""))))</f>
        <v/>
      </c>
      <c r="BC133" s="137" t="str">
        <f aca="false">IF($BX133&lt;&gt;Constants!$B$6,"",IF($AL133,Constants!$B$17*$AN133+Constants!$B$18*IF($AO133,$AP133,Constants!$B$19),Constants!$B$20))</f>
        <v/>
      </c>
      <c r="BD133" s="138" t="str">
        <f aca="false">IF($BX133&lt;&gt;Constants!$B$6,"",Constants!$B$21*ABS($AD$9-IF($AL133,$AM133,0)))</f>
        <v/>
      </c>
      <c r="BE133" s="138" t="str">
        <f aca="false">IF($BX133&lt;&gt;Constants!$B$6,"",IF(AND($AL133,$AQ133,$AO133),Constants!$B$22,0))</f>
        <v/>
      </c>
      <c r="BF133" s="138" t="str">
        <f aca="false">IF($BX133&lt;&gt;Constants!$B$6,"",IF($AL133,($AI133-Constants!$B$24)*Constants!$B$23,0))</f>
        <v/>
      </c>
      <c r="BG133" s="138" t="str">
        <f aca="false">IF($BX133&lt;&gt;Constants!$B$6,"",IF($AK133,0,Constants!$B$12)+IF($AJ133,0,Constants!$B$13)+IF($AH133,0,Constants!$B$14))</f>
        <v/>
      </c>
      <c r="BH133" s="139" t="str">
        <f aca="false">IF($BX133&lt;&gt;Constants!$B$6,"",Constants!$B$16+SUM($BC133:$BG133))</f>
        <v/>
      </c>
      <c r="BI133" s="138" t="str">
        <f aca="false">IF($BX133&lt;&gt;Constants!$B$6,"",$BC133)</f>
        <v/>
      </c>
      <c r="BJ133" s="138" t="str">
        <f aca="false">IF($BX133&lt;&gt;Constants!$B$6,"",$BD133)</f>
        <v/>
      </c>
      <c r="BK133" s="140" t="str">
        <f aca="false">IF($BX133&lt;&gt;Constants!$B$6,"",IF($AL133,$AN133,""))</f>
        <v/>
      </c>
      <c r="BL133" s="135" t="str">
        <f aca="false">IF($BX133&lt;&gt;Constants!$B$6,"",IF(OR($BS133&lt;$BH133,AND($BS133=$BH133,OR($BT133&lt;$BI133,AND($BT133=$BI133,OR($BU133&lt;$BJ133,AND($BU133=$BJ133,AND(ISNUMBER($BV133),OR(NOT(ISNUMBER($BK133)),$BV133&lt;$BK133)))))))),"-&gt;","&lt;-"))</f>
        <v/>
      </c>
      <c r="BM133" s="134" t="str">
        <f aca="false">IF(ISBLANK($C133),"",AND($AT133,OR($AU133="",$AV133="",AND($AW133,$AX133=""))))</f>
        <v/>
      </c>
      <c r="BN133" s="137" t="str">
        <f aca="false">IF($BX133&lt;&gt;Constants!$B$6,"",IF($AT133,Constants!$B$17*$AV133+Constants!$B$18*IF($AW133,$AX133,Constants!$B$19),Constants!$B$20))</f>
        <v/>
      </c>
      <c r="BO133" s="138" t="str">
        <f aca="false">IF($BX133&lt;&gt;Constants!$B$6,"",Constants!$B$21*ABS($AD$9-IF($AT133,$AU133,0)))</f>
        <v/>
      </c>
      <c r="BP133" s="138" t="str">
        <f aca="false">IF($BX133&lt;&gt;Constants!$B$6,"",IF(AND($AT133,$AY133,$AW133),Constants!$B$22,0))</f>
        <v/>
      </c>
      <c r="BQ133" s="138" t="str">
        <f aca="false">IF($BX133&lt;&gt;Constants!$B$6,"",IF($AT133,($AI133-Constants!$B$24)*Constants!$B$23,0))</f>
        <v/>
      </c>
      <c r="BR133" s="138" t="str">
        <f aca="false">IF($BX133&lt;&gt;Constants!$B$6,"",IF($AS133,0,Constants!$B$12)+IF($AR133,0,Constants!$B$13)+IF($AH133,0,Constants!$B$14))</f>
        <v/>
      </c>
      <c r="BS133" s="139" t="str">
        <f aca="false">IF($BX133&lt;&gt;Constants!$B$6,"",Constants!$B$16+SUM($BN133:$BR133))</f>
        <v/>
      </c>
      <c r="BT133" s="138" t="str">
        <f aca="false">IF($BX133&lt;&gt;Constants!$B$6,"",$BN133)</f>
        <v/>
      </c>
      <c r="BU133" s="138" t="str">
        <f aca="false">IF($BX133&lt;&gt;Constants!$B$6,"",$BO133)</f>
        <v/>
      </c>
      <c r="BV133" s="140" t="str">
        <f aca="false">IF($BX133&lt;&gt;Constants!$B$6,"",IF($AT133,$AV133,""))</f>
        <v/>
      </c>
      <c r="BW133" s="135" t="str">
        <f aca="false">IF(ISBLANK($C133),"",IF(ISBLANK($D$7),$BW$5,IF(NOT(ISNUMBER($D$7)),$BW$6,"")))</f>
        <v/>
      </c>
      <c r="BX133" s="135" t="str">
        <f aca="false">IF(ISBLANK($C133),"",IF($BA133,Constants!$B$9,IF(COUNTA($E133:$AA133)=0,Constants!$B$8,IF(NOT($AG133),Constants!$B$7,IF(OR($BW133&lt;&gt;"",$BB133,$BM133),Constants!$B$10,Constants!$B$6)))))</f>
        <v/>
      </c>
      <c r="BY133" s="135" t="str">
        <f aca="false">IF(ISBLANK($C133),"",IF($BX133&lt;&gt;Constants!$B$6,$BX133,Constants!$B$11))</f>
        <v/>
      </c>
      <c r="BZ133" s="138" t="str">
        <f aca="false">IF($BX133&lt;&gt;Constants!$B$6,"",IF($BL133="-&gt;",$BS133,$BH133))</f>
        <v/>
      </c>
      <c r="CA133" s="138" t="str">
        <f aca="false">IF($BX133&lt;&gt;Constants!$B$6,"",IF($AF133,0,Constants!$B$15))</f>
        <v/>
      </c>
      <c r="CB133" s="138" t="str">
        <f aca="false">IF($BX133&lt;&gt;Constants!$B$6,"",((Constants!$B$25-$AZ133)-Constants!$B$25)/Constants!$B$26)</f>
        <v/>
      </c>
      <c r="CC133" s="138" t="str">
        <f aca="false">IF(ISBLANK($C133),"",IF($BX133&lt;&gt;Constants!$B$6,$BX133,SUM($BZ133:$CB133)))</f>
        <v/>
      </c>
      <c r="CD133" s="135" t="str">
        <f aca="false">IF(ISBLANK($C133),"",IF($BX133&lt;&gt;Constants!$B$6,$BX133,RANK($CC133,$CC$9:$CC$508,1)))</f>
        <v/>
      </c>
      <c r="CE133" s="138" t="str">
        <f aca="false">IF($BX133&lt;&gt;Constants!$B$6,"",IF($BL133="-&gt;",$BT133,$BI133))</f>
        <v/>
      </c>
      <c r="CF133" s="135" t="str">
        <f aca="false">IF(ISBLANK($C133),"",IF($BX133&lt;&gt;Constants!$B$6,$BX133,IF(ISNUMBER($CE133),RANK($CE133,$CE$9:$CE$508,1),COUNT($CE$9:$CE$508)+1)))</f>
        <v/>
      </c>
      <c r="CG133" s="138" t="str">
        <f aca="false">IF($BX133&lt;&gt;Constants!$B$6,"",IF($BL133="-&gt;",$BU133,$BJ133))</f>
        <v/>
      </c>
      <c r="CH133" s="135" t="str">
        <f aca="false">IF(ISBLANK($C133),"",IF($BX133&lt;&gt;Constants!$B$6,$BX133,IF(ISNUMBER($CG133),RANK($CG133,$CG$9:$CG$508,1),COUNT($CG$9:$CG$508)+1)))</f>
        <v/>
      </c>
      <c r="CI133" s="138" t="str">
        <f aca="false">IF($BX133&lt;&gt;Constants!$B$6,"",IF($BL133="-&gt;",$BV133,$BK133))</f>
        <v/>
      </c>
      <c r="CJ133" s="135" t="str">
        <f aca="false">IF(ISBLANK($C133),"",IF($BX133&lt;&gt;Constants!$B$6,$BX133,IF(ISNUMBER($CI133),RANK($CI133,$CI$9:$CI$508,1),COUNT($CI$9:$CI$508)+1)))</f>
        <v/>
      </c>
      <c r="CK133" s="138" t="str">
        <f aca="false">IF($BX133&lt;&gt;Constants!$B$6,"",$AI133)</f>
        <v/>
      </c>
      <c r="CL133" s="135" t="str">
        <f aca="false">IF(ISBLANK($C133),"",IF($BX133&lt;&gt;Constants!$B$6,$BX133,IF(ISNUMBER($CK133),RANK($CK133,$CK$9:$CK$508,1),COUNT($CK$9:$CK$508)+1)))</f>
        <v/>
      </c>
      <c r="CM133" s="135" t="str">
        <f aca="false">IF(ISBLANK($C133),"",IF($BX133&lt;&gt;Constants!$B$6,$BX133,COUNTIFS($CD$9:$CD$508,"&lt;"&amp;$CD133)+COUNTIFS($CD$9:$CD$508,$CD133,$CF$9:$CF$508,"&lt;"&amp;$CF133)+COUNTIFS($CD$9:$CD$508,$CD133,$CF$9:$CF$508,$CF133,$CH$9:$CH$508,"&lt;"&amp;$CH133)+COUNTIFS($CD$9:$CD$508,$CD133,$CF$9:$CF$508,$CF133,$CH$9:$CH$508,$CH133,$CJ$9:$CJ$508,"&lt;"&amp;$CJ133)+COUNTIFS($CD$9:$CD$508,$CD133,$CF$9:$CF$508,$CF133,$CH$9:$CH$508,$CH133,$CJ$9:$CJ$508,$CJ133,$CL$9:$CL$508,"&lt;"&amp;$CL133)+1))</f>
        <v/>
      </c>
      <c r="CN133" s="135" t="str">
        <f aca="false">IF(ISBLANK($C133),"",IF($BX133&lt;&gt;Constants!$B$6,$BX133,$CD133-$CM133))</f>
        <v/>
      </c>
      <c r="CO133" s="141"/>
      <c r="CP133" s="142"/>
      <c r="CQ133" s="143" t="str">
        <f aca="false">IF(ISBLANK($C133),"",IF($BX133=Constants!$B$10,$BW133,""))</f>
        <v/>
      </c>
      <c r="CR133" s="142" t="str">
        <f aca="false">IF(ISBLANK($C133),"",IF($BX133&lt;&gt;Constants!$B$6,"",IF($BL133="-&gt;",2,1)))</f>
        <v/>
      </c>
      <c r="CS133" s="144" t="str">
        <f aca="false">IF(ISBLANK($C133),"",IF($BX133&lt;&gt;Constants!$B$6,"",IF($BL133="-&gt;",$BN133,$BC133)))</f>
        <v/>
      </c>
      <c r="CT133" s="144" t="str">
        <f aca="false">IF(ISBLANK($C133),"",IF($BX133&lt;&gt;Constants!$B$6,"",IF($BL133="-&gt;",$BO133,$BD133)))</f>
        <v/>
      </c>
      <c r="CU133" s="144" t="str">
        <f aca="false">IF(ISBLANK($C133),"",IF($BX133&lt;&gt;Constants!$B$6,"",IF($BL133="-&gt;",$BP133+$BQ133,$BE133+$BF133)+$CB133))</f>
        <v/>
      </c>
      <c r="CV133" s="144" t="str">
        <f aca="false">IF(ISBLANK($C133),"",IF($BX133&lt;&gt;Constants!$B$6,"",IF($BL133="-&gt;",$BR133,$BG133)+$CA133))</f>
        <v/>
      </c>
      <c r="CW133" s="145" t="str">
        <f aca="false">IF(ISBLANK($C133),"",IF($BX133&lt;&gt;Constants!$B$6,$BX133,$CC133))</f>
        <v/>
      </c>
      <c r="CX133" s="146" t="str">
        <f aca="false">IF(ISBLANK($C133),"",$BY133)</f>
        <v/>
      </c>
      <c r="CY133" s="147" t="str">
        <f aca="false">IF(ISBLANK($C133),"",$CN133)</f>
        <v/>
      </c>
      <c r="CZ133" s="147" t="str">
        <f aca="false">IF(ISBLANK($C133),"",$CM133)</f>
        <v/>
      </c>
      <c r="DA133" s="148" t="str">
        <f aca="false">IF(ISBLANK($C133),"",IFERROR(_xlfn.SWITCH($CZ133,Constants!$B$9,COUNTA($C$9:$C$508)+2,Constants!$B$8,COUNTA($C$9:$C$508)+1,Constants!$B$7,COUNTA($C$9:$C$508)),$CZ133))</f>
        <v/>
      </c>
      <c r="DB133" s="9"/>
      <c r="DC133" s="149" t="n">
        <f aca="false">IF(OR(ISNUMBER($CZ133),$CZ133=Constants!$B$9,$CZ133=Constants!$B$7,$CZ133=Constants!$B$8),1,0)</f>
        <v>0</v>
      </c>
      <c r="DD133" s="149" t="n">
        <v>125</v>
      </c>
      <c r="DE133" s="149" t="str">
        <f aca="false">IF(ISBLANK($C133),"",IF(ISNUMBER($DA133),$DA133+ROW($B133)/1000,""))</f>
        <v/>
      </c>
      <c r="DF133" s="149" t="str">
        <f aca="false">IF(ISNUMBER($DE133),RANK($DE133,$DE$9:$DE$508,1),"")</f>
        <v/>
      </c>
      <c r="DG133" s="149" t="str">
        <f aca="false">IF(ISBLANK($C133),"",$B133)</f>
        <v/>
      </c>
      <c r="DH133" s="149" t="str">
        <f aca="false">IF(ISBLANK($C133),"",$C133)</f>
        <v/>
      </c>
      <c r="DI133" s="149" t="str">
        <f aca="false">IF(ISBLANK($C133),"",$D133)</f>
        <v/>
      </c>
      <c r="DJ133" s="150" t="str">
        <f aca="false">$CX133</f>
        <v/>
      </c>
      <c r="DK133" s="151" t="str">
        <f aca="false">$CW133</f>
        <v/>
      </c>
      <c r="DL133" s="149" t="str">
        <f aca="false">IF(ISBLANK($C133),"",$CZ133)</f>
        <v/>
      </c>
      <c r="DM133" s="152" t="str">
        <f aca="false">IF($DD133&gt;$DC$8,"",VLOOKUP($DD133,$DF$9:$DL$508,7,FALSE()))</f>
        <v/>
      </c>
      <c r="DN133" s="153" t="str">
        <f aca="false">IF($DD133&gt;$DC$8,"",VLOOKUP($DD133,$DF$9:$DL$508,2,FALSE()))</f>
        <v/>
      </c>
      <c r="DO133" s="153" t="str">
        <f aca="false">IF($DD133&gt;$DC$8,"",VLOOKUP($DD133,$DF$9:$DL$508,3,FALSE()))</f>
        <v/>
      </c>
      <c r="DP133" s="153" t="str">
        <f aca="false">IF($DD133&gt;$DC$8,"",VLOOKUP($DD133,$DF$9:$DL$508,4,FALSE()))</f>
        <v/>
      </c>
      <c r="DQ133" s="153" t="str">
        <f aca="false">IF($DD133&gt;$DC$8,"",VLOOKUP($DD133,$DF$9:$DL$508,5,FALSE()))</f>
        <v/>
      </c>
      <c r="DR133" s="154" t="str">
        <f aca="false">IF($DD133&gt;$DC$8,"",VLOOKUP($DD133,$DF$9:$DL$508,6,FALSE()))</f>
        <v/>
      </c>
      <c r="DS133" s="76"/>
    </row>
    <row r="134" customFormat="false" ht="15.75" hidden="false" customHeight="false" outlineLevel="0" collapsed="false">
      <c r="A134" s="9"/>
      <c r="B134" s="160"/>
      <c r="C134" s="161"/>
      <c r="D134" s="162"/>
      <c r="E134" s="180"/>
      <c r="F134" s="164"/>
      <c r="G134" s="165"/>
      <c r="H134" s="165"/>
      <c r="I134" s="181"/>
      <c r="J134" s="168"/>
      <c r="K134" s="128"/>
      <c r="L134" s="129"/>
      <c r="M134" s="130"/>
      <c r="N134" s="168"/>
      <c r="O134" s="168"/>
      <c r="P134" s="180"/>
      <c r="Q134" s="168"/>
      <c r="R134" s="168"/>
      <c r="S134" s="128"/>
      <c r="T134" s="130"/>
      <c r="U134" s="130"/>
      <c r="V134" s="168"/>
      <c r="W134" s="168"/>
      <c r="X134" s="180"/>
      <c r="Y134" s="168"/>
      <c r="Z134" s="169"/>
      <c r="AA134" s="168"/>
      <c r="AB134" s="134"/>
      <c r="AC134" s="135"/>
      <c r="AD134" s="135"/>
      <c r="AE134" s="135"/>
      <c r="AF134" s="135" t="str">
        <f aca="false">IF(ISBLANK($C134),"",IF(E134=Constants!$B$2,TRUE(),IF(E134=Constants!$B$3,FALSE(),TRUE())))</f>
        <v/>
      </c>
      <c r="AG134" s="135" t="str">
        <f aca="false">IF(ISBLANK($C134),"",IF(F134=Constants!$B$2,TRUE(),IF(F134=Constants!$B$3,FALSE(),TRUE())))</f>
        <v/>
      </c>
      <c r="AH134" s="135" t="str">
        <f aca="false">IF(ISBLANK($C134),"",IF(G134=Constants!$B$2,TRUE(),IF(G134=Constants!$B$3,FALSE(),TRUE())))</f>
        <v/>
      </c>
      <c r="AI134" s="135" t="str">
        <f aca="false">IF(ISBLANK($C134),"",IF(AND(ISNUMBER(H134),H134&gt;=0),H134,Constants!$B$24))</f>
        <v/>
      </c>
      <c r="AJ134" s="135" t="str">
        <f aca="false">IF(ISBLANK($C134),"",IF(I134=Constants!$B$2,TRUE(),IF(I134=Constants!$B$3,FALSE(),TRUE())))</f>
        <v/>
      </c>
      <c r="AK134" s="135" t="str">
        <f aca="false">IF(ISBLANK($C134),"",IF(J134=Constants!$B$2,TRUE(),IF(J134=Constants!$B$3,FALSE(),TRUE())))</f>
        <v/>
      </c>
      <c r="AL134" s="135" t="str">
        <f aca="false">IF(ISBLANK($C134),"",IF(K134=Constants!$B$4,TRUE(),IF(K134=Constants!$B$5,FALSE(),COUNTA(L134:P134)&gt;0)))</f>
        <v/>
      </c>
      <c r="AM134" s="136" t="str">
        <f aca="false">IF(ISBLANK($C134),"",IF(ISNUMBER(L134),IF(L134&gt;=0,L134,""),""))</f>
        <v/>
      </c>
      <c r="AN134" s="137" t="str">
        <f aca="false">IF(ISBLANK($C134),"",IF(ISNUMBER(M134),IF(M134&gt;=0,M134,""),""))</f>
        <v/>
      </c>
      <c r="AO134" s="137" t="str">
        <f aca="false">IF(ISBLANK($C134),"",IF(N134=Constants!$B$2,TRUE(),IF(N134=Constants!$B$3,FALSE(),TRUE())))</f>
        <v/>
      </c>
      <c r="AP134" s="135" t="str">
        <f aca="false">IF(ISBLANK($C134),"",IF(ISNUMBER(O134),IF(O134&gt;=0,O134,""),""))</f>
        <v/>
      </c>
      <c r="AQ134" s="135" t="str">
        <f aca="false">IF(ISBLANK($C134),"",IF(P134=Constants!$B$2,TRUE(),IF(P134=Constants!$B$3,FALSE(),FALSE())))</f>
        <v/>
      </c>
      <c r="AR134" s="135" t="str">
        <f aca="false">IF(ISBLANK($C134),"",IF(Q134=Constants!$B$2,TRUE(),IF(Q134=Constants!$B$3,FALSE(),TRUE())))</f>
        <v/>
      </c>
      <c r="AS134" s="135" t="str">
        <f aca="false">IF(ISBLANK($C134),"",IF(R134=Constants!$B$2,TRUE(),IF(R134=Constants!$B$3,FALSE(),TRUE())))</f>
        <v/>
      </c>
      <c r="AT134" s="135" t="str">
        <f aca="false">IF(ISBLANK($C134),"",IF(S134=Constants!$B$4,TRUE(),IF(S134=Constants!$B$5,FALSE(),COUNTA(T134:X134)&gt;0)))</f>
        <v/>
      </c>
      <c r="AU134" s="136" t="str">
        <f aca="false">IF(ISBLANK($C134),"",IF(ISNUMBER(T134),IF(T134&gt;=0,T134,""),""))</f>
        <v/>
      </c>
      <c r="AV134" s="137" t="str">
        <f aca="false">IF(ISBLANK($C134),"",IF(ISNUMBER(U134),IF(U134&gt;=0,U134,""),""))</f>
        <v/>
      </c>
      <c r="AW134" s="137" t="str">
        <f aca="false">IF(ISBLANK($C134),"",IF(V134=Constants!$B$2,TRUE(),IF(V134=Constants!$B$3,FALSE(),TRUE())))</f>
        <v/>
      </c>
      <c r="AX134" s="135" t="str">
        <f aca="false">IF(ISBLANK($C134),"",IF(ISNUMBER(W134),IF(W134&gt;=0,W134,""),""))</f>
        <v/>
      </c>
      <c r="AY134" s="135" t="str">
        <f aca="false">IF(ISBLANK($C134),"",IF(X134=Constants!$B$2,TRUE(),IF(X134=Constants!$B$3,FALSE(),FALSE())))</f>
        <v/>
      </c>
      <c r="AZ134" s="135" t="str">
        <f aca="false">IF(ISBLANK($C134),"",MIN(Constants!$B$25,MAX(0,IF(ISNUMBER(Y134),Y134*60,0)+IF(ISNUMBER(Z134),Z134,0))))</f>
        <v/>
      </c>
      <c r="BA134" s="135" t="str">
        <f aca="false">IF(ISBLANK($C134),"",IF(AA134=Constants!$B$2,TRUE(),IF(AA134=Constants!$B$3,FALSE(),FALSE())))</f>
        <v/>
      </c>
      <c r="BB134" s="134" t="str">
        <f aca="false">IF(ISBLANK($C134),"",AND($AL134,OR($AM134="",$AN134="",AND($AO134,$AP134=""))))</f>
        <v/>
      </c>
      <c r="BC134" s="137" t="str">
        <f aca="false">IF($BX134&lt;&gt;Constants!$B$6,"",IF($AL134,Constants!$B$17*$AN134+Constants!$B$18*IF($AO134,$AP134,Constants!$B$19),Constants!$B$20))</f>
        <v/>
      </c>
      <c r="BD134" s="138" t="str">
        <f aca="false">IF($BX134&lt;&gt;Constants!$B$6,"",Constants!$B$21*ABS($AD$9-IF($AL134,$AM134,0)))</f>
        <v/>
      </c>
      <c r="BE134" s="138" t="str">
        <f aca="false">IF($BX134&lt;&gt;Constants!$B$6,"",IF(AND($AL134,$AQ134,$AO134),Constants!$B$22,0))</f>
        <v/>
      </c>
      <c r="BF134" s="138" t="str">
        <f aca="false">IF($BX134&lt;&gt;Constants!$B$6,"",IF($AL134,($AI134-Constants!$B$24)*Constants!$B$23,0))</f>
        <v/>
      </c>
      <c r="BG134" s="138" t="str">
        <f aca="false">IF($BX134&lt;&gt;Constants!$B$6,"",IF($AK134,0,Constants!$B$12)+IF($AJ134,0,Constants!$B$13)+IF($AH134,0,Constants!$B$14))</f>
        <v/>
      </c>
      <c r="BH134" s="139" t="str">
        <f aca="false">IF($BX134&lt;&gt;Constants!$B$6,"",Constants!$B$16+SUM($BC134:$BG134))</f>
        <v/>
      </c>
      <c r="BI134" s="138" t="str">
        <f aca="false">IF($BX134&lt;&gt;Constants!$B$6,"",$BC134)</f>
        <v/>
      </c>
      <c r="BJ134" s="138" t="str">
        <f aca="false">IF($BX134&lt;&gt;Constants!$B$6,"",$BD134)</f>
        <v/>
      </c>
      <c r="BK134" s="140" t="str">
        <f aca="false">IF($BX134&lt;&gt;Constants!$B$6,"",IF($AL134,$AN134,""))</f>
        <v/>
      </c>
      <c r="BL134" s="135" t="str">
        <f aca="false">IF($BX134&lt;&gt;Constants!$B$6,"",IF(OR($BS134&lt;$BH134,AND($BS134=$BH134,OR($BT134&lt;$BI134,AND($BT134=$BI134,OR($BU134&lt;$BJ134,AND($BU134=$BJ134,AND(ISNUMBER($BV134),OR(NOT(ISNUMBER($BK134)),$BV134&lt;$BK134)))))))),"-&gt;","&lt;-"))</f>
        <v/>
      </c>
      <c r="BM134" s="134" t="str">
        <f aca="false">IF(ISBLANK($C134),"",AND($AT134,OR($AU134="",$AV134="",AND($AW134,$AX134=""))))</f>
        <v/>
      </c>
      <c r="BN134" s="137" t="str">
        <f aca="false">IF($BX134&lt;&gt;Constants!$B$6,"",IF($AT134,Constants!$B$17*$AV134+Constants!$B$18*IF($AW134,$AX134,Constants!$B$19),Constants!$B$20))</f>
        <v/>
      </c>
      <c r="BO134" s="138" t="str">
        <f aca="false">IF($BX134&lt;&gt;Constants!$B$6,"",Constants!$B$21*ABS($AD$9-IF($AT134,$AU134,0)))</f>
        <v/>
      </c>
      <c r="BP134" s="138" t="str">
        <f aca="false">IF($BX134&lt;&gt;Constants!$B$6,"",IF(AND($AT134,$AY134,$AW134),Constants!$B$22,0))</f>
        <v/>
      </c>
      <c r="BQ134" s="138" t="str">
        <f aca="false">IF($BX134&lt;&gt;Constants!$B$6,"",IF($AT134,($AI134-Constants!$B$24)*Constants!$B$23,0))</f>
        <v/>
      </c>
      <c r="BR134" s="138" t="str">
        <f aca="false">IF($BX134&lt;&gt;Constants!$B$6,"",IF($AS134,0,Constants!$B$12)+IF($AR134,0,Constants!$B$13)+IF($AH134,0,Constants!$B$14))</f>
        <v/>
      </c>
      <c r="BS134" s="139" t="str">
        <f aca="false">IF($BX134&lt;&gt;Constants!$B$6,"",Constants!$B$16+SUM($BN134:$BR134))</f>
        <v/>
      </c>
      <c r="BT134" s="138" t="str">
        <f aca="false">IF($BX134&lt;&gt;Constants!$B$6,"",$BN134)</f>
        <v/>
      </c>
      <c r="BU134" s="138" t="str">
        <f aca="false">IF($BX134&lt;&gt;Constants!$B$6,"",$BO134)</f>
        <v/>
      </c>
      <c r="BV134" s="140" t="str">
        <f aca="false">IF($BX134&lt;&gt;Constants!$B$6,"",IF($AT134,$AV134,""))</f>
        <v/>
      </c>
      <c r="BW134" s="135" t="str">
        <f aca="false">IF(ISBLANK($C134),"",IF(ISBLANK($D$7),$BW$5,IF(NOT(ISNUMBER($D$7)),$BW$6,"")))</f>
        <v/>
      </c>
      <c r="BX134" s="135" t="str">
        <f aca="false">IF(ISBLANK($C134),"",IF($BA134,Constants!$B$9,IF(COUNTA($E134:$AA134)=0,Constants!$B$8,IF(NOT($AG134),Constants!$B$7,IF(OR($BW134&lt;&gt;"",$BB134,$BM134),Constants!$B$10,Constants!$B$6)))))</f>
        <v/>
      </c>
      <c r="BY134" s="135" t="str">
        <f aca="false">IF(ISBLANK($C134),"",IF($BX134&lt;&gt;Constants!$B$6,$BX134,Constants!$B$11))</f>
        <v/>
      </c>
      <c r="BZ134" s="138" t="str">
        <f aca="false">IF($BX134&lt;&gt;Constants!$B$6,"",IF($BL134="-&gt;",$BS134,$BH134))</f>
        <v/>
      </c>
      <c r="CA134" s="138" t="str">
        <f aca="false">IF($BX134&lt;&gt;Constants!$B$6,"",IF($AF134,0,Constants!$B$15))</f>
        <v/>
      </c>
      <c r="CB134" s="138" t="str">
        <f aca="false">IF($BX134&lt;&gt;Constants!$B$6,"",((Constants!$B$25-$AZ134)-Constants!$B$25)/Constants!$B$26)</f>
        <v/>
      </c>
      <c r="CC134" s="138" t="str">
        <f aca="false">IF(ISBLANK($C134),"",IF($BX134&lt;&gt;Constants!$B$6,$BX134,SUM($BZ134:$CB134)))</f>
        <v/>
      </c>
      <c r="CD134" s="135" t="str">
        <f aca="false">IF(ISBLANK($C134),"",IF($BX134&lt;&gt;Constants!$B$6,$BX134,RANK($CC134,$CC$9:$CC$508,1)))</f>
        <v/>
      </c>
      <c r="CE134" s="138" t="str">
        <f aca="false">IF($BX134&lt;&gt;Constants!$B$6,"",IF($BL134="-&gt;",$BT134,$BI134))</f>
        <v/>
      </c>
      <c r="CF134" s="135" t="str">
        <f aca="false">IF(ISBLANK($C134),"",IF($BX134&lt;&gt;Constants!$B$6,$BX134,IF(ISNUMBER($CE134),RANK($CE134,$CE$9:$CE$508,1),COUNT($CE$9:$CE$508)+1)))</f>
        <v/>
      </c>
      <c r="CG134" s="138" t="str">
        <f aca="false">IF($BX134&lt;&gt;Constants!$B$6,"",IF($BL134="-&gt;",$BU134,$BJ134))</f>
        <v/>
      </c>
      <c r="CH134" s="135" t="str">
        <f aca="false">IF(ISBLANK($C134),"",IF($BX134&lt;&gt;Constants!$B$6,$BX134,IF(ISNUMBER($CG134),RANK($CG134,$CG$9:$CG$508,1),COUNT($CG$9:$CG$508)+1)))</f>
        <v/>
      </c>
      <c r="CI134" s="138" t="str">
        <f aca="false">IF($BX134&lt;&gt;Constants!$B$6,"",IF($BL134="-&gt;",$BV134,$BK134))</f>
        <v/>
      </c>
      <c r="CJ134" s="135" t="str">
        <f aca="false">IF(ISBLANK($C134),"",IF($BX134&lt;&gt;Constants!$B$6,$BX134,IF(ISNUMBER($CI134),RANK($CI134,$CI$9:$CI$508,1),COUNT($CI$9:$CI$508)+1)))</f>
        <v/>
      </c>
      <c r="CK134" s="138" t="str">
        <f aca="false">IF($BX134&lt;&gt;Constants!$B$6,"",$AI134)</f>
        <v/>
      </c>
      <c r="CL134" s="135" t="str">
        <f aca="false">IF(ISBLANK($C134),"",IF($BX134&lt;&gt;Constants!$B$6,$BX134,IF(ISNUMBER($CK134),RANK($CK134,$CK$9:$CK$508,1),COUNT($CK$9:$CK$508)+1)))</f>
        <v/>
      </c>
      <c r="CM134" s="135" t="str">
        <f aca="false">IF(ISBLANK($C134),"",IF($BX134&lt;&gt;Constants!$B$6,$BX134,COUNTIFS($CD$9:$CD$508,"&lt;"&amp;$CD134)+COUNTIFS($CD$9:$CD$508,$CD134,$CF$9:$CF$508,"&lt;"&amp;$CF134)+COUNTIFS($CD$9:$CD$508,$CD134,$CF$9:$CF$508,$CF134,$CH$9:$CH$508,"&lt;"&amp;$CH134)+COUNTIFS($CD$9:$CD$508,$CD134,$CF$9:$CF$508,$CF134,$CH$9:$CH$508,$CH134,$CJ$9:$CJ$508,"&lt;"&amp;$CJ134)+COUNTIFS($CD$9:$CD$508,$CD134,$CF$9:$CF$508,$CF134,$CH$9:$CH$508,$CH134,$CJ$9:$CJ$508,$CJ134,$CL$9:$CL$508,"&lt;"&amp;$CL134)+1))</f>
        <v/>
      </c>
      <c r="CN134" s="135" t="str">
        <f aca="false">IF(ISBLANK($C134),"",IF($BX134&lt;&gt;Constants!$B$6,$BX134,$CD134-$CM134))</f>
        <v/>
      </c>
      <c r="CO134" s="141"/>
      <c r="CP134" s="142"/>
      <c r="CQ134" s="143" t="str">
        <f aca="false">IF(ISBLANK($C134),"",IF($BX134=Constants!$B$10,$BW134,""))</f>
        <v/>
      </c>
      <c r="CR134" s="142" t="str">
        <f aca="false">IF(ISBLANK($C134),"",IF($BX134&lt;&gt;Constants!$B$6,"",IF($BL134="-&gt;",2,1)))</f>
        <v/>
      </c>
      <c r="CS134" s="144" t="str">
        <f aca="false">IF(ISBLANK($C134),"",IF($BX134&lt;&gt;Constants!$B$6,"",IF($BL134="-&gt;",$BN134,$BC134)))</f>
        <v/>
      </c>
      <c r="CT134" s="144" t="str">
        <f aca="false">IF(ISBLANK($C134),"",IF($BX134&lt;&gt;Constants!$B$6,"",IF($BL134="-&gt;",$BO134,$BD134)))</f>
        <v/>
      </c>
      <c r="CU134" s="144" t="str">
        <f aca="false">IF(ISBLANK($C134),"",IF($BX134&lt;&gt;Constants!$B$6,"",IF($BL134="-&gt;",$BP134+$BQ134,$BE134+$BF134)+$CB134))</f>
        <v/>
      </c>
      <c r="CV134" s="144" t="str">
        <f aca="false">IF(ISBLANK($C134),"",IF($BX134&lt;&gt;Constants!$B$6,"",IF($BL134="-&gt;",$BR134,$BG134)+$CA134))</f>
        <v/>
      </c>
      <c r="CW134" s="145" t="str">
        <f aca="false">IF(ISBLANK($C134),"",IF($BX134&lt;&gt;Constants!$B$6,$BX134,$CC134))</f>
        <v/>
      </c>
      <c r="CX134" s="146" t="str">
        <f aca="false">IF(ISBLANK($C134),"",$BY134)</f>
        <v/>
      </c>
      <c r="CY134" s="147" t="str">
        <f aca="false">IF(ISBLANK($C134),"",$CN134)</f>
        <v/>
      </c>
      <c r="CZ134" s="147" t="str">
        <f aca="false">IF(ISBLANK($C134),"",$CM134)</f>
        <v/>
      </c>
      <c r="DA134" s="148" t="str">
        <f aca="false">IF(ISBLANK($C134),"",IFERROR(_xlfn.SWITCH($CZ134,Constants!$B$9,COUNTA($C$9:$C$508)+2,Constants!$B$8,COUNTA($C$9:$C$508)+1,Constants!$B$7,COUNTA($C$9:$C$508)),$CZ134))</f>
        <v/>
      </c>
      <c r="DB134" s="9"/>
      <c r="DC134" s="149" t="n">
        <f aca="false">IF(OR(ISNUMBER($CZ134),$CZ134=Constants!$B$9,$CZ134=Constants!$B$7,$CZ134=Constants!$B$8),1,0)</f>
        <v>0</v>
      </c>
      <c r="DD134" s="149" t="n">
        <v>126</v>
      </c>
      <c r="DE134" s="149" t="str">
        <f aca="false">IF(ISBLANK($C134),"",IF(ISNUMBER($DA134),$DA134+ROW($B134)/1000,""))</f>
        <v/>
      </c>
      <c r="DF134" s="149" t="str">
        <f aca="false">IF(ISNUMBER($DE134),RANK($DE134,$DE$9:$DE$508,1),"")</f>
        <v/>
      </c>
      <c r="DG134" s="149" t="str">
        <f aca="false">IF(ISBLANK($C134),"",$B134)</f>
        <v/>
      </c>
      <c r="DH134" s="149" t="str">
        <f aca="false">IF(ISBLANK($C134),"",$C134)</f>
        <v/>
      </c>
      <c r="DI134" s="149" t="str">
        <f aca="false">IF(ISBLANK($C134),"",$D134)</f>
        <v/>
      </c>
      <c r="DJ134" s="150" t="str">
        <f aca="false">$CX134</f>
        <v/>
      </c>
      <c r="DK134" s="151" t="str">
        <f aca="false">$CW134</f>
        <v/>
      </c>
      <c r="DL134" s="149" t="str">
        <f aca="false">IF(ISBLANK($C134),"",$CZ134)</f>
        <v/>
      </c>
      <c r="DM134" s="152" t="str">
        <f aca="false">IF($DD134&gt;$DC$8,"",VLOOKUP($DD134,$DF$9:$DL$508,7,FALSE()))</f>
        <v/>
      </c>
      <c r="DN134" s="153" t="str">
        <f aca="false">IF($DD134&gt;$DC$8,"",VLOOKUP($DD134,$DF$9:$DL$508,2,FALSE()))</f>
        <v/>
      </c>
      <c r="DO134" s="153" t="str">
        <f aca="false">IF($DD134&gt;$DC$8,"",VLOOKUP($DD134,$DF$9:$DL$508,3,FALSE()))</f>
        <v/>
      </c>
      <c r="DP134" s="153" t="str">
        <f aca="false">IF($DD134&gt;$DC$8,"",VLOOKUP($DD134,$DF$9:$DL$508,4,FALSE()))</f>
        <v/>
      </c>
      <c r="DQ134" s="153" t="str">
        <f aca="false">IF($DD134&gt;$DC$8,"",VLOOKUP($DD134,$DF$9:$DL$508,5,FALSE()))</f>
        <v/>
      </c>
      <c r="DR134" s="154" t="str">
        <f aca="false">IF($DD134&gt;$DC$8,"",VLOOKUP($DD134,$DF$9:$DL$508,6,FALSE()))</f>
        <v/>
      </c>
      <c r="DS134" s="76"/>
    </row>
    <row r="135" customFormat="false" ht="15.75" hidden="false" customHeight="false" outlineLevel="0" collapsed="false">
      <c r="A135" s="9"/>
      <c r="B135" s="78"/>
      <c r="C135" s="79"/>
      <c r="D135" s="170"/>
      <c r="E135" s="178"/>
      <c r="F135" s="172"/>
      <c r="G135" s="173"/>
      <c r="H135" s="173"/>
      <c r="I135" s="179"/>
      <c r="J135" s="176"/>
      <c r="K135" s="86"/>
      <c r="L135" s="87"/>
      <c r="M135" s="88"/>
      <c r="N135" s="176"/>
      <c r="O135" s="176"/>
      <c r="P135" s="178"/>
      <c r="Q135" s="176"/>
      <c r="R135" s="176"/>
      <c r="S135" s="86"/>
      <c r="T135" s="88"/>
      <c r="U135" s="88"/>
      <c r="V135" s="176"/>
      <c r="W135" s="176"/>
      <c r="X135" s="178"/>
      <c r="Y135" s="176"/>
      <c r="Z135" s="177"/>
      <c r="AA135" s="176"/>
      <c r="AB135" s="92"/>
      <c r="AC135" s="93"/>
      <c r="AD135" s="93"/>
      <c r="AE135" s="93"/>
      <c r="AF135" s="93" t="str">
        <f aca="false">IF(ISBLANK($C135),"",IF(E135=Constants!$B$2,TRUE(),IF(E135=Constants!$B$3,FALSE(),TRUE())))</f>
        <v/>
      </c>
      <c r="AG135" s="93" t="str">
        <f aca="false">IF(ISBLANK($C135),"",IF(F135=Constants!$B$2,TRUE(),IF(F135=Constants!$B$3,FALSE(),TRUE())))</f>
        <v/>
      </c>
      <c r="AH135" s="93" t="str">
        <f aca="false">IF(ISBLANK($C135),"",IF(G135=Constants!$B$2,TRUE(),IF(G135=Constants!$B$3,FALSE(),TRUE())))</f>
        <v/>
      </c>
      <c r="AI135" s="93" t="str">
        <f aca="false">IF(ISBLANK($C135),"",IF(AND(ISNUMBER(H135),H135&gt;=0),H135,Constants!$B$24))</f>
        <v/>
      </c>
      <c r="AJ135" s="93" t="str">
        <f aca="false">IF(ISBLANK($C135),"",IF(I135=Constants!$B$2,TRUE(),IF(I135=Constants!$B$3,FALSE(),TRUE())))</f>
        <v/>
      </c>
      <c r="AK135" s="93" t="str">
        <f aca="false">IF(ISBLANK($C135),"",IF(J135=Constants!$B$2,TRUE(),IF(J135=Constants!$B$3,FALSE(),TRUE())))</f>
        <v/>
      </c>
      <c r="AL135" s="93" t="str">
        <f aca="false">IF(ISBLANK($C135),"",IF(K135=Constants!$B$4,TRUE(),IF(K135=Constants!$B$5,FALSE(),COUNTA(L135:P135)&gt;0)))</f>
        <v/>
      </c>
      <c r="AM135" s="95" t="str">
        <f aca="false">IF(ISBLANK($C135),"",IF(ISNUMBER(L135),IF(L135&gt;=0,L135,""),""))</f>
        <v/>
      </c>
      <c r="AN135" s="94" t="str">
        <f aca="false">IF(ISBLANK($C135),"",IF(ISNUMBER(M135),IF(M135&gt;=0,M135,""),""))</f>
        <v/>
      </c>
      <c r="AO135" s="94" t="str">
        <f aca="false">IF(ISBLANK($C135),"",IF(N135=Constants!$B$2,TRUE(),IF(N135=Constants!$B$3,FALSE(),TRUE())))</f>
        <v/>
      </c>
      <c r="AP135" s="93" t="str">
        <f aca="false">IF(ISBLANK($C135),"",IF(ISNUMBER(O135),IF(O135&gt;=0,O135,""),""))</f>
        <v/>
      </c>
      <c r="AQ135" s="93" t="str">
        <f aca="false">IF(ISBLANK($C135),"",IF(P135=Constants!$B$2,TRUE(),IF(P135=Constants!$B$3,FALSE(),FALSE())))</f>
        <v/>
      </c>
      <c r="AR135" s="93" t="str">
        <f aca="false">IF(ISBLANK($C135),"",IF(Q135=Constants!$B$2,TRUE(),IF(Q135=Constants!$B$3,FALSE(),TRUE())))</f>
        <v/>
      </c>
      <c r="AS135" s="93" t="str">
        <f aca="false">IF(ISBLANK($C135),"",IF(R135=Constants!$B$2,TRUE(),IF(R135=Constants!$B$3,FALSE(),TRUE())))</f>
        <v/>
      </c>
      <c r="AT135" s="93" t="str">
        <f aca="false">IF(ISBLANK($C135),"",IF(S135=Constants!$B$4,TRUE(),IF(S135=Constants!$B$5,FALSE(),COUNTA(T135:X135)&gt;0)))</f>
        <v/>
      </c>
      <c r="AU135" s="95" t="str">
        <f aca="false">IF(ISBLANK($C135),"",IF(ISNUMBER(T135),IF(T135&gt;=0,T135,""),""))</f>
        <v/>
      </c>
      <c r="AV135" s="94" t="str">
        <f aca="false">IF(ISBLANK($C135),"",IF(ISNUMBER(U135),IF(U135&gt;=0,U135,""),""))</f>
        <v/>
      </c>
      <c r="AW135" s="94" t="str">
        <f aca="false">IF(ISBLANK($C135),"",IF(V135=Constants!$B$2,TRUE(),IF(V135=Constants!$B$3,FALSE(),TRUE())))</f>
        <v/>
      </c>
      <c r="AX135" s="93" t="str">
        <f aca="false">IF(ISBLANK($C135),"",IF(ISNUMBER(W135),IF(W135&gt;=0,W135,""),""))</f>
        <v/>
      </c>
      <c r="AY135" s="93" t="str">
        <f aca="false">IF(ISBLANK($C135),"",IF(X135=Constants!$B$2,TRUE(),IF(X135=Constants!$B$3,FALSE(),FALSE())))</f>
        <v/>
      </c>
      <c r="AZ135" s="93" t="str">
        <f aca="false">IF(ISBLANK($C135),"",MIN(Constants!$B$25,MAX(0,IF(ISNUMBER(Y135),Y135*60,0)+IF(ISNUMBER(Z135),Z135,0))))</f>
        <v/>
      </c>
      <c r="BA135" s="93" t="str">
        <f aca="false">IF(ISBLANK($C135),"",IF(AA135=Constants!$B$2,TRUE(),IF(AA135=Constants!$B$3,FALSE(),FALSE())))</f>
        <v/>
      </c>
      <c r="BB135" s="92" t="str">
        <f aca="false">IF(ISBLANK($C135),"",AND($AL135,OR($AM135="",$AN135="",AND($AO135,$AP135=""))))</f>
        <v/>
      </c>
      <c r="BC135" s="94" t="str">
        <f aca="false">IF($BX135&lt;&gt;Constants!$B$6,"",IF($AL135,Constants!$B$17*$AN135+Constants!$B$18*IF($AO135,$AP135,Constants!$B$19),Constants!$B$20))</f>
        <v/>
      </c>
      <c r="BD135" s="97" t="str">
        <f aca="false">IF($BX135&lt;&gt;Constants!$B$6,"",Constants!$B$21*ABS($AD$9-IF($AL135,$AM135,0)))</f>
        <v/>
      </c>
      <c r="BE135" s="97" t="str">
        <f aca="false">IF($BX135&lt;&gt;Constants!$B$6,"",IF(AND($AL135,$AQ135,$AO135),Constants!$B$22,0))</f>
        <v/>
      </c>
      <c r="BF135" s="97" t="str">
        <f aca="false">IF($BX135&lt;&gt;Constants!$B$6,"",IF($AL135,($AI135-Constants!$B$24)*Constants!$B$23,0))</f>
        <v/>
      </c>
      <c r="BG135" s="97" t="str">
        <f aca="false">IF($BX135&lt;&gt;Constants!$B$6,"",IF($AK135,0,Constants!$B$12)+IF($AJ135,0,Constants!$B$13)+IF($AH135,0,Constants!$B$14))</f>
        <v/>
      </c>
      <c r="BH135" s="98" t="str">
        <f aca="false">IF($BX135&lt;&gt;Constants!$B$6,"",Constants!$B$16+SUM($BC135:$BG135))</f>
        <v/>
      </c>
      <c r="BI135" s="97" t="str">
        <f aca="false">IF($BX135&lt;&gt;Constants!$B$6,"",$BC135)</f>
        <v/>
      </c>
      <c r="BJ135" s="97" t="str">
        <f aca="false">IF($BX135&lt;&gt;Constants!$B$6,"",$BD135)</f>
        <v/>
      </c>
      <c r="BK135" s="99" t="str">
        <f aca="false">IF($BX135&lt;&gt;Constants!$B$6,"",IF($AL135,$AN135,""))</f>
        <v/>
      </c>
      <c r="BL135" s="93" t="str">
        <f aca="false">IF($BX135&lt;&gt;Constants!$B$6,"",IF(OR($BS135&lt;$BH135,AND($BS135=$BH135,OR($BT135&lt;$BI135,AND($BT135=$BI135,OR($BU135&lt;$BJ135,AND($BU135=$BJ135,AND(ISNUMBER($BV135),OR(NOT(ISNUMBER($BK135)),$BV135&lt;$BK135)))))))),"-&gt;","&lt;-"))</f>
        <v/>
      </c>
      <c r="BM135" s="92" t="str">
        <f aca="false">IF(ISBLANK($C135),"",AND($AT135,OR($AU135="",$AV135="",AND($AW135,$AX135=""))))</f>
        <v/>
      </c>
      <c r="BN135" s="94" t="str">
        <f aca="false">IF($BX135&lt;&gt;Constants!$B$6,"",IF($AT135,Constants!$B$17*$AV135+Constants!$B$18*IF($AW135,$AX135,Constants!$B$19),Constants!$B$20))</f>
        <v/>
      </c>
      <c r="BO135" s="97" t="str">
        <f aca="false">IF($BX135&lt;&gt;Constants!$B$6,"",Constants!$B$21*ABS($AD$9-IF($AT135,$AU135,0)))</f>
        <v/>
      </c>
      <c r="BP135" s="97" t="str">
        <f aca="false">IF($BX135&lt;&gt;Constants!$B$6,"",IF(AND($AT135,$AY135,$AW135),Constants!$B$22,0))</f>
        <v/>
      </c>
      <c r="BQ135" s="97" t="str">
        <f aca="false">IF($BX135&lt;&gt;Constants!$B$6,"",IF($AT135,($AI135-Constants!$B$24)*Constants!$B$23,0))</f>
        <v/>
      </c>
      <c r="BR135" s="97" t="str">
        <f aca="false">IF($BX135&lt;&gt;Constants!$B$6,"",IF($AS135,0,Constants!$B$12)+IF($AR135,0,Constants!$B$13)+IF($AH135,0,Constants!$B$14))</f>
        <v/>
      </c>
      <c r="BS135" s="98" t="str">
        <f aca="false">IF($BX135&lt;&gt;Constants!$B$6,"",Constants!$B$16+SUM($BN135:$BR135))</f>
        <v/>
      </c>
      <c r="BT135" s="97" t="str">
        <f aca="false">IF($BX135&lt;&gt;Constants!$B$6,"",$BN135)</f>
        <v/>
      </c>
      <c r="BU135" s="97" t="str">
        <f aca="false">IF($BX135&lt;&gt;Constants!$B$6,"",$BO135)</f>
        <v/>
      </c>
      <c r="BV135" s="99" t="str">
        <f aca="false">IF($BX135&lt;&gt;Constants!$B$6,"",IF($AT135,$AV135,""))</f>
        <v/>
      </c>
      <c r="BW135" s="93" t="str">
        <f aca="false">IF(ISBLANK($C135),"",IF(ISBLANK($D$7),$BW$5,IF(NOT(ISNUMBER($D$7)),$BW$6,"")))</f>
        <v/>
      </c>
      <c r="BX135" s="93" t="str">
        <f aca="false">IF(ISBLANK($C135),"",IF($BA135,Constants!$B$9,IF(COUNTA($E135:$AA135)=0,Constants!$B$8,IF(NOT($AG135),Constants!$B$7,IF(OR($BW135&lt;&gt;"",$BB135,$BM135),Constants!$B$10,Constants!$B$6)))))</f>
        <v/>
      </c>
      <c r="BY135" s="93" t="str">
        <f aca="false">IF(ISBLANK($C135),"",IF($BX135&lt;&gt;Constants!$B$6,$BX135,Constants!$B$11))</f>
        <v/>
      </c>
      <c r="BZ135" s="97" t="str">
        <f aca="false">IF($BX135&lt;&gt;Constants!$B$6,"",IF($BL135="-&gt;",$BS135,$BH135))</f>
        <v/>
      </c>
      <c r="CA135" s="97" t="str">
        <f aca="false">IF($BX135&lt;&gt;Constants!$B$6,"",IF($AF135,0,Constants!$B$15))</f>
        <v/>
      </c>
      <c r="CB135" s="97" t="str">
        <f aca="false">IF($BX135&lt;&gt;Constants!$B$6,"",((Constants!$B$25-$AZ135)-Constants!$B$25)/Constants!$B$26)</f>
        <v/>
      </c>
      <c r="CC135" s="97" t="str">
        <f aca="false">IF(ISBLANK($C135),"",IF($BX135&lt;&gt;Constants!$B$6,$BX135,SUM($BZ135:$CB135)))</f>
        <v/>
      </c>
      <c r="CD135" s="93" t="str">
        <f aca="false">IF(ISBLANK($C135),"",IF($BX135&lt;&gt;Constants!$B$6,$BX135,RANK($CC135,$CC$9:$CC$508,1)))</f>
        <v/>
      </c>
      <c r="CE135" s="97" t="str">
        <f aca="false">IF($BX135&lt;&gt;Constants!$B$6,"",IF($BL135="-&gt;",$BT135,$BI135))</f>
        <v/>
      </c>
      <c r="CF135" s="93" t="str">
        <f aca="false">IF(ISBLANK($C135),"",IF($BX135&lt;&gt;Constants!$B$6,$BX135,IF(ISNUMBER($CE135),RANK($CE135,$CE$9:$CE$508,1),COUNT($CE$9:$CE$508)+1)))</f>
        <v/>
      </c>
      <c r="CG135" s="97" t="str">
        <f aca="false">IF($BX135&lt;&gt;Constants!$B$6,"",IF($BL135="-&gt;",$BU135,$BJ135))</f>
        <v/>
      </c>
      <c r="CH135" s="93" t="str">
        <f aca="false">IF(ISBLANK($C135),"",IF($BX135&lt;&gt;Constants!$B$6,$BX135,IF(ISNUMBER($CG135),RANK($CG135,$CG$9:$CG$508,1),COUNT($CG$9:$CG$508)+1)))</f>
        <v/>
      </c>
      <c r="CI135" s="97" t="str">
        <f aca="false">IF($BX135&lt;&gt;Constants!$B$6,"",IF($BL135="-&gt;",$BV135,$BK135))</f>
        <v/>
      </c>
      <c r="CJ135" s="93" t="str">
        <f aca="false">IF(ISBLANK($C135),"",IF($BX135&lt;&gt;Constants!$B$6,$BX135,IF(ISNUMBER($CI135),RANK($CI135,$CI$9:$CI$508,1),COUNT($CI$9:$CI$508)+1)))</f>
        <v/>
      </c>
      <c r="CK135" s="97" t="str">
        <f aca="false">IF($BX135&lt;&gt;Constants!$B$6,"",$AI135)</f>
        <v/>
      </c>
      <c r="CL135" s="93" t="str">
        <f aca="false">IF(ISBLANK($C135),"",IF($BX135&lt;&gt;Constants!$B$6,$BX135,IF(ISNUMBER($CK135),RANK($CK135,$CK$9:$CK$508,1),COUNT($CK$9:$CK$508)+1)))</f>
        <v/>
      </c>
      <c r="CM135" s="93" t="str">
        <f aca="false">IF(ISBLANK($C135),"",IF($BX135&lt;&gt;Constants!$B$6,$BX135,COUNTIFS($CD$9:$CD$508,"&lt;"&amp;$CD135)+COUNTIFS($CD$9:$CD$508,$CD135,$CF$9:$CF$508,"&lt;"&amp;$CF135)+COUNTIFS($CD$9:$CD$508,$CD135,$CF$9:$CF$508,$CF135,$CH$9:$CH$508,"&lt;"&amp;$CH135)+COUNTIFS($CD$9:$CD$508,$CD135,$CF$9:$CF$508,$CF135,$CH$9:$CH$508,$CH135,$CJ$9:$CJ$508,"&lt;"&amp;$CJ135)+COUNTIFS($CD$9:$CD$508,$CD135,$CF$9:$CF$508,$CF135,$CH$9:$CH$508,$CH135,$CJ$9:$CJ$508,$CJ135,$CL$9:$CL$508,"&lt;"&amp;$CL135)+1))</f>
        <v/>
      </c>
      <c r="CN135" s="93" t="str">
        <f aca="false">IF(ISBLANK($C135),"",IF($BX135&lt;&gt;Constants!$B$6,$BX135,$CD135-$CM135))</f>
        <v/>
      </c>
      <c r="CO135" s="100"/>
      <c r="CP135" s="101"/>
      <c r="CQ135" s="102" t="str">
        <f aca="false">IF(ISBLANK($C135),"",IF($BX135=Constants!$B$10,$BW135,""))</f>
        <v/>
      </c>
      <c r="CR135" s="101" t="str">
        <f aca="false">IF(ISBLANK($C135),"",IF($BX135&lt;&gt;Constants!$B$6,"",IF($BL135="-&gt;",2,1)))</f>
        <v/>
      </c>
      <c r="CS135" s="103" t="str">
        <f aca="false">IF(ISBLANK($C135),"",IF($BX135&lt;&gt;Constants!$B$6,"",IF($BL135="-&gt;",$BN135,$BC135)))</f>
        <v/>
      </c>
      <c r="CT135" s="103" t="str">
        <f aca="false">IF(ISBLANK($C135),"",IF($BX135&lt;&gt;Constants!$B$6,"",IF($BL135="-&gt;",$BO135,$BD135)))</f>
        <v/>
      </c>
      <c r="CU135" s="103" t="str">
        <f aca="false">IF(ISBLANK($C135),"",IF($BX135&lt;&gt;Constants!$B$6,"",IF($BL135="-&gt;",$BP135+$BQ135,$BE135+$BF135)+$CB135))</f>
        <v/>
      </c>
      <c r="CV135" s="103" t="str">
        <f aca="false">IF(ISBLANK($C135),"",IF($BX135&lt;&gt;Constants!$B$6,"",IF($BL135="-&gt;",$BR135,$BG135)+$CA135))</f>
        <v/>
      </c>
      <c r="CW135" s="104" t="str">
        <f aca="false">IF(ISBLANK($C135),"",IF($BX135&lt;&gt;Constants!$B$6,$BX135,$CC135))</f>
        <v/>
      </c>
      <c r="CX135" s="105" t="str">
        <f aca="false">IF(ISBLANK($C135),"",$BY135)</f>
        <v/>
      </c>
      <c r="CY135" s="106" t="str">
        <f aca="false">IF(ISBLANK($C135),"",$CN135)</f>
        <v/>
      </c>
      <c r="CZ135" s="106" t="str">
        <f aca="false">IF(ISBLANK($C135),"",$CM135)</f>
        <v/>
      </c>
      <c r="DA135" s="107" t="str">
        <f aca="false">IF(ISBLANK($C135),"",IFERROR(_xlfn.SWITCH($CZ135,Constants!$B$9,COUNTA($C$9:$C$508)+2,Constants!$B$8,COUNTA($C$9:$C$508)+1,Constants!$B$7,COUNTA($C$9:$C$508)),$CZ135))</f>
        <v/>
      </c>
      <c r="DB135" s="9"/>
      <c r="DC135" s="108" t="n">
        <f aca="false">IF(OR(ISNUMBER($CZ135),$CZ135=Constants!$B$9,$CZ135=Constants!$B$7,$CZ135=Constants!$B$8),1,0)</f>
        <v>0</v>
      </c>
      <c r="DD135" s="108" t="n">
        <v>127</v>
      </c>
      <c r="DE135" s="108" t="str">
        <f aca="false">IF(ISBLANK($C135),"",IF(ISNUMBER($DA135),$DA135+ROW($B135)/1000,""))</f>
        <v/>
      </c>
      <c r="DF135" s="108" t="str">
        <f aca="false">IF(ISNUMBER($DE135),RANK($DE135,$DE$9:$DE$508,1),"")</f>
        <v/>
      </c>
      <c r="DG135" s="108" t="str">
        <f aca="false">IF(ISBLANK($C135),"",$B135)</f>
        <v/>
      </c>
      <c r="DH135" s="108" t="str">
        <f aca="false">IF(ISBLANK($C135),"",$C135)</f>
        <v/>
      </c>
      <c r="DI135" s="108" t="str">
        <f aca="false">IF(ISBLANK($C135),"",$D135)</f>
        <v/>
      </c>
      <c r="DJ135" s="109" t="str">
        <f aca="false">$CX135</f>
        <v/>
      </c>
      <c r="DK135" s="110" t="str">
        <f aca="false">$CW135</f>
        <v/>
      </c>
      <c r="DL135" s="108" t="str">
        <f aca="false">IF(ISBLANK($C135),"",$CZ135)</f>
        <v/>
      </c>
      <c r="DM135" s="111" t="str">
        <f aca="false">IF($DD135&gt;$DC$8,"",VLOOKUP($DD135,$DF$9:$DL$508,7,FALSE()))</f>
        <v/>
      </c>
      <c r="DN135" s="112" t="str">
        <f aca="false">IF($DD135&gt;$DC$8,"",VLOOKUP($DD135,$DF$9:$DL$508,2,FALSE()))</f>
        <v/>
      </c>
      <c r="DO135" s="112" t="str">
        <f aca="false">IF($DD135&gt;$DC$8,"",VLOOKUP($DD135,$DF$9:$DL$508,3,FALSE()))</f>
        <v/>
      </c>
      <c r="DP135" s="112" t="str">
        <f aca="false">IF($DD135&gt;$DC$8,"",VLOOKUP($DD135,$DF$9:$DL$508,4,FALSE()))</f>
        <v/>
      </c>
      <c r="DQ135" s="112" t="str">
        <f aca="false">IF($DD135&gt;$DC$8,"",VLOOKUP($DD135,$DF$9:$DL$508,5,FALSE()))</f>
        <v/>
      </c>
      <c r="DR135" s="113" t="str">
        <f aca="false">IF($DD135&gt;$DC$8,"",VLOOKUP($DD135,$DF$9:$DL$508,6,FALSE()))</f>
        <v/>
      </c>
      <c r="DS135" s="76"/>
    </row>
    <row r="136" customFormat="false" ht="15.75" hidden="false" customHeight="false" outlineLevel="0" collapsed="false">
      <c r="A136" s="9"/>
      <c r="B136" s="78"/>
      <c r="C136" s="79"/>
      <c r="D136" s="170"/>
      <c r="E136" s="178"/>
      <c r="F136" s="172"/>
      <c r="G136" s="173"/>
      <c r="H136" s="173"/>
      <c r="I136" s="179"/>
      <c r="J136" s="176"/>
      <c r="K136" s="86"/>
      <c r="L136" s="87"/>
      <c r="M136" s="88"/>
      <c r="N136" s="176"/>
      <c r="O136" s="176"/>
      <c r="P136" s="178"/>
      <c r="Q136" s="176"/>
      <c r="R136" s="176"/>
      <c r="S136" s="86"/>
      <c r="T136" s="88"/>
      <c r="U136" s="88"/>
      <c r="V136" s="176"/>
      <c r="W136" s="176"/>
      <c r="X136" s="178"/>
      <c r="Y136" s="176"/>
      <c r="Z136" s="177"/>
      <c r="AA136" s="176"/>
      <c r="AB136" s="92"/>
      <c r="AC136" s="93"/>
      <c r="AD136" s="93"/>
      <c r="AE136" s="93"/>
      <c r="AF136" s="93" t="str">
        <f aca="false">IF(ISBLANK($C136),"",IF(E136=Constants!$B$2,TRUE(),IF(E136=Constants!$B$3,FALSE(),TRUE())))</f>
        <v/>
      </c>
      <c r="AG136" s="93" t="str">
        <f aca="false">IF(ISBLANK($C136),"",IF(F136=Constants!$B$2,TRUE(),IF(F136=Constants!$B$3,FALSE(),TRUE())))</f>
        <v/>
      </c>
      <c r="AH136" s="93" t="str">
        <f aca="false">IF(ISBLANK($C136),"",IF(G136=Constants!$B$2,TRUE(),IF(G136=Constants!$B$3,FALSE(),TRUE())))</f>
        <v/>
      </c>
      <c r="AI136" s="93" t="str">
        <f aca="false">IF(ISBLANK($C136),"",IF(AND(ISNUMBER(H136),H136&gt;=0),H136,Constants!$B$24))</f>
        <v/>
      </c>
      <c r="AJ136" s="93" t="str">
        <f aca="false">IF(ISBLANK($C136),"",IF(I136=Constants!$B$2,TRUE(),IF(I136=Constants!$B$3,FALSE(),TRUE())))</f>
        <v/>
      </c>
      <c r="AK136" s="93" t="str">
        <f aca="false">IF(ISBLANK($C136),"",IF(J136=Constants!$B$2,TRUE(),IF(J136=Constants!$B$3,FALSE(),TRUE())))</f>
        <v/>
      </c>
      <c r="AL136" s="93" t="str">
        <f aca="false">IF(ISBLANK($C136),"",IF(K136=Constants!$B$4,TRUE(),IF(K136=Constants!$B$5,FALSE(),COUNTA(L136:P136)&gt;0)))</f>
        <v/>
      </c>
      <c r="AM136" s="95" t="str">
        <f aca="false">IF(ISBLANK($C136),"",IF(ISNUMBER(L136),IF(L136&gt;=0,L136,""),""))</f>
        <v/>
      </c>
      <c r="AN136" s="94" t="str">
        <f aca="false">IF(ISBLANK($C136),"",IF(ISNUMBER(M136),IF(M136&gt;=0,M136,""),""))</f>
        <v/>
      </c>
      <c r="AO136" s="94" t="str">
        <f aca="false">IF(ISBLANK($C136),"",IF(N136=Constants!$B$2,TRUE(),IF(N136=Constants!$B$3,FALSE(),TRUE())))</f>
        <v/>
      </c>
      <c r="AP136" s="93" t="str">
        <f aca="false">IF(ISBLANK($C136),"",IF(ISNUMBER(O136),IF(O136&gt;=0,O136,""),""))</f>
        <v/>
      </c>
      <c r="AQ136" s="93" t="str">
        <f aca="false">IF(ISBLANK($C136),"",IF(P136=Constants!$B$2,TRUE(),IF(P136=Constants!$B$3,FALSE(),FALSE())))</f>
        <v/>
      </c>
      <c r="AR136" s="93" t="str">
        <f aca="false">IF(ISBLANK($C136),"",IF(Q136=Constants!$B$2,TRUE(),IF(Q136=Constants!$B$3,FALSE(),TRUE())))</f>
        <v/>
      </c>
      <c r="AS136" s="93" t="str">
        <f aca="false">IF(ISBLANK($C136),"",IF(R136=Constants!$B$2,TRUE(),IF(R136=Constants!$B$3,FALSE(),TRUE())))</f>
        <v/>
      </c>
      <c r="AT136" s="93" t="str">
        <f aca="false">IF(ISBLANK($C136),"",IF(S136=Constants!$B$4,TRUE(),IF(S136=Constants!$B$5,FALSE(),COUNTA(T136:X136)&gt;0)))</f>
        <v/>
      </c>
      <c r="AU136" s="95" t="str">
        <f aca="false">IF(ISBLANK($C136),"",IF(ISNUMBER(T136),IF(T136&gt;=0,T136,""),""))</f>
        <v/>
      </c>
      <c r="AV136" s="94" t="str">
        <f aca="false">IF(ISBLANK($C136),"",IF(ISNUMBER(U136),IF(U136&gt;=0,U136,""),""))</f>
        <v/>
      </c>
      <c r="AW136" s="94" t="str">
        <f aca="false">IF(ISBLANK($C136),"",IF(V136=Constants!$B$2,TRUE(),IF(V136=Constants!$B$3,FALSE(),TRUE())))</f>
        <v/>
      </c>
      <c r="AX136" s="93" t="str">
        <f aca="false">IF(ISBLANK($C136),"",IF(ISNUMBER(W136),IF(W136&gt;=0,W136,""),""))</f>
        <v/>
      </c>
      <c r="AY136" s="93" t="str">
        <f aca="false">IF(ISBLANK($C136),"",IF(X136=Constants!$B$2,TRUE(),IF(X136=Constants!$B$3,FALSE(),FALSE())))</f>
        <v/>
      </c>
      <c r="AZ136" s="93" t="str">
        <f aca="false">IF(ISBLANK($C136),"",MIN(Constants!$B$25,MAX(0,IF(ISNUMBER(Y136),Y136*60,0)+IF(ISNUMBER(Z136),Z136,0))))</f>
        <v/>
      </c>
      <c r="BA136" s="93" t="str">
        <f aca="false">IF(ISBLANK($C136),"",IF(AA136=Constants!$B$2,TRUE(),IF(AA136=Constants!$B$3,FALSE(),FALSE())))</f>
        <v/>
      </c>
      <c r="BB136" s="92" t="str">
        <f aca="false">IF(ISBLANK($C136),"",AND($AL136,OR($AM136="",$AN136="",AND($AO136,$AP136=""))))</f>
        <v/>
      </c>
      <c r="BC136" s="94" t="str">
        <f aca="false">IF($BX136&lt;&gt;Constants!$B$6,"",IF($AL136,Constants!$B$17*$AN136+Constants!$B$18*IF($AO136,$AP136,Constants!$B$19),Constants!$B$20))</f>
        <v/>
      </c>
      <c r="BD136" s="97" t="str">
        <f aca="false">IF($BX136&lt;&gt;Constants!$B$6,"",Constants!$B$21*ABS($AD$9-IF($AL136,$AM136,0)))</f>
        <v/>
      </c>
      <c r="BE136" s="97" t="str">
        <f aca="false">IF($BX136&lt;&gt;Constants!$B$6,"",IF(AND($AL136,$AQ136,$AO136),Constants!$B$22,0))</f>
        <v/>
      </c>
      <c r="BF136" s="97" t="str">
        <f aca="false">IF($BX136&lt;&gt;Constants!$B$6,"",IF($AL136,($AI136-Constants!$B$24)*Constants!$B$23,0))</f>
        <v/>
      </c>
      <c r="BG136" s="97" t="str">
        <f aca="false">IF($BX136&lt;&gt;Constants!$B$6,"",IF($AK136,0,Constants!$B$12)+IF($AJ136,0,Constants!$B$13)+IF($AH136,0,Constants!$B$14))</f>
        <v/>
      </c>
      <c r="BH136" s="98" t="str">
        <f aca="false">IF($BX136&lt;&gt;Constants!$B$6,"",Constants!$B$16+SUM($BC136:$BG136))</f>
        <v/>
      </c>
      <c r="BI136" s="97" t="str">
        <f aca="false">IF($BX136&lt;&gt;Constants!$B$6,"",$BC136)</f>
        <v/>
      </c>
      <c r="BJ136" s="97" t="str">
        <f aca="false">IF($BX136&lt;&gt;Constants!$B$6,"",$BD136)</f>
        <v/>
      </c>
      <c r="BK136" s="99" t="str">
        <f aca="false">IF($BX136&lt;&gt;Constants!$B$6,"",IF($AL136,$AN136,""))</f>
        <v/>
      </c>
      <c r="BL136" s="93" t="str">
        <f aca="false">IF($BX136&lt;&gt;Constants!$B$6,"",IF(OR($BS136&lt;$BH136,AND($BS136=$BH136,OR($BT136&lt;$BI136,AND($BT136=$BI136,OR($BU136&lt;$BJ136,AND($BU136=$BJ136,AND(ISNUMBER($BV136),OR(NOT(ISNUMBER($BK136)),$BV136&lt;$BK136)))))))),"-&gt;","&lt;-"))</f>
        <v/>
      </c>
      <c r="BM136" s="92" t="str">
        <f aca="false">IF(ISBLANK($C136),"",AND($AT136,OR($AU136="",$AV136="",AND($AW136,$AX136=""))))</f>
        <v/>
      </c>
      <c r="BN136" s="94" t="str">
        <f aca="false">IF($BX136&lt;&gt;Constants!$B$6,"",IF($AT136,Constants!$B$17*$AV136+Constants!$B$18*IF($AW136,$AX136,Constants!$B$19),Constants!$B$20))</f>
        <v/>
      </c>
      <c r="BO136" s="97" t="str">
        <f aca="false">IF($BX136&lt;&gt;Constants!$B$6,"",Constants!$B$21*ABS($AD$9-IF($AT136,$AU136,0)))</f>
        <v/>
      </c>
      <c r="BP136" s="97" t="str">
        <f aca="false">IF($BX136&lt;&gt;Constants!$B$6,"",IF(AND($AT136,$AY136,$AW136),Constants!$B$22,0))</f>
        <v/>
      </c>
      <c r="BQ136" s="97" t="str">
        <f aca="false">IF($BX136&lt;&gt;Constants!$B$6,"",IF($AT136,($AI136-Constants!$B$24)*Constants!$B$23,0))</f>
        <v/>
      </c>
      <c r="BR136" s="97" t="str">
        <f aca="false">IF($BX136&lt;&gt;Constants!$B$6,"",IF($AS136,0,Constants!$B$12)+IF($AR136,0,Constants!$B$13)+IF($AH136,0,Constants!$B$14))</f>
        <v/>
      </c>
      <c r="BS136" s="98" t="str">
        <f aca="false">IF($BX136&lt;&gt;Constants!$B$6,"",Constants!$B$16+SUM($BN136:$BR136))</f>
        <v/>
      </c>
      <c r="BT136" s="97" t="str">
        <f aca="false">IF($BX136&lt;&gt;Constants!$B$6,"",$BN136)</f>
        <v/>
      </c>
      <c r="BU136" s="97" t="str">
        <f aca="false">IF($BX136&lt;&gt;Constants!$B$6,"",$BO136)</f>
        <v/>
      </c>
      <c r="BV136" s="99" t="str">
        <f aca="false">IF($BX136&lt;&gt;Constants!$B$6,"",IF($AT136,$AV136,""))</f>
        <v/>
      </c>
      <c r="BW136" s="93" t="str">
        <f aca="false">IF(ISBLANK($C136),"",IF(ISBLANK($D$7),$BW$5,IF(NOT(ISNUMBER($D$7)),$BW$6,"")))</f>
        <v/>
      </c>
      <c r="BX136" s="93" t="str">
        <f aca="false">IF(ISBLANK($C136),"",IF($BA136,Constants!$B$9,IF(COUNTA($E136:$AA136)=0,Constants!$B$8,IF(NOT($AG136),Constants!$B$7,IF(OR($BW136&lt;&gt;"",$BB136,$BM136),Constants!$B$10,Constants!$B$6)))))</f>
        <v/>
      </c>
      <c r="BY136" s="93" t="str">
        <f aca="false">IF(ISBLANK($C136),"",IF($BX136&lt;&gt;Constants!$B$6,$BX136,Constants!$B$11))</f>
        <v/>
      </c>
      <c r="BZ136" s="97" t="str">
        <f aca="false">IF($BX136&lt;&gt;Constants!$B$6,"",IF($BL136="-&gt;",$BS136,$BH136))</f>
        <v/>
      </c>
      <c r="CA136" s="97" t="str">
        <f aca="false">IF($BX136&lt;&gt;Constants!$B$6,"",IF($AF136,0,Constants!$B$15))</f>
        <v/>
      </c>
      <c r="CB136" s="97" t="str">
        <f aca="false">IF($BX136&lt;&gt;Constants!$B$6,"",((Constants!$B$25-$AZ136)-Constants!$B$25)/Constants!$B$26)</f>
        <v/>
      </c>
      <c r="CC136" s="97" t="str">
        <f aca="false">IF(ISBLANK($C136),"",IF($BX136&lt;&gt;Constants!$B$6,$BX136,SUM($BZ136:$CB136)))</f>
        <v/>
      </c>
      <c r="CD136" s="93" t="str">
        <f aca="false">IF(ISBLANK($C136),"",IF($BX136&lt;&gt;Constants!$B$6,$BX136,RANK($CC136,$CC$9:$CC$508,1)))</f>
        <v/>
      </c>
      <c r="CE136" s="97" t="str">
        <f aca="false">IF($BX136&lt;&gt;Constants!$B$6,"",IF($BL136="-&gt;",$BT136,$BI136))</f>
        <v/>
      </c>
      <c r="CF136" s="93" t="str">
        <f aca="false">IF(ISBLANK($C136),"",IF($BX136&lt;&gt;Constants!$B$6,$BX136,IF(ISNUMBER($CE136),RANK($CE136,$CE$9:$CE$508,1),COUNT($CE$9:$CE$508)+1)))</f>
        <v/>
      </c>
      <c r="CG136" s="97" t="str">
        <f aca="false">IF($BX136&lt;&gt;Constants!$B$6,"",IF($BL136="-&gt;",$BU136,$BJ136))</f>
        <v/>
      </c>
      <c r="CH136" s="93" t="str">
        <f aca="false">IF(ISBLANK($C136),"",IF($BX136&lt;&gt;Constants!$B$6,$BX136,IF(ISNUMBER($CG136),RANK($CG136,$CG$9:$CG$508,1),COUNT($CG$9:$CG$508)+1)))</f>
        <v/>
      </c>
      <c r="CI136" s="97" t="str">
        <f aca="false">IF($BX136&lt;&gt;Constants!$B$6,"",IF($BL136="-&gt;",$BV136,$BK136))</f>
        <v/>
      </c>
      <c r="CJ136" s="93" t="str">
        <f aca="false">IF(ISBLANK($C136),"",IF($BX136&lt;&gt;Constants!$B$6,$BX136,IF(ISNUMBER($CI136),RANK($CI136,$CI$9:$CI$508,1),COUNT($CI$9:$CI$508)+1)))</f>
        <v/>
      </c>
      <c r="CK136" s="97" t="str">
        <f aca="false">IF($BX136&lt;&gt;Constants!$B$6,"",$AI136)</f>
        <v/>
      </c>
      <c r="CL136" s="93" t="str">
        <f aca="false">IF(ISBLANK($C136),"",IF($BX136&lt;&gt;Constants!$B$6,$BX136,IF(ISNUMBER($CK136),RANK($CK136,$CK$9:$CK$508,1),COUNT($CK$9:$CK$508)+1)))</f>
        <v/>
      </c>
      <c r="CM136" s="93" t="str">
        <f aca="false">IF(ISBLANK($C136),"",IF($BX136&lt;&gt;Constants!$B$6,$BX136,COUNTIFS($CD$9:$CD$508,"&lt;"&amp;$CD136)+COUNTIFS($CD$9:$CD$508,$CD136,$CF$9:$CF$508,"&lt;"&amp;$CF136)+COUNTIFS($CD$9:$CD$508,$CD136,$CF$9:$CF$508,$CF136,$CH$9:$CH$508,"&lt;"&amp;$CH136)+COUNTIFS($CD$9:$CD$508,$CD136,$CF$9:$CF$508,$CF136,$CH$9:$CH$508,$CH136,$CJ$9:$CJ$508,"&lt;"&amp;$CJ136)+COUNTIFS($CD$9:$CD$508,$CD136,$CF$9:$CF$508,$CF136,$CH$9:$CH$508,$CH136,$CJ$9:$CJ$508,$CJ136,$CL$9:$CL$508,"&lt;"&amp;$CL136)+1))</f>
        <v/>
      </c>
      <c r="CN136" s="93" t="str">
        <f aca="false">IF(ISBLANK($C136),"",IF($BX136&lt;&gt;Constants!$B$6,$BX136,$CD136-$CM136))</f>
        <v/>
      </c>
      <c r="CO136" s="100"/>
      <c r="CP136" s="101"/>
      <c r="CQ136" s="102" t="str">
        <f aca="false">IF(ISBLANK($C136),"",IF($BX136=Constants!$B$10,$BW136,""))</f>
        <v/>
      </c>
      <c r="CR136" s="101" t="str">
        <f aca="false">IF(ISBLANK($C136),"",IF($BX136&lt;&gt;Constants!$B$6,"",IF($BL136="-&gt;",2,1)))</f>
        <v/>
      </c>
      <c r="CS136" s="103" t="str">
        <f aca="false">IF(ISBLANK($C136),"",IF($BX136&lt;&gt;Constants!$B$6,"",IF($BL136="-&gt;",$BN136,$BC136)))</f>
        <v/>
      </c>
      <c r="CT136" s="103" t="str">
        <f aca="false">IF(ISBLANK($C136),"",IF($BX136&lt;&gt;Constants!$B$6,"",IF($BL136="-&gt;",$BO136,$BD136)))</f>
        <v/>
      </c>
      <c r="CU136" s="103" t="str">
        <f aca="false">IF(ISBLANK($C136),"",IF($BX136&lt;&gt;Constants!$B$6,"",IF($BL136="-&gt;",$BP136+$BQ136,$BE136+$BF136)+$CB136))</f>
        <v/>
      </c>
      <c r="CV136" s="103" t="str">
        <f aca="false">IF(ISBLANK($C136),"",IF($BX136&lt;&gt;Constants!$B$6,"",IF($BL136="-&gt;",$BR136,$BG136)+$CA136))</f>
        <v/>
      </c>
      <c r="CW136" s="104" t="str">
        <f aca="false">IF(ISBLANK($C136),"",IF($BX136&lt;&gt;Constants!$B$6,$BX136,$CC136))</f>
        <v/>
      </c>
      <c r="CX136" s="105" t="str">
        <f aca="false">IF(ISBLANK($C136),"",$BY136)</f>
        <v/>
      </c>
      <c r="CY136" s="106" t="str">
        <f aca="false">IF(ISBLANK($C136),"",$CN136)</f>
        <v/>
      </c>
      <c r="CZ136" s="106" t="str">
        <f aca="false">IF(ISBLANK($C136),"",$CM136)</f>
        <v/>
      </c>
      <c r="DA136" s="107" t="str">
        <f aca="false">IF(ISBLANK($C136),"",IFERROR(_xlfn.SWITCH($CZ136,Constants!$B$9,COUNTA($C$9:$C$508)+2,Constants!$B$8,COUNTA($C$9:$C$508)+1,Constants!$B$7,COUNTA($C$9:$C$508)),$CZ136))</f>
        <v/>
      </c>
      <c r="DB136" s="9"/>
      <c r="DC136" s="108" t="n">
        <f aca="false">IF(OR(ISNUMBER($CZ136),$CZ136=Constants!$B$9,$CZ136=Constants!$B$7,$CZ136=Constants!$B$8),1,0)</f>
        <v>0</v>
      </c>
      <c r="DD136" s="108" t="n">
        <v>128</v>
      </c>
      <c r="DE136" s="108" t="str">
        <f aca="false">IF(ISBLANK($C136),"",IF(ISNUMBER($DA136),$DA136+ROW($B136)/1000,""))</f>
        <v/>
      </c>
      <c r="DF136" s="108" t="str">
        <f aca="false">IF(ISNUMBER($DE136),RANK($DE136,$DE$9:$DE$508,1),"")</f>
        <v/>
      </c>
      <c r="DG136" s="108" t="str">
        <f aca="false">IF(ISBLANK($C136),"",$B136)</f>
        <v/>
      </c>
      <c r="DH136" s="108" t="str">
        <f aca="false">IF(ISBLANK($C136),"",$C136)</f>
        <v/>
      </c>
      <c r="DI136" s="108" t="str">
        <f aca="false">IF(ISBLANK($C136),"",$D136)</f>
        <v/>
      </c>
      <c r="DJ136" s="109" t="str">
        <f aca="false">$CX136</f>
        <v/>
      </c>
      <c r="DK136" s="110" t="str">
        <f aca="false">$CW136</f>
        <v/>
      </c>
      <c r="DL136" s="108" t="str">
        <f aca="false">IF(ISBLANK($C136),"",$CZ136)</f>
        <v/>
      </c>
      <c r="DM136" s="111" t="str">
        <f aca="false">IF($DD136&gt;$DC$8,"",VLOOKUP($DD136,$DF$9:$DL$508,7,FALSE()))</f>
        <v/>
      </c>
      <c r="DN136" s="112" t="str">
        <f aca="false">IF($DD136&gt;$DC$8,"",VLOOKUP($DD136,$DF$9:$DL$508,2,FALSE()))</f>
        <v/>
      </c>
      <c r="DO136" s="112" t="str">
        <f aca="false">IF($DD136&gt;$DC$8,"",VLOOKUP($DD136,$DF$9:$DL$508,3,FALSE()))</f>
        <v/>
      </c>
      <c r="DP136" s="112" t="str">
        <f aca="false">IF($DD136&gt;$DC$8,"",VLOOKUP($DD136,$DF$9:$DL$508,4,FALSE()))</f>
        <v/>
      </c>
      <c r="DQ136" s="112" t="str">
        <f aca="false">IF($DD136&gt;$DC$8,"",VLOOKUP($DD136,$DF$9:$DL$508,5,FALSE()))</f>
        <v/>
      </c>
      <c r="DR136" s="113" t="str">
        <f aca="false">IF($DD136&gt;$DC$8,"",VLOOKUP($DD136,$DF$9:$DL$508,6,FALSE()))</f>
        <v/>
      </c>
      <c r="DS136" s="76"/>
    </row>
    <row r="137" customFormat="false" ht="15.75" hidden="false" customHeight="false" outlineLevel="0" collapsed="false">
      <c r="A137" s="9"/>
      <c r="B137" s="78"/>
      <c r="C137" s="79"/>
      <c r="D137" s="170"/>
      <c r="E137" s="178"/>
      <c r="F137" s="172"/>
      <c r="G137" s="173"/>
      <c r="H137" s="173"/>
      <c r="I137" s="179"/>
      <c r="J137" s="176"/>
      <c r="K137" s="86"/>
      <c r="L137" s="87"/>
      <c r="M137" s="88"/>
      <c r="N137" s="176"/>
      <c r="O137" s="176"/>
      <c r="P137" s="178"/>
      <c r="Q137" s="176"/>
      <c r="R137" s="176"/>
      <c r="S137" s="86"/>
      <c r="T137" s="88"/>
      <c r="U137" s="88"/>
      <c r="V137" s="176"/>
      <c r="W137" s="176"/>
      <c r="X137" s="178"/>
      <c r="Y137" s="176"/>
      <c r="Z137" s="177"/>
      <c r="AA137" s="176"/>
      <c r="AB137" s="92"/>
      <c r="AC137" s="93"/>
      <c r="AD137" s="93"/>
      <c r="AE137" s="93"/>
      <c r="AF137" s="93" t="str">
        <f aca="false">IF(ISBLANK($C137),"",IF(E137=Constants!$B$2,TRUE(),IF(E137=Constants!$B$3,FALSE(),TRUE())))</f>
        <v/>
      </c>
      <c r="AG137" s="93" t="str">
        <f aca="false">IF(ISBLANK($C137),"",IF(F137=Constants!$B$2,TRUE(),IF(F137=Constants!$B$3,FALSE(),TRUE())))</f>
        <v/>
      </c>
      <c r="AH137" s="93" t="str">
        <f aca="false">IF(ISBLANK($C137),"",IF(G137=Constants!$B$2,TRUE(),IF(G137=Constants!$B$3,FALSE(),TRUE())))</f>
        <v/>
      </c>
      <c r="AI137" s="93" t="str">
        <f aca="false">IF(ISBLANK($C137),"",IF(AND(ISNUMBER(H137),H137&gt;=0),H137,Constants!$B$24))</f>
        <v/>
      </c>
      <c r="AJ137" s="93" t="str">
        <f aca="false">IF(ISBLANK($C137),"",IF(I137=Constants!$B$2,TRUE(),IF(I137=Constants!$B$3,FALSE(),TRUE())))</f>
        <v/>
      </c>
      <c r="AK137" s="93" t="str">
        <f aca="false">IF(ISBLANK($C137),"",IF(J137=Constants!$B$2,TRUE(),IF(J137=Constants!$B$3,FALSE(),TRUE())))</f>
        <v/>
      </c>
      <c r="AL137" s="93" t="str">
        <f aca="false">IF(ISBLANK($C137),"",IF(K137=Constants!$B$4,TRUE(),IF(K137=Constants!$B$5,FALSE(),COUNTA(L137:P137)&gt;0)))</f>
        <v/>
      </c>
      <c r="AM137" s="95" t="str">
        <f aca="false">IF(ISBLANK($C137),"",IF(ISNUMBER(L137),IF(L137&gt;=0,L137,""),""))</f>
        <v/>
      </c>
      <c r="AN137" s="94" t="str">
        <f aca="false">IF(ISBLANK($C137),"",IF(ISNUMBER(M137),IF(M137&gt;=0,M137,""),""))</f>
        <v/>
      </c>
      <c r="AO137" s="94" t="str">
        <f aca="false">IF(ISBLANK($C137),"",IF(N137=Constants!$B$2,TRUE(),IF(N137=Constants!$B$3,FALSE(),TRUE())))</f>
        <v/>
      </c>
      <c r="AP137" s="93" t="str">
        <f aca="false">IF(ISBLANK($C137),"",IF(ISNUMBER(O137),IF(O137&gt;=0,O137,""),""))</f>
        <v/>
      </c>
      <c r="AQ137" s="93" t="str">
        <f aca="false">IF(ISBLANK($C137),"",IF(P137=Constants!$B$2,TRUE(),IF(P137=Constants!$B$3,FALSE(),FALSE())))</f>
        <v/>
      </c>
      <c r="AR137" s="93" t="str">
        <f aca="false">IF(ISBLANK($C137),"",IF(Q137=Constants!$B$2,TRUE(),IF(Q137=Constants!$B$3,FALSE(),TRUE())))</f>
        <v/>
      </c>
      <c r="AS137" s="93" t="str">
        <f aca="false">IF(ISBLANK($C137),"",IF(R137=Constants!$B$2,TRUE(),IF(R137=Constants!$B$3,FALSE(),TRUE())))</f>
        <v/>
      </c>
      <c r="AT137" s="93" t="str">
        <f aca="false">IF(ISBLANK($C137),"",IF(S137=Constants!$B$4,TRUE(),IF(S137=Constants!$B$5,FALSE(),COUNTA(T137:X137)&gt;0)))</f>
        <v/>
      </c>
      <c r="AU137" s="95" t="str">
        <f aca="false">IF(ISBLANK($C137),"",IF(ISNUMBER(T137),IF(T137&gt;=0,T137,""),""))</f>
        <v/>
      </c>
      <c r="AV137" s="94" t="str">
        <f aca="false">IF(ISBLANK($C137),"",IF(ISNUMBER(U137),IF(U137&gt;=0,U137,""),""))</f>
        <v/>
      </c>
      <c r="AW137" s="94" t="str">
        <f aca="false">IF(ISBLANK($C137),"",IF(V137=Constants!$B$2,TRUE(),IF(V137=Constants!$B$3,FALSE(),TRUE())))</f>
        <v/>
      </c>
      <c r="AX137" s="93" t="str">
        <f aca="false">IF(ISBLANK($C137),"",IF(ISNUMBER(W137),IF(W137&gt;=0,W137,""),""))</f>
        <v/>
      </c>
      <c r="AY137" s="93" t="str">
        <f aca="false">IF(ISBLANK($C137),"",IF(X137=Constants!$B$2,TRUE(),IF(X137=Constants!$B$3,FALSE(),FALSE())))</f>
        <v/>
      </c>
      <c r="AZ137" s="93" t="str">
        <f aca="false">IF(ISBLANK($C137),"",MIN(Constants!$B$25,MAX(0,IF(ISNUMBER(Y137),Y137*60,0)+IF(ISNUMBER(Z137),Z137,0))))</f>
        <v/>
      </c>
      <c r="BA137" s="93" t="str">
        <f aca="false">IF(ISBLANK($C137),"",IF(AA137=Constants!$B$2,TRUE(),IF(AA137=Constants!$B$3,FALSE(),FALSE())))</f>
        <v/>
      </c>
      <c r="BB137" s="92" t="str">
        <f aca="false">IF(ISBLANK($C137),"",AND($AL137,OR($AM137="",$AN137="",AND($AO137,$AP137=""))))</f>
        <v/>
      </c>
      <c r="BC137" s="94" t="str">
        <f aca="false">IF($BX137&lt;&gt;Constants!$B$6,"",IF($AL137,Constants!$B$17*$AN137+Constants!$B$18*IF($AO137,$AP137,Constants!$B$19),Constants!$B$20))</f>
        <v/>
      </c>
      <c r="BD137" s="97" t="str">
        <f aca="false">IF($BX137&lt;&gt;Constants!$B$6,"",Constants!$B$21*ABS($AD$9-IF($AL137,$AM137,0)))</f>
        <v/>
      </c>
      <c r="BE137" s="97" t="str">
        <f aca="false">IF($BX137&lt;&gt;Constants!$B$6,"",IF(AND($AL137,$AQ137,$AO137),Constants!$B$22,0))</f>
        <v/>
      </c>
      <c r="BF137" s="97" t="str">
        <f aca="false">IF($BX137&lt;&gt;Constants!$B$6,"",IF($AL137,($AI137-Constants!$B$24)*Constants!$B$23,0))</f>
        <v/>
      </c>
      <c r="BG137" s="97" t="str">
        <f aca="false">IF($BX137&lt;&gt;Constants!$B$6,"",IF($AK137,0,Constants!$B$12)+IF($AJ137,0,Constants!$B$13)+IF($AH137,0,Constants!$B$14))</f>
        <v/>
      </c>
      <c r="BH137" s="98" t="str">
        <f aca="false">IF($BX137&lt;&gt;Constants!$B$6,"",Constants!$B$16+SUM($BC137:$BG137))</f>
        <v/>
      </c>
      <c r="BI137" s="97" t="str">
        <f aca="false">IF($BX137&lt;&gt;Constants!$B$6,"",$BC137)</f>
        <v/>
      </c>
      <c r="BJ137" s="97" t="str">
        <f aca="false">IF($BX137&lt;&gt;Constants!$B$6,"",$BD137)</f>
        <v/>
      </c>
      <c r="BK137" s="99" t="str">
        <f aca="false">IF($BX137&lt;&gt;Constants!$B$6,"",IF($AL137,$AN137,""))</f>
        <v/>
      </c>
      <c r="BL137" s="93" t="str">
        <f aca="false">IF($BX137&lt;&gt;Constants!$B$6,"",IF(OR($BS137&lt;$BH137,AND($BS137=$BH137,OR($BT137&lt;$BI137,AND($BT137=$BI137,OR($BU137&lt;$BJ137,AND($BU137=$BJ137,AND(ISNUMBER($BV137),OR(NOT(ISNUMBER($BK137)),$BV137&lt;$BK137)))))))),"-&gt;","&lt;-"))</f>
        <v/>
      </c>
      <c r="BM137" s="92" t="str">
        <f aca="false">IF(ISBLANK($C137),"",AND($AT137,OR($AU137="",$AV137="",AND($AW137,$AX137=""))))</f>
        <v/>
      </c>
      <c r="BN137" s="94" t="str">
        <f aca="false">IF($BX137&lt;&gt;Constants!$B$6,"",IF($AT137,Constants!$B$17*$AV137+Constants!$B$18*IF($AW137,$AX137,Constants!$B$19),Constants!$B$20))</f>
        <v/>
      </c>
      <c r="BO137" s="97" t="str">
        <f aca="false">IF($BX137&lt;&gt;Constants!$B$6,"",Constants!$B$21*ABS($AD$9-IF($AT137,$AU137,0)))</f>
        <v/>
      </c>
      <c r="BP137" s="97" t="str">
        <f aca="false">IF($BX137&lt;&gt;Constants!$B$6,"",IF(AND($AT137,$AY137,$AW137),Constants!$B$22,0))</f>
        <v/>
      </c>
      <c r="BQ137" s="97" t="str">
        <f aca="false">IF($BX137&lt;&gt;Constants!$B$6,"",IF($AT137,($AI137-Constants!$B$24)*Constants!$B$23,0))</f>
        <v/>
      </c>
      <c r="BR137" s="97" t="str">
        <f aca="false">IF($BX137&lt;&gt;Constants!$B$6,"",IF($AS137,0,Constants!$B$12)+IF($AR137,0,Constants!$B$13)+IF($AH137,0,Constants!$B$14))</f>
        <v/>
      </c>
      <c r="BS137" s="98" t="str">
        <f aca="false">IF($BX137&lt;&gt;Constants!$B$6,"",Constants!$B$16+SUM($BN137:$BR137))</f>
        <v/>
      </c>
      <c r="BT137" s="97" t="str">
        <f aca="false">IF($BX137&lt;&gt;Constants!$B$6,"",$BN137)</f>
        <v/>
      </c>
      <c r="BU137" s="97" t="str">
        <f aca="false">IF($BX137&lt;&gt;Constants!$B$6,"",$BO137)</f>
        <v/>
      </c>
      <c r="BV137" s="99" t="str">
        <f aca="false">IF($BX137&lt;&gt;Constants!$B$6,"",IF($AT137,$AV137,""))</f>
        <v/>
      </c>
      <c r="BW137" s="93" t="str">
        <f aca="false">IF(ISBLANK($C137),"",IF(ISBLANK($D$7),$BW$5,IF(NOT(ISNUMBER($D$7)),$BW$6,"")))</f>
        <v/>
      </c>
      <c r="BX137" s="93" t="str">
        <f aca="false">IF(ISBLANK($C137),"",IF($BA137,Constants!$B$9,IF(COUNTA($E137:$AA137)=0,Constants!$B$8,IF(NOT($AG137),Constants!$B$7,IF(OR($BW137&lt;&gt;"",$BB137,$BM137),Constants!$B$10,Constants!$B$6)))))</f>
        <v/>
      </c>
      <c r="BY137" s="93" t="str">
        <f aca="false">IF(ISBLANK($C137),"",IF($BX137&lt;&gt;Constants!$B$6,$BX137,Constants!$B$11))</f>
        <v/>
      </c>
      <c r="BZ137" s="97" t="str">
        <f aca="false">IF($BX137&lt;&gt;Constants!$B$6,"",IF($BL137="-&gt;",$BS137,$BH137))</f>
        <v/>
      </c>
      <c r="CA137" s="97" t="str">
        <f aca="false">IF($BX137&lt;&gt;Constants!$B$6,"",IF($AF137,0,Constants!$B$15))</f>
        <v/>
      </c>
      <c r="CB137" s="97" t="str">
        <f aca="false">IF($BX137&lt;&gt;Constants!$B$6,"",((Constants!$B$25-$AZ137)-Constants!$B$25)/Constants!$B$26)</f>
        <v/>
      </c>
      <c r="CC137" s="97" t="str">
        <f aca="false">IF(ISBLANK($C137),"",IF($BX137&lt;&gt;Constants!$B$6,$BX137,SUM($BZ137:$CB137)))</f>
        <v/>
      </c>
      <c r="CD137" s="93" t="str">
        <f aca="false">IF(ISBLANK($C137),"",IF($BX137&lt;&gt;Constants!$B$6,$BX137,RANK($CC137,$CC$9:$CC$508,1)))</f>
        <v/>
      </c>
      <c r="CE137" s="97" t="str">
        <f aca="false">IF($BX137&lt;&gt;Constants!$B$6,"",IF($BL137="-&gt;",$BT137,$BI137))</f>
        <v/>
      </c>
      <c r="CF137" s="93" t="str">
        <f aca="false">IF(ISBLANK($C137),"",IF($BX137&lt;&gt;Constants!$B$6,$BX137,IF(ISNUMBER($CE137),RANK($CE137,$CE$9:$CE$508,1),COUNT($CE$9:$CE$508)+1)))</f>
        <v/>
      </c>
      <c r="CG137" s="97" t="str">
        <f aca="false">IF($BX137&lt;&gt;Constants!$B$6,"",IF($BL137="-&gt;",$BU137,$BJ137))</f>
        <v/>
      </c>
      <c r="CH137" s="93" t="str">
        <f aca="false">IF(ISBLANK($C137),"",IF($BX137&lt;&gt;Constants!$B$6,$BX137,IF(ISNUMBER($CG137),RANK($CG137,$CG$9:$CG$508,1),COUNT($CG$9:$CG$508)+1)))</f>
        <v/>
      </c>
      <c r="CI137" s="97" t="str">
        <f aca="false">IF($BX137&lt;&gt;Constants!$B$6,"",IF($BL137="-&gt;",$BV137,$BK137))</f>
        <v/>
      </c>
      <c r="CJ137" s="93" t="str">
        <f aca="false">IF(ISBLANK($C137),"",IF($BX137&lt;&gt;Constants!$B$6,$BX137,IF(ISNUMBER($CI137),RANK($CI137,$CI$9:$CI$508,1),COUNT($CI$9:$CI$508)+1)))</f>
        <v/>
      </c>
      <c r="CK137" s="97" t="str">
        <f aca="false">IF($BX137&lt;&gt;Constants!$B$6,"",$AI137)</f>
        <v/>
      </c>
      <c r="CL137" s="93" t="str">
        <f aca="false">IF(ISBLANK($C137),"",IF($BX137&lt;&gt;Constants!$B$6,$BX137,IF(ISNUMBER($CK137),RANK($CK137,$CK$9:$CK$508,1),COUNT($CK$9:$CK$508)+1)))</f>
        <v/>
      </c>
      <c r="CM137" s="93" t="str">
        <f aca="false">IF(ISBLANK($C137),"",IF($BX137&lt;&gt;Constants!$B$6,$BX137,COUNTIFS($CD$9:$CD$508,"&lt;"&amp;$CD137)+COUNTIFS($CD$9:$CD$508,$CD137,$CF$9:$CF$508,"&lt;"&amp;$CF137)+COUNTIFS($CD$9:$CD$508,$CD137,$CF$9:$CF$508,$CF137,$CH$9:$CH$508,"&lt;"&amp;$CH137)+COUNTIFS($CD$9:$CD$508,$CD137,$CF$9:$CF$508,$CF137,$CH$9:$CH$508,$CH137,$CJ$9:$CJ$508,"&lt;"&amp;$CJ137)+COUNTIFS($CD$9:$CD$508,$CD137,$CF$9:$CF$508,$CF137,$CH$9:$CH$508,$CH137,$CJ$9:$CJ$508,$CJ137,$CL$9:$CL$508,"&lt;"&amp;$CL137)+1))</f>
        <v/>
      </c>
      <c r="CN137" s="93" t="str">
        <f aca="false">IF(ISBLANK($C137),"",IF($BX137&lt;&gt;Constants!$B$6,$BX137,$CD137-$CM137))</f>
        <v/>
      </c>
      <c r="CO137" s="100"/>
      <c r="CP137" s="101"/>
      <c r="CQ137" s="102" t="str">
        <f aca="false">IF(ISBLANK($C137),"",IF($BX137=Constants!$B$10,$BW137,""))</f>
        <v/>
      </c>
      <c r="CR137" s="101" t="str">
        <f aca="false">IF(ISBLANK($C137),"",IF($BX137&lt;&gt;Constants!$B$6,"",IF($BL137="-&gt;",2,1)))</f>
        <v/>
      </c>
      <c r="CS137" s="103" t="str">
        <f aca="false">IF(ISBLANK($C137),"",IF($BX137&lt;&gt;Constants!$B$6,"",IF($BL137="-&gt;",$BN137,$BC137)))</f>
        <v/>
      </c>
      <c r="CT137" s="103" t="str">
        <f aca="false">IF(ISBLANK($C137),"",IF($BX137&lt;&gt;Constants!$B$6,"",IF($BL137="-&gt;",$BO137,$BD137)))</f>
        <v/>
      </c>
      <c r="CU137" s="103" t="str">
        <f aca="false">IF(ISBLANK($C137),"",IF($BX137&lt;&gt;Constants!$B$6,"",IF($BL137="-&gt;",$BP137+$BQ137,$BE137+$BF137)+$CB137))</f>
        <v/>
      </c>
      <c r="CV137" s="103" t="str">
        <f aca="false">IF(ISBLANK($C137),"",IF($BX137&lt;&gt;Constants!$B$6,"",IF($BL137="-&gt;",$BR137,$BG137)+$CA137))</f>
        <v/>
      </c>
      <c r="CW137" s="104" t="str">
        <f aca="false">IF(ISBLANK($C137),"",IF($BX137&lt;&gt;Constants!$B$6,$BX137,$CC137))</f>
        <v/>
      </c>
      <c r="CX137" s="105" t="str">
        <f aca="false">IF(ISBLANK($C137),"",$BY137)</f>
        <v/>
      </c>
      <c r="CY137" s="106" t="str">
        <f aca="false">IF(ISBLANK($C137),"",$CN137)</f>
        <v/>
      </c>
      <c r="CZ137" s="106" t="str">
        <f aca="false">IF(ISBLANK($C137),"",$CM137)</f>
        <v/>
      </c>
      <c r="DA137" s="107" t="str">
        <f aca="false">IF(ISBLANK($C137),"",IFERROR(_xlfn.SWITCH($CZ137,Constants!$B$9,COUNTA($C$9:$C$508)+2,Constants!$B$8,COUNTA($C$9:$C$508)+1,Constants!$B$7,COUNTA($C$9:$C$508)),$CZ137))</f>
        <v/>
      </c>
      <c r="DB137" s="9"/>
      <c r="DC137" s="108" t="n">
        <f aca="false">IF(OR(ISNUMBER($CZ137),$CZ137=Constants!$B$9,$CZ137=Constants!$B$7,$CZ137=Constants!$B$8),1,0)</f>
        <v>0</v>
      </c>
      <c r="DD137" s="108" t="n">
        <v>129</v>
      </c>
      <c r="DE137" s="108" t="str">
        <f aca="false">IF(ISBLANK($C137),"",IF(ISNUMBER($DA137),$DA137+ROW($B137)/1000,""))</f>
        <v/>
      </c>
      <c r="DF137" s="108" t="str">
        <f aca="false">IF(ISNUMBER($DE137),RANK($DE137,$DE$9:$DE$508,1),"")</f>
        <v/>
      </c>
      <c r="DG137" s="108" t="str">
        <f aca="false">IF(ISBLANK($C137),"",$B137)</f>
        <v/>
      </c>
      <c r="DH137" s="108" t="str">
        <f aca="false">IF(ISBLANK($C137),"",$C137)</f>
        <v/>
      </c>
      <c r="DI137" s="108" t="str">
        <f aca="false">IF(ISBLANK($C137),"",$D137)</f>
        <v/>
      </c>
      <c r="DJ137" s="109" t="str">
        <f aca="false">$CX137</f>
        <v/>
      </c>
      <c r="DK137" s="110" t="str">
        <f aca="false">$CW137</f>
        <v/>
      </c>
      <c r="DL137" s="108" t="str">
        <f aca="false">IF(ISBLANK($C137),"",$CZ137)</f>
        <v/>
      </c>
      <c r="DM137" s="111" t="str">
        <f aca="false">IF($DD137&gt;$DC$8,"",VLOOKUP($DD137,$DF$9:$DL$508,7,FALSE()))</f>
        <v/>
      </c>
      <c r="DN137" s="112" t="str">
        <f aca="false">IF($DD137&gt;$DC$8,"",VLOOKUP($DD137,$DF$9:$DL$508,2,FALSE()))</f>
        <v/>
      </c>
      <c r="DO137" s="112" t="str">
        <f aca="false">IF($DD137&gt;$DC$8,"",VLOOKUP($DD137,$DF$9:$DL$508,3,FALSE()))</f>
        <v/>
      </c>
      <c r="DP137" s="112" t="str">
        <f aca="false">IF($DD137&gt;$DC$8,"",VLOOKUP($DD137,$DF$9:$DL$508,4,FALSE()))</f>
        <v/>
      </c>
      <c r="DQ137" s="112" t="str">
        <f aca="false">IF($DD137&gt;$DC$8,"",VLOOKUP($DD137,$DF$9:$DL$508,5,FALSE()))</f>
        <v/>
      </c>
      <c r="DR137" s="113" t="str">
        <f aca="false">IF($DD137&gt;$DC$8,"",VLOOKUP($DD137,$DF$9:$DL$508,6,FALSE()))</f>
        <v/>
      </c>
      <c r="DS137" s="76"/>
    </row>
    <row r="138" customFormat="false" ht="15.75" hidden="false" customHeight="false" outlineLevel="0" collapsed="false">
      <c r="A138" s="9"/>
      <c r="B138" s="160"/>
      <c r="C138" s="161"/>
      <c r="D138" s="162"/>
      <c r="E138" s="180"/>
      <c r="F138" s="164"/>
      <c r="G138" s="165"/>
      <c r="H138" s="165"/>
      <c r="I138" s="181"/>
      <c r="J138" s="168"/>
      <c r="K138" s="128"/>
      <c r="L138" s="129"/>
      <c r="M138" s="130"/>
      <c r="N138" s="168"/>
      <c r="O138" s="168"/>
      <c r="P138" s="180"/>
      <c r="Q138" s="168"/>
      <c r="R138" s="168"/>
      <c r="S138" s="128"/>
      <c r="T138" s="130"/>
      <c r="U138" s="130"/>
      <c r="V138" s="168"/>
      <c r="W138" s="168"/>
      <c r="X138" s="180"/>
      <c r="Y138" s="168"/>
      <c r="Z138" s="169"/>
      <c r="AA138" s="168"/>
      <c r="AB138" s="134"/>
      <c r="AC138" s="135"/>
      <c r="AD138" s="135"/>
      <c r="AE138" s="135"/>
      <c r="AF138" s="135" t="str">
        <f aca="false">IF(ISBLANK($C138),"",IF(E138=Constants!$B$2,TRUE(),IF(E138=Constants!$B$3,FALSE(),TRUE())))</f>
        <v/>
      </c>
      <c r="AG138" s="135" t="str">
        <f aca="false">IF(ISBLANK($C138),"",IF(F138=Constants!$B$2,TRUE(),IF(F138=Constants!$B$3,FALSE(),TRUE())))</f>
        <v/>
      </c>
      <c r="AH138" s="135" t="str">
        <f aca="false">IF(ISBLANK($C138),"",IF(G138=Constants!$B$2,TRUE(),IF(G138=Constants!$B$3,FALSE(),TRUE())))</f>
        <v/>
      </c>
      <c r="AI138" s="135" t="str">
        <f aca="false">IF(ISBLANK($C138),"",IF(AND(ISNUMBER(H138),H138&gt;=0),H138,Constants!$B$24))</f>
        <v/>
      </c>
      <c r="AJ138" s="135" t="str">
        <f aca="false">IF(ISBLANK($C138),"",IF(I138=Constants!$B$2,TRUE(),IF(I138=Constants!$B$3,FALSE(),TRUE())))</f>
        <v/>
      </c>
      <c r="AK138" s="135" t="str">
        <f aca="false">IF(ISBLANK($C138),"",IF(J138=Constants!$B$2,TRUE(),IF(J138=Constants!$B$3,FALSE(),TRUE())))</f>
        <v/>
      </c>
      <c r="AL138" s="135" t="str">
        <f aca="false">IF(ISBLANK($C138),"",IF(K138=Constants!$B$4,TRUE(),IF(K138=Constants!$B$5,FALSE(),COUNTA(L138:P138)&gt;0)))</f>
        <v/>
      </c>
      <c r="AM138" s="136" t="str">
        <f aca="false">IF(ISBLANK($C138),"",IF(ISNUMBER(L138),IF(L138&gt;=0,L138,""),""))</f>
        <v/>
      </c>
      <c r="AN138" s="137" t="str">
        <f aca="false">IF(ISBLANK($C138),"",IF(ISNUMBER(M138),IF(M138&gt;=0,M138,""),""))</f>
        <v/>
      </c>
      <c r="AO138" s="137" t="str">
        <f aca="false">IF(ISBLANK($C138),"",IF(N138=Constants!$B$2,TRUE(),IF(N138=Constants!$B$3,FALSE(),TRUE())))</f>
        <v/>
      </c>
      <c r="AP138" s="135" t="str">
        <f aca="false">IF(ISBLANK($C138),"",IF(ISNUMBER(O138),IF(O138&gt;=0,O138,""),""))</f>
        <v/>
      </c>
      <c r="AQ138" s="135" t="str">
        <f aca="false">IF(ISBLANK($C138),"",IF(P138=Constants!$B$2,TRUE(),IF(P138=Constants!$B$3,FALSE(),FALSE())))</f>
        <v/>
      </c>
      <c r="AR138" s="135" t="str">
        <f aca="false">IF(ISBLANK($C138),"",IF(Q138=Constants!$B$2,TRUE(),IF(Q138=Constants!$B$3,FALSE(),TRUE())))</f>
        <v/>
      </c>
      <c r="AS138" s="135" t="str">
        <f aca="false">IF(ISBLANK($C138),"",IF(R138=Constants!$B$2,TRUE(),IF(R138=Constants!$B$3,FALSE(),TRUE())))</f>
        <v/>
      </c>
      <c r="AT138" s="135" t="str">
        <f aca="false">IF(ISBLANK($C138),"",IF(S138=Constants!$B$4,TRUE(),IF(S138=Constants!$B$5,FALSE(),COUNTA(T138:X138)&gt;0)))</f>
        <v/>
      </c>
      <c r="AU138" s="136" t="str">
        <f aca="false">IF(ISBLANK($C138),"",IF(ISNUMBER(T138),IF(T138&gt;=0,T138,""),""))</f>
        <v/>
      </c>
      <c r="AV138" s="137" t="str">
        <f aca="false">IF(ISBLANK($C138),"",IF(ISNUMBER(U138),IF(U138&gt;=0,U138,""),""))</f>
        <v/>
      </c>
      <c r="AW138" s="137" t="str">
        <f aca="false">IF(ISBLANK($C138),"",IF(V138=Constants!$B$2,TRUE(),IF(V138=Constants!$B$3,FALSE(),TRUE())))</f>
        <v/>
      </c>
      <c r="AX138" s="135" t="str">
        <f aca="false">IF(ISBLANK($C138),"",IF(ISNUMBER(W138),IF(W138&gt;=0,W138,""),""))</f>
        <v/>
      </c>
      <c r="AY138" s="135" t="str">
        <f aca="false">IF(ISBLANK($C138),"",IF(X138=Constants!$B$2,TRUE(),IF(X138=Constants!$B$3,FALSE(),FALSE())))</f>
        <v/>
      </c>
      <c r="AZ138" s="135" t="str">
        <f aca="false">IF(ISBLANK($C138),"",MIN(Constants!$B$25,MAX(0,IF(ISNUMBER(Y138),Y138*60,0)+IF(ISNUMBER(Z138),Z138,0))))</f>
        <v/>
      </c>
      <c r="BA138" s="135" t="str">
        <f aca="false">IF(ISBLANK($C138),"",IF(AA138=Constants!$B$2,TRUE(),IF(AA138=Constants!$B$3,FALSE(),FALSE())))</f>
        <v/>
      </c>
      <c r="BB138" s="134" t="str">
        <f aca="false">IF(ISBLANK($C138),"",AND($AL138,OR($AM138="",$AN138="",AND($AO138,$AP138=""))))</f>
        <v/>
      </c>
      <c r="BC138" s="137" t="str">
        <f aca="false">IF($BX138&lt;&gt;Constants!$B$6,"",IF($AL138,Constants!$B$17*$AN138+Constants!$B$18*IF($AO138,$AP138,Constants!$B$19),Constants!$B$20))</f>
        <v/>
      </c>
      <c r="BD138" s="138" t="str">
        <f aca="false">IF($BX138&lt;&gt;Constants!$B$6,"",Constants!$B$21*ABS($AD$9-IF($AL138,$AM138,0)))</f>
        <v/>
      </c>
      <c r="BE138" s="138" t="str">
        <f aca="false">IF($BX138&lt;&gt;Constants!$B$6,"",IF(AND($AL138,$AQ138,$AO138),Constants!$B$22,0))</f>
        <v/>
      </c>
      <c r="BF138" s="138" t="str">
        <f aca="false">IF($BX138&lt;&gt;Constants!$B$6,"",IF($AL138,($AI138-Constants!$B$24)*Constants!$B$23,0))</f>
        <v/>
      </c>
      <c r="BG138" s="138" t="str">
        <f aca="false">IF($BX138&lt;&gt;Constants!$B$6,"",IF($AK138,0,Constants!$B$12)+IF($AJ138,0,Constants!$B$13)+IF($AH138,0,Constants!$B$14))</f>
        <v/>
      </c>
      <c r="BH138" s="139" t="str">
        <f aca="false">IF($BX138&lt;&gt;Constants!$B$6,"",Constants!$B$16+SUM($BC138:$BG138))</f>
        <v/>
      </c>
      <c r="BI138" s="138" t="str">
        <f aca="false">IF($BX138&lt;&gt;Constants!$B$6,"",$BC138)</f>
        <v/>
      </c>
      <c r="BJ138" s="138" t="str">
        <f aca="false">IF($BX138&lt;&gt;Constants!$B$6,"",$BD138)</f>
        <v/>
      </c>
      <c r="BK138" s="140" t="str">
        <f aca="false">IF($BX138&lt;&gt;Constants!$B$6,"",IF($AL138,$AN138,""))</f>
        <v/>
      </c>
      <c r="BL138" s="135" t="str">
        <f aca="false">IF($BX138&lt;&gt;Constants!$B$6,"",IF(OR($BS138&lt;$BH138,AND($BS138=$BH138,OR($BT138&lt;$BI138,AND($BT138=$BI138,OR($BU138&lt;$BJ138,AND($BU138=$BJ138,AND(ISNUMBER($BV138),OR(NOT(ISNUMBER($BK138)),$BV138&lt;$BK138)))))))),"-&gt;","&lt;-"))</f>
        <v/>
      </c>
      <c r="BM138" s="134" t="str">
        <f aca="false">IF(ISBLANK($C138),"",AND($AT138,OR($AU138="",$AV138="",AND($AW138,$AX138=""))))</f>
        <v/>
      </c>
      <c r="BN138" s="137" t="str">
        <f aca="false">IF($BX138&lt;&gt;Constants!$B$6,"",IF($AT138,Constants!$B$17*$AV138+Constants!$B$18*IF($AW138,$AX138,Constants!$B$19),Constants!$B$20))</f>
        <v/>
      </c>
      <c r="BO138" s="138" t="str">
        <f aca="false">IF($BX138&lt;&gt;Constants!$B$6,"",Constants!$B$21*ABS($AD$9-IF($AT138,$AU138,0)))</f>
        <v/>
      </c>
      <c r="BP138" s="138" t="str">
        <f aca="false">IF($BX138&lt;&gt;Constants!$B$6,"",IF(AND($AT138,$AY138,$AW138),Constants!$B$22,0))</f>
        <v/>
      </c>
      <c r="BQ138" s="138" t="str">
        <f aca="false">IF($BX138&lt;&gt;Constants!$B$6,"",IF($AT138,($AI138-Constants!$B$24)*Constants!$B$23,0))</f>
        <v/>
      </c>
      <c r="BR138" s="138" t="str">
        <f aca="false">IF($BX138&lt;&gt;Constants!$B$6,"",IF($AS138,0,Constants!$B$12)+IF($AR138,0,Constants!$B$13)+IF($AH138,0,Constants!$B$14))</f>
        <v/>
      </c>
      <c r="BS138" s="139" t="str">
        <f aca="false">IF($BX138&lt;&gt;Constants!$B$6,"",Constants!$B$16+SUM($BN138:$BR138))</f>
        <v/>
      </c>
      <c r="BT138" s="138" t="str">
        <f aca="false">IF($BX138&lt;&gt;Constants!$B$6,"",$BN138)</f>
        <v/>
      </c>
      <c r="BU138" s="138" t="str">
        <f aca="false">IF($BX138&lt;&gt;Constants!$B$6,"",$BO138)</f>
        <v/>
      </c>
      <c r="BV138" s="140" t="str">
        <f aca="false">IF($BX138&lt;&gt;Constants!$B$6,"",IF($AT138,$AV138,""))</f>
        <v/>
      </c>
      <c r="BW138" s="135" t="str">
        <f aca="false">IF(ISBLANK($C138),"",IF(ISBLANK($D$7),$BW$5,IF(NOT(ISNUMBER($D$7)),$BW$6,"")))</f>
        <v/>
      </c>
      <c r="BX138" s="135" t="str">
        <f aca="false">IF(ISBLANK($C138),"",IF($BA138,Constants!$B$9,IF(COUNTA($E138:$AA138)=0,Constants!$B$8,IF(NOT($AG138),Constants!$B$7,IF(OR($BW138&lt;&gt;"",$BB138,$BM138),Constants!$B$10,Constants!$B$6)))))</f>
        <v/>
      </c>
      <c r="BY138" s="135" t="str">
        <f aca="false">IF(ISBLANK($C138),"",IF($BX138&lt;&gt;Constants!$B$6,$BX138,Constants!$B$11))</f>
        <v/>
      </c>
      <c r="BZ138" s="138" t="str">
        <f aca="false">IF($BX138&lt;&gt;Constants!$B$6,"",IF($BL138="-&gt;",$BS138,$BH138))</f>
        <v/>
      </c>
      <c r="CA138" s="138" t="str">
        <f aca="false">IF($BX138&lt;&gt;Constants!$B$6,"",IF($AF138,0,Constants!$B$15))</f>
        <v/>
      </c>
      <c r="CB138" s="138" t="str">
        <f aca="false">IF($BX138&lt;&gt;Constants!$B$6,"",((Constants!$B$25-$AZ138)-Constants!$B$25)/Constants!$B$26)</f>
        <v/>
      </c>
      <c r="CC138" s="138" t="str">
        <f aca="false">IF(ISBLANK($C138),"",IF($BX138&lt;&gt;Constants!$B$6,$BX138,SUM($BZ138:$CB138)))</f>
        <v/>
      </c>
      <c r="CD138" s="135" t="str">
        <f aca="false">IF(ISBLANK($C138),"",IF($BX138&lt;&gt;Constants!$B$6,$BX138,RANK($CC138,$CC$9:$CC$508,1)))</f>
        <v/>
      </c>
      <c r="CE138" s="138" t="str">
        <f aca="false">IF($BX138&lt;&gt;Constants!$B$6,"",IF($BL138="-&gt;",$BT138,$BI138))</f>
        <v/>
      </c>
      <c r="CF138" s="135" t="str">
        <f aca="false">IF(ISBLANK($C138),"",IF($BX138&lt;&gt;Constants!$B$6,$BX138,IF(ISNUMBER($CE138),RANK($CE138,$CE$9:$CE$508,1),COUNT($CE$9:$CE$508)+1)))</f>
        <v/>
      </c>
      <c r="CG138" s="138" t="str">
        <f aca="false">IF($BX138&lt;&gt;Constants!$B$6,"",IF($BL138="-&gt;",$BU138,$BJ138))</f>
        <v/>
      </c>
      <c r="CH138" s="135" t="str">
        <f aca="false">IF(ISBLANK($C138),"",IF($BX138&lt;&gt;Constants!$B$6,$BX138,IF(ISNUMBER($CG138),RANK($CG138,$CG$9:$CG$508,1),COUNT($CG$9:$CG$508)+1)))</f>
        <v/>
      </c>
      <c r="CI138" s="138" t="str">
        <f aca="false">IF($BX138&lt;&gt;Constants!$B$6,"",IF($BL138="-&gt;",$BV138,$BK138))</f>
        <v/>
      </c>
      <c r="CJ138" s="135" t="str">
        <f aca="false">IF(ISBLANK($C138),"",IF($BX138&lt;&gt;Constants!$B$6,$BX138,IF(ISNUMBER($CI138),RANK($CI138,$CI$9:$CI$508,1),COUNT($CI$9:$CI$508)+1)))</f>
        <v/>
      </c>
      <c r="CK138" s="138" t="str">
        <f aca="false">IF($BX138&lt;&gt;Constants!$B$6,"",$AI138)</f>
        <v/>
      </c>
      <c r="CL138" s="135" t="str">
        <f aca="false">IF(ISBLANK($C138),"",IF($BX138&lt;&gt;Constants!$B$6,$BX138,IF(ISNUMBER($CK138),RANK($CK138,$CK$9:$CK$508,1),COUNT($CK$9:$CK$508)+1)))</f>
        <v/>
      </c>
      <c r="CM138" s="135" t="str">
        <f aca="false">IF(ISBLANK($C138),"",IF($BX138&lt;&gt;Constants!$B$6,$BX138,COUNTIFS($CD$9:$CD$508,"&lt;"&amp;$CD138)+COUNTIFS($CD$9:$CD$508,$CD138,$CF$9:$CF$508,"&lt;"&amp;$CF138)+COUNTIFS($CD$9:$CD$508,$CD138,$CF$9:$CF$508,$CF138,$CH$9:$CH$508,"&lt;"&amp;$CH138)+COUNTIFS($CD$9:$CD$508,$CD138,$CF$9:$CF$508,$CF138,$CH$9:$CH$508,$CH138,$CJ$9:$CJ$508,"&lt;"&amp;$CJ138)+COUNTIFS($CD$9:$CD$508,$CD138,$CF$9:$CF$508,$CF138,$CH$9:$CH$508,$CH138,$CJ$9:$CJ$508,$CJ138,$CL$9:$CL$508,"&lt;"&amp;$CL138)+1))</f>
        <v/>
      </c>
      <c r="CN138" s="135" t="str">
        <f aca="false">IF(ISBLANK($C138),"",IF($BX138&lt;&gt;Constants!$B$6,$BX138,$CD138-$CM138))</f>
        <v/>
      </c>
      <c r="CO138" s="141"/>
      <c r="CP138" s="142"/>
      <c r="CQ138" s="143" t="str">
        <f aca="false">IF(ISBLANK($C138),"",IF($BX138=Constants!$B$10,$BW138,""))</f>
        <v/>
      </c>
      <c r="CR138" s="142" t="str">
        <f aca="false">IF(ISBLANK($C138),"",IF($BX138&lt;&gt;Constants!$B$6,"",IF($BL138="-&gt;",2,1)))</f>
        <v/>
      </c>
      <c r="CS138" s="144" t="str">
        <f aca="false">IF(ISBLANK($C138),"",IF($BX138&lt;&gt;Constants!$B$6,"",IF($BL138="-&gt;",$BN138,$BC138)))</f>
        <v/>
      </c>
      <c r="CT138" s="144" t="str">
        <f aca="false">IF(ISBLANK($C138),"",IF($BX138&lt;&gt;Constants!$B$6,"",IF($BL138="-&gt;",$BO138,$BD138)))</f>
        <v/>
      </c>
      <c r="CU138" s="144" t="str">
        <f aca="false">IF(ISBLANK($C138),"",IF($BX138&lt;&gt;Constants!$B$6,"",IF($BL138="-&gt;",$BP138+$BQ138,$BE138+$BF138)+$CB138))</f>
        <v/>
      </c>
      <c r="CV138" s="144" t="str">
        <f aca="false">IF(ISBLANK($C138),"",IF($BX138&lt;&gt;Constants!$B$6,"",IF($BL138="-&gt;",$BR138,$BG138)+$CA138))</f>
        <v/>
      </c>
      <c r="CW138" s="145" t="str">
        <f aca="false">IF(ISBLANK($C138),"",IF($BX138&lt;&gt;Constants!$B$6,$BX138,$CC138))</f>
        <v/>
      </c>
      <c r="CX138" s="146" t="str">
        <f aca="false">IF(ISBLANK($C138),"",$BY138)</f>
        <v/>
      </c>
      <c r="CY138" s="147" t="str">
        <f aca="false">IF(ISBLANK($C138),"",$CN138)</f>
        <v/>
      </c>
      <c r="CZ138" s="147" t="str">
        <f aca="false">IF(ISBLANK($C138),"",$CM138)</f>
        <v/>
      </c>
      <c r="DA138" s="148" t="str">
        <f aca="false">IF(ISBLANK($C138),"",IFERROR(_xlfn.SWITCH($CZ138,Constants!$B$9,COUNTA($C$9:$C$508)+2,Constants!$B$8,COUNTA($C$9:$C$508)+1,Constants!$B$7,COUNTA($C$9:$C$508)),$CZ138))</f>
        <v/>
      </c>
      <c r="DB138" s="9"/>
      <c r="DC138" s="149" t="n">
        <f aca="false">IF(OR(ISNUMBER($CZ138),$CZ138=Constants!$B$9,$CZ138=Constants!$B$7,$CZ138=Constants!$B$8),1,0)</f>
        <v>0</v>
      </c>
      <c r="DD138" s="149" t="n">
        <v>130</v>
      </c>
      <c r="DE138" s="149" t="str">
        <f aca="false">IF(ISBLANK($C138),"",IF(ISNUMBER($DA138),$DA138+ROW($B138)/1000,""))</f>
        <v/>
      </c>
      <c r="DF138" s="149" t="str">
        <f aca="false">IF(ISNUMBER($DE138),RANK($DE138,$DE$9:$DE$508,1),"")</f>
        <v/>
      </c>
      <c r="DG138" s="149" t="str">
        <f aca="false">IF(ISBLANK($C138),"",$B138)</f>
        <v/>
      </c>
      <c r="DH138" s="149" t="str">
        <f aca="false">IF(ISBLANK($C138),"",$C138)</f>
        <v/>
      </c>
      <c r="DI138" s="149" t="str">
        <f aca="false">IF(ISBLANK($C138),"",$D138)</f>
        <v/>
      </c>
      <c r="DJ138" s="150" t="str">
        <f aca="false">$CX138</f>
        <v/>
      </c>
      <c r="DK138" s="151" t="str">
        <f aca="false">$CW138</f>
        <v/>
      </c>
      <c r="DL138" s="149" t="str">
        <f aca="false">IF(ISBLANK($C138),"",$CZ138)</f>
        <v/>
      </c>
      <c r="DM138" s="152" t="str">
        <f aca="false">IF($DD138&gt;$DC$8,"",VLOOKUP($DD138,$DF$9:$DL$508,7,FALSE()))</f>
        <v/>
      </c>
      <c r="DN138" s="153" t="str">
        <f aca="false">IF($DD138&gt;$DC$8,"",VLOOKUP($DD138,$DF$9:$DL$508,2,FALSE()))</f>
        <v/>
      </c>
      <c r="DO138" s="153" t="str">
        <f aca="false">IF($DD138&gt;$DC$8,"",VLOOKUP($DD138,$DF$9:$DL$508,3,FALSE()))</f>
        <v/>
      </c>
      <c r="DP138" s="153" t="str">
        <f aca="false">IF($DD138&gt;$DC$8,"",VLOOKUP($DD138,$DF$9:$DL$508,4,FALSE()))</f>
        <v/>
      </c>
      <c r="DQ138" s="153" t="str">
        <f aca="false">IF($DD138&gt;$DC$8,"",VLOOKUP($DD138,$DF$9:$DL$508,5,FALSE()))</f>
        <v/>
      </c>
      <c r="DR138" s="154" t="str">
        <f aca="false">IF($DD138&gt;$DC$8,"",VLOOKUP($DD138,$DF$9:$DL$508,6,FALSE()))</f>
        <v/>
      </c>
      <c r="DS138" s="76"/>
    </row>
    <row r="139" customFormat="false" ht="15.75" hidden="false" customHeight="false" outlineLevel="0" collapsed="false">
      <c r="A139" s="9"/>
      <c r="B139" s="160"/>
      <c r="C139" s="161"/>
      <c r="D139" s="162"/>
      <c r="E139" s="180"/>
      <c r="F139" s="164"/>
      <c r="G139" s="165"/>
      <c r="H139" s="165"/>
      <c r="I139" s="181"/>
      <c r="J139" s="168"/>
      <c r="K139" s="128"/>
      <c r="L139" s="129"/>
      <c r="M139" s="130"/>
      <c r="N139" s="168"/>
      <c r="O139" s="168"/>
      <c r="P139" s="180"/>
      <c r="Q139" s="168"/>
      <c r="R139" s="168"/>
      <c r="S139" s="128"/>
      <c r="T139" s="130"/>
      <c r="U139" s="130"/>
      <c r="V139" s="168"/>
      <c r="W139" s="168"/>
      <c r="X139" s="180"/>
      <c r="Y139" s="168"/>
      <c r="Z139" s="169"/>
      <c r="AA139" s="168"/>
      <c r="AB139" s="134"/>
      <c r="AC139" s="135"/>
      <c r="AD139" s="135"/>
      <c r="AE139" s="135"/>
      <c r="AF139" s="135" t="str">
        <f aca="false">IF(ISBLANK($C139),"",IF(E139=Constants!$B$2,TRUE(),IF(E139=Constants!$B$3,FALSE(),TRUE())))</f>
        <v/>
      </c>
      <c r="AG139" s="135" t="str">
        <f aca="false">IF(ISBLANK($C139),"",IF(F139=Constants!$B$2,TRUE(),IF(F139=Constants!$B$3,FALSE(),TRUE())))</f>
        <v/>
      </c>
      <c r="AH139" s="135" t="str">
        <f aca="false">IF(ISBLANK($C139),"",IF(G139=Constants!$B$2,TRUE(),IF(G139=Constants!$B$3,FALSE(),TRUE())))</f>
        <v/>
      </c>
      <c r="AI139" s="135" t="str">
        <f aca="false">IF(ISBLANK($C139),"",IF(AND(ISNUMBER(H139),H139&gt;=0),H139,Constants!$B$24))</f>
        <v/>
      </c>
      <c r="AJ139" s="135" t="str">
        <f aca="false">IF(ISBLANK($C139),"",IF(I139=Constants!$B$2,TRUE(),IF(I139=Constants!$B$3,FALSE(),TRUE())))</f>
        <v/>
      </c>
      <c r="AK139" s="135" t="str">
        <f aca="false">IF(ISBLANK($C139),"",IF(J139=Constants!$B$2,TRUE(),IF(J139=Constants!$B$3,FALSE(),TRUE())))</f>
        <v/>
      </c>
      <c r="AL139" s="135" t="str">
        <f aca="false">IF(ISBLANK($C139),"",IF(K139=Constants!$B$4,TRUE(),IF(K139=Constants!$B$5,FALSE(),COUNTA(L139:P139)&gt;0)))</f>
        <v/>
      </c>
      <c r="AM139" s="136" t="str">
        <f aca="false">IF(ISBLANK($C139),"",IF(ISNUMBER(L139),IF(L139&gt;=0,L139,""),""))</f>
        <v/>
      </c>
      <c r="AN139" s="137" t="str">
        <f aca="false">IF(ISBLANK($C139),"",IF(ISNUMBER(M139),IF(M139&gt;=0,M139,""),""))</f>
        <v/>
      </c>
      <c r="AO139" s="137" t="str">
        <f aca="false">IF(ISBLANK($C139),"",IF(N139=Constants!$B$2,TRUE(),IF(N139=Constants!$B$3,FALSE(),TRUE())))</f>
        <v/>
      </c>
      <c r="AP139" s="135" t="str">
        <f aca="false">IF(ISBLANK($C139),"",IF(ISNUMBER(O139),IF(O139&gt;=0,O139,""),""))</f>
        <v/>
      </c>
      <c r="AQ139" s="135" t="str">
        <f aca="false">IF(ISBLANK($C139),"",IF(P139=Constants!$B$2,TRUE(),IF(P139=Constants!$B$3,FALSE(),FALSE())))</f>
        <v/>
      </c>
      <c r="AR139" s="135" t="str">
        <f aca="false">IF(ISBLANK($C139),"",IF(Q139=Constants!$B$2,TRUE(),IF(Q139=Constants!$B$3,FALSE(),TRUE())))</f>
        <v/>
      </c>
      <c r="AS139" s="135" t="str">
        <f aca="false">IF(ISBLANK($C139),"",IF(R139=Constants!$B$2,TRUE(),IF(R139=Constants!$B$3,FALSE(),TRUE())))</f>
        <v/>
      </c>
      <c r="AT139" s="135" t="str">
        <f aca="false">IF(ISBLANK($C139),"",IF(S139=Constants!$B$4,TRUE(),IF(S139=Constants!$B$5,FALSE(),COUNTA(T139:X139)&gt;0)))</f>
        <v/>
      </c>
      <c r="AU139" s="136" t="str">
        <f aca="false">IF(ISBLANK($C139),"",IF(ISNUMBER(T139),IF(T139&gt;=0,T139,""),""))</f>
        <v/>
      </c>
      <c r="AV139" s="137" t="str">
        <f aca="false">IF(ISBLANK($C139),"",IF(ISNUMBER(U139),IF(U139&gt;=0,U139,""),""))</f>
        <v/>
      </c>
      <c r="AW139" s="137" t="str">
        <f aca="false">IF(ISBLANK($C139),"",IF(V139=Constants!$B$2,TRUE(),IF(V139=Constants!$B$3,FALSE(),TRUE())))</f>
        <v/>
      </c>
      <c r="AX139" s="135" t="str">
        <f aca="false">IF(ISBLANK($C139),"",IF(ISNUMBER(W139),IF(W139&gt;=0,W139,""),""))</f>
        <v/>
      </c>
      <c r="AY139" s="135" t="str">
        <f aca="false">IF(ISBLANK($C139),"",IF(X139=Constants!$B$2,TRUE(),IF(X139=Constants!$B$3,FALSE(),FALSE())))</f>
        <v/>
      </c>
      <c r="AZ139" s="135" t="str">
        <f aca="false">IF(ISBLANK($C139),"",MIN(Constants!$B$25,MAX(0,IF(ISNUMBER(Y139),Y139*60,0)+IF(ISNUMBER(Z139),Z139,0))))</f>
        <v/>
      </c>
      <c r="BA139" s="135" t="str">
        <f aca="false">IF(ISBLANK($C139),"",IF(AA139=Constants!$B$2,TRUE(),IF(AA139=Constants!$B$3,FALSE(),FALSE())))</f>
        <v/>
      </c>
      <c r="BB139" s="134" t="str">
        <f aca="false">IF(ISBLANK($C139),"",AND($AL139,OR($AM139="",$AN139="",AND($AO139,$AP139=""))))</f>
        <v/>
      </c>
      <c r="BC139" s="137" t="str">
        <f aca="false">IF($BX139&lt;&gt;Constants!$B$6,"",IF($AL139,Constants!$B$17*$AN139+Constants!$B$18*IF($AO139,$AP139,Constants!$B$19),Constants!$B$20))</f>
        <v/>
      </c>
      <c r="BD139" s="138" t="str">
        <f aca="false">IF($BX139&lt;&gt;Constants!$B$6,"",Constants!$B$21*ABS($AD$9-IF($AL139,$AM139,0)))</f>
        <v/>
      </c>
      <c r="BE139" s="138" t="str">
        <f aca="false">IF($BX139&lt;&gt;Constants!$B$6,"",IF(AND($AL139,$AQ139,$AO139),Constants!$B$22,0))</f>
        <v/>
      </c>
      <c r="BF139" s="138" t="str">
        <f aca="false">IF($BX139&lt;&gt;Constants!$B$6,"",IF($AL139,($AI139-Constants!$B$24)*Constants!$B$23,0))</f>
        <v/>
      </c>
      <c r="BG139" s="138" t="str">
        <f aca="false">IF($BX139&lt;&gt;Constants!$B$6,"",IF($AK139,0,Constants!$B$12)+IF($AJ139,0,Constants!$B$13)+IF($AH139,0,Constants!$B$14))</f>
        <v/>
      </c>
      <c r="BH139" s="139" t="str">
        <f aca="false">IF($BX139&lt;&gt;Constants!$B$6,"",Constants!$B$16+SUM($BC139:$BG139))</f>
        <v/>
      </c>
      <c r="BI139" s="138" t="str">
        <f aca="false">IF($BX139&lt;&gt;Constants!$B$6,"",$BC139)</f>
        <v/>
      </c>
      <c r="BJ139" s="138" t="str">
        <f aca="false">IF($BX139&lt;&gt;Constants!$B$6,"",$BD139)</f>
        <v/>
      </c>
      <c r="BK139" s="140" t="str">
        <f aca="false">IF($BX139&lt;&gt;Constants!$B$6,"",IF($AL139,$AN139,""))</f>
        <v/>
      </c>
      <c r="BL139" s="135" t="str">
        <f aca="false">IF($BX139&lt;&gt;Constants!$B$6,"",IF(OR($BS139&lt;$BH139,AND($BS139=$BH139,OR($BT139&lt;$BI139,AND($BT139=$BI139,OR($BU139&lt;$BJ139,AND($BU139=$BJ139,AND(ISNUMBER($BV139),OR(NOT(ISNUMBER($BK139)),$BV139&lt;$BK139)))))))),"-&gt;","&lt;-"))</f>
        <v/>
      </c>
      <c r="BM139" s="134" t="str">
        <f aca="false">IF(ISBLANK($C139),"",AND($AT139,OR($AU139="",$AV139="",AND($AW139,$AX139=""))))</f>
        <v/>
      </c>
      <c r="BN139" s="137" t="str">
        <f aca="false">IF($BX139&lt;&gt;Constants!$B$6,"",IF($AT139,Constants!$B$17*$AV139+Constants!$B$18*IF($AW139,$AX139,Constants!$B$19),Constants!$B$20))</f>
        <v/>
      </c>
      <c r="BO139" s="138" t="str">
        <f aca="false">IF($BX139&lt;&gt;Constants!$B$6,"",Constants!$B$21*ABS($AD$9-IF($AT139,$AU139,0)))</f>
        <v/>
      </c>
      <c r="BP139" s="138" t="str">
        <f aca="false">IF($BX139&lt;&gt;Constants!$B$6,"",IF(AND($AT139,$AY139,$AW139),Constants!$B$22,0))</f>
        <v/>
      </c>
      <c r="BQ139" s="138" t="str">
        <f aca="false">IF($BX139&lt;&gt;Constants!$B$6,"",IF($AT139,($AI139-Constants!$B$24)*Constants!$B$23,0))</f>
        <v/>
      </c>
      <c r="BR139" s="138" t="str">
        <f aca="false">IF($BX139&lt;&gt;Constants!$B$6,"",IF($AS139,0,Constants!$B$12)+IF($AR139,0,Constants!$B$13)+IF($AH139,0,Constants!$B$14))</f>
        <v/>
      </c>
      <c r="BS139" s="139" t="str">
        <f aca="false">IF($BX139&lt;&gt;Constants!$B$6,"",Constants!$B$16+SUM($BN139:$BR139))</f>
        <v/>
      </c>
      <c r="BT139" s="138" t="str">
        <f aca="false">IF($BX139&lt;&gt;Constants!$B$6,"",$BN139)</f>
        <v/>
      </c>
      <c r="BU139" s="138" t="str">
        <f aca="false">IF($BX139&lt;&gt;Constants!$B$6,"",$BO139)</f>
        <v/>
      </c>
      <c r="BV139" s="140" t="str">
        <f aca="false">IF($BX139&lt;&gt;Constants!$B$6,"",IF($AT139,$AV139,""))</f>
        <v/>
      </c>
      <c r="BW139" s="135" t="str">
        <f aca="false">IF(ISBLANK($C139),"",IF(ISBLANK($D$7),$BW$5,IF(NOT(ISNUMBER($D$7)),$BW$6,"")))</f>
        <v/>
      </c>
      <c r="BX139" s="135" t="str">
        <f aca="false">IF(ISBLANK($C139),"",IF($BA139,Constants!$B$9,IF(COUNTA($E139:$AA139)=0,Constants!$B$8,IF(NOT($AG139),Constants!$B$7,IF(OR($BW139&lt;&gt;"",$BB139,$BM139),Constants!$B$10,Constants!$B$6)))))</f>
        <v/>
      </c>
      <c r="BY139" s="135" t="str">
        <f aca="false">IF(ISBLANK($C139),"",IF($BX139&lt;&gt;Constants!$B$6,$BX139,Constants!$B$11))</f>
        <v/>
      </c>
      <c r="BZ139" s="138" t="str">
        <f aca="false">IF($BX139&lt;&gt;Constants!$B$6,"",IF($BL139="-&gt;",$BS139,$BH139))</f>
        <v/>
      </c>
      <c r="CA139" s="138" t="str">
        <f aca="false">IF($BX139&lt;&gt;Constants!$B$6,"",IF($AF139,0,Constants!$B$15))</f>
        <v/>
      </c>
      <c r="CB139" s="138" t="str">
        <f aca="false">IF($BX139&lt;&gt;Constants!$B$6,"",((Constants!$B$25-$AZ139)-Constants!$B$25)/Constants!$B$26)</f>
        <v/>
      </c>
      <c r="CC139" s="138" t="str">
        <f aca="false">IF(ISBLANK($C139),"",IF($BX139&lt;&gt;Constants!$B$6,$BX139,SUM($BZ139:$CB139)))</f>
        <v/>
      </c>
      <c r="CD139" s="135" t="str">
        <f aca="false">IF(ISBLANK($C139),"",IF($BX139&lt;&gt;Constants!$B$6,$BX139,RANK($CC139,$CC$9:$CC$508,1)))</f>
        <v/>
      </c>
      <c r="CE139" s="138" t="str">
        <f aca="false">IF($BX139&lt;&gt;Constants!$B$6,"",IF($BL139="-&gt;",$BT139,$BI139))</f>
        <v/>
      </c>
      <c r="CF139" s="135" t="str">
        <f aca="false">IF(ISBLANK($C139),"",IF($BX139&lt;&gt;Constants!$B$6,$BX139,IF(ISNUMBER($CE139),RANK($CE139,$CE$9:$CE$508,1),COUNT($CE$9:$CE$508)+1)))</f>
        <v/>
      </c>
      <c r="CG139" s="138" t="str">
        <f aca="false">IF($BX139&lt;&gt;Constants!$B$6,"",IF($BL139="-&gt;",$BU139,$BJ139))</f>
        <v/>
      </c>
      <c r="CH139" s="135" t="str">
        <f aca="false">IF(ISBLANK($C139),"",IF($BX139&lt;&gt;Constants!$B$6,$BX139,IF(ISNUMBER($CG139),RANK($CG139,$CG$9:$CG$508,1),COUNT($CG$9:$CG$508)+1)))</f>
        <v/>
      </c>
      <c r="CI139" s="138" t="str">
        <f aca="false">IF($BX139&lt;&gt;Constants!$B$6,"",IF($BL139="-&gt;",$BV139,$BK139))</f>
        <v/>
      </c>
      <c r="CJ139" s="135" t="str">
        <f aca="false">IF(ISBLANK($C139),"",IF($BX139&lt;&gt;Constants!$B$6,$BX139,IF(ISNUMBER($CI139),RANK($CI139,$CI$9:$CI$508,1),COUNT($CI$9:$CI$508)+1)))</f>
        <v/>
      </c>
      <c r="CK139" s="138" t="str">
        <f aca="false">IF($BX139&lt;&gt;Constants!$B$6,"",$AI139)</f>
        <v/>
      </c>
      <c r="CL139" s="135" t="str">
        <f aca="false">IF(ISBLANK($C139),"",IF($BX139&lt;&gt;Constants!$B$6,$BX139,IF(ISNUMBER($CK139),RANK($CK139,$CK$9:$CK$508,1),COUNT($CK$9:$CK$508)+1)))</f>
        <v/>
      </c>
      <c r="CM139" s="135" t="str">
        <f aca="false">IF(ISBLANK($C139),"",IF($BX139&lt;&gt;Constants!$B$6,$BX139,COUNTIFS($CD$9:$CD$508,"&lt;"&amp;$CD139)+COUNTIFS($CD$9:$CD$508,$CD139,$CF$9:$CF$508,"&lt;"&amp;$CF139)+COUNTIFS($CD$9:$CD$508,$CD139,$CF$9:$CF$508,$CF139,$CH$9:$CH$508,"&lt;"&amp;$CH139)+COUNTIFS($CD$9:$CD$508,$CD139,$CF$9:$CF$508,$CF139,$CH$9:$CH$508,$CH139,$CJ$9:$CJ$508,"&lt;"&amp;$CJ139)+COUNTIFS($CD$9:$CD$508,$CD139,$CF$9:$CF$508,$CF139,$CH$9:$CH$508,$CH139,$CJ$9:$CJ$508,$CJ139,$CL$9:$CL$508,"&lt;"&amp;$CL139)+1))</f>
        <v/>
      </c>
      <c r="CN139" s="135" t="str">
        <f aca="false">IF(ISBLANK($C139),"",IF($BX139&lt;&gt;Constants!$B$6,$BX139,$CD139-$CM139))</f>
        <v/>
      </c>
      <c r="CO139" s="141"/>
      <c r="CP139" s="142"/>
      <c r="CQ139" s="143" t="str">
        <f aca="false">IF(ISBLANK($C139),"",IF($BX139=Constants!$B$10,$BW139,""))</f>
        <v/>
      </c>
      <c r="CR139" s="142" t="str">
        <f aca="false">IF(ISBLANK($C139),"",IF($BX139&lt;&gt;Constants!$B$6,"",IF($BL139="-&gt;",2,1)))</f>
        <v/>
      </c>
      <c r="CS139" s="144" t="str">
        <f aca="false">IF(ISBLANK($C139),"",IF($BX139&lt;&gt;Constants!$B$6,"",IF($BL139="-&gt;",$BN139,$BC139)))</f>
        <v/>
      </c>
      <c r="CT139" s="144" t="str">
        <f aca="false">IF(ISBLANK($C139),"",IF($BX139&lt;&gt;Constants!$B$6,"",IF($BL139="-&gt;",$BO139,$BD139)))</f>
        <v/>
      </c>
      <c r="CU139" s="144" t="str">
        <f aca="false">IF(ISBLANK($C139),"",IF($BX139&lt;&gt;Constants!$B$6,"",IF($BL139="-&gt;",$BP139+$BQ139,$BE139+$BF139)+$CB139))</f>
        <v/>
      </c>
      <c r="CV139" s="144" t="str">
        <f aca="false">IF(ISBLANK($C139),"",IF($BX139&lt;&gt;Constants!$B$6,"",IF($BL139="-&gt;",$BR139,$BG139)+$CA139))</f>
        <v/>
      </c>
      <c r="CW139" s="145" t="str">
        <f aca="false">IF(ISBLANK($C139),"",IF($BX139&lt;&gt;Constants!$B$6,$BX139,$CC139))</f>
        <v/>
      </c>
      <c r="CX139" s="146" t="str">
        <f aca="false">IF(ISBLANK($C139),"",$BY139)</f>
        <v/>
      </c>
      <c r="CY139" s="147" t="str">
        <f aca="false">IF(ISBLANK($C139),"",$CN139)</f>
        <v/>
      </c>
      <c r="CZ139" s="147" t="str">
        <f aca="false">IF(ISBLANK($C139),"",$CM139)</f>
        <v/>
      </c>
      <c r="DA139" s="148" t="str">
        <f aca="false">IF(ISBLANK($C139),"",IFERROR(_xlfn.SWITCH($CZ139,Constants!$B$9,COUNTA($C$9:$C$508)+2,Constants!$B$8,COUNTA($C$9:$C$508)+1,Constants!$B$7,COUNTA($C$9:$C$508)),$CZ139))</f>
        <v/>
      </c>
      <c r="DB139" s="9"/>
      <c r="DC139" s="149" t="n">
        <f aca="false">IF(OR(ISNUMBER($CZ139),$CZ139=Constants!$B$9,$CZ139=Constants!$B$7,$CZ139=Constants!$B$8),1,0)</f>
        <v>0</v>
      </c>
      <c r="DD139" s="149" t="n">
        <v>131</v>
      </c>
      <c r="DE139" s="149" t="str">
        <f aca="false">IF(ISBLANK($C139),"",IF(ISNUMBER($DA139),$DA139+ROW($B139)/1000,""))</f>
        <v/>
      </c>
      <c r="DF139" s="149" t="str">
        <f aca="false">IF(ISNUMBER($DE139),RANK($DE139,$DE$9:$DE$508,1),"")</f>
        <v/>
      </c>
      <c r="DG139" s="149" t="str">
        <f aca="false">IF(ISBLANK($C139),"",$B139)</f>
        <v/>
      </c>
      <c r="DH139" s="149" t="str">
        <f aca="false">IF(ISBLANK($C139),"",$C139)</f>
        <v/>
      </c>
      <c r="DI139" s="149" t="str">
        <f aca="false">IF(ISBLANK($C139),"",$D139)</f>
        <v/>
      </c>
      <c r="DJ139" s="150" t="str">
        <f aca="false">$CX139</f>
        <v/>
      </c>
      <c r="DK139" s="151" t="str">
        <f aca="false">$CW139</f>
        <v/>
      </c>
      <c r="DL139" s="149" t="str">
        <f aca="false">IF(ISBLANK($C139),"",$CZ139)</f>
        <v/>
      </c>
      <c r="DM139" s="152" t="str">
        <f aca="false">IF($DD139&gt;$DC$8,"",VLOOKUP($DD139,$DF$9:$DL$508,7,FALSE()))</f>
        <v/>
      </c>
      <c r="DN139" s="153" t="str">
        <f aca="false">IF($DD139&gt;$DC$8,"",VLOOKUP($DD139,$DF$9:$DL$508,2,FALSE()))</f>
        <v/>
      </c>
      <c r="DO139" s="153" t="str">
        <f aca="false">IF($DD139&gt;$DC$8,"",VLOOKUP($DD139,$DF$9:$DL$508,3,FALSE()))</f>
        <v/>
      </c>
      <c r="DP139" s="153" t="str">
        <f aca="false">IF($DD139&gt;$DC$8,"",VLOOKUP($DD139,$DF$9:$DL$508,4,FALSE()))</f>
        <v/>
      </c>
      <c r="DQ139" s="153" t="str">
        <f aca="false">IF($DD139&gt;$DC$8,"",VLOOKUP($DD139,$DF$9:$DL$508,5,FALSE()))</f>
        <v/>
      </c>
      <c r="DR139" s="154" t="str">
        <f aca="false">IF($DD139&gt;$DC$8,"",VLOOKUP($DD139,$DF$9:$DL$508,6,FALSE()))</f>
        <v/>
      </c>
      <c r="DS139" s="76"/>
    </row>
    <row r="140" customFormat="false" ht="15.75" hidden="false" customHeight="false" outlineLevel="0" collapsed="false">
      <c r="A140" s="9"/>
      <c r="B140" s="160"/>
      <c r="C140" s="161"/>
      <c r="D140" s="162"/>
      <c r="E140" s="180"/>
      <c r="F140" s="164"/>
      <c r="G140" s="165"/>
      <c r="H140" s="165"/>
      <c r="I140" s="181"/>
      <c r="J140" s="168"/>
      <c r="K140" s="128"/>
      <c r="L140" s="129"/>
      <c r="M140" s="130"/>
      <c r="N140" s="168"/>
      <c r="O140" s="168"/>
      <c r="P140" s="180"/>
      <c r="Q140" s="168"/>
      <c r="R140" s="168"/>
      <c r="S140" s="128"/>
      <c r="T140" s="130"/>
      <c r="U140" s="130"/>
      <c r="V140" s="168"/>
      <c r="W140" s="168"/>
      <c r="X140" s="180"/>
      <c r="Y140" s="168"/>
      <c r="Z140" s="169"/>
      <c r="AA140" s="168"/>
      <c r="AB140" s="134"/>
      <c r="AC140" s="135"/>
      <c r="AD140" s="135"/>
      <c r="AE140" s="135"/>
      <c r="AF140" s="135" t="str">
        <f aca="false">IF(ISBLANK($C140),"",IF(E140=Constants!$B$2,TRUE(),IF(E140=Constants!$B$3,FALSE(),TRUE())))</f>
        <v/>
      </c>
      <c r="AG140" s="135" t="str">
        <f aca="false">IF(ISBLANK($C140),"",IF(F140=Constants!$B$2,TRUE(),IF(F140=Constants!$B$3,FALSE(),TRUE())))</f>
        <v/>
      </c>
      <c r="AH140" s="135" t="str">
        <f aca="false">IF(ISBLANK($C140),"",IF(G140=Constants!$B$2,TRUE(),IF(G140=Constants!$B$3,FALSE(),TRUE())))</f>
        <v/>
      </c>
      <c r="AI140" s="135" t="str">
        <f aca="false">IF(ISBLANK($C140),"",IF(AND(ISNUMBER(H140),H140&gt;=0),H140,Constants!$B$24))</f>
        <v/>
      </c>
      <c r="AJ140" s="135" t="str">
        <f aca="false">IF(ISBLANK($C140),"",IF(I140=Constants!$B$2,TRUE(),IF(I140=Constants!$B$3,FALSE(),TRUE())))</f>
        <v/>
      </c>
      <c r="AK140" s="135" t="str">
        <f aca="false">IF(ISBLANK($C140),"",IF(J140=Constants!$B$2,TRUE(),IF(J140=Constants!$B$3,FALSE(),TRUE())))</f>
        <v/>
      </c>
      <c r="AL140" s="135" t="str">
        <f aca="false">IF(ISBLANK($C140),"",IF(K140=Constants!$B$4,TRUE(),IF(K140=Constants!$B$5,FALSE(),COUNTA(L140:P140)&gt;0)))</f>
        <v/>
      </c>
      <c r="AM140" s="136" t="str">
        <f aca="false">IF(ISBLANK($C140),"",IF(ISNUMBER(L140),IF(L140&gt;=0,L140,""),""))</f>
        <v/>
      </c>
      <c r="AN140" s="137" t="str">
        <f aca="false">IF(ISBLANK($C140),"",IF(ISNUMBER(M140),IF(M140&gt;=0,M140,""),""))</f>
        <v/>
      </c>
      <c r="AO140" s="137" t="str">
        <f aca="false">IF(ISBLANK($C140),"",IF(N140=Constants!$B$2,TRUE(),IF(N140=Constants!$B$3,FALSE(),TRUE())))</f>
        <v/>
      </c>
      <c r="AP140" s="135" t="str">
        <f aca="false">IF(ISBLANK($C140),"",IF(ISNUMBER(O140),IF(O140&gt;=0,O140,""),""))</f>
        <v/>
      </c>
      <c r="AQ140" s="135" t="str">
        <f aca="false">IF(ISBLANK($C140),"",IF(P140=Constants!$B$2,TRUE(),IF(P140=Constants!$B$3,FALSE(),FALSE())))</f>
        <v/>
      </c>
      <c r="AR140" s="135" t="str">
        <f aca="false">IF(ISBLANK($C140),"",IF(Q140=Constants!$B$2,TRUE(),IF(Q140=Constants!$B$3,FALSE(),TRUE())))</f>
        <v/>
      </c>
      <c r="AS140" s="135" t="str">
        <f aca="false">IF(ISBLANK($C140),"",IF(R140=Constants!$B$2,TRUE(),IF(R140=Constants!$B$3,FALSE(),TRUE())))</f>
        <v/>
      </c>
      <c r="AT140" s="135" t="str">
        <f aca="false">IF(ISBLANK($C140),"",IF(S140=Constants!$B$4,TRUE(),IF(S140=Constants!$B$5,FALSE(),COUNTA(T140:X140)&gt;0)))</f>
        <v/>
      </c>
      <c r="AU140" s="136" t="str">
        <f aca="false">IF(ISBLANK($C140),"",IF(ISNUMBER(T140),IF(T140&gt;=0,T140,""),""))</f>
        <v/>
      </c>
      <c r="AV140" s="137" t="str">
        <f aca="false">IF(ISBLANK($C140),"",IF(ISNUMBER(U140),IF(U140&gt;=0,U140,""),""))</f>
        <v/>
      </c>
      <c r="AW140" s="137" t="str">
        <f aca="false">IF(ISBLANK($C140),"",IF(V140=Constants!$B$2,TRUE(),IF(V140=Constants!$B$3,FALSE(),TRUE())))</f>
        <v/>
      </c>
      <c r="AX140" s="135" t="str">
        <f aca="false">IF(ISBLANK($C140),"",IF(ISNUMBER(W140),IF(W140&gt;=0,W140,""),""))</f>
        <v/>
      </c>
      <c r="AY140" s="135" t="str">
        <f aca="false">IF(ISBLANK($C140),"",IF(X140=Constants!$B$2,TRUE(),IF(X140=Constants!$B$3,FALSE(),FALSE())))</f>
        <v/>
      </c>
      <c r="AZ140" s="135" t="str">
        <f aca="false">IF(ISBLANK($C140),"",MIN(Constants!$B$25,MAX(0,IF(ISNUMBER(Y140),Y140*60,0)+IF(ISNUMBER(Z140),Z140,0))))</f>
        <v/>
      </c>
      <c r="BA140" s="135" t="str">
        <f aca="false">IF(ISBLANK($C140),"",IF(AA140=Constants!$B$2,TRUE(),IF(AA140=Constants!$B$3,FALSE(),FALSE())))</f>
        <v/>
      </c>
      <c r="BB140" s="134" t="str">
        <f aca="false">IF(ISBLANK($C140),"",AND($AL140,OR($AM140="",$AN140="",AND($AO140,$AP140=""))))</f>
        <v/>
      </c>
      <c r="BC140" s="137" t="str">
        <f aca="false">IF($BX140&lt;&gt;Constants!$B$6,"",IF($AL140,Constants!$B$17*$AN140+Constants!$B$18*IF($AO140,$AP140,Constants!$B$19),Constants!$B$20))</f>
        <v/>
      </c>
      <c r="BD140" s="138" t="str">
        <f aca="false">IF($BX140&lt;&gt;Constants!$B$6,"",Constants!$B$21*ABS($AD$9-IF($AL140,$AM140,0)))</f>
        <v/>
      </c>
      <c r="BE140" s="138" t="str">
        <f aca="false">IF($BX140&lt;&gt;Constants!$B$6,"",IF(AND($AL140,$AQ140,$AO140),Constants!$B$22,0))</f>
        <v/>
      </c>
      <c r="BF140" s="138" t="str">
        <f aca="false">IF($BX140&lt;&gt;Constants!$B$6,"",IF($AL140,($AI140-Constants!$B$24)*Constants!$B$23,0))</f>
        <v/>
      </c>
      <c r="BG140" s="138" t="str">
        <f aca="false">IF($BX140&lt;&gt;Constants!$B$6,"",IF($AK140,0,Constants!$B$12)+IF($AJ140,0,Constants!$B$13)+IF($AH140,0,Constants!$B$14))</f>
        <v/>
      </c>
      <c r="BH140" s="139" t="str">
        <f aca="false">IF($BX140&lt;&gt;Constants!$B$6,"",Constants!$B$16+SUM($BC140:$BG140))</f>
        <v/>
      </c>
      <c r="BI140" s="138" t="str">
        <f aca="false">IF($BX140&lt;&gt;Constants!$B$6,"",$BC140)</f>
        <v/>
      </c>
      <c r="BJ140" s="138" t="str">
        <f aca="false">IF($BX140&lt;&gt;Constants!$B$6,"",$BD140)</f>
        <v/>
      </c>
      <c r="BK140" s="140" t="str">
        <f aca="false">IF($BX140&lt;&gt;Constants!$B$6,"",IF($AL140,$AN140,""))</f>
        <v/>
      </c>
      <c r="BL140" s="135" t="str">
        <f aca="false">IF($BX140&lt;&gt;Constants!$B$6,"",IF(OR($BS140&lt;$BH140,AND($BS140=$BH140,OR($BT140&lt;$BI140,AND($BT140=$BI140,OR($BU140&lt;$BJ140,AND($BU140=$BJ140,AND(ISNUMBER($BV140),OR(NOT(ISNUMBER($BK140)),$BV140&lt;$BK140)))))))),"-&gt;","&lt;-"))</f>
        <v/>
      </c>
      <c r="BM140" s="134" t="str">
        <f aca="false">IF(ISBLANK($C140),"",AND($AT140,OR($AU140="",$AV140="",AND($AW140,$AX140=""))))</f>
        <v/>
      </c>
      <c r="BN140" s="137" t="str">
        <f aca="false">IF($BX140&lt;&gt;Constants!$B$6,"",IF($AT140,Constants!$B$17*$AV140+Constants!$B$18*IF($AW140,$AX140,Constants!$B$19),Constants!$B$20))</f>
        <v/>
      </c>
      <c r="BO140" s="138" t="str">
        <f aca="false">IF($BX140&lt;&gt;Constants!$B$6,"",Constants!$B$21*ABS($AD$9-IF($AT140,$AU140,0)))</f>
        <v/>
      </c>
      <c r="BP140" s="138" t="str">
        <f aca="false">IF($BX140&lt;&gt;Constants!$B$6,"",IF(AND($AT140,$AY140,$AW140),Constants!$B$22,0))</f>
        <v/>
      </c>
      <c r="BQ140" s="138" t="str">
        <f aca="false">IF($BX140&lt;&gt;Constants!$B$6,"",IF($AT140,($AI140-Constants!$B$24)*Constants!$B$23,0))</f>
        <v/>
      </c>
      <c r="BR140" s="138" t="str">
        <f aca="false">IF($BX140&lt;&gt;Constants!$B$6,"",IF($AS140,0,Constants!$B$12)+IF($AR140,0,Constants!$B$13)+IF($AH140,0,Constants!$B$14))</f>
        <v/>
      </c>
      <c r="BS140" s="139" t="str">
        <f aca="false">IF($BX140&lt;&gt;Constants!$B$6,"",Constants!$B$16+SUM($BN140:$BR140))</f>
        <v/>
      </c>
      <c r="BT140" s="138" t="str">
        <f aca="false">IF($BX140&lt;&gt;Constants!$B$6,"",$BN140)</f>
        <v/>
      </c>
      <c r="BU140" s="138" t="str">
        <f aca="false">IF($BX140&lt;&gt;Constants!$B$6,"",$BO140)</f>
        <v/>
      </c>
      <c r="BV140" s="140" t="str">
        <f aca="false">IF($BX140&lt;&gt;Constants!$B$6,"",IF($AT140,$AV140,""))</f>
        <v/>
      </c>
      <c r="BW140" s="135" t="str">
        <f aca="false">IF(ISBLANK($C140),"",IF(ISBLANK($D$7),$BW$5,IF(NOT(ISNUMBER($D$7)),$BW$6,"")))</f>
        <v/>
      </c>
      <c r="BX140" s="135" t="str">
        <f aca="false">IF(ISBLANK($C140),"",IF($BA140,Constants!$B$9,IF(COUNTA($E140:$AA140)=0,Constants!$B$8,IF(NOT($AG140),Constants!$B$7,IF(OR($BW140&lt;&gt;"",$BB140,$BM140),Constants!$B$10,Constants!$B$6)))))</f>
        <v/>
      </c>
      <c r="BY140" s="135" t="str">
        <f aca="false">IF(ISBLANK($C140),"",IF($BX140&lt;&gt;Constants!$B$6,$BX140,Constants!$B$11))</f>
        <v/>
      </c>
      <c r="BZ140" s="138" t="str">
        <f aca="false">IF($BX140&lt;&gt;Constants!$B$6,"",IF($BL140="-&gt;",$BS140,$BH140))</f>
        <v/>
      </c>
      <c r="CA140" s="138" t="str">
        <f aca="false">IF($BX140&lt;&gt;Constants!$B$6,"",IF($AF140,0,Constants!$B$15))</f>
        <v/>
      </c>
      <c r="CB140" s="138" t="str">
        <f aca="false">IF($BX140&lt;&gt;Constants!$B$6,"",((Constants!$B$25-$AZ140)-Constants!$B$25)/Constants!$B$26)</f>
        <v/>
      </c>
      <c r="CC140" s="138" t="str">
        <f aca="false">IF(ISBLANK($C140),"",IF($BX140&lt;&gt;Constants!$B$6,$BX140,SUM($BZ140:$CB140)))</f>
        <v/>
      </c>
      <c r="CD140" s="135" t="str">
        <f aca="false">IF(ISBLANK($C140),"",IF($BX140&lt;&gt;Constants!$B$6,$BX140,RANK($CC140,$CC$9:$CC$508,1)))</f>
        <v/>
      </c>
      <c r="CE140" s="138" t="str">
        <f aca="false">IF($BX140&lt;&gt;Constants!$B$6,"",IF($BL140="-&gt;",$BT140,$BI140))</f>
        <v/>
      </c>
      <c r="CF140" s="135" t="str">
        <f aca="false">IF(ISBLANK($C140),"",IF($BX140&lt;&gt;Constants!$B$6,$BX140,IF(ISNUMBER($CE140),RANK($CE140,$CE$9:$CE$508,1),COUNT($CE$9:$CE$508)+1)))</f>
        <v/>
      </c>
      <c r="CG140" s="138" t="str">
        <f aca="false">IF($BX140&lt;&gt;Constants!$B$6,"",IF($BL140="-&gt;",$BU140,$BJ140))</f>
        <v/>
      </c>
      <c r="CH140" s="135" t="str">
        <f aca="false">IF(ISBLANK($C140),"",IF($BX140&lt;&gt;Constants!$B$6,$BX140,IF(ISNUMBER($CG140),RANK($CG140,$CG$9:$CG$508,1),COUNT($CG$9:$CG$508)+1)))</f>
        <v/>
      </c>
      <c r="CI140" s="138" t="str">
        <f aca="false">IF($BX140&lt;&gt;Constants!$B$6,"",IF($BL140="-&gt;",$BV140,$BK140))</f>
        <v/>
      </c>
      <c r="CJ140" s="135" t="str">
        <f aca="false">IF(ISBLANK($C140),"",IF($BX140&lt;&gt;Constants!$B$6,$BX140,IF(ISNUMBER($CI140),RANK($CI140,$CI$9:$CI$508,1),COUNT($CI$9:$CI$508)+1)))</f>
        <v/>
      </c>
      <c r="CK140" s="138" t="str">
        <f aca="false">IF($BX140&lt;&gt;Constants!$B$6,"",$AI140)</f>
        <v/>
      </c>
      <c r="CL140" s="135" t="str">
        <f aca="false">IF(ISBLANK($C140),"",IF($BX140&lt;&gt;Constants!$B$6,$BX140,IF(ISNUMBER($CK140),RANK($CK140,$CK$9:$CK$508,1),COUNT($CK$9:$CK$508)+1)))</f>
        <v/>
      </c>
      <c r="CM140" s="135" t="str">
        <f aca="false">IF(ISBLANK($C140),"",IF($BX140&lt;&gt;Constants!$B$6,$BX140,COUNTIFS($CD$9:$CD$508,"&lt;"&amp;$CD140)+COUNTIFS($CD$9:$CD$508,$CD140,$CF$9:$CF$508,"&lt;"&amp;$CF140)+COUNTIFS($CD$9:$CD$508,$CD140,$CF$9:$CF$508,$CF140,$CH$9:$CH$508,"&lt;"&amp;$CH140)+COUNTIFS($CD$9:$CD$508,$CD140,$CF$9:$CF$508,$CF140,$CH$9:$CH$508,$CH140,$CJ$9:$CJ$508,"&lt;"&amp;$CJ140)+COUNTIFS($CD$9:$CD$508,$CD140,$CF$9:$CF$508,$CF140,$CH$9:$CH$508,$CH140,$CJ$9:$CJ$508,$CJ140,$CL$9:$CL$508,"&lt;"&amp;$CL140)+1))</f>
        <v/>
      </c>
      <c r="CN140" s="135" t="str">
        <f aca="false">IF(ISBLANK($C140),"",IF($BX140&lt;&gt;Constants!$B$6,$BX140,$CD140-$CM140))</f>
        <v/>
      </c>
      <c r="CO140" s="141"/>
      <c r="CP140" s="142"/>
      <c r="CQ140" s="143" t="str">
        <f aca="false">IF(ISBLANK($C140),"",IF($BX140=Constants!$B$10,$BW140,""))</f>
        <v/>
      </c>
      <c r="CR140" s="142" t="str">
        <f aca="false">IF(ISBLANK($C140),"",IF($BX140&lt;&gt;Constants!$B$6,"",IF($BL140="-&gt;",2,1)))</f>
        <v/>
      </c>
      <c r="CS140" s="144" t="str">
        <f aca="false">IF(ISBLANK($C140),"",IF($BX140&lt;&gt;Constants!$B$6,"",IF($BL140="-&gt;",$BN140,$BC140)))</f>
        <v/>
      </c>
      <c r="CT140" s="144" t="str">
        <f aca="false">IF(ISBLANK($C140),"",IF($BX140&lt;&gt;Constants!$B$6,"",IF($BL140="-&gt;",$BO140,$BD140)))</f>
        <v/>
      </c>
      <c r="CU140" s="144" t="str">
        <f aca="false">IF(ISBLANK($C140),"",IF($BX140&lt;&gt;Constants!$B$6,"",IF($BL140="-&gt;",$BP140+$BQ140,$BE140+$BF140)+$CB140))</f>
        <v/>
      </c>
      <c r="CV140" s="144" t="str">
        <f aca="false">IF(ISBLANK($C140),"",IF($BX140&lt;&gt;Constants!$B$6,"",IF($BL140="-&gt;",$BR140,$BG140)+$CA140))</f>
        <v/>
      </c>
      <c r="CW140" s="145" t="str">
        <f aca="false">IF(ISBLANK($C140),"",IF($BX140&lt;&gt;Constants!$B$6,$BX140,$CC140))</f>
        <v/>
      </c>
      <c r="CX140" s="146" t="str">
        <f aca="false">IF(ISBLANK($C140),"",$BY140)</f>
        <v/>
      </c>
      <c r="CY140" s="147" t="str">
        <f aca="false">IF(ISBLANK($C140),"",$CN140)</f>
        <v/>
      </c>
      <c r="CZ140" s="147" t="str">
        <f aca="false">IF(ISBLANK($C140),"",$CM140)</f>
        <v/>
      </c>
      <c r="DA140" s="148" t="str">
        <f aca="false">IF(ISBLANK($C140),"",IFERROR(_xlfn.SWITCH($CZ140,Constants!$B$9,COUNTA($C$9:$C$508)+2,Constants!$B$8,COUNTA($C$9:$C$508)+1,Constants!$B$7,COUNTA($C$9:$C$508)),$CZ140))</f>
        <v/>
      </c>
      <c r="DB140" s="9"/>
      <c r="DC140" s="149" t="n">
        <f aca="false">IF(OR(ISNUMBER($CZ140),$CZ140=Constants!$B$9,$CZ140=Constants!$B$7,$CZ140=Constants!$B$8),1,0)</f>
        <v>0</v>
      </c>
      <c r="DD140" s="149" t="n">
        <v>132</v>
      </c>
      <c r="DE140" s="149" t="str">
        <f aca="false">IF(ISBLANK($C140),"",IF(ISNUMBER($DA140),$DA140+ROW($B140)/1000,""))</f>
        <v/>
      </c>
      <c r="DF140" s="149" t="str">
        <f aca="false">IF(ISNUMBER($DE140),RANK($DE140,$DE$9:$DE$508,1),"")</f>
        <v/>
      </c>
      <c r="DG140" s="149" t="str">
        <f aca="false">IF(ISBLANK($C140),"",$B140)</f>
        <v/>
      </c>
      <c r="DH140" s="149" t="str">
        <f aca="false">IF(ISBLANK($C140),"",$C140)</f>
        <v/>
      </c>
      <c r="DI140" s="149" t="str">
        <f aca="false">IF(ISBLANK($C140),"",$D140)</f>
        <v/>
      </c>
      <c r="DJ140" s="150" t="str">
        <f aca="false">$CX140</f>
        <v/>
      </c>
      <c r="DK140" s="151" t="str">
        <f aca="false">$CW140</f>
        <v/>
      </c>
      <c r="DL140" s="149" t="str">
        <f aca="false">IF(ISBLANK($C140),"",$CZ140)</f>
        <v/>
      </c>
      <c r="DM140" s="152" t="str">
        <f aca="false">IF($DD140&gt;$DC$8,"",VLOOKUP($DD140,$DF$9:$DL$508,7,FALSE()))</f>
        <v/>
      </c>
      <c r="DN140" s="153" t="str">
        <f aca="false">IF($DD140&gt;$DC$8,"",VLOOKUP($DD140,$DF$9:$DL$508,2,FALSE()))</f>
        <v/>
      </c>
      <c r="DO140" s="153" t="str">
        <f aca="false">IF($DD140&gt;$DC$8,"",VLOOKUP($DD140,$DF$9:$DL$508,3,FALSE()))</f>
        <v/>
      </c>
      <c r="DP140" s="153" t="str">
        <f aca="false">IF($DD140&gt;$DC$8,"",VLOOKUP($DD140,$DF$9:$DL$508,4,FALSE()))</f>
        <v/>
      </c>
      <c r="DQ140" s="153" t="str">
        <f aca="false">IF($DD140&gt;$DC$8,"",VLOOKUP($DD140,$DF$9:$DL$508,5,FALSE()))</f>
        <v/>
      </c>
      <c r="DR140" s="154" t="str">
        <f aca="false">IF($DD140&gt;$DC$8,"",VLOOKUP($DD140,$DF$9:$DL$508,6,FALSE()))</f>
        <v/>
      </c>
      <c r="DS140" s="76"/>
    </row>
    <row r="141" customFormat="false" ht="15.75" hidden="false" customHeight="false" outlineLevel="0" collapsed="false">
      <c r="A141" s="9"/>
      <c r="B141" s="78"/>
      <c r="C141" s="79"/>
      <c r="D141" s="170"/>
      <c r="E141" s="178"/>
      <c r="F141" s="172"/>
      <c r="G141" s="173"/>
      <c r="H141" s="173"/>
      <c r="I141" s="179"/>
      <c r="J141" s="176"/>
      <c r="K141" s="86"/>
      <c r="L141" s="87"/>
      <c r="M141" s="88"/>
      <c r="N141" s="176"/>
      <c r="O141" s="176"/>
      <c r="P141" s="178"/>
      <c r="Q141" s="176"/>
      <c r="R141" s="176"/>
      <c r="S141" s="86"/>
      <c r="T141" s="88"/>
      <c r="U141" s="88"/>
      <c r="V141" s="176"/>
      <c r="W141" s="176"/>
      <c r="X141" s="178"/>
      <c r="Y141" s="176"/>
      <c r="Z141" s="177"/>
      <c r="AA141" s="176"/>
      <c r="AB141" s="92"/>
      <c r="AC141" s="93"/>
      <c r="AD141" s="93"/>
      <c r="AE141" s="93"/>
      <c r="AF141" s="93" t="str">
        <f aca="false">IF(ISBLANK($C141),"",IF(E141=Constants!$B$2,TRUE(),IF(E141=Constants!$B$3,FALSE(),TRUE())))</f>
        <v/>
      </c>
      <c r="AG141" s="93" t="str">
        <f aca="false">IF(ISBLANK($C141),"",IF(F141=Constants!$B$2,TRUE(),IF(F141=Constants!$B$3,FALSE(),TRUE())))</f>
        <v/>
      </c>
      <c r="AH141" s="93" t="str">
        <f aca="false">IF(ISBLANK($C141),"",IF(G141=Constants!$B$2,TRUE(),IF(G141=Constants!$B$3,FALSE(),TRUE())))</f>
        <v/>
      </c>
      <c r="AI141" s="93" t="str">
        <f aca="false">IF(ISBLANK($C141),"",IF(AND(ISNUMBER(H141),H141&gt;=0),H141,Constants!$B$24))</f>
        <v/>
      </c>
      <c r="AJ141" s="93" t="str">
        <f aca="false">IF(ISBLANK($C141),"",IF(I141=Constants!$B$2,TRUE(),IF(I141=Constants!$B$3,FALSE(),TRUE())))</f>
        <v/>
      </c>
      <c r="AK141" s="93" t="str">
        <f aca="false">IF(ISBLANK($C141),"",IF(J141=Constants!$B$2,TRUE(),IF(J141=Constants!$B$3,FALSE(),TRUE())))</f>
        <v/>
      </c>
      <c r="AL141" s="93" t="str">
        <f aca="false">IF(ISBLANK($C141),"",IF(K141=Constants!$B$4,TRUE(),IF(K141=Constants!$B$5,FALSE(),COUNTA(L141:P141)&gt;0)))</f>
        <v/>
      </c>
      <c r="AM141" s="95" t="str">
        <f aca="false">IF(ISBLANK($C141),"",IF(ISNUMBER(L141),IF(L141&gt;=0,L141,""),""))</f>
        <v/>
      </c>
      <c r="AN141" s="94" t="str">
        <f aca="false">IF(ISBLANK($C141),"",IF(ISNUMBER(M141),IF(M141&gt;=0,M141,""),""))</f>
        <v/>
      </c>
      <c r="AO141" s="94" t="str">
        <f aca="false">IF(ISBLANK($C141),"",IF(N141=Constants!$B$2,TRUE(),IF(N141=Constants!$B$3,FALSE(),TRUE())))</f>
        <v/>
      </c>
      <c r="AP141" s="93" t="str">
        <f aca="false">IF(ISBLANK($C141),"",IF(ISNUMBER(O141),IF(O141&gt;=0,O141,""),""))</f>
        <v/>
      </c>
      <c r="AQ141" s="93" t="str">
        <f aca="false">IF(ISBLANK($C141),"",IF(P141=Constants!$B$2,TRUE(),IF(P141=Constants!$B$3,FALSE(),FALSE())))</f>
        <v/>
      </c>
      <c r="AR141" s="93" t="str">
        <f aca="false">IF(ISBLANK($C141),"",IF(Q141=Constants!$B$2,TRUE(),IF(Q141=Constants!$B$3,FALSE(),TRUE())))</f>
        <v/>
      </c>
      <c r="AS141" s="93" t="str">
        <f aca="false">IF(ISBLANK($C141),"",IF(R141=Constants!$B$2,TRUE(),IF(R141=Constants!$B$3,FALSE(),TRUE())))</f>
        <v/>
      </c>
      <c r="AT141" s="93" t="str">
        <f aca="false">IF(ISBLANK($C141),"",IF(S141=Constants!$B$4,TRUE(),IF(S141=Constants!$B$5,FALSE(),COUNTA(T141:X141)&gt;0)))</f>
        <v/>
      </c>
      <c r="AU141" s="95" t="str">
        <f aca="false">IF(ISBLANK($C141),"",IF(ISNUMBER(T141),IF(T141&gt;=0,T141,""),""))</f>
        <v/>
      </c>
      <c r="AV141" s="94" t="str">
        <f aca="false">IF(ISBLANK($C141),"",IF(ISNUMBER(U141),IF(U141&gt;=0,U141,""),""))</f>
        <v/>
      </c>
      <c r="AW141" s="94" t="str">
        <f aca="false">IF(ISBLANK($C141),"",IF(V141=Constants!$B$2,TRUE(),IF(V141=Constants!$B$3,FALSE(),TRUE())))</f>
        <v/>
      </c>
      <c r="AX141" s="93" t="str">
        <f aca="false">IF(ISBLANK($C141),"",IF(ISNUMBER(W141),IF(W141&gt;=0,W141,""),""))</f>
        <v/>
      </c>
      <c r="AY141" s="93" t="str">
        <f aca="false">IF(ISBLANK($C141),"",IF(X141=Constants!$B$2,TRUE(),IF(X141=Constants!$B$3,FALSE(),FALSE())))</f>
        <v/>
      </c>
      <c r="AZ141" s="93" t="str">
        <f aca="false">IF(ISBLANK($C141),"",MIN(Constants!$B$25,MAX(0,IF(ISNUMBER(Y141),Y141*60,0)+IF(ISNUMBER(Z141),Z141,0))))</f>
        <v/>
      </c>
      <c r="BA141" s="93" t="str">
        <f aca="false">IF(ISBLANK($C141),"",IF(AA141=Constants!$B$2,TRUE(),IF(AA141=Constants!$B$3,FALSE(),FALSE())))</f>
        <v/>
      </c>
      <c r="BB141" s="92" t="str">
        <f aca="false">IF(ISBLANK($C141),"",AND($AL141,OR($AM141="",$AN141="",AND($AO141,$AP141=""))))</f>
        <v/>
      </c>
      <c r="BC141" s="94" t="str">
        <f aca="false">IF($BX141&lt;&gt;Constants!$B$6,"",IF($AL141,Constants!$B$17*$AN141+Constants!$B$18*IF($AO141,$AP141,Constants!$B$19),Constants!$B$20))</f>
        <v/>
      </c>
      <c r="BD141" s="97" t="str">
        <f aca="false">IF($BX141&lt;&gt;Constants!$B$6,"",Constants!$B$21*ABS($AD$9-IF($AL141,$AM141,0)))</f>
        <v/>
      </c>
      <c r="BE141" s="97" t="str">
        <f aca="false">IF($BX141&lt;&gt;Constants!$B$6,"",IF(AND($AL141,$AQ141,$AO141),Constants!$B$22,0))</f>
        <v/>
      </c>
      <c r="BF141" s="97" t="str">
        <f aca="false">IF($BX141&lt;&gt;Constants!$B$6,"",IF($AL141,($AI141-Constants!$B$24)*Constants!$B$23,0))</f>
        <v/>
      </c>
      <c r="BG141" s="97" t="str">
        <f aca="false">IF($BX141&lt;&gt;Constants!$B$6,"",IF($AK141,0,Constants!$B$12)+IF($AJ141,0,Constants!$B$13)+IF($AH141,0,Constants!$B$14))</f>
        <v/>
      </c>
      <c r="BH141" s="98" t="str">
        <f aca="false">IF($BX141&lt;&gt;Constants!$B$6,"",Constants!$B$16+SUM($BC141:$BG141))</f>
        <v/>
      </c>
      <c r="BI141" s="97" t="str">
        <f aca="false">IF($BX141&lt;&gt;Constants!$B$6,"",$BC141)</f>
        <v/>
      </c>
      <c r="BJ141" s="97" t="str">
        <f aca="false">IF($BX141&lt;&gt;Constants!$B$6,"",$BD141)</f>
        <v/>
      </c>
      <c r="BK141" s="99" t="str">
        <f aca="false">IF($BX141&lt;&gt;Constants!$B$6,"",IF($AL141,$AN141,""))</f>
        <v/>
      </c>
      <c r="BL141" s="93" t="str">
        <f aca="false">IF($BX141&lt;&gt;Constants!$B$6,"",IF(OR($BS141&lt;$BH141,AND($BS141=$BH141,OR($BT141&lt;$BI141,AND($BT141=$BI141,OR($BU141&lt;$BJ141,AND($BU141=$BJ141,AND(ISNUMBER($BV141),OR(NOT(ISNUMBER($BK141)),$BV141&lt;$BK141)))))))),"-&gt;","&lt;-"))</f>
        <v/>
      </c>
      <c r="BM141" s="92" t="str">
        <f aca="false">IF(ISBLANK($C141),"",AND($AT141,OR($AU141="",$AV141="",AND($AW141,$AX141=""))))</f>
        <v/>
      </c>
      <c r="BN141" s="94" t="str">
        <f aca="false">IF($BX141&lt;&gt;Constants!$B$6,"",IF($AT141,Constants!$B$17*$AV141+Constants!$B$18*IF($AW141,$AX141,Constants!$B$19),Constants!$B$20))</f>
        <v/>
      </c>
      <c r="BO141" s="97" t="str">
        <f aca="false">IF($BX141&lt;&gt;Constants!$B$6,"",Constants!$B$21*ABS($AD$9-IF($AT141,$AU141,0)))</f>
        <v/>
      </c>
      <c r="BP141" s="97" t="str">
        <f aca="false">IF($BX141&lt;&gt;Constants!$B$6,"",IF(AND($AT141,$AY141,$AW141),Constants!$B$22,0))</f>
        <v/>
      </c>
      <c r="BQ141" s="97" t="str">
        <f aca="false">IF($BX141&lt;&gt;Constants!$B$6,"",IF($AT141,($AI141-Constants!$B$24)*Constants!$B$23,0))</f>
        <v/>
      </c>
      <c r="BR141" s="97" t="str">
        <f aca="false">IF($BX141&lt;&gt;Constants!$B$6,"",IF($AS141,0,Constants!$B$12)+IF($AR141,0,Constants!$B$13)+IF($AH141,0,Constants!$B$14))</f>
        <v/>
      </c>
      <c r="BS141" s="98" t="str">
        <f aca="false">IF($BX141&lt;&gt;Constants!$B$6,"",Constants!$B$16+SUM($BN141:$BR141))</f>
        <v/>
      </c>
      <c r="BT141" s="97" t="str">
        <f aca="false">IF($BX141&lt;&gt;Constants!$B$6,"",$BN141)</f>
        <v/>
      </c>
      <c r="BU141" s="97" t="str">
        <f aca="false">IF($BX141&lt;&gt;Constants!$B$6,"",$BO141)</f>
        <v/>
      </c>
      <c r="BV141" s="99" t="str">
        <f aca="false">IF($BX141&lt;&gt;Constants!$B$6,"",IF($AT141,$AV141,""))</f>
        <v/>
      </c>
      <c r="BW141" s="93" t="str">
        <f aca="false">IF(ISBLANK($C141),"",IF(ISBLANK($D$7),$BW$5,IF(NOT(ISNUMBER($D$7)),$BW$6,"")))</f>
        <v/>
      </c>
      <c r="BX141" s="93" t="str">
        <f aca="false">IF(ISBLANK($C141),"",IF($BA141,Constants!$B$9,IF(COUNTA($E141:$AA141)=0,Constants!$B$8,IF(NOT($AG141),Constants!$B$7,IF(OR($BW141&lt;&gt;"",$BB141,$BM141),Constants!$B$10,Constants!$B$6)))))</f>
        <v/>
      </c>
      <c r="BY141" s="93" t="str">
        <f aca="false">IF(ISBLANK($C141),"",IF($BX141&lt;&gt;Constants!$B$6,$BX141,Constants!$B$11))</f>
        <v/>
      </c>
      <c r="BZ141" s="97" t="str">
        <f aca="false">IF($BX141&lt;&gt;Constants!$B$6,"",IF($BL141="-&gt;",$BS141,$BH141))</f>
        <v/>
      </c>
      <c r="CA141" s="97" t="str">
        <f aca="false">IF($BX141&lt;&gt;Constants!$B$6,"",IF($AF141,0,Constants!$B$15))</f>
        <v/>
      </c>
      <c r="CB141" s="97" t="str">
        <f aca="false">IF($BX141&lt;&gt;Constants!$B$6,"",((Constants!$B$25-$AZ141)-Constants!$B$25)/Constants!$B$26)</f>
        <v/>
      </c>
      <c r="CC141" s="97" t="str">
        <f aca="false">IF(ISBLANK($C141),"",IF($BX141&lt;&gt;Constants!$B$6,$BX141,SUM($BZ141:$CB141)))</f>
        <v/>
      </c>
      <c r="CD141" s="93" t="str">
        <f aca="false">IF(ISBLANK($C141),"",IF($BX141&lt;&gt;Constants!$B$6,$BX141,RANK($CC141,$CC$9:$CC$508,1)))</f>
        <v/>
      </c>
      <c r="CE141" s="97" t="str">
        <f aca="false">IF($BX141&lt;&gt;Constants!$B$6,"",IF($BL141="-&gt;",$BT141,$BI141))</f>
        <v/>
      </c>
      <c r="CF141" s="93" t="str">
        <f aca="false">IF(ISBLANK($C141),"",IF($BX141&lt;&gt;Constants!$B$6,$BX141,IF(ISNUMBER($CE141),RANK($CE141,$CE$9:$CE$508,1),COUNT($CE$9:$CE$508)+1)))</f>
        <v/>
      </c>
      <c r="CG141" s="97" t="str">
        <f aca="false">IF($BX141&lt;&gt;Constants!$B$6,"",IF($BL141="-&gt;",$BU141,$BJ141))</f>
        <v/>
      </c>
      <c r="CH141" s="93" t="str">
        <f aca="false">IF(ISBLANK($C141),"",IF($BX141&lt;&gt;Constants!$B$6,$BX141,IF(ISNUMBER($CG141),RANK($CG141,$CG$9:$CG$508,1),COUNT($CG$9:$CG$508)+1)))</f>
        <v/>
      </c>
      <c r="CI141" s="97" t="str">
        <f aca="false">IF($BX141&lt;&gt;Constants!$B$6,"",IF($BL141="-&gt;",$BV141,$BK141))</f>
        <v/>
      </c>
      <c r="CJ141" s="93" t="str">
        <f aca="false">IF(ISBLANK($C141),"",IF($BX141&lt;&gt;Constants!$B$6,$BX141,IF(ISNUMBER($CI141),RANK($CI141,$CI$9:$CI$508,1),COUNT($CI$9:$CI$508)+1)))</f>
        <v/>
      </c>
      <c r="CK141" s="97" t="str">
        <f aca="false">IF($BX141&lt;&gt;Constants!$B$6,"",$AI141)</f>
        <v/>
      </c>
      <c r="CL141" s="93" t="str">
        <f aca="false">IF(ISBLANK($C141),"",IF($BX141&lt;&gt;Constants!$B$6,$BX141,IF(ISNUMBER($CK141),RANK($CK141,$CK$9:$CK$508,1),COUNT($CK$9:$CK$508)+1)))</f>
        <v/>
      </c>
      <c r="CM141" s="93" t="str">
        <f aca="false">IF(ISBLANK($C141),"",IF($BX141&lt;&gt;Constants!$B$6,$BX141,COUNTIFS($CD$9:$CD$508,"&lt;"&amp;$CD141)+COUNTIFS($CD$9:$CD$508,$CD141,$CF$9:$CF$508,"&lt;"&amp;$CF141)+COUNTIFS($CD$9:$CD$508,$CD141,$CF$9:$CF$508,$CF141,$CH$9:$CH$508,"&lt;"&amp;$CH141)+COUNTIFS($CD$9:$CD$508,$CD141,$CF$9:$CF$508,$CF141,$CH$9:$CH$508,$CH141,$CJ$9:$CJ$508,"&lt;"&amp;$CJ141)+COUNTIFS($CD$9:$CD$508,$CD141,$CF$9:$CF$508,$CF141,$CH$9:$CH$508,$CH141,$CJ$9:$CJ$508,$CJ141,$CL$9:$CL$508,"&lt;"&amp;$CL141)+1))</f>
        <v/>
      </c>
      <c r="CN141" s="93" t="str">
        <f aca="false">IF(ISBLANK($C141),"",IF($BX141&lt;&gt;Constants!$B$6,$BX141,$CD141-$CM141))</f>
        <v/>
      </c>
      <c r="CO141" s="100"/>
      <c r="CP141" s="101"/>
      <c r="CQ141" s="102" t="str">
        <f aca="false">IF(ISBLANK($C141),"",IF($BX141=Constants!$B$10,$BW141,""))</f>
        <v/>
      </c>
      <c r="CR141" s="101" t="str">
        <f aca="false">IF(ISBLANK($C141),"",IF($BX141&lt;&gt;Constants!$B$6,"",IF($BL141="-&gt;",2,1)))</f>
        <v/>
      </c>
      <c r="CS141" s="103" t="str">
        <f aca="false">IF(ISBLANK($C141),"",IF($BX141&lt;&gt;Constants!$B$6,"",IF($BL141="-&gt;",$BN141,$BC141)))</f>
        <v/>
      </c>
      <c r="CT141" s="103" t="str">
        <f aca="false">IF(ISBLANK($C141),"",IF($BX141&lt;&gt;Constants!$B$6,"",IF($BL141="-&gt;",$BO141,$BD141)))</f>
        <v/>
      </c>
      <c r="CU141" s="103" t="str">
        <f aca="false">IF(ISBLANK($C141),"",IF($BX141&lt;&gt;Constants!$B$6,"",IF($BL141="-&gt;",$BP141+$BQ141,$BE141+$BF141)+$CB141))</f>
        <v/>
      </c>
      <c r="CV141" s="103" t="str">
        <f aca="false">IF(ISBLANK($C141),"",IF($BX141&lt;&gt;Constants!$B$6,"",IF($BL141="-&gt;",$BR141,$BG141)+$CA141))</f>
        <v/>
      </c>
      <c r="CW141" s="104" t="str">
        <f aca="false">IF(ISBLANK($C141),"",IF($BX141&lt;&gt;Constants!$B$6,$BX141,$CC141))</f>
        <v/>
      </c>
      <c r="CX141" s="105" t="str">
        <f aca="false">IF(ISBLANK($C141),"",$BY141)</f>
        <v/>
      </c>
      <c r="CY141" s="106" t="str">
        <f aca="false">IF(ISBLANK($C141),"",$CN141)</f>
        <v/>
      </c>
      <c r="CZ141" s="106" t="str">
        <f aca="false">IF(ISBLANK($C141),"",$CM141)</f>
        <v/>
      </c>
      <c r="DA141" s="107" t="str">
        <f aca="false">IF(ISBLANK($C141),"",IFERROR(_xlfn.SWITCH($CZ141,Constants!$B$9,COUNTA($C$9:$C$508)+2,Constants!$B$8,COUNTA($C$9:$C$508)+1,Constants!$B$7,COUNTA($C$9:$C$508)),$CZ141))</f>
        <v/>
      </c>
      <c r="DB141" s="9"/>
      <c r="DC141" s="108" t="n">
        <f aca="false">IF(OR(ISNUMBER($CZ141),$CZ141=Constants!$B$9,$CZ141=Constants!$B$7,$CZ141=Constants!$B$8),1,0)</f>
        <v>0</v>
      </c>
      <c r="DD141" s="108" t="n">
        <v>133</v>
      </c>
      <c r="DE141" s="108" t="str">
        <f aca="false">IF(ISBLANK($C141),"",IF(ISNUMBER($DA141),$DA141+ROW($B141)/1000,""))</f>
        <v/>
      </c>
      <c r="DF141" s="108" t="str">
        <f aca="false">IF(ISNUMBER($DE141),RANK($DE141,$DE$9:$DE$508,1),"")</f>
        <v/>
      </c>
      <c r="DG141" s="108" t="str">
        <f aca="false">IF(ISBLANK($C141),"",$B141)</f>
        <v/>
      </c>
      <c r="DH141" s="108" t="str">
        <f aca="false">IF(ISBLANK($C141),"",$C141)</f>
        <v/>
      </c>
      <c r="DI141" s="108" t="str">
        <f aca="false">IF(ISBLANK($C141),"",$D141)</f>
        <v/>
      </c>
      <c r="DJ141" s="109" t="str">
        <f aca="false">$CX141</f>
        <v/>
      </c>
      <c r="DK141" s="110" t="str">
        <f aca="false">$CW141</f>
        <v/>
      </c>
      <c r="DL141" s="108" t="str">
        <f aca="false">IF(ISBLANK($C141),"",$CZ141)</f>
        <v/>
      </c>
      <c r="DM141" s="111" t="str">
        <f aca="false">IF($DD141&gt;$DC$8,"",VLOOKUP($DD141,$DF$9:$DL$508,7,FALSE()))</f>
        <v/>
      </c>
      <c r="DN141" s="112" t="str">
        <f aca="false">IF($DD141&gt;$DC$8,"",VLOOKUP($DD141,$DF$9:$DL$508,2,FALSE()))</f>
        <v/>
      </c>
      <c r="DO141" s="112" t="str">
        <f aca="false">IF($DD141&gt;$DC$8,"",VLOOKUP($DD141,$DF$9:$DL$508,3,FALSE()))</f>
        <v/>
      </c>
      <c r="DP141" s="112" t="str">
        <f aca="false">IF($DD141&gt;$DC$8,"",VLOOKUP($DD141,$DF$9:$DL$508,4,FALSE()))</f>
        <v/>
      </c>
      <c r="DQ141" s="112" t="str">
        <f aca="false">IF($DD141&gt;$DC$8,"",VLOOKUP($DD141,$DF$9:$DL$508,5,FALSE()))</f>
        <v/>
      </c>
      <c r="DR141" s="113" t="str">
        <f aca="false">IF($DD141&gt;$DC$8,"",VLOOKUP($DD141,$DF$9:$DL$508,6,FALSE()))</f>
        <v/>
      </c>
      <c r="DS141" s="76"/>
    </row>
    <row r="142" customFormat="false" ht="15.75" hidden="false" customHeight="false" outlineLevel="0" collapsed="false">
      <c r="A142" s="9"/>
      <c r="B142" s="78"/>
      <c r="C142" s="79"/>
      <c r="D142" s="170"/>
      <c r="E142" s="178"/>
      <c r="F142" s="172"/>
      <c r="G142" s="173"/>
      <c r="H142" s="173"/>
      <c r="I142" s="179"/>
      <c r="J142" s="176"/>
      <c r="K142" s="86"/>
      <c r="L142" s="87"/>
      <c r="M142" s="88"/>
      <c r="N142" s="176"/>
      <c r="O142" s="176"/>
      <c r="P142" s="178"/>
      <c r="Q142" s="176"/>
      <c r="R142" s="176"/>
      <c r="S142" s="86"/>
      <c r="T142" s="88"/>
      <c r="U142" s="88"/>
      <c r="V142" s="176"/>
      <c r="W142" s="176"/>
      <c r="X142" s="178"/>
      <c r="Y142" s="176"/>
      <c r="Z142" s="177"/>
      <c r="AA142" s="176"/>
      <c r="AB142" s="92"/>
      <c r="AC142" s="93"/>
      <c r="AD142" s="93"/>
      <c r="AE142" s="93"/>
      <c r="AF142" s="93" t="str">
        <f aca="false">IF(ISBLANK($C142),"",IF(E142=Constants!$B$2,TRUE(),IF(E142=Constants!$B$3,FALSE(),TRUE())))</f>
        <v/>
      </c>
      <c r="AG142" s="93" t="str">
        <f aca="false">IF(ISBLANK($C142),"",IF(F142=Constants!$B$2,TRUE(),IF(F142=Constants!$B$3,FALSE(),TRUE())))</f>
        <v/>
      </c>
      <c r="AH142" s="93" t="str">
        <f aca="false">IF(ISBLANK($C142),"",IF(G142=Constants!$B$2,TRUE(),IF(G142=Constants!$B$3,FALSE(),TRUE())))</f>
        <v/>
      </c>
      <c r="AI142" s="93" t="str">
        <f aca="false">IF(ISBLANK($C142),"",IF(AND(ISNUMBER(H142),H142&gt;=0),H142,Constants!$B$24))</f>
        <v/>
      </c>
      <c r="AJ142" s="93" t="str">
        <f aca="false">IF(ISBLANK($C142),"",IF(I142=Constants!$B$2,TRUE(),IF(I142=Constants!$B$3,FALSE(),TRUE())))</f>
        <v/>
      </c>
      <c r="AK142" s="93" t="str">
        <f aca="false">IF(ISBLANK($C142),"",IF(J142=Constants!$B$2,TRUE(),IF(J142=Constants!$B$3,FALSE(),TRUE())))</f>
        <v/>
      </c>
      <c r="AL142" s="93" t="str">
        <f aca="false">IF(ISBLANK($C142),"",IF(K142=Constants!$B$4,TRUE(),IF(K142=Constants!$B$5,FALSE(),COUNTA(L142:P142)&gt;0)))</f>
        <v/>
      </c>
      <c r="AM142" s="95" t="str">
        <f aca="false">IF(ISBLANK($C142),"",IF(ISNUMBER(L142),IF(L142&gt;=0,L142,""),""))</f>
        <v/>
      </c>
      <c r="AN142" s="94" t="str">
        <f aca="false">IF(ISBLANK($C142),"",IF(ISNUMBER(M142),IF(M142&gt;=0,M142,""),""))</f>
        <v/>
      </c>
      <c r="AO142" s="94" t="str">
        <f aca="false">IF(ISBLANK($C142),"",IF(N142=Constants!$B$2,TRUE(),IF(N142=Constants!$B$3,FALSE(),TRUE())))</f>
        <v/>
      </c>
      <c r="AP142" s="93" t="str">
        <f aca="false">IF(ISBLANK($C142),"",IF(ISNUMBER(O142),IF(O142&gt;=0,O142,""),""))</f>
        <v/>
      </c>
      <c r="AQ142" s="93" t="str">
        <f aca="false">IF(ISBLANK($C142),"",IF(P142=Constants!$B$2,TRUE(),IF(P142=Constants!$B$3,FALSE(),FALSE())))</f>
        <v/>
      </c>
      <c r="AR142" s="93" t="str">
        <f aca="false">IF(ISBLANK($C142),"",IF(Q142=Constants!$B$2,TRUE(),IF(Q142=Constants!$B$3,FALSE(),TRUE())))</f>
        <v/>
      </c>
      <c r="AS142" s="93" t="str">
        <f aca="false">IF(ISBLANK($C142),"",IF(R142=Constants!$B$2,TRUE(),IF(R142=Constants!$B$3,FALSE(),TRUE())))</f>
        <v/>
      </c>
      <c r="AT142" s="93" t="str">
        <f aca="false">IF(ISBLANK($C142),"",IF(S142=Constants!$B$4,TRUE(),IF(S142=Constants!$B$5,FALSE(),COUNTA(T142:X142)&gt;0)))</f>
        <v/>
      </c>
      <c r="AU142" s="95" t="str">
        <f aca="false">IF(ISBLANK($C142),"",IF(ISNUMBER(T142),IF(T142&gt;=0,T142,""),""))</f>
        <v/>
      </c>
      <c r="AV142" s="94" t="str">
        <f aca="false">IF(ISBLANK($C142),"",IF(ISNUMBER(U142),IF(U142&gt;=0,U142,""),""))</f>
        <v/>
      </c>
      <c r="AW142" s="94" t="str">
        <f aca="false">IF(ISBLANK($C142),"",IF(V142=Constants!$B$2,TRUE(),IF(V142=Constants!$B$3,FALSE(),TRUE())))</f>
        <v/>
      </c>
      <c r="AX142" s="93" t="str">
        <f aca="false">IF(ISBLANK($C142),"",IF(ISNUMBER(W142),IF(W142&gt;=0,W142,""),""))</f>
        <v/>
      </c>
      <c r="AY142" s="93" t="str">
        <f aca="false">IF(ISBLANK($C142),"",IF(X142=Constants!$B$2,TRUE(),IF(X142=Constants!$B$3,FALSE(),FALSE())))</f>
        <v/>
      </c>
      <c r="AZ142" s="93" t="str">
        <f aca="false">IF(ISBLANK($C142),"",MIN(Constants!$B$25,MAX(0,IF(ISNUMBER(Y142),Y142*60,0)+IF(ISNUMBER(Z142),Z142,0))))</f>
        <v/>
      </c>
      <c r="BA142" s="93" t="str">
        <f aca="false">IF(ISBLANK($C142),"",IF(AA142=Constants!$B$2,TRUE(),IF(AA142=Constants!$B$3,FALSE(),FALSE())))</f>
        <v/>
      </c>
      <c r="BB142" s="92" t="str">
        <f aca="false">IF(ISBLANK($C142),"",AND($AL142,OR($AM142="",$AN142="",AND($AO142,$AP142=""))))</f>
        <v/>
      </c>
      <c r="BC142" s="94" t="str">
        <f aca="false">IF($BX142&lt;&gt;Constants!$B$6,"",IF($AL142,Constants!$B$17*$AN142+Constants!$B$18*IF($AO142,$AP142,Constants!$B$19),Constants!$B$20))</f>
        <v/>
      </c>
      <c r="BD142" s="97" t="str">
        <f aca="false">IF($BX142&lt;&gt;Constants!$B$6,"",Constants!$B$21*ABS($AD$9-IF($AL142,$AM142,0)))</f>
        <v/>
      </c>
      <c r="BE142" s="97" t="str">
        <f aca="false">IF($BX142&lt;&gt;Constants!$B$6,"",IF(AND($AL142,$AQ142,$AO142),Constants!$B$22,0))</f>
        <v/>
      </c>
      <c r="BF142" s="97" t="str">
        <f aca="false">IF($BX142&lt;&gt;Constants!$B$6,"",IF($AL142,($AI142-Constants!$B$24)*Constants!$B$23,0))</f>
        <v/>
      </c>
      <c r="BG142" s="97" t="str">
        <f aca="false">IF($BX142&lt;&gt;Constants!$B$6,"",IF($AK142,0,Constants!$B$12)+IF($AJ142,0,Constants!$B$13)+IF($AH142,0,Constants!$B$14))</f>
        <v/>
      </c>
      <c r="BH142" s="98" t="str">
        <f aca="false">IF($BX142&lt;&gt;Constants!$B$6,"",Constants!$B$16+SUM($BC142:$BG142))</f>
        <v/>
      </c>
      <c r="BI142" s="97" t="str">
        <f aca="false">IF($BX142&lt;&gt;Constants!$B$6,"",$BC142)</f>
        <v/>
      </c>
      <c r="BJ142" s="97" t="str">
        <f aca="false">IF($BX142&lt;&gt;Constants!$B$6,"",$BD142)</f>
        <v/>
      </c>
      <c r="BK142" s="99" t="str">
        <f aca="false">IF($BX142&lt;&gt;Constants!$B$6,"",IF($AL142,$AN142,""))</f>
        <v/>
      </c>
      <c r="BL142" s="93" t="str">
        <f aca="false">IF($BX142&lt;&gt;Constants!$B$6,"",IF(OR($BS142&lt;$BH142,AND($BS142=$BH142,OR($BT142&lt;$BI142,AND($BT142=$BI142,OR($BU142&lt;$BJ142,AND($BU142=$BJ142,AND(ISNUMBER($BV142),OR(NOT(ISNUMBER($BK142)),$BV142&lt;$BK142)))))))),"-&gt;","&lt;-"))</f>
        <v/>
      </c>
      <c r="BM142" s="92" t="str">
        <f aca="false">IF(ISBLANK($C142),"",AND($AT142,OR($AU142="",$AV142="",AND($AW142,$AX142=""))))</f>
        <v/>
      </c>
      <c r="BN142" s="94" t="str">
        <f aca="false">IF($BX142&lt;&gt;Constants!$B$6,"",IF($AT142,Constants!$B$17*$AV142+Constants!$B$18*IF($AW142,$AX142,Constants!$B$19),Constants!$B$20))</f>
        <v/>
      </c>
      <c r="BO142" s="97" t="str">
        <f aca="false">IF($BX142&lt;&gt;Constants!$B$6,"",Constants!$B$21*ABS($AD$9-IF($AT142,$AU142,0)))</f>
        <v/>
      </c>
      <c r="BP142" s="97" t="str">
        <f aca="false">IF($BX142&lt;&gt;Constants!$B$6,"",IF(AND($AT142,$AY142,$AW142),Constants!$B$22,0))</f>
        <v/>
      </c>
      <c r="BQ142" s="97" t="str">
        <f aca="false">IF($BX142&lt;&gt;Constants!$B$6,"",IF($AT142,($AI142-Constants!$B$24)*Constants!$B$23,0))</f>
        <v/>
      </c>
      <c r="BR142" s="97" t="str">
        <f aca="false">IF($BX142&lt;&gt;Constants!$B$6,"",IF($AS142,0,Constants!$B$12)+IF($AR142,0,Constants!$B$13)+IF($AH142,0,Constants!$B$14))</f>
        <v/>
      </c>
      <c r="BS142" s="98" t="str">
        <f aca="false">IF($BX142&lt;&gt;Constants!$B$6,"",Constants!$B$16+SUM($BN142:$BR142))</f>
        <v/>
      </c>
      <c r="BT142" s="97" t="str">
        <f aca="false">IF($BX142&lt;&gt;Constants!$B$6,"",$BN142)</f>
        <v/>
      </c>
      <c r="BU142" s="97" t="str">
        <f aca="false">IF($BX142&lt;&gt;Constants!$B$6,"",$BO142)</f>
        <v/>
      </c>
      <c r="BV142" s="99" t="str">
        <f aca="false">IF($BX142&lt;&gt;Constants!$B$6,"",IF($AT142,$AV142,""))</f>
        <v/>
      </c>
      <c r="BW142" s="93" t="str">
        <f aca="false">IF(ISBLANK($C142),"",IF(ISBLANK($D$7),$BW$5,IF(NOT(ISNUMBER($D$7)),$BW$6,"")))</f>
        <v/>
      </c>
      <c r="BX142" s="93" t="str">
        <f aca="false">IF(ISBLANK($C142),"",IF($BA142,Constants!$B$9,IF(COUNTA($E142:$AA142)=0,Constants!$B$8,IF(NOT($AG142),Constants!$B$7,IF(OR($BW142&lt;&gt;"",$BB142,$BM142),Constants!$B$10,Constants!$B$6)))))</f>
        <v/>
      </c>
      <c r="BY142" s="93" t="str">
        <f aca="false">IF(ISBLANK($C142),"",IF($BX142&lt;&gt;Constants!$B$6,$BX142,Constants!$B$11))</f>
        <v/>
      </c>
      <c r="BZ142" s="97" t="str">
        <f aca="false">IF($BX142&lt;&gt;Constants!$B$6,"",IF($BL142="-&gt;",$BS142,$BH142))</f>
        <v/>
      </c>
      <c r="CA142" s="97" t="str">
        <f aca="false">IF($BX142&lt;&gt;Constants!$B$6,"",IF($AF142,0,Constants!$B$15))</f>
        <v/>
      </c>
      <c r="CB142" s="97" t="str">
        <f aca="false">IF($BX142&lt;&gt;Constants!$B$6,"",((Constants!$B$25-$AZ142)-Constants!$B$25)/Constants!$B$26)</f>
        <v/>
      </c>
      <c r="CC142" s="97" t="str">
        <f aca="false">IF(ISBLANK($C142),"",IF($BX142&lt;&gt;Constants!$B$6,$BX142,SUM($BZ142:$CB142)))</f>
        <v/>
      </c>
      <c r="CD142" s="93" t="str">
        <f aca="false">IF(ISBLANK($C142),"",IF($BX142&lt;&gt;Constants!$B$6,$BX142,RANK($CC142,$CC$9:$CC$508,1)))</f>
        <v/>
      </c>
      <c r="CE142" s="97" t="str">
        <f aca="false">IF($BX142&lt;&gt;Constants!$B$6,"",IF($BL142="-&gt;",$BT142,$BI142))</f>
        <v/>
      </c>
      <c r="CF142" s="93" t="str">
        <f aca="false">IF(ISBLANK($C142),"",IF($BX142&lt;&gt;Constants!$B$6,$BX142,IF(ISNUMBER($CE142),RANK($CE142,$CE$9:$CE$508,1),COUNT($CE$9:$CE$508)+1)))</f>
        <v/>
      </c>
      <c r="CG142" s="97" t="str">
        <f aca="false">IF($BX142&lt;&gt;Constants!$B$6,"",IF($BL142="-&gt;",$BU142,$BJ142))</f>
        <v/>
      </c>
      <c r="CH142" s="93" t="str">
        <f aca="false">IF(ISBLANK($C142),"",IF($BX142&lt;&gt;Constants!$B$6,$BX142,IF(ISNUMBER($CG142),RANK($CG142,$CG$9:$CG$508,1),COUNT($CG$9:$CG$508)+1)))</f>
        <v/>
      </c>
      <c r="CI142" s="97" t="str">
        <f aca="false">IF($BX142&lt;&gt;Constants!$B$6,"",IF($BL142="-&gt;",$BV142,$BK142))</f>
        <v/>
      </c>
      <c r="CJ142" s="93" t="str">
        <f aca="false">IF(ISBLANK($C142),"",IF($BX142&lt;&gt;Constants!$B$6,$BX142,IF(ISNUMBER($CI142),RANK($CI142,$CI$9:$CI$508,1),COUNT($CI$9:$CI$508)+1)))</f>
        <v/>
      </c>
      <c r="CK142" s="97" t="str">
        <f aca="false">IF($BX142&lt;&gt;Constants!$B$6,"",$AI142)</f>
        <v/>
      </c>
      <c r="CL142" s="93" t="str">
        <f aca="false">IF(ISBLANK($C142),"",IF($BX142&lt;&gt;Constants!$B$6,$BX142,IF(ISNUMBER($CK142),RANK($CK142,$CK$9:$CK$508,1),COUNT($CK$9:$CK$508)+1)))</f>
        <v/>
      </c>
      <c r="CM142" s="93" t="str">
        <f aca="false">IF(ISBLANK($C142),"",IF($BX142&lt;&gt;Constants!$B$6,$BX142,COUNTIFS($CD$9:$CD$508,"&lt;"&amp;$CD142)+COUNTIFS($CD$9:$CD$508,$CD142,$CF$9:$CF$508,"&lt;"&amp;$CF142)+COUNTIFS($CD$9:$CD$508,$CD142,$CF$9:$CF$508,$CF142,$CH$9:$CH$508,"&lt;"&amp;$CH142)+COUNTIFS($CD$9:$CD$508,$CD142,$CF$9:$CF$508,$CF142,$CH$9:$CH$508,$CH142,$CJ$9:$CJ$508,"&lt;"&amp;$CJ142)+COUNTIFS($CD$9:$CD$508,$CD142,$CF$9:$CF$508,$CF142,$CH$9:$CH$508,$CH142,$CJ$9:$CJ$508,$CJ142,$CL$9:$CL$508,"&lt;"&amp;$CL142)+1))</f>
        <v/>
      </c>
      <c r="CN142" s="93" t="str">
        <f aca="false">IF(ISBLANK($C142),"",IF($BX142&lt;&gt;Constants!$B$6,$BX142,$CD142-$CM142))</f>
        <v/>
      </c>
      <c r="CO142" s="100"/>
      <c r="CP142" s="101"/>
      <c r="CQ142" s="102" t="str">
        <f aca="false">IF(ISBLANK($C142),"",IF($BX142=Constants!$B$10,$BW142,""))</f>
        <v/>
      </c>
      <c r="CR142" s="101" t="str">
        <f aca="false">IF(ISBLANK($C142),"",IF($BX142&lt;&gt;Constants!$B$6,"",IF($BL142="-&gt;",2,1)))</f>
        <v/>
      </c>
      <c r="CS142" s="103" t="str">
        <f aca="false">IF(ISBLANK($C142),"",IF($BX142&lt;&gt;Constants!$B$6,"",IF($BL142="-&gt;",$BN142,$BC142)))</f>
        <v/>
      </c>
      <c r="CT142" s="103" t="str">
        <f aca="false">IF(ISBLANK($C142),"",IF($BX142&lt;&gt;Constants!$B$6,"",IF($BL142="-&gt;",$BO142,$BD142)))</f>
        <v/>
      </c>
      <c r="CU142" s="103" t="str">
        <f aca="false">IF(ISBLANK($C142),"",IF($BX142&lt;&gt;Constants!$B$6,"",IF($BL142="-&gt;",$BP142+$BQ142,$BE142+$BF142)+$CB142))</f>
        <v/>
      </c>
      <c r="CV142" s="103" t="str">
        <f aca="false">IF(ISBLANK($C142),"",IF($BX142&lt;&gt;Constants!$B$6,"",IF($BL142="-&gt;",$BR142,$BG142)+$CA142))</f>
        <v/>
      </c>
      <c r="CW142" s="104" t="str">
        <f aca="false">IF(ISBLANK($C142),"",IF($BX142&lt;&gt;Constants!$B$6,$BX142,$CC142))</f>
        <v/>
      </c>
      <c r="CX142" s="105" t="str">
        <f aca="false">IF(ISBLANK($C142),"",$BY142)</f>
        <v/>
      </c>
      <c r="CY142" s="106" t="str">
        <f aca="false">IF(ISBLANK($C142),"",$CN142)</f>
        <v/>
      </c>
      <c r="CZ142" s="106" t="str">
        <f aca="false">IF(ISBLANK($C142),"",$CM142)</f>
        <v/>
      </c>
      <c r="DA142" s="107" t="str">
        <f aca="false">IF(ISBLANK($C142),"",IFERROR(_xlfn.SWITCH($CZ142,Constants!$B$9,COUNTA($C$9:$C$508)+2,Constants!$B$8,COUNTA($C$9:$C$508)+1,Constants!$B$7,COUNTA($C$9:$C$508)),$CZ142))</f>
        <v/>
      </c>
      <c r="DB142" s="9"/>
      <c r="DC142" s="108" t="n">
        <f aca="false">IF(OR(ISNUMBER($CZ142),$CZ142=Constants!$B$9,$CZ142=Constants!$B$7,$CZ142=Constants!$B$8),1,0)</f>
        <v>0</v>
      </c>
      <c r="DD142" s="108" t="n">
        <v>134</v>
      </c>
      <c r="DE142" s="108" t="str">
        <f aca="false">IF(ISBLANK($C142),"",IF(ISNUMBER($DA142),$DA142+ROW($B142)/1000,""))</f>
        <v/>
      </c>
      <c r="DF142" s="108" t="str">
        <f aca="false">IF(ISNUMBER($DE142),RANK($DE142,$DE$9:$DE$508,1),"")</f>
        <v/>
      </c>
      <c r="DG142" s="108" t="str">
        <f aca="false">IF(ISBLANK($C142),"",$B142)</f>
        <v/>
      </c>
      <c r="DH142" s="108" t="str">
        <f aca="false">IF(ISBLANK($C142),"",$C142)</f>
        <v/>
      </c>
      <c r="DI142" s="108" t="str">
        <f aca="false">IF(ISBLANK($C142),"",$D142)</f>
        <v/>
      </c>
      <c r="DJ142" s="109" t="str">
        <f aca="false">$CX142</f>
        <v/>
      </c>
      <c r="DK142" s="110" t="str">
        <f aca="false">$CW142</f>
        <v/>
      </c>
      <c r="DL142" s="108" t="str">
        <f aca="false">IF(ISBLANK($C142),"",$CZ142)</f>
        <v/>
      </c>
      <c r="DM142" s="111" t="str">
        <f aca="false">IF($DD142&gt;$DC$8,"",VLOOKUP($DD142,$DF$9:$DL$508,7,FALSE()))</f>
        <v/>
      </c>
      <c r="DN142" s="112" t="str">
        <f aca="false">IF($DD142&gt;$DC$8,"",VLOOKUP($DD142,$DF$9:$DL$508,2,FALSE()))</f>
        <v/>
      </c>
      <c r="DO142" s="112" t="str">
        <f aca="false">IF($DD142&gt;$DC$8,"",VLOOKUP($DD142,$DF$9:$DL$508,3,FALSE()))</f>
        <v/>
      </c>
      <c r="DP142" s="112" t="str">
        <f aca="false">IF($DD142&gt;$DC$8,"",VLOOKUP($DD142,$DF$9:$DL$508,4,FALSE()))</f>
        <v/>
      </c>
      <c r="DQ142" s="112" t="str">
        <f aca="false">IF($DD142&gt;$DC$8,"",VLOOKUP($DD142,$DF$9:$DL$508,5,FALSE()))</f>
        <v/>
      </c>
      <c r="DR142" s="113" t="str">
        <f aca="false">IF($DD142&gt;$DC$8,"",VLOOKUP($DD142,$DF$9:$DL$508,6,FALSE()))</f>
        <v/>
      </c>
      <c r="DS142" s="76"/>
    </row>
    <row r="143" customFormat="false" ht="15.75" hidden="false" customHeight="false" outlineLevel="0" collapsed="false">
      <c r="A143" s="9"/>
      <c r="B143" s="78"/>
      <c r="C143" s="79"/>
      <c r="D143" s="170"/>
      <c r="E143" s="178"/>
      <c r="F143" s="172"/>
      <c r="G143" s="173"/>
      <c r="H143" s="173"/>
      <c r="I143" s="179"/>
      <c r="J143" s="176"/>
      <c r="K143" s="86"/>
      <c r="L143" s="87"/>
      <c r="M143" s="88"/>
      <c r="N143" s="176"/>
      <c r="O143" s="176"/>
      <c r="P143" s="178"/>
      <c r="Q143" s="176"/>
      <c r="R143" s="176"/>
      <c r="S143" s="86"/>
      <c r="T143" s="88"/>
      <c r="U143" s="88"/>
      <c r="V143" s="176"/>
      <c r="W143" s="176"/>
      <c r="X143" s="178"/>
      <c r="Y143" s="176"/>
      <c r="Z143" s="177"/>
      <c r="AA143" s="176"/>
      <c r="AB143" s="92"/>
      <c r="AC143" s="93"/>
      <c r="AD143" s="93"/>
      <c r="AE143" s="93"/>
      <c r="AF143" s="93" t="str">
        <f aca="false">IF(ISBLANK($C143),"",IF(E143=Constants!$B$2,TRUE(),IF(E143=Constants!$B$3,FALSE(),TRUE())))</f>
        <v/>
      </c>
      <c r="AG143" s="93" t="str">
        <f aca="false">IF(ISBLANK($C143),"",IF(F143=Constants!$B$2,TRUE(),IF(F143=Constants!$B$3,FALSE(),TRUE())))</f>
        <v/>
      </c>
      <c r="AH143" s="93" t="str">
        <f aca="false">IF(ISBLANK($C143),"",IF(G143=Constants!$B$2,TRUE(),IF(G143=Constants!$B$3,FALSE(),TRUE())))</f>
        <v/>
      </c>
      <c r="AI143" s="93" t="str">
        <f aca="false">IF(ISBLANK($C143),"",IF(AND(ISNUMBER(H143),H143&gt;=0),H143,Constants!$B$24))</f>
        <v/>
      </c>
      <c r="AJ143" s="93" t="str">
        <f aca="false">IF(ISBLANK($C143),"",IF(I143=Constants!$B$2,TRUE(),IF(I143=Constants!$B$3,FALSE(),TRUE())))</f>
        <v/>
      </c>
      <c r="AK143" s="93" t="str">
        <f aca="false">IF(ISBLANK($C143),"",IF(J143=Constants!$B$2,TRUE(),IF(J143=Constants!$B$3,FALSE(),TRUE())))</f>
        <v/>
      </c>
      <c r="AL143" s="93" t="str">
        <f aca="false">IF(ISBLANK($C143),"",IF(K143=Constants!$B$4,TRUE(),IF(K143=Constants!$B$5,FALSE(),COUNTA(L143:P143)&gt;0)))</f>
        <v/>
      </c>
      <c r="AM143" s="95" t="str">
        <f aca="false">IF(ISBLANK($C143),"",IF(ISNUMBER(L143),IF(L143&gt;=0,L143,""),""))</f>
        <v/>
      </c>
      <c r="AN143" s="94" t="str">
        <f aca="false">IF(ISBLANK($C143),"",IF(ISNUMBER(M143),IF(M143&gt;=0,M143,""),""))</f>
        <v/>
      </c>
      <c r="AO143" s="94" t="str">
        <f aca="false">IF(ISBLANK($C143),"",IF(N143=Constants!$B$2,TRUE(),IF(N143=Constants!$B$3,FALSE(),TRUE())))</f>
        <v/>
      </c>
      <c r="AP143" s="93" t="str">
        <f aca="false">IF(ISBLANK($C143),"",IF(ISNUMBER(O143),IF(O143&gt;=0,O143,""),""))</f>
        <v/>
      </c>
      <c r="AQ143" s="93" t="str">
        <f aca="false">IF(ISBLANK($C143),"",IF(P143=Constants!$B$2,TRUE(),IF(P143=Constants!$B$3,FALSE(),FALSE())))</f>
        <v/>
      </c>
      <c r="AR143" s="93" t="str">
        <f aca="false">IF(ISBLANK($C143),"",IF(Q143=Constants!$B$2,TRUE(),IF(Q143=Constants!$B$3,FALSE(),TRUE())))</f>
        <v/>
      </c>
      <c r="AS143" s="93" t="str">
        <f aca="false">IF(ISBLANK($C143),"",IF(R143=Constants!$B$2,TRUE(),IF(R143=Constants!$B$3,FALSE(),TRUE())))</f>
        <v/>
      </c>
      <c r="AT143" s="93" t="str">
        <f aca="false">IF(ISBLANK($C143),"",IF(S143=Constants!$B$4,TRUE(),IF(S143=Constants!$B$5,FALSE(),COUNTA(T143:X143)&gt;0)))</f>
        <v/>
      </c>
      <c r="AU143" s="95" t="str">
        <f aca="false">IF(ISBLANK($C143),"",IF(ISNUMBER(T143),IF(T143&gt;=0,T143,""),""))</f>
        <v/>
      </c>
      <c r="AV143" s="94" t="str">
        <f aca="false">IF(ISBLANK($C143),"",IF(ISNUMBER(U143),IF(U143&gt;=0,U143,""),""))</f>
        <v/>
      </c>
      <c r="AW143" s="94" t="str">
        <f aca="false">IF(ISBLANK($C143),"",IF(V143=Constants!$B$2,TRUE(),IF(V143=Constants!$B$3,FALSE(),TRUE())))</f>
        <v/>
      </c>
      <c r="AX143" s="93" t="str">
        <f aca="false">IF(ISBLANK($C143),"",IF(ISNUMBER(W143),IF(W143&gt;=0,W143,""),""))</f>
        <v/>
      </c>
      <c r="AY143" s="93" t="str">
        <f aca="false">IF(ISBLANK($C143),"",IF(X143=Constants!$B$2,TRUE(),IF(X143=Constants!$B$3,FALSE(),FALSE())))</f>
        <v/>
      </c>
      <c r="AZ143" s="93" t="str">
        <f aca="false">IF(ISBLANK($C143),"",MIN(Constants!$B$25,MAX(0,IF(ISNUMBER(Y143),Y143*60,0)+IF(ISNUMBER(Z143),Z143,0))))</f>
        <v/>
      </c>
      <c r="BA143" s="93" t="str">
        <f aca="false">IF(ISBLANK($C143),"",IF(AA143=Constants!$B$2,TRUE(),IF(AA143=Constants!$B$3,FALSE(),FALSE())))</f>
        <v/>
      </c>
      <c r="BB143" s="92" t="str">
        <f aca="false">IF(ISBLANK($C143),"",AND($AL143,OR($AM143="",$AN143="",AND($AO143,$AP143=""))))</f>
        <v/>
      </c>
      <c r="BC143" s="94" t="str">
        <f aca="false">IF($BX143&lt;&gt;Constants!$B$6,"",IF($AL143,Constants!$B$17*$AN143+Constants!$B$18*IF($AO143,$AP143,Constants!$B$19),Constants!$B$20))</f>
        <v/>
      </c>
      <c r="BD143" s="97" t="str">
        <f aca="false">IF($BX143&lt;&gt;Constants!$B$6,"",Constants!$B$21*ABS($AD$9-IF($AL143,$AM143,0)))</f>
        <v/>
      </c>
      <c r="BE143" s="97" t="str">
        <f aca="false">IF($BX143&lt;&gt;Constants!$B$6,"",IF(AND($AL143,$AQ143,$AO143),Constants!$B$22,0))</f>
        <v/>
      </c>
      <c r="BF143" s="97" t="str">
        <f aca="false">IF($BX143&lt;&gt;Constants!$B$6,"",IF($AL143,($AI143-Constants!$B$24)*Constants!$B$23,0))</f>
        <v/>
      </c>
      <c r="BG143" s="97" t="str">
        <f aca="false">IF($BX143&lt;&gt;Constants!$B$6,"",IF($AK143,0,Constants!$B$12)+IF($AJ143,0,Constants!$B$13)+IF($AH143,0,Constants!$B$14))</f>
        <v/>
      </c>
      <c r="BH143" s="98" t="str">
        <f aca="false">IF($BX143&lt;&gt;Constants!$B$6,"",Constants!$B$16+SUM($BC143:$BG143))</f>
        <v/>
      </c>
      <c r="BI143" s="97" t="str">
        <f aca="false">IF($BX143&lt;&gt;Constants!$B$6,"",$BC143)</f>
        <v/>
      </c>
      <c r="BJ143" s="97" t="str">
        <f aca="false">IF($BX143&lt;&gt;Constants!$B$6,"",$BD143)</f>
        <v/>
      </c>
      <c r="BK143" s="99" t="str">
        <f aca="false">IF($BX143&lt;&gt;Constants!$B$6,"",IF($AL143,$AN143,""))</f>
        <v/>
      </c>
      <c r="BL143" s="93" t="str">
        <f aca="false">IF($BX143&lt;&gt;Constants!$B$6,"",IF(OR($BS143&lt;$BH143,AND($BS143=$BH143,OR($BT143&lt;$BI143,AND($BT143=$BI143,OR($BU143&lt;$BJ143,AND($BU143=$BJ143,AND(ISNUMBER($BV143),OR(NOT(ISNUMBER($BK143)),$BV143&lt;$BK143)))))))),"-&gt;","&lt;-"))</f>
        <v/>
      </c>
      <c r="BM143" s="92" t="str">
        <f aca="false">IF(ISBLANK($C143),"",AND($AT143,OR($AU143="",$AV143="",AND($AW143,$AX143=""))))</f>
        <v/>
      </c>
      <c r="BN143" s="94" t="str">
        <f aca="false">IF($BX143&lt;&gt;Constants!$B$6,"",IF($AT143,Constants!$B$17*$AV143+Constants!$B$18*IF($AW143,$AX143,Constants!$B$19),Constants!$B$20))</f>
        <v/>
      </c>
      <c r="BO143" s="97" t="str">
        <f aca="false">IF($BX143&lt;&gt;Constants!$B$6,"",Constants!$B$21*ABS($AD$9-IF($AT143,$AU143,0)))</f>
        <v/>
      </c>
      <c r="BP143" s="97" t="str">
        <f aca="false">IF($BX143&lt;&gt;Constants!$B$6,"",IF(AND($AT143,$AY143,$AW143),Constants!$B$22,0))</f>
        <v/>
      </c>
      <c r="BQ143" s="97" t="str">
        <f aca="false">IF($BX143&lt;&gt;Constants!$B$6,"",IF($AT143,($AI143-Constants!$B$24)*Constants!$B$23,0))</f>
        <v/>
      </c>
      <c r="BR143" s="97" t="str">
        <f aca="false">IF($BX143&lt;&gt;Constants!$B$6,"",IF($AS143,0,Constants!$B$12)+IF($AR143,0,Constants!$B$13)+IF($AH143,0,Constants!$B$14))</f>
        <v/>
      </c>
      <c r="BS143" s="98" t="str">
        <f aca="false">IF($BX143&lt;&gt;Constants!$B$6,"",Constants!$B$16+SUM($BN143:$BR143))</f>
        <v/>
      </c>
      <c r="BT143" s="97" t="str">
        <f aca="false">IF($BX143&lt;&gt;Constants!$B$6,"",$BN143)</f>
        <v/>
      </c>
      <c r="BU143" s="97" t="str">
        <f aca="false">IF($BX143&lt;&gt;Constants!$B$6,"",$BO143)</f>
        <v/>
      </c>
      <c r="BV143" s="99" t="str">
        <f aca="false">IF($BX143&lt;&gt;Constants!$B$6,"",IF($AT143,$AV143,""))</f>
        <v/>
      </c>
      <c r="BW143" s="93" t="str">
        <f aca="false">IF(ISBLANK($C143),"",IF(ISBLANK($D$7),$BW$5,IF(NOT(ISNUMBER($D$7)),$BW$6,"")))</f>
        <v/>
      </c>
      <c r="BX143" s="93" t="str">
        <f aca="false">IF(ISBLANK($C143),"",IF($BA143,Constants!$B$9,IF(COUNTA($E143:$AA143)=0,Constants!$B$8,IF(NOT($AG143),Constants!$B$7,IF(OR($BW143&lt;&gt;"",$BB143,$BM143),Constants!$B$10,Constants!$B$6)))))</f>
        <v/>
      </c>
      <c r="BY143" s="93" t="str">
        <f aca="false">IF(ISBLANK($C143),"",IF($BX143&lt;&gt;Constants!$B$6,$BX143,Constants!$B$11))</f>
        <v/>
      </c>
      <c r="BZ143" s="97" t="str">
        <f aca="false">IF($BX143&lt;&gt;Constants!$B$6,"",IF($BL143="-&gt;",$BS143,$BH143))</f>
        <v/>
      </c>
      <c r="CA143" s="97" t="str">
        <f aca="false">IF($BX143&lt;&gt;Constants!$B$6,"",IF($AF143,0,Constants!$B$15))</f>
        <v/>
      </c>
      <c r="CB143" s="97" t="str">
        <f aca="false">IF($BX143&lt;&gt;Constants!$B$6,"",((Constants!$B$25-$AZ143)-Constants!$B$25)/Constants!$B$26)</f>
        <v/>
      </c>
      <c r="CC143" s="97" t="str">
        <f aca="false">IF(ISBLANK($C143),"",IF($BX143&lt;&gt;Constants!$B$6,$BX143,SUM($BZ143:$CB143)))</f>
        <v/>
      </c>
      <c r="CD143" s="93" t="str">
        <f aca="false">IF(ISBLANK($C143),"",IF($BX143&lt;&gt;Constants!$B$6,$BX143,RANK($CC143,$CC$9:$CC$508,1)))</f>
        <v/>
      </c>
      <c r="CE143" s="97" t="str">
        <f aca="false">IF($BX143&lt;&gt;Constants!$B$6,"",IF($BL143="-&gt;",$BT143,$BI143))</f>
        <v/>
      </c>
      <c r="CF143" s="93" t="str">
        <f aca="false">IF(ISBLANK($C143),"",IF($BX143&lt;&gt;Constants!$B$6,$BX143,IF(ISNUMBER($CE143),RANK($CE143,$CE$9:$CE$508,1),COUNT($CE$9:$CE$508)+1)))</f>
        <v/>
      </c>
      <c r="CG143" s="97" t="str">
        <f aca="false">IF($BX143&lt;&gt;Constants!$B$6,"",IF($BL143="-&gt;",$BU143,$BJ143))</f>
        <v/>
      </c>
      <c r="CH143" s="93" t="str">
        <f aca="false">IF(ISBLANK($C143),"",IF($BX143&lt;&gt;Constants!$B$6,$BX143,IF(ISNUMBER($CG143),RANK($CG143,$CG$9:$CG$508,1),COUNT($CG$9:$CG$508)+1)))</f>
        <v/>
      </c>
      <c r="CI143" s="97" t="str">
        <f aca="false">IF($BX143&lt;&gt;Constants!$B$6,"",IF($BL143="-&gt;",$BV143,$BK143))</f>
        <v/>
      </c>
      <c r="CJ143" s="93" t="str">
        <f aca="false">IF(ISBLANK($C143),"",IF($BX143&lt;&gt;Constants!$B$6,$BX143,IF(ISNUMBER($CI143),RANK($CI143,$CI$9:$CI$508,1),COUNT($CI$9:$CI$508)+1)))</f>
        <v/>
      </c>
      <c r="CK143" s="97" t="str">
        <f aca="false">IF($BX143&lt;&gt;Constants!$B$6,"",$AI143)</f>
        <v/>
      </c>
      <c r="CL143" s="93" t="str">
        <f aca="false">IF(ISBLANK($C143),"",IF($BX143&lt;&gt;Constants!$B$6,$BX143,IF(ISNUMBER($CK143),RANK($CK143,$CK$9:$CK$508,1),COUNT($CK$9:$CK$508)+1)))</f>
        <v/>
      </c>
      <c r="CM143" s="93" t="str">
        <f aca="false">IF(ISBLANK($C143),"",IF($BX143&lt;&gt;Constants!$B$6,$BX143,COUNTIFS($CD$9:$CD$508,"&lt;"&amp;$CD143)+COUNTIFS($CD$9:$CD$508,$CD143,$CF$9:$CF$508,"&lt;"&amp;$CF143)+COUNTIFS($CD$9:$CD$508,$CD143,$CF$9:$CF$508,$CF143,$CH$9:$CH$508,"&lt;"&amp;$CH143)+COUNTIFS($CD$9:$CD$508,$CD143,$CF$9:$CF$508,$CF143,$CH$9:$CH$508,$CH143,$CJ$9:$CJ$508,"&lt;"&amp;$CJ143)+COUNTIFS($CD$9:$CD$508,$CD143,$CF$9:$CF$508,$CF143,$CH$9:$CH$508,$CH143,$CJ$9:$CJ$508,$CJ143,$CL$9:$CL$508,"&lt;"&amp;$CL143)+1))</f>
        <v/>
      </c>
      <c r="CN143" s="93" t="str">
        <f aca="false">IF(ISBLANK($C143),"",IF($BX143&lt;&gt;Constants!$B$6,$BX143,$CD143-$CM143))</f>
        <v/>
      </c>
      <c r="CO143" s="100"/>
      <c r="CP143" s="101"/>
      <c r="CQ143" s="102" t="str">
        <f aca="false">IF(ISBLANK($C143),"",IF($BX143=Constants!$B$10,$BW143,""))</f>
        <v/>
      </c>
      <c r="CR143" s="101" t="str">
        <f aca="false">IF(ISBLANK($C143),"",IF($BX143&lt;&gt;Constants!$B$6,"",IF($BL143="-&gt;",2,1)))</f>
        <v/>
      </c>
      <c r="CS143" s="103" t="str">
        <f aca="false">IF(ISBLANK($C143),"",IF($BX143&lt;&gt;Constants!$B$6,"",IF($BL143="-&gt;",$BN143,$BC143)))</f>
        <v/>
      </c>
      <c r="CT143" s="103" t="str">
        <f aca="false">IF(ISBLANK($C143),"",IF($BX143&lt;&gt;Constants!$B$6,"",IF($BL143="-&gt;",$BO143,$BD143)))</f>
        <v/>
      </c>
      <c r="CU143" s="103" t="str">
        <f aca="false">IF(ISBLANK($C143),"",IF($BX143&lt;&gt;Constants!$B$6,"",IF($BL143="-&gt;",$BP143+$BQ143,$BE143+$BF143)+$CB143))</f>
        <v/>
      </c>
      <c r="CV143" s="103" t="str">
        <f aca="false">IF(ISBLANK($C143),"",IF($BX143&lt;&gt;Constants!$B$6,"",IF($BL143="-&gt;",$BR143,$BG143)+$CA143))</f>
        <v/>
      </c>
      <c r="CW143" s="104" t="str">
        <f aca="false">IF(ISBLANK($C143),"",IF($BX143&lt;&gt;Constants!$B$6,$BX143,$CC143))</f>
        <v/>
      </c>
      <c r="CX143" s="105" t="str">
        <f aca="false">IF(ISBLANK($C143),"",$BY143)</f>
        <v/>
      </c>
      <c r="CY143" s="106" t="str">
        <f aca="false">IF(ISBLANK($C143),"",$CN143)</f>
        <v/>
      </c>
      <c r="CZ143" s="106" t="str">
        <f aca="false">IF(ISBLANK($C143),"",$CM143)</f>
        <v/>
      </c>
      <c r="DA143" s="107" t="str">
        <f aca="false">IF(ISBLANK($C143),"",IFERROR(_xlfn.SWITCH($CZ143,Constants!$B$9,COUNTA($C$9:$C$508)+2,Constants!$B$8,COUNTA($C$9:$C$508)+1,Constants!$B$7,COUNTA($C$9:$C$508)),$CZ143))</f>
        <v/>
      </c>
      <c r="DB143" s="9"/>
      <c r="DC143" s="108" t="n">
        <f aca="false">IF(OR(ISNUMBER($CZ143),$CZ143=Constants!$B$9,$CZ143=Constants!$B$7,$CZ143=Constants!$B$8),1,0)</f>
        <v>0</v>
      </c>
      <c r="DD143" s="108" t="n">
        <v>135</v>
      </c>
      <c r="DE143" s="108" t="str">
        <f aca="false">IF(ISBLANK($C143),"",IF(ISNUMBER($DA143),$DA143+ROW($B143)/1000,""))</f>
        <v/>
      </c>
      <c r="DF143" s="108" t="str">
        <f aca="false">IF(ISNUMBER($DE143),RANK($DE143,$DE$9:$DE$508,1),"")</f>
        <v/>
      </c>
      <c r="DG143" s="108" t="str">
        <f aca="false">IF(ISBLANK($C143),"",$B143)</f>
        <v/>
      </c>
      <c r="DH143" s="108" t="str">
        <f aca="false">IF(ISBLANK($C143),"",$C143)</f>
        <v/>
      </c>
      <c r="DI143" s="108" t="str">
        <f aca="false">IF(ISBLANK($C143),"",$D143)</f>
        <v/>
      </c>
      <c r="DJ143" s="109" t="str">
        <f aca="false">$CX143</f>
        <v/>
      </c>
      <c r="DK143" s="110" t="str">
        <f aca="false">$CW143</f>
        <v/>
      </c>
      <c r="DL143" s="108" t="str">
        <f aca="false">IF(ISBLANK($C143),"",$CZ143)</f>
        <v/>
      </c>
      <c r="DM143" s="111" t="str">
        <f aca="false">IF($DD143&gt;$DC$8,"",VLOOKUP($DD143,$DF$9:$DL$508,7,FALSE()))</f>
        <v/>
      </c>
      <c r="DN143" s="112" t="str">
        <f aca="false">IF($DD143&gt;$DC$8,"",VLOOKUP($DD143,$DF$9:$DL$508,2,FALSE()))</f>
        <v/>
      </c>
      <c r="DO143" s="112" t="str">
        <f aca="false">IF($DD143&gt;$DC$8,"",VLOOKUP($DD143,$DF$9:$DL$508,3,FALSE()))</f>
        <v/>
      </c>
      <c r="DP143" s="112" t="str">
        <f aca="false">IF($DD143&gt;$DC$8,"",VLOOKUP($DD143,$DF$9:$DL$508,4,FALSE()))</f>
        <v/>
      </c>
      <c r="DQ143" s="112" t="str">
        <f aca="false">IF($DD143&gt;$DC$8,"",VLOOKUP($DD143,$DF$9:$DL$508,5,FALSE()))</f>
        <v/>
      </c>
      <c r="DR143" s="113" t="str">
        <f aca="false">IF($DD143&gt;$DC$8,"",VLOOKUP($DD143,$DF$9:$DL$508,6,FALSE()))</f>
        <v/>
      </c>
      <c r="DS143" s="76"/>
    </row>
    <row r="144" customFormat="false" ht="15.75" hidden="false" customHeight="false" outlineLevel="0" collapsed="false">
      <c r="A144" s="9"/>
      <c r="B144" s="160"/>
      <c r="C144" s="161"/>
      <c r="D144" s="162"/>
      <c r="E144" s="180"/>
      <c r="F144" s="164"/>
      <c r="G144" s="165"/>
      <c r="H144" s="165"/>
      <c r="I144" s="181"/>
      <c r="J144" s="168"/>
      <c r="K144" s="128"/>
      <c r="L144" s="129"/>
      <c r="M144" s="130"/>
      <c r="N144" s="168"/>
      <c r="O144" s="168"/>
      <c r="P144" s="180"/>
      <c r="Q144" s="168"/>
      <c r="R144" s="168"/>
      <c r="S144" s="128"/>
      <c r="T144" s="130"/>
      <c r="U144" s="130"/>
      <c r="V144" s="168"/>
      <c r="W144" s="168"/>
      <c r="X144" s="180"/>
      <c r="Y144" s="168"/>
      <c r="Z144" s="169"/>
      <c r="AA144" s="168"/>
      <c r="AB144" s="134"/>
      <c r="AC144" s="135"/>
      <c r="AD144" s="135"/>
      <c r="AE144" s="135"/>
      <c r="AF144" s="135" t="str">
        <f aca="false">IF(ISBLANK($C144),"",IF(E144=Constants!$B$2,TRUE(),IF(E144=Constants!$B$3,FALSE(),TRUE())))</f>
        <v/>
      </c>
      <c r="AG144" s="135" t="str">
        <f aca="false">IF(ISBLANK($C144),"",IF(F144=Constants!$B$2,TRUE(),IF(F144=Constants!$B$3,FALSE(),TRUE())))</f>
        <v/>
      </c>
      <c r="AH144" s="135" t="str">
        <f aca="false">IF(ISBLANK($C144),"",IF(G144=Constants!$B$2,TRUE(),IF(G144=Constants!$B$3,FALSE(),TRUE())))</f>
        <v/>
      </c>
      <c r="AI144" s="135" t="str">
        <f aca="false">IF(ISBLANK($C144),"",IF(AND(ISNUMBER(H144),H144&gt;=0),H144,Constants!$B$24))</f>
        <v/>
      </c>
      <c r="AJ144" s="135" t="str">
        <f aca="false">IF(ISBLANK($C144),"",IF(I144=Constants!$B$2,TRUE(),IF(I144=Constants!$B$3,FALSE(),TRUE())))</f>
        <v/>
      </c>
      <c r="AK144" s="135" t="str">
        <f aca="false">IF(ISBLANK($C144),"",IF(J144=Constants!$B$2,TRUE(),IF(J144=Constants!$B$3,FALSE(),TRUE())))</f>
        <v/>
      </c>
      <c r="AL144" s="135" t="str">
        <f aca="false">IF(ISBLANK($C144),"",IF(K144=Constants!$B$4,TRUE(),IF(K144=Constants!$B$5,FALSE(),COUNTA(L144:P144)&gt;0)))</f>
        <v/>
      </c>
      <c r="AM144" s="136" t="str">
        <f aca="false">IF(ISBLANK($C144),"",IF(ISNUMBER(L144),IF(L144&gt;=0,L144,""),""))</f>
        <v/>
      </c>
      <c r="AN144" s="137" t="str">
        <f aca="false">IF(ISBLANK($C144),"",IF(ISNUMBER(M144),IF(M144&gt;=0,M144,""),""))</f>
        <v/>
      </c>
      <c r="AO144" s="137" t="str">
        <f aca="false">IF(ISBLANK($C144),"",IF(N144=Constants!$B$2,TRUE(),IF(N144=Constants!$B$3,FALSE(),TRUE())))</f>
        <v/>
      </c>
      <c r="AP144" s="135" t="str">
        <f aca="false">IF(ISBLANK($C144),"",IF(ISNUMBER(O144),IF(O144&gt;=0,O144,""),""))</f>
        <v/>
      </c>
      <c r="AQ144" s="135" t="str">
        <f aca="false">IF(ISBLANK($C144),"",IF(P144=Constants!$B$2,TRUE(),IF(P144=Constants!$B$3,FALSE(),FALSE())))</f>
        <v/>
      </c>
      <c r="AR144" s="135" t="str">
        <f aca="false">IF(ISBLANK($C144),"",IF(Q144=Constants!$B$2,TRUE(),IF(Q144=Constants!$B$3,FALSE(),TRUE())))</f>
        <v/>
      </c>
      <c r="AS144" s="135" t="str">
        <f aca="false">IF(ISBLANK($C144),"",IF(R144=Constants!$B$2,TRUE(),IF(R144=Constants!$B$3,FALSE(),TRUE())))</f>
        <v/>
      </c>
      <c r="AT144" s="135" t="str">
        <f aca="false">IF(ISBLANK($C144),"",IF(S144=Constants!$B$4,TRUE(),IF(S144=Constants!$B$5,FALSE(),COUNTA(T144:X144)&gt;0)))</f>
        <v/>
      </c>
      <c r="AU144" s="136" t="str">
        <f aca="false">IF(ISBLANK($C144),"",IF(ISNUMBER(T144),IF(T144&gt;=0,T144,""),""))</f>
        <v/>
      </c>
      <c r="AV144" s="137" t="str">
        <f aca="false">IF(ISBLANK($C144),"",IF(ISNUMBER(U144),IF(U144&gt;=0,U144,""),""))</f>
        <v/>
      </c>
      <c r="AW144" s="137" t="str">
        <f aca="false">IF(ISBLANK($C144),"",IF(V144=Constants!$B$2,TRUE(),IF(V144=Constants!$B$3,FALSE(),TRUE())))</f>
        <v/>
      </c>
      <c r="AX144" s="135" t="str">
        <f aca="false">IF(ISBLANK($C144),"",IF(ISNUMBER(W144),IF(W144&gt;=0,W144,""),""))</f>
        <v/>
      </c>
      <c r="AY144" s="135" t="str">
        <f aca="false">IF(ISBLANK($C144),"",IF(X144=Constants!$B$2,TRUE(),IF(X144=Constants!$B$3,FALSE(),FALSE())))</f>
        <v/>
      </c>
      <c r="AZ144" s="135" t="str">
        <f aca="false">IF(ISBLANK($C144),"",MIN(Constants!$B$25,MAX(0,IF(ISNUMBER(Y144),Y144*60,0)+IF(ISNUMBER(Z144),Z144,0))))</f>
        <v/>
      </c>
      <c r="BA144" s="135" t="str">
        <f aca="false">IF(ISBLANK($C144),"",IF(AA144=Constants!$B$2,TRUE(),IF(AA144=Constants!$B$3,FALSE(),FALSE())))</f>
        <v/>
      </c>
      <c r="BB144" s="134" t="str">
        <f aca="false">IF(ISBLANK($C144),"",AND($AL144,OR($AM144="",$AN144="",AND($AO144,$AP144=""))))</f>
        <v/>
      </c>
      <c r="BC144" s="137" t="str">
        <f aca="false">IF($BX144&lt;&gt;Constants!$B$6,"",IF($AL144,Constants!$B$17*$AN144+Constants!$B$18*IF($AO144,$AP144,Constants!$B$19),Constants!$B$20))</f>
        <v/>
      </c>
      <c r="BD144" s="138" t="str">
        <f aca="false">IF($BX144&lt;&gt;Constants!$B$6,"",Constants!$B$21*ABS($AD$9-IF($AL144,$AM144,0)))</f>
        <v/>
      </c>
      <c r="BE144" s="138" t="str">
        <f aca="false">IF($BX144&lt;&gt;Constants!$B$6,"",IF(AND($AL144,$AQ144,$AO144),Constants!$B$22,0))</f>
        <v/>
      </c>
      <c r="BF144" s="138" t="str">
        <f aca="false">IF($BX144&lt;&gt;Constants!$B$6,"",IF($AL144,($AI144-Constants!$B$24)*Constants!$B$23,0))</f>
        <v/>
      </c>
      <c r="BG144" s="138" t="str">
        <f aca="false">IF($BX144&lt;&gt;Constants!$B$6,"",IF($AK144,0,Constants!$B$12)+IF($AJ144,0,Constants!$B$13)+IF($AH144,0,Constants!$B$14))</f>
        <v/>
      </c>
      <c r="BH144" s="139" t="str">
        <f aca="false">IF($BX144&lt;&gt;Constants!$B$6,"",Constants!$B$16+SUM($BC144:$BG144))</f>
        <v/>
      </c>
      <c r="BI144" s="138" t="str">
        <f aca="false">IF($BX144&lt;&gt;Constants!$B$6,"",$BC144)</f>
        <v/>
      </c>
      <c r="BJ144" s="138" t="str">
        <f aca="false">IF($BX144&lt;&gt;Constants!$B$6,"",$BD144)</f>
        <v/>
      </c>
      <c r="BK144" s="140" t="str">
        <f aca="false">IF($BX144&lt;&gt;Constants!$B$6,"",IF($AL144,$AN144,""))</f>
        <v/>
      </c>
      <c r="BL144" s="135" t="str">
        <f aca="false">IF($BX144&lt;&gt;Constants!$B$6,"",IF(OR($BS144&lt;$BH144,AND($BS144=$BH144,OR($BT144&lt;$BI144,AND($BT144=$BI144,OR($BU144&lt;$BJ144,AND($BU144=$BJ144,AND(ISNUMBER($BV144),OR(NOT(ISNUMBER($BK144)),$BV144&lt;$BK144)))))))),"-&gt;","&lt;-"))</f>
        <v/>
      </c>
      <c r="BM144" s="134" t="str">
        <f aca="false">IF(ISBLANK($C144),"",AND($AT144,OR($AU144="",$AV144="",AND($AW144,$AX144=""))))</f>
        <v/>
      </c>
      <c r="BN144" s="137" t="str">
        <f aca="false">IF($BX144&lt;&gt;Constants!$B$6,"",IF($AT144,Constants!$B$17*$AV144+Constants!$B$18*IF($AW144,$AX144,Constants!$B$19),Constants!$B$20))</f>
        <v/>
      </c>
      <c r="BO144" s="138" t="str">
        <f aca="false">IF($BX144&lt;&gt;Constants!$B$6,"",Constants!$B$21*ABS($AD$9-IF($AT144,$AU144,0)))</f>
        <v/>
      </c>
      <c r="BP144" s="138" t="str">
        <f aca="false">IF($BX144&lt;&gt;Constants!$B$6,"",IF(AND($AT144,$AY144,$AW144),Constants!$B$22,0))</f>
        <v/>
      </c>
      <c r="BQ144" s="138" t="str">
        <f aca="false">IF($BX144&lt;&gt;Constants!$B$6,"",IF($AT144,($AI144-Constants!$B$24)*Constants!$B$23,0))</f>
        <v/>
      </c>
      <c r="BR144" s="138" t="str">
        <f aca="false">IF($BX144&lt;&gt;Constants!$B$6,"",IF($AS144,0,Constants!$B$12)+IF($AR144,0,Constants!$B$13)+IF($AH144,0,Constants!$B$14))</f>
        <v/>
      </c>
      <c r="BS144" s="139" t="str">
        <f aca="false">IF($BX144&lt;&gt;Constants!$B$6,"",Constants!$B$16+SUM($BN144:$BR144))</f>
        <v/>
      </c>
      <c r="BT144" s="138" t="str">
        <f aca="false">IF($BX144&lt;&gt;Constants!$B$6,"",$BN144)</f>
        <v/>
      </c>
      <c r="BU144" s="138" t="str">
        <f aca="false">IF($BX144&lt;&gt;Constants!$B$6,"",$BO144)</f>
        <v/>
      </c>
      <c r="BV144" s="140" t="str">
        <f aca="false">IF($BX144&lt;&gt;Constants!$B$6,"",IF($AT144,$AV144,""))</f>
        <v/>
      </c>
      <c r="BW144" s="135" t="str">
        <f aca="false">IF(ISBLANK($C144),"",IF(ISBLANK($D$7),$BW$5,IF(NOT(ISNUMBER($D$7)),$BW$6,"")))</f>
        <v/>
      </c>
      <c r="BX144" s="135" t="str">
        <f aca="false">IF(ISBLANK($C144),"",IF($BA144,Constants!$B$9,IF(COUNTA($E144:$AA144)=0,Constants!$B$8,IF(NOT($AG144),Constants!$B$7,IF(OR($BW144&lt;&gt;"",$BB144,$BM144),Constants!$B$10,Constants!$B$6)))))</f>
        <v/>
      </c>
      <c r="BY144" s="135" t="str">
        <f aca="false">IF(ISBLANK($C144),"",IF($BX144&lt;&gt;Constants!$B$6,$BX144,Constants!$B$11))</f>
        <v/>
      </c>
      <c r="BZ144" s="138" t="str">
        <f aca="false">IF($BX144&lt;&gt;Constants!$B$6,"",IF($BL144="-&gt;",$BS144,$BH144))</f>
        <v/>
      </c>
      <c r="CA144" s="138" t="str">
        <f aca="false">IF($BX144&lt;&gt;Constants!$B$6,"",IF($AF144,0,Constants!$B$15))</f>
        <v/>
      </c>
      <c r="CB144" s="138" t="str">
        <f aca="false">IF($BX144&lt;&gt;Constants!$B$6,"",((Constants!$B$25-$AZ144)-Constants!$B$25)/Constants!$B$26)</f>
        <v/>
      </c>
      <c r="CC144" s="138" t="str">
        <f aca="false">IF(ISBLANK($C144),"",IF($BX144&lt;&gt;Constants!$B$6,$BX144,SUM($BZ144:$CB144)))</f>
        <v/>
      </c>
      <c r="CD144" s="135" t="str">
        <f aca="false">IF(ISBLANK($C144),"",IF($BX144&lt;&gt;Constants!$B$6,$BX144,RANK($CC144,$CC$9:$CC$508,1)))</f>
        <v/>
      </c>
      <c r="CE144" s="138" t="str">
        <f aca="false">IF($BX144&lt;&gt;Constants!$B$6,"",IF($BL144="-&gt;",$BT144,$BI144))</f>
        <v/>
      </c>
      <c r="CF144" s="135" t="str">
        <f aca="false">IF(ISBLANK($C144),"",IF($BX144&lt;&gt;Constants!$B$6,$BX144,IF(ISNUMBER($CE144),RANK($CE144,$CE$9:$CE$508,1),COUNT($CE$9:$CE$508)+1)))</f>
        <v/>
      </c>
      <c r="CG144" s="138" t="str">
        <f aca="false">IF($BX144&lt;&gt;Constants!$B$6,"",IF($BL144="-&gt;",$BU144,$BJ144))</f>
        <v/>
      </c>
      <c r="CH144" s="135" t="str">
        <f aca="false">IF(ISBLANK($C144),"",IF($BX144&lt;&gt;Constants!$B$6,$BX144,IF(ISNUMBER($CG144),RANK($CG144,$CG$9:$CG$508,1),COUNT($CG$9:$CG$508)+1)))</f>
        <v/>
      </c>
      <c r="CI144" s="138" t="str">
        <f aca="false">IF($BX144&lt;&gt;Constants!$B$6,"",IF($BL144="-&gt;",$BV144,$BK144))</f>
        <v/>
      </c>
      <c r="CJ144" s="135" t="str">
        <f aca="false">IF(ISBLANK($C144),"",IF($BX144&lt;&gt;Constants!$B$6,$BX144,IF(ISNUMBER($CI144),RANK($CI144,$CI$9:$CI$508,1),COUNT($CI$9:$CI$508)+1)))</f>
        <v/>
      </c>
      <c r="CK144" s="138" t="str">
        <f aca="false">IF($BX144&lt;&gt;Constants!$B$6,"",$AI144)</f>
        <v/>
      </c>
      <c r="CL144" s="135" t="str">
        <f aca="false">IF(ISBLANK($C144),"",IF($BX144&lt;&gt;Constants!$B$6,$BX144,IF(ISNUMBER($CK144),RANK($CK144,$CK$9:$CK$508,1),COUNT($CK$9:$CK$508)+1)))</f>
        <v/>
      </c>
      <c r="CM144" s="135" t="str">
        <f aca="false">IF(ISBLANK($C144),"",IF($BX144&lt;&gt;Constants!$B$6,$BX144,COUNTIFS($CD$9:$CD$508,"&lt;"&amp;$CD144)+COUNTIFS($CD$9:$CD$508,$CD144,$CF$9:$CF$508,"&lt;"&amp;$CF144)+COUNTIFS($CD$9:$CD$508,$CD144,$CF$9:$CF$508,$CF144,$CH$9:$CH$508,"&lt;"&amp;$CH144)+COUNTIFS($CD$9:$CD$508,$CD144,$CF$9:$CF$508,$CF144,$CH$9:$CH$508,$CH144,$CJ$9:$CJ$508,"&lt;"&amp;$CJ144)+COUNTIFS($CD$9:$CD$508,$CD144,$CF$9:$CF$508,$CF144,$CH$9:$CH$508,$CH144,$CJ$9:$CJ$508,$CJ144,$CL$9:$CL$508,"&lt;"&amp;$CL144)+1))</f>
        <v/>
      </c>
      <c r="CN144" s="135" t="str">
        <f aca="false">IF(ISBLANK($C144),"",IF($BX144&lt;&gt;Constants!$B$6,$BX144,$CD144-$CM144))</f>
        <v/>
      </c>
      <c r="CO144" s="141"/>
      <c r="CP144" s="142"/>
      <c r="CQ144" s="143" t="str">
        <f aca="false">IF(ISBLANK($C144),"",IF($BX144=Constants!$B$10,$BW144,""))</f>
        <v/>
      </c>
      <c r="CR144" s="142" t="str">
        <f aca="false">IF(ISBLANK($C144),"",IF($BX144&lt;&gt;Constants!$B$6,"",IF($BL144="-&gt;",2,1)))</f>
        <v/>
      </c>
      <c r="CS144" s="144" t="str">
        <f aca="false">IF(ISBLANK($C144),"",IF($BX144&lt;&gt;Constants!$B$6,"",IF($BL144="-&gt;",$BN144,$BC144)))</f>
        <v/>
      </c>
      <c r="CT144" s="144" t="str">
        <f aca="false">IF(ISBLANK($C144),"",IF($BX144&lt;&gt;Constants!$B$6,"",IF($BL144="-&gt;",$BO144,$BD144)))</f>
        <v/>
      </c>
      <c r="CU144" s="144" t="str">
        <f aca="false">IF(ISBLANK($C144),"",IF($BX144&lt;&gt;Constants!$B$6,"",IF($BL144="-&gt;",$BP144+$BQ144,$BE144+$BF144)+$CB144))</f>
        <v/>
      </c>
      <c r="CV144" s="144" t="str">
        <f aca="false">IF(ISBLANK($C144),"",IF($BX144&lt;&gt;Constants!$B$6,"",IF($BL144="-&gt;",$BR144,$BG144)+$CA144))</f>
        <v/>
      </c>
      <c r="CW144" s="145" t="str">
        <f aca="false">IF(ISBLANK($C144),"",IF($BX144&lt;&gt;Constants!$B$6,$BX144,$CC144))</f>
        <v/>
      </c>
      <c r="CX144" s="146" t="str">
        <f aca="false">IF(ISBLANK($C144),"",$BY144)</f>
        <v/>
      </c>
      <c r="CY144" s="147" t="str">
        <f aca="false">IF(ISBLANK($C144),"",$CN144)</f>
        <v/>
      </c>
      <c r="CZ144" s="147" t="str">
        <f aca="false">IF(ISBLANK($C144),"",$CM144)</f>
        <v/>
      </c>
      <c r="DA144" s="148" t="str">
        <f aca="false">IF(ISBLANK($C144),"",IFERROR(_xlfn.SWITCH($CZ144,Constants!$B$9,COUNTA($C$9:$C$508)+2,Constants!$B$8,COUNTA($C$9:$C$508)+1,Constants!$B$7,COUNTA($C$9:$C$508)),$CZ144))</f>
        <v/>
      </c>
      <c r="DB144" s="9"/>
      <c r="DC144" s="149" t="n">
        <f aca="false">IF(OR(ISNUMBER($CZ144),$CZ144=Constants!$B$9,$CZ144=Constants!$B$7,$CZ144=Constants!$B$8),1,0)</f>
        <v>0</v>
      </c>
      <c r="DD144" s="149" t="n">
        <v>136</v>
      </c>
      <c r="DE144" s="149" t="str">
        <f aca="false">IF(ISBLANK($C144),"",IF(ISNUMBER($DA144),$DA144+ROW($B144)/1000,""))</f>
        <v/>
      </c>
      <c r="DF144" s="149" t="str">
        <f aca="false">IF(ISNUMBER($DE144),RANK($DE144,$DE$9:$DE$508,1),"")</f>
        <v/>
      </c>
      <c r="DG144" s="149" t="str">
        <f aca="false">IF(ISBLANK($C144),"",$B144)</f>
        <v/>
      </c>
      <c r="DH144" s="149" t="str">
        <f aca="false">IF(ISBLANK($C144),"",$C144)</f>
        <v/>
      </c>
      <c r="DI144" s="149" t="str">
        <f aca="false">IF(ISBLANK($C144),"",$D144)</f>
        <v/>
      </c>
      <c r="DJ144" s="150" t="str">
        <f aca="false">$CX144</f>
        <v/>
      </c>
      <c r="DK144" s="151" t="str">
        <f aca="false">$CW144</f>
        <v/>
      </c>
      <c r="DL144" s="149" t="str">
        <f aca="false">IF(ISBLANK($C144),"",$CZ144)</f>
        <v/>
      </c>
      <c r="DM144" s="152" t="str">
        <f aca="false">IF($DD144&gt;$DC$8,"",VLOOKUP($DD144,$DF$9:$DL$508,7,FALSE()))</f>
        <v/>
      </c>
      <c r="DN144" s="153" t="str">
        <f aca="false">IF($DD144&gt;$DC$8,"",VLOOKUP($DD144,$DF$9:$DL$508,2,FALSE()))</f>
        <v/>
      </c>
      <c r="DO144" s="153" t="str">
        <f aca="false">IF($DD144&gt;$DC$8,"",VLOOKUP($DD144,$DF$9:$DL$508,3,FALSE()))</f>
        <v/>
      </c>
      <c r="DP144" s="153" t="str">
        <f aca="false">IF($DD144&gt;$DC$8,"",VLOOKUP($DD144,$DF$9:$DL$508,4,FALSE()))</f>
        <v/>
      </c>
      <c r="DQ144" s="153" t="str">
        <f aca="false">IF($DD144&gt;$DC$8,"",VLOOKUP($DD144,$DF$9:$DL$508,5,FALSE()))</f>
        <v/>
      </c>
      <c r="DR144" s="154" t="str">
        <f aca="false">IF($DD144&gt;$DC$8,"",VLOOKUP($DD144,$DF$9:$DL$508,6,FALSE()))</f>
        <v/>
      </c>
      <c r="DS144" s="76"/>
    </row>
    <row r="145" customFormat="false" ht="15.75" hidden="false" customHeight="false" outlineLevel="0" collapsed="false">
      <c r="A145" s="9"/>
      <c r="B145" s="160"/>
      <c r="C145" s="161"/>
      <c r="D145" s="162"/>
      <c r="E145" s="180"/>
      <c r="F145" s="164"/>
      <c r="G145" s="165"/>
      <c r="H145" s="165"/>
      <c r="I145" s="181"/>
      <c r="J145" s="168"/>
      <c r="K145" s="128"/>
      <c r="L145" s="129"/>
      <c r="M145" s="130"/>
      <c r="N145" s="168"/>
      <c r="O145" s="168"/>
      <c r="P145" s="180"/>
      <c r="Q145" s="168"/>
      <c r="R145" s="168"/>
      <c r="S145" s="128"/>
      <c r="T145" s="130"/>
      <c r="U145" s="130"/>
      <c r="V145" s="168"/>
      <c r="W145" s="168"/>
      <c r="X145" s="180"/>
      <c r="Y145" s="168"/>
      <c r="Z145" s="169"/>
      <c r="AA145" s="168"/>
      <c r="AB145" s="134"/>
      <c r="AC145" s="135"/>
      <c r="AD145" s="135"/>
      <c r="AE145" s="135"/>
      <c r="AF145" s="135" t="str">
        <f aca="false">IF(ISBLANK($C145),"",IF(E145=Constants!$B$2,TRUE(),IF(E145=Constants!$B$3,FALSE(),TRUE())))</f>
        <v/>
      </c>
      <c r="AG145" s="135" t="str">
        <f aca="false">IF(ISBLANK($C145),"",IF(F145=Constants!$B$2,TRUE(),IF(F145=Constants!$B$3,FALSE(),TRUE())))</f>
        <v/>
      </c>
      <c r="AH145" s="135" t="str">
        <f aca="false">IF(ISBLANK($C145),"",IF(G145=Constants!$B$2,TRUE(),IF(G145=Constants!$B$3,FALSE(),TRUE())))</f>
        <v/>
      </c>
      <c r="AI145" s="135" t="str">
        <f aca="false">IF(ISBLANK($C145),"",IF(AND(ISNUMBER(H145),H145&gt;=0),H145,Constants!$B$24))</f>
        <v/>
      </c>
      <c r="AJ145" s="135" t="str">
        <f aca="false">IF(ISBLANK($C145),"",IF(I145=Constants!$B$2,TRUE(),IF(I145=Constants!$B$3,FALSE(),TRUE())))</f>
        <v/>
      </c>
      <c r="AK145" s="135" t="str">
        <f aca="false">IF(ISBLANK($C145),"",IF(J145=Constants!$B$2,TRUE(),IF(J145=Constants!$B$3,FALSE(),TRUE())))</f>
        <v/>
      </c>
      <c r="AL145" s="135" t="str">
        <f aca="false">IF(ISBLANK($C145),"",IF(K145=Constants!$B$4,TRUE(),IF(K145=Constants!$B$5,FALSE(),COUNTA(L145:P145)&gt;0)))</f>
        <v/>
      </c>
      <c r="AM145" s="136" t="str">
        <f aca="false">IF(ISBLANK($C145),"",IF(ISNUMBER(L145),IF(L145&gt;=0,L145,""),""))</f>
        <v/>
      </c>
      <c r="AN145" s="137" t="str">
        <f aca="false">IF(ISBLANK($C145),"",IF(ISNUMBER(M145),IF(M145&gt;=0,M145,""),""))</f>
        <v/>
      </c>
      <c r="AO145" s="137" t="str">
        <f aca="false">IF(ISBLANK($C145),"",IF(N145=Constants!$B$2,TRUE(),IF(N145=Constants!$B$3,FALSE(),TRUE())))</f>
        <v/>
      </c>
      <c r="AP145" s="135" t="str">
        <f aca="false">IF(ISBLANK($C145),"",IF(ISNUMBER(O145),IF(O145&gt;=0,O145,""),""))</f>
        <v/>
      </c>
      <c r="AQ145" s="135" t="str">
        <f aca="false">IF(ISBLANK($C145),"",IF(P145=Constants!$B$2,TRUE(),IF(P145=Constants!$B$3,FALSE(),FALSE())))</f>
        <v/>
      </c>
      <c r="AR145" s="135" t="str">
        <f aca="false">IF(ISBLANK($C145),"",IF(Q145=Constants!$B$2,TRUE(),IF(Q145=Constants!$B$3,FALSE(),TRUE())))</f>
        <v/>
      </c>
      <c r="AS145" s="135" t="str">
        <f aca="false">IF(ISBLANK($C145),"",IF(R145=Constants!$B$2,TRUE(),IF(R145=Constants!$B$3,FALSE(),TRUE())))</f>
        <v/>
      </c>
      <c r="AT145" s="135" t="str">
        <f aca="false">IF(ISBLANK($C145),"",IF(S145=Constants!$B$4,TRUE(),IF(S145=Constants!$B$5,FALSE(),COUNTA(T145:X145)&gt;0)))</f>
        <v/>
      </c>
      <c r="AU145" s="136" t="str">
        <f aca="false">IF(ISBLANK($C145),"",IF(ISNUMBER(T145),IF(T145&gt;=0,T145,""),""))</f>
        <v/>
      </c>
      <c r="AV145" s="137" t="str">
        <f aca="false">IF(ISBLANK($C145),"",IF(ISNUMBER(U145),IF(U145&gt;=0,U145,""),""))</f>
        <v/>
      </c>
      <c r="AW145" s="137" t="str">
        <f aca="false">IF(ISBLANK($C145),"",IF(V145=Constants!$B$2,TRUE(),IF(V145=Constants!$B$3,FALSE(),TRUE())))</f>
        <v/>
      </c>
      <c r="AX145" s="135" t="str">
        <f aca="false">IF(ISBLANK($C145),"",IF(ISNUMBER(W145),IF(W145&gt;=0,W145,""),""))</f>
        <v/>
      </c>
      <c r="AY145" s="135" t="str">
        <f aca="false">IF(ISBLANK($C145),"",IF(X145=Constants!$B$2,TRUE(),IF(X145=Constants!$B$3,FALSE(),FALSE())))</f>
        <v/>
      </c>
      <c r="AZ145" s="135" t="str">
        <f aca="false">IF(ISBLANK($C145),"",MIN(Constants!$B$25,MAX(0,IF(ISNUMBER(Y145),Y145*60,0)+IF(ISNUMBER(Z145),Z145,0))))</f>
        <v/>
      </c>
      <c r="BA145" s="135" t="str">
        <f aca="false">IF(ISBLANK($C145),"",IF(AA145=Constants!$B$2,TRUE(),IF(AA145=Constants!$B$3,FALSE(),FALSE())))</f>
        <v/>
      </c>
      <c r="BB145" s="134" t="str">
        <f aca="false">IF(ISBLANK($C145),"",AND($AL145,OR($AM145="",$AN145="",AND($AO145,$AP145=""))))</f>
        <v/>
      </c>
      <c r="BC145" s="137" t="str">
        <f aca="false">IF($BX145&lt;&gt;Constants!$B$6,"",IF($AL145,Constants!$B$17*$AN145+Constants!$B$18*IF($AO145,$AP145,Constants!$B$19),Constants!$B$20))</f>
        <v/>
      </c>
      <c r="BD145" s="138" t="str">
        <f aca="false">IF($BX145&lt;&gt;Constants!$B$6,"",Constants!$B$21*ABS($AD$9-IF($AL145,$AM145,0)))</f>
        <v/>
      </c>
      <c r="BE145" s="138" t="str">
        <f aca="false">IF($BX145&lt;&gt;Constants!$B$6,"",IF(AND($AL145,$AQ145,$AO145),Constants!$B$22,0))</f>
        <v/>
      </c>
      <c r="BF145" s="138" t="str">
        <f aca="false">IF($BX145&lt;&gt;Constants!$B$6,"",IF($AL145,($AI145-Constants!$B$24)*Constants!$B$23,0))</f>
        <v/>
      </c>
      <c r="BG145" s="138" t="str">
        <f aca="false">IF($BX145&lt;&gt;Constants!$B$6,"",IF($AK145,0,Constants!$B$12)+IF($AJ145,0,Constants!$B$13)+IF($AH145,0,Constants!$B$14))</f>
        <v/>
      </c>
      <c r="BH145" s="139" t="str">
        <f aca="false">IF($BX145&lt;&gt;Constants!$B$6,"",Constants!$B$16+SUM($BC145:$BG145))</f>
        <v/>
      </c>
      <c r="BI145" s="138" t="str">
        <f aca="false">IF($BX145&lt;&gt;Constants!$B$6,"",$BC145)</f>
        <v/>
      </c>
      <c r="BJ145" s="138" t="str">
        <f aca="false">IF($BX145&lt;&gt;Constants!$B$6,"",$BD145)</f>
        <v/>
      </c>
      <c r="BK145" s="140" t="str">
        <f aca="false">IF($BX145&lt;&gt;Constants!$B$6,"",IF($AL145,$AN145,""))</f>
        <v/>
      </c>
      <c r="BL145" s="135" t="str">
        <f aca="false">IF($BX145&lt;&gt;Constants!$B$6,"",IF(OR($BS145&lt;$BH145,AND($BS145=$BH145,OR($BT145&lt;$BI145,AND($BT145=$BI145,OR($BU145&lt;$BJ145,AND($BU145=$BJ145,AND(ISNUMBER($BV145),OR(NOT(ISNUMBER($BK145)),$BV145&lt;$BK145)))))))),"-&gt;","&lt;-"))</f>
        <v/>
      </c>
      <c r="BM145" s="134" t="str">
        <f aca="false">IF(ISBLANK($C145),"",AND($AT145,OR($AU145="",$AV145="",AND($AW145,$AX145=""))))</f>
        <v/>
      </c>
      <c r="BN145" s="137" t="str">
        <f aca="false">IF($BX145&lt;&gt;Constants!$B$6,"",IF($AT145,Constants!$B$17*$AV145+Constants!$B$18*IF($AW145,$AX145,Constants!$B$19),Constants!$B$20))</f>
        <v/>
      </c>
      <c r="BO145" s="138" t="str">
        <f aca="false">IF($BX145&lt;&gt;Constants!$B$6,"",Constants!$B$21*ABS($AD$9-IF($AT145,$AU145,0)))</f>
        <v/>
      </c>
      <c r="BP145" s="138" t="str">
        <f aca="false">IF($BX145&lt;&gt;Constants!$B$6,"",IF(AND($AT145,$AY145,$AW145),Constants!$B$22,0))</f>
        <v/>
      </c>
      <c r="BQ145" s="138" t="str">
        <f aca="false">IF($BX145&lt;&gt;Constants!$B$6,"",IF($AT145,($AI145-Constants!$B$24)*Constants!$B$23,0))</f>
        <v/>
      </c>
      <c r="BR145" s="138" t="str">
        <f aca="false">IF($BX145&lt;&gt;Constants!$B$6,"",IF($AS145,0,Constants!$B$12)+IF($AR145,0,Constants!$B$13)+IF($AH145,0,Constants!$B$14))</f>
        <v/>
      </c>
      <c r="BS145" s="139" t="str">
        <f aca="false">IF($BX145&lt;&gt;Constants!$B$6,"",Constants!$B$16+SUM($BN145:$BR145))</f>
        <v/>
      </c>
      <c r="BT145" s="138" t="str">
        <f aca="false">IF($BX145&lt;&gt;Constants!$B$6,"",$BN145)</f>
        <v/>
      </c>
      <c r="BU145" s="138" t="str">
        <f aca="false">IF($BX145&lt;&gt;Constants!$B$6,"",$BO145)</f>
        <v/>
      </c>
      <c r="BV145" s="140" t="str">
        <f aca="false">IF($BX145&lt;&gt;Constants!$B$6,"",IF($AT145,$AV145,""))</f>
        <v/>
      </c>
      <c r="BW145" s="135" t="str">
        <f aca="false">IF(ISBLANK($C145),"",IF(ISBLANK($D$7),$BW$5,IF(NOT(ISNUMBER($D$7)),$BW$6,"")))</f>
        <v/>
      </c>
      <c r="BX145" s="135" t="str">
        <f aca="false">IF(ISBLANK($C145),"",IF($BA145,Constants!$B$9,IF(COUNTA($E145:$AA145)=0,Constants!$B$8,IF(NOT($AG145),Constants!$B$7,IF(OR($BW145&lt;&gt;"",$BB145,$BM145),Constants!$B$10,Constants!$B$6)))))</f>
        <v/>
      </c>
      <c r="BY145" s="135" t="str">
        <f aca="false">IF(ISBLANK($C145),"",IF($BX145&lt;&gt;Constants!$B$6,$BX145,Constants!$B$11))</f>
        <v/>
      </c>
      <c r="BZ145" s="138" t="str">
        <f aca="false">IF($BX145&lt;&gt;Constants!$B$6,"",IF($BL145="-&gt;",$BS145,$BH145))</f>
        <v/>
      </c>
      <c r="CA145" s="138" t="str">
        <f aca="false">IF($BX145&lt;&gt;Constants!$B$6,"",IF($AF145,0,Constants!$B$15))</f>
        <v/>
      </c>
      <c r="CB145" s="138" t="str">
        <f aca="false">IF($BX145&lt;&gt;Constants!$B$6,"",((Constants!$B$25-$AZ145)-Constants!$B$25)/Constants!$B$26)</f>
        <v/>
      </c>
      <c r="CC145" s="138" t="str">
        <f aca="false">IF(ISBLANK($C145),"",IF($BX145&lt;&gt;Constants!$B$6,$BX145,SUM($BZ145:$CB145)))</f>
        <v/>
      </c>
      <c r="CD145" s="135" t="str">
        <f aca="false">IF(ISBLANK($C145),"",IF($BX145&lt;&gt;Constants!$B$6,$BX145,RANK($CC145,$CC$9:$CC$508,1)))</f>
        <v/>
      </c>
      <c r="CE145" s="138" t="str">
        <f aca="false">IF($BX145&lt;&gt;Constants!$B$6,"",IF($BL145="-&gt;",$BT145,$BI145))</f>
        <v/>
      </c>
      <c r="CF145" s="135" t="str">
        <f aca="false">IF(ISBLANK($C145),"",IF($BX145&lt;&gt;Constants!$B$6,$BX145,IF(ISNUMBER($CE145),RANK($CE145,$CE$9:$CE$508,1),COUNT($CE$9:$CE$508)+1)))</f>
        <v/>
      </c>
      <c r="CG145" s="138" t="str">
        <f aca="false">IF($BX145&lt;&gt;Constants!$B$6,"",IF($BL145="-&gt;",$BU145,$BJ145))</f>
        <v/>
      </c>
      <c r="CH145" s="135" t="str">
        <f aca="false">IF(ISBLANK($C145),"",IF($BX145&lt;&gt;Constants!$B$6,$BX145,IF(ISNUMBER($CG145),RANK($CG145,$CG$9:$CG$508,1),COUNT($CG$9:$CG$508)+1)))</f>
        <v/>
      </c>
      <c r="CI145" s="138" t="str">
        <f aca="false">IF($BX145&lt;&gt;Constants!$B$6,"",IF($BL145="-&gt;",$BV145,$BK145))</f>
        <v/>
      </c>
      <c r="CJ145" s="135" t="str">
        <f aca="false">IF(ISBLANK($C145),"",IF($BX145&lt;&gt;Constants!$B$6,$BX145,IF(ISNUMBER($CI145),RANK($CI145,$CI$9:$CI$508,1),COUNT($CI$9:$CI$508)+1)))</f>
        <v/>
      </c>
      <c r="CK145" s="138" t="str">
        <f aca="false">IF($BX145&lt;&gt;Constants!$B$6,"",$AI145)</f>
        <v/>
      </c>
      <c r="CL145" s="135" t="str">
        <f aca="false">IF(ISBLANK($C145),"",IF($BX145&lt;&gt;Constants!$B$6,$BX145,IF(ISNUMBER($CK145),RANK($CK145,$CK$9:$CK$508,1),COUNT($CK$9:$CK$508)+1)))</f>
        <v/>
      </c>
      <c r="CM145" s="135" t="str">
        <f aca="false">IF(ISBLANK($C145),"",IF($BX145&lt;&gt;Constants!$B$6,$BX145,COUNTIFS($CD$9:$CD$508,"&lt;"&amp;$CD145)+COUNTIFS($CD$9:$CD$508,$CD145,$CF$9:$CF$508,"&lt;"&amp;$CF145)+COUNTIFS($CD$9:$CD$508,$CD145,$CF$9:$CF$508,$CF145,$CH$9:$CH$508,"&lt;"&amp;$CH145)+COUNTIFS($CD$9:$CD$508,$CD145,$CF$9:$CF$508,$CF145,$CH$9:$CH$508,$CH145,$CJ$9:$CJ$508,"&lt;"&amp;$CJ145)+COUNTIFS($CD$9:$CD$508,$CD145,$CF$9:$CF$508,$CF145,$CH$9:$CH$508,$CH145,$CJ$9:$CJ$508,$CJ145,$CL$9:$CL$508,"&lt;"&amp;$CL145)+1))</f>
        <v/>
      </c>
      <c r="CN145" s="135" t="str">
        <f aca="false">IF(ISBLANK($C145),"",IF($BX145&lt;&gt;Constants!$B$6,$BX145,$CD145-$CM145))</f>
        <v/>
      </c>
      <c r="CO145" s="141"/>
      <c r="CP145" s="142"/>
      <c r="CQ145" s="143" t="str">
        <f aca="false">IF(ISBLANK($C145),"",IF($BX145=Constants!$B$10,$BW145,""))</f>
        <v/>
      </c>
      <c r="CR145" s="142" t="str">
        <f aca="false">IF(ISBLANK($C145),"",IF($BX145&lt;&gt;Constants!$B$6,"",IF($BL145="-&gt;",2,1)))</f>
        <v/>
      </c>
      <c r="CS145" s="144" t="str">
        <f aca="false">IF(ISBLANK($C145),"",IF($BX145&lt;&gt;Constants!$B$6,"",IF($BL145="-&gt;",$BN145,$BC145)))</f>
        <v/>
      </c>
      <c r="CT145" s="144" t="str">
        <f aca="false">IF(ISBLANK($C145),"",IF($BX145&lt;&gt;Constants!$B$6,"",IF($BL145="-&gt;",$BO145,$BD145)))</f>
        <v/>
      </c>
      <c r="CU145" s="144" t="str">
        <f aca="false">IF(ISBLANK($C145),"",IF($BX145&lt;&gt;Constants!$B$6,"",IF($BL145="-&gt;",$BP145+$BQ145,$BE145+$BF145)+$CB145))</f>
        <v/>
      </c>
      <c r="CV145" s="144" t="str">
        <f aca="false">IF(ISBLANK($C145),"",IF($BX145&lt;&gt;Constants!$B$6,"",IF($BL145="-&gt;",$BR145,$BG145)+$CA145))</f>
        <v/>
      </c>
      <c r="CW145" s="145" t="str">
        <f aca="false">IF(ISBLANK($C145),"",IF($BX145&lt;&gt;Constants!$B$6,$BX145,$CC145))</f>
        <v/>
      </c>
      <c r="CX145" s="146" t="str">
        <f aca="false">IF(ISBLANK($C145),"",$BY145)</f>
        <v/>
      </c>
      <c r="CY145" s="147" t="str">
        <f aca="false">IF(ISBLANK($C145),"",$CN145)</f>
        <v/>
      </c>
      <c r="CZ145" s="147" t="str">
        <f aca="false">IF(ISBLANK($C145),"",$CM145)</f>
        <v/>
      </c>
      <c r="DA145" s="148" t="str">
        <f aca="false">IF(ISBLANK($C145),"",IFERROR(_xlfn.SWITCH($CZ145,Constants!$B$9,COUNTA($C$9:$C$508)+2,Constants!$B$8,COUNTA($C$9:$C$508)+1,Constants!$B$7,COUNTA($C$9:$C$508)),$CZ145))</f>
        <v/>
      </c>
      <c r="DB145" s="9"/>
      <c r="DC145" s="149" t="n">
        <f aca="false">IF(OR(ISNUMBER($CZ145),$CZ145=Constants!$B$9,$CZ145=Constants!$B$7,$CZ145=Constants!$B$8),1,0)</f>
        <v>0</v>
      </c>
      <c r="DD145" s="149" t="n">
        <v>137</v>
      </c>
      <c r="DE145" s="149" t="str">
        <f aca="false">IF(ISBLANK($C145),"",IF(ISNUMBER($DA145),$DA145+ROW($B145)/1000,""))</f>
        <v/>
      </c>
      <c r="DF145" s="149" t="str">
        <f aca="false">IF(ISNUMBER($DE145),RANK($DE145,$DE$9:$DE$508,1),"")</f>
        <v/>
      </c>
      <c r="DG145" s="149" t="str">
        <f aca="false">IF(ISBLANK($C145),"",$B145)</f>
        <v/>
      </c>
      <c r="DH145" s="149" t="str">
        <f aca="false">IF(ISBLANK($C145),"",$C145)</f>
        <v/>
      </c>
      <c r="DI145" s="149" t="str">
        <f aca="false">IF(ISBLANK($C145),"",$D145)</f>
        <v/>
      </c>
      <c r="DJ145" s="150" t="str">
        <f aca="false">$CX145</f>
        <v/>
      </c>
      <c r="DK145" s="151" t="str">
        <f aca="false">$CW145</f>
        <v/>
      </c>
      <c r="DL145" s="149" t="str">
        <f aca="false">IF(ISBLANK($C145),"",$CZ145)</f>
        <v/>
      </c>
      <c r="DM145" s="152" t="str">
        <f aca="false">IF($DD145&gt;$DC$8,"",VLOOKUP($DD145,$DF$9:$DL$508,7,FALSE()))</f>
        <v/>
      </c>
      <c r="DN145" s="153" t="str">
        <f aca="false">IF($DD145&gt;$DC$8,"",VLOOKUP($DD145,$DF$9:$DL$508,2,FALSE()))</f>
        <v/>
      </c>
      <c r="DO145" s="153" t="str">
        <f aca="false">IF($DD145&gt;$DC$8,"",VLOOKUP($DD145,$DF$9:$DL$508,3,FALSE()))</f>
        <v/>
      </c>
      <c r="DP145" s="153" t="str">
        <f aca="false">IF($DD145&gt;$DC$8,"",VLOOKUP($DD145,$DF$9:$DL$508,4,FALSE()))</f>
        <v/>
      </c>
      <c r="DQ145" s="153" t="str">
        <f aca="false">IF($DD145&gt;$DC$8,"",VLOOKUP($DD145,$DF$9:$DL$508,5,FALSE()))</f>
        <v/>
      </c>
      <c r="DR145" s="154" t="str">
        <f aca="false">IF($DD145&gt;$DC$8,"",VLOOKUP($DD145,$DF$9:$DL$508,6,FALSE()))</f>
        <v/>
      </c>
      <c r="DS145" s="76"/>
    </row>
    <row r="146" customFormat="false" ht="15.75" hidden="false" customHeight="false" outlineLevel="0" collapsed="false">
      <c r="A146" s="9"/>
      <c r="B146" s="160"/>
      <c r="C146" s="161"/>
      <c r="D146" s="162"/>
      <c r="E146" s="180"/>
      <c r="F146" s="164"/>
      <c r="G146" s="165"/>
      <c r="H146" s="165"/>
      <c r="I146" s="181"/>
      <c r="J146" s="168"/>
      <c r="K146" s="128"/>
      <c r="L146" s="129"/>
      <c r="M146" s="130"/>
      <c r="N146" s="168"/>
      <c r="O146" s="168"/>
      <c r="P146" s="180"/>
      <c r="Q146" s="168"/>
      <c r="R146" s="168"/>
      <c r="S146" s="128"/>
      <c r="T146" s="130"/>
      <c r="U146" s="130"/>
      <c r="V146" s="168"/>
      <c r="W146" s="168"/>
      <c r="X146" s="180"/>
      <c r="Y146" s="168"/>
      <c r="Z146" s="169"/>
      <c r="AA146" s="168"/>
      <c r="AB146" s="134"/>
      <c r="AC146" s="135"/>
      <c r="AD146" s="135"/>
      <c r="AE146" s="135"/>
      <c r="AF146" s="135" t="str">
        <f aca="false">IF(ISBLANK($C146),"",IF(E146=Constants!$B$2,TRUE(),IF(E146=Constants!$B$3,FALSE(),TRUE())))</f>
        <v/>
      </c>
      <c r="AG146" s="135" t="str">
        <f aca="false">IF(ISBLANK($C146),"",IF(F146=Constants!$B$2,TRUE(),IF(F146=Constants!$B$3,FALSE(),TRUE())))</f>
        <v/>
      </c>
      <c r="AH146" s="135" t="str">
        <f aca="false">IF(ISBLANK($C146),"",IF(G146=Constants!$B$2,TRUE(),IF(G146=Constants!$B$3,FALSE(),TRUE())))</f>
        <v/>
      </c>
      <c r="AI146" s="135" t="str">
        <f aca="false">IF(ISBLANK($C146),"",IF(AND(ISNUMBER(H146),H146&gt;=0),H146,Constants!$B$24))</f>
        <v/>
      </c>
      <c r="AJ146" s="135" t="str">
        <f aca="false">IF(ISBLANK($C146),"",IF(I146=Constants!$B$2,TRUE(),IF(I146=Constants!$B$3,FALSE(),TRUE())))</f>
        <v/>
      </c>
      <c r="AK146" s="135" t="str">
        <f aca="false">IF(ISBLANK($C146),"",IF(J146=Constants!$B$2,TRUE(),IF(J146=Constants!$B$3,FALSE(),TRUE())))</f>
        <v/>
      </c>
      <c r="AL146" s="135" t="str">
        <f aca="false">IF(ISBLANK($C146),"",IF(K146=Constants!$B$4,TRUE(),IF(K146=Constants!$B$5,FALSE(),COUNTA(L146:P146)&gt;0)))</f>
        <v/>
      </c>
      <c r="AM146" s="136" t="str">
        <f aca="false">IF(ISBLANK($C146),"",IF(ISNUMBER(L146),IF(L146&gt;=0,L146,""),""))</f>
        <v/>
      </c>
      <c r="AN146" s="137" t="str">
        <f aca="false">IF(ISBLANK($C146),"",IF(ISNUMBER(M146),IF(M146&gt;=0,M146,""),""))</f>
        <v/>
      </c>
      <c r="AO146" s="137" t="str">
        <f aca="false">IF(ISBLANK($C146),"",IF(N146=Constants!$B$2,TRUE(),IF(N146=Constants!$B$3,FALSE(),TRUE())))</f>
        <v/>
      </c>
      <c r="AP146" s="135" t="str">
        <f aca="false">IF(ISBLANK($C146),"",IF(ISNUMBER(O146),IF(O146&gt;=0,O146,""),""))</f>
        <v/>
      </c>
      <c r="AQ146" s="135" t="str">
        <f aca="false">IF(ISBLANK($C146),"",IF(P146=Constants!$B$2,TRUE(),IF(P146=Constants!$B$3,FALSE(),FALSE())))</f>
        <v/>
      </c>
      <c r="AR146" s="135" t="str">
        <f aca="false">IF(ISBLANK($C146),"",IF(Q146=Constants!$B$2,TRUE(),IF(Q146=Constants!$B$3,FALSE(),TRUE())))</f>
        <v/>
      </c>
      <c r="AS146" s="135" t="str">
        <f aca="false">IF(ISBLANK($C146),"",IF(R146=Constants!$B$2,TRUE(),IF(R146=Constants!$B$3,FALSE(),TRUE())))</f>
        <v/>
      </c>
      <c r="AT146" s="135" t="str">
        <f aca="false">IF(ISBLANK($C146),"",IF(S146=Constants!$B$4,TRUE(),IF(S146=Constants!$B$5,FALSE(),COUNTA(T146:X146)&gt;0)))</f>
        <v/>
      </c>
      <c r="AU146" s="136" t="str">
        <f aca="false">IF(ISBLANK($C146),"",IF(ISNUMBER(T146),IF(T146&gt;=0,T146,""),""))</f>
        <v/>
      </c>
      <c r="AV146" s="137" t="str">
        <f aca="false">IF(ISBLANK($C146),"",IF(ISNUMBER(U146),IF(U146&gt;=0,U146,""),""))</f>
        <v/>
      </c>
      <c r="AW146" s="137" t="str">
        <f aca="false">IF(ISBLANK($C146),"",IF(V146=Constants!$B$2,TRUE(),IF(V146=Constants!$B$3,FALSE(),TRUE())))</f>
        <v/>
      </c>
      <c r="AX146" s="135" t="str">
        <f aca="false">IF(ISBLANK($C146),"",IF(ISNUMBER(W146),IF(W146&gt;=0,W146,""),""))</f>
        <v/>
      </c>
      <c r="AY146" s="135" t="str">
        <f aca="false">IF(ISBLANK($C146),"",IF(X146=Constants!$B$2,TRUE(),IF(X146=Constants!$B$3,FALSE(),FALSE())))</f>
        <v/>
      </c>
      <c r="AZ146" s="135" t="str">
        <f aca="false">IF(ISBLANK($C146),"",MIN(Constants!$B$25,MAX(0,IF(ISNUMBER(Y146),Y146*60,0)+IF(ISNUMBER(Z146),Z146,0))))</f>
        <v/>
      </c>
      <c r="BA146" s="135" t="str">
        <f aca="false">IF(ISBLANK($C146),"",IF(AA146=Constants!$B$2,TRUE(),IF(AA146=Constants!$B$3,FALSE(),FALSE())))</f>
        <v/>
      </c>
      <c r="BB146" s="134" t="str">
        <f aca="false">IF(ISBLANK($C146),"",AND($AL146,OR($AM146="",$AN146="",AND($AO146,$AP146=""))))</f>
        <v/>
      </c>
      <c r="BC146" s="137" t="str">
        <f aca="false">IF($BX146&lt;&gt;Constants!$B$6,"",IF($AL146,Constants!$B$17*$AN146+Constants!$B$18*IF($AO146,$AP146,Constants!$B$19),Constants!$B$20))</f>
        <v/>
      </c>
      <c r="BD146" s="138" t="str">
        <f aca="false">IF($BX146&lt;&gt;Constants!$B$6,"",Constants!$B$21*ABS($AD$9-IF($AL146,$AM146,0)))</f>
        <v/>
      </c>
      <c r="BE146" s="138" t="str">
        <f aca="false">IF($BX146&lt;&gt;Constants!$B$6,"",IF(AND($AL146,$AQ146,$AO146),Constants!$B$22,0))</f>
        <v/>
      </c>
      <c r="BF146" s="138" t="str">
        <f aca="false">IF($BX146&lt;&gt;Constants!$B$6,"",IF($AL146,($AI146-Constants!$B$24)*Constants!$B$23,0))</f>
        <v/>
      </c>
      <c r="BG146" s="138" t="str">
        <f aca="false">IF($BX146&lt;&gt;Constants!$B$6,"",IF($AK146,0,Constants!$B$12)+IF($AJ146,0,Constants!$B$13)+IF($AH146,0,Constants!$B$14))</f>
        <v/>
      </c>
      <c r="BH146" s="139" t="str">
        <f aca="false">IF($BX146&lt;&gt;Constants!$B$6,"",Constants!$B$16+SUM($BC146:$BG146))</f>
        <v/>
      </c>
      <c r="BI146" s="138" t="str">
        <f aca="false">IF($BX146&lt;&gt;Constants!$B$6,"",$BC146)</f>
        <v/>
      </c>
      <c r="BJ146" s="138" t="str">
        <f aca="false">IF($BX146&lt;&gt;Constants!$B$6,"",$BD146)</f>
        <v/>
      </c>
      <c r="BK146" s="140" t="str">
        <f aca="false">IF($BX146&lt;&gt;Constants!$B$6,"",IF($AL146,$AN146,""))</f>
        <v/>
      </c>
      <c r="BL146" s="135" t="str">
        <f aca="false">IF($BX146&lt;&gt;Constants!$B$6,"",IF(OR($BS146&lt;$BH146,AND($BS146=$BH146,OR($BT146&lt;$BI146,AND($BT146=$BI146,OR($BU146&lt;$BJ146,AND($BU146=$BJ146,AND(ISNUMBER($BV146),OR(NOT(ISNUMBER($BK146)),$BV146&lt;$BK146)))))))),"-&gt;","&lt;-"))</f>
        <v/>
      </c>
      <c r="BM146" s="134" t="str">
        <f aca="false">IF(ISBLANK($C146),"",AND($AT146,OR($AU146="",$AV146="",AND($AW146,$AX146=""))))</f>
        <v/>
      </c>
      <c r="BN146" s="137" t="str">
        <f aca="false">IF($BX146&lt;&gt;Constants!$B$6,"",IF($AT146,Constants!$B$17*$AV146+Constants!$B$18*IF($AW146,$AX146,Constants!$B$19),Constants!$B$20))</f>
        <v/>
      </c>
      <c r="BO146" s="138" t="str">
        <f aca="false">IF($BX146&lt;&gt;Constants!$B$6,"",Constants!$B$21*ABS($AD$9-IF($AT146,$AU146,0)))</f>
        <v/>
      </c>
      <c r="BP146" s="138" t="str">
        <f aca="false">IF($BX146&lt;&gt;Constants!$B$6,"",IF(AND($AT146,$AY146,$AW146),Constants!$B$22,0))</f>
        <v/>
      </c>
      <c r="BQ146" s="138" t="str">
        <f aca="false">IF($BX146&lt;&gt;Constants!$B$6,"",IF($AT146,($AI146-Constants!$B$24)*Constants!$B$23,0))</f>
        <v/>
      </c>
      <c r="BR146" s="138" t="str">
        <f aca="false">IF($BX146&lt;&gt;Constants!$B$6,"",IF($AS146,0,Constants!$B$12)+IF($AR146,0,Constants!$B$13)+IF($AH146,0,Constants!$B$14))</f>
        <v/>
      </c>
      <c r="BS146" s="139" t="str">
        <f aca="false">IF($BX146&lt;&gt;Constants!$B$6,"",Constants!$B$16+SUM($BN146:$BR146))</f>
        <v/>
      </c>
      <c r="BT146" s="138" t="str">
        <f aca="false">IF($BX146&lt;&gt;Constants!$B$6,"",$BN146)</f>
        <v/>
      </c>
      <c r="BU146" s="138" t="str">
        <f aca="false">IF($BX146&lt;&gt;Constants!$B$6,"",$BO146)</f>
        <v/>
      </c>
      <c r="BV146" s="140" t="str">
        <f aca="false">IF($BX146&lt;&gt;Constants!$B$6,"",IF($AT146,$AV146,""))</f>
        <v/>
      </c>
      <c r="BW146" s="135" t="str">
        <f aca="false">IF(ISBLANK($C146),"",IF(ISBLANK($D$7),$BW$5,IF(NOT(ISNUMBER($D$7)),$BW$6,"")))</f>
        <v/>
      </c>
      <c r="BX146" s="135" t="str">
        <f aca="false">IF(ISBLANK($C146),"",IF($BA146,Constants!$B$9,IF(COUNTA($E146:$AA146)=0,Constants!$B$8,IF(NOT($AG146),Constants!$B$7,IF(OR($BW146&lt;&gt;"",$BB146,$BM146),Constants!$B$10,Constants!$B$6)))))</f>
        <v/>
      </c>
      <c r="BY146" s="135" t="str">
        <f aca="false">IF(ISBLANK($C146),"",IF($BX146&lt;&gt;Constants!$B$6,$BX146,Constants!$B$11))</f>
        <v/>
      </c>
      <c r="BZ146" s="138" t="str">
        <f aca="false">IF($BX146&lt;&gt;Constants!$B$6,"",IF($BL146="-&gt;",$BS146,$BH146))</f>
        <v/>
      </c>
      <c r="CA146" s="138" t="str">
        <f aca="false">IF($BX146&lt;&gt;Constants!$B$6,"",IF($AF146,0,Constants!$B$15))</f>
        <v/>
      </c>
      <c r="CB146" s="138" t="str">
        <f aca="false">IF($BX146&lt;&gt;Constants!$B$6,"",((Constants!$B$25-$AZ146)-Constants!$B$25)/Constants!$B$26)</f>
        <v/>
      </c>
      <c r="CC146" s="138" t="str">
        <f aca="false">IF(ISBLANK($C146),"",IF($BX146&lt;&gt;Constants!$B$6,$BX146,SUM($BZ146:$CB146)))</f>
        <v/>
      </c>
      <c r="CD146" s="135" t="str">
        <f aca="false">IF(ISBLANK($C146),"",IF($BX146&lt;&gt;Constants!$B$6,$BX146,RANK($CC146,$CC$9:$CC$508,1)))</f>
        <v/>
      </c>
      <c r="CE146" s="138" t="str">
        <f aca="false">IF($BX146&lt;&gt;Constants!$B$6,"",IF($BL146="-&gt;",$BT146,$BI146))</f>
        <v/>
      </c>
      <c r="CF146" s="135" t="str">
        <f aca="false">IF(ISBLANK($C146),"",IF($BX146&lt;&gt;Constants!$B$6,$BX146,IF(ISNUMBER($CE146),RANK($CE146,$CE$9:$CE$508,1),COUNT($CE$9:$CE$508)+1)))</f>
        <v/>
      </c>
      <c r="CG146" s="138" t="str">
        <f aca="false">IF($BX146&lt;&gt;Constants!$B$6,"",IF($BL146="-&gt;",$BU146,$BJ146))</f>
        <v/>
      </c>
      <c r="CH146" s="135" t="str">
        <f aca="false">IF(ISBLANK($C146),"",IF($BX146&lt;&gt;Constants!$B$6,$BX146,IF(ISNUMBER($CG146),RANK($CG146,$CG$9:$CG$508,1),COUNT($CG$9:$CG$508)+1)))</f>
        <v/>
      </c>
      <c r="CI146" s="138" t="str">
        <f aca="false">IF($BX146&lt;&gt;Constants!$B$6,"",IF($BL146="-&gt;",$BV146,$BK146))</f>
        <v/>
      </c>
      <c r="CJ146" s="135" t="str">
        <f aca="false">IF(ISBLANK($C146),"",IF($BX146&lt;&gt;Constants!$B$6,$BX146,IF(ISNUMBER($CI146),RANK($CI146,$CI$9:$CI$508,1),COUNT($CI$9:$CI$508)+1)))</f>
        <v/>
      </c>
      <c r="CK146" s="138" t="str">
        <f aca="false">IF($BX146&lt;&gt;Constants!$B$6,"",$AI146)</f>
        <v/>
      </c>
      <c r="CL146" s="135" t="str">
        <f aca="false">IF(ISBLANK($C146),"",IF($BX146&lt;&gt;Constants!$B$6,$BX146,IF(ISNUMBER($CK146),RANK($CK146,$CK$9:$CK$508,1),COUNT($CK$9:$CK$508)+1)))</f>
        <v/>
      </c>
      <c r="CM146" s="135" t="str">
        <f aca="false">IF(ISBLANK($C146),"",IF($BX146&lt;&gt;Constants!$B$6,$BX146,COUNTIFS($CD$9:$CD$508,"&lt;"&amp;$CD146)+COUNTIFS($CD$9:$CD$508,$CD146,$CF$9:$CF$508,"&lt;"&amp;$CF146)+COUNTIFS($CD$9:$CD$508,$CD146,$CF$9:$CF$508,$CF146,$CH$9:$CH$508,"&lt;"&amp;$CH146)+COUNTIFS($CD$9:$CD$508,$CD146,$CF$9:$CF$508,$CF146,$CH$9:$CH$508,$CH146,$CJ$9:$CJ$508,"&lt;"&amp;$CJ146)+COUNTIFS($CD$9:$CD$508,$CD146,$CF$9:$CF$508,$CF146,$CH$9:$CH$508,$CH146,$CJ$9:$CJ$508,$CJ146,$CL$9:$CL$508,"&lt;"&amp;$CL146)+1))</f>
        <v/>
      </c>
      <c r="CN146" s="135" t="str">
        <f aca="false">IF(ISBLANK($C146),"",IF($BX146&lt;&gt;Constants!$B$6,$BX146,$CD146-$CM146))</f>
        <v/>
      </c>
      <c r="CO146" s="141"/>
      <c r="CP146" s="142"/>
      <c r="CQ146" s="143" t="str">
        <f aca="false">IF(ISBLANK($C146),"",IF($BX146=Constants!$B$10,$BW146,""))</f>
        <v/>
      </c>
      <c r="CR146" s="142" t="str">
        <f aca="false">IF(ISBLANK($C146),"",IF($BX146&lt;&gt;Constants!$B$6,"",IF($BL146="-&gt;",2,1)))</f>
        <v/>
      </c>
      <c r="CS146" s="144" t="str">
        <f aca="false">IF(ISBLANK($C146),"",IF($BX146&lt;&gt;Constants!$B$6,"",IF($BL146="-&gt;",$BN146,$BC146)))</f>
        <v/>
      </c>
      <c r="CT146" s="144" t="str">
        <f aca="false">IF(ISBLANK($C146),"",IF($BX146&lt;&gt;Constants!$B$6,"",IF($BL146="-&gt;",$BO146,$BD146)))</f>
        <v/>
      </c>
      <c r="CU146" s="144" t="str">
        <f aca="false">IF(ISBLANK($C146),"",IF($BX146&lt;&gt;Constants!$B$6,"",IF($BL146="-&gt;",$BP146+$BQ146,$BE146+$BF146)+$CB146))</f>
        <v/>
      </c>
      <c r="CV146" s="144" t="str">
        <f aca="false">IF(ISBLANK($C146),"",IF($BX146&lt;&gt;Constants!$B$6,"",IF($BL146="-&gt;",$BR146,$BG146)+$CA146))</f>
        <v/>
      </c>
      <c r="CW146" s="145" t="str">
        <f aca="false">IF(ISBLANK($C146),"",IF($BX146&lt;&gt;Constants!$B$6,$BX146,$CC146))</f>
        <v/>
      </c>
      <c r="CX146" s="146" t="str">
        <f aca="false">IF(ISBLANK($C146),"",$BY146)</f>
        <v/>
      </c>
      <c r="CY146" s="147" t="str">
        <f aca="false">IF(ISBLANK($C146),"",$CN146)</f>
        <v/>
      </c>
      <c r="CZ146" s="147" t="str">
        <f aca="false">IF(ISBLANK($C146),"",$CM146)</f>
        <v/>
      </c>
      <c r="DA146" s="148" t="str">
        <f aca="false">IF(ISBLANK($C146),"",IFERROR(_xlfn.SWITCH($CZ146,Constants!$B$9,COUNTA($C$9:$C$508)+2,Constants!$B$8,COUNTA($C$9:$C$508)+1,Constants!$B$7,COUNTA($C$9:$C$508)),$CZ146))</f>
        <v/>
      </c>
      <c r="DB146" s="9"/>
      <c r="DC146" s="149" t="n">
        <f aca="false">IF(OR(ISNUMBER($CZ146),$CZ146=Constants!$B$9,$CZ146=Constants!$B$7,$CZ146=Constants!$B$8),1,0)</f>
        <v>0</v>
      </c>
      <c r="DD146" s="149" t="n">
        <v>138</v>
      </c>
      <c r="DE146" s="149" t="str">
        <f aca="false">IF(ISBLANK($C146),"",IF(ISNUMBER($DA146),$DA146+ROW($B146)/1000,""))</f>
        <v/>
      </c>
      <c r="DF146" s="149" t="str">
        <f aca="false">IF(ISNUMBER($DE146),RANK($DE146,$DE$9:$DE$508,1),"")</f>
        <v/>
      </c>
      <c r="DG146" s="149" t="str">
        <f aca="false">IF(ISBLANK($C146),"",$B146)</f>
        <v/>
      </c>
      <c r="DH146" s="149" t="str">
        <f aca="false">IF(ISBLANK($C146),"",$C146)</f>
        <v/>
      </c>
      <c r="DI146" s="149" t="str">
        <f aca="false">IF(ISBLANK($C146),"",$D146)</f>
        <v/>
      </c>
      <c r="DJ146" s="150" t="str">
        <f aca="false">$CX146</f>
        <v/>
      </c>
      <c r="DK146" s="151" t="str">
        <f aca="false">$CW146</f>
        <v/>
      </c>
      <c r="DL146" s="149" t="str">
        <f aca="false">IF(ISBLANK($C146),"",$CZ146)</f>
        <v/>
      </c>
      <c r="DM146" s="152" t="str">
        <f aca="false">IF($DD146&gt;$DC$8,"",VLOOKUP($DD146,$DF$9:$DL$508,7,FALSE()))</f>
        <v/>
      </c>
      <c r="DN146" s="153" t="str">
        <f aca="false">IF($DD146&gt;$DC$8,"",VLOOKUP($DD146,$DF$9:$DL$508,2,FALSE()))</f>
        <v/>
      </c>
      <c r="DO146" s="153" t="str">
        <f aca="false">IF($DD146&gt;$DC$8,"",VLOOKUP($DD146,$DF$9:$DL$508,3,FALSE()))</f>
        <v/>
      </c>
      <c r="DP146" s="153" t="str">
        <f aca="false">IF($DD146&gt;$DC$8,"",VLOOKUP($DD146,$DF$9:$DL$508,4,FALSE()))</f>
        <v/>
      </c>
      <c r="DQ146" s="153" t="str">
        <f aca="false">IF($DD146&gt;$DC$8,"",VLOOKUP($DD146,$DF$9:$DL$508,5,FALSE()))</f>
        <v/>
      </c>
      <c r="DR146" s="154" t="str">
        <f aca="false">IF($DD146&gt;$DC$8,"",VLOOKUP($DD146,$DF$9:$DL$508,6,FALSE()))</f>
        <v/>
      </c>
      <c r="DS146" s="76"/>
    </row>
    <row r="147" customFormat="false" ht="15.75" hidden="false" customHeight="false" outlineLevel="0" collapsed="false">
      <c r="A147" s="9"/>
      <c r="B147" s="78"/>
      <c r="C147" s="79"/>
      <c r="D147" s="170"/>
      <c r="E147" s="178"/>
      <c r="F147" s="172"/>
      <c r="G147" s="173"/>
      <c r="H147" s="173"/>
      <c r="I147" s="179"/>
      <c r="J147" s="176"/>
      <c r="K147" s="86"/>
      <c r="L147" s="87"/>
      <c r="M147" s="88"/>
      <c r="N147" s="176"/>
      <c r="O147" s="176"/>
      <c r="P147" s="178"/>
      <c r="Q147" s="176"/>
      <c r="R147" s="176"/>
      <c r="S147" s="86"/>
      <c r="T147" s="88"/>
      <c r="U147" s="88"/>
      <c r="V147" s="176"/>
      <c r="W147" s="176"/>
      <c r="X147" s="178"/>
      <c r="Y147" s="176"/>
      <c r="Z147" s="177"/>
      <c r="AA147" s="176"/>
      <c r="AB147" s="92"/>
      <c r="AC147" s="93"/>
      <c r="AD147" s="93"/>
      <c r="AE147" s="93"/>
      <c r="AF147" s="93" t="str">
        <f aca="false">IF(ISBLANK($C147),"",IF(E147=Constants!$B$2,TRUE(),IF(E147=Constants!$B$3,FALSE(),TRUE())))</f>
        <v/>
      </c>
      <c r="AG147" s="93" t="str">
        <f aca="false">IF(ISBLANK($C147),"",IF(F147=Constants!$B$2,TRUE(),IF(F147=Constants!$B$3,FALSE(),TRUE())))</f>
        <v/>
      </c>
      <c r="AH147" s="93" t="str">
        <f aca="false">IF(ISBLANK($C147),"",IF(G147=Constants!$B$2,TRUE(),IF(G147=Constants!$B$3,FALSE(),TRUE())))</f>
        <v/>
      </c>
      <c r="AI147" s="93" t="str">
        <f aca="false">IF(ISBLANK($C147),"",IF(AND(ISNUMBER(H147),H147&gt;=0),H147,Constants!$B$24))</f>
        <v/>
      </c>
      <c r="AJ147" s="93" t="str">
        <f aca="false">IF(ISBLANK($C147),"",IF(I147=Constants!$B$2,TRUE(),IF(I147=Constants!$B$3,FALSE(),TRUE())))</f>
        <v/>
      </c>
      <c r="AK147" s="93" t="str">
        <f aca="false">IF(ISBLANK($C147),"",IF(J147=Constants!$B$2,TRUE(),IF(J147=Constants!$B$3,FALSE(),TRUE())))</f>
        <v/>
      </c>
      <c r="AL147" s="93" t="str">
        <f aca="false">IF(ISBLANK($C147),"",IF(K147=Constants!$B$4,TRUE(),IF(K147=Constants!$B$5,FALSE(),COUNTA(L147:P147)&gt;0)))</f>
        <v/>
      </c>
      <c r="AM147" s="95" t="str">
        <f aca="false">IF(ISBLANK($C147),"",IF(ISNUMBER(L147),IF(L147&gt;=0,L147,""),""))</f>
        <v/>
      </c>
      <c r="AN147" s="94" t="str">
        <f aca="false">IF(ISBLANK($C147),"",IF(ISNUMBER(M147),IF(M147&gt;=0,M147,""),""))</f>
        <v/>
      </c>
      <c r="AO147" s="94" t="str">
        <f aca="false">IF(ISBLANK($C147),"",IF(N147=Constants!$B$2,TRUE(),IF(N147=Constants!$B$3,FALSE(),TRUE())))</f>
        <v/>
      </c>
      <c r="AP147" s="93" t="str">
        <f aca="false">IF(ISBLANK($C147),"",IF(ISNUMBER(O147),IF(O147&gt;=0,O147,""),""))</f>
        <v/>
      </c>
      <c r="AQ147" s="93" t="str">
        <f aca="false">IF(ISBLANK($C147),"",IF(P147=Constants!$B$2,TRUE(),IF(P147=Constants!$B$3,FALSE(),FALSE())))</f>
        <v/>
      </c>
      <c r="AR147" s="93" t="str">
        <f aca="false">IF(ISBLANK($C147),"",IF(Q147=Constants!$B$2,TRUE(),IF(Q147=Constants!$B$3,FALSE(),TRUE())))</f>
        <v/>
      </c>
      <c r="AS147" s="93" t="str">
        <f aca="false">IF(ISBLANK($C147),"",IF(R147=Constants!$B$2,TRUE(),IF(R147=Constants!$B$3,FALSE(),TRUE())))</f>
        <v/>
      </c>
      <c r="AT147" s="93" t="str">
        <f aca="false">IF(ISBLANK($C147),"",IF(S147=Constants!$B$4,TRUE(),IF(S147=Constants!$B$5,FALSE(),COUNTA(T147:X147)&gt;0)))</f>
        <v/>
      </c>
      <c r="AU147" s="95" t="str">
        <f aca="false">IF(ISBLANK($C147),"",IF(ISNUMBER(T147),IF(T147&gt;=0,T147,""),""))</f>
        <v/>
      </c>
      <c r="AV147" s="94" t="str">
        <f aca="false">IF(ISBLANK($C147),"",IF(ISNUMBER(U147),IF(U147&gt;=0,U147,""),""))</f>
        <v/>
      </c>
      <c r="AW147" s="94" t="str">
        <f aca="false">IF(ISBLANK($C147),"",IF(V147=Constants!$B$2,TRUE(),IF(V147=Constants!$B$3,FALSE(),TRUE())))</f>
        <v/>
      </c>
      <c r="AX147" s="93" t="str">
        <f aca="false">IF(ISBLANK($C147),"",IF(ISNUMBER(W147),IF(W147&gt;=0,W147,""),""))</f>
        <v/>
      </c>
      <c r="AY147" s="93" t="str">
        <f aca="false">IF(ISBLANK($C147),"",IF(X147=Constants!$B$2,TRUE(),IF(X147=Constants!$B$3,FALSE(),FALSE())))</f>
        <v/>
      </c>
      <c r="AZ147" s="93" t="str">
        <f aca="false">IF(ISBLANK($C147),"",MIN(Constants!$B$25,MAX(0,IF(ISNUMBER(Y147),Y147*60,0)+IF(ISNUMBER(Z147),Z147,0))))</f>
        <v/>
      </c>
      <c r="BA147" s="93" t="str">
        <f aca="false">IF(ISBLANK($C147),"",IF(AA147=Constants!$B$2,TRUE(),IF(AA147=Constants!$B$3,FALSE(),FALSE())))</f>
        <v/>
      </c>
      <c r="BB147" s="92" t="str">
        <f aca="false">IF(ISBLANK($C147),"",AND($AL147,OR($AM147="",$AN147="",AND($AO147,$AP147=""))))</f>
        <v/>
      </c>
      <c r="BC147" s="94" t="str">
        <f aca="false">IF($BX147&lt;&gt;Constants!$B$6,"",IF($AL147,Constants!$B$17*$AN147+Constants!$B$18*IF($AO147,$AP147,Constants!$B$19),Constants!$B$20))</f>
        <v/>
      </c>
      <c r="BD147" s="97" t="str">
        <f aca="false">IF($BX147&lt;&gt;Constants!$B$6,"",Constants!$B$21*ABS($AD$9-IF($AL147,$AM147,0)))</f>
        <v/>
      </c>
      <c r="BE147" s="97" t="str">
        <f aca="false">IF($BX147&lt;&gt;Constants!$B$6,"",IF(AND($AL147,$AQ147,$AO147),Constants!$B$22,0))</f>
        <v/>
      </c>
      <c r="BF147" s="97" t="str">
        <f aca="false">IF($BX147&lt;&gt;Constants!$B$6,"",IF($AL147,($AI147-Constants!$B$24)*Constants!$B$23,0))</f>
        <v/>
      </c>
      <c r="BG147" s="97" t="str">
        <f aca="false">IF($BX147&lt;&gt;Constants!$B$6,"",IF($AK147,0,Constants!$B$12)+IF($AJ147,0,Constants!$B$13)+IF($AH147,0,Constants!$B$14))</f>
        <v/>
      </c>
      <c r="BH147" s="98" t="str">
        <f aca="false">IF($BX147&lt;&gt;Constants!$B$6,"",Constants!$B$16+SUM($BC147:$BG147))</f>
        <v/>
      </c>
      <c r="BI147" s="97" t="str">
        <f aca="false">IF($BX147&lt;&gt;Constants!$B$6,"",$BC147)</f>
        <v/>
      </c>
      <c r="BJ147" s="97" t="str">
        <f aca="false">IF($BX147&lt;&gt;Constants!$B$6,"",$BD147)</f>
        <v/>
      </c>
      <c r="BK147" s="99" t="str">
        <f aca="false">IF($BX147&lt;&gt;Constants!$B$6,"",IF($AL147,$AN147,""))</f>
        <v/>
      </c>
      <c r="BL147" s="93" t="str">
        <f aca="false">IF($BX147&lt;&gt;Constants!$B$6,"",IF(OR($BS147&lt;$BH147,AND($BS147=$BH147,OR($BT147&lt;$BI147,AND($BT147=$BI147,OR($BU147&lt;$BJ147,AND($BU147=$BJ147,AND(ISNUMBER($BV147),OR(NOT(ISNUMBER($BK147)),$BV147&lt;$BK147)))))))),"-&gt;","&lt;-"))</f>
        <v/>
      </c>
      <c r="BM147" s="92" t="str">
        <f aca="false">IF(ISBLANK($C147),"",AND($AT147,OR($AU147="",$AV147="",AND($AW147,$AX147=""))))</f>
        <v/>
      </c>
      <c r="BN147" s="94" t="str">
        <f aca="false">IF($BX147&lt;&gt;Constants!$B$6,"",IF($AT147,Constants!$B$17*$AV147+Constants!$B$18*IF($AW147,$AX147,Constants!$B$19),Constants!$B$20))</f>
        <v/>
      </c>
      <c r="BO147" s="97" t="str">
        <f aca="false">IF($BX147&lt;&gt;Constants!$B$6,"",Constants!$B$21*ABS($AD$9-IF($AT147,$AU147,0)))</f>
        <v/>
      </c>
      <c r="BP147" s="97" t="str">
        <f aca="false">IF($BX147&lt;&gt;Constants!$B$6,"",IF(AND($AT147,$AY147,$AW147),Constants!$B$22,0))</f>
        <v/>
      </c>
      <c r="BQ147" s="97" t="str">
        <f aca="false">IF($BX147&lt;&gt;Constants!$B$6,"",IF($AT147,($AI147-Constants!$B$24)*Constants!$B$23,0))</f>
        <v/>
      </c>
      <c r="BR147" s="97" t="str">
        <f aca="false">IF($BX147&lt;&gt;Constants!$B$6,"",IF($AS147,0,Constants!$B$12)+IF($AR147,0,Constants!$B$13)+IF($AH147,0,Constants!$B$14))</f>
        <v/>
      </c>
      <c r="BS147" s="98" t="str">
        <f aca="false">IF($BX147&lt;&gt;Constants!$B$6,"",Constants!$B$16+SUM($BN147:$BR147))</f>
        <v/>
      </c>
      <c r="BT147" s="97" t="str">
        <f aca="false">IF($BX147&lt;&gt;Constants!$B$6,"",$BN147)</f>
        <v/>
      </c>
      <c r="BU147" s="97" t="str">
        <f aca="false">IF($BX147&lt;&gt;Constants!$B$6,"",$BO147)</f>
        <v/>
      </c>
      <c r="BV147" s="99" t="str">
        <f aca="false">IF($BX147&lt;&gt;Constants!$B$6,"",IF($AT147,$AV147,""))</f>
        <v/>
      </c>
      <c r="BW147" s="93" t="str">
        <f aca="false">IF(ISBLANK($C147),"",IF(ISBLANK($D$7),$BW$5,IF(NOT(ISNUMBER($D$7)),$BW$6,"")))</f>
        <v/>
      </c>
      <c r="BX147" s="93" t="str">
        <f aca="false">IF(ISBLANK($C147),"",IF($BA147,Constants!$B$9,IF(COUNTA($E147:$AA147)=0,Constants!$B$8,IF(NOT($AG147),Constants!$B$7,IF(OR($BW147&lt;&gt;"",$BB147,$BM147),Constants!$B$10,Constants!$B$6)))))</f>
        <v/>
      </c>
      <c r="BY147" s="93" t="str">
        <f aca="false">IF(ISBLANK($C147),"",IF($BX147&lt;&gt;Constants!$B$6,$BX147,Constants!$B$11))</f>
        <v/>
      </c>
      <c r="BZ147" s="97" t="str">
        <f aca="false">IF($BX147&lt;&gt;Constants!$B$6,"",IF($BL147="-&gt;",$BS147,$BH147))</f>
        <v/>
      </c>
      <c r="CA147" s="97" t="str">
        <f aca="false">IF($BX147&lt;&gt;Constants!$B$6,"",IF($AF147,0,Constants!$B$15))</f>
        <v/>
      </c>
      <c r="CB147" s="97" t="str">
        <f aca="false">IF($BX147&lt;&gt;Constants!$B$6,"",((Constants!$B$25-$AZ147)-Constants!$B$25)/Constants!$B$26)</f>
        <v/>
      </c>
      <c r="CC147" s="97" t="str">
        <f aca="false">IF(ISBLANK($C147),"",IF($BX147&lt;&gt;Constants!$B$6,$BX147,SUM($BZ147:$CB147)))</f>
        <v/>
      </c>
      <c r="CD147" s="93" t="str">
        <f aca="false">IF(ISBLANK($C147),"",IF($BX147&lt;&gt;Constants!$B$6,$BX147,RANK($CC147,$CC$9:$CC$508,1)))</f>
        <v/>
      </c>
      <c r="CE147" s="97" t="str">
        <f aca="false">IF($BX147&lt;&gt;Constants!$B$6,"",IF($BL147="-&gt;",$BT147,$BI147))</f>
        <v/>
      </c>
      <c r="CF147" s="93" t="str">
        <f aca="false">IF(ISBLANK($C147),"",IF($BX147&lt;&gt;Constants!$B$6,$BX147,IF(ISNUMBER($CE147),RANK($CE147,$CE$9:$CE$508,1),COUNT($CE$9:$CE$508)+1)))</f>
        <v/>
      </c>
      <c r="CG147" s="97" t="str">
        <f aca="false">IF($BX147&lt;&gt;Constants!$B$6,"",IF($BL147="-&gt;",$BU147,$BJ147))</f>
        <v/>
      </c>
      <c r="CH147" s="93" t="str">
        <f aca="false">IF(ISBLANK($C147),"",IF($BX147&lt;&gt;Constants!$B$6,$BX147,IF(ISNUMBER($CG147),RANK($CG147,$CG$9:$CG$508,1),COUNT($CG$9:$CG$508)+1)))</f>
        <v/>
      </c>
      <c r="CI147" s="97" t="str">
        <f aca="false">IF($BX147&lt;&gt;Constants!$B$6,"",IF($BL147="-&gt;",$BV147,$BK147))</f>
        <v/>
      </c>
      <c r="CJ147" s="93" t="str">
        <f aca="false">IF(ISBLANK($C147),"",IF($BX147&lt;&gt;Constants!$B$6,$BX147,IF(ISNUMBER($CI147),RANK($CI147,$CI$9:$CI$508,1),COUNT($CI$9:$CI$508)+1)))</f>
        <v/>
      </c>
      <c r="CK147" s="97" t="str">
        <f aca="false">IF($BX147&lt;&gt;Constants!$B$6,"",$AI147)</f>
        <v/>
      </c>
      <c r="CL147" s="93" t="str">
        <f aca="false">IF(ISBLANK($C147),"",IF($BX147&lt;&gt;Constants!$B$6,$BX147,IF(ISNUMBER($CK147),RANK($CK147,$CK$9:$CK$508,1),COUNT($CK$9:$CK$508)+1)))</f>
        <v/>
      </c>
      <c r="CM147" s="93" t="str">
        <f aca="false">IF(ISBLANK($C147),"",IF($BX147&lt;&gt;Constants!$B$6,$BX147,COUNTIFS($CD$9:$CD$508,"&lt;"&amp;$CD147)+COUNTIFS($CD$9:$CD$508,$CD147,$CF$9:$CF$508,"&lt;"&amp;$CF147)+COUNTIFS($CD$9:$CD$508,$CD147,$CF$9:$CF$508,$CF147,$CH$9:$CH$508,"&lt;"&amp;$CH147)+COUNTIFS($CD$9:$CD$508,$CD147,$CF$9:$CF$508,$CF147,$CH$9:$CH$508,$CH147,$CJ$9:$CJ$508,"&lt;"&amp;$CJ147)+COUNTIFS($CD$9:$CD$508,$CD147,$CF$9:$CF$508,$CF147,$CH$9:$CH$508,$CH147,$CJ$9:$CJ$508,$CJ147,$CL$9:$CL$508,"&lt;"&amp;$CL147)+1))</f>
        <v/>
      </c>
      <c r="CN147" s="93" t="str">
        <f aca="false">IF(ISBLANK($C147),"",IF($BX147&lt;&gt;Constants!$B$6,$BX147,$CD147-$CM147))</f>
        <v/>
      </c>
      <c r="CO147" s="100"/>
      <c r="CP147" s="101"/>
      <c r="CQ147" s="102" t="str">
        <f aca="false">IF(ISBLANK($C147),"",IF($BX147=Constants!$B$10,$BW147,""))</f>
        <v/>
      </c>
      <c r="CR147" s="101" t="str">
        <f aca="false">IF(ISBLANK($C147),"",IF($BX147&lt;&gt;Constants!$B$6,"",IF($BL147="-&gt;",2,1)))</f>
        <v/>
      </c>
      <c r="CS147" s="103" t="str">
        <f aca="false">IF(ISBLANK($C147),"",IF($BX147&lt;&gt;Constants!$B$6,"",IF($BL147="-&gt;",$BN147,$BC147)))</f>
        <v/>
      </c>
      <c r="CT147" s="103" t="str">
        <f aca="false">IF(ISBLANK($C147),"",IF($BX147&lt;&gt;Constants!$B$6,"",IF($BL147="-&gt;",$BO147,$BD147)))</f>
        <v/>
      </c>
      <c r="CU147" s="103" t="str">
        <f aca="false">IF(ISBLANK($C147),"",IF($BX147&lt;&gt;Constants!$B$6,"",IF($BL147="-&gt;",$BP147+$BQ147,$BE147+$BF147)+$CB147))</f>
        <v/>
      </c>
      <c r="CV147" s="103" t="str">
        <f aca="false">IF(ISBLANK($C147),"",IF($BX147&lt;&gt;Constants!$B$6,"",IF($BL147="-&gt;",$BR147,$BG147)+$CA147))</f>
        <v/>
      </c>
      <c r="CW147" s="104" t="str">
        <f aca="false">IF(ISBLANK($C147),"",IF($BX147&lt;&gt;Constants!$B$6,$BX147,$CC147))</f>
        <v/>
      </c>
      <c r="CX147" s="105" t="str">
        <f aca="false">IF(ISBLANK($C147),"",$BY147)</f>
        <v/>
      </c>
      <c r="CY147" s="106" t="str">
        <f aca="false">IF(ISBLANK($C147),"",$CN147)</f>
        <v/>
      </c>
      <c r="CZ147" s="106" t="str">
        <f aca="false">IF(ISBLANK($C147),"",$CM147)</f>
        <v/>
      </c>
      <c r="DA147" s="107" t="str">
        <f aca="false">IF(ISBLANK($C147),"",IFERROR(_xlfn.SWITCH($CZ147,Constants!$B$9,COUNTA($C$9:$C$508)+2,Constants!$B$8,COUNTA($C$9:$C$508)+1,Constants!$B$7,COUNTA($C$9:$C$508)),$CZ147))</f>
        <v/>
      </c>
      <c r="DB147" s="9"/>
      <c r="DC147" s="108" t="n">
        <f aca="false">IF(OR(ISNUMBER($CZ147),$CZ147=Constants!$B$9,$CZ147=Constants!$B$7,$CZ147=Constants!$B$8),1,0)</f>
        <v>0</v>
      </c>
      <c r="DD147" s="108" t="n">
        <v>139</v>
      </c>
      <c r="DE147" s="108" t="str">
        <f aca="false">IF(ISBLANK($C147),"",IF(ISNUMBER($DA147),$DA147+ROW($B147)/1000,""))</f>
        <v/>
      </c>
      <c r="DF147" s="108" t="str">
        <f aca="false">IF(ISNUMBER($DE147),RANK($DE147,$DE$9:$DE$508,1),"")</f>
        <v/>
      </c>
      <c r="DG147" s="108" t="str">
        <f aca="false">IF(ISBLANK($C147),"",$B147)</f>
        <v/>
      </c>
      <c r="DH147" s="108" t="str">
        <f aca="false">IF(ISBLANK($C147),"",$C147)</f>
        <v/>
      </c>
      <c r="DI147" s="108" t="str">
        <f aca="false">IF(ISBLANK($C147),"",$D147)</f>
        <v/>
      </c>
      <c r="DJ147" s="109" t="str">
        <f aca="false">$CX147</f>
        <v/>
      </c>
      <c r="DK147" s="110" t="str">
        <f aca="false">$CW147</f>
        <v/>
      </c>
      <c r="DL147" s="108" t="str">
        <f aca="false">IF(ISBLANK($C147),"",$CZ147)</f>
        <v/>
      </c>
      <c r="DM147" s="111" t="str">
        <f aca="false">IF($DD147&gt;$DC$8,"",VLOOKUP($DD147,$DF$9:$DL$508,7,FALSE()))</f>
        <v/>
      </c>
      <c r="DN147" s="112" t="str">
        <f aca="false">IF($DD147&gt;$DC$8,"",VLOOKUP($DD147,$DF$9:$DL$508,2,FALSE()))</f>
        <v/>
      </c>
      <c r="DO147" s="112" t="str">
        <f aca="false">IF($DD147&gt;$DC$8,"",VLOOKUP($DD147,$DF$9:$DL$508,3,FALSE()))</f>
        <v/>
      </c>
      <c r="DP147" s="112" t="str">
        <f aca="false">IF($DD147&gt;$DC$8,"",VLOOKUP($DD147,$DF$9:$DL$508,4,FALSE()))</f>
        <v/>
      </c>
      <c r="DQ147" s="112" t="str">
        <f aca="false">IF($DD147&gt;$DC$8,"",VLOOKUP($DD147,$DF$9:$DL$508,5,FALSE()))</f>
        <v/>
      </c>
      <c r="DR147" s="113" t="str">
        <f aca="false">IF($DD147&gt;$DC$8,"",VLOOKUP($DD147,$DF$9:$DL$508,6,FALSE()))</f>
        <v/>
      </c>
      <c r="DS147" s="76"/>
    </row>
    <row r="148" customFormat="false" ht="15.75" hidden="false" customHeight="false" outlineLevel="0" collapsed="false">
      <c r="A148" s="9"/>
      <c r="B148" s="78"/>
      <c r="C148" s="79"/>
      <c r="D148" s="170"/>
      <c r="E148" s="178"/>
      <c r="F148" s="172"/>
      <c r="G148" s="173"/>
      <c r="H148" s="173"/>
      <c r="I148" s="179"/>
      <c r="J148" s="176"/>
      <c r="K148" s="86"/>
      <c r="L148" s="87"/>
      <c r="M148" s="88"/>
      <c r="N148" s="176"/>
      <c r="O148" s="176"/>
      <c r="P148" s="178"/>
      <c r="Q148" s="176"/>
      <c r="R148" s="176"/>
      <c r="S148" s="86"/>
      <c r="T148" s="88"/>
      <c r="U148" s="88"/>
      <c r="V148" s="176"/>
      <c r="W148" s="176"/>
      <c r="X148" s="178"/>
      <c r="Y148" s="176"/>
      <c r="Z148" s="177"/>
      <c r="AA148" s="176"/>
      <c r="AB148" s="92"/>
      <c r="AC148" s="93"/>
      <c r="AD148" s="93"/>
      <c r="AE148" s="93"/>
      <c r="AF148" s="93" t="str">
        <f aca="false">IF(ISBLANK($C148),"",IF(E148=Constants!$B$2,TRUE(),IF(E148=Constants!$B$3,FALSE(),TRUE())))</f>
        <v/>
      </c>
      <c r="AG148" s="93" t="str">
        <f aca="false">IF(ISBLANK($C148),"",IF(F148=Constants!$B$2,TRUE(),IF(F148=Constants!$B$3,FALSE(),TRUE())))</f>
        <v/>
      </c>
      <c r="AH148" s="93" t="str">
        <f aca="false">IF(ISBLANK($C148),"",IF(G148=Constants!$B$2,TRUE(),IF(G148=Constants!$B$3,FALSE(),TRUE())))</f>
        <v/>
      </c>
      <c r="AI148" s="93" t="str">
        <f aca="false">IF(ISBLANK($C148),"",IF(AND(ISNUMBER(H148),H148&gt;=0),H148,Constants!$B$24))</f>
        <v/>
      </c>
      <c r="AJ148" s="93" t="str">
        <f aca="false">IF(ISBLANK($C148),"",IF(I148=Constants!$B$2,TRUE(),IF(I148=Constants!$B$3,FALSE(),TRUE())))</f>
        <v/>
      </c>
      <c r="AK148" s="93" t="str">
        <f aca="false">IF(ISBLANK($C148),"",IF(J148=Constants!$B$2,TRUE(),IF(J148=Constants!$B$3,FALSE(),TRUE())))</f>
        <v/>
      </c>
      <c r="AL148" s="93" t="str">
        <f aca="false">IF(ISBLANK($C148),"",IF(K148=Constants!$B$4,TRUE(),IF(K148=Constants!$B$5,FALSE(),COUNTA(L148:P148)&gt;0)))</f>
        <v/>
      </c>
      <c r="AM148" s="95" t="str">
        <f aca="false">IF(ISBLANK($C148),"",IF(ISNUMBER(L148),IF(L148&gt;=0,L148,""),""))</f>
        <v/>
      </c>
      <c r="AN148" s="94" t="str">
        <f aca="false">IF(ISBLANK($C148),"",IF(ISNUMBER(M148),IF(M148&gt;=0,M148,""),""))</f>
        <v/>
      </c>
      <c r="AO148" s="94" t="str">
        <f aca="false">IF(ISBLANK($C148),"",IF(N148=Constants!$B$2,TRUE(),IF(N148=Constants!$B$3,FALSE(),TRUE())))</f>
        <v/>
      </c>
      <c r="AP148" s="93" t="str">
        <f aca="false">IF(ISBLANK($C148),"",IF(ISNUMBER(O148),IF(O148&gt;=0,O148,""),""))</f>
        <v/>
      </c>
      <c r="AQ148" s="93" t="str">
        <f aca="false">IF(ISBLANK($C148),"",IF(P148=Constants!$B$2,TRUE(),IF(P148=Constants!$B$3,FALSE(),FALSE())))</f>
        <v/>
      </c>
      <c r="AR148" s="93" t="str">
        <f aca="false">IF(ISBLANK($C148),"",IF(Q148=Constants!$B$2,TRUE(),IF(Q148=Constants!$B$3,FALSE(),TRUE())))</f>
        <v/>
      </c>
      <c r="AS148" s="93" t="str">
        <f aca="false">IF(ISBLANK($C148),"",IF(R148=Constants!$B$2,TRUE(),IF(R148=Constants!$B$3,FALSE(),TRUE())))</f>
        <v/>
      </c>
      <c r="AT148" s="93" t="str">
        <f aca="false">IF(ISBLANK($C148),"",IF(S148=Constants!$B$4,TRUE(),IF(S148=Constants!$B$5,FALSE(),COUNTA(T148:X148)&gt;0)))</f>
        <v/>
      </c>
      <c r="AU148" s="95" t="str">
        <f aca="false">IF(ISBLANK($C148),"",IF(ISNUMBER(T148),IF(T148&gt;=0,T148,""),""))</f>
        <v/>
      </c>
      <c r="AV148" s="94" t="str">
        <f aca="false">IF(ISBLANK($C148),"",IF(ISNUMBER(U148),IF(U148&gt;=0,U148,""),""))</f>
        <v/>
      </c>
      <c r="AW148" s="94" t="str">
        <f aca="false">IF(ISBLANK($C148),"",IF(V148=Constants!$B$2,TRUE(),IF(V148=Constants!$B$3,FALSE(),TRUE())))</f>
        <v/>
      </c>
      <c r="AX148" s="93" t="str">
        <f aca="false">IF(ISBLANK($C148),"",IF(ISNUMBER(W148),IF(W148&gt;=0,W148,""),""))</f>
        <v/>
      </c>
      <c r="AY148" s="93" t="str">
        <f aca="false">IF(ISBLANK($C148),"",IF(X148=Constants!$B$2,TRUE(),IF(X148=Constants!$B$3,FALSE(),FALSE())))</f>
        <v/>
      </c>
      <c r="AZ148" s="93" t="str">
        <f aca="false">IF(ISBLANK($C148),"",MIN(Constants!$B$25,MAX(0,IF(ISNUMBER(Y148),Y148*60,0)+IF(ISNUMBER(Z148),Z148,0))))</f>
        <v/>
      </c>
      <c r="BA148" s="93" t="str">
        <f aca="false">IF(ISBLANK($C148),"",IF(AA148=Constants!$B$2,TRUE(),IF(AA148=Constants!$B$3,FALSE(),FALSE())))</f>
        <v/>
      </c>
      <c r="BB148" s="92" t="str">
        <f aca="false">IF(ISBLANK($C148),"",AND($AL148,OR($AM148="",$AN148="",AND($AO148,$AP148=""))))</f>
        <v/>
      </c>
      <c r="BC148" s="94" t="str">
        <f aca="false">IF($BX148&lt;&gt;Constants!$B$6,"",IF($AL148,Constants!$B$17*$AN148+Constants!$B$18*IF($AO148,$AP148,Constants!$B$19),Constants!$B$20))</f>
        <v/>
      </c>
      <c r="BD148" s="97" t="str">
        <f aca="false">IF($BX148&lt;&gt;Constants!$B$6,"",Constants!$B$21*ABS($AD$9-IF($AL148,$AM148,0)))</f>
        <v/>
      </c>
      <c r="BE148" s="97" t="str">
        <f aca="false">IF($BX148&lt;&gt;Constants!$B$6,"",IF(AND($AL148,$AQ148,$AO148),Constants!$B$22,0))</f>
        <v/>
      </c>
      <c r="BF148" s="97" t="str">
        <f aca="false">IF($BX148&lt;&gt;Constants!$B$6,"",IF($AL148,($AI148-Constants!$B$24)*Constants!$B$23,0))</f>
        <v/>
      </c>
      <c r="BG148" s="97" t="str">
        <f aca="false">IF($BX148&lt;&gt;Constants!$B$6,"",IF($AK148,0,Constants!$B$12)+IF($AJ148,0,Constants!$B$13)+IF($AH148,0,Constants!$B$14))</f>
        <v/>
      </c>
      <c r="BH148" s="98" t="str">
        <f aca="false">IF($BX148&lt;&gt;Constants!$B$6,"",Constants!$B$16+SUM($BC148:$BG148))</f>
        <v/>
      </c>
      <c r="BI148" s="97" t="str">
        <f aca="false">IF($BX148&lt;&gt;Constants!$B$6,"",$BC148)</f>
        <v/>
      </c>
      <c r="BJ148" s="97" t="str">
        <f aca="false">IF($BX148&lt;&gt;Constants!$B$6,"",$BD148)</f>
        <v/>
      </c>
      <c r="BK148" s="99" t="str">
        <f aca="false">IF($BX148&lt;&gt;Constants!$B$6,"",IF($AL148,$AN148,""))</f>
        <v/>
      </c>
      <c r="BL148" s="93" t="str">
        <f aca="false">IF($BX148&lt;&gt;Constants!$B$6,"",IF(OR($BS148&lt;$BH148,AND($BS148=$BH148,OR($BT148&lt;$BI148,AND($BT148=$BI148,OR($BU148&lt;$BJ148,AND($BU148=$BJ148,AND(ISNUMBER($BV148),OR(NOT(ISNUMBER($BK148)),$BV148&lt;$BK148)))))))),"-&gt;","&lt;-"))</f>
        <v/>
      </c>
      <c r="BM148" s="92" t="str">
        <f aca="false">IF(ISBLANK($C148),"",AND($AT148,OR($AU148="",$AV148="",AND($AW148,$AX148=""))))</f>
        <v/>
      </c>
      <c r="BN148" s="94" t="str">
        <f aca="false">IF($BX148&lt;&gt;Constants!$B$6,"",IF($AT148,Constants!$B$17*$AV148+Constants!$B$18*IF($AW148,$AX148,Constants!$B$19),Constants!$B$20))</f>
        <v/>
      </c>
      <c r="BO148" s="97" t="str">
        <f aca="false">IF($BX148&lt;&gt;Constants!$B$6,"",Constants!$B$21*ABS($AD$9-IF($AT148,$AU148,0)))</f>
        <v/>
      </c>
      <c r="BP148" s="97" t="str">
        <f aca="false">IF($BX148&lt;&gt;Constants!$B$6,"",IF(AND($AT148,$AY148,$AW148),Constants!$B$22,0))</f>
        <v/>
      </c>
      <c r="BQ148" s="97" t="str">
        <f aca="false">IF($BX148&lt;&gt;Constants!$B$6,"",IF($AT148,($AI148-Constants!$B$24)*Constants!$B$23,0))</f>
        <v/>
      </c>
      <c r="BR148" s="97" t="str">
        <f aca="false">IF($BX148&lt;&gt;Constants!$B$6,"",IF($AS148,0,Constants!$B$12)+IF($AR148,0,Constants!$B$13)+IF($AH148,0,Constants!$B$14))</f>
        <v/>
      </c>
      <c r="BS148" s="98" t="str">
        <f aca="false">IF($BX148&lt;&gt;Constants!$B$6,"",Constants!$B$16+SUM($BN148:$BR148))</f>
        <v/>
      </c>
      <c r="BT148" s="97" t="str">
        <f aca="false">IF($BX148&lt;&gt;Constants!$B$6,"",$BN148)</f>
        <v/>
      </c>
      <c r="BU148" s="97" t="str">
        <f aca="false">IF($BX148&lt;&gt;Constants!$B$6,"",$BO148)</f>
        <v/>
      </c>
      <c r="BV148" s="99" t="str">
        <f aca="false">IF($BX148&lt;&gt;Constants!$B$6,"",IF($AT148,$AV148,""))</f>
        <v/>
      </c>
      <c r="BW148" s="93" t="str">
        <f aca="false">IF(ISBLANK($C148),"",IF(ISBLANK($D$7),$BW$5,IF(NOT(ISNUMBER($D$7)),$BW$6,"")))</f>
        <v/>
      </c>
      <c r="BX148" s="93" t="str">
        <f aca="false">IF(ISBLANK($C148),"",IF($BA148,Constants!$B$9,IF(COUNTA($E148:$AA148)=0,Constants!$B$8,IF(NOT($AG148),Constants!$B$7,IF(OR($BW148&lt;&gt;"",$BB148,$BM148),Constants!$B$10,Constants!$B$6)))))</f>
        <v/>
      </c>
      <c r="BY148" s="93" t="str">
        <f aca="false">IF(ISBLANK($C148),"",IF($BX148&lt;&gt;Constants!$B$6,$BX148,Constants!$B$11))</f>
        <v/>
      </c>
      <c r="BZ148" s="97" t="str">
        <f aca="false">IF($BX148&lt;&gt;Constants!$B$6,"",IF($BL148="-&gt;",$BS148,$BH148))</f>
        <v/>
      </c>
      <c r="CA148" s="97" t="str">
        <f aca="false">IF($BX148&lt;&gt;Constants!$B$6,"",IF($AF148,0,Constants!$B$15))</f>
        <v/>
      </c>
      <c r="CB148" s="97" t="str">
        <f aca="false">IF($BX148&lt;&gt;Constants!$B$6,"",((Constants!$B$25-$AZ148)-Constants!$B$25)/Constants!$B$26)</f>
        <v/>
      </c>
      <c r="CC148" s="97" t="str">
        <f aca="false">IF(ISBLANK($C148),"",IF($BX148&lt;&gt;Constants!$B$6,$BX148,SUM($BZ148:$CB148)))</f>
        <v/>
      </c>
      <c r="CD148" s="93" t="str">
        <f aca="false">IF(ISBLANK($C148),"",IF($BX148&lt;&gt;Constants!$B$6,$BX148,RANK($CC148,$CC$9:$CC$508,1)))</f>
        <v/>
      </c>
      <c r="CE148" s="97" t="str">
        <f aca="false">IF($BX148&lt;&gt;Constants!$B$6,"",IF($BL148="-&gt;",$BT148,$BI148))</f>
        <v/>
      </c>
      <c r="CF148" s="93" t="str">
        <f aca="false">IF(ISBLANK($C148),"",IF($BX148&lt;&gt;Constants!$B$6,$BX148,IF(ISNUMBER($CE148),RANK($CE148,$CE$9:$CE$508,1),COUNT($CE$9:$CE$508)+1)))</f>
        <v/>
      </c>
      <c r="CG148" s="97" t="str">
        <f aca="false">IF($BX148&lt;&gt;Constants!$B$6,"",IF($BL148="-&gt;",$BU148,$BJ148))</f>
        <v/>
      </c>
      <c r="CH148" s="93" t="str">
        <f aca="false">IF(ISBLANK($C148),"",IF($BX148&lt;&gt;Constants!$B$6,$BX148,IF(ISNUMBER($CG148),RANK($CG148,$CG$9:$CG$508,1),COUNT($CG$9:$CG$508)+1)))</f>
        <v/>
      </c>
      <c r="CI148" s="97" t="str">
        <f aca="false">IF($BX148&lt;&gt;Constants!$B$6,"",IF($BL148="-&gt;",$BV148,$BK148))</f>
        <v/>
      </c>
      <c r="CJ148" s="93" t="str">
        <f aca="false">IF(ISBLANK($C148),"",IF($BX148&lt;&gt;Constants!$B$6,$BX148,IF(ISNUMBER($CI148),RANK($CI148,$CI$9:$CI$508,1),COUNT($CI$9:$CI$508)+1)))</f>
        <v/>
      </c>
      <c r="CK148" s="97" t="str">
        <f aca="false">IF($BX148&lt;&gt;Constants!$B$6,"",$AI148)</f>
        <v/>
      </c>
      <c r="CL148" s="93" t="str">
        <f aca="false">IF(ISBLANK($C148),"",IF($BX148&lt;&gt;Constants!$B$6,$BX148,IF(ISNUMBER($CK148),RANK($CK148,$CK$9:$CK$508,1),COUNT($CK$9:$CK$508)+1)))</f>
        <v/>
      </c>
      <c r="CM148" s="93" t="str">
        <f aca="false">IF(ISBLANK($C148),"",IF($BX148&lt;&gt;Constants!$B$6,$BX148,COUNTIFS($CD$9:$CD$508,"&lt;"&amp;$CD148)+COUNTIFS($CD$9:$CD$508,$CD148,$CF$9:$CF$508,"&lt;"&amp;$CF148)+COUNTIFS($CD$9:$CD$508,$CD148,$CF$9:$CF$508,$CF148,$CH$9:$CH$508,"&lt;"&amp;$CH148)+COUNTIFS($CD$9:$CD$508,$CD148,$CF$9:$CF$508,$CF148,$CH$9:$CH$508,$CH148,$CJ$9:$CJ$508,"&lt;"&amp;$CJ148)+COUNTIFS($CD$9:$CD$508,$CD148,$CF$9:$CF$508,$CF148,$CH$9:$CH$508,$CH148,$CJ$9:$CJ$508,$CJ148,$CL$9:$CL$508,"&lt;"&amp;$CL148)+1))</f>
        <v/>
      </c>
      <c r="CN148" s="93" t="str">
        <f aca="false">IF(ISBLANK($C148),"",IF($BX148&lt;&gt;Constants!$B$6,$BX148,$CD148-$CM148))</f>
        <v/>
      </c>
      <c r="CO148" s="100"/>
      <c r="CP148" s="101"/>
      <c r="CQ148" s="102" t="str">
        <f aca="false">IF(ISBLANK($C148),"",IF($BX148=Constants!$B$10,$BW148,""))</f>
        <v/>
      </c>
      <c r="CR148" s="101" t="str">
        <f aca="false">IF(ISBLANK($C148),"",IF($BX148&lt;&gt;Constants!$B$6,"",IF($BL148="-&gt;",2,1)))</f>
        <v/>
      </c>
      <c r="CS148" s="103" t="str">
        <f aca="false">IF(ISBLANK($C148),"",IF($BX148&lt;&gt;Constants!$B$6,"",IF($BL148="-&gt;",$BN148,$BC148)))</f>
        <v/>
      </c>
      <c r="CT148" s="103" t="str">
        <f aca="false">IF(ISBLANK($C148),"",IF($BX148&lt;&gt;Constants!$B$6,"",IF($BL148="-&gt;",$BO148,$BD148)))</f>
        <v/>
      </c>
      <c r="CU148" s="103" t="str">
        <f aca="false">IF(ISBLANK($C148),"",IF($BX148&lt;&gt;Constants!$B$6,"",IF($BL148="-&gt;",$BP148+$BQ148,$BE148+$BF148)+$CB148))</f>
        <v/>
      </c>
      <c r="CV148" s="103" t="str">
        <f aca="false">IF(ISBLANK($C148),"",IF($BX148&lt;&gt;Constants!$B$6,"",IF($BL148="-&gt;",$BR148,$BG148)+$CA148))</f>
        <v/>
      </c>
      <c r="CW148" s="104" t="str">
        <f aca="false">IF(ISBLANK($C148),"",IF($BX148&lt;&gt;Constants!$B$6,$BX148,$CC148))</f>
        <v/>
      </c>
      <c r="CX148" s="105" t="str">
        <f aca="false">IF(ISBLANK($C148),"",$BY148)</f>
        <v/>
      </c>
      <c r="CY148" s="106" t="str">
        <f aca="false">IF(ISBLANK($C148),"",$CN148)</f>
        <v/>
      </c>
      <c r="CZ148" s="106" t="str">
        <f aca="false">IF(ISBLANK($C148),"",$CM148)</f>
        <v/>
      </c>
      <c r="DA148" s="107" t="str">
        <f aca="false">IF(ISBLANK($C148),"",IFERROR(_xlfn.SWITCH($CZ148,Constants!$B$9,COUNTA($C$9:$C$508)+2,Constants!$B$8,COUNTA($C$9:$C$508)+1,Constants!$B$7,COUNTA($C$9:$C$508)),$CZ148))</f>
        <v/>
      </c>
      <c r="DB148" s="9"/>
      <c r="DC148" s="108" t="n">
        <f aca="false">IF(OR(ISNUMBER($CZ148),$CZ148=Constants!$B$9,$CZ148=Constants!$B$7,$CZ148=Constants!$B$8),1,0)</f>
        <v>0</v>
      </c>
      <c r="DD148" s="108" t="n">
        <v>140</v>
      </c>
      <c r="DE148" s="108" t="str">
        <f aca="false">IF(ISBLANK($C148),"",IF(ISNUMBER($DA148),$DA148+ROW($B148)/1000,""))</f>
        <v/>
      </c>
      <c r="DF148" s="108" t="str">
        <f aca="false">IF(ISNUMBER($DE148),RANK($DE148,$DE$9:$DE$508,1),"")</f>
        <v/>
      </c>
      <c r="DG148" s="108" t="str">
        <f aca="false">IF(ISBLANK($C148),"",$B148)</f>
        <v/>
      </c>
      <c r="DH148" s="108" t="str">
        <f aca="false">IF(ISBLANK($C148),"",$C148)</f>
        <v/>
      </c>
      <c r="DI148" s="108" t="str">
        <f aca="false">IF(ISBLANK($C148),"",$D148)</f>
        <v/>
      </c>
      <c r="DJ148" s="109" t="str">
        <f aca="false">$CX148</f>
        <v/>
      </c>
      <c r="DK148" s="110" t="str">
        <f aca="false">$CW148</f>
        <v/>
      </c>
      <c r="DL148" s="108" t="str">
        <f aca="false">IF(ISBLANK($C148),"",$CZ148)</f>
        <v/>
      </c>
      <c r="DM148" s="111" t="str">
        <f aca="false">IF($DD148&gt;$DC$8,"",VLOOKUP($DD148,$DF$9:$DL$508,7,FALSE()))</f>
        <v/>
      </c>
      <c r="DN148" s="112" t="str">
        <f aca="false">IF($DD148&gt;$DC$8,"",VLOOKUP($DD148,$DF$9:$DL$508,2,FALSE()))</f>
        <v/>
      </c>
      <c r="DO148" s="112" t="str">
        <f aca="false">IF($DD148&gt;$DC$8,"",VLOOKUP($DD148,$DF$9:$DL$508,3,FALSE()))</f>
        <v/>
      </c>
      <c r="DP148" s="112" t="str">
        <f aca="false">IF($DD148&gt;$DC$8,"",VLOOKUP($DD148,$DF$9:$DL$508,4,FALSE()))</f>
        <v/>
      </c>
      <c r="DQ148" s="112" t="str">
        <f aca="false">IF($DD148&gt;$DC$8,"",VLOOKUP($DD148,$DF$9:$DL$508,5,FALSE()))</f>
        <v/>
      </c>
      <c r="DR148" s="113" t="str">
        <f aca="false">IF($DD148&gt;$DC$8,"",VLOOKUP($DD148,$DF$9:$DL$508,6,FALSE()))</f>
        <v/>
      </c>
      <c r="DS148" s="76"/>
    </row>
    <row r="149" customFormat="false" ht="15.75" hidden="false" customHeight="false" outlineLevel="0" collapsed="false">
      <c r="A149" s="9"/>
      <c r="B149" s="78"/>
      <c r="C149" s="79"/>
      <c r="D149" s="170"/>
      <c r="E149" s="178"/>
      <c r="F149" s="172"/>
      <c r="G149" s="173"/>
      <c r="H149" s="173"/>
      <c r="I149" s="179"/>
      <c r="J149" s="176"/>
      <c r="K149" s="86"/>
      <c r="L149" s="87"/>
      <c r="M149" s="88"/>
      <c r="N149" s="176"/>
      <c r="O149" s="176"/>
      <c r="P149" s="178"/>
      <c r="Q149" s="176"/>
      <c r="R149" s="176"/>
      <c r="S149" s="86"/>
      <c r="T149" s="88"/>
      <c r="U149" s="88"/>
      <c r="V149" s="176"/>
      <c r="W149" s="176"/>
      <c r="X149" s="178"/>
      <c r="Y149" s="176"/>
      <c r="Z149" s="177"/>
      <c r="AA149" s="176"/>
      <c r="AB149" s="92"/>
      <c r="AC149" s="93"/>
      <c r="AD149" s="93"/>
      <c r="AE149" s="93"/>
      <c r="AF149" s="93" t="str">
        <f aca="false">IF(ISBLANK($C149),"",IF(E149=Constants!$B$2,TRUE(),IF(E149=Constants!$B$3,FALSE(),TRUE())))</f>
        <v/>
      </c>
      <c r="AG149" s="93" t="str">
        <f aca="false">IF(ISBLANK($C149),"",IF(F149=Constants!$B$2,TRUE(),IF(F149=Constants!$B$3,FALSE(),TRUE())))</f>
        <v/>
      </c>
      <c r="AH149" s="93" t="str">
        <f aca="false">IF(ISBLANK($C149),"",IF(G149=Constants!$B$2,TRUE(),IF(G149=Constants!$B$3,FALSE(),TRUE())))</f>
        <v/>
      </c>
      <c r="AI149" s="93" t="str">
        <f aca="false">IF(ISBLANK($C149),"",IF(AND(ISNUMBER(H149),H149&gt;=0),H149,Constants!$B$24))</f>
        <v/>
      </c>
      <c r="AJ149" s="93" t="str">
        <f aca="false">IF(ISBLANK($C149),"",IF(I149=Constants!$B$2,TRUE(),IF(I149=Constants!$B$3,FALSE(),TRUE())))</f>
        <v/>
      </c>
      <c r="AK149" s="93" t="str">
        <f aca="false">IF(ISBLANK($C149),"",IF(J149=Constants!$B$2,TRUE(),IF(J149=Constants!$B$3,FALSE(),TRUE())))</f>
        <v/>
      </c>
      <c r="AL149" s="93" t="str">
        <f aca="false">IF(ISBLANK($C149),"",IF(K149=Constants!$B$4,TRUE(),IF(K149=Constants!$B$5,FALSE(),COUNTA(L149:P149)&gt;0)))</f>
        <v/>
      </c>
      <c r="AM149" s="95" t="str">
        <f aca="false">IF(ISBLANK($C149),"",IF(ISNUMBER(L149),IF(L149&gt;=0,L149,""),""))</f>
        <v/>
      </c>
      <c r="AN149" s="94" t="str">
        <f aca="false">IF(ISBLANK($C149),"",IF(ISNUMBER(M149),IF(M149&gt;=0,M149,""),""))</f>
        <v/>
      </c>
      <c r="AO149" s="94" t="str">
        <f aca="false">IF(ISBLANK($C149),"",IF(N149=Constants!$B$2,TRUE(),IF(N149=Constants!$B$3,FALSE(),TRUE())))</f>
        <v/>
      </c>
      <c r="AP149" s="93" t="str">
        <f aca="false">IF(ISBLANK($C149),"",IF(ISNUMBER(O149),IF(O149&gt;=0,O149,""),""))</f>
        <v/>
      </c>
      <c r="AQ149" s="93" t="str">
        <f aca="false">IF(ISBLANK($C149),"",IF(P149=Constants!$B$2,TRUE(),IF(P149=Constants!$B$3,FALSE(),FALSE())))</f>
        <v/>
      </c>
      <c r="AR149" s="93" t="str">
        <f aca="false">IF(ISBLANK($C149),"",IF(Q149=Constants!$B$2,TRUE(),IF(Q149=Constants!$B$3,FALSE(),TRUE())))</f>
        <v/>
      </c>
      <c r="AS149" s="93" t="str">
        <f aca="false">IF(ISBLANK($C149),"",IF(R149=Constants!$B$2,TRUE(),IF(R149=Constants!$B$3,FALSE(),TRUE())))</f>
        <v/>
      </c>
      <c r="AT149" s="93" t="str">
        <f aca="false">IF(ISBLANK($C149),"",IF(S149=Constants!$B$4,TRUE(),IF(S149=Constants!$B$5,FALSE(),COUNTA(T149:X149)&gt;0)))</f>
        <v/>
      </c>
      <c r="AU149" s="95" t="str">
        <f aca="false">IF(ISBLANK($C149),"",IF(ISNUMBER(T149),IF(T149&gt;=0,T149,""),""))</f>
        <v/>
      </c>
      <c r="AV149" s="94" t="str">
        <f aca="false">IF(ISBLANK($C149),"",IF(ISNUMBER(U149),IF(U149&gt;=0,U149,""),""))</f>
        <v/>
      </c>
      <c r="AW149" s="94" t="str">
        <f aca="false">IF(ISBLANK($C149),"",IF(V149=Constants!$B$2,TRUE(),IF(V149=Constants!$B$3,FALSE(),TRUE())))</f>
        <v/>
      </c>
      <c r="AX149" s="93" t="str">
        <f aca="false">IF(ISBLANK($C149),"",IF(ISNUMBER(W149),IF(W149&gt;=0,W149,""),""))</f>
        <v/>
      </c>
      <c r="AY149" s="93" t="str">
        <f aca="false">IF(ISBLANK($C149),"",IF(X149=Constants!$B$2,TRUE(),IF(X149=Constants!$B$3,FALSE(),FALSE())))</f>
        <v/>
      </c>
      <c r="AZ149" s="93" t="str">
        <f aca="false">IF(ISBLANK($C149),"",MIN(Constants!$B$25,MAX(0,IF(ISNUMBER(Y149),Y149*60,0)+IF(ISNUMBER(Z149),Z149,0))))</f>
        <v/>
      </c>
      <c r="BA149" s="93" t="str">
        <f aca="false">IF(ISBLANK($C149),"",IF(AA149=Constants!$B$2,TRUE(),IF(AA149=Constants!$B$3,FALSE(),FALSE())))</f>
        <v/>
      </c>
      <c r="BB149" s="92" t="str">
        <f aca="false">IF(ISBLANK($C149),"",AND($AL149,OR($AM149="",$AN149="",AND($AO149,$AP149=""))))</f>
        <v/>
      </c>
      <c r="BC149" s="94" t="str">
        <f aca="false">IF($BX149&lt;&gt;Constants!$B$6,"",IF($AL149,Constants!$B$17*$AN149+Constants!$B$18*IF($AO149,$AP149,Constants!$B$19),Constants!$B$20))</f>
        <v/>
      </c>
      <c r="BD149" s="97" t="str">
        <f aca="false">IF($BX149&lt;&gt;Constants!$B$6,"",Constants!$B$21*ABS($AD$9-IF($AL149,$AM149,0)))</f>
        <v/>
      </c>
      <c r="BE149" s="97" t="str">
        <f aca="false">IF($BX149&lt;&gt;Constants!$B$6,"",IF(AND($AL149,$AQ149,$AO149),Constants!$B$22,0))</f>
        <v/>
      </c>
      <c r="BF149" s="97" t="str">
        <f aca="false">IF($BX149&lt;&gt;Constants!$B$6,"",IF($AL149,($AI149-Constants!$B$24)*Constants!$B$23,0))</f>
        <v/>
      </c>
      <c r="BG149" s="97" t="str">
        <f aca="false">IF($BX149&lt;&gt;Constants!$B$6,"",IF($AK149,0,Constants!$B$12)+IF($AJ149,0,Constants!$B$13)+IF($AH149,0,Constants!$B$14))</f>
        <v/>
      </c>
      <c r="BH149" s="98" t="str">
        <f aca="false">IF($BX149&lt;&gt;Constants!$B$6,"",Constants!$B$16+SUM($BC149:$BG149))</f>
        <v/>
      </c>
      <c r="BI149" s="97" t="str">
        <f aca="false">IF($BX149&lt;&gt;Constants!$B$6,"",$BC149)</f>
        <v/>
      </c>
      <c r="BJ149" s="97" t="str">
        <f aca="false">IF($BX149&lt;&gt;Constants!$B$6,"",$BD149)</f>
        <v/>
      </c>
      <c r="BK149" s="99" t="str">
        <f aca="false">IF($BX149&lt;&gt;Constants!$B$6,"",IF($AL149,$AN149,""))</f>
        <v/>
      </c>
      <c r="BL149" s="93" t="str">
        <f aca="false">IF($BX149&lt;&gt;Constants!$B$6,"",IF(OR($BS149&lt;$BH149,AND($BS149=$BH149,OR($BT149&lt;$BI149,AND($BT149=$BI149,OR($BU149&lt;$BJ149,AND($BU149=$BJ149,AND(ISNUMBER($BV149),OR(NOT(ISNUMBER($BK149)),$BV149&lt;$BK149)))))))),"-&gt;","&lt;-"))</f>
        <v/>
      </c>
      <c r="BM149" s="92" t="str">
        <f aca="false">IF(ISBLANK($C149),"",AND($AT149,OR($AU149="",$AV149="",AND($AW149,$AX149=""))))</f>
        <v/>
      </c>
      <c r="BN149" s="94" t="str">
        <f aca="false">IF($BX149&lt;&gt;Constants!$B$6,"",IF($AT149,Constants!$B$17*$AV149+Constants!$B$18*IF($AW149,$AX149,Constants!$B$19),Constants!$B$20))</f>
        <v/>
      </c>
      <c r="BO149" s="97" t="str">
        <f aca="false">IF($BX149&lt;&gt;Constants!$B$6,"",Constants!$B$21*ABS($AD$9-IF($AT149,$AU149,0)))</f>
        <v/>
      </c>
      <c r="BP149" s="97" t="str">
        <f aca="false">IF($BX149&lt;&gt;Constants!$B$6,"",IF(AND($AT149,$AY149,$AW149),Constants!$B$22,0))</f>
        <v/>
      </c>
      <c r="BQ149" s="97" t="str">
        <f aca="false">IF($BX149&lt;&gt;Constants!$B$6,"",IF($AT149,($AI149-Constants!$B$24)*Constants!$B$23,0))</f>
        <v/>
      </c>
      <c r="BR149" s="97" t="str">
        <f aca="false">IF($BX149&lt;&gt;Constants!$B$6,"",IF($AS149,0,Constants!$B$12)+IF($AR149,0,Constants!$B$13)+IF($AH149,0,Constants!$B$14))</f>
        <v/>
      </c>
      <c r="BS149" s="98" t="str">
        <f aca="false">IF($BX149&lt;&gt;Constants!$B$6,"",Constants!$B$16+SUM($BN149:$BR149))</f>
        <v/>
      </c>
      <c r="BT149" s="97" t="str">
        <f aca="false">IF($BX149&lt;&gt;Constants!$B$6,"",$BN149)</f>
        <v/>
      </c>
      <c r="BU149" s="97" t="str">
        <f aca="false">IF($BX149&lt;&gt;Constants!$B$6,"",$BO149)</f>
        <v/>
      </c>
      <c r="BV149" s="99" t="str">
        <f aca="false">IF($BX149&lt;&gt;Constants!$B$6,"",IF($AT149,$AV149,""))</f>
        <v/>
      </c>
      <c r="BW149" s="93" t="str">
        <f aca="false">IF(ISBLANK($C149),"",IF(ISBLANK($D$7),$BW$5,IF(NOT(ISNUMBER($D$7)),$BW$6,"")))</f>
        <v/>
      </c>
      <c r="BX149" s="93" t="str">
        <f aca="false">IF(ISBLANK($C149),"",IF($BA149,Constants!$B$9,IF(COUNTA($E149:$AA149)=0,Constants!$B$8,IF(NOT($AG149),Constants!$B$7,IF(OR($BW149&lt;&gt;"",$BB149,$BM149),Constants!$B$10,Constants!$B$6)))))</f>
        <v/>
      </c>
      <c r="BY149" s="93" t="str">
        <f aca="false">IF(ISBLANK($C149),"",IF($BX149&lt;&gt;Constants!$B$6,$BX149,Constants!$B$11))</f>
        <v/>
      </c>
      <c r="BZ149" s="97" t="str">
        <f aca="false">IF($BX149&lt;&gt;Constants!$B$6,"",IF($BL149="-&gt;",$BS149,$BH149))</f>
        <v/>
      </c>
      <c r="CA149" s="97" t="str">
        <f aca="false">IF($BX149&lt;&gt;Constants!$B$6,"",IF($AF149,0,Constants!$B$15))</f>
        <v/>
      </c>
      <c r="CB149" s="97" t="str">
        <f aca="false">IF($BX149&lt;&gt;Constants!$B$6,"",((Constants!$B$25-$AZ149)-Constants!$B$25)/Constants!$B$26)</f>
        <v/>
      </c>
      <c r="CC149" s="97" t="str">
        <f aca="false">IF(ISBLANK($C149),"",IF($BX149&lt;&gt;Constants!$B$6,$BX149,SUM($BZ149:$CB149)))</f>
        <v/>
      </c>
      <c r="CD149" s="93" t="str">
        <f aca="false">IF(ISBLANK($C149),"",IF($BX149&lt;&gt;Constants!$B$6,$BX149,RANK($CC149,$CC$9:$CC$508,1)))</f>
        <v/>
      </c>
      <c r="CE149" s="97" t="str">
        <f aca="false">IF($BX149&lt;&gt;Constants!$B$6,"",IF($BL149="-&gt;",$BT149,$BI149))</f>
        <v/>
      </c>
      <c r="CF149" s="93" t="str">
        <f aca="false">IF(ISBLANK($C149),"",IF($BX149&lt;&gt;Constants!$B$6,$BX149,IF(ISNUMBER($CE149),RANK($CE149,$CE$9:$CE$508,1),COUNT($CE$9:$CE$508)+1)))</f>
        <v/>
      </c>
      <c r="CG149" s="97" t="str">
        <f aca="false">IF($BX149&lt;&gt;Constants!$B$6,"",IF($BL149="-&gt;",$BU149,$BJ149))</f>
        <v/>
      </c>
      <c r="CH149" s="93" t="str">
        <f aca="false">IF(ISBLANK($C149),"",IF($BX149&lt;&gt;Constants!$B$6,$BX149,IF(ISNUMBER($CG149),RANK($CG149,$CG$9:$CG$508,1),COUNT($CG$9:$CG$508)+1)))</f>
        <v/>
      </c>
      <c r="CI149" s="97" t="str">
        <f aca="false">IF($BX149&lt;&gt;Constants!$B$6,"",IF($BL149="-&gt;",$BV149,$BK149))</f>
        <v/>
      </c>
      <c r="CJ149" s="93" t="str">
        <f aca="false">IF(ISBLANK($C149),"",IF($BX149&lt;&gt;Constants!$B$6,$BX149,IF(ISNUMBER($CI149),RANK($CI149,$CI$9:$CI$508,1),COUNT($CI$9:$CI$508)+1)))</f>
        <v/>
      </c>
      <c r="CK149" s="97" t="str">
        <f aca="false">IF($BX149&lt;&gt;Constants!$B$6,"",$AI149)</f>
        <v/>
      </c>
      <c r="CL149" s="93" t="str">
        <f aca="false">IF(ISBLANK($C149),"",IF($BX149&lt;&gt;Constants!$B$6,$BX149,IF(ISNUMBER($CK149),RANK($CK149,$CK$9:$CK$508,1),COUNT($CK$9:$CK$508)+1)))</f>
        <v/>
      </c>
      <c r="CM149" s="93" t="str">
        <f aca="false">IF(ISBLANK($C149),"",IF($BX149&lt;&gt;Constants!$B$6,$BX149,COUNTIFS($CD$9:$CD$508,"&lt;"&amp;$CD149)+COUNTIFS($CD$9:$CD$508,$CD149,$CF$9:$CF$508,"&lt;"&amp;$CF149)+COUNTIFS($CD$9:$CD$508,$CD149,$CF$9:$CF$508,$CF149,$CH$9:$CH$508,"&lt;"&amp;$CH149)+COUNTIFS($CD$9:$CD$508,$CD149,$CF$9:$CF$508,$CF149,$CH$9:$CH$508,$CH149,$CJ$9:$CJ$508,"&lt;"&amp;$CJ149)+COUNTIFS($CD$9:$CD$508,$CD149,$CF$9:$CF$508,$CF149,$CH$9:$CH$508,$CH149,$CJ$9:$CJ$508,$CJ149,$CL$9:$CL$508,"&lt;"&amp;$CL149)+1))</f>
        <v/>
      </c>
      <c r="CN149" s="93" t="str">
        <f aca="false">IF(ISBLANK($C149),"",IF($BX149&lt;&gt;Constants!$B$6,$BX149,$CD149-$CM149))</f>
        <v/>
      </c>
      <c r="CO149" s="100"/>
      <c r="CP149" s="101"/>
      <c r="CQ149" s="102" t="str">
        <f aca="false">IF(ISBLANK($C149),"",IF($BX149=Constants!$B$10,$BW149,""))</f>
        <v/>
      </c>
      <c r="CR149" s="101" t="str">
        <f aca="false">IF(ISBLANK($C149),"",IF($BX149&lt;&gt;Constants!$B$6,"",IF($BL149="-&gt;",2,1)))</f>
        <v/>
      </c>
      <c r="CS149" s="103" t="str">
        <f aca="false">IF(ISBLANK($C149),"",IF($BX149&lt;&gt;Constants!$B$6,"",IF($BL149="-&gt;",$BN149,$BC149)))</f>
        <v/>
      </c>
      <c r="CT149" s="103" t="str">
        <f aca="false">IF(ISBLANK($C149),"",IF($BX149&lt;&gt;Constants!$B$6,"",IF($BL149="-&gt;",$BO149,$BD149)))</f>
        <v/>
      </c>
      <c r="CU149" s="103" t="str">
        <f aca="false">IF(ISBLANK($C149),"",IF($BX149&lt;&gt;Constants!$B$6,"",IF($BL149="-&gt;",$BP149+$BQ149,$BE149+$BF149)+$CB149))</f>
        <v/>
      </c>
      <c r="CV149" s="103" t="str">
        <f aca="false">IF(ISBLANK($C149),"",IF($BX149&lt;&gt;Constants!$B$6,"",IF($BL149="-&gt;",$BR149,$BG149)+$CA149))</f>
        <v/>
      </c>
      <c r="CW149" s="104" t="str">
        <f aca="false">IF(ISBLANK($C149),"",IF($BX149&lt;&gt;Constants!$B$6,$BX149,$CC149))</f>
        <v/>
      </c>
      <c r="CX149" s="105" t="str">
        <f aca="false">IF(ISBLANK($C149),"",$BY149)</f>
        <v/>
      </c>
      <c r="CY149" s="106" t="str">
        <f aca="false">IF(ISBLANK($C149),"",$CN149)</f>
        <v/>
      </c>
      <c r="CZ149" s="106" t="str">
        <f aca="false">IF(ISBLANK($C149),"",$CM149)</f>
        <v/>
      </c>
      <c r="DA149" s="107" t="str">
        <f aca="false">IF(ISBLANK($C149),"",IFERROR(_xlfn.SWITCH($CZ149,Constants!$B$9,COUNTA($C$9:$C$508)+2,Constants!$B$8,COUNTA($C$9:$C$508)+1,Constants!$B$7,COUNTA($C$9:$C$508)),$CZ149))</f>
        <v/>
      </c>
      <c r="DB149" s="9"/>
      <c r="DC149" s="108" t="n">
        <f aca="false">IF(OR(ISNUMBER($CZ149),$CZ149=Constants!$B$9,$CZ149=Constants!$B$7,$CZ149=Constants!$B$8),1,0)</f>
        <v>0</v>
      </c>
      <c r="DD149" s="108" t="n">
        <v>141</v>
      </c>
      <c r="DE149" s="108" t="str">
        <f aca="false">IF(ISBLANK($C149),"",IF(ISNUMBER($DA149),$DA149+ROW($B149)/1000,""))</f>
        <v/>
      </c>
      <c r="DF149" s="108" t="str">
        <f aca="false">IF(ISNUMBER($DE149),RANK($DE149,$DE$9:$DE$508,1),"")</f>
        <v/>
      </c>
      <c r="DG149" s="108" t="str">
        <f aca="false">IF(ISBLANK($C149),"",$B149)</f>
        <v/>
      </c>
      <c r="DH149" s="108" t="str">
        <f aca="false">IF(ISBLANK($C149),"",$C149)</f>
        <v/>
      </c>
      <c r="DI149" s="108" t="str">
        <f aca="false">IF(ISBLANK($C149),"",$D149)</f>
        <v/>
      </c>
      <c r="DJ149" s="109" t="str">
        <f aca="false">$CX149</f>
        <v/>
      </c>
      <c r="DK149" s="110" t="str">
        <f aca="false">$CW149</f>
        <v/>
      </c>
      <c r="DL149" s="108" t="str">
        <f aca="false">IF(ISBLANK($C149),"",$CZ149)</f>
        <v/>
      </c>
      <c r="DM149" s="111" t="str">
        <f aca="false">IF($DD149&gt;$DC$8,"",VLOOKUP($DD149,$DF$9:$DL$508,7,FALSE()))</f>
        <v/>
      </c>
      <c r="DN149" s="112" t="str">
        <f aca="false">IF($DD149&gt;$DC$8,"",VLOOKUP($DD149,$DF$9:$DL$508,2,FALSE()))</f>
        <v/>
      </c>
      <c r="DO149" s="112" t="str">
        <f aca="false">IF($DD149&gt;$DC$8,"",VLOOKUP($DD149,$DF$9:$DL$508,3,FALSE()))</f>
        <v/>
      </c>
      <c r="DP149" s="112" t="str">
        <f aca="false">IF($DD149&gt;$DC$8,"",VLOOKUP($DD149,$DF$9:$DL$508,4,FALSE()))</f>
        <v/>
      </c>
      <c r="DQ149" s="112" t="str">
        <f aca="false">IF($DD149&gt;$DC$8,"",VLOOKUP($DD149,$DF$9:$DL$508,5,FALSE()))</f>
        <v/>
      </c>
      <c r="DR149" s="113" t="str">
        <f aca="false">IF($DD149&gt;$DC$8,"",VLOOKUP($DD149,$DF$9:$DL$508,6,FALSE()))</f>
        <v/>
      </c>
      <c r="DS149" s="76"/>
    </row>
    <row r="150" customFormat="false" ht="15.75" hidden="false" customHeight="false" outlineLevel="0" collapsed="false">
      <c r="A150" s="9"/>
      <c r="B150" s="160"/>
      <c r="C150" s="161"/>
      <c r="D150" s="162"/>
      <c r="E150" s="180"/>
      <c r="F150" s="164"/>
      <c r="G150" s="165"/>
      <c r="H150" s="165"/>
      <c r="I150" s="181"/>
      <c r="J150" s="168"/>
      <c r="K150" s="128"/>
      <c r="L150" s="129"/>
      <c r="M150" s="130"/>
      <c r="N150" s="168"/>
      <c r="O150" s="168"/>
      <c r="P150" s="180"/>
      <c r="Q150" s="168"/>
      <c r="R150" s="168"/>
      <c r="S150" s="128"/>
      <c r="T150" s="130"/>
      <c r="U150" s="130"/>
      <c r="V150" s="168"/>
      <c r="W150" s="168"/>
      <c r="X150" s="180"/>
      <c r="Y150" s="168"/>
      <c r="Z150" s="169"/>
      <c r="AA150" s="168"/>
      <c r="AB150" s="134"/>
      <c r="AC150" s="135"/>
      <c r="AD150" s="135"/>
      <c r="AE150" s="135"/>
      <c r="AF150" s="135" t="str">
        <f aca="false">IF(ISBLANK($C150),"",IF(E150=Constants!$B$2,TRUE(),IF(E150=Constants!$B$3,FALSE(),TRUE())))</f>
        <v/>
      </c>
      <c r="AG150" s="135" t="str">
        <f aca="false">IF(ISBLANK($C150),"",IF(F150=Constants!$B$2,TRUE(),IF(F150=Constants!$B$3,FALSE(),TRUE())))</f>
        <v/>
      </c>
      <c r="AH150" s="135" t="str">
        <f aca="false">IF(ISBLANK($C150),"",IF(G150=Constants!$B$2,TRUE(),IF(G150=Constants!$B$3,FALSE(),TRUE())))</f>
        <v/>
      </c>
      <c r="AI150" s="135" t="str">
        <f aca="false">IF(ISBLANK($C150),"",IF(AND(ISNUMBER(H150),H150&gt;=0),H150,Constants!$B$24))</f>
        <v/>
      </c>
      <c r="AJ150" s="135" t="str">
        <f aca="false">IF(ISBLANK($C150),"",IF(I150=Constants!$B$2,TRUE(),IF(I150=Constants!$B$3,FALSE(),TRUE())))</f>
        <v/>
      </c>
      <c r="AK150" s="135" t="str">
        <f aca="false">IF(ISBLANK($C150),"",IF(J150=Constants!$B$2,TRUE(),IF(J150=Constants!$B$3,FALSE(),TRUE())))</f>
        <v/>
      </c>
      <c r="AL150" s="135" t="str">
        <f aca="false">IF(ISBLANK($C150),"",IF(K150=Constants!$B$4,TRUE(),IF(K150=Constants!$B$5,FALSE(),COUNTA(L150:P150)&gt;0)))</f>
        <v/>
      </c>
      <c r="AM150" s="136" t="str">
        <f aca="false">IF(ISBLANK($C150),"",IF(ISNUMBER(L150),IF(L150&gt;=0,L150,""),""))</f>
        <v/>
      </c>
      <c r="AN150" s="137" t="str">
        <f aca="false">IF(ISBLANK($C150),"",IF(ISNUMBER(M150),IF(M150&gt;=0,M150,""),""))</f>
        <v/>
      </c>
      <c r="AO150" s="137" t="str">
        <f aca="false">IF(ISBLANK($C150),"",IF(N150=Constants!$B$2,TRUE(),IF(N150=Constants!$B$3,FALSE(),TRUE())))</f>
        <v/>
      </c>
      <c r="AP150" s="135" t="str">
        <f aca="false">IF(ISBLANK($C150),"",IF(ISNUMBER(O150),IF(O150&gt;=0,O150,""),""))</f>
        <v/>
      </c>
      <c r="AQ150" s="135" t="str">
        <f aca="false">IF(ISBLANK($C150),"",IF(P150=Constants!$B$2,TRUE(),IF(P150=Constants!$B$3,FALSE(),FALSE())))</f>
        <v/>
      </c>
      <c r="AR150" s="135" t="str">
        <f aca="false">IF(ISBLANK($C150),"",IF(Q150=Constants!$B$2,TRUE(),IF(Q150=Constants!$B$3,FALSE(),TRUE())))</f>
        <v/>
      </c>
      <c r="AS150" s="135" t="str">
        <f aca="false">IF(ISBLANK($C150),"",IF(R150=Constants!$B$2,TRUE(),IF(R150=Constants!$B$3,FALSE(),TRUE())))</f>
        <v/>
      </c>
      <c r="AT150" s="135" t="str">
        <f aca="false">IF(ISBLANK($C150),"",IF(S150=Constants!$B$4,TRUE(),IF(S150=Constants!$B$5,FALSE(),COUNTA(T150:X150)&gt;0)))</f>
        <v/>
      </c>
      <c r="AU150" s="136" t="str">
        <f aca="false">IF(ISBLANK($C150),"",IF(ISNUMBER(T150),IF(T150&gt;=0,T150,""),""))</f>
        <v/>
      </c>
      <c r="AV150" s="137" t="str">
        <f aca="false">IF(ISBLANK($C150),"",IF(ISNUMBER(U150),IF(U150&gt;=0,U150,""),""))</f>
        <v/>
      </c>
      <c r="AW150" s="137" t="str">
        <f aca="false">IF(ISBLANK($C150),"",IF(V150=Constants!$B$2,TRUE(),IF(V150=Constants!$B$3,FALSE(),TRUE())))</f>
        <v/>
      </c>
      <c r="AX150" s="135" t="str">
        <f aca="false">IF(ISBLANK($C150),"",IF(ISNUMBER(W150),IF(W150&gt;=0,W150,""),""))</f>
        <v/>
      </c>
      <c r="AY150" s="135" t="str">
        <f aca="false">IF(ISBLANK($C150),"",IF(X150=Constants!$B$2,TRUE(),IF(X150=Constants!$B$3,FALSE(),FALSE())))</f>
        <v/>
      </c>
      <c r="AZ150" s="135" t="str">
        <f aca="false">IF(ISBLANK($C150),"",MIN(Constants!$B$25,MAX(0,IF(ISNUMBER(Y150),Y150*60,0)+IF(ISNUMBER(Z150),Z150,0))))</f>
        <v/>
      </c>
      <c r="BA150" s="135" t="str">
        <f aca="false">IF(ISBLANK($C150),"",IF(AA150=Constants!$B$2,TRUE(),IF(AA150=Constants!$B$3,FALSE(),FALSE())))</f>
        <v/>
      </c>
      <c r="BB150" s="134" t="str">
        <f aca="false">IF(ISBLANK($C150),"",AND($AL150,OR($AM150="",$AN150="",AND($AO150,$AP150=""))))</f>
        <v/>
      </c>
      <c r="BC150" s="137" t="str">
        <f aca="false">IF($BX150&lt;&gt;Constants!$B$6,"",IF($AL150,Constants!$B$17*$AN150+Constants!$B$18*IF($AO150,$AP150,Constants!$B$19),Constants!$B$20))</f>
        <v/>
      </c>
      <c r="BD150" s="138" t="str">
        <f aca="false">IF($BX150&lt;&gt;Constants!$B$6,"",Constants!$B$21*ABS($AD$9-IF($AL150,$AM150,0)))</f>
        <v/>
      </c>
      <c r="BE150" s="138" t="str">
        <f aca="false">IF($BX150&lt;&gt;Constants!$B$6,"",IF(AND($AL150,$AQ150,$AO150),Constants!$B$22,0))</f>
        <v/>
      </c>
      <c r="BF150" s="138" t="str">
        <f aca="false">IF($BX150&lt;&gt;Constants!$B$6,"",IF($AL150,($AI150-Constants!$B$24)*Constants!$B$23,0))</f>
        <v/>
      </c>
      <c r="BG150" s="138" t="str">
        <f aca="false">IF($BX150&lt;&gt;Constants!$B$6,"",IF($AK150,0,Constants!$B$12)+IF($AJ150,0,Constants!$B$13)+IF($AH150,0,Constants!$B$14))</f>
        <v/>
      </c>
      <c r="BH150" s="139" t="str">
        <f aca="false">IF($BX150&lt;&gt;Constants!$B$6,"",Constants!$B$16+SUM($BC150:$BG150))</f>
        <v/>
      </c>
      <c r="BI150" s="138" t="str">
        <f aca="false">IF($BX150&lt;&gt;Constants!$B$6,"",$BC150)</f>
        <v/>
      </c>
      <c r="BJ150" s="138" t="str">
        <f aca="false">IF($BX150&lt;&gt;Constants!$B$6,"",$BD150)</f>
        <v/>
      </c>
      <c r="BK150" s="140" t="str">
        <f aca="false">IF($BX150&lt;&gt;Constants!$B$6,"",IF($AL150,$AN150,""))</f>
        <v/>
      </c>
      <c r="BL150" s="135" t="str">
        <f aca="false">IF($BX150&lt;&gt;Constants!$B$6,"",IF(OR($BS150&lt;$BH150,AND($BS150=$BH150,OR($BT150&lt;$BI150,AND($BT150=$BI150,OR($BU150&lt;$BJ150,AND($BU150=$BJ150,AND(ISNUMBER($BV150),OR(NOT(ISNUMBER($BK150)),$BV150&lt;$BK150)))))))),"-&gt;","&lt;-"))</f>
        <v/>
      </c>
      <c r="BM150" s="134" t="str">
        <f aca="false">IF(ISBLANK($C150),"",AND($AT150,OR($AU150="",$AV150="",AND($AW150,$AX150=""))))</f>
        <v/>
      </c>
      <c r="BN150" s="137" t="str">
        <f aca="false">IF($BX150&lt;&gt;Constants!$B$6,"",IF($AT150,Constants!$B$17*$AV150+Constants!$B$18*IF($AW150,$AX150,Constants!$B$19),Constants!$B$20))</f>
        <v/>
      </c>
      <c r="BO150" s="138" t="str">
        <f aca="false">IF($BX150&lt;&gt;Constants!$B$6,"",Constants!$B$21*ABS($AD$9-IF($AT150,$AU150,0)))</f>
        <v/>
      </c>
      <c r="BP150" s="138" t="str">
        <f aca="false">IF($BX150&lt;&gt;Constants!$B$6,"",IF(AND($AT150,$AY150,$AW150),Constants!$B$22,0))</f>
        <v/>
      </c>
      <c r="BQ150" s="138" t="str">
        <f aca="false">IF($BX150&lt;&gt;Constants!$B$6,"",IF($AT150,($AI150-Constants!$B$24)*Constants!$B$23,0))</f>
        <v/>
      </c>
      <c r="BR150" s="138" t="str">
        <f aca="false">IF($BX150&lt;&gt;Constants!$B$6,"",IF($AS150,0,Constants!$B$12)+IF($AR150,0,Constants!$B$13)+IF($AH150,0,Constants!$B$14))</f>
        <v/>
      </c>
      <c r="BS150" s="139" t="str">
        <f aca="false">IF($BX150&lt;&gt;Constants!$B$6,"",Constants!$B$16+SUM($BN150:$BR150))</f>
        <v/>
      </c>
      <c r="BT150" s="138" t="str">
        <f aca="false">IF($BX150&lt;&gt;Constants!$B$6,"",$BN150)</f>
        <v/>
      </c>
      <c r="BU150" s="138" t="str">
        <f aca="false">IF($BX150&lt;&gt;Constants!$B$6,"",$BO150)</f>
        <v/>
      </c>
      <c r="BV150" s="140" t="str">
        <f aca="false">IF($BX150&lt;&gt;Constants!$B$6,"",IF($AT150,$AV150,""))</f>
        <v/>
      </c>
      <c r="BW150" s="135" t="str">
        <f aca="false">IF(ISBLANK($C150),"",IF(ISBLANK($D$7),$BW$5,IF(NOT(ISNUMBER($D$7)),$BW$6,"")))</f>
        <v/>
      </c>
      <c r="BX150" s="135" t="str">
        <f aca="false">IF(ISBLANK($C150),"",IF($BA150,Constants!$B$9,IF(COUNTA($E150:$AA150)=0,Constants!$B$8,IF(NOT($AG150),Constants!$B$7,IF(OR($BW150&lt;&gt;"",$BB150,$BM150),Constants!$B$10,Constants!$B$6)))))</f>
        <v/>
      </c>
      <c r="BY150" s="135" t="str">
        <f aca="false">IF(ISBLANK($C150),"",IF($BX150&lt;&gt;Constants!$B$6,$BX150,Constants!$B$11))</f>
        <v/>
      </c>
      <c r="BZ150" s="138" t="str">
        <f aca="false">IF($BX150&lt;&gt;Constants!$B$6,"",IF($BL150="-&gt;",$BS150,$BH150))</f>
        <v/>
      </c>
      <c r="CA150" s="138" t="str">
        <f aca="false">IF($BX150&lt;&gt;Constants!$B$6,"",IF($AF150,0,Constants!$B$15))</f>
        <v/>
      </c>
      <c r="CB150" s="138" t="str">
        <f aca="false">IF($BX150&lt;&gt;Constants!$B$6,"",((Constants!$B$25-$AZ150)-Constants!$B$25)/Constants!$B$26)</f>
        <v/>
      </c>
      <c r="CC150" s="138" t="str">
        <f aca="false">IF(ISBLANK($C150),"",IF($BX150&lt;&gt;Constants!$B$6,$BX150,SUM($BZ150:$CB150)))</f>
        <v/>
      </c>
      <c r="CD150" s="135" t="str">
        <f aca="false">IF(ISBLANK($C150),"",IF($BX150&lt;&gt;Constants!$B$6,$BX150,RANK($CC150,$CC$9:$CC$508,1)))</f>
        <v/>
      </c>
      <c r="CE150" s="138" t="str">
        <f aca="false">IF($BX150&lt;&gt;Constants!$B$6,"",IF($BL150="-&gt;",$BT150,$BI150))</f>
        <v/>
      </c>
      <c r="CF150" s="135" t="str">
        <f aca="false">IF(ISBLANK($C150),"",IF($BX150&lt;&gt;Constants!$B$6,$BX150,IF(ISNUMBER($CE150),RANK($CE150,$CE$9:$CE$508,1),COUNT($CE$9:$CE$508)+1)))</f>
        <v/>
      </c>
      <c r="CG150" s="138" t="str">
        <f aca="false">IF($BX150&lt;&gt;Constants!$B$6,"",IF($BL150="-&gt;",$BU150,$BJ150))</f>
        <v/>
      </c>
      <c r="CH150" s="135" t="str">
        <f aca="false">IF(ISBLANK($C150),"",IF($BX150&lt;&gt;Constants!$B$6,$BX150,IF(ISNUMBER($CG150),RANK($CG150,$CG$9:$CG$508,1),COUNT($CG$9:$CG$508)+1)))</f>
        <v/>
      </c>
      <c r="CI150" s="138" t="str">
        <f aca="false">IF($BX150&lt;&gt;Constants!$B$6,"",IF($BL150="-&gt;",$BV150,$BK150))</f>
        <v/>
      </c>
      <c r="CJ150" s="135" t="str">
        <f aca="false">IF(ISBLANK($C150),"",IF($BX150&lt;&gt;Constants!$B$6,$BX150,IF(ISNUMBER($CI150),RANK($CI150,$CI$9:$CI$508,1),COUNT($CI$9:$CI$508)+1)))</f>
        <v/>
      </c>
      <c r="CK150" s="138" t="str">
        <f aca="false">IF($BX150&lt;&gt;Constants!$B$6,"",$AI150)</f>
        <v/>
      </c>
      <c r="CL150" s="135" t="str">
        <f aca="false">IF(ISBLANK($C150),"",IF($BX150&lt;&gt;Constants!$B$6,$BX150,IF(ISNUMBER($CK150),RANK($CK150,$CK$9:$CK$508,1),COUNT($CK$9:$CK$508)+1)))</f>
        <v/>
      </c>
      <c r="CM150" s="135" t="str">
        <f aca="false">IF(ISBLANK($C150),"",IF($BX150&lt;&gt;Constants!$B$6,$BX150,COUNTIFS($CD$9:$CD$508,"&lt;"&amp;$CD150)+COUNTIFS($CD$9:$CD$508,$CD150,$CF$9:$CF$508,"&lt;"&amp;$CF150)+COUNTIFS($CD$9:$CD$508,$CD150,$CF$9:$CF$508,$CF150,$CH$9:$CH$508,"&lt;"&amp;$CH150)+COUNTIFS($CD$9:$CD$508,$CD150,$CF$9:$CF$508,$CF150,$CH$9:$CH$508,$CH150,$CJ$9:$CJ$508,"&lt;"&amp;$CJ150)+COUNTIFS($CD$9:$CD$508,$CD150,$CF$9:$CF$508,$CF150,$CH$9:$CH$508,$CH150,$CJ$9:$CJ$508,$CJ150,$CL$9:$CL$508,"&lt;"&amp;$CL150)+1))</f>
        <v/>
      </c>
      <c r="CN150" s="135" t="str">
        <f aca="false">IF(ISBLANK($C150),"",IF($BX150&lt;&gt;Constants!$B$6,$BX150,$CD150-$CM150))</f>
        <v/>
      </c>
      <c r="CO150" s="141"/>
      <c r="CP150" s="142"/>
      <c r="CQ150" s="143" t="str">
        <f aca="false">IF(ISBLANK($C150),"",IF($BX150=Constants!$B$10,$BW150,""))</f>
        <v/>
      </c>
      <c r="CR150" s="142" t="str">
        <f aca="false">IF(ISBLANK($C150),"",IF($BX150&lt;&gt;Constants!$B$6,"",IF($BL150="-&gt;",2,1)))</f>
        <v/>
      </c>
      <c r="CS150" s="144" t="str">
        <f aca="false">IF(ISBLANK($C150),"",IF($BX150&lt;&gt;Constants!$B$6,"",IF($BL150="-&gt;",$BN150,$BC150)))</f>
        <v/>
      </c>
      <c r="CT150" s="144" t="str">
        <f aca="false">IF(ISBLANK($C150),"",IF($BX150&lt;&gt;Constants!$B$6,"",IF($BL150="-&gt;",$BO150,$BD150)))</f>
        <v/>
      </c>
      <c r="CU150" s="144" t="str">
        <f aca="false">IF(ISBLANK($C150),"",IF($BX150&lt;&gt;Constants!$B$6,"",IF($BL150="-&gt;",$BP150+$BQ150,$BE150+$BF150)+$CB150))</f>
        <v/>
      </c>
      <c r="CV150" s="144" t="str">
        <f aca="false">IF(ISBLANK($C150),"",IF($BX150&lt;&gt;Constants!$B$6,"",IF($BL150="-&gt;",$BR150,$BG150)+$CA150))</f>
        <v/>
      </c>
      <c r="CW150" s="145" t="str">
        <f aca="false">IF(ISBLANK($C150),"",IF($BX150&lt;&gt;Constants!$B$6,$BX150,$CC150))</f>
        <v/>
      </c>
      <c r="CX150" s="146" t="str">
        <f aca="false">IF(ISBLANK($C150),"",$BY150)</f>
        <v/>
      </c>
      <c r="CY150" s="147" t="str">
        <f aca="false">IF(ISBLANK($C150),"",$CN150)</f>
        <v/>
      </c>
      <c r="CZ150" s="147" t="str">
        <f aca="false">IF(ISBLANK($C150),"",$CM150)</f>
        <v/>
      </c>
      <c r="DA150" s="148" t="str">
        <f aca="false">IF(ISBLANK($C150),"",IFERROR(_xlfn.SWITCH($CZ150,Constants!$B$9,COUNTA($C$9:$C$508)+2,Constants!$B$8,COUNTA($C$9:$C$508)+1,Constants!$B$7,COUNTA($C$9:$C$508)),$CZ150))</f>
        <v/>
      </c>
      <c r="DB150" s="9"/>
      <c r="DC150" s="149" t="n">
        <f aca="false">IF(OR(ISNUMBER($CZ150),$CZ150=Constants!$B$9,$CZ150=Constants!$B$7,$CZ150=Constants!$B$8),1,0)</f>
        <v>0</v>
      </c>
      <c r="DD150" s="149" t="n">
        <v>142</v>
      </c>
      <c r="DE150" s="149" t="str">
        <f aca="false">IF(ISBLANK($C150),"",IF(ISNUMBER($DA150),$DA150+ROW($B150)/1000,""))</f>
        <v/>
      </c>
      <c r="DF150" s="149" t="str">
        <f aca="false">IF(ISNUMBER($DE150),RANK($DE150,$DE$9:$DE$508,1),"")</f>
        <v/>
      </c>
      <c r="DG150" s="149" t="str">
        <f aca="false">IF(ISBLANK($C150),"",$B150)</f>
        <v/>
      </c>
      <c r="DH150" s="149" t="str">
        <f aca="false">IF(ISBLANK($C150),"",$C150)</f>
        <v/>
      </c>
      <c r="DI150" s="149" t="str">
        <f aca="false">IF(ISBLANK($C150),"",$D150)</f>
        <v/>
      </c>
      <c r="DJ150" s="150" t="str">
        <f aca="false">$CX150</f>
        <v/>
      </c>
      <c r="DK150" s="151" t="str">
        <f aca="false">$CW150</f>
        <v/>
      </c>
      <c r="DL150" s="149" t="str">
        <f aca="false">IF(ISBLANK($C150),"",$CZ150)</f>
        <v/>
      </c>
      <c r="DM150" s="152" t="str">
        <f aca="false">IF($DD150&gt;$DC$8,"",VLOOKUP($DD150,$DF$9:$DL$508,7,FALSE()))</f>
        <v/>
      </c>
      <c r="DN150" s="153" t="str">
        <f aca="false">IF($DD150&gt;$DC$8,"",VLOOKUP($DD150,$DF$9:$DL$508,2,FALSE()))</f>
        <v/>
      </c>
      <c r="DO150" s="153" t="str">
        <f aca="false">IF($DD150&gt;$DC$8,"",VLOOKUP($DD150,$DF$9:$DL$508,3,FALSE()))</f>
        <v/>
      </c>
      <c r="DP150" s="153" t="str">
        <f aca="false">IF($DD150&gt;$DC$8,"",VLOOKUP($DD150,$DF$9:$DL$508,4,FALSE()))</f>
        <v/>
      </c>
      <c r="DQ150" s="153" t="str">
        <f aca="false">IF($DD150&gt;$DC$8,"",VLOOKUP($DD150,$DF$9:$DL$508,5,FALSE()))</f>
        <v/>
      </c>
      <c r="DR150" s="154" t="str">
        <f aca="false">IF($DD150&gt;$DC$8,"",VLOOKUP($DD150,$DF$9:$DL$508,6,FALSE()))</f>
        <v/>
      </c>
      <c r="DS150" s="76"/>
    </row>
    <row r="151" customFormat="false" ht="15.75" hidden="false" customHeight="false" outlineLevel="0" collapsed="false">
      <c r="A151" s="9"/>
      <c r="B151" s="160"/>
      <c r="C151" s="161"/>
      <c r="D151" s="162"/>
      <c r="E151" s="180"/>
      <c r="F151" s="164"/>
      <c r="G151" s="165"/>
      <c r="H151" s="165"/>
      <c r="I151" s="181"/>
      <c r="J151" s="168"/>
      <c r="K151" s="128"/>
      <c r="L151" s="129"/>
      <c r="M151" s="130"/>
      <c r="N151" s="168"/>
      <c r="O151" s="168"/>
      <c r="P151" s="180"/>
      <c r="Q151" s="168"/>
      <c r="R151" s="168"/>
      <c r="S151" s="128"/>
      <c r="T151" s="130"/>
      <c r="U151" s="130"/>
      <c r="V151" s="168"/>
      <c r="W151" s="168"/>
      <c r="X151" s="180"/>
      <c r="Y151" s="168"/>
      <c r="Z151" s="169"/>
      <c r="AA151" s="168"/>
      <c r="AB151" s="134"/>
      <c r="AC151" s="135"/>
      <c r="AD151" s="135"/>
      <c r="AE151" s="135"/>
      <c r="AF151" s="135" t="str">
        <f aca="false">IF(ISBLANK($C151),"",IF(E151=Constants!$B$2,TRUE(),IF(E151=Constants!$B$3,FALSE(),TRUE())))</f>
        <v/>
      </c>
      <c r="AG151" s="135" t="str">
        <f aca="false">IF(ISBLANK($C151),"",IF(F151=Constants!$B$2,TRUE(),IF(F151=Constants!$B$3,FALSE(),TRUE())))</f>
        <v/>
      </c>
      <c r="AH151" s="135" t="str">
        <f aca="false">IF(ISBLANK($C151),"",IF(G151=Constants!$B$2,TRUE(),IF(G151=Constants!$B$3,FALSE(),TRUE())))</f>
        <v/>
      </c>
      <c r="AI151" s="135" t="str">
        <f aca="false">IF(ISBLANK($C151),"",IF(AND(ISNUMBER(H151),H151&gt;=0),H151,Constants!$B$24))</f>
        <v/>
      </c>
      <c r="AJ151" s="135" t="str">
        <f aca="false">IF(ISBLANK($C151),"",IF(I151=Constants!$B$2,TRUE(),IF(I151=Constants!$B$3,FALSE(),TRUE())))</f>
        <v/>
      </c>
      <c r="AK151" s="135" t="str">
        <f aca="false">IF(ISBLANK($C151),"",IF(J151=Constants!$B$2,TRUE(),IF(J151=Constants!$B$3,FALSE(),TRUE())))</f>
        <v/>
      </c>
      <c r="AL151" s="135" t="str">
        <f aca="false">IF(ISBLANK($C151),"",IF(K151=Constants!$B$4,TRUE(),IF(K151=Constants!$B$5,FALSE(),COUNTA(L151:P151)&gt;0)))</f>
        <v/>
      </c>
      <c r="AM151" s="136" t="str">
        <f aca="false">IF(ISBLANK($C151),"",IF(ISNUMBER(L151),IF(L151&gt;=0,L151,""),""))</f>
        <v/>
      </c>
      <c r="AN151" s="137" t="str">
        <f aca="false">IF(ISBLANK($C151),"",IF(ISNUMBER(M151),IF(M151&gt;=0,M151,""),""))</f>
        <v/>
      </c>
      <c r="AO151" s="137" t="str">
        <f aca="false">IF(ISBLANK($C151),"",IF(N151=Constants!$B$2,TRUE(),IF(N151=Constants!$B$3,FALSE(),TRUE())))</f>
        <v/>
      </c>
      <c r="AP151" s="135" t="str">
        <f aca="false">IF(ISBLANK($C151),"",IF(ISNUMBER(O151),IF(O151&gt;=0,O151,""),""))</f>
        <v/>
      </c>
      <c r="AQ151" s="135" t="str">
        <f aca="false">IF(ISBLANK($C151),"",IF(P151=Constants!$B$2,TRUE(),IF(P151=Constants!$B$3,FALSE(),FALSE())))</f>
        <v/>
      </c>
      <c r="AR151" s="135" t="str">
        <f aca="false">IF(ISBLANK($C151),"",IF(Q151=Constants!$B$2,TRUE(),IF(Q151=Constants!$B$3,FALSE(),TRUE())))</f>
        <v/>
      </c>
      <c r="AS151" s="135" t="str">
        <f aca="false">IF(ISBLANK($C151),"",IF(R151=Constants!$B$2,TRUE(),IF(R151=Constants!$B$3,FALSE(),TRUE())))</f>
        <v/>
      </c>
      <c r="AT151" s="135" t="str">
        <f aca="false">IF(ISBLANK($C151),"",IF(S151=Constants!$B$4,TRUE(),IF(S151=Constants!$B$5,FALSE(),COUNTA(T151:X151)&gt;0)))</f>
        <v/>
      </c>
      <c r="AU151" s="136" t="str">
        <f aca="false">IF(ISBLANK($C151),"",IF(ISNUMBER(T151),IF(T151&gt;=0,T151,""),""))</f>
        <v/>
      </c>
      <c r="AV151" s="137" t="str">
        <f aca="false">IF(ISBLANK($C151),"",IF(ISNUMBER(U151),IF(U151&gt;=0,U151,""),""))</f>
        <v/>
      </c>
      <c r="AW151" s="137" t="str">
        <f aca="false">IF(ISBLANK($C151),"",IF(V151=Constants!$B$2,TRUE(),IF(V151=Constants!$B$3,FALSE(),TRUE())))</f>
        <v/>
      </c>
      <c r="AX151" s="135" t="str">
        <f aca="false">IF(ISBLANK($C151),"",IF(ISNUMBER(W151),IF(W151&gt;=0,W151,""),""))</f>
        <v/>
      </c>
      <c r="AY151" s="135" t="str">
        <f aca="false">IF(ISBLANK($C151),"",IF(X151=Constants!$B$2,TRUE(),IF(X151=Constants!$B$3,FALSE(),FALSE())))</f>
        <v/>
      </c>
      <c r="AZ151" s="135" t="str">
        <f aca="false">IF(ISBLANK($C151),"",MIN(Constants!$B$25,MAX(0,IF(ISNUMBER(Y151),Y151*60,0)+IF(ISNUMBER(Z151),Z151,0))))</f>
        <v/>
      </c>
      <c r="BA151" s="135" t="str">
        <f aca="false">IF(ISBLANK($C151),"",IF(AA151=Constants!$B$2,TRUE(),IF(AA151=Constants!$B$3,FALSE(),FALSE())))</f>
        <v/>
      </c>
      <c r="BB151" s="134" t="str">
        <f aca="false">IF(ISBLANK($C151),"",AND($AL151,OR($AM151="",$AN151="",AND($AO151,$AP151=""))))</f>
        <v/>
      </c>
      <c r="BC151" s="137" t="str">
        <f aca="false">IF($BX151&lt;&gt;Constants!$B$6,"",IF($AL151,Constants!$B$17*$AN151+Constants!$B$18*IF($AO151,$AP151,Constants!$B$19),Constants!$B$20))</f>
        <v/>
      </c>
      <c r="BD151" s="138" t="str">
        <f aca="false">IF($BX151&lt;&gt;Constants!$B$6,"",Constants!$B$21*ABS($AD$9-IF($AL151,$AM151,0)))</f>
        <v/>
      </c>
      <c r="BE151" s="138" t="str">
        <f aca="false">IF($BX151&lt;&gt;Constants!$B$6,"",IF(AND($AL151,$AQ151,$AO151),Constants!$B$22,0))</f>
        <v/>
      </c>
      <c r="BF151" s="138" t="str">
        <f aca="false">IF($BX151&lt;&gt;Constants!$B$6,"",IF($AL151,($AI151-Constants!$B$24)*Constants!$B$23,0))</f>
        <v/>
      </c>
      <c r="BG151" s="138" t="str">
        <f aca="false">IF($BX151&lt;&gt;Constants!$B$6,"",IF($AK151,0,Constants!$B$12)+IF($AJ151,0,Constants!$B$13)+IF($AH151,0,Constants!$B$14))</f>
        <v/>
      </c>
      <c r="BH151" s="139" t="str">
        <f aca="false">IF($BX151&lt;&gt;Constants!$B$6,"",Constants!$B$16+SUM($BC151:$BG151))</f>
        <v/>
      </c>
      <c r="BI151" s="138" t="str">
        <f aca="false">IF($BX151&lt;&gt;Constants!$B$6,"",$BC151)</f>
        <v/>
      </c>
      <c r="BJ151" s="138" t="str">
        <f aca="false">IF($BX151&lt;&gt;Constants!$B$6,"",$BD151)</f>
        <v/>
      </c>
      <c r="BK151" s="140" t="str">
        <f aca="false">IF($BX151&lt;&gt;Constants!$B$6,"",IF($AL151,$AN151,""))</f>
        <v/>
      </c>
      <c r="BL151" s="135" t="str">
        <f aca="false">IF($BX151&lt;&gt;Constants!$B$6,"",IF(OR($BS151&lt;$BH151,AND($BS151=$BH151,OR($BT151&lt;$BI151,AND($BT151=$BI151,OR($BU151&lt;$BJ151,AND($BU151=$BJ151,AND(ISNUMBER($BV151),OR(NOT(ISNUMBER($BK151)),$BV151&lt;$BK151)))))))),"-&gt;","&lt;-"))</f>
        <v/>
      </c>
      <c r="BM151" s="134" t="str">
        <f aca="false">IF(ISBLANK($C151),"",AND($AT151,OR($AU151="",$AV151="",AND($AW151,$AX151=""))))</f>
        <v/>
      </c>
      <c r="BN151" s="137" t="str">
        <f aca="false">IF($BX151&lt;&gt;Constants!$B$6,"",IF($AT151,Constants!$B$17*$AV151+Constants!$B$18*IF($AW151,$AX151,Constants!$B$19),Constants!$B$20))</f>
        <v/>
      </c>
      <c r="BO151" s="138" t="str">
        <f aca="false">IF($BX151&lt;&gt;Constants!$B$6,"",Constants!$B$21*ABS($AD$9-IF($AT151,$AU151,0)))</f>
        <v/>
      </c>
      <c r="BP151" s="138" t="str">
        <f aca="false">IF($BX151&lt;&gt;Constants!$B$6,"",IF(AND($AT151,$AY151,$AW151),Constants!$B$22,0))</f>
        <v/>
      </c>
      <c r="BQ151" s="138" t="str">
        <f aca="false">IF($BX151&lt;&gt;Constants!$B$6,"",IF($AT151,($AI151-Constants!$B$24)*Constants!$B$23,0))</f>
        <v/>
      </c>
      <c r="BR151" s="138" t="str">
        <f aca="false">IF($BX151&lt;&gt;Constants!$B$6,"",IF($AS151,0,Constants!$B$12)+IF($AR151,0,Constants!$B$13)+IF($AH151,0,Constants!$B$14))</f>
        <v/>
      </c>
      <c r="BS151" s="139" t="str">
        <f aca="false">IF($BX151&lt;&gt;Constants!$B$6,"",Constants!$B$16+SUM($BN151:$BR151))</f>
        <v/>
      </c>
      <c r="BT151" s="138" t="str">
        <f aca="false">IF($BX151&lt;&gt;Constants!$B$6,"",$BN151)</f>
        <v/>
      </c>
      <c r="BU151" s="138" t="str">
        <f aca="false">IF($BX151&lt;&gt;Constants!$B$6,"",$BO151)</f>
        <v/>
      </c>
      <c r="BV151" s="140" t="str">
        <f aca="false">IF($BX151&lt;&gt;Constants!$B$6,"",IF($AT151,$AV151,""))</f>
        <v/>
      </c>
      <c r="BW151" s="135" t="str">
        <f aca="false">IF(ISBLANK($C151),"",IF(ISBLANK($D$7),$BW$5,IF(NOT(ISNUMBER($D$7)),$BW$6,"")))</f>
        <v/>
      </c>
      <c r="BX151" s="135" t="str">
        <f aca="false">IF(ISBLANK($C151),"",IF($BA151,Constants!$B$9,IF(COUNTA($E151:$AA151)=0,Constants!$B$8,IF(NOT($AG151),Constants!$B$7,IF(OR($BW151&lt;&gt;"",$BB151,$BM151),Constants!$B$10,Constants!$B$6)))))</f>
        <v/>
      </c>
      <c r="BY151" s="135" t="str">
        <f aca="false">IF(ISBLANK($C151),"",IF($BX151&lt;&gt;Constants!$B$6,$BX151,Constants!$B$11))</f>
        <v/>
      </c>
      <c r="BZ151" s="138" t="str">
        <f aca="false">IF($BX151&lt;&gt;Constants!$B$6,"",IF($BL151="-&gt;",$BS151,$BH151))</f>
        <v/>
      </c>
      <c r="CA151" s="138" t="str">
        <f aca="false">IF($BX151&lt;&gt;Constants!$B$6,"",IF($AF151,0,Constants!$B$15))</f>
        <v/>
      </c>
      <c r="CB151" s="138" t="str">
        <f aca="false">IF($BX151&lt;&gt;Constants!$B$6,"",((Constants!$B$25-$AZ151)-Constants!$B$25)/Constants!$B$26)</f>
        <v/>
      </c>
      <c r="CC151" s="138" t="str">
        <f aca="false">IF(ISBLANK($C151),"",IF($BX151&lt;&gt;Constants!$B$6,$BX151,SUM($BZ151:$CB151)))</f>
        <v/>
      </c>
      <c r="CD151" s="135" t="str">
        <f aca="false">IF(ISBLANK($C151),"",IF($BX151&lt;&gt;Constants!$B$6,$BX151,RANK($CC151,$CC$9:$CC$508,1)))</f>
        <v/>
      </c>
      <c r="CE151" s="138" t="str">
        <f aca="false">IF($BX151&lt;&gt;Constants!$B$6,"",IF($BL151="-&gt;",$BT151,$BI151))</f>
        <v/>
      </c>
      <c r="CF151" s="135" t="str">
        <f aca="false">IF(ISBLANK($C151),"",IF($BX151&lt;&gt;Constants!$B$6,$BX151,IF(ISNUMBER($CE151),RANK($CE151,$CE$9:$CE$508,1),COUNT($CE$9:$CE$508)+1)))</f>
        <v/>
      </c>
      <c r="CG151" s="138" t="str">
        <f aca="false">IF($BX151&lt;&gt;Constants!$B$6,"",IF($BL151="-&gt;",$BU151,$BJ151))</f>
        <v/>
      </c>
      <c r="CH151" s="135" t="str">
        <f aca="false">IF(ISBLANK($C151),"",IF($BX151&lt;&gt;Constants!$B$6,$BX151,IF(ISNUMBER($CG151),RANK($CG151,$CG$9:$CG$508,1),COUNT($CG$9:$CG$508)+1)))</f>
        <v/>
      </c>
      <c r="CI151" s="138" t="str">
        <f aca="false">IF($BX151&lt;&gt;Constants!$B$6,"",IF($BL151="-&gt;",$BV151,$BK151))</f>
        <v/>
      </c>
      <c r="CJ151" s="135" t="str">
        <f aca="false">IF(ISBLANK($C151),"",IF($BX151&lt;&gt;Constants!$B$6,$BX151,IF(ISNUMBER($CI151),RANK($CI151,$CI$9:$CI$508,1),COUNT($CI$9:$CI$508)+1)))</f>
        <v/>
      </c>
      <c r="CK151" s="138" t="str">
        <f aca="false">IF($BX151&lt;&gt;Constants!$B$6,"",$AI151)</f>
        <v/>
      </c>
      <c r="CL151" s="135" t="str">
        <f aca="false">IF(ISBLANK($C151),"",IF($BX151&lt;&gt;Constants!$B$6,$BX151,IF(ISNUMBER($CK151),RANK($CK151,$CK$9:$CK$508,1),COUNT($CK$9:$CK$508)+1)))</f>
        <v/>
      </c>
      <c r="CM151" s="135" t="str">
        <f aca="false">IF(ISBLANK($C151),"",IF($BX151&lt;&gt;Constants!$B$6,$BX151,COUNTIFS($CD$9:$CD$508,"&lt;"&amp;$CD151)+COUNTIFS($CD$9:$CD$508,$CD151,$CF$9:$CF$508,"&lt;"&amp;$CF151)+COUNTIFS($CD$9:$CD$508,$CD151,$CF$9:$CF$508,$CF151,$CH$9:$CH$508,"&lt;"&amp;$CH151)+COUNTIFS($CD$9:$CD$508,$CD151,$CF$9:$CF$508,$CF151,$CH$9:$CH$508,$CH151,$CJ$9:$CJ$508,"&lt;"&amp;$CJ151)+COUNTIFS($CD$9:$CD$508,$CD151,$CF$9:$CF$508,$CF151,$CH$9:$CH$508,$CH151,$CJ$9:$CJ$508,$CJ151,$CL$9:$CL$508,"&lt;"&amp;$CL151)+1))</f>
        <v/>
      </c>
      <c r="CN151" s="135" t="str">
        <f aca="false">IF(ISBLANK($C151),"",IF($BX151&lt;&gt;Constants!$B$6,$BX151,$CD151-$CM151))</f>
        <v/>
      </c>
      <c r="CO151" s="141"/>
      <c r="CP151" s="142"/>
      <c r="CQ151" s="143" t="str">
        <f aca="false">IF(ISBLANK($C151),"",IF($BX151=Constants!$B$10,$BW151,""))</f>
        <v/>
      </c>
      <c r="CR151" s="142" t="str">
        <f aca="false">IF(ISBLANK($C151),"",IF($BX151&lt;&gt;Constants!$B$6,"",IF($BL151="-&gt;",2,1)))</f>
        <v/>
      </c>
      <c r="CS151" s="144" t="str">
        <f aca="false">IF(ISBLANK($C151),"",IF($BX151&lt;&gt;Constants!$B$6,"",IF($BL151="-&gt;",$BN151,$BC151)))</f>
        <v/>
      </c>
      <c r="CT151" s="144" t="str">
        <f aca="false">IF(ISBLANK($C151),"",IF($BX151&lt;&gt;Constants!$B$6,"",IF($BL151="-&gt;",$BO151,$BD151)))</f>
        <v/>
      </c>
      <c r="CU151" s="144" t="str">
        <f aca="false">IF(ISBLANK($C151),"",IF($BX151&lt;&gt;Constants!$B$6,"",IF($BL151="-&gt;",$BP151+$BQ151,$BE151+$BF151)+$CB151))</f>
        <v/>
      </c>
      <c r="CV151" s="144" t="str">
        <f aca="false">IF(ISBLANK($C151),"",IF($BX151&lt;&gt;Constants!$B$6,"",IF($BL151="-&gt;",$BR151,$BG151)+$CA151))</f>
        <v/>
      </c>
      <c r="CW151" s="145" t="str">
        <f aca="false">IF(ISBLANK($C151),"",IF($BX151&lt;&gt;Constants!$B$6,$BX151,$CC151))</f>
        <v/>
      </c>
      <c r="CX151" s="146" t="str">
        <f aca="false">IF(ISBLANK($C151),"",$BY151)</f>
        <v/>
      </c>
      <c r="CY151" s="147" t="str">
        <f aca="false">IF(ISBLANK($C151),"",$CN151)</f>
        <v/>
      </c>
      <c r="CZ151" s="147" t="str">
        <f aca="false">IF(ISBLANK($C151),"",$CM151)</f>
        <v/>
      </c>
      <c r="DA151" s="148" t="str">
        <f aca="false">IF(ISBLANK($C151),"",IFERROR(_xlfn.SWITCH($CZ151,Constants!$B$9,COUNTA($C$9:$C$508)+2,Constants!$B$8,COUNTA($C$9:$C$508)+1,Constants!$B$7,COUNTA($C$9:$C$508)),$CZ151))</f>
        <v/>
      </c>
      <c r="DB151" s="9"/>
      <c r="DC151" s="149" t="n">
        <f aca="false">IF(OR(ISNUMBER($CZ151),$CZ151=Constants!$B$9,$CZ151=Constants!$B$7,$CZ151=Constants!$B$8),1,0)</f>
        <v>0</v>
      </c>
      <c r="DD151" s="149" t="n">
        <v>143</v>
      </c>
      <c r="DE151" s="149" t="str">
        <f aca="false">IF(ISBLANK($C151),"",IF(ISNUMBER($DA151),$DA151+ROW($B151)/1000,""))</f>
        <v/>
      </c>
      <c r="DF151" s="149" t="str">
        <f aca="false">IF(ISNUMBER($DE151),RANK($DE151,$DE$9:$DE$508,1),"")</f>
        <v/>
      </c>
      <c r="DG151" s="149" t="str">
        <f aca="false">IF(ISBLANK($C151),"",$B151)</f>
        <v/>
      </c>
      <c r="DH151" s="149" t="str">
        <f aca="false">IF(ISBLANK($C151),"",$C151)</f>
        <v/>
      </c>
      <c r="DI151" s="149" t="str">
        <f aca="false">IF(ISBLANK($C151),"",$D151)</f>
        <v/>
      </c>
      <c r="DJ151" s="150" t="str">
        <f aca="false">$CX151</f>
        <v/>
      </c>
      <c r="DK151" s="151" t="str">
        <f aca="false">$CW151</f>
        <v/>
      </c>
      <c r="DL151" s="149" t="str">
        <f aca="false">IF(ISBLANK($C151),"",$CZ151)</f>
        <v/>
      </c>
      <c r="DM151" s="152" t="str">
        <f aca="false">IF($DD151&gt;$DC$8,"",VLOOKUP($DD151,$DF$9:$DL$508,7,FALSE()))</f>
        <v/>
      </c>
      <c r="DN151" s="153" t="str">
        <f aca="false">IF($DD151&gt;$DC$8,"",VLOOKUP($DD151,$DF$9:$DL$508,2,FALSE()))</f>
        <v/>
      </c>
      <c r="DO151" s="153" t="str">
        <f aca="false">IF($DD151&gt;$DC$8,"",VLOOKUP($DD151,$DF$9:$DL$508,3,FALSE()))</f>
        <v/>
      </c>
      <c r="DP151" s="153" t="str">
        <f aca="false">IF($DD151&gt;$DC$8,"",VLOOKUP($DD151,$DF$9:$DL$508,4,FALSE()))</f>
        <v/>
      </c>
      <c r="DQ151" s="153" t="str">
        <f aca="false">IF($DD151&gt;$DC$8,"",VLOOKUP($DD151,$DF$9:$DL$508,5,FALSE()))</f>
        <v/>
      </c>
      <c r="DR151" s="154" t="str">
        <f aca="false">IF($DD151&gt;$DC$8,"",VLOOKUP($DD151,$DF$9:$DL$508,6,FALSE()))</f>
        <v/>
      </c>
      <c r="DS151" s="76"/>
    </row>
    <row r="152" customFormat="false" ht="15.75" hidden="false" customHeight="false" outlineLevel="0" collapsed="false">
      <c r="A152" s="9"/>
      <c r="B152" s="160"/>
      <c r="C152" s="161"/>
      <c r="D152" s="162"/>
      <c r="E152" s="180"/>
      <c r="F152" s="164"/>
      <c r="G152" s="165"/>
      <c r="H152" s="165"/>
      <c r="I152" s="181"/>
      <c r="J152" s="168"/>
      <c r="K152" s="128"/>
      <c r="L152" s="129"/>
      <c r="M152" s="130"/>
      <c r="N152" s="168"/>
      <c r="O152" s="168"/>
      <c r="P152" s="180"/>
      <c r="Q152" s="168"/>
      <c r="R152" s="168"/>
      <c r="S152" s="128"/>
      <c r="T152" s="130"/>
      <c r="U152" s="130"/>
      <c r="V152" s="168"/>
      <c r="W152" s="168"/>
      <c r="X152" s="180"/>
      <c r="Y152" s="168"/>
      <c r="Z152" s="169"/>
      <c r="AA152" s="168"/>
      <c r="AB152" s="134"/>
      <c r="AC152" s="135"/>
      <c r="AD152" s="135"/>
      <c r="AE152" s="135"/>
      <c r="AF152" s="135" t="str">
        <f aca="false">IF(ISBLANK($C152),"",IF(E152=Constants!$B$2,TRUE(),IF(E152=Constants!$B$3,FALSE(),TRUE())))</f>
        <v/>
      </c>
      <c r="AG152" s="135" t="str">
        <f aca="false">IF(ISBLANK($C152),"",IF(F152=Constants!$B$2,TRUE(),IF(F152=Constants!$B$3,FALSE(),TRUE())))</f>
        <v/>
      </c>
      <c r="AH152" s="135" t="str">
        <f aca="false">IF(ISBLANK($C152),"",IF(G152=Constants!$B$2,TRUE(),IF(G152=Constants!$B$3,FALSE(),TRUE())))</f>
        <v/>
      </c>
      <c r="AI152" s="135" t="str">
        <f aca="false">IF(ISBLANK($C152),"",IF(AND(ISNUMBER(H152),H152&gt;=0),H152,Constants!$B$24))</f>
        <v/>
      </c>
      <c r="AJ152" s="135" t="str">
        <f aca="false">IF(ISBLANK($C152),"",IF(I152=Constants!$B$2,TRUE(),IF(I152=Constants!$B$3,FALSE(),TRUE())))</f>
        <v/>
      </c>
      <c r="AK152" s="135" t="str">
        <f aca="false">IF(ISBLANK($C152),"",IF(J152=Constants!$B$2,TRUE(),IF(J152=Constants!$B$3,FALSE(),TRUE())))</f>
        <v/>
      </c>
      <c r="AL152" s="135" t="str">
        <f aca="false">IF(ISBLANK($C152),"",IF(K152=Constants!$B$4,TRUE(),IF(K152=Constants!$B$5,FALSE(),COUNTA(L152:P152)&gt;0)))</f>
        <v/>
      </c>
      <c r="AM152" s="136" t="str">
        <f aca="false">IF(ISBLANK($C152),"",IF(ISNUMBER(L152),IF(L152&gt;=0,L152,""),""))</f>
        <v/>
      </c>
      <c r="AN152" s="137" t="str">
        <f aca="false">IF(ISBLANK($C152),"",IF(ISNUMBER(M152),IF(M152&gt;=0,M152,""),""))</f>
        <v/>
      </c>
      <c r="AO152" s="137" t="str">
        <f aca="false">IF(ISBLANK($C152),"",IF(N152=Constants!$B$2,TRUE(),IF(N152=Constants!$B$3,FALSE(),TRUE())))</f>
        <v/>
      </c>
      <c r="AP152" s="135" t="str">
        <f aca="false">IF(ISBLANK($C152),"",IF(ISNUMBER(O152),IF(O152&gt;=0,O152,""),""))</f>
        <v/>
      </c>
      <c r="AQ152" s="135" t="str">
        <f aca="false">IF(ISBLANK($C152),"",IF(P152=Constants!$B$2,TRUE(),IF(P152=Constants!$B$3,FALSE(),FALSE())))</f>
        <v/>
      </c>
      <c r="AR152" s="135" t="str">
        <f aca="false">IF(ISBLANK($C152),"",IF(Q152=Constants!$B$2,TRUE(),IF(Q152=Constants!$B$3,FALSE(),TRUE())))</f>
        <v/>
      </c>
      <c r="AS152" s="135" t="str">
        <f aca="false">IF(ISBLANK($C152),"",IF(R152=Constants!$B$2,TRUE(),IF(R152=Constants!$B$3,FALSE(),TRUE())))</f>
        <v/>
      </c>
      <c r="AT152" s="135" t="str">
        <f aca="false">IF(ISBLANK($C152),"",IF(S152=Constants!$B$4,TRUE(),IF(S152=Constants!$B$5,FALSE(),COUNTA(T152:X152)&gt;0)))</f>
        <v/>
      </c>
      <c r="AU152" s="136" t="str">
        <f aca="false">IF(ISBLANK($C152),"",IF(ISNUMBER(T152),IF(T152&gt;=0,T152,""),""))</f>
        <v/>
      </c>
      <c r="AV152" s="137" t="str">
        <f aca="false">IF(ISBLANK($C152),"",IF(ISNUMBER(U152),IF(U152&gt;=0,U152,""),""))</f>
        <v/>
      </c>
      <c r="AW152" s="137" t="str">
        <f aca="false">IF(ISBLANK($C152),"",IF(V152=Constants!$B$2,TRUE(),IF(V152=Constants!$B$3,FALSE(),TRUE())))</f>
        <v/>
      </c>
      <c r="AX152" s="135" t="str">
        <f aca="false">IF(ISBLANK($C152),"",IF(ISNUMBER(W152),IF(W152&gt;=0,W152,""),""))</f>
        <v/>
      </c>
      <c r="AY152" s="135" t="str">
        <f aca="false">IF(ISBLANK($C152),"",IF(X152=Constants!$B$2,TRUE(),IF(X152=Constants!$B$3,FALSE(),FALSE())))</f>
        <v/>
      </c>
      <c r="AZ152" s="135" t="str">
        <f aca="false">IF(ISBLANK($C152),"",MIN(Constants!$B$25,MAX(0,IF(ISNUMBER(Y152),Y152*60,0)+IF(ISNUMBER(Z152),Z152,0))))</f>
        <v/>
      </c>
      <c r="BA152" s="135" t="str">
        <f aca="false">IF(ISBLANK($C152),"",IF(AA152=Constants!$B$2,TRUE(),IF(AA152=Constants!$B$3,FALSE(),FALSE())))</f>
        <v/>
      </c>
      <c r="BB152" s="134" t="str">
        <f aca="false">IF(ISBLANK($C152),"",AND($AL152,OR($AM152="",$AN152="",AND($AO152,$AP152=""))))</f>
        <v/>
      </c>
      <c r="BC152" s="137" t="str">
        <f aca="false">IF($BX152&lt;&gt;Constants!$B$6,"",IF($AL152,Constants!$B$17*$AN152+Constants!$B$18*IF($AO152,$AP152,Constants!$B$19),Constants!$B$20))</f>
        <v/>
      </c>
      <c r="BD152" s="138" t="str">
        <f aca="false">IF($BX152&lt;&gt;Constants!$B$6,"",Constants!$B$21*ABS($AD$9-IF($AL152,$AM152,0)))</f>
        <v/>
      </c>
      <c r="BE152" s="138" t="str">
        <f aca="false">IF($BX152&lt;&gt;Constants!$B$6,"",IF(AND($AL152,$AQ152,$AO152),Constants!$B$22,0))</f>
        <v/>
      </c>
      <c r="BF152" s="138" t="str">
        <f aca="false">IF($BX152&lt;&gt;Constants!$B$6,"",IF($AL152,($AI152-Constants!$B$24)*Constants!$B$23,0))</f>
        <v/>
      </c>
      <c r="BG152" s="138" t="str">
        <f aca="false">IF($BX152&lt;&gt;Constants!$B$6,"",IF($AK152,0,Constants!$B$12)+IF($AJ152,0,Constants!$B$13)+IF($AH152,0,Constants!$B$14))</f>
        <v/>
      </c>
      <c r="BH152" s="139" t="str">
        <f aca="false">IF($BX152&lt;&gt;Constants!$B$6,"",Constants!$B$16+SUM($BC152:$BG152))</f>
        <v/>
      </c>
      <c r="BI152" s="138" t="str">
        <f aca="false">IF($BX152&lt;&gt;Constants!$B$6,"",$BC152)</f>
        <v/>
      </c>
      <c r="BJ152" s="138" t="str">
        <f aca="false">IF($BX152&lt;&gt;Constants!$B$6,"",$BD152)</f>
        <v/>
      </c>
      <c r="BK152" s="140" t="str">
        <f aca="false">IF($BX152&lt;&gt;Constants!$B$6,"",IF($AL152,$AN152,""))</f>
        <v/>
      </c>
      <c r="BL152" s="135" t="str">
        <f aca="false">IF($BX152&lt;&gt;Constants!$B$6,"",IF(OR($BS152&lt;$BH152,AND($BS152=$BH152,OR($BT152&lt;$BI152,AND($BT152=$BI152,OR($BU152&lt;$BJ152,AND($BU152=$BJ152,AND(ISNUMBER($BV152),OR(NOT(ISNUMBER($BK152)),$BV152&lt;$BK152)))))))),"-&gt;","&lt;-"))</f>
        <v/>
      </c>
      <c r="BM152" s="134" t="str">
        <f aca="false">IF(ISBLANK($C152),"",AND($AT152,OR($AU152="",$AV152="",AND($AW152,$AX152=""))))</f>
        <v/>
      </c>
      <c r="BN152" s="137" t="str">
        <f aca="false">IF($BX152&lt;&gt;Constants!$B$6,"",IF($AT152,Constants!$B$17*$AV152+Constants!$B$18*IF($AW152,$AX152,Constants!$B$19),Constants!$B$20))</f>
        <v/>
      </c>
      <c r="BO152" s="138" t="str">
        <f aca="false">IF($BX152&lt;&gt;Constants!$B$6,"",Constants!$B$21*ABS($AD$9-IF($AT152,$AU152,0)))</f>
        <v/>
      </c>
      <c r="BP152" s="138" t="str">
        <f aca="false">IF($BX152&lt;&gt;Constants!$B$6,"",IF(AND($AT152,$AY152,$AW152),Constants!$B$22,0))</f>
        <v/>
      </c>
      <c r="BQ152" s="138" t="str">
        <f aca="false">IF($BX152&lt;&gt;Constants!$B$6,"",IF($AT152,($AI152-Constants!$B$24)*Constants!$B$23,0))</f>
        <v/>
      </c>
      <c r="BR152" s="138" t="str">
        <f aca="false">IF($BX152&lt;&gt;Constants!$B$6,"",IF($AS152,0,Constants!$B$12)+IF($AR152,0,Constants!$B$13)+IF($AH152,0,Constants!$B$14))</f>
        <v/>
      </c>
      <c r="BS152" s="139" t="str">
        <f aca="false">IF($BX152&lt;&gt;Constants!$B$6,"",Constants!$B$16+SUM($BN152:$BR152))</f>
        <v/>
      </c>
      <c r="BT152" s="138" t="str">
        <f aca="false">IF($BX152&lt;&gt;Constants!$B$6,"",$BN152)</f>
        <v/>
      </c>
      <c r="BU152" s="138" t="str">
        <f aca="false">IF($BX152&lt;&gt;Constants!$B$6,"",$BO152)</f>
        <v/>
      </c>
      <c r="BV152" s="140" t="str">
        <f aca="false">IF($BX152&lt;&gt;Constants!$B$6,"",IF($AT152,$AV152,""))</f>
        <v/>
      </c>
      <c r="BW152" s="135" t="str">
        <f aca="false">IF(ISBLANK($C152),"",IF(ISBLANK($D$7),$BW$5,IF(NOT(ISNUMBER($D$7)),$BW$6,"")))</f>
        <v/>
      </c>
      <c r="BX152" s="135" t="str">
        <f aca="false">IF(ISBLANK($C152),"",IF($BA152,Constants!$B$9,IF(COUNTA($E152:$AA152)=0,Constants!$B$8,IF(NOT($AG152),Constants!$B$7,IF(OR($BW152&lt;&gt;"",$BB152,$BM152),Constants!$B$10,Constants!$B$6)))))</f>
        <v/>
      </c>
      <c r="BY152" s="135" t="str">
        <f aca="false">IF(ISBLANK($C152),"",IF($BX152&lt;&gt;Constants!$B$6,$BX152,Constants!$B$11))</f>
        <v/>
      </c>
      <c r="BZ152" s="138" t="str">
        <f aca="false">IF($BX152&lt;&gt;Constants!$B$6,"",IF($BL152="-&gt;",$BS152,$BH152))</f>
        <v/>
      </c>
      <c r="CA152" s="138" t="str">
        <f aca="false">IF($BX152&lt;&gt;Constants!$B$6,"",IF($AF152,0,Constants!$B$15))</f>
        <v/>
      </c>
      <c r="CB152" s="138" t="str">
        <f aca="false">IF($BX152&lt;&gt;Constants!$B$6,"",((Constants!$B$25-$AZ152)-Constants!$B$25)/Constants!$B$26)</f>
        <v/>
      </c>
      <c r="CC152" s="138" t="str">
        <f aca="false">IF(ISBLANK($C152),"",IF($BX152&lt;&gt;Constants!$B$6,$BX152,SUM($BZ152:$CB152)))</f>
        <v/>
      </c>
      <c r="CD152" s="135" t="str">
        <f aca="false">IF(ISBLANK($C152),"",IF($BX152&lt;&gt;Constants!$B$6,$BX152,RANK($CC152,$CC$9:$CC$508,1)))</f>
        <v/>
      </c>
      <c r="CE152" s="138" t="str">
        <f aca="false">IF($BX152&lt;&gt;Constants!$B$6,"",IF($BL152="-&gt;",$BT152,$BI152))</f>
        <v/>
      </c>
      <c r="CF152" s="135" t="str">
        <f aca="false">IF(ISBLANK($C152),"",IF($BX152&lt;&gt;Constants!$B$6,$BX152,IF(ISNUMBER($CE152),RANK($CE152,$CE$9:$CE$508,1),COUNT($CE$9:$CE$508)+1)))</f>
        <v/>
      </c>
      <c r="CG152" s="138" t="str">
        <f aca="false">IF($BX152&lt;&gt;Constants!$B$6,"",IF($BL152="-&gt;",$BU152,$BJ152))</f>
        <v/>
      </c>
      <c r="CH152" s="135" t="str">
        <f aca="false">IF(ISBLANK($C152),"",IF($BX152&lt;&gt;Constants!$B$6,$BX152,IF(ISNUMBER($CG152),RANK($CG152,$CG$9:$CG$508,1),COUNT($CG$9:$CG$508)+1)))</f>
        <v/>
      </c>
      <c r="CI152" s="138" t="str">
        <f aca="false">IF($BX152&lt;&gt;Constants!$B$6,"",IF($BL152="-&gt;",$BV152,$BK152))</f>
        <v/>
      </c>
      <c r="CJ152" s="135" t="str">
        <f aca="false">IF(ISBLANK($C152),"",IF($BX152&lt;&gt;Constants!$B$6,$BX152,IF(ISNUMBER($CI152),RANK($CI152,$CI$9:$CI$508,1),COUNT($CI$9:$CI$508)+1)))</f>
        <v/>
      </c>
      <c r="CK152" s="138" t="str">
        <f aca="false">IF($BX152&lt;&gt;Constants!$B$6,"",$AI152)</f>
        <v/>
      </c>
      <c r="CL152" s="135" t="str">
        <f aca="false">IF(ISBLANK($C152),"",IF($BX152&lt;&gt;Constants!$B$6,$BX152,IF(ISNUMBER($CK152),RANK($CK152,$CK$9:$CK$508,1),COUNT($CK$9:$CK$508)+1)))</f>
        <v/>
      </c>
      <c r="CM152" s="135" t="str">
        <f aca="false">IF(ISBLANK($C152),"",IF($BX152&lt;&gt;Constants!$B$6,$BX152,COUNTIFS($CD$9:$CD$508,"&lt;"&amp;$CD152)+COUNTIFS($CD$9:$CD$508,$CD152,$CF$9:$CF$508,"&lt;"&amp;$CF152)+COUNTIFS($CD$9:$CD$508,$CD152,$CF$9:$CF$508,$CF152,$CH$9:$CH$508,"&lt;"&amp;$CH152)+COUNTIFS($CD$9:$CD$508,$CD152,$CF$9:$CF$508,$CF152,$CH$9:$CH$508,$CH152,$CJ$9:$CJ$508,"&lt;"&amp;$CJ152)+COUNTIFS($CD$9:$CD$508,$CD152,$CF$9:$CF$508,$CF152,$CH$9:$CH$508,$CH152,$CJ$9:$CJ$508,$CJ152,$CL$9:$CL$508,"&lt;"&amp;$CL152)+1))</f>
        <v/>
      </c>
      <c r="CN152" s="135" t="str">
        <f aca="false">IF(ISBLANK($C152),"",IF($BX152&lt;&gt;Constants!$B$6,$BX152,$CD152-$CM152))</f>
        <v/>
      </c>
      <c r="CO152" s="141"/>
      <c r="CP152" s="142"/>
      <c r="CQ152" s="143" t="str">
        <f aca="false">IF(ISBLANK($C152),"",IF($BX152=Constants!$B$10,$BW152,""))</f>
        <v/>
      </c>
      <c r="CR152" s="142" t="str">
        <f aca="false">IF(ISBLANK($C152),"",IF($BX152&lt;&gt;Constants!$B$6,"",IF($BL152="-&gt;",2,1)))</f>
        <v/>
      </c>
      <c r="CS152" s="144" t="str">
        <f aca="false">IF(ISBLANK($C152),"",IF($BX152&lt;&gt;Constants!$B$6,"",IF($BL152="-&gt;",$BN152,$BC152)))</f>
        <v/>
      </c>
      <c r="CT152" s="144" t="str">
        <f aca="false">IF(ISBLANK($C152),"",IF($BX152&lt;&gt;Constants!$B$6,"",IF($BL152="-&gt;",$BO152,$BD152)))</f>
        <v/>
      </c>
      <c r="CU152" s="144" t="str">
        <f aca="false">IF(ISBLANK($C152),"",IF($BX152&lt;&gt;Constants!$B$6,"",IF($BL152="-&gt;",$BP152+$BQ152,$BE152+$BF152)+$CB152))</f>
        <v/>
      </c>
      <c r="CV152" s="144" t="str">
        <f aca="false">IF(ISBLANK($C152),"",IF($BX152&lt;&gt;Constants!$B$6,"",IF($BL152="-&gt;",$BR152,$BG152)+$CA152))</f>
        <v/>
      </c>
      <c r="CW152" s="145" t="str">
        <f aca="false">IF(ISBLANK($C152),"",IF($BX152&lt;&gt;Constants!$B$6,$BX152,$CC152))</f>
        <v/>
      </c>
      <c r="CX152" s="146" t="str">
        <f aca="false">IF(ISBLANK($C152),"",$BY152)</f>
        <v/>
      </c>
      <c r="CY152" s="147" t="str">
        <f aca="false">IF(ISBLANK($C152),"",$CN152)</f>
        <v/>
      </c>
      <c r="CZ152" s="147" t="str">
        <f aca="false">IF(ISBLANK($C152),"",$CM152)</f>
        <v/>
      </c>
      <c r="DA152" s="148" t="str">
        <f aca="false">IF(ISBLANK($C152),"",IFERROR(_xlfn.SWITCH($CZ152,Constants!$B$9,COUNTA($C$9:$C$508)+2,Constants!$B$8,COUNTA($C$9:$C$508)+1,Constants!$B$7,COUNTA($C$9:$C$508)),$CZ152))</f>
        <v/>
      </c>
      <c r="DB152" s="9"/>
      <c r="DC152" s="149" t="n">
        <f aca="false">IF(OR(ISNUMBER($CZ152),$CZ152=Constants!$B$9,$CZ152=Constants!$B$7,$CZ152=Constants!$B$8),1,0)</f>
        <v>0</v>
      </c>
      <c r="DD152" s="149" t="n">
        <v>144</v>
      </c>
      <c r="DE152" s="149" t="str">
        <f aca="false">IF(ISBLANK($C152),"",IF(ISNUMBER($DA152),$DA152+ROW($B152)/1000,""))</f>
        <v/>
      </c>
      <c r="DF152" s="149" t="str">
        <f aca="false">IF(ISNUMBER($DE152),RANK($DE152,$DE$9:$DE$508,1),"")</f>
        <v/>
      </c>
      <c r="DG152" s="149" t="str">
        <f aca="false">IF(ISBLANK($C152),"",$B152)</f>
        <v/>
      </c>
      <c r="DH152" s="149" t="str">
        <f aca="false">IF(ISBLANK($C152),"",$C152)</f>
        <v/>
      </c>
      <c r="DI152" s="149" t="str">
        <f aca="false">IF(ISBLANK($C152),"",$D152)</f>
        <v/>
      </c>
      <c r="DJ152" s="150" t="str">
        <f aca="false">$CX152</f>
        <v/>
      </c>
      <c r="DK152" s="151" t="str">
        <f aca="false">$CW152</f>
        <v/>
      </c>
      <c r="DL152" s="149" t="str">
        <f aca="false">IF(ISBLANK($C152),"",$CZ152)</f>
        <v/>
      </c>
      <c r="DM152" s="152" t="str">
        <f aca="false">IF($DD152&gt;$DC$8,"",VLOOKUP($DD152,$DF$9:$DL$508,7,FALSE()))</f>
        <v/>
      </c>
      <c r="DN152" s="153" t="str">
        <f aca="false">IF($DD152&gt;$DC$8,"",VLOOKUP($DD152,$DF$9:$DL$508,2,FALSE()))</f>
        <v/>
      </c>
      <c r="DO152" s="153" t="str">
        <f aca="false">IF($DD152&gt;$DC$8,"",VLOOKUP($DD152,$DF$9:$DL$508,3,FALSE()))</f>
        <v/>
      </c>
      <c r="DP152" s="153" t="str">
        <f aca="false">IF($DD152&gt;$DC$8,"",VLOOKUP($DD152,$DF$9:$DL$508,4,FALSE()))</f>
        <v/>
      </c>
      <c r="DQ152" s="153" t="str">
        <f aca="false">IF($DD152&gt;$DC$8,"",VLOOKUP($DD152,$DF$9:$DL$508,5,FALSE()))</f>
        <v/>
      </c>
      <c r="DR152" s="154" t="str">
        <f aca="false">IF($DD152&gt;$DC$8,"",VLOOKUP($DD152,$DF$9:$DL$508,6,FALSE()))</f>
        <v/>
      </c>
      <c r="DS152" s="76"/>
    </row>
    <row r="153" customFormat="false" ht="15.75" hidden="false" customHeight="false" outlineLevel="0" collapsed="false">
      <c r="A153" s="9"/>
      <c r="B153" s="78"/>
      <c r="C153" s="79"/>
      <c r="D153" s="170"/>
      <c r="E153" s="178"/>
      <c r="F153" s="172"/>
      <c r="G153" s="173"/>
      <c r="H153" s="173"/>
      <c r="I153" s="179"/>
      <c r="J153" s="176"/>
      <c r="K153" s="86"/>
      <c r="L153" s="87"/>
      <c r="M153" s="88"/>
      <c r="N153" s="176"/>
      <c r="O153" s="176"/>
      <c r="P153" s="178"/>
      <c r="Q153" s="176"/>
      <c r="R153" s="176"/>
      <c r="S153" s="86"/>
      <c r="T153" s="88"/>
      <c r="U153" s="88"/>
      <c r="V153" s="176"/>
      <c r="W153" s="176"/>
      <c r="X153" s="178"/>
      <c r="Y153" s="176"/>
      <c r="Z153" s="177"/>
      <c r="AA153" s="176"/>
      <c r="AB153" s="92"/>
      <c r="AC153" s="93"/>
      <c r="AD153" s="93"/>
      <c r="AE153" s="93"/>
      <c r="AF153" s="93" t="str">
        <f aca="false">IF(ISBLANK($C153),"",IF(E153=Constants!$B$2,TRUE(),IF(E153=Constants!$B$3,FALSE(),TRUE())))</f>
        <v/>
      </c>
      <c r="AG153" s="93" t="str">
        <f aca="false">IF(ISBLANK($C153),"",IF(F153=Constants!$B$2,TRUE(),IF(F153=Constants!$B$3,FALSE(),TRUE())))</f>
        <v/>
      </c>
      <c r="AH153" s="93" t="str">
        <f aca="false">IF(ISBLANK($C153),"",IF(G153=Constants!$B$2,TRUE(),IF(G153=Constants!$B$3,FALSE(),TRUE())))</f>
        <v/>
      </c>
      <c r="AI153" s="93" t="str">
        <f aca="false">IF(ISBLANK($C153),"",IF(AND(ISNUMBER(H153),H153&gt;=0),H153,Constants!$B$24))</f>
        <v/>
      </c>
      <c r="AJ153" s="93" t="str">
        <f aca="false">IF(ISBLANK($C153),"",IF(I153=Constants!$B$2,TRUE(),IF(I153=Constants!$B$3,FALSE(),TRUE())))</f>
        <v/>
      </c>
      <c r="AK153" s="93" t="str">
        <f aca="false">IF(ISBLANK($C153),"",IF(J153=Constants!$B$2,TRUE(),IF(J153=Constants!$B$3,FALSE(),TRUE())))</f>
        <v/>
      </c>
      <c r="AL153" s="93" t="str">
        <f aca="false">IF(ISBLANK($C153),"",IF(K153=Constants!$B$4,TRUE(),IF(K153=Constants!$B$5,FALSE(),COUNTA(L153:P153)&gt;0)))</f>
        <v/>
      </c>
      <c r="AM153" s="95" t="str">
        <f aca="false">IF(ISBLANK($C153),"",IF(ISNUMBER(L153),IF(L153&gt;=0,L153,""),""))</f>
        <v/>
      </c>
      <c r="AN153" s="94" t="str">
        <f aca="false">IF(ISBLANK($C153),"",IF(ISNUMBER(M153),IF(M153&gt;=0,M153,""),""))</f>
        <v/>
      </c>
      <c r="AO153" s="94" t="str">
        <f aca="false">IF(ISBLANK($C153),"",IF(N153=Constants!$B$2,TRUE(),IF(N153=Constants!$B$3,FALSE(),TRUE())))</f>
        <v/>
      </c>
      <c r="AP153" s="93" t="str">
        <f aca="false">IF(ISBLANK($C153),"",IF(ISNUMBER(O153),IF(O153&gt;=0,O153,""),""))</f>
        <v/>
      </c>
      <c r="AQ153" s="93" t="str">
        <f aca="false">IF(ISBLANK($C153),"",IF(P153=Constants!$B$2,TRUE(),IF(P153=Constants!$B$3,FALSE(),FALSE())))</f>
        <v/>
      </c>
      <c r="AR153" s="93" t="str">
        <f aca="false">IF(ISBLANK($C153),"",IF(Q153=Constants!$B$2,TRUE(),IF(Q153=Constants!$B$3,FALSE(),TRUE())))</f>
        <v/>
      </c>
      <c r="AS153" s="93" t="str">
        <f aca="false">IF(ISBLANK($C153),"",IF(R153=Constants!$B$2,TRUE(),IF(R153=Constants!$B$3,FALSE(),TRUE())))</f>
        <v/>
      </c>
      <c r="AT153" s="93" t="str">
        <f aca="false">IF(ISBLANK($C153),"",IF(S153=Constants!$B$4,TRUE(),IF(S153=Constants!$B$5,FALSE(),COUNTA(T153:X153)&gt;0)))</f>
        <v/>
      </c>
      <c r="AU153" s="95" t="str">
        <f aca="false">IF(ISBLANK($C153),"",IF(ISNUMBER(T153),IF(T153&gt;=0,T153,""),""))</f>
        <v/>
      </c>
      <c r="AV153" s="94" t="str">
        <f aca="false">IF(ISBLANK($C153),"",IF(ISNUMBER(U153),IF(U153&gt;=0,U153,""),""))</f>
        <v/>
      </c>
      <c r="AW153" s="94" t="str">
        <f aca="false">IF(ISBLANK($C153),"",IF(V153=Constants!$B$2,TRUE(),IF(V153=Constants!$B$3,FALSE(),TRUE())))</f>
        <v/>
      </c>
      <c r="AX153" s="93" t="str">
        <f aca="false">IF(ISBLANK($C153),"",IF(ISNUMBER(W153),IF(W153&gt;=0,W153,""),""))</f>
        <v/>
      </c>
      <c r="AY153" s="93" t="str">
        <f aca="false">IF(ISBLANK($C153),"",IF(X153=Constants!$B$2,TRUE(),IF(X153=Constants!$B$3,FALSE(),FALSE())))</f>
        <v/>
      </c>
      <c r="AZ153" s="93" t="str">
        <f aca="false">IF(ISBLANK($C153),"",MIN(Constants!$B$25,MAX(0,IF(ISNUMBER(Y153),Y153*60,0)+IF(ISNUMBER(Z153),Z153,0))))</f>
        <v/>
      </c>
      <c r="BA153" s="93" t="str">
        <f aca="false">IF(ISBLANK($C153),"",IF(AA153=Constants!$B$2,TRUE(),IF(AA153=Constants!$B$3,FALSE(),FALSE())))</f>
        <v/>
      </c>
      <c r="BB153" s="92" t="str">
        <f aca="false">IF(ISBLANK($C153),"",AND($AL153,OR($AM153="",$AN153="",AND($AO153,$AP153=""))))</f>
        <v/>
      </c>
      <c r="BC153" s="94" t="str">
        <f aca="false">IF($BX153&lt;&gt;Constants!$B$6,"",IF($AL153,Constants!$B$17*$AN153+Constants!$B$18*IF($AO153,$AP153,Constants!$B$19),Constants!$B$20))</f>
        <v/>
      </c>
      <c r="BD153" s="97" t="str">
        <f aca="false">IF($BX153&lt;&gt;Constants!$B$6,"",Constants!$B$21*ABS($AD$9-IF($AL153,$AM153,0)))</f>
        <v/>
      </c>
      <c r="BE153" s="97" t="str">
        <f aca="false">IF($BX153&lt;&gt;Constants!$B$6,"",IF(AND($AL153,$AQ153,$AO153),Constants!$B$22,0))</f>
        <v/>
      </c>
      <c r="BF153" s="97" t="str">
        <f aca="false">IF($BX153&lt;&gt;Constants!$B$6,"",IF($AL153,($AI153-Constants!$B$24)*Constants!$B$23,0))</f>
        <v/>
      </c>
      <c r="BG153" s="97" t="str">
        <f aca="false">IF($BX153&lt;&gt;Constants!$B$6,"",IF($AK153,0,Constants!$B$12)+IF($AJ153,0,Constants!$B$13)+IF($AH153,0,Constants!$B$14))</f>
        <v/>
      </c>
      <c r="BH153" s="98" t="str">
        <f aca="false">IF($BX153&lt;&gt;Constants!$B$6,"",Constants!$B$16+SUM($BC153:$BG153))</f>
        <v/>
      </c>
      <c r="BI153" s="97" t="str">
        <f aca="false">IF($BX153&lt;&gt;Constants!$B$6,"",$BC153)</f>
        <v/>
      </c>
      <c r="BJ153" s="97" t="str">
        <f aca="false">IF($BX153&lt;&gt;Constants!$B$6,"",$BD153)</f>
        <v/>
      </c>
      <c r="BK153" s="99" t="str">
        <f aca="false">IF($BX153&lt;&gt;Constants!$B$6,"",IF($AL153,$AN153,""))</f>
        <v/>
      </c>
      <c r="BL153" s="93" t="str">
        <f aca="false">IF($BX153&lt;&gt;Constants!$B$6,"",IF(OR($BS153&lt;$BH153,AND($BS153=$BH153,OR($BT153&lt;$BI153,AND($BT153=$BI153,OR($BU153&lt;$BJ153,AND($BU153=$BJ153,AND(ISNUMBER($BV153),OR(NOT(ISNUMBER($BK153)),$BV153&lt;$BK153)))))))),"-&gt;","&lt;-"))</f>
        <v/>
      </c>
      <c r="BM153" s="92" t="str">
        <f aca="false">IF(ISBLANK($C153),"",AND($AT153,OR($AU153="",$AV153="",AND($AW153,$AX153=""))))</f>
        <v/>
      </c>
      <c r="BN153" s="94" t="str">
        <f aca="false">IF($BX153&lt;&gt;Constants!$B$6,"",IF($AT153,Constants!$B$17*$AV153+Constants!$B$18*IF($AW153,$AX153,Constants!$B$19),Constants!$B$20))</f>
        <v/>
      </c>
      <c r="BO153" s="97" t="str">
        <f aca="false">IF($BX153&lt;&gt;Constants!$B$6,"",Constants!$B$21*ABS($AD$9-IF($AT153,$AU153,0)))</f>
        <v/>
      </c>
      <c r="BP153" s="97" t="str">
        <f aca="false">IF($BX153&lt;&gt;Constants!$B$6,"",IF(AND($AT153,$AY153,$AW153),Constants!$B$22,0))</f>
        <v/>
      </c>
      <c r="BQ153" s="97" t="str">
        <f aca="false">IF($BX153&lt;&gt;Constants!$B$6,"",IF($AT153,($AI153-Constants!$B$24)*Constants!$B$23,0))</f>
        <v/>
      </c>
      <c r="BR153" s="97" t="str">
        <f aca="false">IF($BX153&lt;&gt;Constants!$B$6,"",IF($AS153,0,Constants!$B$12)+IF($AR153,0,Constants!$B$13)+IF($AH153,0,Constants!$B$14))</f>
        <v/>
      </c>
      <c r="BS153" s="98" t="str">
        <f aca="false">IF($BX153&lt;&gt;Constants!$B$6,"",Constants!$B$16+SUM($BN153:$BR153))</f>
        <v/>
      </c>
      <c r="BT153" s="97" t="str">
        <f aca="false">IF($BX153&lt;&gt;Constants!$B$6,"",$BN153)</f>
        <v/>
      </c>
      <c r="BU153" s="97" t="str">
        <f aca="false">IF($BX153&lt;&gt;Constants!$B$6,"",$BO153)</f>
        <v/>
      </c>
      <c r="BV153" s="99" t="str">
        <f aca="false">IF($BX153&lt;&gt;Constants!$B$6,"",IF($AT153,$AV153,""))</f>
        <v/>
      </c>
      <c r="BW153" s="93" t="str">
        <f aca="false">IF(ISBLANK($C153),"",IF(ISBLANK($D$7),$BW$5,IF(NOT(ISNUMBER($D$7)),$BW$6,"")))</f>
        <v/>
      </c>
      <c r="BX153" s="93" t="str">
        <f aca="false">IF(ISBLANK($C153),"",IF($BA153,Constants!$B$9,IF(COUNTA($E153:$AA153)=0,Constants!$B$8,IF(NOT($AG153),Constants!$B$7,IF(OR($BW153&lt;&gt;"",$BB153,$BM153),Constants!$B$10,Constants!$B$6)))))</f>
        <v/>
      </c>
      <c r="BY153" s="93" t="str">
        <f aca="false">IF(ISBLANK($C153),"",IF($BX153&lt;&gt;Constants!$B$6,$BX153,Constants!$B$11))</f>
        <v/>
      </c>
      <c r="BZ153" s="97" t="str">
        <f aca="false">IF($BX153&lt;&gt;Constants!$B$6,"",IF($BL153="-&gt;",$BS153,$BH153))</f>
        <v/>
      </c>
      <c r="CA153" s="97" t="str">
        <f aca="false">IF($BX153&lt;&gt;Constants!$B$6,"",IF($AF153,0,Constants!$B$15))</f>
        <v/>
      </c>
      <c r="CB153" s="97" t="str">
        <f aca="false">IF($BX153&lt;&gt;Constants!$B$6,"",((Constants!$B$25-$AZ153)-Constants!$B$25)/Constants!$B$26)</f>
        <v/>
      </c>
      <c r="CC153" s="97" t="str">
        <f aca="false">IF(ISBLANK($C153),"",IF($BX153&lt;&gt;Constants!$B$6,$BX153,SUM($BZ153:$CB153)))</f>
        <v/>
      </c>
      <c r="CD153" s="93" t="str">
        <f aca="false">IF(ISBLANK($C153),"",IF($BX153&lt;&gt;Constants!$B$6,$BX153,RANK($CC153,$CC$9:$CC$508,1)))</f>
        <v/>
      </c>
      <c r="CE153" s="97" t="str">
        <f aca="false">IF($BX153&lt;&gt;Constants!$B$6,"",IF($BL153="-&gt;",$BT153,$BI153))</f>
        <v/>
      </c>
      <c r="CF153" s="93" t="str">
        <f aca="false">IF(ISBLANK($C153),"",IF($BX153&lt;&gt;Constants!$B$6,$BX153,IF(ISNUMBER($CE153),RANK($CE153,$CE$9:$CE$508,1),COUNT($CE$9:$CE$508)+1)))</f>
        <v/>
      </c>
      <c r="CG153" s="97" t="str">
        <f aca="false">IF($BX153&lt;&gt;Constants!$B$6,"",IF($BL153="-&gt;",$BU153,$BJ153))</f>
        <v/>
      </c>
      <c r="CH153" s="93" t="str">
        <f aca="false">IF(ISBLANK($C153),"",IF($BX153&lt;&gt;Constants!$B$6,$BX153,IF(ISNUMBER($CG153),RANK($CG153,$CG$9:$CG$508,1),COUNT($CG$9:$CG$508)+1)))</f>
        <v/>
      </c>
      <c r="CI153" s="97" t="str">
        <f aca="false">IF($BX153&lt;&gt;Constants!$B$6,"",IF($BL153="-&gt;",$BV153,$BK153))</f>
        <v/>
      </c>
      <c r="CJ153" s="93" t="str">
        <f aca="false">IF(ISBLANK($C153),"",IF($BX153&lt;&gt;Constants!$B$6,$BX153,IF(ISNUMBER($CI153),RANK($CI153,$CI$9:$CI$508,1),COUNT($CI$9:$CI$508)+1)))</f>
        <v/>
      </c>
      <c r="CK153" s="97" t="str">
        <f aca="false">IF($BX153&lt;&gt;Constants!$B$6,"",$AI153)</f>
        <v/>
      </c>
      <c r="CL153" s="93" t="str">
        <f aca="false">IF(ISBLANK($C153),"",IF($BX153&lt;&gt;Constants!$B$6,$BX153,IF(ISNUMBER($CK153),RANK($CK153,$CK$9:$CK$508,1),COUNT($CK$9:$CK$508)+1)))</f>
        <v/>
      </c>
      <c r="CM153" s="93" t="str">
        <f aca="false">IF(ISBLANK($C153),"",IF($BX153&lt;&gt;Constants!$B$6,$BX153,COUNTIFS($CD$9:$CD$508,"&lt;"&amp;$CD153)+COUNTIFS($CD$9:$CD$508,$CD153,$CF$9:$CF$508,"&lt;"&amp;$CF153)+COUNTIFS($CD$9:$CD$508,$CD153,$CF$9:$CF$508,$CF153,$CH$9:$CH$508,"&lt;"&amp;$CH153)+COUNTIFS($CD$9:$CD$508,$CD153,$CF$9:$CF$508,$CF153,$CH$9:$CH$508,$CH153,$CJ$9:$CJ$508,"&lt;"&amp;$CJ153)+COUNTIFS($CD$9:$CD$508,$CD153,$CF$9:$CF$508,$CF153,$CH$9:$CH$508,$CH153,$CJ$9:$CJ$508,$CJ153,$CL$9:$CL$508,"&lt;"&amp;$CL153)+1))</f>
        <v/>
      </c>
      <c r="CN153" s="93" t="str">
        <f aca="false">IF(ISBLANK($C153),"",IF($BX153&lt;&gt;Constants!$B$6,$BX153,$CD153-$CM153))</f>
        <v/>
      </c>
      <c r="CO153" s="100"/>
      <c r="CP153" s="101"/>
      <c r="CQ153" s="102" t="str">
        <f aca="false">IF(ISBLANK($C153),"",IF($BX153=Constants!$B$10,$BW153,""))</f>
        <v/>
      </c>
      <c r="CR153" s="101" t="str">
        <f aca="false">IF(ISBLANK($C153),"",IF($BX153&lt;&gt;Constants!$B$6,"",IF($BL153="-&gt;",2,1)))</f>
        <v/>
      </c>
      <c r="CS153" s="103" t="str">
        <f aca="false">IF(ISBLANK($C153),"",IF($BX153&lt;&gt;Constants!$B$6,"",IF($BL153="-&gt;",$BN153,$BC153)))</f>
        <v/>
      </c>
      <c r="CT153" s="103" t="str">
        <f aca="false">IF(ISBLANK($C153),"",IF($BX153&lt;&gt;Constants!$B$6,"",IF($BL153="-&gt;",$BO153,$BD153)))</f>
        <v/>
      </c>
      <c r="CU153" s="103" t="str">
        <f aca="false">IF(ISBLANK($C153),"",IF($BX153&lt;&gt;Constants!$B$6,"",IF($BL153="-&gt;",$BP153+$BQ153,$BE153+$BF153)+$CB153))</f>
        <v/>
      </c>
      <c r="CV153" s="103" t="str">
        <f aca="false">IF(ISBLANK($C153),"",IF($BX153&lt;&gt;Constants!$B$6,"",IF($BL153="-&gt;",$BR153,$BG153)+$CA153))</f>
        <v/>
      </c>
      <c r="CW153" s="104" t="str">
        <f aca="false">IF(ISBLANK($C153),"",IF($BX153&lt;&gt;Constants!$B$6,$BX153,$CC153))</f>
        <v/>
      </c>
      <c r="CX153" s="105" t="str">
        <f aca="false">IF(ISBLANK($C153),"",$BY153)</f>
        <v/>
      </c>
      <c r="CY153" s="106" t="str">
        <f aca="false">IF(ISBLANK($C153),"",$CN153)</f>
        <v/>
      </c>
      <c r="CZ153" s="106" t="str">
        <f aca="false">IF(ISBLANK($C153),"",$CM153)</f>
        <v/>
      </c>
      <c r="DA153" s="107" t="str">
        <f aca="false">IF(ISBLANK($C153),"",IFERROR(_xlfn.SWITCH($CZ153,Constants!$B$9,COUNTA($C$9:$C$508)+2,Constants!$B$8,COUNTA($C$9:$C$508)+1,Constants!$B$7,COUNTA($C$9:$C$508)),$CZ153))</f>
        <v/>
      </c>
      <c r="DB153" s="9"/>
      <c r="DC153" s="108" t="n">
        <f aca="false">IF(OR(ISNUMBER($CZ153),$CZ153=Constants!$B$9,$CZ153=Constants!$B$7,$CZ153=Constants!$B$8),1,0)</f>
        <v>0</v>
      </c>
      <c r="DD153" s="108" t="n">
        <v>145</v>
      </c>
      <c r="DE153" s="108" t="str">
        <f aca="false">IF(ISBLANK($C153),"",IF(ISNUMBER($DA153),$DA153+ROW($B153)/1000,""))</f>
        <v/>
      </c>
      <c r="DF153" s="108" t="str">
        <f aca="false">IF(ISNUMBER($DE153),RANK($DE153,$DE$9:$DE$508,1),"")</f>
        <v/>
      </c>
      <c r="DG153" s="108" t="str">
        <f aca="false">IF(ISBLANK($C153),"",$B153)</f>
        <v/>
      </c>
      <c r="DH153" s="108" t="str">
        <f aca="false">IF(ISBLANK($C153),"",$C153)</f>
        <v/>
      </c>
      <c r="DI153" s="108" t="str">
        <f aca="false">IF(ISBLANK($C153),"",$D153)</f>
        <v/>
      </c>
      <c r="DJ153" s="109" t="str">
        <f aca="false">$CX153</f>
        <v/>
      </c>
      <c r="DK153" s="110" t="str">
        <f aca="false">$CW153</f>
        <v/>
      </c>
      <c r="DL153" s="108" t="str">
        <f aca="false">IF(ISBLANK($C153),"",$CZ153)</f>
        <v/>
      </c>
      <c r="DM153" s="111" t="str">
        <f aca="false">IF($DD153&gt;$DC$8,"",VLOOKUP($DD153,$DF$9:$DL$508,7,FALSE()))</f>
        <v/>
      </c>
      <c r="DN153" s="112" t="str">
        <f aca="false">IF($DD153&gt;$DC$8,"",VLOOKUP($DD153,$DF$9:$DL$508,2,FALSE()))</f>
        <v/>
      </c>
      <c r="DO153" s="112" t="str">
        <f aca="false">IF($DD153&gt;$DC$8,"",VLOOKUP($DD153,$DF$9:$DL$508,3,FALSE()))</f>
        <v/>
      </c>
      <c r="DP153" s="112" t="str">
        <f aca="false">IF($DD153&gt;$DC$8,"",VLOOKUP($DD153,$DF$9:$DL$508,4,FALSE()))</f>
        <v/>
      </c>
      <c r="DQ153" s="112" t="str">
        <f aca="false">IF($DD153&gt;$DC$8,"",VLOOKUP($DD153,$DF$9:$DL$508,5,FALSE()))</f>
        <v/>
      </c>
      <c r="DR153" s="113" t="str">
        <f aca="false">IF($DD153&gt;$DC$8,"",VLOOKUP($DD153,$DF$9:$DL$508,6,FALSE()))</f>
        <v/>
      </c>
      <c r="DS153" s="76"/>
    </row>
    <row r="154" customFormat="false" ht="15.75" hidden="false" customHeight="false" outlineLevel="0" collapsed="false">
      <c r="A154" s="9"/>
      <c r="B154" s="78"/>
      <c r="C154" s="79"/>
      <c r="D154" s="170"/>
      <c r="E154" s="178"/>
      <c r="F154" s="172"/>
      <c r="G154" s="173"/>
      <c r="H154" s="173"/>
      <c r="I154" s="179"/>
      <c r="J154" s="176"/>
      <c r="K154" s="86"/>
      <c r="L154" s="87"/>
      <c r="M154" s="88"/>
      <c r="N154" s="176"/>
      <c r="O154" s="176"/>
      <c r="P154" s="178"/>
      <c r="Q154" s="176"/>
      <c r="R154" s="176"/>
      <c r="S154" s="86"/>
      <c r="T154" s="88"/>
      <c r="U154" s="88"/>
      <c r="V154" s="176"/>
      <c r="W154" s="176"/>
      <c r="X154" s="178"/>
      <c r="Y154" s="176"/>
      <c r="Z154" s="177"/>
      <c r="AA154" s="176"/>
      <c r="AB154" s="92"/>
      <c r="AC154" s="93"/>
      <c r="AD154" s="93"/>
      <c r="AE154" s="93"/>
      <c r="AF154" s="93" t="str">
        <f aca="false">IF(ISBLANK($C154),"",IF(E154=Constants!$B$2,TRUE(),IF(E154=Constants!$B$3,FALSE(),TRUE())))</f>
        <v/>
      </c>
      <c r="AG154" s="93" t="str">
        <f aca="false">IF(ISBLANK($C154),"",IF(F154=Constants!$B$2,TRUE(),IF(F154=Constants!$B$3,FALSE(),TRUE())))</f>
        <v/>
      </c>
      <c r="AH154" s="93" t="str">
        <f aca="false">IF(ISBLANK($C154),"",IF(G154=Constants!$B$2,TRUE(),IF(G154=Constants!$B$3,FALSE(),TRUE())))</f>
        <v/>
      </c>
      <c r="AI154" s="93" t="str">
        <f aca="false">IF(ISBLANK($C154),"",IF(AND(ISNUMBER(H154),H154&gt;=0),H154,Constants!$B$24))</f>
        <v/>
      </c>
      <c r="AJ154" s="93" t="str">
        <f aca="false">IF(ISBLANK($C154),"",IF(I154=Constants!$B$2,TRUE(),IF(I154=Constants!$B$3,FALSE(),TRUE())))</f>
        <v/>
      </c>
      <c r="AK154" s="93" t="str">
        <f aca="false">IF(ISBLANK($C154),"",IF(J154=Constants!$B$2,TRUE(),IF(J154=Constants!$B$3,FALSE(),TRUE())))</f>
        <v/>
      </c>
      <c r="AL154" s="93" t="str">
        <f aca="false">IF(ISBLANK($C154),"",IF(K154=Constants!$B$4,TRUE(),IF(K154=Constants!$B$5,FALSE(),COUNTA(L154:P154)&gt;0)))</f>
        <v/>
      </c>
      <c r="AM154" s="95" t="str">
        <f aca="false">IF(ISBLANK($C154),"",IF(ISNUMBER(L154),IF(L154&gt;=0,L154,""),""))</f>
        <v/>
      </c>
      <c r="AN154" s="94" t="str">
        <f aca="false">IF(ISBLANK($C154),"",IF(ISNUMBER(M154),IF(M154&gt;=0,M154,""),""))</f>
        <v/>
      </c>
      <c r="AO154" s="94" t="str">
        <f aca="false">IF(ISBLANK($C154),"",IF(N154=Constants!$B$2,TRUE(),IF(N154=Constants!$B$3,FALSE(),TRUE())))</f>
        <v/>
      </c>
      <c r="AP154" s="93" t="str">
        <f aca="false">IF(ISBLANK($C154),"",IF(ISNUMBER(O154),IF(O154&gt;=0,O154,""),""))</f>
        <v/>
      </c>
      <c r="AQ154" s="93" t="str">
        <f aca="false">IF(ISBLANK($C154),"",IF(P154=Constants!$B$2,TRUE(),IF(P154=Constants!$B$3,FALSE(),FALSE())))</f>
        <v/>
      </c>
      <c r="AR154" s="93" t="str">
        <f aca="false">IF(ISBLANK($C154),"",IF(Q154=Constants!$B$2,TRUE(),IF(Q154=Constants!$B$3,FALSE(),TRUE())))</f>
        <v/>
      </c>
      <c r="AS154" s="93" t="str">
        <f aca="false">IF(ISBLANK($C154),"",IF(R154=Constants!$B$2,TRUE(),IF(R154=Constants!$B$3,FALSE(),TRUE())))</f>
        <v/>
      </c>
      <c r="AT154" s="93" t="str">
        <f aca="false">IF(ISBLANK($C154),"",IF(S154=Constants!$B$4,TRUE(),IF(S154=Constants!$B$5,FALSE(),COUNTA(T154:X154)&gt;0)))</f>
        <v/>
      </c>
      <c r="AU154" s="95" t="str">
        <f aca="false">IF(ISBLANK($C154),"",IF(ISNUMBER(T154),IF(T154&gt;=0,T154,""),""))</f>
        <v/>
      </c>
      <c r="AV154" s="94" t="str">
        <f aca="false">IF(ISBLANK($C154),"",IF(ISNUMBER(U154),IF(U154&gt;=0,U154,""),""))</f>
        <v/>
      </c>
      <c r="AW154" s="94" t="str">
        <f aca="false">IF(ISBLANK($C154),"",IF(V154=Constants!$B$2,TRUE(),IF(V154=Constants!$B$3,FALSE(),TRUE())))</f>
        <v/>
      </c>
      <c r="AX154" s="93" t="str">
        <f aca="false">IF(ISBLANK($C154),"",IF(ISNUMBER(W154),IF(W154&gt;=0,W154,""),""))</f>
        <v/>
      </c>
      <c r="AY154" s="93" t="str">
        <f aca="false">IF(ISBLANK($C154),"",IF(X154=Constants!$B$2,TRUE(),IF(X154=Constants!$B$3,FALSE(),FALSE())))</f>
        <v/>
      </c>
      <c r="AZ154" s="93" t="str">
        <f aca="false">IF(ISBLANK($C154),"",MIN(Constants!$B$25,MAX(0,IF(ISNUMBER(Y154),Y154*60,0)+IF(ISNUMBER(Z154),Z154,0))))</f>
        <v/>
      </c>
      <c r="BA154" s="93" t="str">
        <f aca="false">IF(ISBLANK($C154),"",IF(AA154=Constants!$B$2,TRUE(),IF(AA154=Constants!$B$3,FALSE(),FALSE())))</f>
        <v/>
      </c>
      <c r="BB154" s="92" t="str">
        <f aca="false">IF(ISBLANK($C154),"",AND($AL154,OR($AM154="",$AN154="",AND($AO154,$AP154=""))))</f>
        <v/>
      </c>
      <c r="BC154" s="94" t="str">
        <f aca="false">IF($BX154&lt;&gt;Constants!$B$6,"",IF($AL154,Constants!$B$17*$AN154+Constants!$B$18*IF($AO154,$AP154,Constants!$B$19),Constants!$B$20))</f>
        <v/>
      </c>
      <c r="BD154" s="97" t="str">
        <f aca="false">IF($BX154&lt;&gt;Constants!$B$6,"",Constants!$B$21*ABS($AD$9-IF($AL154,$AM154,0)))</f>
        <v/>
      </c>
      <c r="BE154" s="97" t="str">
        <f aca="false">IF($BX154&lt;&gt;Constants!$B$6,"",IF(AND($AL154,$AQ154,$AO154),Constants!$B$22,0))</f>
        <v/>
      </c>
      <c r="BF154" s="97" t="str">
        <f aca="false">IF($BX154&lt;&gt;Constants!$B$6,"",IF($AL154,($AI154-Constants!$B$24)*Constants!$B$23,0))</f>
        <v/>
      </c>
      <c r="BG154" s="97" t="str">
        <f aca="false">IF($BX154&lt;&gt;Constants!$B$6,"",IF($AK154,0,Constants!$B$12)+IF($AJ154,0,Constants!$B$13)+IF($AH154,0,Constants!$B$14))</f>
        <v/>
      </c>
      <c r="BH154" s="98" t="str">
        <f aca="false">IF($BX154&lt;&gt;Constants!$B$6,"",Constants!$B$16+SUM($BC154:$BG154))</f>
        <v/>
      </c>
      <c r="BI154" s="97" t="str">
        <f aca="false">IF($BX154&lt;&gt;Constants!$B$6,"",$BC154)</f>
        <v/>
      </c>
      <c r="BJ154" s="97" t="str">
        <f aca="false">IF($BX154&lt;&gt;Constants!$B$6,"",$BD154)</f>
        <v/>
      </c>
      <c r="BK154" s="99" t="str">
        <f aca="false">IF($BX154&lt;&gt;Constants!$B$6,"",IF($AL154,$AN154,""))</f>
        <v/>
      </c>
      <c r="BL154" s="93" t="str">
        <f aca="false">IF($BX154&lt;&gt;Constants!$B$6,"",IF(OR($BS154&lt;$BH154,AND($BS154=$BH154,OR($BT154&lt;$BI154,AND($BT154=$BI154,OR($BU154&lt;$BJ154,AND($BU154=$BJ154,AND(ISNUMBER($BV154),OR(NOT(ISNUMBER($BK154)),$BV154&lt;$BK154)))))))),"-&gt;","&lt;-"))</f>
        <v/>
      </c>
      <c r="BM154" s="92" t="str">
        <f aca="false">IF(ISBLANK($C154),"",AND($AT154,OR($AU154="",$AV154="",AND($AW154,$AX154=""))))</f>
        <v/>
      </c>
      <c r="BN154" s="94" t="str">
        <f aca="false">IF($BX154&lt;&gt;Constants!$B$6,"",IF($AT154,Constants!$B$17*$AV154+Constants!$B$18*IF($AW154,$AX154,Constants!$B$19),Constants!$B$20))</f>
        <v/>
      </c>
      <c r="BO154" s="97" t="str">
        <f aca="false">IF($BX154&lt;&gt;Constants!$B$6,"",Constants!$B$21*ABS($AD$9-IF($AT154,$AU154,0)))</f>
        <v/>
      </c>
      <c r="BP154" s="97" t="str">
        <f aca="false">IF($BX154&lt;&gt;Constants!$B$6,"",IF(AND($AT154,$AY154,$AW154),Constants!$B$22,0))</f>
        <v/>
      </c>
      <c r="BQ154" s="97" t="str">
        <f aca="false">IF($BX154&lt;&gt;Constants!$B$6,"",IF($AT154,($AI154-Constants!$B$24)*Constants!$B$23,0))</f>
        <v/>
      </c>
      <c r="BR154" s="97" t="str">
        <f aca="false">IF($BX154&lt;&gt;Constants!$B$6,"",IF($AS154,0,Constants!$B$12)+IF($AR154,0,Constants!$B$13)+IF($AH154,0,Constants!$B$14))</f>
        <v/>
      </c>
      <c r="BS154" s="98" t="str">
        <f aca="false">IF($BX154&lt;&gt;Constants!$B$6,"",Constants!$B$16+SUM($BN154:$BR154))</f>
        <v/>
      </c>
      <c r="BT154" s="97" t="str">
        <f aca="false">IF($BX154&lt;&gt;Constants!$B$6,"",$BN154)</f>
        <v/>
      </c>
      <c r="BU154" s="97" t="str">
        <f aca="false">IF($BX154&lt;&gt;Constants!$B$6,"",$BO154)</f>
        <v/>
      </c>
      <c r="BV154" s="99" t="str">
        <f aca="false">IF($BX154&lt;&gt;Constants!$B$6,"",IF($AT154,$AV154,""))</f>
        <v/>
      </c>
      <c r="BW154" s="93" t="str">
        <f aca="false">IF(ISBLANK($C154),"",IF(ISBLANK($D$7),$BW$5,IF(NOT(ISNUMBER($D$7)),$BW$6,"")))</f>
        <v/>
      </c>
      <c r="BX154" s="93" t="str">
        <f aca="false">IF(ISBLANK($C154),"",IF($BA154,Constants!$B$9,IF(COUNTA($E154:$AA154)=0,Constants!$B$8,IF(NOT($AG154),Constants!$B$7,IF(OR($BW154&lt;&gt;"",$BB154,$BM154),Constants!$B$10,Constants!$B$6)))))</f>
        <v/>
      </c>
      <c r="BY154" s="93" t="str">
        <f aca="false">IF(ISBLANK($C154),"",IF($BX154&lt;&gt;Constants!$B$6,$BX154,Constants!$B$11))</f>
        <v/>
      </c>
      <c r="BZ154" s="97" t="str">
        <f aca="false">IF($BX154&lt;&gt;Constants!$B$6,"",IF($BL154="-&gt;",$BS154,$BH154))</f>
        <v/>
      </c>
      <c r="CA154" s="97" t="str">
        <f aca="false">IF($BX154&lt;&gt;Constants!$B$6,"",IF($AF154,0,Constants!$B$15))</f>
        <v/>
      </c>
      <c r="CB154" s="97" t="str">
        <f aca="false">IF($BX154&lt;&gt;Constants!$B$6,"",((Constants!$B$25-$AZ154)-Constants!$B$25)/Constants!$B$26)</f>
        <v/>
      </c>
      <c r="CC154" s="97" t="str">
        <f aca="false">IF(ISBLANK($C154),"",IF($BX154&lt;&gt;Constants!$B$6,$BX154,SUM($BZ154:$CB154)))</f>
        <v/>
      </c>
      <c r="CD154" s="93" t="str">
        <f aca="false">IF(ISBLANK($C154),"",IF($BX154&lt;&gt;Constants!$B$6,$BX154,RANK($CC154,$CC$9:$CC$508,1)))</f>
        <v/>
      </c>
      <c r="CE154" s="97" t="str">
        <f aca="false">IF($BX154&lt;&gt;Constants!$B$6,"",IF($BL154="-&gt;",$BT154,$BI154))</f>
        <v/>
      </c>
      <c r="CF154" s="93" t="str">
        <f aca="false">IF(ISBLANK($C154),"",IF($BX154&lt;&gt;Constants!$B$6,$BX154,IF(ISNUMBER($CE154),RANK($CE154,$CE$9:$CE$508,1),COUNT($CE$9:$CE$508)+1)))</f>
        <v/>
      </c>
      <c r="CG154" s="97" t="str">
        <f aca="false">IF($BX154&lt;&gt;Constants!$B$6,"",IF($BL154="-&gt;",$BU154,$BJ154))</f>
        <v/>
      </c>
      <c r="CH154" s="93" t="str">
        <f aca="false">IF(ISBLANK($C154),"",IF($BX154&lt;&gt;Constants!$B$6,$BX154,IF(ISNUMBER($CG154),RANK($CG154,$CG$9:$CG$508,1),COUNT($CG$9:$CG$508)+1)))</f>
        <v/>
      </c>
      <c r="CI154" s="97" t="str">
        <f aca="false">IF($BX154&lt;&gt;Constants!$B$6,"",IF($BL154="-&gt;",$BV154,$BK154))</f>
        <v/>
      </c>
      <c r="CJ154" s="93" t="str">
        <f aca="false">IF(ISBLANK($C154),"",IF($BX154&lt;&gt;Constants!$B$6,$BX154,IF(ISNUMBER($CI154),RANK($CI154,$CI$9:$CI$508,1),COUNT($CI$9:$CI$508)+1)))</f>
        <v/>
      </c>
      <c r="CK154" s="97" t="str">
        <f aca="false">IF($BX154&lt;&gt;Constants!$B$6,"",$AI154)</f>
        <v/>
      </c>
      <c r="CL154" s="93" t="str">
        <f aca="false">IF(ISBLANK($C154),"",IF($BX154&lt;&gt;Constants!$B$6,$BX154,IF(ISNUMBER($CK154),RANK($CK154,$CK$9:$CK$508,1),COUNT($CK$9:$CK$508)+1)))</f>
        <v/>
      </c>
      <c r="CM154" s="93" t="str">
        <f aca="false">IF(ISBLANK($C154),"",IF($BX154&lt;&gt;Constants!$B$6,$BX154,COUNTIFS($CD$9:$CD$508,"&lt;"&amp;$CD154)+COUNTIFS($CD$9:$CD$508,$CD154,$CF$9:$CF$508,"&lt;"&amp;$CF154)+COUNTIFS($CD$9:$CD$508,$CD154,$CF$9:$CF$508,$CF154,$CH$9:$CH$508,"&lt;"&amp;$CH154)+COUNTIFS($CD$9:$CD$508,$CD154,$CF$9:$CF$508,$CF154,$CH$9:$CH$508,$CH154,$CJ$9:$CJ$508,"&lt;"&amp;$CJ154)+COUNTIFS($CD$9:$CD$508,$CD154,$CF$9:$CF$508,$CF154,$CH$9:$CH$508,$CH154,$CJ$9:$CJ$508,$CJ154,$CL$9:$CL$508,"&lt;"&amp;$CL154)+1))</f>
        <v/>
      </c>
      <c r="CN154" s="93" t="str">
        <f aca="false">IF(ISBLANK($C154),"",IF($BX154&lt;&gt;Constants!$B$6,$BX154,$CD154-$CM154))</f>
        <v/>
      </c>
      <c r="CO154" s="100"/>
      <c r="CP154" s="101"/>
      <c r="CQ154" s="102" t="str">
        <f aca="false">IF(ISBLANK($C154),"",IF($BX154=Constants!$B$10,$BW154,""))</f>
        <v/>
      </c>
      <c r="CR154" s="101" t="str">
        <f aca="false">IF(ISBLANK($C154),"",IF($BX154&lt;&gt;Constants!$B$6,"",IF($BL154="-&gt;",2,1)))</f>
        <v/>
      </c>
      <c r="CS154" s="103" t="str">
        <f aca="false">IF(ISBLANK($C154),"",IF($BX154&lt;&gt;Constants!$B$6,"",IF($BL154="-&gt;",$BN154,$BC154)))</f>
        <v/>
      </c>
      <c r="CT154" s="103" t="str">
        <f aca="false">IF(ISBLANK($C154),"",IF($BX154&lt;&gt;Constants!$B$6,"",IF($BL154="-&gt;",$BO154,$BD154)))</f>
        <v/>
      </c>
      <c r="CU154" s="103" t="str">
        <f aca="false">IF(ISBLANK($C154),"",IF($BX154&lt;&gt;Constants!$B$6,"",IF($BL154="-&gt;",$BP154+$BQ154,$BE154+$BF154)+$CB154))</f>
        <v/>
      </c>
      <c r="CV154" s="103" t="str">
        <f aca="false">IF(ISBLANK($C154),"",IF($BX154&lt;&gt;Constants!$B$6,"",IF($BL154="-&gt;",$BR154,$BG154)+$CA154))</f>
        <v/>
      </c>
      <c r="CW154" s="104" t="str">
        <f aca="false">IF(ISBLANK($C154),"",IF($BX154&lt;&gt;Constants!$B$6,$BX154,$CC154))</f>
        <v/>
      </c>
      <c r="CX154" s="105" t="str">
        <f aca="false">IF(ISBLANK($C154),"",$BY154)</f>
        <v/>
      </c>
      <c r="CY154" s="106" t="str">
        <f aca="false">IF(ISBLANK($C154),"",$CN154)</f>
        <v/>
      </c>
      <c r="CZ154" s="106" t="str">
        <f aca="false">IF(ISBLANK($C154),"",$CM154)</f>
        <v/>
      </c>
      <c r="DA154" s="107" t="str">
        <f aca="false">IF(ISBLANK($C154),"",IFERROR(_xlfn.SWITCH($CZ154,Constants!$B$9,COUNTA($C$9:$C$508)+2,Constants!$B$8,COUNTA($C$9:$C$508)+1,Constants!$B$7,COUNTA($C$9:$C$508)),$CZ154))</f>
        <v/>
      </c>
      <c r="DB154" s="9"/>
      <c r="DC154" s="108" t="n">
        <f aca="false">IF(OR(ISNUMBER($CZ154),$CZ154=Constants!$B$9,$CZ154=Constants!$B$7,$CZ154=Constants!$B$8),1,0)</f>
        <v>0</v>
      </c>
      <c r="DD154" s="108" t="n">
        <v>146</v>
      </c>
      <c r="DE154" s="108" t="str">
        <f aca="false">IF(ISBLANK($C154),"",IF(ISNUMBER($DA154),$DA154+ROW($B154)/1000,""))</f>
        <v/>
      </c>
      <c r="DF154" s="108" t="str">
        <f aca="false">IF(ISNUMBER($DE154),RANK($DE154,$DE$9:$DE$508,1),"")</f>
        <v/>
      </c>
      <c r="DG154" s="108" t="str">
        <f aca="false">IF(ISBLANK($C154),"",$B154)</f>
        <v/>
      </c>
      <c r="DH154" s="108" t="str">
        <f aca="false">IF(ISBLANK($C154),"",$C154)</f>
        <v/>
      </c>
      <c r="DI154" s="108" t="str">
        <f aca="false">IF(ISBLANK($C154),"",$D154)</f>
        <v/>
      </c>
      <c r="DJ154" s="109" t="str">
        <f aca="false">$CX154</f>
        <v/>
      </c>
      <c r="DK154" s="110" t="str">
        <f aca="false">$CW154</f>
        <v/>
      </c>
      <c r="DL154" s="108" t="str">
        <f aca="false">IF(ISBLANK($C154),"",$CZ154)</f>
        <v/>
      </c>
      <c r="DM154" s="111" t="str">
        <f aca="false">IF($DD154&gt;$DC$8,"",VLOOKUP($DD154,$DF$9:$DL$508,7,FALSE()))</f>
        <v/>
      </c>
      <c r="DN154" s="112" t="str">
        <f aca="false">IF($DD154&gt;$DC$8,"",VLOOKUP($DD154,$DF$9:$DL$508,2,FALSE()))</f>
        <v/>
      </c>
      <c r="DO154" s="112" t="str">
        <f aca="false">IF($DD154&gt;$DC$8,"",VLOOKUP($DD154,$DF$9:$DL$508,3,FALSE()))</f>
        <v/>
      </c>
      <c r="DP154" s="112" t="str">
        <f aca="false">IF($DD154&gt;$DC$8,"",VLOOKUP($DD154,$DF$9:$DL$508,4,FALSE()))</f>
        <v/>
      </c>
      <c r="DQ154" s="112" t="str">
        <f aca="false">IF($DD154&gt;$DC$8,"",VLOOKUP($DD154,$DF$9:$DL$508,5,FALSE()))</f>
        <v/>
      </c>
      <c r="DR154" s="113" t="str">
        <f aca="false">IF($DD154&gt;$DC$8,"",VLOOKUP($DD154,$DF$9:$DL$508,6,FALSE()))</f>
        <v/>
      </c>
      <c r="DS154" s="76"/>
    </row>
    <row r="155" customFormat="false" ht="15.75" hidden="false" customHeight="false" outlineLevel="0" collapsed="false">
      <c r="A155" s="9"/>
      <c r="B155" s="78"/>
      <c r="C155" s="79"/>
      <c r="D155" s="170"/>
      <c r="E155" s="178"/>
      <c r="F155" s="172"/>
      <c r="G155" s="173"/>
      <c r="H155" s="173"/>
      <c r="I155" s="179"/>
      <c r="J155" s="176"/>
      <c r="K155" s="86"/>
      <c r="L155" s="87"/>
      <c r="M155" s="88"/>
      <c r="N155" s="176"/>
      <c r="O155" s="176"/>
      <c r="P155" s="178"/>
      <c r="Q155" s="176"/>
      <c r="R155" s="176"/>
      <c r="S155" s="86"/>
      <c r="T155" s="88"/>
      <c r="U155" s="88"/>
      <c r="V155" s="176"/>
      <c r="W155" s="176"/>
      <c r="X155" s="178"/>
      <c r="Y155" s="176"/>
      <c r="Z155" s="177"/>
      <c r="AA155" s="176"/>
      <c r="AB155" s="92"/>
      <c r="AC155" s="93"/>
      <c r="AD155" s="93"/>
      <c r="AE155" s="93"/>
      <c r="AF155" s="93" t="str">
        <f aca="false">IF(ISBLANK($C155),"",IF(E155=Constants!$B$2,TRUE(),IF(E155=Constants!$B$3,FALSE(),TRUE())))</f>
        <v/>
      </c>
      <c r="AG155" s="93" t="str">
        <f aca="false">IF(ISBLANK($C155),"",IF(F155=Constants!$B$2,TRUE(),IF(F155=Constants!$B$3,FALSE(),TRUE())))</f>
        <v/>
      </c>
      <c r="AH155" s="93" t="str">
        <f aca="false">IF(ISBLANK($C155),"",IF(G155=Constants!$B$2,TRUE(),IF(G155=Constants!$B$3,FALSE(),TRUE())))</f>
        <v/>
      </c>
      <c r="AI155" s="93" t="str">
        <f aca="false">IF(ISBLANK($C155),"",IF(AND(ISNUMBER(H155),H155&gt;=0),H155,Constants!$B$24))</f>
        <v/>
      </c>
      <c r="AJ155" s="93" t="str">
        <f aca="false">IF(ISBLANK($C155),"",IF(I155=Constants!$B$2,TRUE(),IF(I155=Constants!$B$3,FALSE(),TRUE())))</f>
        <v/>
      </c>
      <c r="AK155" s="93" t="str">
        <f aca="false">IF(ISBLANK($C155),"",IF(J155=Constants!$B$2,TRUE(),IF(J155=Constants!$B$3,FALSE(),TRUE())))</f>
        <v/>
      </c>
      <c r="AL155" s="93" t="str">
        <f aca="false">IF(ISBLANK($C155),"",IF(K155=Constants!$B$4,TRUE(),IF(K155=Constants!$B$5,FALSE(),COUNTA(L155:P155)&gt;0)))</f>
        <v/>
      </c>
      <c r="AM155" s="95" t="str">
        <f aca="false">IF(ISBLANK($C155),"",IF(ISNUMBER(L155),IF(L155&gt;=0,L155,""),""))</f>
        <v/>
      </c>
      <c r="AN155" s="94" t="str">
        <f aca="false">IF(ISBLANK($C155),"",IF(ISNUMBER(M155),IF(M155&gt;=0,M155,""),""))</f>
        <v/>
      </c>
      <c r="AO155" s="94" t="str">
        <f aca="false">IF(ISBLANK($C155),"",IF(N155=Constants!$B$2,TRUE(),IF(N155=Constants!$B$3,FALSE(),TRUE())))</f>
        <v/>
      </c>
      <c r="AP155" s="93" t="str">
        <f aca="false">IF(ISBLANK($C155),"",IF(ISNUMBER(O155),IF(O155&gt;=0,O155,""),""))</f>
        <v/>
      </c>
      <c r="AQ155" s="93" t="str">
        <f aca="false">IF(ISBLANK($C155),"",IF(P155=Constants!$B$2,TRUE(),IF(P155=Constants!$B$3,FALSE(),FALSE())))</f>
        <v/>
      </c>
      <c r="AR155" s="93" t="str">
        <f aca="false">IF(ISBLANK($C155),"",IF(Q155=Constants!$B$2,TRUE(),IF(Q155=Constants!$B$3,FALSE(),TRUE())))</f>
        <v/>
      </c>
      <c r="AS155" s="93" t="str">
        <f aca="false">IF(ISBLANK($C155),"",IF(R155=Constants!$B$2,TRUE(),IF(R155=Constants!$B$3,FALSE(),TRUE())))</f>
        <v/>
      </c>
      <c r="AT155" s="93" t="str">
        <f aca="false">IF(ISBLANK($C155),"",IF(S155=Constants!$B$4,TRUE(),IF(S155=Constants!$B$5,FALSE(),COUNTA(T155:X155)&gt;0)))</f>
        <v/>
      </c>
      <c r="AU155" s="95" t="str">
        <f aca="false">IF(ISBLANK($C155),"",IF(ISNUMBER(T155),IF(T155&gt;=0,T155,""),""))</f>
        <v/>
      </c>
      <c r="AV155" s="94" t="str">
        <f aca="false">IF(ISBLANK($C155),"",IF(ISNUMBER(U155),IF(U155&gt;=0,U155,""),""))</f>
        <v/>
      </c>
      <c r="AW155" s="94" t="str">
        <f aca="false">IF(ISBLANK($C155),"",IF(V155=Constants!$B$2,TRUE(),IF(V155=Constants!$B$3,FALSE(),TRUE())))</f>
        <v/>
      </c>
      <c r="AX155" s="93" t="str">
        <f aca="false">IF(ISBLANK($C155),"",IF(ISNUMBER(W155),IF(W155&gt;=0,W155,""),""))</f>
        <v/>
      </c>
      <c r="AY155" s="93" t="str">
        <f aca="false">IF(ISBLANK($C155),"",IF(X155=Constants!$B$2,TRUE(),IF(X155=Constants!$B$3,FALSE(),FALSE())))</f>
        <v/>
      </c>
      <c r="AZ155" s="93" t="str">
        <f aca="false">IF(ISBLANK($C155),"",MIN(Constants!$B$25,MAX(0,IF(ISNUMBER(Y155),Y155*60,0)+IF(ISNUMBER(Z155),Z155,0))))</f>
        <v/>
      </c>
      <c r="BA155" s="93" t="str">
        <f aca="false">IF(ISBLANK($C155),"",IF(AA155=Constants!$B$2,TRUE(),IF(AA155=Constants!$B$3,FALSE(),FALSE())))</f>
        <v/>
      </c>
      <c r="BB155" s="92" t="str">
        <f aca="false">IF(ISBLANK($C155),"",AND($AL155,OR($AM155="",$AN155="",AND($AO155,$AP155=""))))</f>
        <v/>
      </c>
      <c r="BC155" s="94" t="str">
        <f aca="false">IF($BX155&lt;&gt;Constants!$B$6,"",IF($AL155,Constants!$B$17*$AN155+Constants!$B$18*IF($AO155,$AP155,Constants!$B$19),Constants!$B$20))</f>
        <v/>
      </c>
      <c r="BD155" s="97" t="str">
        <f aca="false">IF($BX155&lt;&gt;Constants!$B$6,"",Constants!$B$21*ABS($AD$9-IF($AL155,$AM155,0)))</f>
        <v/>
      </c>
      <c r="BE155" s="97" t="str">
        <f aca="false">IF($BX155&lt;&gt;Constants!$B$6,"",IF(AND($AL155,$AQ155,$AO155),Constants!$B$22,0))</f>
        <v/>
      </c>
      <c r="BF155" s="97" t="str">
        <f aca="false">IF($BX155&lt;&gt;Constants!$B$6,"",IF($AL155,($AI155-Constants!$B$24)*Constants!$B$23,0))</f>
        <v/>
      </c>
      <c r="BG155" s="97" t="str">
        <f aca="false">IF($BX155&lt;&gt;Constants!$B$6,"",IF($AK155,0,Constants!$B$12)+IF($AJ155,0,Constants!$B$13)+IF($AH155,0,Constants!$B$14))</f>
        <v/>
      </c>
      <c r="BH155" s="98" t="str">
        <f aca="false">IF($BX155&lt;&gt;Constants!$B$6,"",Constants!$B$16+SUM($BC155:$BG155))</f>
        <v/>
      </c>
      <c r="BI155" s="97" t="str">
        <f aca="false">IF($BX155&lt;&gt;Constants!$B$6,"",$BC155)</f>
        <v/>
      </c>
      <c r="BJ155" s="97" t="str">
        <f aca="false">IF($BX155&lt;&gt;Constants!$B$6,"",$BD155)</f>
        <v/>
      </c>
      <c r="BK155" s="99" t="str">
        <f aca="false">IF($BX155&lt;&gt;Constants!$B$6,"",IF($AL155,$AN155,""))</f>
        <v/>
      </c>
      <c r="BL155" s="93" t="str">
        <f aca="false">IF($BX155&lt;&gt;Constants!$B$6,"",IF(OR($BS155&lt;$BH155,AND($BS155=$BH155,OR($BT155&lt;$BI155,AND($BT155=$BI155,OR($BU155&lt;$BJ155,AND($BU155=$BJ155,AND(ISNUMBER($BV155),OR(NOT(ISNUMBER($BK155)),$BV155&lt;$BK155)))))))),"-&gt;","&lt;-"))</f>
        <v/>
      </c>
      <c r="BM155" s="92" t="str">
        <f aca="false">IF(ISBLANK($C155),"",AND($AT155,OR($AU155="",$AV155="",AND($AW155,$AX155=""))))</f>
        <v/>
      </c>
      <c r="BN155" s="94" t="str">
        <f aca="false">IF($BX155&lt;&gt;Constants!$B$6,"",IF($AT155,Constants!$B$17*$AV155+Constants!$B$18*IF($AW155,$AX155,Constants!$B$19),Constants!$B$20))</f>
        <v/>
      </c>
      <c r="BO155" s="97" t="str">
        <f aca="false">IF($BX155&lt;&gt;Constants!$B$6,"",Constants!$B$21*ABS($AD$9-IF($AT155,$AU155,0)))</f>
        <v/>
      </c>
      <c r="BP155" s="97" t="str">
        <f aca="false">IF($BX155&lt;&gt;Constants!$B$6,"",IF(AND($AT155,$AY155,$AW155),Constants!$B$22,0))</f>
        <v/>
      </c>
      <c r="BQ155" s="97" t="str">
        <f aca="false">IF($BX155&lt;&gt;Constants!$B$6,"",IF($AT155,($AI155-Constants!$B$24)*Constants!$B$23,0))</f>
        <v/>
      </c>
      <c r="BR155" s="97" t="str">
        <f aca="false">IF($BX155&lt;&gt;Constants!$B$6,"",IF($AS155,0,Constants!$B$12)+IF($AR155,0,Constants!$B$13)+IF($AH155,0,Constants!$B$14))</f>
        <v/>
      </c>
      <c r="BS155" s="98" t="str">
        <f aca="false">IF($BX155&lt;&gt;Constants!$B$6,"",Constants!$B$16+SUM($BN155:$BR155))</f>
        <v/>
      </c>
      <c r="BT155" s="97" t="str">
        <f aca="false">IF($BX155&lt;&gt;Constants!$B$6,"",$BN155)</f>
        <v/>
      </c>
      <c r="BU155" s="97" t="str">
        <f aca="false">IF($BX155&lt;&gt;Constants!$B$6,"",$BO155)</f>
        <v/>
      </c>
      <c r="BV155" s="99" t="str">
        <f aca="false">IF($BX155&lt;&gt;Constants!$B$6,"",IF($AT155,$AV155,""))</f>
        <v/>
      </c>
      <c r="BW155" s="93" t="str">
        <f aca="false">IF(ISBLANK($C155),"",IF(ISBLANK($D$7),$BW$5,IF(NOT(ISNUMBER($D$7)),$BW$6,"")))</f>
        <v/>
      </c>
      <c r="BX155" s="93" t="str">
        <f aca="false">IF(ISBLANK($C155),"",IF($BA155,Constants!$B$9,IF(COUNTA($E155:$AA155)=0,Constants!$B$8,IF(NOT($AG155),Constants!$B$7,IF(OR($BW155&lt;&gt;"",$BB155,$BM155),Constants!$B$10,Constants!$B$6)))))</f>
        <v/>
      </c>
      <c r="BY155" s="93" t="str">
        <f aca="false">IF(ISBLANK($C155),"",IF($BX155&lt;&gt;Constants!$B$6,$BX155,Constants!$B$11))</f>
        <v/>
      </c>
      <c r="BZ155" s="97" t="str">
        <f aca="false">IF($BX155&lt;&gt;Constants!$B$6,"",IF($BL155="-&gt;",$BS155,$BH155))</f>
        <v/>
      </c>
      <c r="CA155" s="97" t="str">
        <f aca="false">IF($BX155&lt;&gt;Constants!$B$6,"",IF($AF155,0,Constants!$B$15))</f>
        <v/>
      </c>
      <c r="CB155" s="97" t="str">
        <f aca="false">IF($BX155&lt;&gt;Constants!$B$6,"",((Constants!$B$25-$AZ155)-Constants!$B$25)/Constants!$B$26)</f>
        <v/>
      </c>
      <c r="CC155" s="97" t="str">
        <f aca="false">IF(ISBLANK($C155),"",IF($BX155&lt;&gt;Constants!$B$6,$BX155,SUM($BZ155:$CB155)))</f>
        <v/>
      </c>
      <c r="CD155" s="93" t="str">
        <f aca="false">IF(ISBLANK($C155),"",IF($BX155&lt;&gt;Constants!$B$6,$BX155,RANK($CC155,$CC$9:$CC$508,1)))</f>
        <v/>
      </c>
      <c r="CE155" s="97" t="str">
        <f aca="false">IF($BX155&lt;&gt;Constants!$B$6,"",IF($BL155="-&gt;",$BT155,$BI155))</f>
        <v/>
      </c>
      <c r="CF155" s="93" t="str">
        <f aca="false">IF(ISBLANK($C155),"",IF($BX155&lt;&gt;Constants!$B$6,$BX155,IF(ISNUMBER($CE155),RANK($CE155,$CE$9:$CE$508,1),COUNT($CE$9:$CE$508)+1)))</f>
        <v/>
      </c>
      <c r="CG155" s="97" t="str">
        <f aca="false">IF($BX155&lt;&gt;Constants!$B$6,"",IF($BL155="-&gt;",$BU155,$BJ155))</f>
        <v/>
      </c>
      <c r="CH155" s="93" t="str">
        <f aca="false">IF(ISBLANK($C155),"",IF($BX155&lt;&gt;Constants!$B$6,$BX155,IF(ISNUMBER($CG155),RANK($CG155,$CG$9:$CG$508,1),COUNT($CG$9:$CG$508)+1)))</f>
        <v/>
      </c>
      <c r="CI155" s="97" t="str">
        <f aca="false">IF($BX155&lt;&gt;Constants!$B$6,"",IF($BL155="-&gt;",$BV155,$BK155))</f>
        <v/>
      </c>
      <c r="CJ155" s="93" t="str">
        <f aca="false">IF(ISBLANK($C155),"",IF($BX155&lt;&gt;Constants!$B$6,$BX155,IF(ISNUMBER($CI155),RANK($CI155,$CI$9:$CI$508,1),COUNT($CI$9:$CI$508)+1)))</f>
        <v/>
      </c>
      <c r="CK155" s="97" t="str">
        <f aca="false">IF($BX155&lt;&gt;Constants!$B$6,"",$AI155)</f>
        <v/>
      </c>
      <c r="CL155" s="93" t="str">
        <f aca="false">IF(ISBLANK($C155),"",IF($BX155&lt;&gt;Constants!$B$6,$BX155,IF(ISNUMBER($CK155),RANK($CK155,$CK$9:$CK$508,1),COUNT($CK$9:$CK$508)+1)))</f>
        <v/>
      </c>
      <c r="CM155" s="93" t="str">
        <f aca="false">IF(ISBLANK($C155),"",IF($BX155&lt;&gt;Constants!$B$6,$BX155,COUNTIFS($CD$9:$CD$508,"&lt;"&amp;$CD155)+COUNTIFS($CD$9:$CD$508,$CD155,$CF$9:$CF$508,"&lt;"&amp;$CF155)+COUNTIFS($CD$9:$CD$508,$CD155,$CF$9:$CF$508,$CF155,$CH$9:$CH$508,"&lt;"&amp;$CH155)+COUNTIFS($CD$9:$CD$508,$CD155,$CF$9:$CF$508,$CF155,$CH$9:$CH$508,$CH155,$CJ$9:$CJ$508,"&lt;"&amp;$CJ155)+COUNTIFS($CD$9:$CD$508,$CD155,$CF$9:$CF$508,$CF155,$CH$9:$CH$508,$CH155,$CJ$9:$CJ$508,$CJ155,$CL$9:$CL$508,"&lt;"&amp;$CL155)+1))</f>
        <v/>
      </c>
      <c r="CN155" s="93" t="str">
        <f aca="false">IF(ISBLANK($C155),"",IF($BX155&lt;&gt;Constants!$B$6,$BX155,$CD155-$CM155))</f>
        <v/>
      </c>
      <c r="CO155" s="100"/>
      <c r="CP155" s="101"/>
      <c r="CQ155" s="102" t="str">
        <f aca="false">IF(ISBLANK($C155),"",IF($BX155=Constants!$B$10,$BW155,""))</f>
        <v/>
      </c>
      <c r="CR155" s="101" t="str">
        <f aca="false">IF(ISBLANK($C155),"",IF($BX155&lt;&gt;Constants!$B$6,"",IF($BL155="-&gt;",2,1)))</f>
        <v/>
      </c>
      <c r="CS155" s="103" t="str">
        <f aca="false">IF(ISBLANK($C155),"",IF($BX155&lt;&gt;Constants!$B$6,"",IF($BL155="-&gt;",$BN155,$BC155)))</f>
        <v/>
      </c>
      <c r="CT155" s="103" t="str">
        <f aca="false">IF(ISBLANK($C155),"",IF($BX155&lt;&gt;Constants!$B$6,"",IF($BL155="-&gt;",$BO155,$BD155)))</f>
        <v/>
      </c>
      <c r="CU155" s="103" t="str">
        <f aca="false">IF(ISBLANK($C155),"",IF($BX155&lt;&gt;Constants!$B$6,"",IF($BL155="-&gt;",$BP155+$BQ155,$BE155+$BF155)+$CB155))</f>
        <v/>
      </c>
      <c r="CV155" s="103" t="str">
        <f aca="false">IF(ISBLANK($C155),"",IF($BX155&lt;&gt;Constants!$B$6,"",IF($BL155="-&gt;",$BR155,$BG155)+$CA155))</f>
        <v/>
      </c>
      <c r="CW155" s="104" t="str">
        <f aca="false">IF(ISBLANK($C155),"",IF($BX155&lt;&gt;Constants!$B$6,$BX155,$CC155))</f>
        <v/>
      </c>
      <c r="CX155" s="105" t="str">
        <f aca="false">IF(ISBLANK($C155),"",$BY155)</f>
        <v/>
      </c>
      <c r="CY155" s="106" t="str">
        <f aca="false">IF(ISBLANK($C155),"",$CN155)</f>
        <v/>
      </c>
      <c r="CZ155" s="106" t="str">
        <f aca="false">IF(ISBLANK($C155),"",$CM155)</f>
        <v/>
      </c>
      <c r="DA155" s="107" t="str">
        <f aca="false">IF(ISBLANK($C155),"",IFERROR(_xlfn.SWITCH($CZ155,Constants!$B$9,COUNTA($C$9:$C$508)+2,Constants!$B$8,COUNTA($C$9:$C$508)+1,Constants!$B$7,COUNTA($C$9:$C$508)),$CZ155))</f>
        <v/>
      </c>
      <c r="DB155" s="9"/>
      <c r="DC155" s="108" t="n">
        <f aca="false">IF(OR(ISNUMBER($CZ155),$CZ155=Constants!$B$9,$CZ155=Constants!$B$7,$CZ155=Constants!$B$8),1,0)</f>
        <v>0</v>
      </c>
      <c r="DD155" s="108" t="n">
        <v>147</v>
      </c>
      <c r="DE155" s="108" t="str">
        <f aca="false">IF(ISBLANK($C155),"",IF(ISNUMBER($DA155),$DA155+ROW($B155)/1000,""))</f>
        <v/>
      </c>
      <c r="DF155" s="108" t="str">
        <f aca="false">IF(ISNUMBER($DE155),RANK($DE155,$DE$9:$DE$508,1),"")</f>
        <v/>
      </c>
      <c r="DG155" s="108" t="str">
        <f aca="false">IF(ISBLANK($C155),"",$B155)</f>
        <v/>
      </c>
      <c r="DH155" s="108" t="str">
        <f aca="false">IF(ISBLANK($C155),"",$C155)</f>
        <v/>
      </c>
      <c r="DI155" s="108" t="str">
        <f aca="false">IF(ISBLANK($C155),"",$D155)</f>
        <v/>
      </c>
      <c r="DJ155" s="109" t="str">
        <f aca="false">$CX155</f>
        <v/>
      </c>
      <c r="DK155" s="110" t="str">
        <f aca="false">$CW155</f>
        <v/>
      </c>
      <c r="DL155" s="108" t="str">
        <f aca="false">IF(ISBLANK($C155),"",$CZ155)</f>
        <v/>
      </c>
      <c r="DM155" s="111" t="str">
        <f aca="false">IF($DD155&gt;$DC$8,"",VLOOKUP($DD155,$DF$9:$DL$508,7,FALSE()))</f>
        <v/>
      </c>
      <c r="DN155" s="112" t="str">
        <f aca="false">IF($DD155&gt;$DC$8,"",VLOOKUP($DD155,$DF$9:$DL$508,2,FALSE()))</f>
        <v/>
      </c>
      <c r="DO155" s="112" t="str">
        <f aca="false">IF($DD155&gt;$DC$8,"",VLOOKUP($DD155,$DF$9:$DL$508,3,FALSE()))</f>
        <v/>
      </c>
      <c r="DP155" s="112" t="str">
        <f aca="false">IF($DD155&gt;$DC$8,"",VLOOKUP($DD155,$DF$9:$DL$508,4,FALSE()))</f>
        <v/>
      </c>
      <c r="DQ155" s="112" t="str">
        <f aca="false">IF($DD155&gt;$DC$8,"",VLOOKUP($DD155,$DF$9:$DL$508,5,FALSE()))</f>
        <v/>
      </c>
      <c r="DR155" s="113" t="str">
        <f aca="false">IF($DD155&gt;$DC$8,"",VLOOKUP($DD155,$DF$9:$DL$508,6,FALSE()))</f>
        <v/>
      </c>
      <c r="DS155" s="76"/>
    </row>
    <row r="156" customFormat="false" ht="15.75" hidden="false" customHeight="false" outlineLevel="0" collapsed="false">
      <c r="A156" s="9"/>
      <c r="B156" s="160"/>
      <c r="C156" s="161"/>
      <c r="D156" s="162"/>
      <c r="E156" s="180"/>
      <c r="F156" s="164"/>
      <c r="G156" s="165"/>
      <c r="H156" s="165"/>
      <c r="I156" s="181"/>
      <c r="J156" s="168"/>
      <c r="K156" s="128"/>
      <c r="L156" s="129"/>
      <c r="M156" s="130"/>
      <c r="N156" s="168"/>
      <c r="O156" s="168"/>
      <c r="P156" s="180"/>
      <c r="Q156" s="168"/>
      <c r="R156" s="168"/>
      <c r="S156" s="128"/>
      <c r="T156" s="130"/>
      <c r="U156" s="130"/>
      <c r="V156" s="168"/>
      <c r="W156" s="168"/>
      <c r="X156" s="180"/>
      <c r="Y156" s="168"/>
      <c r="Z156" s="169"/>
      <c r="AA156" s="168"/>
      <c r="AB156" s="134"/>
      <c r="AC156" s="135"/>
      <c r="AD156" s="135"/>
      <c r="AE156" s="135"/>
      <c r="AF156" s="135" t="str">
        <f aca="false">IF(ISBLANK($C156),"",IF(E156=Constants!$B$2,TRUE(),IF(E156=Constants!$B$3,FALSE(),TRUE())))</f>
        <v/>
      </c>
      <c r="AG156" s="135" t="str">
        <f aca="false">IF(ISBLANK($C156),"",IF(F156=Constants!$B$2,TRUE(),IF(F156=Constants!$B$3,FALSE(),TRUE())))</f>
        <v/>
      </c>
      <c r="AH156" s="135" t="str">
        <f aca="false">IF(ISBLANK($C156),"",IF(G156=Constants!$B$2,TRUE(),IF(G156=Constants!$B$3,FALSE(),TRUE())))</f>
        <v/>
      </c>
      <c r="AI156" s="135" t="str">
        <f aca="false">IF(ISBLANK($C156),"",IF(AND(ISNUMBER(H156),H156&gt;=0),H156,Constants!$B$24))</f>
        <v/>
      </c>
      <c r="AJ156" s="135" t="str">
        <f aca="false">IF(ISBLANK($C156),"",IF(I156=Constants!$B$2,TRUE(),IF(I156=Constants!$B$3,FALSE(),TRUE())))</f>
        <v/>
      </c>
      <c r="AK156" s="135" t="str">
        <f aca="false">IF(ISBLANK($C156),"",IF(J156=Constants!$B$2,TRUE(),IF(J156=Constants!$B$3,FALSE(),TRUE())))</f>
        <v/>
      </c>
      <c r="AL156" s="135" t="str">
        <f aca="false">IF(ISBLANK($C156),"",IF(K156=Constants!$B$4,TRUE(),IF(K156=Constants!$B$5,FALSE(),COUNTA(L156:P156)&gt;0)))</f>
        <v/>
      </c>
      <c r="AM156" s="136" t="str">
        <f aca="false">IF(ISBLANK($C156),"",IF(ISNUMBER(L156),IF(L156&gt;=0,L156,""),""))</f>
        <v/>
      </c>
      <c r="AN156" s="137" t="str">
        <f aca="false">IF(ISBLANK($C156),"",IF(ISNUMBER(M156),IF(M156&gt;=0,M156,""),""))</f>
        <v/>
      </c>
      <c r="AO156" s="137" t="str">
        <f aca="false">IF(ISBLANK($C156),"",IF(N156=Constants!$B$2,TRUE(),IF(N156=Constants!$B$3,FALSE(),TRUE())))</f>
        <v/>
      </c>
      <c r="AP156" s="135" t="str">
        <f aca="false">IF(ISBLANK($C156),"",IF(ISNUMBER(O156),IF(O156&gt;=0,O156,""),""))</f>
        <v/>
      </c>
      <c r="AQ156" s="135" t="str">
        <f aca="false">IF(ISBLANK($C156),"",IF(P156=Constants!$B$2,TRUE(),IF(P156=Constants!$B$3,FALSE(),FALSE())))</f>
        <v/>
      </c>
      <c r="AR156" s="135" t="str">
        <f aca="false">IF(ISBLANK($C156),"",IF(Q156=Constants!$B$2,TRUE(),IF(Q156=Constants!$B$3,FALSE(),TRUE())))</f>
        <v/>
      </c>
      <c r="AS156" s="135" t="str">
        <f aca="false">IF(ISBLANK($C156),"",IF(R156=Constants!$B$2,TRUE(),IF(R156=Constants!$B$3,FALSE(),TRUE())))</f>
        <v/>
      </c>
      <c r="AT156" s="135" t="str">
        <f aca="false">IF(ISBLANK($C156),"",IF(S156=Constants!$B$4,TRUE(),IF(S156=Constants!$B$5,FALSE(),COUNTA(T156:X156)&gt;0)))</f>
        <v/>
      </c>
      <c r="AU156" s="136" t="str">
        <f aca="false">IF(ISBLANK($C156),"",IF(ISNUMBER(T156),IF(T156&gt;=0,T156,""),""))</f>
        <v/>
      </c>
      <c r="AV156" s="137" t="str">
        <f aca="false">IF(ISBLANK($C156),"",IF(ISNUMBER(U156),IF(U156&gt;=0,U156,""),""))</f>
        <v/>
      </c>
      <c r="AW156" s="137" t="str">
        <f aca="false">IF(ISBLANK($C156),"",IF(V156=Constants!$B$2,TRUE(),IF(V156=Constants!$B$3,FALSE(),TRUE())))</f>
        <v/>
      </c>
      <c r="AX156" s="135" t="str">
        <f aca="false">IF(ISBLANK($C156),"",IF(ISNUMBER(W156),IF(W156&gt;=0,W156,""),""))</f>
        <v/>
      </c>
      <c r="AY156" s="135" t="str">
        <f aca="false">IF(ISBLANK($C156),"",IF(X156=Constants!$B$2,TRUE(),IF(X156=Constants!$B$3,FALSE(),FALSE())))</f>
        <v/>
      </c>
      <c r="AZ156" s="135" t="str">
        <f aca="false">IF(ISBLANK($C156),"",MIN(Constants!$B$25,MAX(0,IF(ISNUMBER(Y156),Y156*60,0)+IF(ISNUMBER(Z156),Z156,0))))</f>
        <v/>
      </c>
      <c r="BA156" s="135" t="str">
        <f aca="false">IF(ISBLANK($C156),"",IF(AA156=Constants!$B$2,TRUE(),IF(AA156=Constants!$B$3,FALSE(),FALSE())))</f>
        <v/>
      </c>
      <c r="BB156" s="134" t="str">
        <f aca="false">IF(ISBLANK($C156),"",AND($AL156,OR($AM156="",$AN156="",AND($AO156,$AP156=""))))</f>
        <v/>
      </c>
      <c r="BC156" s="137" t="str">
        <f aca="false">IF($BX156&lt;&gt;Constants!$B$6,"",IF($AL156,Constants!$B$17*$AN156+Constants!$B$18*IF($AO156,$AP156,Constants!$B$19),Constants!$B$20))</f>
        <v/>
      </c>
      <c r="BD156" s="138" t="str">
        <f aca="false">IF($BX156&lt;&gt;Constants!$B$6,"",Constants!$B$21*ABS($AD$9-IF($AL156,$AM156,0)))</f>
        <v/>
      </c>
      <c r="BE156" s="138" t="str">
        <f aca="false">IF($BX156&lt;&gt;Constants!$B$6,"",IF(AND($AL156,$AQ156,$AO156),Constants!$B$22,0))</f>
        <v/>
      </c>
      <c r="BF156" s="138" t="str">
        <f aca="false">IF($BX156&lt;&gt;Constants!$B$6,"",IF($AL156,($AI156-Constants!$B$24)*Constants!$B$23,0))</f>
        <v/>
      </c>
      <c r="BG156" s="138" t="str">
        <f aca="false">IF($BX156&lt;&gt;Constants!$B$6,"",IF($AK156,0,Constants!$B$12)+IF($AJ156,0,Constants!$B$13)+IF($AH156,0,Constants!$B$14))</f>
        <v/>
      </c>
      <c r="BH156" s="139" t="str">
        <f aca="false">IF($BX156&lt;&gt;Constants!$B$6,"",Constants!$B$16+SUM($BC156:$BG156))</f>
        <v/>
      </c>
      <c r="BI156" s="138" t="str">
        <f aca="false">IF($BX156&lt;&gt;Constants!$B$6,"",$BC156)</f>
        <v/>
      </c>
      <c r="BJ156" s="138" t="str">
        <f aca="false">IF($BX156&lt;&gt;Constants!$B$6,"",$BD156)</f>
        <v/>
      </c>
      <c r="BK156" s="140" t="str">
        <f aca="false">IF($BX156&lt;&gt;Constants!$B$6,"",IF($AL156,$AN156,""))</f>
        <v/>
      </c>
      <c r="BL156" s="135" t="str">
        <f aca="false">IF($BX156&lt;&gt;Constants!$B$6,"",IF(OR($BS156&lt;$BH156,AND($BS156=$BH156,OR($BT156&lt;$BI156,AND($BT156=$BI156,OR($BU156&lt;$BJ156,AND($BU156=$BJ156,AND(ISNUMBER($BV156),OR(NOT(ISNUMBER($BK156)),$BV156&lt;$BK156)))))))),"-&gt;","&lt;-"))</f>
        <v/>
      </c>
      <c r="BM156" s="134" t="str">
        <f aca="false">IF(ISBLANK($C156),"",AND($AT156,OR($AU156="",$AV156="",AND($AW156,$AX156=""))))</f>
        <v/>
      </c>
      <c r="BN156" s="137" t="str">
        <f aca="false">IF($BX156&lt;&gt;Constants!$B$6,"",IF($AT156,Constants!$B$17*$AV156+Constants!$B$18*IF($AW156,$AX156,Constants!$B$19),Constants!$B$20))</f>
        <v/>
      </c>
      <c r="BO156" s="138" t="str">
        <f aca="false">IF($BX156&lt;&gt;Constants!$B$6,"",Constants!$B$21*ABS($AD$9-IF($AT156,$AU156,0)))</f>
        <v/>
      </c>
      <c r="BP156" s="138" t="str">
        <f aca="false">IF($BX156&lt;&gt;Constants!$B$6,"",IF(AND($AT156,$AY156,$AW156),Constants!$B$22,0))</f>
        <v/>
      </c>
      <c r="BQ156" s="138" t="str">
        <f aca="false">IF($BX156&lt;&gt;Constants!$B$6,"",IF($AT156,($AI156-Constants!$B$24)*Constants!$B$23,0))</f>
        <v/>
      </c>
      <c r="BR156" s="138" t="str">
        <f aca="false">IF($BX156&lt;&gt;Constants!$B$6,"",IF($AS156,0,Constants!$B$12)+IF($AR156,0,Constants!$B$13)+IF($AH156,0,Constants!$B$14))</f>
        <v/>
      </c>
      <c r="BS156" s="139" t="str">
        <f aca="false">IF($BX156&lt;&gt;Constants!$B$6,"",Constants!$B$16+SUM($BN156:$BR156))</f>
        <v/>
      </c>
      <c r="BT156" s="138" t="str">
        <f aca="false">IF($BX156&lt;&gt;Constants!$B$6,"",$BN156)</f>
        <v/>
      </c>
      <c r="BU156" s="138" t="str">
        <f aca="false">IF($BX156&lt;&gt;Constants!$B$6,"",$BO156)</f>
        <v/>
      </c>
      <c r="BV156" s="140" t="str">
        <f aca="false">IF($BX156&lt;&gt;Constants!$B$6,"",IF($AT156,$AV156,""))</f>
        <v/>
      </c>
      <c r="BW156" s="135" t="str">
        <f aca="false">IF(ISBLANK($C156),"",IF(ISBLANK($D$7),$BW$5,IF(NOT(ISNUMBER($D$7)),$BW$6,"")))</f>
        <v/>
      </c>
      <c r="BX156" s="135" t="str">
        <f aca="false">IF(ISBLANK($C156),"",IF($BA156,Constants!$B$9,IF(COUNTA($E156:$AA156)=0,Constants!$B$8,IF(NOT($AG156),Constants!$B$7,IF(OR($BW156&lt;&gt;"",$BB156,$BM156),Constants!$B$10,Constants!$B$6)))))</f>
        <v/>
      </c>
      <c r="BY156" s="135" t="str">
        <f aca="false">IF(ISBLANK($C156),"",IF($BX156&lt;&gt;Constants!$B$6,$BX156,Constants!$B$11))</f>
        <v/>
      </c>
      <c r="BZ156" s="138" t="str">
        <f aca="false">IF($BX156&lt;&gt;Constants!$B$6,"",IF($BL156="-&gt;",$BS156,$BH156))</f>
        <v/>
      </c>
      <c r="CA156" s="138" t="str">
        <f aca="false">IF($BX156&lt;&gt;Constants!$B$6,"",IF($AF156,0,Constants!$B$15))</f>
        <v/>
      </c>
      <c r="CB156" s="138" t="str">
        <f aca="false">IF($BX156&lt;&gt;Constants!$B$6,"",((Constants!$B$25-$AZ156)-Constants!$B$25)/Constants!$B$26)</f>
        <v/>
      </c>
      <c r="CC156" s="138" t="str">
        <f aca="false">IF(ISBLANK($C156),"",IF($BX156&lt;&gt;Constants!$B$6,$BX156,SUM($BZ156:$CB156)))</f>
        <v/>
      </c>
      <c r="CD156" s="135" t="str">
        <f aca="false">IF(ISBLANK($C156),"",IF($BX156&lt;&gt;Constants!$B$6,$BX156,RANK($CC156,$CC$9:$CC$508,1)))</f>
        <v/>
      </c>
      <c r="CE156" s="138" t="str">
        <f aca="false">IF($BX156&lt;&gt;Constants!$B$6,"",IF($BL156="-&gt;",$BT156,$BI156))</f>
        <v/>
      </c>
      <c r="CF156" s="135" t="str">
        <f aca="false">IF(ISBLANK($C156),"",IF($BX156&lt;&gt;Constants!$B$6,$BX156,IF(ISNUMBER($CE156),RANK($CE156,$CE$9:$CE$508,1),COUNT($CE$9:$CE$508)+1)))</f>
        <v/>
      </c>
      <c r="CG156" s="138" t="str">
        <f aca="false">IF($BX156&lt;&gt;Constants!$B$6,"",IF($BL156="-&gt;",$BU156,$BJ156))</f>
        <v/>
      </c>
      <c r="CH156" s="135" t="str">
        <f aca="false">IF(ISBLANK($C156),"",IF($BX156&lt;&gt;Constants!$B$6,$BX156,IF(ISNUMBER($CG156),RANK($CG156,$CG$9:$CG$508,1),COUNT($CG$9:$CG$508)+1)))</f>
        <v/>
      </c>
      <c r="CI156" s="138" t="str">
        <f aca="false">IF($BX156&lt;&gt;Constants!$B$6,"",IF($BL156="-&gt;",$BV156,$BK156))</f>
        <v/>
      </c>
      <c r="CJ156" s="135" t="str">
        <f aca="false">IF(ISBLANK($C156),"",IF($BX156&lt;&gt;Constants!$B$6,$BX156,IF(ISNUMBER($CI156),RANK($CI156,$CI$9:$CI$508,1),COUNT($CI$9:$CI$508)+1)))</f>
        <v/>
      </c>
      <c r="CK156" s="138" t="str">
        <f aca="false">IF($BX156&lt;&gt;Constants!$B$6,"",$AI156)</f>
        <v/>
      </c>
      <c r="CL156" s="135" t="str">
        <f aca="false">IF(ISBLANK($C156),"",IF($BX156&lt;&gt;Constants!$B$6,$BX156,IF(ISNUMBER($CK156),RANK($CK156,$CK$9:$CK$508,1),COUNT($CK$9:$CK$508)+1)))</f>
        <v/>
      </c>
      <c r="CM156" s="135" t="str">
        <f aca="false">IF(ISBLANK($C156),"",IF($BX156&lt;&gt;Constants!$B$6,$BX156,COUNTIFS($CD$9:$CD$508,"&lt;"&amp;$CD156)+COUNTIFS($CD$9:$CD$508,$CD156,$CF$9:$CF$508,"&lt;"&amp;$CF156)+COUNTIFS($CD$9:$CD$508,$CD156,$CF$9:$CF$508,$CF156,$CH$9:$CH$508,"&lt;"&amp;$CH156)+COUNTIFS($CD$9:$CD$508,$CD156,$CF$9:$CF$508,$CF156,$CH$9:$CH$508,$CH156,$CJ$9:$CJ$508,"&lt;"&amp;$CJ156)+COUNTIFS($CD$9:$CD$508,$CD156,$CF$9:$CF$508,$CF156,$CH$9:$CH$508,$CH156,$CJ$9:$CJ$508,$CJ156,$CL$9:$CL$508,"&lt;"&amp;$CL156)+1))</f>
        <v/>
      </c>
      <c r="CN156" s="135" t="str">
        <f aca="false">IF(ISBLANK($C156),"",IF($BX156&lt;&gt;Constants!$B$6,$BX156,$CD156-$CM156))</f>
        <v/>
      </c>
      <c r="CO156" s="141"/>
      <c r="CP156" s="142"/>
      <c r="CQ156" s="143" t="str">
        <f aca="false">IF(ISBLANK($C156),"",IF($BX156=Constants!$B$10,$BW156,""))</f>
        <v/>
      </c>
      <c r="CR156" s="142" t="str">
        <f aca="false">IF(ISBLANK($C156),"",IF($BX156&lt;&gt;Constants!$B$6,"",IF($BL156="-&gt;",2,1)))</f>
        <v/>
      </c>
      <c r="CS156" s="144" t="str">
        <f aca="false">IF(ISBLANK($C156),"",IF($BX156&lt;&gt;Constants!$B$6,"",IF($BL156="-&gt;",$BN156,$BC156)))</f>
        <v/>
      </c>
      <c r="CT156" s="144" t="str">
        <f aca="false">IF(ISBLANK($C156),"",IF($BX156&lt;&gt;Constants!$B$6,"",IF($BL156="-&gt;",$BO156,$BD156)))</f>
        <v/>
      </c>
      <c r="CU156" s="144" t="str">
        <f aca="false">IF(ISBLANK($C156),"",IF($BX156&lt;&gt;Constants!$B$6,"",IF($BL156="-&gt;",$BP156+$BQ156,$BE156+$BF156)+$CB156))</f>
        <v/>
      </c>
      <c r="CV156" s="144" t="str">
        <f aca="false">IF(ISBLANK($C156),"",IF($BX156&lt;&gt;Constants!$B$6,"",IF($BL156="-&gt;",$BR156,$BG156)+$CA156))</f>
        <v/>
      </c>
      <c r="CW156" s="145" t="str">
        <f aca="false">IF(ISBLANK($C156),"",IF($BX156&lt;&gt;Constants!$B$6,$BX156,$CC156))</f>
        <v/>
      </c>
      <c r="CX156" s="146" t="str">
        <f aca="false">IF(ISBLANK($C156),"",$BY156)</f>
        <v/>
      </c>
      <c r="CY156" s="147" t="str">
        <f aca="false">IF(ISBLANK($C156),"",$CN156)</f>
        <v/>
      </c>
      <c r="CZ156" s="147" t="str">
        <f aca="false">IF(ISBLANK($C156),"",$CM156)</f>
        <v/>
      </c>
      <c r="DA156" s="148" t="str">
        <f aca="false">IF(ISBLANK($C156),"",IFERROR(_xlfn.SWITCH($CZ156,Constants!$B$9,COUNTA($C$9:$C$508)+2,Constants!$B$8,COUNTA($C$9:$C$508)+1,Constants!$B$7,COUNTA($C$9:$C$508)),$CZ156))</f>
        <v/>
      </c>
      <c r="DB156" s="9"/>
      <c r="DC156" s="149" t="n">
        <f aca="false">IF(OR(ISNUMBER($CZ156),$CZ156=Constants!$B$9,$CZ156=Constants!$B$7,$CZ156=Constants!$B$8),1,0)</f>
        <v>0</v>
      </c>
      <c r="DD156" s="149" t="n">
        <v>148</v>
      </c>
      <c r="DE156" s="149" t="str">
        <f aca="false">IF(ISBLANK($C156),"",IF(ISNUMBER($DA156),$DA156+ROW($B156)/1000,""))</f>
        <v/>
      </c>
      <c r="DF156" s="149" t="str">
        <f aca="false">IF(ISNUMBER($DE156),RANK($DE156,$DE$9:$DE$508,1),"")</f>
        <v/>
      </c>
      <c r="DG156" s="149" t="str">
        <f aca="false">IF(ISBLANK($C156),"",$B156)</f>
        <v/>
      </c>
      <c r="DH156" s="149" t="str">
        <f aca="false">IF(ISBLANK($C156),"",$C156)</f>
        <v/>
      </c>
      <c r="DI156" s="149" t="str">
        <f aca="false">IF(ISBLANK($C156),"",$D156)</f>
        <v/>
      </c>
      <c r="DJ156" s="150" t="str">
        <f aca="false">$CX156</f>
        <v/>
      </c>
      <c r="DK156" s="151" t="str">
        <f aca="false">$CW156</f>
        <v/>
      </c>
      <c r="DL156" s="149" t="str">
        <f aca="false">IF(ISBLANK($C156),"",$CZ156)</f>
        <v/>
      </c>
      <c r="DM156" s="152" t="str">
        <f aca="false">IF($DD156&gt;$DC$8,"",VLOOKUP($DD156,$DF$9:$DL$508,7,FALSE()))</f>
        <v/>
      </c>
      <c r="DN156" s="153" t="str">
        <f aca="false">IF($DD156&gt;$DC$8,"",VLOOKUP($DD156,$DF$9:$DL$508,2,FALSE()))</f>
        <v/>
      </c>
      <c r="DO156" s="153" t="str">
        <f aca="false">IF($DD156&gt;$DC$8,"",VLOOKUP($DD156,$DF$9:$DL$508,3,FALSE()))</f>
        <v/>
      </c>
      <c r="DP156" s="153" t="str">
        <f aca="false">IF($DD156&gt;$DC$8,"",VLOOKUP($DD156,$DF$9:$DL$508,4,FALSE()))</f>
        <v/>
      </c>
      <c r="DQ156" s="153" t="str">
        <f aca="false">IF($DD156&gt;$DC$8,"",VLOOKUP($DD156,$DF$9:$DL$508,5,FALSE()))</f>
        <v/>
      </c>
      <c r="DR156" s="154" t="str">
        <f aca="false">IF($DD156&gt;$DC$8,"",VLOOKUP($DD156,$DF$9:$DL$508,6,FALSE()))</f>
        <v/>
      </c>
      <c r="DS156" s="76"/>
    </row>
    <row r="157" customFormat="false" ht="15.75" hidden="false" customHeight="false" outlineLevel="0" collapsed="false">
      <c r="A157" s="9"/>
      <c r="B157" s="160"/>
      <c r="C157" s="161"/>
      <c r="D157" s="162"/>
      <c r="E157" s="180"/>
      <c r="F157" s="164"/>
      <c r="G157" s="165"/>
      <c r="H157" s="165"/>
      <c r="I157" s="181"/>
      <c r="J157" s="168"/>
      <c r="K157" s="128"/>
      <c r="L157" s="129"/>
      <c r="M157" s="130"/>
      <c r="N157" s="168"/>
      <c r="O157" s="168"/>
      <c r="P157" s="180"/>
      <c r="Q157" s="168"/>
      <c r="R157" s="168"/>
      <c r="S157" s="128"/>
      <c r="T157" s="130"/>
      <c r="U157" s="130"/>
      <c r="V157" s="168"/>
      <c r="W157" s="168"/>
      <c r="X157" s="180"/>
      <c r="Y157" s="168"/>
      <c r="Z157" s="169"/>
      <c r="AA157" s="168"/>
      <c r="AB157" s="134"/>
      <c r="AC157" s="135"/>
      <c r="AD157" s="135"/>
      <c r="AE157" s="135"/>
      <c r="AF157" s="135" t="str">
        <f aca="false">IF(ISBLANK($C157),"",IF(E157=Constants!$B$2,TRUE(),IF(E157=Constants!$B$3,FALSE(),TRUE())))</f>
        <v/>
      </c>
      <c r="AG157" s="135" t="str">
        <f aca="false">IF(ISBLANK($C157),"",IF(F157=Constants!$B$2,TRUE(),IF(F157=Constants!$B$3,FALSE(),TRUE())))</f>
        <v/>
      </c>
      <c r="AH157" s="135" t="str">
        <f aca="false">IF(ISBLANK($C157),"",IF(G157=Constants!$B$2,TRUE(),IF(G157=Constants!$B$3,FALSE(),TRUE())))</f>
        <v/>
      </c>
      <c r="AI157" s="135" t="str">
        <f aca="false">IF(ISBLANK($C157),"",IF(AND(ISNUMBER(H157),H157&gt;=0),H157,Constants!$B$24))</f>
        <v/>
      </c>
      <c r="AJ157" s="135" t="str">
        <f aca="false">IF(ISBLANK($C157),"",IF(I157=Constants!$B$2,TRUE(),IF(I157=Constants!$B$3,FALSE(),TRUE())))</f>
        <v/>
      </c>
      <c r="AK157" s="135" t="str">
        <f aca="false">IF(ISBLANK($C157),"",IF(J157=Constants!$B$2,TRUE(),IF(J157=Constants!$B$3,FALSE(),TRUE())))</f>
        <v/>
      </c>
      <c r="AL157" s="135" t="str">
        <f aca="false">IF(ISBLANK($C157),"",IF(K157=Constants!$B$4,TRUE(),IF(K157=Constants!$B$5,FALSE(),COUNTA(L157:P157)&gt;0)))</f>
        <v/>
      </c>
      <c r="AM157" s="136" t="str">
        <f aca="false">IF(ISBLANK($C157),"",IF(ISNUMBER(L157),IF(L157&gt;=0,L157,""),""))</f>
        <v/>
      </c>
      <c r="AN157" s="137" t="str">
        <f aca="false">IF(ISBLANK($C157),"",IF(ISNUMBER(M157),IF(M157&gt;=0,M157,""),""))</f>
        <v/>
      </c>
      <c r="AO157" s="137" t="str">
        <f aca="false">IF(ISBLANK($C157),"",IF(N157=Constants!$B$2,TRUE(),IF(N157=Constants!$B$3,FALSE(),TRUE())))</f>
        <v/>
      </c>
      <c r="AP157" s="135" t="str">
        <f aca="false">IF(ISBLANK($C157),"",IF(ISNUMBER(O157),IF(O157&gt;=0,O157,""),""))</f>
        <v/>
      </c>
      <c r="AQ157" s="135" t="str">
        <f aca="false">IF(ISBLANK($C157),"",IF(P157=Constants!$B$2,TRUE(),IF(P157=Constants!$B$3,FALSE(),FALSE())))</f>
        <v/>
      </c>
      <c r="AR157" s="135" t="str">
        <f aca="false">IF(ISBLANK($C157),"",IF(Q157=Constants!$B$2,TRUE(),IF(Q157=Constants!$B$3,FALSE(),TRUE())))</f>
        <v/>
      </c>
      <c r="AS157" s="135" t="str">
        <f aca="false">IF(ISBLANK($C157),"",IF(R157=Constants!$B$2,TRUE(),IF(R157=Constants!$B$3,FALSE(),TRUE())))</f>
        <v/>
      </c>
      <c r="AT157" s="135" t="str">
        <f aca="false">IF(ISBLANK($C157),"",IF(S157=Constants!$B$4,TRUE(),IF(S157=Constants!$B$5,FALSE(),COUNTA(T157:X157)&gt;0)))</f>
        <v/>
      </c>
      <c r="AU157" s="136" t="str">
        <f aca="false">IF(ISBLANK($C157),"",IF(ISNUMBER(T157),IF(T157&gt;=0,T157,""),""))</f>
        <v/>
      </c>
      <c r="AV157" s="137" t="str">
        <f aca="false">IF(ISBLANK($C157),"",IF(ISNUMBER(U157),IF(U157&gt;=0,U157,""),""))</f>
        <v/>
      </c>
      <c r="AW157" s="137" t="str">
        <f aca="false">IF(ISBLANK($C157),"",IF(V157=Constants!$B$2,TRUE(),IF(V157=Constants!$B$3,FALSE(),TRUE())))</f>
        <v/>
      </c>
      <c r="AX157" s="135" t="str">
        <f aca="false">IF(ISBLANK($C157),"",IF(ISNUMBER(W157),IF(W157&gt;=0,W157,""),""))</f>
        <v/>
      </c>
      <c r="AY157" s="135" t="str">
        <f aca="false">IF(ISBLANK($C157),"",IF(X157=Constants!$B$2,TRUE(),IF(X157=Constants!$B$3,FALSE(),FALSE())))</f>
        <v/>
      </c>
      <c r="AZ157" s="135" t="str">
        <f aca="false">IF(ISBLANK($C157),"",MIN(Constants!$B$25,MAX(0,IF(ISNUMBER(Y157),Y157*60,0)+IF(ISNUMBER(Z157),Z157,0))))</f>
        <v/>
      </c>
      <c r="BA157" s="135" t="str">
        <f aca="false">IF(ISBLANK($C157),"",IF(AA157=Constants!$B$2,TRUE(),IF(AA157=Constants!$B$3,FALSE(),FALSE())))</f>
        <v/>
      </c>
      <c r="BB157" s="134" t="str">
        <f aca="false">IF(ISBLANK($C157),"",AND($AL157,OR($AM157="",$AN157="",AND($AO157,$AP157=""))))</f>
        <v/>
      </c>
      <c r="BC157" s="137" t="str">
        <f aca="false">IF($BX157&lt;&gt;Constants!$B$6,"",IF($AL157,Constants!$B$17*$AN157+Constants!$B$18*IF($AO157,$AP157,Constants!$B$19),Constants!$B$20))</f>
        <v/>
      </c>
      <c r="BD157" s="138" t="str">
        <f aca="false">IF($BX157&lt;&gt;Constants!$B$6,"",Constants!$B$21*ABS($AD$9-IF($AL157,$AM157,0)))</f>
        <v/>
      </c>
      <c r="BE157" s="138" t="str">
        <f aca="false">IF($BX157&lt;&gt;Constants!$B$6,"",IF(AND($AL157,$AQ157,$AO157),Constants!$B$22,0))</f>
        <v/>
      </c>
      <c r="BF157" s="138" t="str">
        <f aca="false">IF($BX157&lt;&gt;Constants!$B$6,"",IF($AL157,($AI157-Constants!$B$24)*Constants!$B$23,0))</f>
        <v/>
      </c>
      <c r="BG157" s="138" t="str">
        <f aca="false">IF($BX157&lt;&gt;Constants!$B$6,"",IF($AK157,0,Constants!$B$12)+IF($AJ157,0,Constants!$B$13)+IF($AH157,0,Constants!$B$14))</f>
        <v/>
      </c>
      <c r="BH157" s="139" t="str">
        <f aca="false">IF($BX157&lt;&gt;Constants!$B$6,"",Constants!$B$16+SUM($BC157:$BG157))</f>
        <v/>
      </c>
      <c r="BI157" s="138" t="str">
        <f aca="false">IF($BX157&lt;&gt;Constants!$B$6,"",$BC157)</f>
        <v/>
      </c>
      <c r="BJ157" s="138" t="str">
        <f aca="false">IF($BX157&lt;&gt;Constants!$B$6,"",$BD157)</f>
        <v/>
      </c>
      <c r="BK157" s="140" t="str">
        <f aca="false">IF($BX157&lt;&gt;Constants!$B$6,"",IF($AL157,$AN157,""))</f>
        <v/>
      </c>
      <c r="BL157" s="135" t="str">
        <f aca="false">IF($BX157&lt;&gt;Constants!$B$6,"",IF(OR($BS157&lt;$BH157,AND($BS157=$BH157,OR($BT157&lt;$BI157,AND($BT157=$BI157,OR($BU157&lt;$BJ157,AND($BU157=$BJ157,AND(ISNUMBER($BV157),OR(NOT(ISNUMBER($BK157)),$BV157&lt;$BK157)))))))),"-&gt;","&lt;-"))</f>
        <v/>
      </c>
      <c r="BM157" s="134" t="str">
        <f aca="false">IF(ISBLANK($C157),"",AND($AT157,OR($AU157="",$AV157="",AND($AW157,$AX157=""))))</f>
        <v/>
      </c>
      <c r="BN157" s="137" t="str">
        <f aca="false">IF($BX157&lt;&gt;Constants!$B$6,"",IF($AT157,Constants!$B$17*$AV157+Constants!$B$18*IF($AW157,$AX157,Constants!$B$19),Constants!$B$20))</f>
        <v/>
      </c>
      <c r="BO157" s="138" t="str">
        <f aca="false">IF($BX157&lt;&gt;Constants!$B$6,"",Constants!$B$21*ABS($AD$9-IF($AT157,$AU157,0)))</f>
        <v/>
      </c>
      <c r="BP157" s="138" t="str">
        <f aca="false">IF($BX157&lt;&gt;Constants!$B$6,"",IF(AND($AT157,$AY157,$AW157),Constants!$B$22,0))</f>
        <v/>
      </c>
      <c r="BQ157" s="138" t="str">
        <f aca="false">IF($BX157&lt;&gt;Constants!$B$6,"",IF($AT157,($AI157-Constants!$B$24)*Constants!$B$23,0))</f>
        <v/>
      </c>
      <c r="BR157" s="138" t="str">
        <f aca="false">IF($BX157&lt;&gt;Constants!$B$6,"",IF($AS157,0,Constants!$B$12)+IF($AR157,0,Constants!$B$13)+IF($AH157,0,Constants!$B$14))</f>
        <v/>
      </c>
      <c r="BS157" s="139" t="str">
        <f aca="false">IF($BX157&lt;&gt;Constants!$B$6,"",Constants!$B$16+SUM($BN157:$BR157))</f>
        <v/>
      </c>
      <c r="BT157" s="138" t="str">
        <f aca="false">IF($BX157&lt;&gt;Constants!$B$6,"",$BN157)</f>
        <v/>
      </c>
      <c r="BU157" s="138" t="str">
        <f aca="false">IF($BX157&lt;&gt;Constants!$B$6,"",$BO157)</f>
        <v/>
      </c>
      <c r="BV157" s="140" t="str">
        <f aca="false">IF($BX157&lt;&gt;Constants!$B$6,"",IF($AT157,$AV157,""))</f>
        <v/>
      </c>
      <c r="BW157" s="135" t="str">
        <f aca="false">IF(ISBLANK($C157),"",IF(ISBLANK($D$7),$BW$5,IF(NOT(ISNUMBER($D$7)),$BW$6,"")))</f>
        <v/>
      </c>
      <c r="BX157" s="135" t="str">
        <f aca="false">IF(ISBLANK($C157),"",IF($BA157,Constants!$B$9,IF(COUNTA($E157:$AA157)=0,Constants!$B$8,IF(NOT($AG157),Constants!$B$7,IF(OR($BW157&lt;&gt;"",$BB157,$BM157),Constants!$B$10,Constants!$B$6)))))</f>
        <v/>
      </c>
      <c r="BY157" s="135" t="str">
        <f aca="false">IF(ISBLANK($C157),"",IF($BX157&lt;&gt;Constants!$B$6,$BX157,Constants!$B$11))</f>
        <v/>
      </c>
      <c r="BZ157" s="138" t="str">
        <f aca="false">IF($BX157&lt;&gt;Constants!$B$6,"",IF($BL157="-&gt;",$BS157,$BH157))</f>
        <v/>
      </c>
      <c r="CA157" s="138" t="str">
        <f aca="false">IF($BX157&lt;&gt;Constants!$B$6,"",IF($AF157,0,Constants!$B$15))</f>
        <v/>
      </c>
      <c r="CB157" s="138" t="str">
        <f aca="false">IF($BX157&lt;&gt;Constants!$B$6,"",((Constants!$B$25-$AZ157)-Constants!$B$25)/Constants!$B$26)</f>
        <v/>
      </c>
      <c r="CC157" s="138" t="str">
        <f aca="false">IF(ISBLANK($C157),"",IF($BX157&lt;&gt;Constants!$B$6,$BX157,SUM($BZ157:$CB157)))</f>
        <v/>
      </c>
      <c r="CD157" s="135" t="str">
        <f aca="false">IF(ISBLANK($C157),"",IF($BX157&lt;&gt;Constants!$B$6,$BX157,RANK($CC157,$CC$9:$CC$508,1)))</f>
        <v/>
      </c>
      <c r="CE157" s="138" t="str">
        <f aca="false">IF($BX157&lt;&gt;Constants!$B$6,"",IF($BL157="-&gt;",$BT157,$BI157))</f>
        <v/>
      </c>
      <c r="CF157" s="135" t="str">
        <f aca="false">IF(ISBLANK($C157),"",IF($BX157&lt;&gt;Constants!$B$6,$BX157,IF(ISNUMBER($CE157),RANK($CE157,$CE$9:$CE$508,1),COUNT($CE$9:$CE$508)+1)))</f>
        <v/>
      </c>
      <c r="CG157" s="138" t="str">
        <f aca="false">IF($BX157&lt;&gt;Constants!$B$6,"",IF($BL157="-&gt;",$BU157,$BJ157))</f>
        <v/>
      </c>
      <c r="CH157" s="135" t="str">
        <f aca="false">IF(ISBLANK($C157),"",IF($BX157&lt;&gt;Constants!$B$6,$BX157,IF(ISNUMBER($CG157),RANK($CG157,$CG$9:$CG$508,1),COUNT($CG$9:$CG$508)+1)))</f>
        <v/>
      </c>
      <c r="CI157" s="138" t="str">
        <f aca="false">IF($BX157&lt;&gt;Constants!$B$6,"",IF($BL157="-&gt;",$BV157,$BK157))</f>
        <v/>
      </c>
      <c r="CJ157" s="135" t="str">
        <f aca="false">IF(ISBLANK($C157),"",IF($BX157&lt;&gt;Constants!$B$6,$BX157,IF(ISNUMBER($CI157),RANK($CI157,$CI$9:$CI$508,1),COUNT($CI$9:$CI$508)+1)))</f>
        <v/>
      </c>
      <c r="CK157" s="138" t="str">
        <f aca="false">IF($BX157&lt;&gt;Constants!$B$6,"",$AI157)</f>
        <v/>
      </c>
      <c r="CL157" s="135" t="str">
        <f aca="false">IF(ISBLANK($C157),"",IF($BX157&lt;&gt;Constants!$B$6,$BX157,IF(ISNUMBER($CK157),RANK($CK157,$CK$9:$CK$508,1),COUNT($CK$9:$CK$508)+1)))</f>
        <v/>
      </c>
      <c r="CM157" s="135" t="str">
        <f aca="false">IF(ISBLANK($C157),"",IF($BX157&lt;&gt;Constants!$B$6,$BX157,COUNTIFS($CD$9:$CD$508,"&lt;"&amp;$CD157)+COUNTIFS($CD$9:$CD$508,$CD157,$CF$9:$CF$508,"&lt;"&amp;$CF157)+COUNTIFS($CD$9:$CD$508,$CD157,$CF$9:$CF$508,$CF157,$CH$9:$CH$508,"&lt;"&amp;$CH157)+COUNTIFS($CD$9:$CD$508,$CD157,$CF$9:$CF$508,$CF157,$CH$9:$CH$508,$CH157,$CJ$9:$CJ$508,"&lt;"&amp;$CJ157)+COUNTIFS($CD$9:$CD$508,$CD157,$CF$9:$CF$508,$CF157,$CH$9:$CH$508,$CH157,$CJ$9:$CJ$508,$CJ157,$CL$9:$CL$508,"&lt;"&amp;$CL157)+1))</f>
        <v/>
      </c>
      <c r="CN157" s="135" t="str">
        <f aca="false">IF(ISBLANK($C157),"",IF($BX157&lt;&gt;Constants!$B$6,$BX157,$CD157-$CM157))</f>
        <v/>
      </c>
      <c r="CO157" s="141"/>
      <c r="CP157" s="142"/>
      <c r="CQ157" s="143" t="str">
        <f aca="false">IF(ISBLANK($C157),"",IF($BX157=Constants!$B$10,$BW157,""))</f>
        <v/>
      </c>
      <c r="CR157" s="142" t="str">
        <f aca="false">IF(ISBLANK($C157),"",IF($BX157&lt;&gt;Constants!$B$6,"",IF($BL157="-&gt;",2,1)))</f>
        <v/>
      </c>
      <c r="CS157" s="144" t="str">
        <f aca="false">IF(ISBLANK($C157),"",IF($BX157&lt;&gt;Constants!$B$6,"",IF($BL157="-&gt;",$BN157,$BC157)))</f>
        <v/>
      </c>
      <c r="CT157" s="144" t="str">
        <f aca="false">IF(ISBLANK($C157),"",IF($BX157&lt;&gt;Constants!$B$6,"",IF($BL157="-&gt;",$BO157,$BD157)))</f>
        <v/>
      </c>
      <c r="CU157" s="144" t="str">
        <f aca="false">IF(ISBLANK($C157),"",IF($BX157&lt;&gt;Constants!$B$6,"",IF($BL157="-&gt;",$BP157+$BQ157,$BE157+$BF157)+$CB157))</f>
        <v/>
      </c>
      <c r="CV157" s="144" t="str">
        <f aca="false">IF(ISBLANK($C157),"",IF($BX157&lt;&gt;Constants!$B$6,"",IF($BL157="-&gt;",$BR157,$BG157)+$CA157))</f>
        <v/>
      </c>
      <c r="CW157" s="145" t="str">
        <f aca="false">IF(ISBLANK($C157),"",IF($BX157&lt;&gt;Constants!$B$6,$BX157,$CC157))</f>
        <v/>
      </c>
      <c r="CX157" s="146" t="str">
        <f aca="false">IF(ISBLANK($C157),"",$BY157)</f>
        <v/>
      </c>
      <c r="CY157" s="147" t="str">
        <f aca="false">IF(ISBLANK($C157),"",$CN157)</f>
        <v/>
      </c>
      <c r="CZ157" s="147" t="str">
        <f aca="false">IF(ISBLANK($C157),"",$CM157)</f>
        <v/>
      </c>
      <c r="DA157" s="148" t="str">
        <f aca="false">IF(ISBLANK($C157),"",IFERROR(_xlfn.SWITCH($CZ157,Constants!$B$9,COUNTA($C$9:$C$508)+2,Constants!$B$8,COUNTA($C$9:$C$508)+1,Constants!$B$7,COUNTA($C$9:$C$508)),$CZ157))</f>
        <v/>
      </c>
      <c r="DB157" s="9"/>
      <c r="DC157" s="149" t="n">
        <f aca="false">IF(OR(ISNUMBER($CZ157),$CZ157=Constants!$B$9,$CZ157=Constants!$B$7,$CZ157=Constants!$B$8),1,0)</f>
        <v>0</v>
      </c>
      <c r="DD157" s="149" t="n">
        <v>149</v>
      </c>
      <c r="DE157" s="149" t="str">
        <f aca="false">IF(ISBLANK($C157),"",IF(ISNUMBER($DA157),$DA157+ROW($B157)/1000,""))</f>
        <v/>
      </c>
      <c r="DF157" s="149" t="str">
        <f aca="false">IF(ISNUMBER($DE157),RANK($DE157,$DE$9:$DE$508,1),"")</f>
        <v/>
      </c>
      <c r="DG157" s="149" t="str">
        <f aca="false">IF(ISBLANK($C157),"",$B157)</f>
        <v/>
      </c>
      <c r="DH157" s="149" t="str">
        <f aca="false">IF(ISBLANK($C157),"",$C157)</f>
        <v/>
      </c>
      <c r="DI157" s="149" t="str">
        <f aca="false">IF(ISBLANK($C157),"",$D157)</f>
        <v/>
      </c>
      <c r="DJ157" s="150" t="str">
        <f aca="false">$CX157</f>
        <v/>
      </c>
      <c r="DK157" s="151" t="str">
        <f aca="false">$CW157</f>
        <v/>
      </c>
      <c r="DL157" s="149" t="str">
        <f aca="false">IF(ISBLANK($C157),"",$CZ157)</f>
        <v/>
      </c>
      <c r="DM157" s="152" t="str">
        <f aca="false">IF($DD157&gt;$DC$8,"",VLOOKUP($DD157,$DF$9:$DL$508,7,FALSE()))</f>
        <v/>
      </c>
      <c r="DN157" s="153" t="str">
        <f aca="false">IF($DD157&gt;$DC$8,"",VLOOKUP($DD157,$DF$9:$DL$508,2,FALSE()))</f>
        <v/>
      </c>
      <c r="DO157" s="153" t="str">
        <f aca="false">IF($DD157&gt;$DC$8,"",VLOOKUP($DD157,$DF$9:$DL$508,3,FALSE()))</f>
        <v/>
      </c>
      <c r="DP157" s="153" t="str">
        <f aca="false">IF($DD157&gt;$DC$8,"",VLOOKUP($DD157,$DF$9:$DL$508,4,FALSE()))</f>
        <v/>
      </c>
      <c r="DQ157" s="153" t="str">
        <f aca="false">IF($DD157&gt;$DC$8,"",VLOOKUP($DD157,$DF$9:$DL$508,5,FALSE()))</f>
        <v/>
      </c>
      <c r="DR157" s="154" t="str">
        <f aca="false">IF($DD157&gt;$DC$8,"",VLOOKUP($DD157,$DF$9:$DL$508,6,FALSE()))</f>
        <v/>
      </c>
      <c r="DS157" s="76"/>
    </row>
    <row r="158" customFormat="false" ht="15.75" hidden="false" customHeight="false" outlineLevel="0" collapsed="false">
      <c r="A158" s="9"/>
      <c r="B158" s="160"/>
      <c r="C158" s="161"/>
      <c r="D158" s="162"/>
      <c r="E158" s="180"/>
      <c r="F158" s="164"/>
      <c r="G158" s="165"/>
      <c r="H158" s="165"/>
      <c r="I158" s="181"/>
      <c r="J158" s="168"/>
      <c r="K158" s="128"/>
      <c r="L158" s="129"/>
      <c r="M158" s="130"/>
      <c r="N158" s="168"/>
      <c r="O158" s="168"/>
      <c r="P158" s="180"/>
      <c r="Q158" s="168"/>
      <c r="R158" s="168"/>
      <c r="S158" s="128"/>
      <c r="T158" s="130"/>
      <c r="U158" s="130"/>
      <c r="V158" s="168"/>
      <c r="W158" s="168"/>
      <c r="X158" s="180"/>
      <c r="Y158" s="168"/>
      <c r="Z158" s="169"/>
      <c r="AA158" s="168"/>
      <c r="AB158" s="134"/>
      <c r="AC158" s="135"/>
      <c r="AD158" s="135"/>
      <c r="AE158" s="135"/>
      <c r="AF158" s="135" t="str">
        <f aca="false">IF(ISBLANK($C158),"",IF(E158=Constants!$B$2,TRUE(),IF(E158=Constants!$B$3,FALSE(),TRUE())))</f>
        <v/>
      </c>
      <c r="AG158" s="135" t="str">
        <f aca="false">IF(ISBLANK($C158),"",IF(F158=Constants!$B$2,TRUE(),IF(F158=Constants!$B$3,FALSE(),TRUE())))</f>
        <v/>
      </c>
      <c r="AH158" s="135" t="str">
        <f aca="false">IF(ISBLANK($C158),"",IF(G158=Constants!$B$2,TRUE(),IF(G158=Constants!$B$3,FALSE(),TRUE())))</f>
        <v/>
      </c>
      <c r="AI158" s="135" t="str">
        <f aca="false">IF(ISBLANK($C158),"",IF(AND(ISNUMBER(H158),H158&gt;=0),H158,Constants!$B$24))</f>
        <v/>
      </c>
      <c r="AJ158" s="135" t="str">
        <f aca="false">IF(ISBLANK($C158),"",IF(I158=Constants!$B$2,TRUE(),IF(I158=Constants!$B$3,FALSE(),TRUE())))</f>
        <v/>
      </c>
      <c r="AK158" s="135" t="str">
        <f aca="false">IF(ISBLANK($C158),"",IF(J158=Constants!$B$2,TRUE(),IF(J158=Constants!$B$3,FALSE(),TRUE())))</f>
        <v/>
      </c>
      <c r="AL158" s="135" t="str">
        <f aca="false">IF(ISBLANK($C158),"",IF(K158=Constants!$B$4,TRUE(),IF(K158=Constants!$B$5,FALSE(),COUNTA(L158:P158)&gt;0)))</f>
        <v/>
      </c>
      <c r="AM158" s="136" t="str">
        <f aca="false">IF(ISBLANK($C158),"",IF(ISNUMBER(L158),IF(L158&gt;=0,L158,""),""))</f>
        <v/>
      </c>
      <c r="AN158" s="137" t="str">
        <f aca="false">IF(ISBLANK($C158),"",IF(ISNUMBER(M158),IF(M158&gt;=0,M158,""),""))</f>
        <v/>
      </c>
      <c r="AO158" s="137" t="str">
        <f aca="false">IF(ISBLANK($C158),"",IF(N158=Constants!$B$2,TRUE(),IF(N158=Constants!$B$3,FALSE(),TRUE())))</f>
        <v/>
      </c>
      <c r="AP158" s="135" t="str">
        <f aca="false">IF(ISBLANK($C158),"",IF(ISNUMBER(O158),IF(O158&gt;=0,O158,""),""))</f>
        <v/>
      </c>
      <c r="AQ158" s="135" t="str">
        <f aca="false">IF(ISBLANK($C158),"",IF(P158=Constants!$B$2,TRUE(),IF(P158=Constants!$B$3,FALSE(),FALSE())))</f>
        <v/>
      </c>
      <c r="AR158" s="135" t="str">
        <f aca="false">IF(ISBLANK($C158),"",IF(Q158=Constants!$B$2,TRUE(),IF(Q158=Constants!$B$3,FALSE(),TRUE())))</f>
        <v/>
      </c>
      <c r="AS158" s="135" t="str">
        <f aca="false">IF(ISBLANK($C158),"",IF(R158=Constants!$B$2,TRUE(),IF(R158=Constants!$B$3,FALSE(),TRUE())))</f>
        <v/>
      </c>
      <c r="AT158" s="135" t="str">
        <f aca="false">IF(ISBLANK($C158),"",IF(S158=Constants!$B$4,TRUE(),IF(S158=Constants!$B$5,FALSE(),COUNTA(T158:X158)&gt;0)))</f>
        <v/>
      </c>
      <c r="AU158" s="136" t="str">
        <f aca="false">IF(ISBLANK($C158),"",IF(ISNUMBER(T158),IF(T158&gt;=0,T158,""),""))</f>
        <v/>
      </c>
      <c r="AV158" s="137" t="str">
        <f aca="false">IF(ISBLANK($C158),"",IF(ISNUMBER(U158),IF(U158&gt;=0,U158,""),""))</f>
        <v/>
      </c>
      <c r="AW158" s="137" t="str">
        <f aca="false">IF(ISBLANK($C158),"",IF(V158=Constants!$B$2,TRUE(),IF(V158=Constants!$B$3,FALSE(),TRUE())))</f>
        <v/>
      </c>
      <c r="AX158" s="135" t="str">
        <f aca="false">IF(ISBLANK($C158),"",IF(ISNUMBER(W158),IF(W158&gt;=0,W158,""),""))</f>
        <v/>
      </c>
      <c r="AY158" s="135" t="str">
        <f aca="false">IF(ISBLANK($C158),"",IF(X158=Constants!$B$2,TRUE(),IF(X158=Constants!$B$3,FALSE(),FALSE())))</f>
        <v/>
      </c>
      <c r="AZ158" s="135" t="str">
        <f aca="false">IF(ISBLANK($C158),"",MIN(Constants!$B$25,MAX(0,IF(ISNUMBER(Y158),Y158*60,0)+IF(ISNUMBER(Z158),Z158,0))))</f>
        <v/>
      </c>
      <c r="BA158" s="135" t="str">
        <f aca="false">IF(ISBLANK($C158),"",IF(AA158=Constants!$B$2,TRUE(),IF(AA158=Constants!$B$3,FALSE(),FALSE())))</f>
        <v/>
      </c>
      <c r="BB158" s="134" t="str">
        <f aca="false">IF(ISBLANK($C158),"",AND($AL158,OR($AM158="",$AN158="",AND($AO158,$AP158=""))))</f>
        <v/>
      </c>
      <c r="BC158" s="137" t="str">
        <f aca="false">IF($BX158&lt;&gt;Constants!$B$6,"",IF($AL158,Constants!$B$17*$AN158+Constants!$B$18*IF($AO158,$AP158,Constants!$B$19),Constants!$B$20))</f>
        <v/>
      </c>
      <c r="BD158" s="138" t="str">
        <f aca="false">IF($BX158&lt;&gt;Constants!$B$6,"",Constants!$B$21*ABS($AD$9-IF($AL158,$AM158,0)))</f>
        <v/>
      </c>
      <c r="BE158" s="138" t="str">
        <f aca="false">IF($BX158&lt;&gt;Constants!$B$6,"",IF(AND($AL158,$AQ158,$AO158),Constants!$B$22,0))</f>
        <v/>
      </c>
      <c r="BF158" s="138" t="str">
        <f aca="false">IF($BX158&lt;&gt;Constants!$B$6,"",IF($AL158,($AI158-Constants!$B$24)*Constants!$B$23,0))</f>
        <v/>
      </c>
      <c r="BG158" s="138" t="str">
        <f aca="false">IF($BX158&lt;&gt;Constants!$B$6,"",IF($AK158,0,Constants!$B$12)+IF($AJ158,0,Constants!$B$13)+IF($AH158,0,Constants!$B$14))</f>
        <v/>
      </c>
      <c r="BH158" s="139" t="str">
        <f aca="false">IF($BX158&lt;&gt;Constants!$B$6,"",Constants!$B$16+SUM($BC158:$BG158))</f>
        <v/>
      </c>
      <c r="BI158" s="138" t="str">
        <f aca="false">IF($BX158&lt;&gt;Constants!$B$6,"",$BC158)</f>
        <v/>
      </c>
      <c r="BJ158" s="138" t="str">
        <f aca="false">IF($BX158&lt;&gt;Constants!$B$6,"",$BD158)</f>
        <v/>
      </c>
      <c r="BK158" s="140" t="str">
        <f aca="false">IF($BX158&lt;&gt;Constants!$B$6,"",IF($AL158,$AN158,""))</f>
        <v/>
      </c>
      <c r="BL158" s="135" t="str">
        <f aca="false">IF($BX158&lt;&gt;Constants!$B$6,"",IF(OR($BS158&lt;$BH158,AND($BS158=$BH158,OR($BT158&lt;$BI158,AND($BT158=$BI158,OR($BU158&lt;$BJ158,AND($BU158=$BJ158,AND(ISNUMBER($BV158),OR(NOT(ISNUMBER($BK158)),$BV158&lt;$BK158)))))))),"-&gt;","&lt;-"))</f>
        <v/>
      </c>
      <c r="BM158" s="134" t="str">
        <f aca="false">IF(ISBLANK($C158),"",AND($AT158,OR($AU158="",$AV158="",AND($AW158,$AX158=""))))</f>
        <v/>
      </c>
      <c r="BN158" s="137" t="str">
        <f aca="false">IF($BX158&lt;&gt;Constants!$B$6,"",IF($AT158,Constants!$B$17*$AV158+Constants!$B$18*IF($AW158,$AX158,Constants!$B$19),Constants!$B$20))</f>
        <v/>
      </c>
      <c r="BO158" s="138" t="str">
        <f aca="false">IF($BX158&lt;&gt;Constants!$B$6,"",Constants!$B$21*ABS($AD$9-IF($AT158,$AU158,0)))</f>
        <v/>
      </c>
      <c r="BP158" s="138" t="str">
        <f aca="false">IF($BX158&lt;&gt;Constants!$B$6,"",IF(AND($AT158,$AY158,$AW158),Constants!$B$22,0))</f>
        <v/>
      </c>
      <c r="BQ158" s="138" t="str">
        <f aca="false">IF($BX158&lt;&gt;Constants!$B$6,"",IF($AT158,($AI158-Constants!$B$24)*Constants!$B$23,0))</f>
        <v/>
      </c>
      <c r="BR158" s="138" t="str">
        <f aca="false">IF($BX158&lt;&gt;Constants!$B$6,"",IF($AS158,0,Constants!$B$12)+IF($AR158,0,Constants!$B$13)+IF($AH158,0,Constants!$B$14))</f>
        <v/>
      </c>
      <c r="BS158" s="139" t="str">
        <f aca="false">IF($BX158&lt;&gt;Constants!$B$6,"",Constants!$B$16+SUM($BN158:$BR158))</f>
        <v/>
      </c>
      <c r="BT158" s="138" t="str">
        <f aca="false">IF($BX158&lt;&gt;Constants!$B$6,"",$BN158)</f>
        <v/>
      </c>
      <c r="BU158" s="138" t="str">
        <f aca="false">IF($BX158&lt;&gt;Constants!$B$6,"",$BO158)</f>
        <v/>
      </c>
      <c r="BV158" s="140" t="str">
        <f aca="false">IF($BX158&lt;&gt;Constants!$B$6,"",IF($AT158,$AV158,""))</f>
        <v/>
      </c>
      <c r="BW158" s="135" t="str">
        <f aca="false">IF(ISBLANK($C158),"",IF(ISBLANK($D$7),$BW$5,IF(NOT(ISNUMBER($D$7)),$BW$6,"")))</f>
        <v/>
      </c>
      <c r="BX158" s="135" t="str">
        <f aca="false">IF(ISBLANK($C158),"",IF($BA158,Constants!$B$9,IF(COUNTA($E158:$AA158)=0,Constants!$B$8,IF(NOT($AG158),Constants!$B$7,IF(OR($BW158&lt;&gt;"",$BB158,$BM158),Constants!$B$10,Constants!$B$6)))))</f>
        <v/>
      </c>
      <c r="BY158" s="135" t="str">
        <f aca="false">IF(ISBLANK($C158),"",IF($BX158&lt;&gt;Constants!$B$6,$BX158,Constants!$B$11))</f>
        <v/>
      </c>
      <c r="BZ158" s="138" t="str">
        <f aca="false">IF($BX158&lt;&gt;Constants!$B$6,"",IF($BL158="-&gt;",$BS158,$BH158))</f>
        <v/>
      </c>
      <c r="CA158" s="138" t="str">
        <f aca="false">IF($BX158&lt;&gt;Constants!$B$6,"",IF($AF158,0,Constants!$B$15))</f>
        <v/>
      </c>
      <c r="CB158" s="138" t="str">
        <f aca="false">IF($BX158&lt;&gt;Constants!$B$6,"",((Constants!$B$25-$AZ158)-Constants!$B$25)/Constants!$B$26)</f>
        <v/>
      </c>
      <c r="CC158" s="138" t="str">
        <f aca="false">IF(ISBLANK($C158),"",IF($BX158&lt;&gt;Constants!$B$6,$BX158,SUM($BZ158:$CB158)))</f>
        <v/>
      </c>
      <c r="CD158" s="135" t="str">
        <f aca="false">IF(ISBLANK($C158),"",IF($BX158&lt;&gt;Constants!$B$6,$BX158,RANK($CC158,$CC$9:$CC$508,1)))</f>
        <v/>
      </c>
      <c r="CE158" s="138" t="str">
        <f aca="false">IF($BX158&lt;&gt;Constants!$B$6,"",IF($BL158="-&gt;",$BT158,$BI158))</f>
        <v/>
      </c>
      <c r="CF158" s="135" t="str">
        <f aca="false">IF(ISBLANK($C158),"",IF($BX158&lt;&gt;Constants!$B$6,$BX158,IF(ISNUMBER($CE158),RANK($CE158,$CE$9:$CE$508,1),COUNT($CE$9:$CE$508)+1)))</f>
        <v/>
      </c>
      <c r="CG158" s="138" t="str">
        <f aca="false">IF($BX158&lt;&gt;Constants!$B$6,"",IF($BL158="-&gt;",$BU158,$BJ158))</f>
        <v/>
      </c>
      <c r="CH158" s="135" t="str">
        <f aca="false">IF(ISBLANK($C158),"",IF($BX158&lt;&gt;Constants!$B$6,$BX158,IF(ISNUMBER($CG158),RANK($CG158,$CG$9:$CG$508,1),COUNT($CG$9:$CG$508)+1)))</f>
        <v/>
      </c>
      <c r="CI158" s="138" t="str">
        <f aca="false">IF($BX158&lt;&gt;Constants!$B$6,"",IF($BL158="-&gt;",$BV158,$BK158))</f>
        <v/>
      </c>
      <c r="CJ158" s="135" t="str">
        <f aca="false">IF(ISBLANK($C158),"",IF($BX158&lt;&gt;Constants!$B$6,$BX158,IF(ISNUMBER($CI158),RANK($CI158,$CI$9:$CI$508,1),COUNT($CI$9:$CI$508)+1)))</f>
        <v/>
      </c>
      <c r="CK158" s="138" t="str">
        <f aca="false">IF($BX158&lt;&gt;Constants!$B$6,"",$AI158)</f>
        <v/>
      </c>
      <c r="CL158" s="135" t="str">
        <f aca="false">IF(ISBLANK($C158),"",IF($BX158&lt;&gt;Constants!$B$6,$BX158,IF(ISNUMBER($CK158),RANK($CK158,$CK$9:$CK$508,1),COUNT($CK$9:$CK$508)+1)))</f>
        <v/>
      </c>
      <c r="CM158" s="135" t="str">
        <f aca="false">IF(ISBLANK($C158),"",IF($BX158&lt;&gt;Constants!$B$6,$BX158,COUNTIFS($CD$9:$CD$508,"&lt;"&amp;$CD158)+COUNTIFS($CD$9:$CD$508,$CD158,$CF$9:$CF$508,"&lt;"&amp;$CF158)+COUNTIFS($CD$9:$CD$508,$CD158,$CF$9:$CF$508,$CF158,$CH$9:$CH$508,"&lt;"&amp;$CH158)+COUNTIFS($CD$9:$CD$508,$CD158,$CF$9:$CF$508,$CF158,$CH$9:$CH$508,$CH158,$CJ$9:$CJ$508,"&lt;"&amp;$CJ158)+COUNTIFS($CD$9:$CD$508,$CD158,$CF$9:$CF$508,$CF158,$CH$9:$CH$508,$CH158,$CJ$9:$CJ$508,$CJ158,$CL$9:$CL$508,"&lt;"&amp;$CL158)+1))</f>
        <v/>
      </c>
      <c r="CN158" s="135" t="str">
        <f aca="false">IF(ISBLANK($C158),"",IF($BX158&lt;&gt;Constants!$B$6,$BX158,$CD158-$CM158))</f>
        <v/>
      </c>
      <c r="CO158" s="141"/>
      <c r="CP158" s="142"/>
      <c r="CQ158" s="143" t="str">
        <f aca="false">IF(ISBLANK($C158),"",IF($BX158=Constants!$B$10,$BW158,""))</f>
        <v/>
      </c>
      <c r="CR158" s="142" t="str">
        <f aca="false">IF(ISBLANK($C158),"",IF($BX158&lt;&gt;Constants!$B$6,"",IF($BL158="-&gt;",2,1)))</f>
        <v/>
      </c>
      <c r="CS158" s="144" t="str">
        <f aca="false">IF(ISBLANK($C158),"",IF($BX158&lt;&gt;Constants!$B$6,"",IF($BL158="-&gt;",$BN158,$BC158)))</f>
        <v/>
      </c>
      <c r="CT158" s="144" t="str">
        <f aca="false">IF(ISBLANK($C158),"",IF($BX158&lt;&gt;Constants!$B$6,"",IF($BL158="-&gt;",$BO158,$BD158)))</f>
        <v/>
      </c>
      <c r="CU158" s="144" t="str">
        <f aca="false">IF(ISBLANK($C158),"",IF($BX158&lt;&gt;Constants!$B$6,"",IF($BL158="-&gt;",$BP158+$BQ158,$BE158+$BF158)+$CB158))</f>
        <v/>
      </c>
      <c r="CV158" s="144" t="str">
        <f aca="false">IF(ISBLANK($C158),"",IF($BX158&lt;&gt;Constants!$B$6,"",IF($BL158="-&gt;",$BR158,$BG158)+$CA158))</f>
        <v/>
      </c>
      <c r="CW158" s="145" t="str">
        <f aca="false">IF(ISBLANK($C158),"",IF($BX158&lt;&gt;Constants!$B$6,$BX158,$CC158))</f>
        <v/>
      </c>
      <c r="CX158" s="146" t="str">
        <f aca="false">IF(ISBLANK($C158),"",$BY158)</f>
        <v/>
      </c>
      <c r="CY158" s="147" t="str">
        <f aca="false">IF(ISBLANK($C158),"",$CN158)</f>
        <v/>
      </c>
      <c r="CZ158" s="147" t="str">
        <f aca="false">IF(ISBLANK($C158),"",$CM158)</f>
        <v/>
      </c>
      <c r="DA158" s="148" t="str">
        <f aca="false">IF(ISBLANK($C158),"",IFERROR(_xlfn.SWITCH($CZ158,Constants!$B$9,COUNTA($C$9:$C$508)+2,Constants!$B$8,COUNTA($C$9:$C$508)+1,Constants!$B$7,COUNTA($C$9:$C$508)),$CZ158))</f>
        <v/>
      </c>
      <c r="DB158" s="9"/>
      <c r="DC158" s="149" t="n">
        <f aca="false">IF(OR(ISNUMBER($CZ158),$CZ158=Constants!$B$9,$CZ158=Constants!$B$7,$CZ158=Constants!$B$8),1,0)</f>
        <v>0</v>
      </c>
      <c r="DD158" s="149" t="n">
        <v>150</v>
      </c>
      <c r="DE158" s="149" t="str">
        <f aca="false">IF(ISBLANK($C158),"",IF(ISNUMBER($DA158),$DA158+ROW($B158)/1000,""))</f>
        <v/>
      </c>
      <c r="DF158" s="149" t="str">
        <f aca="false">IF(ISNUMBER($DE158),RANK($DE158,$DE$9:$DE$508,1),"")</f>
        <v/>
      </c>
      <c r="DG158" s="149" t="str">
        <f aca="false">IF(ISBLANK($C158),"",$B158)</f>
        <v/>
      </c>
      <c r="DH158" s="149" t="str">
        <f aca="false">IF(ISBLANK($C158),"",$C158)</f>
        <v/>
      </c>
      <c r="DI158" s="149" t="str">
        <f aca="false">IF(ISBLANK($C158),"",$D158)</f>
        <v/>
      </c>
      <c r="DJ158" s="150" t="str">
        <f aca="false">$CX158</f>
        <v/>
      </c>
      <c r="DK158" s="151" t="str">
        <f aca="false">$CW158</f>
        <v/>
      </c>
      <c r="DL158" s="149" t="str">
        <f aca="false">IF(ISBLANK($C158),"",$CZ158)</f>
        <v/>
      </c>
      <c r="DM158" s="152" t="str">
        <f aca="false">IF($DD158&gt;$DC$8,"",VLOOKUP($DD158,$DF$9:$DL$508,7,FALSE()))</f>
        <v/>
      </c>
      <c r="DN158" s="153" t="str">
        <f aca="false">IF($DD158&gt;$DC$8,"",VLOOKUP($DD158,$DF$9:$DL$508,2,FALSE()))</f>
        <v/>
      </c>
      <c r="DO158" s="153" t="str">
        <f aca="false">IF($DD158&gt;$DC$8,"",VLOOKUP($DD158,$DF$9:$DL$508,3,FALSE()))</f>
        <v/>
      </c>
      <c r="DP158" s="153" t="str">
        <f aca="false">IF($DD158&gt;$DC$8,"",VLOOKUP($DD158,$DF$9:$DL$508,4,FALSE()))</f>
        <v/>
      </c>
      <c r="DQ158" s="153" t="str">
        <f aca="false">IF($DD158&gt;$DC$8,"",VLOOKUP($DD158,$DF$9:$DL$508,5,FALSE()))</f>
        <v/>
      </c>
      <c r="DR158" s="154" t="str">
        <f aca="false">IF($DD158&gt;$DC$8,"",VLOOKUP($DD158,$DF$9:$DL$508,6,FALSE()))</f>
        <v/>
      </c>
      <c r="DS158" s="76"/>
    </row>
    <row r="159" customFormat="false" ht="15.75" hidden="false" customHeight="false" outlineLevel="0" collapsed="false">
      <c r="A159" s="9"/>
      <c r="B159" s="78"/>
      <c r="C159" s="79"/>
      <c r="D159" s="170"/>
      <c r="E159" s="178"/>
      <c r="F159" s="172"/>
      <c r="G159" s="173"/>
      <c r="H159" s="173"/>
      <c r="I159" s="179"/>
      <c r="J159" s="176"/>
      <c r="K159" s="86"/>
      <c r="L159" s="87"/>
      <c r="M159" s="88"/>
      <c r="N159" s="176"/>
      <c r="O159" s="176"/>
      <c r="P159" s="178"/>
      <c r="Q159" s="176"/>
      <c r="R159" s="176"/>
      <c r="S159" s="86"/>
      <c r="T159" s="88"/>
      <c r="U159" s="88"/>
      <c r="V159" s="176"/>
      <c r="W159" s="176"/>
      <c r="X159" s="178"/>
      <c r="Y159" s="176"/>
      <c r="Z159" s="177"/>
      <c r="AA159" s="176"/>
      <c r="AB159" s="92"/>
      <c r="AC159" s="93"/>
      <c r="AD159" s="93"/>
      <c r="AE159" s="93"/>
      <c r="AF159" s="93" t="str">
        <f aca="false">IF(ISBLANK($C159),"",IF(E159=Constants!$B$2,TRUE(),IF(E159=Constants!$B$3,FALSE(),TRUE())))</f>
        <v/>
      </c>
      <c r="AG159" s="93" t="str">
        <f aca="false">IF(ISBLANK($C159),"",IF(F159=Constants!$B$2,TRUE(),IF(F159=Constants!$B$3,FALSE(),TRUE())))</f>
        <v/>
      </c>
      <c r="AH159" s="93" t="str">
        <f aca="false">IF(ISBLANK($C159),"",IF(G159=Constants!$B$2,TRUE(),IF(G159=Constants!$B$3,FALSE(),TRUE())))</f>
        <v/>
      </c>
      <c r="AI159" s="93" t="str">
        <f aca="false">IF(ISBLANK($C159),"",IF(AND(ISNUMBER(H159),H159&gt;=0),H159,Constants!$B$24))</f>
        <v/>
      </c>
      <c r="AJ159" s="93" t="str">
        <f aca="false">IF(ISBLANK($C159),"",IF(I159=Constants!$B$2,TRUE(),IF(I159=Constants!$B$3,FALSE(),TRUE())))</f>
        <v/>
      </c>
      <c r="AK159" s="93" t="str">
        <f aca="false">IF(ISBLANK($C159),"",IF(J159=Constants!$B$2,TRUE(),IF(J159=Constants!$B$3,FALSE(),TRUE())))</f>
        <v/>
      </c>
      <c r="AL159" s="93" t="str">
        <f aca="false">IF(ISBLANK($C159),"",IF(K159=Constants!$B$4,TRUE(),IF(K159=Constants!$B$5,FALSE(),COUNTA(L159:P159)&gt;0)))</f>
        <v/>
      </c>
      <c r="AM159" s="95" t="str">
        <f aca="false">IF(ISBLANK($C159),"",IF(ISNUMBER(L159),IF(L159&gt;=0,L159,""),""))</f>
        <v/>
      </c>
      <c r="AN159" s="94" t="str">
        <f aca="false">IF(ISBLANK($C159),"",IF(ISNUMBER(M159),IF(M159&gt;=0,M159,""),""))</f>
        <v/>
      </c>
      <c r="AO159" s="94" t="str">
        <f aca="false">IF(ISBLANK($C159),"",IF(N159=Constants!$B$2,TRUE(),IF(N159=Constants!$B$3,FALSE(),TRUE())))</f>
        <v/>
      </c>
      <c r="AP159" s="93" t="str">
        <f aca="false">IF(ISBLANK($C159),"",IF(ISNUMBER(O159),IF(O159&gt;=0,O159,""),""))</f>
        <v/>
      </c>
      <c r="AQ159" s="93" t="str">
        <f aca="false">IF(ISBLANK($C159),"",IF(P159=Constants!$B$2,TRUE(),IF(P159=Constants!$B$3,FALSE(),FALSE())))</f>
        <v/>
      </c>
      <c r="AR159" s="93" t="str">
        <f aca="false">IF(ISBLANK($C159),"",IF(Q159=Constants!$B$2,TRUE(),IF(Q159=Constants!$B$3,FALSE(),TRUE())))</f>
        <v/>
      </c>
      <c r="AS159" s="93" t="str">
        <f aca="false">IF(ISBLANK($C159),"",IF(R159=Constants!$B$2,TRUE(),IF(R159=Constants!$B$3,FALSE(),TRUE())))</f>
        <v/>
      </c>
      <c r="AT159" s="93" t="str">
        <f aca="false">IF(ISBLANK($C159),"",IF(S159=Constants!$B$4,TRUE(),IF(S159=Constants!$B$5,FALSE(),COUNTA(T159:X159)&gt;0)))</f>
        <v/>
      </c>
      <c r="AU159" s="95" t="str">
        <f aca="false">IF(ISBLANK($C159),"",IF(ISNUMBER(T159),IF(T159&gt;=0,T159,""),""))</f>
        <v/>
      </c>
      <c r="AV159" s="94" t="str">
        <f aca="false">IF(ISBLANK($C159),"",IF(ISNUMBER(U159),IF(U159&gt;=0,U159,""),""))</f>
        <v/>
      </c>
      <c r="AW159" s="94" t="str">
        <f aca="false">IF(ISBLANK($C159),"",IF(V159=Constants!$B$2,TRUE(),IF(V159=Constants!$B$3,FALSE(),TRUE())))</f>
        <v/>
      </c>
      <c r="AX159" s="93" t="str">
        <f aca="false">IF(ISBLANK($C159),"",IF(ISNUMBER(W159),IF(W159&gt;=0,W159,""),""))</f>
        <v/>
      </c>
      <c r="AY159" s="93" t="str">
        <f aca="false">IF(ISBLANK($C159),"",IF(X159=Constants!$B$2,TRUE(),IF(X159=Constants!$B$3,FALSE(),FALSE())))</f>
        <v/>
      </c>
      <c r="AZ159" s="93" t="str">
        <f aca="false">IF(ISBLANK($C159),"",MIN(Constants!$B$25,MAX(0,IF(ISNUMBER(Y159),Y159*60,0)+IF(ISNUMBER(Z159),Z159,0))))</f>
        <v/>
      </c>
      <c r="BA159" s="93" t="str">
        <f aca="false">IF(ISBLANK($C159),"",IF(AA159=Constants!$B$2,TRUE(),IF(AA159=Constants!$B$3,FALSE(),FALSE())))</f>
        <v/>
      </c>
      <c r="BB159" s="92" t="str">
        <f aca="false">IF(ISBLANK($C159),"",AND($AL159,OR($AM159="",$AN159="",AND($AO159,$AP159=""))))</f>
        <v/>
      </c>
      <c r="BC159" s="94" t="str">
        <f aca="false">IF($BX159&lt;&gt;Constants!$B$6,"",IF($AL159,Constants!$B$17*$AN159+Constants!$B$18*IF($AO159,$AP159,Constants!$B$19),Constants!$B$20))</f>
        <v/>
      </c>
      <c r="BD159" s="97" t="str">
        <f aca="false">IF($BX159&lt;&gt;Constants!$B$6,"",Constants!$B$21*ABS($AD$9-IF($AL159,$AM159,0)))</f>
        <v/>
      </c>
      <c r="BE159" s="97" t="str">
        <f aca="false">IF($BX159&lt;&gt;Constants!$B$6,"",IF(AND($AL159,$AQ159,$AO159),Constants!$B$22,0))</f>
        <v/>
      </c>
      <c r="BF159" s="97" t="str">
        <f aca="false">IF($BX159&lt;&gt;Constants!$B$6,"",IF($AL159,($AI159-Constants!$B$24)*Constants!$B$23,0))</f>
        <v/>
      </c>
      <c r="BG159" s="97" t="str">
        <f aca="false">IF($BX159&lt;&gt;Constants!$B$6,"",IF($AK159,0,Constants!$B$12)+IF($AJ159,0,Constants!$B$13)+IF($AH159,0,Constants!$B$14))</f>
        <v/>
      </c>
      <c r="BH159" s="98" t="str">
        <f aca="false">IF($BX159&lt;&gt;Constants!$B$6,"",Constants!$B$16+SUM($BC159:$BG159))</f>
        <v/>
      </c>
      <c r="BI159" s="97" t="str">
        <f aca="false">IF($BX159&lt;&gt;Constants!$B$6,"",$BC159)</f>
        <v/>
      </c>
      <c r="BJ159" s="97" t="str">
        <f aca="false">IF($BX159&lt;&gt;Constants!$B$6,"",$BD159)</f>
        <v/>
      </c>
      <c r="BK159" s="99" t="str">
        <f aca="false">IF($BX159&lt;&gt;Constants!$B$6,"",IF($AL159,$AN159,""))</f>
        <v/>
      </c>
      <c r="BL159" s="93" t="str">
        <f aca="false">IF($BX159&lt;&gt;Constants!$B$6,"",IF(OR($BS159&lt;$BH159,AND($BS159=$BH159,OR($BT159&lt;$BI159,AND($BT159=$BI159,OR($BU159&lt;$BJ159,AND($BU159=$BJ159,AND(ISNUMBER($BV159),OR(NOT(ISNUMBER($BK159)),$BV159&lt;$BK159)))))))),"-&gt;","&lt;-"))</f>
        <v/>
      </c>
      <c r="BM159" s="92" t="str">
        <f aca="false">IF(ISBLANK($C159),"",AND($AT159,OR($AU159="",$AV159="",AND($AW159,$AX159=""))))</f>
        <v/>
      </c>
      <c r="BN159" s="94" t="str">
        <f aca="false">IF($BX159&lt;&gt;Constants!$B$6,"",IF($AT159,Constants!$B$17*$AV159+Constants!$B$18*IF($AW159,$AX159,Constants!$B$19),Constants!$B$20))</f>
        <v/>
      </c>
      <c r="BO159" s="97" t="str">
        <f aca="false">IF($BX159&lt;&gt;Constants!$B$6,"",Constants!$B$21*ABS($AD$9-IF($AT159,$AU159,0)))</f>
        <v/>
      </c>
      <c r="BP159" s="97" t="str">
        <f aca="false">IF($BX159&lt;&gt;Constants!$B$6,"",IF(AND($AT159,$AY159,$AW159),Constants!$B$22,0))</f>
        <v/>
      </c>
      <c r="BQ159" s="97" t="str">
        <f aca="false">IF($BX159&lt;&gt;Constants!$B$6,"",IF($AT159,($AI159-Constants!$B$24)*Constants!$B$23,0))</f>
        <v/>
      </c>
      <c r="BR159" s="97" t="str">
        <f aca="false">IF($BX159&lt;&gt;Constants!$B$6,"",IF($AS159,0,Constants!$B$12)+IF($AR159,0,Constants!$B$13)+IF($AH159,0,Constants!$B$14))</f>
        <v/>
      </c>
      <c r="BS159" s="98" t="str">
        <f aca="false">IF($BX159&lt;&gt;Constants!$B$6,"",Constants!$B$16+SUM($BN159:$BR159))</f>
        <v/>
      </c>
      <c r="BT159" s="97" t="str">
        <f aca="false">IF($BX159&lt;&gt;Constants!$B$6,"",$BN159)</f>
        <v/>
      </c>
      <c r="BU159" s="97" t="str">
        <f aca="false">IF($BX159&lt;&gt;Constants!$B$6,"",$BO159)</f>
        <v/>
      </c>
      <c r="BV159" s="99" t="str">
        <f aca="false">IF($BX159&lt;&gt;Constants!$B$6,"",IF($AT159,$AV159,""))</f>
        <v/>
      </c>
      <c r="BW159" s="93" t="str">
        <f aca="false">IF(ISBLANK($C159),"",IF(ISBLANK($D$7),$BW$5,IF(NOT(ISNUMBER($D$7)),$BW$6,"")))</f>
        <v/>
      </c>
      <c r="BX159" s="93" t="str">
        <f aca="false">IF(ISBLANK($C159),"",IF($BA159,Constants!$B$9,IF(COUNTA($E159:$AA159)=0,Constants!$B$8,IF(NOT($AG159),Constants!$B$7,IF(OR($BW159&lt;&gt;"",$BB159,$BM159),Constants!$B$10,Constants!$B$6)))))</f>
        <v/>
      </c>
      <c r="BY159" s="93" t="str">
        <f aca="false">IF(ISBLANK($C159),"",IF($BX159&lt;&gt;Constants!$B$6,$BX159,Constants!$B$11))</f>
        <v/>
      </c>
      <c r="BZ159" s="97" t="str">
        <f aca="false">IF($BX159&lt;&gt;Constants!$B$6,"",IF($BL159="-&gt;",$BS159,$BH159))</f>
        <v/>
      </c>
      <c r="CA159" s="97" t="str">
        <f aca="false">IF($BX159&lt;&gt;Constants!$B$6,"",IF($AF159,0,Constants!$B$15))</f>
        <v/>
      </c>
      <c r="CB159" s="97" t="str">
        <f aca="false">IF($BX159&lt;&gt;Constants!$B$6,"",((Constants!$B$25-$AZ159)-Constants!$B$25)/Constants!$B$26)</f>
        <v/>
      </c>
      <c r="CC159" s="97" t="str">
        <f aca="false">IF(ISBLANK($C159),"",IF($BX159&lt;&gt;Constants!$B$6,$BX159,SUM($BZ159:$CB159)))</f>
        <v/>
      </c>
      <c r="CD159" s="93" t="str">
        <f aca="false">IF(ISBLANK($C159),"",IF($BX159&lt;&gt;Constants!$B$6,$BX159,RANK($CC159,$CC$9:$CC$508,1)))</f>
        <v/>
      </c>
      <c r="CE159" s="97" t="str">
        <f aca="false">IF($BX159&lt;&gt;Constants!$B$6,"",IF($BL159="-&gt;",$BT159,$BI159))</f>
        <v/>
      </c>
      <c r="CF159" s="93" t="str">
        <f aca="false">IF(ISBLANK($C159),"",IF($BX159&lt;&gt;Constants!$B$6,$BX159,IF(ISNUMBER($CE159),RANK($CE159,$CE$9:$CE$508,1),COUNT($CE$9:$CE$508)+1)))</f>
        <v/>
      </c>
      <c r="CG159" s="97" t="str">
        <f aca="false">IF($BX159&lt;&gt;Constants!$B$6,"",IF($BL159="-&gt;",$BU159,$BJ159))</f>
        <v/>
      </c>
      <c r="CH159" s="93" t="str">
        <f aca="false">IF(ISBLANK($C159),"",IF($BX159&lt;&gt;Constants!$B$6,$BX159,IF(ISNUMBER($CG159),RANK($CG159,$CG$9:$CG$508,1),COUNT($CG$9:$CG$508)+1)))</f>
        <v/>
      </c>
      <c r="CI159" s="97" t="str">
        <f aca="false">IF($BX159&lt;&gt;Constants!$B$6,"",IF($BL159="-&gt;",$BV159,$BK159))</f>
        <v/>
      </c>
      <c r="CJ159" s="93" t="str">
        <f aca="false">IF(ISBLANK($C159),"",IF($BX159&lt;&gt;Constants!$B$6,$BX159,IF(ISNUMBER($CI159),RANK($CI159,$CI$9:$CI$508,1),COUNT($CI$9:$CI$508)+1)))</f>
        <v/>
      </c>
      <c r="CK159" s="97" t="str">
        <f aca="false">IF($BX159&lt;&gt;Constants!$B$6,"",$AI159)</f>
        <v/>
      </c>
      <c r="CL159" s="93" t="str">
        <f aca="false">IF(ISBLANK($C159),"",IF($BX159&lt;&gt;Constants!$B$6,$BX159,IF(ISNUMBER($CK159),RANK($CK159,$CK$9:$CK$508,1),COUNT($CK$9:$CK$508)+1)))</f>
        <v/>
      </c>
      <c r="CM159" s="93" t="str">
        <f aca="false">IF(ISBLANK($C159),"",IF($BX159&lt;&gt;Constants!$B$6,$BX159,COUNTIFS($CD$9:$CD$508,"&lt;"&amp;$CD159)+COUNTIFS($CD$9:$CD$508,$CD159,$CF$9:$CF$508,"&lt;"&amp;$CF159)+COUNTIFS($CD$9:$CD$508,$CD159,$CF$9:$CF$508,$CF159,$CH$9:$CH$508,"&lt;"&amp;$CH159)+COUNTIFS($CD$9:$CD$508,$CD159,$CF$9:$CF$508,$CF159,$CH$9:$CH$508,$CH159,$CJ$9:$CJ$508,"&lt;"&amp;$CJ159)+COUNTIFS($CD$9:$CD$508,$CD159,$CF$9:$CF$508,$CF159,$CH$9:$CH$508,$CH159,$CJ$9:$CJ$508,$CJ159,$CL$9:$CL$508,"&lt;"&amp;$CL159)+1))</f>
        <v/>
      </c>
      <c r="CN159" s="93" t="str">
        <f aca="false">IF(ISBLANK($C159),"",IF($BX159&lt;&gt;Constants!$B$6,$BX159,$CD159-$CM159))</f>
        <v/>
      </c>
      <c r="CO159" s="100"/>
      <c r="CP159" s="101"/>
      <c r="CQ159" s="102" t="str">
        <f aca="false">IF(ISBLANK($C159),"",IF($BX159=Constants!$B$10,$BW159,""))</f>
        <v/>
      </c>
      <c r="CR159" s="101" t="str">
        <f aca="false">IF(ISBLANK($C159),"",IF($BX159&lt;&gt;Constants!$B$6,"",IF($BL159="-&gt;",2,1)))</f>
        <v/>
      </c>
      <c r="CS159" s="103" t="str">
        <f aca="false">IF(ISBLANK($C159),"",IF($BX159&lt;&gt;Constants!$B$6,"",IF($BL159="-&gt;",$BN159,$BC159)))</f>
        <v/>
      </c>
      <c r="CT159" s="103" t="str">
        <f aca="false">IF(ISBLANK($C159),"",IF($BX159&lt;&gt;Constants!$B$6,"",IF($BL159="-&gt;",$BO159,$BD159)))</f>
        <v/>
      </c>
      <c r="CU159" s="103" t="str">
        <f aca="false">IF(ISBLANK($C159),"",IF($BX159&lt;&gt;Constants!$B$6,"",IF($BL159="-&gt;",$BP159+$BQ159,$BE159+$BF159)+$CB159))</f>
        <v/>
      </c>
      <c r="CV159" s="103" t="str">
        <f aca="false">IF(ISBLANK($C159),"",IF($BX159&lt;&gt;Constants!$B$6,"",IF($BL159="-&gt;",$BR159,$BG159)+$CA159))</f>
        <v/>
      </c>
      <c r="CW159" s="104" t="str">
        <f aca="false">IF(ISBLANK($C159),"",IF($BX159&lt;&gt;Constants!$B$6,$BX159,$CC159))</f>
        <v/>
      </c>
      <c r="CX159" s="105" t="str">
        <f aca="false">IF(ISBLANK($C159),"",$BY159)</f>
        <v/>
      </c>
      <c r="CY159" s="106" t="str">
        <f aca="false">IF(ISBLANK($C159),"",$CN159)</f>
        <v/>
      </c>
      <c r="CZ159" s="106" t="str">
        <f aca="false">IF(ISBLANK($C159),"",$CM159)</f>
        <v/>
      </c>
      <c r="DA159" s="107" t="str">
        <f aca="false">IF(ISBLANK($C159),"",IFERROR(_xlfn.SWITCH($CZ159,Constants!$B$9,COUNTA($C$9:$C$508)+2,Constants!$B$8,COUNTA($C$9:$C$508)+1,Constants!$B$7,COUNTA($C$9:$C$508)),$CZ159))</f>
        <v/>
      </c>
      <c r="DB159" s="9"/>
      <c r="DC159" s="108" t="n">
        <f aca="false">IF(OR(ISNUMBER($CZ159),$CZ159=Constants!$B$9,$CZ159=Constants!$B$7,$CZ159=Constants!$B$8),1,0)</f>
        <v>0</v>
      </c>
      <c r="DD159" s="108" t="n">
        <v>151</v>
      </c>
      <c r="DE159" s="108" t="str">
        <f aca="false">IF(ISBLANK($C159),"",IF(ISNUMBER($DA159),$DA159+ROW($B159)/1000,""))</f>
        <v/>
      </c>
      <c r="DF159" s="108" t="str">
        <f aca="false">IF(ISNUMBER($DE159),RANK($DE159,$DE$9:$DE$508,1),"")</f>
        <v/>
      </c>
      <c r="DG159" s="108" t="str">
        <f aca="false">IF(ISBLANK($C159),"",$B159)</f>
        <v/>
      </c>
      <c r="DH159" s="108" t="str">
        <f aca="false">IF(ISBLANK($C159),"",$C159)</f>
        <v/>
      </c>
      <c r="DI159" s="108" t="str">
        <f aca="false">IF(ISBLANK($C159),"",$D159)</f>
        <v/>
      </c>
      <c r="DJ159" s="109" t="str">
        <f aca="false">$CX159</f>
        <v/>
      </c>
      <c r="DK159" s="110" t="str">
        <f aca="false">$CW159</f>
        <v/>
      </c>
      <c r="DL159" s="108" t="str">
        <f aca="false">IF(ISBLANK($C159),"",$CZ159)</f>
        <v/>
      </c>
      <c r="DM159" s="111" t="str">
        <f aca="false">IF($DD159&gt;$DC$8,"",VLOOKUP($DD159,$DF$9:$DL$508,7,FALSE()))</f>
        <v/>
      </c>
      <c r="DN159" s="112" t="str">
        <f aca="false">IF($DD159&gt;$DC$8,"",VLOOKUP($DD159,$DF$9:$DL$508,2,FALSE()))</f>
        <v/>
      </c>
      <c r="DO159" s="112" t="str">
        <f aca="false">IF($DD159&gt;$DC$8,"",VLOOKUP($DD159,$DF$9:$DL$508,3,FALSE()))</f>
        <v/>
      </c>
      <c r="DP159" s="112" t="str">
        <f aca="false">IF($DD159&gt;$DC$8,"",VLOOKUP($DD159,$DF$9:$DL$508,4,FALSE()))</f>
        <v/>
      </c>
      <c r="DQ159" s="112" t="str">
        <f aca="false">IF($DD159&gt;$DC$8,"",VLOOKUP($DD159,$DF$9:$DL$508,5,FALSE()))</f>
        <v/>
      </c>
      <c r="DR159" s="113" t="str">
        <f aca="false">IF($DD159&gt;$DC$8,"",VLOOKUP($DD159,$DF$9:$DL$508,6,FALSE()))</f>
        <v/>
      </c>
      <c r="DS159" s="76"/>
    </row>
    <row r="160" customFormat="false" ht="15.75" hidden="false" customHeight="false" outlineLevel="0" collapsed="false">
      <c r="A160" s="9"/>
      <c r="B160" s="78"/>
      <c r="C160" s="79"/>
      <c r="D160" s="170"/>
      <c r="E160" s="178"/>
      <c r="F160" s="172"/>
      <c r="G160" s="173"/>
      <c r="H160" s="173"/>
      <c r="I160" s="179"/>
      <c r="J160" s="176"/>
      <c r="K160" s="86"/>
      <c r="L160" s="87"/>
      <c r="M160" s="88"/>
      <c r="N160" s="176"/>
      <c r="O160" s="176"/>
      <c r="P160" s="178"/>
      <c r="Q160" s="176"/>
      <c r="R160" s="176"/>
      <c r="S160" s="86"/>
      <c r="T160" s="88"/>
      <c r="U160" s="88"/>
      <c r="V160" s="176"/>
      <c r="W160" s="176"/>
      <c r="X160" s="178"/>
      <c r="Y160" s="176"/>
      <c r="Z160" s="177"/>
      <c r="AA160" s="176"/>
      <c r="AB160" s="92"/>
      <c r="AC160" s="93"/>
      <c r="AD160" s="93"/>
      <c r="AE160" s="93"/>
      <c r="AF160" s="93" t="str">
        <f aca="false">IF(ISBLANK($C160),"",IF(E160=Constants!$B$2,TRUE(),IF(E160=Constants!$B$3,FALSE(),TRUE())))</f>
        <v/>
      </c>
      <c r="AG160" s="93" t="str">
        <f aca="false">IF(ISBLANK($C160),"",IF(F160=Constants!$B$2,TRUE(),IF(F160=Constants!$B$3,FALSE(),TRUE())))</f>
        <v/>
      </c>
      <c r="AH160" s="93" t="str">
        <f aca="false">IF(ISBLANK($C160),"",IF(G160=Constants!$B$2,TRUE(),IF(G160=Constants!$B$3,FALSE(),TRUE())))</f>
        <v/>
      </c>
      <c r="AI160" s="93" t="str">
        <f aca="false">IF(ISBLANK($C160),"",IF(AND(ISNUMBER(H160),H160&gt;=0),H160,Constants!$B$24))</f>
        <v/>
      </c>
      <c r="AJ160" s="93" t="str">
        <f aca="false">IF(ISBLANK($C160),"",IF(I160=Constants!$B$2,TRUE(),IF(I160=Constants!$B$3,FALSE(),TRUE())))</f>
        <v/>
      </c>
      <c r="AK160" s="93" t="str">
        <f aca="false">IF(ISBLANK($C160),"",IF(J160=Constants!$B$2,TRUE(),IF(J160=Constants!$B$3,FALSE(),TRUE())))</f>
        <v/>
      </c>
      <c r="AL160" s="93" t="str">
        <f aca="false">IF(ISBLANK($C160),"",IF(K160=Constants!$B$4,TRUE(),IF(K160=Constants!$B$5,FALSE(),COUNTA(L160:P160)&gt;0)))</f>
        <v/>
      </c>
      <c r="AM160" s="95" t="str">
        <f aca="false">IF(ISBLANK($C160),"",IF(ISNUMBER(L160),IF(L160&gt;=0,L160,""),""))</f>
        <v/>
      </c>
      <c r="AN160" s="94" t="str">
        <f aca="false">IF(ISBLANK($C160),"",IF(ISNUMBER(M160),IF(M160&gt;=0,M160,""),""))</f>
        <v/>
      </c>
      <c r="AO160" s="94" t="str">
        <f aca="false">IF(ISBLANK($C160),"",IF(N160=Constants!$B$2,TRUE(),IF(N160=Constants!$B$3,FALSE(),TRUE())))</f>
        <v/>
      </c>
      <c r="AP160" s="93" t="str">
        <f aca="false">IF(ISBLANK($C160),"",IF(ISNUMBER(O160),IF(O160&gt;=0,O160,""),""))</f>
        <v/>
      </c>
      <c r="AQ160" s="93" t="str">
        <f aca="false">IF(ISBLANK($C160),"",IF(P160=Constants!$B$2,TRUE(),IF(P160=Constants!$B$3,FALSE(),FALSE())))</f>
        <v/>
      </c>
      <c r="AR160" s="93" t="str">
        <f aca="false">IF(ISBLANK($C160),"",IF(Q160=Constants!$B$2,TRUE(),IF(Q160=Constants!$B$3,FALSE(),TRUE())))</f>
        <v/>
      </c>
      <c r="AS160" s="93" t="str">
        <f aca="false">IF(ISBLANK($C160),"",IF(R160=Constants!$B$2,TRUE(),IF(R160=Constants!$B$3,FALSE(),TRUE())))</f>
        <v/>
      </c>
      <c r="AT160" s="93" t="str">
        <f aca="false">IF(ISBLANK($C160),"",IF(S160=Constants!$B$4,TRUE(),IF(S160=Constants!$B$5,FALSE(),COUNTA(T160:X160)&gt;0)))</f>
        <v/>
      </c>
      <c r="AU160" s="95" t="str">
        <f aca="false">IF(ISBLANK($C160),"",IF(ISNUMBER(T160),IF(T160&gt;=0,T160,""),""))</f>
        <v/>
      </c>
      <c r="AV160" s="94" t="str">
        <f aca="false">IF(ISBLANK($C160),"",IF(ISNUMBER(U160),IF(U160&gt;=0,U160,""),""))</f>
        <v/>
      </c>
      <c r="AW160" s="94" t="str">
        <f aca="false">IF(ISBLANK($C160),"",IF(V160=Constants!$B$2,TRUE(),IF(V160=Constants!$B$3,FALSE(),TRUE())))</f>
        <v/>
      </c>
      <c r="AX160" s="93" t="str">
        <f aca="false">IF(ISBLANK($C160),"",IF(ISNUMBER(W160),IF(W160&gt;=0,W160,""),""))</f>
        <v/>
      </c>
      <c r="AY160" s="93" t="str">
        <f aca="false">IF(ISBLANK($C160),"",IF(X160=Constants!$B$2,TRUE(),IF(X160=Constants!$B$3,FALSE(),FALSE())))</f>
        <v/>
      </c>
      <c r="AZ160" s="93" t="str">
        <f aca="false">IF(ISBLANK($C160),"",MIN(Constants!$B$25,MAX(0,IF(ISNUMBER(Y160),Y160*60,0)+IF(ISNUMBER(Z160),Z160,0))))</f>
        <v/>
      </c>
      <c r="BA160" s="93" t="str">
        <f aca="false">IF(ISBLANK($C160),"",IF(AA160=Constants!$B$2,TRUE(),IF(AA160=Constants!$B$3,FALSE(),FALSE())))</f>
        <v/>
      </c>
      <c r="BB160" s="92" t="str">
        <f aca="false">IF(ISBLANK($C160),"",AND($AL160,OR($AM160="",$AN160="",AND($AO160,$AP160=""))))</f>
        <v/>
      </c>
      <c r="BC160" s="94" t="str">
        <f aca="false">IF($BX160&lt;&gt;Constants!$B$6,"",IF($AL160,Constants!$B$17*$AN160+Constants!$B$18*IF($AO160,$AP160,Constants!$B$19),Constants!$B$20))</f>
        <v/>
      </c>
      <c r="BD160" s="97" t="str">
        <f aca="false">IF($BX160&lt;&gt;Constants!$B$6,"",Constants!$B$21*ABS($AD$9-IF($AL160,$AM160,0)))</f>
        <v/>
      </c>
      <c r="BE160" s="97" t="str">
        <f aca="false">IF($BX160&lt;&gt;Constants!$B$6,"",IF(AND($AL160,$AQ160,$AO160),Constants!$B$22,0))</f>
        <v/>
      </c>
      <c r="BF160" s="97" t="str">
        <f aca="false">IF($BX160&lt;&gt;Constants!$B$6,"",IF($AL160,($AI160-Constants!$B$24)*Constants!$B$23,0))</f>
        <v/>
      </c>
      <c r="BG160" s="97" t="str">
        <f aca="false">IF($BX160&lt;&gt;Constants!$B$6,"",IF($AK160,0,Constants!$B$12)+IF($AJ160,0,Constants!$B$13)+IF($AH160,0,Constants!$B$14))</f>
        <v/>
      </c>
      <c r="BH160" s="98" t="str">
        <f aca="false">IF($BX160&lt;&gt;Constants!$B$6,"",Constants!$B$16+SUM($BC160:$BG160))</f>
        <v/>
      </c>
      <c r="BI160" s="97" t="str">
        <f aca="false">IF($BX160&lt;&gt;Constants!$B$6,"",$BC160)</f>
        <v/>
      </c>
      <c r="BJ160" s="97" t="str">
        <f aca="false">IF($BX160&lt;&gt;Constants!$B$6,"",$BD160)</f>
        <v/>
      </c>
      <c r="BK160" s="99" t="str">
        <f aca="false">IF($BX160&lt;&gt;Constants!$B$6,"",IF($AL160,$AN160,""))</f>
        <v/>
      </c>
      <c r="BL160" s="93" t="str">
        <f aca="false">IF($BX160&lt;&gt;Constants!$B$6,"",IF(OR($BS160&lt;$BH160,AND($BS160=$BH160,OR($BT160&lt;$BI160,AND($BT160=$BI160,OR($BU160&lt;$BJ160,AND($BU160=$BJ160,AND(ISNUMBER($BV160),OR(NOT(ISNUMBER($BK160)),$BV160&lt;$BK160)))))))),"-&gt;","&lt;-"))</f>
        <v/>
      </c>
      <c r="BM160" s="92" t="str">
        <f aca="false">IF(ISBLANK($C160),"",AND($AT160,OR($AU160="",$AV160="",AND($AW160,$AX160=""))))</f>
        <v/>
      </c>
      <c r="BN160" s="94" t="str">
        <f aca="false">IF($BX160&lt;&gt;Constants!$B$6,"",IF($AT160,Constants!$B$17*$AV160+Constants!$B$18*IF($AW160,$AX160,Constants!$B$19),Constants!$B$20))</f>
        <v/>
      </c>
      <c r="BO160" s="97" t="str">
        <f aca="false">IF($BX160&lt;&gt;Constants!$B$6,"",Constants!$B$21*ABS($AD$9-IF($AT160,$AU160,0)))</f>
        <v/>
      </c>
      <c r="BP160" s="97" t="str">
        <f aca="false">IF($BX160&lt;&gt;Constants!$B$6,"",IF(AND($AT160,$AY160,$AW160),Constants!$B$22,0))</f>
        <v/>
      </c>
      <c r="BQ160" s="97" t="str">
        <f aca="false">IF($BX160&lt;&gt;Constants!$B$6,"",IF($AT160,($AI160-Constants!$B$24)*Constants!$B$23,0))</f>
        <v/>
      </c>
      <c r="BR160" s="97" t="str">
        <f aca="false">IF($BX160&lt;&gt;Constants!$B$6,"",IF($AS160,0,Constants!$B$12)+IF($AR160,0,Constants!$B$13)+IF($AH160,0,Constants!$B$14))</f>
        <v/>
      </c>
      <c r="BS160" s="98" t="str">
        <f aca="false">IF($BX160&lt;&gt;Constants!$B$6,"",Constants!$B$16+SUM($BN160:$BR160))</f>
        <v/>
      </c>
      <c r="BT160" s="97" t="str">
        <f aca="false">IF($BX160&lt;&gt;Constants!$B$6,"",$BN160)</f>
        <v/>
      </c>
      <c r="BU160" s="97" t="str">
        <f aca="false">IF($BX160&lt;&gt;Constants!$B$6,"",$BO160)</f>
        <v/>
      </c>
      <c r="BV160" s="99" t="str">
        <f aca="false">IF($BX160&lt;&gt;Constants!$B$6,"",IF($AT160,$AV160,""))</f>
        <v/>
      </c>
      <c r="BW160" s="93" t="str">
        <f aca="false">IF(ISBLANK($C160),"",IF(ISBLANK($D$7),$BW$5,IF(NOT(ISNUMBER($D$7)),$BW$6,"")))</f>
        <v/>
      </c>
      <c r="BX160" s="93" t="str">
        <f aca="false">IF(ISBLANK($C160),"",IF($BA160,Constants!$B$9,IF(COUNTA($E160:$AA160)=0,Constants!$B$8,IF(NOT($AG160),Constants!$B$7,IF(OR($BW160&lt;&gt;"",$BB160,$BM160),Constants!$B$10,Constants!$B$6)))))</f>
        <v/>
      </c>
      <c r="BY160" s="93" t="str">
        <f aca="false">IF(ISBLANK($C160),"",IF($BX160&lt;&gt;Constants!$B$6,$BX160,Constants!$B$11))</f>
        <v/>
      </c>
      <c r="BZ160" s="97" t="str">
        <f aca="false">IF($BX160&lt;&gt;Constants!$B$6,"",IF($BL160="-&gt;",$BS160,$BH160))</f>
        <v/>
      </c>
      <c r="CA160" s="97" t="str">
        <f aca="false">IF($BX160&lt;&gt;Constants!$B$6,"",IF($AF160,0,Constants!$B$15))</f>
        <v/>
      </c>
      <c r="CB160" s="97" t="str">
        <f aca="false">IF($BX160&lt;&gt;Constants!$B$6,"",((Constants!$B$25-$AZ160)-Constants!$B$25)/Constants!$B$26)</f>
        <v/>
      </c>
      <c r="CC160" s="97" t="str">
        <f aca="false">IF(ISBLANK($C160),"",IF($BX160&lt;&gt;Constants!$B$6,$BX160,SUM($BZ160:$CB160)))</f>
        <v/>
      </c>
      <c r="CD160" s="93" t="str">
        <f aca="false">IF(ISBLANK($C160),"",IF($BX160&lt;&gt;Constants!$B$6,$BX160,RANK($CC160,$CC$9:$CC$508,1)))</f>
        <v/>
      </c>
      <c r="CE160" s="97" t="str">
        <f aca="false">IF($BX160&lt;&gt;Constants!$B$6,"",IF($BL160="-&gt;",$BT160,$BI160))</f>
        <v/>
      </c>
      <c r="CF160" s="93" t="str">
        <f aca="false">IF(ISBLANK($C160),"",IF($BX160&lt;&gt;Constants!$B$6,$BX160,IF(ISNUMBER($CE160),RANK($CE160,$CE$9:$CE$508,1),COUNT($CE$9:$CE$508)+1)))</f>
        <v/>
      </c>
      <c r="CG160" s="97" t="str">
        <f aca="false">IF($BX160&lt;&gt;Constants!$B$6,"",IF($BL160="-&gt;",$BU160,$BJ160))</f>
        <v/>
      </c>
      <c r="CH160" s="93" t="str">
        <f aca="false">IF(ISBLANK($C160),"",IF($BX160&lt;&gt;Constants!$B$6,$BX160,IF(ISNUMBER($CG160),RANK($CG160,$CG$9:$CG$508,1),COUNT($CG$9:$CG$508)+1)))</f>
        <v/>
      </c>
      <c r="CI160" s="97" t="str">
        <f aca="false">IF($BX160&lt;&gt;Constants!$B$6,"",IF($BL160="-&gt;",$BV160,$BK160))</f>
        <v/>
      </c>
      <c r="CJ160" s="93" t="str">
        <f aca="false">IF(ISBLANK($C160),"",IF($BX160&lt;&gt;Constants!$B$6,$BX160,IF(ISNUMBER($CI160),RANK($CI160,$CI$9:$CI$508,1),COUNT($CI$9:$CI$508)+1)))</f>
        <v/>
      </c>
      <c r="CK160" s="97" t="str">
        <f aca="false">IF($BX160&lt;&gt;Constants!$B$6,"",$AI160)</f>
        <v/>
      </c>
      <c r="CL160" s="93" t="str">
        <f aca="false">IF(ISBLANK($C160),"",IF($BX160&lt;&gt;Constants!$B$6,$BX160,IF(ISNUMBER($CK160),RANK($CK160,$CK$9:$CK$508,1),COUNT($CK$9:$CK$508)+1)))</f>
        <v/>
      </c>
      <c r="CM160" s="93" t="str">
        <f aca="false">IF(ISBLANK($C160),"",IF($BX160&lt;&gt;Constants!$B$6,$BX160,COUNTIFS($CD$9:$CD$508,"&lt;"&amp;$CD160)+COUNTIFS($CD$9:$CD$508,$CD160,$CF$9:$CF$508,"&lt;"&amp;$CF160)+COUNTIFS($CD$9:$CD$508,$CD160,$CF$9:$CF$508,$CF160,$CH$9:$CH$508,"&lt;"&amp;$CH160)+COUNTIFS($CD$9:$CD$508,$CD160,$CF$9:$CF$508,$CF160,$CH$9:$CH$508,$CH160,$CJ$9:$CJ$508,"&lt;"&amp;$CJ160)+COUNTIFS($CD$9:$CD$508,$CD160,$CF$9:$CF$508,$CF160,$CH$9:$CH$508,$CH160,$CJ$9:$CJ$508,$CJ160,$CL$9:$CL$508,"&lt;"&amp;$CL160)+1))</f>
        <v/>
      </c>
      <c r="CN160" s="93" t="str">
        <f aca="false">IF(ISBLANK($C160),"",IF($BX160&lt;&gt;Constants!$B$6,$BX160,$CD160-$CM160))</f>
        <v/>
      </c>
      <c r="CO160" s="100"/>
      <c r="CP160" s="101"/>
      <c r="CQ160" s="102" t="str">
        <f aca="false">IF(ISBLANK($C160),"",IF($BX160=Constants!$B$10,$BW160,""))</f>
        <v/>
      </c>
      <c r="CR160" s="101" t="str">
        <f aca="false">IF(ISBLANK($C160),"",IF($BX160&lt;&gt;Constants!$B$6,"",IF($BL160="-&gt;",2,1)))</f>
        <v/>
      </c>
      <c r="CS160" s="103" t="str">
        <f aca="false">IF(ISBLANK($C160),"",IF($BX160&lt;&gt;Constants!$B$6,"",IF($BL160="-&gt;",$BN160,$BC160)))</f>
        <v/>
      </c>
      <c r="CT160" s="103" t="str">
        <f aca="false">IF(ISBLANK($C160),"",IF($BX160&lt;&gt;Constants!$B$6,"",IF($BL160="-&gt;",$BO160,$BD160)))</f>
        <v/>
      </c>
      <c r="CU160" s="103" t="str">
        <f aca="false">IF(ISBLANK($C160),"",IF($BX160&lt;&gt;Constants!$B$6,"",IF($BL160="-&gt;",$BP160+$BQ160,$BE160+$BF160)+$CB160))</f>
        <v/>
      </c>
      <c r="CV160" s="103" t="str">
        <f aca="false">IF(ISBLANK($C160),"",IF($BX160&lt;&gt;Constants!$B$6,"",IF($BL160="-&gt;",$BR160,$BG160)+$CA160))</f>
        <v/>
      </c>
      <c r="CW160" s="104" t="str">
        <f aca="false">IF(ISBLANK($C160),"",IF($BX160&lt;&gt;Constants!$B$6,$BX160,$CC160))</f>
        <v/>
      </c>
      <c r="CX160" s="105" t="str">
        <f aca="false">IF(ISBLANK($C160),"",$BY160)</f>
        <v/>
      </c>
      <c r="CY160" s="106" t="str">
        <f aca="false">IF(ISBLANK($C160),"",$CN160)</f>
        <v/>
      </c>
      <c r="CZ160" s="106" t="str">
        <f aca="false">IF(ISBLANK($C160),"",$CM160)</f>
        <v/>
      </c>
      <c r="DA160" s="107" t="str">
        <f aca="false">IF(ISBLANK($C160),"",IFERROR(_xlfn.SWITCH($CZ160,Constants!$B$9,COUNTA($C$9:$C$508)+2,Constants!$B$8,COUNTA($C$9:$C$508)+1,Constants!$B$7,COUNTA($C$9:$C$508)),$CZ160))</f>
        <v/>
      </c>
      <c r="DB160" s="9"/>
      <c r="DC160" s="108" t="n">
        <f aca="false">IF(OR(ISNUMBER($CZ160),$CZ160=Constants!$B$9,$CZ160=Constants!$B$7,$CZ160=Constants!$B$8),1,0)</f>
        <v>0</v>
      </c>
      <c r="DD160" s="108" t="n">
        <v>152</v>
      </c>
      <c r="DE160" s="108" t="str">
        <f aca="false">IF(ISBLANK($C160),"",IF(ISNUMBER($DA160),$DA160+ROW($B160)/1000,""))</f>
        <v/>
      </c>
      <c r="DF160" s="108" t="str">
        <f aca="false">IF(ISNUMBER($DE160),RANK($DE160,$DE$9:$DE$508,1),"")</f>
        <v/>
      </c>
      <c r="DG160" s="108" t="str">
        <f aca="false">IF(ISBLANK($C160),"",$B160)</f>
        <v/>
      </c>
      <c r="DH160" s="108" t="str">
        <f aca="false">IF(ISBLANK($C160),"",$C160)</f>
        <v/>
      </c>
      <c r="DI160" s="108" t="str">
        <f aca="false">IF(ISBLANK($C160),"",$D160)</f>
        <v/>
      </c>
      <c r="DJ160" s="109" t="str">
        <f aca="false">$CX160</f>
        <v/>
      </c>
      <c r="DK160" s="110" t="str">
        <f aca="false">$CW160</f>
        <v/>
      </c>
      <c r="DL160" s="108" t="str">
        <f aca="false">IF(ISBLANK($C160),"",$CZ160)</f>
        <v/>
      </c>
      <c r="DM160" s="111" t="str">
        <f aca="false">IF($DD160&gt;$DC$8,"",VLOOKUP($DD160,$DF$9:$DL$508,7,FALSE()))</f>
        <v/>
      </c>
      <c r="DN160" s="112" t="str">
        <f aca="false">IF($DD160&gt;$DC$8,"",VLOOKUP($DD160,$DF$9:$DL$508,2,FALSE()))</f>
        <v/>
      </c>
      <c r="DO160" s="112" t="str">
        <f aca="false">IF($DD160&gt;$DC$8,"",VLOOKUP($DD160,$DF$9:$DL$508,3,FALSE()))</f>
        <v/>
      </c>
      <c r="DP160" s="112" t="str">
        <f aca="false">IF($DD160&gt;$DC$8,"",VLOOKUP($DD160,$DF$9:$DL$508,4,FALSE()))</f>
        <v/>
      </c>
      <c r="DQ160" s="112" t="str">
        <f aca="false">IF($DD160&gt;$DC$8,"",VLOOKUP($DD160,$DF$9:$DL$508,5,FALSE()))</f>
        <v/>
      </c>
      <c r="DR160" s="113" t="str">
        <f aca="false">IF($DD160&gt;$DC$8,"",VLOOKUP($DD160,$DF$9:$DL$508,6,FALSE()))</f>
        <v/>
      </c>
      <c r="DS160" s="76"/>
    </row>
    <row r="161" customFormat="false" ht="15.75" hidden="false" customHeight="false" outlineLevel="0" collapsed="false">
      <c r="A161" s="9"/>
      <c r="B161" s="78"/>
      <c r="C161" s="79"/>
      <c r="D161" s="170"/>
      <c r="E161" s="178"/>
      <c r="F161" s="172"/>
      <c r="G161" s="173"/>
      <c r="H161" s="173"/>
      <c r="I161" s="179"/>
      <c r="J161" s="176"/>
      <c r="K161" s="86"/>
      <c r="L161" s="87"/>
      <c r="M161" s="88"/>
      <c r="N161" s="176"/>
      <c r="O161" s="176"/>
      <c r="P161" s="178"/>
      <c r="Q161" s="176"/>
      <c r="R161" s="176"/>
      <c r="S161" s="86"/>
      <c r="T161" s="88"/>
      <c r="U161" s="88"/>
      <c r="V161" s="176"/>
      <c r="W161" s="176"/>
      <c r="X161" s="178"/>
      <c r="Y161" s="176"/>
      <c r="Z161" s="177"/>
      <c r="AA161" s="176"/>
      <c r="AB161" s="92"/>
      <c r="AC161" s="93"/>
      <c r="AD161" s="93"/>
      <c r="AE161" s="93"/>
      <c r="AF161" s="93" t="str">
        <f aca="false">IF(ISBLANK($C161),"",IF(E161=Constants!$B$2,TRUE(),IF(E161=Constants!$B$3,FALSE(),TRUE())))</f>
        <v/>
      </c>
      <c r="AG161" s="93" t="str">
        <f aca="false">IF(ISBLANK($C161),"",IF(F161=Constants!$B$2,TRUE(),IF(F161=Constants!$B$3,FALSE(),TRUE())))</f>
        <v/>
      </c>
      <c r="AH161" s="93" t="str">
        <f aca="false">IF(ISBLANK($C161),"",IF(G161=Constants!$B$2,TRUE(),IF(G161=Constants!$B$3,FALSE(),TRUE())))</f>
        <v/>
      </c>
      <c r="AI161" s="93" t="str">
        <f aca="false">IF(ISBLANK($C161),"",IF(AND(ISNUMBER(H161),H161&gt;=0),H161,Constants!$B$24))</f>
        <v/>
      </c>
      <c r="AJ161" s="93" t="str">
        <f aca="false">IF(ISBLANK($C161),"",IF(I161=Constants!$B$2,TRUE(),IF(I161=Constants!$B$3,FALSE(),TRUE())))</f>
        <v/>
      </c>
      <c r="AK161" s="93" t="str">
        <f aca="false">IF(ISBLANK($C161),"",IF(J161=Constants!$B$2,TRUE(),IF(J161=Constants!$B$3,FALSE(),TRUE())))</f>
        <v/>
      </c>
      <c r="AL161" s="93" t="str">
        <f aca="false">IF(ISBLANK($C161),"",IF(K161=Constants!$B$4,TRUE(),IF(K161=Constants!$B$5,FALSE(),COUNTA(L161:P161)&gt;0)))</f>
        <v/>
      </c>
      <c r="AM161" s="95" t="str">
        <f aca="false">IF(ISBLANK($C161),"",IF(ISNUMBER(L161),IF(L161&gt;=0,L161,""),""))</f>
        <v/>
      </c>
      <c r="AN161" s="94" t="str">
        <f aca="false">IF(ISBLANK($C161),"",IF(ISNUMBER(M161),IF(M161&gt;=0,M161,""),""))</f>
        <v/>
      </c>
      <c r="AO161" s="94" t="str">
        <f aca="false">IF(ISBLANK($C161),"",IF(N161=Constants!$B$2,TRUE(),IF(N161=Constants!$B$3,FALSE(),TRUE())))</f>
        <v/>
      </c>
      <c r="AP161" s="93" t="str">
        <f aca="false">IF(ISBLANK($C161),"",IF(ISNUMBER(O161),IF(O161&gt;=0,O161,""),""))</f>
        <v/>
      </c>
      <c r="AQ161" s="93" t="str">
        <f aca="false">IF(ISBLANK($C161),"",IF(P161=Constants!$B$2,TRUE(),IF(P161=Constants!$B$3,FALSE(),FALSE())))</f>
        <v/>
      </c>
      <c r="AR161" s="93" t="str">
        <f aca="false">IF(ISBLANK($C161),"",IF(Q161=Constants!$B$2,TRUE(),IF(Q161=Constants!$B$3,FALSE(),TRUE())))</f>
        <v/>
      </c>
      <c r="AS161" s="93" t="str">
        <f aca="false">IF(ISBLANK($C161),"",IF(R161=Constants!$B$2,TRUE(),IF(R161=Constants!$B$3,FALSE(),TRUE())))</f>
        <v/>
      </c>
      <c r="AT161" s="93" t="str">
        <f aca="false">IF(ISBLANK($C161),"",IF(S161=Constants!$B$4,TRUE(),IF(S161=Constants!$B$5,FALSE(),COUNTA(T161:X161)&gt;0)))</f>
        <v/>
      </c>
      <c r="AU161" s="95" t="str">
        <f aca="false">IF(ISBLANK($C161),"",IF(ISNUMBER(T161),IF(T161&gt;=0,T161,""),""))</f>
        <v/>
      </c>
      <c r="AV161" s="94" t="str">
        <f aca="false">IF(ISBLANK($C161),"",IF(ISNUMBER(U161),IF(U161&gt;=0,U161,""),""))</f>
        <v/>
      </c>
      <c r="AW161" s="94" t="str">
        <f aca="false">IF(ISBLANK($C161),"",IF(V161=Constants!$B$2,TRUE(),IF(V161=Constants!$B$3,FALSE(),TRUE())))</f>
        <v/>
      </c>
      <c r="AX161" s="93" t="str">
        <f aca="false">IF(ISBLANK($C161),"",IF(ISNUMBER(W161),IF(W161&gt;=0,W161,""),""))</f>
        <v/>
      </c>
      <c r="AY161" s="93" t="str">
        <f aca="false">IF(ISBLANK($C161),"",IF(X161=Constants!$B$2,TRUE(),IF(X161=Constants!$B$3,FALSE(),FALSE())))</f>
        <v/>
      </c>
      <c r="AZ161" s="93" t="str">
        <f aca="false">IF(ISBLANK($C161),"",MIN(Constants!$B$25,MAX(0,IF(ISNUMBER(Y161),Y161*60,0)+IF(ISNUMBER(Z161),Z161,0))))</f>
        <v/>
      </c>
      <c r="BA161" s="93" t="str">
        <f aca="false">IF(ISBLANK($C161),"",IF(AA161=Constants!$B$2,TRUE(),IF(AA161=Constants!$B$3,FALSE(),FALSE())))</f>
        <v/>
      </c>
      <c r="BB161" s="92" t="str">
        <f aca="false">IF(ISBLANK($C161),"",AND($AL161,OR($AM161="",$AN161="",AND($AO161,$AP161=""))))</f>
        <v/>
      </c>
      <c r="BC161" s="94" t="str">
        <f aca="false">IF($BX161&lt;&gt;Constants!$B$6,"",IF($AL161,Constants!$B$17*$AN161+Constants!$B$18*IF($AO161,$AP161,Constants!$B$19),Constants!$B$20))</f>
        <v/>
      </c>
      <c r="BD161" s="97" t="str">
        <f aca="false">IF($BX161&lt;&gt;Constants!$B$6,"",Constants!$B$21*ABS($AD$9-IF($AL161,$AM161,0)))</f>
        <v/>
      </c>
      <c r="BE161" s="97" t="str">
        <f aca="false">IF($BX161&lt;&gt;Constants!$B$6,"",IF(AND($AL161,$AQ161,$AO161),Constants!$B$22,0))</f>
        <v/>
      </c>
      <c r="BF161" s="97" t="str">
        <f aca="false">IF($BX161&lt;&gt;Constants!$B$6,"",IF($AL161,($AI161-Constants!$B$24)*Constants!$B$23,0))</f>
        <v/>
      </c>
      <c r="BG161" s="97" t="str">
        <f aca="false">IF($BX161&lt;&gt;Constants!$B$6,"",IF($AK161,0,Constants!$B$12)+IF($AJ161,0,Constants!$B$13)+IF($AH161,0,Constants!$B$14))</f>
        <v/>
      </c>
      <c r="BH161" s="98" t="str">
        <f aca="false">IF($BX161&lt;&gt;Constants!$B$6,"",Constants!$B$16+SUM($BC161:$BG161))</f>
        <v/>
      </c>
      <c r="BI161" s="97" t="str">
        <f aca="false">IF($BX161&lt;&gt;Constants!$B$6,"",$BC161)</f>
        <v/>
      </c>
      <c r="BJ161" s="97" t="str">
        <f aca="false">IF($BX161&lt;&gt;Constants!$B$6,"",$BD161)</f>
        <v/>
      </c>
      <c r="BK161" s="99" t="str">
        <f aca="false">IF($BX161&lt;&gt;Constants!$B$6,"",IF($AL161,$AN161,""))</f>
        <v/>
      </c>
      <c r="BL161" s="93" t="str">
        <f aca="false">IF($BX161&lt;&gt;Constants!$B$6,"",IF(OR($BS161&lt;$BH161,AND($BS161=$BH161,OR($BT161&lt;$BI161,AND($BT161=$BI161,OR($BU161&lt;$BJ161,AND($BU161=$BJ161,AND(ISNUMBER($BV161),OR(NOT(ISNUMBER($BK161)),$BV161&lt;$BK161)))))))),"-&gt;","&lt;-"))</f>
        <v/>
      </c>
      <c r="BM161" s="92" t="str">
        <f aca="false">IF(ISBLANK($C161),"",AND($AT161,OR($AU161="",$AV161="",AND($AW161,$AX161=""))))</f>
        <v/>
      </c>
      <c r="BN161" s="94" t="str">
        <f aca="false">IF($BX161&lt;&gt;Constants!$B$6,"",IF($AT161,Constants!$B$17*$AV161+Constants!$B$18*IF($AW161,$AX161,Constants!$B$19),Constants!$B$20))</f>
        <v/>
      </c>
      <c r="BO161" s="97" t="str">
        <f aca="false">IF($BX161&lt;&gt;Constants!$B$6,"",Constants!$B$21*ABS($AD$9-IF($AT161,$AU161,0)))</f>
        <v/>
      </c>
      <c r="BP161" s="97" t="str">
        <f aca="false">IF($BX161&lt;&gt;Constants!$B$6,"",IF(AND($AT161,$AY161,$AW161),Constants!$B$22,0))</f>
        <v/>
      </c>
      <c r="BQ161" s="97" t="str">
        <f aca="false">IF($BX161&lt;&gt;Constants!$B$6,"",IF($AT161,($AI161-Constants!$B$24)*Constants!$B$23,0))</f>
        <v/>
      </c>
      <c r="BR161" s="97" t="str">
        <f aca="false">IF($BX161&lt;&gt;Constants!$B$6,"",IF($AS161,0,Constants!$B$12)+IF($AR161,0,Constants!$B$13)+IF($AH161,0,Constants!$B$14))</f>
        <v/>
      </c>
      <c r="BS161" s="98" t="str">
        <f aca="false">IF($BX161&lt;&gt;Constants!$B$6,"",Constants!$B$16+SUM($BN161:$BR161))</f>
        <v/>
      </c>
      <c r="BT161" s="97" t="str">
        <f aca="false">IF($BX161&lt;&gt;Constants!$B$6,"",$BN161)</f>
        <v/>
      </c>
      <c r="BU161" s="97" t="str">
        <f aca="false">IF($BX161&lt;&gt;Constants!$B$6,"",$BO161)</f>
        <v/>
      </c>
      <c r="BV161" s="99" t="str">
        <f aca="false">IF($BX161&lt;&gt;Constants!$B$6,"",IF($AT161,$AV161,""))</f>
        <v/>
      </c>
      <c r="BW161" s="93" t="str">
        <f aca="false">IF(ISBLANK($C161),"",IF(ISBLANK($D$7),$BW$5,IF(NOT(ISNUMBER($D$7)),$BW$6,"")))</f>
        <v/>
      </c>
      <c r="BX161" s="93" t="str">
        <f aca="false">IF(ISBLANK($C161),"",IF($BA161,Constants!$B$9,IF(COUNTA($E161:$AA161)=0,Constants!$B$8,IF(NOT($AG161),Constants!$B$7,IF(OR($BW161&lt;&gt;"",$BB161,$BM161),Constants!$B$10,Constants!$B$6)))))</f>
        <v/>
      </c>
      <c r="BY161" s="93" t="str">
        <f aca="false">IF(ISBLANK($C161),"",IF($BX161&lt;&gt;Constants!$B$6,$BX161,Constants!$B$11))</f>
        <v/>
      </c>
      <c r="BZ161" s="97" t="str">
        <f aca="false">IF($BX161&lt;&gt;Constants!$B$6,"",IF($BL161="-&gt;",$BS161,$BH161))</f>
        <v/>
      </c>
      <c r="CA161" s="97" t="str">
        <f aca="false">IF($BX161&lt;&gt;Constants!$B$6,"",IF($AF161,0,Constants!$B$15))</f>
        <v/>
      </c>
      <c r="CB161" s="97" t="str">
        <f aca="false">IF($BX161&lt;&gt;Constants!$B$6,"",((Constants!$B$25-$AZ161)-Constants!$B$25)/Constants!$B$26)</f>
        <v/>
      </c>
      <c r="CC161" s="97" t="str">
        <f aca="false">IF(ISBLANK($C161),"",IF($BX161&lt;&gt;Constants!$B$6,$BX161,SUM($BZ161:$CB161)))</f>
        <v/>
      </c>
      <c r="CD161" s="93" t="str">
        <f aca="false">IF(ISBLANK($C161),"",IF($BX161&lt;&gt;Constants!$B$6,$BX161,RANK($CC161,$CC$9:$CC$508,1)))</f>
        <v/>
      </c>
      <c r="CE161" s="97" t="str">
        <f aca="false">IF($BX161&lt;&gt;Constants!$B$6,"",IF($BL161="-&gt;",$BT161,$BI161))</f>
        <v/>
      </c>
      <c r="CF161" s="93" t="str">
        <f aca="false">IF(ISBLANK($C161),"",IF($BX161&lt;&gt;Constants!$B$6,$BX161,IF(ISNUMBER($CE161),RANK($CE161,$CE$9:$CE$508,1),COUNT($CE$9:$CE$508)+1)))</f>
        <v/>
      </c>
      <c r="CG161" s="97" t="str">
        <f aca="false">IF($BX161&lt;&gt;Constants!$B$6,"",IF($BL161="-&gt;",$BU161,$BJ161))</f>
        <v/>
      </c>
      <c r="CH161" s="93" t="str">
        <f aca="false">IF(ISBLANK($C161),"",IF($BX161&lt;&gt;Constants!$B$6,$BX161,IF(ISNUMBER($CG161),RANK($CG161,$CG$9:$CG$508,1),COUNT($CG$9:$CG$508)+1)))</f>
        <v/>
      </c>
      <c r="CI161" s="97" t="str">
        <f aca="false">IF($BX161&lt;&gt;Constants!$B$6,"",IF($BL161="-&gt;",$BV161,$BK161))</f>
        <v/>
      </c>
      <c r="CJ161" s="93" t="str">
        <f aca="false">IF(ISBLANK($C161),"",IF($BX161&lt;&gt;Constants!$B$6,$BX161,IF(ISNUMBER($CI161),RANK($CI161,$CI$9:$CI$508,1),COUNT($CI$9:$CI$508)+1)))</f>
        <v/>
      </c>
      <c r="CK161" s="97" t="str">
        <f aca="false">IF($BX161&lt;&gt;Constants!$B$6,"",$AI161)</f>
        <v/>
      </c>
      <c r="CL161" s="93" t="str">
        <f aca="false">IF(ISBLANK($C161),"",IF($BX161&lt;&gt;Constants!$B$6,$BX161,IF(ISNUMBER($CK161),RANK($CK161,$CK$9:$CK$508,1),COUNT($CK$9:$CK$508)+1)))</f>
        <v/>
      </c>
      <c r="CM161" s="93" t="str">
        <f aca="false">IF(ISBLANK($C161),"",IF($BX161&lt;&gt;Constants!$B$6,$BX161,COUNTIFS($CD$9:$CD$508,"&lt;"&amp;$CD161)+COUNTIFS($CD$9:$CD$508,$CD161,$CF$9:$CF$508,"&lt;"&amp;$CF161)+COUNTIFS($CD$9:$CD$508,$CD161,$CF$9:$CF$508,$CF161,$CH$9:$CH$508,"&lt;"&amp;$CH161)+COUNTIFS($CD$9:$CD$508,$CD161,$CF$9:$CF$508,$CF161,$CH$9:$CH$508,$CH161,$CJ$9:$CJ$508,"&lt;"&amp;$CJ161)+COUNTIFS($CD$9:$CD$508,$CD161,$CF$9:$CF$508,$CF161,$CH$9:$CH$508,$CH161,$CJ$9:$CJ$508,$CJ161,$CL$9:$CL$508,"&lt;"&amp;$CL161)+1))</f>
        <v/>
      </c>
      <c r="CN161" s="93" t="str">
        <f aca="false">IF(ISBLANK($C161),"",IF($BX161&lt;&gt;Constants!$B$6,$BX161,$CD161-$CM161))</f>
        <v/>
      </c>
      <c r="CO161" s="100"/>
      <c r="CP161" s="101"/>
      <c r="CQ161" s="102" t="str">
        <f aca="false">IF(ISBLANK($C161),"",IF($BX161=Constants!$B$10,$BW161,""))</f>
        <v/>
      </c>
      <c r="CR161" s="101" t="str">
        <f aca="false">IF(ISBLANK($C161),"",IF($BX161&lt;&gt;Constants!$B$6,"",IF($BL161="-&gt;",2,1)))</f>
        <v/>
      </c>
      <c r="CS161" s="103" t="str">
        <f aca="false">IF(ISBLANK($C161),"",IF($BX161&lt;&gt;Constants!$B$6,"",IF($BL161="-&gt;",$BN161,$BC161)))</f>
        <v/>
      </c>
      <c r="CT161" s="103" t="str">
        <f aca="false">IF(ISBLANK($C161),"",IF($BX161&lt;&gt;Constants!$B$6,"",IF($BL161="-&gt;",$BO161,$BD161)))</f>
        <v/>
      </c>
      <c r="CU161" s="103" t="str">
        <f aca="false">IF(ISBLANK($C161),"",IF($BX161&lt;&gt;Constants!$B$6,"",IF($BL161="-&gt;",$BP161+$BQ161,$BE161+$BF161)+$CB161))</f>
        <v/>
      </c>
      <c r="CV161" s="103" t="str">
        <f aca="false">IF(ISBLANK($C161),"",IF($BX161&lt;&gt;Constants!$B$6,"",IF($BL161="-&gt;",$BR161,$BG161)+$CA161))</f>
        <v/>
      </c>
      <c r="CW161" s="104" t="str">
        <f aca="false">IF(ISBLANK($C161),"",IF($BX161&lt;&gt;Constants!$B$6,$BX161,$CC161))</f>
        <v/>
      </c>
      <c r="CX161" s="105" t="str">
        <f aca="false">IF(ISBLANK($C161),"",$BY161)</f>
        <v/>
      </c>
      <c r="CY161" s="106" t="str">
        <f aca="false">IF(ISBLANK($C161),"",$CN161)</f>
        <v/>
      </c>
      <c r="CZ161" s="106" t="str">
        <f aca="false">IF(ISBLANK($C161),"",$CM161)</f>
        <v/>
      </c>
      <c r="DA161" s="107" t="str">
        <f aca="false">IF(ISBLANK($C161),"",IFERROR(_xlfn.SWITCH($CZ161,Constants!$B$9,COUNTA($C$9:$C$508)+2,Constants!$B$8,COUNTA($C$9:$C$508)+1,Constants!$B$7,COUNTA($C$9:$C$508)),$CZ161))</f>
        <v/>
      </c>
      <c r="DB161" s="9"/>
      <c r="DC161" s="108" t="n">
        <f aca="false">IF(OR(ISNUMBER($CZ161),$CZ161=Constants!$B$9,$CZ161=Constants!$B$7,$CZ161=Constants!$B$8),1,0)</f>
        <v>0</v>
      </c>
      <c r="DD161" s="108" t="n">
        <v>153</v>
      </c>
      <c r="DE161" s="108" t="str">
        <f aca="false">IF(ISBLANK($C161),"",IF(ISNUMBER($DA161),$DA161+ROW($B161)/1000,""))</f>
        <v/>
      </c>
      <c r="DF161" s="108" t="str">
        <f aca="false">IF(ISNUMBER($DE161),RANK($DE161,$DE$9:$DE$508,1),"")</f>
        <v/>
      </c>
      <c r="DG161" s="108" t="str">
        <f aca="false">IF(ISBLANK($C161),"",$B161)</f>
        <v/>
      </c>
      <c r="DH161" s="108" t="str">
        <f aca="false">IF(ISBLANK($C161),"",$C161)</f>
        <v/>
      </c>
      <c r="DI161" s="108" t="str">
        <f aca="false">IF(ISBLANK($C161),"",$D161)</f>
        <v/>
      </c>
      <c r="DJ161" s="109" t="str">
        <f aca="false">$CX161</f>
        <v/>
      </c>
      <c r="DK161" s="110" t="str">
        <f aca="false">$CW161</f>
        <v/>
      </c>
      <c r="DL161" s="108" t="str">
        <f aca="false">IF(ISBLANK($C161),"",$CZ161)</f>
        <v/>
      </c>
      <c r="DM161" s="111" t="str">
        <f aca="false">IF($DD161&gt;$DC$8,"",VLOOKUP($DD161,$DF$9:$DL$508,7,FALSE()))</f>
        <v/>
      </c>
      <c r="DN161" s="112" t="str">
        <f aca="false">IF($DD161&gt;$DC$8,"",VLOOKUP($DD161,$DF$9:$DL$508,2,FALSE()))</f>
        <v/>
      </c>
      <c r="DO161" s="112" t="str">
        <f aca="false">IF($DD161&gt;$DC$8,"",VLOOKUP($DD161,$DF$9:$DL$508,3,FALSE()))</f>
        <v/>
      </c>
      <c r="DP161" s="112" t="str">
        <f aca="false">IF($DD161&gt;$DC$8,"",VLOOKUP($DD161,$DF$9:$DL$508,4,FALSE()))</f>
        <v/>
      </c>
      <c r="DQ161" s="112" t="str">
        <f aca="false">IF($DD161&gt;$DC$8,"",VLOOKUP($DD161,$DF$9:$DL$508,5,FALSE()))</f>
        <v/>
      </c>
      <c r="DR161" s="113" t="str">
        <f aca="false">IF($DD161&gt;$DC$8,"",VLOOKUP($DD161,$DF$9:$DL$508,6,FALSE()))</f>
        <v/>
      </c>
      <c r="DS161" s="76"/>
    </row>
    <row r="162" customFormat="false" ht="15.75" hidden="false" customHeight="false" outlineLevel="0" collapsed="false">
      <c r="A162" s="9"/>
      <c r="B162" s="160"/>
      <c r="C162" s="161"/>
      <c r="D162" s="162"/>
      <c r="E162" s="180"/>
      <c r="F162" s="164"/>
      <c r="G162" s="165"/>
      <c r="H162" s="165"/>
      <c r="I162" s="181"/>
      <c r="J162" s="168"/>
      <c r="K162" s="128"/>
      <c r="L162" s="129"/>
      <c r="M162" s="130"/>
      <c r="N162" s="168"/>
      <c r="O162" s="168"/>
      <c r="P162" s="180"/>
      <c r="Q162" s="168"/>
      <c r="R162" s="168"/>
      <c r="S162" s="128"/>
      <c r="T162" s="130"/>
      <c r="U162" s="130"/>
      <c r="V162" s="168"/>
      <c r="W162" s="168"/>
      <c r="X162" s="180"/>
      <c r="Y162" s="168"/>
      <c r="Z162" s="169"/>
      <c r="AA162" s="168"/>
      <c r="AB162" s="134"/>
      <c r="AC162" s="135"/>
      <c r="AD162" s="135"/>
      <c r="AE162" s="135"/>
      <c r="AF162" s="135" t="str">
        <f aca="false">IF(ISBLANK($C162),"",IF(E162=Constants!$B$2,TRUE(),IF(E162=Constants!$B$3,FALSE(),TRUE())))</f>
        <v/>
      </c>
      <c r="AG162" s="135" t="str">
        <f aca="false">IF(ISBLANK($C162),"",IF(F162=Constants!$B$2,TRUE(),IF(F162=Constants!$B$3,FALSE(),TRUE())))</f>
        <v/>
      </c>
      <c r="AH162" s="135" t="str">
        <f aca="false">IF(ISBLANK($C162),"",IF(G162=Constants!$B$2,TRUE(),IF(G162=Constants!$B$3,FALSE(),TRUE())))</f>
        <v/>
      </c>
      <c r="AI162" s="135" t="str">
        <f aca="false">IF(ISBLANK($C162),"",IF(AND(ISNUMBER(H162),H162&gt;=0),H162,Constants!$B$24))</f>
        <v/>
      </c>
      <c r="AJ162" s="135" t="str">
        <f aca="false">IF(ISBLANK($C162),"",IF(I162=Constants!$B$2,TRUE(),IF(I162=Constants!$B$3,FALSE(),TRUE())))</f>
        <v/>
      </c>
      <c r="AK162" s="135" t="str">
        <f aca="false">IF(ISBLANK($C162),"",IF(J162=Constants!$B$2,TRUE(),IF(J162=Constants!$B$3,FALSE(),TRUE())))</f>
        <v/>
      </c>
      <c r="AL162" s="135" t="str">
        <f aca="false">IF(ISBLANK($C162),"",IF(K162=Constants!$B$4,TRUE(),IF(K162=Constants!$B$5,FALSE(),COUNTA(L162:P162)&gt;0)))</f>
        <v/>
      </c>
      <c r="AM162" s="136" t="str">
        <f aca="false">IF(ISBLANK($C162),"",IF(ISNUMBER(L162),IF(L162&gt;=0,L162,""),""))</f>
        <v/>
      </c>
      <c r="AN162" s="137" t="str">
        <f aca="false">IF(ISBLANK($C162),"",IF(ISNUMBER(M162),IF(M162&gt;=0,M162,""),""))</f>
        <v/>
      </c>
      <c r="AO162" s="137" t="str">
        <f aca="false">IF(ISBLANK($C162),"",IF(N162=Constants!$B$2,TRUE(),IF(N162=Constants!$B$3,FALSE(),TRUE())))</f>
        <v/>
      </c>
      <c r="AP162" s="135" t="str">
        <f aca="false">IF(ISBLANK($C162),"",IF(ISNUMBER(O162),IF(O162&gt;=0,O162,""),""))</f>
        <v/>
      </c>
      <c r="AQ162" s="135" t="str">
        <f aca="false">IF(ISBLANK($C162),"",IF(P162=Constants!$B$2,TRUE(),IF(P162=Constants!$B$3,FALSE(),FALSE())))</f>
        <v/>
      </c>
      <c r="AR162" s="135" t="str">
        <f aca="false">IF(ISBLANK($C162),"",IF(Q162=Constants!$B$2,TRUE(),IF(Q162=Constants!$B$3,FALSE(),TRUE())))</f>
        <v/>
      </c>
      <c r="AS162" s="135" t="str">
        <f aca="false">IF(ISBLANK($C162),"",IF(R162=Constants!$B$2,TRUE(),IF(R162=Constants!$B$3,FALSE(),TRUE())))</f>
        <v/>
      </c>
      <c r="AT162" s="135" t="str">
        <f aca="false">IF(ISBLANK($C162),"",IF(S162=Constants!$B$4,TRUE(),IF(S162=Constants!$B$5,FALSE(),COUNTA(T162:X162)&gt;0)))</f>
        <v/>
      </c>
      <c r="AU162" s="136" t="str">
        <f aca="false">IF(ISBLANK($C162),"",IF(ISNUMBER(T162),IF(T162&gt;=0,T162,""),""))</f>
        <v/>
      </c>
      <c r="AV162" s="137" t="str">
        <f aca="false">IF(ISBLANK($C162),"",IF(ISNUMBER(U162),IF(U162&gt;=0,U162,""),""))</f>
        <v/>
      </c>
      <c r="AW162" s="137" t="str">
        <f aca="false">IF(ISBLANK($C162),"",IF(V162=Constants!$B$2,TRUE(),IF(V162=Constants!$B$3,FALSE(),TRUE())))</f>
        <v/>
      </c>
      <c r="AX162" s="135" t="str">
        <f aca="false">IF(ISBLANK($C162),"",IF(ISNUMBER(W162),IF(W162&gt;=0,W162,""),""))</f>
        <v/>
      </c>
      <c r="AY162" s="135" t="str">
        <f aca="false">IF(ISBLANK($C162),"",IF(X162=Constants!$B$2,TRUE(),IF(X162=Constants!$B$3,FALSE(),FALSE())))</f>
        <v/>
      </c>
      <c r="AZ162" s="135" t="str">
        <f aca="false">IF(ISBLANK($C162),"",MIN(Constants!$B$25,MAX(0,IF(ISNUMBER(Y162),Y162*60,0)+IF(ISNUMBER(Z162),Z162,0))))</f>
        <v/>
      </c>
      <c r="BA162" s="135" t="str">
        <f aca="false">IF(ISBLANK($C162),"",IF(AA162=Constants!$B$2,TRUE(),IF(AA162=Constants!$B$3,FALSE(),FALSE())))</f>
        <v/>
      </c>
      <c r="BB162" s="134" t="str">
        <f aca="false">IF(ISBLANK($C162),"",AND($AL162,OR($AM162="",$AN162="",AND($AO162,$AP162=""))))</f>
        <v/>
      </c>
      <c r="BC162" s="137" t="str">
        <f aca="false">IF($BX162&lt;&gt;Constants!$B$6,"",IF($AL162,Constants!$B$17*$AN162+Constants!$B$18*IF($AO162,$AP162,Constants!$B$19),Constants!$B$20))</f>
        <v/>
      </c>
      <c r="BD162" s="138" t="str">
        <f aca="false">IF($BX162&lt;&gt;Constants!$B$6,"",Constants!$B$21*ABS($AD$9-IF($AL162,$AM162,0)))</f>
        <v/>
      </c>
      <c r="BE162" s="138" t="str">
        <f aca="false">IF($BX162&lt;&gt;Constants!$B$6,"",IF(AND($AL162,$AQ162,$AO162),Constants!$B$22,0))</f>
        <v/>
      </c>
      <c r="BF162" s="138" t="str">
        <f aca="false">IF($BX162&lt;&gt;Constants!$B$6,"",IF($AL162,($AI162-Constants!$B$24)*Constants!$B$23,0))</f>
        <v/>
      </c>
      <c r="BG162" s="138" t="str">
        <f aca="false">IF($BX162&lt;&gt;Constants!$B$6,"",IF($AK162,0,Constants!$B$12)+IF($AJ162,0,Constants!$B$13)+IF($AH162,0,Constants!$B$14))</f>
        <v/>
      </c>
      <c r="BH162" s="139" t="str">
        <f aca="false">IF($BX162&lt;&gt;Constants!$B$6,"",Constants!$B$16+SUM($BC162:$BG162))</f>
        <v/>
      </c>
      <c r="BI162" s="138" t="str">
        <f aca="false">IF($BX162&lt;&gt;Constants!$B$6,"",$BC162)</f>
        <v/>
      </c>
      <c r="BJ162" s="138" t="str">
        <f aca="false">IF($BX162&lt;&gt;Constants!$B$6,"",$BD162)</f>
        <v/>
      </c>
      <c r="BK162" s="140" t="str">
        <f aca="false">IF($BX162&lt;&gt;Constants!$B$6,"",IF($AL162,$AN162,""))</f>
        <v/>
      </c>
      <c r="BL162" s="135" t="str">
        <f aca="false">IF($BX162&lt;&gt;Constants!$B$6,"",IF(OR($BS162&lt;$BH162,AND($BS162=$BH162,OR($BT162&lt;$BI162,AND($BT162=$BI162,OR($BU162&lt;$BJ162,AND($BU162=$BJ162,AND(ISNUMBER($BV162),OR(NOT(ISNUMBER($BK162)),$BV162&lt;$BK162)))))))),"-&gt;","&lt;-"))</f>
        <v/>
      </c>
      <c r="BM162" s="134" t="str">
        <f aca="false">IF(ISBLANK($C162),"",AND($AT162,OR($AU162="",$AV162="",AND($AW162,$AX162=""))))</f>
        <v/>
      </c>
      <c r="BN162" s="137" t="str">
        <f aca="false">IF($BX162&lt;&gt;Constants!$B$6,"",IF($AT162,Constants!$B$17*$AV162+Constants!$B$18*IF($AW162,$AX162,Constants!$B$19),Constants!$B$20))</f>
        <v/>
      </c>
      <c r="BO162" s="138" t="str">
        <f aca="false">IF($BX162&lt;&gt;Constants!$B$6,"",Constants!$B$21*ABS($AD$9-IF($AT162,$AU162,0)))</f>
        <v/>
      </c>
      <c r="BP162" s="138" t="str">
        <f aca="false">IF($BX162&lt;&gt;Constants!$B$6,"",IF(AND($AT162,$AY162,$AW162),Constants!$B$22,0))</f>
        <v/>
      </c>
      <c r="BQ162" s="138" t="str">
        <f aca="false">IF($BX162&lt;&gt;Constants!$B$6,"",IF($AT162,($AI162-Constants!$B$24)*Constants!$B$23,0))</f>
        <v/>
      </c>
      <c r="BR162" s="138" t="str">
        <f aca="false">IF($BX162&lt;&gt;Constants!$B$6,"",IF($AS162,0,Constants!$B$12)+IF($AR162,0,Constants!$B$13)+IF($AH162,0,Constants!$B$14))</f>
        <v/>
      </c>
      <c r="BS162" s="139" t="str">
        <f aca="false">IF($BX162&lt;&gt;Constants!$B$6,"",Constants!$B$16+SUM($BN162:$BR162))</f>
        <v/>
      </c>
      <c r="BT162" s="138" t="str">
        <f aca="false">IF($BX162&lt;&gt;Constants!$B$6,"",$BN162)</f>
        <v/>
      </c>
      <c r="BU162" s="138" t="str">
        <f aca="false">IF($BX162&lt;&gt;Constants!$B$6,"",$BO162)</f>
        <v/>
      </c>
      <c r="BV162" s="140" t="str">
        <f aca="false">IF($BX162&lt;&gt;Constants!$B$6,"",IF($AT162,$AV162,""))</f>
        <v/>
      </c>
      <c r="BW162" s="135" t="str">
        <f aca="false">IF(ISBLANK($C162),"",IF(ISBLANK($D$7),$BW$5,IF(NOT(ISNUMBER($D$7)),$BW$6,"")))</f>
        <v/>
      </c>
      <c r="BX162" s="135" t="str">
        <f aca="false">IF(ISBLANK($C162),"",IF($BA162,Constants!$B$9,IF(COUNTA($E162:$AA162)=0,Constants!$B$8,IF(NOT($AG162),Constants!$B$7,IF(OR($BW162&lt;&gt;"",$BB162,$BM162),Constants!$B$10,Constants!$B$6)))))</f>
        <v/>
      </c>
      <c r="BY162" s="135" t="str">
        <f aca="false">IF(ISBLANK($C162),"",IF($BX162&lt;&gt;Constants!$B$6,$BX162,Constants!$B$11))</f>
        <v/>
      </c>
      <c r="BZ162" s="138" t="str">
        <f aca="false">IF($BX162&lt;&gt;Constants!$B$6,"",IF($BL162="-&gt;",$BS162,$BH162))</f>
        <v/>
      </c>
      <c r="CA162" s="138" t="str">
        <f aca="false">IF($BX162&lt;&gt;Constants!$B$6,"",IF($AF162,0,Constants!$B$15))</f>
        <v/>
      </c>
      <c r="CB162" s="138" t="str">
        <f aca="false">IF($BX162&lt;&gt;Constants!$B$6,"",((Constants!$B$25-$AZ162)-Constants!$B$25)/Constants!$B$26)</f>
        <v/>
      </c>
      <c r="CC162" s="138" t="str">
        <f aca="false">IF(ISBLANK($C162),"",IF($BX162&lt;&gt;Constants!$B$6,$BX162,SUM($BZ162:$CB162)))</f>
        <v/>
      </c>
      <c r="CD162" s="135" t="str">
        <f aca="false">IF(ISBLANK($C162),"",IF($BX162&lt;&gt;Constants!$B$6,$BX162,RANK($CC162,$CC$9:$CC$508,1)))</f>
        <v/>
      </c>
      <c r="CE162" s="138" t="str">
        <f aca="false">IF($BX162&lt;&gt;Constants!$B$6,"",IF($BL162="-&gt;",$BT162,$BI162))</f>
        <v/>
      </c>
      <c r="CF162" s="135" t="str">
        <f aca="false">IF(ISBLANK($C162),"",IF($BX162&lt;&gt;Constants!$B$6,$BX162,IF(ISNUMBER($CE162),RANK($CE162,$CE$9:$CE$508,1),COUNT($CE$9:$CE$508)+1)))</f>
        <v/>
      </c>
      <c r="CG162" s="138" t="str">
        <f aca="false">IF($BX162&lt;&gt;Constants!$B$6,"",IF($BL162="-&gt;",$BU162,$BJ162))</f>
        <v/>
      </c>
      <c r="CH162" s="135" t="str">
        <f aca="false">IF(ISBLANK($C162),"",IF($BX162&lt;&gt;Constants!$B$6,$BX162,IF(ISNUMBER($CG162),RANK($CG162,$CG$9:$CG$508,1),COUNT($CG$9:$CG$508)+1)))</f>
        <v/>
      </c>
      <c r="CI162" s="138" t="str">
        <f aca="false">IF($BX162&lt;&gt;Constants!$B$6,"",IF($BL162="-&gt;",$BV162,$BK162))</f>
        <v/>
      </c>
      <c r="CJ162" s="135" t="str">
        <f aca="false">IF(ISBLANK($C162),"",IF($BX162&lt;&gt;Constants!$B$6,$BX162,IF(ISNUMBER($CI162),RANK($CI162,$CI$9:$CI$508,1),COUNT($CI$9:$CI$508)+1)))</f>
        <v/>
      </c>
      <c r="CK162" s="138" t="str">
        <f aca="false">IF($BX162&lt;&gt;Constants!$B$6,"",$AI162)</f>
        <v/>
      </c>
      <c r="CL162" s="135" t="str">
        <f aca="false">IF(ISBLANK($C162),"",IF($BX162&lt;&gt;Constants!$B$6,$BX162,IF(ISNUMBER($CK162),RANK($CK162,$CK$9:$CK$508,1),COUNT($CK$9:$CK$508)+1)))</f>
        <v/>
      </c>
      <c r="CM162" s="135" t="str">
        <f aca="false">IF(ISBLANK($C162),"",IF($BX162&lt;&gt;Constants!$B$6,$BX162,COUNTIFS($CD$9:$CD$508,"&lt;"&amp;$CD162)+COUNTIFS($CD$9:$CD$508,$CD162,$CF$9:$CF$508,"&lt;"&amp;$CF162)+COUNTIFS($CD$9:$CD$508,$CD162,$CF$9:$CF$508,$CF162,$CH$9:$CH$508,"&lt;"&amp;$CH162)+COUNTIFS($CD$9:$CD$508,$CD162,$CF$9:$CF$508,$CF162,$CH$9:$CH$508,$CH162,$CJ$9:$CJ$508,"&lt;"&amp;$CJ162)+COUNTIFS($CD$9:$CD$508,$CD162,$CF$9:$CF$508,$CF162,$CH$9:$CH$508,$CH162,$CJ$9:$CJ$508,$CJ162,$CL$9:$CL$508,"&lt;"&amp;$CL162)+1))</f>
        <v/>
      </c>
      <c r="CN162" s="135" t="str">
        <f aca="false">IF(ISBLANK($C162),"",IF($BX162&lt;&gt;Constants!$B$6,$BX162,$CD162-$CM162))</f>
        <v/>
      </c>
      <c r="CO162" s="141"/>
      <c r="CP162" s="142"/>
      <c r="CQ162" s="143" t="str">
        <f aca="false">IF(ISBLANK($C162),"",IF($BX162=Constants!$B$10,$BW162,""))</f>
        <v/>
      </c>
      <c r="CR162" s="142" t="str">
        <f aca="false">IF(ISBLANK($C162),"",IF($BX162&lt;&gt;Constants!$B$6,"",IF($BL162="-&gt;",2,1)))</f>
        <v/>
      </c>
      <c r="CS162" s="144" t="str">
        <f aca="false">IF(ISBLANK($C162),"",IF($BX162&lt;&gt;Constants!$B$6,"",IF($BL162="-&gt;",$BN162,$BC162)))</f>
        <v/>
      </c>
      <c r="CT162" s="144" t="str">
        <f aca="false">IF(ISBLANK($C162),"",IF($BX162&lt;&gt;Constants!$B$6,"",IF($BL162="-&gt;",$BO162,$BD162)))</f>
        <v/>
      </c>
      <c r="CU162" s="144" t="str">
        <f aca="false">IF(ISBLANK($C162),"",IF($BX162&lt;&gt;Constants!$B$6,"",IF($BL162="-&gt;",$BP162+$BQ162,$BE162+$BF162)+$CB162))</f>
        <v/>
      </c>
      <c r="CV162" s="144" t="str">
        <f aca="false">IF(ISBLANK($C162),"",IF($BX162&lt;&gt;Constants!$B$6,"",IF($BL162="-&gt;",$BR162,$BG162)+$CA162))</f>
        <v/>
      </c>
      <c r="CW162" s="145" t="str">
        <f aca="false">IF(ISBLANK($C162),"",IF($BX162&lt;&gt;Constants!$B$6,$BX162,$CC162))</f>
        <v/>
      </c>
      <c r="CX162" s="146" t="str">
        <f aca="false">IF(ISBLANK($C162),"",$BY162)</f>
        <v/>
      </c>
      <c r="CY162" s="147" t="str">
        <f aca="false">IF(ISBLANK($C162),"",$CN162)</f>
        <v/>
      </c>
      <c r="CZ162" s="147" t="str">
        <f aca="false">IF(ISBLANK($C162),"",$CM162)</f>
        <v/>
      </c>
      <c r="DA162" s="148" t="str">
        <f aca="false">IF(ISBLANK($C162),"",IFERROR(_xlfn.SWITCH($CZ162,Constants!$B$9,COUNTA($C$9:$C$508)+2,Constants!$B$8,COUNTA($C$9:$C$508)+1,Constants!$B$7,COUNTA($C$9:$C$508)),$CZ162))</f>
        <v/>
      </c>
      <c r="DB162" s="9"/>
      <c r="DC162" s="149" t="n">
        <f aca="false">IF(OR(ISNUMBER($CZ162),$CZ162=Constants!$B$9,$CZ162=Constants!$B$7,$CZ162=Constants!$B$8),1,0)</f>
        <v>0</v>
      </c>
      <c r="DD162" s="149" t="n">
        <v>154</v>
      </c>
      <c r="DE162" s="149" t="str">
        <f aca="false">IF(ISBLANK($C162),"",IF(ISNUMBER($DA162),$DA162+ROW($B162)/1000,""))</f>
        <v/>
      </c>
      <c r="DF162" s="149" t="str">
        <f aca="false">IF(ISNUMBER($DE162),RANK($DE162,$DE$9:$DE$508,1),"")</f>
        <v/>
      </c>
      <c r="DG162" s="149" t="str">
        <f aca="false">IF(ISBLANK($C162),"",$B162)</f>
        <v/>
      </c>
      <c r="DH162" s="149" t="str">
        <f aca="false">IF(ISBLANK($C162),"",$C162)</f>
        <v/>
      </c>
      <c r="DI162" s="149" t="str">
        <f aca="false">IF(ISBLANK($C162),"",$D162)</f>
        <v/>
      </c>
      <c r="DJ162" s="150" t="str">
        <f aca="false">$CX162</f>
        <v/>
      </c>
      <c r="DK162" s="151" t="str">
        <f aca="false">$CW162</f>
        <v/>
      </c>
      <c r="DL162" s="149" t="str">
        <f aca="false">IF(ISBLANK($C162),"",$CZ162)</f>
        <v/>
      </c>
      <c r="DM162" s="152" t="str">
        <f aca="false">IF($DD162&gt;$DC$8,"",VLOOKUP($DD162,$DF$9:$DL$508,7,FALSE()))</f>
        <v/>
      </c>
      <c r="DN162" s="153" t="str">
        <f aca="false">IF($DD162&gt;$DC$8,"",VLOOKUP($DD162,$DF$9:$DL$508,2,FALSE()))</f>
        <v/>
      </c>
      <c r="DO162" s="153" t="str">
        <f aca="false">IF($DD162&gt;$DC$8,"",VLOOKUP($DD162,$DF$9:$DL$508,3,FALSE()))</f>
        <v/>
      </c>
      <c r="DP162" s="153" t="str">
        <f aca="false">IF($DD162&gt;$DC$8,"",VLOOKUP($DD162,$DF$9:$DL$508,4,FALSE()))</f>
        <v/>
      </c>
      <c r="DQ162" s="153" t="str">
        <f aca="false">IF($DD162&gt;$DC$8,"",VLOOKUP($DD162,$DF$9:$DL$508,5,FALSE()))</f>
        <v/>
      </c>
      <c r="DR162" s="154" t="str">
        <f aca="false">IF($DD162&gt;$DC$8,"",VLOOKUP($DD162,$DF$9:$DL$508,6,FALSE()))</f>
        <v/>
      </c>
      <c r="DS162" s="76"/>
    </row>
    <row r="163" customFormat="false" ht="15.75" hidden="false" customHeight="false" outlineLevel="0" collapsed="false">
      <c r="A163" s="9"/>
      <c r="B163" s="160"/>
      <c r="C163" s="161"/>
      <c r="D163" s="162"/>
      <c r="E163" s="180"/>
      <c r="F163" s="164"/>
      <c r="G163" s="165"/>
      <c r="H163" s="165"/>
      <c r="I163" s="181"/>
      <c r="J163" s="168"/>
      <c r="K163" s="128"/>
      <c r="L163" s="129"/>
      <c r="M163" s="130"/>
      <c r="N163" s="168"/>
      <c r="O163" s="168"/>
      <c r="P163" s="180"/>
      <c r="Q163" s="168"/>
      <c r="R163" s="168"/>
      <c r="S163" s="128"/>
      <c r="T163" s="130"/>
      <c r="U163" s="130"/>
      <c r="V163" s="168"/>
      <c r="W163" s="168"/>
      <c r="X163" s="180"/>
      <c r="Y163" s="168"/>
      <c r="Z163" s="169"/>
      <c r="AA163" s="168"/>
      <c r="AB163" s="134"/>
      <c r="AC163" s="135"/>
      <c r="AD163" s="135"/>
      <c r="AE163" s="135"/>
      <c r="AF163" s="135" t="str">
        <f aca="false">IF(ISBLANK($C163),"",IF(E163=Constants!$B$2,TRUE(),IF(E163=Constants!$B$3,FALSE(),TRUE())))</f>
        <v/>
      </c>
      <c r="AG163" s="135" t="str">
        <f aca="false">IF(ISBLANK($C163),"",IF(F163=Constants!$B$2,TRUE(),IF(F163=Constants!$B$3,FALSE(),TRUE())))</f>
        <v/>
      </c>
      <c r="AH163" s="135" t="str">
        <f aca="false">IF(ISBLANK($C163),"",IF(G163=Constants!$B$2,TRUE(),IF(G163=Constants!$B$3,FALSE(),TRUE())))</f>
        <v/>
      </c>
      <c r="AI163" s="135" t="str">
        <f aca="false">IF(ISBLANK($C163),"",IF(AND(ISNUMBER(H163),H163&gt;=0),H163,Constants!$B$24))</f>
        <v/>
      </c>
      <c r="AJ163" s="135" t="str">
        <f aca="false">IF(ISBLANK($C163),"",IF(I163=Constants!$B$2,TRUE(),IF(I163=Constants!$B$3,FALSE(),TRUE())))</f>
        <v/>
      </c>
      <c r="AK163" s="135" t="str">
        <f aca="false">IF(ISBLANK($C163),"",IF(J163=Constants!$B$2,TRUE(),IF(J163=Constants!$B$3,FALSE(),TRUE())))</f>
        <v/>
      </c>
      <c r="AL163" s="135" t="str">
        <f aca="false">IF(ISBLANK($C163),"",IF(K163=Constants!$B$4,TRUE(),IF(K163=Constants!$B$5,FALSE(),COUNTA(L163:P163)&gt;0)))</f>
        <v/>
      </c>
      <c r="AM163" s="136" t="str">
        <f aca="false">IF(ISBLANK($C163),"",IF(ISNUMBER(L163),IF(L163&gt;=0,L163,""),""))</f>
        <v/>
      </c>
      <c r="AN163" s="137" t="str">
        <f aca="false">IF(ISBLANK($C163),"",IF(ISNUMBER(M163),IF(M163&gt;=0,M163,""),""))</f>
        <v/>
      </c>
      <c r="AO163" s="137" t="str">
        <f aca="false">IF(ISBLANK($C163),"",IF(N163=Constants!$B$2,TRUE(),IF(N163=Constants!$B$3,FALSE(),TRUE())))</f>
        <v/>
      </c>
      <c r="AP163" s="135" t="str">
        <f aca="false">IF(ISBLANK($C163),"",IF(ISNUMBER(O163),IF(O163&gt;=0,O163,""),""))</f>
        <v/>
      </c>
      <c r="AQ163" s="135" t="str">
        <f aca="false">IF(ISBLANK($C163),"",IF(P163=Constants!$B$2,TRUE(),IF(P163=Constants!$B$3,FALSE(),FALSE())))</f>
        <v/>
      </c>
      <c r="AR163" s="135" t="str">
        <f aca="false">IF(ISBLANK($C163),"",IF(Q163=Constants!$B$2,TRUE(),IF(Q163=Constants!$B$3,FALSE(),TRUE())))</f>
        <v/>
      </c>
      <c r="AS163" s="135" t="str">
        <f aca="false">IF(ISBLANK($C163),"",IF(R163=Constants!$B$2,TRUE(),IF(R163=Constants!$B$3,FALSE(),TRUE())))</f>
        <v/>
      </c>
      <c r="AT163" s="135" t="str">
        <f aca="false">IF(ISBLANK($C163),"",IF(S163=Constants!$B$4,TRUE(),IF(S163=Constants!$B$5,FALSE(),COUNTA(T163:X163)&gt;0)))</f>
        <v/>
      </c>
      <c r="AU163" s="136" t="str">
        <f aca="false">IF(ISBLANK($C163),"",IF(ISNUMBER(T163),IF(T163&gt;=0,T163,""),""))</f>
        <v/>
      </c>
      <c r="AV163" s="137" t="str">
        <f aca="false">IF(ISBLANK($C163),"",IF(ISNUMBER(U163),IF(U163&gt;=0,U163,""),""))</f>
        <v/>
      </c>
      <c r="AW163" s="137" t="str">
        <f aca="false">IF(ISBLANK($C163),"",IF(V163=Constants!$B$2,TRUE(),IF(V163=Constants!$B$3,FALSE(),TRUE())))</f>
        <v/>
      </c>
      <c r="AX163" s="135" t="str">
        <f aca="false">IF(ISBLANK($C163),"",IF(ISNUMBER(W163),IF(W163&gt;=0,W163,""),""))</f>
        <v/>
      </c>
      <c r="AY163" s="135" t="str">
        <f aca="false">IF(ISBLANK($C163),"",IF(X163=Constants!$B$2,TRUE(),IF(X163=Constants!$B$3,FALSE(),FALSE())))</f>
        <v/>
      </c>
      <c r="AZ163" s="135" t="str">
        <f aca="false">IF(ISBLANK($C163),"",MIN(Constants!$B$25,MAX(0,IF(ISNUMBER(Y163),Y163*60,0)+IF(ISNUMBER(Z163),Z163,0))))</f>
        <v/>
      </c>
      <c r="BA163" s="135" t="str">
        <f aca="false">IF(ISBLANK($C163),"",IF(AA163=Constants!$B$2,TRUE(),IF(AA163=Constants!$B$3,FALSE(),FALSE())))</f>
        <v/>
      </c>
      <c r="BB163" s="134" t="str">
        <f aca="false">IF(ISBLANK($C163),"",AND($AL163,OR($AM163="",$AN163="",AND($AO163,$AP163=""))))</f>
        <v/>
      </c>
      <c r="BC163" s="137" t="str">
        <f aca="false">IF($BX163&lt;&gt;Constants!$B$6,"",IF($AL163,Constants!$B$17*$AN163+Constants!$B$18*IF($AO163,$AP163,Constants!$B$19),Constants!$B$20))</f>
        <v/>
      </c>
      <c r="BD163" s="138" t="str">
        <f aca="false">IF($BX163&lt;&gt;Constants!$B$6,"",Constants!$B$21*ABS($AD$9-IF($AL163,$AM163,0)))</f>
        <v/>
      </c>
      <c r="BE163" s="138" t="str">
        <f aca="false">IF($BX163&lt;&gt;Constants!$B$6,"",IF(AND($AL163,$AQ163,$AO163),Constants!$B$22,0))</f>
        <v/>
      </c>
      <c r="BF163" s="138" t="str">
        <f aca="false">IF($BX163&lt;&gt;Constants!$B$6,"",IF($AL163,($AI163-Constants!$B$24)*Constants!$B$23,0))</f>
        <v/>
      </c>
      <c r="BG163" s="138" t="str">
        <f aca="false">IF($BX163&lt;&gt;Constants!$B$6,"",IF($AK163,0,Constants!$B$12)+IF($AJ163,0,Constants!$B$13)+IF($AH163,0,Constants!$B$14))</f>
        <v/>
      </c>
      <c r="BH163" s="139" t="str">
        <f aca="false">IF($BX163&lt;&gt;Constants!$B$6,"",Constants!$B$16+SUM($BC163:$BG163))</f>
        <v/>
      </c>
      <c r="BI163" s="138" t="str">
        <f aca="false">IF($BX163&lt;&gt;Constants!$B$6,"",$BC163)</f>
        <v/>
      </c>
      <c r="BJ163" s="138" t="str">
        <f aca="false">IF($BX163&lt;&gt;Constants!$B$6,"",$BD163)</f>
        <v/>
      </c>
      <c r="BK163" s="140" t="str">
        <f aca="false">IF($BX163&lt;&gt;Constants!$B$6,"",IF($AL163,$AN163,""))</f>
        <v/>
      </c>
      <c r="BL163" s="135" t="str">
        <f aca="false">IF($BX163&lt;&gt;Constants!$B$6,"",IF(OR($BS163&lt;$BH163,AND($BS163=$BH163,OR($BT163&lt;$BI163,AND($BT163=$BI163,OR($BU163&lt;$BJ163,AND($BU163=$BJ163,AND(ISNUMBER($BV163),OR(NOT(ISNUMBER($BK163)),$BV163&lt;$BK163)))))))),"-&gt;","&lt;-"))</f>
        <v/>
      </c>
      <c r="BM163" s="134" t="str">
        <f aca="false">IF(ISBLANK($C163),"",AND($AT163,OR($AU163="",$AV163="",AND($AW163,$AX163=""))))</f>
        <v/>
      </c>
      <c r="BN163" s="137" t="str">
        <f aca="false">IF($BX163&lt;&gt;Constants!$B$6,"",IF($AT163,Constants!$B$17*$AV163+Constants!$B$18*IF($AW163,$AX163,Constants!$B$19),Constants!$B$20))</f>
        <v/>
      </c>
      <c r="BO163" s="138" t="str">
        <f aca="false">IF($BX163&lt;&gt;Constants!$B$6,"",Constants!$B$21*ABS($AD$9-IF($AT163,$AU163,0)))</f>
        <v/>
      </c>
      <c r="BP163" s="138" t="str">
        <f aca="false">IF($BX163&lt;&gt;Constants!$B$6,"",IF(AND($AT163,$AY163,$AW163),Constants!$B$22,0))</f>
        <v/>
      </c>
      <c r="BQ163" s="138" t="str">
        <f aca="false">IF($BX163&lt;&gt;Constants!$B$6,"",IF($AT163,($AI163-Constants!$B$24)*Constants!$B$23,0))</f>
        <v/>
      </c>
      <c r="BR163" s="138" t="str">
        <f aca="false">IF($BX163&lt;&gt;Constants!$B$6,"",IF($AS163,0,Constants!$B$12)+IF($AR163,0,Constants!$B$13)+IF($AH163,0,Constants!$B$14))</f>
        <v/>
      </c>
      <c r="BS163" s="139" t="str">
        <f aca="false">IF($BX163&lt;&gt;Constants!$B$6,"",Constants!$B$16+SUM($BN163:$BR163))</f>
        <v/>
      </c>
      <c r="BT163" s="138" t="str">
        <f aca="false">IF($BX163&lt;&gt;Constants!$B$6,"",$BN163)</f>
        <v/>
      </c>
      <c r="BU163" s="138" t="str">
        <f aca="false">IF($BX163&lt;&gt;Constants!$B$6,"",$BO163)</f>
        <v/>
      </c>
      <c r="BV163" s="140" t="str">
        <f aca="false">IF($BX163&lt;&gt;Constants!$B$6,"",IF($AT163,$AV163,""))</f>
        <v/>
      </c>
      <c r="BW163" s="135" t="str">
        <f aca="false">IF(ISBLANK($C163),"",IF(ISBLANK($D$7),$BW$5,IF(NOT(ISNUMBER($D$7)),$BW$6,"")))</f>
        <v/>
      </c>
      <c r="BX163" s="135" t="str">
        <f aca="false">IF(ISBLANK($C163),"",IF($BA163,Constants!$B$9,IF(COUNTA($E163:$AA163)=0,Constants!$B$8,IF(NOT($AG163),Constants!$B$7,IF(OR($BW163&lt;&gt;"",$BB163,$BM163),Constants!$B$10,Constants!$B$6)))))</f>
        <v/>
      </c>
      <c r="BY163" s="135" t="str">
        <f aca="false">IF(ISBLANK($C163),"",IF($BX163&lt;&gt;Constants!$B$6,$BX163,Constants!$B$11))</f>
        <v/>
      </c>
      <c r="BZ163" s="138" t="str">
        <f aca="false">IF($BX163&lt;&gt;Constants!$B$6,"",IF($BL163="-&gt;",$BS163,$BH163))</f>
        <v/>
      </c>
      <c r="CA163" s="138" t="str">
        <f aca="false">IF($BX163&lt;&gt;Constants!$B$6,"",IF($AF163,0,Constants!$B$15))</f>
        <v/>
      </c>
      <c r="CB163" s="138" t="str">
        <f aca="false">IF($BX163&lt;&gt;Constants!$B$6,"",((Constants!$B$25-$AZ163)-Constants!$B$25)/Constants!$B$26)</f>
        <v/>
      </c>
      <c r="CC163" s="138" t="str">
        <f aca="false">IF(ISBLANK($C163),"",IF($BX163&lt;&gt;Constants!$B$6,$BX163,SUM($BZ163:$CB163)))</f>
        <v/>
      </c>
      <c r="CD163" s="135" t="str">
        <f aca="false">IF(ISBLANK($C163),"",IF($BX163&lt;&gt;Constants!$B$6,$BX163,RANK($CC163,$CC$9:$CC$508,1)))</f>
        <v/>
      </c>
      <c r="CE163" s="138" t="str">
        <f aca="false">IF($BX163&lt;&gt;Constants!$B$6,"",IF($BL163="-&gt;",$BT163,$BI163))</f>
        <v/>
      </c>
      <c r="CF163" s="135" t="str">
        <f aca="false">IF(ISBLANK($C163),"",IF($BX163&lt;&gt;Constants!$B$6,$BX163,IF(ISNUMBER($CE163),RANK($CE163,$CE$9:$CE$508,1),COUNT($CE$9:$CE$508)+1)))</f>
        <v/>
      </c>
      <c r="CG163" s="138" t="str">
        <f aca="false">IF($BX163&lt;&gt;Constants!$B$6,"",IF($BL163="-&gt;",$BU163,$BJ163))</f>
        <v/>
      </c>
      <c r="CH163" s="135" t="str">
        <f aca="false">IF(ISBLANK($C163),"",IF($BX163&lt;&gt;Constants!$B$6,$BX163,IF(ISNUMBER($CG163),RANK($CG163,$CG$9:$CG$508,1),COUNT($CG$9:$CG$508)+1)))</f>
        <v/>
      </c>
      <c r="CI163" s="138" t="str">
        <f aca="false">IF($BX163&lt;&gt;Constants!$B$6,"",IF($BL163="-&gt;",$BV163,$BK163))</f>
        <v/>
      </c>
      <c r="CJ163" s="135" t="str">
        <f aca="false">IF(ISBLANK($C163),"",IF($BX163&lt;&gt;Constants!$B$6,$BX163,IF(ISNUMBER($CI163),RANK($CI163,$CI$9:$CI$508,1),COUNT($CI$9:$CI$508)+1)))</f>
        <v/>
      </c>
      <c r="CK163" s="138" t="str">
        <f aca="false">IF($BX163&lt;&gt;Constants!$B$6,"",$AI163)</f>
        <v/>
      </c>
      <c r="CL163" s="135" t="str">
        <f aca="false">IF(ISBLANK($C163),"",IF($BX163&lt;&gt;Constants!$B$6,$BX163,IF(ISNUMBER($CK163),RANK($CK163,$CK$9:$CK$508,1),COUNT($CK$9:$CK$508)+1)))</f>
        <v/>
      </c>
      <c r="CM163" s="135" t="str">
        <f aca="false">IF(ISBLANK($C163),"",IF($BX163&lt;&gt;Constants!$B$6,$BX163,COUNTIFS($CD$9:$CD$508,"&lt;"&amp;$CD163)+COUNTIFS($CD$9:$CD$508,$CD163,$CF$9:$CF$508,"&lt;"&amp;$CF163)+COUNTIFS($CD$9:$CD$508,$CD163,$CF$9:$CF$508,$CF163,$CH$9:$CH$508,"&lt;"&amp;$CH163)+COUNTIFS($CD$9:$CD$508,$CD163,$CF$9:$CF$508,$CF163,$CH$9:$CH$508,$CH163,$CJ$9:$CJ$508,"&lt;"&amp;$CJ163)+COUNTIFS($CD$9:$CD$508,$CD163,$CF$9:$CF$508,$CF163,$CH$9:$CH$508,$CH163,$CJ$9:$CJ$508,$CJ163,$CL$9:$CL$508,"&lt;"&amp;$CL163)+1))</f>
        <v/>
      </c>
      <c r="CN163" s="135" t="str">
        <f aca="false">IF(ISBLANK($C163),"",IF($BX163&lt;&gt;Constants!$B$6,$BX163,$CD163-$CM163))</f>
        <v/>
      </c>
      <c r="CO163" s="141"/>
      <c r="CP163" s="142"/>
      <c r="CQ163" s="143" t="str">
        <f aca="false">IF(ISBLANK($C163),"",IF($BX163=Constants!$B$10,$BW163,""))</f>
        <v/>
      </c>
      <c r="CR163" s="142" t="str">
        <f aca="false">IF(ISBLANK($C163),"",IF($BX163&lt;&gt;Constants!$B$6,"",IF($BL163="-&gt;",2,1)))</f>
        <v/>
      </c>
      <c r="CS163" s="144" t="str">
        <f aca="false">IF(ISBLANK($C163),"",IF($BX163&lt;&gt;Constants!$B$6,"",IF($BL163="-&gt;",$BN163,$BC163)))</f>
        <v/>
      </c>
      <c r="CT163" s="144" t="str">
        <f aca="false">IF(ISBLANK($C163),"",IF($BX163&lt;&gt;Constants!$B$6,"",IF($BL163="-&gt;",$BO163,$BD163)))</f>
        <v/>
      </c>
      <c r="CU163" s="144" t="str">
        <f aca="false">IF(ISBLANK($C163),"",IF($BX163&lt;&gt;Constants!$B$6,"",IF($BL163="-&gt;",$BP163+$BQ163,$BE163+$BF163)+$CB163))</f>
        <v/>
      </c>
      <c r="CV163" s="144" t="str">
        <f aca="false">IF(ISBLANK($C163),"",IF($BX163&lt;&gt;Constants!$B$6,"",IF($BL163="-&gt;",$BR163,$BG163)+$CA163))</f>
        <v/>
      </c>
      <c r="CW163" s="145" t="str">
        <f aca="false">IF(ISBLANK($C163),"",IF($BX163&lt;&gt;Constants!$B$6,$BX163,$CC163))</f>
        <v/>
      </c>
      <c r="CX163" s="146" t="str">
        <f aca="false">IF(ISBLANK($C163),"",$BY163)</f>
        <v/>
      </c>
      <c r="CY163" s="147" t="str">
        <f aca="false">IF(ISBLANK($C163),"",$CN163)</f>
        <v/>
      </c>
      <c r="CZ163" s="147" t="str">
        <f aca="false">IF(ISBLANK($C163),"",$CM163)</f>
        <v/>
      </c>
      <c r="DA163" s="148" t="str">
        <f aca="false">IF(ISBLANK($C163),"",IFERROR(_xlfn.SWITCH($CZ163,Constants!$B$9,COUNTA($C$9:$C$508)+2,Constants!$B$8,COUNTA($C$9:$C$508)+1,Constants!$B$7,COUNTA($C$9:$C$508)),$CZ163))</f>
        <v/>
      </c>
      <c r="DB163" s="9"/>
      <c r="DC163" s="149" t="n">
        <f aca="false">IF(OR(ISNUMBER($CZ163),$CZ163=Constants!$B$9,$CZ163=Constants!$B$7,$CZ163=Constants!$B$8),1,0)</f>
        <v>0</v>
      </c>
      <c r="DD163" s="149" t="n">
        <v>155</v>
      </c>
      <c r="DE163" s="149" t="str">
        <f aca="false">IF(ISBLANK($C163),"",IF(ISNUMBER($DA163),$DA163+ROW($B163)/1000,""))</f>
        <v/>
      </c>
      <c r="DF163" s="149" t="str">
        <f aca="false">IF(ISNUMBER($DE163),RANK($DE163,$DE$9:$DE$508,1),"")</f>
        <v/>
      </c>
      <c r="DG163" s="149" t="str">
        <f aca="false">IF(ISBLANK($C163),"",$B163)</f>
        <v/>
      </c>
      <c r="DH163" s="149" t="str">
        <f aca="false">IF(ISBLANK($C163),"",$C163)</f>
        <v/>
      </c>
      <c r="DI163" s="149" t="str">
        <f aca="false">IF(ISBLANK($C163),"",$D163)</f>
        <v/>
      </c>
      <c r="DJ163" s="150" t="str">
        <f aca="false">$CX163</f>
        <v/>
      </c>
      <c r="DK163" s="151" t="str">
        <f aca="false">$CW163</f>
        <v/>
      </c>
      <c r="DL163" s="149" t="str">
        <f aca="false">IF(ISBLANK($C163),"",$CZ163)</f>
        <v/>
      </c>
      <c r="DM163" s="152" t="str">
        <f aca="false">IF($DD163&gt;$DC$8,"",VLOOKUP($DD163,$DF$9:$DL$508,7,FALSE()))</f>
        <v/>
      </c>
      <c r="DN163" s="153" t="str">
        <f aca="false">IF($DD163&gt;$DC$8,"",VLOOKUP($DD163,$DF$9:$DL$508,2,FALSE()))</f>
        <v/>
      </c>
      <c r="DO163" s="153" t="str">
        <f aca="false">IF($DD163&gt;$DC$8,"",VLOOKUP($DD163,$DF$9:$DL$508,3,FALSE()))</f>
        <v/>
      </c>
      <c r="DP163" s="153" t="str">
        <f aca="false">IF($DD163&gt;$DC$8,"",VLOOKUP($DD163,$DF$9:$DL$508,4,FALSE()))</f>
        <v/>
      </c>
      <c r="DQ163" s="153" t="str">
        <f aca="false">IF($DD163&gt;$DC$8,"",VLOOKUP($DD163,$DF$9:$DL$508,5,FALSE()))</f>
        <v/>
      </c>
      <c r="DR163" s="154" t="str">
        <f aca="false">IF($DD163&gt;$DC$8,"",VLOOKUP($DD163,$DF$9:$DL$508,6,FALSE()))</f>
        <v/>
      </c>
      <c r="DS163" s="76"/>
    </row>
    <row r="164" customFormat="false" ht="15.75" hidden="false" customHeight="false" outlineLevel="0" collapsed="false">
      <c r="A164" s="9"/>
      <c r="B164" s="160"/>
      <c r="C164" s="161"/>
      <c r="D164" s="162"/>
      <c r="E164" s="180"/>
      <c r="F164" s="164"/>
      <c r="G164" s="165"/>
      <c r="H164" s="165"/>
      <c r="I164" s="181"/>
      <c r="J164" s="168"/>
      <c r="K164" s="128"/>
      <c r="L164" s="129"/>
      <c r="M164" s="130"/>
      <c r="N164" s="168"/>
      <c r="O164" s="168"/>
      <c r="P164" s="180"/>
      <c r="Q164" s="168"/>
      <c r="R164" s="168"/>
      <c r="S164" s="128"/>
      <c r="T164" s="130"/>
      <c r="U164" s="130"/>
      <c r="V164" s="168"/>
      <c r="W164" s="168"/>
      <c r="X164" s="180"/>
      <c r="Y164" s="168"/>
      <c r="Z164" s="169"/>
      <c r="AA164" s="168"/>
      <c r="AB164" s="134"/>
      <c r="AC164" s="135"/>
      <c r="AD164" s="135"/>
      <c r="AE164" s="135"/>
      <c r="AF164" s="135" t="str">
        <f aca="false">IF(ISBLANK($C164),"",IF(E164=Constants!$B$2,TRUE(),IF(E164=Constants!$B$3,FALSE(),TRUE())))</f>
        <v/>
      </c>
      <c r="AG164" s="135" t="str">
        <f aca="false">IF(ISBLANK($C164),"",IF(F164=Constants!$B$2,TRUE(),IF(F164=Constants!$B$3,FALSE(),TRUE())))</f>
        <v/>
      </c>
      <c r="AH164" s="135" t="str">
        <f aca="false">IF(ISBLANK($C164),"",IF(G164=Constants!$B$2,TRUE(),IF(G164=Constants!$B$3,FALSE(),TRUE())))</f>
        <v/>
      </c>
      <c r="AI164" s="135" t="str">
        <f aca="false">IF(ISBLANK($C164),"",IF(AND(ISNUMBER(H164),H164&gt;=0),H164,Constants!$B$24))</f>
        <v/>
      </c>
      <c r="AJ164" s="135" t="str">
        <f aca="false">IF(ISBLANK($C164),"",IF(I164=Constants!$B$2,TRUE(),IF(I164=Constants!$B$3,FALSE(),TRUE())))</f>
        <v/>
      </c>
      <c r="AK164" s="135" t="str">
        <f aca="false">IF(ISBLANK($C164),"",IF(J164=Constants!$B$2,TRUE(),IF(J164=Constants!$B$3,FALSE(),TRUE())))</f>
        <v/>
      </c>
      <c r="AL164" s="135" t="str">
        <f aca="false">IF(ISBLANK($C164),"",IF(K164=Constants!$B$4,TRUE(),IF(K164=Constants!$B$5,FALSE(),COUNTA(L164:P164)&gt;0)))</f>
        <v/>
      </c>
      <c r="AM164" s="136" t="str">
        <f aca="false">IF(ISBLANK($C164),"",IF(ISNUMBER(L164),IF(L164&gt;=0,L164,""),""))</f>
        <v/>
      </c>
      <c r="AN164" s="137" t="str">
        <f aca="false">IF(ISBLANK($C164),"",IF(ISNUMBER(M164),IF(M164&gt;=0,M164,""),""))</f>
        <v/>
      </c>
      <c r="AO164" s="137" t="str">
        <f aca="false">IF(ISBLANK($C164),"",IF(N164=Constants!$B$2,TRUE(),IF(N164=Constants!$B$3,FALSE(),TRUE())))</f>
        <v/>
      </c>
      <c r="AP164" s="135" t="str">
        <f aca="false">IF(ISBLANK($C164),"",IF(ISNUMBER(O164),IF(O164&gt;=0,O164,""),""))</f>
        <v/>
      </c>
      <c r="AQ164" s="135" t="str">
        <f aca="false">IF(ISBLANK($C164),"",IF(P164=Constants!$B$2,TRUE(),IF(P164=Constants!$B$3,FALSE(),FALSE())))</f>
        <v/>
      </c>
      <c r="AR164" s="135" t="str">
        <f aca="false">IF(ISBLANK($C164),"",IF(Q164=Constants!$B$2,TRUE(),IF(Q164=Constants!$B$3,FALSE(),TRUE())))</f>
        <v/>
      </c>
      <c r="AS164" s="135" t="str">
        <f aca="false">IF(ISBLANK($C164),"",IF(R164=Constants!$B$2,TRUE(),IF(R164=Constants!$B$3,FALSE(),TRUE())))</f>
        <v/>
      </c>
      <c r="AT164" s="135" t="str">
        <f aca="false">IF(ISBLANK($C164),"",IF(S164=Constants!$B$4,TRUE(),IF(S164=Constants!$B$5,FALSE(),COUNTA(T164:X164)&gt;0)))</f>
        <v/>
      </c>
      <c r="AU164" s="136" t="str">
        <f aca="false">IF(ISBLANK($C164),"",IF(ISNUMBER(T164),IF(T164&gt;=0,T164,""),""))</f>
        <v/>
      </c>
      <c r="AV164" s="137" t="str">
        <f aca="false">IF(ISBLANK($C164),"",IF(ISNUMBER(U164),IF(U164&gt;=0,U164,""),""))</f>
        <v/>
      </c>
      <c r="AW164" s="137" t="str">
        <f aca="false">IF(ISBLANK($C164),"",IF(V164=Constants!$B$2,TRUE(),IF(V164=Constants!$B$3,FALSE(),TRUE())))</f>
        <v/>
      </c>
      <c r="AX164" s="135" t="str">
        <f aca="false">IF(ISBLANK($C164),"",IF(ISNUMBER(W164),IF(W164&gt;=0,W164,""),""))</f>
        <v/>
      </c>
      <c r="AY164" s="135" t="str">
        <f aca="false">IF(ISBLANK($C164),"",IF(X164=Constants!$B$2,TRUE(),IF(X164=Constants!$B$3,FALSE(),FALSE())))</f>
        <v/>
      </c>
      <c r="AZ164" s="135" t="str">
        <f aca="false">IF(ISBLANK($C164),"",MIN(Constants!$B$25,MAX(0,IF(ISNUMBER(Y164),Y164*60,0)+IF(ISNUMBER(Z164),Z164,0))))</f>
        <v/>
      </c>
      <c r="BA164" s="135" t="str">
        <f aca="false">IF(ISBLANK($C164),"",IF(AA164=Constants!$B$2,TRUE(),IF(AA164=Constants!$B$3,FALSE(),FALSE())))</f>
        <v/>
      </c>
      <c r="BB164" s="134" t="str">
        <f aca="false">IF(ISBLANK($C164),"",AND($AL164,OR($AM164="",$AN164="",AND($AO164,$AP164=""))))</f>
        <v/>
      </c>
      <c r="BC164" s="137" t="str">
        <f aca="false">IF($BX164&lt;&gt;Constants!$B$6,"",IF($AL164,Constants!$B$17*$AN164+Constants!$B$18*IF($AO164,$AP164,Constants!$B$19),Constants!$B$20))</f>
        <v/>
      </c>
      <c r="BD164" s="138" t="str">
        <f aca="false">IF($BX164&lt;&gt;Constants!$B$6,"",Constants!$B$21*ABS($AD$9-IF($AL164,$AM164,0)))</f>
        <v/>
      </c>
      <c r="BE164" s="138" t="str">
        <f aca="false">IF($BX164&lt;&gt;Constants!$B$6,"",IF(AND($AL164,$AQ164,$AO164),Constants!$B$22,0))</f>
        <v/>
      </c>
      <c r="BF164" s="138" t="str">
        <f aca="false">IF($BX164&lt;&gt;Constants!$B$6,"",IF($AL164,($AI164-Constants!$B$24)*Constants!$B$23,0))</f>
        <v/>
      </c>
      <c r="BG164" s="138" t="str">
        <f aca="false">IF($BX164&lt;&gt;Constants!$B$6,"",IF($AK164,0,Constants!$B$12)+IF($AJ164,0,Constants!$B$13)+IF($AH164,0,Constants!$B$14))</f>
        <v/>
      </c>
      <c r="BH164" s="139" t="str">
        <f aca="false">IF($BX164&lt;&gt;Constants!$B$6,"",Constants!$B$16+SUM($BC164:$BG164))</f>
        <v/>
      </c>
      <c r="BI164" s="138" t="str">
        <f aca="false">IF($BX164&lt;&gt;Constants!$B$6,"",$BC164)</f>
        <v/>
      </c>
      <c r="BJ164" s="138" t="str">
        <f aca="false">IF($BX164&lt;&gt;Constants!$B$6,"",$BD164)</f>
        <v/>
      </c>
      <c r="BK164" s="140" t="str">
        <f aca="false">IF($BX164&lt;&gt;Constants!$B$6,"",IF($AL164,$AN164,""))</f>
        <v/>
      </c>
      <c r="BL164" s="135" t="str">
        <f aca="false">IF($BX164&lt;&gt;Constants!$B$6,"",IF(OR($BS164&lt;$BH164,AND($BS164=$BH164,OR($BT164&lt;$BI164,AND($BT164=$BI164,OR($BU164&lt;$BJ164,AND($BU164=$BJ164,AND(ISNUMBER($BV164),OR(NOT(ISNUMBER($BK164)),$BV164&lt;$BK164)))))))),"-&gt;","&lt;-"))</f>
        <v/>
      </c>
      <c r="BM164" s="134" t="str">
        <f aca="false">IF(ISBLANK($C164),"",AND($AT164,OR($AU164="",$AV164="",AND($AW164,$AX164=""))))</f>
        <v/>
      </c>
      <c r="BN164" s="137" t="str">
        <f aca="false">IF($BX164&lt;&gt;Constants!$B$6,"",IF($AT164,Constants!$B$17*$AV164+Constants!$B$18*IF($AW164,$AX164,Constants!$B$19),Constants!$B$20))</f>
        <v/>
      </c>
      <c r="BO164" s="138" t="str">
        <f aca="false">IF($BX164&lt;&gt;Constants!$B$6,"",Constants!$B$21*ABS($AD$9-IF($AT164,$AU164,0)))</f>
        <v/>
      </c>
      <c r="BP164" s="138" t="str">
        <f aca="false">IF($BX164&lt;&gt;Constants!$B$6,"",IF(AND($AT164,$AY164,$AW164),Constants!$B$22,0))</f>
        <v/>
      </c>
      <c r="BQ164" s="138" t="str">
        <f aca="false">IF($BX164&lt;&gt;Constants!$B$6,"",IF($AT164,($AI164-Constants!$B$24)*Constants!$B$23,0))</f>
        <v/>
      </c>
      <c r="BR164" s="138" t="str">
        <f aca="false">IF($BX164&lt;&gt;Constants!$B$6,"",IF($AS164,0,Constants!$B$12)+IF($AR164,0,Constants!$B$13)+IF($AH164,0,Constants!$B$14))</f>
        <v/>
      </c>
      <c r="BS164" s="139" t="str">
        <f aca="false">IF($BX164&lt;&gt;Constants!$B$6,"",Constants!$B$16+SUM($BN164:$BR164))</f>
        <v/>
      </c>
      <c r="BT164" s="138" t="str">
        <f aca="false">IF($BX164&lt;&gt;Constants!$B$6,"",$BN164)</f>
        <v/>
      </c>
      <c r="BU164" s="138" t="str">
        <f aca="false">IF($BX164&lt;&gt;Constants!$B$6,"",$BO164)</f>
        <v/>
      </c>
      <c r="BV164" s="140" t="str">
        <f aca="false">IF($BX164&lt;&gt;Constants!$B$6,"",IF($AT164,$AV164,""))</f>
        <v/>
      </c>
      <c r="BW164" s="135" t="str">
        <f aca="false">IF(ISBLANK($C164),"",IF(ISBLANK($D$7),$BW$5,IF(NOT(ISNUMBER($D$7)),$BW$6,"")))</f>
        <v/>
      </c>
      <c r="BX164" s="135" t="str">
        <f aca="false">IF(ISBLANK($C164),"",IF($BA164,Constants!$B$9,IF(COUNTA($E164:$AA164)=0,Constants!$B$8,IF(NOT($AG164),Constants!$B$7,IF(OR($BW164&lt;&gt;"",$BB164,$BM164),Constants!$B$10,Constants!$B$6)))))</f>
        <v/>
      </c>
      <c r="BY164" s="135" t="str">
        <f aca="false">IF(ISBLANK($C164),"",IF($BX164&lt;&gt;Constants!$B$6,$BX164,Constants!$B$11))</f>
        <v/>
      </c>
      <c r="BZ164" s="138" t="str">
        <f aca="false">IF($BX164&lt;&gt;Constants!$B$6,"",IF($BL164="-&gt;",$BS164,$BH164))</f>
        <v/>
      </c>
      <c r="CA164" s="138" t="str">
        <f aca="false">IF($BX164&lt;&gt;Constants!$B$6,"",IF($AF164,0,Constants!$B$15))</f>
        <v/>
      </c>
      <c r="CB164" s="138" t="str">
        <f aca="false">IF($BX164&lt;&gt;Constants!$B$6,"",((Constants!$B$25-$AZ164)-Constants!$B$25)/Constants!$B$26)</f>
        <v/>
      </c>
      <c r="CC164" s="138" t="str">
        <f aca="false">IF(ISBLANK($C164),"",IF($BX164&lt;&gt;Constants!$B$6,$BX164,SUM($BZ164:$CB164)))</f>
        <v/>
      </c>
      <c r="CD164" s="135" t="str">
        <f aca="false">IF(ISBLANK($C164),"",IF($BX164&lt;&gt;Constants!$B$6,$BX164,RANK($CC164,$CC$9:$CC$508,1)))</f>
        <v/>
      </c>
      <c r="CE164" s="138" t="str">
        <f aca="false">IF($BX164&lt;&gt;Constants!$B$6,"",IF($BL164="-&gt;",$BT164,$BI164))</f>
        <v/>
      </c>
      <c r="CF164" s="135" t="str">
        <f aca="false">IF(ISBLANK($C164),"",IF($BX164&lt;&gt;Constants!$B$6,$BX164,IF(ISNUMBER($CE164),RANK($CE164,$CE$9:$CE$508,1),COUNT($CE$9:$CE$508)+1)))</f>
        <v/>
      </c>
      <c r="CG164" s="138" t="str">
        <f aca="false">IF($BX164&lt;&gt;Constants!$B$6,"",IF($BL164="-&gt;",$BU164,$BJ164))</f>
        <v/>
      </c>
      <c r="CH164" s="135" t="str">
        <f aca="false">IF(ISBLANK($C164),"",IF($BX164&lt;&gt;Constants!$B$6,$BX164,IF(ISNUMBER($CG164),RANK($CG164,$CG$9:$CG$508,1),COUNT($CG$9:$CG$508)+1)))</f>
        <v/>
      </c>
      <c r="CI164" s="138" t="str">
        <f aca="false">IF($BX164&lt;&gt;Constants!$B$6,"",IF($BL164="-&gt;",$BV164,$BK164))</f>
        <v/>
      </c>
      <c r="CJ164" s="135" t="str">
        <f aca="false">IF(ISBLANK($C164),"",IF($BX164&lt;&gt;Constants!$B$6,$BX164,IF(ISNUMBER($CI164),RANK($CI164,$CI$9:$CI$508,1),COUNT($CI$9:$CI$508)+1)))</f>
        <v/>
      </c>
      <c r="CK164" s="138" t="str">
        <f aca="false">IF($BX164&lt;&gt;Constants!$B$6,"",$AI164)</f>
        <v/>
      </c>
      <c r="CL164" s="135" t="str">
        <f aca="false">IF(ISBLANK($C164),"",IF($BX164&lt;&gt;Constants!$B$6,$BX164,IF(ISNUMBER($CK164),RANK($CK164,$CK$9:$CK$508,1),COUNT($CK$9:$CK$508)+1)))</f>
        <v/>
      </c>
      <c r="CM164" s="135" t="str">
        <f aca="false">IF(ISBLANK($C164),"",IF($BX164&lt;&gt;Constants!$B$6,$BX164,COUNTIFS($CD$9:$CD$508,"&lt;"&amp;$CD164)+COUNTIFS($CD$9:$CD$508,$CD164,$CF$9:$CF$508,"&lt;"&amp;$CF164)+COUNTIFS($CD$9:$CD$508,$CD164,$CF$9:$CF$508,$CF164,$CH$9:$CH$508,"&lt;"&amp;$CH164)+COUNTIFS($CD$9:$CD$508,$CD164,$CF$9:$CF$508,$CF164,$CH$9:$CH$508,$CH164,$CJ$9:$CJ$508,"&lt;"&amp;$CJ164)+COUNTIFS($CD$9:$CD$508,$CD164,$CF$9:$CF$508,$CF164,$CH$9:$CH$508,$CH164,$CJ$9:$CJ$508,$CJ164,$CL$9:$CL$508,"&lt;"&amp;$CL164)+1))</f>
        <v/>
      </c>
      <c r="CN164" s="135" t="str">
        <f aca="false">IF(ISBLANK($C164),"",IF($BX164&lt;&gt;Constants!$B$6,$BX164,$CD164-$CM164))</f>
        <v/>
      </c>
      <c r="CO164" s="141"/>
      <c r="CP164" s="142"/>
      <c r="CQ164" s="143" t="str">
        <f aca="false">IF(ISBLANK($C164),"",IF($BX164=Constants!$B$10,$BW164,""))</f>
        <v/>
      </c>
      <c r="CR164" s="142" t="str">
        <f aca="false">IF(ISBLANK($C164),"",IF($BX164&lt;&gt;Constants!$B$6,"",IF($BL164="-&gt;",2,1)))</f>
        <v/>
      </c>
      <c r="CS164" s="144" t="str">
        <f aca="false">IF(ISBLANK($C164),"",IF($BX164&lt;&gt;Constants!$B$6,"",IF($BL164="-&gt;",$BN164,$BC164)))</f>
        <v/>
      </c>
      <c r="CT164" s="144" t="str">
        <f aca="false">IF(ISBLANK($C164),"",IF($BX164&lt;&gt;Constants!$B$6,"",IF($BL164="-&gt;",$BO164,$BD164)))</f>
        <v/>
      </c>
      <c r="CU164" s="144" t="str">
        <f aca="false">IF(ISBLANK($C164),"",IF($BX164&lt;&gt;Constants!$B$6,"",IF($BL164="-&gt;",$BP164+$BQ164,$BE164+$BF164)+$CB164))</f>
        <v/>
      </c>
      <c r="CV164" s="144" t="str">
        <f aca="false">IF(ISBLANK($C164),"",IF($BX164&lt;&gt;Constants!$B$6,"",IF($BL164="-&gt;",$BR164,$BG164)+$CA164))</f>
        <v/>
      </c>
      <c r="CW164" s="145" t="str">
        <f aca="false">IF(ISBLANK($C164),"",IF($BX164&lt;&gt;Constants!$B$6,$BX164,$CC164))</f>
        <v/>
      </c>
      <c r="CX164" s="146" t="str">
        <f aca="false">IF(ISBLANK($C164),"",$BY164)</f>
        <v/>
      </c>
      <c r="CY164" s="147" t="str">
        <f aca="false">IF(ISBLANK($C164),"",$CN164)</f>
        <v/>
      </c>
      <c r="CZ164" s="147" t="str">
        <f aca="false">IF(ISBLANK($C164),"",$CM164)</f>
        <v/>
      </c>
      <c r="DA164" s="148" t="str">
        <f aca="false">IF(ISBLANK($C164),"",IFERROR(_xlfn.SWITCH($CZ164,Constants!$B$9,COUNTA($C$9:$C$508)+2,Constants!$B$8,COUNTA($C$9:$C$508)+1,Constants!$B$7,COUNTA($C$9:$C$508)),$CZ164))</f>
        <v/>
      </c>
      <c r="DB164" s="9"/>
      <c r="DC164" s="149" t="n">
        <f aca="false">IF(OR(ISNUMBER($CZ164),$CZ164=Constants!$B$9,$CZ164=Constants!$B$7,$CZ164=Constants!$B$8),1,0)</f>
        <v>0</v>
      </c>
      <c r="DD164" s="149" t="n">
        <v>156</v>
      </c>
      <c r="DE164" s="149" t="str">
        <f aca="false">IF(ISBLANK($C164),"",IF(ISNUMBER($DA164),$DA164+ROW($B164)/1000,""))</f>
        <v/>
      </c>
      <c r="DF164" s="149" t="str">
        <f aca="false">IF(ISNUMBER($DE164),RANK($DE164,$DE$9:$DE$508,1),"")</f>
        <v/>
      </c>
      <c r="DG164" s="149" t="str">
        <f aca="false">IF(ISBLANK($C164),"",$B164)</f>
        <v/>
      </c>
      <c r="DH164" s="149" t="str">
        <f aca="false">IF(ISBLANK($C164),"",$C164)</f>
        <v/>
      </c>
      <c r="DI164" s="149" t="str">
        <f aca="false">IF(ISBLANK($C164),"",$D164)</f>
        <v/>
      </c>
      <c r="DJ164" s="150" t="str">
        <f aca="false">$CX164</f>
        <v/>
      </c>
      <c r="DK164" s="151" t="str">
        <f aca="false">$CW164</f>
        <v/>
      </c>
      <c r="DL164" s="149" t="str">
        <f aca="false">IF(ISBLANK($C164),"",$CZ164)</f>
        <v/>
      </c>
      <c r="DM164" s="152" t="str">
        <f aca="false">IF($DD164&gt;$DC$8,"",VLOOKUP($DD164,$DF$9:$DL$508,7,FALSE()))</f>
        <v/>
      </c>
      <c r="DN164" s="153" t="str">
        <f aca="false">IF($DD164&gt;$DC$8,"",VLOOKUP($DD164,$DF$9:$DL$508,2,FALSE()))</f>
        <v/>
      </c>
      <c r="DO164" s="153" t="str">
        <f aca="false">IF($DD164&gt;$DC$8,"",VLOOKUP($DD164,$DF$9:$DL$508,3,FALSE()))</f>
        <v/>
      </c>
      <c r="DP164" s="153" t="str">
        <f aca="false">IF($DD164&gt;$DC$8,"",VLOOKUP($DD164,$DF$9:$DL$508,4,FALSE()))</f>
        <v/>
      </c>
      <c r="DQ164" s="153" t="str">
        <f aca="false">IF($DD164&gt;$DC$8,"",VLOOKUP($DD164,$DF$9:$DL$508,5,FALSE()))</f>
        <v/>
      </c>
      <c r="DR164" s="154" t="str">
        <f aca="false">IF($DD164&gt;$DC$8,"",VLOOKUP($DD164,$DF$9:$DL$508,6,FALSE()))</f>
        <v/>
      </c>
      <c r="DS164" s="76"/>
    </row>
    <row r="165" customFormat="false" ht="15.75" hidden="false" customHeight="false" outlineLevel="0" collapsed="false">
      <c r="A165" s="9"/>
      <c r="B165" s="78"/>
      <c r="C165" s="79"/>
      <c r="D165" s="170"/>
      <c r="E165" s="178"/>
      <c r="F165" s="172"/>
      <c r="G165" s="173"/>
      <c r="H165" s="173"/>
      <c r="I165" s="179"/>
      <c r="J165" s="176"/>
      <c r="K165" s="86"/>
      <c r="L165" s="87"/>
      <c r="M165" s="88"/>
      <c r="N165" s="176"/>
      <c r="O165" s="176"/>
      <c r="P165" s="178"/>
      <c r="Q165" s="176"/>
      <c r="R165" s="176"/>
      <c r="S165" s="86"/>
      <c r="T165" s="88"/>
      <c r="U165" s="88"/>
      <c r="V165" s="176"/>
      <c r="W165" s="176"/>
      <c r="X165" s="178"/>
      <c r="Y165" s="176"/>
      <c r="Z165" s="177"/>
      <c r="AA165" s="176"/>
      <c r="AB165" s="92"/>
      <c r="AC165" s="93"/>
      <c r="AD165" s="93"/>
      <c r="AE165" s="93"/>
      <c r="AF165" s="93" t="str">
        <f aca="false">IF(ISBLANK($C165),"",IF(E165=Constants!$B$2,TRUE(),IF(E165=Constants!$B$3,FALSE(),TRUE())))</f>
        <v/>
      </c>
      <c r="AG165" s="93" t="str">
        <f aca="false">IF(ISBLANK($C165),"",IF(F165=Constants!$B$2,TRUE(),IF(F165=Constants!$B$3,FALSE(),TRUE())))</f>
        <v/>
      </c>
      <c r="AH165" s="93" t="str">
        <f aca="false">IF(ISBLANK($C165),"",IF(G165=Constants!$B$2,TRUE(),IF(G165=Constants!$B$3,FALSE(),TRUE())))</f>
        <v/>
      </c>
      <c r="AI165" s="93" t="str">
        <f aca="false">IF(ISBLANK($C165),"",IF(AND(ISNUMBER(H165),H165&gt;=0),H165,Constants!$B$24))</f>
        <v/>
      </c>
      <c r="AJ165" s="93" t="str">
        <f aca="false">IF(ISBLANK($C165),"",IF(I165=Constants!$B$2,TRUE(),IF(I165=Constants!$B$3,FALSE(),TRUE())))</f>
        <v/>
      </c>
      <c r="AK165" s="93" t="str">
        <f aca="false">IF(ISBLANK($C165),"",IF(J165=Constants!$B$2,TRUE(),IF(J165=Constants!$B$3,FALSE(),TRUE())))</f>
        <v/>
      </c>
      <c r="AL165" s="93" t="str">
        <f aca="false">IF(ISBLANK($C165),"",IF(K165=Constants!$B$4,TRUE(),IF(K165=Constants!$B$5,FALSE(),COUNTA(L165:P165)&gt;0)))</f>
        <v/>
      </c>
      <c r="AM165" s="95" t="str">
        <f aca="false">IF(ISBLANK($C165),"",IF(ISNUMBER(L165),IF(L165&gt;=0,L165,""),""))</f>
        <v/>
      </c>
      <c r="AN165" s="94" t="str">
        <f aca="false">IF(ISBLANK($C165),"",IF(ISNUMBER(M165),IF(M165&gt;=0,M165,""),""))</f>
        <v/>
      </c>
      <c r="AO165" s="94" t="str">
        <f aca="false">IF(ISBLANK($C165),"",IF(N165=Constants!$B$2,TRUE(),IF(N165=Constants!$B$3,FALSE(),TRUE())))</f>
        <v/>
      </c>
      <c r="AP165" s="93" t="str">
        <f aca="false">IF(ISBLANK($C165),"",IF(ISNUMBER(O165),IF(O165&gt;=0,O165,""),""))</f>
        <v/>
      </c>
      <c r="AQ165" s="93" t="str">
        <f aca="false">IF(ISBLANK($C165),"",IF(P165=Constants!$B$2,TRUE(),IF(P165=Constants!$B$3,FALSE(),FALSE())))</f>
        <v/>
      </c>
      <c r="AR165" s="93" t="str">
        <f aca="false">IF(ISBLANK($C165),"",IF(Q165=Constants!$B$2,TRUE(),IF(Q165=Constants!$B$3,FALSE(),TRUE())))</f>
        <v/>
      </c>
      <c r="AS165" s="93" t="str">
        <f aca="false">IF(ISBLANK($C165),"",IF(R165=Constants!$B$2,TRUE(),IF(R165=Constants!$B$3,FALSE(),TRUE())))</f>
        <v/>
      </c>
      <c r="AT165" s="93" t="str">
        <f aca="false">IF(ISBLANK($C165),"",IF(S165=Constants!$B$4,TRUE(),IF(S165=Constants!$B$5,FALSE(),COUNTA(T165:X165)&gt;0)))</f>
        <v/>
      </c>
      <c r="AU165" s="95" t="str">
        <f aca="false">IF(ISBLANK($C165),"",IF(ISNUMBER(T165),IF(T165&gt;=0,T165,""),""))</f>
        <v/>
      </c>
      <c r="AV165" s="94" t="str">
        <f aca="false">IF(ISBLANK($C165),"",IF(ISNUMBER(U165),IF(U165&gt;=0,U165,""),""))</f>
        <v/>
      </c>
      <c r="AW165" s="94" t="str">
        <f aca="false">IF(ISBLANK($C165),"",IF(V165=Constants!$B$2,TRUE(),IF(V165=Constants!$B$3,FALSE(),TRUE())))</f>
        <v/>
      </c>
      <c r="AX165" s="93" t="str">
        <f aca="false">IF(ISBLANK($C165),"",IF(ISNUMBER(W165),IF(W165&gt;=0,W165,""),""))</f>
        <v/>
      </c>
      <c r="AY165" s="93" t="str">
        <f aca="false">IF(ISBLANK($C165),"",IF(X165=Constants!$B$2,TRUE(),IF(X165=Constants!$B$3,FALSE(),FALSE())))</f>
        <v/>
      </c>
      <c r="AZ165" s="93" t="str">
        <f aca="false">IF(ISBLANK($C165),"",MIN(Constants!$B$25,MAX(0,IF(ISNUMBER(Y165),Y165*60,0)+IF(ISNUMBER(Z165),Z165,0))))</f>
        <v/>
      </c>
      <c r="BA165" s="93" t="str">
        <f aca="false">IF(ISBLANK($C165),"",IF(AA165=Constants!$B$2,TRUE(),IF(AA165=Constants!$B$3,FALSE(),FALSE())))</f>
        <v/>
      </c>
      <c r="BB165" s="92" t="str">
        <f aca="false">IF(ISBLANK($C165),"",AND($AL165,OR($AM165="",$AN165="",AND($AO165,$AP165=""))))</f>
        <v/>
      </c>
      <c r="BC165" s="94" t="str">
        <f aca="false">IF($BX165&lt;&gt;Constants!$B$6,"",IF($AL165,Constants!$B$17*$AN165+Constants!$B$18*IF($AO165,$AP165,Constants!$B$19),Constants!$B$20))</f>
        <v/>
      </c>
      <c r="BD165" s="97" t="str">
        <f aca="false">IF($BX165&lt;&gt;Constants!$B$6,"",Constants!$B$21*ABS($AD$9-IF($AL165,$AM165,0)))</f>
        <v/>
      </c>
      <c r="BE165" s="97" t="str">
        <f aca="false">IF($BX165&lt;&gt;Constants!$B$6,"",IF(AND($AL165,$AQ165,$AO165),Constants!$B$22,0))</f>
        <v/>
      </c>
      <c r="BF165" s="97" t="str">
        <f aca="false">IF($BX165&lt;&gt;Constants!$B$6,"",IF($AL165,($AI165-Constants!$B$24)*Constants!$B$23,0))</f>
        <v/>
      </c>
      <c r="BG165" s="97" t="str">
        <f aca="false">IF($BX165&lt;&gt;Constants!$B$6,"",IF($AK165,0,Constants!$B$12)+IF($AJ165,0,Constants!$B$13)+IF($AH165,0,Constants!$B$14))</f>
        <v/>
      </c>
      <c r="BH165" s="98" t="str">
        <f aca="false">IF($BX165&lt;&gt;Constants!$B$6,"",Constants!$B$16+SUM($BC165:$BG165))</f>
        <v/>
      </c>
      <c r="BI165" s="97" t="str">
        <f aca="false">IF($BX165&lt;&gt;Constants!$B$6,"",$BC165)</f>
        <v/>
      </c>
      <c r="BJ165" s="97" t="str">
        <f aca="false">IF($BX165&lt;&gt;Constants!$B$6,"",$BD165)</f>
        <v/>
      </c>
      <c r="BK165" s="99" t="str">
        <f aca="false">IF($BX165&lt;&gt;Constants!$B$6,"",IF($AL165,$AN165,""))</f>
        <v/>
      </c>
      <c r="BL165" s="93" t="str">
        <f aca="false">IF($BX165&lt;&gt;Constants!$B$6,"",IF(OR($BS165&lt;$BH165,AND($BS165=$BH165,OR($BT165&lt;$BI165,AND($BT165=$BI165,OR($BU165&lt;$BJ165,AND($BU165=$BJ165,AND(ISNUMBER($BV165),OR(NOT(ISNUMBER($BK165)),$BV165&lt;$BK165)))))))),"-&gt;","&lt;-"))</f>
        <v/>
      </c>
      <c r="BM165" s="92" t="str">
        <f aca="false">IF(ISBLANK($C165),"",AND($AT165,OR($AU165="",$AV165="",AND($AW165,$AX165=""))))</f>
        <v/>
      </c>
      <c r="BN165" s="94" t="str">
        <f aca="false">IF($BX165&lt;&gt;Constants!$B$6,"",IF($AT165,Constants!$B$17*$AV165+Constants!$B$18*IF($AW165,$AX165,Constants!$B$19),Constants!$B$20))</f>
        <v/>
      </c>
      <c r="BO165" s="97" t="str">
        <f aca="false">IF($BX165&lt;&gt;Constants!$B$6,"",Constants!$B$21*ABS($AD$9-IF($AT165,$AU165,0)))</f>
        <v/>
      </c>
      <c r="BP165" s="97" t="str">
        <f aca="false">IF($BX165&lt;&gt;Constants!$B$6,"",IF(AND($AT165,$AY165,$AW165),Constants!$B$22,0))</f>
        <v/>
      </c>
      <c r="BQ165" s="97" t="str">
        <f aca="false">IF($BX165&lt;&gt;Constants!$B$6,"",IF($AT165,($AI165-Constants!$B$24)*Constants!$B$23,0))</f>
        <v/>
      </c>
      <c r="BR165" s="97" t="str">
        <f aca="false">IF($BX165&lt;&gt;Constants!$B$6,"",IF($AS165,0,Constants!$B$12)+IF($AR165,0,Constants!$B$13)+IF($AH165,0,Constants!$B$14))</f>
        <v/>
      </c>
      <c r="BS165" s="98" t="str">
        <f aca="false">IF($BX165&lt;&gt;Constants!$B$6,"",Constants!$B$16+SUM($BN165:$BR165))</f>
        <v/>
      </c>
      <c r="BT165" s="97" t="str">
        <f aca="false">IF($BX165&lt;&gt;Constants!$B$6,"",$BN165)</f>
        <v/>
      </c>
      <c r="BU165" s="97" t="str">
        <f aca="false">IF($BX165&lt;&gt;Constants!$B$6,"",$BO165)</f>
        <v/>
      </c>
      <c r="BV165" s="99" t="str">
        <f aca="false">IF($BX165&lt;&gt;Constants!$B$6,"",IF($AT165,$AV165,""))</f>
        <v/>
      </c>
      <c r="BW165" s="93" t="str">
        <f aca="false">IF(ISBLANK($C165),"",IF(ISBLANK($D$7),$BW$5,IF(NOT(ISNUMBER($D$7)),$BW$6,"")))</f>
        <v/>
      </c>
      <c r="BX165" s="93" t="str">
        <f aca="false">IF(ISBLANK($C165),"",IF($BA165,Constants!$B$9,IF(COUNTA($E165:$AA165)=0,Constants!$B$8,IF(NOT($AG165),Constants!$B$7,IF(OR($BW165&lt;&gt;"",$BB165,$BM165),Constants!$B$10,Constants!$B$6)))))</f>
        <v/>
      </c>
      <c r="BY165" s="93" t="str">
        <f aca="false">IF(ISBLANK($C165),"",IF($BX165&lt;&gt;Constants!$B$6,$BX165,Constants!$B$11))</f>
        <v/>
      </c>
      <c r="BZ165" s="97" t="str">
        <f aca="false">IF($BX165&lt;&gt;Constants!$B$6,"",IF($BL165="-&gt;",$BS165,$BH165))</f>
        <v/>
      </c>
      <c r="CA165" s="97" t="str">
        <f aca="false">IF($BX165&lt;&gt;Constants!$B$6,"",IF($AF165,0,Constants!$B$15))</f>
        <v/>
      </c>
      <c r="CB165" s="97" t="str">
        <f aca="false">IF($BX165&lt;&gt;Constants!$B$6,"",((Constants!$B$25-$AZ165)-Constants!$B$25)/Constants!$B$26)</f>
        <v/>
      </c>
      <c r="CC165" s="97" t="str">
        <f aca="false">IF(ISBLANK($C165),"",IF($BX165&lt;&gt;Constants!$B$6,$BX165,SUM($BZ165:$CB165)))</f>
        <v/>
      </c>
      <c r="CD165" s="93" t="str">
        <f aca="false">IF(ISBLANK($C165),"",IF($BX165&lt;&gt;Constants!$B$6,$BX165,RANK($CC165,$CC$9:$CC$508,1)))</f>
        <v/>
      </c>
      <c r="CE165" s="97" t="str">
        <f aca="false">IF($BX165&lt;&gt;Constants!$B$6,"",IF($BL165="-&gt;",$BT165,$BI165))</f>
        <v/>
      </c>
      <c r="CF165" s="93" t="str">
        <f aca="false">IF(ISBLANK($C165),"",IF($BX165&lt;&gt;Constants!$B$6,$BX165,IF(ISNUMBER($CE165),RANK($CE165,$CE$9:$CE$508,1),COUNT($CE$9:$CE$508)+1)))</f>
        <v/>
      </c>
      <c r="CG165" s="97" t="str">
        <f aca="false">IF($BX165&lt;&gt;Constants!$B$6,"",IF($BL165="-&gt;",$BU165,$BJ165))</f>
        <v/>
      </c>
      <c r="CH165" s="93" t="str">
        <f aca="false">IF(ISBLANK($C165),"",IF($BX165&lt;&gt;Constants!$B$6,$BX165,IF(ISNUMBER($CG165),RANK($CG165,$CG$9:$CG$508,1),COUNT($CG$9:$CG$508)+1)))</f>
        <v/>
      </c>
      <c r="CI165" s="97" t="str">
        <f aca="false">IF($BX165&lt;&gt;Constants!$B$6,"",IF($BL165="-&gt;",$BV165,$BK165))</f>
        <v/>
      </c>
      <c r="CJ165" s="93" t="str">
        <f aca="false">IF(ISBLANK($C165),"",IF($BX165&lt;&gt;Constants!$B$6,$BX165,IF(ISNUMBER($CI165),RANK($CI165,$CI$9:$CI$508,1),COUNT($CI$9:$CI$508)+1)))</f>
        <v/>
      </c>
      <c r="CK165" s="97" t="str">
        <f aca="false">IF($BX165&lt;&gt;Constants!$B$6,"",$AI165)</f>
        <v/>
      </c>
      <c r="CL165" s="93" t="str">
        <f aca="false">IF(ISBLANK($C165),"",IF($BX165&lt;&gt;Constants!$B$6,$BX165,IF(ISNUMBER($CK165),RANK($CK165,$CK$9:$CK$508,1),COUNT($CK$9:$CK$508)+1)))</f>
        <v/>
      </c>
      <c r="CM165" s="93" t="str">
        <f aca="false">IF(ISBLANK($C165),"",IF($BX165&lt;&gt;Constants!$B$6,$BX165,COUNTIFS($CD$9:$CD$508,"&lt;"&amp;$CD165)+COUNTIFS($CD$9:$CD$508,$CD165,$CF$9:$CF$508,"&lt;"&amp;$CF165)+COUNTIFS($CD$9:$CD$508,$CD165,$CF$9:$CF$508,$CF165,$CH$9:$CH$508,"&lt;"&amp;$CH165)+COUNTIFS($CD$9:$CD$508,$CD165,$CF$9:$CF$508,$CF165,$CH$9:$CH$508,$CH165,$CJ$9:$CJ$508,"&lt;"&amp;$CJ165)+COUNTIFS($CD$9:$CD$508,$CD165,$CF$9:$CF$508,$CF165,$CH$9:$CH$508,$CH165,$CJ$9:$CJ$508,$CJ165,$CL$9:$CL$508,"&lt;"&amp;$CL165)+1))</f>
        <v/>
      </c>
      <c r="CN165" s="93" t="str">
        <f aca="false">IF(ISBLANK($C165),"",IF($BX165&lt;&gt;Constants!$B$6,$BX165,$CD165-$CM165))</f>
        <v/>
      </c>
      <c r="CO165" s="100"/>
      <c r="CP165" s="101"/>
      <c r="CQ165" s="102" t="str">
        <f aca="false">IF(ISBLANK($C165),"",IF($BX165=Constants!$B$10,$BW165,""))</f>
        <v/>
      </c>
      <c r="CR165" s="101" t="str">
        <f aca="false">IF(ISBLANK($C165),"",IF($BX165&lt;&gt;Constants!$B$6,"",IF($BL165="-&gt;",2,1)))</f>
        <v/>
      </c>
      <c r="CS165" s="103" t="str">
        <f aca="false">IF(ISBLANK($C165),"",IF($BX165&lt;&gt;Constants!$B$6,"",IF($BL165="-&gt;",$BN165,$BC165)))</f>
        <v/>
      </c>
      <c r="CT165" s="103" t="str">
        <f aca="false">IF(ISBLANK($C165),"",IF($BX165&lt;&gt;Constants!$B$6,"",IF($BL165="-&gt;",$BO165,$BD165)))</f>
        <v/>
      </c>
      <c r="CU165" s="103" t="str">
        <f aca="false">IF(ISBLANK($C165),"",IF($BX165&lt;&gt;Constants!$B$6,"",IF($BL165="-&gt;",$BP165+$BQ165,$BE165+$BF165)+$CB165))</f>
        <v/>
      </c>
      <c r="CV165" s="103" t="str">
        <f aca="false">IF(ISBLANK($C165),"",IF($BX165&lt;&gt;Constants!$B$6,"",IF($BL165="-&gt;",$BR165,$BG165)+$CA165))</f>
        <v/>
      </c>
      <c r="CW165" s="104" t="str">
        <f aca="false">IF(ISBLANK($C165),"",IF($BX165&lt;&gt;Constants!$B$6,$BX165,$CC165))</f>
        <v/>
      </c>
      <c r="CX165" s="105" t="str">
        <f aca="false">IF(ISBLANK($C165),"",$BY165)</f>
        <v/>
      </c>
      <c r="CY165" s="106" t="str">
        <f aca="false">IF(ISBLANK($C165),"",$CN165)</f>
        <v/>
      </c>
      <c r="CZ165" s="106" t="str">
        <f aca="false">IF(ISBLANK($C165),"",$CM165)</f>
        <v/>
      </c>
      <c r="DA165" s="107" t="str">
        <f aca="false">IF(ISBLANK($C165),"",IFERROR(_xlfn.SWITCH($CZ165,Constants!$B$9,COUNTA($C$9:$C$508)+2,Constants!$B$8,COUNTA($C$9:$C$508)+1,Constants!$B$7,COUNTA($C$9:$C$508)),$CZ165))</f>
        <v/>
      </c>
      <c r="DB165" s="9"/>
      <c r="DC165" s="108" t="n">
        <f aca="false">IF(OR(ISNUMBER($CZ165),$CZ165=Constants!$B$9,$CZ165=Constants!$B$7,$CZ165=Constants!$B$8),1,0)</f>
        <v>0</v>
      </c>
      <c r="DD165" s="108" t="n">
        <v>157</v>
      </c>
      <c r="DE165" s="108" t="str">
        <f aca="false">IF(ISBLANK($C165),"",IF(ISNUMBER($DA165),$DA165+ROW($B165)/1000,""))</f>
        <v/>
      </c>
      <c r="DF165" s="108" t="str">
        <f aca="false">IF(ISNUMBER($DE165),RANK($DE165,$DE$9:$DE$508,1),"")</f>
        <v/>
      </c>
      <c r="DG165" s="108" t="str">
        <f aca="false">IF(ISBLANK($C165),"",$B165)</f>
        <v/>
      </c>
      <c r="DH165" s="108" t="str">
        <f aca="false">IF(ISBLANK($C165),"",$C165)</f>
        <v/>
      </c>
      <c r="DI165" s="108" t="str">
        <f aca="false">IF(ISBLANK($C165),"",$D165)</f>
        <v/>
      </c>
      <c r="DJ165" s="109" t="str">
        <f aca="false">$CX165</f>
        <v/>
      </c>
      <c r="DK165" s="110" t="str">
        <f aca="false">$CW165</f>
        <v/>
      </c>
      <c r="DL165" s="108" t="str">
        <f aca="false">IF(ISBLANK($C165),"",$CZ165)</f>
        <v/>
      </c>
      <c r="DM165" s="111" t="str">
        <f aca="false">IF($DD165&gt;$DC$8,"",VLOOKUP($DD165,$DF$9:$DL$508,7,FALSE()))</f>
        <v/>
      </c>
      <c r="DN165" s="112" t="str">
        <f aca="false">IF($DD165&gt;$DC$8,"",VLOOKUP($DD165,$DF$9:$DL$508,2,FALSE()))</f>
        <v/>
      </c>
      <c r="DO165" s="112" t="str">
        <f aca="false">IF($DD165&gt;$DC$8,"",VLOOKUP($DD165,$DF$9:$DL$508,3,FALSE()))</f>
        <v/>
      </c>
      <c r="DP165" s="112" t="str">
        <f aca="false">IF($DD165&gt;$DC$8,"",VLOOKUP($DD165,$DF$9:$DL$508,4,FALSE()))</f>
        <v/>
      </c>
      <c r="DQ165" s="112" t="str">
        <f aca="false">IF($DD165&gt;$DC$8,"",VLOOKUP($DD165,$DF$9:$DL$508,5,FALSE()))</f>
        <v/>
      </c>
      <c r="DR165" s="113" t="str">
        <f aca="false">IF($DD165&gt;$DC$8,"",VLOOKUP($DD165,$DF$9:$DL$508,6,FALSE()))</f>
        <v/>
      </c>
      <c r="DS165" s="76"/>
    </row>
    <row r="166" customFormat="false" ht="15.75" hidden="false" customHeight="false" outlineLevel="0" collapsed="false">
      <c r="A166" s="9"/>
      <c r="B166" s="78"/>
      <c r="C166" s="79"/>
      <c r="D166" s="170"/>
      <c r="E166" s="178"/>
      <c r="F166" s="172"/>
      <c r="G166" s="173"/>
      <c r="H166" s="173"/>
      <c r="I166" s="179"/>
      <c r="J166" s="176"/>
      <c r="K166" s="86"/>
      <c r="L166" s="87"/>
      <c r="M166" s="88"/>
      <c r="N166" s="176"/>
      <c r="O166" s="176"/>
      <c r="P166" s="178"/>
      <c r="Q166" s="176"/>
      <c r="R166" s="176"/>
      <c r="S166" s="86"/>
      <c r="T166" s="88"/>
      <c r="U166" s="88"/>
      <c r="V166" s="176"/>
      <c r="W166" s="176"/>
      <c r="X166" s="178"/>
      <c r="Y166" s="176"/>
      <c r="Z166" s="177"/>
      <c r="AA166" s="176"/>
      <c r="AB166" s="92"/>
      <c r="AC166" s="93"/>
      <c r="AD166" s="93"/>
      <c r="AE166" s="93"/>
      <c r="AF166" s="93" t="str">
        <f aca="false">IF(ISBLANK($C166),"",IF(E166=Constants!$B$2,TRUE(),IF(E166=Constants!$B$3,FALSE(),TRUE())))</f>
        <v/>
      </c>
      <c r="AG166" s="93" t="str">
        <f aca="false">IF(ISBLANK($C166),"",IF(F166=Constants!$B$2,TRUE(),IF(F166=Constants!$B$3,FALSE(),TRUE())))</f>
        <v/>
      </c>
      <c r="AH166" s="93" t="str">
        <f aca="false">IF(ISBLANK($C166),"",IF(G166=Constants!$B$2,TRUE(),IF(G166=Constants!$B$3,FALSE(),TRUE())))</f>
        <v/>
      </c>
      <c r="AI166" s="93" t="str">
        <f aca="false">IF(ISBLANK($C166),"",IF(AND(ISNUMBER(H166),H166&gt;=0),H166,Constants!$B$24))</f>
        <v/>
      </c>
      <c r="AJ166" s="93" t="str">
        <f aca="false">IF(ISBLANK($C166),"",IF(I166=Constants!$B$2,TRUE(),IF(I166=Constants!$B$3,FALSE(),TRUE())))</f>
        <v/>
      </c>
      <c r="AK166" s="93" t="str">
        <f aca="false">IF(ISBLANK($C166),"",IF(J166=Constants!$B$2,TRUE(),IF(J166=Constants!$B$3,FALSE(),TRUE())))</f>
        <v/>
      </c>
      <c r="AL166" s="93" t="str">
        <f aca="false">IF(ISBLANK($C166),"",IF(K166=Constants!$B$4,TRUE(),IF(K166=Constants!$B$5,FALSE(),COUNTA(L166:P166)&gt;0)))</f>
        <v/>
      </c>
      <c r="AM166" s="95" t="str">
        <f aca="false">IF(ISBLANK($C166),"",IF(ISNUMBER(L166),IF(L166&gt;=0,L166,""),""))</f>
        <v/>
      </c>
      <c r="AN166" s="94" t="str">
        <f aca="false">IF(ISBLANK($C166),"",IF(ISNUMBER(M166),IF(M166&gt;=0,M166,""),""))</f>
        <v/>
      </c>
      <c r="AO166" s="94" t="str">
        <f aca="false">IF(ISBLANK($C166),"",IF(N166=Constants!$B$2,TRUE(),IF(N166=Constants!$B$3,FALSE(),TRUE())))</f>
        <v/>
      </c>
      <c r="AP166" s="93" t="str">
        <f aca="false">IF(ISBLANK($C166),"",IF(ISNUMBER(O166),IF(O166&gt;=0,O166,""),""))</f>
        <v/>
      </c>
      <c r="AQ166" s="93" t="str">
        <f aca="false">IF(ISBLANK($C166),"",IF(P166=Constants!$B$2,TRUE(),IF(P166=Constants!$B$3,FALSE(),FALSE())))</f>
        <v/>
      </c>
      <c r="AR166" s="93" t="str">
        <f aca="false">IF(ISBLANK($C166),"",IF(Q166=Constants!$B$2,TRUE(),IF(Q166=Constants!$B$3,FALSE(),TRUE())))</f>
        <v/>
      </c>
      <c r="AS166" s="93" t="str">
        <f aca="false">IF(ISBLANK($C166),"",IF(R166=Constants!$B$2,TRUE(),IF(R166=Constants!$B$3,FALSE(),TRUE())))</f>
        <v/>
      </c>
      <c r="AT166" s="93" t="str">
        <f aca="false">IF(ISBLANK($C166),"",IF(S166=Constants!$B$4,TRUE(),IF(S166=Constants!$B$5,FALSE(),COUNTA(T166:X166)&gt;0)))</f>
        <v/>
      </c>
      <c r="AU166" s="95" t="str">
        <f aca="false">IF(ISBLANK($C166),"",IF(ISNUMBER(T166),IF(T166&gt;=0,T166,""),""))</f>
        <v/>
      </c>
      <c r="AV166" s="94" t="str">
        <f aca="false">IF(ISBLANK($C166),"",IF(ISNUMBER(U166),IF(U166&gt;=0,U166,""),""))</f>
        <v/>
      </c>
      <c r="AW166" s="94" t="str">
        <f aca="false">IF(ISBLANK($C166),"",IF(V166=Constants!$B$2,TRUE(),IF(V166=Constants!$B$3,FALSE(),TRUE())))</f>
        <v/>
      </c>
      <c r="AX166" s="93" t="str">
        <f aca="false">IF(ISBLANK($C166),"",IF(ISNUMBER(W166),IF(W166&gt;=0,W166,""),""))</f>
        <v/>
      </c>
      <c r="AY166" s="93" t="str">
        <f aca="false">IF(ISBLANK($C166),"",IF(X166=Constants!$B$2,TRUE(),IF(X166=Constants!$B$3,FALSE(),FALSE())))</f>
        <v/>
      </c>
      <c r="AZ166" s="93" t="str">
        <f aca="false">IF(ISBLANK($C166),"",MIN(Constants!$B$25,MAX(0,IF(ISNUMBER(Y166),Y166*60,0)+IF(ISNUMBER(Z166),Z166,0))))</f>
        <v/>
      </c>
      <c r="BA166" s="93" t="str">
        <f aca="false">IF(ISBLANK($C166),"",IF(AA166=Constants!$B$2,TRUE(),IF(AA166=Constants!$B$3,FALSE(),FALSE())))</f>
        <v/>
      </c>
      <c r="BB166" s="92" t="str">
        <f aca="false">IF(ISBLANK($C166),"",AND($AL166,OR($AM166="",$AN166="",AND($AO166,$AP166=""))))</f>
        <v/>
      </c>
      <c r="BC166" s="94" t="str">
        <f aca="false">IF($BX166&lt;&gt;Constants!$B$6,"",IF($AL166,Constants!$B$17*$AN166+Constants!$B$18*IF($AO166,$AP166,Constants!$B$19),Constants!$B$20))</f>
        <v/>
      </c>
      <c r="BD166" s="97" t="str">
        <f aca="false">IF($BX166&lt;&gt;Constants!$B$6,"",Constants!$B$21*ABS($AD$9-IF($AL166,$AM166,0)))</f>
        <v/>
      </c>
      <c r="BE166" s="97" t="str">
        <f aca="false">IF($BX166&lt;&gt;Constants!$B$6,"",IF(AND($AL166,$AQ166,$AO166),Constants!$B$22,0))</f>
        <v/>
      </c>
      <c r="BF166" s="97" t="str">
        <f aca="false">IF($BX166&lt;&gt;Constants!$B$6,"",IF($AL166,($AI166-Constants!$B$24)*Constants!$B$23,0))</f>
        <v/>
      </c>
      <c r="BG166" s="97" t="str">
        <f aca="false">IF($BX166&lt;&gt;Constants!$B$6,"",IF($AK166,0,Constants!$B$12)+IF($AJ166,0,Constants!$B$13)+IF($AH166,0,Constants!$B$14))</f>
        <v/>
      </c>
      <c r="BH166" s="98" t="str">
        <f aca="false">IF($BX166&lt;&gt;Constants!$B$6,"",Constants!$B$16+SUM($BC166:$BG166))</f>
        <v/>
      </c>
      <c r="BI166" s="97" t="str">
        <f aca="false">IF($BX166&lt;&gt;Constants!$B$6,"",$BC166)</f>
        <v/>
      </c>
      <c r="BJ166" s="97" t="str">
        <f aca="false">IF($BX166&lt;&gt;Constants!$B$6,"",$BD166)</f>
        <v/>
      </c>
      <c r="BK166" s="99" t="str">
        <f aca="false">IF($BX166&lt;&gt;Constants!$B$6,"",IF($AL166,$AN166,""))</f>
        <v/>
      </c>
      <c r="BL166" s="93" t="str">
        <f aca="false">IF($BX166&lt;&gt;Constants!$B$6,"",IF(OR($BS166&lt;$BH166,AND($BS166=$BH166,OR($BT166&lt;$BI166,AND($BT166=$BI166,OR($BU166&lt;$BJ166,AND($BU166=$BJ166,AND(ISNUMBER($BV166),OR(NOT(ISNUMBER($BK166)),$BV166&lt;$BK166)))))))),"-&gt;","&lt;-"))</f>
        <v/>
      </c>
      <c r="BM166" s="92" t="str">
        <f aca="false">IF(ISBLANK($C166),"",AND($AT166,OR($AU166="",$AV166="",AND($AW166,$AX166=""))))</f>
        <v/>
      </c>
      <c r="BN166" s="94" t="str">
        <f aca="false">IF($BX166&lt;&gt;Constants!$B$6,"",IF($AT166,Constants!$B$17*$AV166+Constants!$B$18*IF($AW166,$AX166,Constants!$B$19),Constants!$B$20))</f>
        <v/>
      </c>
      <c r="BO166" s="97" t="str">
        <f aca="false">IF($BX166&lt;&gt;Constants!$B$6,"",Constants!$B$21*ABS($AD$9-IF($AT166,$AU166,0)))</f>
        <v/>
      </c>
      <c r="BP166" s="97" t="str">
        <f aca="false">IF($BX166&lt;&gt;Constants!$B$6,"",IF(AND($AT166,$AY166,$AW166),Constants!$B$22,0))</f>
        <v/>
      </c>
      <c r="BQ166" s="97" t="str">
        <f aca="false">IF($BX166&lt;&gt;Constants!$B$6,"",IF($AT166,($AI166-Constants!$B$24)*Constants!$B$23,0))</f>
        <v/>
      </c>
      <c r="BR166" s="97" t="str">
        <f aca="false">IF($BX166&lt;&gt;Constants!$B$6,"",IF($AS166,0,Constants!$B$12)+IF($AR166,0,Constants!$B$13)+IF($AH166,0,Constants!$B$14))</f>
        <v/>
      </c>
      <c r="BS166" s="98" t="str">
        <f aca="false">IF($BX166&lt;&gt;Constants!$B$6,"",Constants!$B$16+SUM($BN166:$BR166))</f>
        <v/>
      </c>
      <c r="BT166" s="97" t="str">
        <f aca="false">IF($BX166&lt;&gt;Constants!$B$6,"",$BN166)</f>
        <v/>
      </c>
      <c r="BU166" s="97" t="str">
        <f aca="false">IF($BX166&lt;&gt;Constants!$B$6,"",$BO166)</f>
        <v/>
      </c>
      <c r="BV166" s="99" t="str">
        <f aca="false">IF($BX166&lt;&gt;Constants!$B$6,"",IF($AT166,$AV166,""))</f>
        <v/>
      </c>
      <c r="BW166" s="93" t="str">
        <f aca="false">IF(ISBLANK($C166),"",IF(ISBLANK($D$7),$BW$5,IF(NOT(ISNUMBER($D$7)),$BW$6,"")))</f>
        <v/>
      </c>
      <c r="BX166" s="93" t="str">
        <f aca="false">IF(ISBLANK($C166),"",IF($BA166,Constants!$B$9,IF(COUNTA($E166:$AA166)=0,Constants!$B$8,IF(NOT($AG166),Constants!$B$7,IF(OR($BW166&lt;&gt;"",$BB166,$BM166),Constants!$B$10,Constants!$B$6)))))</f>
        <v/>
      </c>
      <c r="BY166" s="93" t="str">
        <f aca="false">IF(ISBLANK($C166),"",IF($BX166&lt;&gt;Constants!$B$6,$BX166,Constants!$B$11))</f>
        <v/>
      </c>
      <c r="BZ166" s="97" t="str">
        <f aca="false">IF($BX166&lt;&gt;Constants!$B$6,"",IF($BL166="-&gt;",$BS166,$BH166))</f>
        <v/>
      </c>
      <c r="CA166" s="97" t="str">
        <f aca="false">IF($BX166&lt;&gt;Constants!$B$6,"",IF($AF166,0,Constants!$B$15))</f>
        <v/>
      </c>
      <c r="CB166" s="97" t="str">
        <f aca="false">IF($BX166&lt;&gt;Constants!$B$6,"",((Constants!$B$25-$AZ166)-Constants!$B$25)/Constants!$B$26)</f>
        <v/>
      </c>
      <c r="CC166" s="97" t="str">
        <f aca="false">IF(ISBLANK($C166),"",IF($BX166&lt;&gt;Constants!$B$6,$BX166,SUM($BZ166:$CB166)))</f>
        <v/>
      </c>
      <c r="CD166" s="93" t="str">
        <f aca="false">IF(ISBLANK($C166),"",IF($BX166&lt;&gt;Constants!$B$6,$BX166,RANK($CC166,$CC$9:$CC$508,1)))</f>
        <v/>
      </c>
      <c r="CE166" s="97" t="str">
        <f aca="false">IF($BX166&lt;&gt;Constants!$B$6,"",IF($BL166="-&gt;",$BT166,$BI166))</f>
        <v/>
      </c>
      <c r="CF166" s="93" t="str">
        <f aca="false">IF(ISBLANK($C166),"",IF($BX166&lt;&gt;Constants!$B$6,$BX166,IF(ISNUMBER($CE166),RANK($CE166,$CE$9:$CE$508,1),COUNT($CE$9:$CE$508)+1)))</f>
        <v/>
      </c>
      <c r="CG166" s="97" t="str">
        <f aca="false">IF($BX166&lt;&gt;Constants!$B$6,"",IF($BL166="-&gt;",$BU166,$BJ166))</f>
        <v/>
      </c>
      <c r="CH166" s="93" t="str">
        <f aca="false">IF(ISBLANK($C166),"",IF($BX166&lt;&gt;Constants!$B$6,$BX166,IF(ISNUMBER($CG166),RANK($CG166,$CG$9:$CG$508,1),COUNT($CG$9:$CG$508)+1)))</f>
        <v/>
      </c>
      <c r="CI166" s="97" t="str">
        <f aca="false">IF($BX166&lt;&gt;Constants!$B$6,"",IF($BL166="-&gt;",$BV166,$BK166))</f>
        <v/>
      </c>
      <c r="CJ166" s="93" t="str">
        <f aca="false">IF(ISBLANK($C166),"",IF($BX166&lt;&gt;Constants!$B$6,$BX166,IF(ISNUMBER($CI166),RANK($CI166,$CI$9:$CI$508,1),COUNT($CI$9:$CI$508)+1)))</f>
        <v/>
      </c>
      <c r="CK166" s="97" t="str">
        <f aca="false">IF($BX166&lt;&gt;Constants!$B$6,"",$AI166)</f>
        <v/>
      </c>
      <c r="CL166" s="93" t="str">
        <f aca="false">IF(ISBLANK($C166),"",IF($BX166&lt;&gt;Constants!$B$6,$BX166,IF(ISNUMBER($CK166),RANK($CK166,$CK$9:$CK$508,1),COUNT($CK$9:$CK$508)+1)))</f>
        <v/>
      </c>
      <c r="CM166" s="93" t="str">
        <f aca="false">IF(ISBLANK($C166),"",IF($BX166&lt;&gt;Constants!$B$6,$BX166,COUNTIFS($CD$9:$CD$508,"&lt;"&amp;$CD166)+COUNTIFS($CD$9:$CD$508,$CD166,$CF$9:$CF$508,"&lt;"&amp;$CF166)+COUNTIFS($CD$9:$CD$508,$CD166,$CF$9:$CF$508,$CF166,$CH$9:$CH$508,"&lt;"&amp;$CH166)+COUNTIFS($CD$9:$CD$508,$CD166,$CF$9:$CF$508,$CF166,$CH$9:$CH$508,$CH166,$CJ$9:$CJ$508,"&lt;"&amp;$CJ166)+COUNTIFS($CD$9:$CD$508,$CD166,$CF$9:$CF$508,$CF166,$CH$9:$CH$508,$CH166,$CJ$9:$CJ$508,$CJ166,$CL$9:$CL$508,"&lt;"&amp;$CL166)+1))</f>
        <v/>
      </c>
      <c r="CN166" s="93" t="str">
        <f aca="false">IF(ISBLANK($C166),"",IF($BX166&lt;&gt;Constants!$B$6,$BX166,$CD166-$CM166))</f>
        <v/>
      </c>
      <c r="CO166" s="100"/>
      <c r="CP166" s="101"/>
      <c r="CQ166" s="102" t="str">
        <f aca="false">IF(ISBLANK($C166),"",IF($BX166=Constants!$B$10,$BW166,""))</f>
        <v/>
      </c>
      <c r="CR166" s="101" t="str">
        <f aca="false">IF(ISBLANK($C166),"",IF($BX166&lt;&gt;Constants!$B$6,"",IF($BL166="-&gt;",2,1)))</f>
        <v/>
      </c>
      <c r="CS166" s="103" t="str">
        <f aca="false">IF(ISBLANK($C166),"",IF($BX166&lt;&gt;Constants!$B$6,"",IF($BL166="-&gt;",$BN166,$BC166)))</f>
        <v/>
      </c>
      <c r="CT166" s="103" t="str">
        <f aca="false">IF(ISBLANK($C166),"",IF($BX166&lt;&gt;Constants!$B$6,"",IF($BL166="-&gt;",$BO166,$BD166)))</f>
        <v/>
      </c>
      <c r="CU166" s="103" t="str">
        <f aca="false">IF(ISBLANK($C166),"",IF($BX166&lt;&gt;Constants!$B$6,"",IF($BL166="-&gt;",$BP166+$BQ166,$BE166+$BF166)+$CB166))</f>
        <v/>
      </c>
      <c r="CV166" s="103" t="str">
        <f aca="false">IF(ISBLANK($C166),"",IF($BX166&lt;&gt;Constants!$B$6,"",IF($BL166="-&gt;",$BR166,$BG166)+$CA166))</f>
        <v/>
      </c>
      <c r="CW166" s="104" t="str">
        <f aca="false">IF(ISBLANK($C166),"",IF($BX166&lt;&gt;Constants!$B$6,$BX166,$CC166))</f>
        <v/>
      </c>
      <c r="CX166" s="105" t="str">
        <f aca="false">IF(ISBLANK($C166),"",$BY166)</f>
        <v/>
      </c>
      <c r="CY166" s="106" t="str">
        <f aca="false">IF(ISBLANK($C166),"",$CN166)</f>
        <v/>
      </c>
      <c r="CZ166" s="106" t="str">
        <f aca="false">IF(ISBLANK($C166),"",$CM166)</f>
        <v/>
      </c>
      <c r="DA166" s="107" t="str">
        <f aca="false">IF(ISBLANK($C166),"",IFERROR(_xlfn.SWITCH($CZ166,Constants!$B$9,COUNTA($C$9:$C$508)+2,Constants!$B$8,COUNTA($C$9:$C$508)+1,Constants!$B$7,COUNTA($C$9:$C$508)),$CZ166))</f>
        <v/>
      </c>
      <c r="DB166" s="9"/>
      <c r="DC166" s="108" t="n">
        <f aca="false">IF(OR(ISNUMBER($CZ166),$CZ166=Constants!$B$9,$CZ166=Constants!$B$7,$CZ166=Constants!$B$8),1,0)</f>
        <v>0</v>
      </c>
      <c r="DD166" s="108" t="n">
        <v>158</v>
      </c>
      <c r="DE166" s="108" t="str">
        <f aca="false">IF(ISBLANK($C166),"",IF(ISNUMBER($DA166),$DA166+ROW($B166)/1000,""))</f>
        <v/>
      </c>
      <c r="DF166" s="108" t="str">
        <f aca="false">IF(ISNUMBER($DE166),RANK($DE166,$DE$9:$DE$508,1),"")</f>
        <v/>
      </c>
      <c r="DG166" s="108" t="str">
        <f aca="false">IF(ISBLANK($C166),"",$B166)</f>
        <v/>
      </c>
      <c r="DH166" s="108" t="str">
        <f aca="false">IF(ISBLANK($C166),"",$C166)</f>
        <v/>
      </c>
      <c r="DI166" s="108" t="str">
        <f aca="false">IF(ISBLANK($C166),"",$D166)</f>
        <v/>
      </c>
      <c r="DJ166" s="109" t="str">
        <f aca="false">$CX166</f>
        <v/>
      </c>
      <c r="DK166" s="110" t="str">
        <f aca="false">$CW166</f>
        <v/>
      </c>
      <c r="DL166" s="108" t="str">
        <f aca="false">IF(ISBLANK($C166),"",$CZ166)</f>
        <v/>
      </c>
      <c r="DM166" s="111" t="str">
        <f aca="false">IF($DD166&gt;$DC$8,"",VLOOKUP($DD166,$DF$9:$DL$508,7,FALSE()))</f>
        <v/>
      </c>
      <c r="DN166" s="112" t="str">
        <f aca="false">IF($DD166&gt;$DC$8,"",VLOOKUP($DD166,$DF$9:$DL$508,2,FALSE()))</f>
        <v/>
      </c>
      <c r="DO166" s="112" t="str">
        <f aca="false">IF($DD166&gt;$DC$8,"",VLOOKUP($DD166,$DF$9:$DL$508,3,FALSE()))</f>
        <v/>
      </c>
      <c r="DP166" s="112" t="str">
        <f aca="false">IF($DD166&gt;$DC$8,"",VLOOKUP($DD166,$DF$9:$DL$508,4,FALSE()))</f>
        <v/>
      </c>
      <c r="DQ166" s="112" t="str">
        <f aca="false">IF($DD166&gt;$DC$8,"",VLOOKUP($DD166,$DF$9:$DL$508,5,FALSE()))</f>
        <v/>
      </c>
      <c r="DR166" s="113" t="str">
        <f aca="false">IF($DD166&gt;$DC$8,"",VLOOKUP($DD166,$DF$9:$DL$508,6,FALSE()))</f>
        <v/>
      </c>
      <c r="DS166" s="76"/>
    </row>
    <row r="167" customFormat="false" ht="15.75" hidden="false" customHeight="false" outlineLevel="0" collapsed="false">
      <c r="A167" s="9"/>
      <c r="B167" s="78"/>
      <c r="C167" s="79"/>
      <c r="D167" s="170"/>
      <c r="E167" s="178"/>
      <c r="F167" s="172"/>
      <c r="G167" s="173"/>
      <c r="H167" s="173"/>
      <c r="I167" s="179"/>
      <c r="J167" s="176"/>
      <c r="K167" s="86"/>
      <c r="L167" s="87"/>
      <c r="M167" s="88"/>
      <c r="N167" s="176"/>
      <c r="O167" s="176"/>
      <c r="P167" s="178"/>
      <c r="Q167" s="176"/>
      <c r="R167" s="176"/>
      <c r="S167" s="86"/>
      <c r="T167" s="88"/>
      <c r="U167" s="88"/>
      <c r="V167" s="176"/>
      <c r="W167" s="176"/>
      <c r="X167" s="178"/>
      <c r="Y167" s="176"/>
      <c r="Z167" s="177"/>
      <c r="AA167" s="176"/>
      <c r="AB167" s="92"/>
      <c r="AC167" s="93"/>
      <c r="AD167" s="93"/>
      <c r="AE167" s="93"/>
      <c r="AF167" s="93" t="str">
        <f aca="false">IF(ISBLANK($C167),"",IF(E167=Constants!$B$2,TRUE(),IF(E167=Constants!$B$3,FALSE(),TRUE())))</f>
        <v/>
      </c>
      <c r="AG167" s="93" t="str">
        <f aca="false">IF(ISBLANK($C167),"",IF(F167=Constants!$B$2,TRUE(),IF(F167=Constants!$B$3,FALSE(),TRUE())))</f>
        <v/>
      </c>
      <c r="AH167" s="93" t="str">
        <f aca="false">IF(ISBLANK($C167),"",IF(G167=Constants!$B$2,TRUE(),IF(G167=Constants!$B$3,FALSE(),TRUE())))</f>
        <v/>
      </c>
      <c r="AI167" s="93" t="str">
        <f aca="false">IF(ISBLANK($C167),"",IF(AND(ISNUMBER(H167),H167&gt;=0),H167,Constants!$B$24))</f>
        <v/>
      </c>
      <c r="AJ167" s="93" t="str">
        <f aca="false">IF(ISBLANK($C167),"",IF(I167=Constants!$B$2,TRUE(),IF(I167=Constants!$B$3,FALSE(),TRUE())))</f>
        <v/>
      </c>
      <c r="AK167" s="93" t="str">
        <f aca="false">IF(ISBLANK($C167),"",IF(J167=Constants!$B$2,TRUE(),IF(J167=Constants!$B$3,FALSE(),TRUE())))</f>
        <v/>
      </c>
      <c r="AL167" s="93" t="str">
        <f aca="false">IF(ISBLANK($C167),"",IF(K167=Constants!$B$4,TRUE(),IF(K167=Constants!$B$5,FALSE(),COUNTA(L167:P167)&gt;0)))</f>
        <v/>
      </c>
      <c r="AM167" s="95" t="str">
        <f aca="false">IF(ISBLANK($C167),"",IF(ISNUMBER(L167),IF(L167&gt;=0,L167,""),""))</f>
        <v/>
      </c>
      <c r="AN167" s="94" t="str">
        <f aca="false">IF(ISBLANK($C167),"",IF(ISNUMBER(M167),IF(M167&gt;=0,M167,""),""))</f>
        <v/>
      </c>
      <c r="AO167" s="94" t="str">
        <f aca="false">IF(ISBLANK($C167),"",IF(N167=Constants!$B$2,TRUE(),IF(N167=Constants!$B$3,FALSE(),TRUE())))</f>
        <v/>
      </c>
      <c r="AP167" s="93" t="str">
        <f aca="false">IF(ISBLANK($C167),"",IF(ISNUMBER(O167),IF(O167&gt;=0,O167,""),""))</f>
        <v/>
      </c>
      <c r="AQ167" s="93" t="str">
        <f aca="false">IF(ISBLANK($C167),"",IF(P167=Constants!$B$2,TRUE(),IF(P167=Constants!$B$3,FALSE(),FALSE())))</f>
        <v/>
      </c>
      <c r="AR167" s="93" t="str">
        <f aca="false">IF(ISBLANK($C167),"",IF(Q167=Constants!$B$2,TRUE(),IF(Q167=Constants!$B$3,FALSE(),TRUE())))</f>
        <v/>
      </c>
      <c r="AS167" s="93" t="str">
        <f aca="false">IF(ISBLANK($C167),"",IF(R167=Constants!$B$2,TRUE(),IF(R167=Constants!$B$3,FALSE(),TRUE())))</f>
        <v/>
      </c>
      <c r="AT167" s="93" t="str">
        <f aca="false">IF(ISBLANK($C167),"",IF(S167=Constants!$B$4,TRUE(),IF(S167=Constants!$B$5,FALSE(),COUNTA(T167:X167)&gt;0)))</f>
        <v/>
      </c>
      <c r="AU167" s="95" t="str">
        <f aca="false">IF(ISBLANK($C167),"",IF(ISNUMBER(T167),IF(T167&gt;=0,T167,""),""))</f>
        <v/>
      </c>
      <c r="AV167" s="94" t="str">
        <f aca="false">IF(ISBLANK($C167),"",IF(ISNUMBER(U167),IF(U167&gt;=0,U167,""),""))</f>
        <v/>
      </c>
      <c r="AW167" s="94" t="str">
        <f aca="false">IF(ISBLANK($C167),"",IF(V167=Constants!$B$2,TRUE(),IF(V167=Constants!$B$3,FALSE(),TRUE())))</f>
        <v/>
      </c>
      <c r="AX167" s="93" t="str">
        <f aca="false">IF(ISBLANK($C167),"",IF(ISNUMBER(W167),IF(W167&gt;=0,W167,""),""))</f>
        <v/>
      </c>
      <c r="AY167" s="93" t="str">
        <f aca="false">IF(ISBLANK($C167),"",IF(X167=Constants!$B$2,TRUE(),IF(X167=Constants!$B$3,FALSE(),FALSE())))</f>
        <v/>
      </c>
      <c r="AZ167" s="93" t="str">
        <f aca="false">IF(ISBLANK($C167),"",MIN(Constants!$B$25,MAX(0,IF(ISNUMBER(Y167),Y167*60,0)+IF(ISNUMBER(Z167),Z167,0))))</f>
        <v/>
      </c>
      <c r="BA167" s="93" t="str">
        <f aca="false">IF(ISBLANK($C167),"",IF(AA167=Constants!$B$2,TRUE(),IF(AA167=Constants!$B$3,FALSE(),FALSE())))</f>
        <v/>
      </c>
      <c r="BB167" s="92" t="str">
        <f aca="false">IF(ISBLANK($C167),"",AND($AL167,OR($AM167="",$AN167="",AND($AO167,$AP167=""))))</f>
        <v/>
      </c>
      <c r="BC167" s="94" t="str">
        <f aca="false">IF($BX167&lt;&gt;Constants!$B$6,"",IF($AL167,Constants!$B$17*$AN167+Constants!$B$18*IF($AO167,$AP167,Constants!$B$19),Constants!$B$20))</f>
        <v/>
      </c>
      <c r="BD167" s="97" t="str">
        <f aca="false">IF($BX167&lt;&gt;Constants!$B$6,"",Constants!$B$21*ABS($AD$9-IF($AL167,$AM167,0)))</f>
        <v/>
      </c>
      <c r="BE167" s="97" t="str">
        <f aca="false">IF($BX167&lt;&gt;Constants!$B$6,"",IF(AND($AL167,$AQ167,$AO167),Constants!$B$22,0))</f>
        <v/>
      </c>
      <c r="BF167" s="97" t="str">
        <f aca="false">IF($BX167&lt;&gt;Constants!$B$6,"",IF($AL167,($AI167-Constants!$B$24)*Constants!$B$23,0))</f>
        <v/>
      </c>
      <c r="BG167" s="97" t="str">
        <f aca="false">IF($BX167&lt;&gt;Constants!$B$6,"",IF($AK167,0,Constants!$B$12)+IF($AJ167,0,Constants!$B$13)+IF($AH167,0,Constants!$B$14))</f>
        <v/>
      </c>
      <c r="BH167" s="98" t="str">
        <f aca="false">IF($BX167&lt;&gt;Constants!$B$6,"",Constants!$B$16+SUM($BC167:$BG167))</f>
        <v/>
      </c>
      <c r="BI167" s="97" t="str">
        <f aca="false">IF($BX167&lt;&gt;Constants!$B$6,"",$BC167)</f>
        <v/>
      </c>
      <c r="BJ167" s="97" t="str">
        <f aca="false">IF($BX167&lt;&gt;Constants!$B$6,"",$BD167)</f>
        <v/>
      </c>
      <c r="BK167" s="99" t="str">
        <f aca="false">IF($BX167&lt;&gt;Constants!$B$6,"",IF($AL167,$AN167,""))</f>
        <v/>
      </c>
      <c r="BL167" s="93" t="str">
        <f aca="false">IF($BX167&lt;&gt;Constants!$B$6,"",IF(OR($BS167&lt;$BH167,AND($BS167=$BH167,OR($BT167&lt;$BI167,AND($BT167=$BI167,OR($BU167&lt;$BJ167,AND($BU167=$BJ167,AND(ISNUMBER($BV167),OR(NOT(ISNUMBER($BK167)),$BV167&lt;$BK167)))))))),"-&gt;","&lt;-"))</f>
        <v/>
      </c>
      <c r="BM167" s="92" t="str">
        <f aca="false">IF(ISBLANK($C167),"",AND($AT167,OR($AU167="",$AV167="",AND($AW167,$AX167=""))))</f>
        <v/>
      </c>
      <c r="BN167" s="94" t="str">
        <f aca="false">IF($BX167&lt;&gt;Constants!$B$6,"",IF($AT167,Constants!$B$17*$AV167+Constants!$B$18*IF($AW167,$AX167,Constants!$B$19),Constants!$B$20))</f>
        <v/>
      </c>
      <c r="BO167" s="97" t="str">
        <f aca="false">IF($BX167&lt;&gt;Constants!$B$6,"",Constants!$B$21*ABS($AD$9-IF($AT167,$AU167,0)))</f>
        <v/>
      </c>
      <c r="BP167" s="97" t="str">
        <f aca="false">IF($BX167&lt;&gt;Constants!$B$6,"",IF(AND($AT167,$AY167,$AW167),Constants!$B$22,0))</f>
        <v/>
      </c>
      <c r="BQ167" s="97" t="str">
        <f aca="false">IF($BX167&lt;&gt;Constants!$B$6,"",IF($AT167,($AI167-Constants!$B$24)*Constants!$B$23,0))</f>
        <v/>
      </c>
      <c r="BR167" s="97" t="str">
        <f aca="false">IF($BX167&lt;&gt;Constants!$B$6,"",IF($AS167,0,Constants!$B$12)+IF($AR167,0,Constants!$B$13)+IF($AH167,0,Constants!$B$14))</f>
        <v/>
      </c>
      <c r="BS167" s="98" t="str">
        <f aca="false">IF($BX167&lt;&gt;Constants!$B$6,"",Constants!$B$16+SUM($BN167:$BR167))</f>
        <v/>
      </c>
      <c r="BT167" s="97" t="str">
        <f aca="false">IF($BX167&lt;&gt;Constants!$B$6,"",$BN167)</f>
        <v/>
      </c>
      <c r="BU167" s="97" t="str">
        <f aca="false">IF($BX167&lt;&gt;Constants!$B$6,"",$BO167)</f>
        <v/>
      </c>
      <c r="BV167" s="99" t="str">
        <f aca="false">IF($BX167&lt;&gt;Constants!$B$6,"",IF($AT167,$AV167,""))</f>
        <v/>
      </c>
      <c r="BW167" s="93" t="str">
        <f aca="false">IF(ISBLANK($C167),"",IF(ISBLANK($D$7),$BW$5,IF(NOT(ISNUMBER($D$7)),$BW$6,"")))</f>
        <v/>
      </c>
      <c r="BX167" s="93" t="str">
        <f aca="false">IF(ISBLANK($C167),"",IF($BA167,Constants!$B$9,IF(COUNTA($E167:$AA167)=0,Constants!$B$8,IF(NOT($AG167),Constants!$B$7,IF(OR($BW167&lt;&gt;"",$BB167,$BM167),Constants!$B$10,Constants!$B$6)))))</f>
        <v/>
      </c>
      <c r="BY167" s="93" t="str">
        <f aca="false">IF(ISBLANK($C167),"",IF($BX167&lt;&gt;Constants!$B$6,$BX167,Constants!$B$11))</f>
        <v/>
      </c>
      <c r="BZ167" s="97" t="str">
        <f aca="false">IF($BX167&lt;&gt;Constants!$B$6,"",IF($BL167="-&gt;",$BS167,$BH167))</f>
        <v/>
      </c>
      <c r="CA167" s="97" t="str">
        <f aca="false">IF($BX167&lt;&gt;Constants!$B$6,"",IF($AF167,0,Constants!$B$15))</f>
        <v/>
      </c>
      <c r="CB167" s="97" t="str">
        <f aca="false">IF($BX167&lt;&gt;Constants!$B$6,"",((Constants!$B$25-$AZ167)-Constants!$B$25)/Constants!$B$26)</f>
        <v/>
      </c>
      <c r="CC167" s="97" t="str">
        <f aca="false">IF(ISBLANK($C167),"",IF($BX167&lt;&gt;Constants!$B$6,$BX167,SUM($BZ167:$CB167)))</f>
        <v/>
      </c>
      <c r="CD167" s="93" t="str">
        <f aca="false">IF(ISBLANK($C167),"",IF($BX167&lt;&gt;Constants!$B$6,$BX167,RANK($CC167,$CC$9:$CC$508,1)))</f>
        <v/>
      </c>
      <c r="CE167" s="97" t="str">
        <f aca="false">IF($BX167&lt;&gt;Constants!$B$6,"",IF($BL167="-&gt;",$BT167,$BI167))</f>
        <v/>
      </c>
      <c r="CF167" s="93" t="str">
        <f aca="false">IF(ISBLANK($C167),"",IF($BX167&lt;&gt;Constants!$B$6,$BX167,IF(ISNUMBER($CE167),RANK($CE167,$CE$9:$CE$508,1),COUNT($CE$9:$CE$508)+1)))</f>
        <v/>
      </c>
      <c r="CG167" s="97" t="str">
        <f aca="false">IF($BX167&lt;&gt;Constants!$B$6,"",IF($BL167="-&gt;",$BU167,$BJ167))</f>
        <v/>
      </c>
      <c r="CH167" s="93" t="str">
        <f aca="false">IF(ISBLANK($C167),"",IF($BX167&lt;&gt;Constants!$B$6,$BX167,IF(ISNUMBER($CG167),RANK($CG167,$CG$9:$CG$508,1),COUNT($CG$9:$CG$508)+1)))</f>
        <v/>
      </c>
      <c r="CI167" s="97" t="str">
        <f aca="false">IF($BX167&lt;&gt;Constants!$B$6,"",IF($BL167="-&gt;",$BV167,$BK167))</f>
        <v/>
      </c>
      <c r="CJ167" s="93" t="str">
        <f aca="false">IF(ISBLANK($C167),"",IF($BX167&lt;&gt;Constants!$B$6,$BX167,IF(ISNUMBER($CI167),RANK($CI167,$CI$9:$CI$508,1),COUNT($CI$9:$CI$508)+1)))</f>
        <v/>
      </c>
      <c r="CK167" s="97" t="str">
        <f aca="false">IF($BX167&lt;&gt;Constants!$B$6,"",$AI167)</f>
        <v/>
      </c>
      <c r="CL167" s="93" t="str">
        <f aca="false">IF(ISBLANK($C167),"",IF($BX167&lt;&gt;Constants!$B$6,$BX167,IF(ISNUMBER($CK167),RANK($CK167,$CK$9:$CK$508,1),COUNT($CK$9:$CK$508)+1)))</f>
        <v/>
      </c>
      <c r="CM167" s="93" t="str">
        <f aca="false">IF(ISBLANK($C167),"",IF($BX167&lt;&gt;Constants!$B$6,$BX167,COUNTIFS($CD$9:$CD$508,"&lt;"&amp;$CD167)+COUNTIFS($CD$9:$CD$508,$CD167,$CF$9:$CF$508,"&lt;"&amp;$CF167)+COUNTIFS($CD$9:$CD$508,$CD167,$CF$9:$CF$508,$CF167,$CH$9:$CH$508,"&lt;"&amp;$CH167)+COUNTIFS($CD$9:$CD$508,$CD167,$CF$9:$CF$508,$CF167,$CH$9:$CH$508,$CH167,$CJ$9:$CJ$508,"&lt;"&amp;$CJ167)+COUNTIFS($CD$9:$CD$508,$CD167,$CF$9:$CF$508,$CF167,$CH$9:$CH$508,$CH167,$CJ$9:$CJ$508,$CJ167,$CL$9:$CL$508,"&lt;"&amp;$CL167)+1))</f>
        <v/>
      </c>
      <c r="CN167" s="93" t="str">
        <f aca="false">IF(ISBLANK($C167),"",IF($BX167&lt;&gt;Constants!$B$6,$BX167,$CD167-$CM167))</f>
        <v/>
      </c>
      <c r="CO167" s="100"/>
      <c r="CP167" s="101"/>
      <c r="CQ167" s="102" t="str">
        <f aca="false">IF(ISBLANK($C167),"",IF($BX167=Constants!$B$10,$BW167,""))</f>
        <v/>
      </c>
      <c r="CR167" s="101" t="str">
        <f aca="false">IF(ISBLANK($C167),"",IF($BX167&lt;&gt;Constants!$B$6,"",IF($BL167="-&gt;",2,1)))</f>
        <v/>
      </c>
      <c r="CS167" s="103" t="str">
        <f aca="false">IF(ISBLANK($C167),"",IF($BX167&lt;&gt;Constants!$B$6,"",IF($BL167="-&gt;",$BN167,$BC167)))</f>
        <v/>
      </c>
      <c r="CT167" s="103" t="str">
        <f aca="false">IF(ISBLANK($C167),"",IF($BX167&lt;&gt;Constants!$B$6,"",IF($BL167="-&gt;",$BO167,$BD167)))</f>
        <v/>
      </c>
      <c r="CU167" s="103" t="str">
        <f aca="false">IF(ISBLANK($C167),"",IF($BX167&lt;&gt;Constants!$B$6,"",IF($BL167="-&gt;",$BP167+$BQ167,$BE167+$BF167)+$CB167))</f>
        <v/>
      </c>
      <c r="CV167" s="103" t="str">
        <f aca="false">IF(ISBLANK($C167),"",IF($BX167&lt;&gt;Constants!$B$6,"",IF($BL167="-&gt;",$BR167,$BG167)+$CA167))</f>
        <v/>
      </c>
      <c r="CW167" s="104" t="str">
        <f aca="false">IF(ISBLANK($C167),"",IF($BX167&lt;&gt;Constants!$B$6,$BX167,$CC167))</f>
        <v/>
      </c>
      <c r="CX167" s="105" t="str">
        <f aca="false">IF(ISBLANK($C167),"",$BY167)</f>
        <v/>
      </c>
      <c r="CY167" s="106" t="str">
        <f aca="false">IF(ISBLANK($C167),"",$CN167)</f>
        <v/>
      </c>
      <c r="CZ167" s="106" t="str">
        <f aca="false">IF(ISBLANK($C167),"",$CM167)</f>
        <v/>
      </c>
      <c r="DA167" s="107" t="str">
        <f aca="false">IF(ISBLANK($C167),"",IFERROR(_xlfn.SWITCH($CZ167,Constants!$B$9,COUNTA($C$9:$C$508)+2,Constants!$B$8,COUNTA($C$9:$C$508)+1,Constants!$B$7,COUNTA($C$9:$C$508)),$CZ167))</f>
        <v/>
      </c>
      <c r="DB167" s="9"/>
      <c r="DC167" s="108" t="n">
        <f aca="false">IF(OR(ISNUMBER($CZ167),$CZ167=Constants!$B$9,$CZ167=Constants!$B$7,$CZ167=Constants!$B$8),1,0)</f>
        <v>0</v>
      </c>
      <c r="DD167" s="108" t="n">
        <v>159</v>
      </c>
      <c r="DE167" s="108" t="str">
        <f aca="false">IF(ISBLANK($C167),"",IF(ISNUMBER($DA167),$DA167+ROW($B167)/1000,""))</f>
        <v/>
      </c>
      <c r="DF167" s="108" t="str">
        <f aca="false">IF(ISNUMBER($DE167),RANK($DE167,$DE$9:$DE$508,1),"")</f>
        <v/>
      </c>
      <c r="DG167" s="108" t="str">
        <f aca="false">IF(ISBLANK($C167),"",$B167)</f>
        <v/>
      </c>
      <c r="DH167" s="108" t="str">
        <f aca="false">IF(ISBLANK($C167),"",$C167)</f>
        <v/>
      </c>
      <c r="DI167" s="108" t="str">
        <f aca="false">IF(ISBLANK($C167),"",$D167)</f>
        <v/>
      </c>
      <c r="DJ167" s="109" t="str">
        <f aca="false">$CX167</f>
        <v/>
      </c>
      <c r="DK167" s="110" t="str">
        <f aca="false">$CW167</f>
        <v/>
      </c>
      <c r="DL167" s="108" t="str">
        <f aca="false">IF(ISBLANK($C167),"",$CZ167)</f>
        <v/>
      </c>
      <c r="DM167" s="111" t="str">
        <f aca="false">IF($DD167&gt;$DC$8,"",VLOOKUP($DD167,$DF$9:$DL$508,7,FALSE()))</f>
        <v/>
      </c>
      <c r="DN167" s="112" t="str">
        <f aca="false">IF($DD167&gt;$DC$8,"",VLOOKUP($DD167,$DF$9:$DL$508,2,FALSE()))</f>
        <v/>
      </c>
      <c r="DO167" s="112" t="str">
        <f aca="false">IF($DD167&gt;$DC$8,"",VLOOKUP($DD167,$DF$9:$DL$508,3,FALSE()))</f>
        <v/>
      </c>
      <c r="DP167" s="112" t="str">
        <f aca="false">IF($DD167&gt;$DC$8,"",VLOOKUP($DD167,$DF$9:$DL$508,4,FALSE()))</f>
        <v/>
      </c>
      <c r="DQ167" s="112" t="str">
        <f aca="false">IF($DD167&gt;$DC$8,"",VLOOKUP($DD167,$DF$9:$DL$508,5,FALSE()))</f>
        <v/>
      </c>
      <c r="DR167" s="113" t="str">
        <f aca="false">IF($DD167&gt;$DC$8,"",VLOOKUP($DD167,$DF$9:$DL$508,6,FALSE()))</f>
        <v/>
      </c>
      <c r="DS167" s="76"/>
    </row>
    <row r="168" customFormat="false" ht="15.75" hidden="false" customHeight="false" outlineLevel="0" collapsed="false">
      <c r="A168" s="9"/>
      <c r="B168" s="160"/>
      <c r="C168" s="161"/>
      <c r="D168" s="162"/>
      <c r="E168" s="180"/>
      <c r="F168" s="164"/>
      <c r="G168" s="165"/>
      <c r="H168" s="165"/>
      <c r="I168" s="181"/>
      <c r="J168" s="168"/>
      <c r="K168" s="128"/>
      <c r="L168" s="129"/>
      <c r="M168" s="130"/>
      <c r="N168" s="168"/>
      <c r="O168" s="168"/>
      <c r="P168" s="180"/>
      <c r="Q168" s="168"/>
      <c r="R168" s="168"/>
      <c r="S168" s="128"/>
      <c r="T168" s="130"/>
      <c r="U168" s="130"/>
      <c r="V168" s="168"/>
      <c r="W168" s="168"/>
      <c r="X168" s="180"/>
      <c r="Y168" s="168"/>
      <c r="Z168" s="169"/>
      <c r="AA168" s="168"/>
      <c r="AB168" s="134"/>
      <c r="AC168" s="135"/>
      <c r="AD168" s="135"/>
      <c r="AE168" s="135"/>
      <c r="AF168" s="135" t="str">
        <f aca="false">IF(ISBLANK($C168),"",IF(E168=Constants!$B$2,TRUE(),IF(E168=Constants!$B$3,FALSE(),TRUE())))</f>
        <v/>
      </c>
      <c r="AG168" s="135" t="str">
        <f aca="false">IF(ISBLANK($C168),"",IF(F168=Constants!$B$2,TRUE(),IF(F168=Constants!$B$3,FALSE(),TRUE())))</f>
        <v/>
      </c>
      <c r="AH168" s="135" t="str">
        <f aca="false">IF(ISBLANK($C168),"",IF(G168=Constants!$B$2,TRUE(),IF(G168=Constants!$B$3,FALSE(),TRUE())))</f>
        <v/>
      </c>
      <c r="AI168" s="135" t="str">
        <f aca="false">IF(ISBLANK($C168),"",IF(AND(ISNUMBER(H168),H168&gt;=0),H168,Constants!$B$24))</f>
        <v/>
      </c>
      <c r="AJ168" s="135" t="str">
        <f aca="false">IF(ISBLANK($C168),"",IF(I168=Constants!$B$2,TRUE(),IF(I168=Constants!$B$3,FALSE(),TRUE())))</f>
        <v/>
      </c>
      <c r="AK168" s="135" t="str">
        <f aca="false">IF(ISBLANK($C168),"",IF(J168=Constants!$B$2,TRUE(),IF(J168=Constants!$B$3,FALSE(),TRUE())))</f>
        <v/>
      </c>
      <c r="AL168" s="135" t="str">
        <f aca="false">IF(ISBLANK($C168),"",IF(K168=Constants!$B$4,TRUE(),IF(K168=Constants!$B$5,FALSE(),COUNTA(L168:P168)&gt;0)))</f>
        <v/>
      </c>
      <c r="AM168" s="136" t="str">
        <f aca="false">IF(ISBLANK($C168),"",IF(ISNUMBER(L168),IF(L168&gt;=0,L168,""),""))</f>
        <v/>
      </c>
      <c r="AN168" s="137" t="str">
        <f aca="false">IF(ISBLANK($C168),"",IF(ISNUMBER(M168),IF(M168&gt;=0,M168,""),""))</f>
        <v/>
      </c>
      <c r="AO168" s="137" t="str">
        <f aca="false">IF(ISBLANK($C168),"",IF(N168=Constants!$B$2,TRUE(),IF(N168=Constants!$B$3,FALSE(),TRUE())))</f>
        <v/>
      </c>
      <c r="AP168" s="135" t="str">
        <f aca="false">IF(ISBLANK($C168),"",IF(ISNUMBER(O168),IF(O168&gt;=0,O168,""),""))</f>
        <v/>
      </c>
      <c r="AQ168" s="135" t="str">
        <f aca="false">IF(ISBLANK($C168),"",IF(P168=Constants!$B$2,TRUE(),IF(P168=Constants!$B$3,FALSE(),FALSE())))</f>
        <v/>
      </c>
      <c r="AR168" s="135" t="str">
        <f aca="false">IF(ISBLANK($C168),"",IF(Q168=Constants!$B$2,TRUE(),IF(Q168=Constants!$B$3,FALSE(),TRUE())))</f>
        <v/>
      </c>
      <c r="AS168" s="135" t="str">
        <f aca="false">IF(ISBLANK($C168),"",IF(R168=Constants!$B$2,TRUE(),IF(R168=Constants!$B$3,FALSE(),TRUE())))</f>
        <v/>
      </c>
      <c r="AT168" s="135" t="str">
        <f aca="false">IF(ISBLANK($C168),"",IF(S168=Constants!$B$4,TRUE(),IF(S168=Constants!$B$5,FALSE(),COUNTA(T168:X168)&gt;0)))</f>
        <v/>
      </c>
      <c r="AU168" s="136" t="str">
        <f aca="false">IF(ISBLANK($C168),"",IF(ISNUMBER(T168),IF(T168&gt;=0,T168,""),""))</f>
        <v/>
      </c>
      <c r="AV168" s="137" t="str">
        <f aca="false">IF(ISBLANK($C168),"",IF(ISNUMBER(U168),IF(U168&gt;=0,U168,""),""))</f>
        <v/>
      </c>
      <c r="AW168" s="137" t="str">
        <f aca="false">IF(ISBLANK($C168),"",IF(V168=Constants!$B$2,TRUE(),IF(V168=Constants!$B$3,FALSE(),TRUE())))</f>
        <v/>
      </c>
      <c r="AX168" s="135" t="str">
        <f aca="false">IF(ISBLANK($C168),"",IF(ISNUMBER(W168),IF(W168&gt;=0,W168,""),""))</f>
        <v/>
      </c>
      <c r="AY168" s="135" t="str">
        <f aca="false">IF(ISBLANK($C168),"",IF(X168=Constants!$B$2,TRUE(),IF(X168=Constants!$B$3,FALSE(),FALSE())))</f>
        <v/>
      </c>
      <c r="AZ168" s="135" t="str">
        <f aca="false">IF(ISBLANK($C168),"",MIN(Constants!$B$25,MAX(0,IF(ISNUMBER(Y168),Y168*60,0)+IF(ISNUMBER(Z168),Z168,0))))</f>
        <v/>
      </c>
      <c r="BA168" s="135" t="str">
        <f aca="false">IF(ISBLANK($C168),"",IF(AA168=Constants!$B$2,TRUE(),IF(AA168=Constants!$B$3,FALSE(),FALSE())))</f>
        <v/>
      </c>
      <c r="BB168" s="134" t="str">
        <f aca="false">IF(ISBLANK($C168),"",AND($AL168,OR($AM168="",$AN168="",AND($AO168,$AP168=""))))</f>
        <v/>
      </c>
      <c r="BC168" s="137" t="str">
        <f aca="false">IF($BX168&lt;&gt;Constants!$B$6,"",IF($AL168,Constants!$B$17*$AN168+Constants!$B$18*IF($AO168,$AP168,Constants!$B$19),Constants!$B$20))</f>
        <v/>
      </c>
      <c r="BD168" s="138" t="str">
        <f aca="false">IF($BX168&lt;&gt;Constants!$B$6,"",Constants!$B$21*ABS($AD$9-IF($AL168,$AM168,0)))</f>
        <v/>
      </c>
      <c r="BE168" s="138" t="str">
        <f aca="false">IF($BX168&lt;&gt;Constants!$B$6,"",IF(AND($AL168,$AQ168,$AO168),Constants!$B$22,0))</f>
        <v/>
      </c>
      <c r="BF168" s="138" t="str">
        <f aca="false">IF($BX168&lt;&gt;Constants!$B$6,"",IF($AL168,($AI168-Constants!$B$24)*Constants!$B$23,0))</f>
        <v/>
      </c>
      <c r="BG168" s="138" t="str">
        <f aca="false">IF($BX168&lt;&gt;Constants!$B$6,"",IF($AK168,0,Constants!$B$12)+IF($AJ168,0,Constants!$B$13)+IF($AH168,0,Constants!$B$14))</f>
        <v/>
      </c>
      <c r="BH168" s="139" t="str">
        <f aca="false">IF($BX168&lt;&gt;Constants!$B$6,"",Constants!$B$16+SUM($BC168:$BG168))</f>
        <v/>
      </c>
      <c r="BI168" s="138" t="str">
        <f aca="false">IF($BX168&lt;&gt;Constants!$B$6,"",$BC168)</f>
        <v/>
      </c>
      <c r="BJ168" s="138" t="str">
        <f aca="false">IF($BX168&lt;&gt;Constants!$B$6,"",$BD168)</f>
        <v/>
      </c>
      <c r="BK168" s="140" t="str">
        <f aca="false">IF($BX168&lt;&gt;Constants!$B$6,"",IF($AL168,$AN168,""))</f>
        <v/>
      </c>
      <c r="BL168" s="135" t="str">
        <f aca="false">IF($BX168&lt;&gt;Constants!$B$6,"",IF(OR($BS168&lt;$BH168,AND($BS168=$BH168,OR($BT168&lt;$BI168,AND($BT168=$BI168,OR($BU168&lt;$BJ168,AND($BU168=$BJ168,AND(ISNUMBER($BV168),OR(NOT(ISNUMBER($BK168)),$BV168&lt;$BK168)))))))),"-&gt;","&lt;-"))</f>
        <v/>
      </c>
      <c r="BM168" s="134" t="str">
        <f aca="false">IF(ISBLANK($C168),"",AND($AT168,OR($AU168="",$AV168="",AND($AW168,$AX168=""))))</f>
        <v/>
      </c>
      <c r="BN168" s="137" t="str">
        <f aca="false">IF($BX168&lt;&gt;Constants!$B$6,"",IF($AT168,Constants!$B$17*$AV168+Constants!$B$18*IF($AW168,$AX168,Constants!$B$19),Constants!$B$20))</f>
        <v/>
      </c>
      <c r="BO168" s="138" t="str">
        <f aca="false">IF($BX168&lt;&gt;Constants!$B$6,"",Constants!$B$21*ABS($AD$9-IF($AT168,$AU168,0)))</f>
        <v/>
      </c>
      <c r="BP168" s="138" t="str">
        <f aca="false">IF($BX168&lt;&gt;Constants!$B$6,"",IF(AND($AT168,$AY168,$AW168),Constants!$B$22,0))</f>
        <v/>
      </c>
      <c r="BQ168" s="138" t="str">
        <f aca="false">IF($BX168&lt;&gt;Constants!$B$6,"",IF($AT168,($AI168-Constants!$B$24)*Constants!$B$23,0))</f>
        <v/>
      </c>
      <c r="BR168" s="138" t="str">
        <f aca="false">IF($BX168&lt;&gt;Constants!$B$6,"",IF($AS168,0,Constants!$B$12)+IF($AR168,0,Constants!$B$13)+IF($AH168,0,Constants!$B$14))</f>
        <v/>
      </c>
      <c r="BS168" s="139" t="str">
        <f aca="false">IF($BX168&lt;&gt;Constants!$B$6,"",Constants!$B$16+SUM($BN168:$BR168))</f>
        <v/>
      </c>
      <c r="BT168" s="138" t="str">
        <f aca="false">IF($BX168&lt;&gt;Constants!$B$6,"",$BN168)</f>
        <v/>
      </c>
      <c r="BU168" s="138" t="str">
        <f aca="false">IF($BX168&lt;&gt;Constants!$B$6,"",$BO168)</f>
        <v/>
      </c>
      <c r="BV168" s="140" t="str">
        <f aca="false">IF($BX168&lt;&gt;Constants!$B$6,"",IF($AT168,$AV168,""))</f>
        <v/>
      </c>
      <c r="BW168" s="135" t="str">
        <f aca="false">IF(ISBLANK($C168),"",IF(ISBLANK($D$7),$BW$5,IF(NOT(ISNUMBER($D$7)),$BW$6,"")))</f>
        <v/>
      </c>
      <c r="BX168" s="135" t="str">
        <f aca="false">IF(ISBLANK($C168),"",IF($BA168,Constants!$B$9,IF(COUNTA($E168:$AA168)=0,Constants!$B$8,IF(NOT($AG168),Constants!$B$7,IF(OR($BW168&lt;&gt;"",$BB168,$BM168),Constants!$B$10,Constants!$B$6)))))</f>
        <v/>
      </c>
      <c r="BY168" s="135" t="str">
        <f aca="false">IF(ISBLANK($C168),"",IF($BX168&lt;&gt;Constants!$B$6,$BX168,Constants!$B$11))</f>
        <v/>
      </c>
      <c r="BZ168" s="138" t="str">
        <f aca="false">IF($BX168&lt;&gt;Constants!$B$6,"",IF($BL168="-&gt;",$BS168,$BH168))</f>
        <v/>
      </c>
      <c r="CA168" s="138" t="str">
        <f aca="false">IF($BX168&lt;&gt;Constants!$B$6,"",IF($AF168,0,Constants!$B$15))</f>
        <v/>
      </c>
      <c r="CB168" s="138" t="str">
        <f aca="false">IF($BX168&lt;&gt;Constants!$B$6,"",((Constants!$B$25-$AZ168)-Constants!$B$25)/Constants!$B$26)</f>
        <v/>
      </c>
      <c r="CC168" s="138" t="str">
        <f aca="false">IF(ISBLANK($C168),"",IF($BX168&lt;&gt;Constants!$B$6,$BX168,SUM($BZ168:$CB168)))</f>
        <v/>
      </c>
      <c r="CD168" s="135" t="str">
        <f aca="false">IF(ISBLANK($C168),"",IF($BX168&lt;&gt;Constants!$B$6,$BX168,RANK($CC168,$CC$9:$CC$508,1)))</f>
        <v/>
      </c>
      <c r="CE168" s="138" t="str">
        <f aca="false">IF($BX168&lt;&gt;Constants!$B$6,"",IF($BL168="-&gt;",$BT168,$BI168))</f>
        <v/>
      </c>
      <c r="CF168" s="135" t="str">
        <f aca="false">IF(ISBLANK($C168),"",IF($BX168&lt;&gt;Constants!$B$6,$BX168,IF(ISNUMBER($CE168),RANK($CE168,$CE$9:$CE$508,1),COUNT($CE$9:$CE$508)+1)))</f>
        <v/>
      </c>
      <c r="CG168" s="138" t="str">
        <f aca="false">IF($BX168&lt;&gt;Constants!$B$6,"",IF($BL168="-&gt;",$BU168,$BJ168))</f>
        <v/>
      </c>
      <c r="CH168" s="135" t="str">
        <f aca="false">IF(ISBLANK($C168),"",IF($BX168&lt;&gt;Constants!$B$6,$BX168,IF(ISNUMBER($CG168),RANK($CG168,$CG$9:$CG$508,1),COUNT($CG$9:$CG$508)+1)))</f>
        <v/>
      </c>
      <c r="CI168" s="138" t="str">
        <f aca="false">IF($BX168&lt;&gt;Constants!$B$6,"",IF($BL168="-&gt;",$BV168,$BK168))</f>
        <v/>
      </c>
      <c r="CJ168" s="135" t="str">
        <f aca="false">IF(ISBLANK($C168),"",IF($BX168&lt;&gt;Constants!$B$6,$BX168,IF(ISNUMBER($CI168),RANK($CI168,$CI$9:$CI$508,1),COUNT($CI$9:$CI$508)+1)))</f>
        <v/>
      </c>
      <c r="CK168" s="138" t="str">
        <f aca="false">IF($BX168&lt;&gt;Constants!$B$6,"",$AI168)</f>
        <v/>
      </c>
      <c r="CL168" s="135" t="str">
        <f aca="false">IF(ISBLANK($C168),"",IF($BX168&lt;&gt;Constants!$B$6,$BX168,IF(ISNUMBER($CK168),RANK($CK168,$CK$9:$CK$508,1),COUNT($CK$9:$CK$508)+1)))</f>
        <v/>
      </c>
      <c r="CM168" s="135" t="str">
        <f aca="false">IF(ISBLANK($C168),"",IF($BX168&lt;&gt;Constants!$B$6,$BX168,COUNTIFS($CD$9:$CD$508,"&lt;"&amp;$CD168)+COUNTIFS($CD$9:$CD$508,$CD168,$CF$9:$CF$508,"&lt;"&amp;$CF168)+COUNTIFS($CD$9:$CD$508,$CD168,$CF$9:$CF$508,$CF168,$CH$9:$CH$508,"&lt;"&amp;$CH168)+COUNTIFS($CD$9:$CD$508,$CD168,$CF$9:$CF$508,$CF168,$CH$9:$CH$508,$CH168,$CJ$9:$CJ$508,"&lt;"&amp;$CJ168)+COUNTIFS($CD$9:$CD$508,$CD168,$CF$9:$CF$508,$CF168,$CH$9:$CH$508,$CH168,$CJ$9:$CJ$508,$CJ168,$CL$9:$CL$508,"&lt;"&amp;$CL168)+1))</f>
        <v/>
      </c>
      <c r="CN168" s="135" t="str">
        <f aca="false">IF(ISBLANK($C168),"",IF($BX168&lt;&gt;Constants!$B$6,$BX168,$CD168-$CM168))</f>
        <v/>
      </c>
      <c r="CO168" s="141"/>
      <c r="CP168" s="142"/>
      <c r="CQ168" s="143" t="str">
        <f aca="false">IF(ISBLANK($C168),"",IF($BX168=Constants!$B$10,$BW168,""))</f>
        <v/>
      </c>
      <c r="CR168" s="142" t="str">
        <f aca="false">IF(ISBLANK($C168),"",IF($BX168&lt;&gt;Constants!$B$6,"",IF($BL168="-&gt;",2,1)))</f>
        <v/>
      </c>
      <c r="CS168" s="144" t="str">
        <f aca="false">IF(ISBLANK($C168),"",IF($BX168&lt;&gt;Constants!$B$6,"",IF($BL168="-&gt;",$BN168,$BC168)))</f>
        <v/>
      </c>
      <c r="CT168" s="144" t="str">
        <f aca="false">IF(ISBLANK($C168),"",IF($BX168&lt;&gt;Constants!$B$6,"",IF($BL168="-&gt;",$BO168,$BD168)))</f>
        <v/>
      </c>
      <c r="CU168" s="144" t="str">
        <f aca="false">IF(ISBLANK($C168),"",IF($BX168&lt;&gt;Constants!$B$6,"",IF($BL168="-&gt;",$BP168+$BQ168,$BE168+$BF168)+$CB168))</f>
        <v/>
      </c>
      <c r="CV168" s="144" t="str">
        <f aca="false">IF(ISBLANK($C168),"",IF($BX168&lt;&gt;Constants!$B$6,"",IF($BL168="-&gt;",$BR168,$BG168)+$CA168))</f>
        <v/>
      </c>
      <c r="CW168" s="145" t="str">
        <f aca="false">IF(ISBLANK($C168),"",IF($BX168&lt;&gt;Constants!$B$6,$BX168,$CC168))</f>
        <v/>
      </c>
      <c r="CX168" s="146" t="str">
        <f aca="false">IF(ISBLANK($C168),"",$BY168)</f>
        <v/>
      </c>
      <c r="CY168" s="147" t="str">
        <f aca="false">IF(ISBLANK($C168),"",$CN168)</f>
        <v/>
      </c>
      <c r="CZ168" s="147" t="str">
        <f aca="false">IF(ISBLANK($C168),"",$CM168)</f>
        <v/>
      </c>
      <c r="DA168" s="148" t="str">
        <f aca="false">IF(ISBLANK($C168),"",IFERROR(_xlfn.SWITCH($CZ168,Constants!$B$9,COUNTA($C$9:$C$508)+2,Constants!$B$8,COUNTA($C$9:$C$508)+1,Constants!$B$7,COUNTA($C$9:$C$508)),$CZ168))</f>
        <v/>
      </c>
      <c r="DB168" s="9"/>
      <c r="DC168" s="149" t="n">
        <f aca="false">IF(OR(ISNUMBER($CZ168),$CZ168=Constants!$B$9,$CZ168=Constants!$B$7,$CZ168=Constants!$B$8),1,0)</f>
        <v>0</v>
      </c>
      <c r="DD168" s="149" t="n">
        <v>160</v>
      </c>
      <c r="DE168" s="149" t="str">
        <f aca="false">IF(ISBLANK($C168),"",IF(ISNUMBER($DA168),$DA168+ROW($B168)/1000,""))</f>
        <v/>
      </c>
      <c r="DF168" s="149" t="str">
        <f aca="false">IF(ISNUMBER($DE168),RANK($DE168,$DE$9:$DE$508,1),"")</f>
        <v/>
      </c>
      <c r="DG168" s="149" t="str">
        <f aca="false">IF(ISBLANK($C168),"",$B168)</f>
        <v/>
      </c>
      <c r="DH168" s="149" t="str">
        <f aca="false">IF(ISBLANK($C168),"",$C168)</f>
        <v/>
      </c>
      <c r="DI168" s="149" t="str">
        <f aca="false">IF(ISBLANK($C168),"",$D168)</f>
        <v/>
      </c>
      <c r="DJ168" s="150" t="str">
        <f aca="false">$CX168</f>
        <v/>
      </c>
      <c r="DK168" s="151" t="str">
        <f aca="false">$CW168</f>
        <v/>
      </c>
      <c r="DL168" s="149" t="str">
        <f aca="false">IF(ISBLANK($C168),"",$CZ168)</f>
        <v/>
      </c>
      <c r="DM168" s="152" t="str">
        <f aca="false">IF($DD168&gt;$DC$8,"",VLOOKUP($DD168,$DF$9:$DL$508,7,FALSE()))</f>
        <v/>
      </c>
      <c r="DN168" s="153" t="str">
        <f aca="false">IF($DD168&gt;$DC$8,"",VLOOKUP($DD168,$DF$9:$DL$508,2,FALSE()))</f>
        <v/>
      </c>
      <c r="DO168" s="153" t="str">
        <f aca="false">IF($DD168&gt;$DC$8,"",VLOOKUP($DD168,$DF$9:$DL$508,3,FALSE()))</f>
        <v/>
      </c>
      <c r="DP168" s="153" t="str">
        <f aca="false">IF($DD168&gt;$DC$8,"",VLOOKUP($DD168,$DF$9:$DL$508,4,FALSE()))</f>
        <v/>
      </c>
      <c r="DQ168" s="153" t="str">
        <f aca="false">IF($DD168&gt;$DC$8,"",VLOOKUP($DD168,$DF$9:$DL$508,5,FALSE()))</f>
        <v/>
      </c>
      <c r="DR168" s="154" t="str">
        <f aca="false">IF($DD168&gt;$DC$8,"",VLOOKUP($DD168,$DF$9:$DL$508,6,FALSE()))</f>
        <v/>
      </c>
      <c r="DS168" s="76"/>
    </row>
    <row r="169" customFormat="false" ht="15.75" hidden="false" customHeight="false" outlineLevel="0" collapsed="false">
      <c r="A169" s="9"/>
      <c r="B169" s="160"/>
      <c r="C169" s="161"/>
      <c r="D169" s="162"/>
      <c r="E169" s="180"/>
      <c r="F169" s="164"/>
      <c r="G169" s="165"/>
      <c r="H169" s="165"/>
      <c r="I169" s="181"/>
      <c r="J169" s="168"/>
      <c r="K169" s="128"/>
      <c r="L169" s="129"/>
      <c r="M169" s="130"/>
      <c r="N169" s="168"/>
      <c r="O169" s="168"/>
      <c r="P169" s="180"/>
      <c r="Q169" s="168"/>
      <c r="R169" s="168"/>
      <c r="S169" s="128"/>
      <c r="T169" s="130"/>
      <c r="U169" s="130"/>
      <c r="V169" s="168"/>
      <c r="W169" s="168"/>
      <c r="X169" s="180"/>
      <c r="Y169" s="168"/>
      <c r="Z169" s="169"/>
      <c r="AA169" s="168"/>
      <c r="AB169" s="134"/>
      <c r="AC169" s="135"/>
      <c r="AD169" s="135"/>
      <c r="AE169" s="135"/>
      <c r="AF169" s="135" t="str">
        <f aca="false">IF(ISBLANK($C169),"",IF(E169=Constants!$B$2,TRUE(),IF(E169=Constants!$B$3,FALSE(),TRUE())))</f>
        <v/>
      </c>
      <c r="AG169" s="135" t="str">
        <f aca="false">IF(ISBLANK($C169),"",IF(F169=Constants!$B$2,TRUE(),IF(F169=Constants!$B$3,FALSE(),TRUE())))</f>
        <v/>
      </c>
      <c r="AH169" s="135" t="str">
        <f aca="false">IF(ISBLANK($C169),"",IF(G169=Constants!$B$2,TRUE(),IF(G169=Constants!$B$3,FALSE(),TRUE())))</f>
        <v/>
      </c>
      <c r="AI169" s="135" t="str">
        <f aca="false">IF(ISBLANK($C169),"",IF(AND(ISNUMBER(H169),H169&gt;=0),H169,Constants!$B$24))</f>
        <v/>
      </c>
      <c r="AJ169" s="135" t="str">
        <f aca="false">IF(ISBLANK($C169),"",IF(I169=Constants!$B$2,TRUE(),IF(I169=Constants!$B$3,FALSE(),TRUE())))</f>
        <v/>
      </c>
      <c r="AK169" s="135" t="str">
        <f aca="false">IF(ISBLANK($C169),"",IF(J169=Constants!$B$2,TRUE(),IF(J169=Constants!$B$3,FALSE(),TRUE())))</f>
        <v/>
      </c>
      <c r="AL169" s="135" t="str">
        <f aca="false">IF(ISBLANK($C169),"",IF(K169=Constants!$B$4,TRUE(),IF(K169=Constants!$B$5,FALSE(),COUNTA(L169:P169)&gt;0)))</f>
        <v/>
      </c>
      <c r="AM169" s="136" t="str">
        <f aca="false">IF(ISBLANK($C169),"",IF(ISNUMBER(L169),IF(L169&gt;=0,L169,""),""))</f>
        <v/>
      </c>
      <c r="AN169" s="137" t="str">
        <f aca="false">IF(ISBLANK($C169),"",IF(ISNUMBER(M169),IF(M169&gt;=0,M169,""),""))</f>
        <v/>
      </c>
      <c r="AO169" s="137" t="str">
        <f aca="false">IF(ISBLANK($C169),"",IF(N169=Constants!$B$2,TRUE(),IF(N169=Constants!$B$3,FALSE(),TRUE())))</f>
        <v/>
      </c>
      <c r="AP169" s="135" t="str">
        <f aca="false">IF(ISBLANK($C169),"",IF(ISNUMBER(O169),IF(O169&gt;=0,O169,""),""))</f>
        <v/>
      </c>
      <c r="AQ169" s="135" t="str">
        <f aca="false">IF(ISBLANK($C169),"",IF(P169=Constants!$B$2,TRUE(),IF(P169=Constants!$B$3,FALSE(),FALSE())))</f>
        <v/>
      </c>
      <c r="AR169" s="135" t="str">
        <f aca="false">IF(ISBLANK($C169),"",IF(Q169=Constants!$B$2,TRUE(),IF(Q169=Constants!$B$3,FALSE(),TRUE())))</f>
        <v/>
      </c>
      <c r="AS169" s="135" t="str">
        <f aca="false">IF(ISBLANK($C169),"",IF(R169=Constants!$B$2,TRUE(),IF(R169=Constants!$B$3,FALSE(),TRUE())))</f>
        <v/>
      </c>
      <c r="AT169" s="135" t="str">
        <f aca="false">IF(ISBLANK($C169),"",IF(S169=Constants!$B$4,TRUE(),IF(S169=Constants!$B$5,FALSE(),COUNTA(T169:X169)&gt;0)))</f>
        <v/>
      </c>
      <c r="AU169" s="136" t="str">
        <f aca="false">IF(ISBLANK($C169),"",IF(ISNUMBER(T169),IF(T169&gt;=0,T169,""),""))</f>
        <v/>
      </c>
      <c r="AV169" s="137" t="str">
        <f aca="false">IF(ISBLANK($C169),"",IF(ISNUMBER(U169),IF(U169&gt;=0,U169,""),""))</f>
        <v/>
      </c>
      <c r="AW169" s="137" t="str">
        <f aca="false">IF(ISBLANK($C169),"",IF(V169=Constants!$B$2,TRUE(),IF(V169=Constants!$B$3,FALSE(),TRUE())))</f>
        <v/>
      </c>
      <c r="AX169" s="135" t="str">
        <f aca="false">IF(ISBLANK($C169),"",IF(ISNUMBER(W169),IF(W169&gt;=0,W169,""),""))</f>
        <v/>
      </c>
      <c r="AY169" s="135" t="str">
        <f aca="false">IF(ISBLANK($C169),"",IF(X169=Constants!$B$2,TRUE(),IF(X169=Constants!$B$3,FALSE(),FALSE())))</f>
        <v/>
      </c>
      <c r="AZ169" s="135" t="str">
        <f aca="false">IF(ISBLANK($C169),"",MIN(Constants!$B$25,MAX(0,IF(ISNUMBER(Y169),Y169*60,0)+IF(ISNUMBER(Z169),Z169,0))))</f>
        <v/>
      </c>
      <c r="BA169" s="135" t="str">
        <f aca="false">IF(ISBLANK($C169),"",IF(AA169=Constants!$B$2,TRUE(),IF(AA169=Constants!$B$3,FALSE(),FALSE())))</f>
        <v/>
      </c>
      <c r="BB169" s="134" t="str">
        <f aca="false">IF(ISBLANK($C169),"",AND($AL169,OR($AM169="",$AN169="",AND($AO169,$AP169=""))))</f>
        <v/>
      </c>
      <c r="BC169" s="137" t="str">
        <f aca="false">IF($BX169&lt;&gt;Constants!$B$6,"",IF($AL169,Constants!$B$17*$AN169+Constants!$B$18*IF($AO169,$AP169,Constants!$B$19),Constants!$B$20))</f>
        <v/>
      </c>
      <c r="BD169" s="138" t="str">
        <f aca="false">IF($BX169&lt;&gt;Constants!$B$6,"",Constants!$B$21*ABS($AD$9-IF($AL169,$AM169,0)))</f>
        <v/>
      </c>
      <c r="BE169" s="138" t="str">
        <f aca="false">IF($BX169&lt;&gt;Constants!$B$6,"",IF(AND($AL169,$AQ169,$AO169),Constants!$B$22,0))</f>
        <v/>
      </c>
      <c r="BF169" s="138" t="str">
        <f aca="false">IF($BX169&lt;&gt;Constants!$B$6,"",IF($AL169,($AI169-Constants!$B$24)*Constants!$B$23,0))</f>
        <v/>
      </c>
      <c r="BG169" s="138" t="str">
        <f aca="false">IF($BX169&lt;&gt;Constants!$B$6,"",IF($AK169,0,Constants!$B$12)+IF($AJ169,0,Constants!$B$13)+IF($AH169,0,Constants!$B$14))</f>
        <v/>
      </c>
      <c r="BH169" s="139" t="str">
        <f aca="false">IF($BX169&lt;&gt;Constants!$B$6,"",Constants!$B$16+SUM($BC169:$BG169))</f>
        <v/>
      </c>
      <c r="BI169" s="138" t="str">
        <f aca="false">IF($BX169&lt;&gt;Constants!$B$6,"",$BC169)</f>
        <v/>
      </c>
      <c r="BJ169" s="138" t="str">
        <f aca="false">IF($BX169&lt;&gt;Constants!$B$6,"",$BD169)</f>
        <v/>
      </c>
      <c r="BK169" s="140" t="str">
        <f aca="false">IF($BX169&lt;&gt;Constants!$B$6,"",IF($AL169,$AN169,""))</f>
        <v/>
      </c>
      <c r="BL169" s="135" t="str">
        <f aca="false">IF($BX169&lt;&gt;Constants!$B$6,"",IF(OR($BS169&lt;$BH169,AND($BS169=$BH169,OR($BT169&lt;$BI169,AND($BT169=$BI169,OR($BU169&lt;$BJ169,AND($BU169=$BJ169,AND(ISNUMBER($BV169),OR(NOT(ISNUMBER($BK169)),$BV169&lt;$BK169)))))))),"-&gt;","&lt;-"))</f>
        <v/>
      </c>
      <c r="BM169" s="134" t="str">
        <f aca="false">IF(ISBLANK($C169),"",AND($AT169,OR($AU169="",$AV169="",AND($AW169,$AX169=""))))</f>
        <v/>
      </c>
      <c r="BN169" s="137" t="str">
        <f aca="false">IF($BX169&lt;&gt;Constants!$B$6,"",IF($AT169,Constants!$B$17*$AV169+Constants!$B$18*IF($AW169,$AX169,Constants!$B$19),Constants!$B$20))</f>
        <v/>
      </c>
      <c r="BO169" s="138" t="str">
        <f aca="false">IF($BX169&lt;&gt;Constants!$B$6,"",Constants!$B$21*ABS($AD$9-IF($AT169,$AU169,0)))</f>
        <v/>
      </c>
      <c r="BP169" s="138" t="str">
        <f aca="false">IF($BX169&lt;&gt;Constants!$B$6,"",IF(AND($AT169,$AY169,$AW169),Constants!$B$22,0))</f>
        <v/>
      </c>
      <c r="BQ169" s="138" t="str">
        <f aca="false">IF($BX169&lt;&gt;Constants!$B$6,"",IF($AT169,($AI169-Constants!$B$24)*Constants!$B$23,0))</f>
        <v/>
      </c>
      <c r="BR169" s="138" t="str">
        <f aca="false">IF($BX169&lt;&gt;Constants!$B$6,"",IF($AS169,0,Constants!$B$12)+IF($AR169,0,Constants!$B$13)+IF($AH169,0,Constants!$B$14))</f>
        <v/>
      </c>
      <c r="BS169" s="139" t="str">
        <f aca="false">IF($BX169&lt;&gt;Constants!$B$6,"",Constants!$B$16+SUM($BN169:$BR169))</f>
        <v/>
      </c>
      <c r="BT169" s="138" t="str">
        <f aca="false">IF($BX169&lt;&gt;Constants!$B$6,"",$BN169)</f>
        <v/>
      </c>
      <c r="BU169" s="138" t="str">
        <f aca="false">IF($BX169&lt;&gt;Constants!$B$6,"",$BO169)</f>
        <v/>
      </c>
      <c r="BV169" s="140" t="str">
        <f aca="false">IF($BX169&lt;&gt;Constants!$B$6,"",IF($AT169,$AV169,""))</f>
        <v/>
      </c>
      <c r="BW169" s="135" t="str">
        <f aca="false">IF(ISBLANK($C169),"",IF(ISBLANK($D$7),$BW$5,IF(NOT(ISNUMBER($D$7)),$BW$6,"")))</f>
        <v/>
      </c>
      <c r="BX169" s="135" t="str">
        <f aca="false">IF(ISBLANK($C169),"",IF($BA169,Constants!$B$9,IF(COUNTA($E169:$AA169)=0,Constants!$B$8,IF(NOT($AG169),Constants!$B$7,IF(OR($BW169&lt;&gt;"",$BB169,$BM169),Constants!$B$10,Constants!$B$6)))))</f>
        <v/>
      </c>
      <c r="BY169" s="135" t="str">
        <f aca="false">IF(ISBLANK($C169),"",IF($BX169&lt;&gt;Constants!$B$6,$BX169,Constants!$B$11))</f>
        <v/>
      </c>
      <c r="BZ169" s="138" t="str">
        <f aca="false">IF($BX169&lt;&gt;Constants!$B$6,"",IF($BL169="-&gt;",$BS169,$BH169))</f>
        <v/>
      </c>
      <c r="CA169" s="138" t="str">
        <f aca="false">IF($BX169&lt;&gt;Constants!$B$6,"",IF($AF169,0,Constants!$B$15))</f>
        <v/>
      </c>
      <c r="CB169" s="138" t="str">
        <f aca="false">IF($BX169&lt;&gt;Constants!$B$6,"",((Constants!$B$25-$AZ169)-Constants!$B$25)/Constants!$B$26)</f>
        <v/>
      </c>
      <c r="CC169" s="138" t="str">
        <f aca="false">IF(ISBLANK($C169),"",IF($BX169&lt;&gt;Constants!$B$6,$BX169,SUM($BZ169:$CB169)))</f>
        <v/>
      </c>
      <c r="CD169" s="135" t="str">
        <f aca="false">IF(ISBLANK($C169),"",IF($BX169&lt;&gt;Constants!$B$6,$BX169,RANK($CC169,$CC$9:$CC$508,1)))</f>
        <v/>
      </c>
      <c r="CE169" s="138" t="str">
        <f aca="false">IF($BX169&lt;&gt;Constants!$B$6,"",IF($BL169="-&gt;",$BT169,$BI169))</f>
        <v/>
      </c>
      <c r="CF169" s="135" t="str">
        <f aca="false">IF(ISBLANK($C169),"",IF($BX169&lt;&gt;Constants!$B$6,$BX169,IF(ISNUMBER($CE169),RANK($CE169,$CE$9:$CE$508,1),COUNT($CE$9:$CE$508)+1)))</f>
        <v/>
      </c>
      <c r="CG169" s="138" t="str">
        <f aca="false">IF($BX169&lt;&gt;Constants!$B$6,"",IF($BL169="-&gt;",$BU169,$BJ169))</f>
        <v/>
      </c>
      <c r="CH169" s="135" t="str">
        <f aca="false">IF(ISBLANK($C169),"",IF($BX169&lt;&gt;Constants!$B$6,$BX169,IF(ISNUMBER($CG169),RANK($CG169,$CG$9:$CG$508,1),COUNT($CG$9:$CG$508)+1)))</f>
        <v/>
      </c>
      <c r="CI169" s="138" t="str">
        <f aca="false">IF($BX169&lt;&gt;Constants!$B$6,"",IF($BL169="-&gt;",$BV169,$BK169))</f>
        <v/>
      </c>
      <c r="CJ169" s="135" t="str">
        <f aca="false">IF(ISBLANK($C169),"",IF($BX169&lt;&gt;Constants!$B$6,$BX169,IF(ISNUMBER($CI169),RANK($CI169,$CI$9:$CI$508,1),COUNT($CI$9:$CI$508)+1)))</f>
        <v/>
      </c>
      <c r="CK169" s="138" t="str">
        <f aca="false">IF($BX169&lt;&gt;Constants!$B$6,"",$AI169)</f>
        <v/>
      </c>
      <c r="CL169" s="135" t="str">
        <f aca="false">IF(ISBLANK($C169),"",IF($BX169&lt;&gt;Constants!$B$6,$BX169,IF(ISNUMBER($CK169),RANK($CK169,$CK$9:$CK$508,1),COUNT($CK$9:$CK$508)+1)))</f>
        <v/>
      </c>
      <c r="CM169" s="135" t="str">
        <f aca="false">IF(ISBLANK($C169),"",IF($BX169&lt;&gt;Constants!$B$6,$BX169,COUNTIFS($CD$9:$CD$508,"&lt;"&amp;$CD169)+COUNTIFS($CD$9:$CD$508,$CD169,$CF$9:$CF$508,"&lt;"&amp;$CF169)+COUNTIFS($CD$9:$CD$508,$CD169,$CF$9:$CF$508,$CF169,$CH$9:$CH$508,"&lt;"&amp;$CH169)+COUNTIFS($CD$9:$CD$508,$CD169,$CF$9:$CF$508,$CF169,$CH$9:$CH$508,$CH169,$CJ$9:$CJ$508,"&lt;"&amp;$CJ169)+COUNTIFS($CD$9:$CD$508,$CD169,$CF$9:$CF$508,$CF169,$CH$9:$CH$508,$CH169,$CJ$9:$CJ$508,$CJ169,$CL$9:$CL$508,"&lt;"&amp;$CL169)+1))</f>
        <v/>
      </c>
      <c r="CN169" s="135" t="str">
        <f aca="false">IF(ISBLANK($C169),"",IF($BX169&lt;&gt;Constants!$B$6,$BX169,$CD169-$CM169))</f>
        <v/>
      </c>
      <c r="CO169" s="141"/>
      <c r="CP169" s="142"/>
      <c r="CQ169" s="143" t="str">
        <f aca="false">IF(ISBLANK($C169),"",IF($BX169=Constants!$B$10,$BW169,""))</f>
        <v/>
      </c>
      <c r="CR169" s="142" t="str">
        <f aca="false">IF(ISBLANK($C169),"",IF($BX169&lt;&gt;Constants!$B$6,"",IF($BL169="-&gt;",2,1)))</f>
        <v/>
      </c>
      <c r="CS169" s="144" t="str">
        <f aca="false">IF(ISBLANK($C169),"",IF($BX169&lt;&gt;Constants!$B$6,"",IF($BL169="-&gt;",$BN169,$BC169)))</f>
        <v/>
      </c>
      <c r="CT169" s="144" t="str">
        <f aca="false">IF(ISBLANK($C169),"",IF($BX169&lt;&gt;Constants!$B$6,"",IF($BL169="-&gt;",$BO169,$BD169)))</f>
        <v/>
      </c>
      <c r="CU169" s="144" t="str">
        <f aca="false">IF(ISBLANK($C169),"",IF($BX169&lt;&gt;Constants!$B$6,"",IF($BL169="-&gt;",$BP169+$BQ169,$BE169+$BF169)+$CB169))</f>
        <v/>
      </c>
      <c r="CV169" s="144" t="str">
        <f aca="false">IF(ISBLANK($C169),"",IF($BX169&lt;&gt;Constants!$B$6,"",IF($BL169="-&gt;",$BR169,$BG169)+$CA169))</f>
        <v/>
      </c>
      <c r="CW169" s="145" t="str">
        <f aca="false">IF(ISBLANK($C169),"",IF($BX169&lt;&gt;Constants!$B$6,$BX169,$CC169))</f>
        <v/>
      </c>
      <c r="CX169" s="146" t="str">
        <f aca="false">IF(ISBLANK($C169),"",$BY169)</f>
        <v/>
      </c>
      <c r="CY169" s="147" t="str">
        <f aca="false">IF(ISBLANK($C169),"",$CN169)</f>
        <v/>
      </c>
      <c r="CZ169" s="147" t="str">
        <f aca="false">IF(ISBLANK($C169),"",$CM169)</f>
        <v/>
      </c>
      <c r="DA169" s="148" t="str">
        <f aca="false">IF(ISBLANK($C169),"",IFERROR(_xlfn.SWITCH($CZ169,Constants!$B$9,COUNTA($C$9:$C$508)+2,Constants!$B$8,COUNTA($C$9:$C$508)+1,Constants!$B$7,COUNTA($C$9:$C$508)),$CZ169))</f>
        <v/>
      </c>
      <c r="DB169" s="9"/>
      <c r="DC169" s="149" t="n">
        <f aca="false">IF(OR(ISNUMBER($CZ169),$CZ169=Constants!$B$9,$CZ169=Constants!$B$7,$CZ169=Constants!$B$8),1,0)</f>
        <v>0</v>
      </c>
      <c r="DD169" s="149" t="n">
        <v>161</v>
      </c>
      <c r="DE169" s="149" t="str">
        <f aca="false">IF(ISBLANK($C169),"",IF(ISNUMBER($DA169),$DA169+ROW($B169)/1000,""))</f>
        <v/>
      </c>
      <c r="DF169" s="149" t="str">
        <f aca="false">IF(ISNUMBER($DE169),RANK($DE169,$DE$9:$DE$508,1),"")</f>
        <v/>
      </c>
      <c r="DG169" s="149" t="str">
        <f aca="false">IF(ISBLANK($C169),"",$B169)</f>
        <v/>
      </c>
      <c r="DH169" s="149" t="str">
        <f aca="false">IF(ISBLANK($C169),"",$C169)</f>
        <v/>
      </c>
      <c r="DI169" s="149" t="str">
        <f aca="false">IF(ISBLANK($C169),"",$D169)</f>
        <v/>
      </c>
      <c r="DJ169" s="150" t="str">
        <f aca="false">$CX169</f>
        <v/>
      </c>
      <c r="DK169" s="151" t="str">
        <f aca="false">$CW169</f>
        <v/>
      </c>
      <c r="DL169" s="149" t="str">
        <f aca="false">IF(ISBLANK($C169),"",$CZ169)</f>
        <v/>
      </c>
      <c r="DM169" s="152" t="str">
        <f aca="false">IF($DD169&gt;$DC$8,"",VLOOKUP($DD169,$DF$9:$DL$508,7,FALSE()))</f>
        <v/>
      </c>
      <c r="DN169" s="153" t="str">
        <f aca="false">IF($DD169&gt;$DC$8,"",VLOOKUP($DD169,$DF$9:$DL$508,2,FALSE()))</f>
        <v/>
      </c>
      <c r="DO169" s="153" t="str">
        <f aca="false">IF($DD169&gt;$DC$8,"",VLOOKUP($DD169,$DF$9:$DL$508,3,FALSE()))</f>
        <v/>
      </c>
      <c r="DP169" s="153" t="str">
        <f aca="false">IF($DD169&gt;$DC$8,"",VLOOKUP($DD169,$DF$9:$DL$508,4,FALSE()))</f>
        <v/>
      </c>
      <c r="DQ169" s="153" t="str">
        <f aca="false">IF($DD169&gt;$DC$8,"",VLOOKUP($DD169,$DF$9:$DL$508,5,FALSE()))</f>
        <v/>
      </c>
      <c r="DR169" s="154" t="str">
        <f aca="false">IF($DD169&gt;$DC$8,"",VLOOKUP($DD169,$DF$9:$DL$508,6,FALSE()))</f>
        <v/>
      </c>
      <c r="DS169" s="76"/>
    </row>
    <row r="170" customFormat="false" ht="15.75" hidden="false" customHeight="false" outlineLevel="0" collapsed="false">
      <c r="A170" s="9"/>
      <c r="B170" s="160"/>
      <c r="C170" s="161"/>
      <c r="D170" s="162"/>
      <c r="E170" s="180"/>
      <c r="F170" s="164"/>
      <c r="G170" s="165"/>
      <c r="H170" s="165"/>
      <c r="I170" s="181"/>
      <c r="J170" s="168"/>
      <c r="K170" s="128"/>
      <c r="L170" s="129"/>
      <c r="M170" s="130"/>
      <c r="N170" s="168"/>
      <c r="O170" s="168"/>
      <c r="P170" s="180"/>
      <c r="Q170" s="168"/>
      <c r="R170" s="168"/>
      <c r="S170" s="128"/>
      <c r="T170" s="130"/>
      <c r="U170" s="130"/>
      <c r="V170" s="168"/>
      <c r="W170" s="168"/>
      <c r="X170" s="180"/>
      <c r="Y170" s="168"/>
      <c r="Z170" s="169"/>
      <c r="AA170" s="168"/>
      <c r="AB170" s="134"/>
      <c r="AC170" s="135"/>
      <c r="AD170" s="135"/>
      <c r="AE170" s="135"/>
      <c r="AF170" s="135" t="str">
        <f aca="false">IF(ISBLANK($C170),"",IF(E170=Constants!$B$2,TRUE(),IF(E170=Constants!$B$3,FALSE(),TRUE())))</f>
        <v/>
      </c>
      <c r="AG170" s="135" t="str">
        <f aca="false">IF(ISBLANK($C170),"",IF(F170=Constants!$B$2,TRUE(),IF(F170=Constants!$B$3,FALSE(),TRUE())))</f>
        <v/>
      </c>
      <c r="AH170" s="135" t="str">
        <f aca="false">IF(ISBLANK($C170),"",IF(G170=Constants!$B$2,TRUE(),IF(G170=Constants!$B$3,FALSE(),TRUE())))</f>
        <v/>
      </c>
      <c r="AI170" s="135" t="str">
        <f aca="false">IF(ISBLANK($C170),"",IF(AND(ISNUMBER(H170),H170&gt;=0),H170,Constants!$B$24))</f>
        <v/>
      </c>
      <c r="AJ170" s="135" t="str">
        <f aca="false">IF(ISBLANK($C170),"",IF(I170=Constants!$B$2,TRUE(),IF(I170=Constants!$B$3,FALSE(),TRUE())))</f>
        <v/>
      </c>
      <c r="AK170" s="135" t="str">
        <f aca="false">IF(ISBLANK($C170),"",IF(J170=Constants!$B$2,TRUE(),IF(J170=Constants!$B$3,FALSE(),TRUE())))</f>
        <v/>
      </c>
      <c r="AL170" s="135" t="str">
        <f aca="false">IF(ISBLANK($C170),"",IF(K170=Constants!$B$4,TRUE(),IF(K170=Constants!$B$5,FALSE(),COUNTA(L170:P170)&gt;0)))</f>
        <v/>
      </c>
      <c r="AM170" s="136" t="str">
        <f aca="false">IF(ISBLANK($C170),"",IF(ISNUMBER(L170),IF(L170&gt;=0,L170,""),""))</f>
        <v/>
      </c>
      <c r="AN170" s="137" t="str">
        <f aca="false">IF(ISBLANK($C170),"",IF(ISNUMBER(M170),IF(M170&gt;=0,M170,""),""))</f>
        <v/>
      </c>
      <c r="AO170" s="137" t="str">
        <f aca="false">IF(ISBLANK($C170),"",IF(N170=Constants!$B$2,TRUE(),IF(N170=Constants!$B$3,FALSE(),TRUE())))</f>
        <v/>
      </c>
      <c r="AP170" s="135" t="str">
        <f aca="false">IF(ISBLANK($C170),"",IF(ISNUMBER(O170),IF(O170&gt;=0,O170,""),""))</f>
        <v/>
      </c>
      <c r="AQ170" s="135" t="str">
        <f aca="false">IF(ISBLANK($C170),"",IF(P170=Constants!$B$2,TRUE(),IF(P170=Constants!$B$3,FALSE(),FALSE())))</f>
        <v/>
      </c>
      <c r="AR170" s="135" t="str">
        <f aca="false">IF(ISBLANK($C170),"",IF(Q170=Constants!$B$2,TRUE(),IF(Q170=Constants!$B$3,FALSE(),TRUE())))</f>
        <v/>
      </c>
      <c r="AS170" s="135" t="str">
        <f aca="false">IF(ISBLANK($C170),"",IF(R170=Constants!$B$2,TRUE(),IF(R170=Constants!$B$3,FALSE(),TRUE())))</f>
        <v/>
      </c>
      <c r="AT170" s="135" t="str">
        <f aca="false">IF(ISBLANK($C170),"",IF(S170=Constants!$B$4,TRUE(),IF(S170=Constants!$B$5,FALSE(),COUNTA(T170:X170)&gt;0)))</f>
        <v/>
      </c>
      <c r="AU170" s="136" t="str">
        <f aca="false">IF(ISBLANK($C170),"",IF(ISNUMBER(T170),IF(T170&gt;=0,T170,""),""))</f>
        <v/>
      </c>
      <c r="AV170" s="137" t="str">
        <f aca="false">IF(ISBLANK($C170),"",IF(ISNUMBER(U170),IF(U170&gt;=0,U170,""),""))</f>
        <v/>
      </c>
      <c r="AW170" s="137" t="str">
        <f aca="false">IF(ISBLANK($C170),"",IF(V170=Constants!$B$2,TRUE(),IF(V170=Constants!$B$3,FALSE(),TRUE())))</f>
        <v/>
      </c>
      <c r="AX170" s="135" t="str">
        <f aca="false">IF(ISBLANK($C170),"",IF(ISNUMBER(W170),IF(W170&gt;=0,W170,""),""))</f>
        <v/>
      </c>
      <c r="AY170" s="135" t="str">
        <f aca="false">IF(ISBLANK($C170),"",IF(X170=Constants!$B$2,TRUE(),IF(X170=Constants!$B$3,FALSE(),FALSE())))</f>
        <v/>
      </c>
      <c r="AZ170" s="135" t="str">
        <f aca="false">IF(ISBLANK($C170),"",MIN(Constants!$B$25,MAX(0,IF(ISNUMBER(Y170),Y170*60,0)+IF(ISNUMBER(Z170),Z170,0))))</f>
        <v/>
      </c>
      <c r="BA170" s="135" t="str">
        <f aca="false">IF(ISBLANK($C170),"",IF(AA170=Constants!$B$2,TRUE(),IF(AA170=Constants!$B$3,FALSE(),FALSE())))</f>
        <v/>
      </c>
      <c r="BB170" s="134" t="str">
        <f aca="false">IF(ISBLANK($C170),"",AND($AL170,OR($AM170="",$AN170="",AND($AO170,$AP170=""))))</f>
        <v/>
      </c>
      <c r="BC170" s="137" t="str">
        <f aca="false">IF($BX170&lt;&gt;Constants!$B$6,"",IF($AL170,Constants!$B$17*$AN170+Constants!$B$18*IF($AO170,$AP170,Constants!$B$19),Constants!$B$20))</f>
        <v/>
      </c>
      <c r="BD170" s="138" t="str">
        <f aca="false">IF($BX170&lt;&gt;Constants!$B$6,"",Constants!$B$21*ABS($AD$9-IF($AL170,$AM170,0)))</f>
        <v/>
      </c>
      <c r="BE170" s="138" t="str">
        <f aca="false">IF($BX170&lt;&gt;Constants!$B$6,"",IF(AND($AL170,$AQ170,$AO170),Constants!$B$22,0))</f>
        <v/>
      </c>
      <c r="BF170" s="138" t="str">
        <f aca="false">IF($BX170&lt;&gt;Constants!$B$6,"",IF($AL170,($AI170-Constants!$B$24)*Constants!$B$23,0))</f>
        <v/>
      </c>
      <c r="BG170" s="138" t="str">
        <f aca="false">IF($BX170&lt;&gt;Constants!$B$6,"",IF($AK170,0,Constants!$B$12)+IF($AJ170,0,Constants!$B$13)+IF($AH170,0,Constants!$B$14))</f>
        <v/>
      </c>
      <c r="BH170" s="139" t="str">
        <f aca="false">IF($BX170&lt;&gt;Constants!$B$6,"",Constants!$B$16+SUM($BC170:$BG170))</f>
        <v/>
      </c>
      <c r="BI170" s="138" t="str">
        <f aca="false">IF($BX170&lt;&gt;Constants!$B$6,"",$BC170)</f>
        <v/>
      </c>
      <c r="BJ170" s="138" t="str">
        <f aca="false">IF($BX170&lt;&gt;Constants!$B$6,"",$BD170)</f>
        <v/>
      </c>
      <c r="BK170" s="140" t="str">
        <f aca="false">IF($BX170&lt;&gt;Constants!$B$6,"",IF($AL170,$AN170,""))</f>
        <v/>
      </c>
      <c r="BL170" s="135" t="str">
        <f aca="false">IF($BX170&lt;&gt;Constants!$B$6,"",IF(OR($BS170&lt;$BH170,AND($BS170=$BH170,OR($BT170&lt;$BI170,AND($BT170=$BI170,OR($BU170&lt;$BJ170,AND($BU170=$BJ170,AND(ISNUMBER($BV170),OR(NOT(ISNUMBER($BK170)),$BV170&lt;$BK170)))))))),"-&gt;","&lt;-"))</f>
        <v/>
      </c>
      <c r="BM170" s="134" t="str">
        <f aca="false">IF(ISBLANK($C170),"",AND($AT170,OR($AU170="",$AV170="",AND($AW170,$AX170=""))))</f>
        <v/>
      </c>
      <c r="BN170" s="137" t="str">
        <f aca="false">IF($BX170&lt;&gt;Constants!$B$6,"",IF($AT170,Constants!$B$17*$AV170+Constants!$B$18*IF($AW170,$AX170,Constants!$B$19),Constants!$B$20))</f>
        <v/>
      </c>
      <c r="BO170" s="138" t="str">
        <f aca="false">IF($BX170&lt;&gt;Constants!$B$6,"",Constants!$B$21*ABS($AD$9-IF($AT170,$AU170,0)))</f>
        <v/>
      </c>
      <c r="BP170" s="138" t="str">
        <f aca="false">IF($BX170&lt;&gt;Constants!$B$6,"",IF(AND($AT170,$AY170,$AW170),Constants!$B$22,0))</f>
        <v/>
      </c>
      <c r="BQ170" s="138" t="str">
        <f aca="false">IF($BX170&lt;&gt;Constants!$B$6,"",IF($AT170,($AI170-Constants!$B$24)*Constants!$B$23,0))</f>
        <v/>
      </c>
      <c r="BR170" s="138" t="str">
        <f aca="false">IF($BX170&lt;&gt;Constants!$B$6,"",IF($AS170,0,Constants!$B$12)+IF($AR170,0,Constants!$B$13)+IF($AH170,0,Constants!$B$14))</f>
        <v/>
      </c>
      <c r="BS170" s="139" t="str">
        <f aca="false">IF($BX170&lt;&gt;Constants!$B$6,"",Constants!$B$16+SUM($BN170:$BR170))</f>
        <v/>
      </c>
      <c r="BT170" s="138" t="str">
        <f aca="false">IF($BX170&lt;&gt;Constants!$B$6,"",$BN170)</f>
        <v/>
      </c>
      <c r="BU170" s="138" t="str">
        <f aca="false">IF($BX170&lt;&gt;Constants!$B$6,"",$BO170)</f>
        <v/>
      </c>
      <c r="BV170" s="140" t="str">
        <f aca="false">IF($BX170&lt;&gt;Constants!$B$6,"",IF($AT170,$AV170,""))</f>
        <v/>
      </c>
      <c r="BW170" s="135" t="str">
        <f aca="false">IF(ISBLANK($C170),"",IF(ISBLANK($D$7),$BW$5,IF(NOT(ISNUMBER($D$7)),$BW$6,"")))</f>
        <v/>
      </c>
      <c r="BX170" s="135" t="str">
        <f aca="false">IF(ISBLANK($C170),"",IF($BA170,Constants!$B$9,IF(COUNTA($E170:$AA170)=0,Constants!$B$8,IF(NOT($AG170),Constants!$B$7,IF(OR($BW170&lt;&gt;"",$BB170,$BM170),Constants!$B$10,Constants!$B$6)))))</f>
        <v/>
      </c>
      <c r="BY170" s="135" t="str">
        <f aca="false">IF(ISBLANK($C170),"",IF($BX170&lt;&gt;Constants!$B$6,$BX170,Constants!$B$11))</f>
        <v/>
      </c>
      <c r="BZ170" s="138" t="str">
        <f aca="false">IF($BX170&lt;&gt;Constants!$B$6,"",IF($BL170="-&gt;",$BS170,$BH170))</f>
        <v/>
      </c>
      <c r="CA170" s="138" t="str">
        <f aca="false">IF($BX170&lt;&gt;Constants!$B$6,"",IF($AF170,0,Constants!$B$15))</f>
        <v/>
      </c>
      <c r="CB170" s="138" t="str">
        <f aca="false">IF($BX170&lt;&gt;Constants!$B$6,"",((Constants!$B$25-$AZ170)-Constants!$B$25)/Constants!$B$26)</f>
        <v/>
      </c>
      <c r="CC170" s="138" t="str">
        <f aca="false">IF(ISBLANK($C170),"",IF($BX170&lt;&gt;Constants!$B$6,$BX170,SUM($BZ170:$CB170)))</f>
        <v/>
      </c>
      <c r="CD170" s="135" t="str">
        <f aca="false">IF(ISBLANK($C170),"",IF($BX170&lt;&gt;Constants!$B$6,$BX170,RANK($CC170,$CC$9:$CC$508,1)))</f>
        <v/>
      </c>
      <c r="CE170" s="138" t="str">
        <f aca="false">IF($BX170&lt;&gt;Constants!$B$6,"",IF($BL170="-&gt;",$BT170,$BI170))</f>
        <v/>
      </c>
      <c r="CF170" s="135" t="str">
        <f aca="false">IF(ISBLANK($C170),"",IF($BX170&lt;&gt;Constants!$B$6,$BX170,IF(ISNUMBER($CE170),RANK($CE170,$CE$9:$CE$508,1),COUNT($CE$9:$CE$508)+1)))</f>
        <v/>
      </c>
      <c r="CG170" s="138" t="str">
        <f aca="false">IF($BX170&lt;&gt;Constants!$B$6,"",IF($BL170="-&gt;",$BU170,$BJ170))</f>
        <v/>
      </c>
      <c r="CH170" s="135" t="str">
        <f aca="false">IF(ISBLANK($C170),"",IF($BX170&lt;&gt;Constants!$B$6,$BX170,IF(ISNUMBER($CG170),RANK($CG170,$CG$9:$CG$508,1),COUNT($CG$9:$CG$508)+1)))</f>
        <v/>
      </c>
      <c r="CI170" s="138" t="str">
        <f aca="false">IF($BX170&lt;&gt;Constants!$B$6,"",IF($BL170="-&gt;",$BV170,$BK170))</f>
        <v/>
      </c>
      <c r="CJ170" s="135" t="str">
        <f aca="false">IF(ISBLANK($C170),"",IF($BX170&lt;&gt;Constants!$B$6,$BX170,IF(ISNUMBER($CI170),RANK($CI170,$CI$9:$CI$508,1),COUNT($CI$9:$CI$508)+1)))</f>
        <v/>
      </c>
      <c r="CK170" s="138" t="str">
        <f aca="false">IF($BX170&lt;&gt;Constants!$B$6,"",$AI170)</f>
        <v/>
      </c>
      <c r="CL170" s="135" t="str">
        <f aca="false">IF(ISBLANK($C170),"",IF($BX170&lt;&gt;Constants!$B$6,$BX170,IF(ISNUMBER($CK170),RANK($CK170,$CK$9:$CK$508,1),COUNT($CK$9:$CK$508)+1)))</f>
        <v/>
      </c>
      <c r="CM170" s="135" t="str">
        <f aca="false">IF(ISBLANK($C170),"",IF($BX170&lt;&gt;Constants!$B$6,$BX170,COUNTIFS($CD$9:$CD$508,"&lt;"&amp;$CD170)+COUNTIFS($CD$9:$CD$508,$CD170,$CF$9:$CF$508,"&lt;"&amp;$CF170)+COUNTIFS($CD$9:$CD$508,$CD170,$CF$9:$CF$508,$CF170,$CH$9:$CH$508,"&lt;"&amp;$CH170)+COUNTIFS($CD$9:$CD$508,$CD170,$CF$9:$CF$508,$CF170,$CH$9:$CH$508,$CH170,$CJ$9:$CJ$508,"&lt;"&amp;$CJ170)+COUNTIFS($CD$9:$CD$508,$CD170,$CF$9:$CF$508,$CF170,$CH$9:$CH$508,$CH170,$CJ$9:$CJ$508,$CJ170,$CL$9:$CL$508,"&lt;"&amp;$CL170)+1))</f>
        <v/>
      </c>
      <c r="CN170" s="135" t="str">
        <f aca="false">IF(ISBLANK($C170),"",IF($BX170&lt;&gt;Constants!$B$6,$BX170,$CD170-$CM170))</f>
        <v/>
      </c>
      <c r="CO170" s="141"/>
      <c r="CP170" s="142"/>
      <c r="CQ170" s="143" t="str">
        <f aca="false">IF(ISBLANK($C170),"",IF($BX170=Constants!$B$10,$BW170,""))</f>
        <v/>
      </c>
      <c r="CR170" s="142" t="str">
        <f aca="false">IF(ISBLANK($C170),"",IF($BX170&lt;&gt;Constants!$B$6,"",IF($BL170="-&gt;",2,1)))</f>
        <v/>
      </c>
      <c r="CS170" s="144" t="str">
        <f aca="false">IF(ISBLANK($C170),"",IF($BX170&lt;&gt;Constants!$B$6,"",IF($BL170="-&gt;",$BN170,$BC170)))</f>
        <v/>
      </c>
      <c r="CT170" s="144" t="str">
        <f aca="false">IF(ISBLANK($C170),"",IF($BX170&lt;&gt;Constants!$B$6,"",IF($BL170="-&gt;",$BO170,$BD170)))</f>
        <v/>
      </c>
      <c r="CU170" s="144" t="str">
        <f aca="false">IF(ISBLANK($C170),"",IF($BX170&lt;&gt;Constants!$B$6,"",IF($BL170="-&gt;",$BP170+$BQ170,$BE170+$BF170)+$CB170))</f>
        <v/>
      </c>
      <c r="CV170" s="144" t="str">
        <f aca="false">IF(ISBLANK($C170),"",IF($BX170&lt;&gt;Constants!$B$6,"",IF($BL170="-&gt;",$BR170,$BG170)+$CA170))</f>
        <v/>
      </c>
      <c r="CW170" s="145" t="str">
        <f aca="false">IF(ISBLANK($C170),"",IF($BX170&lt;&gt;Constants!$B$6,$BX170,$CC170))</f>
        <v/>
      </c>
      <c r="CX170" s="146" t="str">
        <f aca="false">IF(ISBLANK($C170),"",$BY170)</f>
        <v/>
      </c>
      <c r="CY170" s="147" t="str">
        <f aca="false">IF(ISBLANK($C170),"",$CN170)</f>
        <v/>
      </c>
      <c r="CZ170" s="147" t="str">
        <f aca="false">IF(ISBLANK($C170),"",$CM170)</f>
        <v/>
      </c>
      <c r="DA170" s="148" t="str">
        <f aca="false">IF(ISBLANK($C170),"",IFERROR(_xlfn.SWITCH($CZ170,Constants!$B$9,COUNTA($C$9:$C$508)+2,Constants!$B$8,COUNTA($C$9:$C$508)+1,Constants!$B$7,COUNTA($C$9:$C$508)),$CZ170))</f>
        <v/>
      </c>
      <c r="DB170" s="9"/>
      <c r="DC170" s="149" t="n">
        <f aca="false">IF(OR(ISNUMBER($CZ170),$CZ170=Constants!$B$9,$CZ170=Constants!$B$7,$CZ170=Constants!$B$8),1,0)</f>
        <v>0</v>
      </c>
      <c r="DD170" s="149" t="n">
        <v>162</v>
      </c>
      <c r="DE170" s="149" t="str">
        <f aca="false">IF(ISBLANK($C170),"",IF(ISNUMBER($DA170),$DA170+ROW($B170)/1000,""))</f>
        <v/>
      </c>
      <c r="DF170" s="149" t="str">
        <f aca="false">IF(ISNUMBER($DE170),RANK($DE170,$DE$9:$DE$508,1),"")</f>
        <v/>
      </c>
      <c r="DG170" s="149" t="str">
        <f aca="false">IF(ISBLANK($C170),"",$B170)</f>
        <v/>
      </c>
      <c r="DH170" s="149" t="str">
        <f aca="false">IF(ISBLANK($C170),"",$C170)</f>
        <v/>
      </c>
      <c r="DI170" s="149" t="str">
        <f aca="false">IF(ISBLANK($C170),"",$D170)</f>
        <v/>
      </c>
      <c r="DJ170" s="150" t="str">
        <f aca="false">$CX170</f>
        <v/>
      </c>
      <c r="DK170" s="151" t="str">
        <f aca="false">$CW170</f>
        <v/>
      </c>
      <c r="DL170" s="149" t="str">
        <f aca="false">IF(ISBLANK($C170),"",$CZ170)</f>
        <v/>
      </c>
      <c r="DM170" s="152" t="str">
        <f aca="false">IF($DD170&gt;$DC$8,"",VLOOKUP($DD170,$DF$9:$DL$508,7,FALSE()))</f>
        <v/>
      </c>
      <c r="DN170" s="153" t="str">
        <f aca="false">IF($DD170&gt;$DC$8,"",VLOOKUP($DD170,$DF$9:$DL$508,2,FALSE()))</f>
        <v/>
      </c>
      <c r="DO170" s="153" t="str">
        <f aca="false">IF($DD170&gt;$DC$8,"",VLOOKUP($DD170,$DF$9:$DL$508,3,FALSE()))</f>
        <v/>
      </c>
      <c r="DP170" s="153" t="str">
        <f aca="false">IF($DD170&gt;$DC$8,"",VLOOKUP($DD170,$DF$9:$DL$508,4,FALSE()))</f>
        <v/>
      </c>
      <c r="DQ170" s="153" t="str">
        <f aca="false">IF($DD170&gt;$DC$8,"",VLOOKUP($DD170,$DF$9:$DL$508,5,FALSE()))</f>
        <v/>
      </c>
      <c r="DR170" s="154" t="str">
        <f aca="false">IF($DD170&gt;$DC$8,"",VLOOKUP($DD170,$DF$9:$DL$508,6,FALSE()))</f>
        <v/>
      </c>
      <c r="DS170" s="76"/>
    </row>
    <row r="171" customFormat="false" ht="15.75" hidden="false" customHeight="false" outlineLevel="0" collapsed="false">
      <c r="A171" s="9"/>
      <c r="B171" s="78"/>
      <c r="C171" s="79"/>
      <c r="D171" s="170"/>
      <c r="E171" s="178"/>
      <c r="F171" s="172"/>
      <c r="G171" s="173"/>
      <c r="H171" s="173"/>
      <c r="I171" s="179"/>
      <c r="J171" s="176"/>
      <c r="K171" s="86"/>
      <c r="L171" s="87"/>
      <c r="M171" s="88"/>
      <c r="N171" s="176"/>
      <c r="O171" s="176"/>
      <c r="P171" s="178"/>
      <c r="Q171" s="176"/>
      <c r="R171" s="176"/>
      <c r="S171" s="86"/>
      <c r="T171" s="88"/>
      <c r="U171" s="88"/>
      <c r="V171" s="176"/>
      <c r="W171" s="176"/>
      <c r="X171" s="178"/>
      <c r="Y171" s="176"/>
      <c r="Z171" s="177"/>
      <c r="AA171" s="176"/>
      <c r="AB171" s="92"/>
      <c r="AC171" s="93"/>
      <c r="AD171" s="93"/>
      <c r="AE171" s="93"/>
      <c r="AF171" s="93" t="str">
        <f aca="false">IF(ISBLANK($C171),"",IF(E171=Constants!$B$2,TRUE(),IF(E171=Constants!$B$3,FALSE(),TRUE())))</f>
        <v/>
      </c>
      <c r="AG171" s="93" t="str">
        <f aca="false">IF(ISBLANK($C171),"",IF(F171=Constants!$B$2,TRUE(),IF(F171=Constants!$B$3,FALSE(),TRUE())))</f>
        <v/>
      </c>
      <c r="AH171" s="93" t="str">
        <f aca="false">IF(ISBLANK($C171),"",IF(G171=Constants!$B$2,TRUE(),IF(G171=Constants!$B$3,FALSE(),TRUE())))</f>
        <v/>
      </c>
      <c r="AI171" s="93" t="str">
        <f aca="false">IF(ISBLANK($C171),"",IF(AND(ISNUMBER(H171),H171&gt;=0),H171,Constants!$B$24))</f>
        <v/>
      </c>
      <c r="AJ171" s="93" t="str">
        <f aca="false">IF(ISBLANK($C171),"",IF(I171=Constants!$B$2,TRUE(),IF(I171=Constants!$B$3,FALSE(),TRUE())))</f>
        <v/>
      </c>
      <c r="AK171" s="93" t="str">
        <f aca="false">IF(ISBLANK($C171),"",IF(J171=Constants!$B$2,TRUE(),IF(J171=Constants!$B$3,FALSE(),TRUE())))</f>
        <v/>
      </c>
      <c r="AL171" s="93" t="str">
        <f aca="false">IF(ISBLANK($C171),"",IF(K171=Constants!$B$4,TRUE(),IF(K171=Constants!$B$5,FALSE(),COUNTA(L171:P171)&gt;0)))</f>
        <v/>
      </c>
      <c r="AM171" s="95" t="str">
        <f aca="false">IF(ISBLANK($C171),"",IF(ISNUMBER(L171),IF(L171&gt;=0,L171,""),""))</f>
        <v/>
      </c>
      <c r="AN171" s="94" t="str">
        <f aca="false">IF(ISBLANK($C171),"",IF(ISNUMBER(M171),IF(M171&gt;=0,M171,""),""))</f>
        <v/>
      </c>
      <c r="AO171" s="94" t="str">
        <f aca="false">IF(ISBLANK($C171),"",IF(N171=Constants!$B$2,TRUE(),IF(N171=Constants!$B$3,FALSE(),TRUE())))</f>
        <v/>
      </c>
      <c r="AP171" s="93" t="str">
        <f aca="false">IF(ISBLANK($C171),"",IF(ISNUMBER(O171),IF(O171&gt;=0,O171,""),""))</f>
        <v/>
      </c>
      <c r="AQ171" s="93" t="str">
        <f aca="false">IF(ISBLANK($C171),"",IF(P171=Constants!$B$2,TRUE(),IF(P171=Constants!$B$3,FALSE(),FALSE())))</f>
        <v/>
      </c>
      <c r="AR171" s="93" t="str">
        <f aca="false">IF(ISBLANK($C171),"",IF(Q171=Constants!$B$2,TRUE(),IF(Q171=Constants!$B$3,FALSE(),TRUE())))</f>
        <v/>
      </c>
      <c r="AS171" s="93" t="str">
        <f aca="false">IF(ISBLANK($C171),"",IF(R171=Constants!$B$2,TRUE(),IF(R171=Constants!$B$3,FALSE(),TRUE())))</f>
        <v/>
      </c>
      <c r="AT171" s="93" t="str">
        <f aca="false">IF(ISBLANK($C171),"",IF(S171=Constants!$B$4,TRUE(),IF(S171=Constants!$B$5,FALSE(),COUNTA(T171:X171)&gt;0)))</f>
        <v/>
      </c>
      <c r="AU171" s="95" t="str">
        <f aca="false">IF(ISBLANK($C171),"",IF(ISNUMBER(T171),IF(T171&gt;=0,T171,""),""))</f>
        <v/>
      </c>
      <c r="AV171" s="94" t="str">
        <f aca="false">IF(ISBLANK($C171),"",IF(ISNUMBER(U171),IF(U171&gt;=0,U171,""),""))</f>
        <v/>
      </c>
      <c r="AW171" s="94" t="str">
        <f aca="false">IF(ISBLANK($C171),"",IF(V171=Constants!$B$2,TRUE(),IF(V171=Constants!$B$3,FALSE(),TRUE())))</f>
        <v/>
      </c>
      <c r="AX171" s="93" t="str">
        <f aca="false">IF(ISBLANK($C171),"",IF(ISNUMBER(W171),IF(W171&gt;=0,W171,""),""))</f>
        <v/>
      </c>
      <c r="AY171" s="93" t="str">
        <f aca="false">IF(ISBLANK($C171),"",IF(X171=Constants!$B$2,TRUE(),IF(X171=Constants!$B$3,FALSE(),FALSE())))</f>
        <v/>
      </c>
      <c r="AZ171" s="93" t="str">
        <f aca="false">IF(ISBLANK($C171),"",MIN(Constants!$B$25,MAX(0,IF(ISNUMBER(Y171),Y171*60,0)+IF(ISNUMBER(Z171),Z171,0))))</f>
        <v/>
      </c>
      <c r="BA171" s="93" t="str">
        <f aca="false">IF(ISBLANK($C171),"",IF(AA171=Constants!$B$2,TRUE(),IF(AA171=Constants!$B$3,FALSE(),FALSE())))</f>
        <v/>
      </c>
      <c r="BB171" s="92" t="str">
        <f aca="false">IF(ISBLANK($C171),"",AND($AL171,OR($AM171="",$AN171="",AND($AO171,$AP171=""))))</f>
        <v/>
      </c>
      <c r="BC171" s="94" t="str">
        <f aca="false">IF($BX171&lt;&gt;Constants!$B$6,"",IF($AL171,Constants!$B$17*$AN171+Constants!$B$18*IF($AO171,$AP171,Constants!$B$19),Constants!$B$20))</f>
        <v/>
      </c>
      <c r="BD171" s="97" t="str">
        <f aca="false">IF($BX171&lt;&gt;Constants!$B$6,"",Constants!$B$21*ABS($AD$9-IF($AL171,$AM171,0)))</f>
        <v/>
      </c>
      <c r="BE171" s="97" t="str">
        <f aca="false">IF($BX171&lt;&gt;Constants!$B$6,"",IF(AND($AL171,$AQ171,$AO171),Constants!$B$22,0))</f>
        <v/>
      </c>
      <c r="BF171" s="97" t="str">
        <f aca="false">IF($BX171&lt;&gt;Constants!$B$6,"",IF($AL171,($AI171-Constants!$B$24)*Constants!$B$23,0))</f>
        <v/>
      </c>
      <c r="BG171" s="97" t="str">
        <f aca="false">IF($BX171&lt;&gt;Constants!$B$6,"",IF($AK171,0,Constants!$B$12)+IF($AJ171,0,Constants!$B$13)+IF($AH171,0,Constants!$B$14))</f>
        <v/>
      </c>
      <c r="BH171" s="98" t="str">
        <f aca="false">IF($BX171&lt;&gt;Constants!$B$6,"",Constants!$B$16+SUM($BC171:$BG171))</f>
        <v/>
      </c>
      <c r="BI171" s="97" t="str">
        <f aca="false">IF($BX171&lt;&gt;Constants!$B$6,"",$BC171)</f>
        <v/>
      </c>
      <c r="BJ171" s="97" t="str">
        <f aca="false">IF($BX171&lt;&gt;Constants!$B$6,"",$BD171)</f>
        <v/>
      </c>
      <c r="BK171" s="99" t="str">
        <f aca="false">IF($BX171&lt;&gt;Constants!$B$6,"",IF($AL171,$AN171,""))</f>
        <v/>
      </c>
      <c r="BL171" s="93" t="str">
        <f aca="false">IF($BX171&lt;&gt;Constants!$B$6,"",IF(OR($BS171&lt;$BH171,AND($BS171=$BH171,OR($BT171&lt;$BI171,AND($BT171=$BI171,OR($BU171&lt;$BJ171,AND($BU171=$BJ171,AND(ISNUMBER($BV171),OR(NOT(ISNUMBER($BK171)),$BV171&lt;$BK171)))))))),"-&gt;","&lt;-"))</f>
        <v/>
      </c>
      <c r="BM171" s="92" t="str">
        <f aca="false">IF(ISBLANK($C171),"",AND($AT171,OR($AU171="",$AV171="",AND($AW171,$AX171=""))))</f>
        <v/>
      </c>
      <c r="BN171" s="94" t="str">
        <f aca="false">IF($BX171&lt;&gt;Constants!$B$6,"",IF($AT171,Constants!$B$17*$AV171+Constants!$B$18*IF($AW171,$AX171,Constants!$B$19),Constants!$B$20))</f>
        <v/>
      </c>
      <c r="BO171" s="97" t="str">
        <f aca="false">IF($BX171&lt;&gt;Constants!$B$6,"",Constants!$B$21*ABS($AD$9-IF($AT171,$AU171,0)))</f>
        <v/>
      </c>
      <c r="BP171" s="97" t="str">
        <f aca="false">IF($BX171&lt;&gt;Constants!$B$6,"",IF(AND($AT171,$AY171,$AW171),Constants!$B$22,0))</f>
        <v/>
      </c>
      <c r="BQ171" s="97" t="str">
        <f aca="false">IF($BX171&lt;&gt;Constants!$B$6,"",IF($AT171,($AI171-Constants!$B$24)*Constants!$B$23,0))</f>
        <v/>
      </c>
      <c r="BR171" s="97" t="str">
        <f aca="false">IF($BX171&lt;&gt;Constants!$B$6,"",IF($AS171,0,Constants!$B$12)+IF($AR171,0,Constants!$B$13)+IF($AH171,0,Constants!$B$14))</f>
        <v/>
      </c>
      <c r="BS171" s="98" t="str">
        <f aca="false">IF($BX171&lt;&gt;Constants!$B$6,"",Constants!$B$16+SUM($BN171:$BR171))</f>
        <v/>
      </c>
      <c r="BT171" s="97" t="str">
        <f aca="false">IF($BX171&lt;&gt;Constants!$B$6,"",$BN171)</f>
        <v/>
      </c>
      <c r="BU171" s="97" t="str">
        <f aca="false">IF($BX171&lt;&gt;Constants!$B$6,"",$BO171)</f>
        <v/>
      </c>
      <c r="BV171" s="99" t="str">
        <f aca="false">IF($BX171&lt;&gt;Constants!$B$6,"",IF($AT171,$AV171,""))</f>
        <v/>
      </c>
      <c r="BW171" s="93" t="str">
        <f aca="false">IF(ISBLANK($C171),"",IF(ISBLANK($D$7),$BW$5,IF(NOT(ISNUMBER($D$7)),$BW$6,"")))</f>
        <v/>
      </c>
      <c r="BX171" s="93" t="str">
        <f aca="false">IF(ISBLANK($C171),"",IF($BA171,Constants!$B$9,IF(COUNTA($E171:$AA171)=0,Constants!$B$8,IF(NOT($AG171),Constants!$B$7,IF(OR($BW171&lt;&gt;"",$BB171,$BM171),Constants!$B$10,Constants!$B$6)))))</f>
        <v/>
      </c>
      <c r="BY171" s="93" t="str">
        <f aca="false">IF(ISBLANK($C171),"",IF($BX171&lt;&gt;Constants!$B$6,$BX171,Constants!$B$11))</f>
        <v/>
      </c>
      <c r="BZ171" s="97" t="str">
        <f aca="false">IF($BX171&lt;&gt;Constants!$B$6,"",IF($BL171="-&gt;",$BS171,$BH171))</f>
        <v/>
      </c>
      <c r="CA171" s="97" t="str">
        <f aca="false">IF($BX171&lt;&gt;Constants!$B$6,"",IF($AF171,0,Constants!$B$15))</f>
        <v/>
      </c>
      <c r="CB171" s="97" t="str">
        <f aca="false">IF($BX171&lt;&gt;Constants!$B$6,"",((Constants!$B$25-$AZ171)-Constants!$B$25)/Constants!$B$26)</f>
        <v/>
      </c>
      <c r="CC171" s="97" t="str">
        <f aca="false">IF(ISBLANK($C171),"",IF($BX171&lt;&gt;Constants!$B$6,$BX171,SUM($BZ171:$CB171)))</f>
        <v/>
      </c>
      <c r="CD171" s="93" t="str">
        <f aca="false">IF(ISBLANK($C171),"",IF($BX171&lt;&gt;Constants!$B$6,$BX171,RANK($CC171,$CC$9:$CC$508,1)))</f>
        <v/>
      </c>
      <c r="CE171" s="97" t="str">
        <f aca="false">IF($BX171&lt;&gt;Constants!$B$6,"",IF($BL171="-&gt;",$BT171,$BI171))</f>
        <v/>
      </c>
      <c r="CF171" s="93" t="str">
        <f aca="false">IF(ISBLANK($C171),"",IF($BX171&lt;&gt;Constants!$B$6,$BX171,IF(ISNUMBER($CE171),RANK($CE171,$CE$9:$CE$508,1),COUNT($CE$9:$CE$508)+1)))</f>
        <v/>
      </c>
      <c r="CG171" s="97" t="str">
        <f aca="false">IF($BX171&lt;&gt;Constants!$B$6,"",IF($BL171="-&gt;",$BU171,$BJ171))</f>
        <v/>
      </c>
      <c r="CH171" s="93" t="str">
        <f aca="false">IF(ISBLANK($C171),"",IF($BX171&lt;&gt;Constants!$B$6,$BX171,IF(ISNUMBER($CG171),RANK($CG171,$CG$9:$CG$508,1),COUNT($CG$9:$CG$508)+1)))</f>
        <v/>
      </c>
      <c r="CI171" s="97" t="str">
        <f aca="false">IF($BX171&lt;&gt;Constants!$B$6,"",IF($BL171="-&gt;",$BV171,$BK171))</f>
        <v/>
      </c>
      <c r="CJ171" s="93" t="str">
        <f aca="false">IF(ISBLANK($C171),"",IF($BX171&lt;&gt;Constants!$B$6,$BX171,IF(ISNUMBER($CI171),RANK($CI171,$CI$9:$CI$508,1),COUNT($CI$9:$CI$508)+1)))</f>
        <v/>
      </c>
      <c r="CK171" s="97" t="str">
        <f aca="false">IF($BX171&lt;&gt;Constants!$B$6,"",$AI171)</f>
        <v/>
      </c>
      <c r="CL171" s="93" t="str">
        <f aca="false">IF(ISBLANK($C171),"",IF($BX171&lt;&gt;Constants!$B$6,$BX171,IF(ISNUMBER($CK171),RANK($CK171,$CK$9:$CK$508,1),COUNT($CK$9:$CK$508)+1)))</f>
        <v/>
      </c>
      <c r="CM171" s="93" t="str">
        <f aca="false">IF(ISBLANK($C171),"",IF($BX171&lt;&gt;Constants!$B$6,$BX171,COUNTIFS($CD$9:$CD$508,"&lt;"&amp;$CD171)+COUNTIFS($CD$9:$CD$508,$CD171,$CF$9:$CF$508,"&lt;"&amp;$CF171)+COUNTIFS($CD$9:$CD$508,$CD171,$CF$9:$CF$508,$CF171,$CH$9:$CH$508,"&lt;"&amp;$CH171)+COUNTIFS($CD$9:$CD$508,$CD171,$CF$9:$CF$508,$CF171,$CH$9:$CH$508,$CH171,$CJ$9:$CJ$508,"&lt;"&amp;$CJ171)+COUNTIFS($CD$9:$CD$508,$CD171,$CF$9:$CF$508,$CF171,$CH$9:$CH$508,$CH171,$CJ$9:$CJ$508,$CJ171,$CL$9:$CL$508,"&lt;"&amp;$CL171)+1))</f>
        <v/>
      </c>
      <c r="CN171" s="93" t="str">
        <f aca="false">IF(ISBLANK($C171),"",IF($BX171&lt;&gt;Constants!$B$6,$BX171,$CD171-$CM171))</f>
        <v/>
      </c>
      <c r="CO171" s="100"/>
      <c r="CP171" s="101"/>
      <c r="CQ171" s="102" t="str">
        <f aca="false">IF(ISBLANK($C171),"",IF($BX171=Constants!$B$10,$BW171,""))</f>
        <v/>
      </c>
      <c r="CR171" s="101" t="str">
        <f aca="false">IF(ISBLANK($C171),"",IF($BX171&lt;&gt;Constants!$B$6,"",IF($BL171="-&gt;",2,1)))</f>
        <v/>
      </c>
      <c r="CS171" s="103" t="str">
        <f aca="false">IF(ISBLANK($C171),"",IF($BX171&lt;&gt;Constants!$B$6,"",IF($BL171="-&gt;",$BN171,$BC171)))</f>
        <v/>
      </c>
      <c r="CT171" s="103" t="str">
        <f aca="false">IF(ISBLANK($C171),"",IF($BX171&lt;&gt;Constants!$B$6,"",IF($BL171="-&gt;",$BO171,$BD171)))</f>
        <v/>
      </c>
      <c r="CU171" s="103" t="str">
        <f aca="false">IF(ISBLANK($C171),"",IF($BX171&lt;&gt;Constants!$B$6,"",IF($BL171="-&gt;",$BP171+$BQ171,$BE171+$BF171)+$CB171))</f>
        <v/>
      </c>
      <c r="CV171" s="103" t="str">
        <f aca="false">IF(ISBLANK($C171),"",IF($BX171&lt;&gt;Constants!$B$6,"",IF($BL171="-&gt;",$BR171,$BG171)+$CA171))</f>
        <v/>
      </c>
      <c r="CW171" s="104" t="str">
        <f aca="false">IF(ISBLANK($C171),"",IF($BX171&lt;&gt;Constants!$B$6,$BX171,$CC171))</f>
        <v/>
      </c>
      <c r="CX171" s="105" t="str">
        <f aca="false">IF(ISBLANK($C171),"",$BY171)</f>
        <v/>
      </c>
      <c r="CY171" s="106" t="str">
        <f aca="false">IF(ISBLANK($C171),"",$CN171)</f>
        <v/>
      </c>
      <c r="CZ171" s="106" t="str">
        <f aca="false">IF(ISBLANK($C171),"",$CM171)</f>
        <v/>
      </c>
      <c r="DA171" s="107" t="str">
        <f aca="false">IF(ISBLANK($C171),"",IFERROR(_xlfn.SWITCH($CZ171,Constants!$B$9,COUNTA($C$9:$C$508)+2,Constants!$B$8,COUNTA($C$9:$C$508)+1,Constants!$B$7,COUNTA($C$9:$C$508)),$CZ171))</f>
        <v/>
      </c>
      <c r="DB171" s="9"/>
      <c r="DC171" s="108" t="n">
        <f aca="false">IF(OR(ISNUMBER($CZ171),$CZ171=Constants!$B$9,$CZ171=Constants!$B$7,$CZ171=Constants!$B$8),1,0)</f>
        <v>0</v>
      </c>
      <c r="DD171" s="108" t="n">
        <v>163</v>
      </c>
      <c r="DE171" s="108" t="str">
        <f aca="false">IF(ISBLANK($C171),"",IF(ISNUMBER($DA171),$DA171+ROW($B171)/1000,""))</f>
        <v/>
      </c>
      <c r="DF171" s="108" t="str">
        <f aca="false">IF(ISNUMBER($DE171),RANK($DE171,$DE$9:$DE$508,1),"")</f>
        <v/>
      </c>
      <c r="DG171" s="108" t="str">
        <f aca="false">IF(ISBLANK($C171),"",$B171)</f>
        <v/>
      </c>
      <c r="DH171" s="108" t="str">
        <f aca="false">IF(ISBLANK($C171),"",$C171)</f>
        <v/>
      </c>
      <c r="DI171" s="108" t="str">
        <f aca="false">IF(ISBLANK($C171),"",$D171)</f>
        <v/>
      </c>
      <c r="DJ171" s="109" t="str">
        <f aca="false">$CX171</f>
        <v/>
      </c>
      <c r="DK171" s="110" t="str">
        <f aca="false">$CW171</f>
        <v/>
      </c>
      <c r="DL171" s="108" t="str">
        <f aca="false">IF(ISBLANK($C171),"",$CZ171)</f>
        <v/>
      </c>
      <c r="DM171" s="111" t="str">
        <f aca="false">IF($DD171&gt;$DC$8,"",VLOOKUP($DD171,$DF$9:$DL$508,7,FALSE()))</f>
        <v/>
      </c>
      <c r="DN171" s="112" t="str">
        <f aca="false">IF($DD171&gt;$DC$8,"",VLOOKUP($DD171,$DF$9:$DL$508,2,FALSE()))</f>
        <v/>
      </c>
      <c r="DO171" s="112" t="str">
        <f aca="false">IF($DD171&gt;$DC$8,"",VLOOKUP($DD171,$DF$9:$DL$508,3,FALSE()))</f>
        <v/>
      </c>
      <c r="DP171" s="112" t="str">
        <f aca="false">IF($DD171&gt;$DC$8,"",VLOOKUP($DD171,$DF$9:$DL$508,4,FALSE()))</f>
        <v/>
      </c>
      <c r="DQ171" s="112" t="str">
        <f aca="false">IF($DD171&gt;$DC$8,"",VLOOKUP($DD171,$DF$9:$DL$508,5,FALSE()))</f>
        <v/>
      </c>
      <c r="DR171" s="113" t="str">
        <f aca="false">IF($DD171&gt;$DC$8,"",VLOOKUP($DD171,$DF$9:$DL$508,6,FALSE()))</f>
        <v/>
      </c>
      <c r="DS171" s="76"/>
    </row>
    <row r="172" customFormat="false" ht="15.75" hidden="false" customHeight="false" outlineLevel="0" collapsed="false">
      <c r="A172" s="9"/>
      <c r="B172" s="78"/>
      <c r="C172" s="79"/>
      <c r="D172" s="170"/>
      <c r="E172" s="178"/>
      <c r="F172" s="172"/>
      <c r="G172" s="173"/>
      <c r="H172" s="173"/>
      <c r="I172" s="179"/>
      <c r="J172" s="176"/>
      <c r="K172" s="86"/>
      <c r="L172" s="87"/>
      <c r="M172" s="88"/>
      <c r="N172" s="176"/>
      <c r="O172" s="176"/>
      <c r="P172" s="178"/>
      <c r="Q172" s="176"/>
      <c r="R172" s="176"/>
      <c r="S172" s="86"/>
      <c r="T172" s="88"/>
      <c r="U172" s="88"/>
      <c r="V172" s="176"/>
      <c r="W172" s="176"/>
      <c r="X172" s="178"/>
      <c r="Y172" s="176"/>
      <c r="Z172" s="177"/>
      <c r="AA172" s="176"/>
      <c r="AB172" s="92"/>
      <c r="AC172" s="93"/>
      <c r="AD172" s="93"/>
      <c r="AE172" s="93"/>
      <c r="AF172" s="93" t="str">
        <f aca="false">IF(ISBLANK($C172),"",IF(E172=Constants!$B$2,TRUE(),IF(E172=Constants!$B$3,FALSE(),TRUE())))</f>
        <v/>
      </c>
      <c r="AG172" s="93" t="str">
        <f aca="false">IF(ISBLANK($C172),"",IF(F172=Constants!$B$2,TRUE(),IF(F172=Constants!$B$3,FALSE(),TRUE())))</f>
        <v/>
      </c>
      <c r="AH172" s="93" t="str">
        <f aca="false">IF(ISBLANK($C172),"",IF(G172=Constants!$B$2,TRUE(),IF(G172=Constants!$B$3,FALSE(),TRUE())))</f>
        <v/>
      </c>
      <c r="AI172" s="93" t="str">
        <f aca="false">IF(ISBLANK($C172),"",IF(AND(ISNUMBER(H172),H172&gt;=0),H172,Constants!$B$24))</f>
        <v/>
      </c>
      <c r="AJ172" s="93" t="str">
        <f aca="false">IF(ISBLANK($C172),"",IF(I172=Constants!$B$2,TRUE(),IF(I172=Constants!$B$3,FALSE(),TRUE())))</f>
        <v/>
      </c>
      <c r="AK172" s="93" t="str">
        <f aca="false">IF(ISBLANK($C172),"",IF(J172=Constants!$B$2,TRUE(),IF(J172=Constants!$B$3,FALSE(),TRUE())))</f>
        <v/>
      </c>
      <c r="AL172" s="93" t="str">
        <f aca="false">IF(ISBLANK($C172),"",IF(K172=Constants!$B$4,TRUE(),IF(K172=Constants!$B$5,FALSE(),COUNTA(L172:P172)&gt;0)))</f>
        <v/>
      </c>
      <c r="AM172" s="95" t="str">
        <f aca="false">IF(ISBLANK($C172),"",IF(ISNUMBER(L172),IF(L172&gt;=0,L172,""),""))</f>
        <v/>
      </c>
      <c r="AN172" s="94" t="str">
        <f aca="false">IF(ISBLANK($C172),"",IF(ISNUMBER(M172),IF(M172&gt;=0,M172,""),""))</f>
        <v/>
      </c>
      <c r="AO172" s="94" t="str">
        <f aca="false">IF(ISBLANK($C172),"",IF(N172=Constants!$B$2,TRUE(),IF(N172=Constants!$B$3,FALSE(),TRUE())))</f>
        <v/>
      </c>
      <c r="AP172" s="93" t="str">
        <f aca="false">IF(ISBLANK($C172),"",IF(ISNUMBER(O172),IF(O172&gt;=0,O172,""),""))</f>
        <v/>
      </c>
      <c r="AQ172" s="93" t="str">
        <f aca="false">IF(ISBLANK($C172),"",IF(P172=Constants!$B$2,TRUE(),IF(P172=Constants!$B$3,FALSE(),FALSE())))</f>
        <v/>
      </c>
      <c r="AR172" s="93" t="str">
        <f aca="false">IF(ISBLANK($C172),"",IF(Q172=Constants!$B$2,TRUE(),IF(Q172=Constants!$B$3,FALSE(),TRUE())))</f>
        <v/>
      </c>
      <c r="AS172" s="93" t="str">
        <f aca="false">IF(ISBLANK($C172),"",IF(R172=Constants!$B$2,TRUE(),IF(R172=Constants!$B$3,FALSE(),TRUE())))</f>
        <v/>
      </c>
      <c r="AT172" s="93" t="str">
        <f aca="false">IF(ISBLANK($C172),"",IF(S172=Constants!$B$4,TRUE(),IF(S172=Constants!$B$5,FALSE(),COUNTA(T172:X172)&gt;0)))</f>
        <v/>
      </c>
      <c r="AU172" s="95" t="str">
        <f aca="false">IF(ISBLANK($C172),"",IF(ISNUMBER(T172),IF(T172&gt;=0,T172,""),""))</f>
        <v/>
      </c>
      <c r="AV172" s="94" t="str">
        <f aca="false">IF(ISBLANK($C172),"",IF(ISNUMBER(U172),IF(U172&gt;=0,U172,""),""))</f>
        <v/>
      </c>
      <c r="AW172" s="94" t="str">
        <f aca="false">IF(ISBLANK($C172),"",IF(V172=Constants!$B$2,TRUE(),IF(V172=Constants!$B$3,FALSE(),TRUE())))</f>
        <v/>
      </c>
      <c r="AX172" s="93" t="str">
        <f aca="false">IF(ISBLANK($C172),"",IF(ISNUMBER(W172),IF(W172&gt;=0,W172,""),""))</f>
        <v/>
      </c>
      <c r="AY172" s="93" t="str">
        <f aca="false">IF(ISBLANK($C172),"",IF(X172=Constants!$B$2,TRUE(),IF(X172=Constants!$B$3,FALSE(),FALSE())))</f>
        <v/>
      </c>
      <c r="AZ172" s="93" t="str">
        <f aca="false">IF(ISBLANK($C172),"",MIN(Constants!$B$25,MAX(0,IF(ISNUMBER(Y172),Y172*60,0)+IF(ISNUMBER(Z172),Z172,0))))</f>
        <v/>
      </c>
      <c r="BA172" s="93" t="str">
        <f aca="false">IF(ISBLANK($C172),"",IF(AA172=Constants!$B$2,TRUE(),IF(AA172=Constants!$B$3,FALSE(),FALSE())))</f>
        <v/>
      </c>
      <c r="BB172" s="92" t="str">
        <f aca="false">IF(ISBLANK($C172),"",AND($AL172,OR($AM172="",$AN172="",AND($AO172,$AP172=""))))</f>
        <v/>
      </c>
      <c r="BC172" s="94" t="str">
        <f aca="false">IF($BX172&lt;&gt;Constants!$B$6,"",IF($AL172,Constants!$B$17*$AN172+Constants!$B$18*IF($AO172,$AP172,Constants!$B$19),Constants!$B$20))</f>
        <v/>
      </c>
      <c r="BD172" s="97" t="str">
        <f aca="false">IF($BX172&lt;&gt;Constants!$B$6,"",Constants!$B$21*ABS($AD$9-IF($AL172,$AM172,0)))</f>
        <v/>
      </c>
      <c r="BE172" s="97" t="str">
        <f aca="false">IF($BX172&lt;&gt;Constants!$B$6,"",IF(AND($AL172,$AQ172,$AO172),Constants!$B$22,0))</f>
        <v/>
      </c>
      <c r="BF172" s="97" t="str">
        <f aca="false">IF($BX172&lt;&gt;Constants!$B$6,"",IF($AL172,($AI172-Constants!$B$24)*Constants!$B$23,0))</f>
        <v/>
      </c>
      <c r="BG172" s="97" t="str">
        <f aca="false">IF($BX172&lt;&gt;Constants!$B$6,"",IF($AK172,0,Constants!$B$12)+IF($AJ172,0,Constants!$B$13)+IF($AH172,0,Constants!$B$14))</f>
        <v/>
      </c>
      <c r="BH172" s="98" t="str">
        <f aca="false">IF($BX172&lt;&gt;Constants!$B$6,"",Constants!$B$16+SUM($BC172:$BG172))</f>
        <v/>
      </c>
      <c r="BI172" s="97" t="str">
        <f aca="false">IF($BX172&lt;&gt;Constants!$B$6,"",$BC172)</f>
        <v/>
      </c>
      <c r="BJ172" s="97" t="str">
        <f aca="false">IF($BX172&lt;&gt;Constants!$B$6,"",$BD172)</f>
        <v/>
      </c>
      <c r="BK172" s="99" t="str">
        <f aca="false">IF($BX172&lt;&gt;Constants!$B$6,"",IF($AL172,$AN172,""))</f>
        <v/>
      </c>
      <c r="BL172" s="93" t="str">
        <f aca="false">IF($BX172&lt;&gt;Constants!$B$6,"",IF(OR($BS172&lt;$BH172,AND($BS172=$BH172,OR($BT172&lt;$BI172,AND($BT172=$BI172,OR($BU172&lt;$BJ172,AND($BU172=$BJ172,AND(ISNUMBER($BV172),OR(NOT(ISNUMBER($BK172)),$BV172&lt;$BK172)))))))),"-&gt;","&lt;-"))</f>
        <v/>
      </c>
      <c r="BM172" s="92" t="str">
        <f aca="false">IF(ISBLANK($C172),"",AND($AT172,OR($AU172="",$AV172="",AND($AW172,$AX172=""))))</f>
        <v/>
      </c>
      <c r="BN172" s="94" t="str">
        <f aca="false">IF($BX172&lt;&gt;Constants!$B$6,"",IF($AT172,Constants!$B$17*$AV172+Constants!$B$18*IF($AW172,$AX172,Constants!$B$19),Constants!$B$20))</f>
        <v/>
      </c>
      <c r="BO172" s="97" t="str">
        <f aca="false">IF($BX172&lt;&gt;Constants!$B$6,"",Constants!$B$21*ABS($AD$9-IF($AT172,$AU172,0)))</f>
        <v/>
      </c>
      <c r="BP172" s="97" t="str">
        <f aca="false">IF($BX172&lt;&gt;Constants!$B$6,"",IF(AND($AT172,$AY172,$AW172),Constants!$B$22,0))</f>
        <v/>
      </c>
      <c r="BQ172" s="97" t="str">
        <f aca="false">IF($BX172&lt;&gt;Constants!$B$6,"",IF($AT172,($AI172-Constants!$B$24)*Constants!$B$23,0))</f>
        <v/>
      </c>
      <c r="BR172" s="97" t="str">
        <f aca="false">IF($BX172&lt;&gt;Constants!$B$6,"",IF($AS172,0,Constants!$B$12)+IF($AR172,0,Constants!$B$13)+IF($AH172,0,Constants!$B$14))</f>
        <v/>
      </c>
      <c r="BS172" s="98" t="str">
        <f aca="false">IF($BX172&lt;&gt;Constants!$B$6,"",Constants!$B$16+SUM($BN172:$BR172))</f>
        <v/>
      </c>
      <c r="BT172" s="97" t="str">
        <f aca="false">IF($BX172&lt;&gt;Constants!$B$6,"",$BN172)</f>
        <v/>
      </c>
      <c r="BU172" s="97" t="str">
        <f aca="false">IF($BX172&lt;&gt;Constants!$B$6,"",$BO172)</f>
        <v/>
      </c>
      <c r="BV172" s="99" t="str">
        <f aca="false">IF($BX172&lt;&gt;Constants!$B$6,"",IF($AT172,$AV172,""))</f>
        <v/>
      </c>
      <c r="BW172" s="93" t="str">
        <f aca="false">IF(ISBLANK($C172),"",IF(ISBLANK($D$7),$BW$5,IF(NOT(ISNUMBER($D$7)),$BW$6,"")))</f>
        <v/>
      </c>
      <c r="BX172" s="93" t="str">
        <f aca="false">IF(ISBLANK($C172),"",IF($BA172,Constants!$B$9,IF(COUNTA($E172:$AA172)=0,Constants!$B$8,IF(NOT($AG172),Constants!$B$7,IF(OR($BW172&lt;&gt;"",$BB172,$BM172),Constants!$B$10,Constants!$B$6)))))</f>
        <v/>
      </c>
      <c r="BY172" s="93" t="str">
        <f aca="false">IF(ISBLANK($C172),"",IF($BX172&lt;&gt;Constants!$B$6,$BX172,Constants!$B$11))</f>
        <v/>
      </c>
      <c r="BZ172" s="97" t="str">
        <f aca="false">IF($BX172&lt;&gt;Constants!$B$6,"",IF($BL172="-&gt;",$BS172,$BH172))</f>
        <v/>
      </c>
      <c r="CA172" s="97" t="str">
        <f aca="false">IF($BX172&lt;&gt;Constants!$B$6,"",IF($AF172,0,Constants!$B$15))</f>
        <v/>
      </c>
      <c r="CB172" s="97" t="str">
        <f aca="false">IF($BX172&lt;&gt;Constants!$B$6,"",((Constants!$B$25-$AZ172)-Constants!$B$25)/Constants!$B$26)</f>
        <v/>
      </c>
      <c r="CC172" s="97" t="str">
        <f aca="false">IF(ISBLANK($C172),"",IF($BX172&lt;&gt;Constants!$B$6,$BX172,SUM($BZ172:$CB172)))</f>
        <v/>
      </c>
      <c r="CD172" s="93" t="str">
        <f aca="false">IF(ISBLANK($C172),"",IF($BX172&lt;&gt;Constants!$B$6,$BX172,RANK($CC172,$CC$9:$CC$508,1)))</f>
        <v/>
      </c>
      <c r="CE172" s="97" t="str">
        <f aca="false">IF($BX172&lt;&gt;Constants!$B$6,"",IF($BL172="-&gt;",$BT172,$BI172))</f>
        <v/>
      </c>
      <c r="CF172" s="93" t="str">
        <f aca="false">IF(ISBLANK($C172),"",IF($BX172&lt;&gt;Constants!$B$6,$BX172,IF(ISNUMBER($CE172),RANK($CE172,$CE$9:$CE$508,1),COUNT($CE$9:$CE$508)+1)))</f>
        <v/>
      </c>
      <c r="CG172" s="97" t="str">
        <f aca="false">IF($BX172&lt;&gt;Constants!$B$6,"",IF($BL172="-&gt;",$BU172,$BJ172))</f>
        <v/>
      </c>
      <c r="CH172" s="93" t="str">
        <f aca="false">IF(ISBLANK($C172),"",IF($BX172&lt;&gt;Constants!$B$6,$BX172,IF(ISNUMBER($CG172),RANK($CG172,$CG$9:$CG$508,1),COUNT($CG$9:$CG$508)+1)))</f>
        <v/>
      </c>
      <c r="CI172" s="97" t="str">
        <f aca="false">IF($BX172&lt;&gt;Constants!$B$6,"",IF($BL172="-&gt;",$BV172,$BK172))</f>
        <v/>
      </c>
      <c r="CJ172" s="93" t="str">
        <f aca="false">IF(ISBLANK($C172),"",IF($BX172&lt;&gt;Constants!$B$6,$BX172,IF(ISNUMBER($CI172),RANK($CI172,$CI$9:$CI$508,1),COUNT($CI$9:$CI$508)+1)))</f>
        <v/>
      </c>
      <c r="CK172" s="97" t="str">
        <f aca="false">IF($BX172&lt;&gt;Constants!$B$6,"",$AI172)</f>
        <v/>
      </c>
      <c r="CL172" s="93" t="str">
        <f aca="false">IF(ISBLANK($C172),"",IF($BX172&lt;&gt;Constants!$B$6,$BX172,IF(ISNUMBER($CK172),RANK($CK172,$CK$9:$CK$508,1),COUNT($CK$9:$CK$508)+1)))</f>
        <v/>
      </c>
      <c r="CM172" s="93" t="str">
        <f aca="false">IF(ISBLANK($C172),"",IF($BX172&lt;&gt;Constants!$B$6,$BX172,COUNTIFS($CD$9:$CD$508,"&lt;"&amp;$CD172)+COUNTIFS($CD$9:$CD$508,$CD172,$CF$9:$CF$508,"&lt;"&amp;$CF172)+COUNTIFS($CD$9:$CD$508,$CD172,$CF$9:$CF$508,$CF172,$CH$9:$CH$508,"&lt;"&amp;$CH172)+COUNTIFS($CD$9:$CD$508,$CD172,$CF$9:$CF$508,$CF172,$CH$9:$CH$508,$CH172,$CJ$9:$CJ$508,"&lt;"&amp;$CJ172)+COUNTIFS($CD$9:$CD$508,$CD172,$CF$9:$CF$508,$CF172,$CH$9:$CH$508,$CH172,$CJ$9:$CJ$508,$CJ172,$CL$9:$CL$508,"&lt;"&amp;$CL172)+1))</f>
        <v/>
      </c>
      <c r="CN172" s="93" t="str">
        <f aca="false">IF(ISBLANK($C172),"",IF($BX172&lt;&gt;Constants!$B$6,$BX172,$CD172-$CM172))</f>
        <v/>
      </c>
      <c r="CO172" s="100"/>
      <c r="CP172" s="101"/>
      <c r="CQ172" s="102" t="str">
        <f aca="false">IF(ISBLANK($C172),"",IF($BX172=Constants!$B$10,$BW172,""))</f>
        <v/>
      </c>
      <c r="CR172" s="101" t="str">
        <f aca="false">IF(ISBLANK($C172),"",IF($BX172&lt;&gt;Constants!$B$6,"",IF($BL172="-&gt;",2,1)))</f>
        <v/>
      </c>
      <c r="CS172" s="103" t="str">
        <f aca="false">IF(ISBLANK($C172),"",IF($BX172&lt;&gt;Constants!$B$6,"",IF($BL172="-&gt;",$BN172,$BC172)))</f>
        <v/>
      </c>
      <c r="CT172" s="103" t="str">
        <f aca="false">IF(ISBLANK($C172),"",IF($BX172&lt;&gt;Constants!$B$6,"",IF($BL172="-&gt;",$BO172,$BD172)))</f>
        <v/>
      </c>
      <c r="CU172" s="103" t="str">
        <f aca="false">IF(ISBLANK($C172),"",IF($BX172&lt;&gt;Constants!$B$6,"",IF($BL172="-&gt;",$BP172+$BQ172,$BE172+$BF172)+$CB172))</f>
        <v/>
      </c>
      <c r="CV172" s="103" t="str">
        <f aca="false">IF(ISBLANK($C172),"",IF($BX172&lt;&gt;Constants!$B$6,"",IF($BL172="-&gt;",$BR172,$BG172)+$CA172))</f>
        <v/>
      </c>
      <c r="CW172" s="104" t="str">
        <f aca="false">IF(ISBLANK($C172),"",IF($BX172&lt;&gt;Constants!$B$6,$BX172,$CC172))</f>
        <v/>
      </c>
      <c r="CX172" s="105" t="str">
        <f aca="false">IF(ISBLANK($C172),"",$BY172)</f>
        <v/>
      </c>
      <c r="CY172" s="106" t="str">
        <f aca="false">IF(ISBLANK($C172),"",$CN172)</f>
        <v/>
      </c>
      <c r="CZ172" s="106" t="str">
        <f aca="false">IF(ISBLANK($C172),"",$CM172)</f>
        <v/>
      </c>
      <c r="DA172" s="107" t="str">
        <f aca="false">IF(ISBLANK($C172),"",IFERROR(_xlfn.SWITCH($CZ172,Constants!$B$9,COUNTA($C$9:$C$508)+2,Constants!$B$8,COUNTA($C$9:$C$508)+1,Constants!$B$7,COUNTA($C$9:$C$508)),$CZ172))</f>
        <v/>
      </c>
      <c r="DB172" s="9"/>
      <c r="DC172" s="108" t="n">
        <f aca="false">IF(OR(ISNUMBER($CZ172),$CZ172=Constants!$B$9,$CZ172=Constants!$B$7,$CZ172=Constants!$B$8),1,0)</f>
        <v>0</v>
      </c>
      <c r="DD172" s="108" t="n">
        <v>164</v>
      </c>
      <c r="DE172" s="108" t="str">
        <f aca="false">IF(ISBLANK($C172),"",IF(ISNUMBER($DA172),$DA172+ROW($B172)/1000,""))</f>
        <v/>
      </c>
      <c r="DF172" s="108" t="str">
        <f aca="false">IF(ISNUMBER($DE172),RANK($DE172,$DE$9:$DE$508,1),"")</f>
        <v/>
      </c>
      <c r="DG172" s="108" t="str">
        <f aca="false">IF(ISBLANK($C172),"",$B172)</f>
        <v/>
      </c>
      <c r="DH172" s="108" t="str">
        <f aca="false">IF(ISBLANK($C172),"",$C172)</f>
        <v/>
      </c>
      <c r="DI172" s="108" t="str">
        <f aca="false">IF(ISBLANK($C172),"",$D172)</f>
        <v/>
      </c>
      <c r="DJ172" s="109" t="str">
        <f aca="false">$CX172</f>
        <v/>
      </c>
      <c r="DK172" s="110" t="str">
        <f aca="false">$CW172</f>
        <v/>
      </c>
      <c r="DL172" s="108" t="str">
        <f aca="false">IF(ISBLANK($C172),"",$CZ172)</f>
        <v/>
      </c>
      <c r="DM172" s="111" t="str">
        <f aca="false">IF($DD172&gt;$DC$8,"",VLOOKUP($DD172,$DF$9:$DL$508,7,FALSE()))</f>
        <v/>
      </c>
      <c r="DN172" s="112" t="str">
        <f aca="false">IF($DD172&gt;$DC$8,"",VLOOKUP($DD172,$DF$9:$DL$508,2,FALSE()))</f>
        <v/>
      </c>
      <c r="DO172" s="112" t="str">
        <f aca="false">IF($DD172&gt;$DC$8,"",VLOOKUP($DD172,$DF$9:$DL$508,3,FALSE()))</f>
        <v/>
      </c>
      <c r="DP172" s="112" t="str">
        <f aca="false">IF($DD172&gt;$DC$8,"",VLOOKUP($DD172,$DF$9:$DL$508,4,FALSE()))</f>
        <v/>
      </c>
      <c r="DQ172" s="112" t="str">
        <f aca="false">IF($DD172&gt;$DC$8,"",VLOOKUP($DD172,$DF$9:$DL$508,5,FALSE()))</f>
        <v/>
      </c>
      <c r="DR172" s="113" t="str">
        <f aca="false">IF($DD172&gt;$DC$8,"",VLOOKUP($DD172,$DF$9:$DL$508,6,FALSE()))</f>
        <v/>
      </c>
      <c r="DS172" s="76"/>
    </row>
    <row r="173" customFormat="false" ht="15.75" hidden="false" customHeight="false" outlineLevel="0" collapsed="false">
      <c r="A173" s="9"/>
      <c r="B173" s="78"/>
      <c r="C173" s="79"/>
      <c r="D173" s="170"/>
      <c r="E173" s="178"/>
      <c r="F173" s="172"/>
      <c r="G173" s="173"/>
      <c r="H173" s="173"/>
      <c r="I173" s="179"/>
      <c r="J173" s="176"/>
      <c r="K173" s="86"/>
      <c r="L173" s="87"/>
      <c r="M173" s="88"/>
      <c r="N173" s="176"/>
      <c r="O173" s="176"/>
      <c r="P173" s="178"/>
      <c r="Q173" s="176"/>
      <c r="R173" s="176"/>
      <c r="S173" s="86"/>
      <c r="T173" s="88"/>
      <c r="U173" s="88"/>
      <c r="V173" s="176"/>
      <c r="W173" s="176"/>
      <c r="X173" s="178"/>
      <c r="Y173" s="176"/>
      <c r="Z173" s="177"/>
      <c r="AA173" s="176"/>
      <c r="AB173" s="92"/>
      <c r="AC173" s="93"/>
      <c r="AD173" s="93"/>
      <c r="AE173" s="93"/>
      <c r="AF173" s="93" t="str">
        <f aca="false">IF(ISBLANK($C173),"",IF(E173=Constants!$B$2,TRUE(),IF(E173=Constants!$B$3,FALSE(),TRUE())))</f>
        <v/>
      </c>
      <c r="AG173" s="93" t="str">
        <f aca="false">IF(ISBLANK($C173),"",IF(F173=Constants!$B$2,TRUE(),IF(F173=Constants!$B$3,FALSE(),TRUE())))</f>
        <v/>
      </c>
      <c r="AH173" s="93" t="str">
        <f aca="false">IF(ISBLANK($C173),"",IF(G173=Constants!$B$2,TRUE(),IF(G173=Constants!$B$3,FALSE(),TRUE())))</f>
        <v/>
      </c>
      <c r="AI173" s="93" t="str">
        <f aca="false">IF(ISBLANK($C173),"",IF(AND(ISNUMBER(H173),H173&gt;=0),H173,Constants!$B$24))</f>
        <v/>
      </c>
      <c r="AJ173" s="93" t="str">
        <f aca="false">IF(ISBLANK($C173),"",IF(I173=Constants!$B$2,TRUE(),IF(I173=Constants!$B$3,FALSE(),TRUE())))</f>
        <v/>
      </c>
      <c r="AK173" s="93" t="str">
        <f aca="false">IF(ISBLANK($C173),"",IF(J173=Constants!$B$2,TRUE(),IF(J173=Constants!$B$3,FALSE(),TRUE())))</f>
        <v/>
      </c>
      <c r="AL173" s="93" t="str">
        <f aca="false">IF(ISBLANK($C173),"",IF(K173=Constants!$B$4,TRUE(),IF(K173=Constants!$B$5,FALSE(),COUNTA(L173:P173)&gt;0)))</f>
        <v/>
      </c>
      <c r="AM173" s="95" t="str">
        <f aca="false">IF(ISBLANK($C173),"",IF(ISNUMBER(L173),IF(L173&gt;=0,L173,""),""))</f>
        <v/>
      </c>
      <c r="AN173" s="94" t="str">
        <f aca="false">IF(ISBLANK($C173),"",IF(ISNUMBER(M173),IF(M173&gt;=0,M173,""),""))</f>
        <v/>
      </c>
      <c r="AO173" s="94" t="str">
        <f aca="false">IF(ISBLANK($C173),"",IF(N173=Constants!$B$2,TRUE(),IF(N173=Constants!$B$3,FALSE(),TRUE())))</f>
        <v/>
      </c>
      <c r="AP173" s="93" t="str">
        <f aca="false">IF(ISBLANK($C173),"",IF(ISNUMBER(O173),IF(O173&gt;=0,O173,""),""))</f>
        <v/>
      </c>
      <c r="AQ173" s="93" t="str">
        <f aca="false">IF(ISBLANK($C173),"",IF(P173=Constants!$B$2,TRUE(),IF(P173=Constants!$B$3,FALSE(),FALSE())))</f>
        <v/>
      </c>
      <c r="AR173" s="93" t="str">
        <f aca="false">IF(ISBLANK($C173),"",IF(Q173=Constants!$B$2,TRUE(),IF(Q173=Constants!$B$3,FALSE(),TRUE())))</f>
        <v/>
      </c>
      <c r="AS173" s="93" t="str">
        <f aca="false">IF(ISBLANK($C173),"",IF(R173=Constants!$B$2,TRUE(),IF(R173=Constants!$B$3,FALSE(),TRUE())))</f>
        <v/>
      </c>
      <c r="AT173" s="93" t="str">
        <f aca="false">IF(ISBLANK($C173),"",IF(S173=Constants!$B$4,TRUE(),IF(S173=Constants!$B$5,FALSE(),COUNTA(T173:X173)&gt;0)))</f>
        <v/>
      </c>
      <c r="AU173" s="95" t="str">
        <f aca="false">IF(ISBLANK($C173),"",IF(ISNUMBER(T173),IF(T173&gt;=0,T173,""),""))</f>
        <v/>
      </c>
      <c r="AV173" s="94" t="str">
        <f aca="false">IF(ISBLANK($C173),"",IF(ISNUMBER(U173),IF(U173&gt;=0,U173,""),""))</f>
        <v/>
      </c>
      <c r="AW173" s="94" t="str">
        <f aca="false">IF(ISBLANK($C173),"",IF(V173=Constants!$B$2,TRUE(),IF(V173=Constants!$B$3,FALSE(),TRUE())))</f>
        <v/>
      </c>
      <c r="AX173" s="93" t="str">
        <f aca="false">IF(ISBLANK($C173),"",IF(ISNUMBER(W173),IF(W173&gt;=0,W173,""),""))</f>
        <v/>
      </c>
      <c r="AY173" s="93" t="str">
        <f aca="false">IF(ISBLANK($C173),"",IF(X173=Constants!$B$2,TRUE(),IF(X173=Constants!$B$3,FALSE(),FALSE())))</f>
        <v/>
      </c>
      <c r="AZ173" s="93" t="str">
        <f aca="false">IF(ISBLANK($C173),"",MIN(Constants!$B$25,MAX(0,IF(ISNUMBER(Y173),Y173*60,0)+IF(ISNUMBER(Z173),Z173,0))))</f>
        <v/>
      </c>
      <c r="BA173" s="93" t="str">
        <f aca="false">IF(ISBLANK($C173),"",IF(AA173=Constants!$B$2,TRUE(),IF(AA173=Constants!$B$3,FALSE(),FALSE())))</f>
        <v/>
      </c>
      <c r="BB173" s="92" t="str">
        <f aca="false">IF(ISBLANK($C173),"",AND($AL173,OR($AM173="",$AN173="",AND($AO173,$AP173=""))))</f>
        <v/>
      </c>
      <c r="BC173" s="94" t="str">
        <f aca="false">IF($BX173&lt;&gt;Constants!$B$6,"",IF($AL173,Constants!$B$17*$AN173+Constants!$B$18*IF($AO173,$AP173,Constants!$B$19),Constants!$B$20))</f>
        <v/>
      </c>
      <c r="BD173" s="97" t="str">
        <f aca="false">IF($BX173&lt;&gt;Constants!$B$6,"",Constants!$B$21*ABS($AD$9-IF($AL173,$AM173,0)))</f>
        <v/>
      </c>
      <c r="BE173" s="97" t="str">
        <f aca="false">IF($BX173&lt;&gt;Constants!$B$6,"",IF(AND($AL173,$AQ173,$AO173),Constants!$B$22,0))</f>
        <v/>
      </c>
      <c r="BF173" s="97" t="str">
        <f aca="false">IF($BX173&lt;&gt;Constants!$B$6,"",IF($AL173,($AI173-Constants!$B$24)*Constants!$B$23,0))</f>
        <v/>
      </c>
      <c r="BG173" s="97" t="str">
        <f aca="false">IF($BX173&lt;&gt;Constants!$B$6,"",IF($AK173,0,Constants!$B$12)+IF($AJ173,0,Constants!$B$13)+IF($AH173,0,Constants!$B$14))</f>
        <v/>
      </c>
      <c r="BH173" s="98" t="str">
        <f aca="false">IF($BX173&lt;&gt;Constants!$B$6,"",Constants!$B$16+SUM($BC173:$BG173))</f>
        <v/>
      </c>
      <c r="BI173" s="97" t="str">
        <f aca="false">IF($BX173&lt;&gt;Constants!$B$6,"",$BC173)</f>
        <v/>
      </c>
      <c r="BJ173" s="97" t="str">
        <f aca="false">IF($BX173&lt;&gt;Constants!$B$6,"",$BD173)</f>
        <v/>
      </c>
      <c r="BK173" s="99" t="str">
        <f aca="false">IF($BX173&lt;&gt;Constants!$B$6,"",IF($AL173,$AN173,""))</f>
        <v/>
      </c>
      <c r="BL173" s="93" t="str">
        <f aca="false">IF($BX173&lt;&gt;Constants!$B$6,"",IF(OR($BS173&lt;$BH173,AND($BS173=$BH173,OR($BT173&lt;$BI173,AND($BT173=$BI173,OR($BU173&lt;$BJ173,AND($BU173=$BJ173,AND(ISNUMBER($BV173),OR(NOT(ISNUMBER($BK173)),$BV173&lt;$BK173)))))))),"-&gt;","&lt;-"))</f>
        <v/>
      </c>
      <c r="BM173" s="92" t="str">
        <f aca="false">IF(ISBLANK($C173),"",AND($AT173,OR($AU173="",$AV173="",AND($AW173,$AX173=""))))</f>
        <v/>
      </c>
      <c r="BN173" s="94" t="str">
        <f aca="false">IF($BX173&lt;&gt;Constants!$B$6,"",IF($AT173,Constants!$B$17*$AV173+Constants!$B$18*IF($AW173,$AX173,Constants!$B$19),Constants!$B$20))</f>
        <v/>
      </c>
      <c r="BO173" s="97" t="str">
        <f aca="false">IF($BX173&lt;&gt;Constants!$B$6,"",Constants!$B$21*ABS($AD$9-IF($AT173,$AU173,0)))</f>
        <v/>
      </c>
      <c r="BP173" s="97" t="str">
        <f aca="false">IF($BX173&lt;&gt;Constants!$B$6,"",IF(AND($AT173,$AY173,$AW173),Constants!$B$22,0))</f>
        <v/>
      </c>
      <c r="BQ173" s="97" t="str">
        <f aca="false">IF($BX173&lt;&gt;Constants!$B$6,"",IF($AT173,($AI173-Constants!$B$24)*Constants!$B$23,0))</f>
        <v/>
      </c>
      <c r="BR173" s="97" t="str">
        <f aca="false">IF($BX173&lt;&gt;Constants!$B$6,"",IF($AS173,0,Constants!$B$12)+IF($AR173,0,Constants!$B$13)+IF($AH173,0,Constants!$B$14))</f>
        <v/>
      </c>
      <c r="BS173" s="98" t="str">
        <f aca="false">IF($BX173&lt;&gt;Constants!$B$6,"",Constants!$B$16+SUM($BN173:$BR173))</f>
        <v/>
      </c>
      <c r="BT173" s="97" t="str">
        <f aca="false">IF($BX173&lt;&gt;Constants!$B$6,"",$BN173)</f>
        <v/>
      </c>
      <c r="BU173" s="97" t="str">
        <f aca="false">IF($BX173&lt;&gt;Constants!$B$6,"",$BO173)</f>
        <v/>
      </c>
      <c r="BV173" s="99" t="str">
        <f aca="false">IF($BX173&lt;&gt;Constants!$B$6,"",IF($AT173,$AV173,""))</f>
        <v/>
      </c>
      <c r="BW173" s="93" t="str">
        <f aca="false">IF(ISBLANK($C173),"",IF(ISBLANK($D$7),$BW$5,IF(NOT(ISNUMBER($D$7)),$BW$6,"")))</f>
        <v/>
      </c>
      <c r="BX173" s="93" t="str">
        <f aca="false">IF(ISBLANK($C173),"",IF($BA173,Constants!$B$9,IF(COUNTA($E173:$AA173)=0,Constants!$B$8,IF(NOT($AG173),Constants!$B$7,IF(OR($BW173&lt;&gt;"",$BB173,$BM173),Constants!$B$10,Constants!$B$6)))))</f>
        <v/>
      </c>
      <c r="BY173" s="93" t="str">
        <f aca="false">IF(ISBLANK($C173),"",IF($BX173&lt;&gt;Constants!$B$6,$BX173,Constants!$B$11))</f>
        <v/>
      </c>
      <c r="BZ173" s="97" t="str">
        <f aca="false">IF($BX173&lt;&gt;Constants!$B$6,"",IF($BL173="-&gt;",$BS173,$BH173))</f>
        <v/>
      </c>
      <c r="CA173" s="97" t="str">
        <f aca="false">IF($BX173&lt;&gt;Constants!$B$6,"",IF($AF173,0,Constants!$B$15))</f>
        <v/>
      </c>
      <c r="CB173" s="97" t="str">
        <f aca="false">IF($BX173&lt;&gt;Constants!$B$6,"",((Constants!$B$25-$AZ173)-Constants!$B$25)/Constants!$B$26)</f>
        <v/>
      </c>
      <c r="CC173" s="97" t="str">
        <f aca="false">IF(ISBLANK($C173),"",IF($BX173&lt;&gt;Constants!$B$6,$BX173,SUM($BZ173:$CB173)))</f>
        <v/>
      </c>
      <c r="CD173" s="93" t="str">
        <f aca="false">IF(ISBLANK($C173),"",IF($BX173&lt;&gt;Constants!$B$6,$BX173,RANK($CC173,$CC$9:$CC$508,1)))</f>
        <v/>
      </c>
      <c r="CE173" s="97" t="str">
        <f aca="false">IF($BX173&lt;&gt;Constants!$B$6,"",IF($BL173="-&gt;",$BT173,$BI173))</f>
        <v/>
      </c>
      <c r="CF173" s="93" t="str">
        <f aca="false">IF(ISBLANK($C173),"",IF($BX173&lt;&gt;Constants!$B$6,$BX173,IF(ISNUMBER($CE173),RANK($CE173,$CE$9:$CE$508,1),COUNT($CE$9:$CE$508)+1)))</f>
        <v/>
      </c>
      <c r="CG173" s="97" t="str">
        <f aca="false">IF($BX173&lt;&gt;Constants!$B$6,"",IF($BL173="-&gt;",$BU173,$BJ173))</f>
        <v/>
      </c>
      <c r="CH173" s="93" t="str">
        <f aca="false">IF(ISBLANK($C173),"",IF($BX173&lt;&gt;Constants!$B$6,$BX173,IF(ISNUMBER($CG173),RANK($CG173,$CG$9:$CG$508,1),COUNT($CG$9:$CG$508)+1)))</f>
        <v/>
      </c>
      <c r="CI173" s="97" t="str">
        <f aca="false">IF($BX173&lt;&gt;Constants!$B$6,"",IF($BL173="-&gt;",$BV173,$BK173))</f>
        <v/>
      </c>
      <c r="CJ173" s="93" t="str">
        <f aca="false">IF(ISBLANK($C173),"",IF($BX173&lt;&gt;Constants!$B$6,$BX173,IF(ISNUMBER($CI173),RANK($CI173,$CI$9:$CI$508,1),COUNT($CI$9:$CI$508)+1)))</f>
        <v/>
      </c>
      <c r="CK173" s="97" t="str">
        <f aca="false">IF($BX173&lt;&gt;Constants!$B$6,"",$AI173)</f>
        <v/>
      </c>
      <c r="CL173" s="93" t="str">
        <f aca="false">IF(ISBLANK($C173),"",IF($BX173&lt;&gt;Constants!$B$6,$BX173,IF(ISNUMBER($CK173),RANK($CK173,$CK$9:$CK$508,1),COUNT($CK$9:$CK$508)+1)))</f>
        <v/>
      </c>
      <c r="CM173" s="93" t="str">
        <f aca="false">IF(ISBLANK($C173),"",IF($BX173&lt;&gt;Constants!$B$6,$BX173,COUNTIFS($CD$9:$CD$508,"&lt;"&amp;$CD173)+COUNTIFS($CD$9:$CD$508,$CD173,$CF$9:$CF$508,"&lt;"&amp;$CF173)+COUNTIFS($CD$9:$CD$508,$CD173,$CF$9:$CF$508,$CF173,$CH$9:$CH$508,"&lt;"&amp;$CH173)+COUNTIFS($CD$9:$CD$508,$CD173,$CF$9:$CF$508,$CF173,$CH$9:$CH$508,$CH173,$CJ$9:$CJ$508,"&lt;"&amp;$CJ173)+COUNTIFS($CD$9:$CD$508,$CD173,$CF$9:$CF$508,$CF173,$CH$9:$CH$508,$CH173,$CJ$9:$CJ$508,$CJ173,$CL$9:$CL$508,"&lt;"&amp;$CL173)+1))</f>
        <v/>
      </c>
      <c r="CN173" s="93" t="str">
        <f aca="false">IF(ISBLANK($C173),"",IF($BX173&lt;&gt;Constants!$B$6,$BX173,$CD173-$CM173))</f>
        <v/>
      </c>
      <c r="CO173" s="100"/>
      <c r="CP173" s="101"/>
      <c r="CQ173" s="102" t="str">
        <f aca="false">IF(ISBLANK($C173),"",IF($BX173=Constants!$B$10,$BW173,""))</f>
        <v/>
      </c>
      <c r="CR173" s="101" t="str">
        <f aca="false">IF(ISBLANK($C173),"",IF($BX173&lt;&gt;Constants!$B$6,"",IF($BL173="-&gt;",2,1)))</f>
        <v/>
      </c>
      <c r="CS173" s="103" t="str">
        <f aca="false">IF(ISBLANK($C173),"",IF($BX173&lt;&gt;Constants!$B$6,"",IF($BL173="-&gt;",$BN173,$BC173)))</f>
        <v/>
      </c>
      <c r="CT173" s="103" t="str">
        <f aca="false">IF(ISBLANK($C173),"",IF($BX173&lt;&gt;Constants!$B$6,"",IF($BL173="-&gt;",$BO173,$BD173)))</f>
        <v/>
      </c>
      <c r="CU173" s="103" t="str">
        <f aca="false">IF(ISBLANK($C173),"",IF($BX173&lt;&gt;Constants!$B$6,"",IF($BL173="-&gt;",$BP173+$BQ173,$BE173+$BF173)+$CB173))</f>
        <v/>
      </c>
      <c r="CV173" s="103" t="str">
        <f aca="false">IF(ISBLANK($C173),"",IF($BX173&lt;&gt;Constants!$B$6,"",IF($BL173="-&gt;",$BR173,$BG173)+$CA173))</f>
        <v/>
      </c>
      <c r="CW173" s="104" t="str">
        <f aca="false">IF(ISBLANK($C173),"",IF($BX173&lt;&gt;Constants!$B$6,$BX173,$CC173))</f>
        <v/>
      </c>
      <c r="CX173" s="105" t="str">
        <f aca="false">IF(ISBLANK($C173),"",$BY173)</f>
        <v/>
      </c>
      <c r="CY173" s="106" t="str">
        <f aca="false">IF(ISBLANK($C173),"",$CN173)</f>
        <v/>
      </c>
      <c r="CZ173" s="106" t="str">
        <f aca="false">IF(ISBLANK($C173),"",$CM173)</f>
        <v/>
      </c>
      <c r="DA173" s="107" t="str">
        <f aca="false">IF(ISBLANK($C173),"",IFERROR(_xlfn.SWITCH($CZ173,Constants!$B$9,COUNTA($C$9:$C$508)+2,Constants!$B$8,COUNTA($C$9:$C$508)+1,Constants!$B$7,COUNTA($C$9:$C$508)),$CZ173))</f>
        <v/>
      </c>
      <c r="DB173" s="9"/>
      <c r="DC173" s="108" t="n">
        <f aca="false">IF(OR(ISNUMBER($CZ173),$CZ173=Constants!$B$9,$CZ173=Constants!$B$7,$CZ173=Constants!$B$8),1,0)</f>
        <v>0</v>
      </c>
      <c r="DD173" s="108" t="n">
        <v>165</v>
      </c>
      <c r="DE173" s="108" t="str">
        <f aca="false">IF(ISBLANK($C173),"",IF(ISNUMBER($DA173),$DA173+ROW($B173)/1000,""))</f>
        <v/>
      </c>
      <c r="DF173" s="108" t="str">
        <f aca="false">IF(ISNUMBER($DE173),RANK($DE173,$DE$9:$DE$508,1),"")</f>
        <v/>
      </c>
      <c r="DG173" s="108" t="str">
        <f aca="false">IF(ISBLANK($C173),"",$B173)</f>
        <v/>
      </c>
      <c r="DH173" s="108" t="str">
        <f aca="false">IF(ISBLANK($C173),"",$C173)</f>
        <v/>
      </c>
      <c r="DI173" s="108" t="str">
        <f aca="false">IF(ISBLANK($C173),"",$D173)</f>
        <v/>
      </c>
      <c r="DJ173" s="109" t="str">
        <f aca="false">$CX173</f>
        <v/>
      </c>
      <c r="DK173" s="110" t="str">
        <f aca="false">$CW173</f>
        <v/>
      </c>
      <c r="DL173" s="108" t="str">
        <f aca="false">IF(ISBLANK($C173),"",$CZ173)</f>
        <v/>
      </c>
      <c r="DM173" s="111" t="str">
        <f aca="false">IF($DD173&gt;$DC$8,"",VLOOKUP($DD173,$DF$9:$DL$508,7,FALSE()))</f>
        <v/>
      </c>
      <c r="DN173" s="112" t="str">
        <f aca="false">IF($DD173&gt;$DC$8,"",VLOOKUP($DD173,$DF$9:$DL$508,2,FALSE()))</f>
        <v/>
      </c>
      <c r="DO173" s="112" t="str">
        <f aca="false">IF($DD173&gt;$DC$8,"",VLOOKUP($DD173,$DF$9:$DL$508,3,FALSE()))</f>
        <v/>
      </c>
      <c r="DP173" s="112" t="str">
        <f aca="false">IF($DD173&gt;$DC$8,"",VLOOKUP($DD173,$DF$9:$DL$508,4,FALSE()))</f>
        <v/>
      </c>
      <c r="DQ173" s="112" t="str">
        <f aca="false">IF($DD173&gt;$DC$8,"",VLOOKUP($DD173,$DF$9:$DL$508,5,FALSE()))</f>
        <v/>
      </c>
      <c r="DR173" s="113" t="str">
        <f aca="false">IF($DD173&gt;$DC$8,"",VLOOKUP($DD173,$DF$9:$DL$508,6,FALSE()))</f>
        <v/>
      </c>
      <c r="DS173" s="76"/>
    </row>
    <row r="174" customFormat="false" ht="15.75" hidden="false" customHeight="false" outlineLevel="0" collapsed="false">
      <c r="A174" s="9"/>
      <c r="B174" s="160"/>
      <c r="C174" s="161"/>
      <c r="D174" s="162"/>
      <c r="E174" s="180"/>
      <c r="F174" s="164"/>
      <c r="G174" s="165"/>
      <c r="H174" s="165"/>
      <c r="I174" s="181"/>
      <c r="J174" s="168"/>
      <c r="K174" s="128"/>
      <c r="L174" s="129"/>
      <c r="M174" s="130"/>
      <c r="N174" s="168"/>
      <c r="O174" s="168"/>
      <c r="P174" s="180"/>
      <c r="Q174" s="168"/>
      <c r="R174" s="168"/>
      <c r="S174" s="128"/>
      <c r="T174" s="130"/>
      <c r="U174" s="130"/>
      <c r="V174" s="168"/>
      <c r="W174" s="168"/>
      <c r="X174" s="180"/>
      <c r="Y174" s="168"/>
      <c r="Z174" s="169"/>
      <c r="AA174" s="168"/>
      <c r="AB174" s="134"/>
      <c r="AC174" s="135"/>
      <c r="AD174" s="135"/>
      <c r="AE174" s="135"/>
      <c r="AF174" s="135" t="str">
        <f aca="false">IF(ISBLANK($C174),"",IF(E174=Constants!$B$2,TRUE(),IF(E174=Constants!$B$3,FALSE(),TRUE())))</f>
        <v/>
      </c>
      <c r="AG174" s="135" t="str">
        <f aca="false">IF(ISBLANK($C174),"",IF(F174=Constants!$B$2,TRUE(),IF(F174=Constants!$B$3,FALSE(),TRUE())))</f>
        <v/>
      </c>
      <c r="AH174" s="135" t="str">
        <f aca="false">IF(ISBLANK($C174),"",IF(G174=Constants!$B$2,TRUE(),IF(G174=Constants!$B$3,FALSE(),TRUE())))</f>
        <v/>
      </c>
      <c r="AI174" s="135" t="str">
        <f aca="false">IF(ISBLANK($C174),"",IF(AND(ISNUMBER(H174),H174&gt;=0),H174,Constants!$B$24))</f>
        <v/>
      </c>
      <c r="AJ174" s="135" t="str">
        <f aca="false">IF(ISBLANK($C174),"",IF(I174=Constants!$B$2,TRUE(),IF(I174=Constants!$B$3,FALSE(),TRUE())))</f>
        <v/>
      </c>
      <c r="AK174" s="135" t="str">
        <f aca="false">IF(ISBLANK($C174),"",IF(J174=Constants!$B$2,TRUE(),IF(J174=Constants!$B$3,FALSE(),TRUE())))</f>
        <v/>
      </c>
      <c r="AL174" s="135" t="str">
        <f aca="false">IF(ISBLANK($C174),"",IF(K174=Constants!$B$4,TRUE(),IF(K174=Constants!$B$5,FALSE(),COUNTA(L174:P174)&gt;0)))</f>
        <v/>
      </c>
      <c r="AM174" s="136" t="str">
        <f aca="false">IF(ISBLANK($C174),"",IF(ISNUMBER(L174),IF(L174&gt;=0,L174,""),""))</f>
        <v/>
      </c>
      <c r="AN174" s="137" t="str">
        <f aca="false">IF(ISBLANK($C174),"",IF(ISNUMBER(M174),IF(M174&gt;=0,M174,""),""))</f>
        <v/>
      </c>
      <c r="AO174" s="137" t="str">
        <f aca="false">IF(ISBLANK($C174),"",IF(N174=Constants!$B$2,TRUE(),IF(N174=Constants!$B$3,FALSE(),TRUE())))</f>
        <v/>
      </c>
      <c r="AP174" s="135" t="str">
        <f aca="false">IF(ISBLANK($C174),"",IF(ISNUMBER(O174),IF(O174&gt;=0,O174,""),""))</f>
        <v/>
      </c>
      <c r="AQ174" s="135" t="str">
        <f aca="false">IF(ISBLANK($C174),"",IF(P174=Constants!$B$2,TRUE(),IF(P174=Constants!$B$3,FALSE(),FALSE())))</f>
        <v/>
      </c>
      <c r="AR174" s="135" t="str">
        <f aca="false">IF(ISBLANK($C174),"",IF(Q174=Constants!$B$2,TRUE(),IF(Q174=Constants!$B$3,FALSE(),TRUE())))</f>
        <v/>
      </c>
      <c r="AS174" s="135" t="str">
        <f aca="false">IF(ISBLANK($C174),"",IF(R174=Constants!$B$2,TRUE(),IF(R174=Constants!$B$3,FALSE(),TRUE())))</f>
        <v/>
      </c>
      <c r="AT174" s="135" t="str">
        <f aca="false">IF(ISBLANK($C174),"",IF(S174=Constants!$B$4,TRUE(),IF(S174=Constants!$B$5,FALSE(),COUNTA(T174:X174)&gt;0)))</f>
        <v/>
      </c>
      <c r="AU174" s="136" t="str">
        <f aca="false">IF(ISBLANK($C174),"",IF(ISNUMBER(T174),IF(T174&gt;=0,T174,""),""))</f>
        <v/>
      </c>
      <c r="AV174" s="137" t="str">
        <f aca="false">IF(ISBLANK($C174),"",IF(ISNUMBER(U174),IF(U174&gt;=0,U174,""),""))</f>
        <v/>
      </c>
      <c r="AW174" s="137" t="str">
        <f aca="false">IF(ISBLANK($C174),"",IF(V174=Constants!$B$2,TRUE(),IF(V174=Constants!$B$3,FALSE(),TRUE())))</f>
        <v/>
      </c>
      <c r="AX174" s="135" t="str">
        <f aca="false">IF(ISBLANK($C174),"",IF(ISNUMBER(W174),IF(W174&gt;=0,W174,""),""))</f>
        <v/>
      </c>
      <c r="AY174" s="135" t="str">
        <f aca="false">IF(ISBLANK($C174),"",IF(X174=Constants!$B$2,TRUE(),IF(X174=Constants!$B$3,FALSE(),FALSE())))</f>
        <v/>
      </c>
      <c r="AZ174" s="135" t="str">
        <f aca="false">IF(ISBLANK($C174),"",MIN(Constants!$B$25,MAX(0,IF(ISNUMBER(Y174),Y174*60,0)+IF(ISNUMBER(Z174),Z174,0))))</f>
        <v/>
      </c>
      <c r="BA174" s="135" t="str">
        <f aca="false">IF(ISBLANK($C174),"",IF(AA174=Constants!$B$2,TRUE(),IF(AA174=Constants!$B$3,FALSE(),FALSE())))</f>
        <v/>
      </c>
      <c r="BB174" s="134" t="str">
        <f aca="false">IF(ISBLANK($C174),"",AND($AL174,OR($AM174="",$AN174="",AND($AO174,$AP174=""))))</f>
        <v/>
      </c>
      <c r="BC174" s="137" t="str">
        <f aca="false">IF($BX174&lt;&gt;Constants!$B$6,"",IF($AL174,Constants!$B$17*$AN174+Constants!$B$18*IF($AO174,$AP174,Constants!$B$19),Constants!$B$20))</f>
        <v/>
      </c>
      <c r="BD174" s="138" t="str">
        <f aca="false">IF($BX174&lt;&gt;Constants!$B$6,"",Constants!$B$21*ABS($AD$9-IF($AL174,$AM174,0)))</f>
        <v/>
      </c>
      <c r="BE174" s="138" t="str">
        <f aca="false">IF($BX174&lt;&gt;Constants!$B$6,"",IF(AND($AL174,$AQ174,$AO174),Constants!$B$22,0))</f>
        <v/>
      </c>
      <c r="BF174" s="138" t="str">
        <f aca="false">IF($BX174&lt;&gt;Constants!$B$6,"",IF($AL174,($AI174-Constants!$B$24)*Constants!$B$23,0))</f>
        <v/>
      </c>
      <c r="BG174" s="138" t="str">
        <f aca="false">IF($BX174&lt;&gt;Constants!$B$6,"",IF($AK174,0,Constants!$B$12)+IF($AJ174,0,Constants!$B$13)+IF($AH174,0,Constants!$B$14))</f>
        <v/>
      </c>
      <c r="BH174" s="139" t="str">
        <f aca="false">IF($BX174&lt;&gt;Constants!$B$6,"",Constants!$B$16+SUM($BC174:$BG174))</f>
        <v/>
      </c>
      <c r="BI174" s="138" t="str">
        <f aca="false">IF($BX174&lt;&gt;Constants!$B$6,"",$BC174)</f>
        <v/>
      </c>
      <c r="BJ174" s="138" t="str">
        <f aca="false">IF($BX174&lt;&gt;Constants!$B$6,"",$BD174)</f>
        <v/>
      </c>
      <c r="BK174" s="140" t="str">
        <f aca="false">IF($BX174&lt;&gt;Constants!$B$6,"",IF($AL174,$AN174,""))</f>
        <v/>
      </c>
      <c r="BL174" s="135" t="str">
        <f aca="false">IF($BX174&lt;&gt;Constants!$B$6,"",IF(OR($BS174&lt;$BH174,AND($BS174=$BH174,OR($BT174&lt;$BI174,AND($BT174=$BI174,OR($BU174&lt;$BJ174,AND($BU174=$BJ174,AND(ISNUMBER($BV174),OR(NOT(ISNUMBER($BK174)),$BV174&lt;$BK174)))))))),"-&gt;","&lt;-"))</f>
        <v/>
      </c>
      <c r="BM174" s="134" t="str">
        <f aca="false">IF(ISBLANK($C174),"",AND($AT174,OR($AU174="",$AV174="",AND($AW174,$AX174=""))))</f>
        <v/>
      </c>
      <c r="BN174" s="137" t="str">
        <f aca="false">IF($BX174&lt;&gt;Constants!$B$6,"",IF($AT174,Constants!$B$17*$AV174+Constants!$B$18*IF($AW174,$AX174,Constants!$B$19),Constants!$B$20))</f>
        <v/>
      </c>
      <c r="BO174" s="138" t="str">
        <f aca="false">IF($BX174&lt;&gt;Constants!$B$6,"",Constants!$B$21*ABS($AD$9-IF($AT174,$AU174,0)))</f>
        <v/>
      </c>
      <c r="BP174" s="138" t="str">
        <f aca="false">IF($BX174&lt;&gt;Constants!$B$6,"",IF(AND($AT174,$AY174,$AW174),Constants!$B$22,0))</f>
        <v/>
      </c>
      <c r="BQ174" s="138" t="str">
        <f aca="false">IF($BX174&lt;&gt;Constants!$B$6,"",IF($AT174,($AI174-Constants!$B$24)*Constants!$B$23,0))</f>
        <v/>
      </c>
      <c r="BR174" s="138" t="str">
        <f aca="false">IF($BX174&lt;&gt;Constants!$B$6,"",IF($AS174,0,Constants!$B$12)+IF($AR174,0,Constants!$B$13)+IF($AH174,0,Constants!$B$14))</f>
        <v/>
      </c>
      <c r="BS174" s="139" t="str">
        <f aca="false">IF($BX174&lt;&gt;Constants!$B$6,"",Constants!$B$16+SUM($BN174:$BR174))</f>
        <v/>
      </c>
      <c r="BT174" s="138" t="str">
        <f aca="false">IF($BX174&lt;&gt;Constants!$B$6,"",$BN174)</f>
        <v/>
      </c>
      <c r="BU174" s="138" t="str">
        <f aca="false">IF($BX174&lt;&gt;Constants!$B$6,"",$BO174)</f>
        <v/>
      </c>
      <c r="BV174" s="140" t="str">
        <f aca="false">IF($BX174&lt;&gt;Constants!$B$6,"",IF($AT174,$AV174,""))</f>
        <v/>
      </c>
      <c r="BW174" s="135" t="str">
        <f aca="false">IF(ISBLANK($C174),"",IF(ISBLANK($D$7),$BW$5,IF(NOT(ISNUMBER($D$7)),$BW$6,"")))</f>
        <v/>
      </c>
      <c r="BX174" s="135" t="str">
        <f aca="false">IF(ISBLANK($C174),"",IF($BA174,Constants!$B$9,IF(COUNTA($E174:$AA174)=0,Constants!$B$8,IF(NOT($AG174),Constants!$B$7,IF(OR($BW174&lt;&gt;"",$BB174,$BM174),Constants!$B$10,Constants!$B$6)))))</f>
        <v/>
      </c>
      <c r="BY174" s="135" t="str">
        <f aca="false">IF(ISBLANK($C174),"",IF($BX174&lt;&gt;Constants!$B$6,$BX174,Constants!$B$11))</f>
        <v/>
      </c>
      <c r="BZ174" s="138" t="str">
        <f aca="false">IF($BX174&lt;&gt;Constants!$B$6,"",IF($BL174="-&gt;",$BS174,$BH174))</f>
        <v/>
      </c>
      <c r="CA174" s="138" t="str">
        <f aca="false">IF($BX174&lt;&gt;Constants!$B$6,"",IF($AF174,0,Constants!$B$15))</f>
        <v/>
      </c>
      <c r="CB174" s="138" t="str">
        <f aca="false">IF($BX174&lt;&gt;Constants!$B$6,"",((Constants!$B$25-$AZ174)-Constants!$B$25)/Constants!$B$26)</f>
        <v/>
      </c>
      <c r="CC174" s="138" t="str">
        <f aca="false">IF(ISBLANK($C174),"",IF($BX174&lt;&gt;Constants!$B$6,$BX174,SUM($BZ174:$CB174)))</f>
        <v/>
      </c>
      <c r="CD174" s="135" t="str">
        <f aca="false">IF(ISBLANK($C174),"",IF($BX174&lt;&gt;Constants!$B$6,$BX174,RANK($CC174,$CC$9:$CC$508,1)))</f>
        <v/>
      </c>
      <c r="CE174" s="138" t="str">
        <f aca="false">IF($BX174&lt;&gt;Constants!$B$6,"",IF($BL174="-&gt;",$BT174,$BI174))</f>
        <v/>
      </c>
      <c r="CF174" s="135" t="str">
        <f aca="false">IF(ISBLANK($C174),"",IF($BX174&lt;&gt;Constants!$B$6,$BX174,IF(ISNUMBER($CE174),RANK($CE174,$CE$9:$CE$508,1),COUNT($CE$9:$CE$508)+1)))</f>
        <v/>
      </c>
      <c r="CG174" s="138" t="str">
        <f aca="false">IF($BX174&lt;&gt;Constants!$B$6,"",IF($BL174="-&gt;",$BU174,$BJ174))</f>
        <v/>
      </c>
      <c r="CH174" s="135" t="str">
        <f aca="false">IF(ISBLANK($C174),"",IF($BX174&lt;&gt;Constants!$B$6,$BX174,IF(ISNUMBER($CG174),RANK($CG174,$CG$9:$CG$508,1),COUNT($CG$9:$CG$508)+1)))</f>
        <v/>
      </c>
      <c r="CI174" s="138" t="str">
        <f aca="false">IF($BX174&lt;&gt;Constants!$B$6,"",IF($BL174="-&gt;",$BV174,$BK174))</f>
        <v/>
      </c>
      <c r="CJ174" s="135" t="str">
        <f aca="false">IF(ISBLANK($C174),"",IF($BX174&lt;&gt;Constants!$B$6,$BX174,IF(ISNUMBER($CI174),RANK($CI174,$CI$9:$CI$508,1),COUNT($CI$9:$CI$508)+1)))</f>
        <v/>
      </c>
      <c r="CK174" s="138" t="str">
        <f aca="false">IF($BX174&lt;&gt;Constants!$B$6,"",$AI174)</f>
        <v/>
      </c>
      <c r="CL174" s="135" t="str">
        <f aca="false">IF(ISBLANK($C174),"",IF($BX174&lt;&gt;Constants!$B$6,$BX174,IF(ISNUMBER($CK174),RANK($CK174,$CK$9:$CK$508,1),COUNT($CK$9:$CK$508)+1)))</f>
        <v/>
      </c>
      <c r="CM174" s="135" t="str">
        <f aca="false">IF(ISBLANK($C174),"",IF($BX174&lt;&gt;Constants!$B$6,$BX174,COUNTIFS($CD$9:$CD$508,"&lt;"&amp;$CD174)+COUNTIFS($CD$9:$CD$508,$CD174,$CF$9:$CF$508,"&lt;"&amp;$CF174)+COUNTIFS($CD$9:$CD$508,$CD174,$CF$9:$CF$508,$CF174,$CH$9:$CH$508,"&lt;"&amp;$CH174)+COUNTIFS($CD$9:$CD$508,$CD174,$CF$9:$CF$508,$CF174,$CH$9:$CH$508,$CH174,$CJ$9:$CJ$508,"&lt;"&amp;$CJ174)+COUNTIFS($CD$9:$CD$508,$CD174,$CF$9:$CF$508,$CF174,$CH$9:$CH$508,$CH174,$CJ$9:$CJ$508,$CJ174,$CL$9:$CL$508,"&lt;"&amp;$CL174)+1))</f>
        <v/>
      </c>
      <c r="CN174" s="135" t="str">
        <f aca="false">IF(ISBLANK($C174),"",IF($BX174&lt;&gt;Constants!$B$6,$BX174,$CD174-$CM174))</f>
        <v/>
      </c>
      <c r="CO174" s="141"/>
      <c r="CP174" s="142"/>
      <c r="CQ174" s="143" t="str">
        <f aca="false">IF(ISBLANK($C174),"",IF($BX174=Constants!$B$10,$BW174,""))</f>
        <v/>
      </c>
      <c r="CR174" s="142" t="str">
        <f aca="false">IF(ISBLANK($C174),"",IF($BX174&lt;&gt;Constants!$B$6,"",IF($BL174="-&gt;",2,1)))</f>
        <v/>
      </c>
      <c r="CS174" s="144" t="str">
        <f aca="false">IF(ISBLANK($C174),"",IF($BX174&lt;&gt;Constants!$B$6,"",IF($BL174="-&gt;",$BN174,$BC174)))</f>
        <v/>
      </c>
      <c r="CT174" s="144" t="str">
        <f aca="false">IF(ISBLANK($C174),"",IF($BX174&lt;&gt;Constants!$B$6,"",IF($BL174="-&gt;",$BO174,$BD174)))</f>
        <v/>
      </c>
      <c r="CU174" s="144" t="str">
        <f aca="false">IF(ISBLANK($C174),"",IF($BX174&lt;&gt;Constants!$B$6,"",IF($BL174="-&gt;",$BP174+$BQ174,$BE174+$BF174)+$CB174))</f>
        <v/>
      </c>
      <c r="CV174" s="144" t="str">
        <f aca="false">IF(ISBLANK($C174),"",IF($BX174&lt;&gt;Constants!$B$6,"",IF($BL174="-&gt;",$BR174,$BG174)+$CA174))</f>
        <v/>
      </c>
      <c r="CW174" s="145" t="str">
        <f aca="false">IF(ISBLANK($C174),"",IF($BX174&lt;&gt;Constants!$B$6,$BX174,$CC174))</f>
        <v/>
      </c>
      <c r="CX174" s="146" t="str">
        <f aca="false">IF(ISBLANK($C174),"",$BY174)</f>
        <v/>
      </c>
      <c r="CY174" s="147" t="str">
        <f aca="false">IF(ISBLANK($C174),"",$CN174)</f>
        <v/>
      </c>
      <c r="CZ174" s="147" t="str">
        <f aca="false">IF(ISBLANK($C174),"",$CM174)</f>
        <v/>
      </c>
      <c r="DA174" s="148" t="str">
        <f aca="false">IF(ISBLANK($C174),"",IFERROR(_xlfn.SWITCH($CZ174,Constants!$B$9,COUNTA($C$9:$C$508)+2,Constants!$B$8,COUNTA($C$9:$C$508)+1,Constants!$B$7,COUNTA($C$9:$C$508)),$CZ174))</f>
        <v/>
      </c>
      <c r="DB174" s="9"/>
      <c r="DC174" s="149" t="n">
        <f aca="false">IF(OR(ISNUMBER($CZ174),$CZ174=Constants!$B$9,$CZ174=Constants!$B$7,$CZ174=Constants!$B$8),1,0)</f>
        <v>0</v>
      </c>
      <c r="DD174" s="149" t="n">
        <v>166</v>
      </c>
      <c r="DE174" s="149" t="str">
        <f aca="false">IF(ISBLANK($C174),"",IF(ISNUMBER($DA174),$DA174+ROW($B174)/1000,""))</f>
        <v/>
      </c>
      <c r="DF174" s="149" t="str">
        <f aca="false">IF(ISNUMBER($DE174),RANK($DE174,$DE$9:$DE$508,1),"")</f>
        <v/>
      </c>
      <c r="DG174" s="149" t="str">
        <f aca="false">IF(ISBLANK($C174),"",$B174)</f>
        <v/>
      </c>
      <c r="DH174" s="149" t="str">
        <f aca="false">IF(ISBLANK($C174),"",$C174)</f>
        <v/>
      </c>
      <c r="DI174" s="149" t="str">
        <f aca="false">IF(ISBLANK($C174),"",$D174)</f>
        <v/>
      </c>
      <c r="DJ174" s="150" t="str">
        <f aca="false">$CX174</f>
        <v/>
      </c>
      <c r="DK174" s="151" t="str">
        <f aca="false">$CW174</f>
        <v/>
      </c>
      <c r="DL174" s="149" t="str">
        <f aca="false">IF(ISBLANK($C174),"",$CZ174)</f>
        <v/>
      </c>
      <c r="DM174" s="152" t="str">
        <f aca="false">IF($DD174&gt;$DC$8,"",VLOOKUP($DD174,$DF$9:$DL$508,7,FALSE()))</f>
        <v/>
      </c>
      <c r="DN174" s="153" t="str">
        <f aca="false">IF($DD174&gt;$DC$8,"",VLOOKUP($DD174,$DF$9:$DL$508,2,FALSE()))</f>
        <v/>
      </c>
      <c r="DO174" s="153" t="str">
        <f aca="false">IF($DD174&gt;$DC$8,"",VLOOKUP($DD174,$DF$9:$DL$508,3,FALSE()))</f>
        <v/>
      </c>
      <c r="DP174" s="153" t="str">
        <f aca="false">IF($DD174&gt;$DC$8,"",VLOOKUP($DD174,$DF$9:$DL$508,4,FALSE()))</f>
        <v/>
      </c>
      <c r="DQ174" s="153" t="str">
        <f aca="false">IF($DD174&gt;$DC$8,"",VLOOKUP($DD174,$DF$9:$DL$508,5,FALSE()))</f>
        <v/>
      </c>
      <c r="DR174" s="154" t="str">
        <f aca="false">IF($DD174&gt;$DC$8,"",VLOOKUP($DD174,$DF$9:$DL$508,6,FALSE()))</f>
        <v/>
      </c>
      <c r="DS174" s="76"/>
    </row>
    <row r="175" customFormat="false" ht="15.75" hidden="false" customHeight="false" outlineLevel="0" collapsed="false">
      <c r="A175" s="9"/>
      <c r="B175" s="160"/>
      <c r="C175" s="161"/>
      <c r="D175" s="162"/>
      <c r="E175" s="180"/>
      <c r="F175" s="164"/>
      <c r="G175" s="165"/>
      <c r="H175" s="165"/>
      <c r="I175" s="181"/>
      <c r="J175" s="168"/>
      <c r="K175" s="128"/>
      <c r="L175" s="129"/>
      <c r="M175" s="130"/>
      <c r="N175" s="168"/>
      <c r="O175" s="168"/>
      <c r="P175" s="180"/>
      <c r="Q175" s="168"/>
      <c r="R175" s="168"/>
      <c r="S175" s="128"/>
      <c r="T175" s="130"/>
      <c r="U175" s="130"/>
      <c r="V175" s="168"/>
      <c r="W175" s="168"/>
      <c r="X175" s="180"/>
      <c r="Y175" s="168"/>
      <c r="Z175" s="169"/>
      <c r="AA175" s="168"/>
      <c r="AB175" s="134"/>
      <c r="AC175" s="135"/>
      <c r="AD175" s="135"/>
      <c r="AE175" s="135"/>
      <c r="AF175" s="135" t="str">
        <f aca="false">IF(ISBLANK($C175),"",IF(E175=Constants!$B$2,TRUE(),IF(E175=Constants!$B$3,FALSE(),TRUE())))</f>
        <v/>
      </c>
      <c r="AG175" s="135" t="str">
        <f aca="false">IF(ISBLANK($C175),"",IF(F175=Constants!$B$2,TRUE(),IF(F175=Constants!$B$3,FALSE(),TRUE())))</f>
        <v/>
      </c>
      <c r="AH175" s="135" t="str">
        <f aca="false">IF(ISBLANK($C175),"",IF(G175=Constants!$B$2,TRUE(),IF(G175=Constants!$B$3,FALSE(),TRUE())))</f>
        <v/>
      </c>
      <c r="AI175" s="135" t="str">
        <f aca="false">IF(ISBLANK($C175),"",IF(AND(ISNUMBER(H175),H175&gt;=0),H175,Constants!$B$24))</f>
        <v/>
      </c>
      <c r="AJ175" s="135" t="str">
        <f aca="false">IF(ISBLANK($C175),"",IF(I175=Constants!$B$2,TRUE(),IF(I175=Constants!$B$3,FALSE(),TRUE())))</f>
        <v/>
      </c>
      <c r="AK175" s="135" t="str">
        <f aca="false">IF(ISBLANK($C175),"",IF(J175=Constants!$B$2,TRUE(),IF(J175=Constants!$B$3,FALSE(),TRUE())))</f>
        <v/>
      </c>
      <c r="AL175" s="135" t="str">
        <f aca="false">IF(ISBLANK($C175),"",IF(K175=Constants!$B$4,TRUE(),IF(K175=Constants!$B$5,FALSE(),COUNTA(L175:P175)&gt;0)))</f>
        <v/>
      </c>
      <c r="AM175" s="136" t="str">
        <f aca="false">IF(ISBLANK($C175),"",IF(ISNUMBER(L175),IF(L175&gt;=0,L175,""),""))</f>
        <v/>
      </c>
      <c r="AN175" s="137" t="str">
        <f aca="false">IF(ISBLANK($C175),"",IF(ISNUMBER(M175),IF(M175&gt;=0,M175,""),""))</f>
        <v/>
      </c>
      <c r="AO175" s="137" t="str">
        <f aca="false">IF(ISBLANK($C175),"",IF(N175=Constants!$B$2,TRUE(),IF(N175=Constants!$B$3,FALSE(),TRUE())))</f>
        <v/>
      </c>
      <c r="AP175" s="135" t="str">
        <f aca="false">IF(ISBLANK($C175),"",IF(ISNUMBER(O175),IF(O175&gt;=0,O175,""),""))</f>
        <v/>
      </c>
      <c r="AQ175" s="135" t="str">
        <f aca="false">IF(ISBLANK($C175),"",IF(P175=Constants!$B$2,TRUE(),IF(P175=Constants!$B$3,FALSE(),FALSE())))</f>
        <v/>
      </c>
      <c r="AR175" s="135" t="str">
        <f aca="false">IF(ISBLANK($C175),"",IF(Q175=Constants!$B$2,TRUE(),IF(Q175=Constants!$B$3,FALSE(),TRUE())))</f>
        <v/>
      </c>
      <c r="AS175" s="135" t="str">
        <f aca="false">IF(ISBLANK($C175),"",IF(R175=Constants!$B$2,TRUE(),IF(R175=Constants!$B$3,FALSE(),TRUE())))</f>
        <v/>
      </c>
      <c r="AT175" s="135" t="str">
        <f aca="false">IF(ISBLANK($C175),"",IF(S175=Constants!$B$4,TRUE(),IF(S175=Constants!$B$5,FALSE(),COUNTA(T175:X175)&gt;0)))</f>
        <v/>
      </c>
      <c r="AU175" s="136" t="str">
        <f aca="false">IF(ISBLANK($C175),"",IF(ISNUMBER(T175),IF(T175&gt;=0,T175,""),""))</f>
        <v/>
      </c>
      <c r="AV175" s="137" t="str">
        <f aca="false">IF(ISBLANK($C175),"",IF(ISNUMBER(U175),IF(U175&gt;=0,U175,""),""))</f>
        <v/>
      </c>
      <c r="AW175" s="137" t="str">
        <f aca="false">IF(ISBLANK($C175),"",IF(V175=Constants!$B$2,TRUE(),IF(V175=Constants!$B$3,FALSE(),TRUE())))</f>
        <v/>
      </c>
      <c r="AX175" s="135" t="str">
        <f aca="false">IF(ISBLANK($C175),"",IF(ISNUMBER(W175),IF(W175&gt;=0,W175,""),""))</f>
        <v/>
      </c>
      <c r="AY175" s="135" t="str">
        <f aca="false">IF(ISBLANK($C175),"",IF(X175=Constants!$B$2,TRUE(),IF(X175=Constants!$B$3,FALSE(),FALSE())))</f>
        <v/>
      </c>
      <c r="AZ175" s="135" t="str">
        <f aca="false">IF(ISBLANK($C175),"",MIN(Constants!$B$25,MAX(0,IF(ISNUMBER(Y175),Y175*60,0)+IF(ISNUMBER(Z175),Z175,0))))</f>
        <v/>
      </c>
      <c r="BA175" s="135" t="str">
        <f aca="false">IF(ISBLANK($C175),"",IF(AA175=Constants!$B$2,TRUE(),IF(AA175=Constants!$B$3,FALSE(),FALSE())))</f>
        <v/>
      </c>
      <c r="BB175" s="134" t="str">
        <f aca="false">IF(ISBLANK($C175),"",AND($AL175,OR($AM175="",$AN175="",AND($AO175,$AP175=""))))</f>
        <v/>
      </c>
      <c r="BC175" s="137" t="str">
        <f aca="false">IF($BX175&lt;&gt;Constants!$B$6,"",IF($AL175,Constants!$B$17*$AN175+Constants!$B$18*IF($AO175,$AP175,Constants!$B$19),Constants!$B$20))</f>
        <v/>
      </c>
      <c r="BD175" s="138" t="str">
        <f aca="false">IF($BX175&lt;&gt;Constants!$B$6,"",Constants!$B$21*ABS($AD$9-IF($AL175,$AM175,0)))</f>
        <v/>
      </c>
      <c r="BE175" s="138" t="str">
        <f aca="false">IF($BX175&lt;&gt;Constants!$B$6,"",IF(AND($AL175,$AQ175,$AO175),Constants!$B$22,0))</f>
        <v/>
      </c>
      <c r="BF175" s="138" t="str">
        <f aca="false">IF($BX175&lt;&gt;Constants!$B$6,"",IF($AL175,($AI175-Constants!$B$24)*Constants!$B$23,0))</f>
        <v/>
      </c>
      <c r="BG175" s="138" t="str">
        <f aca="false">IF($BX175&lt;&gt;Constants!$B$6,"",IF($AK175,0,Constants!$B$12)+IF($AJ175,0,Constants!$B$13)+IF($AH175,0,Constants!$B$14))</f>
        <v/>
      </c>
      <c r="BH175" s="139" t="str">
        <f aca="false">IF($BX175&lt;&gt;Constants!$B$6,"",Constants!$B$16+SUM($BC175:$BG175))</f>
        <v/>
      </c>
      <c r="BI175" s="138" t="str">
        <f aca="false">IF($BX175&lt;&gt;Constants!$B$6,"",$BC175)</f>
        <v/>
      </c>
      <c r="BJ175" s="138" t="str">
        <f aca="false">IF($BX175&lt;&gt;Constants!$B$6,"",$BD175)</f>
        <v/>
      </c>
      <c r="BK175" s="140" t="str">
        <f aca="false">IF($BX175&lt;&gt;Constants!$B$6,"",IF($AL175,$AN175,""))</f>
        <v/>
      </c>
      <c r="BL175" s="135" t="str">
        <f aca="false">IF($BX175&lt;&gt;Constants!$B$6,"",IF(OR($BS175&lt;$BH175,AND($BS175=$BH175,OR($BT175&lt;$BI175,AND($BT175=$BI175,OR($BU175&lt;$BJ175,AND($BU175=$BJ175,AND(ISNUMBER($BV175),OR(NOT(ISNUMBER($BK175)),$BV175&lt;$BK175)))))))),"-&gt;","&lt;-"))</f>
        <v/>
      </c>
      <c r="BM175" s="134" t="str">
        <f aca="false">IF(ISBLANK($C175),"",AND($AT175,OR($AU175="",$AV175="",AND($AW175,$AX175=""))))</f>
        <v/>
      </c>
      <c r="BN175" s="137" t="str">
        <f aca="false">IF($BX175&lt;&gt;Constants!$B$6,"",IF($AT175,Constants!$B$17*$AV175+Constants!$B$18*IF($AW175,$AX175,Constants!$B$19),Constants!$B$20))</f>
        <v/>
      </c>
      <c r="BO175" s="138" t="str">
        <f aca="false">IF($BX175&lt;&gt;Constants!$B$6,"",Constants!$B$21*ABS($AD$9-IF($AT175,$AU175,0)))</f>
        <v/>
      </c>
      <c r="BP175" s="138" t="str">
        <f aca="false">IF($BX175&lt;&gt;Constants!$B$6,"",IF(AND($AT175,$AY175,$AW175),Constants!$B$22,0))</f>
        <v/>
      </c>
      <c r="BQ175" s="138" t="str">
        <f aca="false">IF($BX175&lt;&gt;Constants!$B$6,"",IF($AT175,($AI175-Constants!$B$24)*Constants!$B$23,0))</f>
        <v/>
      </c>
      <c r="BR175" s="138" t="str">
        <f aca="false">IF($BX175&lt;&gt;Constants!$B$6,"",IF($AS175,0,Constants!$B$12)+IF($AR175,0,Constants!$B$13)+IF($AH175,0,Constants!$B$14))</f>
        <v/>
      </c>
      <c r="BS175" s="139" t="str">
        <f aca="false">IF($BX175&lt;&gt;Constants!$B$6,"",Constants!$B$16+SUM($BN175:$BR175))</f>
        <v/>
      </c>
      <c r="BT175" s="138" t="str">
        <f aca="false">IF($BX175&lt;&gt;Constants!$B$6,"",$BN175)</f>
        <v/>
      </c>
      <c r="BU175" s="138" t="str">
        <f aca="false">IF($BX175&lt;&gt;Constants!$B$6,"",$BO175)</f>
        <v/>
      </c>
      <c r="BV175" s="140" t="str">
        <f aca="false">IF($BX175&lt;&gt;Constants!$B$6,"",IF($AT175,$AV175,""))</f>
        <v/>
      </c>
      <c r="BW175" s="135" t="str">
        <f aca="false">IF(ISBLANK($C175),"",IF(ISBLANK($D$7),$BW$5,IF(NOT(ISNUMBER($D$7)),$BW$6,"")))</f>
        <v/>
      </c>
      <c r="BX175" s="135" t="str">
        <f aca="false">IF(ISBLANK($C175),"",IF($BA175,Constants!$B$9,IF(COUNTA($E175:$AA175)=0,Constants!$B$8,IF(NOT($AG175),Constants!$B$7,IF(OR($BW175&lt;&gt;"",$BB175,$BM175),Constants!$B$10,Constants!$B$6)))))</f>
        <v/>
      </c>
      <c r="BY175" s="135" t="str">
        <f aca="false">IF(ISBLANK($C175),"",IF($BX175&lt;&gt;Constants!$B$6,$BX175,Constants!$B$11))</f>
        <v/>
      </c>
      <c r="BZ175" s="138" t="str">
        <f aca="false">IF($BX175&lt;&gt;Constants!$B$6,"",IF($BL175="-&gt;",$BS175,$BH175))</f>
        <v/>
      </c>
      <c r="CA175" s="138" t="str">
        <f aca="false">IF($BX175&lt;&gt;Constants!$B$6,"",IF($AF175,0,Constants!$B$15))</f>
        <v/>
      </c>
      <c r="CB175" s="138" t="str">
        <f aca="false">IF($BX175&lt;&gt;Constants!$B$6,"",((Constants!$B$25-$AZ175)-Constants!$B$25)/Constants!$B$26)</f>
        <v/>
      </c>
      <c r="CC175" s="138" t="str">
        <f aca="false">IF(ISBLANK($C175),"",IF($BX175&lt;&gt;Constants!$B$6,$BX175,SUM($BZ175:$CB175)))</f>
        <v/>
      </c>
      <c r="CD175" s="135" t="str">
        <f aca="false">IF(ISBLANK($C175),"",IF($BX175&lt;&gt;Constants!$B$6,$BX175,RANK($CC175,$CC$9:$CC$508,1)))</f>
        <v/>
      </c>
      <c r="CE175" s="138" t="str">
        <f aca="false">IF($BX175&lt;&gt;Constants!$B$6,"",IF($BL175="-&gt;",$BT175,$BI175))</f>
        <v/>
      </c>
      <c r="CF175" s="135" t="str">
        <f aca="false">IF(ISBLANK($C175),"",IF($BX175&lt;&gt;Constants!$B$6,$BX175,IF(ISNUMBER($CE175),RANK($CE175,$CE$9:$CE$508,1),COUNT($CE$9:$CE$508)+1)))</f>
        <v/>
      </c>
      <c r="CG175" s="138" t="str">
        <f aca="false">IF($BX175&lt;&gt;Constants!$B$6,"",IF($BL175="-&gt;",$BU175,$BJ175))</f>
        <v/>
      </c>
      <c r="CH175" s="135" t="str">
        <f aca="false">IF(ISBLANK($C175),"",IF($BX175&lt;&gt;Constants!$B$6,$BX175,IF(ISNUMBER($CG175),RANK($CG175,$CG$9:$CG$508,1),COUNT($CG$9:$CG$508)+1)))</f>
        <v/>
      </c>
      <c r="CI175" s="138" t="str">
        <f aca="false">IF($BX175&lt;&gt;Constants!$B$6,"",IF($BL175="-&gt;",$BV175,$BK175))</f>
        <v/>
      </c>
      <c r="CJ175" s="135" t="str">
        <f aca="false">IF(ISBLANK($C175),"",IF($BX175&lt;&gt;Constants!$B$6,$BX175,IF(ISNUMBER($CI175),RANK($CI175,$CI$9:$CI$508,1),COUNT($CI$9:$CI$508)+1)))</f>
        <v/>
      </c>
      <c r="CK175" s="138" t="str">
        <f aca="false">IF($BX175&lt;&gt;Constants!$B$6,"",$AI175)</f>
        <v/>
      </c>
      <c r="CL175" s="135" t="str">
        <f aca="false">IF(ISBLANK($C175),"",IF($BX175&lt;&gt;Constants!$B$6,$BX175,IF(ISNUMBER($CK175),RANK($CK175,$CK$9:$CK$508,1),COUNT($CK$9:$CK$508)+1)))</f>
        <v/>
      </c>
      <c r="CM175" s="135" t="str">
        <f aca="false">IF(ISBLANK($C175),"",IF($BX175&lt;&gt;Constants!$B$6,$BX175,COUNTIFS($CD$9:$CD$508,"&lt;"&amp;$CD175)+COUNTIFS($CD$9:$CD$508,$CD175,$CF$9:$CF$508,"&lt;"&amp;$CF175)+COUNTIFS($CD$9:$CD$508,$CD175,$CF$9:$CF$508,$CF175,$CH$9:$CH$508,"&lt;"&amp;$CH175)+COUNTIFS($CD$9:$CD$508,$CD175,$CF$9:$CF$508,$CF175,$CH$9:$CH$508,$CH175,$CJ$9:$CJ$508,"&lt;"&amp;$CJ175)+COUNTIFS($CD$9:$CD$508,$CD175,$CF$9:$CF$508,$CF175,$CH$9:$CH$508,$CH175,$CJ$9:$CJ$508,$CJ175,$CL$9:$CL$508,"&lt;"&amp;$CL175)+1))</f>
        <v/>
      </c>
      <c r="CN175" s="135" t="str">
        <f aca="false">IF(ISBLANK($C175),"",IF($BX175&lt;&gt;Constants!$B$6,$BX175,$CD175-$CM175))</f>
        <v/>
      </c>
      <c r="CO175" s="141"/>
      <c r="CP175" s="142"/>
      <c r="CQ175" s="143" t="str">
        <f aca="false">IF(ISBLANK($C175),"",IF($BX175=Constants!$B$10,$BW175,""))</f>
        <v/>
      </c>
      <c r="CR175" s="142" t="str">
        <f aca="false">IF(ISBLANK($C175),"",IF($BX175&lt;&gt;Constants!$B$6,"",IF($BL175="-&gt;",2,1)))</f>
        <v/>
      </c>
      <c r="CS175" s="144" t="str">
        <f aca="false">IF(ISBLANK($C175),"",IF($BX175&lt;&gt;Constants!$B$6,"",IF($BL175="-&gt;",$BN175,$BC175)))</f>
        <v/>
      </c>
      <c r="CT175" s="144" t="str">
        <f aca="false">IF(ISBLANK($C175),"",IF($BX175&lt;&gt;Constants!$B$6,"",IF($BL175="-&gt;",$BO175,$BD175)))</f>
        <v/>
      </c>
      <c r="CU175" s="144" t="str">
        <f aca="false">IF(ISBLANK($C175),"",IF($BX175&lt;&gt;Constants!$B$6,"",IF($BL175="-&gt;",$BP175+$BQ175,$BE175+$BF175)+$CB175))</f>
        <v/>
      </c>
      <c r="CV175" s="144" t="str">
        <f aca="false">IF(ISBLANK($C175),"",IF($BX175&lt;&gt;Constants!$B$6,"",IF($BL175="-&gt;",$BR175,$BG175)+$CA175))</f>
        <v/>
      </c>
      <c r="CW175" s="145" t="str">
        <f aca="false">IF(ISBLANK($C175),"",IF($BX175&lt;&gt;Constants!$B$6,$BX175,$CC175))</f>
        <v/>
      </c>
      <c r="CX175" s="146" t="str">
        <f aca="false">IF(ISBLANK($C175),"",$BY175)</f>
        <v/>
      </c>
      <c r="CY175" s="147" t="str">
        <f aca="false">IF(ISBLANK($C175),"",$CN175)</f>
        <v/>
      </c>
      <c r="CZ175" s="147" t="str">
        <f aca="false">IF(ISBLANK($C175),"",$CM175)</f>
        <v/>
      </c>
      <c r="DA175" s="148" t="str">
        <f aca="false">IF(ISBLANK($C175),"",IFERROR(_xlfn.SWITCH($CZ175,Constants!$B$9,COUNTA($C$9:$C$508)+2,Constants!$B$8,COUNTA($C$9:$C$508)+1,Constants!$B$7,COUNTA($C$9:$C$508)),$CZ175))</f>
        <v/>
      </c>
      <c r="DB175" s="9"/>
      <c r="DC175" s="149" t="n">
        <f aca="false">IF(OR(ISNUMBER($CZ175),$CZ175=Constants!$B$9,$CZ175=Constants!$B$7,$CZ175=Constants!$B$8),1,0)</f>
        <v>0</v>
      </c>
      <c r="DD175" s="149" t="n">
        <v>167</v>
      </c>
      <c r="DE175" s="149" t="str">
        <f aca="false">IF(ISBLANK($C175),"",IF(ISNUMBER($DA175),$DA175+ROW($B175)/1000,""))</f>
        <v/>
      </c>
      <c r="DF175" s="149" t="str">
        <f aca="false">IF(ISNUMBER($DE175),RANK($DE175,$DE$9:$DE$508,1),"")</f>
        <v/>
      </c>
      <c r="DG175" s="149" t="str">
        <f aca="false">IF(ISBLANK($C175),"",$B175)</f>
        <v/>
      </c>
      <c r="DH175" s="149" t="str">
        <f aca="false">IF(ISBLANK($C175),"",$C175)</f>
        <v/>
      </c>
      <c r="DI175" s="149" t="str">
        <f aca="false">IF(ISBLANK($C175),"",$D175)</f>
        <v/>
      </c>
      <c r="DJ175" s="150" t="str">
        <f aca="false">$CX175</f>
        <v/>
      </c>
      <c r="DK175" s="151" t="str">
        <f aca="false">$CW175</f>
        <v/>
      </c>
      <c r="DL175" s="149" t="str">
        <f aca="false">IF(ISBLANK($C175),"",$CZ175)</f>
        <v/>
      </c>
      <c r="DM175" s="152" t="str">
        <f aca="false">IF($DD175&gt;$DC$8,"",VLOOKUP($DD175,$DF$9:$DL$508,7,FALSE()))</f>
        <v/>
      </c>
      <c r="DN175" s="153" t="str">
        <f aca="false">IF($DD175&gt;$DC$8,"",VLOOKUP($DD175,$DF$9:$DL$508,2,FALSE()))</f>
        <v/>
      </c>
      <c r="DO175" s="153" t="str">
        <f aca="false">IF($DD175&gt;$DC$8,"",VLOOKUP($DD175,$DF$9:$DL$508,3,FALSE()))</f>
        <v/>
      </c>
      <c r="DP175" s="153" t="str">
        <f aca="false">IF($DD175&gt;$DC$8,"",VLOOKUP($DD175,$DF$9:$DL$508,4,FALSE()))</f>
        <v/>
      </c>
      <c r="DQ175" s="153" t="str">
        <f aca="false">IF($DD175&gt;$DC$8,"",VLOOKUP($DD175,$DF$9:$DL$508,5,FALSE()))</f>
        <v/>
      </c>
      <c r="DR175" s="154" t="str">
        <f aca="false">IF($DD175&gt;$DC$8,"",VLOOKUP($DD175,$DF$9:$DL$508,6,FALSE()))</f>
        <v/>
      </c>
      <c r="DS175" s="76"/>
    </row>
    <row r="176" customFormat="false" ht="15.75" hidden="false" customHeight="false" outlineLevel="0" collapsed="false">
      <c r="A176" s="9"/>
      <c r="B176" s="160"/>
      <c r="C176" s="161"/>
      <c r="D176" s="162"/>
      <c r="E176" s="180"/>
      <c r="F176" s="164"/>
      <c r="G176" s="165"/>
      <c r="H176" s="165"/>
      <c r="I176" s="181"/>
      <c r="J176" s="168"/>
      <c r="K176" s="128"/>
      <c r="L176" s="129"/>
      <c r="M176" s="130"/>
      <c r="N176" s="168"/>
      <c r="O176" s="168"/>
      <c r="P176" s="180"/>
      <c r="Q176" s="168"/>
      <c r="R176" s="168"/>
      <c r="S176" s="128"/>
      <c r="T176" s="130"/>
      <c r="U176" s="130"/>
      <c r="V176" s="168"/>
      <c r="W176" s="168"/>
      <c r="X176" s="180"/>
      <c r="Y176" s="168"/>
      <c r="Z176" s="169"/>
      <c r="AA176" s="168"/>
      <c r="AB176" s="134"/>
      <c r="AC176" s="135"/>
      <c r="AD176" s="135"/>
      <c r="AE176" s="135"/>
      <c r="AF176" s="135" t="str">
        <f aca="false">IF(ISBLANK($C176),"",IF(E176=Constants!$B$2,TRUE(),IF(E176=Constants!$B$3,FALSE(),TRUE())))</f>
        <v/>
      </c>
      <c r="AG176" s="135" t="str">
        <f aca="false">IF(ISBLANK($C176),"",IF(F176=Constants!$B$2,TRUE(),IF(F176=Constants!$B$3,FALSE(),TRUE())))</f>
        <v/>
      </c>
      <c r="AH176" s="135" t="str">
        <f aca="false">IF(ISBLANK($C176),"",IF(G176=Constants!$B$2,TRUE(),IF(G176=Constants!$B$3,FALSE(),TRUE())))</f>
        <v/>
      </c>
      <c r="AI176" s="135" t="str">
        <f aca="false">IF(ISBLANK($C176),"",IF(AND(ISNUMBER(H176),H176&gt;=0),H176,Constants!$B$24))</f>
        <v/>
      </c>
      <c r="AJ176" s="135" t="str">
        <f aca="false">IF(ISBLANK($C176),"",IF(I176=Constants!$B$2,TRUE(),IF(I176=Constants!$B$3,FALSE(),TRUE())))</f>
        <v/>
      </c>
      <c r="AK176" s="135" t="str">
        <f aca="false">IF(ISBLANK($C176),"",IF(J176=Constants!$B$2,TRUE(),IF(J176=Constants!$B$3,FALSE(),TRUE())))</f>
        <v/>
      </c>
      <c r="AL176" s="135" t="str">
        <f aca="false">IF(ISBLANK($C176),"",IF(K176=Constants!$B$4,TRUE(),IF(K176=Constants!$B$5,FALSE(),COUNTA(L176:P176)&gt;0)))</f>
        <v/>
      </c>
      <c r="AM176" s="136" t="str">
        <f aca="false">IF(ISBLANK($C176),"",IF(ISNUMBER(L176),IF(L176&gt;=0,L176,""),""))</f>
        <v/>
      </c>
      <c r="AN176" s="137" t="str">
        <f aca="false">IF(ISBLANK($C176),"",IF(ISNUMBER(M176),IF(M176&gt;=0,M176,""),""))</f>
        <v/>
      </c>
      <c r="AO176" s="137" t="str">
        <f aca="false">IF(ISBLANK($C176),"",IF(N176=Constants!$B$2,TRUE(),IF(N176=Constants!$B$3,FALSE(),TRUE())))</f>
        <v/>
      </c>
      <c r="AP176" s="135" t="str">
        <f aca="false">IF(ISBLANK($C176),"",IF(ISNUMBER(O176),IF(O176&gt;=0,O176,""),""))</f>
        <v/>
      </c>
      <c r="AQ176" s="135" t="str">
        <f aca="false">IF(ISBLANK($C176),"",IF(P176=Constants!$B$2,TRUE(),IF(P176=Constants!$B$3,FALSE(),FALSE())))</f>
        <v/>
      </c>
      <c r="AR176" s="135" t="str">
        <f aca="false">IF(ISBLANK($C176),"",IF(Q176=Constants!$B$2,TRUE(),IF(Q176=Constants!$B$3,FALSE(),TRUE())))</f>
        <v/>
      </c>
      <c r="AS176" s="135" t="str">
        <f aca="false">IF(ISBLANK($C176),"",IF(R176=Constants!$B$2,TRUE(),IF(R176=Constants!$B$3,FALSE(),TRUE())))</f>
        <v/>
      </c>
      <c r="AT176" s="135" t="str">
        <f aca="false">IF(ISBLANK($C176),"",IF(S176=Constants!$B$4,TRUE(),IF(S176=Constants!$B$5,FALSE(),COUNTA(T176:X176)&gt;0)))</f>
        <v/>
      </c>
      <c r="AU176" s="136" t="str">
        <f aca="false">IF(ISBLANK($C176),"",IF(ISNUMBER(T176),IF(T176&gt;=0,T176,""),""))</f>
        <v/>
      </c>
      <c r="AV176" s="137" t="str">
        <f aca="false">IF(ISBLANK($C176),"",IF(ISNUMBER(U176),IF(U176&gt;=0,U176,""),""))</f>
        <v/>
      </c>
      <c r="AW176" s="137" t="str">
        <f aca="false">IF(ISBLANK($C176),"",IF(V176=Constants!$B$2,TRUE(),IF(V176=Constants!$B$3,FALSE(),TRUE())))</f>
        <v/>
      </c>
      <c r="AX176" s="135" t="str">
        <f aca="false">IF(ISBLANK($C176),"",IF(ISNUMBER(W176),IF(W176&gt;=0,W176,""),""))</f>
        <v/>
      </c>
      <c r="AY176" s="135" t="str">
        <f aca="false">IF(ISBLANK($C176),"",IF(X176=Constants!$B$2,TRUE(),IF(X176=Constants!$B$3,FALSE(),FALSE())))</f>
        <v/>
      </c>
      <c r="AZ176" s="135" t="str">
        <f aca="false">IF(ISBLANK($C176),"",MIN(Constants!$B$25,MAX(0,IF(ISNUMBER(Y176),Y176*60,0)+IF(ISNUMBER(Z176),Z176,0))))</f>
        <v/>
      </c>
      <c r="BA176" s="135" t="str">
        <f aca="false">IF(ISBLANK($C176),"",IF(AA176=Constants!$B$2,TRUE(),IF(AA176=Constants!$B$3,FALSE(),FALSE())))</f>
        <v/>
      </c>
      <c r="BB176" s="134" t="str">
        <f aca="false">IF(ISBLANK($C176),"",AND($AL176,OR($AM176="",$AN176="",AND($AO176,$AP176=""))))</f>
        <v/>
      </c>
      <c r="BC176" s="137" t="str">
        <f aca="false">IF($BX176&lt;&gt;Constants!$B$6,"",IF($AL176,Constants!$B$17*$AN176+Constants!$B$18*IF($AO176,$AP176,Constants!$B$19),Constants!$B$20))</f>
        <v/>
      </c>
      <c r="BD176" s="138" t="str">
        <f aca="false">IF($BX176&lt;&gt;Constants!$B$6,"",Constants!$B$21*ABS($AD$9-IF($AL176,$AM176,0)))</f>
        <v/>
      </c>
      <c r="BE176" s="138" t="str">
        <f aca="false">IF($BX176&lt;&gt;Constants!$B$6,"",IF(AND($AL176,$AQ176,$AO176),Constants!$B$22,0))</f>
        <v/>
      </c>
      <c r="BF176" s="138" t="str">
        <f aca="false">IF($BX176&lt;&gt;Constants!$B$6,"",IF($AL176,($AI176-Constants!$B$24)*Constants!$B$23,0))</f>
        <v/>
      </c>
      <c r="BG176" s="138" t="str">
        <f aca="false">IF($BX176&lt;&gt;Constants!$B$6,"",IF($AK176,0,Constants!$B$12)+IF($AJ176,0,Constants!$B$13)+IF($AH176,0,Constants!$B$14))</f>
        <v/>
      </c>
      <c r="BH176" s="139" t="str">
        <f aca="false">IF($BX176&lt;&gt;Constants!$B$6,"",Constants!$B$16+SUM($BC176:$BG176))</f>
        <v/>
      </c>
      <c r="BI176" s="138" t="str">
        <f aca="false">IF($BX176&lt;&gt;Constants!$B$6,"",$BC176)</f>
        <v/>
      </c>
      <c r="BJ176" s="138" t="str">
        <f aca="false">IF($BX176&lt;&gt;Constants!$B$6,"",$BD176)</f>
        <v/>
      </c>
      <c r="BK176" s="140" t="str">
        <f aca="false">IF($BX176&lt;&gt;Constants!$B$6,"",IF($AL176,$AN176,""))</f>
        <v/>
      </c>
      <c r="BL176" s="135" t="str">
        <f aca="false">IF($BX176&lt;&gt;Constants!$B$6,"",IF(OR($BS176&lt;$BH176,AND($BS176=$BH176,OR($BT176&lt;$BI176,AND($BT176=$BI176,OR($BU176&lt;$BJ176,AND($BU176=$BJ176,AND(ISNUMBER($BV176),OR(NOT(ISNUMBER($BK176)),$BV176&lt;$BK176)))))))),"-&gt;","&lt;-"))</f>
        <v/>
      </c>
      <c r="BM176" s="134" t="str">
        <f aca="false">IF(ISBLANK($C176),"",AND($AT176,OR($AU176="",$AV176="",AND($AW176,$AX176=""))))</f>
        <v/>
      </c>
      <c r="BN176" s="137" t="str">
        <f aca="false">IF($BX176&lt;&gt;Constants!$B$6,"",IF($AT176,Constants!$B$17*$AV176+Constants!$B$18*IF($AW176,$AX176,Constants!$B$19),Constants!$B$20))</f>
        <v/>
      </c>
      <c r="BO176" s="138" t="str">
        <f aca="false">IF($BX176&lt;&gt;Constants!$B$6,"",Constants!$B$21*ABS($AD$9-IF($AT176,$AU176,0)))</f>
        <v/>
      </c>
      <c r="BP176" s="138" t="str">
        <f aca="false">IF($BX176&lt;&gt;Constants!$B$6,"",IF(AND($AT176,$AY176,$AW176),Constants!$B$22,0))</f>
        <v/>
      </c>
      <c r="BQ176" s="138" t="str">
        <f aca="false">IF($BX176&lt;&gt;Constants!$B$6,"",IF($AT176,($AI176-Constants!$B$24)*Constants!$B$23,0))</f>
        <v/>
      </c>
      <c r="BR176" s="138" t="str">
        <f aca="false">IF($BX176&lt;&gt;Constants!$B$6,"",IF($AS176,0,Constants!$B$12)+IF($AR176,0,Constants!$B$13)+IF($AH176,0,Constants!$B$14))</f>
        <v/>
      </c>
      <c r="BS176" s="139" t="str">
        <f aca="false">IF($BX176&lt;&gt;Constants!$B$6,"",Constants!$B$16+SUM($BN176:$BR176))</f>
        <v/>
      </c>
      <c r="BT176" s="138" t="str">
        <f aca="false">IF($BX176&lt;&gt;Constants!$B$6,"",$BN176)</f>
        <v/>
      </c>
      <c r="BU176" s="138" t="str">
        <f aca="false">IF($BX176&lt;&gt;Constants!$B$6,"",$BO176)</f>
        <v/>
      </c>
      <c r="BV176" s="140" t="str">
        <f aca="false">IF($BX176&lt;&gt;Constants!$B$6,"",IF($AT176,$AV176,""))</f>
        <v/>
      </c>
      <c r="BW176" s="135" t="str">
        <f aca="false">IF(ISBLANK($C176),"",IF(ISBLANK($D$7),$BW$5,IF(NOT(ISNUMBER($D$7)),$BW$6,"")))</f>
        <v/>
      </c>
      <c r="BX176" s="135" t="str">
        <f aca="false">IF(ISBLANK($C176),"",IF($BA176,Constants!$B$9,IF(COUNTA($E176:$AA176)=0,Constants!$B$8,IF(NOT($AG176),Constants!$B$7,IF(OR($BW176&lt;&gt;"",$BB176,$BM176),Constants!$B$10,Constants!$B$6)))))</f>
        <v/>
      </c>
      <c r="BY176" s="135" t="str">
        <f aca="false">IF(ISBLANK($C176),"",IF($BX176&lt;&gt;Constants!$B$6,$BX176,Constants!$B$11))</f>
        <v/>
      </c>
      <c r="BZ176" s="138" t="str">
        <f aca="false">IF($BX176&lt;&gt;Constants!$B$6,"",IF($BL176="-&gt;",$BS176,$BH176))</f>
        <v/>
      </c>
      <c r="CA176" s="138" t="str">
        <f aca="false">IF($BX176&lt;&gt;Constants!$B$6,"",IF($AF176,0,Constants!$B$15))</f>
        <v/>
      </c>
      <c r="CB176" s="138" t="str">
        <f aca="false">IF($BX176&lt;&gt;Constants!$B$6,"",((Constants!$B$25-$AZ176)-Constants!$B$25)/Constants!$B$26)</f>
        <v/>
      </c>
      <c r="CC176" s="138" t="str">
        <f aca="false">IF(ISBLANK($C176),"",IF($BX176&lt;&gt;Constants!$B$6,$BX176,SUM($BZ176:$CB176)))</f>
        <v/>
      </c>
      <c r="CD176" s="135" t="str">
        <f aca="false">IF(ISBLANK($C176),"",IF($BX176&lt;&gt;Constants!$B$6,$BX176,RANK($CC176,$CC$9:$CC$508,1)))</f>
        <v/>
      </c>
      <c r="CE176" s="138" t="str">
        <f aca="false">IF($BX176&lt;&gt;Constants!$B$6,"",IF($BL176="-&gt;",$BT176,$BI176))</f>
        <v/>
      </c>
      <c r="CF176" s="135" t="str">
        <f aca="false">IF(ISBLANK($C176),"",IF($BX176&lt;&gt;Constants!$B$6,$BX176,IF(ISNUMBER($CE176),RANK($CE176,$CE$9:$CE$508,1),COUNT($CE$9:$CE$508)+1)))</f>
        <v/>
      </c>
      <c r="CG176" s="138" t="str">
        <f aca="false">IF($BX176&lt;&gt;Constants!$B$6,"",IF($BL176="-&gt;",$BU176,$BJ176))</f>
        <v/>
      </c>
      <c r="CH176" s="135" t="str">
        <f aca="false">IF(ISBLANK($C176),"",IF($BX176&lt;&gt;Constants!$B$6,$BX176,IF(ISNUMBER($CG176),RANK($CG176,$CG$9:$CG$508,1),COUNT($CG$9:$CG$508)+1)))</f>
        <v/>
      </c>
      <c r="CI176" s="138" t="str">
        <f aca="false">IF($BX176&lt;&gt;Constants!$B$6,"",IF($BL176="-&gt;",$BV176,$BK176))</f>
        <v/>
      </c>
      <c r="CJ176" s="135" t="str">
        <f aca="false">IF(ISBLANK($C176),"",IF($BX176&lt;&gt;Constants!$B$6,$BX176,IF(ISNUMBER($CI176),RANK($CI176,$CI$9:$CI$508,1),COUNT($CI$9:$CI$508)+1)))</f>
        <v/>
      </c>
      <c r="CK176" s="138" t="str">
        <f aca="false">IF($BX176&lt;&gt;Constants!$B$6,"",$AI176)</f>
        <v/>
      </c>
      <c r="CL176" s="135" t="str">
        <f aca="false">IF(ISBLANK($C176),"",IF($BX176&lt;&gt;Constants!$B$6,$BX176,IF(ISNUMBER($CK176),RANK($CK176,$CK$9:$CK$508,1),COUNT($CK$9:$CK$508)+1)))</f>
        <v/>
      </c>
      <c r="CM176" s="135" t="str">
        <f aca="false">IF(ISBLANK($C176),"",IF($BX176&lt;&gt;Constants!$B$6,$BX176,COUNTIFS($CD$9:$CD$508,"&lt;"&amp;$CD176)+COUNTIFS($CD$9:$CD$508,$CD176,$CF$9:$CF$508,"&lt;"&amp;$CF176)+COUNTIFS($CD$9:$CD$508,$CD176,$CF$9:$CF$508,$CF176,$CH$9:$CH$508,"&lt;"&amp;$CH176)+COUNTIFS($CD$9:$CD$508,$CD176,$CF$9:$CF$508,$CF176,$CH$9:$CH$508,$CH176,$CJ$9:$CJ$508,"&lt;"&amp;$CJ176)+COUNTIFS($CD$9:$CD$508,$CD176,$CF$9:$CF$508,$CF176,$CH$9:$CH$508,$CH176,$CJ$9:$CJ$508,$CJ176,$CL$9:$CL$508,"&lt;"&amp;$CL176)+1))</f>
        <v/>
      </c>
      <c r="CN176" s="135" t="str">
        <f aca="false">IF(ISBLANK($C176),"",IF($BX176&lt;&gt;Constants!$B$6,$BX176,$CD176-$CM176))</f>
        <v/>
      </c>
      <c r="CO176" s="141"/>
      <c r="CP176" s="142"/>
      <c r="CQ176" s="143" t="str">
        <f aca="false">IF(ISBLANK($C176),"",IF($BX176=Constants!$B$10,$BW176,""))</f>
        <v/>
      </c>
      <c r="CR176" s="142" t="str">
        <f aca="false">IF(ISBLANK($C176),"",IF($BX176&lt;&gt;Constants!$B$6,"",IF($BL176="-&gt;",2,1)))</f>
        <v/>
      </c>
      <c r="CS176" s="144" t="str">
        <f aca="false">IF(ISBLANK($C176),"",IF($BX176&lt;&gt;Constants!$B$6,"",IF($BL176="-&gt;",$BN176,$BC176)))</f>
        <v/>
      </c>
      <c r="CT176" s="144" t="str">
        <f aca="false">IF(ISBLANK($C176),"",IF($BX176&lt;&gt;Constants!$B$6,"",IF($BL176="-&gt;",$BO176,$BD176)))</f>
        <v/>
      </c>
      <c r="CU176" s="144" t="str">
        <f aca="false">IF(ISBLANK($C176),"",IF($BX176&lt;&gt;Constants!$B$6,"",IF($BL176="-&gt;",$BP176+$BQ176,$BE176+$BF176)+$CB176))</f>
        <v/>
      </c>
      <c r="CV176" s="144" t="str">
        <f aca="false">IF(ISBLANK($C176),"",IF($BX176&lt;&gt;Constants!$B$6,"",IF($BL176="-&gt;",$BR176,$BG176)+$CA176))</f>
        <v/>
      </c>
      <c r="CW176" s="145" t="str">
        <f aca="false">IF(ISBLANK($C176),"",IF($BX176&lt;&gt;Constants!$B$6,$BX176,$CC176))</f>
        <v/>
      </c>
      <c r="CX176" s="146" t="str">
        <f aca="false">IF(ISBLANK($C176),"",$BY176)</f>
        <v/>
      </c>
      <c r="CY176" s="147" t="str">
        <f aca="false">IF(ISBLANK($C176),"",$CN176)</f>
        <v/>
      </c>
      <c r="CZ176" s="147" t="str">
        <f aca="false">IF(ISBLANK($C176),"",$CM176)</f>
        <v/>
      </c>
      <c r="DA176" s="148" t="str">
        <f aca="false">IF(ISBLANK($C176),"",IFERROR(_xlfn.SWITCH($CZ176,Constants!$B$9,COUNTA($C$9:$C$508)+2,Constants!$B$8,COUNTA($C$9:$C$508)+1,Constants!$B$7,COUNTA($C$9:$C$508)),$CZ176))</f>
        <v/>
      </c>
      <c r="DB176" s="9"/>
      <c r="DC176" s="149" t="n">
        <f aca="false">IF(OR(ISNUMBER($CZ176),$CZ176=Constants!$B$9,$CZ176=Constants!$B$7,$CZ176=Constants!$B$8),1,0)</f>
        <v>0</v>
      </c>
      <c r="DD176" s="149" t="n">
        <v>168</v>
      </c>
      <c r="DE176" s="149" t="str">
        <f aca="false">IF(ISBLANK($C176),"",IF(ISNUMBER($DA176),$DA176+ROW($B176)/1000,""))</f>
        <v/>
      </c>
      <c r="DF176" s="149" t="str">
        <f aca="false">IF(ISNUMBER($DE176),RANK($DE176,$DE$9:$DE$508,1),"")</f>
        <v/>
      </c>
      <c r="DG176" s="149" t="str">
        <f aca="false">IF(ISBLANK($C176),"",$B176)</f>
        <v/>
      </c>
      <c r="DH176" s="149" t="str">
        <f aca="false">IF(ISBLANK($C176),"",$C176)</f>
        <v/>
      </c>
      <c r="DI176" s="149" t="str">
        <f aca="false">IF(ISBLANK($C176),"",$D176)</f>
        <v/>
      </c>
      <c r="DJ176" s="150" t="str">
        <f aca="false">$CX176</f>
        <v/>
      </c>
      <c r="DK176" s="151" t="str">
        <f aca="false">$CW176</f>
        <v/>
      </c>
      <c r="DL176" s="149" t="str">
        <f aca="false">IF(ISBLANK($C176),"",$CZ176)</f>
        <v/>
      </c>
      <c r="DM176" s="152" t="str">
        <f aca="false">IF($DD176&gt;$DC$8,"",VLOOKUP($DD176,$DF$9:$DL$508,7,FALSE()))</f>
        <v/>
      </c>
      <c r="DN176" s="153" t="str">
        <f aca="false">IF($DD176&gt;$DC$8,"",VLOOKUP($DD176,$DF$9:$DL$508,2,FALSE()))</f>
        <v/>
      </c>
      <c r="DO176" s="153" t="str">
        <f aca="false">IF($DD176&gt;$DC$8,"",VLOOKUP($DD176,$DF$9:$DL$508,3,FALSE()))</f>
        <v/>
      </c>
      <c r="DP176" s="153" t="str">
        <f aca="false">IF($DD176&gt;$DC$8,"",VLOOKUP($DD176,$DF$9:$DL$508,4,FALSE()))</f>
        <v/>
      </c>
      <c r="DQ176" s="153" t="str">
        <f aca="false">IF($DD176&gt;$DC$8,"",VLOOKUP($DD176,$DF$9:$DL$508,5,FALSE()))</f>
        <v/>
      </c>
      <c r="DR176" s="154" t="str">
        <f aca="false">IF($DD176&gt;$DC$8,"",VLOOKUP($DD176,$DF$9:$DL$508,6,FALSE()))</f>
        <v/>
      </c>
      <c r="DS176" s="76"/>
    </row>
    <row r="177" customFormat="false" ht="15.75" hidden="false" customHeight="false" outlineLevel="0" collapsed="false">
      <c r="A177" s="9"/>
      <c r="B177" s="78"/>
      <c r="C177" s="79"/>
      <c r="D177" s="170"/>
      <c r="E177" s="178"/>
      <c r="F177" s="172"/>
      <c r="G177" s="173"/>
      <c r="H177" s="173"/>
      <c r="I177" s="179"/>
      <c r="J177" s="176"/>
      <c r="K177" s="86"/>
      <c r="L177" s="87"/>
      <c r="M177" s="88"/>
      <c r="N177" s="176"/>
      <c r="O177" s="176"/>
      <c r="P177" s="178"/>
      <c r="Q177" s="176"/>
      <c r="R177" s="176"/>
      <c r="S177" s="86"/>
      <c r="T177" s="88"/>
      <c r="U177" s="88"/>
      <c r="V177" s="176"/>
      <c r="W177" s="176"/>
      <c r="X177" s="178"/>
      <c r="Y177" s="176"/>
      <c r="Z177" s="177"/>
      <c r="AA177" s="176"/>
      <c r="AB177" s="92"/>
      <c r="AC177" s="93"/>
      <c r="AD177" s="93"/>
      <c r="AE177" s="93"/>
      <c r="AF177" s="93" t="str">
        <f aca="false">IF(ISBLANK($C177),"",IF(E177=Constants!$B$2,TRUE(),IF(E177=Constants!$B$3,FALSE(),TRUE())))</f>
        <v/>
      </c>
      <c r="AG177" s="93" t="str">
        <f aca="false">IF(ISBLANK($C177),"",IF(F177=Constants!$B$2,TRUE(),IF(F177=Constants!$B$3,FALSE(),TRUE())))</f>
        <v/>
      </c>
      <c r="AH177" s="93" t="str">
        <f aca="false">IF(ISBLANK($C177),"",IF(G177=Constants!$B$2,TRUE(),IF(G177=Constants!$B$3,FALSE(),TRUE())))</f>
        <v/>
      </c>
      <c r="AI177" s="93" t="str">
        <f aca="false">IF(ISBLANK($C177),"",IF(AND(ISNUMBER(H177),H177&gt;=0),H177,Constants!$B$24))</f>
        <v/>
      </c>
      <c r="AJ177" s="93" t="str">
        <f aca="false">IF(ISBLANK($C177),"",IF(I177=Constants!$B$2,TRUE(),IF(I177=Constants!$B$3,FALSE(),TRUE())))</f>
        <v/>
      </c>
      <c r="AK177" s="93" t="str">
        <f aca="false">IF(ISBLANK($C177),"",IF(J177=Constants!$B$2,TRUE(),IF(J177=Constants!$B$3,FALSE(),TRUE())))</f>
        <v/>
      </c>
      <c r="AL177" s="93" t="str">
        <f aca="false">IF(ISBLANK($C177),"",IF(K177=Constants!$B$4,TRUE(),IF(K177=Constants!$B$5,FALSE(),COUNTA(L177:P177)&gt;0)))</f>
        <v/>
      </c>
      <c r="AM177" s="95" t="str">
        <f aca="false">IF(ISBLANK($C177),"",IF(ISNUMBER(L177),IF(L177&gt;=0,L177,""),""))</f>
        <v/>
      </c>
      <c r="AN177" s="94" t="str">
        <f aca="false">IF(ISBLANK($C177),"",IF(ISNUMBER(M177),IF(M177&gt;=0,M177,""),""))</f>
        <v/>
      </c>
      <c r="AO177" s="94" t="str">
        <f aca="false">IF(ISBLANK($C177),"",IF(N177=Constants!$B$2,TRUE(),IF(N177=Constants!$B$3,FALSE(),TRUE())))</f>
        <v/>
      </c>
      <c r="AP177" s="93" t="str">
        <f aca="false">IF(ISBLANK($C177),"",IF(ISNUMBER(O177),IF(O177&gt;=0,O177,""),""))</f>
        <v/>
      </c>
      <c r="AQ177" s="93" t="str">
        <f aca="false">IF(ISBLANK($C177),"",IF(P177=Constants!$B$2,TRUE(),IF(P177=Constants!$B$3,FALSE(),FALSE())))</f>
        <v/>
      </c>
      <c r="AR177" s="93" t="str">
        <f aca="false">IF(ISBLANK($C177),"",IF(Q177=Constants!$B$2,TRUE(),IF(Q177=Constants!$B$3,FALSE(),TRUE())))</f>
        <v/>
      </c>
      <c r="AS177" s="93" t="str">
        <f aca="false">IF(ISBLANK($C177),"",IF(R177=Constants!$B$2,TRUE(),IF(R177=Constants!$B$3,FALSE(),TRUE())))</f>
        <v/>
      </c>
      <c r="AT177" s="93" t="str">
        <f aca="false">IF(ISBLANK($C177),"",IF(S177=Constants!$B$4,TRUE(),IF(S177=Constants!$B$5,FALSE(),COUNTA(T177:X177)&gt;0)))</f>
        <v/>
      </c>
      <c r="AU177" s="95" t="str">
        <f aca="false">IF(ISBLANK($C177),"",IF(ISNUMBER(T177),IF(T177&gt;=0,T177,""),""))</f>
        <v/>
      </c>
      <c r="AV177" s="94" t="str">
        <f aca="false">IF(ISBLANK($C177),"",IF(ISNUMBER(U177),IF(U177&gt;=0,U177,""),""))</f>
        <v/>
      </c>
      <c r="AW177" s="94" t="str">
        <f aca="false">IF(ISBLANK($C177),"",IF(V177=Constants!$B$2,TRUE(),IF(V177=Constants!$B$3,FALSE(),TRUE())))</f>
        <v/>
      </c>
      <c r="AX177" s="93" t="str">
        <f aca="false">IF(ISBLANK($C177),"",IF(ISNUMBER(W177),IF(W177&gt;=0,W177,""),""))</f>
        <v/>
      </c>
      <c r="AY177" s="93" t="str">
        <f aca="false">IF(ISBLANK($C177),"",IF(X177=Constants!$B$2,TRUE(),IF(X177=Constants!$B$3,FALSE(),FALSE())))</f>
        <v/>
      </c>
      <c r="AZ177" s="93" t="str">
        <f aca="false">IF(ISBLANK($C177),"",MIN(Constants!$B$25,MAX(0,IF(ISNUMBER(Y177),Y177*60,0)+IF(ISNUMBER(Z177),Z177,0))))</f>
        <v/>
      </c>
      <c r="BA177" s="93" t="str">
        <f aca="false">IF(ISBLANK($C177),"",IF(AA177=Constants!$B$2,TRUE(),IF(AA177=Constants!$B$3,FALSE(),FALSE())))</f>
        <v/>
      </c>
      <c r="BB177" s="92" t="str">
        <f aca="false">IF(ISBLANK($C177),"",AND($AL177,OR($AM177="",$AN177="",AND($AO177,$AP177=""))))</f>
        <v/>
      </c>
      <c r="BC177" s="94" t="str">
        <f aca="false">IF($BX177&lt;&gt;Constants!$B$6,"",IF($AL177,Constants!$B$17*$AN177+Constants!$B$18*IF($AO177,$AP177,Constants!$B$19),Constants!$B$20))</f>
        <v/>
      </c>
      <c r="BD177" s="97" t="str">
        <f aca="false">IF($BX177&lt;&gt;Constants!$B$6,"",Constants!$B$21*ABS($AD$9-IF($AL177,$AM177,0)))</f>
        <v/>
      </c>
      <c r="BE177" s="97" t="str">
        <f aca="false">IF($BX177&lt;&gt;Constants!$B$6,"",IF(AND($AL177,$AQ177,$AO177),Constants!$B$22,0))</f>
        <v/>
      </c>
      <c r="BF177" s="97" t="str">
        <f aca="false">IF($BX177&lt;&gt;Constants!$B$6,"",IF($AL177,($AI177-Constants!$B$24)*Constants!$B$23,0))</f>
        <v/>
      </c>
      <c r="BG177" s="97" t="str">
        <f aca="false">IF($BX177&lt;&gt;Constants!$B$6,"",IF($AK177,0,Constants!$B$12)+IF($AJ177,0,Constants!$B$13)+IF($AH177,0,Constants!$B$14))</f>
        <v/>
      </c>
      <c r="BH177" s="98" t="str">
        <f aca="false">IF($BX177&lt;&gt;Constants!$B$6,"",Constants!$B$16+SUM($BC177:$BG177))</f>
        <v/>
      </c>
      <c r="BI177" s="97" t="str">
        <f aca="false">IF($BX177&lt;&gt;Constants!$B$6,"",$BC177)</f>
        <v/>
      </c>
      <c r="BJ177" s="97" t="str">
        <f aca="false">IF($BX177&lt;&gt;Constants!$B$6,"",$BD177)</f>
        <v/>
      </c>
      <c r="BK177" s="99" t="str">
        <f aca="false">IF($BX177&lt;&gt;Constants!$B$6,"",IF($AL177,$AN177,""))</f>
        <v/>
      </c>
      <c r="BL177" s="93" t="str">
        <f aca="false">IF($BX177&lt;&gt;Constants!$B$6,"",IF(OR($BS177&lt;$BH177,AND($BS177=$BH177,OR($BT177&lt;$BI177,AND($BT177=$BI177,OR($BU177&lt;$BJ177,AND($BU177=$BJ177,AND(ISNUMBER($BV177),OR(NOT(ISNUMBER($BK177)),$BV177&lt;$BK177)))))))),"-&gt;","&lt;-"))</f>
        <v/>
      </c>
      <c r="BM177" s="92" t="str">
        <f aca="false">IF(ISBLANK($C177),"",AND($AT177,OR($AU177="",$AV177="",AND($AW177,$AX177=""))))</f>
        <v/>
      </c>
      <c r="BN177" s="94" t="str">
        <f aca="false">IF($BX177&lt;&gt;Constants!$B$6,"",IF($AT177,Constants!$B$17*$AV177+Constants!$B$18*IF($AW177,$AX177,Constants!$B$19),Constants!$B$20))</f>
        <v/>
      </c>
      <c r="BO177" s="97" t="str">
        <f aca="false">IF($BX177&lt;&gt;Constants!$B$6,"",Constants!$B$21*ABS($AD$9-IF($AT177,$AU177,0)))</f>
        <v/>
      </c>
      <c r="BP177" s="97" t="str">
        <f aca="false">IF($BX177&lt;&gt;Constants!$B$6,"",IF(AND($AT177,$AY177,$AW177),Constants!$B$22,0))</f>
        <v/>
      </c>
      <c r="BQ177" s="97" t="str">
        <f aca="false">IF($BX177&lt;&gt;Constants!$B$6,"",IF($AT177,($AI177-Constants!$B$24)*Constants!$B$23,0))</f>
        <v/>
      </c>
      <c r="BR177" s="97" t="str">
        <f aca="false">IF($BX177&lt;&gt;Constants!$B$6,"",IF($AS177,0,Constants!$B$12)+IF($AR177,0,Constants!$B$13)+IF($AH177,0,Constants!$B$14))</f>
        <v/>
      </c>
      <c r="BS177" s="98" t="str">
        <f aca="false">IF($BX177&lt;&gt;Constants!$B$6,"",Constants!$B$16+SUM($BN177:$BR177))</f>
        <v/>
      </c>
      <c r="BT177" s="97" t="str">
        <f aca="false">IF($BX177&lt;&gt;Constants!$B$6,"",$BN177)</f>
        <v/>
      </c>
      <c r="BU177" s="97" t="str">
        <f aca="false">IF($BX177&lt;&gt;Constants!$B$6,"",$BO177)</f>
        <v/>
      </c>
      <c r="BV177" s="99" t="str">
        <f aca="false">IF($BX177&lt;&gt;Constants!$B$6,"",IF($AT177,$AV177,""))</f>
        <v/>
      </c>
      <c r="BW177" s="93" t="str">
        <f aca="false">IF(ISBLANK($C177),"",IF(ISBLANK($D$7),$BW$5,IF(NOT(ISNUMBER($D$7)),$BW$6,"")))</f>
        <v/>
      </c>
      <c r="BX177" s="93" t="str">
        <f aca="false">IF(ISBLANK($C177),"",IF($BA177,Constants!$B$9,IF(COUNTA($E177:$AA177)=0,Constants!$B$8,IF(NOT($AG177),Constants!$B$7,IF(OR($BW177&lt;&gt;"",$BB177,$BM177),Constants!$B$10,Constants!$B$6)))))</f>
        <v/>
      </c>
      <c r="BY177" s="93" t="str">
        <f aca="false">IF(ISBLANK($C177),"",IF($BX177&lt;&gt;Constants!$B$6,$BX177,Constants!$B$11))</f>
        <v/>
      </c>
      <c r="BZ177" s="97" t="str">
        <f aca="false">IF($BX177&lt;&gt;Constants!$B$6,"",IF($BL177="-&gt;",$BS177,$BH177))</f>
        <v/>
      </c>
      <c r="CA177" s="97" t="str">
        <f aca="false">IF($BX177&lt;&gt;Constants!$B$6,"",IF($AF177,0,Constants!$B$15))</f>
        <v/>
      </c>
      <c r="CB177" s="97" t="str">
        <f aca="false">IF($BX177&lt;&gt;Constants!$B$6,"",((Constants!$B$25-$AZ177)-Constants!$B$25)/Constants!$B$26)</f>
        <v/>
      </c>
      <c r="CC177" s="97" t="str">
        <f aca="false">IF(ISBLANK($C177),"",IF($BX177&lt;&gt;Constants!$B$6,$BX177,SUM($BZ177:$CB177)))</f>
        <v/>
      </c>
      <c r="CD177" s="93" t="str">
        <f aca="false">IF(ISBLANK($C177),"",IF($BX177&lt;&gt;Constants!$B$6,$BX177,RANK($CC177,$CC$9:$CC$508,1)))</f>
        <v/>
      </c>
      <c r="CE177" s="97" t="str">
        <f aca="false">IF($BX177&lt;&gt;Constants!$B$6,"",IF($BL177="-&gt;",$BT177,$BI177))</f>
        <v/>
      </c>
      <c r="CF177" s="93" t="str">
        <f aca="false">IF(ISBLANK($C177),"",IF($BX177&lt;&gt;Constants!$B$6,$BX177,IF(ISNUMBER($CE177),RANK($CE177,$CE$9:$CE$508,1),COUNT($CE$9:$CE$508)+1)))</f>
        <v/>
      </c>
      <c r="CG177" s="97" t="str">
        <f aca="false">IF($BX177&lt;&gt;Constants!$B$6,"",IF($BL177="-&gt;",$BU177,$BJ177))</f>
        <v/>
      </c>
      <c r="CH177" s="93" t="str">
        <f aca="false">IF(ISBLANK($C177),"",IF($BX177&lt;&gt;Constants!$B$6,$BX177,IF(ISNUMBER($CG177),RANK($CG177,$CG$9:$CG$508,1),COUNT($CG$9:$CG$508)+1)))</f>
        <v/>
      </c>
      <c r="CI177" s="97" t="str">
        <f aca="false">IF($BX177&lt;&gt;Constants!$B$6,"",IF($BL177="-&gt;",$BV177,$BK177))</f>
        <v/>
      </c>
      <c r="CJ177" s="93" t="str">
        <f aca="false">IF(ISBLANK($C177),"",IF($BX177&lt;&gt;Constants!$B$6,$BX177,IF(ISNUMBER($CI177),RANK($CI177,$CI$9:$CI$508,1),COUNT($CI$9:$CI$508)+1)))</f>
        <v/>
      </c>
      <c r="CK177" s="97" t="str">
        <f aca="false">IF($BX177&lt;&gt;Constants!$B$6,"",$AI177)</f>
        <v/>
      </c>
      <c r="CL177" s="93" t="str">
        <f aca="false">IF(ISBLANK($C177),"",IF($BX177&lt;&gt;Constants!$B$6,$BX177,IF(ISNUMBER($CK177),RANK($CK177,$CK$9:$CK$508,1),COUNT($CK$9:$CK$508)+1)))</f>
        <v/>
      </c>
      <c r="CM177" s="93" t="str">
        <f aca="false">IF(ISBLANK($C177),"",IF($BX177&lt;&gt;Constants!$B$6,$BX177,COUNTIFS($CD$9:$CD$508,"&lt;"&amp;$CD177)+COUNTIFS($CD$9:$CD$508,$CD177,$CF$9:$CF$508,"&lt;"&amp;$CF177)+COUNTIFS($CD$9:$CD$508,$CD177,$CF$9:$CF$508,$CF177,$CH$9:$CH$508,"&lt;"&amp;$CH177)+COUNTIFS($CD$9:$CD$508,$CD177,$CF$9:$CF$508,$CF177,$CH$9:$CH$508,$CH177,$CJ$9:$CJ$508,"&lt;"&amp;$CJ177)+COUNTIFS($CD$9:$CD$508,$CD177,$CF$9:$CF$508,$CF177,$CH$9:$CH$508,$CH177,$CJ$9:$CJ$508,$CJ177,$CL$9:$CL$508,"&lt;"&amp;$CL177)+1))</f>
        <v/>
      </c>
      <c r="CN177" s="93" t="str">
        <f aca="false">IF(ISBLANK($C177),"",IF($BX177&lt;&gt;Constants!$B$6,$BX177,$CD177-$CM177))</f>
        <v/>
      </c>
      <c r="CO177" s="100"/>
      <c r="CP177" s="101"/>
      <c r="CQ177" s="102" t="str">
        <f aca="false">IF(ISBLANK($C177),"",IF($BX177=Constants!$B$10,$BW177,""))</f>
        <v/>
      </c>
      <c r="CR177" s="101" t="str">
        <f aca="false">IF(ISBLANK($C177),"",IF($BX177&lt;&gt;Constants!$B$6,"",IF($BL177="-&gt;",2,1)))</f>
        <v/>
      </c>
      <c r="CS177" s="103" t="str">
        <f aca="false">IF(ISBLANK($C177),"",IF($BX177&lt;&gt;Constants!$B$6,"",IF($BL177="-&gt;",$BN177,$BC177)))</f>
        <v/>
      </c>
      <c r="CT177" s="103" t="str">
        <f aca="false">IF(ISBLANK($C177),"",IF($BX177&lt;&gt;Constants!$B$6,"",IF($BL177="-&gt;",$BO177,$BD177)))</f>
        <v/>
      </c>
      <c r="CU177" s="103" t="str">
        <f aca="false">IF(ISBLANK($C177),"",IF($BX177&lt;&gt;Constants!$B$6,"",IF($BL177="-&gt;",$BP177+$BQ177,$BE177+$BF177)+$CB177))</f>
        <v/>
      </c>
      <c r="CV177" s="103" t="str">
        <f aca="false">IF(ISBLANK($C177),"",IF($BX177&lt;&gt;Constants!$B$6,"",IF($BL177="-&gt;",$BR177,$BG177)+$CA177))</f>
        <v/>
      </c>
      <c r="CW177" s="104" t="str">
        <f aca="false">IF(ISBLANK($C177),"",IF($BX177&lt;&gt;Constants!$B$6,$BX177,$CC177))</f>
        <v/>
      </c>
      <c r="CX177" s="105" t="str">
        <f aca="false">IF(ISBLANK($C177),"",$BY177)</f>
        <v/>
      </c>
      <c r="CY177" s="106" t="str">
        <f aca="false">IF(ISBLANK($C177),"",$CN177)</f>
        <v/>
      </c>
      <c r="CZ177" s="106" t="str">
        <f aca="false">IF(ISBLANK($C177),"",$CM177)</f>
        <v/>
      </c>
      <c r="DA177" s="107" t="str">
        <f aca="false">IF(ISBLANK($C177),"",IFERROR(_xlfn.SWITCH($CZ177,Constants!$B$9,COUNTA($C$9:$C$508)+2,Constants!$B$8,COUNTA($C$9:$C$508)+1,Constants!$B$7,COUNTA($C$9:$C$508)),$CZ177))</f>
        <v/>
      </c>
      <c r="DB177" s="9"/>
      <c r="DC177" s="108" t="n">
        <f aca="false">IF(OR(ISNUMBER($CZ177),$CZ177=Constants!$B$9,$CZ177=Constants!$B$7,$CZ177=Constants!$B$8),1,0)</f>
        <v>0</v>
      </c>
      <c r="DD177" s="108" t="n">
        <v>169</v>
      </c>
      <c r="DE177" s="108" t="str">
        <f aca="false">IF(ISBLANK($C177),"",IF(ISNUMBER($DA177),$DA177+ROW($B177)/1000,""))</f>
        <v/>
      </c>
      <c r="DF177" s="108" t="str">
        <f aca="false">IF(ISNUMBER($DE177),RANK($DE177,$DE$9:$DE$508,1),"")</f>
        <v/>
      </c>
      <c r="DG177" s="108" t="str">
        <f aca="false">IF(ISBLANK($C177),"",$B177)</f>
        <v/>
      </c>
      <c r="DH177" s="108" t="str">
        <f aca="false">IF(ISBLANK($C177),"",$C177)</f>
        <v/>
      </c>
      <c r="DI177" s="108" t="str">
        <f aca="false">IF(ISBLANK($C177),"",$D177)</f>
        <v/>
      </c>
      <c r="DJ177" s="109" t="str">
        <f aca="false">$CX177</f>
        <v/>
      </c>
      <c r="DK177" s="110" t="str">
        <f aca="false">$CW177</f>
        <v/>
      </c>
      <c r="DL177" s="108" t="str">
        <f aca="false">IF(ISBLANK($C177),"",$CZ177)</f>
        <v/>
      </c>
      <c r="DM177" s="111" t="str">
        <f aca="false">IF($DD177&gt;$DC$8,"",VLOOKUP($DD177,$DF$9:$DL$508,7,FALSE()))</f>
        <v/>
      </c>
      <c r="DN177" s="112" t="str">
        <f aca="false">IF($DD177&gt;$DC$8,"",VLOOKUP($DD177,$DF$9:$DL$508,2,FALSE()))</f>
        <v/>
      </c>
      <c r="DO177" s="112" t="str">
        <f aca="false">IF($DD177&gt;$DC$8,"",VLOOKUP($DD177,$DF$9:$DL$508,3,FALSE()))</f>
        <v/>
      </c>
      <c r="DP177" s="112" t="str">
        <f aca="false">IF($DD177&gt;$DC$8,"",VLOOKUP($DD177,$DF$9:$DL$508,4,FALSE()))</f>
        <v/>
      </c>
      <c r="DQ177" s="112" t="str">
        <f aca="false">IF($DD177&gt;$DC$8,"",VLOOKUP($DD177,$DF$9:$DL$508,5,FALSE()))</f>
        <v/>
      </c>
      <c r="DR177" s="113" t="str">
        <f aca="false">IF($DD177&gt;$DC$8,"",VLOOKUP($DD177,$DF$9:$DL$508,6,FALSE()))</f>
        <v/>
      </c>
      <c r="DS177" s="76"/>
    </row>
    <row r="178" customFormat="false" ht="15.75" hidden="false" customHeight="false" outlineLevel="0" collapsed="false">
      <c r="A178" s="9"/>
      <c r="B178" s="78"/>
      <c r="C178" s="79"/>
      <c r="D178" s="170"/>
      <c r="E178" s="178"/>
      <c r="F178" s="172"/>
      <c r="G178" s="173"/>
      <c r="H178" s="173"/>
      <c r="I178" s="179"/>
      <c r="J178" s="176"/>
      <c r="K178" s="86"/>
      <c r="L178" s="87"/>
      <c r="M178" s="88"/>
      <c r="N178" s="176"/>
      <c r="O178" s="176"/>
      <c r="P178" s="178"/>
      <c r="Q178" s="176"/>
      <c r="R178" s="176"/>
      <c r="S178" s="86"/>
      <c r="T178" s="88"/>
      <c r="U178" s="88"/>
      <c r="V178" s="176"/>
      <c r="W178" s="176"/>
      <c r="X178" s="178"/>
      <c r="Y178" s="176"/>
      <c r="Z178" s="177"/>
      <c r="AA178" s="176"/>
      <c r="AB178" s="92"/>
      <c r="AC178" s="93"/>
      <c r="AD178" s="93"/>
      <c r="AE178" s="93"/>
      <c r="AF178" s="93" t="str">
        <f aca="false">IF(ISBLANK($C178),"",IF(E178=Constants!$B$2,TRUE(),IF(E178=Constants!$B$3,FALSE(),TRUE())))</f>
        <v/>
      </c>
      <c r="AG178" s="93" t="str">
        <f aca="false">IF(ISBLANK($C178),"",IF(F178=Constants!$B$2,TRUE(),IF(F178=Constants!$B$3,FALSE(),TRUE())))</f>
        <v/>
      </c>
      <c r="AH178" s="93" t="str">
        <f aca="false">IF(ISBLANK($C178),"",IF(G178=Constants!$B$2,TRUE(),IF(G178=Constants!$B$3,FALSE(),TRUE())))</f>
        <v/>
      </c>
      <c r="AI178" s="93" t="str">
        <f aca="false">IF(ISBLANK($C178),"",IF(AND(ISNUMBER(H178),H178&gt;=0),H178,Constants!$B$24))</f>
        <v/>
      </c>
      <c r="AJ178" s="93" t="str">
        <f aca="false">IF(ISBLANK($C178),"",IF(I178=Constants!$B$2,TRUE(),IF(I178=Constants!$B$3,FALSE(),TRUE())))</f>
        <v/>
      </c>
      <c r="AK178" s="93" t="str">
        <f aca="false">IF(ISBLANK($C178),"",IF(J178=Constants!$B$2,TRUE(),IF(J178=Constants!$B$3,FALSE(),TRUE())))</f>
        <v/>
      </c>
      <c r="AL178" s="93" t="str">
        <f aca="false">IF(ISBLANK($C178),"",IF(K178=Constants!$B$4,TRUE(),IF(K178=Constants!$B$5,FALSE(),COUNTA(L178:P178)&gt;0)))</f>
        <v/>
      </c>
      <c r="AM178" s="95" t="str">
        <f aca="false">IF(ISBLANK($C178),"",IF(ISNUMBER(L178),IF(L178&gt;=0,L178,""),""))</f>
        <v/>
      </c>
      <c r="AN178" s="94" t="str">
        <f aca="false">IF(ISBLANK($C178),"",IF(ISNUMBER(M178),IF(M178&gt;=0,M178,""),""))</f>
        <v/>
      </c>
      <c r="AO178" s="94" t="str">
        <f aca="false">IF(ISBLANK($C178),"",IF(N178=Constants!$B$2,TRUE(),IF(N178=Constants!$B$3,FALSE(),TRUE())))</f>
        <v/>
      </c>
      <c r="AP178" s="93" t="str">
        <f aca="false">IF(ISBLANK($C178),"",IF(ISNUMBER(O178),IF(O178&gt;=0,O178,""),""))</f>
        <v/>
      </c>
      <c r="AQ178" s="93" t="str">
        <f aca="false">IF(ISBLANK($C178),"",IF(P178=Constants!$B$2,TRUE(),IF(P178=Constants!$B$3,FALSE(),FALSE())))</f>
        <v/>
      </c>
      <c r="AR178" s="93" t="str">
        <f aca="false">IF(ISBLANK($C178),"",IF(Q178=Constants!$B$2,TRUE(),IF(Q178=Constants!$B$3,FALSE(),TRUE())))</f>
        <v/>
      </c>
      <c r="AS178" s="93" t="str">
        <f aca="false">IF(ISBLANK($C178),"",IF(R178=Constants!$B$2,TRUE(),IF(R178=Constants!$B$3,FALSE(),TRUE())))</f>
        <v/>
      </c>
      <c r="AT178" s="93" t="str">
        <f aca="false">IF(ISBLANK($C178),"",IF(S178=Constants!$B$4,TRUE(),IF(S178=Constants!$B$5,FALSE(),COUNTA(T178:X178)&gt;0)))</f>
        <v/>
      </c>
      <c r="AU178" s="95" t="str">
        <f aca="false">IF(ISBLANK($C178),"",IF(ISNUMBER(T178),IF(T178&gt;=0,T178,""),""))</f>
        <v/>
      </c>
      <c r="AV178" s="94" t="str">
        <f aca="false">IF(ISBLANK($C178),"",IF(ISNUMBER(U178),IF(U178&gt;=0,U178,""),""))</f>
        <v/>
      </c>
      <c r="AW178" s="94" t="str">
        <f aca="false">IF(ISBLANK($C178),"",IF(V178=Constants!$B$2,TRUE(),IF(V178=Constants!$B$3,FALSE(),TRUE())))</f>
        <v/>
      </c>
      <c r="AX178" s="93" t="str">
        <f aca="false">IF(ISBLANK($C178),"",IF(ISNUMBER(W178),IF(W178&gt;=0,W178,""),""))</f>
        <v/>
      </c>
      <c r="AY178" s="93" t="str">
        <f aca="false">IF(ISBLANK($C178),"",IF(X178=Constants!$B$2,TRUE(),IF(X178=Constants!$B$3,FALSE(),FALSE())))</f>
        <v/>
      </c>
      <c r="AZ178" s="93" t="str">
        <f aca="false">IF(ISBLANK($C178),"",MIN(Constants!$B$25,MAX(0,IF(ISNUMBER(Y178),Y178*60,0)+IF(ISNUMBER(Z178),Z178,0))))</f>
        <v/>
      </c>
      <c r="BA178" s="93" t="str">
        <f aca="false">IF(ISBLANK($C178),"",IF(AA178=Constants!$B$2,TRUE(),IF(AA178=Constants!$B$3,FALSE(),FALSE())))</f>
        <v/>
      </c>
      <c r="BB178" s="92" t="str">
        <f aca="false">IF(ISBLANK($C178),"",AND($AL178,OR($AM178="",$AN178="",AND($AO178,$AP178=""))))</f>
        <v/>
      </c>
      <c r="BC178" s="94" t="str">
        <f aca="false">IF($BX178&lt;&gt;Constants!$B$6,"",IF($AL178,Constants!$B$17*$AN178+Constants!$B$18*IF($AO178,$AP178,Constants!$B$19),Constants!$B$20))</f>
        <v/>
      </c>
      <c r="BD178" s="97" t="str">
        <f aca="false">IF($BX178&lt;&gt;Constants!$B$6,"",Constants!$B$21*ABS($AD$9-IF($AL178,$AM178,0)))</f>
        <v/>
      </c>
      <c r="BE178" s="97" t="str">
        <f aca="false">IF($BX178&lt;&gt;Constants!$B$6,"",IF(AND($AL178,$AQ178,$AO178),Constants!$B$22,0))</f>
        <v/>
      </c>
      <c r="BF178" s="97" t="str">
        <f aca="false">IF($BX178&lt;&gt;Constants!$B$6,"",IF($AL178,($AI178-Constants!$B$24)*Constants!$B$23,0))</f>
        <v/>
      </c>
      <c r="BG178" s="97" t="str">
        <f aca="false">IF($BX178&lt;&gt;Constants!$B$6,"",IF($AK178,0,Constants!$B$12)+IF($AJ178,0,Constants!$B$13)+IF($AH178,0,Constants!$B$14))</f>
        <v/>
      </c>
      <c r="BH178" s="98" t="str">
        <f aca="false">IF($BX178&lt;&gt;Constants!$B$6,"",Constants!$B$16+SUM($BC178:$BG178))</f>
        <v/>
      </c>
      <c r="BI178" s="97" t="str">
        <f aca="false">IF($BX178&lt;&gt;Constants!$B$6,"",$BC178)</f>
        <v/>
      </c>
      <c r="BJ178" s="97" t="str">
        <f aca="false">IF($BX178&lt;&gt;Constants!$B$6,"",$BD178)</f>
        <v/>
      </c>
      <c r="BK178" s="99" t="str">
        <f aca="false">IF($BX178&lt;&gt;Constants!$B$6,"",IF($AL178,$AN178,""))</f>
        <v/>
      </c>
      <c r="BL178" s="93" t="str">
        <f aca="false">IF($BX178&lt;&gt;Constants!$B$6,"",IF(OR($BS178&lt;$BH178,AND($BS178=$BH178,OR($BT178&lt;$BI178,AND($BT178=$BI178,OR($BU178&lt;$BJ178,AND($BU178=$BJ178,AND(ISNUMBER($BV178),OR(NOT(ISNUMBER($BK178)),$BV178&lt;$BK178)))))))),"-&gt;","&lt;-"))</f>
        <v/>
      </c>
      <c r="BM178" s="92" t="str">
        <f aca="false">IF(ISBLANK($C178),"",AND($AT178,OR($AU178="",$AV178="",AND($AW178,$AX178=""))))</f>
        <v/>
      </c>
      <c r="BN178" s="94" t="str">
        <f aca="false">IF($BX178&lt;&gt;Constants!$B$6,"",IF($AT178,Constants!$B$17*$AV178+Constants!$B$18*IF($AW178,$AX178,Constants!$B$19),Constants!$B$20))</f>
        <v/>
      </c>
      <c r="BO178" s="97" t="str">
        <f aca="false">IF($BX178&lt;&gt;Constants!$B$6,"",Constants!$B$21*ABS($AD$9-IF($AT178,$AU178,0)))</f>
        <v/>
      </c>
      <c r="BP178" s="97" t="str">
        <f aca="false">IF($BX178&lt;&gt;Constants!$B$6,"",IF(AND($AT178,$AY178,$AW178),Constants!$B$22,0))</f>
        <v/>
      </c>
      <c r="BQ178" s="97" t="str">
        <f aca="false">IF($BX178&lt;&gt;Constants!$B$6,"",IF($AT178,($AI178-Constants!$B$24)*Constants!$B$23,0))</f>
        <v/>
      </c>
      <c r="BR178" s="97" t="str">
        <f aca="false">IF($BX178&lt;&gt;Constants!$B$6,"",IF($AS178,0,Constants!$B$12)+IF($AR178,0,Constants!$B$13)+IF($AH178,0,Constants!$B$14))</f>
        <v/>
      </c>
      <c r="BS178" s="98" t="str">
        <f aca="false">IF($BX178&lt;&gt;Constants!$B$6,"",Constants!$B$16+SUM($BN178:$BR178))</f>
        <v/>
      </c>
      <c r="BT178" s="97" t="str">
        <f aca="false">IF($BX178&lt;&gt;Constants!$B$6,"",$BN178)</f>
        <v/>
      </c>
      <c r="BU178" s="97" t="str">
        <f aca="false">IF($BX178&lt;&gt;Constants!$B$6,"",$BO178)</f>
        <v/>
      </c>
      <c r="BV178" s="99" t="str">
        <f aca="false">IF($BX178&lt;&gt;Constants!$B$6,"",IF($AT178,$AV178,""))</f>
        <v/>
      </c>
      <c r="BW178" s="93" t="str">
        <f aca="false">IF(ISBLANK($C178),"",IF(ISBLANK($D$7),$BW$5,IF(NOT(ISNUMBER($D$7)),$BW$6,"")))</f>
        <v/>
      </c>
      <c r="BX178" s="93" t="str">
        <f aca="false">IF(ISBLANK($C178),"",IF($BA178,Constants!$B$9,IF(COUNTA($E178:$AA178)=0,Constants!$B$8,IF(NOT($AG178),Constants!$B$7,IF(OR($BW178&lt;&gt;"",$BB178,$BM178),Constants!$B$10,Constants!$B$6)))))</f>
        <v/>
      </c>
      <c r="BY178" s="93" t="str">
        <f aca="false">IF(ISBLANK($C178),"",IF($BX178&lt;&gt;Constants!$B$6,$BX178,Constants!$B$11))</f>
        <v/>
      </c>
      <c r="BZ178" s="97" t="str">
        <f aca="false">IF($BX178&lt;&gt;Constants!$B$6,"",IF($BL178="-&gt;",$BS178,$BH178))</f>
        <v/>
      </c>
      <c r="CA178" s="97" t="str">
        <f aca="false">IF($BX178&lt;&gt;Constants!$B$6,"",IF($AF178,0,Constants!$B$15))</f>
        <v/>
      </c>
      <c r="CB178" s="97" t="str">
        <f aca="false">IF($BX178&lt;&gt;Constants!$B$6,"",((Constants!$B$25-$AZ178)-Constants!$B$25)/Constants!$B$26)</f>
        <v/>
      </c>
      <c r="CC178" s="97" t="str">
        <f aca="false">IF(ISBLANK($C178),"",IF($BX178&lt;&gt;Constants!$B$6,$BX178,SUM($BZ178:$CB178)))</f>
        <v/>
      </c>
      <c r="CD178" s="93" t="str">
        <f aca="false">IF(ISBLANK($C178),"",IF($BX178&lt;&gt;Constants!$B$6,$BX178,RANK($CC178,$CC$9:$CC$508,1)))</f>
        <v/>
      </c>
      <c r="CE178" s="97" t="str">
        <f aca="false">IF($BX178&lt;&gt;Constants!$B$6,"",IF($BL178="-&gt;",$BT178,$BI178))</f>
        <v/>
      </c>
      <c r="CF178" s="93" t="str">
        <f aca="false">IF(ISBLANK($C178),"",IF($BX178&lt;&gt;Constants!$B$6,$BX178,IF(ISNUMBER($CE178),RANK($CE178,$CE$9:$CE$508,1),COUNT($CE$9:$CE$508)+1)))</f>
        <v/>
      </c>
      <c r="CG178" s="97" t="str">
        <f aca="false">IF($BX178&lt;&gt;Constants!$B$6,"",IF($BL178="-&gt;",$BU178,$BJ178))</f>
        <v/>
      </c>
      <c r="CH178" s="93" t="str">
        <f aca="false">IF(ISBLANK($C178),"",IF($BX178&lt;&gt;Constants!$B$6,$BX178,IF(ISNUMBER($CG178),RANK($CG178,$CG$9:$CG$508,1),COUNT($CG$9:$CG$508)+1)))</f>
        <v/>
      </c>
      <c r="CI178" s="97" t="str">
        <f aca="false">IF($BX178&lt;&gt;Constants!$B$6,"",IF($BL178="-&gt;",$BV178,$BK178))</f>
        <v/>
      </c>
      <c r="CJ178" s="93" t="str">
        <f aca="false">IF(ISBLANK($C178),"",IF($BX178&lt;&gt;Constants!$B$6,$BX178,IF(ISNUMBER($CI178),RANK($CI178,$CI$9:$CI$508,1),COUNT($CI$9:$CI$508)+1)))</f>
        <v/>
      </c>
      <c r="CK178" s="97" t="str">
        <f aca="false">IF($BX178&lt;&gt;Constants!$B$6,"",$AI178)</f>
        <v/>
      </c>
      <c r="CL178" s="93" t="str">
        <f aca="false">IF(ISBLANK($C178),"",IF($BX178&lt;&gt;Constants!$B$6,$BX178,IF(ISNUMBER($CK178),RANK($CK178,$CK$9:$CK$508,1),COUNT($CK$9:$CK$508)+1)))</f>
        <v/>
      </c>
      <c r="CM178" s="93" t="str">
        <f aca="false">IF(ISBLANK($C178),"",IF($BX178&lt;&gt;Constants!$B$6,$BX178,COUNTIFS($CD$9:$CD$508,"&lt;"&amp;$CD178)+COUNTIFS($CD$9:$CD$508,$CD178,$CF$9:$CF$508,"&lt;"&amp;$CF178)+COUNTIFS($CD$9:$CD$508,$CD178,$CF$9:$CF$508,$CF178,$CH$9:$CH$508,"&lt;"&amp;$CH178)+COUNTIFS($CD$9:$CD$508,$CD178,$CF$9:$CF$508,$CF178,$CH$9:$CH$508,$CH178,$CJ$9:$CJ$508,"&lt;"&amp;$CJ178)+COUNTIFS($CD$9:$CD$508,$CD178,$CF$9:$CF$508,$CF178,$CH$9:$CH$508,$CH178,$CJ$9:$CJ$508,$CJ178,$CL$9:$CL$508,"&lt;"&amp;$CL178)+1))</f>
        <v/>
      </c>
      <c r="CN178" s="93" t="str">
        <f aca="false">IF(ISBLANK($C178),"",IF($BX178&lt;&gt;Constants!$B$6,$BX178,$CD178-$CM178))</f>
        <v/>
      </c>
      <c r="CO178" s="100"/>
      <c r="CP178" s="101"/>
      <c r="CQ178" s="102" t="str">
        <f aca="false">IF(ISBLANK($C178),"",IF($BX178=Constants!$B$10,$BW178,""))</f>
        <v/>
      </c>
      <c r="CR178" s="101" t="str">
        <f aca="false">IF(ISBLANK($C178),"",IF($BX178&lt;&gt;Constants!$B$6,"",IF($BL178="-&gt;",2,1)))</f>
        <v/>
      </c>
      <c r="CS178" s="103" t="str">
        <f aca="false">IF(ISBLANK($C178),"",IF($BX178&lt;&gt;Constants!$B$6,"",IF($BL178="-&gt;",$BN178,$BC178)))</f>
        <v/>
      </c>
      <c r="CT178" s="103" t="str">
        <f aca="false">IF(ISBLANK($C178),"",IF($BX178&lt;&gt;Constants!$B$6,"",IF($BL178="-&gt;",$BO178,$BD178)))</f>
        <v/>
      </c>
      <c r="CU178" s="103" t="str">
        <f aca="false">IF(ISBLANK($C178),"",IF($BX178&lt;&gt;Constants!$B$6,"",IF($BL178="-&gt;",$BP178+$BQ178,$BE178+$BF178)+$CB178))</f>
        <v/>
      </c>
      <c r="CV178" s="103" t="str">
        <f aca="false">IF(ISBLANK($C178),"",IF($BX178&lt;&gt;Constants!$B$6,"",IF($BL178="-&gt;",$BR178,$BG178)+$CA178))</f>
        <v/>
      </c>
      <c r="CW178" s="104" t="str">
        <f aca="false">IF(ISBLANK($C178),"",IF($BX178&lt;&gt;Constants!$B$6,$BX178,$CC178))</f>
        <v/>
      </c>
      <c r="CX178" s="105" t="str">
        <f aca="false">IF(ISBLANK($C178),"",$BY178)</f>
        <v/>
      </c>
      <c r="CY178" s="106" t="str">
        <f aca="false">IF(ISBLANK($C178),"",$CN178)</f>
        <v/>
      </c>
      <c r="CZ178" s="106" t="str">
        <f aca="false">IF(ISBLANK($C178),"",$CM178)</f>
        <v/>
      </c>
      <c r="DA178" s="107" t="str">
        <f aca="false">IF(ISBLANK($C178),"",IFERROR(_xlfn.SWITCH($CZ178,Constants!$B$9,COUNTA($C$9:$C$508)+2,Constants!$B$8,COUNTA($C$9:$C$508)+1,Constants!$B$7,COUNTA($C$9:$C$508)),$CZ178))</f>
        <v/>
      </c>
      <c r="DB178" s="9"/>
      <c r="DC178" s="108" t="n">
        <f aca="false">IF(OR(ISNUMBER($CZ178),$CZ178=Constants!$B$9,$CZ178=Constants!$B$7,$CZ178=Constants!$B$8),1,0)</f>
        <v>0</v>
      </c>
      <c r="DD178" s="108" t="n">
        <v>170</v>
      </c>
      <c r="DE178" s="108" t="str">
        <f aca="false">IF(ISBLANK($C178),"",IF(ISNUMBER($DA178),$DA178+ROW($B178)/1000,""))</f>
        <v/>
      </c>
      <c r="DF178" s="108" t="str">
        <f aca="false">IF(ISNUMBER($DE178),RANK($DE178,$DE$9:$DE$508,1),"")</f>
        <v/>
      </c>
      <c r="DG178" s="108" t="str">
        <f aca="false">IF(ISBLANK($C178),"",$B178)</f>
        <v/>
      </c>
      <c r="DH178" s="108" t="str">
        <f aca="false">IF(ISBLANK($C178),"",$C178)</f>
        <v/>
      </c>
      <c r="DI178" s="108" t="str">
        <f aca="false">IF(ISBLANK($C178),"",$D178)</f>
        <v/>
      </c>
      <c r="DJ178" s="109" t="str">
        <f aca="false">$CX178</f>
        <v/>
      </c>
      <c r="DK178" s="110" t="str">
        <f aca="false">$CW178</f>
        <v/>
      </c>
      <c r="DL178" s="108" t="str">
        <f aca="false">IF(ISBLANK($C178),"",$CZ178)</f>
        <v/>
      </c>
      <c r="DM178" s="111" t="str">
        <f aca="false">IF($DD178&gt;$DC$8,"",VLOOKUP($DD178,$DF$9:$DL$508,7,FALSE()))</f>
        <v/>
      </c>
      <c r="DN178" s="112" t="str">
        <f aca="false">IF($DD178&gt;$DC$8,"",VLOOKUP($DD178,$DF$9:$DL$508,2,FALSE()))</f>
        <v/>
      </c>
      <c r="DO178" s="112" t="str">
        <f aca="false">IF($DD178&gt;$DC$8,"",VLOOKUP($DD178,$DF$9:$DL$508,3,FALSE()))</f>
        <v/>
      </c>
      <c r="DP178" s="112" t="str">
        <f aca="false">IF($DD178&gt;$DC$8,"",VLOOKUP($DD178,$DF$9:$DL$508,4,FALSE()))</f>
        <v/>
      </c>
      <c r="DQ178" s="112" t="str">
        <f aca="false">IF($DD178&gt;$DC$8,"",VLOOKUP($DD178,$DF$9:$DL$508,5,FALSE()))</f>
        <v/>
      </c>
      <c r="DR178" s="113" t="str">
        <f aca="false">IF($DD178&gt;$DC$8,"",VLOOKUP($DD178,$DF$9:$DL$508,6,FALSE()))</f>
        <v/>
      </c>
      <c r="DS178" s="76"/>
    </row>
    <row r="179" customFormat="false" ht="15.75" hidden="false" customHeight="false" outlineLevel="0" collapsed="false">
      <c r="A179" s="9"/>
      <c r="B179" s="78"/>
      <c r="C179" s="79"/>
      <c r="D179" s="170"/>
      <c r="E179" s="178"/>
      <c r="F179" s="172"/>
      <c r="G179" s="173"/>
      <c r="H179" s="173"/>
      <c r="I179" s="179"/>
      <c r="J179" s="176"/>
      <c r="K179" s="86"/>
      <c r="L179" s="87"/>
      <c r="M179" s="88"/>
      <c r="N179" s="176"/>
      <c r="O179" s="176"/>
      <c r="P179" s="178"/>
      <c r="Q179" s="176"/>
      <c r="R179" s="176"/>
      <c r="S179" s="86"/>
      <c r="T179" s="88"/>
      <c r="U179" s="88"/>
      <c r="V179" s="176"/>
      <c r="W179" s="176"/>
      <c r="X179" s="178"/>
      <c r="Y179" s="176"/>
      <c r="Z179" s="177"/>
      <c r="AA179" s="176"/>
      <c r="AB179" s="92"/>
      <c r="AC179" s="93"/>
      <c r="AD179" s="93"/>
      <c r="AE179" s="93"/>
      <c r="AF179" s="93" t="str">
        <f aca="false">IF(ISBLANK($C179),"",IF(E179=Constants!$B$2,TRUE(),IF(E179=Constants!$B$3,FALSE(),TRUE())))</f>
        <v/>
      </c>
      <c r="AG179" s="93" t="str">
        <f aca="false">IF(ISBLANK($C179),"",IF(F179=Constants!$B$2,TRUE(),IF(F179=Constants!$B$3,FALSE(),TRUE())))</f>
        <v/>
      </c>
      <c r="AH179" s="93" t="str">
        <f aca="false">IF(ISBLANK($C179),"",IF(G179=Constants!$B$2,TRUE(),IF(G179=Constants!$B$3,FALSE(),TRUE())))</f>
        <v/>
      </c>
      <c r="AI179" s="93" t="str">
        <f aca="false">IF(ISBLANK($C179),"",IF(AND(ISNUMBER(H179),H179&gt;=0),H179,Constants!$B$24))</f>
        <v/>
      </c>
      <c r="AJ179" s="93" t="str">
        <f aca="false">IF(ISBLANK($C179),"",IF(I179=Constants!$B$2,TRUE(),IF(I179=Constants!$B$3,FALSE(),TRUE())))</f>
        <v/>
      </c>
      <c r="AK179" s="93" t="str">
        <f aca="false">IF(ISBLANK($C179),"",IF(J179=Constants!$B$2,TRUE(),IF(J179=Constants!$B$3,FALSE(),TRUE())))</f>
        <v/>
      </c>
      <c r="AL179" s="93" t="str">
        <f aca="false">IF(ISBLANK($C179),"",IF(K179=Constants!$B$4,TRUE(),IF(K179=Constants!$B$5,FALSE(),COUNTA(L179:P179)&gt;0)))</f>
        <v/>
      </c>
      <c r="AM179" s="95" t="str">
        <f aca="false">IF(ISBLANK($C179),"",IF(ISNUMBER(L179),IF(L179&gt;=0,L179,""),""))</f>
        <v/>
      </c>
      <c r="AN179" s="94" t="str">
        <f aca="false">IF(ISBLANK($C179),"",IF(ISNUMBER(M179),IF(M179&gt;=0,M179,""),""))</f>
        <v/>
      </c>
      <c r="AO179" s="94" t="str">
        <f aca="false">IF(ISBLANK($C179),"",IF(N179=Constants!$B$2,TRUE(),IF(N179=Constants!$B$3,FALSE(),TRUE())))</f>
        <v/>
      </c>
      <c r="AP179" s="93" t="str">
        <f aca="false">IF(ISBLANK($C179),"",IF(ISNUMBER(O179),IF(O179&gt;=0,O179,""),""))</f>
        <v/>
      </c>
      <c r="AQ179" s="93" t="str">
        <f aca="false">IF(ISBLANK($C179),"",IF(P179=Constants!$B$2,TRUE(),IF(P179=Constants!$B$3,FALSE(),FALSE())))</f>
        <v/>
      </c>
      <c r="AR179" s="93" t="str">
        <f aca="false">IF(ISBLANK($C179),"",IF(Q179=Constants!$B$2,TRUE(),IF(Q179=Constants!$B$3,FALSE(),TRUE())))</f>
        <v/>
      </c>
      <c r="AS179" s="93" t="str">
        <f aca="false">IF(ISBLANK($C179),"",IF(R179=Constants!$B$2,TRUE(),IF(R179=Constants!$B$3,FALSE(),TRUE())))</f>
        <v/>
      </c>
      <c r="AT179" s="93" t="str">
        <f aca="false">IF(ISBLANK($C179),"",IF(S179=Constants!$B$4,TRUE(),IF(S179=Constants!$B$5,FALSE(),COUNTA(T179:X179)&gt;0)))</f>
        <v/>
      </c>
      <c r="AU179" s="95" t="str">
        <f aca="false">IF(ISBLANK($C179),"",IF(ISNUMBER(T179),IF(T179&gt;=0,T179,""),""))</f>
        <v/>
      </c>
      <c r="AV179" s="94" t="str">
        <f aca="false">IF(ISBLANK($C179),"",IF(ISNUMBER(U179),IF(U179&gt;=0,U179,""),""))</f>
        <v/>
      </c>
      <c r="AW179" s="94" t="str">
        <f aca="false">IF(ISBLANK($C179),"",IF(V179=Constants!$B$2,TRUE(),IF(V179=Constants!$B$3,FALSE(),TRUE())))</f>
        <v/>
      </c>
      <c r="AX179" s="93" t="str">
        <f aca="false">IF(ISBLANK($C179),"",IF(ISNUMBER(W179),IF(W179&gt;=0,W179,""),""))</f>
        <v/>
      </c>
      <c r="AY179" s="93" t="str">
        <f aca="false">IF(ISBLANK($C179),"",IF(X179=Constants!$B$2,TRUE(),IF(X179=Constants!$B$3,FALSE(),FALSE())))</f>
        <v/>
      </c>
      <c r="AZ179" s="93" t="str">
        <f aca="false">IF(ISBLANK($C179),"",MIN(Constants!$B$25,MAX(0,IF(ISNUMBER(Y179),Y179*60,0)+IF(ISNUMBER(Z179),Z179,0))))</f>
        <v/>
      </c>
      <c r="BA179" s="93" t="str">
        <f aca="false">IF(ISBLANK($C179),"",IF(AA179=Constants!$B$2,TRUE(),IF(AA179=Constants!$B$3,FALSE(),FALSE())))</f>
        <v/>
      </c>
      <c r="BB179" s="92" t="str">
        <f aca="false">IF(ISBLANK($C179),"",AND($AL179,OR($AM179="",$AN179="",AND($AO179,$AP179=""))))</f>
        <v/>
      </c>
      <c r="BC179" s="94" t="str">
        <f aca="false">IF($BX179&lt;&gt;Constants!$B$6,"",IF($AL179,Constants!$B$17*$AN179+Constants!$B$18*IF($AO179,$AP179,Constants!$B$19),Constants!$B$20))</f>
        <v/>
      </c>
      <c r="BD179" s="97" t="str">
        <f aca="false">IF($BX179&lt;&gt;Constants!$B$6,"",Constants!$B$21*ABS($AD$9-IF($AL179,$AM179,0)))</f>
        <v/>
      </c>
      <c r="BE179" s="97" t="str">
        <f aca="false">IF($BX179&lt;&gt;Constants!$B$6,"",IF(AND($AL179,$AQ179,$AO179),Constants!$B$22,0))</f>
        <v/>
      </c>
      <c r="BF179" s="97" t="str">
        <f aca="false">IF($BX179&lt;&gt;Constants!$B$6,"",IF($AL179,($AI179-Constants!$B$24)*Constants!$B$23,0))</f>
        <v/>
      </c>
      <c r="BG179" s="97" t="str">
        <f aca="false">IF($BX179&lt;&gt;Constants!$B$6,"",IF($AK179,0,Constants!$B$12)+IF($AJ179,0,Constants!$B$13)+IF($AH179,0,Constants!$B$14))</f>
        <v/>
      </c>
      <c r="BH179" s="98" t="str">
        <f aca="false">IF($BX179&lt;&gt;Constants!$B$6,"",Constants!$B$16+SUM($BC179:$BG179))</f>
        <v/>
      </c>
      <c r="BI179" s="97" t="str">
        <f aca="false">IF($BX179&lt;&gt;Constants!$B$6,"",$BC179)</f>
        <v/>
      </c>
      <c r="BJ179" s="97" t="str">
        <f aca="false">IF($BX179&lt;&gt;Constants!$B$6,"",$BD179)</f>
        <v/>
      </c>
      <c r="BK179" s="99" t="str">
        <f aca="false">IF($BX179&lt;&gt;Constants!$B$6,"",IF($AL179,$AN179,""))</f>
        <v/>
      </c>
      <c r="BL179" s="93" t="str">
        <f aca="false">IF($BX179&lt;&gt;Constants!$B$6,"",IF(OR($BS179&lt;$BH179,AND($BS179=$BH179,OR($BT179&lt;$BI179,AND($BT179=$BI179,OR($BU179&lt;$BJ179,AND($BU179=$BJ179,AND(ISNUMBER($BV179),OR(NOT(ISNUMBER($BK179)),$BV179&lt;$BK179)))))))),"-&gt;","&lt;-"))</f>
        <v/>
      </c>
      <c r="BM179" s="92" t="str">
        <f aca="false">IF(ISBLANK($C179),"",AND($AT179,OR($AU179="",$AV179="",AND($AW179,$AX179=""))))</f>
        <v/>
      </c>
      <c r="BN179" s="94" t="str">
        <f aca="false">IF($BX179&lt;&gt;Constants!$B$6,"",IF($AT179,Constants!$B$17*$AV179+Constants!$B$18*IF($AW179,$AX179,Constants!$B$19),Constants!$B$20))</f>
        <v/>
      </c>
      <c r="BO179" s="97" t="str">
        <f aca="false">IF($BX179&lt;&gt;Constants!$B$6,"",Constants!$B$21*ABS($AD$9-IF($AT179,$AU179,0)))</f>
        <v/>
      </c>
      <c r="BP179" s="97" t="str">
        <f aca="false">IF($BX179&lt;&gt;Constants!$B$6,"",IF(AND($AT179,$AY179,$AW179),Constants!$B$22,0))</f>
        <v/>
      </c>
      <c r="BQ179" s="97" t="str">
        <f aca="false">IF($BX179&lt;&gt;Constants!$B$6,"",IF($AT179,($AI179-Constants!$B$24)*Constants!$B$23,0))</f>
        <v/>
      </c>
      <c r="BR179" s="97" t="str">
        <f aca="false">IF($BX179&lt;&gt;Constants!$B$6,"",IF($AS179,0,Constants!$B$12)+IF($AR179,0,Constants!$B$13)+IF($AH179,0,Constants!$B$14))</f>
        <v/>
      </c>
      <c r="BS179" s="98" t="str">
        <f aca="false">IF($BX179&lt;&gt;Constants!$B$6,"",Constants!$B$16+SUM($BN179:$BR179))</f>
        <v/>
      </c>
      <c r="BT179" s="97" t="str">
        <f aca="false">IF($BX179&lt;&gt;Constants!$B$6,"",$BN179)</f>
        <v/>
      </c>
      <c r="BU179" s="97" t="str">
        <f aca="false">IF($BX179&lt;&gt;Constants!$B$6,"",$BO179)</f>
        <v/>
      </c>
      <c r="BV179" s="99" t="str">
        <f aca="false">IF($BX179&lt;&gt;Constants!$B$6,"",IF($AT179,$AV179,""))</f>
        <v/>
      </c>
      <c r="BW179" s="93" t="str">
        <f aca="false">IF(ISBLANK($C179),"",IF(ISBLANK($D$7),$BW$5,IF(NOT(ISNUMBER($D$7)),$BW$6,"")))</f>
        <v/>
      </c>
      <c r="BX179" s="93" t="str">
        <f aca="false">IF(ISBLANK($C179),"",IF($BA179,Constants!$B$9,IF(COUNTA($E179:$AA179)=0,Constants!$B$8,IF(NOT($AG179),Constants!$B$7,IF(OR($BW179&lt;&gt;"",$BB179,$BM179),Constants!$B$10,Constants!$B$6)))))</f>
        <v/>
      </c>
      <c r="BY179" s="93" t="str">
        <f aca="false">IF(ISBLANK($C179),"",IF($BX179&lt;&gt;Constants!$B$6,$BX179,Constants!$B$11))</f>
        <v/>
      </c>
      <c r="BZ179" s="97" t="str">
        <f aca="false">IF($BX179&lt;&gt;Constants!$B$6,"",IF($BL179="-&gt;",$BS179,$BH179))</f>
        <v/>
      </c>
      <c r="CA179" s="97" t="str">
        <f aca="false">IF($BX179&lt;&gt;Constants!$B$6,"",IF($AF179,0,Constants!$B$15))</f>
        <v/>
      </c>
      <c r="CB179" s="97" t="str">
        <f aca="false">IF($BX179&lt;&gt;Constants!$B$6,"",((Constants!$B$25-$AZ179)-Constants!$B$25)/Constants!$B$26)</f>
        <v/>
      </c>
      <c r="CC179" s="97" t="str">
        <f aca="false">IF(ISBLANK($C179),"",IF($BX179&lt;&gt;Constants!$B$6,$BX179,SUM($BZ179:$CB179)))</f>
        <v/>
      </c>
      <c r="CD179" s="93" t="str">
        <f aca="false">IF(ISBLANK($C179),"",IF($BX179&lt;&gt;Constants!$B$6,$BX179,RANK($CC179,$CC$9:$CC$508,1)))</f>
        <v/>
      </c>
      <c r="CE179" s="97" t="str">
        <f aca="false">IF($BX179&lt;&gt;Constants!$B$6,"",IF($BL179="-&gt;",$BT179,$BI179))</f>
        <v/>
      </c>
      <c r="CF179" s="93" t="str">
        <f aca="false">IF(ISBLANK($C179),"",IF($BX179&lt;&gt;Constants!$B$6,$BX179,IF(ISNUMBER($CE179),RANK($CE179,$CE$9:$CE$508,1),COUNT($CE$9:$CE$508)+1)))</f>
        <v/>
      </c>
      <c r="CG179" s="97" t="str">
        <f aca="false">IF($BX179&lt;&gt;Constants!$B$6,"",IF($BL179="-&gt;",$BU179,$BJ179))</f>
        <v/>
      </c>
      <c r="CH179" s="93" t="str">
        <f aca="false">IF(ISBLANK($C179),"",IF($BX179&lt;&gt;Constants!$B$6,$BX179,IF(ISNUMBER($CG179),RANK($CG179,$CG$9:$CG$508,1),COUNT($CG$9:$CG$508)+1)))</f>
        <v/>
      </c>
      <c r="CI179" s="97" t="str">
        <f aca="false">IF($BX179&lt;&gt;Constants!$B$6,"",IF($BL179="-&gt;",$BV179,$BK179))</f>
        <v/>
      </c>
      <c r="CJ179" s="93" t="str">
        <f aca="false">IF(ISBLANK($C179),"",IF($BX179&lt;&gt;Constants!$B$6,$BX179,IF(ISNUMBER($CI179),RANK($CI179,$CI$9:$CI$508,1),COUNT($CI$9:$CI$508)+1)))</f>
        <v/>
      </c>
      <c r="CK179" s="97" t="str">
        <f aca="false">IF($BX179&lt;&gt;Constants!$B$6,"",$AI179)</f>
        <v/>
      </c>
      <c r="CL179" s="93" t="str">
        <f aca="false">IF(ISBLANK($C179),"",IF($BX179&lt;&gt;Constants!$B$6,$BX179,IF(ISNUMBER($CK179),RANK($CK179,$CK$9:$CK$508,1),COUNT($CK$9:$CK$508)+1)))</f>
        <v/>
      </c>
      <c r="CM179" s="93" t="str">
        <f aca="false">IF(ISBLANK($C179),"",IF($BX179&lt;&gt;Constants!$B$6,$BX179,COUNTIFS($CD$9:$CD$508,"&lt;"&amp;$CD179)+COUNTIFS($CD$9:$CD$508,$CD179,$CF$9:$CF$508,"&lt;"&amp;$CF179)+COUNTIFS($CD$9:$CD$508,$CD179,$CF$9:$CF$508,$CF179,$CH$9:$CH$508,"&lt;"&amp;$CH179)+COUNTIFS($CD$9:$CD$508,$CD179,$CF$9:$CF$508,$CF179,$CH$9:$CH$508,$CH179,$CJ$9:$CJ$508,"&lt;"&amp;$CJ179)+COUNTIFS($CD$9:$CD$508,$CD179,$CF$9:$CF$508,$CF179,$CH$9:$CH$508,$CH179,$CJ$9:$CJ$508,$CJ179,$CL$9:$CL$508,"&lt;"&amp;$CL179)+1))</f>
        <v/>
      </c>
      <c r="CN179" s="93" t="str">
        <f aca="false">IF(ISBLANK($C179),"",IF($BX179&lt;&gt;Constants!$B$6,$BX179,$CD179-$CM179))</f>
        <v/>
      </c>
      <c r="CO179" s="100"/>
      <c r="CP179" s="101"/>
      <c r="CQ179" s="102" t="str">
        <f aca="false">IF(ISBLANK($C179),"",IF($BX179=Constants!$B$10,$BW179,""))</f>
        <v/>
      </c>
      <c r="CR179" s="101" t="str">
        <f aca="false">IF(ISBLANK($C179),"",IF($BX179&lt;&gt;Constants!$B$6,"",IF($BL179="-&gt;",2,1)))</f>
        <v/>
      </c>
      <c r="CS179" s="103" t="str">
        <f aca="false">IF(ISBLANK($C179),"",IF($BX179&lt;&gt;Constants!$B$6,"",IF($BL179="-&gt;",$BN179,$BC179)))</f>
        <v/>
      </c>
      <c r="CT179" s="103" t="str">
        <f aca="false">IF(ISBLANK($C179),"",IF($BX179&lt;&gt;Constants!$B$6,"",IF($BL179="-&gt;",$BO179,$BD179)))</f>
        <v/>
      </c>
      <c r="CU179" s="103" t="str">
        <f aca="false">IF(ISBLANK($C179),"",IF($BX179&lt;&gt;Constants!$B$6,"",IF($BL179="-&gt;",$BP179+$BQ179,$BE179+$BF179)+$CB179))</f>
        <v/>
      </c>
      <c r="CV179" s="103" t="str">
        <f aca="false">IF(ISBLANK($C179),"",IF($BX179&lt;&gt;Constants!$B$6,"",IF($BL179="-&gt;",$BR179,$BG179)+$CA179))</f>
        <v/>
      </c>
      <c r="CW179" s="104" t="str">
        <f aca="false">IF(ISBLANK($C179),"",IF($BX179&lt;&gt;Constants!$B$6,$BX179,$CC179))</f>
        <v/>
      </c>
      <c r="CX179" s="105" t="str">
        <f aca="false">IF(ISBLANK($C179),"",$BY179)</f>
        <v/>
      </c>
      <c r="CY179" s="106" t="str">
        <f aca="false">IF(ISBLANK($C179),"",$CN179)</f>
        <v/>
      </c>
      <c r="CZ179" s="106" t="str">
        <f aca="false">IF(ISBLANK($C179),"",$CM179)</f>
        <v/>
      </c>
      <c r="DA179" s="107" t="str">
        <f aca="false">IF(ISBLANK($C179),"",IFERROR(_xlfn.SWITCH($CZ179,Constants!$B$9,COUNTA($C$9:$C$508)+2,Constants!$B$8,COUNTA($C$9:$C$508)+1,Constants!$B$7,COUNTA($C$9:$C$508)),$CZ179))</f>
        <v/>
      </c>
      <c r="DB179" s="9"/>
      <c r="DC179" s="108" t="n">
        <f aca="false">IF(OR(ISNUMBER($CZ179),$CZ179=Constants!$B$9,$CZ179=Constants!$B$7,$CZ179=Constants!$B$8),1,0)</f>
        <v>0</v>
      </c>
      <c r="DD179" s="108" t="n">
        <v>171</v>
      </c>
      <c r="DE179" s="108" t="str">
        <f aca="false">IF(ISBLANK($C179),"",IF(ISNUMBER($DA179),$DA179+ROW($B179)/1000,""))</f>
        <v/>
      </c>
      <c r="DF179" s="108" t="str">
        <f aca="false">IF(ISNUMBER($DE179),RANK($DE179,$DE$9:$DE$508,1),"")</f>
        <v/>
      </c>
      <c r="DG179" s="108" t="str">
        <f aca="false">IF(ISBLANK($C179),"",$B179)</f>
        <v/>
      </c>
      <c r="DH179" s="108" t="str">
        <f aca="false">IF(ISBLANK($C179),"",$C179)</f>
        <v/>
      </c>
      <c r="DI179" s="108" t="str">
        <f aca="false">IF(ISBLANK($C179),"",$D179)</f>
        <v/>
      </c>
      <c r="DJ179" s="109" t="str">
        <f aca="false">$CX179</f>
        <v/>
      </c>
      <c r="DK179" s="110" t="str">
        <f aca="false">$CW179</f>
        <v/>
      </c>
      <c r="DL179" s="108" t="str">
        <f aca="false">IF(ISBLANK($C179),"",$CZ179)</f>
        <v/>
      </c>
      <c r="DM179" s="111" t="str">
        <f aca="false">IF($DD179&gt;$DC$8,"",VLOOKUP($DD179,$DF$9:$DL$508,7,FALSE()))</f>
        <v/>
      </c>
      <c r="DN179" s="112" t="str">
        <f aca="false">IF($DD179&gt;$DC$8,"",VLOOKUP($DD179,$DF$9:$DL$508,2,FALSE()))</f>
        <v/>
      </c>
      <c r="DO179" s="112" t="str">
        <f aca="false">IF($DD179&gt;$DC$8,"",VLOOKUP($DD179,$DF$9:$DL$508,3,FALSE()))</f>
        <v/>
      </c>
      <c r="DP179" s="112" t="str">
        <f aca="false">IF($DD179&gt;$DC$8,"",VLOOKUP($DD179,$DF$9:$DL$508,4,FALSE()))</f>
        <v/>
      </c>
      <c r="DQ179" s="112" t="str">
        <f aca="false">IF($DD179&gt;$DC$8,"",VLOOKUP($DD179,$DF$9:$DL$508,5,FALSE()))</f>
        <v/>
      </c>
      <c r="DR179" s="113" t="str">
        <f aca="false">IF($DD179&gt;$DC$8,"",VLOOKUP($DD179,$DF$9:$DL$508,6,FALSE()))</f>
        <v/>
      </c>
      <c r="DS179" s="76"/>
    </row>
    <row r="180" customFormat="false" ht="15.75" hidden="false" customHeight="false" outlineLevel="0" collapsed="false">
      <c r="A180" s="9"/>
      <c r="B180" s="160"/>
      <c r="C180" s="161"/>
      <c r="D180" s="162"/>
      <c r="E180" s="180"/>
      <c r="F180" s="164"/>
      <c r="G180" s="165"/>
      <c r="H180" s="165"/>
      <c r="I180" s="181"/>
      <c r="J180" s="168"/>
      <c r="K180" s="128"/>
      <c r="L180" s="129"/>
      <c r="M180" s="130"/>
      <c r="N180" s="168"/>
      <c r="O180" s="168"/>
      <c r="P180" s="180"/>
      <c r="Q180" s="168"/>
      <c r="R180" s="168"/>
      <c r="S180" s="128"/>
      <c r="T180" s="130"/>
      <c r="U180" s="130"/>
      <c r="V180" s="168"/>
      <c r="W180" s="168"/>
      <c r="X180" s="180"/>
      <c r="Y180" s="168"/>
      <c r="Z180" s="169"/>
      <c r="AA180" s="168"/>
      <c r="AB180" s="134"/>
      <c r="AC180" s="135"/>
      <c r="AD180" s="135"/>
      <c r="AE180" s="135"/>
      <c r="AF180" s="135" t="str">
        <f aca="false">IF(ISBLANK($C180),"",IF(E180=Constants!$B$2,TRUE(),IF(E180=Constants!$B$3,FALSE(),TRUE())))</f>
        <v/>
      </c>
      <c r="AG180" s="135" t="str">
        <f aca="false">IF(ISBLANK($C180),"",IF(F180=Constants!$B$2,TRUE(),IF(F180=Constants!$B$3,FALSE(),TRUE())))</f>
        <v/>
      </c>
      <c r="AH180" s="135" t="str">
        <f aca="false">IF(ISBLANK($C180),"",IF(G180=Constants!$B$2,TRUE(),IF(G180=Constants!$B$3,FALSE(),TRUE())))</f>
        <v/>
      </c>
      <c r="AI180" s="135" t="str">
        <f aca="false">IF(ISBLANK($C180),"",IF(AND(ISNUMBER(H180),H180&gt;=0),H180,Constants!$B$24))</f>
        <v/>
      </c>
      <c r="AJ180" s="135" t="str">
        <f aca="false">IF(ISBLANK($C180),"",IF(I180=Constants!$B$2,TRUE(),IF(I180=Constants!$B$3,FALSE(),TRUE())))</f>
        <v/>
      </c>
      <c r="AK180" s="135" t="str">
        <f aca="false">IF(ISBLANK($C180),"",IF(J180=Constants!$B$2,TRUE(),IF(J180=Constants!$B$3,FALSE(),TRUE())))</f>
        <v/>
      </c>
      <c r="AL180" s="135" t="str">
        <f aca="false">IF(ISBLANK($C180),"",IF(K180=Constants!$B$4,TRUE(),IF(K180=Constants!$B$5,FALSE(),COUNTA(L180:P180)&gt;0)))</f>
        <v/>
      </c>
      <c r="AM180" s="136" t="str">
        <f aca="false">IF(ISBLANK($C180),"",IF(ISNUMBER(L180),IF(L180&gt;=0,L180,""),""))</f>
        <v/>
      </c>
      <c r="AN180" s="137" t="str">
        <f aca="false">IF(ISBLANK($C180),"",IF(ISNUMBER(M180),IF(M180&gt;=0,M180,""),""))</f>
        <v/>
      </c>
      <c r="AO180" s="137" t="str">
        <f aca="false">IF(ISBLANK($C180),"",IF(N180=Constants!$B$2,TRUE(),IF(N180=Constants!$B$3,FALSE(),TRUE())))</f>
        <v/>
      </c>
      <c r="AP180" s="135" t="str">
        <f aca="false">IF(ISBLANK($C180),"",IF(ISNUMBER(O180),IF(O180&gt;=0,O180,""),""))</f>
        <v/>
      </c>
      <c r="AQ180" s="135" t="str">
        <f aca="false">IF(ISBLANK($C180),"",IF(P180=Constants!$B$2,TRUE(),IF(P180=Constants!$B$3,FALSE(),FALSE())))</f>
        <v/>
      </c>
      <c r="AR180" s="135" t="str">
        <f aca="false">IF(ISBLANK($C180),"",IF(Q180=Constants!$B$2,TRUE(),IF(Q180=Constants!$B$3,FALSE(),TRUE())))</f>
        <v/>
      </c>
      <c r="AS180" s="135" t="str">
        <f aca="false">IF(ISBLANK($C180),"",IF(R180=Constants!$B$2,TRUE(),IF(R180=Constants!$B$3,FALSE(),TRUE())))</f>
        <v/>
      </c>
      <c r="AT180" s="135" t="str">
        <f aca="false">IF(ISBLANK($C180),"",IF(S180=Constants!$B$4,TRUE(),IF(S180=Constants!$B$5,FALSE(),COUNTA(T180:X180)&gt;0)))</f>
        <v/>
      </c>
      <c r="AU180" s="136" t="str">
        <f aca="false">IF(ISBLANK($C180),"",IF(ISNUMBER(T180),IF(T180&gt;=0,T180,""),""))</f>
        <v/>
      </c>
      <c r="AV180" s="137" t="str">
        <f aca="false">IF(ISBLANK($C180),"",IF(ISNUMBER(U180),IF(U180&gt;=0,U180,""),""))</f>
        <v/>
      </c>
      <c r="AW180" s="137" t="str">
        <f aca="false">IF(ISBLANK($C180),"",IF(V180=Constants!$B$2,TRUE(),IF(V180=Constants!$B$3,FALSE(),TRUE())))</f>
        <v/>
      </c>
      <c r="AX180" s="135" t="str">
        <f aca="false">IF(ISBLANK($C180),"",IF(ISNUMBER(W180),IF(W180&gt;=0,W180,""),""))</f>
        <v/>
      </c>
      <c r="AY180" s="135" t="str">
        <f aca="false">IF(ISBLANK($C180),"",IF(X180=Constants!$B$2,TRUE(),IF(X180=Constants!$B$3,FALSE(),FALSE())))</f>
        <v/>
      </c>
      <c r="AZ180" s="135" t="str">
        <f aca="false">IF(ISBLANK($C180),"",MIN(Constants!$B$25,MAX(0,IF(ISNUMBER(Y180),Y180*60,0)+IF(ISNUMBER(Z180),Z180,0))))</f>
        <v/>
      </c>
      <c r="BA180" s="135" t="str">
        <f aca="false">IF(ISBLANK($C180),"",IF(AA180=Constants!$B$2,TRUE(),IF(AA180=Constants!$B$3,FALSE(),FALSE())))</f>
        <v/>
      </c>
      <c r="BB180" s="134" t="str">
        <f aca="false">IF(ISBLANK($C180),"",AND($AL180,OR($AM180="",$AN180="",AND($AO180,$AP180=""))))</f>
        <v/>
      </c>
      <c r="BC180" s="137" t="str">
        <f aca="false">IF($BX180&lt;&gt;Constants!$B$6,"",IF($AL180,Constants!$B$17*$AN180+Constants!$B$18*IF($AO180,$AP180,Constants!$B$19),Constants!$B$20))</f>
        <v/>
      </c>
      <c r="BD180" s="138" t="str">
        <f aca="false">IF($BX180&lt;&gt;Constants!$B$6,"",Constants!$B$21*ABS($AD$9-IF($AL180,$AM180,0)))</f>
        <v/>
      </c>
      <c r="BE180" s="138" t="str">
        <f aca="false">IF($BX180&lt;&gt;Constants!$B$6,"",IF(AND($AL180,$AQ180,$AO180),Constants!$B$22,0))</f>
        <v/>
      </c>
      <c r="BF180" s="138" t="str">
        <f aca="false">IF($BX180&lt;&gt;Constants!$B$6,"",IF($AL180,($AI180-Constants!$B$24)*Constants!$B$23,0))</f>
        <v/>
      </c>
      <c r="BG180" s="138" t="str">
        <f aca="false">IF($BX180&lt;&gt;Constants!$B$6,"",IF($AK180,0,Constants!$B$12)+IF($AJ180,0,Constants!$B$13)+IF($AH180,0,Constants!$B$14))</f>
        <v/>
      </c>
      <c r="BH180" s="139" t="str">
        <f aca="false">IF($BX180&lt;&gt;Constants!$B$6,"",Constants!$B$16+SUM($BC180:$BG180))</f>
        <v/>
      </c>
      <c r="BI180" s="138" t="str">
        <f aca="false">IF($BX180&lt;&gt;Constants!$B$6,"",$BC180)</f>
        <v/>
      </c>
      <c r="BJ180" s="138" t="str">
        <f aca="false">IF($BX180&lt;&gt;Constants!$B$6,"",$BD180)</f>
        <v/>
      </c>
      <c r="BK180" s="140" t="str">
        <f aca="false">IF($BX180&lt;&gt;Constants!$B$6,"",IF($AL180,$AN180,""))</f>
        <v/>
      </c>
      <c r="BL180" s="135" t="str">
        <f aca="false">IF($BX180&lt;&gt;Constants!$B$6,"",IF(OR($BS180&lt;$BH180,AND($BS180=$BH180,OR($BT180&lt;$BI180,AND($BT180=$BI180,OR($BU180&lt;$BJ180,AND($BU180=$BJ180,AND(ISNUMBER($BV180),OR(NOT(ISNUMBER($BK180)),$BV180&lt;$BK180)))))))),"-&gt;","&lt;-"))</f>
        <v/>
      </c>
      <c r="BM180" s="134" t="str">
        <f aca="false">IF(ISBLANK($C180),"",AND($AT180,OR($AU180="",$AV180="",AND($AW180,$AX180=""))))</f>
        <v/>
      </c>
      <c r="BN180" s="137" t="str">
        <f aca="false">IF($BX180&lt;&gt;Constants!$B$6,"",IF($AT180,Constants!$B$17*$AV180+Constants!$B$18*IF($AW180,$AX180,Constants!$B$19),Constants!$B$20))</f>
        <v/>
      </c>
      <c r="BO180" s="138" t="str">
        <f aca="false">IF($BX180&lt;&gt;Constants!$B$6,"",Constants!$B$21*ABS($AD$9-IF($AT180,$AU180,0)))</f>
        <v/>
      </c>
      <c r="BP180" s="138" t="str">
        <f aca="false">IF($BX180&lt;&gt;Constants!$B$6,"",IF(AND($AT180,$AY180,$AW180),Constants!$B$22,0))</f>
        <v/>
      </c>
      <c r="BQ180" s="138" t="str">
        <f aca="false">IF($BX180&lt;&gt;Constants!$B$6,"",IF($AT180,($AI180-Constants!$B$24)*Constants!$B$23,0))</f>
        <v/>
      </c>
      <c r="BR180" s="138" t="str">
        <f aca="false">IF($BX180&lt;&gt;Constants!$B$6,"",IF($AS180,0,Constants!$B$12)+IF($AR180,0,Constants!$B$13)+IF($AH180,0,Constants!$B$14))</f>
        <v/>
      </c>
      <c r="BS180" s="139" t="str">
        <f aca="false">IF($BX180&lt;&gt;Constants!$B$6,"",Constants!$B$16+SUM($BN180:$BR180))</f>
        <v/>
      </c>
      <c r="BT180" s="138" t="str">
        <f aca="false">IF($BX180&lt;&gt;Constants!$B$6,"",$BN180)</f>
        <v/>
      </c>
      <c r="BU180" s="138" t="str">
        <f aca="false">IF($BX180&lt;&gt;Constants!$B$6,"",$BO180)</f>
        <v/>
      </c>
      <c r="BV180" s="140" t="str">
        <f aca="false">IF($BX180&lt;&gt;Constants!$B$6,"",IF($AT180,$AV180,""))</f>
        <v/>
      </c>
      <c r="BW180" s="135" t="str">
        <f aca="false">IF(ISBLANK($C180),"",IF(ISBLANK($D$7),$BW$5,IF(NOT(ISNUMBER($D$7)),$BW$6,"")))</f>
        <v/>
      </c>
      <c r="BX180" s="135" t="str">
        <f aca="false">IF(ISBLANK($C180),"",IF($BA180,Constants!$B$9,IF(COUNTA($E180:$AA180)=0,Constants!$B$8,IF(NOT($AG180),Constants!$B$7,IF(OR($BW180&lt;&gt;"",$BB180,$BM180),Constants!$B$10,Constants!$B$6)))))</f>
        <v/>
      </c>
      <c r="BY180" s="135" t="str">
        <f aca="false">IF(ISBLANK($C180),"",IF($BX180&lt;&gt;Constants!$B$6,$BX180,Constants!$B$11))</f>
        <v/>
      </c>
      <c r="BZ180" s="138" t="str">
        <f aca="false">IF($BX180&lt;&gt;Constants!$B$6,"",IF($BL180="-&gt;",$BS180,$BH180))</f>
        <v/>
      </c>
      <c r="CA180" s="138" t="str">
        <f aca="false">IF($BX180&lt;&gt;Constants!$B$6,"",IF($AF180,0,Constants!$B$15))</f>
        <v/>
      </c>
      <c r="CB180" s="138" t="str">
        <f aca="false">IF($BX180&lt;&gt;Constants!$B$6,"",((Constants!$B$25-$AZ180)-Constants!$B$25)/Constants!$B$26)</f>
        <v/>
      </c>
      <c r="CC180" s="138" t="str">
        <f aca="false">IF(ISBLANK($C180),"",IF($BX180&lt;&gt;Constants!$B$6,$BX180,SUM($BZ180:$CB180)))</f>
        <v/>
      </c>
      <c r="CD180" s="135" t="str">
        <f aca="false">IF(ISBLANK($C180),"",IF($BX180&lt;&gt;Constants!$B$6,$BX180,RANK($CC180,$CC$9:$CC$508,1)))</f>
        <v/>
      </c>
      <c r="CE180" s="138" t="str">
        <f aca="false">IF($BX180&lt;&gt;Constants!$B$6,"",IF($BL180="-&gt;",$BT180,$BI180))</f>
        <v/>
      </c>
      <c r="CF180" s="135" t="str">
        <f aca="false">IF(ISBLANK($C180),"",IF($BX180&lt;&gt;Constants!$B$6,$BX180,IF(ISNUMBER($CE180),RANK($CE180,$CE$9:$CE$508,1),COUNT($CE$9:$CE$508)+1)))</f>
        <v/>
      </c>
      <c r="CG180" s="138" t="str">
        <f aca="false">IF($BX180&lt;&gt;Constants!$B$6,"",IF($BL180="-&gt;",$BU180,$BJ180))</f>
        <v/>
      </c>
      <c r="CH180" s="135" t="str">
        <f aca="false">IF(ISBLANK($C180),"",IF($BX180&lt;&gt;Constants!$B$6,$BX180,IF(ISNUMBER($CG180),RANK($CG180,$CG$9:$CG$508,1),COUNT($CG$9:$CG$508)+1)))</f>
        <v/>
      </c>
      <c r="CI180" s="138" t="str">
        <f aca="false">IF($BX180&lt;&gt;Constants!$B$6,"",IF($BL180="-&gt;",$BV180,$BK180))</f>
        <v/>
      </c>
      <c r="CJ180" s="135" t="str">
        <f aca="false">IF(ISBLANK($C180),"",IF($BX180&lt;&gt;Constants!$B$6,$BX180,IF(ISNUMBER($CI180),RANK($CI180,$CI$9:$CI$508,1),COUNT($CI$9:$CI$508)+1)))</f>
        <v/>
      </c>
      <c r="CK180" s="138" t="str">
        <f aca="false">IF($BX180&lt;&gt;Constants!$B$6,"",$AI180)</f>
        <v/>
      </c>
      <c r="CL180" s="135" t="str">
        <f aca="false">IF(ISBLANK($C180),"",IF($BX180&lt;&gt;Constants!$B$6,$BX180,IF(ISNUMBER($CK180),RANK($CK180,$CK$9:$CK$508,1),COUNT($CK$9:$CK$508)+1)))</f>
        <v/>
      </c>
      <c r="CM180" s="135" t="str">
        <f aca="false">IF(ISBLANK($C180),"",IF($BX180&lt;&gt;Constants!$B$6,$BX180,COUNTIFS($CD$9:$CD$508,"&lt;"&amp;$CD180)+COUNTIFS($CD$9:$CD$508,$CD180,$CF$9:$CF$508,"&lt;"&amp;$CF180)+COUNTIFS($CD$9:$CD$508,$CD180,$CF$9:$CF$508,$CF180,$CH$9:$CH$508,"&lt;"&amp;$CH180)+COUNTIFS($CD$9:$CD$508,$CD180,$CF$9:$CF$508,$CF180,$CH$9:$CH$508,$CH180,$CJ$9:$CJ$508,"&lt;"&amp;$CJ180)+COUNTIFS($CD$9:$CD$508,$CD180,$CF$9:$CF$508,$CF180,$CH$9:$CH$508,$CH180,$CJ$9:$CJ$508,$CJ180,$CL$9:$CL$508,"&lt;"&amp;$CL180)+1))</f>
        <v/>
      </c>
      <c r="CN180" s="135" t="str">
        <f aca="false">IF(ISBLANK($C180),"",IF($BX180&lt;&gt;Constants!$B$6,$BX180,$CD180-$CM180))</f>
        <v/>
      </c>
      <c r="CO180" s="141"/>
      <c r="CP180" s="142"/>
      <c r="CQ180" s="143" t="str">
        <f aca="false">IF(ISBLANK($C180),"",IF($BX180=Constants!$B$10,$BW180,""))</f>
        <v/>
      </c>
      <c r="CR180" s="142" t="str">
        <f aca="false">IF(ISBLANK($C180),"",IF($BX180&lt;&gt;Constants!$B$6,"",IF($BL180="-&gt;",2,1)))</f>
        <v/>
      </c>
      <c r="CS180" s="144" t="str">
        <f aca="false">IF(ISBLANK($C180),"",IF($BX180&lt;&gt;Constants!$B$6,"",IF($BL180="-&gt;",$BN180,$BC180)))</f>
        <v/>
      </c>
      <c r="CT180" s="144" t="str">
        <f aca="false">IF(ISBLANK($C180),"",IF($BX180&lt;&gt;Constants!$B$6,"",IF($BL180="-&gt;",$BO180,$BD180)))</f>
        <v/>
      </c>
      <c r="CU180" s="144" t="str">
        <f aca="false">IF(ISBLANK($C180),"",IF($BX180&lt;&gt;Constants!$B$6,"",IF($BL180="-&gt;",$BP180+$BQ180,$BE180+$BF180)+$CB180))</f>
        <v/>
      </c>
      <c r="CV180" s="144" t="str">
        <f aca="false">IF(ISBLANK($C180),"",IF($BX180&lt;&gt;Constants!$B$6,"",IF($BL180="-&gt;",$BR180,$BG180)+$CA180))</f>
        <v/>
      </c>
      <c r="CW180" s="145" t="str">
        <f aca="false">IF(ISBLANK($C180),"",IF($BX180&lt;&gt;Constants!$B$6,$BX180,$CC180))</f>
        <v/>
      </c>
      <c r="CX180" s="146" t="str">
        <f aca="false">IF(ISBLANK($C180),"",$BY180)</f>
        <v/>
      </c>
      <c r="CY180" s="147" t="str">
        <f aca="false">IF(ISBLANK($C180),"",$CN180)</f>
        <v/>
      </c>
      <c r="CZ180" s="147" t="str">
        <f aca="false">IF(ISBLANK($C180),"",$CM180)</f>
        <v/>
      </c>
      <c r="DA180" s="148" t="str">
        <f aca="false">IF(ISBLANK($C180),"",IFERROR(_xlfn.SWITCH($CZ180,Constants!$B$9,COUNTA($C$9:$C$508)+2,Constants!$B$8,COUNTA($C$9:$C$508)+1,Constants!$B$7,COUNTA($C$9:$C$508)),$CZ180))</f>
        <v/>
      </c>
      <c r="DB180" s="9"/>
      <c r="DC180" s="149" t="n">
        <f aca="false">IF(OR(ISNUMBER($CZ180),$CZ180=Constants!$B$9,$CZ180=Constants!$B$7,$CZ180=Constants!$B$8),1,0)</f>
        <v>0</v>
      </c>
      <c r="DD180" s="149" t="n">
        <v>172</v>
      </c>
      <c r="DE180" s="149" t="str">
        <f aca="false">IF(ISBLANK($C180),"",IF(ISNUMBER($DA180),$DA180+ROW($B180)/1000,""))</f>
        <v/>
      </c>
      <c r="DF180" s="149" t="str">
        <f aca="false">IF(ISNUMBER($DE180),RANK($DE180,$DE$9:$DE$508,1),"")</f>
        <v/>
      </c>
      <c r="DG180" s="149" t="str">
        <f aca="false">IF(ISBLANK($C180),"",$B180)</f>
        <v/>
      </c>
      <c r="DH180" s="149" t="str">
        <f aca="false">IF(ISBLANK($C180),"",$C180)</f>
        <v/>
      </c>
      <c r="DI180" s="149" t="str">
        <f aca="false">IF(ISBLANK($C180),"",$D180)</f>
        <v/>
      </c>
      <c r="DJ180" s="150" t="str">
        <f aca="false">$CX180</f>
        <v/>
      </c>
      <c r="DK180" s="151" t="str">
        <f aca="false">$CW180</f>
        <v/>
      </c>
      <c r="DL180" s="149" t="str">
        <f aca="false">IF(ISBLANK($C180),"",$CZ180)</f>
        <v/>
      </c>
      <c r="DM180" s="152" t="str">
        <f aca="false">IF($DD180&gt;$DC$8,"",VLOOKUP($DD180,$DF$9:$DL$508,7,FALSE()))</f>
        <v/>
      </c>
      <c r="DN180" s="153" t="str">
        <f aca="false">IF($DD180&gt;$DC$8,"",VLOOKUP($DD180,$DF$9:$DL$508,2,FALSE()))</f>
        <v/>
      </c>
      <c r="DO180" s="153" t="str">
        <f aca="false">IF($DD180&gt;$DC$8,"",VLOOKUP($DD180,$DF$9:$DL$508,3,FALSE()))</f>
        <v/>
      </c>
      <c r="DP180" s="153" t="str">
        <f aca="false">IF($DD180&gt;$DC$8,"",VLOOKUP($DD180,$DF$9:$DL$508,4,FALSE()))</f>
        <v/>
      </c>
      <c r="DQ180" s="153" t="str">
        <f aca="false">IF($DD180&gt;$DC$8,"",VLOOKUP($DD180,$DF$9:$DL$508,5,FALSE()))</f>
        <v/>
      </c>
      <c r="DR180" s="154" t="str">
        <f aca="false">IF($DD180&gt;$DC$8,"",VLOOKUP($DD180,$DF$9:$DL$508,6,FALSE()))</f>
        <v/>
      </c>
      <c r="DS180" s="76"/>
    </row>
    <row r="181" customFormat="false" ht="15.75" hidden="false" customHeight="false" outlineLevel="0" collapsed="false">
      <c r="A181" s="9"/>
      <c r="B181" s="160"/>
      <c r="C181" s="161"/>
      <c r="D181" s="162"/>
      <c r="E181" s="180"/>
      <c r="F181" s="164"/>
      <c r="G181" s="165"/>
      <c r="H181" s="165"/>
      <c r="I181" s="181"/>
      <c r="J181" s="168"/>
      <c r="K181" s="128"/>
      <c r="L181" s="129"/>
      <c r="M181" s="130"/>
      <c r="N181" s="168"/>
      <c r="O181" s="168"/>
      <c r="P181" s="180"/>
      <c r="Q181" s="168"/>
      <c r="R181" s="168"/>
      <c r="S181" s="128"/>
      <c r="T181" s="130"/>
      <c r="U181" s="130"/>
      <c r="V181" s="168"/>
      <c r="W181" s="168"/>
      <c r="X181" s="180"/>
      <c r="Y181" s="168"/>
      <c r="Z181" s="169"/>
      <c r="AA181" s="168"/>
      <c r="AB181" s="134"/>
      <c r="AC181" s="135"/>
      <c r="AD181" s="135"/>
      <c r="AE181" s="135"/>
      <c r="AF181" s="135" t="str">
        <f aca="false">IF(ISBLANK($C181),"",IF(E181=Constants!$B$2,TRUE(),IF(E181=Constants!$B$3,FALSE(),TRUE())))</f>
        <v/>
      </c>
      <c r="AG181" s="135" t="str">
        <f aca="false">IF(ISBLANK($C181),"",IF(F181=Constants!$B$2,TRUE(),IF(F181=Constants!$B$3,FALSE(),TRUE())))</f>
        <v/>
      </c>
      <c r="AH181" s="135" t="str">
        <f aca="false">IF(ISBLANK($C181),"",IF(G181=Constants!$B$2,TRUE(),IF(G181=Constants!$B$3,FALSE(),TRUE())))</f>
        <v/>
      </c>
      <c r="AI181" s="135" t="str">
        <f aca="false">IF(ISBLANK($C181),"",IF(AND(ISNUMBER(H181),H181&gt;=0),H181,Constants!$B$24))</f>
        <v/>
      </c>
      <c r="AJ181" s="135" t="str">
        <f aca="false">IF(ISBLANK($C181),"",IF(I181=Constants!$B$2,TRUE(),IF(I181=Constants!$B$3,FALSE(),TRUE())))</f>
        <v/>
      </c>
      <c r="AK181" s="135" t="str">
        <f aca="false">IF(ISBLANK($C181),"",IF(J181=Constants!$B$2,TRUE(),IF(J181=Constants!$B$3,FALSE(),TRUE())))</f>
        <v/>
      </c>
      <c r="AL181" s="135" t="str">
        <f aca="false">IF(ISBLANK($C181),"",IF(K181=Constants!$B$4,TRUE(),IF(K181=Constants!$B$5,FALSE(),COUNTA(L181:P181)&gt;0)))</f>
        <v/>
      </c>
      <c r="AM181" s="136" t="str">
        <f aca="false">IF(ISBLANK($C181),"",IF(ISNUMBER(L181),IF(L181&gt;=0,L181,""),""))</f>
        <v/>
      </c>
      <c r="AN181" s="137" t="str">
        <f aca="false">IF(ISBLANK($C181),"",IF(ISNUMBER(M181),IF(M181&gt;=0,M181,""),""))</f>
        <v/>
      </c>
      <c r="AO181" s="137" t="str">
        <f aca="false">IF(ISBLANK($C181),"",IF(N181=Constants!$B$2,TRUE(),IF(N181=Constants!$B$3,FALSE(),TRUE())))</f>
        <v/>
      </c>
      <c r="AP181" s="135" t="str">
        <f aca="false">IF(ISBLANK($C181),"",IF(ISNUMBER(O181),IF(O181&gt;=0,O181,""),""))</f>
        <v/>
      </c>
      <c r="AQ181" s="135" t="str">
        <f aca="false">IF(ISBLANK($C181),"",IF(P181=Constants!$B$2,TRUE(),IF(P181=Constants!$B$3,FALSE(),FALSE())))</f>
        <v/>
      </c>
      <c r="AR181" s="135" t="str">
        <f aca="false">IF(ISBLANK($C181),"",IF(Q181=Constants!$B$2,TRUE(),IF(Q181=Constants!$B$3,FALSE(),TRUE())))</f>
        <v/>
      </c>
      <c r="AS181" s="135" t="str">
        <f aca="false">IF(ISBLANK($C181),"",IF(R181=Constants!$B$2,TRUE(),IF(R181=Constants!$B$3,FALSE(),TRUE())))</f>
        <v/>
      </c>
      <c r="AT181" s="135" t="str">
        <f aca="false">IF(ISBLANK($C181),"",IF(S181=Constants!$B$4,TRUE(),IF(S181=Constants!$B$5,FALSE(),COUNTA(T181:X181)&gt;0)))</f>
        <v/>
      </c>
      <c r="AU181" s="136" t="str">
        <f aca="false">IF(ISBLANK($C181),"",IF(ISNUMBER(T181),IF(T181&gt;=0,T181,""),""))</f>
        <v/>
      </c>
      <c r="AV181" s="137" t="str">
        <f aca="false">IF(ISBLANK($C181),"",IF(ISNUMBER(U181),IF(U181&gt;=0,U181,""),""))</f>
        <v/>
      </c>
      <c r="AW181" s="137" t="str">
        <f aca="false">IF(ISBLANK($C181),"",IF(V181=Constants!$B$2,TRUE(),IF(V181=Constants!$B$3,FALSE(),TRUE())))</f>
        <v/>
      </c>
      <c r="AX181" s="135" t="str">
        <f aca="false">IF(ISBLANK($C181),"",IF(ISNUMBER(W181),IF(W181&gt;=0,W181,""),""))</f>
        <v/>
      </c>
      <c r="AY181" s="135" t="str">
        <f aca="false">IF(ISBLANK($C181),"",IF(X181=Constants!$B$2,TRUE(),IF(X181=Constants!$B$3,FALSE(),FALSE())))</f>
        <v/>
      </c>
      <c r="AZ181" s="135" t="str">
        <f aca="false">IF(ISBLANK($C181),"",MIN(Constants!$B$25,MAX(0,IF(ISNUMBER(Y181),Y181*60,0)+IF(ISNUMBER(Z181),Z181,0))))</f>
        <v/>
      </c>
      <c r="BA181" s="135" t="str">
        <f aca="false">IF(ISBLANK($C181),"",IF(AA181=Constants!$B$2,TRUE(),IF(AA181=Constants!$B$3,FALSE(),FALSE())))</f>
        <v/>
      </c>
      <c r="BB181" s="134" t="str">
        <f aca="false">IF(ISBLANK($C181),"",AND($AL181,OR($AM181="",$AN181="",AND($AO181,$AP181=""))))</f>
        <v/>
      </c>
      <c r="BC181" s="137" t="str">
        <f aca="false">IF($BX181&lt;&gt;Constants!$B$6,"",IF($AL181,Constants!$B$17*$AN181+Constants!$B$18*IF($AO181,$AP181,Constants!$B$19),Constants!$B$20))</f>
        <v/>
      </c>
      <c r="BD181" s="138" t="str">
        <f aca="false">IF($BX181&lt;&gt;Constants!$B$6,"",Constants!$B$21*ABS($AD$9-IF($AL181,$AM181,0)))</f>
        <v/>
      </c>
      <c r="BE181" s="138" t="str">
        <f aca="false">IF($BX181&lt;&gt;Constants!$B$6,"",IF(AND($AL181,$AQ181,$AO181),Constants!$B$22,0))</f>
        <v/>
      </c>
      <c r="BF181" s="138" t="str">
        <f aca="false">IF($BX181&lt;&gt;Constants!$B$6,"",IF($AL181,($AI181-Constants!$B$24)*Constants!$B$23,0))</f>
        <v/>
      </c>
      <c r="BG181" s="138" t="str">
        <f aca="false">IF($BX181&lt;&gt;Constants!$B$6,"",IF($AK181,0,Constants!$B$12)+IF($AJ181,0,Constants!$B$13)+IF($AH181,0,Constants!$B$14))</f>
        <v/>
      </c>
      <c r="BH181" s="139" t="str">
        <f aca="false">IF($BX181&lt;&gt;Constants!$B$6,"",Constants!$B$16+SUM($BC181:$BG181))</f>
        <v/>
      </c>
      <c r="BI181" s="138" t="str">
        <f aca="false">IF($BX181&lt;&gt;Constants!$B$6,"",$BC181)</f>
        <v/>
      </c>
      <c r="BJ181" s="138" t="str">
        <f aca="false">IF($BX181&lt;&gt;Constants!$B$6,"",$BD181)</f>
        <v/>
      </c>
      <c r="BK181" s="140" t="str">
        <f aca="false">IF($BX181&lt;&gt;Constants!$B$6,"",IF($AL181,$AN181,""))</f>
        <v/>
      </c>
      <c r="BL181" s="135" t="str">
        <f aca="false">IF($BX181&lt;&gt;Constants!$B$6,"",IF(OR($BS181&lt;$BH181,AND($BS181=$BH181,OR($BT181&lt;$BI181,AND($BT181=$BI181,OR($BU181&lt;$BJ181,AND($BU181=$BJ181,AND(ISNUMBER($BV181),OR(NOT(ISNUMBER($BK181)),$BV181&lt;$BK181)))))))),"-&gt;","&lt;-"))</f>
        <v/>
      </c>
      <c r="BM181" s="134" t="str">
        <f aca="false">IF(ISBLANK($C181),"",AND($AT181,OR($AU181="",$AV181="",AND($AW181,$AX181=""))))</f>
        <v/>
      </c>
      <c r="BN181" s="137" t="str">
        <f aca="false">IF($BX181&lt;&gt;Constants!$B$6,"",IF($AT181,Constants!$B$17*$AV181+Constants!$B$18*IF($AW181,$AX181,Constants!$B$19),Constants!$B$20))</f>
        <v/>
      </c>
      <c r="BO181" s="138" t="str">
        <f aca="false">IF($BX181&lt;&gt;Constants!$B$6,"",Constants!$B$21*ABS($AD$9-IF($AT181,$AU181,0)))</f>
        <v/>
      </c>
      <c r="BP181" s="138" t="str">
        <f aca="false">IF($BX181&lt;&gt;Constants!$B$6,"",IF(AND($AT181,$AY181,$AW181),Constants!$B$22,0))</f>
        <v/>
      </c>
      <c r="BQ181" s="138" t="str">
        <f aca="false">IF($BX181&lt;&gt;Constants!$B$6,"",IF($AT181,($AI181-Constants!$B$24)*Constants!$B$23,0))</f>
        <v/>
      </c>
      <c r="BR181" s="138" t="str">
        <f aca="false">IF($BX181&lt;&gt;Constants!$B$6,"",IF($AS181,0,Constants!$B$12)+IF($AR181,0,Constants!$B$13)+IF($AH181,0,Constants!$B$14))</f>
        <v/>
      </c>
      <c r="BS181" s="139" t="str">
        <f aca="false">IF($BX181&lt;&gt;Constants!$B$6,"",Constants!$B$16+SUM($BN181:$BR181))</f>
        <v/>
      </c>
      <c r="BT181" s="138" t="str">
        <f aca="false">IF($BX181&lt;&gt;Constants!$B$6,"",$BN181)</f>
        <v/>
      </c>
      <c r="BU181" s="138" t="str">
        <f aca="false">IF($BX181&lt;&gt;Constants!$B$6,"",$BO181)</f>
        <v/>
      </c>
      <c r="BV181" s="140" t="str">
        <f aca="false">IF($BX181&lt;&gt;Constants!$B$6,"",IF($AT181,$AV181,""))</f>
        <v/>
      </c>
      <c r="BW181" s="135" t="str">
        <f aca="false">IF(ISBLANK($C181),"",IF(ISBLANK($D$7),$BW$5,IF(NOT(ISNUMBER($D$7)),$BW$6,"")))</f>
        <v/>
      </c>
      <c r="BX181" s="135" t="str">
        <f aca="false">IF(ISBLANK($C181),"",IF($BA181,Constants!$B$9,IF(COUNTA($E181:$AA181)=0,Constants!$B$8,IF(NOT($AG181),Constants!$B$7,IF(OR($BW181&lt;&gt;"",$BB181,$BM181),Constants!$B$10,Constants!$B$6)))))</f>
        <v/>
      </c>
      <c r="BY181" s="135" t="str">
        <f aca="false">IF(ISBLANK($C181),"",IF($BX181&lt;&gt;Constants!$B$6,$BX181,Constants!$B$11))</f>
        <v/>
      </c>
      <c r="BZ181" s="138" t="str">
        <f aca="false">IF($BX181&lt;&gt;Constants!$B$6,"",IF($BL181="-&gt;",$BS181,$BH181))</f>
        <v/>
      </c>
      <c r="CA181" s="138" t="str">
        <f aca="false">IF($BX181&lt;&gt;Constants!$B$6,"",IF($AF181,0,Constants!$B$15))</f>
        <v/>
      </c>
      <c r="CB181" s="138" t="str">
        <f aca="false">IF($BX181&lt;&gt;Constants!$B$6,"",((Constants!$B$25-$AZ181)-Constants!$B$25)/Constants!$B$26)</f>
        <v/>
      </c>
      <c r="CC181" s="138" t="str">
        <f aca="false">IF(ISBLANK($C181),"",IF($BX181&lt;&gt;Constants!$B$6,$BX181,SUM($BZ181:$CB181)))</f>
        <v/>
      </c>
      <c r="CD181" s="135" t="str">
        <f aca="false">IF(ISBLANK($C181),"",IF($BX181&lt;&gt;Constants!$B$6,$BX181,RANK($CC181,$CC$9:$CC$508,1)))</f>
        <v/>
      </c>
      <c r="CE181" s="138" t="str">
        <f aca="false">IF($BX181&lt;&gt;Constants!$B$6,"",IF($BL181="-&gt;",$BT181,$BI181))</f>
        <v/>
      </c>
      <c r="CF181" s="135" t="str">
        <f aca="false">IF(ISBLANK($C181),"",IF($BX181&lt;&gt;Constants!$B$6,$BX181,IF(ISNUMBER($CE181),RANK($CE181,$CE$9:$CE$508,1),COUNT($CE$9:$CE$508)+1)))</f>
        <v/>
      </c>
      <c r="CG181" s="138" t="str">
        <f aca="false">IF($BX181&lt;&gt;Constants!$B$6,"",IF($BL181="-&gt;",$BU181,$BJ181))</f>
        <v/>
      </c>
      <c r="CH181" s="135" t="str">
        <f aca="false">IF(ISBLANK($C181),"",IF($BX181&lt;&gt;Constants!$B$6,$BX181,IF(ISNUMBER($CG181),RANK($CG181,$CG$9:$CG$508,1),COUNT($CG$9:$CG$508)+1)))</f>
        <v/>
      </c>
      <c r="CI181" s="138" t="str">
        <f aca="false">IF($BX181&lt;&gt;Constants!$B$6,"",IF($BL181="-&gt;",$BV181,$BK181))</f>
        <v/>
      </c>
      <c r="CJ181" s="135" t="str">
        <f aca="false">IF(ISBLANK($C181),"",IF($BX181&lt;&gt;Constants!$B$6,$BX181,IF(ISNUMBER($CI181),RANK($CI181,$CI$9:$CI$508,1),COUNT($CI$9:$CI$508)+1)))</f>
        <v/>
      </c>
      <c r="CK181" s="138" t="str">
        <f aca="false">IF($BX181&lt;&gt;Constants!$B$6,"",$AI181)</f>
        <v/>
      </c>
      <c r="CL181" s="135" t="str">
        <f aca="false">IF(ISBLANK($C181),"",IF($BX181&lt;&gt;Constants!$B$6,$BX181,IF(ISNUMBER($CK181),RANK($CK181,$CK$9:$CK$508,1),COUNT($CK$9:$CK$508)+1)))</f>
        <v/>
      </c>
      <c r="CM181" s="135" t="str">
        <f aca="false">IF(ISBLANK($C181),"",IF($BX181&lt;&gt;Constants!$B$6,$BX181,COUNTIFS($CD$9:$CD$508,"&lt;"&amp;$CD181)+COUNTIFS($CD$9:$CD$508,$CD181,$CF$9:$CF$508,"&lt;"&amp;$CF181)+COUNTIFS($CD$9:$CD$508,$CD181,$CF$9:$CF$508,$CF181,$CH$9:$CH$508,"&lt;"&amp;$CH181)+COUNTIFS($CD$9:$CD$508,$CD181,$CF$9:$CF$508,$CF181,$CH$9:$CH$508,$CH181,$CJ$9:$CJ$508,"&lt;"&amp;$CJ181)+COUNTIFS($CD$9:$CD$508,$CD181,$CF$9:$CF$508,$CF181,$CH$9:$CH$508,$CH181,$CJ$9:$CJ$508,$CJ181,$CL$9:$CL$508,"&lt;"&amp;$CL181)+1))</f>
        <v/>
      </c>
      <c r="CN181" s="135" t="str">
        <f aca="false">IF(ISBLANK($C181),"",IF($BX181&lt;&gt;Constants!$B$6,$BX181,$CD181-$CM181))</f>
        <v/>
      </c>
      <c r="CO181" s="141"/>
      <c r="CP181" s="142"/>
      <c r="CQ181" s="143" t="str">
        <f aca="false">IF(ISBLANK($C181),"",IF($BX181=Constants!$B$10,$BW181,""))</f>
        <v/>
      </c>
      <c r="CR181" s="142" t="str">
        <f aca="false">IF(ISBLANK($C181),"",IF($BX181&lt;&gt;Constants!$B$6,"",IF($BL181="-&gt;",2,1)))</f>
        <v/>
      </c>
      <c r="CS181" s="144" t="str">
        <f aca="false">IF(ISBLANK($C181),"",IF($BX181&lt;&gt;Constants!$B$6,"",IF($BL181="-&gt;",$BN181,$BC181)))</f>
        <v/>
      </c>
      <c r="CT181" s="144" t="str">
        <f aca="false">IF(ISBLANK($C181),"",IF($BX181&lt;&gt;Constants!$B$6,"",IF($BL181="-&gt;",$BO181,$BD181)))</f>
        <v/>
      </c>
      <c r="CU181" s="144" t="str">
        <f aca="false">IF(ISBLANK($C181),"",IF($BX181&lt;&gt;Constants!$B$6,"",IF($BL181="-&gt;",$BP181+$BQ181,$BE181+$BF181)+$CB181))</f>
        <v/>
      </c>
      <c r="CV181" s="144" t="str">
        <f aca="false">IF(ISBLANK($C181),"",IF($BX181&lt;&gt;Constants!$B$6,"",IF($BL181="-&gt;",$BR181,$BG181)+$CA181))</f>
        <v/>
      </c>
      <c r="CW181" s="145" t="str">
        <f aca="false">IF(ISBLANK($C181),"",IF($BX181&lt;&gt;Constants!$B$6,$BX181,$CC181))</f>
        <v/>
      </c>
      <c r="CX181" s="146" t="str">
        <f aca="false">IF(ISBLANK($C181),"",$BY181)</f>
        <v/>
      </c>
      <c r="CY181" s="147" t="str">
        <f aca="false">IF(ISBLANK($C181),"",$CN181)</f>
        <v/>
      </c>
      <c r="CZ181" s="147" t="str">
        <f aca="false">IF(ISBLANK($C181),"",$CM181)</f>
        <v/>
      </c>
      <c r="DA181" s="148" t="str">
        <f aca="false">IF(ISBLANK($C181),"",IFERROR(_xlfn.SWITCH($CZ181,Constants!$B$9,COUNTA($C$9:$C$508)+2,Constants!$B$8,COUNTA($C$9:$C$508)+1,Constants!$B$7,COUNTA($C$9:$C$508)),$CZ181))</f>
        <v/>
      </c>
      <c r="DB181" s="9"/>
      <c r="DC181" s="149" t="n">
        <f aca="false">IF(OR(ISNUMBER($CZ181),$CZ181=Constants!$B$9,$CZ181=Constants!$B$7,$CZ181=Constants!$B$8),1,0)</f>
        <v>0</v>
      </c>
      <c r="DD181" s="149" t="n">
        <v>173</v>
      </c>
      <c r="DE181" s="149" t="str">
        <f aca="false">IF(ISBLANK($C181),"",IF(ISNUMBER($DA181),$DA181+ROW($B181)/1000,""))</f>
        <v/>
      </c>
      <c r="DF181" s="149" t="str">
        <f aca="false">IF(ISNUMBER($DE181),RANK($DE181,$DE$9:$DE$508,1),"")</f>
        <v/>
      </c>
      <c r="DG181" s="149" t="str">
        <f aca="false">IF(ISBLANK($C181),"",$B181)</f>
        <v/>
      </c>
      <c r="DH181" s="149" t="str">
        <f aca="false">IF(ISBLANK($C181),"",$C181)</f>
        <v/>
      </c>
      <c r="DI181" s="149" t="str">
        <f aca="false">IF(ISBLANK($C181),"",$D181)</f>
        <v/>
      </c>
      <c r="DJ181" s="150" t="str">
        <f aca="false">$CX181</f>
        <v/>
      </c>
      <c r="DK181" s="151" t="str">
        <f aca="false">$CW181</f>
        <v/>
      </c>
      <c r="DL181" s="149" t="str">
        <f aca="false">IF(ISBLANK($C181),"",$CZ181)</f>
        <v/>
      </c>
      <c r="DM181" s="152" t="str">
        <f aca="false">IF($DD181&gt;$DC$8,"",VLOOKUP($DD181,$DF$9:$DL$508,7,FALSE()))</f>
        <v/>
      </c>
      <c r="DN181" s="153" t="str">
        <f aca="false">IF($DD181&gt;$DC$8,"",VLOOKUP($DD181,$DF$9:$DL$508,2,FALSE()))</f>
        <v/>
      </c>
      <c r="DO181" s="153" t="str">
        <f aca="false">IF($DD181&gt;$DC$8,"",VLOOKUP($DD181,$DF$9:$DL$508,3,FALSE()))</f>
        <v/>
      </c>
      <c r="DP181" s="153" t="str">
        <f aca="false">IF($DD181&gt;$DC$8,"",VLOOKUP($DD181,$DF$9:$DL$508,4,FALSE()))</f>
        <v/>
      </c>
      <c r="DQ181" s="153" t="str">
        <f aca="false">IF($DD181&gt;$DC$8,"",VLOOKUP($DD181,$DF$9:$DL$508,5,FALSE()))</f>
        <v/>
      </c>
      <c r="DR181" s="154" t="str">
        <f aca="false">IF($DD181&gt;$DC$8,"",VLOOKUP($DD181,$DF$9:$DL$508,6,FALSE()))</f>
        <v/>
      </c>
      <c r="DS181" s="76"/>
    </row>
    <row r="182" customFormat="false" ht="15.75" hidden="false" customHeight="false" outlineLevel="0" collapsed="false">
      <c r="A182" s="9"/>
      <c r="B182" s="160"/>
      <c r="C182" s="161"/>
      <c r="D182" s="162"/>
      <c r="E182" s="180"/>
      <c r="F182" s="164"/>
      <c r="G182" s="165"/>
      <c r="H182" s="165"/>
      <c r="I182" s="181"/>
      <c r="J182" s="168"/>
      <c r="K182" s="128"/>
      <c r="L182" s="129"/>
      <c r="M182" s="130"/>
      <c r="N182" s="168"/>
      <c r="O182" s="168"/>
      <c r="P182" s="180"/>
      <c r="Q182" s="168"/>
      <c r="R182" s="168"/>
      <c r="S182" s="128"/>
      <c r="T182" s="130"/>
      <c r="U182" s="130"/>
      <c r="V182" s="168"/>
      <c r="W182" s="168"/>
      <c r="X182" s="180"/>
      <c r="Y182" s="168"/>
      <c r="Z182" s="169"/>
      <c r="AA182" s="168"/>
      <c r="AB182" s="134"/>
      <c r="AC182" s="135"/>
      <c r="AD182" s="135"/>
      <c r="AE182" s="135"/>
      <c r="AF182" s="135" t="str">
        <f aca="false">IF(ISBLANK($C182),"",IF(E182=Constants!$B$2,TRUE(),IF(E182=Constants!$B$3,FALSE(),TRUE())))</f>
        <v/>
      </c>
      <c r="AG182" s="135" t="str">
        <f aca="false">IF(ISBLANK($C182),"",IF(F182=Constants!$B$2,TRUE(),IF(F182=Constants!$B$3,FALSE(),TRUE())))</f>
        <v/>
      </c>
      <c r="AH182" s="135" t="str">
        <f aca="false">IF(ISBLANK($C182),"",IF(G182=Constants!$B$2,TRUE(),IF(G182=Constants!$B$3,FALSE(),TRUE())))</f>
        <v/>
      </c>
      <c r="AI182" s="135" t="str">
        <f aca="false">IF(ISBLANK($C182),"",IF(AND(ISNUMBER(H182),H182&gt;=0),H182,Constants!$B$24))</f>
        <v/>
      </c>
      <c r="AJ182" s="135" t="str">
        <f aca="false">IF(ISBLANK($C182),"",IF(I182=Constants!$B$2,TRUE(),IF(I182=Constants!$B$3,FALSE(),TRUE())))</f>
        <v/>
      </c>
      <c r="AK182" s="135" t="str">
        <f aca="false">IF(ISBLANK($C182),"",IF(J182=Constants!$B$2,TRUE(),IF(J182=Constants!$B$3,FALSE(),TRUE())))</f>
        <v/>
      </c>
      <c r="AL182" s="135" t="str">
        <f aca="false">IF(ISBLANK($C182),"",IF(K182=Constants!$B$4,TRUE(),IF(K182=Constants!$B$5,FALSE(),COUNTA(L182:P182)&gt;0)))</f>
        <v/>
      </c>
      <c r="AM182" s="136" t="str">
        <f aca="false">IF(ISBLANK($C182),"",IF(ISNUMBER(L182),IF(L182&gt;=0,L182,""),""))</f>
        <v/>
      </c>
      <c r="AN182" s="137" t="str">
        <f aca="false">IF(ISBLANK($C182),"",IF(ISNUMBER(M182),IF(M182&gt;=0,M182,""),""))</f>
        <v/>
      </c>
      <c r="AO182" s="137" t="str">
        <f aca="false">IF(ISBLANK($C182),"",IF(N182=Constants!$B$2,TRUE(),IF(N182=Constants!$B$3,FALSE(),TRUE())))</f>
        <v/>
      </c>
      <c r="AP182" s="135" t="str">
        <f aca="false">IF(ISBLANK($C182),"",IF(ISNUMBER(O182),IF(O182&gt;=0,O182,""),""))</f>
        <v/>
      </c>
      <c r="AQ182" s="135" t="str">
        <f aca="false">IF(ISBLANK($C182),"",IF(P182=Constants!$B$2,TRUE(),IF(P182=Constants!$B$3,FALSE(),FALSE())))</f>
        <v/>
      </c>
      <c r="AR182" s="135" t="str">
        <f aca="false">IF(ISBLANK($C182),"",IF(Q182=Constants!$B$2,TRUE(),IF(Q182=Constants!$B$3,FALSE(),TRUE())))</f>
        <v/>
      </c>
      <c r="AS182" s="135" t="str">
        <f aca="false">IF(ISBLANK($C182),"",IF(R182=Constants!$B$2,TRUE(),IF(R182=Constants!$B$3,FALSE(),TRUE())))</f>
        <v/>
      </c>
      <c r="AT182" s="135" t="str">
        <f aca="false">IF(ISBLANK($C182),"",IF(S182=Constants!$B$4,TRUE(),IF(S182=Constants!$B$5,FALSE(),COUNTA(T182:X182)&gt;0)))</f>
        <v/>
      </c>
      <c r="AU182" s="136" t="str">
        <f aca="false">IF(ISBLANK($C182),"",IF(ISNUMBER(T182),IF(T182&gt;=0,T182,""),""))</f>
        <v/>
      </c>
      <c r="AV182" s="137" t="str">
        <f aca="false">IF(ISBLANK($C182),"",IF(ISNUMBER(U182),IF(U182&gt;=0,U182,""),""))</f>
        <v/>
      </c>
      <c r="AW182" s="137" t="str">
        <f aca="false">IF(ISBLANK($C182),"",IF(V182=Constants!$B$2,TRUE(),IF(V182=Constants!$B$3,FALSE(),TRUE())))</f>
        <v/>
      </c>
      <c r="AX182" s="135" t="str">
        <f aca="false">IF(ISBLANK($C182),"",IF(ISNUMBER(W182),IF(W182&gt;=0,W182,""),""))</f>
        <v/>
      </c>
      <c r="AY182" s="135" t="str">
        <f aca="false">IF(ISBLANK($C182),"",IF(X182=Constants!$B$2,TRUE(),IF(X182=Constants!$B$3,FALSE(),FALSE())))</f>
        <v/>
      </c>
      <c r="AZ182" s="135" t="str">
        <f aca="false">IF(ISBLANK($C182),"",MIN(Constants!$B$25,MAX(0,IF(ISNUMBER(Y182),Y182*60,0)+IF(ISNUMBER(Z182),Z182,0))))</f>
        <v/>
      </c>
      <c r="BA182" s="135" t="str">
        <f aca="false">IF(ISBLANK($C182),"",IF(AA182=Constants!$B$2,TRUE(),IF(AA182=Constants!$B$3,FALSE(),FALSE())))</f>
        <v/>
      </c>
      <c r="BB182" s="134" t="str">
        <f aca="false">IF(ISBLANK($C182),"",AND($AL182,OR($AM182="",$AN182="",AND($AO182,$AP182=""))))</f>
        <v/>
      </c>
      <c r="BC182" s="137" t="str">
        <f aca="false">IF($BX182&lt;&gt;Constants!$B$6,"",IF($AL182,Constants!$B$17*$AN182+Constants!$B$18*IF($AO182,$AP182,Constants!$B$19),Constants!$B$20))</f>
        <v/>
      </c>
      <c r="BD182" s="138" t="str">
        <f aca="false">IF($BX182&lt;&gt;Constants!$B$6,"",Constants!$B$21*ABS($AD$9-IF($AL182,$AM182,0)))</f>
        <v/>
      </c>
      <c r="BE182" s="138" t="str">
        <f aca="false">IF($BX182&lt;&gt;Constants!$B$6,"",IF(AND($AL182,$AQ182,$AO182),Constants!$B$22,0))</f>
        <v/>
      </c>
      <c r="BF182" s="138" t="str">
        <f aca="false">IF($BX182&lt;&gt;Constants!$B$6,"",IF($AL182,($AI182-Constants!$B$24)*Constants!$B$23,0))</f>
        <v/>
      </c>
      <c r="BG182" s="138" t="str">
        <f aca="false">IF($BX182&lt;&gt;Constants!$B$6,"",IF($AK182,0,Constants!$B$12)+IF($AJ182,0,Constants!$B$13)+IF($AH182,0,Constants!$B$14))</f>
        <v/>
      </c>
      <c r="BH182" s="139" t="str">
        <f aca="false">IF($BX182&lt;&gt;Constants!$B$6,"",Constants!$B$16+SUM($BC182:$BG182))</f>
        <v/>
      </c>
      <c r="BI182" s="138" t="str">
        <f aca="false">IF($BX182&lt;&gt;Constants!$B$6,"",$BC182)</f>
        <v/>
      </c>
      <c r="BJ182" s="138" t="str">
        <f aca="false">IF($BX182&lt;&gt;Constants!$B$6,"",$BD182)</f>
        <v/>
      </c>
      <c r="BK182" s="140" t="str">
        <f aca="false">IF($BX182&lt;&gt;Constants!$B$6,"",IF($AL182,$AN182,""))</f>
        <v/>
      </c>
      <c r="BL182" s="135" t="str">
        <f aca="false">IF($BX182&lt;&gt;Constants!$B$6,"",IF(OR($BS182&lt;$BH182,AND($BS182=$BH182,OR($BT182&lt;$BI182,AND($BT182=$BI182,OR($BU182&lt;$BJ182,AND($BU182=$BJ182,AND(ISNUMBER($BV182),OR(NOT(ISNUMBER($BK182)),$BV182&lt;$BK182)))))))),"-&gt;","&lt;-"))</f>
        <v/>
      </c>
      <c r="BM182" s="134" t="str">
        <f aca="false">IF(ISBLANK($C182),"",AND($AT182,OR($AU182="",$AV182="",AND($AW182,$AX182=""))))</f>
        <v/>
      </c>
      <c r="BN182" s="137" t="str">
        <f aca="false">IF($BX182&lt;&gt;Constants!$B$6,"",IF($AT182,Constants!$B$17*$AV182+Constants!$B$18*IF($AW182,$AX182,Constants!$B$19),Constants!$B$20))</f>
        <v/>
      </c>
      <c r="BO182" s="138" t="str">
        <f aca="false">IF($BX182&lt;&gt;Constants!$B$6,"",Constants!$B$21*ABS($AD$9-IF($AT182,$AU182,0)))</f>
        <v/>
      </c>
      <c r="BP182" s="138" t="str">
        <f aca="false">IF($BX182&lt;&gt;Constants!$B$6,"",IF(AND($AT182,$AY182,$AW182),Constants!$B$22,0))</f>
        <v/>
      </c>
      <c r="BQ182" s="138" t="str">
        <f aca="false">IF($BX182&lt;&gt;Constants!$B$6,"",IF($AT182,($AI182-Constants!$B$24)*Constants!$B$23,0))</f>
        <v/>
      </c>
      <c r="BR182" s="138" t="str">
        <f aca="false">IF($BX182&lt;&gt;Constants!$B$6,"",IF($AS182,0,Constants!$B$12)+IF($AR182,0,Constants!$B$13)+IF($AH182,0,Constants!$B$14))</f>
        <v/>
      </c>
      <c r="BS182" s="139" t="str">
        <f aca="false">IF($BX182&lt;&gt;Constants!$B$6,"",Constants!$B$16+SUM($BN182:$BR182))</f>
        <v/>
      </c>
      <c r="BT182" s="138" t="str">
        <f aca="false">IF($BX182&lt;&gt;Constants!$B$6,"",$BN182)</f>
        <v/>
      </c>
      <c r="BU182" s="138" t="str">
        <f aca="false">IF($BX182&lt;&gt;Constants!$B$6,"",$BO182)</f>
        <v/>
      </c>
      <c r="BV182" s="140" t="str">
        <f aca="false">IF($BX182&lt;&gt;Constants!$B$6,"",IF($AT182,$AV182,""))</f>
        <v/>
      </c>
      <c r="BW182" s="135" t="str">
        <f aca="false">IF(ISBLANK($C182),"",IF(ISBLANK($D$7),$BW$5,IF(NOT(ISNUMBER($D$7)),$BW$6,"")))</f>
        <v/>
      </c>
      <c r="BX182" s="135" t="str">
        <f aca="false">IF(ISBLANK($C182),"",IF($BA182,Constants!$B$9,IF(COUNTA($E182:$AA182)=0,Constants!$B$8,IF(NOT($AG182),Constants!$B$7,IF(OR($BW182&lt;&gt;"",$BB182,$BM182),Constants!$B$10,Constants!$B$6)))))</f>
        <v/>
      </c>
      <c r="BY182" s="135" t="str">
        <f aca="false">IF(ISBLANK($C182),"",IF($BX182&lt;&gt;Constants!$B$6,$BX182,Constants!$B$11))</f>
        <v/>
      </c>
      <c r="BZ182" s="138" t="str">
        <f aca="false">IF($BX182&lt;&gt;Constants!$B$6,"",IF($BL182="-&gt;",$BS182,$BH182))</f>
        <v/>
      </c>
      <c r="CA182" s="138" t="str">
        <f aca="false">IF($BX182&lt;&gt;Constants!$B$6,"",IF($AF182,0,Constants!$B$15))</f>
        <v/>
      </c>
      <c r="CB182" s="138" t="str">
        <f aca="false">IF($BX182&lt;&gt;Constants!$B$6,"",((Constants!$B$25-$AZ182)-Constants!$B$25)/Constants!$B$26)</f>
        <v/>
      </c>
      <c r="CC182" s="138" t="str">
        <f aca="false">IF(ISBLANK($C182),"",IF($BX182&lt;&gt;Constants!$B$6,$BX182,SUM($BZ182:$CB182)))</f>
        <v/>
      </c>
      <c r="CD182" s="135" t="str">
        <f aca="false">IF(ISBLANK($C182),"",IF($BX182&lt;&gt;Constants!$B$6,$BX182,RANK($CC182,$CC$9:$CC$508,1)))</f>
        <v/>
      </c>
      <c r="CE182" s="138" t="str">
        <f aca="false">IF($BX182&lt;&gt;Constants!$B$6,"",IF($BL182="-&gt;",$BT182,$BI182))</f>
        <v/>
      </c>
      <c r="CF182" s="135" t="str">
        <f aca="false">IF(ISBLANK($C182),"",IF($BX182&lt;&gt;Constants!$B$6,$BX182,IF(ISNUMBER($CE182),RANK($CE182,$CE$9:$CE$508,1),COUNT($CE$9:$CE$508)+1)))</f>
        <v/>
      </c>
      <c r="CG182" s="138" t="str">
        <f aca="false">IF($BX182&lt;&gt;Constants!$B$6,"",IF($BL182="-&gt;",$BU182,$BJ182))</f>
        <v/>
      </c>
      <c r="CH182" s="135" t="str">
        <f aca="false">IF(ISBLANK($C182),"",IF($BX182&lt;&gt;Constants!$B$6,$BX182,IF(ISNUMBER($CG182),RANK($CG182,$CG$9:$CG$508,1),COUNT($CG$9:$CG$508)+1)))</f>
        <v/>
      </c>
      <c r="CI182" s="138" t="str">
        <f aca="false">IF($BX182&lt;&gt;Constants!$B$6,"",IF($BL182="-&gt;",$BV182,$BK182))</f>
        <v/>
      </c>
      <c r="CJ182" s="135" t="str">
        <f aca="false">IF(ISBLANK($C182),"",IF($BX182&lt;&gt;Constants!$B$6,$BX182,IF(ISNUMBER($CI182),RANK($CI182,$CI$9:$CI$508,1),COUNT($CI$9:$CI$508)+1)))</f>
        <v/>
      </c>
      <c r="CK182" s="138" t="str">
        <f aca="false">IF($BX182&lt;&gt;Constants!$B$6,"",$AI182)</f>
        <v/>
      </c>
      <c r="CL182" s="135" t="str">
        <f aca="false">IF(ISBLANK($C182),"",IF($BX182&lt;&gt;Constants!$B$6,$BX182,IF(ISNUMBER($CK182),RANK($CK182,$CK$9:$CK$508,1),COUNT($CK$9:$CK$508)+1)))</f>
        <v/>
      </c>
      <c r="CM182" s="135" t="str">
        <f aca="false">IF(ISBLANK($C182),"",IF($BX182&lt;&gt;Constants!$B$6,$BX182,COUNTIFS($CD$9:$CD$508,"&lt;"&amp;$CD182)+COUNTIFS($CD$9:$CD$508,$CD182,$CF$9:$CF$508,"&lt;"&amp;$CF182)+COUNTIFS($CD$9:$CD$508,$CD182,$CF$9:$CF$508,$CF182,$CH$9:$CH$508,"&lt;"&amp;$CH182)+COUNTIFS($CD$9:$CD$508,$CD182,$CF$9:$CF$508,$CF182,$CH$9:$CH$508,$CH182,$CJ$9:$CJ$508,"&lt;"&amp;$CJ182)+COUNTIFS($CD$9:$CD$508,$CD182,$CF$9:$CF$508,$CF182,$CH$9:$CH$508,$CH182,$CJ$9:$CJ$508,$CJ182,$CL$9:$CL$508,"&lt;"&amp;$CL182)+1))</f>
        <v/>
      </c>
      <c r="CN182" s="135" t="str">
        <f aca="false">IF(ISBLANK($C182),"",IF($BX182&lt;&gt;Constants!$B$6,$BX182,$CD182-$CM182))</f>
        <v/>
      </c>
      <c r="CO182" s="141"/>
      <c r="CP182" s="142"/>
      <c r="CQ182" s="143" t="str">
        <f aca="false">IF(ISBLANK($C182),"",IF($BX182=Constants!$B$10,$BW182,""))</f>
        <v/>
      </c>
      <c r="CR182" s="142" t="str">
        <f aca="false">IF(ISBLANK($C182),"",IF($BX182&lt;&gt;Constants!$B$6,"",IF($BL182="-&gt;",2,1)))</f>
        <v/>
      </c>
      <c r="CS182" s="144" t="str">
        <f aca="false">IF(ISBLANK($C182),"",IF($BX182&lt;&gt;Constants!$B$6,"",IF($BL182="-&gt;",$BN182,$BC182)))</f>
        <v/>
      </c>
      <c r="CT182" s="144" t="str">
        <f aca="false">IF(ISBLANK($C182),"",IF($BX182&lt;&gt;Constants!$B$6,"",IF($BL182="-&gt;",$BO182,$BD182)))</f>
        <v/>
      </c>
      <c r="CU182" s="144" t="str">
        <f aca="false">IF(ISBLANK($C182),"",IF($BX182&lt;&gt;Constants!$B$6,"",IF($BL182="-&gt;",$BP182+$BQ182,$BE182+$BF182)+$CB182))</f>
        <v/>
      </c>
      <c r="CV182" s="144" t="str">
        <f aca="false">IF(ISBLANK($C182),"",IF($BX182&lt;&gt;Constants!$B$6,"",IF($BL182="-&gt;",$BR182,$BG182)+$CA182))</f>
        <v/>
      </c>
      <c r="CW182" s="145" t="str">
        <f aca="false">IF(ISBLANK($C182),"",IF($BX182&lt;&gt;Constants!$B$6,$BX182,$CC182))</f>
        <v/>
      </c>
      <c r="CX182" s="146" t="str">
        <f aca="false">IF(ISBLANK($C182),"",$BY182)</f>
        <v/>
      </c>
      <c r="CY182" s="147" t="str">
        <f aca="false">IF(ISBLANK($C182),"",$CN182)</f>
        <v/>
      </c>
      <c r="CZ182" s="147" t="str">
        <f aca="false">IF(ISBLANK($C182),"",$CM182)</f>
        <v/>
      </c>
      <c r="DA182" s="148" t="str">
        <f aca="false">IF(ISBLANK($C182),"",IFERROR(_xlfn.SWITCH($CZ182,Constants!$B$9,COUNTA($C$9:$C$508)+2,Constants!$B$8,COUNTA($C$9:$C$508)+1,Constants!$B$7,COUNTA($C$9:$C$508)),$CZ182))</f>
        <v/>
      </c>
      <c r="DB182" s="9"/>
      <c r="DC182" s="149" t="n">
        <f aca="false">IF(OR(ISNUMBER($CZ182),$CZ182=Constants!$B$9,$CZ182=Constants!$B$7,$CZ182=Constants!$B$8),1,0)</f>
        <v>0</v>
      </c>
      <c r="DD182" s="149" t="n">
        <v>174</v>
      </c>
      <c r="DE182" s="149" t="str">
        <f aca="false">IF(ISBLANK($C182),"",IF(ISNUMBER($DA182),$DA182+ROW($B182)/1000,""))</f>
        <v/>
      </c>
      <c r="DF182" s="149" t="str">
        <f aca="false">IF(ISNUMBER($DE182),RANK($DE182,$DE$9:$DE$508,1),"")</f>
        <v/>
      </c>
      <c r="DG182" s="149" t="str">
        <f aca="false">IF(ISBLANK($C182),"",$B182)</f>
        <v/>
      </c>
      <c r="DH182" s="149" t="str">
        <f aca="false">IF(ISBLANK($C182),"",$C182)</f>
        <v/>
      </c>
      <c r="DI182" s="149" t="str">
        <f aca="false">IF(ISBLANK($C182),"",$D182)</f>
        <v/>
      </c>
      <c r="DJ182" s="150" t="str">
        <f aca="false">$CX182</f>
        <v/>
      </c>
      <c r="DK182" s="151" t="str">
        <f aca="false">$CW182</f>
        <v/>
      </c>
      <c r="DL182" s="149" t="str">
        <f aca="false">IF(ISBLANK($C182),"",$CZ182)</f>
        <v/>
      </c>
      <c r="DM182" s="152" t="str">
        <f aca="false">IF($DD182&gt;$DC$8,"",VLOOKUP($DD182,$DF$9:$DL$508,7,FALSE()))</f>
        <v/>
      </c>
      <c r="DN182" s="153" t="str">
        <f aca="false">IF($DD182&gt;$DC$8,"",VLOOKUP($DD182,$DF$9:$DL$508,2,FALSE()))</f>
        <v/>
      </c>
      <c r="DO182" s="153" t="str">
        <f aca="false">IF($DD182&gt;$DC$8,"",VLOOKUP($DD182,$DF$9:$DL$508,3,FALSE()))</f>
        <v/>
      </c>
      <c r="DP182" s="153" t="str">
        <f aca="false">IF($DD182&gt;$DC$8,"",VLOOKUP($DD182,$DF$9:$DL$508,4,FALSE()))</f>
        <v/>
      </c>
      <c r="DQ182" s="153" t="str">
        <f aca="false">IF($DD182&gt;$DC$8,"",VLOOKUP($DD182,$DF$9:$DL$508,5,FALSE()))</f>
        <v/>
      </c>
      <c r="DR182" s="154" t="str">
        <f aca="false">IF($DD182&gt;$DC$8,"",VLOOKUP($DD182,$DF$9:$DL$508,6,FALSE()))</f>
        <v/>
      </c>
      <c r="DS182" s="76"/>
    </row>
    <row r="183" customFormat="false" ht="15.75" hidden="false" customHeight="false" outlineLevel="0" collapsed="false">
      <c r="A183" s="9"/>
      <c r="B183" s="78"/>
      <c r="C183" s="79"/>
      <c r="D183" s="170"/>
      <c r="E183" s="178"/>
      <c r="F183" s="172"/>
      <c r="G183" s="173"/>
      <c r="H183" s="173"/>
      <c r="I183" s="179"/>
      <c r="J183" s="176"/>
      <c r="K183" s="86"/>
      <c r="L183" s="87"/>
      <c r="M183" s="88"/>
      <c r="N183" s="176"/>
      <c r="O183" s="176"/>
      <c r="P183" s="178"/>
      <c r="Q183" s="176"/>
      <c r="R183" s="176"/>
      <c r="S183" s="86"/>
      <c r="T183" s="88"/>
      <c r="U183" s="88"/>
      <c r="V183" s="176"/>
      <c r="W183" s="176"/>
      <c r="X183" s="178"/>
      <c r="Y183" s="176"/>
      <c r="Z183" s="177"/>
      <c r="AA183" s="176"/>
      <c r="AB183" s="92"/>
      <c r="AC183" s="93"/>
      <c r="AD183" s="93"/>
      <c r="AE183" s="93"/>
      <c r="AF183" s="93" t="str">
        <f aca="false">IF(ISBLANK($C183),"",IF(E183=Constants!$B$2,TRUE(),IF(E183=Constants!$B$3,FALSE(),TRUE())))</f>
        <v/>
      </c>
      <c r="AG183" s="93" t="str">
        <f aca="false">IF(ISBLANK($C183),"",IF(F183=Constants!$B$2,TRUE(),IF(F183=Constants!$B$3,FALSE(),TRUE())))</f>
        <v/>
      </c>
      <c r="AH183" s="93" t="str">
        <f aca="false">IF(ISBLANK($C183),"",IF(G183=Constants!$B$2,TRUE(),IF(G183=Constants!$B$3,FALSE(),TRUE())))</f>
        <v/>
      </c>
      <c r="AI183" s="93" t="str">
        <f aca="false">IF(ISBLANK($C183),"",IF(AND(ISNUMBER(H183),H183&gt;=0),H183,Constants!$B$24))</f>
        <v/>
      </c>
      <c r="AJ183" s="93" t="str">
        <f aca="false">IF(ISBLANK($C183),"",IF(I183=Constants!$B$2,TRUE(),IF(I183=Constants!$B$3,FALSE(),TRUE())))</f>
        <v/>
      </c>
      <c r="AK183" s="93" t="str">
        <f aca="false">IF(ISBLANK($C183),"",IF(J183=Constants!$B$2,TRUE(),IF(J183=Constants!$B$3,FALSE(),TRUE())))</f>
        <v/>
      </c>
      <c r="AL183" s="93" t="str">
        <f aca="false">IF(ISBLANK($C183),"",IF(K183=Constants!$B$4,TRUE(),IF(K183=Constants!$B$5,FALSE(),COUNTA(L183:P183)&gt;0)))</f>
        <v/>
      </c>
      <c r="AM183" s="95" t="str">
        <f aca="false">IF(ISBLANK($C183),"",IF(ISNUMBER(L183),IF(L183&gt;=0,L183,""),""))</f>
        <v/>
      </c>
      <c r="AN183" s="94" t="str">
        <f aca="false">IF(ISBLANK($C183),"",IF(ISNUMBER(M183),IF(M183&gt;=0,M183,""),""))</f>
        <v/>
      </c>
      <c r="AO183" s="94" t="str">
        <f aca="false">IF(ISBLANK($C183),"",IF(N183=Constants!$B$2,TRUE(),IF(N183=Constants!$B$3,FALSE(),TRUE())))</f>
        <v/>
      </c>
      <c r="AP183" s="93" t="str">
        <f aca="false">IF(ISBLANK($C183),"",IF(ISNUMBER(O183),IF(O183&gt;=0,O183,""),""))</f>
        <v/>
      </c>
      <c r="AQ183" s="93" t="str">
        <f aca="false">IF(ISBLANK($C183),"",IF(P183=Constants!$B$2,TRUE(),IF(P183=Constants!$B$3,FALSE(),FALSE())))</f>
        <v/>
      </c>
      <c r="AR183" s="93" t="str">
        <f aca="false">IF(ISBLANK($C183),"",IF(Q183=Constants!$B$2,TRUE(),IF(Q183=Constants!$B$3,FALSE(),TRUE())))</f>
        <v/>
      </c>
      <c r="AS183" s="93" t="str">
        <f aca="false">IF(ISBLANK($C183),"",IF(R183=Constants!$B$2,TRUE(),IF(R183=Constants!$B$3,FALSE(),TRUE())))</f>
        <v/>
      </c>
      <c r="AT183" s="93" t="str">
        <f aca="false">IF(ISBLANK($C183),"",IF(S183=Constants!$B$4,TRUE(),IF(S183=Constants!$B$5,FALSE(),COUNTA(T183:X183)&gt;0)))</f>
        <v/>
      </c>
      <c r="AU183" s="95" t="str">
        <f aca="false">IF(ISBLANK($C183),"",IF(ISNUMBER(T183),IF(T183&gt;=0,T183,""),""))</f>
        <v/>
      </c>
      <c r="AV183" s="94" t="str">
        <f aca="false">IF(ISBLANK($C183),"",IF(ISNUMBER(U183),IF(U183&gt;=0,U183,""),""))</f>
        <v/>
      </c>
      <c r="AW183" s="94" t="str">
        <f aca="false">IF(ISBLANK($C183),"",IF(V183=Constants!$B$2,TRUE(),IF(V183=Constants!$B$3,FALSE(),TRUE())))</f>
        <v/>
      </c>
      <c r="AX183" s="93" t="str">
        <f aca="false">IF(ISBLANK($C183),"",IF(ISNUMBER(W183),IF(W183&gt;=0,W183,""),""))</f>
        <v/>
      </c>
      <c r="AY183" s="93" t="str">
        <f aca="false">IF(ISBLANK($C183),"",IF(X183=Constants!$B$2,TRUE(),IF(X183=Constants!$B$3,FALSE(),FALSE())))</f>
        <v/>
      </c>
      <c r="AZ183" s="93" t="str">
        <f aca="false">IF(ISBLANK($C183),"",MIN(Constants!$B$25,MAX(0,IF(ISNUMBER(Y183),Y183*60,0)+IF(ISNUMBER(Z183),Z183,0))))</f>
        <v/>
      </c>
      <c r="BA183" s="93" t="str">
        <f aca="false">IF(ISBLANK($C183),"",IF(AA183=Constants!$B$2,TRUE(),IF(AA183=Constants!$B$3,FALSE(),FALSE())))</f>
        <v/>
      </c>
      <c r="BB183" s="92" t="str">
        <f aca="false">IF(ISBLANK($C183),"",AND($AL183,OR($AM183="",$AN183="",AND($AO183,$AP183=""))))</f>
        <v/>
      </c>
      <c r="BC183" s="94" t="str">
        <f aca="false">IF($BX183&lt;&gt;Constants!$B$6,"",IF($AL183,Constants!$B$17*$AN183+Constants!$B$18*IF($AO183,$AP183,Constants!$B$19),Constants!$B$20))</f>
        <v/>
      </c>
      <c r="BD183" s="97" t="str">
        <f aca="false">IF($BX183&lt;&gt;Constants!$B$6,"",Constants!$B$21*ABS($AD$9-IF($AL183,$AM183,0)))</f>
        <v/>
      </c>
      <c r="BE183" s="97" t="str">
        <f aca="false">IF($BX183&lt;&gt;Constants!$B$6,"",IF(AND($AL183,$AQ183,$AO183),Constants!$B$22,0))</f>
        <v/>
      </c>
      <c r="BF183" s="97" t="str">
        <f aca="false">IF($BX183&lt;&gt;Constants!$B$6,"",IF($AL183,($AI183-Constants!$B$24)*Constants!$B$23,0))</f>
        <v/>
      </c>
      <c r="BG183" s="97" t="str">
        <f aca="false">IF($BX183&lt;&gt;Constants!$B$6,"",IF($AK183,0,Constants!$B$12)+IF($AJ183,0,Constants!$B$13)+IF($AH183,0,Constants!$B$14))</f>
        <v/>
      </c>
      <c r="BH183" s="98" t="str">
        <f aca="false">IF($BX183&lt;&gt;Constants!$B$6,"",Constants!$B$16+SUM($BC183:$BG183))</f>
        <v/>
      </c>
      <c r="BI183" s="97" t="str">
        <f aca="false">IF($BX183&lt;&gt;Constants!$B$6,"",$BC183)</f>
        <v/>
      </c>
      <c r="BJ183" s="97" t="str">
        <f aca="false">IF($BX183&lt;&gt;Constants!$B$6,"",$BD183)</f>
        <v/>
      </c>
      <c r="BK183" s="99" t="str">
        <f aca="false">IF($BX183&lt;&gt;Constants!$B$6,"",IF($AL183,$AN183,""))</f>
        <v/>
      </c>
      <c r="BL183" s="93" t="str">
        <f aca="false">IF($BX183&lt;&gt;Constants!$B$6,"",IF(OR($BS183&lt;$BH183,AND($BS183=$BH183,OR($BT183&lt;$BI183,AND($BT183=$BI183,OR($BU183&lt;$BJ183,AND($BU183=$BJ183,AND(ISNUMBER($BV183),OR(NOT(ISNUMBER($BK183)),$BV183&lt;$BK183)))))))),"-&gt;","&lt;-"))</f>
        <v/>
      </c>
      <c r="BM183" s="92" t="str">
        <f aca="false">IF(ISBLANK($C183),"",AND($AT183,OR($AU183="",$AV183="",AND($AW183,$AX183=""))))</f>
        <v/>
      </c>
      <c r="BN183" s="94" t="str">
        <f aca="false">IF($BX183&lt;&gt;Constants!$B$6,"",IF($AT183,Constants!$B$17*$AV183+Constants!$B$18*IF($AW183,$AX183,Constants!$B$19),Constants!$B$20))</f>
        <v/>
      </c>
      <c r="BO183" s="97" t="str">
        <f aca="false">IF($BX183&lt;&gt;Constants!$B$6,"",Constants!$B$21*ABS($AD$9-IF($AT183,$AU183,0)))</f>
        <v/>
      </c>
      <c r="BP183" s="97" t="str">
        <f aca="false">IF($BX183&lt;&gt;Constants!$B$6,"",IF(AND($AT183,$AY183,$AW183),Constants!$B$22,0))</f>
        <v/>
      </c>
      <c r="BQ183" s="97" t="str">
        <f aca="false">IF($BX183&lt;&gt;Constants!$B$6,"",IF($AT183,($AI183-Constants!$B$24)*Constants!$B$23,0))</f>
        <v/>
      </c>
      <c r="BR183" s="97" t="str">
        <f aca="false">IF($BX183&lt;&gt;Constants!$B$6,"",IF($AS183,0,Constants!$B$12)+IF($AR183,0,Constants!$B$13)+IF($AH183,0,Constants!$B$14))</f>
        <v/>
      </c>
      <c r="BS183" s="98" t="str">
        <f aca="false">IF($BX183&lt;&gt;Constants!$B$6,"",Constants!$B$16+SUM($BN183:$BR183))</f>
        <v/>
      </c>
      <c r="BT183" s="97" t="str">
        <f aca="false">IF($BX183&lt;&gt;Constants!$B$6,"",$BN183)</f>
        <v/>
      </c>
      <c r="BU183" s="97" t="str">
        <f aca="false">IF($BX183&lt;&gt;Constants!$B$6,"",$BO183)</f>
        <v/>
      </c>
      <c r="BV183" s="99" t="str">
        <f aca="false">IF($BX183&lt;&gt;Constants!$B$6,"",IF($AT183,$AV183,""))</f>
        <v/>
      </c>
      <c r="BW183" s="93" t="str">
        <f aca="false">IF(ISBLANK($C183),"",IF(ISBLANK($D$7),$BW$5,IF(NOT(ISNUMBER($D$7)),$BW$6,"")))</f>
        <v/>
      </c>
      <c r="BX183" s="93" t="str">
        <f aca="false">IF(ISBLANK($C183),"",IF($BA183,Constants!$B$9,IF(COUNTA($E183:$AA183)=0,Constants!$B$8,IF(NOT($AG183),Constants!$B$7,IF(OR($BW183&lt;&gt;"",$BB183,$BM183),Constants!$B$10,Constants!$B$6)))))</f>
        <v/>
      </c>
      <c r="BY183" s="93" t="str">
        <f aca="false">IF(ISBLANK($C183),"",IF($BX183&lt;&gt;Constants!$B$6,$BX183,Constants!$B$11))</f>
        <v/>
      </c>
      <c r="BZ183" s="97" t="str">
        <f aca="false">IF($BX183&lt;&gt;Constants!$B$6,"",IF($BL183="-&gt;",$BS183,$BH183))</f>
        <v/>
      </c>
      <c r="CA183" s="97" t="str">
        <f aca="false">IF($BX183&lt;&gt;Constants!$B$6,"",IF($AF183,0,Constants!$B$15))</f>
        <v/>
      </c>
      <c r="CB183" s="97" t="str">
        <f aca="false">IF($BX183&lt;&gt;Constants!$B$6,"",((Constants!$B$25-$AZ183)-Constants!$B$25)/Constants!$B$26)</f>
        <v/>
      </c>
      <c r="CC183" s="97" t="str">
        <f aca="false">IF(ISBLANK($C183),"",IF($BX183&lt;&gt;Constants!$B$6,$BX183,SUM($BZ183:$CB183)))</f>
        <v/>
      </c>
      <c r="CD183" s="93" t="str">
        <f aca="false">IF(ISBLANK($C183),"",IF($BX183&lt;&gt;Constants!$B$6,$BX183,RANK($CC183,$CC$9:$CC$508,1)))</f>
        <v/>
      </c>
      <c r="CE183" s="97" t="str">
        <f aca="false">IF($BX183&lt;&gt;Constants!$B$6,"",IF($BL183="-&gt;",$BT183,$BI183))</f>
        <v/>
      </c>
      <c r="CF183" s="93" t="str">
        <f aca="false">IF(ISBLANK($C183),"",IF($BX183&lt;&gt;Constants!$B$6,$BX183,IF(ISNUMBER($CE183),RANK($CE183,$CE$9:$CE$508,1),COUNT($CE$9:$CE$508)+1)))</f>
        <v/>
      </c>
      <c r="CG183" s="97" t="str">
        <f aca="false">IF($BX183&lt;&gt;Constants!$B$6,"",IF($BL183="-&gt;",$BU183,$BJ183))</f>
        <v/>
      </c>
      <c r="CH183" s="93" t="str">
        <f aca="false">IF(ISBLANK($C183),"",IF($BX183&lt;&gt;Constants!$B$6,$BX183,IF(ISNUMBER($CG183),RANK($CG183,$CG$9:$CG$508,1),COUNT($CG$9:$CG$508)+1)))</f>
        <v/>
      </c>
      <c r="CI183" s="97" t="str">
        <f aca="false">IF($BX183&lt;&gt;Constants!$B$6,"",IF($BL183="-&gt;",$BV183,$BK183))</f>
        <v/>
      </c>
      <c r="CJ183" s="93" t="str">
        <f aca="false">IF(ISBLANK($C183),"",IF($BX183&lt;&gt;Constants!$B$6,$BX183,IF(ISNUMBER($CI183),RANK($CI183,$CI$9:$CI$508,1),COUNT($CI$9:$CI$508)+1)))</f>
        <v/>
      </c>
      <c r="CK183" s="97" t="str">
        <f aca="false">IF($BX183&lt;&gt;Constants!$B$6,"",$AI183)</f>
        <v/>
      </c>
      <c r="CL183" s="93" t="str">
        <f aca="false">IF(ISBLANK($C183),"",IF($BX183&lt;&gt;Constants!$B$6,$BX183,IF(ISNUMBER($CK183),RANK($CK183,$CK$9:$CK$508,1),COUNT($CK$9:$CK$508)+1)))</f>
        <v/>
      </c>
      <c r="CM183" s="93" t="str">
        <f aca="false">IF(ISBLANK($C183),"",IF($BX183&lt;&gt;Constants!$B$6,$BX183,COUNTIFS($CD$9:$CD$508,"&lt;"&amp;$CD183)+COUNTIFS($CD$9:$CD$508,$CD183,$CF$9:$CF$508,"&lt;"&amp;$CF183)+COUNTIFS($CD$9:$CD$508,$CD183,$CF$9:$CF$508,$CF183,$CH$9:$CH$508,"&lt;"&amp;$CH183)+COUNTIFS($CD$9:$CD$508,$CD183,$CF$9:$CF$508,$CF183,$CH$9:$CH$508,$CH183,$CJ$9:$CJ$508,"&lt;"&amp;$CJ183)+COUNTIFS($CD$9:$CD$508,$CD183,$CF$9:$CF$508,$CF183,$CH$9:$CH$508,$CH183,$CJ$9:$CJ$508,$CJ183,$CL$9:$CL$508,"&lt;"&amp;$CL183)+1))</f>
        <v/>
      </c>
      <c r="CN183" s="93" t="str">
        <f aca="false">IF(ISBLANK($C183),"",IF($BX183&lt;&gt;Constants!$B$6,$BX183,$CD183-$CM183))</f>
        <v/>
      </c>
      <c r="CO183" s="100"/>
      <c r="CP183" s="101"/>
      <c r="CQ183" s="102" t="str">
        <f aca="false">IF(ISBLANK($C183),"",IF($BX183=Constants!$B$10,$BW183,""))</f>
        <v/>
      </c>
      <c r="CR183" s="101" t="str">
        <f aca="false">IF(ISBLANK($C183),"",IF($BX183&lt;&gt;Constants!$B$6,"",IF($BL183="-&gt;",2,1)))</f>
        <v/>
      </c>
      <c r="CS183" s="103" t="str">
        <f aca="false">IF(ISBLANK($C183),"",IF($BX183&lt;&gt;Constants!$B$6,"",IF($BL183="-&gt;",$BN183,$BC183)))</f>
        <v/>
      </c>
      <c r="CT183" s="103" t="str">
        <f aca="false">IF(ISBLANK($C183),"",IF($BX183&lt;&gt;Constants!$B$6,"",IF($BL183="-&gt;",$BO183,$BD183)))</f>
        <v/>
      </c>
      <c r="CU183" s="103" t="str">
        <f aca="false">IF(ISBLANK($C183),"",IF($BX183&lt;&gt;Constants!$B$6,"",IF($BL183="-&gt;",$BP183+$BQ183,$BE183+$BF183)+$CB183))</f>
        <v/>
      </c>
      <c r="CV183" s="103" t="str">
        <f aca="false">IF(ISBLANK($C183),"",IF($BX183&lt;&gt;Constants!$B$6,"",IF($BL183="-&gt;",$BR183,$BG183)+$CA183))</f>
        <v/>
      </c>
      <c r="CW183" s="104" t="str">
        <f aca="false">IF(ISBLANK($C183),"",IF($BX183&lt;&gt;Constants!$B$6,$BX183,$CC183))</f>
        <v/>
      </c>
      <c r="CX183" s="105" t="str">
        <f aca="false">IF(ISBLANK($C183),"",$BY183)</f>
        <v/>
      </c>
      <c r="CY183" s="106" t="str">
        <f aca="false">IF(ISBLANK($C183),"",$CN183)</f>
        <v/>
      </c>
      <c r="CZ183" s="106" t="str">
        <f aca="false">IF(ISBLANK($C183),"",$CM183)</f>
        <v/>
      </c>
      <c r="DA183" s="107" t="str">
        <f aca="false">IF(ISBLANK($C183),"",IFERROR(_xlfn.SWITCH($CZ183,Constants!$B$9,COUNTA($C$9:$C$508)+2,Constants!$B$8,COUNTA($C$9:$C$508)+1,Constants!$B$7,COUNTA($C$9:$C$508)),$CZ183))</f>
        <v/>
      </c>
      <c r="DB183" s="9"/>
      <c r="DC183" s="108" t="n">
        <f aca="false">IF(OR(ISNUMBER($CZ183),$CZ183=Constants!$B$9,$CZ183=Constants!$B$7,$CZ183=Constants!$B$8),1,0)</f>
        <v>0</v>
      </c>
      <c r="DD183" s="108" t="n">
        <v>175</v>
      </c>
      <c r="DE183" s="108" t="str">
        <f aca="false">IF(ISBLANK($C183),"",IF(ISNUMBER($DA183),$DA183+ROW($B183)/1000,""))</f>
        <v/>
      </c>
      <c r="DF183" s="108" t="str">
        <f aca="false">IF(ISNUMBER($DE183),RANK($DE183,$DE$9:$DE$508,1),"")</f>
        <v/>
      </c>
      <c r="DG183" s="108" t="str">
        <f aca="false">IF(ISBLANK($C183),"",$B183)</f>
        <v/>
      </c>
      <c r="DH183" s="108" t="str">
        <f aca="false">IF(ISBLANK($C183),"",$C183)</f>
        <v/>
      </c>
      <c r="DI183" s="108" t="str">
        <f aca="false">IF(ISBLANK($C183),"",$D183)</f>
        <v/>
      </c>
      <c r="DJ183" s="109" t="str">
        <f aca="false">$CX183</f>
        <v/>
      </c>
      <c r="DK183" s="110" t="str">
        <f aca="false">$CW183</f>
        <v/>
      </c>
      <c r="DL183" s="108" t="str">
        <f aca="false">IF(ISBLANK($C183),"",$CZ183)</f>
        <v/>
      </c>
      <c r="DM183" s="111" t="str">
        <f aca="false">IF($DD183&gt;$DC$8,"",VLOOKUP($DD183,$DF$9:$DL$508,7,FALSE()))</f>
        <v/>
      </c>
      <c r="DN183" s="112" t="str">
        <f aca="false">IF($DD183&gt;$DC$8,"",VLOOKUP($DD183,$DF$9:$DL$508,2,FALSE()))</f>
        <v/>
      </c>
      <c r="DO183" s="112" t="str">
        <f aca="false">IF($DD183&gt;$DC$8,"",VLOOKUP($DD183,$DF$9:$DL$508,3,FALSE()))</f>
        <v/>
      </c>
      <c r="DP183" s="112" t="str">
        <f aca="false">IF($DD183&gt;$DC$8,"",VLOOKUP($DD183,$DF$9:$DL$508,4,FALSE()))</f>
        <v/>
      </c>
      <c r="DQ183" s="112" t="str">
        <f aca="false">IF($DD183&gt;$DC$8,"",VLOOKUP($DD183,$DF$9:$DL$508,5,FALSE()))</f>
        <v/>
      </c>
      <c r="DR183" s="113" t="str">
        <f aca="false">IF($DD183&gt;$DC$8,"",VLOOKUP($DD183,$DF$9:$DL$508,6,FALSE()))</f>
        <v/>
      </c>
      <c r="DS183" s="76"/>
    </row>
    <row r="184" customFormat="false" ht="15.75" hidden="false" customHeight="false" outlineLevel="0" collapsed="false">
      <c r="A184" s="9"/>
      <c r="B184" s="78"/>
      <c r="C184" s="79"/>
      <c r="D184" s="170"/>
      <c r="E184" s="178"/>
      <c r="F184" s="172"/>
      <c r="G184" s="173"/>
      <c r="H184" s="173"/>
      <c r="I184" s="179"/>
      <c r="J184" s="176"/>
      <c r="K184" s="86"/>
      <c r="L184" s="87"/>
      <c r="M184" s="88"/>
      <c r="N184" s="176"/>
      <c r="O184" s="176"/>
      <c r="P184" s="178"/>
      <c r="Q184" s="176"/>
      <c r="R184" s="176"/>
      <c r="S184" s="86"/>
      <c r="T184" s="88"/>
      <c r="U184" s="88"/>
      <c r="V184" s="176"/>
      <c r="W184" s="176"/>
      <c r="X184" s="178"/>
      <c r="Y184" s="176"/>
      <c r="Z184" s="177"/>
      <c r="AA184" s="176"/>
      <c r="AB184" s="92"/>
      <c r="AC184" s="93"/>
      <c r="AD184" s="93"/>
      <c r="AE184" s="93"/>
      <c r="AF184" s="93" t="str">
        <f aca="false">IF(ISBLANK($C184),"",IF(E184=Constants!$B$2,TRUE(),IF(E184=Constants!$B$3,FALSE(),TRUE())))</f>
        <v/>
      </c>
      <c r="AG184" s="93" t="str">
        <f aca="false">IF(ISBLANK($C184),"",IF(F184=Constants!$B$2,TRUE(),IF(F184=Constants!$B$3,FALSE(),TRUE())))</f>
        <v/>
      </c>
      <c r="AH184" s="93" t="str">
        <f aca="false">IF(ISBLANK($C184),"",IF(G184=Constants!$B$2,TRUE(),IF(G184=Constants!$B$3,FALSE(),TRUE())))</f>
        <v/>
      </c>
      <c r="AI184" s="93" t="str">
        <f aca="false">IF(ISBLANK($C184),"",IF(AND(ISNUMBER(H184),H184&gt;=0),H184,Constants!$B$24))</f>
        <v/>
      </c>
      <c r="AJ184" s="93" t="str">
        <f aca="false">IF(ISBLANK($C184),"",IF(I184=Constants!$B$2,TRUE(),IF(I184=Constants!$B$3,FALSE(),TRUE())))</f>
        <v/>
      </c>
      <c r="AK184" s="93" t="str">
        <f aca="false">IF(ISBLANK($C184),"",IF(J184=Constants!$B$2,TRUE(),IF(J184=Constants!$B$3,FALSE(),TRUE())))</f>
        <v/>
      </c>
      <c r="AL184" s="93" t="str">
        <f aca="false">IF(ISBLANK($C184),"",IF(K184=Constants!$B$4,TRUE(),IF(K184=Constants!$B$5,FALSE(),COUNTA(L184:P184)&gt;0)))</f>
        <v/>
      </c>
      <c r="AM184" s="95" t="str">
        <f aca="false">IF(ISBLANK($C184),"",IF(ISNUMBER(L184),IF(L184&gt;=0,L184,""),""))</f>
        <v/>
      </c>
      <c r="AN184" s="94" t="str">
        <f aca="false">IF(ISBLANK($C184),"",IF(ISNUMBER(M184),IF(M184&gt;=0,M184,""),""))</f>
        <v/>
      </c>
      <c r="AO184" s="94" t="str">
        <f aca="false">IF(ISBLANK($C184),"",IF(N184=Constants!$B$2,TRUE(),IF(N184=Constants!$B$3,FALSE(),TRUE())))</f>
        <v/>
      </c>
      <c r="AP184" s="93" t="str">
        <f aca="false">IF(ISBLANK($C184),"",IF(ISNUMBER(O184),IF(O184&gt;=0,O184,""),""))</f>
        <v/>
      </c>
      <c r="AQ184" s="93" t="str">
        <f aca="false">IF(ISBLANK($C184),"",IF(P184=Constants!$B$2,TRUE(),IF(P184=Constants!$B$3,FALSE(),FALSE())))</f>
        <v/>
      </c>
      <c r="AR184" s="93" t="str">
        <f aca="false">IF(ISBLANK($C184),"",IF(Q184=Constants!$B$2,TRUE(),IF(Q184=Constants!$B$3,FALSE(),TRUE())))</f>
        <v/>
      </c>
      <c r="AS184" s="93" t="str">
        <f aca="false">IF(ISBLANK($C184),"",IF(R184=Constants!$B$2,TRUE(),IF(R184=Constants!$B$3,FALSE(),TRUE())))</f>
        <v/>
      </c>
      <c r="AT184" s="93" t="str">
        <f aca="false">IF(ISBLANK($C184),"",IF(S184=Constants!$B$4,TRUE(),IF(S184=Constants!$B$5,FALSE(),COUNTA(T184:X184)&gt;0)))</f>
        <v/>
      </c>
      <c r="AU184" s="95" t="str">
        <f aca="false">IF(ISBLANK($C184),"",IF(ISNUMBER(T184),IF(T184&gt;=0,T184,""),""))</f>
        <v/>
      </c>
      <c r="AV184" s="94" t="str">
        <f aca="false">IF(ISBLANK($C184),"",IF(ISNUMBER(U184),IF(U184&gt;=0,U184,""),""))</f>
        <v/>
      </c>
      <c r="AW184" s="94" t="str">
        <f aca="false">IF(ISBLANK($C184),"",IF(V184=Constants!$B$2,TRUE(),IF(V184=Constants!$B$3,FALSE(),TRUE())))</f>
        <v/>
      </c>
      <c r="AX184" s="93" t="str">
        <f aca="false">IF(ISBLANK($C184),"",IF(ISNUMBER(W184),IF(W184&gt;=0,W184,""),""))</f>
        <v/>
      </c>
      <c r="AY184" s="93" t="str">
        <f aca="false">IF(ISBLANK($C184),"",IF(X184=Constants!$B$2,TRUE(),IF(X184=Constants!$B$3,FALSE(),FALSE())))</f>
        <v/>
      </c>
      <c r="AZ184" s="93" t="str">
        <f aca="false">IF(ISBLANK($C184),"",MIN(Constants!$B$25,MAX(0,IF(ISNUMBER(Y184),Y184*60,0)+IF(ISNUMBER(Z184),Z184,0))))</f>
        <v/>
      </c>
      <c r="BA184" s="93" t="str">
        <f aca="false">IF(ISBLANK($C184),"",IF(AA184=Constants!$B$2,TRUE(),IF(AA184=Constants!$B$3,FALSE(),FALSE())))</f>
        <v/>
      </c>
      <c r="BB184" s="92" t="str">
        <f aca="false">IF(ISBLANK($C184),"",AND($AL184,OR($AM184="",$AN184="",AND($AO184,$AP184=""))))</f>
        <v/>
      </c>
      <c r="BC184" s="94" t="str">
        <f aca="false">IF($BX184&lt;&gt;Constants!$B$6,"",IF($AL184,Constants!$B$17*$AN184+Constants!$B$18*IF($AO184,$AP184,Constants!$B$19),Constants!$B$20))</f>
        <v/>
      </c>
      <c r="BD184" s="97" t="str">
        <f aca="false">IF($BX184&lt;&gt;Constants!$B$6,"",Constants!$B$21*ABS($AD$9-IF($AL184,$AM184,0)))</f>
        <v/>
      </c>
      <c r="BE184" s="97" t="str">
        <f aca="false">IF($BX184&lt;&gt;Constants!$B$6,"",IF(AND($AL184,$AQ184,$AO184),Constants!$B$22,0))</f>
        <v/>
      </c>
      <c r="BF184" s="97" t="str">
        <f aca="false">IF($BX184&lt;&gt;Constants!$B$6,"",IF($AL184,($AI184-Constants!$B$24)*Constants!$B$23,0))</f>
        <v/>
      </c>
      <c r="BG184" s="97" t="str">
        <f aca="false">IF($BX184&lt;&gt;Constants!$B$6,"",IF($AK184,0,Constants!$B$12)+IF($AJ184,0,Constants!$B$13)+IF($AH184,0,Constants!$B$14))</f>
        <v/>
      </c>
      <c r="BH184" s="98" t="str">
        <f aca="false">IF($BX184&lt;&gt;Constants!$B$6,"",Constants!$B$16+SUM($BC184:$BG184))</f>
        <v/>
      </c>
      <c r="BI184" s="97" t="str">
        <f aca="false">IF($BX184&lt;&gt;Constants!$B$6,"",$BC184)</f>
        <v/>
      </c>
      <c r="BJ184" s="97" t="str">
        <f aca="false">IF($BX184&lt;&gt;Constants!$B$6,"",$BD184)</f>
        <v/>
      </c>
      <c r="BK184" s="99" t="str">
        <f aca="false">IF($BX184&lt;&gt;Constants!$B$6,"",IF($AL184,$AN184,""))</f>
        <v/>
      </c>
      <c r="BL184" s="93" t="str">
        <f aca="false">IF($BX184&lt;&gt;Constants!$B$6,"",IF(OR($BS184&lt;$BH184,AND($BS184=$BH184,OR($BT184&lt;$BI184,AND($BT184=$BI184,OR($BU184&lt;$BJ184,AND($BU184=$BJ184,AND(ISNUMBER($BV184),OR(NOT(ISNUMBER($BK184)),$BV184&lt;$BK184)))))))),"-&gt;","&lt;-"))</f>
        <v/>
      </c>
      <c r="BM184" s="92" t="str">
        <f aca="false">IF(ISBLANK($C184),"",AND($AT184,OR($AU184="",$AV184="",AND($AW184,$AX184=""))))</f>
        <v/>
      </c>
      <c r="BN184" s="94" t="str">
        <f aca="false">IF($BX184&lt;&gt;Constants!$B$6,"",IF($AT184,Constants!$B$17*$AV184+Constants!$B$18*IF($AW184,$AX184,Constants!$B$19),Constants!$B$20))</f>
        <v/>
      </c>
      <c r="BO184" s="97" t="str">
        <f aca="false">IF($BX184&lt;&gt;Constants!$B$6,"",Constants!$B$21*ABS($AD$9-IF($AT184,$AU184,0)))</f>
        <v/>
      </c>
      <c r="BP184" s="97" t="str">
        <f aca="false">IF($BX184&lt;&gt;Constants!$B$6,"",IF(AND($AT184,$AY184,$AW184),Constants!$B$22,0))</f>
        <v/>
      </c>
      <c r="BQ184" s="97" t="str">
        <f aca="false">IF($BX184&lt;&gt;Constants!$B$6,"",IF($AT184,($AI184-Constants!$B$24)*Constants!$B$23,0))</f>
        <v/>
      </c>
      <c r="BR184" s="97" t="str">
        <f aca="false">IF($BX184&lt;&gt;Constants!$B$6,"",IF($AS184,0,Constants!$B$12)+IF($AR184,0,Constants!$B$13)+IF($AH184,0,Constants!$B$14))</f>
        <v/>
      </c>
      <c r="BS184" s="98" t="str">
        <f aca="false">IF($BX184&lt;&gt;Constants!$B$6,"",Constants!$B$16+SUM($BN184:$BR184))</f>
        <v/>
      </c>
      <c r="BT184" s="97" t="str">
        <f aca="false">IF($BX184&lt;&gt;Constants!$B$6,"",$BN184)</f>
        <v/>
      </c>
      <c r="BU184" s="97" t="str">
        <f aca="false">IF($BX184&lt;&gt;Constants!$B$6,"",$BO184)</f>
        <v/>
      </c>
      <c r="BV184" s="99" t="str">
        <f aca="false">IF($BX184&lt;&gt;Constants!$B$6,"",IF($AT184,$AV184,""))</f>
        <v/>
      </c>
      <c r="BW184" s="93" t="str">
        <f aca="false">IF(ISBLANK($C184),"",IF(ISBLANK($D$7),$BW$5,IF(NOT(ISNUMBER($D$7)),$BW$6,"")))</f>
        <v/>
      </c>
      <c r="BX184" s="93" t="str">
        <f aca="false">IF(ISBLANK($C184),"",IF($BA184,Constants!$B$9,IF(COUNTA($E184:$AA184)=0,Constants!$B$8,IF(NOT($AG184),Constants!$B$7,IF(OR($BW184&lt;&gt;"",$BB184,$BM184),Constants!$B$10,Constants!$B$6)))))</f>
        <v/>
      </c>
      <c r="BY184" s="93" t="str">
        <f aca="false">IF(ISBLANK($C184),"",IF($BX184&lt;&gt;Constants!$B$6,$BX184,Constants!$B$11))</f>
        <v/>
      </c>
      <c r="BZ184" s="97" t="str">
        <f aca="false">IF($BX184&lt;&gt;Constants!$B$6,"",IF($BL184="-&gt;",$BS184,$BH184))</f>
        <v/>
      </c>
      <c r="CA184" s="97" t="str">
        <f aca="false">IF($BX184&lt;&gt;Constants!$B$6,"",IF($AF184,0,Constants!$B$15))</f>
        <v/>
      </c>
      <c r="CB184" s="97" t="str">
        <f aca="false">IF($BX184&lt;&gt;Constants!$B$6,"",((Constants!$B$25-$AZ184)-Constants!$B$25)/Constants!$B$26)</f>
        <v/>
      </c>
      <c r="CC184" s="97" t="str">
        <f aca="false">IF(ISBLANK($C184),"",IF($BX184&lt;&gt;Constants!$B$6,$BX184,SUM($BZ184:$CB184)))</f>
        <v/>
      </c>
      <c r="CD184" s="93" t="str">
        <f aca="false">IF(ISBLANK($C184),"",IF($BX184&lt;&gt;Constants!$B$6,$BX184,RANK($CC184,$CC$9:$CC$508,1)))</f>
        <v/>
      </c>
      <c r="CE184" s="97" t="str">
        <f aca="false">IF($BX184&lt;&gt;Constants!$B$6,"",IF($BL184="-&gt;",$BT184,$BI184))</f>
        <v/>
      </c>
      <c r="CF184" s="93" t="str">
        <f aca="false">IF(ISBLANK($C184),"",IF($BX184&lt;&gt;Constants!$B$6,$BX184,IF(ISNUMBER($CE184),RANK($CE184,$CE$9:$CE$508,1),COUNT($CE$9:$CE$508)+1)))</f>
        <v/>
      </c>
      <c r="CG184" s="97" t="str">
        <f aca="false">IF($BX184&lt;&gt;Constants!$B$6,"",IF($BL184="-&gt;",$BU184,$BJ184))</f>
        <v/>
      </c>
      <c r="CH184" s="93" t="str">
        <f aca="false">IF(ISBLANK($C184),"",IF($BX184&lt;&gt;Constants!$B$6,$BX184,IF(ISNUMBER($CG184),RANK($CG184,$CG$9:$CG$508,1),COUNT($CG$9:$CG$508)+1)))</f>
        <v/>
      </c>
      <c r="CI184" s="97" t="str">
        <f aca="false">IF($BX184&lt;&gt;Constants!$B$6,"",IF($BL184="-&gt;",$BV184,$BK184))</f>
        <v/>
      </c>
      <c r="CJ184" s="93" t="str">
        <f aca="false">IF(ISBLANK($C184),"",IF($BX184&lt;&gt;Constants!$B$6,$BX184,IF(ISNUMBER($CI184),RANK($CI184,$CI$9:$CI$508,1),COUNT($CI$9:$CI$508)+1)))</f>
        <v/>
      </c>
      <c r="CK184" s="97" t="str">
        <f aca="false">IF($BX184&lt;&gt;Constants!$B$6,"",$AI184)</f>
        <v/>
      </c>
      <c r="CL184" s="93" t="str">
        <f aca="false">IF(ISBLANK($C184),"",IF($BX184&lt;&gt;Constants!$B$6,$BX184,IF(ISNUMBER($CK184),RANK($CK184,$CK$9:$CK$508,1),COUNT($CK$9:$CK$508)+1)))</f>
        <v/>
      </c>
      <c r="CM184" s="93" t="str">
        <f aca="false">IF(ISBLANK($C184),"",IF($BX184&lt;&gt;Constants!$B$6,$BX184,COUNTIFS($CD$9:$CD$508,"&lt;"&amp;$CD184)+COUNTIFS($CD$9:$CD$508,$CD184,$CF$9:$CF$508,"&lt;"&amp;$CF184)+COUNTIFS($CD$9:$CD$508,$CD184,$CF$9:$CF$508,$CF184,$CH$9:$CH$508,"&lt;"&amp;$CH184)+COUNTIFS($CD$9:$CD$508,$CD184,$CF$9:$CF$508,$CF184,$CH$9:$CH$508,$CH184,$CJ$9:$CJ$508,"&lt;"&amp;$CJ184)+COUNTIFS($CD$9:$CD$508,$CD184,$CF$9:$CF$508,$CF184,$CH$9:$CH$508,$CH184,$CJ$9:$CJ$508,$CJ184,$CL$9:$CL$508,"&lt;"&amp;$CL184)+1))</f>
        <v/>
      </c>
      <c r="CN184" s="93" t="str">
        <f aca="false">IF(ISBLANK($C184),"",IF($BX184&lt;&gt;Constants!$B$6,$BX184,$CD184-$CM184))</f>
        <v/>
      </c>
      <c r="CO184" s="100"/>
      <c r="CP184" s="101"/>
      <c r="CQ184" s="102" t="str">
        <f aca="false">IF(ISBLANK($C184),"",IF($BX184=Constants!$B$10,$BW184,""))</f>
        <v/>
      </c>
      <c r="CR184" s="101" t="str">
        <f aca="false">IF(ISBLANK($C184),"",IF($BX184&lt;&gt;Constants!$B$6,"",IF($BL184="-&gt;",2,1)))</f>
        <v/>
      </c>
      <c r="CS184" s="103" t="str">
        <f aca="false">IF(ISBLANK($C184),"",IF($BX184&lt;&gt;Constants!$B$6,"",IF($BL184="-&gt;",$BN184,$BC184)))</f>
        <v/>
      </c>
      <c r="CT184" s="103" t="str">
        <f aca="false">IF(ISBLANK($C184),"",IF($BX184&lt;&gt;Constants!$B$6,"",IF($BL184="-&gt;",$BO184,$BD184)))</f>
        <v/>
      </c>
      <c r="CU184" s="103" t="str">
        <f aca="false">IF(ISBLANK($C184),"",IF($BX184&lt;&gt;Constants!$B$6,"",IF($BL184="-&gt;",$BP184+$BQ184,$BE184+$BF184)+$CB184))</f>
        <v/>
      </c>
      <c r="CV184" s="103" t="str">
        <f aca="false">IF(ISBLANK($C184),"",IF($BX184&lt;&gt;Constants!$B$6,"",IF($BL184="-&gt;",$BR184,$BG184)+$CA184))</f>
        <v/>
      </c>
      <c r="CW184" s="104" t="str">
        <f aca="false">IF(ISBLANK($C184),"",IF($BX184&lt;&gt;Constants!$B$6,$BX184,$CC184))</f>
        <v/>
      </c>
      <c r="CX184" s="105" t="str">
        <f aca="false">IF(ISBLANK($C184),"",$BY184)</f>
        <v/>
      </c>
      <c r="CY184" s="106" t="str">
        <f aca="false">IF(ISBLANK($C184),"",$CN184)</f>
        <v/>
      </c>
      <c r="CZ184" s="106" t="str">
        <f aca="false">IF(ISBLANK($C184),"",$CM184)</f>
        <v/>
      </c>
      <c r="DA184" s="107" t="str">
        <f aca="false">IF(ISBLANK($C184),"",IFERROR(_xlfn.SWITCH($CZ184,Constants!$B$9,COUNTA($C$9:$C$508)+2,Constants!$B$8,COUNTA($C$9:$C$508)+1,Constants!$B$7,COUNTA($C$9:$C$508)),$CZ184))</f>
        <v/>
      </c>
      <c r="DB184" s="9"/>
      <c r="DC184" s="108" t="n">
        <f aca="false">IF(OR(ISNUMBER($CZ184),$CZ184=Constants!$B$9,$CZ184=Constants!$B$7,$CZ184=Constants!$B$8),1,0)</f>
        <v>0</v>
      </c>
      <c r="DD184" s="108" t="n">
        <v>176</v>
      </c>
      <c r="DE184" s="108" t="str">
        <f aca="false">IF(ISBLANK($C184),"",IF(ISNUMBER($DA184),$DA184+ROW($B184)/1000,""))</f>
        <v/>
      </c>
      <c r="DF184" s="108" t="str">
        <f aca="false">IF(ISNUMBER($DE184),RANK($DE184,$DE$9:$DE$508,1),"")</f>
        <v/>
      </c>
      <c r="DG184" s="108" t="str">
        <f aca="false">IF(ISBLANK($C184),"",$B184)</f>
        <v/>
      </c>
      <c r="DH184" s="108" t="str">
        <f aca="false">IF(ISBLANK($C184),"",$C184)</f>
        <v/>
      </c>
      <c r="DI184" s="108" t="str">
        <f aca="false">IF(ISBLANK($C184),"",$D184)</f>
        <v/>
      </c>
      <c r="DJ184" s="109" t="str">
        <f aca="false">$CX184</f>
        <v/>
      </c>
      <c r="DK184" s="110" t="str">
        <f aca="false">$CW184</f>
        <v/>
      </c>
      <c r="DL184" s="108" t="str">
        <f aca="false">IF(ISBLANK($C184),"",$CZ184)</f>
        <v/>
      </c>
      <c r="DM184" s="111" t="str">
        <f aca="false">IF($DD184&gt;$DC$8,"",VLOOKUP($DD184,$DF$9:$DL$508,7,FALSE()))</f>
        <v/>
      </c>
      <c r="DN184" s="112" t="str">
        <f aca="false">IF($DD184&gt;$DC$8,"",VLOOKUP($DD184,$DF$9:$DL$508,2,FALSE()))</f>
        <v/>
      </c>
      <c r="DO184" s="112" t="str">
        <f aca="false">IF($DD184&gt;$DC$8,"",VLOOKUP($DD184,$DF$9:$DL$508,3,FALSE()))</f>
        <v/>
      </c>
      <c r="DP184" s="112" t="str">
        <f aca="false">IF($DD184&gt;$DC$8,"",VLOOKUP($DD184,$DF$9:$DL$508,4,FALSE()))</f>
        <v/>
      </c>
      <c r="DQ184" s="112" t="str">
        <f aca="false">IF($DD184&gt;$DC$8,"",VLOOKUP($DD184,$DF$9:$DL$508,5,FALSE()))</f>
        <v/>
      </c>
      <c r="DR184" s="113" t="str">
        <f aca="false">IF($DD184&gt;$DC$8,"",VLOOKUP($DD184,$DF$9:$DL$508,6,FALSE()))</f>
        <v/>
      </c>
      <c r="DS184" s="76"/>
    </row>
    <row r="185" customFormat="false" ht="15.75" hidden="false" customHeight="false" outlineLevel="0" collapsed="false">
      <c r="A185" s="9"/>
      <c r="B185" s="78"/>
      <c r="C185" s="79"/>
      <c r="D185" s="170"/>
      <c r="E185" s="178"/>
      <c r="F185" s="172"/>
      <c r="G185" s="173"/>
      <c r="H185" s="173"/>
      <c r="I185" s="179"/>
      <c r="J185" s="176"/>
      <c r="K185" s="86"/>
      <c r="L185" s="87"/>
      <c r="M185" s="88"/>
      <c r="N185" s="176"/>
      <c r="O185" s="176"/>
      <c r="P185" s="178"/>
      <c r="Q185" s="176"/>
      <c r="R185" s="176"/>
      <c r="S185" s="86"/>
      <c r="T185" s="88"/>
      <c r="U185" s="88"/>
      <c r="V185" s="176"/>
      <c r="W185" s="176"/>
      <c r="X185" s="178"/>
      <c r="Y185" s="176"/>
      <c r="Z185" s="177"/>
      <c r="AA185" s="176"/>
      <c r="AB185" s="92"/>
      <c r="AC185" s="93"/>
      <c r="AD185" s="93"/>
      <c r="AE185" s="93"/>
      <c r="AF185" s="93" t="str">
        <f aca="false">IF(ISBLANK($C185),"",IF(E185=Constants!$B$2,TRUE(),IF(E185=Constants!$B$3,FALSE(),TRUE())))</f>
        <v/>
      </c>
      <c r="AG185" s="93" t="str">
        <f aca="false">IF(ISBLANK($C185),"",IF(F185=Constants!$B$2,TRUE(),IF(F185=Constants!$B$3,FALSE(),TRUE())))</f>
        <v/>
      </c>
      <c r="AH185" s="93" t="str">
        <f aca="false">IF(ISBLANK($C185),"",IF(G185=Constants!$B$2,TRUE(),IF(G185=Constants!$B$3,FALSE(),TRUE())))</f>
        <v/>
      </c>
      <c r="AI185" s="93" t="str">
        <f aca="false">IF(ISBLANK($C185),"",IF(AND(ISNUMBER(H185),H185&gt;=0),H185,Constants!$B$24))</f>
        <v/>
      </c>
      <c r="AJ185" s="93" t="str">
        <f aca="false">IF(ISBLANK($C185),"",IF(I185=Constants!$B$2,TRUE(),IF(I185=Constants!$B$3,FALSE(),TRUE())))</f>
        <v/>
      </c>
      <c r="AK185" s="93" t="str">
        <f aca="false">IF(ISBLANK($C185),"",IF(J185=Constants!$B$2,TRUE(),IF(J185=Constants!$B$3,FALSE(),TRUE())))</f>
        <v/>
      </c>
      <c r="AL185" s="93" t="str">
        <f aca="false">IF(ISBLANK($C185),"",IF(K185=Constants!$B$4,TRUE(),IF(K185=Constants!$B$5,FALSE(),COUNTA(L185:P185)&gt;0)))</f>
        <v/>
      </c>
      <c r="AM185" s="95" t="str">
        <f aca="false">IF(ISBLANK($C185),"",IF(ISNUMBER(L185),IF(L185&gt;=0,L185,""),""))</f>
        <v/>
      </c>
      <c r="AN185" s="94" t="str">
        <f aca="false">IF(ISBLANK($C185),"",IF(ISNUMBER(M185),IF(M185&gt;=0,M185,""),""))</f>
        <v/>
      </c>
      <c r="AO185" s="94" t="str">
        <f aca="false">IF(ISBLANK($C185),"",IF(N185=Constants!$B$2,TRUE(),IF(N185=Constants!$B$3,FALSE(),TRUE())))</f>
        <v/>
      </c>
      <c r="AP185" s="93" t="str">
        <f aca="false">IF(ISBLANK($C185),"",IF(ISNUMBER(O185),IF(O185&gt;=0,O185,""),""))</f>
        <v/>
      </c>
      <c r="AQ185" s="93" t="str">
        <f aca="false">IF(ISBLANK($C185),"",IF(P185=Constants!$B$2,TRUE(),IF(P185=Constants!$B$3,FALSE(),FALSE())))</f>
        <v/>
      </c>
      <c r="AR185" s="93" t="str">
        <f aca="false">IF(ISBLANK($C185),"",IF(Q185=Constants!$B$2,TRUE(),IF(Q185=Constants!$B$3,FALSE(),TRUE())))</f>
        <v/>
      </c>
      <c r="AS185" s="93" t="str">
        <f aca="false">IF(ISBLANK($C185),"",IF(R185=Constants!$B$2,TRUE(),IF(R185=Constants!$B$3,FALSE(),TRUE())))</f>
        <v/>
      </c>
      <c r="AT185" s="93" t="str">
        <f aca="false">IF(ISBLANK($C185),"",IF(S185=Constants!$B$4,TRUE(),IF(S185=Constants!$B$5,FALSE(),COUNTA(T185:X185)&gt;0)))</f>
        <v/>
      </c>
      <c r="AU185" s="95" t="str">
        <f aca="false">IF(ISBLANK($C185),"",IF(ISNUMBER(T185),IF(T185&gt;=0,T185,""),""))</f>
        <v/>
      </c>
      <c r="AV185" s="94" t="str">
        <f aca="false">IF(ISBLANK($C185),"",IF(ISNUMBER(U185),IF(U185&gt;=0,U185,""),""))</f>
        <v/>
      </c>
      <c r="AW185" s="94" t="str">
        <f aca="false">IF(ISBLANK($C185),"",IF(V185=Constants!$B$2,TRUE(),IF(V185=Constants!$B$3,FALSE(),TRUE())))</f>
        <v/>
      </c>
      <c r="AX185" s="93" t="str">
        <f aca="false">IF(ISBLANK($C185),"",IF(ISNUMBER(W185),IF(W185&gt;=0,W185,""),""))</f>
        <v/>
      </c>
      <c r="AY185" s="93" t="str">
        <f aca="false">IF(ISBLANK($C185),"",IF(X185=Constants!$B$2,TRUE(),IF(X185=Constants!$B$3,FALSE(),FALSE())))</f>
        <v/>
      </c>
      <c r="AZ185" s="93" t="str">
        <f aca="false">IF(ISBLANK($C185),"",MIN(Constants!$B$25,MAX(0,IF(ISNUMBER(Y185),Y185*60,0)+IF(ISNUMBER(Z185),Z185,0))))</f>
        <v/>
      </c>
      <c r="BA185" s="93" t="str">
        <f aca="false">IF(ISBLANK($C185),"",IF(AA185=Constants!$B$2,TRUE(),IF(AA185=Constants!$B$3,FALSE(),FALSE())))</f>
        <v/>
      </c>
      <c r="BB185" s="92" t="str">
        <f aca="false">IF(ISBLANK($C185),"",AND($AL185,OR($AM185="",$AN185="",AND($AO185,$AP185=""))))</f>
        <v/>
      </c>
      <c r="BC185" s="94" t="str">
        <f aca="false">IF($BX185&lt;&gt;Constants!$B$6,"",IF($AL185,Constants!$B$17*$AN185+Constants!$B$18*IF($AO185,$AP185,Constants!$B$19),Constants!$B$20))</f>
        <v/>
      </c>
      <c r="BD185" s="97" t="str">
        <f aca="false">IF($BX185&lt;&gt;Constants!$B$6,"",Constants!$B$21*ABS($AD$9-IF($AL185,$AM185,0)))</f>
        <v/>
      </c>
      <c r="BE185" s="97" t="str">
        <f aca="false">IF($BX185&lt;&gt;Constants!$B$6,"",IF(AND($AL185,$AQ185,$AO185),Constants!$B$22,0))</f>
        <v/>
      </c>
      <c r="BF185" s="97" t="str">
        <f aca="false">IF($BX185&lt;&gt;Constants!$B$6,"",IF($AL185,($AI185-Constants!$B$24)*Constants!$B$23,0))</f>
        <v/>
      </c>
      <c r="BG185" s="97" t="str">
        <f aca="false">IF($BX185&lt;&gt;Constants!$B$6,"",IF($AK185,0,Constants!$B$12)+IF($AJ185,0,Constants!$B$13)+IF($AH185,0,Constants!$B$14))</f>
        <v/>
      </c>
      <c r="BH185" s="98" t="str">
        <f aca="false">IF($BX185&lt;&gt;Constants!$B$6,"",Constants!$B$16+SUM($BC185:$BG185))</f>
        <v/>
      </c>
      <c r="BI185" s="97" t="str">
        <f aca="false">IF($BX185&lt;&gt;Constants!$B$6,"",$BC185)</f>
        <v/>
      </c>
      <c r="BJ185" s="97" t="str">
        <f aca="false">IF($BX185&lt;&gt;Constants!$B$6,"",$BD185)</f>
        <v/>
      </c>
      <c r="BK185" s="99" t="str">
        <f aca="false">IF($BX185&lt;&gt;Constants!$B$6,"",IF($AL185,$AN185,""))</f>
        <v/>
      </c>
      <c r="BL185" s="93" t="str">
        <f aca="false">IF($BX185&lt;&gt;Constants!$B$6,"",IF(OR($BS185&lt;$BH185,AND($BS185=$BH185,OR($BT185&lt;$BI185,AND($BT185=$BI185,OR($BU185&lt;$BJ185,AND($BU185=$BJ185,AND(ISNUMBER($BV185),OR(NOT(ISNUMBER($BK185)),$BV185&lt;$BK185)))))))),"-&gt;","&lt;-"))</f>
        <v/>
      </c>
      <c r="BM185" s="92" t="str">
        <f aca="false">IF(ISBLANK($C185),"",AND($AT185,OR($AU185="",$AV185="",AND($AW185,$AX185=""))))</f>
        <v/>
      </c>
      <c r="BN185" s="94" t="str">
        <f aca="false">IF($BX185&lt;&gt;Constants!$B$6,"",IF($AT185,Constants!$B$17*$AV185+Constants!$B$18*IF($AW185,$AX185,Constants!$B$19),Constants!$B$20))</f>
        <v/>
      </c>
      <c r="BO185" s="97" t="str">
        <f aca="false">IF($BX185&lt;&gt;Constants!$B$6,"",Constants!$B$21*ABS($AD$9-IF($AT185,$AU185,0)))</f>
        <v/>
      </c>
      <c r="BP185" s="97" t="str">
        <f aca="false">IF($BX185&lt;&gt;Constants!$B$6,"",IF(AND($AT185,$AY185,$AW185),Constants!$B$22,0))</f>
        <v/>
      </c>
      <c r="BQ185" s="97" t="str">
        <f aca="false">IF($BX185&lt;&gt;Constants!$B$6,"",IF($AT185,($AI185-Constants!$B$24)*Constants!$B$23,0))</f>
        <v/>
      </c>
      <c r="BR185" s="97" t="str">
        <f aca="false">IF($BX185&lt;&gt;Constants!$B$6,"",IF($AS185,0,Constants!$B$12)+IF($AR185,0,Constants!$B$13)+IF($AH185,0,Constants!$B$14))</f>
        <v/>
      </c>
      <c r="BS185" s="98" t="str">
        <f aca="false">IF($BX185&lt;&gt;Constants!$B$6,"",Constants!$B$16+SUM($BN185:$BR185))</f>
        <v/>
      </c>
      <c r="BT185" s="97" t="str">
        <f aca="false">IF($BX185&lt;&gt;Constants!$B$6,"",$BN185)</f>
        <v/>
      </c>
      <c r="BU185" s="97" t="str">
        <f aca="false">IF($BX185&lt;&gt;Constants!$B$6,"",$BO185)</f>
        <v/>
      </c>
      <c r="BV185" s="99" t="str">
        <f aca="false">IF($BX185&lt;&gt;Constants!$B$6,"",IF($AT185,$AV185,""))</f>
        <v/>
      </c>
      <c r="BW185" s="93" t="str">
        <f aca="false">IF(ISBLANK($C185),"",IF(ISBLANK($D$7),$BW$5,IF(NOT(ISNUMBER($D$7)),$BW$6,"")))</f>
        <v/>
      </c>
      <c r="BX185" s="93" t="str">
        <f aca="false">IF(ISBLANK($C185),"",IF($BA185,Constants!$B$9,IF(COUNTA($E185:$AA185)=0,Constants!$B$8,IF(NOT($AG185),Constants!$B$7,IF(OR($BW185&lt;&gt;"",$BB185,$BM185),Constants!$B$10,Constants!$B$6)))))</f>
        <v/>
      </c>
      <c r="BY185" s="93" t="str">
        <f aca="false">IF(ISBLANK($C185),"",IF($BX185&lt;&gt;Constants!$B$6,$BX185,Constants!$B$11))</f>
        <v/>
      </c>
      <c r="BZ185" s="97" t="str">
        <f aca="false">IF($BX185&lt;&gt;Constants!$B$6,"",IF($BL185="-&gt;",$BS185,$BH185))</f>
        <v/>
      </c>
      <c r="CA185" s="97" t="str">
        <f aca="false">IF($BX185&lt;&gt;Constants!$B$6,"",IF($AF185,0,Constants!$B$15))</f>
        <v/>
      </c>
      <c r="CB185" s="97" t="str">
        <f aca="false">IF($BX185&lt;&gt;Constants!$B$6,"",((Constants!$B$25-$AZ185)-Constants!$B$25)/Constants!$B$26)</f>
        <v/>
      </c>
      <c r="CC185" s="97" t="str">
        <f aca="false">IF(ISBLANK($C185),"",IF($BX185&lt;&gt;Constants!$B$6,$BX185,SUM($BZ185:$CB185)))</f>
        <v/>
      </c>
      <c r="CD185" s="93" t="str">
        <f aca="false">IF(ISBLANK($C185),"",IF($BX185&lt;&gt;Constants!$B$6,$BX185,RANK($CC185,$CC$9:$CC$508,1)))</f>
        <v/>
      </c>
      <c r="CE185" s="97" t="str">
        <f aca="false">IF($BX185&lt;&gt;Constants!$B$6,"",IF($BL185="-&gt;",$BT185,$BI185))</f>
        <v/>
      </c>
      <c r="CF185" s="93" t="str">
        <f aca="false">IF(ISBLANK($C185),"",IF($BX185&lt;&gt;Constants!$B$6,$BX185,IF(ISNUMBER($CE185),RANK($CE185,$CE$9:$CE$508,1),COUNT($CE$9:$CE$508)+1)))</f>
        <v/>
      </c>
      <c r="CG185" s="97" t="str">
        <f aca="false">IF($BX185&lt;&gt;Constants!$B$6,"",IF($BL185="-&gt;",$BU185,$BJ185))</f>
        <v/>
      </c>
      <c r="CH185" s="93" t="str">
        <f aca="false">IF(ISBLANK($C185),"",IF($BX185&lt;&gt;Constants!$B$6,$BX185,IF(ISNUMBER($CG185),RANK($CG185,$CG$9:$CG$508,1),COUNT($CG$9:$CG$508)+1)))</f>
        <v/>
      </c>
      <c r="CI185" s="97" t="str">
        <f aca="false">IF($BX185&lt;&gt;Constants!$B$6,"",IF($BL185="-&gt;",$BV185,$BK185))</f>
        <v/>
      </c>
      <c r="CJ185" s="93" t="str">
        <f aca="false">IF(ISBLANK($C185),"",IF($BX185&lt;&gt;Constants!$B$6,$BX185,IF(ISNUMBER($CI185),RANK($CI185,$CI$9:$CI$508,1),COUNT($CI$9:$CI$508)+1)))</f>
        <v/>
      </c>
      <c r="CK185" s="97" t="str">
        <f aca="false">IF($BX185&lt;&gt;Constants!$B$6,"",$AI185)</f>
        <v/>
      </c>
      <c r="CL185" s="93" t="str">
        <f aca="false">IF(ISBLANK($C185),"",IF($BX185&lt;&gt;Constants!$B$6,$BX185,IF(ISNUMBER($CK185),RANK($CK185,$CK$9:$CK$508,1),COUNT($CK$9:$CK$508)+1)))</f>
        <v/>
      </c>
      <c r="CM185" s="93" t="str">
        <f aca="false">IF(ISBLANK($C185),"",IF($BX185&lt;&gt;Constants!$B$6,$BX185,COUNTIFS($CD$9:$CD$508,"&lt;"&amp;$CD185)+COUNTIFS($CD$9:$CD$508,$CD185,$CF$9:$CF$508,"&lt;"&amp;$CF185)+COUNTIFS($CD$9:$CD$508,$CD185,$CF$9:$CF$508,$CF185,$CH$9:$CH$508,"&lt;"&amp;$CH185)+COUNTIFS($CD$9:$CD$508,$CD185,$CF$9:$CF$508,$CF185,$CH$9:$CH$508,$CH185,$CJ$9:$CJ$508,"&lt;"&amp;$CJ185)+COUNTIFS($CD$9:$CD$508,$CD185,$CF$9:$CF$508,$CF185,$CH$9:$CH$508,$CH185,$CJ$9:$CJ$508,$CJ185,$CL$9:$CL$508,"&lt;"&amp;$CL185)+1))</f>
        <v/>
      </c>
      <c r="CN185" s="93" t="str">
        <f aca="false">IF(ISBLANK($C185),"",IF($BX185&lt;&gt;Constants!$B$6,$BX185,$CD185-$CM185))</f>
        <v/>
      </c>
      <c r="CO185" s="100"/>
      <c r="CP185" s="101"/>
      <c r="CQ185" s="102" t="str">
        <f aca="false">IF(ISBLANK($C185),"",IF($BX185=Constants!$B$10,$BW185,""))</f>
        <v/>
      </c>
      <c r="CR185" s="101" t="str">
        <f aca="false">IF(ISBLANK($C185),"",IF($BX185&lt;&gt;Constants!$B$6,"",IF($BL185="-&gt;",2,1)))</f>
        <v/>
      </c>
      <c r="CS185" s="103" t="str">
        <f aca="false">IF(ISBLANK($C185),"",IF($BX185&lt;&gt;Constants!$B$6,"",IF($BL185="-&gt;",$BN185,$BC185)))</f>
        <v/>
      </c>
      <c r="CT185" s="103" t="str">
        <f aca="false">IF(ISBLANK($C185),"",IF($BX185&lt;&gt;Constants!$B$6,"",IF($BL185="-&gt;",$BO185,$BD185)))</f>
        <v/>
      </c>
      <c r="CU185" s="103" t="str">
        <f aca="false">IF(ISBLANK($C185),"",IF($BX185&lt;&gt;Constants!$B$6,"",IF($BL185="-&gt;",$BP185+$BQ185,$BE185+$BF185)+$CB185))</f>
        <v/>
      </c>
      <c r="CV185" s="103" t="str">
        <f aca="false">IF(ISBLANK($C185),"",IF($BX185&lt;&gt;Constants!$B$6,"",IF($BL185="-&gt;",$BR185,$BG185)+$CA185))</f>
        <v/>
      </c>
      <c r="CW185" s="104" t="str">
        <f aca="false">IF(ISBLANK($C185),"",IF($BX185&lt;&gt;Constants!$B$6,$BX185,$CC185))</f>
        <v/>
      </c>
      <c r="CX185" s="105" t="str">
        <f aca="false">IF(ISBLANK($C185),"",$BY185)</f>
        <v/>
      </c>
      <c r="CY185" s="106" t="str">
        <f aca="false">IF(ISBLANK($C185),"",$CN185)</f>
        <v/>
      </c>
      <c r="CZ185" s="106" t="str">
        <f aca="false">IF(ISBLANK($C185),"",$CM185)</f>
        <v/>
      </c>
      <c r="DA185" s="107" t="str">
        <f aca="false">IF(ISBLANK($C185),"",IFERROR(_xlfn.SWITCH($CZ185,Constants!$B$9,COUNTA($C$9:$C$508)+2,Constants!$B$8,COUNTA($C$9:$C$508)+1,Constants!$B$7,COUNTA($C$9:$C$508)),$CZ185))</f>
        <v/>
      </c>
      <c r="DB185" s="9"/>
      <c r="DC185" s="108" t="n">
        <f aca="false">IF(OR(ISNUMBER($CZ185),$CZ185=Constants!$B$9,$CZ185=Constants!$B$7,$CZ185=Constants!$B$8),1,0)</f>
        <v>0</v>
      </c>
      <c r="DD185" s="108" t="n">
        <v>177</v>
      </c>
      <c r="DE185" s="108" t="str">
        <f aca="false">IF(ISBLANK($C185),"",IF(ISNUMBER($DA185),$DA185+ROW($B185)/1000,""))</f>
        <v/>
      </c>
      <c r="DF185" s="108" t="str">
        <f aca="false">IF(ISNUMBER($DE185),RANK($DE185,$DE$9:$DE$508,1),"")</f>
        <v/>
      </c>
      <c r="DG185" s="108" t="str">
        <f aca="false">IF(ISBLANK($C185),"",$B185)</f>
        <v/>
      </c>
      <c r="DH185" s="108" t="str">
        <f aca="false">IF(ISBLANK($C185),"",$C185)</f>
        <v/>
      </c>
      <c r="DI185" s="108" t="str">
        <f aca="false">IF(ISBLANK($C185),"",$D185)</f>
        <v/>
      </c>
      <c r="DJ185" s="109" t="str">
        <f aca="false">$CX185</f>
        <v/>
      </c>
      <c r="DK185" s="110" t="str">
        <f aca="false">$CW185</f>
        <v/>
      </c>
      <c r="DL185" s="108" t="str">
        <f aca="false">IF(ISBLANK($C185),"",$CZ185)</f>
        <v/>
      </c>
      <c r="DM185" s="111" t="str">
        <f aca="false">IF($DD185&gt;$DC$8,"",VLOOKUP($DD185,$DF$9:$DL$508,7,FALSE()))</f>
        <v/>
      </c>
      <c r="DN185" s="112" t="str">
        <f aca="false">IF($DD185&gt;$DC$8,"",VLOOKUP($DD185,$DF$9:$DL$508,2,FALSE()))</f>
        <v/>
      </c>
      <c r="DO185" s="112" t="str">
        <f aca="false">IF($DD185&gt;$DC$8,"",VLOOKUP($DD185,$DF$9:$DL$508,3,FALSE()))</f>
        <v/>
      </c>
      <c r="DP185" s="112" t="str">
        <f aca="false">IF($DD185&gt;$DC$8,"",VLOOKUP($DD185,$DF$9:$DL$508,4,FALSE()))</f>
        <v/>
      </c>
      <c r="DQ185" s="112" t="str">
        <f aca="false">IF($DD185&gt;$DC$8,"",VLOOKUP($DD185,$DF$9:$DL$508,5,FALSE()))</f>
        <v/>
      </c>
      <c r="DR185" s="113" t="str">
        <f aca="false">IF($DD185&gt;$DC$8,"",VLOOKUP($DD185,$DF$9:$DL$508,6,FALSE()))</f>
        <v/>
      </c>
      <c r="DS185" s="76"/>
    </row>
    <row r="186" customFormat="false" ht="15.75" hidden="false" customHeight="false" outlineLevel="0" collapsed="false">
      <c r="A186" s="9"/>
      <c r="B186" s="160"/>
      <c r="C186" s="161"/>
      <c r="D186" s="162"/>
      <c r="E186" s="180"/>
      <c r="F186" s="164"/>
      <c r="G186" s="165"/>
      <c r="H186" s="165"/>
      <c r="I186" s="181"/>
      <c r="J186" s="168"/>
      <c r="K186" s="128"/>
      <c r="L186" s="129"/>
      <c r="M186" s="130"/>
      <c r="N186" s="168"/>
      <c r="O186" s="168"/>
      <c r="P186" s="180"/>
      <c r="Q186" s="168"/>
      <c r="R186" s="168"/>
      <c r="S186" s="128"/>
      <c r="T186" s="130"/>
      <c r="U186" s="130"/>
      <c r="V186" s="168"/>
      <c r="W186" s="168"/>
      <c r="X186" s="180"/>
      <c r="Y186" s="168"/>
      <c r="Z186" s="169"/>
      <c r="AA186" s="168"/>
      <c r="AB186" s="134"/>
      <c r="AC186" s="135"/>
      <c r="AD186" s="135"/>
      <c r="AE186" s="135"/>
      <c r="AF186" s="135" t="str">
        <f aca="false">IF(ISBLANK($C186),"",IF(E186=Constants!$B$2,TRUE(),IF(E186=Constants!$B$3,FALSE(),TRUE())))</f>
        <v/>
      </c>
      <c r="AG186" s="135" t="str">
        <f aca="false">IF(ISBLANK($C186),"",IF(F186=Constants!$B$2,TRUE(),IF(F186=Constants!$B$3,FALSE(),TRUE())))</f>
        <v/>
      </c>
      <c r="AH186" s="135" t="str">
        <f aca="false">IF(ISBLANK($C186),"",IF(G186=Constants!$B$2,TRUE(),IF(G186=Constants!$B$3,FALSE(),TRUE())))</f>
        <v/>
      </c>
      <c r="AI186" s="135" t="str">
        <f aca="false">IF(ISBLANK($C186),"",IF(AND(ISNUMBER(H186),H186&gt;=0),H186,Constants!$B$24))</f>
        <v/>
      </c>
      <c r="AJ186" s="135" t="str">
        <f aca="false">IF(ISBLANK($C186),"",IF(I186=Constants!$B$2,TRUE(),IF(I186=Constants!$B$3,FALSE(),TRUE())))</f>
        <v/>
      </c>
      <c r="AK186" s="135" t="str">
        <f aca="false">IF(ISBLANK($C186),"",IF(J186=Constants!$B$2,TRUE(),IF(J186=Constants!$B$3,FALSE(),TRUE())))</f>
        <v/>
      </c>
      <c r="AL186" s="135" t="str">
        <f aca="false">IF(ISBLANK($C186),"",IF(K186=Constants!$B$4,TRUE(),IF(K186=Constants!$B$5,FALSE(),COUNTA(L186:P186)&gt;0)))</f>
        <v/>
      </c>
      <c r="AM186" s="136" t="str">
        <f aca="false">IF(ISBLANK($C186),"",IF(ISNUMBER(L186),IF(L186&gt;=0,L186,""),""))</f>
        <v/>
      </c>
      <c r="AN186" s="137" t="str">
        <f aca="false">IF(ISBLANK($C186),"",IF(ISNUMBER(M186),IF(M186&gt;=0,M186,""),""))</f>
        <v/>
      </c>
      <c r="AO186" s="137" t="str">
        <f aca="false">IF(ISBLANK($C186),"",IF(N186=Constants!$B$2,TRUE(),IF(N186=Constants!$B$3,FALSE(),TRUE())))</f>
        <v/>
      </c>
      <c r="AP186" s="135" t="str">
        <f aca="false">IF(ISBLANK($C186),"",IF(ISNUMBER(O186),IF(O186&gt;=0,O186,""),""))</f>
        <v/>
      </c>
      <c r="AQ186" s="135" t="str">
        <f aca="false">IF(ISBLANK($C186),"",IF(P186=Constants!$B$2,TRUE(),IF(P186=Constants!$B$3,FALSE(),FALSE())))</f>
        <v/>
      </c>
      <c r="AR186" s="135" t="str">
        <f aca="false">IF(ISBLANK($C186),"",IF(Q186=Constants!$B$2,TRUE(),IF(Q186=Constants!$B$3,FALSE(),TRUE())))</f>
        <v/>
      </c>
      <c r="AS186" s="135" t="str">
        <f aca="false">IF(ISBLANK($C186),"",IF(R186=Constants!$B$2,TRUE(),IF(R186=Constants!$B$3,FALSE(),TRUE())))</f>
        <v/>
      </c>
      <c r="AT186" s="135" t="str">
        <f aca="false">IF(ISBLANK($C186),"",IF(S186=Constants!$B$4,TRUE(),IF(S186=Constants!$B$5,FALSE(),COUNTA(T186:X186)&gt;0)))</f>
        <v/>
      </c>
      <c r="AU186" s="136" t="str">
        <f aca="false">IF(ISBLANK($C186),"",IF(ISNUMBER(T186),IF(T186&gt;=0,T186,""),""))</f>
        <v/>
      </c>
      <c r="AV186" s="137" t="str">
        <f aca="false">IF(ISBLANK($C186),"",IF(ISNUMBER(U186),IF(U186&gt;=0,U186,""),""))</f>
        <v/>
      </c>
      <c r="AW186" s="137" t="str">
        <f aca="false">IF(ISBLANK($C186),"",IF(V186=Constants!$B$2,TRUE(),IF(V186=Constants!$B$3,FALSE(),TRUE())))</f>
        <v/>
      </c>
      <c r="AX186" s="135" t="str">
        <f aca="false">IF(ISBLANK($C186),"",IF(ISNUMBER(W186),IF(W186&gt;=0,W186,""),""))</f>
        <v/>
      </c>
      <c r="AY186" s="135" t="str">
        <f aca="false">IF(ISBLANK($C186),"",IF(X186=Constants!$B$2,TRUE(),IF(X186=Constants!$B$3,FALSE(),FALSE())))</f>
        <v/>
      </c>
      <c r="AZ186" s="135" t="str">
        <f aca="false">IF(ISBLANK($C186),"",MIN(Constants!$B$25,MAX(0,IF(ISNUMBER(Y186),Y186*60,0)+IF(ISNUMBER(Z186),Z186,0))))</f>
        <v/>
      </c>
      <c r="BA186" s="135" t="str">
        <f aca="false">IF(ISBLANK($C186),"",IF(AA186=Constants!$B$2,TRUE(),IF(AA186=Constants!$B$3,FALSE(),FALSE())))</f>
        <v/>
      </c>
      <c r="BB186" s="134" t="str">
        <f aca="false">IF(ISBLANK($C186),"",AND($AL186,OR($AM186="",$AN186="",AND($AO186,$AP186=""))))</f>
        <v/>
      </c>
      <c r="BC186" s="137" t="str">
        <f aca="false">IF($BX186&lt;&gt;Constants!$B$6,"",IF($AL186,Constants!$B$17*$AN186+Constants!$B$18*IF($AO186,$AP186,Constants!$B$19),Constants!$B$20))</f>
        <v/>
      </c>
      <c r="BD186" s="138" t="str">
        <f aca="false">IF($BX186&lt;&gt;Constants!$B$6,"",Constants!$B$21*ABS($AD$9-IF($AL186,$AM186,0)))</f>
        <v/>
      </c>
      <c r="BE186" s="138" t="str">
        <f aca="false">IF($BX186&lt;&gt;Constants!$B$6,"",IF(AND($AL186,$AQ186,$AO186),Constants!$B$22,0))</f>
        <v/>
      </c>
      <c r="BF186" s="138" t="str">
        <f aca="false">IF($BX186&lt;&gt;Constants!$B$6,"",IF($AL186,($AI186-Constants!$B$24)*Constants!$B$23,0))</f>
        <v/>
      </c>
      <c r="BG186" s="138" t="str">
        <f aca="false">IF($BX186&lt;&gt;Constants!$B$6,"",IF($AK186,0,Constants!$B$12)+IF($AJ186,0,Constants!$B$13)+IF($AH186,0,Constants!$B$14))</f>
        <v/>
      </c>
      <c r="BH186" s="139" t="str">
        <f aca="false">IF($BX186&lt;&gt;Constants!$B$6,"",Constants!$B$16+SUM($BC186:$BG186))</f>
        <v/>
      </c>
      <c r="BI186" s="138" t="str">
        <f aca="false">IF($BX186&lt;&gt;Constants!$B$6,"",$BC186)</f>
        <v/>
      </c>
      <c r="BJ186" s="138" t="str">
        <f aca="false">IF($BX186&lt;&gt;Constants!$B$6,"",$BD186)</f>
        <v/>
      </c>
      <c r="BK186" s="140" t="str">
        <f aca="false">IF($BX186&lt;&gt;Constants!$B$6,"",IF($AL186,$AN186,""))</f>
        <v/>
      </c>
      <c r="BL186" s="135" t="str">
        <f aca="false">IF($BX186&lt;&gt;Constants!$B$6,"",IF(OR($BS186&lt;$BH186,AND($BS186=$BH186,OR($BT186&lt;$BI186,AND($BT186=$BI186,OR($BU186&lt;$BJ186,AND($BU186=$BJ186,AND(ISNUMBER($BV186),OR(NOT(ISNUMBER($BK186)),$BV186&lt;$BK186)))))))),"-&gt;","&lt;-"))</f>
        <v/>
      </c>
      <c r="BM186" s="134" t="str">
        <f aca="false">IF(ISBLANK($C186),"",AND($AT186,OR($AU186="",$AV186="",AND($AW186,$AX186=""))))</f>
        <v/>
      </c>
      <c r="BN186" s="137" t="str">
        <f aca="false">IF($BX186&lt;&gt;Constants!$B$6,"",IF($AT186,Constants!$B$17*$AV186+Constants!$B$18*IF($AW186,$AX186,Constants!$B$19),Constants!$B$20))</f>
        <v/>
      </c>
      <c r="BO186" s="138" t="str">
        <f aca="false">IF($BX186&lt;&gt;Constants!$B$6,"",Constants!$B$21*ABS($AD$9-IF($AT186,$AU186,0)))</f>
        <v/>
      </c>
      <c r="BP186" s="138" t="str">
        <f aca="false">IF($BX186&lt;&gt;Constants!$B$6,"",IF(AND($AT186,$AY186,$AW186),Constants!$B$22,0))</f>
        <v/>
      </c>
      <c r="BQ186" s="138" t="str">
        <f aca="false">IF($BX186&lt;&gt;Constants!$B$6,"",IF($AT186,($AI186-Constants!$B$24)*Constants!$B$23,0))</f>
        <v/>
      </c>
      <c r="BR186" s="138" t="str">
        <f aca="false">IF($BX186&lt;&gt;Constants!$B$6,"",IF($AS186,0,Constants!$B$12)+IF($AR186,0,Constants!$B$13)+IF($AH186,0,Constants!$B$14))</f>
        <v/>
      </c>
      <c r="BS186" s="139" t="str">
        <f aca="false">IF($BX186&lt;&gt;Constants!$B$6,"",Constants!$B$16+SUM($BN186:$BR186))</f>
        <v/>
      </c>
      <c r="BT186" s="138" t="str">
        <f aca="false">IF($BX186&lt;&gt;Constants!$B$6,"",$BN186)</f>
        <v/>
      </c>
      <c r="BU186" s="138" t="str">
        <f aca="false">IF($BX186&lt;&gt;Constants!$B$6,"",$BO186)</f>
        <v/>
      </c>
      <c r="BV186" s="140" t="str">
        <f aca="false">IF($BX186&lt;&gt;Constants!$B$6,"",IF($AT186,$AV186,""))</f>
        <v/>
      </c>
      <c r="BW186" s="135" t="str">
        <f aca="false">IF(ISBLANK($C186),"",IF(ISBLANK($D$7),$BW$5,IF(NOT(ISNUMBER($D$7)),$BW$6,"")))</f>
        <v/>
      </c>
      <c r="BX186" s="135" t="str">
        <f aca="false">IF(ISBLANK($C186),"",IF($BA186,Constants!$B$9,IF(COUNTA($E186:$AA186)=0,Constants!$B$8,IF(NOT($AG186),Constants!$B$7,IF(OR($BW186&lt;&gt;"",$BB186,$BM186),Constants!$B$10,Constants!$B$6)))))</f>
        <v/>
      </c>
      <c r="BY186" s="135" t="str">
        <f aca="false">IF(ISBLANK($C186),"",IF($BX186&lt;&gt;Constants!$B$6,$BX186,Constants!$B$11))</f>
        <v/>
      </c>
      <c r="BZ186" s="138" t="str">
        <f aca="false">IF($BX186&lt;&gt;Constants!$B$6,"",IF($BL186="-&gt;",$BS186,$BH186))</f>
        <v/>
      </c>
      <c r="CA186" s="138" t="str">
        <f aca="false">IF($BX186&lt;&gt;Constants!$B$6,"",IF($AF186,0,Constants!$B$15))</f>
        <v/>
      </c>
      <c r="CB186" s="138" t="str">
        <f aca="false">IF($BX186&lt;&gt;Constants!$B$6,"",((Constants!$B$25-$AZ186)-Constants!$B$25)/Constants!$B$26)</f>
        <v/>
      </c>
      <c r="CC186" s="138" t="str">
        <f aca="false">IF(ISBLANK($C186),"",IF($BX186&lt;&gt;Constants!$B$6,$BX186,SUM($BZ186:$CB186)))</f>
        <v/>
      </c>
      <c r="CD186" s="135" t="str">
        <f aca="false">IF(ISBLANK($C186),"",IF($BX186&lt;&gt;Constants!$B$6,$BX186,RANK($CC186,$CC$9:$CC$508,1)))</f>
        <v/>
      </c>
      <c r="CE186" s="138" t="str">
        <f aca="false">IF($BX186&lt;&gt;Constants!$B$6,"",IF($BL186="-&gt;",$BT186,$BI186))</f>
        <v/>
      </c>
      <c r="CF186" s="135" t="str">
        <f aca="false">IF(ISBLANK($C186),"",IF($BX186&lt;&gt;Constants!$B$6,$BX186,IF(ISNUMBER($CE186),RANK($CE186,$CE$9:$CE$508,1),COUNT($CE$9:$CE$508)+1)))</f>
        <v/>
      </c>
      <c r="CG186" s="138" t="str">
        <f aca="false">IF($BX186&lt;&gt;Constants!$B$6,"",IF($BL186="-&gt;",$BU186,$BJ186))</f>
        <v/>
      </c>
      <c r="CH186" s="135" t="str">
        <f aca="false">IF(ISBLANK($C186),"",IF($BX186&lt;&gt;Constants!$B$6,$BX186,IF(ISNUMBER($CG186),RANK($CG186,$CG$9:$CG$508,1),COUNT($CG$9:$CG$508)+1)))</f>
        <v/>
      </c>
      <c r="CI186" s="138" t="str">
        <f aca="false">IF($BX186&lt;&gt;Constants!$B$6,"",IF($BL186="-&gt;",$BV186,$BK186))</f>
        <v/>
      </c>
      <c r="CJ186" s="135" t="str">
        <f aca="false">IF(ISBLANK($C186),"",IF($BX186&lt;&gt;Constants!$B$6,$BX186,IF(ISNUMBER($CI186),RANK($CI186,$CI$9:$CI$508,1),COUNT($CI$9:$CI$508)+1)))</f>
        <v/>
      </c>
      <c r="CK186" s="138" t="str">
        <f aca="false">IF($BX186&lt;&gt;Constants!$B$6,"",$AI186)</f>
        <v/>
      </c>
      <c r="CL186" s="135" t="str">
        <f aca="false">IF(ISBLANK($C186),"",IF($BX186&lt;&gt;Constants!$B$6,$BX186,IF(ISNUMBER($CK186),RANK($CK186,$CK$9:$CK$508,1),COUNT($CK$9:$CK$508)+1)))</f>
        <v/>
      </c>
      <c r="CM186" s="135" t="str">
        <f aca="false">IF(ISBLANK($C186),"",IF($BX186&lt;&gt;Constants!$B$6,$BX186,COUNTIFS($CD$9:$CD$508,"&lt;"&amp;$CD186)+COUNTIFS($CD$9:$CD$508,$CD186,$CF$9:$CF$508,"&lt;"&amp;$CF186)+COUNTIFS($CD$9:$CD$508,$CD186,$CF$9:$CF$508,$CF186,$CH$9:$CH$508,"&lt;"&amp;$CH186)+COUNTIFS($CD$9:$CD$508,$CD186,$CF$9:$CF$508,$CF186,$CH$9:$CH$508,$CH186,$CJ$9:$CJ$508,"&lt;"&amp;$CJ186)+COUNTIFS($CD$9:$CD$508,$CD186,$CF$9:$CF$508,$CF186,$CH$9:$CH$508,$CH186,$CJ$9:$CJ$508,$CJ186,$CL$9:$CL$508,"&lt;"&amp;$CL186)+1))</f>
        <v/>
      </c>
      <c r="CN186" s="135" t="str">
        <f aca="false">IF(ISBLANK($C186),"",IF($BX186&lt;&gt;Constants!$B$6,$BX186,$CD186-$CM186))</f>
        <v/>
      </c>
      <c r="CO186" s="141"/>
      <c r="CP186" s="142"/>
      <c r="CQ186" s="143" t="str">
        <f aca="false">IF(ISBLANK($C186),"",IF($BX186=Constants!$B$10,$BW186,""))</f>
        <v/>
      </c>
      <c r="CR186" s="142" t="str">
        <f aca="false">IF(ISBLANK($C186),"",IF($BX186&lt;&gt;Constants!$B$6,"",IF($BL186="-&gt;",2,1)))</f>
        <v/>
      </c>
      <c r="CS186" s="144" t="str">
        <f aca="false">IF(ISBLANK($C186),"",IF($BX186&lt;&gt;Constants!$B$6,"",IF($BL186="-&gt;",$BN186,$BC186)))</f>
        <v/>
      </c>
      <c r="CT186" s="144" t="str">
        <f aca="false">IF(ISBLANK($C186),"",IF($BX186&lt;&gt;Constants!$B$6,"",IF($BL186="-&gt;",$BO186,$BD186)))</f>
        <v/>
      </c>
      <c r="CU186" s="144" t="str">
        <f aca="false">IF(ISBLANK($C186),"",IF($BX186&lt;&gt;Constants!$B$6,"",IF($BL186="-&gt;",$BP186+$BQ186,$BE186+$BF186)+$CB186))</f>
        <v/>
      </c>
      <c r="CV186" s="144" t="str">
        <f aca="false">IF(ISBLANK($C186),"",IF($BX186&lt;&gt;Constants!$B$6,"",IF($BL186="-&gt;",$BR186,$BG186)+$CA186))</f>
        <v/>
      </c>
      <c r="CW186" s="145" t="str">
        <f aca="false">IF(ISBLANK($C186),"",IF($BX186&lt;&gt;Constants!$B$6,$BX186,$CC186))</f>
        <v/>
      </c>
      <c r="CX186" s="146" t="str">
        <f aca="false">IF(ISBLANK($C186),"",$BY186)</f>
        <v/>
      </c>
      <c r="CY186" s="147" t="str">
        <f aca="false">IF(ISBLANK($C186),"",$CN186)</f>
        <v/>
      </c>
      <c r="CZ186" s="147" t="str">
        <f aca="false">IF(ISBLANK($C186),"",$CM186)</f>
        <v/>
      </c>
      <c r="DA186" s="148" t="str">
        <f aca="false">IF(ISBLANK($C186),"",IFERROR(_xlfn.SWITCH($CZ186,Constants!$B$9,COUNTA($C$9:$C$508)+2,Constants!$B$8,COUNTA($C$9:$C$508)+1,Constants!$B$7,COUNTA($C$9:$C$508)),$CZ186))</f>
        <v/>
      </c>
      <c r="DB186" s="9"/>
      <c r="DC186" s="149" t="n">
        <f aca="false">IF(OR(ISNUMBER($CZ186),$CZ186=Constants!$B$9,$CZ186=Constants!$B$7,$CZ186=Constants!$B$8),1,0)</f>
        <v>0</v>
      </c>
      <c r="DD186" s="149" t="n">
        <v>178</v>
      </c>
      <c r="DE186" s="149" t="str">
        <f aca="false">IF(ISBLANK($C186),"",IF(ISNUMBER($DA186),$DA186+ROW($B186)/1000,""))</f>
        <v/>
      </c>
      <c r="DF186" s="149" t="str">
        <f aca="false">IF(ISNUMBER($DE186),RANK($DE186,$DE$9:$DE$508,1),"")</f>
        <v/>
      </c>
      <c r="DG186" s="149" t="str">
        <f aca="false">IF(ISBLANK($C186),"",$B186)</f>
        <v/>
      </c>
      <c r="DH186" s="149" t="str">
        <f aca="false">IF(ISBLANK($C186),"",$C186)</f>
        <v/>
      </c>
      <c r="DI186" s="149" t="str">
        <f aca="false">IF(ISBLANK($C186),"",$D186)</f>
        <v/>
      </c>
      <c r="DJ186" s="150" t="str">
        <f aca="false">$CX186</f>
        <v/>
      </c>
      <c r="DK186" s="151" t="str">
        <f aca="false">$CW186</f>
        <v/>
      </c>
      <c r="DL186" s="149" t="str">
        <f aca="false">IF(ISBLANK($C186),"",$CZ186)</f>
        <v/>
      </c>
      <c r="DM186" s="152" t="str">
        <f aca="false">IF($DD186&gt;$DC$8,"",VLOOKUP($DD186,$DF$9:$DL$508,7,FALSE()))</f>
        <v/>
      </c>
      <c r="DN186" s="153" t="str">
        <f aca="false">IF($DD186&gt;$DC$8,"",VLOOKUP($DD186,$DF$9:$DL$508,2,FALSE()))</f>
        <v/>
      </c>
      <c r="DO186" s="153" t="str">
        <f aca="false">IF($DD186&gt;$DC$8,"",VLOOKUP($DD186,$DF$9:$DL$508,3,FALSE()))</f>
        <v/>
      </c>
      <c r="DP186" s="153" t="str">
        <f aca="false">IF($DD186&gt;$DC$8,"",VLOOKUP($DD186,$DF$9:$DL$508,4,FALSE()))</f>
        <v/>
      </c>
      <c r="DQ186" s="153" t="str">
        <f aca="false">IF($DD186&gt;$DC$8,"",VLOOKUP($DD186,$DF$9:$DL$508,5,FALSE()))</f>
        <v/>
      </c>
      <c r="DR186" s="154" t="str">
        <f aca="false">IF($DD186&gt;$DC$8,"",VLOOKUP($DD186,$DF$9:$DL$508,6,FALSE()))</f>
        <v/>
      </c>
      <c r="DS186" s="76"/>
    </row>
    <row r="187" customFormat="false" ht="15.75" hidden="false" customHeight="false" outlineLevel="0" collapsed="false">
      <c r="A187" s="9"/>
      <c r="B187" s="160"/>
      <c r="C187" s="161"/>
      <c r="D187" s="162"/>
      <c r="E187" s="180"/>
      <c r="F187" s="164"/>
      <c r="G187" s="165"/>
      <c r="H187" s="165"/>
      <c r="I187" s="181"/>
      <c r="J187" s="168"/>
      <c r="K187" s="128"/>
      <c r="L187" s="129"/>
      <c r="M187" s="130"/>
      <c r="N187" s="168"/>
      <c r="O187" s="168"/>
      <c r="P187" s="180"/>
      <c r="Q187" s="168"/>
      <c r="R187" s="168"/>
      <c r="S187" s="128"/>
      <c r="T187" s="130"/>
      <c r="U187" s="130"/>
      <c r="V187" s="168"/>
      <c r="W187" s="168"/>
      <c r="X187" s="180"/>
      <c r="Y187" s="168"/>
      <c r="Z187" s="169"/>
      <c r="AA187" s="168"/>
      <c r="AB187" s="134"/>
      <c r="AC187" s="135"/>
      <c r="AD187" s="135"/>
      <c r="AE187" s="135"/>
      <c r="AF187" s="135" t="str">
        <f aca="false">IF(ISBLANK($C187),"",IF(E187=Constants!$B$2,TRUE(),IF(E187=Constants!$B$3,FALSE(),TRUE())))</f>
        <v/>
      </c>
      <c r="AG187" s="135" t="str">
        <f aca="false">IF(ISBLANK($C187),"",IF(F187=Constants!$B$2,TRUE(),IF(F187=Constants!$B$3,FALSE(),TRUE())))</f>
        <v/>
      </c>
      <c r="AH187" s="135" t="str">
        <f aca="false">IF(ISBLANK($C187),"",IF(G187=Constants!$B$2,TRUE(),IF(G187=Constants!$B$3,FALSE(),TRUE())))</f>
        <v/>
      </c>
      <c r="AI187" s="135" t="str">
        <f aca="false">IF(ISBLANK($C187),"",IF(AND(ISNUMBER(H187),H187&gt;=0),H187,Constants!$B$24))</f>
        <v/>
      </c>
      <c r="AJ187" s="135" t="str">
        <f aca="false">IF(ISBLANK($C187),"",IF(I187=Constants!$B$2,TRUE(),IF(I187=Constants!$B$3,FALSE(),TRUE())))</f>
        <v/>
      </c>
      <c r="AK187" s="135" t="str">
        <f aca="false">IF(ISBLANK($C187),"",IF(J187=Constants!$B$2,TRUE(),IF(J187=Constants!$B$3,FALSE(),TRUE())))</f>
        <v/>
      </c>
      <c r="AL187" s="135" t="str">
        <f aca="false">IF(ISBLANK($C187),"",IF(K187=Constants!$B$4,TRUE(),IF(K187=Constants!$B$5,FALSE(),COUNTA(L187:P187)&gt;0)))</f>
        <v/>
      </c>
      <c r="AM187" s="136" t="str">
        <f aca="false">IF(ISBLANK($C187),"",IF(ISNUMBER(L187),IF(L187&gt;=0,L187,""),""))</f>
        <v/>
      </c>
      <c r="AN187" s="137" t="str">
        <f aca="false">IF(ISBLANK($C187),"",IF(ISNUMBER(M187),IF(M187&gt;=0,M187,""),""))</f>
        <v/>
      </c>
      <c r="AO187" s="137" t="str">
        <f aca="false">IF(ISBLANK($C187),"",IF(N187=Constants!$B$2,TRUE(),IF(N187=Constants!$B$3,FALSE(),TRUE())))</f>
        <v/>
      </c>
      <c r="AP187" s="135" t="str">
        <f aca="false">IF(ISBLANK($C187),"",IF(ISNUMBER(O187),IF(O187&gt;=0,O187,""),""))</f>
        <v/>
      </c>
      <c r="AQ187" s="135" t="str">
        <f aca="false">IF(ISBLANK($C187),"",IF(P187=Constants!$B$2,TRUE(),IF(P187=Constants!$B$3,FALSE(),FALSE())))</f>
        <v/>
      </c>
      <c r="AR187" s="135" t="str">
        <f aca="false">IF(ISBLANK($C187),"",IF(Q187=Constants!$B$2,TRUE(),IF(Q187=Constants!$B$3,FALSE(),TRUE())))</f>
        <v/>
      </c>
      <c r="AS187" s="135" t="str">
        <f aca="false">IF(ISBLANK($C187),"",IF(R187=Constants!$B$2,TRUE(),IF(R187=Constants!$B$3,FALSE(),TRUE())))</f>
        <v/>
      </c>
      <c r="AT187" s="135" t="str">
        <f aca="false">IF(ISBLANK($C187),"",IF(S187=Constants!$B$4,TRUE(),IF(S187=Constants!$B$5,FALSE(),COUNTA(T187:X187)&gt;0)))</f>
        <v/>
      </c>
      <c r="AU187" s="136" t="str">
        <f aca="false">IF(ISBLANK($C187),"",IF(ISNUMBER(T187),IF(T187&gt;=0,T187,""),""))</f>
        <v/>
      </c>
      <c r="AV187" s="137" t="str">
        <f aca="false">IF(ISBLANK($C187),"",IF(ISNUMBER(U187),IF(U187&gt;=0,U187,""),""))</f>
        <v/>
      </c>
      <c r="AW187" s="137" t="str">
        <f aca="false">IF(ISBLANK($C187),"",IF(V187=Constants!$B$2,TRUE(),IF(V187=Constants!$B$3,FALSE(),TRUE())))</f>
        <v/>
      </c>
      <c r="AX187" s="135" t="str">
        <f aca="false">IF(ISBLANK($C187),"",IF(ISNUMBER(W187),IF(W187&gt;=0,W187,""),""))</f>
        <v/>
      </c>
      <c r="AY187" s="135" t="str">
        <f aca="false">IF(ISBLANK($C187),"",IF(X187=Constants!$B$2,TRUE(),IF(X187=Constants!$B$3,FALSE(),FALSE())))</f>
        <v/>
      </c>
      <c r="AZ187" s="135" t="str">
        <f aca="false">IF(ISBLANK($C187),"",MIN(Constants!$B$25,MAX(0,IF(ISNUMBER(Y187),Y187*60,0)+IF(ISNUMBER(Z187),Z187,0))))</f>
        <v/>
      </c>
      <c r="BA187" s="135" t="str">
        <f aca="false">IF(ISBLANK($C187),"",IF(AA187=Constants!$B$2,TRUE(),IF(AA187=Constants!$B$3,FALSE(),FALSE())))</f>
        <v/>
      </c>
      <c r="BB187" s="134" t="str">
        <f aca="false">IF(ISBLANK($C187),"",AND($AL187,OR($AM187="",$AN187="",AND($AO187,$AP187=""))))</f>
        <v/>
      </c>
      <c r="BC187" s="137" t="str">
        <f aca="false">IF($BX187&lt;&gt;Constants!$B$6,"",IF($AL187,Constants!$B$17*$AN187+Constants!$B$18*IF($AO187,$AP187,Constants!$B$19),Constants!$B$20))</f>
        <v/>
      </c>
      <c r="BD187" s="138" t="str">
        <f aca="false">IF($BX187&lt;&gt;Constants!$B$6,"",Constants!$B$21*ABS($AD$9-IF($AL187,$AM187,0)))</f>
        <v/>
      </c>
      <c r="BE187" s="138" t="str">
        <f aca="false">IF($BX187&lt;&gt;Constants!$B$6,"",IF(AND($AL187,$AQ187,$AO187),Constants!$B$22,0))</f>
        <v/>
      </c>
      <c r="BF187" s="138" t="str">
        <f aca="false">IF($BX187&lt;&gt;Constants!$B$6,"",IF($AL187,($AI187-Constants!$B$24)*Constants!$B$23,0))</f>
        <v/>
      </c>
      <c r="BG187" s="138" t="str">
        <f aca="false">IF($BX187&lt;&gt;Constants!$B$6,"",IF($AK187,0,Constants!$B$12)+IF($AJ187,0,Constants!$B$13)+IF($AH187,0,Constants!$B$14))</f>
        <v/>
      </c>
      <c r="BH187" s="139" t="str">
        <f aca="false">IF($BX187&lt;&gt;Constants!$B$6,"",Constants!$B$16+SUM($BC187:$BG187))</f>
        <v/>
      </c>
      <c r="BI187" s="138" t="str">
        <f aca="false">IF($BX187&lt;&gt;Constants!$B$6,"",$BC187)</f>
        <v/>
      </c>
      <c r="BJ187" s="138" t="str">
        <f aca="false">IF($BX187&lt;&gt;Constants!$B$6,"",$BD187)</f>
        <v/>
      </c>
      <c r="BK187" s="140" t="str">
        <f aca="false">IF($BX187&lt;&gt;Constants!$B$6,"",IF($AL187,$AN187,""))</f>
        <v/>
      </c>
      <c r="BL187" s="135" t="str">
        <f aca="false">IF($BX187&lt;&gt;Constants!$B$6,"",IF(OR($BS187&lt;$BH187,AND($BS187=$BH187,OR($BT187&lt;$BI187,AND($BT187=$BI187,OR($BU187&lt;$BJ187,AND($BU187=$BJ187,AND(ISNUMBER($BV187),OR(NOT(ISNUMBER($BK187)),$BV187&lt;$BK187)))))))),"-&gt;","&lt;-"))</f>
        <v/>
      </c>
      <c r="BM187" s="134" t="str">
        <f aca="false">IF(ISBLANK($C187),"",AND($AT187,OR($AU187="",$AV187="",AND($AW187,$AX187=""))))</f>
        <v/>
      </c>
      <c r="BN187" s="137" t="str">
        <f aca="false">IF($BX187&lt;&gt;Constants!$B$6,"",IF($AT187,Constants!$B$17*$AV187+Constants!$B$18*IF($AW187,$AX187,Constants!$B$19),Constants!$B$20))</f>
        <v/>
      </c>
      <c r="BO187" s="138" t="str">
        <f aca="false">IF($BX187&lt;&gt;Constants!$B$6,"",Constants!$B$21*ABS($AD$9-IF($AT187,$AU187,0)))</f>
        <v/>
      </c>
      <c r="BP187" s="138" t="str">
        <f aca="false">IF($BX187&lt;&gt;Constants!$B$6,"",IF(AND($AT187,$AY187,$AW187),Constants!$B$22,0))</f>
        <v/>
      </c>
      <c r="BQ187" s="138" t="str">
        <f aca="false">IF($BX187&lt;&gt;Constants!$B$6,"",IF($AT187,($AI187-Constants!$B$24)*Constants!$B$23,0))</f>
        <v/>
      </c>
      <c r="BR187" s="138" t="str">
        <f aca="false">IF($BX187&lt;&gt;Constants!$B$6,"",IF($AS187,0,Constants!$B$12)+IF($AR187,0,Constants!$B$13)+IF($AH187,0,Constants!$B$14))</f>
        <v/>
      </c>
      <c r="BS187" s="139" t="str">
        <f aca="false">IF($BX187&lt;&gt;Constants!$B$6,"",Constants!$B$16+SUM($BN187:$BR187))</f>
        <v/>
      </c>
      <c r="BT187" s="138" t="str">
        <f aca="false">IF($BX187&lt;&gt;Constants!$B$6,"",$BN187)</f>
        <v/>
      </c>
      <c r="BU187" s="138" t="str">
        <f aca="false">IF($BX187&lt;&gt;Constants!$B$6,"",$BO187)</f>
        <v/>
      </c>
      <c r="BV187" s="140" t="str">
        <f aca="false">IF($BX187&lt;&gt;Constants!$B$6,"",IF($AT187,$AV187,""))</f>
        <v/>
      </c>
      <c r="BW187" s="135" t="str">
        <f aca="false">IF(ISBLANK($C187),"",IF(ISBLANK($D$7),$BW$5,IF(NOT(ISNUMBER($D$7)),$BW$6,"")))</f>
        <v/>
      </c>
      <c r="BX187" s="135" t="str">
        <f aca="false">IF(ISBLANK($C187),"",IF($BA187,Constants!$B$9,IF(COUNTA($E187:$AA187)=0,Constants!$B$8,IF(NOT($AG187),Constants!$B$7,IF(OR($BW187&lt;&gt;"",$BB187,$BM187),Constants!$B$10,Constants!$B$6)))))</f>
        <v/>
      </c>
      <c r="BY187" s="135" t="str">
        <f aca="false">IF(ISBLANK($C187),"",IF($BX187&lt;&gt;Constants!$B$6,$BX187,Constants!$B$11))</f>
        <v/>
      </c>
      <c r="BZ187" s="138" t="str">
        <f aca="false">IF($BX187&lt;&gt;Constants!$B$6,"",IF($BL187="-&gt;",$BS187,$BH187))</f>
        <v/>
      </c>
      <c r="CA187" s="138" t="str">
        <f aca="false">IF($BX187&lt;&gt;Constants!$B$6,"",IF($AF187,0,Constants!$B$15))</f>
        <v/>
      </c>
      <c r="CB187" s="138" t="str">
        <f aca="false">IF($BX187&lt;&gt;Constants!$B$6,"",((Constants!$B$25-$AZ187)-Constants!$B$25)/Constants!$B$26)</f>
        <v/>
      </c>
      <c r="CC187" s="138" t="str">
        <f aca="false">IF(ISBLANK($C187),"",IF($BX187&lt;&gt;Constants!$B$6,$BX187,SUM($BZ187:$CB187)))</f>
        <v/>
      </c>
      <c r="CD187" s="135" t="str">
        <f aca="false">IF(ISBLANK($C187),"",IF($BX187&lt;&gt;Constants!$B$6,$BX187,RANK($CC187,$CC$9:$CC$508,1)))</f>
        <v/>
      </c>
      <c r="CE187" s="138" t="str">
        <f aca="false">IF($BX187&lt;&gt;Constants!$B$6,"",IF($BL187="-&gt;",$BT187,$BI187))</f>
        <v/>
      </c>
      <c r="CF187" s="135" t="str">
        <f aca="false">IF(ISBLANK($C187),"",IF($BX187&lt;&gt;Constants!$B$6,$BX187,IF(ISNUMBER($CE187),RANK($CE187,$CE$9:$CE$508,1),COUNT($CE$9:$CE$508)+1)))</f>
        <v/>
      </c>
      <c r="CG187" s="138" t="str">
        <f aca="false">IF($BX187&lt;&gt;Constants!$B$6,"",IF($BL187="-&gt;",$BU187,$BJ187))</f>
        <v/>
      </c>
      <c r="CH187" s="135" t="str">
        <f aca="false">IF(ISBLANK($C187),"",IF($BX187&lt;&gt;Constants!$B$6,$BX187,IF(ISNUMBER($CG187),RANK($CG187,$CG$9:$CG$508,1),COUNT($CG$9:$CG$508)+1)))</f>
        <v/>
      </c>
      <c r="CI187" s="138" t="str">
        <f aca="false">IF($BX187&lt;&gt;Constants!$B$6,"",IF($BL187="-&gt;",$BV187,$BK187))</f>
        <v/>
      </c>
      <c r="CJ187" s="135" t="str">
        <f aca="false">IF(ISBLANK($C187),"",IF($BX187&lt;&gt;Constants!$B$6,$BX187,IF(ISNUMBER($CI187),RANK($CI187,$CI$9:$CI$508,1),COUNT($CI$9:$CI$508)+1)))</f>
        <v/>
      </c>
      <c r="CK187" s="138" t="str">
        <f aca="false">IF($BX187&lt;&gt;Constants!$B$6,"",$AI187)</f>
        <v/>
      </c>
      <c r="CL187" s="135" t="str">
        <f aca="false">IF(ISBLANK($C187),"",IF($BX187&lt;&gt;Constants!$B$6,$BX187,IF(ISNUMBER($CK187),RANK($CK187,$CK$9:$CK$508,1),COUNT($CK$9:$CK$508)+1)))</f>
        <v/>
      </c>
      <c r="CM187" s="135" t="str">
        <f aca="false">IF(ISBLANK($C187),"",IF($BX187&lt;&gt;Constants!$B$6,$BX187,COUNTIFS($CD$9:$CD$508,"&lt;"&amp;$CD187)+COUNTIFS($CD$9:$CD$508,$CD187,$CF$9:$CF$508,"&lt;"&amp;$CF187)+COUNTIFS($CD$9:$CD$508,$CD187,$CF$9:$CF$508,$CF187,$CH$9:$CH$508,"&lt;"&amp;$CH187)+COUNTIFS($CD$9:$CD$508,$CD187,$CF$9:$CF$508,$CF187,$CH$9:$CH$508,$CH187,$CJ$9:$CJ$508,"&lt;"&amp;$CJ187)+COUNTIFS($CD$9:$CD$508,$CD187,$CF$9:$CF$508,$CF187,$CH$9:$CH$508,$CH187,$CJ$9:$CJ$508,$CJ187,$CL$9:$CL$508,"&lt;"&amp;$CL187)+1))</f>
        <v/>
      </c>
      <c r="CN187" s="135" t="str">
        <f aca="false">IF(ISBLANK($C187),"",IF($BX187&lt;&gt;Constants!$B$6,$BX187,$CD187-$CM187))</f>
        <v/>
      </c>
      <c r="CO187" s="141"/>
      <c r="CP187" s="142"/>
      <c r="CQ187" s="143" t="str">
        <f aca="false">IF(ISBLANK($C187),"",IF($BX187=Constants!$B$10,$BW187,""))</f>
        <v/>
      </c>
      <c r="CR187" s="142" t="str">
        <f aca="false">IF(ISBLANK($C187),"",IF($BX187&lt;&gt;Constants!$B$6,"",IF($BL187="-&gt;",2,1)))</f>
        <v/>
      </c>
      <c r="CS187" s="144" t="str">
        <f aca="false">IF(ISBLANK($C187),"",IF($BX187&lt;&gt;Constants!$B$6,"",IF($BL187="-&gt;",$BN187,$BC187)))</f>
        <v/>
      </c>
      <c r="CT187" s="144" t="str">
        <f aca="false">IF(ISBLANK($C187),"",IF($BX187&lt;&gt;Constants!$B$6,"",IF($BL187="-&gt;",$BO187,$BD187)))</f>
        <v/>
      </c>
      <c r="CU187" s="144" t="str">
        <f aca="false">IF(ISBLANK($C187),"",IF($BX187&lt;&gt;Constants!$B$6,"",IF($BL187="-&gt;",$BP187+$BQ187,$BE187+$BF187)+$CB187))</f>
        <v/>
      </c>
      <c r="CV187" s="144" t="str">
        <f aca="false">IF(ISBLANK($C187),"",IF($BX187&lt;&gt;Constants!$B$6,"",IF($BL187="-&gt;",$BR187,$BG187)+$CA187))</f>
        <v/>
      </c>
      <c r="CW187" s="145" t="str">
        <f aca="false">IF(ISBLANK($C187),"",IF($BX187&lt;&gt;Constants!$B$6,$BX187,$CC187))</f>
        <v/>
      </c>
      <c r="CX187" s="146" t="str">
        <f aca="false">IF(ISBLANK($C187),"",$BY187)</f>
        <v/>
      </c>
      <c r="CY187" s="147" t="str">
        <f aca="false">IF(ISBLANK($C187),"",$CN187)</f>
        <v/>
      </c>
      <c r="CZ187" s="147" t="str">
        <f aca="false">IF(ISBLANK($C187),"",$CM187)</f>
        <v/>
      </c>
      <c r="DA187" s="148" t="str">
        <f aca="false">IF(ISBLANK($C187),"",IFERROR(_xlfn.SWITCH($CZ187,Constants!$B$9,COUNTA($C$9:$C$508)+2,Constants!$B$8,COUNTA($C$9:$C$508)+1,Constants!$B$7,COUNTA($C$9:$C$508)),$CZ187))</f>
        <v/>
      </c>
      <c r="DB187" s="9"/>
      <c r="DC187" s="149" t="n">
        <f aca="false">IF(OR(ISNUMBER($CZ187),$CZ187=Constants!$B$9,$CZ187=Constants!$B$7,$CZ187=Constants!$B$8),1,0)</f>
        <v>0</v>
      </c>
      <c r="DD187" s="149" t="n">
        <v>179</v>
      </c>
      <c r="DE187" s="149" t="str">
        <f aca="false">IF(ISBLANK($C187),"",IF(ISNUMBER($DA187),$DA187+ROW($B187)/1000,""))</f>
        <v/>
      </c>
      <c r="DF187" s="149" t="str">
        <f aca="false">IF(ISNUMBER($DE187),RANK($DE187,$DE$9:$DE$508,1),"")</f>
        <v/>
      </c>
      <c r="DG187" s="149" t="str">
        <f aca="false">IF(ISBLANK($C187),"",$B187)</f>
        <v/>
      </c>
      <c r="DH187" s="149" t="str">
        <f aca="false">IF(ISBLANK($C187),"",$C187)</f>
        <v/>
      </c>
      <c r="DI187" s="149" t="str">
        <f aca="false">IF(ISBLANK($C187),"",$D187)</f>
        <v/>
      </c>
      <c r="DJ187" s="150" t="str">
        <f aca="false">$CX187</f>
        <v/>
      </c>
      <c r="DK187" s="151" t="str">
        <f aca="false">$CW187</f>
        <v/>
      </c>
      <c r="DL187" s="149" t="str">
        <f aca="false">IF(ISBLANK($C187),"",$CZ187)</f>
        <v/>
      </c>
      <c r="DM187" s="152" t="str">
        <f aca="false">IF($DD187&gt;$DC$8,"",VLOOKUP($DD187,$DF$9:$DL$508,7,FALSE()))</f>
        <v/>
      </c>
      <c r="DN187" s="153" t="str">
        <f aca="false">IF($DD187&gt;$DC$8,"",VLOOKUP($DD187,$DF$9:$DL$508,2,FALSE()))</f>
        <v/>
      </c>
      <c r="DO187" s="153" t="str">
        <f aca="false">IF($DD187&gt;$DC$8,"",VLOOKUP($DD187,$DF$9:$DL$508,3,FALSE()))</f>
        <v/>
      </c>
      <c r="DP187" s="153" t="str">
        <f aca="false">IF($DD187&gt;$DC$8,"",VLOOKUP($DD187,$DF$9:$DL$508,4,FALSE()))</f>
        <v/>
      </c>
      <c r="DQ187" s="153" t="str">
        <f aca="false">IF($DD187&gt;$DC$8,"",VLOOKUP($DD187,$DF$9:$DL$508,5,FALSE()))</f>
        <v/>
      </c>
      <c r="DR187" s="154" t="str">
        <f aca="false">IF($DD187&gt;$DC$8,"",VLOOKUP($DD187,$DF$9:$DL$508,6,FALSE()))</f>
        <v/>
      </c>
      <c r="DS187" s="76"/>
    </row>
    <row r="188" customFormat="false" ht="15.75" hidden="false" customHeight="false" outlineLevel="0" collapsed="false">
      <c r="A188" s="9"/>
      <c r="B188" s="160"/>
      <c r="C188" s="161"/>
      <c r="D188" s="162"/>
      <c r="E188" s="180"/>
      <c r="F188" s="164"/>
      <c r="G188" s="165"/>
      <c r="H188" s="165"/>
      <c r="I188" s="181"/>
      <c r="J188" s="168"/>
      <c r="K188" s="128"/>
      <c r="L188" s="129"/>
      <c r="M188" s="130"/>
      <c r="N188" s="168"/>
      <c r="O188" s="168"/>
      <c r="P188" s="180"/>
      <c r="Q188" s="168"/>
      <c r="R188" s="168"/>
      <c r="S188" s="128"/>
      <c r="T188" s="130"/>
      <c r="U188" s="130"/>
      <c r="V188" s="168"/>
      <c r="W188" s="168"/>
      <c r="X188" s="180"/>
      <c r="Y188" s="168"/>
      <c r="Z188" s="169"/>
      <c r="AA188" s="168"/>
      <c r="AB188" s="134"/>
      <c r="AC188" s="135"/>
      <c r="AD188" s="135"/>
      <c r="AE188" s="135"/>
      <c r="AF188" s="135" t="str">
        <f aca="false">IF(ISBLANK($C188),"",IF(E188=Constants!$B$2,TRUE(),IF(E188=Constants!$B$3,FALSE(),TRUE())))</f>
        <v/>
      </c>
      <c r="AG188" s="135" t="str">
        <f aca="false">IF(ISBLANK($C188),"",IF(F188=Constants!$B$2,TRUE(),IF(F188=Constants!$B$3,FALSE(),TRUE())))</f>
        <v/>
      </c>
      <c r="AH188" s="135" t="str">
        <f aca="false">IF(ISBLANK($C188),"",IF(G188=Constants!$B$2,TRUE(),IF(G188=Constants!$B$3,FALSE(),TRUE())))</f>
        <v/>
      </c>
      <c r="AI188" s="135" t="str">
        <f aca="false">IF(ISBLANK($C188),"",IF(AND(ISNUMBER(H188),H188&gt;=0),H188,Constants!$B$24))</f>
        <v/>
      </c>
      <c r="AJ188" s="135" t="str">
        <f aca="false">IF(ISBLANK($C188),"",IF(I188=Constants!$B$2,TRUE(),IF(I188=Constants!$B$3,FALSE(),TRUE())))</f>
        <v/>
      </c>
      <c r="AK188" s="135" t="str">
        <f aca="false">IF(ISBLANK($C188),"",IF(J188=Constants!$B$2,TRUE(),IF(J188=Constants!$B$3,FALSE(),TRUE())))</f>
        <v/>
      </c>
      <c r="AL188" s="135" t="str">
        <f aca="false">IF(ISBLANK($C188),"",IF(K188=Constants!$B$4,TRUE(),IF(K188=Constants!$B$5,FALSE(),COUNTA(L188:P188)&gt;0)))</f>
        <v/>
      </c>
      <c r="AM188" s="136" t="str">
        <f aca="false">IF(ISBLANK($C188),"",IF(ISNUMBER(L188),IF(L188&gt;=0,L188,""),""))</f>
        <v/>
      </c>
      <c r="AN188" s="137" t="str">
        <f aca="false">IF(ISBLANK($C188),"",IF(ISNUMBER(M188),IF(M188&gt;=0,M188,""),""))</f>
        <v/>
      </c>
      <c r="AO188" s="137" t="str">
        <f aca="false">IF(ISBLANK($C188),"",IF(N188=Constants!$B$2,TRUE(),IF(N188=Constants!$B$3,FALSE(),TRUE())))</f>
        <v/>
      </c>
      <c r="AP188" s="135" t="str">
        <f aca="false">IF(ISBLANK($C188),"",IF(ISNUMBER(O188),IF(O188&gt;=0,O188,""),""))</f>
        <v/>
      </c>
      <c r="AQ188" s="135" t="str">
        <f aca="false">IF(ISBLANK($C188),"",IF(P188=Constants!$B$2,TRUE(),IF(P188=Constants!$B$3,FALSE(),FALSE())))</f>
        <v/>
      </c>
      <c r="AR188" s="135" t="str">
        <f aca="false">IF(ISBLANK($C188),"",IF(Q188=Constants!$B$2,TRUE(),IF(Q188=Constants!$B$3,FALSE(),TRUE())))</f>
        <v/>
      </c>
      <c r="AS188" s="135" t="str">
        <f aca="false">IF(ISBLANK($C188),"",IF(R188=Constants!$B$2,TRUE(),IF(R188=Constants!$B$3,FALSE(),TRUE())))</f>
        <v/>
      </c>
      <c r="AT188" s="135" t="str">
        <f aca="false">IF(ISBLANK($C188),"",IF(S188=Constants!$B$4,TRUE(),IF(S188=Constants!$B$5,FALSE(),COUNTA(T188:X188)&gt;0)))</f>
        <v/>
      </c>
      <c r="AU188" s="136" t="str">
        <f aca="false">IF(ISBLANK($C188),"",IF(ISNUMBER(T188),IF(T188&gt;=0,T188,""),""))</f>
        <v/>
      </c>
      <c r="AV188" s="137" t="str">
        <f aca="false">IF(ISBLANK($C188),"",IF(ISNUMBER(U188),IF(U188&gt;=0,U188,""),""))</f>
        <v/>
      </c>
      <c r="AW188" s="137" t="str">
        <f aca="false">IF(ISBLANK($C188),"",IF(V188=Constants!$B$2,TRUE(),IF(V188=Constants!$B$3,FALSE(),TRUE())))</f>
        <v/>
      </c>
      <c r="AX188" s="135" t="str">
        <f aca="false">IF(ISBLANK($C188),"",IF(ISNUMBER(W188),IF(W188&gt;=0,W188,""),""))</f>
        <v/>
      </c>
      <c r="AY188" s="135" t="str">
        <f aca="false">IF(ISBLANK($C188),"",IF(X188=Constants!$B$2,TRUE(),IF(X188=Constants!$B$3,FALSE(),FALSE())))</f>
        <v/>
      </c>
      <c r="AZ188" s="135" t="str">
        <f aca="false">IF(ISBLANK($C188),"",MIN(Constants!$B$25,MAX(0,IF(ISNUMBER(Y188),Y188*60,0)+IF(ISNUMBER(Z188),Z188,0))))</f>
        <v/>
      </c>
      <c r="BA188" s="135" t="str">
        <f aca="false">IF(ISBLANK($C188),"",IF(AA188=Constants!$B$2,TRUE(),IF(AA188=Constants!$B$3,FALSE(),FALSE())))</f>
        <v/>
      </c>
      <c r="BB188" s="134" t="str">
        <f aca="false">IF(ISBLANK($C188),"",AND($AL188,OR($AM188="",$AN188="",AND($AO188,$AP188=""))))</f>
        <v/>
      </c>
      <c r="BC188" s="137" t="str">
        <f aca="false">IF($BX188&lt;&gt;Constants!$B$6,"",IF($AL188,Constants!$B$17*$AN188+Constants!$B$18*IF($AO188,$AP188,Constants!$B$19),Constants!$B$20))</f>
        <v/>
      </c>
      <c r="BD188" s="138" t="str">
        <f aca="false">IF($BX188&lt;&gt;Constants!$B$6,"",Constants!$B$21*ABS($AD$9-IF($AL188,$AM188,0)))</f>
        <v/>
      </c>
      <c r="BE188" s="138" t="str">
        <f aca="false">IF($BX188&lt;&gt;Constants!$B$6,"",IF(AND($AL188,$AQ188,$AO188),Constants!$B$22,0))</f>
        <v/>
      </c>
      <c r="BF188" s="138" t="str">
        <f aca="false">IF($BX188&lt;&gt;Constants!$B$6,"",IF($AL188,($AI188-Constants!$B$24)*Constants!$B$23,0))</f>
        <v/>
      </c>
      <c r="BG188" s="138" t="str">
        <f aca="false">IF($BX188&lt;&gt;Constants!$B$6,"",IF($AK188,0,Constants!$B$12)+IF($AJ188,0,Constants!$B$13)+IF($AH188,0,Constants!$B$14))</f>
        <v/>
      </c>
      <c r="BH188" s="139" t="str">
        <f aca="false">IF($BX188&lt;&gt;Constants!$B$6,"",Constants!$B$16+SUM($BC188:$BG188))</f>
        <v/>
      </c>
      <c r="BI188" s="138" t="str">
        <f aca="false">IF($BX188&lt;&gt;Constants!$B$6,"",$BC188)</f>
        <v/>
      </c>
      <c r="BJ188" s="138" t="str">
        <f aca="false">IF($BX188&lt;&gt;Constants!$B$6,"",$BD188)</f>
        <v/>
      </c>
      <c r="BK188" s="140" t="str">
        <f aca="false">IF($BX188&lt;&gt;Constants!$B$6,"",IF($AL188,$AN188,""))</f>
        <v/>
      </c>
      <c r="BL188" s="135" t="str">
        <f aca="false">IF($BX188&lt;&gt;Constants!$B$6,"",IF(OR($BS188&lt;$BH188,AND($BS188=$BH188,OR($BT188&lt;$BI188,AND($BT188=$BI188,OR($BU188&lt;$BJ188,AND($BU188=$BJ188,AND(ISNUMBER($BV188),OR(NOT(ISNUMBER($BK188)),$BV188&lt;$BK188)))))))),"-&gt;","&lt;-"))</f>
        <v/>
      </c>
      <c r="BM188" s="134" t="str">
        <f aca="false">IF(ISBLANK($C188),"",AND($AT188,OR($AU188="",$AV188="",AND($AW188,$AX188=""))))</f>
        <v/>
      </c>
      <c r="BN188" s="137" t="str">
        <f aca="false">IF($BX188&lt;&gt;Constants!$B$6,"",IF($AT188,Constants!$B$17*$AV188+Constants!$B$18*IF($AW188,$AX188,Constants!$B$19),Constants!$B$20))</f>
        <v/>
      </c>
      <c r="BO188" s="138" t="str">
        <f aca="false">IF($BX188&lt;&gt;Constants!$B$6,"",Constants!$B$21*ABS($AD$9-IF($AT188,$AU188,0)))</f>
        <v/>
      </c>
      <c r="BP188" s="138" t="str">
        <f aca="false">IF($BX188&lt;&gt;Constants!$B$6,"",IF(AND($AT188,$AY188,$AW188),Constants!$B$22,0))</f>
        <v/>
      </c>
      <c r="BQ188" s="138" t="str">
        <f aca="false">IF($BX188&lt;&gt;Constants!$B$6,"",IF($AT188,($AI188-Constants!$B$24)*Constants!$B$23,0))</f>
        <v/>
      </c>
      <c r="BR188" s="138" t="str">
        <f aca="false">IF($BX188&lt;&gt;Constants!$B$6,"",IF($AS188,0,Constants!$B$12)+IF($AR188,0,Constants!$B$13)+IF($AH188,0,Constants!$B$14))</f>
        <v/>
      </c>
      <c r="BS188" s="139" t="str">
        <f aca="false">IF($BX188&lt;&gt;Constants!$B$6,"",Constants!$B$16+SUM($BN188:$BR188))</f>
        <v/>
      </c>
      <c r="BT188" s="138" t="str">
        <f aca="false">IF($BX188&lt;&gt;Constants!$B$6,"",$BN188)</f>
        <v/>
      </c>
      <c r="BU188" s="138" t="str">
        <f aca="false">IF($BX188&lt;&gt;Constants!$B$6,"",$BO188)</f>
        <v/>
      </c>
      <c r="BV188" s="140" t="str">
        <f aca="false">IF($BX188&lt;&gt;Constants!$B$6,"",IF($AT188,$AV188,""))</f>
        <v/>
      </c>
      <c r="BW188" s="135" t="str">
        <f aca="false">IF(ISBLANK($C188),"",IF(ISBLANK($D$7),$BW$5,IF(NOT(ISNUMBER($D$7)),$BW$6,"")))</f>
        <v/>
      </c>
      <c r="BX188" s="135" t="str">
        <f aca="false">IF(ISBLANK($C188),"",IF($BA188,Constants!$B$9,IF(COUNTA($E188:$AA188)=0,Constants!$B$8,IF(NOT($AG188),Constants!$B$7,IF(OR($BW188&lt;&gt;"",$BB188,$BM188),Constants!$B$10,Constants!$B$6)))))</f>
        <v/>
      </c>
      <c r="BY188" s="135" t="str">
        <f aca="false">IF(ISBLANK($C188),"",IF($BX188&lt;&gt;Constants!$B$6,$BX188,Constants!$B$11))</f>
        <v/>
      </c>
      <c r="BZ188" s="138" t="str">
        <f aca="false">IF($BX188&lt;&gt;Constants!$B$6,"",IF($BL188="-&gt;",$BS188,$BH188))</f>
        <v/>
      </c>
      <c r="CA188" s="138" t="str">
        <f aca="false">IF($BX188&lt;&gt;Constants!$B$6,"",IF($AF188,0,Constants!$B$15))</f>
        <v/>
      </c>
      <c r="CB188" s="138" t="str">
        <f aca="false">IF($BX188&lt;&gt;Constants!$B$6,"",((Constants!$B$25-$AZ188)-Constants!$B$25)/Constants!$B$26)</f>
        <v/>
      </c>
      <c r="CC188" s="138" t="str">
        <f aca="false">IF(ISBLANK($C188),"",IF($BX188&lt;&gt;Constants!$B$6,$BX188,SUM($BZ188:$CB188)))</f>
        <v/>
      </c>
      <c r="CD188" s="135" t="str">
        <f aca="false">IF(ISBLANK($C188),"",IF($BX188&lt;&gt;Constants!$B$6,$BX188,RANK($CC188,$CC$9:$CC$508,1)))</f>
        <v/>
      </c>
      <c r="CE188" s="138" t="str">
        <f aca="false">IF($BX188&lt;&gt;Constants!$B$6,"",IF($BL188="-&gt;",$BT188,$BI188))</f>
        <v/>
      </c>
      <c r="CF188" s="135" t="str">
        <f aca="false">IF(ISBLANK($C188),"",IF($BX188&lt;&gt;Constants!$B$6,$BX188,IF(ISNUMBER($CE188),RANK($CE188,$CE$9:$CE$508,1),COUNT($CE$9:$CE$508)+1)))</f>
        <v/>
      </c>
      <c r="CG188" s="138" t="str">
        <f aca="false">IF($BX188&lt;&gt;Constants!$B$6,"",IF($BL188="-&gt;",$BU188,$BJ188))</f>
        <v/>
      </c>
      <c r="CH188" s="135" t="str">
        <f aca="false">IF(ISBLANK($C188),"",IF($BX188&lt;&gt;Constants!$B$6,$BX188,IF(ISNUMBER($CG188),RANK($CG188,$CG$9:$CG$508,1),COUNT($CG$9:$CG$508)+1)))</f>
        <v/>
      </c>
      <c r="CI188" s="138" t="str">
        <f aca="false">IF($BX188&lt;&gt;Constants!$B$6,"",IF($BL188="-&gt;",$BV188,$BK188))</f>
        <v/>
      </c>
      <c r="CJ188" s="135" t="str">
        <f aca="false">IF(ISBLANK($C188),"",IF($BX188&lt;&gt;Constants!$B$6,$BX188,IF(ISNUMBER($CI188),RANK($CI188,$CI$9:$CI$508,1),COUNT($CI$9:$CI$508)+1)))</f>
        <v/>
      </c>
      <c r="CK188" s="138" t="str">
        <f aca="false">IF($BX188&lt;&gt;Constants!$B$6,"",$AI188)</f>
        <v/>
      </c>
      <c r="CL188" s="135" t="str">
        <f aca="false">IF(ISBLANK($C188),"",IF($BX188&lt;&gt;Constants!$B$6,$BX188,IF(ISNUMBER($CK188),RANK($CK188,$CK$9:$CK$508,1),COUNT($CK$9:$CK$508)+1)))</f>
        <v/>
      </c>
      <c r="CM188" s="135" t="str">
        <f aca="false">IF(ISBLANK($C188),"",IF($BX188&lt;&gt;Constants!$B$6,$BX188,COUNTIFS($CD$9:$CD$508,"&lt;"&amp;$CD188)+COUNTIFS($CD$9:$CD$508,$CD188,$CF$9:$CF$508,"&lt;"&amp;$CF188)+COUNTIFS($CD$9:$CD$508,$CD188,$CF$9:$CF$508,$CF188,$CH$9:$CH$508,"&lt;"&amp;$CH188)+COUNTIFS($CD$9:$CD$508,$CD188,$CF$9:$CF$508,$CF188,$CH$9:$CH$508,$CH188,$CJ$9:$CJ$508,"&lt;"&amp;$CJ188)+COUNTIFS($CD$9:$CD$508,$CD188,$CF$9:$CF$508,$CF188,$CH$9:$CH$508,$CH188,$CJ$9:$CJ$508,$CJ188,$CL$9:$CL$508,"&lt;"&amp;$CL188)+1))</f>
        <v/>
      </c>
      <c r="CN188" s="135" t="str">
        <f aca="false">IF(ISBLANK($C188),"",IF($BX188&lt;&gt;Constants!$B$6,$BX188,$CD188-$CM188))</f>
        <v/>
      </c>
      <c r="CO188" s="141"/>
      <c r="CP188" s="142"/>
      <c r="CQ188" s="143" t="str">
        <f aca="false">IF(ISBLANK($C188),"",IF($BX188=Constants!$B$10,$BW188,""))</f>
        <v/>
      </c>
      <c r="CR188" s="142" t="str">
        <f aca="false">IF(ISBLANK($C188),"",IF($BX188&lt;&gt;Constants!$B$6,"",IF($BL188="-&gt;",2,1)))</f>
        <v/>
      </c>
      <c r="CS188" s="144" t="str">
        <f aca="false">IF(ISBLANK($C188),"",IF($BX188&lt;&gt;Constants!$B$6,"",IF($BL188="-&gt;",$BN188,$BC188)))</f>
        <v/>
      </c>
      <c r="CT188" s="144" t="str">
        <f aca="false">IF(ISBLANK($C188),"",IF($BX188&lt;&gt;Constants!$B$6,"",IF($BL188="-&gt;",$BO188,$BD188)))</f>
        <v/>
      </c>
      <c r="CU188" s="144" t="str">
        <f aca="false">IF(ISBLANK($C188),"",IF($BX188&lt;&gt;Constants!$B$6,"",IF($BL188="-&gt;",$BP188+$BQ188,$BE188+$BF188)+$CB188))</f>
        <v/>
      </c>
      <c r="CV188" s="144" t="str">
        <f aca="false">IF(ISBLANK($C188),"",IF($BX188&lt;&gt;Constants!$B$6,"",IF($BL188="-&gt;",$BR188,$BG188)+$CA188))</f>
        <v/>
      </c>
      <c r="CW188" s="145" t="str">
        <f aca="false">IF(ISBLANK($C188),"",IF($BX188&lt;&gt;Constants!$B$6,$BX188,$CC188))</f>
        <v/>
      </c>
      <c r="CX188" s="146" t="str">
        <f aca="false">IF(ISBLANK($C188),"",$BY188)</f>
        <v/>
      </c>
      <c r="CY188" s="147" t="str">
        <f aca="false">IF(ISBLANK($C188),"",$CN188)</f>
        <v/>
      </c>
      <c r="CZ188" s="147" t="str">
        <f aca="false">IF(ISBLANK($C188),"",$CM188)</f>
        <v/>
      </c>
      <c r="DA188" s="148" t="str">
        <f aca="false">IF(ISBLANK($C188),"",IFERROR(_xlfn.SWITCH($CZ188,Constants!$B$9,COUNTA($C$9:$C$508)+2,Constants!$B$8,COUNTA($C$9:$C$508)+1,Constants!$B$7,COUNTA($C$9:$C$508)),$CZ188))</f>
        <v/>
      </c>
      <c r="DB188" s="9"/>
      <c r="DC188" s="149" t="n">
        <f aca="false">IF(OR(ISNUMBER($CZ188),$CZ188=Constants!$B$9,$CZ188=Constants!$B$7,$CZ188=Constants!$B$8),1,0)</f>
        <v>0</v>
      </c>
      <c r="DD188" s="149" t="n">
        <v>180</v>
      </c>
      <c r="DE188" s="149" t="str">
        <f aca="false">IF(ISBLANK($C188),"",IF(ISNUMBER($DA188),$DA188+ROW($B188)/1000,""))</f>
        <v/>
      </c>
      <c r="DF188" s="149" t="str">
        <f aca="false">IF(ISNUMBER($DE188),RANK($DE188,$DE$9:$DE$508,1),"")</f>
        <v/>
      </c>
      <c r="DG188" s="149" t="str">
        <f aca="false">IF(ISBLANK($C188),"",$B188)</f>
        <v/>
      </c>
      <c r="DH188" s="149" t="str">
        <f aca="false">IF(ISBLANK($C188),"",$C188)</f>
        <v/>
      </c>
      <c r="DI188" s="149" t="str">
        <f aca="false">IF(ISBLANK($C188),"",$D188)</f>
        <v/>
      </c>
      <c r="DJ188" s="150" t="str">
        <f aca="false">$CX188</f>
        <v/>
      </c>
      <c r="DK188" s="151" t="str">
        <f aca="false">$CW188</f>
        <v/>
      </c>
      <c r="DL188" s="149" t="str">
        <f aca="false">IF(ISBLANK($C188),"",$CZ188)</f>
        <v/>
      </c>
      <c r="DM188" s="152" t="str">
        <f aca="false">IF($DD188&gt;$DC$8,"",VLOOKUP($DD188,$DF$9:$DL$508,7,FALSE()))</f>
        <v/>
      </c>
      <c r="DN188" s="153" t="str">
        <f aca="false">IF($DD188&gt;$DC$8,"",VLOOKUP($DD188,$DF$9:$DL$508,2,FALSE()))</f>
        <v/>
      </c>
      <c r="DO188" s="153" t="str">
        <f aca="false">IF($DD188&gt;$DC$8,"",VLOOKUP($DD188,$DF$9:$DL$508,3,FALSE()))</f>
        <v/>
      </c>
      <c r="DP188" s="153" t="str">
        <f aca="false">IF($DD188&gt;$DC$8,"",VLOOKUP($DD188,$DF$9:$DL$508,4,FALSE()))</f>
        <v/>
      </c>
      <c r="DQ188" s="153" t="str">
        <f aca="false">IF($DD188&gt;$DC$8,"",VLOOKUP($DD188,$DF$9:$DL$508,5,FALSE()))</f>
        <v/>
      </c>
      <c r="DR188" s="154" t="str">
        <f aca="false">IF($DD188&gt;$DC$8,"",VLOOKUP($DD188,$DF$9:$DL$508,6,FALSE()))</f>
        <v/>
      </c>
      <c r="DS188" s="76"/>
    </row>
    <row r="189" customFormat="false" ht="15.75" hidden="false" customHeight="false" outlineLevel="0" collapsed="false">
      <c r="A189" s="9"/>
      <c r="B189" s="78"/>
      <c r="C189" s="79"/>
      <c r="D189" s="170"/>
      <c r="E189" s="178"/>
      <c r="F189" s="172"/>
      <c r="G189" s="173"/>
      <c r="H189" s="173"/>
      <c r="I189" s="179"/>
      <c r="J189" s="176"/>
      <c r="K189" s="86"/>
      <c r="L189" s="87"/>
      <c r="M189" s="88"/>
      <c r="N189" s="176"/>
      <c r="O189" s="176"/>
      <c r="P189" s="178"/>
      <c r="Q189" s="176"/>
      <c r="R189" s="176"/>
      <c r="S189" s="86"/>
      <c r="T189" s="88"/>
      <c r="U189" s="88"/>
      <c r="V189" s="176"/>
      <c r="W189" s="176"/>
      <c r="X189" s="178"/>
      <c r="Y189" s="176"/>
      <c r="Z189" s="177"/>
      <c r="AA189" s="176"/>
      <c r="AB189" s="92"/>
      <c r="AC189" s="93"/>
      <c r="AD189" s="93"/>
      <c r="AE189" s="93"/>
      <c r="AF189" s="93" t="str">
        <f aca="false">IF(ISBLANK($C189),"",IF(E189=Constants!$B$2,TRUE(),IF(E189=Constants!$B$3,FALSE(),TRUE())))</f>
        <v/>
      </c>
      <c r="AG189" s="93" t="str">
        <f aca="false">IF(ISBLANK($C189),"",IF(F189=Constants!$B$2,TRUE(),IF(F189=Constants!$B$3,FALSE(),TRUE())))</f>
        <v/>
      </c>
      <c r="AH189" s="93" t="str">
        <f aca="false">IF(ISBLANK($C189),"",IF(G189=Constants!$B$2,TRUE(),IF(G189=Constants!$B$3,FALSE(),TRUE())))</f>
        <v/>
      </c>
      <c r="AI189" s="93" t="str">
        <f aca="false">IF(ISBLANK($C189),"",IF(AND(ISNUMBER(H189),H189&gt;=0),H189,Constants!$B$24))</f>
        <v/>
      </c>
      <c r="AJ189" s="93" t="str">
        <f aca="false">IF(ISBLANK($C189),"",IF(I189=Constants!$B$2,TRUE(),IF(I189=Constants!$B$3,FALSE(),TRUE())))</f>
        <v/>
      </c>
      <c r="AK189" s="93" t="str">
        <f aca="false">IF(ISBLANK($C189),"",IF(J189=Constants!$B$2,TRUE(),IF(J189=Constants!$B$3,FALSE(),TRUE())))</f>
        <v/>
      </c>
      <c r="AL189" s="93" t="str">
        <f aca="false">IF(ISBLANK($C189),"",IF(K189=Constants!$B$4,TRUE(),IF(K189=Constants!$B$5,FALSE(),COUNTA(L189:P189)&gt;0)))</f>
        <v/>
      </c>
      <c r="AM189" s="95" t="str">
        <f aca="false">IF(ISBLANK($C189),"",IF(ISNUMBER(L189),IF(L189&gt;=0,L189,""),""))</f>
        <v/>
      </c>
      <c r="AN189" s="94" t="str">
        <f aca="false">IF(ISBLANK($C189),"",IF(ISNUMBER(M189),IF(M189&gt;=0,M189,""),""))</f>
        <v/>
      </c>
      <c r="AO189" s="94" t="str">
        <f aca="false">IF(ISBLANK($C189),"",IF(N189=Constants!$B$2,TRUE(),IF(N189=Constants!$B$3,FALSE(),TRUE())))</f>
        <v/>
      </c>
      <c r="AP189" s="93" t="str">
        <f aca="false">IF(ISBLANK($C189),"",IF(ISNUMBER(O189),IF(O189&gt;=0,O189,""),""))</f>
        <v/>
      </c>
      <c r="AQ189" s="93" t="str">
        <f aca="false">IF(ISBLANK($C189),"",IF(P189=Constants!$B$2,TRUE(),IF(P189=Constants!$B$3,FALSE(),FALSE())))</f>
        <v/>
      </c>
      <c r="AR189" s="93" t="str">
        <f aca="false">IF(ISBLANK($C189),"",IF(Q189=Constants!$B$2,TRUE(),IF(Q189=Constants!$B$3,FALSE(),TRUE())))</f>
        <v/>
      </c>
      <c r="AS189" s="93" t="str">
        <f aca="false">IF(ISBLANK($C189),"",IF(R189=Constants!$B$2,TRUE(),IF(R189=Constants!$B$3,FALSE(),TRUE())))</f>
        <v/>
      </c>
      <c r="AT189" s="93" t="str">
        <f aca="false">IF(ISBLANK($C189),"",IF(S189=Constants!$B$4,TRUE(),IF(S189=Constants!$B$5,FALSE(),COUNTA(T189:X189)&gt;0)))</f>
        <v/>
      </c>
      <c r="AU189" s="95" t="str">
        <f aca="false">IF(ISBLANK($C189),"",IF(ISNUMBER(T189),IF(T189&gt;=0,T189,""),""))</f>
        <v/>
      </c>
      <c r="AV189" s="94" t="str">
        <f aca="false">IF(ISBLANK($C189),"",IF(ISNUMBER(U189),IF(U189&gt;=0,U189,""),""))</f>
        <v/>
      </c>
      <c r="AW189" s="94" t="str">
        <f aca="false">IF(ISBLANK($C189),"",IF(V189=Constants!$B$2,TRUE(),IF(V189=Constants!$B$3,FALSE(),TRUE())))</f>
        <v/>
      </c>
      <c r="AX189" s="93" t="str">
        <f aca="false">IF(ISBLANK($C189),"",IF(ISNUMBER(W189),IF(W189&gt;=0,W189,""),""))</f>
        <v/>
      </c>
      <c r="AY189" s="93" t="str">
        <f aca="false">IF(ISBLANK($C189),"",IF(X189=Constants!$B$2,TRUE(),IF(X189=Constants!$B$3,FALSE(),FALSE())))</f>
        <v/>
      </c>
      <c r="AZ189" s="93" t="str">
        <f aca="false">IF(ISBLANK($C189),"",MIN(Constants!$B$25,MAX(0,IF(ISNUMBER(Y189),Y189*60,0)+IF(ISNUMBER(Z189),Z189,0))))</f>
        <v/>
      </c>
      <c r="BA189" s="93" t="str">
        <f aca="false">IF(ISBLANK($C189),"",IF(AA189=Constants!$B$2,TRUE(),IF(AA189=Constants!$B$3,FALSE(),FALSE())))</f>
        <v/>
      </c>
      <c r="BB189" s="92" t="str">
        <f aca="false">IF(ISBLANK($C189),"",AND($AL189,OR($AM189="",$AN189="",AND($AO189,$AP189=""))))</f>
        <v/>
      </c>
      <c r="BC189" s="94" t="str">
        <f aca="false">IF($BX189&lt;&gt;Constants!$B$6,"",IF($AL189,Constants!$B$17*$AN189+Constants!$B$18*IF($AO189,$AP189,Constants!$B$19),Constants!$B$20))</f>
        <v/>
      </c>
      <c r="BD189" s="97" t="str">
        <f aca="false">IF($BX189&lt;&gt;Constants!$B$6,"",Constants!$B$21*ABS($AD$9-IF($AL189,$AM189,0)))</f>
        <v/>
      </c>
      <c r="BE189" s="97" t="str">
        <f aca="false">IF($BX189&lt;&gt;Constants!$B$6,"",IF(AND($AL189,$AQ189,$AO189),Constants!$B$22,0))</f>
        <v/>
      </c>
      <c r="BF189" s="97" t="str">
        <f aca="false">IF($BX189&lt;&gt;Constants!$B$6,"",IF($AL189,($AI189-Constants!$B$24)*Constants!$B$23,0))</f>
        <v/>
      </c>
      <c r="BG189" s="97" t="str">
        <f aca="false">IF($BX189&lt;&gt;Constants!$B$6,"",IF($AK189,0,Constants!$B$12)+IF($AJ189,0,Constants!$B$13)+IF($AH189,0,Constants!$B$14))</f>
        <v/>
      </c>
      <c r="BH189" s="98" t="str">
        <f aca="false">IF($BX189&lt;&gt;Constants!$B$6,"",Constants!$B$16+SUM($BC189:$BG189))</f>
        <v/>
      </c>
      <c r="BI189" s="97" t="str">
        <f aca="false">IF($BX189&lt;&gt;Constants!$B$6,"",$BC189)</f>
        <v/>
      </c>
      <c r="BJ189" s="97" t="str">
        <f aca="false">IF($BX189&lt;&gt;Constants!$B$6,"",$BD189)</f>
        <v/>
      </c>
      <c r="BK189" s="99" t="str">
        <f aca="false">IF($BX189&lt;&gt;Constants!$B$6,"",IF($AL189,$AN189,""))</f>
        <v/>
      </c>
      <c r="BL189" s="93" t="str">
        <f aca="false">IF($BX189&lt;&gt;Constants!$B$6,"",IF(OR($BS189&lt;$BH189,AND($BS189=$BH189,OR($BT189&lt;$BI189,AND($BT189=$BI189,OR($BU189&lt;$BJ189,AND($BU189=$BJ189,AND(ISNUMBER($BV189),OR(NOT(ISNUMBER($BK189)),$BV189&lt;$BK189)))))))),"-&gt;","&lt;-"))</f>
        <v/>
      </c>
      <c r="BM189" s="92" t="str">
        <f aca="false">IF(ISBLANK($C189),"",AND($AT189,OR($AU189="",$AV189="",AND($AW189,$AX189=""))))</f>
        <v/>
      </c>
      <c r="BN189" s="94" t="str">
        <f aca="false">IF($BX189&lt;&gt;Constants!$B$6,"",IF($AT189,Constants!$B$17*$AV189+Constants!$B$18*IF($AW189,$AX189,Constants!$B$19),Constants!$B$20))</f>
        <v/>
      </c>
      <c r="BO189" s="97" t="str">
        <f aca="false">IF($BX189&lt;&gt;Constants!$B$6,"",Constants!$B$21*ABS($AD$9-IF($AT189,$AU189,0)))</f>
        <v/>
      </c>
      <c r="BP189" s="97" t="str">
        <f aca="false">IF($BX189&lt;&gt;Constants!$B$6,"",IF(AND($AT189,$AY189,$AW189),Constants!$B$22,0))</f>
        <v/>
      </c>
      <c r="BQ189" s="97" t="str">
        <f aca="false">IF($BX189&lt;&gt;Constants!$B$6,"",IF($AT189,($AI189-Constants!$B$24)*Constants!$B$23,0))</f>
        <v/>
      </c>
      <c r="BR189" s="97" t="str">
        <f aca="false">IF($BX189&lt;&gt;Constants!$B$6,"",IF($AS189,0,Constants!$B$12)+IF($AR189,0,Constants!$B$13)+IF($AH189,0,Constants!$B$14))</f>
        <v/>
      </c>
      <c r="BS189" s="98" t="str">
        <f aca="false">IF($BX189&lt;&gt;Constants!$B$6,"",Constants!$B$16+SUM($BN189:$BR189))</f>
        <v/>
      </c>
      <c r="BT189" s="97" t="str">
        <f aca="false">IF($BX189&lt;&gt;Constants!$B$6,"",$BN189)</f>
        <v/>
      </c>
      <c r="BU189" s="97" t="str">
        <f aca="false">IF($BX189&lt;&gt;Constants!$B$6,"",$BO189)</f>
        <v/>
      </c>
      <c r="BV189" s="99" t="str">
        <f aca="false">IF($BX189&lt;&gt;Constants!$B$6,"",IF($AT189,$AV189,""))</f>
        <v/>
      </c>
      <c r="BW189" s="93" t="str">
        <f aca="false">IF(ISBLANK($C189),"",IF(ISBLANK($D$7),$BW$5,IF(NOT(ISNUMBER($D$7)),$BW$6,"")))</f>
        <v/>
      </c>
      <c r="BX189" s="93" t="str">
        <f aca="false">IF(ISBLANK($C189),"",IF($BA189,Constants!$B$9,IF(COUNTA($E189:$AA189)=0,Constants!$B$8,IF(NOT($AG189),Constants!$B$7,IF(OR($BW189&lt;&gt;"",$BB189,$BM189),Constants!$B$10,Constants!$B$6)))))</f>
        <v/>
      </c>
      <c r="BY189" s="93" t="str">
        <f aca="false">IF(ISBLANK($C189),"",IF($BX189&lt;&gt;Constants!$B$6,$BX189,Constants!$B$11))</f>
        <v/>
      </c>
      <c r="BZ189" s="97" t="str">
        <f aca="false">IF($BX189&lt;&gt;Constants!$B$6,"",IF($BL189="-&gt;",$BS189,$BH189))</f>
        <v/>
      </c>
      <c r="CA189" s="97" t="str">
        <f aca="false">IF($BX189&lt;&gt;Constants!$B$6,"",IF($AF189,0,Constants!$B$15))</f>
        <v/>
      </c>
      <c r="CB189" s="97" t="str">
        <f aca="false">IF($BX189&lt;&gt;Constants!$B$6,"",((Constants!$B$25-$AZ189)-Constants!$B$25)/Constants!$B$26)</f>
        <v/>
      </c>
      <c r="CC189" s="97" t="str">
        <f aca="false">IF(ISBLANK($C189),"",IF($BX189&lt;&gt;Constants!$B$6,$BX189,SUM($BZ189:$CB189)))</f>
        <v/>
      </c>
      <c r="CD189" s="93" t="str">
        <f aca="false">IF(ISBLANK($C189),"",IF($BX189&lt;&gt;Constants!$B$6,$BX189,RANK($CC189,$CC$9:$CC$508,1)))</f>
        <v/>
      </c>
      <c r="CE189" s="97" t="str">
        <f aca="false">IF($BX189&lt;&gt;Constants!$B$6,"",IF($BL189="-&gt;",$BT189,$BI189))</f>
        <v/>
      </c>
      <c r="CF189" s="93" t="str">
        <f aca="false">IF(ISBLANK($C189),"",IF($BX189&lt;&gt;Constants!$B$6,$BX189,IF(ISNUMBER($CE189),RANK($CE189,$CE$9:$CE$508,1),COUNT($CE$9:$CE$508)+1)))</f>
        <v/>
      </c>
      <c r="CG189" s="97" t="str">
        <f aca="false">IF($BX189&lt;&gt;Constants!$B$6,"",IF($BL189="-&gt;",$BU189,$BJ189))</f>
        <v/>
      </c>
      <c r="CH189" s="93" t="str">
        <f aca="false">IF(ISBLANK($C189),"",IF($BX189&lt;&gt;Constants!$B$6,$BX189,IF(ISNUMBER($CG189),RANK($CG189,$CG$9:$CG$508,1),COUNT($CG$9:$CG$508)+1)))</f>
        <v/>
      </c>
      <c r="CI189" s="97" t="str">
        <f aca="false">IF($BX189&lt;&gt;Constants!$B$6,"",IF($BL189="-&gt;",$BV189,$BK189))</f>
        <v/>
      </c>
      <c r="CJ189" s="93" t="str">
        <f aca="false">IF(ISBLANK($C189),"",IF($BX189&lt;&gt;Constants!$B$6,$BX189,IF(ISNUMBER($CI189),RANK($CI189,$CI$9:$CI$508,1),COUNT($CI$9:$CI$508)+1)))</f>
        <v/>
      </c>
      <c r="CK189" s="97" t="str">
        <f aca="false">IF($BX189&lt;&gt;Constants!$B$6,"",$AI189)</f>
        <v/>
      </c>
      <c r="CL189" s="93" t="str">
        <f aca="false">IF(ISBLANK($C189),"",IF($BX189&lt;&gt;Constants!$B$6,$BX189,IF(ISNUMBER($CK189),RANK($CK189,$CK$9:$CK$508,1),COUNT($CK$9:$CK$508)+1)))</f>
        <v/>
      </c>
      <c r="CM189" s="93" t="str">
        <f aca="false">IF(ISBLANK($C189),"",IF($BX189&lt;&gt;Constants!$B$6,$BX189,COUNTIFS($CD$9:$CD$508,"&lt;"&amp;$CD189)+COUNTIFS($CD$9:$CD$508,$CD189,$CF$9:$CF$508,"&lt;"&amp;$CF189)+COUNTIFS($CD$9:$CD$508,$CD189,$CF$9:$CF$508,$CF189,$CH$9:$CH$508,"&lt;"&amp;$CH189)+COUNTIFS($CD$9:$CD$508,$CD189,$CF$9:$CF$508,$CF189,$CH$9:$CH$508,$CH189,$CJ$9:$CJ$508,"&lt;"&amp;$CJ189)+COUNTIFS($CD$9:$CD$508,$CD189,$CF$9:$CF$508,$CF189,$CH$9:$CH$508,$CH189,$CJ$9:$CJ$508,$CJ189,$CL$9:$CL$508,"&lt;"&amp;$CL189)+1))</f>
        <v/>
      </c>
      <c r="CN189" s="93" t="str">
        <f aca="false">IF(ISBLANK($C189),"",IF($BX189&lt;&gt;Constants!$B$6,$BX189,$CD189-$CM189))</f>
        <v/>
      </c>
      <c r="CO189" s="100"/>
      <c r="CP189" s="101"/>
      <c r="CQ189" s="102" t="str">
        <f aca="false">IF(ISBLANK($C189),"",IF($BX189=Constants!$B$10,$BW189,""))</f>
        <v/>
      </c>
      <c r="CR189" s="101" t="str">
        <f aca="false">IF(ISBLANK($C189),"",IF($BX189&lt;&gt;Constants!$B$6,"",IF($BL189="-&gt;",2,1)))</f>
        <v/>
      </c>
      <c r="CS189" s="103" t="str">
        <f aca="false">IF(ISBLANK($C189),"",IF($BX189&lt;&gt;Constants!$B$6,"",IF($BL189="-&gt;",$BN189,$BC189)))</f>
        <v/>
      </c>
      <c r="CT189" s="103" t="str">
        <f aca="false">IF(ISBLANK($C189),"",IF($BX189&lt;&gt;Constants!$B$6,"",IF($BL189="-&gt;",$BO189,$BD189)))</f>
        <v/>
      </c>
      <c r="CU189" s="103" t="str">
        <f aca="false">IF(ISBLANK($C189),"",IF($BX189&lt;&gt;Constants!$B$6,"",IF($BL189="-&gt;",$BP189+$BQ189,$BE189+$BF189)+$CB189))</f>
        <v/>
      </c>
      <c r="CV189" s="103" t="str">
        <f aca="false">IF(ISBLANK($C189),"",IF($BX189&lt;&gt;Constants!$B$6,"",IF($BL189="-&gt;",$BR189,$BG189)+$CA189))</f>
        <v/>
      </c>
      <c r="CW189" s="104" t="str">
        <f aca="false">IF(ISBLANK($C189),"",IF($BX189&lt;&gt;Constants!$B$6,$BX189,$CC189))</f>
        <v/>
      </c>
      <c r="CX189" s="105" t="str">
        <f aca="false">IF(ISBLANK($C189),"",$BY189)</f>
        <v/>
      </c>
      <c r="CY189" s="106" t="str">
        <f aca="false">IF(ISBLANK($C189),"",$CN189)</f>
        <v/>
      </c>
      <c r="CZ189" s="106" t="str">
        <f aca="false">IF(ISBLANK($C189),"",$CM189)</f>
        <v/>
      </c>
      <c r="DA189" s="107" t="str">
        <f aca="false">IF(ISBLANK($C189),"",IFERROR(_xlfn.SWITCH($CZ189,Constants!$B$9,COUNTA($C$9:$C$508)+2,Constants!$B$8,COUNTA($C$9:$C$508)+1,Constants!$B$7,COUNTA($C$9:$C$508)),$CZ189))</f>
        <v/>
      </c>
      <c r="DB189" s="9"/>
      <c r="DC189" s="108" t="n">
        <f aca="false">IF(OR(ISNUMBER($CZ189),$CZ189=Constants!$B$9,$CZ189=Constants!$B$7,$CZ189=Constants!$B$8),1,0)</f>
        <v>0</v>
      </c>
      <c r="DD189" s="108" t="n">
        <v>181</v>
      </c>
      <c r="DE189" s="108" t="str">
        <f aca="false">IF(ISBLANK($C189),"",IF(ISNUMBER($DA189),$DA189+ROW($B189)/1000,""))</f>
        <v/>
      </c>
      <c r="DF189" s="108" t="str">
        <f aca="false">IF(ISNUMBER($DE189),RANK($DE189,$DE$9:$DE$508,1),"")</f>
        <v/>
      </c>
      <c r="DG189" s="108" t="str">
        <f aca="false">IF(ISBLANK($C189),"",$B189)</f>
        <v/>
      </c>
      <c r="DH189" s="108" t="str">
        <f aca="false">IF(ISBLANK($C189),"",$C189)</f>
        <v/>
      </c>
      <c r="DI189" s="108" t="str">
        <f aca="false">IF(ISBLANK($C189),"",$D189)</f>
        <v/>
      </c>
      <c r="DJ189" s="109" t="str">
        <f aca="false">$CX189</f>
        <v/>
      </c>
      <c r="DK189" s="110" t="str">
        <f aca="false">$CW189</f>
        <v/>
      </c>
      <c r="DL189" s="108" t="str">
        <f aca="false">IF(ISBLANK($C189),"",$CZ189)</f>
        <v/>
      </c>
      <c r="DM189" s="111" t="str">
        <f aca="false">IF($DD189&gt;$DC$8,"",VLOOKUP($DD189,$DF$9:$DL$508,7,FALSE()))</f>
        <v/>
      </c>
      <c r="DN189" s="112" t="str">
        <f aca="false">IF($DD189&gt;$DC$8,"",VLOOKUP($DD189,$DF$9:$DL$508,2,FALSE()))</f>
        <v/>
      </c>
      <c r="DO189" s="112" t="str">
        <f aca="false">IF($DD189&gt;$DC$8,"",VLOOKUP($DD189,$DF$9:$DL$508,3,FALSE()))</f>
        <v/>
      </c>
      <c r="DP189" s="112" t="str">
        <f aca="false">IF($DD189&gt;$DC$8,"",VLOOKUP($DD189,$DF$9:$DL$508,4,FALSE()))</f>
        <v/>
      </c>
      <c r="DQ189" s="112" t="str">
        <f aca="false">IF($DD189&gt;$DC$8,"",VLOOKUP($DD189,$DF$9:$DL$508,5,FALSE()))</f>
        <v/>
      </c>
      <c r="DR189" s="113" t="str">
        <f aca="false">IF($DD189&gt;$DC$8,"",VLOOKUP($DD189,$DF$9:$DL$508,6,FALSE()))</f>
        <v/>
      </c>
      <c r="DS189" s="76"/>
    </row>
    <row r="190" customFormat="false" ht="15.75" hidden="false" customHeight="false" outlineLevel="0" collapsed="false">
      <c r="A190" s="9"/>
      <c r="B190" s="78"/>
      <c r="C190" s="79"/>
      <c r="D190" s="170"/>
      <c r="E190" s="178"/>
      <c r="F190" s="172"/>
      <c r="G190" s="173"/>
      <c r="H190" s="173"/>
      <c r="I190" s="179"/>
      <c r="J190" s="176"/>
      <c r="K190" s="86"/>
      <c r="L190" s="87"/>
      <c r="M190" s="88"/>
      <c r="N190" s="176"/>
      <c r="O190" s="176"/>
      <c r="P190" s="178"/>
      <c r="Q190" s="176"/>
      <c r="R190" s="176"/>
      <c r="S190" s="86"/>
      <c r="T190" s="88"/>
      <c r="U190" s="88"/>
      <c r="V190" s="176"/>
      <c r="W190" s="176"/>
      <c r="X190" s="178"/>
      <c r="Y190" s="176"/>
      <c r="Z190" s="177"/>
      <c r="AA190" s="176"/>
      <c r="AB190" s="92"/>
      <c r="AC190" s="93"/>
      <c r="AD190" s="93"/>
      <c r="AE190" s="93"/>
      <c r="AF190" s="93" t="str">
        <f aca="false">IF(ISBLANK($C190),"",IF(E190=Constants!$B$2,TRUE(),IF(E190=Constants!$B$3,FALSE(),TRUE())))</f>
        <v/>
      </c>
      <c r="AG190" s="93" t="str">
        <f aca="false">IF(ISBLANK($C190),"",IF(F190=Constants!$B$2,TRUE(),IF(F190=Constants!$B$3,FALSE(),TRUE())))</f>
        <v/>
      </c>
      <c r="AH190" s="93" t="str">
        <f aca="false">IF(ISBLANK($C190),"",IF(G190=Constants!$B$2,TRUE(),IF(G190=Constants!$B$3,FALSE(),TRUE())))</f>
        <v/>
      </c>
      <c r="AI190" s="93" t="str">
        <f aca="false">IF(ISBLANK($C190),"",IF(AND(ISNUMBER(H190),H190&gt;=0),H190,Constants!$B$24))</f>
        <v/>
      </c>
      <c r="AJ190" s="93" t="str">
        <f aca="false">IF(ISBLANK($C190),"",IF(I190=Constants!$B$2,TRUE(),IF(I190=Constants!$B$3,FALSE(),TRUE())))</f>
        <v/>
      </c>
      <c r="AK190" s="93" t="str">
        <f aca="false">IF(ISBLANK($C190),"",IF(J190=Constants!$B$2,TRUE(),IF(J190=Constants!$B$3,FALSE(),TRUE())))</f>
        <v/>
      </c>
      <c r="AL190" s="93" t="str">
        <f aca="false">IF(ISBLANK($C190),"",IF(K190=Constants!$B$4,TRUE(),IF(K190=Constants!$B$5,FALSE(),COUNTA(L190:P190)&gt;0)))</f>
        <v/>
      </c>
      <c r="AM190" s="95" t="str">
        <f aca="false">IF(ISBLANK($C190),"",IF(ISNUMBER(L190),IF(L190&gt;=0,L190,""),""))</f>
        <v/>
      </c>
      <c r="AN190" s="94" t="str">
        <f aca="false">IF(ISBLANK($C190),"",IF(ISNUMBER(M190),IF(M190&gt;=0,M190,""),""))</f>
        <v/>
      </c>
      <c r="AO190" s="94" t="str">
        <f aca="false">IF(ISBLANK($C190),"",IF(N190=Constants!$B$2,TRUE(),IF(N190=Constants!$B$3,FALSE(),TRUE())))</f>
        <v/>
      </c>
      <c r="AP190" s="93" t="str">
        <f aca="false">IF(ISBLANK($C190),"",IF(ISNUMBER(O190),IF(O190&gt;=0,O190,""),""))</f>
        <v/>
      </c>
      <c r="AQ190" s="93" t="str">
        <f aca="false">IF(ISBLANK($C190),"",IF(P190=Constants!$B$2,TRUE(),IF(P190=Constants!$B$3,FALSE(),FALSE())))</f>
        <v/>
      </c>
      <c r="AR190" s="93" t="str">
        <f aca="false">IF(ISBLANK($C190),"",IF(Q190=Constants!$B$2,TRUE(),IF(Q190=Constants!$B$3,FALSE(),TRUE())))</f>
        <v/>
      </c>
      <c r="AS190" s="93" t="str">
        <f aca="false">IF(ISBLANK($C190),"",IF(R190=Constants!$B$2,TRUE(),IF(R190=Constants!$B$3,FALSE(),TRUE())))</f>
        <v/>
      </c>
      <c r="AT190" s="93" t="str">
        <f aca="false">IF(ISBLANK($C190),"",IF(S190=Constants!$B$4,TRUE(),IF(S190=Constants!$B$5,FALSE(),COUNTA(T190:X190)&gt;0)))</f>
        <v/>
      </c>
      <c r="AU190" s="95" t="str">
        <f aca="false">IF(ISBLANK($C190),"",IF(ISNUMBER(T190),IF(T190&gt;=0,T190,""),""))</f>
        <v/>
      </c>
      <c r="AV190" s="94" t="str">
        <f aca="false">IF(ISBLANK($C190),"",IF(ISNUMBER(U190),IF(U190&gt;=0,U190,""),""))</f>
        <v/>
      </c>
      <c r="AW190" s="94" t="str">
        <f aca="false">IF(ISBLANK($C190),"",IF(V190=Constants!$B$2,TRUE(),IF(V190=Constants!$B$3,FALSE(),TRUE())))</f>
        <v/>
      </c>
      <c r="AX190" s="93" t="str">
        <f aca="false">IF(ISBLANK($C190),"",IF(ISNUMBER(W190),IF(W190&gt;=0,W190,""),""))</f>
        <v/>
      </c>
      <c r="AY190" s="93" t="str">
        <f aca="false">IF(ISBLANK($C190),"",IF(X190=Constants!$B$2,TRUE(),IF(X190=Constants!$B$3,FALSE(),FALSE())))</f>
        <v/>
      </c>
      <c r="AZ190" s="93" t="str">
        <f aca="false">IF(ISBLANK($C190),"",MIN(Constants!$B$25,MAX(0,IF(ISNUMBER(Y190),Y190*60,0)+IF(ISNUMBER(Z190),Z190,0))))</f>
        <v/>
      </c>
      <c r="BA190" s="93" t="str">
        <f aca="false">IF(ISBLANK($C190),"",IF(AA190=Constants!$B$2,TRUE(),IF(AA190=Constants!$B$3,FALSE(),FALSE())))</f>
        <v/>
      </c>
      <c r="BB190" s="92" t="str">
        <f aca="false">IF(ISBLANK($C190),"",AND($AL190,OR($AM190="",$AN190="",AND($AO190,$AP190=""))))</f>
        <v/>
      </c>
      <c r="BC190" s="94" t="str">
        <f aca="false">IF($BX190&lt;&gt;Constants!$B$6,"",IF($AL190,Constants!$B$17*$AN190+Constants!$B$18*IF($AO190,$AP190,Constants!$B$19),Constants!$B$20))</f>
        <v/>
      </c>
      <c r="BD190" s="97" t="str">
        <f aca="false">IF($BX190&lt;&gt;Constants!$B$6,"",Constants!$B$21*ABS($AD$9-IF($AL190,$AM190,0)))</f>
        <v/>
      </c>
      <c r="BE190" s="97" t="str">
        <f aca="false">IF($BX190&lt;&gt;Constants!$B$6,"",IF(AND($AL190,$AQ190,$AO190),Constants!$B$22,0))</f>
        <v/>
      </c>
      <c r="BF190" s="97" t="str">
        <f aca="false">IF($BX190&lt;&gt;Constants!$B$6,"",IF($AL190,($AI190-Constants!$B$24)*Constants!$B$23,0))</f>
        <v/>
      </c>
      <c r="BG190" s="97" t="str">
        <f aca="false">IF($BX190&lt;&gt;Constants!$B$6,"",IF($AK190,0,Constants!$B$12)+IF($AJ190,0,Constants!$B$13)+IF($AH190,0,Constants!$B$14))</f>
        <v/>
      </c>
      <c r="BH190" s="98" t="str">
        <f aca="false">IF($BX190&lt;&gt;Constants!$B$6,"",Constants!$B$16+SUM($BC190:$BG190))</f>
        <v/>
      </c>
      <c r="BI190" s="97" t="str">
        <f aca="false">IF($BX190&lt;&gt;Constants!$B$6,"",$BC190)</f>
        <v/>
      </c>
      <c r="BJ190" s="97" t="str">
        <f aca="false">IF($BX190&lt;&gt;Constants!$B$6,"",$BD190)</f>
        <v/>
      </c>
      <c r="BK190" s="99" t="str">
        <f aca="false">IF($BX190&lt;&gt;Constants!$B$6,"",IF($AL190,$AN190,""))</f>
        <v/>
      </c>
      <c r="BL190" s="93" t="str">
        <f aca="false">IF($BX190&lt;&gt;Constants!$B$6,"",IF(OR($BS190&lt;$BH190,AND($BS190=$BH190,OR($BT190&lt;$BI190,AND($BT190=$BI190,OR($BU190&lt;$BJ190,AND($BU190=$BJ190,AND(ISNUMBER($BV190),OR(NOT(ISNUMBER($BK190)),$BV190&lt;$BK190)))))))),"-&gt;","&lt;-"))</f>
        <v/>
      </c>
      <c r="BM190" s="92" t="str">
        <f aca="false">IF(ISBLANK($C190),"",AND($AT190,OR($AU190="",$AV190="",AND($AW190,$AX190=""))))</f>
        <v/>
      </c>
      <c r="BN190" s="94" t="str">
        <f aca="false">IF($BX190&lt;&gt;Constants!$B$6,"",IF($AT190,Constants!$B$17*$AV190+Constants!$B$18*IF($AW190,$AX190,Constants!$B$19),Constants!$B$20))</f>
        <v/>
      </c>
      <c r="BO190" s="97" t="str">
        <f aca="false">IF($BX190&lt;&gt;Constants!$B$6,"",Constants!$B$21*ABS($AD$9-IF($AT190,$AU190,0)))</f>
        <v/>
      </c>
      <c r="BP190" s="97" t="str">
        <f aca="false">IF($BX190&lt;&gt;Constants!$B$6,"",IF(AND($AT190,$AY190,$AW190),Constants!$B$22,0))</f>
        <v/>
      </c>
      <c r="BQ190" s="97" t="str">
        <f aca="false">IF($BX190&lt;&gt;Constants!$B$6,"",IF($AT190,($AI190-Constants!$B$24)*Constants!$B$23,0))</f>
        <v/>
      </c>
      <c r="BR190" s="97" t="str">
        <f aca="false">IF($BX190&lt;&gt;Constants!$B$6,"",IF($AS190,0,Constants!$B$12)+IF($AR190,0,Constants!$B$13)+IF($AH190,0,Constants!$B$14))</f>
        <v/>
      </c>
      <c r="BS190" s="98" t="str">
        <f aca="false">IF($BX190&lt;&gt;Constants!$B$6,"",Constants!$B$16+SUM($BN190:$BR190))</f>
        <v/>
      </c>
      <c r="BT190" s="97" t="str">
        <f aca="false">IF($BX190&lt;&gt;Constants!$B$6,"",$BN190)</f>
        <v/>
      </c>
      <c r="BU190" s="97" t="str">
        <f aca="false">IF($BX190&lt;&gt;Constants!$B$6,"",$BO190)</f>
        <v/>
      </c>
      <c r="BV190" s="99" t="str">
        <f aca="false">IF($BX190&lt;&gt;Constants!$B$6,"",IF($AT190,$AV190,""))</f>
        <v/>
      </c>
      <c r="BW190" s="93" t="str">
        <f aca="false">IF(ISBLANK($C190),"",IF(ISBLANK($D$7),$BW$5,IF(NOT(ISNUMBER($D$7)),$BW$6,"")))</f>
        <v/>
      </c>
      <c r="BX190" s="93" t="str">
        <f aca="false">IF(ISBLANK($C190),"",IF($BA190,Constants!$B$9,IF(COUNTA($E190:$AA190)=0,Constants!$B$8,IF(NOT($AG190),Constants!$B$7,IF(OR($BW190&lt;&gt;"",$BB190,$BM190),Constants!$B$10,Constants!$B$6)))))</f>
        <v/>
      </c>
      <c r="BY190" s="93" t="str">
        <f aca="false">IF(ISBLANK($C190),"",IF($BX190&lt;&gt;Constants!$B$6,$BX190,Constants!$B$11))</f>
        <v/>
      </c>
      <c r="BZ190" s="97" t="str">
        <f aca="false">IF($BX190&lt;&gt;Constants!$B$6,"",IF($BL190="-&gt;",$BS190,$BH190))</f>
        <v/>
      </c>
      <c r="CA190" s="97" t="str">
        <f aca="false">IF($BX190&lt;&gt;Constants!$B$6,"",IF($AF190,0,Constants!$B$15))</f>
        <v/>
      </c>
      <c r="CB190" s="97" t="str">
        <f aca="false">IF($BX190&lt;&gt;Constants!$B$6,"",((Constants!$B$25-$AZ190)-Constants!$B$25)/Constants!$B$26)</f>
        <v/>
      </c>
      <c r="CC190" s="97" t="str">
        <f aca="false">IF(ISBLANK($C190),"",IF($BX190&lt;&gt;Constants!$B$6,$BX190,SUM($BZ190:$CB190)))</f>
        <v/>
      </c>
      <c r="CD190" s="93" t="str">
        <f aca="false">IF(ISBLANK($C190),"",IF($BX190&lt;&gt;Constants!$B$6,$BX190,RANK($CC190,$CC$9:$CC$508,1)))</f>
        <v/>
      </c>
      <c r="CE190" s="97" t="str">
        <f aca="false">IF($BX190&lt;&gt;Constants!$B$6,"",IF($BL190="-&gt;",$BT190,$BI190))</f>
        <v/>
      </c>
      <c r="CF190" s="93" t="str">
        <f aca="false">IF(ISBLANK($C190),"",IF($BX190&lt;&gt;Constants!$B$6,$BX190,IF(ISNUMBER($CE190),RANK($CE190,$CE$9:$CE$508,1),COUNT($CE$9:$CE$508)+1)))</f>
        <v/>
      </c>
      <c r="CG190" s="97" t="str">
        <f aca="false">IF($BX190&lt;&gt;Constants!$B$6,"",IF($BL190="-&gt;",$BU190,$BJ190))</f>
        <v/>
      </c>
      <c r="CH190" s="93" t="str">
        <f aca="false">IF(ISBLANK($C190),"",IF($BX190&lt;&gt;Constants!$B$6,$BX190,IF(ISNUMBER($CG190),RANK($CG190,$CG$9:$CG$508,1),COUNT($CG$9:$CG$508)+1)))</f>
        <v/>
      </c>
      <c r="CI190" s="97" t="str">
        <f aca="false">IF($BX190&lt;&gt;Constants!$B$6,"",IF($BL190="-&gt;",$BV190,$BK190))</f>
        <v/>
      </c>
      <c r="CJ190" s="93" t="str">
        <f aca="false">IF(ISBLANK($C190),"",IF($BX190&lt;&gt;Constants!$B$6,$BX190,IF(ISNUMBER($CI190),RANK($CI190,$CI$9:$CI$508,1),COUNT($CI$9:$CI$508)+1)))</f>
        <v/>
      </c>
      <c r="CK190" s="97" t="str">
        <f aca="false">IF($BX190&lt;&gt;Constants!$B$6,"",$AI190)</f>
        <v/>
      </c>
      <c r="CL190" s="93" t="str">
        <f aca="false">IF(ISBLANK($C190),"",IF($BX190&lt;&gt;Constants!$B$6,$BX190,IF(ISNUMBER($CK190),RANK($CK190,$CK$9:$CK$508,1),COUNT($CK$9:$CK$508)+1)))</f>
        <v/>
      </c>
      <c r="CM190" s="93" t="str">
        <f aca="false">IF(ISBLANK($C190),"",IF($BX190&lt;&gt;Constants!$B$6,$BX190,COUNTIFS($CD$9:$CD$508,"&lt;"&amp;$CD190)+COUNTIFS($CD$9:$CD$508,$CD190,$CF$9:$CF$508,"&lt;"&amp;$CF190)+COUNTIFS($CD$9:$CD$508,$CD190,$CF$9:$CF$508,$CF190,$CH$9:$CH$508,"&lt;"&amp;$CH190)+COUNTIFS($CD$9:$CD$508,$CD190,$CF$9:$CF$508,$CF190,$CH$9:$CH$508,$CH190,$CJ$9:$CJ$508,"&lt;"&amp;$CJ190)+COUNTIFS($CD$9:$CD$508,$CD190,$CF$9:$CF$508,$CF190,$CH$9:$CH$508,$CH190,$CJ$9:$CJ$508,$CJ190,$CL$9:$CL$508,"&lt;"&amp;$CL190)+1))</f>
        <v/>
      </c>
      <c r="CN190" s="93" t="str">
        <f aca="false">IF(ISBLANK($C190),"",IF($BX190&lt;&gt;Constants!$B$6,$BX190,$CD190-$CM190))</f>
        <v/>
      </c>
      <c r="CO190" s="100"/>
      <c r="CP190" s="101"/>
      <c r="CQ190" s="102" t="str">
        <f aca="false">IF(ISBLANK($C190),"",IF($BX190=Constants!$B$10,$BW190,""))</f>
        <v/>
      </c>
      <c r="CR190" s="101" t="str">
        <f aca="false">IF(ISBLANK($C190),"",IF($BX190&lt;&gt;Constants!$B$6,"",IF($BL190="-&gt;",2,1)))</f>
        <v/>
      </c>
      <c r="CS190" s="103" t="str">
        <f aca="false">IF(ISBLANK($C190),"",IF($BX190&lt;&gt;Constants!$B$6,"",IF($BL190="-&gt;",$BN190,$BC190)))</f>
        <v/>
      </c>
      <c r="CT190" s="103" t="str">
        <f aca="false">IF(ISBLANK($C190),"",IF($BX190&lt;&gt;Constants!$B$6,"",IF($BL190="-&gt;",$BO190,$BD190)))</f>
        <v/>
      </c>
      <c r="CU190" s="103" t="str">
        <f aca="false">IF(ISBLANK($C190),"",IF($BX190&lt;&gt;Constants!$B$6,"",IF($BL190="-&gt;",$BP190+$BQ190,$BE190+$BF190)+$CB190))</f>
        <v/>
      </c>
      <c r="CV190" s="103" t="str">
        <f aca="false">IF(ISBLANK($C190),"",IF($BX190&lt;&gt;Constants!$B$6,"",IF($BL190="-&gt;",$BR190,$BG190)+$CA190))</f>
        <v/>
      </c>
      <c r="CW190" s="104" t="str">
        <f aca="false">IF(ISBLANK($C190),"",IF($BX190&lt;&gt;Constants!$B$6,$BX190,$CC190))</f>
        <v/>
      </c>
      <c r="CX190" s="105" t="str">
        <f aca="false">IF(ISBLANK($C190),"",$BY190)</f>
        <v/>
      </c>
      <c r="CY190" s="106" t="str">
        <f aca="false">IF(ISBLANK($C190),"",$CN190)</f>
        <v/>
      </c>
      <c r="CZ190" s="106" t="str">
        <f aca="false">IF(ISBLANK($C190),"",$CM190)</f>
        <v/>
      </c>
      <c r="DA190" s="107" t="str">
        <f aca="false">IF(ISBLANK($C190),"",IFERROR(_xlfn.SWITCH($CZ190,Constants!$B$9,COUNTA($C$9:$C$508)+2,Constants!$B$8,COUNTA($C$9:$C$508)+1,Constants!$B$7,COUNTA($C$9:$C$508)),$CZ190))</f>
        <v/>
      </c>
      <c r="DB190" s="9"/>
      <c r="DC190" s="108" t="n">
        <f aca="false">IF(OR(ISNUMBER($CZ190),$CZ190=Constants!$B$9,$CZ190=Constants!$B$7,$CZ190=Constants!$B$8),1,0)</f>
        <v>0</v>
      </c>
      <c r="DD190" s="108" t="n">
        <v>182</v>
      </c>
      <c r="DE190" s="108" t="str">
        <f aca="false">IF(ISBLANK($C190),"",IF(ISNUMBER($DA190),$DA190+ROW($B190)/1000,""))</f>
        <v/>
      </c>
      <c r="DF190" s="108" t="str">
        <f aca="false">IF(ISNUMBER($DE190),RANK($DE190,$DE$9:$DE$508,1),"")</f>
        <v/>
      </c>
      <c r="DG190" s="108" t="str">
        <f aca="false">IF(ISBLANK($C190),"",$B190)</f>
        <v/>
      </c>
      <c r="DH190" s="108" t="str">
        <f aca="false">IF(ISBLANK($C190),"",$C190)</f>
        <v/>
      </c>
      <c r="DI190" s="108" t="str">
        <f aca="false">IF(ISBLANK($C190),"",$D190)</f>
        <v/>
      </c>
      <c r="DJ190" s="109" t="str">
        <f aca="false">$CX190</f>
        <v/>
      </c>
      <c r="DK190" s="110" t="str">
        <f aca="false">$CW190</f>
        <v/>
      </c>
      <c r="DL190" s="108" t="str">
        <f aca="false">IF(ISBLANK($C190),"",$CZ190)</f>
        <v/>
      </c>
      <c r="DM190" s="111" t="str">
        <f aca="false">IF($DD190&gt;$DC$8,"",VLOOKUP($DD190,$DF$9:$DL$508,7,FALSE()))</f>
        <v/>
      </c>
      <c r="DN190" s="112" t="str">
        <f aca="false">IF($DD190&gt;$DC$8,"",VLOOKUP($DD190,$DF$9:$DL$508,2,FALSE()))</f>
        <v/>
      </c>
      <c r="DO190" s="112" t="str">
        <f aca="false">IF($DD190&gt;$DC$8,"",VLOOKUP($DD190,$DF$9:$DL$508,3,FALSE()))</f>
        <v/>
      </c>
      <c r="DP190" s="112" t="str">
        <f aca="false">IF($DD190&gt;$DC$8,"",VLOOKUP($DD190,$DF$9:$DL$508,4,FALSE()))</f>
        <v/>
      </c>
      <c r="DQ190" s="112" t="str">
        <f aca="false">IF($DD190&gt;$DC$8,"",VLOOKUP($DD190,$DF$9:$DL$508,5,FALSE()))</f>
        <v/>
      </c>
      <c r="DR190" s="113" t="str">
        <f aca="false">IF($DD190&gt;$DC$8,"",VLOOKUP($DD190,$DF$9:$DL$508,6,FALSE()))</f>
        <v/>
      </c>
      <c r="DS190" s="76"/>
    </row>
    <row r="191" customFormat="false" ht="15.75" hidden="false" customHeight="false" outlineLevel="0" collapsed="false">
      <c r="A191" s="9"/>
      <c r="B191" s="78"/>
      <c r="C191" s="79"/>
      <c r="D191" s="170"/>
      <c r="E191" s="178"/>
      <c r="F191" s="172"/>
      <c r="G191" s="173"/>
      <c r="H191" s="173"/>
      <c r="I191" s="179"/>
      <c r="J191" s="176"/>
      <c r="K191" s="86"/>
      <c r="L191" s="87"/>
      <c r="M191" s="88"/>
      <c r="N191" s="176"/>
      <c r="O191" s="176"/>
      <c r="P191" s="178"/>
      <c r="Q191" s="176"/>
      <c r="R191" s="176"/>
      <c r="S191" s="86"/>
      <c r="T191" s="88"/>
      <c r="U191" s="88"/>
      <c r="V191" s="176"/>
      <c r="W191" s="176"/>
      <c r="X191" s="178"/>
      <c r="Y191" s="176"/>
      <c r="Z191" s="177"/>
      <c r="AA191" s="176"/>
      <c r="AB191" s="92"/>
      <c r="AC191" s="93"/>
      <c r="AD191" s="93"/>
      <c r="AE191" s="93"/>
      <c r="AF191" s="93" t="str">
        <f aca="false">IF(ISBLANK($C191),"",IF(E191=Constants!$B$2,TRUE(),IF(E191=Constants!$B$3,FALSE(),TRUE())))</f>
        <v/>
      </c>
      <c r="AG191" s="93" t="str">
        <f aca="false">IF(ISBLANK($C191),"",IF(F191=Constants!$B$2,TRUE(),IF(F191=Constants!$B$3,FALSE(),TRUE())))</f>
        <v/>
      </c>
      <c r="AH191" s="93" t="str">
        <f aca="false">IF(ISBLANK($C191),"",IF(G191=Constants!$B$2,TRUE(),IF(G191=Constants!$B$3,FALSE(),TRUE())))</f>
        <v/>
      </c>
      <c r="AI191" s="93" t="str">
        <f aca="false">IF(ISBLANK($C191),"",IF(AND(ISNUMBER(H191),H191&gt;=0),H191,Constants!$B$24))</f>
        <v/>
      </c>
      <c r="AJ191" s="93" t="str">
        <f aca="false">IF(ISBLANK($C191),"",IF(I191=Constants!$B$2,TRUE(),IF(I191=Constants!$B$3,FALSE(),TRUE())))</f>
        <v/>
      </c>
      <c r="AK191" s="93" t="str">
        <f aca="false">IF(ISBLANK($C191),"",IF(J191=Constants!$B$2,TRUE(),IF(J191=Constants!$B$3,FALSE(),TRUE())))</f>
        <v/>
      </c>
      <c r="AL191" s="93" t="str">
        <f aca="false">IF(ISBLANK($C191),"",IF(K191=Constants!$B$4,TRUE(),IF(K191=Constants!$B$5,FALSE(),COUNTA(L191:P191)&gt;0)))</f>
        <v/>
      </c>
      <c r="AM191" s="95" t="str">
        <f aca="false">IF(ISBLANK($C191),"",IF(ISNUMBER(L191),IF(L191&gt;=0,L191,""),""))</f>
        <v/>
      </c>
      <c r="AN191" s="94" t="str">
        <f aca="false">IF(ISBLANK($C191),"",IF(ISNUMBER(M191),IF(M191&gt;=0,M191,""),""))</f>
        <v/>
      </c>
      <c r="AO191" s="94" t="str">
        <f aca="false">IF(ISBLANK($C191),"",IF(N191=Constants!$B$2,TRUE(),IF(N191=Constants!$B$3,FALSE(),TRUE())))</f>
        <v/>
      </c>
      <c r="AP191" s="93" t="str">
        <f aca="false">IF(ISBLANK($C191),"",IF(ISNUMBER(O191),IF(O191&gt;=0,O191,""),""))</f>
        <v/>
      </c>
      <c r="AQ191" s="93" t="str">
        <f aca="false">IF(ISBLANK($C191),"",IF(P191=Constants!$B$2,TRUE(),IF(P191=Constants!$B$3,FALSE(),FALSE())))</f>
        <v/>
      </c>
      <c r="AR191" s="93" t="str">
        <f aca="false">IF(ISBLANK($C191),"",IF(Q191=Constants!$B$2,TRUE(),IF(Q191=Constants!$B$3,FALSE(),TRUE())))</f>
        <v/>
      </c>
      <c r="AS191" s="93" t="str">
        <f aca="false">IF(ISBLANK($C191),"",IF(R191=Constants!$B$2,TRUE(),IF(R191=Constants!$B$3,FALSE(),TRUE())))</f>
        <v/>
      </c>
      <c r="AT191" s="93" t="str">
        <f aca="false">IF(ISBLANK($C191),"",IF(S191=Constants!$B$4,TRUE(),IF(S191=Constants!$B$5,FALSE(),COUNTA(T191:X191)&gt;0)))</f>
        <v/>
      </c>
      <c r="AU191" s="95" t="str">
        <f aca="false">IF(ISBLANK($C191),"",IF(ISNUMBER(T191),IF(T191&gt;=0,T191,""),""))</f>
        <v/>
      </c>
      <c r="AV191" s="94" t="str">
        <f aca="false">IF(ISBLANK($C191),"",IF(ISNUMBER(U191),IF(U191&gt;=0,U191,""),""))</f>
        <v/>
      </c>
      <c r="AW191" s="94" t="str">
        <f aca="false">IF(ISBLANK($C191),"",IF(V191=Constants!$B$2,TRUE(),IF(V191=Constants!$B$3,FALSE(),TRUE())))</f>
        <v/>
      </c>
      <c r="AX191" s="93" t="str">
        <f aca="false">IF(ISBLANK($C191),"",IF(ISNUMBER(W191),IF(W191&gt;=0,W191,""),""))</f>
        <v/>
      </c>
      <c r="AY191" s="93" t="str">
        <f aca="false">IF(ISBLANK($C191),"",IF(X191=Constants!$B$2,TRUE(),IF(X191=Constants!$B$3,FALSE(),FALSE())))</f>
        <v/>
      </c>
      <c r="AZ191" s="93" t="str">
        <f aca="false">IF(ISBLANK($C191),"",MIN(Constants!$B$25,MAX(0,IF(ISNUMBER(Y191),Y191*60,0)+IF(ISNUMBER(Z191),Z191,0))))</f>
        <v/>
      </c>
      <c r="BA191" s="93" t="str">
        <f aca="false">IF(ISBLANK($C191),"",IF(AA191=Constants!$B$2,TRUE(),IF(AA191=Constants!$B$3,FALSE(),FALSE())))</f>
        <v/>
      </c>
      <c r="BB191" s="92" t="str">
        <f aca="false">IF(ISBLANK($C191),"",AND($AL191,OR($AM191="",$AN191="",AND($AO191,$AP191=""))))</f>
        <v/>
      </c>
      <c r="BC191" s="94" t="str">
        <f aca="false">IF($BX191&lt;&gt;Constants!$B$6,"",IF($AL191,Constants!$B$17*$AN191+Constants!$B$18*IF($AO191,$AP191,Constants!$B$19),Constants!$B$20))</f>
        <v/>
      </c>
      <c r="BD191" s="97" t="str">
        <f aca="false">IF($BX191&lt;&gt;Constants!$B$6,"",Constants!$B$21*ABS($AD$9-IF($AL191,$AM191,0)))</f>
        <v/>
      </c>
      <c r="BE191" s="97" t="str">
        <f aca="false">IF($BX191&lt;&gt;Constants!$B$6,"",IF(AND($AL191,$AQ191,$AO191),Constants!$B$22,0))</f>
        <v/>
      </c>
      <c r="BF191" s="97" t="str">
        <f aca="false">IF($BX191&lt;&gt;Constants!$B$6,"",IF($AL191,($AI191-Constants!$B$24)*Constants!$B$23,0))</f>
        <v/>
      </c>
      <c r="BG191" s="97" t="str">
        <f aca="false">IF($BX191&lt;&gt;Constants!$B$6,"",IF($AK191,0,Constants!$B$12)+IF($AJ191,0,Constants!$B$13)+IF($AH191,0,Constants!$B$14))</f>
        <v/>
      </c>
      <c r="BH191" s="98" t="str">
        <f aca="false">IF($BX191&lt;&gt;Constants!$B$6,"",Constants!$B$16+SUM($BC191:$BG191))</f>
        <v/>
      </c>
      <c r="BI191" s="97" t="str">
        <f aca="false">IF($BX191&lt;&gt;Constants!$B$6,"",$BC191)</f>
        <v/>
      </c>
      <c r="BJ191" s="97" t="str">
        <f aca="false">IF($BX191&lt;&gt;Constants!$B$6,"",$BD191)</f>
        <v/>
      </c>
      <c r="BK191" s="99" t="str">
        <f aca="false">IF($BX191&lt;&gt;Constants!$B$6,"",IF($AL191,$AN191,""))</f>
        <v/>
      </c>
      <c r="BL191" s="93" t="str">
        <f aca="false">IF($BX191&lt;&gt;Constants!$B$6,"",IF(OR($BS191&lt;$BH191,AND($BS191=$BH191,OR($BT191&lt;$BI191,AND($BT191=$BI191,OR($BU191&lt;$BJ191,AND($BU191=$BJ191,AND(ISNUMBER($BV191),OR(NOT(ISNUMBER($BK191)),$BV191&lt;$BK191)))))))),"-&gt;","&lt;-"))</f>
        <v/>
      </c>
      <c r="BM191" s="92" t="str">
        <f aca="false">IF(ISBLANK($C191),"",AND($AT191,OR($AU191="",$AV191="",AND($AW191,$AX191=""))))</f>
        <v/>
      </c>
      <c r="BN191" s="94" t="str">
        <f aca="false">IF($BX191&lt;&gt;Constants!$B$6,"",IF($AT191,Constants!$B$17*$AV191+Constants!$B$18*IF($AW191,$AX191,Constants!$B$19),Constants!$B$20))</f>
        <v/>
      </c>
      <c r="BO191" s="97" t="str">
        <f aca="false">IF($BX191&lt;&gt;Constants!$B$6,"",Constants!$B$21*ABS($AD$9-IF($AT191,$AU191,0)))</f>
        <v/>
      </c>
      <c r="BP191" s="97" t="str">
        <f aca="false">IF($BX191&lt;&gt;Constants!$B$6,"",IF(AND($AT191,$AY191,$AW191),Constants!$B$22,0))</f>
        <v/>
      </c>
      <c r="BQ191" s="97" t="str">
        <f aca="false">IF($BX191&lt;&gt;Constants!$B$6,"",IF($AT191,($AI191-Constants!$B$24)*Constants!$B$23,0))</f>
        <v/>
      </c>
      <c r="BR191" s="97" t="str">
        <f aca="false">IF($BX191&lt;&gt;Constants!$B$6,"",IF($AS191,0,Constants!$B$12)+IF($AR191,0,Constants!$B$13)+IF($AH191,0,Constants!$B$14))</f>
        <v/>
      </c>
      <c r="BS191" s="98" t="str">
        <f aca="false">IF($BX191&lt;&gt;Constants!$B$6,"",Constants!$B$16+SUM($BN191:$BR191))</f>
        <v/>
      </c>
      <c r="BT191" s="97" t="str">
        <f aca="false">IF($BX191&lt;&gt;Constants!$B$6,"",$BN191)</f>
        <v/>
      </c>
      <c r="BU191" s="97" t="str">
        <f aca="false">IF($BX191&lt;&gt;Constants!$B$6,"",$BO191)</f>
        <v/>
      </c>
      <c r="BV191" s="99" t="str">
        <f aca="false">IF($BX191&lt;&gt;Constants!$B$6,"",IF($AT191,$AV191,""))</f>
        <v/>
      </c>
      <c r="BW191" s="93" t="str">
        <f aca="false">IF(ISBLANK($C191),"",IF(ISBLANK($D$7),$BW$5,IF(NOT(ISNUMBER($D$7)),$BW$6,"")))</f>
        <v/>
      </c>
      <c r="BX191" s="93" t="str">
        <f aca="false">IF(ISBLANK($C191),"",IF($BA191,Constants!$B$9,IF(COUNTA($E191:$AA191)=0,Constants!$B$8,IF(NOT($AG191),Constants!$B$7,IF(OR($BW191&lt;&gt;"",$BB191,$BM191),Constants!$B$10,Constants!$B$6)))))</f>
        <v/>
      </c>
      <c r="BY191" s="93" t="str">
        <f aca="false">IF(ISBLANK($C191),"",IF($BX191&lt;&gt;Constants!$B$6,$BX191,Constants!$B$11))</f>
        <v/>
      </c>
      <c r="BZ191" s="97" t="str">
        <f aca="false">IF($BX191&lt;&gt;Constants!$B$6,"",IF($BL191="-&gt;",$BS191,$BH191))</f>
        <v/>
      </c>
      <c r="CA191" s="97" t="str">
        <f aca="false">IF($BX191&lt;&gt;Constants!$B$6,"",IF($AF191,0,Constants!$B$15))</f>
        <v/>
      </c>
      <c r="CB191" s="97" t="str">
        <f aca="false">IF($BX191&lt;&gt;Constants!$B$6,"",((Constants!$B$25-$AZ191)-Constants!$B$25)/Constants!$B$26)</f>
        <v/>
      </c>
      <c r="CC191" s="97" t="str">
        <f aca="false">IF(ISBLANK($C191),"",IF($BX191&lt;&gt;Constants!$B$6,$BX191,SUM($BZ191:$CB191)))</f>
        <v/>
      </c>
      <c r="CD191" s="93" t="str">
        <f aca="false">IF(ISBLANK($C191),"",IF($BX191&lt;&gt;Constants!$B$6,$BX191,RANK($CC191,$CC$9:$CC$508,1)))</f>
        <v/>
      </c>
      <c r="CE191" s="97" t="str">
        <f aca="false">IF($BX191&lt;&gt;Constants!$B$6,"",IF($BL191="-&gt;",$BT191,$BI191))</f>
        <v/>
      </c>
      <c r="CF191" s="93" t="str">
        <f aca="false">IF(ISBLANK($C191),"",IF($BX191&lt;&gt;Constants!$B$6,$BX191,IF(ISNUMBER($CE191),RANK($CE191,$CE$9:$CE$508,1),COUNT($CE$9:$CE$508)+1)))</f>
        <v/>
      </c>
      <c r="CG191" s="97" t="str">
        <f aca="false">IF($BX191&lt;&gt;Constants!$B$6,"",IF($BL191="-&gt;",$BU191,$BJ191))</f>
        <v/>
      </c>
      <c r="CH191" s="93" t="str">
        <f aca="false">IF(ISBLANK($C191),"",IF($BX191&lt;&gt;Constants!$B$6,$BX191,IF(ISNUMBER($CG191),RANK($CG191,$CG$9:$CG$508,1),COUNT($CG$9:$CG$508)+1)))</f>
        <v/>
      </c>
      <c r="CI191" s="97" t="str">
        <f aca="false">IF($BX191&lt;&gt;Constants!$B$6,"",IF($BL191="-&gt;",$BV191,$BK191))</f>
        <v/>
      </c>
      <c r="CJ191" s="93" t="str">
        <f aca="false">IF(ISBLANK($C191),"",IF($BX191&lt;&gt;Constants!$B$6,$BX191,IF(ISNUMBER($CI191),RANK($CI191,$CI$9:$CI$508,1),COUNT($CI$9:$CI$508)+1)))</f>
        <v/>
      </c>
      <c r="CK191" s="97" t="str">
        <f aca="false">IF($BX191&lt;&gt;Constants!$B$6,"",$AI191)</f>
        <v/>
      </c>
      <c r="CL191" s="93" t="str">
        <f aca="false">IF(ISBLANK($C191),"",IF($BX191&lt;&gt;Constants!$B$6,$BX191,IF(ISNUMBER($CK191),RANK($CK191,$CK$9:$CK$508,1),COUNT($CK$9:$CK$508)+1)))</f>
        <v/>
      </c>
      <c r="CM191" s="93" t="str">
        <f aca="false">IF(ISBLANK($C191),"",IF($BX191&lt;&gt;Constants!$B$6,$BX191,COUNTIFS($CD$9:$CD$508,"&lt;"&amp;$CD191)+COUNTIFS($CD$9:$CD$508,$CD191,$CF$9:$CF$508,"&lt;"&amp;$CF191)+COUNTIFS($CD$9:$CD$508,$CD191,$CF$9:$CF$508,$CF191,$CH$9:$CH$508,"&lt;"&amp;$CH191)+COUNTIFS($CD$9:$CD$508,$CD191,$CF$9:$CF$508,$CF191,$CH$9:$CH$508,$CH191,$CJ$9:$CJ$508,"&lt;"&amp;$CJ191)+COUNTIFS($CD$9:$CD$508,$CD191,$CF$9:$CF$508,$CF191,$CH$9:$CH$508,$CH191,$CJ$9:$CJ$508,$CJ191,$CL$9:$CL$508,"&lt;"&amp;$CL191)+1))</f>
        <v/>
      </c>
      <c r="CN191" s="93" t="str">
        <f aca="false">IF(ISBLANK($C191),"",IF($BX191&lt;&gt;Constants!$B$6,$BX191,$CD191-$CM191))</f>
        <v/>
      </c>
      <c r="CO191" s="100"/>
      <c r="CP191" s="101"/>
      <c r="CQ191" s="102" t="str">
        <f aca="false">IF(ISBLANK($C191),"",IF($BX191=Constants!$B$10,$BW191,""))</f>
        <v/>
      </c>
      <c r="CR191" s="101" t="str">
        <f aca="false">IF(ISBLANK($C191),"",IF($BX191&lt;&gt;Constants!$B$6,"",IF($BL191="-&gt;",2,1)))</f>
        <v/>
      </c>
      <c r="CS191" s="103" t="str">
        <f aca="false">IF(ISBLANK($C191),"",IF($BX191&lt;&gt;Constants!$B$6,"",IF($BL191="-&gt;",$BN191,$BC191)))</f>
        <v/>
      </c>
      <c r="CT191" s="103" t="str">
        <f aca="false">IF(ISBLANK($C191),"",IF($BX191&lt;&gt;Constants!$B$6,"",IF($BL191="-&gt;",$BO191,$BD191)))</f>
        <v/>
      </c>
      <c r="CU191" s="103" t="str">
        <f aca="false">IF(ISBLANK($C191),"",IF($BX191&lt;&gt;Constants!$B$6,"",IF($BL191="-&gt;",$BP191+$BQ191,$BE191+$BF191)+$CB191))</f>
        <v/>
      </c>
      <c r="CV191" s="103" t="str">
        <f aca="false">IF(ISBLANK($C191),"",IF($BX191&lt;&gt;Constants!$B$6,"",IF($BL191="-&gt;",$BR191,$BG191)+$CA191))</f>
        <v/>
      </c>
      <c r="CW191" s="104" t="str">
        <f aca="false">IF(ISBLANK($C191),"",IF($BX191&lt;&gt;Constants!$B$6,$BX191,$CC191))</f>
        <v/>
      </c>
      <c r="CX191" s="105" t="str">
        <f aca="false">IF(ISBLANK($C191),"",$BY191)</f>
        <v/>
      </c>
      <c r="CY191" s="106" t="str">
        <f aca="false">IF(ISBLANK($C191),"",$CN191)</f>
        <v/>
      </c>
      <c r="CZ191" s="106" t="str">
        <f aca="false">IF(ISBLANK($C191),"",$CM191)</f>
        <v/>
      </c>
      <c r="DA191" s="107" t="str">
        <f aca="false">IF(ISBLANK($C191),"",IFERROR(_xlfn.SWITCH($CZ191,Constants!$B$9,COUNTA($C$9:$C$508)+2,Constants!$B$8,COUNTA($C$9:$C$508)+1,Constants!$B$7,COUNTA($C$9:$C$508)),$CZ191))</f>
        <v/>
      </c>
      <c r="DB191" s="9"/>
      <c r="DC191" s="108" t="n">
        <f aca="false">IF(OR(ISNUMBER($CZ191),$CZ191=Constants!$B$9,$CZ191=Constants!$B$7,$CZ191=Constants!$B$8),1,0)</f>
        <v>0</v>
      </c>
      <c r="DD191" s="108" t="n">
        <v>183</v>
      </c>
      <c r="DE191" s="108" t="str">
        <f aca="false">IF(ISBLANK($C191),"",IF(ISNUMBER($DA191),$DA191+ROW($B191)/1000,""))</f>
        <v/>
      </c>
      <c r="DF191" s="108" t="str">
        <f aca="false">IF(ISNUMBER($DE191),RANK($DE191,$DE$9:$DE$508,1),"")</f>
        <v/>
      </c>
      <c r="DG191" s="108" t="str">
        <f aca="false">IF(ISBLANK($C191),"",$B191)</f>
        <v/>
      </c>
      <c r="DH191" s="108" t="str">
        <f aca="false">IF(ISBLANK($C191),"",$C191)</f>
        <v/>
      </c>
      <c r="DI191" s="108" t="str">
        <f aca="false">IF(ISBLANK($C191),"",$D191)</f>
        <v/>
      </c>
      <c r="DJ191" s="109" t="str">
        <f aca="false">$CX191</f>
        <v/>
      </c>
      <c r="DK191" s="110" t="str">
        <f aca="false">$CW191</f>
        <v/>
      </c>
      <c r="DL191" s="108" t="str">
        <f aca="false">IF(ISBLANK($C191),"",$CZ191)</f>
        <v/>
      </c>
      <c r="DM191" s="111" t="str">
        <f aca="false">IF($DD191&gt;$DC$8,"",VLOOKUP($DD191,$DF$9:$DL$508,7,FALSE()))</f>
        <v/>
      </c>
      <c r="DN191" s="112" t="str">
        <f aca="false">IF($DD191&gt;$DC$8,"",VLOOKUP($DD191,$DF$9:$DL$508,2,FALSE()))</f>
        <v/>
      </c>
      <c r="DO191" s="112" t="str">
        <f aca="false">IF($DD191&gt;$DC$8,"",VLOOKUP($DD191,$DF$9:$DL$508,3,FALSE()))</f>
        <v/>
      </c>
      <c r="DP191" s="112" t="str">
        <f aca="false">IF($DD191&gt;$DC$8,"",VLOOKUP($DD191,$DF$9:$DL$508,4,FALSE()))</f>
        <v/>
      </c>
      <c r="DQ191" s="112" t="str">
        <f aca="false">IF($DD191&gt;$DC$8,"",VLOOKUP($DD191,$DF$9:$DL$508,5,FALSE()))</f>
        <v/>
      </c>
      <c r="DR191" s="113" t="str">
        <f aca="false">IF($DD191&gt;$DC$8,"",VLOOKUP($DD191,$DF$9:$DL$508,6,FALSE()))</f>
        <v/>
      </c>
      <c r="DS191" s="76"/>
    </row>
    <row r="192" customFormat="false" ht="15.75" hidden="false" customHeight="false" outlineLevel="0" collapsed="false">
      <c r="A192" s="9"/>
      <c r="B192" s="160"/>
      <c r="C192" s="161"/>
      <c r="D192" s="162"/>
      <c r="E192" s="180"/>
      <c r="F192" s="164"/>
      <c r="G192" s="165"/>
      <c r="H192" s="165"/>
      <c r="I192" s="181"/>
      <c r="J192" s="168"/>
      <c r="K192" s="128"/>
      <c r="L192" s="129"/>
      <c r="M192" s="130"/>
      <c r="N192" s="168"/>
      <c r="O192" s="168"/>
      <c r="P192" s="180"/>
      <c r="Q192" s="168"/>
      <c r="R192" s="168"/>
      <c r="S192" s="128"/>
      <c r="T192" s="130"/>
      <c r="U192" s="130"/>
      <c r="V192" s="168"/>
      <c r="W192" s="168"/>
      <c r="X192" s="180"/>
      <c r="Y192" s="168"/>
      <c r="Z192" s="169"/>
      <c r="AA192" s="168"/>
      <c r="AB192" s="134"/>
      <c r="AC192" s="135"/>
      <c r="AD192" s="135"/>
      <c r="AE192" s="135"/>
      <c r="AF192" s="135" t="str">
        <f aca="false">IF(ISBLANK($C192),"",IF(E192=Constants!$B$2,TRUE(),IF(E192=Constants!$B$3,FALSE(),TRUE())))</f>
        <v/>
      </c>
      <c r="AG192" s="135" t="str">
        <f aca="false">IF(ISBLANK($C192),"",IF(F192=Constants!$B$2,TRUE(),IF(F192=Constants!$B$3,FALSE(),TRUE())))</f>
        <v/>
      </c>
      <c r="AH192" s="135" t="str">
        <f aca="false">IF(ISBLANK($C192),"",IF(G192=Constants!$B$2,TRUE(),IF(G192=Constants!$B$3,FALSE(),TRUE())))</f>
        <v/>
      </c>
      <c r="AI192" s="135" t="str">
        <f aca="false">IF(ISBLANK($C192),"",IF(AND(ISNUMBER(H192),H192&gt;=0),H192,Constants!$B$24))</f>
        <v/>
      </c>
      <c r="AJ192" s="135" t="str">
        <f aca="false">IF(ISBLANK($C192),"",IF(I192=Constants!$B$2,TRUE(),IF(I192=Constants!$B$3,FALSE(),TRUE())))</f>
        <v/>
      </c>
      <c r="AK192" s="135" t="str">
        <f aca="false">IF(ISBLANK($C192),"",IF(J192=Constants!$B$2,TRUE(),IF(J192=Constants!$B$3,FALSE(),TRUE())))</f>
        <v/>
      </c>
      <c r="AL192" s="135" t="str">
        <f aca="false">IF(ISBLANK($C192),"",IF(K192=Constants!$B$4,TRUE(),IF(K192=Constants!$B$5,FALSE(),COUNTA(L192:P192)&gt;0)))</f>
        <v/>
      </c>
      <c r="AM192" s="136" t="str">
        <f aca="false">IF(ISBLANK($C192),"",IF(ISNUMBER(L192),IF(L192&gt;=0,L192,""),""))</f>
        <v/>
      </c>
      <c r="AN192" s="137" t="str">
        <f aca="false">IF(ISBLANK($C192),"",IF(ISNUMBER(M192),IF(M192&gt;=0,M192,""),""))</f>
        <v/>
      </c>
      <c r="AO192" s="137" t="str">
        <f aca="false">IF(ISBLANK($C192),"",IF(N192=Constants!$B$2,TRUE(),IF(N192=Constants!$B$3,FALSE(),TRUE())))</f>
        <v/>
      </c>
      <c r="AP192" s="135" t="str">
        <f aca="false">IF(ISBLANK($C192),"",IF(ISNUMBER(O192),IF(O192&gt;=0,O192,""),""))</f>
        <v/>
      </c>
      <c r="AQ192" s="135" t="str">
        <f aca="false">IF(ISBLANK($C192),"",IF(P192=Constants!$B$2,TRUE(),IF(P192=Constants!$B$3,FALSE(),FALSE())))</f>
        <v/>
      </c>
      <c r="AR192" s="135" t="str">
        <f aca="false">IF(ISBLANK($C192),"",IF(Q192=Constants!$B$2,TRUE(),IF(Q192=Constants!$B$3,FALSE(),TRUE())))</f>
        <v/>
      </c>
      <c r="AS192" s="135" t="str">
        <f aca="false">IF(ISBLANK($C192),"",IF(R192=Constants!$B$2,TRUE(),IF(R192=Constants!$B$3,FALSE(),TRUE())))</f>
        <v/>
      </c>
      <c r="AT192" s="135" t="str">
        <f aca="false">IF(ISBLANK($C192),"",IF(S192=Constants!$B$4,TRUE(),IF(S192=Constants!$B$5,FALSE(),COUNTA(T192:X192)&gt;0)))</f>
        <v/>
      </c>
      <c r="AU192" s="136" t="str">
        <f aca="false">IF(ISBLANK($C192),"",IF(ISNUMBER(T192),IF(T192&gt;=0,T192,""),""))</f>
        <v/>
      </c>
      <c r="AV192" s="137" t="str">
        <f aca="false">IF(ISBLANK($C192),"",IF(ISNUMBER(U192),IF(U192&gt;=0,U192,""),""))</f>
        <v/>
      </c>
      <c r="AW192" s="137" t="str">
        <f aca="false">IF(ISBLANK($C192),"",IF(V192=Constants!$B$2,TRUE(),IF(V192=Constants!$B$3,FALSE(),TRUE())))</f>
        <v/>
      </c>
      <c r="AX192" s="135" t="str">
        <f aca="false">IF(ISBLANK($C192),"",IF(ISNUMBER(W192),IF(W192&gt;=0,W192,""),""))</f>
        <v/>
      </c>
      <c r="AY192" s="135" t="str">
        <f aca="false">IF(ISBLANK($C192),"",IF(X192=Constants!$B$2,TRUE(),IF(X192=Constants!$B$3,FALSE(),FALSE())))</f>
        <v/>
      </c>
      <c r="AZ192" s="135" t="str">
        <f aca="false">IF(ISBLANK($C192),"",MIN(Constants!$B$25,MAX(0,IF(ISNUMBER(Y192),Y192*60,0)+IF(ISNUMBER(Z192),Z192,0))))</f>
        <v/>
      </c>
      <c r="BA192" s="135" t="str">
        <f aca="false">IF(ISBLANK($C192),"",IF(AA192=Constants!$B$2,TRUE(),IF(AA192=Constants!$B$3,FALSE(),FALSE())))</f>
        <v/>
      </c>
      <c r="BB192" s="134" t="str">
        <f aca="false">IF(ISBLANK($C192),"",AND($AL192,OR($AM192="",$AN192="",AND($AO192,$AP192=""))))</f>
        <v/>
      </c>
      <c r="BC192" s="137" t="str">
        <f aca="false">IF($BX192&lt;&gt;Constants!$B$6,"",IF($AL192,Constants!$B$17*$AN192+Constants!$B$18*IF($AO192,$AP192,Constants!$B$19),Constants!$B$20))</f>
        <v/>
      </c>
      <c r="BD192" s="138" t="str">
        <f aca="false">IF($BX192&lt;&gt;Constants!$B$6,"",Constants!$B$21*ABS($AD$9-IF($AL192,$AM192,0)))</f>
        <v/>
      </c>
      <c r="BE192" s="138" t="str">
        <f aca="false">IF($BX192&lt;&gt;Constants!$B$6,"",IF(AND($AL192,$AQ192,$AO192),Constants!$B$22,0))</f>
        <v/>
      </c>
      <c r="BF192" s="138" t="str">
        <f aca="false">IF($BX192&lt;&gt;Constants!$B$6,"",IF($AL192,($AI192-Constants!$B$24)*Constants!$B$23,0))</f>
        <v/>
      </c>
      <c r="BG192" s="138" t="str">
        <f aca="false">IF($BX192&lt;&gt;Constants!$B$6,"",IF($AK192,0,Constants!$B$12)+IF($AJ192,0,Constants!$B$13)+IF($AH192,0,Constants!$B$14))</f>
        <v/>
      </c>
      <c r="BH192" s="139" t="str">
        <f aca="false">IF($BX192&lt;&gt;Constants!$B$6,"",Constants!$B$16+SUM($BC192:$BG192))</f>
        <v/>
      </c>
      <c r="BI192" s="138" t="str">
        <f aca="false">IF($BX192&lt;&gt;Constants!$B$6,"",$BC192)</f>
        <v/>
      </c>
      <c r="BJ192" s="138" t="str">
        <f aca="false">IF($BX192&lt;&gt;Constants!$B$6,"",$BD192)</f>
        <v/>
      </c>
      <c r="BK192" s="140" t="str">
        <f aca="false">IF($BX192&lt;&gt;Constants!$B$6,"",IF($AL192,$AN192,""))</f>
        <v/>
      </c>
      <c r="BL192" s="135" t="str">
        <f aca="false">IF($BX192&lt;&gt;Constants!$B$6,"",IF(OR($BS192&lt;$BH192,AND($BS192=$BH192,OR($BT192&lt;$BI192,AND($BT192=$BI192,OR($BU192&lt;$BJ192,AND($BU192=$BJ192,AND(ISNUMBER($BV192),OR(NOT(ISNUMBER($BK192)),$BV192&lt;$BK192)))))))),"-&gt;","&lt;-"))</f>
        <v/>
      </c>
      <c r="BM192" s="134" t="str">
        <f aca="false">IF(ISBLANK($C192),"",AND($AT192,OR($AU192="",$AV192="",AND($AW192,$AX192=""))))</f>
        <v/>
      </c>
      <c r="BN192" s="137" t="str">
        <f aca="false">IF($BX192&lt;&gt;Constants!$B$6,"",IF($AT192,Constants!$B$17*$AV192+Constants!$B$18*IF($AW192,$AX192,Constants!$B$19),Constants!$B$20))</f>
        <v/>
      </c>
      <c r="BO192" s="138" t="str">
        <f aca="false">IF($BX192&lt;&gt;Constants!$B$6,"",Constants!$B$21*ABS($AD$9-IF($AT192,$AU192,0)))</f>
        <v/>
      </c>
      <c r="BP192" s="138" t="str">
        <f aca="false">IF($BX192&lt;&gt;Constants!$B$6,"",IF(AND($AT192,$AY192,$AW192),Constants!$B$22,0))</f>
        <v/>
      </c>
      <c r="BQ192" s="138" t="str">
        <f aca="false">IF($BX192&lt;&gt;Constants!$B$6,"",IF($AT192,($AI192-Constants!$B$24)*Constants!$B$23,0))</f>
        <v/>
      </c>
      <c r="BR192" s="138" t="str">
        <f aca="false">IF($BX192&lt;&gt;Constants!$B$6,"",IF($AS192,0,Constants!$B$12)+IF($AR192,0,Constants!$B$13)+IF($AH192,0,Constants!$B$14))</f>
        <v/>
      </c>
      <c r="BS192" s="139" t="str">
        <f aca="false">IF($BX192&lt;&gt;Constants!$B$6,"",Constants!$B$16+SUM($BN192:$BR192))</f>
        <v/>
      </c>
      <c r="BT192" s="138" t="str">
        <f aca="false">IF($BX192&lt;&gt;Constants!$B$6,"",$BN192)</f>
        <v/>
      </c>
      <c r="BU192" s="138" t="str">
        <f aca="false">IF($BX192&lt;&gt;Constants!$B$6,"",$BO192)</f>
        <v/>
      </c>
      <c r="BV192" s="140" t="str">
        <f aca="false">IF($BX192&lt;&gt;Constants!$B$6,"",IF($AT192,$AV192,""))</f>
        <v/>
      </c>
      <c r="BW192" s="135" t="str">
        <f aca="false">IF(ISBLANK($C192),"",IF(ISBLANK($D$7),$BW$5,IF(NOT(ISNUMBER($D$7)),$BW$6,"")))</f>
        <v/>
      </c>
      <c r="BX192" s="135" t="str">
        <f aca="false">IF(ISBLANK($C192),"",IF($BA192,Constants!$B$9,IF(COUNTA($E192:$AA192)=0,Constants!$B$8,IF(NOT($AG192),Constants!$B$7,IF(OR($BW192&lt;&gt;"",$BB192,$BM192),Constants!$B$10,Constants!$B$6)))))</f>
        <v/>
      </c>
      <c r="BY192" s="135" t="str">
        <f aca="false">IF(ISBLANK($C192),"",IF($BX192&lt;&gt;Constants!$B$6,$BX192,Constants!$B$11))</f>
        <v/>
      </c>
      <c r="BZ192" s="138" t="str">
        <f aca="false">IF($BX192&lt;&gt;Constants!$B$6,"",IF($BL192="-&gt;",$BS192,$BH192))</f>
        <v/>
      </c>
      <c r="CA192" s="138" t="str">
        <f aca="false">IF($BX192&lt;&gt;Constants!$B$6,"",IF($AF192,0,Constants!$B$15))</f>
        <v/>
      </c>
      <c r="CB192" s="138" t="str">
        <f aca="false">IF($BX192&lt;&gt;Constants!$B$6,"",((Constants!$B$25-$AZ192)-Constants!$B$25)/Constants!$B$26)</f>
        <v/>
      </c>
      <c r="CC192" s="138" t="str">
        <f aca="false">IF(ISBLANK($C192),"",IF($BX192&lt;&gt;Constants!$B$6,$BX192,SUM($BZ192:$CB192)))</f>
        <v/>
      </c>
      <c r="CD192" s="135" t="str">
        <f aca="false">IF(ISBLANK($C192),"",IF($BX192&lt;&gt;Constants!$B$6,$BX192,RANK($CC192,$CC$9:$CC$508,1)))</f>
        <v/>
      </c>
      <c r="CE192" s="138" t="str">
        <f aca="false">IF($BX192&lt;&gt;Constants!$B$6,"",IF($BL192="-&gt;",$BT192,$BI192))</f>
        <v/>
      </c>
      <c r="CF192" s="135" t="str">
        <f aca="false">IF(ISBLANK($C192),"",IF($BX192&lt;&gt;Constants!$B$6,$BX192,IF(ISNUMBER($CE192),RANK($CE192,$CE$9:$CE$508,1),COUNT($CE$9:$CE$508)+1)))</f>
        <v/>
      </c>
      <c r="CG192" s="138" t="str">
        <f aca="false">IF($BX192&lt;&gt;Constants!$B$6,"",IF($BL192="-&gt;",$BU192,$BJ192))</f>
        <v/>
      </c>
      <c r="CH192" s="135" t="str">
        <f aca="false">IF(ISBLANK($C192),"",IF($BX192&lt;&gt;Constants!$B$6,$BX192,IF(ISNUMBER($CG192),RANK($CG192,$CG$9:$CG$508,1),COUNT($CG$9:$CG$508)+1)))</f>
        <v/>
      </c>
      <c r="CI192" s="138" t="str">
        <f aca="false">IF($BX192&lt;&gt;Constants!$B$6,"",IF($BL192="-&gt;",$BV192,$BK192))</f>
        <v/>
      </c>
      <c r="CJ192" s="135" t="str">
        <f aca="false">IF(ISBLANK($C192),"",IF($BX192&lt;&gt;Constants!$B$6,$BX192,IF(ISNUMBER($CI192),RANK($CI192,$CI$9:$CI$508,1),COUNT($CI$9:$CI$508)+1)))</f>
        <v/>
      </c>
      <c r="CK192" s="138" t="str">
        <f aca="false">IF($BX192&lt;&gt;Constants!$B$6,"",$AI192)</f>
        <v/>
      </c>
      <c r="CL192" s="135" t="str">
        <f aca="false">IF(ISBLANK($C192),"",IF($BX192&lt;&gt;Constants!$B$6,$BX192,IF(ISNUMBER($CK192),RANK($CK192,$CK$9:$CK$508,1),COUNT($CK$9:$CK$508)+1)))</f>
        <v/>
      </c>
      <c r="CM192" s="135" t="str">
        <f aca="false">IF(ISBLANK($C192),"",IF($BX192&lt;&gt;Constants!$B$6,$BX192,COUNTIFS($CD$9:$CD$508,"&lt;"&amp;$CD192)+COUNTIFS($CD$9:$CD$508,$CD192,$CF$9:$CF$508,"&lt;"&amp;$CF192)+COUNTIFS($CD$9:$CD$508,$CD192,$CF$9:$CF$508,$CF192,$CH$9:$CH$508,"&lt;"&amp;$CH192)+COUNTIFS($CD$9:$CD$508,$CD192,$CF$9:$CF$508,$CF192,$CH$9:$CH$508,$CH192,$CJ$9:$CJ$508,"&lt;"&amp;$CJ192)+COUNTIFS($CD$9:$CD$508,$CD192,$CF$9:$CF$508,$CF192,$CH$9:$CH$508,$CH192,$CJ$9:$CJ$508,$CJ192,$CL$9:$CL$508,"&lt;"&amp;$CL192)+1))</f>
        <v/>
      </c>
      <c r="CN192" s="135" t="str">
        <f aca="false">IF(ISBLANK($C192),"",IF($BX192&lt;&gt;Constants!$B$6,$BX192,$CD192-$CM192))</f>
        <v/>
      </c>
      <c r="CO192" s="141"/>
      <c r="CP192" s="142"/>
      <c r="CQ192" s="143" t="str">
        <f aca="false">IF(ISBLANK($C192),"",IF($BX192=Constants!$B$10,$BW192,""))</f>
        <v/>
      </c>
      <c r="CR192" s="142" t="str">
        <f aca="false">IF(ISBLANK($C192),"",IF($BX192&lt;&gt;Constants!$B$6,"",IF($BL192="-&gt;",2,1)))</f>
        <v/>
      </c>
      <c r="CS192" s="144" t="str">
        <f aca="false">IF(ISBLANK($C192),"",IF($BX192&lt;&gt;Constants!$B$6,"",IF($BL192="-&gt;",$BN192,$BC192)))</f>
        <v/>
      </c>
      <c r="CT192" s="144" t="str">
        <f aca="false">IF(ISBLANK($C192),"",IF($BX192&lt;&gt;Constants!$B$6,"",IF($BL192="-&gt;",$BO192,$BD192)))</f>
        <v/>
      </c>
      <c r="CU192" s="144" t="str">
        <f aca="false">IF(ISBLANK($C192),"",IF($BX192&lt;&gt;Constants!$B$6,"",IF($BL192="-&gt;",$BP192+$BQ192,$BE192+$BF192)+$CB192))</f>
        <v/>
      </c>
      <c r="CV192" s="144" t="str">
        <f aca="false">IF(ISBLANK($C192),"",IF($BX192&lt;&gt;Constants!$B$6,"",IF($BL192="-&gt;",$BR192,$BG192)+$CA192))</f>
        <v/>
      </c>
      <c r="CW192" s="145" t="str">
        <f aca="false">IF(ISBLANK($C192),"",IF($BX192&lt;&gt;Constants!$B$6,$BX192,$CC192))</f>
        <v/>
      </c>
      <c r="CX192" s="146" t="str">
        <f aca="false">IF(ISBLANK($C192),"",$BY192)</f>
        <v/>
      </c>
      <c r="CY192" s="147" t="str">
        <f aca="false">IF(ISBLANK($C192),"",$CN192)</f>
        <v/>
      </c>
      <c r="CZ192" s="147" t="str">
        <f aca="false">IF(ISBLANK($C192),"",$CM192)</f>
        <v/>
      </c>
      <c r="DA192" s="148" t="str">
        <f aca="false">IF(ISBLANK($C192),"",IFERROR(_xlfn.SWITCH($CZ192,Constants!$B$9,COUNTA($C$9:$C$508)+2,Constants!$B$8,COUNTA($C$9:$C$508)+1,Constants!$B$7,COUNTA($C$9:$C$508)),$CZ192))</f>
        <v/>
      </c>
      <c r="DB192" s="9"/>
      <c r="DC192" s="149" t="n">
        <f aca="false">IF(OR(ISNUMBER($CZ192),$CZ192=Constants!$B$9,$CZ192=Constants!$B$7,$CZ192=Constants!$B$8),1,0)</f>
        <v>0</v>
      </c>
      <c r="DD192" s="149" t="n">
        <v>184</v>
      </c>
      <c r="DE192" s="149" t="str">
        <f aca="false">IF(ISBLANK($C192),"",IF(ISNUMBER($DA192),$DA192+ROW($B192)/1000,""))</f>
        <v/>
      </c>
      <c r="DF192" s="149" t="str">
        <f aca="false">IF(ISNUMBER($DE192),RANK($DE192,$DE$9:$DE$508,1),"")</f>
        <v/>
      </c>
      <c r="DG192" s="149" t="str">
        <f aca="false">IF(ISBLANK($C192),"",$B192)</f>
        <v/>
      </c>
      <c r="DH192" s="149" t="str">
        <f aca="false">IF(ISBLANK($C192),"",$C192)</f>
        <v/>
      </c>
      <c r="DI192" s="149" t="str">
        <f aca="false">IF(ISBLANK($C192),"",$D192)</f>
        <v/>
      </c>
      <c r="DJ192" s="150" t="str">
        <f aca="false">$CX192</f>
        <v/>
      </c>
      <c r="DK192" s="151" t="str">
        <f aca="false">$CW192</f>
        <v/>
      </c>
      <c r="DL192" s="149" t="str">
        <f aca="false">IF(ISBLANK($C192),"",$CZ192)</f>
        <v/>
      </c>
      <c r="DM192" s="152" t="str">
        <f aca="false">IF($DD192&gt;$DC$8,"",VLOOKUP($DD192,$DF$9:$DL$508,7,FALSE()))</f>
        <v/>
      </c>
      <c r="DN192" s="153" t="str">
        <f aca="false">IF($DD192&gt;$DC$8,"",VLOOKUP($DD192,$DF$9:$DL$508,2,FALSE()))</f>
        <v/>
      </c>
      <c r="DO192" s="153" t="str">
        <f aca="false">IF($DD192&gt;$DC$8,"",VLOOKUP($DD192,$DF$9:$DL$508,3,FALSE()))</f>
        <v/>
      </c>
      <c r="DP192" s="153" t="str">
        <f aca="false">IF($DD192&gt;$DC$8,"",VLOOKUP($DD192,$DF$9:$DL$508,4,FALSE()))</f>
        <v/>
      </c>
      <c r="DQ192" s="153" t="str">
        <f aca="false">IF($DD192&gt;$DC$8,"",VLOOKUP($DD192,$DF$9:$DL$508,5,FALSE()))</f>
        <v/>
      </c>
      <c r="DR192" s="154" t="str">
        <f aca="false">IF($DD192&gt;$DC$8,"",VLOOKUP($DD192,$DF$9:$DL$508,6,FALSE()))</f>
        <v/>
      </c>
      <c r="DS192" s="76"/>
    </row>
    <row r="193" customFormat="false" ht="15.75" hidden="false" customHeight="false" outlineLevel="0" collapsed="false">
      <c r="A193" s="9"/>
      <c r="B193" s="160"/>
      <c r="C193" s="161"/>
      <c r="D193" s="162"/>
      <c r="E193" s="180"/>
      <c r="F193" s="164"/>
      <c r="G193" s="165"/>
      <c r="H193" s="165"/>
      <c r="I193" s="181"/>
      <c r="J193" s="168"/>
      <c r="K193" s="128"/>
      <c r="L193" s="129"/>
      <c r="M193" s="130"/>
      <c r="N193" s="168"/>
      <c r="O193" s="168"/>
      <c r="P193" s="180"/>
      <c r="Q193" s="168"/>
      <c r="R193" s="168"/>
      <c r="S193" s="128"/>
      <c r="T193" s="130"/>
      <c r="U193" s="130"/>
      <c r="V193" s="168"/>
      <c r="W193" s="168"/>
      <c r="X193" s="180"/>
      <c r="Y193" s="168"/>
      <c r="Z193" s="169"/>
      <c r="AA193" s="168"/>
      <c r="AB193" s="134"/>
      <c r="AC193" s="135"/>
      <c r="AD193" s="135"/>
      <c r="AE193" s="135"/>
      <c r="AF193" s="135" t="str">
        <f aca="false">IF(ISBLANK($C193),"",IF(E193=Constants!$B$2,TRUE(),IF(E193=Constants!$B$3,FALSE(),TRUE())))</f>
        <v/>
      </c>
      <c r="AG193" s="135" t="str">
        <f aca="false">IF(ISBLANK($C193),"",IF(F193=Constants!$B$2,TRUE(),IF(F193=Constants!$B$3,FALSE(),TRUE())))</f>
        <v/>
      </c>
      <c r="AH193" s="135" t="str">
        <f aca="false">IF(ISBLANK($C193),"",IF(G193=Constants!$B$2,TRUE(),IF(G193=Constants!$B$3,FALSE(),TRUE())))</f>
        <v/>
      </c>
      <c r="AI193" s="135" t="str">
        <f aca="false">IF(ISBLANK($C193),"",IF(AND(ISNUMBER(H193),H193&gt;=0),H193,Constants!$B$24))</f>
        <v/>
      </c>
      <c r="AJ193" s="135" t="str">
        <f aca="false">IF(ISBLANK($C193),"",IF(I193=Constants!$B$2,TRUE(),IF(I193=Constants!$B$3,FALSE(),TRUE())))</f>
        <v/>
      </c>
      <c r="AK193" s="135" t="str">
        <f aca="false">IF(ISBLANK($C193),"",IF(J193=Constants!$B$2,TRUE(),IF(J193=Constants!$B$3,FALSE(),TRUE())))</f>
        <v/>
      </c>
      <c r="AL193" s="135" t="str">
        <f aca="false">IF(ISBLANK($C193),"",IF(K193=Constants!$B$4,TRUE(),IF(K193=Constants!$B$5,FALSE(),COUNTA(L193:P193)&gt;0)))</f>
        <v/>
      </c>
      <c r="AM193" s="136" t="str">
        <f aca="false">IF(ISBLANK($C193),"",IF(ISNUMBER(L193),IF(L193&gt;=0,L193,""),""))</f>
        <v/>
      </c>
      <c r="AN193" s="137" t="str">
        <f aca="false">IF(ISBLANK($C193),"",IF(ISNUMBER(M193),IF(M193&gt;=0,M193,""),""))</f>
        <v/>
      </c>
      <c r="AO193" s="137" t="str">
        <f aca="false">IF(ISBLANK($C193),"",IF(N193=Constants!$B$2,TRUE(),IF(N193=Constants!$B$3,FALSE(),TRUE())))</f>
        <v/>
      </c>
      <c r="AP193" s="135" t="str">
        <f aca="false">IF(ISBLANK($C193),"",IF(ISNUMBER(O193),IF(O193&gt;=0,O193,""),""))</f>
        <v/>
      </c>
      <c r="AQ193" s="135" t="str">
        <f aca="false">IF(ISBLANK($C193),"",IF(P193=Constants!$B$2,TRUE(),IF(P193=Constants!$B$3,FALSE(),FALSE())))</f>
        <v/>
      </c>
      <c r="AR193" s="135" t="str">
        <f aca="false">IF(ISBLANK($C193),"",IF(Q193=Constants!$B$2,TRUE(),IF(Q193=Constants!$B$3,FALSE(),TRUE())))</f>
        <v/>
      </c>
      <c r="AS193" s="135" t="str">
        <f aca="false">IF(ISBLANK($C193),"",IF(R193=Constants!$B$2,TRUE(),IF(R193=Constants!$B$3,FALSE(),TRUE())))</f>
        <v/>
      </c>
      <c r="AT193" s="135" t="str">
        <f aca="false">IF(ISBLANK($C193),"",IF(S193=Constants!$B$4,TRUE(),IF(S193=Constants!$B$5,FALSE(),COUNTA(T193:X193)&gt;0)))</f>
        <v/>
      </c>
      <c r="AU193" s="136" t="str">
        <f aca="false">IF(ISBLANK($C193),"",IF(ISNUMBER(T193),IF(T193&gt;=0,T193,""),""))</f>
        <v/>
      </c>
      <c r="AV193" s="137" t="str">
        <f aca="false">IF(ISBLANK($C193),"",IF(ISNUMBER(U193),IF(U193&gt;=0,U193,""),""))</f>
        <v/>
      </c>
      <c r="AW193" s="137" t="str">
        <f aca="false">IF(ISBLANK($C193),"",IF(V193=Constants!$B$2,TRUE(),IF(V193=Constants!$B$3,FALSE(),TRUE())))</f>
        <v/>
      </c>
      <c r="AX193" s="135" t="str">
        <f aca="false">IF(ISBLANK($C193),"",IF(ISNUMBER(W193),IF(W193&gt;=0,W193,""),""))</f>
        <v/>
      </c>
      <c r="AY193" s="135" t="str">
        <f aca="false">IF(ISBLANK($C193),"",IF(X193=Constants!$B$2,TRUE(),IF(X193=Constants!$B$3,FALSE(),FALSE())))</f>
        <v/>
      </c>
      <c r="AZ193" s="135" t="str">
        <f aca="false">IF(ISBLANK($C193),"",MIN(Constants!$B$25,MAX(0,IF(ISNUMBER(Y193),Y193*60,0)+IF(ISNUMBER(Z193),Z193,0))))</f>
        <v/>
      </c>
      <c r="BA193" s="135" t="str">
        <f aca="false">IF(ISBLANK($C193),"",IF(AA193=Constants!$B$2,TRUE(),IF(AA193=Constants!$B$3,FALSE(),FALSE())))</f>
        <v/>
      </c>
      <c r="BB193" s="134" t="str">
        <f aca="false">IF(ISBLANK($C193),"",AND($AL193,OR($AM193="",$AN193="",AND($AO193,$AP193=""))))</f>
        <v/>
      </c>
      <c r="BC193" s="137" t="str">
        <f aca="false">IF($BX193&lt;&gt;Constants!$B$6,"",IF($AL193,Constants!$B$17*$AN193+Constants!$B$18*IF($AO193,$AP193,Constants!$B$19),Constants!$B$20))</f>
        <v/>
      </c>
      <c r="BD193" s="138" t="str">
        <f aca="false">IF($BX193&lt;&gt;Constants!$B$6,"",Constants!$B$21*ABS($AD$9-IF($AL193,$AM193,0)))</f>
        <v/>
      </c>
      <c r="BE193" s="138" t="str">
        <f aca="false">IF($BX193&lt;&gt;Constants!$B$6,"",IF(AND($AL193,$AQ193,$AO193),Constants!$B$22,0))</f>
        <v/>
      </c>
      <c r="BF193" s="138" t="str">
        <f aca="false">IF($BX193&lt;&gt;Constants!$B$6,"",IF($AL193,($AI193-Constants!$B$24)*Constants!$B$23,0))</f>
        <v/>
      </c>
      <c r="BG193" s="138" t="str">
        <f aca="false">IF($BX193&lt;&gt;Constants!$B$6,"",IF($AK193,0,Constants!$B$12)+IF($AJ193,0,Constants!$B$13)+IF($AH193,0,Constants!$B$14))</f>
        <v/>
      </c>
      <c r="BH193" s="139" t="str">
        <f aca="false">IF($BX193&lt;&gt;Constants!$B$6,"",Constants!$B$16+SUM($BC193:$BG193))</f>
        <v/>
      </c>
      <c r="BI193" s="138" t="str">
        <f aca="false">IF($BX193&lt;&gt;Constants!$B$6,"",$BC193)</f>
        <v/>
      </c>
      <c r="BJ193" s="138" t="str">
        <f aca="false">IF($BX193&lt;&gt;Constants!$B$6,"",$BD193)</f>
        <v/>
      </c>
      <c r="BK193" s="140" t="str">
        <f aca="false">IF($BX193&lt;&gt;Constants!$B$6,"",IF($AL193,$AN193,""))</f>
        <v/>
      </c>
      <c r="BL193" s="135" t="str">
        <f aca="false">IF($BX193&lt;&gt;Constants!$B$6,"",IF(OR($BS193&lt;$BH193,AND($BS193=$BH193,OR($BT193&lt;$BI193,AND($BT193=$BI193,OR($BU193&lt;$BJ193,AND($BU193=$BJ193,AND(ISNUMBER($BV193),OR(NOT(ISNUMBER($BK193)),$BV193&lt;$BK193)))))))),"-&gt;","&lt;-"))</f>
        <v/>
      </c>
      <c r="BM193" s="134" t="str">
        <f aca="false">IF(ISBLANK($C193),"",AND($AT193,OR($AU193="",$AV193="",AND($AW193,$AX193=""))))</f>
        <v/>
      </c>
      <c r="BN193" s="137" t="str">
        <f aca="false">IF($BX193&lt;&gt;Constants!$B$6,"",IF($AT193,Constants!$B$17*$AV193+Constants!$B$18*IF($AW193,$AX193,Constants!$B$19),Constants!$B$20))</f>
        <v/>
      </c>
      <c r="BO193" s="138" t="str">
        <f aca="false">IF($BX193&lt;&gt;Constants!$B$6,"",Constants!$B$21*ABS($AD$9-IF($AT193,$AU193,0)))</f>
        <v/>
      </c>
      <c r="BP193" s="138" t="str">
        <f aca="false">IF($BX193&lt;&gt;Constants!$B$6,"",IF(AND($AT193,$AY193,$AW193),Constants!$B$22,0))</f>
        <v/>
      </c>
      <c r="BQ193" s="138" t="str">
        <f aca="false">IF($BX193&lt;&gt;Constants!$B$6,"",IF($AT193,($AI193-Constants!$B$24)*Constants!$B$23,0))</f>
        <v/>
      </c>
      <c r="BR193" s="138" t="str">
        <f aca="false">IF($BX193&lt;&gt;Constants!$B$6,"",IF($AS193,0,Constants!$B$12)+IF($AR193,0,Constants!$B$13)+IF($AH193,0,Constants!$B$14))</f>
        <v/>
      </c>
      <c r="BS193" s="139" t="str">
        <f aca="false">IF($BX193&lt;&gt;Constants!$B$6,"",Constants!$B$16+SUM($BN193:$BR193))</f>
        <v/>
      </c>
      <c r="BT193" s="138" t="str">
        <f aca="false">IF($BX193&lt;&gt;Constants!$B$6,"",$BN193)</f>
        <v/>
      </c>
      <c r="BU193" s="138" t="str">
        <f aca="false">IF($BX193&lt;&gt;Constants!$B$6,"",$BO193)</f>
        <v/>
      </c>
      <c r="BV193" s="140" t="str">
        <f aca="false">IF($BX193&lt;&gt;Constants!$B$6,"",IF($AT193,$AV193,""))</f>
        <v/>
      </c>
      <c r="BW193" s="135" t="str">
        <f aca="false">IF(ISBLANK($C193),"",IF(ISBLANK($D$7),$BW$5,IF(NOT(ISNUMBER($D$7)),$BW$6,"")))</f>
        <v/>
      </c>
      <c r="BX193" s="135" t="str">
        <f aca="false">IF(ISBLANK($C193),"",IF($BA193,Constants!$B$9,IF(COUNTA($E193:$AA193)=0,Constants!$B$8,IF(NOT($AG193),Constants!$B$7,IF(OR($BW193&lt;&gt;"",$BB193,$BM193),Constants!$B$10,Constants!$B$6)))))</f>
        <v/>
      </c>
      <c r="BY193" s="135" t="str">
        <f aca="false">IF(ISBLANK($C193),"",IF($BX193&lt;&gt;Constants!$B$6,$BX193,Constants!$B$11))</f>
        <v/>
      </c>
      <c r="BZ193" s="138" t="str">
        <f aca="false">IF($BX193&lt;&gt;Constants!$B$6,"",IF($BL193="-&gt;",$BS193,$BH193))</f>
        <v/>
      </c>
      <c r="CA193" s="138" t="str">
        <f aca="false">IF($BX193&lt;&gt;Constants!$B$6,"",IF($AF193,0,Constants!$B$15))</f>
        <v/>
      </c>
      <c r="CB193" s="138" t="str">
        <f aca="false">IF($BX193&lt;&gt;Constants!$B$6,"",((Constants!$B$25-$AZ193)-Constants!$B$25)/Constants!$B$26)</f>
        <v/>
      </c>
      <c r="CC193" s="138" t="str">
        <f aca="false">IF(ISBLANK($C193),"",IF($BX193&lt;&gt;Constants!$B$6,$BX193,SUM($BZ193:$CB193)))</f>
        <v/>
      </c>
      <c r="CD193" s="135" t="str">
        <f aca="false">IF(ISBLANK($C193),"",IF($BX193&lt;&gt;Constants!$B$6,$BX193,RANK($CC193,$CC$9:$CC$508,1)))</f>
        <v/>
      </c>
      <c r="CE193" s="138" t="str">
        <f aca="false">IF($BX193&lt;&gt;Constants!$B$6,"",IF($BL193="-&gt;",$BT193,$BI193))</f>
        <v/>
      </c>
      <c r="CF193" s="135" t="str">
        <f aca="false">IF(ISBLANK($C193),"",IF($BX193&lt;&gt;Constants!$B$6,$BX193,IF(ISNUMBER($CE193),RANK($CE193,$CE$9:$CE$508,1),COUNT($CE$9:$CE$508)+1)))</f>
        <v/>
      </c>
      <c r="CG193" s="138" t="str">
        <f aca="false">IF($BX193&lt;&gt;Constants!$B$6,"",IF($BL193="-&gt;",$BU193,$BJ193))</f>
        <v/>
      </c>
      <c r="CH193" s="135" t="str">
        <f aca="false">IF(ISBLANK($C193),"",IF($BX193&lt;&gt;Constants!$B$6,$BX193,IF(ISNUMBER($CG193),RANK($CG193,$CG$9:$CG$508,1),COUNT($CG$9:$CG$508)+1)))</f>
        <v/>
      </c>
      <c r="CI193" s="138" t="str">
        <f aca="false">IF($BX193&lt;&gt;Constants!$B$6,"",IF($BL193="-&gt;",$BV193,$BK193))</f>
        <v/>
      </c>
      <c r="CJ193" s="135" t="str">
        <f aca="false">IF(ISBLANK($C193),"",IF($BX193&lt;&gt;Constants!$B$6,$BX193,IF(ISNUMBER($CI193),RANK($CI193,$CI$9:$CI$508,1),COUNT($CI$9:$CI$508)+1)))</f>
        <v/>
      </c>
      <c r="CK193" s="138" t="str">
        <f aca="false">IF($BX193&lt;&gt;Constants!$B$6,"",$AI193)</f>
        <v/>
      </c>
      <c r="CL193" s="135" t="str">
        <f aca="false">IF(ISBLANK($C193),"",IF($BX193&lt;&gt;Constants!$B$6,$BX193,IF(ISNUMBER($CK193),RANK($CK193,$CK$9:$CK$508,1),COUNT($CK$9:$CK$508)+1)))</f>
        <v/>
      </c>
      <c r="CM193" s="135" t="str">
        <f aca="false">IF(ISBLANK($C193),"",IF($BX193&lt;&gt;Constants!$B$6,$BX193,COUNTIFS($CD$9:$CD$508,"&lt;"&amp;$CD193)+COUNTIFS($CD$9:$CD$508,$CD193,$CF$9:$CF$508,"&lt;"&amp;$CF193)+COUNTIFS($CD$9:$CD$508,$CD193,$CF$9:$CF$508,$CF193,$CH$9:$CH$508,"&lt;"&amp;$CH193)+COUNTIFS($CD$9:$CD$508,$CD193,$CF$9:$CF$508,$CF193,$CH$9:$CH$508,$CH193,$CJ$9:$CJ$508,"&lt;"&amp;$CJ193)+COUNTIFS($CD$9:$CD$508,$CD193,$CF$9:$CF$508,$CF193,$CH$9:$CH$508,$CH193,$CJ$9:$CJ$508,$CJ193,$CL$9:$CL$508,"&lt;"&amp;$CL193)+1))</f>
        <v/>
      </c>
      <c r="CN193" s="135" t="str">
        <f aca="false">IF(ISBLANK($C193),"",IF($BX193&lt;&gt;Constants!$B$6,$BX193,$CD193-$CM193))</f>
        <v/>
      </c>
      <c r="CO193" s="141"/>
      <c r="CP193" s="142"/>
      <c r="CQ193" s="143" t="str">
        <f aca="false">IF(ISBLANK($C193),"",IF($BX193=Constants!$B$10,$BW193,""))</f>
        <v/>
      </c>
      <c r="CR193" s="142" t="str">
        <f aca="false">IF(ISBLANK($C193),"",IF($BX193&lt;&gt;Constants!$B$6,"",IF($BL193="-&gt;",2,1)))</f>
        <v/>
      </c>
      <c r="CS193" s="144" t="str">
        <f aca="false">IF(ISBLANK($C193),"",IF($BX193&lt;&gt;Constants!$B$6,"",IF($BL193="-&gt;",$BN193,$BC193)))</f>
        <v/>
      </c>
      <c r="CT193" s="144" t="str">
        <f aca="false">IF(ISBLANK($C193),"",IF($BX193&lt;&gt;Constants!$B$6,"",IF($BL193="-&gt;",$BO193,$BD193)))</f>
        <v/>
      </c>
      <c r="CU193" s="144" t="str">
        <f aca="false">IF(ISBLANK($C193),"",IF($BX193&lt;&gt;Constants!$B$6,"",IF($BL193="-&gt;",$BP193+$BQ193,$BE193+$BF193)+$CB193))</f>
        <v/>
      </c>
      <c r="CV193" s="144" t="str">
        <f aca="false">IF(ISBLANK($C193),"",IF($BX193&lt;&gt;Constants!$B$6,"",IF($BL193="-&gt;",$BR193,$BG193)+$CA193))</f>
        <v/>
      </c>
      <c r="CW193" s="145" t="str">
        <f aca="false">IF(ISBLANK($C193),"",IF($BX193&lt;&gt;Constants!$B$6,$BX193,$CC193))</f>
        <v/>
      </c>
      <c r="CX193" s="146" t="str">
        <f aca="false">IF(ISBLANK($C193),"",$BY193)</f>
        <v/>
      </c>
      <c r="CY193" s="147" t="str">
        <f aca="false">IF(ISBLANK($C193),"",$CN193)</f>
        <v/>
      </c>
      <c r="CZ193" s="147" t="str">
        <f aca="false">IF(ISBLANK($C193),"",$CM193)</f>
        <v/>
      </c>
      <c r="DA193" s="148" t="str">
        <f aca="false">IF(ISBLANK($C193),"",IFERROR(_xlfn.SWITCH($CZ193,Constants!$B$9,COUNTA($C$9:$C$508)+2,Constants!$B$8,COUNTA($C$9:$C$508)+1,Constants!$B$7,COUNTA($C$9:$C$508)),$CZ193))</f>
        <v/>
      </c>
      <c r="DB193" s="9"/>
      <c r="DC193" s="149" t="n">
        <f aca="false">IF(OR(ISNUMBER($CZ193),$CZ193=Constants!$B$9,$CZ193=Constants!$B$7,$CZ193=Constants!$B$8),1,0)</f>
        <v>0</v>
      </c>
      <c r="DD193" s="149" t="n">
        <v>185</v>
      </c>
      <c r="DE193" s="149" t="str">
        <f aca="false">IF(ISBLANK($C193),"",IF(ISNUMBER($DA193),$DA193+ROW($B193)/1000,""))</f>
        <v/>
      </c>
      <c r="DF193" s="149" t="str">
        <f aca="false">IF(ISNUMBER($DE193),RANK($DE193,$DE$9:$DE$508,1),"")</f>
        <v/>
      </c>
      <c r="DG193" s="149" t="str">
        <f aca="false">IF(ISBLANK($C193),"",$B193)</f>
        <v/>
      </c>
      <c r="DH193" s="149" t="str">
        <f aca="false">IF(ISBLANK($C193),"",$C193)</f>
        <v/>
      </c>
      <c r="DI193" s="149" t="str">
        <f aca="false">IF(ISBLANK($C193),"",$D193)</f>
        <v/>
      </c>
      <c r="DJ193" s="150" t="str">
        <f aca="false">$CX193</f>
        <v/>
      </c>
      <c r="DK193" s="151" t="str">
        <f aca="false">$CW193</f>
        <v/>
      </c>
      <c r="DL193" s="149" t="str">
        <f aca="false">IF(ISBLANK($C193),"",$CZ193)</f>
        <v/>
      </c>
      <c r="DM193" s="152" t="str">
        <f aca="false">IF($DD193&gt;$DC$8,"",VLOOKUP($DD193,$DF$9:$DL$508,7,FALSE()))</f>
        <v/>
      </c>
      <c r="DN193" s="153" t="str">
        <f aca="false">IF($DD193&gt;$DC$8,"",VLOOKUP($DD193,$DF$9:$DL$508,2,FALSE()))</f>
        <v/>
      </c>
      <c r="DO193" s="153" t="str">
        <f aca="false">IF($DD193&gt;$DC$8,"",VLOOKUP($DD193,$DF$9:$DL$508,3,FALSE()))</f>
        <v/>
      </c>
      <c r="DP193" s="153" t="str">
        <f aca="false">IF($DD193&gt;$DC$8,"",VLOOKUP($DD193,$DF$9:$DL$508,4,FALSE()))</f>
        <v/>
      </c>
      <c r="DQ193" s="153" t="str">
        <f aca="false">IF($DD193&gt;$DC$8,"",VLOOKUP($DD193,$DF$9:$DL$508,5,FALSE()))</f>
        <v/>
      </c>
      <c r="DR193" s="154" t="str">
        <f aca="false">IF($DD193&gt;$DC$8,"",VLOOKUP($DD193,$DF$9:$DL$508,6,FALSE()))</f>
        <v/>
      </c>
      <c r="DS193" s="76"/>
    </row>
    <row r="194" customFormat="false" ht="15.75" hidden="false" customHeight="false" outlineLevel="0" collapsed="false">
      <c r="A194" s="9"/>
      <c r="B194" s="160"/>
      <c r="C194" s="161"/>
      <c r="D194" s="162"/>
      <c r="E194" s="180"/>
      <c r="F194" s="164"/>
      <c r="G194" s="165"/>
      <c r="H194" s="165"/>
      <c r="I194" s="181"/>
      <c r="J194" s="168"/>
      <c r="K194" s="128"/>
      <c r="L194" s="129"/>
      <c r="M194" s="130"/>
      <c r="N194" s="168"/>
      <c r="O194" s="168"/>
      <c r="P194" s="180"/>
      <c r="Q194" s="168"/>
      <c r="R194" s="168"/>
      <c r="S194" s="128"/>
      <c r="T194" s="130"/>
      <c r="U194" s="130"/>
      <c r="V194" s="168"/>
      <c r="W194" s="168"/>
      <c r="X194" s="180"/>
      <c r="Y194" s="168"/>
      <c r="Z194" s="169"/>
      <c r="AA194" s="168"/>
      <c r="AB194" s="134"/>
      <c r="AC194" s="135"/>
      <c r="AD194" s="135"/>
      <c r="AE194" s="135"/>
      <c r="AF194" s="135" t="str">
        <f aca="false">IF(ISBLANK($C194),"",IF(E194=Constants!$B$2,TRUE(),IF(E194=Constants!$B$3,FALSE(),TRUE())))</f>
        <v/>
      </c>
      <c r="AG194" s="135" t="str">
        <f aca="false">IF(ISBLANK($C194),"",IF(F194=Constants!$B$2,TRUE(),IF(F194=Constants!$B$3,FALSE(),TRUE())))</f>
        <v/>
      </c>
      <c r="AH194" s="135" t="str">
        <f aca="false">IF(ISBLANK($C194),"",IF(G194=Constants!$B$2,TRUE(),IF(G194=Constants!$B$3,FALSE(),TRUE())))</f>
        <v/>
      </c>
      <c r="AI194" s="135" t="str">
        <f aca="false">IF(ISBLANK($C194),"",IF(AND(ISNUMBER(H194),H194&gt;=0),H194,Constants!$B$24))</f>
        <v/>
      </c>
      <c r="AJ194" s="135" t="str">
        <f aca="false">IF(ISBLANK($C194),"",IF(I194=Constants!$B$2,TRUE(),IF(I194=Constants!$B$3,FALSE(),TRUE())))</f>
        <v/>
      </c>
      <c r="AK194" s="135" t="str">
        <f aca="false">IF(ISBLANK($C194),"",IF(J194=Constants!$B$2,TRUE(),IF(J194=Constants!$B$3,FALSE(),TRUE())))</f>
        <v/>
      </c>
      <c r="AL194" s="135" t="str">
        <f aca="false">IF(ISBLANK($C194),"",IF(K194=Constants!$B$4,TRUE(),IF(K194=Constants!$B$5,FALSE(),COUNTA(L194:P194)&gt;0)))</f>
        <v/>
      </c>
      <c r="AM194" s="136" t="str">
        <f aca="false">IF(ISBLANK($C194),"",IF(ISNUMBER(L194),IF(L194&gt;=0,L194,""),""))</f>
        <v/>
      </c>
      <c r="AN194" s="137" t="str">
        <f aca="false">IF(ISBLANK($C194),"",IF(ISNUMBER(M194),IF(M194&gt;=0,M194,""),""))</f>
        <v/>
      </c>
      <c r="AO194" s="137" t="str">
        <f aca="false">IF(ISBLANK($C194),"",IF(N194=Constants!$B$2,TRUE(),IF(N194=Constants!$B$3,FALSE(),TRUE())))</f>
        <v/>
      </c>
      <c r="AP194" s="135" t="str">
        <f aca="false">IF(ISBLANK($C194),"",IF(ISNUMBER(O194),IF(O194&gt;=0,O194,""),""))</f>
        <v/>
      </c>
      <c r="AQ194" s="135" t="str">
        <f aca="false">IF(ISBLANK($C194),"",IF(P194=Constants!$B$2,TRUE(),IF(P194=Constants!$B$3,FALSE(),FALSE())))</f>
        <v/>
      </c>
      <c r="AR194" s="135" t="str">
        <f aca="false">IF(ISBLANK($C194),"",IF(Q194=Constants!$B$2,TRUE(),IF(Q194=Constants!$B$3,FALSE(),TRUE())))</f>
        <v/>
      </c>
      <c r="AS194" s="135" t="str">
        <f aca="false">IF(ISBLANK($C194),"",IF(R194=Constants!$B$2,TRUE(),IF(R194=Constants!$B$3,FALSE(),TRUE())))</f>
        <v/>
      </c>
      <c r="AT194" s="135" t="str">
        <f aca="false">IF(ISBLANK($C194),"",IF(S194=Constants!$B$4,TRUE(),IF(S194=Constants!$B$5,FALSE(),COUNTA(T194:X194)&gt;0)))</f>
        <v/>
      </c>
      <c r="AU194" s="136" t="str">
        <f aca="false">IF(ISBLANK($C194),"",IF(ISNUMBER(T194),IF(T194&gt;=0,T194,""),""))</f>
        <v/>
      </c>
      <c r="AV194" s="137" t="str">
        <f aca="false">IF(ISBLANK($C194),"",IF(ISNUMBER(U194),IF(U194&gt;=0,U194,""),""))</f>
        <v/>
      </c>
      <c r="AW194" s="137" t="str">
        <f aca="false">IF(ISBLANK($C194),"",IF(V194=Constants!$B$2,TRUE(),IF(V194=Constants!$B$3,FALSE(),TRUE())))</f>
        <v/>
      </c>
      <c r="AX194" s="135" t="str">
        <f aca="false">IF(ISBLANK($C194),"",IF(ISNUMBER(W194),IF(W194&gt;=0,W194,""),""))</f>
        <v/>
      </c>
      <c r="AY194" s="135" t="str">
        <f aca="false">IF(ISBLANK($C194),"",IF(X194=Constants!$B$2,TRUE(),IF(X194=Constants!$B$3,FALSE(),FALSE())))</f>
        <v/>
      </c>
      <c r="AZ194" s="135" t="str">
        <f aca="false">IF(ISBLANK($C194),"",MIN(Constants!$B$25,MAX(0,IF(ISNUMBER(Y194),Y194*60,0)+IF(ISNUMBER(Z194),Z194,0))))</f>
        <v/>
      </c>
      <c r="BA194" s="135" t="str">
        <f aca="false">IF(ISBLANK($C194),"",IF(AA194=Constants!$B$2,TRUE(),IF(AA194=Constants!$B$3,FALSE(),FALSE())))</f>
        <v/>
      </c>
      <c r="BB194" s="134" t="str">
        <f aca="false">IF(ISBLANK($C194),"",AND($AL194,OR($AM194="",$AN194="",AND($AO194,$AP194=""))))</f>
        <v/>
      </c>
      <c r="BC194" s="137" t="str">
        <f aca="false">IF($BX194&lt;&gt;Constants!$B$6,"",IF($AL194,Constants!$B$17*$AN194+Constants!$B$18*IF($AO194,$AP194,Constants!$B$19),Constants!$B$20))</f>
        <v/>
      </c>
      <c r="BD194" s="138" t="str">
        <f aca="false">IF($BX194&lt;&gt;Constants!$B$6,"",Constants!$B$21*ABS($AD$9-IF($AL194,$AM194,0)))</f>
        <v/>
      </c>
      <c r="BE194" s="138" t="str">
        <f aca="false">IF($BX194&lt;&gt;Constants!$B$6,"",IF(AND($AL194,$AQ194,$AO194),Constants!$B$22,0))</f>
        <v/>
      </c>
      <c r="BF194" s="138" t="str">
        <f aca="false">IF($BX194&lt;&gt;Constants!$B$6,"",IF($AL194,($AI194-Constants!$B$24)*Constants!$B$23,0))</f>
        <v/>
      </c>
      <c r="BG194" s="138" t="str">
        <f aca="false">IF($BX194&lt;&gt;Constants!$B$6,"",IF($AK194,0,Constants!$B$12)+IF($AJ194,0,Constants!$B$13)+IF($AH194,0,Constants!$B$14))</f>
        <v/>
      </c>
      <c r="BH194" s="139" t="str">
        <f aca="false">IF($BX194&lt;&gt;Constants!$B$6,"",Constants!$B$16+SUM($BC194:$BG194))</f>
        <v/>
      </c>
      <c r="BI194" s="138" t="str">
        <f aca="false">IF($BX194&lt;&gt;Constants!$B$6,"",$BC194)</f>
        <v/>
      </c>
      <c r="BJ194" s="138" t="str">
        <f aca="false">IF($BX194&lt;&gt;Constants!$B$6,"",$BD194)</f>
        <v/>
      </c>
      <c r="BK194" s="140" t="str">
        <f aca="false">IF($BX194&lt;&gt;Constants!$B$6,"",IF($AL194,$AN194,""))</f>
        <v/>
      </c>
      <c r="BL194" s="135" t="str">
        <f aca="false">IF($BX194&lt;&gt;Constants!$B$6,"",IF(OR($BS194&lt;$BH194,AND($BS194=$BH194,OR($BT194&lt;$BI194,AND($BT194=$BI194,OR($BU194&lt;$BJ194,AND($BU194=$BJ194,AND(ISNUMBER($BV194),OR(NOT(ISNUMBER($BK194)),$BV194&lt;$BK194)))))))),"-&gt;","&lt;-"))</f>
        <v/>
      </c>
      <c r="BM194" s="134" t="str">
        <f aca="false">IF(ISBLANK($C194),"",AND($AT194,OR($AU194="",$AV194="",AND($AW194,$AX194=""))))</f>
        <v/>
      </c>
      <c r="BN194" s="137" t="str">
        <f aca="false">IF($BX194&lt;&gt;Constants!$B$6,"",IF($AT194,Constants!$B$17*$AV194+Constants!$B$18*IF($AW194,$AX194,Constants!$B$19),Constants!$B$20))</f>
        <v/>
      </c>
      <c r="BO194" s="138" t="str">
        <f aca="false">IF($BX194&lt;&gt;Constants!$B$6,"",Constants!$B$21*ABS($AD$9-IF($AT194,$AU194,0)))</f>
        <v/>
      </c>
      <c r="BP194" s="138" t="str">
        <f aca="false">IF($BX194&lt;&gt;Constants!$B$6,"",IF(AND($AT194,$AY194,$AW194),Constants!$B$22,0))</f>
        <v/>
      </c>
      <c r="BQ194" s="138" t="str">
        <f aca="false">IF($BX194&lt;&gt;Constants!$B$6,"",IF($AT194,($AI194-Constants!$B$24)*Constants!$B$23,0))</f>
        <v/>
      </c>
      <c r="BR194" s="138" t="str">
        <f aca="false">IF($BX194&lt;&gt;Constants!$B$6,"",IF($AS194,0,Constants!$B$12)+IF($AR194,0,Constants!$B$13)+IF($AH194,0,Constants!$B$14))</f>
        <v/>
      </c>
      <c r="BS194" s="139" t="str">
        <f aca="false">IF($BX194&lt;&gt;Constants!$B$6,"",Constants!$B$16+SUM($BN194:$BR194))</f>
        <v/>
      </c>
      <c r="BT194" s="138" t="str">
        <f aca="false">IF($BX194&lt;&gt;Constants!$B$6,"",$BN194)</f>
        <v/>
      </c>
      <c r="BU194" s="138" t="str">
        <f aca="false">IF($BX194&lt;&gt;Constants!$B$6,"",$BO194)</f>
        <v/>
      </c>
      <c r="BV194" s="140" t="str">
        <f aca="false">IF($BX194&lt;&gt;Constants!$B$6,"",IF($AT194,$AV194,""))</f>
        <v/>
      </c>
      <c r="BW194" s="135" t="str">
        <f aca="false">IF(ISBLANK($C194),"",IF(ISBLANK($D$7),$BW$5,IF(NOT(ISNUMBER($D$7)),$BW$6,"")))</f>
        <v/>
      </c>
      <c r="BX194" s="135" t="str">
        <f aca="false">IF(ISBLANK($C194),"",IF($BA194,Constants!$B$9,IF(COUNTA($E194:$AA194)=0,Constants!$B$8,IF(NOT($AG194),Constants!$B$7,IF(OR($BW194&lt;&gt;"",$BB194,$BM194),Constants!$B$10,Constants!$B$6)))))</f>
        <v/>
      </c>
      <c r="BY194" s="135" t="str">
        <f aca="false">IF(ISBLANK($C194),"",IF($BX194&lt;&gt;Constants!$B$6,$BX194,Constants!$B$11))</f>
        <v/>
      </c>
      <c r="BZ194" s="138" t="str">
        <f aca="false">IF($BX194&lt;&gt;Constants!$B$6,"",IF($BL194="-&gt;",$BS194,$BH194))</f>
        <v/>
      </c>
      <c r="CA194" s="138" t="str">
        <f aca="false">IF($BX194&lt;&gt;Constants!$B$6,"",IF($AF194,0,Constants!$B$15))</f>
        <v/>
      </c>
      <c r="CB194" s="138" t="str">
        <f aca="false">IF($BX194&lt;&gt;Constants!$B$6,"",((Constants!$B$25-$AZ194)-Constants!$B$25)/Constants!$B$26)</f>
        <v/>
      </c>
      <c r="CC194" s="138" t="str">
        <f aca="false">IF(ISBLANK($C194),"",IF($BX194&lt;&gt;Constants!$B$6,$BX194,SUM($BZ194:$CB194)))</f>
        <v/>
      </c>
      <c r="CD194" s="135" t="str">
        <f aca="false">IF(ISBLANK($C194),"",IF($BX194&lt;&gt;Constants!$B$6,$BX194,RANK($CC194,$CC$9:$CC$508,1)))</f>
        <v/>
      </c>
      <c r="CE194" s="138" t="str">
        <f aca="false">IF($BX194&lt;&gt;Constants!$B$6,"",IF($BL194="-&gt;",$BT194,$BI194))</f>
        <v/>
      </c>
      <c r="CF194" s="135" t="str">
        <f aca="false">IF(ISBLANK($C194),"",IF($BX194&lt;&gt;Constants!$B$6,$BX194,IF(ISNUMBER($CE194),RANK($CE194,$CE$9:$CE$508,1),COUNT($CE$9:$CE$508)+1)))</f>
        <v/>
      </c>
      <c r="CG194" s="138" t="str">
        <f aca="false">IF($BX194&lt;&gt;Constants!$B$6,"",IF($BL194="-&gt;",$BU194,$BJ194))</f>
        <v/>
      </c>
      <c r="CH194" s="135" t="str">
        <f aca="false">IF(ISBLANK($C194),"",IF($BX194&lt;&gt;Constants!$B$6,$BX194,IF(ISNUMBER($CG194),RANK($CG194,$CG$9:$CG$508,1),COUNT($CG$9:$CG$508)+1)))</f>
        <v/>
      </c>
      <c r="CI194" s="138" t="str">
        <f aca="false">IF($BX194&lt;&gt;Constants!$B$6,"",IF($BL194="-&gt;",$BV194,$BK194))</f>
        <v/>
      </c>
      <c r="CJ194" s="135" t="str">
        <f aca="false">IF(ISBLANK($C194),"",IF($BX194&lt;&gt;Constants!$B$6,$BX194,IF(ISNUMBER($CI194),RANK($CI194,$CI$9:$CI$508,1),COUNT($CI$9:$CI$508)+1)))</f>
        <v/>
      </c>
      <c r="CK194" s="138" t="str">
        <f aca="false">IF($BX194&lt;&gt;Constants!$B$6,"",$AI194)</f>
        <v/>
      </c>
      <c r="CL194" s="135" t="str">
        <f aca="false">IF(ISBLANK($C194),"",IF($BX194&lt;&gt;Constants!$B$6,$BX194,IF(ISNUMBER($CK194),RANK($CK194,$CK$9:$CK$508,1),COUNT($CK$9:$CK$508)+1)))</f>
        <v/>
      </c>
      <c r="CM194" s="135" t="str">
        <f aca="false">IF(ISBLANK($C194),"",IF($BX194&lt;&gt;Constants!$B$6,$BX194,COUNTIFS($CD$9:$CD$508,"&lt;"&amp;$CD194)+COUNTIFS($CD$9:$CD$508,$CD194,$CF$9:$CF$508,"&lt;"&amp;$CF194)+COUNTIFS($CD$9:$CD$508,$CD194,$CF$9:$CF$508,$CF194,$CH$9:$CH$508,"&lt;"&amp;$CH194)+COUNTIFS($CD$9:$CD$508,$CD194,$CF$9:$CF$508,$CF194,$CH$9:$CH$508,$CH194,$CJ$9:$CJ$508,"&lt;"&amp;$CJ194)+COUNTIFS($CD$9:$CD$508,$CD194,$CF$9:$CF$508,$CF194,$CH$9:$CH$508,$CH194,$CJ$9:$CJ$508,$CJ194,$CL$9:$CL$508,"&lt;"&amp;$CL194)+1))</f>
        <v/>
      </c>
      <c r="CN194" s="135" t="str">
        <f aca="false">IF(ISBLANK($C194),"",IF($BX194&lt;&gt;Constants!$B$6,$BX194,$CD194-$CM194))</f>
        <v/>
      </c>
      <c r="CO194" s="141"/>
      <c r="CP194" s="142"/>
      <c r="CQ194" s="143" t="str">
        <f aca="false">IF(ISBLANK($C194),"",IF($BX194=Constants!$B$10,$BW194,""))</f>
        <v/>
      </c>
      <c r="CR194" s="142" t="str">
        <f aca="false">IF(ISBLANK($C194),"",IF($BX194&lt;&gt;Constants!$B$6,"",IF($BL194="-&gt;",2,1)))</f>
        <v/>
      </c>
      <c r="CS194" s="144" t="str">
        <f aca="false">IF(ISBLANK($C194),"",IF($BX194&lt;&gt;Constants!$B$6,"",IF($BL194="-&gt;",$BN194,$BC194)))</f>
        <v/>
      </c>
      <c r="CT194" s="144" t="str">
        <f aca="false">IF(ISBLANK($C194),"",IF($BX194&lt;&gt;Constants!$B$6,"",IF($BL194="-&gt;",$BO194,$BD194)))</f>
        <v/>
      </c>
      <c r="CU194" s="144" t="str">
        <f aca="false">IF(ISBLANK($C194),"",IF($BX194&lt;&gt;Constants!$B$6,"",IF($BL194="-&gt;",$BP194+$BQ194,$BE194+$BF194)+$CB194))</f>
        <v/>
      </c>
      <c r="CV194" s="144" t="str">
        <f aca="false">IF(ISBLANK($C194),"",IF($BX194&lt;&gt;Constants!$B$6,"",IF($BL194="-&gt;",$BR194,$BG194)+$CA194))</f>
        <v/>
      </c>
      <c r="CW194" s="145" t="str">
        <f aca="false">IF(ISBLANK($C194),"",IF($BX194&lt;&gt;Constants!$B$6,$BX194,$CC194))</f>
        <v/>
      </c>
      <c r="CX194" s="146" t="str">
        <f aca="false">IF(ISBLANK($C194),"",$BY194)</f>
        <v/>
      </c>
      <c r="CY194" s="147" t="str">
        <f aca="false">IF(ISBLANK($C194),"",$CN194)</f>
        <v/>
      </c>
      <c r="CZ194" s="147" t="str">
        <f aca="false">IF(ISBLANK($C194),"",$CM194)</f>
        <v/>
      </c>
      <c r="DA194" s="148" t="str">
        <f aca="false">IF(ISBLANK($C194),"",IFERROR(_xlfn.SWITCH($CZ194,Constants!$B$9,COUNTA($C$9:$C$508)+2,Constants!$B$8,COUNTA($C$9:$C$508)+1,Constants!$B$7,COUNTA($C$9:$C$508)),$CZ194))</f>
        <v/>
      </c>
      <c r="DB194" s="9"/>
      <c r="DC194" s="149" t="n">
        <f aca="false">IF(OR(ISNUMBER($CZ194),$CZ194=Constants!$B$9,$CZ194=Constants!$B$7,$CZ194=Constants!$B$8),1,0)</f>
        <v>0</v>
      </c>
      <c r="DD194" s="149" t="n">
        <v>186</v>
      </c>
      <c r="DE194" s="149" t="str">
        <f aca="false">IF(ISBLANK($C194),"",IF(ISNUMBER($DA194),$DA194+ROW($B194)/1000,""))</f>
        <v/>
      </c>
      <c r="DF194" s="149" t="str">
        <f aca="false">IF(ISNUMBER($DE194),RANK($DE194,$DE$9:$DE$508,1),"")</f>
        <v/>
      </c>
      <c r="DG194" s="149" t="str">
        <f aca="false">IF(ISBLANK($C194),"",$B194)</f>
        <v/>
      </c>
      <c r="DH194" s="149" t="str">
        <f aca="false">IF(ISBLANK($C194),"",$C194)</f>
        <v/>
      </c>
      <c r="DI194" s="149" t="str">
        <f aca="false">IF(ISBLANK($C194),"",$D194)</f>
        <v/>
      </c>
      <c r="DJ194" s="150" t="str">
        <f aca="false">$CX194</f>
        <v/>
      </c>
      <c r="DK194" s="151" t="str">
        <f aca="false">$CW194</f>
        <v/>
      </c>
      <c r="DL194" s="149" t="str">
        <f aca="false">IF(ISBLANK($C194),"",$CZ194)</f>
        <v/>
      </c>
      <c r="DM194" s="152" t="str">
        <f aca="false">IF($DD194&gt;$DC$8,"",VLOOKUP($DD194,$DF$9:$DL$508,7,FALSE()))</f>
        <v/>
      </c>
      <c r="DN194" s="153" t="str">
        <f aca="false">IF($DD194&gt;$DC$8,"",VLOOKUP($DD194,$DF$9:$DL$508,2,FALSE()))</f>
        <v/>
      </c>
      <c r="DO194" s="153" t="str">
        <f aca="false">IF($DD194&gt;$DC$8,"",VLOOKUP($DD194,$DF$9:$DL$508,3,FALSE()))</f>
        <v/>
      </c>
      <c r="DP194" s="153" t="str">
        <f aca="false">IF($DD194&gt;$DC$8,"",VLOOKUP($DD194,$DF$9:$DL$508,4,FALSE()))</f>
        <v/>
      </c>
      <c r="DQ194" s="153" t="str">
        <f aca="false">IF($DD194&gt;$DC$8,"",VLOOKUP($DD194,$DF$9:$DL$508,5,FALSE()))</f>
        <v/>
      </c>
      <c r="DR194" s="154" t="str">
        <f aca="false">IF($DD194&gt;$DC$8,"",VLOOKUP($DD194,$DF$9:$DL$508,6,FALSE()))</f>
        <v/>
      </c>
      <c r="DS194" s="76"/>
    </row>
    <row r="195" customFormat="false" ht="15.75" hidden="false" customHeight="false" outlineLevel="0" collapsed="false">
      <c r="A195" s="9"/>
      <c r="B195" s="78"/>
      <c r="C195" s="79"/>
      <c r="D195" s="170"/>
      <c r="E195" s="178"/>
      <c r="F195" s="172"/>
      <c r="G195" s="173"/>
      <c r="H195" s="173"/>
      <c r="I195" s="179"/>
      <c r="J195" s="176"/>
      <c r="K195" s="86"/>
      <c r="L195" s="87"/>
      <c r="M195" s="88"/>
      <c r="N195" s="176"/>
      <c r="O195" s="176"/>
      <c r="P195" s="178"/>
      <c r="Q195" s="176"/>
      <c r="R195" s="176"/>
      <c r="S195" s="86"/>
      <c r="T195" s="88"/>
      <c r="U195" s="88"/>
      <c r="V195" s="176"/>
      <c r="W195" s="176"/>
      <c r="X195" s="178"/>
      <c r="Y195" s="176"/>
      <c r="Z195" s="177"/>
      <c r="AA195" s="176"/>
      <c r="AB195" s="92"/>
      <c r="AC195" s="93"/>
      <c r="AD195" s="93"/>
      <c r="AE195" s="93"/>
      <c r="AF195" s="93" t="str">
        <f aca="false">IF(ISBLANK($C195),"",IF(E195=Constants!$B$2,TRUE(),IF(E195=Constants!$B$3,FALSE(),TRUE())))</f>
        <v/>
      </c>
      <c r="AG195" s="93" t="str">
        <f aca="false">IF(ISBLANK($C195),"",IF(F195=Constants!$B$2,TRUE(),IF(F195=Constants!$B$3,FALSE(),TRUE())))</f>
        <v/>
      </c>
      <c r="AH195" s="93" t="str">
        <f aca="false">IF(ISBLANK($C195),"",IF(G195=Constants!$B$2,TRUE(),IF(G195=Constants!$B$3,FALSE(),TRUE())))</f>
        <v/>
      </c>
      <c r="AI195" s="93" t="str">
        <f aca="false">IF(ISBLANK($C195),"",IF(AND(ISNUMBER(H195),H195&gt;=0),H195,Constants!$B$24))</f>
        <v/>
      </c>
      <c r="AJ195" s="93" t="str">
        <f aca="false">IF(ISBLANK($C195),"",IF(I195=Constants!$B$2,TRUE(),IF(I195=Constants!$B$3,FALSE(),TRUE())))</f>
        <v/>
      </c>
      <c r="AK195" s="93" t="str">
        <f aca="false">IF(ISBLANK($C195),"",IF(J195=Constants!$B$2,TRUE(),IF(J195=Constants!$B$3,FALSE(),TRUE())))</f>
        <v/>
      </c>
      <c r="AL195" s="93" t="str">
        <f aca="false">IF(ISBLANK($C195),"",IF(K195=Constants!$B$4,TRUE(),IF(K195=Constants!$B$5,FALSE(),COUNTA(L195:P195)&gt;0)))</f>
        <v/>
      </c>
      <c r="AM195" s="95" t="str">
        <f aca="false">IF(ISBLANK($C195),"",IF(ISNUMBER(L195),IF(L195&gt;=0,L195,""),""))</f>
        <v/>
      </c>
      <c r="AN195" s="94" t="str">
        <f aca="false">IF(ISBLANK($C195),"",IF(ISNUMBER(M195),IF(M195&gt;=0,M195,""),""))</f>
        <v/>
      </c>
      <c r="AO195" s="94" t="str">
        <f aca="false">IF(ISBLANK($C195),"",IF(N195=Constants!$B$2,TRUE(),IF(N195=Constants!$B$3,FALSE(),TRUE())))</f>
        <v/>
      </c>
      <c r="AP195" s="93" t="str">
        <f aca="false">IF(ISBLANK($C195),"",IF(ISNUMBER(O195),IF(O195&gt;=0,O195,""),""))</f>
        <v/>
      </c>
      <c r="AQ195" s="93" t="str">
        <f aca="false">IF(ISBLANK($C195),"",IF(P195=Constants!$B$2,TRUE(),IF(P195=Constants!$B$3,FALSE(),FALSE())))</f>
        <v/>
      </c>
      <c r="AR195" s="93" t="str">
        <f aca="false">IF(ISBLANK($C195),"",IF(Q195=Constants!$B$2,TRUE(),IF(Q195=Constants!$B$3,FALSE(),TRUE())))</f>
        <v/>
      </c>
      <c r="AS195" s="93" t="str">
        <f aca="false">IF(ISBLANK($C195),"",IF(R195=Constants!$B$2,TRUE(),IF(R195=Constants!$B$3,FALSE(),TRUE())))</f>
        <v/>
      </c>
      <c r="AT195" s="93" t="str">
        <f aca="false">IF(ISBLANK($C195),"",IF(S195=Constants!$B$4,TRUE(),IF(S195=Constants!$B$5,FALSE(),COUNTA(T195:X195)&gt;0)))</f>
        <v/>
      </c>
      <c r="AU195" s="95" t="str">
        <f aca="false">IF(ISBLANK($C195),"",IF(ISNUMBER(T195),IF(T195&gt;=0,T195,""),""))</f>
        <v/>
      </c>
      <c r="AV195" s="94" t="str">
        <f aca="false">IF(ISBLANK($C195),"",IF(ISNUMBER(U195),IF(U195&gt;=0,U195,""),""))</f>
        <v/>
      </c>
      <c r="AW195" s="94" t="str">
        <f aca="false">IF(ISBLANK($C195),"",IF(V195=Constants!$B$2,TRUE(),IF(V195=Constants!$B$3,FALSE(),TRUE())))</f>
        <v/>
      </c>
      <c r="AX195" s="93" t="str">
        <f aca="false">IF(ISBLANK($C195),"",IF(ISNUMBER(W195),IF(W195&gt;=0,W195,""),""))</f>
        <v/>
      </c>
      <c r="AY195" s="93" t="str">
        <f aca="false">IF(ISBLANK($C195),"",IF(X195=Constants!$B$2,TRUE(),IF(X195=Constants!$B$3,FALSE(),FALSE())))</f>
        <v/>
      </c>
      <c r="AZ195" s="93" t="str">
        <f aca="false">IF(ISBLANK($C195),"",MIN(Constants!$B$25,MAX(0,IF(ISNUMBER(Y195),Y195*60,0)+IF(ISNUMBER(Z195),Z195,0))))</f>
        <v/>
      </c>
      <c r="BA195" s="93" t="str">
        <f aca="false">IF(ISBLANK($C195),"",IF(AA195=Constants!$B$2,TRUE(),IF(AA195=Constants!$B$3,FALSE(),FALSE())))</f>
        <v/>
      </c>
      <c r="BB195" s="92" t="str">
        <f aca="false">IF(ISBLANK($C195),"",AND($AL195,OR($AM195="",$AN195="",AND($AO195,$AP195=""))))</f>
        <v/>
      </c>
      <c r="BC195" s="94" t="str">
        <f aca="false">IF($BX195&lt;&gt;Constants!$B$6,"",IF($AL195,Constants!$B$17*$AN195+Constants!$B$18*IF($AO195,$AP195,Constants!$B$19),Constants!$B$20))</f>
        <v/>
      </c>
      <c r="BD195" s="97" t="str">
        <f aca="false">IF($BX195&lt;&gt;Constants!$B$6,"",Constants!$B$21*ABS($AD$9-IF($AL195,$AM195,0)))</f>
        <v/>
      </c>
      <c r="BE195" s="97" t="str">
        <f aca="false">IF($BX195&lt;&gt;Constants!$B$6,"",IF(AND($AL195,$AQ195,$AO195),Constants!$B$22,0))</f>
        <v/>
      </c>
      <c r="BF195" s="97" t="str">
        <f aca="false">IF($BX195&lt;&gt;Constants!$B$6,"",IF($AL195,($AI195-Constants!$B$24)*Constants!$B$23,0))</f>
        <v/>
      </c>
      <c r="BG195" s="97" t="str">
        <f aca="false">IF($BX195&lt;&gt;Constants!$B$6,"",IF($AK195,0,Constants!$B$12)+IF($AJ195,0,Constants!$B$13)+IF($AH195,0,Constants!$B$14))</f>
        <v/>
      </c>
      <c r="BH195" s="98" t="str">
        <f aca="false">IF($BX195&lt;&gt;Constants!$B$6,"",Constants!$B$16+SUM($BC195:$BG195))</f>
        <v/>
      </c>
      <c r="BI195" s="97" t="str">
        <f aca="false">IF($BX195&lt;&gt;Constants!$B$6,"",$BC195)</f>
        <v/>
      </c>
      <c r="BJ195" s="97" t="str">
        <f aca="false">IF($BX195&lt;&gt;Constants!$B$6,"",$BD195)</f>
        <v/>
      </c>
      <c r="BK195" s="99" t="str">
        <f aca="false">IF($BX195&lt;&gt;Constants!$B$6,"",IF($AL195,$AN195,""))</f>
        <v/>
      </c>
      <c r="BL195" s="93" t="str">
        <f aca="false">IF($BX195&lt;&gt;Constants!$B$6,"",IF(OR($BS195&lt;$BH195,AND($BS195=$BH195,OR($BT195&lt;$BI195,AND($BT195=$BI195,OR($BU195&lt;$BJ195,AND($BU195=$BJ195,AND(ISNUMBER($BV195),OR(NOT(ISNUMBER($BK195)),$BV195&lt;$BK195)))))))),"-&gt;","&lt;-"))</f>
        <v/>
      </c>
      <c r="BM195" s="92" t="str">
        <f aca="false">IF(ISBLANK($C195),"",AND($AT195,OR($AU195="",$AV195="",AND($AW195,$AX195=""))))</f>
        <v/>
      </c>
      <c r="BN195" s="94" t="str">
        <f aca="false">IF($BX195&lt;&gt;Constants!$B$6,"",IF($AT195,Constants!$B$17*$AV195+Constants!$B$18*IF($AW195,$AX195,Constants!$B$19),Constants!$B$20))</f>
        <v/>
      </c>
      <c r="BO195" s="97" t="str">
        <f aca="false">IF($BX195&lt;&gt;Constants!$B$6,"",Constants!$B$21*ABS($AD$9-IF($AT195,$AU195,0)))</f>
        <v/>
      </c>
      <c r="BP195" s="97" t="str">
        <f aca="false">IF($BX195&lt;&gt;Constants!$B$6,"",IF(AND($AT195,$AY195,$AW195),Constants!$B$22,0))</f>
        <v/>
      </c>
      <c r="BQ195" s="97" t="str">
        <f aca="false">IF($BX195&lt;&gt;Constants!$B$6,"",IF($AT195,($AI195-Constants!$B$24)*Constants!$B$23,0))</f>
        <v/>
      </c>
      <c r="BR195" s="97" t="str">
        <f aca="false">IF($BX195&lt;&gt;Constants!$B$6,"",IF($AS195,0,Constants!$B$12)+IF($AR195,0,Constants!$B$13)+IF($AH195,0,Constants!$B$14))</f>
        <v/>
      </c>
      <c r="BS195" s="98" t="str">
        <f aca="false">IF($BX195&lt;&gt;Constants!$B$6,"",Constants!$B$16+SUM($BN195:$BR195))</f>
        <v/>
      </c>
      <c r="BT195" s="97" t="str">
        <f aca="false">IF($BX195&lt;&gt;Constants!$B$6,"",$BN195)</f>
        <v/>
      </c>
      <c r="BU195" s="97" t="str">
        <f aca="false">IF($BX195&lt;&gt;Constants!$B$6,"",$BO195)</f>
        <v/>
      </c>
      <c r="BV195" s="99" t="str">
        <f aca="false">IF($BX195&lt;&gt;Constants!$B$6,"",IF($AT195,$AV195,""))</f>
        <v/>
      </c>
      <c r="BW195" s="93" t="str">
        <f aca="false">IF(ISBLANK($C195),"",IF(ISBLANK($D$7),$BW$5,IF(NOT(ISNUMBER($D$7)),$BW$6,"")))</f>
        <v/>
      </c>
      <c r="BX195" s="93" t="str">
        <f aca="false">IF(ISBLANK($C195),"",IF($BA195,Constants!$B$9,IF(COUNTA($E195:$AA195)=0,Constants!$B$8,IF(NOT($AG195),Constants!$B$7,IF(OR($BW195&lt;&gt;"",$BB195,$BM195),Constants!$B$10,Constants!$B$6)))))</f>
        <v/>
      </c>
      <c r="BY195" s="93" t="str">
        <f aca="false">IF(ISBLANK($C195),"",IF($BX195&lt;&gt;Constants!$B$6,$BX195,Constants!$B$11))</f>
        <v/>
      </c>
      <c r="BZ195" s="97" t="str">
        <f aca="false">IF($BX195&lt;&gt;Constants!$B$6,"",IF($BL195="-&gt;",$BS195,$BH195))</f>
        <v/>
      </c>
      <c r="CA195" s="97" t="str">
        <f aca="false">IF($BX195&lt;&gt;Constants!$B$6,"",IF($AF195,0,Constants!$B$15))</f>
        <v/>
      </c>
      <c r="CB195" s="97" t="str">
        <f aca="false">IF($BX195&lt;&gt;Constants!$B$6,"",((Constants!$B$25-$AZ195)-Constants!$B$25)/Constants!$B$26)</f>
        <v/>
      </c>
      <c r="CC195" s="97" t="str">
        <f aca="false">IF(ISBLANK($C195),"",IF($BX195&lt;&gt;Constants!$B$6,$BX195,SUM($BZ195:$CB195)))</f>
        <v/>
      </c>
      <c r="CD195" s="93" t="str">
        <f aca="false">IF(ISBLANK($C195),"",IF($BX195&lt;&gt;Constants!$B$6,$BX195,RANK($CC195,$CC$9:$CC$508,1)))</f>
        <v/>
      </c>
      <c r="CE195" s="97" t="str">
        <f aca="false">IF($BX195&lt;&gt;Constants!$B$6,"",IF($BL195="-&gt;",$BT195,$BI195))</f>
        <v/>
      </c>
      <c r="CF195" s="93" t="str">
        <f aca="false">IF(ISBLANK($C195),"",IF($BX195&lt;&gt;Constants!$B$6,$BX195,IF(ISNUMBER($CE195),RANK($CE195,$CE$9:$CE$508,1),COUNT($CE$9:$CE$508)+1)))</f>
        <v/>
      </c>
      <c r="CG195" s="97" t="str">
        <f aca="false">IF($BX195&lt;&gt;Constants!$B$6,"",IF($BL195="-&gt;",$BU195,$BJ195))</f>
        <v/>
      </c>
      <c r="CH195" s="93" t="str">
        <f aca="false">IF(ISBLANK($C195),"",IF($BX195&lt;&gt;Constants!$B$6,$BX195,IF(ISNUMBER($CG195),RANK($CG195,$CG$9:$CG$508,1),COUNT($CG$9:$CG$508)+1)))</f>
        <v/>
      </c>
      <c r="CI195" s="97" t="str">
        <f aca="false">IF($BX195&lt;&gt;Constants!$B$6,"",IF($BL195="-&gt;",$BV195,$BK195))</f>
        <v/>
      </c>
      <c r="CJ195" s="93" t="str">
        <f aca="false">IF(ISBLANK($C195),"",IF($BX195&lt;&gt;Constants!$B$6,$BX195,IF(ISNUMBER($CI195),RANK($CI195,$CI$9:$CI$508,1),COUNT($CI$9:$CI$508)+1)))</f>
        <v/>
      </c>
      <c r="CK195" s="97" t="str">
        <f aca="false">IF($BX195&lt;&gt;Constants!$B$6,"",$AI195)</f>
        <v/>
      </c>
      <c r="CL195" s="93" t="str">
        <f aca="false">IF(ISBLANK($C195),"",IF($BX195&lt;&gt;Constants!$B$6,$BX195,IF(ISNUMBER($CK195),RANK($CK195,$CK$9:$CK$508,1),COUNT($CK$9:$CK$508)+1)))</f>
        <v/>
      </c>
      <c r="CM195" s="93" t="str">
        <f aca="false">IF(ISBLANK($C195),"",IF($BX195&lt;&gt;Constants!$B$6,$BX195,COUNTIFS($CD$9:$CD$508,"&lt;"&amp;$CD195)+COUNTIFS($CD$9:$CD$508,$CD195,$CF$9:$CF$508,"&lt;"&amp;$CF195)+COUNTIFS($CD$9:$CD$508,$CD195,$CF$9:$CF$508,$CF195,$CH$9:$CH$508,"&lt;"&amp;$CH195)+COUNTIFS($CD$9:$CD$508,$CD195,$CF$9:$CF$508,$CF195,$CH$9:$CH$508,$CH195,$CJ$9:$CJ$508,"&lt;"&amp;$CJ195)+COUNTIFS($CD$9:$CD$508,$CD195,$CF$9:$CF$508,$CF195,$CH$9:$CH$508,$CH195,$CJ$9:$CJ$508,$CJ195,$CL$9:$CL$508,"&lt;"&amp;$CL195)+1))</f>
        <v/>
      </c>
      <c r="CN195" s="93" t="str">
        <f aca="false">IF(ISBLANK($C195),"",IF($BX195&lt;&gt;Constants!$B$6,$BX195,$CD195-$CM195))</f>
        <v/>
      </c>
      <c r="CO195" s="100"/>
      <c r="CP195" s="101"/>
      <c r="CQ195" s="102" t="str">
        <f aca="false">IF(ISBLANK($C195),"",IF($BX195=Constants!$B$10,$BW195,""))</f>
        <v/>
      </c>
      <c r="CR195" s="101" t="str">
        <f aca="false">IF(ISBLANK($C195),"",IF($BX195&lt;&gt;Constants!$B$6,"",IF($BL195="-&gt;",2,1)))</f>
        <v/>
      </c>
      <c r="CS195" s="103" t="str">
        <f aca="false">IF(ISBLANK($C195),"",IF($BX195&lt;&gt;Constants!$B$6,"",IF($BL195="-&gt;",$BN195,$BC195)))</f>
        <v/>
      </c>
      <c r="CT195" s="103" t="str">
        <f aca="false">IF(ISBLANK($C195),"",IF($BX195&lt;&gt;Constants!$B$6,"",IF($BL195="-&gt;",$BO195,$BD195)))</f>
        <v/>
      </c>
      <c r="CU195" s="103" t="str">
        <f aca="false">IF(ISBLANK($C195),"",IF($BX195&lt;&gt;Constants!$B$6,"",IF($BL195="-&gt;",$BP195+$BQ195,$BE195+$BF195)+$CB195))</f>
        <v/>
      </c>
      <c r="CV195" s="103" t="str">
        <f aca="false">IF(ISBLANK($C195),"",IF($BX195&lt;&gt;Constants!$B$6,"",IF($BL195="-&gt;",$BR195,$BG195)+$CA195))</f>
        <v/>
      </c>
      <c r="CW195" s="104" t="str">
        <f aca="false">IF(ISBLANK($C195),"",IF($BX195&lt;&gt;Constants!$B$6,$BX195,$CC195))</f>
        <v/>
      </c>
      <c r="CX195" s="105" t="str">
        <f aca="false">IF(ISBLANK($C195),"",$BY195)</f>
        <v/>
      </c>
      <c r="CY195" s="106" t="str">
        <f aca="false">IF(ISBLANK($C195),"",$CN195)</f>
        <v/>
      </c>
      <c r="CZ195" s="106" t="str">
        <f aca="false">IF(ISBLANK($C195),"",$CM195)</f>
        <v/>
      </c>
      <c r="DA195" s="107" t="str">
        <f aca="false">IF(ISBLANK($C195),"",IFERROR(_xlfn.SWITCH($CZ195,Constants!$B$9,COUNTA($C$9:$C$508)+2,Constants!$B$8,COUNTA($C$9:$C$508)+1,Constants!$B$7,COUNTA($C$9:$C$508)),$CZ195))</f>
        <v/>
      </c>
      <c r="DB195" s="9"/>
      <c r="DC195" s="108" t="n">
        <f aca="false">IF(OR(ISNUMBER($CZ195),$CZ195=Constants!$B$9,$CZ195=Constants!$B$7,$CZ195=Constants!$B$8),1,0)</f>
        <v>0</v>
      </c>
      <c r="DD195" s="108" t="n">
        <v>187</v>
      </c>
      <c r="DE195" s="108" t="str">
        <f aca="false">IF(ISBLANK($C195),"",IF(ISNUMBER($DA195),$DA195+ROW($B195)/1000,""))</f>
        <v/>
      </c>
      <c r="DF195" s="108" t="str">
        <f aca="false">IF(ISNUMBER($DE195),RANK($DE195,$DE$9:$DE$508,1),"")</f>
        <v/>
      </c>
      <c r="DG195" s="108" t="str">
        <f aca="false">IF(ISBLANK($C195),"",$B195)</f>
        <v/>
      </c>
      <c r="DH195" s="108" t="str">
        <f aca="false">IF(ISBLANK($C195),"",$C195)</f>
        <v/>
      </c>
      <c r="DI195" s="108" t="str">
        <f aca="false">IF(ISBLANK($C195),"",$D195)</f>
        <v/>
      </c>
      <c r="DJ195" s="109" t="str">
        <f aca="false">$CX195</f>
        <v/>
      </c>
      <c r="DK195" s="110" t="str">
        <f aca="false">$CW195</f>
        <v/>
      </c>
      <c r="DL195" s="108" t="str">
        <f aca="false">IF(ISBLANK($C195),"",$CZ195)</f>
        <v/>
      </c>
      <c r="DM195" s="111" t="str">
        <f aca="false">IF($DD195&gt;$DC$8,"",VLOOKUP($DD195,$DF$9:$DL$508,7,FALSE()))</f>
        <v/>
      </c>
      <c r="DN195" s="112" t="str">
        <f aca="false">IF($DD195&gt;$DC$8,"",VLOOKUP($DD195,$DF$9:$DL$508,2,FALSE()))</f>
        <v/>
      </c>
      <c r="DO195" s="112" t="str">
        <f aca="false">IF($DD195&gt;$DC$8,"",VLOOKUP($DD195,$DF$9:$DL$508,3,FALSE()))</f>
        <v/>
      </c>
      <c r="DP195" s="112" t="str">
        <f aca="false">IF($DD195&gt;$DC$8,"",VLOOKUP($DD195,$DF$9:$DL$508,4,FALSE()))</f>
        <v/>
      </c>
      <c r="DQ195" s="112" t="str">
        <f aca="false">IF($DD195&gt;$DC$8,"",VLOOKUP($DD195,$DF$9:$DL$508,5,FALSE()))</f>
        <v/>
      </c>
      <c r="DR195" s="113" t="str">
        <f aca="false">IF($DD195&gt;$DC$8,"",VLOOKUP($DD195,$DF$9:$DL$508,6,FALSE()))</f>
        <v/>
      </c>
      <c r="DS195" s="76"/>
    </row>
    <row r="196" customFormat="false" ht="15.75" hidden="false" customHeight="false" outlineLevel="0" collapsed="false">
      <c r="A196" s="9"/>
      <c r="B196" s="78"/>
      <c r="C196" s="79"/>
      <c r="D196" s="170"/>
      <c r="E196" s="178"/>
      <c r="F196" s="172"/>
      <c r="G196" s="173"/>
      <c r="H196" s="173"/>
      <c r="I196" s="179"/>
      <c r="J196" s="176"/>
      <c r="K196" s="86"/>
      <c r="L196" s="87"/>
      <c r="M196" s="88"/>
      <c r="N196" s="176"/>
      <c r="O196" s="176"/>
      <c r="P196" s="178"/>
      <c r="Q196" s="176"/>
      <c r="R196" s="176"/>
      <c r="S196" s="86"/>
      <c r="T196" s="88"/>
      <c r="U196" s="88"/>
      <c r="V196" s="176"/>
      <c r="W196" s="176"/>
      <c r="X196" s="178"/>
      <c r="Y196" s="176"/>
      <c r="Z196" s="177"/>
      <c r="AA196" s="176"/>
      <c r="AB196" s="92"/>
      <c r="AC196" s="93"/>
      <c r="AD196" s="93"/>
      <c r="AE196" s="93"/>
      <c r="AF196" s="93" t="str">
        <f aca="false">IF(ISBLANK($C196),"",IF(E196=Constants!$B$2,TRUE(),IF(E196=Constants!$B$3,FALSE(),TRUE())))</f>
        <v/>
      </c>
      <c r="AG196" s="93" t="str">
        <f aca="false">IF(ISBLANK($C196),"",IF(F196=Constants!$B$2,TRUE(),IF(F196=Constants!$B$3,FALSE(),TRUE())))</f>
        <v/>
      </c>
      <c r="AH196" s="93" t="str">
        <f aca="false">IF(ISBLANK($C196),"",IF(G196=Constants!$B$2,TRUE(),IF(G196=Constants!$B$3,FALSE(),TRUE())))</f>
        <v/>
      </c>
      <c r="AI196" s="93" t="str">
        <f aca="false">IF(ISBLANK($C196),"",IF(AND(ISNUMBER(H196),H196&gt;=0),H196,Constants!$B$24))</f>
        <v/>
      </c>
      <c r="AJ196" s="93" t="str">
        <f aca="false">IF(ISBLANK($C196),"",IF(I196=Constants!$B$2,TRUE(),IF(I196=Constants!$B$3,FALSE(),TRUE())))</f>
        <v/>
      </c>
      <c r="AK196" s="93" t="str">
        <f aca="false">IF(ISBLANK($C196),"",IF(J196=Constants!$B$2,TRUE(),IF(J196=Constants!$B$3,FALSE(),TRUE())))</f>
        <v/>
      </c>
      <c r="AL196" s="93" t="str">
        <f aca="false">IF(ISBLANK($C196),"",IF(K196=Constants!$B$4,TRUE(),IF(K196=Constants!$B$5,FALSE(),COUNTA(L196:P196)&gt;0)))</f>
        <v/>
      </c>
      <c r="AM196" s="95" t="str">
        <f aca="false">IF(ISBLANK($C196),"",IF(ISNUMBER(L196),IF(L196&gt;=0,L196,""),""))</f>
        <v/>
      </c>
      <c r="AN196" s="94" t="str">
        <f aca="false">IF(ISBLANK($C196),"",IF(ISNUMBER(M196),IF(M196&gt;=0,M196,""),""))</f>
        <v/>
      </c>
      <c r="AO196" s="94" t="str">
        <f aca="false">IF(ISBLANK($C196),"",IF(N196=Constants!$B$2,TRUE(),IF(N196=Constants!$B$3,FALSE(),TRUE())))</f>
        <v/>
      </c>
      <c r="AP196" s="93" t="str">
        <f aca="false">IF(ISBLANK($C196),"",IF(ISNUMBER(O196),IF(O196&gt;=0,O196,""),""))</f>
        <v/>
      </c>
      <c r="AQ196" s="93" t="str">
        <f aca="false">IF(ISBLANK($C196),"",IF(P196=Constants!$B$2,TRUE(),IF(P196=Constants!$B$3,FALSE(),FALSE())))</f>
        <v/>
      </c>
      <c r="AR196" s="93" t="str">
        <f aca="false">IF(ISBLANK($C196),"",IF(Q196=Constants!$B$2,TRUE(),IF(Q196=Constants!$B$3,FALSE(),TRUE())))</f>
        <v/>
      </c>
      <c r="AS196" s="93" t="str">
        <f aca="false">IF(ISBLANK($C196),"",IF(R196=Constants!$B$2,TRUE(),IF(R196=Constants!$B$3,FALSE(),TRUE())))</f>
        <v/>
      </c>
      <c r="AT196" s="93" t="str">
        <f aca="false">IF(ISBLANK($C196),"",IF(S196=Constants!$B$4,TRUE(),IF(S196=Constants!$B$5,FALSE(),COUNTA(T196:X196)&gt;0)))</f>
        <v/>
      </c>
      <c r="AU196" s="95" t="str">
        <f aca="false">IF(ISBLANK($C196),"",IF(ISNUMBER(T196),IF(T196&gt;=0,T196,""),""))</f>
        <v/>
      </c>
      <c r="AV196" s="94" t="str">
        <f aca="false">IF(ISBLANK($C196),"",IF(ISNUMBER(U196),IF(U196&gt;=0,U196,""),""))</f>
        <v/>
      </c>
      <c r="AW196" s="94" t="str">
        <f aca="false">IF(ISBLANK($C196),"",IF(V196=Constants!$B$2,TRUE(),IF(V196=Constants!$B$3,FALSE(),TRUE())))</f>
        <v/>
      </c>
      <c r="AX196" s="93" t="str">
        <f aca="false">IF(ISBLANK($C196),"",IF(ISNUMBER(W196),IF(W196&gt;=0,W196,""),""))</f>
        <v/>
      </c>
      <c r="AY196" s="93" t="str">
        <f aca="false">IF(ISBLANK($C196),"",IF(X196=Constants!$B$2,TRUE(),IF(X196=Constants!$B$3,FALSE(),FALSE())))</f>
        <v/>
      </c>
      <c r="AZ196" s="93" t="str">
        <f aca="false">IF(ISBLANK($C196),"",MIN(Constants!$B$25,MAX(0,IF(ISNUMBER(Y196),Y196*60,0)+IF(ISNUMBER(Z196),Z196,0))))</f>
        <v/>
      </c>
      <c r="BA196" s="93" t="str">
        <f aca="false">IF(ISBLANK($C196),"",IF(AA196=Constants!$B$2,TRUE(),IF(AA196=Constants!$B$3,FALSE(),FALSE())))</f>
        <v/>
      </c>
      <c r="BB196" s="92" t="str">
        <f aca="false">IF(ISBLANK($C196),"",AND($AL196,OR($AM196="",$AN196="",AND($AO196,$AP196=""))))</f>
        <v/>
      </c>
      <c r="BC196" s="94" t="str">
        <f aca="false">IF($BX196&lt;&gt;Constants!$B$6,"",IF($AL196,Constants!$B$17*$AN196+Constants!$B$18*IF($AO196,$AP196,Constants!$B$19),Constants!$B$20))</f>
        <v/>
      </c>
      <c r="BD196" s="97" t="str">
        <f aca="false">IF($BX196&lt;&gt;Constants!$B$6,"",Constants!$B$21*ABS($AD$9-IF($AL196,$AM196,0)))</f>
        <v/>
      </c>
      <c r="BE196" s="97" t="str">
        <f aca="false">IF($BX196&lt;&gt;Constants!$B$6,"",IF(AND($AL196,$AQ196,$AO196),Constants!$B$22,0))</f>
        <v/>
      </c>
      <c r="BF196" s="97" t="str">
        <f aca="false">IF($BX196&lt;&gt;Constants!$B$6,"",IF($AL196,($AI196-Constants!$B$24)*Constants!$B$23,0))</f>
        <v/>
      </c>
      <c r="BG196" s="97" t="str">
        <f aca="false">IF($BX196&lt;&gt;Constants!$B$6,"",IF($AK196,0,Constants!$B$12)+IF($AJ196,0,Constants!$B$13)+IF($AH196,0,Constants!$B$14))</f>
        <v/>
      </c>
      <c r="BH196" s="98" t="str">
        <f aca="false">IF($BX196&lt;&gt;Constants!$B$6,"",Constants!$B$16+SUM($BC196:$BG196))</f>
        <v/>
      </c>
      <c r="BI196" s="97" t="str">
        <f aca="false">IF($BX196&lt;&gt;Constants!$B$6,"",$BC196)</f>
        <v/>
      </c>
      <c r="BJ196" s="97" t="str">
        <f aca="false">IF($BX196&lt;&gt;Constants!$B$6,"",$BD196)</f>
        <v/>
      </c>
      <c r="BK196" s="99" t="str">
        <f aca="false">IF($BX196&lt;&gt;Constants!$B$6,"",IF($AL196,$AN196,""))</f>
        <v/>
      </c>
      <c r="BL196" s="93" t="str">
        <f aca="false">IF($BX196&lt;&gt;Constants!$B$6,"",IF(OR($BS196&lt;$BH196,AND($BS196=$BH196,OR($BT196&lt;$BI196,AND($BT196=$BI196,OR($BU196&lt;$BJ196,AND($BU196=$BJ196,AND(ISNUMBER($BV196),OR(NOT(ISNUMBER($BK196)),$BV196&lt;$BK196)))))))),"-&gt;","&lt;-"))</f>
        <v/>
      </c>
      <c r="BM196" s="92" t="str">
        <f aca="false">IF(ISBLANK($C196),"",AND($AT196,OR($AU196="",$AV196="",AND($AW196,$AX196=""))))</f>
        <v/>
      </c>
      <c r="BN196" s="94" t="str">
        <f aca="false">IF($BX196&lt;&gt;Constants!$B$6,"",IF($AT196,Constants!$B$17*$AV196+Constants!$B$18*IF($AW196,$AX196,Constants!$B$19),Constants!$B$20))</f>
        <v/>
      </c>
      <c r="BO196" s="97" t="str">
        <f aca="false">IF($BX196&lt;&gt;Constants!$B$6,"",Constants!$B$21*ABS($AD$9-IF($AT196,$AU196,0)))</f>
        <v/>
      </c>
      <c r="BP196" s="97" t="str">
        <f aca="false">IF($BX196&lt;&gt;Constants!$B$6,"",IF(AND($AT196,$AY196,$AW196),Constants!$B$22,0))</f>
        <v/>
      </c>
      <c r="BQ196" s="97" t="str">
        <f aca="false">IF($BX196&lt;&gt;Constants!$B$6,"",IF($AT196,($AI196-Constants!$B$24)*Constants!$B$23,0))</f>
        <v/>
      </c>
      <c r="BR196" s="97" t="str">
        <f aca="false">IF($BX196&lt;&gt;Constants!$B$6,"",IF($AS196,0,Constants!$B$12)+IF($AR196,0,Constants!$B$13)+IF($AH196,0,Constants!$B$14))</f>
        <v/>
      </c>
      <c r="BS196" s="98" t="str">
        <f aca="false">IF($BX196&lt;&gt;Constants!$B$6,"",Constants!$B$16+SUM($BN196:$BR196))</f>
        <v/>
      </c>
      <c r="BT196" s="97" t="str">
        <f aca="false">IF($BX196&lt;&gt;Constants!$B$6,"",$BN196)</f>
        <v/>
      </c>
      <c r="BU196" s="97" t="str">
        <f aca="false">IF($BX196&lt;&gt;Constants!$B$6,"",$BO196)</f>
        <v/>
      </c>
      <c r="BV196" s="99" t="str">
        <f aca="false">IF($BX196&lt;&gt;Constants!$B$6,"",IF($AT196,$AV196,""))</f>
        <v/>
      </c>
      <c r="BW196" s="93" t="str">
        <f aca="false">IF(ISBLANK($C196),"",IF(ISBLANK($D$7),$BW$5,IF(NOT(ISNUMBER($D$7)),$BW$6,"")))</f>
        <v/>
      </c>
      <c r="BX196" s="93" t="str">
        <f aca="false">IF(ISBLANK($C196),"",IF($BA196,Constants!$B$9,IF(COUNTA($E196:$AA196)=0,Constants!$B$8,IF(NOT($AG196),Constants!$B$7,IF(OR($BW196&lt;&gt;"",$BB196,$BM196),Constants!$B$10,Constants!$B$6)))))</f>
        <v/>
      </c>
      <c r="BY196" s="93" t="str">
        <f aca="false">IF(ISBLANK($C196),"",IF($BX196&lt;&gt;Constants!$B$6,$BX196,Constants!$B$11))</f>
        <v/>
      </c>
      <c r="BZ196" s="97" t="str">
        <f aca="false">IF($BX196&lt;&gt;Constants!$B$6,"",IF($BL196="-&gt;",$BS196,$BH196))</f>
        <v/>
      </c>
      <c r="CA196" s="97" t="str">
        <f aca="false">IF($BX196&lt;&gt;Constants!$B$6,"",IF($AF196,0,Constants!$B$15))</f>
        <v/>
      </c>
      <c r="CB196" s="97" t="str">
        <f aca="false">IF($BX196&lt;&gt;Constants!$B$6,"",((Constants!$B$25-$AZ196)-Constants!$B$25)/Constants!$B$26)</f>
        <v/>
      </c>
      <c r="CC196" s="97" t="str">
        <f aca="false">IF(ISBLANK($C196),"",IF($BX196&lt;&gt;Constants!$B$6,$BX196,SUM($BZ196:$CB196)))</f>
        <v/>
      </c>
      <c r="CD196" s="93" t="str">
        <f aca="false">IF(ISBLANK($C196),"",IF($BX196&lt;&gt;Constants!$B$6,$BX196,RANK($CC196,$CC$9:$CC$508,1)))</f>
        <v/>
      </c>
      <c r="CE196" s="97" t="str">
        <f aca="false">IF($BX196&lt;&gt;Constants!$B$6,"",IF($BL196="-&gt;",$BT196,$BI196))</f>
        <v/>
      </c>
      <c r="CF196" s="93" t="str">
        <f aca="false">IF(ISBLANK($C196),"",IF($BX196&lt;&gt;Constants!$B$6,$BX196,IF(ISNUMBER($CE196),RANK($CE196,$CE$9:$CE$508,1),COUNT($CE$9:$CE$508)+1)))</f>
        <v/>
      </c>
      <c r="CG196" s="97" t="str">
        <f aca="false">IF($BX196&lt;&gt;Constants!$B$6,"",IF($BL196="-&gt;",$BU196,$BJ196))</f>
        <v/>
      </c>
      <c r="CH196" s="93" t="str">
        <f aca="false">IF(ISBLANK($C196),"",IF($BX196&lt;&gt;Constants!$B$6,$BX196,IF(ISNUMBER($CG196),RANK($CG196,$CG$9:$CG$508,1),COUNT($CG$9:$CG$508)+1)))</f>
        <v/>
      </c>
      <c r="CI196" s="97" t="str">
        <f aca="false">IF($BX196&lt;&gt;Constants!$B$6,"",IF($BL196="-&gt;",$BV196,$BK196))</f>
        <v/>
      </c>
      <c r="CJ196" s="93" t="str">
        <f aca="false">IF(ISBLANK($C196),"",IF($BX196&lt;&gt;Constants!$B$6,$BX196,IF(ISNUMBER($CI196),RANK($CI196,$CI$9:$CI$508,1),COUNT($CI$9:$CI$508)+1)))</f>
        <v/>
      </c>
      <c r="CK196" s="97" t="str">
        <f aca="false">IF($BX196&lt;&gt;Constants!$B$6,"",$AI196)</f>
        <v/>
      </c>
      <c r="CL196" s="93" t="str">
        <f aca="false">IF(ISBLANK($C196),"",IF($BX196&lt;&gt;Constants!$B$6,$BX196,IF(ISNUMBER($CK196),RANK($CK196,$CK$9:$CK$508,1),COUNT($CK$9:$CK$508)+1)))</f>
        <v/>
      </c>
      <c r="CM196" s="93" t="str">
        <f aca="false">IF(ISBLANK($C196),"",IF($BX196&lt;&gt;Constants!$B$6,$BX196,COUNTIFS($CD$9:$CD$508,"&lt;"&amp;$CD196)+COUNTIFS($CD$9:$CD$508,$CD196,$CF$9:$CF$508,"&lt;"&amp;$CF196)+COUNTIFS($CD$9:$CD$508,$CD196,$CF$9:$CF$508,$CF196,$CH$9:$CH$508,"&lt;"&amp;$CH196)+COUNTIFS($CD$9:$CD$508,$CD196,$CF$9:$CF$508,$CF196,$CH$9:$CH$508,$CH196,$CJ$9:$CJ$508,"&lt;"&amp;$CJ196)+COUNTIFS($CD$9:$CD$508,$CD196,$CF$9:$CF$508,$CF196,$CH$9:$CH$508,$CH196,$CJ$9:$CJ$508,$CJ196,$CL$9:$CL$508,"&lt;"&amp;$CL196)+1))</f>
        <v/>
      </c>
      <c r="CN196" s="93" t="str">
        <f aca="false">IF(ISBLANK($C196),"",IF($BX196&lt;&gt;Constants!$B$6,$BX196,$CD196-$CM196))</f>
        <v/>
      </c>
      <c r="CO196" s="100"/>
      <c r="CP196" s="101"/>
      <c r="CQ196" s="102" t="str">
        <f aca="false">IF(ISBLANK($C196),"",IF($BX196=Constants!$B$10,$BW196,""))</f>
        <v/>
      </c>
      <c r="CR196" s="101" t="str">
        <f aca="false">IF(ISBLANK($C196),"",IF($BX196&lt;&gt;Constants!$B$6,"",IF($BL196="-&gt;",2,1)))</f>
        <v/>
      </c>
      <c r="CS196" s="103" t="str">
        <f aca="false">IF(ISBLANK($C196),"",IF($BX196&lt;&gt;Constants!$B$6,"",IF($BL196="-&gt;",$BN196,$BC196)))</f>
        <v/>
      </c>
      <c r="CT196" s="103" t="str">
        <f aca="false">IF(ISBLANK($C196),"",IF($BX196&lt;&gt;Constants!$B$6,"",IF($BL196="-&gt;",$BO196,$BD196)))</f>
        <v/>
      </c>
      <c r="CU196" s="103" t="str">
        <f aca="false">IF(ISBLANK($C196),"",IF($BX196&lt;&gt;Constants!$B$6,"",IF($BL196="-&gt;",$BP196+$BQ196,$BE196+$BF196)+$CB196))</f>
        <v/>
      </c>
      <c r="CV196" s="103" t="str">
        <f aca="false">IF(ISBLANK($C196),"",IF($BX196&lt;&gt;Constants!$B$6,"",IF($BL196="-&gt;",$BR196,$BG196)+$CA196))</f>
        <v/>
      </c>
      <c r="CW196" s="104" t="str">
        <f aca="false">IF(ISBLANK($C196),"",IF($BX196&lt;&gt;Constants!$B$6,$BX196,$CC196))</f>
        <v/>
      </c>
      <c r="CX196" s="105" t="str">
        <f aca="false">IF(ISBLANK($C196),"",$BY196)</f>
        <v/>
      </c>
      <c r="CY196" s="106" t="str">
        <f aca="false">IF(ISBLANK($C196),"",$CN196)</f>
        <v/>
      </c>
      <c r="CZ196" s="106" t="str">
        <f aca="false">IF(ISBLANK($C196),"",$CM196)</f>
        <v/>
      </c>
      <c r="DA196" s="107" t="str">
        <f aca="false">IF(ISBLANK($C196),"",IFERROR(_xlfn.SWITCH($CZ196,Constants!$B$9,COUNTA($C$9:$C$508)+2,Constants!$B$8,COUNTA($C$9:$C$508)+1,Constants!$B$7,COUNTA($C$9:$C$508)),$CZ196))</f>
        <v/>
      </c>
      <c r="DB196" s="9"/>
      <c r="DC196" s="108" t="n">
        <f aca="false">IF(OR(ISNUMBER($CZ196),$CZ196=Constants!$B$9,$CZ196=Constants!$B$7,$CZ196=Constants!$B$8),1,0)</f>
        <v>0</v>
      </c>
      <c r="DD196" s="108" t="n">
        <v>188</v>
      </c>
      <c r="DE196" s="108" t="str">
        <f aca="false">IF(ISBLANK($C196),"",IF(ISNUMBER($DA196),$DA196+ROW($B196)/1000,""))</f>
        <v/>
      </c>
      <c r="DF196" s="108" t="str">
        <f aca="false">IF(ISNUMBER($DE196),RANK($DE196,$DE$9:$DE$508,1),"")</f>
        <v/>
      </c>
      <c r="DG196" s="108" t="str">
        <f aca="false">IF(ISBLANK($C196),"",$B196)</f>
        <v/>
      </c>
      <c r="DH196" s="108" t="str">
        <f aca="false">IF(ISBLANK($C196),"",$C196)</f>
        <v/>
      </c>
      <c r="DI196" s="108" t="str">
        <f aca="false">IF(ISBLANK($C196),"",$D196)</f>
        <v/>
      </c>
      <c r="DJ196" s="109" t="str">
        <f aca="false">$CX196</f>
        <v/>
      </c>
      <c r="DK196" s="110" t="str">
        <f aca="false">$CW196</f>
        <v/>
      </c>
      <c r="DL196" s="108" t="str">
        <f aca="false">IF(ISBLANK($C196),"",$CZ196)</f>
        <v/>
      </c>
      <c r="DM196" s="111" t="str">
        <f aca="false">IF($DD196&gt;$DC$8,"",VLOOKUP($DD196,$DF$9:$DL$508,7,FALSE()))</f>
        <v/>
      </c>
      <c r="DN196" s="112" t="str">
        <f aca="false">IF($DD196&gt;$DC$8,"",VLOOKUP($DD196,$DF$9:$DL$508,2,FALSE()))</f>
        <v/>
      </c>
      <c r="DO196" s="112" t="str">
        <f aca="false">IF($DD196&gt;$DC$8,"",VLOOKUP($DD196,$DF$9:$DL$508,3,FALSE()))</f>
        <v/>
      </c>
      <c r="DP196" s="112" t="str">
        <f aca="false">IF($DD196&gt;$DC$8,"",VLOOKUP($DD196,$DF$9:$DL$508,4,FALSE()))</f>
        <v/>
      </c>
      <c r="DQ196" s="112" t="str">
        <f aca="false">IF($DD196&gt;$DC$8,"",VLOOKUP($DD196,$DF$9:$DL$508,5,FALSE()))</f>
        <v/>
      </c>
      <c r="DR196" s="113" t="str">
        <f aca="false">IF($DD196&gt;$DC$8,"",VLOOKUP($DD196,$DF$9:$DL$508,6,FALSE()))</f>
        <v/>
      </c>
      <c r="DS196" s="76"/>
    </row>
    <row r="197" customFormat="false" ht="15.75" hidden="false" customHeight="false" outlineLevel="0" collapsed="false">
      <c r="A197" s="9"/>
      <c r="B197" s="78"/>
      <c r="C197" s="79"/>
      <c r="D197" s="170"/>
      <c r="E197" s="178"/>
      <c r="F197" s="172"/>
      <c r="G197" s="173"/>
      <c r="H197" s="173"/>
      <c r="I197" s="179"/>
      <c r="J197" s="176"/>
      <c r="K197" s="86"/>
      <c r="L197" s="87"/>
      <c r="M197" s="88"/>
      <c r="N197" s="176"/>
      <c r="O197" s="176"/>
      <c r="P197" s="178"/>
      <c r="Q197" s="176"/>
      <c r="R197" s="176"/>
      <c r="S197" s="86"/>
      <c r="T197" s="88"/>
      <c r="U197" s="88"/>
      <c r="V197" s="176"/>
      <c r="W197" s="176"/>
      <c r="X197" s="178"/>
      <c r="Y197" s="176"/>
      <c r="Z197" s="177"/>
      <c r="AA197" s="176"/>
      <c r="AB197" s="92"/>
      <c r="AC197" s="93"/>
      <c r="AD197" s="93"/>
      <c r="AE197" s="93"/>
      <c r="AF197" s="93" t="str">
        <f aca="false">IF(ISBLANK($C197),"",IF(E197=Constants!$B$2,TRUE(),IF(E197=Constants!$B$3,FALSE(),TRUE())))</f>
        <v/>
      </c>
      <c r="AG197" s="93" t="str">
        <f aca="false">IF(ISBLANK($C197),"",IF(F197=Constants!$B$2,TRUE(),IF(F197=Constants!$B$3,FALSE(),TRUE())))</f>
        <v/>
      </c>
      <c r="AH197" s="93" t="str">
        <f aca="false">IF(ISBLANK($C197),"",IF(G197=Constants!$B$2,TRUE(),IF(G197=Constants!$B$3,FALSE(),TRUE())))</f>
        <v/>
      </c>
      <c r="AI197" s="93" t="str">
        <f aca="false">IF(ISBLANK($C197),"",IF(AND(ISNUMBER(H197),H197&gt;=0),H197,Constants!$B$24))</f>
        <v/>
      </c>
      <c r="AJ197" s="93" t="str">
        <f aca="false">IF(ISBLANK($C197),"",IF(I197=Constants!$B$2,TRUE(),IF(I197=Constants!$B$3,FALSE(),TRUE())))</f>
        <v/>
      </c>
      <c r="AK197" s="93" t="str">
        <f aca="false">IF(ISBLANK($C197),"",IF(J197=Constants!$B$2,TRUE(),IF(J197=Constants!$B$3,FALSE(),TRUE())))</f>
        <v/>
      </c>
      <c r="AL197" s="93" t="str">
        <f aca="false">IF(ISBLANK($C197),"",IF(K197=Constants!$B$4,TRUE(),IF(K197=Constants!$B$5,FALSE(),COUNTA(L197:P197)&gt;0)))</f>
        <v/>
      </c>
      <c r="AM197" s="95" t="str">
        <f aca="false">IF(ISBLANK($C197),"",IF(ISNUMBER(L197),IF(L197&gt;=0,L197,""),""))</f>
        <v/>
      </c>
      <c r="AN197" s="94" t="str">
        <f aca="false">IF(ISBLANK($C197),"",IF(ISNUMBER(M197),IF(M197&gt;=0,M197,""),""))</f>
        <v/>
      </c>
      <c r="AO197" s="94" t="str">
        <f aca="false">IF(ISBLANK($C197),"",IF(N197=Constants!$B$2,TRUE(),IF(N197=Constants!$B$3,FALSE(),TRUE())))</f>
        <v/>
      </c>
      <c r="AP197" s="93" t="str">
        <f aca="false">IF(ISBLANK($C197),"",IF(ISNUMBER(O197),IF(O197&gt;=0,O197,""),""))</f>
        <v/>
      </c>
      <c r="AQ197" s="93" t="str">
        <f aca="false">IF(ISBLANK($C197),"",IF(P197=Constants!$B$2,TRUE(),IF(P197=Constants!$B$3,FALSE(),FALSE())))</f>
        <v/>
      </c>
      <c r="AR197" s="93" t="str">
        <f aca="false">IF(ISBLANK($C197),"",IF(Q197=Constants!$B$2,TRUE(),IF(Q197=Constants!$B$3,FALSE(),TRUE())))</f>
        <v/>
      </c>
      <c r="AS197" s="93" t="str">
        <f aca="false">IF(ISBLANK($C197),"",IF(R197=Constants!$B$2,TRUE(),IF(R197=Constants!$B$3,FALSE(),TRUE())))</f>
        <v/>
      </c>
      <c r="AT197" s="93" t="str">
        <f aca="false">IF(ISBLANK($C197),"",IF(S197=Constants!$B$4,TRUE(),IF(S197=Constants!$B$5,FALSE(),COUNTA(T197:X197)&gt;0)))</f>
        <v/>
      </c>
      <c r="AU197" s="95" t="str">
        <f aca="false">IF(ISBLANK($C197),"",IF(ISNUMBER(T197),IF(T197&gt;=0,T197,""),""))</f>
        <v/>
      </c>
      <c r="AV197" s="94" t="str">
        <f aca="false">IF(ISBLANK($C197),"",IF(ISNUMBER(U197),IF(U197&gt;=0,U197,""),""))</f>
        <v/>
      </c>
      <c r="AW197" s="94" t="str">
        <f aca="false">IF(ISBLANK($C197),"",IF(V197=Constants!$B$2,TRUE(),IF(V197=Constants!$B$3,FALSE(),TRUE())))</f>
        <v/>
      </c>
      <c r="AX197" s="93" t="str">
        <f aca="false">IF(ISBLANK($C197),"",IF(ISNUMBER(W197),IF(W197&gt;=0,W197,""),""))</f>
        <v/>
      </c>
      <c r="AY197" s="93" t="str">
        <f aca="false">IF(ISBLANK($C197),"",IF(X197=Constants!$B$2,TRUE(),IF(X197=Constants!$B$3,FALSE(),FALSE())))</f>
        <v/>
      </c>
      <c r="AZ197" s="93" t="str">
        <f aca="false">IF(ISBLANK($C197),"",MIN(Constants!$B$25,MAX(0,IF(ISNUMBER(Y197),Y197*60,0)+IF(ISNUMBER(Z197),Z197,0))))</f>
        <v/>
      </c>
      <c r="BA197" s="93" t="str">
        <f aca="false">IF(ISBLANK($C197),"",IF(AA197=Constants!$B$2,TRUE(),IF(AA197=Constants!$B$3,FALSE(),FALSE())))</f>
        <v/>
      </c>
      <c r="BB197" s="92" t="str">
        <f aca="false">IF(ISBLANK($C197),"",AND($AL197,OR($AM197="",$AN197="",AND($AO197,$AP197=""))))</f>
        <v/>
      </c>
      <c r="BC197" s="94" t="str">
        <f aca="false">IF($BX197&lt;&gt;Constants!$B$6,"",IF($AL197,Constants!$B$17*$AN197+Constants!$B$18*IF($AO197,$AP197,Constants!$B$19),Constants!$B$20))</f>
        <v/>
      </c>
      <c r="BD197" s="97" t="str">
        <f aca="false">IF($BX197&lt;&gt;Constants!$B$6,"",Constants!$B$21*ABS($AD$9-IF($AL197,$AM197,0)))</f>
        <v/>
      </c>
      <c r="BE197" s="97" t="str">
        <f aca="false">IF($BX197&lt;&gt;Constants!$B$6,"",IF(AND($AL197,$AQ197,$AO197),Constants!$B$22,0))</f>
        <v/>
      </c>
      <c r="BF197" s="97" t="str">
        <f aca="false">IF($BX197&lt;&gt;Constants!$B$6,"",IF($AL197,($AI197-Constants!$B$24)*Constants!$B$23,0))</f>
        <v/>
      </c>
      <c r="BG197" s="97" t="str">
        <f aca="false">IF($BX197&lt;&gt;Constants!$B$6,"",IF($AK197,0,Constants!$B$12)+IF($AJ197,0,Constants!$B$13)+IF($AH197,0,Constants!$B$14))</f>
        <v/>
      </c>
      <c r="BH197" s="98" t="str">
        <f aca="false">IF($BX197&lt;&gt;Constants!$B$6,"",Constants!$B$16+SUM($BC197:$BG197))</f>
        <v/>
      </c>
      <c r="BI197" s="97" t="str">
        <f aca="false">IF($BX197&lt;&gt;Constants!$B$6,"",$BC197)</f>
        <v/>
      </c>
      <c r="BJ197" s="97" t="str">
        <f aca="false">IF($BX197&lt;&gt;Constants!$B$6,"",$BD197)</f>
        <v/>
      </c>
      <c r="BK197" s="99" t="str">
        <f aca="false">IF($BX197&lt;&gt;Constants!$B$6,"",IF($AL197,$AN197,""))</f>
        <v/>
      </c>
      <c r="BL197" s="93" t="str">
        <f aca="false">IF($BX197&lt;&gt;Constants!$B$6,"",IF(OR($BS197&lt;$BH197,AND($BS197=$BH197,OR($BT197&lt;$BI197,AND($BT197=$BI197,OR($BU197&lt;$BJ197,AND($BU197=$BJ197,AND(ISNUMBER($BV197),OR(NOT(ISNUMBER($BK197)),$BV197&lt;$BK197)))))))),"-&gt;","&lt;-"))</f>
        <v/>
      </c>
      <c r="BM197" s="92" t="str">
        <f aca="false">IF(ISBLANK($C197),"",AND($AT197,OR($AU197="",$AV197="",AND($AW197,$AX197=""))))</f>
        <v/>
      </c>
      <c r="BN197" s="94" t="str">
        <f aca="false">IF($BX197&lt;&gt;Constants!$B$6,"",IF($AT197,Constants!$B$17*$AV197+Constants!$B$18*IF($AW197,$AX197,Constants!$B$19),Constants!$B$20))</f>
        <v/>
      </c>
      <c r="BO197" s="97" t="str">
        <f aca="false">IF($BX197&lt;&gt;Constants!$B$6,"",Constants!$B$21*ABS($AD$9-IF($AT197,$AU197,0)))</f>
        <v/>
      </c>
      <c r="BP197" s="97" t="str">
        <f aca="false">IF($BX197&lt;&gt;Constants!$B$6,"",IF(AND($AT197,$AY197,$AW197),Constants!$B$22,0))</f>
        <v/>
      </c>
      <c r="BQ197" s="97" t="str">
        <f aca="false">IF($BX197&lt;&gt;Constants!$B$6,"",IF($AT197,($AI197-Constants!$B$24)*Constants!$B$23,0))</f>
        <v/>
      </c>
      <c r="BR197" s="97" t="str">
        <f aca="false">IF($BX197&lt;&gt;Constants!$B$6,"",IF($AS197,0,Constants!$B$12)+IF($AR197,0,Constants!$B$13)+IF($AH197,0,Constants!$B$14))</f>
        <v/>
      </c>
      <c r="BS197" s="98" t="str">
        <f aca="false">IF($BX197&lt;&gt;Constants!$B$6,"",Constants!$B$16+SUM($BN197:$BR197))</f>
        <v/>
      </c>
      <c r="BT197" s="97" t="str">
        <f aca="false">IF($BX197&lt;&gt;Constants!$B$6,"",$BN197)</f>
        <v/>
      </c>
      <c r="BU197" s="97" t="str">
        <f aca="false">IF($BX197&lt;&gt;Constants!$B$6,"",$BO197)</f>
        <v/>
      </c>
      <c r="BV197" s="99" t="str">
        <f aca="false">IF($BX197&lt;&gt;Constants!$B$6,"",IF($AT197,$AV197,""))</f>
        <v/>
      </c>
      <c r="BW197" s="93" t="str">
        <f aca="false">IF(ISBLANK($C197),"",IF(ISBLANK($D$7),$BW$5,IF(NOT(ISNUMBER($D$7)),$BW$6,"")))</f>
        <v/>
      </c>
      <c r="BX197" s="93" t="str">
        <f aca="false">IF(ISBLANK($C197),"",IF($BA197,Constants!$B$9,IF(COUNTA($E197:$AA197)=0,Constants!$B$8,IF(NOT($AG197),Constants!$B$7,IF(OR($BW197&lt;&gt;"",$BB197,$BM197),Constants!$B$10,Constants!$B$6)))))</f>
        <v/>
      </c>
      <c r="BY197" s="93" t="str">
        <f aca="false">IF(ISBLANK($C197),"",IF($BX197&lt;&gt;Constants!$B$6,$BX197,Constants!$B$11))</f>
        <v/>
      </c>
      <c r="BZ197" s="97" t="str">
        <f aca="false">IF($BX197&lt;&gt;Constants!$B$6,"",IF($BL197="-&gt;",$BS197,$BH197))</f>
        <v/>
      </c>
      <c r="CA197" s="97" t="str">
        <f aca="false">IF($BX197&lt;&gt;Constants!$B$6,"",IF($AF197,0,Constants!$B$15))</f>
        <v/>
      </c>
      <c r="CB197" s="97" t="str">
        <f aca="false">IF($BX197&lt;&gt;Constants!$B$6,"",((Constants!$B$25-$AZ197)-Constants!$B$25)/Constants!$B$26)</f>
        <v/>
      </c>
      <c r="CC197" s="97" t="str">
        <f aca="false">IF(ISBLANK($C197),"",IF($BX197&lt;&gt;Constants!$B$6,$BX197,SUM($BZ197:$CB197)))</f>
        <v/>
      </c>
      <c r="CD197" s="93" t="str">
        <f aca="false">IF(ISBLANK($C197),"",IF($BX197&lt;&gt;Constants!$B$6,$BX197,RANK($CC197,$CC$9:$CC$508,1)))</f>
        <v/>
      </c>
      <c r="CE197" s="97" t="str">
        <f aca="false">IF($BX197&lt;&gt;Constants!$B$6,"",IF($BL197="-&gt;",$BT197,$BI197))</f>
        <v/>
      </c>
      <c r="CF197" s="93" t="str">
        <f aca="false">IF(ISBLANK($C197),"",IF($BX197&lt;&gt;Constants!$B$6,$BX197,IF(ISNUMBER($CE197),RANK($CE197,$CE$9:$CE$508,1),COUNT($CE$9:$CE$508)+1)))</f>
        <v/>
      </c>
      <c r="CG197" s="97" t="str">
        <f aca="false">IF($BX197&lt;&gt;Constants!$B$6,"",IF($BL197="-&gt;",$BU197,$BJ197))</f>
        <v/>
      </c>
      <c r="CH197" s="93" t="str">
        <f aca="false">IF(ISBLANK($C197),"",IF($BX197&lt;&gt;Constants!$B$6,$BX197,IF(ISNUMBER($CG197),RANK($CG197,$CG$9:$CG$508,1),COUNT($CG$9:$CG$508)+1)))</f>
        <v/>
      </c>
      <c r="CI197" s="97" t="str">
        <f aca="false">IF($BX197&lt;&gt;Constants!$B$6,"",IF($BL197="-&gt;",$BV197,$BK197))</f>
        <v/>
      </c>
      <c r="CJ197" s="93" t="str">
        <f aca="false">IF(ISBLANK($C197),"",IF($BX197&lt;&gt;Constants!$B$6,$BX197,IF(ISNUMBER($CI197),RANK($CI197,$CI$9:$CI$508,1),COUNT($CI$9:$CI$508)+1)))</f>
        <v/>
      </c>
      <c r="CK197" s="97" t="str">
        <f aca="false">IF($BX197&lt;&gt;Constants!$B$6,"",$AI197)</f>
        <v/>
      </c>
      <c r="CL197" s="93" t="str">
        <f aca="false">IF(ISBLANK($C197),"",IF($BX197&lt;&gt;Constants!$B$6,$BX197,IF(ISNUMBER($CK197),RANK($CK197,$CK$9:$CK$508,1),COUNT($CK$9:$CK$508)+1)))</f>
        <v/>
      </c>
      <c r="CM197" s="93" t="str">
        <f aca="false">IF(ISBLANK($C197),"",IF($BX197&lt;&gt;Constants!$B$6,$BX197,COUNTIFS($CD$9:$CD$508,"&lt;"&amp;$CD197)+COUNTIFS($CD$9:$CD$508,$CD197,$CF$9:$CF$508,"&lt;"&amp;$CF197)+COUNTIFS($CD$9:$CD$508,$CD197,$CF$9:$CF$508,$CF197,$CH$9:$CH$508,"&lt;"&amp;$CH197)+COUNTIFS($CD$9:$CD$508,$CD197,$CF$9:$CF$508,$CF197,$CH$9:$CH$508,$CH197,$CJ$9:$CJ$508,"&lt;"&amp;$CJ197)+COUNTIFS($CD$9:$CD$508,$CD197,$CF$9:$CF$508,$CF197,$CH$9:$CH$508,$CH197,$CJ$9:$CJ$508,$CJ197,$CL$9:$CL$508,"&lt;"&amp;$CL197)+1))</f>
        <v/>
      </c>
      <c r="CN197" s="93" t="str">
        <f aca="false">IF(ISBLANK($C197),"",IF($BX197&lt;&gt;Constants!$B$6,$BX197,$CD197-$CM197))</f>
        <v/>
      </c>
      <c r="CO197" s="100"/>
      <c r="CP197" s="101"/>
      <c r="CQ197" s="102" t="str">
        <f aca="false">IF(ISBLANK($C197),"",IF($BX197=Constants!$B$10,$BW197,""))</f>
        <v/>
      </c>
      <c r="CR197" s="101" t="str">
        <f aca="false">IF(ISBLANK($C197),"",IF($BX197&lt;&gt;Constants!$B$6,"",IF($BL197="-&gt;",2,1)))</f>
        <v/>
      </c>
      <c r="CS197" s="103" t="str">
        <f aca="false">IF(ISBLANK($C197),"",IF($BX197&lt;&gt;Constants!$B$6,"",IF($BL197="-&gt;",$BN197,$BC197)))</f>
        <v/>
      </c>
      <c r="CT197" s="103" t="str">
        <f aca="false">IF(ISBLANK($C197),"",IF($BX197&lt;&gt;Constants!$B$6,"",IF($BL197="-&gt;",$BO197,$BD197)))</f>
        <v/>
      </c>
      <c r="CU197" s="103" t="str">
        <f aca="false">IF(ISBLANK($C197),"",IF($BX197&lt;&gt;Constants!$B$6,"",IF($BL197="-&gt;",$BP197+$BQ197,$BE197+$BF197)+$CB197))</f>
        <v/>
      </c>
      <c r="CV197" s="103" t="str">
        <f aca="false">IF(ISBLANK($C197),"",IF($BX197&lt;&gt;Constants!$B$6,"",IF($BL197="-&gt;",$BR197,$BG197)+$CA197))</f>
        <v/>
      </c>
      <c r="CW197" s="104" t="str">
        <f aca="false">IF(ISBLANK($C197),"",IF($BX197&lt;&gt;Constants!$B$6,$BX197,$CC197))</f>
        <v/>
      </c>
      <c r="CX197" s="105" t="str">
        <f aca="false">IF(ISBLANK($C197),"",$BY197)</f>
        <v/>
      </c>
      <c r="CY197" s="106" t="str">
        <f aca="false">IF(ISBLANK($C197),"",$CN197)</f>
        <v/>
      </c>
      <c r="CZ197" s="106" t="str">
        <f aca="false">IF(ISBLANK($C197),"",$CM197)</f>
        <v/>
      </c>
      <c r="DA197" s="107" t="str">
        <f aca="false">IF(ISBLANK($C197),"",IFERROR(_xlfn.SWITCH($CZ197,Constants!$B$9,COUNTA($C$9:$C$508)+2,Constants!$B$8,COUNTA($C$9:$C$508)+1,Constants!$B$7,COUNTA($C$9:$C$508)),$CZ197))</f>
        <v/>
      </c>
      <c r="DB197" s="9"/>
      <c r="DC197" s="108" t="n">
        <f aca="false">IF(OR(ISNUMBER($CZ197),$CZ197=Constants!$B$9,$CZ197=Constants!$B$7,$CZ197=Constants!$B$8),1,0)</f>
        <v>0</v>
      </c>
      <c r="DD197" s="108" t="n">
        <v>189</v>
      </c>
      <c r="DE197" s="108" t="str">
        <f aca="false">IF(ISBLANK($C197),"",IF(ISNUMBER($DA197),$DA197+ROW($B197)/1000,""))</f>
        <v/>
      </c>
      <c r="DF197" s="108" t="str">
        <f aca="false">IF(ISNUMBER($DE197),RANK($DE197,$DE$9:$DE$508,1),"")</f>
        <v/>
      </c>
      <c r="DG197" s="108" t="str">
        <f aca="false">IF(ISBLANK($C197),"",$B197)</f>
        <v/>
      </c>
      <c r="DH197" s="108" t="str">
        <f aca="false">IF(ISBLANK($C197),"",$C197)</f>
        <v/>
      </c>
      <c r="DI197" s="108" t="str">
        <f aca="false">IF(ISBLANK($C197),"",$D197)</f>
        <v/>
      </c>
      <c r="DJ197" s="109" t="str">
        <f aca="false">$CX197</f>
        <v/>
      </c>
      <c r="DK197" s="110" t="str">
        <f aca="false">$CW197</f>
        <v/>
      </c>
      <c r="DL197" s="108" t="str">
        <f aca="false">IF(ISBLANK($C197),"",$CZ197)</f>
        <v/>
      </c>
      <c r="DM197" s="111" t="str">
        <f aca="false">IF($DD197&gt;$DC$8,"",VLOOKUP($DD197,$DF$9:$DL$508,7,FALSE()))</f>
        <v/>
      </c>
      <c r="DN197" s="112" t="str">
        <f aca="false">IF($DD197&gt;$DC$8,"",VLOOKUP($DD197,$DF$9:$DL$508,2,FALSE()))</f>
        <v/>
      </c>
      <c r="DO197" s="112" t="str">
        <f aca="false">IF($DD197&gt;$DC$8,"",VLOOKUP($DD197,$DF$9:$DL$508,3,FALSE()))</f>
        <v/>
      </c>
      <c r="DP197" s="112" t="str">
        <f aca="false">IF($DD197&gt;$DC$8,"",VLOOKUP($DD197,$DF$9:$DL$508,4,FALSE()))</f>
        <v/>
      </c>
      <c r="DQ197" s="112" t="str">
        <f aca="false">IF($DD197&gt;$DC$8,"",VLOOKUP($DD197,$DF$9:$DL$508,5,FALSE()))</f>
        <v/>
      </c>
      <c r="DR197" s="113" t="str">
        <f aca="false">IF($DD197&gt;$DC$8,"",VLOOKUP($DD197,$DF$9:$DL$508,6,FALSE()))</f>
        <v/>
      </c>
      <c r="DS197" s="76"/>
    </row>
    <row r="198" customFormat="false" ht="15.75" hidden="false" customHeight="false" outlineLevel="0" collapsed="false">
      <c r="A198" s="9"/>
      <c r="B198" s="160"/>
      <c r="C198" s="161"/>
      <c r="D198" s="162"/>
      <c r="E198" s="180"/>
      <c r="F198" s="164"/>
      <c r="G198" s="165"/>
      <c r="H198" s="165"/>
      <c r="I198" s="181"/>
      <c r="J198" s="168"/>
      <c r="K198" s="128"/>
      <c r="L198" s="129"/>
      <c r="M198" s="130"/>
      <c r="N198" s="168"/>
      <c r="O198" s="168"/>
      <c r="P198" s="180"/>
      <c r="Q198" s="168"/>
      <c r="R198" s="168"/>
      <c r="S198" s="128"/>
      <c r="T198" s="130"/>
      <c r="U198" s="130"/>
      <c r="V198" s="168"/>
      <c r="W198" s="168"/>
      <c r="X198" s="180"/>
      <c r="Y198" s="168"/>
      <c r="Z198" s="169"/>
      <c r="AA198" s="168"/>
      <c r="AB198" s="134"/>
      <c r="AC198" s="135"/>
      <c r="AD198" s="135"/>
      <c r="AE198" s="135"/>
      <c r="AF198" s="135" t="str">
        <f aca="false">IF(ISBLANK($C198),"",IF(E198=Constants!$B$2,TRUE(),IF(E198=Constants!$B$3,FALSE(),TRUE())))</f>
        <v/>
      </c>
      <c r="AG198" s="135" t="str">
        <f aca="false">IF(ISBLANK($C198),"",IF(F198=Constants!$B$2,TRUE(),IF(F198=Constants!$B$3,FALSE(),TRUE())))</f>
        <v/>
      </c>
      <c r="AH198" s="135" t="str">
        <f aca="false">IF(ISBLANK($C198),"",IF(G198=Constants!$B$2,TRUE(),IF(G198=Constants!$B$3,FALSE(),TRUE())))</f>
        <v/>
      </c>
      <c r="AI198" s="135" t="str">
        <f aca="false">IF(ISBLANK($C198),"",IF(AND(ISNUMBER(H198),H198&gt;=0),H198,Constants!$B$24))</f>
        <v/>
      </c>
      <c r="AJ198" s="135" t="str">
        <f aca="false">IF(ISBLANK($C198),"",IF(I198=Constants!$B$2,TRUE(),IF(I198=Constants!$B$3,FALSE(),TRUE())))</f>
        <v/>
      </c>
      <c r="AK198" s="135" t="str">
        <f aca="false">IF(ISBLANK($C198),"",IF(J198=Constants!$B$2,TRUE(),IF(J198=Constants!$B$3,FALSE(),TRUE())))</f>
        <v/>
      </c>
      <c r="AL198" s="135" t="str">
        <f aca="false">IF(ISBLANK($C198),"",IF(K198=Constants!$B$4,TRUE(),IF(K198=Constants!$B$5,FALSE(),COUNTA(L198:P198)&gt;0)))</f>
        <v/>
      </c>
      <c r="AM198" s="136" t="str">
        <f aca="false">IF(ISBLANK($C198),"",IF(ISNUMBER(L198),IF(L198&gt;=0,L198,""),""))</f>
        <v/>
      </c>
      <c r="AN198" s="137" t="str">
        <f aca="false">IF(ISBLANK($C198),"",IF(ISNUMBER(M198),IF(M198&gt;=0,M198,""),""))</f>
        <v/>
      </c>
      <c r="AO198" s="137" t="str">
        <f aca="false">IF(ISBLANK($C198),"",IF(N198=Constants!$B$2,TRUE(),IF(N198=Constants!$B$3,FALSE(),TRUE())))</f>
        <v/>
      </c>
      <c r="AP198" s="135" t="str">
        <f aca="false">IF(ISBLANK($C198),"",IF(ISNUMBER(O198),IF(O198&gt;=0,O198,""),""))</f>
        <v/>
      </c>
      <c r="AQ198" s="135" t="str">
        <f aca="false">IF(ISBLANK($C198),"",IF(P198=Constants!$B$2,TRUE(),IF(P198=Constants!$B$3,FALSE(),FALSE())))</f>
        <v/>
      </c>
      <c r="AR198" s="135" t="str">
        <f aca="false">IF(ISBLANK($C198),"",IF(Q198=Constants!$B$2,TRUE(),IF(Q198=Constants!$B$3,FALSE(),TRUE())))</f>
        <v/>
      </c>
      <c r="AS198" s="135" t="str">
        <f aca="false">IF(ISBLANK($C198),"",IF(R198=Constants!$B$2,TRUE(),IF(R198=Constants!$B$3,FALSE(),TRUE())))</f>
        <v/>
      </c>
      <c r="AT198" s="135" t="str">
        <f aca="false">IF(ISBLANK($C198),"",IF(S198=Constants!$B$4,TRUE(),IF(S198=Constants!$B$5,FALSE(),COUNTA(T198:X198)&gt;0)))</f>
        <v/>
      </c>
      <c r="AU198" s="136" t="str">
        <f aca="false">IF(ISBLANK($C198),"",IF(ISNUMBER(T198),IF(T198&gt;=0,T198,""),""))</f>
        <v/>
      </c>
      <c r="AV198" s="137" t="str">
        <f aca="false">IF(ISBLANK($C198),"",IF(ISNUMBER(U198),IF(U198&gt;=0,U198,""),""))</f>
        <v/>
      </c>
      <c r="AW198" s="137" t="str">
        <f aca="false">IF(ISBLANK($C198),"",IF(V198=Constants!$B$2,TRUE(),IF(V198=Constants!$B$3,FALSE(),TRUE())))</f>
        <v/>
      </c>
      <c r="AX198" s="135" t="str">
        <f aca="false">IF(ISBLANK($C198),"",IF(ISNUMBER(W198),IF(W198&gt;=0,W198,""),""))</f>
        <v/>
      </c>
      <c r="AY198" s="135" t="str">
        <f aca="false">IF(ISBLANK($C198),"",IF(X198=Constants!$B$2,TRUE(),IF(X198=Constants!$B$3,FALSE(),FALSE())))</f>
        <v/>
      </c>
      <c r="AZ198" s="135" t="str">
        <f aca="false">IF(ISBLANK($C198),"",MIN(Constants!$B$25,MAX(0,IF(ISNUMBER(Y198),Y198*60,0)+IF(ISNUMBER(Z198),Z198,0))))</f>
        <v/>
      </c>
      <c r="BA198" s="135" t="str">
        <f aca="false">IF(ISBLANK($C198),"",IF(AA198=Constants!$B$2,TRUE(),IF(AA198=Constants!$B$3,FALSE(),FALSE())))</f>
        <v/>
      </c>
      <c r="BB198" s="134" t="str">
        <f aca="false">IF(ISBLANK($C198),"",AND($AL198,OR($AM198="",$AN198="",AND($AO198,$AP198=""))))</f>
        <v/>
      </c>
      <c r="BC198" s="137" t="str">
        <f aca="false">IF($BX198&lt;&gt;Constants!$B$6,"",IF($AL198,Constants!$B$17*$AN198+Constants!$B$18*IF($AO198,$AP198,Constants!$B$19),Constants!$B$20))</f>
        <v/>
      </c>
      <c r="BD198" s="138" t="str">
        <f aca="false">IF($BX198&lt;&gt;Constants!$B$6,"",Constants!$B$21*ABS($AD$9-IF($AL198,$AM198,0)))</f>
        <v/>
      </c>
      <c r="BE198" s="138" t="str">
        <f aca="false">IF($BX198&lt;&gt;Constants!$B$6,"",IF(AND($AL198,$AQ198,$AO198),Constants!$B$22,0))</f>
        <v/>
      </c>
      <c r="BF198" s="138" t="str">
        <f aca="false">IF($BX198&lt;&gt;Constants!$B$6,"",IF($AL198,($AI198-Constants!$B$24)*Constants!$B$23,0))</f>
        <v/>
      </c>
      <c r="BG198" s="138" t="str">
        <f aca="false">IF($BX198&lt;&gt;Constants!$B$6,"",IF($AK198,0,Constants!$B$12)+IF($AJ198,0,Constants!$B$13)+IF($AH198,0,Constants!$B$14))</f>
        <v/>
      </c>
      <c r="BH198" s="139" t="str">
        <f aca="false">IF($BX198&lt;&gt;Constants!$B$6,"",Constants!$B$16+SUM($BC198:$BG198))</f>
        <v/>
      </c>
      <c r="BI198" s="138" t="str">
        <f aca="false">IF($BX198&lt;&gt;Constants!$B$6,"",$BC198)</f>
        <v/>
      </c>
      <c r="BJ198" s="138" t="str">
        <f aca="false">IF($BX198&lt;&gt;Constants!$B$6,"",$BD198)</f>
        <v/>
      </c>
      <c r="BK198" s="140" t="str">
        <f aca="false">IF($BX198&lt;&gt;Constants!$B$6,"",IF($AL198,$AN198,""))</f>
        <v/>
      </c>
      <c r="BL198" s="135" t="str">
        <f aca="false">IF($BX198&lt;&gt;Constants!$B$6,"",IF(OR($BS198&lt;$BH198,AND($BS198=$BH198,OR($BT198&lt;$BI198,AND($BT198=$BI198,OR($BU198&lt;$BJ198,AND($BU198=$BJ198,AND(ISNUMBER($BV198),OR(NOT(ISNUMBER($BK198)),$BV198&lt;$BK198)))))))),"-&gt;","&lt;-"))</f>
        <v/>
      </c>
      <c r="BM198" s="134" t="str">
        <f aca="false">IF(ISBLANK($C198),"",AND($AT198,OR($AU198="",$AV198="",AND($AW198,$AX198=""))))</f>
        <v/>
      </c>
      <c r="BN198" s="137" t="str">
        <f aca="false">IF($BX198&lt;&gt;Constants!$B$6,"",IF($AT198,Constants!$B$17*$AV198+Constants!$B$18*IF($AW198,$AX198,Constants!$B$19),Constants!$B$20))</f>
        <v/>
      </c>
      <c r="BO198" s="138" t="str">
        <f aca="false">IF($BX198&lt;&gt;Constants!$B$6,"",Constants!$B$21*ABS($AD$9-IF($AT198,$AU198,0)))</f>
        <v/>
      </c>
      <c r="BP198" s="138" t="str">
        <f aca="false">IF($BX198&lt;&gt;Constants!$B$6,"",IF(AND($AT198,$AY198,$AW198),Constants!$B$22,0))</f>
        <v/>
      </c>
      <c r="BQ198" s="138" t="str">
        <f aca="false">IF($BX198&lt;&gt;Constants!$B$6,"",IF($AT198,($AI198-Constants!$B$24)*Constants!$B$23,0))</f>
        <v/>
      </c>
      <c r="BR198" s="138" t="str">
        <f aca="false">IF($BX198&lt;&gt;Constants!$B$6,"",IF($AS198,0,Constants!$B$12)+IF($AR198,0,Constants!$B$13)+IF($AH198,0,Constants!$B$14))</f>
        <v/>
      </c>
      <c r="BS198" s="139" t="str">
        <f aca="false">IF($BX198&lt;&gt;Constants!$B$6,"",Constants!$B$16+SUM($BN198:$BR198))</f>
        <v/>
      </c>
      <c r="BT198" s="138" t="str">
        <f aca="false">IF($BX198&lt;&gt;Constants!$B$6,"",$BN198)</f>
        <v/>
      </c>
      <c r="BU198" s="138" t="str">
        <f aca="false">IF($BX198&lt;&gt;Constants!$B$6,"",$BO198)</f>
        <v/>
      </c>
      <c r="BV198" s="140" t="str">
        <f aca="false">IF($BX198&lt;&gt;Constants!$B$6,"",IF($AT198,$AV198,""))</f>
        <v/>
      </c>
      <c r="BW198" s="135" t="str">
        <f aca="false">IF(ISBLANK($C198),"",IF(ISBLANK($D$7),$BW$5,IF(NOT(ISNUMBER($D$7)),$BW$6,"")))</f>
        <v/>
      </c>
      <c r="BX198" s="135" t="str">
        <f aca="false">IF(ISBLANK($C198),"",IF($BA198,Constants!$B$9,IF(COUNTA($E198:$AA198)=0,Constants!$B$8,IF(NOT($AG198),Constants!$B$7,IF(OR($BW198&lt;&gt;"",$BB198,$BM198),Constants!$B$10,Constants!$B$6)))))</f>
        <v/>
      </c>
      <c r="BY198" s="135" t="str">
        <f aca="false">IF(ISBLANK($C198),"",IF($BX198&lt;&gt;Constants!$B$6,$BX198,Constants!$B$11))</f>
        <v/>
      </c>
      <c r="BZ198" s="138" t="str">
        <f aca="false">IF($BX198&lt;&gt;Constants!$B$6,"",IF($BL198="-&gt;",$BS198,$BH198))</f>
        <v/>
      </c>
      <c r="CA198" s="138" t="str">
        <f aca="false">IF($BX198&lt;&gt;Constants!$B$6,"",IF($AF198,0,Constants!$B$15))</f>
        <v/>
      </c>
      <c r="CB198" s="138" t="str">
        <f aca="false">IF($BX198&lt;&gt;Constants!$B$6,"",((Constants!$B$25-$AZ198)-Constants!$B$25)/Constants!$B$26)</f>
        <v/>
      </c>
      <c r="CC198" s="138" t="str">
        <f aca="false">IF(ISBLANK($C198),"",IF($BX198&lt;&gt;Constants!$B$6,$BX198,SUM($BZ198:$CB198)))</f>
        <v/>
      </c>
      <c r="CD198" s="135" t="str">
        <f aca="false">IF(ISBLANK($C198),"",IF($BX198&lt;&gt;Constants!$B$6,$BX198,RANK($CC198,$CC$9:$CC$508,1)))</f>
        <v/>
      </c>
      <c r="CE198" s="138" t="str">
        <f aca="false">IF($BX198&lt;&gt;Constants!$B$6,"",IF($BL198="-&gt;",$BT198,$BI198))</f>
        <v/>
      </c>
      <c r="CF198" s="135" t="str">
        <f aca="false">IF(ISBLANK($C198),"",IF($BX198&lt;&gt;Constants!$B$6,$BX198,IF(ISNUMBER($CE198),RANK($CE198,$CE$9:$CE$508,1),COUNT($CE$9:$CE$508)+1)))</f>
        <v/>
      </c>
      <c r="CG198" s="138" t="str">
        <f aca="false">IF($BX198&lt;&gt;Constants!$B$6,"",IF($BL198="-&gt;",$BU198,$BJ198))</f>
        <v/>
      </c>
      <c r="CH198" s="135" t="str">
        <f aca="false">IF(ISBLANK($C198),"",IF($BX198&lt;&gt;Constants!$B$6,$BX198,IF(ISNUMBER($CG198),RANK($CG198,$CG$9:$CG$508,1),COUNT($CG$9:$CG$508)+1)))</f>
        <v/>
      </c>
      <c r="CI198" s="138" t="str">
        <f aca="false">IF($BX198&lt;&gt;Constants!$B$6,"",IF($BL198="-&gt;",$BV198,$BK198))</f>
        <v/>
      </c>
      <c r="CJ198" s="135" t="str">
        <f aca="false">IF(ISBLANK($C198),"",IF($BX198&lt;&gt;Constants!$B$6,$BX198,IF(ISNUMBER($CI198),RANK($CI198,$CI$9:$CI$508,1),COUNT($CI$9:$CI$508)+1)))</f>
        <v/>
      </c>
      <c r="CK198" s="138" t="str">
        <f aca="false">IF($BX198&lt;&gt;Constants!$B$6,"",$AI198)</f>
        <v/>
      </c>
      <c r="CL198" s="135" t="str">
        <f aca="false">IF(ISBLANK($C198),"",IF($BX198&lt;&gt;Constants!$B$6,$BX198,IF(ISNUMBER($CK198),RANK($CK198,$CK$9:$CK$508,1),COUNT($CK$9:$CK$508)+1)))</f>
        <v/>
      </c>
      <c r="CM198" s="135" t="str">
        <f aca="false">IF(ISBLANK($C198),"",IF($BX198&lt;&gt;Constants!$B$6,$BX198,COUNTIFS($CD$9:$CD$508,"&lt;"&amp;$CD198)+COUNTIFS($CD$9:$CD$508,$CD198,$CF$9:$CF$508,"&lt;"&amp;$CF198)+COUNTIFS($CD$9:$CD$508,$CD198,$CF$9:$CF$508,$CF198,$CH$9:$CH$508,"&lt;"&amp;$CH198)+COUNTIFS($CD$9:$CD$508,$CD198,$CF$9:$CF$508,$CF198,$CH$9:$CH$508,$CH198,$CJ$9:$CJ$508,"&lt;"&amp;$CJ198)+COUNTIFS($CD$9:$CD$508,$CD198,$CF$9:$CF$508,$CF198,$CH$9:$CH$508,$CH198,$CJ$9:$CJ$508,$CJ198,$CL$9:$CL$508,"&lt;"&amp;$CL198)+1))</f>
        <v/>
      </c>
      <c r="CN198" s="135" t="str">
        <f aca="false">IF(ISBLANK($C198),"",IF($BX198&lt;&gt;Constants!$B$6,$BX198,$CD198-$CM198))</f>
        <v/>
      </c>
      <c r="CO198" s="141"/>
      <c r="CP198" s="142"/>
      <c r="CQ198" s="143" t="str">
        <f aca="false">IF(ISBLANK($C198),"",IF($BX198=Constants!$B$10,$BW198,""))</f>
        <v/>
      </c>
      <c r="CR198" s="142" t="str">
        <f aca="false">IF(ISBLANK($C198),"",IF($BX198&lt;&gt;Constants!$B$6,"",IF($BL198="-&gt;",2,1)))</f>
        <v/>
      </c>
      <c r="CS198" s="144" t="str">
        <f aca="false">IF(ISBLANK($C198),"",IF($BX198&lt;&gt;Constants!$B$6,"",IF($BL198="-&gt;",$BN198,$BC198)))</f>
        <v/>
      </c>
      <c r="CT198" s="144" t="str">
        <f aca="false">IF(ISBLANK($C198),"",IF($BX198&lt;&gt;Constants!$B$6,"",IF($BL198="-&gt;",$BO198,$BD198)))</f>
        <v/>
      </c>
      <c r="CU198" s="144" t="str">
        <f aca="false">IF(ISBLANK($C198),"",IF($BX198&lt;&gt;Constants!$B$6,"",IF($BL198="-&gt;",$BP198+$BQ198,$BE198+$BF198)+$CB198))</f>
        <v/>
      </c>
      <c r="CV198" s="144" t="str">
        <f aca="false">IF(ISBLANK($C198),"",IF($BX198&lt;&gt;Constants!$B$6,"",IF($BL198="-&gt;",$BR198,$BG198)+$CA198))</f>
        <v/>
      </c>
      <c r="CW198" s="145" t="str">
        <f aca="false">IF(ISBLANK($C198),"",IF($BX198&lt;&gt;Constants!$B$6,$BX198,$CC198))</f>
        <v/>
      </c>
      <c r="CX198" s="146" t="str">
        <f aca="false">IF(ISBLANK($C198),"",$BY198)</f>
        <v/>
      </c>
      <c r="CY198" s="147" t="str">
        <f aca="false">IF(ISBLANK($C198),"",$CN198)</f>
        <v/>
      </c>
      <c r="CZ198" s="147" t="str">
        <f aca="false">IF(ISBLANK($C198),"",$CM198)</f>
        <v/>
      </c>
      <c r="DA198" s="148" t="str">
        <f aca="false">IF(ISBLANK($C198),"",IFERROR(_xlfn.SWITCH($CZ198,Constants!$B$9,COUNTA($C$9:$C$508)+2,Constants!$B$8,COUNTA($C$9:$C$508)+1,Constants!$B$7,COUNTA($C$9:$C$508)),$CZ198))</f>
        <v/>
      </c>
      <c r="DB198" s="9"/>
      <c r="DC198" s="149" t="n">
        <f aca="false">IF(OR(ISNUMBER($CZ198),$CZ198=Constants!$B$9,$CZ198=Constants!$B$7,$CZ198=Constants!$B$8),1,0)</f>
        <v>0</v>
      </c>
      <c r="DD198" s="149" t="n">
        <v>190</v>
      </c>
      <c r="DE198" s="149" t="str">
        <f aca="false">IF(ISBLANK($C198),"",IF(ISNUMBER($DA198),$DA198+ROW($B198)/1000,""))</f>
        <v/>
      </c>
      <c r="DF198" s="149" t="str">
        <f aca="false">IF(ISNUMBER($DE198),RANK($DE198,$DE$9:$DE$508,1),"")</f>
        <v/>
      </c>
      <c r="DG198" s="149" t="str">
        <f aca="false">IF(ISBLANK($C198),"",$B198)</f>
        <v/>
      </c>
      <c r="DH198" s="149" t="str">
        <f aca="false">IF(ISBLANK($C198),"",$C198)</f>
        <v/>
      </c>
      <c r="DI198" s="149" t="str">
        <f aca="false">IF(ISBLANK($C198),"",$D198)</f>
        <v/>
      </c>
      <c r="DJ198" s="150" t="str">
        <f aca="false">$CX198</f>
        <v/>
      </c>
      <c r="DK198" s="151" t="str">
        <f aca="false">$CW198</f>
        <v/>
      </c>
      <c r="DL198" s="149" t="str">
        <f aca="false">IF(ISBLANK($C198),"",$CZ198)</f>
        <v/>
      </c>
      <c r="DM198" s="152" t="str">
        <f aca="false">IF($DD198&gt;$DC$8,"",VLOOKUP($DD198,$DF$9:$DL$508,7,FALSE()))</f>
        <v/>
      </c>
      <c r="DN198" s="153" t="str">
        <f aca="false">IF($DD198&gt;$DC$8,"",VLOOKUP($DD198,$DF$9:$DL$508,2,FALSE()))</f>
        <v/>
      </c>
      <c r="DO198" s="153" t="str">
        <f aca="false">IF($DD198&gt;$DC$8,"",VLOOKUP($DD198,$DF$9:$DL$508,3,FALSE()))</f>
        <v/>
      </c>
      <c r="DP198" s="153" t="str">
        <f aca="false">IF($DD198&gt;$DC$8,"",VLOOKUP($DD198,$DF$9:$DL$508,4,FALSE()))</f>
        <v/>
      </c>
      <c r="DQ198" s="153" t="str">
        <f aca="false">IF($DD198&gt;$DC$8,"",VLOOKUP($DD198,$DF$9:$DL$508,5,FALSE()))</f>
        <v/>
      </c>
      <c r="DR198" s="154" t="str">
        <f aca="false">IF($DD198&gt;$DC$8,"",VLOOKUP($DD198,$DF$9:$DL$508,6,FALSE()))</f>
        <v/>
      </c>
      <c r="DS198" s="76"/>
    </row>
    <row r="199" customFormat="false" ht="15.75" hidden="false" customHeight="false" outlineLevel="0" collapsed="false">
      <c r="A199" s="9"/>
      <c r="B199" s="160"/>
      <c r="C199" s="161"/>
      <c r="D199" s="162"/>
      <c r="E199" s="180"/>
      <c r="F199" s="164"/>
      <c r="G199" s="165"/>
      <c r="H199" s="165"/>
      <c r="I199" s="181"/>
      <c r="J199" s="168"/>
      <c r="K199" s="128"/>
      <c r="L199" s="129"/>
      <c r="M199" s="130"/>
      <c r="N199" s="168"/>
      <c r="O199" s="168"/>
      <c r="P199" s="180"/>
      <c r="Q199" s="168"/>
      <c r="R199" s="168"/>
      <c r="S199" s="128"/>
      <c r="T199" s="130"/>
      <c r="U199" s="130"/>
      <c r="V199" s="168"/>
      <c r="W199" s="168"/>
      <c r="X199" s="180"/>
      <c r="Y199" s="168"/>
      <c r="Z199" s="169"/>
      <c r="AA199" s="168"/>
      <c r="AB199" s="134"/>
      <c r="AC199" s="135"/>
      <c r="AD199" s="135"/>
      <c r="AE199" s="135"/>
      <c r="AF199" s="135" t="str">
        <f aca="false">IF(ISBLANK($C199),"",IF(E199=Constants!$B$2,TRUE(),IF(E199=Constants!$B$3,FALSE(),TRUE())))</f>
        <v/>
      </c>
      <c r="AG199" s="135" t="str">
        <f aca="false">IF(ISBLANK($C199),"",IF(F199=Constants!$B$2,TRUE(),IF(F199=Constants!$B$3,FALSE(),TRUE())))</f>
        <v/>
      </c>
      <c r="AH199" s="135" t="str">
        <f aca="false">IF(ISBLANK($C199),"",IF(G199=Constants!$B$2,TRUE(),IF(G199=Constants!$B$3,FALSE(),TRUE())))</f>
        <v/>
      </c>
      <c r="AI199" s="135" t="str">
        <f aca="false">IF(ISBLANK($C199),"",IF(AND(ISNUMBER(H199),H199&gt;=0),H199,Constants!$B$24))</f>
        <v/>
      </c>
      <c r="AJ199" s="135" t="str">
        <f aca="false">IF(ISBLANK($C199),"",IF(I199=Constants!$B$2,TRUE(),IF(I199=Constants!$B$3,FALSE(),TRUE())))</f>
        <v/>
      </c>
      <c r="AK199" s="135" t="str">
        <f aca="false">IF(ISBLANK($C199),"",IF(J199=Constants!$B$2,TRUE(),IF(J199=Constants!$B$3,FALSE(),TRUE())))</f>
        <v/>
      </c>
      <c r="AL199" s="135" t="str">
        <f aca="false">IF(ISBLANK($C199),"",IF(K199=Constants!$B$4,TRUE(),IF(K199=Constants!$B$5,FALSE(),COUNTA(L199:P199)&gt;0)))</f>
        <v/>
      </c>
      <c r="AM199" s="136" t="str">
        <f aca="false">IF(ISBLANK($C199),"",IF(ISNUMBER(L199),IF(L199&gt;=0,L199,""),""))</f>
        <v/>
      </c>
      <c r="AN199" s="137" t="str">
        <f aca="false">IF(ISBLANK($C199),"",IF(ISNUMBER(M199),IF(M199&gt;=0,M199,""),""))</f>
        <v/>
      </c>
      <c r="AO199" s="137" t="str">
        <f aca="false">IF(ISBLANK($C199),"",IF(N199=Constants!$B$2,TRUE(),IF(N199=Constants!$B$3,FALSE(),TRUE())))</f>
        <v/>
      </c>
      <c r="AP199" s="135" t="str">
        <f aca="false">IF(ISBLANK($C199),"",IF(ISNUMBER(O199),IF(O199&gt;=0,O199,""),""))</f>
        <v/>
      </c>
      <c r="AQ199" s="135" t="str">
        <f aca="false">IF(ISBLANK($C199),"",IF(P199=Constants!$B$2,TRUE(),IF(P199=Constants!$B$3,FALSE(),FALSE())))</f>
        <v/>
      </c>
      <c r="AR199" s="135" t="str">
        <f aca="false">IF(ISBLANK($C199),"",IF(Q199=Constants!$B$2,TRUE(),IF(Q199=Constants!$B$3,FALSE(),TRUE())))</f>
        <v/>
      </c>
      <c r="AS199" s="135" t="str">
        <f aca="false">IF(ISBLANK($C199),"",IF(R199=Constants!$B$2,TRUE(),IF(R199=Constants!$B$3,FALSE(),TRUE())))</f>
        <v/>
      </c>
      <c r="AT199" s="135" t="str">
        <f aca="false">IF(ISBLANK($C199),"",IF(S199=Constants!$B$4,TRUE(),IF(S199=Constants!$B$5,FALSE(),COUNTA(T199:X199)&gt;0)))</f>
        <v/>
      </c>
      <c r="AU199" s="136" t="str">
        <f aca="false">IF(ISBLANK($C199),"",IF(ISNUMBER(T199),IF(T199&gt;=0,T199,""),""))</f>
        <v/>
      </c>
      <c r="AV199" s="137" t="str">
        <f aca="false">IF(ISBLANK($C199),"",IF(ISNUMBER(U199),IF(U199&gt;=0,U199,""),""))</f>
        <v/>
      </c>
      <c r="AW199" s="137" t="str">
        <f aca="false">IF(ISBLANK($C199),"",IF(V199=Constants!$B$2,TRUE(),IF(V199=Constants!$B$3,FALSE(),TRUE())))</f>
        <v/>
      </c>
      <c r="AX199" s="135" t="str">
        <f aca="false">IF(ISBLANK($C199),"",IF(ISNUMBER(W199),IF(W199&gt;=0,W199,""),""))</f>
        <v/>
      </c>
      <c r="AY199" s="135" t="str">
        <f aca="false">IF(ISBLANK($C199),"",IF(X199=Constants!$B$2,TRUE(),IF(X199=Constants!$B$3,FALSE(),FALSE())))</f>
        <v/>
      </c>
      <c r="AZ199" s="135" t="str">
        <f aca="false">IF(ISBLANK($C199),"",MIN(Constants!$B$25,MAX(0,IF(ISNUMBER(Y199),Y199*60,0)+IF(ISNUMBER(Z199),Z199,0))))</f>
        <v/>
      </c>
      <c r="BA199" s="135" t="str">
        <f aca="false">IF(ISBLANK($C199),"",IF(AA199=Constants!$B$2,TRUE(),IF(AA199=Constants!$B$3,FALSE(),FALSE())))</f>
        <v/>
      </c>
      <c r="BB199" s="134" t="str">
        <f aca="false">IF(ISBLANK($C199),"",AND($AL199,OR($AM199="",$AN199="",AND($AO199,$AP199=""))))</f>
        <v/>
      </c>
      <c r="BC199" s="137" t="str">
        <f aca="false">IF($BX199&lt;&gt;Constants!$B$6,"",IF($AL199,Constants!$B$17*$AN199+Constants!$B$18*IF($AO199,$AP199,Constants!$B$19),Constants!$B$20))</f>
        <v/>
      </c>
      <c r="BD199" s="138" t="str">
        <f aca="false">IF($BX199&lt;&gt;Constants!$B$6,"",Constants!$B$21*ABS($AD$9-IF($AL199,$AM199,0)))</f>
        <v/>
      </c>
      <c r="BE199" s="138" t="str">
        <f aca="false">IF($BX199&lt;&gt;Constants!$B$6,"",IF(AND($AL199,$AQ199,$AO199),Constants!$B$22,0))</f>
        <v/>
      </c>
      <c r="BF199" s="138" t="str">
        <f aca="false">IF($BX199&lt;&gt;Constants!$B$6,"",IF($AL199,($AI199-Constants!$B$24)*Constants!$B$23,0))</f>
        <v/>
      </c>
      <c r="BG199" s="138" t="str">
        <f aca="false">IF($BX199&lt;&gt;Constants!$B$6,"",IF($AK199,0,Constants!$B$12)+IF($AJ199,0,Constants!$B$13)+IF($AH199,0,Constants!$B$14))</f>
        <v/>
      </c>
      <c r="BH199" s="139" t="str">
        <f aca="false">IF($BX199&lt;&gt;Constants!$B$6,"",Constants!$B$16+SUM($BC199:$BG199))</f>
        <v/>
      </c>
      <c r="BI199" s="138" t="str">
        <f aca="false">IF($BX199&lt;&gt;Constants!$B$6,"",$BC199)</f>
        <v/>
      </c>
      <c r="BJ199" s="138" t="str">
        <f aca="false">IF($BX199&lt;&gt;Constants!$B$6,"",$BD199)</f>
        <v/>
      </c>
      <c r="BK199" s="140" t="str">
        <f aca="false">IF($BX199&lt;&gt;Constants!$B$6,"",IF($AL199,$AN199,""))</f>
        <v/>
      </c>
      <c r="BL199" s="135" t="str">
        <f aca="false">IF($BX199&lt;&gt;Constants!$B$6,"",IF(OR($BS199&lt;$BH199,AND($BS199=$BH199,OR($BT199&lt;$BI199,AND($BT199=$BI199,OR($BU199&lt;$BJ199,AND($BU199=$BJ199,AND(ISNUMBER($BV199),OR(NOT(ISNUMBER($BK199)),$BV199&lt;$BK199)))))))),"-&gt;","&lt;-"))</f>
        <v/>
      </c>
      <c r="BM199" s="134" t="str">
        <f aca="false">IF(ISBLANK($C199),"",AND($AT199,OR($AU199="",$AV199="",AND($AW199,$AX199=""))))</f>
        <v/>
      </c>
      <c r="BN199" s="137" t="str">
        <f aca="false">IF($BX199&lt;&gt;Constants!$B$6,"",IF($AT199,Constants!$B$17*$AV199+Constants!$B$18*IF($AW199,$AX199,Constants!$B$19),Constants!$B$20))</f>
        <v/>
      </c>
      <c r="BO199" s="138" t="str">
        <f aca="false">IF($BX199&lt;&gt;Constants!$B$6,"",Constants!$B$21*ABS($AD$9-IF($AT199,$AU199,0)))</f>
        <v/>
      </c>
      <c r="BP199" s="138" t="str">
        <f aca="false">IF($BX199&lt;&gt;Constants!$B$6,"",IF(AND($AT199,$AY199,$AW199),Constants!$B$22,0))</f>
        <v/>
      </c>
      <c r="BQ199" s="138" t="str">
        <f aca="false">IF($BX199&lt;&gt;Constants!$B$6,"",IF($AT199,($AI199-Constants!$B$24)*Constants!$B$23,0))</f>
        <v/>
      </c>
      <c r="BR199" s="138" t="str">
        <f aca="false">IF($BX199&lt;&gt;Constants!$B$6,"",IF($AS199,0,Constants!$B$12)+IF($AR199,0,Constants!$B$13)+IF($AH199,0,Constants!$B$14))</f>
        <v/>
      </c>
      <c r="BS199" s="139" t="str">
        <f aca="false">IF($BX199&lt;&gt;Constants!$B$6,"",Constants!$B$16+SUM($BN199:$BR199))</f>
        <v/>
      </c>
      <c r="BT199" s="138" t="str">
        <f aca="false">IF($BX199&lt;&gt;Constants!$B$6,"",$BN199)</f>
        <v/>
      </c>
      <c r="BU199" s="138" t="str">
        <f aca="false">IF($BX199&lt;&gt;Constants!$B$6,"",$BO199)</f>
        <v/>
      </c>
      <c r="BV199" s="140" t="str">
        <f aca="false">IF($BX199&lt;&gt;Constants!$B$6,"",IF($AT199,$AV199,""))</f>
        <v/>
      </c>
      <c r="BW199" s="135" t="str">
        <f aca="false">IF(ISBLANK($C199),"",IF(ISBLANK($D$7),$BW$5,IF(NOT(ISNUMBER($D$7)),$BW$6,"")))</f>
        <v/>
      </c>
      <c r="BX199" s="135" t="str">
        <f aca="false">IF(ISBLANK($C199),"",IF($BA199,Constants!$B$9,IF(COUNTA($E199:$AA199)=0,Constants!$B$8,IF(NOT($AG199),Constants!$B$7,IF(OR($BW199&lt;&gt;"",$BB199,$BM199),Constants!$B$10,Constants!$B$6)))))</f>
        <v/>
      </c>
      <c r="BY199" s="135" t="str">
        <f aca="false">IF(ISBLANK($C199),"",IF($BX199&lt;&gt;Constants!$B$6,$BX199,Constants!$B$11))</f>
        <v/>
      </c>
      <c r="BZ199" s="138" t="str">
        <f aca="false">IF($BX199&lt;&gt;Constants!$B$6,"",IF($BL199="-&gt;",$BS199,$BH199))</f>
        <v/>
      </c>
      <c r="CA199" s="138" t="str">
        <f aca="false">IF($BX199&lt;&gt;Constants!$B$6,"",IF($AF199,0,Constants!$B$15))</f>
        <v/>
      </c>
      <c r="CB199" s="138" t="str">
        <f aca="false">IF($BX199&lt;&gt;Constants!$B$6,"",((Constants!$B$25-$AZ199)-Constants!$B$25)/Constants!$B$26)</f>
        <v/>
      </c>
      <c r="CC199" s="138" t="str">
        <f aca="false">IF(ISBLANK($C199),"",IF($BX199&lt;&gt;Constants!$B$6,$BX199,SUM($BZ199:$CB199)))</f>
        <v/>
      </c>
      <c r="CD199" s="135" t="str">
        <f aca="false">IF(ISBLANK($C199),"",IF($BX199&lt;&gt;Constants!$B$6,$BX199,RANK($CC199,$CC$9:$CC$508,1)))</f>
        <v/>
      </c>
      <c r="CE199" s="138" t="str">
        <f aca="false">IF($BX199&lt;&gt;Constants!$B$6,"",IF($BL199="-&gt;",$BT199,$BI199))</f>
        <v/>
      </c>
      <c r="CF199" s="135" t="str">
        <f aca="false">IF(ISBLANK($C199),"",IF($BX199&lt;&gt;Constants!$B$6,$BX199,IF(ISNUMBER($CE199),RANK($CE199,$CE$9:$CE$508,1),COUNT($CE$9:$CE$508)+1)))</f>
        <v/>
      </c>
      <c r="CG199" s="138" t="str">
        <f aca="false">IF($BX199&lt;&gt;Constants!$B$6,"",IF($BL199="-&gt;",$BU199,$BJ199))</f>
        <v/>
      </c>
      <c r="CH199" s="135" t="str">
        <f aca="false">IF(ISBLANK($C199),"",IF($BX199&lt;&gt;Constants!$B$6,$BX199,IF(ISNUMBER($CG199),RANK($CG199,$CG$9:$CG$508,1),COUNT($CG$9:$CG$508)+1)))</f>
        <v/>
      </c>
      <c r="CI199" s="138" t="str">
        <f aca="false">IF($BX199&lt;&gt;Constants!$B$6,"",IF($BL199="-&gt;",$BV199,$BK199))</f>
        <v/>
      </c>
      <c r="CJ199" s="135" t="str">
        <f aca="false">IF(ISBLANK($C199),"",IF($BX199&lt;&gt;Constants!$B$6,$BX199,IF(ISNUMBER($CI199),RANK($CI199,$CI$9:$CI$508,1),COUNT($CI$9:$CI$508)+1)))</f>
        <v/>
      </c>
      <c r="CK199" s="138" t="str">
        <f aca="false">IF($BX199&lt;&gt;Constants!$B$6,"",$AI199)</f>
        <v/>
      </c>
      <c r="CL199" s="135" t="str">
        <f aca="false">IF(ISBLANK($C199),"",IF($BX199&lt;&gt;Constants!$B$6,$BX199,IF(ISNUMBER($CK199),RANK($CK199,$CK$9:$CK$508,1),COUNT($CK$9:$CK$508)+1)))</f>
        <v/>
      </c>
      <c r="CM199" s="135" t="str">
        <f aca="false">IF(ISBLANK($C199),"",IF($BX199&lt;&gt;Constants!$B$6,$BX199,COUNTIFS($CD$9:$CD$508,"&lt;"&amp;$CD199)+COUNTIFS($CD$9:$CD$508,$CD199,$CF$9:$CF$508,"&lt;"&amp;$CF199)+COUNTIFS($CD$9:$CD$508,$CD199,$CF$9:$CF$508,$CF199,$CH$9:$CH$508,"&lt;"&amp;$CH199)+COUNTIFS($CD$9:$CD$508,$CD199,$CF$9:$CF$508,$CF199,$CH$9:$CH$508,$CH199,$CJ$9:$CJ$508,"&lt;"&amp;$CJ199)+COUNTIFS($CD$9:$CD$508,$CD199,$CF$9:$CF$508,$CF199,$CH$9:$CH$508,$CH199,$CJ$9:$CJ$508,$CJ199,$CL$9:$CL$508,"&lt;"&amp;$CL199)+1))</f>
        <v/>
      </c>
      <c r="CN199" s="135" t="str">
        <f aca="false">IF(ISBLANK($C199),"",IF($BX199&lt;&gt;Constants!$B$6,$BX199,$CD199-$CM199))</f>
        <v/>
      </c>
      <c r="CO199" s="141"/>
      <c r="CP199" s="142"/>
      <c r="CQ199" s="143" t="str">
        <f aca="false">IF(ISBLANK($C199),"",IF($BX199=Constants!$B$10,$BW199,""))</f>
        <v/>
      </c>
      <c r="CR199" s="142" t="str">
        <f aca="false">IF(ISBLANK($C199),"",IF($BX199&lt;&gt;Constants!$B$6,"",IF($BL199="-&gt;",2,1)))</f>
        <v/>
      </c>
      <c r="CS199" s="144" t="str">
        <f aca="false">IF(ISBLANK($C199),"",IF($BX199&lt;&gt;Constants!$B$6,"",IF($BL199="-&gt;",$BN199,$BC199)))</f>
        <v/>
      </c>
      <c r="CT199" s="144" t="str">
        <f aca="false">IF(ISBLANK($C199),"",IF($BX199&lt;&gt;Constants!$B$6,"",IF($BL199="-&gt;",$BO199,$BD199)))</f>
        <v/>
      </c>
      <c r="CU199" s="144" t="str">
        <f aca="false">IF(ISBLANK($C199),"",IF($BX199&lt;&gt;Constants!$B$6,"",IF($BL199="-&gt;",$BP199+$BQ199,$BE199+$BF199)+$CB199))</f>
        <v/>
      </c>
      <c r="CV199" s="144" t="str">
        <f aca="false">IF(ISBLANK($C199),"",IF($BX199&lt;&gt;Constants!$B$6,"",IF($BL199="-&gt;",$BR199,$BG199)+$CA199))</f>
        <v/>
      </c>
      <c r="CW199" s="145" t="str">
        <f aca="false">IF(ISBLANK($C199),"",IF($BX199&lt;&gt;Constants!$B$6,$BX199,$CC199))</f>
        <v/>
      </c>
      <c r="CX199" s="146" t="str">
        <f aca="false">IF(ISBLANK($C199),"",$BY199)</f>
        <v/>
      </c>
      <c r="CY199" s="147" t="str">
        <f aca="false">IF(ISBLANK($C199),"",$CN199)</f>
        <v/>
      </c>
      <c r="CZ199" s="147" t="str">
        <f aca="false">IF(ISBLANK($C199),"",$CM199)</f>
        <v/>
      </c>
      <c r="DA199" s="148" t="str">
        <f aca="false">IF(ISBLANK($C199),"",IFERROR(_xlfn.SWITCH($CZ199,Constants!$B$9,COUNTA($C$9:$C$508)+2,Constants!$B$8,COUNTA($C$9:$C$508)+1,Constants!$B$7,COUNTA($C$9:$C$508)),$CZ199))</f>
        <v/>
      </c>
      <c r="DB199" s="9"/>
      <c r="DC199" s="149" t="n">
        <f aca="false">IF(OR(ISNUMBER($CZ199),$CZ199=Constants!$B$9,$CZ199=Constants!$B$7,$CZ199=Constants!$B$8),1,0)</f>
        <v>0</v>
      </c>
      <c r="DD199" s="149" t="n">
        <v>191</v>
      </c>
      <c r="DE199" s="149" t="str">
        <f aca="false">IF(ISBLANK($C199),"",IF(ISNUMBER($DA199),$DA199+ROW($B199)/1000,""))</f>
        <v/>
      </c>
      <c r="DF199" s="149" t="str">
        <f aca="false">IF(ISNUMBER($DE199),RANK($DE199,$DE$9:$DE$508,1),"")</f>
        <v/>
      </c>
      <c r="DG199" s="149" t="str">
        <f aca="false">IF(ISBLANK($C199),"",$B199)</f>
        <v/>
      </c>
      <c r="DH199" s="149" t="str">
        <f aca="false">IF(ISBLANK($C199),"",$C199)</f>
        <v/>
      </c>
      <c r="DI199" s="149" t="str">
        <f aca="false">IF(ISBLANK($C199),"",$D199)</f>
        <v/>
      </c>
      <c r="DJ199" s="150" t="str">
        <f aca="false">$CX199</f>
        <v/>
      </c>
      <c r="DK199" s="151" t="str">
        <f aca="false">$CW199</f>
        <v/>
      </c>
      <c r="DL199" s="149" t="str">
        <f aca="false">IF(ISBLANK($C199),"",$CZ199)</f>
        <v/>
      </c>
      <c r="DM199" s="152" t="str">
        <f aca="false">IF($DD199&gt;$DC$8,"",VLOOKUP($DD199,$DF$9:$DL$508,7,FALSE()))</f>
        <v/>
      </c>
      <c r="DN199" s="153" t="str">
        <f aca="false">IF($DD199&gt;$DC$8,"",VLOOKUP($DD199,$DF$9:$DL$508,2,FALSE()))</f>
        <v/>
      </c>
      <c r="DO199" s="153" t="str">
        <f aca="false">IF($DD199&gt;$DC$8,"",VLOOKUP($DD199,$DF$9:$DL$508,3,FALSE()))</f>
        <v/>
      </c>
      <c r="DP199" s="153" t="str">
        <f aca="false">IF($DD199&gt;$DC$8,"",VLOOKUP($DD199,$DF$9:$DL$508,4,FALSE()))</f>
        <v/>
      </c>
      <c r="DQ199" s="153" t="str">
        <f aca="false">IF($DD199&gt;$DC$8,"",VLOOKUP($DD199,$DF$9:$DL$508,5,FALSE()))</f>
        <v/>
      </c>
      <c r="DR199" s="154" t="str">
        <f aca="false">IF($DD199&gt;$DC$8,"",VLOOKUP($DD199,$DF$9:$DL$508,6,FALSE()))</f>
        <v/>
      </c>
      <c r="DS199" s="76"/>
    </row>
    <row r="200" customFormat="false" ht="15.75" hidden="false" customHeight="false" outlineLevel="0" collapsed="false">
      <c r="A200" s="9"/>
      <c r="B200" s="160"/>
      <c r="C200" s="161"/>
      <c r="D200" s="162"/>
      <c r="E200" s="180"/>
      <c r="F200" s="164"/>
      <c r="G200" s="165"/>
      <c r="H200" s="165"/>
      <c r="I200" s="181"/>
      <c r="J200" s="168"/>
      <c r="K200" s="128"/>
      <c r="L200" s="129"/>
      <c r="M200" s="130"/>
      <c r="N200" s="168"/>
      <c r="O200" s="168"/>
      <c r="P200" s="180"/>
      <c r="Q200" s="168"/>
      <c r="R200" s="168"/>
      <c r="S200" s="128"/>
      <c r="T200" s="130"/>
      <c r="U200" s="130"/>
      <c r="V200" s="168"/>
      <c r="W200" s="168"/>
      <c r="X200" s="180"/>
      <c r="Y200" s="168"/>
      <c r="Z200" s="169"/>
      <c r="AA200" s="168"/>
      <c r="AB200" s="134"/>
      <c r="AC200" s="135"/>
      <c r="AD200" s="135"/>
      <c r="AE200" s="135"/>
      <c r="AF200" s="135" t="str">
        <f aca="false">IF(ISBLANK($C200),"",IF(E200=Constants!$B$2,TRUE(),IF(E200=Constants!$B$3,FALSE(),TRUE())))</f>
        <v/>
      </c>
      <c r="AG200" s="135" t="str">
        <f aca="false">IF(ISBLANK($C200),"",IF(F200=Constants!$B$2,TRUE(),IF(F200=Constants!$B$3,FALSE(),TRUE())))</f>
        <v/>
      </c>
      <c r="AH200" s="135" t="str">
        <f aca="false">IF(ISBLANK($C200),"",IF(G200=Constants!$B$2,TRUE(),IF(G200=Constants!$B$3,FALSE(),TRUE())))</f>
        <v/>
      </c>
      <c r="AI200" s="135" t="str">
        <f aca="false">IF(ISBLANK($C200),"",IF(AND(ISNUMBER(H200),H200&gt;=0),H200,Constants!$B$24))</f>
        <v/>
      </c>
      <c r="AJ200" s="135" t="str">
        <f aca="false">IF(ISBLANK($C200),"",IF(I200=Constants!$B$2,TRUE(),IF(I200=Constants!$B$3,FALSE(),TRUE())))</f>
        <v/>
      </c>
      <c r="AK200" s="135" t="str">
        <f aca="false">IF(ISBLANK($C200),"",IF(J200=Constants!$B$2,TRUE(),IF(J200=Constants!$B$3,FALSE(),TRUE())))</f>
        <v/>
      </c>
      <c r="AL200" s="135" t="str">
        <f aca="false">IF(ISBLANK($C200),"",IF(K200=Constants!$B$4,TRUE(),IF(K200=Constants!$B$5,FALSE(),COUNTA(L200:P200)&gt;0)))</f>
        <v/>
      </c>
      <c r="AM200" s="136" t="str">
        <f aca="false">IF(ISBLANK($C200),"",IF(ISNUMBER(L200),IF(L200&gt;=0,L200,""),""))</f>
        <v/>
      </c>
      <c r="AN200" s="137" t="str">
        <f aca="false">IF(ISBLANK($C200),"",IF(ISNUMBER(M200),IF(M200&gt;=0,M200,""),""))</f>
        <v/>
      </c>
      <c r="AO200" s="137" t="str">
        <f aca="false">IF(ISBLANK($C200),"",IF(N200=Constants!$B$2,TRUE(),IF(N200=Constants!$B$3,FALSE(),TRUE())))</f>
        <v/>
      </c>
      <c r="AP200" s="135" t="str">
        <f aca="false">IF(ISBLANK($C200),"",IF(ISNUMBER(O200),IF(O200&gt;=0,O200,""),""))</f>
        <v/>
      </c>
      <c r="AQ200" s="135" t="str">
        <f aca="false">IF(ISBLANK($C200),"",IF(P200=Constants!$B$2,TRUE(),IF(P200=Constants!$B$3,FALSE(),FALSE())))</f>
        <v/>
      </c>
      <c r="AR200" s="135" t="str">
        <f aca="false">IF(ISBLANK($C200),"",IF(Q200=Constants!$B$2,TRUE(),IF(Q200=Constants!$B$3,FALSE(),TRUE())))</f>
        <v/>
      </c>
      <c r="AS200" s="135" t="str">
        <f aca="false">IF(ISBLANK($C200),"",IF(R200=Constants!$B$2,TRUE(),IF(R200=Constants!$B$3,FALSE(),TRUE())))</f>
        <v/>
      </c>
      <c r="AT200" s="135" t="str">
        <f aca="false">IF(ISBLANK($C200),"",IF(S200=Constants!$B$4,TRUE(),IF(S200=Constants!$B$5,FALSE(),COUNTA(T200:X200)&gt;0)))</f>
        <v/>
      </c>
      <c r="AU200" s="136" t="str">
        <f aca="false">IF(ISBLANK($C200),"",IF(ISNUMBER(T200),IF(T200&gt;=0,T200,""),""))</f>
        <v/>
      </c>
      <c r="AV200" s="137" t="str">
        <f aca="false">IF(ISBLANK($C200),"",IF(ISNUMBER(U200),IF(U200&gt;=0,U200,""),""))</f>
        <v/>
      </c>
      <c r="AW200" s="137" t="str">
        <f aca="false">IF(ISBLANK($C200),"",IF(V200=Constants!$B$2,TRUE(),IF(V200=Constants!$B$3,FALSE(),TRUE())))</f>
        <v/>
      </c>
      <c r="AX200" s="135" t="str">
        <f aca="false">IF(ISBLANK($C200),"",IF(ISNUMBER(W200),IF(W200&gt;=0,W200,""),""))</f>
        <v/>
      </c>
      <c r="AY200" s="135" t="str">
        <f aca="false">IF(ISBLANK($C200),"",IF(X200=Constants!$B$2,TRUE(),IF(X200=Constants!$B$3,FALSE(),FALSE())))</f>
        <v/>
      </c>
      <c r="AZ200" s="135" t="str">
        <f aca="false">IF(ISBLANK($C200),"",MIN(Constants!$B$25,MAX(0,IF(ISNUMBER(Y200),Y200*60,0)+IF(ISNUMBER(Z200),Z200,0))))</f>
        <v/>
      </c>
      <c r="BA200" s="135" t="str">
        <f aca="false">IF(ISBLANK($C200),"",IF(AA200=Constants!$B$2,TRUE(),IF(AA200=Constants!$B$3,FALSE(),FALSE())))</f>
        <v/>
      </c>
      <c r="BB200" s="134" t="str">
        <f aca="false">IF(ISBLANK($C200),"",AND($AL200,OR($AM200="",$AN200="",AND($AO200,$AP200=""))))</f>
        <v/>
      </c>
      <c r="BC200" s="137" t="str">
        <f aca="false">IF($BX200&lt;&gt;Constants!$B$6,"",IF($AL200,Constants!$B$17*$AN200+Constants!$B$18*IF($AO200,$AP200,Constants!$B$19),Constants!$B$20))</f>
        <v/>
      </c>
      <c r="BD200" s="138" t="str">
        <f aca="false">IF($BX200&lt;&gt;Constants!$B$6,"",Constants!$B$21*ABS($AD$9-IF($AL200,$AM200,0)))</f>
        <v/>
      </c>
      <c r="BE200" s="138" t="str">
        <f aca="false">IF($BX200&lt;&gt;Constants!$B$6,"",IF(AND($AL200,$AQ200,$AO200),Constants!$B$22,0))</f>
        <v/>
      </c>
      <c r="BF200" s="138" t="str">
        <f aca="false">IF($BX200&lt;&gt;Constants!$B$6,"",IF($AL200,($AI200-Constants!$B$24)*Constants!$B$23,0))</f>
        <v/>
      </c>
      <c r="BG200" s="138" t="str">
        <f aca="false">IF($BX200&lt;&gt;Constants!$B$6,"",IF($AK200,0,Constants!$B$12)+IF($AJ200,0,Constants!$B$13)+IF($AH200,0,Constants!$B$14))</f>
        <v/>
      </c>
      <c r="BH200" s="139" t="str">
        <f aca="false">IF($BX200&lt;&gt;Constants!$B$6,"",Constants!$B$16+SUM($BC200:$BG200))</f>
        <v/>
      </c>
      <c r="BI200" s="138" t="str">
        <f aca="false">IF($BX200&lt;&gt;Constants!$B$6,"",$BC200)</f>
        <v/>
      </c>
      <c r="BJ200" s="138" t="str">
        <f aca="false">IF($BX200&lt;&gt;Constants!$B$6,"",$BD200)</f>
        <v/>
      </c>
      <c r="BK200" s="140" t="str">
        <f aca="false">IF($BX200&lt;&gt;Constants!$B$6,"",IF($AL200,$AN200,""))</f>
        <v/>
      </c>
      <c r="BL200" s="135" t="str">
        <f aca="false">IF($BX200&lt;&gt;Constants!$B$6,"",IF(OR($BS200&lt;$BH200,AND($BS200=$BH200,OR($BT200&lt;$BI200,AND($BT200=$BI200,OR($BU200&lt;$BJ200,AND($BU200=$BJ200,AND(ISNUMBER($BV200),OR(NOT(ISNUMBER($BK200)),$BV200&lt;$BK200)))))))),"-&gt;","&lt;-"))</f>
        <v/>
      </c>
      <c r="BM200" s="134" t="str">
        <f aca="false">IF(ISBLANK($C200),"",AND($AT200,OR($AU200="",$AV200="",AND($AW200,$AX200=""))))</f>
        <v/>
      </c>
      <c r="BN200" s="137" t="str">
        <f aca="false">IF($BX200&lt;&gt;Constants!$B$6,"",IF($AT200,Constants!$B$17*$AV200+Constants!$B$18*IF($AW200,$AX200,Constants!$B$19),Constants!$B$20))</f>
        <v/>
      </c>
      <c r="BO200" s="138" t="str">
        <f aca="false">IF($BX200&lt;&gt;Constants!$B$6,"",Constants!$B$21*ABS($AD$9-IF($AT200,$AU200,0)))</f>
        <v/>
      </c>
      <c r="BP200" s="138" t="str">
        <f aca="false">IF($BX200&lt;&gt;Constants!$B$6,"",IF(AND($AT200,$AY200,$AW200),Constants!$B$22,0))</f>
        <v/>
      </c>
      <c r="BQ200" s="138" t="str">
        <f aca="false">IF($BX200&lt;&gt;Constants!$B$6,"",IF($AT200,($AI200-Constants!$B$24)*Constants!$B$23,0))</f>
        <v/>
      </c>
      <c r="BR200" s="138" t="str">
        <f aca="false">IF($BX200&lt;&gt;Constants!$B$6,"",IF($AS200,0,Constants!$B$12)+IF($AR200,0,Constants!$B$13)+IF($AH200,0,Constants!$B$14))</f>
        <v/>
      </c>
      <c r="BS200" s="139" t="str">
        <f aca="false">IF($BX200&lt;&gt;Constants!$B$6,"",Constants!$B$16+SUM($BN200:$BR200))</f>
        <v/>
      </c>
      <c r="BT200" s="138" t="str">
        <f aca="false">IF($BX200&lt;&gt;Constants!$B$6,"",$BN200)</f>
        <v/>
      </c>
      <c r="BU200" s="138" t="str">
        <f aca="false">IF($BX200&lt;&gt;Constants!$B$6,"",$BO200)</f>
        <v/>
      </c>
      <c r="BV200" s="140" t="str">
        <f aca="false">IF($BX200&lt;&gt;Constants!$B$6,"",IF($AT200,$AV200,""))</f>
        <v/>
      </c>
      <c r="BW200" s="135" t="str">
        <f aca="false">IF(ISBLANK($C200),"",IF(ISBLANK($D$7),$BW$5,IF(NOT(ISNUMBER($D$7)),$BW$6,"")))</f>
        <v/>
      </c>
      <c r="BX200" s="135" t="str">
        <f aca="false">IF(ISBLANK($C200),"",IF($BA200,Constants!$B$9,IF(COUNTA($E200:$AA200)=0,Constants!$B$8,IF(NOT($AG200),Constants!$B$7,IF(OR($BW200&lt;&gt;"",$BB200,$BM200),Constants!$B$10,Constants!$B$6)))))</f>
        <v/>
      </c>
      <c r="BY200" s="135" t="str">
        <f aca="false">IF(ISBLANK($C200),"",IF($BX200&lt;&gt;Constants!$B$6,$BX200,Constants!$B$11))</f>
        <v/>
      </c>
      <c r="BZ200" s="138" t="str">
        <f aca="false">IF($BX200&lt;&gt;Constants!$B$6,"",IF($BL200="-&gt;",$BS200,$BH200))</f>
        <v/>
      </c>
      <c r="CA200" s="138" t="str">
        <f aca="false">IF($BX200&lt;&gt;Constants!$B$6,"",IF($AF200,0,Constants!$B$15))</f>
        <v/>
      </c>
      <c r="CB200" s="138" t="str">
        <f aca="false">IF($BX200&lt;&gt;Constants!$B$6,"",((Constants!$B$25-$AZ200)-Constants!$B$25)/Constants!$B$26)</f>
        <v/>
      </c>
      <c r="CC200" s="138" t="str">
        <f aca="false">IF(ISBLANK($C200),"",IF($BX200&lt;&gt;Constants!$B$6,$BX200,SUM($BZ200:$CB200)))</f>
        <v/>
      </c>
      <c r="CD200" s="135" t="str">
        <f aca="false">IF(ISBLANK($C200),"",IF($BX200&lt;&gt;Constants!$B$6,$BX200,RANK($CC200,$CC$9:$CC$508,1)))</f>
        <v/>
      </c>
      <c r="CE200" s="138" t="str">
        <f aca="false">IF($BX200&lt;&gt;Constants!$B$6,"",IF($BL200="-&gt;",$BT200,$BI200))</f>
        <v/>
      </c>
      <c r="CF200" s="135" t="str">
        <f aca="false">IF(ISBLANK($C200),"",IF($BX200&lt;&gt;Constants!$B$6,$BX200,IF(ISNUMBER($CE200),RANK($CE200,$CE$9:$CE$508,1),COUNT($CE$9:$CE$508)+1)))</f>
        <v/>
      </c>
      <c r="CG200" s="138" t="str">
        <f aca="false">IF($BX200&lt;&gt;Constants!$B$6,"",IF($BL200="-&gt;",$BU200,$BJ200))</f>
        <v/>
      </c>
      <c r="CH200" s="135" t="str">
        <f aca="false">IF(ISBLANK($C200),"",IF($BX200&lt;&gt;Constants!$B$6,$BX200,IF(ISNUMBER($CG200),RANK($CG200,$CG$9:$CG$508,1),COUNT($CG$9:$CG$508)+1)))</f>
        <v/>
      </c>
      <c r="CI200" s="138" t="str">
        <f aca="false">IF($BX200&lt;&gt;Constants!$B$6,"",IF($BL200="-&gt;",$BV200,$BK200))</f>
        <v/>
      </c>
      <c r="CJ200" s="135" t="str">
        <f aca="false">IF(ISBLANK($C200),"",IF($BX200&lt;&gt;Constants!$B$6,$BX200,IF(ISNUMBER($CI200),RANK($CI200,$CI$9:$CI$508,1),COUNT($CI$9:$CI$508)+1)))</f>
        <v/>
      </c>
      <c r="CK200" s="138" t="str">
        <f aca="false">IF($BX200&lt;&gt;Constants!$B$6,"",$AI200)</f>
        <v/>
      </c>
      <c r="CL200" s="135" t="str">
        <f aca="false">IF(ISBLANK($C200),"",IF($BX200&lt;&gt;Constants!$B$6,$BX200,IF(ISNUMBER($CK200),RANK($CK200,$CK$9:$CK$508,1),COUNT($CK$9:$CK$508)+1)))</f>
        <v/>
      </c>
      <c r="CM200" s="135" t="str">
        <f aca="false">IF(ISBLANK($C200),"",IF($BX200&lt;&gt;Constants!$B$6,$BX200,COUNTIFS($CD$9:$CD$508,"&lt;"&amp;$CD200)+COUNTIFS($CD$9:$CD$508,$CD200,$CF$9:$CF$508,"&lt;"&amp;$CF200)+COUNTIFS($CD$9:$CD$508,$CD200,$CF$9:$CF$508,$CF200,$CH$9:$CH$508,"&lt;"&amp;$CH200)+COUNTIFS($CD$9:$CD$508,$CD200,$CF$9:$CF$508,$CF200,$CH$9:$CH$508,$CH200,$CJ$9:$CJ$508,"&lt;"&amp;$CJ200)+COUNTIFS($CD$9:$CD$508,$CD200,$CF$9:$CF$508,$CF200,$CH$9:$CH$508,$CH200,$CJ$9:$CJ$508,$CJ200,$CL$9:$CL$508,"&lt;"&amp;$CL200)+1))</f>
        <v/>
      </c>
      <c r="CN200" s="135" t="str">
        <f aca="false">IF(ISBLANK($C200),"",IF($BX200&lt;&gt;Constants!$B$6,$BX200,$CD200-$CM200))</f>
        <v/>
      </c>
      <c r="CO200" s="141"/>
      <c r="CP200" s="142"/>
      <c r="CQ200" s="143" t="str">
        <f aca="false">IF(ISBLANK($C200),"",IF($BX200=Constants!$B$10,$BW200,""))</f>
        <v/>
      </c>
      <c r="CR200" s="142" t="str">
        <f aca="false">IF(ISBLANK($C200),"",IF($BX200&lt;&gt;Constants!$B$6,"",IF($BL200="-&gt;",2,1)))</f>
        <v/>
      </c>
      <c r="CS200" s="144" t="str">
        <f aca="false">IF(ISBLANK($C200),"",IF($BX200&lt;&gt;Constants!$B$6,"",IF($BL200="-&gt;",$BN200,$BC200)))</f>
        <v/>
      </c>
      <c r="CT200" s="144" t="str">
        <f aca="false">IF(ISBLANK($C200),"",IF($BX200&lt;&gt;Constants!$B$6,"",IF($BL200="-&gt;",$BO200,$BD200)))</f>
        <v/>
      </c>
      <c r="CU200" s="144" t="str">
        <f aca="false">IF(ISBLANK($C200),"",IF($BX200&lt;&gt;Constants!$B$6,"",IF($BL200="-&gt;",$BP200+$BQ200,$BE200+$BF200)+$CB200))</f>
        <v/>
      </c>
      <c r="CV200" s="144" t="str">
        <f aca="false">IF(ISBLANK($C200),"",IF($BX200&lt;&gt;Constants!$B$6,"",IF($BL200="-&gt;",$BR200,$BG200)+$CA200))</f>
        <v/>
      </c>
      <c r="CW200" s="145" t="str">
        <f aca="false">IF(ISBLANK($C200),"",IF($BX200&lt;&gt;Constants!$B$6,$BX200,$CC200))</f>
        <v/>
      </c>
      <c r="CX200" s="146" t="str">
        <f aca="false">IF(ISBLANK($C200),"",$BY200)</f>
        <v/>
      </c>
      <c r="CY200" s="147" t="str">
        <f aca="false">IF(ISBLANK($C200),"",$CN200)</f>
        <v/>
      </c>
      <c r="CZ200" s="147" t="str">
        <f aca="false">IF(ISBLANK($C200),"",$CM200)</f>
        <v/>
      </c>
      <c r="DA200" s="148" t="str">
        <f aca="false">IF(ISBLANK($C200),"",IFERROR(_xlfn.SWITCH($CZ200,Constants!$B$9,COUNTA($C$9:$C$508)+2,Constants!$B$8,COUNTA($C$9:$C$508)+1,Constants!$B$7,COUNTA($C$9:$C$508)),$CZ200))</f>
        <v/>
      </c>
      <c r="DB200" s="9"/>
      <c r="DC200" s="149" t="n">
        <f aca="false">IF(OR(ISNUMBER($CZ200),$CZ200=Constants!$B$9,$CZ200=Constants!$B$7,$CZ200=Constants!$B$8),1,0)</f>
        <v>0</v>
      </c>
      <c r="DD200" s="149" t="n">
        <v>192</v>
      </c>
      <c r="DE200" s="149" t="str">
        <f aca="false">IF(ISBLANK($C200),"",IF(ISNUMBER($DA200),$DA200+ROW($B200)/1000,""))</f>
        <v/>
      </c>
      <c r="DF200" s="149" t="str">
        <f aca="false">IF(ISNUMBER($DE200),RANK($DE200,$DE$9:$DE$508,1),"")</f>
        <v/>
      </c>
      <c r="DG200" s="149" t="str">
        <f aca="false">IF(ISBLANK($C200),"",$B200)</f>
        <v/>
      </c>
      <c r="DH200" s="149" t="str">
        <f aca="false">IF(ISBLANK($C200),"",$C200)</f>
        <v/>
      </c>
      <c r="DI200" s="149" t="str">
        <f aca="false">IF(ISBLANK($C200),"",$D200)</f>
        <v/>
      </c>
      <c r="DJ200" s="150" t="str">
        <f aca="false">$CX200</f>
        <v/>
      </c>
      <c r="DK200" s="151" t="str">
        <f aca="false">$CW200</f>
        <v/>
      </c>
      <c r="DL200" s="149" t="str">
        <f aca="false">IF(ISBLANK($C200),"",$CZ200)</f>
        <v/>
      </c>
      <c r="DM200" s="152" t="str">
        <f aca="false">IF($DD200&gt;$DC$8,"",VLOOKUP($DD200,$DF$9:$DL$508,7,FALSE()))</f>
        <v/>
      </c>
      <c r="DN200" s="153" t="str">
        <f aca="false">IF($DD200&gt;$DC$8,"",VLOOKUP($DD200,$DF$9:$DL$508,2,FALSE()))</f>
        <v/>
      </c>
      <c r="DO200" s="153" t="str">
        <f aca="false">IF($DD200&gt;$DC$8,"",VLOOKUP($DD200,$DF$9:$DL$508,3,FALSE()))</f>
        <v/>
      </c>
      <c r="DP200" s="153" t="str">
        <f aca="false">IF($DD200&gt;$DC$8,"",VLOOKUP($DD200,$DF$9:$DL$508,4,FALSE()))</f>
        <v/>
      </c>
      <c r="DQ200" s="153" t="str">
        <f aca="false">IF($DD200&gt;$DC$8,"",VLOOKUP($DD200,$DF$9:$DL$508,5,FALSE()))</f>
        <v/>
      </c>
      <c r="DR200" s="154" t="str">
        <f aca="false">IF($DD200&gt;$DC$8,"",VLOOKUP($DD200,$DF$9:$DL$508,6,FALSE()))</f>
        <v/>
      </c>
      <c r="DS200" s="76"/>
    </row>
    <row r="201" customFormat="false" ht="15.75" hidden="false" customHeight="false" outlineLevel="0" collapsed="false">
      <c r="A201" s="9"/>
      <c r="B201" s="78"/>
      <c r="C201" s="79"/>
      <c r="D201" s="170"/>
      <c r="E201" s="178"/>
      <c r="F201" s="172"/>
      <c r="G201" s="173"/>
      <c r="H201" s="173"/>
      <c r="I201" s="179"/>
      <c r="J201" s="176"/>
      <c r="K201" s="86"/>
      <c r="L201" s="87"/>
      <c r="M201" s="88"/>
      <c r="N201" s="176"/>
      <c r="O201" s="176"/>
      <c r="P201" s="178"/>
      <c r="Q201" s="176"/>
      <c r="R201" s="176"/>
      <c r="S201" s="86"/>
      <c r="T201" s="88"/>
      <c r="U201" s="88"/>
      <c r="V201" s="176"/>
      <c r="W201" s="176"/>
      <c r="X201" s="178"/>
      <c r="Y201" s="176"/>
      <c r="Z201" s="177"/>
      <c r="AA201" s="176"/>
      <c r="AB201" s="92"/>
      <c r="AC201" s="93"/>
      <c r="AD201" s="93"/>
      <c r="AE201" s="93"/>
      <c r="AF201" s="93" t="str">
        <f aca="false">IF(ISBLANK($C201),"",IF(E201=Constants!$B$2,TRUE(),IF(E201=Constants!$B$3,FALSE(),TRUE())))</f>
        <v/>
      </c>
      <c r="AG201" s="93" t="str">
        <f aca="false">IF(ISBLANK($C201),"",IF(F201=Constants!$B$2,TRUE(),IF(F201=Constants!$B$3,FALSE(),TRUE())))</f>
        <v/>
      </c>
      <c r="AH201" s="93" t="str">
        <f aca="false">IF(ISBLANK($C201),"",IF(G201=Constants!$B$2,TRUE(),IF(G201=Constants!$B$3,FALSE(),TRUE())))</f>
        <v/>
      </c>
      <c r="AI201" s="93" t="str">
        <f aca="false">IF(ISBLANK($C201),"",IF(AND(ISNUMBER(H201),H201&gt;=0),H201,Constants!$B$24))</f>
        <v/>
      </c>
      <c r="AJ201" s="93" t="str">
        <f aca="false">IF(ISBLANK($C201),"",IF(I201=Constants!$B$2,TRUE(),IF(I201=Constants!$B$3,FALSE(),TRUE())))</f>
        <v/>
      </c>
      <c r="AK201" s="93" t="str">
        <f aca="false">IF(ISBLANK($C201),"",IF(J201=Constants!$B$2,TRUE(),IF(J201=Constants!$B$3,FALSE(),TRUE())))</f>
        <v/>
      </c>
      <c r="AL201" s="93" t="str">
        <f aca="false">IF(ISBLANK($C201),"",IF(K201=Constants!$B$4,TRUE(),IF(K201=Constants!$B$5,FALSE(),COUNTA(L201:P201)&gt;0)))</f>
        <v/>
      </c>
      <c r="AM201" s="95" t="str">
        <f aca="false">IF(ISBLANK($C201),"",IF(ISNUMBER(L201),IF(L201&gt;=0,L201,""),""))</f>
        <v/>
      </c>
      <c r="AN201" s="94" t="str">
        <f aca="false">IF(ISBLANK($C201),"",IF(ISNUMBER(M201),IF(M201&gt;=0,M201,""),""))</f>
        <v/>
      </c>
      <c r="AO201" s="94" t="str">
        <f aca="false">IF(ISBLANK($C201),"",IF(N201=Constants!$B$2,TRUE(),IF(N201=Constants!$B$3,FALSE(),TRUE())))</f>
        <v/>
      </c>
      <c r="AP201" s="93" t="str">
        <f aca="false">IF(ISBLANK($C201),"",IF(ISNUMBER(O201),IF(O201&gt;=0,O201,""),""))</f>
        <v/>
      </c>
      <c r="AQ201" s="93" t="str">
        <f aca="false">IF(ISBLANK($C201),"",IF(P201=Constants!$B$2,TRUE(),IF(P201=Constants!$B$3,FALSE(),FALSE())))</f>
        <v/>
      </c>
      <c r="AR201" s="93" t="str">
        <f aca="false">IF(ISBLANK($C201),"",IF(Q201=Constants!$B$2,TRUE(),IF(Q201=Constants!$B$3,FALSE(),TRUE())))</f>
        <v/>
      </c>
      <c r="AS201" s="93" t="str">
        <f aca="false">IF(ISBLANK($C201),"",IF(R201=Constants!$B$2,TRUE(),IF(R201=Constants!$B$3,FALSE(),TRUE())))</f>
        <v/>
      </c>
      <c r="AT201" s="93" t="str">
        <f aca="false">IF(ISBLANK($C201),"",IF(S201=Constants!$B$4,TRUE(),IF(S201=Constants!$B$5,FALSE(),COUNTA(T201:X201)&gt;0)))</f>
        <v/>
      </c>
      <c r="AU201" s="95" t="str">
        <f aca="false">IF(ISBLANK($C201),"",IF(ISNUMBER(T201),IF(T201&gt;=0,T201,""),""))</f>
        <v/>
      </c>
      <c r="AV201" s="94" t="str">
        <f aca="false">IF(ISBLANK($C201),"",IF(ISNUMBER(U201),IF(U201&gt;=0,U201,""),""))</f>
        <v/>
      </c>
      <c r="AW201" s="94" t="str">
        <f aca="false">IF(ISBLANK($C201),"",IF(V201=Constants!$B$2,TRUE(),IF(V201=Constants!$B$3,FALSE(),TRUE())))</f>
        <v/>
      </c>
      <c r="AX201" s="93" t="str">
        <f aca="false">IF(ISBLANK($C201),"",IF(ISNUMBER(W201),IF(W201&gt;=0,W201,""),""))</f>
        <v/>
      </c>
      <c r="AY201" s="93" t="str">
        <f aca="false">IF(ISBLANK($C201),"",IF(X201=Constants!$B$2,TRUE(),IF(X201=Constants!$B$3,FALSE(),FALSE())))</f>
        <v/>
      </c>
      <c r="AZ201" s="93" t="str">
        <f aca="false">IF(ISBLANK($C201),"",MIN(Constants!$B$25,MAX(0,IF(ISNUMBER(Y201),Y201*60,0)+IF(ISNUMBER(Z201),Z201,0))))</f>
        <v/>
      </c>
      <c r="BA201" s="93" t="str">
        <f aca="false">IF(ISBLANK($C201),"",IF(AA201=Constants!$B$2,TRUE(),IF(AA201=Constants!$B$3,FALSE(),FALSE())))</f>
        <v/>
      </c>
      <c r="BB201" s="92" t="str">
        <f aca="false">IF(ISBLANK($C201),"",AND($AL201,OR($AM201="",$AN201="",AND($AO201,$AP201=""))))</f>
        <v/>
      </c>
      <c r="BC201" s="94" t="str">
        <f aca="false">IF($BX201&lt;&gt;Constants!$B$6,"",IF($AL201,Constants!$B$17*$AN201+Constants!$B$18*IF($AO201,$AP201,Constants!$B$19),Constants!$B$20))</f>
        <v/>
      </c>
      <c r="BD201" s="97" t="str">
        <f aca="false">IF($BX201&lt;&gt;Constants!$B$6,"",Constants!$B$21*ABS($AD$9-IF($AL201,$AM201,0)))</f>
        <v/>
      </c>
      <c r="BE201" s="97" t="str">
        <f aca="false">IF($BX201&lt;&gt;Constants!$B$6,"",IF(AND($AL201,$AQ201,$AO201),Constants!$B$22,0))</f>
        <v/>
      </c>
      <c r="BF201" s="97" t="str">
        <f aca="false">IF($BX201&lt;&gt;Constants!$B$6,"",IF($AL201,($AI201-Constants!$B$24)*Constants!$B$23,0))</f>
        <v/>
      </c>
      <c r="BG201" s="97" t="str">
        <f aca="false">IF($BX201&lt;&gt;Constants!$B$6,"",IF($AK201,0,Constants!$B$12)+IF($AJ201,0,Constants!$B$13)+IF($AH201,0,Constants!$B$14))</f>
        <v/>
      </c>
      <c r="BH201" s="98" t="str">
        <f aca="false">IF($BX201&lt;&gt;Constants!$B$6,"",Constants!$B$16+SUM($BC201:$BG201))</f>
        <v/>
      </c>
      <c r="BI201" s="97" t="str">
        <f aca="false">IF($BX201&lt;&gt;Constants!$B$6,"",$BC201)</f>
        <v/>
      </c>
      <c r="BJ201" s="97" t="str">
        <f aca="false">IF($BX201&lt;&gt;Constants!$B$6,"",$BD201)</f>
        <v/>
      </c>
      <c r="BK201" s="99" t="str">
        <f aca="false">IF($BX201&lt;&gt;Constants!$B$6,"",IF($AL201,$AN201,""))</f>
        <v/>
      </c>
      <c r="BL201" s="93" t="str">
        <f aca="false">IF($BX201&lt;&gt;Constants!$B$6,"",IF(OR($BS201&lt;$BH201,AND($BS201=$BH201,OR($BT201&lt;$BI201,AND($BT201=$BI201,OR($BU201&lt;$BJ201,AND($BU201=$BJ201,AND(ISNUMBER($BV201),OR(NOT(ISNUMBER($BK201)),$BV201&lt;$BK201)))))))),"-&gt;","&lt;-"))</f>
        <v/>
      </c>
      <c r="BM201" s="92" t="str">
        <f aca="false">IF(ISBLANK($C201),"",AND($AT201,OR($AU201="",$AV201="",AND($AW201,$AX201=""))))</f>
        <v/>
      </c>
      <c r="BN201" s="94" t="str">
        <f aca="false">IF($BX201&lt;&gt;Constants!$B$6,"",IF($AT201,Constants!$B$17*$AV201+Constants!$B$18*IF($AW201,$AX201,Constants!$B$19),Constants!$B$20))</f>
        <v/>
      </c>
      <c r="BO201" s="97" t="str">
        <f aca="false">IF($BX201&lt;&gt;Constants!$B$6,"",Constants!$B$21*ABS($AD$9-IF($AT201,$AU201,0)))</f>
        <v/>
      </c>
      <c r="BP201" s="97" t="str">
        <f aca="false">IF($BX201&lt;&gt;Constants!$B$6,"",IF(AND($AT201,$AY201,$AW201),Constants!$B$22,0))</f>
        <v/>
      </c>
      <c r="BQ201" s="97" t="str">
        <f aca="false">IF($BX201&lt;&gt;Constants!$B$6,"",IF($AT201,($AI201-Constants!$B$24)*Constants!$B$23,0))</f>
        <v/>
      </c>
      <c r="BR201" s="97" t="str">
        <f aca="false">IF($BX201&lt;&gt;Constants!$B$6,"",IF($AS201,0,Constants!$B$12)+IF($AR201,0,Constants!$B$13)+IF($AH201,0,Constants!$B$14))</f>
        <v/>
      </c>
      <c r="BS201" s="98" t="str">
        <f aca="false">IF($BX201&lt;&gt;Constants!$B$6,"",Constants!$B$16+SUM($BN201:$BR201))</f>
        <v/>
      </c>
      <c r="BT201" s="97" t="str">
        <f aca="false">IF($BX201&lt;&gt;Constants!$B$6,"",$BN201)</f>
        <v/>
      </c>
      <c r="BU201" s="97" t="str">
        <f aca="false">IF($BX201&lt;&gt;Constants!$B$6,"",$BO201)</f>
        <v/>
      </c>
      <c r="BV201" s="99" t="str">
        <f aca="false">IF($BX201&lt;&gt;Constants!$B$6,"",IF($AT201,$AV201,""))</f>
        <v/>
      </c>
      <c r="BW201" s="93" t="str">
        <f aca="false">IF(ISBLANK($C201),"",IF(ISBLANK($D$7),$BW$5,IF(NOT(ISNUMBER($D$7)),$BW$6,"")))</f>
        <v/>
      </c>
      <c r="BX201" s="93" t="str">
        <f aca="false">IF(ISBLANK($C201),"",IF($BA201,Constants!$B$9,IF(COUNTA($E201:$AA201)=0,Constants!$B$8,IF(NOT($AG201),Constants!$B$7,IF(OR($BW201&lt;&gt;"",$BB201,$BM201),Constants!$B$10,Constants!$B$6)))))</f>
        <v/>
      </c>
      <c r="BY201" s="93" t="str">
        <f aca="false">IF(ISBLANK($C201),"",IF($BX201&lt;&gt;Constants!$B$6,$BX201,Constants!$B$11))</f>
        <v/>
      </c>
      <c r="BZ201" s="97" t="str">
        <f aca="false">IF($BX201&lt;&gt;Constants!$B$6,"",IF($BL201="-&gt;",$BS201,$BH201))</f>
        <v/>
      </c>
      <c r="CA201" s="97" t="str">
        <f aca="false">IF($BX201&lt;&gt;Constants!$B$6,"",IF($AF201,0,Constants!$B$15))</f>
        <v/>
      </c>
      <c r="CB201" s="97" t="str">
        <f aca="false">IF($BX201&lt;&gt;Constants!$B$6,"",((Constants!$B$25-$AZ201)-Constants!$B$25)/Constants!$B$26)</f>
        <v/>
      </c>
      <c r="CC201" s="97" t="str">
        <f aca="false">IF(ISBLANK($C201),"",IF($BX201&lt;&gt;Constants!$B$6,$BX201,SUM($BZ201:$CB201)))</f>
        <v/>
      </c>
      <c r="CD201" s="93" t="str">
        <f aca="false">IF(ISBLANK($C201),"",IF($BX201&lt;&gt;Constants!$B$6,$BX201,RANK($CC201,$CC$9:$CC$508,1)))</f>
        <v/>
      </c>
      <c r="CE201" s="97" t="str">
        <f aca="false">IF($BX201&lt;&gt;Constants!$B$6,"",IF($BL201="-&gt;",$BT201,$BI201))</f>
        <v/>
      </c>
      <c r="CF201" s="93" t="str">
        <f aca="false">IF(ISBLANK($C201),"",IF($BX201&lt;&gt;Constants!$B$6,$BX201,IF(ISNUMBER($CE201),RANK($CE201,$CE$9:$CE$508,1),COUNT($CE$9:$CE$508)+1)))</f>
        <v/>
      </c>
      <c r="CG201" s="97" t="str">
        <f aca="false">IF($BX201&lt;&gt;Constants!$B$6,"",IF($BL201="-&gt;",$BU201,$BJ201))</f>
        <v/>
      </c>
      <c r="CH201" s="93" t="str">
        <f aca="false">IF(ISBLANK($C201),"",IF($BX201&lt;&gt;Constants!$B$6,$BX201,IF(ISNUMBER($CG201),RANK($CG201,$CG$9:$CG$508,1),COUNT($CG$9:$CG$508)+1)))</f>
        <v/>
      </c>
      <c r="CI201" s="97" t="str">
        <f aca="false">IF($BX201&lt;&gt;Constants!$B$6,"",IF($BL201="-&gt;",$BV201,$BK201))</f>
        <v/>
      </c>
      <c r="CJ201" s="93" t="str">
        <f aca="false">IF(ISBLANK($C201),"",IF($BX201&lt;&gt;Constants!$B$6,$BX201,IF(ISNUMBER($CI201),RANK($CI201,$CI$9:$CI$508,1),COUNT($CI$9:$CI$508)+1)))</f>
        <v/>
      </c>
      <c r="CK201" s="97" t="str">
        <f aca="false">IF($BX201&lt;&gt;Constants!$B$6,"",$AI201)</f>
        <v/>
      </c>
      <c r="CL201" s="93" t="str">
        <f aca="false">IF(ISBLANK($C201),"",IF($BX201&lt;&gt;Constants!$B$6,$BX201,IF(ISNUMBER($CK201),RANK($CK201,$CK$9:$CK$508,1),COUNT($CK$9:$CK$508)+1)))</f>
        <v/>
      </c>
      <c r="CM201" s="93" t="str">
        <f aca="false">IF(ISBLANK($C201),"",IF($BX201&lt;&gt;Constants!$B$6,$BX201,COUNTIFS($CD$9:$CD$508,"&lt;"&amp;$CD201)+COUNTIFS($CD$9:$CD$508,$CD201,$CF$9:$CF$508,"&lt;"&amp;$CF201)+COUNTIFS($CD$9:$CD$508,$CD201,$CF$9:$CF$508,$CF201,$CH$9:$CH$508,"&lt;"&amp;$CH201)+COUNTIFS($CD$9:$CD$508,$CD201,$CF$9:$CF$508,$CF201,$CH$9:$CH$508,$CH201,$CJ$9:$CJ$508,"&lt;"&amp;$CJ201)+COUNTIFS($CD$9:$CD$508,$CD201,$CF$9:$CF$508,$CF201,$CH$9:$CH$508,$CH201,$CJ$9:$CJ$508,$CJ201,$CL$9:$CL$508,"&lt;"&amp;$CL201)+1))</f>
        <v/>
      </c>
      <c r="CN201" s="93" t="str">
        <f aca="false">IF(ISBLANK($C201),"",IF($BX201&lt;&gt;Constants!$B$6,$BX201,$CD201-$CM201))</f>
        <v/>
      </c>
      <c r="CO201" s="100"/>
      <c r="CP201" s="101"/>
      <c r="CQ201" s="102" t="str">
        <f aca="false">IF(ISBLANK($C201),"",IF($BX201=Constants!$B$10,$BW201,""))</f>
        <v/>
      </c>
      <c r="CR201" s="101" t="str">
        <f aca="false">IF(ISBLANK($C201),"",IF($BX201&lt;&gt;Constants!$B$6,"",IF($BL201="-&gt;",2,1)))</f>
        <v/>
      </c>
      <c r="CS201" s="103" t="str">
        <f aca="false">IF(ISBLANK($C201),"",IF($BX201&lt;&gt;Constants!$B$6,"",IF($BL201="-&gt;",$BN201,$BC201)))</f>
        <v/>
      </c>
      <c r="CT201" s="103" t="str">
        <f aca="false">IF(ISBLANK($C201),"",IF($BX201&lt;&gt;Constants!$B$6,"",IF($BL201="-&gt;",$BO201,$BD201)))</f>
        <v/>
      </c>
      <c r="CU201" s="103" t="str">
        <f aca="false">IF(ISBLANK($C201),"",IF($BX201&lt;&gt;Constants!$B$6,"",IF($BL201="-&gt;",$BP201+$BQ201,$BE201+$BF201)+$CB201))</f>
        <v/>
      </c>
      <c r="CV201" s="103" t="str">
        <f aca="false">IF(ISBLANK($C201),"",IF($BX201&lt;&gt;Constants!$B$6,"",IF($BL201="-&gt;",$BR201,$BG201)+$CA201))</f>
        <v/>
      </c>
      <c r="CW201" s="104" t="str">
        <f aca="false">IF(ISBLANK($C201),"",IF($BX201&lt;&gt;Constants!$B$6,$BX201,$CC201))</f>
        <v/>
      </c>
      <c r="CX201" s="105" t="str">
        <f aca="false">IF(ISBLANK($C201),"",$BY201)</f>
        <v/>
      </c>
      <c r="CY201" s="106" t="str">
        <f aca="false">IF(ISBLANK($C201),"",$CN201)</f>
        <v/>
      </c>
      <c r="CZ201" s="106" t="str">
        <f aca="false">IF(ISBLANK($C201),"",$CM201)</f>
        <v/>
      </c>
      <c r="DA201" s="107" t="str">
        <f aca="false">IF(ISBLANK($C201),"",IFERROR(_xlfn.SWITCH($CZ201,Constants!$B$9,COUNTA($C$9:$C$508)+2,Constants!$B$8,COUNTA($C$9:$C$508)+1,Constants!$B$7,COUNTA($C$9:$C$508)),$CZ201))</f>
        <v/>
      </c>
      <c r="DB201" s="9"/>
      <c r="DC201" s="108" t="n">
        <f aca="false">IF(OR(ISNUMBER($CZ201),$CZ201=Constants!$B$9,$CZ201=Constants!$B$7,$CZ201=Constants!$B$8),1,0)</f>
        <v>0</v>
      </c>
      <c r="DD201" s="108" t="n">
        <v>193</v>
      </c>
      <c r="DE201" s="108" t="str">
        <f aca="false">IF(ISBLANK($C201),"",IF(ISNUMBER($DA201),$DA201+ROW($B201)/1000,""))</f>
        <v/>
      </c>
      <c r="DF201" s="108" t="str">
        <f aca="false">IF(ISNUMBER($DE201),RANK($DE201,$DE$9:$DE$508,1),"")</f>
        <v/>
      </c>
      <c r="DG201" s="108" t="str">
        <f aca="false">IF(ISBLANK($C201),"",$B201)</f>
        <v/>
      </c>
      <c r="DH201" s="108" t="str">
        <f aca="false">IF(ISBLANK($C201),"",$C201)</f>
        <v/>
      </c>
      <c r="DI201" s="108" t="str">
        <f aca="false">IF(ISBLANK($C201),"",$D201)</f>
        <v/>
      </c>
      <c r="DJ201" s="109" t="str">
        <f aca="false">$CX201</f>
        <v/>
      </c>
      <c r="DK201" s="110" t="str">
        <f aca="false">$CW201</f>
        <v/>
      </c>
      <c r="DL201" s="108" t="str">
        <f aca="false">IF(ISBLANK($C201),"",$CZ201)</f>
        <v/>
      </c>
      <c r="DM201" s="111" t="str">
        <f aca="false">IF($DD201&gt;$DC$8,"",VLOOKUP($DD201,$DF$9:$DL$508,7,FALSE()))</f>
        <v/>
      </c>
      <c r="DN201" s="112" t="str">
        <f aca="false">IF($DD201&gt;$DC$8,"",VLOOKUP($DD201,$DF$9:$DL$508,2,FALSE()))</f>
        <v/>
      </c>
      <c r="DO201" s="112" t="str">
        <f aca="false">IF($DD201&gt;$DC$8,"",VLOOKUP($DD201,$DF$9:$DL$508,3,FALSE()))</f>
        <v/>
      </c>
      <c r="DP201" s="112" t="str">
        <f aca="false">IF($DD201&gt;$DC$8,"",VLOOKUP($DD201,$DF$9:$DL$508,4,FALSE()))</f>
        <v/>
      </c>
      <c r="DQ201" s="112" t="str">
        <f aca="false">IF($DD201&gt;$DC$8,"",VLOOKUP($DD201,$DF$9:$DL$508,5,FALSE()))</f>
        <v/>
      </c>
      <c r="DR201" s="113" t="str">
        <f aca="false">IF($DD201&gt;$DC$8,"",VLOOKUP($DD201,$DF$9:$DL$508,6,FALSE()))</f>
        <v/>
      </c>
      <c r="DS201" s="76"/>
    </row>
    <row r="202" customFormat="false" ht="15.75" hidden="false" customHeight="false" outlineLevel="0" collapsed="false">
      <c r="A202" s="9"/>
      <c r="B202" s="78"/>
      <c r="C202" s="79"/>
      <c r="D202" s="170"/>
      <c r="E202" s="178"/>
      <c r="F202" s="172"/>
      <c r="G202" s="173"/>
      <c r="H202" s="173"/>
      <c r="I202" s="179"/>
      <c r="J202" s="176"/>
      <c r="K202" s="86"/>
      <c r="L202" s="87"/>
      <c r="M202" s="88"/>
      <c r="N202" s="176"/>
      <c r="O202" s="176"/>
      <c r="P202" s="178"/>
      <c r="Q202" s="176"/>
      <c r="R202" s="176"/>
      <c r="S202" s="86"/>
      <c r="T202" s="88"/>
      <c r="U202" s="88"/>
      <c r="V202" s="176"/>
      <c r="W202" s="176"/>
      <c r="X202" s="178"/>
      <c r="Y202" s="176"/>
      <c r="Z202" s="177"/>
      <c r="AA202" s="176"/>
      <c r="AB202" s="92"/>
      <c r="AC202" s="93"/>
      <c r="AD202" s="93"/>
      <c r="AE202" s="93"/>
      <c r="AF202" s="93" t="str">
        <f aca="false">IF(ISBLANK($C202),"",IF(E202=Constants!$B$2,TRUE(),IF(E202=Constants!$B$3,FALSE(),TRUE())))</f>
        <v/>
      </c>
      <c r="AG202" s="93" t="str">
        <f aca="false">IF(ISBLANK($C202),"",IF(F202=Constants!$B$2,TRUE(),IF(F202=Constants!$B$3,FALSE(),TRUE())))</f>
        <v/>
      </c>
      <c r="AH202" s="93" t="str">
        <f aca="false">IF(ISBLANK($C202),"",IF(G202=Constants!$B$2,TRUE(),IF(G202=Constants!$B$3,FALSE(),TRUE())))</f>
        <v/>
      </c>
      <c r="AI202" s="93" t="str">
        <f aca="false">IF(ISBLANK($C202),"",IF(AND(ISNUMBER(H202),H202&gt;=0),H202,Constants!$B$24))</f>
        <v/>
      </c>
      <c r="AJ202" s="93" t="str">
        <f aca="false">IF(ISBLANK($C202),"",IF(I202=Constants!$B$2,TRUE(),IF(I202=Constants!$B$3,FALSE(),TRUE())))</f>
        <v/>
      </c>
      <c r="AK202" s="93" t="str">
        <f aca="false">IF(ISBLANK($C202),"",IF(J202=Constants!$B$2,TRUE(),IF(J202=Constants!$B$3,FALSE(),TRUE())))</f>
        <v/>
      </c>
      <c r="AL202" s="93" t="str">
        <f aca="false">IF(ISBLANK($C202),"",IF(K202=Constants!$B$4,TRUE(),IF(K202=Constants!$B$5,FALSE(),COUNTA(L202:P202)&gt;0)))</f>
        <v/>
      </c>
      <c r="AM202" s="95" t="str">
        <f aca="false">IF(ISBLANK($C202),"",IF(ISNUMBER(L202),IF(L202&gt;=0,L202,""),""))</f>
        <v/>
      </c>
      <c r="AN202" s="94" t="str">
        <f aca="false">IF(ISBLANK($C202),"",IF(ISNUMBER(M202),IF(M202&gt;=0,M202,""),""))</f>
        <v/>
      </c>
      <c r="AO202" s="94" t="str">
        <f aca="false">IF(ISBLANK($C202),"",IF(N202=Constants!$B$2,TRUE(),IF(N202=Constants!$B$3,FALSE(),TRUE())))</f>
        <v/>
      </c>
      <c r="AP202" s="93" t="str">
        <f aca="false">IF(ISBLANK($C202),"",IF(ISNUMBER(O202),IF(O202&gt;=0,O202,""),""))</f>
        <v/>
      </c>
      <c r="AQ202" s="93" t="str">
        <f aca="false">IF(ISBLANK($C202),"",IF(P202=Constants!$B$2,TRUE(),IF(P202=Constants!$B$3,FALSE(),FALSE())))</f>
        <v/>
      </c>
      <c r="AR202" s="93" t="str">
        <f aca="false">IF(ISBLANK($C202),"",IF(Q202=Constants!$B$2,TRUE(),IF(Q202=Constants!$B$3,FALSE(),TRUE())))</f>
        <v/>
      </c>
      <c r="AS202" s="93" t="str">
        <f aca="false">IF(ISBLANK($C202),"",IF(R202=Constants!$B$2,TRUE(),IF(R202=Constants!$B$3,FALSE(),TRUE())))</f>
        <v/>
      </c>
      <c r="AT202" s="93" t="str">
        <f aca="false">IF(ISBLANK($C202),"",IF(S202=Constants!$B$4,TRUE(),IF(S202=Constants!$B$5,FALSE(),COUNTA(T202:X202)&gt;0)))</f>
        <v/>
      </c>
      <c r="AU202" s="95" t="str">
        <f aca="false">IF(ISBLANK($C202),"",IF(ISNUMBER(T202),IF(T202&gt;=0,T202,""),""))</f>
        <v/>
      </c>
      <c r="AV202" s="94" t="str">
        <f aca="false">IF(ISBLANK($C202),"",IF(ISNUMBER(U202),IF(U202&gt;=0,U202,""),""))</f>
        <v/>
      </c>
      <c r="AW202" s="94" t="str">
        <f aca="false">IF(ISBLANK($C202),"",IF(V202=Constants!$B$2,TRUE(),IF(V202=Constants!$B$3,FALSE(),TRUE())))</f>
        <v/>
      </c>
      <c r="AX202" s="93" t="str">
        <f aca="false">IF(ISBLANK($C202),"",IF(ISNUMBER(W202),IF(W202&gt;=0,W202,""),""))</f>
        <v/>
      </c>
      <c r="AY202" s="93" t="str">
        <f aca="false">IF(ISBLANK($C202),"",IF(X202=Constants!$B$2,TRUE(),IF(X202=Constants!$B$3,FALSE(),FALSE())))</f>
        <v/>
      </c>
      <c r="AZ202" s="93" t="str">
        <f aca="false">IF(ISBLANK($C202),"",MIN(Constants!$B$25,MAX(0,IF(ISNUMBER(Y202),Y202*60,0)+IF(ISNUMBER(Z202),Z202,0))))</f>
        <v/>
      </c>
      <c r="BA202" s="93" t="str">
        <f aca="false">IF(ISBLANK($C202),"",IF(AA202=Constants!$B$2,TRUE(),IF(AA202=Constants!$B$3,FALSE(),FALSE())))</f>
        <v/>
      </c>
      <c r="BB202" s="92" t="str">
        <f aca="false">IF(ISBLANK($C202),"",AND($AL202,OR($AM202="",$AN202="",AND($AO202,$AP202=""))))</f>
        <v/>
      </c>
      <c r="BC202" s="94" t="str">
        <f aca="false">IF($BX202&lt;&gt;Constants!$B$6,"",IF($AL202,Constants!$B$17*$AN202+Constants!$B$18*IF($AO202,$AP202,Constants!$B$19),Constants!$B$20))</f>
        <v/>
      </c>
      <c r="BD202" s="97" t="str">
        <f aca="false">IF($BX202&lt;&gt;Constants!$B$6,"",Constants!$B$21*ABS($AD$9-IF($AL202,$AM202,0)))</f>
        <v/>
      </c>
      <c r="BE202" s="97" t="str">
        <f aca="false">IF($BX202&lt;&gt;Constants!$B$6,"",IF(AND($AL202,$AQ202,$AO202),Constants!$B$22,0))</f>
        <v/>
      </c>
      <c r="BF202" s="97" t="str">
        <f aca="false">IF($BX202&lt;&gt;Constants!$B$6,"",IF($AL202,($AI202-Constants!$B$24)*Constants!$B$23,0))</f>
        <v/>
      </c>
      <c r="BG202" s="97" t="str">
        <f aca="false">IF($BX202&lt;&gt;Constants!$B$6,"",IF($AK202,0,Constants!$B$12)+IF($AJ202,0,Constants!$B$13)+IF($AH202,0,Constants!$B$14))</f>
        <v/>
      </c>
      <c r="BH202" s="98" t="str">
        <f aca="false">IF($BX202&lt;&gt;Constants!$B$6,"",Constants!$B$16+SUM($BC202:$BG202))</f>
        <v/>
      </c>
      <c r="BI202" s="97" t="str">
        <f aca="false">IF($BX202&lt;&gt;Constants!$B$6,"",$BC202)</f>
        <v/>
      </c>
      <c r="BJ202" s="97" t="str">
        <f aca="false">IF($BX202&lt;&gt;Constants!$B$6,"",$BD202)</f>
        <v/>
      </c>
      <c r="BK202" s="99" t="str">
        <f aca="false">IF($BX202&lt;&gt;Constants!$B$6,"",IF($AL202,$AN202,""))</f>
        <v/>
      </c>
      <c r="BL202" s="93" t="str">
        <f aca="false">IF($BX202&lt;&gt;Constants!$B$6,"",IF(OR($BS202&lt;$BH202,AND($BS202=$BH202,OR($BT202&lt;$BI202,AND($BT202=$BI202,OR($BU202&lt;$BJ202,AND($BU202=$BJ202,AND(ISNUMBER($BV202),OR(NOT(ISNUMBER($BK202)),$BV202&lt;$BK202)))))))),"-&gt;","&lt;-"))</f>
        <v/>
      </c>
      <c r="BM202" s="92" t="str">
        <f aca="false">IF(ISBLANK($C202),"",AND($AT202,OR($AU202="",$AV202="",AND($AW202,$AX202=""))))</f>
        <v/>
      </c>
      <c r="BN202" s="94" t="str">
        <f aca="false">IF($BX202&lt;&gt;Constants!$B$6,"",IF($AT202,Constants!$B$17*$AV202+Constants!$B$18*IF($AW202,$AX202,Constants!$B$19),Constants!$B$20))</f>
        <v/>
      </c>
      <c r="BO202" s="97" t="str">
        <f aca="false">IF($BX202&lt;&gt;Constants!$B$6,"",Constants!$B$21*ABS($AD$9-IF($AT202,$AU202,0)))</f>
        <v/>
      </c>
      <c r="BP202" s="97" t="str">
        <f aca="false">IF($BX202&lt;&gt;Constants!$B$6,"",IF(AND($AT202,$AY202,$AW202),Constants!$B$22,0))</f>
        <v/>
      </c>
      <c r="BQ202" s="97" t="str">
        <f aca="false">IF($BX202&lt;&gt;Constants!$B$6,"",IF($AT202,($AI202-Constants!$B$24)*Constants!$B$23,0))</f>
        <v/>
      </c>
      <c r="BR202" s="97" t="str">
        <f aca="false">IF($BX202&lt;&gt;Constants!$B$6,"",IF($AS202,0,Constants!$B$12)+IF($AR202,0,Constants!$B$13)+IF($AH202,0,Constants!$B$14))</f>
        <v/>
      </c>
      <c r="BS202" s="98" t="str">
        <f aca="false">IF($BX202&lt;&gt;Constants!$B$6,"",Constants!$B$16+SUM($BN202:$BR202))</f>
        <v/>
      </c>
      <c r="BT202" s="97" t="str">
        <f aca="false">IF($BX202&lt;&gt;Constants!$B$6,"",$BN202)</f>
        <v/>
      </c>
      <c r="BU202" s="97" t="str">
        <f aca="false">IF($BX202&lt;&gt;Constants!$B$6,"",$BO202)</f>
        <v/>
      </c>
      <c r="BV202" s="99" t="str">
        <f aca="false">IF($BX202&lt;&gt;Constants!$B$6,"",IF($AT202,$AV202,""))</f>
        <v/>
      </c>
      <c r="BW202" s="93" t="str">
        <f aca="false">IF(ISBLANK($C202),"",IF(ISBLANK($D$7),$BW$5,IF(NOT(ISNUMBER($D$7)),$BW$6,"")))</f>
        <v/>
      </c>
      <c r="BX202" s="93" t="str">
        <f aca="false">IF(ISBLANK($C202),"",IF($BA202,Constants!$B$9,IF(COUNTA($E202:$AA202)=0,Constants!$B$8,IF(NOT($AG202),Constants!$B$7,IF(OR($BW202&lt;&gt;"",$BB202,$BM202),Constants!$B$10,Constants!$B$6)))))</f>
        <v/>
      </c>
      <c r="BY202" s="93" t="str">
        <f aca="false">IF(ISBLANK($C202),"",IF($BX202&lt;&gt;Constants!$B$6,$BX202,Constants!$B$11))</f>
        <v/>
      </c>
      <c r="BZ202" s="97" t="str">
        <f aca="false">IF($BX202&lt;&gt;Constants!$B$6,"",IF($BL202="-&gt;",$BS202,$BH202))</f>
        <v/>
      </c>
      <c r="CA202" s="97" t="str">
        <f aca="false">IF($BX202&lt;&gt;Constants!$B$6,"",IF($AF202,0,Constants!$B$15))</f>
        <v/>
      </c>
      <c r="CB202" s="97" t="str">
        <f aca="false">IF($BX202&lt;&gt;Constants!$B$6,"",((Constants!$B$25-$AZ202)-Constants!$B$25)/Constants!$B$26)</f>
        <v/>
      </c>
      <c r="CC202" s="97" t="str">
        <f aca="false">IF(ISBLANK($C202),"",IF($BX202&lt;&gt;Constants!$B$6,$BX202,SUM($BZ202:$CB202)))</f>
        <v/>
      </c>
      <c r="CD202" s="93" t="str">
        <f aca="false">IF(ISBLANK($C202),"",IF($BX202&lt;&gt;Constants!$B$6,$BX202,RANK($CC202,$CC$9:$CC$508,1)))</f>
        <v/>
      </c>
      <c r="CE202" s="97" t="str">
        <f aca="false">IF($BX202&lt;&gt;Constants!$B$6,"",IF($BL202="-&gt;",$BT202,$BI202))</f>
        <v/>
      </c>
      <c r="CF202" s="93" t="str">
        <f aca="false">IF(ISBLANK($C202),"",IF($BX202&lt;&gt;Constants!$B$6,$BX202,IF(ISNUMBER($CE202),RANK($CE202,$CE$9:$CE$508,1),COUNT($CE$9:$CE$508)+1)))</f>
        <v/>
      </c>
      <c r="CG202" s="97" t="str">
        <f aca="false">IF($BX202&lt;&gt;Constants!$B$6,"",IF($BL202="-&gt;",$BU202,$BJ202))</f>
        <v/>
      </c>
      <c r="CH202" s="93" t="str">
        <f aca="false">IF(ISBLANK($C202),"",IF($BX202&lt;&gt;Constants!$B$6,$BX202,IF(ISNUMBER($CG202),RANK($CG202,$CG$9:$CG$508,1),COUNT($CG$9:$CG$508)+1)))</f>
        <v/>
      </c>
      <c r="CI202" s="97" t="str">
        <f aca="false">IF($BX202&lt;&gt;Constants!$B$6,"",IF($BL202="-&gt;",$BV202,$BK202))</f>
        <v/>
      </c>
      <c r="CJ202" s="93" t="str">
        <f aca="false">IF(ISBLANK($C202),"",IF($BX202&lt;&gt;Constants!$B$6,$BX202,IF(ISNUMBER($CI202),RANK($CI202,$CI$9:$CI$508,1),COUNT($CI$9:$CI$508)+1)))</f>
        <v/>
      </c>
      <c r="CK202" s="97" t="str">
        <f aca="false">IF($BX202&lt;&gt;Constants!$B$6,"",$AI202)</f>
        <v/>
      </c>
      <c r="CL202" s="93" t="str">
        <f aca="false">IF(ISBLANK($C202),"",IF($BX202&lt;&gt;Constants!$B$6,$BX202,IF(ISNUMBER($CK202),RANK($CK202,$CK$9:$CK$508,1),COUNT($CK$9:$CK$508)+1)))</f>
        <v/>
      </c>
      <c r="CM202" s="93" t="str">
        <f aca="false">IF(ISBLANK($C202),"",IF($BX202&lt;&gt;Constants!$B$6,$BX202,COUNTIFS($CD$9:$CD$508,"&lt;"&amp;$CD202)+COUNTIFS($CD$9:$CD$508,$CD202,$CF$9:$CF$508,"&lt;"&amp;$CF202)+COUNTIFS($CD$9:$CD$508,$CD202,$CF$9:$CF$508,$CF202,$CH$9:$CH$508,"&lt;"&amp;$CH202)+COUNTIFS($CD$9:$CD$508,$CD202,$CF$9:$CF$508,$CF202,$CH$9:$CH$508,$CH202,$CJ$9:$CJ$508,"&lt;"&amp;$CJ202)+COUNTIFS($CD$9:$CD$508,$CD202,$CF$9:$CF$508,$CF202,$CH$9:$CH$508,$CH202,$CJ$9:$CJ$508,$CJ202,$CL$9:$CL$508,"&lt;"&amp;$CL202)+1))</f>
        <v/>
      </c>
      <c r="CN202" s="93" t="str">
        <f aca="false">IF(ISBLANK($C202),"",IF($BX202&lt;&gt;Constants!$B$6,$BX202,$CD202-$CM202))</f>
        <v/>
      </c>
      <c r="CO202" s="100"/>
      <c r="CP202" s="101"/>
      <c r="CQ202" s="102" t="str">
        <f aca="false">IF(ISBLANK($C202),"",IF($BX202=Constants!$B$10,$BW202,""))</f>
        <v/>
      </c>
      <c r="CR202" s="101" t="str">
        <f aca="false">IF(ISBLANK($C202),"",IF($BX202&lt;&gt;Constants!$B$6,"",IF($BL202="-&gt;",2,1)))</f>
        <v/>
      </c>
      <c r="CS202" s="103" t="str">
        <f aca="false">IF(ISBLANK($C202),"",IF($BX202&lt;&gt;Constants!$B$6,"",IF($BL202="-&gt;",$BN202,$BC202)))</f>
        <v/>
      </c>
      <c r="CT202" s="103" t="str">
        <f aca="false">IF(ISBLANK($C202),"",IF($BX202&lt;&gt;Constants!$B$6,"",IF($BL202="-&gt;",$BO202,$BD202)))</f>
        <v/>
      </c>
      <c r="CU202" s="103" t="str">
        <f aca="false">IF(ISBLANK($C202),"",IF($BX202&lt;&gt;Constants!$B$6,"",IF($BL202="-&gt;",$BP202+$BQ202,$BE202+$BF202)+$CB202))</f>
        <v/>
      </c>
      <c r="CV202" s="103" t="str">
        <f aca="false">IF(ISBLANK($C202),"",IF($BX202&lt;&gt;Constants!$B$6,"",IF($BL202="-&gt;",$BR202,$BG202)+$CA202))</f>
        <v/>
      </c>
      <c r="CW202" s="104" t="str">
        <f aca="false">IF(ISBLANK($C202),"",IF($BX202&lt;&gt;Constants!$B$6,$BX202,$CC202))</f>
        <v/>
      </c>
      <c r="CX202" s="105" t="str">
        <f aca="false">IF(ISBLANK($C202),"",$BY202)</f>
        <v/>
      </c>
      <c r="CY202" s="106" t="str">
        <f aca="false">IF(ISBLANK($C202),"",$CN202)</f>
        <v/>
      </c>
      <c r="CZ202" s="106" t="str">
        <f aca="false">IF(ISBLANK($C202),"",$CM202)</f>
        <v/>
      </c>
      <c r="DA202" s="107" t="str">
        <f aca="false">IF(ISBLANK($C202),"",IFERROR(_xlfn.SWITCH($CZ202,Constants!$B$9,COUNTA($C$9:$C$508)+2,Constants!$B$8,COUNTA($C$9:$C$508)+1,Constants!$B$7,COUNTA($C$9:$C$508)),$CZ202))</f>
        <v/>
      </c>
      <c r="DB202" s="9"/>
      <c r="DC202" s="108" t="n">
        <f aca="false">IF(OR(ISNUMBER($CZ202),$CZ202=Constants!$B$9,$CZ202=Constants!$B$7,$CZ202=Constants!$B$8),1,0)</f>
        <v>0</v>
      </c>
      <c r="DD202" s="108" t="n">
        <v>194</v>
      </c>
      <c r="DE202" s="108" t="str">
        <f aca="false">IF(ISBLANK($C202),"",IF(ISNUMBER($DA202),$DA202+ROW($B202)/1000,""))</f>
        <v/>
      </c>
      <c r="DF202" s="108" t="str">
        <f aca="false">IF(ISNUMBER($DE202),RANK($DE202,$DE$9:$DE$508,1),"")</f>
        <v/>
      </c>
      <c r="DG202" s="108" t="str">
        <f aca="false">IF(ISBLANK($C202),"",$B202)</f>
        <v/>
      </c>
      <c r="DH202" s="108" t="str">
        <f aca="false">IF(ISBLANK($C202),"",$C202)</f>
        <v/>
      </c>
      <c r="DI202" s="108" t="str">
        <f aca="false">IF(ISBLANK($C202),"",$D202)</f>
        <v/>
      </c>
      <c r="DJ202" s="109" t="str">
        <f aca="false">$CX202</f>
        <v/>
      </c>
      <c r="DK202" s="110" t="str">
        <f aca="false">$CW202</f>
        <v/>
      </c>
      <c r="DL202" s="108" t="str">
        <f aca="false">IF(ISBLANK($C202),"",$CZ202)</f>
        <v/>
      </c>
      <c r="DM202" s="111" t="str">
        <f aca="false">IF($DD202&gt;$DC$8,"",VLOOKUP($DD202,$DF$9:$DL$508,7,FALSE()))</f>
        <v/>
      </c>
      <c r="DN202" s="112" t="str">
        <f aca="false">IF($DD202&gt;$DC$8,"",VLOOKUP($DD202,$DF$9:$DL$508,2,FALSE()))</f>
        <v/>
      </c>
      <c r="DO202" s="112" t="str">
        <f aca="false">IF($DD202&gt;$DC$8,"",VLOOKUP($DD202,$DF$9:$DL$508,3,FALSE()))</f>
        <v/>
      </c>
      <c r="DP202" s="112" t="str">
        <f aca="false">IF($DD202&gt;$DC$8,"",VLOOKUP($DD202,$DF$9:$DL$508,4,FALSE()))</f>
        <v/>
      </c>
      <c r="DQ202" s="112" t="str">
        <f aca="false">IF($DD202&gt;$DC$8,"",VLOOKUP($DD202,$DF$9:$DL$508,5,FALSE()))</f>
        <v/>
      </c>
      <c r="DR202" s="113" t="str">
        <f aca="false">IF($DD202&gt;$DC$8,"",VLOOKUP($DD202,$DF$9:$DL$508,6,FALSE()))</f>
        <v/>
      </c>
      <c r="DS202" s="76"/>
    </row>
    <row r="203" customFormat="false" ht="15.75" hidden="false" customHeight="false" outlineLevel="0" collapsed="false">
      <c r="A203" s="9"/>
      <c r="B203" s="78"/>
      <c r="C203" s="79"/>
      <c r="D203" s="170"/>
      <c r="E203" s="178"/>
      <c r="F203" s="172"/>
      <c r="G203" s="173"/>
      <c r="H203" s="173"/>
      <c r="I203" s="179"/>
      <c r="J203" s="176"/>
      <c r="K203" s="86"/>
      <c r="L203" s="87"/>
      <c r="M203" s="88"/>
      <c r="N203" s="176"/>
      <c r="O203" s="176"/>
      <c r="P203" s="178"/>
      <c r="Q203" s="176"/>
      <c r="R203" s="176"/>
      <c r="S203" s="86"/>
      <c r="T203" s="88"/>
      <c r="U203" s="88"/>
      <c r="V203" s="176"/>
      <c r="W203" s="176"/>
      <c r="X203" s="178"/>
      <c r="Y203" s="176"/>
      <c r="Z203" s="177"/>
      <c r="AA203" s="176"/>
      <c r="AB203" s="92"/>
      <c r="AC203" s="93"/>
      <c r="AD203" s="93"/>
      <c r="AE203" s="93"/>
      <c r="AF203" s="93" t="str">
        <f aca="false">IF(ISBLANK($C203),"",IF(E203=Constants!$B$2,TRUE(),IF(E203=Constants!$B$3,FALSE(),TRUE())))</f>
        <v/>
      </c>
      <c r="AG203" s="93" t="str">
        <f aca="false">IF(ISBLANK($C203),"",IF(F203=Constants!$B$2,TRUE(),IF(F203=Constants!$B$3,FALSE(),TRUE())))</f>
        <v/>
      </c>
      <c r="AH203" s="93" t="str">
        <f aca="false">IF(ISBLANK($C203),"",IF(G203=Constants!$B$2,TRUE(),IF(G203=Constants!$B$3,FALSE(),TRUE())))</f>
        <v/>
      </c>
      <c r="AI203" s="93" t="str">
        <f aca="false">IF(ISBLANK($C203),"",IF(AND(ISNUMBER(H203),H203&gt;=0),H203,Constants!$B$24))</f>
        <v/>
      </c>
      <c r="AJ203" s="93" t="str">
        <f aca="false">IF(ISBLANK($C203),"",IF(I203=Constants!$B$2,TRUE(),IF(I203=Constants!$B$3,FALSE(),TRUE())))</f>
        <v/>
      </c>
      <c r="AK203" s="93" t="str">
        <f aca="false">IF(ISBLANK($C203),"",IF(J203=Constants!$B$2,TRUE(),IF(J203=Constants!$B$3,FALSE(),TRUE())))</f>
        <v/>
      </c>
      <c r="AL203" s="93" t="str">
        <f aca="false">IF(ISBLANK($C203),"",IF(K203=Constants!$B$4,TRUE(),IF(K203=Constants!$B$5,FALSE(),COUNTA(L203:P203)&gt;0)))</f>
        <v/>
      </c>
      <c r="AM203" s="95" t="str">
        <f aca="false">IF(ISBLANK($C203),"",IF(ISNUMBER(L203),IF(L203&gt;=0,L203,""),""))</f>
        <v/>
      </c>
      <c r="AN203" s="94" t="str">
        <f aca="false">IF(ISBLANK($C203),"",IF(ISNUMBER(M203),IF(M203&gt;=0,M203,""),""))</f>
        <v/>
      </c>
      <c r="AO203" s="94" t="str">
        <f aca="false">IF(ISBLANK($C203),"",IF(N203=Constants!$B$2,TRUE(),IF(N203=Constants!$B$3,FALSE(),TRUE())))</f>
        <v/>
      </c>
      <c r="AP203" s="93" t="str">
        <f aca="false">IF(ISBLANK($C203),"",IF(ISNUMBER(O203),IF(O203&gt;=0,O203,""),""))</f>
        <v/>
      </c>
      <c r="AQ203" s="93" t="str">
        <f aca="false">IF(ISBLANK($C203),"",IF(P203=Constants!$B$2,TRUE(),IF(P203=Constants!$B$3,FALSE(),FALSE())))</f>
        <v/>
      </c>
      <c r="AR203" s="93" t="str">
        <f aca="false">IF(ISBLANK($C203),"",IF(Q203=Constants!$B$2,TRUE(),IF(Q203=Constants!$B$3,FALSE(),TRUE())))</f>
        <v/>
      </c>
      <c r="AS203" s="93" t="str">
        <f aca="false">IF(ISBLANK($C203),"",IF(R203=Constants!$B$2,TRUE(),IF(R203=Constants!$B$3,FALSE(),TRUE())))</f>
        <v/>
      </c>
      <c r="AT203" s="93" t="str">
        <f aca="false">IF(ISBLANK($C203),"",IF(S203=Constants!$B$4,TRUE(),IF(S203=Constants!$B$5,FALSE(),COUNTA(T203:X203)&gt;0)))</f>
        <v/>
      </c>
      <c r="AU203" s="95" t="str">
        <f aca="false">IF(ISBLANK($C203),"",IF(ISNUMBER(T203),IF(T203&gt;=0,T203,""),""))</f>
        <v/>
      </c>
      <c r="AV203" s="94" t="str">
        <f aca="false">IF(ISBLANK($C203),"",IF(ISNUMBER(U203),IF(U203&gt;=0,U203,""),""))</f>
        <v/>
      </c>
      <c r="AW203" s="94" t="str">
        <f aca="false">IF(ISBLANK($C203),"",IF(V203=Constants!$B$2,TRUE(),IF(V203=Constants!$B$3,FALSE(),TRUE())))</f>
        <v/>
      </c>
      <c r="AX203" s="93" t="str">
        <f aca="false">IF(ISBLANK($C203),"",IF(ISNUMBER(W203),IF(W203&gt;=0,W203,""),""))</f>
        <v/>
      </c>
      <c r="AY203" s="93" t="str">
        <f aca="false">IF(ISBLANK($C203),"",IF(X203=Constants!$B$2,TRUE(),IF(X203=Constants!$B$3,FALSE(),FALSE())))</f>
        <v/>
      </c>
      <c r="AZ203" s="93" t="str">
        <f aca="false">IF(ISBLANK($C203),"",MIN(Constants!$B$25,MAX(0,IF(ISNUMBER(Y203),Y203*60,0)+IF(ISNUMBER(Z203),Z203,0))))</f>
        <v/>
      </c>
      <c r="BA203" s="93" t="str">
        <f aca="false">IF(ISBLANK($C203),"",IF(AA203=Constants!$B$2,TRUE(),IF(AA203=Constants!$B$3,FALSE(),FALSE())))</f>
        <v/>
      </c>
      <c r="BB203" s="92" t="str">
        <f aca="false">IF(ISBLANK($C203),"",AND($AL203,OR($AM203="",$AN203="",AND($AO203,$AP203=""))))</f>
        <v/>
      </c>
      <c r="BC203" s="94" t="str">
        <f aca="false">IF($BX203&lt;&gt;Constants!$B$6,"",IF($AL203,Constants!$B$17*$AN203+Constants!$B$18*IF($AO203,$AP203,Constants!$B$19),Constants!$B$20))</f>
        <v/>
      </c>
      <c r="BD203" s="97" t="str">
        <f aca="false">IF($BX203&lt;&gt;Constants!$B$6,"",Constants!$B$21*ABS($AD$9-IF($AL203,$AM203,0)))</f>
        <v/>
      </c>
      <c r="BE203" s="97" t="str">
        <f aca="false">IF($BX203&lt;&gt;Constants!$B$6,"",IF(AND($AL203,$AQ203,$AO203),Constants!$B$22,0))</f>
        <v/>
      </c>
      <c r="BF203" s="97" t="str">
        <f aca="false">IF($BX203&lt;&gt;Constants!$B$6,"",IF($AL203,($AI203-Constants!$B$24)*Constants!$B$23,0))</f>
        <v/>
      </c>
      <c r="BG203" s="97" t="str">
        <f aca="false">IF($BX203&lt;&gt;Constants!$B$6,"",IF($AK203,0,Constants!$B$12)+IF($AJ203,0,Constants!$B$13)+IF($AH203,0,Constants!$B$14))</f>
        <v/>
      </c>
      <c r="BH203" s="98" t="str">
        <f aca="false">IF($BX203&lt;&gt;Constants!$B$6,"",Constants!$B$16+SUM($BC203:$BG203))</f>
        <v/>
      </c>
      <c r="BI203" s="97" t="str">
        <f aca="false">IF($BX203&lt;&gt;Constants!$B$6,"",$BC203)</f>
        <v/>
      </c>
      <c r="BJ203" s="97" t="str">
        <f aca="false">IF($BX203&lt;&gt;Constants!$B$6,"",$BD203)</f>
        <v/>
      </c>
      <c r="BK203" s="99" t="str">
        <f aca="false">IF($BX203&lt;&gt;Constants!$B$6,"",IF($AL203,$AN203,""))</f>
        <v/>
      </c>
      <c r="BL203" s="93" t="str">
        <f aca="false">IF($BX203&lt;&gt;Constants!$B$6,"",IF(OR($BS203&lt;$BH203,AND($BS203=$BH203,OR($BT203&lt;$BI203,AND($BT203=$BI203,OR($BU203&lt;$BJ203,AND($BU203=$BJ203,AND(ISNUMBER($BV203),OR(NOT(ISNUMBER($BK203)),$BV203&lt;$BK203)))))))),"-&gt;","&lt;-"))</f>
        <v/>
      </c>
      <c r="BM203" s="92" t="str">
        <f aca="false">IF(ISBLANK($C203),"",AND($AT203,OR($AU203="",$AV203="",AND($AW203,$AX203=""))))</f>
        <v/>
      </c>
      <c r="BN203" s="94" t="str">
        <f aca="false">IF($BX203&lt;&gt;Constants!$B$6,"",IF($AT203,Constants!$B$17*$AV203+Constants!$B$18*IF($AW203,$AX203,Constants!$B$19),Constants!$B$20))</f>
        <v/>
      </c>
      <c r="BO203" s="97" t="str">
        <f aca="false">IF($BX203&lt;&gt;Constants!$B$6,"",Constants!$B$21*ABS($AD$9-IF($AT203,$AU203,0)))</f>
        <v/>
      </c>
      <c r="BP203" s="97" t="str">
        <f aca="false">IF($BX203&lt;&gt;Constants!$B$6,"",IF(AND($AT203,$AY203,$AW203),Constants!$B$22,0))</f>
        <v/>
      </c>
      <c r="BQ203" s="97" t="str">
        <f aca="false">IF($BX203&lt;&gt;Constants!$B$6,"",IF($AT203,($AI203-Constants!$B$24)*Constants!$B$23,0))</f>
        <v/>
      </c>
      <c r="BR203" s="97" t="str">
        <f aca="false">IF($BX203&lt;&gt;Constants!$B$6,"",IF($AS203,0,Constants!$B$12)+IF($AR203,0,Constants!$B$13)+IF($AH203,0,Constants!$B$14))</f>
        <v/>
      </c>
      <c r="BS203" s="98" t="str">
        <f aca="false">IF($BX203&lt;&gt;Constants!$B$6,"",Constants!$B$16+SUM($BN203:$BR203))</f>
        <v/>
      </c>
      <c r="BT203" s="97" t="str">
        <f aca="false">IF($BX203&lt;&gt;Constants!$B$6,"",$BN203)</f>
        <v/>
      </c>
      <c r="BU203" s="97" t="str">
        <f aca="false">IF($BX203&lt;&gt;Constants!$B$6,"",$BO203)</f>
        <v/>
      </c>
      <c r="BV203" s="99" t="str">
        <f aca="false">IF($BX203&lt;&gt;Constants!$B$6,"",IF($AT203,$AV203,""))</f>
        <v/>
      </c>
      <c r="BW203" s="93" t="str">
        <f aca="false">IF(ISBLANK($C203),"",IF(ISBLANK($D$7),$BW$5,IF(NOT(ISNUMBER($D$7)),$BW$6,"")))</f>
        <v/>
      </c>
      <c r="BX203" s="93" t="str">
        <f aca="false">IF(ISBLANK($C203),"",IF($BA203,Constants!$B$9,IF(COUNTA($E203:$AA203)=0,Constants!$B$8,IF(NOT($AG203),Constants!$B$7,IF(OR($BW203&lt;&gt;"",$BB203,$BM203),Constants!$B$10,Constants!$B$6)))))</f>
        <v/>
      </c>
      <c r="BY203" s="93" t="str">
        <f aca="false">IF(ISBLANK($C203),"",IF($BX203&lt;&gt;Constants!$B$6,$BX203,Constants!$B$11))</f>
        <v/>
      </c>
      <c r="BZ203" s="97" t="str">
        <f aca="false">IF($BX203&lt;&gt;Constants!$B$6,"",IF($BL203="-&gt;",$BS203,$BH203))</f>
        <v/>
      </c>
      <c r="CA203" s="97" t="str">
        <f aca="false">IF($BX203&lt;&gt;Constants!$B$6,"",IF($AF203,0,Constants!$B$15))</f>
        <v/>
      </c>
      <c r="CB203" s="97" t="str">
        <f aca="false">IF($BX203&lt;&gt;Constants!$B$6,"",((Constants!$B$25-$AZ203)-Constants!$B$25)/Constants!$B$26)</f>
        <v/>
      </c>
      <c r="CC203" s="97" t="str">
        <f aca="false">IF(ISBLANK($C203),"",IF($BX203&lt;&gt;Constants!$B$6,$BX203,SUM($BZ203:$CB203)))</f>
        <v/>
      </c>
      <c r="CD203" s="93" t="str">
        <f aca="false">IF(ISBLANK($C203),"",IF($BX203&lt;&gt;Constants!$B$6,$BX203,RANK($CC203,$CC$9:$CC$508,1)))</f>
        <v/>
      </c>
      <c r="CE203" s="97" t="str">
        <f aca="false">IF($BX203&lt;&gt;Constants!$B$6,"",IF($BL203="-&gt;",$BT203,$BI203))</f>
        <v/>
      </c>
      <c r="CF203" s="93" t="str">
        <f aca="false">IF(ISBLANK($C203),"",IF($BX203&lt;&gt;Constants!$B$6,$BX203,IF(ISNUMBER($CE203),RANK($CE203,$CE$9:$CE$508,1),COUNT($CE$9:$CE$508)+1)))</f>
        <v/>
      </c>
      <c r="CG203" s="97" t="str">
        <f aca="false">IF($BX203&lt;&gt;Constants!$B$6,"",IF($BL203="-&gt;",$BU203,$BJ203))</f>
        <v/>
      </c>
      <c r="CH203" s="93" t="str">
        <f aca="false">IF(ISBLANK($C203),"",IF($BX203&lt;&gt;Constants!$B$6,$BX203,IF(ISNUMBER($CG203),RANK($CG203,$CG$9:$CG$508,1),COUNT($CG$9:$CG$508)+1)))</f>
        <v/>
      </c>
      <c r="CI203" s="97" t="str">
        <f aca="false">IF($BX203&lt;&gt;Constants!$B$6,"",IF($BL203="-&gt;",$BV203,$BK203))</f>
        <v/>
      </c>
      <c r="CJ203" s="93" t="str">
        <f aca="false">IF(ISBLANK($C203),"",IF($BX203&lt;&gt;Constants!$B$6,$BX203,IF(ISNUMBER($CI203),RANK($CI203,$CI$9:$CI$508,1),COUNT($CI$9:$CI$508)+1)))</f>
        <v/>
      </c>
      <c r="CK203" s="97" t="str">
        <f aca="false">IF($BX203&lt;&gt;Constants!$B$6,"",$AI203)</f>
        <v/>
      </c>
      <c r="CL203" s="93" t="str">
        <f aca="false">IF(ISBLANK($C203),"",IF($BX203&lt;&gt;Constants!$B$6,$BX203,IF(ISNUMBER($CK203),RANK($CK203,$CK$9:$CK$508,1),COUNT($CK$9:$CK$508)+1)))</f>
        <v/>
      </c>
      <c r="CM203" s="93" t="str">
        <f aca="false">IF(ISBLANK($C203),"",IF($BX203&lt;&gt;Constants!$B$6,$BX203,COUNTIFS($CD$9:$CD$508,"&lt;"&amp;$CD203)+COUNTIFS($CD$9:$CD$508,$CD203,$CF$9:$CF$508,"&lt;"&amp;$CF203)+COUNTIFS($CD$9:$CD$508,$CD203,$CF$9:$CF$508,$CF203,$CH$9:$CH$508,"&lt;"&amp;$CH203)+COUNTIFS($CD$9:$CD$508,$CD203,$CF$9:$CF$508,$CF203,$CH$9:$CH$508,$CH203,$CJ$9:$CJ$508,"&lt;"&amp;$CJ203)+COUNTIFS($CD$9:$CD$508,$CD203,$CF$9:$CF$508,$CF203,$CH$9:$CH$508,$CH203,$CJ$9:$CJ$508,$CJ203,$CL$9:$CL$508,"&lt;"&amp;$CL203)+1))</f>
        <v/>
      </c>
      <c r="CN203" s="93" t="str">
        <f aca="false">IF(ISBLANK($C203),"",IF($BX203&lt;&gt;Constants!$B$6,$BX203,$CD203-$CM203))</f>
        <v/>
      </c>
      <c r="CO203" s="100"/>
      <c r="CP203" s="101"/>
      <c r="CQ203" s="102" t="str">
        <f aca="false">IF(ISBLANK($C203),"",IF($BX203=Constants!$B$10,$BW203,""))</f>
        <v/>
      </c>
      <c r="CR203" s="101" t="str">
        <f aca="false">IF(ISBLANK($C203),"",IF($BX203&lt;&gt;Constants!$B$6,"",IF($BL203="-&gt;",2,1)))</f>
        <v/>
      </c>
      <c r="CS203" s="103" t="str">
        <f aca="false">IF(ISBLANK($C203),"",IF($BX203&lt;&gt;Constants!$B$6,"",IF($BL203="-&gt;",$BN203,$BC203)))</f>
        <v/>
      </c>
      <c r="CT203" s="103" t="str">
        <f aca="false">IF(ISBLANK($C203),"",IF($BX203&lt;&gt;Constants!$B$6,"",IF($BL203="-&gt;",$BO203,$BD203)))</f>
        <v/>
      </c>
      <c r="CU203" s="103" t="str">
        <f aca="false">IF(ISBLANK($C203),"",IF($BX203&lt;&gt;Constants!$B$6,"",IF($BL203="-&gt;",$BP203+$BQ203,$BE203+$BF203)+$CB203))</f>
        <v/>
      </c>
      <c r="CV203" s="103" t="str">
        <f aca="false">IF(ISBLANK($C203),"",IF($BX203&lt;&gt;Constants!$B$6,"",IF($BL203="-&gt;",$BR203,$BG203)+$CA203))</f>
        <v/>
      </c>
      <c r="CW203" s="104" t="str">
        <f aca="false">IF(ISBLANK($C203),"",IF($BX203&lt;&gt;Constants!$B$6,$BX203,$CC203))</f>
        <v/>
      </c>
      <c r="CX203" s="105" t="str">
        <f aca="false">IF(ISBLANK($C203),"",$BY203)</f>
        <v/>
      </c>
      <c r="CY203" s="106" t="str">
        <f aca="false">IF(ISBLANK($C203),"",$CN203)</f>
        <v/>
      </c>
      <c r="CZ203" s="106" t="str">
        <f aca="false">IF(ISBLANK($C203),"",$CM203)</f>
        <v/>
      </c>
      <c r="DA203" s="107" t="str">
        <f aca="false">IF(ISBLANK($C203),"",IFERROR(_xlfn.SWITCH($CZ203,Constants!$B$9,COUNTA($C$9:$C$508)+2,Constants!$B$8,COUNTA($C$9:$C$508)+1,Constants!$B$7,COUNTA($C$9:$C$508)),$CZ203))</f>
        <v/>
      </c>
      <c r="DB203" s="9"/>
      <c r="DC203" s="108" t="n">
        <f aca="false">IF(OR(ISNUMBER($CZ203),$CZ203=Constants!$B$9,$CZ203=Constants!$B$7,$CZ203=Constants!$B$8),1,0)</f>
        <v>0</v>
      </c>
      <c r="DD203" s="108" t="n">
        <v>195</v>
      </c>
      <c r="DE203" s="108" t="str">
        <f aca="false">IF(ISBLANK($C203),"",IF(ISNUMBER($DA203),$DA203+ROW($B203)/1000,""))</f>
        <v/>
      </c>
      <c r="DF203" s="108" t="str">
        <f aca="false">IF(ISNUMBER($DE203),RANK($DE203,$DE$9:$DE$508,1),"")</f>
        <v/>
      </c>
      <c r="DG203" s="108" t="str">
        <f aca="false">IF(ISBLANK($C203),"",$B203)</f>
        <v/>
      </c>
      <c r="DH203" s="108" t="str">
        <f aca="false">IF(ISBLANK($C203),"",$C203)</f>
        <v/>
      </c>
      <c r="DI203" s="108" t="str">
        <f aca="false">IF(ISBLANK($C203),"",$D203)</f>
        <v/>
      </c>
      <c r="DJ203" s="109" t="str">
        <f aca="false">$CX203</f>
        <v/>
      </c>
      <c r="DK203" s="110" t="str">
        <f aca="false">$CW203</f>
        <v/>
      </c>
      <c r="DL203" s="108" t="str">
        <f aca="false">IF(ISBLANK($C203),"",$CZ203)</f>
        <v/>
      </c>
      <c r="DM203" s="111" t="str">
        <f aca="false">IF($DD203&gt;$DC$8,"",VLOOKUP($DD203,$DF$9:$DL$508,7,FALSE()))</f>
        <v/>
      </c>
      <c r="DN203" s="112" t="str">
        <f aca="false">IF($DD203&gt;$DC$8,"",VLOOKUP($DD203,$DF$9:$DL$508,2,FALSE()))</f>
        <v/>
      </c>
      <c r="DO203" s="112" t="str">
        <f aca="false">IF($DD203&gt;$DC$8,"",VLOOKUP($DD203,$DF$9:$DL$508,3,FALSE()))</f>
        <v/>
      </c>
      <c r="DP203" s="112" t="str">
        <f aca="false">IF($DD203&gt;$DC$8,"",VLOOKUP($DD203,$DF$9:$DL$508,4,FALSE()))</f>
        <v/>
      </c>
      <c r="DQ203" s="112" t="str">
        <f aca="false">IF($DD203&gt;$DC$8,"",VLOOKUP($DD203,$DF$9:$DL$508,5,FALSE()))</f>
        <v/>
      </c>
      <c r="DR203" s="113" t="str">
        <f aca="false">IF($DD203&gt;$DC$8,"",VLOOKUP($DD203,$DF$9:$DL$508,6,FALSE()))</f>
        <v/>
      </c>
      <c r="DS203" s="76"/>
    </row>
    <row r="204" customFormat="false" ht="15.75" hidden="false" customHeight="false" outlineLevel="0" collapsed="false">
      <c r="A204" s="9"/>
      <c r="B204" s="160"/>
      <c r="C204" s="161"/>
      <c r="D204" s="162"/>
      <c r="E204" s="180"/>
      <c r="F204" s="164"/>
      <c r="G204" s="165"/>
      <c r="H204" s="165"/>
      <c r="I204" s="181"/>
      <c r="J204" s="168"/>
      <c r="K204" s="128"/>
      <c r="L204" s="129"/>
      <c r="M204" s="130"/>
      <c r="N204" s="168"/>
      <c r="O204" s="168"/>
      <c r="P204" s="180"/>
      <c r="Q204" s="168"/>
      <c r="R204" s="168"/>
      <c r="S204" s="128"/>
      <c r="T204" s="130"/>
      <c r="U204" s="130"/>
      <c r="V204" s="168"/>
      <c r="W204" s="168"/>
      <c r="X204" s="180"/>
      <c r="Y204" s="168"/>
      <c r="Z204" s="169"/>
      <c r="AA204" s="168"/>
      <c r="AB204" s="134"/>
      <c r="AC204" s="135"/>
      <c r="AD204" s="135"/>
      <c r="AE204" s="135"/>
      <c r="AF204" s="135" t="str">
        <f aca="false">IF(ISBLANK($C204),"",IF(E204=Constants!$B$2,TRUE(),IF(E204=Constants!$B$3,FALSE(),TRUE())))</f>
        <v/>
      </c>
      <c r="AG204" s="135" t="str">
        <f aca="false">IF(ISBLANK($C204),"",IF(F204=Constants!$B$2,TRUE(),IF(F204=Constants!$B$3,FALSE(),TRUE())))</f>
        <v/>
      </c>
      <c r="AH204" s="135" t="str">
        <f aca="false">IF(ISBLANK($C204),"",IF(G204=Constants!$B$2,TRUE(),IF(G204=Constants!$B$3,FALSE(),TRUE())))</f>
        <v/>
      </c>
      <c r="AI204" s="135" t="str">
        <f aca="false">IF(ISBLANK($C204),"",IF(AND(ISNUMBER(H204),H204&gt;=0),H204,Constants!$B$24))</f>
        <v/>
      </c>
      <c r="AJ204" s="135" t="str">
        <f aca="false">IF(ISBLANK($C204),"",IF(I204=Constants!$B$2,TRUE(),IF(I204=Constants!$B$3,FALSE(),TRUE())))</f>
        <v/>
      </c>
      <c r="AK204" s="135" t="str">
        <f aca="false">IF(ISBLANK($C204),"",IF(J204=Constants!$B$2,TRUE(),IF(J204=Constants!$B$3,FALSE(),TRUE())))</f>
        <v/>
      </c>
      <c r="AL204" s="135" t="str">
        <f aca="false">IF(ISBLANK($C204),"",IF(K204=Constants!$B$4,TRUE(),IF(K204=Constants!$B$5,FALSE(),COUNTA(L204:P204)&gt;0)))</f>
        <v/>
      </c>
      <c r="AM204" s="136" t="str">
        <f aca="false">IF(ISBLANK($C204),"",IF(ISNUMBER(L204),IF(L204&gt;=0,L204,""),""))</f>
        <v/>
      </c>
      <c r="AN204" s="137" t="str">
        <f aca="false">IF(ISBLANK($C204),"",IF(ISNUMBER(M204),IF(M204&gt;=0,M204,""),""))</f>
        <v/>
      </c>
      <c r="AO204" s="137" t="str">
        <f aca="false">IF(ISBLANK($C204),"",IF(N204=Constants!$B$2,TRUE(),IF(N204=Constants!$B$3,FALSE(),TRUE())))</f>
        <v/>
      </c>
      <c r="AP204" s="135" t="str">
        <f aca="false">IF(ISBLANK($C204),"",IF(ISNUMBER(O204),IF(O204&gt;=0,O204,""),""))</f>
        <v/>
      </c>
      <c r="AQ204" s="135" t="str">
        <f aca="false">IF(ISBLANK($C204),"",IF(P204=Constants!$B$2,TRUE(),IF(P204=Constants!$B$3,FALSE(),FALSE())))</f>
        <v/>
      </c>
      <c r="AR204" s="135" t="str">
        <f aca="false">IF(ISBLANK($C204),"",IF(Q204=Constants!$B$2,TRUE(),IF(Q204=Constants!$B$3,FALSE(),TRUE())))</f>
        <v/>
      </c>
      <c r="AS204" s="135" t="str">
        <f aca="false">IF(ISBLANK($C204),"",IF(R204=Constants!$B$2,TRUE(),IF(R204=Constants!$B$3,FALSE(),TRUE())))</f>
        <v/>
      </c>
      <c r="AT204" s="135" t="str">
        <f aca="false">IF(ISBLANK($C204),"",IF(S204=Constants!$B$4,TRUE(),IF(S204=Constants!$B$5,FALSE(),COUNTA(T204:X204)&gt;0)))</f>
        <v/>
      </c>
      <c r="AU204" s="136" t="str">
        <f aca="false">IF(ISBLANK($C204),"",IF(ISNUMBER(T204),IF(T204&gt;=0,T204,""),""))</f>
        <v/>
      </c>
      <c r="AV204" s="137" t="str">
        <f aca="false">IF(ISBLANK($C204),"",IF(ISNUMBER(U204),IF(U204&gt;=0,U204,""),""))</f>
        <v/>
      </c>
      <c r="AW204" s="137" t="str">
        <f aca="false">IF(ISBLANK($C204),"",IF(V204=Constants!$B$2,TRUE(),IF(V204=Constants!$B$3,FALSE(),TRUE())))</f>
        <v/>
      </c>
      <c r="AX204" s="135" t="str">
        <f aca="false">IF(ISBLANK($C204),"",IF(ISNUMBER(W204),IF(W204&gt;=0,W204,""),""))</f>
        <v/>
      </c>
      <c r="AY204" s="135" t="str">
        <f aca="false">IF(ISBLANK($C204),"",IF(X204=Constants!$B$2,TRUE(),IF(X204=Constants!$B$3,FALSE(),FALSE())))</f>
        <v/>
      </c>
      <c r="AZ204" s="135" t="str">
        <f aca="false">IF(ISBLANK($C204),"",MIN(Constants!$B$25,MAX(0,IF(ISNUMBER(Y204),Y204*60,0)+IF(ISNUMBER(Z204),Z204,0))))</f>
        <v/>
      </c>
      <c r="BA204" s="135" t="str">
        <f aca="false">IF(ISBLANK($C204),"",IF(AA204=Constants!$B$2,TRUE(),IF(AA204=Constants!$B$3,FALSE(),FALSE())))</f>
        <v/>
      </c>
      <c r="BB204" s="134" t="str">
        <f aca="false">IF(ISBLANK($C204),"",AND($AL204,OR($AM204="",$AN204="",AND($AO204,$AP204=""))))</f>
        <v/>
      </c>
      <c r="BC204" s="137" t="str">
        <f aca="false">IF($BX204&lt;&gt;Constants!$B$6,"",IF($AL204,Constants!$B$17*$AN204+Constants!$B$18*IF($AO204,$AP204,Constants!$B$19),Constants!$B$20))</f>
        <v/>
      </c>
      <c r="BD204" s="138" t="str">
        <f aca="false">IF($BX204&lt;&gt;Constants!$B$6,"",Constants!$B$21*ABS($AD$9-IF($AL204,$AM204,0)))</f>
        <v/>
      </c>
      <c r="BE204" s="138" t="str">
        <f aca="false">IF($BX204&lt;&gt;Constants!$B$6,"",IF(AND($AL204,$AQ204,$AO204),Constants!$B$22,0))</f>
        <v/>
      </c>
      <c r="BF204" s="138" t="str">
        <f aca="false">IF($BX204&lt;&gt;Constants!$B$6,"",IF($AL204,($AI204-Constants!$B$24)*Constants!$B$23,0))</f>
        <v/>
      </c>
      <c r="BG204" s="138" t="str">
        <f aca="false">IF($BX204&lt;&gt;Constants!$B$6,"",IF($AK204,0,Constants!$B$12)+IF($AJ204,0,Constants!$B$13)+IF($AH204,0,Constants!$B$14))</f>
        <v/>
      </c>
      <c r="BH204" s="139" t="str">
        <f aca="false">IF($BX204&lt;&gt;Constants!$B$6,"",Constants!$B$16+SUM($BC204:$BG204))</f>
        <v/>
      </c>
      <c r="BI204" s="138" t="str">
        <f aca="false">IF($BX204&lt;&gt;Constants!$B$6,"",$BC204)</f>
        <v/>
      </c>
      <c r="BJ204" s="138" t="str">
        <f aca="false">IF($BX204&lt;&gt;Constants!$B$6,"",$BD204)</f>
        <v/>
      </c>
      <c r="BK204" s="140" t="str">
        <f aca="false">IF($BX204&lt;&gt;Constants!$B$6,"",IF($AL204,$AN204,""))</f>
        <v/>
      </c>
      <c r="BL204" s="135" t="str">
        <f aca="false">IF($BX204&lt;&gt;Constants!$B$6,"",IF(OR($BS204&lt;$BH204,AND($BS204=$BH204,OR($BT204&lt;$BI204,AND($BT204=$BI204,OR($BU204&lt;$BJ204,AND($BU204=$BJ204,AND(ISNUMBER($BV204),OR(NOT(ISNUMBER($BK204)),$BV204&lt;$BK204)))))))),"-&gt;","&lt;-"))</f>
        <v/>
      </c>
      <c r="BM204" s="134" t="str">
        <f aca="false">IF(ISBLANK($C204),"",AND($AT204,OR($AU204="",$AV204="",AND($AW204,$AX204=""))))</f>
        <v/>
      </c>
      <c r="BN204" s="137" t="str">
        <f aca="false">IF($BX204&lt;&gt;Constants!$B$6,"",IF($AT204,Constants!$B$17*$AV204+Constants!$B$18*IF($AW204,$AX204,Constants!$B$19),Constants!$B$20))</f>
        <v/>
      </c>
      <c r="BO204" s="138" t="str">
        <f aca="false">IF($BX204&lt;&gt;Constants!$B$6,"",Constants!$B$21*ABS($AD$9-IF($AT204,$AU204,0)))</f>
        <v/>
      </c>
      <c r="BP204" s="138" t="str">
        <f aca="false">IF($BX204&lt;&gt;Constants!$B$6,"",IF(AND($AT204,$AY204,$AW204),Constants!$B$22,0))</f>
        <v/>
      </c>
      <c r="BQ204" s="138" t="str">
        <f aca="false">IF($BX204&lt;&gt;Constants!$B$6,"",IF($AT204,($AI204-Constants!$B$24)*Constants!$B$23,0))</f>
        <v/>
      </c>
      <c r="BR204" s="138" t="str">
        <f aca="false">IF($BX204&lt;&gt;Constants!$B$6,"",IF($AS204,0,Constants!$B$12)+IF($AR204,0,Constants!$B$13)+IF($AH204,0,Constants!$B$14))</f>
        <v/>
      </c>
      <c r="BS204" s="139" t="str">
        <f aca="false">IF($BX204&lt;&gt;Constants!$B$6,"",Constants!$B$16+SUM($BN204:$BR204))</f>
        <v/>
      </c>
      <c r="BT204" s="138" t="str">
        <f aca="false">IF($BX204&lt;&gt;Constants!$B$6,"",$BN204)</f>
        <v/>
      </c>
      <c r="BU204" s="138" t="str">
        <f aca="false">IF($BX204&lt;&gt;Constants!$B$6,"",$BO204)</f>
        <v/>
      </c>
      <c r="BV204" s="140" t="str">
        <f aca="false">IF($BX204&lt;&gt;Constants!$B$6,"",IF($AT204,$AV204,""))</f>
        <v/>
      </c>
      <c r="BW204" s="135" t="str">
        <f aca="false">IF(ISBLANK($C204),"",IF(ISBLANK($D$7),$BW$5,IF(NOT(ISNUMBER($D$7)),$BW$6,"")))</f>
        <v/>
      </c>
      <c r="BX204" s="135" t="str">
        <f aca="false">IF(ISBLANK($C204),"",IF($BA204,Constants!$B$9,IF(COUNTA($E204:$AA204)=0,Constants!$B$8,IF(NOT($AG204),Constants!$B$7,IF(OR($BW204&lt;&gt;"",$BB204,$BM204),Constants!$B$10,Constants!$B$6)))))</f>
        <v/>
      </c>
      <c r="BY204" s="135" t="str">
        <f aca="false">IF(ISBLANK($C204),"",IF($BX204&lt;&gt;Constants!$B$6,$BX204,Constants!$B$11))</f>
        <v/>
      </c>
      <c r="BZ204" s="138" t="str">
        <f aca="false">IF($BX204&lt;&gt;Constants!$B$6,"",IF($BL204="-&gt;",$BS204,$BH204))</f>
        <v/>
      </c>
      <c r="CA204" s="138" t="str">
        <f aca="false">IF($BX204&lt;&gt;Constants!$B$6,"",IF($AF204,0,Constants!$B$15))</f>
        <v/>
      </c>
      <c r="CB204" s="138" t="str">
        <f aca="false">IF($BX204&lt;&gt;Constants!$B$6,"",((Constants!$B$25-$AZ204)-Constants!$B$25)/Constants!$B$26)</f>
        <v/>
      </c>
      <c r="CC204" s="138" t="str">
        <f aca="false">IF(ISBLANK($C204),"",IF($BX204&lt;&gt;Constants!$B$6,$BX204,SUM($BZ204:$CB204)))</f>
        <v/>
      </c>
      <c r="CD204" s="135" t="str">
        <f aca="false">IF(ISBLANK($C204),"",IF($BX204&lt;&gt;Constants!$B$6,$BX204,RANK($CC204,$CC$9:$CC$508,1)))</f>
        <v/>
      </c>
      <c r="CE204" s="138" t="str">
        <f aca="false">IF($BX204&lt;&gt;Constants!$B$6,"",IF($BL204="-&gt;",$BT204,$BI204))</f>
        <v/>
      </c>
      <c r="CF204" s="135" t="str">
        <f aca="false">IF(ISBLANK($C204),"",IF($BX204&lt;&gt;Constants!$B$6,$BX204,IF(ISNUMBER($CE204),RANK($CE204,$CE$9:$CE$508,1),COUNT($CE$9:$CE$508)+1)))</f>
        <v/>
      </c>
      <c r="CG204" s="138" t="str">
        <f aca="false">IF($BX204&lt;&gt;Constants!$B$6,"",IF($BL204="-&gt;",$BU204,$BJ204))</f>
        <v/>
      </c>
      <c r="CH204" s="135" t="str">
        <f aca="false">IF(ISBLANK($C204),"",IF($BX204&lt;&gt;Constants!$B$6,$BX204,IF(ISNUMBER($CG204),RANK($CG204,$CG$9:$CG$508,1),COUNT($CG$9:$CG$508)+1)))</f>
        <v/>
      </c>
      <c r="CI204" s="138" t="str">
        <f aca="false">IF($BX204&lt;&gt;Constants!$B$6,"",IF($BL204="-&gt;",$BV204,$BK204))</f>
        <v/>
      </c>
      <c r="CJ204" s="135" t="str">
        <f aca="false">IF(ISBLANK($C204),"",IF($BX204&lt;&gt;Constants!$B$6,$BX204,IF(ISNUMBER($CI204),RANK($CI204,$CI$9:$CI$508,1),COUNT($CI$9:$CI$508)+1)))</f>
        <v/>
      </c>
      <c r="CK204" s="138" t="str">
        <f aca="false">IF($BX204&lt;&gt;Constants!$B$6,"",$AI204)</f>
        <v/>
      </c>
      <c r="CL204" s="135" t="str">
        <f aca="false">IF(ISBLANK($C204),"",IF($BX204&lt;&gt;Constants!$B$6,$BX204,IF(ISNUMBER($CK204),RANK($CK204,$CK$9:$CK$508,1),COUNT($CK$9:$CK$508)+1)))</f>
        <v/>
      </c>
      <c r="CM204" s="135" t="str">
        <f aca="false">IF(ISBLANK($C204),"",IF($BX204&lt;&gt;Constants!$B$6,$BX204,COUNTIFS($CD$9:$CD$508,"&lt;"&amp;$CD204)+COUNTIFS($CD$9:$CD$508,$CD204,$CF$9:$CF$508,"&lt;"&amp;$CF204)+COUNTIFS($CD$9:$CD$508,$CD204,$CF$9:$CF$508,$CF204,$CH$9:$CH$508,"&lt;"&amp;$CH204)+COUNTIFS($CD$9:$CD$508,$CD204,$CF$9:$CF$508,$CF204,$CH$9:$CH$508,$CH204,$CJ$9:$CJ$508,"&lt;"&amp;$CJ204)+COUNTIFS($CD$9:$CD$508,$CD204,$CF$9:$CF$508,$CF204,$CH$9:$CH$508,$CH204,$CJ$9:$CJ$508,$CJ204,$CL$9:$CL$508,"&lt;"&amp;$CL204)+1))</f>
        <v/>
      </c>
      <c r="CN204" s="135" t="str">
        <f aca="false">IF(ISBLANK($C204),"",IF($BX204&lt;&gt;Constants!$B$6,$BX204,$CD204-$CM204))</f>
        <v/>
      </c>
      <c r="CO204" s="141"/>
      <c r="CP204" s="142"/>
      <c r="CQ204" s="143" t="str">
        <f aca="false">IF(ISBLANK($C204),"",IF($BX204=Constants!$B$10,$BW204,""))</f>
        <v/>
      </c>
      <c r="CR204" s="142" t="str">
        <f aca="false">IF(ISBLANK($C204),"",IF($BX204&lt;&gt;Constants!$B$6,"",IF($BL204="-&gt;",2,1)))</f>
        <v/>
      </c>
      <c r="CS204" s="144" t="str">
        <f aca="false">IF(ISBLANK($C204),"",IF($BX204&lt;&gt;Constants!$B$6,"",IF($BL204="-&gt;",$BN204,$BC204)))</f>
        <v/>
      </c>
      <c r="CT204" s="144" t="str">
        <f aca="false">IF(ISBLANK($C204),"",IF($BX204&lt;&gt;Constants!$B$6,"",IF($BL204="-&gt;",$BO204,$BD204)))</f>
        <v/>
      </c>
      <c r="CU204" s="144" t="str">
        <f aca="false">IF(ISBLANK($C204),"",IF($BX204&lt;&gt;Constants!$B$6,"",IF($BL204="-&gt;",$BP204+$BQ204,$BE204+$BF204)+$CB204))</f>
        <v/>
      </c>
      <c r="CV204" s="144" t="str">
        <f aca="false">IF(ISBLANK($C204),"",IF($BX204&lt;&gt;Constants!$B$6,"",IF($BL204="-&gt;",$BR204,$BG204)+$CA204))</f>
        <v/>
      </c>
      <c r="CW204" s="145" t="str">
        <f aca="false">IF(ISBLANK($C204),"",IF($BX204&lt;&gt;Constants!$B$6,$BX204,$CC204))</f>
        <v/>
      </c>
      <c r="CX204" s="146" t="str">
        <f aca="false">IF(ISBLANK($C204),"",$BY204)</f>
        <v/>
      </c>
      <c r="CY204" s="147" t="str">
        <f aca="false">IF(ISBLANK($C204),"",$CN204)</f>
        <v/>
      </c>
      <c r="CZ204" s="147" t="str">
        <f aca="false">IF(ISBLANK($C204),"",$CM204)</f>
        <v/>
      </c>
      <c r="DA204" s="148" t="str">
        <f aca="false">IF(ISBLANK($C204),"",IFERROR(_xlfn.SWITCH($CZ204,Constants!$B$9,COUNTA($C$9:$C$508)+2,Constants!$B$8,COUNTA($C$9:$C$508)+1,Constants!$B$7,COUNTA($C$9:$C$508)),$CZ204))</f>
        <v/>
      </c>
      <c r="DB204" s="9"/>
      <c r="DC204" s="149" t="n">
        <f aca="false">IF(OR(ISNUMBER($CZ204),$CZ204=Constants!$B$9,$CZ204=Constants!$B$7,$CZ204=Constants!$B$8),1,0)</f>
        <v>0</v>
      </c>
      <c r="DD204" s="149" t="n">
        <v>196</v>
      </c>
      <c r="DE204" s="149" t="str">
        <f aca="false">IF(ISBLANK($C204),"",IF(ISNUMBER($DA204),$DA204+ROW($B204)/1000,""))</f>
        <v/>
      </c>
      <c r="DF204" s="149" t="str">
        <f aca="false">IF(ISNUMBER($DE204),RANK($DE204,$DE$9:$DE$508,1),"")</f>
        <v/>
      </c>
      <c r="DG204" s="149" t="str">
        <f aca="false">IF(ISBLANK($C204),"",$B204)</f>
        <v/>
      </c>
      <c r="DH204" s="149" t="str">
        <f aca="false">IF(ISBLANK($C204),"",$C204)</f>
        <v/>
      </c>
      <c r="DI204" s="149" t="str">
        <f aca="false">IF(ISBLANK($C204),"",$D204)</f>
        <v/>
      </c>
      <c r="DJ204" s="150" t="str">
        <f aca="false">$CX204</f>
        <v/>
      </c>
      <c r="DK204" s="151" t="str">
        <f aca="false">$CW204</f>
        <v/>
      </c>
      <c r="DL204" s="149" t="str">
        <f aca="false">IF(ISBLANK($C204),"",$CZ204)</f>
        <v/>
      </c>
      <c r="DM204" s="152" t="str">
        <f aca="false">IF($DD204&gt;$DC$8,"",VLOOKUP($DD204,$DF$9:$DL$508,7,FALSE()))</f>
        <v/>
      </c>
      <c r="DN204" s="153" t="str">
        <f aca="false">IF($DD204&gt;$DC$8,"",VLOOKUP($DD204,$DF$9:$DL$508,2,FALSE()))</f>
        <v/>
      </c>
      <c r="DO204" s="153" t="str">
        <f aca="false">IF($DD204&gt;$DC$8,"",VLOOKUP($DD204,$DF$9:$DL$508,3,FALSE()))</f>
        <v/>
      </c>
      <c r="DP204" s="153" t="str">
        <f aca="false">IF($DD204&gt;$DC$8,"",VLOOKUP($DD204,$DF$9:$DL$508,4,FALSE()))</f>
        <v/>
      </c>
      <c r="DQ204" s="153" t="str">
        <f aca="false">IF($DD204&gt;$DC$8,"",VLOOKUP($DD204,$DF$9:$DL$508,5,FALSE()))</f>
        <v/>
      </c>
      <c r="DR204" s="154" t="str">
        <f aca="false">IF($DD204&gt;$DC$8,"",VLOOKUP($DD204,$DF$9:$DL$508,6,FALSE()))</f>
        <v/>
      </c>
      <c r="DS204" s="76"/>
    </row>
    <row r="205" customFormat="false" ht="15.75" hidden="false" customHeight="false" outlineLevel="0" collapsed="false">
      <c r="A205" s="9"/>
      <c r="B205" s="160"/>
      <c r="C205" s="161"/>
      <c r="D205" s="162"/>
      <c r="E205" s="180"/>
      <c r="F205" s="164"/>
      <c r="G205" s="165"/>
      <c r="H205" s="165"/>
      <c r="I205" s="181"/>
      <c r="J205" s="168"/>
      <c r="K205" s="128"/>
      <c r="L205" s="129"/>
      <c r="M205" s="130"/>
      <c r="N205" s="168"/>
      <c r="O205" s="168"/>
      <c r="P205" s="180"/>
      <c r="Q205" s="168"/>
      <c r="R205" s="168"/>
      <c r="S205" s="128"/>
      <c r="T205" s="130"/>
      <c r="U205" s="130"/>
      <c r="V205" s="168"/>
      <c r="W205" s="168"/>
      <c r="X205" s="180"/>
      <c r="Y205" s="168"/>
      <c r="Z205" s="169"/>
      <c r="AA205" s="168"/>
      <c r="AB205" s="134"/>
      <c r="AC205" s="135"/>
      <c r="AD205" s="135"/>
      <c r="AE205" s="135"/>
      <c r="AF205" s="135" t="str">
        <f aca="false">IF(ISBLANK($C205),"",IF(E205=Constants!$B$2,TRUE(),IF(E205=Constants!$B$3,FALSE(),TRUE())))</f>
        <v/>
      </c>
      <c r="AG205" s="135" t="str">
        <f aca="false">IF(ISBLANK($C205),"",IF(F205=Constants!$B$2,TRUE(),IF(F205=Constants!$B$3,FALSE(),TRUE())))</f>
        <v/>
      </c>
      <c r="AH205" s="135" t="str">
        <f aca="false">IF(ISBLANK($C205),"",IF(G205=Constants!$B$2,TRUE(),IF(G205=Constants!$B$3,FALSE(),TRUE())))</f>
        <v/>
      </c>
      <c r="AI205" s="135" t="str">
        <f aca="false">IF(ISBLANK($C205),"",IF(AND(ISNUMBER(H205),H205&gt;=0),H205,Constants!$B$24))</f>
        <v/>
      </c>
      <c r="AJ205" s="135" t="str">
        <f aca="false">IF(ISBLANK($C205),"",IF(I205=Constants!$B$2,TRUE(),IF(I205=Constants!$B$3,FALSE(),TRUE())))</f>
        <v/>
      </c>
      <c r="AK205" s="135" t="str">
        <f aca="false">IF(ISBLANK($C205),"",IF(J205=Constants!$B$2,TRUE(),IF(J205=Constants!$B$3,FALSE(),TRUE())))</f>
        <v/>
      </c>
      <c r="AL205" s="135" t="str">
        <f aca="false">IF(ISBLANK($C205),"",IF(K205=Constants!$B$4,TRUE(),IF(K205=Constants!$B$5,FALSE(),COUNTA(L205:P205)&gt;0)))</f>
        <v/>
      </c>
      <c r="AM205" s="136" t="str">
        <f aca="false">IF(ISBLANK($C205),"",IF(ISNUMBER(L205),IF(L205&gt;=0,L205,""),""))</f>
        <v/>
      </c>
      <c r="AN205" s="137" t="str">
        <f aca="false">IF(ISBLANK($C205),"",IF(ISNUMBER(M205),IF(M205&gt;=0,M205,""),""))</f>
        <v/>
      </c>
      <c r="AO205" s="137" t="str">
        <f aca="false">IF(ISBLANK($C205),"",IF(N205=Constants!$B$2,TRUE(),IF(N205=Constants!$B$3,FALSE(),TRUE())))</f>
        <v/>
      </c>
      <c r="AP205" s="135" t="str">
        <f aca="false">IF(ISBLANK($C205),"",IF(ISNUMBER(O205),IF(O205&gt;=0,O205,""),""))</f>
        <v/>
      </c>
      <c r="AQ205" s="135" t="str">
        <f aca="false">IF(ISBLANK($C205),"",IF(P205=Constants!$B$2,TRUE(),IF(P205=Constants!$B$3,FALSE(),FALSE())))</f>
        <v/>
      </c>
      <c r="AR205" s="135" t="str">
        <f aca="false">IF(ISBLANK($C205),"",IF(Q205=Constants!$B$2,TRUE(),IF(Q205=Constants!$B$3,FALSE(),TRUE())))</f>
        <v/>
      </c>
      <c r="AS205" s="135" t="str">
        <f aca="false">IF(ISBLANK($C205),"",IF(R205=Constants!$B$2,TRUE(),IF(R205=Constants!$B$3,FALSE(),TRUE())))</f>
        <v/>
      </c>
      <c r="AT205" s="135" t="str">
        <f aca="false">IF(ISBLANK($C205),"",IF(S205=Constants!$B$4,TRUE(),IF(S205=Constants!$B$5,FALSE(),COUNTA(T205:X205)&gt;0)))</f>
        <v/>
      </c>
      <c r="AU205" s="136" t="str">
        <f aca="false">IF(ISBLANK($C205),"",IF(ISNUMBER(T205),IF(T205&gt;=0,T205,""),""))</f>
        <v/>
      </c>
      <c r="AV205" s="137" t="str">
        <f aca="false">IF(ISBLANK($C205),"",IF(ISNUMBER(U205),IF(U205&gt;=0,U205,""),""))</f>
        <v/>
      </c>
      <c r="AW205" s="137" t="str">
        <f aca="false">IF(ISBLANK($C205),"",IF(V205=Constants!$B$2,TRUE(),IF(V205=Constants!$B$3,FALSE(),TRUE())))</f>
        <v/>
      </c>
      <c r="AX205" s="135" t="str">
        <f aca="false">IF(ISBLANK($C205),"",IF(ISNUMBER(W205),IF(W205&gt;=0,W205,""),""))</f>
        <v/>
      </c>
      <c r="AY205" s="135" t="str">
        <f aca="false">IF(ISBLANK($C205),"",IF(X205=Constants!$B$2,TRUE(),IF(X205=Constants!$B$3,FALSE(),FALSE())))</f>
        <v/>
      </c>
      <c r="AZ205" s="135" t="str">
        <f aca="false">IF(ISBLANK($C205),"",MIN(Constants!$B$25,MAX(0,IF(ISNUMBER(Y205),Y205*60,0)+IF(ISNUMBER(Z205),Z205,0))))</f>
        <v/>
      </c>
      <c r="BA205" s="135" t="str">
        <f aca="false">IF(ISBLANK($C205),"",IF(AA205=Constants!$B$2,TRUE(),IF(AA205=Constants!$B$3,FALSE(),FALSE())))</f>
        <v/>
      </c>
      <c r="BB205" s="134" t="str">
        <f aca="false">IF(ISBLANK($C205),"",AND($AL205,OR($AM205="",$AN205="",AND($AO205,$AP205=""))))</f>
        <v/>
      </c>
      <c r="BC205" s="137" t="str">
        <f aca="false">IF($BX205&lt;&gt;Constants!$B$6,"",IF($AL205,Constants!$B$17*$AN205+Constants!$B$18*IF($AO205,$AP205,Constants!$B$19),Constants!$B$20))</f>
        <v/>
      </c>
      <c r="BD205" s="138" t="str">
        <f aca="false">IF($BX205&lt;&gt;Constants!$B$6,"",Constants!$B$21*ABS($AD$9-IF($AL205,$AM205,0)))</f>
        <v/>
      </c>
      <c r="BE205" s="138" t="str">
        <f aca="false">IF($BX205&lt;&gt;Constants!$B$6,"",IF(AND($AL205,$AQ205,$AO205),Constants!$B$22,0))</f>
        <v/>
      </c>
      <c r="BF205" s="138" t="str">
        <f aca="false">IF($BX205&lt;&gt;Constants!$B$6,"",IF($AL205,($AI205-Constants!$B$24)*Constants!$B$23,0))</f>
        <v/>
      </c>
      <c r="BG205" s="138" t="str">
        <f aca="false">IF($BX205&lt;&gt;Constants!$B$6,"",IF($AK205,0,Constants!$B$12)+IF($AJ205,0,Constants!$B$13)+IF($AH205,0,Constants!$B$14))</f>
        <v/>
      </c>
      <c r="BH205" s="139" t="str">
        <f aca="false">IF($BX205&lt;&gt;Constants!$B$6,"",Constants!$B$16+SUM($BC205:$BG205))</f>
        <v/>
      </c>
      <c r="BI205" s="138" t="str">
        <f aca="false">IF($BX205&lt;&gt;Constants!$B$6,"",$BC205)</f>
        <v/>
      </c>
      <c r="BJ205" s="138" t="str">
        <f aca="false">IF($BX205&lt;&gt;Constants!$B$6,"",$BD205)</f>
        <v/>
      </c>
      <c r="BK205" s="140" t="str">
        <f aca="false">IF($BX205&lt;&gt;Constants!$B$6,"",IF($AL205,$AN205,""))</f>
        <v/>
      </c>
      <c r="BL205" s="135" t="str">
        <f aca="false">IF($BX205&lt;&gt;Constants!$B$6,"",IF(OR($BS205&lt;$BH205,AND($BS205=$BH205,OR($BT205&lt;$BI205,AND($BT205=$BI205,OR($BU205&lt;$BJ205,AND($BU205=$BJ205,AND(ISNUMBER($BV205),OR(NOT(ISNUMBER($BK205)),$BV205&lt;$BK205)))))))),"-&gt;","&lt;-"))</f>
        <v/>
      </c>
      <c r="BM205" s="134" t="str">
        <f aca="false">IF(ISBLANK($C205),"",AND($AT205,OR($AU205="",$AV205="",AND($AW205,$AX205=""))))</f>
        <v/>
      </c>
      <c r="BN205" s="137" t="str">
        <f aca="false">IF($BX205&lt;&gt;Constants!$B$6,"",IF($AT205,Constants!$B$17*$AV205+Constants!$B$18*IF($AW205,$AX205,Constants!$B$19),Constants!$B$20))</f>
        <v/>
      </c>
      <c r="BO205" s="138" t="str">
        <f aca="false">IF($BX205&lt;&gt;Constants!$B$6,"",Constants!$B$21*ABS($AD$9-IF($AT205,$AU205,0)))</f>
        <v/>
      </c>
      <c r="BP205" s="138" t="str">
        <f aca="false">IF($BX205&lt;&gt;Constants!$B$6,"",IF(AND($AT205,$AY205,$AW205),Constants!$B$22,0))</f>
        <v/>
      </c>
      <c r="BQ205" s="138" t="str">
        <f aca="false">IF($BX205&lt;&gt;Constants!$B$6,"",IF($AT205,($AI205-Constants!$B$24)*Constants!$B$23,0))</f>
        <v/>
      </c>
      <c r="BR205" s="138" t="str">
        <f aca="false">IF($BX205&lt;&gt;Constants!$B$6,"",IF($AS205,0,Constants!$B$12)+IF($AR205,0,Constants!$B$13)+IF($AH205,0,Constants!$B$14))</f>
        <v/>
      </c>
      <c r="BS205" s="139" t="str">
        <f aca="false">IF($BX205&lt;&gt;Constants!$B$6,"",Constants!$B$16+SUM($BN205:$BR205))</f>
        <v/>
      </c>
      <c r="BT205" s="138" t="str">
        <f aca="false">IF($BX205&lt;&gt;Constants!$B$6,"",$BN205)</f>
        <v/>
      </c>
      <c r="BU205" s="138" t="str">
        <f aca="false">IF($BX205&lt;&gt;Constants!$B$6,"",$BO205)</f>
        <v/>
      </c>
      <c r="BV205" s="140" t="str">
        <f aca="false">IF($BX205&lt;&gt;Constants!$B$6,"",IF($AT205,$AV205,""))</f>
        <v/>
      </c>
      <c r="BW205" s="135" t="str">
        <f aca="false">IF(ISBLANK($C205),"",IF(ISBLANK($D$7),$BW$5,IF(NOT(ISNUMBER($D$7)),$BW$6,"")))</f>
        <v/>
      </c>
      <c r="BX205" s="135" t="str">
        <f aca="false">IF(ISBLANK($C205),"",IF($BA205,Constants!$B$9,IF(COUNTA($E205:$AA205)=0,Constants!$B$8,IF(NOT($AG205),Constants!$B$7,IF(OR($BW205&lt;&gt;"",$BB205,$BM205),Constants!$B$10,Constants!$B$6)))))</f>
        <v/>
      </c>
      <c r="BY205" s="135" t="str">
        <f aca="false">IF(ISBLANK($C205),"",IF($BX205&lt;&gt;Constants!$B$6,$BX205,Constants!$B$11))</f>
        <v/>
      </c>
      <c r="BZ205" s="138" t="str">
        <f aca="false">IF($BX205&lt;&gt;Constants!$B$6,"",IF($BL205="-&gt;",$BS205,$BH205))</f>
        <v/>
      </c>
      <c r="CA205" s="138" t="str">
        <f aca="false">IF($BX205&lt;&gt;Constants!$B$6,"",IF($AF205,0,Constants!$B$15))</f>
        <v/>
      </c>
      <c r="CB205" s="138" t="str">
        <f aca="false">IF($BX205&lt;&gt;Constants!$B$6,"",((Constants!$B$25-$AZ205)-Constants!$B$25)/Constants!$B$26)</f>
        <v/>
      </c>
      <c r="CC205" s="138" t="str">
        <f aca="false">IF(ISBLANK($C205),"",IF($BX205&lt;&gt;Constants!$B$6,$BX205,SUM($BZ205:$CB205)))</f>
        <v/>
      </c>
      <c r="CD205" s="135" t="str">
        <f aca="false">IF(ISBLANK($C205),"",IF($BX205&lt;&gt;Constants!$B$6,$BX205,RANK($CC205,$CC$9:$CC$508,1)))</f>
        <v/>
      </c>
      <c r="CE205" s="138" t="str">
        <f aca="false">IF($BX205&lt;&gt;Constants!$B$6,"",IF($BL205="-&gt;",$BT205,$BI205))</f>
        <v/>
      </c>
      <c r="CF205" s="135" t="str">
        <f aca="false">IF(ISBLANK($C205),"",IF($BX205&lt;&gt;Constants!$B$6,$BX205,IF(ISNUMBER($CE205),RANK($CE205,$CE$9:$CE$508,1),COUNT($CE$9:$CE$508)+1)))</f>
        <v/>
      </c>
      <c r="CG205" s="138" t="str">
        <f aca="false">IF($BX205&lt;&gt;Constants!$B$6,"",IF($BL205="-&gt;",$BU205,$BJ205))</f>
        <v/>
      </c>
      <c r="CH205" s="135" t="str">
        <f aca="false">IF(ISBLANK($C205),"",IF($BX205&lt;&gt;Constants!$B$6,$BX205,IF(ISNUMBER($CG205),RANK($CG205,$CG$9:$CG$508,1),COUNT($CG$9:$CG$508)+1)))</f>
        <v/>
      </c>
      <c r="CI205" s="138" t="str">
        <f aca="false">IF($BX205&lt;&gt;Constants!$B$6,"",IF($BL205="-&gt;",$BV205,$BK205))</f>
        <v/>
      </c>
      <c r="CJ205" s="135" t="str">
        <f aca="false">IF(ISBLANK($C205),"",IF($BX205&lt;&gt;Constants!$B$6,$BX205,IF(ISNUMBER($CI205),RANK($CI205,$CI$9:$CI$508,1),COUNT($CI$9:$CI$508)+1)))</f>
        <v/>
      </c>
      <c r="CK205" s="138" t="str">
        <f aca="false">IF($BX205&lt;&gt;Constants!$B$6,"",$AI205)</f>
        <v/>
      </c>
      <c r="CL205" s="135" t="str">
        <f aca="false">IF(ISBLANK($C205),"",IF($BX205&lt;&gt;Constants!$B$6,$BX205,IF(ISNUMBER($CK205),RANK($CK205,$CK$9:$CK$508,1),COUNT($CK$9:$CK$508)+1)))</f>
        <v/>
      </c>
      <c r="CM205" s="135" t="str">
        <f aca="false">IF(ISBLANK($C205),"",IF($BX205&lt;&gt;Constants!$B$6,$BX205,COUNTIFS($CD$9:$CD$508,"&lt;"&amp;$CD205)+COUNTIFS($CD$9:$CD$508,$CD205,$CF$9:$CF$508,"&lt;"&amp;$CF205)+COUNTIFS($CD$9:$CD$508,$CD205,$CF$9:$CF$508,$CF205,$CH$9:$CH$508,"&lt;"&amp;$CH205)+COUNTIFS($CD$9:$CD$508,$CD205,$CF$9:$CF$508,$CF205,$CH$9:$CH$508,$CH205,$CJ$9:$CJ$508,"&lt;"&amp;$CJ205)+COUNTIFS($CD$9:$CD$508,$CD205,$CF$9:$CF$508,$CF205,$CH$9:$CH$508,$CH205,$CJ$9:$CJ$508,$CJ205,$CL$9:$CL$508,"&lt;"&amp;$CL205)+1))</f>
        <v/>
      </c>
      <c r="CN205" s="135" t="str">
        <f aca="false">IF(ISBLANK($C205),"",IF($BX205&lt;&gt;Constants!$B$6,$BX205,$CD205-$CM205))</f>
        <v/>
      </c>
      <c r="CO205" s="141"/>
      <c r="CP205" s="142"/>
      <c r="CQ205" s="143" t="str">
        <f aca="false">IF(ISBLANK($C205),"",IF($BX205=Constants!$B$10,$BW205,""))</f>
        <v/>
      </c>
      <c r="CR205" s="142" t="str">
        <f aca="false">IF(ISBLANK($C205),"",IF($BX205&lt;&gt;Constants!$B$6,"",IF($BL205="-&gt;",2,1)))</f>
        <v/>
      </c>
      <c r="CS205" s="144" t="str">
        <f aca="false">IF(ISBLANK($C205),"",IF($BX205&lt;&gt;Constants!$B$6,"",IF($BL205="-&gt;",$BN205,$BC205)))</f>
        <v/>
      </c>
      <c r="CT205" s="144" t="str">
        <f aca="false">IF(ISBLANK($C205),"",IF($BX205&lt;&gt;Constants!$B$6,"",IF($BL205="-&gt;",$BO205,$BD205)))</f>
        <v/>
      </c>
      <c r="CU205" s="144" t="str">
        <f aca="false">IF(ISBLANK($C205),"",IF($BX205&lt;&gt;Constants!$B$6,"",IF($BL205="-&gt;",$BP205+$BQ205,$BE205+$BF205)+$CB205))</f>
        <v/>
      </c>
      <c r="CV205" s="144" t="str">
        <f aca="false">IF(ISBLANK($C205),"",IF($BX205&lt;&gt;Constants!$B$6,"",IF($BL205="-&gt;",$BR205,$BG205)+$CA205))</f>
        <v/>
      </c>
      <c r="CW205" s="145" t="str">
        <f aca="false">IF(ISBLANK($C205),"",IF($BX205&lt;&gt;Constants!$B$6,$BX205,$CC205))</f>
        <v/>
      </c>
      <c r="CX205" s="146" t="str">
        <f aca="false">IF(ISBLANK($C205),"",$BY205)</f>
        <v/>
      </c>
      <c r="CY205" s="147" t="str">
        <f aca="false">IF(ISBLANK($C205),"",$CN205)</f>
        <v/>
      </c>
      <c r="CZ205" s="147" t="str">
        <f aca="false">IF(ISBLANK($C205),"",$CM205)</f>
        <v/>
      </c>
      <c r="DA205" s="148" t="str">
        <f aca="false">IF(ISBLANK($C205),"",IFERROR(_xlfn.SWITCH($CZ205,Constants!$B$9,COUNTA($C$9:$C$508)+2,Constants!$B$8,COUNTA($C$9:$C$508)+1,Constants!$B$7,COUNTA($C$9:$C$508)),$CZ205))</f>
        <v/>
      </c>
      <c r="DB205" s="9"/>
      <c r="DC205" s="149" t="n">
        <f aca="false">IF(OR(ISNUMBER($CZ205),$CZ205=Constants!$B$9,$CZ205=Constants!$B$7,$CZ205=Constants!$B$8),1,0)</f>
        <v>0</v>
      </c>
      <c r="DD205" s="149" t="n">
        <v>197</v>
      </c>
      <c r="DE205" s="149" t="str">
        <f aca="false">IF(ISBLANK($C205),"",IF(ISNUMBER($DA205),$DA205+ROW($B205)/1000,""))</f>
        <v/>
      </c>
      <c r="DF205" s="149" t="str">
        <f aca="false">IF(ISNUMBER($DE205),RANK($DE205,$DE$9:$DE$508,1),"")</f>
        <v/>
      </c>
      <c r="DG205" s="149" t="str">
        <f aca="false">IF(ISBLANK($C205),"",$B205)</f>
        <v/>
      </c>
      <c r="DH205" s="149" t="str">
        <f aca="false">IF(ISBLANK($C205),"",$C205)</f>
        <v/>
      </c>
      <c r="DI205" s="149" t="str">
        <f aca="false">IF(ISBLANK($C205),"",$D205)</f>
        <v/>
      </c>
      <c r="DJ205" s="150" t="str">
        <f aca="false">$CX205</f>
        <v/>
      </c>
      <c r="DK205" s="151" t="str">
        <f aca="false">$CW205</f>
        <v/>
      </c>
      <c r="DL205" s="149" t="str">
        <f aca="false">IF(ISBLANK($C205),"",$CZ205)</f>
        <v/>
      </c>
      <c r="DM205" s="152" t="str">
        <f aca="false">IF($DD205&gt;$DC$8,"",VLOOKUP($DD205,$DF$9:$DL$508,7,FALSE()))</f>
        <v/>
      </c>
      <c r="DN205" s="153" t="str">
        <f aca="false">IF($DD205&gt;$DC$8,"",VLOOKUP($DD205,$DF$9:$DL$508,2,FALSE()))</f>
        <v/>
      </c>
      <c r="DO205" s="153" t="str">
        <f aca="false">IF($DD205&gt;$DC$8,"",VLOOKUP($DD205,$DF$9:$DL$508,3,FALSE()))</f>
        <v/>
      </c>
      <c r="DP205" s="153" t="str">
        <f aca="false">IF($DD205&gt;$DC$8,"",VLOOKUP($DD205,$DF$9:$DL$508,4,FALSE()))</f>
        <v/>
      </c>
      <c r="DQ205" s="153" t="str">
        <f aca="false">IF($DD205&gt;$DC$8,"",VLOOKUP($DD205,$DF$9:$DL$508,5,FALSE()))</f>
        <v/>
      </c>
      <c r="DR205" s="154" t="str">
        <f aca="false">IF($DD205&gt;$DC$8,"",VLOOKUP($DD205,$DF$9:$DL$508,6,FALSE()))</f>
        <v/>
      </c>
      <c r="DS205" s="76"/>
    </row>
    <row r="206" customFormat="false" ht="15.75" hidden="false" customHeight="false" outlineLevel="0" collapsed="false">
      <c r="A206" s="9"/>
      <c r="B206" s="160"/>
      <c r="C206" s="161"/>
      <c r="D206" s="162"/>
      <c r="E206" s="180"/>
      <c r="F206" s="164"/>
      <c r="G206" s="165"/>
      <c r="H206" s="165"/>
      <c r="I206" s="181"/>
      <c r="J206" s="168"/>
      <c r="K206" s="128"/>
      <c r="L206" s="129"/>
      <c r="M206" s="130"/>
      <c r="N206" s="168"/>
      <c r="O206" s="168"/>
      <c r="P206" s="180"/>
      <c r="Q206" s="168"/>
      <c r="R206" s="168"/>
      <c r="S206" s="128"/>
      <c r="T206" s="130"/>
      <c r="U206" s="130"/>
      <c r="V206" s="168"/>
      <c r="W206" s="168"/>
      <c r="X206" s="180"/>
      <c r="Y206" s="168"/>
      <c r="Z206" s="169"/>
      <c r="AA206" s="168"/>
      <c r="AB206" s="134"/>
      <c r="AC206" s="135"/>
      <c r="AD206" s="135"/>
      <c r="AE206" s="135"/>
      <c r="AF206" s="135" t="str">
        <f aca="false">IF(ISBLANK($C206),"",IF(E206=Constants!$B$2,TRUE(),IF(E206=Constants!$B$3,FALSE(),TRUE())))</f>
        <v/>
      </c>
      <c r="AG206" s="135" t="str">
        <f aca="false">IF(ISBLANK($C206),"",IF(F206=Constants!$B$2,TRUE(),IF(F206=Constants!$B$3,FALSE(),TRUE())))</f>
        <v/>
      </c>
      <c r="AH206" s="135" t="str">
        <f aca="false">IF(ISBLANK($C206),"",IF(G206=Constants!$B$2,TRUE(),IF(G206=Constants!$B$3,FALSE(),TRUE())))</f>
        <v/>
      </c>
      <c r="AI206" s="135" t="str">
        <f aca="false">IF(ISBLANK($C206),"",IF(AND(ISNUMBER(H206),H206&gt;=0),H206,Constants!$B$24))</f>
        <v/>
      </c>
      <c r="AJ206" s="135" t="str">
        <f aca="false">IF(ISBLANK($C206),"",IF(I206=Constants!$B$2,TRUE(),IF(I206=Constants!$B$3,FALSE(),TRUE())))</f>
        <v/>
      </c>
      <c r="AK206" s="135" t="str">
        <f aca="false">IF(ISBLANK($C206),"",IF(J206=Constants!$B$2,TRUE(),IF(J206=Constants!$B$3,FALSE(),TRUE())))</f>
        <v/>
      </c>
      <c r="AL206" s="135" t="str">
        <f aca="false">IF(ISBLANK($C206),"",IF(K206=Constants!$B$4,TRUE(),IF(K206=Constants!$B$5,FALSE(),COUNTA(L206:P206)&gt;0)))</f>
        <v/>
      </c>
      <c r="AM206" s="136" t="str">
        <f aca="false">IF(ISBLANK($C206),"",IF(ISNUMBER(L206),IF(L206&gt;=0,L206,""),""))</f>
        <v/>
      </c>
      <c r="AN206" s="137" t="str">
        <f aca="false">IF(ISBLANK($C206),"",IF(ISNUMBER(M206),IF(M206&gt;=0,M206,""),""))</f>
        <v/>
      </c>
      <c r="AO206" s="137" t="str">
        <f aca="false">IF(ISBLANK($C206),"",IF(N206=Constants!$B$2,TRUE(),IF(N206=Constants!$B$3,FALSE(),TRUE())))</f>
        <v/>
      </c>
      <c r="AP206" s="135" t="str">
        <f aca="false">IF(ISBLANK($C206),"",IF(ISNUMBER(O206),IF(O206&gt;=0,O206,""),""))</f>
        <v/>
      </c>
      <c r="AQ206" s="135" t="str">
        <f aca="false">IF(ISBLANK($C206),"",IF(P206=Constants!$B$2,TRUE(),IF(P206=Constants!$B$3,FALSE(),FALSE())))</f>
        <v/>
      </c>
      <c r="AR206" s="135" t="str">
        <f aca="false">IF(ISBLANK($C206),"",IF(Q206=Constants!$B$2,TRUE(),IF(Q206=Constants!$B$3,FALSE(),TRUE())))</f>
        <v/>
      </c>
      <c r="AS206" s="135" t="str">
        <f aca="false">IF(ISBLANK($C206),"",IF(R206=Constants!$B$2,TRUE(),IF(R206=Constants!$B$3,FALSE(),TRUE())))</f>
        <v/>
      </c>
      <c r="AT206" s="135" t="str">
        <f aca="false">IF(ISBLANK($C206),"",IF(S206=Constants!$B$4,TRUE(),IF(S206=Constants!$B$5,FALSE(),COUNTA(T206:X206)&gt;0)))</f>
        <v/>
      </c>
      <c r="AU206" s="136" t="str">
        <f aca="false">IF(ISBLANK($C206),"",IF(ISNUMBER(T206),IF(T206&gt;=0,T206,""),""))</f>
        <v/>
      </c>
      <c r="AV206" s="137" t="str">
        <f aca="false">IF(ISBLANK($C206),"",IF(ISNUMBER(U206),IF(U206&gt;=0,U206,""),""))</f>
        <v/>
      </c>
      <c r="AW206" s="137" t="str">
        <f aca="false">IF(ISBLANK($C206),"",IF(V206=Constants!$B$2,TRUE(),IF(V206=Constants!$B$3,FALSE(),TRUE())))</f>
        <v/>
      </c>
      <c r="AX206" s="135" t="str">
        <f aca="false">IF(ISBLANK($C206),"",IF(ISNUMBER(W206),IF(W206&gt;=0,W206,""),""))</f>
        <v/>
      </c>
      <c r="AY206" s="135" t="str">
        <f aca="false">IF(ISBLANK($C206),"",IF(X206=Constants!$B$2,TRUE(),IF(X206=Constants!$B$3,FALSE(),FALSE())))</f>
        <v/>
      </c>
      <c r="AZ206" s="135" t="str">
        <f aca="false">IF(ISBLANK($C206),"",MIN(Constants!$B$25,MAX(0,IF(ISNUMBER(Y206),Y206*60,0)+IF(ISNUMBER(Z206),Z206,0))))</f>
        <v/>
      </c>
      <c r="BA206" s="135" t="str">
        <f aca="false">IF(ISBLANK($C206),"",IF(AA206=Constants!$B$2,TRUE(),IF(AA206=Constants!$B$3,FALSE(),FALSE())))</f>
        <v/>
      </c>
      <c r="BB206" s="134" t="str">
        <f aca="false">IF(ISBLANK($C206),"",AND($AL206,OR($AM206="",$AN206="",AND($AO206,$AP206=""))))</f>
        <v/>
      </c>
      <c r="BC206" s="137" t="str">
        <f aca="false">IF($BX206&lt;&gt;Constants!$B$6,"",IF($AL206,Constants!$B$17*$AN206+Constants!$B$18*IF($AO206,$AP206,Constants!$B$19),Constants!$B$20))</f>
        <v/>
      </c>
      <c r="BD206" s="138" t="str">
        <f aca="false">IF($BX206&lt;&gt;Constants!$B$6,"",Constants!$B$21*ABS($AD$9-IF($AL206,$AM206,0)))</f>
        <v/>
      </c>
      <c r="BE206" s="138" t="str">
        <f aca="false">IF($BX206&lt;&gt;Constants!$B$6,"",IF(AND($AL206,$AQ206,$AO206),Constants!$B$22,0))</f>
        <v/>
      </c>
      <c r="BF206" s="138" t="str">
        <f aca="false">IF($BX206&lt;&gt;Constants!$B$6,"",IF($AL206,($AI206-Constants!$B$24)*Constants!$B$23,0))</f>
        <v/>
      </c>
      <c r="BG206" s="138" t="str">
        <f aca="false">IF($BX206&lt;&gt;Constants!$B$6,"",IF($AK206,0,Constants!$B$12)+IF($AJ206,0,Constants!$B$13)+IF($AH206,0,Constants!$B$14))</f>
        <v/>
      </c>
      <c r="BH206" s="139" t="str">
        <f aca="false">IF($BX206&lt;&gt;Constants!$B$6,"",Constants!$B$16+SUM($BC206:$BG206))</f>
        <v/>
      </c>
      <c r="BI206" s="138" t="str">
        <f aca="false">IF($BX206&lt;&gt;Constants!$B$6,"",$BC206)</f>
        <v/>
      </c>
      <c r="BJ206" s="138" t="str">
        <f aca="false">IF($BX206&lt;&gt;Constants!$B$6,"",$BD206)</f>
        <v/>
      </c>
      <c r="BK206" s="140" t="str">
        <f aca="false">IF($BX206&lt;&gt;Constants!$B$6,"",IF($AL206,$AN206,""))</f>
        <v/>
      </c>
      <c r="BL206" s="135" t="str">
        <f aca="false">IF($BX206&lt;&gt;Constants!$B$6,"",IF(OR($BS206&lt;$BH206,AND($BS206=$BH206,OR($BT206&lt;$BI206,AND($BT206=$BI206,OR($BU206&lt;$BJ206,AND($BU206=$BJ206,AND(ISNUMBER($BV206),OR(NOT(ISNUMBER($BK206)),$BV206&lt;$BK206)))))))),"-&gt;","&lt;-"))</f>
        <v/>
      </c>
      <c r="BM206" s="134" t="str">
        <f aca="false">IF(ISBLANK($C206),"",AND($AT206,OR($AU206="",$AV206="",AND($AW206,$AX206=""))))</f>
        <v/>
      </c>
      <c r="BN206" s="137" t="str">
        <f aca="false">IF($BX206&lt;&gt;Constants!$B$6,"",IF($AT206,Constants!$B$17*$AV206+Constants!$B$18*IF($AW206,$AX206,Constants!$B$19),Constants!$B$20))</f>
        <v/>
      </c>
      <c r="BO206" s="138" t="str">
        <f aca="false">IF($BX206&lt;&gt;Constants!$B$6,"",Constants!$B$21*ABS($AD$9-IF($AT206,$AU206,0)))</f>
        <v/>
      </c>
      <c r="BP206" s="138" t="str">
        <f aca="false">IF($BX206&lt;&gt;Constants!$B$6,"",IF(AND($AT206,$AY206,$AW206),Constants!$B$22,0))</f>
        <v/>
      </c>
      <c r="BQ206" s="138" t="str">
        <f aca="false">IF($BX206&lt;&gt;Constants!$B$6,"",IF($AT206,($AI206-Constants!$B$24)*Constants!$B$23,0))</f>
        <v/>
      </c>
      <c r="BR206" s="138" t="str">
        <f aca="false">IF($BX206&lt;&gt;Constants!$B$6,"",IF($AS206,0,Constants!$B$12)+IF($AR206,0,Constants!$B$13)+IF($AH206,0,Constants!$B$14))</f>
        <v/>
      </c>
      <c r="BS206" s="139" t="str">
        <f aca="false">IF($BX206&lt;&gt;Constants!$B$6,"",Constants!$B$16+SUM($BN206:$BR206))</f>
        <v/>
      </c>
      <c r="BT206" s="138" t="str">
        <f aca="false">IF($BX206&lt;&gt;Constants!$B$6,"",$BN206)</f>
        <v/>
      </c>
      <c r="BU206" s="138" t="str">
        <f aca="false">IF($BX206&lt;&gt;Constants!$B$6,"",$BO206)</f>
        <v/>
      </c>
      <c r="BV206" s="140" t="str">
        <f aca="false">IF($BX206&lt;&gt;Constants!$B$6,"",IF($AT206,$AV206,""))</f>
        <v/>
      </c>
      <c r="BW206" s="135" t="str">
        <f aca="false">IF(ISBLANK($C206),"",IF(ISBLANK($D$7),$BW$5,IF(NOT(ISNUMBER($D$7)),$BW$6,"")))</f>
        <v/>
      </c>
      <c r="BX206" s="135" t="str">
        <f aca="false">IF(ISBLANK($C206),"",IF($BA206,Constants!$B$9,IF(COUNTA($E206:$AA206)=0,Constants!$B$8,IF(NOT($AG206),Constants!$B$7,IF(OR($BW206&lt;&gt;"",$BB206,$BM206),Constants!$B$10,Constants!$B$6)))))</f>
        <v/>
      </c>
      <c r="BY206" s="135" t="str">
        <f aca="false">IF(ISBLANK($C206),"",IF($BX206&lt;&gt;Constants!$B$6,$BX206,Constants!$B$11))</f>
        <v/>
      </c>
      <c r="BZ206" s="138" t="str">
        <f aca="false">IF($BX206&lt;&gt;Constants!$B$6,"",IF($BL206="-&gt;",$BS206,$BH206))</f>
        <v/>
      </c>
      <c r="CA206" s="138" t="str">
        <f aca="false">IF($BX206&lt;&gt;Constants!$B$6,"",IF($AF206,0,Constants!$B$15))</f>
        <v/>
      </c>
      <c r="CB206" s="138" t="str">
        <f aca="false">IF($BX206&lt;&gt;Constants!$B$6,"",((Constants!$B$25-$AZ206)-Constants!$B$25)/Constants!$B$26)</f>
        <v/>
      </c>
      <c r="CC206" s="138" t="str">
        <f aca="false">IF(ISBLANK($C206),"",IF($BX206&lt;&gt;Constants!$B$6,$BX206,SUM($BZ206:$CB206)))</f>
        <v/>
      </c>
      <c r="CD206" s="135" t="str">
        <f aca="false">IF(ISBLANK($C206),"",IF($BX206&lt;&gt;Constants!$B$6,$BX206,RANK($CC206,$CC$9:$CC$508,1)))</f>
        <v/>
      </c>
      <c r="CE206" s="138" t="str">
        <f aca="false">IF($BX206&lt;&gt;Constants!$B$6,"",IF($BL206="-&gt;",$BT206,$BI206))</f>
        <v/>
      </c>
      <c r="CF206" s="135" t="str">
        <f aca="false">IF(ISBLANK($C206),"",IF($BX206&lt;&gt;Constants!$B$6,$BX206,IF(ISNUMBER($CE206),RANK($CE206,$CE$9:$CE$508,1),COUNT($CE$9:$CE$508)+1)))</f>
        <v/>
      </c>
      <c r="CG206" s="138" t="str">
        <f aca="false">IF($BX206&lt;&gt;Constants!$B$6,"",IF($BL206="-&gt;",$BU206,$BJ206))</f>
        <v/>
      </c>
      <c r="CH206" s="135" t="str">
        <f aca="false">IF(ISBLANK($C206),"",IF($BX206&lt;&gt;Constants!$B$6,$BX206,IF(ISNUMBER($CG206),RANK($CG206,$CG$9:$CG$508,1),COUNT($CG$9:$CG$508)+1)))</f>
        <v/>
      </c>
      <c r="CI206" s="138" t="str">
        <f aca="false">IF($BX206&lt;&gt;Constants!$B$6,"",IF($BL206="-&gt;",$BV206,$BK206))</f>
        <v/>
      </c>
      <c r="CJ206" s="135" t="str">
        <f aca="false">IF(ISBLANK($C206),"",IF($BX206&lt;&gt;Constants!$B$6,$BX206,IF(ISNUMBER($CI206),RANK($CI206,$CI$9:$CI$508,1),COUNT($CI$9:$CI$508)+1)))</f>
        <v/>
      </c>
      <c r="CK206" s="138" t="str">
        <f aca="false">IF($BX206&lt;&gt;Constants!$B$6,"",$AI206)</f>
        <v/>
      </c>
      <c r="CL206" s="135" t="str">
        <f aca="false">IF(ISBLANK($C206),"",IF($BX206&lt;&gt;Constants!$B$6,$BX206,IF(ISNUMBER($CK206),RANK($CK206,$CK$9:$CK$508,1),COUNT($CK$9:$CK$508)+1)))</f>
        <v/>
      </c>
      <c r="CM206" s="135" t="str">
        <f aca="false">IF(ISBLANK($C206),"",IF($BX206&lt;&gt;Constants!$B$6,$BX206,COUNTIFS($CD$9:$CD$508,"&lt;"&amp;$CD206)+COUNTIFS($CD$9:$CD$508,$CD206,$CF$9:$CF$508,"&lt;"&amp;$CF206)+COUNTIFS($CD$9:$CD$508,$CD206,$CF$9:$CF$508,$CF206,$CH$9:$CH$508,"&lt;"&amp;$CH206)+COUNTIFS($CD$9:$CD$508,$CD206,$CF$9:$CF$508,$CF206,$CH$9:$CH$508,$CH206,$CJ$9:$CJ$508,"&lt;"&amp;$CJ206)+COUNTIFS($CD$9:$CD$508,$CD206,$CF$9:$CF$508,$CF206,$CH$9:$CH$508,$CH206,$CJ$9:$CJ$508,$CJ206,$CL$9:$CL$508,"&lt;"&amp;$CL206)+1))</f>
        <v/>
      </c>
      <c r="CN206" s="135" t="str">
        <f aca="false">IF(ISBLANK($C206),"",IF($BX206&lt;&gt;Constants!$B$6,$BX206,$CD206-$CM206))</f>
        <v/>
      </c>
      <c r="CO206" s="141"/>
      <c r="CP206" s="142"/>
      <c r="CQ206" s="143" t="str">
        <f aca="false">IF(ISBLANK($C206),"",IF($BX206=Constants!$B$10,$BW206,""))</f>
        <v/>
      </c>
      <c r="CR206" s="142" t="str">
        <f aca="false">IF(ISBLANK($C206),"",IF($BX206&lt;&gt;Constants!$B$6,"",IF($BL206="-&gt;",2,1)))</f>
        <v/>
      </c>
      <c r="CS206" s="144" t="str">
        <f aca="false">IF(ISBLANK($C206),"",IF($BX206&lt;&gt;Constants!$B$6,"",IF($BL206="-&gt;",$BN206,$BC206)))</f>
        <v/>
      </c>
      <c r="CT206" s="144" t="str">
        <f aca="false">IF(ISBLANK($C206),"",IF($BX206&lt;&gt;Constants!$B$6,"",IF($BL206="-&gt;",$BO206,$BD206)))</f>
        <v/>
      </c>
      <c r="CU206" s="144" t="str">
        <f aca="false">IF(ISBLANK($C206),"",IF($BX206&lt;&gt;Constants!$B$6,"",IF($BL206="-&gt;",$BP206+$BQ206,$BE206+$BF206)+$CB206))</f>
        <v/>
      </c>
      <c r="CV206" s="144" t="str">
        <f aca="false">IF(ISBLANK($C206),"",IF($BX206&lt;&gt;Constants!$B$6,"",IF($BL206="-&gt;",$BR206,$BG206)+$CA206))</f>
        <v/>
      </c>
      <c r="CW206" s="145" t="str">
        <f aca="false">IF(ISBLANK($C206),"",IF($BX206&lt;&gt;Constants!$B$6,$BX206,$CC206))</f>
        <v/>
      </c>
      <c r="CX206" s="146" t="str">
        <f aca="false">IF(ISBLANK($C206),"",$BY206)</f>
        <v/>
      </c>
      <c r="CY206" s="147" t="str">
        <f aca="false">IF(ISBLANK($C206),"",$CN206)</f>
        <v/>
      </c>
      <c r="CZ206" s="147" t="str">
        <f aca="false">IF(ISBLANK($C206),"",$CM206)</f>
        <v/>
      </c>
      <c r="DA206" s="148" t="str">
        <f aca="false">IF(ISBLANK($C206),"",IFERROR(_xlfn.SWITCH($CZ206,Constants!$B$9,COUNTA($C$9:$C$508)+2,Constants!$B$8,COUNTA($C$9:$C$508)+1,Constants!$B$7,COUNTA($C$9:$C$508)),$CZ206))</f>
        <v/>
      </c>
      <c r="DB206" s="9"/>
      <c r="DC206" s="149" t="n">
        <f aca="false">IF(OR(ISNUMBER($CZ206),$CZ206=Constants!$B$9,$CZ206=Constants!$B$7,$CZ206=Constants!$B$8),1,0)</f>
        <v>0</v>
      </c>
      <c r="DD206" s="149" t="n">
        <v>198</v>
      </c>
      <c r="DE206" s="149" t="str">
        <f aca="false">IF(ISBLANK($C206),"",IF(ISNUMBER($DA206),$DA206+ROW($B206)/1000,""))</f>
        <v/>
      </c>
      <c r="DF206" s="149" t="str">
        <f aca="false">IF(ISNUMBER($DE206),RANK($DE206,$DE$9:$DE$508,1),"")</f>
        <v/>
      </c>
      <c r="DG206" s="149" t="str">
        <f aca="false">IF(ISBLANK($C206),"",$B206)</f>
        <v/>
      </c>
      <c r="DH206" s="149" t="str">
        <f aca="false">IF(ISBLANK($C206),"",$C206)</f>
        <v/>
      </c>
      <c r="DI206" s="149" t="str">
        <f aca="false">IF(ISBLANK($C206),"",$D206)</f>
        <v/>
      </c>
      <c r="DJ206" s="150" t="str">
        <f aca="false">$CX206</f>
        <v/>
      </c>
      <c r="DK206" s="151" t="str">
        <f aca="false">$CW206</f>
        <v/>
      </c>
      <c r="DL206" s="149" t="str">
        <f aca="false">IF(ISBLANK($C206),"",$CZ206)</f>
        <v/>
      </c>
      <c r="DM206" s="152" t="str">
        <f aca="false">IF($DD206&gt;$DC$8,"",VLOOKUP($DD206,$DF$9:$DL$508,7,FALSE()))</f>
        <v/>
      </c>
      <c r="DN206" s="153" t="str">
        <f aca="false">IF($DD206&gt;$DC$8,"",VLOOKUP($DD206,$DF$9:$DL$508,2,FALSE()))</f>
        <v/>
      </c>
      <c r="DO206" s="153" t="str">
        <f aca="false">IF($DD206&gt;$DC$8,"",VLOOKUP($DD206,$DF$9:$DL$508,3,FALSE()))</f>
        <v/>
      </c>
      <c r="DP206" s="153" t="str">
        <f aca="false">IF($DD206&gt;$DC$8,"",VLOOKUP($DD206,$DF$9:$DL$508,4,FALSE()))</f>
        <v/>
      </c>
      <c r="DQ206" s="153" t="str">
        <f aca="false">IF($DD206&gt;$DC$8,"",VLOOKUP($DD206,$DF$9:$DL$508,5,FALSE()))</f>
        <v/>
      </c>
      <c r="DR206" s="154" t="str">
        <f aca="false">IF($DD206&gt;$DC$8,"",VLOOKUP($DD206,$DF$9:$DL$508,6,FALSE()))</f>
        <v/>
      </c>
      <c r="DS206" s="76"/>
    </row>
    <row r="207" customFormat="false" ht="15.75" hidden="false" customHeight="false" outlineLevel="0" collapsed="false">
      <c r="A207" s="9"/>
      <c r="B207" s="78"/>
      <c r="C207" s="79"/>
      <c r="D207" s="170"/>
      <c r="E207" s="178"/>
      <c r="F207" s="172"/>
      <c r="G207" s="173"/>
      <c r="H207" s="173"/>
      <c r="I207" s="179"/>
      <c r="J207" s="176"/>
      <c r="K207" s="86"/>
      <c r="L207" s="87"/>
      <c r="M207" s="88"/>
      <c r="N207" s="176"/>
      <c r="O207" s="176"/>
      <c r="P207" s="178"/>
      <c r="Q207" s="176"/>
      <c r="R207" s="176"/>
      <c r="S207" s="86"/>
      <c r="T207" s="88"/>
      <c r="U207" s="88"/>
      <c r="V207" s="176"/>
      <c r="W207" s="176"/>
      <c r="X207" s="178"/>
      <c r="Y207" s="176"/>
      <c r="Z207" s="177"/>
      <c r="AA207" s="176"/>
      <c r="AB207" s="92"/>
      <c r="AC207" s="93"/>
      <c r="AD207" s="93"/>
      <c r="AE207" s="93"/>
      <c r="AF207" s="93" t="str">
        <f aca="false">IF(ISBLANK($C207),"",IF(E207=Constants!$B$2,TRUE(),IF(E207=Constants!$B$3,FALSE(),TRUE())))</f>
        <v/>
      </c>
      <c r="AG207" s="93" t="str">
        <f aca="false">IF(ISBLANK($C207),"",IF(F207=Constants!$B$2,TRUE(),IF(F207=Constants!$B$3,FALSE(),TRUE())))</f>
        <v/>
      </c>
      <c r="AH207" s="93" t="str">
        <f aca="false">IF(ISBLANK($C207),"",IF(G207=Constants!$B$2,TRUE(),IF(G207=Constants!$B$3,FALSE(),TRUE())))</f>
        <v/>
      </c>
      <c r="AI207" s="93" t="str">
        <f aca="false">IF(ISBLANK($C207),"",IF(AND(ISNUMBER(H207),H207&gt;=0),H207,Constants!$B$24))</f>
        <v/>
      </c>
      <c r="AJ207" s="93" t="str">
        <f aca="false">IF(ISBLANK($C207),"",IF(I207=Constants!$B$2,TRUE(),IF(I207=Constants!$B$3,FALSE(),TRUE())))</f>
        <v/>
      </c>
      <c r="AK207" s="93" t="str">
        <f aca="false">IF(ISBLANK($C207),"",IF(J207=Constants!$B$2,TRUE(),IF(J207=Constants!$B$3,FALSE(),TRUE())))</f>
        <v/>
      </c>
      <c r="AL207" s="93" t="str">
        <f aca="false">IF(ISBLANK($C207),"",IF(K207=Constants!$B$4,TRUE(),IF(K207=Constants!$B$5,FALSE(),COUNTA(L207:P207)&gt;0)))</f>
        <v/>
      </c>
      <c r="AM207" s="95" t="str">
        <f aca="false">IF(ISBLANK($C207),"",IF(ISNUMBER(L207),IF(L207&gt;=0,L207,""),""))</f>
        <v/>
      </c>
      <c r="AN207" s="94" t="str">
        <f aca="false">IF(ISBLANK($C207),"",IF(ISNUMBER(M207),IF(M207&gt;=0,M207,""),""))</f>
        <v/>
      </c>
      <c r="AO207" s="94" t="str">
        <f aca="false">IF(ISBLANK($C207),"",IF(N207=Constants!$B$2,TRUE(),IF(N207=Constants!$B$3,FALSE(),TRUE())))</f>
        <v/>
      </c>
      <c r="AP207" s="93" t="str">
        <f aca="false">IF(ISBLANK($C207),"",IF(ISNUMBER(O207),IF(O207&gt;=0,O207,""),""))</f>
        <v/>
      </c>
      <c r="AQ207" s="93" t="str">
        <f aca="false">IF(ISBLANK($C207),"",IF(P207=Constants!$B$2,TRUE(),IF(P207=Constants!$B$3,FALSE(),FALSE())))</f>
        <v/>
      </c>
      <c r="AR207" s="93" t="str">
        <f aca="false">IF(ISBLANK($C207),"",IF(Q207=Constants!$B$2,TRUE(),IF(Q207=Constants!$B$3,FALSE(),TRUE())))</f>
        <v/>
      </c>
      <c r="AS207" s="93" t="str">
        <f aca="false">IF(ISBLANK($C207),"",IF(R207=Constants!$B$2,TRUE(),IF(R207=Constants!$B$3,FALSE(),TRUE())))</f>
        <v/>
      </c>
      <c r="AT207" s="93" t="str">
        <f aca="false">IF(ISBLANK($C207),"",IF(S207=Constants!$B$4,TRUE(),IF(S207=Constants!$B$5,FALSE(),COUNTA(T207:X207)&gt;0)))</f>
        <v/>
      </c>
      <c r="AU207" s="95" t="str">
        <f aca="false">IF(ISBLANK($C207),"",IF(ISNUMBER(T207),IF(T207&gt;=0,T207,""),""))</f>
        <v/>
      </c>
      <c r="AV207" s="94" t="str">
        <f aca="false">IF(ISBLANK($C207),"",IF(ISNUMBER(U207),IF(U207&gt;=0,U207,""),""))</f>
        <v/>
      </c>
      <c r="AW207" s="94" t="str">
        <f aca="false">IF(ISBLANK($C207),"",IF(V207=Constants!$B$2,TRUE(),IF(V207=Constants!$B$3,FALSE(),TRUE())))</f>
        <v/>
      </c>
      <c r="AX207" s="93" t="str">
        <f aca="false">IF(ISBLANK($C207),"",IF(ISNUMBER(W207),IF(W207&gt;=0,W207,""),""))</f>
        <v/>
      </c>
      <c r="AY207" s="93" t="str">
        <f aca="false">IF(ISBLANK($C207),"",IF(X207=Constants!$B$2,TRUE(),IF(X207=Constants!$B$3,FALSE(),FALSE())))</f>
        <v/>
      </c>
      <c r="AZ207" s="93" t="str">
        <f aca="false">IF(ISBLANK($C207),"",MIN(Constants!$B$25,MAX(0,IF(ISNUMBER(Y207),Y207*60,0)+IF(ISNUMBER(Z207),Z207,0))))</f>
        <v/>
      </c>
      <c r="BA207" s="93" t="str">
        <f aca="false">IF(ISBLANK($C207),"",IF(AA207=Constants!$B$2,TRUE(),IF(AA207=Constants!$B$3,FALSE(),FALSE())))</f>
        <v/>
      </c>
      <c r="BB207" s="92" t="str">
        <f aca="false">IF(ISBLANK($C207),"",AND($AL207,OR($AM207="",$AN207="",AND($AO207,$AP207=""))))</f>
        <v/>
      </c>
      <c r="BC207" s="94" t="str">
        <f aca="false">IF($BX207&lt;&gt;Constants!$B$6,"",IF($AL207,Constants!$B$17*$AN207+Constants!$B$18*IF($AO207,$AP207,Constants!$B$19),Constants!$B$20))</f>
        <v/>
      </c>
      <c r="BD207" s="97" t="str">
        <f aca="false">IF($BX207&lt;&gt;Constants!$B$6,"",Constants!$B$21*ABS($AD$9-IF($AL207,$AM207,0)))</f>
        <v/>
      </c>
      <c r="BE207" s="97" t="str">
        <f aca="false">IF($BX207&lt;&gt;Constants!$B$6,"",IF(AND($AL207,$AQ207,$AO207),Constants!$B$22,0))</f>
        <v/>
      </c>
      <c r="BF207" s="97" t="str">
        <f aca="false">IF($BX207&lt;&gt;Constants!$B$6,"",IF($AL207,($AI207-Constants!$B$24)*Constants!$B$23,0))</f>
        <v/>
      </c>
      <c r="BG207" s="97" t="str">
        <f aca="false">IF($BX207&lt;&gt;Constants!$B$6,"",IF($AK207,0,Constants!$B$12)+IF($AJ207,0,Constants!$B$13)+IF($AH207,0,Constants!$B$14))</f>
        <v/>
      </c>
      <c r="BH207" s="98" t="str">
        <f aca="false">IF($BX207&lt;&gt;Constants!$B$6,"",Constants!$B$16+SUM($BC207:$BG207))</f>
        <v/>
      </c>
      <c r="BI207" s="97" t="str">
        <f aca="false">IF($BX207&lt;&gt;Constants!$B$6,"",$BC207)</f>
        <v/>
      </c>
      <c r="BJ207" s="97" t="str">
        <f aca="false">IF($BX207&lt;&gt;Constants!$B$6,"",$BD207)</f>
        <v/>
      </c>
      <c r="BK207" s="99" t="str">
        <f aca="false">IF($BX207&lt;&gt;Constants!$B$6,"",IF($AL207,$AN207,""))</f>
        <v/>
      </c>
      <c r="BL207" s="93" t="str">
        <f aca="false">IF($BX207&lt;&gt;Constants!$B$6,"",IF(OR($BS207&lt;$BH207,AND($BS207=$BH207,OR($BT207&lt;$BI207,AND($BT207=$BI207,OR($BU207&lt;$BJ207,AND($BU207=$BJ207,AND(ISNUMBER($BV207),OR(NOT(ISNUMBER($BK207)),$BV207&lt;$BK207)))))))),"-&gt;","&lt;-"))</f>
        <v/>
      </c>
      <c r="BM207" s="92" t="str">
        <f aca="false">IF(ISBLANK($C207),"",AND($AT207,OR($AU207="",$AV207="",AND($AW207,$AX207=""))))</f>
        <v/>
      </c>
      <c r="BN207" s="94" t="str">
        <f aca="false">IF($BX207&lt;&gt;Constants!$B$6,"",IF($AT207,Constants!$B$17*$AV207+Constants!$B$18*IF($AW207,$AX207,Constants!$B$19),Constants!$B$20))</f>
        <v/>
      </c>
      <c r="BO207" s="97" t="str">
        <f aca="false">IF($BX207&lt;&gt;Constants!$B$6,"",Constants!$B$21*ABS($AD$9-IF($AT207,$AU207,0)))</f>
        <v/>
      </c>
      <c r="BP207" s="97" t="str">
        <f aca="false">IF($BX207&lt;&gt;Constants!$B$6,"",IF(AND($AT207,$AY207,$AW207),Constants!$B$22,0))</f>
        <v/>
      </c>
      <c r="BQ207" s="97" t="str">
        <f aca="false">IF($BX207&lt;&gt;Constants!$B$6,"",IF($AT207,($AI207-Constants!$B$24)*Constants!$B$23,0))</f>
        <v/>
      </c>
      <c r="BR207" s="97" t="str">
        <f aca="false">IF($BX207&lt;&gt;Constants!$B$6,"",IF($AS207,0,Constants!$B$12)+IF($AR207,0,Constants!$B$13)+IF($AH207,0,Constants!$B$14))</f>
        <v/>
      </c>
      <c r="BS207" s="98" t="str">
        <f aca="false">IF($BX207&lt;&gt;Constants!$B$6,"",Constants!$B$16+SUM($BN207:$BR207))</f>
        <v/>
      </c>
      <c r="BT207" s="97" t="str">
        <f aca="false">IF($BX207&lt;&gt;Constants!$B$6,"",$BN207)</f>
        <v/>
      </c>
      <c r="BU207" s="97" t="str">
        <f aca="false">IF($BX207&lt;&gt;Constants!$B$6,"",$BO207)</f>
        <v/>
      </c>
      <c r="BV207" s="99" t="str">
        <f aca="false">IF($BX207&lt;&gt;Constants!$B$6,"",IF($AT207,$AV207,""))</f>
        <v/>
      </c>
      <c r="BW207" s="93" t="str">
        <f aca="false">IF(ISBLANK($C207),"",IF(ISBLANK($D$7),$BW$5,IF(NOT(ISNUMBER($D$7)),$BW$6,"")))</f>
        <v/>
      </c>
      <c r="BX207" s="93" t="str">
        <f aca="false">IF(ISBLANK($C207),"",IF($BA207,Constants!$B$9,IF(COUNTA($E207:$AA207)=0,Constants!$B$8,IF(NOT($AG207),Constants!$B$7,IF(OR($BW207&lt;&gt;"",$BB207,$BM207),Constants!$B$10,Constants!$B$6)))))</f>
        <v/>
      </c>
      <c r="BY207" s="93" t="str">
        <f aca="false">IF(ISBLANK($C207),"",IF($BX207&lt;&gt;Constants!$B$6,$BX207,Constants!$B$11))</f>
        <v/>
      </c>
      <c r="BZ207" s="97" t="str">
        <f aca="false">IF($BX207&lt;&gt;Constants!$B$6,"",IF($BL207="-&gt;",$BS207,$BH207))</f>
        <v/>
      </c>
      <c r="CA207" s="97" t="str">
        <f aca="false">IF($BX207&lt;&gt;Constants!$B$6,"",IF($AF207,0,Constants!$B$15))</f>
        <v/>
      </c>
      <c r="CB207" s="97" t="str">
        <f aca="false">IF($BX207&lt;&gt;Constants!$B$6,"",((Constants!$B$25-$AZ207)-Constants!$B$25)/Constants!$B$26)</f>
        <v/>
      </c>
      <c r="CC207" s="97" t="str">
        <f aca="false">IF(ISBLANK($C207),"",IF($BX207&lt;&gt;Constants!$B$6,$BX207,SUM($BZ207:$CB207)))</f>
        <v/>
      </c>
      <c r="CD207" s="93" t="str">
        <f aca="false">IF(ISBLANK($C207),"",IF($BX207&lt;&gt;Constants!$B$6,$BX207,RANK($CC207,$CC$9:$CC$508,1)))</f>
        <v/>
      </c>
      <c r="CE207" s="97" t="str">
        <f aca="false">IF($BX207&lt;&gt;Constants!$B$6,"",IF($BL207="-&gt;",$BT207,$BI207))</f>
        <v/>
      </c>
      <c r="CF207" s="93" t="str">
        <f aca="false">IF(ISBLANK($C207),"",IF($BX207&lt;&gt;Constants!$B$6,$BX207,IF(ISNUMBER($CE207),RANK($CE207,$CE$9:$CE$508,1),COUNT($CE$9:$CE$508)+1)))</f>
        <v/>
      </c>
      <c r="CG207" s="97" t="str">
        <f aca="false">IF($BX207&lt;&gt;Constants!$B$6,"",IF($BL207="-&gt;",$BU207,$BJ207))</f>
        <v/>
      </c>
      <c r="CH207" s="93" t="str">
        <f aca="false">IF(ISBLANK($C207),"",IF($BX207&lt;&gt;Constants!$B$6,$BX207,IF(ISNUMBER($CG207),RANK($CG207,$CG$9:$CG$508,1),COUNT($CG$9:$CG$508)+1)))</f>
        <v/>
      </c>
      <c r="CI207" s="97" t="str">
        <f aca="false">IF($BX207&lt;&gt;Constants!$B$6,"",IF($BL207="-&gt;",$BV207,$BK207))</f>
        <v/>
      </c>
      <c r="CJ207" s="93" t="str">
        <f aca="false">IF(ISBLANK($C207),"",IF($BX207&lt;&gt;Constants!$B$6,$BX207,IF(ISNUMBER($CI207),RANK($CI207,$CI$9:$CI$508,1),COUNT($CI$9:$CI$508)+1)))</f>
        <v/>
      </c>
      <c r="CK207" s="97" t="str">
        <f aca="false">IF($BX207&lt;&gt;Constants!$B$6,"",$AI207)</f>
        <v/>
      </c>
      <c r="CL207" s="93" t="str">
        <f aca="false">IF(ISBLANK($C207),"",IF($BX207&lt;&gt;Constants!$B$6,$BX207,IF(ISNUMBER($CK207),RANK($CK207,$CK$9:$CK$508,1),COUNT($CK$9:$CK$508)+1)))</f>
        <v/>
      </c>
      <c r="CM207" s="93" t="str">
        <f aca="false">IF(ISBLANK($C207),"",IF($BX207&lt;&gt;Constants!$B$6,$BX207,COUNTIFS($CD$9:$CD$508,"&lt;"&amp;$CD207)+COUNTIFS($CD$9:$CD$508,$CD207,$CF$9:$CF$508,"&lt;"&amp;$CF207)+COUNTIFS($CD$9:$CD$508,$CD207,$CF$9:$CF$508,$CF207,$CH$9:$CH$508,"&lt;"&amp;$CH207)+COUNTIFS($CD$9:$CD$508,$CD207,$CF$9:$CF$508,$CF207,$CH$9:$CH$508,$CH207,$CJ$9:$CJ$508,"&lt;"&amp;$CJ207)+COUNTIFS($CD$9:$CD$508,$CD207,$CF$9:$CF$508,$CF207,$CH$9:$CH$508,$CH207,$CJ$9:$CJ$508,$CJ207,$CL$9:$CL$508,"&lt;"&amp;$CL207)+1))</f>
        <v/>
      </c>
      <c r="CN207" s="93" t="str">
        <f aca="false">IF(ISBLANK($C207),"",IF($BX207&lt;&gt;Constants!$B$6,$BX207,$CD207-$CM207))</f>
        <v/>
      </c>
      <c r="CO207" s="100"/>
      <c r="CP207" s="101"/>
      <c r="CQ207" s="102" t="str">
        <f aca="false">IF(ISBLANK($C207),"",IF($BX207=Constants!$B$10,$BW207,""))</f>
        <v/>
      </c>
      <c r="CR207" s="101" t="str">
        <f aca="false">IF(ISBLANK($C207),"",IF($BX207&lt;&gt;Constants!$B$6,"",IF($BL207="-&gt;",2,1)))</f>
        <v/>
      </c>
      <c r="CS207" s="103" t="str">
        <f aca="false">IF(ISBLANK($C207),"",IF($BX207&lt;&gt;Constants!$B$6,"",IF($BL207="-&gt;",$BN207,$BC207)))</f>
        <v/>
      </c>
      <c r="CT207" s="103" t="str">
        <f aca="false">IF(ISBLANK($C207),"",IF($BX207&lt;&gt;Constants!$B$6,"",IF($BL207="-&gt;",$BO207,$BD207)))</f>
        <v/>
      </c>
      <c r="CU207" s="103" t="str">
        <f aca="false">IF(ISBLANK($C207),"",IF($BX207&lt;&gt;Constants!$B$6,"",IF($BL207="-&gt;",$BP207+$BQ207,$BE207+$BF207)+$CB207))</f>
        <v/>
      </c>
      <c r="CV207" s="103" t="str">
        <f aca="false">IF(ISBLANK($C207),"",IF($BX207&lt;&gt;Constants!$B$6,"",IF($BL207="-&gt;",$BR207,$BG207)+$CA207))</f>
        <v/>
      </c>
      <c r="CW207" s="104" t="str">
        <f aca="false">IF(ISBLANK($C207),"",IF($BX207&lt;&gt;Constants!$B$6,$BX207,$CC207))</f>
        <v/>
      </c>
      <c r="CX207" s="105" t="str">
        <f aca="false">IF(ISBLANK($C207),"",$BY207)</f>
        <v/>
      </c>
      <c r="CY207" s="106" t="str">
        <f aca="false">IF(ISBLANK($C207),"",$CN207)</f>
        <v/>
      </c>
      <c r="CZ207" s="106" t="str">
        <f aca="false">IF(ISBLANK($C207),"",$CM207)</f>
        <v/>
      </c>
      <c r="DA207" s="107" t="str">
        <f aca="false">IF(ISBLANK($C207),"",IFERROR(_xlfn.SWITCH($CZ207,Constants!$B$9,COUNTA($C$9:$C$508)+2,Constants!$B$8,COUNTA($C$9:$C$508)+1,Constants!$B$7,COUNTA($C$9:$C$508)),$CZ207))</f>
        <v/>
      </c>
      <c r="DB207" s="9"/>
      <c r="DC207" s="108" t="n">
        <f aca="false">IF(OR(ISNUMBER($CZ207),$CZ207=Constants!$B$9,$CZ207=Constants!$B$7,$CZ207=Constants!$B$8),1,0)</f>
        <v>0</v>
      </c>
      <c r="DD207" s="108" t="n">
        <v>199</v>
      </c>
      <c r="DE207" s="108" t="str">
        <f aca="false">IF(ISBLANK($C207),"",IF(ISNUMBER($DA207),$DA207+ROW($B207)/1000,""))</f>
        <v/>
      </c>
      <c r="DF207" s="108" t="str">
        <f aca="false">IF(ISNUMBER($DE207),RANK($DE207,$DE$9:$DE$508,1),"")</f>
        <v/>
      </c>
      <c r="DG207" s="108" t="str">
        <f aca="false">IF(ISBLANK($C207),"",$B207)</f>
        <v/>
      </c>
      <c r="DH207" s="108" t="str">
        <f aca="false">IF(ISBLANK($C207),"",$C207)</f>
        <v/>
      </c>
      <c r="DI207" s="108" t="str">
        <f aca="false">IF(ISBLANK($C207),"",$D207)</f>
        <v/>
      </c>
      <c r="DJ207" s="109" t="str">
        <f aca="false">$CX207</f>
        <v/>
      </c>
      <c r="DK207" s="110" t="str">
        <f aca="false">$CW207</f>
        <v/>
      </c>
      <c r="DL207" s="108" t="str">
        <f aca="false">IF(ISBLANK($C207),"",$CZ207)</f>
        <v/>
      </c>
      <c r="DM207" s="111" t="str">
        <f aca="false">IF($DD207&gt;$DC$8,"",VLOOKUP($DD207,$DF$9:$DL$508,7,FALSE()))</f>
        <v/>
      </c>
      <c r="DN207" s="112" t="str">
        <f aca="false">IF($DD207&gt;$DC$8,"",VLOOKUP($DD207,$DF$9:$DL$508,2,FALSE()))</f>
        <v/>
      </c>
      <c r="DO207" s="112" t="str">
        <f aca="false">IF($DD207&gt;$DC$8,"",VLOOKUP($DD207,$DF$9:$DL$508,3,FALSE()))</f>
        <v/>
      </c>
      <c r="DP207" s="112" t="str">
        <f aca="false">IF($DD207&gt;$DC$8,"",VLOOKUP($DD207,$DF$9:$DL$508,4,FALSE()))</f>
        <v/>
      </c>
      <c r="DQ207" s="112" t="str">
        <f aca="false">IF($DD207&gt;$DC$8,"",VLOOKUP($DD207,$DF$9:$DL$508,5,FALSE()))</f>
        <v/>
      </c>
      <c r="DR207" s="113" t="str">
        <f aca="false">IF($DD207&gt;$DC$8,"",VLOOKUP($DD207,$DF$9:$DL$508,6,FALSE()))</f>
        <v/>
      </c>
      <c r="DS207" s="76"/>
    </row>
    <row r="208" customFormat="false" ht="15.75" hidden="false" customHeight="false" outlineLevel="0" collapsed="false">
      <c r="A208" s="9"/>
      <c r="B208" s="78"/>
      <c r="C208" s="79"/>
      <c r="D208" s="170"/>
      <c r="E208" s="178"/>
      <c r="F208" s="172"/>
      <c r="G208" s="173"/>
      <c r="H208" s="173"/>
      <c r="I208" s="179"/>
      <c r="J208" s="176"/>
      <c r="K208" s="86"/>
      <c r="L208" s="87"/>
      <c r="M208" s="88"/>
      <c r="N208" s="176"/>
      <c r="O208" s="176"/>
      <c r="P208" s="178"/>
      <c r="Q208" s="176"/>
      <c r="R208" s="176"/>
      <c r="S208" s="86"/>
      <c r="T208" s="88"/>
      <c r="U208" s="88"/>
      <c r="V208" s="176"/>
      <c r="W208" s="176"/>
      <c r="X208" s="178"/>
      <c r="Y208" s="176"/>
      <c r="Z208" s="177"/>
      <c r="AA208" s="176"/>
      <c r="AB208" s="92"/>
      <c r="AC208" s="93"/>
      <c r="AD208" s="93"/>
      <c r="AE208" s="93"/>
      <c r="AF208" s="93" t="str">
        <f aca="false">IF(ISBLANK($C208),"",IF(E208=Constants!$B$2,TRUE(),IF(E208=Constants!$B$3,FALSE(),TRUE())))</f>
        <v/>
      </c>
      <c r="AG208" s="93" t="str">
        <f aca="false">IF(ISBLANK($C208),"",IF(F208=Constants!$B$2,TRUE(),IF(F208=Constants!$B$3,FALSE(),TRUE())))</f>
        <v/>
      </c>
      <c r="AH208" s="93" t="str">
        <f aca="false">IF(ISBLANK($C208),"",IF(G208=Constants!$B$2,TRUE(),IF(G208=Constants!$B$3,FALSE(),TRUE())))</f>
        <v/>
      </c>
      <c r="AI208" s="93" t="str">
        <f aca="false">IF(ISBLANK($C208),"",IF(AND(ISNUMBER(H208),H208&gt;=0),H208,Constants!$B$24))</f>
        <v/>
      </c>
      <c r="AJ208" s="93" t="str">
        <f aca="false">IF(ISBLANK($C208),"",IF(I208=Constants!$B$2,TRUE(),IF(I208=Constants!$B$3,FALSE(),TRUE())))</f>
        <v/>
      </c>
      <c r="AK208" s="93" t="str">
        <f aca="false">IF(ISBLANK($C208),"",IF(J208=Constants!$B$2,TRUE(),IF(J208=Constants!$B$3,FALSE(),TRUE())))</f>
        <v/>
      </c>
      <c r="AL208" s="93" t="str">
        <f aca="false">IF(ISBLANK($C208),"",IF(K208=Constants!$B$4,TRUE(),IF(K208=Constants!$B$5,FALSE(),COUNTA(L208:P208)&gt;0)))</f>
        <v/>
      </c>
      <c r="AM208" s="95" t="str">
        <f aca="false">IF(ISBLANK($C208),"",IF(ISNUMBER(L208),IF(L208&gt;=0,L208,""),""))</f>
        <v/>
      </c>
      <c r="AN208" s="94" t="str">
        <f aca="false">IF(ISBLANK($C208),"",IF(ISNUMBER(M208),IF(M208&gt;=0,M208,""),""))</f>
        <v/>
      </c>
      <c r="AO208" s="94" t="str">
        <f aca="false">IF(ISBLANK($C208),"",IF(N208=Constants!$B$2,TRUE(),IF(N208=Constants!$B$3,FALSE(),TRUE())))</f>
        <v/>
      </c>
      <c r="AP208" s="93" t="str">
        <f aca="false">IF(ISBLANK($C208),"",IF(ISNUMBER(O208),IF(O208&gt;=0,O208,""),""))</f>
        <v/>
      </c>
      <c r="AQ208" s="93" t="str">
        <f aca="false">IF(ISBLANK($C208),"",IF(P208=Constants!$B$2,TRUE(),IF(P208=Constants!$B$3,FALSE(),FALSE())))</f>
        <v/>
      </c>
      <c r="AR208" s="93" t="str">
        <f aca="false">IF(ISBLANK($C208),"",IF(Q208=Constants!$B$2,TRUE(),IF(Q208=Constants!$B$3,FALSE(),TRUE())))</f>
        <v/>
      </c>
      <c r="AS208" s="93" t="str">
        <f aca="false">IF(ISBLANK($C208),"",IF(R208=Constants!$B$2,TRUE(),IF(R208=Constants!$B$3,FALSE(),TRUE())))</f>
        <v/>
      </c>
      <c r="AT208" s="93" t="str">
        <f aca="false">IF(ISBLANK($C208),"",IF(S208=Constants!$B$4,TRUE(),IF(S208=Constants!$B$5,FALSE(),COUNTA(T208:X208)&gt;0)))</f>
        <v/>
      </c>
      <c r="AU208" s="95" t="str">
        <f aca="false">IF(ISBLANK($C208),"",IF(ISNUMBER(T208),IF(T208&gt;=0,T208,""),""))</f>
        <v/>
      </c>
      <c r="AV208" s="94" t="str">
        <f aca="false">IF(ISBLANK($C208),"",IF(ISNUMBER(U208),IF(U208&gt;=0,U208,""),""))</f>
        <v/>
      </c>
      <c r="AW208" s="94" t="str">
        <f aca="false">IF(ISBLANK($C208),"",IF(V208=Constants!$B$2,TRUE(),IF(V208=Constants!$B$3,FALSE(),TRUE())))</f>
        <v/>
      </c>
      <c r="AX208" s="93" t="str">
        <f aca="false">IF(ISBLANK($C208),"",IF(ISNUMBER(W208),IF(W208&gt;=0,W208,""),""))</f>
        <v/>
      </c>
      <c r="AY208" s="93" t="str">
        <f aca="false">IF(ISBLANK($C208),"",IF(X208=Constants!$B$2,TRUE(),IF(X208=Constants!$B$3,FALSE(),FALSE())))</f>
        <v/>
      </c>
      <c r="AZ208" s="93" t="str">
        <f aca="false">IF(ISBLANK($C208),"",MIN(Constants!$B$25,MAX(0,IF(ISNUMBER(Y208),Y208*60,0)+IF(ISNUMBER(Z208),Z208,0))))</f>
        <v/>
      </c>
      <c r="BA208" s="93" t="str">
        <f aca="false">IF(ISBLANK($C208),"",IF(AA208=Constants!$B$2,TRUE(),IF(AA208=Constants!$B$3,FALSE(),FALSE())))</f>
        <v/>
      </c>
      <c r="BB208" s="92" t="str">
        <f aca="false">IF(ISBLANK($C208),"",AND($AL208,OR($AM208="",$AN208="",AND($AO208,$AP208=""))))</f>
        <v/>
      </c>
      <c r="BC208" s="94" t="str">
        <f aca="false">IF($BX208&lt;&gt;Constants!$B$6,"",IF($AL208,Constants!$B$17*$AN208+Constants!$B$18*IF($AO208,$AP208,Constants!$B$19),Constants!$B$20))</f>
        <v/>
      </c>
      <c r="BD208" s="97" t="str">
        <f aca="false">IF($BX208&lt;&gt;Constants!$B$6,"",Constants!$B$21*ABS($AD$9-IF($AL208,$AM208,0)))</f>
        <v/>
      </c>
      <c r="BE208" s="97" t="str">
        <f aca="false">IF($BX208&lt;&gt;Constants!$B$6,"",IF(AND($AL208,$AQ208,$AO208),Constants!$B$22,0))</f>
        <v/>
      </c>
      <c r="BF208" s="97" t="str">
        <f aca="false">IF($BX208&lt;&gt;Constants!$B$6,"",IF($AL208,($AI208-Constants!$B$24)*Constants!$B$23,0))</f>
        <v/>
      </c>
      <c r="BG208" s="97" t="str">
        <f aca="false">IF($BX208&lt;&gt;Constants!$B$6,"",IF($AK208,0,Constants!$B$12)+IF($AJ208,0,Constants!$B$13)+IF($AH208,0,Constants!$B$14))</f>
        <v/>
      </c>
      <c r="BH208" s="98" t="str">
        <f aca="false">IF($BX208&lt;&gt;Constants!$B$6,"",Constants!$B$16+SUM($BC208:$BG208))</f>
        <v/>
      </c>
      <c r="BI208" s="97" t="str">
        <f aca="false">IF($BX208&lt;&gt;Constants!$B$6,"",$BC208)</f>
        <v/>
      </c>
      <c r="BJ208" s="97" t="str">
        <f aca="false">IF($BX208&lt;&gt;Constants!$B$6,"",$BD208)</f>
        <v/>
      </c>
      <c r="BK208" s="99" t="str">
        <f aca="false">IF($BX208&lt;&gt;Constants!$B$6,"",IF($AL208,$AN208,""))</f>
        <v/>
      </c>
      <c r="BL208" s="93" t="str">
        <f aca="false">IF($BX208&lt;&gt;Constants!$B$6,"",IF(OR($BS208&lt;$BH208,AND($BS208=$BH208,OR($BT208&lt;$BI208,AND($BT208=$BI208,OR($BU208&lt;$BJ208,AND($BU208=$BJ208,AND(ISNUMBER($BV208),OR(NOT(ISNUMBER($BK208)),$BV208&lt;$BK208)))))))),"-&gt;","&lt;-"))</f>
        <v/>
      </c>
      <c r="BM208" s="92" t="str">
        <f aca="false">IF(ISBLANK($C208),"",AND($AT208,OR($AU208="",$AV208="",AND($AW208,$AX208=""))))</f>
        <v/>
      </c>
      <c r="BN208" s="94" t="str">
        <f aca="false">IF($BX208&lt;&gt;Constants!$B$6,"",IF($AT208,Constants!$B$17*$AV208+Constants!$B$18*IF($AW208,$AX208,Constants!$B$19),Constants!$B$20))</f>
        <v/>
      </c>
      <c r="BO208" s="97" t="str">
        <f aca="false">IF($BX208&lt;&gt;Constants!$B$6,"",Constants!$B$21*ABS($AD$9-IF($AT208,$AU208,0)))</f>
        <v/>
      </c>
      <c r="BP208" s="97" t="str">
        <f aca="false">IF($BX208&lt;&gt;Constants!$B$6,"",IF(AND($AT208,$AY208,$AW208),Constants!$B$22,0))</f>
        <v/>
      </c>
      <c r="BQ208" s="97" t="str">
        <f aca="false">IF($BX208&lt;&gt;Constants!$B$6,"",IF($AT208,($AI208-Constants!$B$24)*Constants!$B$23,0))</f>
        <v/>
      </c>
      <c r="BR208" s="97" t="str">
        <f aca="false">IF($BX208&lt;&gt;Constants!$B$6,"",IF($AS208,0,Constants!$B$12)+IF($AR208,0,Constants!$B$13)+IF($AH208,0,Constants!$B$14))</f>
        <v/>
      </c>
      <c r="BS208" s="98" t="str">
        <f aca="false">IF($BX208&lt;&gt;Constants!$B$6,"",Constants!$B$16+SUM($BN208:$BR208))</f>
        <v/>
      </c>
      <c r="BT208" s="97" t="str">
        <f aca="false">IF($BX208&lt;&gt;Constants!$B$6,"",$BN208)</f>
        <v/>
      </c>
      <c r="BU208" s="97" t="str">
        <f aca="false">IF($BX208&lt;&gt;Constants!$B$6,"",$BO208)</f>
        <v/>
      </c>
      <c r="BV208" s="99" t="str">
        <f aca="false">IF($BX208&lt;&gt;Constants!$B$6,"",IF($AT208,$AV208,""))</f>
        <v/>
      </c>
      <c r="BW208" s="93" t="str">
        <f aca="false">IF(ISBLANK($C208),"",IF(ISBLANK($D$7),$BW$5,IF(NOT(ISNUMBER($D$7)),$BW$6,"")))</f>
        <v/>
      </c>
      <c r="BX208" s="93" t="str">
        <f aca="false">IF(ISBLANK($C208),"",IF($BA208,Constants!$B$9,IF(COUNTA($E208:$AA208)=0,Constants!$B$8,IF(NOT($AG208),Constants!$B$7,IF(OR($BW208&lt;&gt;"",$BB208,$BM208),Constants!$B$10,Constants!$B$6)))))</f>
        <v/>
      </c>
      <c r="BY208" s="93" t="str">
        <f aca="false">IF(ISBLANK($C208),"",IF($BX208&lt;&gt;Constants!$B$6,$BX208,Constants!$B$11))</f>
        <v/>
      </c>
      <c r="BZ208" s="97" t="str">
        <f aca="false">IF($BX208&lt;&gt;Constants!$B$6,"",IF($BL208="-&gt;",$BS208,$BH208))</f>
        <v/>
      </c>
      <c r="CA208" s="97" t="str">
        <f aca="false">IF($BX208&lt;&gt;Constants!$B$6,"",IF($AF208,0,Constants!$B$15))</f>
        <v/>
      </c>
      <c r="CB208" s="97" t="str">
        <f aca="false">IF($BX208&lt;&gt;Constants!$B$6,"",((Constants!$B$25-$AZ208)-Constants!$B$25)/Constants!$B$26)</f>
        <v/>
      </c>
      <c r="CC208" s="97" t="str">
        <f aca="false">IF(ISBLANK($C208),"",IF($BX208&lt;&gt;Constants!$B$6,$BX208,SUM($BZ208:$CB208)))</f>
        <v/>
      </c>
      <c r="CD208" s="93" t="str">
        <f aca="false">IF(ISBLANK($C208),"",IF($BX208&lt;&gt;Constants!$B$6,$BX208,RANK($CC208,$CC$9:$CC$508,1)))</f>
        <v/>
      </c>
      <c r="CE208" s="97" t="str">
        <f aca="false">IF($BX208&lt;&gt;Constants!$B$6,"",IF($BL208="-&gt;",$BT208,$BI208))</f>
        <v/>
      </c>
      <c r="CF208" s="93" t="str">
        <f aca="false">IF(ISBLANK($C208),"",IF($BX208&lt;&gt;Constants!$B$6,$BX208,IF(ISNUMBER($CE208),RANK($CE208,$CE$9:$CE$508,1),COUNT($CE$9:$CE$508)+1)))</f>
        <v/>
      </c>
      <c r="CG208" s="97" t="str">
        <f aca="false">IF($BX208&lt;&gt;Constants!$B$6,"",IF($BL208="-&gt;",$BU208,$BJ208))</f>
        <v/>
      </c>
      <c r="CH208" s="93" t="str">
        <f aca="false">IF(ISBLANK($C208),"",IF($BX208&lt;&gt;Constants!$B$6,$BX208,IF(ISNUMBER($CG208),RANK($CG208,$CG$9:$CG$508,1),COUNT($CG$9:$CG$508)+1)))</f>
        <v/>
      </c>
      <c r="CI208" s="97" t="str">
        <f aca="false">IF($BX208&lt;&gt;Constants!$B$6,"",IF($BL208="-&gt;",$BV208,$BK208))</f>
        <v/>
      </c>
      <c r="CJ208" s="93" t="str">
        <f aca="false">IF(ISBLANK($C208),"",IF($BX208&lt;&gt;Constants!$B$6,$BX208,IF(ISNUMBER($CI208),RANK($CI208,$CI$9:$CI$508,1),COUNT($CI$9:$CI$508)+1)))</f>
        <v/>
      </c>
      <c r="CK208" s="97" t="str">
        <f aca="false">IF($BX208&lt;&gt;Constants!$B$6,"",$AI208)</f>
        <v/>
      </c>
      <c r="CL208" s="93" t="str">
        <f aca="false">IF(ISBLANK($C208),"",IF($BX208&lt;&gt;Constants!$B$6,$BX208,IF(ISNUMBER($CK208),RANK($CK208,$CK$9:$CK$508,1),COUNT($CK$9:$CK$508)+1)))</f>
        <v/>
      </c>
      <c r="CM208" s="93" t="str">
        <f aca="false">IF(ISBLANK($C208),"",IF($BX208&lt;&gt;Constants!$B$6,$BX208,COUNTIFS($CD$9:$CD$508,"&lt;"&amp;$CD208)+COUNTIFS($CD$9:$CD$508,$CD208,$CF$9:$CF$508,"&lt;"&amp;$CF208)+COUNTIFS($CD$9:$CD$508,$CD208,$CF$9:$CF$508,$CF208,$CH$9:$CH$508,"&lt;"&amp;$CH208)+COUNTIFS($CD$9:$CD$508,$CD208,$CF$9:$CF$508,$CF208,$CH$9:$CH$508,$CH208,$CJ$9:$CJ$508,"&lt;"&amp;$CJ208)+COUNTIFS($CD$9:$CD$508,$CD208,$CF$9:$CF$508,$CF208,$CH$9:$CH$508,$CH208,$CJ$9:$CJ$508,$CJ208,$CL$9:$CL$508,"&lt;"&amp;$CL208)+1))</f>
        <v/>
      </c>
      <c r="CN208" s="93" t="str">
        <f aca="false">IF(ISBLANK($C208),"",IF($BX208&lt;&gt;Constants!$B$6,$BX208,$CD208-$CM208))</f>
        <v/>
      </c>
      <c r="CO208" s="100"/>
      <c r="CP208" s="101"/>
      <c r="CQ208" s="102" t="str">
        <f aca="false">IF(ISBLANK($C208),"",IF($BX208=Constants!$B$10,$BW208,""))</f>
        <v/>
      </c>
      <c r="CR208" s="101" t="str">
        <f aca="false">IF(ISBLANK($C208),"",IF($BX208&lt;&gt;Constants!$B$6,"",IF($BL208="-&gt;",2,1)))</f>
        <v/>
      </c>
      <c r="CS208" s="103" t="str">
        <f aca="false">IF(ISBLANK($C208),"",IF($BX208&lt;&gt;Constants!$B$6,"",IF($BL208="-&gt;",$BN208,$BC208)))</f>
        <v/>
      </c>
      <c r="CT208" s="103" t="str">
        <f aca="false">IF(ISBLANK($C208),"",IF($BX208&lt;&gt;Constants!$B$6,"",IF($BL208="-&gt;",$BO208,$BD208)))</f>
        <v/>
      </c>
      <c r="CU208" s="103" t="str">
        <f aca="false">IF(ISBLANK($C208),"",IF($BX208&lt;&gt;Constants!$B$6,"",IF($BL208="-&gt;",$BP208+$BQ208,$BE208+$BF208)+$CB208))</f>
        <v/>
      </c>
      <c r="CV208" s="103" t="str">
        <f aca="false">IF(ISBLANK($C208),"",IF($BX208&lt;&gt;Constants!$B$6,"",IF($BL208="-&gt;",$BR208,$BG208)+$CA208))</f>
        <v/>
      </c>
      <c r="CW208" s="104" t="str">
        <f aca="false">IF(ISBLANK($C208),"",IF($BX208&lt;&gt;Constants!$B$6,$BX208,$CC208))</f>
        <v/>
      </c>
      <c r="CX208" s="105" t="str">
        <f aca="false">IF(ISBLANK($C208),"",$BY208)</f>
        <v/>
      </c>
      <c r="CY208" s="106" t="str">
        <f aca="false">IF(ISBLANK($C208),"",$CN208)</f>
        <v/>
      </c>
      <c r="CZ208" s="106" t="str">
        <f aca="false">IF(ISBLANK($C208),"",$CM208)</f>
        <v/>
      </c>
      <c r="DA208" s="107" t="str">
        <f aca="false">IF(ISBLANK($C208),"",IFERROR(_xlfn.SWITCH($CZ208,Constants!$B$9,COUNTA($C$9:$C$508)+2,Constants!$B$8,COUNTA($C$9:$C$508)+1,Constants!$B$7,COUNTA($C$9:$C$508)),$CZ208))</f>
        <v/>
      </c>
      <c r="DB208" s="9"/>
      <c r="DC208" s="108" t="n">
        <f aca="false">IF(OR(ISNUMBER($CZ208),$CZ208=Constants!$B$9,$CZ208=Constants!$B$7,$CZ208=Constants!$B$8),1,0)</f>
        <v>0</v>
      </c>
      <c r="DD208" s="108" t="n">
        <v>200</v>
      </c>
      <c r="DE208" s="108" t="str">
        <f aca="false">IF(ISBLANK($C208),"",IF(ISNUMBER($DA208),$DA208+ROW($B208)/1000,""))</f>
        <v/>
      </c>
      <c r="DF208" s="108" t="str">
        <f aca="false">IF(ISNUMBER($DE208),RANK($DE208,$DE$9:$DE$508,1),"")</f>
        <v/>
      </c>
      <c r="DG208" s="108" t="str">
        <f aca="false">IF(ISBLANK($C208),"",$B208)</f>
        <v/>
      </c>
      <c r="DH208" s="108" t="str">
        <f aca="false">IF(ISBLANK($C208),"",$C208)</f>
        <v/>
      </c>
      <c r="DI208" s="108" t="str">
        <f aca="false">IF(ISBLANK($C208),"",$D208)</f>
        <v/>
      </c>
      <c r="DJ208" s="109" t="str">
        <f aca="false">$CX208</f>
        <v/>
      </c>
      <c r="DK208" s="110" t="str">
        <f aca="false">$CW208</f>
        <v/>
      </c>
      <c r="DL208" s="108" t="str">
        <f aca="false">IF(ISBLANK($C208),"",$CZ208)</f>
        <v/>
      </c>
      <c r="DM208" s="111" t="str">
        <f aca="false">IF($DD208&gt;$DC$8,"",VLOOKUP($DD208,$DF$9:$DL$508,7,FALSE()))</f>
        <v/>
      </c>
      <c r="DN208" s="112" t="str">
        <f aca="false">IF($DD208&gt;$DC$8,"",VLOOKUP($DD208,$DF$9:$DL$508,2,FALSE()))</f>
        <v/>
      </c>
      <c r="DO208" s="112" t="str">
        <f aca="false">IF($DD208&gt;$DC$8,"",VLOOKUP($DD208,$DF$9:$DL$508,3,FALSE()))</f>
        <v/>
      </c>
      <c r="DP208" s="112" t="str">
        <f aca="false">IF($DD208&gt;$DC$8,"",VLOOKUP($DD208,$DF$9:$DL$508,4,FALSE()))</f>
        <v/>
      </c>
      <c r="DQ208" s="112" t="str">
        <f aca="false">IF($DD208&gt;$DC$8,"",VLOOKUP($DD208,$DF$9:$DL$508,5,FALSE()))</f>
        <v/>
      </c>
      <c r="DR208" s="113" t="str">
        <f aca="false">IF($DD208&gt;$DC$8,"",VLOOKUP($DD208,$DF$9:$DL$508,6,FALSE()))</f>
        <v/>
      </c>
      <c r="DS208" s="76"/>
    </row>
    <row r="209" customFormat="false" ht="15.75" hidden="false" customHeight="false" outlineLevel="0" collapsed="false">
      <c r="A209" s="9"/>
      <c r="B209" s="78"/>
      <c r="C209" s="79"/>
      <c r="D209" s="170"/>
      <c r="E209" s="178"/>
      <c r="F209" s="172"/>
      <c r="G209" s="173"/>
      <c r="H209" s="173"/>
      <c r="I209" s="179"/>
      <c r="J209" s="176"/>
      <c r="K209" s="86"/>
      <c r="L209" s="87"/>
      <c r="M209" s="88"/>
      <c r="N209" s="176"/>
      <c r="O209" s="176"/>
      <c r="P209" s="178"/>
      <c r="Q209" s="176"/>
      <c r="R209" s="176"/>
      <c r="S209" s="86"/>
      <c r="T209" s="88"/>
      <c r="U209" s="88"/>
      <c r="V209" s="176"/>
      <c r="W209" s="176"/>
      <c r="X209" s="178"/>
      <c r="Y209" s="176"/>
      <c r="Z209" s="177"/>
      <c r="AA209" s="176"/>
      <c r="AB209" s="92"/>
      <c r="AC209" s="93"/>
      <c r="AD209" s="93"/>
      <c r="AE209" s="93"/>
      <c r="AF209" s="93" t="str">
        <f aca="false">IF(ISBLANK($C209),"",IF(E209=Constants!$B$2,TRUE(),IF(E209=Constants!$B$3,FALSE(),TRUE())))</f>
        <v/>
      </c>
      <c r="AG209" s="93" t="str">
        <f aca="false">IF(ISBLANK($C209),"",IF(F209=Constants!$B$2,TRUE(),IF(F209=Constants!$B$3,FALSE(),TRUE())))</f>
        <v/>
      </c>
      <c r="AH209" s="93" t="str">
        <f aca="false">IF(ISBLANK($C209),"",IF(G209=Constants!$B$2,TRUE(),IF(G209=Constants!$B$3,FALSE(),TRUE())))</f>
        <v/>
      </c>
      <c r="AI209" s="93" t="str">
        <f aca="false">IF(ISBLANK($C209),"",IF(AND(ISNUMBER(H209),H209&gt;=0),H209,Constants!$B$24))</f>
        <v/>
      </c>
      <c r="AJ209" s="93" t="str">
        <f aca="false">IF(ISBLANK($C209),"",IF(I209=Constants!$B$2,TRUE(),IF(I209=Constants!$B$3,FALSE(),TRUE())))</f>
        <v/>
      </c>
      <c r="AK209" s="93" t="str">
        <f aca="false">IF(ISBLANK($C209),"",IF(J209=Constants!$B$2,TRUE(),IF(J209=Constants!$B$3,FALSE(),TRUE())))</f>
        <v/>
      </c>
      <c r="AL209" s="93" t="str">
        <f aca="false">IF(ISBLANK($C209),"",IF(K209=Constants!$B$4,TRUE(),IF(K209=Constants!$B$5,FALSE(),COUNTA(L209:P209)&gt;0)))</f>
        <v/>
      </c>
      <c r="AM209" s="95" t="str">
        <f aca="false">IF(ISBLANK($C209),"",IF(ISNUMBER(L209),IF(L209&gt;=0,L209,""),""))</f>
        <v/>
      </c>
      <c r="AN209" s="94" t="str">
        <f aca="false">IF(ISBLANK($C209),"",IF(ISNUMBER(M209),IF(M209&gt;=0,M209,""),""))</f>
        <v/>
      </c>
      <c r="AO209" s="94" t="str">
        <f aca="false">IF(ISBLANK($C209),"",IF(N209=Constants!$B$2,TRUE(),IF(N209=Constants!$B$3,FALSE(),TRUE())))</f>
        <v/>
      </c>
      <c r="AP209" s="93" t="str">
        <f aca="false">IF(ISBLANK($C209),"",IF(ISNUMBER(O209),IF(O209&gt;=0,O209,""),""))</f>
        <v/>
      </c>
      <c r="AQ209" s="93" t="str">
        <f aca="false">IF(ISBLANK($C209),"",IF(P209=Constants!$B$2,TRUE(),IF(P209=Constants!$B$3,FALSE(),FALSE())))</f>
        <v/>
      </c>
      <c r="AR209" s="93" t="str">
        <f aca="false">IF(ISBLANK($C209),"",IF(Q209=Constants!$B$2,TRUE(),IF(Q209=Constants!$B$3,FALSE(),TRUE())))</f>
        <v/>
      </c>
      <c r="AS209" s="93" t="str">
        <f aca="false">IF(ISBLANK($C209),"",IF(R209=Constants!$B$2,TRUE(),IF(R209=Constants!$B$3,FALSE(),TRUE())))</f>
        <v/>
      </c>
      <c r="AT209" s="93" t="str">
        <f aca="false">IF(ISBLANK($C209),"",IF(S209=Constants!$B$4,TRUE(),IF(S209=Constants!$B$5,FALSE(),COUNTA(T209:X209)&gt;0)))</f>
        <v/>
      </c>
      <c r="AU209" s="95" t="str">
        <f aca="false">IF(ISBLANK($C209),"",IF(ISNUMBER(T209),IF(T209&gt;=0,T209,""),""))</f>
        <v/>
      </c>
      <c r="AV209" s="94" t="str">
        <f aca="false">IF(ISBLANK($C209),"",IF(ISNUMBER(U209),IF(U209&gt;=0,U209,""),""))</f>
        <v/>
      </c>
      <c r="AW209" s="94" t="str">
        <f aca="false">IF(ISBLANK($C209),"",IF(V209=Constants!$B$2,TRUE(),IF(V209=Constants!$B$3,FALSE(),TRUE())))</f>
        <v/>
      </c>
      <c r="AX209" s="93" t="str">
        <f aca="false">IF(ISBLANK($C209),"",IF(ISNUMBER(W209),IF(W209&gt;=0,W209,""),""))</f>
        <v/>
      </c>
      <c r="AY209" s="93" t="str">
        <f aca="false">IF(ISBLANK($C209),"",IF(X209=Constants!$B$2,TRUE(),IF(X209=Constants!$B$3,FALSE(),FALSE())))</f>
        <v/>
      </c>
      <c r="AZ209" s="93" t="str">
        <f aca="false">IF(ISBLANK($C209),"",MIN(Constants!$B$25,MAX(0,IF(ISNUMBER(Y209),Y209*60,0)+IF(ISNUMBER(Z209),Z209,0))))</f>
        <v/>
      </c>
      <c r="BA209" s="93" t="str">
        <f aca="false">IF(ISBLANK($C209),"",IF(AA209=Constants!$B$2,TRUE(),IF(AA209=Constants!$B$3,FALSE(),FALSE())))</f>
        <v/>
      </c>
      <c r="BB209" s="92" t="str">
        <f aca="false">IF(ISBLANK($C209),"",AND($AL209,OR($AM209="",$AN209="",AND($AO209,$AP209=""))))</f>
        <v/>
      </c>
      <c r="BC209" s="94" t="str">
        <f aca="false">IF($BX209&lt;&gt;Constants!$B$6,"",IF($AL209,Constants!$B$17*$AN209+Constants!$B$18*IF($AO209,$AP209,Constants!$B$19),Constants!$B$20))</f>
        <v/>
      </c>
      <c r="BD209" s="97" t="str">
        <f aca="false">IF($BX209&lt;&gt;Constants!$B$6,"",Constants!$B$21*ABS($AD$9-IF($AL209,$AM209,0)))</f>
        <v/>
      </c>
      <c r="BE209" s="97" t="str">
        <f aca="false">IF($BX209&lt;&gt;Constants!$B$6,"",IF(AND($AL209,$AQ209,$AO209),Constants!$B$22,0))</f>
        <v/>
      </c>
      <c r="BF209" s="97" t="str">
        <f aca="false">IF($BX209&lt;&gt;Constants!$B$6,"",IF($AL209,($AI209-Constants!$B$24)*Constants!$B$23,0))</f>
        <v/>
      </c>
      <c r="BG209" s="97" t="str">
        <f aca="false">IF($BX209&lt;&gt;Constants!$B$6,"",IF($AK209,0,Constants!$B$12)+IF($AJ209,0,Constants!$B$13)+IF($AH209,0,Constants!$B$14))</f>
        <v/>
      </c>
      <c r="BH209" s="98" t="str">
        <f aca="false">IF($BX209&lt;&gt;Constants!$B$6,"",Constants!$B$16+SUM($BC209:$BG209))</f>
        <v/>
      </c>
      <c r="BI209" s="97" t="str">
        <f aca="false">IF($BX209&lt;&gt;Constants!$B$6,"",$BC209)</f>
        <v/>
      </c>
      <c r="BJ209" s="97" t="str">
        <f aca="false">IF($BX209&lt;&gt;Constants!$B$6,"",$BD209)</f>
        <v/>
      </c>
      <c r="BK209" s="99" t="str">
        <f aca="false">IF($BX209&lt;&gt;Constants!$B$6,"",IF($AL209,$AN209,""))</f>
        <v/>
      </c>
      <c r="BL209" s="93" t="str">
        <f aca="false">IF($BX209&lt;&gt;Constants!$B$6,"",IF(OR($BS209&lt;$BH209,AND($BS209=$BH209,OR($BT209&lt;$BI209,AND($BT209=$BI209,OR($BU209&lt;$BJ209,AND($BU209=$BJ209,AND(ISNUMBER($BV209),OR(NOT(ISNUMBER($BK209)),$BV209&lt;$BK209)))))))),"-&gt;","&lt;-"))</f>
        <v/>
      </c>
      <c r="BM209" s="92" t="str">
        <f aca="false">IF(ISBLANK($C209),"",AND($AT209,OR($AU209="",$AV209="",AND($AW209,$AX209=""))))</f>
        <v/>
      </c>
      <c r="BN209" s="94" t="str">
        <f aca="false">IF($BX209&lt;&gt;Constants!$B$6,"",IF($AT209,Constants!$B$17*$AV209+Constants!$B$18*IF($AW209,$AX209,Constants!$B$19),Constants!$B$20))</f>
        <v/>
      </c>
      <c r="BO209" s="97" t="str">
        <f aca="false">IF($BX209&lt;&gt;Constants!$B$6,"",Constants!$B$21*ABS($AD$9-IF($AT209,$AU209,0)))</f>
        <v/>
      </c>
      <c r="BP209" s="97" t="str">
        <f aca="false">IF($BX209&lt;&gt;Constants!$B$6,"",IF(AND($AT209,$AY209,$AW209),Constants!$B$22,0))</f>
        <v/>
      </c>
      <c r="BQ209" s="97" t="str">
        <f aca="false">IF($BX209&lt;&gt;Constants!$B$6,"",IF($AT209,($AI209-Constants!$B$24)*Constants!$B$23,0))</f>
        <v/>
      </c>
      <c r="BR209" s="97" t="str">
        <f aca="false">IF($BX209&lt;&gt;Constants!$B$6,"",IF($AS209,0,Constants!$B$12)+IF($AR209,0,Constants!$B$13)+IF($AH209,0,Constants!$B$14))</f>
        <v/>
      </c>
      <c r="BS209" s="98" t="str">
        <f aca="false">IF($BX209&lt;&gt;Constants!$B$6,"",Constants!$B$16+SUM($BN209:$BR209))</f>
        <v/>
      </c>
      <c r="BT209" s="97" t="str">
        <f aca="false">IF($BX209&lt;&gt;Constants!$B$6,"",$BN209)</f>
        <v/>
      </c>
      <c r="BU209" s="97" t="str">
        <f aca="false">IF($BX209&lt;&gt;Constants!$B$6,"",$BO209)</f>
        <v/>
      </c>
      <c r="BV209" s="99" t="str">
        <f aca="false">IF($BX209&lt;&gt;Constants!$B$6,"",IF($AT209,$AV209,""))</f>
        <v/>
      </c>
      <c r="BW209" s="93" t="str">
        <f aca="false">IF(ISBLANK($C209),"",IF(ISBLANK($D$7),$BW$5,IF(NOT(ISNUMBER($D$7)),$BW$6,"")))</f>
        <v/>
      </c>
      <c r="BX209" s="93" t="str">
        <f aca="false">IF(ISBLANK($C209),"",IF($BA209,Constants!$B$9,IF(COUNTA($E209:$AA209)=0,Constants!$B$8,IF(NOT($AG209),Constants!$B$7,IF(OR($BW209&lt;&gt;"",$BB209,$BM209),Constants!$B$10,Constants!$B$6)))))</f>
        <v/>
      </c>
      <c r="BY209" s="93" t="str">
        <f aca="false">IF(ISBLANK($C209),"",IF($BX209&lt;&gt;Constants!$B$6,$BX209,Constants!$B$11))</f>
        <v/>
      </c>
      <c r="BZ209" s="97" t="str">
        <f aca="false">IF($BX209&lt;&gt;Constants!$B$6,"",IF($BL209="-&gt;",$BS209,$BH209))</f>
        <v/>
      </c>
      <c r="CA209" s="97" t="str">
        <f aca="false">IF($BX209&lt;&gt;Constants!$B$6,"",IF($AF209,0,Constants!$B$15))</f>
        <v/>
      </c>
      <c r="CB209" s="97" t="str">
        <f aca="false">IF($BX209&lt;&gt;Constants!$B$6,"",((Constants!$B$25-$AZ209)-Constants!$B$25)/Constants!$B$26)</f>
        <v/>
      </c>
      <c r="CC209" s="97" t="str">
        <f aca="false">IF(ISBLANK($C209),"",IF($BX209&lt;&gt;Constants!$B$6,$BX209,SUM($BZ209:$CB209)))</f>
        <v/>
      </c>
      <c r="CD209" s="93" t="str">
        <f aca="false">IF(ISBLANK($C209),"",IF($BX209&lt;&gt;Constants!$B$6,$BX209,RANK($CC209,$CC$9:$CC$508,1)))</f>
        <v/>
      </c>
      <c r="CE209" s="97" t="str">
        <f aca="false">IF($BX209&lt;&gt;Constants!$B$6,"",IF($BL209="-&gt;",$BT209,$BI209))</f>
        <v/>
      </c>
      <c r="CF209" s="93" t="str">
        <f aca="false">IF(ISBLANK($C209),"",IF($BX209&lt;&gt;Constants!$B$6,$BX209,IF(ISNUMBER($CE209),RANK($CE209,$CE$9:$CE$508,1),COUNT($CE$9:$CE$508)+1)))</f>
        <v/>
      </c>
      <c r="CG209" s="97" t="str">
        <f aca="false">IF($BX209&lt;&gt;Constants!$B$6,"",IF($BL209="-&gt;",$BU209,$BJ209))</f>
        <v/>
      </c>
      <c r="CH209" s="93" t="str">
        <f aca="false">IF(ISBLANK($C209),"",IF($BX209&lt;&gt;Constants!$B$6,$BX209,IF(ISNUMBER($CG209),RANK($CG209,$CG$9:$CG$508,1),COUNT($CG$9:$CG$508)+1)))</f>
        <v/>
      </c>
      <c r="CI209" s="97" t="str">
        <f aca="false">IF($BX209&lt;&gt;Constants!$B$6,"",IF($BL209="-&gt;",$BV209,$BK209))</f>
        <v/>
      </c>
      <c r="CJ209" s="93" t="str">
        <f aca="false">IF(ISBLANK($C209),"",IF($BX209&lt;&gt;Constants!$B$6,$BX209,IF(ISNUMBER($CI209),RANK($CI209,$CI$9:$CI$508,1),COUNT($CI$9:$CI$508)+1)))</f>
        <v/>
      </c>
      <c r="CK209" s="97" t="str">
        <f aca="false">IF($BX209&lt;&gt;Constants!$B$6,"",$AI209)</f>
        <v/>
      </c>
      <c r="CL209" s="93" t="str">
        <f aca="false">IF(ISBLANK($C209),"",IF($BX209&lt;&gt;Constants!$B$6,$BX209,IF(ISNUMBER($CK209),RANK($CK209,$CK$9:$CK$508,1),COUNT($CK$9:$CK$508)+1)))</f>
        <v/>
      </c>
      <c r="CM209" s="93" t="str">
        <f aca="false">IF(ISBLANK($C209),"",IF($BX209&lt;&gt;Constants!$B$6,$BX209,COUNTIFS($CD$9:$CD$508,"&lt;"&amp;$CD209)+COUNTIFS($CD$9:$CD$508,$CD209,$CF$9:$CF$508,"&lt;"&amp;$CF209)+COUNTIFS($CD$9:$CD$508,$CD209,$CF$9:$CF$508,$CF209,$CH$9:$CH$508,"&lt;"&amp;$CH209)+COUNTIFS($CD$9:$CD$508,$CD209,$CF$9:$CF$508,$CF209,$CH$9:$CH$508,$CH209,$CJ$9:$CJ$508,"&lt;"&amp;$CJ209)+COUNTIFS($CD$9:$CD$508,$CD209,$CF$9:$CF$508,$CF209,$CH$9:$CH$508,$CH209,$CJ$9:$CJ$508,$CJ209,$CL$9:$CL$508,"&lt;"&amp;$CL209)+1))</f>
        <v/>
      </c>
      <c r="CN209" s="93" t="str">
        <f aca="false">IF(ISBLANK($C209),"",IF($BX209&lt;&gt;Constants!$B$6,$BX209,$CD209-$CM209))</f>
        <v/>
      </c>
      <c r="CO209" s="100"/>
      <c r="CP209" s="101"/>
      <c r="CQ209" s="102" t="str">
        <f aca="false">IF(ISBLANK($C209),"",IF($BX209=Constants!$B$10,$BW209,""))</f>
        <v/>
      </c>
      <c r="CR209" s="101" t="str">
        <f aca="false">IF(ISBLANK($C209),"",IF($BX209&lt;&gt;Constants!$B$6,"",IF($BL209="-&gt;",2,1)))</f>
        <v/>
      </c>
      <c r="CS209" s="103" t="str">
        <f aca="false">IF(ISBLANK($C209),"",IF($BX209&lt;&gt;Constants!$B$6,"",IF($BL209="-&gt;",$BN209,$BC209)))</f>
        <v/>
      </c>
      <c r="CT209" s="103" t="str">
        <f aca="false">IF(ISBLANK($C209),"",IF($BX209&lt;&gt;Constants!$B$6,"",IF($BL209="-&gt;",$BO209,$BD209)))</f>
        <v/>
      </c>
      <c r="CU209" s="103" t="str">
        <f aca="false">IF(ISBLANK($C209),"",IF($BX209&lt;&gt;Constants!$B$6,"",IF($BL209="-&gt;",$BP209+$BQ209,$BE209+$BF209)+$CB209))</f>
        <v/>
      </c>
      <c r="CV209" s="103" t="str">
        <f aca="false">IF(ISBLANK($C209),"",IF($BX209&lt;&gt;Constants!$B$6,"",IF($BL209="-&gt;",$BR209,$BG209)+$CA209))</f>
        <v/>
      </c>
      <c r="CW209" s="104" t="str">
        <f aca="false">IF(ISBLANK($C209),"",IF($BX209&lt;&gt;Constants!$B$6,$BX209,$CC209))</f>
        <v/>
      </c>
      <c r="CX209" s="105" t="str">
        <f aca="false">IF(ISBLANK($C209),"",$BY209)</f>
        <v/>
      </c>
      <c r="CY209" s="106" t="str">
        <f aca="false">IF(ISBLANK($C209),"",$CN209)</f>
        <v/>
      </c>
      <c r="CZ209" s="106" t="str">
        <f aca="false">IF(ISBLANK($C209),"",$CM209)</f>
        <v/>
      </c>
      <c r="DA209" s="107" t="str">
        <f aca="false">IF(ISBLANK($C209),"",IFERROR(_xlfn.SWITCH($CZ209,Constants!$B$9,COUNTA($C$9:$C$508)+2,Constants!$B$8,COUNTA($C$9:$C$508)+1,Constants!$B$7,COUNTA($C$9:$C$508)),$CZ209))</f>
        <v/>
      </c>
      <c r="DB209" s="9"/>
      <c r="DC209" s="108" t="n">
        <f aca="false">IF(OR(ISNUMBER($CZ209),$CZ209=Constants!$B$9,$CZ209=Constants!$B$7,$CZ209=Constants!$B$8),1,0)</f>
        <v>0</v>
      </c>
      <c r="DD209" s="108" t="n">
        <v>201</v>
      </c>
      <c r="DE209" s="108" t="str">
        <f aca="false">IF(ISBLANK($C209),"",IF(ISNUMBER($DA209),$DA209+ROW($B209)/1000,""))</f>
        <v/>
      </c>
      <c r="DF209" s="108" t="str">
        <f aca="false">IF(ISNUMBER($DE209),RANK($DE209,$DE$9:$DE$508,1),"")</f>
        <v/>
      </c>
      <c r="DG209" s="108" t="str">
        <f aca="false">IF(ISBLANK($C209),"",$B209)</f>
        <v/>
      </c>
      <c r="DH209" s="108" t="str">
        <f aca="false">IF(ISBLANK($C209),"",$C209)</f>
        <v/>
      </c>
      <c r="DI209" s="108" t="str">
        <f aca="false">IF(ISBLANK($C209),"",$D209)</f>
        <v/>
      </c>
      <c r="DJ209" s="109" t="str">
        <f aca="false">$CX209</f>
        <v/>
      </c>
      <c r="DK209" s="110" t="str">
        <f aca="false">$CW209</f>
        <v/>
      </c>
      <c r="DL209" s="108" t="str">
        <f aca="false">IF(ISBLANK($C209),"",$CZ209)</f>
        <v/>
      </c>
      <c r="DM209" s="111" t="str">
        <f aca="false">IF($DD209&gt;$DC$8,"",VLOOKUP($DD209,$DF$9:$DL$508,7,FALSE()))</f>
        <v/>
      </c>
      <c r="DN209" s="112" t="str">
        <f aca="false">IF($DD209&gt;$DC$8,"",VLOOKUP($DD209,$DF$9:$DL$508,2,FALSE()))</f>
        <v/>
      </c>
      <c r="DO209" s="112" t="str">
        <f aca="false">IF($DD209&gt;$DC$8,"",VLOOKUP($DD209,$DF$9:$DL$508,3,FALSE()))</f>
        <v/>
      </c>
      <c r="DP209" s="112" t="str">
        <f aca="false">IF($DD209&gt;$DC$8,"",VLOOKUP($DD209,$DF$9:$DL$508,4,FALSE()))</f>
        <v/>
      </c>
      <c r="DQ209" s="112" t="str">
        <f aca="false">IF($DD209&gt;$DC$8,"",VLOOKUP($DD209,$DF$9:$DL$508,5,FALSE()))</f>
        <v/>
      </c>
      <c r="DR209" s="113" t="str">
        <f aca="false">IF($DD209&gt;$DC$8,"",VLOOKUP($DD209,$DF$9:$DL$508,6,FALSE()))</f>
        <v/>
      </c>
      <c r="DS209" s="76"/>
    </row>
    <row r="210" customFormat="false" ht="15.75" hidden="false" customHeight="false" outlineLevel="0" collapsed="false">
      <c r="A210" s="9"/>
      <c r="B210" s="160"/>
      <c r="C210" s="161"/>
      <c r="D210" s="162"/>
      <c r="E210" s="180"/>
      <c r="F210" s="164"/>
      <c r="G210" s="165"/>
      <c r="H210" s="165"/>
      <c r="I210" s="181"/>
      <c r="J210" s="168"/>
      <c r="K210" s="128"/>
      <c r="L210" s="129"/>
      <c r="M210" s="130"/>
      <c r="N210" s="168"/>
      <c r="O210" s="168"/>
      <c r="P210" s="180"/>
      <c r="Q210" s="168"/>
      <c r="R210" s="168"/>
      <c r="S210" s="128"/>
      <c r="T210" s="130"/>
      <c r="U210" s="130"/>
      <c r="V210" s="168"/>
      <c r="W210" s="168"/>
      <c r="X210" s="180"/>
      <c r="Y210" s="168"/>
      <c r="Z210" s="169"/>
      <c r="AA210" s="168"/>
      <c r="AB210" s="134"/>
      <c r="AC210" s="135"/>
      <c r="AD210" s="135"/>
      <c r="AE210" s="135"/>
      <c r="AF210" s="135" t="str">
        <f aca="false">IF(ISBLANK($C210),"",IF(E210=Constants!$B$2,TRUE(),IF(E210=Constants!$B$3,FALSE(),TRUE())))</f>
        <v/>
      </c>
      <c r="AG210" s="135" t="str">
        <f aca="false">IF(ISBLANK($C210),"",IF(F210=Constants!$B$2,TRUE(),IF(F210=Constants!$B$3,FALSE(),TRUE())))</f>
        <v/>
      </c>
      <c r="AH210" s="135" t="str">
        <f aca="false">IF(ISBLANK($C210),"",IF(G210=Constants!$B$2,TRUE(),IF(G210=Constants!$B$3,FALSE(),TRUE())))</f>
        <v/>
      </c>
      <c r="AI210" s="135" t="str">
        <f aca="false">IF(ISBLANK($C210),"",IF(AND(ISNUMBER(H210),H210&gt;=0),H210,Constants!$B$24))</f>
        <v/>
      </c>
      <c r="AJ210" s="135" t="str">
        <f aca="false">IF(ISBLANK($C210),"",IF(I210=Constants!$B$2,TRUE(),IF(I210=Constants!$B$3,FALSE(),TRUE())))</f>
        <v/>
      </c>
      <c r="AK210" s="135" t="str">
        <f aca="false">IF(ISBLANK($C210),"",IF(J210=Constants!$B$2,TRUE(),IF(J210=Constants!$B$3,FALSE(),TRUE())))</f>
        <v/>
      </c>
      <c r="AL210" s="135" t="str">
        <f aca="false">IF(ISBLANK($C210),"",IF(K210=Constants!$B$4,TRUE(),IF(K210=Constants!$B$5,FALSE(),COUNTA(L210:P210)&gt;0)))</f>
        <v/>
      </c>
      <c r="AM210" s="136" t="str">
        <f aca="false">IF(ISBLANK($C210),"",IF(ISNUMBER(L210),IF(L210&gt;=0,L210,""),""))</f>
        <v/>
      </c>
      <c r="AN210" s="137" t="str">
        <f aca="false">IF(ISBLANK($C210),"",IF(ISNUMBER(M210),IF(M210&gt;=0,M210,""),""))</f>
        <v/>
      </c>
      <c r="AO210" s="137" t="str">
        <f aca="false">IF(ISBLANK($C210),"",IF(N210=Constants!$B$2,TRUE(),IF(N210=Constants!$B$3,FALSE(),TRUE())))</f>
        <v/>
      </c>
      <c r="AP210" s="135" t="str">
        <f aca="false">IF(ISBLANK($C210),"",IF(ISNUMBER(O210),IF(O210&gt;=0,O210,""),""))</f>
        <v/>
      </c>
      <c r="AQ210" s="135" t="str">
        <f aca="false">IF(ISBLANK($C210),"",IF(P210=Constants!$B$2,TRUE(),IF(P210=Constants!$B$3,FALSE(),FALSE())))</f>
        <v/>
      </c>
      <c r="AR210" s="135" t="str">
        <f aca="false">IF(ISBLANK($C210),"",IF(Q210=Constants!$B$2,TRUE(),IF(Q210=Constants!$B$3,FALSE(),TRUE())))</f>
        <v/>
      </c>
      <c r="AS210" s="135" t="str">
        <f aca="false">IF(ISBLANK($C210),"",IF(R210=Constants!$B$2,TRUE(),IF(R210=Constants!$B$3,FALSE(),TRUE())))</f>
        <v/>
      </c>
      <c r="AT210" s="135" t="str">
        <f aca="false">IF(ISBLANK($C210),"",IF(S210=Constants!$B$4,TRUE(),IF(S210=Constants!$B$5,FALSE(),COUNTA(T210:X210)&gt;0)))</f>
        <v/>
      </c>
      <c r="AU210" s="136" t="str">
        <f aca="false">IF(ISBLANK($C210),"",IF(ISNUMBER(T210),IF(T210&gt;=0,T210,""),""))</f>
        <v/>
      </c>
      <c r="AV210" s="137" t="str">
        <f aca="false">IF(ISBLANK($C210),"",IF(ISNUMBER(U210),IF(U210&gt;=0,U210,""),""))</f>
        <v/>
      </c>
      <c r="AW210" s="137" t="str">
        <f aca="false">IF(ISBLANK($C210),"",IF(V210=Constants!$B$2,TRUE(),IF(V210=Constants!$B$3,FALSE(),TRUE())))</f>
        <v/>
      </c>
      <c r="AX210" s="135" t="str">
        <f aca="false">IF(ISBLANK($C210),"",IF(ISNUMBER(W210),IF(W210&gt;=0,W210,""),""))</f>
        <v/>
      </c>
      <c r="AY210" s="135" t="str">
        <f aca="false">IF(ISBLANK($C210),"",IF(X210=Constants!$B$2,TRUE(),IF(X210=Constants!$B$3,FALSE(),FALSE())))</f>
        <v/>
      </c>
      <c r="AZ210" s="135" t="str">
        <f aca="false">IF(ISBLANK($C210),"",MIN(Constants!$B$25,MAX(0,IF(ISNUMBER(Y210),Y210*60,0)+IF(ISNUMBER(Z210),Z210,0))))</f>
        <v/>
      </c>
      <c r="BA210" s="135" t="str">
        <f aca="false">IF(ISBLANK($C210),"",IF(AA210=Constants!$B$2,TRUE(),IF(AA210=Constants!$B$3,FALSE(),FALSE())))</f>
        <v/>
      </c>
      <c r="BB210" s="134" t="str">
        <f aca="false">IF(ISBLANK($C210),"",AND($AL210,OR($AM210="",$AN210="",AND($AO210,$AP210=""))))</f>
        <v/>
      </c>
      <c r="BC210" s="137" t="str">
        <f aca="false">IF($BX210&lt;&gt;Constants!$B$6,"",IF($AL210,Constants!$B$17*$AN210+Constants!$B$18*IF($AO210,$AP210,Constants!$B$19),Constants!$B$20))</f>
        <v/>
      </c>
      <c r="BD210" s="138" t="str">
        <f aca="false">IF($BX210&lt;&gt;Constants!$B$6,"",Constants!$B$21*ABS($AD$9-IF($AL210,$AM210,0)))</f>
        <v/>
      </c>
      <c r="BE210" s="138" t="str">
        <f aca="false">IF($BX210&lt;&gt;Constants!$B$6,"",IF(AND($AL210,$AQ210,$AO210),Constants!$B$22,0))</f>
        <v/>
      </c>
      <c r="BF210" s="138" t="str">
        <f aca="false">IF($BX210&lt;&gt;Constants!$B$6,"",IF($AL210,($AI210-Constants!$B$24)*Constants!$B$23,0))</f>
        <v/>
      </c>
      <c r="BG210" s="138" t="str">
        <f aca="false">IF($BX210&lt;&gt;Constants!$B$6,"",IF($AK210,0,Constants!$B$12)+IF($AJ210,0,Constants!$B$13)+IF($AH210,0,Constants!$B$14))</f>
        <v/>
      </c>
      <c r="BH210" s="139" t="str">
        <f aca="false">IF($BX210&lt;&gt;Constants!$B$6,"",Constants!$B$16+SUM($BC210:$BG210))</f>
        <v/>
      </c>
      <c r="BI210" s="138" t="str">
        <f aca="false">IF($BX210&lt;&gt;Constants!$B$6,"",$BC210)</f>
        <v/>
      </c>
      <c r="BJ210" s="138" t="str">
        <f aca="false">IF($BX210&lt;&gt;Constants!$B$6,"",$BD210)</f>
        <v/>
      </c>
      <c r="BK210" s="140" t="str">
        <f aca="false">IF($BX210&lt;&gt;Constants!$B$6,"",IF($AL210,$AN210,""))</f>
        <v/>
      </c>
      <c r="BL210" s="135" t="str">
        <f aca="false">IF($BX210&lt;&gt;Constants!$B$6,"",IF(OR($BS210&lt;$BH210,AND($BS210=$BH210,OR($BT210&lt;$BI210,AND($BT210=$BI210,OR($BU210&lt;$BJ210,AND($BU210=$BJ210,AND(ISNUMBER($BV210),OR(NOT(ISNUMBER($BK210)),$BV210&lt;$BK210)))))))),"-&gt;","&lt;-"))</f>
        <v/>
      </c>
      <c r="BM210" s="134" t="str">
        <f aca="false">IF(ISBLANK($C210),"",AND($AT210,OR($AU210="",$AV210="",AND($AW210,$AX210=""))))</f>
        <v/>
      </c>
      <c r="BN210" s="137" t="str">
        <f aca="false">IF($BX210&lt;&gt;Constants!$B$6,"",IF($AT210,Constants!$B$17*$AV210+Constants!$B$18*IF($AW210,$AX210,Constants!$B$19),Constants!$B$20))</f>
        <v/>
      </c>
      <c r="BO210" s="138" t="str">
        <f aca="false">IF($BX210&lt;&gt;Constants!$B$6,"",Constants!$B$21*ABS($AD$9-IF($AT210,$AU210,0)))</f>
        <v/>
      </c>
      <c r="BP210" s="138" t="str">
        <f aca="false">IF($BX210&lt;&gt;Constants!$B$6,"",IF(AND($AT210,$AY210,$AW210),Constants!$B$22,0))</f>
        <v/>
      </c>
      <c r="BQ210" s="138" t="str">
        <f aca="false">IF($BX210&lt;&gt;Constants!$B$6,"",IF($AT210,($AI210-Constants!$B$24)*Constants!$B$23,0))</f>
        <v/>
      </c>
      <c r="BR210" s="138" t="str">
        <f aca="false">IF($BX210&lt;&gt;Constants!$B$6,"",IF($AS210,0,Constants!$B$12)+IF($AR210,0,Constants!$B$13)+IF($AH210,0,Constants!$B$14))</f>
        <v/>
      </c>
      <c r="BS210" s="139" t="str">
        <f aca="false">IF($BX210&lt;&gt;Constants!$B$6,"",Constants!$B$16+SUM($BN210:$BR210))</f>
        <v/>
      </c>
      <c r="BT210" s="138" t="str">
        <f aca="false">IF($BX210&lt;&gt;Constants!$B$6,"",$BN210)</f>
        <v/>
      </c>
      <c r="BU210" s="138" t="str">
        <f aca="false">IF($BX210&lt;&gt;Constants!$B$6,"",$BO210)</f>
        <v/>
      </c>
      <c r="BV210" s="140" t="str">
        <f aca="false">IF($BX210&lt;&gt;Constants!$B$6,"",IF($AT210,$AV210,""))</f>
        <v/>
      </c>
      <c r="BW210" s="135" t="str">
        <f aca="false">IF(ISBLANK($C210),"",IF(ISBLANK($D$7),$BW$5,IF(NOT(ISNUMBER($D$7)),$BW$6,"")))</f>
        <v/>
      </c>
      <c r="BX210" s="135" t="str">
        <f aca="false">IF(ISBLANK($C210),"",IF($BA210,Constants!$B$9,IF(COUNTA($E210:$AA210)=0,Constants!$B$8,IF(NOT($AG210),Constants!$B$7,IF(OR($BW210&lt;&gt;"",$BB210,$BM210),Constants!$B$10,Constants!$B$6)))))</f>
        <v/>
      </c>
      <c r="BY210" s="135" t="str">
        <f aca="false">IF(ISBLANK($C210),"",IF($BX210&lt;&gt;Constants!$B$6,$BX210,Constants!$B$11))</f>
        <v/>
      </c>
      <c r="BZ210" s="138" t="str">
        <f aca="false">IF($BX210&lt;&gt;Constants!$B$6,"",IF($BL210="-&gt;",$BS210,$BH210))</f>
        <v/>
      </c>
      <c r="CA210" s="138" t="str">
        <f aca="false">IF($BX210&lt;&gt;Constants!$B$6,"",IF($AF210,0,Constants!$B$15))</f>
        <v/>
      </c>
      <c r="CB210" s="138" t="str">
        <f aca="false">IF($BX210&lt;&gt;Constants!$B$6,"",((Constants!$B$25-$AZ210)-Constants!$B$25)/Constants!$B$26)</f>
        <v/>
      </c>
      <c r="CC210" s="138" t="str">
        <f aca="false">IF(ISBLANK($C210),"",IF($BX210&lt;&gt;Constants!$B$6,$BX210,SUM($BZ210:$CB210)))</f>
        <v/>
      </c>
      <c r="CD210" s="135" t="str">
        <f aca="false">IF(ISBLANK($C210),"",IF($BX210&lt;&gt;Constants!$B$6,$BX210,RANK($CC210,$CC$9:$CC$508,1)))</f>
        <v/>
      </c>
      <c r="CE210" s="138" t="str">
        <f aca="false">IF($BX210&lt;&gt;Constants!$B$6,"",IF($BL210="-&gt;",$BT210,$BI210))</f>
        <v/>
      </c>
      <c r="CF210" s="135" t="str">
        <f aca="false">IF(ISBLANK($C210),"",IF($BX210&lt;&gt;Constants!$B$6,$BX210,IF(ISNUMBER($CE210),RANK($CE210,$CE$9:$CE$508,1),COUNT($CE$9:$CE$508)+1)))</f>
        <v/>
      </c>
      <c r="CG210" s="138" t="str">
        <f aca="false">IF($BX210&lt;&gt;Constants!$B$6,"",IF($BL210="-&gt;",$BU210,$BJ210))</f>
        <v/>
      </c>
      <c r="CH210" s="135" t="str">
        <f aca="false">IF(ISBLANK($C210),"",IF($BX210&lt;&gt;Constants!$B$6,$BX210,IF(ISNUMBER($CG210),RANK($CG210,$CG$9:$CG$508,1),COUNT($CG$9:$CG$508)+1)))</f>
        <v/>
      </c>
      <c r="CI210" s="138" t="str">
        <f aca="false">IF($BX210&lt;&gt;Constants!$B$6,"",IF($BL210="-&gt;",$BV210,$BK210))</f>
        <v/>
      </c>
      <c r="CJ210" s="135" t="str">
        <f aca="false">IF(ISBLANK($C210),"",IF($BX210&lt;&gt;Constants!$B$6,$BX210,IF(ISNUMBER($CI210),RANK($CI210,$CI$9:$CI$508,1),COUNT($CI$9:$CI$508)+1)))</f>
        <v/>
      </c>
      <c r="CK210" s="138" t="str">
        <f aca="false">IF($BX210&lt;&gt;Constants!$B$6,"",$AI210)</f>
        <v/>
      </c>
      <c r="CL210" s="135" t="str">
        <f aca="false">IF(ISBLANK($C210),"",IF($BX210&lt;&gt;Constants!$B$6,$BX210,IF(ISNUMBER($CK210),RANK($CK210,$CK$9:$CK$508,1),COUNT($CK$9:$CK$508)+1)))</f>
        <v/>
      </c>
      <c r="CM210" s="135" t="str">
        <f aca="false">IF(ISBLANK($C210),"",IF($BX210&lt;&gt;Constants!$B$6,$BX210,COUNTIFS($CD$9:$CD$508,"&lt;"&amp;$CD210)+COUNTIFS($CD$9:$CD$508,$CD210,$CF$9:$CF$508,"&lt;"&amp;$CF210)+COUNTIFS($CD$9:$CD$508,$CD210,$CF$9:$CF$508,$CF210,$CH$9:$CH$508,"&lt;"&amp;$CH210)+COUNTIFS($CD$9:$CD$508,$CD210,$CF$9:$CF$508,$CF210,$CH$9:$CH$508,$CH210,$CJ$9:$CJ$508,"&lt;"&amp;$CJ210)+COUNTIFS($CD$9:$CD$508,$CD210,$CF$9:$CF$508,$CF210,$CH$9:$CH$508,$CH210,$CJ$9:$CJ$508,$CJ210,$CL$9:$CL$508,"&lt;"&amp;$CL210)+1))</f>
        <v/>
      </c>
      <c r="CN210" s="135" t="str">
        <f aca="false">IF(ISBLANK($C210),"",IF($BX210&lt;&gt;Constants!$B$6,$BX210,$CD210-$CM210))</f>
        <v/>
      </c>
      <c r="CO210" s="141"/>
      <c r="CP210" s="142"/>
      <c r="CQ210" s="143" t="str">
        <f aca="false">IF(ISBLANK($C210),"",IF($BX210=Constants!$B$10,$BW210,""))</f>
        <v/>
      </c>
      <c r="CR210" s="142" t="str">
        <f aca="false">IF(ISBLANK($C210),"",IF($BX210&lt;&gt;Constants!$B$6,"",IF($BL210="-&gt;",2,1)))</f>
        <v/>
      </c>
      <c r="CS210" s="144" t="str">
        <f aca="false">IF(ISBLANK($C210),"",IF($BX210&lt;&gt;Constants!$B$6,"",IF($BL210="-&gt;",$BN210,$BC210)))</f>
        <v/>
      </c>
      <c r="CT210" s="144" t="str">
        <f aca="false">IF(ISBLANK($C210),"",IF($BX210&lt;&gt;Constants!$B$6,"",IF($BL210="-&gt;",$BO210,$BD210)))</f>
        <v/>
      </c>
      <c r="CU210" s="144" t="str">
        <f aca="false">IF(ISBLANK($C210),"",IF($BX210&lt;&gt;Constants!$B$6,"",IF($BL210="-&gt;",$BP210+$BQ210,$BE210+$BF210)+$CB210))</f>
        <v/>
      </c>
      <c r="CV210" s="144" t="str">
        <f aca="false">IF(ISBLANK($C210),"",IF($BX210&lt;&gt;Constants!$B$6,"",IF($BL210="-&gt;",$BR210,$BG210)+$CA210))</f>
        <v/>
      </c>
      <c r="CW210" s="145" t="str">
        <f aca="false">IF(ISBLANK($C210),"",IF($BX210&lt;&gt;Constants!$B$6,$BX210,$CC210))</f>
        <v/>
      </c>
      <c r="CX210" s="146" t="str">
        <f aca="false">IF(ISBLANK($C210),"",$BY210)</f>
        <v/>
      </c>
      <c r="CY210" s="147" t="str">
        <f aca="false">IF(ISBLANK($C210),"",$CN210)</f>
        <v/>
      </c>
      <c r="CZ210" s="147" t="str">
        <f aca="false">IF(ISBLANK($C210),"",$CM210)</f>
        <v/>
      </c>
      <c r="DA210" s="148" t="str">
        <f aca="false">IF(ISBLANK($C210),"",IFERROR(_xlfn.SWITCH($CZ210,Constants!$B$9,COUNTA($C$9:$C$508)+2,Constants!$B$8,COUNTA($C$9:$C$508)+1,Constants!$B$7,COUNTA($C$9:$C$508)),$CZ210))</f>
        <v/>
      </c>
      <c r="DB210" s="9"/>
      <c r="DC210" s="149" t="n">
        <f aca="false">IF(OR(ISNUMBER($CZ210),$CZ210=Constants!$B$9,$CZ210=Constants!$B$7,$CZ210=Constants!$B$8),1,0)</f>
        <v>0</v>
      </c>
      <c r="DD210" s="149" t="n">
        <v>202</v>
      </c>
      <c r="DE210" s="149" t="str">
        <f aca="false">IF(ISBLANK($C210),"",IF(ISNUMBER($DA210),$DA210+ROW($B210)/1000,""))</f>
        <v/>
      </c>
      <c r="DF210" s="149" t="str">
        <f aca="false">IF(ISNUMBER($DE210),RANK($DE210,$DE$9:$DE$508,1),"")</f>
        <v/>
      </c>
      <c r="DG210" s="149" t="str">
        <f aca="false">IF(ISBLANK($C210),"",$B210)</f>
        <v/>
      </c>
      <c r="DH210" s="149" t="str">
        <f aca="false">IF(ISBLANK($C210),"",$C210)</f>
        <v/>
      </c>
      <c r="DI210" s="149" t="str">
        <f aca="false">IF(ISBLANK($C210),"",$D210)</f>
        <v/>
      </c>
      <c r="DJ210" s="150" t="str">
        <f aca="false">$CX210</f>
        <v/>
      </c>
      <c r="DK210" s="151" t="str">
        <f aca="false">$CW210</f>
        <v/>
      </c>
      <c r="DL210" s="149" t="str">
        <f aca="false">IF(ISBLANK($C210),"",$CZ210)</f>
        <v/>
      </c>
      <c r="DM210" s="152" t="str">
        <f aca="false">IF($DD210&gt;$DC$8,"",VLOOKUP($DD210,$DF$9:$DL$508,7,FALSE()))</f>
        <v/>
      </c>
      <c r="DN210" s="153" t="str">
        <f aca="false">IF($DD210&gt;$DC$8,"",VLOOKUP($DD210,$DF$9:$DL$508,2,FALSE()))</f>
        <v/>
      </c>
      <c r="DO210" s="153" t="str">
        <f aca="false">IF($DD210&gt;$DC$8,"",VLOOKUP($DD210,$DF$9:$DL$508,3,FALSE()))</f>
        <v/>
      </c>
      <c r="DP210" s="153" t="str">
        <f aca="false">IF($DD210&gt;$DC$8,"",VLOOKUP($DD210,$DF$9:$DL$508,4,FALSE()))</f>
        <v/>
      </c>
      <c r="DQ210" s="153" t="str">
        <f aca="false">IF($DD210&gt;$DC$8,"",VLOOKUP($DD210,$DF$9:$DL$508,5,FALSE()))</f>
        <v/>
      </c>
      <c r="DR210" s="154" t="str">
        <f aca="false">IF($DD210&gt;$DC$8,"",VLOOKUP($DD210,$DF$9:$DL$508,6,FALSE()))</f>
        <v/>
      </c>
      <c r="DS210" s="76"/>
    </row>
    <row r="211" customFormat="false" ht="15.75" hidden="false" customHeight="false" outlineLevel="0" collapsed="false">
      <c r="A211" s="9"/>
      <c r="B211" s="160"/>
      <c r="C211" s="161"/>
      <c r="D211" s="162"/>
      <c r="E211" s="180"/>
      <c r="F211" s="164"/>
      <c r="G211" s="165"/>
      <c r="H211" s="165"/>
      <c r="I211" s="181"/>
      <c r="J211" s="168"/>
      <c r="K211" s="128"/>
      <c r="L211" s="129"/>
      <c r="M211" s="130"/>
      <c r="N211" s="168"/>
      <c r="O211" s="168"/>
      <c r="P211" s="180"/>
      <c r="Q211" s="168"/>
      <c r="R211" s="168"/>
      <c r="S211" s="128"/>
      <c r="T211" s="130"/>
      <c r="U211" s="130"/>
      <c r="V211" s="168"/>
      <c r="W211" s="168"/>
      <c r="X211" s="180"/>
      <c r="Y211" s="168"/>
      <c r="Z211" s="169"/>
      <c r="AA211" s="168"/>
      <c r="AB211" s="134"/>
      <c r="AC211" s="135"/>
      <c r="AD211" s="135"/>
      <c r="AE211" s="135"/>
      <c r="AF211" s="135" t="str">
        <f aca="false">IF(ISBLANK($C211),"",IF(E211=Constants!$B$2,TRUE(),IF(E211=Constants!$B$3,FALSE(),TRUE())))</f>
        <v/>
      </c>
      <c r="AG211" s="135" t="str">
        <f aca="false">IF(ISBLANK($C211),"",IF(F211=Constants!$B$2,TRUE(),IF(F211=Constants!$B$3,FALSE(),TRUE())))</f>
        <v/>
      </c>
      <c r="AH211" s="135" t="str">
        <f aca="false">IF(ISBLANK($C211),"",IF(G211=Constants!$B$2,TRUE(),IF(G211=Constants!$B$3,FALSE(),TRUE())))</f>
        <v/>
      </c>
      <c r="AI211" s="135" t="str">
        <f aca="false">IF(ISBLANK($C211),"",IF(AND(ISNUMBER(H211),H211&gt;=0),H211,Constants!$B$24))</f>
        <v/>
      </c>
      <c r="AJ211" s="135" t="str">
        <f aca="false">IF(ISBLANK($C211),"",IF(I211=Constants!$B$2,TRUE(),IF(I211=Constants!$B$3,FALSE(),TRUE())))</f>
        <v/>
      </c>
      <c r="AK211" s="135" t="str">
        <f aca="false">IF(ISBLANK($C211),"",IF(J211=Constants!$B$2,TRUE(),IF(J211=Constants!$B$3,FALSE(),TRUE())))</f>
        <v/>
      </c>
      <c r="AL211" s="135" t="str">
        <f aca="false">IF(ISBLANK($C211),"",IF(K211=Constants!$B$4,TRUE(),IF(K211=Constants!$B$5,FALSE(),COUNTA(L211:P211)&gt;0)))</f>
        <v/>
      </c>
      <c r="AM211" s="136" t="str">
        <f aca="false">IF(ISBLANK($C211),"",IF(ISNUMBER(L211),IF(L211&gt;=0,L211,""),""))</f>
        <v/>
      </c>
      <c r="AN211" s="137" t="str">
        <f aca="false">IF(ISBLANK($C211),"",IF(ISNUMBER(M211),IF(M211&gt;=0,M211,""),""))</f>
        <v/>
      </c>
      <c r="AO211" s="137" t="str">
        <f aca="false">IF(ISBLANK($C211),"",IF(N211=Constants!$B$2,TRUE(),IF(N211=Constants!$B$3,FALSE(),TRUE())))</f>
        <v/>
      </c>
      <c r="AP211" s="135" t="str">
        <f aca="false">IF(ISBLANK($C211),"",IF(ISNUMBER(O211),IF(O211&gt;=0,O211,""),""))</f>
        <v/>
      </c>
      <c r="AQ211" s="135" t="str">
        <f aca="false">IF(ISBLANK($C211),"",IF(P211=Constants!$B$2,TRUE(),IF(P211=Constants!$B$3,FALSE(),FALSE())))</f>
        <v/>
      </c>
      <c r="AR211" s="135" t="str">
        <f aca="false">IF(ISBLANK($C211),"",IF(Q211=Constants!$B$2,TRUE(),IF(Q211=Constants!$B$3,FALSE(),TRUE())))</f>
        <v/>
      </c>
      <c r="AS211" s="135" t="str">
        <f aca="false">IF(ISBLANK($C211),"",IF(R211=Constants!$B$2,TRUE(),IF(R211=Constants!$B$3,FALSE(),TRUE())))</f>
        <v/>
      </c>
      <c r="AT211" s="135" t="str">
        <f aca="false">IF(ISBLANK($C211),"",IF(S211=Constants!$B$4,TRUE(),IF(S211=Constants!$B$5,FALSE(),COUNTA(T211:X211)&gt;0)))</f>
        <v/>
      </c>
      <c r="AU211" s="136" t="str">
        <f aca="false">IF(ISBLANK($C211),"",IF(ISNUMBER(T211),IF(T211&gt;=0,T211,""),""))</f>
        <v/>
      </c>
      <c r="AV211" s="137" t="str">
        <f aca="false">IF(ISBLANK($C211),"",IF(ISNUMBER(U211),IF(U211&gt;=0,U211,""),""))</f>
        <v/>
      </c>
      <c r="AW211" s="137" t="str">
        <f aca="false">IF(ISBLANK($C211),"",IF(V211=Constants!$B$2,TRUE(),IF(V211=Constants!$B$3,FALSE(),TRUE())))</f>
        <v/>
      </c>
      <c r="AX211" s="135" t="str">
        <f aca="false">IF(ISBLANK($C211),"",IF(ISNUMBER(W211),IF(W211&gt;=0,W211,""),""))</f>
        <v/>
      </c>
      <c r="AY211" s="135" t="str">
        <f aca="false">IF(ISBLANK($C211),"",IF(X211=Constants!$B$2,TRUE(),IF(X211=Constants!$B$3,FALSE(),FALSE())))</f>
        <v/>
      </c>
      <c r="AZ211" s="135" t="str">
        <f aca="false">IF(ISBLANK($C211),"",MIN(Constants!$B$25,MAX(0,IF(ISNUMBER(Y211),Y211*60,0)+IF(ISNUMBER(Z211),Z211,0))))</f>
        <v/>
      </c>
      <c r="BA211" s="135" t="str">
        <f aca="false">IF(ISBLANK($C211),"",IF(AA211=Constants!$B$2,TRUE(),IF(AA211=Constants!$B$3,FALSE(),FALSE())))</f>
        <v/>
      </c>
      <c r="BB211" s="134" t="str">
        <f aca="false">IF(ISBLANK($C211),"",AND($AL211,OR($AM211="",$AN211="",AND($AO211,$AP211=""))))</f>
        <v/>
      </c>
      <c r="BC211" s="137" t="str">
        <f aca="false">IF($BX211&lt;&gt;Constants!$B$6,"",IF($AL211,Constants!$B$17*$AN211+Constants!$B$18*IF($AO211,$AP211,Constants!$B$19),Constants!$B$20))</f>
        <v/>
      </c>
      <c r="BD211" s="138" t="str">
        <f aca="false">IF($BX211&lt;&gt;Constants!$B$6,"",Constants!$B$21*ABS($AD$9-IF($AL211,$AM211,0)))</f>
        <v/>
      </c>
      <c r="BE211" s="138" t="str">
        <f aca="false">IF($BX211&lt;&gt;Constants!$B$6,"",IF(AND($AL211,$AQ211,$AO211),Constants!$B$22,0))</f>
        <v/>
      </c>
      <c r="BF211" s="138" t="str">
        <f aca="false">IF($BX211&lt;&gt;Constants!$B$6,"",IF($AL211,($AI211-Constants!$B$24)*Constants!$B$23,0))</f>
        <v/>
      </c>
      <c r="BG211" s="138" t="str">
        <f aca="false">IF($BX211&lt;&gt;Constants!$B$6,"",IF($AK211,0,Constants!$B$12)+IF($AJ211,0,Constants!$B$13)+IF($AH211,0,Constants!$B$14))</f>
        <v/>
      </c>
      <c r="BH211" s="139" t="str">
        <f aca="false">IF($BX211&lt;&gt;Constants!$B$6,"",Constants!$B$16+SUM($BC211:$BG211))</f>
        <v/>
      </c>
      <c r="BI211" s="138" t="str">
        <f aca="false">IF($BX211&lt;&gt;Constants!$B$6,"",$BC211)</f>
        <v/>
      </c>
      <c r="BJ211" s="138" t="str">
        <f aca="false">IF($BX211&lt;&gt;Constants!$B$6,"",$BD211)</f>
        <v/>
      </c>
      <c r="BK211" s="140" t="str">
        <f aca="false">IF($BX211&lt;&gt;Constants!$B$6,"",IF($AL211,$AN211,""))</f>
        <v/>
      </c>
      <c r="BL211" s="135" t="str">
        <f aca="false">IF($BX211&lt;&gt;Constants!$B$6,"",IF(OR($BS211&lt;$BH211,AND($BS211=$BH211,OR($BT211&lt;$BI211,AND($BT211=$BI211,OR($BU211&lt;$BJ211,AND($BU211=$BJ211,AND(ISNUMBER($BV211),OR(NOT(ISNUMBER($BK211)),$BV211&lt;$BK211)))))))),"-&gt;","&lt;-"))</f>
        <v/>
      </c>
      <c r="BM211" s="134" t="str">
        <f aca="false">IF(ISBLANK($C211),"",AND($AT211,OR($AU211="",$AV211="",AND($AW211,$AX211=""))))</f>
        <v/>
      </c>
      <c r="BN211" s="137" t="str">
        <f aca="false">IF($BX211&lt;&gt;Constants!$B$6,"",IF($AT211,Constants!$B$17*$AV211+Constants!$B$18*IF($AW211,$AX211,Constants!$B$19),Constants!$B$20))</f>
        <v/>
      </c>
      <c r="BO211" s="138" t="str">
        <f aca="false">IF($BX211&lt;&gt;Constants!$B$6,"",Constants!$B$21*ABS($AD$9-IF($AT211,$AU211,0)))</f>
        <v/>
      </c>
      <c r="BP211" s="138" t="str">
        <f aca="false">IF($BX211&lt;&gt;Constants!$B$6,"",IF(AND($AT211,$AY211,$AW211),Constants!$B$22,0))</f>
        <v/>
      </c>
      <c r="BQ211" s="138" t="str">
        <f aca="false">IF($BX211&lt;&gt;Constants!$B$6,"",IF($AT211,($AI211-Constants!$B$24)*Constants!$B$23,0))</f>
        <v/>
      </c>
      <c r="BR211" s="138" t="str">
        <f aca="false">IF($BX211&lt;&gt;Constants!$B$6,"",IF($AS211,0,Constants!$B$12)+IF($AR211,0,Constants!$B$13)+IF($AH211,0,Constants!$B$14))</f>
        <v/>
      </c>
      <c r="BS211" s="139" t="str">
        <f aca="false">IF($BX211&lt;&gt;Constants!$B$6,"",Constants!$B$16+SUM($BN211:$BR211))</f>
        <v/>
      </c>
      <c r="BT211" s="138" t="str">
        <f aca="false">IF($BX211&lt;&gt;Constants!$B$6,"",$BN211)</f>
        <v/>
      </c>
      <c r="BU211" s="138" t="str">
        <f aca="false">IF($BX211&lt;&gt;Constants!$B$6,"",$BO211)</f>
        <v/>
      </c>
      <c r="BV211" s="140" t="str">
        <f aca="false">IF($BX211&lt;&gt;Constants!$B$6,"",IF($AT211,$AV211,""))</f>
        <v/>
      </c>
      <c r="BW211" s="135" t="str">
        <f aca="false">IF(ISBLANK($C211),"",IF(ISBLANK($D$7),$BW$5,IF(NOT(ISNUMBER($D$7)),$BW$6,"")))</f>
        <v/>
      </c>
      <c r="BX211" s="135" t="str">
        <f aca="false">IF(ISBLANK($C211),"",IF($BA211,Constants!$B$9,IF(COUNTA($E211:$AA211)=0,Constants!$B$8,IF(NOT($AG211),Constants!$B$7,IF(OR($BW211&lt;&gt;"",$BB211,$BM211),Constants!$B$10,Constants!$B$6)))))</f>
        <v/>
      </c>
      <c r="BY211" s="135" t="str">
        <f aca="false">IF(ISBLANK($C211),"",IF($BX211&lt;&gt;Constants!$B$6,$BX211,Constants!$B$11))</f>
        <v/>
      </c>
      <c r="BZ211" s="138" t="str">
        <f aca="false">IF($BX211&lt;&gt;Constants!$B$6,"",IF($BL211="-&gt;",$BS211,$BH211))</f>
        <v/>
      </c>
      <c r="CA211" s="138" t="str">
        <f aca="false">IF($BX211&lt;&gt;Constants!$B$6,"",IF($AF211,0,Constants!$B$15))</f>
        <v/>
      </c>
      <c r="CB211" s="138" t="str">
        <f aca="false">IF($BX211&lt;&gt;Constants!$B$6,"",((Constants!$B$25-$AZ211)-Constants!$B$25)/Constants!$B$26)</f>
        <v/>
      </c>
      <c r="CC211" s="138" t="str">
        <f aca="false">IF(ISBLANK($C211),"",IF($BX211&lt;&gt;Constants!$B$6,$BX211,SUM($BZ211:$CB211)))</f>
        <v/>
      </c>
      <c r="CD211" s="135" t="str">
        <f aca="false">IF(ISBLANK($C211),"",IF($BX211&lt;&gt;Constants!$B$6,$BX211,RANK($CC211,$CC$9:$CC$508,1)))</f>
        <v/>
      </c>
      <c r="CE211" s="138" t="str">
        <f aca="false">IF($BX211&lt;&gt;Constants!$B$6,"",IF($BL211="-&gt;",$BT211,$BI211))</f>
        <v/>
      </c>
      <c r="CF211" s="135" t="str">
        <f aca="false">IF(ISBLANK($C211),"",IF($BX211&lt;&gt;Constants!$B$6,$BX211,IF(ISNUMBER($CE211),RANK($CE211,$CE$9:$CE$508,1),COUNT($CE$9:$CE$508)+1)))</f>
        <v/>
      </c>
      <c r="CG211" s="138" t="str">
        <f aca="false">IF($BX211&lt;&gt;Constants!$B$6,"",IF($BL211="-&gt;",$BU211,$BJ211))</f>
        <v/>
      </c>
      <c r="CH211" s="135" t="str">
        <f aca="false">IF(ISBLANK($C211),"",IF($BX211&lt;&gt;Constants!$B$6,$BX211,IF(ISNUMBER($CG211),RANK($CG211,$CG$9:$CG$508,1),COUNT($CG$9:$CG$508)+1)))</f>
        <v/>
      </c>
      <c r="CI211" s="138" t="str">
        <f aca="false">IF($BX211&lt;&gt;Constants!$B$6,"",IF($BL211="-&gt;",$BV211,$BK211))</f>
        <v/>
      </c>
      <c r="CJ211" s="135" t="str">
        <f aca="false">IF(ISBLANK($C211),"",IF($BX211&lt;&gt;Constants!$B$6,$BX211,IF(ISNUMBER($CI211),RANK($CI211,$CI$9:$CI$508,1),COUNT($CI$9:$CI$508)+1)))</f>
        <v/>
      </c>
      <c r="CK211" s="138" t="str">
        <f aca="false">IF($BX211&lt;&gt;Constants!$B$6,"",$AI211)</f>
        <v/>
      </c>
      <c r="CL211" s="135" t="str">
        <f aca="false">IF(ISBLANK($C211),"",IF($BX211&lt;&gt;Constants!$B$6,$BX211,IF(ISNUMBER($CK211),RANK($CK211,$CK$9:$CK$508,1),COUNT($CK$9:$CK$508)+1)))</f>
        <v/>
      </c>
      <c r="CM211" s="135" t="str">
        <f aca="false">IF(ISBLANK($C211),"",IF($BX211&lt;&gt;Constants!$B$6,$BX211,COUNTIFS($CD$9:$CD$508,"&lt;"&amp;$CD211)+COUNTIFS($CD$9:$CD$508,$CD211,$CF$9:$CF$508,"&lt;"&amp;$CF211)+COUNTIFS($CD$9:$CD$508,$CD211,$CF$9:$CF$508,$CF211,$CH$9:$CH$508,"&lt;"&amp;$CH211)+COUNTIFS($CD$9:$CD$508,$CD211,$CF$9:$CF$508,$CF211,$CH$9:$CH$508,$CH211,$CJ$9:$CJ$508,"&lt;"&amp;$CJ211)+COUNTIFS($CD$9:$CD$508,$CD211,$CF$9:$CF$508,$CF211,$CH$9:$CH$508,$CH211,$CJ$9:$CJ$508,$CJ211,$CL$9:$CL$508,"&lt;"&amp;$CL211)+1))</f>
        <v/>
      </c>
      <c r="CN211" s="135" t="str">
        <f aca="false">IF(ISBLANK($C211),"",IF($BX211&lt;&gt;Constants!$B$6,$BX211,$CD211-$CM211))</f>
        <v/>
      </c>
      <c r="CO211" s="141"/>
      <c r="CP211" s="142"/>
      <c r="CQ211" s="143" t="str">
        <f aca="false">IF(ISBLANK($C211),"",IF($BX211=Constants!$B$10,$BW211,""))</f>
        <v/>
      </c>
      <c r="CR211" s="142" t="str">
        <f aca="false">IF(ISBLANK($C211),"",IF($BX211&lt;&gt;Constants!$B$6,"",IF($BL211="-&gt;",2,1)))</f>
        <v/>
      </c>
      <c r="CS211" s="144" t="str">
        <f aca="false">IF(ISBLANK($C211),"",IF($BX211&lt;&gt;Constants!$B$6,"",IF($BL211="-&gt;",$BN211,$BC211)))</f>
        <v/>
      </c>
      <c r="CT211" s="144" t="str">
        <f aca="false">IF(ISBLANK($C211),"",IF($BX211&lt;&gt;Constants!$B$6,"",IF($BL211="-&gt;",$BO211,$BD211)))</f>
        <v/>
      </c>
      <c r="CU211" s="144" t="str">
        <f aca="false">IF(ISBLANK($C211),"",IF($BX211&lt;&gt;Constants!$B$6,"",IF($BL211="-&gt;",$BP211+$BQ211,$BE211+$BF211)+$CB211))</f>
        <v/>
      </c>
      <c r="CV211" s="144" t="str">
        <f aca="false">IF(ISBLANK($C211),"",IF($BX211&lt;&gt;Constants!$B$6,"",IF($BL211="-&gt;",$BR211,$BG211)+$CA211))</f>
        <v/>
      </c>
      <c r="CW211" s="145" t="str">
        <f aca="false">IF(ISBLANK($C211),"",IF($BX211&lt;&gt;Constants!$B$6,$BX211,$CC211))</f>
        <v/>
      </c>
      <c r="CX211" s="146" t="str">
        <f aca="false">IF(ISBLANK($C211),"",$BY211)</f>
        <v/>
      </c>
      <c r="CY211" s="147" t="str">
        <f aca="false">IF(ISBLANK($C211),"",$CN211)</f>
        <v/>
      </c>
      <c r="CZ211" s="147" t="str">
        <f aca="false">IF(ISBLANK($C211),"",$CM211)</f>
        <v/>
      </c>
      <c r="DA211" s="148" t="str">
        <f aca="false">IF(ISBLANK($C211),"",IFERROR(_xlfn.SWITCH($CZ211,Constants!$B$9,COUNTA($C$9:$C$508)+2,Constants!$B$8,COUNTA($C$9:$C$508)+1,Constants!$B$7,COUNTA($C$9:$C$508)),$CZ211))</f>
        <v/>
      </c>
      <c r="DB211" s="9"/>
      <c r="DC211" s="149" t="n">
        <f aca="false">IF(OR(ISNUMBER($CZ211),$CZ211=Constants!$B$9,$CZ211=Constants!$B$7,$CZ211=Constants!$B$8),1,0)</f>
        <v>0</v>
      </c>
      <c r="DD211" s="149" t="n">
        <v>203</v>
      </c>
      <c r="DE211" s="149" t="str">
        <f aca="false">IF(ISBLANK($C211),"",IF(ISNUMBER($DA211),$DA211+ROW($B211)/1000,""))</f>
        <v/>
      </c>
      <c r="DF211" s="149" t="str">
        <f aca="false">IF(ISNUMBER($DE211),RANK($DE211,$DE$9:$DE$508,1),"")</f>
        <v/>
      </c>
      <c r="DG211" s="149" t="str">
        <f aca="false">IF(ISBLANK($C211),"",$B211)</f>
        <v/>
      </c>
      <c r="DH211" s="149" t="str">
        <f aca="false">IF(ISBLANK($C211),"",$C211)</f>
        <v/>
      </c>
      <c r="DI211" s="149" t="str">
        <f aca="false">IF(ISBLANK($C211),"",$D211)</f>
        <v/>
      </c>
      <c r="DJ211" s="150" t="str">
        <f aca="false">$CX211</f>
        <v/>
      </c>
      <c r="DK211" s="151" t="str">
        <f aca="false">$CW211</f>
        <v/>
      </c>
      <c r="DL211" s="149" t="str">
        <f aca="false">IF(ISBLANK($C211),"",$CZ211)</f>
        <v/>
      </c>
      <c r="DM211" s="152" t="str">
        <f aca="false">IF($DD211&gt;$DC$8,"",VLOOKUP($DD211,$DF$9:$DL$508,7,FALSE()))</f>
        <v/>
      </c>
      <c r="DN211" s="153" t="str">
        <f aca="false">IF($DD211&gt;$DC$8,"",VLOOKUP($DD211,$DF$9:$DL$508,2,FALSE()))</f>
        <v/>
      </c>
      <c r="DO211" s="153" t="str">
        <f aca="false">IF($DD211&gt;$DC$8,"",VLOOKUP($DD211,$DF$9:$DL$508,3,FALSE()))</f>
        <v/>
      </c>
      <c r="DP211" s="153" t="str">
        <f aca="false">IF($DD211&gt;$DC$8,"",VLOOKUP($DD211,$DF$9:$DL$508,4,FALSE()))</f>
        <v/>
      </c>
      <c r="DQ211" s="153" t="str">
        <f aca="false">IF($DD211&gt;$DC$8,"",VLOOKUP($DD211,$DF$9:$DL$508,5,FALSE()))</f>
        <v/>
      </c>
      <c r="DR211" s="154" t="str">
        <f aca="false">IF($DD211&gt;$DC$8,"",VLOOKUP($DD211,$DF$9:$DL$508,6,FALSE()))</f>
        <v/>
      </c>
      <c r="DS211" s="76"/>
    </row>
    <row r="212" customFormat="false" ht="15.75" hidden="false" customHeight="false" outlineLevel="0" collapsed="false">
      <c r="A212" s="9"/>
      <c r="B212" s="160"/>
      <c r="C212" s="161"/>
      <c r="D212" s="162"/>
      <c r="E212" s="180"/>
      <c r="F212" s="164"/>
      <c r="G212" s="165"/>
      <c r="H212" s="165"/>
      <c r="I212" s="181"/>
      <c r="J212" s="168"/>
      <c r="K212" s="128"/>
      <c r="L212" s="129"/>
      <c r="M212" s="130"/>
      <c r="N212" s="168"/>
      <c r="O212" s="168"/>
      <c r="P212" s="180"/>
      <c r="Q212" s="168"/>
      <c r="R212" s="168"/>
      <c r="S212" s="128"/>
      <c r="T212" s="130"/>
      <c r="U212" s="130"/>
      <c r="V212" s="168"/>
      <c r="W212" s="168"/>
      <c r="X212" s="180"/>
      <c r="Y212" s="168"/>
      <c r="Z212" s="169"/>
      <c r="AA212" s="168"/>
      <c r="AB212" s="134"/>
      <c r="AC212" s="135"/>
      <c r="AD212" s="135"/>
      <c r="AE212" s="135"/>
      <c r="AF212" s="135" t="str">
        <f aca="false">IF(ISBLANK($C212),"",IF(E212=Constants!$B$2,TRUE(),IF(E212=Constants!$B$3,FALSE(),TRUE())))</f>
        <v/>
      </c>
      <c r="AG212" s="135" t="str">
        <f aca="false">IF(ISBLANK($C212),"",IF(F212=Constants!$B$2,TRUE(),IF(F212=Constants!$B$3,FALSE(),TRUE())))</f>
        <v/>
      </c>
      <c r="AH212" s="135" t="str">
        <f aca="false">IF(ISBLANK($C212),"",IF(G212=Constants!$B$2,TRUE(),IF(G212=Constants!$B$3,FALSE(),TRUE())))</f>
        <v/>
      </c>
      <c r="AI212" s="135" t="str">
        <f aca="false">IF(ISBLANK($C212),"",IF(AND(ISNUMBER(H212),H212&gt;=0),H212,Constants!$B$24))</f>
        <v/>
      </c>
      <c r="AJ212" s="135" t="str">
        <f aca="false">IF(ISBLANK($C212),"",IF(I212=Constants!$B$2,TRUE(),IF(I212=Constants!$B$3,FALSE(),TRUE())))</f>
        <v/>
      </c>
      <c r="AK212" s="135" t="str">
        <f aca="false">IF(ISBLANK($C212),"",IF(J212=Constants!$B$2,TRUE(),IF(J212=Constants!$B$3,FALSE(),TRUE())))</f>
        <v/>
      </c>
      <c r="AL212" s="135" t="str">
        <f aca="false">IF(ISBLANK($C212),"",IF(K212=Constants!$B$4,TRUE(),IF(K212=Constants!$B$5,FALSE(),COUNTA(L212:P212)&gt;0)))</f>
        <v/>
      </c>
      <c r="AM212" s="136" t="str">
        <f aca="false">IF(ISBLANK($C212),"",IF(ISNUMBER(L212),IF(L212&gt;=0,L212,""),""))</f>
        <v/>
      </c>
      <c r="AN212" s="137" t="str">
        <f aca="false">IF(ISBLANK($C212),"",IF(ISNUMBER(M212),IF(M212&gt;=0,M212,""),""))</f>
        <v/>
      </c>
      <c r="AO212" s="137" t="str">
        <f aca="false">IF(ISBLANK($C212),"",IF(N212=Constants!$B$2,TRUE(),IF(N212=Constants!$B$3,FALSE(),TRUE())))</f>
        <v/>
      </c>
      <c r="AP212" s="135" t="str">
        <f aca="false">IF(ISBLANK($C212),"",IF(ISNUMBER(O212),IF(O212&gt;=0,O212,""),""))</f>
        <v/>
      </c>
      <c r="AQ212" s="135" t="str">
        <f aca="false">IF(ISBLANK($C212),"",IF(P212=Constants!$B$2,TRUE(),IF(P212=Constants!$B$3,FALSE(),FALSE())))</f>
        <v/>
      </c>
      <c r="AR212" s="135" t="str">
        <f aca="false">IF(ISBLANK($C212),"",IF(Q212=Constants!$B$2,TRUE(),IF(Q212=Constants!$B$3,FALSE(),TRUE())))</f>
        <v/>
      </c>
      <c r="AS212" s="135" t="str">
        <f aca="false">IF(ISBLANK($C212),"",IF(R212=Constants!$B$2,TRUE(),IF(R212=Constants!$B$3,FALSE(),TRUE())))</f>
        <v/>
      </c>
      <c r="AT212" s="135" t="str">
        <f aca="false">IF(ISBLANK($C212),"",IF(S212=Constants!$B$4,TRUE(),IF(S212=Constants!$B$5,FALSE(),COUNTA(T212:X212)&gt;0)))</f>
        <v/>
      </c>
      <c r="AU212" s="136" t="str">
        <f aca="false">IF(ISBLANK($C212),"",IF(ISNUMBER(T212),IF(T212&gt;=0,T212,""),""))</f>
        <v/>
      </c>
      <c r="AV212" s="137" t="str">
        <f aca="false">IF(ISBLANK($C212),"",IF(ISNUMBER(U212),IF(U212&gt;=0,U212,""),""))</f>
        <v/>
      </c>
      <c r="AW212" s="137" t="str">
        <f aca="false">IF(ISBLANK($C212),"",IF(V212=Constants!$B$2,TRUE(),IF(V212=Constants!$B$3,FALSE(),TRUE())))</f>
        <v/>
      </c>
      <c r="AX212" s="135" t="str">
        <f aca="false">IF(ISBLANK($C212),"",IF(ISNUMBER(W212),IF(W212&gt;=0,W212,""),""))</f>
        <v/>
      </c>
      <c r="AY212" s="135" t="str">
        <f aca="false">IF(ISBLANK($C212),"",IF(X212=Constants!$B$2,TRUE(),IF(X212=Constants!$B$3,FALSE(),FALSE())))</f>
        <v/>
      </c>
      <c r="AZ212" s="135" t="str">
        <f aca="false">IF(ISBLANK($C212),"",MIN(Constants!$B$25,MAX(0,IF(ISNUMBER(Y212),Y212*60,0)+IF(ISNUMBER(Z212),Z212,0))))</f>
        <v/>
      </c>
      <c r="BA212" s="135" t="str">
        <f aca="false">IF(ISBLANK($C212),"",IF(AA212=Constants!$B$2,TRUE(),IF(AA212=Constants!$B$3,FALSE(),FALSE())))</f>
        <v/>
      </c>
      <c r="BB212" s="134" t="str">
        <f aca="false">IF(ISBLANK($C212),"",AND($AL212,OR($AM212="",$AN212="",AND($AO212,$AP212=""))))</f>
        <v/>
      </c>
      <c r="BC212" s="137" t="str">
        <f aca="false">IF($BX212&lt;&gt;Constants!$B$6,"",IF($AL212,Constants!$B$17*$AN212+Constants!$B$18*IF($AO212,$AP212,Constants!$B$19),Constants!$B$20))</f>
        <v/>
      </c>
      <c r="BD212" s="138" t="str">
        <f aca="false">IF($BX212&lt;&gt;Constants!$B$6,"",Constants!$B$21*ABS($AD$9-IF($AL212,$AM212,0)))</f>
        <v/>
      </c>
      <c r="BE212" s="138" t="str">
        <f aca="false">IF($BX212&lt;&gt;Constants!$B$6,"",IF(AND($AL212,$AQ212,$AO212),Constants!$B$22,0))</f>
        <v/>
      </c>
      <c r="BF212" s="138" t="str">
        <f aca="false">IF($BX212&lt;&gt;Constants!$B$6,"",IF($AL212,($AI212-Constants!$B$24)*Constants!$B$23,0))</f>
        <v/>
      </c>
      <c r="BG212" s="138" t="str">
        <f aca="false">IF($BX212&lt;&gt;Constants!$B$6,"",IF($AK212,0,Constants!$B$12)+IF($AJ212,0,Constants!$B$13)+IF($AH212,0,Constants!$B$14))</f>
        <v/>
      </c>
      <c r="BH212" s="139" t="str">
        <f aca="false">IF($BX212&lt;&gt;Constants!$B$6,"",Constants!$B$16+SUM($BC212:$BG212))</f>
        <v/>
      </c>
      <c r="BI212" s="138" t="str">
        <f aca="false">IF($BX212&lt;&gt;Constants!$B$6,"",$BC212)</f>
        <v/>
      </c>
      <c r="BJ212" s="138" t="str">
        <f aca="false">IF($BX212&lt;&gt;Constants!$B$6,"",$BD212)</f>
        <v/>
      </c>
      <c r="BK212" s="140" t="str">
        <f aca="false">IF($BX212&lt;&gt;Constants!$B$6,"",IF($AL212,$AN212,""))</f>
        <v/>
      </c>
      <c r="BL212" s="135" t="str">
        <f aca="false">IF($BX212&lt;&gt;Constants!$B$6,"",IF(OR($BS212&lt;$BH212,AND($BS212=$BH212,OR($BT212&lt;$BI212,AND($BT212=$BI212,OR($BU212&lt;$BJ212,AND($BU212=$BJ212,AND(ISNUMBER($BV212),OR(NOT(ISNUMBER($BK212)),$BV212&lt;$BK212)))))))),"-&gt;","&lt;-"))</f>
        <v/>
      </c>
      <c r="BM212" s="134" t="str">
        <f aca="false">IF(ISBLANK($C212),"",AND($AT212,OR($AU212="",$AV212="",AND($AW212,$AX212=""))))</f>
        <v/>
      </c>
      <c r="BN212" s="137" t="str">
        <f aca="false">IF($BX212&lt;&gt;Constants!$B$6,"",IF($AT212,Constants!$B$17*$AV212+Constants!$B$18*IF($AW212,$AX212,Constants!$B$19),Constants!$B$20))</f>
        <v/>
      </c>
      <c r="BO212" s="138" t="str">
        <f aca="false">IF($BX212&lt;&gt;Constants!$B$6,"",Constants!$B$21*ABS($AD$9-IF($AT212,$AU212,0)))</f>
        <v/>
      </c>
      <c r="BP212" s="138" t="str">
        <f aca="false">IF($BX212&lt;&gt;Constants!$B$6,"",IF(AND($AT212,$AY212,$AW212),Constants!$B$22,0))</f>
        <v/>
      </c>
      <c r="BQ212" s="138" t="str">
        <f aca="false">IF($BX212&lt;&gt;Constants!$B$6,"",IF($AT212,($AI212-Constants!$B$24)*Constants!$B$23,0))</f>
        <v/>
      </c>
      <c r="BR212" s="138" t="str">
        <f aca="false">IF($BX212&lt;&gt;Constants!$B$6,"",IF($AS212,0,Constants!$B$12)+IF($AR212,0,Constants!$B$13)+IF($AH212,0,Constants!$B$14))</f>
        <v/>
      </c>
      <c r="BS212" s="139" t="str">
        <f aca="false">IF($BX212&lt;&gt;Constants!$B$6,"",Constants!$B$16+SUM($BN212:$BR212))</f>
        <v/>
      </c>
      <c r="BT212" s="138" t="str">
        <f aca="false">IF($BX212&lt;&gt;Constants!$B$6,"",$BN212)</f>
        <v/>
      </c>
      <c r="BU212" s="138" t="str">
        <f aca="false">IF($BX212&lt;&gt;Constants!$B$6,"",$BO212)</f>
        <v/>
      </c>
      <c r="BV212" s="140" t="str">
        <f aca="false">IF($BX212&lt;&gt;Constants!$B$6,"",IF($AT212,$AV212,""))</f>
        <v/>
      </c>
      <c r="BW212" s="135" t="str">
        <f aca="false">IF(ISBLANK($C212),"",IF(ISBLANK($D$7),$BW$5,IF(NOT(ISNUMBER($D$7)),$BW$6,"")))</f>
        <v/>
      </c>
      <c r="BX212" s="135" t="str">
        <f aca="false">IF(ISBLANK($C212),"",IF($BA212,Constants!$B$9,IF(COUNTA($E212:$AA212)=0,Constants!$B$8,IF(NOT($AG212),Constants!$B$7,IF(OR($BW212&lt;&gt;"",$BB212,$BM212),Constants!$B$10,Constants!$B$6)))))</f>
        <v/>
      </c>
      <c r="BY212" s="135" t="str">
        <f aca="false">IF(ISBLANK($C212),"",IF($BX212&lt;&gt;Constants!$B$6,$BX212,Constants!$B$11))</f>
        <v/>
      </c>
      <c r="BZ212" s="138" t="str">
        <f aca="false">IF($BX212&lt;&gt;Constants!$B$6,"",IF($BL212="-&gt;",$BS212,$BH212))</f>
        <v/>
      </c>
      <c r="CA212" s="138" t="str">
        <f aca="false">IF($BX212&lt;&gt;Constants!$B$6,"",IF($AF212,0,Constants!$B$15))</f>
        <v/>
      </c>
      <c r="CB212" s="138" t="str">
        <f aca="false">IF($BX212&lt;&gt;Constants!$B$6,"",((Constants!$B$25-$AZ212)-Constants!$B$25)/Constants!$B$26)</f>
        <v/>
      </c>
      <c r="CC212" s="138" t="str">
        <f aca="false">IF(ISBLANK($C212),"",IF($BX212&lt;&gt;Constants!$B$6,$BX212,SUM($BZ212:$CB212)))</f>
        <v/>
      </c>
      <c r="CD212" s="135" t="str">
        <f aca="false">IF(ISBLANK($C212),"",IF($BX212&lt;&gt;Constants!$B$6,$BX212,RANK($CC212,$CC$9:$CC$508,1)))</f>
        <v/>
      </c>
      <c r="CE212" s="138" t="str">
        <f aca="false">IF($BX212&lt;&gt;Constants!$B$6,"",IF($BL212="-&gt;",$BT212,$BI212))</f>
        <v/>
      </c>
      <c r="CF212" s="135" t="str">
        <f aca="false">IF(ISBLANK($C212),"",IF($BX212&lt;&gt;Constants!$B$6,$BX212,IF(ISNUMBER($CE212),RANK($CE212,$CE$9:$CE$508,1),COUNT($CE$9:$CE$508)+1)))</f>
        <v/>
      </c>
      <c r="CG212" s="138" t="str">
        <f aca="false">IF($BX212&lt;&gt;Constants!$B$6,"",IF($BL212="-&gt;",$BU212,$BJ212))</f>
        <v/>
      </c>
      <c r="CH212" s="135" t="str">
        <f aca="false">IF(ISBLANK($C212),"",IF($BX212&lt;&gt;Constants!$B$6,$BX212,IF(ISNUMBER($CG212),RANK($CG212,$CG$9:$CG$508,1),COUNT($CG$9:$CG$508)+1)))</f>
        <v/>
      </c>
      <c r="CI212" s="138" t="str">
        <f aca="false">IF($BX212&lt;&gt;Constants!$B$6,"",IF($BL212="-&gt;",$BV212,$BK212))</f>
        <v/>
      </c>
      <c r="CJ212" s="135" t="str">
        <f aca="false">IF(ISBLANK($C212),"",IF($BX212&lt;&gt;Constants!$B$6,$BX212,IF(ISNUMBER($CI212),RANK($CI212,$CI$9:$CI$508,1),COUNT($CI$9:$CI$508)+1)))</f>
        <v/>
      </c>
      <c r="CK212" s="138" t="str">
        <f aca="false">IF($BX212&lt;&gt;Constants!$B$6,"",$AI212)</f>
        <v/>
      </c>
      <c r="CL212" s="135" t="str">
        <f aca="false">IF(ISBLANK($C212),"",IF($BX212&lt;&gt;Constants!$B$6,$BX212,IF(ISNUMBER($CK212),RANK($CK212,$CK$9:$CK$508,1),COUNT($CK$9:$CK$508)+1)))</f>
        <v/>
      </c>
      <c r="CM212" s="135" t="str">
        <f aca="false">IF(ISBLANK($C212),"",IF($BX212&lt;&gt;Constants!$B$6,$BX212,COUNTIFS($CD$9:$CD$508,"&lt;"&amp;$CD212)+COUNTIFS($CD$9:$CD$508,$CD212,$CF$9:$CF$508,"&lt;"&amp;$CF212)+COUNTIFS($CD$9:$CD$508,$CD212,$CF$9:$CF$508,$CF212,$CH$9:$CH$508,"&lt;"&amp;$CH212)+COUNTIFS($CD$9:$CD$508,$CD212,$CF$9:$CF$508,$CF212,$CH$9:$CH$508,$CH212,$CJ$9:$CJ$508,"&lt;"&amp;$CJ212)+COUNTIFS($CD$9:$CD$508,$CD212,$CF$9:$CF$508,$CF212,$CH$9:$CH$508,$CH212,$CJ$9:$CJ$508,$CJ212,$CL$9:$CL$508,"&lt;"&amp;$CL212)+1))</f>
        <v/>
      </c>
      <c r="CN212" s="135" t="str">
        <f aca="false">IF(ISBLANK($C212),"",IF($BX212&lt;&gt;Constants!$B$6,$BX212,$CD212-$CM212))</f>
        <v/>
      </c>
      <c r="CO212" s="141"/>
      <c r="CP212" s="142"/>
      <c r="CQ212" s="143" t="str">
        <f aca="false">IF(ISBLANK($C212),"",IF($BX212=Constants!$B$10,$BW212,""))</f>
        <v/>
      </c>
      <c r="CR212" s="142" t="str">
        <f aca="false">IF(ISBLANK($C212),"",IF($BX212&lt;&gt;Constants!$B$6,"",IF($BL212="-&gt;",2,1)))</f>
        <v/>
      </c>
      <c r="CS212" s="144" t="str">
        <f aca="false">IF(ISBLANK($C212),"",IF($BX212&lt;&gt;Constants!$B$6,"",IF($BL212="-&gt;",$BN212,$BC212)))</f>
        <v/>
      </c>
      <c r="CT212" s="144" t="str">
        <f aca="false">IF(ISBLANK($C212),"",IF($BX212&lt;&gt;Constants!$B$6,"",IF($BL212="-&gt;",$BO212,$BD212)))</f>
        <v/>
      </c>
      <c r="CU212" s="144" t="str">
        <f aca="false">IF(ISBLANK($C212),"",IF($BX212&lt;&gt;Constants!$B$6,"",IF($BL212="-&gt;",$BP212+$BQ212,$BE212+$BF212)+$CB212))</f>
        <v/>
      </c>
      <c r="CV212" s="144" t="str">
        <f aca="false">IF(ISBLANK($C212),"",IF($BX212&lt;&gt;Constants!$B$6,"",IF($BL212="-&gt;",$BR212,$BG212)+$CA212))</f>
        <v/>
      </c>
      <c r="CW212" s="145" t="str">
        <f aca="false">IF(ISBLANK($C212),"",IF($BX212&lt;&gt;Constants!$B$6,$BX212,$CC212))</f>
        <v/>
      </c>
      <c r="CX212" s="146" t="str">
        <f aca="false">IF(ISBLANK($C212),"",$BY212)</f>
        <v/>
      </c>
      <c r="CY212" s="147" t="str">
        <f aca="false">IF(ISBLANK($C212),"",$CN212)</f>
        <v/>
      </c>
      <c r="CZ212" s="147" t="str">
        <f aca="false">IF(ISBLANK($C212),"",$CM212)</f>
        <v/>
      </c>
      <c r="DA212" s="148" t="str">
        <f aca="false">IF(ISBLANK($C212),"",IFERROR(_xlfn.SWITCH($CZ212,Constants!$B$9,COUNTA($C$9:$C$508)+2,Constants!$B$8,COUNTA($C$9:$C$508)+1,Constants!$B$7,COUNTA($C$9:$C$508)),$CZ212))</f>
        <v/>
      </c>
      <c r="DB212" s="9"/>
      <c r="DC212" s="149" t="n">
        <f aca="false">IF(OR(ISNUMBER($CZ212),$CZ212=Constants!$B$9,$CZ212=Constants!$B$7,$CZ212=Constants!$B$8),1,0)</f>
        <v>0</v>
      </c>
      <c r="DD212" s="149" t="n">
        <v>204</v>
      </c>
      <c r="DE212" s="149" t="str">
        <f aca="false">IF(ISBLANK($C212),"",IF(ISNUMBER($DA212),$DA212+ROW($B212)/1000,""))</f>
        <v/>
      </c>
      <c r="DF212" s="149" t="str">
        <f aca="false">IF(ISNUMBER($DE212),RANK($DE212,$DE$9:$DE$508,1),"")</f>
        <v/>
      </c>
      <c r="DG212" s="149" t="str">
        <f aca="false">IF(ISBLANK($C212),"",$B212)</f>
        <v/>
      </c>
      <c r="DH212" s="149" t="str">
        <f aca="false">IF(ISBLANK($C212),"",$C212)</f>
        <v/>
      </c>
      <c r="DI212" s="149" t="str">
        <f aca="false">IF(ISBLANK($C212),"",$D212)</f>
        <v/>
      </c>
      <c r="DJ212" s="150" t="str">
        <f aca="false">$CX212</f>
        <v/>
      </c>
      <c r="DK212" s="151" t="str">
        <f aca="false">$CW212</f>
        <v/>
      </c>
      <c r="DL212" s="149" t="str">
        <f aca="false">IF(ISBLANK($C212),"",$CZ212)</f>
        <v/>
      </c>
      <c r="DM212" s="152" t="str">
        <f aca="false">IF($DD212&gt;$DC$8,"",VLOOKUP($DD212,$DF$9:$DL$508,7,FALSE()))</f>
        <v/>
      </c>
      <c r="DN212" s="153" t="str">
        <f aca="false">IF($DD212&gt;$DC$8,"",VLOOKUP($DD212,$DF$9:$DL$508,2,FALSE()))</f>
        <v/>
      </c>
      <c r="DO212" s="153" t="str">
        <f aca="false">IF($DD212&gt;$DC$8,"",VLOOKUP($DD212,$DF$9:$DL$508,3,FALSE()))</f>
        <v/>
      </c>
      <c r="DP212" s="153" t="str">
        <f aca="false">IF($DD212&gt;$DC$8,"",VLOOKUP($DD212,$DF$9:$DL$508,4,FALSE()))</f>
        <v/>
      </c>
      <c r="DQ212" s="153" t="str">
        <f aca="false">IF($DD212&gt;$DC$8,"",VLOOKUP($DD212,$DF$9:$DL$508,5,FALSE()))</f>
        <v/>
      </c>
      <c r="DR212" s="154" t="str">
        <f aca="false">IF($DD212&gt;$DC$8,"",VLOOKUP($DD212,$DF$9:$DL$508,6,FALSE()))</f>
        <v/>
      </c>
      <c r="DS212" s="76"/>
    </row>
    <row r="213" customFormat="false" ht="15.75" hidden="false" customHeight="false" outlineLevel="0" collapsed="false">
      <c r="A213" s="9"/>
      <c r="B213" s="78"/>
      <c r="C213" s="79"/>
      <c r="D213" s="170"/>
      <c r="E213" s="178"/>
      <c r="F213" s="172"/>
      <c r="G213" s="173"/>
      <c r="H213" s="173"/>
      <c r="I213" s="179"/>
      <c r="J213" s="176"/>
      <c r="K213" s="86"/>
      <c r="L213" s="87"/>
      <c r="M213" s="88"/>
      <c r="N213" s="176"/>
      <c r="O213" s="176"/>
      <c r="P213" s="178"/>
      <c r="Q213" s="176"/>
      <c r="R213" s="176"/>
      <c r="S213" s="86"/>
      <c r="T213" s="88"/>
      <c r="U213" s="88"/>
      <c r="V213" s="176"/>
      <c r="W213" s="176"/>
      <c r="X213" s="178"/>
      <c r="Y213" s="176"/>
      <c r="Z213" s="177"/>
      <c r="AA213" s="176"/>
      <c r="AB213" s="92"/>
      <c r="AC213" s="93"/>
      <c r="AD213" s="93"/>
      <c r="AE213" s="93"/>
      <c r="AF213" s="93" t="str">
        <f aca="false">IF(ISBLANK($C213),"",IF(E213=Constants!$B$2,TRUE(),IF(E213=Constants!$B$3,FALSE(),TRUE())))</f>
        <v/>
      </c>
      <c r="AG213" s="93" t="str">
        <f aca="false">IF(ISBLANK($C213),"",IF(F213=Constants!$B$2,TRUE(),IF(F213=Constants!$B$3,FALSE(),TRUE())))</f>
        <v/>
      </c>
      <c r="AH213" s="93" t="str">
        <f aca="false">IF(ISBLANK($C213),"",IF(G213=Constants!$B$2,TRUE(),IF(G213=Constants!$B$3,FALSE(),TRUE())))</f>
        <v/>
      </c>
      <c r="AI213" s="93" t="str">
        <f aca="false">IF(ISBLANK($C213),"",IF(AND(ISNUMBER(H213),H213&gt;=0),H213,Constants!$B$24))</f>
        <v/>
      </c>
      <c r="AJ213" s="93" t="str">
        <f aca="false">IF(ISBLANK($C213),"",IF(I213=Constants!$B$2,TRUE(),IF(I213=Constants!$B$3,FALSE(),TRUE())))</f>
        <v/>
      </c>
      <c r="AK213" s="93" t="str">
        <f aca="false">IF(ISBLANK($C213),"",IF(J213=Constants!$B$2,TRUE(),IF(J213=Constants!$B$3,FALSE(),TRUE())))</f>
        <v/>
      </c>
      <c r="AL213" s="93" t="str">
        <f aca="false">IF(ISBLANK($C213),"",IF(K213=Constants!$B$4,TRUE(),IF(K213=Constants!$B$5,FALSE(),COUNTA(L213:P213)&gt;0)))</f>
        <v/>
      </c>
      <c r="AM213" s="95" t="str">
        <f aca="false">IF(ISBLANK($C213),"",IF(ISNUMBER(L213),IF(L213&gt;=0,L213,""),""))</f>
        <v/>
      </c>
      <c r="AN213" s="94" t="str">
        <f aca="false">IF(ISBLANK($C213),"",IF(ISNUMBER(M213),IF(M213&gt;=0,M213,""),""))</f>
        <v/>
      </c>
      <c r="AO213" s="94" t="str">
        <f aca="false">IF(ISBLANK($C213),"",IF(N213=Constants!$B$2,TRUE(),IF(N213=Constants!$B$3,FALSE(),TRUE())))</f>
        <v/>
      </c>
      <c r="AP213" s="93" t="str">
        <f aca="false">IF(ISBLANK($C213),"",IF(ISNUMBER(O213),IF(O213&gt;=0,O213,""),""))</f>
        <v/>
      </c>
      <c r="AQ213" s="93" t="str">
        <f aca="false">IF(ISBLANK($C213),"",IF(P213=Constants!$B$2,TRUE(),IF(P213=Constants!$B$3,FALSE(),FALSE())))</f>
        <v/>
      </c>
      <c r="AR213" s="93" t="str">
        <f aca="false">IF(ISBLANK($C213),"",IF(Q213=Constants!$B$2,TRUE(),IF(Q213=Constants!$B$3,FALSE(),TRUE())))</f>
        <v/>
      </c>
      <c r="AS213" s="93" t="str">
        <f aca="false">IF(ISBLANK($C213),"",IF(R213=Constants!$B$2,TRUE(),IF(R213=Constants!$B$3,FALSE(),TRUE())))</f>
        <v/>
      </c>
      <c r="AT213" s="93" t="str">
        <f aca="false">IF(ISBLANK($C213),"",IF(S213=Constants!$B$4,TRUE(),IF(S213=Constants!$B$5,FALSE(),COUNTA(T213:X213)&gt;0)))</f>
        <v/>
      </c>
      <c r="AU213" s="95" t="str">
        <f aca="false">IF(ISBLANK($C213),"",IF(ISNUMBER(T213),IF(T213&gt;=0,T213,""),""))</f>
        <v/>
      </c>
      <c r="AV213" s="94" t="str">
        <f aca="false">IF(ISBLANK($C213),"",IF(ISNUMBER(U213),IF(U213&gt;=0,U213,""),""))</f>
        <v/>
      </c>
      <c r="AW213" s="94" t="str">
        <f aca="false">IF(ISBLANK($C213),"",IF(V213=Constants!$B$2,TRUE(),IF(V213=Constants!$B$3,FALSE(),TRUE())))</f>
        <v/>
      </c>
      <c r="AX213" s="93" t="str">
        <f aca="false">IF(ISBLANK($C213),"",IF(ISNUMBER(W213),IF(W213&gt;=0,W213,""),""))</f>
        <v/>
      </c>
      <c r="AY213" s="93" t="str">
        <f aca="false">IF(ISBLANK($C213),"",IF(X213=Constants!$B$2,TRUE(),IF(X213=Constants!$B$3,FALSE(),FALSE())))</f>
        <v/>
      </c>
      <c r="AZ213" s="93" t="str">
        <f aca="false">IF(ISBLANK($C213),"",MIN(Constants!$B$25,MAX(0,IF(ISNUMBER(Y213),Y213*60,0)+IF(ISNUMBER(Z213),Z213,0))))</f>
        <v/>
      </c>
      <c r="BA213" s="93" t="str">
        <f aca="false">IF(ISBLANK($C213),"",IF(AA213=Constants!$B$2,TRUE(),IF(AA213=Constants!$B$3,FALSE(),FALSE())))</f>
        <v/>
      </c>
      <c r="BB213" s="92" t="str">
        <f aca="false">IF(ISBLANK($C213),"",AND($AL213,OR($AM213="",$AN213="",AND($AO213,$AP213=""))))</f>
        <v/>
      </c>
      <c r="BC213" s="94" t="str">
        <f aca="false">IF($BX213&lt;&gt;Constants!$B$6,"",IF($AL213,Constants!$B$17*$AN213+Constants!$B$18*IF($AO213,$AP213,Constants!$B$19),Constants!$B$20))</f>
        <v/>
      </c>
      <c r="BD213" s="97" t="str">
        <f aca="false">IF($BX213&lt;&gt;Constants!$B$6,"",Constants!$B$21*ABS($AD$9-IF($AL213,$AM213,0)))</f>
        <v/>
      </c>
      <c r="BE213" s="97" t="str">
        <f aca="false">IF($BX213&lt;&gt;Constants!$B$6,"",IF(AND($AL213,$AQ213,$AO213),Constants!$B$22,0))</f>
        <v/>
      </c>
      <c r="BF213" s="97" t="str">
        <f aca="false">IF($BX213&lt;&gt;Constants!$B$6,"",IF($AL213,($AI213-Constants!$B$24)*Constants!$B$23,0))</f>
        <v/>
      </c>
      <c r="BG213" s="97" t="str">
        <f aca="false">IF($BX213&lt;&gt;Constants!$B$6,"",IF($AK213,0,Constants!$B$12)+IF($AJ213,0,Constants!$B$13)+IF($AH213,0,Constants!$B$14))</f>
        <v/>
      </c>
      <c r="BH213" s="98" t="str">
        <f aca="false">IF($BX213&lt;&gt;Constants!$B$6,"",Constants!$B$16+SUM($BC213:$BG213))</f>
        <v/>
      </c>
      <c r="BI213" s="97" t="str">
        <f aca="false">IF($BX213&lt;&gt;Constants!$B$6,"",$BC213)</f>
        <v/>
      </c>
      <c r="BJ213" s="97" t="str">
        <f aca="false">IF($BX213&lt;&gt;Constants!$B$6,"",$BD213)</f>
        <v/>
      </c>
      <c r="BK213" s="99" t="str">
        <f aca="false">IF($BX213&lt;&gt;Constants!$B$6,"",IF($AL213,$AN213,""))</f>
        <v/>
      </c>
      <c r="BL213" s="93" t="str">
        <f aca="false">IF($BX213&lt;&gt;Constants!$B$6,"",IF(OR($BS213&lt;$BH213,AND($BS213=$BH213,OR($BT213&lt;$BI213,AND($BT213=$BI213,OR($BU213&lt;$BJ213,AND($BU213=$BJ213,AND(ISNUMBER($BV213),OR(NOT(ISNUMBER($BK213)),$BV213&lt;$BK213)))))))),"-&gt;","&lt;-"))</f>
        <v/>
      </c>
      <c r="BM213" s="92" t="str">
        <f aca="false">IF(ISBLANK($C213),"",AND($AT213,OR($AU213="",$AV213="",AND($AW213,$AX213=""))))</f>
        <v/>
      </c>
      <c r="BN213" s="94" t="str">
        <f aca="false">IF($BX213&lt;&gt;Constants!$B$6,"",IF($AT213,Constants!$B$17*$AV213+Constants!$B$18*IF($AW213,$AX213,Constants!$B$19),Constants!$B$20))</f>
        <v/>
      </c>
      <c r="BO213" s="97" t="str">
        <f aca="false">IF($BX213&lt;&gt;Constants!$B$6,"",Constants!$B$21*ABS($AD$9-IF($AT213,$AU213,0)))</f>
        <v/>
      </c>
      <c r="BP213" s="97" t="str">
        <f aca="false">IF($BX213&lt;&gt;Constants!$B$6,"",IF(AND($AT213,$AY213,$AW213),Constants!$B$22,0))</f>
        <v/>
      </c>
      <c r="BQ213" s="97" t="str">
        <f aca="false">IF($BX213&lt;&gt;Constants!$B$6,"",IF($AT213,($AI213-Constants!$B$24)*Constants!$B$23,0))</f>
        <v/>
      </c>
      <c r="BR213" s="97" t="str">
        <f aca="false">IF($BX213&lt;&gt;Constants!$B$6,"",IF($AS213,0,Constants!$B$12)+IF($AR213,0,Constants!$B$13)+IF($AH213,0,Constants!$B$14))</f>
        <v/>
      </c>
      <c r="BS213" s="98" t="str">
        <f aca="false">IF($BX213&lt;&gt;Constants!$B$6,"",Constants!$B$16+SUM($BN213:$BR213))</f>
        <v/>
      </c>
      <c r="BT213" s="97" t="str">
        <f aca="false">IF($BX213&lt;&gt;Constants!$B$6,"",$BN213)</f>
        <v/>
      </c>
      <c r="BU213" s="97" t="str">
        <f aca="false">IF($BX213&lt;&gt;Constants!$B$6,"",$BO213)</f>
        <v/>
      </c>
      <c r="BV213" s="99" t="str">
        <f aca="false">IF($BX213&lt;&gt;Constants!$B$6,"",IF($AT213,$AV213,""))</f>
        <v/>
      </c>
      <c r="BW213" s="93" t="str">
        <f aca="false">IF(ISBLANK($C213),"",IF(ISBLANK($D$7),$BW$5,IF(NOT(ISNUMBER($D$7)),$BW$6,"")))</f>
        <v/>
      </c>
      <c r="BX213" s="93" t="str">
        <f aca="false">IF(ISBLANK($C213),"",IF($BA213,Constants!$B$9,IF(COUNTA($E213:$AA213)=0,Constants!$B$8,IF(NOT($AG213),Constants!$B$7,IF(OR($BW213&lt;&gt;"",$BB213,$BM213),Constants!$B$10,Constants!$B$6)))))</f>
        <v/>
      </c>
      <c r="BY213" s="93" t="str">
        <f aca="false">IF(ISBLANK($C213),"",IF($BX213&lt;&gt;Constants!$B$6,$BX213,Constants!$B$11))</f>
        <v/>
      </c>
      <c r="BZ213" s="97" t="str">
        <f aca="false">IF($BX213&lt;&gt;Constants!$B$6,"",IF($BL213="-&gt;",$BS213,$BH213))</f>
        <v/>
      </c>
      <c r="CA213" s="97" t="str">
        <f aca="false">IF($BX213&lt;&gt;Constants!$B$6,"",IF($AF213,0,Constants!$B$15))</f>
        <v/>
      </c>
      <c r="CB213" s="97" t="str">
        <f aca="false">IF($BX213&lt;&gt;Constants!$B$6,"",((Constants!$B$25-$AZ213)-Constants!$B$25)/Constants!$B$26)</f>
        <v/>
      </c>
      <c r="CC213" s="97" t="str">
        <f aca="false">IF(ISBLANK($C213),"",IF($BX213&lt;&gt;Constants!$B$6,$BX213,SUM($BZ213:$CB213)))</f>
        <v/>
      </c>
      <c r="CD213" s="93" t="str">
        <f aca="false">IF(ISBLANK($C213),"",IF($BX213&lt;&gt;Constants!$B$6,$BX213,RANK($CC213,$CC$9:$CC$508,1)))</f>
        <v/>
      </c>
      <c r="CE213" s="97" t="str">
        <f aca="false">IF($BX213&lt;&gt;Constants!$B$6,"",IF($BL213="-&gt;",$BT213,$BI213))</f>
        <v/>
      </c>
      <c r="CF213" s="93" t="str">
        <f aca="false">IF(ISBLANK($C213),"",IF($BX213&lt;&gt;Constants!$B$6,$BX213,IF(ISNUMBER($CE213),RANK($CE213,$CE$9:$CE$508,1),COUNT($CE$9:$CE$508)+1)))</f>
        <v/>
      </c>
      <c r="CG213" s="97" t="str">
        <f aca="false">IF($BX213&lt;&gt;Constants!$B$6,"",IF($BL213="-&gt;",$BU213,$BJ213))</f>
        <v/>
      </c>
      <c r="CH213" s="93" t="str">
        <f aca="false">IF(ISBLANK($C213),"",IF($BX213&lt;&gt;Constants!$B$6,$BX213,IF(ISNUMBER($CG213),RANK($CG213,$CG$9:$CG$508,1),COUNT($CG$9:$CG$508)+1)))</f>
        <v/>
      </c>
      <c r="CI213" s="97" t="str">
        <f aca="false">IF($BX213&lt;&gt;Constants!$B$6,"",IF($BL213="-&gt;",$BV213,$BK213))</f>
        <v/>
      </c>
      <c r="CJ213" s="93" t="str">
        <f aca="false">IF(ISBLANK($C213),"",IF($BX213&lt;&gt;Constants!$B$6,$BX213,IF(ISNUMBER($CI213),RANK($CI213,$CI$9:$CI$508,1),COUNT($CI$9:$CI$508)+1)))</f>
        <v/>
      </c>
      <c r="CK213" s="97" t="str">
        <f aca="false">IF($BX213&lt;&gt;Constants!$B$6,"",$AI213)</f>
        <v/>
      </c>
      <c r="CL213" s="93" t="str">
        <f aca="false">IF(ISBLANK($C213),"",IF($BX213&lt;&gt;Constants!$B$6,$BX213,IF(ISNUMBER($CK213),RANK($CK213,$CK$9:$CK$508,1),COUNT($CK$9:$CK$508)+1)))</f>
        <v/>
      </c>
      <c r="CM213" s="93" t="str">
        <f aca="false">IF(ISBLANK($C213),"",IF($BX213&lt;&gt;Constants!$B$6,$BX213,COUNTIFS($CD$9:$CD$508,"&lt;"&amp;$CD213)+COUNTIFS($CD$9:$CD$508,$CD213,$CF$9:$CF$508,"&lt;"&amp;$CF213)+COUNTIFS($CD$9:$CD$508,$CD213,$CF$9:$CF$508,$CF213,$CH$9:$CH$508,"&lt;"&amp;$CH213)+COUNTIFS($CD$9:$CD$508,$CD213,$CF$9:$CF$508,$CF213,$CH$9:$CH$508,$CH213,$CJ$9:$CJ$508,"&lt;"&amp;$CJ213)+COUNTIFS($CD$9:$CD$508,$CD213,$CF$9:$CF$508,$CF213,$CH$9:$CH$508,$CH213,$CJ$9:$CJ$508,$CJ213,$CL$9:$CL$508,"&lt;"&amp;$CL213)+1))</f>
        <v/>
      </c>
      <c r="CN213" s="93" t="str">
        <f aca="false">IF(ISBLANK($C213),"",IF($BX213&lt;&gt;Constants!$B$6,$BX213,$CD213-$CM213))</f>
        <v/>
      </c>
      <c r="CO213" s="100"/>
      <c r="CP213" s="101"/>
      <c r="CQ213" s="102" t="str">
        <f aca="false">IF(ISBLANK($C213),"",IF($BX213=Constants!$B$10,$BW213,""))</f>
        <v/>
      </c>
      <c r="CR213" s="101" t="str">
        <f aca="false">IF(ISBLANK($C213),"",IF($BX213&lt;&gt;Constants!$B$6,"",IF($BL213="-&gt;",2,1)))</f>
        <v/>
      </c>
      <c r="CS213" s="103" t="str">
        <f aca="false">IF(ISBLANK($C213),"",IF($BX213&lt;&gt;Constants!$B$6,"",IF($BL213="-&gt;",$BN213,$BC213)))</f>
        <v/>
      </c>
      <c r="CT213" s="103" t="str">
        <f aca="false">IF(ISBLANK($C213),"",IF($BX213&lt;&gt;Constants!$B$6,"",IF($BL213="-&gt;",$BO213,$BD213)))</f>
        <v/>
      </c>
      <c r="CU213" s="103" t="str">
        <f aca="false">IF(ISBLANK($C213),"",IF($BX213&lt;&gt;Constants!$B$6,"",IF($BL213="-&gt;",$BP213+$BQ213,$BE213+$BF213)+$CB213))</f>
        <v/>
      </c>
      <c r="CV213" s="103" t="str">
        <f aca="false">IF(ISBLANK($C213),"",IF($BX213&lt;&gt;Constants!$B$6,"",IF($BL213="-&gt;",$BR213,$BG213)+$CA213))</f>
        <v/>
      </c>
      <c r="CW213" s="104" t="str">
        <f aca="false">IF(ISBLANK($C213),"",IF($BX213&lt;&gt;Constants!$B$6,$BX213,$CC213))</f>
        <v/>
      </c>
      <c r="CX213" s="105" t="str">
        <f aca="false">IF(ISBLANK($C213),"",$BY213)</f>
        <v/>
      </c>
      <c r="CY213" s="106" t="str">
        <f aca="false">IF(ISBLANK($C213),"",$CN213)</f>
        <v/>
      </c>
      <c r="CZ213" s="106" t="str">
        <f aca="false">IF(ISBLANK($C213),"",$CM213)</f>
        <v/>
      </c>
      <c r="DA213" s="107" t="str">
        <f aca="false">IF(ISBLANK($C213),"",IFERROR(_xlfn.SWITCH($CZ213,Constants!$B$9,COUNTA($C$9:$C$508)+2,Constants!$B$8,COUNTA($C$9:$C$508)+1,Constants!$B$7,COUNTA($C$9:$C$508)),$CZ213))</f>
        <v/>
      </c>
      <c r="DB213" s="9"/>
      <c r="DC213" s="108" t="n">
        <f aca="false">IF(OR(ISNUMBER($CZ213),$CZ213=Constants!$B$9,$CZ213=Constants!$B$7,$CZ213=Constants!$B$8),1,0)</f>
        <v>0</v>
      </c>
      <c r="DD213" s="108" t="n">
        <v>205</v>
      </c>
      <c r="DE213" s="108" t="str">
        <f aca="false">IF(ISBLANK($C213),"",IF(ISNUMBER($DA213),$DA213+ROW($B213)/1000,""))</f>
        <v/>
      </c>
      <c r="DF213" s="108" t="str">
        <f aca="false">IF(ISNUMBER($DE213),RANK($DE213,$DE$9:$DE$508,1),"")</f>
        <v/>
      </c>
      <c r="DG213" s="108" t="str">
        <f aca="false">IF(ISBLANK($C213),"",$B213)</f>
        <v/>
      </c>
      <c r="DH213" s="108" t="str">
        <f aca="false">IF(ISBLANK($C213),"",$C213)</f>
        <v/>
      </c>
      <c r="DI213" s="108" t="str">
        <f aca="false">IF(ISBLANK($C213),"",$D213)</f>
        <v/>
      </c>
      <c r="DJ213" s="109" t="str">
        <f aca="false">$CX213</f>
        <v/>
      </c>
      <c r="DK213" s="110" t="str">
        <f aca="false">$CW213</f>
        <v/>
      </c>
      <c r="DL213" s="108" t="str">
        <f aca="false">IF(ISBLANK($C213),"",$CZ213)</f>
        <v/>
      </c>
      <c r="DM213" s="111" t="str">
        <f aca="false">IF($DD213&gt;$DC$8,"",VLOOKUP($DD213,$DF$9:$DL$508,7,FALSE()))</f>
        <v/>
      </c>
      <c r="DN213" s="112" t="str">
        <f aca="false">IF($DD213&gt;$DC$8,"",VLOOKUP($DD213,$DF$9:$DL$508,2,FALSE()))</f>
        <v/>
      </c>
      <c r="DO213" s="112" t="str">
        <f aca="false">IF($DD213&gt;$DC$8,"",VLOOKUP($DD213,$DF$9:$DL$508,3,FALSE()))</f>
        <v/>
      </c>
      <c r="DP213" s="112" t="str">
        <f aca="false">IF($DD213&gt;$DC$8,"",VLOOKUP($DD213,$DF$9:$DL$508,4,FALSE()))</f>
        <v/>
      </c>
      <c r="DQ213" s="112" t="str">
        <f aca="false">IF($DD213&gt;$DC$8,"",VLOOKUP($DD213,$DF$9:$DL$508,5,FALSE()))</f>
        <v/>
      </c>
      <c r="DR213" s="113" t="str">
        <f aca="false">IF($DD213&gt;$DC$8,"",VLOOKUP($DD213,$DF$9:$DL$508,6,FALSE()))</f>
        <v/>
      </c>
      <c r="DS213" s="76"/>
    </row>
    <row r="214" customFormat="false" ht="15.75" hidden="false" customHeight="false" outlineLevel="0" collapsed="false">
      <c r="A214" s="9"/>
      <c r="B214" s="78"/>
      <c r="C214" s="79"/>
      <c r="D214" s="170"/>
      <c r="E214" s="178"/>
      <c r="F214" s="172"/>
      <c r="G214" s="173"/>
      <c r="H214" s="173"/>
      <c r="I214" s="179"/>
      <c r="J214" s="176"/>
      <c r="K214" s="86"/>
      <c r="L214" s="87"/>
      <c r="M214" s="88"/>
      <c r="N214" s="176"/>
      <c r="O214" s="176"/>
      <c r="P214" s="178"/>
      <c r="Q214" s="176"/>
      <c r="R214" s="176"/>
      <c r="S214" s="86"/>
      <c r="T214" s="88"/>
      <c r="U214" s="88"/>
      <c r="V214" s="176"/>
      <c r="W214" s="176"/>
      <c r="X214" s="178"/>
      <c r="Y214" s="176"/>
      <c r="Z214" s="177"/>
      <c r="AA214" s="176"/>
      <c r="AB214" s="92"/>
      <c r="AC214" s="93"/>
      <c r="AD214" s="93"/>
      <c r="AE214" s="93"/>
      <c r="AF214" s="93" t="str">
        <f aca="false">IF(ISBLANK($C214),"",IF(E214=Constants!$B$2,TRUE(),IF(E214=Constants!$B$3,FALSE(),TRUE())))</f>
        <v/>
      </c>
      <c r="AG214" s="93" t="str">
        <f aca="false">IF(ISBLANK($C214),"",IF(F214=Constants!$B$2,TRUE(),IF(F214=Constants!$B$3,FALSE(),TRUE())))</f>
        <v/>
      </c>
      <c r="AH214" s="93" t="str">
        <f aca="false">IF(ISBLANK($C214),"",IF(G214=Constants!$B$2,TRUE(),IF(G214=Constants!$B$3,FALSE(),TRUE())))</f>
        <v/>
      </c>
      <c r="AI214" s="93" t="str">
        <f aca="false">IF(ISBLANK($C214),"",IF(AND(ISNUMBER(H214),H214&gt;=0),H214,Constants!$B$24))</f>
        <v/>
      </c>
      <c r="AJ214" s="93" t="str">
        <f aca="false">IF(ISBLANK($C214),"",IF(I214=Constants!$B$2,TRUE(),IF(I214=Constants!$B$3,FALSE(),TRUE())))</f>
        <v/>
      </c>
      <c r="AK214" s="93" t="str">
        <f aca="false">IF(ISBLANK($C214),"",IF(J214=Constants!$B$2,TRUE(),IF(J214=Constants!$B$3,FALSE(),TRUE())))</f>
        <v/>
      </c>
      <c r="AL214" s="93" t="str">
        <f aca="false">IF(ISBLANK($C214),"",IF(K214=Constants!$B$4,TRUE(),IF(K214=Constants!$B$5,FALSE(),COUNTA(L214:P214)&gt;0)))</f>
        <v/>
      </c>
      <c r="AM214" s="95" t="str">
        <f aca="false">IF(ISBLANK($C214),"",IF(ISNUMBER(L214),IF(L214&gt;=0,L214,""),""))</f>
        <v/>
      </c>
      <c r="AN214" s="94" t="str">
        <f aca="false">IF(ISBLANK($C214),"",IF(ISNUMBER(M214),IF(M214&gt;=0,M214,""),""))</f>
        <v/>
      </c>
      <c r="AO214" s="94" t="str">
        <f aca="false">IF(ISBLANK($C214),"",IF(N214=Constants!$B$2,TRUE(),IF(N214=Constants!$B$3,FALSE(),TRUE())))</f>
        <v/>
      </c>
      <c r="AP214" s="93" t="str">
        <f aca="false">IF(ISBLANK($C214),"",IF(ISNUMBER(O214),IF(O214&gt;=0,O214,""),""))</f>
        <v/>
      </c>
      <c r="AQ214" s="93" t="str">
        <f aca="false">IF(ISBLANK($C214),"",IF(P214=Constants!$B$2,TRUE(),IF(P214=Constants!$B$3,FALSE(),FALSE())))</f>
        <v/>
      </c>
      <c r="AR214" s="93" t="str">
        <f aca="false">IF(ISBLANK($C214),"",IF(Q214=Constants!$B$2,TRUE(),IF(Q214=Constants!$B$3,FALSE(),TRUE())))</f>
        <v/>
      </c>
      <c r="AS214" s="93" t="str">
        <f aca="false">IF(ISBLANK($C214),"",IF(R214=Constants!$B$2,TRUE(),IF(R214=Constants!$B$3,FALSE(),TRUE())))</f>
        <v/>
      </c>
      <c r="AT214" s="93" t="str">
        <f aca="false">IF(ISBLANK($C214),"",IF(S214=Constants!$B$4,TRUE(),IF(S214=Constants!$B$5,FALSE(),COUNTA(T214:X214)&gt;0)))</f>
        <v/>
      </c>
      <c r="AU214" s="95" t="str">
        <f aca="false">IF(ISBLANK($C214),"",IF(ISNUMBER(T214),IF(T214&gt;=0,T214,""),""))</f>
        <v/>
      </c>
      <c r="AV214" s="94" t="str">
        <f aca="false">IF(ISBLANK($C214),"",IF(ISNUMBER(U214),IF(U214&gt;=0,U214,""),""))</f>
        <v/>
      </c>
      <c r="AW214" s="94" t="str">
        <f aca="false">IF(ISBLANK($C214),"",IF(V214=Constants!$B$2,TRUE(),IF(V214=Constants!$B$3,FALSE(),TRUE())))</f>
        <v/>
      </c>
      <c r="AX214" s="93" t="str">
        <f aca="false">IF(ISBLANK($C214),"",IF(ISNUMBER(W214),IF(W214&gt;=0,W214,""),""))</f>
        <v/>
      </c>
      <c r="AY214" s="93" t="str">
        <f aca="false">IF(ISBLANK($C214),"",IF(X214=Constants!$B$2,TRUE(),IF(X214=Constants!$B$3,FALSE(),FALSE())))</f>
        <v/>
      </c>
      <c r="AZ214" s="93" t="str">
        <f aca="false">IF(ISBLANK($C214),"",MIN(Constants!$B$25,MAX(0,IF(ISNUMBER(Y214),Y214*60,0)+IF(ISNUMBER(Z214),Z214,0))))</f>
        <v/>
      </c>
      <c r="BA214" s="93" t="str">
        <f aca="false">IF(ISBLANK($C214),"",IF(AA214=Constants!$B$2,TRUE(),IF(AA214=Constants!$B$3,FALSE(),FALSE())))</f>
        <v/>
      </c>
      <c r="BB214" s="92" t="str">
        <f aca="false">IF(ISBLANK($C214),"",AND($AL214,OR($AM214="",$AN214="",AND($AO214,$AP214=""))))</f>
        <v/>
      </c>
      <c r="BC214" s="94" t="str">
        <f aca="false">IF($BX214&lt;&gt;Constants!$B$6,"",IF($AL214,Constants!$B$17*$AN214+Constants!$B$18*IF($AO214,$AP214,Constants!$B$19),Constants!$B$20))</f>
        <v/>
      </c>
      <c r="BD214" s="97" t="str">
        <f aca="false">IF($BX214&lt;&gt;Constants!$B$6,"",Constants!$B$21*ABS($AD$9-IF($AL214,$AM214,0)))</f>
        <v/>
      </c>
      <c r="BE214" s="97" t="str">
        <f aca="false">IF($BX214&lt;&gt;Constants!$B$6,"",IF(AND($AL214,$AQ214,$AO214),Constants!$B$22,0))</f>
        <v/>
      </c>
      <c r="BF214" s="97" t="str">
        <f aca="false">IF($BX214&lt;&gt;Constants!$B$6,"",IF($AL214,($AI214-Constants!$B$24)*Constants!$B$23,0))</f>
        <v/>
      </c>
      <c r="BG214" s="97" t="str">
        <f aca="false">IF($BX214&lt;&gt;Constants!$B$6,"",IF($AK214,0,Constants!$B$12)+IF($AJ214,0,Constants!$B$13)+IF($AH214,0,Constants!$B$14))</f>
        <v/>
      </c>
      <c r="BH214" s="98" t="str">
        <f aca="false">IF($BX214&lt;&gt;Constants!$B$6,"",Constants!$B$16+SUM($BC214:$BG214))</f>
        <v/>
      </c>
      <c r="BI214" s="97" t="str">
        <f aca="false">IF($BX214&lt;&gt;Constants!$B$6,"",$BC214)</f>
        <v/>
      </c>
      <c r="BJ214" s="97" t="str">
        <f aca="false">IF($BX214&lt;&gt;Constants!$B$6,"",$BD214)</f>
        <v/>
      </c>
      <c r="BK214" s="99" t="str">
        <f aca="false">IF($BX214&lt;&gt;Constants!$B$6,"",IF($AL214,$AN214,""))</f>
        <v/>
      </c>
      <c r="BL214" s="93" t="str">
        <f aca="false">IF($BX214&lt;&gt;Constants!$B$6,"",IF(OR($BS214&lt;$BH214,AND($BS214=$BH214,OR($BT214&lt;$BI214,AND($BT214=$BI214,OR($BU214&lt;$BJ214,AND($BU214=$BJ214,AND(ISNUMBER($BV214),OR(NOT(ISNUMBER($BK214)),$BV214&lt;$BK214)))))))),"-&gt;","&lt;-"))</f>
        <v/>
      </c>
      <c r="BM214" s="92" t="str">
        <f aca="false">IF(ISBLANK($C214),"",AND($AT214,OR($AU214="",$AV214="",AND($AW214,$AX214=""))))</f>
        <v/>
      </c>
      <c r="BN214" s="94" t="str">
        <f aca="false">IF($BX214&lt;&gt;Constants!$B$6,"",IF($AT214,Constants!$B$17*$AV214+Constants!$B$18*IF($AW214,$AX214,Constants!$B$19),Constants!$B$20))</f>
        <v/>
      </c>
      <c r="BO214" s="97" t="str">
        <f aca="false">IF($BX214&lt;&gt;Constants!$B$6,"",Constants!$B$21*ABS($AD$9-IF($AT214,$AU214,0)))</f>
        <v/>
      </c>
      <c r="BP214" s="97" t="str">
        <f aca="false">IF($BX214&lt;&gt;Constants!$B$6,"",IF(AND($AT214,$AY214,$AW214),Constants!$B$22,0))</f>
        <v/>
      </c>
      <c r="BQ214" s="97" t="str">
        <f aca="false">IF($BX214&lt;&gt;Constants!$B$6,"",IF($AT214,($AI214-Constants!$B$24)*Constants!$B$23,0))</f>
        <v/>
      </c>
      <c r="BR214" s="97" t="str">
        <f aca="false">IF($BX214&lt;&gt;Constants!$B$6,"",IF($AS214,0,Constants!$B$12)+IF($AR214,0,Constants!$B$13)+IF($AH214,0,Constants!$B$14))</f>
        <v/>
      </c>
      <c r="BS214" s="98" t="str">
        <f aca="false">IF($BX214&lt;&gt;Constants!$B$6,"",Constants!$B$16+SUM($BN214:$BR214))</f>
        <v/>
      </c>
      <c r="BT214" s="97" t="str">
        <f aca="false">IF($BX214&lt;&gt;Constants!$B$6,"",$BN214)</f>
        <v/>
      </c>
      <c r="BU214" s="97" t="str">
        <f aca="false">IF($BX214&lt;&gt;Constants!$B$6,"",$BO214)</f>
        <v/>
      </c>
      <c r="BV214" s="99" t="str">
        <f aca="false">IF($BX214&lt;&gt;Constants!$B$6,"",IF($AT214,$AV214,""))</f>
        <v/>
      </c>
      <c r="BW214" s="93" t="str">
        <f aca="false">IF(ISBLANK($C214),"",IF(ISBLANK($D$7),$BW$5,IF(NOT(ISNUMBER($D$7)),$BW$6,"")))</f>
        <v/>
      </c>
      <c r="BX214" s="93" t="str">
        <f aca="false">IF(ISBLANK($C214),"",IF($BA214,Constants!$B$9,IF(COUNTA($E214:$AA214)=0,Constants!$B$8,IF(NOT($AG214),Constants!$B$7,IF(OR($BW214&lt;&gt;"",$BB214,$BM214),Constants!$B$10,Constants!$B$6)))))</f>
        <v/>
      </c>
      <c r="BY214" s="93" t="str">
        <f aca="false">IF(ISBLANK($C214),"",IF($BX214&lt;&gt;Constants!$B$6,$BX214,Constants!$B$11))</f>
        <v/>
      </c>
      <c r="BZ214" s="97" t="str">
        <f aca="false">IF($BX214&lt;&gt;Constants!$B$6,"",IF($BL214="-&gt;",$BS214,$BH214))</f>
        <v/>
      </c>
      <c r="CA214" s="97" t="str">
        <f aca="false">IF($BX214&lt;&gt;Constants!$B$6,"",IF($AF214,0,Constants!$B$15))</f>
        <v/>
      </c>
      <c r="CB214" s="97" t="str">
        <f aca="false">IF($BX214&lt;&gt;Constants!$B$6,"",((Constants!$B$25-$AZ214)-Constants!$B$25)/Constants!$B$26)</f>
        <v/>
      </c>
      <c r="CC214" s="97" t="str">
        <f aca="false">IF(ISBLANK($C214),"",IF($BX214&lt;&gt;Constants!$B$6,$BX214,SUM($BZ214:$CB214)))</f>
        <v/>
      </c>
      <c r="CD214" s="93" t="str">
        <f aca="false">IF(ISBLANK($C214),"",IF($BX214&lt;&gt;Constants!$B$6,$BX214,RANK($CC214,$CC$9:$CC$508,1)))</f>
        <v/>
      </c>
      <c r="CE214" s="97" t="str">
        <f aca="false">IF($BX214&lt;&gt;Constants!$B$6,"",IF($BL214="-&gt;",$BT214,$BI214))</f>
        <v/>
      </c>
      <c r="CF214" s="93" t="str">
        <f aca="false">IF(ISBLANK($C214),"",IF($BX214&lt;&gt;Constants!$B$6,$BX214,IF(ISNUMBER($CE214),RANK($CE214,$CE$9:$CE$508,1),COUNT($CE$9:$CE$508)+1)))</f>
        <v/>
      </c>
      <c r="CG214" s="97" t="str">
        <f aca="false">IF($BX214&lt;&gt;Constants!$B$6,"",IF($BL214="-&gt;",$BU214,$BJ214))</f>
        <v/>
      </c>
      <c r="CH214" s="93" t="str">
        <f aca="false">IF(ISBLANK($C214),"",IF($BX214&lt;&gt;Constants!$B$6,$BX214,IF(ISNUMBER($CG214),RANK($CG214,$CG$9:$CG$508,1),COUNT($CG$9:$CG$508)+1)))</f>
        <v/>
      </c>
      <c r="CI214" s="97" t="str">
        <f aca="false">IF($BX214&lt;&gt;Constants!$B$6,"",IF($BL214="-&gt;",$BV214,$BK214))</f>
        <v/>
      </c>
      <c r="CJ214" s="93" t="str">
        <f aca="false">IF(ISBLANK($C214),"",IF($BX214&lt;&gt;Constants!$B$6,$BX214,IF(ISNUMBER($CI214),RANK($CI214,$CI$9:$CI$508,1),COUNT($CI$9:$CI$508)+1)))</f>
        <v/>
      </c>
      <c r="CK214" s="97" t="str">
        <f aca="false">IF($BX214&lt;&gt;Constants!$B$6,"",$AI214)</f>
        <v/>
      </c>
      <c r="CL214" s="93" t="str">
        <f aca="false">IF(ISBLANK($C214),"",IF($BX214&lt;&gt;Constants!$B$6,$BX214,IF(ISNUMBER($CK214),RANK($CK214,$CK$9:$CK$508,1),COUNT($CK$9:$CK$508)+1)))</f>
        <v/>
      </c>
      <c r="CM214" s="93" t="str">
        <f aca="false">IF(ISBLANK($C214),"",IF($BX214&lt;&gt;Constants!$B$6,$BX214,COUNTIFS($CD$9:$CD$508,"&lt;"&amp;$CD214)+COUNTIFS($CD$9:$CD$508,$CD214,$CF$9:$CF$508,"&lt;"&amp;$CF214)+COUNTIFS($CD$9:$CD$508,$CD214,$CF$9:$CF$508,$CF214,$CH$9:$CH$508,"&lt;"&amp;$CH214)+COUNTIFS($CD$9:$CD$508,$CD214,$CF$9:$CF$508,$CF214,$CH$9:$CH$508,$CH214,$CJ$9:$CJ$508,"&lt;"&amp;$CJ214)+COUNTIFS($CD$9:$CD$508,$CD214,$CF$9:$CF$508,$CF214,$CH$9:$CH$508,$CH214,$CJ$9:$CJ$508,$CJ214,$CL$9:$CL$508,"&lt;"&amp;$CL214)+1))</f>
        <v/>
      </c>
      <c r="CN214" s="93" t="str">
        <f aca="false">IF(ISBLANK($C214),"",IF($BX214&lt;&gt;Constants!$B$6,$BX214,$CD214-$CM214))</f>
        <v/>
      </c>
      <c r="CO214" s="100"/>
      <c r="CP214" s="101"/>
      <c r="CQ214" s="102" t="str">
        <f aca="false">IF(ISBLANK($C214),"",IF($BX214=Constants!$B$10,$BW214,""))</f>
        <v/>
      </c>
      <c r="CR214" s="101" t="str">
        <f aca="false">IF(ISBLANK($C214),"",IF($BX214&lt;&gt;Constants!$B$6,"",IF($BL214="-&gt;",2,1)))</f>
        <v/>
      </c>
      <c r="CS214" s="103" t="str">
        <f aca="false">IF(ISBLANK($C214),"",IF($BX214&lt;&gt;Constants!$B$6,"",IF($BL214="-&gt;",$BN214,$BC214)))</f>
        <v/>
      </c>
      <c r="CT214" s="103" t="str">
        <f aca="false">IF(ISBLANK($C214),"",IF($BX214&lt;&gt;Constants!$B$6,"",IF($BL214="-&gt;",$BO214,$BD214)))</f>
        <v/>
      </c>
      <c r="CU214" s="103" t="str">
        <f aca="false">IF(ISBLANK($C214),"",IF($BX214&lt;&gt;Constants!$B$6,"",IF($BL214="-&gt;",$BP214+$BQ214,$BE214+$BF214)+$CB214))</f>
        <v/>
      </c>
      <c r="CV214" s="103" t="str">
        <f aca="false">IF(ISBLANK($C214),"",IF($BX214&lt;&gt;Constants!$B$6,"",IF($BL214="-&gt;",$BR214,$BG214)+$CA214))</f>
        <v/>
      </c>
      <c r="CW214" s="104" t="str">
        <f aca="false">IF(ISBLANK($C214),"",IF($BX214&lt;&gt;Constants!$B$6,$BX214,$CC214))</f>
        <v/>
      </c>
      <c r="CX214" s="105" t="str">
        <f aca="false">IF(ISBLANK($C214),"",$BY214)</f>
        <v/>
      </c>
      <c r="CY214" s="106" t="str">
        <f aca="false">IF(ISBLANK($C214),"",$CN214)</f>
        <v/>
      </c>
      <c r="CZ214" s="106" t="str">
        <f aca="false">IF(ISBLANK($C214),"",$CM214)</f>
        <v/>
      </c>
      <c r="DA214" s="107" t="str">
        <f aca="false">IF(ISBLANK($C214),"",IFERROR(_xlfn.SWITCH($CZ214,Constants!$B$9,COUNTA($C$9:$C$508)+2,Constants!$B$8,COUNTA($C$9:$C$508)+1,Constants!$B$7,COUNTA($C$9:$C$508)),$CZ214))</f>
        <v/>
      </c>
      <c r="DB214" s="9"/>
      <c r="DC214" s="108" t="n">
        <f aca="false">IF(OR(ISNUMBER($CZ214),$CZ214=Constants!$B$9,$CZ214=Constants!$B$7,$CZ214=Constants!$B$8),1,0)</f>
        <v>0</v>
      </c>
      <c r="DD214" s="108" t="n">
        <v>206</v>
      </c>
      <c r="DE214" s="108" t="str">
        <f aca="false">IF(ISBLANK($C214),"",IF(ISNUMBER($DA214),$DA214+ROW($B214)/1000,""))</f>
        <v/>
      </c>
      <c r="DF214" s="108" t="str">
        <f aca="false">IF(ISNUMBER($DE214),RANK($DE214,$DE$9:$DE$508,1),"")</f>
        <v/>
      </c>
      <c r="DG214" s="108" t="str">
        <f aca="false">IF(ISBLANK($C214),"",$B214)</f>
        <v/>
      </c>
      <c r="DH214" s="108" t="str">
        <f aca="false">IF(ISBLANK($C214),"",$C214)</f>
        <v/>
      </c>
      <c r="DI214" s="108" t="str">
        <f aca="false">IF(ISBLANK($C214),"",$D214)</f>
        <v/>
      </c>
      <c r="DJ214" s="109" t="str">
        <f aca="false">$CX214</f>
        <v/>
      </c>
      <c r="DK214" s="110" t="str">
        <f aca="false">$CW214</f>
        <v/>
      </c>
      <c r="DL214" s="108" t="str">
        <f aca="false">IF(ISBLANK($C214),"",$CZ214)</f>
        <v/>
      </c>
      <c r="DM214" s="111" t="str">
        <f aca="false">IF($DD214&gt;$DC$8,"",VLOOKUP($DD214,$DF$9:$DL$508,7,FALSE()))</f>
        <v/>
      </c>
      <c r="DN214" s="112" t="str">
        <f aca="false">IF($DD214&gt;$DC$8,"",VLOOKUP($DD214,$DF$9:$DL$508,2,FALSE()))</f>
        <v/>
      </c>
      <c r="DO214" s="112" t="str">
        <f aca="false">IF($DD214&gt;$DC$8,"",VLOOKUP($DD214,$DF$9:$DL$508,3,FALSE()))</f>
        <v/>
      </c>
      <c r="DP214" s="112" t="str">
        <f aca="false">IF($DD214&gt;$DC$8,"",VLOOKUP($DD214,$DF$9:$DL$508,4,FALSE()))</f>
        <v/>
      </c>
      <c r="DQ214" s="112" t="str">
        <f aca="false">IF($DD214&gt;$DC$8,"",VLOOKUP($DD214,$DF$9:$DL$508,5,FALSE()))</f>
        <v/>
      </c>
      <c r="DR214" s="113" t="str">
        <f aca="false">IF($DD214&gt;$DC$8,"",VLOOKUP($DD214,$DF$9:$DL$508,6,FALSE()))</f>
        <v/>
      </c>
      <c r="DS214" s="76"/>
    </row>
    <row r="215" customFormat="false" ht="15.75" hidden="false" customHeight="false" outlineLevel="0" collapsed="false">
      <c r="A215" s="9"/>
      <c r="B215" s="78"/>
      <c r="C215" s="79"/>
      <c r="D215" s="170"/>
      <c r="E215" s="178"/>
      <c r="F215" s="172"/>
      <c r="G215" s="173"/>
      <c r="H215" s="173"/>
      <c r="I215" s="179"/>
      <c r="J215" s="176"/>
      <c r="K215" s="86"/>
      <c r="L215" s="87"/>
      <c r="M215" s="88"/>
      <c r="N215" s="176"/>
      <c r="O215" s="176"/>
      <c r="P215" s="178"/>
      <c r="Q215" s="176"/>
      <c r="R215" s="176"/>
      <c r="S215" s="86"/>
      <c r="T215" s="88"/>
      <c r="U215" s="88"/>
      <c r="V215" s="176"/>
      <c r="W215" s="176"/>
      <c r="X215" s="178"/>
      <c r="Y215" s="176"/>
      <c r="Z215" s="177"/>
      <c r="AA215" s="176"/>
      <c r="AB215" s="92"/>
      <c r="AC215" s="93"/>
      <c r="AD215" s="93"/>
      <c r="AE215" s="93"/>
      <c r="AF215" s="93" t="str">
        <f aca="false">IF(ISBLANK($C215),"",IF(E215=Constants!$B$2,TRUE(),IF(E215=Constants!$B$3,FALSE(),TRUE())))</f>
        <v/>
      </c>
      <c r="AG215" s="93" t="str">
        <f aca="false">IF(ISBLANK($C215),"",IF(F215=Constants!$B$2,TRUE(),IF(F215=Constants!$B$3,FALSE(),TRUE())))</f>
        <v/>
      </c>
      <c r="AH215" s="93" t="str">
        <f aca="false">IF(ISBLANK($C215),"",IF(G215=Constants!$B$2,TRUE(),IF(G215=Constants!$B$3,FALSE(),TRUE())))</f>
        <v/>
      </c>
      <c r="AI215" s="93" t="str">
        <f aca="false">IF(ISBLANK($C215),"",IF(AND(ISNUMBER(H215),H215&gt;=0),H215,Constants!$B$24))</f>
        <v/>
      </c>
      <c r="AJ215" s="93" t="str">
        <f aca="false">IF(ISBLANK($C215),"",IF(I215=Constants!$B$2,TRUE(),IF(I215=Constants!$B$3,FALSE(),TRUE())))</f>
        <v/>
      </c>
      <c r="AK215" s="93" t="str">
        <f aca="false">IF(ISBLANK($C215),"",IF(J215=Constants!$B$2,TRUE(),IF(J215=Constants!$B$3,FALSE(),TRUE())))</f>
        <v/>
      </c>
      <c r="AL215" s="93" t="str">
        <f aca="false">IF(ISBLANK($C215),"",IF(K215=Constants!$B$4,TRUE(),IF(K215=Constants!$B$5,FALSE(),COUNTA(L215:P215)&gt;0)))</f>
        <v/>
      </c>
      <c r="AM215" s="95" t="str">
        <f aca="false">IF(ISBLANK($C215),"",IF(ISNUMBER(L215),IF(L215&gt;=0,L215,""),""))</f>
        <v/>
      </c>
      <c r="AN215" s="94" t="str">
        <f aca="false">IF(ISBLANK($C215),"",IF(ISNUMBER(M215),IF(M215&gt;=0,M215,""),""))</f>
        <v/>
      </c>
      <c r="AO215" s="94" t="str">
        <f aca="false">IF(ISBLANK($C215),"",IF(N215=Constants!$B$2,TRUE(),IF(N215=Constants!$B$3,FALSE(),TRUE())))</f>
        <v/>
      </c>
      <c r="AP215" s="93" t="str">
        <f aca="false">IF(ISBLANK($C215),"",IF(ISNUMBER(O215),IF(O215&gt;=0,O215,""),""))</f>
        <v/>
      </c>
      <c r="AQ215" s="93" t="str">
        <f aca="false">IF(ISBLANK($C215),"",IF(P215=Constants!$B$2,TRUE(),IF(P215=Constants!$B$3,FALSE(),FALSE())))</f>
        <v/>
      </c>
      <c r="AR215" s="93" t="str">
        <f aca="false">IF(ISBLANK($C215),"",IF(Q215=Constants!$B$2,TRUE(),IF(Q215=Constants!$B$3,FALSE(),TRUE())))</f>
        <v/>
      </c>
      <c r="AS215" s="93" t="str">
        <f aca="false">IF(ISBLANK($C215),"",IF(R215=Constants!$B$2,TRUE(),IF(R215=Constants!$B$3,FALSE(),TRUE())))</f>
        <v/>
      </c>
      <c r="AT215" s="93" t="str">
        <f aca="false">IF(ISBLANK($C215),"",IF(S215=Constants!$B$4,TRUE(),IF(S215=Constants!$B$5,FALSE(),COUNTA(T215:X215)&gt;0)))</f>
        <v/>
      </c>
      <c r="AU215" s="95" t="str">
        <f aca="false">IF(ISBLANK($C215),"",IF(ISNUMBER(T215),IF(T215&gt;=0,T215,""),""))</f>
        <v/>
      </c>
      <c r="AV215" s="94" t="str">
        <f aca="false">IF(ISBLANK($C215),"",IF(ISNUMBER(U215),IF(U215&gt;=0,U215,""),""))</f>
        <v/>
      </c>
      <c r="AW215" s="94" t="str">
        <f aca="false">IF(ISBLANK($C215),"",IF(V215=Constants!$B$2,TRUE(),IF(V215=Constants!$B$3,FALSE(),TRUE())))</f>
        <v/>
      </c>
      <c r="AX215" s="93" t="str">
        <f aca="false">IF(ISBLANK($C215),"",IF(ISNUMBER(W215),IF(W215&gt;=0,W215,""),""))</f>
        <v/>
      </c>
      <c r="AY215" s="93" t="str">
        <f aca="false">IF(ISBLANK($C215),"",IF(X215=Constants!$B$2,TRUE(),IF(X215=Constants!$B$3,FALSE(),FALSE())))</f>
        <v/>
      </c>
      <c r="AZ215" s="93" t="str">
        <f aca="false">IF(ISBLANK($C215),"",MIN(Constants!$B$25,MAX(0,IF(ISNUMBER(Y215),Y215*60,0)+IF(ISNUMBER(Z215),Z215,0))))</f>
        <v/>
      </c>
      <c r="BA215" s="93" t="str">
        <f aca="false">IF(ISBLANK($C215),"",IF(AA215=Constants!$B$2,TRUE(),IF(AA215=Constants!$B$3,FALSE(),FALSE())))</f>
        <v/>
      </c>
      <c r="BB215" s="92" t="str">
        <f aca="false">IF(ISBLANK($C215),"",AND($AL215,OR($AM215="",$AN215="",AND($AO215,$AP215=""))))</f>
        <v/>
      </c>
      <c r="BC215" s="94" t="str">
        <f aca="false">IF($BX215&lt;&gt;Constants!$B$6,"",IF($AL215,Constants!$B$17*$AN215+Constants!$B$18*IF($AO215,$AP215,Constants!$B$19),Constants!$B$20))</f>
        <v/>
      </c>
      <c r="BD215" s="97" t="str">
        <f aca="false">IF($BX215&lt;&gt;Constants!$B$6,"",Constants!$B$21*ABS($AD$9-IF($AL215,$AM215,0)))</f>
        <v/>
      </c>
      <c r="BE215" s="97" t="str">
        <f aca="false">IF($BX215&lt;&gt;Constants!$B$6,"",IF(AND($AL215,$AQ215,$AO215),Constants!$B$22,0))</f>
        <v/>
      </c>
      <c r="BF215" s="97" t="str">
        <f aca="false">IF($BX215&lt;&gt;Constants!$B$6,"",IF($AL215,($AI215-Constants!$B$24)*Constants!$B$23,0))</f>
        <v/>
      </c>
      <c r="BG215" s="97" t="str">
        <f aca="false">IF($BX215&lt;&gt;Constants!$B$6,"",IF($AK215,0,Constants!$B$12)+IF($AJ215,0,Constants!$B$13)+IF($AH215,0,Constants!$B$14))</f>
        <v/>
      </c>
      <c r="BH215" s="98" t="str">
        <f aca="false">IF($BX215&lt;&gt;Constants!$B$6,"",Constants!$B$16+SUM($BC215:$BG215))</f>
        <v/>
      </c>
      <c r="BI215" s="97" t="str">
        <f aca="false">IF($BX215&lt;&gt;Constants!$B$6,"",$BC215)</f>
        <v/>
      </c>
      <c r="BJ215" s="97" t="str">
        <f aca="false">IF($BX215&lt;&gt;Constants!$B$6,"",$BD215)</f>
        <v/>
      </c>
      <c r="BK215" s="99" t="str">
        <f aca="false">IF($BX215&lt;&gt;Constants!$B$6,"",IF($AL215,$AN215,""))</f>
        <v/>
      </c>
      <c r="BL215" s="93" t="str">
        <f aca="false">IF($BX215&lt;&gt;Constants!$B$6,"",IF(OR($BS215&lt;$BH215,AND($BS215=$BH215,OR($BT215&lt;$BI215,AND($BT215=$BI215,OR($BU215&lt;$BJ215,AND($BU215=$BJ215,AND(ISNUMBER($BV215),OR(NOT(ISNUMBER($BK215)),$BV215&lt;$BK215)))))))),"-&gt;","&lt;-"))</f>
        <v/>
      </c>
      <c r="BM215" s="92" t="str">
        <f aca="false">IF(ISBLANK($C215),"",AND($AT215,OR($AU215="",$AV215="",AND($AW215,$AX215=""))))</f>
        <v/>
      </c>
      <c r="BN215" s="94" t="str">
        <f aca="false">IF($BX215&lt;&gt;Constants!$B$6,"",IF($AT215,Constants!$B$17*$AV215+Constants!$B$18*IF($AW215,$AX215,Constants!$B$19),Constants!$B$20))</f>
        <v/>
      </c>
      <c r="BO215" s="97" t="str">
        <f aca="false">IF($BX215&lt;&gt;Constants!$B$6,"",Constants!$B$21*ABS($AD$9-IF($AT215,$AU215,0)))</f>
        <v/>
      </c>
      <c r="BP215" s="97" t="str">
        <f aca="false">IF($BX215&lt;&gt;Constants!$B$6,"",IF(AND($AT215,$AY215,$AW215),Constants!$B$22,0))</f>
        <v/>
      </c>
      <c r="BQ215" s="97" t="str">
        <f aca="false">IF($BX215&lt;&gt;Constants!$B$6,"",IF($AT215,($AI215-Constants!$B$24)*Constants!$B$23,0))</f>
        <v/>
      </c>
      <c r="BR215" s="97" t="str">
        <f aca="false">IF($BX215&lt;&gt;Constants!$B$6,"",IF($AS215,0,Constants!$B$12)+IF($AR215,0,Constants!$B$13)+IF($AH215,0,Constants!$B$14))</f>
        <v/>
      </c>
      <c r="BS215" s="98" t="str">
        <f aca="false">IF($BX215&lt;&gt;Constants!$B$6,"",Constants!$B$16+SUM($BN215:$BR215))</f>
        <v/>
      </c>
      <c r="BT215" s="97" t="str">
        <f aca="false">IF($BX215&lt;&gt;Constants!$B$6,"",$BN215)</f>
        <v/>
      </c>
      <c r="BU215" s="97" t="str">
        <f aca="false">IF($BX215&lt;&gt;Constants!$B$6,"",$BO215)</f>
        <v/>
      </c>
      <c r="BV215" s="99" t="str">
        <f aca="false">IF($BX215&lt;&gt;Constants!$B$6,"",IF($AT215,$AV215,""))</f>
        <v/>
      </c>
      <c r="BW215" s="93" t="str">
        <f aca="false">IF(ISBLANK($C215),"",IF(ISBLANK($D$7),$BW$5,IF(NOT(ISNUMBER($D$7)),$BW$6,"")))</f>
        <v/>
      </c>
      <c r="BX215" s="93" t="str">
        <f aca="false">IF(ISBLANK($C215),"",IF($BA215,Constants!$B$9,IF(COUNTA($E215:$AA215)=0,Constants!$B$8,IF(NOT($AG215),Constants!$B$7,IF(OR($BW215&lt;&gt;"",$BB215,$BM215),Constants!$B$10,Constants!$B$6)))))</f>
        <v/>
      </c>
      <c r="BY215" s="93" t="str">
        <f aca="false">IF(ISBLANK($C215),"",IF($BX215&lt;&gt;Constants!$B$6,$BX215,Constants!$B$11))</f>
        <v/>
      </c>
      <c r="BZ215" s="97" t="str">
        <f aca="false">IF($BX215&lt;&gt;Constants!$B$6,"",IF($BL215="-&gt;",$BS215,$BH215))</f>
        <v/>
      </c>
      <c r="CA215" s="97" t="str">
        <f aca="false">IF($BX215&lt;&gt;Constants!$B$6,"",IF($AF215,0,Constants!$B$15))</f>
        <v/>
      </c>
      <c r="CB215" s="97" t="str">
        <f aca="false">IF($BX215&lt;&gt;Constants!$B$6,"",((Constants!$B$25-$AZ215)-Constants!$B$25)/Constants!$B$26)</f>
        <v/>
      </c>
      <c r="CC215" s="97" t="str">
        <f aca="false">IF(ISBLANK($C215),"",IF($BX215&lt;&gt;Constants!$B$6,$BX215,SUM($BZ215:$CB215)))</f>
        <v/>
      </c>
      <c r="CD215" s="93" t="str">
        <f aca="false">IF(ISBLANK($C215),"",IF($BX215&lt;&gt;Constants!$B$6,$BX215,RANK($CC215,$CC$9:$CC$508,1)))</f>
        <v/>
      </c>
      <c r="CE215" s="97" t="str">
        <f aca="false">IF($BX215&lt;&gt;Constants!$B$6,"",IF($BL215="-&gt;",$BT215,$BI215))</f>
        <v/>
      </c>
      <c r="CF215" s="93" t="str">
        <f aca="false">IF(ISBLANK($C215),"",IF($BX215&lt;&gt;Constants!$B$6,$BX215,IF(ISNUMBER($CE215),RANK($CE215,$CE$9:$CE$508,1),COUNT($CE$9:$CE$508)+1)))</f>
        <v/>
      </c>
      <c r="CG215" s="97" t="str">
        <f aca="false">IF($BX215&lt;&gt;Constants!$B$6,"",IF($BL215="-&gt;",$BU215,$BJ215))</f>
        <v/>
      </c>
      <c r="CH215" s="93" t="str">
        <f aca="false">IF(ISBLANK($C215),"",IF($BX215&lt;&gt;Constants!$B$6,$BX215,IF(ISNUMBER($CG215),RANK($CG215,$CG$9:$CG$508,1),COUNT($CG$9:$CG$508)+1)))</f>
        <v/>
      </c>
      <c r="CI215" s="97" t="str">
        <f aca="false">IF($BX215&lt;&gt;Constants!$B$6,"",IF($BL215="-&gt;",$BV215,$BK215))</f>
        <v/>
      </c>
      <c r="CJ215" s="93" t="str">
        <f aca="false">IF(ISBLANK($C215),"",IF($BX215&lt;&gt;Constants!$B$6,$BX215,IF(ISNUMBER($CI215),RANK($CI215,$CI$9:$CI$508,1),COUNT($CI$9:$CI$508)+1)))</f>
        <v/>
      </c>
      <c r="CK215" s="97" t="str">
        <f aca="false">IF($BX215&lt;&gt;Constants!$B$6,"",$AI215)</f>
        <v/>
      </c>
      <c r="CL215" s="93" t="str">
        <f aca="false">IF(ISBLANK($C215),"",IF($BX215&lt;&gt;Constants!$B$6,$BX215,IF(ISNUMBER($CK215),RANK($CK215,$CK$9:$CK$508,1),COUNT($CK$9:$CK$508)+1)))</f>
        <v/>
      </c>
      <c r="CM215" s="93" t="str">
        <f aca="false">IF(ISBLANK($C215),"",IF($BX215&lt;&gt;Constants!$B$6,$BX215,COUNTIFS($CD$9:$CD$508,"&lt;"&amp;$CD215)+COUNTIFS($CD$9:$CD$508,$CD215,$CF$9:$CF$508,"&lt;"&amp;$CF215)+COUNTIFS($CD$9:$CD$508,$CD215,$CF$9:$CF$508,$CF215,$CH$9:$CH$508,"&lt;"&amp;$CH215)+COUNTIFS($CD$9:$CD$508,$CD215,$CF$9:$CF$508,$CF215,$CH$9:$CH$508,$CH215,$CJ$9:$CJ$508,"&lt;"&amp;$CJ215)+COUNTIFS($CD$9:$CD$508,$CD215,$CF$9:$CF$508,$CF215,$CH$9:$CH$508,$CH215,$CJ$9:$CJ$508,$CJ215,$CL$9:$CL$508,"&lt;"&amp;$CL215)+1))</f>
        <v/>
      </c>
      <c r="CN215" s="93" t="str">
        <f aca="false">IF(ISBLANK($C215),"",IF($BX215&lt;&gt;Constants!$B$6,$BX215,$CD215-$CM215))</f>
        <v/>
      </c>
      <c r="CO215" s="100"/>
      <c r="CP215" s="101"/>
      <c r="CQ215" s="102" t="str">
        <f aca="false">IF(ISBLANK($C215),"",IF($BX215=Constants!$B$10,$BW215,""))</f>
        <v/>
      </c>
      <c r="CR215" s="101" t="str">
        <f aca="false">IF(ISBLANK($C215),"",IF($BX215&lt;&gt;Constants!$B$6,"",IF($BL215="-&gt;",2,1)))</f>
        <v/>
      </c>
      <c r="CS215" s="103" t="str">
        <f aca="false">IF(ISBLANK($C215),"",IF($BX215&lt;&gt;Constants!$B$6,"",IF($BL215="-&gt;",$BN215,$BC215)))</f>
        <v/>
      </c>
      <c r="CT215" s="103" t="str">
        <f aca="false">IF(ISBLANK($C215),"",IF($BX215&lt;&gt;Constants!$B$6,"",IF($BL215="-&gt;",$BO215,$BD215)))</f>
        <v/>
      </c>
      <c r="CU215" s="103" t="str">
        <f aca="false">IF(ISBLANK($C215),"",IF($BX215&lt;&gt;Constants!$B$6,"",IF($BL215="-&gt;",$BP215+$BQ215,$BE215+$BF215)+$CB215))</f>
        <v/>
      </c>
      <c r="CV215" s="103" t="str">
        <f aca="false">IF(ISBLANK($C215),"",IF($BX215&lt;&gt;Constants!$B$6,"",IF($BL215="-&gt;",$BR215,$BG215)+$CA215))</f>
        <v/>
      </c>
      <c r="CW215" s="104" t="str">
        <f aca="false">IF(ISBLANK($C215),"",IF($BX215&lt;&gt;Constants!$B$6,$BX215,$CC215))</f>
        <v/>
      </c>
      <c r="CX215" s="105" t="str">
        <f aca="false">IF(ISBLANK($C215),"",$BY215)</f>
        <v/>
      </c>
      <c r="CY215" s="106" t="str">
        <f aca="false">IF(ISBLANK($C215),"",$CN215)</f>
        <v/>
      </c>
      <c r="CZ215" s="106" t="str">
        <f aca="false">IF(ISBLANK($C215),"",$CM215)</f>
        <v/>
      </c>
      <c r="DA215" s="107" t="str">
        <f aca="false">IF(ISBLANK($C215),"",IFERROR(_xlfn.SWITCH($CZ215,Constants!$B$9,COUNTA($C$9:$C$508)+2,Constants!$B$8,COUNTA($C$9:$C$508)+1,Constants!$B$7,COUNTA($C$9:$C$508)),$CZ215))</f>
        <v/>
      </c>
      <c r="DB215" s="9"/>
      <c r="DC215" s="108" t="n">
        <f aca="false">IF(OR(ISNUMBER($CZ215),$CZ215=Constants!$B$9,$CZ215=Constants!$B$7,$CZ215=Constants!$B$8),1,0)</f>
        <v>0</v>
      </c>
      <c r="DD215" s="108" t="n">
        <v>207</v>
      </c>
      <c r="DE215" s="108" t="str">
        <f aca="false">IF(ISBLANK($C215),"",IF(ISNUMBER($DA215),$DA215+ROW($B215)/1000,""))</f>
        <v/>
      </c>
      <c r="DF215" s="108" t="str">
        <f aca="false">IF(ISNUMBER($DE215),RANK($DE215,$DE$9:$DE$508,1),"")</f>
        <v/>
      </c>
      <c r="DG215" s="108" t="str">
        <f aca="false">IF(ISBLANK($C215),"",$B215)</f>
        <v/>
      </c>
      <c r="DH215" s="108" t="str">
        <f aca="false">IF(ISBLANK($C215),"",$C215)</f>
        <v/>
      </c>
      <c r="DI215" s="108" t="str">
        <f aca="false">IF(ISBLANK($C215),"",$D215)</f>
        <v/>
      </c>
      <c r="DJ215" s="109" t="str">
        <f aca="false">$CX215</f>
        <v/>
      </c>
      <c r="DK215" s="110" t="str">
        <f aca="false">$CW215</f>
        <v/>
      </c>
      <c r="DL215" s="108" t="str">
        <f aca="false">IF(ISBLANK($C215),"",$CZ215)</f>
        <v/>
      </c>
      <c r="DM215" s="111" t="str">
        <f aca="false">IF($DD215&gt;$DC$8,"",VLOOKUP($DD215,$DF$9:$DL$508,7,FALSE()))</f>
        <v/>
      </c>
      <c r="DN215" s="112" t="str">
        <f aca="false">IF($DD215&gt;$DC$8,"",VLOOKUP($DD215,$DF$9:$DL$508,2,FALSE()))</f>
        <v/>
      </c>
      <c r="DO215" s="112" t="str">
        <f aca="false">IF($DD215&gt;$DC$8,"",VLOOKUP($DD215,$DF$9:$DL$508,3,FALSE()))</f>
        <v/>
      </c>
      <c r="DP215" s="112" t="str">
        <f aca="false">IF($DD215&gt;$DC$8,"",VLOOKUP($DD215,$DF$9:$DL$508,4,FALSE()))</f>
        <v/>
      </c>
      <c r="DQ215" s="112" t="str">
        <f aca="false">IF($DD215&gt;$DC$8,"",VLOOKUP($DD215,$DF$9:$DL$508,5,FALSE()))</f>
        <v/>
      </c>
      <c r="DR215" s="113" t="str">
        <f aca="false">IF($DD215&gt;$DC$8,"",VLOOKUP($DD215,$DF$9:$DL$508,6,FALSE()))</f>
        <v/>
      </c>
      <c r="DS215" s="76"/>
    </row>
    <row r="216" customFormat="false" ht="15.75" hidden="false" customHeight="false" outlineLevel="0" collapsed="false">
      <c r="A216" s="9"/>
      <c r="B216" s="160"/>
      <c r="C216" s="161"/>
      <c r="D216" s="162"/>
      <c r="E216" s="180"/>
      <c r="F216" s="164"/>
      <c r="G216" s="165"/>
      <c r="H216" s="165"/>
      <c r="I216" s="181"/>
      <c r="J216" s="168"/>
      <c r="K216" s="128"/>
      <c r="L216" s="129"/>
      <c r="M216" s="130"/>
      <c r="N216" s="168"/>
      <c r="O216" s="168"/>
      <c r="P216" s="180"/>
      <c r="Q216" s="168"/>
      <c r="R216" s="168"/>
      <c r="S216" s="128"/>
      <c r="T216" s="130"/>
      <c r="U216" s="130"/>
      <c r="V216" s="168"/>
      <c r="W216" s="168"/>
      <c r="X216" s="180"/>
      <c r="Y216" s="168"/>
      <c r="Z216" s="169"/>
      <c r="AA216" s="168"/>
      <c r="AB216" s="134"/>
      <c r="AC216" s="135"/>
      <c r="AD216" s="135"/>
      <c r="AE216" s="135"/>
      <c r="AF216" s="135" t="str">
        <f aca="false">IF(ISBLANK($C216),"",IF(E216=Constants!$B$2,TRUE(),IF(E216=Constants!$B$3,FALSE(),TRUE())))</f>
        <v/>
      </c>
      <c r="AG216" s="135" t="str">
        <f aca="false">IF(ISBLANK($C216),"",IF(F216=Constants!$B$2,TRUE(),IF(F216=Constants!$B$3,FALSE(),TRUE())))</f>
        <v/>
      </c>
      <c r="AH216" s="135" t="str">
        <f aca="false">IF(ISBLANK($C216),"",IF(G216=Constants!$B$2,TRUE(),IF(G216=Constants!$B$3,FALSE(),TRUE())))</f>
        <v/>
      </c>
      <c r="AI216" s="135" t="str">
        <f aca="false">IF(ISBLANK($C216),"",IF(AND(ISNUMBER(H216),H216&gt;=0),H216,Constants!$B$24))</f>
        <v/>
      </c>
      <c r="AJ216" s="135" t="str">
        <f aca="false">IF(ISBLANK($C216),"",IF(I216=Constants!$B$2,TRUE(),IF(I216=Constants!$B$3,FALSE(),TRUE())))</f>
        <v/>
      </c>
      <c r="AK216" s="135" t="str">
        <f aca="false">IF(ISBLANK($C216),"",IF(J216=Constants!$B$2,TRUE(),IF(J216=Constants!$B$3,FALSE(),TRUE())))</f>
        <v/>
      </c>
      <c r="AL216" s="135" t="str">
        <f aca="false">IF(ISBLANK($C216),"",IF(K216=Constants!$B$4,TRUE(),IF(K216=Constants!$B$5,FALSE(),COUNTA(L216:P216)&gt;0)))</f>
        <v/>
      </c>
      <c r="AM216" s="136" t="str">
        <f aca="false">IF(ISBLANK($C216),"",IF(ISNUMBER(L216),IF(L216&gt;=0,L216,""),""))</f>
        <v/>
      </c>
      <c r="AN216" s="137" t="str">
        <f aca="false">IF(ISBLANK($C216),"",IF(ISNUMBER(M216),IF(M216&gt;=0,M216,""),""))</f>
        <v/>
      </c>
      <c r="AO216" s="137" t="str">
        <f aca="false">IF(ISBLANK($C216),"",IF(N216=Constants!$B$2,TRUE(),IF(N216=Constants!$B$3,FALSE(),TRUE())))</f>
        <v/>
      </c>
      <c r="AP216" s="135" t="str">
        <f aca="false">IF(ISBLANK($C216),"",IF(ISNUMBER(O216),IF(O216&gt;=0,O216,""),""))</f>
        <v/>
      </c>
      <c r="AQ216" s="135" t="str">
        <f aca="false">IF(ISBLANK($C216),"",IF(P216=Constants!$B$2,TRUE(),IF(P216=Constants!$B$3,FALSE(),FALSE())))</f>
        <v/>
      </c>
      <c r="AR216" s="135" t="str">
        <f aca="false">IF(ISBLANK($C216),"",IF(Q216=Constants!$B$2,TRUE(),IF(Q216=Constants!$B$3,FALSE(),TRUE())))</f>
        <v/>
      </c>
      <c r="AS216" s="135" t="str">
        <f aca="false">IF(ISBLANK($C216),"",IF(R216=Constants!$B$2,TRUE(),IF(R216=Constants!$B$3,FALSE(),TRUE())))</f>
        <v/>
      </c>
      <c r="AT216" s="135" t="str">
        <f aca="false">IF(ISBLANK($C216),"",IF(S216=Constants!$B$4,TRUE(),IF(S216=Constants!$B$5,FALSE(),COUNTA(T216:X216)&gt;0)))</f>
        <v/>
      </c>
      <c r="AU216" s="136" t="str">
        <f aca="false">IF(ISBLANK($C216),"",IF(ISNUMBER(T216),IF(T216&gt;=0,T216,""),""))</f>
        <v/>
      </c>
      <c r="AV216" s="137" t="str">
        <f aca="false">IF(ISBLANK($C216),"",IF(ISNUMBER(U216),IF(U216&gt;=0,U216,""),""))</f>
        <v/>
      </c>
      <c r="AW216" s="137" t="str">
        <f aca="false">IF(ISBLANK($C216),"",IF(V216=Constants!$B$2,TRUE(),IF(V216=Constants!$B$3,FALSE(),TRUE())))</f>
        <v/>
      </c>
      <c r="AX216" s="135" t="str">
        <f aca="false">IF(ISBLANK($C216),"",IF(ISNUMBER(W216),IF(W216&gt;=0,W216,""),""))</f>
        <v/>
      </c>
      <c r="AY216" s="135" t="str">
        <f aca="false">IF(ISBLANK($C216),"",IF(X216=Constants!$B$2,TRUE(),IF(X216=Constants!$B$3,FALSE(),FALSE())))</f>
        <v/>
      </c>
      <c r="AZ216" s="135" t="str">
        <f aca="false">IF(ISBLANK($C216),"",MIN(Constants!$B$25,MAX(0,IF(ISNUMBER(Y216),Y216*60,0)+IF(ISNUMBER(Z216),Z216,0))))</f>
        <v/>
      </c>
      <c r="BA216" s="135" t="str">
        <f aca="false">IF(ISBLANK($C216),"",IF(AA216=Constants!$B$2,TRUE(),IF(AA216=Constants!$B$3,FALSE(),FALSE())))</f>
        <v/>
      </c>
      <c r="BB216" s="134" t="str">
        <f aca="false">IF(ISBLANK($C216),"",AND($AL216,OR($AM216="",$AN216="",AND($AO216,$AP216=""))))</f>
        <v/>
      </c>
      <c r="BC216" s="137" t="str">
        <f aca="false">IF($BX216&lt;&gt;Constants!$B$6,"",IF($AL216,Constants!$B$17*$AN216+Constants!$B$18*IF($AO216,$AP216,Constants!$B$19),Constants!$B$20))</f>
        <v/>
      </c>
      <c r="BD216" s="138" t="str">
        <f aca="false">IF($BX216&lt;&gt;Constants!$B$6,"",Constants!$B$21*ABS($AD$9-IF($AL216,$AM216,0)))</f>
        <v/>
      </c>
      <c r="BE216" s="138" t="str">
        <f aca="false">IF($BX216&lt;&gt;Constants!$B$6,"",IF(AND($AL216,$AQ216,$AO216),Constants!$B$22,0))</f>
        <v/>
      </c>
      <c r="BF216" s="138" t="str">
        <f aca="false">IF($BX216&lt;&gt;Constants!$B$6,"",IF($AL216,($AI216-Constants!$B$24)*Constants!$B$23,0))</f>
        <v/>
      </c>
      <c r="BG216" s="138" t="str">
        <f aca="false">IF($BX216&lt;&gt;Constants!$B$6,"",IF($AK216,0,Constants!$B$12)+IF($AJ216,0,Constants!$B$13)+IF($AH216,0,Constants!$B$14))</f>
        <v/>
      </c>
      <c r="BH216" s="139" t="str">
        <f aca="false">IF($BX216&lt;&gt;Constants!$B$6,"",Constants!$B$16+SUM($BC216:$BG216))</f>
        <v/>
      </c>
      <c r="BI216" s="138" t="str">
        <f aca="false">IF($BX216&lt;&gt;Constants!$B$6,"",$BC216)</f>
        <v/>
      </c>
      <c r="BJ216" s="138" t="str">
        <f aca="false">IF($BX216&lt;&gt;Constants!$B$6,"",$BD216)</f>
        <v/>
      </c>
      <c r="BK216" s="140" t="str">
        <f aca="false">IF($BX216&lt;&gt;Constants!$B$6,"",IF($AL216,$AN216,""))</f>
        <v/>
      </c>
      <c r="BL216" s="135" t="str">
        <f aca="false">IF($BX216&lt;&gt;Constants!$B$6,"",IF(OR($BS216&lt;$BH216,AND($BS216=$BH216,OR($BT216&lt;$BI216,AND($BT216=$BI216,OR($BU216&lt;$BJ216,AND($BU216=$BJ216,AND(ISNUMBER($BV216),OR(NOT(ISNUMBER($BK216)),$BV216&lt;$BK216)))))))),"-&gt;","&lt;-"))</f>
        <v/>
      </c>
      <c r="BM216" s="134" t="str">
        <f aca="false">IF(ISBLANK($C216),"",AND($AT216,OR($AU216="",$AV216="",AND($AW216,$AX216=""))))</f>
        <v/>
      </c>
      <c r="BN216" s="137" t="str">
        <f aca="false">IF($BX216&lt;&gt;Constants!$B$6,"",IF($AT216,Constants!$B$17*$AV216+Constants!$B$18*IF($AW216,$AX216,Constants!$B$19),Constants!$B$20))</f>
        <v/>
      </c>
      <c r="BO216" s="138" t="str">
        <f aca="false">IF($BX216&lt;&gt;Constants!$B$6,"",Constants!$B$21*ABS($AD$9-IF($AT216,$AU216,0)))</f>
        <v/>
      </c>
      <c r="BP216" s="138" t="str">
        <f aca="false">IF($BX216&lt;&gt;Constants!$B$6,"",IF(AND($AT216,$AY216,$AW216),Constants!$B$22,0))</f>
        <v/>
      </c>
      <c r="BQ216" s="138" t="str">
        <f aca="false">IF($BX216&lt;&gt;Constants!$B$6,"",IF($AT216,($AI216-Constants!$B$24)*Constants!$B$23,0))</f>
        <v/>
      </c>
      <c r="BR216" s="138" t="str">
        <f aca="false">IF($BX216&lt;&gt;Constants!$B$6,"",IF($AS216,0,Constants!$B$12)+IF($AR216,0,Constants!$B$13)+IF($AH216,0,Constants!$B$14))</f>
        <v/>
      </c>
      <c r="BS216" s="139" t="str">
        <f aca="false">IF($BX216&lt;&gt;Constants!$B$6,"",Constants!$B$16+SUM($BN216:$BR216))</f>
        <v/>
      </c>
      <c r="BT216" s="138" t="str">
        <f aca="false">IF($BX216&lt;&gt;Constants!$B$6,"",$BN216)</f>
        <v/>
      </c>
      <c r="BU216" s="138" t="str">
        <f aca="false">IF($BX216&lt;&gt;Constants!$B$6,"",$BO216)</f>
        <v/>
      </c>
      <c r="BV216" s="140" t="str">
        <f aca="false">IF($BX216&lt;&gt;Constants!$B$6,"",IF($AT216,$AV216,""))</f>
        <v/>
      </c>
      <c r="BW216" s="135" t="str">
        <f aca="false">IF(ISBLANK($C216),"",IF(ISBLANK($D$7),$BW$5,IF(NOT(ISNUMBER($D$7)),$BW$6,"")))</f>
        <v/>
      </c>
      <c r="BX216" s="135" t="str">
        <f aca="false">IF(ISBLANK($C216),"",IF($BA216,Constants!$B$9,IF(COUNTA($E216:$AA216)=0,Constants!$B$8,IF(NOT($AG216),Constants!$B$7,IF(OR($BW216&lt;&gt;"",$BB216,$BM216),Constants!$B$10,Constants!$B$6)))))</f>
        <v/>
      </c>
      <c r="BY216" s="135" t="str">
        <f aca="false">IF(ISBLANK($C216),"",IF($BX216&lt;&gt;Constants!$B$6,$BX216,Constants!$B$11))</f>
        <v/>
      </c>
      <c r="BZ216" s="138" t="str">
        <f aca="false">IF($BX216&lt;&gt;Constants!$B$6,"",IF($BL216="-&gt;",$BS216,$BH216))</f>
        <v/>
      </c>
      <c r="CA216" s="138" t="str">
        <f aca="false">IF($BX216&lt;&gt;Constants!$B$6,"",IF($AF216,0,Constants!$B$15))</f>
        <v/>
      </c>
      <c r="CB216" s="138" t="str">
        <f aca="false">IF($BX216&lt;&gt;Constants!$B$6,"",((Constants!$B$25-$AZ216)-Constants!$B$25)/Constants!$B$26)</f>
        <v/>
      </c>
      <c r="CC216" s="138" t="str">
        <f aca="false">IF(ISBLANK($C216),"",IF($BX216&lt;&gt;Constants!$B$6,$BX216,SUM($BZ216:$CB216)))</f>
        <v/>
      </c>
      <c r="CD216" s="135" t="str">
        <f aca="false">IF(ISBLANK($C216),"",IF($BX216&lt;&gt;Constants!$B$6,$BX216,RANK($CC216,$CC$9:$CC$508,1)))</f>
        <v/>
      </c>
      <c r="CE216" s="138" t="str">
        <f aca="false">IF($BX216&lt;&gt;Constants!$B$6,"",IF($BL216="-&gt;",$BT216,$BI216))</f>
        <v/>
      </c>
      <c r="CF216" s="135" t="str">
        <f aca="false">IF(ISBLANK($C216),"",IF($BX216&lt;&gt;Constants!$B$6,$BX216,IF(ISNUMBER($CE216),RANK($CE216,$CE$9:$CE$508,1),COUNT($CE$9:$CE$508)+1)))</f>
        <v/>
      </c>
      <c r="CG216" s="138" t="str">
        <f aca="false">IF($BX216&lt;&gt;Constants!$B$6,"",IF($BL216="-&gt;",$BU216,$BJ216))</f>
        <v/>
      </c>
      <c r="CH216" s="135" t="str">
        <f aca="false">IF(ISBLANK($C216),"",IF($BX216&lt;&gt;Constants!$B$6,$BX216,IF(ISNUMBER($CG216),RANK($CG216,$CG$9:$CG$508,1),COUNT($CG$9:$CG$508)+1)))</f>
        <v/>
      </c>
      <c r="CI216" s="138" t="str">
        <f aca="false">IF($BX216&lt;&gt;Constants!$B$6,"",IF($BL216="-&gt;",$BV216,$BK216))</f>
        <v/>
      </c>
      <c r="CJ216" s="135" t="str">
        <f aca="false">IF(ISBLANK($C216),"",IF($BX216&lt;&gt;Constants!$B$6,$BX216,IF(ISNUMBER($CI216),RANK($CI216,$CI$9:$CI$508,1),COUNT($CI$9:$CI$508)+1)))</f>
        <v/>
      </c>
      <c r="CK216" s="138" t="str">
        <f aca="false">IF($BX216&lt;&gt;Constants!$B$6,"",$AI216)</f>
        <v/>
      </c>
      <c r="CL216" s="135" t="str">
        <f aca="false">IF(ISBLANK($C216),"",IF($BX216&lt;&gt;Constants!$B$6,$BX216,IF(ISNUMBER($CK216),RANK($CK216,$CK$9:$CK$508,1),COUNT($CK$9:$CK$508)+1)))</f>
        <v/>
      </c>
      <c r="CM216" s="135" t="str">
        <f aca="false">IF(ISBLANK($C216),"",IF($BX216&lt;&gt;Constants!$B$6,$BX216,COUNTIFS($CD$9:$CD$508,"&lt;"&amp;$CD216)+COUNTIFS($CD$9:$CD$508,$CD216,$CF$9:$CF$508,"&lt;"&amp;$CF216)+COUNTIFS($CD$9:$CD$508,$CD216,$CF$9:$CF$508,$CF216,$CH$9:$CH$508,"&lt;"&amp;$CH216)+COUNTIFS($CD$9:$CD$508,$CD216,$CF$9:$CF$508,$CF216,$CH$9:$CH$508,$CH216,$CJ$9:$CJ$508,"&lt;"&amp;$CJ216)+COUNTIFS($CD$9:$CD$508,$CD216,$CF$9:$CF$508,$CF216,$CH$9:$CH$508,$CH216,$CJ$9:$CJ$508,$CJ216,$CL$9:$CL$508,"&lt;"&amp;$CL216)+1))</f>
        <v/>
      </c>
      <c r="CN216" s="135" t="str">
        <f aca="false">IF(ISBLANK($C216),"",IF($BX216&lt;&gt;Constants!$B$6,$BX216,$CD216-$CM216))</f>
        <v/>
      </c>
      <c r="CO216" s="141"/>
      <c r="CP216" s="142"/>
      <c r="CQ216" s="143" t="str">
        <f aca="false">IF(ISBLANK($C216),"",IF($BX216=Constants!$B$10,$BW216,""))</f>
        <v/>
      </c>
      <c r="CR216" s="142" t="str">
        <f aca="false">IF(ISBLANK($C216),"",IF($BX216&lt;&gt;Constants!$B$6,"",IF($BL216="-&gt;",2,1)))</f>
        <v/>
      </c>
      <c r="CS216" s="144" t="str">
        <f aca="false">IF(ISBLANK($C216),"",IF($BX216&lt;&gt;Constants!$B$6,"",IF($BL216="-&gt;",$BN216,$BC216)))</f>
        <v/>
      </c>
      <c r="CT216" s="144" t="str">
        <f aca="false">IF(ISBLANK($C216),"",IF($BX216&lt;&gt;Constants!$B$6,"",IF($BL216="-&gt;",$BO216,$BD216)))</f>
        <v/>
      </c>
      <c r="CU216" s="144" t="str">
        <f aca="false">IF(ISBLANK($C216),"",IF($BX216&lt;&gt;Constants!$B$6,"",IF($BL216="-&gt;",$BP216+$BQ216,$BE216+$BF216)+$CB216))</f>
        <v/>
      </c>
      <c r="CV216" s="144" t="str">
        <f aca="false">IF(ISBLANK($C216),"",IF($BX216&lt;&gt;Constants!$B$6,"",IF($BL216="-&gt;",$BR216,$BG216)+$CA216))</f>
        <v/>
      </c>
      <c r="CW216" s="145" t="str">
        <f aca="false">IF(ISBLANK($C216),"",IF($BX216&lt;&gt;Constants!$B$6,$BX216,$CC216))</f>
        <v/>
      </c>
      <c r="CX216" s="146" t="str">
        <f aca="false">IF(ISBLANK($C216),"",$BY216)</f>
        <v/>
      </c>
      <c r="CY216" s="147" t="str">
        <f aca="false">IF(ISBLANK($C216),"",$CN216)</f>
        <v/>
      </c>
      <c r="CZ216" s="147" t="str">
        <f aca="false">IF(ISBLANK($C216),"",$CM216)</f>
        <v/>
      </c>
      <c r="DA216" s="148" t="str">
        <f aca="false">IF(ISBLANK($C216),"",IFERROR(_xlfn.SWITCH($CZ216,Constants!$B$9,COUNTA($C$9:$C$508)+2,Constants!$B$8,COUNTA($C$9:$C$508)+1,Constants!$B$7,COUNTA($C$9:$C$508)),$CZ216))</f>
        <v/>
      </c>
      <c r="DB216" s="9"/>
      <c r="DC216" s="149" t="n">
        <f aca="false">IF(OR(ISNUMBER($CZ216),$CZ216=Constants!$B$9,$CZ216=Constants!$B$7,$CZ216=Constants!$B$8),1,0)</f>
        <v>0</v>
      </c>
      <c r="DD216" s="149" t="n">
        <v>208</v>
      </c>
      <c r="DE216" s="149" t="str">
        <f aca="false">IF(ISBLANK($C216),"",IF(ISNUMBER($DA216),$DA216+ROW($B216)/1000,""))</f>
        <v/>
      </c>
      <c r="DF216" s="149" t="str">
        <f aca="false">IF(ISNUMBER($DE216),RANK($DE216,$DE$9:$DE$508,1),"")</f>
        <v/>
      </c>
      <c r="DG216" s="149" t="str">
        <f aca="false">IF(ISBLANK($C216),"",$B216)</f>
        <v/>
      </c>
      <c r="DH216" s="149" t="str">
        <f aca="false">IF(ISBLANK($C216),"",$C216)</f>
        <v/>
      </c>
      <c r="DI216" s="149" t="str">
        <f aca="false">IF(ISBLANK($C216),"",$D216)</f>
        <v/>
      </c>
      <c r="DJ216" s="150" t="str">
        <f aca="false">$CX216</f>
        <v/>
      </c>
      <c r="DK216" s="151" t="str">
        <f aca="false">$CW216</f>
        <v/>
      </c>
      <c r="DL216" s="149" t="str">
        <f aca="false">IF(ISBLANK($C216),"",$CZ216)</f>
        <v/>
      </c>
      <c r="DM216" s="152" t="str">
        <f aca="false">IF($DD216&gt;$DC$8,"",VLOOKUP($DD216,$DF$9:$DL$508,7,FALSE()))</f>
        <v/>
      </c>
      <c r="DN216" s="153" t="str">
        <f aca="false">IF($DD216&gt;$DC$8,"",VLOOKUP($DD216,$DF$9:$DL$508,2,FALSE()))</f>
        <v/>
      </c>
      <c r="DO216" s="153" t="str">
        <f aca="false">IF($DD216&gt;$DC$8,"",VLOOKUP($DD216,$DF$9:$DL$508,3,FALSE()))</f>
        <v/>
      </c>
      <c r="DP216" s="153" t="str">
        <f aca="false">IF($DD216&gt;$DC$8,"",VLOOKUP($DD216,$DF$9:$DL$508,4,FALSE()))</f>
        <v/>
      </c>
      <c r="DQ216" s="153" t="str">
        <f aca="false">IF($DD216&gt;$DC$8,"",VLOOKUP($DD216,$DF$9:$DL$508,5,FALSE()))</f>
        <v/>
      </c>
      <c r="DR216" s="154" t="str">
        <f aca="false">IF($DD216&gt;$DC$8,"",VLOOKUP($DD216,$DF$9:$DL$508,6,FALSE()))</f>
        <v/>
      </c>
      <c r="DS216" s="76"/>
    </row>
    <row r="217" customFormat="false" ht="15.75" hidden="false" customHeight="false" outlineLevel="0" collapsed="false">
      <c r="A217" s="9"/>
      <c r="B217" s="160"/>
      <c r="C217" s="161"/>
      <c r="D217" s="162"/>
      <c r="E217" s="180"/>
      <c r="F217" s="164"/>
      <c r="G217" s="165"/>
      <c r="H217" s="165"/>
      <c r="I217" s="181"/>
      <c r="J217" s="168"/>
      <c r="K217" s="128"/>
      <c r="L217" s="129"/>
      <c r="M217" s="130"/>
      <c r="N217" s="168"/>
      <c r="O217" s="168"/>
      <c r="P217" s="180"/>
      <c r="Q217" s="168"/>
      <c r="R217" s="168"/>
      <c r="S217" s="128"/>
      <c r="T217" s="130"/>
      <c r="U217" s="130"/>
      <c r="V217" s="168"/>
      <c r="W217" s="168"/>
      <c r="X217" s="180"/>
      <c r="Y217" s="168"/>
      <c r="Z217" s="169"/>
      <c r="AA217" s="168"/>
      <c r="AB217" s="134"/>
      <c r="AC217" s="135"/>
      <c r="AD217" s="135"/>
      <c r="AE217" s="135"/>
      <c r="AF217" s="135" t="str">
        <f aca="false">IF(ISBLANK($C217),"",IF(E217=Constants!$B$2,TRUE(),IF(E217=Constants!$B$3,FALSE(),TRUE())))</f>
        <v/>
      </c>
      <c r="AG217" s="135" t="str">
        <f aca="false">IF(ISBLANK($C217),"",IF(F217=Constants!$B$2,TRUE(),IF(F217=Constants!$B$3,FALSE(),TRUE())))</f>
        <v/>
      </c>
      <c r="AH217" s="135" t="str">
        <f aca="false">IF(ISBLANK($C217),"",IF(G217=Constants!$B$2,TRUE(),IF(G217=Constants!$B$3,FALSE(),TRUE())))</f>
        <v/>
      </c>
      <c r="AI217" s="135" t="str">
        <f aca="false">IF(ISBLANK($C217),"",IF(AND(ISNUMBER(H217),H217&gt;=0),H217,Constants!$B$24))</f>
        <v/>
      </c>
      <c r="AJ217" s="135" t="str">
        <f aca="false">IF(ISBLANK($C217),"",IF(I217=Constants!$B$2,TRUE(),IF(I217=Constants!$B$3,FALSE(),TRUE())))</f>
        <v/>
      </c>
      <c r="AK217" s="135" t="str">
        <f aca="false">IF(ISBLANK($C217),"",IF(J217=Constants!$B$2,TRUE(),IF(J217=Constants!$B$3,FALSE(),TRUE())))</f>
        <v/>
      </c>
      <c r="AL217" s="135" t="str">
        <f aca="false">IF(ISBLANK($C217),"",IF(K217=Constants!$B$4,TRUE(),IF(K217=Constants!$B$5,FALSE(),COUNTA(L217:P217)&gt;0)))</f>
        <v/>
      </c>
      <c r="AM217" s="136" t="str">
        <f aca="false">IF(ISBLANK($C217),"",IF(ISNUMBER(L217),IF(L217&gt;=0,L217,""),""))</f>
        <v/>
      </c>
      <c r="AN217" s="137" t="str">
        <f aca="false">IF(ISBLANK($C217),"",IF(ISNUMBER(M217),IF(M217&gt;=0,M217,""),""))</f>
        <v/>
      </c>
      <c r="AO217" s="137" t="str">
        <f aca="false">IF(ISBLANK($C217),"",IF(N217=Constants!$B$2,TRUE(),IF(N217=Constants!$B$3,FALSE(),TRUE())))</f>
        <v/>
      </c>
      <c r="AP217" s="135" t="str">
        <f aca="false">IF(ISBLANK($C217),"",IF(ISNUMBER(O217),IF(O217&gt;=0,O217,""),""))</f>
        <v/>
      </c>
      <c r="AQ217" s="135" t="str">
        <f aca="false">IF(ISBLANK($C217),"",IF(P217=Constants!$B$2,TRUE(),IF(P217=Constants!$B$3,FALSE(),FALSE())))</f>
        <v/>
      </c>
      <c r="AR217" s="135" t="str">
        <f aca="false">IF(ISBLANK($C217),"",IF(Q217=Constants!$B$2,TRUE(),IF(Q217=Constants!$B$3,FALSE(),TRUE())))</f>
        <v/>
      </c>
      <c r="AS217" s="135" t="str">
        <f aca="false">IF(ISBLANK($C217),"",IF(R217=Constants!$B$2,TRUE(),IF(R217=Constants!$B$3,FALSE(),TRUE())))</f>
        <v/>
      </c>
      <c r="AT217" s="135" t="str">
        <f aca="false">IF(ISBLANK($C217),"",IF(S217=Constants!$B$4,TRUE(),IF(S217=Constants!$B$5,FALSE(),COUNTA(T217:X217)&gt;0)))</f>
        <v/>
      </c>
      <c r="AU217" s="136" t="str">
        <f aca="false">IF(ISBLANK($C217),"",IF(ISNUMBER(T217),IF(T217&gt;=0,T217,""),""))</f>
        <v/>
      </c>
      <c r="AV217" s="137" t="str">
        <f aca="false">IF(ISBLANK($C217),"",IF(ISNUMBER(U217),IF(U217&gt;=0,U217,""),""))</f>
        <v/>
      </c>
      <c r="AW217" s="137" t="str">
        <f aca="false">IF(ISBLANK($C217),"",IF(V217=Constants!$B$2,TRUE(),IF(V217=Constants!$B$3,FALSE(),TRUE())))</f>
        <v/>
      </c>
      <c r="AX217" s="135" t="str">
        <f aca="false">IF(ISBLANK($C217),"",IF(ISNUMBER(W217),IF(W217&gt;=0,W217,""),""))</f>
        <v/>
      </c>
      <c r="AY217" s="135" t="str">
        <f aca="false">IF(ISBLANK($C217),"",IF(X217=Constants!$B$2,TRUE(),IF(X217=Constants!$B$3,FALSE(),FALSE())))</f>
        <v/>
      </c>
      <c r="AZ217" s="135" t="str">
        <f aca="false">IF(ISBLANK($C217),"",MIN(Constants!$B$25,MAX(0,IF(ISNUMBER(Y217),Y217*60,0)+IF(ISNUMBER(Z217),Z217,0))))</f>
        <v/>
      </c>
      <c r="BA217" s="135" t="str">
        <f aca="false">IF(ISBLANK($C217),"",IF(AA217=Constants!$B$2,TRUE(),IF(AA217=Constants!$B$3,FALSE(),FALSE())))</f>
        <v/>
      </c>
      <c r="BB217" s="134" t="str">
        <f aca="false">IF(ISBLANK($C217),"",AND($AL217,OR($AM217="",$AN217="",AND($AO217,$AP217=""))))</f>
        <v/>
      </c>
      <c r="BC217" s="137" t="str">
        <f aca="false">IF($BX217&lt;&gt;Constants!$B$6,"",IF($AL217,Constants!$B$17*$AN217+Constants!$B$18*IF($AO217,$AP217,Constants!$B$19),Constants!$B$20))</f>
        <v/>
      </c>
      <c r="BD217" s="138" t="str">
        <f aca="false">IF($BX217&lt;&gt;Constants!$B$6,"",Constants!$B$21*ABS($AD$9-IF($AL217,$AM217,0)))</f>
        <v/>
      </c>
      <c r="BE217" s="138" t="str">
        <f aca="false">IF($BX217&lt;&gt;Constants!$B$6,"",IF(AND($AL217,$AQ217,$AO217),Constants!$B$22,0))</f>
        <v/>
      </c>
      <c r="BF217" s="138" t="str">
        <f aca="false">IF($BX217&lt;&gt;Constants!$B$6,"",IF($AL217,($AI217-Constants!$B$24)*Constants!$B$23,0))</f>
        <v/>
      </c>
      <c r="BG217" s="138" t="str">
        <f aca="false">IF($BX217&lt;&gt;Constants!$B$6,"",IF($AK217,0,Constants!$B$12)+IF($AJ217,0,Constants!$B$13)+IF($AH217,0,Constants!$B$14))</f>
        <v/>
      </c>
      <c r="BH217" s="139" t="str">
        <f aca="false">IF($BX217&lt;&gt;Constants!$B$6,"",Constants!$B$16+SUM($BC217:$BG217))</f>
        <v/>
      </c>
      <c r="BI217" s="138" t="str">
        <f aca="false">IF($BX217&lt;&gt;Constants!$B$6,"",$BC217)</f>
        <v/>
      </c>
      <c r="BJ217" s="138" t="str">
        <f aca="false">IF($BX217&lt;&gt;Constants!$B$6,"",$BD217)</f>
        <v/>
      </c>
      <c r="BK217" s="140" t="str">
        <f aca="false">IF($BX217&lt;&gt;Constants!$B$6,"",IF($AL217,$AN217,""))</f>
        <v/>
      </c>
      <c r="BL217" s="135" t="str">
        <f aca="false">IF($BX217&lt;&gt;Constants!$B$6,"",IF(OR($BS217&lt;$BH217,AND($BS217=$BH217,OR($BT217&lt;$BI217,AND($BT217=$BI217,OR($BU217&lt;$BJ217,AND($BU217=$BJ217,AND(ISNUMBER($BV217),OR(NOT(ISNUMBER($BK217)),$BV217&lt;$BK217)))))))),"-&gt;","&lt;-"))</f>
        <v/>
      </c>
      <c r="BM217" s="134" t="str">
        <f aca="false">IF(ISBLANK($C217),"",AND($AT217,OR($AU217="",$AV217="",AND($AW217,$AX217=""))))</f>
        <v/>
      </c>
      <c r="BN217" s="137" t="str">
        <f aca="false">IF($BX217&lt;&gt;Constants!$B$6,"",IF($AT217,Constants!$B$17*$AV217+Constants!$B$18*IF($AW217,$AX217,Constants!$B$19),Constants!$B$20))</f>
        <v/>
      </c>
      <c r="BO217" s="138" t="str">
        <f aca="false">IF($BX217&lt;&gt;Constants!$B$6,"",Constants!$B$21*ABS($AD$9-IF($AT217,$AU217,0)))</f>
        <v/>
      </c>
      <c r="BP217" s="138" t="str">
        <f aca="false">IF($BX217&lt;&gt;Constants!$B$6,"",IF(AND($AT217,$AY217,$AW217),Constants!$B$22,0))</f>
        <v/>
      </c>
      <c r="BQ217" s="138" t="str">
        <f aca="false">IF($BX217&lt;&gt;Constants!$B$6,"",IF($AT217,($AI217-Constants!$B$24)*Constants!$B$23,0))</f>
        <v/>
      </c>
      <c r="BR217" s="138" t="str">
        <f aca="false">IF($BX217&lt;&gt;Constants!$B$6,"",IF($AS217,0,Constants!$B$12)+IF($AR217,0,Constants!$B$13)+IF($AH217,0,Constants!$B$14))</f>
        <v/>
      </c>
      <c r="BS217" s="139" t="str">
        <f aca="false">IF($BX217&lt;&gt;Constants!$B$6,"",Constants!$B$16+SUM($BN217:$BR217))</f>
        <v/>
      </c>
      <c r="BT217" s="138" t="str">
        <f aca="false">IF($BX217&lt;&gt;Constants!$B$6,"",$BN217)</f>
        <v/>
      </c>
      <c r="BU217" s="138" t="str">
        <f aca="false">IF($BX217&lt;&gt;Constants!$B$6,"",$BO217)</f>
        <v/>
      </c>
      <c r="BV217" s="140" t="str">
        <f aca="false">IF($BX217&lt;&gt;Constants!$B$6,"",IF($AT217,$AV217,""))</f>
        <v/>
      </c>
      <c r="BW217" s="135" t="str">
        <f aca="false">IF(ISBLANK($C217),"",IF(ISBLANK($D$7),$BW$5,IF(NOT(ISNUMBER($D$7)),$BW$6,"")))</f>
        <v/>
      </c>
      <c r="BX217" s="135" t="str">
        <f aca="false">IF(ISBLANK($C217),"",IF($BA217,Constants!$B$9,IF(COUNTA($E217:$AA217)=0,Constants!$B$8,IF(NOT($AG217),Constants!$B$7,IF(OR($BW217&lt;&gt;"",$BB217,$BM217),Constants!$B$10,Constants!$B$6)))))</f>
        <v/>
      </c>
      <c r="BY217" s="135" t="str">
        <f aca="false">IF(ISBLANK($C217),"",IF($BX217&lt;&gt;Constants!$B$6,$BX217,Constants!$B$11))</f>
        <v/>
      </c>
      <c r="BZ217" s="138" t="str">
        <f aca="false">IF($BX217&lt;&gt;Constants!$B$6,"",IF($BL217="-&gt;",$BS217,$BH217))</f>
        <v/>
      </c>
      <c r="CA217" s="138" t="str">
        <f aca="false">IF($BX217&lt;&gt;Constants!$B$6,"",IF($AF217,0,Constants!$B$15))</f>
        <v/>
      </c>
      <c r="CB217" s="138" t="str">
        <f aca="false">IF($BX217&lt;&gt;Constants!$B$6,"",((Constants!$B$25-$AZ217)-Constants!$B$25)/Constants!$B$26)</f>
        <v/>
      </c>
      <c r="CC217" s="138" t="str">
        <f aca="false">IF(ISBLANK($C217),"",IF($BX217&lt;&gt;Constants!$B$6,$BX217,SUM($BZ217:$CB217)))</f>
        <v/>
      </c>
      <c r="CD217" s="135" t="str">
        <f aca="false">IF(ISBLANK($C217),"",IF($BX217&lt;&gt;Constants!$B$6,$BX217,RANK($CC217,$CC$9:$CC$508,1)))</f>
        <v/>
      </c>
      <c r="CE217" s="138" t="str">
        <f aca="false">IF($BX217&lt;&gt;Constants!$B$6,"",IF($BL217="-&gt;",$BT217,$BI217))</f>
        <v/>
      </c>
      <c r="CF217" s="135" t="str">
        <f aca="false">IF(ISBLANK($C217),"",IF($BX217&lt;&gt;Constants!$B$6,$BX217,IF(ISNUMBER($CE217),RANK($CE217,$CE$9:$CE$508,1),COUNT($CE$9:$CE$508)+1)))</f>
        <v/>
      </c>
      <c r="CG217" s="138" t="str">
        <f aca="false">IF($BX217&lt;&gt;Constants!$B$6,"",IF($BL217="-&gt;",$BU217,$BJ217))</f>
        <v/>
      </c>
      <c r="CH217" s="135" t="str">
        <f aca="false">IF(ISBLANK($C217),"",IF($BX217&lt;&gt;Constants!$B$6,$BX217,IF(ISNUMBER($CG217),RANK($CG217,$CG$9:$CG$508,1),COUNT($CG$9:$CG$508)+1)))</f>
        <v/>
      </c>
      <c r="CI217" s="138" t="str">
        <f aca="false">IF($BX217&lt;&gt;Constants!$B$6,"",IF($BL217="-&gt;",$BV217,$BK217))</f>
        <v/>
      </c>
      <c r="CJ217" s="135" t="str">
        <f aca="false">IF(ISBLANK($C217),"",IF($BX217&lt;&gt;Constants!$B$6,$BX217,IF(ISNUMBER($CI217),RANK($CI217,$CI$9:$CI$508,1),COUNT($CI$9:$CI$508)+1)))</f>
        <v/>
      </c>
      <c r="CK217" s="138" t="str">
        <f aca="false">IF($BX217&lt;&gt;Constants!$B$6,"",$AI217)</f>
        <v/>
      </c>
      <c r="CL217" s="135" t="str">
        <f aca="false">IF(ISBLANK($C217),"",IF($BX217&lt;&gt;Constants!$B$6,$BX217,IF(ISNUMBER($CK217),RANK($CK217,$CK$9:$CK$508,1),COUNT($CK$9:$CK$508)+1)))</f>
        <v/>
      </c>
      <c r="CM217" s="135" t="str">
        <f aca="false">IF(ISBLANK($C217),"",IF($BX217&lt;&gt;Constants!$B$6,$BX217,COUNTIFS($CD$9:$CD$508,"&lt;"&amp;$CD217)+COUNTIFS($CD$9:$CD$508,$CD217,$CF$9:$CF$508,"&lt;"&amp;$CF217)+COUNTIFS($CD$9:$CD$508,$CD217,$CF$9:$CF$508,$CF217,$CH$9:$CH$508,"&lt;"&amp;$CH217)+COUNTIFS($CD$9:$CD$508,$CD217,$CF$9:$CF$508,$CF217,$CH$9:$CH$508,$CH217,$CJ$9:$CJ$508,"&lt;"&amp;$CJ217)+COUNTIFS($CD$9:$CD$508,$CD217,$CF$9:$CF$508,$CF217,$CH$9:$CH$508,$CH217,$CJ$9:$CJ$508,$CJ217,$CL$9:$CL$508,"&lt;"&amp;$CL217)+1))</f>
        <v/>
      </c>
      <c r="CN217" s="135" t="str">
        <f aca="false">IF(ISBLANK($C217),"",IF($BX217&lt;&gt;Constants!$B$6,$BX217,$CD217-$CM217))</f>
        <v/>
      </c>
      <c r="CO217" s="141"/>
      <c r="CP217" s="142"/>
      <c r="CQ217" s="143" t="str">
        <f aca="false">IF(ISBLANK($C217),"",IF($BX217=Constants!$B$10,$BW217,""))</f>
        <v/>
      </c>
      <c r="CR217" s="142" t="str">
        <f aca="false">IF(ISBLANK($C217),"",IF($BX217&lt;&gt;Constants!$B$6,"",IF($BL217="-&gt;",2,1)))</f>
        <v/>
      </c>
      <c r="CS217" s="144" t="str">
        <f aca="false">IF(ISBLANK($C217),"",IF($BX217&lt;&gt;Constants!$B$6,"",IF($BL217="-&gt;",$BN217,$BC217)))</f>
        <v/>
      </c>
      <c r="CT217" s="144" t="str">
        <f aca="false">IF(ISBLANK($C217),"",IF($BX217&lt;&gt;Constants!$B$6,"",IF($BL217="-&gt;",$BO217,$BD217)))</f>
        <v/>
      </c>
      <c r="CU217" s="144" t="str">
        <f aca="false">IF(ISBLANK($C217),"",IF($BX217&lt;&gt;Constants!$B$6,"",IF($BL217="-&gt;",$BP217+$BQ217,$BE217+$BF217)+$CB217))</f>
        <v/>
      </c>
      <c r="CV217" s="144" t="str">
        <f aca="false">IF(ISBLANK($C217),"",IF($BX217&lt;&gt;Constants!$B$6,"",IF($BL217="-&gt;",$BR217,$BG217)+$CA217))</f>
        <v/>
      </c>
      <c r="CW217" s="145" t="str">
        <f aca="false">IF(ISBLANK($C217),"",IF($BX217&lt;&gt;Constants!$B$6,$BX217,$CC217))</f>
        <v/>
      </c>
      <c r="CX217" s="146" t="str">
        <f aca="false">IF(ISBLANK($C217),"",$BY217)</f>
        <v/>
      </c>
      <c r="CY217" s="147" t="str">
        <f aca="false">IF(ISBLANK($C217),"",$CN217)</f>
        <v/>
      </c>
      <c r="CZ217" s="147" t="str">
        <f aca="false">IF(ISBLANK($C217),"",$CM217)</f>
        <v/>
      </c>
      <c r="DA217" s="148" t="str">
        <f aca="false">IF(ISBLANK($C217),"",IFERROR(_xlfn.SWITCH($CZ217,Constants!$B$9,COUNTA($C$9:$C$508)+2,Constants!$B$8,COUNTA($C$9:$C$508)+1,Constants!$B$7,COUNTA($C$9:$C$508)),$CZ217))</f>
        <v/>
      </c>
      <c r="DB217" s="9"/>
      <c r="DC217" s="149" t="n">
        <f aca="false">IF(OR(ISNUMBER($CZ217),$CZ217=Constants!$B$9,$CZ217=Constants!$B$7,$CZ217=Constants!$B$8),1,0)</f>
        <v>0</v>
      </c>
      <c r="DD217" s="149" t="n">
        <v>209</v>
      </c>
      <c r="DE217" s="149" t="str">
        <f aca="false">IF(ISBLANK($C217),"",IF(ISNUMBER($DA217),$DA217+ROW($B217)/1000,""))</f>
        <v/>
      </c>
      <c r="DF217" s="149" t="str">
        <f aca="false">IF(ISNUMBER($DE217),RANK($DE217,$DE$9:$DE$508,1),"")</f>
        <v/>
      </c>
      <c r="DG217" s="149" t="str">
        <f aca="false">IF(ISBLANK($C217),"",$B217)</f>
        <v/>
      </c>
      <c r="DH217" s="149" t="str">
        <f aca="false">IF(ISBLANK($C217),"",$C217)</f>
        <v/>
      </c>
      <c r="DI217" s="149" t="str">
        <f aca="false">IF(ISBLANK($C217),"",$D217)</f>
        <v/>
      </c>
      <c r="DJ217" s="150" t="str">
        <f aca="false">$CX217</f>
        <v/>
      </c>
      <c r="DK217" s="151" t="str">
        <f aca="false">$CW217</f>
        <v/>
      </c>
      <c r="DL217" s="149" t="str">
        <f aca="false">IF(ISBLANK($C217),"",$CZ217)</f>
        <v/>
      </c>
      <c r="DM217" s="152" t="str">
        <f aca="false">IF($DD217&gt;$DC$8,"",VLOOKUP($DD217,$DF$9:$DL$508,7,FALSE()))</f>
        <v/>
      </c>
      <c r="DN217" s="153" t="str">
        <f aca="false">IF($DD217&gt;$DC$8,"",VLOOKUP($DD217,$DF$9:$DL$508,2,FALSE()))</f>
        <v/>
      </c>
      <c r="DO217" s="153" t="str">
        <f aca="false">IF($DD217&gt;$DC$8,"",VLOOKUP($DD217,$DF$9:$DL$508,3,FALSE()))</f>
        <v/>
      </c>
      <c r="DP217" s="153" t="str">
        <f aca="false">IF($DD217&gt;$DC$8,"",VLOOKUP($DD217,$DF$9:$DL$508,4,FALSE()))</f>
        <v/>
      </c>
      <c r="DQ217" s="153" t="str">
        <f aca="false">IF($DD217&gt;$DC$8,"",VLOOKUP($DD217,$DF$9:$DL$508,5,FALSE()))</f>
        <v/>
      </c>
      <c r="DR217" s="154" t="str">
        <f aca="false">IF($DD217&gt;$DC$8,"",VLOOKUP($DD217,$DF$9:$DL$508,6,FALSE()))</f>
        <v/>
      </c>
      <c r="DS217" s="76"/>
    </row>
    <row r="218" customFormat="false" ht="15.75" hidden="false" customHeight="false" outlineLevel="0" collapsed="false">
      <c r="A218" s="9"/>
      <c r="B218" s="160"/>
      <c r="C218" s="161"/>
      <c r="D218" s="162"/>
      <c r="E218" s="180"/>
      <c r="F218" s="164"/>
      <c r="G218" s="165"/>
      <c r="H218" s="165"/>
      <c r="I218" s="181"/>
      <c r="J218" s="168"/>
      <c r="K218" s="128"/>
      <c r="L218" s="129"/>
      <c r="M218" s="130"/>
      <c r="N218" s="168"/>
      <c r="O218" s="168"/>
      <c r="P218" s="180"/>
      <c r="Q218" s="168"/>
      <c r="R218" s="168"/>
      <c r="S218" s="128"/>
      <c r="T218" s="130"/>
      <c r="U218" s="130"/>
      <c r="V218" s="168"/>
      <c r="W218" s="168"/>
      <c r="X218" s="180"/>
      <c r="Y218" s="168"/>
      <c r="Z218" s="169"/>
      <c r="AA218" s="168"/>
      <c r="AB218" s="134"/>
      <c r="AC218" s="135"/>
      <c r="AD218" s="135"/>
      <c r="AE218" s="135"/>
      <c r="AF218" s="135" t="str">
        <f aca="false">IF(ISBLANK($C218),"",IF(E218=Constants!$B$2,TRUE(),IF(E218=Constants!$B$3,FALSE(),TRUE())))</f>
        <v/>
      </c>
      <c r="AG218" s="135" t="str">
        <f aca="false">IF(ISBLANK($C218),"",IF(F218=Constants!$B$2,TRUE(),IF(F218=Constants!$B$3,FALSE(),TRUE())))</f>
        <v/>
      </c>
      <c r="AH218" s="135" t="str">
        <f aca="false">IF(ISBLANK($C218),"",IF(G218=Constants!$B$2,TRUE(),IF(G218=Constants!$B$3,FALSE(),TRUE())))</f>
        <v/>
      </c>
      <c r="AI218" s="135" t="str">
        <f aca="false">IF(ISBLANK($C218),"",IF(AND(ISNUMBER(H218),H218&gt;=0),H218,Constants!$B$24))</f>
        <v/>
      </c>
      <c r="AJ218" s="135" t="str">
        <f aca="false">IF(ISBLANK($C218),"",IF(I218=Constants!$B$2,TRUE(),IF(I218=Constants!$B$3,FALSE(),TRUE())))</f>
        <v/>
      </c>
      <c r="AK218" s="135" t="str">
        <f aca="false">IF(ISBLANK($C218),"",IF(J218=Constants!$B$2,TRUE(),IF(J218=Constants!$B$3,FALSE(),TRUE())))</f>
        <v/>
      </c>
      <c r="AL218" s="135" t="str">
        <f aca="false">IF(ISBLANK($C218),"",IF(K218=Constants!$B$4,TRUE(),IF(K218=Constants!$B$5,FALSE(),COUNTA(L218:P218)&gt;0)))</f>
        <v/>
      </c>
      <c r="AM218" s="136" t="str">
        <f aca="false">IF(ISBLANK($C218),"",IF(ISNUMBER(L218),IF(L218&gt;=0,L218,""),""))</f>
        <v/>
      </c>
      <c r="AN218" s="137" t="str">
        <f aca="false">IF(ISBLANK($C218),"",IF(ISNUMBER(M218),IF(M218&gt;=0,M218,""),""))</f>
        <v/>
      </c>
      <c r="AO218" s="137" t="str">
        <f aca="false">IF(ISBLANK($C218),"",IF(N218=Constants!$B$2,TRUE(),IF(N218=Constants!$B$3,FALSE(),TRUE())))</f>
        <v/>
      </c>
      <c r="AP218" s="135" t="str">
        <f aca="false">IF(ISBLANK($C218),"",IF(ISNUMBER(O218),IF(O218&gt;=0,O218,""),""))</f>
        <v/>
      </c>
      <c r="AQ218" s="135" t="str">
        <f aca="false">IF(ISBLANK($C218),"",IF(P218=Constants!$B$2,TRUE(),IF(P218=Constants!$B$3,FALSE(),FALSE())))</f>
        <v/>
      </c>
      <c r="AR218" s="135" t="str">
        <f aca="false">IF(ISBLANK($C218),"",IF(Q218=Constants!$B$2,TRUE(),IF(Q218=Constants!$B$3,FALSE(),TRUE())))</f>
        <v/>
      </c>
      <c r="AS218" s="135" t="str">
        <f aca="false">IF(ISBLANK($C218),"",IF(R218=Constants!$B$2,TRUE(),IF(R218=Constants!$B$3,FALSE(),TRUE())))</f>
        <v/>
      </c>
      <c r="AT218" s="135" t="str">
        <f aca="false">IF(ISBLANK($C218),"",IF(S218=Constants!$B$4,TRUE(),IF(S218=Constants!$B$5,FALSE(),COUNTA(T218:X218)&gt;0)))</f>
        <v/>
      </c>
      <c r="AU218" s="136" t="str">
        <f aca="false">IF(ISBLANK($C218),"",IF(ISNUMBER(T218),IF(T218&gt;=0,T218,""),""))</f>
        <v/>
      </c>
      <c r="AV218" s="137" t="str">
        <f aca="false">IF(ISBLANK($C218),"",IF(ISNUMBER(U218),IF(U218&gt;=0,U218,""),""))</f>
        <v/>
      </c>
      <c r="AW218" s="137" t="str">
        <f aca="false">IF(ISBLANK($C218),"",IF(V218=Constants!$B$2,TRUE(),IF(V218=Constants!$B$3,FALSE(),TRUE())))</f>
        <v/>
      </c>
      <c r="AX218" s="135" t="str">
        <f aca="false">IF(ISBLANK($C218),"",IF(ISNUMBER(W218),IF(W218&gt;=0,W218,""),""))</f>
        <v/>
      </c>
      <c r="AY218" s="135" t="str">
        <f aca="false">IF(ISBLANK($C218),"",IF(X218=Constants!$B$2,TRUE(),IF(X218=Constants!$B$3,FALSE(),FALSE())))</f>
        <v/>
      </c>
      <c r="AZ218" s="135" t="str">
        <f aca="false">IF(ISBLANK($C218),"",MIN(Constants!$B$25,MAX(0,IF(ISNUMBER(Y218),Y218*60,0)+IF(ISNUMBER(Z218),Z218,0))))</f>
        <v/>
      </c>
      <c r="BA218" s="135" t="str">
        <f aca="false">IF(ISBLANK($C218),"",IF(AA218=Constants!$B$2,TRUE(),IF(AA218=Constants!$B$3,FALSE(),FALSE())))</f>
        <v/>
      </c>
      <c r="BB218" s="134" t="str">
        <f aca="false">IF(ISBLANK($C218),"",AND($AL218,OR($AM218="",$AN218="",AND($AO218,$AP218=""))))</f>
        <v/>
      </c>
      <c r="BC218" s="137" t="str">
        <f aca="false">IF($BX218&lt;&gt;Constants!$B$6,"",IF($AL218,Constants!$B$17*$AN218+Constants!$B$18*IF($AO218,$AP218,Constants!$B$19),Constants!$B$20))</f>
        <v/>
      </c>
      <c r="BD218" s="138" t="str">
        <f aca="false">IF($BX218&lt;&gt;Constants!$B$6,"",Constants!$B$21*ABS($AD$9-IF($AL218,$AM218,0)))</f>
        <v/>
      </c>
      <c r="BE218" s="138" t="str">
        <f aca="false">IF($BX218&lt;&gt;Constants!$B$6,"",IF(AND($AL218,$AQ218,$AO218),Constants!$B$22,0))</f>
        <v/>
      </c>
      <c r="BF218" s="138" t="str">
        <f aca="false">IF($BX218&lt;&gt;Constants!$B$6,"",IF($AL218,($AI218-Constants!$B$24)*Constants!$B$23,0))</f>
        <v/>
      </c>
      <c r="BG218" s="138" t="str">
        <f aca="false">IF($BX218&lt;&gt;Constants!$B$6,"",IF($AK218,0,Constants!$B$12)+IF($AJ218,0,Constants!$B$13)+IF($AH218,0,Constants!$B$14))</f>
        <v/>
      </c>
      <c r="BH218" s="139" t="str">
        <f aca="false">IF($BX218&lt;&gt;Constants!$B$6,"",Constants!$B$16+SUM($BC218:$BG218))</f>
        <v/>
      </c>
      <c r="BI218" s="138" t="str">
        <f aca="false">IF($BX218&lt;&gt;Constants!$B$6,"",$BC218)</f>
        <v/>
      </c>
      <c r="BJ218" s="138" t="str">
        <f aca="false">IF($BX218&lt;&gt;Constants!$B$6,"",$BD218)</f>
        <v/>
      </c>
      <c r="BK218" s="140" t="str">
        <f aca="false">IF($BX218&lt;&gt;Constants!$B$6,"",IF($AL218,$AN218,""))</f>
        <v/>
      </c>
      <c r="BL218" s="135" t="str">
        <f aca="false">IF($BX218&lt;&gt;Constants!$B$6,"",IF(OR($BS218&lt;$BH218,AND($BS218=$BH218,OR($BT218&lt;$BI218,AND($BT218=$BI218,OR($BU218&lt;$BJ218,AND($BU218=$BJ218,AND(ISNUMBER($BV218),OR(NOT(ISNUMBER($BK218)),$BV218&lt;$BK218)))))))),"-&gt;","&lt;-"))</f>
        <v/>
      </c>
      <c r="BM218" s="134" t="str">
        <f aca="false">IF(ISBLANK($C218),"",AND($AT218,OR($AU218="",$AV218="",AND($AW218,$AX218=""))))</f>
        <v/>
      </c>
      <c r="BN218" s="137" t="str">
        <f aca="false">IF($BX218&lt;&gt;Constants!$B$6,"",IF($AT218,Constants!$B$17*$AV218+Constants!$B$18*IF($AW218,$AX218,Constants!$B$19),Constants!$B$20))</f>
        <v/>
      </c>
      <c r="BO218" s="138" t="str">
        <f aca="false">IF($BX218&lt;&gt;Constants!$B$6,"",Constants!$B$21*ABS($AD$9-IF($AT218,$AU218,0)))</f>
        <v/>
      </c>
      <c r="BP218" s="138" t="str">
        <f aca="false">IF($BX218&lt;&gt;Constants!$B$6,"",IF(AND($AT218,$AY218,$AW218),Constants!$B$22,0))</f>
        <v/>
      </c>
      <c r="BQ218" s="138" t="str">
        <f aca="false">IF($BX218&lt;&gt;Constants!$B$6,"",IF($AT218,($AI218-Constants!$B$24)*Constants!$B$23,0))</f>
        <v/>
      </c>
      <c r="BR218" s="138" t="str">
        <f aca="false">IF($BX218&lt;&gt;Constants!$B$6,"",IF($AS218,0,Constants!$B$12)+IF($AR218,0,Constants!$B$13)+IF($AH218,0,Constants!$B$14))</f>
        <v/>
      </c>
      <c r="BS218" s="139" t="str">
        <f aca="false">IF($BX218&lt;&gt;Constants!$B$6,"",Constants!$B$16+SUM($BN218:$BR218))</f>
        <v/>
      </c>
      <c r="BT218" s="138" t="str">
        <f aca="false">IF($BX218&lt;&gt;Constants!$B$6,"",$BN218)</f>
        <v/>
      </c>
      <c r="BU218" s="138" t="str">
        <f aca="false">IF($BX218&lt;&gt;Constants!$B$6,"",$BO218)</f>
        <v/>
      </c>
      <c r="BV218" s="140" t="str">
        <f aca="false">IF($BX218&lt;&gt;Constants!$B$6,"",IF($AT218,$AV218,""))</f>
        <v/>
      </c>
      <c r="BW218" s="135" t="str">
        <f aca="false">IF(ISBLANK($C218),"",IF(ISBLANK($D$7),$BW$5,IF(NOT(ISNUMBER($D$7)),$BW$6,"")))</f>
        <v/>
      </c>
      <c r="BX218" s="135" t="str">
        <f aca="false">IF(ISBLANK($C218),"",IF($BA218,Constants!$B$9,IF(COUNTA($E218:$AA218)=0,Constants!$B$8,IF(NOT($AG218),Constants!$B$7,IF(OR($BW218&lt;&gt;"",$BB218,$BM218),Constants!$B$10,Constants!$B$6)))))</f>
        <v/>
      </c>
      <c r="BY218" s="135" t="str">
        <f aca="false">IF(ISBLANK($C218),"",IF($BX218&lt;&gt;Constants!$B$6,$BX218,Constants!$B$11))</f>
        <v/>
      </c>
      <c r="BZ218" s="138" t="str">
        <f aca="false">IF($BX218&lt;&gt;Constants!$B$6,"",IF($BL218="-&gt;",$BS218,$BH218))</f>
        <v/>
      </c>
      <c r="CA218" s="138" t="str">
        <f aca="false">IF($BX218&lt;&gt;Constants!$B$6,"",IF($AF218,0,Constants!$B$15))</f>
        <v/>
      </c>
      <c r="CB218" s="138" t="str">
        <f aca="false">IF($BX218&lt;&gt;Constants!$B$6,"",((Constants!$B$25-$AZ218)-Constants!$B$25)/Constants!$B$26)</f>
        <v/>
      </c>
      <c r="CC218" s="138" t="str">
        <f aca="false">IF(ISBLANK($C218),"",IF($BX218&lt;&gt;Constants!$B$6,$BX218,SUM($BZ218:$CB218)))</f>
        <v/>
      </c>
      <c r="CD218" s="135" t="str">
        <f aca="false">IF(ISBLANK($C218),"",IF($BX218&lt;&gt;Constants!$B$6,$BX218,RANK($CC218,$CC$9:$CC$508,1)))</f>
        <v/>
      </c>
      <c r="CE218" s="138" t="str">
        <f aca="false">IF($BX218&lt;&gt;Constants!$B$6,"",IF($BL218="-&gt;",$BT218,$BI218))</f>
        <v/>
      </c>
      <c r="CF218" s="135" t="str">
        <f aca="false">IF(ISBLANK($C218),"",IF($BX218&lt;&gt;Constants!$B$6,$BX218,IF(ISNUMBER($CE218),RANK($CE218,$CE$9:$CE$508,1),COUNT($CE$9:$CE$508)+1)))</f>
        <v/>
      </c>
      <c r="CG218" s="138" t="str">
        <f aca="false">IF($BX218&lt;&gt;Constants!$B$6,"",IF($BL218="-&gt;",$BU218,$BJ218))</f>
        <v/>
      </c>
      <c r="CH218" s="135" t="str">
        <f aca="false">IF(ISBLANK($C218),"",IF($BX218&lt;&gt;Constants!$B$6,$BX218,IF(ISNUMBER($CG218),RANK($CG218,$CG$9:$CG$508,1),COUNT($CG$9:$CG$508)+1)))</f>
        <v/>
      </c>
      <c r="CI218" s="138" t="str">
        <f aca="false">IF($BX218&lt;&gt;Constants!$B$6,"",IF($BL218="-&gt;",$BV218,$BK218))</f>
        <v/>
      </c>
      <c r="CJ218" s="135" t="str">
        <f aca="false">IF(ISBLANK($C218),"",IF($BX218&lt;&gt;Constants!$B$6,$BX218,IF(ISNUMBER($CI218),RANK($CI218,$CI$9:$CI$508,1),COUNT($CI$9:$CI$508)+1)))</f>
        <v/>
      </c>
      <c r="CK218" s="138" t="str">
        <f aca="false">IF($BX218&lt;&gt;Constants!$B$6,"",$AI218)</f>
        <v/>
      </c>
      <c r="CL218" s="135" t="str">
        <f aca="false">IF(ISBLANK($C218),"",IF($BX218&lt;&gt;Constants!$B$6,$BX218,IF(ISNUMBER($CK218),RANK($CK218,$CK$9:$CK$508,1),COUNT($CK$9:$CK$508)+1)))</f>
        <v/>
      </c>
      <c r="CM218" s="135" t="str">
        <f aca="false">IF(ISBLANK($C218),"",IF($BX218&lt;&gt;Constants!$B$6,$BX218,COUNTIFS($CD$9:$CD$508,"&lt;"&amp;$CD218)+COUNTIFS($CD$9:$CD$508,$CD218,$CF$9:$CF$508,"&lt;"&amp;$CF218)+COUNTIFS($CD$9:$CD$508,$CD218,$CF$9:$CF$508,$CF218,$CH$9:$CH$508,"&lt;"&amp;$CH218)+COUNTIFS($CD$9:$CD$508,$CD218,$CF$9:$CF$508,$CF218,$CH$9:$CH$508,$CH218,$CJ$9:$CJ$508,"&lt;"&amp;$CJ218)+COUNTIFS($CD$9:$CD$508,$CD218,$CF$9:$CF$508,$CF218,$CH$9:$CH$508,$CH218,$CJ$9:$CJ$508,$CJ218,$CL$9:$CL$508,"&lt;"&amp;$CL218)+1))</f>
        <v/>
      </c>
      <c r="CN218" s="135" t="str">
        <f aca="false">IF(ISBLANK($C218),"",IF($BX218&lt;&gt;Constants!$B$6,$BX218,$CD218-$CM218))</f>
        <v/>
      </c>
      <c r="CO218" s="141"/>
      <c r="CP218" s="142"/>
      <c r="CQ218" s="143" t="str">
        <f aca="false">IF(ISBLANK($C218),"",IF($BX218=Constants!$B$10,$BW218,""))</f>
        <v/>
      </c>
      <c r="CR218" s="142" t="str">
        <f aca="false">IF(ISBLANK($C218),"",IF($BX218&lt;&gt;Constants!$B$6,"",IF($BL218="-&gt;",2,1)))</f>
        <v/>
      </c>
      <c r="CS218" s="144" t="str">
        <f aca="false">IF(ISBLANK($C218),"",IF($BX218&lt;&gt;Constants!$B$6,"",IF($BL218="-&gt;",$BN218,$BC218)))</f>
        <v/>
      </c>
      <c r="CT218" s="144" t="str">
        <f aca="false">IF(ISBLANK($C218),"",IF($BX218&lt;&gt;Constants!$B$6,"",IF($BL218="-&gt;",$BO218,$BD218)))</f>
        <v/>
      </c>
      <c r="CU218" s="144" t="str">
        <f aca="false">IF(ISBLANK($C218),"",IF($BX218&lt;&gt;Constants!$B$6,"",IF($BL218="-&gt;",$BP218+$BQ218,$BE218+$BF218)+$CB218))</f>
        <v/>
      </c>
      <c r="CV218" s="144" t="str">
        <f aca="false">IF(ISBLANK($C218),"",IF($BX218&lt;&gt;Constants!$B$6,"",IF($BL218="-&gt;",$BR218,$BG218)+$CA218))</f>
        <v/>
      </c>
      <c r="CW218" s="145" t="str">
        <f aca="false">IF(ISBLANK($C218),"",IF($BX218&lt;&gt;Constants!$B$6,$BX218,$CC218))</f>
        <v/>
      </c>
      <c r="CX218" s="146" t="str">
        <f aca="false">IF(ISBLANK($C218),"",$BY218)</f>
        <v/>
      </c>
      <c r="CY218" s="147" t="str">
        <f aca="false">IF(ISBLANK($C218),"",$CN218)</f>
        <v/>
      </c>
      <c r="CZ218" s="147" t="str">
        <f aca="false">IF(ISBLANK($C218),"",$CM218)</f>
        <v/>
      </c>
      <c r="DA218" s="148" t="str">
        <f aca="false">IF(ISBLANK($C218),"",IFERROR(_xlfn.SWITCH($CZ218,Constants!$B$9,COUNTA($C$9:$C$508)+2,Constants!$B$8,COUNTA($C$9:$C$508)+1,Constants!$B$7,COUNTA($C$9:$C$508)),$CZ218))</f>
        <v/>
      </c>
      <c r="DB218" s="9"/>
      <c r="DC218" s="149" t="n">
        <f aca="false">IF(OR(ISNUMBER($CZ218),$CZ218=Constants!$B$9,$CZ218=Constants!$B$7,$CZ218=Constants!$B$8),1,0)</f>
        <v>0</v>
      </c>
      <c r="DD218" s="149" t="n">
        <v>210</v>
      </c>
      <c r="DE218" s="149" t="str">
        <f aca="false">IF(ISBLANK($C218),"",IF(ISNUMBER($DA218),$DA218+ROW($B218)/1000,""))</f>
        <v/>
      </c>
      <c r="DF218" s="149" t="str">
        <f aca="false">IF(ISNUMBER($DE218),RANK($DE218,$DE$9:$DE$508,1),"")</f>
        <v/>
      </c>
      <c r="DG218" s="149" t="str">
        <f aca="false">IF(ISBLANK($C218),"",$B218)</f>
        <v/>
      </c>
      <c r="DH218" s="149" t="str">
        <f aca="false">IF(ISBLANK($C218),"",$C218)</f>
        <v/>
      </c>
      <c r="DI218" s="149" t="str">
        <f aca="false">IF(ISBLANK($C218),"",$D218)</f>
        <v/>
      </c>
      <c r="DJ218" s="150" t="str">
        <f aca="false">$CX218</f>
        <v/>
      </c>
      <c r="DK218" s="151" t="str">
        <f aca="false">$CW218</f>
        <v/>
      </c>
      <c r="DL218" s="149" t="str">
        <f aca="false">IF(ISBLANK($C218),"",$CZ218)</f>
        <v/>
      </c>
      <c r="DM218" s="152" t="str">
        <f aca="false">IF($DD218&gt;$DC$8,"",VLOOKUP($DD218,$DF$9:$DL$508,7,FALSE()))</f>
        <v/>
      </c>
      <c r="DN218" s="153" t="str">
        <f aca="false">IF($DD218&gt;$DC$8,"",VLOOKUP($DD218,$DF$9:$DL$508,2,FALSE()))</f>
        <v/>
      </c>
      <c r="DO218" s="153" t="str">
        <f aca="false">IF($DD218&gt;$DC$8,"",VLOOKUP($DD218,$DF$9:$DL$508,3,FALSE()))</f>
        <v/>
      </c>
      <c r="DP218" s="153" t="str">
        <f aca="false">IF($DD218&gt;$DC$8,"",VLOOKUP($DD218,$DF$9:$DL$508,4,FALSE()))</f>
        <v/>
      </c>
      <c r="DQ218" s="153" t="str">
        <f aca="false">IF($DD218&gt;$DC$8,"",VLOOKUP($DD218,$DF$9:$DL$508,5,FALSE()))</f>
        <v/>
      </c>
      <c r="DR218" s="154" t="str">
        <f aca="false">IF($DD218&gt;$DC$8,"",VLOOKUP($DD218,$DF$9:$DL$508,6,FALSE()))</f>
        <v/>
      </c>
      <c r="DS218" s="76"/>
    </row>
    <row r="219" customFormat="false" ht="15.75" hidden="false" customHeight="false" outlineLevel="0" collapsed="false">
      <c r="A219" s="9"/>
      <c r="B219" s="78"/>
      <c r="C219" s="79"/>
      <c r="D219" s="170"/>
      <c r="E219" s="178"/>
      <c r="F219" s="172"/>
      <c r="G219" s="173"/>
      <c r="H219" s="173"/>
      <c r="I219" s="179"/>
      <c r="J219" s="176"/>
      <c r="K219" s="86"/>
      <c r="L219" s="87"/>
      <c r="M219" s="88"/>
      <c r="N219" s="176"/>
      <c r="O219" s="176"/>
      <c r="P219" s="178"/>
      <c r="Q219" s="176"/>
      <c r="R219" s="176"/>
      <c r="S219" s="86"/>
      <c r="T219" s="88"/>
      <c r="U219" s="88"/>
      <c r="V219" s="176"/>
      <c r="W219" s="176"/>
      <c r="X219" s="178"/>
      <c r="Y219" s="176"/>
      <c r="Z219" s="177"/>
      <c r="AA219" s="176"/>
      <c r="AB219" s="92"/>
      <c r="AC219" s="93"/>
      <c r="AD219" s="93"/>
      <c r="AE219" s="93"/>
      <c r="AF219" s="93" t="str">
        <f aca="false">IF(ISBLANK($C219),"",IF(E219=Constants!$B$2,TRUE(),IF(E219=Constants!$B$3,FALSE(),TRUE())))</f>
        <v/>
      </c>
      <c r="AG219" s="93" t="str">
        <f aca="false">IF(ISBLANK($C219),"",IF(F219=Constants!$B$2,TRUE(),IF(F219=Constants!$B$3,FALSE(),TRUE())))</f>
        <v/>
      </c>
      <c r="AH219" s="93" t="str">
        <f aca="false">IF(ISBLANK($C219),"",IF(G219=Constants!$B$2,TRUE(),IF(G219=Constants!$B$3,FALSE(),TRUE())))</f>
        <v/>
      </c>
      <c r="AI219" s="93" t="str">
        <f aca="false">IF(ISBLANK($C219),"",IF(AND(ISNUMBER(H219),H219&gt;=0),H219,Constants!$B$24))</f>
        <v/>
      </c>
      <c r="AJ219" s="93" t="str">
        <f aca="false">IF(ISBLANK($C219),"",IF(I219=Constants!$B$2,TRUE(),IF(I219=Constants!$B$3,FALSE(),TRUE())))</f>
        <v/>
      </c>
      <c r="AK219" s="93" t="str">
        <f aca="false">IF(ISBLANK($C219),"",IF(J219=Constants!$B$2,TRUE(),IF(J219=Constants!$B$3,FALSE(),TRUE())))</f>
        <v/>
      </c>
      <c r="AL219" s="93" t="str">
        <f aca="false">IF(ISBLANK($C219),"",IF(K219=Constants!$B$4,TRUE(),IF(K219=Constants!$B$5,FALSE(),COUNTA(L219:P219)&gt;0)))</f>
        <v/>
      </c>
      <c r="AM219" s="95" t="str">
        <f aca="false">IF(ISBLANK($C219),"",IF(ISNUMBER(L219),IF(L219&gt;=0,L219,""),""))</f>
        <v/>
      </c>
      <c r="AN219" s="94" t="str">
        <f aca="false">IF(ISBLANK($C219),"",IF(ISNUMBER(M219),IF(M219&gt;=0,M219,""),""))</f>
        <v/>
      </c>
      <c r="AO219" s="94" t="str">
        <f aca="false">IF(ISBLANK($C219),"",IF(N219=Constants!$B$2,TRUE(),IF(N219=Constants!$B$3,FALSE(),TRUE())))</f>
        <v/>
      </c>
      <c r="AP219" s="93" t="str">
        <f aca="false">IF(ISBLANK($C219),"",IF(ISNUMBER(O219),IF(O219&gt;=0,O219,""),""))</f>
        <v/>
      </c>
      <c r="AQ219" s="93" t="str">
        <f aca="false">IF(ISBLANK($C219),"",IF(P219=Constants!$B$2,TRUE(),IF(P219=Constants!$B$3,FALSE(),FALSE())))</f>
        <v/>
      </c>
      <c r="AR219" s="93" t="str">
        <f aca="false">IF(ISBLANK($C219),"",IF(Q219=Constants!$B$2,TRUE(),IF(Q219=Constants!$B$3,FALSE(),TRUE())))</f>
        <v/>
      </c>
      <c r="AS219" s="93" t="str">
        <f aca="false">IF(ISBLANK($C219),"",IF(R219=Constants!$B$2,TRUE(),IF(R219=Constants!$B$3,FALSE(),TRUE())))</f>
        <v/>
      </c>
      <c r="AT219" s="93" t="str">
        <f aca="false">IF(ISBLANK($C219),"",IF(S219=Constants!$B$4,TRUE(),IF(S219=Constants!$B$5,FALSE(),COUNTA(T219:X219)&gt;0)))</f>
        <v/>
      </c>
      <c r="AU219" s="95" t="str">
        <f aca="false">IF(ISBLANK($C219),"",IF(ISNUMBER(T219),IF(T219&gt;=0,T219,""),""))</f>
        <v/>
      </c>
      <c r="AV219" s="94" t="str">
        <f aca="false">IF(ISBLANK($C219),"",IF(ISNUMBER(U219),IF(U219&gt;=0,U219,""),""))</f>
        <v/>
      </c>
      <c r="AW219" s="94" t="str">
        <f aca="false">IF(ISBLANK($C219),"",IF(V219=Constants!$B$2,TRUE(),IF(V219=Constants!$B$3,FALSE(),TRUE())))</f>
        <v/>
      </c>
      <c r="AX219" s="93" t="str">
        <f aca="false">IF(ISBLANK($C219),"",IF(ISNUMBER(W219),IF(W219&gt;=0,W219,""),""))</f>
        <v/>
      </c>
      <c r="AY219" s="93" t="str">
        <f aca="false">IF(ISBLANK($C219),"",IF(X219=Constants!$B$2,TRUE(),IF(X219=Constants!$B$3,FALSE(),FALSE())))</f>
        <v/>
      </c>
      <c r="AZ219" s="93" t="str">
        <f aca="false">IF(ISBLANK($C219),"",MIN(Constants!$B$25,MAX(0,IF(ISNUMBER(Y219),Y219*60,0)+IF(ISNUMBER(Z219),Z219,0))))</f>
        <v/>
      </c>
      <c r="BA219" s="93" t="str">
        <f aca="false">IF(ISBLANK($C219),"",IF(AA219=Constants!$B$2,TRUE(),IF(AA219=Constants!$B$3,FALSE(),FALSE())))</f>
        <v/>
      </c>
      <c r="BB219" s="92" t="str">
        <f aca="false">IF(ISBLANK($C219),"",AND($AL219,OR($AM219="",$AN219="",AND($AO219,$AP219=""))))</f>
        <v/>
      </c>
      <c r="BC219" s="94" t="str">
        <f aca="false">IF($BX219&lt;&gt;Constants!$B$6,"",IF($AL219,Constants!$B$17*$AN219+Constants!$B$18*IF($AO219,$AP219,Constants!$B$19),Constants!$B$20))</f>
        <v/>
      </c>
      <c r="BD219" s="97" t="str">
        <f aca="false">IF($BX219&lt;&gt;Constants!$B$6,"",Constants!$B$21*ABS($AD$9-IF($AL219,$AM219,0)))</f>
        <v/>
      </c>
      <c r="BE219" s="97" t="str">
        <f aca="false">IF($BX219&lt;&gt;Constants!$B$6,"",IF(AND($AL219,$AQ219,$AO219),Constants!$B$22,0))</f>
        <v/>
      </c>
      <c r="BF219" s="97" t="str">
        <f aca="false">IF($BX219&lt;&gt;Constants!$B$6,"",IF($AL219,($AI219-Constants!$B$24)*Constants!$B$23,0))</f>
        <v/>
      </c>
      <c r="BG219" s="97" t="str">
        <f aca="false">IF($BX219&lt;&gt;Constants!$B$6,"",IF($AK219,0,Constants!$B$12)+IF($AJ219,0,Constants!$B$13)+IF($AH219,0,Constants!$B$14))</f>
        <v/>
      </c>
      <c r="BH219" s="98" t="str">
        <f aca="false">IF($BX219&lt;&gt;Constants!$B$6,"",Constants!$B$16+SUM($BC219:$BG219))</f>
        <v/>
      </c>
      <c r="BI219" s="97" t="str">
        <f aca="false">IF($BX219&lt;&gt;Constants!$B$6,"",$BC219)</f>
        <v/>
      </c>
      <c r="BJ219" s="97" t="str">
        <f aca="false">IF($BX219&lt;&gt;Constants!$B$6,"",$BD219)</f>
        <v/>
      </c>
      <c r="BK219" s="99" t="str">
        <f aca="false">IF($BX219&lt;&gt;Constants!$B$6,"",IF($AL219,$AN219,""))</f>
        <v/>
      </c>
      <c r="BL219" s="93" t="str">
        <f aca="false">IF($BX219&lt;&gt;Constants!$B$6,"",IF(OR($BS219&lt;$BH219,AND($BS219=$BH219,OR($BT219&lt;$BI219,AND($BT219=$BI219,OR($BU219&lt;$BJ219,AND($BU219=$BJ219,AND(ISNUMBER($BV219),OR(NOT(ISNUMBER($BK219)),$BV219&lt;$BK219)))))))),"-&gt;","&lt;-"))</f>
        <v/>
      </c>
      <c r="BM219" s="92" t="str">
        <f aca="false">IF(ISBLANK($C219),"",AND($AT219,OR($AU219="",$AV219="",AND($AW219,$AX219=""))))</f>
        <v/>
      </c>
      <c r="BN219" s="94" t="str">
        <f aca="false">IF($BX219&lt;&gt;Constants!$B$6,"",IF($AT219,Constants!$B$17*$AV219+Constants!$B$18*IF($AW219,$AX219,Constants!$B$19),Constants!$B$20))</f>
        <v/>
      </c>
      <c r="BO219" s="97" t="str">
        <f aca="false">IF($BX219&lt;&gt;Constants!$B$6,"",Constants!$B$21*ABS($AD$9-IF($AT219,$AU219,0)))</f>
        <v/>
      </c>
      <c r="BP219" s="97" t="str">
        <f aca="false">IF($BX219&lt;&gt;Constants!$B$6,"",IF(AND($AT219,$AY219,$AW219),Constants!$B$22,0))</f>
        <v/>
      </c>
      <c r="BQ219" s="97" t="str">
        <f aca="false">IF($BX219&lt;&gt;Constants!$B$6,"",IF($AT219,($AI219-Constants!$B$24)*Constants!$B$23,0))</f>
        <v/>
      </c>
      <c r="BR219" s="97" t="str">
        <f aca="false">IF($BX219&lt;&gt;Constants!$B$6,"",IF($AS219,0,Constants!$B$12)+IF($AR219,0,Constants!$B$13)+IF($AH219,0,Constants!$B$14))</f>
        <v/>
      </c>
      <c r="BS219" s="98" t="str">
        <f aca="false">IF($BX219&lt;&gt;Constants!$B$6,"",Constants!$B$16+SUM($BN219:$BR219))</f>
        <v/>
      </c>
      <c r="BT219" s="97" t="str">
        <f aca="false">IF($BX219&lt;&gt;Constants!$B$6,"",$BN219)</f>
        <v/>
      </c>
      <c r="BU219" s="97" t="str">
        <f aca="false">IF($BX219&lt;&gt;Constants!$B$6,"",$BO219)</f>
        <v/>
      </c>
      <c r="BV219" s="99" t="str">
        <f aca="false">IF($BX219&lt;&gt;Constants!$B$6,"",IF($AT219,$AV219,""))</f>
        <v/>
      </c>
      <c r="BW219" s="93" t="str">
        <f aca="false">IF(ISBLANK($C219),"",IF(ISBLANK($D$7),$BW$5,IF(NOT(ISNUMBER($D$7)),$BW$6,"")))</f>
        <v/>
      </c>
      <c r="BX219" s="93" t="str">
        <f aca="false">IF(ISBLANK($C219),"",IF($BA219,Constants!$B$9,IF(COUNTA($E219:$AA219)=0,Constants!$B$8,IF(NOT($AG219),Constants!$B$7,IF(OR($BW219&lt;&gt;"",$BB219,$BM219),Constants!$B$10,Constants!$B$6)))))</f>
        <v/>
      </c>
      <c r="BY219" s="93" t="str">
        <f aca="false">IF(ISBLANK($C219),"",IF($BX219&lt;&gt;Constants!$B$6,$BX219,Constants!$B$11))</f>
        <v/>
      </c>
      <c r="BZ219" s="97" t="str">
        <f aca="false">IF($BX219&lt;&gt;Constants!$B$6,"",IF($BL219="-&gt;",$BS219,$BH219))</f>
        <v/>
      </c>
      <c r="CA219" s="97" t="str">
        <f aca="false">IF($BX219&lt;&gt;Constants!$B$6,"",IF($AF219,0,Constants!$B$15))</f>
        <v/>
      </c>
      <c r="CB219" s="97" t="str">
        <f aca="false">IF($BX219&lt;&gt;Constants!$B$6,"",((Constants!$B$25-$AZ219)-Constants!$B$25)/Constants!$B$26)</f>
        <v/>
      </c>
      <c r="CC219" s="97" t="str">
        <f aca="false">IF(ISBLANK($C219),"",IF($BX219&lt;&gt;Constants!$B$6,$BX219,SUM($BZ219:$CB219)))</f>
        <v/>
      </c>
      <c r="CD219" s="93" t="str">
        <f aca="false">IF(ISBLANK($C219),"",IF($BX219&lt;&gt;Constants!$B$6,$BX219,RANK($CC219,$CC$9:$CC$508,1)))</f>
        <v/>
      </c>
      <c r="CE219" s="97" t="str">
        <f aca="false">IF($BX219&lt;&gt;Constants!$B$6,"",IF($BL219="-&gt;",$BT219,$BI219))</f>
        <v/>
      </c>
      <c r="CF219" s="93" t="str">
        <f aca="false">IF(ISBLANK($C219),"",IF($BX219&lt;&gt;Constants!$B$6,$BX219,IF(ISNUMBER($CE219),RANK($CE219,$CE$9:$CE$508,1),COUNT($CE$9:$CE$508)+1)))</f>
        <v/>
      </c>
      <c r="CG219" s="97" t="str">
        <f aca="false">IF($BX219&lt;&gt;Constants!$B$6,"",IF($BL219="-&gt;",$BU219,$BJ219))</f>
        <v/>
      </c>
      <c r="CH219" s="93" t="str">
        <f aca="false">IF(ISBLANK($C219),"",IF($BX219&lt;&gt;Constants!$B$6,$BX219,IF(ISNUMBER($CG219),RANK($CG219,$CG$9:$CG$508,1),COUNT($CG$9:$CG$508)+1)))</f>
        <v/>
      </c>
      <c r="CI219" s="97" t="str">
        <f aca="false">IF($BX219&lt;&gt;Constants!$B$6,"",IF($BL219="-&gt;",$BV219,$BK219))</f>
        <v/>
      </c>
      <c r="CJ219" s="93" t="str">
        <f aca="false">IF(ISBLANK($C219),"",IF($BX219&lt;&gt;Constants!$B$6,$BX219,IF(ISNUMBER($CI219),RANK($CI219,$CI$9:$CI$508,1),COUNT($CI$9:$CI$508)+1)))</f>
        <v/>
      </c>
      <c r="CK219" s="97" t="str">
        <f aca="false">IF($BX219&lt;&gt;Constants!$B$6,"",$AI219)</f>
        <v/>
      </c>
      <c r="CL219" s="93" t="str">
        <f aca="false">IF(ISBLANK($C219),"",IF($BX219&lt;&gt;Constants!$B$6,$BX219,IF(ISNUMBER($CK219),RANK($CK219,$CK$9:$CK$508,1),COUNT($CK$9:$CK$508)+1)))</f>
        <v/>
      </c>
      <c r="CM219" s="93" t="str">
        <f aca="false">IF(ISBLANK($C219),"",IF($BX219&lt;&gt;Constants!$B$6,$BX219,COUNTIFS($CD$9:$CD$508,"&lt;"&amp;$CD219)+COUNTIFS($CD$9:$CD$508,$CD219,$CF$9:$CF$508,"&lt;"&amp;$CF219)+COUNTIFS($CD$9:$CD$508,$CD219,$CF$9:$CF$508,$CF219,$CH$9:$CH$508,"&lt;"&amp;$CH219)+COUNTIFS($CD$9:$CD$508,$CD219,$CF$9:$CF$508,$CF219,$CH$9:$CH$508,$CH219,$CJ$9:$CJ$508,"&lt;"&amp;$CJ219)+COUNTIFS($CD$9:$CD$508,$CD219,$CF$9:$CF$508,$CF219,$CH$9:$CH$508,$CH219,$CJ$9:$CJ$508,$CJ219,$CL$9:$CL$508,"&lt;"&amp;$CL219)+1))</f>
        <v/>
      </c>
      <c r="CN219" s="93" t="str">
        <f aca="false">IF(ISBLANK($C219),"",IF($BX219&lt;&gt;Constants!$B$6,$BX219,$CD219-$CM219))</f>
        <v/>
      </c>
      <c r="CO219" s="100"/>
      <c r="CP219" s="101"/>
      <c r="CQ219" s="102" t="str">
        <f aca="false">IF(ISBLANK($C219),"",IF($BX219=Constants!$B$10,$BW219,""))</f>
        <v/>
      </c>
      <c r="CR219" s="101" t="str">
        <f aca="false">IF(ISBLANK($C219),"",IF($BX219&lt;&gt;Constants!$B$6,"",IF($BL219="-&gt;",2,1)))</f>
        <v/>
      </c>
      <c r="CS219" s="103" t="str">
        <f aca="false">IF(ISBLANK($C219),"",IF($BX219&lt;&gt;Constants!$B$6,"",IF($BL219="-&gt;",$BN219,$BC219)))</f>
        <v/>
      </c>
      <c r="CT219" s="103" t="str">
        <f aca="false">IF(ISBLANK($C219),"",IF($BX219&lt;&gt;Constants!$B$6,"",IF($BL219="-&gt;",$BO219,$BD219)))</f>
        <v/>
      </c>
      <c r="CU219" s="103" t="str">
        <f aca="false">IF(ISBLANK($C219),"",IF($BX219&lt;&gt;Constants!$B$6,"",IF($BL219="-&gt;",$BP219+$BQ219,$BE219+$BF219)+$CB219))</f>
        <v/>
      </c>
      <c r="CV219" s="103" t="str">
        <f aca="false">IF(ISBLANK($C219),"",IF($BX219&lt;&gt;Constants!$B$6,"",IF($BL219="-&gt;",$BR219,$BG219)+$CA219))</f>
        <v/>
      </c>
      <c r="CW219" s="104" t="str">
        <f aca="false">IF(ISBLANK($C219),"",IF($BX219&lt;&gt;Constants!$B$6,$BX219,$CC219))</f>
        <v/>
      </c>
      <c r="CX219" s="105" t="str">
        <f aca="false">IF(ISBLANK($C219),"",$BY219)</f>
        <v/>
      </c>
      <c r="CY219" s="106" t="str">
        <f aca="false">IF(ISBLANK($C219),"",$CN219)</f>
        <v/>
      </c>
      <c r="CZ219" s="106" t="str">
        <f aca="false">IF(ISBLANK($C219),"",$CM219)</f>
        <v/>
      </c>
      <c r="DA219" s="107" t="str">
        <f aca="false">IF(ISBLANK($C219),"",IFERROR(_xlfn.SWITCH($CZ219,Constants!$B$9,COUNTA($C$9:$C$508)+2,Constants!$B$8,COUNTA($C$9:$C$508)+1,Constants!$B$7,COUNTA($C$9:$C$508)),$CZ219))</f>
        <v/>
      </c>
      <c r="DB219" s="9"/>
      <c r="DC219" s="108" t="n">
        <f aca="false">IF(OR(ISNUMBER($CZ219),$CZ219=Constants!$B$9,$CZ219=Constants!$B$7,$CZ219=Constants!$B$8),1,0)</f>
        <v>0</v>
      </c>
      <c r="DD219" s="108" t="n">
        <v>211</v>
      </c>
      <c r="DE219" s="108" t="str">
        <f aca="false">IF(ISBLANK($C219),"",IF(ISNUMBER($DA219),$DA219+ROW($B219)/1000,""))</f>
        <v/>
      </c>
      <c r="DF219" s="108" t="str">
        <f aca="false">IF(ISNUMBER($DE219),RANK($DE219,$DE$9:$DE$508,1),"")</f>
        <v/>
      </c>
      <c r="DG219" s="108" t="str">
        <f aca="false">IF(ISBLANK($C219),"",$B219)</f>
        <v/>
      </c>
      <c r="DH219" s="108" t="str">
        <f aca="false">IF(ISBLANK($C219),"",$C219)</f>
        <v/>
      </c>
      <c r="DI219" s="108" t="str">
        <f aca="false">IF(ISBLANK($C219),"",$D219)</f>
        <v/>
      </c>
      <c r="DJ219" s="109" t="str">
        <f aca="false">$CX219</f>
        <v/>
      </c>
      <c r="DK219" s="110" t="str">
        <f aca="false">$CW219</f>
        <v/>
      </c>
      <c r="DL219" s="108" t="str">
        <f aca="false">IF(ISBLANK($C219),"",$CZ219)</f>
        <v/>
      </c>
      <c r="DM219" s="111" t="str">
        <f aca="false">IF($DD219&gt;$DC$8,"",VLOOKUP($DD219,$DF$9:$DL$508,7,FALSE()))</f>
        <v/>
      </c>
      <c r="DN219" s="112" t="str">
        <f aca="false">IF($DD219&gt;$DC$8,"",VLOOKUP($DD219,$DF$9:$DL$508,2,FALSE()))</f>
        <v/>
      </c>
      <c r="DO219" s="112" t="str">
        <f aca="false">IF($DD219&gt;$DC$8,"",VLOOKUP($DD219,$DF$9:$DL$508,3,FALSE()))</f>
        <v/>
      </c>
      <c r="DP219" s="112" t="str">
        <f aca="false">IF($DD219&gt;$DC$8,"",VLOOKUP($DD219,$DF$9:$DL$508,4,FALSE()))</f>
        <v/>
      </c>
      <c r="DQ219" s="112" t="str">
        <f aca="false">IF($DD219&gt;$DC$8,"",VLOOKUP($DD219,$DF$9:$DL$508,5,FALSE()))</f>
        <v/>
      </c>
      <c r="DR219" s="113" t="str">
        <f aca="false">IF($DD219&gt;$DC$8,"",VLOOKUP($DD219,$DF$9:$DL$508,6,FALSE()))</f>
        <v/>
      </c>
      <c r="DS219" s="76"/>
    </row>
    <row r="220" customFormat="false" ht="15.75" hidden="false" customHeight="false" outlineLevel="0" collapsed="false">
      <c r="A220" s="9"/>
      <c r="B220" s="78"/>
      <c r="C220" s="79"/>
      <c r="D220" s="170"/>
      <c r="E220" s="178"/>
      <c r="F220" s="172"/>
      <c r="G220" s="173"/>
      <c r="H220" s="173"/>
      <c r="I220" s="179"/>
      <c r="J220" s="176"/>
      <c r="K220" s="86"/>
      <c r="L220" s="87"/>
      <c r="M220" s="88"/>
      <c r="N220" s="176"/>
      <c r="O220" s="176"/>
      <c r="P220" s="178"/>
      <c r="Q220" s="176"/>
      <c r="R220" s="176"/>
      <c r="S220" s="86"/>
      <c r="T220" s="88"/>
      <c r="U220" s="88"/>
      <c r="V220" s="176"/>
      <c r="W220" s="176"/>
      <c r="X220" s="178"/>
      <c r="Y220" s="176"/>
      <c r="Z220" s="177"/>
      <c r="AA220" s="176"/>
      <c r="AB220" s="92"/>
      <c r="AC220" s="93"/>
      <c r="AD220" s="93"/>
      <c r="AE220" s="93"/>
      <c r="AF220" s="93" t="str">
        <f aca="false">IF(ISBLANK($C220),"",IF(E220=Constants!$B$2,TRUE(),IF(E220=Constants!$B$3,FALSE(),TRUE())))</f>
        <v/>
      </c>
      <c r="AG220" s="93" t="str">
        <f aca="false">IF(ISBLANK($C220),"",IF(F220=Constants!$B$2,TRUE(),IF(F220=Constants!$B$3,FALSE(),TRUE())))</f>
        <v/>
      </c>
      <c r="AH220" s="93" t="str">
        <f aca="false">IF(ISBLANK($C220),"",IF(G220=Constants!$B$2,TRUE(),IF(G220=Constants!$B$3,FALSE(),TRUE())))</f>
        <v/>
      </c>
      <c r="AI220" s="93" t="str">
        <f aca="false">IF(ISBLANK($C220),"",IF(AND(ISNUMBER(H220),H220&gt;=0),H220,Constants!$B$24))</f>
        <v/>
      </c>
      <c r="AJ220" s="93" t="str">
        <f aca="false">IF(ISBLANK($C220),"",IF(I220=Constants!$B$2,TRUE(),IF(I220=Constants!$B$3,FALSE(),TRUE())))</f>
        <v/>
      </c>
      <c r="AK220" s="93" t="str">
        <f aca="false">IF(ISBLANK($C220),"",IF(J220=Constants!$B$2,TRUE(),IF(J220=Constants!$B$3,FALSE(),TRUE())))</f>
        <v/>
      </c>
      <c r="AL220" s="93" t="str">
        <f aca="false">IF(ISBLANK($C220),"",IF(K220=Constants!$B$4,TRUE(),IF(K220=Constants!$B$5,FALSE(),COUNTA(L220:P220)&gt;0)))</f>
        <v/>
      </c>
      <c r="AM220" s="95" t="str">
        <f aca="false">IF(ISBLANK($C220),"",IF(ISNUMBER(L220),IF(L220&gt;=0,L220,""),""))</f>
        <v/>
      </c>
      <c r="AN220" s="94" t="str">
        <f aca="false">IF(ISBLANK($C220),"",IF(ISNUMBER(M220),IF(M220&gt;=0,M220,""),""))</f>
        <v/>
      </c>
      <c r="AO220" s="94" t="str">
        <f aca="false">IF(ISBLANK($C220),"",IF(N220=Constants!$B$2,TRUE(),IF(N220=Constants!$B$3,FALSE(),TRUE())))</f>
        <v/>
      </c>
      <c r="AP220" s="93" t="str">
        <f aca="false">IF(ISBLANK($C220),"",IF(ISNUMBER(O220),IF(O220&gt;=0,O220,""),""))</f>
        <v/>
      </c>
      <c r="AQ220" s="93" t="str">
        <f aca="false">IF(ISBLANK($C220),"",IF(P220=Constants!$B$2,TRUE(),IF(P220=Constants!$B$3,FALSE(),FALSE())))</f>
        <v/>
      </c>
      <c r="AR220" s="93" t="str">
        <f aca="false">IF(ISBLANK($C220),"",IF(Q220=Constants!$B$2,TRUE(),IF(Q220=Constants!$B$3,FALSE(),TRUE())))</f>
        <v/>
      </c>
      <c r="AS220" s="93" t="str">
        <f aca="false">IF(ISBLANK($C220),"",IF(R220=Constants!$B$2,TRUE(),IF(R220=Constants!$B$3,FALSE(),TRUE())))</f>
        <v/>
      </c>
      <c r="AT220" s="93" t="str">
        <f aca="false">IF(ISBLANK($C220),"",IF(S220=Constants!$B$4,TRUE(),IF(S220=Constants!$B$5,FALSE(),COUNTA(T220:X220)&gt;0)))</f>
        <v/>
      </c>
      <c r="AU220" s="95" t="str">
        <f aca="false">IF(ISBLANK($C220),"",IF(ISNUMBER(T220),IF(T220&gt;=0,T220,""),""))</f>
        <v/>
      </c>
      <c r="AV220" s="94" t="str">
        <f aca="false">IF(ISBLANK($C220),"",IF(ISNUMBER(U220),IF(U220&gt;=0,U220,""),""))</f>
        <v/>
      </c>
      <c r="AW220" s="94" t="str">
        <f aca="false">IF(ISBLANK($C220),"",IF(V220=Constants!$B$2,TRUE(),IF(V220=Constants!$B$3,FALSE(),TRUE())))</f>
        <v/>
      </c>
      <c r="AX220" s="93" t="str">
        <f aca="false">IF(ISBLANK($C220),"",IF(ISNUMBER(W220),IF(W220&gt;=0,W220,""),""))</f>
        <v/>
      </c>
      <c r="AY220" s="93" t="str">
        <f aca="false">IF(ISBLANK($C220),"",IF(X220=Constants!$B$2,TRUE(),IF(X220=Constants!$B$3,FALSE(),FALSE())))</f>
        <v/>
      </c>
      <c r="AZ220" s="93" t="str">
        <f aca="false">IF(ISBLANK($C220),"",MIN(Constants!$B$25,MAX(0,IF(ISNUMBER(Y220),Y220*60,0)+IF(ISNUMBER(Z220),Z220,0))))</f>
        <v/>
      </c>
      <c r="BA220" s="93" t="str">
        <f aca="false">IF(ISBLANK($C220),"",IF(AA220=Constants!$B$2,TRUE(),IF(AA220=Constants!$B$3,FALSE(),FALSE())))</f>
        <v/>
      </c>
      <c r="BB220" s="92" t="str">
        <f aca="false">IF(ISBLANK($C220),"",AND($AL220,OR($AM220="",$AN220="",AND($AO220,$AP220=""))))</f>
        <v/>
      </c>
      <c r="BC220" s="94" t="str">
        <f aca="false">IF($BX220&lt;&gt;Constants!$B$6,"",IF($AL220,Constants!$B$17*$AN220+Constants!$B$18*IF($AO220,$AP220,Constants!$B$19),Constants!$B$20))</f>
        <v/>
      </c>
      <c r="BD220" s="97" t="str">
        <f aca="false">IF($BX220&lt;&gt;Constants!$B$6,"",Constants!$B$21*ABS($AD$9-IF($AL220,$AM220,0)))</f>
        <v/>
      </c>
      <c r="BE220" s="97" t="str">
        <f aca="false">IF($BX220&lt;&gt;Constants!$B$6,"",IF(AND($AL220,$AQ220,$AO220),Constants!$B$22,0))</f>
        <v/>
      </c>
      <c r="BF220" s="97" t="str">
        <f aca="false">IF($BX220&lt;&gt;Constants!$B$6,"",IF($AL220,($AI220-Constants!$B$24)*Constants!$B$23,0))</f>
        <v/>
      </c>
      <c r="BG220" s="97" t="str">
        <f aca="false">IF($BX220&lt;&gt;Constants!$B$6,"",IF($AK220,0,Constants!$B$12)+IF($AJ220,0,Constants!$B$13)+IF($AH220,0,Constants!$B$14))</f>
        <v/>
      </c>
      <c r="BH220" s="98" t="str">
        <f aca="false">IF($BX220&lt;&gt;Constants!$B$6,"",Constants!$B$16+SUM($BC220:$BG220))</f>
        <v/>
      </c>
      <c r="BI220" s="97" t="str">
        <f aca="false">IF($BX220&lt;&gt;Constants!$B$6,"",$BC220)</f>
        <v/>
      </c>
      <c r="BJ220" s="97" t="str">
        <f aca="false">IF($BX220&lt;&gt;Constants!$B$6,"",$BD220)</f>
        <v/>
      </c>
      <c r="BK220" s="99" t="str">
        <f aca="false">IF($BX220&lt;&gt;Constants!$B$6,"",IF($AL220,$AN220,""))</f>
        <v/>
      </c>
      <c r="BL220" s="93" t="str">
        <f aca="false">IF($BX220&lt;&gt;Constants!$B$6,"",IF(OR($BS220&lt;$BH220,AND($BS220=$BH220,OR($BT220&lt;$BI220,AND($BT220=$BI220,OR($BU220&lt;$BJ220,AND($BU220=$BJ220,AND(ISNUMBER($BV220),OR(NOT(ISNUMBER($BK220)),$BV220&lt;$BK220)))))))),"-&gt;","&lt;-"))</f>
        <v/>
      </c>
      <c r="BM220" s="92" t="str">
        <f aca="false">IF(ISBLANK($C220),"",AND($AT220,OR($AU220="",$AV220="",AND($AW220,$AX220=""))))</f>
        <v/>
      </c>
      <c r="BN220" s="94" t="str">
        <f aca="false">IF($BX220&lt;&gt;Constants!$B$6,"",IF($AT220,Constants!$B$17*$AV220+Constants!$B$18*IF($AW220,$AX220,Constants!$B$19),Constants!$B$20))</f>
        <v/>
      </c>
      <c r="BO220" s="97" t="str">
        <f aca="false">IF($BX220&lt;&gt;Constants!$B$6,"",Constants!$B$21*ABS($AD$9-IF($AT220,$AU220,0)))</f>
        <v/>
      </c>
      <c r="BP220" s="97" t="str">
        <f aca="false">IF($BX220&lt;&gt;Constants!$B$6,"",IF(AND($AT220,$AY220,$AW220),Constants!$B$22,0))</f>
        <v/>
      </c>
      <c r="BQ220" s="97" t="str">
        <f aca="false">IF($BX220&lt;&gt;Constants!$B$6,"",IF($AT220,($AI220-Constants!$B$24)*Constants!$B$23,0))</f>
        <v/>
      </c>
      <c r="BR220" s="97" t="str">
        <f aca="false">IF($BX220&lt;&gt;Constants!$B$6,"",IF($AS220,0,Constants!$B$12)+IF($AR220,0,Constants!$B$13)+IF($AH220,0,Constants!$B$14))</f>
        <v/>
      </c>
      <c r="BS220" s="98" t="str">
        <f aca="false">IF($BX220&lt;&gt;Constants!$B$6,"",Constants!$B$16+SUM($BN220:$BR220))</f>
        <v/>
      </c>
      <c r="BT220" s="97" t="str">
        <f aca="false">IF($BX220&lt;&gt;Constants!$B$6,"",$BN220)</f>
        <v/>
      </c>
      <c r="BU220" s="97" t="str">
        <f aca="false">IF($BX220&lt;&gt;Constants!$B$6,"",$BO220)</f>
        <v/>
      </c>
      <c r="BV220" s="99" t="str">
        <f aca="false">IF($BX220&lt;&gt;Constants!$B$6,"",IF($AT220,$AV220,""))</f>
        <v/>
      </c>
      <c r="BW220" s="93" t="str">
        <f aca="false">IF(ISBLANK($C220),"",IF(ISBLANK($D$7),$BW$5,IF(NOT(ISNUMBER($D$7)),$BW$6,"")))</f>
        <v/>
      </c>
      <c r="BX220" s="93" t="str">
        <f aca="false">IF(ISBLANK($C220),"",IF($BA220,Constants!$B$9,IF(COUNTA($E220:$AA220)=0,Constants!$B$8,IF(NOT($AG220),Constants!$B$7,IF(OR($BW220&lt;&gt;"",$BB220,$BM220),Constants!$B$10,Constants!$B$6)))))</f>
        <v/>
      </c>
      <c r="BY220" s="93" t="str">
        <f aca="false">IF(ISBLANK($C220),"",IF($BX220&lt;&gt;Constants!$B$6,$BX220,Constants!$B$11))</f>
        <v/>
      </c>
      <c r="BZ220" s="97" t="str">
        <f aca="false">IF($BX220&lt;&gt;Constants!$B$6,"",IF($BL220="-&gt;",$BS220,$BH220))</f>
        <v/>
      </c>
      <c r="CA220" s="97" t="str">
        <f aca="false">IF($BX220&lt;&gt;Constants!$B$6,"",IF($AF220,0,Constants!$B$15))</f>
        <v/>
      </c>
      <c r="CB220" s="97" t="str">
        <f aca="false">IF($BX220&lt;&gt;Constants!$B$6,"",((Constants!$B$25-$AZ220)-Constants!$B$25)/Constants!$B$26)</f>
        <v/>
      </c>
      <c r="CC220" s="97" t="str">
        <f aca="false">IF(ISBLANK($C220),"",IF($BX220&lt;&gt;Constants!$B$6,$BX220,SUM($BZ220:$CB220)))</f>
        <v/>
      </c>
      <c r="CD220" s="93" t="str">
        <f aca="false">IF(ISBLANK($C220),"",IF($BX220&lt;&gt;Constants!$B$6,$BX220,RANK($CC220,$CC$9:$CC$508,1)))</f>
        <v/>
      </c>
      <c r="CE220" s="97" t="str">
        <f aca="false">IF($BX220&lt;&gt;Constants!$B$6,"",IF($BL220="-&gt;",$BT220,$BI220))</f>
        <v/>
      </c>
      <c r="CF220" s="93" t="str">
        <f aca="false">IF(ISBLANK($C220),"",IF($BX220&lt;&gt;Constants!$B$6,$BX220,IF(ISNUMBER($CE220),RANK($CE220,$CE$9:$CE$508,1),COUNT($CE$9:$CE$508)+1)))</f>
        <v/>
      </c>
      <c r="CG220" s="97" t="str">
        <f aca="false">IF($BX220&lt;&gt;Constants!$B$6,"",IF($BL220="-&gt;",$BU220,$BJ220))</f>
        <v/>
      </c>
      <c r="CH220" s="93" t="str">
        <f aca="false">IF(ISBLANK($C220),"",IF($BX220&lt;&gt;Constants!$B$6,$BX220,IF(ISNUMBER($CG220),RANK($CG220,$CG$9:$CG$508,1),COUNT($CG$9:$CG$508)+1)))</f>
        <v/>
      </c>
      <c r="CI220" s="97" t="str">
        <f aca="false">IF($BX220&lt;&gt;Constants!$B$6,"",IF($BL220="-&gt;",$BV220,$BK220))</f>
        <v/>
      </c>
      <c r="CJ220" s="93" t="str">
        <f aca="false">IF(ISBLANK($C220),"",IF($BX220&lt;&gt;Constants!$B$6,$BX220,IF(ISNUMBER($CI220),RANK($CI220,$CI$9:$CI$508,1),COUNT($CI$9:$CI$508)+1)))</f>
        <v/>
      </c>
      <c r="CK220" s="97" t="str">
        <f aca="false">IF($BX220&lt;&gt;Constants!$B$6,"",$AI220)</f>
        <v/>
      </c>
      <c r="CL220" s="93" t="str">
        <f aca="false">IF(ISBLANK($C220),"",IF($BX220&lt;&gt;Constants!$B$6,$BX220,IF(ISNUMBER($CK220),RANK($CK220,$CK$9:$CK$508,1),COUNT($CK$9:$CK$508)+1)))</f>
        <v/>
      </c>
      <c r="CM220" s="93" t="str">
        <f aca="false">IF(ISBLANK($C220),"",IF($BX220&lt;&gt;Constants!$B$6,$BX220,COUNTIFS($CD$9:$CD$508,"&lt;"&amp;$CD220)+COUNTIFS($CD$9:$CD$508,$CD220,$CF$9:$CF$508,"&lt;"&amp;$CF220)+COUNTIFS($CD$9:$CD$508,$CD220,$CF$9:$CF$508,$CF220,$CH$9:$CH$508,"&lt;"&amp;$CH220)+COUNTIFS($CD$9:$CD$508,$CD220,$CF$9:$CF$508,$CF220,$CH$9:$CH$508,$CH220,$CJ$9:$CJ$508,"&lt;"&amp;$CJ220)+COUNTIFS($CD$9:$CD$508,$CD220,$CF$9:$CF$508,$CF220,$CH$9:$CH$508,$CH220,$CJ$9:$CJ$508,$CJ220,$CL$9:$CL$508,"&lt;"&amp;$CL220)+1))</f>
        <v/>
      </c>
      <c r="CN220" s="93" t="str">
        <f aca="false">IF(ISBLANK($C220),"",IF($BX220&lt;&gt;Constants!$B$6,$BX220,$CD220-$CM220))</f>
        <v/>
      </c>
      <c r="CO220" s="100"/>
      <c r="CP220" s="101"/>
      <c r="CQ220" s="102" t="str">
        <f aca="false">IF(ISBLANK($C220),"",IF($BX220=Constants!$B$10,$BW220,""))</f>
        <v/>
      </c>
      <c r="CR220" s="101" t="str">
        <f aca="false">IF(ISBLANK($C220),"",IF($BX220&lt;&gt;Constants!$B$6,"",IF($BL220="-&gt;",2,1)))</f>
        <v/>
      </c>
      <c r="CS220" s="103" t="str">
        <f aca="false">IF(ISBLANK($C220),"",IF($BX220&lt;&gt;Constants!$B$6,"",IF($BL220="-&gt;",$BN220,$BC220)))</f>
        <v/>
      </c>
      <c r="CT220" s="103" t="str">
        <f aca="false">IF(ISBLANK($C220),"",IF($BX220&lt;&gt;Constants!$B$6,"",IF($BL220="-&gt;",$BO220,$BD220)))</f>
        <v/>
      </c>
      <c r="CU220" s="103" t="str">
        <f aca="false">IF(ISBLANK($C220),"",IF($BX220&lt;&gt;Constants!$B$6,"",IF($BL220="-&gt;",$BP220+$BQ220,$BE220+$BF220)+$CB220))</f>
        <v/>
      </c>
      <c r="CV220" s="103" t="str">
        <f aca="false">IF(ISBLANK($C220),"",IF($BX220&lt;&gt;Constants!$B$6,"",IF($BL220="-&gt;",$BR220,$BG220)+$CA220))</f>
        <v/>
      </c>
      <c r="CW220" s="104" t="str">
        <f aca="false">IF(ISBLANK($C220),"",IF($BX220&lt;&gt;Constants!$B$6,$BX220,$CC220))</f>
        <v/>
      </c>
      <c r="CX220" s="105" t="str">
        <f aca="false">IF(ISBLANK($C220),"",$BY220)</f>
        <v/>
      </c>
      <c r="CY220" s="106" t="str">
        <f aca="false">IF(ISBLANK($C220),"",$CN220)</f>
        <v/>
      </c>
      <c r="CZ220" s="106" t="str">
        <f aca="false">IF(ISBLANK($C220),"",$CM220)</f>
        <v/>
      </c>
      <c r="DA220" s="107" t="str">
        <f aca="false">IF(ISBLANK($C220),"",IFERROR(_xlfn.SWITCH($CZ220,Constants!$B$9,COUNTA($C$9:$C$508)+2,Constants!$B$8,COUNTA($C$9:$C$508)+1,Constants!$B$7,COUNTA($C$9:$C$508)),$CZ220))</f>
        <v/>
      </c>
      <c r="DB220" s="9"/>
      <c r="DC220" s="108" t="n">
        <f aca="false">IF(OR(ISNUMBER($CZ220),$CZ220=Constants!$B$9,$CZ220=Constants!$B$7,$CZ220=Constants!$B$8),1,0)</f>
        <v>0</v>
      </c>
      <c r="DD220" s="108" t="n">
        <v>212</v>
      </c>
      <c r="DE220" s="108" t="str">
        <f aca="false">IF(ISBLANK($C220),"",IF(ISNUMBER($DA220),$DA220+ROW($B220)/1000,""))</f>
        <v/>
      </c>
      <c r="DF220" s="108" t="str">
        <f aca="false">IF(ISNUMBER($DE220),RANK($DE220,$DE$9:$DE$508,1),"")</f>
        <v/>
      </c>
      <c r="DG220" s="108" t="str">
        <f aca="false">IF(ISBLANK($C220),"",$B220)</f>
        <v/>
      </c>
      <c r="DH220" s="108" t="str">
        <f aca="false">IF(ISBLANK($C220),"",$C220)</f>
        <v/>
      </c>
      <c r="DI220" s="108" t="str">
        <f aca="false">IF(ISBLANK($C220),"",$D220)</f>
        <v/>
      </c>
      <c r="DJ220" s="109" t="str">
        <f aca="false">$CX220</f>
        <v/>
      </c>
      <c r="DK220" s="110" t="str">
        <f aca="false">$CW220</f>
        <v/>
      </c>
      <c r="DL220" s="108" t="str">
        <f aca="false">IF(ISBLANK($C220),"",$CZ220)</f>
        <v/>
      </c>
      <c r="DM220" s="111" t="str">
        <f aca="false">IF($DD220&gt;$DC$8,"",VLOOKUP($DD220,$DF$9:$DL$508,7,FALSE()))</f>
        <v/>
      </c>
      <c r="DN220" s="112" t="str">
        <f aca="false">IF($DD220&gt;$DC$8,"",VLOOKUP($DD220,$DF$9:$DL$508,2,FALSE()))</f>
        <v/>
      </c>
      <c r="DO220" s="112" t="str">
        <f aca="false">IF($DD220&gt;$DC$8,"",VLOOKUP($DD220,$DF$9:$DL$508,3,FALSE()))</f>
        <v/>
      </c>
      <c r="DP220" s="112" t="str">
        <f aca="false">IF($DD220&gt;$DC$8,"",VLOOKUP($DD220,$DF$9:$DL$508,4,FALSE()))</f>
        <v/>
      </c>
      <c r="DQ220" s="112" t="str">
        <f aca="false">IF($DD220&gt;$DC$8,"",VLOOKUP($DD220,$DF$9:$DL$508,5,FALSE()))</f>
        <v/>
      </c>
      <c r="DR220" s="113" t="str">
        <f aca="false">IF($DD220&gt;$DC$8,"",VLOOKUP($DD220,$DF$9:$DL$508,6,FALSE()))</f>
        <v/>
      </c>
      <c r="DS220" s="76"/>
    </row>
    <row r="221" customFormat="false" ht="15.75" hidden="false" customHeight="false" outlineLevel="0" collapsed="false">
      <c r="A221" s="9"/>
      <c r="B221" s="78"/>
      <c r="C221" s="79"/>
      <c r="D221" s="170"/>
      <c r="E221" s="178"/>
      <c r="F221" s="172"/>
      <c r="G221" s="173"/>
      <c r="H221" s="173"/>
      <c r="I221" s="179"/>
      <c r="J221" s="176"/>
      <c r="K221" s="86"/>
      <c r="L221" s="87"/>
      <c r="M221" s="88"/>
      <c r="N221" s="176"/>
      <c r="O221" s="176"/>
      <c r="P221" s="178"/>
      <c r="Q221" s="176"/>
      <c r="R221" s="176"/>
      <c r="S221" s="86"/>
      <c r="T221" s="88"/>
      <c r="U221" s="88"/>
      <c r="V221" s="176"/>
      <c r="W221" s="176"/>
      <c r="X221" s="178"/>
      <c r="Y221" s="176"/>
      <c r="Z221" s="177"/>
      <c r="AA221" s="176"/>
      <c r="AB221" s="92"/>
      <c r="AC221" s="93"/>
      <c r="AD221" s="93"/>
      <c r="AE221" s="93"/>
      <c r="AF221" s="93" t="str">
        <f aca="false">IF(ISBLANK($C221),"",IF(E221=Constants!$B$2,TRUE(),IF(E221=Constants!$B$3,FALSE(),TRUE())))</f>
        <v/>
      </c>
      <c r="AG221" s="93" t="str">
        <f aca="false">IF(ISBLANK($C221),"",IF(F221=Constants!$B$2,TRUE(),IF(F221=Constants!$B$3,FALSE(),TRUE())))</f>
        <v/>
      </c>
      <c r="AH221" s="93" t="str">
        <f aca="false">IF(ISBLANK($C221),"",IF(G221=Constants!$B$2,TRUE(),IF(G221=Constants!$B$3,FALSE(),TRUE())))</f>
        <v/>
      </c>
      <c r="AI221" s="93" t="str">
        <f aca="false">IF(ISBLANK($C221),"",IF(AND(ISNUMBER(H221),H221&gt;=0),H221,Constants!$B$24))</f>
        <v/>
      </c>
      <c r="AJ221" s="93" t="str">
        <f aca="false">IF(ISBLANK($C221),"",IF(I221=Constants!$B$2,TRUE(),IF(I221=Constants!$B$3,FALSE(),TRUE())))</f>
        <v/>
      </c>
      <c r="AK221" s="93" t="str">
        <f aca="false">IF(ISBLANK($C221),"",IF(J221=Constants!$B$2,TRUE(),IF(J221=Constants!$B$3,FALSE(),TRUE())))</f>
        <v/>
      </c>
      <c r="AL221" s="93" t="str">
        <f aca="false">IF(ISBLANK($C221),"",IF(K221=Constants!$B$4,TRUE(),IF(K221=Constants!$B$5,FALSE(),COUNTA(L221:P221)&gt;0)))</f>
        <v/>
      </c>
      <c r="AM221" s="95" t="str">
        <f aca="false">IF(ISBLANK($C221),"",IF(ISNUMBER(L221),IF(L221&gt;=0,L221,""),""))</f>
        <v/>
      </c>
      <c r="AN221" s="94" t="str">
        <f aca="false">IF(ISBLANK($C221),"",IF(ISNUMBER(M221),IF(M221&gt;=0,M221,""),""))</f>
        <v/>
      </c>
      <c r="AO221" s="94" t="str">
        <f aca="false">IF(ISBLANK($C221),"",IF(N221=Constants!$B$2,TRUE(),IF(N221=Constants!$B$3,FALSE(),TRUE())))</f>
        <v/>
      </c>
      <c r="AP221" s="93" t="str">
        <f aca="false">IF(ISBLANK($C221),"",IF(ISNUMBER(O221),IF(O221&gt;=0,O221,""),""))</f>
        <v/>
      </c>
      <c r="AQ221" s="93" t="str">
        <f aca="false">IF(ISBLANK($C221),"",IF(P221=Constants!$B$2,TRUE(),IF(P221=Constants!$B$3,FALSE(),FALSE())))</f>
        <v/>
      </c>
      <c r="AR221" s="93" t="str">
        <f aca="false">IF(ISBLANK($C221),"",IF(Q221=Constants!$B$2,TRUE(),IF(Q221=Constants!$B$3,FALSE(),TRUE())))</f>
        <v/>
      </c>
      <c r="AS221" s="93" t="str">
        <f aca="false">IF(ISBLANK($C221),"",IF(R221=Constants!$B$2,TRUE(),IF(R221=Constants!$B$3,FALSE(),TRUE())))</f>
        <v/>
      </c>
      <c r="AT221" s="93" t="str">
        <f aca="false">IF(ISBLANK($C221),"",IF(S221=Constants!$B$4,TRUE(),IF(S221=Constants!$B$5,FALSE(),COUNTA(T221:X221)&gt;0)))</f>
        <v/>
      </c>
      <c r="AU221" s="95" t="str">
        <f aca="false">IF(ISBLANK($C221),"",IF(ISNUMBER(T221),IF(T221&gt;=0,T221,""),""))</f>
        <v/>
      </c>
      <c r="AV221" s="94" t="str">
        <f aca="false">IF(ISBLANK($C221),"",IF(ISNUMBER(U221),IF(U221&gt;=0,U221,""),""))</f>
        <v/>
      </c>
      <c r="AW221" s="94" t="str">
        <f aca="false">IF(ISBLANK($C221),"",IF(V221=Constants!$B$2,TRUE(),IF(V221=Constants!$B$3,FALSE(),TRUE())))</f>
        <v/>
      </c>
      <c r="AX221" s="93" t="str">
        <f aca="false">IF(ISBLANK($C221),"",IF(ISNUMBER(W221),IF(W221&gt;=0,W221,""),""))</f>
        <v/>
      </c>
      <c r="AY221" s="93" t="str">
        <f aca="false">IF(ISBLANK($C221),"",IF(X221=Constants!$B$2,TRUE(),IF(X221=Constants!$B$3,FALSE(),FALSE())))</f>
        <v/>
      </c>
      <c r="AZ221" s="93" t="str">
        <f aca="false">IF(ISBLANK($C221),"",MIN(Constants!$B$25,MAX(0,IF(ISNUMBER(Y221),Y221*60,0)+IF(ISNUMBER(Z221),Z221,0))))</f>
        <v/>
      </c>
      <c r="BA221" s="93" t="str">
        <f aca="false">IF(ISBLANK($C221),"",IF(AA221=Constants!$B$2,TRUE(),IF(AA221=Constants!$B$3,FALSE(),FALSE())))</f>
        <v/>
      </c>
      <c r="BB221" s="92" t="str">
        <f aca="false">IF(ISBLANK($C221),"",AND($AL221,OR($AM221="",$AN221="",AND($AO221,$AP221=""))))</f>
        <v/>
      </c>
      <c r="BC221" s="94" t="str">
        <f aca="false">IF($BX221&lt;&gt;Constants!$B$6,"",IF($AL221,Constants!$B$17*$AN221+Constants!$B$18*IF($AO221,$AP221,Constants!$B$19),Constants!$B$20))</f>
        <v/>
      </c>
      <c r="BD221" s="97" t="str">
        <f aca="false">IF($BX221&lt;&gt;Constants!$B$6,"",Constants!$B$21*ABS($AD$9-IF($AL221,$AM221,0)))</f>
        <v/>
      </c>
      <c r="BE221" s="97" t="str">
        <f aca="false">IF($BX221&lt;&gt;Constants!$B$6,"",IF(AND($AL221,$AQ221,$AO221),Constants!$B$22,0))</f>
        <v/>
      </c>
      <c r="BF221" s="97" t="str">
        <f aca="false">IF($BX221&lt;&gt;Constants!$B$6,"",IF($AL221,($AI221-Constants!$B$24)*Constants!$B$23,0))</f>
        <v/>
      </c>
      <c r="BG221" s="97" t="str">
        <f aca="false">IF($BX221&lt;&gt;Constants!$B$6,"",IF($AK221,0,Constants!$B$12)+IF($AJ221,0,Constants!$B$13)+IF($AH221,0,Constants!$B$14))</f>
        <v/>
      </c>
      <c r="BH221" s="98" t="str">
        <f aca="false">IF($BX221&lt;&gt;Constants!$B$6,"",Constants!$B$16+SUM($BC221:$BG221))</f>
        <v/>
      </c>
      <c r="BI221" s="97" t="str">
        <f aca="false">IF($BX221&lt;&gt;Constants!$B$6,"",$BC221)</f>
        <v/>
      </c>
      <c r="BJ221" s="97" t="str">
        <f aca="false">IF($BX221&lt;&gt;Constants!$B$6,"",$BD221)</f>
        <v/>
      </c>
      <c r="BK221" s="99" t="str">
        <f aca="false">IF($BX221&lt;&gt;Constants!$B$6,"",IF($AL221,$AN221,""))</f>
        <v/>
      </c>
      <c r="BL221" s="93" t="str">
        <f aca="false">IF($BX221&lt;&gt;Constants!$B$6,"",IF(OR($BS221&lt;$BH221,AND($BS221=$BH221,OR($BT221&lt;$BI221,AND($BT221=$BI221,OR($BU221&lt;$BJ221,AND($BU221=$BJ221,AND(ISNUMBER($BV221),OR(NOT(ISNUMBER($BK221)),$BV221&lt;$BK221)))))))),"-&gt;","&lt;-"))</f>
        <v/>
      </c>
      <c r="BM221" s="92" t="str">
        <f aca="false">IF(ISBLANK($C221),"",AND($AT221,OR($AU221="",$AV221="",AND($AW221,$AX221=""))))</f>
        <v/>
      </c>
      <c r="BN221" s="94" t="str">
        <f aca="false">IF($BX221&lt;&gt;Constants!$B$6,"",IF($AT221,Constants!$B$17*$AV221+Constants!$B$18*IF($AW221,$AX221,Constants!$B$19),Constants!$B$20))</f>
        <v/>
      </c>
      <c r="BO221" s="97" t="str">
        <f aca="false">IF($BX221&lt;&gt;Constants!$B$6,"",Constants!$B$21*ABS($AD$9-IF($AT221,$AU221,0)))</f>
        <v/>
      </c>
      <c r="BP221" s="97" t="str">
        <f aca="false">IF($BX221&lt;&gt;Constants!$B$6,"",IF(AND($AT221,$AY221,$AW221),Constants!$B$22,0))</f>
        <v/>
      </c>
      <c r="BQ221" s="97" t="str">
        <f aca="false">IF($BX221&lt;&gt;Constants!$B$6,"",IF($AT221,($AI221-Constants!$B$24)*Constants!$B$23,0))</f>
        <v/>
      </c>
      <c r="BR221" s="97" t="str">
        <f aca="false">IF($BX221&lt;&gt;Constants!$B$6,"",IF($AS221,0,Constants!$B$12)+IF($AR221,0,Constants!$B$13)+IF($AH221,0,Constants!$B$14))</f>
        <v/>
      </c>
      <c r="BS221" s="98" t="str">
        <f aca="false">IF($BX221&lt;&gt;Constants!$B$6,"",Constants!$B$16+SUM($BN221:$BR221))</f>
        <v/>
      </c>
      <c r="BT221" s="97" t="str">
        <f aca="false">IF($BX221&lt;&gt;Constants!$B$6,"",$BN221)</f>
        <v/>
      </c>
      <c r="BU221" s="97" t="str">
        <f aca="false">IF($BX221&lt;&gt;Constants!$B$6,"",$BO221)</f>
        <v/>
      </c>
      <c r="BV221" s="99" t="str">
        <f aca="false">IF($BX221&lt;&gt;Constants!$B$6,"",IF($AT221,$AV221,""))</f>
        <v/>
      </c>
      <c r="BW221" s="93" t="str">
        <f aca="false">IF(ISBLANK($C221),"",IF(ISBLANK($D$7),$BW$5,IF(NOT(ISNUMBER($D$7)),$BW$6,"")))</f>
        <v/>
      </c>
      <c r="BX221" s="93" t="str">
        <f aca="false">IF(ISBLANK($C221),"",IF($BA221,Constants!$B$9,IF(COUNTA($E221:$AA221)=0,Constants!$B$8,IF(NOT($AG221),Constants!$B$7,IF(OR($BW221&lt;&gt;"",$BB221,$BM221),Constants!$B$10,Constants!$B$6)))))</f>
        <v/>
      </c>
      <c r="BY221" s="93" t="str">
        <f aca="false">IF(ISBLANK($C221),"",IF($BX221&lt;&gt;Constants!$B$6,$BX221,Constants!$B$11))</f>
        <v/>
      </c>
      <c r="BZ221" s="97" t="str">
        <f aca="false">IF($BX221&lt;&gt;Constants!$B$6,"",IF($BL221="-&gt;",$BS221,$BH221))</f>
        <v/>
      </c>
      <c r="CA221" s="97" t="str">
        <f aca="false">IF($BX221&lt;&gt;Constants!$B$6,"",IF($AF221,0,Constants!$B$15))</f>
        <v/>
      </c>
      <c r="CB221" s="97" t="str">
        <f aca="false">IF($BX221&lt;&gt;Constants!$B$6,"",((Constants!$B$25-$AZ221)-Constants!$B$25)/Constants!$B$26)</f>
        <v/>
      </c>
      <c r="CC221" s="97" t="str">
        <f aca="false">IF(ISBLANK($C221),"",IF($BX221&lt;&gt;Constants!$B$6,$BX221,SUM($BZ221:$CB221)))</f>
        <v/>
      </c>
      <c r="CD221" s="93" t="str">
        <f aca="false">IF(ISBLANK($C221),"",IF($BX221&lt;&gt;Constants!$B$6,$BX221,RANK($CC221,$CC$9:$CC$508,1)))</f>
        <v/>
      </c>
      <c r="CE221" s="97" t="str">
        <f aca="false">IF($BX221&lt;&gt;Constants!$B$6,"",IF($BL221="-&gt;",$BT221,$BI221))</f>
        <v/>
      </c>
      <c r="CF221" s="93" t="str">
        <f aca="false">IF(ISBLANK($C221),"",IF($BX221&lt;&gt;Constants!$B$6,$BX221,IF(ISNUMBER($CE221),RANK($CE221,$CE$9:$CE$508,1),COUNT($CE$9:$CE$508)+1)))</f>
        <v/>
      </c>
      <c r="CG221" s="97" t="str">
        <f aca="false">IF($BX221&lt;&gt;Constants!$B$6,"",IF($BL221="-&gt;",$BU221,$BJ221))</f>
        <v/>
      </c>
      <c r="CH221" s="93" t="str">
        <f aca="false">IF(ISBLANK($C221),"",IF($BX221&lt;&gt;Constants!$B$6,$BX221,IF(ISNUMBER($CG221),RANK($CG221,$CG$9:$CG$508,1),COUNT($CG$9:$CG$508)+1)))</f>
        <v/>
      </c>
      <c r="CI221" s="97" t="str">
        <f aca="false">IF($BX221&lt;&gt;Constants!$B$6,"",IF($BL221="-&gt;",$BV221,$BK221))</f>
        <v/>
      </c>
      <c r="CJ221" s="93" t="str">
        <f aca="false">IF(ISBLANK($C221),"",IF($BX221&lt;&gt;Constants!$B$6,$BX221,IF(ISNUMBER($CI221),RANK($CI221,$CI$9:$CI$508,1),COUNT($CI$9:$CI$508)+1)))</f>
        <v/>
      </c>
      <c r="CK221" s="97" t="str">
        <f aca="false">IF($BX221&lt;&gt;Constants!$B$6,"",$AI221)</f>
        <v/>
      </c>
      <c r="CL221" s="93" t="str">
        <f aca="false">IF(ISBLANK($C221),"",IF($BX221&lt;&gt;Constants!$B$6,$BX221,IF(ISNUMBER($CK221),RANK($CK221,$CK$9:$CK$508,1),COUNT($CK$9:$CK$508)+1)))</f>
        <v/>
      </c>
      <c r="CM221" s="93" t="str">
        <f aca="false">IF(ISBLANK($C221),"",IF($BX221&lt;&gt;Constants!$B$6,$BX221,COUNTIFS($CD$9:$CD$508,"&lt;"&amp;$CD221)+COUNTIFS($CD$9:$CD$508,$CD221,$CF$9:$CF$508,"&lt;"&amp;$CF221)+COUNTIFS($CD$9:$CD$508,$CD221,$CF$9:$CF$508,$CF221,$CH$9:$CH$508,"&lt;"&amp;$CH221)+COUNTIFS($CD$9:$CD$508,$CD221,$CF$9:$CF$508,$CF221,$CH$9:$CH$508,$CH221,$CJ$9:$CJ$508,"&lt;"&amp;$CJ221)+COUNTIFS($CD$9:$CD$508,$CD221,$CF$9:$CF$508,$CF221,$CH$9:$CH$508,$CH221,$CJ$9:$CJ$508,$CJ221,$CL$9:$CL$508,"&lt;"&amp;$CL221)+1))</f>
        <v/>
      </c>
      <c r="CN221" s="93" t="str">
        <f aca="false">IF(ISBLANK($C221),"",IF($BX221&lt;&gt;Constants!$B$6,$BX221,$CD221-$CM221))</f>
        <v/>
      </c>
      <c r="CO221" s="100"/>
      <c r="CP221" s="101"/>
      <c r="CQ221" s="102" t="str">
        <f aca="false">IF(ISBLANK($C221),"",IF($BX221=Constants!$B$10,$BW221,""))</f>
        <v/>
      </c>
      <c r="CR221" s="101" t="str">
        <f aca="false">IF(ISBLANK($C221),"",IF($BX221&lt;&gt;Constants!$B$6,"",IF($BL221="-&gt;",2,1)))</f>
        <v/>
      </c>
      <c r="CS221" s="103" t="str">
        <f aca="false">IF(ISBLANK($C221),"",IF($BX221&lt;&gt;Constants!$B$6,"",IF($BL221="-&gt;",$BN221,$BC221)))</f>
        <v/>
      </c>
      <c r="CT221" s="103" t="str">
        <f aca="false">IF(ISBLANK($C221),"",IF($BX221&lt;&gt;Constants!$B$6,"",IF($BL221="-&gt;",$BO221,$BD221)))</f>
        <v/>
      </c>
      <c r="CU221" s="103" t="str">
        <f aca="false">IF(ISBLANK($C221),"",IF($BX221&lt;&gt;Constants!$B$6,"",IF($BL221="-&gt;",$BP221+$BQ221,$BE221+$BF221)+$CB221))</f>
        <v/>
      </c>
      <c r="CV221" s="103" t="str">
        <f aca="false">IF(ISBLANK($C221),"",IF($BX221&lt;&gt;Constants!$B$6,"",IF($BL221="-&gt;",$BR221,$BG221)+$CA221))</f>
        <v/>
      </c>
      <c r="CW221" s="104" t="str">
        <f aca="false">IF(ISBLANK($C221),"",IF($BX221&lt;&gt;Constants!$B$6,$BX221,$CC221))</f>
        <v/>
      </c>
      <c r="CX221" s="105" t="str">
        <f aca="false">IF(ISBLANK($C221),"",$BY221)</f>
        <v/>
      </c>
      <c r="CY221" s="106" t="str">
        <f aca="false">IF(ISBLANK($C221),"",$CN221)</f>
        <v/>
      </c>
      <c r="CZ221" s="106" t="str">
        <f aca="false">IF(ISBLANK($C221),"",$CM221)</f>
        <v/>
      </c>
      <c r="DA221" s="107" t="str">
        <f aca="false">IF(ISBLANK($C221),"",IFERROR(_xlfn.SWITCH($CZ221,Constants!$B$9,COUNTA($C$9:$C$508)+2,Constants!$B$8,COUNTA($C$9:$C$508)+1,Constants!$B$7,COUNTA($C$9:$C$508)),$CZ221))</f>
        <v/>
      </c>
      <c r="DB221" s="9"/>
      <c r="DC221" s="108" t="n">
        <f aca="false">IF(OR(ISNUMBER($CZ221),$CZ221=Constants!$B$9,$CZ221=Constants!$B$7,$CZ221=Constants!$B$8),1,0)</f>
        <v>0</v>
      </c>
      <c r="DD221" s="108" t="n">
        <v>213</v>
      </c>
      <c r="DE221" s="108" t="str">
        <f aca="false">IF(ISBLANK($C221),"",IF(ISNUMBER($DA221),$DA221+ROW($B221)/1000,""))</f>
        <v/>
      </c>
      <c r="DF221" s="108" t="str">
        <f aca="false">IF(ISNUMBER($DE221),RANK($DE221,$DE$9:$DE$508,1),"")</f>
        <v/>
      </c>
      <c r="DG221" s="108" t="str">
        <f aca="false">IF(ISBLANK($C221),"",$B221)</f>
        <v/>
      </c>
      <c r="DH221" s="108" t="str">
        <f aca="false">IF(ISBLANK($C221),"",$C221)</f>
        <v/>
      </c>
      <c r="DI221" s="108" t="str">
        <f aca="false">IF(ISBLANK($C221),"",$D221)</f>
        <v/>
      </c>
      <c r="DJ221" s="109" t="str">
        <f aca="false">$CX221</f>
        <v/>
      </c>
      <c r="DK221" s="110" t="str">
        <f aca="false">$CW221</f>
        <v/>
      </c>
      <c r="DL221" s="108" t="str">
        <f aca="false">IF(ISBLANK($C221),"",$CZ221)</f>
        <v/>
      </c>
      <c r="DM221" s="111" t="str">
        <f aca="false">IF($DD221&gt;$DC$8,"",VLOOKUP($DD221,$DF$9:$DL$508,7,FALSE()))</f>
        <v/>
      </c>
      <c r="DN221" s="112" t="str">
        <f aca="false">IF($DD221&gt;$DC$8,"",VLOOKUP($DD221,$DF$9:$DL$508,2,FALSE()))</f>
        <v/>
      </c>
      <c r="DO221" s="112" t="str">
        <f aca="false">IF($DD221&gt;$DC$8,"",VLOOKUP($DD221,$DF$9:$DL$508,3,FALSE()))</f>
        <v/>
      </c>
      <c r="DP221" s="112" t="str">
        <f aca="false">IF($DD221&gt;$DC$8,"",VLOOKUP($DD221,$DF$9:$DL$508,4,FALSE()))</f>
        <v/>
      </c>
      <c r="DQ221" s="112" t="str">
        <f aca="false">IF($DD221&gt;$DC$8,"",VLOOKUP($DD221,$DF$9:$DL$508,5,FALSE()))</f>
        <v/>
      </c>
      <c r="DR221" s="113" t="str">
        <f aca="false">IF($DD221&gt;$DC$8,"",VLOOKUP($DD221,$DF$9:$DL$508,6,FALSE()))</f>
        <v/>
      </c>
      <c r="DS221" s="76"/>
    </row>
    <row r="222" customFormat="false" ht="15.75" hidden="false" customHeight="false" outlineLevel="0" collapsed="false">
      <c r="A222" s="9"/>
      <c r="B222" s="160"/>
      <c r="C222" s="161"/>
      <c r="D222" s="162"/>
      <c r="E222" s="180"/>
      <c r="F222" s="164"/>
      <c r="G222" s="165"/>
      <c r="H222" s="165"/>
      <c r="I222" s="181"/>
      <c r="J222" s="168"/>
      <c r="K222" s="128"/>
      <c r="L222" s="129"/>
      <c r="M222" s="130"/>
      <c r="N222" s="168"/>
      <c r="O222" s="168"/>
      <c r="P222" s="180"/>
      <c r="Q222" s="168"/>
      <c r="R222" s="168"/>
      <c r="S222" s="128"/>
      <c r="T222" s="130"/>
      <c r="U222" s="130"/>
      <c r="V222" s="168"/>
      <c r="W222" s="168"/>
      <c r="X222" s="180"/>
      <c r="Y222" s="168"/>
      <c r="Z222" s="169"/>
      <c r="AA222" s="168"/>
      <c r="AB222" s="134"/>
      <c r="AC222" s="135"/>
      <c r="AD222" s="135"/>
      <c r="AE222" s="135"/>
      <c r="AF222" s="135" t="str">
        <f aca="false">IF(ISBLANK($C222),"",IF(E222=Constants!$B$2,TRUE(),IF(E222=Constants!$B$3,FALSE(),TRUE())))</f>
        <v/>
      </c>
      <c r="AG222" s="135" t="str">
        <f aca="false">IF(ISBLANK($C222),"",IF(F222=Constants!$B$2,TRUE(),IF(F222=Constants!$B$3,FALSE(),TRUE())))</f>
        <v/>
      </c>
      <c r="AH222" s="135" t="str">
        <f aca="false">IF(ISBLANK($C222),"",IF(G222=Constants!$B$2,TRUE(),IF(G222=Constants!$B$3,FALSE(),TRUE())))</f>
        <v/>
      </c>
      <c r="AI222" s="135" t="str">
        <f aca="false">IF(ISBLANK($C222),"",IF(AND(ISNUMBER(H222),H222&gt;=0),H222,Constants!$B$24))</f>
        <v/>
      </c>
      <c r="AJ222" s="135" t="str">
        <f aca="false">IF(ISBLANK($C222),"",IF(I222=Constants!$B$2,TRUE(),IF(I222=Constants!$B$3,FALSE(),TRUE())))</f>
        <v/>
      </c>
      <c r="AK222" s="135" t="str">
        <f aca="false">IF(ISBLANK($C222),"",IF(J222=Constants!$B$2,TRUE(),IF(J222=Constants!$B$3,FALSE(),TRUE())))</f>
        <v/>
      </c>
      <c r="AL222" s="135" t="str">
        <f aca="false">IF(ISBLANK($C222),"",IF(K222=Constants!$B$4,TRUE(),IF(K222=Constants!$B$5,FALSE(),COUNTA(L222:P222)&gt;0)))</f>
        <v/>
      </c>
      <c r="AM222" s="136" t="str">
        <f aca="false">IF(ISBLANK($C222),"",IF(ISNUMBER(L222),IF(L222&gt;=0,L222,""),""))</f>
        <v/>
      </c>
      <c r="AN222" s="137" t="str">
        <f aca="false">IF(ISBLANK($C222),"",IF(ISNUMBER(M222),IF(M222&gt;=0,M222,""),""))</f>
        <v/>
      </c>
      <c r="AO222" s="137" t="str">
        <f aca="false">IF(ISBLANK($C222),"",IF(N222=Constants!$B$2,TRUE(),IF(N222=Constants!$B$3,FALSE(),TRUE())))</f>
        <v/>
      </c>
      <c r="AP222" s="135" t="str">
        <f aca="false">IF(ISBLANK($C222),"",IF(ISNUMBER(O222),IF(O222&gt;=0,O222,""),""))</f>
        <v/>
      </c>
      <c r="AQ222" s="135" t="str">
        <f aca="false">IF(ISBLANK($C222),"",IF(P222=Constants!$B$2,TRUE(),IF(P222=Constants!$B$3,FALSE(),FALSE())))</f>
        <v/>
      </c>
      <c r="AR222" s="135" t="str">
        <f aca="false">IF(ISBLANK($C222),"",IF(Q222=Constants!$B$2,TRUE(),IF(Q222=Constants!$B$3,FALSE(),TRUE())))</f>
        <v/>
      </c>
      <c r="AS222" s="135" t="str">
        <f aca="false">IF(ISBLANK($C222),"",IF(R222=Constants!$B$2,TRUE(),IF(R222=Constants!$B$3,FALSE(),TRUE())))</f>
        <v/>
      </c>
      <c r="AT222" s="135" t="str">
        <f aca="false">IF(ISBLANK($C222),"",IF(S222=Constants!$B$4,TRUE(),IF(S222=Constants!$B$5,FALSE(),COUNTA(T222:X222)&gt;0)))</f>
        <v/>
      </c>
      <c r="AU222" s="136" t="str">
        <f aca="false">IF(ISBLANK($C222),"",IF(ISNUMBER(T222),IF(T222&gt;=0,T222,""),""))</f>
        <v/>
      </c>
      <c r="AV222" s="137" t="str">
        <f aca="false">IF(ISBLANK($C222),"",IF(ISNUMBER(U222),IF(U222&gt;=0,U222,""),""))</f>
        <v/>
      </c>
      <c r="AW222" s="137" t="str">
        <f aca="false">IF(ISBLANK($C222),"",IF(V222=Constants!$B$2,TRUE(),IF(V222=Constants!$B$3,FALSE(),TRUE())))</f>
        <v/>
      </c>
      <c r="AX222" s="135" t="str">
        <f aca="false">IF(ISBLANK($C222),"",IF(ISNUMBER(W222),IF(W222&gt;=0,W222,""),""))</f>
        <v/>
      </c>
      <c r="AY222" s="135" t="str">
        <f aca="false">IF(ISBLANK($C222),"",IF(X222=Constants!$B$2,TRUE(),IF(X222=Constants!$B$3,FALSE(),FALSE())))</f>
        <v/>
      </c>
      <c r="AZ222" s="135" t="str">
        <f aca="false">IF(ISBLANK($C222),"",MIN(Constants!$B$25,MAX(0,IF(ISNUMBER(Y222),Y222*60,0)+IF(ISNUMBER(Z222),Z222,0))))</f>
        <v/>
      </c>
      <c r="BA222" s="135" t="str">
        <f aca="false">IF(ISBLANK($C222),"",IF(AA222=Constants!$B$2,TRUE(),IF(AA222=Constants!$B$3,FALSE(),FALSE())))</f>
        <v/>
      </c>
      <c r="BB222" s="134" t="str">
        <f aca="false">IF(ISBLANK($C222),"",AND($AL222,OR($AM222="",$AN222="",AND($AO222,$AP222=""))))</f>
        <v/>
      </c>
      <c r="BC222" s="137" t="str">
        <f aca="false">IF($BX222&lt;&gt;Constants!$B$6,"",IF($AL222,Constants!$B$17*$AN222+Constants!$B$18*IF($AO222,$AP222,Constants!$B$19),Constants!$B$20))</f>
        <v/>
      </c>
      <c r="BD222" s="138" t="str">
        <f aca="false">IF($BX222&lt;&gt;Constants!$B$6,"",Constants!$B$21*ABS($AD$9-IF($AL222,$AM222,0)))</f>
        <v/>
      </c>
      <c r="BE222" s="138" t="str">
        <f aca="false">IF($BX222&lt;&gt;Constants!$B$6,"",IF(AND($AL222,$AQ222,$AO222),Constants!$B$22,0))</f>
        <v/>
      </c>
      <c r="BF222" s="138" t="str">
        <f aca="false">IF($BX222&lt;&gt;Constants!$B$6,"",IF($AL222,($AI222-Constants!$B$24)*Constants!$B$23,0))</f>
        <v/>
      </c>
      <c r="BG222" s="138" t="str">
        <f aca="false">IF($BX222&lt;&gt;Constants!$B$6,"",IF($AK222,0,Constants!$B$12)+IF($AJ222,0,Constants!$B$13)+IF($AH222,0,Constants!$B$14))</f>
        <v/>
      </c>
      <c r="BH222" s="139" t="str">
        <f aca="false">IF($BX222&lt;&gt;Constants!$B$6,"",Constants!$B$16+SUM($BC222:$BG222))</f>
        <v/>
      </c>
      <c r="BI222" s="138" t="str">
        <f aca="false">IF($BX222&lt;&gt;Constants!$B$6,"",$BC222)</f>
        <v/>
      </c>
      <c r="BJ222" s="138" t="str">
        <f aca="false">IF($BX222&lt;&gt;Constants!$B$6,"",$BD222)</f>
        <v/>
      </c>
      <c r="BK222" s="140" t="str">
        <f aca="false">IF($BX222&lt;&gt;Constants!$B$6,"",IF($AL222,$AN222,""))</f>
        <v/>
      </c>
      <c r="BL222" s="135" t="str">
        <f aca="false">IF($BX222&lt;&gt;Constants!$B$6,"",IF(OR($BS222&lt;$BH222,AND($BS222=$BH222,OR($BT222&lt;$BI222,AND($BT222=$BI222,OR($BU222&lt;$BJ222,AND($BU222=$BJ222,AND(ISNUMBER($BV222),OR(NOT(ISNUMBER($BK222)),$BV222&lt;$BK222)))))))),"-&gt;","&lt;-"))</f>
        <v/>
      </c>
      <c r="BM222" s="134" t="str">
        <f aca="false">IF(ISBLANK($C222),"",AND($AT222,OR($AU222="",$AV222="",AND($AW222,$AX222=""))))</f>
        <v/>
      </c>
      <c r="BN222" s="137" t="str">
        <f aca="false">IF($BX222&lt;&gt;Constants!$B$6,"",IF($AT222,Constants!$B$17*$AV222+Constants!$B$18*IF($AW222,$AX222,Constants!$B$19),Constants!$B$20))</f>
        <v/>
      </c>
      <c r="BO222" s="138" t="str">
        <f aca="false">IF($BX222&lt;&gt;Constants!$B$6,"",Constants!$B$21*ABS($AD$9-IF($AT222,$AU222,0)))</f>
        <v/>
      </c>
      <c r="BP222" s="138" t="str">
        <f aca="false">IF($BX222&lt;&gt;Constants!$B$6,"",IF(AND($AT222,$AY222,$AW222),Constants!$B$22,0))</f>
        <v/>
      </c>
      <c r="BQ222" s="138" t="str">
        <f aca="false">IF($BX222&lt;&gt;Constants!$B$6,"",IF($AT222,($AI222-Constants!$B$24)*Constants!$B$23,0))</f>
        <v/>
      </c>
      <c r="BR222" s="138" t="str">
        <f aca="false">IF($BX222&lt;&gt;Constants!$B$6,"",IF($AS222,0,Constants!$B$12)+IF($AR222,0,Constants!$B$13)+IF($AH222,0,Constants!$B$14))</f>
        <v/>
      </c>
      <c r="BS222" s="139" t="str">
        <f aca="false">IF($BX222&lt;&gt;Constants!$B$6,"",Constants!$B$16+SUM($BN222:$BR222))</f>
        <v/>
      </c>
      <c r="BT222" s="138" t="str">
        <f aca="false">IF($BX222&lt;&gt;Constants!$B$6,"",$BN222)</f>
        <v/>
      </c>
      <c r="BU222" s="138" t="str">
        <f aca="false">IF($BX222&lt;&gt;Constants!$B$6,"",$BO222)</f>
        <v/>
      </c>
      <c r="BV222" s="140" t="str">
        <f aca="false">IF($BX222&lt;&gt;Constants!$B$6,"",IF($AT222,$AV222,""))</f>
        <v/>
      </c>
      <c r="BW222" s="135" t="str">
        <f aca="false">IF(ISBLANK($C222),"",IF(ISBLANK($D$7),$BW$5,IF(NOT(ISNUMBER($D$7)),$BW$6,"")))</f>
        <v/>
      </c>
      <c r="BX222" s="135" t="str">
        <f aca="false">IF(ISBLANK($C222),"",IF($BA222,Constants!$B$9,IF(COUNTA($E222:$AA222)=0,Constants!$B$8,IF(NOT($AG222),Constants!$B$7,IF(OR($BW222&lt;&gt;"",$BB222,$BM222),Constants!$B$10,Constants!$B$6)))))</f>
        <v/>
      </c>
      <c r="BY222" s="135" t="str">
        <f aca="false">IF(ISBLANK($C222),"",IF($BX222&lt;&gt;Constants!$B$6,$BX222,Constants!$B$11))</f>
        <v/>
      </c>
      <c r="BZ222" s="138" t="str">
        <f aca="false">IF($BX222&lt;&gt;Constants!$B$6,"",IF($BL222="-&gt;",$BS222,$BH222))</f>
        <v/>
      </c>
      <c r="CA222" s="138" t="str">
        <f aca="false">IF($BX222&lt;&gt;Constants!$B$6,"",IF($AF222,0,Constants!$B$15))</f>
        <v/>
      </c>
      <c r="CB222" s="138" t="str">
        <f aca="false">IF($BX222&lt;&gt;Constants!$B$6,"",((Constants!$B$25-$AZ222)-Constants!$B$25)/Constants!$B$26)</f>
        <v/>
      </c>
      <c r="CC222" s="138" t="str">
        <f aca="false">IF(ISBLANK($C222),"",IF($BX222&lt;&gt;Constants!$B$6,$BX222,SUM($BZ222:$CB222)))</f>
        <v/>
      </c>
      <c r="CD222" s="135" t="str">
        <f aca="false">IF(ISBLANK($C222),"",IF($BX222&lt;&gt;Constants!$B$6,$BX222,RANK($CC222,$CC$9:$CC$508,1)))</f>
        <v/>
      </c>
      <c r="CE222" s="138" t="str">
        <f aca="false">IF($BX222&lt;&gt;Constants!$B$6,"",IF($BL222="-&gt;",$BT222,$BI222))</f>
        <v/>
      </c>
      <c r="CF222" s="135" t="str">
        <f aca="false">IF(ISBLANK($C222),"",IF($BX222&lt;&gt;Constants!$B$6,$BX222,IF(ISNUMBER($CE222),RANK($CE222,$CE$9:$CE$508,1),COUNT($CE$9:$CE$508)+1)))</f>
        <v/>
      </c>
      <c r="CG222" s="138" t="str">
        <f aca="false">IF($BX222&lt;&gt;Constants!$B$6,"",IF($BL222="-&gt;",$BU222,$BJ222))</f>
        <v/>
      </c>
      <c r="CH222" s="135" t="str">
        <f aca="false">IF(ISBLANK($C222),"",IF($BX222&lt;&gt;Constants!$B$6,$BX222,IF(ISNUMBER($CG222),RANK($CG222,$CG$9:$CG$508,1),COUNT($CG$9:$CG$508)+1)))</f>
        <v/>
      </c>
      <c r="CI222" s="138" t="str">
        <f aca="false">IF($BX222&lt;&gt;Constants!$B$6,"",IF($BL222="-&gt;",$BV222,$BK222))</f>
        <v/>
      </c>
      <c r="CJ222" s="135" t="str">
        <f aca="false">IF(ISBLANK($C222),"",IF($BX222&lt;&gt;Constants!$B$6,$BX222,IF(ISNUMBER($CI222),RANK($CI222,$CI$9:$CI$508,1),COUNT($CI$9:$CI$508)+1)))</f>
        <v/>
      </c>
      <c r="CK222" s="138" t="str">
        <f aca="false">IF($BX222&lt;&gt;Constants!$B$6,"",$AI222)</f>
        <v/>
      </c>
      <c r="CL222" s="135" t="str">
        <f aca="false">IF(ISBLANK($C222),"",IF($BX222&lt;&gt;Constants!$B$6,$BX222,IF(ISNUMBER($CK222),RANK($CK222,$CK$9:$CK$508,1),COUNT($CK$9:$CK$508)+1)))</f>
        <v/>
      </c>
      <c r="CM222" s="135" t="str">
        <f aca="false">IF(ISBLANK($C222),"",IF($BX222&lt;&gt;Constants!$B$6,$BX222,COUNTIFS($CD$9:$CD$508,"&lt;"&amp;$CD222)+COUNTIFS($CD$9:$CD$508,$CD222,$CF$9:$CF$508,"&lt;"&amp;$CF222)+COUNTIFS($CD$9:$CD$508,$CD222,$CF$9:$CF$508,$CF222,$CH$9:$CH$508,"&lt;"&amp;$CH222)+COUNTIFS($CD$9:$CD$508,$CD222,$CF$9:$CF$508,$CF222,$CH$9:$CH$508,$CH222,$CJ$9:$CJ$508,"&lt;"&amp;$CJ222)+COUNTIFS($CD$9:$CD$508,$CD222,$CF$9:$CF$508,$CF222,$CH$9:$CH$508,$CH222,$CJ$9:$CJ$508,$CJ222,$CL$9:$CL$508,"&lt;"&amp;$CL222)+1))</f>
        <v/>
      </c>
      <c r="CN222" s="135" t="str">
        <f aca="false">IF(ISBLANK($C222),"",IF($BX222&lt;&gt;Constants!$B$6,$BX222,$CD222-$CM222))</f>
        <v/>
      </c>
      <c r="CO222" s="141"/>
      <c r="CP222" s="142"/>
      <c r="CQ222" s="143" t="str">
        <f aca="false">IF(ISBLANK($C222),"",IF($BX222=Constants!$B$10,$BW222,""))</f>
        <v/>
      </c>
      <c r="CR222" s="142" t="str">
        <f aca="false">IF(ISBLANK($C222),"",IF($BX222&lt;&gt;Constants!$B$6,"",IF($BL222="-&gt;",2,1)))</f>
        <v/>
      </c>
      <c r="CS222" s="144" t="str">
        <f aca="false">IF(ISBLANK($C222),"",IF($BX222&lt;&gt;Constants!$B$6,"",IF($BL222="-&gt;",$BN222,$BC222)))</f>
        <v/>
      </c>
      <c r="CT222" s="144" t="str">
        <f aca="false">IF(ISBLANK($C222),"",IF($BX222&lt;&gt;Constants!$B$6,"",IF($BL222="-&gt;",$BO222,$BD222)))</f>
        <v/>
      </c>
      <c r="CU222" s="144" t="str">
        <f aca="false">IF(ISBLANK($C222),"",IF($BX222&lt;&gt;Constants!$B$6,"",IF($BL222="-&gt;",$BP222+$BQ222,$BE222+$BF222)+$CB222))</f>
        <v/>
      </c>
      <c r="CV222" s="144" t="str">
        <f aca="false">IF(ISBLANK($C222),"",IF($BX222&lt;&gt;Constants!$B$6,"",IF($BL222="-&gt;",$BR222,$BG222)+$CA222))</f>
        <v/>
      </c>
      <c r="CW222" s="145" t="str">
        <f aca="false">IF(ISBLANK($C222),"",IF($BX222&lt;&gt;Constants!$B$6,$BX222,$CC222))</f>
        <v/>
      </c>
      <c r="CX222" s="146" t="str">
        <f aca="false">IF(ISBLANK($C222),"",$BY222)</f>
        <v/>
      </c>
      <c r="CY222" s="147" t="str">
        <f aca="false">IF(ISBLANK($C222),"",$CN222)</f>
        <v/>
      </c>
      <c r="CZ222" s="147" t="str">
        <f aca="false">IF(ISBLANK($C222),"",$CM222)</f>
        <v/>
      </c>
      <c r="DA222" s="148" t="str">
        <f aca="false">IF(ISBLANK($C222),"",IFERROR(_xlfn.SWITCH($CZ222,Constants!$B$9,COUNTA($C$9:$C$508)+2,Constants!$B$8,COUNTA($C$9:$C$508)+1,Constants!$B$7,COUNTA($C$9:$C$508)),$CZ222))</f>
        <v/>
      </c>
      <c r="DB222" s="9"/>
      <c r="DC222" s="149" t="n">
        <f aca="false">IF(OR(ISNUMBER($CZ222),$CZ222=Constants!$B$9,$CZ222=Constants!$B$7,$CZ222=Constants!$B$8),1,0)</f>
        <v>0</v>
      </c>
      <c r="DD222" s="149" t="n">
        <v>214</v>
      </c>
      <c r="DE222" s="149" t="str">
        <f aca="false">IF(ISBLANK($C222),"",IF(ISNUMBER($DA222),$DA222+ROW($B222)/1000,""))</f>
        <v/>
      </c>
      <c r="DF222" s="149" t="str">
        <f aca="false">IF(ISNUMBER($DE222),RANK($DE222,$DE$9:$DE$508,1),"")</f>
        <v/>
      </c>
      <c r="DG222" s="149" t="str">
        <f aca="false">IF(ISBLANK($C222),"",$B222)</f>
        <v/>
      </c>
      <c r="DH222" s="149" t="str">
        <f aca="false">IF(ISBLANK($C222),"",$C222)</f>
        <v/>
      </c>
      <c r="DI222" s="149" t="str">
        <f aca="false">IF(ISBLANK($C222),"",$D222)</f>
        <v/>
      </c>
      <c r="DJ222" s="150" t="str">
        <f aca="false">$CX222</f>
        <v/>
      </c>
      <c r="DK222" s="151" t="str">
        <f aca="false">$CW222</f>
        <v/>
      </c>
      <c r="DL222" s="149" t="str">
        <f aca="false">IF(ISBLANK($C222),"",$CZ222)</f>
        <v/>
      </c>
      <c r="DM222" s="152" t="str">
        <f aca="false">IF($DD222&gt;$DC$8,"",VLOOKUP($DD222,$DF$9:$DL$508,7,FALSE()))</f>
        <v/>
      </c>
      <c r="DN222" s="153" t="str">
        <f aca="false">IF($DD222&gt;$DC$8,"",VLOOKUP($DD222,$DF$9:$DL$508,2,FALSE()))</f>
        <v/>
      </c>
      <c r="DO222" s="153" t="str">
        <f aca="false">IF($DD222&gt;$DC$8,"",VLOOKUP($DD222,$DF$9:$DL$508,3,FALSE()))</f>
        <v/>
      </c>
      <c r="DP222" s="153" t="str">
        <f aca="false">IF($DD222&gt;$DC$8,"",VLOOKUP($DD222,$DF$9:$DL$508,4,FALSE()))</f>
        <v/>
      </c>
      <c r="DQ222" s="153" t="str">
        <f aca="false">IF($DD222&gt;$DC$8,"",VLOOKUP($DD222,$DF$9:$DL$508,5,FALSE()))</f>
        <v/>
      </c>
      <c r="DR222" s="154" t="str">
        <f aca="false">IF($DD222&gt;$DC$8,"",VLOOKUP($DD222,$DF$9:$DL$508,6,FALSE()))</f>
        <v/>
      </c>
      <c r="DS222" s="76"/>
    </row>
    <row r="223" customFormat="false" ht="15.75" hidden="false" customHeight="false" outlineLevel="0" collapsed="false">
      <c r="A223" s="9"/>
      <c r="B223" s="160"/>
      <c r="C223" s="161"/>
      <c r="D223" s="162"/>
      <c r="E223" s="180"/>
      <c r="F223" s="164"/>
      <c r="G223" s="165"/>
      <c r="H223" s="165"/>
      <c r="I223" s="181"/>
      <c r="J223" s="168"/>
      <c r="K223" s="128"/>
      <c r="L223" s="129"/>
      <c r="M223" s="130"/>
      <c r="N223" s="168"/>
      <c r="O223" s="168"/>
      <c r="P223" s="180"/>
      <c r="Q223" s="168"/>
      <c r="R223" s="168"/>
      <c r="S223" s="128"/>
      <c r="T223" s="130"/>
      <c r="U223" s="130"/>
      <c r="V223" s="168"/>
      <c r="W223" s="168"/>
      <c r="X223" s="180"/>
      <c r="Y223" s="168"/>
      <c r="Z223" s="169"/>
      <c r="AA223" s="168"/>
      <c r="AB223" s="134"/>
      <c r="AC223" s="135"/>
      <c r="AD223" s="135"/>
      <c r="AE223" s="135"/>
      <c r="AF223" s="135" t="str">
        <f aca="false">IF(ISBLANK($C223),"",IF(E223=Constants!$B$2,TRUE(),IF(E223=Constants!$B$3,FALSE(),TRUE())))</f>
        <v/>
      </c>
      <c r="AG223" s="135" t="str">
        <f aca="false">IF(ISBLANK($C223),"",IF(F223=Constants!$B$2,TRUE(),IF(F223=Constants!$B$3,FALSE(),TRUE())))</f>
        <v/>
      </c>
      <c r="AH223" s="135" t="str">
        <f aca="false">IF(ISBLANK($C223),"",IF(G223=Constants!$B$2,TRUE(),IF(G223=Constants!$B$3,FALSE(),TRUE())))</f>
        <v/>
      </c>
      <c r="AI223" s="135" t="str">
        <f aca="false">IF(ISBLANK($C223),"",IF(AND(ISNUMBER(H223),H223&gt;=0),H223,Constants!$B$24))</f>
        <v/>
      </c>
      <c r="AJ223" s="135" t="str">
        <f aca="false">IF(ISBLANK($C223),"",IF(I223=Constants!$B$2,TRUE(),IF(I223=Constants!$B$3,FALSE(),TRUE())))</f>
        <v/>
      </c>
      <c r="AK223" s="135" t="str">
        <f aca="false">IF(ISBLANK($C223),"",IF(J223=Constants!$B$2,TRUE(),IF(J223=Constants!$B$3,FALSE(),TRUE())))</f>
        <v/>
      </c>
      <c r="AL223" s="135" t="str">
        <f aca="false">IF(ISBLANK($C223),"",IF(K223=Constants!$B$4,TRUE(),IF(K223=Constants!$B$5,FALSE(),COUNTA(L223:P223)&gt;0)))</f>
        <v/>
      </c>
      <c r="AM223" s="136" t="str">
        <f aca="false">IF(ISBLANK($C223),"",IF(ISNUMBER(L223),IF(L223&gt;=0,L223,""),""))</f>
        <v/>
      </c>
      <c r="AN223" s="137" t="str">
        <f aca="false">IF(ISBLANK($C223),"",IF(ISNUMBER(M223),IF(M223&gt;=0,M223,""),""))</f>
        <v/>
      </c>
      <c r="AO223" s="137" t="str">
        <f aca="false">IF(ISBLANK($C223),"",IF(N223=Constants!$B$2,TRUE(),IF(N223=Constants!$B$3,FALSE(),TRUE())))</f>
        <v/>
      </c>
      <c r="AP223" s="135" t="str">
        <f aca="false">IF(ISBLANK($C223),"",IF(ISNUMBER(O223),IF(O223&gt;=0,O223,""),""))</f>
        <v/>
      </c>
      <c r="AQ223" s="135" t="str">
        <f aca="false">IF(ISBLANK($C223),"",IF(P223=Constants!$B$2,TRUE(),IF(P223=Constants!$B$3,FALSE(),FALSE())))</f>
        <v/>
      </c>
      <c r="AR223" s="135" t="str">
        <f aca="false">IF(ISBLANK($C223),"",IF(Q223=Constants!$B$2,TRUE(),IF(Q223=Constants!$B$3,FALSE(),TRUE())))</f>
        <v/>
      </c>
      <c r="AS223" s="135" t="str">
        <f aca="false">IF(ISBLANK($C223),"",IF(R223=Constants!$B$2,TRUE(),IF(R223=Constants!$B$3,FALSE(),TRUE())))</f>
        <v/>
      </c>
      <c r="AT223" s="135" t="str">
        <f aca="false">IF(ISBLANK($C223),"",IF(S223=Constants!$B$4,TRUE(),IF(S223=Constants!$B$5,FALSE(),COUNTA(T223:X223)&gt;0)))</f>
        <v/>
      </c>
      <c r="AU223" s="136" t="str">
        <f aca="false">IF(ISBLANK($C223),"",IF(ISNUMBER(T223),IF(T223&gt;=0,T223,""),""))</f>
        <v/>
      </c>
      <c r="AV223" s="137" t="str">
        <f aca="false">IF(ISBLANK($C223),"",IF(ISNUMBER(U223),IF(U223&gt;=0,U223,""),""))</f>
        <v/>
      </c>
      <c r="AW223" s="137" t="str">
        <f aca="false">IF(ISBLANK($C223),"",IF(V223=Constants!$B$2,TRUE(),IF(V223=Constants!$B$3,FALSE(),TRUE())))</f>
        <v/>
      </c>
      <c r="AX223" s="135" t="str">
        <f aca="false">IF(ISBLANK($C223),"",IF(ISNUMBER(W223),IF(W223&gt;=0,W223,""),""))</f>
        <v/>
      </c>
      <c r="AY223" s="135" t="str">
        <f aca="false">IF(ISBLANK($C223),"",IF(X223=Constants!$B$2,TRUE(),IF(X223=Constants!$B$3,FALSE(),FALSE())))</f>
        <v/>
      </c>
      <c r="AZ223" s="135" t="str">
        <f aca="false">IF(ISBLANK($C223),"",MIN(Constants!$B$25,MAX(0,IF(ISNUMBER(Y223),Y223*60,0)+IF(ISNUMBER(Z223),Z223,0))))</f>
        <v/>
      </c>
      <c r="BA223" s="135" t="str">
        <f aca="false">IF(ISBLANK($C223),"",IF(AA223=Constants!$B$2,TRUE(),IF(AA223=Constants!$B$3,FALSE(),FALSE())))</f>
        <v/>
      </c>
      <c r="BB223" s="134" t="str">
        <f aca="false">IF(ISBLANK($C223),"",AND($AL223,OR($AM223="",$AN223="",AND($AO223,$AP223=""))))</f>
        <v/>
      </c>
      <c r="BC223" s="137" t="str">
        <f aca="false">IF($BX223&lt;&gt;Constants!$B$6,"",IF($AL223,Constants!$B$17*$AN223+Constants!$B$18*IF($AO223,$AP223,Constants!$B$19),Constants!$B$20))</f>
        <v/>
      </c>
      <c r="BD223" s="138" t="str">
        <f aca="false">IF($BX223&lt;&gt;Constants!$B$6,"",Constants!$B$21*ABS($AD$9-IF($AL223,$AM223,0)))</f>
        <v/>
      </c>
      <c r="BE223" s="138" t="str">
        <f aca="false">IF($BX223&lt;&gt;Constants!$B$6,"",IF(AND($AL223,$AQ223,$AO223),Constants!$B$22,0))</f>
        <v/>
      </c>
      <c r="BF223" s="138" t="str">
        <f aca="false">IF($BX223&lt;&gt;Constants!$B$6,"",IF($AL223,($AI223-Constants!$B$24)*Constants!$B$23,0))</f>
        <v/>
      </c>
      <c r="BG223" s="138" t="str">
        <f aca="false">IF($BX223&lt;&gt;Constants!$B$6,"",IF($AK223,0,Constants!$B$12)+IF($AJ223,0,Constants!$B$13)+IF($AH223,0,Constants!$B$14))</f>
        <v/>
      </c>
      <c r="BH223" s="139" t="str">
        <f aca="false">IF($BX223&lt;&gt;Constants!$B$6,"",Constants!$B$16+SUM($BC223:$BG223))</f>
        <v/>
      </c>
      <c r="BI223" s="138" t="str">
        <f aca="false">IF($BX223&lt;&gt;Constants!$B$6,"",$BC223)</f>
        <v/>
      </c>
      <c r="BJ223" s="138" t="str">
        <f aca="false">IF($BX223&lt;&gt;Constants!$B$6,"",$BD223)</f>
        <v/>
      </c>
      <c r="BK223" s="140" t="str">
        <f aca="false">IF($BX223&lt;&gt;Constants!$B$6,"",IF($AL223,$AN223,""))</f>
        <v/>
      </c>
      <c r="BL223" s="135" t="str">
        <f aca="false">IF($BX223&lt;&gt;Constants!$B$6,"",IF(OR($BS223&lt;$BH223,AND($BS223=$BH223,OR($BT223&lt;$BI223,AND($BT223=$BI223,OR($BU223&lt;$BJ223,AND($BU223=$BJ223,AND(ISNUMBER($BV223),OR(NOT(ISNUMBER($BK223)),$BV223&lt;$BK223)))))))),"-&gt;","&lt;-"))</f>
        <v/>
      </c>
      <c r="BM223" s="134" t="str">
        <f aca="false">IF(ISBLANK($C223),"",AND($AT223,OR($AU223="",$AV223="",AND($AW223,$AX223=""))))</f>
        <v/>
      </c>
      <c r="BN223" s="137" t="str">
        <f aca="false">IF($BX223&lt;&gt;Constants!$B$6,"",IF($AT223,Constants!$B$17*$AV223+Constants!$B$18*IF($AW223,$AX223,Constants!$B$19),Constants!$B$20))</f>
        <v/>
      </c>
      <c r="BO223" s="138" t="str">
        <f aca="false">IF($BX223&lt;&gt;Constants!$B$6,"",Constants!$B$21*ABS($AD$9-IF($AT223,$AU223,0)))</f>
        <v/>
      </c>
      <c r="BP223" s="138" t="str">
        <f aca="false">IF($BX223&lt;&gt;Constants!$B$6,"",IF(AND($AT223,$AY223,$AW223),Constants!$B$22,0))</f>
        <v/>
      </c>
      <c r="BQ223" s="138" t="str">
        <f aca="false">IF($BX223&lt;&gt;Constants!$B$6,"",IF($AT223,($AI223-Constants!$B$24)*Constants!$B$23,0))</f>
        <v/>
      </c>
      <c r="BR223" s="138" t="str">
        <f aca="false">IF($BX223&lt;&gt;Constants!$B$6,"",IF($AS223,0,Constants!$B$12)+IF($AR223,0,Constants!$B$13)+IF($AH223,0,Constants!$B$14))</f>
        <v/>
      </c>
      <c r="BS223" s="139" t="str">
        <f aca="false">IF($BX223&lt;&gt;Constants!$B$6,"",Constants!$B$16+SUM($BN223:$BR223))</f>
        <v/>
      </c>
      <c r="BT223" s="138" t="str">
        <f aca="false">IF($BX223&lt;&gt;Constants!$B$6,"",$BN223)</f>
        <v/>
      </c>
      <c r="BU223" s="138" t="str">
        <f aca="false">IF($BX223&lt;&gt;Constants!$B$6,"",$BO223)</f>
        <v/>
      </c>
      <c r="BV223" s="140" t="str">
        <f aca="false">IF($BX223&lt;&gt;Constants!$B$6,"",IF($AT223,$AV223,""))</f>
        <v/>
      </c>
      <c r="BW223" s="135" t="str">
        <f aca="false">IF(ISBLANK($C223),"",IF(ISBLANK($D$7),$BW$5,IF(NOT(ISNUMBER($D$7)),$BW$6,"")))</f>
        <v/>
      </c>
      <c r="BX223" s="135" t="str">
        <f aca="false">IF(ISBLANK($C223),"",IF($BA223,Constants!$B$9,IF(COUNTA($E223:$AA223)=0,Constants!$B$8,IF(NOT($AG223),Constants!$B$7,IF(OR($BW223&lt;&gt;"",$BB223,$BM223),Constants!$B$10,Constants!$B$6)))))</f>
        <v/>
      </c>
      <c r="BY223" s="135" t="str">
        <f aca="false">IF(ISBLANK($C223),"",IF($BX223&lt;&gt;Constants!$B$6,$BX223,Constants!$B$11))</f>
        <v/>
      </c>
      <c r="BZ223" s="138" t="str">
        <f aca="false">IF($BX223&lt;&gt;Constants!$B$6,"",IF($BL223="-&gt;",$BS223,$BH223))</f>
        <v/>
      </c>
      <c r="CA223" s="138" t="str">
        <f aca="false">IF($BX223&lt;&gt;Constants!$B$6,"",IF($AF223,0,Constants!$B$15))</f>
        <v/>
      </c>
      <c r="CB223" s="138" t="str">
        <f aca="false">IF($BX223&lt;&gt;Constants!$B$6,"",((Constants!$B$25-$AZ223)-Constants!$B$25)/Constants!$B$26)</f>
        <v/>
      </c>
      <c r="CC223" s="138" t="str">
        <f aca="false">IF(ISBLANK($C223),"",IF($BX223&lt;&gt;Constants!$B$6,$BX223,SUM($BZ223:$CB223)))</f>
        <v/>
      </c>
      <c r="CD223" s="135" t="str">
        <f aca="false">IF(ISBLANK($C223),"",IF($BX223&lt;&gt;Constants!$B$6,$BX223,RANK($CC223,$CC$9:$CC$508,1)))</f>
        <v/>
      </c>
      <c r="CE223" s="138" t="str">
        <f aca="false">IF($BX223&lt;&gt;Constants!$B$6,"",IF($BL223="-&gt;",$BT223,$BI223))</f>
        <v/>
      </c>
      <c r="CF223" s="135" t="str">
        <f aca="false">IF(ISBLANK($C223),"",IF($BX223&lt;&gt;Constants!$B$6,$BX223,IF(ISNUMBER($CE223),RANK($CE223,$CE$9:$CE$508,1),COUNT($CE$9:$CE$508)+1)))</f>
        <v/>
      </c>
      <c r="CG223" s="138" t="str">
        <f aca="false">IF($BX223&lt;&gt;Constants!$B$6,"",IF($BL223="-&gt;",$BU223,$BJ223))</f>
        <v/>
      </c>
      <c r="CH223" s="135" t="str">
        <f aca="false">IF(ISBLANK($C223),"",IF($BX223&lt;&gt;Constants!$B$6,$BX223,IF(ISNUMBER($CG223),RANK($CG223,$CG$9:$CG$508,1),COUNT($CG$9:$CG$508)+1)))</f>
        <v/>
      </c>
      <c r="CI223" s="138" t="str">
        <f aca="false">IF($BX223&lt;&gt;Constants!$B$6,"",IF($BL223="-&gt;",$BV223,$BK223))</f>
        <v/>
      </c>
      <c r="CJ223" s="135" t="str">
        <f aca="false">IF(ISBLANK($C223),"",IF($BX223&lt;&gt;Constants!$B$6,$BX223,IF(ISNUMBER($CI223),RANK($CI223,$CI$9:$CI$508,1),COUNT($CI$9:$CI$508)+1)))</f>
        <v/>
      </c>
      <c r="CK223" s="138" t="str">
        <f aca="false">IF($BX223&lt;&gt;Constants!$B$6,"",$AI223)</f>
        <v/>
      </c>
      <c r="CL223" s="135" t="str">
        <f aca="false">IF(ISBLANK($C223),"",IF($BX223&lt;&gt;Constants!$B$6,$BX223,IF(ISNUMBER($CK223),RANK($CK223,$CK$9:$CK$508,1),COUNT($CK$9:$CK$508)+1)))</f>
        <v/>
      </c>
      <c r="CM223" s="135" t="str">
        <f aca="false">IF(ISBLANK($C223),"",IF($BX223&lt;&gt;Constants!$B$6,$BX223,COUNTIFS($CD$9:$CD$508,"&lt;"&amp;$CD223)+COUNTIFS($CD$9:$CD$508,$CD223,$CF$9:$CF$508,"&lt;"&amp;$CF223)+COUNTIFS($CD$9:$CD$508,$CD223,$CF$9:$CF$508,$CF223,$CH$9:$CH$508,"&lt;"&amp;$CH223)+COUNTIFS($CD$9:$CD$508,$CD223,$CF$9:$CF$508,$CF223,$CH$9:$CH$508,$CH223,$CJ$9:$CJ$508,"&lt;"&amp;$CJ223)+COUNTIFS($CD$9:$CD$508,$CD223,$CF$9:$CF$508,$CF223,$CH$9:$CH$508,$CH223,$CJ$9:$CJ$508,$CJ223,$CL$9:$CL$508,"&lt;"&amp;$CL223)+1))</f>
        <v/>
      </c>
      <c r="CN223" s="135" t="str">
        <f aca="false">IF(ISBLANK($C223),"",IF($BX223&lt;&gt;Constants!$B$6,$BX223,$CD223-$CM223))</f>
        <v/>
      </c>
      <c r="CO223" s="141"/>
      <c r="CP223" s="142"/>
      <c r="CQ223" s="143" t="str">
        <f aca="false">IF(ISBLANK($C223),"",IF($BX223=Constants!$B$10,$BW223,""))</f>
        <v/>
      </c>
      <c r="CR223" s="142" t="str">
        <f aca="false">IF(ISBLANK($C223),"",IF($BX223&lt;&gt;Constants!$B$6,"",IF($BL223="-&gt;",2,1)))</f>
        <v/>
      </c>
      <c r="CS223" s="144" t="str">
        <f aca="false">IF(ISBLANK($C223),"",IF($BX223&lt;&gt;Constants!$B$6,"",IF($BL223="-&gt;",$BN223,$BC223)))</f>
        <v/>
      </c>
      <c r="CT223" s="144" t="str">
        <f aca="false">IF(ISBLANK($C223),"",IF($BX223&lt;&gt;Constants!$B$6,"",IF($BL223="-&gt;",$BO223,$BD223)))</f>
        <v/>
      </c>
      <c r="CU223" s="144" t="str">
        <f aca="false">IF(ISBLANK($C223),"",IF($BX223&lt;&gt;Constants!$B$6,"",IF($BL223="-&gt;",$BP223+$BQ223,$BE223+$BF223)+$CB223))</f>
        <v/>
      </c>
      <c r="CV223" s="144" t="str">
        <f aca="false">IF(ISBLANK($C223),"",IF($BX223&lt;&gt;Constants!$B$6,"",IF($BL223="-&gt;",$BR223,$BG223)+$CA223))</f>
        <v/>
      </c>
      <c r="CW223" s="145" t="str">
        <f aca="false">IF(ISBLANK($C223),"",IF($BX223&lt;&gt;Constants!$B$6,$BX223,$CC223))</f>
        <v/>
      </c>
      <c r="CX223" s="146" t="str">
        <f aca="false">IF(ISBLANK($C223),"",$BY223)</f>
        <v/>
      </c>
      <c r="CY223" s="147" t="str">
        <f aca="false">IF(ISBLANK($C223),"",$CN223)</f>
        <v/>
      </c>
      <c r="CZ223" s="147" t="str">
        <f aca="false">IF(ISBLANK($C223),"",$CM223)</f>
        <v/>
      </c>
      <c r="DA223" s="148" t="str">
        <f aca="false">IF(ISBLANK($C223),"",IFERROR(_xlfn.SWITCH($CZ223,Constants!$B$9,COUNTA($C$9:$C$508)+2,Constants!$B$8,COUNTA($C$9:$C$508)+1,Constants!$B$7,COUNTA($C$9:$C$508)),$CZ223))</f>
        <v/>
      </c>
      <c r="DB223" s="9"/>
      <c r="DC223" s="149" t="n">
        <f aca="false">IF(OR(ISNUMBER($CZ223),$CZ223=Constants!$B$9,$CZ223=Constants!$B$7,$CZ223=Constants!$B$8),1,0)</f>
        <v>0</v>
      </c>
      <c r="DD223" s="149" t="n">
        <v>215</v>
      </c>
      <c r="DE223" s="149" t="str">
        <f aca="false">IF(ISBLANK($C223),"",IF(ISNUMBER($DA223),$DA223+ROW($B223)/1000,""))</f>
        <v/>
      </c>
      <c r="DF223" s="149" t="str">
        <f aca="false">IF(ISNUMBER($DE223),RANK($DE223,$DE$9:$DE$508,1),"")</f>
        <v/>
      </c>
      <c r="DG223" s="149" t="str">
        <f aca="false">IF(ISBLANK($C223),"",$B223)</f>
        <v/>
      </c>
      <c r="DH223" s="149" t="str">
        <f aca="false">IF(ISBLANK($C223),"",$C223)</f>
        <v/>
      </c>
      <c r="DI223" s="149" t="str">
        <f aca="false">IF(ISBLANK($C223),"",$D223)</f>
        <v/>
      </c>
      <c r="DJ223" s="150" t="str">
        <f aca="false">$CX223</f>
        <v/>
      </c>
      <c r="DK223" s="151" t="str">
        <f aca="false">$CW223</f>
        <v/>
      </c>
      <c r="DL223" s="149" t="str">
        <f aca="false">IF(ISBLANK($C223),"",$CZ223)</f>
        <v/>
      </c>
      <c r="DM223" s="152" t="str">
        <f aca="false">IF($DD223&gt;$DC$8,"",VLOOKUP($DD223,$DF$9:$DL$508,7,FALSE()))</f>
        <v/>
      </c>
      <c r="DN223" s="153" t="str">
        <f aca="false">IF($DD223&gt;$DC$8,"",VLOOKUP($DD223,$DF$9:$DL$508,2,FALSE()))</f>
        <v/>
      </c>
      <c r="DO223" s="153" t="str">
        <f aca="false">IF($DD223&gt;$DC$8,"",VLOOKUP($DD223,$DF$9:$DL$508,3,FALSE()))</f>
        <v/>
      </c>
      <c r="DP223" s="153" t="str">
        <f aca="false">IF($DD223&gt;$DC$8,"",VLOOKUP($DD223,$DF$9:$DL$508,4,FALSE()))</f>
        <v/>
      </c>
      <c r="DQ223" s="153" t="str">
        <f aca="false">IF($DD223&gt;$DC$8,"",VLOOKUP($DD223,$DF$9:$DL$508,5,FALSE()))</f>
        <v/>
      </c>
      <c r="DR223" s="154" t="str">
        <f aca="false">IF($DD223&gt;$DC$8,"",VLOOKUP($DD223,$DF$9:$DL$508,6,FALSE()))</f>
        <v/>
      </c>
      <c r="DS223" s="76"/>
    </row>
    <row r="224" customFormat="false" ht="15.75" hidden="false" customHeight="false" outlineLevel="0" collapsed="false">
      <c r="A224" s="9"/>
      <c r="B224" s="160"/>
      <c r="C224" s="161"/>
      <c r="D224" s="162"/>
      <c r="E224" s="180"/>
      <c r="F224" s="164"/>
      <c r="G224" s="165"/>
      <c r="H224" s="165"/>
      <c r="I224" s="181"/>
      <c r="J224" s="168"/>
      <c r="K224" s="128"/>
      <c r="L224" s="129"/>
      <c r="M224" s="130"/>
      <c r="N224" s="168"/>
      <c r="O224" s="168"/>
      <c r="P224" s="180"/>
      <c r="Q224" s="168"/>
      <c r="R224" s="168"/>
      <c r="S224" s="128"/>
      <c r="T224" s="130"/>
      <c r="U224" s="130"/>
      <c r="V224" s="168"/>
      <c r="W224" s="168"/>
      <c r="X224" s="180"/>
      <c r="Y224" s="168"/>
      <c r="Z224" s="169"/>
      <c r="AA224" s="168"/>
      <c r="AB224" s="134"/>
      <c r="AC224" s="135"/>
      <c r="AD224" s="135"/>
      <c r="AE224" s="135"/>
      <c r="AF224" s="135" t="str">
        <f aca="false">IF(ISBLANK($C224),"",IF(E224=Constants!$B$2,TRUE(),IF(E224=Constants!$B$3,FALSE(),TRUE())))</f>
        <v/>
      </c>
      <c r="AG224" s="135" t="str">
        <f aca="false">IF(ISBLANK($C224),"",IF(F224=Constants!$B$2,TRUE(),IF(F224=Constants!$B$3,FALSE(),TRUE())))</f>
        <v/>
      </c>
      <c r="AH224" s="135" t="str">
        <f aca="false">IF(ISBLANK($C224),"",IF(G224=Constants!$B$2,TRUE(),IF(G224=Constants!$B$3,FALSE(),TRUE())))</f>
        <v/>
      </c>
      <c r="AI224" s="135" t="str">
        <f aca="false">IF(ISBLANK($C224),"",IF(AND(ISNUMBER(H224),H224&gt;=0),H224,Constants!$B$24))</f>
        <v/>
      </c>
      <c r="AJ224" s="135" t="str">
        <f aca="false">IF(ISBLANK($C224),"",IF(I224=Constants!$B$2,TRUE(),IF(I224=Constants!$B$3,FALSE(),TRUE())))</f>
        <v/>
      </c>
      <c r="AK224" s="135" t="str">
        <f aca="false">IF(ISBLANK($C224),"",IF(J224=Constants!$B$2,TRUE(),IF(J224=Constants!$B$3,FALSE(),TRUE())))</f>
        <v/>
      </c>
      <c r="AL224" s="135" t="str">
        <f aca="false">IF(ISBLANK($C224),"",IF(K224=Constants!$B$4,TRUE(),IF(K224=Constants!$B$5,FALSE(),COUNTA(L224:P224)&gt;0)))</f>
        <v/>
      </c>
      <c r="AM224" s="136" t="str">
        <f aca="false">IF(ISBLANK($C224),"",IF(ISNUMBER(L224),IF(L224&gt;=0,L224,""),""))</f>
        <v/>
      </c>
      <c r="AN224" s="137" t="str">
        <f aca="false">IF(ISBLANK($C224),"",IF(ISNUMBER(M224),IF(M224&gt;=0,M224,""),""))</f>
        <v/>
      </c>
      <c r="AO224" s="137" t="str">
        <f aca="false">IF(ISBLANK($C224),"",IF(N224=Constants!$B$2,TRUE(),IF(N224=Constants!$B$3,FALSE(),TRUE())))</f>
        <v/>
      </c>
      <c r="AP224" s="135" t="str">
        <f aca="false">IF(ISBLANK($C224),"",IF(ISNUMBER(O224),IF(O224&gt;=0,O224,""),""))</f>
        <v/>
      </c>
      <c r="AQ224" s="135" t="str">
        <f aca="false">IF(ISBLANK($C224),"",IF(P224=Constants!$B$2,TRUE(),IF(P224=Constants!$B$3,FALSE(),FALSE())))</f>
        <v/>
      </c>
      <c r="AR224" s="135" t="str">
        <f aca="false">IF(ISBLANK($C224),"",IF(Q224=Constants!$B$2,TRUE(),IF(Q224=Constants!$B$3,FALSE(),TRUE())))</f>
        <v/>
      </c>
      <c r="AS224" s="135" t="str">
        <f aca="false">IF(ISBLANK($C224),"",IF(R224=Constants!$B$2,TRUE(),IF(R224=Constants!$B$3,FALSE(),TRUE())))</f>
        <v/>
      </c>
      <c r="AT224" s="135" t="str">
        <f aca="false">IF(ISBLANK($C224),"",IF(S224=Constants!$B$4,TRUE(),IF(S224=Constants!$B$5,FALSE(),COUNTA(T224:X224)&gt;0)))</f>
        <v/>
      </c>
      <c r="AU224" s="136" t="str">
        <f aca="false">IF(ISBLANK($C224),"",IF(ISNUMBER(T224),IF(T224&gt;=0,T224,""),""))</f>
        <v/>
      </c>
      <c r="AV224" s="137" t="str">
        <f aca="false">IF(ISBLANK($C224),"",IF(ISNUMBER(U224),IF(U224&gt;=0,U224,""),""))</f>
        <v/>
      </c>
      <c r="AW224" s="137" t="str">
        <f aca="false">IF(ISBLANK($C224),"",IF(V224=Constants!$B$2,TRUE(),IF(V224=Constants!$B$3,FALSE(),TRUE())))</f>
        <v/>
      </c>
      <c r="AX224" s="135" t="str">
        <f aca="false">IF(ISBLANK($C224),"",IF(ISNUMBER(W224),IF(W224&gt;=0,W224,""),""))</f>
        <v/>
      </c>
      <c r="AY224" s="135" t="str">
        <f aca="false">IF(ISBLANK($C224),"",IF(X224=Constants!$B$2,TRUE(),IF(X224=Constants!$B$3,FALSE(),FALSE())))</f>
        <v/>
      </c>
      <c r="AZ224" s="135" t="str">
        <f aca="false">IF(ISBLANK($C224),"",MIN(Constants!$B$25,MAX(0,IF(ISNUMBER(Y224),Y224*60,0)+IF(ISNUMBER(Z224),Z224,0))))</f>
        <v/>
      </c>
      <c r="BA224" s="135" t="str">
        <f aca="false">IF(ISBLANK($C224),"",IF(AA224=Constants!$B$2,TRUE(),IF(AA224=Constants!$B$3,FALSE(),FALSE())))</f>
        <v/>
      </c>
      <c r="BB224" s="134" t="str">
        <f aca="false">IF(ISBLANK($C224),"",AND($AL224,OR($AM224="",$AN224="",AND($AO224,$AP224=""))))</f>
        <v/>
      </c>
      <c r="BC224" s="137" t="str">
        <f aca="false">IF($BX224&lt;&gt;Constants!$B$6,"",IF($AL224,Constants!$B$17*$AN224+Constants!$B$18*IF($AO224,$AP224,Constants!$B$19),Constants!$B$20))</f>
        <v/>
      </c>
      <c r="BD224" s="138" t="str">
        <f aca="false">IF($BX224&lt;&gt;Constants!$B$6,"",Constants!$B$21*ABS($AD$9-IF($AL224,$AM224,0)))</f>
        <v/>
      </c>
      <c r="BE224" s="138" t="str">
        <f aca="false">IF($BX224&lt;&gt;Constants!$B$6,"",IF(AND($AL224,$AQ224,$AO224),Constants!$B$22,0))</f>
        <v/>
      </c>
      <c r="BF224" s="138" t="str">
        <f aca="false">IF($BX224&lt;&gt;Constants!$B$6,"",IF($AL224,($AI224-Constants!$B$24)*Constants!$B$23,0))</f>
        <v/>
      </c>
      <c r="BG224" s="138" t="str">
        <f aca="false">IF($BX224&lt;&gt;Constants!$B$6,"",IF($AK224,0,Constants!$B$12)+IF($AJ224,0,Constants!$B$13)+IF($AH224,0,Constants!$B$14))</f>
        <v/>
      </c>
      <c r="BH224" s="139" t="str">
        <f aca="false">IF($BX224&lt;&gt;Constants!$B$6,"",Constants!$B$16+SUM($BC224:$BG224))</f>
        <v/>
      </c>
      <c r="BI224" s="138" t="str">
        <f aca="false">IF($BX224&lt;&gt;Constants!$B$6,"",$BC224)</f>
        <v/>
      </c>
      <c r="BJ224" s="138" t="str">
        <f aca="false">IF($BX224&lt;&gt;Constants!$B$6,"",$BD224)</f>
        <v/>
      </c>
      <c r="BK224" s="140" t="str">
        <f aca="false">IF($BX224&lt;&gt;Constants!$B$6,"",IF($AL224,$AN224,""))</f>
        <v/>
      </c>
      <c r="BL224" s="135" t="str">
        <f aca="false">IF($BX224&lt;&gt;Constants!$B$6,"",IF(OR($BS224&lt;$BH224,AND($BS224=$BH224,OR($BT224&lt;$BI224,AND($BT224=$BI224,OR($BU224&lt;$BJ224,AND($BU224=$BJ224,AND(ISNUMBER($BV224),OR(NOT(ISNUMBER($BK224)),$BV224&lt;$BK224)))))))),"-&gt;","&lt;-"))</f>
        <v/>
      </c>
      <c r="BM224" s="134" t="str">
        <f aca="false">IF(ISBLANK($C224),"",AND($AT224,OR($AU224="",$AV224="",AND($AW224,$AX224=""))))</f>
        <v/>
      </c>
      <c r="BN224" s="137" t="str">
        <f aca="false">IF($BX224&lt;&gt;Constants!$B$6,"",IF($AT224,Constants!$B$17*$AV224+Constants!$B$18*IF($AW224,$AX224,Constants!$B$19),Constants!$B$20))</f>
        <v/>
      </c>
      <c r="BO224" s="138" t="str">
        <f aca="false">IF($BX224&lt;&gt;Constants!$B$6,"",Constants!$B$21*ABS($AD$9-IF($AT224,$AU224,0)))</f>
        <v/>
      </c>
      <c r="BP224" s="138" t="str">
        <f aca="false">IF($BX224&lt;&gt;Constants!$B$6,"",IF(AND($AT224,$AY224,$AW224),Constants!$B$22,0))</f>
        <v/>
      </c>
      <c r="BQ224" s="138" t="str">
        <f aca="false">IF($BX224&lt;&gt;Constants!$B$6,"",IF($AT224,($AI224-Constants!$B$24)*Constants!$B$23,0))</f>
        <v/>
      </c>
      <c r="BR224" s="138" t="str">
        <f aca="false">IF($BX224&lt;&gt;Constants!$B$6,"",IF($AS224,0,Constants!$B$12)+IF($AR224,0,Constants!$B$13)+IF($AH224,0,Constants!$B$14))</f>
        <v/>
      </c>
      <c r="BS224" s="139" t="str">
        <f aca="false">IF($BX224&lt;&gt;Constants!$B$6,"",Constants!$B$16+SUM($BN224:$BR224))</f>
        <v/>
      </c>
      <c r="BT224" s="138" t="str">
        <f aca="false">IF($BX224&lt;&gt;Constants!$B$6,"",$BN224)</f>
        <v/>
      </c>
      <c r="BU224" s="138" t="str">
        <f aca="false">IF($BX224&lt;&gt;Constants!$B$6,"",$BO224)</f>
        <v/>
      </c>
      <c r="BV224" s="140" t="str">
        <f aca="false">IF($BX224&lt;&gt;Constants!$B$6,"",IF($AT224,$AV224,""))</f>
        <v/>
      </c>
      <c r="BW224" s="135" t="str">
        <f aca="false">IF(ISBLANK($C224),"",IF(ISBLANK($D$7),$BW$5,IF(NOT(ISNUMBER($D$7)),$BW$6,"")))</f>
        <v/>
      </c>
      <c r="BX224" s="135" t="str">
        <f aca="false">IF(ISBLANK($C224),"",IF($BA224,Constants!$B$9,IF(COUNTA($E224:$AA224)=0,Constants!$B$8,IF(NOT($AG224),Constants!$B$7,IF(OR($BW224&lt;&gt;"",$BB224,$BM224),Constants!$B$10,Constants!$B$6)))))</f>
        <v/>
      </c>
      <c r="BY224" s="135" t="str">
        <f aca="false">IF(ISBLANK($C224),"",IF($BX224&lt;&gt;Constants!$B$6,$BX224,Constants!$B$11))</f>
        <v/>
      </c>
      <c r="BZ224" s="138" t="str">
        <f aca="false">IF($BX224&lt;&gt;Constants!$B$6,"",IF($BL224="-&gt;",$BS224,$BH224))</f>
        <v/>
      </c>
      <c r="CA224" s="138" t="str">
        <f aca="false">IF($BX224&lt;&gt;Constants!$B$6,"",IF($AF224,0,Constants!$B$15))</f>
        <v/>
      </c>
      <c r="CB224" s="138" t="str">
        <f aca="false">IF($BX224&lt;&gt;Constants!$B$6,"",((Constants!$B$25-$AZ224)-Constants!$B$25)/Constants!$B$26)</f>
        <v/>
      </c>
      <c r="CC224" s="138" t="str">
        <f aca="false">IF(ISBLANK($C224),"",IF($BX224&lt;&gt;Constants!$B$6,$BX224,SUM($BZ224:$CB224)))</f>
        <v/>
      </c>
      <c r="CD224" s="135" t="str">
        <f aca="false">IF(ISBLANK($C224),"",IF($BX224&lt;&gt;Constants!$B$6,$BX224,RANK($CC224,$CC$9:$CC$508,1)))</f>
        <v/>
      </c>
      <c r="CE224" s="138" t="str">
        <f aca="false">IF($BX224&lt;&gt;Constants!$B$6,"",IF($BL224="-&gt;",$BT224,$BI224))</f>
        <v/>
      </c>
      <c r="CF224" s="135" t="str">
        <f aca="false">IF(ISBLANK($C224),"",IF($BX224&lt;&gt;Constants!$B$6,$BX224,IF(ISNUMBER($CE224),RANK($CE224,$CE$9:$CE$508,1),COUNT($CE$9:$CE$508)+1)))</f>
        <v/>
      </c>
      <c r="CG224" s="138" t="str">
        <f aca="false">IF($BX224&lt;&gt;Constants!$B$6,"",IF($BL224="-&gt;",$BU224,$BJ224))</f>
        <v/>
      </c>
      <c r="CH224" s="135" t="str">
        <f aca="false">IF(ISBLANK($C224),"",IF($BX224&lt;&gt;Constants!$B$6,$BX224,IF(ISNUMBER($CG224),RANK($CG224,$CG$9:$CG$508,1),COUNT($CG$9:$CG$508)+1)))</f>
        <v/>
      </c>
      <c r="CI224" s="138" t="str">
        <f aca="false">IF($BX224&lt;&gt;Constants!$B$6,"",IF($BL224="-&gt;",$BV224,$BK224))</f>
        <v/>
      </c>
      <c r="CJ224" s="135" t="str">
        <f aca="false">IF(ISBLANK($C224),"",IF($BX224&lt;&gt;Constants!$B$6,$BX224,IF(ISNUMBER($CI224),RANK($CI224,$CI$9:$CI$508,1),COUNT($CI$9:$CI$508)+1)))</f>
        <v/>
      </c>
      <c r="CK224" s="138" t="str">
        <f aca="false">IF($BX224&lt;&gt;Constants!$B$6,"",$AI224)</f>
        <v/>
      </c>
      <c r="CL224" s="135" t="str">
        <f aca="false">IF(ISBLANK($C224),"",IF($BX224&lt;&gt;Constants!$B$6,$BX224,IF(ISNUMBER($CK224),RANK($CK224,$CK$9:$CK$508,1),COUNT($CK$9:$CK$508)+1)))</f>
        <v/>
      </c>
      <c r="CM224" s="135" t="str">
        <f aca="false">IF(ISBLANK($C224),"",IF($BX224&lt;&gt;Constants!$B$6,$BX224,COUNTIFS($CD$9:$CD$508,"&lt;"&amp;$CD224)+COUNTIFS($CD$9:$CD$508,$CD224,$CF$9:$CF$508,"&lt;"&amp;$CF224)+COUNTIFS($CD$9:$CD$508,$CD224,$CF$9:$CF$508,$CF224,$CH$9:$CH$508,"&lt;"&amp;$CH224)+COUNTIFS($CD$9:$CD$508,$CD224,$CF$9:$CF$508,$CF224,$CH$9:$CH$508,$CH224,$CJ$9:$CJ$508,"&lt;"&amp;$CJ224)+COUNTIFS($CD$9:$CD$508,$CD224,$CF$9:$CF$508,$CF224,$CH$9:$CH$508,$CH224,$CJ$9:$CJ$508,$CJ224,$CL$9:$CL$508,"&lt;"&amp;$CL224)+1))</f>
        <v/>
      </c>
      <c r="CN224" s="135" t="str">
        <f aca="false">IF(ISBLANK($C224),"",IF($BX224&lt;&gt;Constants!$B$6,$BX224,$CD224-$CM224))</f>
        <v/>
      </c>
      <c r="CO224" s="141"/>
      <c r="CP224" s="142"/>
      <c r="CQ224" s="143" t="str">
        <f aca="false">IF(ISBLANK($C224),"",IF($BX224=Constants!$B$10,$BW224,""))</f>
        <v/>
      </c>
      <c r="CR224" s="142" t="str">
        <f aca="false">IF(ISBLANK($C224),"",IF($BX224&lt;&gt;Constants!$B$6,"",IF($BL224="-&gt;",2,1)))</f>
        <v/>
      </c>
      <c r="CS224" s="144" t="str">
        <f aca="false">IF(ISBLANK($C224),"",IF($BX224&lt;&gt;Constants!$B$6,"",IF($BL224="-&gt;",$BN224,$BC224)))</f>
        <v/>
      </c>
      <c r="CT224" s="144" t="str">
        <f aca="false">IF(ISBLANK($C224),"",IF($BX224&lt;&gt;Constants!$B$6,"",IF($BL224="-&gt;",$BO224,$BD224)))</f>
        <v/>
      </c>
      <c r="CU224" s="144" t="str">
        <f aca="false">IF(ISBLANK($C224),"",IF($BX224&lt;&gt;Constants!$B$6,"",IF($BL224="-&gt;",$BP224+$BQ224,$BE224+$BF224)+$CB224))</f>
        <v/>
      </c>
      <c r="CV224" s="144" t="str">
        <f aca="false">IF(ISBLANK($C224),"",IF($BX224&lt;&gt;Constants!$B$6,"",IF($BL224="-&gt;",$BR224,$BG224)+$CA224))</f>
        <v/>
      </c>
      <c r="CW224" s="145" t="str">
        <f aca="false">IF(ISBLANK($C224),"",IF($BX224&lt;&gt;Constants!$B$6,$BX224,$CC224))</f>
        <v/>
      </c>
      <c r="CX224" s="146" t="str">
        <f aca="false">IF(ISBLANK($C224),"",$BY224)</f>
        <v/>
      </c>
      <c r="CY224" s="147" t="str">
        <f aca="false">IF(ISBLANK($C224),"",$CN224)</f>
        <v/>
      </c>
      <c r="CZ224" s="147" t="str">
        <f aca="false">IF(ISBLANK($C224),"",$CM224)</f>
        <v/>
      </c>
      <c r="DA224" s="148" t="str">
        <f aca="false">IF(ISBLANK($C224),"",IFERROR(_xlfn.SWITCH($CZ224,Constants!$B$9,COUNTA($C$9:$C$508)+2,Constants!$B$8,COUNTA($C$9:$C$508)+1,Constants!$B$7,COUNTA($C$9:$C$508)),$CZ224))</f>
        <v/>
      </c>
      <c r="DB224" s="9"/>
      <c r="DC224" s="149" t="n">
        <f aca="false">IF(OR(ISNUMBER($CZ224),$CZ224=Constants!$B$9,$CZ224=Constants!$B$7,$CZ224=Constants!$B$8),1,0)</f>
        <v>0</v>
      </c>
      <c r="DD224" s="149" t="n">
        <v>216</v>
      </c>
      <c r="DE224" s="149" t="str">
        <f aca="false">IF(ISBLANK($C224),"",IF(ISNUMBER($DA224),$DA224+ROW($B224)/1000,""))</f>
        <v/>
      </c>
      <c r="DF224" s="149" t="str">
        <f aca="false">IF(ISNUMBER($DE224),RANK($DE224,$DE$9:$DE$508,1),"")</f>
        <v/>
      </c>
      <c r="DG224" s="149" t="str">
        <f aca="false">IF(ISBLANK($C224),"",$B224)</f>
        <v/>
      </c>
      <c r="DH224" s="149" t="str">
        <f aca="false">IF(ISBLANK($C224),"",$C224)</f>
        <v/>
      </c>
      <c r="DI224" s="149" t="str">
        <f aca="false">IF(ISBLANK($C224),"",$D224)</f>
        <v/>
      </c>
      <c r="DJ224" s="150" t="str">
        <f aca="false">$CX224</f>
        <v/>
      </c>
      <c r="DK224" s="151" t="str">
        <f aca="false">$CW224</f>
        <v/>
      </c>
      <c r="DL224" s="149" t="str">
        <f aca="false">IF(ISBLANK($C224),"",$CZ224)</f>
        <v/>
      </c>
      <c r="DM224" s="152" t="str">
        <f aca="false">IF($DD224&gt;$DC$8,"",VLOOKUP($DD224,$DF$9:$DL$508,7,FALSE()))</f>
        <v/>
      </c>
      <c r="DN224" s="153" t="str">
        <f aca="false">IF($DD224&gt;$DC$8,"",VLOOKUP($DD224,$DF$9:$DL$508,2,FALSE()))</f>
        <v/>
      </c>
      <c r="DO224" s="153" t="str">
        <f aca="false">IF($DD224&gt;$DC$8,"",VLOOKUP($DD224,$DF$9:$DL$508,3,FALSE()))</f>
        <v/>
      </c>
      <c r="DP224" s="153" t="str">
        <f aca="false">IF($DD224&gt;$DC$8,"",VLOOKUP($DD224,$DF$9:$DL$508,4,FALSE()))</f>
        <v/>
      </c>
      <c r="DQ224" s="153" t="str">
        <f aca="false">IF($DD224&gt;$DC$8,"",VLOOKUP($DD224,$DF$9:$DL$508,5,FALSE()))</f>
        <v/>
      </c>
      <c r="DR224" s="154" t="str">
        <f aca="false">IF($DD224&gt;$DC$8,"",VLOOKUP($DD224,$DF$9:$DL$508,6,FALSE()))</f>
        <v/>
      </c>
      <c r="DS224" s="76"/>
    </row>
    <row r="225" customFormat="false" ht="15.75" hidden="false" customHeight="false" outlineLevel="0" collapsed="false">
      <c r="A225" s="9"/>
      <c r="B225" s="78"/>
      <c r="C225" s="79"/>
      <c r="D225" s="170"/>
      <c r="E225" s="178"/>
      <c r="F225" s="172"/>
      <c r="G225" s="173"/>
      <c r="H225" s="173"/>
      <c r="I225" s="179"/>
      <c r="J225" s="176"/>
      <c r="K225" s="86"/>
      <c r="L225" s="87"/>
      <c r="M225" s="88"/>
      <c r="N225" s="176"/>
      <c r="O225" s="176"/>
      <c r="P225" s="178"/>
      <c r="Q225" s="176"/>
      <c r="R225" s="176"/>
      <c r="S225" s="86"/>
      <c r="T225" s="88"/>
      <c r="U225" s="88"/>
      <c r="V225" s="176"/>
      <c r="W225" s="176"/>
      <c r="X225" s="178"/>
      <c r="Y225" s="176"/>
      <c r="Z225" s="177"/>
      <c r="AA225" s="176"/>
      <c r="AB225" s="92"/>
      <c r="AC225" s="93"/>
      <c r="AD225" s="93"/>
      <c r="AE225" s="93"/>
      <c r="AF225" s="93" t="str">
        <f aca="false">IF(ISBLANK($C225),"",IF(E225=Constants!$B$2,TRUE(),IF(E225=Constants!$B$3,FALSE(),TRUE())))</f>
        <v/>
      </c>
      <c r="AG225" s="93" t="str">
        <f aca="false">IF(ISBLANK($C225),"",IF(F225=Constants!$B$2,TRUE(),IF(F225=Constants!$B$3,FALSE(),TRUE())))</f>
        <v/>
      </c>
      <c r="AH225" s="93" t="str">
        <f aca="false">IF(ISBLANK($C225),"",IF(G225=Constants!$B$2,TRUE(),IF(G225=Constants!$B$3,FALSE(),TRUE())))</f>
        <v/>
      </c>
      <c r="AI225" s="93" t="str">
        <f aca="false">IF(ISBLANK($C225),"",IF(AND(ISNUMBER(H225),H225&gt;=0),H225,Constants!$B$24))</f>
        <v/>
      </c>
      <c r="AJ225" s="93" t="str">
        <f aca="false">IF(ISBLANK($C225),"",IF(I225=Constants!$B$2,TRUE(),IF(I225=Constants!$B$3,FALSE(),TRUE())))</f>
        <v/>
      </c>
      <c r="AK225" s="93" t="str">
        <f aca="false">IF(ISBLANK($C225),"",IF(J225=Constants!$B$2,TRUE(),IF(J225=Constants!$B$3,FALSE(),TRUE())))</f>
        <v/>
      </c>
      <c r="AL225" s="93" t="str">
        <f aca="false">IF(ISBLANK($C225),"",IF(K225=Constants!$B$4,TRUE(),IF(K225=Constants!$B$5,FALSE(),COUNTA(L225:P225)&gt;0)))</f>
        <v/>
      </c>
      <c r="AM225" s="95" t="str">
        <f aca="false">IF(ISBLANK($C225),"",IF(ISNUMBER(L225),IF(L225&gt;=0,L225,""),""))</f>
        <v/>
      </c>
      <c r="AN225" s="94" t="str">
        <f aca="false">IF(ISBLANK($C225),"",IF(ISNUMBER(M225),IF(M225&gt;=0,M225,""),""))</f>
        <v/>
      </c>
      <c r="AO225" s="94" t="str">
        <f aca="false">IF(ISBLANK($C225),"",IF(N225=Constants!$B$2,TRUE(),IF(N225=Constants!$B$3,FALSE(),TRUE())))</f>
        <v/>
      </c>
      <c r="AP225" s="93" t="str">
        <f aca="false">IF(ISBLANK($C225),"",IF(ISNUMBER(O225),IF(O225&gt;=0,O225,""),""))</f>
        <v/>
      </c>
      <c r="AQ225" s="93" t="str">
        <f aca="false">IF(ISBLANK($C225),"",IF(P225=Constants!$B$2,TRUE(),IF(P225=Constants!$B$3,FALSE(),FALSE())))</f>
        <v/>
      </c>
      <c r="AR225" s="93" t="str">
        <f aca="false">IF(ISBLANK($C225),"",IF(Q225=Constants!$B$2,TRUE(),IF(Q225=Constants!$B$3,FALSE(),TRUE())))</f>
        <v/>
      </c>
      <c r="AS225" s="93" t="str">
        <f aca="false">IF(ISBLANK($C225),"",IF(R225=Constants!$B$2,TRUE(),IF(R225=Constants!$B$3,FALSE(),TRUE())))</f>
        <v/>
      </c>
      <c r="AT225" s="93" t="str">
        <f aca="false">IF(ISBLANK($C225),"",IF(S225=Constants!$B$4,TRUE(),IF(S225=Constants!$B$5,FALSE(),COUNTA(T225:X225)&gt;0)))</f>
        <v/>
      </c>
      <c r="AU225" s="95" t="str">
        <f aca="false">IF(ISBLANK($C225),"",IF(ISNUMBER(T225),IF(T225&gt;=0,T225,""),""))</f>
        <v/>
      </c>
      <c r="AV225" s="94" t="str">
        <f aca="false">IF(ISBLANK($C225),"",IF(ISNUMBER(U225),IF(U225&gt;=0,U225,""),""))</f>
        <v/>
      </c>
      <c r="AW225" s="94" t="str">
        <f aca="false">IF(ISBLANK($C225),"",IF(V225=Constants!$B$2,TRUE(),IF(V225=Constants!$B$3,FALSE(),TRUE())))</f>
        <v/>
      </c>
      <c r="AX225" s="93" t="str">
        <f aca="false">IF(ISBLANK($C225),"",IF(ISNUMBER(W225),IF(W225&gt;=0,W225,""),""))</f>
        <v/>
      </c>
      <c r="AY225" s="93" t="str">
        <f aca="false">IF(ISBLANK($C225),"",IF(X225=Constants!$B$2,TRUE(),IF(X225=Constants!$B$3,FALSE(),FALSE())))</f>
        <v/>
      </c>
      <c r="AZ225" s="93" t="str">
        <f aca="false">IF(ISBLANK($C225),"",MIN(Constants!$B$25,MAX(0,IF(ISNUMBER(Y225),Y225*60,0)+IF(ISNUMBER(Z225),Z225,0))))</f>
        <v/>
      </c>
      <c r="BA225" s="93" t="str">
        <f aca="false">IF(ISBLANK($C225),"",IF(AA225=Constants!$B$2,TRUE(),IF(AA225=Constants!$B$3,FALSE(),FALSE())))</f>
        <v/>
      </c>
      <c r="BB225" s="92" t="str">
        <f aca="false">IF(ISBLANK($C225),"",AND($AL225,OR($AM225="",$AN225="",AND($AO225,$AP225=""))))</f>
        <v/>
      </c>
      <c r="BC225" s="94" t="str">
        <f aca="false">IF($BX225&lt;&gt;Constants!$B$6,"",IF($AL225,Constants!$B$17*$AN225+Constants!$B$18*IF($AO225,$AP225,Constants!$B$19),Constants!$B$20))</f>
        <v/>
      </c>
      <c r="BD225" s="97" t="str">
        <f aca="false">IF($BX225&lt;&gt;Constants!$B$6,"",Constants!$B$21*ABS($AD$9-IF($AL225,$AM225,0)))</f>
        <v/>
      </c>
      <c r="BE225" s="97" t="str">
        <f aca="false">IF($BX225&lt;&gt;Constants!$B$6,"",IF(AND($AL225,$AQ225,$AO225),Constants!$B$22,0))</f>
        <v/>
      </c>
      <c r="BF225" s="97" t="str">
        <f aca="false">IF($BX225&lt;&gt;Constants!$B$6,"",IF($AL225,($AI225-Constants!$B$24)*Constants!$B$23,0))</f>
        <v/>
      </c>
      <c r="BG225" s="97" t="str">
        <f aca="false">IF($BX225&lt;&gt;Constants!$B$6,"",IF($AK225,0,Constants!$B$12)+IF($AJ225,0,Constants!$B$13)+IF($AH225,0,Constants!$B$14))</f>
        <v/>
      </c>
      <c r="BH225" s="98" t="str">
        <f aca="false">IF($BX225&lt;&gt;Constants!$B$6,"",Constants!$B$16+SUM($BC225:$BG225))</f>
        <v/>
      </c>
      <c r="BI225" s="97" t="str">
        <f aca="false">IF($BX225&lt;&gt;Constants!$B$6,"",$BC225)</f>
        <v/>
      </c>
      <c r="BJ225" s="97" t="str">
        <f aca="false">IF($BX225&lt;&gt;Constants!$B$6,"",$BD225)</f>
        <v/>
      </c>
      <c r="BK225" s="99" t="str">
        <f aca="false">IF($BX225&lt;&gt;Constants!$B$6,"",IF($AL225,$AN225,""))</f>
        <v/>
      </c>
      <c r="BL225" s="93" t="str">
        <f aca="false">IF($BX225&lt;&gt;Constants!$B$6,"",IF(OR($BS225&lt;$BH225,AND($BS225=$BH225,OR($BT225&lt;$BI225,AND($BT225=$BI225,OR($BU225&lt;$BJ225,AND($BU225=$BJ225,AND(ISNUMBER($BV225),OR(NOT(ISNUMBER($BK225)),$BV225&lt;$BK225)))))))),"-&gt;","&lt;-"))</f>
        <v/>
      </c>
      <c r="BM225" s="92" t="str">
        <f aca="false">IF(ISBLANK($C225),"",AND($AT225,OR($AU225="",$AV225="",AND($AW225,$AX225=""))))</f>
        <v/>
      </c>
      <c r="BN225" s="94" t="str">
        <f aca="false">IF($BX225&lt;&gt;Constants!$B$6,"",IF($AT225,Constants!$B$17*$AV225+Constants!$B$18*IF($AW225,$AX225,Constants!$B$19),Constants!$B$20))</f>
        <v/>
      </c>
      <c r="BO225" s="97" t="str">
        <f aca="false">IF($BX225&lt;&gt;Constants!$B$6,"",Constants!$B$21*ABS($AD$9-IF($AT225,$AU225,0)))</f>
        <v/>
      </c>
      <c r="BP225" s="97" t="str">
        <f aca="false">IF($BX225&lt;&gt;Constants!$B$6,"",IF(AND($AT225,$AY225,$AW225),Constants!$B$22,0))</f>
        <v/>
      </c>
      <c r="BQ225" s="97" t="str">
        <f aca="false">IF($BX225&lt;&gt;Constants!$B$6,"",IF($AT225,($AI225-Constants!$B$24)*Constants!$B$23,0))</f>
        <v/>
      </c>
      <c r="BR225" s="97" t="str">
        <f aca="false">IF($BX225&lt;&gt;Constants!$B$6,"",IF($AS225,0,Constants!$B$12)+IF($AR225,0,Constants!$B$13)+IF($AH225,0,Constants!$B$14))</f>
        <v/>
      </c>
      <c r="BS225" s="98" t="str">
        <f aca="false">IF($BX225&lt;&gt;Constants!$B$6,"",Constants!$B$16+SUM($BN225:$BR225))</f>
        <v/>
      </c>
      <c r="BT225" s="97" t="str">
        <f aca="false">IF($BX225&lt;&gt;Constants!$B$6,"",$BN225)</f>
        <v/>
      </c>
      <c r="BU225" s="97" t="str">
        <f aca="false">IF($BX225&lt;&gt;Constants!$B$6,"",$BO225)</f>
        <v/>
      </c>
      <c r="BV225" s="99" t="str">
        <f aca="false">IF($BX225&lt;&gt;Constants!$B$6,"",IF($AT225,$AV225,""))</f>
        <v/>
      </c>
      <c r="BW225" s="93" t="str">
        <f aca="false">IF(ISBLANK($C225),"",IF(ISBLANK($D$7),$BW$5,IF(NOT(ISNUMBER($D$7)),$BW$6,"")))</f>
        <v/>
      </c>
      <c r="BX225" s="93" t="str">
        <f aca="false">IF(ISBLANK($C225),"",IF($BA225,Constants!$B$9,IF(COUNTA($E225:$AA225)=0,Constants!$B$8,IF(NOT($AG225),Constants!$B$7,IF(OR($BW225&lt;&gt;"",$BB225,$BM225),Constants!$B$10,Constants!$B$6)))))</f>
        <v/>
      </c>
      <c r="BY225" s="93" t="str">
        <f aca="false">IF(ISBLANK($C225),"",IF($BX225&lt;&gt;Constants!$B$6,$BX225,Constants!$B$11))</f>
        <v/>
      </c>
      <c r="BZ225" s="97" t="str">
        <f aca="false">IF($BX225&lt;&gt;Constants!$B$6,"",IF($BL225="-&gt;",$BS225,$BH225))</f>
        <v/>
      </c>
      <c r="CA225" s="97" t="str">
        <f aca="false">IF($BX225&lt;&gt;Constants!$B$6,"",IF($AF225,0,Constants!$B$15))</f>
        <v/>
      </c>
      <c r="CB225" s="97" t="str">
        <f aca="false">IF($BX225&lt;&gt;Constants!$B$6,"",((Constants!$B$25-$AZ225)-Constants!$B$25)/Constants!$B$26)</f>
        <v/>
      </c>
      <c r="CC225" s="97" t="str">
        <f aca="false">IF(ISBLANK($C225),"",IF($BX225&lt;&gt;Constants!$B$6,$BX225,SUM($BZ225:$CB225)))</f>
        <v/>
      </c>
      <c r="CD225" s="93" t="str">
        <f aca="false">IF(ISBLANK($C225),"",IF($BX225&lt;&gt;Constants!$B$6,$BX225,RANK($CC225,$CC$9:$CC$508,1)))</f>
        <v/>
      </c>
      <c r="CE225" s="97" t="str">
        <f aca="false">IF($BX225&lt;&gt;Constants!$B$6,"",IF($BL225="-&gt;",$BT225,$BI225))</f>
        <v/>
      </c>
      <c r="CF225" s="93" t="str">
        <f aca="false">IF(ISBLANK($C225),"",IF($BX225&lt;&gt;Constants!$B$6,$BX225,IF(ISNUMBER($CE225),RANK($CE225,$CE$9:$CE$508,1),COUNT($CE$9:$CE$508)+1)))</f>
        <v/>
      </c>
      <c r="CG225" s="97" t="str">
        <f aca="false">IF($BX225&lt;&gt;Constants!$B$6,"",IF($BL225="-&gt;",$BU225,$BJ225))</f>
        <v/>
      </c>
      <c r="CH225" s="93" t="str">
        <f aca="false">IF(ISBLANK($C225),"",IF($BX225&lt;&gt;Constants!$B$6,$BX225,IF(ISNUMBER($CG225),RANK($CG225,$CG$9:$CG$508,1),COUNT($CG$9:$CG$508)+1)))</f>
        <v/>
      </c>
      <c r="CI225" s="97" t="str">
        <f aca="false">IF($BX225&lt;&gt;Constants!$B$6,"",IF($BL225="-&gt;",$BV225,$BK225))</f>
        <v/>
      </c>
      <c r="CJ225" s="93" t="str">
        <f aca="false">IF(ISBLANK($C225),"",IF($BX225&lt;&gt;Constants!$B$6,$BX225,IF(ISNUMBER($CI225),RANK($CI225,$CI$9:$CI$508,1),COUNT($CI$9:$CI$508)+1)))</f>
        <v/>
      </c>
      <c r="CK225" s="97" t="str">
        <f aca="false">IF($BX225&lt;&gt;Constants!$B$6,"",$AI225)</f>
        <v/>
      </c>
      <c r="CL225" s="93" t="str">
        <f aca="false">IF(ISBLANK($C225),"",IF($BX225&lt;&gt;Constants!$B$6,$BX225,IF(ISNUMBER($CK225),RANK($CK225,$CK$9:$CK$508,1),COUNT($CK$9:$CK$508)+1)))</f>
        <v/>
      </c>
      <c r="CM225" s="93" t="str">
        <f aca="false">IF(ISBLANK($C225),"",IF($BX225&lt;&gt;Constants!$B$6,$BX225,COUNTIFS($CD$9:$CD$508,"&lt;"&amp;$CD225)+COUNTIFS($CD$9:$CD$508,$CD225,$CF$9:$CF$508,"&lt;"&amp;$CF225)+COUNTIFS($CD$9:$CD$508,$CD225,$CF$9:$CF$508,$CF225,$CH$9:$CH$508,"&lt;"&amp;$CH225)+COUNTIFS($CD$9:$CD$508,$CD225,$CF$9:$CF$508,$CF225,$CH$9:$CH$508,$CH225,$CJ$9:$CJ$508,"&lt;"&amp;$CJ225)+COUNTIFS($CD$9:$CD$508,$CD225,$CF$9:$CF$508,$CF225,$CH$9:$CH$508,$CH225,$CJ$9:$CJ$508,$CJ225,$CL$9:$CL$508,"&lt;"&amp;$CL225)+1))</f>
        <v/>
      </c>
      <c r="CN225" s="93" t="str">
        <f aca="false">IF(ISBLANK($C225),"",IF($BX225&lt;&gt;Constants!$B$6,$BX225,$CD225-$CM225))</f>
        <v/>
      </c>
      <c r="CO225" s="100"/>
      <c r="CP225" s="101"/>
      <c r="CQ225" s="102" t="str">
        <f aca="false">IF(ISBLANK($C225),"",IF($BX225=Constants!$B$10,$BW225,""))</f>
        <v/>
      </c>
      <c r="CR225" s="101" t="str">
        <f aca="false">IF(ISBLANK($C225),"",IF($BX225&lt;&gt;Constants!$B$6,"",IF($BL225="-&gt;",2,1)))</f>
        <v/>
      </c>
      <c r="CS225" s="103" t="str">
        <f aca="false">IF(ISBLANK($C225),"",IF($BX225&lt;&gt;Constants!$B$6,"",IF($BL225="-&gt;",$BN225,$BC225)))</f>
        <v/>
      </c>
      <c r="CT225" s="103" t="str">
        <f aca="false">IF(ISBLANK($C225),"",IF($BX225&lt;&gt;Constants!$B$6,"",IF($BL225="-&gt;",$BO225,$BD225)))</f>
        <v/>
      </c>
      <c r="CU225" s="103" t="str">
        <f aca="false">IF(ISBLANK($C225),"",IF($BX225&lt;&gt;Constants!$B$6,"",IF($BL225="-&gt;",$BP225+$BQ225,$BE225+$BF225)+$CB225))</f>
        <v/>
      </c>
      <c r="CV225" s="103" t="str">
        <f aca="false">IF(ISBLANK($C225),"",IF($BX225&lt;&gt;Constants!$B$6,"",IF($BL225="-&gt;",$BR225,$BG225)+$CA225))</f>
        <v/>
      </c>
      <c r="CW225" s="104" t="str">
        <f aca="false">IF(ISBLANK($C225),"",IF($BX225&lt;&gt;Constants!$B$6,$BX225,$CC225))</f>
        <v/>
      </c>
      <c r="CX225" s="105" t="str">
        <f aca="false">IF(ISBLANK($C225),"",$BY225)</f>
        <v/>
      </c>
      <c r="CY225" s="106" t="str">
        <f aca="false">IF(ISBLANK($C225),"",$CN225)</f>
        <v/>
      </c>
      <c r="CZ225" s="106" t="str">
        <f aca="false">IF(ISBLANK($C225),"",$CM225)</f>
        <v/>
      </c>
      <c r="DA225" s="107" t="str">
        <f aca="false">IF(ISBLANK($C225),"",IFERROR(_xlfn.SWITCH($CZ225,Constants!$B$9,COUNTA($C$9:$C$508)+2,Constants!$B$8,COUNTA($C$9:$C$508)+1,Constants!$B$7,COUNTA($C$9:$C$508)),$CZ225))</f>
        <v/>
      </c>
      <c r="DB225" s="9"/>
      <c r="DC225" s="108" t="n">
        <f aca="false">IF(OR(ISNUMBER($CZ225),$CZ225=Constants!$B$9,$CZ225=Constants!$B$7,$CZ225=Constants!$B$8),1,0)</f>
        <v>0</v>
      </c>
      <c r="DD225" s="108" t="n">
        <v>217</v>
      </c>
      <c r="DE225" s="108" t="str">
        <f aca="false">IF(ISBLANK($C225),"",IF(ISNUMBER($DA225),$DA225+ROW($B225)/1000,""))</f>
        <v/>
      </c>
      <c r="DF225" s="108" t="str">
        <f aca="false">IF(ISNUMBER($DE225),RANK($DE225,$DE$9:$DE$508,1),"")</f>
        <v/>
      </c>
      <c r="DG225" s="108" t="str">
        <f aca="false">IF(ISBLANK($C225),"",$B225)</f>
        <v/>
      </c>
      <c r="DH225" s="108" t="str">
        <f aca="false">IF(ISBLANK($C225),"",$C225)</f>
        <v/>
      </c>
      <c r="DI225" s="108" t="str">
        <f aca="false">IF(ISBLANK($C225),"",$D225)</f>
        <v/>
      </c>
      <c r="DJ225" s="109" t="str">
        <f aca="false">$CX225</f>
        <v/>
      </c>
      <c r="DK225" s="110" t="str">
        <f aca="false">$CW225</f>
        <v/>
      </c>
      <c r="DL225" s="108" t="str">
        <f aca="false">IF(ISBLANK($C225),"",$CZ225)</f>
        <v/>
      </c>
      <c r="DM225" s="111" t="str">
        <f aca="false">IF($DD225&gt;$DC$8,"",VLOOKUP($DD225,$DF$9:$DL$508,7,FALSE()))</f>
        <v/>
      </c>
      <c r="DN225" s="112" t="str">
        <f aca="false">IF($DD225&gt;$DC$8,"",VLOOKUP($DD225,$DF$9:$DL$508,2,FALSE()))</f>
        <v/>
      </c>
      <c r="DO225" s="112" t="str">
        <f aca="false">IF($DD225&gt;$DC$8,"",VLOOKUP($DD225,$DF$9:$DL$508,3,FALSE()))</f>
        <v/>
      </c>
      <c r="DP225" s="112" t="str">
        <f aca="false">IF($DD225&gt;$DC$8,"",VLOOKUP($DD225,$DF$9:$DL$508,4,FALSE()))</f>
        <v/>
      </c>
      <c r="DQ225" s="112" t="str">
        <f aca="false">IF($DD225&gt;$DC$8,"",VLOOKUP($DD225,$DF$9:$DL$508,5,FALSE()))</f>
        <v/>
      </c>
      <c r="DR225" s="113" t="str">
        <f aca="false">IF($DD225&gt;$DC$8,"",VLOOKUP($DD225,$DF$9:$DL$508,6,FALSE()))</f>
        <v/>
      </c>
      <c r="DS225" s="76"/>
    </row>
    <row r="226" customFormat="false" ht="15.75" hidden="false" customHeight="false" outlineLevel="0" collapsed="false">
      <c r="A226" s="9"/>
      <c r="B226" s="78"/>
      <c r="C226" s="79"/>
      <c r="D226" s="170"/>
      <c r="E226" s="178"/>
      <c r="F226" s="172"/>
      <c r="G226" s="173"/>
      <c r="H226" s="173"/>
      <c r="I226" s="179"/>
      <c r="J226" s="176"/>
      <c r="K226" s="86"/>
      <c r="L226" s="87"/>
      <c r="M226" s="88"/>
      <c r="N226" s="176"/>
      <c r="O226" s="176"/>
      <c r="P226" s="178"/>
      <c r="Q226" s="176"/>
      <c r="R226" s="176"/>
      <c r="S226" s="86"/>
      <c r="T226" s="88"/>
      <c r="U226" s="88"/>
      <c r="V226" s="176"/>
      <c r="W226" s="176"/>
      <c r="X226" s="178"/>
      <c r="Y226" s="176"/>
      <c r="Z226" s="177"/>
      <c r="AA226" s="176"/>
      <c r="AB226" s="92"/>
      <c r="AC226" s="93"/>
      <c r="AD226" s="93"/>
      <c r="AE226" s="93"/>
      <c r="AF226" s="93" t="str">
        <f aca="false">IF(ISBLANK($C226),"",IF(E226=Constants!$B$2,TRUE(),IF(E226=Constants!$B$3,FALSE(),TRUE())))</f>
        <v/>
      </c>
      <c r="AG226" s="93" t="str">
        <f aca="false">IF(ISBLANK($C226),"",IF(F226=Constants!$B$2,TRUE(),IF(F226=Constants!$B$3,FALSE(),TRUE())))</f>
        <v/>
      </c>
      <c r="AH226" s="93" t="str">
        <f aca="false">IF(ISBLANK($C226),"",IF(G226=Constants!$B$2,TRUE(),IF(G226=Constants!$B$3,FALSE(),TRUE())))</f>
        <v/>
      </c>
      <c r="AI226" s="93" t="str">
        <f aca="false">IF(ISBLANK($C226),"",IF(AND(ISNUMBER(H226),H226&gt;=0),H226,Constants!$B$24))</f>
        <v/>
      </c>
      <c r="AJ226" s="93" t="str">
        <f aca="false">IF(ISBLANK($C226),"",IF(I226=Constants!$B$2,TRUE(),IF(I226=Constants!$B$3,FALSE(),TRUE())))</f>
        <v/>
      </c>
      <c r="AK226" s="93" t="str">
        <f aca="false">IF(ISBLANK($C226),"",IF(J226=Constants!$B$2,TRUE(),IF(J226=Constants!$B$3,FALSE(),TRUE())))</f>
        <v/>
      </c>
      <c r="AL226" s="93" t="str">
        <f aca="false">IF(ISBLANK($C226),"",IF(K226=Constants!$B$4,TRUE(),IF(K226=Constants!$B$5,FALSE(),COUNTA(L226:P226)&gt;0)))</f>
        <v/>
      </c>
      <c r="AM226" s="95" t="str">
        <f aca="false">IF(ISBLANK($C226),"",IF(ISNUMBER(L226),IF(L226&gt;=0,L226,""),""))</f>
        <v/>
      </c>
      <c r="AN226" s="94" t="str">
        <f aca="false">IF(ISBLANK($C226),"",IF(ISNUMBER(M226),IF(M226&gt;=0,M226,""),""))</f>
        <v/>
      </c>
      <c r="AO226" s="94" t="str">
        <f aca="false">IF(ISBLANK($C226),"",IF(N226=Constants!$B$2,TRUE(),IF(N226=Constants!$B$3,FALSE(),TRUE())))</f>
        <v/>
      </c>
      <c r="AP226" s="93" t="str">
        <f aca="false">IF(ISBLANK($C226),"",IF(ISNUMBER(O226),IF(O226&gt;=0,O226,""),""))</f>
        <v/>
      </c>
      <c r="AQ226" s="93" t="str">
        <f aca="false">IF(ISBLANK($C226),"",IF(P226=Constants!$B$2,TRUE(),IF(P226=Constants!$B$3,FALSE(),FALSE())))</f>
        <v/>
      </c>
      <c r="AR226" s="93" t="str">
        <f aca="false">IF(ISBLANK($C226),"",IF(Q226=Constants!$B$2,TRUE(),IF(Q226=Constants!$B$3,FALSE(),TRUE())))</f>
        <v/>
      </c>
      <c r="AS226" s="93" t="str">
        <f aca="false">IF(ISBLANK($C226),"",IF(R226=Constants!$B$2,TRUE(),IF(R226=Constants!$B$3,FALSE(),TRUE())))</f>
        <v/>
      </c>
      <c r="AT226" s="93" t="str">
        <f aca="false">IF(ISBLANK($C226),"",IF(S226=Constants!$B$4,TRUE(),IF(S226=Constants!$B$5,FALSE(),COUNTA(T226:X226)&gt;0)))</f>
        <v/>
      </c>
      <c r="AU226" s="95" t="str">
        <f aca="false">IF(ISBLANK($C226),"",IF(ISNUMBER(T226),IF(T226&gt;=0,T226,""),""))</f>
        <v/>
      </c>
      <c r="AV226" s="94" t="str">
        <f aca="false">IF(ISBLANK($C226),"",IF(ISNUMBER(U226),IF(U226&gt;=0,U226,""),""))</f>
        <v/>
      </c>
      <c r="AW226" s="94" t="str">
        <f aca="false">IF(ISBLANK($C226),"",IF(V226=Constants!$B$2,TRUE(),IF(V226=Constants!$B$3,FALSE(),TRUE())))</f>
        <v/>
      </c>
      <c r="AX226" s="93" t="str">
        <f aca="false">IF(ISBLANK($C226),"",IF(ISNUMBER(W226),IF(W226&gt;=0,W226,""),""))</f>
        <v/>
      </c>
      <c r="AY226" s="93" t="str">
        <f aca="false">IF(ISBLANK($C226),"",IF(X226=Constants!$B$2,TRUE(),IF(X226=Constants!$B$3,FALSE(),FALSE())))</f>
        <v/>
      </c>
      <c r="AZ226" s="93" t="str">
        <f aca="false">IF(ISBLANK($C226),"",MIN(Constants!$B$25,MAX(0,IF(ISNUMBER(Y226),Y226*60,0)+IF(ISNUMBER(Z226),Z226,0))))</f>
        <v/>
      </c>
      <c r="BA226" s="93" t="str">
        <f aca="false">IF(ISBLANK($C226),"",IF(AA226=Constants!$B$2,TRUE(),IF(AA226=Constants!$B$3,FALSE(),FALSE())))</f>
        <v/>
      </c>
      <c r="BB226" s="92" t="str">
        <f aca="false">IF(ISBLANK($C226),"",AND($AL226,OR($AM226="",$AN226="",AND($AO226,$AP226=""))))</f>
        <v/>
      </c>
      <c r="BC226" s="94" t="str">
        <f aca="false">IF($BX226&lt;&gt;Constants!$B$6,"",IF($AL226,Constants!$B$17*$AN226+Constants!$B$18*IF($AO226,$AP226,Constants!$B$19),Constants!$B$20))</f>
        <v/>
      </c>
      <c r="BD226" s="97" t="str">
        <f aca="false">IF($BX226&lt;&gt;Constants!$B$6,"",Constants!$B$21*ABS($AD$9-IF($AL226,$AM226,0)))</f>
        <v/>
      </c>
      <c r="BE226" s="97" t="str">
        <f aca="false">IF($BX226&lt;&gt;Constants!$B$6,"",IF(AND($AL226,$AQ226,$AO226),Constants!$B$22,0))</f>
        <v/>
      </c>
      <c r="BF226" s="97" t="str">
        <f aca="false">IF($BX226&lt;&gt;Constants!$B$6,"",IF($AL226,($AI226-Constants!$B$24)*Constants!$B$23,0))</f>
        <v/>
      </c>
      <c r="BG226" s="97" t="str">
        <f aca="false">IF($BX226&lt;&gt;Constants!$B$6,"",IF($AK226,0,Constants!$B$12)+IF($AJ226,0,Constants!$B$13)+IF($AH226,0,Constants!$B$14))</f>
        <v/>
      </c>
      <c r="BH226" s="98" t="str">
        <f aca="false">IF($BX226&lt;&gt;Constants!$B$6,"",Constants!$B$16+SUM($BC226:$BG226))</f>
        <v/>
      </c>
      <c r="BI226" s="97" t="str">
        <f aca="false">IF($BX226&lt;&gt;Constants!$B$6,"",$BC226)</f>
        <v/>
      </c>
      <c r="BJ226" s="97" t="str">
        <f aca="false">IF($BX226&lt;&gt;Constants!$B$6,"",$BD226)</f>
        <v/>
      </c>
      <c r="BK226" s="99" t="str">
        <f aca="false">IF($BX226&lt;&gt;Constants!$B$6,"",IF($AL226,$AN226,""))</f>
        <v/>
      </c>
      <c r="BL226" s="93" t="str">
        <f aca="false">IF($BX226&lt;&gt;Constants!$B$6,"",IF(OR($BS226&lt;$BH226,AND($BS226=$BH226,OR($BT226&lt;$BI226,AND($BT226=$BI226,OR($BU226&lt;$BJ226,AND($BU226=$BJ226,AND(ISNUMBER($BV226),OR(NOT(ISNUMBER($BK226)),$BV226&lt;$BK226)))))))),"-&gt;","&lt;-"))</f>
        <v/>
      </c>
      <c r="BM226" s="92" t="str">
        <f aca="false">IF(ISBLANK($C226),"",AND($AT226,OR($AU226="",$AV226="",AND($AW226,$AX226=""))))</f>
        <v/>
      </c>
      <c r="BN226" s="94" t="str">
        <f aca="false">IF($BX226&lt;&gt;Constants!$B$6,"",IF($AT226,Constants!$B$17*$AV226+Constants!$B$18*IF($AW226,$AX226,Constants!$B$19),Constants!$B$20))</f>
        <v/>
      </c>
      <c r="BO226" s="97" t="str">
        <f aca="false">IF($BX226&lt;&gt;Constants!$B$6,"",Constants!$B$21*ABS($AD$9-IF($AT226,$AU226,0)))</f>
        <v/>
      </c>
      <c r="BP226" s="97" t="str">
        <f aca="false">IF($BX226&lt;&gt;Constants!$B$6,"",IF(AND($AT226,$AY226,$AW226),Constants!$B$22,0))</f>
        <v/>
      </c>
      <c r="BQ226" s="97" t="str">
        <f aca="false">IF($BX226&lt;&gt;Constants!$B$6,"",IF($AT226,($AI226-Constants!$B$24)*Constants!$B$23,0))</f>
        <v/>
      </c>
      <c r="BR226" s="97" t="str">
        <f aca="false">IF($BX226&lt;&gt;Constants!$B$6,"",IF($AS226,0,Constants!$B$12)+IF($AR226,0,Constants!$B$13)+IF($AH226,0,Constants!$B$14))</f>
        <v/>
      </c>
      <c r="BS226" s="98" t="str">
        <f aca="false">IF($BX226&lt;&gt;Constants!$B$6,"",Constants!$B$16+SUM($BN226:$BR226))</f>
        <v/>
      </c>
      <c r="BT226" s="97" t="str">
        <f aca="false">IF($BX226&lt;&gt;Constants!$B$6,"",$BN226)</f>
        <v/>
      </c>
      <c r="BU226" s="97" t="str">
        <f aca="false">IF($BX226&lt;&gt;Constants!$B$6,"",$BO226)</f>
        <v/>
      </c>
      <c r="BV226" s="99" t="str">
        <f aca="false">IF($BX226&lt;&gt;Constants!$B$6,"",IF($AT226,$AV226,""))</f>
        <v/>
      </c>
      <c r="BW226" s="93" t="str">
        <f aca="false">IF(ISBLANK($C226),"",IF(ISBLANK($D$7),$BW$5,IF(NOT(ISNUMBER($D$7)),$BW$6,"")))</f>
        <v/>
      </c>
      <c r="BX226" s="93" t="str">
        <f aca="false">IF(ISBLANK($C226),"",IF($BA226,Constants!$B$9,IF(COUNTA($E226:$AA226)=0,Constants!$B$8,IF(NOT($AG226),Constants!$B$7,IF(OR($BW226&lt;&gt;"",$BB226,$BM226),Constants!$B$10,Constants!$B$6)))))</f>
        <v/>
      </c>
      <c r="BY226" s="93" t="str">
        <f aca="false">IF(ISBLANK($C226),"",IF($BX226&lt;&gt;Constants!$B$6,$BX226,Constants!$B$11))</f>
        <v/>
      </c>
      <c r="BZ226" s="97" t="str">
        <f aca="false">IF($BX226&lt;&gt;Constants!$B$6,"",IF($BL226="-&gt;",$BS226,$BH226))</f>
        <v/>
      </c>
      <c r="CA226" s="97" t="str">
        <f aca="false">IF($BX226&lt;&gt;Constants!$B$6,"",IF($AF226,0,Constants!$B$15))</f>
        <v/>
      </c>
      <c r="CB226" s="97" t="str">
        <f aca="false">IF($BX226&lt;&gt;Constants!$B$6,"",((Constants!$B$25-$AZ226)-Constants!$B$25)/Constants!$B$26)</f>
        <v/>
      </c>
      <c r="CC226" s="97" t="str">
        <f aca="false">IF(ISBLANK($C226),"",IF($BX226&lt;&gt;Constants!$B$6,$BX226,SUM($BZ226:$CB226)))</f>
        <v/>
      </c>
      <c r="CD226" s="93" t="str">
        <f aca="false">IF(ISBLANK($C226),"",IF($BX226&lt;&gt;Constants!$B$6,$BX226,RANK($CC226,$CC$9:$CC$508,1)))</f>
        <v/>
      </c>
      <c r="CE226" s="97" t="str">
        <f aca="false">IF($BX226&lt;&gt;Constants!$B$6,"",IF($BL226="-&gt;",$BT226,$BI226))</f>
        <v/>
      </c>
      <c r="CF226" s="93" t="str">
        <f aca="false">IF(ISBLANK($C226),"",IF($BX226&lt;&gt;Constants!$B$6,$BX226,IF(ISNUMBER($CE226),RANK($CE226,$CE$9:$CE$508,1),COUNT($CE$9:$CE$508)+1)))</f>
        <v/>
      </c>
      <c r="CG226" s="97" t="str">
        <f aca="false">IF($BX226&lt;&gt;Constants!$B$6,"",IF($BL226="-&gt;",$BU226,$BJ226))</f>
        <v/>
      </c>
      <c r="CH226" s="93" t="str">
        <f aca="false">IF(ISBLANK($C226),"",IF($BX226&lt;&gt;Constants!$B$6,$BX226,IF(ISNUMBER($CG226),RANK($CG226,$CG$9:$CG$508,1),COUNT($CG$9:$CG$508)+1)))</f>
        <v/>
      </c>
      <c r="CI226" s="97" t="str">
        <f aca="false">IF($BX226&lt;&gt;Constants!$B$6,"",IF($BL226="-&gt;",$BV226,$BK226))</f>
        <v/>
      </c>
      <c r="CJ226" s="93" t="str">
        <f aca="false">IF(ISBLANK($C226),"",IF($BX226&lt;&gt;Constants!$B$6,$BX226,IF(ISNUMBER($CI226),RANK($CI226,$CI$9:$CI$508,1),COUNT($CI$9:$CI$508)+1)))</f>
        <v/>
      </c>
      <c r="CK226" s="97" t="str">
        <f aca="false">IF($BX226&lt;&gt;Constants!$B$6,"",$AI226)</f>
        <v/>
      </c>
      <c r="CL226" s="93" t="str">
        <f aca="false">IF(ISBLANK($C226),"",IF($BX226&lt;&gt;Constants!$B$6,$BX226,IF(ISNUMBER($CK226),RANK($CK226,$CK$9:$CK$508,1),COUNT($CK$9:$CK$508)+1)))</f>
        <v/>
      </c>
      <c r="CM226" s="93" t="str">
        <f aca="false">IF(ISBLANK($C226),"",IF($BX226&lt;&gt;Constants!$B$6,$BX226,COUNTIFS($CD$9:$CD$508,"&lt;"&amp;$CD226)+COUNTIFS($CD$9:$CD$508,$CD226,$CF$9:$CF$508,"&lt;"&amp;$CF226)+COUNTIFS($CD$9:$CD$508,$CD226,$CF$9:$CF$508,$CF226,$CH$9:$CH$508,"&lt;"&amp;$CH226)+COUNTIFS($CD$9:$CD$508,$CD226,$CF$9:$CF$508,$CF226,$CH$9:$CH$508,$CH226,$CJ$9:$CJ$508,"&lt;"&amp;$CJ226)+COUNTIFS($CD$9:$CD$508,$CD226,$CF$9:$CF$508,$CF226,$CH$9:$CH$508,$CH226,$CJ$9:$CJ$508,$CJ226,$CL$9:$CL$508,"&lt;"&amp;$CL226)+1))</f>
        <v/>
      </c>
      <c r="CN226" s="93" t="str">
        <f aca="false">IF(ISBLANK($C226),"",IF($BX226&lt;&gt;Constants!$B$6,$BX226,$CD226-$CM226))</f>
        <v/>
      </c>
      <c r="CO226" s="100"/>
      <c r="CP226" s="101"/>
      <c r="CQ226" s="102" t="str">
        <f aca="false">IF(ISBLANK($C226),"",IF($BX226=Constants!$B$10,$BW226,""))</f>
        <v/>
      </c>
      <c r="CR226" s="101" t="str">
        <f aca="false">IF(ISBLANK($C226),"",IF($BX226&lt;&gt;Constants!$B$6,"",IF($BL226="-&gt;",2,1)))</f>
        <v/>
      </c>
      <c r="CS226" s="103" t="str">
        <f aca="false">IF(ISBLANK($C226),"",IF($BX226&lt;&gt;Constants!$B$6,"",IF($BL226="-&gt;",$BN226,$BC226)))</f>
        <v/>
      </c>
      <c r="CT226" s="103" t="str">
        <f aca="false">IF(ISBLANK($C226),"",IF($BX226&lt;&gt;Constants!$B$6,"",IF($BL226="-&gt;",$BO226,$BD226)))</f>
        <v/>
      </c>
      <c r="CU226" s="103" t="str">
        <f aca="false">IF(ISBLANK($C226),"",IF($BX226&lt;&gt;Constants!$B$6,"",IF($BL226="-&gt;",$BP226+$BQ226,$BE226+$BF226)+$CB226))</f>
        <v/>
      </c>
      <c r="CV226" s="103" t="str">
        <f aca="false">IF(ISBLANK($C226),"",IF($BX226&lt;&gt;Constants!$B$6,"",IF($BL226="-&gt;",$BR226,$BG226)+$CA226))</f>
        <v/>
      </c>
      <c r="CW226" s="104" t="str">
        <f aca="false">IF(ISBLANK($C226),"",IF($BX226&lt;&gt;Constants!$B$6,$BX226,$CC226))</f>
        <v/>
      </c>
      <c r="CX226" s="105" t="str">
        <f aca="false">IF(ISBLANK($C226),"",$BY226)</f>
        <v/>
      </c>
      <c r="CY226" s="106" t="str">
        <f aca="false">IF(ISBLANK($C226),"",$CN226)</f>
        <v/>
      </c>
      <c r="CZ226" s="106" t="str">
        <f aca="false">IF(ISBLANK($C226),"",$CM226)</f>
        <v/>
      </c>
      <c r="DA226" s="107" t="str">
        <f aca="false">IF(ISBLANK($C226),"",IFERROR(_xlfn.SWITCH($CZ226,Constants!$B$9,COUNTA($C$9:$C$508)+2,Constants!$B$8,COUNTA($C$9:$C$508)+1,Constants!$B$7,COUNTA($C$9:$C$508)),$CZ226))</f>
        <v/>
      </c>
      <c r="DB226" s="9"/>
      <c r="DC226" s="108" t="n">
        <f aca="false">IF(OR(ISNUMBER($CZ226),$CZ226=Constants!$B$9,$CZ226=Constants!$B$7,$CZ226=Constants!$B$8),1,0)</f>
        <v>0</v>
      </c>
      <c r="DD226" s="108" t="n">
        <v>218</v>
      </c>
      <c r="DE226" s="108" t="str">
        <f aca="false">IF(ISBLANK($C226),"",IF(ISNUMBER($DA226),$DA226+ROW($B226)/1000,""))</f>
        <v/>
      </c>
      <c r="DF226" s="108" t="str">
        <f aca="false">IF(ISNUMBER($DE226),RANK($DE226,$DE$9:$DE$508,1),"")</f>
        <v/>
      </c>
      <c r="DG226" s="108" t="str">
        <f aca="false">IF(ISBLANK($C226),"",$B226)</f>
        <v/>
      </c>
      <c r="DH226" s="108" t="str">
        <f aca="false">IF(ISBLANK($C226),"",$C226)</f>
        <v/>
      </c>
      <c r="DI226" s="108" t="str">
        <f aca="false">IF(ISBLANK($C226),"",$D226)</f>
        <v/>
      </c>
      <c r="DJ226" s="109" t="str">
        <f aca="false">$CX226</f>
        <v/>
      </c>
      <c r="DK226" s="110" t="str">
        <f aca="false">$CW226</f>
        <v/>
      </c>
      <c r="DL226" s="108" t="str">
        <f aca="false">IF(ISBLANK($C226),"",$CZ226)</f>
        <v/>
      </c>
      <c r="DM226" s="111" t="str">
        <f aca="false">IF($DD226&gt;$DC$8,"",VLOOKUP($DD226,$DF$9:$DL$508,7,FALSE()))</f>
        <v/>
      </c>
      <c r="DN226" s="112" t="str">
        <f aca="false">IF($DD226&gt;$DC$8,"",VLOOKUP($DD226,$DF$9:$DL$508,2,FALSE()))</f>
        <v/>
      </c>
      <c r="DO226" s="112" t="str">
        <f aca="false">IF($DD226&gt;$DC$8,"",VLOOKUP($DD226,$DF$9:$DL$508,3,FALSE()))</f>
        <v/>
      </c>
      <c r="DP226" s="112" t="str">
        <f aca="false">IF($DD226&gt;$DC$8,"",VLOOKUP($DD226,$DF$9:$DL$508,4,FALSE()))</f>
        <v/>
      </c>
      <c r="DQ226" s="112" t="str">
        <f aca="false">IF($DD226&gt;$DC$8,"",VLOOKUP($DD226,$DF$9:$DL$508,5,FALSE()))</f>
        <v/>
      </c>
      <c r="DR226" s="113" t="str">
        <f aca="false">IF($DD226&gt;$DC$8,"",VLOOKUP($DD226,$DF$9:$DL$508,6,FALSE()))</f>
        <v/>
      </c>
      <c r="DS226" s="76"/>
    </row>
    <row r="227" customFormat="false" ht="15.75" hidden="false" customHeight="false" outlineLevel="0" collapsed="false">
      <c r="A227" s="9"/>
      <c r="B227" s="78"/>
      <c r="C227" s="79"/>
      <c r="D227" s="170"/>
      <c r="E227" s="178"/>
      <c r="F227" s="172"/>
      <c r="G227" s="173"/>
      <c r="H227" s="173"/>
      <c r="I227" s="179"/>
      <c r="J227" s="176"/>
      <c r="K227" s="86"/>
      <c r="L227" s="87"/>
      <c r="M227" s="88"/>
      <c r="N227" s="176"/>
      <c r="O227" s="176"/>
      <c r="P227" s="178"/>
      <c r="Q227" s="176"/>
      <c r="R227" s="176"/>
      <c r="S227" s="86"/>
      <c r="T227" s="88"/>
      <c r="U227" s="88"/>
      <c r="V227" s="176"/>
      <c r="W227" s="176"/>
      <c r="X227" s="178"/>
      <c r="Y227" s="176"/>
      <c r="Z227" s="177"/>
      <c r="AA227" s="176"/>
      <c r="AB227" s="92"/>
      <c r="AC227" s="93"/>
      <c r="AD227" s="93"/>
      <c r="AE227" s="93"/>
      <c r="AF227" s="93" t="str">
        <f aca="false">IF(ISBLANK($C227),"",IF(E227=Constants!$B$2,TRUE(),IF(E227=Constants!$B$3,FALSE(),TRUE())))</f>
        <v/>
      </c>
      <c r="AG227" s="93" t="str">
        <f aca="false">IF(ISBLANK($C227),"",IF(F227=Constants!$B$2,TRUE(),IF(F227=Constants!$B$3,FALSE(),TRUE())))</f>
        <v/>
      </c>
      <c r="AH227" s="93" t="str">
        <f aca="false">IF(ISBLANK($C227),"",IF(G227=Constants!$B$2,TRUE(),IF(G227=Constants!$B$3,FALSE(),TRUE())))</f>
        <v/>
      </c>
      <c r="AI227" s="93" t="str">
        <f aca="false">IF(ISBLANK($C227),"",IF(AND(ISNUMBER(H227),H227&gt;=0),H227,Constants!$B$24))</f>
        <v/>
      </c>
      <c r="AJ227" s="93" t="str">
        <f aca="false">IF(ISBLANK($C227),"",IF(I227=Constants!$B$2,TRUE(),IF(I227=Constants!$B$3,FALSE(),TRUE())))</f>
        <v/>
      </c>
      <c r="AK227" s="93" t="str">
        <f aca="false">IF(ISBLANK($C227),"",IF(J227=Constants!$B$2,TRUE(),IF(J227=Constants!$B$3,FALSE(),TRUE())))</f>
        <v/>
      </c>
      <c r="AL227" s="93" t="str">
        <f aca="false">IF(ISBLANK($C227),"",IF(K227=Constants!$B$4,TRUE(),IF(K227=Constants!$B$5,FALSE(),COUNTA(L227:P227)&gt;0)))</f>
        <v/>
      </c>
      <c r="AM227" s="95" t="str">
        <f aca="false">IF(ISBLANK($C227),"",IF(ISNUMBER(L227),IF(L227&gt;=0,L227,""),""))</f>
        <v/>
      </c>
      <c r="AN227" s="94" t="str">
        <f aca="false">IF(ISBLANK($C227),"",IF(ISNUMBER(M227),IF(M227&gt;=0,M227,""),""))</f>
        <v/>
      </c>
      <c r="AO227" s="94" t="str">
        <f aca="false">IF(ISBLANK($C227),"",IF(N227=Constants!$B$2,TRUE(),IF(N227=Constants!$B$3,FALSE(),TRUE())))</f>
        <v/>
      </c>
      <c r="AP227" s="93" t="str">
        <f aca="false">IF(ISBLANK($C227),"",IF(ISNUMBER(O227),IF(O227&gt;=0,O227,""),""))</f>
        <v/>
      </c>
      <c r="AQ227" s="93" t="str">
        <f aca="false">IF(ISBLANK($C227),"",IF(P227=Constants!$B$2,TRUE(),IF(P227=Constants!$B$3,FALSE(),FALSE())))</f>
        <v/>
      </c>
      <c r="AR227" s="93" t="str">
        <f aca="false">IF(ISBLANK($C227),"",IF(Q227=Constants!$B$2,TRUE(),IF(Q227=Constants!$B$3,FALSE(),TRUE())))</f>
        <v/>
      </c>
      <c r="AS227" s="93" t="str">
        <f aca="false">IF(ISBLANK($C227),"",IF(R227=Constants!$B$2,TRUE(),IF(R227=Constants!$B$3,FALSE(),TRUE())))</f>
        <v/>
      </c>
      <c r="AT227" s="93" t="str">
        <f aca="false">IF(ISBLANK($C227),"",IF(S227=Constants!$B$4,TRUE(),IF(S227=Constants!$B$5,FALSE(),COUNTA(T227:X227)&gt;0)))</f>
        <v/>
      </c>
      <c r="AU227" s="95" t="str">
        <f aca="false">IF(ISBLANK($C227),"",IF(ISNUMBER(T227),IF(T227&gt;=0,T227,""),""))</f>
        <v/>
      </c>
      <c r="AV227" s="94" t="str">
        <f aca="false">IF(ISBLANK($C227),"",IF(ISNUMBER(U227),IF(U227&gt;=0,U227,""),""))</f>
        <v/>
      </c>
      <c r="AW227" s="94" t="str">
        <f aca="false">IF(ISBLANK($C227),"",IF(V227=Constants!$B$2,TRUE(),IF(V227=Constants!$B$3,FALSE(),TRUE())))</f>
        <v/>
      </c>
      <c r="AX227" s="93" t="str">
        <f aca="false">IF(ISBLANK($C227),"",IF(ISNUMBER(W227),IF(W227&gt;=0,W227,""),""))</f>
        <v/>
      </c>
      <c r="AY227" s="93" t="str">
        <f aca="false">IF(ISBLANK($C227),"",IF(X227=Constants!$B$2,TRUE(),IF(X227=Constants!$B$3,FALSE(),FALSE())))</f>
        <v/>
      </c>
      <c r="AZ227" s="93" t="str">
        <f aca="false">IF(ISBLANK($C227),"",MIN(Constants!$B$25,MAX(0,IF(ISNUMBER(Y227),Y227*60,0)+IF(ISNUMBER(Z227),Z227,0))))</f>
        <v/>
      </c>
      <c r="BA227" s="93" t="str">
        <f aca="false">IF(ISBLANK($C227),"",IF(AA227=Constants!$B$2,TRUE(),IF(AA227=Constants!$B$3,FALSE(),FALSE())))</f>
        <v/>
      </c>
      <c r="BB227" s="92" t="str">
        <f aca="false">IF(ISBLANK($C227),"",AND($AL227,OR($AM227="",$AN227="",AND($AO227,$AP227=""))))</f>
        <v/>
      </c>
      <c r="BC227" s="94" t="str">
        <f aca="false">IF($BX227&lt;&gt;Constants!$B$6,"",IF($AL227,Constants!$B$17*$AN227+Constants!$B$18*IF($AO227,$AP227,Constants!$B$19),Constants!$B$20))</f>
        <v/>
      </c>
      <c r="BD227" s="97" t="str">
        <f aca="false">IF($BX227&lt;&gt;Constants!$B$6,"",Constants!$B$21*ABS($AD$9-IF($AL227,$AM227,0)))</f>
        <v/>
      </c>
      <c r="BE227" s="97" t="str">
        <f aca="false">IF($BX227&lt;&gt;Constants!$B$6,"",IF(AND($AL227,$AQ227,$AO227),Constants!$B$22,0))</f>
        <v/>
      </c>
      <c r="BF227" s="97" t="str">
        <f aca="false">IF($BX227&lt;&gt;Constants!$B$6,"",IF($AL227,($AI227-Constants!$B$24)*Constants!$B$23,0))</f>
        <v/>
      </c>
      <c r="BG227" s="97" t="str">
        <f aca="false">IF($BX227&lt;&gt;Constants!$B$6,"",IF($AK227,0,Constants!$B$12)+IF($AJ227,0,Constants!$B$13)+IF($AH227,0,Constants!$B$14))</f>
        <v/>
      </c>
      <c r="BH227" s="98" t="str">
        <f aca="false">IF($BX227&lt;&gt;Constants!$B$6,"",Constants!$B$16+SUM($BC227:$BG227))</f>
        <v/>
      </c>
      <c r="BI227" s="97" t="str">
        <f aca="false">IF($BX227&lt;&gt;Constants!$B$6,"",$BC227)</f>
        <v/>
      </c>
      <c r="BJ227" s="97" t="str">
        <f aca="false">IF($BX227&lt;&gt;Constants!$B$6,"",$BD227)</f>
        <v/>
      </c>
      <c r="BK227" s="99" t="str">
        <f aca="false">IF($BX227&lt;&gt;Constants!$B$6,"",IF($AL227,$AN227,""))</f>
        <v/>
      </c>
      <c r="BL227" s="93" t="str">
        <f aca="false">IF($BX227&lt;&gt;Constants!$B$6,"",IF(OR($BS227&lt;$BH227,AND($BS227=$BH227,OR($BT227&lt;$BI227,AND($BT227=$BI227,OR($BU227&lt;$BJ227,AND($BU227=$BJ227,AND(ISNUMBER($BV227),OR(NOT(ISNUMBER($BK227)),$BV227&lt;$BK227)))))))),"-&gt;","&lt;-"))</f>
        <v/>
      </c>
      <c r="BM227" s="92" t="str">
        <f aca="false">IF(ISBLANK($C227),"",AND($AT227,OR($AU227="",$AV227="",AND($AW227,$AX227=""))))</f>
        <v/>
      </c>
      <c r="BN227" s="94" t="str">
        <f aca="false">IF($BX227&lt;&gt;Constants!$B$6,"",IF($AT227,Constants!$B$17*$AV227+Constants!$B$18*IF($AW227,$AX227,Constants!$B$19),Constants!$B$20))</f>
        <v/>
      </c>
      <c r="BO227" s="97" t="str">
        <f aca="false">IF($BX227&lt;&gt;Constants!$B$6,"",Constants!$B$21*ABS($AD$9-IF($AT227,$AU227,0)))</f>
        <v/>
      </c>
      <c r="BP227" s="97" t="str">
        <f aca="false">IF($BX227&lt;&gt;Constants!$B$6,"",IF(AND($AT227,$AY227,$AW227),Constants!$B$22,0))</f>
        <v/>
      </c>
      <c r="BQ227" s="97" t="str">
        <f aca="false">IF($BX227&lt;&gt;Constants!$B$6,"",IF($AT227,($AI227-Constants!$B$24)*Constants!$B$23,0))</f>
        <v/>
      </c>
      <c r="BR227" s="97" t="str">
        <f aca="false">IF($BX227&lt;&gt;Constants!$B$6,"",IF($AS227,0,Constants!$B$12)+IF($AR227,0,Constants!$B$13)+IF($AH227,0,Constants!$B$14))</f>
        <v/>
      </c>
      <c r="BS227" s="98" t="str">
        <f aca="false">IF($BX227&lt;&gt;Constants!$B$6,"",Constants!$B$16+SUM($BN227:$BR227))</f>
        <v/>
      </c>
      <c r="BT227" s="97" t="str">
        <f aca="false">IF($BX227&lt;&gt;Constants!$B$6,"",$BN227)</f>
        <v/>
      </c>
      <c r="BU227" s="97" t="str">
        <f aca="false">IF($BX227&lt;&gt;Constants!$B$6,"",$BO227)</f>
        <v/>
      </c>
      <c r="BV227" s="99" t="str">
        <f aca="false">IF($BX227&lt;&gt;Constants!$B$6,"",IF($AT227,$AV227,""))</f>
        <v/>
      </c>
      <c r="BW227" s="93" t="str">
        <f aca="false">IF(ISBLANK($C227),"",IF(ISBLANK($D$7),$BW$5,IF(NOT(ISNUMBER($D$7)),$BW$6,"")))</f>
        <v/>
      </c>
      <c r="BX227" s="93" t="str">
        <f aca="false">IF(ISBLANK($C227),"",IF($BA227,Constants!$B$9,IF(COUNTA($E227:$AA227)=0,Constants!$B$8,IF(NOT($AG227),Constants!$B$7,IF(OR($BW227&lt;&gt;"",$BB227,$BM227),Constants!$B$10,Constants!$B$6)))))</f>
        <v/>
      </c>
      <c r="BY227" s="93" t="str">
        <f aca="false">IF(ISBLANK($C227),"",IF($BX227&lt;&gt;Constants!$B$6,$BX227,Constants!$B$11))</f>
        <v/>
      </c>
      <c r="BZ227" s="97" t="str">
        <f aca="false">IF($BX227&lt;&gt;Constants!$B$6,"",IF($BL227="-&gt;",$BS227,$BH227))</f>
        <v/>
      </c>
      <c r="CA227" s="97" t="str">
        <f aca="false">IF($BX227&lt;&gt;Constants!$B$6,"",IF($AF227,0,Constants!$B$15))</f>
        <v/>
      </c>
      <c r="CB227" s="97" t="str">
        <f aca="false">IF($BX227&lt;&gt;Constants!$B$6,"",((Constants!$B$25-$AZ227)-Constants!$B$25)/Constants!$B$26)</f>
        <v/>
      </c>
      <c r="CC227" s="97" t="str">
        <f aca="false">IF(ISBLANK($C227),"",IF($BX227&lt;&gt;Constants!$B$6,$BX227,SUM($BZ227:$CB227)))</f>
        <v/>
      </c>
      <c r="CD227" s="93" t="str">
        <f aca="false">IF(ISBLANK($C227),"",IF($BX227&lt;&gt;Constants!$B$6,$BX227,RANK($CC227,$CC$9:$CC$508,1)))</f>
        <v/>
      </c>
      <c r="CE227" s="97" t="str">
        <f aca="false">IF($BX227&lt;&gt;Constants!$B$6,"",IF($BL227="-&gt;",$BT227,$BI227))</f>
        <v/>
      </c>
      <c r="CF227" s="93" t="str">
        <f aca="false">IF(ISBLANK($C227),"",IF($BX227&lt;&gt;Constants!$B$6,$BX227,IF(ISNUMBER($CE227),RANK($CE227,$CE$9:$CE$508,1),COUNT($CE$9:$CE$508)+1)))</f>
        <v/>
      </c>
      <c r="CG227" s="97" t="str">
        <f aca="false">IF($BX227&lt;&gt;Constants!$B$6,"",IF($BL227="-&gt;",$BU227,$BJ227))</f>
        <v/>
      </c>
      <c r="CH227" s="93" t="str">
        <f aca="false">IF(ISBLANK($C227),"",IF($BX227&lt;&gt;Constants!$B$6,$BX227,IF(ISNUMBER($CG227),RANK($CG227,$CG$9:$CG$508,1),COUNT($CG$9:$CG$508)+1)))</f>
        <v/>
      </c>
      <c r="CI227" s="97" t="str">
        <f aca="false">IF($BX227&lt;&gt;Constants!$B$6,"",IF($BL227="-&gt;",$BV227,$BK227))</f>
        <v/>
      </c>
      <c r="CJ227" s="93" t="str">
        <f aca="false">IF(ISBLANK($C227),"",IF($BX227&lt;&gt;Constants!$B$6,$BX227,IF(ISNUMBER($CI227),RANK($CI227,$CI$9:$CI$508,1),COUNT($CI$9:$CI$508)+1)))</f>
        <v/>
      </c>
      <c r="CK227" s="97" t="str">
        <f aca="false">IF($BX227&lt;&gt;Constants!$B$6,"",$AI227)</f>
        <v/>
      </c>
      <c r="CL227" s="93" t="str">
        <f aca="false">IF(ISBLANK($C227),"",IF($BX227&lt;&gt;Constants!$B$6,$BX227,IF(ISNUMBER($CK227),RANK($CK227,$CK$9:$CK$508,1),COUNT($CK$9:$CK$508)+1)))</f>
        <v/>
      </c>
      <c r="CM227" s="93" t="str">
        <f aca="false">IF(ISBLANK($C227),"",IF($BX227&lt;&gt;Constants!$B$6,$BX227,COUNTIFS($CD$9:$CD$508,"&lt;"&amp;$CD227)+COUNTIFS($CD$9:$CD$508,$CD227,$CF$9:$CF$508,"&lt;"&amp;$CF227)+COUNTIFS($CD$9:$CD$508,$CD227,$CF$9:$CF$508,$CF227,$CH$9:$CH$508,"&lt;"&amp;$CH227)+COUNTIFS($CD$9:$CD$508,$CD227,$CF$9:$CF$508,$CF227,$CH$9:$CH$508,$CH227,$CJ$9:$CJ$508,"&lt;"&amp;$CJ227)+COUNTIFS($CD$9:$CD$508,$CD227,$CF$9:$CF$508,$CF227,$CH$9:$CH$508,$CH227,$CJ$9:$CJ$508,$CJ227,$CL$9:$CL$508,"&lt;"&amp;$CL227)+1))</f>
        <v/>
      </c>
      <c r="CN227" s="93" t="str">
        <f aca="false">IF(ISBLANK($C227),"",IF($BX227&lt;&gt;Constants!$B$6,$BX227,$CD227-$CM227))</f>
        <v/>
      </c>
      <c r="CO227" s="100"/>
      <c r="CP227" s="101"/>
      <c r="CQ227" s="102" t="str">
        <f aca="false">IF(ISBLANK($C227),"",IF($BX227=Constants!$B$10,$BW227,""))</f>
        <v/>
      </c>
      <c r="CR227" s="101" t="str">
        <f aca="false">IF(ISBLANK($C227),"",IF($BX227&lt;&gt;Constants!$B$6,"",IF($BL227="-&gt;",2,1)))</f>
        <v/>
      </c>
      <c r="CS227" s="103" t="str">
        <f aca="false">IF(ISBLANK($C227),"",IF($BX227&lt;&gt;Constants!$B$6,"",IF($BL227="-&gt;",$BN227,$BC227)))</f>
        <v/>
      </c>
      <c r="CT227" s="103" t="str">
        <f aca="false">IF(ISBLANK($C227),"",IF($BX227&lt;&gt;Constants!$B$6,"",IF($BL227="-&gt;",$BO227,$BD227)))</f>
        <v/>
      </c>
      <c r="CU227" s="103" t="str">
        <f aca="false">IF(ISBLANK($C227),"",IF($BX227&lt;&gt;Constants!$B$6,"",IF($BL227="-&gt;",$BP227+$BQ227,$BE227+$BF227)+$CB227))</f>
        <v/>
      </c>
      <c r="CV227" s="103" t="str">
        <f aca="false">IF(ISBLANK($C227),"",IF($BX227&lt;&gt;Constants!$B$6,"",IF($BL227="-&gt;",$BR227,$BG227)+$CA227))</f>
        <v/>
      </c>
      <c r="CW227" s="104" t="str">
        <f aca="false">IF(ISBLANK($C227),"",IF($BX227&lt;&gt;Constants!$B$6,$BX227,$CC227))</f>
        <v/>
      </c>
      <c r="CX227" s="105" t="str">
        <f aca="false">IF(ISBLANK($C227),"",$BY227)</f>
        <v/>
      </c>
      <c r="CY227" s="106" t="str">
        <f aca="false">IF(ISBLANK($C227),"",$CN227)</f>
        <v/>
      </c>
      <c r="CZ227" s="106" t="str">
        <f aca="false">IF(ISBLANK($C227),"",$CM227)</f>
        <v/>
      </c>
      <c r="DA227" s="107" t="str">
        <f aca="false">IF(ISBLANK($C227),"",IFERROR(_xlfn.SWITCH($CZ227,Constants!$B$9,COUNTA($C$9:$C$508)+2,Constants!$B$8,COUNTA($C$9:$C$508)+1,Constants!$B$7,COUNTA($C$9:$C$508)),$CZ227))</f>
        <v/>
      </c>
      <c r="DB227" s="9"/>
      <c r="DC227" s="108" t="n">
        <f aca="false">IF(OR(ISNUMBER($CZ227),$CZ227=Constants!$B$9,$CZ227=Constants!$B$7,$CZ227=Constants!$B$8),1,0)</f>
        <v>0</v>
      </c>
      <c r="DD227" s="108" t="n">
        <v>219</v>
      </c>
      <c r="DE227" s="108" t="str">
        <f aca="false">IF(ISBLANK($C227),"",IF(ISNUMBER($DA227),$DA227+ROW($B227)/1000,""))</f>
        <v/>
      </c>
      <c r="DF227" s="108" t="str">
        <f aca="false">IF(ISNUMBER($DE227),RANK($DE227,$DE$9:$DE$508,1),"")</f>
        <v/>
      </c>
      <c r="DG227" s="108" t="str">
        <f aca="false">IF(ISBLANK($C227),"",$B227)</f>
        <v/>
      </c>
      <c r="DH227" s="108" t="str">
        <f aca="false">IF(ISBLANK($C227),"",$C227)</f>
        <v/>
      </c>
      <c r="DI227" s="108" t="str">
        <f aca="false">IF(ISBLANK($C227),"",$D227)</f>
        <v/>
      </c>
      <c r="DJ227" s="109" t="str">
        <f aca="false">$CX227</f>
        <v/>
      </c>
      <c r="DK227" s="110" t="str">
        <f aca="false">$CW227</f>
        <v/>
      </c>
      <c r="DL227" s="108" t="str">
        <f aca="false">IF(ISBLANK($C227),"",$CZ227)</f>
        <v/>
      </c>
      <c r="DM227" s="111" t="str">
        <f aca="false">IF($DD227&gt;$DC$8,"",VLOOKUP($DD227,$DF$9:$DL$508,7,FALSE()))</f>
        <v/>
      </c>
      <c r="DN227" s="112" t="str">
        <f aca="false">IF($DD227&gt;$DC$8,"",VLOOKUP($DD227,$DF$9:$DL$508,2,FALSE()))</f>
        <v/>
      </c>
      <c r="DO227" s="112" t="str">
        <f aca="false">IF($DD227&gt;$DC$8,"",VLOOKUP($DD227,$DF$9:$DL$508,3,FALSE()))</f>
        <v/>
      </c>
      <c r="DP227" s="112" t="str">
        <f aca="false">IF($DD227&gt;$DC$8,"",VLOOKUP($DD227,$DF$9:$DL$508,4,FALSE()))</f>
        <v/>
      </c>
      <c r="DQ227" s="112" t="str">
        <f aca="false">IF($DD227&gt;$DC$8,"",VLOOKUP($DD227,$DF$9:$DL$508,5,FALSE()))</f>
        <v/>
      </c>
      <c r="DR227" s="113" t="str">
        <f aca="false">IF($DD227&gt;$DC$8,"",VLOOKUP($DD227,$DF$9:$DL$508,6,FALSE()))</f>
        <v/>
      </c>
      <c r="DS227" s="76"/>
    </row>
    <row r="228" customFormat="false" ht="15.75" hidden="false" customHeight="false" outlineLevel="0" collapsed="false">
      <c r="A228" s="9"/>
      <c r="B228" s="160"/>
      <c r="C228" s="161"/>
      <c r="D228" s="162"/>
      <c r="E228" s="180"/>
      <c r="F228" s="164"/>
      <c r="G228" s="165"/>
      <c r="H228" s="165"/>
      <c r="I228" s="181"/>
      <c r="J228" s="168"/>
      <c r="K228" s="128"/>
      <c r="L228" s="129"/>
      <c r="M228" s="130"/>
      <c r="N228" s="168"/>
      <c r="O228" s="168"/>
      <c r="P228" s="180"/>
      <c r="Q228" s="168"/>
      <c r="R228" s="168"/>
      <c r="S228" s="128"/>
      <c r="T228" s="130"/>
      <c r="U228" s="130"/>
      <c r="V228" s="168"/>
      <c r="W228" s="168"/>
      <c r="X228" s="180"/>
      <c r="Y228" s="168"/>
      <c r="Z228" s="169"/>
      <c r="AA228" s="168"/>
      <c r="AB228" s="134"/>
      <c r="AC228" s="135"/>
      <c r="AD228" s="135"/>
      <c r="AE228" s="135"/>
      <c r="AF228" s="135" t="str">
        <f aca="false">IF(ISBLANK($C228),"",IF(E228=Constants!$B$2,TRUE(),IF(E228=Constants!$B$3,FALSE(),TRUE())))</f>
        <v/>
      </c>
      <c r="AG228" s="135" t="str">
        <f aca="false">IF(ISBLANK($C228),"",IF(F228=Constants!$B$2,TRUE(),IF(F228=Constants!$B$3,FALSE(),TRUE())))</f>
        <v/>
      </c>
      <c r="AH228" s="135" t="str">
        <f aca="false">IF(ISBLANK($C228),"",IF(G228=Constants!$B$2,TRUE(),IF(G228=Constants!$B$3,FALSE(),TRUE())))</f>
        <v/>
      </c>
      <c r="AI228" s="135" t="str">
        <f aca="false">IF(ISBLANK($C228),"",IF(AND(ISNUMBER(H228),H228&gt;=0),H228,Constants!$B$24))</f>
        <v/>
      </c>
      <c r="AJ228" s="135" t="str">
        <f aca="false">IF(ISBLANK($C228),"",IF(I228=Constants!$B$2,TRUE(),IF(I228=Constants!$B$3,FALSE(),TRUE())))</f>
        <v/>
      </c>
      <c r="AK228" s="135" t="str">
        <f aca="false">IF(ISBLANK($C228),"",IF(J228=Constants!$B$2,TRUE(),IF(J228=Constants!$B$3,FALSE(),TRUE())))</f>
        <v/>
      </c>
      <c r="AL228" s="135" t="str">
        <f aca="false">IF(ISBLANK($C228),"",IF(K228=Constants!$B$4,TRUE(),IF(K228=Constants!$B$5,FALSE(),COUNTA(L228:P228)&gt;0)))</f>
        <v/>
      </c>
      <c r="AM228" s="136" t="str">
        <f aca="false">IF(ISBLANK($C228),"",IF(ISNUMBER(L228),IF(L228&gt;=0,L228,""),""))</f>
        <v/>
      </c>
      <c r="AN228" s="137" t="str">
        <f aca="false">IF(ISBLANK($C228),"",IF(ISNUMBER(M228),IF(M228&gt;=0,M228,""),""))</f>
        <v/>
      </c>
      <c r="AO228" s="137" t="str">
        <f aca="false">IF(ISBLANK($C228),"",IF(N228=Constants!$B$2,TRUE(),IF(N228=Constants!$B$3,FALSE(),TRUE())))</f>
        <v/>
      </c>
      <c r="AP228" s="135" t="str">
        <f aca="false">IF(ISBLANK($C228),"",IF(ISNUMBER(O228),IF(O228&gt;=0,O228,""),""))</f>
        <v/>
      </c>
      <c r="AQ228" s="135" t="str">
        <f aca="false">IF(ISBLANK($C228),"",IF(P228=Constants!$B$2,TRUE(),IF(P228=Constants!$B$3,FALSE(),FALSE())))</f>
        <v/>
      </c>
      <c r="AR228" s="135" t="str">
        <f aca="false">IF(ISBLANK($C228),"",IF(Q228=Constants!$B$2,TRUE(),IF(Q228=Constants!$B$3,FALSE(),TRUE())))</f>
        <v/>
      </c>
      <c r="AS228" s="135" t="str">
        <f aca="false">IF(ISBLANK($C228),"",IF(R228=Constants!$B$2,TRUE(),IF(R228=Constants!$B$3,FALSE(),TRUE())))</f>
        <v/>
      </c>
      <c r="AT228" s="135" t="str">
        <f aca="false">IF(ISBLANK($C228),"",IF(S228=Constants!$B$4,TRUE(),IF(S228=Constants!$B$5,FALSE(),COUNTA(T228:X228)&gt;0)))</f>
        <v/>
      </c>
      <c r="AU228" s="136" t="str">
        <f aca="false">IF(ISBLANK($C228),"",IF(ISNUMBER(T228),IF(T228&gt;=0,T228,""),""))</f>
        <v/>
      </c>
      <c r="AV228" s="137" t="str">
        <f aca="false">IF(ISBLANK($C228),"",IF(ISNUMBER(U228),IF(U228&gt;=0,U228,""),""))</f>
        <v/>
      </c>
      <c r="AW228" s="137" t="str">
        <f aca="false">IF(ISBLANK($C228),"",IF(V228=Constants!$B$2,TRUE(),IF(V228=Constants!$B$3,FALSE(),TRUE())))</f>
        <v/>
      </c>
      <c r="AX228" s="135" t="str">
        <f aca="false">IF(ISBLANK($C228),"",IF(ISNUMBER(W228),IF(W228&gt;=0,W228,""),""))</f>
        <v/>
      </c>
      <c r="AY228" s="135" t="str">
        <f aca="false">IF(ISBLANK($C228),"",IF(X228=Constants!$B$2,TRUE(),IF(X228=Constants!$B$3,FALSE(),FALSE())))</f>
        <v/>
      </c>
      <c r="AZ228" s="135" t="str">
        <f aca="false">IF(ISBLANK($C228),"",MIN(Constants!$B$25,MAX(0,IF(ISNUMBER(Y228),Y228*60,0)+IF(ISNUMBER(Z228),Z228,0))))</f>
        <v/>
      </c>
      <c r="BA228" s="135" t="str">
        <f aca="false">IF(ISBLANK($C228),"",IF(AA228=Constants!$B$2,TRUE(),IF(AA228=Constants!$B$3,FALSE(),FALSE())))</f>
        <v/>
      </c>
      <c r="BB228" s="134" t="str">
        <f aca="false">IF(ISBLANK($C228),"",AND($AL228,OR($AM228="",$AN228="",AND($AO228,$AP228=""))))</f>
        <v/>
      </c>
      <c r="BC228" s="137" t="str">
        <f aca="false">IF($BX228&lt;&gt;Constants!$B$6,"",IF($AL228,Constants!$B$17*$AN228+Constants!$B$18*IF($AO228,$AP228,Constants!$B$19),Constants!$B$20))</f>
        <v/>
      </c>
      <c r="BD228" s="138" t="str">
        <f aca="false">IF($BX228&lt;&gt;Constants!$B$6,"",Constants!$B$21*ABS($AD$9-IF($AL228,$AM228,0)))</f>
        <v/>
      </c>
      <c r="BE228" s="138" t="str">
        <f aca="false">IF($BX228&lt;&gt;Constants!$B$6,"",IF(AND($AL228,$AQ228,$AO228),Constants!$B$22,0))</f>
        <v/>
      </c>
      <c r="BF228" s="138" t="str">
        <f aca="false">IF($BX228&lt;&gt;Constants!$B$6,"",IF($AL228,($AI228-Constants!$B$24)*Constants!$B$23,0))</f>
        <v/>
      </c>
      <c r="BG228" s="138" t="str">
        <f aca="false">IF($BX228&lt;&gt;Constants!$B$6,"",IF($AK228,0,Constants!$B$12)+IF($AJ228,0,Constants!$B$13)+IF($AH228,0,Constants!$B$14))</f>
        <v/>
      </c>
      <c r="BH228" s="139" t="str">
        <f aca="false">IF($BX228&lt;&gt;Constants!$B$6,"",Constants!$B$16+SUM($BC228:$BG228))</f>
        <v/>
      </c>
      <c r="BI228" s="138" t="str">
        <f aca="false">IF($BX228&lt;&gt;Constants!$B$6,"",$BC228)</f>
        <v/>
      </c>
      <c r="BJ228" s="138" t="str">
        <f aca="false">IF($BX228&lt;&gt;Constants!$B$6,"",$BD228)</f>
        <v/>
      </c>
      <c r="BK228" s="140" t="str">
        <f aca="false">IF($BX228&lt;&gt;Constants!$B$6,"",IF($AL228,$AN228,""))</f>
        <v/>
      </c>
      <c r="BL228" s="135" t="str">
        <f aca="false">IF($BX228&lt;&gt;Constants!$B$6,"",IF(OR($BS228&lt;$BH228,AND($BS228=$BH228,OR($BT228&lt;$BI228,AND($BT228=$BI228,OR($BU228&lt;$BJ228,AND($BU228=$BJ228,AND(ISNUMBER($BV228),OR(NOT(ISNUMBER($BK228)),$BV228&lt;$BK228)))))))),"-&gt;","&lt;-"))</f>
        <v/>
      </c>
      <c r="BM228" s="134" t="str">
        <f aca="false">IF(ISBLANK($C228),"",AND($AT228,OR($AU228="",$AV228="",AND($AW228,$AX228=""))))</f>
        <v/>
      </c>
      <c r="BN228" s="137" t="str">
        <f aca="false">IF($BX228&lt;&gt;Constants!$B$6,"",IF($AT228,Constants!$B$17*$AV228+Constants!$B$18*IF($AW228,$AX228,Constants!$B$19),Constants!$B$20))</f>
        <v/>
      </c>
      <c r="BO228" s="138" t="str">
        <f aca="false">IF($BX228&lt;&gt;Constants!$B$6,"",Constants!$B$21*ABS($AD$9-IF($AT228,$AU228,0)))</f>
        <v/>
      </c>
      <c r="BP228" s="138" t="str">
        <f aca="false">IF($BX228&lt;&gt;Constants!$B$6,"",IF(AND($AT228,$AY228,$AW228),Constants!$B$22,0))</f>
        <v/>
      </c>
      <c r="BQ228" s="138" t="str">
        <f aca="false">IF($BX228&lt;&gt;Constants!$B$6,"",IF($AT228,($AI228-Constants!$B$24)*Constants!$B$23,0))</f>
        <v/>
      </c>
      <c r="BR228" s="138" t="str">
        <f aca="false">IF($BX228&lt;&gt;Constants!$B$6,"",IF($AS228,0,Constants!$B$12)+IF($AR228,0,Constants!$B$13)+IF($AH228,0,Constants!$B$14))</f>
        <v/>
      </c>
      <c r="BS228" s="139" t="str">
        <f aca="false">IF($BX228&lt;&gt;Constants!$B$6,"",Constants!$B$16+SUM($BN228:$BR228))</f>
        <v/>
      </c>
      <c r="BT228" s="138" t="str">
        <f aca="false">IF($BX228&lt;&gt;Constants!$B$6,"",$BN228)</f>
        <v/>
      </c>
      <c r="BU228" s="138" t="str">
        <f aca="false">IF($BX228&lt;&gt;Constants!$B$6,"",$BO228)</f>
        <v/>
      </c>
      <c r="BV228" s="140" t="str">
        <f aca="false">IF($BX228&lt;&gt;Constants!$B$6,"",IF($AT228,$AV228,""))</f>
        <v/>
      </c>
      <c r="BW228" s="135" t="str">
        <f aca="false">IF(ISBLANK($C228),"",IF(ISBLANK($D$7),$BW$5,IF(NOT(ISNUMBER($D$7)),$BW$6,"")))</f>
        <v/>
      </c>
      <c r="BX228" s="135" t="str">
        <f aca="false">IF(ISBLANK($C228),"",IF($BA228,Constants!$B$9,IF(COUNTA($E228:$AA228)=0,Constants!$B$8,IF(NOT($AG228),Constants!$B$7,IF(OR($BW228&lt;&gt;"",$BB228,$BM228),Constants!$B$10,Constants!$B$6)))))</f>
        <v/>
      </c>
      <c r="BY228" s="135" t="str">
        <f aca="false">IF(ISBLANK($C228),"",IF($BX228&lt;&gt;Constants!$B$6,$BX228,Constants!$B$11))</f>
        <v/>
      </c>
      <c r="BZ228" s="138" t="str">
        <f aca="false">IF($BX228&lt;&gt;Constants!$B$6,"",IF($BL228="-&gt;",$BS228,$BH228))</f>
        <v/>
      </c>
      <c r="CA228" s="138" t="str">
        <f aca="false">IF($BX228&lt;&gt;Constants!$B$6,"",IF($AF228,0,Constants!$B$15))</f>
        <v/>
      </c>
      <c r="CB228" s="138" t="str">
        <f aca="false">IF($BX228&lt;&gt;Constants!$B$6,"",((Constants!$B$25-$AZ228)-Constants!$B$25)/Constants!$B$26)</f>
        <v/>
      </c>
      <c r="CC228" s="138" t="str">
        <f aca="false">IF(ISBLANK($C228),"",IF($BX228&lt;&gt;Constants!$B$6,$BX228,SUM($BZ228:$CB228)))</f>
        <v/>
      </c>
      <c r="CD228" s="135" t="str">
        <f aca="false">IF(ISBLANK($C228),"",IF($BX228&lt;&gt;Constants!$B$6,$BX228,RANK($CC228,$CC$9:$CC$508,1)))</f>
        <v/>
      </c>
      <c r="CE228" s="138" t="str">
        <f aca="false">IF($BX228&lt;&gt;Constants!$B$6,"",IF($BL228="-&gt;",$BT228,$BI228))</f>
        <v/>
      </c>
      <c r="CF228" s="135" t="str">
        <f aca="false">IF(ISBLANK($C228),"",IF($BX228&lt;&gt;Constants!$B$6,$BX228,IF(ISNUMBER($CE228),RANK($CE228,$CE$9:$CE$508,1),COUNT($CE$9:$CE$508)+1)))</f>
        <v/>
      </c>
      <c r="CG228" s="138" t="str">
        <f aca="false">IF($BX228&lt;&gt;Constants!$B$6,"",IF($BL228="-&gt;",$BU228,$BJ228))</f>
        <v/>
      </c>
      <c r="CH228" s="135" t="str">
        <f aca="false">IF(ISBLANK($C228),"",IF($BX228&lt;&gt;Constants!$B$6,$BX228,IF(ISNUMBER($CG228),RANK($CG228,$CG$9:$CG$508,1),COUNT($CG$9:$CG$508)+1)))</f>
        <v/>
      </c>
      <c r="CI228" s="138" t="str">
        <f aca="false">IF($BX228&lt;&gt;Constants!$B$6,"",IF($BL228="-&gt;",$BV228,$BK228))</f>
        <v/>
      </c>
      <c r="CJ228" s="135" t="str">
        <f aca="false">IF(ISBLANK($C228),"",IF($BX228&lt;&gt;Constants!$B$6,$BX228,IF(ISNUMBER($CI228),RANK($CI228,$CI$9:$CI$508,1),COUNT($CI$9:$CI$508)+1)))</f>
        <v/>
      </c>
      <c r="CK228" s="138" t="str">
        <f aca="false">IF($BX228&lt;&gt;Constants!$B$6,"",$AI228)</f>
        <v/>
      </c>
      <c r="CL228" s="135" t="str">
        <f aca="false">IF(ISBLANK($C228),"",IF($BX228&lt;&gt;Constants!$B$6,$BX228,IF(ISNUMBER($CK228),RANK($CK228,$CK$9:$CK$508,1),COUNT($CK$9:$CK$508)+1)))</f>
        <v/>
      </c>
      <c r="CM228" s="135" t="str">
        <f aca="false">IF(ISBLANK($C228),"",IF($BX228&lt;&gt;Constants!$B$6,$BX228,COUNTIFS($CD$9:$CD$508,"&lt;"&amp;$CD228)+COUNTIFS($CD$9:$CD$508,$CD228,$CF$9:$CF$508,"&lt;"&amp;$CF228)+COUNTIFS($CD$9:$CD$508,$CD228,$CF$9:$CF$508,$CF228,$CH$9:$CH$508,"&lt;"&amp;$CH228)+COUNTIFS($CD$9:$CD$508,$CD228,$CF$9:$CF$508,$CF228,$CH$9:$CH$508,$CH228,$CJ$9:$CJ$508,"&lt;"&amp;$CJ228)+COUNTIFS($CD$9:$CD$508,$CD228,$CF$9:$CF$508,$CF228,$CH$9:$CH$508,$CH228,$CJ$9:$CJ$508,$CJ228,$CL$9:$CL$508,"&lt;"&amp;$CL228)+1))</f>
        <v/>
      </c>
      <c r="CN228" s="135" t="str">
        <f aca="false">IF(ISBLANK($C228),"",IF($BX228&lt;&gt;Constants!$B$6,$BX228,$CD228-$CM228))</f>
        <v/>
      </c>
      <c r="CO228" s="141"/>
      <c r="CP228" s="142"/>
      <c r="CQ228" s="143" t="str">
        <f aca="false">IF(ISBLANK($C228),"",IF($BX228=Constants!$B$10,$BW228,""))</f>
        <v/>
      </c>
      <c r="CR228" s="142" t="str">
        <f aca="false">IF(ISBLANK($C228),"",IF($BX228&lt;&gt;Constants!$B$6,"",IF($BL228="-&gt;",2,1)))</f>
        <v/>
      </c>
      <c r="CS228" s="144" t="str">
        <f aca="false">IF(ISBLANK($C228),"",IF($BX228&lt;&gt;Constants!$B$6,"",IF($BL228="-&gt;",$BN228,$BC228)))</f>
        <v/>
      </c>
      <c r="CT228" s="144" t="str">
        <f aca="false">IF(ISBLANK($C228),"",IF($BX228&lt;&gt;Constants!$B$6,"",IF($BL228="-&gt;",$BO228,$BD228)))</f>
        <v/>
      </c>
      <c r="CU228" s="144" t="str">
        <f aca="false">IF(ISBLANK($C228),"",IF($BX228&lt;&gt;Constants!$B$6,"",IF($BL228="-&gt;",$BP228+$BQ228,$BE228+$BF228)+$CB228))</f>
        <v/>
      </c>
      <c r="CV228" s="144" t="str">
        <f aca="false">IF(ISBLANK($C228),"",IF($BX228&lt;&gt;Constants!$B$6,"",IF($BL228="-&gt;",$BR228,$BG228)+$CA228))</f>
        <v/>
      </c>
      <c r="CW228" s="145" t="str">
        <f aca="false">IF(ISBLANK($C228),"",IF($BX228&lt;&gt;Constants!$B$6,$BX228,$CC228))</f>
        <v/>
      </c>
      <c r="CX228" s="146" t="str">
        <f aca="false">IF(ISBLANK($C228),"",$BY228)</f>
        <v/>
      </c>
      <c r="CY228" s="147" t="str">
        <f aca="false">IF(ISBLANK($C228),"",$CN228)</f>
        <v/>
      </c>
      <c r="CZ228" s="147" t="str">
        <f aca="false">IF(ISBLANK($C228),"",$CM228)</f>
        <v/>
      </c>
      <c r="DA228" s="148" t="str">
        <f aca="false">IF(ISBLANK($C228),"",IFERROR(_xlfn.SWITCH($CZ228,Constants!$B$9,COUNTA($C$9:$C$508)+2,Constants!$B$8,COUNTA($C$9:$C$508)+1,Constants!$B$7,COUNTA($C$9:$C$508)),$CZ228))</f>
        <v/>
      </c>
      <c r="DB228" s="9"/>
      <c r="DC228" s="149" t="n">
        <f aca="false">IF(OR(ISNUMBER($CZ228),$CZ228=Constants!$B$9,$CZ228=Constants!$B$7,$CZ228=Constants!$B$8),1,0)</f>
        <v>0</v>
      </c>
      <c r="DD228" s="149" t="n">
        <v>220</v>
      </c>
      <c r="DE228" s="149" t="str">
        <f aca="false">IF(ISBLANK($C228),"",IF(ISNUMBER($DA228),$DA228+ROW($B228)/1000,""))</f>
        <v/>
      </c>
      <c r="DF228" s="149" t="str">
        <f aca="false">IF(ISNUMBER($DE228),RANK($DE228,$DE$9:$DE$508,1),"")</f>
        <v/>
      </c>
      <c r="DG228" s="149" t="str">
        <f aca="false">IF(ISBLANK($C228),"",$B228)</f>
        <v/>
      </c>
      <c r="DH228" s="149" t="str">
        <f aca="false">IF(ISBLANK($C228),"",$C228)</f>
        <v/>
      </c>
      <c r="DI228" s="149" t="str">
        <f aca="false">IF(ISBLANK($C228),"",$D228)</f>
        <v/>
      </c>
      <c r="DJ228" s="150" t="str">
        <f aca="false">$CX228</f>
        <v/>
      </c>
      <c r="DK228" s="151" t="str">
        <f aca="false">$CW228</f>
        <v/>
      </c>
      <c r="DL228" s="149" t="str">
        <f aca="false">IF(ISBLANK($C228),"",$CZ228)</f>
        <v/>
      </c>
      <c r="DM228" s="152" t="str">
        <f aca="false">IF($DD228&gt;$DC$8,"",VLOOKUP($DD228,$DF$9:$DL$508,7,FALSE()))</f>
        <v/>
      </c>
      <c r="DN228" s="153" t="str">
        <f aca="false">IF($DD228&gt;$DC$8,"",VLOOKUP($DD228,$DF$9:$DL$508,2,FALSE()))</f>
        <v/>
      </c>
      <c r="DO228" s="153" t="str">
        <f aca="false">IF($DD228&gt;$DC$8,"",VLOOKUP($DD228,$DF$9:$DL$508,3,FALSE()))</f>
        <v/>
      </c>
      <c r="DP228" s="153" t="str">
        <f aca="false">IF($DD228&gt;$DC$8,"",VLOOKUP($DD228,$DF$9:$DL$508,4,FALSE()))</f>
        <v/>
      </c>
      <c r="DQ228" s="153" t="str">
        <f aca="false">IF($DD228&gt;$DC$8,"",VLOOKUP($DD228,$DF$9:$DL$508,5,FALSE()))</f>
        <v/>
      </c>
      <c r="DR228" s="154" t="str">
        <f aca="false">IF($DD228&gt;$DC$8,"",VLOOKUP($DD228,$DF$9:$DL$508,6,FALSE()))</f>
        <v/>
      </c>
      <c r="DS228" s="76"/>
    </row>
    <row r="229" customFormat="false" ht="15.75" hidden="false" customHeight="false" outlineLevel="0" collapsed="false">
      <c r="A229" s="9"/>
      <c r="B229" s="160"/>
      <c r="C229" s="161"/>
      <c r="D229" s="162"/>
      <c r="E229" s="180"/>
      <c r="F229" s="164"/>
      <c r="G229" s="165"/>
      <c r="H229" s="165"/>
      <c r="I229" s="181"/>
      <c r="J229" s="168"/>
      <c r="K229" s="128"/>
      <c r="L229" s="129"/>
      <c r="M229" s="130"/>
      <c r="N229" s="168"/>
      <c r="O229" s="168"/>
      <c r="P229" s="180"/>
      <c r="Q229" s="168"/>
      <c r="R229" s="168"/>
      <c r="S229" s="128"/>
      <c r="T229" s="130"/>
      <c r="U229" s="130"/>
      <c r="V229" s="168"/>
      <c r="W229" s="168"/>
      <c r="X229" s="180"/>
      <c r="Y229" s="168"/>
      <c r="Z229" s="169"/>
      <c r="AA229" s="168"/>
      <c r="AB229" s="134"/>
      <c r="AC229" s="135"/>
      <c r="AD229" s="135"/>
      <c r="AE229" s="135"/>
      <c r="AF229" s="135" t="str">
        <f aca="false">IF(ISBLANK($C229),"",IF(E229=Constants!$B$2,TRUE(),IF(E229=Constants!$B$3,FALSE(),TRUE())))</f>
        <v/>
      </c>
      <c r="AG229" s="135" t="str">
        <f aca="false">IF(ISBLANK($C229),"",IF(F229=Constants!$B$2,TRUE(),IF(F229=Constants!$B$3,FALSE(),TRUE())))</f>
        <v/>
      </c>
      <c r="AH229" s="135" t="str">
        <f aca="false">IF(ISBLANK($C229),"",IF(G229=Constants!$B$2,TRUE(),IF(G229=Constants!$B$3,FALSE(),TRUE())))</f>
        <v/>
      </c>
      <c r="AI229" s="135" t="str">
        <f aca="false">IF(ISBLANK($C229),"",IF(AND(ISNUMBER(H229),H229&gt;=0),H229,Constants!$B$24))</f>
        <v/>
      </c>
      <c r="AJ229" s="135" t="str">
        <f aca="false">IF(ISBLANK($C229),"",IF(I229=Constants!$B$2,TRUE(),IF(I229=Constants!$B$3,FALSE(),TRUE())))</f>
        <v/>
      </c>
      <c r="AK229" s="135" t="str">
        <f aca="false">IF(ISBLANK($C229),"",IF(J229=Constants!$B$2,TRUE(),IF(J229=Constants!$B$3,FALSE(),TRUE())))</f>
        <v/>
      </c>
      <c r="AL229" s="135" t="str">
        <f aca="false">IF(ISBLANK($C229),"",IF(K229=Constants!$B$4,TRUE(),IF(K229=Constants!$B$5,FALSE(),COUNTA(L229:P229)&gt;0)))</f>
        <v/>
      </c>
      <c r="AM229" s="136" t="str">
        <f aca="false">IF(ISBLANK($C229),"",IF(ISNUMBER(L229),IF(L229&gt;=0,L229,""),""))</f>
        <v/>
      </c>
      <c r="AN229" s="137" t="str">
        <f aca="false">IF(ISBLANK($C229),"",IF(ISNUMBER(M229),IF(M229&gt;=0,M229,""),""))</f>
        <v/>
      </c>
      <c r="AO229" s="137" t="str">
        <f aca="false">IF(ISBLANK($C229),"",IF(N229=Constants!$B$2,TRUE(),IF(N229=Constants!$B$3,FALSE(),TRUE())))</f>
        <v/>
      </c>
      <c r="AP229" s="135" t="str">
        <f aca="false">IF(ISBLANK($C229),"",IF(ISNUMBER(O229),IF(O229&gt;=0,O229,""),""))</f>
        <v/>
      </c>
      <c r="AQ229" s="135" t="str">
        <f aca="false">IF(ISBLANK($C229),"",IF(P229=Constants!$B$2,TRUE(),IF(P229=Constants!$B$3,FALSE(),FALSE())))</f>
        <v/>
      </c>
      <c r="AR229" s="135" t="str">
        <f aca="false">IF(ISBLANK($C229),"",IF(Q229=Constants!$B$2,TRUE(),IF(Q229=Constants!$B$3,FALSE(),TRUE())))</f>
        <v/>
      </c>
      <c r="AS229" s="135" t="str">
        <f aca="false">IF(ISBLANK($C229),"",IF(R229=Constants!$B$2,TRUE(),IF(R229=Constants!$B$3,FALSE(),TRUE())))</f>
        <v/>
      </c>
      <c r="AT229" s="135" t="str">
        <f aca="false">IF(ISBLANK($C229),"",IF(S229=Constants!$B$4,TRUE(),IF(S229=Constants!$B$5,FALSE(),COUNTA(T229:X229)&gt;0)))</f>
        <v/>
      </c>
      <c r="AU229" s="136" t="str">
        <f aca="false">IF(ISBLANK($C229),"",IF(ISNUMBER(T229),IF(T229&gt;=0,T229,""),""))</f>
        <v/>
      </c>
      <c r="AV229" s="137" t="str">
        <f aca="false">IF(ISBLANK($C229),"",IF(ISNUMBER(U229),IF(U229&gt;=0,U229,""),""))</f>
        <v/>
      </c>
      <c r="AW229" s="137" t="str">
        <f aca="false">IF(ISBLANK($C229),"",IF(V229=Constants!$B$2,TRUE(),IF(V229=Constants!$B$3,FALSE(),TRUE())))</f>
        <v/>
      </c>
      <c r="AX229" s="135" t="str">
        <f aca="false">IF(ISBLANK($C229),"",IF(ISNUMBER(W229),IF(W229&gt;=0,W229,""),""))</f>
        <v/>
      </c>
      <c r="AY229" s="135" t="str">
        <f aca="false">IF(ISBLANK($C229),"",IF(X229=Constants!$B$2,TRUE(),IF(X229=Constants!$B$3,FALSE(),FALSE())))</f>
        <v/>
      </c>
      <c r="AZ229" s="135" t="str">
        <f aca="false">IF(ISBLANK($C229),"",MIN(Constants!$B$25,MAX(0,IF(ISNUMBER(Y229),Y229*60,0)+IF(ISNUMBER(Z229),Z229,0))))</f>
        <v/>
      </c>
      <c r="BA229" s="135" t="str">
        <f aca="false">IF(ISBLANK($C229),"",IF(AA229=Constants!$B$2,TRUE(),IF(AA229=Constants!$B$3,FALSE(),FALSE())))</f>
        <v/>
      </c>
      <c r="BB229" s="134" t="str">
        <f aca="false">IF(ISBLANK($C229),"",AND($AL229,OR($AM229="",$AN229="",AND($AO229,$AP229=""))))</f>
        <v/>
      </c>
      <c r="BC229" s="137" t="str">
        <f aca="false">IF($BX229&lt;&gt;Constants!$B$6,"",IF($AL229,Constants!$B$17*$AN229+Constants!$B$18*IF($AO229,$AP229,Constants!$B$19),Constants!$B$20))</f>
        <v/>
      </c>
      <c r="BD229" s="138" t="str">
        <f aca="false">IF($BX229&lt;&gt;Constants!$B$6,"",Constants!$B$21*ABS($AD$9-IF($AL229,$AM229,0)))</f>
        <v/>
      </c>
      <c r="BE229" s="138" t="str">
        <f aca="false">IF($BX229&lt;&gt;Constants!$B$6,"",IF(AND($AL229,$AQ229,$AO229),Constants!$B$22,0))</f>
        <v/>
      </c>
      <c r="BF229" s="138" t="str">
        <f aca="false">IF($BX229&lt;&gt;Constants!$B$6,"",IF($AL229,($AI229-Constants!$B$24)*Constants!$B$23,0))</f>
        <v/>
      </c>
      <c r="BG229" s="138" t="str">
        <f aca="false">IF($BX229&lt;&gt;Constants!$B$6,"",IF($AK229,0,Constants!$B$12)+IF($AJ229,0,Constants!$B$13)+IF($AH229,0,Constants!$B$14))</f>
        <v/>
      </c>
      <c r="BH229" s="139" t="str">
        <f aca="false">IF($BX229&lt;&gt;Constants!$B$6,"",Constants!$B$16+SUM($BC229:$BG229))</f>
        <v/>
      </c>
      <c r="BI229" s="138" t="str">
        <f aca="false">IF($BX229&lt;&gt;Constants!$B$6,"",$BC229)</f>
        <v/>
      </c>
      <c r="BJ229" s="138" t="str">
        <f aca="false">IF($BX229&lt;&gt;Constants!$B$6,"",$BD229)</f>
        <v/>
      </c>
      <c r="BK229" s="140" t="str">
        <f aca="false">IF($BX229&lt;&gt;Constants!$B$6,"",IF($AL229,$AN229,""))</f>
        <v/>
      </c>
      <c r="BL229" s="135" t="str">
        <f aca="false">IF($BX229&lt;&gt;Constants!$B$6,"",IF(OR($BS229&lt;$BH229,AND($BS229=$BH229,OR($BT229&lt;$BI229,AND($BT229=$BI229,OR($BU229&lt;$BJ229,AND($BU229=$BJ229,AND(ISNUMBER($BV229),OR(NOT(ISNUMBER($BK229)),$BV229&lt;$BK229)))))))),"-&gt;","&lt;-"))</f>
        <v/>
      </c>
      <c r="BM229" s="134" t="str">
        <f aca="false">IF(ISBLANK($C229),"",AND($AT229,OR($AU229="",$AV229="",AND($AW229,$AX229=""))))</f>
        <v/>
      </c>
      <c r="BN229" s="137" t="str">
        <f aca="false">IF($BX229&lt;&gt;Constants!$B$6,"",IF($AT229,Constants!$B$17*$AV229+Constants!$B$18*IF($AW229,$AX229,Constants!$B$19),Constants!$B$20))</f>
        <v/>
      </c>
      <c r="BO229" s="138" t="str">
        <f aca="false">IF($BX229&lt;&gt;Constants!$B$6,"",Constants!$B$21*ABS($AD$9-IF($AT229,$AU229,0)))</f>
        <v/>
      </c>
      <c r="BP229" s="138" t="str">
        <f aca="false">IF($BX229&lt;&gt;Constants!$B$6,"",IF(AND($AT229,$AY229,$AW229),Constants!$B$22,0))</f>
        <v/>
      </c>
      <c r="BQ229" s="138" t="str">
        <f aca="false">IF($BX229&lt;&gt;Constants!$B$6,"",IF($AT229,($AI229-Constants!$B$24)*Constants!$B$23,0))</f>
        <v/>
      </c>
      <c r="BR229" s="138" t="str">
        <f aca="false">IF($BX229&lt;&gt;Constants!$B$6,"",IF($AS229,0,Constants!$B$12)+IF($AR229,0,Constants!$B$13)+IF($AH229,0,Constants!$B$14))</f>
        <v/>
      </c>
      <c r="BS229" s="139" t="str">
        <f aca="false">IF($BX229&lt;&gt;Constants!$B$6,"",Constants!$B$16+SUM($BN229:$BR229))</f>
        <v/>
      </c>
      <c r="BT229" s="138" t="str">
        <f aca="false">IF($BX229&lt;&gt;Constants!$B$6,"",$BN229)</f>
        <v/>
      </c>
      <c r="BU229" s="138" t="str">
        <f aca="false">IF($BX229&lt;&gt;Constants!$B$6,"",$BO229)</f>
        <v/>
      </c>
      <c r="BV229" s="140" t="str">
        <f aca="false">IF($BX229&lt;&gt;Constants!$B$6,"",IF($AT229,$AV229,""))</f>
        <v/>
      </c>
      <c r="BW229" s="135" t="str">
        <f aca="false">IF(ISBLANK($C229),"",IF(ISBLANK($D$7),$BW$5,IF(NOT(ISNUMBER($D$7)),$BW$6,"")))</f>
        <v/>
      </c>
      <c r="BX229" s="135" t="str">
        <f aca="false">IF(ISBLANK($C229),"",IF($BA229,Constants!$B$9,IF(COUNTA($E229:$AA229)=0,Constants!$B$8,IF(NOT($AG229),Constants!$B$7,IF(OR($BW229&lt;&gt;"",$BB229,$BM229),Constants!$B$10,Constants!$B$6)))))</f>
        <v/>
      </c>
      <c r="BY229" s="135" t="str">
        <f aca="false">IF(ISBLANK($C229),"",IF($BX229&lt;&gt;Constants!$B$6,$BX229,Constants!$B$11))</f>
        <v/>
      </c>
      <c r="BZ229" s="138" t="str">
        <f aca="false">IF($BX229&lt;&gt;Constants!$B$6,"",IF($BL229="-&gt;",$BS229,$BH229))</f>
        <v/>
      </c>
      <c r="CA229" s="138" t="str">
        <f aca="false">IF($BX229&lt;&gt;Constants!$B$6,"",IF($AF229,0,Constants!$B$15))</f>
        <v/>
      </c>
      <c r="CB229" s="138" t="str">
        <f aca="false">IF($BX229&lt;&gt;Constants!$B$6,"",((Constants!$B$25-$AZ229)-Constants!$B$25)/Constants!$B$26)</f>
        <v/>
      </c>
      <c r="CC229" s="138" t="str">
        <f aca="false">IF(ISBLANK($C229),"",IF($BX229&lt;&gt;Constants!$B$6,$BX229,SUM($BZ229:$CB229)))</f>
        <v/>
      </c>
      <c r="CD229" s="135" t="str">
        <f aca="false">IF(ISBLANK($C229),"",IF($BX229&lt;&gt;Constants!$B$6,$BX229,RANK($CC229,$CC$9:$CC$508,1)))</f>
        <v/>
      </c>
      <c r="CE229" s="138" t="str">
        <f aca="false">IF($BX229&lt;&gt;Constants!$B$6,"",IF($BL229="-&gt;",$BT229,$BI229))</f>
        <v/>
      </c>
      <c r="CF229" s="135" t="str">
        <f aca="false">IF(ISBLANK($C229),"",IF($BX229&lt;&gt;Constants!$B$6,$BX229,IF(ISNUMBER($CE229),RANK($CE229,$CE$9:$CE$508,1),COUNT($CE$9:$CE$508)+1)))</f>
        <v/>
      </c>
      <c r="CG229" s="138" t="str">
        <f aca="false">IF($BX229&lt;&gt;Constants!$B$6,"",IF($BL229="-&gt;",$BU229,$BJ229))</f>
        <v/>
      </c>
      <c r="CH229" s="135" t="str">
        <f aca="false">IF(ISBLANK($C229),"",IF($BX229&lt;&gt;Constants!$B$6,$BX229,IF(ISNUMBER($CG229),RANK($CG229,$CG$9:$CG$508,1),COUNT($CG$9:$CG$508)+1)))</f>
        <v/>
      </c>
      <c r="CI229" s="138" t="str">
        <f aca="false">IF($BX229&lt;&gt;Constants!$B$6,"",IF($BL229="-&gt;",$BV229,$BK229))</f>
        <v/>
      </c>
      <c r="CJ229" s="135" t="str">
        <f aca="false">IF(ISBLANK($C229),"",IF($BX229&lt;&gt;Constants!$B$6,$BX229,IF(ISNUMBER($CI229),RANK($CI229,$CI$9:$CI$508,1),COUNT($CI$9:$CI$508)+1)))</f>
        <v/>
      </c>
      <c r="CK229" s="138" t="str">
        <f aca="false">IF($BX229&lt;&gt;Constants!$B$6,"",$AI229)</f>
        <v/>
      </c>
      <c r="CL229" s="135" t="str">
        <f aca="false">IF(ISBLANK($C229),"",IF($BX229&lt;&gt;Constants!$B$6,$BX229,IF(ISNUMBER($CK229),RANK($CK229,$CK$9:$CK$508,1),COUNT($CK$9:$CK$508)+1)))</f>
        <v/>
      </c>
      <c r="CM229" s="135" t="str">
        <f aca="false">IF(ISBLANK($C229),"",IF($BX229&lt;&gt;Constants!$B$6,$BX229,COUNTIFS($CD$9:$CD$508,"&lt;"&amp;$CD229)+COUNTIFS($CD$9:$CD$508,$CD229,$CF$9:$CF$508,"&lt;"&amp;$CF229)+COUNTIFS($CD$9:$CD$508,$CD229,$CF$9:$CF$508,$CF229,$CH$9:$CH$508,"&lt;"&amp;$CH229)+COUNTIFS($CD$9:$CD$508,$CD229,$CF$9:$CF$508,$CF229,$CH$9:$CH$508,$CH229,$CJ$9:$CJ$508,"&lt;"&amp;$CJ229)+COUNTIFS($CD$9:$CD$508,$CD229,$CF$9:$CF$508,$CF229,$CH$9:$CH$508,$CH229,$CJ$9:$CJ$508,$CJ229,$CL$9:$CL$508,"&lt;"&amp;$CL229)+1))</f>
        <v/>
      </c>
      <c r="CN229" s="135" t="str">
        <f aca="false">IF(ISBLANK($C229),"",IF($BX229&lt;&gt;Constants!$B$6,$BX229,$CD229-$CM229))</f>
        <v/>
      </c>
      <c r="CO229" s="141"/>
      <c r="CP229" s="142"/>
      <c r="CQ229" s="143" t="str">
        <f aca="false">IF(ISBLANK($C229),"",IF($BX229=Constants!$B$10,$BW229,""))</f>
        <v/>
      </c>
      <c r="CR229" s="142" t="str">
        <f aca="false">IF(ISBLANK($C229),"",IF($BX229&lt;&gt;Constants!$B$6,"",IF($BL229="-&gt;",2,1)))</f>
        <v/>
      </c>
      <c r="CS229" s="144" t="str">
        <f aca="false">IF(ISBLANK($C229),"",IF($BX229&lt;&gt;Constants!$B$6,"",IF($BL229="-&gt;",$BN229,$BC229)))</f>
        <v/>
      </c>
      <c r="CT229" s="144" t="str">
        <f aca="false">IF(ISBLANK($C229),"",IF($BX229&lt;&gt;Constants!$B$6,"",IF($BL229="-&gt;",$BO229,$BD229)))</f>
        <v/>
      </c>
      <c r="CU229" s="144" t="str">
        <f aca="false">IF(ISBLANK($C229),"",IF($BX229&lt;&gt;Constants!$B$6,"",IF($BL229="-&gt;",$BP229+$BQ229,$BE229+$BF229)+$CB229))</f>
        <v/>
      </c>
      <c r="CV229" s="144" t="str">
        <f aca="false">IF(ISBLANK($C229),"",IF($BX229&lt;&gt;Constants!$B$6,"",IF($BL229="-&gt;",$BR229,$BG229)+$CA229))</f>
        <v/>
      </c>
      <c r="CW229" s="145" t="str">
        <f aca="false">IF(ISBLANK($C229),"",IF($BX229&lt;&gt;Constants!$B$6,$BX229,$CC229))</f>
        <v/>
      </c>
      <c r="CX229" s="146" t="str">
        <f aca="false">IF(ISBLANK($C229),"",$BY229)</f>
        <v/>
      </c>
      <c r="CY229" s="147" t="str">
        <f aca="false">IF(ISBLANK($C229),"",$CN229)</f>
        <v/>
      </c>
      <c r="CZ229" s="147" t="str">
        <f aca="false">IF(ISBLANK($C229),"",$CM229)</f>
        <v/>
      </c>
      <c r="DA229" s="148" t="str">
        <f aca="false">IF(ISBLANK($C229),"",IFERROR(_xlfn.SWITCH($CZ229,Constants!$B$9,COUNTA($C$9:$C$508)+2,Constants!$B$8,COUNTA($C$9:$C$508)+1,Constants!$B$7,COUNTA($C$9:$C$508)),$CZ229))</f>
        <v/>
      </c>
      <c r="DB229" s="9"/>
      <c r="DC229" s="149" t="n">
        <f aca="false">IF(OR(ISNUMBER($CZ229),$CZ229=Constants!$B$9,$CZ229=Constants!$B$7,$CZ229=Constants!$B$8),1,0)</f>
        <v>0</v>
      </c>
      <c r="DD229" s="149" t="n">
        <v>221</v>
      </c>
      <c r="DE229" s="149" t="str">
        <f aca="false">IF(ISBLANK($C229),"",IF(ISNUMBER($DA229),$DA229+ROW($B229)/1000,""))</f>
        <v/>
      </c>
      <c r="DF229" s="149" t="str">
        <f aca="false">IF(ISNUMBER($DE229),RANK($DE229,$DE$9:$DE$508,1),"")</f>
        <v/>
      </c>
      <c r="DG229" s="149" t="str">
        <f aca="false">IF(ISBLANK($C229),"",$B229)</f>
        <v/>
      </c>
      <c r="DH229" s="149" t="str">
        <f aca="false">IF(ISBLANK($C229),"",$C229)</f>
        <v/>
      </c>
      <c r="DI229" s="149" t="str">
        <f aca="false">IF(ISBLANK($C229),"",$D229)</f>
        <v/>
      </c>
      <c r="DJ229" s="150" t="str">
        <f aca="false">$CX229</f>
        <v/>
      </c>
      <c r="DK229" s="151" t="str">
        <f aca="false">$CW229</f>
        <v/>
      </c>
      <c r="DL229" s="149" t="str">
        <f aca="false">IF(ISBLANK($C229),"",$CZ229)</f>
        <v/>
      </c>
      <c r="DM229" s="152" t="str">
        <f aca="false">IF($DD229&gt;$DC$8,"",VLOOKUP($DD229,$DF$9:$DL$508,7,FALSE()))</f>
        <v/>
      </c>
      <c r="DN229" s="153" t="str">
        <f aca="false">IF($DD229&gt;$DC$8,"",VLOOKUP($DD229,$DF$9:$DL$508,2,FALSE()))</f>
        <v/>
      </c>
      <c r="DO229" s="153" t="str">
        <f aca="false">IF($DD229&gt;$DC$8,"",VLOOKUP($DD229,$DF$9:$DL$508,3,FALSE()))</f>
        <v/>
      </c>
      <c r="DP229" s="153" t="str">
        <f aca="false">IF($DD229&gt;$DC$8,"",VLOOKUP($DD229,$DF$9:$DL$508,4,FALSE()))</f>
        <v/>
      </c>
      <c r="DQ229" s="153" t="str">
        <f aca="false">IF($DD229&gt;$DC$8,"",VLOOKUP($DD229,$DF$9:$DL$508,5,FALSE()))</f>
        <v/>
      </c>
      <c r="DR229" s="154" t="str">
        <f aca="false">IF($DD229&gt;$DC$8,"",VLOOKUP($DD229,$DF$9:$DL$508,6,FALSE()))</f>
        <v/>
      </c>
      <c r="DS229" s="76"/>
    </row>
    <row r="230" customFormat="false" ht="15.75" hidden="false" customHeight="false" outlineLevel="0" collapsed="false">
      <c r="A230" s="9"/>
      <c r="B230" s="160"/>
      <c r="C230" s="161"/>
      <c r="D230" s="162"/>
      <c r="E230" s="180"/>
      <c r="F230" s="164"/>
      <c r="G230" s="165"/>
      <c r="H230" s="165"/>
      <c r="I230" s="181"/>
      <c r="J230" s="168"/>
      <c r="K230" s="128"/>
      <c r="L230" s="129"/>
      <c r="M230" s="130"/>
      <c r="N230" s="168"/>
      <c r="O230" s="168"/>
      <c r="P230" s="180"/>
      <c r="Q230" s="168"/>
      <c r="R230" s="168"/>
      <c r="S230" s="128"/>
      <c r="T230" s="130"/>
      <c r="U230" s="130"/>
      <c r="V230" s="168"/>
      <c r="W230" s="168"/>
      <c r="X230" s="180"/>
      <c r="Y230" s="168"/>
      <c r="Z230" s="169"/>
      <c r="AA230" s="168"/>
      <c r="AB230" s="134"/>
      <c r="AC230" s="135"/>
      <c r="AD230" s="135"/>
      <c r="AE230" s="135"/>
      <c r="AF230" s="135" t="str">
        <f aca="false">IF(ISBLANK($C230),"",IF(E230=Constants!$B$2,TRUE(),IF(E230=Constants!$B$3,FALSE(),TRUE())))</f>
        <v/>
      </c>
      <c r="AG230" s="135" t="str">
        <f aca="false">IF(ISBLANK($C230),"",IF(F230=Constants!$B$2,TRUE(),IF(F230=Constants!$B$3,FALSE(),TRUE())))</f>
        <v/>
      </c>
      <c r="AH230" s="135" t="str">
        <f aca="false">IF(ISBLANK($C230),"",IF(G230=Constants!$B$2,TRUE(),IF(G230=Constants!$B$3,FALSE(),TRUE())))</f>
        <v/>
      </c>
      <c r="AI230" s="135" t="str">
        <f aca="false">IF(ISBLANK($C230),"",IF(AND(ISNUMBER(H230),H230&gt;=0),H230,Constants!$B$24))</f>
        <v/>
      </c>
      <c r="AJ230" s="135" t="str">
        <f aca="false">IF(ISBLANK($C230),"",IF(I230=Constants!$B$2,TRUE(),IF(I230=Constants!$B$3,FALSE(),TRUE())))</f>
        <v/>
      </c>
      <c r="AK230" s="135" t="str">
        <f aca="false">IF(ISBLANK($C230),"",IF(J230=Constants!$B$2,TRUE(),IF(J230=Constants!$B$3,FALSE(),TRUE())))</f>
        <v/>
      </c>
      <c r="AL230" s="135" t="str">
        <f aca="false">IF(ISBLANK($C230),"",IF(K230=Constants!$B$4,TRUE(),IF(K230=Constants!$B$5,FALSE(),COUNTA(L230:P230)&gt;0)))</f>
        <v/>
      </c>
      <c r="AM230" s="136" t="str">
        <f aca="false">IF(ISBLANK($C230),"",IF(ISNUMBER(L230),IF(L230&gt;=0,L230,""),""))</f>
        <v/>
      </c>
      <c r="AN230" s="137" t="str">
        <f aca="false">IF(ISBLANK($C230),"",IF(ISNUMBER(M230),IF(M230&gt;=0,M230,""),""))</f>
        <v/>
      </c>
      <c r="AO230" s="137" t="str">
        <f aca="false">IF(ISBLANK($C230),"",IF(N230=Constants!$B$2,TRUE(),IF(N230=Constants!$B$3,FALSE(),TRUE())))</f>
        <v/>
      </c>
      <c r="AP230" s="135" t="str">
        <f aca="false">IF(ISBLANK($C230),"",IF(ISNUMBER(O230),IF(O230&gt;=0,O230,""),""))</f>
        <v/>
      </c>
      <c r="AQ230" s="135" t="str">
        <f aca="false">IF(ISBLANK($C230),"",IF(P230=Constants!$B$2,TRUE(),IF(P230=Constants!$B$3,FALSE(),FALSE())))</f>
        <v/>
      </c>
      <c r="AR230" s="135" t="str">
        <f aca="false">IF(ISBLANK($C230),"",IF(Q230=Constants!$B$2,TRUE(),IF(Q230=Constants!$B$3,FALSE(),TRUE())))</f>
        <v/>
      </c>
      <c r="AS230" s="135" t="str">
        <f aca="false">IF(ISBLANK($C230),"",IF(R230=Constants!$B$2,TRUE(),IF(R230=Constants!$B$3,FALSE(),TRUE())))</f>
        <v/>
      </c>
      <c r="AT230" s="135" t="str">
        <f aca="false">IF(ISBLANK($C230),"",IF(S230=Constants!$B$4,TRUE(),IF(S230=Constants!$B$5,FALSE(),COUNTA(T230:X230)&gt;0)))</f>
        <v/>
      </c>
      <c r="AU230" s="136" t="str">
        <f aca="false">IF(ISBLANK($C230),"",IF(ISNUMBER(T230),IF(T230&gt;=0,T230,""),""))</f>
        <v/>
      </c>
      <c r="AV230" s="137" t="str">
        <f aca="false">IF(ISBLANK($C230),"",IF(ISNUMBER(U230),IF(U230&gt;=0,U230,""),""))</f>
        <v/>
      </c>
      <c r="AW230" s="137" t="str">
        <f aca="false">IF(ISBLANK($C230),"",IF(V230=Constants!$B$2,TRUE(),IF(V230=Constants!$B$3,FALSE(),TRUE())))</f>
        <v/>
      </c>
      <c r="AX230" s="135" t="str">
        <f aca="false">IF(ISBLANK($C230),"",IF(ISNUMBER(W230),IF(W230&gt;=0,W230,""),""))</f>
        <v/>
      </c>
      <c r="AY230" s="135" t="str">
        <f aca="false">IF(ISBLANK($C230),"",IF(X230=Constants!$B$2,TRUE(),IF(X230=Constants!$B$3,FALSE(),FALSE())))</f>
        <v/>
      </c>
      <c r="AZ230" s="135" t="str">
        <f aca="false">IF(ISBLANK($C230),"",MIN(Constants!$B$25,MAX(0,IF(ISNUMBER(Y230),Y230*60,0)+IF(ISNUMBER(Z230),Z230,0))))</f>
        <v/>
      </c>
      <c r="BA230" s="135" t="str">
        <f aca="false">IF(ISBLANK($C230),"",IF(AA230=Constants!$B$2,TRUE(),IF(AA230=Constants!$B$3,FALSE(),FALSE())))</f>
        <v/>
      </c>
      <c r="BB230" s="134" t="str">
        <f aca="false">IF(ISBLANK($C230),"",AND($AL230,OR($AM230="",$AN230="",AND($AO230,$AP230=""))))</f>
        <v/>
      </c>
      <c r="BC230" s="137" t="str">
        <f aca="false">IF($BX230&lt;&gt;Constants!$B$6,"",IF($AL230,Constants!$B$17*$AN230+Constants!$B$18*IF($AO230,$AP230,Constants!$B$19),Constants!$B$20))</f>
        <v/>
      </c>
      <c r="BD230" s="138" t="str">
        <f aca="false">IF($BX230&lt;&gt;Constants!$B$6,"",Constants!$B$21*ABS($AD$9-IF($AL230,$AM230,0)))</f>
        <v/>
      </c>
      <c r="BE230" s="138" t="str">
        <f aca="false">IF($BX230&lt;&gt;Constants!$B$6,"",IF(AND($AL230,$AQ230,$AO230),Constants!$B$22,0))</f>
        <v/>
      </c>
      <c r="BF230" s="138" t="str">
        <f aca="false">IF($BX230&lt;&gt;Constants!$B$6,"",IF($AL230,($AI230-Constants!$B$24)*Constants!$B$23,0))</f>
        <v/>
      </c>
      <c r="BG230" s="138" t="str">
        <f aca="false">IF($BX230&lt;&gt;Constants!$B$6,"",IF($AK230,0,Constants!$B$12)+IF($AJ230,0,Constants!$B$13)+IF($AH230,0,Constants!$B$14))</f>
        <v/>
      </c>
      <c r="BH230" s="139" t="str">
        <f aca="false">IF($BX230&lt;&gt;Constants!$B$6,"",Constants!$B$16+SUM($BC230:$BG230))</f>
        <v/>
      </c>
      <c r="BI230" s="138" t="str">
        <f aca="false">IF($BX230&lt;&gt;Constants!$B$6,"",$BC230)</f>
        <v/>
      </c>
      <c r="BJ230" s="138" t="str">
        <f aca="false">IF($BX230&lt;&gt;Constants!$B$6,"",$BD230)</f>
        <v/>
      </c>
      <c r="BK230" s="140" t="str">
        <f aca="false">IF($BX230&lt;&gt;Constants!$B$6,"",IF($AL230,$AN230,""))</f>
        <v/>
      </c>
      <c r="BL230" s="135" t="str">
        <f aca="false">IF($BX230&lt;&gt;Constants!$B$6,"",IF(OR($BS230&lt;$BH230,AND($BS230=$BH230,OR($BT230&lt;$BI230,AND($BT230=$BI230,OR($BU230&lt;$BJ230,AND($BU230=$BJ230,AND(ISNUMBER($BV230),OR(NOT(ISNUMBER($BK230)),$BV230&lt;$BK230)))))))),"-&gt;","&lt;-"))</f>
        <v/>
      </c>
      <c r="BM230" s="134" t="str">
        <f aca="false">IF(ISBLANK($C230),"",AND($AT230,OR($AU230="",$AV230="",AND($AW230,$AX230=""))))</f>
        <v/>
      </c>
      <c r="BN230" s="137" t="str">
        <f aca="false">IF($BX230&lt;&gt;Constants!$B$6,"",IF($AT230,Constants!$B$17*$AV230+Constants!$B$18*IF($AW230,$AX230,Constants!$B$19),Constants!$B$20))</f>
        <v/>
      </c>
      <c r="BO230" s="138" t="str">
        <f aca="false">IF($BX230&lt;&gt;Constants!$B$6,"",Constants!$B$21*ABS($AD$9-IF($AT230,$AU230,0)))</f>
        <v/>
      </c>
      <c r="BP230" s="138" t="str">
        <f aca="false">IF($BX230&lt;&gt;Constants!$B$6,"",IF(AND($AT230,$AY230,$AW230),Constants!$B$22,0))</f>
        <v/>
      </c>
      <c r="BQ230" s="138" t="str">
        <f aca="false">IF($BX230&lt;&gt;Constants!$B$6,"",IF($AT230,($AI230-Constants!$B$24)*Constants!$B$23,0))</f>
        <v/>
      </c>
      <c r="BR230" s="138" t="str">
        <f aca="false">IF($BX230&lt;&gt;Constants!$B$6,"",IF($AS230,0,Constants!$B$12)+IF($AR230,0,Constants!$B$13)+IF($AH230,0,Constants!$B$14))</f>
        <v/>
      </c>
      <c r="BS230" s="139" t="str">
        <f aca="false">IF($BX230&lt;&gt;Constants!$B$6,"",Constants!$B$16+SUM($BN230:$BR230))</f>
        <v/>
      </c>
      <c r="BT230" s="138" t="str">
        <f aca="false">IF($BX230&lt;&gt;Constants!$B$6,"",$BN230)</f>
        <v/>
      </c>
      <c r="BU230" s="138" t="str">
        <f aca="false">IF($BX230&lt;&gt;Constants!$B$6,"",$BO230)</f>
        <v/>
      </c>
      <c r="BV230" s="140" t="str">
        <f aca="false">IF($BX230&lt;&gt;Constants!$B$6,"",IF($AT230,$AV230,""))</f>
        <v/>
      </c>
      <c r="BW230" s="135" t="str">
        <f aca="false">IF(ISBLANK($C230),"",IF(ISBLANK($D$7),$BW$5,IF(NOT(ISNUMBER($D$7)),$BW$6,"")))</f>
        <v/>
      </c>
      <c r="BX230" s="135" t="str">
        <f aca="false">IF(ISBLANK($C230),"",IF($BA230,Constants!$B$9,IF(COUNTA($E230:$AA230)=0,Constants!$B$8,IF(NOT($AG230),Constants!$B$7,IF(OR($BW230&lt;&gt;"",$BB230,$BM230),Constants!$B$10,Constants!$B$6)))))</f>
        <v/>
      </c>
      <c r="BY230" s="135" t="str">
        <f aca="false">IF(ISBLANK($C230),"",IF($BX230&lt;&gt;Constants!$B$6,$BX230,Constants!$B$11))</f>
        <v/>
      </c>
      <c r="BZ230" s="138" t="str">
        <f aca="false">IF($BX230&lt;&gt;Constants!$B$6,"",IF($BL230="-&gt;",$BS230,$BH230))</f>
        <v/>
      </c>
      <c r="CA230" s="138" t="str">
        <f aca="false">IF($BX230&lt;&gt;Constants!$B$6,"",IF($AF230,0,Constants!$B$15))</f>
        <v/>
      </c>
      <c r="CB230" s="138" t="str">
        <f aca="false">IF($BX230&lt;&gt;Constants!$B$6,"",((Constants!$B$25-$AZ230)-Constants!$B$25)/Constants!$B$26)</f>
        <v/>
      </c>
      <c r="CC230" s="138" t="str">
        <f aca="false">IF(ISBLANK($C230),"",IF($BX230&lt;&gt;Constants!$B$6,$BX230,SUM($BZ230:$CB230)))</f>
        <v/>
      </c>
      <c r="CD230" s="135" t="str">
        <f aca="false">IF(ISBLANK($C230),"",IF($BX230&lt;&gt;Constants!$B$6,$BX230,RANK($CC230,$CC$9:$CC$508,1)))</f>
        <v/>
      </c>
      <c r="CE230" s="138" t="str">
        <f aca="false">IF($BX230&lt;&gt;Constants!$B$6,"",IF($BL230="-&gt;",$BT230,$BI230))</f>
        <v/>
      </c>
      <c r="CF230" s="135" t="str">
        <f aca="false">IF(ISBLANK($C230),"",IF($BX230&lt;&gt;Constants!$B$6,$BX230,IF(ISNUMBER($CE230),RANK($CE230,$CE$9:$CE$508,1),COUNT($CE$9:$CE$508)+1)))</f>
        <v/>
      </c>
      <c r="CG230" s="138" t="str">
        <f aca="false">IF($BX230&lt;&gt;Constants!$B$6,"",IF($BL230="-&gt;",$BU230,$BJ230))</f>
        <v/>
      </c>
      <c r="CH230" s="135" t="str">
        <f aca="false">IF(ISBLANK($C230),"",IF($BX230&lt;&gt;Constants!$B$6,$BX230,IF(ISNUMBER($CG230),RANK($CG230,$CG$9:$CG$508,1),COUNT($CG$9:$CG$508)+1)))</f>
        <v/>
      </c>
      <c r="CI230" s="138" t="str">
        <f aca="false">IF($BX230&lt;&gt;Constants!$B$6,"",IF($BL230="-&gt;",$BV230,$BK230))</f>
        <v/>
      </c>
      <c r="CJ230" s="135" t="str">
        <f aca="false">IF(ISBLANK($C230),"",IF($BX230&lt;&gt;Constants!$B$6,$BX230,IF(ISNUMBER($CI230),RANK($CI230,$CI$9:$CI$508,1),COUNT($CI$9:$CI$508)+1)))</f>
        <v/>
      </c>
      <c r="CK230" s="138" t="str">
        <f aca="false">IF($BX230&lt;&gt;Constants!$B$6,"",$AI230)</f>
        <v/>
      </c>
      <c r="CL230" s="135" t="str">
        <f aca="false">IF(ISBLANK($C230),"",IF($BX230&lt;&gt;Constants!$B$6,$BX230,IF(ISNUMBER($CK230),RANK($CK230,$CK$9:$CK$508,1),COUNT($CK$9:$CK$508)+1)))</f>
        <v/>
      </c>
      <c r="CM230" s="135" t="str">
        <f aca="false">IF(ISBLANK($C230),"",IF($BX230&lt;&gt;Constants!$B$6,$BX230,COUNTIFS($CD$9:$CD$508,"&lt;"&amp;$CD230)+COUNTIFS($CD$9:$CD$508,$CD230,$CF$9:$CF$508,"&lt;"&amp;$CF230)+COUNTIFS($CD$9:$CD$508,$CD230,$CF$9:$CF$508,$CF230,$CH$9:$CH$508,"&lt;"&amp;$CH230)+COUNTIFS($CD$9:$CD$508,$CD230,$CF$9:$CF$508,$CF230,$CH$9:$CH$508,$CH230,$CJ$9:$CJ$508,"&lt;"&amp;$CJ230)+COUNTIFS($CD$9:$CD$508,$CD230,$CF$9:$CF$508,$CF230,$CH$9:$CH$508,$CH230,$CJ$9:$CJ$508,$CJ230,$CL$9:$CL$508,"&lt;"&amp;$CL230)+1))</f>
        <v/>
      </c>
      <c r="CN230" s="135" t="str">
        <f aca="false">IF(ISBLANK($C230),"",IF($BX230&lt;&gt;Constants!$B$6,$BX230,$CD230-$CM230))</f>
        <v/>
      </c>
      <c r="CO230" s="141"/>
      <c r="CP230" s="142"/>
      <c r="CQ230" s="143" t="str">
        <f aca="false">IF(ISBLANK($C230),"",IF($BX230=Constants!$B$10,$BW230,""))</f>
        <v/>
      </c>
      <c r="CR230" s="142" t="str">
        <f aca="false">IF(ISBLANK($C230),"",IF($BX230&lt;&gt;Constants!$B$6,"",IF($BL230="-&gt;",2,1)))</f>
        <v/>
      </c>
      <c r="CS230" s="144" t="str">
        <f aca="false">IF(ISBLANK($C230),"",IF($BX230&lt;&gt;Constants!$B$6,"",IF($BL230="-&gt;",$BN230,$BC230)))</f>
        <v/>
      </c>
      <c r="CT230" s="144" t="str">
        <f aca="false">IF(ISBLANK($C230),"",IF($BX230&lt;&gt;Constants!$B$6,"",IF($BL230="-&gt;",$BO230,$BD230)))</f>
        <v/>
      </c>
      <c r="CU230" s="144" t="str">
        <f aca="false">IF(ISBLANK($C230),"",IF($BX230&lt;&gt;Constants!$B$6,"",IF($BL230="-&gt;",$BP230+$BQ230,$BE230+$BF230)+$CB230))</f>
        <v/>
      </c>
      <c r="CV230" s="144" t="str">
        <f aca="false">IF(ISBLANK($C230),"",IF($BX230&lt;&gt;Constants!$B$6,"",IF($BL230="-&gt;",$BR230,$BG230)+$CA230))</f>
        <v/>
      </c>
      <c r="CW230" s="145" t="str">
        <f aca="false">IF(ISBLANK($C230),"",IF($BX230&lt;&gt;Constants!$B$6,$BX230,$CC230))</f>
        <v/>
      </c>
      <c r="CX230" s="146" t="str">
        <f aca="false">IF(ISBLANK($C230),"",$BY230)</f>
        <v/>
      </c>
      <c r="CY230" s="147" t="str">
        <f aca="false">IF(ISBLANK($C230),"",$CN230)</f>
        <v/>
      </c>
      <c r="CZ230" s="147" t="str">
        <f aca="false">IF(ISBLANK($C230),"",$CM230)</f>
        <v/>
      </c>
      <c r="DA230" s="148" t="str">
        <f aca="false">IF(ISBLANK($C230),"",IFERROR(_xlfn.SWITCH($CZ230,Constants!$B$9,COUNTA($C$9:$C$508)+2,Constants!$B$8,COUNTA($C$9:$C$508)+1,Constants!$B$7,COUNTA($C$9:$C$508)),$CZ230))</f>
        <v/>
      </c>
      <c r="DB230" s="9"/>
      <c r="DC230" s="149" t="n">
        <f aca="false">IF(OR(ISNUMBER($CZ230),$CZ230=Constants!$B$9,$CZ230=Constants!$B$7,$CZ230=Constants!$B$8),1,0)</f>
        <v>0</v>
      </c>
      <c r="DD230" s="149" t="n">
        <v>222</v>
      </c>
      <c r="DE230" s="149" t="str">
        <f aca="false">IF(ISBLANK($C230),"",IF(ISNUMBER($DA230),$DA230+ROW($B230)/1000,""))</f>
        <v/>
      </c>
      <c r="DF230" s="149" t="str">
        <f aca="false">IF(ISNUMBER($DE230),RANK($DE230,$DE$9:$DE$508,1),"")</f>
        <v/>
      </c>
      <c r="DG230" s="149" t="str">
        <f aca="false">IF(ISBLANK($C230),"",$B230)</f>
        <v/>
      </c>
      <c r="DH230" s="149" t="str">
        <f aca="false">IF(ISBLANK($C230),"",$C230)</f>
        <v/>
      </c>
      <c r="DI230" s="149" t="str">
        <f aca="false">IF(ISBLANK($C230),"",$D230)</f>
        <v/>
      </c>
      <c r="DJ230" s="150" t="str">
        <f aca="false">$CX230</f>
        <v/>
      </c>
      <c r="DK230" s="151" t="str">
        <f aca="false">$CW230</f>
        <v/>
      </c>
      <c r="DL230" s="149" t="str">
        <f aca="false">IF(ISBLANK($C230),"",$CZ230)</f>
        <v/>
      </c>
      <c r="DM230" s="152" t="str">
        <f aca="false">IF($DD230&gt;$DC$8,"",VLOOKUP($DD230,$DF$9:$DL$508,7,FALSE()))</f>
        <v/>
      </c>
      <c r="DN230" s="153" t="str">
        <f aca="false">IF($DD230&gt;$DC$8,"",VLOOKUP($DD230,$DF$9:$DL$508,2,FALSE()))</f>
        <v/>
      </c>
      <c r="DO230" s="153" t="str">
        <f aca="false">IF($DD230&gt;$DC$8,"",VLOOKUP($DD230,$DF$9:$DL$508,3,FALSE()))</f>
        <v/>
      </c>
      <c r="DP230" s="153" t="str">
        <f aca="false">IF($DD230&gt;$DC$8,"",VLOOKUP($DD230,$DF$9:$DL$508,4,FALSE()))</f>
        <v/>
      </c>
      <c r="DQ230" s="153" t="str">
        <f aca="false">IF($DD230&gt;$DC$8,"",VLOOKUP($DD230,$DF$9:$DL$508,5,FALSE()))</f>
        <v/>
      </c>
      <c r="DR230" s="154" t="str">
        <f aca="false">IF($DD230&gt;$DC$8,"",VLOOKUP($DD230,$DF$9:$DL$508,6,FALSE()))</f>
        <v/>
      </c>
      <c r="DS230" s="76"/>
    </row>
    <row r="231" customFormat="false" ht="15.75" hidden="false" customHeight="false" outlineLevel="0" collapsed="false">
      <c r="A231" s="9"/>
      <c r="B231" s="78"/>
      <c r="C231" s="79"/>
      <c r="D231" s="170"/>
      <c r="E231" s="178"/>
      <c r="F231" s="172"/>
      <c r="G231" s="173"/>
      <c r="H231" s="173"/>
      <c r="I231" s="179"/>
      <c r="J231" s="176"/>
      <c r="K231" s="86"/>
      <c r="L231" s="87"/>
      <c r="M231" s="88"/>
      <c r="N231" s="176"/>
      <c r="O231" s="176"/>
      <c r="P231" s="178"/>
      <c r="Q231" s="176"/>
      <c r="R231" s="176"/>
      <c r="S231" s="86"/>
      <c r="T231" s="88"/>
      <c r="U231" s="88"/>
      <c r="V231" s="176"/>
      <c r="W231" s="176"/>
      <c r="X231" s="178"/>
      <c r="Y231" s="176"/>
      <c r="Z231" s="177"/>
      <c r="AA231" s="176"/>
      <c r="AB231" s="92"/>
      <c r="AC231" s="93"/>
      <c r="AD231" s="93"/>
      <c r="AE231" s="93"/>
      <c r="AF231" s="93" t="str">
        <f aca="false">IF(ISBLANK($C231),"",IF(E231=Constants!$B$2,TRUE(),IF(E231=Constants!$B$3,FALSE(),TRUE())))</f>
        <v/>
      </c>
      <c r="AG231" s="93" t="str">
        <f aca="false">IF(ISBLANK($C231),"",IF(F231=Constants!$B$2,TRUE(),IF(F231=Constants!$B$3,FALSE(),TRUE())))</f>
        <v/>
      </c>
      <c r="AH231" s="93" t="str">
        <f aca="false">IF(ISBLANK($C231),"",IF(G231=Constants!$B$2,TRUE(),IF(G231=Constants!$B$3,FALSE(),TRUE())))</f>
        <v/>
      </c>
      <c r="AI231" s="93" t="str">
        <f aca="false">IF(ISBLANK($C231),"",IF(AND(ISNUMBER(H231),H231&gt;=0),H231,Constants!$B$24))</f>
        <v/>
      </c>
      <c r="AJ231" s="93" t="str">
        <f aca="false">IF(ISBLANK($C231),"",IF(I231=Constants!$B$2,TRUE(),IF(I231=Constants!$B$3,FALSE(),TRUE())))</f>
        <v/>
      </c>
      <c r="AK231" s="93" t="str">
        <f aca="false">IF(ISBLANK($C231),"",IF(J231=Constants!$B$2,TRUE(),IF(J231=Constants!$B$3,FALSE(),TRUE())))</f>
        <v/>
      </c>
      <c r="AL231" s="93" t="str">
        <f aca="false">IF(ISBLANK($C231),"",IF(K231=Constants!$B$4,TRUE(),IF(K231=Constants!$B$5,FALSE(),COUNTA(L231:P231)&gt;0)))</f>
        <v/>
      </c>
      <c r="AM231" s="95" t="str">
        <f aca="false">IF(ISBLANK($C231),"",IF(ISNUMBER(L231),IF(L231&gt;=0,L231,""),""))</f>
        <v/>
      </c>
      <c r="AN231" s="94" t="str">
        <f aca="false">IF(ISBLANK($C231),"",IF(ISNUMBER(M231),IF(M231&gt;=0,M231,""),""))</f>
        <v/>
      </c>
      <c r="AO231" s="94" t="str">
        <f aca="false">IF(ISBLANK($C231),"",IF(N231=Constants!$B$2,TRUE(),IF(N231=Constants!$B$3,FALSE(),TRUE())))</f>
        <v/>
      </c>
      <c r="AP231" s="93" t="str">
        <f aca="false">IF(ISBLANK($C231),"",IF(ISNUMBER(O231),IF(O231&gt;=0,O231,""),""))</f>
        <v/>
      </c>
      <c r="AQ231" s="93" t="str">
        <f aca="false">IF(ISBLANK($C231),"",IF(P231=Constants!$B$2,TRUE(),IF(P231=Constants!$B$3,FALSE(),FALSE())))</f>
        <v/>
      </c>
      <c r="AR231" s="93" t="str">
        <f aca="false">IF(ISBLANK($C231),"",IF(Q231=Constants!$B$2,TRUE(),IF(Q231=Constants!$B$3,FALSE(),TRUE())))</f>
        <v/>
      </c>
      <c r="AS231" s="93" t="str">
        <f aca="false">IF(ISBLANK($C231),"",IF(R231=Constants!$B$2,TRUE(),IF(R231=Constants!$B$3,FALSE(),TRUE())))</f>
        <v/>
      </c>
      <c r="AT231" s="93" t="str">
        <f aca="false">IF(ISBLANK($C231),"",IF(S231=Constants!$B$4,TRUE(),IF(S231=Constants!$B$5,FALSE(),COUNTA(T231:X231)&gt;0)))</f>
        <v/>
      </c>
      <c r="AU231" s="95" t="str">
        <f aca="false">IF(ISBLANK($C231),"",IF(ISNUMBER(T231),IF(T231&gt;=0,T231,""),""))</f>
        <v/>
      </c>
      <c r="AV231" s="94" t="str">
        <f aca="false">IF(ISBLANK($C231),"",IF(ISNUMBER(U231),IF(U231&gt;=0,U231,""),""))</f>
        <v/>
      </c>
      <c r="AW231" s="94" t="str">
        <f aca="false">IF(ISBLANK($C231),"",IF(V231=Constants!$B$2,TRUE(),IF(V231=Constants!$B$3,FALSE(),TRUE())))</f>
        <v/>
      </c>
      <c r="AX231" s="93" t="str">
        <f aca="false">IF(ISBLANK($C231),"",IF(ISNUMBER(W231),IF(W231&gt;=0,W231,""),""))</f>
        <v/>
      </c>
      <c r="AY231" s="93" t="str">
        <f aca="false">IF(ISBLANK($C231),"",IF(X231=Constants!$B$2,TRUE(),IF(X231=Constants!$B$3,FALSE(),FALSE())))</f>
        <v/>
      </c>
      <c r="AZ231" s="93" t="str">
        <f aca="false">IF(ISBLANK($C231),"",MIN(Constants!$B$25,MAX(0,IF(ISNUMBER(Y231),Y231*60,0)+IF(ISNUMBER(Z231),Z231,0))))</f>
        <v/>
      </c>
      <c r="BA231" s="93" t="str">
        <f aca="false">IF(ISBLANK($C231),"",IF(AA231=Constants!$B$2,TRUE(),IF(AA231=Constants!$B$3,FALSE(),FALSE())))</f>
        <v/>
      </c>
      <c r="BB231" s="92" t="str">
        <f aca="false">IF(ISBLANK($C231),"",AND($AL231,OR($AM231="",$AN231="",AND($AO231,$AP231=""))))</f>
        <v/>
      </c>
      <c r="BC231" s="94" t="str">
        <f aca="false">IF($BX231&lt;&gt;Constants!$B$6,"",IF($AL231,Constants!$B$17*$AN231+Constants!$B$18*IF($AO231,$AP231,Constants!$B$19),Constants!$B$20))</f>
        <v/>
      </c>
      <c r="BD231" s="97" t="str">
        <f aca="false">IF($BX231&lt;&gt;Constants!$B$6,"",Constants!$B$21*ABS($AD$9-IF($AL231,$AM231,0)))</f>
        <v/>
      </c>
      <c r="BE231" s="97" t="str">
        <f aca="false">IF($BX231&lt;&gt;Constants!$B$6,"",IF(AND($AL231,$AQ231,$AO231),Constants!$B$22,0))</f>
        <v/>
      </c>
      <c r="BF231" s="97" t="str">
        <f aca="false">IF($BX231&lt;&gt;Constants!$B$6,"",IF($AL231,($AI231-Constants!$B$24)*Constants!$B$23,0))</f>
        <v/>
      </c>
      <c r="BG231" s="97" t="str">
        <f aca="false">IF($BX231&lt;&gt;Constants!$B$6,"",IF($AK231,0,Constants!$B$12)+IF($AJ231,0,Constants!$B$13)+IF($AH231,0,Constants!$B$14))</f>
        <v/>
      </c>
      <c r="BH231" s="98" t="str">
        <f aca="false">IF($BX231&lt;&gt;Constants!$B$6,"",Constants!$B$16+SUM($BC231:$BG231))</f>
        <v/>
      </c>
      <c r="BI231" s="97" t="str">
        <f aca="false">IF($BX231&lt;&gt;Constants!$B$6,"",$BC231)</f>
        <v/>
      </c>
      <c r="BJ231" s="97" t="str">
        <f aca="false">IF($BX231&lt;&gt;Constants!$B$6,"",$BD231)</f>
        <v/>
      </c>
      <c r="BK231" s="99" t="str">
        <f aca="false">IF($BX231&lt;&gt;Constants!$B$6,"",IF($AL231,$AN231,""))</f>
        <v/>
      </c>
      <c r="BL231" s="93" t="str">
        <f aca="false">IF($BX231&lt;&gt;Constants!$B$6,"",IF(OR($BS231&lt;$BH231,AND($BS231=$BH231,OR($BT231&lt;$BI231,AND($BT231=$BI231,OR($BU231&lt;$BJ231,AND($BU231=$BJ231,AND(ISNUMBER($BV231),OR(NOT(ISNUMBER($BK231)),$BV231&lt;$BK231)))))))),"-&gt;","&lt;-"))</f>
        <v/>
      </c>
      <c r="BM231" s="92" t="str">
        <f aca="false">IF(ISBLANK($C231),"",AND($AT231,OR($AU231="",$AV231="",AND($AW231,$AX231=""))))</f>
        <v/>
      </c>
      <c r="BN231" s="94" t="str">
        <f aca="false">IF($BX231&lt;&gt;Constants!$B$6,"",IF($AT231,Constants!$B$17*$AV231+Constants!$B$18*IF($AW231,$AX231,Constants!$B$19),Constants!$B$20))</f>
        <v/>
      </c>
      <c r="BO231" s="97" t="str">
        <f aca="false">IF($BX231&lt;&gt;Constants!$B$6,"",Constants!$B$21*ABS($AD$9-IF($AT231,$AU231,0)))</f>
        <v/>
      </c>
      <c r="BP231" s="97" t="str">
        <f aca="false">IF($BX231&lt;&gt;Constants!$B$6,"",IF(AND($AT231,$AY231,$AW231),Constants!$B$22,0))</f>
        <v/>
      </c>
      <c r="BQ231" s="97" t="str">
        <f aca="false">IF($BX231&lt;&gt;Constants!$B$6,"",IF($AT231,($AI231-Constants!$B$24)*Constants!$B$23,0))</f>
        <v/>
      </c>
      <c r="BR231" s="97" t="str">
        <f aca="false">IF($BX231&lt;&gt;Constants!$B$6,"",IF($AS231,0,Constants!$B$12)+IF($AR231,0,Constants!$B$13)+IF($AH231,0,Constants!$B$14))</f>
        <v/>
      </c>
      <c r="BS231" s="98" t="str">
        <f aca="false">IF($BX231&lt;&gt;Constants!$B$6,"",Constants!$B$16+SUM($BN231:$BR231))</f>
        <v/>
      </c>
      <c r="BT231" s="97" t="str">
        <f aca="false">IF($BX231&lt;&gt;Constants!$B$6,"",$BN231)</f>
        <v/>
      </c>
      <c r="BU231" s="97" t="str">
        <f aca="false">IF($BX231&lt;&gt;Constants!$B$6,"",$BO231)</f>
        <v/>
      </c>
      <c r="BV231" s="99" t="str">
        <f aca="false">IF($BX231&lt;&gt;Constants!$B$6,"",IF($AT231,$AV231,""))</f>
        <v/>
      </c>
      <c r="BW231" s="93" t="str">
        <f aca="false">IF(ISBLANK($C231),"",IF(ISBLANK($D$7),$BW$5,IF(NOT(ISNUMBER($D$7)),$BW$6,"")))</f>
        <v/>
      </c>
      <c r="BX231" s="93" t="str">
        <f aca="false">IF(ISBLANK($C231),"",IF($BA231,Constants!$B$9,IF(COUNTA($E231:$AA231)=0,Constants!$B$8,IF(NOT($AG231),Constants!$B$7,IF(OR($BW231&lt;&gt;"",$BB231,$BM231),Constants!$B$10,Constants!$B$6)))))</f>
        <v/>
      </c>
      <c r="BY231" s="93" t="str">
        <f aca="false">IF(ISBLANK($C231),"",IF($BX231&lt;&gt;Constants!$B$6,$BX231,Constants!$B$11))</f>
        <v/>
      </c>
      <c r="BZ231" s="97" t="str">
        <f aca="false">IF($BX231&lt;&gt;Constants!$B$6,"",IF($BL231="-&gt;",$BS231,$BH231))</f>
        <v/>
      </c>
      <c r="CA231" s="97" t="str">
        <f aca="false">IF($BX231&lt;&gt;Constants!$B$6,"",IF($AF231,0,Constants!$B$15))</f>
        <v/>
      </c>
      <c r="CB231" s="97" t="str">
        <f aca="false">IF($BX231&lt;&gt;Constants!$B$6,"",((Constants!$B$25-$AZ231)-Constants!$B$25)/Constants!$B$26)</f>
        <v/>
      </c>
      <c r="CC231" s="97" t="str">
        <f aca="false">IF(ISBLANK($C231),"",IF($BX231&lt;&gt;Constants!$B$6,$BX231,SUM($BZ231:$CB231)))</f>
        <v/>
      </c>
      <c r="CD231" s="93" t="str">
        <f aca="false">IF(ISBLANK($C231),"",IF($BX231&lt;&gt;Constants!$B$6,$BX231,RANK($CC231,$CC$9:$CC$508,1)))</f>
        <v/>
      </c>
      <c r="CE231" s="97" t="str">
        <f aca="false">IF($BX231&lt;&gt;Constants!$B$6,"",IF($BL231="-&gt;",$BT231,$BI231))</f>
        <v/>
      </c>
      <c r="CF231" s="93" t="str">
        <f aca="false">IF(ISBLANK($C231),"",IF($BX231&lt;&gt;Constants!$B$6,$BX231,IF(ISNUMBER($CE231),RANK($CE231,$CE$9:$CE$508,1),COUNT($CE$9:$CE$508)+1)))</f>
        <v/>
      </c>
      <c r="CG231" s="97" t="str">
        <f aca="false">IF($BX231&lt;&gt;Constants!$B$6,"",IF($BL231="-&gt;",$BU231,$BJ231))</f>
        <v/>
      </c>
      <c r="CH231" s="93" t="str">
        <f aca="false">IF(ISBLANK($C231),"",IF($BX231&lt;&gt;Constants!$B$6,$BX231,IF(ISNUMBER($CG231),RANK($CG231,$CG$9:$CG$508,1),COUNT($CG$9:$CG$508)+1)))</f>
        <v/>
      </c>
      <c r="CI231" s="97" t="str">
        <f aca="false">IF($BX231&lt;&gt;Constants!$B$6,"",IF($BL231="-&gt;",$BV231,$BK231))</f>
        <v/>
      </c>
      <c r="CJ231" s="93" t="str">
        <f aca="false">IF(ISBLANK($C231),"",IF($BX231&lt;&gt;Constants!$B$6,$BX231,IF(ISNUMBER($CI231),RANK($CI231,$CI$9:$CI$508,1),COUNT($CI$9:$CI$508)+1)))</f>
        <v/>
      </c>
      <c r="CK231" s="97" t="str">
        <f aca="false">IF($BX231&lt;&gt;Constants!$B$6,"",$AI231)</f>
        <v/>
      </c>
      <c r="CL231" s="93" t="str">
        <f aca="false">IF(ISBLANK($C231),"",IF($BX231&lt;&gt;Constants!$B$6,$BX231,IF(ISNUMBER($CK231),RANK($CK231,$CK$9:$CK$508,1),COUNT($CK$9:$CK$508)+1)))</f>
        <v/>
      </c>
      <c r="CM231" s="93" t="str">
        <f aca="false">IF(ISBLANK($C231),"",IF($BX231&lt;&gt;Constants!$B$6,$BX231,COUNTIFS($CD$9:$CD$508,"&lt;"&amp;$CD231)+COUNTIFS($CD$9:$CD$508,$CD231,$CF$9:$CF$508,"&lt;"&amp;$CF231)+COUNTIFS($CD$9:$CD$508,$CD231,$CF$9:$CF$508,$CF231,$CH$9:$CH$508,"&lt;"&amp;$CH231)+COUNTIFS($CD$9:$CD$508,$CD231,$CF$9:$CF$508,$CF231,$CH$9:$CH$508,$CH231,$CJ$9:$CJ$508,"&lt;"&amp;$CJ231)+COUNTIFS($CD$9:$CD$508,$CD231,$CF$9:$CF$508,$CF231,$CH$9:$CH$508,$CH231,$CJ$9:$CJ$508,$CJ231,$CL$9:$CL$508,"&lt;"&amp;$CL231)+1))</f>
        <v/>
      </c>
      <c r="CN231" s="93" t="str">
        <f aca="false">IF(ISBLANK($C231),"",IF($BX231&lt;&gt;Constants!$B$6,$BX231,$CD231-$CM231))</f>
        <v/>
      </c>
      <c r="CO231" s="100"/>
      <c r="CP231" s="101"/>
      <c r="CQ231" s="102" t="str">
        <f aca="false">IF(ISBLANK($C231),"",IF($BX231=Constants!$B$10,$BW231,""))</f>
        <v/>
      </c>
      <c r="CR231" s="101" t="str">
        <f aca="false">IF(ISBLANK($C231),"",IF($BX231&lt;&gt;Constants!$B$6,"",IF($BL231="-&gt;",2,1)))</f>
        <v/>
      </c>
      <c r="CS231" s="103" t="str">
        <f aca="false">IF(ISBLANK($C231),"",IF($BX231&lt;&gt;Constants!$B$6,"",IF($BL231="-&gt;",$BN231,$BC231)))</f>
        <v/>
      </c>
      <c r="CT231" s="103" t="str">
        <f aca="false">IF(ISBLANK($C231),"",IF($BX231&lt;&gt;Constants!$B$6,"",IF($BL231="-&gt;",$BO231,$BD231)))</f>
        <v/>
      </c>
      <c r="CU231" s="103" t="str">
        <f aca="false">IF(ISBLANK($C231),"",IF($BX231&lt;&gt;Constants!$B$6,"",IF($BL231="-&gt;",$BP231+$BQ231,$BE231+$BF231)+$CB231))</f>
        <v/>
      </c>
      <c r="CV231" s="103" t="str">
        <f aca="false">IF(ISBLANK($C231),"",IF($BX231&lt;&gt;Constants!$B$6,"",IF($BL231="-&gt;",$BR231,$BG231)+$CA231))</f>
        <v/>
      </c>
      <c r="CW231" s="104" t="str">
        <f aca="false">IF(ISBLANK($C231),"",IF($BX231&lt;&gt;Constants!$B$6,$BX231,$CC231))</f>
        <v/>
      </c>
      <c r="CX231" s="105" t="str">
        <f aca="false">IF(ISBLANK($C231),"",$BY231)</f>
        <v/>
      </c>
      <c r="CY231" s="106" t="str">
        <f aca="false">IF(ISBLANK($C231),"",$CN231)</f>
        <v/>
      </c>
      <c r="CZ231" s="106" t="str">
        <f aca="false">IF(ISBLANK($C231),"",$CM231)</f>
        <v/>
      </c>
      <c r="DA231" s="107" t="str">
        <f aca="false">IF(ISBLANK($C231),"",IFERROR(_xlfn.SWITCH($CZ231,Constants!$B$9,COUNTA($C$9:$C$508)+2,Constants!$B$8,COUNTA($C$9:$C$508)+1,Constants!$B$7,COUNTA($C$9:$C$508)),$CZ231))</f>
        <v/>
      </c>
      <c r="DB231" s="9"/>
      <c r="DC231" s="108" t="n">
        <f aca="false">IF(OR(ISNUMBER($CZ231),$CZ231=Constants!$B$9,$CZ231=Constants!$B$7,$CZ231=Constants!$B$8),1,0)</f>
        <v>0</v>
      </c>
      <c r="DD231" s="108" t="n">
        <v>223</v>
      </c>
      <c r="DE231" s="108" t="str">
        <f aca="false">IF(ISBLANK($C231),"",IF(ISNUMBER($DA231),$DA231+ROW($B231)/1000,""))</f>
        <v/>
      </c>
      <c r="DF231" s="108" t="str">
        <f aca="false">IF(ISNUMBER($DE231),RANK($DE231,$DE$9:$DE$508,1),"")</f>
        <v/>
      </c>
      <c r="DG231" s="108" t="str">
        <f aca="false">IF(ISBLANK($C231),"",$B231)</f>
        <v/>
      </c>
      <c r="DH231" s="108" t="str">
        <f aca="false">IF(ISBLANK($C231),"",$C231)</f>
        <v/>
      </c>
      <c r="DI231" s="108" t="str">
        <f aca="false">IF(ISBLANK($C231),"",$D231)</f>
        <v/>
      </c>
      <c r="DJ231" s="109" t="str">
        <f aca="false">$CX231</f>
        <v/>
      </c>
      <c r="DK231" s="110" t="str">
        <f aca="false">$CW231</f>
        <v/>
      </c>
      <c r="DL231" s="108" t="str">
        <f aca="false">IF(ISBLANK($C231),"",$CZ231)</f>
        <v/>
      </c>
      <c r="DM231" s="111" t="str">
        <f aca="false">IF($DD231&gt;$DC$8,"",VLOOKUP($DD231,$DF$9:$DL$508,7,FALSE()))</f>
        <v/>
      </c>
      <c r="DN231" s="112" t="str">
        <f aca="false">IF($DD231&gt;$DC$8,"",VLOOKUP($DD231,$DF$9:$DL$508,2,FALSE()))</f>
        <v/>
      </c>
      <c r="DO231" s="112" t="str">
        <f aca="false">IF($DD231&gt;$DC$8,"",VLOOKUP($DD231,$DF$9:$DL$508,3,FALSE()))</f>
        <v/>
      </c>
      <c r="DP231" s="112" t="str">
        <f aca="false">IF($DD231&gt;$DC$8,"",VLOOKUP($DD231,$DF$9:$DL$508,4,FALSE()))</f>
        <v/>
      </c>
      <c r="DQ231" s="112" t="str">
        <f aca="false">IF($DD231&gt;$DC$8,"",VLOOKUP($DD231,$DF$9:$DL$508,5,FALSE()))</f>
        <v/>
      </c>
      <c r="DR231" s="113" t="str">
        <f aca="false">IF($DD231&gt;$DC$8,"",VLOOKUP($DD231,$DF$9:$DL$508,6,FALSE()))</f>
        <v/>
      </c>
      <c r="DS231" s="76"/>
    </row>
    <row r="232" customFormat="false" ht="15.75" hidden="false" customHeight="false" outlineLevel="0" collapsed="false">
      <c r="A232" s="9"/>
      <c r="B232" s="78"/>
      <c r="C232" s="79"/>
      <c r="D232" s="170"/>
      <c r="E232" s="178"/>
      <c r="F232" s="172"/>
      <c r="G232" s="173"/>
      <c r="H232" s="173"/>
      <c r="I232" s="179"/>
      <c r="J232" s="176"/>
      <c r="K232" s="86"/>
      <c r="L232" s="87"/>
      <c r="M232" s="88"/>
      <c r="N232" s="176"/>
      <c r="O232" s="176"/>
      <c r="P232" s="178"/>
      <c r="Q232" s="176"/>
      <c r="R232" s="176"/>
      <c r="S232" s="86"/>
      <c r="T232" s="88"/>
      <c r="U232" s="88"/>
      <c r="V232" s="176"/>
      <c r="W232" s="176"/>
      <c r="X232" s="178"/>
      <c r="Y232" s="176"/>
      <c r="Z232" s="177"/>
      <c r="AA232" s="176"/>
      <c r="AB232" s="92"/>
      <c r="AC232" s="93"/>
      <c r="AD232" s="93"/>
      <c r="AE232" s="93"/>
      <c r="AF232" s="93" t="str">
        <f aca="false">IF(ISBLANK($C232),"",IF(E232=Constants!$B$2,TRUE(),IF(E232=Constants!$B$3,FALSE(),TRUE())))</f>
        <v/>
      </c>
      <c r="AG232" s="93" t="str">
        <f aca="false">IF(ISBLANK($C232),"",IF(F232=Constants!$B$2,TRUE(),IF(F232=Constants!$B$3,FALSE(),TRUE())))</f>
        <v/>
      </c>
      <c r="AH232" s="93" t="str">
        <f aca="false">IF(ISBLANK($C232),"",IF(G232=Constants!$B$2,TRUE(),IF(G232=Constants!$B$3,FALSE(),TRUE())))</f>
        <v/>
      </c>
      <c r="AI232" s="93" t="str">
        <f aca="false">IF(ISBLANK($C232),"",IF(AND(ISNUMBER(H232),H232&gt;=0),H232,Constants!$B$24))</f>
        <v/>
      </c>
      <c r="AJ232" s="93" t="str">
        <f aca="false">IF(ISBLANK($C232),"",IF(I232=Constants!$B$2,TRUE(),IF(I232=Constants!$B$3,FALSE(),TRUE())))</f>
        <v/>
      </c>
      <c r="AK232" s="93" t="str">
        <f aca="false">IF(ISBLANK($C232),"",IF(J232=Constants!$B$2,TRUE(),IF(J232=Constants!$B$3,FALSE(),TRUE())))</f>
        <v/>
      </c>
      <c r="AL232" s="93" t="str">
        <f aca="false">IF(ISBLANK($C232),"",IF(K232=Constants!$B$4,TRUE(),IF(K232=Constants!$B$5,FALSE(),COUNTA(L232:P232)&gt;0)))</f>
        <v/>
      </c>
      <c r="AM232" s="95" t="str">
        <f aca="false">IF(ISBLANK($C232),"",IF(ISNUMBER(L232),IF(L232&gt;=0,L232,""),""))</f>
        <v/>
      </c>
      <c r="AN232" s="94" t="str">
        <f aca="false">IF(ISBLANK($C232),"",IF(ISNUMBER(M232),IF(M232&gt;=0,M232,""),""))</f>
        <v/>
      </c>
      <c r="AO232" s="94" t="str">
        <f aca="false">IF(ISBLANK($C232),"",IF(N232=Constants!$B$2,TRUE(),IF(N232=Constants!$B$3,FALSE(),TRUE())))</f>
        <v/>
      </c>
      <c r="AP232" s="93" t="str">
        <f aca="false">IF(ISBLANK($C232),"",IF(ISNUMBER(O232),IF(O232&gt;=0,O232,""),""))</f>
        <v/>
      </c>
      <c r="AQ232" s="93" t="str">
        <f aca="false">IF(ISBLANK($C232),"",IF(P232=Constants!$B$2,TRUE(),IF(P232=Constants!$B$3,FALSE(),FALSE())))</f>
        <v/>
      </c>
      <c r="AR232" s="93" t="str">
        <f aca="false">IF(ISBLANK($C232),"",IF(Q232=Constants!$B$2,TRUE(),IF(Q232=Constants!$B$3,FALSE(),TRUE())))</f>
        <v/>
      </c>
      <c r="AS232" s="93" t="str">
        <f aca="false">IF(ISBLANK($C232),"",IF(R232=Constants!$B$2,TRUE(),IF(R232=Constants!$B$3,FALSE(),TRUE())))</f>
        <v/>
      </c>
      <c r="AT232" s="93" t="str">
        <f aca="false">IF(ISBLANK($C232),"",IF(S232=Constants!$B$4,TRUE(),IF(S232=Constants!$B$5,FALSE(),COUNTA(T232:X232)&gt;0)))</f>
        <v/>
      </c>
      <c r="AU232" s="95" t="str">
        <f aca="false">IF(ISBLANK($C232),"",IF(ISNUMBER(T232),IF(T232&gt;=0,T232,""),""))</f>
        <v/>
      </c>
      <c r="AV232" s="94" t="str">
        <f aca="false">IF(ISBLANK($C232),"",IF(ISNUMBER(U232),IF(U232&gt;=0,U232,""),""))</f>
        <v/>
      </c>
      <c r="AW232" s="94" t="str">
        <f aca="false">IF(ISBLANK($C232),"",IF(V232=Constants!$B$2,TRUE(),IF(V232=Constants!$B$3,FALSE(),TRUE())))</f>
        <v/>
      </c>
      <c r="AX232" s="93" t="str">
        <f aca="false">IF(ISBLANK($C232),"",IF(ISNUMBER(W232),IF(W232&gt;=0,W232,""),""))</f>
        <v/>
      </c>
      <c r="AY232" s="93" t="str">
        <f aca="false">IF(ISBLANK($C232),"",IF(X232=Constants!$B$2,TRUE(),IF(X232=Constants!$B$3,FALSE(),FALSE())))</f>
        <v/>
      </c>
      <c r="AZ232" s="93" t="str">
        <f aca="false">IF(ISBLANK($C232),"",MIN(Constants!$B$25,MAX(0,IF(ISNUMBER(Y232),Y232*60,0)+IF(ISNUMBER(Z232),Z232,0))))</f>
        <v/>
      </c>
      <c r="BA232" s="93" t="str">
        <f aca="false">IF(ISBLANK($C232),"",IF(AA232=Constants!$B$2,TRUE(),IF(AA232=Constants!$B$3,FALSE(),FALSE())))</f>
        <v/>
      </c>
      <c r="BB232" s="92" t="str">
        <f aca="false">IF(ISBLANK($C232),"",AND($AL232,OR($AM232="",$AN232="",AND($AO232,$AP232=""))))</f>
        <v/>
      </c>
      <c r="BC232" s="94" t="str">
        <f aca="false">IF($BX232&lt;&gt;Constants!$B$6,"",IF($AL232,Constants!$B$17*$AN232+Constants!$B$18*IF($AO232,$AP232,Constants!$B$19),Constants!$B$20))</f>
        <v/>
      </c>
      <c r="BD232" s="97" t="str">
        <f aca="false">IF($BX232&lt;&gt;Constants!$B$6,"",Constants!$B$21*ABS($AD$9-IF($AL232,$AM232,0)))</f>
        <v/>
      </c>
      <c r="BE232" s="97" t="str">
        <f aca="false">IF($BX232&lt;&gt;Constants!$B$6,"",IF(AND($AL232,$AQ232,$AO232),Constants!$B$22,0))</f>
        <v/>
      </c>
      <c r="BF232" s="97" t="str">
        <f aca="false">IF($BX232&lt;&gt;Constants!$B$6,"",IF($AL232,($AI232-Constants!$B$24)*Constants!$B$23,0))</f>
        <v/>
      </c>
      <c r="BG232" s="97" t="str">
        <f aca="false">IF($BX232&lt;&gt;Constants!$B$6,"",IF($AK232,0,Constants!$B$12)+IF($AJ232,0,Constants!$B$13)+IF($AH232,0,Constants!$B$14))</f>
        <v/>
      </c>
      <c r="BH232" s="98" t="str">
        <f aca="false">IF($BX232&lt;&gt;Constants!$B$6,"",Constants!$B$16+SUM($BC232:$BG232))</f>
        <v/>
      </c>
      <c r="BI232" s="97" t="str">
        <f aca="false">IF($BX232&lt;&gt;Constants!$B$6,"",$BC232)</f>
        <v/>
      </c>
      <c r="BJ232" s="97" t="str">
        <f aca="false">IF($BX232&lt;&gt;Constants!$B$6,"",$BD232)</f>
        <v/>
      </c>
      <c r="BK232" s="99" t="str">
        <f aca="false">IF($BX232&lt;&gt;Constants!$B$6,"",IF($AL232,$AN232,""))</f>
        <v/>
      </c>
      <c r="BL232" s="93" t="str">
        <f aca="false">IF($BX232&lt;&gt;Constants!$B$6,"",IF(OR($BS232&lt;$BH232,AND($BS232=$BH232,OR($BT232&lt;$BI232,AND($BT232=$BI232,OR($BU232&lt;$BJ232,AND($BU232=$BJ232,AND(ISNUMBER($BV232),OR(NOT(ISNUMBER($BK232)),$BV232&lt;$BK232)))))))),"-&gt;","&lt;-"))</f>
        <v/>
      </c>
      <c r="BM232" s="92" t="str">
        <f aca="false">IF(ISBLANK($C232),"",AND($AT232,OR($AU232="",$AV232="",AND($AW232,$AX232=""))))</f>
        <v/>
      </c>
      <c r="BN232" s="94" t="str">
        <f aca="false">IF($BX232&lt;&gt;Constants!$B$6,"",IF($AT232,Constants!$B$17*$AV232+Constants!$B$18*IF($AW232,$AX232,Constants!$B$19),Constants!$B$20))</f>
        <v/>
      </c>
      <c r="BO232" s="97" t="str">
        <f aca="false">IF($BX232&lt;&gt;Constants!$B$6,"",Constants!$B$21*ABS($AD$9-IF($AT232,$AU232,0)))</f>
        <v/>
      </c>
      <c r="BP232" s="97" t="str">
        <f aca="false">IF($BX232&lt;&gt;Constants!$B$6,"",IF(AND($AT232,$AY232,$AW232),Constants!$B$22,0))</f>
        <v/>
      </c>
      <c r="BQ232" s="97" t="str">
        <f aca="false">IF($BX232&lt;&gt;Constants!$B$6,"",IF($AT232,($AI232-Constants!$B$24)*Constants!$B$23,0))</f>
        <v/>
      </c>
      <c r="BR232" s="97" t="str">
        <f aca="false">IF($BX232&lt;&gt;Constants!$B$6,"",IF($AS232,0,Constants!$B$12)+IF($AR232,0,Constants!$B$13)+IF($AH232,0,Constants!$B$14))</f>
        <v/>
      </c>
      <c r="BS232" s="98" t="str">
        <f aca="false">IF($BX232&lt;&gt;Constants!$B$6,"",Constants!$B$16+SUM($BN232:$BR232))</f>
        <v/>
      </c>
      <c r="BT232" s="97" t="str">
        <f aca="false">IF($BX232&lt;&gt;Constants!$B$6,"",$BN232)</f>
        <v/>
      </c>
      <c r="BU232" s="97" t="str">
        <f aca="false">IF($BX232&lt;&gt;Constants!$B$6,"",$BO232)</f>
        <v/>
      </c>
      <c r="BV232" s="99" t="str">
        <f aca="false">IF($BX232&lt;&gt;Constants!$B$6,"",IF($AT232,$AV232,""))</f>
        <v/>
      </c>
      <c r="BW232" s="93" t="str">
        <f aca="false">IF(ISBLANK($C232),"",IF(ISBLANK($D$7),$BW$5,IF(NOT(ISNUMBER($D$7)),$BW$6,"")))</f>
        <v/>
      </c>
      <c r="BX232" s="93" t="str">
        <f aca="false">IF(ISBLANK($C232),"",IF($BA232,Constants!$B$9,IF(COUNTA($E232:$AA232)=0,Constants!$B$8,IF(NOT($AG232),Constants!$B$7,IF(OR($BW232&lt;&gt;"",$BB232,$BM232),Constants!$B$10,Constants!$B$6)))))</f>
        <v/>
      </c>
      <c r="BY232" s="93" t="str">
        <f aca="false">IF(ISBLANK($C232),"",IF($BX232&lt;&gt;Constants!$B$6,$BX232,Constants!$B$11))</f>
        <v/>
      </c>
      <c r="BZ232" s="97" t="str">
        <f aca="false">IF($BX232&lt;&gt;Constants!$B$6,"",IF($BL232="-&gt;",$BS232,$BH232))</f>
        <v/>
      </c>
      <c r="CA232" s="97" t="str">
        <f aca="false">IF($BX232&lt;&gt;Constants!$B$6,"",IF($AF232,0,Constants!$B$15))</f>
        <v/>
      </c>
      <c r="CB232" s="97" t="str">
        <f aca="false">IF($BX232&lt;&gt;Constants!$B$6,"",((Constants!$B$25-$AZ232)-Constants!$B$25)/Constants!$B$26)</f>
        <v/>
      </c>
      <c r="CC232" s="97" t="str">
        <f aca="false">IF(ISBLANK($C232),"",IF($BX232&lt;&gt;Constants!$B$6,$BX232,SUM($BZ232:$CB232)))</f>
        <v/>
      </c>
      <c r="CD232" s="93" t="str">
        <f aca="false">IF(ISBLANK($C232),"",IF($BX232&lt;&gt;Constants!$B$6,$BX232,RANK($CC232,$CC$9:$CC$508,1)))</f>
        <v/>
      </c>
      <c r="CE232" s="97" t="str">
        <f aca="false">IF($BX232&lt;&gt;Constants!$B$6,"",IF($BL232="-&gt;",$BT232,$BI232))</f>
        <v/>
      </c>
      <c r="CF232" s="93" t="str">
        <f aca="false">IF(ISBLANK($C232),"",IF($BX232&lt;&gt;Constants!$B$6,$BX232,IF(ISNUMBER($CE232),RANK($CE232,$CE$9:$CE$508,1),COUNT($CE$9:$CE$508)+1)))</f>
        <v/>
      </c>
      <c r="CG232" s="97" t="str">
        <f aca="false">IF($BX232&lt;&gt;Constants!$B$6,"",IF($BL232="-&gt;",$BU232,$BJ232))</f>
        <v/>
      </c>
      <c r="CH232" s="93" t="str">
        <f aca="false">IF(ISBLANK($C232),"",IF($BX232&lt;&gt;Constants!$B$6,$BX232,IF(ISNUMBER($CG232),RANK($CG232,$CG$9:$CG$508,1),COUNT($CG$9:$CG$508)+1)))</f>
        <v/>
      </c>
      <c r="CI232" s="97" t="str">
        <f aca="false">IF($BX232&lt;&gt;Constants!$B$6,"",IF($BL232="-&gt;",$BV232,$BK232))</f>
        <v/>
      </c>
      <c r="CJ232" s="93" t="str">
        <f aca="false">IF(ISBLANK($C232),"",IF($BX232&lt;&gt;Constants!$B$6,$BX232,IF(ISNUMBER($CI232),RANK($CI232,$CI$9:$CI$508,1),COUNT($CI$9:$CI$508)+1)))</f>
        <v/>
      </c>
      <c r="CK232" s="97" t="str">
        <f aca="false">IF($BX232&lt;&gt;Constants!$B$6,"",$AI232)</f>
        <v/>
      </c>
      <c r="CL232" s="93" t="str">
        <f aca="false">IF(ISBLANK($C232),"",IF($BX232&lt;&gt;Constants!$B$6,$BX232,IF(ISNUMBER($CK232),RANK($CK232,$CK$9:$CK$508,1),COUNT($CK$9:$CK$508)+1)))</f>
        <v/>
      </c>
      <c r="CM232" s="93" t="str">
        <f aca="false">IF(ISBLANK($C232),"",IF($BX232&lt;&gt;Constants!$B$6,$BX232,COUNTIFS($CD$9:$CD$508,"&lt;"&amp;$CD232)+COUNTIFS($CD$9:$CD$508,$CD232,$CF$9:$CF$508,"&lt;"&amp;$CF232)+COUNTIFS($CD$9:$CD$508,$CD232,$CF$9:$CF$508,$CF232,$CH$9:$CH$508,"&lt;"&amp;$CH232)+COUNTIFS($CD$9:$CD$508,$CD232,$CF$9:$CF$508,$CF232,$CH$9:$CH$508,$CH232,$CJ$9:$CJ$508,"&lt;"&amp;$CJ232)+COUNTIFS($CD$9:$CD$508,$CD232,$CF$9:$CF$508,$CF232,$CH$9:$CH$508,$CH232,$CJ$9:$CJ$508,$CJ232,$CL$9:$CL$508,"&lt;"&amp;$CL232)+1))</f>
        <v/>
      </c>
      <c r="CN232" s="93" t="str">
        <f aca="false">IF(ISBLANK($C232),"",IF($BX232&lt;&gt;Constants!$B$6,$BX232,$CD232-$CM232))</f>
        <v/>
      </c>
      <c r="CO232" s="100"/>
      <c r="CP232" s="101"/>
      <c r="CQ232" s="102" t="str">
        <f aca="false">IF(ISBLANK($C232),"",IF($BX232=Constants!$B$10,$BW232,""))</f>
        <v/>
      </c>
      <c r="CR232" s="101" t="str">
        <f aca="false">IF(ISBLANK($C232),"",IF($BX232&lt;&gt;Constants!$B$6,"",IF($BL232="-&gt;",2,1)))</f>
        <v/>
      </c>
      <c r="CS232" s="103" t="str">
        <f aca="false">IF(ISBLANK($C232),"",IF($BX232&lt;&gt;Constants!$B$6,"",IF($BL232="-&gt;",$BN232,$BC232)))</f>
        <v/>
      </c>
      <c r="CT232" s="103" t="str">
        <f aca="false">IF(ISBLANK($C232),"",IF($BX232&lt;&gt;Constants!$B$6,"",IF($BL232="-&gt;",$BO232,$BD232)))</f>
        <v/>
      </c>
      <c r="CU232" s="103" t="str">
        <f aca="false">IF(ISBLANK($C232),"",IF($BX232&lt;&gt;Constants!$B$6,"",IF($BL232="-&gt;",$BP232+$BQ232,$BE232+$BF232)+$CB232))</f>
        <v/>
      </c>
      <c r="CV232" s="103" t="str">
        <f aca="false">IF(ISBLANK($C232),"",IF($BX232&lt;&gt;Constants!$B$6,"",IF($BL232="-&gt;",$BR232,$BG232)+$CA232))</f>
        <v/>
      </c>
      <c r="CW232" s="104" t="str">
        <f aca="false">IF(ISBLANK($C232),"",IF($BX232&lt;&gt;Constants!$B$6,$BX232,$CC232))</f>
        <v/>
      </c>
      <c r="CX232" s="105" t="str">
        <f aca="false">IF(ISBLANK($C232),"",$BY232)</f>
        <v/>
      </c>
      <c r="CY232" s="106" t="str">
        <f aca="false">IF(ISBLANK($C232),"",$CN232)</f>
        <v/>
      </c>
      <c r="CZ232" s="106" t="str">
        <f aca="false">IF(ISBLANK($C232),"",$CM232)</f>
        <v/>
      </c>
      <c r="DA232" s="107" t="str">
        <f aca="false">IF(ISBLANK($C232),"",IFERROR(_xlfn.SWITCH($CZ232,Constants!$B$9,COUNTA($C$9:$C$508)+2,Constants!$B$8,COUNTA($C$9:$C$508)+1,Constants!$B$7,COUNTA($C$9:$C$508)),$CZ232))</f>
        <v/>
      </c>
      <c r="DB232" s="9"/>
      <c r="DC232" s="108" t="n">
        <f aca="false">IF(OR(ISNUMBER($CZ232),$CZ232=Constants!$B$9,$CZ232=Constants!$B$7,$CZ232=Constants!$B$8),1,0)</f>
        <v>0</v>
      </c>
      <c r="DD232" s="108" t="n">
        <v>224</v>
      </c>
      <c r="DE232" s="108" t="str">
        <f aca="false">IF(ISBLANK($C232),"",IF(ISNUMBER($DA232),$DA232+ROW($B232)/1000,""))</f>
        <v/>
      </c>
      <c r="DF232" s="108" t="str">
        <f aca="false">IF(ISNUMBER($DE232),RANK($DE232,$DE$9:$DE$508,1),"")</f>
        <v/>
      </c>
      <c r="DG232" s="108" t="str">
        <f aca="false">IF(ISBLANK($C232),"",$B232)</f>
        <v/>
      </c>
      <c r="DH232" s="108" t="str">
        <f aca="false">IF(ISBLANK($C232),"",$C232)</f>
        <v/>
      </c>
      <c r="DI232" s="108" t="str">
        <f aca="false">IF(ISBLANK($C232),"",$D232)</f>
        <v/>
      </c>
      <c r="DJ232" s="109" t="str">
        <f aca="false">$CX232</f>
        <v/>
      </c>
      <c r="DK232" s="110" t="str">
        <f aca="false">$CW232</f>
        <v/>
      </c>
      <c r="DL232" s="108" t="str">
        <f aca="false">IF(ISBLANK($C232),"",$CZ232)</f>
        <v/>
      </c>
      <c r="DM232" s="111" t="str">
        <f aca="false">IF($DD232&gt;$DC$8,"",VLOOKUP($DD232,$DF$9:$DL$508,7,FALSE()))</f>
        <v/>
      </c>
      <c r="DN232" s="112" t="str">
        <f aca="false">IF($DD232&gt;$DC$8,"",VLOOKUP($DD232,$DF$9:$DL$508,2,FALSE()))</f>
        <v/>
      </c>
      <c r="DO232" s="112" t="str">
        <f aca="false">IF($DD232&gt;$DC$8,"",VLOOKUP($DD232,$DF$9:$DL$508,3,FALSE()))</f>
        <v/>
      </c>
      <c r="DP232" s="112" t="str">
        <f aca="false">IF($DD232&gt;$DC$8,"",VLOOKUP($DD232,$DF$9:$DL$508,4,FALSE()))</f>
        <v/>
      </c>
      <c r="DQ232" s="112" t="str">
        <f aca="false">IF($DD232&gt;$DC$8,"",VLOOKUP($DD232,$DF$9:$DL$508,5,FALSE()))</f>
        <v/>
      </c>
      <c r="DR232" s="113" t="str">
        <f aca="false">IF($DD232&gt;$DC$8,"",VLOOKUP($DD232,$DF$9:$DL$508,6,FALSE()))</f>
        <v/>
      </c>
      <c r="DS232" s="76"/>
    </row>
    <row r="233" customFormat="false" ht="15.75" hidden="false" customHeight="false" outlineLevel="0" collapsed="false">
      <c r="A233" s="9"/>
      <c r="B233" s="78"/>
      <c r="C233" s="79"/>
      <c r="D233" s="170"/>
      <c r="E233" s="178"/>
      <c r="F233" s="172"/>
      <c r="G233" s="173"/>
      <c r="H233" s="173"/>
      <c r="I233" s="179"/>
      <c r="J233" s="176"/>
      <c r="K233" s="86"/>
      <c r="L233" s="87"/>
      <c r="M233" s="88"/>
      <c r="N233" s="176"/>
      <c r="O233" s="176"/>
      <c r="P233" s="178"/>
      <c r="Q233" s="176"/>
      <c r="R233" s="176"/>
      <c r="S233" s="86"/>
      <c r="T233" s="88"/>
      <c r="U233" s="88"/>
      <c r="V233" s="176"/>
      <c r="W233" s="176"/>
      <c r="X233" s="178"/>
      <c r="Y233" s="176"/>
      <c r="Z233" s="177"/>
      <c r="AA233" s="176"/>
      <c r="AB233" s="92"/>
      <c r="AC233" s="93"/>
      <c r="AD233" s="93"/>
      <c r="AE233" s="93"/>
      <c r="AF233" s="93" t="str">
        <f aca="false">IF(ISBLANK($C233),"",IF(E233=Constants!$B$2,TRUE(),IF(E233=Constants!$B$3,FALSE(),TRUE())))</f>
        <v/>
      </c>
      <c r="AG233" s="93" t="str">
        <f aca="false">IF(ISBLANK($C233),"",IF(F233=Constants!$B$2,TRUE(),IF(F233=Constants!$B$3,FALSE(),TRUE())))</f>
        <v/>
      </c>
      <c r="AH233" s="93" t="str">
        <f aca="false">IF(ISBLANK($C233),"",IF(G233=Constants!$B$2,TRUE(),IF(G233=Constants!$B$3,FALSE(),TRUE())))</f>
        <v/>
      </c>
      <c r="AI233" s="93" t="str">
        <f aca="false">IF(ISBLANK($C233),"",IF(AND(ISNUMBER(H233),H233&gt;=0),H233,Constants!$B$24))</f>
        <v/>
      </c>
      <c r="AJ233" s="93" t="str">
        <f aca="false">IF(ISBLANK($C233),"",IF(I233=Constants!$B$2,TRUE(),IF(I233=Constants!$B$3,FALSE(),TRUE())))</f>
        <v/>
      </c>
      <c r="AK233" s="93" t="str">
        <f aca="false">IF(ISBLANK($C233),"",IF(J233=Constants!$B$2,TRUE(),IF(J233=Constants!$B$3,FALSE(),TRUE())))</f>
        <v/>
      </c>
      <c r="AL233" s="93" t="str">
        <f aca="false">IF(ISBLANK($C233),"",IF(K233=Constants!$B$4,TRUE(),IF(K233=Constants!$B$5,FALSE(),COUNTA(L233:P233)&gt;0)))</f>
        <v/>
      </c>
      <c r="AM233" s="95" t="str">
        <f aca="false">IF(ISBLANK($C233),"",IF(ISNUMBER(L233),IF(L233&gt;=0,L233,""),""))</f>
        <v/>
      </c>
      <c r="AN233" s="94" t="str">
        <f aca="false">IF(ISBLANK($C233),"",IF(ISNUMBER(M233),IF(M233&gt;=0,M233,""),""))</f>
        <v/>
      </c>
      <c r="AO233" s="94" t="str">
        <f aca="false">IF(ISBLANK($C233),"",IF(N233=Constants!$B$2,TRUE(),IF(N233=Constants!$B$3,FALSE(),TRUE())))</f>
        <v/>
      </c>
      <c r="AP233" s="93" t="str">
        <f aca="false">IF(ISBLANK($C233),"",IF(ISNUMBER(O233),IF(O233&gt;=0,O233,""),""))</f>
        <v/>
      </c>
      <c r="AQ233" s="93" t="str">
        <f aca="false">IF(ISBLANK($C233),"",IF(P233=Constants!$B$2,TRUE(),IF(P233=Constants!$B$3,FALSE(),FALSE())))</f>
        <v/>
      </c>
      <c r="AR233" s="93" t="str">
        <f aca="false">IF(ISBLANK($C233),"",IF(Q233=Constants!$B$2,TRUE(),IF(Q233=Constants!$B$3,FALSE(),TRUE())))</f>
        <v/>
      </c>
      <c r="AS233" s="93" t="str">
        <f aca="false">IF(ISBLANK($C233),"",IF(R233=Constants!$B$2,TRUE(),IF(R233=Constants!$B$3,FALSE(),TRUE())))</f>
        <v/>
      </c>
      <c r="AT233" s="93" t="str">
        <f aca="false">IF(ISBLANK($C233),"",IF(S233=Constants!$B$4,TRUE(),IF(S233=Constants!$B$5,FALSE(),COUNTA(T233:X233)&gt;0)))</f>
        <v/>
      </c>
      <c r="AU233" s="95" t="str">
        <f aca="false">IF(ISBLANK($C233),"",IF(ISNUMBER(T233),IF(T233&gt;=0,T233,""),""))</f>
        <v/>
      </c>
      <c r="AV233" s="94" t="str">
        <f aca="false">IF(ISBLANK($C233),"",IF(ISNUMBER(U233),IF(U233&gt;=0,U233,""),""))</f>
        <v/>
      </c>
      <c r="AW233" s="94" t="str">
        <f aca="false">IF(ISBLANK($C233),"",IF(V233=Constants!$B$2,TRUE(),IF(V233=Constants!$B$3,FALSE(),TRUE())))</f>
        <v/>
      </c>
      <c r="AX233" s="93" t="str">
        <f aca="false">IF(ISBLANK($C233),"",IF(ISNUMBER(W233),IF(W233&gt;=0,W233,""),""))</f>
        <v/>
      </c>
      <c r="AY233" s="93" t="str">
        <f aca="false">IF(ISBLANK($C233),"",IF(X233=Constants!$B$2,TRUE(),IF(X233=Constants!$B$3,FALSE(),FALSE())))</f>
        <v/>
      </c>
      <c r="AZ233" s="93" t="str">
        <f aca="false">IF(ISBLANK($C233),"",MIN(Constants!$B$25,MAX(0,IF(ISNUMBER(Y233),Y233*60,0)+IF(ISNUMBER(Z233),Z233,0))))</f>
        <v/>
      </c>
      <c r="BA233" s="93" t="str">
        <f aca="false">IF(ISBLANK($C233),"",IF(AA233=Constants!$B$2,TRUE(),IF(AA233=Constants!$B$3,FALSE(),FALSE())))</f>
        <v/>
      </c>
      <c r="BB233" s="92" t="str">
        <f aca="false">IF(ISBLANK($C233),"",AND($AL233,OR($AM233="",$AN233="",AND($AO233,$AP233=""))))</f>
        <v/>
      </c>
      <c r="BC233" s="94" t="str">
        <f aca="false">IF($BX233&lt;&gt;Constants!$B$6,"",IF($AL233,Constants!$B$17*$AN233+Constants!$B$18*IF($AO233,$AP233,Constants!$B$19),Constants!$B$20))</f>
        <v/>
      </c>
      <c r="BD233" s="97" t="str">
        <f aca="false">IF($BX233&lt;&gt;Constants!$B$6,"",Constants!$B$21*ABS($AD$9-IF($AL233,$AM233,0)))</f>
        <v/>
      </c>
      <c r="BE233" s="97" t="str">
        <f aca="false">IF($BX233&lt;&gt;Constants!$B$6,"",IF(AND($AL233,$AQ233,$AO233),Constants!$B$22,0))</f>
        <v/>
      </c>
      <c r="BF233" s="97" t="str">
        <f aca="false">IF($BX233&lt;&gt;Constants!$B$6,"",IF($AL233,($AI233-Constants!$B$24)*Constants!$B$23,0))</f>
        <v/>
      </c>
      <c r="BG233" s="97" t="str">
        <f aca="false">IF($BX233&lt;&gt;Constants!$B$6,"",IF($AK233,0,Constants!$B$12)+IF($AJ233,0,Constants!$B$13)+IF($AH233,0,Constants!$B$14))</f>
        <v/>
      </c>
      <c r="BH233" s="98" t="str">
        <f aca="false">IF($BX233&lt;&gt;Constants!$B$6,"",Constants!$B$16+SUM($BC233:$BG233))</f>
        <v/>
      </c>
      <c r="BI233" s="97" t="str">
        <f aca="false">IF($BX233&lt;&gt;Constants!$B$6,"",$BC233)</f>
        <v/>
      </c>
      <c r="BJ233" s="97" t="str">
        <f aca="false">IF($BX233&lt;&gt;Constants!$B$6,"",$BD233)</f>
        <v/>
      </c>
      <c r="BK233" s="99" t="str">
        <f aca="false">IF($BX233&lt;&gt;Constants!$B$6,"",IF($AL233,$AN233,""))</f>
        <v/>
      </c>
      <c r="BL233" s="93" t="str">
        <f aca="false">IF($BX233&lt;&gt;Constants!$B$6,"",IF(OR($BS233&lt;$BH233,AND($BS233=$BH233,OR($BT233&lt;$BI233,AND($BT233=$BI233,OR($BU233&lt;$BJ233,AND($BU233=$BJ233,AND(ISNUMBER($BV233),OR(NOT(ISNUMBER($BK233)),$BV233&lt;$BK233)))))))),"-&gt;","&lt;-"))</f>
        <v/>
      </c>
      <c r="BM233" s="92" t="str">
        <f aca="false">IF(ISBLANK($C233),"",AND($AT233,OR($AU233="",$AV233="",AND($AW233,$AX233=""))))</f>
        <v/>
      </c>
      <c r="BN233" s="94" t="str">
        <f aca="false">IF($BX233&lt;&gt;Constants!$B$6,"",IF($AT233,Constants!$B$17*$AV233+Constants!$B$18*IF($AW233,$AX233,Constants!$B$19),Constants!$B$20))</f>
        <v/>
      </c>
      <c r="BO233" s="97" t="str">
        <f aca="false">IF($BX233&lt;&gt;Constants!$B$6,"",Constants!$B$21*ABS($AD$9-IF($AT233,$AU233,0)))</f>
        <v/>
      </c>
      <c r="BP233" s="97" t="str">
        <f aca="false">IF($BX233&lt;&gt;Constants!$B$6,"",IF(AND($AT233,$AY233,$AW233),Constants!$B$22,0))</f>
        <v/>
      </c>
      <c r="BQ233" s="97" t="str">
        <f aca="false">IF($BX233&lt;&gt;Constants!$B$6,"",IF($AT233,($AI233-Constants!$B$24)*Constants!$B$23,0))</f>
        <v/>
      </c>
      <c r="BR233" s="97" t="str">
        <f aca="false">IF($BX233&lt;&gt;Constants!$B$6,"",IF($AS233,0,Constants!$B$12)+IF($AR233,0,Constants!$B$13)+IF($AH233,0,Constants!$B$14))</f>
        <v/>
      </c>
      <c r="BS233" s="98" t="str">
        <f aca="false">IF($BX233&lt;&gt;Constants!$B$6,"",Constants!$B$16+SUM($BN233:$BR233))</f>
        <v/>
      </c>
      <c r="BT233" s="97" t="str">
        <f aca="false">IF($BX233&lt;&gt;Constants!$B$6,"",$BN233)</f>
        <v/>
      </c>
      <c r="BU233" s="97" t="str">
        <f aca="false">IF($BX233&lt;&gt;Constants!$B$6,"",$BO233)</f>
        <v/>
      </c>
      <c r="BV233" s="99" t="str">
        <f aca="false">IF($BX233&lt;&gt;Constants!$B$6,"",IF($AT233,$AV233,""))</f>
        <v/>
      </c>
      <c r="BW233" s="93" t="str">
        <f aca="false">IF(ISBLANK($C233),"",IF(ISBLANK($D$7),$BW$5,IF(NOT(ISNUMBER($D$7)),$BW$6,"")))</f>
        <v/>
      </c>
      <c r="BX233" s="93" t="str">
        <f aca="false">IF(ISBLANK($C233),"",IF($BA233,Constants!$B$9,IF(COUNTA($E233:$AA233)=0,Constants!$B$8,IF(NOT($AG233),Constants!$B$7,IF(OR($BW233&lt;&gt;"",$BB233,$BM233),Constants!$B$10,Constants!$B$6)))))</f>
        <v/>
      </c>
      <c r="BY233" s="93" t="str">
        <f aca="false">IF(ISBLANK($C233),"",IF($BX233&lt;&gt;Constants!$B$6,$BX233,Constants!$B$11))</f>
        <v/>
      </c>
      <c r="BZ233" s="97" t="str">
        <f aca="false">IF($BX233&lt;&gt;Constants!$B$6,"",IF($BL233="-&gt;",$BS233,$BH233))</f>
        <v/>
      </c>
      <c r="CA233" s="97" t="str">
        <f aca="false">IF($BX233&lt;&gt;Constants!$B$6,"",IF($AF233,0,Constants!$B$15))</f>
        <v/>
      </c>
      <c r="CB233" s="97" t="str">
        <f aca="false">IF($BX233&lt;&gt;Constants!$B$6,"",((Constants!$B$25-$AZ233)-Constants!$B$25)/Constants!$B$26)</f>
        <v/>
      </c>
      <c r="CC233" s="97" t="str">
        <f aca="false">IF(ISBLANK($C233),"",IF($BX233&lt;&gt;Constants!$B$6,$BX233,SUM($BZ233:$CB233)))</f>
        <v/>
      </c>
      <c r="CD233" s="93" t="str">
        <f aca="false">IF(ISBLANK($C233),"",IF($BX233&lt;&gt;Constants!$B$6,$BX233,RANK($CC233,$CC$9:$CC$508,1)))</f>
        <v/>
      </c>
      <c r="CE233" s="97" t="str">
        <f aca="false">IF($BX233&lt;&gt;Constants!$B$6,"",IF($BL233="-&gt;",$BT233,$BI233))</f>
        <v/>
      </c>
      <c r="CF233" s="93" t="str">
        <f aca="false">IF(ISBLANK($C233),"",IF($BX233&lt;&gt;Constants!$B$6,$BX233,IF(ISNUMBER($CE233),RANK($CE233,$CE$9:$CE$508,1),COUNT($CE$9:$CE$508)+1)))</f>
        <v/>
      </c>
      <c r="CG233" s="97" t="str">
        <f aca="false">IF($BX233&lt;&gt;Constants!$B$6,"",IF($BL233="-&gt;",$BU233,$BJ233))</f>
        <v/>
      </c>
      <c r="CH233" s="93" t="str">
        <f aca="false">IF(ISBLANK($C233),"",IF($BX233&lt;&gt;Constants!$B$6,$BX233,IF(ISNUMBER($CG233),RANK($CG233,$CG$9:$CG$508,1),COUNT($CG$9:$CG$508)+1)))</f>
        <v/>
      </c>
      <c r="CI233" s="97" t="str">
        <f aca="false">IF($BX233&lt;&gt;Constants!$B$6,"",IF($BL233="-&gt;",$BV233,$BK233))</f>
        <v/>
      </c>
      <c r="CJ233" s="93" t="str">
        <f aca="false">IF(ISBLANK($C233),"",IF($BX233&lt;&gt;Constants!$B$6,$BX233,IF(ISNUMBER($CI233),RANK($CI233,$CI$9:$CI$508,1),COUNT($CI$9:$CI$508)+1)))</f>
        <v/>
      </c>
      <c r="CK233" s="97" t="str">
        <f aca="false">IF($BX233&lt;&gt;Constants!$B$6,"",$AI233)</f>
        <v/>
      </c>
      <c r="CL233" s="93" t="str">
        <f aca="false">IF(ISBLANK($C233),"",IF($BX233&lt;&gt;Constants!$B$6,$BX233,IF(ISNUMBER($CK233),RANK($CK233,$CK$9:$CK$508,1),COUNT($CK$9:$CK$508)+1)))</f>
        <v/>
      </c>
      <c r="CM233" s="93" t="str">
        <f aca="false">IF(ISBLANK($C233),"",IF($BX233&lt;&gt;Constants!$B$6,$BX233,COUNTIFS($CD$9:$CD$508,"&lt;"&amp;$CD233)+COUNTIFS($CD$9:$CD$508,$CD233,$CF$9:$CF$508,"&lt;"&amp;$CF233)+COUNTIFS($CD$9:$CD$508,$CD233,$CF$9:$CF$508,$CF233,$CH$9:$CH$508,"&lt;"&amp;$CH233)+COUNTIFS($CD$9:$CD$508,$CD233,$CF$9:$CF$508,$CF233,$CH$9:$CH$508,$CH233,$CJ$9:$CJ$508,"&lt;"&amp;$CJ233)+COUNTIFS($CD$9:$CD$508,$CD233,$CF$9:$CF$508,$CF233,$CH$9:$CH$508,$CH233,$CJ$9:$CJ$508,$CJ233,$CL$9:$CL$508,"&lt;"&amp;$CL233)+1))</f>
        <v/>
      </c>
      <c r="CN233" s="93" t="str">
        <f aca="false">IF(ISBLANK($C233),"",IF($BX233&lt;&gt;Constants!$B$6,$BX233,$CD233-$CM233))</f>
        <v/>
      </c>
      <c r="CO233" s="100"/>
      <c r="CP233" s="101"/>
      <c r="CQ233" s="102" t="str">
        <f aca="false">IF(ISBLANK($C233),"",IF($BX233=Constants!$B$10,$BW233,""))</f>
        <v/>
      </c>
      <c r="CR233" s="101" t="str">
        <f aca="false">IF(ISBLANK($C233),"",IF($BX233&lt;&gt;Constants!$B$6,"",IF($BL233="-&gt;",2,1)))</f>
        <v/>
      </c>
      <c r="CS233" s="103" t="str">
        <f aca="false">IF(ISBLANK($C233),"",IF($BX233&lt;&gt;Constants!$B$6,"",IF($BL233="-&gt;",$BN233,$BC233)))</f>
        <v/>
      </c>
      <c r="CT233" s="103" t="str">
        <f aca="false">IF(ISBLANK($C233),"",IF($BX233&lt;&gt;Constants!$B$6,"",IF($BL233="-&gt;",$BO233,$BD233)))</f>
        <v/>
      </c>
      <c r="CU233" s="103" t="str">
        <f aca="false">IF(ISBLANK($C233),"",IF($BX233&lt;&gt;Constants!$B$6,"",IF($BL233="-&gt;",$BP233+$BQ233,$BE233+$BF233)+$CB233))</f>
        <v/>
      </c>
      <c r="CV233" s="103" t="str">
        <f aca="false">IF(ISBLANK($C233),"",IF($BX233&lt;&gt;Constants!$B$6,"",IF($BL233="-&gt;",$BR233,$BG233)+$CA233))</f>
        <v/>
      </c>
      <c r="CW233" s="104" t="str">
        <f aca="false">IF(ISBLANK($C233),"",IF($BX233&lt;&gt;Constants!$B$6,$BX233,$CC233))</f>
        <v/>
      </c>
      <c r="CX233" s="105" t="str">
        <f aca="false">IF(ISBLANK($C233),"",$BY233)</f>
        <v/>
      </c>
      <c r="CY233" s="106" t="str">
        <f aca="false">IF(ISBLANK($C233),"",$CN233)</f>
        <v/>
      </c>
      <c r="CZ233" s="106" t="str">
        <f aca="false">IF(ISBLANK($C233),"",$CM233)</f>
        <v/>
      </c>
      <c r="DA233" s="107" t="str">
        <f aca="false">IF(ISBLANK($C233),"",IFERROR(_xlfn.SWITCH($CZ233,Constants!$B$9,COUNTA($C$9:$C$508)+2,Constants!$B$8,COUNTA($C$9:$C$508)+1,Constants!$B$7,COUNTA($C$9:$C$508)),$CZ233))</f>
        <v/>
      </c>
      <c r="DB233" s="9"/>
      <c r="DC233" s="108" t="n">
        <f aca="false">IF(OR(ISNUMBER($CZ233),$CZ233=Constants!$B$9,$CZ233=Constants!$B$7,$CZ233=Constants!$B$8),1,0)</f>
        <v>0</v>
      </c>
      <c r="DD233" s="108" t="n">
        <v>225</v>
      </c>
      <c r="DE233" s="108" t="str">
        <f aca="false">IF(ISBLANK($C233),"",IF(ISNUMBER($DA233),$DA233+ROW($B233)/1000,""))</f>
        <v/>
      </c>
      <c r="DF233" s="108" t="str">
        <f aca="false">IF(ISNUMBER($DE233),RANK($DE233,$DE$9:$DE$508,1),"")</f>
        <v/>
      </c>
      <c r="DG233" s="108" t="str">
        <f aca="false">IF(ISBLANK($C233),"",$B233)</f>
        <v/>
      </c>
      <c r="DH233" s="108" t="str">
        <f aca="false">IF(ISBLANK($C233),"",$C233)</f>
        <v/>
      </c>
      <c r="DI233" s="108" t="str">
        <f aca="false">IF(ISBLANK($C233),"",$D233)</f>
        <v/>
      </c>
      <c r="DJ233" s="109" t="str">
        <f aca="false">$CX233</f>
        <v/>
      </c>
      <c r="DK233" s="110" t="str">
        <f aca="false">$CW233</f>
        <v/>
      </c>
      <c r="DL233" s="108" t="str">
        <f aca="false">IF(ISBLANK($C233),"",$CZ233)</f>
        <v/>
      </c>
      <c r="DM233" s="111" t="str">
        <f aca="false">IF($DD233&gt;$DC$8,"",VLOOKUP($DD233,$DF$9:$DL$508,7,FALSE()))</f>
        <v/>
      </c>
      <c r="DN233" s="112" t="str">
        <f aca="false">IF($DD233&gt;$DC$8,"",VLOOKUP($DD233,$DF$9:$DL$508,2,FALSE()))</f>
        <v/>
      </c>
      <c r="DO233" s="112" t="str">
        <f aca="false">IF($DD233&gt;$DC$8,"",VLOOKUP($DD233,$DF$9:$DL$508,3,FALSE()))</f>
        <v/>
      </c>
      <c r="DP233" s="112" t="str">
        <f aca="false">IF($DD233&gt;$DC$8,"",VLOOKUP($DD233,$DF$9:$DL$508,4,FALSE()))</f>
        <v/>
      </c>
      <c r="DQ233" s="112" t="str">
        <f aca="false">IF($DD233&gt;$DC$8,"",VLOOKUP($DD233,$DF$9:$DL$508,5,FALSE()))</f>
        <v/>
      </c>
      <c r="DR233" s="113" t="str">
        <f aca="false">IF($DD233&gt;$DC$8,"",VLOOKUP($DD233,$DF$9:$DL$508,6,FALSE()))</f>
        <v/>
      </c>
      <c r="DS233" s="76"/>
    </row>
    <row r="234" customFormat="false" ht="15.75" hidden="false" customHeight="false" outlineLevel="0" collapsed="false">
      <c r="A234" s="9"/>
      <c r="B234" s="160"/>
      <c r="C234" s="161"/>
      <c r="D234" s="162"/>
      <c r="E234" s="180"/>
      <c r="F234" s="164"/>
      <c r="G234" s="165"/>
      <c r="H234" s="165"/>
      <c r="I234" s="181"/>
      <c r="J234" s="168"/>
      <c r="K234" s="128"/>
      <c r="L234" s="129"/>
      <c r="M234" s="130"/>
      <c r="N234" s="168"/>
      <c r="O234" s="168"/>
      <c r="P234" s="180"/>
      <c r="Q234" s="168"/>
      <c r="R234" s="168"/>
      <c r="S234" s="128"/>
      <c r="T234" s="130"/>
      <c r="U234" s="130"/>
      <c r="V234" s="168"/>
      <c r="W234" s="168"/>
      <c r="X234" s="180"/>
      <c r="Y234" s="168"/>
      <c r="Z234" s="169"/>
      <c r="AA234" s="168"/>
      <c r="AB234" s="134"/>
      <c r="AC234" s="135"/>
      <c r="AD234" s="135"/>
      <c r="AE234" s="135"/>
      <c r="AF234" s="135" t="str">
        <f aca="false">IF(ISBLANK($C234),"",IF(E234=Constants!$B$2,TRUE(),IF(E234=Constants!$B$3,FALSE(),TRUE())))</f>
        <v/>
      </c>
      <c r="AG234" s="135" t="str">
        <f aca="false">IF(ISBLANK($C234),"",IF(F234=Constants!$B$2,TRUE(),IF(F234=Constants!$B$3,FALSE(),TRUE())))</f>
        <v/>
      </c>
      <c r="AH234" s="135" t="str">
        <f aca="false">IF(ISBLANK($C234),"",IF(G234=Constants!$B$2,TRUE(),IF(G234=Constants!$B$3,FALSE(),TRUE())))</f>
        <v/>
      </c>
      <c r="AI234" s="135" t="str">
        <f aca="false">IF(ISBLANK($C234),"",IF(AND(ISNUMBER(H234),H234&gt;=0),H234,Constants!$B$24))</f>
        <v/>
      </c>
      <c r="AJ234" s="135" t="str">
        <f aca="false">IF(ISBLANK($C234),"",IF(I234=Constants!$B$2,TRUE(),IF(I234=Constants!$B$3,FALSE(),TRUE())))</f>
        <v/>
      </c>
      <c r="AK234" s="135" t="str">
        <f aca="false">IF(ISBLANK($C234),"",IF(J234=Constants!$B$2,TRUE(),IF(J234=Constants!$B$3,FALSE(),TRUE())))</f>
        <v/>
      </c>
      <c r="AL234" s="135" t="str">
        <f aca="false">IF(ISBLANK($C234),"",IF(K234=Constants!$B$4,TRUE(),IF(K234=Constants!$B$5,FALSE(),COUNTA(L234:P234)&gt;0)))</f>
        <v/>
      </c>
      <c r="AM234" s="136" t="str">
        <f aca="false">IF(ISBLANK($C234),"",IF(ISNUMBER(L234),IF(L234&gt;=0,L234,""),""))</f>
        <v/>
      </c>
      <c r="AN234" s="137" t="str">
        <f aca="false">IF(ISBLANK($C234),"",IF(ISNUMBER(M234),IF(M234&gt;=0,M234,""),""))</f>
        <v/>
      </c>
      <c r="AO234" s="137" t="str">
        <f aca="false">IF(ISBLANK($C234),"",IF(N234=Constants!$B$2,TRUE(),IF(N234=Constants!$B$3,FALSE(),TRUE())))</f>
        <v/>
      </c>
      <c r="AP234" s="135" t="str">
        <f aca="false">IF(ISBLANK($C234),"",IF(ISNUMBER(O234),IF(O234&gt;=0,O234,""),""))</f>
        <v/>
      </c>
      <c r="AQ234" s="135" t="str">
        <f aca="false">IF(ISBLANK($C234),"",IF(P234=Constants!$B$2,TRUE(),IF(P234=Constants!$B$3,FALSE(),FALSE())))</f>
        <v/>
      </c>
      <c r="AR234" s="135" t="str">
        <f aca="false">IF(ISBLANK($C234),"",IF(Q234=Constants!$B$2,TRUE(),IF(Q234=Constants!$B$3,FALSE(),TRUE())))</f>
        <v/>
      </c>
      <c r="AS234" s="135" t="str">
        <f aca="false">IF(ISBLANK($C234),"",IF(R234=Constants!$B$2,TRUE(),IF(R234=Constants!$B$3,FALSE(),TRUE())))</f>
        <v/>
      </c>
      <c r="AT234" s="135" t="str">
        <f aca="false">IF(ISBLANK($C234),"",IF(S234=Constants!$B$4,TRUE(),IF(S234=Constants!$B$5,FALSE(),COUNTA(T234:X234)&gt;0)))</f>
        <v/>
      </c>
      <c r="AU234" s="136" t="str">
        <f aca="false">IF(ISBLANK($C234),"",IF(ISNUMBER(T234),IF(T234&gt;=0,T234,""),""))</f>
        <v/>
      </c>
      <c r="AV234" s="137" t="str">
        <f aca="false">IF(ISBLANK($C234),"",IF(ISNUMBER(U234),IF(U234&gt;=0,U234,""),""))</f>
        <v/>
      </c>
      <c r="AW234" s="137" t="str">
        <f aca="false">IF(ISBLANK($C234),"",IF(V234=Constants!$B$2,TRUE(),IF(V234=Constants!$B$3,FALSE(),TRUE())))</f>
        <v/>
      </c>
      <c r="AX234" s="135" t="str">
        <f aca="false">IF(ISBLANK($C234),"",IF(ISNUMBER(W234),IF(W234&gt;=0,W234,""),""))</f>
        <v/>
      </c>
      <c r="AY234" s="135" t="str">
        <f aca="false">IF(ISBLANK($C234),"",IF(X234=Constants!$B$2,TRUE(),IF(X234=Constants!$B$3,FALSE(),FALSE())))</f>
        <v/>
      </c>
      <c r="AZ234" s="135" t="str">
        <f aca="false">IF(ISBLANK($C234),"",MIN(Constants!$B$25,MAX(0,IF(ISNUMBER(Y234),Y234*60,0)+IF(ISNUMBER(Z234),Z234,0))))</f>
        <v/>
      </c>
      <c r="BA234" s="135" t="str">
        <f aca="false">IF(ISBLANK($C234),"",IF(AA234=Constants!$B$2,TRUE(),IF(AA234=Constants!$B$3,FALSE(),FALSE())))</f>
        <v/>
      </c>
      <c r="BB234" s="134" t="str">
        <f aca="false">IF(ISBLANK($C234),"",AND($AL234,OR($AM234="",$AN234="",AND($AO234,$AP234=""))))</f>
        <v/>
      </c>
      <c r="BC234" s="137" t="str">
        <f aca="false">IF($BX234&lt;&gt;Constants!$B$6,"",IF($AL234,Constants!$B$17*$AN234+Constants!$B$18*IF($AO234,$AP234,Constants!$B$19),Constants!$B$20))</f>
        <v/>
      </c>
      <c r="BD234" s="138" t="str">
        <f aca="false">IF($BX234&lt;&gt;Constants!$B$6,"",Constants!$B$21*ABS($AD$9-IF($AL234,$AM234,0)))</f>
        <v/>
      </c>
      <c r="BE234" s="138" t="str">
        <f aca="false">IF($BX234&lt;&gt;Constants!$B$6,"",IF(AND($AL234,$AQ234,$AO234),Constants!$B$22,0))</f>
        <v/>
      </c>
      <c r="BF234" s="138" t="str">
        <f aca="false">IF($BX234&lt;&gt;Constants!$B$6,"",IF($AL234,($AI234-Constants!$B$24)*Constants!$B$23,0))</f>
        <v/>
      </c>
      <c r="BG234" s="138" t="str">
        <f aca="false">IF($BX234&lt;&gt;Constants!$B$6,"",IF($AK234,0,Constants!$B$12)+IF($AJ234,0,Constants!$B$13)+IF($AH234,0,Constants!$B$14))</f>
        <v/>
      </c>
      <c r="BH234" s="139" t="str">
        <f aca="false">IF($BX234&lt;&gt;Constants!$B$6,"",Constants!$B$16+SUM($BC234:$BG234))</f>
        <v/>
      </c>
      <c r="BI234" s="138" t="str">
        <f aca="false">IF($BX234&lt;&gt;Constants!$B$6,"",$BC234)</f>
        <v/>
      </c>
      <c r="BJ234" s="138" t="str">
        <f aca="false">IF($BX234&lt;&gt;Constants!$B$6,"",$BD234)</f>
        <v/>
      </c>
      <c r="BK234" s="140" t="str">
        <f aca="false">IF($BX234&lt;&gt;Constants!$B$6,"",IF($AL234,$AN234,""))</f>
        <v/>
      </c>
      <c r="BL234" s="135" t="str">
        <f aca="false">IF($BX234&lt;&gt;Constants!$B$6,"",IF(OR($BS234&lt;$BH234,AND($BS234=$BH234,OR($BT234&lt;$BI234,AND($BT234=$BI234,OR($BU234&lt;$BJ234,AND($BU234=$BJ234,AND(ISNUMBER($BV234),OR(NOT(ISNUMBER($BK234)),$BV234&lt;$BK234)))))))),"-&gt;","&lt;-"))</f>
        <v/>
      </c>
      <c r="BM234" s="134" t="str">
        <f aca="false">IF(ISBLANK($C234),"",AND($AT234,OR($AU234="",$AV234="",AND($AW234,$AX234=""))))</f>
        <v/>
      </c>
      <c r="BN234" s="137" t="str">
        <f aca="false">IF($BX234&lt;&gt;Constants!$B$6,"",IF($AT234,Constants!$B$17*$AV234+Constants!$B$18*IF($AW234,$AX234,Constants!$B$19),Constants!$B$20))</f>
        <v/>
      </c>
      <c r="BO234" s="138" t="str">
        <f aca="false">IF($BX234&lt;&gt;Constants!$B$6,"",Constants!$B$21*ABS($AD$9-IF($AT234,$AU234,0)))</f>
        <v/>
      </c>
      <c r="BP234" s="138" t="str">
        <f aca="false">IF($BX234&lt;&gt;Constants!$B$6,"",IF(AND($AT234,$AY234,$AW234),Constants!$B$22,0))</f>
        <v/>
      </c>
      <c r="BQ234" s="138" t="str">
        <f aca="false">IF($BX234&lt;&gt;Constants!$B$6,"",IF($AT234,($AI234-Constants!$B$24)*Constants!$B$23,0))</f>
        <v/>
      </c>
      <c r="BR234" s="138" t="str">
        <f aca="false">IF($BX234&lt;&gt;Constants!$B$6,"",IF($AS234,0,Constants!$B$12)+IF($AR234,0,Constants!$B$13)+IF($AH234,0,Constants!$B$14))</f>
        <v/>
      </c>
      <c r="BS234" s="139" t="str">
        <f aca="false">IF($BX234&lt;&gt;Constants!$B$6,"",Constants!$B$16+SUM($BN234:$BR234))</f>
        <v/>
      </c>
      <c r="BT234" s="138" t="str">
        <f aca="false">IF($BX234&lt;&gt;Constants!$B$6,"",$BN234)</f>
        <v/>
      </c>
      <c r="BU234" s="138" t="str">
        <f aca="false">IF($BX234&lt;&gt;Constants!$B$6,"",$BO234)</f>
        <v/>
      </c>
      <c r="BV234" s="140" t="str">
        <f aca="false">IF($BX234&lt;&gt;Constants!$B$6,"",IF($AT234,$AV234,""))</f>
        <v/>
      </c>
      <c r="BW234" s="135" t="str">
        <f aca="false">IF(ISBLANK($C234),"",IF(ISBLANK($D$7),$BW$5,IF(NOT(ISNUMBER($D$7)),$BW$6,"")))</f>
        <v/>
      </c>
      <c r="BX234" s="135" t="str">
        <f aca="false">IF(ISBLANK($C234),"",IF($BA234,Constants!$B$9,IF(COUNTA($E234:$AA234)=0,Constants!$B$8,IF(NOT($AG234),Constants!$B$7,IF(OR($BW234&lt;&gt;"",$BB234,$BM234),Constants!$B$10,Constants!$B$6)))))</f>
        <v/>
      </c>
      <c r="BY234" s="135" t="str">
        <f aca="false">IF(ISBLANK($C234),"",IF($BX234&lt;&gt;Constants!$B$6,$BX234,Constants!$B$11))</f>
        <v/>
      </c>
      <c r="BZ234" s="138" t="str">
        <f aca="false">IF($BX234&lt;&gt;Constants!$B$6,"",IF($BL234="-&gt;",$BS234,$BH234))</f>
        <v/>
      </c>
      <c r="CA234" s="138" t="str">
        <f aca="false">IF($BX234&lt;&gt;Constants!$B$6,"",IF($AF234,0,Constants!$B$15))</f>
        <v/>
      </c>
      <c r="CB234" s="138" t="str">
        <f aca="false">IF($BX234&lt;&gt;Constants!$B$6,"",((Constants!$B$25-$AZ234)-Constants!$B$25)/Constants!$B$26)</f>
        <v/>
      </c>
      <c r="CC234" s="138" t="str">
        <f aca="false">IF(ISBLANK($C234),"",IF($BX234&lt;&gt;Constants!$B$6,$BX234,SUM($BZ234:$CB234)))</f>
        <v/>
      </c>
      <c r="CD234" s="135" t="str">
        <f aca="false">IF(ISBLANK($C234),"",IF($BX234&lt;&gt;Constants!$B$6,$BX234,RANK($CC234,$CC$9:$CC$508,1)))</f>
        <v/>
      </c>
      <c r="CE234" s="138" t="str">
        <f aca="false">IF($BX234&lt;&gt;Constants!$B$6,"",IF($BL234="-&gt;",$BT234,$BI234))</f>
        <v/>
      </c>
      <c r="CF234" s="135" t="str">
        <f aca="false">IF(ISBLANK($C234),"",IF($BX234&lt;&gt;Constants!$B$6,$BX234,IF(ISNUMBER($CE234),RANK($CE234,$CE$9:$CE$508,1),COUNT($CE$9:$CE$508)+1)))</f>
        <v/>
      </c>
      <c r="CG234" s="138" t="str">
        <f aca="false">IF($BX234&lt;&gt;Constants!$B$6,"",IF($BL234="-&gt;",$BU234,$BJ234))</f>
        <v/>
      </c>
      <c r="CH234" s="135" t="str">
        <f aca="false">IF(ISBLANK($C234),"",IF($BX234&lt;&gt;Constants!$B$6,$BX234,IF(ISNUMBER($CG234),RANK($CG234,$CG$9:$CG$508,1),COUNT($CG$9:$CG$508)+1)))</f>
        <v/>
      </c>
      <c r="CI234" s="138" t="str">
        <f aca="false">IF($BX234&lt;&gt;Constants!$B$6,"",IF($BL234="-&gt;",$BV234,$BK234))</f>
        <v/>
      </c>
      <c r="CJ234" s="135" t="str">
        <f aca="false">IF(ISBLANK($C234),"",IF($BX234&lt;&gt;Constants!$B$6,$BX234,IF(ISNUMBER($CI234),RANK($CI234,$CI$9:$CI$508,1),COUNT($CI$9:$CI$508)+1)))</f>
        <v/>
      </c>
      <c r="CK234" s="138" t="str">
        <f aca="false">IF($BX234&lt;&gt;Constants!$B$6,"",$AI234)</f>
        <v/>
      </c>
      <c r="CL234" s="135" t="str">
        <f aca="false">IF(ISBLANK($C234),"",IF($BX234&lt;&gt;Constants!$B$6,$BX234,IF(ISNUMBER($CK234),RANK($CK234,$CK$9:$CK$508,1),COUNT($CK$9:$CK$508)+1)))</f>
        <v/>
      </c>
      <c r="CM234" s="135" t="str">
        <f aca="false">IF(ISBLANK($C234),"",IF($BX234&lt;&gt;Constants!$B$6,$BX234,COUNTIFS($CD$9:$CD$508,"&lt;"&amp;$CD234)+COUNTIFS($CD$9:$CD$508,$CD234,$CF$9:$CF$508,"&lt;"&amp;$CF234)+COUNTIFS($CD$9:$CD$508,$CD234,$CF$9:$CF$508,$CF234,$CH$9:$CH$508,"&lt;"&amp;$CH234)+COUNTIFS($CD$9:$CD$508,$CD234,$CF$9:$CF$508,$CF234,$CH$9:$CH$508,$CH234,$CJ$9:$CJ$508,"&lt;"&amp;$CJ234)+COUNTIFS($CD$9:$CD$508,$CD234,$CF$9:$CF$508,$CF234,$CH$9:$CH$508,$CH234,$CJ$9:$CJ$508,$CJ234,$CL$9:$CL$508,"&lt;"&amp;$CL234)+1))</f>
        <v/>
      </c>
      <c r="CN234" s="135" t="str">
        <f aca="false">IF(ISBLANK($C234),"",IF($BX234&lt;&gt;Constants!$B$6,$BX234,$CD234-$CM234))</f>
        <v/>
      </c>
      <c r="CO234" s="141"/>
      <c r="CP234" s="142"/>
      <c r="CQ234" s="143" t="str">
        <f aca="false">IF(ISBLANK($C234),"",IF($BX234=Constants!$B$10,$BW234,""))</f>
        <v/>
      </c>
      <c r="CR234" s="142" t="str">
        <f aca="false">IF(ISBLANK($C234),"",IF($BX234&lt;&gt;Constants!$B$6,"",IF($BL234="-&gt;",2,1)))</f>
        <v/>
      </c>
      <c r="CS234" s="144" t="str">
        <f aca="false">IF(ISBLANK($C234),"",IF($BX234&lt;&gt;Constants!$B$6,"",IF($BL234="-&gt;",$BN234,$BC234)))</f>
        <v/>
      </c>
      <c r="CT234" s="144" t="str">
        <f aca="false">IF(ISBLANK($C234),"",IF($BX234&lt;&gt;Constants!$B$6,"",IF($BL234="-&gt;",$BO234,$BD234)))</f>
        <v/>
      </c>
      <c r="CU234" s="144" t="str">
        <f aca="false">IF(ISBLANK($C234),"",IF($BX234&lt;&gt;Constants!$B$6,"",IF($BL234="-&gt;",$BP234+$BQ234,$BE234+$BF234)+$CB234))</f>
        <v/>
      </c>
      <c r="CV234" s="144" t="str">
        <f aca="false">IF(ISBLANK($C234),"",IF($BX234&lt;&gt;Constants!$B$6,"",IF($BL234="-&gt;",$BR234,$BG234)+$CA234))</f>
        <v/>
      </c>
      <c r="CW234" s="145" t="str">
        <f aca="false">IF(ISBLANK($C234),"",IF($BX234&lt;&gt;Constants!$B$6,$BX234,$CC234))</f>
        <v/>
      </c>
      <c r="CX234" s="146" t="str">
        <f aca="false">IF(ISBLANK($C234),"",$BY234)</f>
        <v/>
      </c>
      <c r="CY234" s="147" t="str">
        <f aca="false">IF(ISBLANK($C234),"",$CN234)</f>
        <v/>
      </c>
      <c r="CZ234" s="147" t="str">
        <f aca="false">IF(ISBLANK($C234),"",$CM234)</f>
        <v/>
      </c>
      <c r="DA234" s="148" t="str">
        <f aca="false">IF(ISBLANK($C234),"",IFERROR(_xlfn.SWITCH($CZ234,Constants!$B$9,COUNTA($C$9:$C$508)+2,Constants!$B$8,COUNTA($C$9:$C$508)+1,Constants!$B$7,COUNTA($C$9:$C$508)),$CZ234))</f>
        <v/>
      </c>
      <c r="DB234" s="9"/>
      <c r="DC234" s="149" t="n">
        <f aca="false">IF(OR(ISNUMBER($CZ234),$CZ234=Constants!$B$9,$CZ234=Constants!$B$7,$CZ234=Constants!$B$8),1,0)</f>
        <v>0</v>
      </c>
      <c r="DD234" s="149" t="n">
        <v>226</v>
      </c>
      <c r="DE234" s="149" t="str">
        <f aca="false">IF(ISBLANK($C234),"",IF(ISNUMBER($DA234),$DA234+ROW($B234)/1000,""))</f>
        <v/>
      </c>
      <c r="DF234" s="149" t="str">
        <f aca="false">IF(ISNUMBER($DE234),RANK($DE234,$DE$9:$DE$508,1),"")</f>
        <v/>
      </c>
      <c r="DG234" s="149" t="str">
        <f aca="false">IF(ISBLANK($C234),"",$B234)</f>
        <v/>
      </c>
      <c r="DH234" s="149" t="str">
        <f aca="false">IF(ISBLANK($C234),"",$C234)</f>
        <v/>
      </c>
      <c r="DI234" s="149" t="str">
        <f aca="false">IF(ISBLANK($C234),"",$D234)</f>
        <v/>
      </c>
      <c r="DJ234" s="150" t="str">
        <f aca="false">$CX234</f>
        <v/>
      </c>
      <c r="DK234" s="151" t="str">
        <f aca="false">$CW234</f>
        <v/>
      </c>
      <c r="DL234" s="149" t="str">
        <f aca="false">IF(ISBLANK($C234),"",$CZ234)</f>
        <v/>
      </c>
      <c r="DM234" s="152" t="str">
        <f aca="false">IF($DD234&gt;$DC$8,"",VLOOKUP($DD234,$DF$9:$DL$508,7,FALSE()))</f>
        <v/>
      </c>
      <c r="DN234" s="153" t="str">
        <f aca="false">IF($DD234&gt;$DC$8,"",VLOOKUP($DD234,$DF$9:$DL$508,2,FALSE()))</f>
        <v/>
      </c>
      <c r="DO234" s="153" t="str">
        <f aca="false">IF($DD234&gt;$DC$8,"",VLOOKUP($DD234,$DF$9:$DL$508,3,FALSE()))</f>
        <v/>
      </c>
      <c r="DP234" s="153" t="str">
        <f aca="false">IF($DD234&gt;$DC$8,"",VLOOKUP($DD234,$DF$9:$DL$508,4,FALSE()))</f>
        <v/>
      </c>
      <c r="DQ234" s="153" t="str">
        <f aca="false">IF($DD234&gt;$DC$8,"",VLOOKUP($DD234,$DF$9:$DL$508,5,FALSE()))</f>
        <v/>
      </c>
      <c r="DR234" s="154" t="str">
        <f aca="false">IF($DD234&gt;$DC$8,"",VLOOKUP($DD234,$DF$9:$DL$508,6,FALSE()))</f>
        <v/>
      </c>
      <c r="DS234" s="76"/>
    </row>
    <row r="235" customFormat="false" ht="15.75" hidden="false" customHeight="false" outlineLevel="0" collapsed="false">
      <c r="A235" s="9"/>
      <c r="B235" s="160"/>
      <c r="C235" s="161"/>
      <c r="D235" s="162"/>
      <c r="E235" s="180"/>
      <c r="F235" s="164"/>
      <c r="G235" s="165"/>
      <c r="H235" s="165"/>
      <c r="I235" s="181"/>
      <c r="J235" s="168"/>
      <c r="K235" s="128"/>
      <c r="L235" s="129"/>
      <c r="M235" s="130"/>
      <c r="N235" s="168"/>
      <c r="O235" s="168"/>
      <c r="P235" s="180"/>
      <c r="Q235" s="168"/>
      <c r="R235" s="168"/>
      <c r="S235" s="128"/>
      <c r="T235" s="130"/>
      <c r="U235" s="130"/>
      <c r="V235" s="168"/>
      <c r="W235" s="168"/>
      <c r="X235" s="180"/>
      <c r="Y235" s="168"/>
      <c r="Z235" s="169"/>
      <c r="AA235" s="168"/>
      <c r="AB235" s="134"/>
      <c r="AC235" s="135"/>
      <c r="AD235" s="135"/>
      <c r="AE235" s="135"/>
      <c r="AF235" s="135" t="str">
        <f aca="false">IF(ISBLANK($C235),"",IF(E235=Constants!$B$2,TRUE(),IF(E235=Constants!$B$3,FALSE(),TRUE())))</f>
        <v/>
      </c>
      <c r="AG235" s="135" t="str">
        <f aca="false">IF(ISBLANK($C235),"",IF(F235=Constants!$B$2,TRUE(),IF(F235=Constants!$B$3,FALSE(),TRUE())))</f>
        <v/>
      </c>
      <c r="AH235" s="135" t="str">
        <f aca="false">IF(ISBLANK($C235),"",IF(G235=Constants!$B$2,TRUE(),IF(G235=Constants!$B$3,FALSE(),TRUE())))</f>
        <v/>
      </c>
      <c r="AI235" s="135" t="str">
        <f aca="false">IF(ISBLANK($C235),"",IF(AND(ISNUMBER(H235),H235&gt;=0),H235,Constants!$B$24))</f>
        <v/>
      </c>
      <c r="AJ235" s="135" t="str">
        <f aca="false">IF(ISBLANK($C235),"",IF(I235=Constants!$B$2,TRUE(),IF(I235=Constants!$B$3,FALSE(),TRUE())))</f>
        <v/>
      </c>
      <c r="AK235" s="135" t="str">
        <f aca="false">IF(ISBLANK($C235),"",IF(J235=Constants!$B$2,TRUE(),IF(J235=Constants!$B$3,FALSE(),TRUE())))</f>
        <v/>
      </c>
      <c r="AL235" s="135" t="str">
        <f aca="false">IF(ISBLANK($C235),"",IF(K235=Constants!$B$4,TRUE(),IF(K235=Constants!$B$5,FALSE(),COUNTA(L235:P235)&gt;0)))</f>
        <v/>
      </c>
      <c r="AM235" s="136" t="str">
        <f aca="false">IF(ISBLANK($C235),"",IF(ISNUMBER(L235),IF(L235&gt;=0,L235,""),""))</f>
        <v/>
      </c>
      <c r="AN235" s="137" t="str">
        <f aca="false">IF(ISBLANK($C235),"",IF(ISNUMBER(M235),IF(M235&gt;=0,M235,""),""))</f>
        <v/>
      </c>
      <c r="AO235" s="137" t="str">
        <f aca="false">IF(ISBLANK($C235),"",IF(N235=Constants!$B$2,TRUE(),IF(N235=Constants!$B$3,FALSE(),TRUE())))</f>
        <v/>
      </c>
      <c r="AP235" s="135" t="str">
        <f aca="false">IF(ISBLANK($C235),"",IF(ISNUMBER(O235),IF(O235&gt;=0,O235,""),""))</f>
        <v/>
      </c>
      <c r="AQ235" s="135" t="str">
        <f aca="false">IF(ISBLANK($C235),"",IF(P235=Constants!$B$2,TRUE(),IF(P235=Constants!$B$3,FALSE(),FALSE())))</f>
        <v/>
      </c>
      <c r="AR235" s="135" t="str">
        <f aca="false">IF(ISBLANK($C235),"",IF(Q235=Constants!$B$2,TRUE(),IF(Q235=Constants!$B$3,FALSE(),TRUE())))</f>
        <v/>
      </c>
      <c r="AS235" s="135" t="str">
        <f aca="false">IF(ISBLANK($C235),"",IF(R235=Constants!$B$2,TRUE(),IF(R235=Constants!$B$3,FALSE(),TRUE())))</f>
        <v/>
      </c>
      <c r="AT235" s="135" t="str">
        <f aca="false">IF(ISBLANK($C235),"",IF(S235=Constants!$B$4,TRUE(),IF(S235=Constants!$B$5,FALSE(),COUNTA(T235:X235)&gt;0)))</f>
        <v/>
      </c>
      <c r="AU235" s="136" t="str">
        <f aca="false">IF(ISBLANK($C235),"",IF(ISNUMBER(T235),IF(T235&gt;=0,T235,""),""))</f>
        <v/>
      </c>
      <c r="AV235" s="137" t="str">
        <f aca="false">IF(ISBLANK($C235),"",IF(ISNUMBER(U235),IF(U235&gt;=0,U235,""),""))</f>
        <v/>
      </c>
      <c r="AW235" s="137" t="str">
        <f aca="false">IF(ISBLANK($C235),"",IF(V235=Constants!$B$2,TRUE(),IF(V235=Constants!$B$3,FALSE(),TRUE())))</f>
        <v/>
      </c>
      <c r="AX235" s="135" t="str">
        <f aca="false">IF(ISBLANK($C235),"",IF(ISNUMBER(W235),IF(W235&gt;=0,W235,""),""))</f>
        <v/>
      </c>
      <c r="AY235" s="135" t="str">
        <f aca="false">IF(ISBLANK($C235),"",IF(X235=Constants!$B$2,TRUE(),IF(X235=Constants!$B$3,FALSE(),FALSE())))</f>
        <v/>
      </c>
      <c r="AZ235" s="135" t="str">
        <f aca="false">IF(ISBLANK($C235),"",MIN(Constants!$B$25,MAX(0,IF(ISNUMBER(Y235),Y235*60,0)+IF(ISNUMBER(Z235),Z235,0))))</f>
        <v/>
      </c>
      <c r="BA235" s="135" t="str">
        <f aca="false">IF(ISBLANK($C235),"",IF(AA235=Constants!$B$2,TRUE(),IF(AA235=Constants!$B$3,FALSE(),FALSE())))</f>
        <v/>
      </c>
      <c r="BB235" s="134" t="str">
        <f aca="false">IF(ISBLANK($C235),"",AND($AL235,OR($AM235="",$AN235="",AND($AO235,$AP235=""))))</f>
        <v/>
      </c>
      <c r="BC235" s="137" t="str">
        <f aca="false">IF($BX235&lt;&gt;Constants!$B$6,"",IF($AL235,Constants!$B$17*$AN235+Constants!$B$18*IF($AO235,$AP235,Constants!$B$19),Constants!$B$20))</f>
        <v/>
      </c>
      <c r="BD235" s="138" t="str">
        <f aca="false">IF($BX235&lt;&gt;Constants!$B$6,"",Constants!$B$21*ABS($AD$9-IF($AL235,$AM235,0)))</f>
        <v/>
      </c>
      <c r="BE235" s="138" t="str">
        <f aca="false">IF($BX235&lt;&gt;Constants!$B$6,"",IF(AND($AL235,$AQ235,$AO235),Constants!$B$22,0))</f>
        <v/>
      </c>
      <c r="BF235" s="138" t="str">
        <f aca="false">IF($BX235&lt;&gt;Constants!$B$6,"",IF($AL235,($AI235-Constants!$B$24)*Constants!$B$23,0))</f>
        <v/>
      </c>
      <c r="BG235" s="138" t="str">
        <f aca="false">IF($BX235&lt;&gt;Constants!$B$6,"",IF($AK235,0,Constants!$B$12)+IF($AJ235,0,Constants!$B$13)+IF($AH235,0,Constants!$B$14))</f>
        <v/>
      </c>
      <c r="BH235" s="139" t="str">
        <f aca="false">IF($BX235&lt;&gt;Constants!$B$6,"",Constants!$B$16+SUM($BC235:$BG235))</f>
        <v/>
      </c>
      <c r="BI235" s="138" t="str">
        <f aca="false">IF($BX235&lt;&gt;Constants!$B$6,"",$BC235)</f>
        <v/>
      </c>
      <c r="BJ235" s="138" t="str">
        <f aca="false">IF($BX235&lt;&gt;Constants!$B$6,"",$BD235)</f>
        <v/>
      </c>
      <c r="BK235" s="140" t="str">
        <f aca="false">IF($BX235&lt;&gt;Constants!$B$6,"",IF($AL235,$AN235,""))</f>
        <v/>
      </c>
      <c r="BL235" s="135" t="str">
        <f aca="false">IF($BX235&lt;&gt;Constants!$B$6,"",IF(OR($BS235&lt;$BH235,AND($BS235=$BH235,OR($BT235&lt;$BI235,AND($BT235=$BI235,OR($BU235&lt;$BJ235,AND($BU235=$BJ235,AND(ISNUMBER($BV235),OR(NOT(ISNUMBER($BK235)),$BV235&lt;$BK235)))))))),"-&gt;","&lt;-"))</f>
        <v/>
      </c>
      <c r="BM235" s="134" t="str">
        <f aca="false">IF(ISBLANK($C235),"",AND($AT235,OR($AU235="",$AV235="",AND($AW235,$AX235=""))))</f>
        <v/>
      </c>
      <c r="BN235" s="137" t="str">
        <f aca="false">IF($BX235&lt;&gt;Constants!$B$6,"",IF($AT235,Constants!$B$17*$AV235+Constants!$B$18*IF($AW235,$AX235,Constants!$B$19),Constants!$B$20))</f>
        <v/>
      </c>
      <c r="BO235" s="138" t="str">
        <f aca="false">IF($BX235&lt;&gt;Constants!$B$6,"",Constants!$B$21*ABS($AD$9-IF($AT235,$AU235,0)))</f>
        <v/>
      </c>
      <c r="BP235" s="138" t="str">
        <f aca="false">IF($BX235&lt;&gt;Constants!$B$6,"",IF(AND($AT235,$AY235,$AW235),Constants!$B$22,0))</f>
        <v/>
      </c>
      <c r="BQ235" s="138" t="str">
        <f aca="false">IF($BX235&lt;&gt;Constants!$B$6,"",IF($AT235,($AI235-Constants!$B$24)*Constants!$B$23,0))</f>
        <v/>
      </c>
      <c r="BR235" s="138" t="str">
        <f aca="false">IF($BX235&lt;&gt;Constants!$B$6,"",IF($AS235,0,Constants!$B$12)+IF($AR235,0,Constants!$B$13)+IF($AH235,0,Constants!$B$14))</f>
        <v/>
      </c>
      <c r="BS235" s="139" t="str">
        <f aca="false">IF($BX235&lt;&gt;Constants!$B$6,"",Constants!$B$16+SUM($BN235:$BR235))</f>
        <v/>
      </c>
      <c r="BT235" s="138" t="str">
        <f aca="false">IF($BX235&lt;&gt;Constants!$B$6,"",$BN235)</f>
        <v/>
      </c>
      <c r="BU235" s="138" t="str">
        <f aca="false">IF($BX235&lt;&gt;Constants!$B$6,"",$BO235)</f>
        <v/>
      </c>
      <c r="BV235" s="140" t="str">
        <f aca="false">IF($BX235&lt;&gt;Constants!$B$6,"",IF($AT235,$AV235,""))</f>
        <v/>
      </c>
      <c r="BW235" s="135" t="str">
        <f aca="false">IF(ISBLANK($C235),"",IF(ISBLANK($D$7),$BW$5,IF(NOT(ISNUMBER($D$7)),$BW$6,"")))</f>
        <v/>
      </c>
      <c r="BX235" s="135" t="str">
        <f aca="false">IF(ISBLANK($C235),"",IF($BA235,Constants!$B$9,IF(COUNTA($E235:$AA235)=0,Constants!$B$8,IF(NOT($AG235),Constants!$B$7,IF(OR($BW235&lt;&gt;"",$BB235,$BM235),Constants!$B$10,Constants!$B$6)))))</f>
        <v/>
      </c>
      <c r="BY235" s="135" t="str">
        <f aca="false">IF(ISBLANK($C235),"",IF($BX235&lt;&gt;Constants!$B$6,$BX235,Constants!$B$11))</f>
        <v/>
      </c>
      <c r="BZ235" s="138" t="str">
        <f aca="false">IF($BX235&lt;&gt;Constants!$B$6,"",IF($BL235="-&gt;",$BS235,$BH235))</f>
        <v/>
      </c>
      <c r="CA235" s="138" t="str">
        <f aca="false">IF($BX235&lt;&gt;Constants!$B$6,"",IF($AF235,0,Constants!$B$15))</f>
        <v/>
      </c>
      <c r="CB235" s="138" t="str">
        <f aca="false">IF($BX235&lt;&gt;Constants!$B$6,"",((Constants!$B$25-$AZ235)-Constants!$B$25)/Constants!$B$26)</f>
        <v/>
      </c>
      <c r="CC235" s="138" t="str">
        <f aca="false">IF(ISBLANK($C235),"",IF($BX235&lt;&gt;Constants!$B$6,$BX235,SUM($BZ235:$CB235)))</f>
        <v/>
      </c>
      <c r="CD235" s="135" t="str">
        <f aca="false">IF(ISBLANK($C235),"",IF($BX235&lt;&gt;Constants!$B$6,$BX235,RANK($CC235,$CC$9:$CC$508,1)))</f>
        <v/>
      </c>
      <c r="CE235" s="138" t="str">
        <f aca="false">IF($BX235&lt;&gt;Constants!$B$6,"",IF($BL235="-&gt;",$BT235,$BI235))</f>
        <v/>
      </c>
      <c r="CF235" s="135" t="str">
        <f aca="false">IF(ISBLANK($C235),"",IF($BX235&lt;&gt;Constants!$B$6,$BX235,IF(ISNUMBER($CE235),RANK($CE235,$CE$9:$CE$508,1),COUNT($CE$9:$CE$508)+1)))</f>
        <v/>
      </c>
      <c r="CG235" s="138" t="str">
        <f aca="false">IF($BX235&lt;&gt;Constants!$B$6,"",IF($BL235="-&gt;",$BU235,$BJ235))</f>
        <v/>
      </c>
      <c r="CH235" s="135" t="str">
        <f aca="false">IF(ISBLANK($C235),"",IF($BX235&lt;&gt;Constants!$B$6,$BX235,IF(ISNUMBER($CG235),RANK($CG235,$CG$9:$CG$508,1),COUNT($CG$9:$CG$508)+1)))</f>
        <v/>
      </c>
      <c r="CI235" s="138" t="str">
        <f aca="false">IF($BX235&lt;&gt;Constants!$B$6,"",IF($BL235="-&gt;",$BV235,$BK235))</f>
        <v/>
      </c>
      <c r="CJ235" s="135" t="str">
        <f aca="false">IF(ISBLANK($C235),"",IF($BX235&lt;&gt;Constants!$B$6,$BX235,IF(ISNUMBER($CI235),RANK($CI235,$CI$9:$CI$508,1),COUNT($CI$9:$CI$508)+1)))</f>
        <v/>
      </c>
      <c r="CK235" s="138" t="str">
        <f aca="false">IF($BX235&lt;&gt;Constants!$B$6,"",$AI235)</f>
        <v/>
      </c>
      <c r="CL235" s="135" t="str">
        <f aca="false">IF(ISBLANK($C235),"",IF($BX235&lt;&gt;Constants!$B$6,$BX235,IF(ISNUMBER($CK235),RANK($CK235,$CK$9:$CK$508,1),COUNT($CK$9:$CK$508)+1)))</f>
        <v/>
      </c>
      <c r="CM235" s="135" t="str">
        <f aca="false">IF(ISBLANK($C235),"",IF($BX235&lt;&gt;Constants!$B$6,$BX235,COUNTIFS($CD$9:$CD$508,"&lt;"&amp;$CD235)+COUNTIFS($CD$9:$CD$508,$CD235,$CF$9:$CF$508,"&lt;"&amp;$CF235)+COUNTIFS($CD$9:$CD$508,$CD235,$CF$9:$CF$508,$CF235,$CH$9:$CH$508,"&lt;"&amp;$CH235)+COUNTIFS($CD$9:$CD$508,$CD235,$CF$9:$CF$508,$CF235,$CH$9:$CH$508,$CH235,$CJ$9:$CJ$508,"&lt;"&amp;$CJ235)+COUNTIFS($CD$9:$CD$508,$CD235,$CF$9:$CF$508,$CF235,$CH$9:$CH$508,$CH235,$CJ$9:$CJ$508,$CJ235,$CL$9:$CL$508,"&lt;"&amp;$CL235)+1))</f>
        <v/>
      </c>
      <c r="CN235" s="135" t="str">
        <f aca="false">IF(ISBLANK($C235),"",IF($BX235&lt;&gt;Constants!$B$6,$BX235,$CD235-$CM235))</f>
        <v/>
      </c>
      <c r="CO235" s="141"/>
      <c r="CP235" s="142"/>
      <c r="CQ235" s="143" t="str">
        <f aca="false">IF(ISBLANK($C235),"",IF($BX235=Constants!$B$10,$BW235,""))</f>
        <v/>
      </c>
      <c r="CR235" s="142" t="str">
        <f aca="false">IF(ISBLANK($C235),"",IF($BX235&lt;&gt;Constants!$B$6,"",IF($BL235="-&gt;",2,1)))</f>
        <v/>
      </c>
      <c r="CS235" s="144" t="str">
        <f aca="false">IF(ISBLANK($C235),"",IF($BX235&lt;&gt;Constants!$B$6,"",IF($BL235="-&gt;",$BN235,$BC235)))</f>
        <v/>
      </c>
      <c r="CT235" s="144" t="str">
        <f aca="false">IF(ISBLANK($C235),"",IF($BX235&lt;&gt;Constants!$B$6,"",IF($BL235="-&gt;",$BO235,$BD235)))</f>
        <v/>
      </c>
      <c r="CU235" s="144" t="str">
        <f aca="false">IF(ISBLANK($C235),"",IF($BX235&lt;&gt;Constants!$B$6,"",IF($BL235="-&gt;",$BP235+$BQ235,$BE235+$BF235)+$CB235))</f>
        <v/>
      </c>
      <c r="CV235" s="144" t="str">
        <f aca="false">IF(ISBLANK($C235),"",IF($BX235&lt;&gt;Constants!$B$6,"",IF($BL235="-&gt;",$BR235,$BG235)+$CA235))</f>
        <v/>
      </c>
      <c r="CW235" s="145" t="str">
        <f aca="false">IF(ISBLANK($C235),"",IF($BX235&lt;&gt;Constants!$B$6,$BX235,$CC235))</f>
        <v/>
      </c>
      <c r="CX235" s="146" t="str">
        <f aca="false">IF(ISBLANK($C235),"",$BY235)</f>
        <v/>
      </c>
      <c r="CY235" s="147" t="str">
        <f aca="false">IF(ISBLANK($C235),"",$CN235)</f>
        <v/>
      </c>
      <c r="CZ235" s="147" t="str">
        <f aca="false">IF(ISBLANK($C235),"",$CM235)</f>
        <v/>
      </c>
      <c r="DA235" s="148" t="str">
        <f aca="false">IF(ISBLANK($C235),"",IFERROR(_xlfn.SWITCH($CZ235,Constants!$B$9,COUNTA($C$9:$C$508)+2,Constants!$B$8,COUNTA($C$9:$C$508)+1,Constants!$B$7,COUNTA($C$9:$C$508)),$CZ235))</f>
        <v/>
      </c>
      <c r="DB235" s="9"/>
      <c r="DC235" s="149" t="n">
        <f aca="false">IF(OR(ISNUMBER($CZ235),$CZ235=Constants!$B$9,$CZ235=Constants!$B$7,$CZ235=Constants!$B$8),1,0)</f>
        <v>0</v>
      </c>
      <c r="DD235" s="149" t="n">
        <v>227</v>
      </c>
      <c r="DE235" s="149" t="str">
        <f aca="false">IF(ISBLANK($C235),"",IF(ISNUMBER($DA235),$DA235+ROW($B235)/1000,""))</f>
        <v/>
      </c>
      <c r="DF235" s="149" t="str">
        <f aca="false">IF(ISNUMBER($DE235),RANK($DE235,$DE$9:$DE$508,1),"")</f>
        <v/>
      </c>
      <c r="DG235" s="149" t="str">
        <f aca="false">IF(ISBLANK($C235),"",$B235)</f>
        <v/>
      </c>
      <c r="DH235" s="149" t="str">
        <f aca="false">IF(ISBLANK($C235),"",$C235)</f>
        <v/>
      </c>
      <c r="DI235" s="149" t="str">
        <f aca="false">IF(ISBLANK($C235),"",$D235)</f>
        <v/>
      </c>
      <c r="DJ235" s="150" t="str">
        <f aca="false">$CX235</f>
        <v/>
      </c>
      <c r="DK235" s="151" t="str">
        <f aca="false">$CW235</f>
        <v/>
      </c>
      <c r="DL235" s="149" t="str">
        <f aca="false">IF(ISBLANK($C235),"",$CZ235)</f>
        <v/>
      </c>
      <c r="DM235" s="152" t="str">
        <f aca="false">IF($DD235&gt;$DC$8,"",VLOOKUP($DD235,$DF$9:$DL$508,7,FALSE()))</f>
        <v/>
      </c>
      <c r="DN235" s="153" t="str">
        <f aca="false">IF($DD235&gt;$DC$8,"",VLOOKUP($DD235,$DF$9:$DL$508,2,FALSE()))</f>
        <v/>
      </c>
      <c r="DO235" s="153" t="str">
        <f aca="false">IF($DD235&gt;$DC$8,"",VLOOKUP($DD235,$DF$9:$DL$508,3,FALSE()))</f>
        <v/>
      </c>
      <c r="DP235" s="153" t="str">
        <f aca="false">IF($DD235&gt;$DC$8,"",VLOOKUP($DD235,$DF$9:$DL$508,4,FALSE()))</f>
        <v/>
      </c>
      <c r="DQ235" s="153" t="str">
        <f aca="false">IF($DD235&gt;$DC$8,"",VLOOKUP($DD235,$DF$9:$DL$508,5,FALSE()))</f>
        <v/>
      </c>
      <c r="DR235" s="154" t="str">
        <f aca="false">IF($DD235&gt;$DC$8,"",VLOOKUP($DD235,$DF$9:$DL$508,6,FALSE()))</f>
        <v/>
      </c>
      <c r="DS235" s="76"/>
    </row>
    <row r="236" customFormat="false" ht="15.75" hidden="false" customHeight="false" outlineLevel="0" collapsed="false">
      <c r="A236" s="9"/>
      <c r="B236" s="160"/>
      <c r="C236" s="161"/>
      <c r="D236" s="162"/>
      <c r="E236" s="180"/>
      <c r="F236" s="164"/>
      <c r="G236" s="165"/>
      <c r="H236" s="165"/>
      <c r="I236" s="181"/>
      <c r="J236" s="168"/>
      <c r="K236" s="128"/>
      <c r="L236" s="129"/>
      <c r="M236" s="130"/>
      <c r="N236" s="168"/>
      <c r="O236" s="168"/>
      <c r="P236" s="180"/>
      <c r="Q236" s="168"/>
      <c r="R236" s="168"/>
      <c r="S236" s="128"/>
      <c r="T236" s="130"/>
      <c r="U236" s="130"/>
      <c r="V236" s="168"/>
      <c r="W236" s="168"/>
      <c r="X236" s="180"/>
      <c r="Y236" s="168"/>
      <c r="Z236" s="169"/>
      <c r="AA236" s="168"/>
      <c r="AB236" s="134"/>
      <c r="AC236" s="135"/>
      <c r="AD236" s="135"/>
      <c r="AE236" s="135"/>
      <c r="AF236" s="135" t="str">
        <f aca="false">IF(ISBLANK($C236),"",IF(E236=Constants!$B$2,TRUE(),IF(E236=Constants!$B$3,FALSE(),TRUE())))</f>
        <v/>
      </c>
      <c r="AG236" s="135" t="str">
        <f aca="false">IF(ISBLANK($C236),"",IF(F236=Constants!$B$2,TRUE(),IF(F236=Constants!$B$3,FALSE(),TRUE())))</f>
        <v/>
      </c>
      <c r="AH236" s="135" t="str">
        <f aca="false">IF(ISBLANK($C236),"",IF(G236=Constants!$B$2,TRUE(),IF(G236=Constants!$B$3,FALSE(),TRUE())))</f>
        <v/>
      </c>
      <c r="AI236" s="135" t="str">
        <f aca="false">IF(ISBLANK($C236),"",IF(AND(ISNUMBER(H236),H236&gt;=0),H236,Constants!$B$24))</f>
        <v/>
      </c>
      <c r="AJ236" s="135" t="str">
        <f aca="false">IF(ISBLANK($C236),"",IF(I236=Constants!$B$2,TRUE(),IF(I236=Constants!$B$3,FALSE(),TRUE())))</f>
        <v/>
      </c>
      <c r="AK236" s="135" t="str">
        <f aca="false">IF(ISBLANK($C236),"",IF(J236=Constants!$B$2,TRUE(),IF(J236=Constants!$B$3,FALSE(),TRUE())))</f>
        <v/>
      </c>
      <c r="AL236" s="135" t="str">
        <f aca="false">IF(ISBLANK($C236),"",IF(K236=Constants!$B$4,TRUE(),IF(K236=Constants!$B$5,FALSE(),COUNTA(L236:P236)&gt;0)))</f>
        <v/>
      </c>
      <c r="AM236" s="136" t="str">
        <f aca="false">IF(ISBLANK($C236),"",IF(ISNUMBER(L236),IF(L236&gt;=0,L236,""),""))</f>
        <v/>
      </c>
      <c r="AN236" s="137" t="str">
        <f aca="false">IF(ISBLANK($C236),"",IF(ISNUMBER(M236),IF(M236&gt;=0,M236,""),""))</f>
        <v/>
      </c>
      <c r="AO236" s="137" t="str">
        <f aca="false">IF(ISBLANK($C236),"",IF(N236=Constants!$B$2,TRUE(),IF(N236=Constants!$B$3,FALSE(),TRUE())))</f>
        <v/>
      </c>
      <c r="AP236" s="135" t="str">
        <f aca="false">IF(ISBLANK($C236),"",IF(ISNUMBER(O236),IF(O236&gt;=0,O236,""),""))</f>
        <v/>
      </c>
      <c r="AQ236" s="135" t="str">
        <f aca="false">IF(ISBLANK($C236),"",IF(P236=Constants!$B$2,TRUE(),IF(P236=Constants!$B$3,FALSE(),FALSE())))</f>
        <v/>
      </c>
      <c r="AR236" s="135" t="str">
        <f aca="false">IF(ISBLANK($C236),"",IF(Q236=Constants!$B$2,TRUE(),IF(Q236=Constants!$B$3,FALSE(),TRUE())))</f>
        <v/>
      </c>
      <c r="AS236" s="135" t="str">
        <f aca="false">IF(ISBLANK($C236),"",IF(R236=Constants!$B$2,TRUE(),IF(R236=Constants!$B$3,FALSE(),TRUE())))</f>
        <v/>
      </c>
      <c r="AT236" s="135" t="str">
        <f aca="false">IF(ISBLANK($C236),"",IF(S236=Constants!$B$4,TRUE(),IF(S236=Constants!$B$5,FALSE(),COUNTA(T236:X236)&gt;0)))</f>
        <v/>
      </c>
      <c r="AU236" s="136" t="str">
        <f aca="false">IF(ISBLANK($C236),"",IF(ISNUMBER(T236),IF(T236&gt;=0,T236,""),""))</f>
        <v/>
      </c>
      <c r="AV236" s="137" t="str">
        <f aca="false">IF(ISBLANK($C236),"",IF(ISNUMBER(U236),IF(U236&gt;=0,U236,""),""))</f>
        <v/>
      </c>
      <c r="AW236" s="137" t="str">
        <f aca="false">IF(ISBLANK($C236),"",IF(V236=Constants!$B$2,TRUE(),IF(V236=Constants!$B$3,FALSE(),TRUE())))</f>
        <v/>
      </c>
      <c r="AX236" s="135" t="str">
        <f aca="false">IF(ISBLANK($C236),"",IF(ISNUMBER(W236),IF(W236&gt;=0,W236,""),""))</f>
        <v/>
      </c>
      <c r="AY236" s="135" t="str">
        <f aca="false">IF(ISBLANK($C236),"",IF(X236=Constants!$B$2,TRUE(),IF(X236=Constants!$B$3,FALSE(),FALSE())))</f>
        <v/>
      </c>
      <c r="AZ236" s="135" t="str">
        <f aca="false">IF(ISBLANK($C236),"",MIN(Constants!$B$25,MAX(0,IF(ISNUMBER(Y236),Y236*60,0)+IF(ISNUMBER(Z236),Z236,0))))</f>
        <v/>
      </c>
      <c r="BA236" s="135" t="str">
        <f aca="false">IF(ISBLANK($C236),"",IF(AA236=Constants!$B$2,TRUE(),IF(AA236=Constants!$B$3,FALSE(),FALSE())))</f>
        <v/>
      </c>
      <c r="BB236" s="134" t="str">
        <f aca="false">IF(ISBLANK($C236),"",AND($AL236,OR($AM236="",$AN236="",AND($AO236,$AP236=""))))</f>
        <v/>
      </c>
      <c r="BC236" s="137" t="str">
        <f aca="false">IF($BX236&lt;&gt;Constants!$B$6,"",IF($AL236,Constants!$B$17*$AN236+Constants!$B$18*IF($AO236,$AP236,Constants!$B$19),Constants!$B$20))</f>
        <v/>
      </c>
      <c r="BD236" s="138" t="str">
        <f aca="false">IF($BX236&lt;&gt;Constants!$B$6,"",Constants!$B$21*ABS($AD$9-IF($AL236,$AM236,0)))</f>
        <v/>
      </c>
      <c r="BE236" s="138" t="str">
        <f aca="false">IF($BX236&lt;&gt;Constants!$B$6,"",IF(AND($AL236,$AQ236,$AO236),Constants!$B$22,0))</f>
        <v/>
      </c>
      <c r="BF236" s="138" t="str">
        <f aca="false">IF($BX236&lt;&gt;Constants!$B$6,"",IF($AL236,($AI236-Constants!$B$24)*Constants!$B$23,0))</f>
        <v/>
      </c>
      <c r="BG236" s="138" t="str">
        <f aca="false">IF($BX236&lt;&gt;Constants!$B$6,"",IF($AK236,0,Constants!$B$12)+IF($AJ236,0,Constants!$B$13)+IF($AH236,0,Constants!$B$14))</f>
        <v/>
      </c>
      <c r="BH236" s="139" t="str">
        <f aca="false">IF($BX236&lt;&gt;Constants!$B$6,"",Constants!$B$16+SUM($BC236:$BG236))</f>
        <v/>
      </c>
      <c r="BI236" s="138" t="str">
        <f aca="false">IF($BX236&lt;&gt;Constants!$B$6,"",$BC236)</f>
        <v/>
      </c>
      <c r="BJ236" s="138" t="str">
        <f aca="false">IF($BX236&lt;&gt;Constants!$B$6,"",$BD236)</f>
        <v/>
      </c>
      <c r="BK236" s="140" t="str">
        <f aca="false">IF($BX236&lt;&gt;Constants!$B$6,"",IF($AL236,$AN236,""))</f>
        <v/>
      </c>
      <c r="BL236" s="135" t="str">
        <f aca="false">IF($BX236&lt;&gt;Constants!$B$6,"",IF(OR($BS236&lt;$BH236,AND($BS236=$BH236,OR($BT236&lt;$BI236,AND($BT236=$BI236,OR($BU236&lt;$BJ236,AND($BU236=$BJ236,AND(ISNUMBER($BV236),OR(NOT(ISNUMBER($BK236)),$BV236&lt;$BK236)))))))),"-&gt;","&lt;-"))</f>
        <v/>
      </c>
      <c r="BM236" s="134" t="str">
        <f aca="false">IF(ISBLANK($C236),"",AND($AT236,OR($AU236="",$AV236="",AND($AW236,$AX236=""))))</f>
        <v/>
      </c>
      <c r="BN236" s="137" t="str">
        <f aca="false">IF($BX236&lt;&gt;Constants!$B$6,"",IF($AT236,Constants!$B$17*$AV236+Constants!$B$18*IF($AW236,$AX236,Constants!$B$19),Constants!$B$20))</f>
        <v/>
      </c>
      <c r="BO236" s="138" t="str">
        <f aca="false">IF($BX236&lt;&gt;Constants!$B$6,"",Constants!$B$21*ABS($AD$9-IF($AT236,$AU236,0)))</f>
        <v/>
      </c>
      <c r="BP236" s="138" t="str">
        <f aca="false">IF($BX236&lt;&gt;Constants!$B$6,"",IF(AND($AT236,$AY236,$AW236),Constants!$B$22,0))</f>
        <v/>
      </c>
      <c r="BQ236" s="138" t="str">
        <f aca="false">IF($BX236&lt;&gt;Constants!$B$6,"",IF($AT236,($AI236-Constants!$B$24)*Constants!$B$23,0))</f>
        <v/>
      </c>
      <c r="BR236" s="138" t="str">
        <f aca="false">IF($BX236&lt;&gt;Constants!$B$6,"",IF($AS236,0,Constants!$B$12)+IF($AR236,0,Constants!$B$13)+IF($AH236,0,Constants!$B$14))</f>
        <v/>
      </c>
      <c r="BS236" s="139" t="str">
        <f aca="false">IF($BX236&lt;&gt;Constants!$B$6,"",Constants!$B$16+SUM($BN236:$BR236))</f>
        <v/>
      </c>
      <c r="BT236" s="138" t="str">
        <f aca="false">IF($BX236&lt;&gt;Constants!$B$6,"",$BN236)</f>
        <v/>
      </c>
      <c r="BU236" s="138" t="str">
        <f aca="false">IF($BX236&lt;&gt;Constants!$B$6,"",$BO236)</f>
        <v/>
      </c>
      <c r="BV236" s="140" t="str">
        <f aca="false">IF($BX236&lt;&gt;Constants!$B$6,"",IF($AT236,$AV236,""))</f>
        <v/>
      </c>
      <c r="BW236" s="135" t="str">
        <f aca="false">IF(ISBLANK($C236),"",IF(ISBLANK($D$7),$BW$5,IF(NOT(ISNUMBER($D$7)),$BW$6,"")))</f>
        <v/>
      </c>
      <c r="BX236" s="135" t="str">
        <f aca="false">IF(ISBLANK($C236),"",IF($BA236,Constants!$B$9,IF(COUNTA($E236:$AA236)=0,Constants!$B$8,IF(NOT($AG236),Constants!$B$7,IF(OR($BW236&lt;&gt;"",$BB236,$BM236),Constants!$B$10,Constants!$B$6)))))</f>
        <v/>
      </c>
      <c r="BY236" s="135" t="str">
        <f aca="false">IF(ISBLANK($C236),"",IF($BX236&lt;&gt;Constants!$B$6,$BX236,Constants!$B$11))</f>
        <v/>
      </c>
      <c r="BZ236" s="138" t="str">
        <f aca="false">IF($BX236&lt;&gt;Constants!$B$6,"",IF($BL236="-&gt;",$BS236,$BH236))</f>
        <v/>
      </c>
      <c r="CA236" s="138" t="str">
        <f aca="false">IF($BX236&lt;&gt;Constants!$B$6,"",IF($AF236,0,Constants!$B$15))</f>
        <v/>
      </c>
      <c r="CB236" s="138" t="str">
        <f aca="false">IF($BX236&lt;&gt;Constants!$B$6,"",((Constants!$B$25-$AZ236)-Constants!$B$25)/Constants!$B$26)</f>
        <v/>
      </c>
      <c r="CC236" s="138" t="str">
        <f aca="false">IF(ISBLANK($C236),"",IF($BX236&lt;&gt;Constants!$B$6,$BX236,SUM($BZ236:$CB236)))</f>
        <v/>
      </c>
      <c r="CD236" s="135" t="str">
        <f aca="false">IF(ISBLANK($C236),"",IF($BX236&lt;&gt;Constants!$B$6,$BX236,RANK($CC236,$CC$9:$CC$508,1)))</f>
        <v/>
      </c>
      <c r="CE236" s="138" t="str">
        <f aca="false">IF($BX236&lt;&gt;Constants!$B$6,"",IF($BL236="-&gt;",$BT236,$BI236))</f>
        <v/>
      </c>
      <c r="CF236" s="135" t="str">
        <f aca="false">IF(ISBLANK($C236),"",IF($BX236&lt;&gt;Constants!$B$6,$BX236,IF(ISNUMBER($CE236),RANK($CE236,$CE$9:$CE$508,1),COUNT($CE$9:$CE$508)+1)))</f>
        <v/>
      </c>
      <c r="CG236" s="138" t="str">
        <f aca="false">IF($BX236&lt;&gt;Constants!$B$6,"",IF($BL236="-&gt;",$BU236,$BJ236))</f>
        <v/>
      </c>
      <c r="CH236" s="135" t="str">
        <f aca="false">IF(ISBLANK($C236),"",IF($BX236&lt;&gt;Constants!$B$6,$BX236,IF(ISNUMBER($CG236),RANK($CG236,$CG$9:$CG$508,1),COUNT($CG$9:$CG$508)+1)))</f>
        <v/>
      </c>
      <c r="CI236" s="138" t="str">
        <f aca="false">IF($BX236&lt;&gt;Constants!$B$6,"",IF($BL236="-&gt;",$BV236,$BK236))</f>
        <v/>
      </c>
      <c r="CJ236" s="135" t="str">
        <f aca="false">IF(ISBLANK($C236),"",IF($BX236&lt;&gt;Constants!$B$6,$BX236,IF(ISNUMBER($CI236),RANK($CI236,$CI$9:$CI$508,1),COUNT($CI$9:$CI$508)+1)))</f>
        <v/>
      </c>
      <c r="CK236" s="138" t="str">
        <f aca="false">IF($BX236&lt;&gt;Constants!$B$6,"",$AI236)</f>
        <v/>
      </c>
      <c r="CL236" s="135" t="str">
        <f aca="false">IF(ISBLANK($C236),"",IF($BX236&lt;&gt;Constants!$B$6,$BX236,IF(ISNUMBER($CK236),RANK($CK236,$CK$9:$CK$508,1),COUNT($CK$9:$CK$508)+1)))</f>
        <v/>
      </c>
      <c r="CM236" s="135" t="str">
        <f aca="false">IF(ISBLANK($C236),"",IF($BX236&lt;&gt;Constants!$B$6,$BX236,COUNTIFS($CD$9:$CD$508,"&lt;"&amp;$CD236)+COUNTIFS($CD$9:$CD$508,$CD236,$CF$9:$CF$508,"&lt;"&amp;$CF236)+COUNTIFS($CD$9:$CD$508,$CD236,$CF$9:$CF$508,$CF236,$CH$9:$CH$508,"&lt;"&amp;$CH236)+COUNTIFS($CD$9:$CD$508,$CD236,$CF$9:$CF$508,$CF236,$CH$9:$CH$508,$CH236,$CJ$9:$CJ$508,"&lt;"&amp;$CJ236)+COUNTIFS($CD$9:$CD$508,$CD236,$CF$9:$CF$508,$CF236,$CH$9:$CH$508,$CH236,$CJ$9:$CJ$508,$CJ236,$CL$9:$CL$508,"&lt;"&amp;$CL236)+1))</f>
        <v/>
      </c>
      <c r="CN236" s="135" t="str">
        <f aca="false">IF(ISBLANK($C236),"",IF($BX236&lt;&gt;Constants!$B$6,$BX236,$CD236-$CM236))</f>
        <v/>
      </c>
      <c r="CO236" s="141"/>
      <c r="CP236" s="142"/>
      <c r="CQ236" s="143" t="str">
        <f aca="false">IF(ISBLANK($C236),"",IF($BX236=Constants!$B$10,$BW236,""))</f>
        <v/>
      </c>
      <c r="CR236" s="142" t="str">
        <f aca="false">IF(ISBLANK($C236),"",IF($BX236&lt;&gt;Constants!$B$6,"",IF($BL236="-&gt;",2,1)))</f>
        <v/>
      </c>
      <c r="CS236" s="144" t="str">
        <f aca="false">IF(ISBLANK($C236),"",IF($BX236&lt;&gt;Constants!$B$6,"",IF($BL236="-&gt;",$BN236,$BC236)))</f>
        <v/>
      </c>
      <c r="CT236" s="144" t="str">
        <f aca="false">IF(ISBLANK($C236),"",IF($BX236&lt;&gt;Constants!$B$6,"",IF($BL236="-&gt;",$BO236,$BD236)))</f>
        <v/>
      </c>
      <c r="CU236" s="144" t="str">
        <f aca="false">IF(ISBLANK($C236),"",IF($BX236&lt;&gt;Constants!$B$6,"",IF($BL236="-&gt;",$BP236+$BQ236,$BE236+$BF236)+$CB236))</f>
        <v/>
      </c>
      <c r="CV236" s="144" t="str">
        <f aca="false">IF(ISBLANK($C236),"",IF($BX236&lt;&gt;Constants!$B$6,"",IF($BL236="-&gt;",$BR236,$BG236)+$CA236))</f>
        <v/>
      </c>
      <c r="CW236" s="145" t="str">
        <f aca="false">IF(ISBLANK($C236),"",IF($BX236&lt;&gt;Constants!$B$6,$BX236,$CC236))</f>
        <v/>
      </c>
      <c r="CX236" s="146" t="str">
        <f aca="false">IF(ISBLANK($C236),"",$BY236)</f>
        <v/>
      </c>
      <c r="CY236" s="147" t="str">
        <f aca="false">IF(ISBLANK($C236),"",$CN236)</f>
        <v/>
      </c>
      <c r="CZ236" s="147" t="str">
        <f aca="false">IF(ISBLANK($C236),"",$CM236)</f>
        <v/>
      </c>
      <c r="DA236" s="148" t="str">
        <f aca="false">IF(ISBLANK($C236),"",IFERROR(_xlfn.SWITCH($CZ236,Constants!$B$9,COUNTA($C$9:$C$508)+2,Constants!$B$8,COUNTA($C$9:$C$508)+1,Constants!$B$7,COUNTA($C$9:$C$508)),$CZ236))</f>
        <v/>
      </c>
      <c r="DB236" s="9"/>
      <c r="DC236" s="149" t="n">
        <f aca="false">IF(OR(ISNUMBER($CZ236),$CZ236=Constants!$B$9,$CZ236=Constants!$B$7,$CZ236=Constants!$B$8),1,0)</f>
        <v>0</v>
      </c>
      <c r="DD236" s="149" t="n">
        <v>228</v>
      </c>
      <c r="DE236" s="149" t="str">
        <f aca="false">IF(ISBLANK($C236),"",IF(ISNUMBER($DA236),$DA236+ROW($B236)/1000,""))</f>
        <v/>
      </c>
      <c r="DF236" s="149" t="str">
        <f aca="false">IF(ISNUMBER($DE236),RANK($DE236,$DE$9:$DE$508,1),"")</f>
        <v/>
      </c>
      <c r="DG236" s="149" t="str">
        <f aca="false">IF(ISBLANK($C236),"",$B236)</f>
        <v/>
      </c>
      <c r="DH236" s="149" t="str">
        <f aca="false">IF(ISBLANK($C236),"",$C236)</f>
        <v/>
      </c>
      <c r="DI236" s="149" t="str">
        <f aca="false">IF(ISBLANK($C236),"",$D236)</f>
        <v/>
      </c>
      <c r="DJ236" s="150" t="str">
        <f aca="false">$CX236</f>
        <v/>
      </c>
      <c r="DK236" s="151" t="str">
        <f aca="false">$CW236</f>
        <v/>
      </c>
      <c r="DL236" s="149" t="str">
        <f aca="false">IF(ISBLANK($C236),"",$CZ236)</f>
        <v/>
      </c>
      <c r="DM236" s="152" t="str">
        <f aca="false">IF($DD236&gt;$DC$8,"",VLOOKUP($DD236,$DF$9:$DL$508,7,FALSE()))</f>
        <v/>
      </c>
      <c r="DN236" s="153" t="str">
        <f aca="false">IF($DD236&gt;$DC$8,"",VLOOKUP($DD236,$DF$9:$DL$508,2,FALSE()))</f>
        <v/>
      </c>
      <c r="DO236" s="153" t="str">
        <f aca="false">IF($DD236&gt;$DC$8,"",VLOOKUP($DD236,$DF$9:$DL$508,3,FALSE()))</f>
        <v/>
      </c>
      <c r="DP236" s="153" t="str">
        <f aca="false">IF($DD236&gt;$DC$8,"",VLOOKUP($DD236,$DF$9:$DL$508,4,FALSE()))</f>
        <v/>
      </c>
      <c r="DQ236" s="153" t="str">
        <f aca="false">IF($DD236&gt;$DC$8,"",VLOOKUP($DD236,$DF$9:$DL$508,5,FALSE()))</f>
        <v/>
      </c>
      <c r="DR236" s="154" t="str">
        <f aca="false">IF($DD236&gt;$DC$8,"",VLOOKUP($DD236,$DF$9:$DL$508,6,FALSE()))</f>
        <v/>
      </c>
      <c r="DS236" s="76"/>
    </row>
    <row r="237" customFormat="false" ht="15.75" hidden="false" customHeight="false" outlineLevel="0" collapsed="false">
      <c r="A237" s="9"/>
      <c r="B237" s="78"/>
      <c r="C237" s="79"/>
      <c r="D237" s="170"/>
      <c r="E237" s="178"/>
      <c r="F237" s="172"/>
      <c r="G237" s="173"/>
      <c r="H237" s="173"/>
      <c r="I237" s="179"/>
      <c r="J237" s="176"/>
      <c r="K237" s="86"/>
      <c r="L237" s="87"/>
      <c r="M237" s="88"/>
      <c r="N237" s="176"/>
      <c r="O237" s="176"/>
      <c r="P237" s="178"/>
      <c r="Q237" s="176"/>
      <c r="R237" s="176"/>
      <c r="S237" s="86"/>
      <c r="T237" s="88"/>
      <c r="U237" s="88"/>
      <c r="V237" s="176"/>
      <c r="W237" s="176"/>
      <c r="X237" s="178"/>
      <c r="Y237" s="176"/>
      <c r="Z237" s="177"/>
      <c r="AA237" s="176"/>
      <c r="AB237" s="92"/>
      <c r="AC237" s="93"/>
      <c r="AD237" s="93"/>
      <c r="AE237" s="93"/>
      <c r="AF237" s="93" t="str">
        <f aca="false">IF(ISBLANK($C237),"",IF(E237=Constants!$B$2,TRUE(),IF(E237=Constants!$B$3,FALSE(),TRUE())))</f>
        <v/>
      </c>
      <c r="AG237" s="93" t="str">
        <f aca="false">IF(ISBLANK($C237),"",IF(F237=Constants!$B$2,TRUE(),IF(F237=Constants!$B$3,FALSE(),TRUE())))</f>
        <v/>
      </c>
      <c r="AH237" s="93" t="str">
        <f aca="false">IF(ISBLANK($C237),"",IF(G237=Constants!$B$2,TRUE(),IF(G237=Constants!$B$3,FALSE(),TRUE())))</f>
        <v/>
      </c>
      <c r="AI237" s="93" t="str">
        <f aca="false">IF(ISBLANK($C237),"",IF(AND(ISNUMBER(H237),H237&gt;=0),H237,Constants!$B$24))</f>
        <v/>
      </c>
      <c r="AJ237" s="93" t="str">
        <f aca="false">IF(ISBLANK($C237),"",IF(I237=Constants!$B$2,TRUE(),IF(I237=Constants!$B$3,FALSE(),TRUE())))</f>
        <v/>
      </c>
      <c r="AK237" s="93" t="str">
        <f aca="false">IF(ISBLANK($C237),"",IF(J237=Constants!$B$2,TRUE(),IF(J237=Constants!$B$3,FALSE(),TRUE())))</f>
        <v/>
      </c>
      <c r="AL237" s="93" t="str">
        <f aca="false">IF(ISBLANK($C237),"",IF(K237=Constants!$B$4,TRUE(),IF(K237=Constants!$B$5,FALSE(),COUNTA(L237:P237)&gt;0)))</f>
        <v/>
      </c>
      <c r="AM237" s="95" t="str">
        <f aca="false">IF(ISBLANK($C237),"",IF(ISNUMBER(L237),IF(L237&gt;=0,L237,""),""))</f>
        <v/>
      </c>
      <c r="AN237" s="94" t="str">
        <f aca="false">IF(ISBLANK($C237),"",IF(ISNUMBER(M237),IF(M237&gt;=0,M237,""),""))</f>
        <v/>
      </c>
      <c r="AO237" s="94" t="str">
        <f aca="false">IF(ISBLANK($C237),"",IF(N237=Constants!$B$2,TRUE(),IF(N237=Constants!$B$3,FALSE(),TRUE())))</f>
        <v/>
      </c>
      <c r="AP237" s="93" t="str">
        <f aca="false">IF(ISBLANK($C237),"",IF(ISNUMBER(O237),IF(O237&gt;=0,O237,""),""))</f>
        <v/>
      </c>
      <c r="AQ237" s="93" t="str">
        <f aca="false">IF(ISBLANK($C237),"",IF(P237=Constants!$B$2,TRUE(),IF(P237=Constants!$B$3,FALSE(),FALSE())))</f>
        <v/>
      </c>
      <c r="AR237" s="93" t="str">
        <f aca="false">IF(ISBLANK($C237),"",IF(Q237=Constants!$B$2,TRUE(),IF(Q237=Constants!$B$3,FALSE(),TRUE())))</f>
        <v/>
      </c>
      <c r="AS237" s="93" t="str">
        <f aca="false">IF(ISBLANK($C237),"",IF(R237=Constants!$B$2,TRUE(),IF(R237=Constants!$B$3,FALSE(),TRUE())))</f>
        <v/>
      </c>
      <c r="AT237" s="93" t="str">
        <f aca="false">IF(ISBLANK($C237),"",IF(S237=Constants!$B$4,TRUE(),IF(S237=Constants!$B$5,FALSE(),COUNTA(T237:X237)&gt;0)))</f>
        <v/>
      </c>
      <c r="AU237" s="95" t="str">
        <f aca="false">IF(ISBLANK($C237),"",IF(ISNUMBER(T237),IF(T237&gt;=0,T237,""),""))</f>
        <v/>
      </c>
      <c r="AV237" s="94" t="str">
        <f aca="false">IF(ISBLANK($C237),"",IF(ISNUMBER(U237),IF(U237&gt;=0,U237,""),""))</f>
        <v/>
      </c>
      <c r="AW237" s="94" t="str">
        <f aca="false">IF(ISBLANK($C237),"",IF(V237=Constants!$B$2,TRUE(),IF(V237=Constants!$B$3,FALSE(),TRUE())))</f>
        <v/>
      </c>
      <c r="AX237" s="93" t="str">
        <f aca="false">IF(ISBLANK($C237),"",IF(ISNUMBER(W237),IF(W237&gt;=0,W237,""),""))</f>
        <v/>
      </c>
      <c r="AY237" s="93" t="str">
        <f aca="false">IF(ISBLANK($C237),"",IF(X237=Constants!$B$2,TRUE(),IF(X237=Constants!$B$3,FALSE(),FALSE())))</f>
        <v/>
      </c>
      <c r="AZ237" s="93" t="str">
        <f aca="false">IF(ISBLANK($C237),"",MIN(Constants!$B$25,MAX(0,IF(ISNUMBER(Y237),Y237*60,0)+IF(ISNUMBER(Z237),Z237,0))))</f>
        <v/>
      </c>
      <c r="BA237" s="93" t="str">
        <f aca="false">IF(ISBLANK($C237),"",IF(AA237=Constants!$B$2,TRUE(),IF(AA237=Constants!$B$3,FALSE(),FALSE())))</f>
        <v/>
      </c>
      <c r="BB237" s="92" t="str">
        <f aca="false">IF(ISBLANK($C237),"",AND($AL237,OR($AM237="",$AN237="",AND($AO237,$AP237=""))))</f>
        <v/>
      </c>
      <c r="BC237" s="94" t="str">
        <f aca="false">IF($BX237&lt;&gt;Constants!$B$6,"",IF($AL237,Constants!$B$17*$AN237+Constants!$B$18*IF($AO237,$AP237,Constants!$B$19),Constants!$B$20))</f>
        <v/>
      </c>
      <c r="BD237" s="97" t="str">
        <f aca="false">IF($BX237&lt;&gt;Constants!$B$6,"",Constants!$B$21*ABS($AD$9-IF($AL237,$AM237,0)))</f>
        <v/>
      </c>
      <c r="BE237" s="97" t="str">
        <f aca="false">IF($BX237&lt;&gt;Constants!$B$6,"",IF(AND($AL237,$AQ237,$AO237),Constants!$B$22,0))</f>
        <v/>
      </c>
      <c r="BF237" s="97" t="str">
        <f aca="false">IF($BX237&lt;&gt;Constants!$B$6,"",IF($AL237,($AI237-Constants!$B$24)*Constants!$B$23,0))</f>
        <v/>
      </c>
      <c r="BG237" s="97" t="str">
        <f aca="false">IF($BX237&lt;&gt;Constants!$B$6,"",IF($AK237,0,Constants!$B$12)+IF($AJ237,0,Constants!$B$13)+IF($AH237,0,Constants!$B$14))</f>
        <v/>
      </c>
      <c r="BH237" s="98" t="str">
        <f aca="false">IF($BX237&lt;&gt;Constants!$B$6,"",Constants!$B$16+SUM($BC237:$BG237))</f>
        <v/>
      </c>
      <c r="BI237" s="97" t="str">
        <f aca="false">IF($BX237&lt;&gt;Constants!$B$6,"",$BC237)</f>
        <v/>
      </c>
      <c r="BJ237" s="97" t="str">
        <f aca="false">IF($BX237&lt;&gt;Constants!$B$6,"",$BD237)</f>
        <v/>
      </c>
      <c r="BK237" s="99" t="str">
        <f aca="false">IF($BX237&lt;&gt;Constants!$B$6,"",IF($AL237,$AN237,""))</f>
        <v/>
      </c>
      <c r="BL237" s="93" t="str">
        <f aca="false">IF($BX237&lt;&gt;Constants!$B$6,"",IF(OR($BS237&lt;$BH237,AND($BS237=$BH237,OR($BT237&lt;$BI237,AND($BT237=$BI237,OR($BU237&lt;$BJ237,AND($BU237=$BJ237,AND(ISNUMBER($BV237),OR(NOT(ISNUMBER($BK237)),$BV237&lt;$BK237)))))))),"-&gt;","&lt;-"))</f>
        <v/>
      </c>
      <c r="BM237" s="92" t="str">
        <f aca="false">IF(ISBLANK($C237),"",AND($AT237,OR($AU237="",$AV237="",AND($AW237,$AX237=""))))</f>
        <v/>
      </c>
      <c r="BN237" s="94" t="str">
        <f aca="false">IF($BX237&lt;&gt;Constants!$B$6,"",IF($AT237,Constants!$B$17*$AV237+Constants!$B$18*IF($AW237,$AX237,Constants!$B$19),Constants!$B$20))</f>
        <v/>
      </c>
      <c r="BO237" s="97" t="str">
        <f aca="false">IF($BX237&lt;&gt;Constants!$B$6,"",Constants!$B$21*ABS($AD$9-IF($AT237,$AU237,0)))</f>
        <v/>
      </c>
      <c r="BP237" s="97" t="str">
        <f aca="false">IF($BX237&lt;&gt;Constants!$B$6,"",IF(AND($AT237,$AY237,$AW237),Constants!$B$22,0))</f>
        <v/>
      </c>
      <c r="BQ237" s="97" t="str">
        <f aca="false">IF($BX237&lt;&gt;Constants!$B$6,"",IF($AT237,($AI237-Constants!$B$24)*Constants!$B$23,0))</f>
        <v/>
      </c>
      <c r="BR237" s="97" t="str">
        <f aca="false">IF($BX237&lt;&gt;Constants!$B$6,"",IF($AS237,0,Constants!$B$12)+IF($AR237,0,Constants!$B$13)+IF($AH237,0,Constants!$B$14))</f>
        <v/>
      </c>
      <c r="BS237" s="98" t="str">
        <f aca="false">IF($BX237&lt;&gt;Constants!$B$6,"",Constants!$B$16+SUM($BN237:$BR237))</f>
        <v/>
      </c>
      <c r="BT237" s="97" t="str">
        <f aca="false">IF($BX237&lt;&gt;Constants!$B$6,"",$BN237)</f>
        <v/>
      </c>
      <c r="BU237" s="97" t="str">
        <f aca="false">IF($BX237&lt;&gt;Constants!$B$6,"",$BO237)</f>
        <v/>
      </c>
      <c r="BV237" s="99" t="str">
        <f aca="false">IF($BX237&lt;&gt;Constants!$B$6,"",IF($AT237,$AV237,""))</f>
        <v/>
      </c>
      <c r="BW237" s="93" t="str">
        <f aca="false">IF(ISBLANK($C237),"",IF(ISBLANK($D$7),$BW$5,IF(NOT(ISNUMBER($D$7)),$BW$6,"")))</f>
        <v/>
      </c>
      <c r="BX237" s="93" t="str">
        <f aca="false">IF(ISBLANK($C237),"",IF($BA237,Constants!$B$9,IF(COUNTA($E237:$AA237)=0,Constants!$B$8,IF(NOT($AG237),Constants!$B$7,IF(OR($BW237&lt;&gt;"",$BB237,$BM237),Constants!$B$10,Constants!$B$6)))))</f>
        <v/>
      </c>
      <c r="BY237" s="93" t="str">
        <f aca="false">IF(ISBLANK($C237),"",IF($BX237&lt;&gt;Constants!$B$6,$BX237,Constants!$B$11))</f>
        <v/>
      </c>
      <c r="BZ237" s="97" t="str">
        <f aca="false">IF($BX237&lt;&gt;Constants!$B$6,"",IF($BL237="-&gt;",$BS237,$BH237))</f>
        <v/>
      </c>
      <c r="CA237" s="97" t="str">
        <f aca="false">IF($BX237&lt;&gt;Constants!$B$6,"",IF($AF237,0,Constants!$B$15))</f>
        <v/>
      </c>
      <c r="CB237" s="97" t="str">
        <f aca="false">IF($BX237&lt;&gt;Constants!$B$6,"",((Constants!$B$25-$AZ237)-Constants!$B$25)/Constants!$B$26)</f>
        <v/>
      </c>
      <c r="CC237" s="97" t="str">
        <f aca="false">IF(ISBLANK($C237),"",IF($BX237&lt;&gt;Constants!$B$6,$BX237,SUM($BZ237:$CB237)))</f>
        <v/>
      </c>
      <c r="CD237" s="93" t="str">
        <f aca="false">IF(ISBLANK($C237),"",IF($BX237&lt;&gt;Constants!$B$6,$BX237,RANK($CC237,$CC$9:$CC$508,1)))</f>
        <v/>
      </c>
      <c r="CE237" s="97" t="str">
        <f aca="false">IF($BX237&lt;&gt;Constants!$B$6,"",IF($BL237="-&gt;",$BT237,$BI237))</f>
        <v/>
      </c>
      <c r="CF237" s="93" t="str">
        <f aca="false">IF(ISBLANK($C237),"",IF($BX237&lt;&gt;Constants!$B$6,$BX237,IF(ISNUMBER($CE237),RANK($CE237,$CE$9:$CE$508,1),COUNT($CE$9:$CE$508)+1)))</f>
        <v/>
      </c>
      <c r="CG237" s="97" t="str">
        <f aca="false">IF($BX237&lt;&gt;Constants!$B$6,"",IF($BL237="-&gt;",$BU237,$BJ237))</f>
        <v/>
      </c>
      <c r="CH237" s="93" t="str">
        <f aca="false">IF(ISBLANK($C237),"",IF($BX237&lt;&gt;Constants!$B$6,$BX237,IF(ISNUMBER($CG237),RANK($CG237,$CG$9:$CG$508,1),COUNT($CG$9:$CG$508)+1)))</f>
        <v/>
      </c>
      <c r="CI237" s="97" t="str">
        <f aca="false">IF($BX237&lt;&gt;Constants!$B$6,"",IF($BL237="-&gt;",$BV237,$BK237))</f>
        <v/>
      </c>
      <c r="CJ237" s="93" t="str">
        <f aca="false">IF(ISBLANK($C237),"",IF($BX237&lt;&gt;Constants!$B$6,$BX237,IF(ISNUMBER($CI237),RANK($CI237,$CI$9:$CI$508,1),COUNT($CI$9:$CI$508)+1)))</f>
        <v/>
      </c>
      <c r="CK237" s="97" t="str">
        <f aca="false">IF($BX237&lt;&gt;Constants!$B$6,"",$AI237)</f>
        <v/>
      </c>
      <c r="CL237" s="93" t="str">
        <f aca="false">IF(ISBLANK($C237),"",IF($BX237&lt;&gt;Constants!$B$6,$BX237,IF(ISNUMBER($CK237),RANK($CK237,$CK$9:$CK$508,1),COUNT($CK$9:$CK$508)+1)))</f>
        <v/>
      </c>
      <c r="CM237" s="93" t="str">
        <f aca="false">IF(ISBLANK($C237),"",IF($BX237&lt;&gt;Constants!$B$6,$BX237,COUNTIFS($CD$9:$CD$508,"&lt;"&amp;$CD237)+COUNTIFS($CD$9:$CD$508,$CD237,$CF$9:$CF$508,"&lt;"&amp;$CF237)+COUNTIFS($CD$9:$CD$508,$CD237,$CF$9:$CF$508,$CF237,$CH$9:$CH$508,"&lt;"&amp;$CH237)+COUNTIFS($CD$9:$CD$508,$CD237,$CF$9:$CF$508,$CF237,$CH$9:$CH$508,$CH237,$CJ$9:$CJ$508,"&lt;"&amp;$CJ237)+COUNTIFS($CD$9:$CD$508,$CD237,$CF$9:$CF$508,$CF237,$CH$9:$CH$508,$CH237,$CJ$9:$CJ$508,$CJ237,$CL$9:$CL$508,"&lt;"&amp;$CL237)+1))</f>
        <v/>
      </c>
      <c r="CN237" s="93" t="str">
        <f aca="false">IF(ISBLANK($C237),"",IF($BX237&lt;&gt;Constants!$B$6,$BX237,$CD237-$CM237))</f>
        <v/>
      </c>
      <c r="CO237" s="100"/>
      <c r="CP237" s="101"/>
      <c r="CQ237" s="102" t="str">
        <f aca="false">IF(ISBLANK($C237),"",IF($BX237=Constants!$B$10,$BW237,""))</f>
        <v/>
      </c>
      <c r="CR237" s="101" t="str">
        <f aca="false">IF(ISBLANK($C237),"",IF($BX237&lt;&gt;Constants!$B$6,"",IF($BL237="-&gt;",2,1)))</f>
        <v/>
      </c>
      <c r="CS237" s="103" t="str">
        <f aca="false">IF(ISBLANK($C237),"",IF($BX237&lt;&gt;Constants!$B$6,"",IF($BL237="-&gt;",$BN237,$BC237)))</f>
        <v/>
      </c>
      <c r="CT237" s="103" t="str">
        <f aca="false">IF(ISBLANK($C237),"",IF($BX237&lt;&gt;Constants!$B$6,"",IF($BL237="-&gt;",$BO237,$BD237)))</f>
        <v/>
      </c>
      <c r="CU237" s="103" t="str">
        <f aca="false">IF(ISBLANK($C237),"",IF($BX237&lt;&gt;Constants!$B$6,"",IF($BL237="-&gt;",$BP237+$BQ237,$BE237+$BF237)+$CB237))</f>
        <v/>
      </c>
      <c r="CV237" s="103" t="str">
        <f aca="false">IF(ISBLANK($C237),"",IF($BX237&lt;&gt;Constants!$B$6,"",IF($BL237="-&gt;",$BR237,$BG237)+$CA237))</f>
        <v/>
      </c>
      <c r="CW237" s="104" t="str">
        <f aca="false">IF(ISBLANK($C237),"",IF($BX237&lt;&gt;Constants!$B$6,$BX237,$CC237))</f>
        <v/>
      </c>
      <c r="CX237" s="105" t="str">
        <f aca="false">IF(ISBLANK($C237),"",$BY237)</f>
        <v/>
      </c>
      <c r="CY237" s="106" t="str">
        <f aca="false">IF(ISBLANK($C237),"",$CN237)</f>
        <v/>
      </c>
      <c r="CZ237" s="106" t="str">
        <f aca="false">IF(ISBLANK($C237),"",$CM237)</f>
        <v/>
      </c>
      <c r="DA237" s="107" t="str">
        <f aca="false">IF(ISBLANK($C237),"",IFERROR(_xlfn.SWITCH($CZ237,Constants!$B$9,COUNTA($C$9:$C$508)+2,Constants!$B$8,COUNTA($C$9:$C$508)+1,Constants!$B$7,COUNTA($C$9:$C$508)),$CZ237))</f>
        <v/>
      </c>
      <c r="DB237" s="9"/>
      <c r="DC237" s="108" t="n">
        <f aca="false">IF(OR(ISNUMBER($CZ237),$CZ237=Constants!$B$9,$CZ237=Constants!$B$7,$CZ237=Constants!$B$8),1,0)</f>
        <v>0</v>
      </c>
      <c r="DD237" s="108" t="n">
        <v>229</v>
      </c>
      <c r="DE237" s="108" t="str">
        <f aca="false">IF(ISBLANK($C237),"",IF(ISNUMBER($DA237),$DA237+ROW($B237)/1000,""))</f>
        <v/>
      </c>
      <c r="DF237" s="108" t="str">
        <f aca="false">IF(ISNUMBER($DE237),RANK($DE237,$DE$9:$DE$508,1),"")</f>
        <v/>
      </c>
      <c r="DG237" s="108" t="str">
        <f aca="false">IF(ISBLANK($C237),"",$B237)</f>
        <v/>
      </c>
      <c r="DH237" s="108" t="str">
        <f aca="false">IF(ISBLANK($C237),"",$C237)</f>
        <v/>
      </c>
      <c r="DI237" s="108" t="str">
        <f aca="false">IF(ISBLANK($C237),"",$D237)</f>
        <v/>
      </c>
      <c r="DJ237" s="109" t="str">
        <f aca="false">$CX237</f>
        <v/>
      </c>
      <c r="DK237" s="110" t="str">
        <f aca="false">$CW237</f>
        <v/>
      </c>
      <c r="DL237" s="108" t="str">
        <f aca="false">IF(ISBLANK($C237),"",$CZ237)</f>
        <v/>
      </c>
      <c r="DM237" s="111" t="str">
        <f aca="false">IF($DD237&gt;$DC$8,"",VLOOKUP($DD237,$DF$9:$DL$508,7,FALSE()))</f>
        <v/>
      </c>
      <c r="DN237" s="112" t="str">
        <f aca="false">IF($DD237&gt;$DC$8,"",VLOOKUP($DD237,$DF$9:$DL$508,2,FALSE()))</f>
        <v/>
      </c>
      <c r="DO237" s="112" t="str">
        <f aca="false">IF($DD237&gt;$DC$8,"",VLOOKUP($DD237,$DF$9:$DL$508,3,FALSE()))</f>
        <v/>
      </c>
      <c r="DP237" s="112" t="str">
        <f aca="false">IF($DD237&gt;$DC$8,"",VLOOKUP($DD237,$DF$9:$DL$508,4,FALSE()))</f>
        <v/>
      </c>
      <c r="DQ237" s="112" t="str">
        <f aca="false">IF($DD237&gt;$DC$8,"",VLOOKUP($DD237,$DF$9:$DL$508,5,FALSE()))</f>
        <v/>
      </c>
      <c r="DR237" s="113" t="str">
        <f aca="false">IF($DD237&gt;$DC$8,"",VLOOKUP($DD237,$DF$9:$DL$508,6,FALSE()))</f>
        <v/>
      </c>
      <c r="DS237" s="76"/>
    </row>
    <row r="238" customFormat="false" ht="15.75" hidden="false" customHeight="false" outlineLevel="0" collapsed="false">
      <c r="A238" s="9"/>
      <c r="B238" s="78"/>
      <c r="C238" s="79"/>
      <c r="D238" s="170"/>
      <c r="E238" s="178"/>
      <c r="F238" s="172"/>
      <c r="G238" s="173"/>
      <c r="H238" s="173"/>
      <c r="I238" s="179"/>
      <c r="J238" s="176"/>
      <c r="K238" s="86"/>
      <c r="L238" s="87"/>
      <c r="M238" s="88"/>
      <c r="N238" s="176"/>
      <c r="O238" s="176"/>
      <c r="P238" s="178"/>
      <c r="Q238" s="176"/>
      <c r="R238" s="176"/>
      <c r="S238" s="86"/>
      <c r="T238" s="88"/>
      <c r="U238" s="88"/>
      <c r="V238" s="176"/>
      <c r="W238" s="176"/>
      <c r="X238" s="178"/>
      <c r="Y238" s="176"/>
      <c r="Z238" s="177"/>
      <c r="AA238" s="176"/>
      <c r="AB238" s="92"/>
      <c r="AC238" s="93"/>
      <c r="AD238" s="93"/>
      <c r="AE238" s="93"/>
      <c r="AF238" s="93" t="str">
        <f aca="false">IF(ISBLANK($C238),"",IF(E238=Constants!$B$2,TRUE(),IF(E238=Constants!$B$3,FALSE(),TRUE())))</f>
        <v/>
      </c>
      <c r="AG238" s="93" t="str">
        <f aca="false">IF(ISBLANK($C238),"",IF(F238=Constants!$B$2,TRUE(),IF(F238=Constants!$B$3,FALSE(),TRUE())))</f>
        <v/>
      </c>
      <c r="AH238" s="93" t="str">
        <f aca="false">IF(ISBLANK($C238),"",IF(G238=Constants!$B$2,TRUE(),IF(G238=Constants!$B$3,FALSE(),TRUE())))</f>
        <v/>
      </c>
      <c r="AI238" s="93" t="str">
        <f aca="false">IF(ISBLANK($C238),"",IF(AND(ISNUMBER(H238),H238&gt;=0),H238,Constants!$B$24))</f>
        <v/>
      </c>
      <c r="AJ238" s="93" t="str">
        <f aca="false">IF(ISBLANK($C238),"",IF(I238=Constants!$B$2,TRUE(),IF(I238=Constants!$B$3,FALSE(),TRUE())))</f>
        <v/>
      </c>
      <c r="AK238" s="93" t="str">
        <f aca="false">IF(ISBLANK($C238),"",IF(J238=Constants!$B$2,TRUE(),IF(J238=Constants!$B$3,FALSE(),TRUE())))</f>
        <v/>
      </c>
      <c r="AL238" s="93" t="str">
        <f aca="false">IF(ISBLANK($C238),"",IF(K238=Constants!$B$4,TRUE(),IF(K238=Constants!$B$5,FALSE(),COUNTA(L238:P238)&gt;0)))</f>
        <v/>
      </c>
      <c r="AM238" s="95" t="str">
        <f aca="false">IF(ISBLANK($C238),"",IF(ISNUMBER(L238),IF(L238&gt;=0,L238,""),""))</f>
        <v/>
      </c>
      <c r="AN238" s="94" t="str">
        <f aca="false">IF(ISBLANK($C238),"",IF(ISNUMBER(M238),IF(M238&gt;=0,M238,""),""))</f>
        <v/>
      </c>
      <c r="AO238" s="94" t="str">
        <f aca="false">IF(ISBLANK($C238),"",IF(N238=Constants!$B$2,TRUE(),IF(N238=Constants!$B$3,FALSE(),TRUE())))</f>
        <v/>
      </c>
      <c r="AP238" s="93" t="str">
        <f aca="false">IF(ISBLANK($C238),"",IF(ISNUMBER(O238),IF(O238&gt;=0,O238,""),""))</f>
        <v/>
      </c>
      <c r="AQ238" s="93" t="str">
        <f aca="false">IF(ISBLANK($C238),"",IF(P238=Constants!$B$2,TRUE(),IF(P238=Constants!$B$3,FALSE(),FALSE())))</f>
        <v/>
      </c>
      <c r="AR238" s="93" t="str">
        <f aca="false">IF(ISBLANK($C238),"",IF(Q238=Constants!$B$2,TRUE(),IF(Q238=Constants!$B$3,FALSE(),TRUE())))</f>
        <v/>
      </c>
      <c r="AS238" s="93" t="str">
        <f aca="false">IF(ISBLANK($C238),"",IF(R238=Constants!$B$2,TRUE(),IF(R238=Constants!$B$3,FALSE(),TRUE())))</f>
        <v/>
      </c>
      <c r="AT238" s="93" t="str">
        <f aca="false">IF(ISBLANK($C238),"",IF(S238=Constants!$B$4,TRUE(),IF(S238=Constants!$B$5,FALSE(),COUNTA(T238:X238)&gt;0)))</f>
        <v/>
      </c>
      <c r="AU238" s="95" t="str">
        <f aca="false">IF(ISBLANK($C238),"",IF(ISNUMBER(T238),IF(T238&gt;=0,T238,""),""))</f>
        <v/>
      </c>
      <c r="AV238" s="94" t="str">
        <f aca="false">IF(ISBLANK($C238),"",IF(ISNUMBER(U238),IF(U238&gt;=0,U238,""),""))</f>
        <v/>
      </c>
      <c r="AW238" s="94" t="str">
        <f aca="false">IF(ISBLANK($C238),"",IF(V238=Constants!$B$2,TRUE(),IF(V238=Constants!$B$3,FALSE(),TRUE())))</f>
        <v/>
      </c>
      <c r="AX238" s="93" t="str">
        <f aca="false">IF(ISBLANK($C238),"",IF(ISNUMBER(W238),IF(W238&gt;=0,W238,""),""))</f>
        <v/>
      </c>
      <c r="AY238" s="93" t="str">
        <f aca="false">IF(ISBLANK($C238),"",IF(X238=Constants!$B$2,TRUE(),IF(X238=Constants!$B$3,FALSE(),FALSE())))</f>
        <v/>
      </c>
      <c r="AZ238" s="93" t="str">
        <f aca="false">IF(ISBLANK($C238),"",MIN(Constants!$B$25,MAX(0,IF(ISNUMBER(Y238),Y238*60,0)+IF(ISNUMBER(Z238),Z238,0))))</f>
        <v/>
      </c>
      <c r="BA238" s="93" t="str">
        <f aca="false">IF(ISBLANK($C238),"",IF(AA238=Constants!$B$2,TRUE(),IF(AA238=Constants!$B$3,FALSE(),FALSE())))</f>
        <v/>
      </c>
      <c r="BB238" s="92" t="str">
        <f aca="false">IF(ISBLANK($C238),"",AND($AL238,OR($AM238="",$AN238="",AND($AO238,$AP238=""))))</f>
        <v/>
      </c>
      <c r="BC238" s="94" t="str">
        <f aca="false">IF($BX238&lt;&gt;Constants!$B$6,"",IF($AL238,Constants!$B$17*$AN238+Constants!$B$18*IF($AO238,$AP238,Constants!$B$19),Constants!$B$20))</f>
        <v/>
      </c>
      <c r="BD238" s="97" t="str">
        <f aca="false">IF($BX238&lt;&gt;Constants!$B$6,"",Constants!$B$21*ABS($AD$9-IF($AL238,$AM238,0)))</f>
        <v/>
      </c>
      <c r="BE238" s="97" t="str">
        <f aca="false">IF($BX238&lt;&gt;Constants!$B$6,"",IF(AND($AL238,$AQ238,$AO238),Constants!$B$22,0))</f>
        <v/>
      </c>
      <c r="BF238" s="97" t="str">
        <f aca="false">IF($BX238&lt;&gt;Constants!$B$6,"",IF($AL238,($AI238-Constants!$B$24)*Constants!$B$23,0))</f>
        <v/>
      </c>
      <c r="BG238" s="97" t="str">
        <f aca="false">IF($BX238&lt;&gt;Constants!$B$6,"",IF($AK238,0,Constants!$B$12)+IF($AJ238,0,Constants!$B$13)+IF($AH238,0,Constants!$B$14))</f>
        <v/>
      </c>
      <c r="BH238" s="98" t="str">
        <f aca="false">IF($BX238&lt;&gt;Constants!$B$6,"",Constants!$B$16+SUM($BC238:$BG238))</f>
        <v/>
      </c>
      <c r="BI238" s="97" t="str">
        <f aca="false">IF($BX238&lt;&gt;Constants!$B$6,"",$BC238)</f>
        <v/>
      </c>
      <c r="BJ238" s="97" t="str">
        <f aca="false">IF($BX238&lt;&gt;Constants!$B$6,"",$BD238)</f>
        <v/>
      </c>
      <c r="BK238" s="99" t="str">
        <f aca="false">IF($BX238&lt;&gt;Constants!$B$6,"",IF($AL238,$AN238,""))</f>
        <v/>
      </c>
      <c r="BL238" s="93" t="str">
        <f aca="false">IF($BX238&lt;&gt;Constants!$B$6,"",IF(OR($BS238&lt;$BH238,AND($BS238=$BH238,OR($BT238&lt;$BI238,AND($BT238=$BI238,OR($BU238&lt;$BJ238,AND($BU238=$BJ238,AND(ISNUMBER($BV238),OR(NOT(ISNUMBER($BK238)),$BV238&lt;$BK238)))))))),"-&gt;","&lt;-"))</f>
        <v/>
      </c>
      <c r="BM238" s="92" t="str">
        <f aca="false">IF(ISBLANK($C238),"",AND($AT238,OR($AU238="",$AV238="",AND($AW238,$AX238=""))))</f>
        <v/>
      </c>
      <c r="BN238" s="94" t="str">
        <f aca="false">IF($BX238&lt;&gt;Constants!$B$6,"",IF($AT238,Constants!$B$17*$AV238+Constants!$B$18*IF($AW238,$AX238,Constants!$B$19),Constants!$B$20))</f>
        <v/>
      </c>
      <c r="BO238" s="97" t="str">
        <f aca="false">IF($BX238&lt;&gt;Constants!$B$6,"",Constants!$B$21*ABS($AD$9-IF($AT238,$AU238,0)))</f>
        <v/>
      </c>
      <c r="BP238" s="97" t="str">
        <f aca="false">IF($BX238&lt;&gt;Constants!$B$6,"",IF(AND($AT238,$AY238,$AW238),Constants!$B$22,0))</f>
        <v/>
      </c>
      <c r="BQ238" s="97" t="str">
        <f aca="false">IF($BX238&lt;&gt;Constants!$B$6,"",IF($AT238,($AI238-Constants!$B$24)*Constants!$B$23,0))</f>
        <v/>
      </c>
      <c r="BR238" s="97" t="str">
        <f aca="false">IF($BX238&lt;&gt;Constants!$B$6,"",IF($AS238,0,Constants!$B$12)+IF($AR238,0,Constants!$B$13)+IF($AH238,0,Constants!$B$14))</f>
        <v/>
      </c>
      <c r="BS238" s="98" t="str">
        <f aca="false">IF($BX238&lt;&gt;Constants!$B$6,"",Constants!$B$16+SUM($BN238:$BR238))</f>
        <v/>
      </c>
      <c r="BT238" s="97" t="str">
        <f aca="false">IF($BX238&lt;&gt;Constants!$B$6,"",$BN238)</f>
        <v/>
      </c>
      <c r="BU238" s="97" t="str">
        <f aca="false">IF($BX238&lt;&gt;Constants!$B$6,"",$BO238)</f>
        <v/>
      </c>
      <c r="BV238" s="99" t="str">
        <f aca="false">IF($BX238&lt;&gt;Constants!$B$6,"",IF($AT238,$AV238,""))</f>
        <v/>
      </c>
      <c r="BW238" s="93" t="str">
        <f aca="false">IF(ISBLANK($C238),"",IF(ISBLANK($D$7),$BW$5,IF(NOT(ISNUMBER($D$7)),$BW$6,"")))</f>
        <v/>
      </c>
      <c r="BX238" s="93" t="str">
        <f aca="false">IF(ISBLANK($C238),"",IF($BA238,Constants!$B$9,IF(COUNTA($E238:$AA238)=0,Constants!$B$8,IF(NOT($AG238),Constants!$B$7,IF(OR($BW238&lt;&gt;"",$BB238,$BM238),Constants!$B$10,Constants!$B$6)))))</f>
        <v/>
      </c>
      <c r="BY238" s="93" t="str">
        <f aca="false">IF(ISBLANK($C238),"",IF($BX238&lt;&gt;Constants!$B$6,$BX238,Constants!$B$11))</f>
        <v/>
      </c>
      <c r="BZ238" s="97" t="str">
        <f aca="false">IF($BX238&lt;&gt;Constants!$B$6,"",IF($BL238="-&gt;",$BS238,$BH238))</f>
        <v/>
      </c>
      <c r="CA238" s="97" t="str">
        <f aca="false">IF($BX238&lt;&gt;Constants!$B$6,"",IF($AF238,0,Constants!$B$15))</f>
        <v/>
      </c>
      <c r="CB238" s="97" t="str">
        <f aca="false">IF($BX238&lt;&gt;Constants!$B$6,"",((Constants!$B$25-$AZ238)-Constants!$B$25)/Constants!$B$26)</f>
        <v/>
      </c>
      <c r="CC238" s="97" t="str">
        <f aca="false">IF(ISBLANK($C238),"",IF($BX238&lt;&gt;Constants!$B$6,$BX238,SUM($BZ238:$CB238)))</f>
        <v/>
      </c>
      <c r="CD238" s="93" t="str">
        <f aca="false">IF(ISBLANK($C238),"",IF($BX238&lt;&gt;Constants!$B$6,$BX238,RANK($CC238,$CC$9:$CC$508,1)))</f>
        <v/>
      </c>
      <c r="CE238" s="97" t="str">
        <f aca="false">IF($BX238&lt;&gt;Constants!$B$6,"",IF($BL238="-&gt;",$BT238,$BI238))</f>
        <v/>
      </c>
      <c r="CF238" s="93" t="str">
        <f aca="false">IF(ISBLANK($C238),"",IF($BX238&lt;&gt;Constants!$B$6,$BX238,IF(ISNUMBER($CE238),RANK($CE238,$CE$9:$CE$508,1),COUNT($CE$9:$CE$508)+1)))</f>
        <v/>
      </c>
      <c r="CG238" s="97" t="str">
        <f aca="false">IF($BX238&lt;&gt;Constants!$B$6,"",IF($BL238="-&gt;",$BU238,$BJ238))</f>
        <v/>
      </c>
      <c r="CH238" s="93" t="str">
        <f aca="false">IF(ISBLANK($C238),"",IF($BX238&lt;&gt;Constants!$B$6,$BX238,IF(ISNUMBER($CG238),RANK($CG238,$CG$9:$CG$508,1),COUNT($CG$9:$CG$508)+1)))</f>
        <v/>
      </c>
      <c r="CI238" s="97" t="str">
        <f aca="false">IF($BX238&lt;&gt;Constants!$B$6,"",IF($BL238="-&gt;",$BV238,$BK238))</f>
        <v/>
      </c>
      <c r="CJ238" s="93" t="str">
        <f aca="false">IF(ISBLANK($C238),"",IF($BX238&lt;&gt;Constants!$B$6,$BX238,IF(ISNUMBER($CI238),RANK($CI238,$CI$9:$CI$508,1),COUNT($CI$9:$CI$508)+1)))</f>
        <v/>
      </c>
      <c r="CK238" s="97" t="str">
        <f aca="false">IF($BX238&lt;&gt;Constants!$B$6,"",$AI238)</f>
        <v/>
      </c>
      <c r="CL238" s="93" t="str">
        <f aca="false">IF(ISBLANK($C238),"",IF($BX238&lt;&gt;Constants!$B$6,$BX238,IF(ISNUMBER($CK238),RANK($CK238,$CK$9:$CK$508,1),COUNT($CK$9:$CK$508)+1)))</f>
        <v/>
      </c>
      <c r="CM238" s="93" t="str">
        <f aca="false">IF(ISBLANK($C238),"",IF($BX238&lt;&gt;Constants!$B$6,$BX238,COUNTIFS($CD$9:$CD$508,"&lt;"&amp;$CD238)+COUNTIFS($CD$9:$CD$508,$CD238,$CF$9:$CF$508,"&lt;"&amp;$CF238)+COUNTIFS($CD$9:$CD$508,$CD238,$CF$9:$CF$508,$CF238,$CH$9:$CH$508,"&lt;"&amp;$CH238)+COUNTIFS($CD$9:$CD$508,$CD238,$CF$9:$CF$508,$CF238,$CH$9:$CH$508,$CH238,$CJ$9:$CJ$508,"&lt;"&amp;$CJ238)+COUNTIFS($CD$9:$CD$508,$CD238,$CF$9:$CF$508,$CF238,$CH$9:$CH$508,$CH238,$CJ$9:$CJ$508,$CJ238,$CL$9:$CL$508,"&lt;"&amp;$CL238)+1))</f>
        <v/>
      </c>
      <c r="CN238" s="93" t="str">
        <f aca="false">IF(ISBLANK($C238),"",IF($BX238&lt;&gt;Constants!$B$6,$BX238,$CD238-$CM238))</f>
        <v/>
      </c>
      <c r="CO238" s="100"/>
      <c r="CP238" s="101"/>
      <c r="CQ238" s="102" t="str">
        <f aca="false">IF(ISBLANK($C238),"",IF($BX238=Constants!$B$10,$BW238,""))</f>
        <v/>
      </c>
      <c r="CR238" s="101" t="str">
        <f aca="false">IF(ISBLANK($C238),"",IF($BX238&lt;&gt;Constants!$B$6,"",IF($BL238="-&gt;",2,1)))</f>
        <v/>
      </c>
      <c r="CS238" s="103" t="str">
        <f aca="false">IF(ISBLANK($C238),"",IF($BX238&lt;&gt;Constants!$B$6,"",IF($BL238="-&gt;",$BN238,$BC238)))</f>
        <v/>
      </c>
      <c r="CT238" s="103" t="str">
        <f aca="false">IF(ISBLANK($C238),"",IF($BX238&lt;&gt;Constants!$B$6,"",IF($BL238="-&gt;",$BO238,$BD238)))</f>
        <v/>
      </c>
      <c r="CU238" s="103" t="str">
        <f aca="false">IF(ISBLANK($C238),"",IF($BX238&lt;&gt;Constants!$B$6,"",IF($BL238="-&gt;",$BP238+$BQ238,$BE238+$BF238)+$CB238))</f>
        <v/>
      </c>
      <c r="CV238" s="103" t="str">
        <f aca="false">IF(ISBLANK($C238),"",IF($BX238&lt;&gt;Constants!$B$6,"",IF($BL238="-&gt;",$BR238,$BG238)+$CA238))</f>
        <v/>
      </c>
      <c r="CW238" s="104" t="str">
        <f aca="false">IF(ISBLANK($C238),"",IF($BX238&lt;&gt;Constants!$B$6,$BX238,$CC238))</f>
        <v/>
      </c>
      <c r="CX238" s="105" t="str">
        <f aca="false">IF(ISBLANK($C238),"",$BY238)</f>
        <v/>
      </c>
      <c r="CY238" s="106" t="str">
        <f aca="false">IF(ISBLANK($C238),"",$CN238)</f>
        <v/>
      </c>
      <c r="CZ238" s="106" t="str">
        <f aca="false">IF(ISBLANK($C238),"",$CM238)</f>
        <v/>
      </c>
      <c r="DA238" s="107" t="str">
        <f aca="false">IF(ISBLANK($C238),"",IFERROR(_xlfn.SWITCH($CZ238,Constants!$B$9,COUNTA($C$9:$C$508)+2,Constants!$B$8,COUNTA($C$9:$C$508)+1,Constants!$B$7,COUNTA($C$9:$C$508)),$CZ238))</f>
        <v/>
      </c>
      <c r="DB238" s="9"/>
      <c r="DC238" s="108" t="n">
        <f aca="false">IF(OR(ISNUMBER($CZ238),$CZ238=Constants!$B$9,$CZ238=Constants!$B$7,$CZ238=Constants!$B$8),1,0)</f>
        <v>0</v>
      </c>
      <c r="DD238" s="108" t="n">
        <v>230</v>
      </c>
      <c r="DE238" s="108" t="str">
        <f aca="false">IF(ISBLANK($C238),"",IF(ISNUMBER($DA238),$DA238+ROW($B238)/1000,""))</f>
        <v/>
      </c>
      <c r="DF238" s="108" t="str">
        <f aca="false">IF(ISNUMBER($DE238),RANK($DE238,$DE$9:$DE$508,1),"")</f>
        <v/>
      </c>
      <c r="DG238" s="108" t="str">
        <f aca="false">IF(ISBLANK($C238),"",$B238)</f>
        <v/>
      </c>
      <c r="DH238" s="108" t="str">
        <f aca="false">IF(ISBLANK($C238),"",$C238)</f>
        <v/>
      </c>
      <c r="DI238" s="108" t="str">
        <f aca="false">IF(ISBLANK($C238),"",$D238)</f>
        <v/>
      </c>
      <c r="DJ238" s="109" t="str">
        <f aca="false">$CX238</f>
        <v/>
      </c>
      <c r="DK238" s="110" t="str">
        <f aca="false">$CW238</f>
        <v/>
      </c>
      <c r="DL238" s="108" t="str">
        <f aca="false">IF(ISBLANK($C238),"",$CZ238)</f>
        <v/>
      </c>
      <c r="DM238" s="111" t="str">
        <f aca="false">IF($DD238&gt;$DC$8,"",VLOOKUP($DD238,$DF$9:$DL$508,7,FALSE()))</f>
        <v/>
      </c>
      <c r="DN238" s="112" t="str">
        <f aca="false">IF($DD238&gt;$DC$8,"",VLOOKUP($DD238,$DF$9:$DL$508,2,FALSE()))</f>
        <v/>
      </c>
      <c r="DO238" s="112" t="str">
        <f aca="false">IF($DD238&gt;$DC$8,"",VLOOKUP($DD238,$DF$9:$DL$508,3,FALSE()))</f>
        <v/>
      </c>
      <c r="DP238" s="112" t="str">
        <f aca="false">IF($DD238&gt;$DC$8,"",VLOOKUP($DD238,$DF$9:$DL$508,4,FALSE()))</f>
        <v/>
      </c>
      <c r="DQ238" s="112" t="str">
        <f aca="false">IF($DD238&gt;$DC$8,"",VLOOKUP($DD238,$DF$9:$DL$508,5,FALSE()))</f>
        <v/>
      </c>
      <c r="DR238" s="113" t="str">
        <f aca="false">IF($DD238&gt;$DC$8,"",VLOOKUP($DD238,$DF$9:$DL$508,6,FALSE()))</f>
        <v/>
      </c>
      <c r="DS238" s="76"/>
    </row>
    <row r="239" customFormat="false" ht="15.75" hidden="false" customHeight="false" outlineLevel="0" collapsed="false">
      <c r="A239" s="9"/>
      <c r="B239" s="78"/>
      <c r="C239" s="79"/>
      <c r="D239" s="170"/>
      <c r="E239" s="178"/>
      <c r="F239" s="172"/>
      <c r="G239" s="173"/>
      <c r="H239" s="173"/>
      <c r="I239" s="179"/>
      <c r="J239" s="176"/>
      <c r="K239" s="86"/>
      <c r="L239" s="87"/>
      <c r="M239" s="88"/>
      <c r="N239" s="176"/>
      <c r="O239" s="176"/>
      <c r="P239" s="178"/>
      <c r="Q239" s="176"/>
      <c r="R239" s="176"/>
      <c r="S239" s="86"/>
      <c r="T239" s="88"/>
      <c r="U239" s="88"/>
      <c r="V239" s="176"/>
      <c r="W239" s="176"/>
      <c r="X239" s="178"/>
      <c r="Y239" s="176"/>
      <c r="Z239" s="177"/>
      <c r="AA239" s="176"/>
      <c r="AB239" s="92"/>
      <c r="AC239" s="93"/>
      <c r="AD239" s="93"/>
      <c r="AE239" s="93"/>
      <c r="AF239" s="93" t="str">
        <f aca="false">IF(ISBLANK($C239),"",IF(E239=Constants!$B$2,TRUE(),IF(E239=Constants!$B$3,FALSE(),TRUE())))</f>
        <v/>
      </c>
      <c r="AG239" s="93" t="str">
        <f aca="false">IF(ISBLANK($C239),"",IF(F239=Constants!$B$2,TRUE(),IF(F239=Constants!$B$3,FALSE(),TRUE())))</f>
        <v/>
      </c>
      <c r="AH239" s="93" t="str">
        <f aca="false">IF(ISBLANK($C239),"",IF(G239=Constants!$B$2,TRUE(),IF(G239=Constants!$B$3,FALSE(),TRUE())))</f>
        <v/>
      </c>
      <c r="AI239" s="93" t="str">
        <f aca="false">IF(ISBLANK($C239),"",IF(AND(ISNUMBER(H239),H239&gt;=0),H239,Constants!$B$24))</f>
        <v/>
      </c>
      <c r="AJ239" s="93" t="str">
        <f aca="false">IF(ISBLANK($C239),"",IF(I239=Constants!$B$2,TRUE(),IF(I239=Constants!$B$3,FALSE(),TRUE())))</f>
        <v/>
      </c>
      <c r="AK239" s="93" t="str">
        <f aca="false">IF(ISBLANK($C239),"",IF(J239=Constants!$B$2,TRUE(),IF(J239=Constants!$B$3,FALSE(),TRUE())))</f>
        <v/>
      </c>
      <c r="AL239" s="93" t="str">
        <f aca="false">IF(ISBLANK($C239),"",IF(K239=Constants!$B$4,TRUE(),IF(K239=Constants!$B$5,FALSE(),COUNTA(L239:P239)&gt;0)))</f>
        <v/>
      </c>
      <c r="AM239" s="95" t="str">
        <f aca="false">IF(ISBLANK($C239),"",IF(ISNUMBER(L239),IF(L239&gt;=0,L239,""),""))</f>
        <v/>
      </c>
      <c r="AN239" s="94" t="str">
        <f aca="false">IF(ISBLANK($C239),"",IF(ISNUMBER(M239),IF(M239&gt;=0,M239,""),""))</f>
        <v/>
      </c>
      <c r="AO239" s="94" t="str">
        <f aca="false">IF(ISBLANK($C239),"",IF(N239=Constants!$B$2,TRUE(),IF(N239=Constants!$B$3,FALSE(),TRUE())))</f>
        <v/>
      </c>
      <c r="AP239" s="93" t="str">
        <f aca="false">IF(ISBLANK($C239),"",IF(ISNUMBER(O239),IF(O239&gt;=0,O239,""),""))</f>
        <v/>
      </c>
      <c r="AQ239" s="93" t="str">
        <f aca="false">IF(ISBLANK($C239),"",IF(P239=Constants!$B$2,TRUE(),IF(P239=Constants!$B$3,FALSE(),FALSE())))</f>
        <v/>
      </c>
      <c r="AR239" s="93" t="str">
        <f aca="false">IF(ISBLANK($C239),"",IF(Q239=Constants!$B$2,TRUE(),IF(Q239=Constants!$B$3,FALSE(),TRUE())))</f>
        <v/>
      </c>
      <c r="AS239" s="93" t="str">
        <f aca="false">IF(ISBLANK($C239),"",IF(R239=Constants!$B$2,TRUE(),IF(R239=Constants!$B$3,FALSE(),TRUE())))</f>
        <v/>
      </c>
      <c r="AT239" s="93" t="str">
        <f aca="false">IF(ISBLANK($C239),"",IF(S239=Constants!$B$4,TRUE(),IF(S239=Constants!$B$5,FALSE(),COUNTA(T239:X239)&gt;0)))</f>
        <v/>
      </c>
      <c r="AU239" s="95" t="str">
        <f aca="false">IF(ISBLANK($C239),"",IF(ISNUMBER(T239),IF(T239&gt;=0,T239,""),""))</f>
        <v/>
      </c>
      <c r="AV239" s="94" t="str">
        <f aca="false">IF(ISBLANK($C239),"",IF(ISNUMBER(U239),IF(U239&gt;=0,U239,""),""))</f>
        <v/>
      </c>
      <c r="AW239" s="94" t="str">
        <f aca="false">IF(ISBLANK($C239),"",IF(V239=Constants!$B$2,TRUE(),IF(V239=Constants!$B$3,FALSE(),TRUE())))</f>
        <v/>
      </c>
      <c r="AX239" s="93" t="str">
        <f aca="false">IF(ISBLANK($C239),"",IF(ISNUMBER(W239),IF(W239&gt;=0,W239,""),""))</f>
        <v/>
      </c>
      <c r="AY239" s="93" t="str">
        <f aca="false">IF(ISBLANK($C239),"",IF(X239=Constants!$B$2,TRUE(),IF(X239=Constants!$B$3,FALSE(),FALSE())))</f>
        <v/>
      </c>
      <c r="AZ239" s="93" t="str">
        <f aca="false">IF(ISBLANK($C239),"",MIN(Constants!$B$25,MAX(0,IF(ISNUMBER(Y239),Y239*60,0)+IF(ISNUMBER(Z239),Z239,0))))</f>
        <v/>
      </c>
      <c r="BA239" s="93" t="str">
        <f aca="false">IF(ISBLANK($C239),"",IF(AA239=Constants!$B$2,TRUE(),IF(AA239=Constants!$B$3,FALSE(),FALSE())))</f>
        <v/>
      </c>
      <c r="BB239" s="92" t="str">
        <f aca="false">IF(ISBLANK($C239),"",AND($AL239,OR($AM239="",$AN239="",AND($AO239,$AP239=""))))</f>
        <v/>
      </c>
      <c r="BC239" s="94" t="str">
        <f aca="false">IF($BX239&lt;&gt;Constants!$B$6,"",IF($AL239,Constants!$B$17*$AN239+Constants!$B$18*IF($AO239,$AP239,Constants!$B$19),Constants!$B$20))</f>
        <v/>
      </c>
      <c r="BD239" s="97" t="str">
        <f aca="false">IF($BX239&lt;&gt;Constants!$B$6,"",Constants!$B$21*ABS($AD$9-IF($AL239,$AM239,0)))</f>
        <v/>
      </c>
      <c r="BE239" s="97" t="str">
        <f aca="false">IF($BX239&lt;&gt;Constants!$B$6,"",IF(AND($AL239,$AQ239,$AO239),Constants!$B$22,0))</f>
        <v/>
      </c>
      <c r="BF239" s="97" t="str">
        <f aca="false">IF($BX239&lt;&gt;Constants!$B$6,"",IF($AL239,($AI239-Constants!$B$24)*Constants!$B$23,0))</f>
        <v/>
      </c>
      <c r="BG239" s="97" t="str">
        <f aca="false">IF($BX239&lt;&gt;Constants!$B$6,"",IF($AK239,0,Constants!$B$12)+IF($AJ239,0,Constants!$B$13)+IF($AH239,0,Constants!$B$14))</f>
        <v/>
      </c>
      <c r="BH239" s="98" t="str">
        <f aca="false">IF($BX239&lt;&gt;Constants!$B$6,"",Constants!$B$16+SUM($BC239:$BG239))</f>
        <v/>
      </c>
      <c r="BI239" s="97" t="str">
        <f aca="false">IF($BX239&lt;&gt;Constants!$B$6,"",$BC239)</f>
        <v/>
      </c>
      <c r="BJ239" s="97" t="str">
        <f aca="false">IF($BX239&lt;&gt;Constants!$B$6,"",$BD239)</f>
        <v/>
      </c>
      <c r="BK239" s="99" t="str">
        <f aca="false">IF($BX239&lt;&gt;Constants!$B$6,"",IF($AL239,$AN239,""))</f>
        <v/>
      </c>
      <c r="BL239" s="93" t="str">
        <f aca="false">IF($BX239&lt;&gt;Constants!$B$6,"",IF(OR($BS239&lt;$BH239,AND($BS239=$BH239,OR($BT239&lt;$BI239,AND($BT239=$BI239,OR($BU239&lt;$BJ239,AND($BU239=$BJ239,AND(ISNUMBER($BV239),OR(NOT(ISNUMBER($BK239)),$BV239&lt;$BK239)))))))),"-&gt;","&lt;-"))</f>
        <v/>
      </c>
      <c r="BM239" s="92" t="str">
        <f aca="false">IF(ISBLANK($C239),"",AND($AT239,OR($AU239="",$AV239="",AND($AW239,$AX239=""))))</f>
        <v/>
      </c>
      <c r="BN239" s="94" t="str">
        <f aca="false">IF($BX239&lt;&gt;Constants!$B$6,"",IF($AT239,Constants!$B$17*$AV239+Constants!$B$18*IF($AW239,$AX239,Constants!$B$19),Constants!$B$20))</f>
        <v/>
      </c>
      <c r="BO239" s="97" t="str">
        <f aca="false">IF($BX239&lt;&gt;Constants!$B$6,"",Constants!$B$21*ABS($AD$9-IF($AT239,$AU239,0)))</f>
        <v/>
      </c>
      <c r="BP239" s="97" t="str">
        <f aca="false">IF($BX239&lt;&gt;Constants!$B$6,"",IF(AND($AT239,$AY239,$AW239),Constants!$B$22,0))</f>
        <v/>
      </c>
      <c r="BQ239" s="97" t="str">
        <f aca="false">IF($BX239&lt;&gt;Constants!$B$6,"",IF($AT239,($AI239-Constants!$B$24)*Constants!$B$23,0))</f>
        <v/>
      </c>
      <c r="BR239" s="97" t="str">
        <f aca="false">IF($BX239&lt;&gt;Constants!$B$6,"",IF($AS239,0,Constants!$B$12)+IF($AR239,0,Constants!$B$13)+IF($AH239,0,Constants!$B$14))</f>
        <v/>
      </c>
      <c r="BS239" s="98" t="str">
        <f aca="false">IF($BX239&lt;&gt;Constants!$B$6,"",Constants!$B$16+SUM($BN239:$BR239))</f>
        <v/>
      </c>
      <c r="BT239" s="97" t="str">
        <f aca="false">IF($BX239&lt;&gt;Constants!$B$6,"",$BN239)</f>
        <v/>
      </c>
      <c r="BU239" s="97" t="str">
        <f aca="false">IF($BX239&lt;&gt;Constants!$B$6,"",$BO239)</f>
        <v/>
      </c>
      <c r="BV239" s="99" t="str">
        <f aca="false">IF($BX239&lt;&gt;Constants!$B$6,"",IF($AT239,$AV239,""))</f>
        <v/>
      </c>
      <c r="BW239" s="93" t="str">
        <f aca="false">IF(ISBLANK($C239),"",IF(ISBLANK($D$7),$BW$5,IF(NOT(ISNUMBER($D$7)),$BW$6,"")))</f>
        <v/>
      </c>
      <c r="BX239" s="93" t="str">
        <f aca="false">IF(ISBLANK($C239),"",IF($BA239,Constants!$B$9,IF(COUNTA($E239:$AA239)=0,Constants!$B$8,IF(NOT($AG239),Constants!$B$7,IF(OR($BW239&lt;&gt;"",$BB239,$BM239),Constants!$B$10,Constants!$B$6)))))</f>
        <v/>
      </c>
      <c r="BY239" s="93" t="str">
        <f aca="false">IF(ISBLANK($C239),"",IF($BX239&lt;&gt;Constants!$B$6,$BX239,Constants!$B$11))</f>
        <v/>
      </c>
      <c r="BZ239" s="97" t="str">
        <f aca="false">IF($BX239&lt;&gt;Constants!$B$6,"",IF($BL239="-&gt;",$BS239,$BH239))</f>
        <v/>
      </c>
      <c r="CA239" s="97" t="str">
        <f aca="false">IF($BX239&lt;&gt;Constants!$B$6,"",IF($AF239,0,Constants!$B$15))</f>
        <v/>
      </c>
      <c r="CB239" s="97" t="str">
        <f aca="false">IF($BX239&lt;&gt;Constants!$B$6,"",((Constants!$B$25-$AZ239)-Constants!$B$25)/Constants!$B$26)</f>
        <v/>
      </c>
      <c r="CC239" s="97" t="str">
        <f aca="false">IF(ISBLANK($C239),"",IF($BX239&lt;&gt;Constants!$B$6,$BX239,SUM($BZ239:$CB239)))</f>
        <v/>
      </c>
      <c r="CD239" s="93" t="str">
        <f aca="false">IF(ISBLANK($C239),"",IF($BX239&lt;&gt;Constants!$B$6,$BX239,RANK($CC239,$CC$9:$CC$508,1)))</f>
        <v/>
      </c>
      <c r="CE239" s="97" t="str">
        <f aca="false">IF($BX239&lt;&gt;Constants!$B$6,"",IF($BL239="-&gt;",$BT239,$BI239))</f>
        <v/>
      </c>
      <c r="CF239" s="93" t="str">
        <f aca="false">IF(ISBLANK($C239),"",IF($BX239&lt;&gt;Constants!$B$6,$BX239,IF(ISNUMBER($CE239),RANK($CE239,$CE$9:$CE$508,1),COUNT($CE$9:$CE$508)+1)))</f>
        <v/>
      </c>
      <c r="CG239" s="97" t="str">
        <f aca="false">IF($BX239&lt;&gt;Constants!$B$6,"",IF($BL239="-&gt;",$BU239,$BJ239))</f>
        <v/>
      </c>
      <c r="CH239" s="93" t="str">
        <f aca="false">IF(ISBLANK($C239),"",IF($BX239&lt;&gt;Constants!$B$6,$BX239,IF(ISNUMBER($CG239),RANK($CG239,$CG$9:$CG$508,1),COUNT($CG$9:$CG$508)+1)))</f>
        <v/>
      </c>
      <c r="CI239" s="97" t="str">
        <f aca="false">IF($BX239&lt;&gt;Constants!$B$6,"",IF($BL239="-&gt;",$BV239,$BK239))</f>
        <v/>
      </c>
      <c r="CJ239" s="93" t="str">
        <f aca="false">IF(ISBLANK($C239),"",IF($BX239&lt;&gt;Constants!$B$6,$BX239,IF(ISNUMBER($CI239),RANK($CI239,$CI$9:$CI$508,1),COUNT($CI$9:$CI$508)+1)))</f>
        <v/>
      </c>
      <c r="CK239" s="97" t="str">
        <f aca="false">IF($BX239&lt;&gt;Constants!$B$6,"",$AI239)</f>
        <v/>
      </c>
      <c r="CL239" s="93" t="str">
        <f aca="false">IF(ISBLANK($C239),"",IF($BX239&lt;&gt;Constants!$B$6,$BX239,IF(ISNUMBER($CK239),RANK($CK239,$CK$9:$CK$508,1),COUNT($CK$9:$CK$508)+1)))</f>
        <v/>
      </c>
      <c r="CM239" s="93" t="str">
        <f aca="false">IF(ISBLANK($C239),"",IF($BX239&lt;&gt;Constants!$B$6,$BX239,COUNTIFS($CD$9:$CD$508,"&lt;"&amp;$CD239)+COUNTIFS($CD$9:$CD$508,$CD239,$CF$9:$CF$508,"&lt;"&amp;$CF239)+COUNTIFS($CD$9:$CD$508,$CD239,$CF$9:$CF$508,$CF239,$CH$9:$CH$508,"&lt;"&amp;$CH239)+COUNTIFS($CD$9:$CD$508,$CD239,$CF$9:$CF$508,$CF239,$CH$9:$CH$508,$CH239,$CJ$9:$CJ$508,"&lt;"&amp;$CJ239)+COUNTIFS($CD$9:$CD$508,$CD239,$CF$9:$CF$508,$CF239,$CH$9:$CH$508,$CH239,$CJ$9:$CJ$508,$CJ239,$CL$9:$CL$508,"&lt;"&amp;$CL239)+1))</f>
        <v/>
      </c>
      <c r="CN239" s="93" t="str">
        <f aca="false">IF(ISBLANK($C239),"",IF($BX239&lt;&gt;Constants!$B$6,$BX239,$CD239-$CM239))</f>
        <v/>
      </c>
      <c r="CO239" s="100"/>
      <c r="CP239" s="101"/>
      <c r="CQ239" s="102" t="str">
        <f aca="false">IF(ISBLANK($C239),"",IF($BX239=Constants!$B$10,$BW239,""))</f>
        <v/>
      </c>
      <c r="CR239" s="101" t="str">
        <f aca="false">IF(ISBLANK($C239),"",IF($BX239&lt;&gt;Constants!$B$6,"",IF($BL239="-&gt;",2,1)))</f>
        <v/>
      </c>
      <c r="CS239" s="103" t="str">
        <f aca="false">IF(ISBLANK($C239),"",IF($BX239&lt;&gt;Constants!$B$6,"",IF($BL239="-&gt;",$BN239,$BC239)))</f>
        <v/>
      </c>
      <c r="CT239" s="103" t="str">
        <f aca="false">IF(ISBLANK($C239),"",IF($BX239&lt;&gt;Constants!$B$6,"",IF($BL239="-&gt;",$BO239,$BD239)))</f>
        <v/>
      </c>
      <c r="CU239" s="103" t="str">
        <f aca="false">IF(ISBLANK($C239),"",IF($BX239&lt;&gt;Constants!$B$6,"",IF($BL239="-&gt;",$BP239+$BQ239,$BE239+$BF239)+$CB239))</f>
        <v/>
      </c>
      <c r="CV239" s="103" t="str">
        <f aca="false">IF(ISBLANK($C239),"",IF($BX239&lt;&gt;Constants!$B$6,"",IF($BL239="-&gt;",$BR239,$BG239)+$CA239))</f>
        <v/>
      </c>
      <c r="CW239" s="104" t="str">
        <f aca="false">IF(ISBLANK($C239),"",IF($BX239&lt;&gt;Constants!$B$6,$BX239,$CC239))</f>
        <v/>
      </c>
      <c r="CX239" s="105" t="str">
        <f aca="false">IF(ISBLANK($C239),"",$BY239)</f>
        <v/>
      </c>
      <c r="CY239" s="106" t="str">
        <f aca="false">IF(ISBLANK($C239),"",$CN239)</f>
        <v/>
      </c>
      <c r="CZ239" s="106" t="str">
        <f aca="false">IF(ISBLANK($C239),"",$CM239)</f>
        <v/>
      </c>
      <c r="DA239" s="107" t="str">
        <f aca="false">IF(ISBLANK($C239),"",IFERROR(_xlfn.SWITCH($CZ239,Constants!$B$9,COUNTA($C$9:$C$508)+2,Constants!$B$8,COUNTA($C$9:$C$508)+1,Constants!$B$7,COUNTA($C$9:$C$508)),$CZ239))</f>
        <v/>
      </c>
      <c r="DB239" s="9"/>
      <c r="DC239" s="108" t="n">
        <f aca="false">IF(OR(ISNUMBER($CZ239),$CZ239=Constants!$B$9,$CZ239=Constants!$B$7,$CZ239=Constants!$B$8),1,0)</f>
        <v>0</v>
      </c>
      <c r="DD239" s="108" t="n">
        <v>231</v>
      </c>
      <c r="DE239" s="108" t="str">
        <f aca="false">IF(ISBLANK($C239),"",IF(ISNUMBER($DA239),$DA239+ROW($B239)/1000,""))</f>
        <v/>
      </c>
      <c r="DF239" s="108" t="str">
        <f aca="false">IF(ISNUMBER($DE239),RANK($DE239,$DE$9:$DE$508,1),"")</f>
        <v/>
      </c>
      <c r="DG239" s="108" t="str">
        <f aca="false">IF(ISBLANK($C239),"",$B239)</f>
        <v/>
      </c>
      <c r="DH239" s="108" t="str">
        <f aca="false">IF(ISBLANK($C239),"",$C239)</f>
        <v/>
      </c>
      <c r="DI239" s="108" t="str">
        <f aca="false">IF(ISBLANK($C239),"",$D239)</f>
        <v/>
      </c>
      <c r="DJ239" s="109" t="str">
        <f aca="false">$CX239</f>
        <v/>
      </c>
      <c r="DK239" s="110" t="str">
        <f aca="false">$CW239</f>
        <v/>
      </c>
      <c r="DL239" s="108" t="str">
        <f aca="false">IF(ISBLANK($C239),"",$CZ239)</f>
        <v/>
      </c>
      <c r="DM239" s="111" t="str">
        <f aca="false">IF($DD239&gt;$DC$8,"",VLOOKUP($DD239,$DF$9:$DL$508,7,FALSE()))</f>
        <v/>
      </c>
      <c r="DN239" s="112" t="str">
        <f aca="false">IF($DD239&gt;$DC$8,"",VLOOKUP($DD239,$DF$9:$DL$508,2,FALSE()))</f>
        <v/>
      </c>
      <c r="DO239" s="112" t="str">
        <f aca="false">IF($DD239&gt;$DC$8,"",VLOOKUP($DD239,$DF$9:$DL$508,3,FALSE()))</f>
        <v/>
      </c>
      <c r="DP239" s="112" t="str">
        <f aca="false">IF($DD239&gt;$DC$8,"",VLOOKUP($DD239,$DF$9:$DL$508,4,FALSE()))</f>
        <v/>
      </c>
      <c r="DQ239" s="112" t="str">
        <f aca="false">IF($DD239&gt;$DC$8,"",VLOOKUP($DD239,$DF$9:$DL$508,5,FALSE()))</f>
        <v/>
      </c>
      <c r="DR239" s="113" t="str">
        <f aca="false">IF($DD239&gt;$DC$8,"",VLOOKUP($DD239,$DF$9:$DL$508,6,FALSE()))</f>
        <v/>
      </c>
      <c r="DS239" s="76"/>
    </row>
    <row r="240" customFormat="false" ht="15.75" hidden="false" customHeight="false" outlineLevel="0" collapsed="false">
      <c r="A240" s="9"/>
      <c r="B240" s="160"/>
      <c r="C240" s="161"/>
      <c r="D240" s="162"/>
      <c r="E240" s="180"/>
      <c r="F240" s="164"/>
      <c r="G240" s="165"/>
      <c r="H240" s="165"/>
      <c r="I240" s="181"/>
      <c r="J240" s="168"/>
      <c r="K240" s="128"/>
      <c r="L240" s="129"/>
      <c r="M240" s="130"/>
      <c r="N240" s="168"/>
      <c r="O240" s="168"/>
      <c r="P240" s="180"/>
      <c r="Q240" s="168"/>
      <c r="R240" s="168"/>
      <c r="S240" s="128"/>
      <c r="T240" s="130"/>
      <c r="U240" s="130"/>
      <c r="V240" s="168"/>
      <c r="W240" s="168"/>
      <c r="X240" s="180"/>
      <c r="Y240" s="168"/>
      <c r="Z240" s="169"/>
      <c r="AA240" s="168"/>
      <c r="AB240" s="134"/>
      <c r="AC240" s="135"/>
      <c r="AD240" s="135"/>
      <c r="AE240" s="135"/>
      <c r="AF240" s="135" t="str">
        <f aca="false">IF(ISBLANK($C240),"",IF(E240=Constants!$B$2,TRUE(),IF(E240=Constants!$B$3,FALSE(),TRUE())))</f>
        <v/>
      </c>
      <c r="AG240" s="135" t="str">
        <f aca="false">IF(ISBLANK($C240),"",IF(F240=Constants!$B$2,TRUE(),IF(F240=Constants!$B$3,FALSE(),TRUE())))</f>
        <v/>
      </c>
      <c r="AH240" s="135" t="str">
        <f aca="false">IF(ISBLANK($C240),"",IF(G240=Constants!$B$2,TRUE(),IF(G240=Constants!$B$3,FALSE(),TRUE())))</f>
        <v/>
      </c>
      <c r="AI240" s="135" t="str">
        <f aca="false">IF(ISBLANK($C240),"",IF(AND(ISNUMBER(H240),H240&gt;=0),H240,Constants!$B$24))</f>
        <v/>
      </c>
      <c r="AJ240" s="135" t="str">
        <f aca="false">IF(ISBLANK($C240),"",IF(I240=Constants!$B$2,TRUE(),IF(I240=Constants!$B$3,FALSE(),TRUE())))</f>
        <v/>
      </c>
      <c r="AK240" s="135" t="str">
        <f aca="false">IF(ISBLANK($C240),"",IF(J240=Constants!$B$2,TRUE(),IF(J240=Constants!$B$3,FALSE(),TRUE())))</f>
        <v/>
      </c>
      <c r="AL240" s="135" t="str">
        <f aca="false">IF(ISBLANK($C240),"",IF(K240=Constants!$B$4,TRUE(),IF(K240=Constants!$B$5,FALSE(),COUNTA(L240:P240)&gt;0)))</f>
        <v/>
      </c>
      <c r="AM240" s="136" t="str">
        <f aca="false">IF(ISBLANK($C240),"",IF(ISNUMBER(L240),IF(L240&gt;=0,L240,""),""))</f>
        <v/>
      </c>
      <c r="AN240" s="137" t="str">
        <f aca="false">IF(ISBLANK($C240),"",IF(ISNUMBER(M240),IF(M240&gt;=0,M240,""),""))</f>
        <v/>
      </c>
      <c r="AO240" s="137" t="str">
        <f aca="false">IF(ISBLANK($C240),"",IF(N240=Constants!$B$2,TRUE(),IF(N240=Constants!$B$3,FALSE(),TRUE())))</f>
        <v/>
      </c>
      <c r="AP240" s="135" t="str">
        <f aca="false">IF(ISBLANK($C240),"",IF(ISNUMBER(O240),IF(O240&gt;=0,O240,""),""))</f>
        <v/>
      </c>
      <c r="AQ240" s="135" t="str">
        <f aca="false">IF(ISBLANK($C240),"",IF(P240=Constants!$B$2,TRUE(),IF(P240=Constants!$B$3,FALSE(),FALSE())))</f>
        <v/>
      </c>
      <c r="AR240" s="135" t="str">
        <f aca="false">IF(ISBLANK($C240),"",IF(Q240=Constants!$B$2,TRUE(),IF(Q240=Constants!$B$3,FALSE(),TRUE())))</f>
        <v/>
      </c>
      <c r="AS240" s="135" t="str">
        <f aca="false">IF(ISBLANK($C240),"",IF(R240=Constants!$B$2,TRUE(),IF(R240=Constants!$B$3,FALSE(),TRUE())))</f>
        <v/>
      </c>
      <c r="AT240" s="135" t="str">
        <f aca="false">IF(ISBLANK($C240),"",IF(S240=Constants!$B$4,TRUE(),IF(S240=Constants!$B$5,FALSE(),COUNTA(T240:X240)&gt;0)))</f>
        <v/>
      </c>
      <c r="AU240" s="136" t="str">
        <f aca="false">IF(ISBLANK($C240),"",IF(ISNUMBER(T240),IF(T240&gt;=0,T240,""),""))</f>
        <v/>
      </c>
      <c r="AV240" s="137" t="str">
        <f aca="false">IF(ISBLANK($C240),"",IF(ISNUMBER(U240),IF(U240&gt;=0,U240,""),""))</f>
        <v/>
      </c>
      <c r="AW240" s="137" t="str">
        <f aca="false">IF(ISBLANK($C240),"",IF(V240=Constants!$B$2,TRUE(),IF(V240=Constants!$B$3,FALSE(),TRUE())))</f>
        <v/>
      </c>
      <c r="AX240" s="135" t="str">
        <f aca="false">IF(ISBLANK($C240),"",IF(ISNUMBER(W240),IF(W240&gt;=0,W240,""),""))</f>
        <v/>
      </c>
      <c r="AY240" s="135" t="str">
        <f aca="false">IF(ISBLANK($C240),"",IF(X240=Constants!$B$2,TRUE(),IF(X240=Constants!$B$3,FALSE(),FALSE())))</f>
        <v/>
      </c>
      <c r="AZ240" s="135" t="str">
        <f aca="false">IF(ISBLANK($C240),"",MIN(Constants!$B$25,MAX(0,IF(ISNUMBER(Y240),Y240*60,0)+IF(ISNUMBER(Z240),Z240,0))))</f>
        <v/>
      </c>
      <c r="BA240" s="135" t="str">
        <f aca="false">IF(ISBLANK($C240),"",IF(AA240=Constants!$B$2,TRUE(),IF(AA240=Constants!$B$3,FALSE(),FALSE())))</f>
        <v/>
      </c>
      <c r="BB240" s="134" t="str">
        <f aca="false">IF(ISBLANK($C240),"",AND($AL240,OR($AM240="",$AN240="",AND($AO240,$AP240=""))))</f>
        <v/>
      </c>
      <c r="BC240" s="137" t="str">
        <f aca="false">IF($BX240&lt;&gt;Constants!$B$6,"",IF($AL240,Constants!$B$17*$AN240+Constants!$B$18*IF($AO240,$AP240,Constants!$B$19),Constants!$B$20))</f>
        <v/>
      </c>
      <c r="BD240" s="138" t="str">
        <f aca="false">IF($BX240&lt;&gt;Constants!$B$6,"",Constants!$B$21*ABS($AD$9-IF($AL240,$AM240,0)))</f>
        <v/>
      </c>
      <c r="BE240" s="138" t="str">
        <f aca="false">IF($BX240&lt;&gt;Constants!$B$6,"",IF(AND($AL240,$AQ240,$AO240),Constants!$B$22,0))</f>
        <v/>
      </c>
      <c r="BF240" s="138" t="str">
        <f aca="false">IF($BX240&lt;&gt;Constants!$B$6,"",IF($AL240,($AI240-Constants!$B$24)*Constants!$B$23,0))</f>
        <v/>
      </c>
      <c r="BG240" s="138" t="str">
        <f aca="false">IF($BX240&lt;&gt;Constants!$B$6,"",IF($AK240,0,Constants!$B$12)+IF($AJ240,0,Constants!$B$13)+IF($AH240,0,Constants!$B$14))</f>
        <v/>
      </c>
      <c r="BH240" s="139" t="str">
        <f aca="false">IF($BX240&lt;&gt;Constants!$B$6,"",Constants!$B$16+SUM($BC240:$BG240))</f>
        <v/>
      </c>
      <c r="BI240" s="138" t="str">
        <f aca="false">IF($BX240&lt;&gt;Constants!$B$6,"",$BC240)</f>
        <v/>
      </c>
      <c r="BJ240" s="138" t="str">
        <f aca="false">IF($BX240&lt;&gt;Constants!$B$6,"",$BD240)</f>
        <v/>
      </c>
      <c r="BK240" s="140" t="str">
        <f aca="false">IF($BX240&lt;&gt;Constants!$B$6,"",IF($AL240,$AN240,""))</f>
        <v/>
      </c>
      <c r="BL240" s="135" t="str">
        <f aca="false">IF($BX240&lt;&gt;Constants!$B$6,"",IF(OR($BS240&lt;$BH240,AND($BS240=$BH240,OR($BT240&lt;$BI240,AND($BT240=$BI240,OR($BU240&lt;$BJ240,AND($BU240=$BJ240,AND(ISNUMBER($BV240),OR(NOT(ISNUMBER($BK240)),$BV240&lt;$BK240)))))))),"-&gt;","&lt;-"))</f>
        <v/>
      </c>
      <c r="BM240" s="134" t="str">
        <f aca="false">IF(ISBLANK($C240),"",AND($AT240,OR($AU240="",$AV240="",AND($AW240,$AX240=""))))</f>
        <v/>
      </c>
      <c r="BN240" s="137" t="str">
        <f aca="false">IF($BX240&lt;&gt;Constants!$B$6,"",IF($AT240,Constants!$B$17*$AV240+Constants!$B$18*IF($AW240,$AX240,Constants!$B$19),Constants!$B$20))</f>
        <v/>
      </c>
      <c r="BO240" s="138" t="str">
        <f aca="false">IF($BX240&lt;&gt;Constants!$B$6,"",Constants!$B$21*ABS($AD$9-IF($AT240,$AU240,0)))</f>
        <v/>
      </c>
      <c r="BP240" s="138" t="str">
        <f aca="false">IF($BX240&lt;&gt;Constants!$B$6,"",IF(AND($AT240,$AY240,$AW240),Constants!$B$22,0))</f>
        <v/>
      </c>
      <c r="BQ240" s="138" t="str">
        <f aca="false">IF($BX240&lt;&gt;Constants!$B$6,"",IF($AT240,($AI240-Constants!$B$24)*Constants!$B$23,0))</f>
        <v/>
      </c>
      <c r="BR240" s="138" t="str">
        <f aca="false">IF($BX240&lt;&gt;Constants!$B$6,"",IF($AS240,0,Constants!$B$12)+IF($AR240,0,Constants!$B$13)+IF($AH240,0,Constants!$B$14))</f>
        <v/>
      </c>
      <c r="BS240" s="139" t="str">
        <f aca="false">IF($BX240&lt;&gt;Constants!$B$6,"",Constants!$B$16+SUM($BN240:$BR240))</f>
        <v/>
      </c>
      <c r="BT240" s="138" t="str">
        <f aca="false">IF($BX240&lt;&gt;Constants!$B$6,"",$BN240)</f>
        <v/>
      </c>
      <c r="BU240" s="138" t="str">
        <f aca="false">IF($BX240&lt;&gt;Constants!$B$6,"",$BO240)</f>
        <v/>
      </c>
      <c r="BV240" s="140" t="str">
        <f aca="false">IF($BX240&lt;&gt;Constants!$B$6,"",IF($AT240,$AV240,""))</f>
        <v/>
      </c>
      <c r="BW240" s="135" t="str">
        <f aca="false">IF(ISBLANK($C240),"",IF(ISBLANK($D$7),$BW$5,IF(NOT(ISNUMBER($D$7)),$BW$6,"")))</f>
        <v/>
      </c>
      <c r="BX240" s="135" t="str">
        <f aca="false">IF(ISBLANK($C240),"",IF($BA240,Constants!$B$9,IF(COUNTA($E240:$AA240)=0,Constants!$B$8,IF(NOT($AG240),Constants!$B$7,IF(OR($BW240&lt;&gt;"",$BB240,$BM240),Constants!$B$10,Constants!$B$6)))))</f>
        <v/>
      </c>
      <c r="BY240" s="135" t="str">
        <f aca="false">IF(ISBLANK($C240),"",IF($BX240&lt;&gt;Constants!$B$6,$BX240,Constants!$B$11))</f>
        <v/>
      </c>
      <c r="BZ240" s="138" t="str">
        <f aca="false">IF($BX240&lt;&gt;Constants!$B$6,"",IF($BL240="-&gt;",$BS240,$BH240))</f>
        <v/>
      </c>
      <c r="CA240" s="138" t="str">
        <f aca="false">IF($BX240&lt;&gt;Constants!$B$6,"",IF($AF240,0,Constants!$B$15))</f>
        <v/>
      </c>
      <c r="CB240" s="138" t="str">
        <f aca="false">IF($BX240&lt;&gt;Constants!$B$6,"",((Constants!$B$25-$AZ240)-Constants!$B$25)/Constants!$B$26)</f>
        <v/>
      </c>
      <c r="CC240" s="138" t="str">
        <f aca="false">IF(ISBLANK($C240),"",IF($BX240&lt;&gt;Constants!$B$6,$BX240,SUM($BZ240:$CB240)))</f>
        <v/>
      </c>
      <c r="CD240" s="135" t="str">
        <f aca="false">IF(ISBLANK($C240),"",IF($BX240&lt;&gt;Constants!$B$6,$BX240,RANK($CC240,$CC$9:$CC$508,1)))</f>
        <v/>
      </c>
      <c r="CE240" s="138" t="str">
        <f aca="false">IF($BX240&lt;&gt;Constants!$B$6,"",IF($BL240="-&gt;",$BT240,$BI240))</f>
        <v/>
      </c>
      <c r="CF240" s="135" t="str">
        <f aca="false">IF(ISBLANK($C240),"",IF($BX240&lt;&gt;Constants!$B$6,$BX240,IF(ISNUMBER($CE240),RANK($CE240,$CE$9:$CE$508,1),COUNT($CE$9:$CE$508)+1)))</f>
        <v/>
      </c>
      <c r="CG240" s="138" t="str">
        <f aca="false">IF($BX240&lt;&gt;Constants!$B$6,"",IF($BL240="-&gt;",$BU240,$BJ240))</f>
        <v/>
      </c>
      <c r="CH240" s="135" t="str">
        <f aca="false">IF(ISBLANK($C240),"",IF($BX240&lt;&gt;Constants!$B$6,$BX240,IF(ISNUMBER($CG240),RANK($CG240,$CG$9:$CG$508,1),COUNT($CG$9:$CG$508)+1)))</f>
        <v/>
      </c>
      <c r="CI240" s="138" t="str">
        <f aca="false">IF($BX240&lt;&gt;Constants!$B$6,"",IF($BL240="-&gt;",$BV240,$BK240))</f>
        <v/>
      </c>
      <c r="CJ240" s="135" t="str">
        <f aca="false">IF(ISBLANK($C240),"",IF($BX240&lt;&gt;Constants!$B$6,$BX240,IF(ISNUMBER($CI240),RANK($CI240,$CI$9:$CI$508,1),COUNT($CI$9:$CI$508)+1)))</f>
        <v/>
      </c>
      <c r="CK240" s="138" t="str">
        <f aca="false">IF($BX240&lt;&gt;Constants!$B$6,"",$AI240)</f>
        <v/>
      </c>
      <c r="CL240" s="135" t="str">
        <f aca="false">IF(ISBLANK($C240),"",IF($BX240&lt;&gt;Constants!$B$6,$BX240,IF(ISNUMBER($CK240),RANK($CK240,$CK$9:$CK$508,1),COUNT($CK$9:$CK$508)+1)))</f>
        <v/>
      </c>
      <c r="CM240" s="135" t="str">
        <f aca="false">IF(ISBLANK($C240),"",IF($BX240&lt;&gt;Constants!$B$6,$BX240,COUNTIFS($CD$9:$CD$508,"&lt;"&amp;$CD240)+COUNTIFS($CD$9:$CD$508,$CD240,$CF$9:$CF$508,"&lt;"&amp;$CF240)+COUNTIFS($CD$9:$CD$508,$CD240,$CF$9:$CF$508,$CF240,$CH$9:$CH$508,"&lt;"&amp;$CH240)+COUNTIFS($CD$9:$CD$508,$CD240,$CF$9:$CF$508,$CF240,$CH$9:$CH$508,$CH240,$CJ$9:$CJ$508,"&lt;"&amp;$CJ240)+COUNTIFS($CD$9:$CD$508,$CD240,$CF$9:$CF$508,$CF240,$CH$9:$CH$508,$CH240,$CJ$9:$CJ$508,$CJ240,$CL$9:$CL$508,"&lt;"&amp;$CL240)+1))</f>
        <v/>
      </c>
      <c r="CN240" s="135" t="str">
        <f aca="false">IF(ISBLANK($C240),"",IF($BX240&lt;&gt;Constants!$B$6,$BX240,$CD240-$CM240))</f>
        <v/>
      </c>
      <c r="CO240" s="141"/>
      <c r="CP240" s="142"/>
      <c r="CQ240" s="143" t="str">
        <f aca="false">IF(ISBLANK($C240),"",IF($BX240=Constants!$B$10,$BW240,""))</f>
        <v/>
      </c>
      <c r="CR240" s="142" t="str">
        <f aca="false">IF(ISBLANK($C240),"",IF($BX240&lt;&gt;Constants!$B$6,"",IF($BL240="-&gt;",2,1)))</f>
        <v/>
      </c>
      <c r="CS240" s="144" t="str">
        <f aca="false">IF(ISBLANK($C240),"",IF($BX240&lt;&gt;Constants!$B$6,"",IF($BL240="-&gt;",$BN240,$BC240)))</f>
        <v/>
      </c>
      <c r="CT240" s="144" t="str">
        <f aca="false">IF(ISBLANK($C240),"",IF($BX240&lt;&gt;Constants!$B$6,"",IF($BL240="-&gt;",$BO240,$BD240)))</f>
        <v/>
      </c>
      <c r="CU240" s="144" t="str">
        <f aca="false">IF(ISBLANK($C240),"",IF($BX240&lt;&gt;Constants!$B$6,"",IF($BL240="-&gt;",$BP240+$BQ240,$BE240+$BF240)+$CB240))</f>
        <v/>
      </c>
      <c r="CV240" s="144" t="str">
        <f aca="false">IF(ISBLANK($C240),"",IF($BX240&lt;&gt;Constants!$B$6,"",IF($BL240="-&gt;",$BR240,$BG240)+$CA240))</f>
        <v/>
      </c>
      <c r="CW240" s="145" t="str">
        <f aca="false">IF(ISBLANK($C240),"",IF($BX240&lt;&gt;Constants!$B$6,$BX240,$CC240))</f>
        <v/>
      </c>
      <c r="CX240" s="146" t="str">
        <f aca="false">IF(ISBLANK($C240),"",$BY240)</f>
        <v/>
      </c>
      <c r="CY240" s="147" t="str">
        <f aca="false">IF(ISBLANK($C240),"",$CN240)</f>
        <v/>
      </c>
      <c r="CZ240" s="147" t="str">
        <f aca="false">IF(ISBLANK($C240),"",$CM240)</f>
        <v/>
      </c>
      <c r="DA240" s="148" t="str">
        <f aca="false">IF(ISBLANK($C240),"",IFERROR(_xlfn.SWITCH($CZ240,Constants!$B$9,COUNTA($C$9:$C$508)+2,Constants!$B$8,COUNTA($C$9:$C$508)+1,Constants!$B$7,COUNTA($C$9:$C$508)),$CZ240))</f>
        <v/>
      </c>
      <c r="DB240" s="9"/>
      <c r="DC240" s="149" t="n">
        <f aca="false">IF(OR(ISNUMBER($CZ240),$CZ240=Constants!$B$9,$CZ240=Constants!$B$7,$CZ240=Constants!$B$8),1,0)</f>
        <v>0</v>
      </c>
      <c r="DD240" s="149" t="n">
        <v>232</v>
      </c>
      <c r="DE240" s="149" t="str">
        <f aca="false">IF(ISBLANK($C240),"",IF(ISNUMBER($DA240),$DA240+ROW($B240)/1000,""))</f>
        <v/>
      </c>
      <c r="DF240" s="149" t="str">
        <f aca="false">IF(ISNUMBER($DE240),RANK($DE240,$DE$9:$DE$508,1),"")</f>
        <v/>
      </c>
      <c r="DG240" s="149" t="str">
        <f aca="false">IF(ISBLANK($C240),"",$B240)</f>
        <v/>
      </c>
      <c r="DH240" s="149" t="str">
        <f aca="false">IF(ISBLANK($C240),"",$C240)</f>
        <v/>
      </c>
      <c r="DI240" s="149" t="str">
        <f aca="false">IF(ISBLANK($C240),"",$D240)</f>
        <v/>
      </c>
      <c r="DJ240" s="150" t="str">
        <f aca="false">$CX240</f>
        <v/>
      </c>
      <c r="DK240" s="151" t="str">
        <f aca="false">$CW240</f>
        <v/>
      </c>
      <c r="DL240" s="149" t="str">
        <f aca="false">IF(ISBLANK($C240),"",$CZ240)</f>
        <v/>
      </c>
      <c r="DM240" s="152" t="str">
        <f aca="false">IF($DD240&gt;$DC$8,"",VLOOKUP($DD240,$DF$9:$DL$508,7,FALSE()))</f>
        <v/>
      </c>
      <c r="DN240" s="153" t="str">
        <f aca="false">IF($DD240&gt;$DC$8,"",VLOOKUP($DD240,$DF$9:$DL$508,2,FALSE()))</f>
        <v/>
      </c>
      <c r="DO240" s="153" t="str">
        <f aca="false">IF($DD240&gt;$DC$8,"",VLOOKUP($DD240,$DF$9:$DL$508,3,FALSE()))</f>
        <v/>
      </c>
      <c r="DP240" s="153" t="str">
        <f aca="false">IF($DD240&gt;$DC$8,"",VLOOKUP($DD240,$DF$9:$DL$508,4,FALSE()))</f>
        <v/>
      </c>
      <c r="DQ240" s="153" t="str">
        <f aca="false">IF($DD240&gt;$DC$8,"",VLOOKUP($DD240,$DF$9:$DL$508,5,FALSE()))</f>
        <v/>
      </c>
      <c r="DR240" s="154" t="str">
        <f aca="false">IF($DD240&gt;$DC$8,"",VLOOKUP($DD240,$DF$9:$DL$508,6,FALSE()))</f>
        <v/>
      </c>
      <c r="DS240" s="76"/>
    </row>
    <row r="241" customFormat="false" ht="15.75" hidden="false" customHeight="false" outlineLevel="0" collapsed="false">
      <c r="A241" s="9"/>
      <c r="B241" s="160"/>
      <c r="C241" s="161"/>
      <c r="D241" s="162"/>
      <c r="E241" s="180"/>
      <c r="F241" s="164"/>
      <c r="G241" s="165"/>
      <c r="H241" s="165"/>
      <c r="I241" s="181"/>
      <c r="J241" s="168"/>
      <c r="K241" s="128"/>
      <c r="L241" s="129"/>
      <c r="M241" s="130"/>
      <c r="N241" s="168"/>
      <c r="O241" s="168"/>
      <c r="P241" s="180"/>
      <c r="Q241" s="168"/>
      <c r="R241" s="168"/>
      <c r="S241" s="128"/>
      <c r="T241" s="130"/>
      <c r="U241" s="130"/>
      <c r="V241" s="168"/>
      <c r="W241" s="168"/>
      <c r="X241" s="180"/>
      <c r="Y241" s="168"/>
      <c r="Z241" s="169"/>
      <c r="AA241" s="168"/>
      <c r="AB241" s="134"/>
      <c r="AC241" s="135"/>
      <c r="AD241" s="135"/>
      <c r="AE241" s="135"/>
      <c r="AF241" s="135" t="str">
        <f aca="false">IF(ISBLANK($C241),"",IF(E241=Constants!$B$2,TRUE(),IF(E241=Constants!$B$3,FALSE(),TRUE())))</f>
        <v/>
      </c>
      <c r="AG241" s="135" t="str">
        <f aca="false">IF(ISBLANK($C241),"",IF(F241=Constants!$B$2,TRUE(),IF(F241=Constants!$B$3,FALSE(),TRUE())))</f>
        <v/>
      </c>
      <c r="AH241" s="135" t="str">
        <f aca="false">IF(ISBLANK($C241),"",IF(G241=Constants!$B$2,TRUE(),IF(G241=Constants!$B$3,FALSE(),TRUE())))</f>
        <v/>
      </c>
      <c r="AI241" s="135" t="str">
        <f aca="false">IF(ISBLANK($C241),"",IF(AND(ISNUMBER(H241),H241&gt;=0),H241,Constants!$B$24))</f>
        <v/>
      </c>
      <c r="AJ241" s="135" t="str">
        <f aca="false">IF(ISBLANK($C241),"",IF(I241=Constants!$B$2,TRUE(),IF(I241=Constants!$B$3,FALSE(),TRUE())))</f>
        <v/>
      </c>
      <c r="AK241" s="135" t="str">
        <f aca="false">IF(ISBLANK($C241),"",IF(J241=Constants!$B$2,TRUE(),IF(J241=Constants!$B$3,FALSE(),TRUE())))</f>
        <v/>
      </c>
      <c r="AL241" s="135" t="str">
        <f aca="false">IF(ISBLANK($C241),"",IF(K241=Constants!$B$4,TRUE(),IF(K241=Constants!$B$5,FALSE(),COUNTA(L241:P241)&gt;0)))</f>
        <v/>
      </c>
      <c r="AM241" s="136" t="str">
        <f aca="false">IF(ISBLANK($C241),"",IF(ISNUMBER(L241),IF(L241&gt;=0,L241,""),""))</f>
        <v/>
      </c>
      <c r="AN241" s="137" t="str">
        <f aca="false">IF(ISBLANK($C241),"",IF(ISNUMBER(M241),IF(M241&gt;=0,M241,""),""))</f>
        <v/>
      </c>
      <c r="AO241" s="137" t="str">
        <f aca="false">IF(ISBLANK($C241),"",IF(N241=Constants!$B$2,TRUE(),IF(N241=Constants!$B$3,FALSE(),TRUE())))</f>
        <v/>
      </c>
      <c r="AP241" s="135" t="str">
        <f aca="false">IF(ISBLANK($C241),"",IF(ISNUMBER(O241),IF(O241&gt;=0,O241,""),""))</f>
        <v/>
      </c>
      <c r="AQ241" s="135" t="str">
        <f aca="false">IF(ISBLANK($C241),"",IF(P241=Constants!$B$2,TRUE(),IF(P241=Constants!$B$3,FALSE(),FALSE())))</f>
        <v/>
      </c>
      <c r="AR241" s="135" t="str">
        <f aca="false">IF(ISBLANK($C241),"",IF(Q241=Constants!$B$2,TRUE(),IF(Q241=Constants!$B$3,FALSE(),TRUE())))</f>
        <v/>
      </c>
      <c r="AS241" s="135" t="str">
        <f aca="false">IF(ISBLANK($C241),"",IF(R241=Constants!$B$2,TRUE(),IF(R241=Constants!$B$3,FALSE(),TRUE())))</f>
        <v/>
      </c>
      <c r="AT241" s="135" t="str">
        <f aca="false">IF(ISBLANK($C241),"",IF(S241=Constants!$B$4,TRUE(),IF(S241=Constants!$B$5,FALSE(),COUNTA(T241:X241)&gt;0)))</f>
        <v/>
      </c>
      <c r="AU241" s="136" t="str">
        <f aca="false">IF(ISBLANK($C241),"",IF(ISNUMBER(T241),IF(T241&gt;=0,T241,""),""))</f>
        <v/>
      </c>
      <c r="AV241" s="137" t="str">
        <f aca="false">IF(ISBLANK($C241),"",IF(ISNUMBER(U241),IF(U241&gt;=0,U241,""),""))</f>
        <v/>
      </c>
      <c r="AW241" s="137" t="str">
        <f aca="false">IF(ISBLANK($C241),"",IF(V241=Constants!$B$2,TRUE(),IF(V241=Constants!$B$3,FALSE(),TRUE())))</f>
        <v/>
      </c>
      <c r="AX241" s="135" t="str">
        <f aca="false">IF(ISBLANK($C241),"",IF(ISNUMBER(W241),IF(W241&gt;=0,W241,""),""))</f>
        <v/>
      </c>
      <c r="AY241" s="135" t="str">
        <f aca="false">IF(ISBLANK($C241),"",IF(X241=Constants!$B$2,TRUE(),IF(X241=Constants!$B$3,FALSE(),FALSE())))</f>
        <v/>
      </c>
      <c r="AZ241" s="135" t="str">
        <f aca="false">IF(ISBLANK($C241),"",MIN(Constants!$B$25,MAX(0,IF(ISNUMBER(Y241),Y241*60,0)+IF(ISNUMBER(Z241),Z241,0))))</f>
        <v/>
      </c>
      <c r="BA241" s="135" t="str">
        <f aca="false">IF(ISBLANK($C241),"",IF(AA241=Constants!$B$2,TRUE(),IF(AA241=Constants!$B$3,FALSE(),FALSE())))</f>
        <v/>
      </c>
      <c r="BB241" s="134" t="str">
        <f aca="false">IF(ISBLANK($C241),"",AND($AL241,OR($AM241="",$AN241="",AND($AO241,$AP241=""))))</f>
        <v/>
      </c>
      <c r="BC241" s="137" t="str">
        <f aca="false">IF($BX241&lt;&gt;Constants!$B$6,"",IF($AL241,Constants!$B$17*$AN241+Constants!$B$18*IF($AO241,$AP241,Constants!$B$19),Constants!$B$20))</f>
        <v/>
      </c>
      <c r="BD241" s="138" t="str">
        <f aca="false">IF($BX241&lt;&gt;Constants!$B$6,"",Constants!$B$21*ABS($AD$9-IF($AL241,$AM241,0)))</f>
        <v/>
      </c>
      <c r="BE241" s="138" t="str">
        <f aca="false">IF($BX241&lt;&gt;Constants!$B$6,"",IF(AND($AL241,$AQ241,$AO241),Constants!$B$22,0))</f>
        <v/>
      </c>
      <c r="BF241" s="138" t="str">
        <f aca="false">IF($BX241&lt;&gt;Constants!$B$6,"",IF($AL241,($AI241-Constants!$B$24)*Constants!$B$23,0))</f>
        <v/>
      </c>
      <c r="BG241" s="138" t="str">
        <f aca="false">IF($BX241&lt;&gt;Constants!$B$6,"",IF($AK241,0,Constants!$B$12)+IF($AJ241,0,Constants!$B$13)+IF($AH241,0,Constants!$B$14))</f>
        <v/>
      </c>
      <c r="BH241" s="139" t="str">
        <f aca="false">IF($BX241&lt;&gt;Constants!$B$6,"",Constants!$B$16+SUM($BC241:$BG241))</f>
        <v/>
      </c>
      <c r="BI241" s="138" t="str">
        <f aca="false">IF($BX241&lt;&gt;Constants!$B$6,"",$BC241)</f>
        <v/>
      </c>
      <c r="BJ241" s="138" t="str">
        <f aca="false">IF($BX241&lt;&gt;Constants!$B$6,"",$BD241)</f>
        <v/>
      </c>
      <c r="BK241" s="140" t="str">
        <f aca="false">IF($BX241&lt;&gt;Constants!$B$6,"",IF($AL241,$AN241,""))</f>
        <v/>
      </c>
      <c r="BL241" s="135" t="str">
        <f aca="false">IF($BX241&lt;&gt;Constants!$B$6,"",IF(OR($BS241&lt;$BH241,AND($BS241=$BH241,OR($BT241&lt;$BI241,AND($BT241=$BI241,OR($BU241&lt;$BJ241,AND($BU241=$BJ241,AND(ISNUMBER($BV241),OR(NOT(ISNUMBER($BK241)),$BV241&lt;$BK241)))))))),"-&gt;","&lt;-"))</f>
        <v/>
      </c>
      <c r="BM241" s="134" t="str">
        <f aca="false">IF(ISBLANK($C241),"",AND($AT241,OR($AU241="",$AV241="",AND($AW241,$AX241=""))))</f>
        <v/>
      </c>
      <c r="BN241" s="137" t="str">
        <f aca="false">IF($BX241&lt;&gt;Constants!$B$6,"",IF($AT241,Constants!$B$17*$AV241+Constants!$B$18*IF($AW241,$AX241,Constants!$B$19),Constants!$B$20))</f>
        <v/>
      </c>
      <c r="BO241" s="138" t="str">
        <f aca="false">IF($BX241&lt;&gt;Constants!$B$6,"",Constants!$B$21*ABS($AD$9-IF($AT241,$AU241,0)))</f>
        <v/>
      </c>
      <c r="BP241" s="138" t="str">
        <f aca="false">IF($BX241&lt;&gt;Constants!$B$6,"",IF(AND($AT241,$AY241,$AW241),Constants!$B$22,0))</f>
        <v/>
      </c>
      <c r="BQ241" s="138" t="str">
        <f aca="false">IF($BX241&lt;&gt;Constants!$B$6,"",IF($AT241,($AI241-Constants!$B$24)*Constants!$B$23,0))</f>
        <v/>
      </c>
      <c r="BR241" s="138" t="str">
        <f aca="false">IF($BX241&lt;&gt;Constants!$B$6,"",IF($AS241,0,Constants!$B$12)+IF($AR241,0,Constants!$B$13)+IF($AH241,0,Constants!$B$14))</f>
        <v/>
      </c>
      <c r="BS241" s="139" t="str">
        <f aca="false">IF($BX241&lt;&gt;Constants!$B$6,"",Constants!$B$16+SUM($BN241:$BR241))</f>
        <v/>
      </c>
      <c r="BT241" s="138" t="str">
        <f aca="false">IF($BX241&lt;&gt;Constants!$B$6,"",$BN241)</f>
        <v/>
      </c>
      <c r="BU241" s="138" t="str">
        <f aca="false">IF($BX241&lt;&gt;Constants!$B$6,"",$BO241)</f>
        <v/>
      </c>
      <c r="BV241" s="140" t="str">
        <f aca="false">IF($BX241&lt;&gt;Constants!$B$6,"",IF($AT241,$AV241,""))</f>
        <v/>
      </c>
      <c r="BW241" s="135" t="str">
        <f aca="false">IF(ISBLANK($C241),"",IF(ISBLANK($D$7),$BW$5,IF(NOT(ISNUMBER($D$7)),$BW$6,"")))</f>
        <v/>
      </c>
      <c r="BX241" s="135" t="str">
        <f aca="false">IF(ISBLANK($C241),"",IF($BA241,Constants!$B$9,IF(COUNTA($E241:$AA241)=0,Constants!$B$8,IF(NOT($AG241),Constants!$B$7,IF(OR($BW241&lt;&gt;"",$BB241,$BM241),Constants!$B$10,Constants!$B$6)))))</f>
        <v/>
      </c>
      <c r="BY241" s="135" t="str">
        <f aca="false">IF(ISBLANK($C241),"",IF($BX241&lt;&gt;Constants!$B$6,$BX241,Constants!$B$11))</f>
        <v/>
      </c>
      <c r="BZ241" s="138" t="str">
        <f aca="false">IF($BX241&lt;&gt;Constants!$B$6,"",IF($BL241="-&gt;",$BS241,$BH241))</f>
        <v/>
      </c>
      <c r="CA241" s="138" t="str">
        <f aca="false">IF($BX241&lt;&gt;Constants!$B$6,"",IF($AF241,0,Constants!$B$15))</f>
        <v/>
      </c>
      <c r="CB241" s="138" t="str">
        <f aca="false">IF($BX241&lt;&gt;Constants!$B$6,"",((Constants!$B$25-$AZ241)-Constants!$B$25)/Constants!$B$26)</f>
        <v/>
      </c>
      <c r="CC241" s="138" t="str">
        <f aca="false">IF(ISBLANK($C241),"",IF($BX241&lt;&gt;Constants!$B$6,$BX241,SUM($BZ241:$CB241)))</f>
        <v/>
      </c>
      <c r="CD241" s="135" t="str">
        <f aca="false">IF(ISBLANK($C241),"",IF($BX241&lt;&gt;Constants!$B$6,$BX241,RANK($CC241,$CC$9:$CC$508,1)))</f>
        <v/>
      </c>
      <c r="CE241" s="138" t="str">
        <f aca="false">IF($BX241&lt;&gt;Constants!$B$6,"",IF($BL241="-&gt;",$BT241,$BI241))</f>
        <v/>
      </c>
      <c r="CF241" s="135" t="str">
        <f aca="false">IF(ISBLANK($C241),"",IF($BX241&lt;&gt;Constants!$B$6,$BX241,IF(ISNUMBER($CE241),RANK($CE241,$CE$9:$CE$508,1),COUNT($CE$9:$CE$508)+1)))</f>
        <v/>
      </c>
      <c r="CG241" s="138" t="str">
        <f aca="false">IF($BX241&lt;&gt;Constants!$B$6,"",IF($BL241="-&gt;",$BU241,$BJ241))</f>
        <v/>
      </c>
      <c r="CH241" s="135" t="str">
        <f aca="false">IF(ISBLANK($C241),"",IF($BX241&lt;&gt;Constants!$B$6,$BX241,IF(ISNUMBER($CG241),RANK($CG241,$CG$9:$CG$508,1),COUNT($CG$9:$CG$508)+1)))</f>
        <v/>
      </c>
      <c r="CI241" s="138" t="str">
        <f aca="false">IF($BX241&lt;&gt;Constants!$B$6,"",IF($BL241="-&gt;",$BV241,$BK241))</f>
        <v/>
      </c>
      <c r="CJ241" s="135" t="str">
        <f aca="false">IF(ISBLANK($C241),"",IF($BX241&lt;&gt;Constants!$B$6,$BX241,IF(ISNUMBER($CI241),RANK($CI241,$CI$9:$CI$508,1),COUNT($CI$9:$CI$508)+1)))</f>
        <v/>
      </c>
      <c r="CK241" s="138" t="str">
        <f aca="false">IF($BX241&lt;&gt;Constants!$B$6,"",$AI241)</f>
        <v/>
      </c>
      <c r="CL241" s="135" t="str">
        <f aca="false">IF(ISBLANK($C241),"",IF($BX241&lt;&gt;Constants!$B$6,$BX241,IF(ISNUMBER($CK241),RANK($CK241,$CK$9:$CK$508,1),COUNT($CK$9:$CK$508)+1)))</f>
        <v/>
      </c>
      <c r="CM241" s="135" t="str">
        <f aca="false">IF(ISBLANK($C241),"",IF($BX241&lt;&gt;Constants!$B$6,$BX241,COUNTIFS($CD$9:$CD$508,"&lt;"&amp;$CD241)+COUNTIFS($CD$9:$CD$508,$CD241,$CF$9:$CF$508,"&lt;"&amp;$CF241)+COUNTIFS($CD$9:$CD$508,$CD241,$CF$9:$CF$508,$CF241,$CH$9:$CH$508,"&lt;"&amp;$CH241)+COUNTIFS($CD$9:$CD$508,$CD241,$CF$9:$CF$508,$CF241,$CH$9:$CH$508,$CH241,$CJ$9:$CJ$508,"&lt;"&amp;$CJ241)+COUNTIFS($CD$9:$CD$508,$CD241,$CF$9:$CF$508,$CF241,$CH$9:$CH$508,$CH241,$CJ$9:$CJ$508,$CJ241,$CL$9:$CL$508,"&lt;"&amp;$CL241)+1))</f>
        <v/>
      </c>
      <c r="CN241" s="135" t="str">
        <f aca="false">IF(ISBLANK($C241),"",IF($BX241&lt;&gt;Constants!$B$6,$BX241,$CD241-$CM241))</f>
        <v/>
      </c>
      <c r="CO241" s="141"/>
      <c r="CP241" s="142"/>
      <c r="CQ241" s="143" t="str">
        <f aca="false">IF(ISBLANK($C241),"",IF($BX241=Constants!$B$10,$BW241,""))</f>
        <v/>
      </c>
      <c r="CR241" s="142" t="str">
        <f aca="false">IF(ISBLANK($C241),"",IF($BX241&lt;&gt;Constants!$B$6,"",IF($BL241="-&gt;",2,1)))</f>
        <v/>
      </c>
      <c r="CS241" s="144" t="str">
        <f aca="false">IF(ISBLANK($C241),"",IF($BX241&lt;&gt;Constants!$B$6,"",IF($BL241="-&gt;",$BN241,$BC241)))</f>
        <v/>
      </c>
      <c r="CT241" s="144" t="str">
        <f aca="false">IF(ISBLANK($C241),"",IF($BX241&lt;&gt;Constants!$B$6,"",IF($BL241="-&gt;",$BO241,$BD241)))</f>
        <v/>
      </c>
      <c r="CU241" s="144" t="str">
        <f aca="false">IF(ISBLANK($C241),"",IF($BX241&lt;&gt;Constants!$B$6,"",IF($BL241="-&gt;",$BP241+$BQ241,$BE241+$BF241)+$CB241))</f>
        <v/>
      </c>
      <c r="CV241" s="144" t="str">
        <f aca="false">IF(ISBLANK($C241),"",IF($BX241&lt;&gt;Constants!$B$6,"",IF($BL241="-&gt;",$BR241,$BG241)+$CA241))</f>
        <v/>
      </c>
      <c r="CW241" s="145" t="str">
        <f aca="false">IF(ISBLANK($C241),"",IF($BX241&lt;&gt;Constants!$B$6,$BX241,$CC241))</f>
        <v/>
      </c>
      <c r="CX241" s="146" t="str">
        <f aca="false">IF(ISBLANK($C241),"",$BY241)</f>
        <v/>
      </c>
      <c r="CY241" s="147" t="str">
        <f aca="false">IF(ISBLANK($C241),"",$CN241)</f>
        <v/>
      </c>
      <c r="CZ241" s="147" t="str">
        <f aca="false">IF(ISBLANK($C241),"",$CM241)</f>
        <v/>
      </c>
      <c r="DA241" s="148" t="str">
        <f aca="false">IF(ISBLANK($C241),"",IFERROR(_xlfn.SWITCH($CZ241,Constants!$B$9,COUNTA($C$9:$C$508)+2,Constants!$B$8,COUNTA($C$9:$C$508)+1,Constants!$B$7,COUNTA($C$9:$C$508)),$CZ241))</f>
        <v/>
      </c>
      <c r="DB241" s="9"/>
      <c r="DC241" s="149" t="n">
        <f aca="false">IF(OR(ISNUMBER($CZ241),$CZ241=Constants!$B$9,$CZ241=Constants!$B$7,$CZ241=Constants!$B$8),1,0)</f>
        <v>0</v>
      </c>
      <c r="DD241" s="149" t="n">
        <v>233</v>
      </c>
      <c r="DE241" s="149" t="str">
        <f aca="false">IF(ISBLANK($C241),"",IF(ISNUMBER($DA241),$DA241+ROW($B241)/1000,""))</f>
        <v/>
      </c>
      <c r="DF241" s="149" t="str">
        <f aca="false">IF(ISNUMBER($DE241),RANK($DE241,$DE$9:$DE$508,1),"")</f>
        <v/>
      </c>
      <c r="DG241" s="149" t="str">
        <f aca="false">IF(ISBLANK($C241),"",$B241)</f>
        <v/>
      </c>
      <c r="DH241" s="149" t="str">
        <f aca="false">IF(ISBLANK($C241),"",$C241)</f>
        <v/>
      </c>
      <c r="DI241" s="149" t="str">
        <f aca="false">IF(ISBLANK($C241),"",$D241)</f>
        <v/>
      </c>
      <c r="DJ241" s="150" t="str">
        <f aca="false">$CX241</f>
        <v/>
      </c>
      <c r="DK241" s="151" t="str">
        <f aca="false">$CW241</f>
        <v/>
      </c>
      <c r="DL241" s="149" t="str">
        <f aca="false">IF(ISBLANK($C241),"",$CZ241)</f>
        <v/>
      </c>
      <c r="DM241" s="152" t="str">
        <f aca="false">IF($DD241&gt;$DC$8,"",VLOOKUP($DD241,$DF$9:$DL$508,7,FALSE()))</f>
        <v/>
      </c>
      <c r="DN241" s="153" t="str">
        <f aca="false">IF($DD241&gt;$DC$8,"",VLOOKUP($DD241,$DF$9:$DL$508,2,FALSE()))</f>
        <v/>
      </c>
      <c r="DO241" s="153" t="str">
        <f aca="false">IF($DD241&gt;$DC$8,"",VLOOKUP($DD241,$DF$9:$DL$508,3,FALSE()))</f>
        <v/>
      </c>
      <c r="DP241" s="153" t="str">
        <f aca="false">IF($DD241&gt;$DC$8,"",VLOOKUP($DD241,$DF$9:$DL$508,4,FALSE()))</f>
        <v/>
      </c>
      <c r="DQ241" s="153" t="str">
        <f aca="false">IF($DD241&gt;$DC$8,"",VLOOKUP($DD241,$DF$9:$DL$508,5,FALSE()))</f>
        <v/>
      </c>
      <c r="DR241" s="154" t="str">
        <f aca="false">IF($DD241&gt;$DC$8,"",VLOOKUP($DD241,$DF$9:$DL$508,6,FALSE()))</f>
        <v/>
      </c>
      <c r="DS241" s="76"/>
    </row>
    <row r="242" customFormat="false" ht="15.75" hidden="false" customHeight="false" outlineLevel="0" collapsed="false">
      <c r="A242" s="9"/>
      <c r="B242" s="160"/>
      <c r="C242" s="161"/>
      <c r="D242" s="162"/>
      <c r="E242" s="180"/>
      <c r="F242" s="164"/>
      <c r="G242" s="165"/>
      <c r="H242" s="165"/>
      <c r="I242" s="181"/>
      <c r="J242" s="168"/>
      <c r="K242" s="128"/>
      <c r="L242" s="129"/>
      <c r="M242" s="130"/>
      <c r="N242" s="168"/>
      <c r="O242" s="168"/>
      <c r="P242" s="180"/>
      <c r="Q242" s="168"/>
      <c r="R242" s="168"/>
      <c r="S242" s="128"/>
      <c r="T242" s="130"/>
      <c r="U242" s="130"/>
      <c r="V242" s="168"/>
      <c r="W242" s="168"/>
      <c r="X242" s="180"/>
      <c r="Y242" s="168"/>
      <c r="Z242" s="169"/>
      <c r="AA242" s="168"/>
      <c r="AB242" s="134"/>
      <c r="AC242" s="135"/>
      <c r="AD242" s="135"/>
      <c r="AE242" s="135"/>
      <c r="AF242" s="135" t="str">
        <f aca="false">IF(ISBLANK($C242),"",IF(E242=Constants!$B$2,TRUE(),IF(E242=Constants!$B$3,FALSE(),TRUE())))</f>
        <v/>
      </c>
      <c r="AG242" s="135" t="str">
        <f aca="false">IF(ISBLANK($C242),"",IF(F242=Constants!$B$2,TRUE(),IF(F242=Constants!$B$3,FALSE(),TRUE())))</f>
        <v/>
      </c>
      <c r="AH242" s="135" t="str">
        <f aca="false">IF(ISBLANK($C242),"",IF(G242=Constants!$B$2,TRUE(),IF(G242=Constants!$B$3,FALSE(),TRUE())))</f>
        <v/>
      </c>
      <c r="AI242" s="135" t="str">
        <f aca="false">IF(ISBLANK($C242),"",IF(AND(ISNUMBER(H242),H242&gt;=0),H242,Constants!$B$24))</f>
        <v/>
      </c>
      <c r="AJ242" s="135" t="str">
        <f aca="false">IF(ISBLANK($C242),"",IF(I242=Constants!$B$2,TRUE(),IF(I242=Constants!$B$3,FALSE(),TRUE())))</f>
        <v/>
      </c>
      <c r="AK242" s="135" t="str">
        <f aca="false">IF(ISBLANK($C242),"",IF(J242=Constants!$B$2,TRUE(),IF(J242=Constants!$B$3,FALSE(),TRUE())))</f>
        <v/>
      </c>
      <c r="AL242" s="135" t="str">
        <f aca="false">IF(ISBLANK($C242),"",IF(K242=Constants!$B$4,TRUE(),IF(K242=Constants!$B$5,FALSE(),COUNTA(L242:P242)&gt;0)))</f>
        <v/>
      </c>
      <c r="AM242" s="136" t="str">
        <f aca="false">IF(ISBLANK($C242),"",IF(ISNUMBER(L242),IF(L242&gt;=0,L242,""),""))</f>
        <v/>
      </c>
      <c r="AN242" s="137" t="str">
        <f aca="false">IF(ISBLANK($C242),"",IF(ISNUMBER(M242),IF(M242&gt;=0,M242,""),""))</f>
        <v/>
      </c>
      <c r="AO242" s="137" t="str">
        <f aca="false">IF(ISBLANK($C242),"",IF(N242=Constants!$B$2,TRUE(),IF(N242=Constants!$B$3,FALSE(),TRUE())))</f>
        <v/>
      </c>
      <c r="AP242" s="135" t="str">
        <f aca="false">IF(ISBLANK($C242),"",IF(ISNUMBER(O242),IF(O242&gt;=0,O242,""),""))</f>
        <v/>
      </c>
      <c r="AQ242" s="135" t="str">
        <f aca="false">IF(ISBLANK($C242),"",IF(P242=Constants!$B$2,TRUE(),IF(P242=Constants!$B$3,FALSE(),FALSE())))</f>
        <v/>
      </c>
      <c r="AR242" s="135" t="str">
        <f aca="false">IF(ISBLANK($C242),"",IF(Q242=Constants!$B$2,TRUE(),IF(Q242=Constants!$B$3,FALSE(),TRUE())))</f>
        <v/>
      </c>
      <c r="AS242" s="135" t="str">
        <f aca="false">IF(ISBLANK($C242),"",IF(R242=Constants!$B$2,TRUE(),IF(R242=Constants!$B$3,FALSE(),TRUE())))</f>
        <v/>
      </c>
      <c r="AT242" s="135" t="str">
        <f aca="false">IF(ISBLANK($C242),"",IF(S242=Constants!$B$4,TRUE(),IF(S242=Constants!$B$5,FALSE(),COUNTA(T242:X242)&gt;0)))</f>
        <v/>
      </c>
      <c r="AU242" s="136" t="str">
        <f aca="false">IF(ISBLANK($C242),"",IF(ISNUMBER(T242),IF(T242&gt;=0,T242,""),""))</f>
        <v/>
      </c>
      <c r="AV242" s="137" t="str">
        <f aca="false">IF(ISBLANK($C242),"",IF(ISNUMBER(U242),IF(U242&gt;=0,U242,""),""))</f>
        <v/>
      </c>
      <c r="AW242" s="137" t="str">
        <f aca="false">IF(ISBLANK($C242),"",IF(V242=Constants!$B$2,TRUE(),IF(V242=Constants!$B$3,FALSE(),TRUE())))</f>
        <v/>
      </c>
      <c r="AX242" s="135" t="str">
        <f aca="false">IF(ISBLANK($C242),"",IF(ISNUMBER(W242),IF(W242&gt;=0,W242,""),""))</f>
        <v/>
      </c>
      <c r="AY242" s="135" t="str">
        <f aca="false">IF(ISBLANK($C242),"",IF(X242=Constants!$B$2,TRUE(),IF(X242=Constants!$B$3,FALSE(),FALSE())))</f>
        <v/>
      </c>
      <c r="AZ242" s="135" t="str">
        <f aca="false">IF(ISBLANK($C242),"",MIN(Constants!$B$25,MAX(0,IF(ISNUMBER(Y242),Y242*60,0)+IF(ISNUMBER(Z242),Z242,0))))</f>
        <v/>
      </c>
      <c r="BA242" s="135" t="str">
        <f aca="false">IF(ISBLANK($C242),"",IF(AA242=Constants!$B$2,TRUE(),IF(AA242=Constants!$B$3,FALSE(),FALSE())))</f>
        <v/>
      </c>
      <c r="BB242" s="134" t="str">
        <f aca="false">IF(ISBLANK($C242),"",AND($AL242,OR($AM242="",$AN242="",AND($AO242,$AP242=""))))</f>
        <v/>
      </c>
      <c r="BC242" s="137" t="str">
        <f aca="false">IF($BX242&lt;&gt;Constants!$B$6,"",IF($AL242,Constants!$B$17*$AN242+Constants!$B$18*IF($AO242,$AP242,Constants!$B$19),Constants!$B$20))</f>
        <v/>
      </c>
      <c r="BD242" s="138" t="str">
        <f aca="false">IF($BX242&lt;&gt;Constants!$B$6,"",Constants!$B$21*ABS($AD$9-IF($AL242,$AM242,0)))</f>
        <v/>
      </c>
      <c r="BE242" s="138" t="str">
        <f aca="false">IF($BX242&lt;&gt;Constants!$B$6,"",IF(AND($AL242,$AQ242,$AO242),Constants!$B$22,0))</f>
        <v/>
      </c>
      <c r="BF242" s="138" t="str">
        <f aca="false">IF($BX242&lt;&gt;Constants!$B$6,"",IF($AL242,($AI242-Constants!$B$24)*Constants!$B$23,0))</f>
        <v/>
      </c>
      <c r="BG242" s="138" t="str">
        <f aca="false">IF($BX242&lt;&gt;Constants!$B$6,"",IF($AK242,0,Constants!$B$12)+IF($AJ242,0,Constants!$B$13)+IF($AH242,0,Constants!$B$14))</f>
        <v/>
      </c>
      <c r="BH242" s="139" t="str">
        <f aca="false">IF($BX242&lt;&gt;Constants!$B$6,"",Constants!$B$16+SUM($BC242:$BG242))</f>
        <v/>
      </c>
      <c r="BI242" s="138" t="str">
        <f aca="false">IF($BX242&lt;&gt;Constants!$B$6,"",$BC242)</f>
        <v/>
      </c>
      <c r="BJ242" s="138" t="str">
        <f aca="false">IF($BX242&lt;&gt;Constants!$B$6,"",$BD242)</f>
        <v/>
      </c>
      <c r="BK242" s="140" t="str">
        <f aca="false">IF($BX242&lt;&gt;Constants!$B$6,"",IF($AL242,$AN242,""))</f>
        <v/>
      </c>
      <c r="BL242" s="135" t="str">
        <f aca="false">IF($BX242&lt;&gt;Constants!$B$6,"",IF(OR($BS242&lt;$BH242,AND($BS242=$BH242,OR($BT242&lt;$BI242,AND($BT242=$BI242,OR($BU242&lt;$BJ242,AND($BU242=$BJ242,AND(ISNUMBER($BV242),OR(NOT(ISNUMBER($BK242)),$BV242&lt;$BK242)))))))),"-&gt;","&lt;-"))</f>
        <v/>
      </c>
      <c r="BM242" s="134" t="str">
        <f aca="false">IF(ISBLANK($C242),"",AND($AT242,OR($AU242="",$AV242="",AND($AW242,$AX242=""))))</f>
        <v/>
      </c>
      <c r="BN242" s="137" t="str">
        <f aca="false">IF($BX242&lt;&gt;Constants!$B$6,"",IF($AT242,Constants!$B$17*$AV242+Constants!$B$18*IF($AW242,$AX242,Constants!$B$19),Constants!$B$20))</f>
        <v/>
      </c>
      <c r="BO242" s="138" t="str">
        <f aca="false">IF($BX242&lt;&gt;Constants!$B$6,"",Constants!$B$21*ABS($AD$9-IF($AT242,$AU242,0)))</f>
        <v/>
      </c>
      <c r="BP242" s="138" t="str">
        <f aca="false">IF($BX242&lt;&gt;Constants!$B$6,"",IF(AND($AT242,$AY242,$AW242),Constants!$B$22,0))</f>
        <v/>
      </c>
      <c r="BQ242" s="138" t="str">
        <f aca="false">IF($BX242&lt;&gt;Constants!$B$6,"",IF($AT242,($AI242-Constants!$B$24)*Constants!$B$23,0))</f>
        <v/>
      </c>
      <c r="BR242" s="138" t="str">
        <f aca="false">IF($BX242&lt;&gt;Constants!$B$6,"",IF($AS242,0,Constants!$B$12)+IF($AR242,0,Constants!$B$13)+IF($AH242,0,Constants!$B$14))</f>
        <v/>
      </c>
      <c r="BS242" s="139" t="str">
        <f aca="false">IF($BX242&lt;&gt;Constants!$B$6,"",Constants!$B$16+SUM($BN242:$BR242))</f>
        <v/>
      </c>
      <c r="BT242" s="138" t="str">
        <f aca="false">IF($BX242&lt;&gt;Constants!$B$6,"",$BN242)</f>
        <v/>
      </c>
      <c r="BU242" s="138" t="str">
        <f aca="false">IF($BX242&lt;&gt;Constants!$B$6,"",$BO242)</f>
        <v/>
      </c>
      <c r="BV242" s="140" t="str">
        <f aca="false">IF($BX242&lt;&gt;Constants!$B$6,"",IF($AT242,$AV242,""))</f>
        <v/>
      </c>
      <c r="BW242" s="135" t="str">
        <f aca="false">IF(ISBLANK($C242),"",IF(ISBLANK($D$7),$BW$5,IF(NOT(ISNUMBER($D$7)),$BW$6,"")))</f>
        <v/>
      </c>
      <c r="BX242" s="135" t="str">
        <f aca="false">IF(ISBLANK($C242),"",IF($BA242,Constants!$B$9,IF(COUNTA($E242:$AA242)=0,Constants!$B$8,IF(NOT($AG242),Constants!$B$7,IF(OR($BW242&lt;&gt;"",$BB242,$BM242),Constants!$B$10,Constants!$B$6)))))</f>
        <v/>
      </c>
      <c r="BY242" s="135" t="str">
        <f aca="false">IF(ISBLANK($C242),"",IF($BX242&lt;&gt;Constants!$B$6,$BX242,Constants!$B$11))</f>
        <v/>
      </c>
      <c r="BZ242" s="138" t="str">
        <f aca="false">IF($BX242&lt;&gt;Constants!$B$6,"",IF($BL242="-&gt;",$BS242,$BH242))</f>
        <v/>
      </c>
      <c r="CA242" s="138" t="str">
        <f aca="false">IF($BX242&lt;&gt;Constants!$B$6,"",IF($AF242,0,Constants!$B$15))</f>
        <v/>
      </c>
      <c r="CB242" s="138" t="str">
        <f aca="false">IF($BX242&lt;&gt;Constants!$B$6,"",((Constants!$B$25-$AZ242)-Constants!$B$25)/Constants!$B$26)</f>
        <v/>
      </c>
      <c r="CC242" s="138" t="str">
        <f aca="false">IF(ISBLANK($C242),"",IF($BX242&lt;&gt;Constants!$B$6,$BX242,SUM($BZ242:$CB242)))</f>
        <v/>
      </c>
      <c r="CD242" s="135" t="str">
        <f aca="false">IF(ISBLANK($C242),"",IF($BX242&lt;&gt;Constants!$B$6,$BX242,RANK($CC242,$CC$9:$CC$508,1)))</f>
        <v/>
      </c>
      <c r="CE242" s="138" t="str">
        <f aca="false">IF($BX242&lt;&gt;Constants!$B$6,"",IF($BL242="-&gt;",$BT242,$BI242))</f>
        <v/>
      </c>
      <c r="CF242" s="135" t="str">
        <f aca="false">IF(ISBLANK($C242),"",IF($BX242&lt;&gt;Constants!$B$6,$BX242,IF(ISNUMBER($CE242),RANK($CE242,$CE$9:$CE$508,1),COUNT($CE$9:$CE$508)+1)))</f>
        <v/>
      </c>
      <c r="CG242" s="138" t="str">
        <f aca="false">IF($BX242&lt;&gt;Constants!$B$6,"",IF($BL242="-&gt;",$BU242,$BJ242))</f>
        <v/>
      </c>
      <c r="CH242" s="135" t="str">
        <f aca="false">IF(ISBLANK($C242),"",IF($BX242&lt;&gt;Constants!$B$6,$BX242,IF(ISNUMBER($CG242),RANK($CG242,$CG$9:$CG$508,1),COUNT($CG$9:$CG$508)+1)))</f>
        <v/>
      </c>
      <c r="CI242" s="138" t="str">
        <f aca="false">IF($BX242&lt;&gt;Constants!$B$6,"",IF($BL242="-&gt;",$BV242,$BK242))</f>
        <v/>
      </c>
      <c r="CJ242" s="135" t="str">
        <f aca="false">IF(ISBLANK($C242),"",IF($BX242&lt;&gt;Constants!$B$6,$BX242,IF(ISNUMBER($CI242),RANK($CI242,$CI$9:$CI$508,1),COUNT($CI$9:$CI$508)+1)))</f>
        <v/>
      </c>
      <c r="CK242" s="138" t="str">
        <f aca="false">IF($BX242&lt;&gt;Constants!$B$6,"",$AI242)</f>
        <v/>
      </c>
      <c r="CL242" s="135" t="str">
        <f aca="false">IF(ISBLANK($C242),"",IF($BX242&lt;&gt;Constants!$B$6,$BX242,IF(ISNUMBER($CK242),RANK($CK242,$CK$9:$CK$508,1),COUNT($CK$9:$CK$508)+1)))</f>
        <v/>
      </c>
      <c r="CM242" s="135" t="str">
        <f aca="false">IF(ISBLANK($C242),"",IF($BX242&lt;&gt;Constants!$B$6,$BX242,COUNTIFS($CD$9:$CD$508,"&lt;"&amp;$CD242)+COUNTIFS($CD$9:$CD$508,$CD242,$CF$9:$CF$508,"&lt;"&amp;$CF242)+COUNTIFS($CD$9:$CD$508,$CD242,$CF$9:$CF$508,$CF242,$CH$9:$CH$508,"&lt;"&amp;$CH242)+COUNTIFS($CD$9:$CD$508,$CD242,$CF$9:$CF$508,$CF242,$CH$9:$CH$508,$CH242,$CJ$9:$CJ$508,"&lt;"&amp;$CJ242)+COUNTIFS($CD$9:$CD$508,$CD242,$CF$9:$CF$508,$CF242,$CH$9:$CH$508,$CH242,$CJ$9:$CJ$508,$CJ242,$CL$9:$CL$508,"&lt;"&amp;$CL242)+1))</f>
        <v/>
      </c>
      <c r="CN242" s="135" t="str">
        <f aca="false">IF(ISBLANK($C242),"",IF($BX242&lt;&gt;Constants!$B$6,$BX242,$CD242-$CM242))</f>
        <v/>
      </c>
      <c r="CO242" s="141"/>
      <c r="CP242" s="142"/>
      <c r="CQ242" s="143" t="str">
        <f aca="false">IF(ISBLANK($C242),"",IF($BX242=Constants!$B$10,$BW242,""))</f>
        <v/>
      </c>
      <c r="CR242" s="142" t="str">
        <f aca="false">IF(ISBLANK($C242),"",IF($BX242&lt;&gt;Constants!$B$6,"",IF($BL242="-&gt;",2,1)))</f>
        <v/>
      </c>
      <c r="CS242" s="144" t="str">
        <f aca="false">IF(ISBLANK($C242),"",IF($BX242&lt;&gt;Constants!$B$6,"",IF($BL242="-&gt;",$BN242,$BC242)))</f>
        <v/>
      </c>
      <c r="CT242" s="144" t="str">
        <f aca="false">IF(ISBLANK($C242),"",IF($BX242&lt;&gt;Constants!$B$6,"",IF($BL242="-&gt;",$BO242,$BD242)))</f>
        <v/>
      </c>
      <c r="CU242" s="144" t="str">
        <f aca="false">IF(ISBLANK($C242),"",IF($BX242&lt;&gt;Constants!$B$6,"",IF($BL242="-&gt;",$BP242+$BQ242,$BE242+$BF242)+$CB242))</f>
        <v/>
      </c>
      <c r="CV242" s="144" t="str">
        <f aca="false">IF(ISBLANK($C242),"",IF($BX242&lt;&gt;Constants!$B$6,"",IF($BL242="-&gt;",$BR242,$BG242)+$CA242))</f>
        <v/>
      </c>
      <c r="CW242" s="145" t="str">
        <f aca="false">IF(ISBLANK($C242),"",IF($BX242&lt;&gt;Constants!$B$6,$BX242,$CC242))</f>
        <v/>
      </c>
      <c r="CX242" s="146" t="str">
        <f aca="false">IF(ISBLANK($C242),"",$BY242)</f>
        <v/>
      </c>
      <c r="CY242" s="147" t="str">
        <f aca="false">IF(ISBLANK($C242),"",$CN242)</f>
        <v/>
      </c>
      <c r="CZ242" s="147" t="str">
        <f aca="false">IF(ISBLANK($C242),"",$CM242)</f>
        <v/>
      </c>
      <c r="DA242" s="148" t="str">
        <f aca="false">IF(ISBLANK($C242),"",IFERROR(_xlfn.SWITCH($CZ242,Constants!$B$9,COUNTA($C$9:$C$508)+2,Constants!$B$8,COUNTA($C$9:$C$508)+1,Constants!$B$7,COUNTA($C$9:$C$508)),$CZ242))</f>
        <v/>
      </c>
      <c r="DB242" s="9"/>
      <c r="DC242" s="149" t="n">
        <f aca="false">IF(OR(ISNUMBER($CZ242),$CZ242=Constants!$B$9,$CZ242=Constants!$B$7,$CZ242=Constants!$B$8),1,0)</f>
        <v>0</v>
      </c>
      <c r="DD242" s="149" t="n">
        <v>234</v>
      </c>
      <c r="DE242" s="149" t="str">
        <f aca="false">IF(ISBLANK($C242),"",IF(ISNUMBER($DA242),$DA242+ROW($B242)/1000,""))</f>
        <v/>
      </c>
      <c r="DF242" s="149" t="str">
        <f aca="false">IF(ISNUMBER($DE242),RANK($DE242,$DE$9:$DE$508,1),"")</f>
        <v/>
      </c>
      <c r="DG242" s="149" t="str">
        <f aca="false">IF(ISBLANK($C242),"",$B242)</f>
        <v/>
      </c>
      <c r="DH242" s="149" t="str">
        <f aca="false">IF(ISBLANK($C242),"",$C242)</f>
        <v/>
      </c>
      <c r="DI242" s="149" t="str">
        <f aca="false">IF(ISBLANK($C242),"",$D242)</f>
        <v/>
      </c>
      <c r="DJ242" s="150" t="str">
        <f aca="false">$CX242</f>
        <v/>
      </c>
      <c r="DK242" s="151" t="str">
        <f aca="false">$CW242</f>
        <v/>
      </c>
      <c r="DL242" s="149" t="str">
        <f aca="false">IF(ISBLANK($C242),"",$CZ242)</f>
        <v/>
      </c>
      <c r="DM242" s="152" t="str">
        <f aca="false">IF($DD242&gt;$DC$8,"",VLOOKUP($DD242,$DF$9:$DL$508,7,FALSE()))</f>
        <v/>
      </c>
      <c r="DN242" s="153" t="str">
        <f aca="false">IF($DD242&gt;$DC$8,"",VLOOKUP($DD242,$DF$9:$DL$508,2,FALSE()))</f>
        <v/>
      </c>
      <c r="DO242" s="153" t="str">
        <f aca="false">IF($DD242&gt;$DC$8,"",VLOOKUP($DD242,$DF$9:$DL$508,3,FALSE()))</f>
        <v/>
      </c>
      <c r="DP242" s="153" t="str">
        <f aca="false">IF($DD242&gt;$DC$8,"",VLOOKUP($DD242,$DF$9:$DL$508,4,FALSE()))</f>
        <v/>
      </c>
      <c r="DQ242" s="153" t="str">
        <f aca="false">IF($DD242&gt;$DC$8,"",VLOOKUP($DD242,$DF$9:$DL$508,5,FALSE()))</f>
        <v/>
      </c>
      <c r="DR242" s="154" t="str">
        <f aca="false">IF($DD242&gt;$DC$8,"",VLOOKUP($DD242,$DF$9:$DL$508,6,FALSE()))</f>
        <v/>
      </c>
      <c r="DS242" s="76"/>
    </row>
    <row r="243" customFormat="false" ht="15.75" hidden="false" customHeight="false" outlineLevel="0" collapsed="false">
      <c r="A243" s="9"/>
      <c r="B243" s="78"/>
      <c r="C243" s="79"/>
      <c r="D243" s="170"/>
      <c r="E243" s="178"/>
      <c r="F243" s="172"/>
      <c r="G243" s="173"/>
      <c r="H243" s="173"/>
      <c r="I243" s="179"/>
      <c r="J243" s="176"/>
      <c r="K243" s="86"/>
      <c r="L243" s="87"/>
      <c r="M243" s="88"/>
      <c r="N243" s="176"/>
      <c r="O243" s="176"/>
      <c r="P243" s="178"/>
      <c r="Q243" s="176"/>
      <c r="R243" s="176"/>
      <c r="S243" s="86"/>
      <c r="T243" s="88"/>
      <c r="U243" s="88"/>
      <c r="V243" s="176"/>
      <c r="W243" s="176"/>
      <c r="X243" s="178"/>
      <c r="Y243" s="176"/>
      <c r="Z243" s="177"/>
      <c r="AA243" s="176"/>
      <c r="AB243" s="92"/>
      <c r="AC243" s="93"/>
      <c r="AD243" s="93"/>
      <c r="AE243" s="93"/>
      <c r="AF243" s="93" t="str">
        <f aca="false">IF(ISBLANK($C243),"",IF(E243=Constants!$B$2,TRUE(),IF(E243=Constants!$B$3,FALSE(),TRUE())))</f>
        <v/>
      </c>
      <c r="AG243" s="93" t="str">
        <f aca="false">IF(ISBLANK($C243),"",IF(F243=Constants!$B$2,TRUE(),IF(F243=Constants!$B$3,FALSE(),TRUE())))</f>
        <v/>
      </c>
      <c r="AH243" s="93" t="str">
        <f aca="false">IF(ISBLANK($C243),"",IF(G243=Constants!$B$2,TRUE(),IF(G243=Constants!$B$3,FALSE(),TRUE())))</f>
        <v/>
      </c>
      <c r="AI243" s="93" t="str">
        <f aca="false">IF(ISBLANK($C243),"",IF(AND(ISNUMBER(H243),H243&gt;=0),H243,Constants!$B$24))</f>
        <v/>
      </c>
      <c r="AJ243" s="93" t="str">
        <f aca="false">IF(ISBLANK($C243),"",IF(I243=Constants!$B$2,TRUE(),IF(I243=Constants!$B$3,FALSE(),TRUE())))</f>
        <v/>
      </c>
      <c r="AK243" s="93" t="str">
        <f aca="false">IF(ISBLANK($C243),"",IF(J243=Constants!$B$2,TRUE(),IF(J243=Constants!$B$3,FALSE(),TRUE())))</f>
        <v/>
      </c>
      <c r="AL243" s="93" t="str">
        <f aca="false">IF(ISBLANK($C243),"",IF(K243=Constants!$B$4,TRUE(),IF(K243=Constants!$B$5,FALSE(),COUNTA(L243:P243)&gt;0)))</f>
        <v/>
      </c>
      <c r="AM243" s="95" t="str">
        <f aca="false">IF(ISBLANK($C243),"",IF(ISNUMBER(L243),IF(L243&gt;=0,L243,""),""))</f>
        <v/>
      </c>
      <c r="AN243" s="94" t="str">
        <f aca="false">IF(ISBLANK($C243),"",IF(ISNUMBER(M243),IF(M243&gt;=0,M243,""),""))</f>
        <v/>
      </c>
      <c r="AO243" s="94" t="str">
        <f aca="false">IF(ISBLANK($C243),"",IF(N243=Constants!$B$2,TRUE(),IF(N243=Constants!$B$3,FALSE(),TRUE())))</f>
        <v/>
      </c>
      <c r="AP243" s="93" t="str">
        <f aca="false">IF(ISBLANK($C243),"",IF(ISNUMBER(O243),IF(O243&gt;=0,O243,""),""))</f>
        <v/>
      </c>
      <c r="AQ243" s="93" t="str">
        <f aca="false">IF(ISBLANK($C243),"",IF(P243=Constants!$B$2,TRUE(),IF(P243=Constants!$B$3,FALSE(),FALSE())))</f>
        <v/>
      </c>
      <c r="AR243" s="93" t="str">
        <f aca="false">IF(ISBLANK($C243),"",IF(Q243=Constants!$B$2,TRUE(),IF(Q243=Constants!$B$3,FALSE(),TRUE())))</f>
        <v/>
      </c>
      <c r="AS243" s="93" t="str">
        <f aca="false">IF(ISBLANK($C243),"",IF(R243=Constants!$B$2,TRUE(),IF(R243=Constants!$B$3,FALSE(),TRUE())))</f>
        <v/>
      </c>
      <c r="AT243" s="93" t="str">
        <f aca="false">IF(ISBLANK($C243),"",IF(S243=Constants!$B$4,TRUE(),IF(S243=Constants!$B$5,FALSE(),COUNTA(T243:X243)&gt;0)))</f>
        <v/>
      </c>
      <c r="AU243" s="95" t="str">
        <f aca="false">IF(ISBLANK($C243),"",IF(ISNUMBER(T243),IF(T243&gt;=0,T243,""),""))</f>
        <v/>
      </c>
      <c r="AV243" s="94" t="str">
        <f aca="false">IF(ISBLANK($C243),"",IF(ISNUMBER(U243),IF(U243&gt;=0,U243,""),""))</f>
        <v/>
      </c>
      <c r="AW243" s="94" t="str">
        <f aca="false">IF(ISBLANK($C243),"",IF(V243=Constants!$B$2,TRUE(),IF(V243=Constants!$B$3,FALSE(),TRUE())))</f>
        <v/>
      </c>
      <c r="AX243" s="93" t="str">
        <f aca="false">IF(ISBLANK($C243),"",IF(ISNUMBER(W243),IF(W243&gt;=0,W243,""),""))</f>
        <v/>
      </c>
      <c r="AY243" s="93" t="str">
        <f aca="false">IF(ISBLANK($C243),"",IF(X243=Constants!$B$2,TRUE(),IF(X243=Constants!$B$3,FALSE(),FALSE())))</f>
        <v/>
      </c>
      <c r="AZ243" s="93" t="str">
        <f aca="false">IF(ISBLANK($C243),"",MIN(Constants!$B$25,MAX(0,IF(ISNUMBER(Y243),Y243*60,0)+IF(ISNUMBER(Z243),Z243,0))))</f>
        <v/>
      </c>
      <c r="BA243" s="93" t="str">
        <f aca="false">IF(ISBLANK($C243),"",IF(AA243=Constants!$B$2,TRUE(),IF(AA243=Constants!$B$3,FALSE(),FALSE())))</f>
        <v/>
      </c>
      <c r="BB243" s="92" t="str">
        <f aca="false">IF(ISBLANK($C243),"",AND($AL243,OR($AM243="",$AN243="",AND($AO243,$AP243=""))))</f>
        <v/>
      </c>
      <c r="BC243" s="94" t="str">
        <f aca="false">IF($BX243&lt;&gt;Constants!$B$6,"",IF($AL243,Constants!$B$17*$AN243+Constants!$B$18*IF($AO243,$AP243,Constants!$B$19),Constants!$B$20))</f>
        <v/>
      </c>
      <c r="BD243" s="97" t="str">
        <f aca="false">IF($BX243&lt;&gt;Constants!$B$6,"",Constants!$B$21*ABS($AD$9-IF($AL243,$AM243,0)))</f>
        <v/>
      </c>
      <c r="BE243" s="97" t="str">
        <f aca="false">IF($BX243&lt;&gt;Constants!$B$6,"",IF(AND($AL243,$AQ243,$AO243),Constants!$B$22,0))</f>
        <v/>
      </c>
      <c r="BF243" s="97" t="str">
        <f aca="false">IF($BX243&lt;&gt;Constants!$B$6,"",IF($AL243,($AI243-Constants!$B$24)*Constants!$B$23,0))</f>
        <v/>
      </c>
      <c r="BG243" s="97" t="str">
        <f aca="false">IF($BX243&lt;&gt;Constants!$B$6,"",IF($AK243,0,Constants!$B$12)+IF($AJ243,0,Constants!$B$13)+IF($AH243,0,Constants!$B$14))</f>
        <v/>
      </c>
      <c r="BH243" s="98" t="str">
        <f aca="false">IF($BX243&lt;&gt;Constants!$B$6,"",Constants!$B$16+SUM($BC243:$BG243))</f>
        <v/>
      </c>
      <c r="BI243" s="97" t="str">
        <f aca="false">IF($BX243&lt;&gt;Constants!$B$6,"",$BC243)</f>
        <v/>
      </c>
      <c r="BJ243" s="97" t="str">
        <f aca="false">IF($BX243&lt;&gt;Constants!$B$6,"",$BD243)</f>
        <v/>
      </c>
      <c r="BK243" s="99" t="str">
        <f aca="false">IF($BX243&lt;&gt;Constants!$B$6,"",IF($AL243,$AN243,""))</f>
        <v/>
      </c>
      <c r="BL243" s="93" t="str">
        <f aca="false">IF($BX243&lt;&gt;Constants!$B$6,"",IF(OR($BS243&lt;$BH243,AND($BS243=$BH243,OR($BT243&lt;$BI243,AND($BT243=$BI243,OR($BU243&lt;$BJ243,AND($BU243=$BJ243,AND(ISNUMBER($BV243),OR(NOT(ISNUMBER($BK243)),$BV243&lt;$BK243)))))))),"-&gt;","&lt;-"))</f>
        <v/>
      </c>
      <c r="BM243" s="92" t="str">
        <f aca="false">IF(ISBLANK($C243),"",AND($AT243,OR($AU243="",$AV243="",AND($AW243,$AX243=""))))</f>
        <v/>
      </c>
      <c r="BN243" s="94" t="str">
        <f aca="false">IF($BX243&lt;&gt;Constants!$B$6,"",IF($AT243,Constants!$B$17*$AV243+Constants!$B$18*IF($AW243,$AX243,Constants!$B$19),Constants!$B$20))</f>
        <v/>
      </c>
      <c r="BO243" s="97" t="str">
        <f aca="false">IF($BX243&lt;&gt;Constants!$B$6,"",Constants!$B$21*ABS($AD$9-IF($AT243,$AU243,0)))</f>
        <v/>
      </c>
      <c r="BP243" s="97" t="str">
        <f aca="false">IF($BX243&lt;&gt;Constants!$B$6,"",IF(AND($AT243,$AY243,$AW243),Constants!$B$22,0))</f>
        <v/>
      </c>
      <c r="BQ243" s="97" t="str">
        <f aca="false">IF($BX243&lt;&gt;Constants!$B$6,"",IF($AT243,($AI243-Constants!$B$24)*Constants!$B$23,0))</f>
        <v/>
      </c>
      <c r="BR243" s="97" t="str">
        <f aca="false">IF($BX243&lt;&gt;Constants!$B$6,"",IF($AS243,0,Constants!$B$12)+IF($AR243,0,Constants!$B$13)+IF($AH243,0,Constants!$B$14))</f>
        <v/>
      </c>
      <c r="BS243" s="98" t="str">
        <f aca="false">IF($BX243&lt;&gt;Constants!$B$6,"",Constants!$B$16+SUM($BN243:$BR243))</f>
        <v/>
      </c>
      <c r="BT243" s="97" t="str">
        <f aca="false">IF($BX243&lt;&gt;Constants!$B$6,"",$BN243)</f>
        <v/>
      </c>
      <c r="BU243" s="97" t="str">
        <f aca="false">IF($BX243&lt;&gt;Constants!$B$6,"",$BO243)</f>
        <v/>
      </c>
      <c r="BV243" s="99" t="str">
        <f aca="false">IF($BX243&lt;&gt;Constants!$B$6,"",IF($AT243,$AV243,""))</f>
        <v/>
      </c>
      <c r="BW243" s="93" t="str">
        <f aca="false">IF(ISBLANK($C243),"",IF(ISBLANK($D$7),$BW$5,IF(NOT(ISNUMBER($D$7)),$BW$6,"")))</f>
        <v/>
      </c>
      <c r="BX243" s="93" t="str">
        <f aca="false">IF(ISBLANK($C243),"",IF($BA243,Constants!$B$9,IF(COUNTA($E243:$AA243)=0,Constants!$B$8,IF(NOT($AG243),Constants!$B$7,IF(OR($BW243&lt;&gt;"",$BB243,$BM243),Constants!$B$10,Constants!$B$6)))))</f>
        <v/>
      </c>
      <c r="BY243" s="93" t="str">
        <f aca="false">IF(ISBLANK($C243),"",IF($BX243&lt;&gt;Constants!$B$6,$BX243,Constants!$B$11))</f>
        <v/>
      </c>
      <c r="BZ243" s="97" t="str">
        <f aca="false">IF($BX243&lt;&gt;Constants!$B$6,"",IF($BL243="-&gt;",$BS243,$BH243))</f>
        <v/>
      </c>
      <c r="CA243" s="97" t="str">
        <f aca="false">IF($BX243&lt;&gt;Constants!$B$6,"",IF($AF243,0,Constants!$B$15))</f>
        <v/>
      </c>
      <c r="CB243" s="97" t="str">
        <f aca="false">IF($BX243&lt;&gt;Constants!$B$6,"",((Constants!$B$25-$AZ243)-Constants!$B$25)/Constants!$B$26)</f>
        <v/>
      </c>
      <c r="CC243" s="97" t="str">
        <f aca="false">IF(ISBLANK($C243),"",IF($BX243&lt;&gt;Constants!$B$6,$BX243,SUM($BZ243:$CB243)))</f>
        <v/>
      </c>
      <c r="CD243" s="93" t="str">
        <f aca="false">IF(ISBLANK($C243),"",IF($BX243&lt;&gt;Constants!$B$6,$BX243,RANK($CC243,$CC$9:$CC$508,1)))</f>
        <v/>
      </c>
      <c r="CE243" s="97" t="str">
        <f aca="false">IF($BX243&lt;&gt;Constants!$B$6,"",IF($BL243="-&gt;",$BT243,$BI243))</f>
        <v/>
      </c>
      <c r="CF243" s="93" t="str">
        <f aca="false">IF(ISBLANK($C243),"",IF($BX243&lt;&gt;Constants!$B$6,$BX243,IF(ISNUMBER($CE243),RANK($CE243,$CE$9:$CE$508,1),COUNT($CE$9:$CE$508)+1)))</f>
        <v/>
      </c>
      <c r="CG243" s="97" t="str">
        <f aca="false">IF($BX243&lt;&gt;Constants!$B$6,"",IF($BL243="-&gt;",$BU243,$BJ243))</f>
        <v/>
      </c>
      <c r="CH243" s="93" t="str">
        <f aca="false">IF(ISBLANK($C243),"",IF($BX243&lt;&gt;Constants!$B$6,$BX243,IF(ISNUMBER($CG243),RANK($CG243,$CG$9:$CG$508,1),COUNT($CG$9:$CG$508)+1)))</f>
        <v/>
      </c>
      <c r="CI243" s="97" t="str">
        <f aca="false">IF($BX243&lt;&gt;Constants!$B$6,"",IF($BL243="-&gt;",$BV243,$BK243))</f>
        <v/>
      </c>
      <c r="CJ243" s="93" t="str">
        <f aca="false">IF(ISBLANK($C243),"",IF($BX243&lt;&gt;Constants!$B$6,$BX243,IF(ISNUMBER($CI243),RANK($CI243,$CI$9:$CI$508,1),COUNT($CI$9:$CI$508)+1)))</f>
        <v/>
      </c>
      <c r="CK243" s="97" t="str">
        <f aca="false">IF($BX243&lt;&gt;Constants!$B$6,"",$AI243)</f>
        <v/>
      </c>
      <c r="CL243" s="93" t="str">
        <f aca="false">IF(ISBLANK($C243),"",IF($BX243&lt;&gt;Constants!$B$6,$BX243,IF(ISNUMBER($CK243),RANK($CK243,$CK$9:$CK$508,1),COUNT($CK$9:$CK$508)+1)))</f>
        <v/>
      </c>
      <c r="CM243" s="93" t="str">
        <f aca="false">IF(ISBLANK($C243),"",IF($BX243&lt;&gt;Constants!$B$6,$BX243,COUNTIFS($CD$9:$CD$508,"&lt;"&amp;$CD243)+COUNTIFS($CD$9:$CD$508,$CD243,$CF$9:$CF$508,"&lt;"&amp;$CF243)+COUNTIFS($CD$9:$CD$508,$CD243,$CF$9:$CF$508,$CF243,$CH$9:$CH$508,"&lt;"&amp;$CH243)+COUNTIFS($CD$9:$CD$508,$CD243,$CF$9:$CF$508,$CF243,$CH$9:$CH$508,$CH243,$CJ$9:$CJ$508,"&lt;"&amp;$CJ243)+COUNTIFS($CD$9:$CD$508,$CD243,$CF$9:$CF$508,$CF243,$CH$9:$CH$508,$CH243,$CJ$9:$CJ$508,$CJ243,$CL$9:$CL$508,"&lt;"&amp;$CL243)+1))</f>
        <v/>
      </c>
      <c r="CN243" s="93" t="str">
        <f aca="false">IF(ISBLANK($C243),"",IF($BX243&lt;&gt;Constants!$B$6,$BX243,$CD243-$CM243))</f>
        <v/>
      </c>
      <c r="CO243" s="100"/>
      <c r="CP243" s="101"/>
      <c r="CQ243" s="102" t="str">
        <f aca="false">IF(ISBLANK($C243),"",IF($BX243=Constants!$B$10,$BW243,""))</f>
        <v/>
      </c>
      <c r="CR243" s="101" t="str">
        <f aca="false">IF(ISBLANK($C243),"",IF($BX243&lt;&gt;Constants!$B$6,"",IF($BL243="-&gt;",2,1)))</f>
        <v/>
      </c>
      <c r="CS243" s="103" t="str">
        <f aca="false">IF(ISBLANK($C243),"",IF($BX243&lt;&gt;Constants!$B$6,"",IF($BL243="-&gt;",$BN243,$BC243)))</f>
        <v/>
      </c>
      <c r="CT243" s="103" t="str">
        <f aca="false">IF(ISBLANK($C243),"",IF($BX243&lt;&gt;Constants!$B$6,"",IF($BL243="-&gt;",$BO243,$BD243)))</f>
        <v/>
      </c>
      <c r="CU243" s="103" t="str">
        <f aca="false">IF(ISBLANK($C243),"",IF($BX243&lt;&gt;Constants!$B$6,"",IF($BL243="-&gt;",$BP243+$BQ243,$BE243+$BF243)+$CB243))</f>
        <v/>
      </c>
      <c r="CV243" s="103" t="str">
        <f aca="false">IF(ISBLANK($C243),"",IF($BX243&lt;&gt;Constants!$B$6,"",IF($BL243="-&gt;",$BR243,$BG243)+$CA243))</f>
        <v/>
      </c>
      <c r="CW243" s="104" t="str">
        <f aca="false">IF(ISBLANK($C243),"",IF($BX243&lt;&gt;Constants!$B$6,$BX243,$CC243))</f>
        <v/>
      </c>
      <c r="CX243" s="105" t="str">
        <f aca="false">IF(ISBLANK($C243),"",$BY243)</f>
        <v/>
      </c>
      <c r="CY243" s="106" t="str">
        <f aca="false">IF(ISBLANK($C243),"",$CN243)</f>
        <v/>
      </c>
      <c r="CZ243" s="106" t="str">
        <f aca="false">IF(ISBLANK($C243),"",$CM243)</f>
        <v/>
      </c>
      <c r="DA243" s="107" t="str">
        <f aca="false">IF(ISBLANK($C243),"",IFERROR(_xlfn.SWITCH($CZ243,Constants!$B$9,COUNTA($C$9:$C$508)+2,Constants!$B$8,COUNTA($C$9:$C$508)+1,Constants!$B$7,COUNTA($C$9:$C$508)),$CZ243))</f>
        <v/>
      </c>
      <c r="DB243" s="9"/>
      <c r="DC243" s="108" t="n">
        <f aca="false">IF(OR(ISNUMBER($CZ243),$CZ243=Constants!$B$9,$CZ243=Constants!$B$7,$CZ243=Constants!$B$8),1,0)</f>
        <v>0</v>
      </c>
      <c r="DD243" s="108" t="n">
        <v>235</v>
      </c>
      <c r="DE243" s="108" t="str">
        <f aca="false">IF(ISBLANK($C243),"",IF(ISNUMBER($DA243),$DA243+ROW($B243)/1000,""))</f>
        <v/>
      </c>
      <c r="DF243" s="108" t="str">
        <f aca="false">IF(ISNUMBER($DE243),RANK($DE243,$DE$9:$DE$508,1),"")</f>
        <v/>
      </c>
      <c r="DG243" s="108" t="str">
        <f aca="false">IF(ISBLANK($C243),"",$B243)</f>
        <v/>
      </c>
      <c r="DH243" s="108" t="str">
        <f aca="false">IF(ISBLANK($C243),"",$C243)</f>
        <v/>
      </c>
      <c r="DI243" s="108" t="str">
        <f aca="false">IF(ISBLANK($C243),"",$D243)</f>
        <v/>
      </c>
      <c r="DJ243" s="109" t="str">
        <f aca="false">$CX243</f>
        <v/>
      </c>
      <c r="DK243" s="110" t="str">
        <f aca="false">$CW243</f>
        <v/>
      </c>
      <c r="DL243" s="108" t="str">
        <f aca="false">IF(ISBLANK($C243),"",$CZ243)</f>
        <v/>
      </c>
      <c r="DM243" s="111" t="str">
        <f aca="false">IF($DD243&gt;$DC$8,"",VLOOKUP($DD243,$DF$9:$DL$508,7,FALSE()))</f>
        <v/>
      </c>
      <c r="DN243" s="112" t="str">
        <f aca="false">IF($DD243&gt;$DC$8,"",VLOOKUP($DD243,$DF$9:$DL$508,2,FALSE()))</f>
        <v/>
      </c>
      <c r="DO243" s="112" t="str">
        <f aca="false">IF($DD243&gt;$DC$8,"",VLOOKUP($DD243,$DF$9:$DL$508,3,FALSE()))</f>
        <v/>
      </c>
      <c r="DP243" s="112" t="str">
        <f aca="false">IF($DD243&gt;$DC$8,"",VLOOKUP($DD243,$DF$9:$DL$508,4,FALSE()))</f>
        <v/>
      </c>
      <c r="DQ243" s="112" t="str">
        <f aca="false">IF($DD243&gt;$DC$8,"",VLOOKUP($DD243,$DF$9:$DL$508,5,FALSE()))</f>
        <v/>
      </c>
      <c r="DR243" s="113" t="str">
        <f aca="false">IF($DD243&gt;$DC$8,"",VLOOKUP($DD243,$DF$9:$DL$508,6,FALSE()))</f>
        <v/>
      </c>
      <c r="DS243" s="76"/>
    </row>
    <row r="244" customFormat="false" ht="15.75" hidden="false" customHeight="false" outlineLevel="0" collapsed="false">
      <c r="A244" s="9"/>
      <c r="B244" s="78"/>
      <c r="C244" s="79"/>
      <c r="D244" s="170"/>
      <c r="E244" s="178"/>
      <c r="F244" s="172"/>
      <c r="G244" s="173"/>
      <c r="H244" s="173"/>
      <c r="I244" s="179"/>
      <c r="J244" s="176"/>
      <c r="K244" s="86"/>
      <c r="L244" s="87"/>
      <c r="M244" s="88"/>
      <c r="N244" s="176"/>
      <c r="O244" s="176"/>
      <c r="P244" s="178"/>
      <c r="Q244" s="176"/>
      <c r="R244" s="176"/>
      <c r="S244" s="86"/>
      <c r="T244" s="88"/>
      <c r="U244" s="88"/>
      <c r="V244" s="176"/>
      <c r="W244" s="176"/>
      <c r="X244" s="178"/>
      <c r="Y244" s="176"/>
      <c r="Z244" s="177"/>
      <c r="AA244" s="176"/>
      <c r="AB244" s="92"/>
      <c r="AC244" s="93"/>
      <c r="AD244" s="93"/>
      <c r="AE244" s="93"/>
      <c r="AF244" s="93" t="str">
        <f aca="false">IF(ISBLANK($C244),"",IF(E244=Constants!$B$2,TRUE(),IF(E244=Constants!$B$3,FALSE(),TRUE())))</f>
        <v/>
      </c>
      <c r="AG244" s="93" t="str">
        <f aca="false">IF(ISBLANK($C244),"",IF(F244=Constants!$B$2,TRUE(),IF(F244=Constants!$B$3,FALSE(),TRUE())))</f>
        <v/>
      </c>
      <c r="AH244" s="93" t="str">
        <f aca="false">IF(ISBLANK($C244),"",IF(G244=Constants!$B$2,TRUE(),IF(G244=Constants!$B$3,FALSE(),TRUE())))</f>
        <v/>
      </c>
      <c r="AI244" s="93" t="str">
        <f aca="false">IF(ISBLANK($C244),"",IF(AND(ISNUMBER(H244),H244&gt;=0),H244,Constants!$B$24))</f>
        <v/>
      </c>
      <c r="AJ244" s="93" t="str">
        <f aca="false">IF(ISBLANK($C244),"",IF(I244=Constants!$B$2,TRUE(),IF(I244=Constants!$B$3,FALSE(),TRUE())))</f>
        <v/>
      </c>
      <c r="AK244" s="93" t="str">
        <f aca="false">IF(ISBLANK($C244),"",IF(J244=Constants!$B$2,TRUE(),IF(J244=Constants!$B$3,FALSE(),TRUE())))</f>
        <v/>
      </c>
      <c r="AL244" s="93" t="str">
        <f aca="false">IF(ISBLANK($C244),"",IF(K244=Constants!$B$4,TRUE(),IF(K244=Constants!$B$5,FALSE(),COUNTA(L244:P244)&gt;0)))</f>
        <v/>
      </c>
      <c r="AM244" s="95" t="str">
        <f aca="false">IF(ISBLANK($C244),"",IF(ISNUMBER(L244),IF(L244&gt;=0,L244,""),""))</f>
        <v/>
      </c>
      <c r="AN244" s="94" t="str">
        <f aca="false">IF(ISBLANK($C244),"",IF(ISNUMBER(M244),IF(M244&gt;=0,M244,""),""))</f>
        <v/>
      </c>
      <c r="AO244" s="94" t="str">
        <f aca="false">IF(ISBLANK($C244),"",IF(N244=Constants!$B$2,TRUE(),IF(N244=Constants!$B$3,FALSE(),TRUE())))</f>
        <v/>
      </c>
      <c r="AP244" s="93" t="str">
        <f aca="false">IF(ISBLANK($C244),"",IF(ISNUMBER(O244),IF(O244&gt;=0,O244,""),""))</f>
        <v/>
      </c>
      <c r="AQ244" s="93" t="str">
        <f aca="false">IF(ISBLANK($C244),"",IF(P244=Constants!$B$2,TRUE(),IF(P244=Constants!$B$3,FALSE(),FALSE())))</f>
        <v/>
      </c>
      <c r="AR244" s="93" t="str">
        <f aca="false">IF(ISBLANK($C244),"",IF(Q244=Constants!$B$2,TRUE(),IF(Q244=Constants!$B$3,FALSE(),TRUE())))</f>
        <v/>
      </c>
      <c r="AS244" s="93" t="str">
        <f aca="false">IF(ISBLANK($C244),"",IF(R244=Constants!$B$2,TRUE(),IF(R244=Constants!$B$3,FALSE(),TRUE())))</f>
        <v/>
      </c>
      <c r="AT244" s="93" t="str">
        <f aca="false">IF(ISBLANK($C244),"",IF(S244=Constants!$B$4,TRUE(),IF(S244=Constants!$B$5,FALSE(),COUNTA(T244:X244)&gt;0)))</f>
        <v/>
      </c>
      <c r="AU244" s="95" t="str">
        <f aca="false">IF(ISBLANK($C244),"",IF(ISNUMBER(T244),IF(T244&gt;=0,T244,""),""))</f>
        <v/>
      </c>
      <c r="AV244" s="94" t="str">
        <f aca="false">IF(ISBLANK($C244),"",IF(ISNUMBER(U244),IF(U244&gt;=0,U244,""),""))</f>
        <v/>
      </c>
      <c r="AW244" s="94" t="str">
        <f aca="false">IF(ISBLANK($C244),"",IF(V244=Constants!$B$2,TRUE(),IF(V244=Constants!$B$3,FALSE(),TRUE())))</f>
        <v/>
      </c>
      <c r="AX244" s="93" t="str">
        <f aca="false">IF(ISBLANK($C244),"",IF(ISNUMBER(W244),IF(W244&gt;=0,W244,""),""))</f>
        <v/>
      </c>
      <c r="AY244" s="93" t="str">
        <f aca="false">IF(ISBLANK($C244),"",IF(X244=Constants!$B$2,TRUE(),IF(X244=Constants!$B$3,FALSE(),FALSE())))</f>
        <v/>
      </c>
      <c r="AZ244" s="93" t="str">
        <f aca="false">IF(ISBLANK($C244),"",MIN(Constants!$B$25,MAX(0,IF(ISNUMBER(Y244),Y244*60,0)+IF(ISNUMBER(Z244),Z244,0))))</f>
        <v/>
      </c>
      <c r="BA244" s="93" t="str">
        <f aca="false">IF(ISBLANK($C244),"",IF(AA244=Constants!$B$2,TRUE(),IF(AA244=Constants!$B$3,FALSE(),FALSE())))</f>
        <v/>
      </c>
      <c r="BB244" s="92" t="str">
        <f aca="false">IF(ISBLANK($C244),"",AND($AL244,OR($AM244="",$AN244="",AND($AO244,$AP244=""))))</f>
        <v/>
      </c>
      <c r="BC244" s="94" t="str">
        <f aca="false">IF($BX244&lt;&gt;Constants!$B$6,"",IF($AL244,Constants!$B$17*$AN244+Constants!$B$18*IF($AO244,$AP244,Constants!$B$19),Constants!$B$20))</f>
        <v/>
      </c>
      <c r="BD244" s="97" t="str">
        <f aca="false">IF($BX244&lt;&gt;Constants!$B$6,"",Constants!$B$21*ABS($AD$9-IF($AL244,$AM244,0)))</f>
        <v/>
      </c>
      <c r="BE244" s="97" t="str">
        <f aca="false">IF($BX244&lt;&gt;Constants!$B$6,"",IF(AND($AL244,$AQ244,$AO244),Constants!$B$22,0))</f>
        <v/>
      </c>
      <c r="BF244" s="97" t="str">
        <f aca="false">IF($BX244&lt;&gt;Constants!$B$6,"",IF($AL244,($AI244-Constants!$B$24)*Constants!$B$23,0))</f>
        <v/>
      </c>
      <c r="BG244" s="97" t="str">
        <f aca="false">IF($BX244&lt;&gt;Constants!$B$6,"",IF($AK244,0,Constants!$B$12)+IF($AJ244,0,Constants!$B$13)+IF($AH244,0,Constants!$B$14))</f>
        <v/>
      </c>
      <c r="BH244" s="98" t="str">
        <f aca="false">IF($BX244&lt;&gt;Constants!$B$6,"",Constants!$B$16+SUM($BC244:$BG244))</f>
        <v/>
      </c>
      <c r="BI244" s="97" t="str">
        <f aca="false">IF($BX244&lt;&gt;Constants!$B$6,"",$BC244)</f>
        <v/>
      </c>
      <c r="BJ244" s="97" t="str">
        <f aca="false">IF($BX244&lt;&gt;Constants!$B$6,"",$BD244)</f>
        <v/>
      </c>
      <c r="BK244" s="99" t="str">
        <f aca="false">IF($BX244&lt;&gt;Constants!$B$6,"",IF($AL244,$AN244,""))</f>
        <v/>
      </c>
      <c r="BL244" s="93" t="str">
        <f aca="false">IF($BX244&lt;&gt;Constants!$B$6,"",IF(OR($BS244&lt;$BH244,AND($BS244=$BH244,OR($BT244&lt;$BI244,AND($BT244=$BI244,OR($BU244&lt;$BJ244,AND($BU244=$BJ244,AND(ISNUMBER($BV244),OR(NOT(ISNUMBER($BK244)),$BV244&lt;$BK244)))))))),"-&gt;","&lt;-"))</f>
        <v/>
      </c>
      <c r="BM244" s="92" t="str">
        <f aca="false">IF(ISBLANK($C244),"",AND($AT244,OR($AU244="",$AV244="",AND($AW244,$AX244=""))))</f>
        <v/>
      </c>
      <c r="BN244" s="94" t="str">
        <f aca="false">IF($BX244&lt;&gt;Constants!$B$6,"",IF($AT244,Constants!$B$17*$AV244+Constants!$B$18*IF($AW244,$AX244,Constants!$B$19),Constants!$B$20))</f>
        <v/>
      </c>
      <c r="BO244" s="97" t="str">
        <f aca="false">IF($BX244&lt;&gt;Constants!$B$6,"",Constants!$B$21*ABS($AD$9-IF($AT244,$AU244,0)))</f>
        <v/>
      </c>
      <c r="BP244" s="97" t="str">
        <f aca="false">IF($BX244&lt;&gt;Constants!$B$6,"",IF(AND($AT244,$AY244,$AW244),Constants!$B$22,0))</f>
        <v/>
      </c>
      <c r="BQ244" s="97" t="str">
        <f aca="false">IF($BX244&lt;&gt;Constants!$B$6,"",IF($AT244,($AI244-Constants!$B$24)*Constants!$B$23,0))</f>
        <v/>
      </c>
      <c r="BR244" s="97" t="str">
        <f aca="false">IF($BX244&lt;&gt;Constants!$B$6,"",IF($AS244,0,Constants!$B$12)+IF($AR244,0,Constants!$B$13)+IF($AH244,0,Constants!$B$14))</f>
        <v/>
      </c>
      <c r="BS244" s="98" t="str">
        <f aca="false">IF($BX244&lt;&gt;Constants!$B$6,"",Constants!$B$16+SUM($BN244:$BR244))</f>
        <v/>
      </c>
      <c r="BT244" s="97" t="str">
        <f aca="false">IF($BX244&lt;&gt;Constants!$B$6,"",$BN244)</f>
        <v/>
      </c>
      <c r="BU244" s="97" t="str">
        <f aca="false">IF($BX244&lt;&gt;Constants!$B$6,"",$BO244)</f>
        <v/>
      </c>
      <c r="BV244" s="99" t="str">
        <f aca="false">IF($BX244&lt;&gt;Constants!$B$6,"",IF($AT244,$AV244,""))</f>
        <v/>
      </c>
      <c r="BW244" s="93" t="str">
        <f aca="false">IF(ISBLANK($C244),"",IF(ISBLANK($D$7),$BW$5,IF(NOT(ISNUMBER($D$7)),$BW$6,"")))</f>
        <v/>
      </c>
      <c r="BX244" s="93" t="str">
        <f aca="false">IF(ISBLANK($C244),"",IF($BA244,Constants!$B$9,IF(COUNTA($E244:$AA244)=0,Constants!$B$8,IF(NOT($AG244),Constants!$B$7,IF(OR($BW244&lt;&gt;"",$BB244,$BM244),Constants!$B$10,Constants!$B$6)))))</f>
        <v/>
      </c>
      <c r="BY244" s="93" t="str">
        <f aca="false">IF(ISBLANK($C244),"",IF($BX244&lt;&gt;Constants!$B$6,$BX244,Constants!$B$11))</f>
        <v/>
      </c>
      <c r="BZ244" s="97" t="str">
        <f aca="false">IF($BX244&lt;&gt;Constants!$B$6,"",IF($BL244="-&gt;",$BS244,$BH244))</f>
        <v/>
      </c>
      <c r="CA244" s="97" t="str">
        <f aca="false">IF($BX244&lt;&gt;Constants!$B$6,"",IF($AF244,0,Constants!$B$15))</f>
        <v/>
      </c>
      <c r="CB244" s="97" t="str">
        <f aca="false">IF($BX244&lt;&gt;Constants!$B$6,"",((Constants!$B$25-$AZ244)-Constants!$B$25)/Constants!$B$26)</f>
        <v/>
      </c>
      <c r="CC244" s="97" t="str">
        <f aca="false">IF(ISBLANK($C244),"",IF($BX244&lt;&gt;Constants!$B$6,$BX244,SUM($BZ244:$CB244)))</f>
        <v/>
      </c>
      <c r="CD244" s="93" t="str">
        <f aca="false">IF(ISBLANK($C244),"",IF($BX244&lt;&gt;Constants!$B$6,$BX244,RANK($CC244,$CC$9:$CC$508,1)))</f>
        <v/>
      </c>
      <c r="CE244" s="97" t="str">
        <f aca="false">IF($BX244&lt;&gt;Constants!$B$6,"",IF($BL244="-&gt;",$BT244,$BI244))</f>
        <v/>
      </c>
      <c r="CF244" s="93" t="str">
        <f aca="false">IF(ISBLANK($C244),"",IF($BX244&lt;&gt;Constants!$B$6,$BX244,IF(ISNUMBER($CE244),RANK($CE244,$CE$9:$CE$508,1),COUNT($CE$9:$CE$508)+1)))</f>
        <v/>
      </c>
      <c r="CG244" s="97" t="str">
        <f aca="false">IF($BX244&lt;&gt;Constants!$B$6,"",IF($BL244="-&gt;",$BU244,$BJ244))</f>
        <v/>
      </c>
      <c r="CH244" s="93" t="str">
        <f aca="false">IF(ISBLANK($C244),"",IF($BX244&lt;&gt;Constants!$B$6,$BX244,IF(ISNUMBER($CG244),RANK($CG244,$CG$9:$CG$508,1),COUNT($CG$9:$CG$508)+1)))</f>
        <v/>
      </c>
      <c r="CI244" s="97" t="str">
        <f aca="false">IF($BX244&lt;&gt;Constants!$B$6,"",IF($BL244="-&gt;",$BV244,$BK244))</f>
        <v/>
      </c>
      <c r="CJ244" s="93" t="str">
        <f aca="false">IF(ISBLANK($C244),"",IF($BX244&lt;&gt;Constants!$B$6,$BX244,IF(ISNUMBER($CI244),RANK($CI244,$CI$9:$CI$508,1),COUNT($CI$9:$CI$508)+1)))</f>
        <v/>
      </c>
      <c r="CK244" s="97" t="str">
        <f aca="false">IF($BX244&lt;&gt;Constants!$B$6,"",$AI244)</f>
        <v/>
      </c>
      <c r="CL244" s="93" t="str">
        <f aca="false">IF(ISBLANK($C244),"",IF($BX244&lt;&gt;Constants!$B$6,$BX244,IF(ISNUMBER($CK244),RANK($CK244,$CK$9:$CK$508,1),COUNT($CK$9:$CK$508)+1)))</f>
        <v/>
      </c>
      <c r="CM244" s="93" t="str">
        <f aca="false">IF(ISBLANK($C244),"",IF($BX244&lt;&gt;Constants!$B$6,$BX244,COUNTIFS($CD$9:$CD$508,"&lt;"&amp;$CD244)+COUNTIFS($CD$9:$CD$508,$CD244,$CF$9:$CF$508,"&lt;"&amp;$CF244)+COUNTIFS($CD$9:$CD$508,$CD244,$CF$9:$CF$508,$CF244,$CH$9:$CH$508,"&lt;"&amp;$CH244)+COUNTIFS($CD$9:$CD$508,$CD244,$CF$9:$CF$508,$CF244,$CH$9:$CH$508,$CH244,$CJ$9:$CJ$508,"&lt;"&amp;$CJ244)+COUNTIFS($CD$9:$CD$508,$CD244,$CF$9:$CF$508,$CF244,$CH$9:$CH$508,$CH244,$CJ$9:$CJ$508,$CJ244,$CL$9:$CL$508,"&lt;"&amp;$CL244)+1))</f>
        <v/>
      </c>
      <c r="CN244" s="93" t="str">
        <f aca="false">IF(ISBLANK($C244),"",IF($BX244&lt;&gt;Constants!$B$6,$BX244,$CD244-$CM244))</f>
        <v/>
      </c>
      <c r="CO244" s="100"/>
      <c r="CP244" s="101"/>
      <c r="CQ244" s="102" t="str">
        <f aca="false">IF(ISBLANK($C244),"",IF($BX244=Constants!$B$10,$BW244,""))</f>
        <v/>
      </c>
      <c r="CR244" s="101" t="str">
        <f aca="false">IF(ISBLANK($C244),"",IF($BX244&lt;&gt;Constants!$B$6,"",IF($BL244="-&gt;",2,1)))</f>
        <v/>
      </c>
      <c r="CS244" s="103" t="str">
        <f aca="false">IF(ISBLANK($C244),"",IF($BX244&lt;&gt;Constants!$B$6,"",IF($BL244="-&gt;",$BN244,$BC244)))</f>
        <v/>
      </c>
      <c r="CT244" s="103" t="str">
        <f aca="false">IF(ISBLANK($C244),"",IF($BX244&lt;&gt;Constants!$B$6,"",IF($BL244="-&gt;",$BO244,$BD244)))</f>
        <v/>
      </c>
      <c r="CU244" s="103" t="str">
        <f aca="false">IF(ISBLANK($C244),"",IF($BX244&lt;&gt;Constants!$B$6,"",IF($BL244="-&gt;",$BP244+$BQ244,$BE244+$BF244)+$CB244))</f>
        <v/>
      </c>
      <c r="CV244" s="103" t="str">
        <f aca="false">IF(ISBLANK($C244),"",IF($BX244&lt;&gt;Constants!$B$6,"",IF($BL244="-&gt;",$BR244,$BG244)+$CA244))</f>
        <v/>
      </c>
      <c r="CW244" s="104" t="str">
        <f aca="false">IF(ISBLANK($C244),"",IF($BX244&lt;&gt;Constants!$B$6,$BX244,$CC244))</f>
        <v/>
      </c>
      <c r="CX244" s="105" t="str">
        <f aca="false">IF(ISBLANK($C244),"",$BY244)</f>
        <v/>
      </c>
      <c r="CY244" s="106" t="str">
        <f aca="false">IF(ISBLANK($C244),"",$CN244)</f>
        <v/>
      </c>
      <c r="CZ244" s="106" t="str">
        <f aca="false">IF(ISBLANK($C244),"",$CM244)</f>
        <v/>
      </c>
      <c r="DA244" s="107" t="str">
        <f aca="false">IF(ISBLANK($C244),"",IFERROR(_xlfn.SWITCH($CZ244,Constants!$B$9,COUNTA($C$9:$C$508)+2,Constants!$B$8,COUNTA($C$9:$C$508)+1,Constants!$B$7,COUNTA($C$9:$C$508)),$CZ244))</f>
        <v/>
      </c>
      <c r="DB244" s="9"/>
      <c r="DC244" s="108" t="n">
        <f aca="false">IF(OR(ISNUMBER($CZ244),$CZ244=Constants!$B$9,$CZ244=Constants!$B$7,$CZ244=Constants!$B$8),1,0)</f>
        <v>0</v>
      </c>
      <c r="DD244" s="108" t="n">
        <v>236</v>
      </c>
      <c r="DE244" s="108" t="str">
        <f aca="false">IF(ISBLANK($C244),"",IF(ISNUMBER($DA244),$DA244+ROW($B244)/1000,""))</f>
        <v/>
      </c>
      <c r="DF244" s="108" t="str">
        <f aca="false">IF(ISNUMBER($DE244),RANK($DE244,$DE$9:$DE$508,1),"")</f>
        <v/>
      </c>
      <c r="DG244" s="108" t="str">
        <f aca="false">IF(ISBLANK($C244),"",$B244)</f>
        <v/>
      </c>
      <c r="DH244" s="108" t="str">
        <f aca="false">IF(ISBLANK($C244),"",$C244)</f>
        <v/>
      </c>
      <c r="DI244" s="108" t="str">
        <f aca="false">IF(ISBLANK($C244),"",$D244)</f>
        <v/>
      </c>
      <c r="DJ244" s="109" t="str">
        <f aca="false">$CX244</f>
        <v/>
      </c>
      <c r="DK244" s="110" t="str">
        <f aca="false">$CW244</f>
        <v/>
      </c>
      <c r="DL244" s="108" t="str">
        <f aca="false">IF(ISBLANK($C244),"",$CZ244)</f>
        <v/>
      </c>
      <c r="DM244" s="111" t="str">
        <f aca="false">IF($DD244&gt;$DC$8,"",VLOOKUP($DD244,$DF$9:$DL$508,7,FALSE()))</f>
        <v/>
      </c>
      <c r="DN244" s="112" t="str">
        <f aca="false">IF($DD244&gt;$DC$8,"",VLOOKUP($DD244,$DF$9:$DL$508,2,FALSE()))</f>
        <v/>
      </c>
      <c r="DO244" s="112" t="str">
        <f aca="false">IF($DD244&gt;$DC$8,"",VLOOKUP($DD244,$DF$9:$DL$508,3,FALSE()))</f>
        <v/>
      </c>
      <c r="DP244" s="112" t="str">
        <f aca="false">IF($DD244&gt;$DC$8,"",VLOOKUP($DD244,$DF$9:$DL$508,4,FALSE()))</f>
        <v/>
      </c>
      <c r="DQ244" s="112" t="str">
        <f aca="false">IF($DD244&gt;$DC$8,"",VLOOKUP($DD244,$DF$9:$DL$508,5,FALSE()))</f>
        <v/>
      </c>
      <c r="DR244" s="113" t="str">
        <f aca="false">IF($DD244&gt;$DC$8,"",VLOOKUP($DD244,$DF$9:$DL$508,6,FALSE()))</f>
        <v/>
      </c>
      <c r="DS244" s="76"/>
    </row>
    <row r="245" customFormat="false" ht="15.75" hidden="false" customHeight="false" outlineLevel="0" collapsed="false">
      <c r="A245" s="9"/>
      <c r="B245" s="78"/>
      <c r="C245" s="79"/>
      <c r="D245" s="170"/>
      <c r="E245" s="178"/>
      <c r="F245" s="172"/>
      <c r="G245" s="173"/>
      <c r="H245" s="173"/>
      <c r="I245" s="179"/>
      <c r="J245" s="176"/>
      <c r="K245" s="86"/>
      <c r="L245" s="87"/>
      <c r="M245" s="88"/>
      <c r="N245" s="176"/>
      <c r="O245" s="176"/>
      <c r="P245" s="178"/>
      <c r="Q245" s="176"/>
      <c r="R245" s="176"/>
      <c r="S245" s="86"/>
      <c r="T245" s="88"/>
      <c r="U245" s="88"/>
      <c r="V245" s="176"/>
      <c r="W245" s="176"/>
      <c r="X245" s="178"/>
      <c r="Y245" s="176"/>
      <c r="Z245" s="177"/>
      <c r="AA245" s="176"/>
      <c r="AB245" s="92"/>
      <c r="AC245" s="93"/>
      <c r="AD245" s="93"/>
      <c r="AE245" s="93"/>
      <c r="AF245" s="93" t="str">
        <f aca="false">IF(ISBLANK($C245),"",IF(E245=Constants!$B$2,TRUE(),IF(E245=Constants!$B$3,FALSE(),TRUE())))</f>
        <v/>
      </c>
      <c r="AG245" s="93" t="str">
        <f aca="false">IF(ISBLANK($C245),"",IF(F245=Constants!$B$2,TRUE(),IF(F245=Constants!$B$3,FALSE(),TRUE())))</f>
        <v/>
      </c>
      <c r="AH245" s="93" t="str">
        <f aca="false">IF(ISBLANK($C245),"",IF(G245=Constants!$B$2,TRUE(),IF(G245=Constants!$B$3,FALSE(),TRUE())))</f>
        <v/>
      </c>
      <c r="AI245" s="93" t="str">
        <f aca="false">IF(ISBLANK($C245),"",IF(AND(ISNUMBER(H245),H245&gt;=0),H245,Constants!$B$24))</f>
        <v/>
      </c>
      <c r="AJ245" s="93" t="str">
        <f aca="false">IF(ISBLANK($C245),"",IF(I245=Constants!$B$2,TRUE(),IF(I245=Constants!$B$3,FALSE(),TRUE())))</f>
        <v/>
      </c>
      <c r="AK245" s="93" t="str">
        <f aca="false">IF(ISBLANK($C245),"",IF(J245=Constants!$B$2,TRUE(),IF(J245=Constants!$B$3,FALSE(),TRUE())))</f>
        <v/>
      </c>
      <c r="AL245" s="93" t="str">
        <f aca="false">IF(ISBLANK($C245),"",IF(K245=Constants!$B$4,TRUE(),IF(K245=Constants!$B$5,FALSE(),COUNTA(L245:P245)&gt;0)))</f>
        <v/>
      </c>
      <c r="AM245" s="95" t="str">
        <f aca="false">IF(ISBLANK($C245),"",IF(ISNUMBER(L245),IF(L245&gt;=0,L245,""),""))</f>
        <v/>
      </c>
      <c r="AN245" s="94" t="str">
        <f aca="false">IF(ISBLANK($C245),"",IF(ISNUMBER(M245),IF(M245&gt;=0,M245,""),""))</f>
        <v/>
      </c>
      <c r="AO245" s="94" t="str">
        <f aca="false">IF(ISBLANK($C245),"",IF(N245=Constants!$B$2,TRUE(),IF(N245=Constants!$B$3,FALSE(),TRUE())))</f>
        <v/>
      </c>
      <c r="AP245" s="93" t="str">
        <f aca="false">IF(ISBLANK($C245),"",IF(ISNUMBER(O245),IF(O245&gt;=0,O245,""),""))</f>
        <v/>
      </c>
      <c r="AQ245" s="93" t="str">
        <f aca="false">IF(ISBLANK($C245),"",IF(P245=Constants!$B$2,TRUE(),IF(P245=Constants!$B$3,FALSE(),FALSE())))</f>
        <v/>
      </c>
      <c r="AR245" s="93" t="str">
        <f aca="false">IF(ISBLANK($C245),"",IF(Q245=Constants!$B$2,TRUE(),IF(Q245=Constants!$B$3,FALSE(),TRUE())))</f>
        <v/>
      </c>
      <c r="AS245" s="93" t="str">
        <f aca="false">IF(ISBLANK($C245),"",IF(R245=Constants!$B$2,TRUE(),IF(R245=Constants!$B$3,FALSE(),TRUE())))</f>
        <v/>
      </c>
      <c r="AT245" s="93" t="str">
        <f aca="false">IF(ISBLANK($C245),"",IF(S245=Constants!$B$4,TRUE(),IF(S245=Constants!$B$5,FALSE(),COUNTA(T245:X245)&gt;0)))</f>
        <v/>
      </c>
      <c r="AU245" s="95" t="str">
        <f aca="false">IF(ISBLANK($C245),"",IF(ISNUMBER(T245),IF(T245&gt;=0,T245,""),""))</f>
        <v/>
      </c>
      <c r="AV245" s="94" t="str">
        <f aca="false">IF(ISBLANK($C245),"",IF(ISNUMBER(U245),IF(U245&gt;=0,U245,""),""))</f>
        <v/>
      </c>
      <c r="AW245" s="94" t="str">
        <f aca="false">IF(ISBLANK($C245),"",IF(V245=Constants!$B$2,TRUE(),IF(V245=Constants!$B$3,FALSE(),TRUE())))</f>
        <v/>
      </c>
      <c r="AX245" s="93" t="str">
        <f aca="false">IF(ISBLANK($C245),"",IF(ISNUMBER(W245),IF(W245&gt;=0,W245,""),""))</f>
        <v/>
      </c>
      <c r="AY245" s="93" t="str">
        <f aca="false">IF(ISBLANK($C245),"",IF(X245=Constants!$B$2,TRUE(),IF(X245=Constants!$B$3,FALSE(),FALSE())))</f>
        <v/>
      </c>
      <c r="AZ245" s="93" t="str">
        <f aca="false">IF(ISBLANK($C245),"",MIN(Constants!$B$25,MAX(0,IF(ISNUMBER(Y245),Y245*60,0)+IF(ISNUMBER(Z245),Z245,0))))</f>
        <v/>
      </c>
      <c r="BA245" s="93" t="str">
        <f aca="false">IF(ISBLANK($C245),"",IF(AA245=Constants!$B$2,TRUE(),IF(AA245=Constants!$B$3,FALSE(),FALSE())))</f>
        <v/>
      </c>
      <c r="BB245" s="92" t="str">
        <f aca="false">IF(ISBLANK($C245),"",AND($AL245,OR($AM245="",$AN245="",AND($AO245,$AP245=""))))</f>
        <v/>
      </c>
      <c r="BC245" s="94" t="str">
        <f aca="false">IF($BX245&lt;&gt;Constants!$B$6,"",IF($AL245,Constants!$B$17*$AN245+Constants!$B$18*IF($AO245,$AP245,Constants!$B$19),Constants!$B$20))</f>
        <v/>
      </c>
      <c r="BD245" s="97" t="str">
        <f aca="false">IF($BX245&lt;&gt;Constants!$B$6,"",Constants!$B$21*ABS($AD$9-IF($AL245,$AM245,0)))</f>
        <v/>
      </c>
      <c r="BE245" s="97" t="str">
        <f aca="false">IF($BX245&lt;&gt;Constants!$B$6,"",IF(AND($AL245,$AQ245,$AO245),Constants!$B$22,0))</f>
        <v/>
      </c>
      <c r="BF245" s="97" t="str">
        <f aca="false">IF($BX245&lt;&gt;Constants!$B$6,"",IF($AL245,($AI245-Constants!$B$24)*Constants!$B$23,0))</f>
        <v/>
      </c>
      <c r="BG245" s="97" t="str">
        <f aca="false">IF($BX245&lt;&gt;Constants!$B$6,"",IF($AK245,0,Constants!$B$12)+IF($AJ245,0,Constants!$B$13)+IF($AH245,0,Constants!$B$14))</f>
        <v/>
      </c>
      <c r="BH245" s="98" t="str">
        <f aca="false">IF($BX245&lt;&gt;Constants!$B$6,"",Constants!$B$16+SUM($BC245:$BG245))</f>
        <v/>
      </c>
      <c r="BI245" s="97" t="str">
        <f aca="false">IF($BX245&lt;&gt;Constants!$B$6,"",$BC245)</f>
        <v/>
      </c>
      <c r="BJ245" s="97" t="str">
        <f aca="false">IF($BX245&lt;&gt;Constants!$B$6,"",$BD245)</f>
        <v/>
      </c>
      <c r="BK245" s="99" t="str">
        <f aca="false">IF($BX245&lt;&gt;Constants!$B$6,"",IF($AL245,$AN245,""))</f>
        <v/>
      </c>
      <c r="BL245" s="93" t="str">
        <f aca="false">IF($BX245&lt;&gt;Constants!$B$6,"",IF(OR($BS245&lt;$BH245,AND($BS245=$BH245,OR($BT245&lt;$BI245,AND($BT245=$BI245,OR($BU245&lt;$BJ245,AND($BU245=$BJ245,AND(ISNUMBER($BV245),OR(NOT(ISNUMBER($BK245)),$BV245&lt;$BK245)))))))),"-&gt;","&lt;-"))</f>
        <v/>
      </c>
      <c r="BM245" s="92" t="str">
        <f aca="false">IF(ISBLANK($C245),"",AND($AT245,OR($AU245="",$AV245="",AND($AW245,$AX245=""))))</f>
        <v/>
      </c>
      <c r="BN245" s="94" t="str">
        <f aca="false">IF($BX245&lt;&gt;Constants!$B$6,"",IF($AT245,Constants!$B$17*$AV245+Constants!$B$18*IF($AW245,$AX245,Constants!$B$19),Constants!$B$20))</f>
        <v/>
      </c>
      <c r="BO245" s="97" t="str">
        <f aca="false">IF($BX245&lt;&gt;Constants!$B$6,"",Constants!$B$21*ABS($AD$9-IF($AT245,$AU245,0)))</f>
        <v/>
      </c>
      <c r="BP245" s="97" t="str">
        <f aca="false">IF($BX245&lt;&gt;Constants!$B$6,"",IF(AND($AT245,$AY245,$AW245),Constants!$B$22,0))</f>
        <v/>
      </c>
      <c r="BQ245" s="97" t="str">
        <f aca="false">IF($BX245&lt;&gt;Constants!$B$6,"",IF($AT245,($AI245-Constants!$B$24)*Constants!$B$23,0))</f>
        <v/>
      </c>
      <c r="BR245" s="97" t="str">
        <f aca="false">IF($BX245&lt;&gt;Constants!$B$6,"",IF($AS245,0,Constants!$B$12)+IF($AR245,0,Constants!$B$13)+IF($AH245,0,Constants!$B$14))</f>
        <v/>
      </c>
      <c r="BS245" s="98" t="str">
        <f aca="false">IF($BX245&lt;&gt;Constants!$B$6,"",Constants!$B$16+SUM($BN245:$BR245))</f>
        <v/>
      </c>
      <c r="BT245" s="97" t="str">
        <f aca="false">IF($BX245&lt;&gt;Constants!$B$6,"",$BN245)</f>
        <v/>
      </c>
      <c r="BU245" s="97" t="str">
        <f aca="false">IF($BX245&lt;&gt;Constants!$B$6,"",$BO245)</f>
        <v/>
      </c>
      <c r="BV245" s="99" t="str">
        <f aca="false">IF($BX245&lt;&gt;Constants!$B$6,"",IF($AT245,$AV245,""))</f>
        <v/>
      </c>
      <c r="BW245" s="93" t="str">
        <f aca="false">IF(ISBLANK($C245),"",IF(ISBLANK($D$7),$BW$5,IF(NOT(ISNUMBER($D$7)),$BW$6,"")))</f>
        <v/>
      </c>
      <c r="BX245" s="93" t="str">
        <f aca="false">IF(ISBLANK($C245),"",IF($BA245,Constants!$B$9,IF(COUNTA($E245:$AA245)=0,Constants!$B$8,IF(NOT($AG245),Constants!$B$7,IF(OR($BW245&lt;&gt;"",$BB245,$BM245),Constants!$B$10,Constants!$B$6)))))</f>
        <v/>
      </c>
      <c r="BY245" s="93" t="str">
        <f aca="false">IF(ISBLANK($C245),"",IF($BX245&lt;&gt;Constants!$B$6,$BX245,Constants!$B$11))</f>
        <v/>
      </c>
      <c r="BZ245" s="97" t="str">
        <f aca="false">IF($BX245&lt;&gt;Constants!$B$6,"",IF($BL245="-&gt;",$BS245,$BH245))</f>
        <v/>
      </c>
      <c r="CA245" s="97" t="str">
        <f aca="false">IF($BX245&lt;&gt;Constants!$B$6,"",IF($AF245,0,Constants!$B$15))</f>
        <v/>
      </c>
      <c r="CB245" s="97" t="str">
        <f aca="false">IF($BX245&lt;&gt;Constants!$B$6,"",((Constants!$B$25-$AZ245)-Constants!$B$25)/Constants!$B$26)</f>
        <v/>
      </c>
      <c r="CC245" s="97" t="str">
        <f aca="false">IF(ISBLANK($C245),"",IF($BX245&lt;&gt;Constants!$B$6,$BX245,SUM($BZ245:$CB245)))</f>
        <v/>
      </c>
      <c r="CD245" s="93" t="str">
        <f aca="false">IF(ISBLANK($C245),"",IF($BX245&lt;&gt;Constants!$B$6,$BX245,RANK($CC245,$CC$9:$CC$508,1)))</f>
        <v/>
      </c>
      <c r="CE245" s="97" t="str">
        <f aca="false">IF($BX245&lt;&gt;Constants!$B$6,"",IF($BL245="-&gt;",$BT245,$BI245))</f>
        <v/>
      </c>
      <c r="CF245" s="93" t="str">
        <f aca="false">IF(ISBLANK($C245),"",IF($BX245&lt;&gt;Constants!$B$6,$BX245,IF(ISNUMBER($CE245),RANK($CE245,$CE$9:$CE$508,1),COUNT($CE$9:$CE$508)+1)))</f>
        <v/>
      </c>
      <c r="CG245" s="97" t="str">
        <f aca="false">IF($BX245&lt;&gt;Constants!$B$6,"",IF($BL245="-&gt;",$BU245,$BJ245))</f>
        <v/>
      </c>
      <c r="CH245" s="93" t="str">
        <f aca="false">IF(ISBLANK($C245),"",IF($BX245&lt;&gt;Constants!$B$6,$BX245,IF(ISNUMBER($CG245),RANK($CG245,$CG$9:$CG$508,1),COUNT($CG$9:$CG$508)+1)))</f>
        <v/>
      </c>
      <c r="CI245" s="97" t="str">
        <f aca="false">IF($BX245&lt;&gt;Constants!$B$6,"",IF($BL245="-&gt;",$BV245,$BK245))</f>
        <v/>
      </c>
      <c r="CJ245" s="93" t="str">
        <f aca="false">IF(ISBLANK($C245),"",IF($BX245&lt;&gt;Constants!$B$6,$BX245,IF(ISNUMBER($CI245),RANK($CI245,$CI$9:$CI$508,1),COUNT($CI$9:$CI$508)+1)))</f>
        <v/>
      </c>
      <c r="CK245" s="97" t="str">
        <f aca="false">IF($BX245&lt;&gt;Constants!$B$6,"",$AI245)</f>
        <v/>
      </c>
      <c r="CL245" s="93" t="str">
        <f aca="false">IF(ISBLANK($C245),"",IF($BX245&lt;&gt;Constants!$B$6,$BX245,IF(ISNUMBER($CK245),RANK($CK245,$CK$9:$CK$508,1),COUNT($CK$9:$CK$508)+1)))</f>
        <v/>
      </c>
      <c r="CM245" s="93" t="str">
        <f aca="false">IF(ISBLANK($C245),"",IF($BX245&lt;&gt;Constants!$B$6,$BX245,COUNTIFS($CD$9:$CD$508,"&lt;"&amp;$CD245)+COUNTIFS($CD$9:$CD$508,$CD245,$CF$9:$CF$508,"&lt;"&amp;$CF245)+COUNTIFS($CD$9:$CD$508,$CD245,$CF$9:$CF$508,$CF245,$CH$9:$CH$508,"&lt;"&amp;$CH245)+COUNTIFS($CD$9:$CD$508,$CD245,$CF$9:$CF$508,$CF245,$CH$9:$CH$508,$CH245,$CJ$9:$CJ$508,"&lt;"&amp;$CJ245)+COUNTIFS($CD$9:$CD$508,$CD245,$CF$9:$CF$508,$CF245,$CH$9:$CH$508,$CH245,$CJ$9:$CJ$508,$CJ245,$CL$9:$CL$508,"&lt;"&amp;$CL245)+1))</f>
        <v/>
      </c>
      <c r="CN245" s="93" t="str">
        <f aca="false">IF(ISBLANK($C245),"",IF($BX245&lt;&gt;Constants!$B$6,$BX245,$CD245-$CM245))</f>
        <v/>
      </c>
      <c r="CO245" s="100"/>
      <c r="CP245" s="101"/>
      <c r="CQ245" s="102" t="str">
        <f aca="false">IF(ISBLANK($C245),"",IF($BX245=Constants!$B$10,$BW245,""))</f>
        <v/>
      </c>
      <c r="CR245" s="101" t="str">
        <f aca="false">IF(ISBLANK($C245),"",IF($BX245&lt;&gt;Constants!$B$6,"",IF($BL245="-&gt;",2,1)))</f>
        <v/>
      </c>
      <c r="CS245" s="103" t="str">
        <f aca="false">IF(ISBLANK($C245),"",IF($BX245&lt;&gt;Constants!$B$6,"",IF($BL245="-&gt;",$BN245,$BC245)))</f>
        <v/>
      </c>
      <c r="CT245" s="103" t="str">
        <f aca="false">IF(ISBLANK($C245),"",IF($BX245&lt;&gt;Constants!$B$6,"",IF($BL245="-&gt;",$BO245,$BD245)))</f>
        <v/>
      </c>
      <c r="CU245" s="103" t="str">
        <f aca="false">IF(ISBLANK($C245),"",IF($BX245&lt;&gt;Constants!$B$6,"",IF($BL245="-&gt;",$BP245+$BQ245,$BE245+$BF245)+$CB245))</f>
        <v/>
      </c>
      <c r="CV245" s="103" t="str">
        <f aca="false">IF(ISBLANK($C245),"",IF($BX245&lt;&gt;Constants!$B$6,"",IF($BL245="-&gt;",$BR245,$BG245)+$CA245))</f>
        <v/>
      </c>
      <c r="CW245" s="104" t="str">
        <f aca="false">IF(ISBLANK($C245),"",IF($BX245&lt;&gt;Constants!$B$6,$BX245,$CC245))</f>
        <v/>
      </c>
      <c r="CX245" s="105" t="str">
        <f aca="false">IF(ISBLANK($C245),"",$BY245)</f>
        <v/>
      </c>
      <c r="CY245" s="106" t="str">
        <f aca="false">IF(ISBLANK($C245),"",$CN245)</f>
        <v/>
      </c>
      <c r="CZ245" s="106" t="str">
        <f aca="false">IF(ISBLANK($C245),"",$CM245)</f>
        <v/>
      </c>
      <c r="DA245" s="107" t="str">
        <f aca="false">IF(ISBLANK($C245),"",IFERROR(_xlfn.SWITCH($CZ245,Constants!$B$9,COUNTA($C$9:$C$508)+2,Constants!$B$8,COUNTA($C$9:$C$508)+1,Constants!$B$7,COUNTA($C$9:$C$508)),$CZ245))</f>
        <v/>
      </c>
      <c r="DB245" s="9"/>
      <c r="DC245" s="108" t="n">
        <f aca="false">IF(OR(ISNUMBER($CZ245),$CZ245=Constants!$B$9,$CZ245=Constants!$B$7,$CZ245=Constants!$B$8),1,0)</f>
        <v>0</v>
      </c>
      <c r="DD245" s="108" t="n">
        <v>237</v>
      </c>
      <c r="DE245" s="108" t="str">
        <f aca="false">IF(ISBLANK($C245),"",IF(ISNUMBER($DA245),$DA245+ROW($B245)/1000,""))</f>
        <v/>
      </c>
      <c r="DF245" s="108" t="str">
        <f aca="false">IF(ISNUMBER($DE245),RANK($DE245,$DE$9:$DE$508,1),"")</f>
        <v/>
      </c>
      <c r="DG245" s="108" t="str">
        <f aca="false">IF(ISBLANK($C245),"",$B245)</f>
        <v/>
      </c>
      <c r="DH245" s="108" t="str">
        <f aca="false">IF(ISBLANK($C245),"",$C245)</f>
        <v/>
      </c>
      <c r="DI245" s="108" t="str">
        <f aca="false">IF(ISBLANK($C245),"",$D245)</f>
        <v/>
      </c>
      <c r="DJ245" s="109" t="str">
        <f aca="false">$CX245</f>
        <v/>
      </c>
      <c r="DK245" s="110" t="str">
        <f aca="false">$CW245</f>
        <v/>
      </c>
      <c r="DL245" s="108" t="str">
        <f aca="false">IF(ISBLANK($C245),"",$CZ245)</f>
        <v/>
      </c>
      <c r="DM245" s="111" t="str">
        <f aca="false">IF($DD245&gt;$DC$8,"",VLOOKUP($DD245,$DF$9:$DL$508,7,FALSE()))</f>
        <v/>
      </c>
      <c r="DN245" s="112" t="str">
        <f aca="false">IF($DD245&gt;$DC$8,"",VLOOKUP($DD245,$DF$9:$DL$508,2,FALSE()))</f>
        <v/>
      </c>
      <c r="DO245" s="112" t="str">
        <f aca="false">IF($DD245&gt;$DC$8,"",VLOOKUP($DD245,$DF$9:$DL$508,3,FALSE()))</f>
        <v/>
      </c>
      <c r="DP245" s="112" t="str">
        <f aca="false">IF($DD245&gt;$DC$8,"",VLOOKUP($DD245,$DF$9:$DL$508,4,FALSE()))</f>
        <v/>
      </c>
      <c r="DQ245" s="112" t="str">
        <f aca="false">IF($DD245&gt;$DC$8,"",VLOOKUP($DD245,$DF$9:$DL$508,5,FALSE()))</f>
        <v/>
      </c>
      <c r="DR245" s="113" t="str">
        <f aca="false">IF($DD245&gt;$DC$8,"",VLOOKUP($DD245,$DF$9:$DL$508,6,FALSE()))</f>
        <v/>
      </c>
      <c r="DS245" s="76"/>
    </row>
    <row r="246" customFormat="false" ht="15.75" hidden="false" customHeight="false" outlineLevel="0" collapsed="false">
      <c r="A246" s="9"/>
      <c r="B246" s="160"/>
      <c r="C246" s="161"/>
      <c r="D246" s="162"/>
      <c r="E246" s="180"/>
      <c r="F246" s="164"/>
      <c r="G246" s="165"/>
      <c r="H246" s="165"/>
      <c r="I246" s="181"/>
      <c r="J246" s="168"/>
      <c r="K246" s="128"/>
      <c r="L246" s="129"/>
      <c r="M246" s="130"/>
      <c r="N246" s="168"/>
      <c r="O246" s="168"/>
      <c r="P246" s="180"/>
      <c r="Q246" s="168"/>
      <c r="R246" s="168"/>
      <c r="S246" s="128"/>
      <c r="T246" s="130"/>
      <c r="U246" s="130"/>
      <c r="V246" s="168"/>
      <c r="W246" s="168"/>
      <c r="X246" s="180"/>
      <c r="Y246" s="168"/>
      <c r="Z246" s="169"/>
      <c r="AA246" s="168"/>
      <c r="AB246" s="134"/>
      <c r="AC246" s="135"/>
      <c r="AD246" s="135"/>
      <c r="AE246" s="135"/>
      <c r="AF246" s="135" t="str">
        <f aca="false">IF(ISBLANK($C246),"",IF(E246=Constants!$B$2,TRUE(),IF(E246=Constants!$B$3,FALSE(),TRUE())))</f>
        <v/>
      </c>
      <c r="AG246" s="135" t="str">
        <f aca="false">IF(ISBLANK($C246),"",IF(F246=Constants!$B$2,TRUE(),IF(F246=Constants!$B$3,FALSE(),TRUE())))</f>
        <v/>
      </c>
      <c r="AH246" s="135" t="str">
        <f aca="false">IF(ISBLANK($C246),"",IF(G246=Constants!$B$2,TRUE(),IF(G246=Constants!$B$3,FALSE(),TRUE())))</f>
        <v/>
      </c>
      <c r="AI246" s="135" t="str">
        <f aca="false">IF(ISBLANK($C246),"",IF(AND(ISNUMBER(H246),H246&gt;=0),H246,Constants!$B$24))</f>
        <v/>
      </c>
      <c r="AJ246" s="135" t="str">
        <f aca="false">IF(ISBLANK($C246),"",IF(I246=Constants!$B$2,TRUE(),IF(I246=Constants!$B$3,FALSE(),TRUE())))</f>
        <v/>
      </c>
      <c r="AK246" s="135" t="str">
        <f aca="false">IF(ISBLANK($C246),"",IF(J246=Constants!$B$2,TRUE(),IF(J246=Constants!$B$3,FALSE(),TRUE())))</f>
        <v/>
      </c>
      <c r="AL246" s="135" t="str">
        <f aca="false">IF(ISBLANK($C246),"",IF(K246=Constants!$B$4,TRUE(),IF(K246=Constants!$B$5,FALSE(),COUNTA(L246:P246)&gt;0)))</f>
        <v/>
      </c>
      <c r="AM246" s="136" t="str">
        <f aca="false">IF(ISBLANK($C246),"",IF(ISNUMBER(L246),IF(L246&gt;=0,L246,""),""))</f>
        <v/>
      </c>
      <c r="AN246" s="137" t="str">
        <f aca="false">IF(ISBLANK($C246),"",IF(ISNUMBER(M246),IF(M246&gt;=0,M246,""),""))</f>
        <v/>
      </c>
      <c r="AO246" s="137" t="str">
        <f aca="false">IF(ISBLANK($C246),"",IF(N246=Constants!$B$2,TRUE(),IF(N246=Constants!$B$3,FALSE(),TRUE())))</f>
        <v/>
      </c>
      <c r="AP246" s="135" t="str">
        <f aca="false">IF(ISBLANK($C246),"",IF(ISNUMBER(O246),IF(O246&gt;=0,O246,""),""))</f>
        <v/>
      </c>
      <c r="AQ246" s="135" t="str">
        <f aca="false">IF(ISBLANK($C246),"",IF(P246=Constants!$B$2,TRUE(),IF(P246=Constants!$B$3,FALSE(),FALSE())))</f>
        <v/>
      </c>
      <c r="AR246" s="135" t="str">
        <f aca="false">IF(ISBLANK($C246),"",IF(Q246=Constants!$B$2,TRUE(),IF(Q246=Constants!$B$3,FALSE(),TRUE())))</f>
        <v/>
      </c>
      <c r="AS246" s="135" t="str">
        <f aca="false">IF(ISBLANK($C246),"",IF(R246=Constants!$B$2,TRUE(),IF(R246=Constants!$B$3,FALSE(),TRUE())))</f>
        <v/>
      </c>
      <c r="AT246" s="135" t="str">
        <f aca="false">IF(ISBLANK($C246),"",IF(S246=Constants!$B$4,TRUE(),IF(S246=Constants!$B$5,FALSE(),COUNTA(T246:X246)&gt;0)))</f>
        <v/>
      </c>
      <c r="AU246" s="136" t="str">
        <f aca="false">IF(ISBLANK($C246),"",IF(ISNUMBER(T246),IF(T246&gt;=0,T246,""),""))</f>
        <v/>
      </c>
      <c r="AV246" s="137" t="str">
        <f aca="false">IF(ISBLANK($C246),"",IF(ISNUMBER(U246),IF(U246&gt;=0,U246,""),""))</f>
        <v/>
      </c>
      <c r="AW246" s="137" t="str">
        <f aca="false">IF(ISBLANK($C246),"",IF(V246=Constants!$B$2,TRUE(),IF(V246=Constants!$B$3,FALSE(),TRUE())))</f>
        <v/>
      </c>
      <c r="AX246" s="135" t="str">
        <f aca="false">IF(ISBLANK($C246),"",IF(ISNUMBER(W246),IF(W246&gt;=0,W246,""),""))</f>
        <v/>
      </c>
      <c r="AY246" s="135" t="str">
        <f aca="false">IF(ISBLANK($C246),"",IF(X246=Constants!$B$2,TRUE(),IF(X246=Constants!$B$3,FALSE(),FALSE())))</f>
        <v/>
      </c>
      <c r="AZ246" s="135" t="str">
        <f aca="false">IF(ISBLANK($C246),"",MIN(Constants!$B$25,MAX(0,IF(ISNUMBER(Y246),Y246*60,0)+IF(ISNUMBER(Z246),Z246,0))))</f>
        <v/>
      </c>
      <c r="BA246" s="135" t="str">
        <f aca="false">IF(ISBLANK($C246),"",IF(AA246=Constants!$B$2,TRUE(),IF(AA246=Constants!$B$3,FALSE(),FALSE())))</f>
        <v/>
      </c>
      <c r="BB246" s="134" t="str">
        <f aca="false">IF(ISBLANK($C246),"",AND($AL246,OR($AM246="",$AN246="",AND($AO246,$AP246=""))))</f>
        <v/>
      </c>
      <c r="BC246" s="137" t="str">
        <f aca="false">IF($BX246&lt;&gt;Constants!$B$6,"",IF($AL246,Constants!$B$17*$AN246+Constants!$B$18*IF($AO246,$AP246,Constants!$B$19),Constants!$B$20))</f>
        <v/>
      </c>
      <c r="BD246" s="138" t="str">
        <f aca="false">IF($BX246&lt;&gt;Constants!$B$6,"",Constants!$B$21*ABS($AD$9-IF($AL246,$AM246,0)))</f>
        <v/>
      </c>
      <c r="BE246" s="138" t="str">
        <f aca="false">IF($BX246&lt;&gt;Constants!$B$6,"",IF(AND($AL246,$AQ246,$AO246),Constants!$B$22,0))</f>
        <v/>
      </c>
      <c r="BF246" s="138" t="str">
        <f aca="false">IF($BX246&lt;&gt;Constants!$B$6,"",IF($AL246,($AI246-Constants!$B$24)*Constants!$B$23,0))</f>
        <v/>
      </c>
      <c r="BG246" s="138" t="str">
        <f aca="false">IF($BX246&lt;&gt;Constants!$B$6,"",IF($AK246,0,Constants!$B$12)+IF($AJ246,0,Constants!$B$13)+IF($AH246,0,Constants!$B$14))</f>
        <v/>
      </c>
      <c r="BH246" s="139" t="str">
        <f aca="false">IF($BX246&lt;&gt;Constants!$B$6,"",Constants!$B$16+SUM($BC246:$BG246))</f>
        <v/>
      </c>
      <c r="BI246" s="138" t="str">
        <f aca="false">IF($BX246&lt;&gt;Constants!$B$6,"",$BC246)</f>
        <v/>
      </c>
      <c r="BJ246" s="138" t="str">
        <f aca="false">IF($BX246&lt;&gt;Constants!$B$6,"",$BD246)</f>
        <v/>
      </c>
      <c r="BK246" s="140" t="str">
        <f aca="false">IF($BX246&lt;&gt;Constants!$B$6,"",IF($AL246,$AN246,""))</f>
        <v/>
      </c>
      <c r="BL246" s="135" t="str">
        <f aca="false">IF($BX246&lt;&gt;Constants!$B$6,"",IF(OR($BS246&lt;$BH246,AND($BS246=$BH246,OR($BT246&lt;$BI246,AND($BT246=$BI246,OR($BU246&lt;$BJ246,AND($BU246=$BJ246,AND(ISNUMBER($BV246),OR(NOT(ISNUMBER($BK246)),$BV246&lt;$BK246)))))))),"-&gt;","&lt;-"))</f>
        <v/>
      </c>
      <c r="BM246" s="134" t="str">
        <f aca="false">IF(ISBLANK($C246),"",AND($AT246,OR($AU246="",$AV246="",AND($AW246,$AX246=""))))</f>
        <v/>
      </c>
      <c r="BN246" s="137" t="str">
        <f aca="false">IF($BX246&lt;&gt;Constants!$B$6,"",IF($AT246,Constants!$B$17*$AV246+Constants!$B$18*IF($AW246,$AX246,Constants!$B$19),Constants!$B$20))</f>
        <v/>
      </c>
      <c r="BO246" s="138" t="str">
        <f aca="false">IF($BX246&lt;&gt;Constants!$B$6,"",Constants!$B$21*ABS($AD$9-IF($AT246,$AU246,0)))</f>
        <v/>
      </c>
      <c r="BP246" s="138" t="str">
        <f aca="false">IF($BX246&lt;&gt;Constants!$B$6,"",IF(AND($AT246,$AY246,$AW246),Constants!$B$22,0))</f>
        <v/>
      </c>
      <c r="BQ246" s="138" t="str">
        <f aca="false">IF($BX246&lt;&gt;Constants!$B$6,"",IF($AT246,($AI246-Constants!$B$24)*Constants!$B$23,0))</f>
        <v/>
      </c>
      <c r="BR246" s="138" t="str">
        <f aca="false">IF($BX246&lt;&gt;Constants!$B$6,"",IF($AS246,0,Constants!$B$12)+IF($AR246,0,Constants!$B$13)+IF($AH246,0,Constants!$B$14))</f>
        <v/>
      </c>
      <c r="BS246" s="139" t="str">
        <f aca="false">IF($BX246&lt;&gt;Constants!$B$6,"",Constants!$B$16+SUM($BN246:$BR246))</f>
        <v/>
      </c>
      <c r="BT246" s="138" t="str">
        <f aca="false">IF($BX246&lt;&gt;Constants!$B$6,"",$BN246)</f>
        <v/>
      </c>
      <c r="BU246" s="138" t="str">
        <f aca="false">IF($BX246&lt;&gt;Constants!$B$6,"",$BO246)</f>
        <v/>
      </c>
      <c r="BV246" s="140" t="str">
        <f aca="false">IF($BX246&lt;&gt;Constants!$B$6,"",IF($AT246,$AV246,""))</f>
        <v/>
      </c>
      <c r="BW246" s="135" t="str">
        <f aca="false">IF(ISBLANK($C246),"",IF(ISBLANK($D$7),$BW$5,IF(NOT(ISNUMBER($D$7)),$BW$6,"")))</f>
        <v/>
      </c>
      <c r="BX246" s="135" t="str">
        <f aca="false">IF(ISBLANK($C246),"",IF($BA246,Constants!$B$9,IF(COUNTA($E246:$AA246)=0,Constants!$B$8,IF(NOT($AG246),Constants!$B$7,IF(OR($BW246&lt;&gt;"",$BB246,$BM246),Constants!$B$10,Constants!$B$6)))))</f>
        <v/>
      </c>
      <c r="BY246" s="135" t="str">
        <f aca="false">IF(ISBLANK($C246),"",IF($BX246&lt;&gt;Constants!$B$6,$BX246,Constants!$B$11))</f>
        <v/>
      </c>
      <c r="BZ246" s="138" t="str">
        <f aca="false">IF($BX246&lt;&gt;Constants!$B$6,"",IF($BL246="-&gt;",$BS246,$BH246))</f>
        <v/>
      </c>
      <c r="CA246" s="138" t="str">
        <f aca="false">IF($BX246&lt;&gt;Constants!$B$6,"",IF($AF246,0,Constants!$B$15))</f>
        <v/>
      </c>
      <c r="CB246" s="138" t="str">
        <f aca="false">IF($BX246&lt;&gt;Constants!$B$6,"",((Constants!$B$25-$AZ246)-Constants!$B$25)/Constants!$B$26)</f>
        <v/>
      </c>
      <c r="CC246" s="138" t="str">
        <f aca="false">IF(ISBLANK($C246),"",IF($BX246&lt;&gt;Constants!$B$6,$BX246,SUM($BZ246:$CB246)))</f>
        <v/>
      </c>
      <c r="CD246" s="135" t="str">
        <f aca="false">IF(ISBLANK($C246),"",IF($BX246&lt;&gt;Constants!$B$6,$BX246,RANK($CC246,$CC$9:$CC$508,1)))</f>
        <v/>
      </c>
      <c r="CE246" s="138" t="str">
        <f aca="false">IF($BX246&lt;&gt;Constants!$B$6,"",IF($BL246="-&gt;",$BT246,$BI246))</f>
        <v/>
      </c>
      <c r="CF246" s="135" t="str">
        <f aca="false">IF(ISBLANK($C246),"",IF($BX246&lt;&gt;Constants!$B$6,$BX246,IF(ISNUMBER($CE246),RANK($CE246,$CE$9:$CE$508,1),COUNT($CE$9:$CE$508)+1)))</f>
        <v/>
      </c>
      <c r="CG246" s="138" t="str">
        <f aca="false">IF($BX246&lt;&gt;Constants!$B$6,"",IF($BL246="-&gt;",$BU246,$BJ246))</f>
        <v/>
      </c>
      <c r="CH246" s="135" t="str">
        <f aca="false">IF(ISBLANK($C246),"",IF($BX246&lt;&gt;Constants!$B$6,$BX246,IF(ISNUMBER($CG246),RANK($CG246,$CG$9:$CG$508,1),COUNT($CG$9:$CG$508)+1)))</f>
        <v/>
      </c>
      <c r="CI246" s="138" t="str">
        <f aca="false">IF($BX246&lt;&gt;Constants!$B$6,"",IF($BL246="-&gt;",$BV246,$BK246))</f>
        <v/>
      </c>
      <c r="CJ246" s="135" t="str">
        <f aca="false">IF(ISBLANK($C246),"",IF($BX246&lt;&gt;Constants!$B$6,$BX246,IF(ISNUMBER($CI246),RANK($CI246,$CI$9:$CI$508,1),COUNT($CI$9:$CI$508)+1)))</f>
        <v/>
      </c>
      <c r="CK246" s="138" t="str">
        <f aca="false">IF($BX246&lt;&gt;Constants!$B$6,"",$AI246)</f>
        <v/>
      </c>
      <c r="CL246" s="135" t="str">
        <f aca="false">IF(ISBLANK($C246),"",IF($BX246&lt;&gt;Constants!$B$6,$BX246,IF(ISNUMBER($CK246),RANK($CK246,$CK$9:$CK$508,1),COUNT($CK$9:$CK$508)+1)))</f>
        <v/>
      </c>
      <c r="CM246" s="135" t="str">
        <f aca="false">IF(ISBLANK($C246),"",IF($BX246&lt;&gt;Constants!$B$6,$BX246,COUNTIFS($CD$9:$CD$508,"&lt;"&amp;$CD246)+COUNTIFS($CD$9:$CD$508,$CD246,$CF$9:$CF$508,"&lt;"&amp;$CF246)+COUNTIFS($CD$9:$CD$508,$CD246,$CF$9:$CF$508,$CF246,$CH$9:$CH$508,"&lt;"&amp;$CH246)+COUNTIFS($CD$9:$CD$508,$CD246,$CF$9:$CF$508,$CF246,$CH$9:$CH$508,$CH246,$CJ$9:$CJ$508,"&lt;"&amp;$CJ246)+COUNTIFS($CD$9:$CD$508,$CD246,$CF$9:$CF$508,$CF246,$CH$9:$CH$508,$CH246,$CJ$9:$CJ$508,$CJ246,$CL$9:$CL$508,"&lt;"&amp;$CL246)+1))</f>
        <v/>
      </c>
      <c r="CN246" s="135" t="str">
        <f aca="false">IF(ISBLANK($C246),"",IF($BX246&lt;&gt;Constants!$B$6,$BX246,$CD246-$CM246))</f>
        <v/>
      </c>
      <c r="CO246" s="141"/>
      <c r="CP246" s="142"/>
      <c r="CQ246" s="143" t="str">
        <f aca="false">IF(ISBLANK($C246),"",IF($BX246=Constants!$B$10,$BW246,""))</f>
        <v/>
      </c>
      <c r="CR246" s="142" t="str">
        <f aca="false">IF(ISBLANK($C246),"",IF($BX246&lt;&gt;Constants!$B$6,"",IF($BL246="-&gt;",2,1)))</f>
        <v/>
      </c>
      <c r="CS246" s="144" t="str">
        <f aca="false">IF(ISBLANK($C246),"",IF($BX246&lt;&gt;Constants!$B$6,"",IF($BL246="-&gt;",$BN246,$BC246)))</f>
        <v/>
      </c>
      <c r="CT246" s="144" t="str">
        <f aca="false">IF(ISBLANK($C246),"",IF($BX246&lt;&gt;Constants!$B$6,"",IF($BL246="-&gt;",$BO246,$BD246)))</f>
        <v/>
      </c>
      <c r="CU246" s="144" t="str">
        <f aca="false">IF(ISBLANK($C246),"",IF($BX246&lt;&gt;Constants!$B$6,"",IF($BL246="-&gt;",$BP246+$BQ246,$BE246+$BF246)+$CB246))</f>
        <v/>
      </c>
      <c r="CV246" s="144" t="str">
        <f aca="false">IF(ISBLANK($C246),"",IF($BX246&lt;&gt;Constants!$B$6,"",IF($BL246="-&gt;",$BR246,$BG246)+$CA246))</f>
        <v/>
      </c>
      <c r="CW246" s="145" t="str">
        <f aca="false">IF(ISBLANK($C246),"",IF($BX246&lt;&gt;Constants!$B$6,$BX246,$CC246))</f>
        <v/>
      </c>
      <c r="CX246" s="146" t="str">
        <f aca="false">IF(ISBLANK($C246),"",$BY246)</f>
        <v/>
      </c>
      <c r="CY246" s="147" t="str">
        <f aca="false">IF(ISBLANK($C246),"",$CN246)</f>
        <v/>
      </c>
      <c r="CZ246" s="147" t="str">
        <f aca="false">IF(ISBLANK($C246),"",$CM246)</f>
        <v/>
      </c>
      <c r="DA246" s="148" t="str">
        <f aca="false">IF(ISBLANK($C246),"",IFERROR(_xlfn.SWITCH($CZ246,Constants!$B$9,COUNTA($C$9:$C$508)+2,Constants!$B$8,COUNTA($C$9:$C$508)+1,Constants!$B$7,COUNTA($C$9:$C$508)),$CZ246))</f>
        <v/>
      </c>
      <c r="DB246" s="9"/>
      <c r="DC246" s="149" t="n">
        <f aca="false">IF(OR(ISNUMBER($CZ246),$CZ246=Constants!$B$9,$CZ246=Constants!$B$7,$CZ246=Constants!$B$8),1,0)</f>
        <v>0</v>
      </c>
      <c r="DD246" s="149" t="n">
        <v>238</v>
      </c>
      <c r="DE246" s="149" t="str">
        <f aca="false">IF(ISBLANK($C246),"",IF(ISNUMBER($DA246),$DA246+ROW($B246)/1000,""))</f>
        <v/>
      </c>
      <c r="DF246" s="149" t="str">
        <f aca="false">IF(ISNUMBER($DE246),RANK($DE246,$DE$9:$DE$508,1),"")</f>
        <v/>
      </c>
      <c r="DG246" s="149" t="str">
        <f aca="false">IF(ISBLANK($C246),"",$B246)</f>
        <v/>
      </c>
      <c r="DH246" s="149" t="str">
        <f aca="false">IF(ISBLANK($C246),"",$C246)</f>
        <v/>
      </c>
      <c r="DI246" s="149" t="str">
        <f aca="false">IF(ISBLANK($C246),"",$D246)</f>
        <v/>
      </c>
      <c r="DJ246" s="150" t="str">
        <f aca="false">$CX246</f>
        <v/>
      </c>
      <c r="DK246" s="151" t="str">
        <f aca="false">$CW246</f>
        <v/>
      </c>
      <c r="DL246" s="149" t="str">
        <f aca="false">IF(ISBLANK($C246),"",$CZ246)</f>
        <v/>
      </c>
      <c r="DM246" s="152" t="str">
        <f aca="false">IF($DD246&gt;$DC$8,"",VLOOKUP($DD246,$DF$9:$DL$508,7,FALSE()))</f>
        <v/>
      </c>
      <c r="DN246" s="153" t="str">
        <f aca="false">IF($DD246&gt;$DC$8,"",VLOOKUP($DD246,$DF$9:$DL$508,2,FALSE()))</f>
        <v/>
      </c>
      <c r="DO246" s="153" t="str">
        <f aca="false">IF($DD246&gt;$DC$8,"",VLOOKUP($DD246,$DF$9:$DL$508,3,FALSE()))</f>
        <v/>
      </c>
      <c r="DP246" s="153" t="str">
        <f aca="false">IF($DD246&gt;$DC$8,"",VLOOKUP($DD246,$DF$9:$DL$508,4,FALSE()))</f>
        <v/>
      </c>
      <c r="DQ246" s="153" t="str">
        <f aca="false">IF($DD246&gt;$DC$8,"",VLOOKUP($DD246,$DF$9:$DL$508,5,FALSE()))</f>
        <v/>
      </c>
      <c r="DR246" s="154" t="str">
        <f aca="false">IF($DD246&gt;$DC$8,"",VLOOKUP($DD246,$DF$9:$DL$508,6,FALSE()))</f>
        <v/>
      </c>
      <c r="DS246" s="76"/>
    </row>
    <row r="247" customFormat="false" ht="15.75" hidden="false" customHeight="false" outlineLevel="0" collapsed="false">
      <c r="A247" s="9"/>
      <c r="B247" s="160"/>
      <c r="C247" s="161"/>
      <c r="D247" s="162"/>
      <c r="E247" s="180"/>
      <c r="F247" s="164"/>
      <c r="G247" s="165"/>
      <c r="H247" s="165"/>
      <c r="I247" s="181"/>
      <c r="J247" s="168"/>
      <c r="K247" s="128"/>
      <c r="L247" s="129"/>
      <c r="M247" s="130"/>
      <c r="N247" s="168"/>
      <c r="O247" s="168"/>
      <c r="P247" s="180"/>
      <c r="Q247" s="168"/>
      <c r="R247" s="168"/>
      <c r="S247" s="128"/>
      <c r="T247" s="130"/>
      <c r="U247" s="130"/>
      <c r="V247" s="168"/>
      <c r="W247" s="168"/>
      <c r="X247" s="180"/>
      <c r="Y247" s="168"/>
      <c r="Z247" s="169"/>
      <c r="AA247" s="168"/>
      <c r="AB247" s="134"/>
      <c r="AC247" s="135"/>
      <c r="AD247" s="135"/>
      <c r="AE247" s="135"/>
      <c r="AF247" s="135" t="str">
        <f aca="false">IF(ISBLANK($C247),"",IF(E247=Constants!$B$2,TRUE(),IF(E247=Constants!$B$3,FALSE(),TRUE())))</f>
        <v/>
      </c>
      <c r="AG247" s="135" t="str">
        <f aca="false">IF(ISBLANK($C247),"",IF(F247=Constants!$B$2,TRUE(),IF(F247=Constants!$B$3,FALSE(),TRUE())))</f>
        <v/>
      </c>
      <c r="AH247" s="135" t="str">
        <f aca="false">IF(ISBLANK($C247),"",IF(G247=Constants!$B$2,TRUE(),IF(G247=Constants!$B$3,FALSE(),TRUE())))</f>
        <v/>
      </c>
      <c r="AI247" s="135" t="str">
        <f aca="false">IF(ISBLANK($C247),"",IF(AND(ISNUMBER(H247),H247&gt;=0),H247,Constants!$B$24))</f>
        <v/>
      </c>
      <c r="AJ247" s="135" t="str">
        <f aca="false">IF(ISBLANK($C247),"",IF(I247=Constants!$B$2,TRUE(),IF(I247=Constants!$B$3,FALSE(),TRUE())))</f>
        <v/>
      </c>
      <c r="AK247" s="135" t="str">
        <f aca="false">IF(ISBLANK($C247),"",IF(J247=Constants!$B$2,TRUE(),IF(J247=Constants!$B$3,FALSE(),TRUE())))</f>
        <v/>
      </c>
      <c r="AL247" s="135" t="str">
        <f aca="false">IF(ISBLANK($C247),"",IF(K247=Constants!$B$4,TRUE(),IF(K247=Constants!$B$5,FALSE(),COUNTA(L247:P247)&gt;0)))</f>
        <v/>
      </c>
      <c r="AM247" s="136" t="str">
        <f aca="false">IF(ISBLANK($C247),"",IF(ISNUMBER(L247),IF(L247&gt;=0,L247,""),""))</f>
        <v/>
      </c>
      <c r="AN247" s="137" t="str">
        <f aca="false">IF(ISBLANK($C247),"",IF(ISNUMBER(M247),IF(M247&gt;=0,M247,""),""))</f>
        <v/>
      </c>
      <c r="AO247" s="137" t="str">
        <f aca="false">IF(ISBLANK($C247),"",IF(N247=Constants!$B$2,TRUE(),IF(N247=Constants!$B$3,FALSE(),TRUE())))</f>
        <v/>
      </c>
      <c r="AP247" s="135" t="str">
        <f aca="false">IF(ISBLANK($C247),"",IF(ISNUMBER(O247),IF(O247&gt;=0,O247,""),""))</f>
        <v/>
      </c>
      <c r="AQ247" s="135" t="str">
        <f aca="false">IF(ISBLANK($C247),"",IF(P247=Constants!$B$2,TRUE(),IF(P247=Constants!$B$3,FALSE(),FALSE())))</f>
        <v/>
      </c>
      <c r="AR247" s="135" t="str">
        <f aca="false">IF(ISBLANK($C247),"",IF(Q247=Constants!$B$2,TRUE(),IF(Q247=Constants!$B$3,FALSE(),TRUE())))</f>
        <v/>
      </c>
      <c r="AS247" s="135" t="str">
        <f aca="false">IF(ISBLANK($C247),"",IF(R247=Constants!$B$2,TRUE(),IF(R247=Constants!$B$3,FALSE(),TRUE())))</f>
        <v/>
      </c>
      <c r="AT247" s="135" t="str">
        <f aca="false">IF(ISBLANK($C247),"",IF(S247=Constants!$B$4,TRUE(),IF(S247=Constants!$B$5,FALSE(),COUNTA(T247:X247)&gt;0)))</f>
        <v/>
      </c>
      <c r="AU247" s="136" t="str">
        <f aca="false">IF(ISBLANK($C247),"",IF(ISNUMBER(T247),IF(T247&gt;=0,T247,""),""))</f>
        <v/>
      </c>
      <c r="AV247" s="137" t="str">
        <f aca="false">IF(ISBLANK($C247),"",IF(ISNUMBER(U247),IF(U247&gt;=0,U247,""),""))</f>
        <v/>
      </c>
      <c r="AW247" s="137" t="str">
        <f aca="false">IF(ISBLANK($C247),"",IF(V247=Constants!$B$2,TRUE(),IF(V247=Constants!$B$3,FALSE(),TRUE())))</f>
        <v/>
      </c>
      <c r="AX247" s="135" t="str">
        <f aca="false">IF(ISBLANK($C247),"",IF(ISNUMBER(W247),IF(W247&gt;=0,W247,""),""))</f>
        <v/>
      </c>
      <c r="AY247" s="135" t="str">
        <f aca="false">IF(ISBLANK($C247),"",IF(X247=Constants!$B$2,TRUE(),IF(X247=Constants!$B$3,FALSE(),FALSE())))</f>
        <v/>
      </c>
      <c r="AZ247" s="135" t="str">
        <f aca="false">IF(ISBLANK($C247),"",MIN(Constants!$B$25,MAX(0,IF(ISNUMBER(Y247),Y247*60,0)+IF(ISNUMBER(Z247),Z247,0))))</f>
        <v/>
      </c>
      <c r="BA247" s="135" t="str">
        <f aca="false">IF(ISBLANK($C247),"",IF(AA247=Constants!$B$2,TRUE(),IF(AA247=Constants!$B$3,FALSE(),FALSE())))</f>
        <v/>
      </c>
      <c r="BB247" s="134" t="str">
        <f aca="false">IF(ISBLANK($C247),"",AND($AL247,OR($AM247="",$AN247="",AND($AO247,$AP247=""))))</f>
        <v/>
      </c>
      <c r="BC247" s="137" t="str">
        <f aca="false">IF($BX247&lt;&gt;Constants!$B$6,"",IF($AL247,Constants!$B$17*$AN247+Constants!$B$18*IF($AO247,$AP247,Constants!$B$19),Constants!$B$20))</f>
        <v/>
      </c>
      <c r="BD247" s="138" t="str">
        <f aca="false">IF($BX247&lt;&gt;Constants!$B$6,"",Constants!$B$21*ABS($AD$9-IF($AL247,$AM247,0)))</f>
        <v/>
      </c>
      <c r="BE247" s="138" t="str">
        <f aca="false">IF($BX247&lt;&gt;Constants!$B$6,"",IF(AND($AL247,$AQ247,$AO247),Constants!$B$22,0))</f>
        <v/>
      </c>
      <c r="BF247" s="138" t="str">
        <f aca="false">IF($BX247&lt;&gt;Constants!$B$6,"",IF($AL247,($AI247-Constants!$B$24)*Constants!$B$23,0))</f>
        <v/>
      </c>
      <c r="BG247" s="138" t="str">
        <f aca="false">IF($BX247&lt;&gt;Constants!$B$6,"",IF($AK247,0,Constants!$B$12)+IF($AJ247,0,Constants!$B$13)+IF($AH247,0,Constants!$B$14))</f>
        <v/>
      </c>
      <c r="BH247" s="139" t="str">
        <f aca="false">IF($BX247&lt;&gt;Constants!$B$6,"",Constants!$B$16+SUM($BC247:$BG247))</f>
        <v/>
      </c>
      <c r="BI247" s="138" t="str">
        <f aca="false">IF($BX247&lt;&gt;Constants!$B$6,"",$BC247)</f>
        <v/>
      </c>
      <c r="BJ247" s="138" t="str">
        <f aca="false">IF($BX247&lt;&gt;Constants!$B$6,"",$BD247)</f>
        <v/>
      </c>
      <c r="BK247" s="140" t="str">
        <f aca="false">IF($BX247&lt;&gt;Constants!$B$6,"",IF($AL247,$AN247,""))</f>
        <v/>
      </c>
      <c r="BL247" s="135" t="str">
        <f aca="false">IF($BX247&lt;&gt;Constants!$B$6,"",IF(OR($BS247&lt;$BH247,AND($BS247=$BH247,OR($BT247&lt;$BI247,AND($BT247=$BI247,OR($BU247&lt;$BJ247,AND($BU247=$BJ247,AND(ISNUMBER($BV247),OR(NOT(ISNUMBER($BK247)),$BV247&lt;$BK247)))))))),"-&gt;","&lt;-"))</f>
        <v/>
      </c>
      <c r="BM247" s="134" t="str">
        <f aca="false">IF(ISBLANK($C247),"",AND($AT247,OR($AU247="",$AV247="",AND($AW247,$AX247=""))))</f>
        <v/>
      </c>
      <c r="BN247" s="137" t="str">
        <f aca="false">IF($BX247&lt;&gt;Constants!$B$6,"",IF($AT247,Constants!$B$17*$AV247+Constants!$B$18*IF($AW247,$AX247,Constants!$B$19),Constants!$B$20))</f>
        <v/>
      </c>
      <c r="BO247" s="138" t="str">
        <f aca="false">IF($BX247&lt;&gt;Constants!$B$6,"",Constants!$B$21*ABS($AD$9-IF($AT247,$AU247,0)))</f>
        <v/>
      </c>
      <c r="BP247" s="138" t="str">
        <f aca="false">IF($BX247&lt;&gt;Constants!$B$6,"",IF(AND($AT247,$AY247,$AW247),Constants!$B$22,0))</f>
        <v/>
      </c>
      <c r="BQ247" s="138" t="str">
        <f aca="false">IF($BX247&lt;&gt;Constants!$B$6,"",IF($AT247,($AI247-Constants!$B$24)*Constants!$B$23,0))</f>
        <v/>
      </c>
      <c r="BR247" s="138" t="str">
        <f aca="false">IF($BX247&lt;&gt;Constants!$B$6,"",IF($AS247,0,Constants!$B$12)+IF($AR247,0,Constants!$B$13)+IF($AH247,0,Constants!$B$14))</f>
        <v/>
      </c>
      <c r="BS247" s="139" t="str">
        <f aca="false">IF($BX247&lt;&gt;Constants!$B$6,"",Constants!$B$16+SUM($BN247:$BR247))</f>
        <v/>
      </c>
      <c r="BT247" s="138" t="str">
        <f aca="false">IF($BX247&lt;&gt;Constants!$B$6,"",$BN247)</f>
        <v/>
      </c>
      <c r="BU247" s="138" t="str">
        <f aca="false">IF($BX247&lt;&gt;Constants!$B$6,"",$BO247)</f>
        <v/>
      </c>
      <c r="BV247" s="140" t="str">
        <f aca="false">IF($BX247&lt;&gt;Constants!$B$6,"",IF($AT247,$AV247,""))</f>
        <v/>
      </c>
      <c r="BW247" s="135" t="str">
        <f aca="false">IF(ISBLANK($C247),"",IF(ISBLANK($D$7),$BW$5,IF(NOT(ISNUMBER($D$7)),$BW$6,"")))</f>
        <v/>
      </c>
      <c r="BX247" s="135" t="str">
        <f aca="false">IF(ISBLANK($C247),"",IF($BA247,Constants!$B$9,IF(COUNTA($E247:$AA247)=0,Constants!$B$8,IF(NOT($AG247),Constants!$B$7,IF(OR($BW247&lt;&gt;"",$BB247,$BM247),Constants!$B$10,Constants!$B$6)))))</f>
        <v/>
      </c>
      <c r="BY247" s="135" t="str">
        <f aca="false">IF(ISBLANK($C247),"",IF($BX247&lt;&gt;Constants!$B$6,$BX247,Constants!$B$11))</f>
        <v/>
      </c>
      <c r="BZ247" s="138" t="str">
        <f aca="false">IF($BX247&lt;&gt;Constants!$B$6,"",IF($BL247="-&gt;",$BS247,$BH247))</f>
        <v/>
      </c>
      <c r="CA247" s="138" t="str">
        <f aca="false">IF($BX247&lt;&gt;Constants!$B$6,"",IF($AF247,0,Constants!$B$15))</f>
        <v/>
      </c>
      <c r="CB247" s="138" t="str">
        <f aca="false">IF($BX247&lt;&gt;Constants!$B$6,"",((Constants!$B$25-$AZ247)-Constants!$B$25)/Constants!$B$26)</f>
        <v/>
      </c>
      <c r="CC247" s="138" t="str">
        <f aca="false">IF(ISBLANK($C247),"",IF($BX247&lt;&gt;Constants!$B$6,$BX247,SUM($BZ247:$CB247)))</f>
        <v/>
      </c>
      <c r="CD247" s="135" t="str">
        <f aca="false">IF(ISBLANK($C247),"",IF($BX247&lt;&gt;Constants!$B$6,$BX247,RANK($CC247,$CC$9:$CC$508,1)))</f>
        <v/>
      </c>
      <c r="CE247" s="138" t="str">
        <f aca="false">IF($BX247&lt;&gt;Constants!$B$6,"",IF($BL247="-&gt;",$BT247,$BI247))</f>
        <v/>
      </c>
      <c r="CF247" s="135" t="str">
        <f aca="false">IF(ISBLANK($C247),"",IF($BX247&lt;&gt;Constants!$B$6,$BX247,IF(ISNUMBER($CE247),RANK($CE247,$CE$9:$CE$508,1),COUNT($CE$9:$CE$508)+1)))</f>
        <v/>
      </c>
      <c r="CG247" s="138" t="str">
        <f aca="false">IF($BX247&lt;&gt;Constants!$B$6,"",IF($BL247="-&gt;",$BU247,$BJ247))</f>
        <v/>
      </c>
      <c r="CH247" s="135" t="str">
        <f aca="false">IF(ISBLANK($C247),"",IF($BX247&lt;&gt;Constants!$B$6,$BX247,IF(ISNUMBER($CG247),RANK($CG247,$CG$9:$CG$508,1),COUNT($CG$9:$CG$508)+1)))</f>
        <v/>
      </c>
      <c r="CI247" s="138" t="str">
        <f aca="false">IF($BX247&lt;&gt;Constants!$B$6,"",IF($BL247="-&gt;",$BV247,$BK247))</f>
        <v/>
      </c>
      <c r="CJ247" s="135" t="str">
        <f aca="false">IF(ISBLANK($C247),"",IF($BX247&lt;&gt;Constants!$B$6,$BX247,IF(ISNUMBER($CI247),RANK($CI247,$CI$9:$CI$508,1),COUNT($CI$9:$CI$508)+1)))</f>
        <v/>
      </c>
      <c r="CK247" s="138" t="str">
        <f aca="false">IF($BX247&lt;&gt;Constants!$B$6,"",$AI247)</f>
        <v/>
      </c>
      <c r="CL247" s="135" t="str">
        <f aca="false">IF(ISBLANK($C247),"",IF($BX247&lt;&gt;Constants!$B$6,$BX247,IF(ISNUMBER($CK247),RANK($CK247,$CK$9:$CK$508,1),COUNT($CK$9:$CK$508)+1)))</f>
        <v/>
      </c>
      <c r="CM247" s="135" t="str">
        <f aca="false">IF(ISBLANK($C247),"",IF($BX247&lt;&gt;Constants!$B$6,$BX247,COUNTIFS($CD$9:$CD$508,"&lt;"&amp;$CD247)+COUNTIFS($CD$9:$CD$508,$CD247,$CF$9:$CF$508,"&lt;"&amp;$CF247)+COUNTIFS($CD$9:$CD$508,$CD247,$CF$9:$CF$508,$CF247,$CH$9:$CH$508,"&lt;"&amp;$CH247)+COUNTIFS($CD$9:$CD$508,$CD247,$CF$9:$CF$508,$CF247,$CH$9:$CH$508,$CH247,$CJ$9:$CJ$508,"&lt;"&amp;$CJ247)+COUNTIFS($CD$9:$CD$508,$CD247,$CF$9:$CF$508,$CF247,$CH$9:$CH$508,$CH247,$CJ$9:$CJ$508,$CJ247,$CL$9:$CL$508,"&lt;"&amp;$CL247)+1))</f>
        <v/>
      </c>
      <c r="CN247" s="135" t="str">
        <f aca="false">IF(ISBLANK($C247),"",IF($BX247&lt;&gt;Constants!$B$6,$BX247,$CD247-$CM247))</f>
        <v/>
      </c>
      <c r="CO247" s="141"/>
      <c r="CP247" s="142"/>
      <c r="CQ247" s="143" t="str">
        <f aca="false">IF(ISBLANK($C247),"",IF($BX247=Constants!$B$10,$BW247,""))</f>
        <v/>
      </c>
      <c r="CR247" s="142" t="str">
        <f aca="false">IF(ISBLANK($C247),"",IF($BX247&lt;&gt;Constants!$B$6,"",IF($BL247="-&gt;",2,1)))</f>
        <v/>
      </c>
      <c r="CS247" s="144" t="str">
        <f aca="false">IF(ISBLANK($C247),"",IF($BX247&lt;&gt;Constants!$B$6,"",IF($BL247="-&gt;",$BN247,$BC247)))</f>
        <v/>
      </c>
      <c r="CT247" s="144" t="str">
        <f aca="false">IF(ISBLANK($C247),"",IF($BX247&lt;&gt;Constants!$B$6,"",IF($BL247="-&gt;",$BO247,$BD247)))</f>
        <v/>
      </c>
      <c r="CU247" s="144" t="str">
        <f aca="false">IF(ISBLANK($C247),"",IF($BX247&lt;&gt;Constants!$B$6,"",IF($BL247="-&gt;",$BP247+$BQ247,$BE247+$BF247)+$CB247))</f>
        <v/>
      </c>
      <c r="CV247" s="144" t="str">
        <f aca="false">IF(ISBLANK($C247),"",IF($BX247&lt;&gt;Constants!$B$6,"",IF($BL247="-&gt;",$BR247,$BG247)+$CA247))</f>
        <v/>
      </c>
      <c r="CW247" s="145" t="str">
        <f aca="false">IF(ISBLANK($C247),"",IF($BX247&lt;&gt;Constants!$B$6,$BX247,$CC247))</f>
        <v/>
      </c>
      <c r="CX247" s="146" t="str">
        <f aca="false">IF(ISBLANK($C247),"",$BY247)</f>
        <v/>
      </c>
      <c r="CY247" s="147" t="str">
        <f aca="false">IF(ISBLANK($C247),"",$CN247)</f>
        <v/>
      </c>
      <c r="CZ247" s="147" t="str">
        <f aca="false">IF(ISBLANK($C247),"",$CM247)</f>
        <v/>
      </c>
      <c r="DA247" s="148" t="str">
        <f aca="false">IF(ISBLANK($C247),"",IFERROR(_xlfn.SWITCH($CZ247,Constants!$B$9,COUNTA($C$9:$C$508)+2,Constants!$B$8,COUNTA($C$9:$C$508)+1,Constants!$B$7,COUNTA($C$9:$C$508)),$CZ247))</f>
        <v/>
      </c>
      <c r="DB247" s="9"/>
      <c r="DC247" s="149" t="n">
        <f aca="false">IF(OR(ISNUMBER($CZ247),$CZ247=Constants!$B$9,$CZ247=Constants!$B$7,$CZ247=Constants!$B$8),1,0)</f>
        <v>0</v>
      </c>
      <c r="DD247" s="149" t="n">
        <v>239</v>
      </c>
      <c r="DE247" s="149" t="str">
        <f aca="false">IF(ISBLANK($C247),"",IF(ISNUMBER($DA247),$DA247+ROW($B247)/1000,""))</f>
        <v/>
      </c>
      <c r="DF247" s="149" t="str">
        <f aca="false">IF(ISNUMBER($DE247),RANK($DE247,$DE$9:$DE$508,1),"")</f>
        <v/>
      </c>
      <c r="DG247" s="149" t="str">
        <f aca="false">IF(ISBLANK($C247),"",$B247)</f>
        <v/>
      </c>
      <c r="DH247" s="149" t="str">
        <f aca="false">IF(ISBLANK($C247),"",$C247)</f>
        <v/>
      </c>
      <c r="DI247" s="149" t="str">
        <f aca="false">IF(ISBLANK($C247),"",$D247)</f>
        <v/>
      </c>
      <c r="DJ247" s="150" t="str">
        <f aca="false">$CX247</f>
        <v/>
      </c>
      <c r="DK247" s="151" t="str">
        <f aca="false">$CW247</f>
        <v/>
      </c>
      <c r="DL247" s="149" t="str">
        <f aca="false">IF(ISBLANK($C247),"",$CZ247)</f>
        <v/>
      </c>
      <c r="DM247" s="152" t="str">
        <f aca="false">IF($DD247&gt;$DC$8,"",VLOOKUP($DD247,$DF$9:$DL$508,7,FALSE()))</f>
        <v/>
      </c>
      <c r="DN247" s="153" t="str">
        <f aca="false">IF($DD247&gt;$DC$8,"",VLOOKUP($DD247,$DF$9:$DL$508,2,FALSE()))</f>
        <v/>
      </c>
      <c r="DO247" s="153" t="str">
        <f aca="false">IF($DD247&gt;$DC$8,"",VLOOKUP($DD247,$DF$9:$DL$508,3,FALSE()))</f>
        <v/>
      </c>
      <c r="DP247" s="153" t="str">
        <f aca="false">IF($DD247&gt;$DC$8,"",VLOOKUP($DD247,$DF$9:$DL$508,4,FALSE()))</f>
        <v/>
      </c>
      <c r="DQ247" s="153" t="str">
        <f aca="false">IF($DD247&gt;$DC$8,"",VLOOKUP($DD247,$DF$9:$DL$508,5,FALSE()))</f>
        <v/>
      </c>
      <c r="DR247" s="154" t="str">
        <f aca="false">IF($DD247&gt;$DC$8,"",VLOOKUP($DD247,$DF$9:$DL$508,6,FALSE()))</f>
        <v/>
      </c>
      <c r="DS247" s="76"/>
    </row>
    <row r="248" customFormat="false" ht="15.75" hidden="false" customHeight="false" outlineLevel="0" collapsed="false">
      <c r="A248" s="9"/>
      <c r="B248" s="160"/>
      <c r="C248" s="161"/>
      <c r="D248" s="162"/>
      <c r="E248" s="180"/>
      <c r="F248" s="164"/>
      <c r="G248" s="165"/>
      <c r="H248" s="165"/>
      <c r="I248" s="181"/>
      <c r="J248" s="168"/>
      <c r="K248" s="128"/>
      <c r="L248" s="129"/>
      <c r="M248" s="130"/>
      <c r="N248" s="168"/>
      <c r="O248" s="168"/>
      <c r="P248" s="180"/>
      <c r="Q248" s="168"/>
      <c r="R248" s="168"/>
      <c r="S248" s="128"/>
      <c r="T248" s="130"/>
      <c r="U248" s="130"/>
      <c r="V248" s="168"/>
      <c r="W248" s="168"/>
      <c r="X248" s="180"/>
      <c r="Y248" s="168"/>
      <c r="Z248" s="169"/>
      <c r="AA248" s="168"/>
      <c r="AB248" s="134"/>
      <c r="AC248" s="135"/>
      <c r="AD248" s="135"/>
      <c r="AE248" s="135"/>
      <c r="AF248" s="135" t="str">
        <f aca="false">IF(ISBLANK($C248),"",IF(E248=Constants!$B$2,TRUE(),IF(E248=Constants!$B$3,FALSE(),TRUE())))</f>
        <v/>
      </c>
      <c r="AG248" s="135" t="str">
        <f aca="false">IF(ISBLANK($C248),"",IF(F248=Constants!$B$2,TRUE(),IF(F248=Constants!$B$3,FALSE(),TRUE())))</f>
        <v/>
      </c>
      <c r="AH248" s="135" t="str">
        <f aca="false">IF(ISBLANK($C248),"",IF(G248=Constants!$B$2,TRUE(),IF(G248=Constants!$B$3,FALSE(),TRUE())))</f>
        <v/>
      </c>
      <c r="AI248" s="135" t="str">
        <f aca="false">IF(ISBLANK($C248),"",IF(AND(ISNUMBER(H248),H248&gt;=0),H248,Constants!$B$24))</f>
        <v/>
      </c>
      <c r="AJ248" s="135" t="str">
        <f aca="false">IF(ISBLANK($C248),"",IF(I248=Constants!$B$2,TRUE(),IF(I248=Constants!$B$3,FALSE(),TRUE())))</f>
        <v/>
      </c>
      <c r="AK248" s="135" t="str">
        <f aca="false">IF(ISBLANK($C248),"",IF(J248=Constants!$B$2,TRUE(),IF(J248=Constants!$B$3,FALSE(),TRUE())))</f>
        <v/>
      </c>
      <c r="AL248" s="135" t="str">
        <f aca="false">IF(ISBLANK($C248),"",IF(K248=Constants!$B$4,TRUE(),IF(K248=Constants!$B$5,FALSE(),COUNTA(L248:P248)&gt;0)))</f>
        <v/>
      </c>
      <c r="AM248" s="136" t="str">
        <f aca="false">IF(ISBLANK($C248),"",IF(ISNUMBER(L248),IF(L248&gt;=0,L248,""),""))</f>
        <v/>
      </c>
      <c r="AN248" s="137" t="str">
        <f aca="false">IF(ISBLANK($C248),"",IF(ISNUMBER(M248),IF(M248&gt;=0,M248,""),""))</f>
        <v/>
      </c>
      <c r="AO248" s="137" t="str">
        <f aca="false">IF(ISBLANK($C248),"",IF(N248=Constants!$B$2,TRUE(),IF(N248=Constants!$B$3,FALSE(),TRUE())))</f>
        <v/>
      </c>
      <c r="AP248" s="135" t="str">
        <f aca="false">IF(ISBLANK($C248),"",IF(ISNUMBER(O248),IF(O248&gt;=0,O248,""),""))</f>
        <v/>
      </c>
      <c r="AQ248" s="135" t="str">
        <f aca="false">IF(ISBLANK($C248),"",IF(P248=Constants!$B$2,TRUE(),IF(P248=Constants!$B$3,FALSE(),FALSE())))</f>
        <v/>
      </c>
      <c r="AR248" s="135" t="str">
        <f aca="false">IF(ISBLANK($C248),"",IF(Q248=Constants!$B$2,TRUE(),IF(Q248=Constants!$B$3,FALSE(),TRUE())))</f>
        <v/>
      </c>
      <c r="AS248" s="135" t="str">
        <f aca="false">IF(ISBLANK($C248),"",IF(R248=Constants!$B$2,TRUE(),IF(R248=Constants!$B$3,FALSE(),TRUE())))</f>
        <v/>
      </c>
      <c r="AT248" s="135" t="str">
        <f aca="false">IF(ISBLANK($C248),"",IF(S248=Constants!$B$4,TRUE(),IF(S248=Constants!$B$5,FALSE(),COUNTA(T248:X248)&gt;0)))</f>
        <v/>
      </c>
      <c r="AU248" s="136" t="str">
        <f aca="false">IF(ISBLANK($C248),"",IF(ISNUMBER(T248),IF(T248&gt;=0,T248,""),""))</f>
        <v/>
      </c>
      <c r="AV248" s="137" t="str">
        <f aca="false">IF(ISBLANK($C248),"",IF(ISNUMBER(U248),IF(U248&gt;=0,U248,""),""))</f>
        <v/>
      </c>
      <c r="AW248" s="137" t="str">
        <f aca="false">IF(ISBLANK($C248),"",IF(V248=Constants!$B$2,TRUE(),IF(V248=Constants!$B$3,FALSE(),TRUE())))</f>
        <v/>
      </c>
      <c r="AX248" s="135" t="str">
        <f aca="false">IF(ISBLANK($C248),"",IF(ISNUMBER(W248),IF(W248&gt;=0,W248,""),""))</f>
        <v/>
      </c>
      <c r="AY248" s="135" t="str">
        <f aca="false">IF(ISBLANK($C248),"",IF(X248=Constants!$B$2,TRUE(),IF(X248=Constants!$B$3,FALSE(),FALSE())))</f>
        <v/>
      </c>
      <c r="AZ248" s="135" t="str">
        <f aca="false">IF(ISBLANK($C248),"",MIN(Constants!$B$25,MAX(0,IF(ISNUMBER(Y248),Y248*60,0)+IF(ISNUMBER(Z248),Z248,0))))</f>
        <v/>
      </c>
      <c r="BA248" s="135" t="str">
        <f aca="false">IF(ISBLANK($C248),"",IF(AA248=Constants!$B$2,TRUE(),IF(AA248=Constants!$B$3,FALSE(),FALSE())))</f>
        <v/>
      </c>
      <c r="BB248" s="134" t="str">
        <f aca="false">IF(ISBLANK($C248),"",AND($AL248,OR($AM248="",$AN248="",AND($AO248,$AP248=""))))</f>
        <v/>
      </c>
      <c r="BC248" s="137" t="str">
        <f aca="false">IF($BX248&lt;&gt;Constants!$B$6,"",IF($AL248,Constants!$B$17*$AN248+Constants!$B$18*IF($AO248,$AP248,Constants!$B$19),Constants!$B$20))</f>
        <v/>
      </c>
      <c r="BD248" s="138" t="str">
        <f aca="false">IF($BX248&lt;&gt;Constants!$B$6,"",Constants!$B$21*ABS($AD$9-IF($AL248,$AM248,0)))</f>
        <v/>
      </c>
      <c r="BE248" s="138" t="str">
        <f aca="false">IF($BX248&lt;&gt;Constants!$B$6,"",IF(AND($AL248,$AQ248,$AO248),Constants!$B$22,0))</f>
        <v/>
      </c>
      <c r="BF248" s="138" t="str">
        <f aca="false">IF($BX248&lt;&gt;Constants!$B$6,"",IF($AL248,($AI248-Constants!$B$24)*Constants!$B$23,0))</f>
        <v/>
      </c>
      <c r="BG248" s="138" t="str">
        <f aca="false">IF($BX248&lt;&gt;Constants!$B$6,"",IF($AK248,0,Constants!$B$12)+IF($AJ248,0,Constants!$B$13)+IF($AH248,0,Constants!$B$14))</f>
        <v/>
      </c>
      <c r="BH248" s="139" t="str">
        <f aca="false">IF($BX248&lt;&gt;Constants!$B$6,"",Constants!$B$16+SUM($BC248:$BG248))</f>
        <v/>
      </c>
      <c r="BI248" s="138" t="str">
        <f aca="false">IF($BX248&lt;&gt;Constants!$B$6,"",$BC248)</f>
        <v/>
      </c>
      <c r="BJ248" s="138" t="str">
        <f aca="false">IF($BX248&lt;&gt;Constants!$B$6,"",$BD248)</f>
        <v/>
      </c>
      <c r="BK248" s="140" t="str">
        <f aca="false">IF($BX248&lt;&gt;Constants!$B$6,"",IF($AL248,$AN248,""))</f>
        <v/>
      </c>
      <c r="BL248" s="135" t="str">
        <f aca="false">IF($BX248&lt;&gt;Constants!$B$6,"",IF(OR($BS248&lt;$BH248,AND($BS248=$BH248,OR($BT248&lt;$BI248,AND($BT248=$BI248,OR($BU248&lt;$BJ248,AND($BU248=$BJ248,AND(ISNUMBER($BV248),OR(NOT(ISNUMBER($BK248)),$BV248&lt;$BK248)))))))),"-&gt;","&lt;-"))</f>
        <v/>
      </c>
      <c r="BM248" s="134" t="str">
        <f aca="false">IF(ISBLANK($C248),"",AND($AT248,OR($AU248="",$AV248="",AND($AW248,$AX248=""))))</f>
        <v/>
      </c>
      <c r="BN248" s="137" t="str">
        <f aca="false">IF($BX248&lt;&gt;Constants!$B$6,"",IF($AT248,Constants!$B$17*$AV248+Constants!$B$18*IF($AW248,$AX248,Constants!$B$19),Constants!$B$20))</f>
        <v/>
      </c>
      <c r="BO248" s="138" t="str">
        <f aca="false">IF($BX248&lt;&gt;Constants!$B$6,"",Constants!$B$21*ABS($AD$9-IF($AT248,$AU248,0)))</f>
        <v/>
      </c>
      <c r="BP248" s="138" t="str">
        <f aca="false">IF($BX248&lt;&gt;Constants!$B$6,"",IF(AND($AT248,$AY248,$AW248),Constants!$B$22,0))</f>
        <v/>
      </c>
      <c r="BQ248" s="138" t="str">
        <f aca="false">IF($BX248&lt;&gt;Constants!$B$6,"",IF($AT248,($AI248-Constants!$B$24)*Constants!$B$23,0))</f>
        <v/>
      </c>
      <c r="BR248" s="138" t="str">
        <f aca="false">IF($BX248&lt;&gt;Constants!$B$6,"",IF($AS248,0,Constants!$B$12)+IF($AR248,0,Constants!$B$13)+IF($AH248,0,Constants!$B$14))</f>
        <v/>
      </c>
      <c r="BS248" s="139" t="str">
        <f aca="false">IF($BX248&lt;&gt;Constants!$B$6,"",Constants!$B$16+SUM($BN248:$BR248))</f>
        <v/>
      </c>
      <c r="BT248" s="138" t="str">
        <f aca="false">IF($BX248&lt;&gt;Constants!$B$6,"",$BN248)</f>
        <v/>
      </c>
      <c r="BU248" s="138" t="str">
        <f aca="false">IF($BX248&lt;&gt;Constants!$B$6,"",$BO248)</f>
        <v/>
      </c>
      <c r="BV248" s="140" t="str">
        <f aca="false">IF($BX248&lt;&gt;Constants!$B$6,"",IF($AT248,$AV248,""))</f>
        <v/>
      </c>
      <c r="BW248" s="135" t="str">
        <f aca="false">IF(ISBLANK($C248),"",IF(ISBLANK($D$7),$BW$5,IF(NOT(ISNUMBER($D$7)),$BW$6,"")))</f>
        <v/>
      </c>
      <c r="BX248" s="135" t="str">
        <f aca="false">IF(ISBLANK($C248),"",IF($BA248,Constants!$B$9,IF(COUNTA($E248:$AA248)=0,Constants!$B$8,IF(NOT($AG248),Constants!$B$7,IF(OR($BW248&lt;&gt;"",$BB248,$BM248),Constants!$B$10,Constants!$B$6)))))</f>
        <v/>
      </c>
      <c r="BY248" s="135" t="str">
        <f aca="false">IF(ISBLANK($C248),"",IF($BX248&lt;&gt;Constants!$B$6,$BX248,Constants!$B$11))</f>
        <v/>
      </c>
      <c r="BZ248" s="138" t="str">
        <f aca="false">IF($BX248&lt;&gt;Constants!$B$6,"",IF($BL248="-&gt;",$BS248,$BH248))</f>
        <v/>
      </c>
      <c r="CA248" s="138" t="str">
        <f aca="false">IF($BX248&lt;&gt;Constants!$B$6,"",IF($AF248,0,Constants!$B$15))</f>
        <v/>
      </c>
      <c r="CB248" s="138" t="str">
        <f aca="false">IF($BX248&lt;&gt;Constants!$B$6,"",((Constants!$B$25-$AZ248)-Constants!$B$25)/Constants!$B$26)</f>
        <v/>
      </c>
      <c r="CC248" s="138" t="str">
        <f aca="false">IF(ISBLANK($C248),"",IF($BX248&lt;&gt;Constants!$B$6,$BX248,SUM($BZ248:$CB248)))</f>
        <v/>
      </c>
      <c r="CD248" s="135" t="str">
        <f aca="false">IF(ISBLANK($C248),"",IF($BX248&lt;&gt;Constants!$B$6,$BX248,RANK($CC248,$CC$9:$CC$508,1)))</f>
        <v/>
      </c>
      <c r="CE248" s="138" t="str">
        <f aca="false">IF($BX248&lt;&gt;Constants!$B$6,"",IF($BL248="-&gt;",$BT248,$BI248))</f>
        <v/>
      </c>
      <c r="CF248" s="135" t="str">
        <f aca="false">IF(ISBLANK($C248),"",IF($BX248&lt;&gt;Constants!$B$6,$BX248,IF(ISNUMBER($CE248),RANK($CE248,$CE$9:$CE$508,1),COUNT($CE$9:$CE$508)+1)))</f>
        <v/>
      </c>
      <c r="CG248" s="138" t="str">
        <f aca="false">IF($BX248&lt;&gt;Constants!$B$6,"",IF($BL248="-&gt;",$BU248,$BJ248))</f>
        <v/>
      </c>
      <c r="CH248" s="135" t="str">
        <f aca="false">IF(ISBLANK($C248),"",IF($BX248&lt;&gt;Constants!$B$6,$BX248,IF(ISNUMBER($CG248),RANK($CG248,$CG$9:$CG$508,1),COUNT($CG$9:$CG$508)+1)))</f>
        <v/>
      </c>
      <c r="CI248" s="138" t="str">
        <f aca="false">IF($BX248&lt;&gt;Constants!$B$6,"",IF($BL248="-&gt;",$BV248,$BK248))</f>
        <v/>
      </c>
      <c r="CJ248" s="135" t="str">
        <f aca="false">IF(ISBLANK($C248),"",IF($BX248&lt;&gt;Constants!$B$6,$BX248,IF(ISNUMBER($CI248),RANK($CI248,$CI$9:$CI$508,1),COUNT($CI$9:$CI$508)+1)))</f>
        <v/>
      </c>
      <c r="CK248" s="138" t="str">
        <f aca="false">IF($BX248&lt;&gt;Constants!$B$6,"",$AI248)</f>
        <v/>
      </c>
      <c r="CL248" s="135" t="str">
        <f aca="false">IF(ISBLANK($C248),"",IF($BX248&lt;&gt;Constants!$B$6,$BX248,IF(ISNUMBER($CK248),RANK($CK248,$CK$9:$CK$508,1),COUNT($CK$9:$CK$508)+1)))</f>
        <v/>
      </c>
      <c r="CM248" s="135" t="str">
        <f aca="false">IF(ISBLANK($C248),"",IF($BX248&lt;&gt;Constants!$B$6,$BX248,COUNTIFS($CD$9:$CD$508,"&lt;"&amp;$CD248)+COUNTIFS($CD$9:$CD$508,$CD248,$CF$9:$CF$508,"&lt;"&amp;$CF248)+COUNTIFS($CD$9:$CD$508,$CD248,$CF$9:$CF$508,$CF248,$CH$9:$CH$508,"&lt;"&amp;$CH248)+COUNTIFS($CD$9:$CD$508,$CD248,$CF$9:$CF$508,$CF248,$CH$9:$CH$508,$CH248,$CJ$9:$CJ$508,"&lt;"&amp;$CJ248)+COUNTIFS($CD$9:$CD$508,$CD248,$CF$9:$CF$508,$CF248,$CH$9:$CH$508,$CH248,$CJ$9:$CJ$508,$CJ248,$CL$9:$CL$508,"&lt;"&amp;$CL248)+1))</f>
        <v/>
      </c>
      <c r="CN248" s="135" t="str">
        <f aca="false">IF(ISBLANK($C248),"",IF($BX248&lt;&gt;Constants!$B$6,$BX248,$CD248-$CM248))</f>
        <v/>
      </c>
      <c r="CO248" s="141"/>
      <c r="CP248" s="142"/>
      <c r="CQ248" s="143" t="str">
        <f aca="false">IF(ISBLANK($C248),"",IF($BX248=Constants!$B$10,$BW248,""))</f>
        <v/>
      </c>
      <c r="CR248" s="142" t="str">
        <f aca="false">IF(ISBLANK($C248),"",IF($BX248&lt;&gt;Constants!$B$6,"",IF($BL248="-&gt;",2,1)))</f>
        <v/>
      </c>
      <c r="CS248" s="144" t="str">
        <f aca="false">IF(ISBLANK($C248),"",IF($BX248&lt;&gt;Constants!$B$6,"",IF($BL248="-&gt;",$BN248,$BC248)))</f>
        <v/>
      </c>
      <c r="CT248" s="144" t="str">
        <f aca="false">IF(ISBLANK($C248),"",IF($BX248&lt;&gt;Constants!$B$6,"",IF($BL248="-&gt;",$BO248,$BD248)))</f>
        <v/>
      </c>
      <c r="CU248" s="144" t="str">
        <f aca="false">IF(ISBLANK($C248),"",IF($BX248&lt;&gt;Constants!$B$6,"",IF($BL248="-&gt;",$BP248+$BQ248,$BE248+$BF248)+$CB248))</f>
        <v/>
      </c>
      <c r="CV248" s="144" t="str">
        <f aca="false">IF(ISBLANK($C248),"",IF($BX248&lt;&gt;Constants!$B$6,"",IF($BL248="-&gt;",$BR248,$BG248)+$CA248))</f>
        <v/>
      </c>
      <c r="CW248" s="145" t="str">
        <f aca="false">IF(ISBLANK($C248),"",IF($BX248&lt;&gt;Constants!$B$6,$BX248,$CC248))</f>
        <v/>
      </c>
      <c r="CX248" s="146" t="str">
        <f aca="false">IF(ISBLANK($C248),"",$BY248)</f>
        <v/>
      </c>
      <c r="CY248" s="147" t="str">
        <f aca="false">IF(ISBLANK($C248),"",$CN248)</f>
        <v/>
      </c>
      <c r="CZ248" s="147" t="str">
        <f aca="false">IF(ISBLANK($C248),"",$CM248)</f>
        <v/>
      </c>
      <c r="DA248" s="148" t="str">
        <f aca="false">IF(ISBLANK($C248),"",IFERROR(_xlfn.SWITCH($CZ248,Constants!$B$9,COUNTA($C$9:$C$508)+2,Constants!$B$8,COUNTA($C$9:$C$508)+1,Constants!$B$7,COUNTA($C$9:$C$508)),$CZ248))</f>
        <v/>
      </c>
      <c r="DB248" s="9"/>
      <c r="DC248" s="149" t="n">
        <f aca="false">IF(OR(ISNUMBER($CZ248),$CZ248=Constants!$B$9,$CZ248=Constants!$B$7,$CZ248=Constants!$B$8),1,0)</f>
        <v>0</v>
      </c>
      <c r="DD248" s="149" t="n">
        <v>240</v>
      </c>
      <c r="DE248" s="149" t="str">
        <f aca="false">IF(ISBLANK($C248),"",IF(ISNUMBER($DA248),$DA248+ROW($B248)/1000,""))</f>
        <v/>
      </c>
      <c r="DF248" s="149" t="str">
        <f aca="false">IF(ISNUMBER($DE248),RANK($DE248,$DE$9:$DE$508,1),"")</f>
        <v/>
      </c>
      <c r="DG248" s="149" t="str">
        <f aca="false">IF(ISBLANK($C248),"",$B248)</f>
        <v/>
      </c>
      <c r="DH248" s="149" t="str">
        <f aca="false">IF(ISBLANK($C248),"",$C248)</f>
        <v/>
      </c>
      <c r="DI248" s="149" t="str">
        <f aca="false">IF(ISBLANK($C248),"",$D248)</f>
        <v/>
      </c>
      <c r="DJ248" s="150" t="str">
        <f aca="false">$CX248</f>
        <v/>
      </c>
      <c r="DK248" s="151" t="str">
        <f aca="false">$CW248</f>
        <v/>
      </c>
      <c r="DL248" s="149" t="str">
        <f aca="false">IF(ISBLANK($C248),"",$CZ248)</f>
        <v/>
      </c>
      <c r="DM248" s="152" t="str">
        <f aca="false">IF($DD248&gt;$DC$8,"",VLOOKUP($DD248,$DF$9:$DL$508,7,FALSE()))</f>
        <v/>
      </c>
      <c r="DN248" s="153" t="str">
        <f aca="false">IF($DD248&gt;$DC$8,"",VLOOKUP($DD248,$DF$9:$DL$508,2,FALSE()))</f>
        <v/>
      </c>
      <c r="DO248" s="153" t="str">
        <f aca="false">IF($DD248&gt;$DC$8,"",VLOOKUP($DD248,$DF$9:$DL$508,3,FALSE()))</f>
        <v/>
      </c>
      <c r="DP248" s="153" t="str">
        <f aca="false">IF($DD248&gt;$DC$8,"",VLOOKUP($DD248,$DF$9:$DL$508,4,FALSE()))</f>
        <v/>
      </c>
      <c r="DQ248" s="153" t="str">
        <f aca="false">IF($DD248&gt;$DC$8,"",VLOOKUP($DD248,$DF$9:$DL$508,5,FALSE()))</f>
        <v/>
      </c>
      <c r="DR248" s="154" t="str">
        <f aca="false">IF($DD248&gt;$DC$8,"",VLOOKUP($DD248,$DF$9:$DL$508,6,FALSE()))</f>
        <v/>
      </c>
      <c r="DS248" s="76"/>
    </row>
    <row r="249" customFormat="false" ht="15.75" hidden="false" customHeight="false" outlineLevel="0" collapsed="false">
      <c r="A249" s="9"/>
      <c r="B249" s="78"/>
      <c r="C249" s="79"/>
      <c r="D249" s="170"/>
      <c r="E249" s="178"/>
      <c r="F249" s="172"/>
      <c r="G249" s="173"/>
      <c r="H249" s="173"/>
      <c r="I249" s="179"/>
      <c r="J249" s="176"/>
      <c r="K249" s="86"/>
      <c r="L249" s="87"/>
      <c r="M249" s="88"/>
      <c r="N249" s="176"/>
      <c r="O249" s="176"/>
      <c r="P249" s="178"/>
      <c r="Q249" s="176"/>
      <c r="R249" s="176"/>
      <c r="S249" s="86"/>
      <c r="T249" s="88"/>
      <c r="U249" s="88"/>
      <c r="V249" s="176"/>
      <c r="W249" s="176"/>
      <c r="X249" s="178"/>
      <c r="Y249" s="176"/>
      <c r="Z249" s="177"/>
      <c r="AA249" s="176"/>
      <c r="AB249" s="92"/>
      <c r="AC249" s="93"/>
      <c r="AD249" s="93"/>
      <c r="AE249" s="93"/>
      <c r="AF249" s="93" t="str">
        <f aca="false">IF(ISBLANK($C249),"",IF(E249=Constants!$B$2,TRUE(),IF(E249=Constants!$B$3,FALSE(),TRUE())))</f>
        <v/>
      </c>
      <c r="AG249" s="93" t="str">
        <f aca="false">IF(ISBLANK($C249),"",IF(F249=Constants!$B$2,TRUE(),IF(F249=Constants!$B$3,FALSE(),TRUE())))</f>
        <v/>
      </c>
      <c r="AH249" s="93" t="str">
        <f aca="false">IF(ISBLANK($C249),"",IF(G249=Constants!$B$2,TRUE(),IF(G249=Constants!$B$3,FALSE(),TRUE())))</f>
        <v/>
      </c>
      <c r="AI249" s="93" t="str">
        <f aca="false">IF(ISBLANK($C249),"",IF(AND(ISNUMBER(H249),H249&gt;=0),H249,Constants!$B$24))</f>
        <v/>
      </c>
      <c r="AJ249" s="93" t="str">
        <f aca="false">IF(ISBLANK($C249),"",IF(I249=Constants!$B$2,TRUE(),IF(I249=Constants!$B$3,FALSE(),TRUE())))</f>
        <v/>
      </c>
      <c r="AK249" s="93" t="str">
        <f aca="false">IF(ISBLANK($C249),"",IF(J249=Constants!$B$2,TRUE(),IF(J249=Constants!$B$3,FALSE(),TRUE())))</f>
        <v/>
      </c>
      <c r="AL249" s="93" t="str">
        <f aca="false">IF(ISBLANK($C249),"",IF(K249=Constants!$B$4,TRUE(),IF(K249=Constants!$B$5,FALSE(),COUNTA(L249:P249)&gt;0)))</f>
        <v/>
      </c>
      <c r="AM249" s="95" t="str">
        <f aca="false">IF(ISBLANK($C249),"",IF(ISNUMBER(L249),IF(L249&gt;=0,L249,""),""))</f>
        <v/>
      </c>
      <c r="AN249" s="94" t="str">
        <f aca="false">IF(ISBLANK($C249),"",IF(ISNUMBER(M249),IF(M249&gt;=0,M249,""),""))</f>
        <v/>
      </c>
      <c r="AO249" s="94" t="str">
        <f aca="false">IF(ISBLANK($C249),"",IF(N249=Constants!$B$2,TRUE(),IF(N249=Constants!$B$3,FALSE(),TRUE())))</f>
        <v/>
      </c>
      <c r="AP249" s="93" t="str">
        <f aca="false">IF(ISBLANK($C249),"",IF(ISNUMBER(O249),IF(O249&gt;=0,O249,""),""))</f>
        <v/>
      </c>
      <c r="AQ249" s="93" t="str">
        <f aca="false">IF(ISBLANK($C249),"",IF(P249=Constants!$B$2,TRUE(),IF(P249=Constants!$B$3,FALSE(),FALSE())))</f>
        <v/>
      </c>
      <c r="AR249" s="93" t="str">
        <f aca="false">IF(ISBLANK($C249),"",IF(Q249=Constants!$B$2,TRUE(),IF(Q249=Constants!$B$3,FALSE(),TRUE())))</f>
        <v/>
      </c>
      <c r="AS249" s="93" t="str">
        <f aca="false">IF(ISBLANK($C249),"",IF(R249=Constants!$B$2,TRUE(),IF(R249=Constants!$B$3,FALSE(),TRUE())))</f>
        <v/>
      </c>
      <c r="AT249" s="93" t="str">
        <f aca="false">IF(ISBLANK($C249),"",IF(S249=Constants!$B$4,TRUE(),IF(S249=Constants!$B$5,FALSE(),COUNTA(T249:X249)&gt;0)))</f>
        <v/>
      </c>
      <c r="AU249" s="95" t="str">
        <f aca="false">IF(ISBLANK($C249),"",IF(ISNUMBER(T249),IF(T249&gt;=0,T249,""),""))</f>
        <v/>
      </c>
      <c r="AV249" s="94" t="str">
        <f aca="false">IF(ISBLANK($C249),"",IF(ISNUMBER(U249),IF(U249&gt;=0,U249,""),""))</f>
        <v/>
      </c>
      <c r="AW249" s="94" t="str">
        <f aca="false">IF(ISBLANK($C249),"",IF(V249=Constants!$B$2,TRUE(),IF(V249=Constants!$B$3,FALSE(),TRUE())))</f>
        <v/>
      </c>
      <c r="AX249" s="93" t="str">
        <f aca="false">IF(ISBLANK($C249),"",IF(ISNUMBER(W249),IF(W249&gt;=0,W249,""),""))</f>
        <v/>
      </c>
      <c r="AY249" s="93" t="str">
        <f aca="false">IF(ISBLANK($C249),"",IF(X249=Constants!$B$2,TRUE(),IF(X249=Constants!$B$3,FALSE(),FALSE())))</f>
        <v/>
      </c>
      <c r="AZ249" s="93" t="str">
        <f aca="false">IF(ISBLANK($C249),"",MIN(Constants!$B$25,MAX(0,IF(ISNUMBER(Y249),Y249*60,0)+IF(ISNUMBER(Z249),Z249,0))))</f>
        <v/>
      </c>
      <c r="BA249" s="93" t="str">
        <f aca="false">IF(ISBLANK($C249),"",IF(AA249=Constants!$B$2,TRUE(),IF(AA249=Constants!$B$3,FALSE(),FALSE())))</f>
        <v/>
      </c>
      <c r="BB249" s="92" t="str">
        <f aca="false">IF(ISBLANK($C249),"",AND($AL249,OR($AM249="",$AN249="",AND($AO249,$AP249=""))))</f>
        <v/>
      </c>
      <c r="BC249" s="94" t="str">
        <f aca="false">IF($BX249&lt;&gt;Constants!$B$6,"",IF($AL249,Constants!$B$17*$AN249+Constants!$B$18*IF($AO249,$AP249,Constants!$B$19),Constants!$B$20))</f>
        <v/>
      </c>
      <c r="BD249" s="97" t="str">
        <f aca="false">IF($BX249&lt;&gt;Constants!$B$6,"",Constants!$B$21*ABS($AD$9-IF($AL249,$AM249,0)))</f>
        <v/>
      </c>
      <c r="BE249" s="97" t="str">
        <f aca="false">IF($BX249&lt;&gt;Constants!$B$6,"",IF(AND($AL249,$AQ249,$AO249),Constants!$B$22,0))</f>
        <v/>
      </c>
      <c r="BF249" s="97" t="str">
        <f aca="false">IF($BX249&lt;&gt;Constants!$B$6,"",IF($AL249,($AI249-Constants!$B$24)*Constants!$B$23,0))</f>
        <v/>
      </c>
      <c r="BG249" s="97" t="str">
        <f aca="false">IF($BX249&lt;&gt;Constants!$B$6,"",IF($AK249,0,Constants!$B$12)+IF($AJ249,0,Constants!$B$13)+IF($AH249,0,Constants!$B$14))</f>
        <v/>
      </c>
      <c r="BH249" s="98" t="str">
        <f aca="false">IF($BX249&lt;&gt;Constants!$B$6,"",Constants!$B$16+SUM($BC249:$BG249))</f>
        <v/>
      </c>
      <c r="BI249" s="97" t="str">
        <f aca="false">IF($BX249&lt;&gt;Constants!$B$6,"",$BC249)</f>
        <v/>
      </c>
      <c r="BJ249" s="97" t="str">
        <f aca="false">IF($BX249&lt;&gt;Constants!$B$6,"",$BD249)</f>
        <v/>
      </c>
      <c r="BK249" s="99" t="str">
        <f aca="false">IF($BX249&lt;&gt;Constants!$B$6,"",IF($AL249,$AN249,""))</f>
        <v/>
      </c>
      <c r="BL249" s="93" t="str">
        <f aca="false">IF($BX249&lt;&gt;Constants!$B$6,"",IF(OR($BS249&lt;$BH249,AND($BS249=$BH249,OR($BT249&lt;$BI249,AND($BT249=$BI249,OR($BU249&lt;$BJ249,AND($BU249=$BJ249,AND(ISNUMBER($BV249),OR(NOT(ISNUMBER($BK249)),$BV249&lt;$BK249)))))))),"-&gt;","&lt;-"))</f>
        <v/>
      </c>
      <c r="BM249" s="92" t="str">
        <f aca="false">IF(ISBLANK($C249),"",AND($AT249,OR($AU249="",$AV249="",AND($AW249,$AX249=""))))</f>
        <v/>
      </c>
      <c r="BN249" s="94" t="str">
        <f aca="false">IF($BX249&lt;&gt;Constants!$B$6,"",IF($AT249,Constants!$B$17*$AV249+Constants!$B$18*IF($AW249,$AX249,Constants!$B$19),Constants!$B$20))</f>
        <v/>
      </c>
      <c r="BO249" s="97" t="str">
        <f aca="false">IF($BX249&lt;&gt;Constants!$B$6,"",Constants!$B$21*ABS($AD$9-IF($AT249,$AU249,0)))</f>
        <v/>
      </c>
      <c r="BP249" s="97" t="str">
        <f aca="false">IF($BX249&lt;&gt;Constants!$B$6,"",IF(AND($AT249,$AY249,$AW249),Constants!$B$22,0))</f>
        <v/>
      </c>
      <c r="BQ249" s="97" t="str">
        <f aca="false">IF($BX249&lt;&gt;Constants!$B$6,"",IF($AT249,($AI249-Constants!$B$24)*Constants!$B$23,0))</f>
        <v/>
      </c>
      <c r="BR249" s="97" t="str">
        <f aca="false">IF($BX249&lt;&gt;Constants!$B$6,"",IF($AS249,0,Constants!$B$12)+IF($AR249,0,Constants!$B$13)+IF($AH249,0,Constants!$B$14))</f>
        <v/>
      </c>
      <c r="BS249" s="98" t="str">
        <f aca="false">IF($BX249&lt;&gt;Constants!$B$6,"",Constants!$B$16+SUM($BN249:$BR249))</f>
        <v/>
      </c>
      <c r="BT249" s="97" t="str">
        <f aca="false">IF($BX249&lt;&gt;Constants!$B$6,"",$BN249)</f>
        <v/>
      </c>
      <c r="BU249" s="97" t="str">
        <f aca="false">IF($BX249&lt;&gt;Constants!$B$6,"",$BO249)</f>
        <v/>
      </c>
      <c r="BV249" s="99" t="str">
        <f aca="false">IF($BX249&lt;&gt;Constants!$B$6,"",IF($AT249,$AV249,""))</f>
        <v/>
      </c>
      <c r="BW249" s="93" t="str">
        <f aca="false">IF(ISBLANK($C249),"",IF(ISBLANK($D$7),$BW$5,IF(NOT(ISNUMBER($D$7)),$BW$6,"")))</f>
        <v/>
      </c>
      <c r="BX249" s="93" t="str">
        <f aca="false">IF(ISBLANK($C249),"",IF($BA249,Constants!$B$9,IF(COUNTA($E249:$AA249)=0,Constants!$B$8,IF(NOT($AG249),Constants!$B$7,IF(OR($BW249&lt;&gt;"",$BB249,$BM249),Constants!$B$10,Constants!$B$6)))))</f>
        <v/>
      </c>
      <c r="BY249" s="93" t="str">
        <f aca="false">IF(ISBLANK($C249),"",IF($BX249&lt;&gt;Constants!$B$6,$BX249,Constants!$B$11))</f>
        <v/>
      </c>
      <c r="BZ249" s="97" t="str">
        <f aca="false">IF($BX249&lt;&gt;Constants!$B$6,"",IF($BL249="-&gt;",$BS249,$BH249))</f>
        <v/>
      </c>
      <c r="CA249" s="97" t="str">
        <f aca="false">IF($BX249&lt;&gt;Constants!$B$6,"",IF($AF249,0,Constants!$B$15))</f>
        <v/>
      </c>
      <c r="CB249" s="97" t="str">
        <f aca="false">IF($BX249&lt;&gt;Constants!$B$6,"",((Constants!$B$25-$AZ249)-Constants!$B$25)/Constants!$B$26)</f>
        <v/>
      </c>
      <c r="CC249" s="97" t="str">
        <f aca="false">IF(ISBLANK($C249),"",IF($BX249&lt;&gt;Constants!$B$6,$BX249,SUM($BZ249:$CB249)))</f>
        <v/>
      </c>
      <c r="CD249" s="93" t="str">
        <f aca="false">IF(ISBLANK($C249),"",IF($BX249&lt;&gt;Constants!$B$6,$BX249,RANK($CC249,$CC$9:$CC$508,1)))</f>
        <v/>
      </c>
      <c r="CE249" s="97" t="str">
        <f aca="false">IF($BX249&lt;&gt;Constants!$B$6,"",IF($BL249="-&gt;",$BT249,$BI249))</f>
        <v/>
      </c>
      <c r="CF249" s="93" t="str">
        <f aca="false">IF(ISBLANK($C249),"",IF($BX249&lt;&gt;Constants!$B$6,$BX249,IF(ISNUMBER($CE249),RANK($CE249,$CE$9:$CE$508,1),COUNT($CE$9:$CE$508)+1)))</f>
        <v/>
      </c>
      <c r="CG249" s="97" t="str">
        <f aca="false">IF($BX249&lt;&gt;Constants!$B$6,"",IF($BL249="-&gt;",$BU249,$BJ249))</f>
        <v/>
      </c>
      <c r="CH249" s="93" t="str">
        <f aca="false">IF(ISBLANK($C249),"",IF($BX249&lt;&gt;Constants!$B$6,$BX249,IF(ISNUMBER($CG249),RANK($CG249,$CG$9:$CG$508,1),COUNT($CG$9:$CG$508)+1)))</f>
        <v/>
      </c>
      <c r="CI249" s="97" t="str">
        <f aca="false">IF($BX249&lt;&gt;Constants!$B$6,"",IF($BL249="-&gt;",$BV249,$BK249))</f>
        <v/>
      </c>
      <c r="CJ249" s="93" t="str">
        <f aca="false">IF(ISBLANK($C249),"",IF($BX249&lt;&gt;Constants!$B$6,$BX249,IF(ISNUMBER($CI249),RANK($CI249,$CI$9:$CI$508,1),COUNT($CI$9:$CI$508)+1)))</f>
        <v/>
      </c>
      <c r="CK249" s="97" t="str">
        <f aca="false">IF($BX249&lt;&gt;Constants!$B$6,"",$AI249)</f>
        <v/>
      </c>
      <c r="CL249" s="93" t="str">
        <f aca="false">IF(ISBLANK($C249),"",IF($BX249&lt;&gt;Constants!$B$6,$BX249,IF(ISNUMBER($CK249),RANK($CK249,$CK$9:$CK$508,1),COUNT($CK$9:$CK$508)+1)))</f>
        <v/>
      </c>
      <c r="CM249" s="93" t="str">
        <f aca="false">IF(ISBLANK($C249),"",IF($BX249&lt;&gt;Constants!$B$6,$BX249,COUNTIFS($CD$9:$CD$508,"&lt;"&amp;$CD249)+COUNTIFS($CD$9:$CD$508,$CD249,$CF$9:$CF$508,"&lt;"&amp;$CF249)+COUNTIFS($CD$9:$CD$508,$CD249,$CF$9:$CF$508,$CF249,$CH$9:$CH$508,"&lt;"&amp;$CH249)+COUNTIFS($CD$9:$CD$508,$CD249,$CF$9:$CF$508,$CF249,$CH$9:$CH$508,$CH249,$CJ$9:$CJ$508,"&lt;"&amp;$CJ249)+COUNTIFS($CD$9:$CD$508,$CD249,$CF$9:$CF$508,$CF249,$CH$9:$CH$508,$CH249,$CJ$9:$CJ$508,$CJ249,$CL$9:$CL$508,"&lt;"&amp;$CL249)+1))</f>
        <v/>
      </c>
      <c r="CN249" s="93" t="str">
        <f aca="false">IF(ISBLANK($C249),"",IF($BX249&lt;&gt;Constants!$B$6,$BX249,$CD249-$CM249))</f>
        <v/>
      </c>
      <c r="CO249" s="100"/>
      <c r="CP249" s="101"/>
      <c r="CQ249" s="102" t="str">
        <f aca="false">IF(ISBLANK($C249),"",IF($BX249=Constants!$B$10,$BW249,""))</f>
        <v/>
      </c>
      <c r="CR249" s="101" t="str">
        <f aca="false">IF(ISBLANK($C249),"",IF($BX249&lt;&gt;Constants!$B$6,"",IF($BL249="-&gt;",2,1)))</f>
        <v/>
      </c>
      <c r="CS249" s="103" t="str">
        <f aca="false">IF(ISBLANK($C249),"",IF($BX249&lt;&gt;Constants!$B$6,"",IF($BL249="-&gt;",$BN249,$BC249)))</f>
        <v/>
      </c>
      <c r="CT249" s="103" t="str">
        <f aca="false">IF(ISBLANK($C249),"",IF($BX249&lt;&gt;Constants!$B$6,"",IF($BL249="-&gt;",$BO249,$BD249)))</f>
        <v/>
      </c>
      <c r="CU249" s="103" t="str">
        <f aca="false">IF(ISBLANK($C249),"",IF($BX249&lt;&gt;Constants!$B$6,"",IF($BL249="-&gt;",$BP249+$BQ249,$BE249+$BF249)+$CB249))</f>
        <v/>
      </c>
      <c r="CV249" s="103" t="str">
        <f aca="false">IF(ISBLANK($C249),"",IF($BX249&lt;&gt;Constants!$B$6,"",IF($BL249="-&gt;",$BR249,$BG249)+$CA249))</f>
        <v/>
      </c>
      <c r="CW249" s="104" t="str">
        <f aca="false">IF(ISBLANK($C249),"",IF($BX249&lt;&gt;Constants!$B$6,$BX249,$CC249))</f>
        <v/>
      </c>
      <c r="CX249" s="105" t="str">
        <f aca="false">IF(ISBLANK($C249),"",$BY249)</f>
        <v/>
      </c>
      <c r="CY249" s="106" t="str">
        <f aca="false">IF(ISBLANK($C249),"",$CN249)</f>
        <v/>
      </c>
      <c r="CZ249" s="106" t="str">
        <f aca="false">IF(ISBLANK($C249),"",$CM249)</f>
        <v/>
      </c>
      <c r="DA249" s="107" t="str">
        <f aca="false">IF(ISBLANK($C249),"",IFERROR(_xlfn.SWITCH($CZ249,Constants!$B$9,COUNTA($C$9:$C$508)+2,Constants!$B$8,COUNTA($C$9:$C$508)+1,Constants!$B$7,COUNTA($C$9:$C$508)),$CZ249))</f>
        <v/>
      </c>
      <c r="DB249" s="9"/>
      <c r="DC249" s="108" t="n">
        <f aca="false">IF(OR(ISNUMBER($CZ249),$CZ249=Constants!$B$9,$CZ249=Constants!$B$7,$CZ249=Constants!$B$8),1,0)</f>
        <v>0</v>
      </c>
      <c r="DD249" s="108" t="n">
        <v>241</v>
      </c>
      <c r="DE249" s="108" t="str">
        <f aca="false">IF(ISBLANK($C249),"",IF(ISNUMBER($DA249),$DA249+ROW($B249)/1000,""))</f>
        <v/>
      </c>
      <c r="DF249" s="108" t="str">
        <f aca="false">IF(ISNUMBER($DE249),RANK($DE249,$DE$9:$DE$508,1),"")</f>
        <v/>
      </c>
      <c r="DG249" s="108" t="str">
        <f aca="false">IF(ISBLANK($C249),"",$B249)</f>
        <v/>
      </c>
      <c r="DH249" s="108" t="str">
        <f aca="false">IF(ISBLANK($C249),"",$C249)</f>
        <v/>
      </c>
      <c r="DI249" s="108" t="str">
        <f aca="false">IF(ISBLANK($C249),"",$D249)</f>
        <v/>
      </c>
      <c r="DJ249" s="109" t="str">
        <f aca="false">$CX249</f>
        <v/>
      </c>
      <c r="DK249" s="110" t="str">
        <f aca="false">$CW249</f>
        <v/>
      </c>
      <c r="DL249" s="108" t="str">
        <f aca="false">IF(ISBLANK($C249),"",$CZ249)</f>
        <v/>
      </c>
      <c r="DM249" s="111" t="str">
        <f aca="false">IF($DD249&gt;$DC$8,"",VLOOKUP($DD249,$DF$9:$DL$508,7,FALSE()))</f>
        <v/>
      </c>
      <c r="DN249" s="112" t="str">
        <f aca="false">IF($DD249&gt;$DC$8,"",VLOOKUP($DD249,$DF$9:$DL$508,2,FALSE()))</f>
        <v/>
      </c>
      <c r="DO249" s="112" t="str">
        <f aca="false">IF($DD249&gt;$DC$8,"",VLOOKUP($DD249,$DF$9:$DL$508,3,FALSE()))</f>
        <v/>
      </c>
      <c r="DP249" s="112" t="str">
        <f aca="false">IF($DD249&gt;$DC$8,"",VLOOKUP($DD249,$DF$9:$DL$508,4,FALSE()))</f>
        <v/>
      </c>
      <c r="DQ249" s="112" t="str">
        <f aca="false">IF($DD249&gt;$DC$8,"",VLOOKUP($DD249,$DF$9:$DL$508,5,FALSE()))</f>
        <v/>
      </c>
      <c r="DR249" s="113" t="str">
        <f aca="false">IF($DD249&gt;$DC$8,"",VLOOKUP($DD249,$DF$9:$DL$508,6,FALSE()))</f>
        <v/>
      </c>
      <c r="DS249" s="76"/>
    </row>
    <row r="250" customFormat="false" ht="15.75" hidden="false" customHeight="false" outlineLevel="0" collapsed="false">
      <c r="A250" s="9"/>
      <c r="B250" s="78"/>
      <c r="C250" s="79"/>
      <c r="D250" s="170"/>
      <c r="E250" s="178"/>
      <c r="F250" s="172"/>
      <c r="G250" s="173"/>
      <c r="H250" s="173"/>
      <c r="I250" s="179"/>
      <c r="J250" s="176"/>
      <c r="K250" s="86"/>
      <c r="L250" s="87"/>
      <c r="M250" s="88"/>
      <c r="N250" s="176"/>
      <c r="O250" s="176"/>
      <c r="P250" s="178"/>
      <c r="Q250" s="176"/>
      <c r="R250" s="176"/>
      <c r="S250" s="86"/>
      <c r="T250" s="88"/>
      <c r="U250" s="88"/>
      <c r="V250" s="176"/>
      <c r="W250" s="176"/>
      <c r="X250" s="178"/>
      <c r="Y250" s="176"/>
      <c r="Z250" s="177"/>
      <c r="AA250" s="176"/>
      <c r="AB250" s="92"/>
      <c r="AC250" s="93"/>
      <c r="AD250" s="93"/>
      <c r="AE250" s="93"/>
      <c r="AF250" s="93" t="str">
        <f aca="false">IF(ISBLANK($C250),"",IF(E250=Constants!$B$2,TRUE(),IF(E250=Constants!$B$3,FALSE(),TRUE())))</f>
        <v/>
      </c>
      <c r="AG250" s="93" t="str">
        <f aca="false">IF(ISBLANK($C250),"",IF(F250=Constants!$B$2,TRUE(),IF(F250=Constants!$B$3,FALSE(),TRUE())))</f>
        <v/>
      </c>
      <c r="AH250" s="93" t="str">
        <f aca="false">IF(ISBLANK($C250),"",IF(G250=Constants!$B$2,TRUE(),IF(G250=Constants!$B$3,FALSE(),TRUE())))</f>
        <v/>
      </c>
      <c r="AI250" s="93" t="str">
        <f aca="false">IF(ISBLANK($C250),"",IF(AND(ISNUMBER(H250),H250&gt;=0),H250,Constants!$B$24))</f>
        <v/>
      </c>
      <c r="AJ250" s="93" t="str">
        <f aca="false">IF(ISBLANK($C250),"",IF(I250=Constants!$B$2,TRUE(),IF(I250=Constants!$B$3,FALSE(),TRUE())))</f>
        <v/>
      </c>
      <c r="AK250" s="93" t="str">
        <f aca="false">IF(ISBLANK($C250),"",IF(J250=Constants!$B$2,TRUE(),IF(J250=Constants!$B$3,FALSE(),TRUE())))</f>
        <v/>
      </c>
      <c r="AL250" s="93" t="str">
        <f aca="false">IF(ISBLANK($C250),"",IF(K250=Constants!$B$4,TRUE(),IF(K250=Constants!$B$5,FALSE(),COUNTA(L250:P250)&gt;0)))</f>
        <v/>
      </c>
      <c r="AM250" s="95" t="str">
        <f aca="false">IF(ISBLANK($C250),"",IF(ISNUMBER(L250),IF(L250&gt;=0,L250,""),""))</f>
        <v/>
      </c>
      <c r="AN250" s="94" t="str">
        <f aca="false">IF(ISBLANK($C250),"",IF(ISNUMBER(M250),IF(M250&gt;=0,M250,""),""))</f>
        <v/>
      </c>
      <c r="AO250" s="94" t="str">
        <f aca="false">IF(ISBLANK($C250),"",IF(N250=Constants!$B$2,TRUE(),IF(N250=Constants!$B$3,FALSE(),TRUE())))</f>
        <v/>
      </c>
      <c r="AP250" s="93" t="str">
        <f aca="false">IF(ISBLANK($C250),"",IF(ISNUMBER(O250),IF(O250&gt;=0,O250,""),""))</f>
        <v/>
      </c>
      <c r="AQ250" s="93" t="str">
        <f aca="false">IF(ISBLANK($C250),"",IF(P250=Constants!$B$2,TRUE(),IF(P250=Constants!$B$3,FALSE(),FALSE())))</f>
        <v/>
      </c>
      <c r="AR250" s="93" t="str">
        <f aca="false">IF(ISBLANK($C250),"",IF(Q250=Constants!$B$2,TRUE(),IF(Q250=Constants!$B$3,FALSE(),TRUE())))</f>
        <v/>
      </c>
      <c r="AS250" s="93" t="str">
        <f aca="false">IF(ISBLANK($C250),"",IF(R250=Constants!$B$2,TRUE(),IF(R250=Constants!$B$3,FALSE(),TRUE())))</f>
        <v/>
      </c>
      <c r="AT250" s="93" t="str">
        <f aca="false">IF(ISBLANK($C250),"",IF(S250=Constants!$B$4,TRUE(),IF(S250=Constants!$B$5,FALSE(),COUNTA(T250:X250)&gt;0)))</f>
        <v/>
      </c>
      <c r="AU250" s="95" t="str">
        <f aca="false">IF(ISBLANK($C250),"",IF(ISNUMBER(T250),IF(T250&gt;=0,T250,""),""))</f>
        <v/>
      </c>
      <c r="AV250" s="94" t="str">
        <f aca="false">IF(ISBLANK($C250),"",IF(ISNUMBER(U250),IF(U250&gt;=0,U250,""),""))</f>
        <v/>
      </c>
      <c r="AW250" s="94" t="str">
        <f aca="false">IF(ISBLANK($C250),"",IF(V250=Constants!$B$2,TRUE(),IF(V250=Constants!$B$3,FALSE(),TRUE())))</f>
        <v/>
      </c>
      <c r="AX250" s="93" t="str">
        <f aca="false">IF(ISBLANK($C250),"",IF(ISNUMBER(W250),IF(W250&gt;=0,W250,""),""))</f>
        <v/>
      </c>
      <c r="AY250" s="93" t="str">
        <f aca="false">IF(ISBLANK($C250),"",IF(X250=Constants!$B$2,TRUE(),IF(X250=Constants!$B$3,FALSE(),FALSE())))</f>
        <v/>
      </c>
      <c r="AZ250" s="93" t="str">
        <f aca="false">IF(ISBLANK($C250),"",MIN(Constants!$B$25,MAX(0,IF(ISNUMBER(Y250),Y250*60,0)+IF(ISNUMBER(Z250),Z250,0))))</f>
        <v/>
      </c>
      <c r="BA250" s="93" t="str">
        <f aca="false">IF(ISBLANK($C250),"",IF(AA250=Constants!$B$2,TRUE(),IF(AA250=Constants!$B$3,FALSE(),FALSE())))</f>
        <v/>
      </c>
      <c r="BB250" s="92" t="str">
        <f aca="false">IF(ISBLANK($C250),"",AND($AL250,OR($AM250="",$AN250="",AND($AO250,$AP250=""))))</f>
        <v/>
      </c>
      <c r="BC250" s="94" t="str">
        <f aca="false">IF($BX250&lt;&gt;Constants!$B$6,"",IF($AL250,Constants!$B$17*$AN250+Constants!$B$18*IF($AO250,$AP250,Constants!$B$19),Constants!$B$20))</f>
        <v/>
      </c>
      <c r="BD250" s="97" t="str">
        <f aca="false">IF($BX250&lt;&gt;Constants!$B$6,"",Constants!$B$21*ABS($AD$9-IF($AL250,$AM250,0)))</f>
        <v/>
      </c>
      <c r="BE250" s="97" t="str">
        <f aca="false">IF($BX250&lt;&gt;Constants!$B$6,"",IF(AND($AL250,$AQ250,$AO250),Constants!$B$22,0))</f>
        <v/>
      </c>
      <c r="BF250" s="97" t="str">
        <f aca="false">IF($BX250&lt;&gt;Constants!$B$6,"",IF($AL250,($AI250-Constants!$B$24)*Constants!$B$23,0))</f>
        <v/>
      </c>
      <c r="BG250" s="97" t="str">
        <f aca="false">IF($BX250&lt;&gt;Constants!$B$6,"",IF($AK250,0,Constants!$B$12)+IF($AJ250,0,Constants!$B$13)+IF($AH250,0,Constants!$B$14))</f>
        <v/>
      </c>
      <c r="BH250" s="98" t="str">
        <f aca="false">IF($BX250&lt;&gt;Constants!$B$6,"",Constants!$B$16+SUM($BC250:$BG250))</f>
        <v/>
      </c>
      <c r="BI250" s="97" t="str">
        <f aca="false">IF($BX250&lt;&gt;Constants!$B$6,"",$BC250)</f>
        <v/>
      </c>
      <c r="BJ250" s="97" t="str">
        <f aca="false">IF($BX250&lt;&gt;Constants!$B$6,"",$BD250)</f>
        <v/>
      </c>
      <c r="BK250" s="99" t="str">
        <f aca="false">IF($BX250&lt;&gt;Constants!$B$6,"",IF($AL250,$AN250,""))</f>
        <v/>
      </c>
      <c r="BL250" s="93" t="str">
        <f aca="false">IF($BX250&lt;&gt;Constants!$B$6,"",IF(OR($BS250&lt;$BH250,AND($BS250=$BH250,OR($BT250&lt;$BI250,AND($BT250=$BI250,OR($BU250&lt;$BJ250,AND($BU250=$BJ250,AND(ISNUMBER($BV250),OR(NOT(ISNUMBER($BK250)),$BV250&lt;$BK250)))))))),"-&gt;","&lt;-"))</f>
        <v/>
      </c>
      <c r="BM250" s="92" t="str">
        <f aca="false">IF(ISBLANK($C250),"",AND($AT250,OR($AU250="",$AV250="",AND($AW250,$AX250=""))))</f>
        <v/>
      </c>
      <c r="BN250" s="94" t="str">
        <f aca="false">IF($BX250&lt;&gt;Constants!$B$6,"",IF($AT250,Constants!$B$17*$AV250+Constants!$B$18*IF($AW250,$AX250,Constants!$B$19),Constants!$B$20))</f>
        <v/>
      </c>
      <c r="BO250" s="97" t="str">
        <f aca="false">IF($BX250&lt;&gt;Constants!$B$6,"",Constants!$B$21*ABS($AD$9-IF($AT250,$AU250,0)))</f>
        <v/>
      </c>
      <c r="BP250" s="97" t="str">
        <f aca="false">IF($BX250&lt;&gt;Constants!$B$6,"",IF(AND($AT250,$AY250,$AW250),Constants!$B$22,0))</f>
        <v/>
      </c>
      <c r="BQ250" s="97" t="str">
        <f aca="false">IF($BX250&lt;&gt;Constants!$B$6,"",IF($AT250,($AI250-Constants!$B$24)*Constants!$B$23,0))</f>
        <v/>
      </c>
      <c r="BR250" s="97" t="str">
        <f aca="false">IF($BX250&lt;&gt;Constants!$B$6,"",IF($AS250,0,Constants!$B$12)+IF($AR250,0,Constants!$B$13)+IF($AH250,0,Constants!$B$14))</f>
        <v/>
      </c>
      <c r="BS250" s="98" t="str">
        <f aca="false">IF($BX250&lt;&gt;Constants!$B$6,"",Constants!$B$16+SUM($BN250:$BR250))</f>
        <v/>
      </c>
      <c r="BT250" s="97" t="str">
        <f aca="false">IF($BX250&lt;&gt;Constants!$B$6,"",$BN250)</f>
        <v/>
      </c>
      <c r="BU250" s="97" t="str">
        <f aca="false">IF($BX250&lt;&gt;Constants!$B$6,"",$BO250)</f>
        <v/>
      </c>
      <c r="BV250" s="99" t="str">
        <f aca="false">IF($BX250&lt;&gt;Constants!$B$6,"",IF($AT250,$AV250,""))</f>
        <v/>
      </c>
      <c r="BW250" s="93" t="str">
        <f aca="false">IF(ISBLANK($C250),"",IF(ISBLANK($D$7),$BW$5,IF(NOT(ISNUMBER($D$7)),$BW$6,"")))</f>
        <v/>
      </c>
      <c r="BX250" s="93" t="str">
        <f aca="false">IF(ISBLANK($C250),"",IF($BA250,Constants!$B$9,IF(COUNTA($E250:$AA250)=0,Constants!$B$8,IF(NOT($AG250),Constants!$B$7,IF(OR($BW250&lt;&gt;"",$BB250,$BM250),Constants!$B$10,Constants!$B$6)))))</f>
        <v/>
      </c>
      <c r="BY250" s="93" t="str">
        <f aca="false">IF(ISBLANK($C250),"",IF($BX250&lt;&gt;Constants!$B$6,$BX250,Constants!$B$11))</f>
        <v/>
      </c>
      <c r="BZ250" s="97" t="str">
        <f aca="false">IF($BX250&lt;&gt;Constants!$B$6,"",IF($BL250="-&gt;",$BS250,$BH250))</f>
        <v/>
      </c>
      <c r="CA250" s="97" t="str">
        <f aca="false">IF($BX250&lt;&gt;Constants!$B$6,"",IF($AF250,0,Constants!$B$15))</f>
        <v/>
      </c>
      <c r="CB250" s="97" t="str">
        <f aca="false">IF($BX250&lt;&gt;Constants!$B$6,"",((Constants!$B$25-$AZ250)-Constants!$B$25)/Constants!$B$26)</f>
        <v/>
      </c>
      <c r="CC250" s="97" t="str">
        <f aca="false">IF(ISBLANK($C250),"",IF($BX250&lt;&gt;Constants!$B$6,$BX250,SUM($BZ250:$CB250)))</f>
        <v/>
      </c>
      <c r="CD250" s="93" t="str">
        <f aca="false">IF(ISBLANK($C250),"",IF($BX250&lt;&gt;Constants!$B$6,$BX250,RANK($CC250,$CC$9:$CC$508,1)))</f>
        <v/>
      </c>
      <c r="CE250" s="97" t="str">
        <f aca="false">IF($BX250&lt;&gt;Constants!$B$6,"",IF($BL250="-&gt;",$BT250,$BI250))</f>
        <v/>
      </c>
      <c r="CF250" s="93" t="str">
        <f aca="false">IF(ISBLANK($C250),"",IF($BX250&lt;&gt;Constants!$B$6,$BX250,IF(ISNUMBER($CE250),RANK($CE250,$CE$9:$CE$508,1),COUNT($CE$9:$CE$508)+1)))</f>
        <v/>
      </c>
      <c r="CG250" s="97" t="str">
        <f aca="false">IF($BX250&lt;&gt;Constants!$B$6,"",IF($BL250="-&gt;",$BU250,$BJ250))</f>
        <v/>
      </c>
      <c r="CH250" s="93" t="str">
        <f aca="false">IF(ISBLANK($C250),"",IF($BX250&lt;&gt;Constants!$B$6,$BX250,IF(ISNUMBER($CG250),RANK($CG250,$CG$9:$CG$508,1),COUNT($CG$9:$CG$508)+1)))</f>
        <v/>
      </c>
      <c r="CI250" s="97" t="str">
        <f aca="false">IF($BX250&lt;&gt;Constants!$B$6,"",IF($BL250="-&gt;",$BV250,$BK250))</f>
        <v/>
      </c>
      <c r="CJ250" s="93" t="str">
        <f aca="false">IF(ISBLANK($C250),"",IF($BX250&lt;&gt;Constants!$B$6,$BX250,IF(ISNUMBER($CI250),RANK($CI250,$CI$9:$CI$508,1),COUNT($CI$9:$CI$508)+1)))</f>
        <v/>
      </c>
      <c r="CK250" s="97" t="str">
        <f aca="false">IF($BX250&lt;&gt;Constants!$B$6,"",$AI250)</f>
        <v/>
      </c>
      <c r="CL250" s="93" t="str">
        <f aca="false">IF(ISBLANK($C250),"",IF($BX250&lt;&gt;Constants!$B$6,$BX250,IF(ISNUMBER($CK250),RANK($CK250,$CK$9:$CK$508,1),COUNT($CK$9:$CK$508)+1)))</f>
        <v/>
      </c>
      <c r="CM250" s="93" t="str">
        <f aca="false">IF(ISBLANK($C250),"",IF($BX250&lt;&gt;Constants!$B$6,$BX250,COUNTIFS($CD$9:$CD$508,"&lt;"&amp;$CD250)+COUNTIFS($CD$9:$CD$508,$CD250,$CF$9:$CF$508,"&lt;"&amp;$CF250)+COUNTIFS($CD$9:$CD$508,$CD250,$CF$9:$CF$508,$CF250,$CH$9:$CH$508,"&lt;"&amp;$CH250)+COUNTIFS($CD$9:$CD$508,$CD250,$CF$9:$CF$508,$CF250,$CH$9:$CH$508,$CH250,$CJ$9:$CJ$508,"&lt;"&amp;$CJ250)+COUNTIFS($CD$9:$CD$508,$CD250,$CF$9:$CF$508,$CF250,$CH$9:$CH$508,$CH250,$CJ$9:$CJ$508,$CJ250,$CL$9:$CL$508,"&lt;"&amp;$CL250)+1))</f>
        <v/>
      </c>
      <c r="CN250" s="93" t="str">
        <f aca="false">IF(ISBLANK($C250),"",IF($BX250&lt;&gt;Constants!$B$6,$BX250,$CD250-$CM250))</f>
        <v/>
      </c>
      <c r="CO250" s="100"/>
      <c r="CP250" s="101"/>
      <c r="CQ250" s="102" t="str">
        <f aca="false">IF(ISBLANK($C250),"",IF($BX250=Constants!$B$10,$BW250,""))</f>
        <v/>
      </c>
      <c r="CR250" s="101" t="str">
        <f aca="false">IF(ISBLANK($C250),"",IF($BX250&lt;&gt;Constants!$B$6,"",IF($BL250="-&gt;",2,1)))</f>
        <v/>
      </c>
      <c r="CS250" s="103" t="str">
        <f aca="false">IF(ISBLANK($C250),"",IF($BX250&lt;&gt;Constants!$B$6,"",IF($BL250="-&gt;",$BN250,$BC250)))</f>
        <v/>
      </c>
      <c r="CT250" s="103" t="str">
        <f aca="false">IF(ISBLANK($C250),"",IF($BX250&lt;&gt;Constants!$B$6,"",IF($BL250="-&gt;",$BO250,$BD250)))</f>
        <v/>
      </c>
      <c r="CU250" s="103" t="str">
        <f aca="false">IF(ISBLANK($C250),"",IF($BX250&lt;&gt;Constants!$B$6,"",IF($BL250="-&gt;",$BP250+$BQ250,$BE250+$BF250)+$CB250))</f>
        <v/>
      </c>
      <c r="CV250" s="103" t="str">
        <f aca="false">IF(ISBLANK($C250),"",IF($BX250&lt;&gt;Constants!$B$6,"",IF($BL250="-&gt;",$BR250,$BG250)+$CA250))</f>
        <v/>
      </c>
      <c r="CW250" s="104" t="str">
        <f aca="false">IF(ISBLANK($C250),"",IF($BX250&lt;&gt;Constants!$B$6,$BX250,$CC250))</f>
        <v/>
      </c>
      <c r="CX250" s="105" t="str">
        <f aca="false">IF(ISBLANK($C250),"",$BY250)</f>
        <v/>
      </c>
      <c r="CY250" s="106" t="str">
        <f aca="false">IF(ISBLANK($C250),"",$CN250)</f>
        <v/>
      </c>
      <c r="CZ250" s="106" t="str">
        <f aca="false">IF(ISBLANK($C250),"",$CM250)</f>
        <v/>
      </c>
      <c r="DA250" s="107" t="str">
        <f aca="false">IF(ISBLANK($C250),"",IFERROR(_xlfn.SWITCH($CZ250,Constants!$B$9,COUNTA($C$9:$C$508)+2,Constants!$B$8,COUNTA($C$9:$C$508)+1,Constants!$B$7,COUNTA($C$9:$C$508)),$CZ250))</f>
        <v/>
      </c>
      <c r="DB250" s="9"/>
      <c r="DC250" s="108" t="n">
        <f aca="false">IF(OR(ISNUMBER($CZ250),$CZ250=Constants!$B$9,$CZ250=Constants!$B$7,$CZ250=Constants!$B$8),1,0)</f>
        <v>0</v>
      </c>
      <c r="DD250" s="108" t="n">
        <v>242</v>
      </c>
      <c r="DE250" s="108" t="str">
        <f aca="false">IF(ISBLANK($C250),"",IF(ISNUMBER($DA250),$DA250+ROW($B250)/1000,""))</f>
        <v/>
      </c>
      <c r="DF250" s="108" t="str">
        <f aca="false">IF(ISNUMBER($DE250),RANK($DE250,$DE$9:$DE$508,1),"")</f>
        <v/>
      </c>
      <c r="DG250" s="108" t="str">
        <f aca="false">IF(ISBLANK($C250),"",$B250)</f>
        <v/>
      </c>
      <c r="DH250" s="108" t="str">
        <f aca="false">IF(ISBLANK($C250),"",$C250)</f>
        <v/>
      </c>
      <c r="DI250" s="108" t="str">
        <f aca="false">IF(ISBLANK($C250),"",$D250)</f>
        <v/>
      </c>
      <c r="DJ250" s="109" t="str">
        <f aca="false">$CX250</f>
        <v/>
      </c>
      <c r="DK250" s="110" t="str">
        <f aca="false">$CW250</f>
        <v/>
      </c>
      <c r="DL250" s="108" t="str">
        <f aca="false">IF(ISBLANK($C250),"",$CZ250)</f>
        <v/>
      </c>
      <c r="DM250" s="111" t="str">
        <f aca="false">IF($DD250&gt;$DC$8,"",VLOOKUP($DD250,$DF$9:$DL$508,7,FALSE()))</f>
        <v/>
      </c>
      <c r="DN250" s="112" t="str">
        <f aca="false">IF($DD250&gt;$DC$8,"",VLOOKUP($DD250,$DF$9:$DL$508,2,FALSE()))</f>
        <v/>
      </c>
      <c r="DO250" s="112" t="str">
        <f aca="false">IF($DD250&gt;$DC$8,"",VLOOKUP($DD250,$DF$9:$DL$508,3,FALSE()))</f>
        <v/>
      </c>
      <c r="DP250" s="112" t="str">
        <f aca="false">IF($DD250&gt;$DC$8,"",VLOOKUP($DD250,$DF$9:$DL$508,4,FALSE()))</f>
        <v/>
      </c>
      <c r="DQ250" s="112" t="str">
        <f aca="false">IF($DD250&gt;$DC$8,"",VLOOKUP($DD250,$DF$9:$DL$508,5,FALSE()))</f>
        <v/>
      </c>
      <c r="DR250" s="113" t="str">
        <f aca="false">IF($DD250&gt;$DC$8,"",VLOOKUP($DD250,$DF$9:$DL$508,6,FALSE()))</f>
        <v/>
      </c>
      <c r="DS250" s="76"/>
    </row>
    <row r="251" customFormat="false" ht="15.75" hidden="false" customHeight="false" outlineLevel="0" collapsed="false">
      <c r="A251" s="9"/>
      <c r="B251" s="78"/>
      <c r="C251" s="79"/>
      <c r="D251" s="170"/>
      <c r="E251" s="178"/>
      <c r="F251" s="172"/>
      <c r="G251" s="173"/>
      <c r="H251" s="173"/>
      <c r="I251" s="179"/>
      <c r="J251" s="176"/>
      <c r="K251" s="86"/>
      <c r="L251" s="87"/>
      <c r="M251" s="88"/>
      <c r="N251" s="176"/>
      <c r="O251" s="176"/>
      <c r="P251" s="178"/>
      <c r="Q251" s="176"/>
      <c r="R251" s="176"/>
      <c r="S251" s="86"/>
      <c r="T251" s="88"/>
      <c r="U251" s="88"/>
      <c r="V251" s="176"/>
      <c r="W251" s="176"/>
      <c r="X251" s="178"/>
      <c r="Y251" s="176"/>
      <c r="Z251" s="177"/>
      <c r="AA251" s="176"/>
      <c r="AB251" s="92"/>
      <c r="AC251" s="93"/>
      <c r="AD251" s="93"/>
      <c r="AE251" s="93"/>
      <c r="AF251" s="93" t="str">
        <f aca="false">IF(ISBLANK($C251),"",IF(E251=Constants!$B$2,TRUE(),IF(E251=Constants!$B$3,FALSE(),TRUE())))</f>
        <v/>
      </c>
      <c r="AG251" s="93" t="str">
        <f aca="false">IF(ISBLANK($C251),"",IF(F251=Constants!$B$2,TRUE(),IF(F251=Constants!$B$3,FALSE(),TRUE())))</f>
        <v/>
      </c>
      <c r="AH251" s="93" t="str">
        <f aca="false">IF(ISBLANK($C251),"",IF(G251=Constants!$B$2,TRUE(),IF(G251=Constants!$B$3,FALSE(),TRUE())))</f>
        <v/>
      </c>
      <c r="AI251" s="93" t="str">
        <f aca="false">IF(ISBLANK($C251),"",IF(AND(ISNUMBER(H251),H251&gt;=0),H251,Constants!$B$24))</f>
        <v/>
      </c>
      <c r="AJ251" s="93" t="str">
        <f aca="false">IF(ISBLANK($C251),"",IF(I251=Constants!$B$2,TRUE(),IF(I251=Constants!$B$3,FALSE(),TRUE())))</f>
        <v/>
      </c>
      <c r="AK251" s="93" t="str">
        <f aca="false">IF(ISBLANK($C251),"",IF(J251=Constants!$B$2,TRUE(),IF(J251=Constants!$B$3,FALSE(),TRUE())))</f>
        <v/>
      </c>
      <c r="AL251" s="93" t="str">
        <f aca="false">IF(ISBLANK($C251),"",IF(K251=Constants!$B$4,TRUE(),IF(K251=Constants!$B$5,FALSE(),COUNTA(L251:P251)&gt;0)))</f>
        <v/>
      </c>
      <c r="AM251" s="95" t="str">
        <f aca="false">IF(ISBLANK($C251),"",IF(ISNUMBER(L251),IF(L251&gt;=0,L251,""),""))</f>
        <v/>
      </c>
      <c r="AN251" s="94" t="str">
        <f aca="false">IF(ISBLANK($C251),"",IF(ISNUMBER(M251),IF(M251&gt;=0,M251,""),""))</f>
        <v/>
      </c>
      <c r="AO251" s="94" t="str">
        <f aca="false">IF(ISBLANK($C251),"",IF(N251=Constants!$B$2,TRUE(),IF(N251=Constants!$B$3,FALSE(),TRUE())))</f>
        <v/>
      </c>
      <c r="AP251" s="93" t="str">
        <f aca="false">IF(ISBLANK($C251),"",IF(ISNUMBER(O251),IF(O251&gt;=0,O251,""),""))</f>
        <v/>
      </c>
      <c r="AQ251" s="93" t="str">
        <f aca="false">IF(ISBLANK($C251),"",IF(P251=Constants!$B$2,TRUE(),IF(P251=Constants!$B$3,FALSE(),FALSE())))</f>
        <v/>
      </c>
      <c r="AR251" s="93" t="str">
        <f aca="false">IF(ISBLANK($C251),"",IF(Q251=Constants!$B$2,TRUE(),IF(Q251=Constants!$B$3,FALSE(),TRUE())))</f>
        <v/>
      </c>
      <c r="AS251" s="93" t="str">
        <f aca="false">IF(ISBLANK($C251),"",IF(R251=Constants!$B$2,TRUE(),IF(R251=Constants!$B$3,FALSE(),TRUE())))</f>
        <v/>
      </c>
      <c r="AT251" s="93" t="str">
        <f aca="false">IF(ISBLANK($C251),"",IF(S251=Constants!$B$4,TRUE(),IF(S251=Constants!$B$5,FALSE(),COUNTA(T251:X251)&gt;0)))</f>
        <v/>
      </c>
      <c r="AU251" s="95" t="str">
        <f aca="false">IF(ISBLANK($C251),"",IF(ISNUMBER(T251),IF(T251&gt;=0,T251,""),""))</f>
        <v/>
      </c>
      <c r="AV251" s="94" t="str">
        <f aca="false">IF(ISBLANK($C251),"",IF(ISNUMBER(U251),IF(U251&gt;=0,U251,""),""))</f>
        <v/>
      </c>
      <c r="AW251" s="94" t="str">
        <f aca="false">IF(ISBLANK($C251),"",IF(V251=Constants!$B$2,TRUE(),IF(V251=Constants!$B$3,FALSE(),TRUE())))</f>
        <v/>
      </c>
      <c r="AX251" s="93" t="str">
        <f aca="false">IF(ISBLANK($C251),"",IF(ISNUMBER(W251),IF(W251&gt;=0,W251,""),""))</f>
        <v/>
      </c>
      <c r="AY251" s="93" t="str">
        <f aca="false">IF(ISBLANK($C251),"",IF(X251=Constants!$B$2,TRUE(),IF(X251=Constants!$B$3,FALSE(),FALSE())))</f>
        <v/>
      </c>
      <c r="AZ251" s="93" t="str">
        <f aca="false">IF(ISBLANK($C251),"",MIN(Constants!$B$25,MAX(0,IF(ISNUMBER(Y251),Y251*60,0)+IF(ISNUMBER(Z251),Z251,0))))</f>
        <v/>
      </c>
      <c r="BA251" s="93" t="str">
        <f aca="false">IF(ISBLANK($C251),"",IF(AA251=Constants!$B$2,TRUE(),IF(AA251=Constants!$B$3,FALSE(),FALSE())))</f>
        <v/>
      </c>
      <c r="BB251" s="92" t="str">
        <f aca="false">IF(ISBLANK($C251),"",AND($AL251,OR($AM251="",$AN251="",AND($AO251,$AP251=""))))</f>
        <v/>
      </c>
      <c r="BC251" s="94" t="str">
        <f aca="false">IF($BX251&lt;&gt;Constants!$B$6,"",IF($AL251,Constants!$B$17*$AN251+Constants!$B$18*IF($AO251,$AP251,Constants!$B$19),Constants!$B$20))</f>
        <v/>
      </c>
      <c r="BD251" s="97" t="str">
        <f aca="false">IF($BX251&lt;&gt;Constants!$B$6,"",Constants!$B$21*ABS($AD$9-IF($AL251,$AM251,0)))</f>
        <v/>
      </c>
      <c r="BE251" s="97" t="str">
        <f aca="false">IF($BX251&lt;&gt;Constants!$B$6,"",IF(AND($AL251,$AQ251,$AO251),Constants!$B$22,0))</f>
        <v/>
      </c>
      <c r="BF251" s="97" t="str">
        <f aca="false">IF($BX251&lt;&gt;Constants!$B$6,"",IF($AL251,($AI251-Constants!$B$24)*Constants!$B$23,0))</f>
        <v/>
      </c>
      <c r="BG251" s="97" t="str">
        <f aca="false">IF($BX251&lt;&gt;Constants!$B$6,"",IF($AK251,0,Constants!$B$12)+IF($AJ251,0,Constants!$B$13)+IF($AH251,0,Constants!$B$14))</f>
        <v/>
      </c>
      <c r="BH251" s="98" t="str">
        <f aca="false">IF($BX251&lt;&gt;Constants!$B$6,"",Constants!$B$16+SUM($BC251:$BG251))</f>
        <v/>
      </c>
      <c r="BI251" s="97" t="str">
        <f aca="false">IF($BX251&lt;&gt;Constants!$B$6,"",$BC251)</f>
        <v/>
      </c>
      <c r="BJ251" s="97" t="str">
        <f aca="false">IF($BX251&lt;&gt;Constants!$B$6,"",$BD251)</f>
        <v/>
      </c>
      <c r="BK251" s="99" t="str">
        <f aca="false">IF($BX251&lt;&gt;Constants!$B$6,"",IF($AL251,$AN251,""))</f>
        <v/>
      </c>
      <c r="BL251" s="93" t="str">
        <f aca="false">IF($BX251&lt;&gt;Constants!$B$6,"",IF(OR($BS251&lt;$BH251,AND($BS251=$BH251,OR($BT251&lt;$BI251,AND($BT251=$BI251,OR($BU251&lt;$BJ251,AND($BU251=$BJ251,AND(ISNUMBER($BV251),OR(NOT(ISNUMBER($BK251)),$BV251&lt;$BK251)))))))),"-&gt;","&lt;-"))</f>
        <v/>
      </c>
      <c r="BM251" s="92" t="str">
        <f aca="false">IF(ISBLANK($C251),"",AND($AT251,OR($AU251="",$AV251="",AND($AW251,$AX251=""))))</f>
        <v/>
      </c>
      <c r="BN251" s="94" t="str">
        <f aca="false">IF($BX251&lt;&gt;Constants!$B$6,"",IF($AT251,Constants!$B$17*$AV251+Constants!$B$18*IF($AW251,$AX251,Constants!$B$19),Constants!$B$20))</f>
        <v/>
      </c>
      <c r="BO251" s="97" t="str">
        <f aca="false">IF($BX251&lt;&gt;Constants!$B$6,"",Constants!$B$21*ABS($AD$9-IF($AT251,$AU251,0)))</f>
        <v/>
      </c>
      <c r="BP251" s="97" t="str">
        <f aca="false">IF($BX251&lt;&gt;Constants!$B$6,"",IF(AND($AT251,$AY251,$AW251),Constants!$B$22,0))</f>
        <v/>
      </c>
      <c r="BQ251" s="97" t="str">
        <f aca="false">IF($BX251&lt;&gt;Constants!$B$6,"",IF($AT251,($AI251-Constants!$B$24)*Constants!$B$23,0))</f>
        <v/>
      </c>
      <c r="BR251" s="97" t="str">
        <f aca="false">IF($BX251&lt;&gt;Constants!$B$6,"",IF($AS251,0,Constants!$B$12)+IF($AR251,0,Constants!$B$13)+IF($AH251,0,Constants!$B$14))</f>
        <v/>
      </c>
      <c r="BS251" s="98" t="str">
        <f aca="false">IF($BX251&lt;&gt;Constants!$B$6,"",Constants!$B$16+SUM($BN251:$BR251))</f>
        <v/>
      </c>
      <c r="BT251" s="97" t="str">
        <f aca="false">IF($BX251&lt;&gt;Constants!$B$6,"",$BN251)</f>
        <v/>
      </c>
      <c r="BU251" s="97" t="str">
        <f aca="false">IF($BX251&lt;&gt;Constants!$B$6,"",$BO251)</f>
        <v/>
      </c>
      <c r="BV251" s="99" t="str">
        <f aca="false">IF($BX251&lt;&gt;Constants!$B$6,"",IF($AT251,$AV251,""))</f>
        <v/>
      </c>
      <c r="BW251" s="93" t="str">
        <f aca="false">IF(ISBLANK($C251),"",IF(ISBLANK($D$7),$BW$5,IF(NOT(ISNUMBER($D$7)),$BW$6,"")))</f>
        <v/>
      </c>
      <c r="BX251" s="93" t="str">
        <f aca="false">IF(ISBLANK($C251),"",IF($BA251,Constants!$B$9,IF(COUNTA($E251:$AA251)=0,Constants!$B$8,IF(NOT($AG251),Constants!$B$7,IF(OR($BW251&lt;&gt;"",$BB251,$BM251),Constants!$B$10,Constants!$B$6)))))</f>
        <v/>
      </c>
      <c r="BY251" s="93" t="str">
        <f aca="false">IF(ISBLANK($C251),"",IF($BX251&lt;&gt;Constants!$B$6,$BX251,Constants!$B$11))</f>
        <v/>
      </c>
      <c r="BZ251" s="97" t="str">
        <f aca="false">IF($BX251&lt;&gt;Constants!$B$6,"",IF($BL251="-&gt;",$BS251,$BH251))</f>
        <v/>
      </c>
      <c r="CA251" s="97" t="str">
        <f aca="false">IF($BX251&lt;&gt;Constants!$B$6,"",IF($AF251,0,Constants!$B$15))</f>
        <v/>
      </c>
      <c r="CB251" s="97" t="str">
        <f aca="false">IF($BX251&lt;&gt;Constants!$B$6,"",((Constants!$B$25-$AZ251)-Constants!$B$25)/Constants!$B$26)</f>
        <v/>
      </c>
      <c r="CC251" s="97" t="str">
        <f aca="false">IF(ISBLANK($C251),"",IF($BX251&lt;&gt;Constants!$B$6,$BX251,SUM($BZ251:$CB251)))</f>
        <v/>
      </c>
      <c r="CD251" s="93" t="str">
        <f aca="false">IF(ISBLANK($C251),"",IF($BX251&lt;&gt;Constants!$B$6,$BX251,RANK($CC251,$CC$9:$CC$508,1)))</f>
        <v/>
      </c>
      <c r="CE251" s="97" t="str">
        <f aca="false">IF($BX251&lt;&gt;Constants!$B$6,"",IF($BL251="-&gt;",$BT251,$BI251))</f>
        <v/>
      </c>
      <c r="CF251" s="93" t="str">
        <f aca="false">IF(ISBLANK($C251),"",IF($BX251&lt;&gt;Constants!$B$6,$BX251,IF(ISNUMBER($CE251),RANK($CE251,$CE$9:$CE$508,1),COUNT($CE$9:$CE$508)+1)))</f>
        <v/>
      </c>
      <c r="CG251" s="97" t="str">
        <f aca="false">IF($BX251&lt;&gt;Constants!$B$6,"",IF($BL251="-&gt;",$BU251,$BJ251))</f>
        <v/>
      </c>
      <c r="CH251" s="93" t="str">
        <f aca="false">IF(ISBLANK($C251),"",IF($BX251&lt;&gt;Constants!$B$6,$BX251,IF(ISNUMBER($CG251),RANK($CG251,$CG$9:$CG$508,1),COUNT($CG$9:$CG$508)+1)))</f>
        <v/>
      </c>
      <c r="CI251" s="97" t="str">
        <f aca="false">IF($BX251&lt;&gt;Constants!$B$6,"",IF($BL251="-&gt;",$BV251,$BK251))</f>
        <v/>
      </c>
      <c r="CJ251" s="93" t="str">
        <f aca="false">IF(ISBLANK($C251),"",IF($BX251&lt;&gt;Constants!$B$6,$BX251,IF(ISNUMBER($CI251),RANK($CI251,$CI$9:$CI$508,1),COUNT($CI$9:$CI$508)+1)))</f>
        <v/>
      </c>
      <c r="CK251" s="97" t="str">
        <f aca="false">IF($BX251&lt;&gt;Constants!$B$6,"",$AI251)</f>
        <v/>
      </c>
      <c r="CL251" s="93" t="str">
        <f aca="false">IF(ISBLANK($C251),"",IF($BX251&lt;&gt;Constants!$B$6,$BX251,IF(ISNUMBER($CK251),RANK($CK251,$CK$9:$CK$508,1),COUNT($CK$9:$CK$508)+1)))</f>
        <v/>
      </c>
      <c r="CM251" s="93" t="str">
        <f aca="false">IF(ISBLANK($C251),"",IF($BX251&lt;&gt;Constants!$B$6,$BX251,COUNTIFS($CD$9:$CD$508,"&lt;"&amp;$CD251)+COUNTIFS($CD$9:$CD$508,$CD251,$CF$9:$CF$508,"&lt;"&amp;$CF251)+COUNTIFS($CD$9:$CD$508,$CD251,$CF$9:$CF$508,$CF251,$CH$9:$CH$508,"&lt;"&amp;$CH251)+COUNTIFS($CD$9:$CD$508,$CD251,$CF$9:$CF$508,$CF251,$CH$9:$CH$508,$CH251,$CJ$9:$CJ$508,"&lt;"&amp;$CJ251)+COUNTIFS($CD$9:$CD$508,$CD251,$CF$9:$CF$508,$CF251,$CH$9:$CH$508,$CH251,$CJ$9:$CJ$508,$CJ251,$CL$9:$CL$508,"&lt;"&amp;$CL251)+1))</f>
        <v/>
      </c>
      <c r="CN251" s="93" t="str">
        <f aca="false">IF(ISBLANK($C251),"",IF($BX251&lt;&gt;Constants!$B$6,$BX251,$CD251-$CM251))</f>
        <v/>
      </c>
      <c r="CO251" s="100"/>
      <c r="CP251" s="101"/>
      <c r="CQ251" s="102" t="str">
        <f aca="false">IF(ISBLANK($C251),"",IF($BX251=Constants!$B$10,$BW251,""))</f>
        <v/>
      </c>
      <c r="CR251" s="101" t="str">
        <f aca="false">IF(ISBLANK($C251),"",IF($BX251&lt;&gt;Constants!$B$6,"",IF($BL251="-&gt;",2,1)))</f>
        <v/>
      </c>
      <c r="CS251" s="103" t="str">
        <f aca="false">IF(ISBLANK($C251),"",IF($BX251&lt;&gt;Constants!$B$6,"",IF($BL251="-&gt;",$BN251,$BC251)))</f>
        <v/>
      </c>
      <c r="CT251" s="103" t="str">
        <f aca="false">IF(ISBLANK($C251),"",IF($BX251&lt;&gt;Constants!$B$6,"",IF($BL251="-&gt;",$BO251,$BD251)))</f>
        <v/>
      </c>
      <c r="CU251" s="103" t="str">
        <f aca="false">IF(ISBLANK($C251),"",IF($BX251&lt;&gt;Constants!$B$6,"",IF($BL251="-&gt;",$BP251+$BQ251,$BE251+$BF251)+$CB251))</f>
        <v/>
      </c>
      <c r="CV251" s="103" t="str">
        <f aca="false">IF(ISBLANK($C251),"",IF($BX251&lt;&gt;Constants!$B$6,"",IF($BL251="-&gt;",$BR251,$BG251)+$CA251))</f>
        <v/>
      </c>
      <c r="CW251" s="104" t="str">
        <f aca="false">IF(ISBLANK($C251),"",IF($BX251&lt;&gt;Constants!$B$6,$BX251,$CC251))</f>
        <v/>
      </c>
      <c r="CX251" s="105" t="str">
        <f aca="false">IF(ISBLANK($C251),"",$BY251)</f>
        <v/>
      </c>
      <c r="CY251" s="106" t="str">
        <f aca="false">IF(ISBLANK($C251),"",$CN251)</f>
        <v/>
      </c>
      <c r="CZ251" s="106" t="str">
        <f aca="false">IF(ISBLANK($C251),"",$CM251)</f>
        <v/>
      </c>
      <c r="DA251" s="107" t="str">
        <f aca="false">IF(ISBLANK($C251),"",IFERROR(_xlfn.SWITCH($CZ251,Constants!$B$9,COUNTA($C$9:$C$508)+2,Constants!$B$8,COUNTA($C$9:$C$508)+1,Constants!$B$7,COUNTA($C$9:$C$508)),$CZ251))</f>
        <v/>
      </c>
      <c r="DB251" s="9"/>
      <c r="DC251" s="108" t="n">
        <f aca="false">IF(OR(ISNUMBER($CZ251),$CZ251=Constants!$B$9,$CZ251=Constants!$B$7,$CZ251=Constants!$B$8),1,0)</f>
        <v>0</v>
      </c>
      <c r="DD251" s="108" t="n">
        <v>243</v>
      </c>
      <c r="DE251" s="108" t="str">
        <f aca="false">IF(ISBLANK($C251),"",IF(ISNUMBER($DA251),$DA251+ROW($B251)/1000,""))</f>
        <v/>
      </c>
      <c r="DF251" s="108" t="str">
        <f aca="false">IF(ISNUMBER($DE251),RANK($DE251,$DE$9:$DE$508,1),"")</f>
        <v/>
      </c>
      <c r="DG251" s="108" t="str">
        <f aca="false">IF(ISBLANK($C251),"",$B251)</f>
        <v/>
      </c>
      <c r="DH251" s="108" t="str">
        <f aca="false">IF(ISBLANK($C251),"",$C251)</f>
        <v/>
      </c>
      <c r="DI251" s="108" t="str">
        <f aca="false">IF(ISBLANK($C251),"",$D251)</f>
        <v/>
      </c>
      <c r="DJ251" s="109" t="str">
        <f aca="false">$CX251</f>
        <v/>
      </c>
      <c r="DK251" s="110" t="str">
        <f aca="false">$CW251</f>
        <v/>
      </c>
      <c r="DL251" s="108" t="str">
        <f aca="false">IF(ISBLANK($C251),"",$CZ251)</f>
        <v/>
      </c>
      <c r="DM251" s="111" t="str">
        <f aca="false">IF($DD251&gt;$DC$8,"",VLOOKUP($DD251,$DF$9:$DL$508,7,FALSE()))</f>
        <v/>
      </c>
      <c r="DN251" s="112" t="str">
        <f aca="false">IF($DD251&gt;$DC$8,"",VLOOKUP($DD251,$DF$9:$DL$508,2,FALSE()))</f>
        <v/>
      </c>
      <c r="DO251" s="112" t="str">
        <f aca="false">IF($DD251&gt;$DC$8,"",VLOOKUP($DD251,$DF$9:$DL$508,3,FALSE()))</f>
        <v/>
      </c>
      <c r="DP251" s="112" t="str">
        <f aca="false">IF($DD251&gt;$DC$8,"",VLOOKUP($DD251,$DF$9:$DL$508,4,FALSE()))</f>
        <v/>
      </c>
      <c r="DQ251" s="112" t="str">
        <f aca="false">IF($DD251&gt;$DC$8,"",VLOOKUP($DD251,$DF$9:$DL$508,5,FALSE()))</f>
        <v/>
      </c>
      <c r="DR251" s="113" t="str">
        <f aca="false">IF($DD251&gt;$DC$8,"",VLOOKUP($DD251,$DF$9:$DL$508,6,FALSE()))</f>
        <v/>
      </c>
      <c r="DS251" s="76"/>
    </row>
    <row r="252" customFormat="false" ht="15.75" hidden="false" customHeight="false" outlineLevel="0" collapsed="false">
      <c r="A252" s="9"/>
      <c r="B252" s="160"/>
      <c r="C252" s="161"/>
      <c r="D252" s="162"/>
      <c r="E252" s="180"/>
      <c r="F252" s="164"/>
      <c r="G252" s="165"/>
      <c r="H252" s="165"/>
      <c r="I252" s="181"/>
      <c r="J252" s="168"/>
      <c r="K252" s="128"/>
      <c r="L252" s="129"/>
      <c r="M252" s="130"/>
      <c r="N252" s="168"/>
      <c r="O252" s="168"/>
      <c r="P252" s="180"/>
      <c r="Q252" s="168"/>
      <c r="R252" s="168"/>
      <c r="S252" s="128"/>
      <c r="T252" s="130"/>
      <c r="U252" s="130"/>
      <c r="V252" s="168"/>
      <c r="W252" s="168"/>
      <c r="X252" s="180"/>
      <c r="Y252" s="168"/>
      <c r="Z252" s="169"/>
      <c r="AA252" s="168"/>
      <c r="AB252" s="134"/>
      <c r="AC252" s="135"/>
      <c r="AD252" s="135"/>
      <c r="AE252" s="135"/>
      <c r="AF252" s="135" t="str">
        <f aca="false">IF(ISBLANK($C252),"",IF(E252=Constants!$B$2,TRUE(),IF(E252=Constants!$B$3,FALSE(),TRUE())))</f>
        <v/>
      </c>
      <c r="AG252" s="135" t="str">
        <f aca="false">IF(ISBLANK($C252),"",IF(F252=Constants!$B$2,TRUE(),IF(F252=Constants!$B$3,FALSE(),TRUE())))</f>
        <v/>
      </c>
      <c r="AH252" s="135" t="str">
        <f aca="false">IF(ISBLANK($C252),"",IF(G252=Constants!$B$2,TRUE(),IF(G252=Constants!$B$3,FALSE(),TRUE())))</f>
        <v/>
      </c>
      <c r="AI252" s="135" t="str">
        <f aca="false">IF(ISBLANK($C252),"",IF(AND(ISNUMBER(H252),H252&gt;=0),H252,Constants!$B$24))</f>
        <v/>
      </c>
      <c r="AJ252" s="135" t="str">
        <f aca="false">IF(ISBLANK($C252),"",IF(I252=Constants!$B$2,TRUE(),IF(I252=Constants!$B$3,FALSE(),TRUE())))</f>
        <v/>
      </c>
      <c r="AK252" s="135" t="str">
        <f aca="false">IF(ISBLANK($C252),"",IF(J252=Constants!$B$2,TRUE(),IF(J252=Constants!$B$3,FALSE(),TRUE())))</f>
        <v/>
      </c>
      <c r="AL252" s="135" t="str">
        <f aca="false">IF(ISBLANK($C252),"",IF(K252=Constants!$B$4,TRUE(),IF(K252=Constants!$B$5,FALSE(),COUNTA(L252:P252)&gt;0)))</f>
        <v/>
      </c>
      <c r="AM252" s="136" t="str">
        <f aca="false">IF(ISBLANK($C252),"",IF(ISNUMBER(L252),IF(L252&gt;=0,L252,""),""))</f>
        <v/>
      </c>
      <c r="AN252" s="137" t="str">
        <f aca="false">IF(ISBLANK($C252),"",IF(ISNUMBER(M252),IF(M252&gt;=0,M252,""),""))</f>
        <v/>
      </c>
      <c r="AO252" s="137" t="str">
        <f aca="false">IF(ISBLANK($C252),"",IF(N252=Constants!$B$2,TRUE(),IF(N252=Constants!$B$3,FALSE(),TRUE())))</f>
        <v/>
      </c>
      <c r="AP252" s="135" t="str">
        <f aca="false">IF(ISBLANK($C252),"",IF(ISNUMBER(O252),IF(O252&gt;=0,O252,""),""))</f>
        <v/>
      </c>
      <c r="AQ252" s="135" t="str">
        <f aca="false">IF(ISBLANK($C252),"",IF(P252=Constants!$B$2,TRUE(),IF(P252=Constants!$B$3,FALSE(),FALSE())))</f>
        <v/>
      </c>
      <c r="AR252" s="135" t="str">
        <f aca="false">IF(ISBLANK($C252),"",IF(Q252=Constants!$B$2,TRUE(),IF(Q252=Constants!$B$3,FALSE(),TRUE())))</f>
        <v/>
      </c>
      <c r="AS252" s="135" t="str">
        <f aca="false">IF(ISBLANK($C252),"",IF(R252=Constants!$B$2,TRUE(),IF(R252=Constants!$B$3,FALSE(),TRUE())))</f>
        <v/>
      </c>
      <c r="AT252" s="135" t="str">
        <f aca="false">IF(ISBLANK($C252),"",IF(S252=Constants!$B$4,TRUE(),IF(S252=Constants!$B$5,FALSE(),COUNTA(T252:X252)&gt;0)))</f>
        <v/>
      </c>
      <c r="AU252" s="136" t="str">
        <f aca="false">IF(ISBLANK($C252),"",IF(ISNUMBER(T252),IF(T252&gt;=0,T252,""),""))</f>
        <v/>
      </c>
      <c r="AV252" s="137" t="str">
        <f aca="false">IF(ISBLANK($C252),"",IF(ISNUMBER(U252),IF(U252&gt;=0,U252,""),""))</f>
        <v/>
      </c>
      <c r="AW252" s="137" t="str">
        <f aca="false">IF(ISBLANK($C252),"",IF(V252=Constants!$B$2,TRUE(),IF(V252=Constants!$B$3,FALSE(),TRUE())))</f>
        <v/>
      </c>
      <c r="AX252" s="135" t="str">
        <f aca="false">IF(ISBLANK($C252),"",IF(ISNUMBER(W252),IF(W252&gt;=0,W252,""),""))</f>
        <v/>
      </c>
      <c r="AY252" s="135" t="str">
        <f aca="false">IF(ISBLANK($C252),"",IF(X252=Constants!$B$2,TRUE(),IF(X252=Constants!$B$3,FALSE(),FALSE())))</f>
        <v/>
      </c>
      <c r="AZ252" s="135" t="str">
        <f aca="false">IF(ISBLANK($C252),"",MIN(Constants!$B$25,MAX(0,IF(ISNUMBER(Y252),Y252*60,0)+IF(ISNUMBER(Z252),Z252,0))))</f>
        <v/>
      </c>
      <c r="BA252" s="135" t="str">
        <f aca="false">IF(ISBLANK($C252),"",IF(AA252=Constants!$B$2,TRUE(),IF(AA252=Constants!$B$3,FALSE(),FALSE())))</f>
        <v/>
      </c>
      <c r="BB252" s="134" t="str">
        <f aca="false">IF(ISBLANK($C252),"",AND($AL252,OR($AM252="",$AN252="",AND($AO252,$AP252=""))))</f>
        <v/>
      </c>
      <c r="BC252" s="137" t="str">
        <f aca="false">IF($BX252&lt;&gt;Constants!$B$6,"",IF($AL252,Constants!$B$17*$AN252+Constants!$B$18*IF($AO252,$AP252,Constants!$B$19),Constants!$B$20))</f>
        <v/>
      </c>
      <c r="BD252" s="138" t="str">
        <f aca="false">IF($BX252&lt;&gt;Constants!$B$6,"",Constants!$B$21*ABS($AD$9-IF($AL252,$AM252,0)))</f>
        <v/>
      </c>
      <c r="BE252" s="138" t="str">
        <f aca="false">IF($BX252&lt;&gt;Constants!$B$6,"",IF(AND($AL252,$AQ252,$AO252),Constants!$B$22,0))</f>
        <v/>
      </c>
      <c r="BF252" s="138" t="str">
        <f aca="false">IF($BX252&lt;&gt;Constants!$B$6,"",IF($AL252,($AI252-Constants!$B$24)*Constants!$B$23,0))</f>
        <v/>
      </c>
      <c r="BG252" s="138" t="str">
        <f aca="false">IF($BX252&lt;&gt;Constants!$B$6,"",IF($AK252,0,Constants!$B$12)+IF($AJ252,0,Constants!$B$13)+IF($AH252,0,Constants!$B$14))</f>
        <v/>
      </c>
      <c r="BH252" s="139" t="str">
        <f aca="false">IF($BX252&lt;&gt;Constants!$B$6,"",Constants!$B$16+SUM($BC252:$BG252))</f>
        <v/>
      </c>
      <c r="BI252" s="138" t="str">
        <f aca="false">IF($BX252&lt;&gt;Constants!$B$6,"",$BC252)</f>
        <v/>
      </c>
      <c r="BJ252" s="138" t="str">
        <f aca="false">IF($BX252&lt;&gt;Constants!$B$6,"",$BD252)</f>
        <v/>
      </c>
      <c r="BK252" s="140" t="str">
        <f aca="false">IF($BX252&lt;&gt;Constants!$B$6,"",IF($AL252,$AN252,""))</f>
        <v/>
      </c>
      <c r="BL252" s="135" t="str">
        <f aca="false">IF($BX252&lt;&gt;Constants!$B$6,"",IF(OR($BS252&lt;$BH252,AND($BS252=$BH252,OR($BT252&lt;$BI252,AND($BT252=$BI252,OR($BU252&lt;$BJ252,AND($BU252=$BJ252,AND(ISNUMBER($BV252),OR(NOT(ISNUMBER($BK252)),$BV252&lt;$BK252)))))))),"-&gt;","&lt;-"))</f>
        <v/>
      </c>
      <c r="BM252" s="134" t="str">
        <f aca="false">IF(ISBLANK($C252),"",AND($AT252,OR($AU252="",$AV252="",AND($AW252,$AX252=""))))</f>
        <v/>
      </c>
      <c r="BN252" s="137" t="str">
        <f aca="false">IF($BX252&lt;&gt;Constants!$B$6,"",IF($AT252,Constants!$B$17*$AV252+Constants!$B$18*IF($AW252,$AX252,Constants!$B$19),Constants!$B$20))</f>
        <v/>
      </c>
      <c r="BO252" s="138" t="str">
        <f aca="false">IF($BX252&lt;&gt;Constants!$B$6,"",Constants!$B$21*ABS($AD$9-IF($AT252,$AU252,0)))</f>
        <v/>
      </c>
      <c r="BP252" s="138" t="str">
        <f aca="false">IF($BX252&lt;&gt;Constants!$B$6,"",IF(AND($AT252,$AY252,$AW252),Constants!$B$22,0))</f>
        <v/>
      </c>
      <c r="BQ252" s="138" t="str">
        <f aca="false">IF($BX252&lt;&gt;Constants!$B$6,"",IF($AT252,($AI252-Constants!$B$24)*Constants!$B$23,0))</f>
        <v/>
      </c>
      <c r="BR252" s="138" t="str">
        <f aca="false">IF($BX252&lt;&gt;Constants!$B$6,"",IF($AS252,0,Constants!$B$12)+IF($AR252,0,Constants!$B$13)+IF($AH252,0,Constants!$B$14))</f>
        <v/>
      </c>
      <c r="BS252" s="139" t="str">
        <f aca="false">IF($BX252&lt;&gt;Constants!$B$6,"",Constants!$B$16+SUM($BN252:$BR252))</f>
        <v/>
      </c>
      <c r="BT252" s="138" t="str">
        <f aca="false">IF($BX252&lt;&gt;Constants!$B$6,"",$BN252)</f>
        <v/>
      </c>
      <c r="BU252" s="138" t="str">
        <f aca="false">IF($BX252&lt;&gt;Constants!$B$6,"",$BO252)</f>
        <v/>
      </c>
      <c r="BV252" s="140" t="str">
        <f aca="false">IF($BX252&lt;&gt;Constants!$B$6,"",IF($AT252,$AV252,""))</f>
        <v/>
      </c>
      <c r="BW252" s="135" t="str">
        <f aca="false">IF(ISBLANK($C252),"",IF(ISBLANK($D$7),$BW$5,IF(NOT(ISNUMBER($D$7)),$BW$6,"")))</f>
        <v/>
      </c>
      <c r="BX252" s="135" t="str">
        <f aca="false">IF(ISBLANK($C252),"",IF($BA252,Constants!$B$9,IF(COUNTA($E252:$AA252)=0,Constants!$B$8,IF(NOT($AG252),Constants!$B$7,IF(OR($BW252&lt;&gt;"",$BB252,$BM252),Constants!$B$10,Constants!$B$6)))))</f>
        <v/>
      </c>
      <c r="BY252" s="135" t="str">
        <f aca="false">IF(ISBLANK($C252),"",IF($BX252&lt;&gt;Constants!$B$6,$BX252,Constants!$B$11))</f>
        <v/>
      </c>
      <c r="BZ252" s="138" t="str">
        <f aca="false">IF($BX252&lt;&gt;Constants!$B$6,"",IF($BL252="-&gt;",$BS252,$BH252))</f>
        <v/>
      </c>
      <c r="CA252" s="138" t="str">
        <f aca="false">IF($BX252&lt;&gt;Constants!$B$6,"",IF($AF252,0,Constants!$B$15))</f>
        <v/>
      </c>
      <c r="CB252" s="138" t="str">
        <f aca="false">IF($BX252&lt;&gt;Constants!$B$6,"",((Constants!$B$25-$AZ252)-Constants!$B$25)/Constants!$B$26)</f>
        <v/>
      </c>
      <c r="CC252" s="138" t="str">
        <f aca="false">IF(ISBLANK($C252),"",IF($BX252&lt;&gt;Constants!$B$6,$BX252,SUM($BZ252:$CB252)))</f>
        <v/>
      </c>
      <c r="CD252" s="135" t="str">
        <f aca="false">IF(ISBLANK($C252),"",IF($BX252&lt;&gt;Constants!$B$6,$BX252,RANK($CC252,$CC$9:$CC$508,1)))</f>
        <v/>
      </c>
      <c r="CE252" s="138" t="str">
        <f aca="false">IF($BX252&lt;&gt;Constants!$B$6,"",IF($BL252="-&gt;",$BT252,$BI252))</f>
        <v/>
      </c>
      <c r="CF252" s="135" t="str">
        <f aca="false">IF(ISBLANK($C252),"",IF($BX252&lt;&gt;Constants!$B$6,$BX252,IF(ISNUMBER($CE252),RANK($CE252,$CE$9:$CE$508,1),COUNT($CE$9:$CE$508)+1)))</f>
        <v/>
      </c>
      <c r="CG252" s="138" t="str">
        <f aca="false">IF($BX252&lt;&gt;Constants!$B$6,"",IF($BL252="-&gt;",$BU252,$BJ252))</f>
        <v/>
      </c>
      <c r="CH252" s="135" t="str">
        <f aca="false">IF(ISBLANK($C252),"",IF($BX252&lt;&gt;Constants!$B$6,$BX252,IF(ISNUMBER($CG252),RANK($CG252,$CG$9:$CG$508,1),COUNT($CG$9:$CG$508)+1)))</f>
        <v/>
      </c>
      <c r="CI252" s="138" t="str">
        <f aca="false">IF($BX252&lt;&gt;Constants!$B$6,"",IF($BL252="-&gt;",$BV252,$BK252))</f>
        <v/>
      </c>
      <c r="CJ252" s="135" t="str">
        <f aca="false">IF(ISBLANK($C252),"",IF($BX252&lt;&gt;Constants!$B$6,$BX252,IF(ISNUMBER($CI252),RANK($CI252,$CI$9:$CI$508,1),COUNT($CI$9:$CI$508)+1)))</f>
        <v/>
      </c>
      <c r="CK252" s="138" t="str">
        <f aca="false">IF($BX252&lt;&gt;Constants!$B$6,"",$AI252)</f>
        <v/>
      </c>
      <c r="CL252" s="135" t="str">
        <f aca="false">IF(ISBLANK($C252),"",IF($BX252&lt;&gt;Constants!$B$6,$BX252,IF(ISNUMBER($CK252),RANK($CK252,$CK$9:$CK$508,1),COUNT($CK$9:$CK$508)+1)))</f>
        <v/>
      </c>
      <c r="CM252" s="135" t="str">
        <f aca="false">IF(ISBLANK($C252),"",IF($BX252&lt;&gt;Constants!$B$6,$BX252,COUNTIFS($CD$9:$CD$508,"&lt;"&amp;$CD252)+COUNTIFS($CD$9:$CD$508,$CD252,$CF$9:$CF$508,"&lt;"&amp;$CF252)+COUNTIFS($CD$9:$CD$508,$CD252,$CF$9:$CF$508,$CF252,$CH$9:$CH$508,"&lt;"&amp;$CH252)+COUNTIFS($CD$9:$CD$508,$CD252,$CF$9:$CF$508,$CF252,$CH$9:$CH$508,$CH252,$CJ$9:$CJ$508,"&lt;"&amp;$CJ252)+COUNTIFS($CD$9:$CD$508,$CD252,$CF$9:$CF$508,$CF252,$CH$9:$CH$508,$CH252,$CJ$9:$CJ$508,$CJ252,$CL$9:$CL$508,"&lt;"&amp;$CL252)+1))</f>
        <v/>
      </c>
      <c r="CN252" s="135" t="str">
        <f aca="false">IF(ISBLANK($C252),"",IF($BX252&lt;&gt;Constants!$B$6,$BX252,$CD252-$CM252))</f>
        <v/>
      </c>
      <c r="CO252" s="141"/>
      <c r="CP252" s="142"/>
      <c r="CQ252" s="143" t="str">
        <f aca="false">IF(ISBLANK($C252),"",IF($BX252=Constants!$B$10,$BW252,""))</f>
        <v/>
      </c>
      <c r="CR252" s="142" t="str">
        <f aca="false">IF(ISBLANK($C252),"",IF($BX252&lt;&gt;Constants!$B$6,"",IF($BL252="-&gt;",2,1)))</f>
        <v/>
      </c>
      <c r="CS252" s="144" t="str">
        <f aca="false">IF(ISBLANK($C252),"",IF($BX252&lt;&gt;Constants!$B$6,"",IF($BL252="-&gt;",$BN252,$BC252)))</f>
        <v/>
      </c>
      <c r="CT252" s="144" t="str">
        <f aca="false">IF(ISBLANK($C252),"",IF($BX252&lt;&gt;Constants!$B$6,"",IF($BL252="-&gt;",$BO252,$BD252)))</f>
        <v/>
      </c>
      <c r="CU252" s="144" t="str">
        <f aca="false">IF(ISBLANK($C252),"",IF($BX252&lt;&gt;Constants!$B$6,"",IF($BL252="-&gt;",$BP252+$BQ252,$BE252+$BF252)+$CB252))</f>
        <v/>
      </c>
      <c r="CV252" s="144" t="str">
        <f aca="false">IF(ISBLANK($C252),"",IF($BX252&lt;&gt;Constants!$B$6,"",IF($BL252="-&gt;",$BR252,$BG252)+$CA252))</f>
        <v/>
      </c>
      <c r="CW252" s="145" t="str">
        <f aca="false">IF(ISBLANK($C252),"",IF($BX252&lt;&gt;Constants!$B$6,$BX252,$CC252))</f>
        <v/>
      </c>
      <c r="CX252" s="146" t="str">
        <f aca="false">IF(ISBLANK($C252),"",$BY252)</f>
        <v/>
      </c>
      <c r="CY252" s="147" t="str">
        <f aca="false">IF(ISBLANK($C252),"",$CN252)</f>
        <v/>
      </c>
      <c r="CZ252" s="147" t="str">
        <f aca="false">IF(ISBLANK($C252),"",$CM252)</f>
        <v/>
      </c>
      <c r="DA252" s="148" t="str">
        <f aca="false">IF(ISBLANK($C252),"",IFERROR(_xlfn.SWITCH($CZ252,Constants!$B$9,COUNTA($C$9:$C$508)+2,Constants!$B$8,COUNTA($C$9:$C$508)+1,Constants!$B$7,COUNTA($C$9:$C$508)),$CZ252))</f>
        <v/>
      </c>
      <c r="DB252" s="9"/>
      <c r="DC252" s="149" t="n">
        <f aca="false">IF(OR(ISNUMBER($CZ252),$CZ252=Constants!$B$9,$CZ252=Constants!$B$7,$CZ252=Constants!$B$8),1,0)</f>
        <v>0</v>
      </c>
      <c r="DD252" s="149" t="n">
        <v>244</v>
      </c>
      <c r="DE252" s="149" t="str">
        <f aca="false">IF(ISBLANK($C252),"",IF(ISNUMBER($DA252),$DA252+ROW($B252)/1000,""))</f>
        <v/>
      </c>
      <c r="DF252" s="149" t="str">
        <f aca="false">IF(ISNUMBER($DE252),RANK($DE252,$DE$9:$DE$508,1),"")</f>
        <v/>
      </c>
      <c r="DG252" s="149" t="str">
        <f aca="false">IF(ISBLANK($C252),"",$B252)</f>
        <v/>
      </c>
      <c r="DH252" s="149" t="str">
        <f aca="false">IF(ISBLANK($C252),"",$C252)</f>
        <v/>
      </c>
      <c r="DI252" s="149" t="str">
        <f aca="false">IF(ISBLANK($C252),"",$D252)</f>
        <v/>
      </c>
      <c r="DJ252" s="150" t="str">
        <f aca="false">$CX252</f>
        <v/>
      </c>
      <c r="DK252" s="151" t="str">
        <f aca="false">$CW252</f>
        <v/>
      </c>
      <c r="DL252" s="149" t="str">
        <f aca="false">IF(ISBLANK($C252),"",$CZ252)</f>
        <v/>
      </c>
      <c r="DM252" s="152" t="str">
        <f aca="false">IF($DD252&gt;$DC$8,"",VLOOKUP($DD252,$DF$9:$DL$508,7,FALSE()))</f>
        <v/>
      </c>
      <c r="DN252" s="153" t="str">
        <f aca="false">IF($DD252&gt;$DC$8,"",VLOOKUP($DD252,$DF$9:$DL$508,2,FALSE()))</f>
        <v/>
      </c>
      <c r="DO252" s="153" t="str">
        <f aca="false">IF($DD252&gt;$DC$8,"",VLOOKUP($DD252,$DF$9:$DL$508,3,FALSE()))</f>
        <v/>
      </c>
      <c r="DP252" s="153" t="str">
        <f aca="false">IF($DD252&gt;$DC$8,"",VLOOKUP($DD252,$DF$9:$DL$508,4,FALSE()))</f>
        <v/>
      </c>
      <c r="DQ252" s="153" t="str">
        <f aca="false">IF($DD252&gt;$DC$8,"",VLOOKUP($DD252,$DF$9:$DL$508,5,FALSE()))</f>
        <v/>
      </c>
      <c r="DR252" s="154" t="str">
        <f aca="false">IF($DD252&gt;$DC$8,"",VLOOKUP($DD252,$DF$9:$DL$508,6,FALSE()))</f>
        <v/>
      </c>
      <c r="DS252" s="76"/>
    </row>
    <row r="253" customFormat="false" ht="15.75" hidden="false" customHeight="false" outlineLevel="0" collapsed="false">
      <c r="A253" s="9"/>
      <c r="B253" s="160"/>
      <c r="C253" s="161"/>
      <c r="D253" s="162"/>
      <c r="E253" s="180"/>
      <c r="F253" s="164"/>
      <c r="G253" s="165"/>
      <c r="H253" s="165"/>
      <c r="I253" s="181"/>
      <c r="J253" s="168"/>
      <c r="K253" s="128"/>
      <c r="L253" s="129"/>
      <c r="M253" s="130"/>
      <c r="N253" s="168"/>
      <c r="O253" s="168"/>
      <c r="P253" s="180"/>
      <c r="Q253" s="168"/>
      <c r="R253" s="168"/>
      <c r="S253" s="128"/>
      <c r="T253" s="130"/>
      <c r="U253" s="130"/>
      <c r="V253" s="168"/>
      <c r="W253" s="168"/>
      <c r="X253" s="180"/>
      <c r="Y253" s="168"/>
      <c r="Z253" s="169"/>
      <c r="AA253" s="168"/>
      <c r="AB253" s="134"/>
      <c r="AC253" s="135"/>
      <c r="AD253" s="135"/>
      <c r="AE253" s="135"/>
      <c r="AF253" s="135" t="str">
        <f aca="false">IF(ISBLANK($C253),"",IF(E253=Constants!$B$2,TRUE(),IF(E253=Constants!$B$3,FALSE(),TRUE())))</f>
        <v/>
      </c>
      <c r="AG253" s="135" t="str">
        <f aca="false">IF(ISBLANK($C253),"",IF(F253=Constants!$B$2,TRUE(),IF(F253=Constants!$B$3,FALSE(),TRUE())))</f>
        <v/>
      </c>
      <c r="AH253" s="135" t="str">
        <f aca="false">IF(ISBLANK($C253),"",IF(G253=Constants!$B$2,TRUE(),IF(G253=Constants!$B$3,FALSE(),TRUE())))</f>
        <v/>
      </c>
      <c r="AI253" s="135" t="str">
        <f aca="false">IF(ISBLANK($C253),"",IF(AND(ISNUMBER(H253),H253&gt;=0),H253,Constants!$B$24))</f>
        <v/>
      </c>
      <c r="AJ253" s="135" t="str">
        <f aca="false">IF(ISBLANK($C253),"",IF(I253=Constants!$B$2,TRUE(),IF(I253=Constants!$B$3,FALSE(),TRUE())))</f>
        <v/>
      </c>
      <c r="AK253" s="135" t="str">
        <f aca="false">IF(ISBLANK($C253),"",IF(J253=Constants!$B$2,TRUE(),IF(J253=Constants!$B$3,FALSE(),TRUE())))</f>
        <v/>
      </c>
      <c r="AL253" s="135" t="str">
        <f aca="false">IF(ISBLANK($C253),"",IF(K253=Constants!$B$4,TRUE(),IF(K253=Constants!$B$5,FALSE(),COUNTA(L253:P253)&gt;0)))</f>
        <v/>
      </c>
      <c r="AM253" s="136" t="str">
        <f aca="false">IF(ISBLANK($C253),"",IF(ISNUMBER(L253),IF(L253&gt;=0,L253,""),""))</f>
        <v/>
      </c>
      <c r="AN253" s="137" t="str">
        <f aca="false">IF(ISBLANK($C253),"",IF(ISNUMBER(M253),IF(M253&gt;=0,M253,""),""))</f>
        <v/>
      </c>
      <c r="AO253" s="137" t="str">
        <f aca="false">IF(ISBLANK($C253),"",IF(N253=Constants!$B$2,TRUE(),IF(N253=Constants!$B$3,FALSE(),TRUE())))</f>
        <v/>
      </c>
      <c r="AP253" s="135" t="str">
        <f aca="false">IF(ISBLANK($C253),"",IF(ISNUMBER(O253),IF(O253&gt;=0,O253,""),""))</f>
        <v/>
      </c>
      <c r="AQ253" s="135" t="str">
        <f aca="false">IF(ISBLANK($C253),"",IF(P253=Constants!$B$2,TRUE(),IF(P253=Constants!$B$3,FALSE(),FALSE())))</f>
        <v/>
      </c>
      <c r="AR253" s="135" t="str">
        <f aca="false">IF(ISBLANK($C253),"",IF(Q253=Constants!$B$2,TRUE(),IF(Q253=Constants!$B$3,FALSE(),TRUE())))</f>
        <v/>
      </c>
      <c r="AS253" s="135" t="str">
        <f aca="false">IF(ISBLANK($C253),"",IF(R253=Constants!$B$2,TRUE(),IF(R253=Constants!$B$3,FALSE(),TRUE())))</f>
        <v/>
      </c>
      <c r="AT253" s="135" t="str">
        <f aca="false">IF(ISBLANK($C253),"",IF(S253=Constants!$B$4,TRUE(),IF(S253=Constants!$B$5,FALSE(),COUNTA(T253:X253)&gt;0)))</f>
        <v/>
      </c>
      <c r="AU253" s="136" t="str">
        <f aca="false">IF(ISBLANK($C253),"",IF(ISNUMBER(T253),IF(T253&gt;=0,T253,""),""))</f>
        <v/>
      </c>
      <c r="AV253" s="137" t="str">
        <f aca="false">IF(ISBLANK($C253),"",IF(ISNUMBER(U253),IF(U253&gt;=0,U253,""),""))</f>
        <v/>
      </c>
      <c r="AW253" s="137" t="str">
        <f aca="false">IF(ISBLANK($C253),"",IF(V253=Constants!$B$2,TRUE(),IF(V253=Constants!$B$3,FALSE(),TRUE())))</f>
        <v/>
      </c>
      <c r="AX253" s="135" t="str">
        <f aca="false">IF(ISBLANK($C253),"",IF(ISNUMBER(W253),IF(W253&gt;=0,W253,""),""))</f>
        <v/>
      </c>
      <c r="AY253" s="135" t="str">
        <f aca="false">IF(ISBLANK($C253),"",IF(X253=Constants!$B$2,TRUE(),IF(X253=Constants!$B$3,FALSE(),FALSE())))</f>
        <v/>
      </c>
      <c r="AZ253" s="135" t="str">
        <f aca="false">IF(ISBLANK($C253),"",MIN(Constants!$B$25,MAX(0,IF(ISNUMBER(Y253),Y253*60,0)+IF(ISNUMBER(Z253),Z253,0))))</f>
        <v/>
      </c>
      <c r="BA253" s="135" t="str">
        <f aca="false">IF(ISBLANK($C253),"",IF(AA253=Constants!$B$2,TRUE(),IF(AA253=Constants!$B$3,FALSE(),FALSE())))</f>
        <v/>
      </c>
      <c r="BB253" s="134" t="str">
        <f aca="false">IF(ISBLANK($C253),"",AND($AL253,OR($AM253="",$AN253="",AND($AO253,$AP253=""))))</f>
        <v/>
      </c>
      <c r="BC253" s="137" t="str">
        <f aca="false">IF($BX253&lt;&gt;Constants!$B$6,"",IF($AL253,Constants!$B$17*$AN253+Constants!$B$18*IF($AO253,$AP253,Constants!$B$19),Constants!$B$20))</f>
        <v/>
      </c>
      <c r="BD253" s="138" t="str">
        <f aca="false">IF($BX253&lt;&gt;Constants!$B$6,"",Constants!$B$21*ABS($AD$9-IF($AL253,$AM253,0)))</f>
        <v/>
      </c>
      <c r="BE253" s="138" t="str">
        <f aca="false">IF($BX253&lt;&gt;Constants!$B$6,"",IF(AND($AL253,$AQ253,$AO253),Constants!$B$22,0))</f>
        <v/>
      </c>
      <c r="BF253" s="138" t="str">
        <f aca="false">IF($BX253&lt;&gt;Constants!$B$6,"",IF($AL253,($AI253-Constants!$B$24)*Constants!$B$23,0))</f>
        <v/>
      </c>
      <c r="BG253" s="138" t="str">
        <f aca="false">IF($BX253&lt;&gt;Constants!$B$6,"",IF($AK253,0,Constants!$B$12)+IF($AJ253,0,Constants!$B$13)+IF($AH253,0,Constants!$B$14))</f>
        <v/>
      </c>
      <c r="BH253" s="139" t="str">
        <f aca="false">IF($BX253&lt;&gt;Constants!$B$6,"",Constants!$B$16+SUM($BC253:$BG253))</f>
        <v/>
      </c>
      <c r="BI253" s="138" t="str">
        <f aca="false">IF($BX253&lt;&gt;Constants!$B$6,"",$BC253)</f>
        <v/>
      </c>
      <c r="BJ253" s="138" t="str">
        <f aca="false">IF($BX253&lt;&gt;Constants!$B$6,"",$BD253)</f>
        <v/>
      </c>
      <c r="BK253" s="140" t="str">
        <f aca="false">IF($BX253&lt;&gt;Constants!$B$6,"",IF($AL253,$AN253,""))</f>
        <v/>
      </c>
      <c r="BL253" s="135" t="str">
        <f aca="false">IF($BX253&lt;&gt;Constants!$B$6,"",IF(OR($BS253&lt;$BH253,AND($BS253=$BH253,OR($BT253&lt;$BI253,AND($BT253=$BI253,OR($BU253&lt;$BJ253,AND($BU253=$BJ253,AND(ISNUMBER($BV253),OR(NOT(ISNUMBER($BK253)),$BV253&lt;$BK253)))))))),"-&gt;","&lt;-"))</f>
        <v/>
      </c>
      <c r="BM253" s="134" t="str">
        <f aca="false">IF(ISBLANK($C253),"",AND($AT253,OR($AU253="",$AV253="",AND($AW253,$AX253=""))))</f>
        <v/>
      </c>
      <c r="BN253" s="137" t="str">
        <f aca="false">IF($BX253&lt;&gt;Constants!$B$6,"",IF($AT253,Constants!$B$17*$AV253+Constants!$B$18*IF($AW253,$AX253,Constants!$B$19),Constants!$B$20))</f>
        <v/>
      </c>
      <c r="BO253" s="138" t="str">
        <f aca="false">IF($BX253&lt;&gt;Constants!$B$6,"",Constants!$B$21*ABS($AD$9-IF($AT253,$AU253,0)))</f>
        <v/>
      </c>
      <c r="BP253" s="138" t="str">
        <f aca="false">IF($BX253&lt;&gt;Constants!$B$6,"",IF(AND($AT253,$AY253,$AW253),Constants!$B$22,0))</f>
        <v/>
      </c>
      <c r="BQ253" s="138" t="str">
        <f aca="false">IF($BX253&lt;&gt;Constants!$B$6,"",IF($AT253,($AI253-Constants!$B$24)*Constants!$B$23,0))</f>
        <v/>
      </c>
      <c r="BR253" s="138" t="str">
        <f aca="false">IF($BX253&lt;&gt;Constants!$B$6,"",IF($AS253,0,Constants!$B$12)+IF($AR253,0,Constants!$B$13)+IF($AH253,0,Constants!$B$14))</f>
        <v/>
      </c>
      <c r="BS253" s="139" t="str">
        <f aca="false">IF($BX253&lt;&gt;Constants!$B$6,"",Constants!$B$16+SUM($BN253:$BR253))</f>
        <v/>
      </c>
      <c r="BT253" s="138" t="str">
        <f aca="false">IF($BX253&lt;&gt;Constants!$B$6,"",$BN253)</f>
        <v/>
      </c>
      <c r="BU253" s="138" t="str">
        <f aca="false">IF($BX253&lt;&gt;Constants!$B$6,"",$BO253)</f>
        <v/>
      </c>
      <c r="BV253" s="140" t="str">
        <f aca="false">IF($BX253&lt;&gt;Constants!$B$6,"",IF($AT253,$AV253,""))</f>
        <v/>
      </c>
      <c r="BW253" s="135" t="str">
        <f aca="false">IF(ISBLANK($C253),"",IF(ISBLANK($D$7),$BW$5,IF(NOT(ISNUMBER($D$7)),$BW$6,"")))</f>
        <v/>
      </c>
      <c r="BX253" s="135" t="str">
        <f aca="false">IF(ISBLANK($C253),"",IF($BA253,Constants!$B$9,IF(COUNTA($E253:$AA253)=0,Constants!$B$8,IF(NOT($AG253),Constants!$B$7,IF(OR($BW253&lt;&gt;"",$BB253,$BM253),Constants!$B$10,Constants!$B$6)))))</f>
        <v/>
      </c>
      <c r="BY253" s="135" t="str">
        <f aca="false">IF(ISBLANK($C253),"",IF($BX253&lt;&gt;Constants!$B$6,$BX253,Constants!$B$11))</f>
        <v/>
      </c>
      <c r="BZ253" s="138" t="str">
        <f aca="false">IF($BX253&lt;&gt;Constants!$B$6,"",IF($BL253="-&gt;",$BS253,$BH253))</f>
        <v/>
      </c>
      <c r="CA253" s="138" t="str">
        <f aca="false">IF($BX253&lt;&gt;Constants!$B$6,"",IF($AF253,0,Constants!$B$15))</f>
        <v/>
      </c>
      <c r="CB253" s="138" t="str">
        <f aca="false">IF($BX253&lt;&gt;Constants!$B$6,"",((Constants!$B$25-$AZ253)-Constants!$B$25)/Constants!$B$26)</f>
        <v/>
      </c>
      <c r="CC253" s="138" t="str">
        <f aca="false">IF(ISBLANK($C253),"",IF($BX253&lt;&gt;Constants!$B$6,$BX253,SUM($BZ253:$CB253)))</f>
        <v/>
      </c>
      <c r="CD253" s="135" t="str">
        <f aca="false">IF(ISBLANK($C253),"",IF($BX253&lt;&gt;Constants!$B$6,$BX253,RANK($CC253,$CC$9:$CC$508,1)))</f>
        <v/>
      </c>
      <c r="CE253" s="138" t="str">
        <f aca="false">IF($BX253&lt;&gt;Constants!$B$6,"",IF($BL253="-&gt;",$BT253,$BI253))</f>
        <v/>
      </c>
      <c r="CF253" s="135" t="str">
        <f aca="false">IF(ISBLANK($C253),"",IF($BX253&lt;&gt;Constants!$B$6,$BX253,IF(ISNUMBER($CE253),RANK($CE253,$CE$9:$CE$508,1),COUNT($CE$9:$CE$508)+1)))</f>
        <v/>
      </c>
      <c r="CG253" s="138" t="str">
        <f aca="false">IF($BX253&lt;&gt;Constants!$B$6,"",IF($BL253="-&gt;",$BU253,$BJ253))</f>
        <v/>
      </c>
      <c r="CH253" s="135" t="str">
        <f aca="false">IF(ISBLANK($C253),"",IF($BX253&lt;&gt;Constants!$B$6,$BX253,IF(ISNUMBER($CG253),RANK($CG253,$CG$9:$CG$508,1),COUNT($CG$9:$CG$508)+1)))</f>
        <v/>
      </c>
      <c r="CI253" s="138" t="str">
        <f aca="false">IF($BX253&lt;&gt;Constants!$B$6,"",IF($BL253="-&gt;",$BV253,$BK253))</f>
        <v/>
      </c>
      <c r="CJ253" s="135" t="str">
        <f aca="false">IF(ISBLANK($C253),"",IF($BX253&lt;&gt;Constants!$B$6,$BX253,IF(ISNUMBER($CI253),RANK($CI253,$CI$9:$CI$508,1),COUNT($CI$9:$CI$508)+1)))</f>
        <v/>
      </c>
      <c r="CK253" s="138" t="str">
        <f aca="false">IF($BX253&lt;&gt;Constants!$B$6,"",$AI253)</f>
        <v/>
      </c>
      <c r="CL253" s="135" t="str">
        <f aca="false">IF(ISBLANK($C253),"",IF($BX253&lt;&gt;Constants!$B$6,$BX253,IF(ISNUMBER($CK253),RANK($CK253,$CK$9:$CK$508,1),COUNT($CK$9:$CK$508)+1)))</f>
        <v/>
      </c>
      <c r="CM253" s="135" t="str">
        <f aca="false">IF(ISBLANK($C253),"",IF($BX253&lt;&gt;Constants!$B$6,$BX253,COUNTIFS($CD$9:$CD$508,"&lt;"&amp;$CD253)+COUNTIFS($CD$9:$CD$508,$CD253,$CF$9:$CF$508,"&lt;"&amp;$CF253)+COUNTIFS($CD$9:$CD$508,$CD253,$CF$9:$CF$508,$CF253,$CH$9:$CH$508,"&lt;"&amp;$CH253)+COUNTIFS($CD$9:$CD$508,$CD253,$CF$9:$CF$508,$CF253,$CH$9:$CH$508,$CH253,$CJ$9:$CJ$508,"&lt;"&amp;$CJ253)+COUNTIFS($CD$9:$CD$508,$CD253,$CF$9:$CF$508,$CF253,$CH$9:$CH$508,$CH253,$CJ$9:$CJ$508,$CJ253,$CL$9:$CL$508,"&lt;"&amp;$CL253)+1))</f>
        <v/>
      </c>
      <c r="CN253" s="135" t="str">
        <f aca="false">IF(ISBLANK($C253),"",IF($BX253&lt;&gt;Constants!$B$6,$BX253,$CD253-$CM253))</f>
        <v/>
      </c>
      <c r="CO253" s="141"/>
      <c r="CP253" s="142"/>
      <c r="CQ253" s="143" t="str">
        <f aca="false">IF(ISBLANK($C253),"",IF($BX253=Constants!$B$10,$BW253,""))</f>
        <v/>
      </c>
      <c r="CR253" s="142" t="str">
        <f aca="false">IF(ISBLANK($C253),"",IF($BX253&lt;&gt;Constants!$B$6,"",IF($BL253="-&gt;",2,1)))</f>
        <v/>
      </c>
      <c r="CS253" s="144" t="str">
        <f aca="false">IF(ISBLANK($C253),"",IF($BX253&lt;&gt;Constants!$B$6,"",IF($BL253="-&gt;",$BN253,$BC253)))</f>
        <v/>
      </c>
      <c r="CT253" s="144" t="str">
        <f aca="false">IF(ISBLANK($C253),"",IF($BX253&lt;&gt;Constants!$B$6,"",IF($BL253="-&gt;",$BO253,$BD253)))</f>
        <v/>
      </c>
      <c r="CU253" s="144" t="str">
        <f aca="false">IF(ISBLANK($C253),"",IF($BX253&lt;&gt;Constants!$B$6,"",IF($BL253="-&gt;",$BP253+$BQ253,$BE253+$BF253)+$CB253))</f>
        <v/>
      </c>
      <c r="CV253" s="144" t="str">
        <f aca="false">IF(ISBLANK($C253),"",IF($BX253&lt;&gt;Constants!$B$6,"",IF($BL253="-&gt;",$BR253,$BG253)+$CA253))</f>
        <v/>
      </c>
      <c r="CW253" s="145" t="str">
        <f aca="false">IF(ISBLANK($C253),"",IF($BX253&lt;&gt;Constants!$B$6,$BX253,$CC253))</f>
        <v/>
      </c>
      <c r="CX253" s="146" t="str">
        <f aca="false">IF(ISBLANK($C253),"",$BY253)</f>
        <v/>
      </c>
      <c r="CY253" s="147" t="str">
        <f aca="false">IF(ISBLANK($C253),"",$CN253)</f>
        <v/>
      </c>
      <c r="CZ253" s="147" t="str">
        <f aca="false">IF(ISBLANK($C253),"",$CM253)</f>
        <v/>
      </c>
      <c r="DA253" s="148" t="str">
        <f aca="false">IF(ISBLANK($C253),"",IFERROR(_xlfn.SWITCH($CZ253,Constants!$B$9,COUNTA($C$9:$C$508)+2,Constants!$B$8,COUNTA($C$9:$C$508)+1,Constants!$B$7,COUNTA($C$9:$C$508)),$CZ253))</f>
        <v/>
      </c>
      <c r="DB253" s="9"/>
      <c r="DC253" s="149" t="n">
        <f aca="false">IF(OR(ISNUMBER($CZ253),$CZ253=Constants!$B$9,$CZ253=Constants!$B$7,$CZ253=Constants!$B$8),1,0)</f>
        <v>0</v>
      </c>
      <c r="DD253" s="149" t="n">
        <v>245</v>
      </c>
      <c r="DE253" s="149" t="str">
        <f aca="false">IF(ISBLANK($C253),"",IF(ISNUMBER($DA253),$DA253+ROW($B253)/1000,""))</f>
        <v/>
      </c>
      <c r="DF253" s="149" t="str">
        <f aca="false">IF(ISNUMBER($DE253),RANK($DE253,$DE$9:$DE$508,1),"")</f>
        <v/>
      </c>
      <c r="DG253" s="149" t="str">
        <f aca="false">IF(ISBLANK($C253),"",$B253)</f>
        <v/>
      </c>
      <c r="DH253" s="149" t="str">
        <f aca="false">IF(ISBLANK($C253),"",$C253)</f>
        <v/>
      </c>
      <c r="DI253" s="149" t="str">
        <f aca="false">IF(ISBLANK($C253),"",$D253)</f>
        <v/>
      </c>
      <c r="DJ253" s="150" t="str">
        <f aca="false">$CX253</f>
        <v/>
      </c>
      <c r="DK253" s="151" t="str">
        <f aca="false">$CW253</f>
        <v/>
      </c>
      <c r="DL253" s="149" t="str">
        <f aca="false">IF(ISBLANK($C253),"",$CZ253)</f>
        <v/>
      </c>
      <c r="DM253" s="152" t="str">
        <f aca="false">IF($DD253&gt;$DC$8,"",VLOOKUP($DD253,$DF$9:$DL$508,7,FALSE()))</f>
        <v/>
      </c>
      <c r="DN253" s="153" t="str">
        <f aca="false">IF($DD253&gt;$DC$8,"",VLOOKUP($DD253,$DF$9:$DL$508,2,FALSE()))</f>
        <v/>
      </c>
      <c r="DO253" s="153" t="str">
        <f aca="false">IF($DD253&gt;$DC$8,"",VLOOKUP($DD253,$DF$9:$DL$508,3,FALSE()))</f>
        <v/>
      </c>
      <c r="DP253" s="153" t="str">
        <f aca="false">IF($DD253&gt;$DC$8,"",VLOOKUP($DD253,$DF$9:$DL$508,4,FALSE()))</f>
        <v/>
      </c>
      <c r="DQ253" s="153" t="str">
        <f aca="false">IF($DD253&gt;$DC$8,"",VLOOKUP($DD253,$DF$9:$DL$508,5,FALSE()))</f>
        <v/>
      </c>
      <c r="DR253" s="154" t="str">
        <f aca="false">IF($DD253&gt;$DC$8,"",VLOOKUP($DD253,$DF$9:$DL$508,6,FALSE()))</f>
        <v/>
      </c>
      <c r="DS253" s="76"/>
    </row>
    <row r="254" customFormat="false" ht="15.75" hidden="false" customHeight="false" outlineLevel="0" collapsed="false">
      <c r="A254" s="9"/>
      <c r="B254" s="160"/>
      <c r="C254" s="161"/>
      <c r="D254" s="162"/>
      <c r="E254" s="180"/>
      <c r="F254" s="164"/>
      <c r="G254" s="165"/>
      <c r="H254" s="165"/>
      <c r="I254" s="181"/>
      <c r="J254" s="168"/>
      <c r="K254" s="128"/>
      <c r="L254" s="129"/>
      <c r="M254" s="130"/>
      <c r="N254" s="168"/>
      <c r="O254" s="168"/>
      <c r="P254" s="180"/>
      <c r="Q254" s="168"/>
      <c r="R254" s="168"/>
      <c r="S254" s="128"/>
      <c r="T254" s="130"/>
      <c r="U254" s="130"/>
      <c r="V254" s="168"/>
      <c r="W254" s="168"/>
      <c r="X254" s="180"/>
      <c r="Y254" s="168"/>
      <c r="Z254" s="169"/>
      <c r="AA254" s="168"/>
      <c r="AB254" s="134"/>
      <c r="AC254" s="135"/>
      <c r="AD254" s="135"/>
      <c r="AE254" s="135"/>
      <c r="AF254" s="135" t="str">
        <f aca="false">IF(ISBLANK($C254),"",IF(E254=Constants!$B$2,TRUE(),IF(E254=Constants!$B$3,FALSE(),TRUE())))</f>
        <v/>
      </c>
      <c r="AG254" s="135" t="str">
        <f aca="false">IF(ISBLANK($C254),"",IF(F254=Constants!$B$2,TRUE(),IF(F254=Constants!$B$3,FALSE(),TRUE())))</f>
        <v/>
      </c>
      <c r="AH254" s="135" t="str">
        <f aca="false">IF(ISBLANK($C254),"",IF(G254=Constants!$B$2,TRUE(),IF(G254=Constants!$B$3,FALSE(),TRUE())))</f>
        <v/>
      </c>
      <c r="AI254" s="135" t="str">
        <f aca="false">IF(ISBLANK($C254),"",IF(AND(ISNUMBER(H254),H254&gt;=0),H254,Constants!$B$24))</f>
        <v/>
      </c>
      <c r="AJ254" s="135" t="str">
        <f aca="false">IF(ISBLANK($C254),"",IF(I254=Constants!$B$2,TRUE(),IF(I254=Constants!$B$3,FALSE(),TRUE())))</f>
        <v/>
      </c>
      <c r="AK254" s="135" t="str">
        <f aca="false">IF(ISBLANK($C254),"",IF(J254=Constants!$B$2,TRUE(),IF(J254=Constants!$B$3,FALSE(),TRUE())))</f>
        <v/>
      </c>
      <c r="AL254" s="135" t="str">
        <f aca="false">IF(ISBLANK($C254),"",IF(K254=Constants!$B$4,TRUE(),IF(K254=Constants!$B$5,FALSE(),COUNTA(L254:P254)&gt;0)))</f>
        <v/>
      </c>
      <c r="AM254" s="136" t="str">
        <f aca="false">IF(ISBLANK($C254),"",IF(ISNUMBER(L254),IF(L254&gt;=0,L254,""),""))</f>
        <v/>
      </c>
      <c r="AN254" s="137" t="str">
        <f aca="false">IF(ISBLANK($C254),"",IF(ISNUMBER(M254),IF(M254&gt;=0,M254,""),""))</f>
        <v/>
      </c>
      <c r="AO254" s="137" t="str">
        <f aca="false">IF(ISBLANK($C254),"",IF(N254=Constants!$B$2,TRUE(),IF(N254=Constants!$B$3,FALSE(),TRUE())))</f>
        <v/>
      </c>
      <c r="AP254" s="135" t="str">
        <f aca="false">IF(ISBLANK($C254),"",IF(ISNUMBER(O254),IF(O254&gt;=0,O254,""),""))</f>
        <v/>
      </c>
      <c r="AQ254" s="135" t="str">
        <f aca="false">IF(ISBLANK($C254),"",IF(P254=Constants!$B$2,TRUE(),IF(P254=Constants!$B$3,FALSE(),FALSE())))</f>
        <v/>
      </c>
      <c r="AR254" s="135" t="str">
        <f aca="false">IF(ISBLANK($C254),"",IF(Q254=Constants!$B$2,TRUE(),IF(Q254=Constants!$B$3,FALSE(),TRUE())))</f>
        <v/>
      </c>
      <c r="AS254" s="135" t="str">
        <f aca="false">IF(ISBLANK($C254),"",IF(R254=Constants!$B$2,TRUE(),IF(R254=Constants!$B$3,FALSE(),TRUE())))</f>
        <v/>
      </c>
      <c r="AT254" s="135" t="str">
        <f aca="false">IF(ISBLANK($C254),"",IF(S254=Constants!$B$4,TRUE(),IF(S254=Constants!$B$5,FALSE(),COUNTA(T254:X254)&gt;0)))</f>
        <v/>
      </c>
      <c r="AU254" s="136" t="str">
        <f aca="false">IF(ISBLANK($C254),"",IF(ISNUMBER(T254),IF(T254&gt;=0,T254,""),""))</f>
        <v/>
      </c>
      <c r="AV254" s="137" t="str">
        <f aca="false">IF(ISBLANK($C254),"",IF(ISNUMBER(U254),IF(U254&gt;=0,U254,""),""))</f>
        <v/>
      </c>
      <c r="AW254" s="137" t="str">
        <f aca="false">IF(ISBLANK($C254),"",IF(V254=Constants!$B$2,TRUE(),IF(V254=Constants!$B$3,FALSE(),TRUE())))</f>
        <v/>
      </c>
      <c r="AX254" s="135" t="str">
        <f aca="false">IF(ISBLANK($C254),"",IF(ISNUMBER(W254),IF(W254&gt;=0,W254,""),""))</f>
        <v/>
      </c>
      <c r="AY254" s="135" t="str">
        <f aca="false">IF(ISBLANK($C254),"",IF(X254=Constants!$B$2,TRUE(),IF(X254=Constants!$B$3,FALSE(),FALSE())))</f>
        <v/>
      </c>
      <c r="AZ254" s="135" t="str">
        <f aca="false">IF(ISBLANK($C254),"",MIN(Constants!$B$25,MAX(0,IF(ISNUMBER(Y254),Y254*60,0)+IF(ISNUMBER(Z254),Z254,0))))</f>
        <v/>
      </c>
      <c r="BA254" s="135" t="str">
        <f aca="false">IF(ISBLANK($C254),"",IF(AA254=Constants!$B$2,TRUE(),IF(AA254=Constants!$B$3,FALSE(),FALSE())))</f>
        <v/>
      </c>
      <c r="BB254" s="134" t="str">
        <f aca="false">IF(ISBLANK($C254),"",AND($AL254,OR($AM254="",$AN254="",AND($AO254,$AP254=""))))</f>
        <v/>
      </c>
      <c r="BC254" s="137" t="str">
        <f aca="false">IF($BX254&lt;&gt;Constants!$B$6,"",IF($AL254,Constants!$B$17*$AN254+Constants!$B$18*IF($AO254,$AP254,Constants!$B$19),Constants!$B$20))</f>
        <v/>
      </c>
      <c r="BD254" s="138" t="str">
        <f aca="false">IF($BX254&lt;&gt;Constants!$B$6,"",Constants!$B$21*ABS($AD$9-IF($AL254,$AM254,0)))</f>
        <v/>
      </c>
      <c r="BE254" s="138" t="str">
        <f aca="false">IF($BX254&lt;&gt;Constants!$B$6,"",IF(AND($AL254,$AQ254,$AO254),Constants!$B$22,0))</f>
        <v/>
      </c>
      <c r="BF254" s="138" t="str">
        <f aca="false">IF($BX254&lt;&gt;Constants!$B$6,"",IF($AL254,($AI254-Constants!$B$24)*Constants!$B$23,0))</f>
        <v/>
      </c>
      <c r="BG254" s="138" t="str">
        <f aca="false">IF($BX254&lt;&gt;Constants!$B$6,"",IF($AK254,0,Constants!$B$12)+IF($AJ254,0,Constants!$B$13)+IF($AH254,0,Constants!$B$14))</f>
        <v/>
      </c>
      <c r="BH254" s="139" t="str">
        <f aca="false">IF($BX254&lt;&gt;Constants!$B$6,"",Constants!$B$16+SUM($BC254:$BG254))</f>
        <v/>
      </c>
      <c r="BI254" s="138" t="str">
        <f aca="false">IF($BX254&lt;&gt;Constants!$B$6,"",$BC254)</f>
        <v/>
      </c>
      <c r="BJ254" s="138" t="str">
        <f aca="false">IF($BX254&lt;&gt;Constants!$B$6,"",$BD254)</f>
        <v/>
      </c>
      <c r="BK254" s="140" t="str">
        <f aca="false">IF($BX254&lt;&gt;Constants!$B$6,"",IF($AL254,$AN254,""))</f>
        <v/>
      </c>
      <c r="BL254" s="135" t="str">
        <f aca="false">IF($BX254&lt;&gt;Constants!$B$6,"",IF(OR($BS254&lt;$BH254,AND($BS254=$BH254,OR($BT254&lt;$BI254,AND($BT254=$BI254,OR($BU254&lt;$BJ254,AND($BU254=$BJ254,AND(ISNUMBER($BV254),OR(NOT(ISNUMBER($BK254)),$BV254&lt;$BK254)))))))),"-&gt;","&lt;-"))</f>
        <v/>
      </c>
      <c r="BM254" s="134" t="str">
        <f aca="false">IF(ISBLANK($C254),"",AND($AT254,OR($AU254="",$AV254="",AND($AW254,$AX254=""))))</f>
        <v/>
      </c>
      <c r="BN254" s="137" t="str">
        <f aca="false">IF($BX254&lt;&gt;Constants!$B$6,"",IF($AT254,Constants!$B$17*$AV254+Constants!$B$18*IF($AW254,$AX254,Constants!$B$19),Constants!$B$20))</f>
        <v/>
      </c>
      <c r="BO254" s="138" t="str">
        <f aca="false">IF($BX254&lt;&gt;Constants!$B$6,"",Constants!$B$21*ABS($AD$9-IF($AT254,$AU254,0)))</f>
        <v/>
      </c>
      <c r="BP254" s="138" t="str">
        <f aca="false">IF($BX254&lt;&gt;Constants!$B$6,"",IF(AND($AT254,$AY254,$AW254),Constants!$B$22,0))</f>
        <v/>
      </c>
      <c r="BQ254" s="138" t="str">
        <f aca="false">IF($BX254&lt;&gt;Constants!$B$6,"",IF($AT254,($AI254-Constants!$B$24)*Constants!$B$23,0))</f>
        <v/>
      </c>
      <c r="BR254" s="138" t="str">
        <f aca="false">IF($BX254&lt;&gt;Constants!$B$6,"",IF($AS254,0,Constants!$B$12)+IF($AR254,0,Constants!$B$13)+IF($AH254,0,Constants!$B$14))</f>
        <v/>
      </c>
      <c r="BS254" s="139" t="str">
        <f aca="false">IF($BX254&lt;&gt;Constants!$B$6,"",Constants!$B$16+SUM($BN254:$BR254))</f>
        <v/>
      </c>
      <c r="BT254" s="138" t="str">
        <f aca="false">IF($BX254&lt;&gt;Constants!$B$6,"",$BN254)</f>
        <v/>
      </c>
      <c r="BU254" s="138" t="str">
        <f aca="false">IF($BX254&lt;&gt;Constants!$B$6,"",$BO254)</f>
        <v/>
      </c>
      <c r="BV254" s="140" t="str">
        <f aca="false">IF($BX254&lt;&gt;Constants!$B$6,"",IF($AT254,$AV254,""))</f>
        <v/>
      </c>
      <c r="BW254" s="135" t="str">
        <f aca="false">IF(ISBLANK($C254),"",IF(ISBLANK($D$7),$BW$5,IF(NOT(ISNUMBER($D$7)),$BW$6,"")))</f>
        <v/>
      </c>
      <c r="BX254" s="135" t="str">
        <f aca="false">IF(ISBLANK($C254),"",IF($BA254,Constants!$B$9,IF(COUNTA($E254:$AA254)=0,Constants!$B$8,IF(NOT($AG254),Constants!$B$7,IF(OR($BW254&lt;&gt;"",$BB254,$BM254),Constants!$B$10,Constants!$B$6)))))</f>
        <v/>
      </c>
      <c r="BY254" s="135" t="str">
        <f aca="false">IF(ISBLANK($C254),"",IF($BX254&lt;&gt;Constants!$B$6,$BX254,Constants!$B$11))</f>
        <v/>
      </c>
      <c r="BZ254" s="138" t="str">
        <f aca="false">IF($BX254&lt;&gt;Constants!$B$6,"",IF($BL254="-&gt;",$BS254,$BH254))</f>
        <v/>
      </c>
      <c r="CA254" s="138" t="str">
        <f aca="false">IF($BX254&lt;&gt;Constants!$B$6,"",IF($AF254,0,Constants!$B$15))</f>
        <v/>
      </c>
      <c r="CB254" s="138" t="str">
        <f aca="false">IF($BX254&lt;&gt;Constants!$B$6,"",((Constants!$B$25-$AZ254)-Constants!$B$25)/Constants!$B$26)</f>
        <v/>
      </c>
      <c r="CC254" s="138" t="str">
        <f aca="false">IF(ISBLANK($C254),"",IF($BX254&lt;&gt;Constants!$B$6,$BX254,SUM($BZ254:$CB254)))</f>
        <v/>
      </c>
      <c r="CD254" s="135" t="str">
        <f aca="false">IF(ISBLANK($C254),"",IF($BX254&lt;&gt;Constants!$B$6,$BX254,RANK($CC254,$CC$9:$CC$508,1)))</f>
        <v/>
      </c>
      <c r="CE254" s="138" t="str">
        <f aca="false">IF($BX254&lt;&gt;Constants!$B$6,"",IF($BL254="-&gt;",$BT254,$BI254))</f>
        <v/>
      </c>
      <c r="CF254" s="135" t="str">
        <f aca="false">IF(ISBLANK($C254),"",IF($BX254&lt;&gt;Constants!$B$6,$BX254,IF(ISNUMBER($CE254),RANK($CE254,$CE$9:$CE$508,1),COUNT($CE$9:$CE$508)+1)))</f>
        <v/>
      </c>
      <c r="CG254" s="138" t="str">
        <f aca="false">IF($BX254&lt;&gt;Constants!$B$6,"",IF($BL254="-&gt;",$BU254,$BJ254))</f>
        <v/>
      </c>
      <c r="CH254" s="135" t="str">
        <f aca="false">IF(ISBLANK($C254),"",IF($BX254&lt;&gt;Constants!$B$6,$BX254,IF(ISNUMBER($CG254),RANK($CG254,$CG$9:$CG$508,1),COUNT($CG$9:$CG$508)+1)))</f>
        <v/>
      </c>
      <c r="CI254" s="138" t="str">
        <f aca="false">IF($BX254&lt;&gt;Constants!$B$6,"",IF($BL254="-&gt;",$BV254,$BK254))</f>
        <v/>
      </c>
      <c r="CJ254" s="135" t="str">
        <f aca="false">IF(ISBLANK($C254),"",IF($BX254&lt;&gt;Constants!$B$6,$BX254,IF(ISNUMBER($CI254),RANK($CI254,$CI$9:$CI$508,1),COUNT($CI$9:$CI$508)+1)))</f>
        <v/>
      </c>
      <c r="CK254" s="138" t="str">
        <f aca="false">IF($BX254&lt;&gt;Constants!$B$6,"",$AI254)</f>
        <v/>
      </c>
      <c r="CL254" s="135" t="str">
        <f aca="false">IF(ISBLANK($C254),"",IF($BX254&lt;&gt;Constants!$B$6,$BX254,IF(ISNUMBER($CK254),RANK($CK254,$CK$9:$CK$508,1),COUNT($CK$9:$CK$508)+1)))</f>
        <v/>
      </c>
      <c r="CM254" s="135" t="str">
        <f aca="false">IF(ISBLANK($C254),"",IF($BX254&lt;&gt;Constants!$B$6,$BX254,COUNTIFS($CD$9:$CD$508,"&lt;"&amp;$CD254)+COUNTIFS($CD$9:$CD$508,$CD254,$CF$9:$CF$508,"&lt;"&amp;$CF254)+COUNTIFS($CD$9:$CD$508,$CD254,$CF$9:$CF$508,$CF254,$CH$9:$CH$508,"&lt;"&amp;$CH254)+COUNTIFS($CD$9:$CD$508,$CD254,$CF$9:$CF$508,$CF254,$CH$9:$CH$508,$CH254,$CJ$9:$CJ$508,"&lt;"&amp;$CJ254)+COUNTIFS($CD$9:$CD$508,$CD254,$CF$9:$CF$508,$CF254,$CH$9:$CH$508,$CH254,$CJ$9:$CJ$508,$CJ254,$CL$9:$CL$508,"&lt;"&amp;$CL254)+1))</f>
        <v/>
      </c>
      <c r="CN254" s="135" t="str">
        <f aca="false">IF(ISBLANK($C254),"",IF($BX254&lt;&gt;Constants!$B$6,$BX254,$CD254-$CM254))</f>
        <v/>
      </c>
      <c r="CO254" s="141"/>
      <c r="CP254" s="142"/>
      <c r="CQ254" s="143" t="str">
        <f aca="false">IF(ISBLANK($C254),"",IF($BX254=Constants!$B$10,$BW254,""))</f>
        <v/>
      </c>
      <c r="CR254" s="142" t="str">
        <f aca="false">IF(ISBLANK($C254),"",IF($BX254&lt;&gt;Constants!$B$6,"",IF($BL254="-&gt;",2,1)))</f>
        <v/>
      </c>
      <c r="CS254" s="144" t="str">
        <f aca="false">IF(ISBLANK($C254),"",IF($BX254&lt;&gt;Constants!$B$6,"",IF($BL254="-&gt;",$BN254,$BC254)))</f>
        <v/>
      </c>
      <c r="CT254" s="144" t="str">
        <f aca="false">IF(ISBLANK($C254),"",IF($BX254&lt;&gt;Constants!$B$6,"",IF($BL254="-&gt;",$BO254,$BD254)))</f>
        <v/>
      </c>
      <c r="CU254" s="144" t="str">
        <f aca="false">IF(ISBLANK($C254),"",IF($BX254&lt;&gt;Constants!$B$6,"",IF($BL254="-&gt;",$BP254+$BQ254,$BE254+$BF254)+$CB254))</f>
        <v/>
      </c>
      <c r="CV254" s="144" t="str">
        <f aca="false">IF(ISBLANK($C254),"",IF($BX254&lt;&gt;Constants!$B$6,"",IF($BL254="-&gt;",$BR254,$BG254)+$CA254))</f>
        <v/>
      </c>
      <c r="CW254" s="145" t="str">
        <f aca="false">IF(ISBLANK($C254),"",IF($BX254&lt;&gt;Constants!$B$6,$BX254,$CC254))</f>
        <v/>
      </c>
      <c r="CX254" s="146" t="str">
        <f aca="false">IF(ISBLANK($C254),"",$BY254)</f>
        <v/>
      </c>
      <c r="CY254" s="147" t="str">
        <f aca="false">IF(ISBLANK($C254),"",$CN254)</f>
        <v/>
      </c>
      <c r="CZ254" s="147" t="str">
        <f aca="false">IF(ISBLANK($C254),"",$CM254)</f>
        <v/>
      </c>
      <c r="DA254" s="148" t="str">
        <f aca="false">IF(ISBLANK($C254),"",IFERROR(_xlfn.SWITCH($CZ254,Constants!$B$9,COUNTA($C$9:$C$508)+2,Constants!$B$8,COUNTA($C$9:$C$508)+1,Constants!$B$7,COUNTA($C$9:$C$508)),$CZ254))</f>
        <v/>
      </c>
      <c r="DB254" s="9"/>
      <c r="DC254" s="149" t="n">
        <f aca="false">IF(OR(ISNUMBER($CZ254),$CZ254=Constants!$B$9,$CZ254=Constants!$B$7,$CZ254=Constants!$B$8),1,0)</f>
        <v>0</v>
      </c>
      <c r="DD254" s="149" t="n">
        <v>246</v>
      </c>
      <c r="DE254" s="149" t="str">
        <f aca="false">IF(ISBLANK($C254),"",IF(ISNUMBER($DA254),$DA254+ROW($B254)/1000,""))</f>
        <v/>
      </c>
      <c r="DF254" s="149" t="str">
        <f aca="false">IF(ISNUMBER($DE254),RANK($DE254,$DE$9:$DE$508,1),"")</f>
        <v/>
      </c>
      <c r="DG254" s="149" t="str">
        <f aca="false">IF(ISBLANK($C254),"",$B254)</f>
        <v/>
      </c>
      <c r="DH254" s="149" t="str">
        <f aca="false">IF(ISBLANK($C254),"",$C254)</f>
        <v/>
      </c>
      <c r="DI254" s="149" t="str">
        <f aca="false">IF(ISBLANK($C254),"",$D254)</f>
        <v/>
      </c>
      <c r="DJ254" s="150" t="str">
        <f aca="false">$CX254</f>
        <v/>
      </c>
      <c r="DK254" s="151" t="str">
        <f aca="false">$CW254</f>
        <v/>
      </c>
      <c r="DL254" s="149" t="str">
        <f aca="false">IF(ISBLANK($C254),"",$CZ254)</f>
        <v/>
      </c>
      <c r="DM254" s="152" t="str">
        <f aca="false">IF($DD254&gt;$DC$8,"",VLOOKUP($DD254,$DF$9:$DL$508,7,FALSE()))</f>
        <v/>
      </c>
      <c r="DN254" s="153" t="str">
        <f aca="false">IF($DD254&gt;$DC$8,"",VLOOKUP($DD254,$DF$9:$DL$508,2,FALSE()))</f>
        <v/>
      </c>
      <c r="DO254" s="153" t="str">
        <f aca="false">IF($DD254&gt;$DC$8,"",VLOOKUP($DD254,$DF$9:$DL$508,3,FALSE()))</f>
        <v/>
      </c>
      <c r="DP254" s="153" t="str">
        <f aca="false">IF($DD254&gt;$DC$8,"",VLOOKUP($DD254,$DF$9:$DL$508,4,FALSE()))</f>
        <v/>
      </c>
      <c r="DQ254" s="153" t="str">
        <f aca="false">IF($DD254&gt;$DC$8,"",VLOOKUP($DD254,$DF$9:$DL$508,5,FALSE()))</f>
        <v/>
      </c>
      <c r="DR254" s="154" t="str">
        <f aca="false">IF($DD254&gt;$DC$8,"",VLOOKUP($DD254,$DF$9:$DL$508,6,FALSE()))</f>
        <v/>
      </c>
      <c r="DS254" s="76"/>
    </row>
    <row r="255" customFormat="false" ht="15.75" hidden="false" customHeight="false" outlineLevel="0" collapsed="false">
      <c r="A255" s="9"/>
      <c r="B255" s="78"/>
      <c r="C255" s="79"/>
      <c r="D255" s="170"/>
      <c r="E255" s="178"/>
      <c r="F255" s="172"/>
      <c r="G255" s="173"/>
      <c r="H255" s="173"/>
      <c r="I255" s="179"/>
      <c r="J255" s="176"/>
      <c r="K255" s="86"/>
      <c r="L255" s="87"/>
      <c r="M255" s="88"/>
      <c r="N255" s="176"/>
      <c r="O255" s="176"/>
      <c r="P255" s="178"/>
      <c r="Q255" s="176"/>
      <c r="R255" s="176"/>
      <c r="S255" s="86"/>
      <c r="T255" s="88"/>
      <c r="U255" s="88"/>
      <c r="V255" s="176"/>
      <c r="W255" s="176"/>
      <c r="X255" s="178"/>
      <c r="Y255" s="176"/>
      <c r="Z255" s="177"/>
      <c r="AA255" s="176"/>
      <c r="AB255" s="92"/>
      <c r="AC255" s="93"/>
      <c r="AD255" s="93"/>
      <c r="AE255" s="93"/>
      <c r="AF255" s="93" t="str">
        <f aca="false">IF(ISBLANK($C255),"",IF(E255=Constants!$B$2,TRUE(),IF(E255=Constants!$B$3,FALSE(),TRUE())))</f>
        <v/>
      </c>
      <c r="AG255" s="93" t="str">
        <f aca="false">IF(ISBLANK($C255),"",IF(F255=Constants!$B$2,TRUE(),IF(F255=Constants!$B$3,FALSE(),TRUE())))</f>
        <v/>
      </c>
      <c r="AH255" s="93" t="str">
        <f aca="false">IF(ISBLANK($C255),"",IF(G255=Constants!$B$2,TRUE(),IF(G255=Constants!$B$3,FALSE(),TRUE())))</f>
        <v/>
      </c>
      <c r="AI255" s="93" t="str">
        <f aca="false">IF(ISBLANK($C255),"",IF(AND(ISNUMBER(H255),H255&gt;=0),H255,Constants!$B$24))</f>
        <v/>
      </c>
      <c r="AJ255" s="93" t="str">
        <f aca="false">IF(ISBLANK($C255),"",IF(I255=Constants!$B$2,TRUE(),IF(I255=Constants!$B$3,FALSE(),TRUE())))</f>
        <v/>
      </c>
      <c r="AK255" s="93" t="str">
        <f aca="false">IF(ISBLANK($C255),"",IF(J255=Constants!$B$2,TRUE(),IF(J255=Constants!$B$3,FALSE(),TRUE())))</f>
        <v/>
      </c>
      <c r="AL255" s="93" t="str">
        <f aca="false">IF(ISBLANK($C255),"",IF(K255=Constants!$B$4,TRUE(),IF(K255=Constants!$B$5,FALSE(),COUNTA(L255:P255)&gt;0)))</f>
        <v/>
      </c>
      <c r="AM255" s="95" t="str">
        <f aca="false">IF(ISBLANK($C255),"",IF(ISNUMBER(L255),IF(L255&gt;=0,L255,""),""))</f>
        <v/>
      </c>
      <c r="AN255" s="94" t="str">
        <f aca="false">IF(ISBLANK($C255),"",IF(ISNUMBER(M255),IF(M255&gt;=0,M255,""),""))</f>
        <v/>
      </c>
      <c r="AO255" s="94" t="str">
        <f aca="false">IF(ISBLANK($C255),"",IF(N255=Constants!$B$2,TRUE(),IF(N255=Constants!$B$3,FALSE(),TRUE())))</f>
        <v/>
      </c>
      <c r="AP255" s="93" t="str">
        <f aca="false">IF(ISBLANK($C255),"",IF(ISNUMBER(O255),IF(O255&gt;=0,O255,""),""))</f>
        <v/>
      </c>
      <c r="AQ255" s="93" t="str">
        <f aca="false">IF(ISBLANK($C255),"",IF(P255=Constants!$B$2,TRUE(),IF(P255=Constants!$B$3,FALSE(),FALSE())))</f>
        <v/>
      </c>
      <c r="AR255" s="93" t="str">
        <f aca="false">IF(ISBLANK($C255),"",IF(Q255=Constants!$B$2,TRUE(),IF(Q255=Constants!$B$3,FALSE(),TRUE())))</f>
        <v/>
      </c>
      <c r="AS255" s="93" t="str">
        <f aca="false">IF(ISBLANK($C255),"",IF(R255=Constants!$B$2,TRUE(),IF(R255=Constants!$B$3,FALSE(),TRUE())))</f>
        <v/>
      </c>
      <c r="AT255" s="93" t="str">
        <f aca="false">IF(ISBLANK($C255),"",IF(S255=Constants!$B$4,TRUE(),IF(S255=Constants!$B$5,FALSE(),COUNTA(T255:X255)&gt;0)))</f>
        <v/>
      </c>
      <c r="AU255" s="95" t="str">
        <f aca="false">IF(ISBLANK($C255),"",IF(ISNUMBER(T255),IF(T255&gt;=0,T255,""),""))</f>
        <v/>
      </c>
      <c r="AV255" s="94" t="str">
        <f aca="false">IF(ISBLANK($C255),"",IF(ISNUMBER(U255),IF(U255&gt;=0,U255,""),""))</f>
        <v/>
      </c>
      <c r="AW255" s="94" t="str">
        <f aca="false">IF(ISBLANK($C255),"",IF(V255=Constants!$B$2,TRUE(),IF(V255=Constants!$B$3,FALSE(),TRUE())))</f>
        <v/>
      </c>
      <c r="AX255" s="93" t="str">
        <f aca="false">IF(ISBLANK($C255),"",IF(ISNUMBER(W255),IF(W255&gt;=0,W255,""),""))</f>
        <v/>
      </c>
      <c r="AY255" s="93" t="str">
        <f aca="false">IF(ISBLANK($C255),"",IF(X255=Constants!$B$2,TRUE(),IF(X255=Constants!$B$3,FALSE(),FALSE())))</f>
        <v/>
      </c>
      <c r="AZ255" s="93" t="str">
        <f aca="false">IF(ISBLANK($C255),"",MIN(Constants!$B$25,MAX(0,IF(ISNUMBER(Y255),Y255*60,0)+IF(ISNUMBER(Z255),Z255,0))))</f>
        <v/>
      </c>
      <c r="BA255" s="93" t="str">
        <f aca="false">IF(ISBLANK($C255),"",IF(AA255=Constants!$B$2,TRUE(),IF(AA255=Constants!$B$3,FALSE(),FALSE())))</f>
        <v/>
      </c>
      <c r="BB255" s="92" t="str">
        <f aca="false">IF(ISBLANK($C255),"",AND($AL255,OR($AM255="",$AN255="",AND($AO255,$AP255=""))))</f>
        <v/>
      </c>
      <c r="BC255" s="94" t="str">
        <f aca="false">IF($BX255&lt;&gt;Constants!$B$6,"",IF($AL255,Constants!$B$17*$AN255+Constants!$B$18*IF($AO255,$AP255,Constants!$B$19),Constants!$B$20))</f>
        <v/>
      </c>
      <c r="BD255" s="97" t="str">
        <f aca="false">IF($BX255&lt;&gt;Constants!$B$6,"",Constants!$B$21*ABS($AD$9-IF($AL255,$AM255,0)))</f>
        <v/>
      </c>
      <c r="BE255" s="97" t="str">
        <f aca="false">IF($BX255&lt;&gt;Constants!$B$6,"",IF(AND($AL255,$AQ255,$AO255),Constants!$B$22,0))</f>
        <v/>
      </c>
      <c r="BF255" s="97" t="str">
        <f aca="false">IF($BX255&lt;&gt;Constants!$B$6,"",IF($AL255,($AI255-Constants!$B$24)*Constants!$B$23,0))</f>
        <v/>
      </c>
      <c r="BG255" s="97" t="str">
        <f aca="false">IF($BX255&lt;&gt;Constants!$B$6,"",IF($AK255,0,Constants!$B$12)+IF($AJ255,0,Constants!$B$13)+IF($AH255,0,Constants!$B$14))</f>
        <v/>
      </c>
      <c r="BH255" s="98" t="str">
        <f aca="false">IF($BX255&lt;&gt;Constants!$B$6,"",Constants!$B$16+SUM($BC255:$BG255))</f>
        <v/>
      </c>
      <c r="BI255" s="97" t="str">
        <f aca="false">IF($BX255&lt;&gt;Constants!$B$6,"",$BC255)</f>
        <v/>
      </c>
      <c r="BJ255" s="97" t="str">
        <f aca="false">IF($BX255&lt;&gt;Constants!$B$6,"",$BD255)</f>
        <v/>
      </c>
      <c r="BK255" s="99" t="str">
        <f aca="false">IF($BX255&lt;&gt;Constants!$B$6,"",IF($AL255,$AN255,""))</f>
        <v/>
      </c>
      <c r="BL255" s="93" t="str">
        <f aca="false">IF($BX255&lt;&gt;Constants!$B$6,"",IF(OR($BS255&lt;$BH255,AND($BS255=$BH255,OR($BT255&lt;$BI255,AND($BT255=$BI255,OR($BU255&lt;$BJ255,AND($BU255=$BJ255,AND(ISNUMBER($BV255),OR(NOT(ISNUMBER($BK255)),$BV255&lt;$BK255)))))))),"-&gt;","&lt;-"))</f>
        <v/>
      </c>
      <c r="BM255" s="92" t="str">
        <f aca="false">IF(ISBLANK($C255),"",AND($AT255,OR($AU255="",$AV255="",AND($AW255,$AX255=""))))</f>
        <v/>
      </c>
      <c r="BN255" s="94" t="str">
        <f aca="false">IF($BX255&lt;&gt;Constants!$B$6,"",IF($AT255,Constants!$B$17*$AV255+Constants!$B$18*IF($AW255,$AX255,Constants!$B$19),Constants!$B$20))</f>
        <v/>
      </c>
      <c r="BO255" s="97" t="str">
        <f aca="false">IF($BX255&lt;&gt;Constants!$B$6,"",Constants!$B$21*ABS($AD$9-IF($AT255,$AU255,0)))</f>
        <v/>
      </c>
      <c r="BP255" s="97" t="str">
        <f aca="false">IF($BX255&lt;&gt;Constants!$B$6,"",IF(AND($AT255,$AY255,$AW255),Constants!$B$22,0))</f>
        <v/>
      </c>
      <c r="BQ255" s="97" t="str">
        <f aca="false">IF($BX255&lt;&gt;Constants!$B$6,"",IF($AT255,($AI255-Constants!$B$24)*Constants!$B$23,0))</f>
        <v/>
      </c>
      <c r="BR255" s="97" t="str">
        <f aca="false">IF($BX255&lt;&gt;Constants!$B$6,"",IF($AS255,0,Constants!$B$12)+IF($AR255,0,Constants!$B$13)+IF($AH255,0,Constants!$B$14))</f>
        <v/>
      </c>
      <c r="BS255" s="98" t="str">
        <f aca="false">IF($BX255&lt;&gt;Constants!$B$6,"",Constants!$B$16+SUM($BN255:$BR255))</f>
        <v/>
      </c>
      <c r="BT255" s="97" t="str">
        <f aca="false">IF($BX255&lt;&gt;Constants!$B$6,"",$BN255)</f>
        <v/>
      </c>
      <c r="BU255" s="97" t="str">
        <f aca="false">IF($BX255&lt;&gt;Constants!$B$6,"",$BO255)</f>
        <v/>
      </c>
      <c r="BV255" s="99" t="str">
        <f aca="false">IF($BX255&lt;&gt;Constants!$B$6,"",IF($AT255,$AV255,""))</f>
        <v/>
      </c>
      <c r="BW255" s="93" t="str">
        <f aca="false">IF(ISBLANK($C255),"",IF(ISBLANK($D$7),$BW$5,IF(NOT(ISNUMBER($D$7)),$BW$6,"")))</f>
        <v/>
      </c>
      <c r="BX255" s="93" t="str">
        <f aca="false">IF(ISBLANK($C255),"",IF($BA255,Constants!$B$9,IF(COUNTA($E255:$AA255)=0,Constants!$B$8,IF(NOT($AG255),Constants!$B$7,IF(OR($BW255&lt;&gt;"",$BB255,$BM255),Constants!$B$10,Constants!$B$6)))))</f>
        <v/>
      </c>
      <c r="BY255" s="93" t="str">
        <f aca="false">IF(ISBLANK($C255),"",IF($BX255&lt;&gt;Constants!$B$6,$BX255,Constants!$B$11))</f>
        <v/>
      </c>
      <c r="BZ255" s="97" t="str">
        <f aca="false">IF($BX255&lt;&gt;Constants!$B$6,"",IF($BL255="-&gt;",$BS255,$BH255))</f>
        <v/>
      </c>
      <c r="CA255" s="97" t="str">
        <f aca="false">IF($BX255&lt;&gt;Constants!$B$6,"",IF($AF255,0,Constants!$B$15))</f>
        <v/>
      </c>
      <c r="CB255" s="97" t="str">
        <f aca="false">IF($BX255&lt;&gt;Constants!$B$6,"",((Constants!$B$25-$AZ255)-Constants!$B$25)/Constants!$B$26)</f>
        <v/>
      </c>
      <c r="CC255" s="97" t="str">
        <f aca="false">IF(ISBLANK($C255),"",IF($BX255&lt;&gt;Constants!$B$6,$BX255,SUM($BZ255:$CB255)))</f>
        <v/>
      </c>
      <c r="CD255" s="93" t="str">
        <f aca="false">IF(ISBLANK($C255),"",IF($BX255&lt;&gt;Constants!$B$6,$BX255,RANK($CC255,$CC$9:$CC$508,1)))</f>
        <v/>
      </c>
      <c r="CE255" s="97" t="str">
        <f aca="false">IF($BX255&lt;&gt;Constants!$B$6,"",IF($BL255="-&gt;",$BT255,$BI255))</f>
        <v/>
      </c>
      <c r="CF255" s="93" t="str">
        <f aca="false">IF(ISBLANK($C255),"",IF($BX255&lt;&gt;Constants!$B$6,$BX255,IF(ISNUMBER($CE255),RANK($CE255,$CE$9:$CE$508,1),COUNT($CE$9:$CE$508)+1)))</f>
        <v/>
      </c>
      <c r="CG255" s="97" t="str">
        <f aca="false">IF($BX255&lt;&gt;Constants!$B$6,"",IF($BL255="-&gt;",$BU255,$BJ255))</f>
        <v/>
      </c>
      <c r="CH255" s="93" t="str">
        <f aca="false">IF(ISBLANK($C255),"",IF($BX255&lt;&gt;Constants!$B$6,$BX255,IF(ISNUMBER($CG255),RANK($CG255,$CG$9:$CG$508,1),COUNT($CG$9:$CG$508)+1)))</f>
        <v/>
      </c>
      <c r="CI255" s="97" t="str">
        <f aca="false">IF($BX255&lt;&gt;Constants!$B$6,"",IF($BL255="-&gt;",$BV255,$BK255))</f>
        <v/>
      </c>
      <c r="CJ255" s="93" t="str">
        <f aca="false">IF(ISBLANK($C255),"",IF($BX255&lt;&gt;Constants!$B$6,$BX255,IF(ISNUMBER($CI255),RANK($CI255,$CI$9:$CI$508,1),COUNT($CI$9:$CI$508)+1)))</f>
        <v/>
      </c>
      <c r="CK255" s="97" t="str">
        <f aca="false">IF($BX255&lt;&gt;Constants!$B$6,"",$AI255)</f>
        <v/>
      </c>
      <c r="CL255" s="93" t="str">
        <f aca="false">IF(ISBLANK($C255),"",IF($BX255&lt;&gt;Constants!$B$6,$BX255,IF(ISNUMBER($CK255),RANK($CK255,$CK$9:$CK$508,1),COUNT($CK$9:$CK$508)+1)))</f>
        <v/>
      </c>
      <c r="CM255" s="93" t="str">
        <f aca="false">IF(ISBLANK($C255),"",IF($BX255&lt;&gt;Constants!$B$6,$BX255,COUNTIFS($CD$9:$CD$508,"&lt;"&amp;$CD255)+COUNTIFS($CD$9:$CD$508,$CD255,$CF$9:$CF$508,"&lt;"&amp;$CF255)+COUNTIFS($CD$9:$CD$508,$CD255,$CF$9:$CF$508,$CF255,$CH$9:$CH$508,"&lt;"&amp;$CH255)+COUNTIFS($CD$9:$CD$508,$CD255,$CF$9:$CF$508,$CF255,$CH$9:$CH$508,$CH255,$CJ$9:$CJ$508,"&lt;"&amp;$CJ255)+COUNTIFS($CD$9:$CD$508,$CD255,$CF$9:$CF$508,$CF255,$CH$9:$CH$508,$CH255,$CJ$9:$CJ$508,$CJ255,$CL$9:$CL$508,"&lt;"&amp;$CL255)+1))</f>
        <v/>
      </c>
      <c r="CN255" s="93" t="str">
        <f aca="false">IF(ISBLANK($C255),"",IF($BX255&lt;&gt;Constants!$B$6,$BX255,$CD255-$CM255))</f>
        <v/>
      </c>
      <c r="CO255" s="100"/>
      <c r="CP255" s="101"/>
      <c r="CQ255" s="102" t="str">
        <f aca="false">IF(ISBLANK($C255),"",IF($BX255=Constants!$B$10,$BW255,""))</f>
        <v/>
      </c>
      <c r="CR255" s="101" t="str">
        <f aca="false">IF(ISBLANK($C255),"",IF($BX255&lt;&gt;Constants!$B$6,"",IF($BL255="-&gt;",2,1)))</f>
        <v/>
      </c>
      <c r="CS255" s="103" t="str">
        <f aca="false">IF(ISBLANK($C255),"",IF($BX255&lt;&gt;Constants!$B$6,"",IF($BL255="-&gt;",$BN255,$BC255)))</f>
        <v/>
      </c>
      <c r="CT255" s="103" t="str">
        <f aca="false">IF(ISBLANK($C255),"",IF($BX255&lt;&gt;Constants!$B$6,"",IF($BL255="-&gt;",$BO255,$BD255)))</f>
        <v/>
      </c>
      <c r="CU255" s="103" t="str">
        <f aca="false">IF(ISBLANK($C255),"",IF($BX255&lt;&gt;Constants!$B$6,"",IF($BL255="-&gt;",$BP255+$BQ255,$BE255+$BF255)+$CB255))</f>
        <v/>
      </c>
      <c r="CV255" s="103" t="str">
        <f aca="false">IF(ISBLANK($C255),"",IF($BX255&lt;&gt;Constants!$B$6,"",IF($BL255="-&gt;",$BR255,$BG255)+$CA255))</f>
        <v/>
      </c>
      <c r="CW255" s="104" t="str">
        <f aca="false">IF(ISBLANK($C255),"",IF($BX255&lt;&gt;Constants!$B$6,$BX255,$CC255))</f>
        <v/>
      </c>
      <c r="CX255" s="105" t="str">
        <f aca="false">IF(ISBLANK($C255),"",$BY255)</f>
        <v/>
      </c>
      <c r="CY255" s="106" t="str">
        <f aca="false">IF(ISBLANK($C255),"",$CN255)</f>
        <v/>
      </c>
      <c r="CZ255" s="106" t="str">
        <f aca="false">IF(ISBLANK($C255),"",$CM255)</f>
        <v/>
      </c>
      <c r="DA255" s="107" t="str">
        <f aca="false">IF(ISBLANK($C255),"",IFERROR(_xlfn.SWITCH($CZ255,Constants!$B$9,COUNTA($C$9:$C$508)+2,Constants!$B$8,COUNTA($C$9:$C$508)+1,Constants!$B$7,COUNTA($C$9:$C$508)),$CZ255))</f>
        <v/>
      </c>
      <c r="DB255" s="9"/>
      <c r="DC255" s="108" t="n">
        <f aca="false">IF(OR(ISNUMBER($CZ255),$CZ255=Constants!$B$9,$CZ255=Constants!$B$7,$CZ255=Constants!$B$8),1,0)</f>
        <v>0</v>
      </c>
      <c r="DD255" s="108" t="n">
        <v>247</v>
      </c>
      <c r="DE255" s="108" t="str">
        <f aca="false">IF(ISBLANK($C255),"",IF(ISNUMBER($DA255),$DA255+ROW($B255)/1000,""))</f>
        <v/>
      </c>
      <c r="DF255" s="108" t="str">
        <f aca="false">IF(ISNUMBER($DE255),RANK($DE255,$DE$9:$DE$508,1),"")</f>
        <v/>
      </c>
      <c r="DG255" s="108" t="str">
        <f aca="false">IF(ISBLANK($C255),"",$B255)</f>
        <v/>
      </c>
      <c r="DH255" s="108" t="str">
        <f aca="false">IF(ISBLANK($C255),"",$C255)</f>
        <v/>
      </c>
      <c r="DI255" s="108" t="str">
        <f aca="false">IF(ISBLANK($C255),"",$D255)</f>
        <v/>
      </c>
      <c r="DJ255" s="109" t="str">
        <f aca="false">$CX255</f>
        <v/>
      </c>
      <c r="DK255" s="110" t="str">
        <f aca="false">$CW255</f>
        <v/>
      </c>
      <c r="DL255" s="108" t="str">
        <f aca="false">IF(ISBLANK($C255),"",$CZ255)</f>
        <v/>
      </c>
      <c r="DM255" s="111" t="str">
        <f aca="false">IF($DD255&gt;$DC$8,"",VLOOKUP($DD255,$DF$9:$DL$508,7,FALSE()))</f>
        <v/>
      </c>
      <c r="DN255" s="112" t="str">
        <f aca="false">IF($DD255&gt;$DC$8,"",VLOOKUP($DD255,$DF$9:$DL$508,2,FALSE()))</f>
        <v/>
      </c>
      <c r="DO255" s="112" t="str">
        <f aca="false">IF($DD255&gt;$DC$8,"",VLOOKUP($DD255,$DF$9:$DL$508,3,FALSE()))</f>
        <v/>
      </c>
      <c r="DP255" s="112" t="str">
        <f aca="false">IF($DD255&gt;$DC$8,"",VLOOKUP($DD255,$DF$9:$DL$508,4,FALSE()))</f>
        <v/>
      </c>
      <c r="DQ255" s="112" t="str">
        <f aca="false">IF($DD255&gt;$DC$8,"",VLOOKUP($DD255,$DF$9:$DL$508,5,FALSE()))</f>
        <v/>
      </c>
      <c r="DR255" s="113" t="str">
        <f aca="false">IF($DD255&gt;$DC$8,"",VLOOKUP($DD255,$DF$9:$DL$508,6,FALSE()))</f>
        <v/>
      </c>
      <c r="DS255" s="76"/>
    </row>
    <row r="256" customFormat="false" ht="15.75" hidden="false" customHeight="false" outlineLevel="0" collapsed="false">
      <c r="A256" s="9"/>
      <c r="B256" s="78"/>
      <c r="C256" s="79"/>
      <c r="D256" s="170"/>
      <c r="E256" s="178"/>
      <c r="F256" s="172"/>
      <c r="G256" s="173"/>
      <c r="H256" s="173"/>
      <c r="I256" s="179"/>
      <c r="J256" s="176"/>
      <c r="K256" s="86"/>
      <c r="L256" s="87"/>
      <c r="M256" s="88"/>
      <c r="N256" s="176"/>
      <c r="O256" s="176"/>
      <c r="P256" s="178"/>
      <c r="Q256" s="176"/>
      <c r="R256" s="176"/>
      <c r="S256" s="86"/>
      <c r="T256" s="88"/>
      <c r="U256" s="88"/>
      <c r="V256" s="176"/>
      <c r="W256" s="176"/>
      <c r="X256" s="178"/>
      <c r="Y256" s="176"/>
      <c r="Z256" s="177"/>
      <c r="AA256" s="176"/>
      <c r="AB256" s="92"/>
      <c r="AC256" s="93"/>
      <c r="AD256" s="93"/>
      <c r="AE256" s="93"/>
      <c r="AF256" s="93" t="str">
        <f aca="false">IF(ISBLANK($C256),"",IF(E256=Constants!$B$2,TRUE(),IF(E256=Constants!$B$3,FALSE(),TRUE())))</f>
        <v/>
      </c>
      <c r="AG256" s="93" t="str">
        <f aca="false">IF(ISBLANK($C256),"",IF(F256=Constants!$B$2,TRUE(),IF(F256=Constants!$B$3,FALSE(),TRUE())))</f>
        <v/>
      </c>
      <c r="AH256" s="93" t="str">
        <f aca="false">IF(ISBLANK($C256),"",IF(G256=Constants!$B$2,TRUE(),IF(G256=Constants!$B$3,FALSE(),TRUE())))</f>
        <v/>
      </c>
      <c r="AI256" s="93" t="str">
        <f aca="false">IF(ISBLANK($C256),"",IF(AND(ISNUMBER(H256),H256&gt;=0),H256,Constants!$B$24))</f>
        <v/>
      </c>
      <c r="AJ256" s="93" t="str">
        <f aca="false">IF(ISBLANK($C256),"",IF(I256=Constants!$B$2,TRUE(),IF(I256=Constants!$B$3,FALSE(),TRUE())))</f>
        <v/>
      </c>
      <c r="AK256" s="93" t="str">
        <f aca="false">IF(ISBLANK($C256),"",IF(J256=Constants!$B$2,TRUE(),IF(J256=Constants!$B$3,FALSE(),TRUE())))</f>
        <v/>
      </c>
      <c r="AL256" s="93" t="str">
        <f aca="false">IF(ISBLANK($C256),"",IF(K256=Constants!$B$4,TRUE(),IF(K256=Constants!$B$5,FALSE(),COUNTA(L256:P256)&gt;0)))</f>
        <v/>
      </c>
      <c r="AM256" s="95" t="str">
        <f aca="false">IF(ISBLANK($C256),"",IF(ISNUMBER(L256),IF(L256&gt;=0,L256,""),""))</f>
        <v/>
      </c>
      <c r="AN256" s="94" t="str">
        <f aca="false">IF(ISBLANK($C256),"",IF(ISNUMBER(M256),IF(M256&gt;=0,M256,""),""))</f>
        <v/>
      </c>
      <c r="AO256" s="94" t="str">
        <f aca="false">IF(ISBLANK($C256),"",IF(N256=Constants!$B$2,TRUE(),IF(N256=Constants!$B$3,FALSE(),TRUE())))</f>
        <v/>
      </c>
      <c r="AP256" s="93" t="str">
        <f aca="false">IF(ISBLANK($C256),"",IF(ISNUMBER(O256),IF(O256&gt;=0,O256,""),""))</f>
        <v/>
      </c>
      <c r="AQ256" s="93" t="str">
        <f aca="false">IF(ISBLANK($C256),"",IF(P256=Constants!$B$2,TRUE(),IF(P256=Constants!$B$3,FALSE(),FALSE())))</f>
        <v/>
      </c>
      <c r="AR256" s="93" t="str">
        <f aca="false">IF(ISBLANK($C256),"",IF(Q256=Constants!$B$2,TRUE(),IF(Q256=Constants!$B$3,FALSE(),TRUE())))</f>
        <v/>
      </c>
      <c r="AS256" s="93" t="str">
        <f aca="false">IF(ISBLANK($C256),"",IF(R256=Constants!$B$2,TRUE(),IF(R256=Constants!$B$3,FALSE(),TRUE())))</f>
        <v/>
      </c>
      <c r="AT256" s="93" t="str">
        <f aca="false">IF(ISBLANK($C256),"",IF(S256=Constants!$B$4,TRUE(),IF(S256=Constants!$B$5,FALSE(),COUNTA(T256:X256)&gt;0)))</f>
        <v/>
      </c>
      <c r="AU256" s="95" t="str">
        <f aca="false">IF(ISBLANK($C256),"",IF(ISNUMBER(T256),IF(T256&gt;=0,T256,""),""))</f>
        <v/>
      </c>
      <c r="AV256" s="94" t="str">
        <f aca="false">IF(ISBLANK($C256),"",IF(ISNUMBER(U256),IF(U256&gt;=0,U256,""),""))</f>
        <v/>
      </c>
      <c r="AW256" s="94" t="str">
        <f aca="false">IF(ISBLANK($C256),"",IF(V256=Constants!$B$2,TRUE(),IF(V256=Constants!$B$3,FALSE(),TRUE())))</f>
        <v/>
      </c>
      <c r="AX256" s="93" t="str">
        <f aca="false">IF(ISBLANK($C256),"",IF(ISNUMBER(W256),IF(W256&gt;=0,W256,""),""))</f>
        <v/>
      </c>
      <c r="AY256" s="93" t="str">
        <f aca="false">IF(ISBLANK($C256),"",IF(X256=Constants!$B$2,TRUE(),IF(X256=Constants!$B$3,FALSE(),FALSE())))</f>
        <v/>
      </c>
      <c r="AZ256" s="93" t="str">
        <f aca="false">IF(ISBLANK($C256),"",MIN(Constants!$B$25,MAX(0,IF(ISNUMBER(Y256),Y256*60,0)+IF(ISNUMBER(Z256),Z256,0))))</f>
        <v/>
      </c>
      <c r="BA256" s="93" t="str">
        <f aca="false">IF(ISBLANK($C256),"",IF(AA256=Constants!$B$2,TRUE(),IF(AA256=Constants!$B$3,FALSE(),FALSE())))</f>
        <v/>
      </c>
      <c r="BB256" s="92" t="str">
        <f aca="false">IF(ISBLANK($C256),"",AND($AL256,OR($AM256="",$AN256="",AND($AO256,$AP256=""))))</f>
        <v/>
      </c>
      <c r="BC256" s="94" t="str">
        <f aca="false">IF($BX256&lt;&gt;Constants!$B$6,"",IF($AL256,Constants!$B$17*$AN256+Constants!$B$18*IF($AO256,$AP256,Constants!$B$19),Constants!$B$20))</f>
        <v/>
      </c>
      <c r="BD256" s="97" t="str">
        <f aca="false">IF($BX256&lt;&gt;Constants!$B$6,"",Constants!$B$21*ABS($AD$9-IF($AL256,$AM256,0)))</f>
        <v/>
      </c>
      <c r="BE256" s="97" t="str">
        <f aca="false">IF($BX256&lt;&gt;Constants!$B$6,"",IF(AND($AL256,$AQ256,$AO256),Constants!$B$22,0))</f>
        <v/>
      </c>
      <c r="BF256" s="97" t="str">
        <f aca="false">IF($BX256&lt;&gt;Constants!$B$6,"",IF($AL256,($AI256-Constants!$B$24)*Constants!$B$23,0))</f>
        <v/>
      </c>
      <c r="BG256" s="97" t="str">
        <f aca="false">IF($BX256&lt;&gt;Constants!$B$6,"",IF($AK256,0,Constants!$B$12)+IF($AJ256,0,Constants!$B$13)+IF($AH256,0,Constants!$B$14))</f>
        <v/>
      </c>
      <c r="BH256" s="98" t="str">
        <f aca="false">IF($BX256&lt;&gt;Constants!$B$6,"",Constants!$B$16+SUM($BC256:$BG256))</f>
        <v/>
      </c>
      <c r="BI256" s="97" t="str">
        <f aca="false">IF($BX256&lt;&gt;Constants!$B$6,"",$BC256)</f>
        <v/>
      </c>
      <c r="BJ256" s="97" t="str">
        <f aca="false">IF($BX256&lt;&gt;Constants!$B$6,"",$BD256)</f>
        <v/>
      </c>
      <c r="BK256" s="99" t="str">
        <f aca="false">IF($BX256&lt;&gt;Constants!$B$6,"",IF($AL256,$AN256,""))</f>
        <v/>
      </c>
      <c r="BL256" s="93" t="str">
        <f aca="false">IF($BX256&lt;&gt;Constants!$B$6,"",IF(OR($BS256&lt;$BH256,AND($BS256=$BH256,OR($BT256&lt;$BI256,AND($BT256=$BI256,OR($BU256&lt;$BJ256,AND($BU256=$BJ256,AND(ISNUMBER($BV256),OR(NOT(ISNUMBER($BK256)),$BV256&lt;$BK256)))))))),"-&gt;","&lt;-"))</f>
        <v/>
      </c>
      <c r="BM256" s="92" t="str">
        <f aca="false">IF(ISBLANK($C256),"",AND($AT256,OR($AU256="",$AV256="",AND($AW256,$AX256=""))))</f>
        <v/>
      </c>
      <c r="BN256" s="94" t="str">
        <f aca="false">IF($BX256&lt;&gt;Constants!$B$6,"",IF($AT256,Constants!$B$17*$AV256+Constants!$B$18*IF($AW256,$AX256,Constants!$B$19),Constants!$B$20))</f>
        <v/>
      </c>
      <c r="BO256" s="97" t="str">
        <f aca="false">IF($BX256&lt;&gt;Constants!$B$6,"",Constants!$B$21*ABS($AD$9-IF($AT256,$AU256,0)))</f>
        <v/>
      </c>
      <c r="BP256" s="97" t="str">
        <f aca="false">IF($BX256&lt;&gt;Constants!$B$6,"",IF(AND($AT256,$AY256,$AW256),Constants!$B$22,0))</f>
        <v/>
      </c>
      <c r="BQ256" s="97" t="str">
        <f aca="false">IF($BX256&lt;&gt;Constants!$B$6,"",IF($AT256,($AI256-Constants!$B$24)*Constants!$B$23,0))</f>
        <v/>
      </c>
      <c r="BR256" s="97" t="str">
        <f aca="false">IF($BX256&lt;&gt;Constants!$B$6,"",IF($AS256,0,Constants!$B$12)+IF($AR256,0,Constants!$B$13)+IF($AH256,0,Constants!$B$14))</f>
        <v/>
      </c>
      <c r="BS256" s="98" t="str">
        <f aca="false">IF($BX256&lt;&gt;Constants!$B$6,"",Constants!$B$16+SUM($BN256:$BR256))</f>
        <v/>
      </c>
      <c r="BT256" s="97" t="str">
        <f aca="false">IF($BX256&lt;&gt;Constants!$B$6,"",$BN256)</f>
        <v/>
      </c>
      <c r="BU256" s="97" t="str">
        <f aca="false">IF($BX256&lt;&gt;Constants!$B$6,"",$BO256)</f>
        <v/>
      </c>
      <c r="BV256" s="99" t="str">
        <f aca="false">IF($BX256&lt;&gt;Constants!$B$6,"",IF($AT256,$AV256,""))</f>
        <v/>
      </c>
      <c r="BW256" s="93" t="str">
        <f aca="false">IF(ISBLANK($C256),"",IF(ISBLANK($D$7),$BW$5,IF(NOT(ISNUMBER($D$7)),$BW$6,"")))</f>
        <v/>
      </c>
      <c r="BX256" s="93" t="str">
        <f aca="false">IF(ISBLANK($C256),"",IF($BA256,Constants!$B$9,IF(COUNTA($E256:$AA256)=0,Constants!$B$8,IF(NOT($AG256),Constants!$B$7,IF(OR($BW256&lt;&gt;"",$BB256,$BM256),Constants!$B$10,Constants!$B$6)))))</f>
        <v/>
      </c>
      <c r="BY256" s="93" t="str">
        <f aca="false">IF(ISBLANK($C256),"",IF($BX256&lt;&gt;Constants!$B$6,$BX256,Constants!$B$11))</f>
        <v/>
      </c>
      <c r="BZ256" s="97" t="str">
        <f aca="false">IF($BX256&lt;&gt;Constants!$B$6,"",IF($BL256="-&gt;",$BS256,$BH256))</f>
        <v/>
      </c>
      <c r="CA256" s="97" t="str">
        <f aca="false">IF($BX256&lt;&gt;Constants!$B$6,"",IF($AF256,0,Constants!$B$15))</f>
        <v/>
      </c>
      <c r="CB256" s="97" t="str">
        <f aca="false">IF($BX256&lt;&gt;Constants!$B$6,"",((Constants!$B$25-$AZ256)-Constants!$B$25)/Constants!$B$26)</f>
        <v/>
      </c>
      <c r="CC256" s="97" t="str">
        <f aca="false">IF(ISBLANK($C256),"",IF($BX256&lt;&gt;Constants!$B$6,$BX256,SUM($BZ256:$CB256)))</f>
        <v/>
      </c>
      <c r="CD256" s="93" t="str">
        <f aca="false">IF(ISBLANK($C256),"",IF($BX256&lt;&gt;Constants!$B$6,$BX256,RANK($CC256,$CC$9:$CC$508,1)))</f>
        <v/>
      </c>
      <c r="CE256" s="97" t="str">
        <f aca="false">IF($BX256&lt;&gt;Constants!$B$6,"",IF($BL256="-&gt;",$BT256,$BI256))</f>
        <v/>
      </c>
      <c r="CF256" s="93" t="str">
        <f aca="false">IF(ISBLANK($C256),"",IF($BX256&lt;&gt;Constants!$B$6,$BX256,IF(ISNUMBER($CE256),RANK($CE256,$CE$9:$CE$508,1),COUNT($CE$9:$CE$508)+1)))</f>
        <v/>
      </c>
      <c r="CG256" s="97" t="str">
        <f aca="false">IF($BX256&lt;&gt;Constants!$B$6,"",IF($BL256="-&gt;",$BU256,$BJ256))</f>
        <v/>
      </c>
      <c r="CH256" s="93" t="str">
        <f aca="false">IF(ISBLANK($C256),"",IF($BX256&lt;&gt;Constants!$B$6,$BX256,IF(ISNUMBER($CG256),RANK($CG256,$CG$9:$CG$508,1),COUNT($CG$9:$CG$508)+1)))</f>
        <v/>
      </c>
      <c r="CI256" s="97" t="str">
        <f aca="false">IF($BX256&lt;&gt;Constants!$B$6,"",IF($BL256="-&gt;",$BV256,$BK256))</f>
        <v/>
      </c>
      <c r="CJ256" s="93" t="str">
        <f aca="false">IF(ISBLANK($C256),"",IF($BX256&lt;&gt;Constants!$B$6,$BX256,IF(ISNUMBER($CI256),RANK($CI256,$CI$9:$CI$508,1),COUNT($CI$9:$CI$508)+1)))</f>
        <v/>
      </c>
      <c r="CK256" s="97" t="str">
        <f aca="false">IF($BX256&lt;&gt;Constants!$B$6,"",$AI256)</f>
        <v/>
      </c>
      <c r="CL256" s="93" t="str">
        <f aca="false">IF(ISBLANK($C256),"",IF($BX256&lt;&gt;Constants!$B$6,$BX256,IF(ISNUMBER($CK256),RANK($CK256,$CK$9:$CK$508,1),COUNT($CK$9:$CK$508)+1)))</f>
        <v/>
      </c>
      <c r="CM256" s="93" t="str">
        <f aca="false">IF(ISBLANK($C256),"",IF($BX256&lt;&gt;Constants!$B$6,$BX256,COUNTIFS($CD$9:$CD$508,"&lt;"&amp;$CD256)+COUNTIFS($CD$9:$CD$508,$CD256,$CF$9:$CF$508,"&lt;"&amp;$CF256)+COUNTIFS($CD$9:$CD$508,$CD256,$CF$9:$CF$508,$CF256,$CH$9:$CH$508,"&lt;"&amp;$CH256)+COUNTIFS($CD$9:$CD$508,$CD256,$CF$9:$CF$508,$CF256,$CH$9:$CH$508,$CH256,$CJ$9:$CJ$508,"&lt;"&amp;$CJ256)+COUNTIFS($CD$9:$CD$508,$CD256,$CF$9:$CF$508,$CF256,$CH$9:$CH$508,$CH256,$CJ$9:$CJ$508,$CJ256,$CL$9:$CL$508,"&lt;"&amp;$CL256)+1))</f>
        <v/>
      </c>
      <c r="CN256" s="93" t="str">
        <f aca="false">IF(ISBLANK($C256),"",IF($BX256&lt;&gt;Constants!$B$6,$BX256,$CD256-$CM256))</f>
        <v/>
      </c>
      <c r="CO256" s="100"/>
      <c r="CP256" s="101"/>
      <c r="CQ256" s="102" t="str">
        <f aca="false">IF(ISBLANK($C256),"",IF($BX256=Constants!$B$10,$BW256,""))</f>
        <v/>
      </c>
      <c r="CR256" s="101" t="str">
        <f aca="false">IF(ISBLANK($C256),"",IF($BX256&lt;&gt;Constants!$B$6,"",IF($BL256="-&gt;",2,1)))</f>
        <v/>
      </c>
      <c r="CS256" s="103" t="str">
        <f aca="false">IF(ISBLANK($C256),"",IF($BX256&lt;&gt;Constants!$B$6,"",IF($BL256="-&gt;",$BN256,$BC256)))</f>
        <v/>
      </c>
      <c r="CT256" s="103" t="str">
        <f aca="false">IF(ISBLANK($C256),"",IF($BX256&lt;&gt;Constants!$B$6,"",IF($BL256="-&gt;",$BO256,$BD256)))</f>
        <v/>
      </c>
      <c r="CU256" s="103" t="str">
        <f aca="false">IF(ISBLANK($C256),"",IF($BX256&lt;&gt;Constants!$B$6,"",IF($BL256="-&gt;",$BP256+$BQ256,$BE256+$BF256)+$CB256))</f>
        <v/>
      </c>
      <c r="CV256" s="103" t="str">
        <f aca="false">IF(ISBLANK($C256),"",IF($BX256&lt;&gt;Constants!$B$6,"",IF($BL256="-&gt;",$BR256,$BG256)+$CA256))</f>
        <v/>
      </c>
      <c r="CW256" s="104" t="str">
        <f aca="false">IF(ISBLANK($C256),"",IF($BX256&lt;&gt;Constants!$B$6,$BX256,$CC256))</f>
        <v/>
      </c>
      <c r="CX256" s="105" t="str">
        <f aca="false">IF(ISBLANK($C256),"",$BY256)</f>
        <v/>
      </c>
      <c r="CY256" s="106" t="str">
        <f aca="false">IF(ISBLANK($C256),"",$CN256)</f>
        <v/>
      </c>
      <c r="CZ256" s="106" t="str">
        <f aca="false">IF(ISBLANK($C256),"",$CM256)</f>
        <v/>
      </c>
      <c r="DA256" s="107" t="str">
        <f aca="false">IF(ISBLANK($C256),"",IFERROR(_xlfn.SWITCH($CZ256,Constants!$B$9,COUNTA($C$9:$C$508)+2,Constants!$B$8,COUNTA($C$9:$C$508)+1,Constants!$B$7,COUNTA($C$9:$C$508)),$CZ256))</f>
        <v/>
      </c>
      <c r="DB256" s="9"/>
      <c r="DC256" s="108" t="n">
        <f aca="false">IF(OR(ISNUMBER($CZ256),$CZ256=Constants!$B$9,$CZ256=Constants!$B$7,$CZ256=Constants!$B$8),1,0)</f>
        <v>0</v>
      </c>
      <c r="DD256" s="108" t="n">
        <v>248</v>
      </c>
      <c r="DE256" s="108" t="str">
        <f aca="false">IF(ISBLANK($C256),"",IF(ISNUMBER($DA256),$DA256+ROW($B256)/1000,""))</f>
        <v/>
      </c>
      <c r="DF256" s="108" t="str">
        <f aca="false">IF(ISNUMBER($DE256),RANK($DE256,$DE$9:$DE$508,1),"")</f>
        <v/>
      </c>
      <c r="DG256" s="108" t="str">
        <f aca="false">IF(ISBLANK($C256),"",$B256)</f>
        <v/>
      </c>
      <c r="DH256" s="108" t="str">
        <f aca="false">IF(ISBLANK($C256),"",$C256)</f>
        <v/>
      </c>
      <c r="DI256" s="108" t="str">
        <f aca="false">IF(ISBLANK($C256),"",$D256)</f>
        <v/>
      </c>
      <c r="DJ256" s="109" t="str">
        <f aca="false">$CX256</f>
        <v/>
      </c>
      <c r="DK256" s="110" t="str">
        <f aca="false">$CW256</f>
        <v/>
      </c>
      <c r="DL256" s="108" t="str">
        <f aca="false">IF(ISBLANK($C256),"",$CZ256)</f>
        <v/>
      </c>
      <c r="DM256" s="111" t="str">
        <f aca="false">IF($DD256&gt;$DC$8,"",VLOOKUP($DD256,$DF$9:$DL$508,7,FALSE()))</f>
        <v/>
      </c>
      <c r="DN256" s="112" t="str">
        <f aca="false">IF($DD256&gt;$DC$8,"",VLOOKUP($DD256,$DF$9:$DL$508,2,FALSE()))</f>
        <v/>
      </c>
      <c r="DO256" s="112" t="str">
        <f aca="false">IF($DD256&gt;$DC$8,"",VLOOKUP($DD256,$DF$9:$DL$508,3,FALSE()))</f>
        <v/>
      </c>
      <c r="DP256" s="112" t="str">
        <f aca="false">IF($DD256&gt;$DC$8,"",VLOOKUP($DD256,$DF$9:$DL$508,4,FALSE()))</f>
        <v/>
      </c>
      <c r="DQ256" s="112" t="str">
        <f aca="false">IF($DD256&gt;$DC$8,"",VLOOKUP($DD256,$DF$9:$DL$508,5,FALSE()))</f>
        <v/>
      </c>
      <c r="DR256" s="113" t="str">
        <f aca="false">IF($DD256&gt;$DC$8,"",VLOOKUP($DD256,$DF$9:$DL$508,6,FALSE()))</f>
        <v/>
      </c>
      <c r="DS256" s="76"/>
    </row>
    <row r="257" customFormat="false" ht="15.75" hidden="false" customHeight="false" outlineLevel="0" collapsed="false">
      <c r="A257" s="9"/>
      <c r="B257" s="78"/>
      <c r="C257" s="79"/>
      <c r="D257" s="170"/>
      <c r="E257" s="178"/>
      <c r="F257" s="172"/>
      <c r="G257" s="173"/>
      <c r="H257" s="173"/>
      <c r="I257" s="179"/>
      <c r="J257" s="176"/>
      <c r="K257" s="86"/>
      <c r="L257" s="87"/>
      <c r="M257" s="88"/>
      <c r="N257" s="176"/>
      <c r="O257" s="176"/>
      <c r="P257" s="178"/>
      <c r="Q257" s="176"/>
      <c r="R257" s="176"/>
      <c r="S257" s="86"/>
      <c r="T257" s="88"/>
      <c r="U257" s="88"/>
      <c r="V257" s="176"/>
      <c r="W257" s="176"/>
      <c r="X257" s="178"/>
      <c r="Y257" s="176"/>
      <c r="Z257" s="177"/>
      <c r="AA257" s="176"/>
      <c r="AB257" s="92"/>
      <c r="AC257" s="93"/>
      <c r="AD257" s="93"/>
      <c r="AE257" s="93"/>
      <c r="AF257" s="93" t="str">
        <f aca="false">IF(ISBLANK($C257),"",IF(E257=Constants!$B$2,TRUE(),IF(E257=Constants!$B$3,FALSE(),TRUE())))</f>
        <v/>
      </c>
      <c r="AG257" s="93" t="str">
        <f aca="false">IF(ISBLANK($C257),"",IF(F257=Constants!$B$2,TRUE(),IF(F257=Constants!$B$3,FALSE(),TRUE())))</f>
        <v/>
      </c>
      <c r="AH257" s="93" t="str">
        <f aca="false">IF(ISBLANK($C257),"",IF(G257=Constants!$B$2,TRUE(),IF(G257=Constants!$B$3,FALSE(),TRUE())))</f>
        <v/>
      </c>
      <c r="AI257" s="93" t="str">
        <f aca="false">IF(ISBLANK($C257),"",IF(AND(ISNUMBER(H257),H257&gt;=0),H257,Constants!$B$24))</f>
        <v/>
      </c>
      <c r="AJ257" s="93" t="str">
        <f aca="false">IF(ISBLANK($C257),"",IF(I257=Constants!$B$2,TRUE(),IF(I257=Constants!$B$3,FALSE(),TRUE())))</f>
        <v/>
      </c>
      <c r="AK257" s="93" t="str">
        <f aca="false">IF(ISBLANK($C257),"",IF(J257=Constants!$B$2,TRUE(),IF(J257=Constants!$B$3,FALSE(),TRUE())))</f>
        <v/>
      </c>
      <c r="AL257" s="93" t="str">
        <f aca="false">IF(ISBLANK($C257),"",IF(K257=Constants!$B$4,TRUE(),IF(K257=Constants!$B$5,FALSE(),COUNTA(L257:P257)&gt;0)))</f>
        <v/>
      </c>
      <c r="AM257" s="95" t="str">
        <f aca="false">IF(ISBLANK($C257),"",IF(ISNUMBER(L257),IF(L257&gt;=0,L257,""),""))</f>
        <v/>
      </c>
      <c r="AN257" s="94" t="str">
        <f aca="false">IF(ISBLANK($C257),"",IF(ISNUMBER(M257),IF(M257&gt;=0,M257,""),""))</f>
        <v/>
      </c>
      <c r="AO257" s="94" t="str">
        <f aca="false">IF(ISBLANK($C257),"",IF(N257=Constants!$B$2,TRUE(),IF(N257=Constants!$B$3,FALSE(),TRUE())))</f>
        <v/>
      </c>
      <c r="AP257" s="93" t="str">
        <f aca="false">IF(ISBLANK($C257),"",IF(ISNUMBER(O257),IF(O257&gt;=0,O257,""),""))</f>
        <v/>
      </c>
      <c r="AQ257" s="93" t="str">
        <f aca="false">IF(ISBLANK($C257),"",IF(P257=Constants!$B$2,TRUE(),IF(P257=Constants!$B$3,FALSE(),FALSE())))</f>
        <v/>
      </c>
      <c r="AR257" s="93" t="str">
        <f aca="false">IF(ISBLANK($C257),"",IF(Q257=Constants!$B$2,TRUE(),IF(Q257=Constants!$B$3,FALSE(),TRUE())))</f>
        <v/>
      </c>
      <c r="AS257" s="93" t="str">
        <f aca="false">IF(ISBLANK($C257),"",IF(R257=Constants!$B$2,TRUE(),IF(R257=Constants!$B$3,FALSE(),TRUE())))</f>
        <v/>
      </c>
      <c r="AT257" s="93" t="str">
        <f aca="false">IF(ISBLANK($C257),"",IF(S257=Constants!$B$4,TRUE(),IF(S257=Constants!$B$5,FALSE(),COUNTA(T257:X257)&gt;0)))</f>
        <v/>
      </c>
      <c r="AU257" s="95" t="str">
        <f aca="false">IF(ISBLANK($C257),"",IF(ISNUMBER(T257),IF(T257&gt;=0,T257,""),""))</f>
        <v/>
      </c>
      <c r="AV257" s="94" t="str">
        <f aca="false">IF(ISBLANK($C257),"",IF(ISNUMBER(U257),IF(U257&gt;=0,U257,""),""))</f>
        <v/>
      </c>
      <c r="AW257" s="94" t="str">
        <f aca="false">IF(ISBLANK($C257),"",IF(V257=Constants!$B$2,TRUE(),IF(V257=Constants!$B$3,FALSE(),TRUE())))</f>
        <v/>
      </c>
      <c r="AX257" s="93" t="str">
        <f aca="false">IF(ISBLANK($C257),"",IF(ISNUMBER(W257),IF(W257&gt;=0,W257,""),""))</f>
        <v/>
      </c>
      <c r="AY257" s="93" t="str">
        <f aca="false">IF(ISBLANK($C257),"",IF(X257=Constants!$B$2,TRUE(),IF(X257=Constants!$B$3,FALSE(),FALSE())))</f>
        <v/>
      </c>
      <c r="AZ257" s="93" t="str">
        <f aca="false">IF(ISBLANK($C257),"",MIN(Constants!$B$25,MAX(0,IF(ISNUMBER(Y257),Y257*60,0)+IF(ISNUMBER(Z257),Z257,0))))</f>
        <v/>
      </c>
      <c r="BA257" s="93" t="str">
        <f aca="false">IF(ISBLANK($C257),"",IF(AA257=Constants!$B$2,TRUE(),IF(AA257=Constants!$B$3,FALSE(),FALSE())))</f>
        <v/>
      </c>
      <c r="BB257" s="92" t="str">
        <f aca="false">IF(ISBLANK($C257),"",AND($AL257,OR($AM257="",$AN257="",AND($AO257,$AP257=""))))</f>
        <v/>
      </c>
      <c r="BC257" s="94" t="str">
        <f aca="false">IF($BX257&lt;&gt;Constants!$B$6,"",IF($AL257,Constants!$B$17*$AN257+Constants!$B$18*IF($AO257,$AP257,Constants!$B$19),Constants!$B$20))</f>
        <v/>
      </c>
      <c r="BD257" s="97" t="str">
        <f aca="false">IF($BX257&lt;&gt;Constants!$B$6,"",Constants!$B$21*ABS($AD$9-IF($AL257,$AM257,0)))</f>
        <v/>
      </c>
      <c r="BE257" s="97" t="str">
        <f aca="false">IF($BX257&lt;&gt;Constants!$B$6,"",IF(AND($AL257,$AQ257,$AO257),Constants!$B$22,0))</f>
        <v/>
      </c>
      <c r="BF257" s="97" t="str">
        <f aca="false">IF($BX257&lt;&gt;Constants!$B$6,"",IF($AL257,($AI257-Constants!$B$24)*Constants!$B$23,0))</f>
        <v/>
      </c>
      <c r="BG257" s="97" t="str">
        <f aca="false">IF($BX257&lt;&gt;Constants!$B$6,"",IF($AK257,0,Constants!$B$12)+IF($AJ257,0,Constants!$B$13)+IF($AH257,0,Constants!$B$14))</f>
        <v/>
      </c>
      <c r="BH257" s="98" t="str">
        <f aca="false">IF($BX257&lt;&gt;Constants!$B$6,"",Constants!$B$16+SUM($BC257:$BG257))</f>
        <v/>
      </c>
      <c r="BI257" s="97" t="str">
        <f aca="false">IF($BX257&lt;&gt;Constants!$B$6,"",$BC257)</f>
        <v/>
      </c>
      <c r="BJ257" s="97" t="str">
        <f aca="false">IF($BX257&lt;&gt;Constants!$B$6,"",$BD257)</f>
        <v/>
      </c>
      <c r="BK257" s="99" t="str">
        <f aca="false">IF($BX257&lt;&gt;Constants!$B$6,"",IF($AL257,$AN257,""))</f>
        <v/>
      </c>
      <c r="BL257" s="93" t="str">
        <f aca="false">IF($BX257&lt;&gt;Constants!$B$6,"",IF(OR($BS257&lt;$BH257,AND($BS257=$BH257,OR($BT257&lt;$BI257,AND($BT257=$BI257,OR($BU257&lt;$BJ257,AND($BU257=$BJ257,AND(ISNUMBER($BV257),OR(NOT(ISNUMBER($BK257)),$BV257&lt;$BK257)))))))),"-&gt;","&lt;-"))</f>
        <v/>
      </c>
      <c r="BM257" s="92" t="str">
        <f aca="false">IF(ISBLANK($C257),"",AND($AT257,OR($AU257="",$AV257="",AND($AW257,$AX257=""))))</f>
        <v/>
      </c>
      <c r="BN257" s="94" t="str">
        <f aca="false">IF($BX257&lt;&gt;Constants!$B$6,"",IF($AT257,Constants!$B$17*$AV257+Constants!$B$18*IF($AW257,$AX257,Constants!$B$19),Constants!$B$20))</f>
        <v/>
      </c>
      <c r="BO257" s="97" t="str">
        <f aca="false">IF($BX257&lt;&gt;Constants!$B$6,"",Constants!$B$21*ABS($AD$9-IF($AT257,$AU257,0)))</f>
        <v/>
      </c>
      <c r="BP257" s="97" t="str">
        <f aca="false">IF($BX257&lt;&gt;Constants!$B$6,"",IF(AND($AT257,$AY257,$AW257),Constants!$B$22,0))</f>
        <v/>
      </c>
      <c r="BQ257" s="97" t="str">
        <f aca="false">IF($BX257&lt;&gt;Constants!$B$6,"",IF($AT257,($AI257-Constants!$B$24)*Constants!$B$23,0))</f>
        <v/>
      </c>
      <c r="BR257" s="97" t="str">
        <f aca="false">IF($BX257&lt;&gt;Constants!$B$6,"",IF($AS257,0,Constants!$B$12)+IF($AR257,0,Constants!$B$13)+IF($AH257,0,Constants!$B$14))</f>
        <v/>
      </c>
      <c r="BS257" s="98" t="str">
        <f aca="false">IF($BX257&lt;&gt;Constants!$B$6,"",Constants!$B$16+SUM($BN257:$BR257))</f>
        <v/>
      </c>
      <c r="BT257" s="97" t="str">
        <f aca="false">IF($BX257&lt;&gt;Constants!$B$6,"",$BN257)</f>
        <v/>
      </c>
      <c r="BU257" s="97" t="str">
        <f aca="false">IF($BX257&lt;&gt;Constants!$B$6,"",$BO257)</f>
        <v/>
      </c>
      <c r="BV257" s="99" t="str">
        <f aca="false">IF($BX257&lt;&gt;Constants!$B$6,"",IF($AT257,$AV257,""))</f>
        <v/>
      </c>
      <c r="BW257" s="93" t="str">
        <f aca="false">IF(ISBLANK($C257),"",IF(ISBLANK($D$7),$BW$5,IF(NOT(ISNUMBER($D$7)),$BW$6,"")))</f>
        <v/>
      </c>
      <c r="BX257" s="93" t="str">
        <f aca="false">IF(ISBLANK($C257),"",IF($BA257,Constants!$B$9,IF(COUNTA($E257:$AA257)=0,Constants!$B$8,IF(NOT($AG257),Constants!$B$7,IF(OR($BW257&lt;&gt;"",$BB257,$BM257),Constants!$B$10,Constants!$B$6)))))</f>
        <v/>
      </c>
      <c r="BY257" s="93" t="str">
        <f aca="false">IF(ISBLANK($C257),"",IF($BX257&lt;&gt;Constants!$B$6,$BX257,Constants!$B$11))</f>
        <v/>
      </c>
      <c r="BZ257" s="97" t="str">
        <f aca="false">IF($BX257&lt;&gt;Constants!$B$6,"",IF($BL257="-&gt;",$BS257,$BH257))</f>
        <v/>
      </c>
      <c r="CA257" s="97" t="str">
        <f aca="false">IF($BX257&lt;&gt;Constants!$B$6,"",IF($AF257,0,Constants!$B$15))</f>
        <v/>
      </c>
      <c r="CB257" s="97" t="str">
        <f aca="false">IF($BX257&lt;&gt;Constants!$B$6,"",((Constants!$B$25-$AZ257)-Constants!$B$25)/Constants!$B$26)</f>
        <v/>
      </c>
      <c r="CC257" s="97" t="str">
        <f aca="false">IF(ISBLANK($C257),"",IF($BX257&lt;&gt;Constants!$B$6,$BX257,SUM($BZ257:$CB257)))</f>
        <v/>
      </c>
      <c r="CD257" s="93" t="str">
        <f aca="false">IF(ISBLANK($C257),"",IF($BX257&lt;&gt;Constants!$B$6,$BX257,RANK($CC257,$CC$9:$CC$508,1)))</f>
        <v/>
      </c>
      <c r="CE257" s="97" t="str">
        <f aca="false">IF($BX257&lt;&gt;Constants!$B$6,"",IF($BL257="-&gt;",$BT257,$BI257))</f>
        <v/>
      </c>
      <c r="CF257" s="93" t="str">
        <f aca="false">IF(ISBLANK($C257),"",IF($BX257&lt;&gt;Constants!$B$6,$BX257,IF(ISNUMBER($CE257),RANK($CE257,$CE$9:$CE$508,1),COUNT($CE$9:$CE$508)+1)))</f>
        <v/>
      </c>
      <c r="CG257" s="97" t="str">
        <f aca="false">IF($BX257&lt;&gt;Constants!$B$6,"",IF($BL257="-&gt;",$BU257,$BJ257))</f>
        <v/>
      </c>
      <c r="CH257" s="93" t="str">
        <f aca="false">IF(ISBLANK($C257),"",IF($BX257&lt;&gt;Constants!$B$6,$BX257,IF(ISNUMBER($CG257),RANK($CG257,$CG$9:$CG$508,1),COUNT($CG$9:$CG$508)+1)))</f>
        <v/>
      </c>
      <c r="CI257" s="97" t="str">
        <f aca="false">IF($BX257&lt;&gt;Constants!$B$6,"",IF($BL257="-&gt;",$BV257,$BK257))</f>
        <v/>
      </c>
      <c r="CJ257" s="93" t="str">
        <f aca="false">IF(ISBLANK($C257),"",IF($BX257&lt;&gt;Constants!$B$6,$BX257,IF(ISNUMBER($CI257),RANK($CI257,$CI$9:$CI$508,1),COUNT($CI$9:$CI$508)+1)))</f>
        <v/>
      </c>
      <c r="CK257" s="97" t="str">
        <f aca="false">IF($BX257&lt;&gt;Constants!$B$6,"",$AI257)</f>
        <v/>
      </c>
      <c r="CL257" s="93" t="str">
        <f aca="false">IF(ISBLANK($C257),"",IF($BX257&lt;&gt;Constants!$B$6,$BX257,IF(ISNUMBER($CK257),RANK($CK257,$CK$9:$CK$508,1),COUNT($CK$9:$CK$508)+1)))</f>
        <v/>
      </c>
      <c r="CM257" s="93" t="str">
        <f aca="false">IF(ISBLANK($C257),"",IF($BX257&lt;&gt;Constants!$B$6,$BX257,COUNTIFS($CD$9:$CD$508,"&lt;"&amp;$CD257)+COUNTIFS($CD$9:$CD$508,$CD257,$CF$9:$CF$508,"&lt;"&amp;$CF257)+COUNTIFS($CD$9:$CD$508,$CD257,$CF$9:$CF$508,$CF257,$CH$9:$CH$508,"&lt;"&amp;$CH257)+COUNTIFS($CD$9:$CD$508,$CD257,$CF$9:$CF$508,$CF257,$CH$9:$CH$508,$CH257,$CJ$9:$CJ$508,"&lt;"&amp;$CJ257)+COUNTIFS($CD$9:$CD$508,$CD257,$CF$9:$CF$508,$CF257,$CH$9:$CH$508,$CH257,$CJ$9:$CJ$508,$CJ257,$CL$9:$CL$508,"&lt;"&amp;$CL257)+1))</f>
        <v/>
      </c>
      <c r="CN257" s="93" t="str">
        <f aca="false">IF(ISBLANK($C257),"",IF($BX257&lt;&gt;Constants!$B$6,$BX257,$CD257-$CM257))</f>
        <v/>
      </c>
      <c r="CO257" s="100"/>
      <c r="CP257" s="101"/>
      <c r="CQ257" s="102" t="str">
        <f aca="false">IF(ISBLANK($C257),"",IF($BX257=Constants!$B$10,$BW257,""))</f>
        <v/>
      </c>
      <c r="CR257" s="101" t="str">
        <f aca="false">IF(ISBLANK($C257),"",IF($BX257&lt;&gt;Constants!$B$6,"",IF($BL257="-&gt;",2,1)))</f>
        <v/>
      </c>
      <c r="CS257" s="103" t="str">
        <f aca="false">IF(ISBLANK($C257),"",IF($BX257&lt;&gt;Constants!$B$6,"",IF($BL257="-&gt;",$BN257,$BC257)))</f>
        <v/>
      </c>
      <c r="CT257" s="103" t="str">
        <f aca="false">IF(ISBLANK($C257),"",IF($BX257&lt;&gt;Constants!$B$6,"",IF($BL257="-&gt;",$BO257,$BD257)))</f>
        <v/>
      </c>
      <c r="CU257" s="103" t="str">
        <f aca="false">IF(ISBLANK($C257),"",IF($BX257&lt;&gt;Constants!$B$6,"",IF($BL257="-&gt;",$BP257+$BQ257,$BE257+$BF257)+$CB257))</f>
        <v/>
      </c>
      <c r="CV257" s="103" t="str">
        <f aca="false">IF(ISBLANK($C257),"",IF($BX257&lt;&gt;Constants!$B$6,"",IF($BL257="-&gt;",$BR257,$BG257)+$CA257))</f>
        <v/>
      </c>
      <c r="CW257" s="104" t="str">
        <f aca="false">IF(ISBLANK($C257),"",IF($BX257&lt;&gt;Constants!$B$6,$BX257,$CC257))</f>
        <v/>
      </c>
      <c r="CX257" s="105" t="str">
        <f aca="false">IF(ISBLANK($C257),"",$BY257)</f>
        <v/>
      </c>
      <c r="CY257" s="106" t="str">
        <f aca="false">IF(ISBLANK($C257),"",$CN257)</f>
        <v/>
      </c>
      <c r="CZ257" s="106" t="str">
        <f aca="false">IF(ISBLANK($C257),"",$CM257)</f>
        <v/>
      </c>
      <c r="DA257" s="107" t="str">
        <f aca="false">IF(ISBLANK($C257),"",IFERROR(_xlfn.SWITCH($CZ257,Constants!$B$9,COUNTA($C$9:$C$508)+2,Constants!$B$8,COUNTA($C$9:$C$508)+1,Constants!$B$7,COUNTA($C$9:$C$508)),$CZ257))</f>
        <v/>
      </c>
      <c r="DB257" s="9"/>
      <c r="DC257" s="108" t="n">
        <f aca="false">IF(OR(ISNUMBER($CZ257),$CZ257=Constants!$B$9,$CZ257=Constants!$B$7,$CZ257=Constants!$B$8),1,0)</f>
        <v>0</v>
      </c>
      <c r="DD257" s="108" t="n">
        <v>249</v>
      </c>
      <c r="DE257" s="108" t="str">
        <f aca="false">IF(ISBLANK($C257),"",IF(ISNUMBER($DA257),$DA257+ROW($B257)/1000,""))</f>
        <v/>
      </c>
      <c r="DF257" s="108" t="str">
        <f aca="false">IF(ISNUMBER($DE257),RANK($DE257,$DE$9:$DE$508,1),"")</f>
        <v/>
      </c>
      <c r="DG257" s="108" t="str">
        <f aca="false">IF(ISBLANK($C257),"",$B257)</f>
        <v/>
      </c>
      <c r="DH257" s="108" t="str">
        <f aca="false">IF(ISBLANK($C257),"",$C257)</f>
        <v/>
      </c>
      <c r="DI257" s="108" t="str">
        <f aca="false">IF(ISBLANK($C257),"",$D257)</f>
        <v/>
      </c>
      <c r="DJ257" s="109" t="str">
        <f aca="false">$CX257</f>
        <v/>
      </c>
      <c r="DK257" s="110" t="str">
        <f aca="false">$CW257</f>
        <v/>
      </c>
      <c r="DL257" s="108" t="str">
        <f aca="false">IF(ISBLANK($C257),"",$CZ257)</f>
        <v/>
      </c>
      <c r="DM257" s="111" t="str">
        <f aca="false">IF($DD257&gt;$DC$8,"",VLOOKUP($DD257,$DF$9:$DL$508,7,FALSE()))</f>
        <v/>
      </c>
      <c r="DN257" s="112" t="str">
        <f aca="false">IF($DD257&gt;$DC$8,"",VLOOKUP($DD257,$DF$9:$DL$508,2,FALSE()))</f>
        <v/>
      </c>
      <c r="DO257" s="112" t="str">
        <f aca="false">IF($DD257&gt;$DC$8,"",VLOOKUP($DD257,$DF$9:$DL$508,3,FALSE()))</f>
        <v/>
      </c>
      <c r="DP257" s="112" t="str">
        <f aca="false">IF($DD257&gt;$DC$8,"",VLOOKUP($DD257,$DF$9:$DL$508,4,FALSE()))</f>
        <v/>
      </c>
      <c r="DQ257" s="112" t="str">
        <f aca="false">IF($DD257&gt;$DC$8,"",VLOOKUP($DD257,$DF$9:$DL$508,5,FALSE()))</f>
        <v/>
      </c>
      <c r="DR257" s="113" t="str">
        <f aca="false">IF($DD257&gt;$DC$8,"",VLOOKUP($DD257,$DF$9:$DL$508,6,FALSE()))</f>
        <v/>
      </c>
      <c r="DS257" s="76"/>
    </row>
    <row r="258" customFormat="false" ht="15.75" hidden="false" customHeight="false" outlineLevel="0" collapsed="false">
      <c r="A258" s="9"/>
      <c r="B258" s="160"/>
      <c r="C258" s="161"/>
      <c r="D258" s="162"/>
      <c r="E258" s="180"/>
      <c r="F258" s="164"/>
      <c r="G258" s="165"/>
      <c r="H258" s="165"/>
      <c r="I258" s="181"/>
      <c r="J258" s="168"/>
      <c r="K258" s="128"/>
      <c r="L258" s="129"/>
      <c r="M258" s="130"/>
      <c r="N258" s="168"/>
      <c r="O258" s="168"/>
      <c r="P258" s="180"/>
      <c r="Q258" s="168"/>
      <c r="R258" s="168"/>
      <c r="S258" s="128"/>
      <c r="T258" s="130"/>
      <c r="U258" s="130"/>
      <c r="V258" s="168"/>
      <c r="W258" s="168"/>
      <c r="X258" s="180"/>
      <c r="Y258" s="168"/>
      <c r="Z258" s="169"/>
      <c r="AA258" s="168"/>
      <c r="AB258" s="134"/>
      <c r="AC258" s="135"/>
      <c r="AD258" s="135"/>
      <c r="AE258" s="135"/>
      <c r="AF258" s="135" t="str">
        <f aca="false">IF(ISBLANK($C258),"",IF(E258=Constants!$B$2,TRUE(),IF(E258=Constants!$B$3,FALSE(),TRUE())))</f>
        <v/>
      </c>
      <c r="AG258" s="135" t="str">
        <f aca="false">IF(ISBLANK($C258),"",IF(F258=Constants!$B$2,TRUE(),IF(F258=Constants!$B$3,FALSE(),TRUE())))</f>
        <v/>
      </c>
      <c r="AH258" s="135" t="str">
        <f aca="false">IF(ISBLANK($C258),"",IF(G258=Constants!$B$2,TRUE(),IF(G258=Constants!$B$3,FALSE(),TRUE())))</f>
        <v/>
      </c>
      <c r="AI258" s="135" t="str">
        <f aca="false">IF(ISBLANK($C258),"",IF(AND(ISNUMBER(H258),H258&gt;=0),H258,Constants!$B$24))</f>
        <v/>
      </c>
      <c r="AJ258" s="135" t="str">
        <f aca="false">IF(ISBLANK($C258),"",IF(I258=Constants!$B$2,TRUE(),IF(I258=Constants!$B$3,FALSE(),TRUE())))</f>
        <v/>
      </c>
      <c r="AK258" s="135" t="str">
        <f aca="false">IF(ISBLANK($C258),"",IF(J258=Constants!$B$2,TRUE(),IF(J258=Constants!$B$3,FALSE(),TRUE())))</f>
        <v/>
      </c>
      <c r="AL258" s="135" t="str">
        <f aca="false">IF(ISBLANK($C258),"",IF(K258=Constants!$B$4,TRUE(),IF(K258=Constants!$B$5,FALSE(),COUNTA(L258:P258)&gt;0)))</f>
        <v/>
      </c>
      <c r="AM258" s="136" t="str">
        <f aca="false">IF(ISBLANK($C258),"",IF(ISNUMBER(L258),IF(L258&gt;=0,L258,""),""))</f>
        <v/>
      </c>
      <c r="AN258" s="137" t="str">
        <f aca="false">IF(ISBLANK($C258),"",IF(ISNUMBER(M258),IF(M258&gt;=0,M258,""),""))</f>
        <v/>
      </c>
      <c r="AO258" s="137" t="str">
        <f aca="false">IF(ISBLANK($C258),"",IF(N258=Constants!$B$2,TRUE(),IF(N258=Constants!$B$3,FALSE(),TRUE())))</f>
        <v/>
      </c>
      <c r="AP258" s="135" t="str">
        <f aca="false">IF(ISBLANK($C258),"",IF(ISNUMBER(O258),IF(O258&gt;=0,O258,""),""))</f>
        <v/>
      </c>
      <c r="AQ258" s="135" t="str">
        <f aca="false">IF(ISBLANK($C258),"",IF(P258=Constants!$B$2,TRUE(),IF(P258=Constants!$B$3,FALSE(),FALSE())))</f>
        <v/>
      </c>
      <c r="AR258" s="135" t="str">
        <f aca="false">IF(ISBLANK($C258),"",IF(Q258=Constants!$B$2,TRUE(),IF(Q258=Constants!$B$3,FALSE(),TRUE())))</f>
        <v/>
      </c>
      <c r="AS258" s="135" t="str">
        <f aca="false">IF(ISBLANK($C258),"",IF(R258=Constants!$B$2,TRUE(),IF(R258=Constants!$B$3,FALSE(),TRUE())))</f>
        <v/>
      </c>
      <c r="AT258" s="135" t="str">
        <f aca="false">IF(ISBLANK($C258),"",IF(S258=Constants!$B$4,TRUE(),IF(S258=Constants!$B$5,FALSE(),COUNTA(T258:X258)&gt;0)))</f>
        <v/>
      </c>
      <c r="AU258" s="136" t="str">
        <f aca="false">IF(ISBLANK($C258),"",IF(ISNUMBER(T258),IF(T258&gt;=0,T258,""),""))</f>
        <v/>
      </c>
      <c r="AV258" s="137" t="str">
        <f aca="false">IF(ISBLANK($C258),"",IF(ISNUMBER(U258),IF(U258&gt;=0,U258,""),""))</f>
        <v/>
      </c>
      <c r="AW258" s="137" t="str">
        <f aca="false">IF(ISBLANK($C258),"",IF(V258=Constants!$B$2,TRUE(),IF(V258=Constants!$B$3,FALSE(),TRUE())))</f>
        <v/>
      </c>
      <c r="AX258" s="135" t="str">
        <f aca="false">IF(ISBLANK($C258),"",IF(ISNUMBER(W258),IF(W258&gt;=0,W258,""),""))</f>
        <v/>
      </c>
      <c r="AY258" s="135" t="str">
        <f aca="false">IF(ISBLANK($C258),"",IF(X258=Constants!$B$2,TRUE(),IF(X258=Constants!$B$3,FALSE(),FALSE())))</f>
        <v/>
      </c>
      <c r="AZ258" s="135" t="str">
        <f aca="false">IF(ISBLANK($C258),"",MIN(Constants!$B$25,MAX(0,IF(ISNUMBER(Y258),Y258*60,0)+IF(ISNUMBER(Z258),Z258,0))))</f>
        <v/>
      </c>
      <c r="BA258" s="135" t="str">
        <f aca="false">IF(ISBLANK($C258),"",IF(AA258=Constants!$B$2,TRUE(),IF(AA258=Constants!$B$3,FALSE(),FALSE())))</f>
        <v/>
      </c>
      <c r="BB258" s="134" t="str">
        <f aca="false">IF(ISBLANK($C258),"",AND($AL258,OR($AM258="",$AN258="",AND($AO258,$AP258=""))))</f>
        <v/>
      </c>
      <c r="BC258" s="137" t="str">
        <f aca="false">IF($BX258&lt;&gt;Constants!$B$6,"",IF($AL258,Constants!$B$17*$AN258+Constants!$B$18*IF($AO258,$AP258,Constants!$B$19),Constants!$B$20))</f>
        <v/>
      </c>
      <c r="BD258" s="138" t="str">
        <f aca="false">IF($BX258&lt;&gt;Constants!$B$6,"",Constants!$B$21*ABS($AD$9-IF($AL258,$AM258,0)))</f>
        <v/>
      </c>
      <c r="BE258" s="138" t="str">
        <f aca="false">IF($BX258&lt;&gt;Constants!$B$6,"",IF(AND($AL258,$AQ258,$AO258),Constants!$B$22,0))</f>
        <v/>
      </c>
      <c r="BF258" s="138" t="str">
        <f aca="false">IF($BX258&lt;&gt;Constants!$B$6,"",IF($AL258,($AI258-Constants!$B$24)*Constants!$B$23,0))</f>
        <v/>
      </c>
      <c r="BG258" s="138" t="str">
        <f aca="false">IF($BX258&lt;&gt;Constants!$B$6,"",IF($AK258,0,Constants!$B$12)+IF($AJ258,0,Constants!$B$13)+IF($AH258,0,Constants!$B$14))</f>
        <v/>
      </c>
      <c r="BH258" s="139" t="str">
        <f aca="false">IF($BX258&lt;&gt;Constants!$B$6,"",Constants!$B$16+SUM($BC258:$BG258))</f>
        <v/>
      </c>
      <c r="BI258" s="138" t="str">
        <f aca="false">IF($BX258&lt;&gt;Constants!$B$6,"",$BC258)</f>
        <v/>
      </c>
      <c r="BJ258" s="138" t="str">
        <f aca="false">IF($BX258&lt;&gt;Constants!$B$6,"",$BD258)</f>
        <v/>
      </c>
      <c r="BK258" s="140" t="str">
        <f aca="false">IF($BX258&lt;&gt;Constants!$B$6,"",IF($AL258,$AN258,""))</f>
        <v/>
      </c>
      <c r="BL258" s="135" t="str">
        <f aca="false">IF($BX258&lt;&gt;Constants!$B$6,"",IF(OR($BS258&lt;$BH258,AND($BS258=$BH258,OR($BT258&lt;$BI258,AND($BT258=$BI258,OR($BU258&lt;$BJ258,AND($BU258=$BJ258,AND(ISNUMBER($BV258),OR(NOT(ISNUMBER($BK258)),$BV258&lt;$BK258)))))))),"-&gt;","&lt;-"))</f>
        <v/>
      </c>
      <c r="BM258" s="134" t="str">
        <f aca="false">IF(ISBLANK($C258),"",AND($AT258,OR($AU258="",$AV258="",AND($AW258,$AX258=""))))</f>
        <v/>
      </c>
      <c r="BN258" s="137" t="str">
        <f aca="false">IF($BX258&lt;&gt;Constants!$B$6,"",IF($AT258,Constants!$B$17*$AV258+Constants!$B$18*IF($AW258,$AX258,Constants!$B$19),Constants!$B$20))</f>
        <v/>
      </c>
      <c r="BO258" s="138" t="str">
        <f aca="false">IF($BX258&lt;&gt;Constants!$B$6,"",Constants!$B$21*ABS($AD$9-IF($AT258,$AU258,0)))</f>
        <v/>
      </c>
      <c r="BP258" s="138" t="str">
        <f aca="false">IF($BX258&lt;&gt;Constants!$B$6,"",IF(AND($AT258,$AY258,$AW258),Constants!$B$22,0))</f>
        <v/>
      </c>
      <c r="BQ258" s="138" t="str">
        <f aca="false">IF($BX258&lt;&gt;Constants!$B$6,"",IF($AT258,($AI258-Constants!$B$24)*Constants!$B$23,0))</f>
        <v/>
      </c>
      <c r="BR258" s="138" t="str">
        <f aca="false">IF($BX258&lt;&gt;Constants!$B$6,"",IF($AS258,0,Constants!$B$12)+IF($AR258,0,Constants!$B$13)+IF($AH258,0,Constants!$B$14))</f>
        <v/>
      </c>
      <c r="BS258" s="139" t="str">
        <f aca="false">IF($BX258&lt;&gt;Constants!$B$6,"",Constants!$B$16+SUM($BN258:$BR258))</f>
        <v/>
      </c>
      <c r="BT258" s="138" t="str">
        <f aca="false">IF($BX258&lt;&gt;Constants!$B$6,"",$BN258)</f>
        <v/>
      </c>
      <c r="BU258" s="138" t="str">
        <f aca="false">IF($BX258&lt;&gt;Constants!$B$6,"",$BO258)</f>
        <v/>
      </c>
      <c r="BV258" s="140" t="str">
        <f aca="false">IF($BX258&lt;&gt;Constants!$B$6,"",IF($AT258,$AV258,""))</f>
        <v/>
      </c>
      <c r="BW258" s="135" t="str">
        <f aca="false">IF(ISBLANK($C258),"",IF(ISBLANK($D$7),$BW$5,IF(NOT(ISNUMBER($D$7)),$BW$6,"")))</f>
        <v/>
      </c>
      <c r="BX258" s="135" t="str">
        <f aca="false">IF(ISBLANK($C258),"",IF($BA258,Constants!$B$9,IF(COUNTA($E258:$AA258)=0,Constants!$B$8,IF(NOT($AG258),Constants!$B$7,IF(OR($BW258&lt;&gt;"",$BB258,$BM258),Constants!$B$10,Constants!$B$6)))))</f>
        <v/>
      </c>
      <c r="BY258" s="135" t="str">
        <f aca="false">IF(ISBLANK($C258),"",IF($BX258&lt;&gt;Constants!$B$6,$BX258,Constants!$B$11))</f>
        <v/>
      </c>
      <c r="BZ258" s="138" t="str">
        <f aca="false">IF($BX258&lt;&gt;Constants!$B$6,"",IF($BL258="-&gt;",$BS258,$BH258))</f>
        <v/>
      </c>
      <c r="CA258" s="138" t="str">
        <f aca="false">IF($BX258&lt;&gt;Constants!$B$6,"",IF($AF258,0,Constants!$B$15))</f>
        <v/>
      </c>
      <c r="CB258" s="138" t="str">
        <f aca="false">IF($BX258&lt;&gt;Constants!$B$6,"",((Constants!$B$25-$AZ258)-Constants!$B$25)/Constants!$B$26)</f>
        <v/>
      </c>
      <c r="CC258" s="138" t="str">
        <f aca="false">IF(ISBLANK($C258),"",IF($BX258&lt;&gt;Constants!$B$6,$BX258,SUM($BZ258:$CB258)))</f>
        <v/>
      </c>
      <c r="CD258" s="135" t="str">
        <f aca="false">IF(ISBLANK($C258),"",IF($BX258&lt;&gt;Constants!$B$6,$BX258,RANK($CC258,$CC$9:$CC$508,1)))</f>
        <v/>
      </c>
      <c r="CE258" s="138" t="str">
        <f aca="false">IF($BX258&lt;&gt;Constants!$B$6,"",IF($BL258="-&gt;",$BT258,$BI258))</f>
        <v/>
      </c>
      <c r="CF258" s="135" t="str">
        <f aca="false">IF(ISBLANK($C258),"",IF($BX258&lt;&gt;Constants!$B$6,$BX258,IF(ISNUMBER($CE258),RANK($CE258,$CE$9:$CE$508,1),COUNT($CE$9:$CE$508)+1)))</f>
        <v/>
      </c>
      <c r="CG258" s="138" t="str">
        <f aca="false">IF($BX258&lt;&gt;Constants!$B$6,"",IF($BL258="-&gt;",$BU258,$BJ258))</f>
        <v/>
      </c>
      <c r="CH258" s="135" t="str">
        <f aca="false">IF(ISBLANK($C258),"",IF($BX258&lt;&gt;Constants!$B$6,$BX258,IF(ISNUMBER($CG258),RANK($CG258,$CG$9:$CG$508,1),COUNT($CG$9:$CG$508)+1)))</f>
        <v/>
      </c>
      <c r="CI258" s="138" t="str">
        <f aca="false">IF($BX258&lt;&gt;Constants!$B$6,"",IF($BL258="-&gt;",$BV258,$BK258))</f>
        <v/>
      </c>
      <c r="CJ258" s="135" t="str">
        <f aca="false">IF(ISBLANK($C258),"",IF($BX258&lt;&gt;Constants!$B$6,$BX258,IF(ISNUMBER($CI258),RANK($CI258,$CI$9:$CI$508,1),COUNT($CI$9:$CI$508)+1)))</f>
        <v/>
      </c>
      <c r="CK258" s="138" t="str">
        <f aca="false">IF($BX258&lt;&gt;Constants!$B$6,"",$AI258)</f>
        <v/>
      </c>
      <c r="CL258" s="135" t="str">
        <f aca="false">IF(ISBLANK($C258),"",IF($BX258&lt;&gt;Constants!$B$6,$BX258,IF(ISNUMBER($CK258),RANK($CK258,$CK$9:$CK$508,1),COUNT($CK$9:$CK$508)+1)))</f>
        <v/>
      </c>
      <c r="CM258" s="135" t="str">
        <f aca="false">IF(ISBLANK($C258),"",IF($BX258&lt;&gt;Constants!$B$6,$BX258,COUNTIFS($CD$9:$CD$508,"&lt;"&amp;$CD258)+COUNTIFS($CD$9:$CD$508,$CD258,$CF$9:$CF$508,"&lt;"&amp;$CF258)+COUNTIFS($CD$9:$CD$508,$CD258,$CF$9:$CF$508,$CF258,$CH$9:$CH$508,"&lt;"&amp;$CH258)+COUNTIFS($CD$9:$CD$508,$CD258,$CF$9:$CF$508,$CF258,$CH$9:$CH$508,$CH258,$CJ$9:$CJ$508,"&lt;"&amp;$CJ258)+COUNTIFS($CD$9:$CD$508,$CD258,$CF$9:$CF$508,$CF258,$CH$9:$CH$508,$CH258,$CJ$9:$CJ$508,$CJ258,$CL$9:$CL$508,"&lt;"&amp;$CL258)+1))</f>
        <v/>
      </c>
      <c r="CN258" s="135" t="str">
        <f aca="false">IF(ISBLANK($C258),"",IF($BX258&lt;&gt;Constants!$B$6,$BX258,$CD258-$CM258))</f>
        <v/>
      </c>
      <c r="CO258" s="141"/>
      <c r="CP258" s="142"/>
      <c r="CQ258" s="143" t="str">
        <f aca="false">IF(ISBLANK($C258),"",IF($BX258=Constants!$B$10,$BW258,""))</f>
        <v/>
      </c>
      <c r="CR258" s="142" t="str">
        <f aca="false">IF(ISBLANK($C258),"",IF($BX258&lt;&gt;Constants!$B$6,"",IF($BL258="-&gt;",2,1)))</f>
        <v/>
      </c>
      <c r="CS258" s="144" t="str">
        <f aca="false">IF(ISBLANK($C258),"",IF($BX258&lt;&gt;Constants!$B$6,"",IF($BL258="-&gt;",$BN258,$BC258)))</f>
        <v/>
      </c>
      <c r="CT258" s="144" t="str">
        <f aca="false">IF(ISBLANK($C258),"",IF($BX258&lt;&gt;Constants!$B$6,"",IF($BL258="-&gt;",$BO258,$BD258)))</f>
        <v/>
      </c>
      <c r="CU258" s="144" t="str">
        <f aca="false">IF(ISBLANK($C258),"",IF($BX258&lt;&gt;Constants!$B$6,"",IF($BL258="-&gt;",$BP258+$BQ258,$BE258+$BF258)+$CB258))</f>
        <v/>
      </c>
      <c r="CV258" s="144" t="str">
        <f aca="false">IF(ISBLANK($C258),"",IF($BX258&lt;&gt;Constants!$B$6,"",IF($BL258="-&gt;",$BR258,$BG258)+$CA258))</f>
        <v/>
      </c>
      <c r="CW258" s="145" t="str">
        <f aca="false">IF(ISBLANK($C258),"",IF($BX258&lt;&gt;Constants!$B$6,$BX258,$CC258))</f>
        <v/>
      </c>
      <c r="CX258" s="146" t="str">
        <f aca="false">IF(ISBLANK($C258),"",$BY258)</f>
        <v/>
      </c>
      <c r="CY258" s="147" t="str">
        <f aca="false">IF(ISBLANK($C258),"",$CN258)</f>
        <v/>
      </c>
      <c r="CZ258" s="147" t="str">
        <f aca="false">IF(ISBLANK($C258),"",$CM258)</f>
        <v/>
      </c>
      <c r="DA258" s="148" t="str">
        <f aca="false">IF(ISBLANK($C258),"",IFERROR(_xlfn.SWITCH($CZ258,Constants!$B$9,COUNTA($C$9:$C$508)+2,Constants!$B$8,COUNTA($C$9:$C$508)+1,Constants!$B$7,COUNTA($C$9:$C$508)),$CZ258))</f>
        <v/>
      </c>
      <c r="DB258" s="9"/>
      <c r="DC258" s="149" t="n">
        <f aca="false">IF(OR(ISNUMBER($CZ258),$CZ258=Constants!$B$9,$CZ258=Constants!$B$7,$CZ258=Constants!$B$8),1,0)</f>
        <v>0</v>
      </c>
      <c r="DD258" s="149" t="n">
        <v>250</v>
      </c>
      <c r="DE258" s="149" t="str">
        <f aca="false">IF(ISBLANK($C258),"",IF(ISNUMBER($DA258),$DA258+ROW($B258)/1000,""))</f>
        <v/>
      </c>
      <c r="DF258" s="149" t="str">
        <f aca="false">IF(ISNUMBER($DE258),RANK($DE258,$DE$9:$DE$508,1),"")</f>
        <v/>
      </c>
      <c r="DG258" s="149" t="str">
        <f aca="false">IF(ISBLANK($C258),"",$B258)</f>
        <v/>
      </c>
      <c r="DH258" s="149" t="str">
        <f aca="false">IF(ISBLANK($C258),"",$C258)</f>
        <v/>
      </c>
      <c r="DI258" s="149" t="str">
        <f aca="false">IF(ISBLANK($C258),"",$D258)</f>
        <v/>
      </c>
      <c r="DJ258" s="150" t="str">
        <f aca="false">$CX258</f>
        <v/>
      </c>
      <c r="DK258" s="151" t="str">
        <f aca="false">$CW258</f>
        <v/>
      </c>
      <c r="DL258" s="149" t="str">
        <f aca="false">IF(ISBLANK($C258),"",$CZ258)</f>
        <v/>
      </c>
      <c r="DM258" s="152" t="str">
        <f aca="false">IF($DD258&gt;$DC$8,"",VLOOKUP($DD258,$DF$9:$DL$508,7,FALSE()))</f>
        <v/>
      </c>
      <c r="DN258" s="153" t="str">
        <f aca="false">IF($DD258&gt;$DC$8,"",VLOOKUP($DD258,$DF$9:$DL$508,2,FALSE()))</f>
        <v/>
      </c>
      <c r="DO258" s="153" t="str">
        <f aca="false">IF($DD258&gt;$DC$8,"",VLOOKUP($DD258,$DF$9:$DL$508,3,FALSE()))</f>
        <v/>
      </c>
      <c r="DP258" s="153" t="str">
        <f aca="false">IF($DD258&gt;$DC$8,"",VLOOKUP($DD258,$DF$9:$DL$508,4,FALSE()))</f>
        <v/>
      </c>
      <c r="DQ258" s="153" t="str">
        <f aca="false">IF($DD258&gt;$DC$8,"",VLOOKUP($DD258,$DF$9:$DL$508,5,FALSE()))</f>
        <v/>
      </c>
      <c r="DR258" s="154" t="str">
        <f aca="false">IF($DD258&gt;$DC$8,"",VLOOKUP($DD258,$DF$9:$DL$508,6,FALSE()))</f>
        <v/>
      </c>
      <c r="DS258" s="76"/>
    </row>
    <row r="259" customFormat="false" ht="15.75" hidden="false" customHeight="false" outlineLevel="0" collapsed="false">
      <c r="A259" s="9"/>
      <c r="B259" s="160"/>
      <c r="C259" s="161"/>
      <c r="D259" s="162"/>
      <c r="E259" s="180"/>
      <c r="F259" s="164"/>
      <c r="G259" s="165"/>
      <c r="H259" s="165"/>
      <c r="I259" s="181"/>
      <c r="J259" s="168"/>
      <c r="K259" s="128"/>
      <c r="L259" s="129"/>
      <c r="M259" s="130"/>
      <c r="N259" s="168"/>
      <c r="O259" s="168"/>
      <c r="P259" s="180"/>
      <c r="Q259" s="168"/>
      <c r="R259" s="168"/>
      <c r="S259" s="128"/>
      <c r="T259" s="130"/>
      <c r="U259" s="130"/>
      <c r="V259" s="168"/>
      <c r="W259" s="168"/>
      <c r="X259" s="180"/>
      <c r="Y259" s="168"/>
      <c r="Z259" s="169"/>
      <c r="AA259" s="168"/>
      <c r="AB259" s="134"/>
      <c r="AC259" s="135"/>
      <c r="AD259" s="135"/>
      <c r="AE259" s="135"/>
      <c r="AF259" s="135" t="str">
        <f aca="false">IF(ISBLANK($C259),"",IF(E259=Constants!$B$2,TRUE(),IF(E259=Constants!$B$3,FALSE(),TRUE())))</f>
        <v/>
      </c>
      <c r="AG259" s="135" t="str">
        <f aca="false">IF(ISBLANK($C259),"",IF(F259=Constants!$B$2,TRUE(),IF(F259=Constants!$B$3,FALSE(),TRUE())))</f>
        <v/>
      </c>
      <c r="AH259" s="135" t="str">
        <f aca="false">IF(ISBLANK($C259),"",IF(G259=Constants!$B$2,TRUE(),IF(G259=Constants!$B$3,FALSE(),TRUE())))</f>
        <v/>
      </c>
      <c r="AI259" s="135" t="str">
        <f aca="false">IF(ISBLANK($C259),"",IF(AND(ISNUMBER(H259),H259&gt;=0),H259,Constants!$B$24))</f>
        <v/>
      </c>
      <c r="AJ259" s="135" t="str">
        <f aca="false">IF(ISBLANK($C259),"",IF(I259=Constants!$B$2,TRUE(),IF(I259=Constants!$B$3,FALSE(),TRUE())))</f>
        <v/>
      </c>
      <c r="AK259" s="135" t="str">
        <f aca="false">IF(ISBLANK($C259),"",IF(J259=Constants!$B$2,TRUE(),IF(J259=Constants!$B$3,FALSE(),TRUE())))</f>
        <v/>
      </c>
      <c r="AL259" s="135" t="str">
        <f aca="false">IF(ISBLANK($C259),"",IF(K259=Constants!$B$4,TRUE(),IF(K259=Constants!$B$5,FALSE(),COUNTA(L259:P259)&gt;0)))</f>
        <v/>
      </c>
      <c r="AM259" s="136" t="str">
        <f aca="false">IF(ISBLANK($C259),"",IF(ISNUMBER(L259),IF(L259&gt;=0,L259,""),""))</f>
        <v/>
      </c>
      <c r="AN259" s="137" t="str">
        <f aca="false">IF(ISBLANK($C259),"",IF(ISNUMBER(M259),IF(M259&gt;=0,M259,""),""))</f>
        <v/>
      </c>
      <c r="AO259" s="137" t="str">
        <f aca="false">IF(ISBLANK($C259),"",IF(N259=Constants!$B$2,TRUE(),IF(N259=Constants!$B$3,FALSE(),TRUE())))</f>
        <v/>
      </c>
      <c r="AP259" s="135" t="str">
        <f aca="false">IF(ISBLANK($C259),"",IF(ISNUMBER(O259),IF(O259&gt;=0,O259,""),""))</f>
        <v/>
      </c>
      <c r="AQ259" s="135" t="str">
        <f aca="false">IF(ISBLANK($C259),"",IF(P259=Constants!$B$2,TRUE(),IF(P259=Constants!$B$3,FALSE(),FALSE())))</f>
        <v/>
      </c>
      <c r="AR259" s="135" t="str">
        <f aca="false">IF(ISBLANK($C259),"",IF(Q259=Constants!$B$2,TRUE(),IF(Q259=Constants!$B$3,FALSE(),TRUE())))</f>
        <v/>
      </c>
      <c r="AS259" s="135" t="str">
        <f aca="false">IF(ISBLANK($C259),"",IF(R259=Constants!$B$2,TRUE(),IF(R259=Constants!$B$3,FALSE(),TRUE())))</f>
        <v/>
      </c>
      <c r="AT259" s="135" t="str">
        <f aca="false">IF(ISBLANK($C259),"",IF(S259=Constants!$B$4,TRUE(),IF(S259=Constants!$B$5,FALSE(),COUNTA(T259:X259)&gt;0)))</f>
        <v/>
      </c>
      <c r="AU259" s="136" t="str">
        <f aca="false">IF(ISBLANK($C259),"",IF(ISNUMBER(T259),IF(T259&gt;=0,T259,""),""))</f>
        <v/>
      </c>
      <c r="AV259" s="137" t="str">
        <f aca="false">IF(ISBLANK($C259),"",IF(ISNUMBER(U259),IF(U259&gt;=0,U259,""),""))</f>
        <v/>
      </c>
      <c r="AW259" s="137" t="str">
        <f aca="false">IF(ISBLANK($C259),"",IF(V259=Constants!$B$2,TRUE(),IF(V259=Constants!$B$3,FALSE(),TRUE())))</f>
        <v/>
      </c>
      <c r="AX259" s="135" t="str">
        <f aca="false">IF(ISBLANK($C259),"",IF(ISNUMBER(W259),IF(W259&gt;=0,W259,""),""))</f>
        <v/>
      </c>
      <c r="AY259" s="135" t="str">
        <f aca="false">IF(ISBLANK($C259),"",IF(X259=Constants!$B$2,TRUE(),IF(X259=Constants!$B$3,FALSE(),FALSE())))</f>
        <v/>
      </c>
      <c r="AZ259" s="135" t="str">
        <f aca="false">IF(ISBLANK($C259),"",MIN(Constants!$B$25,MAX(0,IF(ISNUMBER(Y259),Y259*60,0)+IF(ISNUMBER(Z259),Z259,0))))</f>
        <v/>
      </c>
      <c r="BA259" s="135" t="str">
        <f aca="false">IF(ISBLANK($C259),"",IF(AA259=Constants!$B$2,TRUE(),IF(AA259=Constants!$B$3,FALSE(),FALSE())))</f>
        <v/>
      </c>
      <c r="BB259" s="134" t="str">
        <f aca="false">IF(ISBLANK($C259),"",AND($AL259,OR($AM259="",$AN259="",AND($AO259,$AP259=""))))</f>
        <v/>
      </c>
      <c r="BC259" s="137" t="str">
        <f aca="false">IF($BX259&lt;&gt;Constants!$B$6,"",IF($AL259,Constants!$B$17*$AN259+Constants!$B$18*IF($AO259,$AP259,Constants!$B$19),Constants!$B$20))</f>
        <v/>
      </c>
      <c r="BD259" s="138" t="str">
        <f aca="false">IF($BX259&lt;&gt;Constants!$B$6,"",Constants!$B$21*ABS($AD$9-IF($AL259,$AM259,0)))</f>
        <v/>
      </c>
      <c r="BE259" s="138" t="str">
        <f aca="false">IF($BX259&lt;&gt;Constants!$B$6,"",IF(AND($AL259,$AQ259,$AO259),Constants!$B$22,0))</f>
        <v/>
      </c>
      <c r="BF259" s="138" t="str">
        <f aca="false">IF($BX259&lt;&gt;Constants!$B$6,"",IF($AL259,($AI259-Constants!$B$24)*Constants!$B$23,0))</f>
        <v/>
      </c>
      <c r="BG259" s="138" t="str">
        <f aca="false">IF($BX259&lt;&gt;Constants!$B$6,"",IF($AK259,0,Constants!$B$12)+IF($AJ259,0,Constants!$B$13)+IF($AH259,0,Constants!$B$14))</f>
        <v/>
      </c>
      <c r="BH259" s="139" t="str">
        <f aca="false">IF($BX259&lt;&gt;Constants!$B$6,"",Constants!$B$16+SUM($BC259:$BG259))</f>
        <v/>
      </c>
      <c r="BI259" s="138" t="str">
        <f aca="false">IF($BX259&lt;&gt;Constants!$B$6,"",$BC259)</f>
        <v/>
      </c>
      <c r="BJ259" s="138" t="str">
        <f aca="false">IF($BX259&lt;&gt;Constants!$B$6,"",$BD259)</f>
        <v/>
      </c>
      <c r="BK259" s="140" t="str">
        <f aca="false">IF($BX259&lt;&gt;Constants!$B$6,"",IF($AL259,$AN259,""))</f>
        <v/>
      </c>
      <c r="BL259" s="135" t="str">
        <f aca="false">IF($BX259&lt;&gt;Constants!$B$6,"",IF(OR($BS259&lt;$BH259,AND($BS259=$BH259,OR($BT259&lt;$BI259,AND($BT259=$BI259,OR($BU259&lt;$BJ259,AND($BU259=$BJ259,AND(ISNUMBER($BV259),OR(NOT(ISNUMBER($BK259)),$BV259&lt;$BK259)))))))),"-&gt;","&lt;-"))</f>
        <v/>
      </c>
      <c r="BM259" s="134" t="str">
        <f aca="false">IF(ISBLANK($C259),"",AND($AT259,OR($AU259="",$AV259="",AND($AW259,$AX259=""))))</f>
        <v/>
      </c>
      <c r="BN259" s="137" t="str">
        <f aca="false">IF($BX259&lt;&gt;Constants!$B$6,"",IF($AT259,Constants!$B$17*$AV259+Constants!$B$18*IF($AW259,$AX259,Constants!$B$19),Constants!$B$20))</f>
        <v/>
      </c>
      <c r="BO259" s="138" t="str">
        <f aca="false">IF($BX259&lt;&gt;Constants!$B$6,"",Constants!$B$21*ABS($AD$9-IF($AT259,$AU259,0)))</f>
        <v/>
      </c>
      <c r="BP259" s="138" t="str">
        <f aca="false">IF($BX259&lt;&gt;Constants!$B$6,"",IF(AND($AT259,$AY259,$AW259),Constants!$B$22,0))</f>
        <v/>
      </c>
      <c r="BQ259" s="138" t="str">
        <f aca="false">IF($BX259&lt;&gt;Constants!$B$6,"",IF($AT259,($AI259-Constants!$B$24)*Constants!$B$23,0))</f>
        <v/>
      </c>
      <c r="BR259" s="138" t="str">
        <f aca="false">IF($BX259&lt;&gt;Constants!$B$6,"",IF($AS259,0,Constants!$B$12)+IF($AR259,0,Constants!$B$13)+IF($AH259,0,Constants!$B$14))</f>
        <v/>
      </c>
      <c r="BS259" s="139" t="str">
        <f aca="false">IF($BX259&lt;&gt;Constants!$B$6,"",Constants!$B$16+SUM($BN259:$BR259))</f>
        <v/>
      </c>
      <c r="BT259" s="138" t="str">
        <f aca="false">IF($BX259&lt;&gt;Constants!$B$6,"",$BN259)</f>
        <v/>
      </c>
      <c r="BU259" s="138" t="str">
        <f aca="false">IF($BX259&lt;&gt;Constants!$B$6,"",$BO259)</f>
        <v/>
      </c>
      <c r="BV259" s="140" t="str">
        <f aca="false">IF($BX259&lt;&gt;Constants!$B$6,"",IF($AT259,$AV259,""))</f>
        <v/>
      </c>
      <c r="BW259" s="135" t="str">
        <f aca="false">IF(ISBLANK($C259),"",IF(ISBLANK($D$7),$BW$5,IF(NOT(ISNUMBER($D$7)),$BW$6,"")))</f>
        <v/>
      </c>
      <c r="BX259" s="135" t="str">
        <f aca="false">IF(ISBLANK($C259),"",IF($BA259,Constants!$B$9,IF(COUNTA($E259:$AA259)=0,Constants!$B$8,IF(NOT($AG259),Constants!$B$7,IF(OR($BW259&lt;&gt;"",$BB259,$BM259),Constants!$B$10,Constants!$B$6)))))</f>
        <v/>
      </c>
      <c r="BY259" s="135" t="str">
        <f aca="false">IF(ISBLANK($C259),"",IF($BX259&lt;&gt;Constants!$B$6,$BX259,Constants!$B$11))</f>
        <v/>
      </c>
      <c r="BZ259" s="138" t="str">
        <f aca="false">IF($BX259&lt;&gt;Constants!$B$6,"",IF($BL259="-&gt;",$BS259,$BH259))</f>
        <v/>
      </c>
      <c r="CA259" s="138" t="str">
        <f aca="false">IF($BX259&lt;&gt;Constants!$B$6,"",IF($AF259,0,Constants!$B$15))</f>
        <v/>
      </c>
      <c r="CB259" s="138" t="str">
        <f aca="false">IF($BX259&lt;&gt;Constants!$B$6,"",((Constants!$B$25-$AZ259)-Constants!$B$25)/Constants!$B$26)</f>
        <v/>
      </c>
      <c r="CC259" s="138" t="str">
        <f aca="false">IF(ISBLANK($C259),"",IF($BX259&lt;&gt;Constants!$B$6,$BX259,SUM($BZ259:$CB259)))</f>
        <v/>
      </c>
      <c r="CD259" s="135" t="str">
        <f aca="false">IF(ISBLANK($C259),"",IF($BX259&lt;&gt;Constants!$B$6,$BX259,RANK($CC259,$CC$9:$CC$508,1)))</f>
        <v/>
      </c>
      <c r="CE259" s="138" t="str">
        <f aca="false">IF($BX259&lt;&gt;Constants!$B$6,"",IF($BL259="-&gt;",$BT259,$BI259))</f>
        <v/>
      </c>
      <c r="CF259" s="135" t="str">
        <f aca="false">IF(ISBLANK($C259),"",IF($BX259&lt;&gt;Constants!$B$6,$BX259,IF(ISNUMBER($CE259),RANK($CE259,$CE$9:$CE$508,1),COUNT($CE$9:$CE$508)+1)))</f>
        <v/>
      </c>
      <c r="CG259" s="138" t="str">
        <f aca="false">IF($BX259&lt;&gt;Constants!$B$6,"",IF($BL259="-&gt;",$BU259,$BJ259))</f>
        <v/>
      </c>
      <c r="CH259" s="135" t="str">
        <f aca="false">IF(ISBLANK($C259),"",IF($BX259&lt;&gt;Constants!$B$6,$BX259,IF(ISNUMBER($CG259),RANK($CG259,$CG$9:$CG$508,1),COUNT($CG$9:$CG$508)+1)))</f>
        <v/>
      </c>
      <c r="CI259" s="138" t="str">
        <f aca="false">IF($BX259&lt;&gt;Constants!$B$6,"",IF($BL259="-&gt;",$BV259,$BK259))</f>
        <v/>
      </c>
      <c r="CJ259" s="135" t="str">
        <f aca="false">IF(ISBLANK($C259),"",IF($BX259&lt;&gt;Constants!$B$6,$BX259,IF(ISNUMBER($CI259),RANK($CI259,$CI$9:$CI$508,1),COUNT($CI$9:$CI$508)+1)))</f>
        <v/>
      </c>
      <c r="CK259" s="138" t="str">
        <f aca="false">IF($BX259&lt;&gt;Constants!$B$6,"",$AI259)</f>
        <v/>
      </c>
      <c r="CL259" s="135" t="str">
        <f aca="false">IF(ISBLANK($C259),"",IF($BX259&lt;&gt;Constants!$B$6,$BX259,IF(ISNUMBER($CK259),RANK($CK259,$CK$9:$CK$508,1),COUNT($CK$9:$CK$508)+1)))</f>
        <v/>
      </c>
      <c r="CM259" s="135" t="str">
        <f aca="false">IF(ISBLANK($C259),"",IF($BX259&lt;&gt;Constants!$B$6,$BX259,COUNTIFS($CD$9:$CD$508,"&lt;"&amp;$CD259)+COUNTIFS($CD$9:$CD$508,$CD259,$CF$9:$CF$508,"&lt;"&amp;$CF259)+COUNTIFS($CD$9:$CD$508,$CD259,$CF$9:$CF$508,$CF259,$CH$9:$CH$508,"&lt;"&amp;$CH259)+COUNTIFS($CD$9:$CD$508,$CD259,$CF$9:$CF$508,$CF259,$CH$9:$CH$508,$CH259,$CJ$9:$CJ$508,"&lt;"&amp;$CJ259)+COUNTIFS($CD$9:$CD$508,$CD259,$CF$9:$CF$508,$CF259,$CH$9:$CH$508,$CH259,$CJ$9:$CJ$508,$CJ259,$CL$9:$CL$508,"&lt;"&amp;$CL259)+1))</f>
        <v/>
      </c>
      <c r="CN259" s="135" t="str">
        <f aca="false">IF(ISBLANK($C259),"",IF($BX259&lt;&gt;Constants!$B$6,$BX259,$CD259-$CM259))</f>
        <v/>
      </c>
      <c r="CO259" s="141"/>
      <c r="CP259" s="142"/>
      <c r="CQ259" s="143" t="str">
        <f aca="false">IF(ISBLANK($C259),"",IF($BX259=Constants!$B$10,$BW259,""))</f>
        <v/>
      </c>
      <c r="CR259" s="142" t="str">
        <f aca="false">IF(ISBLANK($C259),"",IF($BX259&lt;&gt;Constants!$B$6,"",IF($BL259="-&gt;",2,1)))</f>
        <v/>
      </c>
      <c r="CS259" s="144" t="str">
        <f aca="false">IF(ISBLANK($C259),"",IF($BX259&lt;&gt;Constants!$B$6,"",IF($BL259="-&gt;",$BN259,$BC259)))</f>
        <v/>
      </c>
      <c r="CT259" s="144" t="str">
        <f aca="false">IF(ISBLANK($C259),"",IF($BX259&lt;&gt;Constants!$B$6,"",IF($BL259="-&gt;",$BO259,$BD259)))</f>
        <v/>
      </c>
      <c r="CU259" s="144" t="str">
        <f aca="false">IF(ISBLANK($C259),"",IF($BX259&lt;&gt;Constants!$B$6,"",IF($BL259="-&gt;",$BP259+$BQ259,$BE259+$BF259)+$CB259))</f>
        <v/>
      </c>
      <c r="CV259" s="144" t="str">
        <f aca="false">IF(ISBLANK($C259),"",IF($BX259&lt;&gt;Constants!$B$6,"",IF($BL259="-&gt;",$BR259,$BG259)+$CA259))</f>
        <v/>
      </c>
      <c r="CW259" s="145" t="str">
        <f aca="false">IF(ISBLANK($C259),"",IF($BX259&lt;&gt;Constants!$B$6,$BX259,$CC259))</f>
        <v/>
      </c>
      <c r="CX259" s="146" t="str">
        <f aca="false">IF(ISBLANK($C259),"",$BY259)</f>
        <v/>
      </c>
      <c r="CY259" s="147" t="str">
        <f aca="false">IF(ISBLANK($C259),"",$CN259)</f>
        <v/>
      </c>
      <c r="CZ259" s="147" t="str">
        <f aca="false">IF(ISBLANK($C259),"",$CM259)</f>
        <v/>
      </c>
      <c r="DA259" s="148" t="str">
        <f aca="false">IF(ISBLANK($C259),"",IFERROR(_xlfn.SWITCH($CZ259,Constants!$B$9,COUNTA($C$9:$C$508)+2,Constants!$B$8,COUNTA($C$9:$C$508)+1,Constants!$B$7,COUNTA($C$9:$C$508)),$CZ259))</f>
        <v/>
      </c>
      <c r="DB259" s="9"/>
      <c r="DC259" s="149" t="n">
        <f aca="false">IF(OR(ISNUMBER($CZ259),$CZ259=Constants!$B$9,$CZ259=Constants!$B$7,$CZ259=Constants!$B$8),1,0)</f>
        <v>0</v>
      </c>
      <c r="DD259" s="149" t="n">
        <v>251</v>
      </c>
      <c r="DE259" s="149" t="str">
        <f aca="false">IF(ISBLANK($C259),"",IF(ISNUMBER($DA259),$DA259+ROW($B259)/1000,""))</f>
        <v/>
      </c>
      <c r="DF259" s="149" t="str">
        <f aca="false">IF(ISNUMBER($DE259),RANK($DE259,$DE$9:$DE$508,1),"")</f>
        <v/>
      </c>
      <c r="DG259" s="149" t="str">
        <f aca="false">IF(ISBLANK($C259),"",$B259)</f>
        <v/>
      </c>
      <c r="DH259" s="149" t="str">
        <f aca="false">IF(ISBLANK($C259),"",$C259)</f>
        <v/>
      </c>
      <c r="DI259" s="149" t="str">
        <f aca="false">IF(ISBLANK($C259),"",$D259)</f>
        <v/>
      </c>
      <c r="DJ259" s="150" t="str">
        <f aca="false">$CX259</f>
        <v/>
      </c>
      <c r="DK259" s="151" t="str">
        <f aca="false">$CW259</f>
        <v/>
      </c>
      <c r="DL259" s="149" t="str">
        <f aca="false">IF(ISBLANK($C259),"",$CZ259)</f>
        <v/>
      </c>
      <c r="DM259" s="152" t="str">
        <f aca="false">IF($DD259&gt;$DC$8,"",VLOOKUP($DD259,$DF$9:$DL$508,7,FALSE()))</f>
        <v/>
      </c>
      <c r="DN259" s="153" t="str">
        <f aca="false">IF($DD259&gt;$DC$8,"",VLOOKUP($DD259,$DF$9:$DL$508,2,FALSE()))</f>
        <v/>
      </c>
      <c r="DO259" s="153" t="str">
        <f aca="false">IF($DD259&gt;$DC$8,"",VLOOKUP($DD259,$DF$9:$DL$508,3,FALSE()))</f>
        <v/>
      </c>
      <c r="DP259" s="153" t="str">
        <f aca="false">IF($DD259&gt;$DC$8,"",VLOOKUP($DD259,$DF$9:$DL$508,4,FALSE()))</f>
        <v/>
      </c>
      <c r="DQ259" s="153" t="str">
        <f aca="false">IF($DD259&gt;$DC$8,"",VLOOKUP($DD259,$DF$9:$DL$508,5,FALSE()))</f>
        <v/>
      </c>
      <c r="DR259" s="154" t="str">
        <f aca="false">IF($DD259&gt;$DC$8,"",VLOOKUP($DD259,$DF$9:$DL$508,6,FALSE()))</f>
        <v/>
      </c>
      <c r="DS259" s="76"/>
    </row>
    <row r="260" customFormat="false" ht="15.75" hidden="false" customHeight="false" outlineLevel="0" collapsed="false">
      <c r="A260" s="9"/>
      <c r="B260" s="160"/>
      <c r="C260" s="161"/>
      <c r="D260" s="162"/>
      <c r="E260" s="180"/>
      <c r="F260" s="164"/>
      <c r="G260" s="165"/>
      <c r="H260" s="165"/>
      <c r="I260" s="181"/>
      <c r="J260" s="168"/>
      <c r="K260" s="128"/>
      <c r="L260" s="129"/>
      <c r="M260" s="130"/>
      <c r="N260" s="168"/>
      <c r="O260" s="168"/>
      <c r="P260" s="180"/>
      <c r="Q260" s="168"/>
      <c r="R260" s="168"/>
      <c r="S260" s="128"/>
      <c r="T260" s="130"/>
      <c r="U260" s="130"/>
      <c r="V260" s="168"/>
      <c r="W260" s="168"/>
      <c r="X260" s="180"/>
      <c r="Y260" s="168"/>
      <c r="Z260" s="169"/>
      <c r="AA260" s="168"/>
      <c r="AB260" s="134"/>
      <c r="AC260" s="135"/>
      <c r="AD260" s="135"/>
      <c r="AE260" s="135"/>
      <c r="AF260" s="135" t="str">
        <f aca="false">IF(ISBLANK($C260),"",IF(E260=Constants!$B$2,TRUE(),IF(E260=Constants!$B$3,FALSE(),TRUE())))</f>
        <v/>
      </c>
      <c r="AG260" s="135" t="str">
        <f aca="false">IF(ISBLANK($C260),"",IF(F260=Constants!$B$2,TRUE(),IF(F260=Constants!$B$3,FALSE(),TRUE())))</f>
        <v/>
      </c>
      <c r="AH260" s="135" t="str">
        <f aca="false">IF(ISBLANK($C260),"",IF(G260=Constants!$B$2,TRUE(),IF(G260=Constants!$B$3,FALSE(),TRUE())))</f>
        <v/>
      </c>
      <c r="AI260" s="135" t="str">
        <f aca="false">IF(ISBLANK($C260),"",IF(AND(ISNUMBER(H260),H260&gt;=0),H260,Constants!$B$24))</f>
        <v/>
      </c>
      <c r="AJ260" s="135" t="str">
        <f aca="false">IF(ISBLANK($C260),"",IF(I260=Constants!$B$2,TRUE(),IF(I260=Constants!$B$3,FALSE(),TRUE())))</f>
        <v/>
      </c>
      <c r="AK260" s="135" t="str">
        <f aca="false">IF(ISBLANK($C260),"",IF(J260=Constants!$B$2,TRUE(),IF(J260=Constants!$B$3,FALSE(),TRUE())))</f>
        <v/>
      </c>
      <c r="AL260" s="135" t="str">
        <f aca="false">IF(ISBLANK($C260),"",IF(K260=Constants!$B$4,TRUE(),IF(K260=Constants!$B$5,FALSE(),COUNTA(L260:P260)&gt;0)))</f>
        <v/>
      </c>
      <c r="AM260" s="136" t="str">
        <f aca="false">IF(ISBLANK($C260),"",IF(ISNUMBER(L260),IF(L260&gt;=0,L260,""),""))</f>
        <v/>
      </c>
      <c r="AN260" s="137" t="str">
        <f aca="false">IF(ISBLANK($C260),"",IF(ISNUMBER(M260),IF(M260&gt;=0,M260,""),""))</f>
        <v/>
      </c>
      <c r="AO260" s="137" t="str">
        <f aca="false">IF(ISBLANK($C260),"",IF(N260=Constants!$B$2,TRUE(),IF(N260=Constants!$B$3,FALSE(),TRUE())))</f>
        <v/>
      </c>
      <c r="AP260" s="135" t="str">
        <f aca="false">IF(ISBLANK($C260),"",IF(ISNUMBER(O260),IF(O260&gt;=0,O260,""),""))</f>
        <v/>
      </c>
      <c r="AQ260" s="135" t="str">
        <f aca="false">IF(ISBLANK($C260),"",IF(P260=Constants!$B$2,TRUE(),IF(P260=Constants!$B$3,FALSE(),FALSE())))</f>
        <v/>
      </c>
      <c r="AR260" s="135" t="str">
        <f aca="false">IF(ISBLANK($C260),"",IF(Q260=Constants!$B$2,TRUE(),IF(Q260=Constants!$B$3,FALSE(),TRUE())))</f>
        <v/>
      </c>
      <c r="AS260" s="135" t="str">
        <f aca="false">IF(ISBLANK($C260),"",IF(R260=Constants!$B$2,TRUE(),IF(R260=Constants!$B$3,FALSE(),TRUE())))</f>
        <v/>
      </c>
      <c r="AT260" s="135" t="str">
        <f aca="false">IF(ISBLANK($C260),"",IF(S260=Constants!$B$4,TRUE(),IF(S260=Constants!$B$5,FALSE(),COUNTA(T260:X260)&gt;0)))</f>
        <v/>
      </c>
      <c r="AU260" s="136" t="str">
        <f aca="false">IF(ISBLANK($C260),"",IF(ISNUMBER(T260),IF(T260&gt;=0,T260,""),""))</f>
        <v/>
      </c>
      <c r="AV260" s="137" t="str">
        <f aca="false">IF(ISBLANK($C260),"",IF(ISNUMBER(U260),IF(U260&gt;=0,U260,""),""))</f>
        <v/>
      </c>
      <c r="AW260" s="137" t="str">
        <f aca="false">IF(ISBLANK($C260),"",IF(V260=Constants!$B$2,TRUE(),IF(V260=Constants!$B$3,FALSE(),TRUE())))</f>
        <v/>
      </c>
      <c r="AX260" s="135" t="str">
        <f aca="false">IF(ISBLANK($C260),"",IF(ISNUMBER(W260),IF(W260&gt;=0,W260,""),""))</f>
        <v/>
      </c>
      <c r="AY260" s="135" t="str">
        <f aca="false">IF(ISBLANK($C260),"",IF(X260=Constants!$B$2,TRUE(),IF(X260=Constants!$B$3,FALSE(),FALSE())))</f>
        <v/>
      </c>
      <c r="AZ260" s="135" t="str">
        <f aca="false">IF(ISBLANK($C260),"",MIN(Constants!$B$25,MAX(0,IF(ISNUMBER(Y260),Y260*60,0)+IF(ISNUMBER(Z260),Z260,0))))</f>
        <v/>
      </c>
      <c r="BA260" s="135" t="str">
        <f aca="false">IF(ISBLANK($C260),"",IF(AA260=Constants!$B$2,TRUE(),IF(AA260=Constants!$B$3,FALSE(),FALSE())))</f>
        <v/>
      </c>
      <c r="BB260" s="134" t="str">
        <f aca="false">IF(ISBLANK($C260),"",AND($AL260,OR($AM260="",$AN260="",AND($AO260,$AP260=""))))</f>
        <v/>
      </c>
      <c r="BC260" s="137" t="str">
        <f aca="false">IF($BX260&lt;&gt;Constants!$B$6,"",IF($AL260,Constants!$B$17*$AN260+Constants!$B$18*IF($AO260,$AP260,Constants!$B$19),Constants!$B$20))</f>
        <v/>
      </c>
      <c r="BD260" s="138" t="str">
        <f aca="false">IF($BX260&lt;&gt;Constants!$B$6,"",Constants!$B$21*ABS($AD$9-IF($AL260,$AM260,0)))</f>
        <v/>
      </c>
      <c r="BE260" s="138" t="str">
        <f aca="false">IF($BX260&lt;&gt;Constants!$B$6,"",IF(AND($AL260,$AQ260,$AO260),Constants!$B$22,0))</f>
        <v/>
      </c>
      <c r="BF260" s="138" t="str">
        <f aca="false">IF($BX260&lt;&gt;Constants!$B$6,"",IF($AL260,($AI260-Constants!$B$24)*Constants!$B$23,0))</f>
        <v/>
      </c>
      <c r="BG260" s="138" t="str">
        <f aca="false">IF($BX260&lt;&gt;Constants!$B$6,"",IF($AK260,0,Constants!$B$12)+IF($AJ260,0,Constants!$B$13)+IF($AH260,0,Constants!$B$14))</f>
        <v/>
      </c>
      <c r="BH260" s="139" t="str">
        <f aca="false">IF($BX260&lt;&gt;Constants!$B$6,"",Constants!$B$16+SUM($BC260:$BG260))</f>
        <v/>
      </c>
      <c r="BI260" s="138" t="str">
        <f aca="false">IF($BX260&lt;&gt;Constants!$B$6,"",$BC260)</f>
        <v/>
      </c>
      <c r="BJ260" s="138" t="str">
        <f aca="false">IF($BX260&lt;&gt;Constants!$B$6,"",$BD260)</f>
        <v/>
      </c>
      <c r="BK260" s="140" t="str">
        <f aca="false">IF($BX260&lt;&gt;Constants!$B$6,"",IF($AL260,$AN260,""))</f>
        <v/>
      </c>
      <c r="BL260" s="135" t="str">
        <f aca="false">IF($BX260&lt;&gt;Constants!$B$6,"",IF(OR($BS260&lt;$BH260,AND($BS260=$BH260,OR($BT260&lt;$BI260,AND($BT260=$BI260,OR($BU260&lt;$BJ260,AND($BU260=$BJ260,AND(ISNUMBER($BV260),OR(NOT(ISNUMBER($BK260)),$BV260&lt;$BK260)))))))),"-&gt;","&lt;-"))</f>
        <v/>
      </c>
      <c r="BM260" s="134" t="str">
        <f aca="false">IF(ISBLANK($C260),"",AND($AT260,OR($AU260="",$AV260="",AND($AW260,$AX260=""))))</f>
        <v/>
      </c>
      <c r="BN260" s="137" t="str">
        <f aca="false">IF($BX260&lt;&gt;Constants!$B$6,"",IF($AT260,Constants!$B$17*$AV260+Constants!$B$18*IF($AW260,$AX260,Constants!$B$19),Constants!$B$20))</f>
        <v/>
      </c>
      <c r="BO260" s="138" t="str">
        <f aca="false">IF($BX260&lt;&gt;Constants!$B$6,"",Constants!$B$21*ABS($AD$9-IF($AT260,$AU260,0)))</f>
        <v/>
      </c>
      <c r="BP260" s="138" t="str">
        <f aca="false">IF($BX260&lt;&gt;Constants!$B$6,"",IF(AND($AT260,$AY260,$AW260),Constants!$B$22,0))</f>
        <v/>
      </c>
      <c r="BQ260" s="138" t="str">
        <f aca="false">IF($BX260&lt;&gt;Constants!$B$6,"",IF($AT260,($AI260-Constants!$B$24)*Constants!$B$23,0))</f>
        <v/>
      </c>
      <c r="BR260" s="138" t="str">
        <f aca="false">IF($BX260&lt;&gt;Constants!$B$6,"",IF($AS260,0,Constants!$B$12)+IF($AR260,0,Constants!$B$13)+IF($AH260,0,Constants!$B$14))</f>
        <v/>
      </c>
      <c r="BS260" s="139" t="str">
        <f aca="false">IF($BX260&lt;&gt;Constants!$B$6,"",Constants!$B$16+SUM($BN260:$BR260))</f>
        <v/>
      </c>
      <c r="BT260" s="138" t="str">
        <f aca="false">IF($BX260&lt;&gt;Constants!$B$6,"",$BN260)</f>
        <v/>
      </c>
      <c r="BU260" s="138" t="str">
        <f aca="false">IF($BX260&lt;&gt;Constants!$B$6,"",$BO260)</f>
        <v/>
      </c>
      <c r="BV260" s="140" t="str">
        <f aca="false">IF($BX260&lt;&gt;Constants!$B$6,"",IF($AT260,$AV260,""))</f>
        <v/>
      </c>
      <c r="BW260" s="135" t="str">
        <f aca="false">IF(ISBLANK($C260),"",IF(ISBLANK($D$7),$BW$5,IF(NOT(ISNUMBER($D$7)),$BW$6,"")))</f>
        <v/>
      </c>
      <c r="BX260" s="135" t="str">
        <f aca="false">IF(ISBLANK($C260),"",IF($BA260,Constants!$B$9,IF(COUNTA($E260:$AA260)=0,Constants!$B$8,IF(NOT($AG260),Constants!$B$7,IF(OR($BW260&lt;&gt;"",$BB260,$BM260),Constants!$B$10,Constants!$B$6)))))</f>
        <v/>
      </c>
      <c r="BY260" s="135" t="str">
        <f aca="false">IF(ISBLANK($C260),"",IF($BX260&lt;&gt;Constants!$B$6,$BX260,Constants!$B$11))</f>
        <v/>
      </c>
      <c r="BZ260" s="138" t="str">
        <f aca="false">IF($BX260&lt;&gt;Constants!$B$6,"",IF($BL260="-&gt;",$BS260,$BH260))</f>
        <v/>
      </c>
      <c r="CA260" s="138" t="str">
        <f aca="false">IF($BX260&lt;&gt;Constants!$B$6,"",IF($AF260,0,Constants!$B$15))</f>
        <v/>
      </c>
      <c r="CB260" s="138" t="str">
        <f aca="false">IF($BX260&lt;&gt;Constants!$B$6,"",((Constants!$B$25-$AZ260)-Constants!$B$25)/Constants!$B$26)</f>
        <v/>
      </c>
      <c r="CC260" s="138" t="str">
        <f aca="false">IF(ISBLANK($C260),"",IF($BX260&lt;&gt;Constants!$B$6,$BX260,SUM($BZ260:$CB260)))</f>
        <v/>
      </c>
      <c r="CD260" s="135" t="str">
        <f aca="false">IF(ISBLANK($C260),"",IF($BX260&lt;&gt;Constants!$B$6,$BX260,RANK($CC260,$CC$9:$CC$508,1)))</f>
        <v/>
      </c>
      <c r="CE260" s="138" t="str">
        <f aca="false">IF($BX260&lt;&gt;Constants!$B$6,"",IF($BL260="-&gt;",$BT260,$BI260))</f>
        <v/>
      </c>
      <c r="CF260" s="135" t="str">
        <f aca="false">IF(ISBLANK($C260),"",IF($BX260&lt;&gt;Constants!$B$6,$BX260,IF(ISNUMBER($CE260),RANK($CE260,$CE$9:$CE$508,1),COUNT($CE$9:$CE$508)+1)))</f>
        <v/>
      </c>
      <c r="CG260" s="138" t="str">
        <f aca="false">IF($BX260&lt;&gt;Constants!$B$6,"",IF($BL260="-&gt;",$BU260,$BJ260))</f>
        <v/>
      </c>
      <c r="CH260" s="135" t="str">
        <f aca="false">IF(ISBLANK($C260),"",IF($BX260&lt;&gt;Constants!$B$6,$BX260,IF(ISNUMBER($CG260),RANK($CG260,$CG$9:$CG$508,1),COUNT($CG$9:$CG$508)+1)))</f>
        <v/>
      </c>
      <c r="CI260" s="138" t="str">
        <f aca="false">IF($BX260&lt;&gt;Constants!$B$6,"",IF($BL260="-&gt;",$BV260,$BK260))</f>
        <v/>
      </c>
      <c r="CJ260" s="135" t="str">
        <f aca="false">IF(ISBLANK($C260),"",IF($BX260&lt;&gt;Constants!$B$6,$BX260,IF(ISNUMBER($CI260),RANK($CI260,$CI$9:$CI$508,1),COUNT($CI$9:$CI$508)+1)))</f>
        <v/>
      </c>
      <c r="CK260" s="138" t="str">
        <f aca="false">IF($BX260&lt;&gt;Constants!$B$6,"",$AI260)</f>
        <v/>
      </c>
      <c r="CL260" s="135" t="str">
        <f aca="false">IF(ISBLANK($C260),"",IF($BX260&lt;&gt;Constants!$B$6,$BX260,IF(ISNUMBER($CK260),RANK($CK260,$CK$9:$CK$508,1),COUNT($CK$9:$CK$508)+1)))</f>
        <v/>
      </c>
      <c r="CM260" s="135" t="str">
        <f aca="false">IF(ISBLANK($C260),"",IF($BX260&lt;&gt;Constants!$B$6,$BX260,COUNTIFS($CD$9:$CD$508,"&lt;"&amp;$CD260)+COUNTIFS($CD$9:$CD$508,$CD260,$CF$9:$CF$508,"&lt;"&amp;$CF260)+COUNTIFS($CD$9:$CD$508,$CD260,$CF$9:$CF$508,$CF260,$CH$9:$CH$508,"&lt;"&amp;$CH260)+COUNTIFS($CD$9:$CD$508,$CD260,$CF$9:$CF$508,$CF260,$CH$9:$CH$508,$CH260,$CJ$9:$CJ$508,"&lt;"&amp;$CJ260)+COUNTIFS($CD$9:$CD$508,$CD260,$CF$9:$CF$508,$CF260,$CH$9:$CH$508,$CH260,$CJ$9:$CJ$508,$CJ260,$CL$9:$CL$508,"&lt;"&amp;$CL260)+1))</f>
        <v/>
      </c>
      <c r="CN260" s="135" t="str">
        <f aca="false">IF(ISBLANK($C260),"",IF($BX260&lt;&gt;Constants!$B$6,$BX260,$CD260-$CM260))</f>
        <v/>
      </c>
      <c r="CO260" s="141"/>
      <c r="CP260" s="142"/>
      <c r="CQ260" s="143" t="str">
        <f aca="false">IF(ISBLANK($C260),"",IF($BX260=Constants!$B$10,$BW260,""))</f>
        <v/>
      </c>
      <c r="CR260" s="142" t="str">
        <f aca="false">IF(ISBLANK($C260),"",IF($BX260&lt;&gt;Constants!$B$6,"",IF($BL260="-&gt;",2,1)))</f>
        <v/>
      </c>
      <c r="CS260" s="144" t="str">
        <f aca="false">IF(ISBLANK($C260),"",IF($BX260&lt;&gt;Constants!$B$6,"",IF($BL260="-&gt;",$BN260,$BC260)))</f>
        <v/>
      </c>
      <c r="CT260" s="144" t="str">
        <f aca="false">IF(ISBLANK($C260),"",IF($BX260&lt;&gt;Constants!$B$6,"",IF($BL260="-&gt;",$BO260,$BD260)))</f>
        <v/>
      </c>
      <c r="CU260" s="144" t="str">
        <f aca="false">IF(ISBLANK($C260),"",IF($BX260&lt;&gt;Constants!$B$6,"",IF($BL260="-&gt;",$BP260+$BQ260,$BE260+$BF260)+$CB260))</f>
        <v/>
      </c>
      <c r="CV260" s="144" t="str">
        <f aca="false">IF(ISBLANK($C260),"",IF($BX260&lt;&gt;Constants!$B$6,"",IF($BL260="-&gt;",$BR260,$BG260)+$CA260))</f>
        <v/>
      </c>
      <c r="CW260" s="145" t="str">
        <f aca="false">IF(ISBLANK($C260),"",IF($BX260&lt;&gt;Constants!$B$6,$BX260,$CC260))</f>
        <v/>
      </c>
      <c r="CX260" s="146" t="str">
        <f aca="false">IF(ISBLANK($C260),"",$BY260)</f>
        <v/>
      </c>
      <c r="CY260" s="147" t="str">
        <f aca="false">IF(ISBLANK($C260),"",$CN260)</f>
        <v/>
      </c>
      <c r="CZ260" s="147" t="str">
        <f aca="false">IF(ISBLANK($C260),"",$CM260)</f>
        <v/>
      </c>
      <c r="DA260" s="148" t="str">
        <f aca="false">IF(ISBLANK($C260),"",IFERROR(_xlfn.SWITCH($CZ260,Constants!$B$9,COUNTA($C$9:$C$508)+2,Constants!$B$8,COUNTA($C$9:$C$508)+1,Constants!$B$7,COUNTA($C$9:$C$508)),$CZ260))</f>
        <v/>
      </c>
      <c r="DB260" s="9"/>
      <c r="DC260" s="149" t="n">
        <f aca="false">IF(OR(ISNUMBER($CZ260),$CZ260=Constants!$B$9,$CZ260=Constants!$B$7,$CZ260=Constants!$B$8),1,0)</f>
        <v>0</v>
      </c>
      <c r="DD260" s="149" t="n">
        <v>252</v>
      </c>
      <c r="DE260" s="149" t="str">
        <f aca="false">IF(ISBLANK($C260),"",IF(ISNUMBER($DA260),$DA260+ROW($B260)/1000,""))</f>
        <v/>
      </c>
      <c r="DF260" s="149" t="str">
        <f aca="false">IF(ISNUMBER($DE260),RANK($DE260,$DE$9:$DE$508,1),"")</f>
        <v/>
      </c>
      <c r="DG260" s="149" t="str">
        <f aca="false">IF(ISBLANK($C260),"",$B260)</f>
        <v/>
      </c>
      <c r="DH260" s="149" t="str">
        <f aca="false">IF(ISBLANK($C260),"",$C260)</f>
        <v/>
      </c>
      <c r="DI260" s="149" t="str">
        <f aca="false">IF(ISBLANK($C260),"",$D260)</f>
        <v/>
      </c>
      <c r="DJ260" s="150" t="str">
        <f aca="false">$CX260</f>
        <v/>
      </c>
      <c r="DK260" s="151" t="str">
        <f aca="false">$CW260</f>
        <v/>
      </c>
      <c r="DL260" s="149" t="str">
        <f aca="false">IF(ISBLANK($C260),"",$CZ260)</f>
        <v/>
      </c>
      <c r="DM260" s="152" t="str">
        <f aca="false">IF($DD260&gt;$DC$8,"",VLOOKUP($DD260,$DF$9:$DL$508,7,FALSE()))</f>
        <v/>
      </c>
      <c r="DN260" s="153" t="str">
        <f aca="false">IF($DD260&gt;$DC$8,"",VLOOKUP($DD260,$DF$9:$DL$508,2,FALSE()))</f>
        <v/>
      </c>
      <c r="DO260" s="153" t="str">
        <f aca="false">IF($DD260&gt;$DC$8,"",VLOOKUP($DD260,$DF$9:$DL$508,3,FALSE()))</f>
        <v/>
      </c>
      <c r="DP260" s="153" t="str">
        <f aca="false">IF($DD260&gt;$DC$8,"",VLOOKUP($DD260,$DF$9:$DL$508,4,FALSE()))</f>
        <v/>
      </c>
      <c r="DQ260" s="153" t="str">
        <f aca="false">IF($DD260&gt;$DC$8,"",VLOOKUP($DD260,$DF$9:$DL$508,5,FALSE()))</f>
        <v/>
      </c>
      <c r="DR260" s="154" t="str">
        <f aca="false">IF($DD260&gt;$DC$8,"",VLOOKUP($DD260,$DF$9:$DL$508,6,FALSE()))</f>
        <v/>
      </c>
      <c r="DS260" s="76"/>
    </row>
    <row r="261" customFormat="false" ht="15.75" hidden="false" customHeight="false" outlineLevel="0" collapsed="false">
      <c r="A261" s="9"/>
      <c r="B261" s="78"/>
      <c r="C261" s="79"/>
      <c r="D261" s="170"/>
      <c r="E261" s="178"/>
      <c r="F261" s="172"/>
      <c r="G261" s="173"/>
      <c r="H261" s="173"/>
      <c r="I261" s="179"/>
      <c r="J261" s="176"/>
      <c r="K261" s="86"/>
      <c r="L261" s="87"/>
      <c r="M261" s="88"/>
      <c r="N261" s="176"/>
      <c r="O261" s="176"/>
      <c r="P261" s="178"/>
      <c r="Q261" s="176"/>
      <c r="R261" s="176"/>
      <c r="S261" s="86"/>
      <c r="T261" s="88"/>
      <c r="U261" s="88"/>
      <c r="V261" s="176"/>
      <c r="W261" s="176"/>
      <c r="X261" s="178"/>
      <c r="Y261" s="176"/>
      <c r="Z261" s="177"/>
      <c r="AA261" s="176"/>
      <c r="AB261" s="92"/>
      <c r="AC261" s="93"/>
      <c r="AD261" s="93"/>
      <c r="AE261" s="93"/>
      <c r="AF261" s="93" t="str">
        <f aca="false">IF(ISBLANK($C261),"",IF(E261=Constants!$B$2,TRUE(),IF(E261=Constants!$B$3,FALSE(),TRUE())))</f>
        <v/>
      </c>
      <c r="AG261" s="93" t="str">
        <f aca="false">IF(ISBLANK($C261),"",IF(F261=Constants!$B$2,TRUE(),IF(F261=Constants!$B$3,FALSE(),TRUE())))</f>
        <v/>
      </c>
      <c r="AH261" s="93" t="str">
        <f aca="false">IF(ISBLANK($C261),"",IF(G261=Constants!$B$2,TRUE(),IF(G261=Constants!$B$3,FALSE(),TRUE())))</f>
        <v/>
      </c>
      <c r="AI261" s="93" t="str">
        <f aca="false">IF(ISBLANK($C261),"",IF(AND(ISNUMBER(H261),H261&gt;=0),H261,Constants!$B$24))</f>
        <v/>
      </c>
      <c r="AJ261" s="93" t="str">
        <f aca="false">IF(ISBLANK($C261),"",IF(I261=Constants!$B$2,TRUE(),IF(I261=Constants!$B$3,FALSE(),TRUE())))</f>
        <v/>
      </c>
      <c r="AK261" s="93" t="str">
        <f aca="false">IF(ISBLANK($C261),"",IF(J261=Constants!$B$2,TRUE(),IF(J261=Constants!$B$3,FALSE(),TRUE())))</f>
        <v/>
      </c>
      <c r="AL261" s="93" t="str">
        <f aca="false">IF(ISBLANK($C261),"",IF(K261=Constants!$B$4,TRUE(),IF(K261=Constants!$B$5,FALSE(),COUNTA(L261:P261)&gt;0)))</f>
        <v/>
      </c>
      <c r="AM261" s="95" t="str">
        <f aca="false">IF(ISBLANK($C261),"",IF(ISNUMBER(L261),IF(L261&gt;=0,L261,""),""))</f>
        <v/>
      </c>
      <c r="AN261" s="94" t="str">
        <f aca="false">IF(ISBLANK($C261),"",IF(ISNUMBER(M261),IF(M261&gt;=0,M261,""),""))</f>
        <v/>
      </c>
      <c r="AO261" s="94" t="str">
        <f aca="false">IF(ISBLANK($C261),"",IF(N261=Constants!$B$2,TRUE(),IF(N261=Constants!$B$3,FALSE(),TRUE())))</f>
        <v/>
      </c>
      <c r="AP261" s="93" t="str">
        <f aca="false">IF(ISBLANK($C261),"",IF(ISNUMBER(O261),IF(O261&gt;=0,O261,""),""))</f>
        <v/>
      </c>
      <c r="AQ261" s="93" t="str">
        <f aca="false">IF(ISBLANK($C261),"",IF(P261=Constants!$B$2,TRUE(),IF(P261=Constants!$B$3,FALSE(),FALSE())))</f>
        <v/>
      </c>
      <c r="AR261" s="93" t="str">
        <f aca="false">IF(ISBLANK($C261),"",IF(Q261=Constants!$B$2,TRUE(),IF(Q261=Constants!$B$3,FALSE(),TRUE())))</f>
        <v/>
      </c>
      <c r="AS261" s="93" t="str">
        <f aca="false">IF(ISBLANK($C261),"",IF(R261=Constants!$B$2,TRUE(),IF(R261=Constants!$B$3,FALSE(),TRUE())))</f>
        <v/>
      </c>
      <c r="AT261" s="93" t="str">
        <f aca="false">IF(ISBLANK($C261),"",IF(S261=Constants!$B$4,TRUE(),IF(S261=Constants!$B$5,FALSE(),COUNTA(T261:X261)&gt;0)))</f>
        <v/>
      </c>
      <c r="AU261" s="95" t="str">
        <f aca="false">IF(ISBLANK($C261),"",IF(ISNUMBER(T261),IF(T261&gt;=0,T261,""),""))</f>
        <v/>
      </c>
      <c r="AV261" s="94" t="str">
        <f aca="false">IF(ISBLANK($C261),"",IF(ISNUMBER(U261),IF(U261&gt;=0,U261,""),""))</f>
        <v/>
      </c>
      <c r="AW261" s="94" t="str">
        <f aca="false">IF(ISBLANK($C261),"",IF(V261=Constants!$B$2,TRUE(),IF(V261=Constants!$B$3,FALSE(),TRUE())))</f>
        <v/>
      </c>
      <c r="AX261" s="93" t="str">
        <f aca="false">IF(ISBLANK($C261),"",IF(ISNUMBER(W261),IF(W261&gt;=0,W261,""),""))</f>
        <v/>
      </c>
      <c r="AY261" s="93" t="str">
        <f aca="false">IF(ISBLANK($C261),"",IF(X261=Constants!$B$2,TRUE(),IF(X261=Constants!$B$3,FALSE(),FALSE())))</f>
        <v/>
      </c>
      <c r="AZ261" s="93" t="str">
        <f aca="false">IF(ISBLANK($C261),"",MIN(Constants!$B$25,MAX(0,IF(ISNUMBER(Y261),Y261*60,0)+IF(ISNUMBER(Z261),Z261,0))))</f>
        <v/>
      </c>
      <c r="BA261" s="93" t="str">
        <f aca="false">IF(ISBLANK($C261),"",IF(AA261=Constants!$B$2,TRUE(),IF(AA261=Constants!$B$3,FALSE(),FALSE())))</f>
        <v/>
      </c>
      <c r="BB261" s="92" t="str">
        <f aca="false">IF(ISBLANK($C261),"",AND($AL261,OR($AM261="",$AN261="",AND($AO261,$AP261=""))))</f>
        <v/>
      </c>
      <c r="BC261" s="94" t="str">
        <f aca="false">IF($BX261&lt;&gt;Constants!$B$6,"",IF($AL261,Constants!$B$17*$AN261+Constants!$B$18*IF($AO261,$AP261,Constants!$B$19),Constants!$B$20))</f>
        <v/>
      </c>
      <c r="BD261" s="97" t="str">
        <f aca="false">IF($BX261&lt;&gt;Constants!$B$6,"",Constants!$B$21*ABS($AD$9-IF($AL261,$AM261,0)))</f>
        <v/>
      </c>
      <c r="BE261" s="97" t="str">
        <f aca="false">IF($BX261&lt;&gt;Constants!$B$6,"",IF(AND($AL261,$AQ261,$AO261),Constants!$B$22,0))</f>
        <v/>
      </c>
      <c r="BF261" s="97" t="str">
        <f aca="false">IF($BX261&lt;&gt;Constants!$B$6,"",IF($AL261,($AI261-Constants!$B$24)*Constants!$B$23,0))</f>
        <v/>
      </c>
      <c r="BG261" s="97" t="str">
        <f aca="false">IF($BX261&lt;&gt;Constants!$B$6,"",IF($AK261,0,Constants!$B$12)+IF($AJ261,0,Constants!$B$13)+IF($AH261,0,Constants!$B$14))</f>
        <v/>
      </c>
      <c r="BH261" s="98" t="str">
        <f aca="false">IF($BX261&lt;&gt;Constants!$B$6,"",Constants!$B$16+SUM($BC261:$BG261))</f>
        <v/>
      </c>
      <c r="BI261" s="97" t="str">
        <f aca="false">IF($BX261&lt;&gt;Constants!$B$6,"",$BC261)</f>
        <v/>
      </c>
      <c r="BJ261" s="97" t="str">
        <f aca="false">IF($BX261&lt;&gt;Constants!$B$6,"",$BD261)</f>
        <v/>
      </c>
      <c r="BK261" s="99" t="str">
        <f aca="false">IF($BX261&lt;&gt;Constants!$B$6,"",IF($AL261,$AN261,""))</f>
        <v/>
      </c>
      <c r="BL261" s="93" t="str">
        <f aca="false">IF($BX261&lt;&gt;Constants!$B$6,"",IF(OR($BS261&lt;$BH261,AND($BS261=$BH261,OR($BT261&lt;$BI261,AND($BT261=$BI261,OR($BU261&lt;$BJ261,AND($BU261=$BJ261,AND(ISNUMBER($BV261),OR(NOT(ISNUMBER($BK261)),$BV261&lt;$BK261)))))))),"-&gt;","&lt;-"))</f>
        <v/>
      </c>
      <c r="BM261" s="92" t="str">
        <f aca="false">IF(ISBLANK($C261),"",AND($AT261,OR($AU261="",$AV261="",AND($AW261,$AX261=""))))</f>
        <v/>
      </c>
      <c r="BN261" s="94" t="str">
        <f aca="false">IF($BX261&lt;&gt;Constants!$B$6,"",IF($AT261,Constants!$B$17*$AV261+Constants!$B$18*IF($AW261,$AX261,Constants!$B$19),Constants!$B$20))</f>
        <v/>
      </c>
      <c r="BO261" s="97" t="str">
        <f aca="false">IF($BX261&lt;&gt;Constants!$B$6,"",Constants!$B$21*ABS($AD$9-IF($AT261,$AU261,0)))</f>
        <v/>
      </c>
      <c r="BP261" s="97" t="str">
        <f aca="false">IF($BX261&lt;&gt;Constants!$B$6,"",IF(AND($AT261,$AY261,$AW261),Constants!$B$22,0))</f>
        <v/>
      </c>
      <c r="BQ261" s="97" t="str">
        <f aca="false">IF($BX261&lt;&gt;Constants!$B$6,"",IF($AT261,($AI261-Constants!$B$24)*Constants!$B$23,0))</f>
        <v/>
      </c>
      <c r="BR261" s="97" t="str">
        <f aca="false">IF($BX261&lt;&gt;Constants!$B$6,"",IF($AS261,0,Constants!$B$12)+IF($AR261,0,Constants!$B$13)+IF($AH261,0,Constants!$B$14))</f>
        <v/>
      </c>
      <c r="BS261" s="98" t="str">
        <f aca="false">IF($BX261&lt;&gt;Constants!$B$6,"",Constants!$B$16+SUM($BN261:$BR261))</f>
        <v/>
      </c>
      <c r="BT261" s="97" t="str">
        <f aca="false">IF($BX261&lt;&gt;Constants!$B$6,"",$BN261)</f>
        <v/>
      </c>
      <c r="BU261" s="97" t="str">
        <f aca="false">IF($BX261&lt;&gt;Constants!$B$6,"",$BO261)</f>
        <v/>
      </c>
      <c r="BV261" s="99" t="str">
        <f aca="false">IF($BX261&lt;&gt;Constants!$B$6,"",IF($AT261,$AV261,""))</f>
        <v/>
      </c>
      <c r="BW261" s="93" t="str">
        <f aca="false">IF(ISBLANK($C261),"",IF(ISBLANK($D$7),$BW$5,IF(NOT(ISNUMBER($D$7)),$BW$6,"")))</f>
        <v/>
      </c>
      <c r="BX261" s="93" t="str">
        <f aca="false">IF(ISBLANK($C261),"",IF($BA261,Constants!$B$9,IF(COUNTA($E261:$AA261)=0,Constants!$B$8,IF(NOT($AG261),Constants!$B$7,IF(OR($BW261&lt;&gt;"",$BB261,$BM261),Constants!$B$10,Constants!$B$6)))))</f>
        <v/>
      </c>
      <c r="BY261" s="93" t="str">
        <f aca="false">IF(ISBLANK($C261),"",IF($BX261&lt;&gt;Constants!$B$6,$BX261,Constants!$B$11))</f>
        <v/>
      </c>
      <c r="BZ261" s="97" t="str">
        <f aca="false">IF($BX261&lt;&gt;Constants!$B$6,"",IF($BL261="-&gt;",$BS261,$BH261))</f>
        <v/>
      </c>
      <c r="CA261" s="97" t="str">
        <f aca="false">IF($BX261&lt;&gt;Constants!$B$6,"",IF($AF261,0,Constants!$B$15))</f>
        <v/>
      </c>
      <c r="CB261" s="97" t="str">
        <f aca="false">IF($BX261&lt;&gt;Constants!$B$6,"",((Constants!$B$25-$AZ261)-Constants!$B$25)/Constants!$B$26)</f>
        <v/>
      </c>
      <c r="CC261" s="97" t="str">
        <f aca="false">IF(ISBLANK($C261),"",IF($BX261&lt;&gt;Constants!$B$6,$BX261,SUM($BZ261:$CB261)))</f>
        <v/>
      </c>
      <c r="CD261" s="93" t="str">
        <f aca="false">IF(ISBLANK($C261),"",IF($BX261&lt;&gt;Constants!$B$6,$BX261,RANK($CC261,$CC$9:$CC$508,1)))</f>
        <v/>
      </c>
      <c r="CE261" s="97" t="str">
        <f aca="false">IF($BX261&lt;&gt;Constants!$B$6,"",IF($BL261="-&gt;",$BT261,$BI261))</f>
        <v/>
      </c>
      <c r="CF261" s="93" t="str">
        <f aca="false">IF(ISBLANK($C261),"",IF($BX261&lt;&gt;Constants!$B$6,$BX261,IF(ISNUMBER($CE261),RANK($CE261,$CE$9:$CE$508,1),COUNT($CE$9:$CE$508)+1)))</f>
        <v/>
      </c>
      <c r="CG261" s="97" t="str">
        <f aca="false">IF($BX261&lt;&gt;Constants!$B$6,"",IF($BL261="-&gt;",$BU261,$BJ261))</f>
        <v/>
      </c>
      <c r="CH261" s="93" t="str">
        <f aca="false">IF(ISBLANK($C261),"",IF($BX261&lt;&gt;Constants!$B$6,$BX261,IF(ISNUMBER($CG261),RANK($CG261,$CG$9:$CG$508,1),COUNT($CG$9:$CG$508)+1)))</f>
        <v/>
      </c>
      <c r="CI261" s="97" t="str">
        <f aca="false">IF($BX261&lt;&gt;Constants!$B$6,"",IF($BL261="-&gt;",$BV261,$BK261))</f>
        <v/>
      </c>
      <c r="CJ261" s="93" t="str">
        <f aca="false">IF(ISBLANK($C261),"",IF($BX261&lt;&gt;Constants!$B$6,$BX261,IF(ISNUMBER($CI261),RANK($CI261,$CI$9:$CI$508,1),COUNT($CI$9:$CI$508)+1)))</f>
        <v/>
      </c>
      <c r="CK261" s="97" t="str">
        <f aca="false">IF($BX261&lt;&gt;Constants!$B$6,"",$AI261)</f>
        <v/>
      </c>
      <c r="CL261" s="93" t="str">
        <f aca="false">IF(ISBLANK($C261),"",IF($BX261&lt;&gt;Constants!$B$6,$BX261,IF(ISNUMBER($CK261),RANK($CK261,$CK$9:$CK$508,1),COUNT($CK$9:$CK$508)+1)))</f>
        <v/>
      </c>
      <c r="CM261" s="93" t="str">
        <f aca="false">IF(ISBLANK($C261),"",IF($BX261&lt;&gt;Constants!$B$6,$BX261,COUNTIFS($CD$9:$CD$508,"&lt;"&amp;$CD261)+COUNTIFS($CD$9:$CD$508,$CD261,$CF$9:$CF$508,"&lt;"&amp;$CF261)+COUNTIFS($CD$9:$CD$508,$CD261,$CF$9:$CF$508,$CF261,$CH$9:$CH$508,"&lt;"&amp;$CH261)+COUNTIFS($CD$9:$CD$508,$CD261,$CF$9:$CF$508,$CF261,$CH$9:$CH$508,$CH261,$CJ$9:$CJ$508,"&lt;"&amp;$CJ261)+COUNTIFS($CD$9:$CD$508,$CD261,$CF$9:$CF$508,$CF261,$CH$9:$CH$508,$CH261,$CJ$9:$CJ$508,$CJ261,$CL$9:$CL$508,"&lt;"&amp;$CL261)+1))</f>
        <v/>
      </c>
      <c r="CN261" s="93" t="str">
        <f aca="false">IF(ISBLANK($C261),"",IF($BX261&lt;&gt;Constants!$B$6,$BX261,$CD261-$CM261))</f>
        <v/>
      </c>
      <c r="CO261" s="100"/>
      <c r="CP261" s="101"/>
      <c r="CQ261" s="102" t="str">
        <f aca="false">IF(ISBLANK($C261),"",IF($BX261=Constants!$B$10,$BW261,""))</f>
        <v/>
      </c>
      <c r="CR261" s="101" t="str">
        <f aca="false">IF(ISBLANK($C261),"",IF($BX261&lt;&gt;Constants!$B$6,"",IF($BL261="-&gt;",2,1)))</f>
        <v/>
      </c>
      <c r="CS261" s="103" t="str">
        <f aca="false">IF(ISBLANK($C261),"",IF($BX261&lt;&gt;Constants!$B$6,"",IF($BL261="-&gt;",$BN261,$BC261)))</f>
        <v/>
      </c>
      <c r="CT261" s="103" t="str">
        <f aca="false">IF(ISBLANK($C261),"",IF($BX261&lt;&gt;Constants!$B$6,"",IF($BL261="-&gt;",$BO261,$BD261)))</f>
        <v/>
      </c>
      <c r="CU261" s="103" t="str">
        <f aca="false">IF(ISBLANK($C261),"",IF($BX261&lt;&gt;Constants!$B$6,"",IF($BL261="-&gt;",$BP261+$BQ261,$BE261+$BF261)+$CB261))</f>
        <v/>
      </c>
      <c r="CV261" s="103" t="str">
        <f aca="false">IF(ISBLANK($C261),"",IF($BX261&lt;&gt;Constants!$B$6,"",IF($BL261="-&gt;",$BR261,$BG261)+$CA261))</f>
        <v/>
      </c>
      <c r="CW261" s="104" t="str">
        <f aca="false">IF(ISBLANK($C261),"",IF($BX261&lt;&gt;Constants!$B$6,$BX261,$CC261))</f>
        <v/>
      </c>
      <c r="CX261" s="105" t="str">
        <f aca="false">IF(ISBLANK($C261),"",$BY261)</f>
        <v/>
      </c>
      <c r="CY261" s="106" t="str">
        <f aca="false">IF(ISBLANK($C261),"",$CN261)</f>
        <v/>
      </c>
      <c r="CZ261" s="106" t="str">
        <f aca="false">IF(ISBLANK($C261),"",$CM261)</f>
        <v/>
      </c>
      <c r="DA261" s="107" t="str">
        <f aca="false">IF(ISBLANK($C261),"",IFERROR(_xlfn.SWITCH($CZ261,Constants!$B$9,COUNTA($C$9:$C$508)+2,Constants!$B$8,COUNTA($C$9:$C$508)+1,Constants!$B$7,COUNTA($C$9:$C$508)),$CZ261))</f>
        <v/>
      </c>
      <c r="DB261" s="9"/>
      <c r="DC261" s="108" t="n">
        <f aca="false">IF(OR(ISNUMBER($CZ261),$CZ261=Constants!$B$9,$CZ261=Constants!$B$7,$CZ261=Constants!$B$8),1,0)</f>
        <v>0</v>
      </c>
      <c r="DD261" s="108" t="n">
        <v>253</v>
      </c>
      <c r="DE261" s="108" t="str">
        <f aca="false">IF(ISBLANK($C261),"",IF(ISNUMBER($DA261),$DA261+ROW($B261)/1000,""))</f>
        <v/>
      </c>
      <c r="DF261" s="108" t="str">
        <f aca="false">IF(ISNUMBER($DE261),RANK($DE261,$DE$9:$DE$508,1),"")</f>
        <v/>
      </c>
      <c r="DG261" s="108" t="str">
        <f aca="false">IF(ISBLANK($C261),"",$B261)</f>
        <v/>
      </c>
      <c r="DH261" s="108" t="str">
        <f aca="false">IF(ISBLANK($C261),"",$C261)</f>
        <v/>
      </c>
      <c r="DI261" s="108" t="str">
        <f aca="false">IF(ISBLANK($C261),"",$D261)</f>
        <v/>
      </c>
      <c r="DJ261" s="109" t="str">
        <f aca="false">$CX261</f>
        <v/>
      </c>
      <c r="DK261" s="110" t="str">
        <f aca="false">$CW261</f>
        <v/>
      </c>
      <c r="DL261" s="108" t="str">
        <f aca="false">IF(ISBLANK($C261),"",$CZ261)</f>
        <v/>
      </c>
      <c r="DM261" s="111" t="str">
        <f aca="false">IF($DD261&gt;$DC$8,"",VLOOKUP($DD261,$DF$9:$DL$508,7,FALSE()))</f>
        <v/>
      </c>
      <c r="DN261" s="112" t="str">
        <f aca="false">IF($DD261&gt;$DC$8,"",VLOOKUP($DD261,$DF$9:$DL$508,2,FALSE()))</f>
        <v/>
      </c>
      <c r="DO261" s="112" t="str">
        <f aca="false">IF($DD261&gt;$DC$8,"",VLOOKUP($DD261,$DF$9:$DL$508,3,FALSE()))</f>
        <v/>
      </c>
      <c r="DP261" s="112" t="str">
        <f aca="false">IF($DD261&gt;$DC$8,"",VLOOKUP($DD261,$DF$9:$DL$508,4,FALSE()))</f>
        <v/>
      </c>
      <c r="DQ261" s="112" t="str">
        <f aca="false">IF($DD261&gt;$DC$8,"",VLOOKUP($DD261,$DF$9:$DL$508,5,FALSE()))</f>
        <v/>
      </c>
      <c r="DR261" s="113" t="str">
        <f aca="false">IF($DD261&gt;$DC$8,"",VLOOKUP($DD261,$DF$9:$DL$508,6,FALSE()))</f>
        <v/>
      </c>
      <c r="DS261" s="76"/>
    </row>
    <row r="262" customFormat="false" ht="15.75" hidden="false" customHeight="false" outlineLevel="0" collapsed="false">
      <c r="A262" s="9"/>
      <c r="B262" s="78"/>
      <c r="C262" s="79"/>
      <c r="D262" s="170"/>
      <c r="E262" s="178"/>
      <c r="F262" s="172"/>
      <c r="G262" s="173"/>
      <c r="H262" s="173"/>
      <c r="I262" s="179"/>
      <c r="J262" s="176"/>
      <c r="K262" s="86"/>
      <c r="L262" s="87"/>
      <c r="M262" s="88"/>
      <c r="N262" s="176"/>
      <c r="O262" s="176"/>
      <c r="P262" s="178"/>
      <c r="Q262" s="176"/>
      <c r="R262" s="176"/>
      <c r="S262" s="86"/>
      <c r="T262" s="88"/>
      <c r="U262" s="88"/>
      <c r="V262" s="176"/>
      <c r="W262" s="176"/>
      <c r="X262" s="178"/>
      <c r="Y262" s="176"/>
      <c r="Z262" s="177"/>
      <c r="AA262" s="176"/>
      <c r="AB262" s="92"/>
      <c r="AC262" s="93"/>
      <c r="AD262" s="93"/>
      <c r="AE262" s="93"/>
      <c r="AF262" s="93" t="str">
        <f aca="false">IF(ISBLANK($C262),"",IF(E262=Constants!$B$2,TRUE(),IF(E262=Constants!$B$3,FALSE(),TRUE())))</f>
        <v/>
      </c>
      <c r="AG262" s="93" t="str">
        <f aca="false">IF(ISBLANK($C262),"",IF(F262=Constants!$B$2,TRUE(),IF(F262=Constants!$B$3,FALSE(),TRUE())))</f>
        <v/>
      </c>
      <c r="AH262" s="93" t="str">
        <f aca="false">IF(ISBLANK($C262),"",IF(G262=Constants!$B$2,TRUE(),IF(G262=Constants!$B$3,FALSE(),TRUE())))</f>
        <v/>
      </c>
      <c r="AI262" s="93" t="str">
        <f aca="false">IF(ISBLANK($C262),"",IF(AND(ISNUMBER(H262),H262&gt;=0),H262,Constants!$B$24))</f>
        <v/>
      </c>
      <c r="AJ262" s="93" t="str">
        <f aca="false">IF(ISBLANK($C262),"",IF(I262=Constants!$B$2,TRUE(),IF(I262=Constants!$B$3,FALSE(),TRUE())))</f>
        <v/>
      </c>
      <c r="AK262" s="93" t="str">
        <f aca="false">IF(ISBLANK($C262),"",IF(J262=Constants!$B$2,TRUE(),IF(J262=Constants!$B$3,FALSE(),TRUE())))</f>
        <v/>
      </c>
      <c r="AL262" s="93" t="str">
        <f aca="false">IF(ISBLANK($C262),"",IF(K262=Constants!$B$4,TRUE(),IF(K262=Constants!$B$5,FALSE(),COUNTA(L262:P262)&gt;0)))</f>
        <v/>
      </c>
      <c r="AM262" s="95" t="str">
        <f aca="false">IF(ISBLANK($C262),"",IF(ISNUMBER(L262),IF(L262&gt;=0,L262,""),""))</f>
        <v/>
      </c>
      <c r="AN262" s="94" t="str">
        <f aca="false">IF(ISBLANK($C262),"",IF(ISNUMBER(M262),IF(M262&gt;=0,M262,""),""))</f>
        <v/>
      </c>
      <c r="AO262" s="94" t="str">
        <f aca="false">IF(ISBLANK($C262),"",IF(N262=Constants!$B$2,TRUE(),IF(N262=Constants!$B$3,FALSE(),TRUE())))</f>
        <v/>
      </c>
      <c r="AP262" s="93" t="str">
        <f aca="false">IF(ISBLANK($C262),"",IF(ISNUMBER(O262),IF(O262&gt;=0,O262,""),""))</f>
        <v/>
      </c>
      <c r="AQ262" s="93" t="str">
        <f aca="false">IF(ISBLANK($C262),"",IF(P262=Constants!$B$2,TRUE(),IF(P262=Constants!$B$3,FALSE(),FALSE())))</f>
        <v/>
      </c>
      <c r="AR262" s="93" t="str">
        <f aca="false">IF(ISBLANK($C262),"",IF(Q262=Constants!$B$2,TRUE(),IF(Q262=Constants!$B$3,FALSE(),TRUE())))</f>
        <v/>
      </c>
      <c r="AS262" s="93" t="str">
        <f aca="false">IF(ISBLANK($C262),"",IF(R262=Constants!$B$2,TRUE(),IF(R262=Constants!$B$3,FALSE(),TRUE())))</f>
        <v/>
      </c>
      <c r="AT262" s="93" t="str">
        <f aca="false">IF(ISBLANK($C262),"",IF(S262=Constants!$B$4,TRUE(),IF(S262=Constants!$B$5,FALSE(),COUNTA(T262:X262)&gt;0)))</f>
        <v/>
      </c>
      <c r="AU262" s="95" t="str">
        <f aca="false">IF(ISBLANK($C262),"",IF(ISNUMBER(T262),IF(T262&gt;=0,T262,""),""))</f>
        <v/>
      </c>
      <c r="AV262" s="94" t="str">
        <f aca="false">IF(ISBLANK($C262),"",IF(ISNUMBER(U262),IF(U262&gt;=0,U262,""),""))</f>
        <v/>
      </c>
      <c r="AW262" s="94" t="str">
        <f aca="false">IF(ISBLANK($C262),"",IF(V262=Constants!$B$2,TRUE(),IF(V262=Constants!$B$3,FALSE(),TRUE())))</f>
        <v/>
      </c>
      <c r="AX262" s="93" t="str">
        <f aca="false">IF(ISBLANK($C262),"",IF(ISNUMBER(W262),IF(W262&gt;=0,W262,""),""))</f>
        <v/>
      </c>
      <c r="AY262" s="93" t="str">
        <f aca="false">IF(ISBLANK($C262),"",IF(X262=Constants!$B$2,TRUE(),IF(X262=Constants!$B$3,FALSE(),FALSE())))</f>
        <v/>
      </c>
      <c r="AZ262" s="93" t="str">
        <f aca="false">IF(ISBLANK($C262),"",MIN(Constants!$B$25,MAX(0,IF(ISNUMBER(Y262),Y262*60,0)+IF(ISNUMBER(Z262),Z262,0))))</f>
        <v/>
      </c>
      <c r="BA262" s="93" t="str">
        <f aca="false">IF(ISBLANK($C262),"",IF(AA262=Constants!$B$2,TRUE(),IF(AA262=Constants!$B$3,FALSE(),FALSE())))</f>
        <v/>
      </c>
      <c r="BB262" s="92" t="str">
        <f aca="false">IF(ISBLANK($C262),"",AND($AL262,OR($AM262="",$AN262="",AND($AO262,$AP262=""))))</f>
        <v/>
      </c>
      <c r="BC262" s="94" t="str">
        <f aca="false">IF($BX262&lt;&gt;Constants!$B$6,"",IF($AL262,Constants!$B$17*$AN262+Constants!$B$18*IF($AO262,$AP262,Constants!$B$19),Constants!$B$20))</f>
        <v/>
      </c>
      <c r="BD262" s="97" t="str">
        <f aca="false">IF($BX262&lt;&gt;Constants!$B$6,"",Constants!$B$21*ABS($AD$9-IF($AL262,$AM262,0)))</f>
        <v/>
      </c>
      <c r="BE262" s="97" t="str">
        <f aca="false">IF($BX262&lt;&gt;Constants!$B$6,"",IF(AND($AL262,$AQ262,$AO262),Constants!$B$22,0))</f>
        <v/>
      </c>
      <c r="BF262" s="97" t="str">
        <f aca="false">IF($BX262&lt;&gt;Constants!$B$6,"",IF($AL262,($AI262-Constants!$B$24)*Constants!$B$23,0))</f>
        <v/>
      </c>
      <c r="BG262" s="97" t="str">
        <f aca="false">IF($BX262&lt;&gt;Constants!$B$6,"",IF($AK262,0,Constants!$B$12)+IF($AJ262,0,Constants!$B$13)+IF($AH262,0,Constants!$B$14))</f>
        <v/>
      </c>
      <c r="BH262" s="98" t="str">
        <f aca="false">IF($BX262&lt;&gt;Constants!$B$6,"",Constants!$B$16+SUM($BC262:$BG262))</f>
        <v/>
      </c>
      <c r="BI262" s="97" t="str">
        <f aca="false">IF($BX262&lt;&gt;Constants!$B$6,"",$BC262)</f>
        <v/>
      </c>
      <c r="BJ262" s="97" t="str">
        <f aca="false">IF($BX262&lt;&gt;Constants!$B$6,"",$BD262)</f>
        <v/>
      </c>
      <c r="BK262" s="99" t="str">
        <f aca="false">IF($BX262&lt;&gt;Constants!$B$6,"",IF($AL262,$AN262,""))</f>
        <v/>
      </c>
      <c r="BL262" s="93" t="str">
        <f aca="false">IF($BX262&lt;&gt;Constants!$B$6,"",IF(OR($BS262&lt;$BH262,AND($BS262=$BH262,OR($BT262&lt;$BI262,AND($BT262=$BI262,OR($BU262&lt;$BJ262,AND($BU262=$BJ262,AND(ISNUMBER($BV262),OR(NOT(ISNUMBER($BK262)),$BV262&lt;$BK262)))))))),"-&gt;","&lt;-"))</f>
        <v/>
      </c>
      <c r="BM262" s="92" t="str">
        <f aca="false">IF(ISBLANK($C262),"",AND($AT262,OR($AU262="",$AV262="",AND($AW262,$AX262=""))))</f>
        <v/>
      </c>
      <c r="BN262" s="94" t="str">
        <f aca="false">IF($BX262&lt;&gt;Constants!$B$6,"",IF($AT262,Constants!$B$17*$AV262+Constants!$B$18*IF($AW262,$AX262,Constants!$B$19),Constants!$B$20))</f>
        <v/>
      </c>
      <c r="BO262" s="97" t="str">
        <f aca="false">IF($BX262&lt;&gt;Constants!$B$6,"",Constants!$B$21*ABS($AD$9-IF($AT262,$AU262,0)))</f>
        <v/>
      </c>
      <c r="BP262" s="97" t="str">
        <f aca="false">IF($BX262&lt;&gt;Constants!$B$6,"",IF(AND($AT262,$AY262,$AW262),Constants!$B$22,0))</f>
        <v/>
      </c>
      <c r="BQ262" s="97" t="str">
        <f aca="false">IF($BX262&lt;&gt;Constants!$B$6,"",IF($AT262,($AI262-Constants!$B$24)*Constants!$B$23,0))</f>
        <v/>
      </c>
      <c r="BR262" s="97" t="str">
        <f aca="false">IF($BX262&lt;&gt;Constants!$B$6,"",IF($AS262,0,Constants!$B$12)+IF($AR262,0,Constants!$B$13)+IF($AH262,0,Constants!$B$14))</f>
        <v/>
      </c>
      <c r="BS262" s="98" t="str">
        <f aca="false">IF($BX262&lt;&gt;Constants!$B$6,"",Constants!$B$16+SUM($BN262:$BR262))</f>
        <v/>
      </c>
      <c r="BT262" s="97" t="str">
        <f aca="false">IF($BX262&lt;&gt;Constants!$B$6,"",$BN262)</f>
        <v/>
      </c>
      <c r="BU262" s="97" t="str">
        <f aca="false">IF($BX262&lt;&gt;Constants!$B$6,"",$BO262)</f>
        <v/>
      </c>
      <c r="BV262" s="99" t="str">
        <f aca="false">IF($BX262&lt;&gt;Constants!$B$6,"",IF($AT262,$AV262,""))</f>
        <v/>
      </c>
      <c r="BW262" s="93" t="str">
        <f aca="false">IF(ISBLANK($C262),"",IF(ISBLANK($D$7),$BW$5,IF(NOT(ISNUMBER($D$7)),$BW$6,"")))</f>
        <v/>
      </c>
      <c r="BX262" s="93" t="str">
        <f aca="false">IF(ISBLANK($C262),"",IF($BA262,Constants!$B$9,IF(COUNTA($E262:$AA262)=0,Constants!$B$8,IF(NOT($AG262),Constants!$B$7,IF(OR($BW262&lt;&gt;"",$BB262,$BM262),Constants!$B$10,Constants!$B$6)))))</f>
        <v/>
      </c>
      <c r="BY262" s="93" t="str">
        <f aca="false">IF(ISBLANK($C262),"",IF($BX262&lt;&gt;Constants!$B$6,$BX262,Constants!$B$11))</f>
        <v/>
      </c>
      <c r="BZ262" s="97" t="str">
        <f aca="false">IF($BX262&lt;&gt;Constants!$B$6,"",IF($BL262="-&gt;",$BS262,$BH262))</f>
        <v/>
      </c>
      <c r="CA262" s="97" t="str">
        <f aca="false">IF($BX262&lt;&gt;Constants!$B$6,"",IF($AF262,0,Constants!$B$15))</f>
        <v/>
      </c>
      <c r="CB262" s="97" t="str">
        <f aca="false">IF($BX262&lt;&gt;Constants!$B$6,"",((Constants!$B$25-$AZ262)-Constants!$B$25)/Constants!$B$26)</f>
        <v/>
      </c>
      <c r="CC262" s="97" t="str">
        <f aca="false">IF(ISBLANK($C262),"",IF($BX262&lt;&gt;Constants!$B$6,$BX262,SUM($BZ262:$CB262)))</f>
        <v/>
      </c>
      <c r="CD262" s="93" t="str">
        <f aca="false">IF(ISBLANK($C262),"",IF($BX262&lt;&gt;Constants!$B$6,$BX262,RANK($CC262,$CC$9:$CC$508,1)))</f>
        <v/>
      </c>
      <c r="CE262" s="97" t="str">
        <f aca="false">IF($BX262&lt;&gt;Constants!$B$6,"",IF($BL262="-&gt;",$BT262,$BI262))</f>
        <v/>
      </c>
      <c r="CF262" s="93" t="str">
        <f aca="false">IF(ISBLANK($C262),"",IF($BX262&lt;&gt;Constants!$B$6,$BX262,IF(ISNUMBER($CE262),RANK($CE262,$CE$9:$CE$508,1),COUNT($CE$9:$CE$508)+1)))</f>
        <v/>
      </c>
      <c r="CG262" s="97" t="str">
        <f aca="false">IF($BX262&lt;&gt;Constants!$B$6,"",IF($BL262="-&gt;",$BU262,$BJ262))</f>
        <v/>
      </c>
      <c r="CH262" s="93" t="str">
        <f aca="false">IF(ISBLANK($C262),"",IF($BX262&lt;&gt;Constants!$B$6,$BX262,IF(ISNUMBER($CG262),RANK($CG262,$CG$9:$CG$508,1),COUNT($CG$9:$CG$508)+1)))</f>
        <v/>
      </c>
      <c r="CI262" s="97" t="str">
        <f aca="false">IF($BX262&lt;&gt;Constants!$B$6,"",IF($BL262="-&gt;",$BV262,$BK262))</f>
        <v/>
      </c>
      <c r="CJ262" s="93" t="str">
        <f aca="false">IF(ISBLANK($C262),"",IF($BX262&lt;&gt;Constants!$B$6,$BX262,IF(ISNUMBER($CI262),RANK($CI262,$CI$9:$CI$508,1),COUNT($CI$9:$CI$508)+1)))</f>
        <v/>
      </c>
      <c r="CK262" s="97" t="str">
        <f aca="false">IF($BX262&lt;&gt;Constants!$B$6,"",$AI262)</f>
        <v/>
      </c>
      <c r="CL262" s="93" t="str">
        <f aca="false">IF(ISBLANK($C262),"",IF($BX262&lt;&gt;Constants!$B$6,$BX262,IF(ISNUMBER($CK262),RANK($CK262,$CK$9:$CK$508,1),COUNT($CK$9:$CK$508)+1)))</f>
        <v/>
      </c>
      <c r="CM262" s="93" t="str">
        <f aca="false">IF(ISBLANK($C262),"",IF($BX262&lt;&gt;Constants!$B$6,$BX262,COUNTIFS($CD$9:$CD$508,"&lt;"&amp;$CD262)+COUNTIFS($CD$9:$CD$508,$CD262,$CF$9:$CF$508,"&lt;"&amp;$CF262)+COUNTIFS($CD$9:$CD$508,$CD262,$CF$9:$CF$508,$CF262,$CH$9:$CH$508,"&lt;"&amp;$CH262)+COUNTIFS($CD$9:$CD$508,$CD262,$CF$9:$CF$508,$CF262,$CH$9:$CH$508,$CH262,$CJ$9:$CJ$508,"&lt;"&amp;$CJ262)+COUNTIFS($CD$9:$CD$508,$CD262,$CF$9:$CF$508,$CF262,$CH$9:$CH$508,$CH262,$CJ$9:$CJ$508,$CJ262,$CL$9:$CL$508,"&lt;"&amp;$CL262)+1))</f>
        <v/>
      </c>
      <c r="CN262" s="93" t="str">
        <f aca="false">IF(ISBLANK($C262),"",IF($BX262&lt;&gt;Constants!$B$6,$BX262,$CD262-$CM262))</f>
        <v/>
      </c>
      <c r="CO262" s="100"/>
      <c r="CP262" s="101"/>
      <c r="CQ262" s="102" t="str">
        <f aca="false">IF(ISBLANK($C262),"",IF($BX262=Constants!$B$10,$BW262,""))</f>
        <v/>
      </c>
      <c r="CR262" s="101" t="str">
        <f aca="false">IF(ISBLANK($C262),"",IF($BX262&lt;&gt;Constants!$B$6,"",IF($BL262="-&gt;",2,1)))</f>
        <v/>
      </c>
      <c r="CS262" s="103" t="str">
        <f aca="false">IF(ISBLANK($C262),"",IF($BX262&lt;&gt;Constants!$B$6,"",IF($BL262="-&gt;",$BN262,$BC262)))</f>
        <v/>
      </c>
      <c r="CT262" s="103" t="str">
        <f aca="false">IF(ISBLANK($C262),"",IF($BX262&lt;&gt;Constants!$B$6,"",IF($BL262="-&gt;",$BO262,$BD262)))</f>
        <v/>
      </c>
      <c r="CU262" s="103" t="str">
        <f aca="false">IF(ISBLANK($C262),"",IF($BX262&lt;&gt;Constants!$B$6,"",IF($BL262="-&gt;",$BP262+$BQ262,$BE262+$BF262)+$CB262))</f>
        <v/>
      </c>
      <c r="CV262" s="103" t="str">
        <f aca="false">IF(ISBLANK($C262),"",IF($BX262&lt;&gt;Constants!$B$6,"",IF($BL262="-&gt;",$BR262,$BG262)+$CA262))</f>
        <v/>
      </c>
      <c r="CW262" s="104" t="str">
        <f aca="false">IF(ISBLANK($C262),"",IF($BX262&lt;&gt;Constants!$B$6,$BX262,$CC262))</f>
        <v/>
      </c>
      <c r="CX262" s="105" t="str">
        <f aca="false">IF(ISBLANK($C262),"",$BY262)</f>
        <v/>
      </c>
      <c r="CY262" s="106" t="str">
        <f aca="false">IF(ISBLANK($C262),"",$CN262)</f>
        <v/>
      </c>
      <c r="CZ262" s="106" t="str">
        <f aca="false">IF(ISBLANK($C262),"",$CM262)</f>
        <v/>
      </c>
      <c r="DA262" s="107" t="str">
        <f aca="false">IF(ISBLANK($C262),"",IFERROR(_xlfn.SWITCH($CZ262,Constants!$B$9,COUNTA($C$9:$C$508)+2,Constants!$B$8,COUNTA($C$9:$C$508)+1,Constants!$B$7,COUNTA($C$9:$C$508)),$CZ262))</f>
        <v/>
      </c>
      <c r="DB262" s="9"/>
      <c r="DC262" s="108" t="n">
        <f aca="false">IF(OR(ISNUMBER($CZ262),$CZ262=Constants!$B$9,$CZ262=Constants!$B$7,$CZ262=Constants!$B$8),1,0)</f>
        <v>0</v>
      </c>
      <c r="DD262" s="108" t="n">
        <v>254</v>
      </c>
      <c r="DE262" s="108" t="str">
        <f aca="false">IF(ISBLANK($C262),"",IF(ISNUMBER($DA262),$DA262+ROW($B262)/1000,""))</f>
        <v/>
      </c>
      <c r="DF262" s="108" t="str">
        <f aca="false">IF(ISNUMBER($DE262),RANK($DE262,$DE$9:$DE$508,1),"")</f>
        <v/>
      </c>
      <c r="DG262" s="108" t="str">
        <f aca="false">IF(ISBLANK($C262),"",$B262)</f>
        <v/>
      </c>
      <c r="DH262" s="108" t="str">
        <f aca="false">IF(ISBLANK($C262),"",$C262)</f>
        <v/>
      </c>
      <c r="DI262" s="108" t="str">
        <f aca="false">IF(ISBLANK($C262),"",$D262)</f>
        <v/>
      </c>
      <c r="DJ262" s="109" t="str">
        <f aca="false">$CX262</f>
        <v/>
      </c>
      <c r="DK262" s="110" t="str">
        <f aca="false">$CW262</f>
        <v/>
      </c>
      <c r="DL262" s="108" t="str">
        <f aca="false">IF(ISBLANK($C262),"",$CZ262)</f>
        <v/>
      </c>
      <c r="DM262" s="111" t="str">
        <f aca="false">IF($DD262&gt;$DC$8,"",VLOOKUP($DD262,$DF$9:$DL$508,7,FALSE()))</f>
        <v/>
      </c>
      <c r="DN262" s="112" t="str">
        <f aca="false">IF($DD262&gt;$DC$8,"",VLOOKUP($DD262,$DF$9:$DL$508,2,FALSE()))</f>
        <v/>
      </c>
      <c r="DO262" s="112" t="str">
        <f aca="false">IF($DD262&gt;$DC$8,"",VLOOKUP($DD262,$DF$9:$DL$508,3,FALSE()))</f>
        <v/>
      </c>
      <c r="DP262" s="112" t="str">
        <f aca="false">IF($DD262&gt;$DC$8,"",VLOOKUP($DD262,$DF$9:$DL$508,4,FALSE()))</f>
        <v/>
      </c>
      <c r="DQ262" s="112" t="str">
        <f aca="false">IF($DD262&gt;$DC$8,"",VLOOKUP($DD262,$DF$9:$DL$508,5,FALSE()))</f>
        <v/>
      </c>
      <c r="DR262" s="113" t="str">
        <f aca="false">IF($DD262&gt;$DC$8,"",VLOOKUP($DD262,$DF$9:$DL$508,6,FALSE()))</f>
        <v/>
      </c>
      <c r="DS262" s="76"/>
    </row>
    <row r="263" customFormat="false" ht="15.75" hidden="false" customHeight="false" outlineLevel="0" collapsed="false">
      <c r="A263" s="9"/>
      <c r="B263" s="78"/>
      <c r="C263" s="79"/>
      <c r="D263" s="170"/>
      <c r="E263" s="178"/>
      <c r="F263" s="172"/>
      <c r="G263" s="173"/>
      <c r="H263" s="173"/>
      <c r="I263" s="179"/>
      <c r="J263" s="176"/>
      <c r="K263" s="86"/>
      <c r="L263" s="87"/>
      <c r="M263" s="88"/>
      <c r="N263" s="176"/>
      <c r="O263" s="176"/>
      <c r="P263" s="178"/>
      <c r="Q263" s="176"/>
      <c r="R263" s="176"/>
      <c r="S263" s="86"/>
      <c r="T263" s="88"/>
      <c r="U263" s="88"/>
      <c r="V263" s="176"/>
      <c r="W263" s="176"/>
      <c r="X263" s="178"/>
      <c r="Y263" s="176"/>
      <c r="Z263" s="177"/>
      <c r="AA263" s="176"/>
      <c r="AB263" s="92"/>
      <c r="AC263" s="93"/>
      <c r="AD263" s="93"/>
      <c r="AE263" s="93"/>
      <c r="AF263" s="93" t="str">
        <f aca="false">IF(ISBLANK($C263),"",IF(E263=Constants!$B$2,TRUE(),IF(E263=Constants!$B$3,FALSE(),TRUE())))</f>
        <v/>
      </c>
      <c r="AG263" s="93" t="str">
        <f aca="false">IF(ISBLANK($C263),"",IF(F263=Constants!$B$2,TRUE(),IF(F263=Constants!$B$3,FALSE(),TRUE())))</f>
        <v/>
      </c>
      <c r="AH263" s="93" t="str">
        <f aca="false">IF(ISBLANK($C263),"",IF(G263=Constants!$B$2,TRUE(),IF(G263=Constants!$B$3,FALSE(),TRUE())))</f>
        <v/>
      </c>
      <c r="AI263" s="93" t="str">
        <f aca="false">IF(ISBLANK($C263),"",IF(AND(ISNUMBER(H263),H263&gt;=0),H263,Constants!$B$24))</f>
        <v/>
      </c>
      <c r="AJ263" s="93" t="str">
        <f aca="false">IF(ISBLANK($C263),"",IF(I263=Constants!$B$2,TRUE(),IF(I263=Constants!$B$3,FALSE(),TRUE())))</f>
        <v/>
      </c>
      <c r="AK263" s="93" t="str">
        <f aca="false">IF(ISBLANK($C263),"",IF(J263=Constants!$B$2,TRUE(),IF(J263=Constants!$B$3,FALSE(),TRUE())))</f>
        <v/>
      </c>
      <c r="AL263" s="93" t="str">
        <f aca="false">IF(ISBLANK($C263),"",IF(K263=Constants!$B$4,TRUE(),IF(K263=Constants!$B$5,FALSE(),COUNTA(L263:P263)&gt;0)))</f>
        <v/>
      </c>
      <c r="AM263" s="95" t="str">
        <f aca="false">IF(ISBLANK($C263),"",IF(ISNUMBER(L263),IF(L263&gt;=0,L263,""),""))</f>
        <v/>
      </c>
      <c r="AN263" s="94" t="str">
        <f aca="false">IF(ISBLANK($C263),"",IF(ISNUMBER(M263),IF(M263&gt;=0,M263,""),""))</f>
        <v/>
      </c>
      <c r="AO263" s="94" t="str">
        <f aca="false">IF(ISBLANK($C263),"",IF(N263=Constants!$B$2,TRUE(),IF(N263=Constants!$B$3,FALSE(),TRUE())))</f>
        <v/>
      </c>
      <c r="AP263" s="93" t="str">
        <f aca="false">IF(ISBLANK($C263),"",IF(ISNUMBER(O263),IF(O263&gt;=0,O263,""),""))</f>
        <v/>
      </c>
      <c r="AQ263" s="93" t="str">
        <f aca="false">IF(ISBLANK($C263),"",IF(P263=Constants!$B$2,TRUE(),IF(P263=Constants!$B$3,FALSE(),FALSE())))</f>
        <v/>
      </c>
      <c r="AR263" s="93" t="str">
        <f aca="false">IF(ISBLANK($C263),"",IF(Q263=Constants!$B$2,TRUE(),IF(Q263=Constants!$B$3,FALSE(),TRUE())))</f>
        <v/>
      </c>
      <c r="AS263" s="93" t="str">
        <f aca="false">IF(ISBLANK($C263),"",IF(R263=Constants!$B$2,TRUE(),IF(R263=Constants!$B$3,FALSE(),TRUE())))</f>
        <v/>
      </c>
      <c r="AT263" s="93" t="str">
        <f aca="false">IF(ISBLANK($C263),"",IF(S263=Constants!$B$4,TRUE(),IF(S263=Constants!$B$5,FALSE(),COUNTA(T263:X263)&gt;0)))</f>
        <v/>
      </c>
      <c r="AU263" s="95" t="str">
        <f aca="false">IF(ISBLANK($C263),"",IF(ISNUMBER(T263),IF(T263&gt;=0,T263,""),""))</f>
        <v/>
      </c>
      <c r="AV263" s="94" t="str">
        <f aca="false">IF(ISBLANK($C263),"",IF(ISNUMBER(U263),IF(U263&gt;=0,U263,""),""))</f>
        <v/>
      </c>
      <c r="AW263" s="94" t="str">
        <f aca="false">IF(ISBLANK($C263),"",IF(V263=Constants!$B$2,TRUE(),IF(V263=Constants!$B$3,FALSE(),TRUE())))</f>
        <v/>
      </c>
      <c r="AX263" s="93" t="str">
        <f aca="false">IF(ISBLANK($C263),"",IF(ISNUMBER(W263),IF(W263&gt;=0,W263,""),""))</f>
        <v/>
      </c>
      <c r="AY263" s="93" t="str">
        <f aca="false">IF(ISBLANK($C263),"",IF(X263=Constants!$B$2,TRUE(),IF(X263=Constants!$B$3,FALSE(),FALSE())))</f>
        <v/>
      </c>
      <c r="AZ263" s="93" t="str">
        <f aca="false">IF(ISBLANK($C263),"",MIN(Constants!$B$25,MAX(0,IF(ISNUMBER(Y263),Y263*60,0)+IF(ISNUMBER(Z263),Z263,0))))</f>
        <v/>
      </c>
      <c r="BA263" s="93" t="str">
        <f aca="false">IF(ISBLANK($C263),"",IF(AA263=Constants!$B$2,TRUE(),IF(AA263=Constants!$B$3,FALSE(),FALSE())))</f>
        <v/>
      </c>
      <c r="BB263" s="92" t="str">
        <f aca="false">IF(ISBLANK($C263),"",AND($AL263,OR($AM263="",$AN263="",AND($AO263,$AP263=""))))</f>
        <v/>
      </c>
      <c r="BC263" s="94" t="str">
        <f aca="false">IF($BX263&lt;&gt;Constants!$B$6,"",IF($AL263,Constants!$B$17*$AN263+Constants!$B$18*IF($AO263,$AP263,Constants!$B$19),Constants!$B$20))</f>
        <v/>
      </c>
      <c r="BD263" s="97" t="str">
        <f aca="false">IF($BX263&lt;&gt;Constants!$B$6,"",Constants!$B$21*ABS($AD$9-IF($AL263,$AM263,0)))</f>
        <v/>
      </c>
      <c r="BE263" s="97" t="str">
        <f aca="false">IF($BX263&lt;&gt;Constants!$B$6,"",IF(AND($AL263,$AQ263,$AO263),Constants!$B$22,0))</f>
        <v/>
      </c>
      <c r="BF263" s="97" t="str">
        <f aca="false">IF($BX263&lt;&gt;Constants!$B$6,"",IF($AL263,($AI263-Constants!$B$24)*Constants!$B$23,0))</f>
        <v/>
      </c>
      <c r="BG263" s="97" t="str">
        <f aca="false">IF($BX263&lt;&gt;Constants!$B$6,"",IF($AK263,0,Constants!$B$12)+IF($AJ263,0,Constants!$B$13)+IF($AH263,0,Constants!$B$14))</f>
        <v/>
      </c>
      <c r="BH263" s="98" t="str">
        <f aca="false">IF($BX263&lt;&gt;Constants!$B$6,"",Constants!$B$16+SUM($BC263:$BG263))</f>
        <v/>
      </c>
      <c r="BI263" s="97" t="str">
        <f aca="false">IF($BX263&lt;&gt;Constants!$B$6,"",$BC263)</f>
        <v/>
      </c>
      <c r="BJ263" s="97" t="str">
        <f aca="false">IF($BX263&lt;&gt;Constants!$B$6,"",$BD263)</f>
        <v/>
      </c>
      <c r="BK263" s="99" t="str">
        <f aca="false">IF($BX263&lt;&gt;Constants!$B$6,"",IF($AL263,$AN263,""))</f>
        <v/>
      </c>
      <c r="BL263" s="93" t="str">
        <f aca="false">IF($BX263&lt;&gt;Constants!$B$6,"",IF(OR($BS263&lt;$BH263,AND($BS263=$BH263,OR($BT263&lt;$BI263,AND($BT263=$BI263,OR($BU263&lt;$BJ263,AND($BU263=$BJ263,AND(ISNUMBER($BV263),OR(NOT(ISNUMBER($BK263)),$BV263&lt;$BK263)))))))),"-&gt;","&lt;-"))</f>
        <v/>
      </c>
      <c r="BM263" s="92" t="str">
        <f aca="false">IF(ISBLANK($C263),"",AND($AT263,OR($AU263="",$AV263="",AND($AW263,$AX263=""))))</f>
        <v/>
      </c>
      <c r="BN263" s="94" t="str">
        <f aca="false">IF($BX263&lt;&gt;Constants!$B$6,"",IF($AT263,Constants!$B$17*$AV263+Constants!$B$18*IF($AW263,$AX263,Constants!$B$19),Constants!$B$20))</f>
        <v/>
      </c>
      <c r="BO263" s="97" t="str">
        <f aca="false">IF($BX263&lt;&gt;Constants!$B$6,"",Constants!$B$21*ABS($AD$9-IF($AT263,$AU263,0)))</f>
        <v/>
      </c>
      <c r="BP263" s="97" t="str">
        <f aca="false">IF($BX263&lt;&gt;Constants!$B$6,"",IF(AND($AT263,$AY263,$AW263),Constants!$B$22,0))</f>
        <v/>
      </c>
      <c r="BQ263" s="97" t="str">
        <f aca="false">IF($BX263&lt;&gt;Constants!$B$6,"",IF($AT263,($AI263-Constants!$B$24)*Constants!$B$23,0))</f>
        <v/>
      </c>
      <c r="BR263" s="97" t="str">
        <f aca="false">IF($BX263&lt;&gt;Constants!$B$6,"",IF($AS263,0,Constants!$B$12)+IF($AR263,0,Constants!$B$13)+IF($AH263,0,Constants!$B$14))</f>
        <v/>
      </c>
      <c r="BS263" s="98" t="str">
        <f aca="false">IF($BX263&lt;&gt;Constants!$B$6,"",Constants!$B$16+SUM($BN263:$BR263))</f>
        <v/>
      </c>
      <c r="BT263" s="97" t="str">
        <f aca="false">IF($BX263&lt;&gt;Constants!$B$6,"",$BN263)</f>
        <v/>
      </c>
      <c r="BU263" s="97" t="str">
        <f aca="false">IF($BX263&lt;&gt;Constants!$B$6,"",$BO263)</f>
        <v/>
      </c>
      <c r="BV263" s="99" t="str">
        <f aca="false">IF($BX263&lt;&gt;Constants!$B$6,"",IF($AT263,$AV263,""))</f>
        <v/>
      </c>
      <c r="BW263" s="93" t="str">
        <f aca="false">IF(ISBLANK($C263),"",IF(ISBLANK($D$7),$BW$5,IF(NOT(ISNUMBER($D$7)),$BW$6,"")))</f>
        <v/>
      </c>
      <c r="BX263" s="93" t="str">
        <f aca="false">IF(ISBLANK($C263),"",IF($BA263,Constants!$B$9,IF(COUNTA($E263:$AA263)=0,Constants!$B$8,IF(NOT($AG263),Constants!$B$7,IF(OR($BW263&lt;&gt;"",$BB263,$BM263),Constants!$B$10,Constants!$B$6)))))</f>
        <v/>
      </c>
      <c r="BY263" s="93" t="str">
        <f aca="false">IF(ISBLANK($C263),"",IF($BX263&lt;&gt;Constants!$B$6,$BX263,Constants!$B$11))</f>
        <v/>
      </c>
      <c r="BZ263" s="97" t="str">
        <f aca="false">IF($BX263&lt;&gt;Constants!$B$6,"",IF($BL263="-&gt;",$BS263,$BH263))</f>
        <v/>
      </c>
      <c r="CA263" s="97" t="str">
        <f aca="false">IF($BX263&lt;&gt;Constants!$B$6,"",IF($AF263,0,Constants!$B$15))</f>
        <v/>
      </c>
      <c r="CB263" s="97" t="str">
        <f aca="false">IF($BX263&lt;&gt;Constants!$B$6,"",((Constants!$B$25-$AZ263)-Constants!$B$25)/Constants!$B$26)</f>
        <v/>
      </c>
      <c r="CC263" s="97" t="str">
        <f aca="false">IF(ISBLANK($C263),"",IF($BX263&lt;&gt;Constants!$B$6,$BX263,SUM($BZ263:$CB263)))</f>
        <v/>
      </c>
      <c r="CD263" s="93" t="str">
        <f aca="false">IF(ISBLANK($C263),"",IF($BX263&lt;&gt;Constants!$B$6,$BX263,RANK($CC263,$CC$9:$CC$508,1)))</f>
        <v/>
      </c>
      <c r="CE263" s="97" t="str">
        <f aca="false">IF($BX263&lt;&gt;Constants!$B$6,"",IF($BL263="-&gt;",$BT263,$BI263))</f>
        <v/>
      </c>
      <c r="CF263" s="93" t="str">
        <f aca="false">IF(ISBLANK($C263),"",IF($BX263&lt;&gt;Constants!$B$6,$BX263,IF(ISNUMBER($CE263),RANK($CE263,$CE$9:$CE$508,1),COUNT($CE$9:$CE$508)+1)))</f>
        <v/>
      </c>
      <c r="CG263" s="97" t="str">
        <f aca="false">IF($BX263&lt;&gt;Constants!$B$6,"",IF($BL263="-&gt;",$BU263,$BJ263))</f>
        <v/>
      </c>
      <c r="CH263" s="93" t="str">
        <f aca="false">IF(ISBLANK($C263),"",IF($BX263&lt;&gt;Constants!$B$6,$BX263,IF(ISNUMBER($CG263),RANK($CG263,$CG$9:$CG$508,1),COUNT($CG$9:$CG$508)+1)))</f>
        <v/>
      </c>
      <c r="CI263" s="97" t="str">
        <f aca="false">IF($BX263&lt;&gt;Constants!$B$6,"",IF($BL263="-&gt;",$BV263,$BK263))</f>
        <v/>
      </c>
      <c r="CJ263" s="93" t="str">
        <f aca="false">IF(ISBLANK($C263),"",IF($BX263&lt;&gt;Constants!$B$6,$BX263,IF(ISNUMBER($CI263),RANK($CI263,$CI$9:$CI$508,1),COUNT($CI$9:$CI$508)+1)))</f>
        <v/>
      </c>
      <c r="CK263" s="97" t="str">
        <f aca="false">IF($BX263&lt;&gt;Constants!$B$6,"",$AI263)</f>
        <v/>
      </c>
      <c r="CL263" s="93" t="str">
        <f aca="false">IF(ISBLANK($C263),"",IF($BX263&lt;&gt;Constants!$B$6,$BX263,IF(ISNUMBER($CK263),RANK($CK263,$CK$9:$CK$508,1),COUNT($CK$9:$CK$508)+1)))</f>
        <v/>
      </c>
      <c r="CM263" s="93" t="str">
        <f aca="false">IF(ISBLANK($C263),"",IF($BX263&lt;&gt;Constants!$B$6,$BX263,COUNTIFS($CD$9:$CD$508,"&lt;"&amp;$CD263)+COUNTIFS($CD$9:$CD$508,$CD263,$CF$9:$CF$508,"&lt;"&amp;$CF263)+COUNTIFS($CD$9:$CD$508,$CD263,$CF$9:$CF$508,$CF263,$CH$9:$CH$508,"&lt;"&amp;$CH263)+COUNTIFS($CD$9:$CD$508,$CD263,$CF$9:$CF$508,$CF263,$CH$9:$CH$508,$CH263,$CJ$9:$CJ$508,"&lt;"&amp;$CJ263)+COUNTIFS($CD$9:$CD$508,$CD263,$CF$9:$CF$508,$CF263,$CH$9:$CH$508,$CH263,$CJ$9:$CJ$508,$CJ263,$CL$9:$CL$508,"&lt;"&amp;$CL263)+1))</f>
        <v/>
      </c>
      <c r="CN263" s="93" t="str">
        <f aca="false">IF(ISBLANK($C263),"",IF($BX263&lt;&gt;Constants!$B$6,$BX263,$CD263-$CM263))</f>
        <v/>
      </c>
      <c r="CO263" s="100"/>
      <c r="CP263" s="101"/>
      <c r="CQ263" s="102" t="str">
        <f aca="false">IF(ISBLANK($C263),"",IF($BX263=Constants!$B$10,$BW263,""))</f>
        <v/>
      </c>
      <c r="CR263" s="101" t="str">
        <f aca="false">IF(ISBLANK($C263),"",IF($BX263&lt;&gt;Constants!$B$6,"",IF($BL263="-&gt;",2,1)))</f>
        <v/>
      </c>
      <c r="CS263" s="103" t="str">
        <f aca="false">IF(ISBLANK($C263),"",IF($BX263&lt;&gt;Constants!$B$6,"",IF($BL263="-&gt;",$BN263,$BC263)))</f>
        <v/>
      </c>
      <c r="CT263" s="103" t="str">
        <f aca="false">IF(ISBLANK($C263),"",IF($BX263&lt;&gt;Constants!$B$6,"",IF($BL263="-&gt;",$BO263,$BD263)))</f>
        <v/>
      </c>
      <c r="CU263" s="103" t="str">
        <f aca="false">IF(ISBLANK($C263),"",IF($BX263&lt;&gt;Constants!$B$6,"",IF($BL263="-&gt;",$BP263+$BQ263,$BE263+$BF263)+$CB263))</f>
        <v/>
      </c>
      <c r="CV263" s="103" t="str">
        <f aca="false">IF(ISBLANK($C263),"",IF($BX263&lt;&gt;Constants!$B$6,"",IF($BL263="-&gt;",$BR263,$BG263)+$CA263))</f>
        <v/>
      </c>
      <c r="CW263" s="104" t="str">
        <f aca="false">IF(ISBLANK($C263),"",IF($BX263&lt;&gt;Constants!$B$6,$BX263,$CC263))</f>
        <v/>
      </c>
      <c r="CX263" s="105" t="str">
        <f aca="false">IF(ISBLANK($C263),"",$BY263)</f>
        <v/>
      </c>
      <c r="CY263" s="106" t="str">
        <f aca="false">IF(ISBLANK($C263),"",$CN263)</f>
        <v/>
      </c>
      <c r="CZ263" s="106" t="str">
        <f aca="false">IF(ISBLANK($C263),"",$CM263)</f>
        <v/>
      </c>
      <c r="DA263" s="107" t="str">
        <f aca="false">IF(ISBLANK($C263),"",IFERROR(_xlfn.SWITCH($CZ263,Constants!$B$9,COUNTA($C$9:$C$508)+2,Constants!$B$8,COUNTA($C$9:$C$508)+1,Constants!$B$7,COUNTA($C$9:$C$508)),$CZ263))</f>
        <v/>
      </c>
      <c r="DB263" s="9"/>
      <c r="DC263" s="108" t="n">
        <f aca="false">IF(OR(ISNUMBER($CZ263),$CZ263=Constants!$B$9,$CZ263=Constants!$B$7,$CZ263=Constants!$B$8),1,0)</f>
        <v>0</v>
      </c>
      <c r="DD263" s="108" t="n">
        <v>255</v>
      </c>
      <c r="DE263" s="108" t="str">
        <f aca="false">IF(ISBLANK($C263),"",IF(ISNUMBER($DA263),$DA263+ROW($B263)/1000,""))</f>
        <v/>
      </c>
      <c r="DF263" s="108" t="str">
        <f aca="false">IF(ISNUMBER($DE263),RANK($DE263,$DE$9:$DE$508,1),"")</f>
        <v/>
      </c>
      <c r="DG263" s="108" t="str">
        <f aca="false">IF(ISBLANK($C263),"",$B263)</f>
        <v/>
      </c>
      <c r="DH263" s="108" t="str">
        <f aca="false">IF(ISBLANK($C263),"",$C263)</f>
        <v/>
      </c>
      <c r="DI263" s="108" t="str">
        <f aca="false">IF(ISBLANK($C263),"",$D263)</f>
        <v/>
      </c>
      <c r="DJ263" s="109" t="str">
        <f aca="false">$CX263</f>
        <v/>
      </c>
      <c r="DK263" s="110" t="str">
        <f aca="false">$CW263</f>
        <v/>
      </c>
      <c r="DL263" s="108" t="str">
        <f aca="false">IF(ISBLANK($C263),"",$CZ263)</f>
        <v/>
      </c>
      <c r="DM263" s="111" t="str">
        <f aca="false">IF($DD263&gt;$DC$8,"",VLOOKUP($DD263,$DF$9:$DL$508,7,FALSE()))</f>
        <v/>
      </c>
      <c r="DN263" s="112" t="str">
        <f aca="false">IF($DD263&gt;$DC$8,"",VLOOKUP($DD263,$DF$9:$DL$508,2,FALSE()))</f>
        <v/>
      </c>
      <c r="DO263" s="112" t="str">
        <f aca="false">IF($DD263&gt;$DC$8,"",VLOOKUP($DD263,$DF$9:$DL$508,3,FALSE()))</f>
        <v/>
      </c>
      <c r="DP263" s="112" t="str">
        <f aca="false">IF($DD263&gt;$DC$8,"",VLOOKUP($DD263,$DF$9:$DL$508,4,FALSE()))</f>
        <v/>
      </c>
      <c r="DQ263" s="112" t="str">
        <f aca="false">IF($DD263&gt;$DC$8,"",VLOOKUP($DD263,$DF$9:$DL$508,5,FALSE()))</f>
        <v/>
      </c>
      <c r="DR263" s="113" t="str">
        <f aca="false">IF($DD263&gt;$DC$8,"",VLOOKUP($DD263,$DF$9:$DL$508,6,FALSE()))</f>
        <v/>
      </c>
      <c r="DS263" s="76"/>
    </row>
    <row r="264" customFormat="false" ht="15.75" hidden="false" customHeight="false" outlineLevel="0" collapsed="false">
      <c r="A264" s="9"/>
      <c r="B264" s="160"/>
      <c r="C264" s="161"/>
      <c r="D264" s="162"/>
      <c r="E264" s="180"/>
      <c r="F264" s="164"/>
      <c r="G264" s="165"/>
      <c r="H264" s="165"/>
      <c r="I264" s="181"/>
      <c r="J264" s="168"/>
      <c r="K264" s="128"/>
      <c r="L264" s="129"/>
      <c r="M264" s="130"/>
      <c r="N264" s="168"/>
      <c r="O264" s="168"/>
      <c r="P264" s="180"/>
      <c r="Q264" s="168"/>
      <c r="R264" s="168"/>
      <c r="S264" s="128"/>
      <c r="T264" s="130"/>
      <c r="U264" s="130"/>
      <c r="V264" s="168"/>
      <c r="W264" s="168"/>
      <c r="X264" s="180"/>
      <c r="Y264" s="168"/>
      <c r="Z264" s="169"/>
      <c r="AA264" s="168"/>
      <c r="AB264" s="134"/>
      <c r="AC264" s="135"/>
      <c r="AD264" s="135"/>
      <c r="AE264" s="135"/>
      <c r="AF264" s="135" t="str">
        <f aca="false">IF(ISBLANK($C264),"",IF(E264=Constants!$B$2,TRUE(),IF(E264=Constants!$B$3,FALSE(),TRUE())))</f>
        <v/>
      </c>
      <c r="AG264" s="135" t="str">
        <f aca="false">IF(ISBLANK($C264),"",IF(F264=Constants!$B$2,TRUE(),IF(F264=Constants!$B$3,FALSE(),TRUE())))</f>
        <v/>
      </c>
      <c r="AH264" s="135" t="str">
        <f aca="false">IF(ISBLANK($C264),"",IF(G264=Constants!$B$2,TRUE(),IF(G264=Constants!$B$3,FALSE(),TRUE())))</f>
        <v/>
      </c>
      <c r="AI264" s="135" t="str">
        <f aca="false">IF(ISBLANK($C264),"",IF(AND(ISNUMBER(H264),H264&gt;=0),H264,Constants!$B$24))</f>
        <v/>
      </c>
      <c r="AJ264" s="135" t="str">
        <f aca="false">IF(ISBLANK($C264),"",IF(I264=Constants!$B$2,TRUE(),IF(I264=Constants!$B$3,FALSE(),TRUE())))</f>
        <v/>
      </c>
      <c r="AK264" s="135" t="str">
        <f aca="false">IF(ISBLANK($C264),"",IF(J264=Constants!$B$2,TRUE(),IF(J264=Constants!$B$3,FALSE(),TRUE())))</f>
        <v/>
      </c>
      <c r="AL264" s="135" t="str">
        <f aca="false">IF(ISBLANK($C264),"",IF(K264=Constants!$B$4,TRUE(),IF(K264=Constants!$B$5,FALSE(),COUNTA(L264:P264)&gt;0)))</f>
        <v/>
      </c>
      <c r="AM264" s="136" t="str">
        <f aca="false">IF(ISBLANK($C264),"",IF(ISNUMBER(L264),IF(L264&gt;=0,L264,""),""))</f>
        <v/>
      </c>
      <c r="AN264" s="137" t="str">
        <f aca="false">IF(ISBLANK($C264),"",IF(ISNUMBER(M264),IF(M264&gt;=0,M264,""),""))</f>
        <v/>
      </c>
      <c r="AO264" s="137" t="str">
        <f aca="false">IF(ISBLANK($C264),"",IF(N264=Constants!$B$2,TRUE(),IF(N264=Constants!$B$3,FALSE(),TRUE())))</f>
        <v/>
      </c>
      <c r="AP264" s="135" t="str">
        <f aca="false">IF(ISBLANK($C264),"",IF(ISNUMBER(O264),IF(O264&gt;=0,O264,""),""))</f>
        <v/>
      </c>
      <c r="AQ264" s="135" t="str">
        <f aca="false">IF(ISBLANK($C264),"",IF(P264=Constants!$B$2,TRUE(),IF(P264=Constants!$B$3,FALSE(),FALSE())))</f>
        <v/>
      </c>
      <c r="AR264" s="135" t="str">
        <f aca="false">IF(ISBLANK($C264),"",IF(Q264=Constants!$B$2,TRUE(),IF(Q264=Constants!$B$3,FALSE(),TRUE())))</f>
        <v/>
      </c>
      <c r="AS264" s="135" t="str">
        <f aca="false">IF(ISBLANK($C264),"",IF(R264=Constants!$B$2,TRUE(),IF(R264=Constants!$B$3,FALSE(),TRUE())))</f>
        <v/>
      </c>
      <c r="AT264" s="135" t="str">
        <f aca="false">IF(ISBLANK($C264),"",IF(S264=Constants!$B$4,TRUE(),IF(S264=Constants!$B$5,FALSE(),COUNTA(T264:X264)&gt;0)))</f>
        <v/>
      </c>
      <c r="AU264" s="136" t="str">
        <f aca="false">IF(ISBLANK($C264),"",IF(ISNUMBER(T264),IF(T264&gt;=0,T264,""),""))</f>
        <v/>
      </c>
      <c r="AV264" s="137" t="str">
        <f aca="false">IF(ISBLANK($C264),"",IF(ISNUMBER(U264),IF(U264&gt;=0,U264,""),""))</f>
        <v/>
      </c>
      <c r="AW264" s="137" t="str">
        <f aca="false">IF(ISBLANK($C264),"",IF(V264=Constants!$B$2,TRUE(),IF(V264=Constants!$B$3,FALSE(),TRUE())))</f>
        <v/>
      </c>
      <c r="AX264" s="135" t="str">
        <f aca="false">IF(ISBLANK($C264),"",IF(ISNUMBER(W264),IF(W264&gt;=0,W264,""),""))</f>
        <v/>
      </c>
      <c r="AY264" s="135" t="str">
        <f aca="false">IF(ISBLANK($C264),"",IF(X264=Constants!$B$2,TRUE(),IF(X264=Constants!$B$3,FALSE(),FALSE())))</f>
        <v/>
      </c>
      <c r="AZ264" s="135" t="str">
        <f aca="false">IF(ISBLANK($C264),"",MIN(Constants!$B$25,MAX(0,IF(ISNUMBER(Y264),Y264*60,0)+IF(ISNUMBER(Z264),Z264,0))))</f>
        <v/>
      </c>
      <c r="BA264" s="135" t="str">
        <f aca="false">IF(ISBLANK($C264),"",IF(AA264=Constants!$B$2,TRUE(),IF(AA264=Constants!$B$3,FALSE(),FALSE())))</f>
        <v/>
      </c>
      <c r="BB264" s="134" t="str">
        <f aca="false">IF(ISBLANK($C264),"",AND($AL264,OR($AM264="",$AN264="",AND($AO264,$AP264=""))))</f>
        <v/>
      </c>
      <c r="BC264" s="137" t="str">
        <f aca="false">IF($BX264&lt;&gt;Constants!$B$6,"",IF($AL264,Constants!$B$17*$AN264+Constants!$B$18*IF($AO264,$AP264,Constants!$B$19),Constants!$B$20))</f>
        <v/>
      </c>
      <c r="BD264" s="138" t="str">
        <f aca="false">IF($BX264&lt;&gt;Constants!$B$6,"",Constants!$B$21*ABS($AD$9-IF($AL264,$AM264,0)))</f>
        <v/>
      </c>
      <c r="BE264" s="138" t="str">
        <f aca="false">IF($BX264&lt;&gt;Constants!$B$6,"",IF(AND($AL264,$AQ264,$AO264),Constants!$B$22,0))</f>
        <v/>
      </c>
      <c r="BF264" s="138" t="str">
        <f aca="false">IF($BX264&lt;&gt;Constants!$B$6,"",IF($AL264,($AI264-Constants!$B$24)*Constants!$B$23,0))</f>
        <v/>
      </c>
      <c r="BG264" s="138" t="str">
        <f aca="false">IF($BX264&lt;&gt;Constants!$B$6,"",IF($AK264,0,Constants!$B$12)+IF($AJ264,0,Constants!$B$13)+IF($AH264,0,Constants!$B$14))</f>
        <v/>
      </c>
      <c r="BH264" s="139" t="str">
        <f aca="false">IF($BX264&lt;&gt;Constants!$B$6,"",Constants!$B$16+SUM($BC264:$BG264))</f>
        <v/>
      </c>
      <c r="BI264" s="138" t="str">
        <f aca="false">IF($BX264&lt;&gt;Constants!$B$6,"",$BC264)</f>
        <v/>
      </c>
      <c r="BJ264" s="138" t="str">
        <f aca="false">IF($BX264&lt;&gt;Constants!$B$6,"",$BD264)</f>
        <v/>
      </c>
      <c r="BK264" s="140" t="str">
        <f aca="false">IF($BX264&lt;&gt;Constants!$B$6,"",IF($AL264,$AN264,""))</f>
        <v/>
      </c>
      <c r="BL264" s="135" t="str">
        <f aca="false">IF($BX264&lt;&gt;Constants!$B$6,"",IF(OR($BS264&lt;$BH264,AND($BS264=$BH264,OR($BT264&lt;$BI264,AND($BT264=$BI264,OR($BU264&lt;$BJ264,AND($BU264=$BJ264,AND(ISNUMBER($BV264),OR(NOT(ISNUMBER($BK264)),$BV264&lt;$BK264)))))))),"-&gt;","&lt;-"))</f>
        <v/>
      </c>
      <c r="BM264" s="134" t="str">
        <f aca="false">IF(ISBLANK($C264),"",AND($AT264,OR($AU264="",$AV264="",AND($AW264,$AX264=""))))</f>
        <v/>
      </c>
      <c r="BN264" s="137" t="str">
        <f aca="false">IF($BX264&lt;&gt;Constants!$B$6,"",IF($AT264,Constants!$B$17*$AV264+Constants!$B$18*IF($AW264,$AX264,Constants!$B$19),Constants!$B$20))</f>
        <v/>
      </c>
      <c r="BO264" s="138" t="str">
        <f aca="false">IF($BX264&lt;&gt;Constants!$B$6,"",Constants!$B$21*ABS($AD$9-IF($AT264,$AU264,0)))</f>
        <v/>
      </c>
      <c r="BP264" s="138" t="str">
        <f aca="false">IF($BX264&lt;&gt;Constants!$B$6,"",IF(AND($AT264,$AY264,$AW264),Constants!$B$22,0))</f>
        <v/>
      </c>
      <c r="BQ264" s="138" t="str">
        <f aca="false">IF($BX264&lt;&gt;Constants!$B$6,"",IF($AT264,($AI264-Constants!$B$24)*Constants!$B$23,0))</f>
        <v/>
      </c>
      <c r="BR264" s="138" t="str">
        <f aca="false">IF($BX264&lt;&gt;Constants!$B$6,"",IF($AS264,0,Constants!$B$12)+IF($AR264,0,Constants!$B$13)+IF($AH264,0,Constants!$B$14))</f>
        <v/>
      </c>
      <c r="BS264" s="139" t="str">
        <f aca="false">IF($BX264&lt;&gt;Constants!$B$6,"",Constants!$B$16+SUM($BN264:$BR264))</f>
        <v/>
      </c>
      <c r="BT264" s="138" t="str">
        <f aca="false">IF($BX264&lt;&gt;Constants!$B$6,"",$BN264)</f>
        <v/>
      </c>
      <c r="BU264" s="138" t="str">
        <f aca="false">IF($BX264&lt;&gt;Constants!$B$6,"",$BO264)</f>
        <v/>
      </c>
      <c r="BV264" s="140" t="str">
        <f aca="false">IF($BX264&lt;&gt;Constants!$B$6,"",IF($AT264,$AV264,""))</f>
        <v/>
      </c>
      <c r="BW264" s="135" t="str">
        <f aca="false">IF(ISBLANK($C264),"",IF(ISBLANK($D$7),$BW$5,IF(NOT(ISNUMBER($D$7)),$BW$6,"")))</f>
        <v/>
      </c>
      <c r="BX264" s="135" t="str">
        <f aca="false">IF(ISBLANK($C264),"",IF($BA264,Constants!$B$9,IF(COUNTA($E264:$AA264)=0,Constants!$B$8,IF(NOT($AG264),Constants!$B$7,IF(OR($BW264&lt;&gt;"",$BB264,$BM264),Constants!$B$10,Constants!$B$6)))))</f>
        <v/>
      </c>
      <c r="BY264" s="135" t="str">
        <f aca="false">IF(ISBLANK($C264),"",IF($BX264&lt;&gt;Constants!$B$6,$BX264,Constants!$B$11))</f>
        <v/>
      </c>
      <c r="BZ264" s="138" t="str">
        <f aca="false">IF($BX264&lt;&gt;Constants!$B$6,"",IF($BL264="-&gt;",$BS264,$BH264))</f>
        <v/>
      </c>
      <c r="CA264" s="138" t="str">
        <f aca="false">IF($BX264&lt;&gt;Constants!$B$6,"",IF($AF264,0,Constants!$B$15))</f>
        <v/>
      </c>
      <c r="CB264" s="138" t="str">
        <f aca="false">IF($BX264&lt;&gt;Constants!$B$6,"",((Constants!$B$25-$AZ264)-Constants!$B$25)/Constants!$B$26)</f>
        <v/>
      </c>
      <c r="CC264" s="138" t="str">
        <f aca="false">IF(ISBLANK($C264),"",IF($BX264&lt;&gt;Constants!$B$6,$BX264,SUM($BZ264:$CB264)))</f>
        <v/>
      </c>
      <c r="CD264" s="135" t="str">
        <f aca="false">IF(ISBLANK($C264),"",IF($BX264&lt;&gt;Constants!$B$6,$BX264,RANK($CC264,$CC$9:$CC$508,1)))</f>
        <v/>
      </c>
      <c r="CE264" s="138" t="str">
        <f aca="false">IF($BX264&lt;&gt;Constants!$B$6,"",IF($BL264="-&gt;",$BT264,$BI264))</f>
        <v/>
      </c>
      <c r="CF264" s="135" t="str">
        <f aca="false">IF(ISBLANK($C264),"",IF($BX264&lt;&gt;Constants!$B$6,$BX264,IF(ISNUMBER($CE264),RANK($CE264,$CE$9:$CE$508,1),COUNT($CE$9:$CE$508)+1)))</f>
        <v/>
      </c>
      <c r="CG264" s="138" t="str">
        <f aca="false">IF($BX264&lt;&gt;Constants!$B$6,"",IF($BL264="-&gt;",$BU264,$BJ264))</f>
        <v/>
      </c>
      <c r="CH264" s="135" t="str">
        <f aca="false">IF(ISBLANK($C264),"",IF($BX264&lt;&gt;Constants!$B$6,$BX264,IF(ISNUMBER($CG264),RANK($CG264,$CG$9:$CG$508,1),COUNT($CG$9:$CG$508)+1)))</f>
        <v/>
      </c>
      <c r="CI264" s="138" t="str">
        <f aca="false">IF($BX264&lt;&gt;Constants!$B$6,"",IF($BL264="-&gt;",$BV264,$BK264))</f>
        <v/>
      </c>
      <c r="CJ264" s="135" t="str">
        <f aca="false">IF(ISBLANK($C264),"",IF($BX264&lt;&gt;Constants!$B$6,$BX264,IF(ISNUMBER($CI264),RANK($CI264,$CI$9:$CI$508,1),COUNT($CI$9:$CI$508)+1)))</f>
        <v/>
      </c>
      <c r="CK264" s="138" t="str">
        <f aca="false">IF($BX264&lt;&gt;Constants!$B$6,"",$AI264)</f>
        <v/>
      </c>
      <c r="CL264" s="135" t="str">
        <f aca="false">IF(ISBLANK($C264),"",IF($BX264&lt;&gt;Constants!$B$6,$BX264,IF(ISNUMBER($CK264),RANK($CK264,$CK$9:$CK$508,1),COUNT($CK$9:$CK$508)+1)))</f>
        <v/>
      </c>
      <c r="CM264" s="135" t="str">
        <f aca="false">IF(ISBLANK($C264),"",IF($BX264&lt;&gt;Constants!$B$6,$BX264,COUNTIFS($CD$9:$CD$508,"&lt;"&amp;$CD264)+COUNTIFS($CD$9:$CD$508,$CD264,$CF$9:$CF$508,"&lt;"&amp;$CF264)+COUNTIFS($CD$9:$CD$508,$CD264,$CF$9:$CF$508,$CF264,$CH$9:$CH$508,"&lt;"&amp;$CH264)+COUNTIFS($CD$9:$CD$508,$CD264,$CF$9:$CF$508,$CF264,$CH$9:$CH$508,$CH264,$CJ$9:$CJ$508,"&lt;"&amp;$CJ264)+COUNTIFS($CD$9:$CD$508,$CD264,$CF$9:$CF$508,$CF264,$CH$9:$CH$508,$CH264,$CJ$9:$CJ$508,$CJ264,$CL$9:$CL$508,"&lt;"&amp;$CL264)+1))</f>
        <v/>
      </c>
      <c r="CN264" s="135" t="str">
        <f aca="false">IF(ISBLANK($C264),"",IF($BX264&lt;&gt;Constants!$B$6,$BX264,$CD264-$CM264))</f>
        <v/>
      </c>
      <c r="CO264" s="141"/>
      <c r="CP264" s="142"/>
      <c r="CQ264" s="143" t="str">
        <f aca="false">IF(ISBLANK($C264),"",IF($BX264=Constants!$B$10,$BW264,""))</f>
        <v/>
      </c>
      <c r="CR264" s="142" t="str">
        <f aca="false">IF(ISBLANK($C264),"",IF($BX264&lt;&gt;Constants!$B$6,"",IF($BL264="-&gt;",2,1)))</f>
        <v/>
      </c>
      <c r="CS264" s="144" t="str">
        <f aca="false">IF(ISBLANK($C264),"",IF($BX264&lt;&gt;Constants!$B$6,"",IF($BL264="-&gt;",$BN264,$BC264)))</f>
        <v/>
      </c>
      <c r="CT264" s="144" t="str">
        <f aca="false">IF(ISBLANK($C264),"",IF($BX264&lt;&gt;Constants!$B$6,"",IF($BL264="-&gt;",$BO264,$BD264)))</f>
        <v/>
      </c>
      <c r="CU264" s="144" t="str">
        <f aca="false">IF(ISBLANK($C264),"",IF($BX264&lt;&gt;Constants!$B$6,"",IF($BL264="-&gt;",$BP264+$BQ264,$BE264+$BF264)+$CB264))</f>
        <v/>
      </c>
      <c r="CV264" s="144" t="str">
        <f aca="false">IF(ISBLANK($C264),"",IF($BX264&lt;&gt;Constants!$B$6,"",IF($BL264="-&gt;",$BR264,$BG264)+$CA264))</f>
        <v/>
      </c>
      <c r="CW264" s="145" t="str">
        <f aca="false">IF(ISBLANK($C264),"",IF($BX264&lt;&gt;Constants!$B$6,$BX264,$CC264))</f>
        <v/>
      </c>
      <c r="CX264" s="146" t="str">
        <f aca="false">IF(ISBLANK($C264),"",$BY264)</f>
        <v/>
      </c>
      <c r="CY264" s="147" t="str">
        <f aca="false">IF(ISBLANK($C264),"",$CN264)</f>
        <v/>
      </c>
      <c r="CZ264" s="147" t="str">
        <f aca="false">IF(ISBLANK($C264),"",$CM264)</f>
        <v/>
      </c>
      <c r="DA264" s="148" t="str">
        <f aca="false">IF(ISBLANK($C264),"",IFERROR(_xlfn.SWITCH($CZ264,Constants!$B$9,COUNTA($C$9:$C$508)+2,Constants!$B$8,COUNTA($C$9:$C$508)+1,Constants!$B$7,COUNTA($C$9:$C$508)),$CZ264))</f>
        <v/>
      </c>
      <c r="DB264" s="9"/>
      <c r="DC264" s="149" t="n">
        <f aca="false">IF(OR(ISNUMBER($CZ264),$CZ264=Constants!$B$9,$CZ264=Constants!$B$7,$CZ264=Constants!$B$8),1,0)</f>
        <v>0</v>
      </c>
      <c r="DD264" s="149" t="n">
        <v>256</v>
      </c>
      <c r="DE264" s="149" t="str">
        <f aca="false">IF(ISBLANK($C264),"",IF(ISNUMBER($DA264),$DA264+ROW($B264)/1000,""))</f>
        <v/>
      </c>
      <c r="DF264" s="149" t="str">
        <f aca="false">IF(ISNUMBER($DE264),RANK($DE264,$DE$9:$DE$508,1),"")</f>
        <v/>
      </c>
      <c r="DG264" s="149" t="str">
        <f aca="false">IF(ISBLANK($C264),"",$B264)</f>
        <v/>
      </c>
      <c r="DH264" s="149" t="str">
        <f aca="false">IF(ISBLANK($C264),"",$C264)</f>
        <v/>
      </c>
      <c r="DI264" s="149" t="str">
        <f aca="false">IF(ISBLANK($C264),"",$D264)</f>
        <v/>
      </c>
      <c r="DJ264" s="150" t="str">
        <f aca="false">$CX264</f>
        <v/>
      </c>
      <c r="DK264" s="151" t="str">
        <f aca="false">$CW264</f>
        <v/>
      </c>
      <c r="DL264" s="149" t="str">
        <f aca="false">IF(ISBLANK($C264),"",$CZ264)</f>
        <v/>
      </c>
      <c r="DM264" s="152" t="str">
        <f aca="false">IF($DD264&gt;$DC$8,"",VLOOKUP($DD264,$DF$9:$DL$508,7,FALSE()))</f>
        <v/>
      </c>
      <c r="DN264" s="153" t="str">
        <f aca="false">IF($DD264&gt;$DC$8,"",VLOOKUP($DD264,$DF$9:$DL$508,2,FALSE()))</f>
        <v/>
      </c>
      <c r="DO264" s="153" t="str">
        <f aca="false">IF($DD264&gt;$DC$8,"",VLOOKUP($DD264,$DF$9:$DL$508,3,FALSE()))</f>
        <v/>
      </c>
      <c r="DP264" s="153" t="str">
        <f aca="false">IF($DD264&gt;$DC$8,"",VLOOKUP($DD264,$DF$9:$DL$508,4,FALSE()))</f>
        <v/>
      </c>
      <c r="DQ264" s="153" t="str">
        <f aca="false">IF($DD264&gt;$DC$8,"",VLOOKUP($DD264,$DF$9:$DL$508,5,FALSE()))</f>
        <v/>
      </c>
      <c r="DR264" s="154" t="str">
        <f aca="false">IF($DD264&gt;$DC$8,"",VLOOKUP($DD264,$DF$9:$DL$508,6,FALSE()))</f>
        <v/>
      </c>
      <c r="DS264" s="76"/>
    </row>
    <row r="265" customFormat="false" ht="15.75" hidden="false" customHeight="false" outlineLevel="0" collapsed="false">
      <c r="A265" s="9"/>
      <c r="B265" s="160"/>
      <c r="C265" s="161"/>
      <c r="D265" s="162"/>
      <c r="E265" s="180"/>
      <c r="F265" s="164"/>
      <c r="G265" s="165"/>
      <c r="H265" s="165"/>
      <c r="I265" s="181"/>
      <c r="J265" s="168"/>
      <c r="K265" s="128"/>
      <c r="L265" s="129"/>
      <c r="M265" s="130"/>
      <c r="N265" s="168"/>
      <c r="O265" s="168"/>
      <c r="P265" s="180"/>
      <c r="Q265" s="168"/>
      <c r="R265" s="168"/>
      <c r="S265" s="128"/>
      <c r="T265" s="130"/>
      <c r="U265" s="130"/>
      <c r="V265" s="168"/>
      <c r="W265" s="168"/>
      <c r="X265" s="180"/>
      <c r="Y265" s="168"/>
      <c r="Z265" s="169"/>
      <c r="AA265" s="168"/>
      <c r="AB265" s="134"/>
      <c r="AC265" s="135"/>
      <c r="AD265" s="135"/>
      <c r="AE265" s="135"/>
      <c r="AF265" s="135" t="str">
        <f aca="false">IF(ISBLANK($C265),"",IF(E265=Constants!$B$2,TRUE(),IF(E265=Constants!$B$3,FALSE(),TRUE())))</f>
        <v/>
      </c>
      <c r="AG265" s="135" t="str">
        <f aca="false">IF(ISBLANK($C265),"",IF(F265=Constants!$B$2,TRUE(),IF(F265=Constants!$B$3,FALSE(),TRUE())))</f>
        <v/>
      </c>
      <c r="AH265" s="135" t="str">
        <f aca="false">IF(ISBLANK($C265),"",IF(G265=Constants!$B$2,TRUE(),IF(G265=Constants!$B$3,FALSE(),TRUE())))</f>
        <v/>
      </c>
      <c r="AI265" s="135" t="str">
        <f aca="false">IF(ISBLANK($C265),"",IF(AND(ISNUMBER(H265),H265&gt;=0),H265,Constants!$B$24))</f>
        <v/>
      </c>
      <c r="AJ265" s="135" t="str">
        <f aca="false">IF(ISBLANK($C265),"",IF(I265=Constants!$B$2,TRUE(),IF(I265=Constants!$B$3,FALSE(),TRUE())))</f>
        <v/>
      </c>
      <c r="AK265" s="135" t="str">
        <f aca="false">IF(ISBLANK($C265),"",IF(J265=Constants!$B$2,TRUE(),IF(J265=Constants!$B$3,FALSE(),TRUE())))</f>
        <v/>
      </c>
      <c r="AL265" s="135" t="str">
        <f aca="false">IF(ISBLANK($C265),"",IF(K265=Constants!$B$4,TRUE(),IF(K265=Constants!$B$5,FALSE(),COUNTA(L265:P265)&gt;0)))</f>
        <v/>
      </c>
      <c r="AM265" s="136" t="str">
        <f aca="false">IF(ISBLANK($C265),"",IF(ISNUMBER(L265),IF(L265&gt;=0,L265,""),""))</f>
        <v/>
      </c>
      <c r="AN265" s="137" t="str">
        <f aca="false">IF(ISBLANK($C265),"",IF(ISNUMBER(M265),IF(M265&gt;=0,M265,""),""))</f>
        <v/>
      </c>
      <c r="AO265" s="137" t="str">
        <f aca="false">IF(ISBLANK($C265),"",IF(N265=Constants!$B$2,TRUE(),IF(N265=Constants!$B$3,FALSE(),TRUE())))</f>
        <v/>
      </c>
      <c r="AP265" s="135" t="str">
        <f aca="false">IF(ISBLANK($C265),"",IF(ISNUMBER(O265),IF(O265&gt;=0,O265,""),""))</f>
        <v/>
      </c>
      <c r="AQ265" s="135" t="str">
        <f aca="false">IF(ISBLANK($C265),"",IF(P265=Constants!$B$2,TRUE(),IF(P265=Constants!$B$3,FALSE(),FALSE())))</f>
        <v/>
      </c>
      <c r="AR265" s="135" t="str">
        <f aca="false">IF(ISBLANK($C265),"",IF(Q265=Constants!$B$2,TRUE(),IF(Q265=Constants!$B$3,FALSE(),TRUE())))</f>
        <v/>
      </c>
      <c r="AS265" s="135" t="str">
        <f aca="false">IF(ISBLANK($C265),"",IF(R265=Constants!$B$2,TRUE(),IF(R265=Constants!$B$3,FALSE(),TRUE())))</f>
        <v/>
      </c>
      <c r="AT265" s="135" t="str">
        <f aca="false">IF(ISBLANK($C265),"",IF(S265=Constants!$B$4,TRUE(),IF(S265=Constants!$B$5,FALSE(),COUNTA(T265:X265)&gt;0)))</f>
        <v/>
      </c>
      <c r="AU265" s="136" t="str">
        <f aca="false">IF(ISBLANK($C265),"",IF(ISNUMBER(T265),IF(T265&gt;=0,T265,""),""))</f>
        <v/>
      </c>
      <c r="AV265" s="137" t="str">
        <f aca="false">IF(ISBLANK($C265),"",IF(ISNUMBER(U265),IF(U265&gt;=0,U265,""),""))</f>
        <v/>
      </c>
      <c r="AW265" s="137" t="str">
        <f aca="false">IF(ISBLANK($C265),"",IF(V265=Constants!$B$2,TRUE(),IF(V265=Constants!$B$3,FALSE(),TRUE())))</f>
        <v/>
      </c>
      <c r="AX265" s="135" t="str">
        <f aca="false">IF(ISBLANK($C265),"",IF(ISNUMBER(W265),IF(W265&gt;=0,W265,""),""))</f>
        <v/>
      </c>
      <c r="AY265" s="135" t="str">
        <f aca="false">IF(ISBLANK($C265),"",IF(X265=Constants!$B$2,TRUE(),IF(X265=Constants!$B$3,FALSE(),FALSE())))</f>
        <v/>
      </c>
      <c r="AZ265" s="135" t="str">
        <f aca="false">IF(ISBLANK($C265),"",MIN(Constants!$B$25,MAX(0,IF(ISNUMBER(Y265),Y265*60,0)+IF(ISNUMBER(Z265),Z265,0))))</f>
        <v/>
      </c>
      <c r="BA265" s="135" t="str">
        <f aca="false">IF(ISBLANK($C265),"",IF(AA265=Constants!$B$2,TRUE(),IF(AA265=Constants!$B$3,FALSE(),FALSE())))</f>
        <v/>
      </c>
      <c r="BB265" s="134" t="str">
        <f aca="false">IF(ISBLANK($C265),"",AND($AL265,OR($AM265="",$AN265="",AND($AO265,$AP265=""))))</f>
        <v/>
      </c>
      <c r="BC265" s="137" t="str">
        <f aca="false">IF($BX265&lt;&gt;Constants!$B$6,"",IF($AL265,Constants!$B$17*$AN265+Constants!$B$18*IF($AO265,$AP265,Constants!$B$19),Constants!$B$20))</f>
        <v/>
      </c>
      <c r="BD265" s="138" t="str">
        <f aca="false">IF($BX265&lt;&gt;Constants!$B$6,"",Constants!$B$21*ABS($AD$9-IF($AL265,$AM265,0)))</f>
        <v/>
      </c>
      <c r="BE265" s="138" t="str">
        <f aca="false">IF($BX265&lt;&gt;Constants!$B$6,"",IF(AND($AL265,$AQ265,$AO265),Constants!$B$22,0))</f>
        <v/>
      </c>
      <c r="BF265" s="138" t="str">
        <f aca="false">IF($BX265&lt;&gt;Constants!$B$6,"",IF($AL265,($AI265-Constants!$B$24)*Constants!$B$23,0))</f>
        <v/>
      </c>
      <c r="BG265" s="138" t="str">
        <f aca="false">IF($BX265&lt;&gt;Constants!$B$6,"",IF($AK265,0,Constants!$B$12)+IF($AJ265,0,Constants!$B$13)+IF($AH265,0,Constants!$B$14))</f>
        <v/>
      </c>
      <c r="BH265" s="139" t="str">
        <f aca="false">IF($BX265&lt;&gt;Constants!$B$6,"",Constants!$B$16+SUM($BC265:$BG265))</f>
        <v/>
      </c>
      <c r="BI265" s="138" t="str">
        <f aca="false">IF($BX265&lt;&gt;Constants!$B$6,"",$BC265)</f>
        <v/>
      </c>
      <c r="BJ265" s="138" t="str">
        <f aca="false">IF($BX265&lt;&gt;Constants!$B$6,"",$BD265)</f>
        <v/>
      </c>
      <c r="BK265" s="140" t="str">
        <f aca="false">IF($BX265&lt;&gt;Constants!$B$6,"",IF($AL265,$AN265,""))</f>
        <v/>
      </c>
      <c r="BL265" s="135" t="str">
        <f aca="false">IF($BX265&lt;&gt;Constants!$B$6,"",IF(OR($BS265&lt;$BH265,AND($BS265=$BH265,OR($BT265&lt;$BI265,AND($BT265=$BI265,OR($BU265&lt;$BJ265,AND($BU265=$BJ265,AND(ISNUMBER($BV265),OR(NOT(ISNUMBER($BK265)),$BV265&lt;$BK265)))))))),"-&gt;","&lt;-"))</f>
        <v/>
      </c>
      <c r="BM265" s="134" t="str">
        <f aca="false">IF(ISBLANK($C265),"",AND($AT265,OR($AU265="",$AV265="",AND($AW265,$AX265=""))))</f>
        <v/>
      </c>
      <c r="BN265" s="137" t="str">
        <f aca="false">IF($BX265&lt;&gt;Constants!$B$6,"",IF($AT265,Constants!$B$17*$AV265+Constants!$B$18*IF($AW265,$AX265,Constants!$B$19),Constants!$B$20))</f>
        <v/>
      </c>
      <c r="BO265" s="138" t="str">
        <f aca="false">IF($BX265&lt;&gt;Constants!$B$6,"",Constants!$B$21*ABS($AD$9-IF($AT265,$AU265,0)))</f>
        <v/>
      </c>
      <c r="BP265" s="138" t="str">
        <f aca="false">IF($BX265&lt;&gt;Constants!$B$6,"",IF(AND($AT265,$AY265,$AW265),Constants!$B$22,0))</f>
        <v/>
      </c>
      <c r="BQ265" s="138" t="str">
        <f aca="false">IF($BX265&lt;&gt;Constants!$B$6,"",IF($AT265,($AI265-Constants!$B$24)*Constants!$B$23,0))</f>
        <v/>
      </c>
      <c r="BR265" s="138" t="str">
        <f aca="false">IF($BX265&lt;&gt;Constants!$B$6,"",IF($AS265,0,Constants!$B$12)+IF($AR265,0,Constants!$B$13)+IF($AH265,0,Constants!$B$14))</f>
        <v/>
      </c>
      <c r="BS265" s="139" t="str">
        <f aca="false">IF($BX265&lt;&gt;Constants!$B$6,"",Constants!$B$16+SUM($BN265:$BR265))</f>
        <v/>
      </c>
      <c r="BT265" s="138" t="str">
        <f aca="false">IF($BX265&lt;&gt;Constants!$B$6,"",$BN265)</f>
        <v/>
      </c>
      <c r="BU265" s="138" t="str">
        <f aca="false">IF($BX265&lt;&gt;Constants!$B$6,"",$BO265)</f>
        <v/>
      </c>
      <c r="BV265" s="140" t="str">
        <f aca="false">IF($BX265&lt;&gt;Constants!$B$6,"",IF($AT265,$AV265,""))</f>
        <v/>
      </c>
      <c r="BW265" s="135" t="str">
        <f aca="false">IF(ISBLANK($C265),"",IF(ISBLANK($D$7),$BW$5,IF(NOT(ISNUMBER($D$7)),$BW$6,"")))</f>
        <v/>
      </c>
      <c r="BX265" s="135" t="str">
        <f aca="false">IF(ISBLANK($C265),"",IF($BA265,Constants!$B$9,IF(COUNTA($E265:$AA265)=0,Constants!$B$8,IF(NOT($AG265),Constants!$B$7,IF(OR($BW265&lt;&gt;"",$BB265,$BM265),Constants!$B$10,Constants!$B$6)))))</f>
        <v/>
      </c>
      <c r="BY265" s="135" t="str">
        <f aca="false">IF(ISBLANK($C265),"",IF($BX265&lt;&gt;Constants!$B$6,$BX265,Constants!$B$11))</f>
        <v/>
      </c>
      <c r="BZ265" s="138" t="str">
        <f aca="false">IF($BX265&lt;&gt;Constants!$B$6,"",IF($BL265="-&gt;",$BS265,$BH265))</f>
        <v/>
      </c>
      <c r="CA265" s="138" t="str">
        <f aca="false">IF($BX265&lt;&gt;Constants!$B$6,"",IF($AF265,0,Constants!$B$15))</f>
        <v/>
      </c>
      <c r="CB265" s="138" t="str">
        <f aca="false">IF($BX265&lt;&gt;Constants!$B$6,"",((Constants!$B$25-$AZ265)-Constants!$B$25)/Constants!$B$26)</f>
        <v/>
      </c>
      <c r="CC265" s="138" t="str">
        <f aca="false">IF(ISBLANK($C265),"",IF($BX265&lt;&gt;Constants!$B$6,$BX265,SUM($BZ265:$CB265)))</f>
        <v/>
      </c>
      <c r="CD265" s="135" t="str">
        <f aca="false">IF(ISBLANK($C265),"",IF($BX265&lt;&gt;Constants!$B$6,$BX265,RANK($CC265,$CC$9:$CC$508,1)))</f>
        <v/>
      </c>
      <c r="CE265" s="138" t="str">
        <f aca="false">IF($BX265&lt;&gt;Constants!$B$6,"",IF($BL265="-&gt;",$BT265,$BI265))</f>
        <v/>
      </c>
      <c r="CF265" s="135" t="str">
        <f aca="false">IF(ISBLANK($C265),"",IF($BX265&lt;&gt;Constants!$B$6,$BX265,IF(ISNUMBER($CE265),RANK($CE265,$CE$9:$CE$508,1),COUNT($CE$9:$CE$508)+1)))</f>
        <v/>
      </c>
      <c r="CG265" s="138" t="str">
        <f aca="false">IF($BX265&lt;&gt;Constants!$B$6,"",IF($BL265="-&gt;",$BU265,$BJ265))</f>
        <v/>
      </c>
      <c r="CH265" s="135" t="str">
        <f aca="false">IF(ISBLANK($C265),"",IF($BX265&lt;&gt;Constants!$B$6,$BX265,IF(ISNUMBER($CG265),RANK($CG265,$CG$9:$CG$508,1),COUNT($CG$9:$CG$508)+1)))</f>
        <v/>
      </c>
      <c r="CI265" s="138" t="str">
        <f aca="false">IF($BX265&lt;&gt;Constants!$B$6,"",IF($BL265="-&gt;",$BV265,$BK265))</f>
        <v/>
      </c>
      <c r="CJ265" s="135" t="str">
        <f aca="false">IF(ISBLANK($C265),"",IF($BX265&lt;&gt;Constants!$B$6,$BX265,IF(ISNUMBER($CI265),RANK($CI265,$CI$9:$CI$508,1),COUNT($CI$9:$CI$508)+1)))</f>
        <v/>
      </c>
      <c r="CK265" s="138" t="str">
        <f aca="false">IF($BX265&lt;&gt;Constants!$B$6,"",$AI265)</f>
        <v/>
      </c>
      <c r="CL265" s="135" t="str">
        <f aca="false">IF(ISBLANK($C265),"",IF($BX265&lt;&gt;Constants!$B$6,$BX265,IF(ISNUMBER($CK265),RANK($CK265,$CK$9:$CK$508,1),COUNT($CK$9:$CK$508)+1)))</f>
        <v/>
      </c>
      <c r="CM265" s="135" t="str">
        <f aca="false">IF(ISBLANK($C265),"",IF($BX265&lt;&gt;Constants!$B$6,$BX265,COUNTIFS($CD$9:$CD$508,"&lt;"&amp;$CD265)+COUNTIFS($CD$9:$CD$508,$CD265,$CF$9:$CF$508,"&lt;"&amp;$CF265)+COUNTIFS($CD$9:$CD$508,$CD265,$CF$9:$CF$508,$CF265,$CH$9:$CH$508,"&lt;"&amp;$CH265)+COUNTIFS($CD$9:$CD$508,$CD265,$CF$9:$CF$508,$CF265,$CH$9:$CH$508,$CH265,$CJ$9:$CJ$508,"&lt;"&amp;$CJ265)+COUNTIFS($CD$9:$CD$508,$CD265,$CF$9:$CF$508,$CF265,$CH$9:$CH$508,$CH265,$CJ$9:$CJ$508,$CJ265,$CL$9:$CL$508,"&lt;"&amp;$CL265)+1))</f>
        <v/>
      </c>
      <c r="CN265" s="135" t="str">
        <f aca="false">IF(ISBLANK($C265),"",IF($BX265&lt;&gt;Constants!$B$6,$BX265,$CD265-$CM265))</f>
        <v/>
      </c>
      <c r="CO265" s="141"/>
      <c r="CP265" s="142"/>
      <c r="CQ265" s="143" t="str">
        <f aca="false">IF(ISBLANK($C265),"",IF($BX265=Constants!$B$10,$BW265,""))</f>
        <v/>
      </c>
      <c r="CR265" s="142" t="str">
        <f aca="false">IF(ISBLANK($C265),"",IF($BX265&lt;&gt;Constants!$B$6,"",IF($BL265="-&gt;",2,1)))</f>
        <v/>
      </c>
      <c r="CS265" s="144" t="str">
        <f aca="false">IF(ISBLANK($C265),"",IF($BX265&lt;&gt;Constants!$B$6,"",IF($BL265="-&gt;",$BN265,$BC265)))</f>
        <v/>
      </c>
      <c r="CT265" s="144" t="str">
        <f aca="false">IF(ISBLANK($C265),"",IF($BX265&lt;&gt;Constants!$B$6,"",IF($BL265="-&gt;",$BO265,$BD265)))</f>
        <v/>
      </c>
      <c r="CU265" s="144" t="str">
        <f aca="false">IF(ISBLANK($C265),"",IF($BX265&lt;&gt;Constants!$B$6,"",IF($BL265="-&gt;",$BP265+$BQ265,$BE265+$BF265)+$CB265))</f>
        <v/>
      </c>
      <c r="CV265" s="144" t="str">
        <f aca="false">IF(ISBLANK($C265),"",IF($BX265&lt;&gt;Constants!$B$6,"",IF($BL265="-&gt;",$BR265,$BG265)+$CA265))</f>
        <v/>
      </c>
      <c r="CW265" s="145" t="str">
        <f aca="false">IF(ISBLANK($C265),"",IF($BX265&lt;&gt;Constants!$B$6,$BX265,$CC265))</f>
        <v/>
      </c>
      <c r="CX265" s="146" t="str">
        <f aca="false">IF(ISBLANK($C265),"",$BY265)</f>
        <v/>
      </c>
      <c r="CY265" s="147" t="str">
        <f aca="false">IF(ISBLANK($C265),"",$CN265)</f>
        <v/>
      </c>
      <c r="CZ265" s="147" t="str">
        <f aca="false">IF(ISBLANK($C265),"",$CM265)</f>
        <v/>
      </c>
      <c r="DA265" s="148" t="str">
        <f aca="false">IF(ISBLANK($C265),"",IFERROR(_xlfn.SWITCH($CZ265,Constants!$B$9,COUNTA($C$9:$C$508)+2,Constants!$B$8,COUNTA($C$9:$C$508)+1,Constants!$B$7,COUNTA($C$9:$C$508)),$CZ265))</f>
        <v/>
      </c>
      <c r="DB265" s="9"/>
      <c r="DC265" s="149" t="n">
        <f aca="false">IF(OR(ISNUMBER($CZ265),$CZ265=Constants!$B$9,$CZ265=Constants!$B$7,$CZ265=Constants!$B$8),1,0)</f>
        <v>0</v>
      </c>
      <c r="DD265" s="149" t="n">
        <v>257</v>
      </c>
      <c r="DE265" s="149" t="str">
        <f aca="false">IF(ISBLANK($C265),"",IF(ISNUMBER($DA265),$DA265+ROW($B265)/1000,""))</f>
        <v/>
      </c>
      <c r="DF265" s="149" t="str">
        <f aca="false">IF(ISNUMBER($DE265),RANK($DE265,$DE$9:$DE$508,1),"")</f>
        <v/>
      </c>
      <c r="DG265" s="149" t="str">
        <f aca="false">IF(ISBLANK($C265),"",$B265)</f>
        <v/>
      </c>
      <c r="DH265" s="149" t="str">
        <f aca="false">IF(ISBLANK($C265),"",$C265)</f>
        <v/>
      </c>
      <c r="DI265" s="149" t="str">
        <f aca="false">IF(ISBLANK($C265),"",$D265)</f>
        <v/>
      </c>
      <c r="DJ265" s="150" t="str">
        <f aca="false">$CX265</f>
        <v/>
      </c>
      <c r="DK265" s="151" t="str">
        <f aca="false">$CW265</f>
        <v/>
      </c>
      <c r="DL265" s="149" t="str">
        <f aca="false">IF(ISBLANK($C265),"",$CZ265)</f>
        <v/>
      </c>
      <c r="DM265" s="152" t="str">
        <f aca="false">IF($DD265&gt;$DC$8,"",VLOOKUP($DD265,$DF$9:$DL$508,7,FALSE()))</f>
        <v/>
      </c>
      <c r="DN265" s="153" t="str">
        <f aca="false">IF($DD265&gt;$DC$8,"",VLOOKUP($DD265,$DF$9:$DL$508,2,FALSE()))</f>
        <v/>
      </c>
      <c r="DO265" s="153" t="str">
        <f aca="false">IF($DD265&gt;$DC$8,"",VLOOKUP($DD265,$DF$9:$DL$508,3,FALSE()))</f>
        <v/>
      </c>
      <c r="DP265" s="153" t="str">
        <f aca="false">IF($DD265&gt;$DC$8,"",VLOOKUP($DD265,$DF$9:$DL$508,4,FALSE()))</f>
        <v/>
      </c>
      <c r="DQ265" s="153" t="str">
        <f aca="false">IF($DD265&gt;$DC$8,"",VLOOKUP($DD265,$DF$9:$DL$508,5,FALSE()))</f>
        <v/>
      </c>
      <c r="DR265" s="154" t="str">
        <f aca="false">IF($DD265&gt;$DC$8,"",VLOOKUP($DD265,$DF$9:$DL$508,6,FALSE()))</f>
        <v/>
      </c>
      <c r="DS265" s="76"/>
    </row>
    <row r="266" customFormat="false" ht="15.75" hidden="false" customHeight="false" outlineLevel="0" collapsed="false">
      <c r="A266" s="9"/>
      <c r="B266" s="160"/>
      <c r="C266" s="161"/>
      <c r="D266" s="162"/>
      <c r="E266" s="180"/>
      <c r="F266" s="164"/>
      <c r="G266" s="165"/>
      <c r="H266" s="165"/>
      <c r="I266" s="181"/>
      <c r="J266" s="168"/>
      <c r="K266" s="128"/>
      <c r="L266" s="129"/>
      <c r="M266" s="130"/>
      <c r="N266" s="168"/>
      <c r="O266" s="168"/>
      <c r="P266" s="180"/>
      <c r="Q266" s="168"/>
      <c r="R266" s="168"/>
      <c r="S266" s="128"/>
      <c r="T266" s="130"/>
      <c r="U266" s="130"/>
      <c r="V266" s="168"/>
      <c r="W266" s="168"/>
      <c r="X266" s="180"/>
      <c r="Y266" s="168"/>
      <c r="Z266" s="169"/>
      <c r="AA266" s="168"/>
      <c r="AB266" s="134"/>
      <c r="AC266" s="135"/>
      <c r="AD266" s="135"/>
      <c r="AE266" s="135"/>
      <c r="AF266" s="135" t="str">
        <f aca="false">IF(ISBLANK($C266),"",IF(E266=Constants!$B$2,TRUE(),IF(E266=Constants!$B$3,FALSE(),TRUE())))</f>
        <v/>
      </c>
      <c r="AG266" s="135" t="str">
        <f aca="false">IF(ISBLANK($C266),"",IF(F266=Constants!$B$2,TRUE(),IF(F266=Constants!$B$3,FALSE(),TRUE())))</f>
        <v/>
      </c>
      <c r="AH266" s="135" t="str">
        <f aca="false">IF(ISBLANK($C266),"",IF(G266=Constants!$B$2,TRUE(),IF(G266=Constants!$B$3,FALSE(),TRUE())))</f>
        <v/>
      </c>
      <c r="AI266" s="135" t="str">
        <f aca="false">IF(ISBLANK($C266),"",IF(AND(ISNUMBER(H266),H266&gt;=0),H266,Constants!$B$24))</f>
        <v/>
      </c>
      <c r="AJ266" s="135" t="str">
        <f aca="false">IF(ISBLANK($C266),"",IF(I266=Constants!$B$2,TRUE(),IF(I266=Constants!$B$3,FALSE(),TRUE())))</f>
        <v/>
      </c>
      <c r="AK266" s="135" t="str">
        <f aca="false">IF(ISBLANK($C266),"",IF(J266=Constants!$B$2,TRUE(),IF(J266=Constants!$B$3,FALSE(),TRUE())))</f>
        <v/>
      </c>
      <c r="AL266" s="135" t="str">
        <f aca="false">IF(ISBLANK($C266),"",IF(K266=Constants!$B$4,TRUE(),IF(K266=Constants!$B$5,FALSE(),COUNTA(L266:P266)&gt;0)))</f>
        <v/>
      </c>
      <c r="AM266" s="136" t="str">
        <f aca="false">IF(ISBLANK($C266),"",IF(ISNUMBER(L266),IF(L266&gt;=0,L266,""),""))</f>
        <v/>
      </c>
      <c r="AN266" s="137" t="str">
        <f aca="false">IF(ISBLANK($C266),"",IF(ISNUMBER(M266),IF(M266&gt;=0,M266,""),""))</f>
        <v/>
      </c>
      <c r="AO266" s="137" t="str">
        <f aca="false">IF(ISBLANK($C266),"",IF(N266=Constants!$B$2,TRUE(),IF(N266=Constants!$B$3,FALSE(),TRUE())))</f>
        <v/>
      </c>
      <c r="AP266" s="135" t="str">
        <f aca="false">IF(ISBLANK($C266),"",IF(ISNUMBER(O266),IF(O266&gt;=0,O266,""),""))</f>
        <v/>
      </c>
      <c r="AQ266" s="135" t="str">
        <f aca="false">IF(ISBLANK($C266),"",IF(P266=Constants!$B$2,TRUE(),IF(P266=Constants!$B$3,FALSE(),FALSE())))</f>
        <v/>
      </c>
      <c r="AR266" s="135" t="str">
        <f aca="false">IF(ISBLANK($C266),"",IF(Q266=Constants!$B$2,TRUE(),IF(Q266=Constants!$B$3,FALSE(),TRUE())))</f>
        <v/>
      </c>
      <c r="AS266" s="135" t="str">
        <f aca="false">IF(ISBLANK($C266),"",IF(R266=Constants!$B$2,TRUE(),IF(R266=Constants!$B$3,FALSE(),TRUE())))</f>
        <v/>
      </c>
      <c r="AT266" s="135" t="str">
        <f aca="false">IF(ISBLANK($C266),"",IF(S266=Constants!$B$4,TRUE(),IF(S266=Constants!$B$5,FALSE(),COUNTA(T266:X266)&gt;0)))</f>
        <v/>
      </c>
      <c r="AU266" s="136" t="str">
        <f aca="false">IF(ISBLANK($C266),"",IF(ISNUMBER(T266),IF(T266&gt;=0,T266,""),""))</f>
        <v/>
      </c>
      <c r="AV266" s="137" t="str">
        <f aca="false">IF(ISBLANK($C266),"",IF(ISNUMBER(U266),IF(U266&gt;=0,U266,""),""))</f>
        <v/>
      </c>
      <c r="AW266" s="137" t="str">
        <f aca="false">IF(ISBLANK($C266),"",IF(V266=Constants!$B$2,TRUE(),IF(V266=Constants!$B$3,FALSE(),TRUE())))</f>
        <v/>
      </c>
      <c r="AX266" s="135" t="str">
        <f aca="false">IF(ISBLANK($C266),"",IF(ISNUMBER(W266),IF(W266&gt;=0,W266,""),""))</f>
        <v/>
      </c>
      <c r="AY266" s="135" t="str">
        <f aca="false">IF(ISBLANK($C266),"",IF(X266=Constants!$B$2,TRUE(),IF(X266=Constants!$B$3,FALSE(),FALSE())))</f>
        <v/>
      </c>
      <c r="AZ266" s="135" t="str">
        <f aca="false">IF(ISBLANK($C266),"",MIN(Constants!$B$25,MAX(0,IF(ISNUMBER(Y266),Y266*60,0)+IF(ISNUMBER(Z266),Z266,0))))</f>
        <v/>
      </c>
      <c r="BA266" s="135" t="str">
        <f aca="false">IF(ISBLANK($C266),"",IF(AA266=Constants!$B$2,TRUE(),IF(AA266=Constants!$B$3,FALSE(),FALSE())))</f>
        <v/>
      </c>
      <c r="BB266" s="134" t="str">
        <f aca="false">IF(ISBLANK($C266),"",AND($AL266,OR($AM266="",$AN266="",AND($AO266,$AP266=""))))</f>
        <v/>
      </c>
      <c r="BC266" s="137" t="str">
        <f aca="false">IF($BX266&lt;&gt;Constants!$B$6,"",IF($AL266,Constants!$B$17*$AN266+Constants!$B$18*IF($AO266,$AP266,Constants!$B$19),Constants!$B$20))</f>
        <v/>
      </c>
      <c r="BD266" s="138" t="str">
        <f aca="false">IF($BX266&lt;&gt;Constants!$B$6,"",Constants!$B$21*ABS($AD$9-IF($AL266,$AM266,0)))</f>
        <v/>
      </c>
      <c r="BE266" s="138" t="str">
        <f aca="false">IF($BX266&lt;&gt;Constants!$B$6,"",IF(AND($AL266,$AQ266,$AO266),Constants!$B$22,0))</f>
        <v/>
      </c>
      <c r="BF266" s="138" t="str">
        <f aca="false">IF($BX266&lt;&gt;Constants!$B$6,"",IF($AL266,($AI266-Constants!$B$24)*Constants!$B$23,0))</f>
        <v/>
      </c>
      <c r="BG266" s="138" t="str">
        <f aca="false">IF($BX266&lt;&gt;Constants!$B$6,"",IF($AK266,0,Constants!$B$12)+IF($AJ266,0,Constants!$B$13)+IF($AH266,0,Constants!$B$14))</f>
        <v/>
      </c>
      <c r="BH266" s="139" t="str">
        <f aca="false">IF($BX266&lt;&gt;Constants!$B$6,"",Constants!$B$16+SUM($BC266:$BG266))</f>
        <v/>
      </c>
      <c r="BI266" s="138" t="str">
        <f aca="false">IF($BX266&lt;&gt;Constants!$B$6,"",$BC266)</f>
        <v/>
      </c>
      <c r="BJ266" s="138" t="str">
        <f aca="false">IF($BX266&lt;&gt;Constants!$B$6,"",$BD266)</f>
        <v/>
      </c>
      <c r="BK266" s="140" t="str">
        <f aca="false">IF($BX266&lt;&gt;Constants!$B$6,"",IF($AL266,$AN266,""))</f>
        <v/>
      </c>
      <c r="BL266" s="135" t="str">
        <f aca="false">IF($BX266&lt;&gt;Constants!$B$6,"",IF(OR($BS266&lt;$BH266,AND($BS266=$BH266,OR($BT266&lt;$BI266,AND($BT266=$BI266,OR($BU266&lt;$BJ266,AND($BU266=$BJ266,AND(ISNUMBER($BV266),OR(NOT(ISNUMBER($BK266)),$BV266&lt;$BK266)))))))),"-&gt;","&lt;-"))</f>
        <v/>
      </c>
      <c r="BM266" s="134" t="str">
        <f aca="false">IF(ISBLANK($C266),"",AND($AT266,OR($AU266="",$AV266="",AND($AW266,$AX266=""))))</f>
        <v/>
      </c>
      <c r="BN266" s="137" t="str">
        <f aca="false">IF($BX266&lt;&gt;Constants!$B$6,"",IF($AT266,Constants!$B$17*$AV266+Constants!$B$18*IF($AW266,$AX266,Constants!$B$19),Constants!$B$20))</f>
        <v/>
      </c>
      <c r="BO266" s="138" t="str">
        <f aca="false">IF($BX266&lt;&gt;Constants!$B$6,"",Constants!$B$21*ABS($AD$9-IF($AT266,$AU266,0)))</f>
        <v/>
      </c>
      <c r="BP266" s="138" t="str">
        <f aca="false">IF($BX266&lt;&gt;Constants!$B$6,"",IF(AND($AT266,$AY266,$AW266),Constants!$B$22,0))</f>
        <v/>
      </c>
      <c r="BQ266" s="138" t="str">
        <f aca="false">IF($BX266&lt;&gt;Constants!$B$6,"",IF($AT266,($AI266-Constants!$B$24)*Constants!$B$23,0))</f>
        <v/>
      </c>
      <c r="BR266" s="138" t="str">
        <f aca="false">IF($BX266&lt;&gt;Constants!$B$6,"",IF($AS266,0,Constants!$B$12)+IF($AR266,0,Constants!$B$13)+IF($AH266,0,Constants!$B$14))</f>
        <v/>
      </c>
      <c r="BS266" s="139" t="str">
        <f aca="false">IF($BX266&lt;&gt;Constants!$B$6,"",Constants!$B$16+SUM($BN266:$BR266))</f>
        <v/>
      </c>
      <c r="BT266" s="138" t="str">
        <f aca="false">IF($BX266&lt;&gt;Constants!$B$6,"",$BN266)</f>
        <v/>
      </c>
      <c r="BU266" s="138" t="str">
        <f aca="false">IF($BX266&lt;&gt;Constants!$B$6,"",$BO266)</f>
        <v/>
      </c>
      <c r="BV266" s="140" t="str">
        <f aca="false">IF($BX266&lt;&gt;Constants!$B$6,"",IF($AT266,$AV266,""))</f>
        <v/>
      </c>
      <c r="BW266" s="135" t="str">
        <f aca="false">IF(ISBLANK($C266),"",IF(ISBLANK($D$7),$BW$5,IF(NOT(ISNUMBER($D$7)),$BW$6,"")))</f>
        <v/>
      </c>
      <c r="BX266" s="135" t="str">
        <f aca="false">IF(ISBLANK($C266),"",IF($BA266,Constants!$B$9,IF(COUNTA($E266:$AA266)=0,Constants!$B$8,IF(NOT($AG266),Constants!$B$7,IF(OR($BW266&lt;&gt;"",$BB266,$BM266),Constants!$B$10,Constants!$B$6)))))</f>
        <v/>
      </c>
      <c r="BY266" s="135" t="str">
        <f aca="false">IF(ISBLANK($C266),"",IF($BX266&lt;&gt;Constants!$B$6,$BX266,Constants!$B$11))</f>
        <v/>
      </c>
      <c r="BZ266" s="138" t="str">
        <f aca="false">IF($BX266&lt;&gt;Constants!$B$6,"",IF($BL266="-&gt;",$BS266,$BH266))</f>
        <v/>
      </c>
      <c r="CA266" s="138" t="str">
        <f aca="false">IF($BX266&lt;&gt;Constants!$B$6,"",IF($AF266,0,Constants!$B$15))</f>
        <v/>
      </c>
      <c r="CB266" s="138" t="str">
        <f aca="false">IF($BX266&lt;&gt;Constants!$B$6,"",((Constants!$B$25-$AZ266)-Constants!$B$25)/Constants!$B$26)</f>
        <v/>
      </c>
      <c r="CC266" s="138" t="str">
        <f aca="false">IF(ISBLANK($C266),"",IF($BX266&lt;&gt;Constants!$B$6,$BX266,SUM($BZ266:$CB266)))</f>
        <v/>
      </c>
      <c r="CD266" s="135" t="str">
        <f aca="false">IF(ISBLANK($C266),"",IF($BX266&lt;&gt;Constants!$B$6,$BX266,RANK($CC266,$CC$9:$CC$508,1)))</f>
        <v/>
      </c>
      <c r="CE266" s="138" t="str">
        <f aca="false">IF($BX266&lt;&gt;Constants!$B$6,"",IF($BL266="-&gt;",$BT266,$BI266))</f>
        <v/>
      </c>
      <c r="CF266" s="135" t="str">
        <f aca="false">IF(ISBLANK($C266),"",IF($BX266&lt;&gt;Constants!$B$6,$BX266,IF(ISNUMBER($CE266),RANK($CE266,$CE$9:$CE$508,1),COUNT($CE$9:$CE$508)+1)))</f>
        <v/>
      </c>
      <c r="CG266" s="138" t="str">
        <f aca="false">IF($BX266&lt;&gt;Constants!$B$6,"",IF($BL266="-&gt;",$BU266,$BJ266))</f>
        <v/>
      </c>
      <c r="CH266" s="135" t="str">
        <f aca="false">IF(ISBLANK($C266),"",IF($BX266&lt;&gt;Constants!$B$6,$BX266,IF(ISNUMBER($CG266),RANK($CG266,$CG$9:$CG$508,1),COUNT($CG$9:$CG$508)+1)))</f>
        <v/>
      </c>
      <c r="CI266" s="138" t="str">
        <f aca="false">IF($BX266&lt;&gt;Constants!$B$6,"",IF($BL266="-&gt;",$BV266,$BK266))</f>
        <v/>
      </c>
      <c r="CJ266" s="135" t="str">
        <f aca="false">IF(ISBLANK($C266),"",IF($BX266&lt;&gt;Constants!$B$6,$BX266,IF(ISNUMBER($CI266),RANK($CI266,$CI$9:$CI$508,1),COUNT($CI$9:$CI$508)+1)))</f>
        <v/>
      </c>
      <c r="CK266" s="138" t="str">
        <f aca="false">IF($BX266&lt;&gt;Constants!$B$6,"",$AI266)</f>
        <v/>
      </c>
      <c r="CL266" s="135" t="str">
        <f aca="false">IF(ISBLANK($C266),"",IF($BX266&lt;&gt;Constants!$B$6,$BX266,IF(ISNUMBER($CK266),RANK($CK266,$CK$9:$CK$508,1),COUNT($CK$9:$CK$508)+1)))</f>
        <v/>
      </c>
      <c r="CM266" s="135" t="str">
        <f aca="false">IF(ISBLANK($C266),"",IF($BX266&lt;&gt;Constants!$B$6,$BX266,COUNTIFS($CD$9:$CD$508,"&lt;"&amp;$CD266)+COUNTIFS($CD$9:$CD$508,$CD266,$CF$9:$CF$508,"&lt;"&amp;$CF266)+COUNTIFS($CD$9:$CD$508,$CD266,$CF$9:$CF$508,$CF266,$CH$9:$CH$508,"&lt;"&amp;$CH266)+COUNTIFS($CD$9:$CD$508,$CD266,$CF$9:$CF$508,$CF266,$CH$9:$CH$508,$CH266,$CJ$9:$CJ$508,"&lt;"&amp;$CJ266)+COUNTIFS($CD$9:$CD$508,$CD266,$CF$9:$CF$508,$CF266,$CH$9:$CH$508,$CH266,$CJ$9:$CJ$508,$CJ266,$CL$9:$CL$508,"&lt;"&amp;$CL266)+1))</f>
        <v/>
      </c>
      <c r="CN266" s="135" t="str">
        <f aca="false">IF(ISBLANK($C266),"",IF($BX266&lt;&gt;Constants!$B$6,$BX266,$CD266-$CM266))</f>
        <v/>
      </c>
      <c r="CO266" s="141"/>
      <c r="CP266" s="142"/>
      <c r="CQ266" s="143" t="str">
        <f aca="false">IF(ISBLANK($C266),"",IF($BX266=Constants!$B$10,$BW266,""))</f>
        <v/>
      </c>
      <c r="CR266" s="142" t="str">
        <f aca="false">IF(ISBLANK($C266),"",IF($BX266&lt;&gt;Constants!$B$6,"",IF($BL266="-&gt;",2,1)))</f>
        <v/>
      </c>
      <c r="CS266" s="144" t="str">
        <f aca="false">IF(ISBLANK($C266),"",IF($BX266&lt;&gt;Constants!$B$6,"",IF($BL266="-&gt;",$BN266,$BC266)))</f>
        <v/>
      </c>
      <c r="CT266" s="144" t="str">
        <f aca="false">IF(ISBLANK($C266),"",IF($BX266&lt;&gt;Constants!$B$6,"",IF($BL266="-&gt;",$BO266,$BD266)))</f>
        <v/>
      </c>
      <c r="CU266" s="144" t="str">
        <f aca="false">IF(ISBLANK($C266),"",IF($BX266&lt;&gt;Constants!$B$6,"",IF($BL266="-&gt;",$BP266+$BQ266,$BE266+$BF266)+$CB266))</f>
        <v/>
      </c>
      <c r="CV266" s="144" t="str">
        <f aca="false">IF(ISBLANK($C266),"",IF($BX266&lt;&gt;Constants!$B$6,"",IF($BL266="-&gt;",$BR266,$BG266)+$CA266))</f>
        <v/>
      </c>
      <c r="CW266" s="145" t="str">
        <f aca="false">IF(ISBLANK($C266),"",IF($BX266&lt;&gt;Constants!$B$6,$BX266,$CC266))</f>
        <v/>
      </c>
      <c r="CX266" s="146" t="str">
        <f aca="false">IF(ISBLANK($C266),"",$BY266)</f>
        <v/>
      </c>
      <c r="CY266" s="147" t="str">
        <f aca="false">IF(ISBLANK($C266),"",$CN266)</f>
        <v/>
      </c>
      <c r="CZ266" s="147" t="str">
        <f aca="false">IF(ISBLANK($C266),"",$CM266)</f>
        <v/>
      </c>
      <c r="DA266" s="148" t="str">
        <f aca="false">IF(ISBLANK($C266),"",IFERROR(_xlfn.SWITCH($CZ266,Constants!$B$9,COUNTA($C$9:$C$508)+2,Constants!$B$8,COUNTA($C$9:$C$508)+1,Constants!$B$7,COUNTA($C$9:$C$508)),$CZ266))</f>
        <v/>
      </c>
      <c r="DB266" s="9"/>
      <c r="DC266" s="149" t="n">
        <f aca="false">IF(OR(ISNUMBER($CZ266),$CZ266=Constants!$B$9,$CZ266=Constants!$B$7,$CZ266=Constants!$B$8),1,0)</f>
        <v>0</v>
      </c>
      <c r="DD266" s="149" t="n">
        <v>258</v>
      </c>
      <c r="DE266" s="149" t="str">
        <f aca="false">IF(ISBLANK($C266),"",IF(ISNUMBER($DA266),$DA266+ROW($B266)/1000,""))</f>
        <v/>
      </c>
      <c r="DF266" s="149" t="str">
        <f aca="false">IF(ISNUMBER($DE266),RANK($DE266,$DE$9:$DE$508,1),"")</f>
        <v/>
      </c>
      <c r="DG266" s="149" t="str">
        <f aca="false">IF(ISBLANK($C266),"",$B266)</f>
        <v/>
      </c>
      <c r="DH266" s="149" t="str">
        <f aca="false">IF(ISBLANK($C266),"",$C266)</f>
        <v/>
      </c>
      <c r="DI266" s="149" t="str">
        <f aca="false">IF(ISBLANK($C266),"",$D266)</f>
        <v/>
      </c>
      <c r="DJ266" s="150" t="str">
        <f aca="false">$CX266</f>
        <v/>
      </c>
      <c r="DK266" s="151" t="str">
        <f aca="false">$CW266</f>
        <v/>
      </c>
      <c r="DL266" s="149" t="str">
        <f aca="false">IF(ISBLANK($C266),"",$CZ266)</f>
        <v/>
      </c>
      <c r="DM266" s="152" t="str">
        <f aca="false">IF($DD266&gt;$DC$8,"",VLOOKUP($DD266,$DF$9:$DL$508,7,FALSE()))</f>
        <v/>
      </c>
      <c r="DN266" s="153" t="str">
        <f aca="false">IF($DD266&gt;$DC$8,"",VLOOKUP($DD266,$DF$9:$DL$508,2,FALSE()))</f>
        <v/>
      </c>
      <c r="DO266" s="153" t="str">
        <f aca="false">IF($DD266&gt;$DC$8,"",VLOOKUP($DD266,$DF$9:$DL$508,3,FALSE()))</f>
        <v/>
      </c>
      <c r="DP266" s="153" t="str">
        <f aca="false">IF($DD266&gt;$DC$8,"",VLOOKUP($DD266,$DF$9:$DL$508,4,FALSE()))</f>
        <v/>
      </c>
      <c r="DQ266" s="153" t="str">
        <f aca="false">IF($DD266&gt;$DC$8,"",VLOOKUP($DD266,$DF$9:$DL$508,5,FALSE()))</f>
        <v/>
      </c>
      <c r="DR266" s="154" t="str">
        <f aca="false">IF($DD266&gt;$DC$8,"",VLOOKUP($DD266,$DF$9:$DL$508,6,FALSE()))</f>
        <v/>
      </c>
      <c r="DS266" s="76"/>
    </row>
    <row r="267" customFormat="false" ht="15.75" hidden="false" customHeight="false" outlineLevel="0" collapsed="false">
      <c r="A267" s="9"/>
      <c r="B267" s="78"/>
      <c r="C267" s="79"/>
      <c r="D267" s="170"/>
      <c r="E267" s="178"/>
      <c r="F267" s="172"/>
      <c r="G267" s="173"/>
      <c r="H267" s="173"/>
      <c r="I267" s="179"/>
      <c r="J267" s="176"/>
      <c r="K267" s="86"/>
      <c r="L267" s="87"/>
      <c r="M267" s="88"/>
      <c r="N267" s="176"/>
      <c r="O267" s="176"/>
      <c r="P267" s="178"/>
      <c r="Q267" s="176"/>
      <c r="R267" s="176"/>
      <c r="S267" s="86"/>
      <c r="T267" s="88"/>
      <c r="U267" s="88"/>
      <c r="V267" s="176"/>
      <c r="W267" s="176"/>
      <c r="X267" s="178"/>
      <c r="Y267" s="176"/>
      <c r="Z267" s="177"/>
      <c r="AA267" s="176"/>
      <c r="AB267" s="92"/>
      <c r="AC267" s="93"/>
      <c r="AD267" s="93"/>
      <c r="AE267" s="93"/>
      <c r="AF267" s="93" t="str">
        <f aca="false">IF(ISBLANK($C267),"",IF(E267=Constants!$B$2,TRUE(),IF(E267=Constants!$B$3,FALSE(),TRUE())))</f>
        <v/>
      </c>
      <c r="AG267" s="93" t="str">
        <f aca="false">IF(ISBLANK($C267),"",IF(F267=Constants!$B$2,TRUE(),IF(F267=Constants!$B$3,FALSE(),TRUE())))</f>
        <v/>
      </c>
      <c r="AH267" s="93" t="str">
        <f aca="false">IF(ISBLANK($C267),"",IF(G267=Constants!$B$2,TRUE(),IF(G267=Constants!$B$3,FALSE(),TRUE())))</f>
        <v/>
      </c>
      <c r="AI267" s="93" t="str">
        <f aca="false">IF(ISBLANK($C267),"",IF(AND(ISNUMBER(H267),H267&gt;=0),H267,Constants!$B$24))</f>
        <v/>
      </c>
      <c r="AJ267" s="93" t="str">
        <f aca="false">IF(ISBLANK($C267),"",IF(I267=Constants!$B$2,TRUE(),IF(I267=Constants!$B$3,FALSE(),TRUE())))</f>
        <v/>
      </c>
      <c r="AK267" s="93" t="str">
        <f aca="false">IF(ISBLANK($C267),"",IF(J267=Constants!$B$2,TRUE(),IF(J267=Constants!$B$3,FALSE(),TRUE())))</f>
        <v/>
      </c>
      <c r="AL267" s="93" t="str">
        <f aca="false">IF(ISBLANK($C267),"",IF(K267=Constants!$B$4,TRUE(),IF(K267=Constants!$B$5,FALSE(),COUNTA(L267:P267)&gt;0)))</f>
        <v/>
      </c>
      <c r="AM267" s="95" t="str">
        <f aca="false">IF(ISBLANK($C267),"",IF(ISNUMBER(L267),IF(L267&gt;=0,L267,""),""))</f>
        <v/>
      </c>
      <c r="AN267" s="94" t="str">
        <f aca="false">IF(ISBLANK($C267),"",IF(ISNUMBER(M267),IF(M267&gt;=0,M267,""),""))</f>
        <v/>
      </c>
      <c r="AO267" s="94" t="str">
        <f aca="false">IF(ISBLANK($C267),"",IF(N267=Constants!$B$2,TRUE(),IF(N267=Constants!$B$3,FALSE(),TRUE())))</f>
        <v/>
      </c>
      <c r="AP267" s="93" t="str">
        <f aca="false">IF(ISBLANK($C267),"",IF(ISNUMBER(O267),IF(O267&gt;=0,O267,""),""))</f>
        <v/>
      </c>
      <c r="AQ267" s="93" t="str">
        <f aca="false">IF(ISBLANK($C267),"",IF(P267=Constants!$B$2,TRUE(),IF(P267=Constants!$B$3,FALSE(),FALSE())))</f>
        <v/>
      </c>
      <c r="AR267" s="93" t="str">
        <f aca="false">IF(ISBLANK($C267),"",IF(Q267=Constants!$B$2,TRUE(),IF(Q267=Constants!$B$3,FALSE(),TRUE())))</f>
        <v/>
      </c>
      <c r="AS267" s="93" t="str">
        <f aca="false">IF(ISBLANK($C267),"",IF(R267=Constants!$B$2,TRUE(),IF(R267=Constants!$B$3,FALSE(),TRUE())))</f>
        <v/>
      </c>
      <c r="AT267" s="93" t="str">
        <f aca="false">IF(ISBLANK($C267),"",IF(S267=Constants!$B$4,TRUE(),IF(S267=Constants!$B$5,FALSE(),COUNTA(T267:X267)&gt;0)))</f>
        <v/>
      </c>
      <c r="AU267" s="95" t="str">
        <f aca="false">IF(ISBLANK($C267),"",IF(ISNUMBER(T267),IF(T267&gt;=0,T267,""),""))</f>
        <v/>
      </c>
      <c r="AV267" s="94" t="str">
        <f aca="false">IF(ISBLANK($C267),"",IF(ISNUMBER(U267),IF(U267&gt;=0,U267,""),""))</f>
        <v/>
      </c>
      <c r="AW267" s="94" t="str">
        <f aca="false">IF(ISBLANK($C267),"",IF(V267=Constants!$B$2,TRUE(),IF(V267=Constants!$B$3,FALSE(),TRUE())))</f>
        <v/>
      </c>
      <c r="AX267" s="93" t="str">
        <f aca="false">IF(ISBLANK($C267),"",IF(ISNUMBER(W267),IF(W267&gt;=0,W267,""),""))</f>
        <v/>
      </c>
      <c r="AY267" s="93" t="str">
        <f aca="false">IF(ISBLANK($C267),"",IF(X267=Constants!$B$2,TRUE(),IF(X267=Constants!$B$3,FALSE(),FALSE())))</f>
        <v/>
      </c>
      <c r="AZ267" s="93" t="str">
        <f aca="false">IF(ISBLANK($C267),"",MIN(Constants!$B$25,MAX(0,IF(ISNUMBER(Y267),Y267*60,0)+IF(ISNUMBER(Z267),Z267,0))))</f>
        <v/>
      </c>
      <c r="BA267" s="93" t="str">
        <f aca="false">IF(ISBLANK($C267),"",IF(AA267=Constants!$B$2,TRUE(),IF(AA267=Constants!$B$3,FALSE(),FALSE())))</f>
        <v/>
      </c>
      <c r="BB267" s="92" t="str">
        <f aca="false">IF(ISBLANK($C267),"",AND($AL267,OR($AM267="",$AN267="",AND($AO267,$AP267=""))))</f>
        <v/>
      </c>
      <c r="BC267" s="94" t="str">
        <f aca="false">IF($BX267&lt;&gt;Constants!$B$6,"",IF($AL267,Constants!$B$17*$AN267+Constants!$B$18*IF($AO267,$AP267,Constants!$B$19),Constants!$B$20))</f>
        <v/>
      </c>
      <c r="BD267" s="97" t="str">
        <f aca="false">IF($BX267&lt;&gt;Constants!$B$6,"",Constants!$B$21*ABS($AD$9-IF($AL267,$AM267,0)))</f>
        <v/>
      </c>
      <c r="BE267" s="97" t="str">
        <f aca="false">IF($BX267&lt;&gt;Constants!$B$6,"",IF(AND($AL267,$AQ267,$AO267),Constants!$B$22,0))</f>
        <v/>
      </c>
      <c r="BF267" s="97" t="str">
        <f aca="false">IF($BX267&lt;&gt;Constants!$B$6,"",IF($AL267,($AI267-Constants!$B$24)*Constants!$B$23,0))</f>
        <v/>
      </c>
      <c r="BG267" s="97" t="str">
        <f aca="false">IF($BX267&lt;&gt;Constants!$B$6,"",IF($AK267,0,Constants!$B$12)+IF($AJ267,0,Constants!$B$13)+IF($AH267,0,Constants!$B$14))</f>
        <v/>
      </c>
      <c r="BH267" s="98" t="str">
        <f aca="false">IF($BX267&lt;&gt;Constants!$B$6,"",Constants!$B$16+SUM($BC267:$BG267))</f>
        <v/>
      </c>
      <c r="BI267" s="97" t="str">
        <f aca="false">IF($BX267&lt;&gt;Constants!$B$6,"",$BC267)</f>
        <v/>
      </c>
      <c r="BJ267" s="97" t="str">
        <f aca="false">IF($BX267&lt;&gt;Constants!$B$6,"",$BD267)</f>
        <v/>
      </c>
      <c r="BK267" s="99" t="str">
        <f aca="false">IF($BX267&lt;&gt;Constants!$B$6,"",IF($AL267,$AN267,""))</f>
        <v/>
      </c>
      <c r="BL267" s="93" t="str">
        <f aca="false">IF($BX267&lt;&gt;Constants!$B$6,"",IF(OR($BS267&lt;$BH267,AND($BS267=$BH267,OR($BT267&lt;$BI267,AND($BT267=$BI267,OR($BU267&lt;$BJ267,AND($BU267=$BJ267,AND(ISNUMBER($BV267),OR(NOT(ISNUMBER($BK267)),$BV267&lt;$BK267)))))))),"-&gt;","&lt;-"))</f>
        <v/>
      </c>
      <c r="BM267" s="92" t="str">
        <f aca="false">IF(ISBLANK($C267),"",AND($AT267,OR($AU267="",$AV267="",AND($AW267,$AX267=""))))</f>
        <v/>
      </c>
      <c r="BN267" s="94" t="str">
        <f aca="false">IF($BX267&lt;&gt;Constants!$B$6,"",IF($AT267,Constants!$B$17*$AV267+Constants!$B$18*IF($AW267,$AX267,Constants!$B$19),Constants!$B$20))</f>
        <v/>
      </c>
      <c r="BO267" s="97" t="str">
        <f aca="false">IF($BX267&lt;&gt;Constants!$B$6,"",Constants!$B$21*ABS($AD$9-IF($AT267,$AU267,0)))</f>
        <v/>
      </c>
      <c r="BP267" s="97" t="str">
        <f aca="false">IF($BX267&lt;&gt;Constants!$B$6,"",IF(AND($AT267,$AY267,$AW267),Constants!$B$22,0))</f>
        <v/>
      </c>
      <c r="BQ267" s="97" t="str">
        <f aca="false">IF($BX267&lt;&gt;Constants!$B$6,"",IF($AT267,($AI267-Constants!$B$24)*Constants!$B$23,0))</f>
        <v/>
      </c>
      <c r="BR267" s="97" t="str">
        <f aca="false">IF($BX267&lt;&gt;Constants!$B$6,"",IF($AS267,0,Constants!$B$12)+IF($AR267,0,Constants!$B$13)+IF($AH267,0,Constants!$B$14))</f>
        <v/>
      </c>
      <c r="BS267" s="98" t="str">
        <f aca="false">IF($BX267&lt;&gt;Constants!$B$6,"",Constants!$B$16+SUM($BN267:$BR267))</f>
        <v/>
      </c>
      <c r="BT267" s="97" t="str">
        <f aca="false">IF($BX267&lt;&gt;Constants!$B$6,"",$BN267)</f>
        <v/>
      </c>
      <c r="BU267" s="97" t="str">
        <f aca="false">IF($BX267&lt;&gt;Constants!$B$6,"",$BO267)</f>
        <v/>
      </c>
      <c r="BV267" s="99" t="str">
        <f aca="false">IF($BX267&lt;&gt;Constants!$B$6,"",IF($AT267,$AV267,""))</f>
        <v/>
      </c>
      <c r="BW267" s="93" t="str">
        <f aca="false">IF(ISBLANK($C267),"",IF(ISBLANK($D$7),$BW$5,IF(NOT(ISNUMBER($D$7)),$BW$6,"")))</f>
        <v/>
      </c>
      <c r="BX267" s="93" t="str">
        <f aca="false">IF(ISBLANK($C267),"",IF($BA267,Constants!$B$9,IF(COUNTA($E267:$AA267)=0,Constants!$B$8,IF(NOT($AG267),Constants!$B$7,IF(OR($BW267&lt;&gt;"",$BB267,$BM267),Constants!$B$10,Constants!$B$6)))))</f>
        <v/>
      </c>
      <c r="BY267" s="93" t="str">
        <f aca="false">IF(ISBLANK($C267),"",IF($BX267&lt;&gt;Constants!$B$6,$BX267,Constants!$B$11))</f>
        <v/>
      </c>
      <c r="BZ267" s="97" t="str">
        <f aca="false">IF($BX267&lt;&gt;Constants!$B$6,"",IF($BL267="-&gt;",$BS267,$BH267))</f>
        <v/>
      </c>
      <c r="CA267" s="97" t="str">
        <f aca="false">IF($BX267&lt;&gt;Constants!$B$6,"",IF($AF267,0,Constants!$B$15))</f>
        <v/>
      </c>
      <c r="CB267" s="97" t="str">
        <f aca="false">IF($BX267&lt;&gt;Constants!$B$6,"",((Constants!$B$25-$AZ267)-Constants!$B$25)/Constants!$B$26)</f>
        <v/>
      </c>
      <c r="CC267" s="97" t="str">
        <f aca="false">IF(ISBLANK($C267),"",IF($BX267&lt;&gt;Constants!$B$6,$BX267,SUM($BZ267:$CB267)))</f>
        <v/>
      </c>
      <c r="CD267" s="93" t="str">
        <f aca="false">IF(ISBLANK($C267),"",IF($BX267&lt;&gt;Constants!$B$6,$BX267,RANK($CC267,$CC$9:$CC$508,1)))</f>
        <v/>
      </c>
      <c r="CE267" s="97" t="str">
        <f aca="false">IF($BX267&lt;&gt;Constants!$B$6,"",IF($BL267="-&gt;",$BT267,$BI267))</f>
        <v/>
      </c>
      <c r="CF267" s="93" t="str">
        <f aca="false">IF(ISBLANK($C267),"",IF($BX267&lt;&gt;Constants!$B$6,$BX267,IF(ISNUMBER($CE267),RANK($CE267,$CE$9:$CE$508,1),COUNT($CE$9:$CE$508)+1)))</f>
        <v/>
      </c>
      <c r="CG267" s="97" t="str">
        <f aca="false">IF($BX267&lt;&gt;Constants!$B$6,"",IF($BL267="-&gt;",$BU267,$BJ267))</f>
        <v/>
      </c>
      <c r="CH267" s="93" t="str">
        <f aca="false">IF(ISBLANK($C267),"",IF($BX267&lt;&gt;Constants!$B$6,$BX267,IF(ISNUMBER($CG267),RANK($CG267,$CG$9:$CG$508,1),COUNT($CG$9:$CG$508)+1)))</f>
        <v/>
      </c>
      <c r="CI267" s="97" t="str">
        <f aca="false">IF($BX267&lt;&gt;Constants!$B$6,"",IF($BL267="-&gt;",$BV267,$BK267))</f>
        <v/>
      </c>
      <c r="CJ267" s="93" t="str">
        <f aca="false">IF(ISBLANK($C267),"",IF($BX267&lt;&gt;Constants!$B$6,$BX267,IF(ISNUMBER($CI267),RANK($CI267,$CI$9:$CI$508,1),COUNT($CI$9:$CI$508)+1)))</f>
        <v/>
      </c>
      <c r="CK267" s="97" t="str">
        <f aca="false">IF($BX267&lt;&gt;Constants!$B$6,"",$AI267)</f>
        <v/>
      </c>
      <c r="CL267" s="93" t="str">
        <f aca="false">IF(ISBLANK($C267),"",IF($BX267&lt;&gt;Constants!$B$6,$BX267,IF(ISNUMBER($CK267),RANK($CK267,$CK$9:$CK$508,1),COUNT($CK$9:$CK$508)+1)))</f>
        <v/>
      </c>
      <c r="CM267" s="93" t="str">
        <f aca="false">IF(ISBLANK($C267),"",IF($BX267&lt;&gt;Constants!$B$6,$BX267,COUNTIFS($CD$9:$CD$508,"&lt;"&amp;$CD267)+COUNTIFS($CD$9:$CD$508,$CD267,$CF$9:$CF$508,"&lt;"&amp;$CF267)+COUNTIFS($CD$9:$CD$508,$CD267,$CF$9:$CF$508,$CF267,$CH$9:$CH$508,"&lt;"&amp;$CH267)+COUNTIFS($CD$9:$CD$508,$CD267,$CF$9:$CF$508,$CF267,$CH$9:$CH$508,$CH267,$CJ$9:$CJ$508,"&lt;"&amp;$CJ267)+COUNTIFS($CD$9:$CD$508,$CD267,$CF$9:$CF$508,$CF267,$CH$9:$CH$508,$CH267,$CJ$9:$CJ$508,$CJ267,$CL$9:$CL$508,"&lt;"&amp;$CL267)+1))</f>
        <v/>
      </c>
      <c r="CN267" s="93" t="str">
        <f aca="false">IF(ISBLANK($C267),"",IF($BX267&lt;&gt;Constants!$B$6,$BX267,$CD267-$CM267))</f>
        <v/>
      </c>
      <c r="CO267" s="100"/>
      <c r="CP267" s="101"/>
      <c r="CQ267" s="102" t="str">
        <f aca="false">IF(ISBLANK($C267),"",IF($BX267=Constants!$B$10,$BW267,""))</f>
        <v/>
      </c>
      <c r="CR267" s="101" t="str">
        <f aca="false">IF(ISBLANK($C267),"",IF($BX267&lt;&gt;Constants!$B$6,"",IF($BL267="-&gt;",2,1)))</f>
        <v/>
      </c>
      <c r="CS267" s="103" t="str">
        <f aca="false">IF(ISBLANK($C267),"",IF($BX267&lt;&gt;Constants!$B$6,"",IF($BL267="-&gt;",$BN267,$BC267)))</f>
        <v/>
      </c>
      <c r="CT267" s="103" t="str">
        <f aca="false">IF(ISBLANK($C267),"",IF($BX267&lt;&gt;Constants!$B$6,"",IF($BL267="-&gt;",$BO267,$BD267)))</f>
        <v/>
      </c>
      <c r="CU267" s="103" t="str">
        <f aca="false">IF(ISBLANK($C267),"",IF($BX267&lt;&gt;Constants!$B$6,"",IF($BL267="-&gt;",$BP267+$BQ267,$BE267+$BF267)+$CB267))</f>
        <v/>
      </c>
      <c r="CV267" s="103" t="str">
        <f aca="false">IF(ISBLANK($C267),"",IF($BX267&lt;&gt;Constants!$B$6,"",IF($BL267="-&gt;",$BR267,$BG267)+$CA267))</f>
        <v/>
      </c>
      <c r="CW267" s="104" t="str">
        <f aca="false">IF(ISBLANK($C267),"",IF($BX267&lt;&gt;Constants!$B$6,$BX267,$CC267))</f>
        <v/>
      </c>
      <c r="CX267" s="105" t="str">
        <f aca="false">IF(ISBLANK($C267),"",$BY267)</f>
        <v/>
      </c>
      <c r="CY267" s="106" t="str">
        <f aca="false">IF(ISBLANK($C267),"",$CN267)</f>
        <v/>
      </c>
      <c r="CZ267" s="106" t="str">
        <f aca="false">IF(ISBLANK($C267),"",$CM267)</f>
        <v/>
      </c>
      <c r="DA267" s="107" t="str">
        <f aca="false">IF(ISBLANK($C267),"",IFERROR(_xlfn.SWITCH($CZ267,Constants!$B$9,COUNTA($C$9:$C$508)+2,Constants!$B$8,COUNTA($C$9:$C$508)+1,Constants!$B$7,COUNTA($C$9:$C$508)),$CZ267))</f>
        <v/>
      </c>
      <c r="DB267" s="9"/>
      <c r="DC267" s="108" t="n">
        <f aca="false">IF(OR(ISNUMBER($CZ267),$CZ267=Constants!$B$9,$CZ267=Constants!$B$7,$CZ267=Constants!$B$8),1,0)</f>
        <v>0</v>
      </c>
      <c r="DD267" s="108" t="n">
        <v>259</v>
      </c>
      <c r="DE267" s="108" t="str">
        <f aca="false">IF(ISBLANK($C267),"",IF(ISNUMBER($DA267),$DA267+ROW($B267)/1000,""))</f>
        <v/>
      </c>
      <c r="DF267" s="108" t="str">
        <f aca="false">IF(ISNUMBER($DE267),RANK($DE267,$DE$9:$DE$508,1),"")</f>
        <v/>
      </c>
      <c r="DG267" s="108" t="str">
        <f aca="false">IF(ISBLANK($C267),"",$B267)</f>
        <v/>
      </c>
      <c r="DH267" s="108" t="str">
        <f aca="false">IF(ISBLANK($C267),"",$C267)</f>
        <v/>
      </c>
      <c r="DI267" s="108" t="str">
        <f aca="false">IF(ISBLANK($C267),"",$D267)</f>
        <v/>
      </c>
      <c r="DJ267" s="109" t="str">
        <f aca="false">$CX267</f>
        <v/>
      </c>
      <c r="DK267" s="110" t="str">
        <f aca="false">$CW267</f>
        <v/>
      </c>
      <c r="DL267" s="108" t="str">
        <f aca="false">IF(ISBLANK($C267),"",$CZ267)</f>
        <v/>
      </c>
      <c r="DM267" s="111" t="str">
        <f aca="false">IF($DD267&gt;$DC$8,"",VLOOKUP($DD267,$DF$9:$DL$508,7,FALSE()))</f>
        <v/>
      </c>
      <c r="DN267" s="112" t="str">
        <f aca="false">IF($DD267&gt;$DC$8,"",VLOOKUP($DD267,$DF$9:$DL$508,2,FALSE()))</f>
        <v/>
      </c>
      <c r="DO267" s="112" t="str">
        <f aca="false">IF($DD267&gt;$DC$8,"",VLOOKUP($DD267,$DF$9:$DL$508,3,FALSE()))</f>
        <v/>
      </c>
      <c r="DP267" s="112" t="str">
        <f aca="false">IF($DD267&gt;$DC$8,"",VLOOKUP($DD267,$DF$9:$DL$508,4,FALSE()))</f>
        <v/>
      </c>
      <c r="DQ267" s="112" t="str">
        <f aca="false">IF($DD267&gt;$DC$8,"",VLOOKUP($DD267,$DF$9:$DL$508,5,FALSE()))</f>
        <v/>
      </c>
      <c r="DR267" s="113" t="str">
        <f aca="false">IF($DD267&gt;$DC$8,"",VLOOKUP($DD267,$DF$9:$DL$508,6,FALSE()))</f>
        <v/>
      </c>
      <c r="DS267" s="76"/>
    </row>
    <row r="268" customFormat="false" ht="15.75" hidden="false" customHeight="false" outlineLevel="0" collapsed="false">
      <c r="A268" s="9"/>
      <c r="B268" s="78"/>
      <c r="C268" s="79"/>
      <c r="D268" s="170"/>
      <c r="E268" s="178"/>
      <c r="F268" s="172"/>
      <c r="G268" s="173"/>
      <c r="H268" s="173"/>
      <c r="I268" s="179"/>
      <c r="J268" s="176"/>
      <c r="K268" s="86"/>
      <c r="L268" s="87"/>
      <c r="M268" s="88"/>
      <c r="N268" s="176"/>
      <c r="O268" s="176"/>
      <c r="P268" s="178"/>
      <c r="Q268" s="176"/>
      <c r="R268" s="176"/>
      <c r="S268" s="86"/>
      <c r="T268" s="88"/>
      <c r="U268" s="88"/>
      <c r="V268" s="176"/>
      <c r="W268" s="176"/>
      <c r="X268" s="178"/>
      <c r="Y268" s="176"/>
      <c r="Z268" s="177"/>
      <c r="AA268" s="176"/>
      <c r="AB268" s="92"/>
      <c r="AC268" s="93"/>
      <c r="AD268" s="93"/>
      <c r="AE268" s="93"/>
      <c r="AF268" s="93" t="str">
        <f aca="false">IF(ISBLANK($C268),"",IF(E268=Constants!$B$2,TRUE(),IF(E268=Constants!$B$3,FALSE(),TRUE())))</f>
        <v/>
      </c>
      <c r="AG268" s="93" t="str">
        <f aca="false">IF(ISBLANK($C268),"",IF(F268=Constants!$B$2,TRUE(),IF(F268=Constants!$B$3,FALSE(),TRUE())))</f>
        <v/>
      </c>
      <c r="AH268" s="93" t="str">
        <f aca="false">IF(ISBLANK($C268),"",IF(G268=Constants!$B$2,TRUE(),IF(G268=Constants!$B$3,FALSE(),TRUE())))</f>
        <v/>
      </c>
      <c r="AI268" s="93" t="str">
        <f aca="false">IF(ISBLANK($C268),"",IF(AND(ISNUMBER(H268),H268&gt;=0),H268,Constants!$B$24))</f>
        <v/>
      </c>
      <c r="AJ268" s="93" t="str">
        <f aca="false">IF(ISBLANK($C268),"",IF(I268=Constants!$B$2,TRUE(),IF(I268=Constants!$B$3,FALSE(),TRUE())))</f>
        <v/>
      </c>
      <c r="AK268" s="93" t="str">
        <f aca="false">IF(ISBLANK($C268),"",IF(J268=Constants!$B$2,TRUE(),IF(J268=Constants!$B$3,FALSE(),TRUE())))</f>
        <v/>
      </c>
      <c r="AL268" s="93" t="str">
        <f aca="false">IF(ISBLANK($C268),"",IF(K268=Constants!$B$4,TRUE(),IF(K268=Constants!$B$5,FALSE(),COUNTA(L268:P268)&gt;0)))</f>
        <v/>
      </c>
      <c r="AM268" s="95" t="str">
        <f aca="false">IF(ISBLANK($C268),"",IF(ISNUMBER(L268),IF(L268&gt;=0,L268,""),""))</f>
        <v/>
      </c>
      <c r="AN268" s="94" t="str">
        <f aca="false">IF(ISBLANK($C268),"",IF(ISNUMBER(M268),IF(M268&gt;=0,M268,""),""))</f>
        <v/>
      </c>
      <c r="AO268" s="94" t="str">
        <f aca="false">IF(ISBLANK($C268),"",IF(N268=Constants!$B$2,TRUE(),IF(N268=Constants!$B$3,FALSE(),TRUE())))</f>
        <v/>
      </c>
      <c r="AP268" s="93" t="str">
        <f aca="false">IF(ISBLANK($C268),"",IF(ISNUMBER(O268),IF(O268&gt;=0,O268,""),""))</f>
        <v/>
      </c>
      <c r="AQ268" s="93" t="str">
        <f aca="false">IF(ISBLANK($C268),"",IF(P268=Constants!$B$2,TRUE(),IF(P268=Constants!$B$3,FALSE(),FALSE())))</f>
        <v/>
      </c>
      <c r="AR268" s="93" t="str">
        <f aca="false">IF(ISBLANK($C268),"",IF(Q268=Constants!$B$2,TRUE(),IF(Q268=Constants!$B$3,FALSE(),TRUE())))</f>
        <v/>
      </c>
      <c r="AS268" s="93" t="str">
        <f aca="false">IF(ISBLANK($C268),"",IF(R268=Constants!$B$2,TRUE(),IF(R268=Constants!$B$3,FALSE(),TRUE())))</f>
        <v/>
      </c>
      <c r="AT268" s="93" t="str">
        <f aca="false">IF(ISBLANK($C268),"",IF(S268=Constants!$B$4,TRUE(),IF(S268=Constants!$B$5,FALSE(),COUNTA(T268:X268)&gt;0)))</f>
        <v/>
      </c>
      <c r="AU268" s="95" t="str">
        <f aca="false">IF(ISBLANK($C268),"",IF(ISNUMBER(T268),IF(T268&gt;=0,T268,""),""))</f>
        <v/>
      </c>
      <c r="AV268" s="94" t="str">
        <f aca="false">IF(ISBLANK($C268),"",IF(ISNUMBER(U268),IF(U268&gt;=0,U268,""),""))</f>
        <v/>
      </c>
      <c r="AW268" s="94" t="str">
        <f aca="false">IF(ISBLANK($C268),"",IF(V268=Constants!$B$2,TRUE(),IF(V268=Constants!$B$3,FALSE(),TRUE())))</f>
        <v/>
      </c>
      <c r="AX268" s="93" t="str">
        <f aca="false">IF(ISBLANK($C268),"",IF(ISNUMBER(W268),IF(W268&gt;=0,W268,""),""))</f>
        <v/>
      </c>
      <c r="AY268" s="93" t="str">
        <f aca="false">IF(ISBLANK($C268),"",IF(X268=Constants!$B$2,TRUE(),IF(X268=Constants!$B$3,FALSE(),FALSE())))</f>
        <v/>
      </c>
      <c r="AZ268" s="93" t="str">
        <f aca="false">IF(ISBLANK($C268),"",MIN(Constants!$B$25,MAX(0,IF(ISNUMBER(Y268),Y268*60,0)+IF(ISNUMBER(Z268),Z268,0))))</f>
        <v/>
      </c>
      <c r="BA268" s="93" t="str">
        <f aca="false">IF(ISBLANK($C268),"",IF(AA268=Constants!$B$2,TRUE(),IF(AA268=Constants!$B$3,FALSE(),FALSE())))</f>
        <v/>
      </c>
      <c r="BB268" s="92" t="str">
        <f aca="false">IF(ISBLANK($C268),"",AND($AL268,OR($AM268="",$AN268="",AND($AO268,$AP268=""))))</f>
        <v/>
      </c>
      <c r="BC268" s="94" t="str">
        <f aca="false">IF($BX268&lt;&gt;Constants!$B$6,"",IF($AL268,Constants!$B$17*$AN268+Constants!$B$18*IF($AO268,$AP268,Constants!$B$19),Constants!$B$20))</f>
        <v/>
      </c>
      <c r="BD268" s="97" t="str">
        <f aca="false">IF($BX268&lt;&gt;Constants!$B$6,"",Constants!$B$21*ABS($AD$9-IF($AL268,$AM268,0)))</f>
        <v/>
      </c>
      <c r="BE268" s="97" t="str">
        <f aca="false">IF($BX268&lt;&gt;Constants!$B$6,"",IF(AND($AL268,$AQ268,$AO268),Constants!$B$22,0))</f>
        <v/>
      </c>
      <c r="BF268" s="97" t="str">
        <f aca="false">IF($BX268&lt;&gt;Constants!$B$6,"",IF($AL268,($AI268-Constants!$B$24)*Constants!$B$23,0))</f>
        <v/>
      </c>
      <c r="BG268" s="97" t="str">
        <f aca="false">IF($BX268&lt;&gt;Constants!$B$6,"",IF($AK268,0,Constants!$B$12)+IF($AJ268,0,Constants!$B$13)+IF($AH268,0,Constants!$B$14))</f>
        <v/>
      </c>
      <c r="BH268" s="98" t="str">
        <f aca="false">IF($BX268&lt;&gt;Constants!$B$6,"",Constants!$B$16+SUM($BC268:$BG268))</f>
        <v/>
      </c>
      <c r="BI268" s="97" t="str">
        <f aca="false">IF($BX268&lt;&gt;Constants!$B$6,"",$BC268)</f>
        <v/>
      </c>
      <c r="BJ268" s="97" t="str">
        <f aca="false">IF($BX268&lt;&gt;Constants!$B$6,"",$BD268)</f>
        <v/>
      </c>
      <c r="BK268" s="99" t="str">
        <f aca="false">IF($BX268&lt;&gt;Constants!$B$6,"",IF($AL268,$AN268,""))</f>
        <v/>
      </c>
      <c r="BL268" s="93" t="str">
        <f aca="false">IF($BX268&lt;&gt;Constants!$B$6,"",IF(OR($BS268&lt;$BH268,AND($BS268=$BH268,OR($BT268&lt;$BI268,AND($BT268=$BI268,OR($BU268&lt;$BJ268,AND($BU268=$BJ268,AND(ISNUMBER($BV268),OR(NOT(ISNUMBER($BK268)),$BV268&lt;$BK268)))))))),"-&gt;","&lt;-"))</f>
        <v/>
      </c>
      <c r="BM268" s="92" t="str">
        <f aca="false">IF(ISBLANK($C268),"",AND($AT268,OR($AU268="",$AV268="",AND($AW268,$AX268=""))))</f>
        <v/>
      </c>
      <c r="BN268" s="94" t="str">
        <f aca="false">IF($BX268&lt;&gt;Constants!$B$6,"",IF($AT268,Constants!$B$17*$AV268+Constants!$B$18*IF($AW268,$AX268,Constants!$B$19),Constants!$B$20))</f>
        <v/>
      </c>
      <c r="BO268" s="97" t="str">
        <f aca="false">IF($BX268&lt;&gt;Constants!$B$6,"",Constants!$B$21*ABS($AD$9-IF($AT268,$AU268,0)))</f>
        <v/>
      </c>
      <c r="BP268" s="97" t="str">
        <f aca="false">IF($BX268&lt;&gt;Constants!$B$6,"",IF(AND($AT268,$AY268,$AW268),Constants!$B$22,0))</f>
        <v/>
      </c>
      <c r="BQ268" s="97" t="str">
        <f aca="false">IF($BX268&lt;&gt;Constants!$B$6,"",IF($AT268,($AI268-Constants!$B$24)*Constants!$B$23,0))</f>
        <v/>
      </c>
      <c r="BR268" s="97" t="str">
        <f aca="false">IF($BX268&lt;&gt;Constants!$B$6,"",IF($AS268,0,Constants!$B$12)+IF($AR268,0,Constants!$B$13)+IF($AH268,0,Constants!$B$14))</f>
        <v/>
      </c>
      <c r="BS268" s="98" t="str">
        <f aca="false">IF($BX268&lt;&gt;Constants!$B$6,"",Constants!$B$16+SUM($BN268:$BR268))</f>
        <v/>
      </c>
      <c r="BT268" s="97" t="str">
        <f aca="false">IF($BX268&lt;&gt;Constants!$B$6,"",$BN268)</f>
        <v/>
      </c>
      <c r="BU268" s="97" t="str">
        <f aca="false">IF($BX268&lt;&gt;Constants!$B$6,"",$BO268)</f>
        <v/>
      </c>
      <c r="BV268" s="99" t="str">
        <f aca="false">IF($BX268&lt;&gt;Constants!$B$6,"",IF($AT268,$AV268,""))</f>
        <v/>
      </c>
      <c r="BW268" s="93" t="str">
        <f aca="false">IF(ISBLANK($C268),"",IF(ISBLANK($D$7),$BW$5,IF(NOT(ISNUMBER($D$7)),$BW$6,"")))</f>
        <v/>
      </c>
      <c r="BX268" s="93" t="str">
        <f aca="false">IF(ISBLANK($C268),"",IF($BA268,Constants!$B$9,IF(COUNTA($E268:$AA268)=0,Constants!$B$8,IF(NOT($AG268),Constants!$B$7,IF(OR($BW268&lt;&gt;"",$BB268,$BM268),Constants!$B$10,Constants!$B$6)))))</f>
        <v/>
      </c>
      <c r="BY268" s="93" t="str">
        <f aca="false">IF(ISBLANK($C268),"",IF($BX268&lt;&gt;Constants!$B$6,$BX268,Constants!$B$11))</f>
        <v/>
      </c>
      <c r="BZ268" s="97" t="str">
        <f aca="false">IF($BX268&lt;&gt;Constants!$B$6,"",IF($BL268="-&gt;",$BS268,$BH268))</f>
        <v/>
      </c>
      <c r="CA268" s="97" t="str">
        <f aca="false">IF($BX268&lt;&gt;Constants!$B$6,"",IF($AF268,0,Constants!$B$15))</f>
        <v/>
      </c>
      <c r="CB268" s="97" t="str">
        <f aca="false">IF($BX268&lt;&gt;Constants!$B$6,"",((Constants!$B$25-$AZ268)-Constants!$B$25)/Constants!$B$26)</f>
        <v/>
      </c>
      <c r="CC268" s="97" t="str">
        <f aca="false">IF(ISBLANK($C268),"",IF($BX268&lt;&gt;Constants!$B$6,$BX268,SUM($BZ268:$CB268)))</f>
        <v/>
      </c>
      <c r="CD268" s="93" t="str">
        <f aca="false">IF(ISBLANK($C268),"",IF($BX268&lt;&gt;Constants!$B$6,$BX268,RANK($CC268,$CC$9:$CC$508,1)))</f>
        <v/>
      </c>
      <c r="CE268" s="97" t="str">
        <f aca="false">IF($BX268&lt;&gt;Constants!$B$6,"",IF($BL268="-&gt;",$BT268,$BI268))</f>
        <v/>
      </c>
      <c r="CF268" s="93" t="str">
        <f aca="false">IF(ISBLANK($C268),"",IF($BX268&lt;&gt;Constants!$B$6,$BX268,IF(ISNUMBER($CE268),RANK($CE268,$CE$9:$CE$508,1),COUNT($CE$9:$CE$508)+1)))</f>
        <v/>
      </c>
      <c r="CG268" s="97" t="str">
        <f aca="false">IF($BX268&lt;&gt;Constants!$B$6,"",IF($BL268="-&gt;",$BU268,$BJ268))</f>
        <v/>
      </c>
      <c r="CH268" s="93" t="str">
        <f aca="false">IF(ISBLANK($C268),"",IF($BX268&lt;&gt;Constants!$B$6,$BX268,IF(ISNUMBER($CG268),RANK($CG268,$CG$9:$CG$508,1),COUNT($CG$9:$CG$508)+1)))</f>
        <v/>
      </c>
      <c r="CI268" s="97" t="str">
        <f aca="false">IF($BX268&lt;&gt;Constants!$B$6,"",IF($BL268="-&gt;",$BV268,$BK268))</f>
        <v/>
      </c>
      <c r="CJ268" s="93" t="str">
        <f aca="false">IF(ISBLANK($C268),"",IF($BX268&lt;&gt;Constants!$B$6,$BX268,IF(ISNUMBER($CI268),RANK($CI268,$CI$9:$CI$508,1),COUNT($CI$9:$CI$508)+1)))</f>
        <v/>
      </c>
      <c r="CK268" s="97" t="str">
        <f aca="false">IF($BX268&lt;&gt;Constants!$B$6,"",$AI268)</f>
        <v/>
      </c>
      <c r="CL268" s="93" t="str">
        <f aca="false">IF(ISBLANK($C268),"",IF($BX268&lt;&gt;Constants!$B$6,$BX268,IF(ISNUMBER($CK268),RANK($CK268,$CK$9:$CK$508,1),COUNT($CK$9:$CK$508)+1)))</f>
        <v/>
      </c>
      <c r="CM268" s="93" t="str">
        <f aca="false">IF(ISBLANK($C268),"",IF($BX268&lt;&gt;Constants!$B$6,$BX268,COUNTIFS($CD$9:$CD$508,"&lt;"&amp;$CD268)+COUNTIFS($CD$9:$CD$508,$CD268,$CF$9:$CF$508,"&lt;"&amp;$CF268)+COUNTIFS($CD$9:$CD$508,$CD268,$CF$9:$CF$508,$CF268,$CH$9:$CH$508,"&lt;"&amp;$CH268)+COUNTIFS($CD$9:$CD$508,$CD268,$CF$9:$CF$508,$CF268,$CH$9:$CH$508,$CH268,$CJ$9:$CJ$508,"&lt;"&amp;$CJ268)+COUNTIFS($CD$9:$CD$508,$CD268,$CF$9:$CF$508,$CF268,$CH$9:$CH$508,$CH268,$CJ$9:$CJ$508,$CJ268,$CL$9:$CL$508,"&lt;"&amp;$CL268)+1))</f>
        <v/>
      </c>
      <c r="CN268" s="93" t="str">
        <f aca="false">IF(ISBLANK($C268),"",IF($BX268&lt;&gt;Constants!$B$6,$BX268,$CD268-$CM268))</f>
        <v/>
      </c>
      <c r="CO268" s="100"/>
      <c r="CP268" s="101"/>
      <c r="CQ268" s="102" t="str">
        <f aca="false">IF(ISBLANK($C268),"",IF($BX268=Constants!$B$10,$BW268,""))</f>
        <v/>
      </c>
      <c r="CR268" s="101" t="str">
        <f aca="false">IF(ISBLANK($C268),"",IF($BX268&lt;&gt;Constants!$B$6,"",IF($BL268="-&gt;",2,1)))</f>
        <v/>
      </c>
      <c r="CS268" s="103" t="str">
        <f aca="false">IF(ISBLANK($C268),"",IF($BX268&lt;&gt;Constants!$B$6,"",IF($BL268="-&gt;",$BN268,$BC268)))</f>
        <v/>
      </c>
      <c r="CT268" s="103" t="str">
        <f aca="false">IF(ISBLANK($C268),"",IF($BX268&lt;&gt;Constants!$B$6,"",IF($BL268="-&gt;",$BO268,$BD268)))</f>
        <v/>
      </c>
      <c r="CU268" s="103" t="str">
        <f aca="false">IF(ISBLANK($C268),"",IF($BX268&lt;&gt;Constants!$B$6,"",IF($BL268="-&gt;",$BP268+$BQ268,$BE268+$BF268)+$CB268))</f>
        <v/>
      </c>
      <c r="CV268" s="103" t="str">
        <f aca="false">IF(ISBLANK($C268),"",IF($BX268&lt;&gt;Constants!$B$6,"",IF($BL268="-&gt;",$BR268,$BG268)+$CA268))</f>
        <v/>
      </c>
      <c r="CW268" s="104" t="str">
        <f aca="false">IF(ISBLANK($C268),"",IF($BX268&lt;&gt;Constants!$B$6,$BX268,$CC268))</f>
        <v/>
      </c>
      <c r="CX268" s="105" t="str">
        <f aca="false">IF(ISBLANK($C268),"",$BY268)</f>
        <v/>
      </c>
      <c r="CY268" s="106" t="str">
        <f aca="false">IF(ISBLANK($C268),"",$CN268)</f>
        <v/>
      </c>
      <c r="CZ268" s="106" t="str">
        <f aca="false">IF(ISBLANK($C268),"",$CM268)</f>
        <v/>
      </c>
      <c r="DA268" s="107" t="str">
        <f aca="false">IF(ISBLANK($C268),"",IFERROR(_xlfn.SWITCH($CZ268,Constants!$B$9,COUNTA($C$9:$C$508)+2,Constants!$B$8,COUNTA($C$9:$C$508)+1,Constants!$B$7,COUNTA($C$9:$C$508)),$CZ268))</f>
        <v/>
      </c>
      <c r="DB268" s="9"/>
      <c r="DC268" s="108" t="n">
        <f aca="false">IF(OR(ISNUMBER($CZ268),$CZ268=Constants!$B$9,$CZ268=Constants!$B$7,$CZ268=Constants!$B$8),1,0)</f>
        <v>0</v>
      </c>
      <c r="DD268" s="108" t="n">
        <v>260</v>
      </c>
      <c r="DE268" s="108" t="str">
        <f aca="false">IF(ISBLANK($C268),"",IF(ISNUMBER($DA268),$DA268+ROW($B268)/1000,""))</f>
        <v/>
      </c>
      <c r="DF268" s="108" t="str">
        <f aca="false">IF(ISNUMBER($DE268),RANK($DE268,$DE$9:$DE$508,1),"")</f>
        <v/>
      </c>
      <c r="DG268" s="108" t="str">
        <f aca="false">IF(ISBLANK($C268),"",$B268)</f>
        <v/>
      </c>
      <c r="DH268" s="108" t="str">
        <f aca="false">IF(ISBLANK($C268),"",$C268)</f>
        <v/>
      </c>
      <c r="DI268" s="108" t="str">
        <f aca="false">IF(ISBLANK($C268),"",$D268)</f>
        <v/>
      </c>
      <c r="DJ268" s="109" t="str">
        <f aca="false">$CX268</f>
        <v/>
      </c>
      <c r="DK268" s="110" t="str">
        <f aca="false">$CW268</f>
        <v/>
      </c>
      <c r="DL268" s="108" t="str">
        <f aca="false">IF(ISBLANK($C268),"",$CZ268)</f>
        <v/>
      </c>
      <c r="DM268" s="111" t="str">
        <f aca="false">IF($DD268&gt;$DC$8,"",VLOOKUP($DD268,$DF$9:$DL$508,7,FALSE()))</f>
        <v/>
      </c>
      <c r="DN268" s="112" t="str">
        <f aca="false">IF($DD268&gt;$DC$8,"",VLOOKUP($DD268,$DF$9:$DL$508,2,FALSE()))</f>
        <v/>
      </c>
      <c r="DO268" s="112" t="str">
        <f aca="false">IF($DD268&gt;$DC$8,"",VLOOKUP($DD268,$DF$9:$DL$508,3,FALSE()))</f>
        <v/>
      </c>
      <c r="DP268" s="112" t="str">
        <f aca="false">IF($DD268&gt;$DC$8,"",VLOOKUP($DD268,$DF$9:$DL$508,4,FALSE()))</f>
        <v/>
      </c>
      <c r="DQ268" s="112" t="str">
        <f aca="false">IF($DD268&gt;$DC$8,"",VLOOKUP($DD268,$DF$9:$DL$508,5,FALSE()))</f>
        <v/>
      </c>
      <c r="DR268" s="113" t="str">
        <f aca="false">IF($DD268&gt;$DC$8,"",VLOOKUP($DD268,$DF$9:$DL$508,6,FALSE()))</f>
        <v/>
      </c>
      <c r="DS268" s="76"/>
    </row>
    <row r="269" customFormat="false" ht="15.75" hidden="false" customHeight="false" outlineLevel="0" collapsed="false">
      <c r="A269" s="9"/>
      <c r="B269" s="78"/>
      <c r="C269" s="79"/>
      <c r="D269" s="170"/>
      <c r="E269" s="178"/>
      <c r="F269" s="172"/>
      <c r="G269" s="173"/>
      <c r="H269" s="173"/>
      <c r="I269" s="179"/>
      <c r="J269" s="176"/>
      <c r="K269" s="86"/>
      <c r="L269" s="87"/>
      <c r="M269" s="88"/>
      <c r="N269" s="176"/>
      <c r="O269" s="176"/>
      <c r="P269" s="178"/>
      <c r="Q269" s="176"/>
      <c r="R269" s="176"/>
      <c r="S269" s="86"/>
      <c r="T269" s="88"/>
      <c r="U269" s="88"/>
      <c r="V269" s="176"/>
      <c r="W269" s="176"/>
      <c r="X269" s="178"/>
      <c r="Y269" s="176"/>
      <c r="Z269" s="177"/>
      <c r="AA269" s="176"/>
      <c r="AB269" s="92"/>
      <c r="AC269" s="93"/>
      <c r="AD269" s="93"/>
      <c r="AE269" s="93"/>
      <c r="AF269" s="93" t="str">
        <f aca="false">IF(ISBLANK($C269),"",IF(E269=Constants!$B$2,TRUE(),IF(E269=Constants!$B$3,FALSE(),TRUE())))</f>
        <v/>
      </c>
      <c r="AG269" s="93" t="str">
        <f aca="false">IF(ISBLANK($C269),"",IF(F269=Constants!$B$2,TRUE(),IF(F269=Constants!$B$3,FALSE(),TRUE())))</f>
        <v/>
      </c>
      <c r="AH269" s="93" t="str">
        <f aca="false">IF(ISBLANK($C269),"",IF(G269=Constants!$B$2,TRUE(),IF(G269=Constants!$B$3,FALSE(),TRUE())))</f>
        <v/>
      </c>
      <c r="AI269" s="93" t="str">
        <f aca="false">IF(ISBLANK($C269),"",IF(AND(ISNUMBER(H269),H269&gt;=0),H269,Constants!$B$24))</f>
        <v/>
      </c>
      <c r="AJ269" s="93" t="str">
        <f aca="false">IF(ISBLANK($C269),"",IF(I269=Constants!$B$2,TRUE(),IF(I269=Constants!$B$3,FALSE(),TRUE())))</f>
        <v/>
      </c>
      <c r="AK269" s="93" t="str">
        <f aca="false">IF(ISBLANK($C269),"",IF(J269=Constants!$B$2,TRUE(),IF(J269=Constants!$B$3,FALSE(),TRUE())))</f>
        <v/>
      </c>
      <c r="AL269" s="93" t="str">
        <f aca="false">IF(ISBLANK($C269),"",IF(K269=Constants!$B$4,TRUE(),IF(K269=Constants!$B$5,FALSE(),COUNTA(L269:P269)&gt;0)))</f>
        <v/>
      </c>
      <c r="AM269" s="95" t="str">
        <f aca="false">IF(ISBLANK($C269),"",IF(ISNUMBER(L269),IF(L269&gt;=0,L269,""),""))</f>
        <v/>
      </c>
      <c r="AN269" s="94" t="str">
        <f aca="false">IF(ISBLANK($C269),"",IF(ISNUMBER(M269),IF(M269&gt;=0,M269,""),""))</f>
        <v/>
      </c>
      <c r="AO269" s="94" t="str">
        <f aca="false">IF(ISBLANK($C269),"",IF(N269=Constants!$B$2,TRUE(),IF(N269=Constants!$B$3,FALSE(),TRUE())))</f>
        <v/>
      </c>
      <c r="AP269" s="93" t="str">
        <f aca="false">IF(ISBLANK($C269),"",IF(ISNUMBER(O269),IF(O269&gt;=0,O269,""),""))</f>
        <v/>
      </c>
      <c r="AQ269" s="93" t="str">
        <f aca="false">IF(ISBLANK($C269),"",IF(P269=Constants!$B$2,TRUE(),IF(P269=Constants!$B$3,FALSE(),FALSE())))</f>
        <v/>
      </c>
      <c r="AR269" s="93" t="str">
        <f aca="false">IF(ISBLANK($C269),"",IF(Q269=Constants!$B$2,TRUE(),IF(Q269=Constants!$B$3,FALSE(),TRUE())))</f>
        <v/>
      </c>
      <c r="AS269" s="93" t="str">
        <f aca="false">IF(ISBLANK($C269),"",IF(R269=Constants!$B$2,TRUE(),IF(R269=Constants!$B$3,FALSE(),TRUE())))</f>
        <v/>
      </c>
      <c r="AT269" s="93" t="str">
        <f aca="false">IF(ISBLANK($C269),"",IF(S269=Constants!$B$4,TRUE(),IF(S269=Constants!$B$5,FALSE(),COUNTA(T269:X269)&gt;0)))</f>
        <v/>
      </c>
      <c r="AU269" s="95" t="str">
        <f aca="false">IF(ISBLANK($C269),"",IF(ISNUMBER(T269),IF(T269&gt;=0,T269,""),""))</f>
        <v/>
      </c>
      <c r="AV269" s="94" t="str">
        <f aca="false">IF(ISBLANK($C269),"",IF(ISNUMBER(U269),IF(U269&gt;=0,U269,""),""))</f>
        <v/>
      </c>
      <c r="AW269" s="94" t="str">
        <f aca="false">IF(ISBLANK($C269),"",IF(V269=Constants!$B$2,TRUE(),IF(V269=Constants!$B$3,FALSE(),TRUE())))</f>
        <v/>
      </c>
      <c r="AX269" s="93" t="str">
        <f aca="false">IF(ISBLANK($C269),"",IF(ISNUMBER(W269),IF(W269&gt;=0,W269,""),""))</f>
        <v/>
      </c>
      <c r="AY269" s="93" t="str">
        <f aca="false">IF(ISBLANK($C269),"",IF(X269=Constants!$B$2,TRUE(),IF(X269=Constants!$B$3,FALSE(),FALSE())))</f>
        <v/>
      </c>
      <c r="AZ269" s="93" t="str">
        <f aca="false">IF(ISBLANK($C269),"",MIN(Constants!$B$25,MAX(0,IF(ISNUMBER(Y269),Y269*60,0)+IF(ISNUMBER(Z269),Z269,0))))</f>
        <v/>
      </c>
      <c r="BA269" s="93" t="str">
        <f aca="false">IF(ISBLANK($C269),"",IF(AA269=Constants!$B$2,TRUE(),IF(AA269=Constants!$B$3,FALSE(),FALSE())))</f>
        <v/>
      </c>
      <c r="BB269" s="92" t="str">
        <f aca="false">IF(ISBLANK($C269),"",AND($AL269,OR($AM269="",$AN269="",AND($AO269,$AP269=""))))</f>
        <v/>
      </c>
      <c r="BC269" s="94" t="str">
        <f aca="false">IF($BX269&lt;&gt;Constants!$B$6,"",IF($AL269,Constants!$B$17*$AN269+Constants!$B$18*IF($AO269,$AP269,Constants!$B$19),Constants!$B$20))</f>
        <v/>
      </c>
      <c r="BD269" s="97" t="str">
        <f aca="false">IF($BX269&lt;&gt;Constants!$B$6,"",Constants!$B$21*ABS($AD$9-IF($AL269,$AM269,0)))</f>
        <v/>
      </c>
      <c r="BE269" s="97" t="str">
        <f aca="false">IF($BX269&lt;&gt;Constants!$B$6,"",IF(AND($AL269,$AQ269,$AO269),Constants!$B$22,0))</f>
        <v/>
      </c>
      <c r="BF269" s="97" t="str">
        <f aca="false">IF($BX269&lt;&gt;Constants!$B$6,"",IF($AL269,($AI269-Constants!$B$24)*Constants!$B$23,0))</f>
        <v/>
      </c>
      <c r="BG269" s="97" t="str">
        <f aca="false">IF($BX269&lt;&gt;Constants!$B$6,"",IF($AK269,0,Constants!$B$12)+IF($AJ269,0,Constants!$B$13)+IF($AH269,0,Constants!$B$14))</f>
        <v/>
      </c>
      <c r="BH269" s="98" t="str">
        <f aca="false">IF($BX269&lt;&gt;Constants!$B$6,"",Constants!$B$16+SUM($BC269:$BG269))</f>
        <v/>
      </c>
      <c r="BI269" s="97" t="str">
        <f aca="false">IF($BX269&lt;&gt;Constants!$B$6,"",$BC269)</f>
        <v/>
      </c>
      <c r="BJ269" s="97" t="str">
        <f aca="false">IF($BX269&lt;&gt;Constants!$B$6,"",$BD269)</f>
        <v/>
      </c>
      <c r="BK269" s="99" t="str">
        <f aca="false">IF($BX269&lt;&gt;Constants!$B$6,"",IF($AL269,$AN269,""))</f>
        <v/>
      </c>
      <c r="BL269" s="93" t="str">
        <f aca="false">IF($BX269&lt;&gt;Constants!$B$6,"",IF(OR($BS269&lt;$BH269,AND($BS269=$BH269,OR($BT269&lt;$BI269,AND($BT269=$BI269,OR($BU269&lt;$BJ269,AND($BU269=$BJ269,AND(ISNUMBER($BV269),OR(NOT(ISNUMBER($BK269)),$BV269&lt;$BK269)))))))),"-&gt;","&lt;-"))</f>
        <v/>
      </c>
      <c r="BM269" s="92" t="str">
        <f aca="false">IF(ISBLANK($C269),"",AND($AT269,OR($AU269="",$AV269="",AND($AW269,$AX269=""))))</f>
        <v/>
      </c>
      <c r="BN269" s="94" t="str">
        <f aca="false">IF($BX269&lt;&gt;Constants!$B$6,"",IF($AT269,Constants!$B$17*$AV269+Constants!$B$18*IF($AW269,$AX269,Constants!$B$19),Constants!$B$20))</f>
        <v/>
      </c>
      <c r="BO269" s="97" t="str">
        <f aca="false">IF($BX269&lt;&gt;Constants!$B$6,"",Constants!$B$21*ABS($AD$9-IF($AT269,$AU269,0)))</f>
        <v/>
      </c>
      <c r="BP269" s="97" t="str">
        <f aca="false">IF($BX269&lt;&gt;Constants!$B$6,"",IF(AND($AT269,$AY269,$AW269),Constants!$B$22,0))</f>
        <v/>
      </c>
      <c r="BQ269" s="97" t="str">
        <f aca="false">IF($BX269&lt;&gt;Constants!$B$6,"",IF($AT269,($AI269-Constants!$B$24)*Constants!$B$23,0))</f>
        <v/>
      </c>
      <c r="BR269" s="97" t="str">
        <f aca="false">IF($BX269&lt;&gt;Constants!$B$6,"",IF($AS269,0,Constants!$B$12)+IF($AR269,0,Constants!$B$13)+IF($AH269,0,Constants!$B$14))</f>
        <v/>
      </c>
      <c r="BS269" s="98" t="str">
        <f aca="false">IF($BX269&lt;&gt;Constants!$B$6,"",Constants!$B$16+SUM($BN269:$BR269))</f>
        <v/>
      </c>
      <c r="BT269" s="97" t="str">
        <f aca="false">IF($BX269&lt;&gt;Constants!$B$6,"",$BN269)</f>
        <v/>
      </c>
      <c r="BU269" s="97" t="str">
        <f aca="false">IF($BX269&lt;&gt;Constants!$B$6,"",$BO269)</f>
        <v/>
      </c>
      <c r="BV269" s="99" t="str">
        <f aca="false">IF($BX269&lt;&gt;Constants!$B$6,"",IF($AT269,$AV269,""))</f>
        <v/>
      </c>
      <c r="BW269" s="93" t="str">
        <f aca="false">IF(ISBLANK($C269),"",IF(ISBLANK($D$7),$BW$5,IF(NOT(ISNUMBER($D$7)),$BW$6,"")))</f>
        <v/>
      </c>
      <c r="BX269" s="93" t="str">
        <f aca="false">IF(ISBLANK($C269),"",IF($BA269,Constants!$B$9,IF(COUNTA($E269:$AA269)=0,Constants!$B$8,IF(NOT($AG269),Constants!$B$7,IF(OR($BW269&lt;&gt;"",$BB269,$BM269),Constants!$B$10,Constants!$B$6)))))</f>
        <v/>
      </c>
      <c r="BY269" s="93" t="str">
        <f aca="false">IF(ISBLANK($C269),"",IF($BX269&lt;&gt;Constants!$B$6,$BX269,Constants!$B$11))</f>
        <v/>
      </c>
      <c r="BZ269" s="97" t="str">
        <f aca="false">IF($BX269&lt;&gt;Constants!$B$6,"",IF($BL269="-&gt;",$BS269,$BH269))</f>
        <v/>
      </c>
      <c r="CA269" s="97" t="str">
        <f aca="false">IF($BX269&lt;&gt;Constants!$B$6,"",IF($AF269,0,Constants!$B$15))</f>
        <v/>
      </c>
      <c r="CB269" s="97" t="str">
        <f aca="false">IF($BX269&lt;&gt;Constants!$B$6,"",((Constants!$B$25-$AZ269)-Constants!$B$25)/Constants!$B$26)</f>
        <v/>
      </c>
      <c r="CC269" s="97" t="str">
        <f aca="false">IF(ISBLANK($C269),"",IF($BX269&lt;&gt;Constants!$B$6,$BX269,SUM($BZ269:$CB269)))</f>
        <v/>
      </c>
      <c r="CD269" s="93" t="str">
        <f aca="false">IF(ISBLANK($C269),"",IF($BX269&lt;&gt;Constants!$B$6,$BX269,RANK($CC269,$CC$9:$CC$508,1)))</f>
        <v/>
      </c>
      <c r="CE269" s="97" t="str">
        <f aca="false">IF($BX269&lt;&gt;Constants!$B$6,"",IF($BL269="-&gt;",$BT269,$BI269))</f>
        <v/>
      </c>
      <c r="CF269" s="93" t="str">
        <f aca="false">IF(ISBLANK($C269),"",IF($BX269&lt;&gt;Constants!$B$6,$BX269,IF(ISNUMBER($CE269),RANK($CE269,$CE$9:$CE$508,1),COUNT($CE$9:$CE$508)+1)))</f>
        <v/>
      </c>
      <c r="CG269" s="97" t="str">
        <f aca="false">IF($BX269&lt;&gt;Constants!$B$6,"",IF($BL269="-&gt;",$BU269,$BJ269))</f>
        <v/>
      </c>
      <c r="CH269" s="93" t="str">
        <f aca="false">IF(ISBLANK($C269),"",IF($BX269&lt;&gt;Constants!$B$6,$BX269,IF(ISNUMBER($CG269),RANK($CG269,$CG$9:$CG$508,1),COUNT($CG$9:$CG$508)+1)))</f>
        <v/>
      </c>
      <c r="CI269" s="97" t="str">
        <f aca="false">IF($BX269&lt;&gt;Constants!$B$6,"",IF($BL269="-&gt;",$BV269,$BK269))</f>
        <v/>
      </c>
      <c r="CJ269" s="93" t="str">
        <f aca="false">IF(ISBLANK($C269),"",IF($BX269&lt;&gt;Constants!$B$6,$BX269,IF(ISNUMBER($CI269),RANK($CI269,$CI$9:$CI$508,1),COUNT($CI$9:$CI$508)+1)))</f>
        <v/>
      </c>
      <c r="CK269" s="97" t="str">
        <f aca="false">IF($BX269&lt;&gt;Constants!$B$6,"",$AI269)</f>
        <v/>
      </c>
      <c r="CL269" s="93" t="str">
        <f aca="false">IF(ISBLANK($C269),"",IF($BX269&lt;&gt;Constants!$B$6,$BX269,IF(ISNUMBER($CK269),RANK($CK269,$CK$9:$CK$508,1),COUNT($CK$9:$CK$508)+1)))</f>
        <v/>
      </c>
      <c r="CM269" s="93" t="str">
        <f aca="false">IF(ISBLANK($C269),"",IF($BX269&lt;&gt;Constants!$B$6,$BX269,COUNTIFS($CD$9:$CD$508,"&lt;"&amp;$CD269)+COUNTIFS($CD$9:$CD$508,$CD269,$CF$9:$CF$508,"&lt;"&amp;$CF269)+COUNTIFS($CD$9:$CD$508,$CD269,$CF$9:$CF$508,$CF269,$CH$9:$CH$508,"&lt;"&amp;$CH269)+COUNTIFS($CD$9:$CD$508,$CD269,$CF$9:$CF$508,$CF269,$CH$9:$CH$508,$CH269,$CJ$9:$CJ$508,"&lt;"&amp;$CJ269)+COUNTIFS($CD$9:$CD$508,$CD269,$CF$9:$CF$508,$CF269,$CH$9:$CH$508,$CH269,$CJ$9:$CJ$508,$CJ269,$CL$9:$CL$508,"&lt;"&amp;$CL269)+1))</f>
        <v/>
      </c>
      <c r="CN269" s="93" t="str">
        <f aca="false">IF(ISBLANK($C269),"",IF($BX269&lt;&gt;Constants!$B$6,$BX269,$CD269-$CM269))</f>
        <v/>
      </c>
      <c r="CO269" s="100"/>
      <c r="CP269" s="101"/>
      <c r="CQ269" s="102" t="str">
        <f aca="false">IF(ISBLANK($C269),"",IF($BX269=Constants!$B$10,$BW269,""))</f>
        <v/>
      </c>
      <c r="CR269" s="101" t="str">
        <f aca="false">IF(ISBLANK($C269),"",IF($BX269&lt;&gt;Constants!$B$6,"",IF($BL269="-&gt;",2,1)))</f>
        <v/>
      </c>
      <c r="CS269" s="103" t="str">
        <f aca="false">IF(ISBLANK($C269),"",IF($BX269&lt;&gt;Constants!$B$6,"",IF($BL269="-&gt;",$BN269,$BC269)))</f>
        <v/>
      </c>
      <c r="CT269" s="103" t="str">
        <f aca="false">IF(ISBLANK($C269),"",IF($BX269&lt;&gt;Constants!$B$6,"",IF($BL269="-&gt;",$BO269,$BD269)))</f>
        <v/>
      </c>
      <c r="CU269" s="103" t="str">
        <f aca="false">IF(ISBLANK($C269),"",IF($BX269&lt;&gt;Constants!$B$6,"",IF($BL269="-&gt;",$BP269+$BQ269,$BE269+$BF269)+$CB269))</f>
        <v/>
      </c>
      <c r="CV269" s="103" t="str">
        <f aca="false">IF(ISBLANK($C269),"",IF($BX269&lt;&gt;Constants!$B$6,"",IF($BL269="-&gt;",$BR269,$BG269)+$CA269))</f>
        <v/>
      </c>
      <c r="CW269" s="104" t="str">
        <f aca="false">IF(ISBLANK($C269),"",IF($BX269&lt;&gt;Constants!$B$6,$BX269,$CC269))</f>
        <v/>
      </c>
      <c r="CX269" s="105" t="str">
        <f aca="false">IF(ISBLANK($C269),"",$BY269)</f>
        <v/>
      </c>
      <c r="CY269" s="106" t="str">
        <f aca="false">IF(ISBLANK($C269),"",$CN269)</f>
        <v/>
      </c>
      <c r="CZ269" s="106" t="str">
        <f aca="false">IF(ISBLANK($C269),"",$CM269)</f>
        <v/>
      </c>
      <c r="DA269" s="107" t="str">
        <f aca="false">IF(ISBLANK($C269),"",IFERROR(_xlfn.SWITCH($CZ269,Constants!$B$9,COUNTA($C$9:$C$508)+2,Constants!$B$8,COUNTA($C$9:$C$508)+1,Constants!$B$7,COUNTA($C$9:$C$508)),$CZ269))</f>
        <v/>
      </c>
      <c r="DB269" s="9"/>
      <c r="DC269" s="108" t="n">
        <f aca="false">IF(OR(ISNUMBER($CZ269),$CZ269=Constants!$B$9,$CZ269=Constants!$B$7,$CZ269=Constants!$B$8),1,0)</f>
        <v>0</v>
      </c>
      <c r="DD269" s="108" t="n">
        <v>261</v>
      </c>
      <c r="DE269" s="108" t="str">
        <f aca="false">IF(ISBLANK($C269),"",IF(ISNUMBER($DA269),$DA269+ROW($B269)/1000,""))</f>
        <v/>
      </c>
      <c r="DF269" s="108" t="str">
        <f aca="false">IF(ISNUMBER($DE269),RANK($DE269,$DE$9:$DE$508,1),"")</f>
        <v/>
      </c>
      <c r="DG269" s="108" t="str">
        <f aca="false">IF(ISBLANK($C269),"",$B269)</f>
        <v/>
      </c>
      <c r="DH269" s="108" t="str">
        <f aca="false">IF(ISBLANK($C269),"",$C269)</f>
        <v/>
      </c>
      <c r="DI269" s="108" t="str">
        <f aca="false">IF(ISBLANK($C269),"",$D269)</f>
        <v/>
      </c>
      <c r="DJ269" s="109" t="str">
        <f aca="false">$CX269</f>
        <v/>
      </c>
      <c r="DK269" s="110" t="str">
        <f aca="false">$CW269</f>
        <v/>
      </c>
      <c r="DL269" s="108" t="str">
        <f aca="false">IF(ISBLANK($C269),"",$CZ269)</f>
        <v/>
      </c>
      <c r="DM269" s="111" t="str">
        <f aca="false">IF($DD269&gt;$DC$8,"",VLOOKUP($DD269,$DF$9:$DL$508,7,FALSE()))</f>
        <v/>
      </c>
      <c r="DN269" s="112" t="str">
        <f aca="false">IF($DD269&gt;$DC$8,"",VLOOKUP($DD269,$DF$9:$DL$508,2,FALSE()))</f>
        <v/>
      </c>
      <c r="DO269" s="112" t="str">
        <f aca="false">IF($DD269&gt;$DC$8,"",VLOOKUP($DD269,$DF$9:$DL$508,3,FALSE()))</f>
        <v/>
      </c>
      <c r="DP269" s="112" t="str">
        <f aca="false">IF($DD269&gt;$DC$8,"",VLOOKUP($DD269,$DF$9:$DL$508,4,FALSE()))</f>
        <v/>
      </c>
      <c r="DQ269" s="112" t="str">
        <f aca="false">IF($DD269&gt;$DC$8,"",VLOOKUP($DD269,$DF$9:$DL$508,5,FALSE()))</f>
        <v/>
      </c>
      <c r="DR269" s="113" t="str">
        <f aca="false">IF($DD269&gt;$DC$8,"",VLOOKUP($DD269,$DF$9:$DL$508,6,FALSE()))</f>
        <v/>
      </c>
      <c r="DS269" s="76"/>
    </row>
    <row r="270" customFormat="false" ht="15.75" hidden="false" customHeight="false" outlineLevel="0" collapsed="false">
      <c r="A270" s="9"/>
      <c r="B270" s="160"/>
      <c r="C270" s="161"/>
      <c r="D270" s="162"/>
      <c r="E270" s="180"/>
      <c r="F270" s="164"/>
      <c r="G270" s="165"/>
      <c r="H270" s="165"/>
      <c r="I270" s="181"/>
      <c r="J270" s="168"/>
      <c r="K270" s="128"/>
      <c r="L270" s="129"/>
      <c r="M270" s="130"/>
      <c r="N270" s="168"/>
      <c r="O270" s="168"/>
      <c r="P270" s="180"/>
      <c r="Q270" s="168"/>
      <c r="R270" s="168"/>
      <c r="S270" s="128"/>
      <c r="T270" s="130"/>
      <c r="U270" s="130"/>
      <c r="V270" s="168"/>
      <c r="W270" s="168"/>
      <c r="X270" s="180"/>
      <c r="Y270" s="168"/>
      <c r="Z270" s="169"/>
      <c r="AA270" s="168"/>
      <c r="AB270" s="134"/>
      <c r="AC270" s="135"/>
      <c r="AD270" s="135"/>
      <c r="AE270" s="135"/>
      <c r="AF270" s="135" t="str">
        <f aca="false">IF(ISBLANK($C270),"",IF(E270=Constants!$B$2,TRUE(),IF(E270=Constants!$B$3,FALSE(),TRUE())))</f>
        <v/>
      </c>
      <c r="AG270" s="135" t="str">
        <f aca="false">IF(ISBLANK($C270),"",IF(F270=Constants!$B$2,TRUE(),IF(F270=Constants!$B$3,FALSE(),TRUE())))</f>
        <v/>
      </c>
      <c r="AH270" s="135" t="str">
        <f aca="false">IF(ISBLANK($C270),"",IF(G270=Constants!$B$2,TRUE(),IF(G270=Constants!$B$3,FALSE(),TRUE())))</f>
        <v/>
      </c>
      <c r="AI270" s="135" t="str">
        <f aca="false">IF(ISBLANK($C270),"",IF(AND(ISNUMBER(H270),H270&gt;=0),H270,Constants!$B$24))</f>
        <v/>
      </c>
      <c r="AJ270" s="135" t="str">
        <f aca="false">IF(ISBLANK($C270),"",IF(I270=Constants!$B$2,TRUE(),IF(I270=Constants!$B$3,FALSE(),TRUE())))</f>
        <v/>
      </c>
      <c r="AK270" s="135" t="str">
        <f aca="false">IF(ISBLANK($C270),"",IF(J270=Constants!$B$2,TRUE(),IF(J270=Constants!$B$3,FALSE(),TRUE())))</f>
        <v/>
      </c>
      <c r="AL270" s="135" t="str">
        <f aca="false">IF(ISBLANK($C270),"",IF(K270=Constants!$B$4,TRUE(),IF(K270=Constants!$B$5,FALSE(),COUNTA(L270:P270)&gt;0)))</f>
        <v/>
      </c>
      <c r="AM270" s="136" t="str">
        <f aca="false">IF(ISBLANK($C270),"",IF(ISNUMBER(L270),IF(L270&gt;=0,L270,""),""))</f>
        <v/>
      </c>
      <c r="AN270" s="137" t="str">
        <f aca="false">IF(ISBLANK($C270),"",IF(ISNUMBER(M270),IF(M270&gt;=0,M270,""),""))</f>
        <v/>
      </c>
      <c r="AO270" s="137" t="str">
        <f aca="false">IF(ISBLANK($C270),"",IF(N270=Constants!$B$2,TRUE(),IF(N270=Constants!$B$3,FALSE(),TRUE())))</f>
        <v/>
      </c>
      <c r="AP270" s="135" t="str">
        <f aca="false">IF(ISBLANK($C270),"",IF(ISNUMBER(O270),IF(O270&gt;=0,O270,""),""))</f>
        <v/>
      </c>
      <c r="AQ270" s="135" t="str">
        <f aca="false">IF(ISBLANK($C270),"",IF(P270=Constants!$B$2,TRUE(),IF(P270=Constants!$B$3,FALSE(),FALSE())))</f>
        <v/>
      </c>
      <c r="AR270" s="135" t="str">
        <f aca="false">IF(ISBLANK($C270),"",IF(Q270=Constants!$B$2,TRUE(),IF(Q270=Constants!$B$3,FALSE(),TRUE())))</f>
        <v/>
      </c>
      <c r="AS270" s="135" t="str">
        <f aca="false">IF(ISBLANK($C270),"",IF(R270=Constants!$B$2,TRUE(),IF(R270=Constants!$B$3,FALSE(),TRUE())))</f>
        <v/>
      </c>
      <c r="AT270" s="135" t="str">
        <f aca="false">IF(ISBLANK($C270),"",IF(S270=Constants!$B$4,TRUE(),IF(S270=Constants!$B$5,FALSE(),COUNTA(T270:X270)&gt;0)))</f>
        <v/>
      </c>
      <c r="AU270" s="136" t="str">
        <f aca="false">IF(ISBLANK($C270),"",IF(ISNUMBER(T270),IF(T270&gt;=0,T270,""),""))</f>
        <v/>
      </c>
      <c r="AV270" s="137" t="str">
        <f aca="false">IF(ISBLANK($C270),"",IF(ISNUMBER(U270),IF(U270&gt;=0,U270,""),""))</f>
        <v/>
      </c>
      <c r="AW270" s="137" t="str">
        <f aca="false">IF(ISBLANK($C270),"",IF(V270=Constants!$B$2,TRUE(),IF(V270=Constants!$B$3,FALSE(),TRUE())))</f>
        <v/>
      </c>
      <c r="AX270" s="135" t="str">
        <f aca="false">IF(ISBLANK($C270),"",IF(ISNUMBER(W270),IF(W270&gt;=0,W270,""),""))</f>
        <v/>
      </c>
      <c r="AY270" s="135" t="str">
        <f aca="false">IF(ISBLANK($C270),"",IF(X270=Constants!$B$2,TRUE(),IF(X270=Constants!$B$3,FALSE(),FALSE())))</f>
        <v/>
      </c>
      <c r="AZ270" s="135" t="str">
        <f aca="false">IF(ISBLANK($C270),"",MIN(Constants!$B$25,MAX(0,IF(ISNUMBER(Y270),Y270*60,0)+IF(ISNUMBER(Z270),Z270,0))))</f>
        <v/>
      </c>
      <c r="BA270" s="135" t="str">
        <f aca="false">IF(ISBLANK($C270),"",IF(AA270=Constants!$B$2,TRUE(),IF(AA270=Constants!$B$3,FALSE(),FALSE())))</f>
        <v/>
      </c>
      <c r="BB270" s="134" t="str">
        <f aca="false">IF(ISBLANK($C270),"",AND($AL270,OR($AM270="",$AN270="",AND($AO270,$AP270=""))))</f>
        <v/>
      </c>
      <c r="BC270" s="137" t="str">
        <f aca="false">IF($BX270&lt;&gt;Constants!$B$6,"",IF($AL270,Constants!$B$17*$AN270+Constants!$B$18*IF($AO270,$AP270,Constants!$B$19),Constants!$B$20))</f>
        <v/>
      </c>
      <c r="BD270" s="138" t="str">
        <f aca="false">IF($BX270&lt;&gt;Constants!$B$6,"",Constants!$B$21*ABS($AD$9-IF($AL270,$AM270,0)))</f>
        <v/>
      </c>
      <c r="BE270" s="138" t="str">
        <f aca="false">IF($BX270&lt;&gt;Constants!$B$6,"",IF(AND($AL270,$AQ270,$AO270),Constants!$B$22,0))</f>
        <v/>
      </c>
      <c r="BF270" s="138" t="str">
        <f aca="false">IF($BX270&lt;&gt;Constants!$B$6,"",IF($AL270,($AI270-Constants!$B$24)*Constants!$B$23,0))</f>
        <v/>
      </c>
      <c r="BG270" s="138" t="str">
        <f aca="false">IF($BX270&lt;&gt;Constants!$B$6,"",IF($AK270,0,Constants!$B$12)+IF($AJ270,0,Constants!$B$13)+IF($AH270,0,Constants!$B$14))</f>
        <v/>
      </c>
      <c r="BH270" s="139" t="str">
        <f aca="false">IF($BX270&lt;&gt;Constants!$B$6,"",Constants!$B$16+SUM($BC270:$BG270))</f>
        <v/>
      </c>
      <c r="BI270" s="138" t="str">
        <f aca="false">IF($BX270&lt;&gt;Constants!$B$6,"",$BC270)</f>
        <v/>
      </c>
      <c r="BJ270" s="138" t="str">
        <f aca="false">IF($BX270&lt;&gt;Constants!$B$6,"",$BD270)</f>
        <v/>
      </c>
      <c r="BK270" s="140" t="str">
        <f aca="false">IF($BX270&lt;&gt;Constants!$B$6,"",IF($AL270,$AN270,""))</f>
        <v/>
      </c>
      <c r="BL270" s="135" t="str">
        <f aca="false">IF($BX270&lt;&gt;Constants!$B$6,"",IF(OR($BS270&lt;$BH270,AND($BS270=$BH270,OR($BT270&lt;$BI270,AND($BT270=$BI270,OR($BU270&lt;$BJ270,AND($BU270=$BJ270,AND(ISNUMBER($BV270),OR(NOT(ISNUMBER($BK270)),$BV270&lt;$BK270)))))))),"-&gt;","&lt;-"))</f>
        <v/>
      </c>
      <c r="BM270" s="134" t="str">
        <f aca="false">IF(ISBLANK($C270),"",AND($AT270,OR($AU270="",$AV270="",AND($AW270,$AX270=""))))</f>
        <v/>
      </c>
      <c r="BN270" s="137" t="str">
        <f aca="false">IF($BX270&lt;&gt;Constants!$B$6,"",IF($AT270,Constants!$B$17*$AV270+Constants!$B$18*IF($AW270,$AX270,Constants!$B$19),Constants!$B$20))</f>
        <v/>
      </c>
      <c r="BO270" s="138" t="str">
        <f aca="false">IF($BX270&lt;&gt;Constants!$B$6,"",Constants!$B$21*ABS($AD$9-IF($AT270,$AU270,0)))</f>
        <v/>
      </c>
      <c r="BP270" s="138" t="str">
        <f aca="false">IF($BX270&lt;&gt;Constants!$B$6,"",IF(AND($AT270,$AY270,$AW270),Constants!$B$22,0))</f>
        <v/>
      </c>
      <c r="BQ270" s="138" t="str">
        <f aca="false">IF($BX270&lt;&gt;Constants!$B$6,"",IF($AT270,($AI270-Constants!$B$24)*Constants!$B$23,0))</f>
        <v/>
      </c>
      <c r="BR270" s="138" t="str">
        <f aca="false">IF($BX270&lt;&gt;Constants!$B$6,"",IF($AS270,0,Constants!$B$12)+IF($AR270,0,Constants!$B$13)+IF($AH270,0,Constants!$B$14))</f>
        <v/>
      </c>
      <c r="BS270" s="139" t="str">
        <f aca="false">IF($BX270&lt;&gt;Constants!$B$6,"",Constants!$B$16+SUM($BN270:$BR270))</f>
        <v/>
      </c>
      <c r="BT270" s="138" t="str">
        <f aca="false">IF($BX270&lt;&gt;Constants!$B$6,"",$BN270)</f>
        <v/>
      </c>
      <c r="BU270" s="138" t="str">
        <f aca="false">IF($BX270&lt;&gt;Constants!$B$6,"",$BO270)</f>
        <v/>
      </c>
      <c r="BV270" s="140" t="str">
        <f aca="false">IF($BX270&lt;&gt;Constants!$B$6,"",IF($AT270,$AV270,""))</f>
        <v/>
      </c>
      <c r="BW270" s="135" t="str">
        <f aca="false">IF(ISBLANK($C270),"",IF(ISBLANK($D$7),$BW$5,IF(NOT(ISNUMBER($D$7)),$BW$6,"")))</f>
        <v/>
      </c>
      <c r="BX270" s="135" t="str">
        <f aca="false">IF(ISBLANK($C270),"",IF($BA270,Constants!$B$9,IF(COUNTA($E270:$AA270)=0,Constants!$B$8,IF(NOT($AG270),Constants!$B$7,IF(OR($BW270&lt;&gt;"",$BB270,$BM270),Constants!$B$10,Constants!$B$6)))))</f>
        <v/>
      </c>
      <c r="BY270" s="135" t="str">
        <f aca="false">IF(ISBLANK($C270),"",IF($BX270&lt;&gt;Constants!$B$6,$BX270,Constants!$B$11))</f>
        <v/>
      </c>
      <c r="BZ270" s="138" t="str">
        <f aca="false">IF($BX270&lt;&gt;Constants!$B$6,"",IF($BL270="-&gt;",$BS270,$BH270))</f>
        <v/>
      </c>
      <c r="CA270" s="138" t="str">
        <f aca="false">IF($BX270&lt;&gt;Constants!$B$6,"",IF($AF270,0,Constants!$B$15))</f>
        <v/>
      </c>
      <c r="CB270" s="138" t="str">
        <f aca="false">IF($BX270&lt;&gt;Constants!$B$6,"",((Constants!$B$25-$AZ270)-Constants!$B$25)/Constants!$B$26)</f>
        <v/>
      </c>
      <c r="CC270" s="138" t="str">
        <f aca="false">IF(ISBLANK($C270),"",IF($BX270&lt;&gt;Constants!$B$6,$BX270,SUM($BZ270:$CB270)))</f>
        <v/>
      </c>
      <c r="CD270" s="135" t="str">
        <f aca="false">IF(ISBLANK($C270),"",IF($BX270&lt;&gt;Constants!$B$6,$BX270,RANK($CC270,$CC$9:$CC$508,1)))</f>
        <v/>
      </c>
      <c r="CE270" s="138" t="str">
        <f aca="false">IF($BX270&lt;&gt;Constants!$B$6,"",IF($BL270="-&gt;",$BT270,$BI270))</f>
        <v/>
      </c>
      <c r="CF270" s="135" t="str">
        <f aca="false">IF(ISBLANK($C270),"",IF($BX270&lt;&gt;Constants!$B$6,$BX270,IF(ISNUMBER($CE270),RANK($CE270,$CE$9:$CE$508,1),COUNT($CE$9:$CE$508)+1)))</f>
        <v/>
      </c>
      <c r="CG270" s="138" t="str">
        <f aca="false">IF($BX270&lt;&gt;Constants!$B$6,"",IF($BL270="-&gt;",$BU270,$BJ270))</f>
        <v/>
      </c>
      <c r="CH270" s="135" t="str">
        <f aca="false">IF(ISBLANK($C270),"",IF($BX270&lt;&gt;Constants!$B$6,$BX270,IF(ISNUMBER($CG270),RANK($CG270,$CG$9:$CG$508,1),COUNT($CG$9:$CG$508)+1)))</f>
        <v/>
      </c>
      <c r="CI270" s="138" t="str">
        <f aca="false">IF($BX270&lt;&gt;Constants!$B$6,"",IF($BL270="-&gt;",$BV270,$BK270))</f>
        <v/>
      </c>
      <c r="CJ270" s="135" t="str">
        <f aca="false">IF(ISBLANK($C270),"",IF($BX270&lt;&gt;Constants!$B$6,$BX270,IF(ISNUMBER($CI270),RANK($CI270,$CI$9:$CI$508,1),COUNT($CI$9:$CI$508)+1)))</f>
        <v/>
      </c>
      <c r="CK270" s="138" t="str">
        <f aca="false">IF($BX270&lt;&gt;Constants!$B$6,"",$AI270)</f>
        <v/>
      </c>
      <c r="CL270" s="135" t="str">
        <f aca="false">IF(ISBLANK($C270),"",IF($BX270&lt;&gt;Constants!$B$6,$BX270,IF(ISNUMBER($CK270),RANK($CK270,$CK$9:$CK$508,1),COUNT($CK$9:$CK$508)+1)))</f>
        <v/>
      </c>
      <c r="CM270" s="135" t="str">
        <f aca="false">IF(ISBLANK($C270),"",IF($BX270&lt;&gt;Constants!$B$6,$BX270,COUNTIFS($CD$9:$CD$508,"&lt;"&amp;$CD270)+COUNTIFS($CD$9:$CD$508,$CD270,$CF$9:$CF$508,"&lt;"&amp;$CF270)+COUNTIFS($CD$9:$CD$508,$CD270,$CF$9:$CF$508,$CF270,$CH$9:$CH$508,"&lt;"&amp;$CH270)+COUNTIFS($CD$9:$CD$508,$CD270,$CF$9:$CF$508,$CF270,$CH$9:$CH$508,$CH270,$CJ$9:$CJ$508,"&lt;"&amp;$CJ270)+COUNTIFS($CD$9:$CD$508,$CD270,$CF$9:$CF$508,$CF270,$CH$9:$CH$508,$CH270,$CJ$9:$CJ$508,$CJ270,$CL$9:$CL$508,"&lt;"&amp;$CL270)+1))</f>
        <v/>
      </c>
      <c r="CN270" s="135" t="str">
        <f aca="false">IF(ISBLANK($C270),"",IF($BX270&lt;&gt;Constants!$B$6,$BX270,$CD270-$CM270))</f>
        <v/>
      </c>
      <c r="CO270" s="141"/>
      <c r="CP270" s="142"/>
      <c r="CQ270" s="143" t="str">
        <f aca="false">IF(ISBLANK($C270),"",IF($BX270=Constants!$B$10,$BW270,""))</f>
        <v/>
      </c>
      <c r="CR270" s="142" t="str">
        <f aca="false">IF(ISBLANK($C270),"",IF($BX270&lt;&gt;Constants!$B$6,"",IF($BL270="-&gt;",2,1)))</f>
        <v/>
      </c>
      <c r="CS270" s="144" t="str">
        <f aca="false">IF(ISBLANK($C270),"",IF($BX270&lt;&gt;Constants!$B$6,"",IF($BL270="-&gt;",$BN270,$BC270)))</f>
        <v/>
      </c>
      <c r="CT270" s="144" t="str">
        <f aca="false">IF(ISBLANK($C270),"",IF($BX270&lt;&gt;Constants!$B$6,"",IF($BL270="-&gt;",$BO270,$BD270)))</f>
        <v/>
      </c>
      <c r="CU270" s="144" t="str">
        <f aca="false">IF(ISBLANK($C270),"",IF($BX270&lt;&gt;Constants!$B$6,"",IF($BL270="-&gt;",$BP270+$BQ270,$BE270+$BF270)+$CB270))</f>
        <v/>
      </c>
      <c r="CV270" s="144" t="str">
        <f aca="false">IF(ISBLANK($C270),"",IF($BX270&lt;&gt;Constants!$B$6,"",IF($BL270="-&gt;",$BR270,$BG270)+$CA270))</f>
        <v/>
      </c>
      <c r="CW270" s="145" t="str">
        <f aca="false">IF(ISBLANK($C270),"",IF($BX270&lt;&gt;Constants!$B$6,$BX270,$CC270))</f>
        <v/>
      </c>
      <c r="CX270" s="146" t="str">
        <f aca="false">IF(ISBLANK($C270),"",$BY270)</f>
        <v/>
      </c>
      <c r="CY270" s="147" t="str">
        <f aca="false">IF(ISBLANK($C270),"",$CN270)</f>
        <v/>
      </c>
      <c r="CZ270" s="147" t="str">
        <f aca="false">IF(ISBLANK($C270),"",$CM270)</f>
        <v/>
      </c>
      <c r="DA270" s="148" t="str">
        <f aca="false">IF(ISBLANK($C270),"",IFERROR(_xlfn.SWITCH($CZ270,Constants!$B$9,COUNTA($C$9:$C$508)+2,Constants!$B$8,COUNTA($C$9:$C$508)+1,Constants!$B$7,COUNTA($C$9:$C$508)),$CZ270))</f>
        <v/>
      </c>
      <c r="DB270" s="9"/>
      <c r="DC270" s="149" t="n">
        <f aca="false">IF(OR(ISNUMBER($CZ270),$CZ270=Constants!$B$9,$CZ270=Constants!$B$7,$CZ270=Constants!$B$8),1,0)</f>
        <v>0</v>
      </c>
      <c r="DD270" s="149" t="n">
        <v>262</v>
      </c>
      <c r="DE270" s="149" t="str">
        <f aca="false">IF(ISBLANK($C270),"",IF(ISNUMBER($DA270),$DA270+ROW($B270)/1000,""))</f>
        <v/>
      </c>
      <c r="DF270" s="149" t="str">
        <f aca="false">IF(ISNUMBER($DE270),RANK($DE270,$DE$9:$DE$508,1),"")</f>
        <v/>
      </c>
      <c r="DG270" s="149" t="str">
        <f aca="false">IF(ISBLANK($C270),"",$B270)</f>
        <v/>
      </c>
      <c r="DH270" s="149" t="str">
        <f aca="false">IF(ISBLANK($C270),"",$C270)</f>
        <v/>
      </c>
      <c r="DI270" s="149" t="str">
        <f aca="false">IF(ISBLANK($C270),"",$D270)</f>
        <v/>
      </c>
      <c r="DJ270" s="150" t="str">
        <f aca="false">$CX270</f>
        <v/>
      </c>
      <c r="DK270" s="151" t="str">
        <f aca="false">$CW270</f>
        <v/>
      </c>
      <c r="DL270" s="149" t="str">
        <f aca="false">IF(ISBLANK($C270),"",$CZ270)</f>
        <v/>
      </c>
      <c r="DM270" s="152" t="str">
        <f aca="false">IF($DD270&gt;$DC$8,"",VLOOKUP($DD270,$DF$9:$DL$508,7,FALSE()))</f>
        <v/>
      </c>
      <c r="DN270" s="153" t="str">
        <f aca="false">IF($DD270&gt;$DC$8,"",VLOOKUP($DD270,$DF$9:$DL$508,2,FALSE()))</f>
        <v/>
      </c>
      <c r="DO270" s="153" t="str">
        <f aca="false">IF($DD270&gt;$DC$8,"",VLOOKUP($DD270,$DF$9:$DL$508,3,FALSE()))</f>
        <v/>
      </c>
      <c r="DP270" s="153" t="str">
        <f aca="false">IF($DD270&gt;$DC$8,"",VLOOKUP($DD270,$DF$9:$DL$508,4,FALSE()))</f>
        <v/>
      </c>
      <c r="DQ270" s="153" t="str">
        <f aca="false">IF($DD270&gt;$DC$8,"",VLOOKUP($DD270,$DF$9:$DL$508,5,FALSE()))</f>
        <v/>
      </c>
      <c r="DR270" s="154" t="str">
        <f aca="false">IF($DD270&gt;$DC$8,"",VLOOKUP($DD270,$DF$9:$DL$508,6,FALSE()))</f>
        <v/>
      </c>
      <c r="DS270" s="76"/>
    </row>
    <row r="271" customFormat="false" ht="15.75" hidden="false" customHeight="false" outlineLevel="0" collapsed="false">
      <c r="A271" s="9"/>
      <c r="B271" s="160"/>
      <c r="C271" s="161"/>
      <c r="D271" s="162"/>
      <c r="E271" s="180"/>
      <c r="F271" s="164"/>
      <c r="G271" s="165"/>
      <c r="H271" s="165"/>
      <c r="I271" s="181"/>
      <c r="J271" s="168"/>
      <c r="K271" s="128"/>
      <c r="L271" s="129"/>
      <c r="M271" s="130"/>
      <c r="N271" s="168"/>
      <c r="O271" s="168"/>
      <c r="P271" s="180"/>
      <c r="Q271" s="168"/>
      <c r="R271" s="168"/>
      <c r="S271" s="128"/>
      <c r="T271" s="130"/>
      <c r="U271" s="130"/>
      <c r="V271" s="168"/>
      <c r="W271" s="168"/>
      <c r="X271" s="180"/>
      <c r="Y271" s="168"/>
      <c r="Z271" s="169"/>
      <c r="AA271" s="168"/>
      <c r="AB271" s="134"/>
      <c r="AC271" s="135"/>
      <c r="AD271" s="135"/>
      <c r="AE271" s="135"/>
      <c r="AF271" s="135" t="str">
        <f aca="false">IF(ISBLANK($C271),"",IF(E271=Constants!$B$2,TRUE(),IF(E271=Constants!$B$3,FALSE(),TRUE())))</f>
        <v/>
      </c>
      <c r="AG271" s="135" t="str">
        <f aca="false">IF(ISBLANK($C271),"",IF(F271=Constants!$B$2,TRUE(),IF(F271=Constants!$B$3,FALSE(),TRUE())))</f>
        <v/>
      </c>
      <c r="AH271" s="135" t="str">
        <f aca="false">IF(ISBLANK($C271),"",IF(G271=Constants!$B$2,TRUE(),IF(G271=Constants!$B$3,FALSE(),TRUE())))</f>
        <v/>
      </c>
      <c r="AI271" s="135" t="str">
        <f aca="false">IF(ISBLANK($C271),"",IF(AND(ISNUMBER(H271),H271&gt;=0),H271,Constants!$B$24))</f>
        <v/>
      </c>
      <c r="AJ271" s="135" t="str">
        <f aca="false">IF(ISBLANK($C271),"",IF(I271=Constants!$B$2,TRUE(),IF(I271=Constants!$B$3,FALSE(),TRUE())))</f>
        <v/>
      </c>
      <c r="AK271" s="135" t="str">
        <f aca="false">IF(ISBLANK($C271),"",IF(J271=Constants!$B$2,TRUE(),IF(J271=Constants!$B$3,FALSE(),TRUE())))</f>
        <v/>
      </c>
      <c r="AL271" s="135" t="str">
        <f aca="false">IF(ISBLANK($C271),"",IF(K271=Constants!$B$4,TRUE(),IF(K271=Constants!$B$5,FALSE(),COUNTA(L271:P271)&gt;0)))</f>
        <v/>
      </c>
      <c r="AM271" s="136" t="str">
        <f aca="false">IF(ISBLANK($C271),"",IF(ISNUMBER(L271),IF(L271&gt;=0,L271,""),""))</f>
        <v/>
      </c>
      <c r="AN271" s="137" t="str">
        <f aca="false">IF(ISBLANK($C271),"",IF(ISNUMBER(M271),IF(M271&gt;=0,M271,""),""))</f>
        <v/>
      </c>
      <c r="AO271" s="137" t="str">
        <f aca="false">IF(ISBLANK($C271),"",IF(N271=Constants!$B$2,TRUE(),IF(N271=Constants!$B$3,FALSE(),TRUE())))</f>
        <v/>
      </c>
      <c r="AP271" s="135" t="str">
        <f aca="false">IF(ISBLANK($C271),"",IF(ISNUMBER(O271),IF(O271&gt;=0,O271,""),""))</f>
        <v/>
      </c>
      <c r="AQ271" s="135" t="str">
        <f aca="false">IF(ISBLANK($C271),"",IF(P271=Constants!$B$2,TRUE(),IF(P271=Constants!$B$3,FALSE(),FALSE())))</f>
        <v/>
      </c>
      <c r="AR271" s="135" t="str">
        <f aca="false">IF(ISBLANK($C271),"",IF(Q271=Constants!$B$2,TRUE(),IF(Q271=Constants!$B$3,FALSE(),TRUE())))</f>
        <v/>
      </c>
      <c r="AS271" s="135" t="str">
        <f aca="false">IF(ISBLANK($C271),"",IF(R271=Constants!$B$2,TRUE(),IF(R271=Constants!$B$3,FALSE(),TRUE())))</f>
        <v/>
      </c>
      <c r="AT271" s="135" t="str">
        <f aca="false">IF(ISBLANK($C271),"",IF(S271=Constants!$B$4,TRUE(),IF(S271=Constants!$B$5,FALSE(),COUNTA(T271:X271)&gt;0)))</f>
        <v/>
      </c>
      <c r="AU271" s="136" t="str">
        <f aca="false">IF(ISBLANK($C271),"",IF(ISNUMBER(T271),IF(T271&gt;=0,T271,""),""))</f>
        <v/>
      </c>
      <c r="AV271" s="137" t="str">
        <f aca="false">IF(ISBLANK($C271),"",IF(ISNUMBER(U271),IF(U271&gt;=0,U271,""),""))</f>
        <v/>
      </c>
      <c r="AW271" s="137" t="str">
        <f aca="false">IF(ISBLANK($C271),"",IF(V271=Constants!$B$2,TRUE(),IF(V271=Constants!$B$3,FALSE(),TRUE())))</f>
        <v/>
      </c>
      <c r="AX271" s="135" t="str">
        <f aca="false">IF(ISBLANK($C271),"",IF(ISNUMBER(W271),IF(W271&gt;=0,W271,""),""))</f>
        <v/>
      </c>
      <c r="AY271" s="135" t="str">
        <f aca="false">IF(ISBLANK($C271),"",IF(X271=Constants!$B$2,TRUE(),IF(X271=Constants!$B$3,FALSE(),FALSE())))</f>
        <v/>
      </c>
      <c r="AZ271" s="135" t="str">
        <f aca="false">IF(ISBLANK($C271),"",MIN(Constants!$B$25,MAX(0,IF(ISNUMBER(Y271),Y271*60,0)+IF(ISNUMBER(Z271),Z271,0))))</f>
        <v/>
      </c>
      <c r="BA271" s="135" t="str">
        <f aca="false">IF(ISBLANK($C271),"",IF(AA271=Constants!$B$2,TRUE(),IF(AA271=Constants!$B$3,FALSE(),FALSE())))</f>
        <v/>
      </c>
      <c r="BB271" s="134" t="str">
        <f aca="false">IF(ISBLANK($C271),"",AND($AL271,OR($AM271="",$AN271="",AND($AO271,$AP271=""))))</f>
        <v/>
      </c>
      <c r="BC271" s="137" t="str">
        <f aca="false">IF($BX271&lt;&gt;Constants!$B$6,"",IF($AL271,Constants!$B$17*$AN271+Constants!$B$18*IF($AO271,$AP271,Constants!$B$19),Constants!$B$20))</f>
        <v/>
      </c>
      <c r="BD271" s="138" t="str">
        <f aca="false">IF($BX271&lt;&gt;Constants!$B$6,"",Constants!$B$21*ABS($AD$9-IF($AL271,$AM271,0)))</f>
        <v/>
      </c>
      <c r="BE271" s="138" t="str">
        <f aca="false">IF($BX271&lt;&gt;Constants!$B$6,"",IF(AND($AL271,$AQ271,$AO271),Constants!$B$22,0))</f>
        <v/>
      </c>
      <c r="BF271" s="138" t="str">
        <f aca="false">IF($BX271&lt;&gt;Constants!$B$6,"",IF($AL271,($AI271-Constants!$B$24)*Constants!$B$23,0))</f>
        <v/>
      </c>
      <c r="BG271" s="138" t="str">
        <f aca="false">IF($BX271&lt;&gt;Constants!$B$6,"",IF($AK271,0,Constants!$B$12)+IF($AJ271,0,Constants!$B$13)+IF($AH271,0,Constants!$B$14))</f>
        <v/>
      </c>
      <c r="BH271" s="139" t="str">
        <f aca="false">IF($BX271&lt;&gt;Constants!$B$6,"",Constants!$B$16+SUM($BC271:$BG271))</f>
        <v/>
      </c>
      <c r="BI271" s="138" t="str">
        <f aca="false">IF($BX271&lt;&gt;Constants!$B$6,"",$BC271)</f>
        <v/>
      </c>
      <c r="BJ271" s="138" t="str">
        <f aca="false">IF($BX271&lt;&gt;Constants!$B$6,"",$BD271)</f>
        <v/>
      </c>
      <c r="BK271" s="140" t="str">
        <f aca="false">IF($BX271&lt;&gt;Constants!$B$6,"",IF($AL271,$AN271,""))</f>
        <v/>
      </c>
      <c r="BL271" s="135" t="str">
        <f aca="false">IF($BX271&lt;&gt;Constants!$B$6,"",IF(OR($BS271&lt;$BH271,AND($BS271=$BH271,OR($BT271&lt;$BI271,AND($BT271=$BI271,OR($BU271&lt;$BJ271,AND($BU271=$BJ271,AND(ISNUMBER($BV271),OR(NOT(ISNUMBER($BK271)),$BV271&lt;$BK271)))))))),"-&gt;","&lt;-"))</f>
        <v/>
      </c>
      <c r="BM271" s="134" t="str">
        <f aca="false">IF(ISBLANK($C271),"",AND($AT271,OR($AU271="",$AV271="",AND($AW271,$AX271=""))))</f>
        <v/>
      </c>
      <c r="BN271" s="137" t="str">
        <f aca="false">IF($BX271&lt;&gt;Constants!$B$6,"",IF($AT271,Constants!$B$17*$AV271+Constants!$B$18*IF($AW271,$AX271,Constants!$B$19),Constants!$B$20))</f>
        <v/>
      </c>
      <c r="BO271" s="138" t="str">
        <f aca="false">IF($BX271&lt;&gt;Constants!$B$6,"",Constants!$B$21*ABS($AD$9-IF($AT271,$AU271,0)))</f>
        <v/>
      </c>
      <c r="BP271" s="138" t="str">
        <f aca="false">IF($BX271&lt;&gt;Constants!$B$6,"",IF(AND($AT271,$AY271,$AW271),Constants!$B$22,0))</f>
        <v/>
      </c>
      <c r="BQ271" s="138" t="str">
        <f aca="false">IF($BX271&lt;&gt;Constants!$B$6,"",IF($AT271,($AI271-Constants!$B$24)*Constants!$B$23,0))</f>
        <v/>
      </c>
      <c r="BR271" s="138" t="str">
        <f aca="false">IF($BX271&lt;&gt;Constants!$B$6,"",IF($AS271,0,Constants!$B$12)+IF($AR271,0,Constants!$B$13)+IF($AH271,0,Constants!$B$14))</f>
        <v/>
      </c>
      <c r="BS271" s="139" t="str">
        <f aca="false">IF($BX271&lt;&gt;Constants!$B$6,"",Constants!$B$16+SUM($BN271:$BR271))</f>
        <v/>
      </c>
      <c r="BT271" s="138" t="str">
        <f aca="false">IF($BX271&lt;&gt;Constants!$B$6,"",$BN271)</f>
        <v/>
      </c>
      <c r="BU271" s="138" t="str">
        <f aca="false">IF($BX271&lt;&gt;Constants!$B$6,"",$BO271)</f>
        <v/>
      </c>
      <c r="BV271" s="140" t="str">
        <f aca="false">IF($BX271&lt;&gt;Constants!$B$6,"",IF($AT271,$AV271,""))</f>
        <v/>
      </c>
      <c r="BW271" s="135" t="str">
        <f aca="false">IF(ISBLANK($C271),"",IF(ISBLANK($D$7),$BW$5,IF(NOT(ISNUMBER($D$7)),$BW$6,"")))</f>
        <v/>
      </c>
      <c r="BX271" s="135" t="str">
        <f aca="false">IF(ISBLANK($C271),"",IF($BA271,Constants!$B$9,IF(COUNTA($E271:$AA271)=0,Constants!$B$8,IF(NOT($AG271),Constants!$B$7,IF(OR($BW271&lt;&gt;"",$BB271,$BM271),Constants!$B$10,Constants!$B$6)))))</f>
        <v/>
      </c>
      <c r="BY271" s="135" t="str">
        <f aca="false">IF(ISBLANK($C271),"",IF($BX271&lt;&gt;Constants!$B$6,$BX271,Constants!$B$11))</f>
        <v/>
      </c>
      <c r="BZ271" s="138" t="str">
        <f aca="false">IF($BX271&lt;&gt;Constants!$B$6,"",IF($BL271="-&gt;",$BS271,$BH271))</f>
        <v/>
      </c>
      <c r="CA271" s="138" t="str">
        <f aca="false">IF($BX271&lt;&gt;Constants!$B$6,"",IF($AF271,0,Constants!$B$15))</f>
        <v/>
      </c>
      <c r="CB271" s="138" t="str">
        <f aca="false">IF($BX271&lt;&gt;Constants!$B$6,"",((Constants!$B$25-$AZ271)-Constants!$B$25)/Constants!$B$26)</f>
        <v/>
      </c>
      <c r="CC271" s="138" t="str">
        <f aca="false">IF(ISBLANK($C271),"",IF($BX271&lt;&gt;Constants!$B$6,$BX271,SUM($BZ271:$CB271)))</f>
        <v/>
      </c>
      <c r="CD271" s="135" t="str">
        <f aca="false">IF(ISBLANK($C271),"",IF($BX271&lt;&gt;Constants!$B$6,$BX271,RANK($CC271,$CC$9:$CC$508,1)))</f>
        <v/>
      </c>
      <c r="CE271" s="138" t="str">
        <f aca="false">IF($BX271&lt;&gt;Constants!$B$6,"",IF($BL271="-&gt;",$BT271,$BI271))</f>
        <v/>
      </c>
      <c r="CF271" s="135" t="str">
        <f aca="false">IF(ISBLANK($C271),"",IF($BX271&lt;&gt;Constants!$B$6,$BX271,IF(ISNUMBER($CE271),RANK($CE271,$CE$9:$CE$508,1),COUNT($CE$9:$CE$508)+1)))</f>
        <v/>
      </c>
      <c r="CG271" s="138" t="str">
        <f aca="false">IF($BX271&lt;&gt;Constants!$B$6,"",IF($BL271="-&gt;",$BU271,$BJ271))</f>
        <v/>
      </c>
      <c r="CH271" s="135" t="str">
        <f aca="false">IF(ISBLANK($C271),"",IF($BX271&lt;&gt;Constants!$B$6,$BX271,IF(ISNUMBER($CG271),RANK($CG271,$CG$9:$CG$508,1),COUNT($CG$9:$CG$508)+1)))</f>
        <v/>
      </c>
      <c r="CI271" s="138" t="str">
        <f aca="false">IF($BX271&lt;&gt;Constants!$B$6,"",IF($BL271="-&gt;",$BV271,$BK271))</f>
        <v/>
      </c>
      <c r="CJ271" s="135" t="str">
        <f aca="false">IF(ISBLANK($C271),"",IF($BX271&lt;&gt;Constants!$B$6,$BX271,IF(ISNUMBER($CI271),RANK($CI271,$CI$9:$CI$508,1),COUNT($CI$9:$CI$508)+1)))</f>
        <v/>
      </c>
      <c r="CK271" s="138" t="str">
        <f aca="false">IF($BX271&lt;&gt;Constants!$B$6,"",$AI271)</f>
        <v/>
      </c>
      <c r="CL271" s="135" t="str">
        <f aca="false">IF(ISBLANK($C271),"",IF($BX271&lt;&gt;Constants!$B$6,$BX271,IF(ISNUMBER($CK271),RANK($CK271,$CK$9:$CK$508,1),COUNT($CK$9:$CK$508)+1)))</f>
        <v/>
      </c>
      <c r="CM271" s="135" t="str">
        <f aca="false">IF(ISBLANK($C271),"",IF($BX271&lt;&gt;Constants!$B$6,$BX271,COUNTIFS($CD$9:$CD$508,"&lt;"&amp;$CD271)+COUNTIFS($CD$9:$CD$508,$CD271,$CF$9:$CF$508,"&lt;"&amp;$CF271)+COUNTIFS($CD$9:$CD$508,$CD271,$CF$9:$CF$508,$CF271,$CH$9:$CH$508,"&lt;"&amp;$CH271)+COUNTIFS($CD$9:$CD$508,$CD271,$CF$9:$CF$508,$CF271,$CH$9:$CH$508,$CH271,$CJ$9:$CJ$508,"&lt;"&amp;$CJ271)+COUNTIFS($CD$9:$CD$508,$CD271,$CF$9:$CF$508,$CF271,$CH$9:$CH$508,$CH271,$CJ$9:$CJ$508,$CJ271,$CL$9:$CL$508,"&lt;"&amp;$CL271)+1))</f>
        <v/>
      </c>
      <c r="CN271" s="135" t="str">
        <f aca="false">IF(ISBLANK($C271),"",IF($BX271&lt;&gt;Constants!$B$6,$BX271,$CD271-$CM271))</f>
        <v/>
      </c>
      <c r="CO271" s="141"/>
      <c r="CP271" s="142"/>
      <c r="CQ271" s="143" t="str">
        <f aca="false">IF(ISBLANK($C271),"",IF($BX271=Constants!$B$10,$BW271,""))</f>
        <v/>
      </c>
      <c r="CR271" s="142" t="str">
        <f aca="false">IF(ISBLANK($C271),"",IF($BX271&lt;&gt;Constants!$B$6,"",IF($BL271="-&gt;",2,1)))</f>
        <v/>
      </c>
      <c r="CS271" s="144" t="str">
        <f aca="false">IF(ISBLANK($C271),"",IF($BX271&lt;&gt;Constants!$B$6,"",IF($BL271="-&gt;",$BN271,$BC271)))</f>
        <v/>
      </c>
      <c r="CT271" s="144" t="str">
        <f aca="false">IF(ISBLANK($C271),"",IF($BX271&lt;&gt;Constants!$B$6,"",IF($BL271="-&gt;",$BO271,$BD271)))</f>
        <v/>
      </c>
      <c r="CU271" s="144" t="str">
        <f aca="false">IF(ISBLANK($C271),"",IF($BX271&lt;&gt;Constants!$B$6,"",IF($BL271="-&gt;",$BP271+$BQ271,$BE271+$BF271)+$CB271))</f>
        <v/>
      </c>
      <c r="CV271" s="144" t="str">
        <f aca="false">IF(ISBLANK($C271),"",IF($BX271&lt;&gt;Constants!$B$6,"",IF($BL271="-&gt;",$BR271,$BG271)+$CA271))</f>
        <v/>
      </c>
      <c r="CW271" s="145" t="str">
        <f aca="false">IF(ISBLANK($C271),"",IF($BX271&lt;&gt;Constants!$B$6,$BX271,$CC271))</f>
        <v/>
      </c>
      <c r="CX271" s="146" t="str">
        <f aca="false">IF(ISBLANK($C271),"",$BY271)</f>
        <v/>
      </c>
      <c r="CY271" s="147" t="str">
        <f aca="false">IF(ISBLANK($C271),"",$CN271)</f>
        <v/>
      </c>
      <c r="CZ271" s="147" t="str">
        <f aca="false">IF(ISBLANK($C271),"",$CM271)</f>
        <v/>
      </c>
      <c r="DA271" s="148" t="str">
        <f aca="false">IF(ISBLANK($C271),"",IFERROR(_xlfn.SWITCH($CZ271,Constants!$B$9,COUNTA($C$9:$C$508)+2,Constants!$B$8,COUNTA($C$9:$C$508)+1,Constants!$B$7,COUNTA($C$9:$C$508)),$CZ271))</f>
        <v/>
      </c>
      <c r="DB271" s="9"/>
      <c r="DC271" s="149" t="n">
        <f aca="false">IF(OR(ISNUMBER($CZ271),$CZ271=Constants!$B$9,$CZ271=Constants!$B$7,$CZ271=Constants!$B$8),1,0)</f>
        <v>0</v>
      </c>
      <c r="DD271" s="149" t="n">
        <v>263</v>
      </c>
      <c r="DE271" s="149" t="str">
        <f aca="false">IF(ISBLANK($C271),"",IF(ISNUMBER($DA271),$DA271+ROW($B271)/1000,""))</f>
        <v/>
      </c>
      <c r="DF271" s="149" t="str">
        <f aca="false">IF(ISNUMBER($DE271),RANK($DE271,$DE$9:$DE$508,1),"")</f>
        <v/>
      </c>
      <c r="DG271" s="149" t="str">
        <f aca="false">IF(ISBLANK($C271),"",$B271)</f>
        <v/>
      </c>
      <c r="DH271" s="149" t="str">
        <f aca="false">IF(ISBLANK($C271),"",$C271)</f>
        <v/>
      </c>
      <c r="DI271" s="149" t="str">
        <f aca="false">IF(ISBLANK($C271),"",$D271)</f>
        <v/>
      </c>
      <c r="DJ271" s="150" t="str">
        <f aca="false">$CX271</f>
        <v/>
      </c>
      <c r="DK271" s="151" t="str">
        <f aca="false">$CW271</f>
        <v/>
      </c>
      <c r="DL271" s="149" t="str">
        <f aca="false">IF(ISBLANK($C271),"",$CZ271)</f>
        <v/>
      </c>
      <c r="DM271" s="152" t="str">
        <f aca="false">IF($DD271&gt;$DC$8,"",VLOOKUP($DD271,$DF$9:$DL$508,7,FALSE()))</f>
        <v/>
      </c>
      <c r="DN271" s="153" t="str">
        <f aca="false">IF($DD271&gt;$DC$8,"",VLOOKUP($DD271,$DF$9:$DL$508,2,FALSE()))</f>
        <v/>
      </c>
      <c r="DO271" s="153" t="str">
        <f aca="false">IF($DD271&gt;$DC$8,"",VLOOKUP($DD271,$DF$9:$DL$508,3,FALSE()))</f>
        <v/>
      </c>
      <c r="DP271" s="153" t="str">
        <f aca="false">IF($DD271&gt;$DC$8,"",VLOOKUP($DD271,$DF$9:$DL$508,4,FALSE()))</f>
        <v/>
      </c>
      <c r="DQ271" s="153" t="str">
        <f aca="false">IF($DD271&gt;$DC$8,"",VLOOKUP($DD271,$DF$9:$DL$508,5,FALSE()))</f>
        <v/>
      </c>
      <c r="DR271" s="154" t="str">
        <f aca="false">IF($DD271&gt;$DC$8,"",VLOOKUP($DD271,$DF$9:$DL$508,6,FALSE()))</f>
        <v/>
      </c>
      <c r="DS271" s="76"/>
    </row>
    <row r="272" customFormat="false" ht="15.75" hidden="false" customHeight="false" outlineLevel="0" collapsed="false">
      <c r="A272" s="9"/>
      <c r="B272" s="160"/>
      <c r="C272" s="161"/>
      <c r="D272" s="162"/>
      <c r="E272" s="180"/>
      <c r="F272" s="164"/>
      <c r="G272" s="165"/>
      <c r="H272" s="165"/>
      <c r="I272" s="181"/>
      <c r="J272" s="168"/>
      <c r="K272" s="128"/>
      <c r="L272" s="129"/>
      <c r="M272" s="130"/>
      <c r="N272" s="168"/>
      <c r="O272" s="168"/>
      <c r="P272" s="180"/>
      <c r="Q272" s="168"/>
      <c r="R272" s="168"/>
      <c r="S272" s="128"/>
      <c r="T272" s="130"/>
      <c r="U272" s="130"/>
      <c r="V272" s="168"/>
      <c r="W272" s="168"/>
      <c r="X272" s="180"/>
      <c r="Y272" s="168"/>
      <c r="Z272" s="169"/>
      <c r="AA272" s="168"/>
      <c r="AB272" s="134"/>
      <c r="AC272" s="135"/>
      <c r="AD272" s="135"/>
      <c r="AE272" s="135"/>
      <c r="AF272" s="135" t="str">
        <f aca="false">IF(ISBLANK($C272),"",IF(E272=Constants!$B$2,TRUE(),IF(E272=Constants!$B$3,FALSE(),TRUE())))</f>
        <v/>
      </c>
      <c r="AG272" s="135" t="str">
        <f aca="false">IF(ISBLANK($C272),"",IF(F272=Constants!$B$2,TRUE(),IF(F272=Constants!$B$3,FALSE(),TRUE())))</f>
        <v/>
      </c>
      <c r="AH272" s="135" t="str">
        <f aca="false">IF(ISBLANK($C272),"",IF(G272=Constants!$B$2,TRUE(),IF(G272=Constants!$B$3,FALSE(),TRUE())))</f>
        <v/>
      </c>
      <c r="AI272" s="135" t="str">
        <f aca="false">IF(ISBLANK($C272),"",IF(AND(ISNUMBER(H272),H272&gt;=0),H272,Constants!$B$24))</f>
        <v/>
      </c>
      <c r="AJ272" s="135" t="str">
        <f aca="false">IF(ISBLANK($C272),"",IF(I272=Constants!$B$2,TRUE(),IF(I272=Constants!$B$3,FALSE(),TRUE())))</f>
        <v/>
      </c>
      <c r="AK272" s="135" t="str">
        <f aca="false">IF(ISBLANK($C272),"",IF(J272=Constants!$B$2,TRUE(),IF(J272=Constants!$B$3,FALSE(),TRUE())))</f>
        <v/>
      </c>
      <c r="AL272" s="135" t="str">
        <f aca="false">IF(ISBLANK($C272),"",IF(K272=Constants!$B$4,TRUE(),IF(K272=Constants!$B$5,FALSE(),COUNTA(L272:P272)&gt;0)))</f>
        <v/>
      </c>
      <c r="AM272" s="136" t="str">
        <f aca="false">IF(ISBLANK($C272),"",IF(ISNUMBER(L272),IF(L272&gt;=0,L272,""),""))</f>
        <v/>
      </c>
      <c r="AN272" s="137" t="str">
        <f aca="false">IF(ISBLANK($C272),"",IF(ISNUMBER(M272),IF(M272&gt;=0,M272,""),""))</f>
        <v/>
      </c>
      <c r="AO272" s="137" t="str">
        <f aca="false">IF(ISBLANK($C272),"",IF(N272=Constants!$B$2,TRUE(),IF(N272=Constants!$B$3,FALSE(),TRUE())))</f>
        <v/>
      </c>
      <c r="AP272" s="135" t="str">
        <f aca="false">IF(ISBLANK($C272),"",IF(ISNUMBER(O272),IF(O272&gt;=0,O272,""),""))</f>
        <v/>
      </c>
      <c r="AQ272" s="135" t="str">
        <f aca="false">IF(ISBLANK($C272),"",IF(P272=Constants!$B$2,TRUE(),IF(P272=Constants!$B$3,FALSE(),FALSE())))</f>
        <v/>
      </c>
      <c r="AR272" s="135" t="str">
        <f aca="false">IF(ISBLANK($C272),"",IF(Q272=Constants!$B$2,TRUE(),IF(Q272=Constants!$B$3,FALSE(),TRUE())))</f>
        <v/>
      </c>
      <c r="AS272" s="135" t="str">
        <f aca="false">IF(ISBLANK($C272),"",IF(R272=Constants!$B$2,TRUE(),IF(R272=Constants!$B$3,FALSE(),TRUE())))</f>
        <v/>
      </c>
      <c r="AT272" s="135" t="str">
        <f aca="false">IF(ISBLANK($C272),"",IF(S272=Constants!$B$4,TRUE(),IF(S272=Constants!$B$5,FALSE(),COUNTA(T272:X272)&gt;0)))</f>
        <v/>
      </c>
      <c r="AU272" s="136" t="str">
        <f aca="false">IF(ISBLANK($C272),"",IF(ISNUMBER(T272),IF(T272&gt;=0,T272,""),""))</f>
        <v/>
      </c>
      <c r="AV272" s="137" t="str">
        <f aca="false">IF(ISBLANK($C272),"",IF(ISNUMBER(U272),IF(U272&gt;=0,U272,""),""))</f>
        <v/>
      </c>
      <c r="AW272" s="137" t="str">
        <f aca="false">IF(ISBLANK($C272),"",IF(V272=Constants!$B$2,TRUE(),IF(V272=Constants!$B$3,FALSE(),TRUE())))</f>
        <v/>
      </c>
      <c r="AX272" s="135" t="str">
        <f aca="false">IF(ISBLANK($C272),"",IF(ISNUMBER(W272),IF(W272&gt;=0,W272,""),""))</f>
        <v/>
      </c>
      <c r="AY272" s="135" t="str">
        <f aca="false">IF(ISBLANK($C272),"",IF(X272=Constants!$B$2,TRUE(),IF(X272=Constants!$B$3,FALSE(),FALSE())))</f>
        <v/>
      </c>
      <c r="AZ272" s="135" t="str">
        <f aca="false">IF(ISBLANK($C272),"",MIN(Constants!$B$25,MAX(0,IF(ISNUMBER(Y272),Y272*60,0)+IF(ISNUMBER(Z272),Z272,0))))</f>
        <v/>
      </c>
      <c r="BA272" s="135" t="str">
        <f aca="false">IF(ISBLANK($C272),"",IF(AA272=Constants!$B$2,TRUE(),IF(AA272=Constants!$B$3,FALSE(),FALSE())))</f>
        <v/>
      </c>
      <c r="BB272" s="134" t="str">
        <f aca="false">IF(ISBLANK($C272),"",AND($AL272,OR($AM272="",$AN272="",AND($AO272,$AP272=""))))</f>
        <v/>
      </c>
      <c r="BC272" s="137" t="str">
        <f aca="false">IF($BX272&lt;&gt;Constants!$B$6,"",IF($AL272,Constants!$B$17*$AN272+Constants!$B$18*IF($AO272,$AP272,Constants!$B$19),Constants!$B$20))</f>
        <v/>
      </c>
      <c r="BD272" s="138" t="str">
        <f aca="false">IF($BX272&lt;&gt;Constants!$B$6,"",Constants!$B$21*ABS($AD$9-IF($AL272,$AM272,0)))</f>
        <v/>
      </c>
      <c r="BE272" s="138" t="str">
        <f aca="false">IF($BX272&lt;&gt;Constants!$B$6,"",IF(AND($AL272,$AQ272,$AO272),Constants!$B$22,0))</f>
        <v/>
      </c>
      <c r="BF272" s="138" t="str">
        <f aca="false">IF($BX272&lt;&gt;Constants!$B$6,"",IF($AL272,($AI272-Constants!$B$24)*Constants!$B$23,0))</f>
        <v/>
      </c>
      <c r="BG272" s="138" t="str">
        <f aca="false">IF($BX272&lt;&gt;Constants!$B$6,"",IF($AK272,0,Constants!$B$12)+IF($AJ272,0,Constants!$B$13)+IF($AH272,0,Constants!$B$14))</f>
        <v/>
      </c>
      <c r="BH272" s="139" t="str">
        <f aca="false">IF($BX272&lt;&gt;Constants!$B$6,"",Constants!$B$16+SUM($BC272:$BG272))</f>
        <v/>
      </c>
      <c r="BI272" s="138" t="str">
        <f aca="false">IF($BX272&lt;&gt;Constants!$B$6,"",$BC272)</f>
        <v/>
      </c>
      <c r="BJ272" s="138" t="str">
        <f aca="false">IF($BX272&lt;&gt;Constants!$B$6,"",$BD272)</f>
        <v/>
      </c>
      <c r="BK272" s="140" t="str">
        <f aca="false">IF($BX272&lt;&gt;Constants!$B$6,"",IF($AL272,$AN272,""))</f>
        <v/>
      </c>
      <c r="BL272" s="135" t="str">
        <f aca="false">IF($BX272&lt;&gt;Constants!$B$6,"",IF(OR($BS272&lt;$BH272,AND($BS272=$BH272,OR($BT272&lt;$BI272,AND($BT272=$BI272,OR($BU272&lt;$BJ272,AND($BU272=$BJ272,AND(ISNUMBER($BV272),OR(NOT(ISNUMBER($BK272)),$BV272&lt;$BK272)))))))),"-&gt;","&lt;-"))</f>
        <v/>
      </c>
      <c r="BM272" s="134" t="str">
        <f aca="false">IF(ISBLANK($C272),"",AND($AT272,OR($AU272="",$AV272="",AND($AW272,$AX272=""))))</f>
        <v/>
      </c>
      <c r="BN272" s="137" t="str">
        <f aca="false">IF($BX272&lt;&gt;Constants!$B$6,"",IF($AT272,Constants!$B$17*$AV272+Constants!$B$18*IF($AW272,$AX272,Constants!$B$19),Constants!$B$20))</f>
        <v/>
      </c>
      <c r="BO272" s="138" t="str">
        <f aca="false">IF($BX272&lt;&gt;Constants!$B$6,"",Constants!$B$21*ABS($AD$9-IF($AT272,$AU272,0)))</f>
        <v/>
      </c>
      <c r="BP272" s="138" t="str">
        <f aca="false">IF($BX272&lt;&gt;Constants!$B$6,"",IF(AND($AT272,$AY272,$AW272),Constants!$B$22,0))</f>
        <v/>
      </c>
      <c r="BQ272" s="138" t="str">
        <f aca="false">IF($BX272&lt;&gt;Constants!$B$6,"",IF($AT272,($AI272-Constants!$B$24)*Constants!$B$23,0))</f>
        <v/>
      </c>
      <c r="BR272" s="138" t="str">
        <f aca="false">IF($BX272&lt;&gt;Constants!$B$6,"",IF($AS272,0,Constants!$B$12)+IF($AR272,0,Constants!$B$13)+IF($AH272,0,Constants!$B$14))</f>
        <v/>
      </c>
      <c r="BS272" s="139" t="str">
        <f aca="false">IF($BX272&lt;&gt;Constants!$B$6,"",Constants!$B$16+SUM($BN272:$BR272))</f>
        <v/>
      </c>
      <c r="BT272" s="138" t="str">
        <f aca="false">IF($BX272&lt;&gt;Constants!$B$6,"",$BN272)</f>
        <v/>
      </c>
      <c r="BU272" s="138" t="str">
        <f aca="false">IF($BX272&lt;&gt;Constants!$B$6,"",$BO272)</f>
        <v/>
      </c>
      <c r="BV272" s="140" t="str">
        <f aca="false">IF($BX272&lt;&gt;Constants!$B$6,"",IF($AT272,$AV272,""))</f>
        <v/>
      </c>
      <c r="BW272" s="135" t="str">
        <f aca="false">IF(ISBLANK($C272),"",IF(ISBLANK($D$7),$BW$5,IF(NOT(ISNUMBER($D$7)),$BW$6,"")))</f>
        <v/>
      </c>
      <c r="BX272" s="135" t="str">
        <f aca="false">IF(ISBLANK($C272),"",IF($BA272,Constants!$B$9,IF(COUNTA($E272:$AA272)=0,Constants!$B$8,IF(NOT($AG272),Constants!$B$7,IF(OR($BW272&lt;&gt;"",$BB272,$BM272),Constants!$B$10,Constants!$B$6)))))</f>
        <v/>
      </c>
      <c r="BY272" s="135" t="str">
        <f aca="false">IF(ISBLANK($C272),"",IF($BX272&lt;&gt;Constants!$B$6,$BX272,Constants!$B$11))</f>
        <v/>
      </c>
      <c r="BZ272" s="138" t="str">
        <f aca="false">IF($BX272&lt;&gt;Constants!$B$6,"",IF($BL272="-&gt;",$BS272,$BH272))</f>
        <v/>
      </c>
      <c r="CA272" s="138" t="str">
        <f aca="false">IF($BX272&lt;&gt;Constants!$B$6,"",IF($AF272,0,Constants!$B$15))</f>
        <v/>
      </c>
      <c r="CB272" s="138" t="str">
        <f aca="false">IF($BX272&lt;&gt;Constants!$B$6,"",((Constants!$B$25-$AZ272)-Constants!$B$25)/Constants!$B$26)</f>
        <v/>
      </c>
      <c r="CC272" s="138" t="str">
        <f aca="false">IF(ISBLANK($C272),"",IF($BX272&lt;&gt;Constants!$B$6,$BX272,SUM($BZ272:$CB272)))</f>
        <v/>
      </c>
      <c r="CD272" s="135" t="str">
        <f aca="false">IF(ISBLANK($C272),"",IF($BX272&lt;&gt;Constants!$B$6,$BX272,RANK($CC272,$CC$9:$CC$508,1)))</f>
        <v/>
      </c>
      <c r="CE272" s="138" t="str">
        <f aca="false">IF($BX272&lt;&gt;Constants!$B$6,"",IF($BL272="-&gt;",$BT272,$BI272))</f>
        <v/>
      </c>
      <c r="CF272" s="135" t="str">
        <f aca="false">IF(ISBLANK($C272),"",IF($BX272&lt;&gt;Constants!$B$6,$BX272,IF(ISNUMBER($CE272),RANK($CE272,$CE$9:$CE$508,1),COUNT($CE$9:$CE$508)+1)))</f>
        <v/>
      </c>
      <c r="CG272" s="138" t="str">
        <f aca="false">IF($BX272&lt;&gt;Constants!$B$6,"",IF($BL272="-&gt;",$BU272,$BJ272))</f>
        <v/>
      </c>
      <c r="CH272" s="135" t="str">
        <f aca="false">IF(ISBLANK($C272),"",IF($BX272&lt;&gt;Constants!$B$6,$BX272,IF(ISNUMBER($CG272),RANK($CG272,$CG$9:$CG$508,1),COUNT($CG$9:$CG$508)+1)))</f>
        <v/>
      </c>
      <c r="CI272" s="138" t="str">
        <f aca="false">IF($BX272&lt;&gt;Constants!$B$6,"",IF($BL272="-&gt;",$BV272,$BK272))</f>
        <v/>
      </c>
      <c r="CJ272" s="135" t="str">
        <f aca="false">IF(ISBLANK($C272),"",IF($BX272&lt;&gt;Constants!$B$6,$BX272,IF(ISNUMBER($CI272),RANK($CI272,$CI$9:$CI$508,1),COUNT($CI$9:$CI$508)+1)))</f>
        <v/>
      </c>
      <c r="CK272" s="138" t="str">
        <f aca="false">IF($BX272&lt;&gt;Constants!$B$6,"",$AI272)</f>
        <v/>
      </c>
      <c r="CL272" s="135" t="str">
        <f aca="false">IF(ISBLANK($C272),"",IF($BX272&lt;&gt;Constants!$B$6,$BX272,IF(ISNUMBER($CK272),RANK($CK272,$CK$9:$CK$508,1),COUNT($CK$9:$CK$508)+1)))</f>
        <v/>
      </c>
      <c r="CM272" s="135" t="str">
        <f aca="false">IF(ISBLANK($C272),"",IF($BX272&lt;&gt;Constants!$B$6,$BX272,COUNTIFS($CD$9:$CD$508,"&lt;"&amp;$CD272)+COUNTIFS($CD$9:$CD$508,$CD272,$CF$9:$CF$508,"&lt;"&amp;$CF272)+COUNTIFS($CD$9:$CD$508,$CD272,$CF$9:$CF$508,$CF272,$CH$9:$CH$508,"&lt;"&amp;$CH272)+COUNTIFS($CD$9:$CD$508,$CD272,$CF$9:$CF$508,$CF272,$CH$9:$CH$508,$CH272,$CJ$9:$CJ$508,"&lt;"&amp;$CJ272)+COUNTIFS($CD$9:$CD$508,$CD272,$CF$9:$CF$508,$CF272,$CH$9:$CH$508,$CH272,$CJ$9:$CJ$508,$CJ272,$CL$9:$CL$508,"&lt;"&amp;$CL272)+1))</f>
        <v/>
      </c>
      <c r="CN272" s="135" t="str">
        <f aca="false">IF(ISBLANK($C272),"",IF($BX272&lt;&gt;Constants!$B$6,$BX272,$CD272-$CM272))</f>
        <v/>
      </c>
      <c r="CO272" s="141"/>
      <c r="CP272" s="142"/>
      <c r="CQ272" s="143" t="str">
        <f aca="false">IF(ISBLANK($C272),"",IF($BX272=Constants!$B$10,$BW272,""))</f>
        <v/>
      </c>
      <c r="CR272" s="142" t="str">
        <f aca="false">IF(ISBLANK($C272),"",IF($BX272&lt;&gt;Constants!$B$6,"",IF($BL272="-&gt;",2,1)))</f>
        <v/>
      </c>
      <c r="CS272" s="144" t="str">
        <f aca="false">IF(ISBLANK($C272),"",IF($BX272&lt;&gt;Constants!$B$6,"",IF($BL272="-&gt;",$BN272,$BC272)))</f>
        <v/>
      </c>
      <c r="CT272" s="144" t="str">
        <f aca="false">IF(ISBLANK($C272),"",IF($BX272&lt;&gt;Constants!$B$6,"",IF($BL272="-&gt;",$BO272,$BD272)))</f>
        <v/>
      </c>
      <c r="CU272" s="144" t="str">
        <f aca="false">IF(ISBLANK($C272),"",IF($BX272&lt;&gt;Constants!$B$6,"",IF($BL272="-&gt;",$BP272+$BQ272,$BE272+$BF272)+$CB272))</f>
        <v/>
      </c>
      <c r="CV272" s="144" t="str">
        <f aca="false">IF(ISBLANK($C272),"",IF($BX272&lt;&gt;Constants!$B$6,"",IF($BL272="-&gt;",$BR272,$BG272)+$CA272))</f>
        <v/>
      </c>
      <c r="CW272" s="145" t="str">
        <f aca="false">IF(ISBLANK($C272),"",IF($BX272&lt;&gt;Constants!$B$6,$BX272,$CC272))</f>
        <v/>
      </c>
      <c r="CX272" s="146" t="str">
        <f aca="false">IF(ISBLANK($C272),"",$BY272)</f>
        <v/>
      </c>
      <c r="CY272" s="147" t="str">
        <f aca="false">IF(ISBLANK($C272),"",$CN272)</f>
        <v/>
      </c>
      <c r="CZ272" s="147" t="str">
        <f aca="false">IF(ISBLANK($C272),"",$CM272)</f>
        <v/>
      </c>
      <c r="DA272" s="148" t="str">
        <f aca="false">IF(ISBLANK($C272),"",IFERROR(_xlfn.SWITCH($CZ272,Constants!$B$9,COUNTA($C$9:$C$508)+2,Constants!$B$8,COUNTA($C$9:$C$508)+1,Constants!$B$7,COUNTA($C$9:$C$508)),$CZ272))</f>
        <v/>
      </c>
      <c r="DB272" s="9"/>
      <c r="DC272" s="149" t="n">
        <f aca="false">IF(OR(ISNUMBER($CZ272),$CZ272=Constants!$B$9,$CZ272=Constants!$B$7,$CZ272=Constants!$B$8),1,0)</f>
        <v>0</v>
      </c>
      <c r="DD272" s="149" t="n">
        <v>264</v>
      </c>
      <c r="DE272" s="149" t="str">
        <f aca="false">IF(ISBLANK($C272),"",IF(ISNUMBER($DA272),$DA272+ROW($B272)/1000,""))</f>
        <v/>
      </c>
      <c r="DF272" s="149" t="str">
        <f aca="false">IF(ISNUMBER($DE272),RANK($DE272,$DE$9:$DE$508,1),"")</f>
        <v/>
      </c>
      <c r="DG272" s="149" t="str">
        <f aca="false">IF(ISBLANK($C272),"",$B272)</f>
        <v/>
      </c>
      <c r="DH272" s="149" t="str">
        <f aca="false">IF(ISBLANK($C272),"",$C272)</f>
        <v/>
      </c>
      <c r="DI272" s="149" t="str">
        <f aca="false">IF(ISBLANK($C272),"",$D272)</f>
        <v/>
      </c>
      <c r="DJ272" s="150" t="str">
        <f aca="false">$CX272</f>
        <v/>
      </c>
      <c r="DK272" s="151" t="str">
        <f aca="false">$CW272</f>
        <v/>
      </c>
      <c r="DL272" s="149" t="str">
        <f aca="false">IF(ISBLANK($C272),"",$CZ272)</f>
        <v/>
      </c>
      <c r="DM272" s="152" t="str">
        <f aca="false">IF($DD272&gt;$DC$8,"",VLOOKUP($DD272,$DF$9:$DL$508,7,FALSE()))</f>
        <v/>
      </c>
      <c r="DN272" s="153" t="str">
        <f aca="false">IF($DD272&gt;$DC$8,"",VLOOKUP($DD272,$DF$9:$DL$508,2,FALSE()))</f>
        <v/>
      </c>
      <c r="DO272" s="153" t="str">
        <f aca="false">IF($DD272&gt;$DC$8,"",VLOOKUP($DD272,$DF$9:$DL$508,3,FALSE()))</f>
        <v/>
      </c>
      <c r="DP272" s="153" t="str">
        <f aca="false">IF($DD272&gt;$DC$8,"",VLOOKUP($DD272,$DF$9:$DL$508,4,FALSE()))</f>
        <v/>
      </c>
      <c r="DQ272" s="153" t="str">
        <f aca="false">IF($DD272&gt;$DC$8,"",VLOOKUP($DD272,$DF$9:$DL$508,5,FALSE()))</f>
        <v/>
      </c>
      <c r="DR272" s="154" t="str">
        <f aca="false">IF($DD272&gt;$DC$8,"",VLOOKUP($DD272,$DF$9:$DL$508,6,FALSE()))</f>
        <v/>
      </c>
      <c r="DS272" s="76"/>
    </row>
    <row r="273" customFormat="false" ht="15.75" hidden="false" customHeight="false" outlineLevel="0" collapsed="false">
      <c r="A273" s="9"/>
      <c r="B273" s="78"/>
      <c r="C273" s="79"/>
      <c r="D273" s="170"/>
      <c r="E273" s="178"/>
      <c r="F273" s="172"/>
      <c r="G273" s="173"/>
      <c r="H273" s="173"/>
      <c r="I273" s="179"/>
      <c r="J273" s="176"/>
      <c r="K273" s="86"/>
      <c r="L273" s="87"/>
      <c r="M273" s="88"/>
      <c r="N273" s="176"/>
      <c r="O273" s="176"/>
      <c r="P273" s="178"/>
      <c r="Q273" s="176"/>
      <c r="R273" s="176"/>
      <c r="S273" s="86"/>
      <c r="T273" s="88"/>
      <c r="U273" s="88"/>
      <c r="V273" s="176"/>
      <c r="W273" s="176"/>
      <c r="X273" s="178"/>
      <c r="Y273" s="176"/>
      <c r="Z273" s="177"/>
      <c r="AA273" s="176"/>
      <c r="AB273" s="92"/>
      <c r="AC273" s="93"/>
      <c r="AD273" s="93"/>
      <c r="AE273" s="93"/>
      <c r="AF273" s="93" t="str">
        <f aca="false">IF(ISBLANK($C273),"",IF(E273=Constants!$B$2,TRUE(),IF(E273=Constants!$B$3,FALSE(),TRUE())))</f>
        <v/>
      </c>
      <c r="AG273" s="93" t="str">
        <f aca="false">IF(ISBLANK($C273),"",IF(F273=Constants!$B$2,TRUE(),IF(F273=Constants!$B$3,FALSE(),TRUE())))</f>
        <v/>
      </c>
      <c r="AH273" s="93" t="str">
        <f aca="false">IF(ISBLANK($C273),"",IF(G273=Constants!$B$2,TRUE(),IF(G273=Constants!$B$3,FALSE(),TRUE())))</f>
        <v/>
      </c>
      <c r="AI273" s="93" t="str">
        <f aca="false">IF(ISBLANK($C273),"",IF(AND(ISNUMBER(H273),H273&gt;=0),H273,Constants!$B$24))</f>
        <v/>
      </c>
      <c r="AJ273" s="93" t="str">
        <f aca="false">IF(ISBLANK($C273),"",IF(I273=Constants!$B$2,TRUE(),IF(I273=Constants!$B$3,FALSE(),TRUE())))</f>
        <v/>
      </c>
      <c r="AK273" s="93" t="str">
        <f aca="false">IF(ISBLANK($C273),"",IF(J273=Constants!$B$2,TRUE(),IF(J273=Constants!$B$3,FALSE(),TRUE())))</f>
        <v/>
      </c>
      <c r="AL273" s="93" t="str">
        <f aca="false">IF(ISBLANK($C273),"",IF(K273=Constants!$B$4,TRUE(),IF(K273=Constants!$B$5,FALSE(),COUNTA(L273:P273)&gt;0)))</f>
        <v/>
      </c>
      <c r="AM273" s="95" t="str">
        <f aca="false">IF(ISBLANK($C273),"",IF(ISNUMBER(L273),IF(L273&gt;=0,L273,""),""))</f>
        <v/>
      </c>
      <c r="AN273" s="94" t="str">
        <f aca="false">IF(ISBLANK($C273),"",IF(ISNUMBER(M273),IF(M273&gt;=0,M273,""),""))</f>
        <v/>
      </c>
      <c r="AO273" s="94" t="str">
        <f aca="false">IF(ISBLANK($C273),"",IF(N273=Constants!$B$2,TRUE(),IF(N273=Constants!$B$3,FALSE(),TRUE())))</f>
        <v/>
      </c>
      <c r="AP273" s="93" t="str">
        <f aca="false">IF(ISBLANK($C273),"",IF(ISNUMBER(O273),IF(O273&gt;=0,O273,""),""))</f>
        <v/>
      </c>
      <c r="AQ273" s="93" t="str">
        <f aca="false">IF(ISBLANK($C273),"",IF(P273=Constants!$B$2,TRUE(),IF(P273=Constants!$B$3,FALSE(),FALSE())))</f>
        <v/>
      </c>
      <c r="AR273" s="93" t="str">
        <f aca="false">IF(ISBLANK($C273),"",IF(Q273=Constants!$B$2,TRUE(),IF(Q273=Constants!$B$3,FALSE(),TRUE())))</f>
        <v/>
      </c>
      <c r="AS273" s="93" t="str">
        <f aca="false">IF(ISBLANK($C273),"",IF(R273=Constants!$B$2,TRUE(),IF(R273=Constants!$B$3,FALSE(),TRUE())))</f>
        <v/>
      </c>
      <c r="AT273" s="93" t="str">
        <f aca="false">IF(ISBLANK($C273),"",IF(S273=Constants!$B$4,TRUE(),IF(S273=Constants!$B$5,FALSE(),COUNTA(T273:X273)&gt;0)))</f>
        <v/>
      </c>
      <c r="AU273" s="95" t="str">
        <f aca="false">IF(ISBLANK($C273),"",IF(ISNUMBER(T273),IF(T273&gt;=0,T273,""),""))</f>
        <v/>
      </c>
      <c r="AV273" s="94" t="str">
        <f aca="false">IF(ISBLANK($C273),"",IF(ISNUMBER(U273),IF(U273&gt;=0,U273,""),""))</f>
        <v/>
      </c>
      <c r="AW273" s="94" t="str">
        <f aca="false">IF(ISBLANK($C273),"",IF(V273=Constants!$B$2,TRUE(),IF(V273=Constants!$B$3,FALSE(),TRUE())))</f>
        <v/>
      </c>
      <c r="AX273" s="93" t="str">
        <f aca="false">IF(ISBLANK($C273),"",IF(ISNUMBER(W273),IF(W273&gt;=0,W273,""),""))</f>
        <v/>
      </c>
      <c r="AY273" s="93" t="str">
        <f aca="false">IF(ISBLANK($C273),"",IF(X273=Constants!$B$2,TRUE(),IF(X273=Constants!$B$3,FALSE(),FALSE())))</f>
        <v/>
      </c>
      <c r="AZ273" s="93" t="str">
        <f aca="false">IF(ISBLANK($C273),"",MIN(Constants!$B$25,MAX(0,IF(ISNUMBER(Y273),Y273*60,0)+IF(ISNUMBER(Z273),Z273,0))))</f>
        <v/>
      </c>
      <c r="BA273" s="93" t="str">
        <f aca="false">IF(ISBLANK($C273),"",IF(AA273=Constants!$B$2,TRUE(),IF(AA273=Constants!$B$3,FALSE(),FALSE())))</f>
        <v/>
      </c>
      <c r="BB273" s="92" t="str">
        <f aca="false">IF(ISBLANK($C273),"",AND($AL273,OR($AM273="",$AN273="",AND($AO273,$AP273=""))))</f>
        <v/>
      </c>
      <c r="BC273" s="94" t="str">
        <f aca="false">IF($BX273&lt;&gt;Constants!$B$6,"",IF($AL273,Constants!$B$17*$AN273+Constants!$B$18*IF($AO273,$AP273,Constants!$B$19),Constants!$B$20))</f>
        <v/>
      </c>
      <c r="BD273" s="97" t="str">
        <f aca="false">IF($BX273&lt;&gt;Constants!$B$6,"",Constants!$B$21*ABS($AD$9-IF($AL273,$AM273,0)))</f>
        <v/>
      </c>
      <c r="BE273" s="97" t="str">
        <f aca="false">IF($BX273&lt;&gt;Constants!$B$6,"",IF(AND($AL273,$AQ273,$AO273),Constants!$B$22,0))</f>
        <v/>
      </c>
      <c r="BF273" s="97" t="str">
        <f aca="false">IF($BX273&lt;&gt;Constants!$B$6,"",IF($AL273,($AI273-Constants!$B$24)*Constants!$B$23,0))</f>
        <v/>
      </c>
      <c r="BG273" s="97" t="str">
        <f aca="false">IF($BX273&lt;&gt;Constants!$B$6,"",IF($AK273,0,Constants!$B$12)+IF($AJ273,0,Constants!$B$13)+IF($AH273,0,Constants!$B$14))</f>
        <v/>
      </c>
      <c r="BH273" s="98" t="str">
        <f aca="false">IF($BX273&lt;&gt;Constants!$B$6,"",Constants!$B$16+SUM($BC273:$BG273))</f>
        <v/>
      </c>
      <c r="BI273" s="97" t="str">
        <f aca="false">IF($BX273&lt;&gt;Constants!$B$6,"",$BC273)</f>
        <v/>
      </c>
      <c r="BJ273" s="97" t="str">
        <f aca="false">IF($BX273&lt;&gt;Constants!$B$6,"",$BD273)</f>
        <v/>
      </c>
      <c r="BK273" s="99" t="str">
        <f aca="false">IF($BX273&lt;&gt;Constants!$B$6,"",IF($AL273,$AN273,""))</f>
        <v/>
      </c>
      <c r="BL273" s="93" t="str">
        <f aca="false">IF($BX273&lt;&gt;Constants!$B$6,"",IF(OR($BS273&lt;$BH273,AND($BS273=$BH273,OR($BT273&lt;$BI273,AND($BT273=$BI273,OR($BU273&lt;$BJ273,AND($BU273=$BJ273,AND(ISNUMBER($BV273),OR(NOT(ISNUMBER($BK273)),$BV273&lt;$BK273)))))))),"-&gt;","&lt;-"))</f>
        <v/>
      </c>
      <c r="BM273" s="92" t="str">
        <f aca="false">IF(ISBLANK($C273),"",AND($AT273,OR($AU273="",$AV273="",AND($AW273,$AX273=""))))</f>
        <v/>
      </c>
      <c r="BN273" s="94" t="str">
        <f aca="false">IF($BX273&lt;&gt;Constants!$B$6,"",IF($AT273,Constants!$B$17*$AV273+Constants!$B$18*IF($AW273,$AX273,Constants!$B$19),Constants!$B$20))</f>
        <v/>
      </c>
      <c r="BO273" s="97" t="str">
        <f aca="false">IF($BX273&lt;&gt;Constants!$B$6,"",Constants!$B$21*ABS($AD$9-IF($AT273,$AU273,0)))</f>
        <v/>
      </c>
      <c r="BP273" s="97" t="str">
        <f aca="false">IF($BX273&lt;&gt;Constants!$B$6,"",IF(AND($AT273,$AY273,$AW273),Constants!$B$22,0))</f>
        <v/>
      </c>
      <c r="BQ273" s="97" t="str">
        <f aca="false">IF($BX273&lt;&gt;Constants!$B$6,"",IF($AT273,($AI273-Constants!$B$24)*Constants!$B$23,0))</f>
        <v/>
      </c>
      <c r="BR273" s="97" t="str">
        <f aca="false">IF($BX273&lt;&gt;Constants!$B$6,"",IF($AS273,0,Constants!$B$12)+IF($AR273,0,Constants!$B$13)+IF($AH273,0,Constants!$B$14))</f>
        <v/>
      </c>
      <c r="BS273" s="98" t="str">
        <f aca="false">IF($BX273&lt;&gt;Constants!$B$6,"",Constants!$B$16+SUM($BN273:$BR273))</f>
        <v/>
      </c>
      <c r="BT273" s="97" t="str">
        <f aca="false">IF($BX273&lt;&gt;Constants!$B$6,"",$BN273)</f>
        <v/>
      </c>
      <c r="BU273" s="97" t="str">
        <f aca="false">IF($BX273&lt;&gt;Constants!$B$6,"",$BO273)</f>
        <v/>
      </c>
      <c r="BV273" s="99" t="str">
        <f aca="false">IF($BX273&lt;&gt;Constants!$B$6,"",IF($AT273,$AV273,""))</f>
        <v/>
      </c>
      <c r="BW273" s="93" t="str">
        <f aca="false">IF(ISBLANK($C273),"",IF(ISBLANK($D$7),$BW$5,IF(NOT(ISNUMBER($D$7)),$BW$6,"")))</f>
        <v/>
      </c>
      <c r="BX273" s="93" t="str">
        <f aca="false">IF(ISBLANK($C273),"",IF($BA273,Constants!$B$9,IF(COUNTA($E273:$AA273)=0,Constants!$B$8,IF(NOT($AG273),Constants!$B$7,IF(OR($BW273&lt;&gt;"",$BB273,$BM273),Constants!$B$10,Constants!$B$6)))))</f>
        <v/>
      </c>
      <c r="BY273" s="93" t="str">
        <f aca="false">IF(ISBLANK($C273),"",IF($BX273&lt;&gt;Constants!$B$6,$BX273,Constants!$B$11))</f>
        <v/>
      </c>
      <c r="BZ273" s="97" t="str">
        <f aca="false">IF($BX273&lt;&gt;Constants!$B$6,"",IF($BL273="-&gt;",$BS273,$BH273))</f>
        <v/>
      </c>
      <c r="CA273" s="97" t="str">
        <f aca="false">IF($BX273&lt;&gt;Constants!$B$6,"",IF($AF273,0,Constants!$B$15))</f>
        <v/>
      </c>
      <c r="CB273" s="97" t="str">
        <f aca="false">IF($BX273&lt;&gt;Constants!$B$6,"",((Constants!$B$25-$AZ273)-Constants!$B$25)/Constants!$B$26)</f>
        <v/>
      </c>
      <c r="CC273" s="97" t="str">
        <f aca="false">IF(ISBLANK($C273),"",IF($BX273&lt;&gt;Constants!$B$6,$BX273,SUM($BZ273:$CB273)))</f>
        <v/>
      </c>
      <c r="CD273" s="93" t="str">
        <f aca="false">IF(ISBLANK($C273),"",IF($BX273&lt;&gt;Constants!$B$6,$BX273,RANK($CC273,$CC$9:$CC$508,1)))</f>
        <v/>
      </c>
      <c r="CE273" s="97" t="str">
        <f aca="false">IF($BX273&lt;&gt;Constants!$B$6,"",IF($BL273="-&gt;",$BT273,$BI273))</f>
        <v/>
      </c>
      <c r="CF273" s="93" t="str">
        <f aca="false">IF(ISBLANK($C273),"",IF($BX273&lt;&gt;Constants!$B$6,$BX273,IF(ISNUMBER($CE273),RANK($CE273,$CE$9:$CE$508,1),COUNT($CE$9:$CE$508)+1)))</f>
        <v/>
      </c>
      <c r="CG273" s="97" t="str">
        <f aca="false">IF($BX273&lt;&gt;Constants!$B$6,"",IF($BL273="-&gt;",$BU273,$BJ273))</f>
        <v/>
      </c>
      <c r="CH273" s="93" t="str">
        <f aca="false">IF(ISBLANK($C273),"",IF($BX273&lt;&gt;Constants!$B$6,$BX273,IF(ISNUMBER($CG273),RANK($CG273,$CG$9:$CG$508,1),COUNT($CG$9:$CG$508)+1)))</f>
        <v/>
      </c>
      <c r="CI273" s="97" t="str">
        <f aca="false">IF($BX273&lt;&gt;Constants!$B$6,"",IF($BL273="-&gt;",$BV273,$BK273))</f>
        <v/>
      </c>
      <c r="CJ273" s="93" t="str">
        <f aca="false">IF(ISBLANK($C273),"",IF($BX273&lt;&gt;Constants!$B$6,$BX273,IF(ISNUMBER($CI273),RANK($CI273,$CI$9:$CI$508,1),COUNT($CI$9:$CI$508)+1)))</f>
        <v/>
      </c>
      <c r="CK273" s="97" t="str">
        <f aca="false">IF($BX273&lt;&gt;Constants!$B$6,"",$AI273)</f>
        <v/>
      </c>
      <c r="CL273" s="93" t="str">
        <f aca="false">IF(ISBLANK($C273),"",IF($BX273&lt;&gt;Constants!$B$6,$BX273,IF(ISNUMBER($CK273),RANK($CK273,$CK$9:$CK$508,1),COUNT($CK$9:$CK$508)+1)))</f>
        <v/>
      </c>
      <c r="CM273" s="93" t="str">
        <f aca="false">IF(ISBLANK($C273),"",IF($BX273&lt;&gt;Constants!$B$6,$BX273,COUNTIFS($CD$9:$CD$508,"&lt;"&amp;$CD273)+COUNTIFS($CD$9:$CD$508,$CD273,$CF$9:$CF$508,"&lt;"&amp;$CF273)+COUNTIFS($CD$9:$CD$508,$CD273,$CF$9:$CF$508,$CF273,$CH$9:$CH$508,"&lt;"&amp;$CH273)+COUNTIFS($CD$9:$CD$508,$CD273,$CF$9:$CF$508,$CF273,$CH$9:$CH$508,$CH273,$CJ$9:$CJ$508,"&lt;"&amp;$CJ273)+COUNTIFS($CD$9:$CD$508,$CD273,$CF$9:$CF$508,$CF273,$CH$9:$CH$508,$CH273,$CJ$9:$CJ$508,$CJ273,$CL$9:$CL$508,"&lt;"&amp;$CL273)+1))</f>
        <v/>
      </c>
      <c r="CN273" s="93" t="str">
        <f aca="false">IF(ISBLANK($C273),"",IF($BX273&lt;&gt;Constants!$B$6,$BX273,$CD273-$CM273))</f>
        <v/>
      </c>
      <c r="CO273" s="100"/>
      <c r="CP273" s="101"/>
      <c r="CQ273" s="102" t="str">
        <f aca="false">IF(ISBLANK($C273),"",IF($BX273=Constants!$B$10,$BW273,""))</f>
        <v/>
      </c>
      <c r="CR273" s="101" t="str">
        <f aca="false">IF(ISBLANK($C273),"",IF($BX273&lt;&gt;Constants!$B$6,"",IF($BL273="-&gt;",2,1)))</f>
        <v/>
      </c>
      <c r="CS273" s="103" t="str">
        <f aca="false">IF(ISBLANK($C273),"",IF($BX273&lt;&gt;Constants!$B$6,"",IF($BL273="-&gt;",$BN273,$BC273)))</f>
        <v/>
      </c>
      <c r="CT273" s="103" t="str">
        <f aca="false">IF(ISBLANK($C273),"",IF($BX273&lt;&gt;Constants!$B$6,"",IF($BL273="-&gt;",$BO273,$BD273)))</f>
        <v/>
      </c>
      <c r="CU273" s="103" t="str">
        <f aca="false">IF(ISBLANK($C273),"",IF($BX273&lt;&gt;Constants!$B$6,"",IF($BL273="-&gt;",$BP273+$BQ273,$BE273+$BF273)+$CB273))</f>
        <v/>
      </c>
      <c r="CV273" s="103" t="str">
        <f aca="false">IF(ISBLANK($C273),"",IF($BX273&lt;&gt;Constants!$B$6,"",IF($BL273="-&gt;",$BR273,$BG273)+$CA273))</f>
        <v/>
      </c>
      <c r="CW273" s="104" t="str">
        <f aca="false">IF(ISBLANK($C273),"",IF($BX273&lt;&gt;Constants!$B$6,$BX273,$CC273))</f>
        <v/>
      </c>
      <c r="CX273" s="105" t="str">
        <f aca="false">IF(ISBLANK($C273),"",$BY273)</f>
        <v/>
      </c>
      <c r="CY273" s="106" t="str">
        <f aca="false">IF(ISBLANK($C273),"",$CN273)</f>
        <v/>
      </c>
      <c r="CZ273" s="106" t="str">
        <f aca="false">IF(ISBLANK($C273),"",$CM273)</f>
        <v/>
      </c>
      <c r="DA273" s="107" t="str">
        <f aca="false">IF(ISBLANK($C273),"",IFERROR(_xlfn.SWITCH($CZ273,Constants!$B$9,COUNTA($C$9:$C$508)+2,Constants!$B$8,COUNTA($C$9:$C$508)+1,Constants!$B$7,COUNTA($C$9:$C$508)),$CZ273))</f>
        <v/>
      </c>
      <c r="DB273" s="9"/>
      <c r="DC273" s="108" t="n">
        <f aca="false">IF(OR(ISNUMBER($CZ273),$CZ273=Constants!$B$9,$CZ273=Constants!$B$7,$CZ273=Constants!$B$8),1,0)</f>
        <v>0</v>
      </c>
      <c r="DD273" s="108" t="n">
        <v>265</v>
      </c>
      <c r="DE273" s="108" t="str">
        <f aca="false">IF(ISBLANK($C273),"",IF(ISNUMBER($DA273),$DA273+ROW($B273)/1000,""))</f>
        <v/>
      </c>
      <c r="DF273" s="108" t="str">
        <f aca="false">IF(ISNUMBER($DE273),RANK($DE273,$DE$9:$DE$508,1),"")</f>
        <v/>
      </c>
      <c r="DG273" s="108" t="str">
        <f aca="false">IF(ISBLANK($C273),"",$B273)</f>
        <v/>
      </c>
      <c r="DH273" s="108" t="str">
        <f aca="false">IF(ISBLANK($C273),"",$C273)</f>
        <v/>
      </c>
      <c r="DI273" s="108" t="str">
        <f aca="false">IF(ISBLANK($C273),"",$D273)</f>
        <v/>
      </c>
      <c r="DJ273" s="109" t="str">
        <f aca="false">$CX273</f>
        <v/>
      </c>
      <c r="DK273" s="110" t="str">
        <f aca="false">$CW273</f>
        <v/>
      </c>
      <c r="DL273" s="108" t="str">
        <f aca="false">IF(ISBLANK($C273),"",$CZ273)</f>
        <v/>
      </c>
      <c r="DM273" s="111" t="str">
        <f aca="false">IF($DD273&gt;$DC$8,"",VLOOKUP($DD273,$DF$9:$DL$508,7,FALSE()))</f>
        <v/>
      </c>
      <c r="DN273" s="112" t="str">
        <f aca="false">IF($DD273&gt;$DC$8,"",VLOOKUP($DD273,$DF$9:$DL$508,2,FALSE()))</f>
        <v/>
      </c>
      <c r="DO273" s="112" t="str">
        <f aca="false">IF($DD273&gt;$DC$8,"",VLOOKUP($DD273,$DF$9:$DL$508,3,FALSE()))</f>
        <v/>
      </c>
      <c r="DP273" s="112" t="str">
        <f aca="false">IF($DD273&gt;$DC$8,"",VLOOKUP($DD273,$DF$9:$DL$508,4,FALSE()))</f>
        <v/>
      </c>
      <c r="DQ273" s="112" t="str">
        <f aca="false">IF($DD273&gt;$DC$8,"",VLOOKUP($DD273,$DF$9:$DL$508,5,FALSE()))</f>
        <v/>
      </c>
      <c r="DR273" s="113" t="str">
        <f aca="false">IF($DD273&gt;$DC$8,"",VLOOKUP($DD273,$DF$9:$DL$508,6,FALSE()))</f>
        <v/>
      </c>
      <c r="DS273" s="76"/>
    </row>
    <row r="274" customFormat="false" ht="15.75" hidden="false" customHeight="false" outlineLevel="0" collapsed="false">
      <c r="A274" s="9"/>
      <c r="B274" s="78"/>
      <c r="C274" s="79"/>
      <c r="D274" s="170"/>
      <c r="E274" s="178"/>
      <c r="F274" s="172"/>
      <c r="G274" s="173"/>
      <c r="H274" s="173"/>
      <c r="I274" s="179"/>
      <c r="J274" s="176"/>
      <c r="K274" s="86"/>
      <c r="L274" s="87"/>
      <c r="M274" s="88"/>
      <c r="N274" s="176"/>
      <c r="O274" s="176"/>
      <c r="P274" s="178"/>
      <c r="Q274" s="176"/>
      <c r="R274" s="176"/>
      <c r="S274" s="86"/>
      <c r="T274" s="88"/>
      <c r="U274" s="88"/>
      <c r="V274" s="176"/>
      <c r="W274" s="176"/>
      <c r="X274" s="178"/>
      <c r="Y274" s="176"/>
      <c r="Z274" s="177"/>
      <c r="AA274" s="176"/>
      <c r="AB274" s="92"/>
      <c r="AC274" s="93"/>
      <c r="AD274" s="93"/>
      <c r="AE274" s="93"/>
      <c r="AF274" s="93" t="str">
        <f aca="false">IF(ISBLANK($C274),"",IF(E274=Constants!$B$2,TRUE(),IF(E274=Constants!$B$3,FALSE(),TRUE())))</f>
        <v/>
      </c>
      <c r="AG274" s="93" t="str">
        <f aca="false">IF(ISBLANK($C274),"",IF(F274=Constants!$B$2,TRUE(),IF(F274=Constants!$B$3,FALSE(),TRUE())))</f>
        <v/>
      </c>
      <c r="AH274" s="93" t="str">
        <f aca="false">IF(ISBLANK($C274),"",IF(G274=Constants!$B$2,TRUE(),IF(G274=Constants!$B$3,FALSE(),TRUE())))</f>
        <v/>
      </c>
      <c r="AI274" s="93" t="str">
        <f aca="false">IF(ISBLANK($C274),"",IF(AND(ISNUMBER(H274),H274&gt;=0),H274,Constants!$B$24))</f>
        <v/>
      </c>
      <c r="AJ274" s="93" t="str">
        <f aca="false">IF(ISBLANK($C274),"",IF(I274=Constants!$B$2,TRUE(),IF(I274=Constants!$B$3,FALSE(),TRUE())))</f>
        <v/>
      </c>
      <c r="AK274" s="93" t="str">
        <f aca="false">IF(ISBLANK($C274),"",IF(J274=Constants!$B$2,TRUE(),IF(J274=Constants!$B$3,FALSE(),TRUE())))</f>
        <v/>
      </c>
      <c r="AL274" s="93" t="str">
        <f aca="false">IF(ISBLANK($C274),"",IF(K274=Constants!$B$4,TRUE(),IF(K274=Constants!$B$5,FALSE(),COUNTA(L274:P274)&gt;0)))</f>
        <v/>
      </c>
      <c r="AM274" s="95" t="str">
        <f aca="false">IF(ISBLANK($C274),"",IF(ISNUMBER(L274),IF(L274&gt;=0,L274,""),""))</f>
        <v/>
      </c>
      <c r="AN274" s="94" t="str">
        <f aca="false">IF(ISBLANK($C274),"",IF(ISNUMBER(M274),IF(M274&gt;=0,M274,""),""))</f>
        <v/>
      </c>
      <c r="AO274" s="94" t="str">
        <f aca="false">IF(ISBLANK($C274),"",IF(N274=Constants!$B$2,TRUE(),IF(N274=Constants!$B$3,FALSE(),TRUE())))</f>
        <v/>
      </c>
      <c r="AP274" s="93" t="str">
        <f aca="false">IF(ISBLANK($C274),"",IF(ISNUMBER(O274),IF(O274&gt;=0,O274,""),""))</f>
        <v/>
      </c>
      <c r="AQ274" s="93" t="str">
        <f aca="false">IF(ISBLANK($C274),"",IF(P274=Constants!$B$2,TRUE(),IF(P274=Constants!$B$3,FALSE(),FALSE())))</f>
        <v/>
      </c>
      <c r="AR274" s="93" t="str">
        <f aca="false">IF(ISBLANK($C274),"",IF(Q274=Constants!$B$2,TRUE(),IF(Q274=Constants!$B$3,FALSE(),TRUE())))</f>
        <v/>
      </c>
      <c r="AS274" s="93" t="str">
        <f aca="false">IF(ISBLANK($C274),"",IF(R274=Constants!$B$2,TRUE(),IF(R274=Constants!$B$3,FALSE(),TRUE())))</f>
        <v/>
      </c>
      <c r="AT274" s="93" t="str">
        <f aca="false">IF(ISBLANK($C274),"",IF(S274=Constants!$B$4,TRUE(),IF(S274=Constants!$B$5,FALSE(),COUNTA(T274:X274)&gt;0)))</f>
        <v/>
      </c>
      <c r="AU274" s="95" t="str">
        <f aca="false">IF(ISBLANK($C274),"",IF(ISNUMBER(T274),IF(T274&gt;=0,T274,""),""))</f>
        <v/>
      </c>
      <c r="AV274" s="94" t="str">
        <f aca="false">IF(ISBLANK($C274),"",IF(ISNUMBER(U274),IF(U274&gt;=0,U274,""),""))</f>
        <v/>
      </c>
      <c r="AW274" s="94" t="str">
        <f aca="false">IF(ISBLANK($C274),"",IF(V274=Constants!$B$2,TRUE(),IF(V274=Constants!$B$3,FALSE(),TRUE())))</f>
        <v/>
      </c>
      <c r="AX274" s="93" t="str">
        <f aca="false">IF(ISBLANK($C274),"",IF(ISNUMBER(W274),IF(W274&gt;=0,W274,""),""))</f>
        <v/>
      </c>
      <c r="AY274" s="93" t="str">
        <f aca="false">IF(ISBLANK($C274),"",IF(X274=Constants!$B$2,TRUE(),IF(X274=Constants!$B$3,FALSE(),FALSE())))</f>
        <v/>
      </c>
      <c r="AZ274" s="93" t="str">
        <f aca="false">IF(ISBLANK($C274),"",MIN(Constants!$B$25,MAX(0,IF(ISNUMBER(Y274),Y274*60,0)+IF(ISNUMBER(Z274),Z274,0))))</f>
        <v/>
      </c>
      <c r="BA274" s="93" t="str">
        <f aca="false">IF(ISBLANK($C274),"",IF(AA274=Constants!$B$2,TRUE(),IF(AA274=Constants!$B$3,FALSE(),FALSE())))</f>
        <v/>
      </c>
      <c r="BB274" s="92" t="str">
        <f aca="false">IF(ISBLANK($C274),"",AND($AL274,OR($AM274="",$AN274="",AND($AO274,$AP274=""))))</f>
        <v/>
      </c>
      <c r="BC274" s="94" t="str">
        <f aca="false">IF($BX274&lt;&gt;Constants!$B$6,"",IF($AL274,Constants!$B$17*$AN274+Constants!$B$18*IF($AO274,$AP274,Constants!$B$19),Constants!$B$20))</f>
        <v/>
      </c>
      <c r="BD274" s="97" t="str">
        <f aca="false">IF($BX274&lt;&gt;Constants!$B$6,"",Constants!$B$21*ABS($AD$9-IF($AL274,$AM274,0)))</f>
        <v/>
      </c>
      <c r="BE274" s="97" t="str">
        <f aca="false">IF($BX274&lt;&gt;Constants!$B$6,"",IF(AND($AL274,$AQ274,$AO274),Constants!$B$22,0))</f>
        <v/>
      </c>
      <c r="BF274" s="97" t="str">
        <f aca="false">IF($BX274&lt;&gt;Constants!$B$6,"",IF($AL274,($AI274-Constants!$B$24)*Constants!$B$23,0))</f>
        <v/>
      </c>
      <c r="BG274" s="97" t="str">
        <f aca="false">IF($BX274&lt;&gt;Constants!$B$6,"",IF($AK274,0,Constants!$B$12)+IF($AJ274,0,Constants!$B$13)+IF($AH274,0,Constants!$B$14))</f>
        <v/>
      </c>
      <c r="BH274" s="98" t="str">
        <f aca="false">IF($BX274&lt;&gt;Constants!$B$6,"",Constants!$B$16+SUM($BC274:$BG274))</f>
        <v/>
      </c>
      <c r="BI274" s="97" t="str">
        <f aca="false">IF($BX274&lt;&gt;Constants!$B$6,"",$BC274)</f>
        <v/>
      </c>
      <c r="BJ274" s="97" t="str">
        <f aca="false">IF($BX274&lt;&gt;Constants!$B$6,"",$BD274)</f>
        <v/>
      </c>
      <c r="BK274" s="99" t="str">
        <f aca="false">IF($BX274&lt;&gt;Constants!$B$6,"",IF($AL274,$AN274,""))</f>
        <v/>
      </c>
      <c r="BL274" s="93" t="str">
        <f aca="false">IF($BX274&lt;&gt;Constants!$B$6,"",IF(OR($BS274&lt;$BH274,AND($BS274=$BH274,OR($BT274&lt;$BI274,AND($BT274=$BI274,OR($BU274&lt;$BJ274,AND($BU274=$BJ274,AND(ISNUMBER($BV274),OR(NOT(ISNUMBER($BK274)),$BV274&lt;$BK274)))))))),"-&gt;","&lt;-"))</f>
        <v/>
      </c>
      <c r="BM274" s="92" t="str">
        <f aca="false">IF(ISBLANK($C274),"",AND($AT274,OR($AU274="",$AV274="",AND($AW274,$AX274=""))))</f>
        <v/>
      </c>
      <c r="BN274" s="94" t="str">
        <f aca="false">IF($BX274&lt;&gt;Constants!$B$6,"",IF($AT274,Constants!$B$17*$AV274+Constants!$B$18*IF($AW274,$AX274,Constants!$B$19),Constants!$B$20))</f>
        <v/>
      </c>
      <c r="BO274" s="97" t="str">
        <f aca="false">IF($BX274&lt;&gt;Constants!$B$6,"",Constants!$B$21*ABS($AD$9-IF($AT274,$AU274,0)))</f>
        <v/>
      </c>
      <c r="BP274" s="97" t="str">
        <f aca="false">IF($BX274&lt;&gt;Constants!$B$6,"",IF(AND($AT274,$AY274,$AW274),Constants!$B$22,0))</f>
        <v/>
      </c>
      <c r="BQ274" s="97" t="str">
        <f aca="false">IF($BX274&lt;&gt;Constants!$B$6,"",IF($AT274,($AI274-Constants!$B$24)*Constants!$B$23,0))</f>
        <v/>
      </c>
      <c r="BR274" s="97" t="str">
        <f aca="false">IF($BX274&lt;&gt;Constants!$B$6,"",IF($AS274,0,Constants!$B$12)+IF($AR274,0,Constants!$B$13)+IF($AH274,0,Constants!$B$14))</f>
        <v/>
      </c>
      <c r="BS274" s="98" t="str">
        <f aca="false">IF($BX274&lt;&gt;Constants!$B$6,"",Constants!$B$16+SUM($BN274:$BR274))</f>
        <v/>
      </c>
      <c r="BT274" s="97" t="str">
        <f aca="false">IF($BX274&lt;&gt;Constants!$B$6,"",$BN274)</f>
        <v/>
      </c>
      <c r="BU274" s="97" t="str">
        <f aca="false">IF($BX274&lt;&gt;Constants!$B$6,"",$BO274)</f>
        <v/>
      </c>
      <c r="BV274" s="99" t="str">
        <f aca="false">IF($BX274&lt;&gt;Constants!$B$6,"",IF($AT274,$AV274,""))</f>
        <v/>
      </c>
      <c r="BW274" s="93" t="str">
        <f aca="false">IF(ISBLANK($C274),"",IF(ISBLANK($D$7),$BW$5,IF(NOT(ISNUMBER($D$7)),$BW$6,"")))</f>
        <v/>
      </c>
      <c r="BX274" s="93" t="str">
        <f aca="false">IF(ISBLANK($C274),"",IF($BA274,Constants!$B$9,IF(COUNTA($E274:$AA274)=0,Constants!$B$8,IF(NOT($AG274),Constants!$B$7,IF(OR($BW274&lt;&gt;"",$BB274,$BM274),Constants!$B$10,Constants!$B$6)))))</f>
        <v/>
      </c>
      <c r="BY274" s="93" t="str">
        <f aca="false">IF(ISBLANK($C274),"",IF($BX274&lt;&gt;Constants!$B$6,$BX274,Constants!$B$11))</f>
        <v/>
      </c>
      <c r="BZ274" s="97" t="str">
        <f aca="false">IF($BX274&lt;&gt;Constants!$B$6,"",IF($BL274="-&gt;",$BS274,$BH274))</f>
        <v/>
      </c>
      <c r="CA274" s="97" t="str">
        <f aca="false">IF($BX274&lt;&gt;Constants!$B$6,"",IF($AF274,0,Constants!$B$15))</f>
        <v/>
      </c>
      <c r="CB274" s="97" t="str">
        <f aca="false">IF($BX274&lt;&gt;Constants!$B$6,"",((Constants!$B$25-$AZ274)-Constants!$B$25)/Constants!$B$26)</f>
        <v/>
      </c>
      <c r="CC274" s="97" t="str">
        <f aca="false">IF(ISBLANK($C274),"",IF($BX274&lt;&gt;Constants!$B$6,$BX274,SUM($BZ274:$CB274)))</f>
        <v/>
      </c>
      <c r="CD274" s="93" t="str">
        <f aca="false">IF(ISBLANK($C274),"",IF($BX274&lt;&gt;Constants!$B$6,$BX274,RANK($CC274,$CC$9:$CC$508,1)))</f>
        <v/>
      </c>
      <c r="CE274" s="97" t="str">
        <f aca="false">IF($BX274&lt;&gt;Constants!$B$6,"",IF($BL274="-&gt;",$BT274,$BI274))</f>
        <v/>
      </c>
      <c r="CF274" s="93" t="str">
        <f aca="false">IF(ISBLANK($C274),"",IF($BX274&lt;&gt;Constants!$B$6,$BX274,IF(ISNUMBER($CE274),RANK($CE274,$CE$9:$CE$508,1),COUNT($CE$9:$CE$508)+1)))</f>
        <v/>
      </c>
      <c r="CG274" s="97" t="str">
        <f aca="false">IF($BX274&lt;&gt;Constants!$B$6,"",IF($BL274="-&gt;",$BU274,$BJ274))</f>
        <v/>
      </c>
      <c r="CH274" s="93" t="str">
        <f aca="false">IF(ISBLANK($C274),"",IF($BX274&lt;&gt;Constants!$B$6,$BX274,IF(ISNUMBER($CG274),RANK($CG274,$CG$9:$CG$508,1),COUNT($CG$9:$CG$508)+1)))</f>
        <v/>
      </c>
      <c r="CI274" s="97" t="str">
        <f aca="false">IF($BX274&lt;&gt;Constants!$B$6,"",IF($BL274="-&gt;",$BV274,$BK274))</f>
        <v/>
      </c>
      <c r="CJ274" s="93" t="str">
        <f aca="false">IF(ISBLANK($C274),"",IF($BX274&lt;&gt;Constants!$B$6,$BX274,IF(ISNUMBER($CI274),RANK($CI274,$CI$9:$CI$508,1),COUNT($CI$9:$CI$508)+1)))</f>
        <v/>
      </c>
      <c r="CK274" s="97" t="str">
        <f aca="false">IF($BX274&lt;&gt;Constants!$B$6,"",$AI274)</f>
        <v/>
      </c>
      <c r="CL274" s="93" t="str">
        <f aca="false">IF(ISBLANK($C274),"",IF($BX274&lt;&gt;Constants!$B$6,$BX274,IF(ISNUMBER($CK274),RANK($CK274,$CK$9:$CK$508,1),COUNT($CK$9:$CK$508)+1)))</f>
        <v/>
      </c>
      <c r="CM274" s="93" t="str">
        <f aca="false">IF(ISBLANK($C274),"",IF($BX274&lt;&gt;Constants!$B$6,$BX274,COUNTIFS($CD$9:$CD$508,"&lt;"&amp;$CD274)+COUNTIFS($CD$9:$CD$508,$CD274,$CF$9:$CF$508,"&lt;"&amp;$CF274)+COUNTIFS($CD$9:$CD$508,$CD274,$CF$9:$CF$508,$CF274,$CH$9:$CH$508,"&lt;"&amp;$CH274)+COUNTIFS($CD$9:$CD$508,$CD274,$CF$9:$CF$508,$CF274,$CH$9:$CH$508,$CH274,$CJ$9:$CJ$508,"&lt;"&amp;$CJ274)+COUNTIFS($CD$9:$CD$508,$CD274,$CF$9:$CF$508,$CF274,$CH$9:$CH$508,$CH274,$CJ$9:$CJ$508,$CJ274,$CL$9:$CL$508,"&lt;"&amp;$CL274)+1))</f>
        <v/>
      </c>
      <c r="CN274" s="93" t="str">
        <f aca="false">IF(ISBLANK($C274),"",IF($BX274&lt;&gt;Constants!$B$6,$BX274,$CD274-$CM274))</f>
        <v/>
      </c>
      <c r="CO274" s="100"/>
      <c r="CP274" s="101"/>
      <c r="CQ274" s="102" t="str">
        <f aca="false">IF(ISBLANK($C274),"",IF($BX274=Constants!$B$10,$BW274,""))</f>
        <v/>
      </c>
      <c r="CR274" s="101" t="str">
        <f aca="false">IF(ISBLANK($C274),"",IF($BX274&lt;&gt;Constants!$B$6,"",IF($BL274="-&gt;",2,1)))</f>
        <v/>
      </c>
      <c r="CS274" s="103" t="str">
        <f aca="false">IF(ISBLANK($C274),"",IF($BX274&lt;&gt;Constants!$B$6,"",IF($BL274="-&gt;",$BN274,$BC274)))</f>
        <v/>
      </c>
      <c r="CT274" s="103" t="str">
        <f aca="false">IF(ISBLANK($C274),"",IF($BX274&lt;&gt;Constants!$B$6,"",IF($BL274="-&gt;",$BO274,$BD274)))</f>
        <v/>
      </c>
      <c r="CU274" s="103" t="str">
        <f aca="false">IF(ISBLANK($C274),"",IF($BX274&lt;&gt;Constants!$B$6,"",IF($BL274="-&gt;",$BP274+$BQ274,$BE274+$BF274)+$CB274))</f>
        <v/>
      </c>
      <c r="CV274" s="103" t="str">
        <f aca="false">IF(ISBLANK($C274),"",IF($BX274&lt;&gt;Constants!$B$6,"",IF($BL274="-&gt;",$BR274,$BG274)+$CA274))</f>
        <v/>
      </c>
      <c r="CW274" s="104" t="str">
        <f aca="false">IF(ISBLANK($C274),"",IF($BX274&lt;&gt;Constants!$B$6,$BX274,$CC274))</f>
        <v/>
      </c>
      <c r="CX274" s="105" t="str">
        <f aca="false">IF(ISBLANK($C274),"",$BY274)</f>
        <v/>
      </c>
      <c r="CY274" s="106" t="str">
        <f aca="false">IF(ISBLANK($C274),"",$CN274)</f>
        <v/>
      </c>
      <c r="CZ274" s="106" t="str">
        <f aca="false">IF(ISBLANK($C274),"",$CM274)</f>
        <v/>
      </c>
      <c r="DA274" s="107" t="str">
        <f aca="false">IF(ISBLANK($C274),"",IFERROR(_xlfn.SWITCH($CZ274,Constants!$B$9,COUNTA($C$9:$C$508)+2,Constants!$B$8,COUNTA($C$9:$C$508)+1,Constants!$B$7,COUNTA($C$9:$C$508)),$CZ274))</f>
        <v/>
      </c>
      <c r="DB274" s="9"/>
      <c r="DC274" s="108" t="n">
        <f aca="false">IF(OR(ISNUMBER($CZ274),$CZ274=Constants!$B$9,$CZ274=Constants!$B$7,$CZ274=Constants!$B$8),1,0)</f>
        <v>0</v>
      </c>
      <c r="DD274" s="108" t="n">
        <v>266</v>
      </c>
      <c r="DE274" s="108" t="str">
        <f aca="false">IF(ISBLANK($C274),"",IF(ISNUMBER($DA274),$DA274+ROW($B274)/1000,""))</f>
        <v/>
      </c>
      <c r="DF274" s="108" t="str">
        <f aca="false">IF(ISNUMBER($DE274),RANK($DE274,$DE$9:$DE$508,1),"")</f>
        <v/>
      </c>
      <c r="DG274" s="108" t="str">
        <f aca="false">IF(ISBLANK($C274),"",$B274)</f>
        <v/>
      </c>
      <c r="DH274" s="108" t="str">
        <f aca="false">IF(ISBLANK($C274),"",$C274)</f>
        <v/>
      </c>
      <c r="DI274" s="108" t="str">
        <f aca="false">IF(ISBLANK($C274),"",$D274)</f>
        <v/>
      </c>
      <c r="DJ274" s="109" t="str">
        <f aca="false">$CX274</f>
        <v/>
      </c>
      <c r="DK274" s="110" t="str">
        <f aca="false">$CW274</f>
        <v/>
      </c>
      <c r="DL274" s="108" t="str">
        <f aca="false">IF(ISBLANK($C274),"",$CZ274)</f>
        <v/>
      </c>
      <c r="DM274" s="111" t="str">
        <f aca="false">IF($DD274&gt;$DC$8,"",VLOOKUP($DD274,$DF$9:$DL$508,7,FALSE()))</f>
        <v/>
      </c>
      <c r="DN274" s="112" t="str">
        <f aca="false">IF($DD274&gt;$DC$8,"",VLOOKUP($DD274,$DF$9:$DL$508,2,FALSE()))</f>
        <v/>
      </c>
      <c r="DO274" s="112" t="str">
        <f aca="false">IF($DD274&gt;$DC$8,"",VLOOKUP($DD274,$DF$9:$DL$508,3,FALSE()))</f>
        <v/>
      </c>
      <c r="DP274" s="112" t="str">
        <f aca="false">IF($DD274&gt;$DC$8,"",VLOOKUP($DD274,$DF$9:$DL$508,4,FALSE()))</f>
        <v/>
      </c>
      <c r="DQ274" s="112" t="str">
        <f aca="false">IF($DD274&gt;$DC$8,"",VLOOKUP($DD274,$DF$9:$DL$508,5,FALSE()))</f>
        <v/>
      </c>
      <c r="DR274" s="113" t="str">
        <f aca="false">IF($DD274&gt;$DC$8,"",VLOOKUP($DD274,$DF$9:$DL$508,6,FALSE()))</f>
        <v/>
      </c>
      <c r="DS274" s="76"/>
    </row>
    <row r="275" customFormat="false" ht="15.75" hidden="false" customHeight="false" outlineLevel="0" collapsed="false">
      <c r="A275" s="9"/>
      <c r="B275" s="78"/>
      <c r="C275" s="79"/>
      <c r="D275" s="170"/>
      <c r="E275" s="178"/>
      <c r="F275" s="172"/>
      <c r="G275" s="173"/>
      <c r="H275" s="173"/>
      <c r="I275" s="179"/>
      <c r="J275" s="176"/>
      <c r="K275" s="86"/>
      <c r="L275" s="87"/>
      <c r="M275" s="88"/>
      <c r="N275" s="176"/>
      <c r="O275" s="176"/>
      <c r="P275" s="178"/>
      <c r="Q275" s="176"/>
      <c r="R275" s="176"/>
      <c r="S275" s="86"/>
      <c r="T275" s="88"/>
      <c r="U275" s="88"/>
      <c r="V275" s="176"/>
      <c r="W275" s="176"/>
      <c r="X275" s="178"/>
      <c r="Y275" s="176"/>
      <c r="Z275" s="177"/>
      <c r="AA275" s="176"/>
      <c r="AB275" s="92"/>
      <c r="AC275" s="93"/>
      <c r="AD275" s="93"/>
      <c r="AE275" s="93"/>
      <c r="AF275" s="93" t="str">
        <f aca="false">IF(ISBLANK($C275),"",IF(E275=Constants!$B$2,TRUE(),IF(E275=Constants!$B$3,FALSE(),TRUE())))</f>
        <v/>
      </c>
      <c r="AG275" s="93" t="str">
        <f aca="false">IF(ISBLANK($C275),"",IF(F275=Constants!$B$2,TRUE(),IF(F275=Constants!$B$3,FALSE(),TRUE())))</f>
        <v/>
      </c>
      <c r="AH275" s="93" t="str">
        <f aca="false">IF(ISBLANK($C275),"",IF(G275=Constants!$B$2,TRUE(),IF(G275=Constants!$B$3,FALSE(),TRUE())))</f>
        <v/>
      </c>
      <c r="AI275" s="93" t="str">
        <f aca="false">IF(ISBLANK($C275),"",IF(AND(ISNUMBER(H275),H275&gt;=0),H275,Constants!$B$24))</f>
        <v/>
      </c>
      <c r="AJ275" s="93" t="str">
        <f aca="false">IF(ISBLANK($C275),"",IF(I275=Constants!$B$2,TRUE(),IF(I275=Constants!$B$3,FALSE(),TRUE())))</f>
        <v/>
      </c>
      <c r="AK275" s="93" t="str">
        <f aca="false">IF(ISBLANK($C275),"",IF(J275=Constants!$B$2,TRUE(),IF(J275=Constants!$B$3,FALSE(),TRUE())))</f>
        <v/>
      </c>
      <c r="AL275" s="93" t="str">
        <f aca="false">IF(ISBLANK($C275),"",IF(K275=Constants!$B$4,TRUE(),IF(K275=Constants!$B$5,FALSE(),COUNTA(L275:P275)&gt;0)))</f>
        <v/>
      </c>
      <c r="AM275" s="95" t="str">
        <f aca="false">IF(ISBLANK($C275),"",IF(ISNUMBER(L275),IF(L275&gt;=0,L275,""),""))</f>
        <v/>
      </c>
      <c r="AN275" s="94" t="str">
        <f aca="false">IF(ISBLANK($C275),"",IF(ISNUMBER(M275),IF(M275&gt;=0,M275,""),""))</f>
        <v/>
      </c>
      <c r="AO275" s="94" t="str">
        <f aca="false">IF(ISBLANK($C275),"",IF(N275=Constants!$B$2,TRUE(),IF(N275=Constants!$B$3,FALSE(),TRUE())))</f>
        <v/>
      </c>
      <c r="AP275" s="93" t="str">
        <f aca="false">IF(ISBLANK($C275),"",IF(ISNUMBER(O275),IF(O275&gt;=0,O275,""),""))</f>
        <v/>
      </c>
      <c r="AQ275" s="93" t="str">
        <f aca="false">IF(ISBLANK($C275),"",IF(P275=Constants!$B$2,TRUE(),IF(P275=Constants!$B$3,FALSE(),FALSE())))</f>
        <v/>
      </c>
      <c r="AR275" s="93" t="str">
        <f aca="false">IF(ISBLANK($C275),"",IF(Q275=Constants!$B$2,TRUE(),IF(Q275=Constants!$B$3,FALSE(),TRUE())))</f>
        <v/>
      </c>
      <c r="AS275" s="93" t="str">
        <f aca="false">IF(ISBLANK($C275),"",IF(R275=Constants!$B$2,TRUE(),IF(R275=Constants!$B$3,FALSE(),TRUE())))</f>
        <v/>
      </c>
      <c r="AT275" s="93" t="str">
        <f aca="false">IF(ISBLANK($C275),"",IF(S275=Constants!$B$4,TRUE(),IF(S275=Constants!$B$5,FALSE(),COUNTA(T275:X275)&gt;0)))</f>
        <v/>
      </c>
      <c r="AU275" s="95" t="str">
        <f aca="false">IF(ISBLANK($C275),"",IF(ISNUMBER(T275),IF(T275&gt;=0,T275,""),""))</f>
        <v/>
      </c>
      <c r="AV275" s="94" t="str">
        <f aca="false">IF(ISBLANK($C275),"",IF(ISNUMBER(U275),IF(U275&gt;=0,U275,""),""))</f>
        <v/>
      </c>
      <c r="AW275" s="94" t="str">
        <f aca="false">IF(ISBLANK($C275),"",IF(V275=Constants!$B$2,TRUE(),IF(V275=Constants!$B$3,FALSE(),TRUE())))</f>
        <v/>
      </c>
      <c r="AX275" s="93" t="str">
        <f aca="false">IF(ISBLANK($C275),"",IF(ISNUMBER(W275),IF(W275&gt;=0,W275,""),""))</f>
        <v/>
      </c>
      <c r="AY275" s="93" t="str">
        <f aca="false">IF(ISBLANK($C275),"",IF(X275=Constants!$B$2,TRUE(),IF(X275=Constants!$B$3,FALSE(),FALSE())))</f>
        <v/>
      </c>
      <c r="AZ275" s="93" t="str">
        <f aca="false">IF(ISBLANK($C275),"",MIN(Constants!$B$25,MAX(0,IF(ISNUMBER(Y275),Y275*60,0)+IF(ISNUMBER(Z275),Z275,0))))</f>
        <v/>
      </c>
      <c r="BA275" s="93" t="str">
        <f aca="false">IF(ISBLANK($C275),"",IF(AA275=Constants!$B$2,TRUE(),IF(AA275=Constants!$B$3,FALSE(),FALSE())))</f>
        <v/>
      </c>
      <c r="BB275" s="92" t="str">
        <f aca="false">IF(ISBLANK($C275),"",AND($AL275,OR($AM275="",$AN275="",AND($AO275,$AP275=""))))</f>
        <v/>
      </c>
      <c r="BC275" s="94" t="str">
        <f aca="false">IF($BX275&lt;&gt;Constants!$B$6,"",IF($AL275,Constants!$B$17*$AN275+Constants!$B$18*IF($AO275,$AP275,Constants!$B$19),Constants!$B$20))</f>
        <v/>
      </c>
      <c r="BD275" s="97" t="str">
        <f aca="false">IF($BX275&lt;&gt;Constants!$B$6,"",Constants!$B$21*ABS($AD$9-IF($AL275,$AM275,0)))</f>
        <v/>
      </c>
      <c r="BE275" s="97" t="str">
        <f aca="false">IF($BX275&lt;&gt;Constants!$B$6,"",IF(AND($AL275,$AQ275,$AO275),Constants!$B$22,0))</f>
        <v/>
      </c>
      <c r="BF275" s="97" t="str">
        <f aca="false">IF($BX275&lt;&gt;Constants!$B$6,"",IF($AL275,($AI275-Constants!$B$24)*Constants!$B$23,0))</f>
        <v/>
      </c>
      <c r="BG275" s="97" t="str">
        <f aca="false">IF($BX275&lt;&gt;Constants!$B$6,"",IF($AK275,0,Constants!$B$12)+IF($AJ275,0,Constants!$B$13)+IF($AH275,0,Constants!$B$14))</f>
        <v/>
      </c>
      <c r="BH275" s="98" t="str">
        <f aca="false">IF($BX275&lt;&gt;Constants!$B$6,"",Constants!$B$16+SUM($BC275:$BG275))</f>
        <v/>
      </c>
      <c r="BI275" s="97" t="str">
        <f aca="false">IF($BX275&lt;&gt;Constants!$B$6,"",$BC275)</f>
        <v/>
      </c>
      <c r="BJ275" s="97" t="str">
        <f aca="false">IF($BX275&lt;&gt;Constants!$B$6,"",$BD275)</f>
        <v/>
      </c>
      <c r="BK275" s="99" t="str">
        <f aca="false">IF($BX275&lt;&gt;Constants!$B$6,"",IF($AL275,$AN275,""))</f>
        <v/>
      </c>
      <c r="BL275" s="93" t="str">
        <f aca="false">IF($BX275&lt;&gt;Constants!$B$6,"",IF(OR($BS275&lt;$BH275,AND($BS275=$BH275,OR($BT275&lt;$BI275,AND($BT275=$BI275,OR($BU275&lt;$BJ275,AND($BU275=$BJ275,AND(ISNUMBER($BV275),OR(NOT(ISNUMBER($BK275)),$BV275&lt;$BK275)))))))),"-&gt;","&lt;-"))</f>
        <v/>
      </c>
      <c r="BM275" s="92" t="str">
        <f aca="false">IF(ISBLANK($C275),"",AND($AT275,OR($AU275="",$AV275="",AND($AW275,$AX275=""))))</f>
        <v/>
      </c>
      <c r="BN275" s="94" t="str">
        <f aca="false">IF($BX275&lt;&gt;Constants!$B$6,"",IF($AT275,Constants!$B$17*$AV275+Constants!$B$18*IF($AW275,$AX275,Constants!$B$19),Constants!$B$20))</f>
        <v/>
      </c>
      <c r="BO275" s="97" t="str">
        <f aca="false">IF($BX275&lt;&gt;Constants!$B$6,"",Constants!$B$21*ABS($AD$9-IF($AT275,$AU275,0)))</f>
        <v/>
      </c>
      <c r="BP275" s="97" t="str">
        <f aca="false">IF($BX275&lt;&gt;Constants!$B$6,"",IF(AND($AT275,$AY275,$AW275),Constants!$B$22,0))</f>
        <v/>
      </c>
      <c r="BQ275" s="97" t="str">
        <f aca="false">IF($BX275&lt;&gt;Constants!$B$6,"",IF($AT275,($AI275-Constants!$B$24)*Constants!$B$23,0))</f>
        <v/>
      </c>
      <c r="BR275" s="97" t="str">
        <f aca="false">IF($BX275&lt;&gt;Constants!$B$6,"",IF($AS275,0,Constants!$B$12)+IF($AR275,0,Constants!$B$13)+IF($AH275,0,Constants!$B$14))</f>
        <v/>
      </c>
      <c r="BS275" s="98" t="str">
        <f aca="false">IF($BX275&lt;&gt;Constants!$B$6,"",Constants!$B$16+SUM($BN275:$BR275))</f>
        <v/>
      </c>
      <c r="BT275" s="97" t="str">
        <f aca="false">IF($BX275&lt;&gt;Constants!$B$6,"",$BN275)</f>
        <v/>
      </c>
      <c r="BU275" s="97" t="str">
        <f aca="false">IF($BX275&lt;&gt;Constants!$B$6,"",$BO275)</f>
        <v/>
      </c>
      <c r="BV275" s="99" t="str">
        <f aca="false">IF($BX275&lt;&gt;Constants!$B$6,"",IF($AT275,$AV275,""))</f>
        <v/>
      </c>
      <c r="BW275" s="93" t="str">
        <f aca="false">IF(ISBLANK($C275),"",IF(ISBLANK($D$7),$BW$5,IF(NOT(ISNUMBER($D$7)),$BW$6,"")))</f>
        <v/>
      </c>
      <c r="BX275" s="93" t="str">
        <f aca="false">IF(ISBLANK($C275),"",IF($BA275,Constants!$B$9,IF(COUNTA($E275:$AA275)=0,Constants!$B$8,IF(NOT($AG275),Constants!$B$7,IF(OR($BW275&lt;&gt;"",$BB275,$BM275),Constants!$B$10,Constants!$B$6)))))</f>
        <v/>
      </c>
      <c r="BY275" s="93" t="str">
        <f aca="false">IF(ISBLANK($C275),"",IF($BX275&lt;&gt;Constants!$B$6,$BX275,Constants!$B$11))</f>
        <v/>
      </c>
      <c r="BZ275" s="97" t="str">
        <f aca="false">IF($BX275&lt;&gt;Constants!$B$6,"",IF($BL275="-&gt;",$BS275,$BH275))</f>
        <v/>
      </c>
      <c r="CA275" s="97" t="str">
        <f aca="false">IF($BX275&lt;&gt;Constants!$B$6,"",IF($AF275,0,Constants!$B$15))</f>
        <v/>
      </c>
      <c r="CB275" s="97" t="str">
        <f aca="false">IF($BX275&lt;&gt;Constants!$B$6,"",((Constants!$B$25-$AZ275)-Constants!$B$25)/Constants!$B$26)</f>
        <v/>
      </c>
      <c r="CC275" s="97" t="str">
        <f aca="false">IF(ISBLANK($C275),"",IF($BX275&lt;&gt;Constants!$B$6,$BX275,SUM($BZ275:$CB275)))</f>
        <v/>
      </c>
      <c r="CD275" s="93" t="str">
        <f aca="false">IF(ISBLANK($C275),"",IF($BX275&lt;&gt;Constants!$B$6,$BX275,RANK($CC275,$CC$9:$CC$508,1)))</f>
        <v/>
      </c>
      <c r="CE275" s="97" t="str">
        <f aca="false">IF($BX275&lt;&gt;Constants!$B$6,"",IF($BL275="-&gt;",$BT275,$BI275))</f>
        <v/>
      </c>
      <c r="CF275" s="93" t="str">
        <f aca="false">IF(ISBLANK($C275),"",IF($BX275&lt;&gt;Constants!$B$6,$BX275,IF(ISNUMBER($CE275),RANK($CE275,$CE$9:$CE$508,1),COUNT($CE$9:$CE$508)+1)))</f>
        <v/>
      </c>
      <c r="CG275" s="97" t="str">
        <f aca="false">IF($BX275&lt;&gt;Constants!$B$6,"",IF($BL275="-&gt;",$BU275,$BJ275))</f>
        <v/>
      </c>
      <c r="CH275" s="93" t="str">
        <f aca="false">IF(ISBLANK($C275),"",IF($BX275&lt;&gt;Constants!$B$6,$BX275,IF(ISNUMBER($CG275),RANK($CG275,$CG$9:$CG$508,1),COUNT($CG$9:$CG$508)+1)))</f>
        <v/>
      </c>
      <c r="CI275" s="97" t="str">
        <f aca="false">IF($BX275&lt;&gt;Constants!$B$6,"",IF($BL275="-&gt;",$BV275,$BK275))</f>
        <v/>
      </c>
      <c r="CJ275" s="93" t="str">
        <f aca="false">IF(ISBLANK($C275),"",IF($BX275&lt;&gt;Constants!$B$6,$BX275,IF(ISNUMBER($CI275),RANK($CI275,$CI$9:$CI$508,1),COUNT($CI$9:$CI$508)+1)))</f>
        <v/>
      </c>
      <c r="CK275" s="97" t="str">
        <f aca="false">IF($BX275&lt;&gt;Constants!$B$6,"",$AI275)</f>
        <v/>
      </c>
      <c r="CL275" s="93" t="str">
        <f aca="false">IF(ISBLANK($C275),"",IF($BX275&lt;&gt;Constants!$B$6,$BX275,IF(ISNUMBER($CK275),RANK($CK275,$CK$9:$CK$508,1),COUNT($CK$9:$CK$508)+1)))</f>
        <v/>
      </c>
      <c r="CM275" s="93" t="str">
        <f aca="false">IF(ISBLANK($C275),"",IF($BX275&lt;&gt;Constants!$B$6,$BX275,COUNTIFS($CD$9:$CD$508,"&lt;"&amp;$CD275)+COUNTIFS($CD$9:$CD$508,$CD275,$CF$9:$CF$508,"&lt;"&amp;$CF275)+COUNTIFS($CD$9:$CD$508,$CD275,$CF$9:$CF$508,$CF275,$CH$9:$CH$508,"&lt;"&amp;$CH275)+COUNTIFS($CD$9:$CD$508,$CD275,$CF$9:$CF$508,$CF275,$CH$9:$CH$508,$CH275,$CJ$9:$CJ$508,"&lt;"&amp;$CJ275)+COUNTIFS($CD$9:$CD$508,$CD275,$CF$9:$CF$508,$CF275,$CH$9:$CH$508,$CH275,$CJ$9:$CJ$508,$CJ275,$CL$9:$CL$508,"&lt;"&amp;$CL275)+1))</f>
        <v/>
      </c>
      <c r="CN275" s="93" t="str">
        <f aca="false">IF(ISBLANK($C275),"",IF($BX275&lt;&gt;Constants!$B$6,$BX275,$CD275-$CM275))</f>
        <v/>
      </c>
      <c r="CO275" s="100"/>
      <c r="CP275" s="101"/>
      <c r="CQ275" s="102" t="str">
        <f aca="false">IF(ISBLANK($C275),"",IF($BX275=Constants!$B$10,$BW275,""))</f>
        <v/>
      </c>
      <c r="CR275" s="101" t="str">
        <f aca="false">IF(ISBLANK($C275),"",IF($BX275&lt;&gt;Constants!$B$6,"",IF($BL275="-&gt;",2,1)))</f>
        <v/>
      </c>
      <c r="CS275" s="103" t="str">
        <f aca="false">IF(ISBLANK($C275),"",IF($BX275&lt;&gt;Constants!$B$6,"",IF($BL275="-&gt;",$BN275,$BC275)))</f>
        <v/>
      </c>
      <c r="CT275" s="103" t="str">
        <f aca="false">IF(ISBLANK($C275),"",IF($BX275&lt;&gt;Constants!$B$6,"",IF($BL275="-&gt;",$BO275,$BD275)))</f>
        <v/>
      </c>
      <c r="CU275" s="103" t="str">
        <f aca="false">IF(ISBLANK($C275),"",IF($BX275&lt;&gt;Constants!$B$6,"",IF($BL275="-&gt;",$BP275+$BQ275,$BE275+$BF275)+$CB275))</f>
        <v/>
      </c>
      <c r="CV275" s="103" t="str">
        <f aca="false">IF(ISBLANK($C275),"",IF($BX275&lt;&gt;Constants!$B$6,"",IF($BL275="-&gt;",$BR275,$BG275)+$CA275))</f>
        <v/>
      </c>
      <c r="CW275" s="104" t="str">
        <f aca="false">IF(ISBLANK($C275),"",IF($BX275&lt;&gt;Constants!$B$6,$BX275,$CC275))</f>
        <v/>
      </c>
      <c r="CX275" s="105" t="str">
        <f aca="false">IF(ISBLANK($C275),"",$BY275)</f>
        <v/>
      </c>
      <c r="CY275" s="106" t="str">
        <f aca="false">IF(ISBLANK($C275),"",$CN275)</f>
        <v/>
      </c>
      <c r="CZ275" s="106" t="str">
        <f aca="false">IF(ISBLANK($C275),"",$CM275)</f>
        <v/>
      </c>
      <c r="DA275" s="107" t="str">
        <f aca="false">IF(ISBLANK($C275),"",IFERROR(_xlfn.SWITCH($CZ275,Constants!$B$9,COUNTA($C$9:$C$508)+2,Constants!$B$8,COUNTA($C$9:$C$508)+1,Constants!$B$7,COUNTA($C$9:$C$508)),$CZ275))</f>
        <v/>
      </c>
      <c r="DB275" s="9"/>
      <c r="DC275" s="108" t="n">
        <f aca="false">IF(OR(ISNUMBER($CZ275),$CZ275=Constants!$B$9,$CZ275=Constants!$B$7,$CZ275=Constants!$B$8),1,0)</f>
        <v>0</v>
      </c>
      <c r="DD275" s="108" t="n">
        <v>267</v>
      </c>
      <c r="DE275" s="108" t="str">
        <f aca="false">IF(ISBLANK($C275),"",IF(ISNUMBER($DA275),$DA275+ROW($B275)/1000,""))</f>
        <v/>
      </c>
      <c r="DF275" s="108" t="str">
        <f aca="false">IF(ISNUMBER($DE275),RANK($DE275,$DE$9:$DE$508,1),"")</f>
        <v/>
      </c>
      <c r="DG275" s="108" t="str">
        <f aca="false">IF(ISBLANK($C275),"",$B275)</f>
        <v/>
      </c>
      <c r="DH275" s="108" t="str">
        <f aca="false">IF(ISBLANK($C275),"",$C275)</f>
        <v/>
      </c>
      <c r="DI275" s="108" t="str">
        <f aca="false">IF(ISBLANK($C275),"",$D275)</f>
        <v/>
      </c>
      <c r="DJ275" s="109" t="str">
        <f aca="false">$CX275</f>
        <v/>
      </c>
      <c r="DK275" s="110" t="str">
        <f aca="false">$CW275</f>
        <v/>
      </c>
      <c r="DL275" s="108" t="str">
        <f aca="false">IF(ISBLANK($C275),"",$CZ275)</f>
        <v/>
      </c>
      <c r="DM275" s="111" t="str">
        <f aca="false">IF($DD275&gt;$DC$8,"",VLOOKUP($DD275,$DF$9:$DL$508,7,FALSE()))</f>
        <v/>
      </c>
      <c r="DN275" s="112" t="str">
        <f aca="false">IF($DD275&gt;$DC$8,"",VLOOKUP($DD275,$DF$9:$DL$508,2,FALSE()))</f>
        <v/>
      </c>
      <c r="DO275" s="112" t="str">
        <f aca="false">IF($DD275&gt;$DC$8,"",VLOOKUP($DD275,$DF$9:$DL$508,3,FALSE()))</f>
        <v/>
      </c>
      <c r="DP275" s="112" t="str">
        <f aca="false">IF($DD275&gt;$DC$8,"",VLOOKUP($DD275,$DF$9:$DL$508,4,FALSE()))</f>
        <v/>
      </c>
      <c r="DQ275" s="112" t="str">
        <f aca="false">IF($DD275&gt;$DC$8,"",VLOOKUP($DD275,$DF$9:$DL$508,5,FALSE()))</f>
        <v/>
      </c>
      <c r="DR275" s="113" t="str">
        <f aca="false">IF($DD275&gt;$DC$8,"",VLOOKUP($DD275,$DF$9:$DL$508,6,FALSE()))</f>
        <v/>
      </c>
      <c r="DS275" s="76"/>
    </row>
    <row r="276" customFormat="false" ht="15.75" hidden="false" customHeight="false" outlineLevel="0" collapsed="false">
      <c r="A276" s="9"/>
      <c r="B276" s="160"/>
      <c r="C276" s="161"/>
      <c r="D276" s="162"/>
      <c r="E276" s="180"/>
      <c r="F276" s="164"/>
      <c r="G276" s="165"/>
      <c r="H276" s="165"/>
      <c r="I276" s="181"/>
      <c r="J276" s="168"/>
      <c r="K276" s="128"/>
      <c r="L276" s="129"/>
      <c r="M276" s="130"/>
      <c r="N276" s="168"/>
      <c r="O276" s="168"/>
      <c r="P276" s="180"/>
      <c r="Q276" s="168"/>
      <c r="R276" s="168"/>
      <c r="S276" s="128"/>
      <c r="T276" s="130"/>
      <c r="U276" s="130"/>
      <c r="V276" s="168"/>
      <c r="W276" s="168"/>
      <c r="X276" s="180"/>
      <c r="Y276" s="168"/>
      <c r="Z276" s="169"/>
      <c r="AA276" s="168"/>
      <c r="AB276" s="134"/>
      <c r="AC276" s="135"/>
      <c r="AD276" s="135"/>
      <c r="AE276" s="135"/>
      <c r="AF276" s="135" t="str">
        <f aca="false">IF(ISBLANK($C276),"",IF(E276=Constants!$B$2,TRUE(),IF(E276=Constants!$B$3,FALSE(),TRUE())))</f>
        <v/>
      </c>
      <c r="AG276" s="135" t="str">
        <f aca="false">IF(ISBLANK($C276),"",IF(F276=Constants!$B$2,TRUE(),IF(F276=Constants!$B$3,FALSE(),TRUE())))</f>
        <v/>
      </c>
      <c r="AH276" s="135" t="str">
        <f aca="false">IF(ISBLANK($C276),"",IF(G276=Constants!$B$2,TRUE(),IF(G276=Constants!$B$3,FALSE(),TRUE())))</f>
        <v/>
      </c>
      <c r="AI276" s="135" t="str">
        <f aca="false">IF(ISBLANK($C276),"",IF(AND(ISNUMBER(H276),H276&gt;=0),H276,Constants!$B$24))</f>
        <v/>
      </c>
      <c r="AJ276" s="135" t="str">
        <f aca="false">IF(ISBLANK($C276),"",IF(I276=Constants!$B$2,TRUE(),IF(I276=Constants!$B$3,FALSE(),TRUE())))</f>
        <v/>
      </c>
      <c r="AK276" s="135" t="str">
        <f aca="false">IF(ISBLANK($C276),"",IF(J276=Constants!$B$2,TRUE(),IF(J276=Constants!$B$3,FALSE(),TRUE())))</f>
        <v/>
      </c>
      <c r="AL276" s="135" t="str">
        <f aca="false">IF(ISBLANK($C276),"",IF(K276=Constants!$B$4,TRUE(),IF(K276=Constants!$B$5,FALSE(),COUNTA(L276:P276)&gt;0)))</f>
        <v/>
      </c>
      <c r="AM276" s="136" t="str">
        <f aca="false">IF(ISBLANK($C276),"",IF(ISNUMBER(L276),IF(L276&gt;=0,L276,""),""))</f>
        <v/>
      </c>
      <c r="AN276" s="137" t="str">
        <f aca="false">IF(ISBLANK($C276),"",IF(ISNUMBER(M276),IF(M276&gt;=0,M276,""),""))</f>
        <v/>
      </c>
      <c r="AO276" s="137" t="str">
        <f aca="false">IF(ISBLANK($C276),"",IF(N276=Constants!$B$2,TRUE(),IF(N276=Constants!$B$3,FALSE(),TRUE())))</f>
        <v/>
      </c>
      <c r="AP276" s="135" t="str">
        <f aca="false">IF(ISBLANK($C276),"",IF(ISNUMBER(O276),IF(O276&gt;=0,O276,""),""))</f>
        <v/>
      </c>
      <c r="AQ276" s="135" t="str">
        <f aca="false">IF(ISBLANK($C276),"",IF(P276=Constants!$B$2,TRUE(),IF(P276=Constants!$B$3,FALSE(),FALSE())))</f>
        <v/>
      </c>
      <c r="AR276" s="135" t="str">
        <f aca="false">IF(ISBLANK($C276),"",IF(Q276=Constants!$B$2,TRUE(),IF(Q276=Constants!$B$3,FALSE(),TRUE())))</f>
        <v/>
      </c>
      <c r="AS276" s="135" t="str">
        <f aca="false">IF(ISBLANK($C276),"",IF(R276=Constants!$B$2,TRUE(),IF(R276=Constants!$B$3,FALSE(),TRUE())))</f>
        <v/>
      </c>
      <c r="AT276" s="135" t="str">
        <f aca="false">IF(ISBLANK($C276),"",IF(S276=Constants!$B$4,TRUE(),IF(S276=Constants!$B$5,FALSE(),COUNTA(T276:X276)&gt;0)))</f>
        <v/>
      </c>
      <c r="AU276" s="136" t="str">
        <f aca="false">IF(ISBLANK($C276),"",IF(ISNUMBER(T276),IF(T276&gt;=0,T276,""),""))</f>
        <v/>
      </c>
      <c r="AV276" s="137" t="str">
        <f aca="false">IF(ISBLANK($C276),"",IF(ISNUMBER(U276),IF(U276&gt;=0,U276,""),""))</f>
        <v/>
      </c>
      <c r="AW276" s="137" t="str">
        <f aca="false">IF(ISBLANK($C276),"",IF(V276=Constants!$B$2,TRUE(),IF(V276=Constants!$B$3,FALSE(),TRUE())))</f>
        <v/>
      </c>
      <c r="AX276" s="135" t="str">
        <f aca="false">IF(ISBLANK($C276),"",IF(ISNUMBER(W276),IF(W276&gt;=0,W276,""),""))</f>
        <v/>
      </c>
      <c r="AY276" s="135" t="str">
        <f aca="false">IF(ISBLANK($C276),"",IF(X276=Constants!$B$2,TRUE(),IF(X276=Constants!$B$3,FALSE(),FALSE())))</f>
        <v/>
      </c>
      <c r="AZ276" s="135" t="str">
        <f aca="false">IF(ISBLANK($C276),"",MIN(Constants!$B$25,MAX(0,IF(ISNUMBER(Y276),Y276*60,0)+IF(ISNUMBER(Z276),Z276,0))))</f>
        <v/>
      </c>
      <c r="BA276" s="135" t="str">
        <f aca="false">IF(ISBLANK($C276),"",IF(AA276=Constants!$B$2,TRUE(),IF(AA276=Constants!$B$3,FALSE(),FALSE())))</f>
        <v/>
      </c>
      <c r="BB276" s="134" t="str">
        <f aca="false">IF(ISBLANK($C276),"",AND($AL276,OR($AM276="",$AN276="",AND($AO276,$AP276=""))))</f>
        <v/>
      </c>
      <c r="BC276" s="137" t="str">
        <f aca="false">IF($BX276&lt;&gt;Constants!$B$6,"",IF($AL276,Constants!$B$17*$AN276+Constants!$B$18*IF($AO276,$AP276,Constants!$B$19),Constants!$B$20))</f>
        <v/>
      </c>
      <c r="BD276" s="138" t="str">
        <f aca="false">IF($BX276&lt;&gt;Constants!$B$6,"",Constants!$B$21*ABS($AD$9-IF($AL276,$AM276,0)))</f>
        <v/>
      </c>
      <c r="BE276" s="138" t="str">
        <f aca="false">IF($BX276&lt;&gt;Constants!$B$6,"",IF(AND($AL276,$AQ276,$AO276),Constants!$B$22,0))</f>
        <v/>
      </c>
      <c r="BF276" s="138" t="str">
        <f aca="false">IF($BX276&lt;&gt;Constants!$B$6,"",IF($AL276,($AI276-Constants!$B$24)*Constants!$B$23,0))</f>
        <v/>
      </c>
      <c r="BG276" s="138" t="str">
        <f aca="false">IF($BX276&lt;&gt;Constants!$B$6,"",IF($AK276,0,Constants!$B$12)+IF($AJ276,0,Constants!$B$13)+IF($AH276,0,Constants!$B$14))</f>
        <v/>
      </c>
      <c r="BH276" s="139" t="str">
        <f aca="false">IF($BX276&lt;&gt;Constants!$B$6,"",Constants!$B$16+SUM($BC276:$BG276))</f>
        <v/>
      </c>
      <c r="BI276" s="138" t="str">
        <f aca="false">IF($BX276&lt;&gt;Constants!$B$6,"",$BC276)</f>
        <v/>
      </c>
      <c r="BJ276" s="138" t="str">
        <f aca="false">IF($BX276&lt;&gt;Constants!$B$6,"",$BD276)</f>
        <v/>
      </c>
      <c r="BK276" s="140" t="str">
        <f aca="false">IF($BX276&lt;&gt;Constants!$B$6,"",IF($AL276,$AN276,""))</f>
        <v/>
      </c>
      <c r="BL276" s="135" t="str">
        <f aca="false">IF($BX276&lt;&gt;Constants!$B$6,"",IF(OR($BS276&lt;$BH276,AND($BS276=$BH276,OR($BT276&lt;$BI276,AND($BT276=$BI276,OR($BU276&lt;$BJ276,AND($BU276=$BJ276,AND(ISNUMBER($BV276),OR(NOT(ISNUMBER($BK276)),$BV276&lt;$BK276)))))))),"-&gt;","&lt;-"))</f>
        <v/>
      </c>
      <c r="BM276" s="134" t="str">
        <f aca="false">IF(ISBLANK($C276),"",AND($AT276,OR($AU276="",$AV276="",AND($AW276,$AX276=""))))</f>
        <v/>
      </c>
      <c r="BN276" s="137" t="str">
        <f aca="false">IF($BX276&lt;&gt;Constants!$B$6,"",IF($AT276,Constants!$B$17*$AV276+Constants!$B$18*IF($AW276,$AX276,Constants!$B$19),Constants!$B$20))</f>
        <v/>
      </c>
      <c r="BO276" s="138" t="str">
        <f aca="false">IF($BX276&lt;&gt;Constants!$B$6,"",Constants!$B$21*ABS($AD$9-IF($AT276,$AU276,0)))</f>
        <v/>
      </c>
      <c r="BP276" s="138" t="str">
        <f aca="false">IF($BX276&lt;&gt;Constants!$B$6,"",IF(AND($AT276,$AY276,$AW276),Constants!$B$22,0))</f>
        <v/>
      </c>
      <c r="BQ276" s="138" t="str">
        <f aca="false">IF($BX276&lt;&gt;Constants!$B$6,"",IF($AT276,($AI276-Constants!$B$24)*Constants!$B$23,0))</f>
        <v/>
      </c>
      <c r="BR276" s="138" t="str">
        <f aca="false">IF($BX276&lt;&gt;Constants!$B$6,"",IF($AS276,0,Constants!$B$12)+IF($AR276,0,Constants!$B$13)+IF($AH276,0,Constants!$B$14))</f>
        <v/>
      </c>
      <c r="BS276" s="139" t="str">
        <f aca="false">IF($BX276&lt;&gt;Constants!$B$6,"",Constants!$B$16+SUM($BN276:$BR276))</f>
        <v/>
      </c>
      <c r="BT276" s="138" t="str">
        <f aca="false">IF($BX276&lt;&gt;Constants!$B$6,"",$BN276)</f>
        <v/>
      </c>
      <c r="BU276" s="138" t="str">
        <f aca="false">IF($BX276&lt;&gt;Constants!$B$6,"",$BO276)</f>
        <v/>
      </c>
      <c r="BV276" s="140" t="str">
        <f aca="false">IF($BX276&lt;&gt;Constants!$B$6,"",IF($AT276,$AV276,""))</f>
        <v/>
      </c>
      <c r="BW276" s="135" t="str">
        <f aca="false">IF(ISBLANK($C276),"",IF(ISBLANK($D$7),$BW$5,IF(NOT(ISNUMBER($D$7)),$BW$6,"")))</f>
        <v/>
      </c>
      <c r="BX276" s="135" t="str">
        <f aca="false">IF(ISBLANK($C276),"",IF($BA276,Constants!$B$9,IF(COUNTA($E276:$AA276)=0,Constants!$B$8,IF(NOT($AG276),Constants!$B$7,IF(OR($BW276&lt;&gt;"",$BB276,$BM276),Constants!$B$10,Constants!$B$6)))))</f>
        <v/>
      </c>
      <c r="BY276" s="135" t="str">
        <f aca="false">IF(ISBLANK($C276),"",IF($BX276&lt;&gt;Constants!$B$6,$BX276,Constants!$B$11))</f>
        <v/>
      </c>
      <c r="BZ276" s="138" t="str">
        <f aca="false">IF($BX276&lt;&gt;Constants!$B$6,"",IF($BL276="-&gt;",$BS276,$BH276))</f>
        <v/>
      </c>
      <c r="CA276" s="138" t="str">
        <f aca="false">IF($BX276&lt;&gt;Constants!$B$6,"",IF($AF276,0,Constants!$B$15))</f>
        <v/>
      </c>
      <c r="CB276" s="138" t="str">
        <f aca="false">IF($BX276&lt;&gt;Constants!$B$6,"",((Constants!$B$25-$AZ276)-Constants!$B$25)/Constants!$B$26)</f>
        <v/>
      </c>
      <c r="CC276" s="138" t="str">
        <f aca="false">IF(ISBLANK($C276),"",IF($BX276&lt;&gt;Constants!$B$6,$BX276,SUM($BZ276:$CB276)))</f>
        <v/>
      </c>
      <c r="CD276" s="135" t="str">
        <f aca="false">IF(ISBLANK($C276),"",IF($BX276&lt;&gt;Constants!$B$6,$BX276,RANK($CC276,$CC$9:$CC$508,1)))</f>
        <v/>
      </c>
      <c r="CE276" s="138" t="str">
        <f aca="false">IF($BX276&lt;&gt;Constants!$B$6,"",IF($BL276="-&gt;",$BT276,$BI276))</f>
        <v/>
      </c>
      <c r="CF276" s="135" t="str">
        <f aca="false">IF(ISBLANK($C276),"",IF($BX276&lt;&gt;Constants!$B$6,$BX276,IF(ISNUMBER($CE276),RANK($CE276,$CE$9:$CE$508,1),COUNT($CE$9:$CE$508)+1)))</f>
        <v/>
      </c>
      <c r="CG276" s="138" t="str">
        <f aca="false">IF($BX276&lt;&gt;Constants!$B$6,"",IF($BL276="-&gt;",$BU276,$BJ276))</f>
        <v/>
      </c>
      <c r="CH276" s="135" t="str">
        <f aca="false">IF(ISBLANK($C276),"",IF($BX276&lt;&gt;Constants!$B$6,$BX276,IF(ISNUMBER($CG276),RANK($CG276,$CG$9:$CG$508,1),COUNT($CG$9:$CG$508)+1)))</f>
        <v/>
      </c>
      <c r="CI276" s="138" t="str">
        <f aca="false">IF($BX276&lt;&gt;Constants!$B$6,"",IF($BL276="-&gt;",$BV276,$BK276))</f>
        <v/>
      </c>
      <c r="CJ276" s="135" t="str">
        <f aca="false">IF(ISBLANK($C276),"",IF($BX276&lt;&gt;Constants!$B$6,$BX276,IF(ISNUMBER($CI276),RANK($CI276,$CI$9:$CI$508,1),COUNT($CI$9:$CI$508)+1)))</f>
        <v/>
      </c>
      <c r="CK276" s="138" t="str">
        <f aca="false">IF($BX276&lt;&gt;Constants!$B$6,"",$AI276)</f>
        <v/>
      </c>
      <c r="CL276" s="135" t="str">
        <f aca="false">IF(ISBLANK($C276),"",IF($BX276&lt;&gt;Constants!$B$6,$BX276,IF(ISNUMBER($CK276),RANK($CK276,$CK$9:$CK$508,1),COUNT($CK$9:$CK$508)+1)))</f>
        <v/>
      </c>
      <c r="CM276" s="135" t="str">
        <f aca="false">IF(ISBLANK($C276),"",IF($BX276&lt;&gt;Constants!$B$6,$BX276,COUNTIFS($CD$9:$CD$508,"&lt;"&amp;$CD276)+COUNTIFS($CD$9:$CD$508,$CD276,$CF$9:$CF$508,"&lt;"&amp;$CF276)+COUNTIFS($CD$9:$CD$508,$CD276,$CF$9:$CF$508,$CF276,$CH$9:$CH$508,"&lt;"&amp;$CH276)+COUNTIFS($CD$9:$CD$508,$CD276,$CF$9:$CF$508,$CF276,$CH$9:$CH$508,$CH276,$CJ$9:$CJ$508,"&lt;"&amp;$CJ276)+COUNTIFS($CD$9:$CD$508,$CD276,$CF$9:$CF$508,$CF276,$CH$9:$CH$508,$CH276,$CJ$9:$CJ$508,$CJ276,$CL$9:$CL$508,"&lt;"&amp;$CL276)+1))</f>
        <v/>
      </c>
      <c r="CN276" s="135" t="str">
        <f aca="false">IF(ISBLANK($C276),"",IF($BX276&lt;&gt;Constants!$B$6,$BX276,$CD276-$CM276))</f>
        <v/>
      </c>
      <c r="CO276" s="141"/>
      <c r="CP276" s="142"/>
      <c r="CQ276" s="143" t="str">
        <f aca="false">IF(ISBLANK($C276),"",IF($BX276=Constants!$B$10,$BW276,""))</f>
        <v/>
      </c>
      <c r="CR276" s="142" t="str">
        <f aca="false">IF(ISBLANK($C276),"",IF($BX276&lt;&gt;Constants!$B$6,"",IF($BL276="-&gt;",2,1)))</f>
        <v/>
      </c>
      <c r="CS276" s="144" t="str">
        <f aca="false">IF(ISBLANK($C276),"",IF($BX276&lt;&gt;Constants!$B$6,"",IF($BL276="-&gt;",$BN276,$BC276)))</f>
        <v/>
      </c>
      <c r="CT276" s="144" t="str">
        <f aca="false">IF(ISBLANK($C276),"",IF($BX276&lt;&gt;Constants!$B$6,"",IF($BL276="-&gt;",$BO276,$BD276)))</f>
        <v/>
      </c>
      <c r="CU276" s="144" t="str">
        <f aca="false">IF(ISBLANK($C276),"",IF($BX276&lt;&gt;Constants!$B$6,"",IF($BL276="-&gt;",$BP276+$BQ276,$BE276+$BF276)+$CB276))</f>
        <v/>
      </c>
      <c r="CV276" s="144" t="str">
        <f aca="false">IF(ISBLANK($C276),"",IF($BX276&lt;&gt;Constants!$B$6,"",IF($BL276="-&gt;",$BR276,$BG276)+$CA276))</f>
        <v/>
      </c>
      <c r="CW276" s="145" t="str">
        <f aca="false">IF(ISBLANK($C276),"",IF($BX276&lt;&gt;Constants!$B$6,$BX276,$CC276))</f>
        <v/>
      </c>
      <c r="CX276" s="146" t="str">
        <f aca="false">IF(ISBLANK($C276),"",$BY276)</f>
        <v/>
      </c>
      <c r="CY276" s="147" t="str">
        <f aca="false">IF(ISBLANK($C276),"",$CN276)</f>
        <v/>
      </c>
      <c r="CZ276" s="147" t="str">
        <f aca="false">IF(ISBLANK($C276),"",$CM276)</f>
        <v/>
      </c>
      <c r="DA276" s="148" t="str">
        <f aca="false">IF(ISBLANK($C276),"",IFERROR(_xlfn.SWITCH($CZ276,Constants!$B$9,COUNTA($C$9:$C$508)+2,Constants!$B$8,COUNTA($C$9:$C$508)+1,Constants!$B$7,COUNTA($C$9:$C$508)),$CZ276))</f>
        <v/>
      </c>
      <c r="DB276" s="9"/>
      <c r="DC276" s="149" t="n">
        <f aca="false">IF(OR(ISNUMBER($CZ276),$CZ276=Constants!$B$9,$CZ276=Constants!$B$7,$CZ276=Constants!$B$8),1,0)</f>
        <v>0</v>
      </c>
      <c r="DD276" s="149" t="n">
        <v>268</v>
      </c>
      <c r="DE276" s="149" t="str">
        <f aca="false">IF(ISBLANK($C276),"",IF(ISNUMBER($DA276),$DA276+ROW($B276)/1000,""))</f>
        <v/>
      </c>
      <c r="DF276" s="149" t="str">
        <f aca="false">IF(ISNUMBER($DE276),RANK($DE276,$DE$9:$DE$508,1),"")</f>
        <v/>
      </c>
      <c r="DG276" s="149" t="str">
        <f aca="false">IF(ISBLANK($C276),"",$B276)</f>
        <v/>
      </c>
      <c r="DH276" s="149" t="str">
        <f aca="false">IF(ISBLANK($C276),"",$C276)</f>
        <v/>
      </c>
      <c r="DI276" s="149" t="str">
        <f aca="false">IF(ISBLANK($C276),"",$D276)</f>
        <v/>
      </c>
      <c r="DJ276" s="150" t="str">
        <f aca="false">$CX276</f>
        <v/>
      </c>
      <c r="DK276" s="151" t="str">
        <f aca="false">$CW276</f>
        <v/>
      </c>
      <c r="DL276" s="149" t="str">
        <f aca="false">IF(ISBLANK($C276),"",$CZ276)</f>
        <v/>
      </c>
      <c r="DM276" s="152" t="str">
        <f aca="false">IF($DD276&gt;$DC$8,"",VLOOKUP($DD276,$DF$9:$DL$508,7,FALSE()))</f>
        <v/>
      </c>
      <c r="DN276" s="153" t="str">
        <f aca="false">IF($DD276&gt;$DC$8,"",VLOOKUP($DD276,$DF$9:$DL$508,2,FALSE()))</f>
        <v/>
      </c>
      <c r="DO276" s="153" t="str">
        <f aca="false">IF($DD276&gt;$DC$8,"",VLOOKUP($DD276,$DF$9:$DL$508,3,FALSE()))</f>
        <v/>
      </c>
      <c r="DP276" s="153" t="str">
        <f aca="false">IF($DD276&gt;$DC$8,"",VLOOKUP($DD276,$DF$9:$DL$508,4,FALSE()))</f>
        <v/>
      </c>
      <c r="DQ276" s="153" t="str">
        <f aca="false">IF($DD276&gt;$DC$8,"",VLOOKUP($DD276,$DF$9:$DL$508,5,FALSE()))</f>
        <v/>
      </c>
      <c r="DR276" s="154" t="str">
        <f aca="false">IF($DD276&gt;$DC$8,"",VLOOKUP($DD276,$DF$9:$DL$508,6,FALSE()))</f>
        <v/>
      </c>
      <c r="DS276" s="76"/>
    </row>
    <row r="277" customFormat="false" ht="15.75" hidden="false" customHeight="false" outlineLevel="0" collapsed="false">
      <c r="A277" s="9"/>
      <c r="B277" s="160"/>
      <c r="C277" s="161"/>
      <c r="D277" s="162"/>
      <c r="E277" s="180"/>
      <c r="F277" s="164"/>
      <c r="G277" s="165"/>
      <c r="H277" s="165"/>
      <c r="I277" s="181"/>
      <c r="J277" s="168"/>
      <c r="K277" s="128"/>
      <c r="L277" s="129"/>
      <c r="M277" s="130"/>
      <c r="N277" s="168"/>
      <c r="O277" s="168"/>
      <c r="P277" s="180"/>
      <c r="Q277" s="168"/>
      <c r="R277" s="168"/>
      <c r="S277" s="128"/>
      <c r="T277" s="130"/>
      <c r="U277" s="130"/>
      <c r="V277" s="168"/>
      <c r="W277" s="168"/>
      <c r="X277" s="180"/>
      <c r="Y277" s="168"/>
      <c r="Z277" s="169"/>
      <c r="AA277" s="168"/>
      <c r="AB277" s="134"/>
      <c r="AC277" s="135"/>
      <c r="AD277" s="135"/>
      <c r="AE277" s="135"/>
      <c r="AF277" s="135" t="str">
        <f aca="false">IF(ISBLANK($C277),"",IF(E277=Constants!$B$2,TRUE(),IF(E277=Constants!$B$3,FALSE(),TRUE())))</f>
        <v/>
      </c>
      <c r="AG277" s="135" t="str">
        <f aca="false">IF(ISBLANK($C277),"",IF(F277=Constants!$B$2,TRUE(),IF(F277=Constants!$B$3,FALSE(),TRUE())))</f>
        <v/>
      </c>
      <c r="AH277" s="135" t="str">
        <f aca="false">IF(ISBLANK($C277),"",IF(G277=Constants!$B$2,TRUE(),IF(G277=Constants!$B$3,FALSE(),TRUE())))</f>
        <v/>
      </c>
      <c r="AI277" s="135" t="str">
        <f aca="false">IF(ISBLANK($C277),"",IF(AND(ISNUMBER(H277),H277&gt;=0),H277,Constants!$B$24))</f>
        <v/>
      </c>
      <c r="AJ277" s="135" t="str">
        <f aca="false">IF(ISBLANK($C277),"",IF(I277=Constants!$B$2,TRUE(),IF(I277=Constants!$B$3,FALSE(),TRUE())))</f>
        <v/>
      </c>
      <c r="AK277" s="135" t="str">
        <f aca="false">IF(ISBLANK($C277),"",IF(J277=Constants!$B$2,TRUE(),IF(J277=Constants!$B$3,FALSE(),TRUE())))</f>
        <v/>
      </c>
      <c r="AL277" s="135" t="str">
        <f aca="false">IF(ISBLANK($C277),"",IF(K277=Constants!$B$4,TRUE(),IF(K277=Constants!$B$5,FALSE(),COUNTA(L277:P277)&gt;0)))</f>
        <v/>
      </c>
      <c r="AM277" s="136" t="str">
        <f aca="false">IF(ISBLANK($C277),"",IF(ISNUMBER(L277),IF(L277&gt;=0,L277,""),""))</f>
        <v/>
      </c>
      <c r="AN277" s="137" t="str">
        <f aca="false">IF(ISBLANK($C277),"",IF(ISNUMBER(M277),IF(M277&gt;=0,M277,""),""))</f>
        <v/>
      </c>
      <c r="AO277" s="137" t="str">
        <f aca="false">IF(ISBLANK($C277),"",IF(N277=Constants!$B$2,TRUE(),IF(N277=Constants!$B$3,FALSE(),TRUE())))</f>
        <v/>
      </c>
      <c r="AP277" s="135" t="str">
        <f aca="false">IF(ISBLANK($C277),"",IF(ISNUMBER(O277),IF(O277&gt;=0,O277,""),""))</f>
        <v/>
      </c>
      <c r="AQ277" s="135" t="str">
        <f aca="false">IF(ISBLANK($C277),"",IF(P277=Constants!$B$2,TRUE(),IF(P277=Constants!$B$3,FALSE(),FALSE())))</f>
        <v/>
      </c>
      <c r="AR277" s="135" t="str">
        <f aca="false">IF(ISBLANK($C277),"",IF(Q277=Constants!$B$2,TRUE(),IF(Q277=Constants!$B$3,FALSE(),TRUE())))</f>
        <v/>
      </c>
      <c r="AS277" s="135" t="str">
        <f aca="false">IF(ISBLANK($C277),"",IF(R277=Constants!$B$2,TRUE(),IF(R277=Constants!$B$3,FALSE(),TRUE())))</f>
        <v/>
      </c>
      <c r="AT277" s="135" t="str">
        <f aca="false">IF(ISBLANK($C277),"",IF(S277=Constants!$B$4,TRUE(),IF(S277=Constants!$B$5,FALSE(),COUNTA(T277:X277)&gt;0)))</f>
        <v/>
      </c>
      <c r="AU277" s="136" t="str">
        <f aca="false">IF(ISBLANK($C277),"",IF(ISNUMBER(T277),IF(T277&gt;=0,T277,""),""))</f>
        <v/>
      </c>
      <c r="AV277" s="137" t="str">
        <f aca="false">IF(ISBLANK($C277),"",IF(ISNUMBER(U277),IF(U277&gt;=0,U277,""),""))</f>
        <v/>
      </c>
      <c r="AW277" s="137" t="str">
        <f aca="false">IF(ISBLANK($C277),"",IF(V277=Constants!$B$2,TRUE(),IF(V277=Constants!$B$3,FALSE(),TRUE())))</f>
        <v/>
      </c>
      <c r="AX277" s="135" t="str">
        <f aca="false">IF(ISBLANK($C277),"",IF(ISNUMBER(W277),IF(W277&gt;=0,W277,""),""))</f>
        <v/>
      </c>
      <c r="AY277" s="135" t="str">
        <f aca="false">IF(ISBLANK($C277),"",IF(X277=Constants!$B$2,TRUE(),IF(X277=Constants!$B$3,FALSE(),FALSE())))</f>
        <v/>
      </c>
      <c r="AZ277" s="135" t="str">
        <f aca="false">IF(ISBLANK($C277),"",MIN(Constants!$B$25,MAX(0,IF(ISNUMBER(Y277),Y277*60,0)+IF(ISNUMBER(Z277),Z277,0))))</f>
        <v/>
      </c>
      <c r="BA277" s="135" t="str">
        <f aca="false">IF(ISBLANK($C277),"",IF(AA277=Constants!$B$2,TRUE(),IF(AA277=Constants!$B$3,FALSE(),FALSE())))</f>
        <v/>
      </c>
      <c r="BB277" s="134" t="str">
        <f aca="false">IF(ISBLANK($C277),"",AND($AL277,OR($AM277="",$AN277="",AND($AO277,$AP277=""))))</f>
        <v/>
      </c>
      <c r="BC277" s="137" t="str">
        <f aca="false">IF($BX277&lt;&gt;Constants!$B$6,"",IF($AL277,Constants!$B$17*$AN277+Constants!$B$18*IF($AO277,$AP277,Constants!$B$19),Constants!$B$20))</f>
        <v/>
      </c>
      <c r="BD277" s="138" t="str">
        <f aca="false">IF($BX277&lt;&gt;Constants!$B$6,"",Constants!$B$21*ABS($AD$9-IF($AL277,$AM277,0)))</f>
        <v/>
      </c>
      <c r="BE277" s="138" t="str">
        <f aca="false">IF($BX277&lt;&gt;Constants!$B$6,"",IF(AND($AL277,$AQ277,$AO277),Constants!$B$22,0))</f>
        <v/>
      </c>
      <c r="BF277" s="138" t="str">
        <f aca="false">IF($BX277&lt;&gt;Constants!$B$6,"",IF($AL277,($AI277-Constants!$B$24)*Constants!$B$23,0))</f>
        <v/>
      </c>
      <c r="BG277" s="138" t="str">
        <f aca="false">IF($BX277&lt;&gt;Constants!$B$6,"",IF($AK277,0,Constants!$B$12)+IF($AJ277,0,Constants!$B$13)+IF($AH277,0,Constants!$B$14))</f>
        <v/>
      </c>
      <c r="BH277" s="139" t="str">
        <f aca="false">IF($BX277&lt;&gt;Constants!$B$6,"",Constants!$B$16+SUM($BC277:$BG277))</f>
        <v/>
      </c>
      <c r="BI277" s="138" t="str">
        <f aca="false">IF($BX277&lt;&gt;Constants!$B$6,"",$BC277)</f>
        <v/>
      </c>
      <c r="BJ277" s="138" t="str">
        <f aca="false">IF($BX277&lt;&gt;Constants!$B$6,"",$BD277)</f>
        <v/>
      </c>
      <c r="BK277" s="140" t="str">
        <f aca="false">IF($BX277&lt;&gt;Constants!$B$6,"",IF($AL277,$AN277,""))</f>
        <v/>
      </c>
      <c r="BL277" s="135" t="str">
        <f aca="false">IF($BX277&lt;&gt;Constants!$B$6,"",IF(OR($BS277&lt;$BH277,AND($BS277=$BH277,OR($BT277&lt;$BI277,AND($BT277=$BI277,OR($BU277&lt;$BJ277,AND($BU277=$BJ277,AND(ISNUMBER($BV277),OR(NOT(ISNUMBER($BK277)),$BV277&lt;$BK277)))))))),"-&gt;","&lt;-"))</f>
        <v/>
      </c>
      <c r="BM277" s="134" t="str">
        <f aca="false">IF(ISBLANK($C277),"",AND($AT277,OR($AU277="",$AV277="",AND($AW277,$AX277=""))))</f>
        <v/>
      </c>
      <c r="BN277" s="137" t="str">
        <f aca="false">IF($BX277&lt;&gt;Constants!$B$6,"",IF($AT277,Constants!$B$17*$AV277+Constants!$B$18*IF($AW277,$AX277,Constants!$B$19),Constants!$B$20))</f>
        <v/>
      </c>
      <c r="BO277" s="138" t="str">
        <f aca="false">IF($BX277&lt;&gt;Constants!$B$6,"",Constants!$B$21*ABS($AD$9-IF($AT277,$AU277,0)))</f>
        <v/>
      </c>
      <c r="BP277" s="138" t="str">
        <f aca="false">IF($BX277&lt;&gt;Constants!$B$6,"",IF(AND($AT277,$AY277,$AW277),Constants!$B$22,0))</f>
        <v/>
      </c>
      <c r="BQ277" s="138" t="str">
        <f aca="false">IF($BX277&lt;&gt;Constants!$B$6,"",IF($AT277,($AI277-Constants!$B$24)*Constants!$B$23,0))</f>
        <v/>
      </c>
      <c r="BR277" s="138" t="str">
        <f aca="false">IF($BX277&lt;&gt;Constants!$B$6,"",IF($AS277,0,Constants!$B$12)+IF($AR277,0,Constants!$B$13)+IF($AH277,0,Constants!$B$14))</f>
        <v/>
      </c>
      <c r="BS277" s="139" t="str">
        <f aca="false">IF($BX277&lt;&gt;Constants!$B$6,"",Constants!$B$16+SUM($BN277:$BR277))</f>
        <v/>
      </c>
      <c r="BT277" s="138" t="str">
        <f aca="false">IF($BX277&lt;&gt;Constants!$B$6,"",$BN277)</f>
        <v/>
      </c>
      <c r="BU277" s="138" t="str">
        <f aca="false">IF($BX277&lt;&gt;Constants!$B$6,"",$BO277)</f>
        <v/>
      </c>
      <c r="BV277" s="140" t="str">
        <f aca="false">IF($BX277&lt;&gt;Constants!$B$6,"",IF($AT277,$AV277,""))</f>
        <v/>
      </c>
      <c r="BW277" s="135" t="str">
        <f aca="false">IF(ISBLANK($C277),"",IF(ISBLANK($D$7),$BW$5,IF(NOT(ISNUMBER($D$7)),$BW$6,"")))</f>
        <v/>
      </c>
      <c r="BX277" s="135" t="str">
        <f aca="false">IF(ISBLANK($C277),"",IF($BA277,Constants!$B$9,IF(COUNTA($E277:$AA277)=0,Constants!$B$8,IF(NOT($AG277),Constants!$B$7,IF(OR($BW277&lt;&gt;"",$BB277,$BM277),Constants!$B$10,Constants!$B$6)))))</f>
        <v/>
      </c>
      <c r="BY277" s="135" t="str">
        <f aca="false">IF(ISBLANK($C277),"",IF($BX277&lt;&gt;Constants!$B$6,$BX277,Constants!$B$11))</f>
        <v/>
      </c>
      <c r="BZ277" s="138" t="str">
        <f aca="false">IF($BX277&lt;&gt;Constants!$B$6,"",IF($BL277="-&gt;",$BS277,$BH277))</f>
        <v/>
      </c>
      <c r="CA277" s="138" t="str">
        <f aca="false">IF($BX277&lt;&gt;Constants!$B$6,"",IF($AF277,0,Constants!$B$15))</f>
        <v/>
      </c>
      <c r="CB277" s="138" t="str">
        <f aca="false">IF($BX277&lt;&gt;Constants!$B$6,"",((Constants!$B$25-$AZ277)-Constants!$B$25)/Constants!$B$26)</f>
        <v/>
      </c>
      <c r="CC277" s="138" t="str">
        <f aca="false">IF(ISBLANK($C277),"",IF($BX277&lt;&gt;Constants!$B$6,$BX277,SUM($BZ277:$CB277)))</f>
        <v/>
      </c>
      <c r="CD277" s="135" t="str">
        <f aca="false">IF(ISBLANK($C277),"",IF($BX277&lt;&gt;Constants!$B$6,$BX277,RANK($CC277,$CC$9:$CC$508,1)))</f>
        <v/>
      </c>
      <c r="CE277" s="138" t="str">
        <f aca="false">IF($BX277&lt;&gt;Constants!$B$6,"",IF($BL277="-&gt;",$BT277,$BI277))</f>
        <v/>
      </c>
      <c r="CF277" s="135" t="str">
        <f aca="false">IF(ISBLANK($C277),"",IF($BX277&lt;&gt;Constants!$B$6,$BX277,IF(ISNUMBER($CE277),RANK($CE277,$CE$9:$CE$508,1),COUNT($CE$9:$CE$508)+1)))</f>
        <v/>
      </c>
      <c r="CG277" s="138" t="str">
        <f aca="false">IF($BX277&lt;&gt;Constants!$B$6,"",IF($BL277="-&gt;",$BU277,$BJ277))</f>
        <v/>
      </c>
      <c r="CH277" s="135" t="str">
        <f aca="false">IF(ISBLANK($C277),"",IF($BX277&lt;&gt;Constants!$B$6,$BX277,IF(ISNUMBER($CG277),RANK($CG277,$CG$9:$CG$508,1),COUNT($CG$9:$CG$508)+1)))</f>
        <v/>
      </c>
      <c r="CI277" s="138" t="str">
        <f aca="false">IF($BX277&lt;&gt;Constants!$B$6,"",IF($BL277="-&gt;",$BV277,$BK277))</f>
        <v/>
      </c>
      <c r="CJ277" s="135" t="str">
        <f aca="false">IF(ISBLANK($C277),"",IF($BX277&lt;&gt;Constants!$B$6,$BX277,IF(ISNUMBER($CI277),RANK($CI277,$CI$9:$CI$508,1),COUNT($CI$9:$CI$508)+1)))</f>
        <v/>
      </c>
      <c r="CK277" s="138" t="str">
        <f aca="false">IF($BX277&lt;&gt;Constants!$B$6,"",$AI277)</f>
        <v/>
      </c>
      <c r="CL277" s="135" t="str">
        <f aca="false">IF(ISBLANK($C277),"",IF($BX277&lt;&gt;Constants!$B$6,$BX277,IF(ISNUMBER($CK277),RANK($CK277,$CK$9:$CK$508,1),COUNT($CK$9:$CK$508)+1)))</f>
        <v/>
      </c>
      <c r="CM277" s="135" t="str">
        <f aca="false">IF(ISBLANK($C277),"",IF($BX277&lt;&gt;Constants!$B$6,$BX277,COUNTIFS($CD$9:$CD$508,"&lt;"&amp;$CD277)+COUNTIFS($CD$9:$CD$508,$CD277,$CF$9:$CF$508,"&lt;"&amp;$CF277)+COUNTIFS($CD$9:$CD$508,$CD277,$CF$9:$CF$508,$CF277,$CH$9:$CH$508,"&lt;"&amp;$CH277)+COUNTIFS($CD$9:$CD$508,$CD277,$CF$9:$CF$508,$CF277,$CH$9:$CH$508,$CH277,$CJ$9:$CJ$508,"&lt;"&amp;$CJ277)+COUNTIFS($CD$9:$CD$508,$CD277,$CF$9:$CF$508,$CF277,$CH$9:$CH$508,$CH277,$CJ$9:$CJ$508,$CJ277,$CL$9:$CL$508,"&lt;"&amp;$CL277)+1))</f>
        <v/>
      </c>
      <c r="CN277" s="135" t="str">
        <f aca="false">IF(ISBLANK($C277),"",IF($BX277&lt;&gt;Constants!$B$6,$BX277,$CD277-$CM277))</f>
        <v/>
      </c>
      <c r="CO277" s="141"/>
      <c r="CP277" s="142"/>
      <c r="CQ277" s="143" t="str">
        <f aca="false">IF(ISBLANK($C277),"",IF($BX277=Constants!$B$10,$BW277,""))</f>
        <v/>
      </c>
      <c r="CR277" s="142" t="str">
        <f aca="false">IF(ISBLANK($C277),"",IF($BX277&lt;&gt;Constants!$B$6,"",IF($BL277="-&gt;",2,1)))</f>
        <v/>
      </c>
      <c r="CS277" s="144" t="str">
        <f aca="false">IF(ISBLANK($C277),"",IF($BX277&lt;&gt;Constants!$B$6,"",IF($BL277="-&gt;",$BN277,$BC277)))</f>
        <v/>
      </c>
      <c r="CT277" s="144" t="str">
        <f aca="false">IF(ISBLANK($C277),"",IF($BX277&lt;&gt;Constants!$B$6,"",IF($BL277="-&gt;",$BO277,$BD277)))</f>
        <v/>
      </c>
      <c r="CU277" s="144" t="str">
        <f aca="false">IF(ISBLANK($C277),"",IF($BX277&lt;&gt;Constants!$B$6,"",IF($BL277="-&gt;",$BP277+$BQ277,$BE277+$BF277)+$CB277))</f>
        <v/>
      </c>
      <c r="CV277" s="144" t="str">
        <f aca="false">IF(ISBLANK($C277),"",IF($BX277&lt;&gt;Constants!$B$6,"",IF($BL277="-&gt;",$BR277,$BG277)+$CA277))</f>
        <v/>
      </c>
      <c r="CW277" s="145" t="str">
        <f aca="false">IF(ISBLANK($C277),"",IF($BX277&lt;&gt;Constants!$B$6,$BX277,$CC277))</f>
        <v/>
      </c>
      <c r="CX277" s="146" t="str">
        <f aca="false">IF(ISBLANK($C277),"",$BY277)</f>
        <v/>
      </c>
      <c r="CY277" s="147" t="str">
        <f aca="false">IF(ISBLANK($C277),"",$CN277)</f>
        <v/>
      </c>
      <c r="CZ277" s="147" t="str">
        <f aca="false">IF(ISBLANK($C277),"",$CM277)</f>
        <v/>
      </c>
      <c r="DA277" s="148" t="str">
        <f aca="false">IF(ISBLANK($C277),"",IFERROR(_xlfn.SWITCH($CZ277,Constants!$B$9,COUNTA($C$9:$C$508)+2,Constants!$B$8,COUNTA($C$9:$C$508)+1,Constants!$B$7,COUNTA($C$9:$C$508)),$CZ277))</f>
        <v/>
      </c>
      <c r="DB277" s="9"/>
      <c r="DC277" s="149" t="n">
        <f aca="false">IF(OR(ISNUMBER($CZ277),$CZ277=Constants!$B$9,$CZ277=Constants!$B$7,$CZ277=Constants!$B$8),1,0)</f>
        <v>0</v>
      </c>
      <c r="DD277" s="149" t="n">
        <v>269</v>
      </c>
      <c r="DE277" s="149" t="str">
        <f aca="false">IF(ISBLANK($C277),"",IF(ISNUMBER($DA277),$DA277+ROW($B277)/1000,""))</f>
        <v/>
      </c>
      <c r="DF277" s="149" t="str">
        <f aca="false">IF(ISNUMBER($DE277),RANK($DE277,$DE$9:$DE$508,1),"")</f>
        <v/>
      </c>
      <c r="DG277" s="149" t="str">
        <f aca="false">IF(ISBLANK($C277),"",$B277)</f>
        <v/>
      </c>
      <c r="DH277" s="149" t="str">
        <f aca="false">IF(ISBLANK($C277),"",$C277)</f>
        <v/>
      </c>
      <c r="DI277" s="149" t="str">
        <f aca="false">IF(ISBLANK($C277),"",$D277)</f>
        <v/>
      </c>
      <c r="DJ277" s="150" t="str">
        <f aca="false">$CX277</f>
        <v/>
      </c>
      <c r="DK277" s="151" t="str">
        <f aca="false">$CW277</f>
        <v/>
      </c>
      <c r="DL277" s="149" t="str">
        <f aca="false">IF(ISBLANK($C277),"",$CZ277)</f>
        <v/>
      </c>
      <c r="DM277" s="152" t="str">
        <f aca="false">IF($DD277&gt;$DC$8,"",VLOOKUP($DD277,$DF$9:$DL$508,7,FALSE()))</f>
        <v/>
      </c>
      <c r="DN277" s="153" t="str">
        <f aca="false">IF($DD277&gt;$DC$8,"",VLOOKUP($DD277,$DF$9:$DL$508,2,FALSE()))</f>
        <v/>
      </c>
      <c r="DO277" s="153" t="str">
        <f aca="false">IF($DD277&gt;$DC$8,"",VLOOKUP($DD277,$DF$9:$DL$508,3,FALSE()))</f>
        <v/>
      </c>
      <c r="DP277" s="153" t="str">
        <f aca="false">IF($DD277&gt;$DC$8,"",VLOOKUP($DD277,$DF$9:$DL$508,4,FALSE()))</f>
        <v/>
      </c>
      <c r="DQ277" s="153" t="str">
        <f aca="false">IF($DD277&gt;$DC$8,"",VLOOKUP($DD277,$DF$9:$DL$508,5,FALSE()))</f>
        <v/>
      </c>
      <c r="DR277" s="154" t="str">
        <f aca="false">IF($DD277&gt;$DC$8,"",VLOOKUP($DD277,$DF$9:$DL$508,6,FALSE()))</f>
        <v/>
      </c>
      <c r="DS277" s="76"/>
    </row>
    <row r="278" customFormat="false" ht="15.75" hidden="false" customHeight="false" outlineLevel="0" collapsed="false">
      <c r="A278" s="9"/>
      <c r="B278" s="160"/>
      <c r="C278" s="161"/>
      <c r="D278" s="162"/>
      <c r="E278" s="180"/>
      <c r="F278" s="164"/>
      <c r="G278" s="165"/>
      <c r="H278" s="165"/>
      <c r="I278" s="181"/>
      <c r="J278" s="168"/>
      <c r="K278" s="128"/>
      <c r="L278" s="129"/>
      <c r="M278" s="130"/>
      <c r="N278" s="168"/>
      <c r="O278" s="168"/>
      <c r="P278" s="180"/>
      <c r="Q278" s="168"/>
      <c r="R278" s="168"/>
      <c r="S278" s="128"/>
      <c r="T278" s="130"/>
      <c r="U278" s="130"/>
      <c r="V278" s="168"/>
      <c r="W278" s="168"/>
      <c r="X278" s="180"/>
      <c r="Y278" s="168"/>
      <c r="Z278" s="169"/>
      <c r="AA278" s="168"/>
      <c r="AB278" s="134"/>
      <c r="AC278" s="135"/>
      <c r="AD278" s="135"/>
      <c r="AE278" s="135"/>
      <c r="AF278" s="135" t="str">
        <f aca="false">IF(ISBLANK($C278),"",IF(E278=Constants!$B$2,TRUE(),IF(E278=Constants!$B$3,FALSE(),TRUE())))</f>
        <v/>
      </c>
      <c r="AG278" s="135" t="str">
        <f aca="false">IF(ISBLANK($C278),"",IF(F278=Constants!$B$2,TRUE(),IF(F278=Constants!$B$3,FALSE(),TRUE())))</f>
        <v/>
      </c>
      <c r="AH278" s="135" t="str">
        <f aca="false">IF(ISBLANK($C278),"",IF(G278=Constants!$B$2,TRUE(),IF(G278=Constants!$B$3,FALSE(),TRUE())))</f>
        <v/>
      </c>
      <c r="AI278" s="135" t="str">
        <f aca="false">IF(ISBLANK($C278),"",IF(AND(ISNUMBER(H278),H278&gt;=0),H278,Constants!$B$24))</f>
        <v/>
      </c>
      <c r="AJ278" s="135" t="str">
        <f aca="false">IF(ISBLANK($C278),"",IF(I278=Constants!$B$2,TRUE(),IF(I278=Constants!$B$3,FALSE(),TRUE())))</f>
        <v/>
      </c>
      <c r="AK278" s="135" t="str">
        <f aca="false">IF(ISBLANK($C278),"",IF(J278=Constants!$B$2,TRUE(),IF(J278=Constants!$B$3,FALSE(),TRUE())))</f>
        <v/>
      </c>
      <c r="AL278" s="135" t="str">
        <f aca="false">IF(ISBLANK($C278),"",IF(K278=Constants!$B$4,TRUE(),IF(K278=Constants!$B$5,FALSE(),COUNTA(L278:P278)&gt;0)))</f>
        <v/>
      </c>
      <c r="AM278" s="136" t="str">
        <f aca="false">IF(ISBLANK($C278),"",IF(ISNUMBER(L278),IF(L278&gt;=0,L278,""),""))</f>
        <v/>
      </c>
      <c r="AN278" s="137" t="str">
        <f aca="false">IF(ISBLANK($C278),"",IF(ISNUMBER(M278),IF(M278&gt;=0,M278,""),""))</f>
        <v/>
      </c>
      <c r="AO278" s="137" t="str">
        <f aca="false">IF(ISBLANK($C278),"",IF(N278=Constants!$B$2,TRUE(),IF(N278=Constants!$B$3,FALSE(),TRUE())))</f>
        <v/>
      </c>
      <c r="AP278" s="135" t="str">
        <f aca="false">IF(ISBLANK($C278),"",IF(ISNUMBER(O278),IF(O278&gt;=0,O278,""),""))</f>
        <v/>
      </c>
      <c r="AQ278" s="135" t="str">
        <f aca="false">IF(ISBLANK($C278),"",IF(P278=Constants!$B$2,TRUE(),IF(P278=Constants!$B$3,FALSE(),FALSE())))</f>
        <v/>
      </c>
      <c r="AR278" s="135" t="str">
        <f aca="false">IF(ISBLANK($C278),"",IF(Q278=Constants!$B$2,TRUE(),IF(Q278=Constants!$B$3,FALSE(),TRUE())))</f>
        <v/>
      </c>
      <c r="AS278" s="135" t="str">
        <f aca="false">IF(ISBLANK($C278),"",IF(R278=Constants!$B$2,TRUE(),IF(R278=Constants!$B$3,FALSE(),TRUE())))</f>
        <v/>
      </c>
      <c r="AT278" s="135" t="str">
        <f aca="false">IF(ISBLANK($C278),"",IF(S278=Constants!$B$4,TRUE(),IF(S278=Constants!$B$5,FALSE(),COUNTA(T278:X278)&gt;0)))</f>
        <v/>
      </c>
      <c r="AU278" s="136" t="str">
        <f aca="false">IF(ISBLANK($C278),"",IF(ISNUMBER(T278),IF(T278&gt;=0,T278,""),""))</f>
        <v/>
      </c>
      <c r="AV278" s="137" t="str">
        <f aca="false">IF(ISBLANK($C278),"",IF(ISNUMBER(U278),IF(U278&gt;=0,U278,""),""))</f>
        <v/>
      </c>
      <c r="AW278" s="137" t="str">
        <f aca="false">IF(ISBLANK($C278),"",IF(V278=Constants!$B$2,TRUE(),IF(V278=Constants!$B$3,FALSE(),TRUE())))</f>
        <v/>
      </c>
      <c r="AX278" s="135" t="str">
        <f aca="false">IF(ISBLANK($C278),"",IF(ISNUMBER(W278),IF(W278&gt;=0,W278,""),""))</f>
        <v/>
      </c>
      <c r="AY278" s="135" t="str">
        <f aca="false">IF(ISBLANK($C278),"",IF(X278=Constants!$B$2,TRUE(),IF(X278=Constants!$B$3,FALSE(),FALSE())))</f>
        <v/>
      </c>
      <c r="AZ278" s="135" t="str">
        <f aca="false">IF(ISBLANK($C278),"",MIN(Constants!$B$25,MAX(0,IF(ISNUMBER(Y278),Y278*60,0)+IF(ISNUMBER(Z278),Z278,0))))</f>
        <v/>
      </c>
      <c r="BA278" s="135" t="str">
        <f aca="false">IF(ISBLANK($C278),"",IF(AA278=Constants!$B$2,TRUE(),IF(AA278=Constants!$B$3,FALSE(),FALSE())))</f>
        <v/>
      </c>
      <c r="BB278" s="134" t="str">
        <f aca="false">IF(ISBLANK($C278),"",AND($AL278,OR($AM278="",$AN278="",AND($AO278,$AP278=""))))</f>
        <v/>
      </c>
      <c r="BC278" s="137" t="str">
        <f aca="false">IF($BX278&lt;&gt;Constants!$B$6,"",IF($AL278,Constants!$B$17*$AN278+Constants!$B$18*IF($AO278,$AP278,Constants!$B$19),Constants!$B$20))</f>
        <v/>
      </c>
      <c r="BD278" s="138" t="str">
        <f aca="false">IF($BX278&lt;&gt;Constants!$B$6,"",Constants!$B$21*ABS($AD$9-IF($AL278,$AM278,0)))</f>
        <v/>
      </c>
      <c r="BE278" s="138" t="str">
        <f aca="false">IF($BX278&lt;&gt;Constants!$B$6,"",IF(AND($AL278,$AQ278,$AO278),Constants!$B$22,0))</f>
        <v/>
      </c>
      <c r="BF278" s="138" t="str">
        <f aca="false">IF($BX278&lt;&gt;Constants!$B$6,"",IF($AL278,($AI278-Constants!$B$24)*Constants!$B$23,0))</f>
        <v/>
      </c>
      <c r="BG278" s="138" t="str">
        <f aca="false">IF($BX278&lt;&gt;Constants!$B$6,"",IF($AK278,0,Constants!$B$12)+IF($AJ278,0,Constants!$B$13)+IF($AH278,0,Constants!$B$14))</f>
        <v/>
      </c>
      <c r="BH278" s="139" t="str">
        <f aca="false">IF($BX278&lt;&gt;Constants!$B$6,"",Constants!$B$16+SUM($BC278:$BG278))</f>
        <v/>
      </c>
      <c r="BI278" s="138" t="str">
        <f aca="false">IF($BX278&lt;&gt;Constants!$B$6,"",$BC278)</f>
        <v/>
      </c>
      <c r="BJ278" s="138" t="str">
        <f aca="false">IF($BX278&lt;&gt;Constants!$B$6,"",$BD278)</f>
        <v/>
      </c>
      <c r="BK278" s="140" t="str">
        <f aca="false">IF($BX278&lt;&gt;Constants!$B$6,"",IF($AL278,$AN278,""))</f>
        <v/>
      </c>
      <c r="BL278" s="135" t="str">
        <f aca="false">IF($BX278&lt;&gt;Constants!$B$6,"",IF(OR($BS278&lt;$BH278,AND($BS278=$BH278,OR($BT278&lt;$BI278,AND($BT278=$BI278,OR($BU278&lt;$BJ278,AND($BU278=$BJ278,AND(ISNUMBER($BV278),OR(NOT(ISNUMBER($BK278)),$BV278&lt;$BK278)))))))),"-&gt;","&lt;-"))</f>
        <v/>
      </c>
      <c r="BM278" s="134" t="str">
        <f aca="false">IF(ISBLANK($C278),"",AND($AT278,OR($AU278="",$AV278="",AND($AW278,$AX278=""))))</f>
        <v/>
      </c>
      <c r="BN278" s="137" t="str">
        <f aca="false">IF($BX278&lt;&gt;Constants!$B$6,"",IF($AT278,Constants!$B$17*$AV278+Constants!$B$18*IF($AW278,$AX278,Constants!$B$19),Constants!$B$20))</f>
        <v/>
      </c>
      <c r="BO278" s="138" t="str">
        <f aca="false">IF($BX278&lt;&gt;Constants!$B$6,"",Constants!$B$21*ABS($AD$9-IF($AT278,$AU278,0)))</f>
        <v/>
      </c>
      <c r="BP278" s="138" t="str">
        <f aca="false">IF($BX278&lt;&gt;Constants!$B$6,"",IF(AND($AT278,$AY278,$AW278),Constants!$B$22,0))</f>
        <v/>
      </c>
      <c r="BQ278" s="138" t="str">
        <f aca="false">IF($BX278&lt;&gt;Constants!$B$6,"",IF($AT278,($AI278-Constants!$B$24)*Constants!$B$23,0))</f>
        <v/>
      </c>
      <c r="BR278" s="138" t="str">
        <f aca="false">IF($BX278&lt;&gt;Constants!$B$6,"",IF($AS278,0,Constants!$B$12)+IF($AR278,0,Constants!$B$13)+IF($AH278,0,Constants!$B$14))</f>
        <v/>
      </c>
      <c r="BS278" s="139" t="str">
        <f aca="false">IF($BX278&lt;&gt;Constants!$B$6,"",Constants!$B$16+SUM($BN278:$BR278))</f>
        <v/>
      </c>
      <c r="BT278" s="138" t="str">
        <f aca="false">IF($BX278&lt;&gt;Constants!$B$6,"",$BN278)</f>
        <v/>
      </c>
      <c r="BU278" s="138" t="str">
        <f aca="false">IF($BX278&lt;&gt;Constants!$B$6,"",$BO278)</f>
        <v/>
      </c>
      <c r="BV278" s="140" t="str">
        <f aca="false">IF($BX278&lt;&gt;Constants!$B$6,"",IF($AT278,$AV278,""))</f>
        <v/>
      </c>
      <c r="BW278" s="135" t="str">
        <f aca="false">IF(ISBLANK($C278),"",IF(ISBLANK($D$7),$BW$5,IF(NOT(ISNUMBER($D$7)),$BW$6,"")))</f>
        <v/>
      </c>
      <c r="BX278" s="135" t="str">
        <f aca="false">IF(ISBLANK($C278),"",IF($BA278,Constants!$B$9,IF(COUNTA($E278:$AA278)=0,Constants!$B$8,IF(NOT($AG278),Constants!$B$7,IF(OR($BW278&lt;&gt;"",$BB278,$BM278),Constants!$B$10,Constants!$B$6)))))</f>
        <v/>
      </c>
      <c r="BY278" s="135" t="str">
        <f aca="false">IF(ISBLANK($C278),"",IF($BX278&lt;&gt;Constants!$B$6,$BX278,Constants!$B$11))</f>
        <v/>
      </c>
      <c r="BZ278" s="138" t="str">
        <f aca="false">IF($BX278&lt;&gt;Constants!$B$6,"",IF($BL278="-&gt;",$BS278,$BH278))</f>
        <v/>
      </c>
      <c r="CA278" s="138" t="str">
        <f aca="false">IF($BX278&lt;&gt;Constants!$B$6,"",IF($AF278,0,Constants!$B$15))</f>
        <v/>
      </c>
      <c r="CB278" s="138" t="str">
        <f aca="false">IF($BX278&lt;&gt;Constants!$B$6,"",((Constants!$B$25-$AZ278)-Constants!$B$25)/Constants!$B$26)</f>
        <v/>
      </c>
      <c r="CC278" s="138" t="str">
        <f aca="false">IF(ISBLANK($C278),"",IF($BX278&lt;&gt;Constants!$B$6,$BX278,SUM($BZ278:$CB278)))</f>
        <v/>
      </c>
      <c r="CD278" s="135" t="str">
        <f aca="false">IF(ISBLANK($C278),"",IF($BX278&lt;&gt;Constants!$B$6,$BX278,RANK($CC278,$CC$9:$CC$508,1)))</f>
        <v/>
      </c>
      <c r="CE278" s="138" t="str">
        <f aca="false">IF($BX278&lt;&gt;Constants!$B$6,"",IF($BL278="-&gt;",$BT278,$BI278))</f>
        <v/>
      </c>
      <c r="CF278" s="135" t="str">
        <f aca="false">IF(ISBLANK($C278),"",IF($BX278&lt;&gt;Constants!$B$6,$BX278,IF(ISNUMBER($CE278),RANK($CE278,$CE$9:$CE$508,1),COUNT($CE$9:$CE$508)+1)))</f>
        <v/>
      </c>
      <c r="CG278" s="138" t="str">
        <f aca="false">IF($BX278&lt;&gt;Constants!$B$6,"",IF($BL278="-&gt;",$BU278,$BJ278))</f>
        <v/>
      </c>
      <c r="CH278" s="135" t="str">
        <f aca="false">IF(ISBLANK($C278),"",IF($BX278&lt;&gt;Constants!$B$6,$BX278,IF(ISNUMBER($CG278),RANK($CG278,$CG$9:$CG$508,1),COUNT($CG$9:$CG$508)+1)))</f>
        <v/>
      </c>
      <c r="CI278" s="138" t="str">
        <f aca="false">IF($BX278&lt;&gt;Constants!$B$6,"",IF($BL278="-&gt;",$BV278,$BK278))</f>
        <v/>
      </c>
      <c r="CJ278" s="135" t="str">
        <f aca="false">IF(ISBLANK($C278),"",IF($BX278&lt;&gt;Constants!$B$6,$BX278,IF(ISNUMBER($CI278),RANK($CI278,$CI$9:$CI$508,1),COUNT($CI$9:$CI$508)+1)))</f>
        <v/>
      </c>
      <c r="CK278" s="138" t="str">
        <f aca="false">IF($BX278&lt;&gt;Constants!$B$6,"",$AI278)</f>
        <v/>
      </c>
      <c r="CL278" s="135" t="str">
        <f aca="false">IF(ISBLANK($C278),"",IF($BX278&lt;&gt;Constants!$B$6,$BX278,IF(ISNUMBER($CK278),RANK($CK278,$CK$9:$CK$508,1),COUNT($CK$9:$CK$508)+1)))</f>
        <v/>
      </c>
      <c r="CM278" s="135" t="str">
        <f aca="false">IF(ISBLANK($C278),"",IF($BX278&lt;&gt;Constants!$B$6,$BX278,COUNTIFS($CD$9:$CD$508,"&lt;"&amp;$CD278)+COUNTIFS($CD$9:$CD$508,$CD278,$CF$9:$CF$508,"&lt;"&amp;$CF278)+COUNTIFS($CD$9:$CD$508,$CD278,$CF$9:$CF$508,$CF278,$CH$9:$CH$508,"&lt;"&amp;$CH278)+COUNTIFS($CD$9:$CD$508,$CD278,$CF$9:$CF$508,$CF278,$CH$9:$CH$508,$CH278,$CJ$9:$CJ$508,"&lt;"&amp;$CJ278)+COUNTIFS($CD$9:$CD$508,$CD278,$CF$9:$CF$508,$CF278,$CH$9:$CH$508,$CH278,$CJ$9:$CJ$508,$CJ278,$CL$9:$CL$508,"&lt;"&amp;$CL278)+1))</f>
        <v/>
      </c>
      <c r="CN278" s="135" t="str">
        <f aca="false">IF(ISBLANK($C278),"",IF($BX278&lt;&gt;Constants!$B$6,$BX278,$CD278-$CM278))</f>
        <v/>
      </c>
      <c r="CO278" s="141"/>
      <c r="CP278" s="142"/>
      <c r="CQ278" s="143" t="str">
        <f aca="false">IF(ISBLANK($C278),"",IF($BX278=Constants!$B$10,$BW278,""))</f>
        <v/>
      </c>
      <c r="CR278" s="142" t="str">
        <f aca="false">IF(ISBLANK($C278),"",IF($BX278&lt;&gt;Constants!$B$6,"",IF($BL278="-&gt;",2,1)))</f>
        <v/>
      </c>
      <c r="CS278" s="144" t="str">
        <f aca="false">IF(ISBLANK($C278),"",IF($BX278&lt;&gt;Constants!$B$6,"",IF($BL278="-&gt;",$BN278,$BC278)))</f>
        <v/>
      </c>
      <c r="CT278" s="144" t="str">
        <f aca="false">IF(ISBLANK($C278),"",IF($BX278&lt;&gt;Constants!$B$6,"",IF($BL278="-&gt;",$BO278,$BD278)))</f>
        <v/>
      </c>
      <c r="CU278" s="144" t="str">
        <f aca="false">IF(ISBLANK($C278),"",IF($BX278&lt;&gt;Constants!$B$6,"",IF($BL278="-&gt;",$BP278+$BQ278,$BE278+$BF278)+$CB278))</f>
        <v/>
      </c>
      <c r="CV278" s="144" t="str">
        <f aca="false">IF(ISBLANK($C278),"",IF($BX278&lt;&gt;Constants!$B$6,"",IF($BL278="-&gt;",$BR278,$BG278)+$CA278))</f>
        <v/>
      </c>
      <c r="CW278" s="145" t="str">
        <f aca="false">IF(ISBLANK($C278),"",IF($BX278&lt;&gt;Constants!$B$6,$BX278,$CC278))</f>
        <v/>
      </c>
      <c r="CX278" s="146" t="str">
        <f aca="false">IF(ISBLANK($C278),"",$BY278)</f>
        <v/>
      </c>
      <c r="CY278" s="147" t="str">
        <f aca="false">IF(ISBLANK($C278),"",$CN278)</f>
        <v/>
      </c>
      <c r="CZ278" s="147" t="str">
        <f aca="false">IF(ISBLANK($C278),"",$CM278)</f>
        <v/>
      </c>
      <c r="DA278" s="148" t="str">
        <f aca="false">IF(ISBLANK($C278),"",IFERROR(_xlfn.SWITCH($CZ278,Constants!$B$9,COUNTA($C$9:$C$508)+2,Constants!$B$8,COUNTA($C$9:$C$508)+1,Constants!$B$7,COUNTA($C$9:$C$508)),$CZ278))</f>
        <v/>
      </c>
      <c r="DB278" s="9"/>
      <c r="DC278" s="149" t="n">
        <f aca="false">IF(OR(ISNUMBER($CZ278),$CZ278=Constants!$B$9,$CZ278=Constants!$B$7,$CZ278=Constants!$B$8),1,0)</f>
        <v>0</v>
      </c>
      <c r="DD278" s="149" t="n">
        <v>270</v>
      </c>
      <c r="DE278" s="149" t="str">
        <f aca="false">IF(ISBLANK($C278),"",IF(ISNUMBER($DA278),$DA278+ROW($B278)/1000,""))</f>
        <v/>
      </c>
      <c r="DF278" s="149" t="str">
        <f aca="false">IF(ISNUMBER($DE278),RANK($DE278,$DE$9:$DE$508,1),"")</f>
        <v/>
      </c>
      <c r="DG278" s="149" t="str">
        <f aca="false">IF(ISBLANK($C278),"",$B278)</f>
        <v/>
      </c>
      <c r="DH278" s="149" t="str">
        <f aca="false">IF(ISBLANK($C278),"",$C278)</f>
        <v/>
      </c>
      <c r="DI278" s="149" t="str">
        <f aca="false">IF(ISBLANK($C278),"",$D278)</f>
        <v/>
      </c>
      <c r="DJ278" s="150" t="str">
        <f aca="false">$CX278</f>
        <v/>
      </c>
      <c r="DK278" s="151" t="str">
        <f aca="false">$CW278</f>
        <v/>
      </c>
      <c r="DL278" s="149" t="str">
        <f aca="false">IF(ISBLANK($C278),"",$CZ278)</f>
        <v/>
      </c>
      <c r="DM278" s="152" t="str">
        <f aca="false">IF($DD278&gt;$DC$8,"",VLOOKUP($DD278,$DF$9:$DL$508,7,FALSE()))</f>
        <v/>
      </c>
      <c r="DN278" s="153" t="str">
        <f aca="false">IF($DD278&gt;$DC$8,"",VLOOKUP($DD278,$DF$9:$DL$508,2,FALSE()))</f>
        <v/>
      </c>
      <c r="DO278" s="153" t="str">
        <f aca="false">IF($DD278&gt;$DC$8,"",VLOOKUP($DD278,$DF$9:$DL$508,3,FALSE()))</f>
        <v/>
      </c>
      <c r="DP278" s="153" t="str">
        <f aca="false">IF($DD278&gt;$DC$8,"",VLOOKUP($DD278,$DF$9:$DL$508,4,FALSE()))</f>
        <v/>
      </c>
      <c r="DQ278" s="153" t="str">
        <f aca="false">IF($DD278&gt;$DC$8,"",VLOOKUP($DD278,$DF$9:$DL$508,5,FALSE()))</f>
        <v/>
      </c>
      <c r="DR278" s="154" t="str">
        <f aca="false">IF($DD278&gt;$DC$8,"",VLOOKUP($DD278,$DF$9:$DL$508,6,FALSE()))</f>
        <v/>
      </c>
      <c r="DS278" s="76"/>
    </row>
    <row r="279" customFormat="false" ht="15.75" hidden="false" customHeight="false" outlineLevel="0" collapsed="false">
      <c r="A279" s="9"/>
      <c r="B279" s="78"/>
      <c r="C279" s="79"/>
      <c r="D279" s="170"/>
      <c r="E279" s="178"/>
      <c r="F279" s="172"/>
      <c r="G279" s="173"/>
      <c r="H279" s="173"/>
      <c r="I279" s="179"/>
      <c r="J279" s="176"/>
      <c r="K279" s="86"/>
      <c r="L279" s="87"/>
      <c r="M279" s="88"/>
      <c r="N279" s="176"/>
      <c r="O279" s="176"/>
      <c r="P279" s="178"/>
      <c r="Q279" s="176"/>
      <c r="R279" s="176"/>
      <c r="S279" s="86"/>
      <c r="T279" s="88"/>
      <c r="U279" s="88"/>
      <c r="V279" s="176"/>
      <c r="W279" s="176"/>
      <c r="X279" s="178"/>
      <c r="Y279" s="176"/>
      <c r="Z279" s="177"/>
      <c r="AA279" s="176"/>
      <c r="AB279" s="92"/>
      <c r="AC279" s="93"/>
      <c r="AD279" s="93"/>
      <c r="AE279" s="93"/>
      <c r="AF279" s="93" t="str">
        <f aca="false">IF(ISBLANK($C279),"",IF(E279=Constants!$B$2,TRUE(),IF(E279=Constants!$B$3,FALSE(),TRUE())))</f>
        <v/>
      </c>
      <c r="AG279" s="93" t="str">
        <f aca="false">IF(ISBLANK($C279),"",IF(F279=Constants!$B$2,TRUE(),IF(F279=Constants!$B$3,FALSE(),TRUE())))</f>
        <v/>
      </c>
      <c r="AH279" s="93" t="str">
        <f aca="false">IF(ISBLANK($C279),"",IF(G279=Constants!$B$2,TRUE(),IF(G279=Constants!$B$3,FALSE(),TRUE())))</f>
        <v/>
      </c>
      <c r="AI279" s="93" t="str">
        <f aca="false">IF(ISBLANK($C279),"",IF(AND(ISNUMBER(H279),H279&gt;=0),H279,Constants!$B$24))</f>
        <v/>
      </c>
      <c r="AJ279" s="93" t="str">
        <f aca="false">IF(ISBLANK($C279),"",IF(I279=Constants!$B$2,TRUE(),IF(I279=Constants!$B$3,FALSE(),TRUE())))</f>
        <v/>
      </c>
      <c r="AK279" s="93" t="str">
        <f aca="false">IF(ISBLANK($C279),"",IF(J279=Constants!$B$2,TRUE(),IF(J279=Constants!$B$3,FALSE(),TRUE())))</f>
        <v/>
      </c>
      <c r="AL279" s="93" t="str">
        <f aca="false">IF(ISBLANK($C279),"",IF(K279=Constants!$B$4,TRUE(),IF(K279=Constants!$B$5,FALSE(),COUNTA(L279:P279)&gt;0)))</f>
        <v/>
      </c>
      <c r="AM279" s="95" t="str">
        <f aca="false">IF(ISBLANK($C279),"",IF(ISNUMBER(L279),IF(L279&gt;=0,L279,""),""))</f>
        <v/>
      </c>
      <c r="AN279" s="94" t="str">
        <f aca="false">IF(ISBLANK($C279),"",IF(ISNUMBER(M279),IF(M279&gt;=0,M279,""),""))</f>
        <v/>
      </c>
      <c r="AO279" s="94" t="str">
        <f aca="false">IF(ISBLANK($C279),"",IF(N279=Constants!$B$2,TRUE(),IF(N279=Constants!$B$3,FALSE(),TRUE())))</f>
        <v/>
      </c>
      <c r="AP279" s="93" t="str">
        <f aca="false">IF(ISBLANK($C279),"",IF(ISNUMBER(O279),IF(O279&gt;=0,O279,""),""))</f>
        <v/>
      </c>
      <c r="AQ279" s="93" t="str">
        <f aca="false">IF(ISBLANK($C279),"",IF(P279=Constants!$B$2,TRUE(),IF(P279=Constants!$B$3,FALSE(),FALSE())))</f>
        <v/>
      </c>
      <c r="AR279" s="93" t="str">
        <f aca="false">IF(ISBLANK($C279),"",IF(Q279=Constants!$B$2,TRUE(),IF(Q279=Constants!$B$3,FALSE(),TRUE())))</f>
        <v/>
      </c>
      <c r="AS279" s="93" t="str">
        <f aca="false">IF(ISBLANK($C279),"",IF(R279=Constants!$B$2,TRUE(),IF(R279=Constants!$B$3,FALSE(),TRUE())))</f>
        <v/>
      </c>
      <c r="AT279" s="93" t="str">
        <f aca="false">IF(ISBLANK($C279),"",IF(S279=Constants!$B$4,TRUE(),IF(S279=Constants!$B$5,FALSE(),COUNTA(T279:X279)&gt;0)))</f>
        <v/>
      </c>
      <c r="AU279" s="95" t="str">
        <f aca="false">IF(ISBLANK($C279),"",IF(ISNUMBER(T279),IF(T279&gt;=0,T279,""),""))</f>
        <v/>
      </c>
      <c r="AV279" s="94" t="str">
        <f aca="false">IF(ISBLANK($C279),"",IF(ISNUMBER(U279),IF(U279&gt;=0,U279,""),""))</f>
        <v/>
      </c>
      <c r="AW279" s="94" t="str">
        <f aca="false">IF(ISBLANK($C279),"",IF(V279=Constants!$B$2,TRUE(),IF(V279=Constants!$B$3,FALSE(),TRUE())))</f>
        <v/>
      </c>
      <c r="AX279" s="93" t="str">
        <f aca="false">IF(ISBLANK($C279),"",IF(ISNUMBER(W279),IF(W279&gt;=0,W279,""),""))</f>
        <v/>
      </c>
      <c r="AY279" s="93" t="str">
        <f aca="false">IF(ISBLANK($C279),"",IF(X279=Constants!$B$2,TRUE(),IF(X279=Constants!$B$3,FALSE(),FALSE())))</f>
        <v/>
      </c>
      <c r="AZ279" s="93" t="str">
        <f aca="false">IF(ISBLANK($C279),"",MIN(Constants!$B$25,MAX(0,IF(ISNUMBER(Y279),Y279*60,0)+IF(ISNUMBER(Z279),Z279,0))))</f>
        <v/>
      </c>
      <c r="BA279" s="93" t="str">
        <f aca="false">IF(ISBLANK($C279),"",IF(AA279=Constants!$B$2,TRUE(),IF(AA279=Constants!$B$3,FALSE(),FALSE())))</f>
        <v/>
      </c>
      <c r="BB279" s="92" t="str">
        <f aca="false">IF(ISBLANK($C279),"",AND($AL279,OR($AM279="",$AN279="",AND($AO279,$AP279=""))))</f>
        <v/>
      </c>
      <c r="BC279" s="94" t="str">
        <f aca="false">IF($BX279&lt;&gt;Constants!$B$6,"",IF($AL279,Constants!$B$17*$AN279+Constants!$B$18*IF($AO279,$AP279,Constants!$B$19),Constants!$B$20))</f>
        <v/>
      </c>
      <c r="BD279" s="97" t="str">
        <f aca="false">IF($BX279&lt;&gt;Constants!$B$6,"",Constants!$B$21*ABS($AD$9-IF($AL279,$AM279,0)))</f>
        <v/>
      </c>
      <c r="BE279" s="97" t="str">
        <f aca="false">IF($BX279&lt;&gt;Constants!$B$6,"",IF(AND($AL279,$AQ279,$AO279),Constants!$B$22,0))</f>
        <v/>
      </c>
      <c r="BF279" s="97" t="str">
        <f aca="false">IF($BX279&lt;&gt;Constants!$B$6,"",IF($AL279,($AI279-Constants!$B$24)*Constants!$B$23,0))</f>
        <v/>
      </c>
      <c r="BG279" s="97" t="str">
        <f aca="false">IF($BX279&lt;&gt;Constants!$B$6,"",IF($AK279,0,Constants!$B$12)+IF($AJ279,0,Constants!$B$13)+IF($AH279,0,Constants!$B$14))</f>
        <v/>
      </c>
      <c r="BH279" s="98" t="str">
        <f aca="false">IF($BX279&lt;&gt;Constants!$B$6,"",Constants!$B$16+SUM($BC279:$BG279))</f>
        <v/>
      </c>
      <c r="BI279" s="97" t="str">
        <f aca="false">IF($BX279&lt;&gt;Constants!$B$6,"",$BC279)</f>
        <v/>
      </c>
      <c r="BJ279" s="97" t="str">
        <f aca="false">IF($BX279&lt;&gt;Constants!$B$6,"",$BD279)</f>
        <v/>
      </c>
      <c r="BK279" s="99" t="str">
        <f aca="false">IF($BX279&lt;&gt;Constants!$B$6,"",IF($AL279,$AN279,""))</f>
        <v/>
      </c>
      <c r="BL279" s="93" t="str">
        <f aca="false">IF($BX279&lt;&gt;Constants!$B$6,"",IF(OR($BS279&lt;$BH279,AND($BS279=$BH279,OR($BT279&lt;$BI279,AND($BT279=$BI279,OR($BU279&lt;$BJ279,AND($BU279=$BJ279,AND(ISNUMBER($BV279),OR(NOT(ISNUMBER($BK279)),$BV279&lt;$BK279)))))))),"-&gt;","&lt;-"))</f>
        <v/>
      </c>
      <c r="BM279" s="92" t="str">
        <f aca="false">IF(ISBLANK($C279),"",AND($AT279,OR($AU279="",$AV279="",AND($AW279,$AX279=""))))</f>
        <v/>
      </c>
      <c r="BN279" s="94" t="str">
        <f aca="false">IF($BX279&lt;&gt;Constants!$B$6,"",IF($AT279,Constants!$B$17*$AV279+Constants!$B$18*IF($AW279,$AX279,Constants!$B$19),Constants!$B$20))</f>
        <v/>
      </c>
      <c r="BO279" s="97" t="str">
        <f aca="false">IF($BX279&lt;&gt;Constants!$B$6,"",Constants!$B$21*ABS($AD$9-IF($AT279,$AU279,0)))</f>
        <v/>
      </c>
      <c r="BP279" s="97" t="str">
        <f aca="false">IF($BX279&lt;&gt;Constants!$B$6,"",IF(AND($AT279,$AY279,$AW279),Constants!$B$22,0))</f>
        <v/>
      </c>
      <c r="BQ279" s="97" t="str">
        <f aca="false">IF($BX279&lt;&gt;Constants!$B$6,"",IF($AT279,($AI279-Constants!$B$24)*Constants!$B$23,0))</f>
        <v/>
      </c>
      <c r="BR279" s="97" t="str">
        <f aca="false">IF($BX279&lt;&gt;Constants!$B$6,"",IF($AS279,0,Constants!$B$12)+IF($AR279,0,Constants!$B$13)+IF($AH279,0,Constants!$B$14))</f>
        <v/>
      </c>
      <c r="BS279" s="98" t="str">
        <f aca="false">IF($BX279&lt;&gt;Constants!$B$6,"",Constants!$B$16+SUM($BN279:$BR279))</f>
        <v/>
      </c>
      <c r="BT279" s="97" t="str">
        <f aca="false">IF($BX279&lt;&gt;Constants!$B$6,"",$BN279)</f>
        <v/>
      </c>
      <c r="BU279" s="97" t="str">
        <f aca="false">IF($BX279&lt;&gt;Constants!$B$6,"",$BO279)</f>
        <v/>
      </c>
      <c r="BV279" s="99" t="str">
        <f aca="false">IF($BX279&lt;&gt;Constants!$B$6,"",IF($AT279,$AV279,""))</f>
        <v/>
      </c>
      <c r="BW279" s="93" t="str">
        <f aca="false">IF(ISBLANK($C279),"",IF(ISBLANK($D$7),$BW$5,IF(NOT(ISNUMBER($D$7)),$BW$6,"")))</f>
        <v/>
      </c>
      <c r="BX279" s="93" t="str">
        <f aca="false">IF(ISBLANK($C279),"",IF($BA279,Constants!$B$9,IF(COUNTA($E279:$AA279)=0,Constants!$B$8,IF(NOT($AG279),Constants!$B$7,IF(OR($BW279&lt;&gt;"",$BB279,$BM279),Constants!$B$10,Constants!$B$6)))))</f>
        <v/>
      </c>
      <c r="BY279" s="93" t="str">
        <f aca="false">IF(ISBLANK($C279),"",IF($BX279&lt;&gt;Constants!$B$6,$BX279,Constants!$B$11))</f>
        <v/>
      </c>
      <c r="BZ279" s="97" t="str">
        <f aca="false">IF($BX279&lt;&gt;Constants!$B$6,"",IF($BL279="-&gt;",$BS279,$BH279))</f>
        <v/>
      </c>
      <c r="CA279" s="97" t="str">
        <f aca="false">IF($BX279&lt;&gt;Constants!$B$6,"",IF($AF279,0,Constants!$B$15))</f>
        <v/>
      </c>
      <c r="CB279" s="97" t="str">
        <f aca="false">IF($BX279&lt;&gt;Constants!$B$6,"",((Constants!$B$25-$AZ279)-Constants!$B$25)/Constants!$B$26)</f>
        <v/>
      </c>
      <c r="CC279" s="97" t="str">
        <f aca="false">IF(ISBLANK($C279),"",IF($BX279&lt;&gt;Constants!$B$6,$BX279,SUM($BZ279:$CB279)))</f>
        <v/>
      </c>
      <c r="CD279" s="93" t="str">
        <f aca="false">IF(ISBLANK($C279),"",IF($BX279&lt;&gt;Constants!$B$6,$BX279,RANK($CC279,$CC$9:$CC$508,1)))</f>
        <v/>
      </c>
      <c r="CE279" s="97" t="str">
        <f aca="false">IF($BX279&lt;&gt;Constants!$B$6,"",IF($BL279="-&gt;",$BT279,$BI279))</f>
        <v/>
      </c>
      <c r="CF279" s="93" t="str">
        <f aca="false">IF(ISBLANK($C279),"",IF($BX279&lt;&gt;Constants!$B$6,$BX279,IF(ISNUMBER($CE279),RANK($CE279,$CE$9:$CE$508,1),COUNT($CE$9:$CE$508)+1)))</f>
        <v/>
      </c>
      <c r="CG279" s="97" t="str">
        <f aca="false">IF($BX279&lt;&gt;Constants!$B$6,"",IF($BL279="-&gt;",$BU279,$BJ279))</f>
        <v/>
      </c>
      <c r="CH279" s="93" t="str">
        <f aca="false">IF(ISBLANK($C279),"",IF($BX279&lt;&gt;Constants!$B$6,$BX279,IF(ISNUMBER($CG279),RANK($CG279,$CG$9:$CG$508,1),COUNT($CG$9:$CG$508)+1)))</f>
        <v/>
      </c>
      <c r="CI279" s="97" t="str">
        <f aca="false">IF($BX279&lt;&gt;Constants!$B$6,"",IF($BL279="-&gt;",$BV279,$BK279))</f>
        <v/>
      </c>
      <c r="CJ279" s="93" t="str">
        <f aca="false">IF(ISBLANK($C279),"",IF($BX279&lt;&gt;Constants!$B$6,$BX279,IF(ISNUMBER($CI279),RANK($CI279,$CI$9:$CI$508,1),COUNT($CI$9:$CI$508)+1)))</f>
        <v/>
      </c>
      <c r="CK279" s="97" t="str">
        <f aca="false">IF($BX279&lt;&gt;Constants!$B$6,"",$AI279)</f>
        <v/>
      </c>
      <c r="CL279" s="93" t="str">
        <f aca="false">IF(ISBLANK($C279),"",IF($BX279&lt;&gt;Constants!$B$6,$BX279,IF(ISNUMBER($CK279),RANK($CK279,$CK$9:$CK$508,1),COUNT($CK$9:$CK$508)+1)))</f>
        <v/>
      </c>
      <c r="CM279" s="93" t="str">
        <f aca="false">IF(ISBLANK($C279),"",IF($BX279&lt;&gt;Constants!$B$6,$BX279,COUNTIFS($CD$9:$CD$508,"&lt;"&amp;$CD279)+COUNTIFS($CD$9:$CD$508,$CD279,$CF$9:$CF$508,"&lt;"&amp;$CF279)+COUNTIFS($CD$9:$CD$508,$CD279,$CF$9:$CF$508,$CF279,$CH$9:$CH$508,"&lt;"&amp;$CH279)+COUNTIFS($CD$9:$CD$508,$CD279,$CF$9:$CF$508,$CF279,$CH$9:$CH$508,$CH279,$CJ$9:$CJ$508,"&lt;"&amp;$CJ279)+COUNTIFS($CD$9:$CD$508,$CD279,$CF$9:$CF$508,$CF279,$CH$9:$CH$508,$CH279,$CJ$9:$CJ$508,$CJ279,$CL$9:$CL$508,"&lt;"&amp;$CL279)+1))</f>
        <v/>
      </c>
      <c r="CN279" s="93" t="str">
        <f aca="false">IF(ISBLANK($C279),"",IF($BX279&lt;&gt;Constants!$B$6,$BX279,$CD279-$CM279))</f>
        <v/>
      </c>
      <c r="CO279" s="100"/>
      <c r="CP279" s="101"/>
      <c r="CQ279" s="102" t="str">
        <f aca="false">IF(ISBLANK($C279),"",IF($BX279=Constants!$B$10,$BW279,""))</f>
        <v/>
      </c>
      <c r="CR279" s="101" t="str">
        <f aca="false">IF(ISBLANK($C279),"",IF($BX279&lt;&gt;Constants!$B$6,"",IF($BL279="-&gt;",2,1)))</f>
        <v/>
      </c>
      <c r="CS279" s="103" t="str">
        <f aca="false">IF(ISBLANK($C279),"",IF($BX279&lt;&gt;Constants!$B$6,"",IF($BL279="-&gt;",$BN279,$BC279)))</f>
        <v/>
      </c>
      <c r="CT279" s="103" t="str">
        <f aca="false">IF(ISBLANK($C279),"",IF($BX279&lt;&gt;Constants!$B$6,"",IF($BL279="-&gt;",$BO279,$BD279)))</f>
        <v/>
      </c>
      <c r="CU279" s="103" t="str">
        <f aca="false">IF(ISBLANK($C279),"",IF($BX279&lt;&gt;Constants!$B$6,"",IF($BL279="-&gt;",$BP279+$BQ279,$BE279+$BF279)+$CB279))</f>
        <v/>
      </c>
      <c r="CV279" s="103" t="str">
        <f aca="false">IF(ISBLANK($C279),"",IF($BX279&lt;&gt;Constants!$B$6,"",IF($BL279="-&gt;",$BR279,$BG279)+$CA279))</f>
        <v/>
      </c>
      <c r="CW279" s="104" t="str">
        <f aca="false">IF(ISBLANK($C279),"",IF($BX279&lt;&gt;Constants!$B$6,$BX279,$CC279))</f>
        <v/>
      </c>
      <c r="CX279" s="105" t="str">
        <f aca="false">IF(ISBLANK($C279),"",$BY279)</f>
        <v/>
      </c>
      <c r="CY279" s="106" t="str">
        <f aca="false">IF(ISBLANK($C279),"",$CN279)</f>
        <v/>
      </c>
      <c r="CZ279" s="106" t="str">
        <f aca="false">IF(ISBLANK($C279),"",$CM279)</f>
        <v/>
      </c>
      <c r="DA279" s="107" t="str">
        <f aca="false">IF(ISBLANK($C279),"",IFERROR(_xlfn.SWITCH($CZ279,Constants!$B$9,COUNTA($C$9:$C$508)+2,Constants!$B$8,COUNTA($C$9:$C$508)+1,Constants!$B$7,COUNTA($C$9:$C$508)),$CZ279))</f>
        <v/>
      </c>
      <c r="DB279" s="9"/>
      <c r="DC279" s="108" t="n">
        <f aca="false">IF(OR(ISNUMBER($CZ279),$CZ279=Constants!$B$9,$CZ279=Constants!$B$7,$CZ279=Constants!$B$8),1,0)</f>
        <v>0</v>
      </c>
      <c r="DD279" s="108" t="n">
        <v>271</v>
      </c>
      <c r="DE279" s="108" t="str">
        <f aca="false">IF(ISBLANK($C279),"",IF(ISNUMBER($DA279),$DA279+ROW($B279)/1000,""))</f>
        <v/>
      </c>
      <c r="DF279" s="108" t="str">
        <f aca="false">IF(ISNUMBER($DE279),RANK($DE279,$DE$9:$DE$508,1),"")</f>
        <v/>
      </c>
      <c r="DG279" s="108" t="str">
        <f aca="false">IF(ISBLANK($C279),"",$B279)</f>
        <v/>
      </c>
      <c r="DH279" s="108" t="str">
        <f aca="false">IF(ISBLANK($C279),"",$C279)</f>
        <v/>
      </c>
      <c r="DI279" s="108" t="str">
        <f aca="false">IF(ISBLANK($C279),"",$D279)</f>
        <v/>
      </c>
      <c r="DJ279" s="109" t="str">
        <f aca="false">$CX279</f>
        <v/>
      </c>
      <c r="DK279" s="110" t="str">
        <f aca="false">$CW279</f>
        <v/>
      </c>
      <c r="DL279" s="108" t="str">
        <f aca="false">IF(ISBLANK($C279),"",$CZ279)</f>
        <v/>
      </c>
      <c r="DM279" s="111" t="str">
        <f aca="false">IF($DD279&gt;$DC$8,"",VLOOKUP($DD279,$DF$9:$DL$508,7,FALSE()))</f>
        <v/>
      </c>
      <c r="DN279" s="112" t="str">
        <f aca="false">IF($DD279&gt;$DC$8,"",VLOOKUP($DD279,$DF$9:$DL$508,2,FALSE()))</f>
        <v/>
      </c>
      <c r="DO279" s="112" t="str">
        <f aca="false">IF($DD279&gt;$DC$8,"",VLOOKUP($DD279,$DF$9:$DL$508,3,FALSE()))</f>
        <v/>
      </c>
      <c r="DP279" s="112" t="str">
        <f aca="false">IF($DD279&gt;$DC$8,"",VLOOKUP($DD279,$DF$9:$DL$508,4,FALSE()))</f>
        <v/>
      </c>
      <c r="DQ279" s="112" t="str">
        <f aca="false">IF($DD279&gt;$DC$8,"",VLOOKUP($DD279,$DF$9:$DL$508,5,FALSE()))</f>
        <v/>
      </c>
      <c r="DR279" s="113" t="str">
        <f aca="false">IF($DD279&gt;$DC$8,"",VLOOKUP($DD279,$DF$9:$DL$508,6,FALSE()))</f>
        <v/>
      </c>
      <c r="DS279" s="76"/>
    </row>
    <row r="280" customFormat="false" ht="15.75" hidden="false" customHeight="false" outlineLevel="0" collapsed="false">
      <c r="A280" s="9"/>
      <c r="B280" s="78"/>
      <c r="C280" s="79"/>
      <c r="D280" s="170"/>
      <c r="E280" s="178"/>
      <c r="F280" s="172"/>
      <c r="G280" s="173"/>
      <c r="H280" s="173"/>
      <c r="I280" s="179"/>
      <c r="J280" s="176"/>
      <c r="K280" s="86"/>
      <c r="L280" s="87"/>
      <c r="M280" s="88"/>
      <c r="N280" s="176"/>
      <c r="O280" s="176"/>
      <c r="P280" s="178"/>
      <c r="Q280" s="176"/>
      <c r="R280" s="176"/>
      <c r="S280" s="86"/>
      <c r="T280" s="88"/>
      <c r="U280" s="88"/>
      <c r="V280" s="176"/>
      <c r="W280" s="176"/>
      <c r="X280" s="178"/>
      <c r="Y280" s="176"/>
      <c r="Z280" s="177"/>
      <c r="AA280" s="176"/>
      <c r="AB280" s="92"/>
      <c r="AC280" s="93"/>
      <c r="AD280" s="93"/>
      <c r="AE280" s="93"/>
      <c r="AF280" s="93" t="str">
        <f aca="false">IF(ISBLANK($C280),"",IF(E280=Constants!$B$2,TRUE(),IF(E280=Constants!$B$3,FALSE(),TRUE())))</f>
        <v/>
      </c>
      <c r="AG280" s="93" t="str">
        <f aca="false">IF(ISBLANK($C280),"",IF(F280=Constants!$B$2,TRUE(),IF(F280=Constants!$B$3,FALSE(),TRUE())))</f>
        <v/>
      </c>
      <c r="AH280" s="93" t="str">
        <f aca="false">IF(ISBLANK($C280),"",IF(G280=Constants!$B$2,TRUE(),IF(G280=Constants!$B$3,FALSE(),TRUE())))</f>
        <v/>
      </c>
      <c r="AI280" s="93" t="str">
        <f aca="false">IF(ISBLANK($C280),"",IF(AND(ISNUMBER(H280),H280&gt;=0),H280,Constants!$B$24))</f>
        <v/>
      </c>
      <c r="AJ280" s="93" t="str">
        <f aca="false">IF(ISBLANK($C280),"",IF(I280=Constants!$B$2,TRUE(),IF(I280=Constants!$B$3,FALSE(),TRUE())))</f>
        <v/>
      </c>
      <c r="AK280" s="93" t="str">
        <f aca="false">IF(ISBLANK($C280),"",IF(J280=Constants!$B$2,TRUE(),IF(J280=Constants!$B$3,FALSE(),TRUE())))</f>
        <v/>
      </c>
      <c r="AL280" s="93" t="str">
        <f aca="false">IF(ISBLANK($C280),"",IF(K280=Constants!$B$4,TRUE(),IF(K280=Constants!$B$5,FALSE(),COUNTA(L280:P280)&gt;0)))</f>
        <v/>
      </c>
      <c r="AM280" s="95" t="str">
        <f aca="false">IF(ISBLANK($C280),"",IF(ISNUMBER(L280),IF(L280&gt;=0,L280,""),""))</f>
        <v/>
      </c>
      <c r="AN280" s="94" t="str">
        <f aca="false">IF(ISBLANK($C280),"",IF(ISNUMBER(M280),IF(M280&gt;=0,M280,""),""))</f>
        <v/>
      </c>
      <c r="AO280" s="94" t="str">
        <f aca="false">IF(ISBLANK($C280),"",IF(N280=Constants!$B$2,TRUE(),IF(N280=Constants!$B$3,FALSE(),TRUE())))</f>
        <v/>
      </c>
      <c r="AP280" s="93" t="str">
        <f aca="false">IF(ISBLANK($C280),"",IF(ISNUMBER(O280),IF(O280&gt;=0,O280,""),""))</f>
        <v/>
      </c>
      <c r="AQ280" s="93" t="str">
        <f aca="false">IF(ISBLANK($C280),"",IF(P280=Constants!$B$2,TRUE(),IF(P280=Constants!$B$3,FALSE(),FALSE())))</f>
        <v/>
      </c>
      <c r="AR280" s="93" t="str">
        <f aca="false">IF(ISBLANK($C280),"",IF(Q280=Constants!$B$2,TRUE(),IF(Q280=Constants!$B$3,FALSE(),TRUE())))</f>
        <v/>
      </c>
      <c r="AS280" s="93" t="str">
        <f aca="false">IF(ISBLANK($C280),"",IF(R280=Constants!$B$2,TRUE(),IF(R280=Constants!$B$3,FALSE(),TRUE())))</f>
        <v/>
      </c>
      <c r="AT280" s="93" t="str">
        <f aca="false">IF(ISBLANK($C280),"",IF(S280=Constants!$B$4,TRUE(),IF(S280=Constants!$B$5,FALSE(),COUNTA(T280:X280)&gt;0)))</f>
        <v/>
      </c>
      <c r="AU280" s="95" t="str">
        <f aca="false">IF(ISBLANK($C280),"",IF(ISNUMBER(T280),IF(T280&gt;=0,T280,""),""))</f>
        <v/>
      </c>
      <c r="AV280" s="94" t="str">
        <f aca="false">IF(ISBLANK($C280),"",IF(ISNUMBER(U280),IF(U280&gt;=0,U280,""),""))</f>
        <v/>
      </c>
      <c r="AW280" s="94" t="str">
        <f aca="false">IF(ISBLANK($C280),"",IF(V280=Constants!$B$2,TRUE(),IF(V280=Constants!$B$3,FALSE(),TRUE())))</f>
        <v/>
      </c>
      <c r="AX280" s="93" t="str">
        <f aca="false">IF(ISBLANK($C280),"",IF(ISNUMBER(W280),IF(W280&gt;=0,W280,""),""))</f>
        <v/>
      </c>
      <c r="AY280" s="93" t="str">
        <f aca="false">IF(ISBLANK($C280),"",IF(X280=Constants!$B$2,TRUE(),IF(X280=Constants!$B$3,FALSE(),FALSE())))</f>
        <v/>
      </c>
      <c r="AZ280" s="93" t="str">
        <f aca="false">IF(ISBLANK($C280),"",MIN(Constants!$B$25,MAX(0,IF(ISNUMBER(Y280),Y280*60,0)+IF(ISNUMBER(Z280),Z280,0))))</f>
        <v/>
      </c>
      <c r="BA280" s="93" t="str">
        <f aca="false">IF(ISBLANK($C280),"",IF(AA280=Constants!$B$2,TRUE(),IF(AA280=Constants!$B$3,FALSE(),FALSE())))</f>
        <v/>
      </c>
      <c r="BB280" s="92" t="str">
        <f aca="false">IF(ISBLANK($C280),"",AND($AL280,OR($AM280="",$AN280="",AND($AO280,$AP280=""))))</f>
        <v/>
      </c>
      <c r="BC280" s="94" t="str">
        <f aca="false">IF($BX280&lt;&gt;Constants!$B$6,"",IF($AL280,Constants!$B$17*$AN280+Constants!$B$18*IF($AO280,$AP280,Constants!$B$19),Constants!$B$20))</f>
        <v/>
      </c>
      <c r="BD280" s="97" t="str">
        <f aca="false">IF($BX280&lt;&gt;Constants!$B$6,"",Constants!$B$21*ABS($AD$9-IF($AL280,$AM280,0)))</f>
        <v/>
      </c>
      <c r="BE280" s="97" t="str">
        <f aca="false">IF($BX280&lt;&gt;Constants!$B$6,"",IF(AND($AL280,$AQ280,$AO280),Constants!$B$22,0))</f>
        <v/>
      </c>
      <c r="BF280" s="97" t="str">
        <f aca="false">IF($BX280&lt;&gt;Constants!$B$6,"",IF($AL280,($AI280-Constants!$B$24)*Constants!$B$23,0))</f>
        <v/>
      </c>
      <c r="BG280" s="97" t="str">
        <f aca="false">IF($BX280&lt;&gt;Constants!$B$6,"",IF($AK280,0,Constants!$B$12)+IF($AJ280,0,Constants!$B$13)+IF($AH280,0,Constants!$B$14))</f>
        <v/>
      </c>
      <c r="BH280" s="98" t="str">
        <f aca="false">IF($BX280&lt;&gt;Constants!$B$6,"",Constants!$B$16+SUM($BC280:$BG280))</f>
        <v/>
      </c>
      <c r="BI280" s="97" t="str">
        <f aca="false">IF($BX280&lt;&gt;Constants!$B$6,"",$BC280)</f>
        <v/>
      </c>
      <c r="BJ280" s="97" t="str">
        <f aca="false">IF($BX280&lt;&gt;Constants!$B$6,"",$BD280)</f>
        <v/>
      </c>
      <c r="BK280" s="99" t="str">
        <f aca="false">IF($BX280&lt;&gt;Constants!$B$6,"",IF($AL280,$AN280,""))</f>
        <v/>
      </c>
      <c r="BL280" s="93" t="str">
        <f aca="false">IF($BX280&lt;&gt;Constants!$B$6,"",IF(OR($BS280&lt;$BH280,AND($BS280=$BH280,OR($BT280&lt;$BI280,AND($BT280=$BI280,OR($BU280&lt;$BJ280,AND($BU280=$BJ280,AND(ISNUMBER($BV280),OR(NOT(ISNUMBER($BK280)),$BV280&lt;$BK280)))))))),"-&gt;","&lt;-"))</f>
        <v/>
      </c>
      <c r="BM280" s="92" t="str">
        <f aca="false">IF(ISBLANK($C280),"",AND($AT280,OR($AU280="",$AV280="",AND($AW280,$AX280=""))))</f>
        <v/>
      </c>
      <c r="BN280" s="94" t="str">
        <f aca="false">IF($BX280&lt;&gt;Constants!$B$6,"",IF($AT280,Constants!$B$17*$AV280+Constants!$B$18*IF($AW280,$AX280,Constants!$B$19),Constants!$B$20))</f>
        <v/>
      </c>
      <c r="BO280" s="97" t="str">
        <f aca="false">IF($BX280&lt;&gt;Constants!$B$6,"",Constants!$B$21*ABS($AD$9-IF($AT280,$AU280,0)))</f>
        <v/>
      </c>
      <c r="BP280" s="97" t="str">
        <f aca="false">IF($BX280&lt;&gt;Constants!$B$6,"",IF(AND($AT280,$AY280,$AW280),Constants!$B$22,0))</f>
        <v/>
      </c>
      <c r="BQ280" s="97" t="str">
        <f aca="false">IF($BX280&lt;&gt;Constants!$B$6,"",IF($AT280,($AI280-Constants!$B$24)*Constants!$B$23,0))</f>
        <v/>
      </c>
      <c r="BR280" s="97" t="str">
        <f aca="false">IF($BX280&lt;&gt;Constants!$B$6,"",IF($AS280,0,Constants!$B$12)+IF($AR280,0,Constants!$B$13)+IF($AH280,0,Constants!$B$14))</f>
        <v/>
      </c>
      <c r="BS280" s="98" t="str">
        <f aca="false">IF($BX280&lt;&gt;Constants!$B$6,"",Constants!$B$16+SUM($BN280:$BR280))</f>
        <v/>
      </c>
      <c r="BT280" s="97" t="str">
        <f aca="false">IF($BX280&lt;&gt;Constants!$B$6,"",$BN280)</f>
        <v/>
      </c>
      <c r="BU280" s="97" t="str">
        <f aca="false">IF($BX280&lt;&gt;Constants!$B$6,"",$BO280)</f>
        <v/>
      </c>
      <c r="BV280" s="99" t="str">
        <f aca="false">IF($BX280&lt;&gt;Constants!$B$6,"",IF($AT280,$AV280,""))</f>
        <v/>
      </c>
      <c r="BW280" s="93" t="str">
        <f aca="false">IF(ISBLANK($C280),"",IF(ISBLANK($D$7),$BW$5,IF(NOT(ISNUMBER($D$7)),$BW$6,"")))</f>
        <v/>
      </c>
      <c r="BX280" s="93" t="str">
        <f aca="false">IF(ISBLANK($C280),"",IF($BA280,Constants!$B$9,IF(COUNTA($E280:$AA280)=0,Constants!$B$8,IF(NOT($AG280),Constants!$B$7,IF(OR($BW280&lt;&gt;"",$BB280,$BM280),Constants!$B$10,Constants!$B$6)))))</f>
        <v/>
      </c>
      <c r="BY280" s="93" t="str">
        <f aca="false">IF(ISBLANK($C280),"",IF($BX280&lt;&gt;Constants!$B$6,$BX280,Constants!$B$11))</f>
        <v/>
      </c>
      <c r="BZ280" s="97" t="str">
        <f aca="false">IF($BX280&lt;&gt;Constants!$B$6,"",IF($BL280="-&gt;",$BS280,$BH280))</f>
        <v/>
      </c>
      <c r="CA280" s="97" t="str">
        <f aca="false">IF($BX280&lt;&gt;Constants!$B$6,"",IF($AF280,0,Constants!$B$15))</f>
        <v/>
      </c>
      <c r="CB280" s="97" t="str">
        <f aca="false">IF($BX280&lt;&gt;Constants!$B$6,"",((Constants!$B$25-$AZ280)-Constants!$B$25)/Constants!$B$26)</f>
        <v/>
      </c>
      <c r="CC280" s="97" t="str">
        <f aca="false">IF(ISBLANK($C280),"",IF($BX280&lt;&gt;Constants!$B$6,$BX280,SUM($BZ280:$CB280)))</f>
        <v/>
      </c>
      <c r="CD280" s="93" t="str">
        <f aca="false">IF(ISBLANK($C280),"",IF($BX280&lt;&gt;Constants!$B$6,$BX280,RANK($CC280,$CC$9:$CC$508,1)))</f>
        <v/>
      </c>
      <c r="CE280" s="97" t="str">
        <f aca="false">IF($BX280&lt;&gt;Constants!$B$6,"",IF($BL280="-&gt;",$BT280,$BI280))</f>
        <v/>
      </c>
      <c r="CF280" s="93" t="str">
        <f aca="false">IF(ISBLANK($C280),"",IF($BX280&lt;&gt;Constants!$B$6,$BX280,IF(ISNUMBER($CE280),RANK($CE280,$CE$9:$CE$508,1),COUNT($CE$9:$CE$508)+1)))</f>
        <v/>
      </c>
      <c r="CG280" s="97" t="str">
        <f aca="false">IF($BX280&lt;&gt;Constants!$B$6,"",IF($BL280="-&gt;",$BU280,$BJ280))</f>
        <v/>
      </c>
      <c r="CH280" s="93" t="str">
        <f aca="false">IF(ISBLANK($C280),"",IF($BX280&lt;&gt;Constants!$B$6,$BX280,IF(ISNUMBER($CG280),RANK($CG280,$CG$9:$CG$508,1),COUNT($CG$9:$CG$508)+1)))</f>
        <v/>
      </c>
      <c r="CI280" s="97" t="str">
        <f aca="false">IF($BX280&lt;&gt;Constants!$B$6,"",IF($BL280="-&gt;",$BV280,$BK280))</f>
        <v/>
      </c>
      <c r="CJ280" s="93" t="str">
        <f aca="false">IF(ISBLANK($C280),"",IF($BX280&lt;&gt;Constants!$B$6,$BX280,IF(ISNUMBER($CI280),RANK($CI280,$CI$9:$CI$508,1),COUNT($CI$9:$CI$508)+1)))</f>
        <v/>
      </c>
      <c r="CK280" s="97" t="str">
        <f aca="false">IF($BX280&lt;&gt;Constants!$B$6,"",$AI280)</f>
        <v/>
      </c>
      <c r="CL280" s="93" t="str">
        <f aca="false">IF(ISBLANK($C280),"",IF($BX280&lt;&gt;Constants!$B$6,$BX280,IF(ISNUMBER($CK280),RANK($CK280,$CK$9:$CK$508,1),COUNT($CK$9:$CK$508)+1)))</f>
        <v/>
      </c>
      <c r="CM280" s="93" t="str">
        <f aca="false">IF(ISBLANK($C280),"",IF($BX280&lt;&gt;Constants!$B$6,$BX280,COUNTIFS($CD$9:$CD$508,"&lt;"&amp;$CD280)+COUNTIFS($CD$9:$CD$508,$CD280,$CF$9:$CF$508,"&lt;"&amp;$CF280)+COUNTIFS($CD$9:$CD$508,$CD280,$CF$9:$CF$508,$CF280,$CH$9:$CH$508,"&lt;"&amp;$CH280)+COUNTIFS($CD$9:$CD$508,$CD280,$CF$9:$CF$508,$CF280,$CH$9:$CH$508,$CH280,$CJ$9:$CJ$508,"&lt;"&amp;$CJ280)+COUNTIFS($CD$9:$CD$508,$CD280,$CF$9:$CF$508,$CF280,$CH$9:$CH$508,$CH280,$CJ$9:$CJ$508,$CJ280,$CL$9:$CL$508,"&lt;"&amp;$CL280)+1))</f>
        <v/>
      </c>
      <c r="CN280" s="93" t="str">
        <f aca="false">IF(ISBLANK($C280),"",IF($BX280&lt;&gt;Constants!$B$6,$BX280,$CD280-$CM280))</f>
        <v/>
      </c>
      <c r="CO280" s="100"/>
      <c r="CP280" s="101"/>
      <c r="CQ280" s="102" t="str">
        <f aca="false">IF(ISBLANK($C280),"",IF($BX280=Constants!$B$10,$BW280,""))</f>
        <v/>
      </c>
      <c r="CR280" s="101" t="str">
        <f aca="false">IF(ISBLANK($C280),"",IF($BX280&lt;&gt;Constants!$B$6,"",IF($BL280="-&gt;",2,1)))</f>
        <v/>
      </c>
      <c r="CS280" s="103" t="str">
        <f aca="false">IF(ISBLANK($C280),"",IF($BX280&lt;&gt;Constants!$B$6,"",IF($BL280="-&gt;",$BN280,$BC280)))</f>
        <v/>
      </c>
      <c r="CT280" s="103" t="str">
        <f aca="false">IF(ISBLANK($C280),"",IF($BX280&lt;&gt;Constants!$B$6,"",IF($BL280="-&gt;",$BO280,$BD280)))</f>
        <v/>
      </c>
      <c r="CU280" s="103" t="str">
        <f aca="false">IF(ISBLANK($C280),"",IF($BX280&lt;&gt;Constants!$B$6,"",IF($BL280="-&gt;",$BP280+$BQ280,$BE280+$BF280)+$CB280))</f>
        <v/>
      </c>
      <c r="CV280" s="103" t="str">
        <f aca="false">IF(ISBLANK($C280),"",IF($BX280&lt;&gt;Constants!$B$6,"",IF($BL280="-&gt;",$BR280,$BG280)+$CA280))</f>
        <v/>
      </c>
      <c r="CW280" s="104" t="str">
        <f aca="false">IF(ISBLANK($C280),"",IF($BX280&lt;&gt;Constants!$B$6,$BX280,$CC280))</f>
        <v/>
      </c>
      <c r="CX280" s="105" t="str">
        <f aca="false">IF(ISBLANK($C280),"",$BY280)</f>
        <v/>
      </c>
      <c r="CY280" s="106" t="str">
        <f aca="false">IF(ISBLANK($C280),"",$CN280)</f>
        <v/>
      </c>
      <c r="CZ280" s="106" t="str">
        <f aca="false">IF(ISBLANK($C280),"",$CM280)</f>
        <v/>
      </c>
      <c r="DA280" s="107" t="str">
        <f aca="false">IF(ISBLANK($C280),"",IFERROR(_xlfn.SWITCH($CZ280,Constants!$B$9,COUNTA($C$9:$C$508)+2,Constants!$B$8,COUNTA($C$9:$C$508)+1,Constants!$B$7,COUNTA($C$9:$C$508)),$CZ280))</f>
        <v/>
      </c>
      <c r="DB280" s="9"/>
      <c r="DC280" s="108" t="n">
        <f aca="false">IF(OR(ISNUMBER($CZ280),$CZ280=Constants!$B$9,$CZ280=Constants!$B$7,$CZ280=Constants!$B$8),1,0)</f>
        <v>0</v>
      </c>
      <c r="DD280" s="108" t="n">
        <v>272</v>
      </c>
      <c r="DE280" s="108" t="str">
        <f aca="false">IF(ISBLANK($C280),"",IF(ISNUMBER($DA280),$DA280+ROW($B280)/1000,""))</f>
        <v/>
      </c>
      <c r="DF280" s="108" t="str">
        <f aca="false">IF(ISNUMBER($DE280),RANK($DE280,$DE$9:$DE$508,1),"")</f>
        <v/>
      </c>
      <c r="DG280" s="108" t="str">
        <f aca="false">IF(ISBLANK($C280),"",$B280)</f>
        <v/>
      </c>
      <c r="DH280" s="108" t="str">
        <f aca="false">IF(ISBLANK($C280),"",$C280)</f>
        <v/>
      </c>
      <c r="DI280" s="108" t="str">
        <f aca="false">IF(ISBLANK($C280),"",$D280)</f>
        <v/>
      </c>
      <c r="DJ280" s="109" t="str">
        <f aca="false">$CX280</f>
        <v/>
      </c>
      <c r="DK280" s="110" t="str">
        <f aca="false">$CW280</f>
        <v/>
      </c>
      <c r="DL280" s="108" t="str">
        <f aca="false">IF(ISBLANK($C280),"",$CZ280)</f>
        <v/>
      </c>
      <c r="DM280" s="111" t="str">
        <f aca="false">IF($DD280&gt;$DC$8,"",VLOOKUP($DD280,$DF$9:$DL$508,7,FALSE()))</f>
        <v/>
      </c>
      <c r="DN280" s="112" t="str">
        <f aca="false">IF($DD280&gt;$DC$8,"",VLOOKUP($DD280,$DF$9:$DL$508,2,FALSE()))</f>
        <v/>
      </c>
      <c r="DO280" s="112" t="str">
        <f aca="false">IF($DD280&gt;$DC$8,"",VLOOKUP($DD280,$DF$9:$DL$508,3,FALSE()))</f>
        <v/>
      </c>
      <c r="DP280" s="112" t="str">
        <f aca="false">IF($DD280&gt;$DC$8,"",VLOOKUP($DD280,$DF$9:$DL$508,4,FALSE()))</f>
        <v/>
      </c>
      <c r="DQ280" s="112" t="str">
        <f aca="false">IF($DD280&gt;$DC$8,"",VLOOKUP($DD280,$DF$9:$DL$508,5,FALSE()))</f>
        <v/>
      </c>
      <c r="DR280" s="113" t="str">
        <f aca="false">IF($DD280&gt;$DC$8,"",VLOOKUP($DD280,$DF$9:$DL$508,6,FALSE()))</f>
        <v/>
      </c>
      <c r="DS280" s="76"/>
    </row>
    <row r="281" customFormat="false" ht="15.75" hidden="false" customHeight="false" outlineLevel="0" collapsed="false">
      <c r="A281" s="9"/>
      <c r="B281" s="78"/>
      <c r="C281" s="79"/>
      <c r="D281" s="170"/>
      <c r="E281" s="178"/>
      <c r="F281" s="172"/>
      <c r="G281" s="173"/>
      <c r="H281" s="173"/>
      <c r="I281" s="179"/>
      <c r="J281" s="176"/>
      <c r="K281" s="86"/>
      <c r="L281" s="87"/>
      <c r="M281" s="88"/>
      <c r="N281" s="176"/>
      <c r="O281" s="176"/>
      <c r="P281" s="178"/>
      <c r="Q281" s="176"/>
      <c r="R281" s="176"/>
      <c r="S281" s="86"/>
      <c r="T281" s="88"/>
      <c r="U281" s="88"/>
      <c r="V281" s="176"/>
      <c r="W281" s="176"/>
      <c r="X281" s="178"/>
      <c r="Y281" s="176"/>
      <c r="Z281" s="177"/>
      <c r="AA281" s="176"/>
      <c r="AB281" s="92"/>
      <c r="AC281" s="93"/>
      <c r="AD281" s="93"/>
      <c r="AE281" s="93"/>
      <c r="AF281" s="93" t="str">
        <f aca="false">IF(ISBLANK($C281),"",IF(E281=Constants!$B$2,TRUE(),IF(E281=Constants!$B$3,FALSE(),TRUE())))</f>
        <v/>
      </c>
      <c r="AG281" s="93" t="str">
        <f aca="false">IF(ISBLANK($C281),"",IF(F281=Constants!$B$2,TRUE(),IF(F281=Constants!$B$3,FALSE(),TRUE())))</f>
        <v/>
      </c>
      <c r="AH281" s="93" t="str">
        <f aca="false">IF(ISBLANK($C281),"",IF(G281=Constants!$B$2,TRUE(),IF(G281=Constants!$B$3,FALSE(),TRUE())))</f>
        <v/>
      </c>
      <c r="AI281" s="93" t="str">
        <f aca="false">IF(ISBLANK($C281),"",IF(AND(ISNUMBER(H281),H281&gt;=0),H281,Constants!$B$24))</f>
        <v/>
      </c>
      <c r="AJ281" s="93" t="str">
        <f aca="false">IF(ISBLANK($C281),"",IF(I281=Constants!$B$2,TRUE(),IF(I281=Constants!$B$3,FALSE(),TRUE())))</f>
        <v/>
      </c>
      <c r="AK281" s="93" t="str">
        <f aca="false">IF(ISBLANK($C281),"",IF(J281=Constants!$B$2,TRUE(),IF(J281=Constants!$B$3,FALSE(),TRUE())))</f>
        <v/>
      </c>
      <c r="AL281" s="93" t="str">
        <f aca="false">IF(ISBLANK($C281),"",IF(K281=Constants!$B$4,TRUE(),IF(K281=Constants!$B$5,FALSE(),COUNTA(L281:P281)&gt;0)))</f>
        <v/>
      </c>
      <c r="AM281" s="95" t="str">
        <f aca="false">IF(ISBLANK($C281),"",IF(ISNUMBER(L281),IF(L281&gt;=0,L281,""),""))</f>
        <v/>
      </c>
      <c r="AN281" s="94" t="str">
        <f aca="false">IF(ISBLANK($C281),"",IF(ISNUMBER(M281),IF(M281&gt;=0,M281,""),""))</f>
        <v/>
      </c>
      <c r="AO281" s="94" t="str">
        <f aca="false">IF(ISBLANK($C281),"",IF(N281=Constants!$B$2,TRUE(),IF(N281=Constants!$B$3,FALSE(),TRUE())))</f>
        <v/>
      </c>
      <c r="AP281" s="93" t="str">
        <f aca="false">IF(ISBLANK($C281),"",IF(ISNUMBER(O281),IF(O281&gt;=0,O281,""),""))</f>
        <v/>
      </c>
      <c r="AQ281" s="93" t="str">
        <f aca="false">IF(ISBLANK($C281),"",IF(P281=Constants!$B$2,TRUE(),IF(P281=Constants!$B$3,FALSE(),FALSE())))</f>
        <v/>
      </c>
      <c r="AR281" s="93" t="str">
        <f aca="false">IF(ISBLANK($C281),"",IF(Q281=Constants!$B$2,TRUE(),IF(Q281=Constants!$B$3,FALSE(),TRUE())))</f>
        <v/>
      </c>
      <c r="AS281" s="93" t="str">
        <f aca="false">IF(ISBLANK($C281),"",IF(R281=Constants!$B$2,TRUE(),IF(R281=Constants!$B$3,FALSE(),TRUE())))</f>
        <v/>
      </c>
      <c r="AT281" s="93" t="str">
        <f aca="false">IF(ISBLANK($C281),"",IF(S281=Constants!$B$4,TRUE(),IF(S281=Constants!$B$5,FALSE(),COUNTA(T281:X281)&gt;0)))</f>
        <v/>
      </c>
      <c r="AU281" s="95" t="str">
        <f aca="false">IF(ISBLANK($C281),"",IF(ISNUMBER(T281),IF(T281&gt;=0,T281,""),""))</f>
        <v/>
      </c>
      <c r="AV281" s="94" t="str">
        <f aca="false">IF(ISBLANK($C281),"",IF(ISNUMBER(U281),IF(U281&gt;=0,U281,""),""))</f>
        <v/>
      </c>
      <c r="AW281" s="94" t="str">
        <f aca="false">IF(ISBLANK($C281),"",IF(V281=Constants!$B$2,TRUE(),IF(V281=Constants!$B$3,FALSE(),TRUE())))</f>
        <v/>
      </c>
      <c r="AX281" s="93" t="str">
        <f aca="false">IF(ISBLANK($C281),"",IF(ISNUMBER(W281),IF(W281&gt;=0,W281,""),""))</f>
        <v/>
      </c>
      <c r="AY281" s="93" t="str">
        <f aca="false">IF(ISBLANK($C281),"",IF(X281=Constants!$B$2,TRUE(),IF(X281=Constants!$B$3,FALSE(),FALSE())))</f>
        <v/>
      </c>
      <c r="AZ281" s="93" t="str">
        <f aca="false">IF(ISBLANK($C281),"",MIN(Constants!$B$25,MAX(0,IF(ISNUMBER(Y281),Y281*60,0)+IF(ISNUMBER(Z281),Z281,0))))</f>
        <v/>
      </c>
      <c r="BA281" s="93" t="str">
        <f aca="false">IF(ISBLANK($C281),"",IF(AA281=Constants!$B$2,TRUE(),IF(AA281=Constants!$B$3,FALSE(),FALSE())))</f>
        <v/>
      </c>
      <c r="BB281" s="92" t="str">
        <f aca="false">IF(ISBLANK($C281),"",AND($AL281,OR($AM281="",$AN281="",AND($AO281,$AP281=""))))</f>
        <v/>
      </c>
      <c r="BC281" s="94" t="str">
        <f aca="false">IF($BX281&lt;&gt;Constants!$B$6,"",IF($AL281,Constants!$B$17*$AN281+Constants!$B$18*IF($AO281,$AP281,Constants!$B$19),Constants!$B$20))</f>
        <v/>
      </c>
      <c r="BD281" s="97" t="str">
        <f aca="false">IF($BX281&lt;&gt;Constants!$B$6,"",Constants!$B$21*ABS($AD$9-IF($AL281,$AM281,0)))</f>
        <v/>
      </c>
      <c r="BE281" s="97" t="str">
        <f aca="false">IF($BX281&lt;&gt;Constants!$B$6,"",IF(AND($AL281,$AQ281,$AO281),Constants!$B$22,0))</f>
        <v/>
      </c>
      <c r="BF281" s="97" t="str">
        <f aca="false">IF($BX281&lt;&gt;Constants!$B$6,"",IF($AL281,($AI281-Constants!$B$24)*Constants!$B$23,0))</f>
        <v/>
      </c>
      <c r="BG281" s="97" t="str">
        <f aca="false">IF($BX281&lt;&gt;Constants!$B$6,"",IF($AK281,0,Constants!$B$12)+IF($AJ281,0,Constants!$B$13)+IF($AH281,0,Constants!$B$14))</f>
        <v/>
      </c>
      <c r="BH281" s="98" t="str">
        <f aca="false">IF($BX281&lt;&gt;Constants!$B$6,"",Constants!$B$16+SUM($BC281:$BG281))</f>
        <v/>
      </c>
      <c r="BI281" s="97" t="str">
        <f aca="false">IF($BX281&lt;&gt;Constants!$B$6,"",$BC281)</f>
        <v/>
      </c>
      <c r="BJ281" s="97" t="str">
        <f aca="false">IF($BX281&lt;&gt;Constants!$B$6,"",$BD281)</f>
        <v/>
      </c>
      <c r="BK281" s="99" t="str">
        <f aca="false">IF($BX281&lt;&gt;Constants!$B$6,"",IF($AL281,$AN281,""))</f>
        <v/>
      </c>
      <c r="BL281" s="93" t="str">
        <f aca="false">IF($BX281&lt;&gt;Constants!$B$6,"",IF(OR($BS281&lt;$BH281,AND($BS281=$BH281,OR($BT281&lt;$BI281,AND($BT281=$BI281,OR($BU281&lt;$BJ281,AND($BU281=$BJ281,AND(ISNUMBER($BV281),OR(NOT(ISNUMBER($BK281)),$BV281&lt;$BK281)))))))),"-&gt;","&lt;-"))</f>
        <v/>
      </c>
      <c r="BM281" s="92" t="str">
        <f aca="false">IF(ISBLANK($C281),"",AND($AT281,OR($AU281="",$AV281="",AND($AW281,$AX281=""))))</f>
        <v/>
      </c>
      <c r="BN281" s="94" t="str">
        <f aca="false">IF($BX281&lt;&gt;Constants!$B$6,"",IF($AT281,Constants!$B$17*$AV281+Constants!$B$18*IF($AW281,$AX281,Constants!$B$19),Constants!$B$20))</f>
        <v/>
      </c>
      <c r="BO281" s="97" t="str">
        <f aca="false">IF($BX281&lt;&gt;Constants!$B$6,"",Constants!$B$21*ABS($AD$9-IF($AT281,$AU281,0)))</f>
        <v/>
      </c>
      <c r="BP281" s="97" t="str">
        <f aca="false">IF($BX281&lt;&gt;Constants!$B$6,"",IF(AND($AT281,$AY281,$AW281),Constants!$B$22,0))</f>
        <v/>
      </c>
      <c r="BQ281" s="97" t="str">
        <f aca="false">IF($BX281&lt;&gt;Constants!$B$6,"",IF($AT281,($AI281-Constants!$B$24)*Constants!$B$23,0))</f>
        <v/>
      </c>
      <c r="BR281" s="97" t="str">
        <f aca="false">IF($BX281&lt;&gt;Constants!$B$6,"",IF($AS281,0,Constants!$B$12)+IF($AR281,0,Constants!$B$13)+IF($AH281,0,Constants!$B$14))</f>
        <v/>
      </c>
      <c r="BS281" s="98" t="str">
        <f aca="false">IF($BX281&lt;&gt;Constants!$B$6,"",Constants!$B$16+SUM($BN281:$BR281))</f>
        <v/>
      </c>
      <c r="BT281" s="97" t="str">
        <f aca="false">IF($BX281&lt;&gt;Constants!$B$6,"",$BN281)</f>
        <v/>
      </c>
      <c r="BU281" s="97" t="str">
        <f aca="false">IF($BX281&lt;&gt;Constants!$B$6,"",$BO281)</f>
        <v/>
      </c>
      <c r="BV281" s="99" t="str">
        <f aca="false">IF($BX281&lt;&gt;Constants!$B$6,"",IF($AT281,$AV281,""))</f>
        <v/>
      </c>
      <c r="BW281" s="93" t="str">
        <f aca="false">IF(ISBLANK($C281),"",IF(ISBLANK($D$7),$BW$5,IF(NOT(ISNUMBER($D$7)),$BW$6,"")))</f>
        <v/>
      </c>
      <c r="BX281" s="93" t="str">
        <f aca="false">IF(ISBLANK($C281),"",IF($BA281,Constants!$B$9,IF(COUNTA($E281:$AA281)=0,Constants!$B$8,IF(NOT($AG281),Constants!$B$7,IF(OR($BW281&lt;&gt;"",$BB281,$BM281),Constants!$B$10,Constants!$B$6)))))</f>
        <v/>
      </c>
      <c r="BY281" s="93" t="str">
        <f aca="false">IF(ISBLANK($C281),"",IF($BX281&lt;&gt;Constants!$B$6,$BX281,Constants!$B$11))</f>
        <v/>
      </c>
      <c r="BZ281" s="97" t="str">
        <f aca="false">IF($BX281&lt;&gt;Constants!$B$6,"",IF($BL281="-&gt;",$BS281,$BH281))</f>
        <v/>
      </c>
      <c r="CA281" s="97" t="str">
        <f aca="false">IF($BX281&lt;&gt;Constants!$B$6,"",IF($AF281,0,Constants!$B$15))</f>
        <v/>
      </c>
      <c r="CB281" s="97" t="str">
        <f aca="false">IF($BX281&lt;&gt;Constants!$B$6,"",((Constants!$B$25-$AZ281)-Constants!$B$25)/Constants!$B$26)</f>
        <v/>
      </c>
      <c r="CC281" s="97" t="str">
        <f aca="false">IF(ISBLANK($C281),"",IF($BX281&lt;&gt;Constants!$B$6,$BX281,SUM($BZ281:$CB281)))</f>
        <v/>
      </c>
      <c r="CD281" s="93" t="str">
        <f aca="false">IF(ISBLANK($C281),"",IF($BX281&lt;&gt;Constants!$B$6,$BX281,RANK($CC281,$CC$9:$CC$508,1)))</f>
        <v/>
      </c>
      <c r="CE281" s="97" t="str">
        <f aca="false">IF($BX281&lt;&gt;Constants!$B$6,"",IF($BL281="-&gt;",$BT281,$BI281))</f>
        <v/>
      </c>
      <c r="CF281" s="93" t="str">
        <f aca="false">IF(ISBLANK($C281),"",IF($BX281&lt;&gt;Constants!$B$6,$BX281,IF(ISNUMBER($CE281),RANK($CE281,$CE$9:$CE$508,1),COUNT($CE$9:$CE$508)+1)))</f>
        <v/>
      </c>
      <c r="CG281" s="97" t="str">
        <f aca="false">IF($BX281&lt;&gt;Constants!$B$6,"",IF($BL281="-&gt;",$BU281,$BJ281))</f>
        <v/>
      </c>
      <c r="CH281" s="93" t="str">
        <f aca="false">IF(ISBLANK($C281),"",IF($BX281&lt;&gt;Constants!$B$6,$BX281,IF(ISNUMBER($CG281),RANK($CG281,$CG$9:$CG$508,1),COUNT($CG$9:$CG$508)+1)))</f>
        <v/>
      </c>
      <c r="CI281" s="97" t="str">
        <f aca="false">IF($BX281&lt;&gt;Constants!$B$6,"",IF($BL281="-&gt;",$BV281,$BK281))</f>
        <v/>
      </c>
      <c r="CJ281" s="93" t="str">
        <f aca="false">IF(ISBLANK($C281),"",IF($BX281&lt;&gt;Constants!$B$6,$BX281,IF(ISNUMBER($CI281),RANK($CI281,$CI$9:$CI$508,1),COUNT($CI$9:$CI$508)+1)))</f>
        <v/>
      </c>
      <c r="CK281" s="97" t="str">
        <f aca="false">IF($BX281&lt;&gt;Constants!$B$6,"",$AI281)</f>
        <v/>
      </c>
      <c r="CL281" s="93" t="str">
        <f aca="false">IF(ISBLANK($C281),"",IF($BX281&lt;&gt;Constants!$B$6,$BX281,IF(ISNUMBER($CK281),RANK($CK281,$CK$9:$CK$508,1),COUNT($CK$9:$CK$508)+1)))</f>
        <v/>
      </c>
      <c r="CM281" s="93" t="str">
        <f aca="false">IF(ISBLANK($C281),"",IF($BX281&lt;&gt;Constants!$B$6,$BX281,COUNTIFS($CD$9:$CD$508,"&lt;"&amp;$CD281)+COUNTIFS($CD$9:$CD$508,$CD281,$CF$9:$CF$508,"&lt;"&amp;$CF281)+COUNTIFS($CD$9:$CD$508,$CD281,$CF$9:$CF$508,$CF281,$CH$9:$CH$508,"&lt;"&amp;$CH281)+COUNTIFS($CD$9:$CD$508,$CD281,$CF$9:$CF$508,$CF281,$CH$9:$CH$508,$CH281,$CJ$9:$CJ$508,"&lt;"&amp;$CJ281)+COUNTIFS($CD$9:$CD$508,$CD281,$CF$9:$CF$508,$CF281,$CH$9:$CH$508,$CH281,$CJ$9:$CJ$508,$CJ281,$CL$9:$CL$508,"&lt;"&amp;$CL281)+1))</f>
        <v/>
      </c>
      <c r="CN281" s="93" t="str">
        <f aca="false">IF(ISBLANK($C281),"",IF($BX281&lt;&gt;Constants!$B$6,$BX281,$CD281-$CM281))</f>
        <v/>
      </c>
      <c r="CO281" s="100"/>
      <c r="CP281" s="101"/>
      <c r="CQ281" s="102" t="str">
        <f aca="false">IF(ISBLANK($C281),"",IF($BX281=Constants!$B$10,$BW281,""))</f>
        <v/>
      </c>
      <c r="CR281" s="101" t="str">
        <f aca="false">IF(ISBLANK($C281),"",IF($BX281&lt;&gt;Constants!$B$6,"",IF($BL281="-&gt;",2,1)))</f>
        <v/>
      </c>
      <c r="CS281" s="103" t="str">
        <f aca="false">IF(ISBLANK($C281),"",IF($BX281&lt;&gt;Constants!$B$6,"",IF($BL281="-&gt;",$BN281,$BC281)))</f>
        <v/>
      </c>
      <c r="CT281" s="103" t="str">
        <f aca="false">IF(ISBLANK($C281),"",IF($BX281&lt;&gt;Constants!$B$6,"",IF($BL281="-&gt;",$BO281,$BD281)))</f>
        <v/>
      </c>
      <c r="CU281" s="103" t="str">
        <f aca="false">IF(ISBLANK($C281),"",IF($BX281&lt;&gt;Constants!$B$6,"",IF($BL281="-&gt;",$BP281+$BQ281,$BE281+$BF281)+$CB281))</f>
        <v/>
      </c>
      <c r="CV281" s="103" t="str">
        <f aca="false">IF(ISBLANK($C281),"",IF($BX281&lt;&gt;Constants!$B$6,"",IF($BL281="-&gt;",$BR281,$BG281)+$CA281))</f>
        <v/>
      </c>
      <c r="CW281" s="104" t="str">
        <f aca="false">IF(ISBLANK($C281),"",IF($BX281&lt;&gt;Constants!$B$6,$BX281,$CC281))</f>
        <v/>
      </c>
      <c r="CX281" s="105" t="str">
        <f aca="false">IF(ISBLANK($C281),"",$BY281)</f>
        <v/>
      </c>
      <c r="CY281" s="106" t="str">
        <f aca="false">IF(ISBLANK($C281),"",$CN281)</f>
        <v/>
      </c>
      <c r="CZ281" s="106" t="str">
        <f aca="false">IF(ISBLANK($C281),"",$CM281)</f>
        <v/>
      </c>
      <c r="DA281" s="107" t="str">
        <f aca="false">IF(ISBLANK($C281),"",IFERROR(_xlfn.SWITCH($CZ281,Constants!$B$9,COUNTA($C$9:$C$508)+2,Constants!$B$8,COUNTA($C$9:$C$508)+1,Constants!$B$7,COUNTA($C$9:$C$508)),$CZ281))</f>
        <v/>
      </c>
      <c r="DB281" s="9"/>
      <c r="DC281" s="108" t="n">
        <f aca="false">IF(OR(ISNUMBER($CZ281),$CZ281=Constants!$B$9,$CZ281=Constants!$B$7,$CZ281=Constants!$B$8),1,0)</f>
        <v>0</v>
      </c>
      <c r="DD281" s="108" t="n">
        <v>273</v>
      </c>
      <c r="DE281" s="108" t="str">
        <f aca="false">IF(ISBLANK($C281),"",IF(ISNUMBER($DA281),$DA281+ROW($B281)/1000,""))</f>
        <v/>
      </c>
      <c r="DF281" s="108" t="str">
        <f aca="false">IF(ISNUMBER($DE281),RANK($DE281,$DE$9:$DE$508,1),"")</f>
        <v/>
      </c>
      <c r="DG281" s="108" t="str">
        <f aca="false">IF(ISBLANK($C281),"",$B281)</f>
        <v/>
      </c>
      <c r="DH281" s="108" t="str">
        <f aca="false">IF(ISBLANK($C281),"",$C281)</f>
        <v/>
      </c>
      <c r="DI281" s="108" t="str">
        <f aca="false">IF(ISBLANK($C281),"",$D281)</f>
        <v/>
      </c>
      <c r="DJ281" s="109" t="str">
        <f aca="false">$CX281</f>
        <v/>
      </c>
      <c r="DK281" s="110" t="str">
        <f aca="false">$CW281</f>
        <v/>
      </c>
      <c r="DL281" s="108" t="str">
        <f aca="false">IF(ISBLANK($C281),"",$CZ281)</f>
        <v/>
      </c>
      <c r="DM281" s="111" t="str">
        <f aca="false">IF($DD281&gt;$DC$8,"",VLOOKUP($DD281,$DF$9:$DL$508,7,FALSE()))</f>
        <v/>
      </c>
      <c r="DN281" s="112" t="str">
        <f aca="false">IF($DD281&gt;$DC$8,"",VLOOKUP($DD281,$DF$9:$DL$508,2,FALSE()))</f>
        <v/>
      </c>
      <c r="DO281" s="112" t="str">
        <f aca="false">IF($DD281&gt;$DC$8,"",VLOOKUP($DD281,$DF$9:$DL$508,3,FALSE()))</f>
        <v/>
      </c>
      <c r="DP281" s="112" t="str">
        <f aca="false">IF($DD281&gt;$DC$8,"",VLOOKUP($DD281,$DF$9:$DL$508,4,FALSE()))</f>
        <v/>
      </c>
      <c r="DQ281" s="112" t="str">
        <f aca="false">IF($DD281&gt;$DC$8,"",VLOOKUP($DD281,$DF$9:$DL$508,5,FALSE()))</f>
        <v/>
      </c>
      <c r="DR281" s="113" t="str">
        <f aca="false">IF($DD281&gt;$DC$8,"",VLOOKUP($DD281,$DF$9:$DL$508,6,FALSE()))</f>
        <v/>
      </c>
      <c r="DS281" s="76"/>
    </row>
    <row r="282" customFormat="false" ht="15.75" hidden="false" customHeight="false" outlineLevel="0" collapsed="false">
      <c r="A282" s="9"/>
      <c r="B282" s="160"/>
      <c r="C282" s="161"/>
      <c r="D282" s="162"/>
      <c r="E282" s="180"/>
      <c r="F282" s="164"/>
      <c r="G282" s="165"/>
      <c r="H282" s="165"/>
      <c r="I282" s="181"/>
      <c r="J282" s="168"/>
      <c r="K282" s="128"/>
      <c r="L282" s="129"/>
      <c r="M282" s="130"/>
      <c r="N282" s="168"/>
      <c r="O282" s="168"/>
      <c r="P282" s="180"/>
      <c r="Q282" s="168"/>
      <c r="R282" s="168"/>
      <c r="S282" s="128"/>
      <c r="T282" s="130"/>
      <c r="U282" s="130"/>
      <c r="V282" s="168"/>
      <c r="W282" s="168"/>
      <c r="X282" s="180"/>
      <c r="Y282" s="168"/>
      <c r="Z282" s="169"/>
      <c r="AA282" s="168"/>
      <c r="AB282" s="134"/>
      <c r="AC282" s="135"/>
      <c r="AD282" s="135"/>
      <c r="AE282" s="135"/>
      <c r="AF282" s="135" t="str">
        <f aca="false">IF(ISBLANK($C282),"",IF(E282=Constants!$B$2,TRUE(),IF(E282=Constants!$B$3,FALSE(),TRUE())))</f>
        <v/>
      </c>
      <c r="AG282" s="135" t="str">
        <f aca="false">IF(ISBLANK($C282),"",IF(F282=Constants!$B$2,TRUE(),IF(F282=Constants!$B$3,FALSE(),TRUE())))</f>
        <v/>
      </c>
      <c r="AH282" s="135" t="str">
        <f aca="false">IF(ISBLANK($C282),"",IF(G282=Constants!$B$2,TRUE(),IF(G282=Constants!$B$3,FALSE(),TRUE())))</f>
        <v/>
      </c>
      <c r="AI282" s="135" t="str">
        <f aca="false">IF(ISBLANK($C282),"",IF(AND(ISNUMBER(H282),H282&gt;=0),H282,Constants!$B$24))</f>
        <v/>
      </c>
      <c r="AJ282" s="135" t="str">
        <f aca="false">IF(ISBLANK($C282),"",IF(I282=Constants!$B$2,TRUE(),IF(I282=Constants!$B$3,FALSE(),TRUE())))</f>
        <v/>
      </c>
      <c r="AK282" s="135" t="str">
        <f aca="false">IF(ISBLANK($C282),"",IF(J282=Constants!$B$2,TRUE(),IF(J282=Constants!$B$3,FALSE(),TRUE())))</f>
        <v/>
      </c>
      <c r="AL282" s="135" t="str">
        <f aca="false">IF(ISBLANK($C282),"",IF(K282=Constants!$B$4,TRUE(),IF(K282=Constants!$B$5,FALSE(),COUNTA(L282:P282)&gt;0)))</f>
        <v/>
      </c>
      <c r="AM282" s="136" t="str">
        <f aca="false">IF(ISBLANK($C282),"",IF(ISNUMBER(L282),IF(L282&gt;=0,L282,""),""))</f>
        <v/>
      </c>
      <c r="AN282" s="137" t="str">
        <f aca="false">IF(ISBLANK($C282),"",IF(ISNUMBER(M282),IF(M282&gt;=0,M282,""),""))</f>
        <v/>
      </c>
      <c r="AO282" s="137" t="str">
        <f aca="false">IF(ISBLANK($C282),"",IF(N282=Constants!$B$2,TRUE(),IF(N282=Constants!$B$3,FALSE(),TRUE())))</f>
        <v/>
      </c>
      <c r="AP282" s="135" t="str">
        <f aca="false">IF(ISBLANK($C282),"",IF(ISNUMBER(O282),IF(O282&gt;=0,O282,""),""))</f>
        <v/>
      </c>
      <c r="AQ282" s="135" t="str">
        <f aca="false">IF(ISBLANK($C282),"",IF(P282=Constants!$B$2,TRUE(),IF(P282=Constants!$B$3,FALSE(),FALSE())))</f>
        <v/>
      </c>
      <c r="AR282" s="135" t="str">
        <f aca="false">IF(ISBLANK($C282),"",IF(Q282=Constants!$B$2,TRUE(),IF(Q282=Constants!$B$3,FALSE(),TRUE())))</f>
        <v/>
      </c>
      <c r="AS282" s="135" t="str">
        <f aca="false">IF(ISBLANK($C282),"",IF(R282=Constants!$B$2,TRUE(),IF(R282=Constants!$B$3,FALSE(),TRUE())))</f>
        <v/>
      </c>
      <c r="AT282" s="135" t="str">
        <f aca="false">IF(ISBLANK($C282),"",IF(S282=Constants!$B$4,TRUE(),IF(S282=Constants!$B$5,FALSE(),COUNTA(T282:X282)&gt;0)))</f>
        <v/>
      </c>
      <c r="AU282" s="136" t="str">
        <f aca="false">IF(ISBLANK($C282),"",IF(ISNUMBER(T282),IF(T282&gt;=0,T282,""),""))</f>
        <v/>
      </c>
      <c r="AV282" s="137" t="str">
        <f aca="false">IF(ISBLANK($C282),"",IF(ISNUMBER(U282),IF(U282&gt;=0,U282,""),""))</f>
        <v/>
      </c>
      <c r="AW282" s="137" t="str">
        <f aca="false">IF(ISBLANK($C282),"",IF(V282=Constants!$B$2,TRUE(),IF(V282=Constants!$B$3,FALSE(),TRUE())))</f>
        <v/>
      </c>
      <c r="AX282" s="135" t="str">
        <f aca="false">IF(ISBLANK($C282),"",IF(ISNUMBER(W282),IF(W282&gt;=0,W282,""),""))</f>
        <v/>
      </c>
      <c r="AY282" s="135" t="str">
        <f aca="false">IF(ISBLANK($C282),"",IF(X282=Constants!$B$2,TRUE(),IF(X282=Constants!$B$3,FALSE(),FALSE())))</f>
        <v/>
      </c>
      <c r="AZ282" s="135" t="str">
        <f aca="false">IF(ISBLANK($C282),"",MIN(Constants!$B$25,MAX(0,IF(ISNUMBER(Y282),Y282*60,0)+IF(ISNUMBER(Z282),Z282,0))))</f>
        <v/>
      </c>
      <c r="BA282" s="135" t="str">
        <f aca="false">IF(ISBLANK($C282),"",IF(AA282=Constants!$B$2,TRUE(),IF(AA282=Constants!$B$3,FALSE(),FALSE())))</f>
        <v/>
      </c>
      <c r="BB282" s="134" t="str">
        <f aca="false">IF(ISBLANK($C282),"",AND($AL282,OR($AM282="",$AN282="",AND($AO282,$AP282=""))))</f>
        <v/>
      </c>
      <c r="BC282" s="137" t="str">
        <f aca="false">IF($BX282&lt;&gt;Constants!$B$6,"",IF($AL282,Constants!$B$17*$AN282+Constants!$B$18*IF($AO282,$AP282,Constants!$B$19),Constants!$B$20))</f>
        <v/>
      </c>
      <c r="BD282" s="138" t="str">
        <f aca="false">IF($BX282&lt;&gt;Constants!$B$6,"",Constants!$B$21*ABS($AD$9-IF($AL282,$AM282,0)))</f>
        <v/>
      </c>
      <c r="BE282" s="138" t="str">
        <f aca="false">IF($BX282&lt;&gt;Constants!$B$6,"",IF(AND($AL282,$AQ282,$AO282),Constants!$B$22,0))</f>
        <v/>
      </c>
      <c r="BF282" s="138" t="str">
        <f aca="false">IF($BX282&lt;&gt;Constants!$B$6,"",IF($AL282,($AI282-Constants!$B$24)*Constants!$B$23,0))</f>
        <v/>
      </c>
      <c r="BG282" s="138" t="str">
        <f aca="false">IF($BX282&lt;&gt;Constants!$B$6,"",IF($AK282,0,Constants!$B$12)+IF($AJ282,0,Constants!$B$13)+IF($AH282,0,Constants!$B$14))</f>
        <v/>
      </c>
      <c r="BH282" s="139" t="str">
        <f aca="false">IF($BX282&lt;&gt;Constants!$B$6,"",Constants!$B$16+SUM($BC282:$BG282))</f>
        <v/>
      </c>
      <c r="BI282" s="138" t="str">
        <f aca="false">IF($BX282&lt;&gt;Constants!$B$6,"",$BC282)</f>
        <v/>
      </c>
      <c r="BJ282" s="138" t="str">
        <f aca="false">IF($BX282&lt;&gt;Constants!$B$6,"",$BD282)</f>
        <v/>
      </c>
      <c r="BK282" s="140" t="str">
        <f aca="false">IF($BX282&lt;&gt;Constants!$B$6,"",IF($AL282,$AN282,""))</f>
        <v/>
      </c>
      <c r="BL282" s="135" t="str">
        <f aca="false">IF($BX282&lt;&gt;Constants!$B$6,"",IF(OR($BS282&lt;$BH282,AND($BS282=$BH282,OR($BT282&lt;$BI282,AND($BT282=$BI282,OR($BU282&lt;$BJ282,AND($BU282=$BJ282,AND(ISNUMBER($BV282),OR(NOT(ISNUMBER($BK282)),$BV282&lt;$BK282)))))))),"-&gt;","&lt;-"))</f>
        <v/>
      </c>
      <c r="BM282" s="134" t="str">
        <f aca="false">IF(ISBLANK($C282),"",AND($AT282,OR($AU282="",$AV282="",AND($AW282,$AX282=""))))</f>
        <v/>
      </c>
      <c r="BN282" s="137" t="str">
        <f aca="false">IF($BX282&lt;&gt;Constants!$B$6,"",IF($AT282,Constants!$B$17*$AV282+Constants!$B$18*IF($AW282,$AX282,Constants!$B$19),Constants!$B$20))</f>
        <v/>
      </c>
      <c r="BO282" s="138" t="str">
        <f aca="false">IF($BX282&lt;&gt;Constants!$B$6,"",Constants!$B$21*ABS($AD$9-IF($AT282,$AU282,0)))</f>
        <v/>
      </c>
      <c r="BP282" s="138" t="str">
        <f aca="false">IF($BX282&lt;&gt;Constants!$B$6,"",IF(AND($AT282,$AY282,$AW282),Constants!$B$22,0))</f>
        <v/>
      </c>
      <c r="BQ282" s="138" t="str">
        <f aca="false">IF($BX282&lt;&gt;Constants!$B$6,"",IF($AT282,($AI282-Constants!$B$24)*Constants!$B$23,0))</f>
        <v/>
      </c>
      <c r="BR282" s="138" t="str">
        <f aca="false">IF($BX282&lt;&gt;Constants!$B$6,"",IF($AS282,0,Constants!$B$12)+IF($AR282,0,Constants!$B$13)+IF($AH282,0,Constants!$B$14))</f>
        <v/>
      </c>
      <c r="BS282" s="139" t="str">
        <f aca="false">IF($BX282&lt;&gt;Constants!$B$6,"",Constants!$B$16+SUM($BN282:$BR282))</f>
        <v/>
      </c>
      <c r="BT282" s="138" t="str">
        <f aca="false">IF($BX282&lt;&gt;Constants!$B$6,"",$BN282)</f>
        <v/>
      </c>
      <c r="BU282" s="138" t="str">
        <f aca="false">IF($BX282&lt;&gt;Constants!$B$6,"",$BO282)</f>
        <v/>
      </c>
      <c r="BV282" s="140" t="str">
        <f aca="false">IF($BX282&lt;&gt;Constants!$B$6,"",IF($AT282,$AV282,""))</f>
        <v/>
      </c>
      <c r="BW282" s="135" t="str">
        <f aca="false">IF(ISBLANK($C282),"",IF(ISBLANK($D$7),$BW$5,IF(NOT(ISNUMBER($D$7)),$BW$6,"")))</f>
        <v/>
      </c>
      <c r="BX282" s="135" t="str">
        <f aca="false">IF(ISBLANK($C282),"",IF($BA282,Constants!$B$9,IF(COUNTA($E282:$AA282)=0,Constants!$B$8,IF(NOT($AG282),Constants!$B$7,IF(OR($BW282&lt;&gt;"",$BB282,$BM282),Constants!$B$10,Constants!$B$6)))))</f>
        <v/>
      </c>
      <c r="BY282" s="135" t="str">
        <f aca="false">IF(ISBLANK($C282),"",IF($BX282&lt;&gt;Constants!$B$6,$BX282,Constants!$B$11))</f>
        <v/>
      </c>
      <c r="BZ282" s="138" t="str">
        <f aca="false">IF($BX282&lt;&gt;Constants!$B$6,"",IF($BL282="-&gt;",$BS282,$BH282))</f>
        <v/>
      </c>
      <c r="CA282" s="138" t="str">
        <f aca="false">IF($BX282&lt;&gt;Constants!$B$6,"",IF($AF282,0,Constants!$B$15))</f>
        <v/>
      </c>
      <c r="CB282" s="138" t="str">
        <f aca="false">IF($BX282&lt;&gt;Constants!$B$6,"",((Constants!$B$25-$AZ282)-Constants!$B$25)/Constants!$B$26)</f>
        <v/>
      </c>
      <c r="CC282" s="138" t="str">
        <f aca="false">IF(ISBLANK($C282),"",IF($BX282&lt;&gt;Constants!$B$6,$BX282,SUM($BZ282:$CB282)))</f>
        <v/>
      </c>
      <c r="CD282" s="135" t="str">
        <f aca="false">IF(ISBLANK($C282),"",IF($BX282&lt;&gt;Constants!$B$6,$BX282,RANK($CC282,$CC$9:$CC$508,1)))</f>
        <v/>
      </c>
      <c r="CE282" s="138" t="str">
        <f aca="false">IF($BX282&lt;&gt;Constants!$B$6,"",IF($BL282="-&gt;",$BT282,$BI282))</f>
        <v/>
      </c>
      <c r="CF282" s="135" t="str">
        <f aca="false">IF(ISBLANK($C282),"",IF($BX282&lt;&gt;Constants!$B$6,$BX282,IF(ISNUMBER($CE282),RANK($CE282,$CE$9:$CE$508,1),COUNT($CE$9:$CE$508)+1)))</f>
        <v/>
      </c>
      <c r="CG282" s="138" t="str">
        <f aca="false">IF($BX282&lt;&gt;Constants!$B$6,"",IF($BL282="-&gt;",$BU282,$BJ282))</f>
        <v/>
      </c>
      <c r="CH282" s="135" t="str">
        <f aca="false">IF(ISBLANK($C282),"",IF($BX282&lt;&gt;Constants!$B$6,$BX282,IF(ISNUMBER($CG282),RANK($CG282,$CG$9:$CG$508,1),COUNT($CG$9:$CG$508)+1)))</f>
        <v/>
      </c>
      <c r="CI282" s="138" t="str">
        <f aca="false">IF($BX282&lt;&gt;Constants!$B$6,"",IF($BL282="-&gt;",$BV282,$BK282))</f>
        <v/>
      </c>
      <c r="CJ282" s="135" t="str">
        <f aca="false">IF(ISBLANK($C282),"",IF($BX282&lt;&gt;Constants!$B$6,$BX282,IF(ISNUMBER($CI282),RANK($CI282,$CI$9:$CI$508,1),COUNT($CI$9:$CI$508)+1)))</f>
        <v/>
      </c>
      <c r="CK282" s="138" t="str">
        <f aca="false">IF($BX282&lt;&gt;Constants!$B$6,"",$AI282)</f>
        <v/>
      </c>
      <c r="CL282" s="135" t="str">
        <f aca="false">IF(ISBLANK($C282),"",IF($BX282&lt;&gt;Constants!$B$6,$BX282,IF(ISNUMBER($CK282),RANK($CK282,$CK$9:$CK$508,1),COUNT($CK$9:$CK$508)+1)))</f>
        <v/>
      </c>
      <c r="CM282" s="135" t="str">
        <f aca="false">IF(ISBLANK($C282),"",IF($BX282&lt;&gt;Constants!$B$6,$BX282,COUNTIFS($CD$9:$CD$508,"&lt;"&amp;$CD282)+COUNTIFS($CD$9:$CD$508,$CD282,$CF$9:$CF$508,"&lt;"&amp;$CF282)+COUNTIFS($CD$9:$CD$508,$CD282,$CF$9:$CF$508,$CF282,$CH$9:$CH$508,"&lt;"&amp;$CH282)+COUNTIFS($CD$9:$CD$508,$CD282,$CF$9:$CF$508,$CF282,$CH$9:$CH$508,$CH282,$CJ$9:$CJ$508,"&lt;"&amp;$CJ282)+COUNTIFS($CD$9:$CD$508,$CD282,$CF$9:$CF$508,$CF282,$CH$9:$CH$508,$CH282,$CJ$9:$CJ$508,$CJ282,$CL$9:$CL$508,"&lt;"&amp;$CL282)+1))</f>
        <v/>
      </c>
      <c r="CN282" s="135" t="str">
        <f aca="false">IF(ISBLANK($C282),"",IF($BX282&lt;&gt;Constants!$B$6,$BX282,$CD282-$CM282))</f>
        <v/>
      </c>
      <c r="CO282" s="141"/>
      <c r="CP282" s="142"/>
      <c r="CQ282" s="143" t="str">
        <f aca="false">IF(ISBLANK($C282),"",IF($BX282=Constants!$B$10,$BW282,""))</f>
        <v/>
      </c>
      <c r="CR282" s="142" t="str">
        <f aca="false">IF(ISBLANK($C282),"",IF($BX282&lt;&gt;Constants!$B$6,"",IF($BL282="-&gt;",2,1)))</f>
        <v/>
      </c>
      <c r="CS282" s="144" t="str">
        <f aca="false">IF(ISBLANK($C282),"",IF($BX282&lt;&gt;Constants!$B$6,"",IF($BL282="-&gt;",$BN282,$BC282)))</f>
        <v/>
      </c>
      <c r="CT282" s="144" t="str">
        <f aca="false">IF(ISBLANK($C282),"",IF($BX282&lt;&gt;Constants!$B$6,"",IF($BL282="-&gt;",$BO282,$BD282)))</f>
        <v/>
      </c>
      <c r="CU282" s="144" t="str">
        <f aca="false">IF(ISBLANK($C282),"",IF($BX282&lt;&gt;Constants!$B$6,"",IF($BL282="-&gt;",$BP282+$BQ282,$BE282+$BF282)+$CB282))</f>
        <v/>
      </c>
      <c r="CV282" s="144" t="str">
        <f aca="false">IF(ISBLANK($C282),"",IF($BX282&lt;&gt;Constants!$B$6,"",IF($BL282="-&gt;",$BR282,$BG282)+$CA282))</f>
        <v/>
      </c>
      <c r="CW282" s="145" t="str">
        <f aca="false">IF(ISBLANK($C282),"",IF($BX282&lt;&gt;Constants!$B$6,$BX282,$CC282))</f>
        <v/>
      </c>
      <c r="CX282" s="146" t="str">
        <f aca="false">IF(ISBLANK($C282),"",$BY282)</f>
        <v/>
      </c>
      <c r="CY282" s="147" t="str">
        <f aca="false">IF(ISBLANK($C282),"",$CN282)</f>
        <v/>
      </c>
      <c r="CZ282" s="147" t="str">
        <f aca="false">IF(ISBLANK($C282),"",$CM282)</f>
        <v/>
      </c>
      <c r="DA282" s="148" t="str">
        <f aca="false">IF(ISBLANK($C282),"",IFERROR(_xlfn.SWITCH($CZ282,Constants!$B$9,COUNTA($C$9:$C$508)+2,Constants!$B$8,COUNTA($C$9:$C$508)+1,Constants!$B$7,COUNTA($C$9:$C$508)),$CZ282))</f>
        <v/>
      </c>
      <c r="DB282" s="9"/>
      <c r="DC282" s="149" t="n">
        <f aca="false">IF(OR(ISNUMBER($CZ282),$CZ282=Constants!$B$9,$CZ282=Constants!$B$7,$CZ282=Constants!$B$8),1,0)</f>
        <v>0</v>
      </c>
      <c r="DD282" s="149" t="n">
        <v>274</v>
      </c>
      <c r="DE282" s="149" t="str">
        <f aca="false">IF(ISBLANK($C282),"",IF(ISNUMBER($DA282),$DA282+ROW($B282)/1000,""))</f>
        <v/>
      </c>
      <c r="DF282" s="149" t="str">
        <f aca="false">IF(ISNUMBER($DE282),RANK($DE282,$DE$9:$DE$508,1),"")</f>
        <v/>
      </c>
      <c r="DG282" s="149" t="str">
        <f aca="false">IF(ISBLANK($C282),"",$B282)</f>
        <v/>
      </c>
      <c r="DH282" s="149" t="str">
        <f aca="false">IF(ISBLANK($C282),"",$C282)</f>
        <v/>
      </c>
      <c r="DI282" s="149" t="str">
        <f aca="false">IF(ISBLANK($C282),"",$D282)</f>
        <v/>
      </c>
      <c r="DJ282" s="150" t="str">
        <f aca="false">$CX282</f>
        <v/>
      </c>
      <c r="DK282" s="151" t="str">
        <f aca="false">$CW282</f>
        <v/>
      </c>
      <c r="DL282" s="149" t="str">
        <f aca="false">IF(ISBLANK($C282),"",$CZ282)</f>
        <v/>
      </c>
      <c r="DM282" s="152" t="str">
        <f aca="false">IF($DD282&gt;$DC$8,"",VLOOKUP($DD282,$DF$9:$DL$508,7,FALSE()))</f>
        <v/>
      </c>
      <c r="DN282" s="153" t="str">
        <f aca="false">IF($DD282&gt;$DC$8,"",VLOOKUP($DD282,$DF$9:$DL$508,2,FALSE()))</f>
        <v/>
      </c>
      <c r="DO282" s="153" t="str">
        <f aca="false">IF($DD282&gt;$DC$8,"",VLOOKUP($DD282,$DF$9:$DL$508,3,FALSE()))</f>
        <v/>
      </c>
      <c r="DP282" s="153" t="str">
        <f aca="false">IF($DD282&gt;$DC$8,"",VLOOKUP($DD282,$DF$9:$DL$508,4,FALSE()))</f>
        <v/>
      </c>
      <c r="DQ282" s="153" t="str">
        <f aca="false">IF($DD282&gt;$DC$8,"",VLOOKUP($DD282,$DF$9:$DL$508,5,FALSE()))</f>
        <v/>
      </c>
      <c r="DR282" s="154" t="str">
        <f aca="false">IF($DD282&gt;$DC$8,"",VLOOKUP($DD282,$DF$9:$DL$508,6,FALSE()))</f>
        <v/>
      </c>
      <c r="DS282" s="76"/>
    </row>
    <row r="283" customFormat="false" ht="15.75" hidden="false" customHeight="false" outlineLevel="0" collapsed="false">
      <c r="A283" s="9"/>
      <c r="B283" s="160"/>
      <c r="C283" s="161"/>
      <c r="D283" s="162"/>
      <c r="E283" s="180"/>
      <c r="F283" s="164"/>
      <c r="G283" s="165"/>
      <c r="H283" s="165"/>
      <c r="I283" s="181"/>
      <c r="J283" s="168"/>
      <c r="K283" s="128"/>
      <c r="L283" s="129"/>
      <c r="M283" s="130"/>
      <c r="N283" s="168"/>
      <c r="O283" s="168"/>
      <c r="P283" s="180"/>
      <c r="Q283" s="168"/>
      <c r="R283" s="168"/>
      <c r="S283" s="128"/>
      <c r="T283" s="130"/>
      <c r="U283" s="130"/>
      <c r="V283" s="168"/>
      <c r="W283" s="168"/>
      <c r="X283" s="180"/>
      <c r="Y283" s="168"/>
      <c r="Z283" s="169"/>
      <c r="AA283" s="168"/>
      <c r="AB283" s="134"/>
      <c r="AC283" s="135"/>
      <c r="AD283" s="135"/>
      <c r="AE283" s="135"/>
      <c r="AF283" s="135" t="str">
        <f aca="false">IF(ISBLANK($C283),"",IF(E283=Constants!$B$2,TRUE(),IF(E283=Constants!$B$3,FALSE(),TRUE())))</f>
        <v/>
      </c>
      <c r="AG283" s="135" t="str">
        <f aca="false">IF(ISBLANK($C283),"",IF(F283=Constants!$B$2,TRUE(),IF(F283=Constants!$B$3,FALSE(),TRUE())))</f>
        <v/>
      </c>
      <c r="AH283" s="135" t="str">
        <f aca="false">IF(ISBLANK($C283),"",IF(G283=Constants!$B$2,TRUE(),IF(G283=Constants!$B$3,FALSE(),TRUE())))</f>
        <v/>
      </c>
      <c r="AI283" s="135" t="str">
        <f aca="false">IF(ISBLANK($C283),"",IF(AND(ISNUMBER(H283),H283&gt;=0),H283,Constants!$B$24))</f>
        <v/>
      </c>
      <c r="AJ283" s="135" t="str">
        <f aca="false">IF(ISBLANK($C283),"",IF(I283=Constants!$B$2,TRUE(),IF(I283=Constants!$B$3,FALSE(),TRUE())))</f>
        <v/>
      </c>
      <c r="AK283" s="135" t="str">
        <f aca="false">IF(ISBLANK($C283),"",IF(J283=Constants!$B$2,TRUE(),IF(J283=Constants!$B$3,FALSE(),TRUE())))</f>
        <v/>
      </c>
      <c r="AL283" s="135" t="str">
        <f aca="false">IF(ISBLANK($C283),"",IF(K283=Constants!$B$4,TRUE(),IF(K283=Constants!$B$5,FALSE(),COUNTA(L283:P283)&gt;0)))</f>
        <v/>
      </c>
      <c r="AM283" s="136" t="str">
        <f aca="false">IF(ISBLANK($C283),"",IF(ISNUMBER(L283),IF(L283&gt;=0,L283,""),""))</f>
        <v/>
      </c>
      <c r="AN283" s="137" t="str">
        <f aca="false">IF(ISBLANK($C283),"",IF(ISNUMBER(M283),IF(M283&gt;=0,M283,""),""))</f>
        <v/>
      </c>
      <c r="AO283" s="137" t="str">
        <f aca="false">IF(ISBLANK($C283),"",IF(N283=Constants!$B$2,TRUE(),IF(N283=Constants!$B$3,FALSE(),TRUE())))</f>
        <v/>
      </c>
      <c r="AP283" s="135" t="str">
        <f aca="false">IF(ISBLANK($C283),"",IF(ISNUMBER(O283),IF(O283&gt;=0,O283,""),""))</f>
        <v/>
      </c>
      <c r="AQ283" s="135" t="str">
        <f aca="false">IF(ISBLANK($C283),"",IF(P283=Constants!$B$2,TRUE(),IF(P283=Constants!$B$3,FALSE(),FALSE())))</f>
        <v/>
      </c>
      <c r="AR283" s="135" t="str">
        <f aca="false">IF(ISBLANK($C283),"",IF(Q283=Constants!$B$2,TRUE(),IF(Q283=Constants!$B$3,FALSE(),TRUE())))</f>
        <v/>
      </c>
      <c r="AS283" s="135" t="str">
        <f aca="false">IF(ISBLANK($C283),"",IF(R283=Constants!$B$2,TRUE(),IF(R283=Constants!$B$3,FALSE(),TRUE())))</f>
        <v/>
      </c>
      <c r="AT283" s="135" t="str">
        <f aca="false">IF(ISBLANK($C283),"",IF(S283=Constants!$B$4,TRUE(),IF(S283=Constants!$B$5,FALSE(),COUNTA(T283:X283)&gt;0)))</f>
        <v/>
      </c>
      <c r="AU283" s="136" t="str">
        <f aca="false">IF(ISBLANK($C283),"",IF(ISNUMBER(T283),IF(T283&gt;=0,T283,""),""))</f>
        <v/>
      </c>
      <c r="AV283" s="137" t="str">
        <f aca="false">IF(ISBLANK($C283),"",IF(ISNUMBER(U283),IF(U283&gt;=0,U283,""),""))</f>
        <v/>
      </c>
      <c r="AW283" s="137" t="str">
        <f aca="false">IF(ISBLANK($C283),"",IF(V283=Constants!$B$2,TRUE(),IF(V283=Constants!$B$3,FALSE(),TRUE())))</f>
        <v/>
      </c>
      <c r="AX283" s="135" t="str">
        <f aca="false">IF(ISBLANK($C283),"",IF(ISNUMBER(W283),IF(W283&gt;=0,W283,""),""))</f>
        <v/>
      </c>
      <c r="AY283" s="135" t="str">
        <f aca="false">IF(ISBLANK($C283),"",IF(X283=Constants!$B$2,TRUE(),IF(X283=Constants!$B$3,FALSE(),FALSE())))</f>
        <v/>
      </c>
      <c r="AZ283" s="135" t="str">
        <f aca="false">IF(ISBLANK($C283),"",MIN(Constants!$B$25,MAX(0,IF(ISNUMBER(Y283),Y283*60,0)+IF(ISNUMBER(Z283),Z283,0))))</f>
        <v/>
      </c>
      <c r="BA283" s="135" t="str">
        <f aca="false">IF(ISBLANK($C283),"",IF(AA283=Constants!$B$2,TRUE(),IF(AA283=Constants!$B$3,FALSE(),FALSE())))</f>
        <v/>
      </c>
      <c r="BB283" s="134" t="str">
        <f aca="false">IF(ISBLANK($C283),"",AND($AL283,OR($AM283="",$AN283="",AND($AO283,$AP283=""))))</f>
        <v/>
      </c>
      <c r="BC283" s="137" t="str">
        <f aca="false">IF($BX283&lt;&gt;Constants!$B$6,"",IF($AL283,Constants!$B$17*$AN283+Constants!$B$18*IF($AO283,$AP283,Constants!$B$19),Constants!$B$20))</f>
        <v/>
      </c>
      <c r="BD283" s="138" t="str">
        <f aca="false">IF($BX283&lt;&gt;Constants!$B$6,"",Constants!$B$21*ABS($AD$9-IF($AL283,$AM283,0)))</f>
        <v/>
      </c>
      <c r="BE283" s="138" t="str">
        <f aca="false">IF($BX283&lt;&gt;Constants!$B$6,"",IF(AND($AL283,$AQ283,$AO283),Constants!$B$22,0))</f>
        <v/>
      </c>
      <c r="BF283" s="138" t="str">
        <f aca="false">IF($BX283&lt;&gt;Constants!$B$6,"",IF($AL283,($AI283-Constants!$B$24)*Constants!$B$23,0))</f>
        <v/>
      </c>
      <c r="BG283" s="138" t="str">
        <f aca="false">IF($BX283&lt;&gt;Constants!$B$6,"",IF($AK283,0,Constants!$B$12)+IF($AJ283,0,Constants!$B$13)+IF($AH283,0,Constants!$B$14))</f>
        <v/>
      </c>
      <c r="BH283" s="139" t="str">
        <f aca="false">IF($BX283&lt;&gt;Constants!$B$6,"",Constants!$B$16+SUM($BC283:$BG283))</f>
        <v/>
      </c>
      <c r="BI283" s="138" t="str">
        <f aca="false">IF($BX283&lt;&gt;Constants!$B$6,"",$BC283)</f>
        <v/>
      </c>
      <c r="BJ283" s="138" t="str">
        <f aca="false">IF($BX283&lt;&gt;Constants!$B$6,"",$BD283)</f>
        <v/>
      </c>
      <c r="BK283" s="140" t="str">
        <f aca="false">IF($BX283&lt;&gt;Constants!$B$6,"",IF($AL283,$AN283,""))</f>
        <v/>
      </c>
      <c r="BL283" s="135" t="str">
        <f aca="false">IF($BX283&lt;&gt;Constants!$B$6,"",IF(OR($BS283&lt;$BH283,AND($BS283=$BH283,OR($BT283&lt;$BI283,AND($BT283=$BI283,OR($BU283&lt;$BJ283,AND($BU283=$BJ283,AND(ISNUMBER($BV283),OR(NOT(ISNUMBER($BK283)),$BV283&lt;$BK283)))))))),"-&gt;","&lt;-"))</f>
        <v/>
      </c>
      <c r="BM283" s="134" t="str">
        <f aca="false">IF(ISBLANK($C283),"",AND($AT283,OR($AU283="",$AV283="",AND($AW283,$AX283=""))))</f>
        <v/>
      </c>
      <c r="BN283" s="137" t="str">
        <f aca="false">IF($BX283&lt;&gt;Constants!$B$6,"",IF($AT283,Constants!$B$17*$AV283+Constants!$B$18*IF($AW283,$AX283,Constants!$B$19),Constants!$B$20))</f>
        <v/>
      </c>
      <c r="BO283" s="138" t="str">
        <f aca="false">IF($BX283&lt;&gt;Constants!$B$6,"",Constants!$B$21*ABS($AD$9-IF($AT283,$AU283,0)))</f>
        <v/>
      </c>
      <c r="BP283" s="138" t="str">
        <f aca="false">IF($BX283&lt;&gt;Constants!$B$6,"",IF(AND($AT283,$AY283,$AW283),Constants!$B$22,0))</f>
        <v/>
      </c>
      <c r="BQ283" s="138" t="str">
        <f aca="false">IF($BX283&lt;&gt;Constants!$B$6,"",IF($AT283,($AI283-Constants!$B$24)*Constants!$B$23,0))</f>
        <v/>
      </c>
      <c r="BR283" s="138" t="str">
        <f aca="false">IF($BX283&lt;&gt;Constants!$B$6,"",IF($AS283,0,Constants!$B$12)+IF($AR283,0,Constants!$B$13)+IF($AH283,0,Constants!$B$14))</f>
        <v/>
      </c>
      <c r="BS283" s="139" t="str">
        <f aca="false">IF($BX283&lt;&gt;Constants!$B$6,"",Constants!$B$16+SUM($BN283:$BR283))</f>
        <v/>
      </c>
      <c r="BT283" s="138" t="str">
        <f aca="false">IF($BX283&lt;&gt;Constants!$B$6,"",$BN283)</f>
        <v/>
      </c>
      <c r="BU283" s="138" t="str">
        <f aca="false">IF($BX283&lt;&gt;Constants!$B$6,"",$BO283)</f>
        <v/>
      </c>
      <c r="BV283" s="140" t="str">
        <f aca="false">IF($BX283&lt;&gt;Constants!$B$6,"",IF($AT283,$AV283,""))</f>
        <v/>
      </c>
      <c r="BW283" s="135" t="str">
        <f aca="false">IF(ISBLANK($C283),"",IF(ISBLANK($D$7),$BW$5,IF(NOT(ISNUMBER($D$7)),$BW$6,"")))</f>
        <v/>
      </c>
      <c r="BX283" s="135" t="str">
        <f aca="false">IF(ISBLANK($C283),"",IF($BA283,Constants!$B$9,IF(COUNTA($E283:$AA283)=0,Constants!$B$8,IF(NOT($AG283),Constants!$B$7,IF(OR($BW283&lt;&gt;"",$BB283,$BM283),Constants!$B$10,Constants!$B$6)))))</f>
        <v/>
      </c>
      <c r="BY283" s="135" t="str">
        <f aca="false">IF(ISBLANK($C283),"",IF($BX283&lt;&gt;Constants!$B$6,$BX283,Constants!$B$11))</f>
        <v/>
      </c>
      <c r="BZ283" s="138" t="str">
        <f aca="false">IF($BX283&lt;&gt;Constants!$B$6,"",IF($BL283="-&gt;",$BS283,$BH283))</f>
        <v/>
      </c>
      <c r="CA283" s="138" t="str">
        <f aca="false">IF($BX283&lt;&gt;Constants!$B$6,"",IF($AF283,0,Constants!$B$15))</f>
        <v/>
      </c>
      <c r="CB283" s="138" t="str">
        <f aca="false">IF($BX283&lt;&gt;Constants!$B$6,"",((Constants!$B$25-$AZ283)-Constants!$B$25)/Constants!$B$26)</f>
        <v/>
      </c>
      <c r="CC283" s="138" t="str">
        <f aca="false">IF(ISBLANK($C283),"",IF($BX283&lt;&gt;Constants!$B$6,$BX283,SUM($BZ283:$CB283)))</f>
        <v/>
      </c>
      <c r="CD283" s="135" t="str">
        <f aca="false">IF(ISBLANK($C283),"",IF($BX283&lt;&gt;Constants!$B$6,$BX283,RANK($CC283,$CC$9:$CC$508,1)))</f>
        <v/>
      </c>
      <c r="CE283" s="138" t="str">
        <f aca="false">IF($BX283&lt;&gt;Constants!$B$6,"",IF($BL283="-&gt;",$BT283,$BI283))</f>
        <v/>
      </c>
      <c r="CF283" s="135" t="str">
        <f aca="false">IF(ISBLANK($C283),"",IF($BX283&lt;&gt;Constants!$B$6,$BX283,IF(ISNUMBER($CE283),RANK($CE283,$CE$9:$CE$508,1),COUNT($CE$9:$CE$508)+1)))</f>
        <v/>
      </c>
      <c r="CG283" s="138" t="str">
        <f aca="false">IF($BX283&lt;&gt;Constants!$B$6,"",IF($BL283="-&gt;",$BU283,$BJ283))</f>
        <v/>
      </c>
      <c r="CH283" s="135" t="str">
        <f aca="false">IF(ISBLANK($C283),"",IF($BX283&lt;&gt;Constants!$B$6,$BX283,IF(ISNUMBER($CG283),RANK($CG283,$CG$9:$CG$508,1),COUNT($CG$9:$CG$508)+1)))</f>
        <v/>
      </c>
      <c r="CI283" s="138" t="str">
        <f aca="false">IF($BX283&lt;&gt;Constants!$B$6,"",IF($BL283="-&gt;",$BV283,$BK283))</f>
        <v/>
      </c>
      <c r="CJ283" s="135" t="str">
        <f aca="false">IF(ISBLANK($C283),"",IF($BX283&lt;&gt;Constants!$B$6,$BX283,IF(ISNUMBER($CI283),RANK($CI283,$CI$9:$CI$508,1),COUNT($CI$9:$CI$508)+1)))</f>
        <v/>
      </c>
      <c r="CK283" s="138" t="str">
        <f aca="false">IF($BX283&lt;&gt;Constants!$B$6,"",$AI283)</f>
        <v/>
      </c>
      <c r="CL283" s="135" t="str">
        <f aca="false">IF(ISBLANK($C283),"",IF($BX283&lt;&gt;Constants!$B$6,$BX283,IF(ISNUMBER($CK283),RANK($CK283,$CK$9:$CK$508,1),COUNT($CK$9:$CK$508)+1)))</f>
        <v/>
      </c>
      <c r="CM283" s="135" t="str">
        <f aca="false">IF(ISBLANK($C283),"",IF($BX283&lt;&gt;Constants!$B$6,$BX283,COUNTIFS($CD$9:$CD$508,"&lt;"&amp;$CD283)+COUNTIFS($CD$9:$CD$508,$CD283,$CF$9:$CF$508,"&lt;"&amp;$CF283)+COUNTIFS($CD$9:$CD$508,$CD283,$CF$9:$CF$508,$CF283,$CH$9:$CH$508,"&lt;"&amp;$CH283)+COUNTIFS($CD$9:$CD$508,$CD283,$CF$9:$CF$508,$CF283,$CH$9:$CH$508,$CH283,$CJ$9:$CJ$508,"&lt;"&amp;$CJ283)+COUNTIFS($CD$9:$CD$508,$CD283,$CF$9:$CF$508,$CF283,$CH$9:$CH$508,$CH283,$CJ$9:$CJ$508,$CJ283,$CL$9:$CL$508,"&lt;"&amp;$CL283)+1))</f>
        <v/>
      </c>
      <c r="CN283" s="135" t="str">
        <f aca="false">IF(ISBLANK($C283),"",IF($BX283&lt;&gt;Constants!$B$6,$BX283,$CD283-$CM283))</f>
        <v/>
      </c>
      <c r="CO283" s="141"/>
      <c r="CP283" s="142"/>
      <c r="CQ283" s="143" t="str">
        <f aca="false">IF(ISBLANK($C283),"",IF($BX283=Constants!$B$10,$BW283,""))</f>
        <v/>
      </c>
      <c r="CR283" s="142" t="str">
        <f aca="false">IF(ISBLANK($C283),"",IF($BX283&lt;&gt;Constants!$B$6,"",IF($BL283="-&gt;",2,1)))</f>
        <v/>
      </c>
      <c r="CS283" s="144" t="str">
        <f aca="false">IF(ISBLANK($C283),"",IF($BX283&lt;&gt;Constants!$B$6,"",IF($BL283="-&gt;",$BN283,$BC283)))</f>
        <v/>
      </c>
      <c r="CT283" s="144" t="str">
        <f aca="false">IF(ISBLANK($C283),"",IF($BX283&lt;&gt;Constants!$B$6,"",IF($BL283="-&gt;",$BO283,$BD283)))</f>
        <v/>
      </c>
      <c r="CU283" s="144" t="str">
        <f aca="false">IF(ISBLANK($C283),"",IF($BX283&lt;&gt;Constants!$B$6,"",IF($BL283="-&gt;",$BP283+$BQ283,$BE283+$BF283)+$CB283))</f>
        <v/>
      </c>
      <c r="CV283" s="144" t="str">
        <f aca="false">IF(ISBLANK($C283),"",IF($BX283&lt;&gt;Constants!$B$6,"",IF($BL283="-&gt;",$BR283,$BG283)+$CA283))</f>
        <v/>
      </c>
      <c r="CW283" s="145" t="str">
        <f aca="false">IF(ISBLANK($C283),"",IF($BX283&lt;&gt;Constants!$B$6,$BX283,$CC283))</f>
        <v/>
      </c>
      <c r="CX283" s="146" t="str">
        <f aca="false">IF(ISBLANK($C283),"",$BY283)</f>
        <v/>
      </c>
      <c r="CY283" s="147" t="str">
        <f aca="false">IF(ISBLANK($C283),"",$CN283)</f>
        <v/>
      </c>
      <c r="CZ283" s="147" t="str">
        <f aca="false">IF(ISBLANK($C283),"",$CM283)</f>
        <v/>
      </c>
      <c r="DA283" s="148" t="str">
        <f aca="false">IF(ISBLANK($C283),"",IFERROR(_xlfn.SWITCH($CZ283,Constants!$B$9,COUNTA($C$9:$C$508)+2,Constants!$B$8,COUNTA($C$9:$C$508)+1,Constants!$B$7,COUNTA($C$9:$C$508)),$CZ283))</f>
        <v/>
      </c>
      <c r="DB283" s="9"/>
      <c r="DC283" s="149" t="n">
        <f aca="false">IF(OR(ISNUMBER($CZ283),$CZ283=Constants!$B$9,$CZ283=Constants!$B$7,$CZ283=Constants!$B$8),1,0)</f>
        <v>0</v>
      </c>
      <c r="DD283" s="149" t="n">
        <v>275</v>
      </c>
      <c r="DE283" s="149" t="str">
        <f aca="false">IF(ISBLANK($C283),"",IF(ISNUMBER($DA283),$DA283+ROW($B283)/1000,""))</f>
        <v/>
      </c>
      <c r="DF283" s="149" t="str">
        <f aca="false">IF(ISNUMBER($DE283),RANK($DE283,$DE$9:$DE$508,1),"")</f>
        <v/>
      </c>
      <c r="DG283" s="149" t="str">
        <f aca="false">IF(ISBLANK($C283),"",$B283)</f>
        <v/>
      </c>
      <c r="DH283" s="149" t="str">
        <f aca="false">IF(ISBLANK($C283),"",$C283)</f>
        <v/>
      </c>
      <c r="DI283" s="149" t="str">
        <f aca="false">IF(ISBLANK($C283),"",$D283)</f>
        <v/>
      </c>
      <c r="DJ283" s="150" t="str">
        <f aca="false">$CX283</f>
        <v/>
      </c>
      <c r="DK283" s="151" t="str">
        <f aca="false">$CW283</f>
        <v/>
      </c>
      <c r="DL283" s="149" t="str">
        <f aca="false">IF(ISBLANK($C283),"",$CZ283)</f>
        <v/>
      </c>
      <c r="DM283" s="152" t="str">
        <f aca="false">IF($DD283&gt;$DC$8,"",VLOOKUP($DD283,$DF$9:$DL$508,7,FALSE()))</f>
        <v/>
      </c>
      <c r="DN283" s="153" t="str">
        <f aca="false">IF($DD283&gt;$DC$8,"",VLOOKUP($DD283,$DF$9:$DL$508,2,FALSE()))</f>
        <v/>
      </c>
      <c r="DO283" s="153" t="str">
        <f aca="false">IF($DD283&gt;$DC$8,"",VLOOKUP($DD283,$DF$9:$DL$508,3,FALSE()))</f>
        <v/>
      </c>
      <c r="DP283" s="153" t="str">
        <f aca="false">IF($DD283&gt;$DC$8,"",VLOOKUP($DD283,$DF$9:$DL$508,4,FALSE()))</f>
        <v/>
      </c>
      <c r="DQ283" s="153" t="str">
        <f aca="false">IF($DD283&gt;$DC$8,"",VLOOKUP($DD283,$DF$9:$DL$508,5,FALSE()))</f>
        <v/>
      </c>
      <c r="DR283" s="154" t="str">
        <f aca="false">IF($DD283&gt;$DC$8,"",VLOOKUP($DD283,$DF$9:$DL$508,6,FALSE()))</f>
        <v/>
      </c>
      <c r="DS283" s="76"/>
    </row>
    <row r="284" customFormat="false" ht="15.75" hidden="false" customHeight="false" outlineLevel="0" collapsed="false">
      <c r="A284" s="9"/>
      <c r="B284" s="160"/>
      <c r="C284" s="161"/>
      <c r="D284" s="162"/>
      <c r="E284" s="180"/>
      <c r="F284" s="164"/>
      <c r="G284" s="165"/>
      <c r="H284" s="165"/>
      <c r="I284" s="181"/>
      <c r="J284" s="168"/>
      <c r="K284" s="128"/>
      <c r="L284" s="129"/>
      <c r="M284" s="130"/>
      <c r="N284" s="168"/>
      <c r="O284" s="168"/>
      <c r="P284" s="180"/>
      <c r="Q284" s="168"/>
      <c r="R284" s="168"/>
      <c r="S284" s="128"/>
      <c r="T284" s="130"/>
      <c r="U284" s="130"/>
      <c r="V284" s="168"/>
      <c r="W284" s="168"/>
      <c r="X284" s="180"/>
      <c r="Y284" s="168"/>
      <c r="Z284" s="169"/>
      <c r="AA284" s="168"/>
      <c r="AB284" s="134"/>
      <c r="AC284" s="135"/>
      <c r="AD284" s="135"/>
      <c r="AE284" s="135"/>
      <c r="AF284" s="135" t="str">
        <f aca="false">IF(ISBLANK($C284),"",IF(E284=Constants!$B$2,TRUE(),IF(E284=Constants!$B$3,FALSE(),TRUE())))</f>
        <v/>
      </c>
      <c r="AG284" s="135" t="str">
        <f aca="false">IF(ISBLANK($C284),"",IF(F284=Constants!$B$2,TRUE(),IF(F284=Constants!$B$3,FALSE(),TRUE())))</f>
        <v/>
      </c>
      <c r="AH284" s="135" t="str">
        <f aca="false">IF(ISBLANK($C284),"",IF(G284=Constants!$B$2,TRUE(),IF(G284=Constants!$B$3,FALSE(),TRUE())))</f>
        <v/>
      </c>
      <c r="AI284" s="135" t="str">
        <f aca="false">IF(ISBLANK($C284),"",IF(AND(ISNUMBER(H284),H284&gt;=0),H284,Constants!$B$24))</f>
        <v/>
      </c>
      <c r="AJ284" s="135" t="str">
        <f aca="false">IF(ISBLANK($C284),"",IF(I284=Constants!$B$2,TRUE(),IF(I284=Constants!$B$3,FALSE(),TRUE())))</f>
        <v/>
      </c>
      <c r="AK284" s="135" t="str">
        <f aca="false">IF(ISBLANK($C284),"",IF(J284=Constants!$B$2,TRUE(),IF(J284=Constants!$B$3,FALSE(),TRUE())))</f>
        <v/>
      </c>
      <c r="AL284" s="135" t="str">
        <f aca="false">IF(ISBLANK($C284),"",IF(K284=Constants!$B$4,TRUE(),IF(K284=Constants!$B$5,FALSE(),COUNTA(L284:P284)&gt;0)))</f>
        <v/>
      </c>
      <c r="AM284" s="136" t="str">
        <f aca="false">IF(ISBLANK($C284),"",IF(ISNUMBER(L284),IF(L284&gt;=0,L284,""),""))</f>
        <v/>
      </c>
      <c r="AN284" s="137" t="str">
        <f aca="false">IF(ISBLANK($C284),"",IF(ISNUMBER(M284),IF(M284&gt;=0,M284,""),""))</f>
        <v/>
      </c>
      <c r="AO284" s="137" t="str">
        <f aca="false">IF(ISBLANK($C284),"",IF(N284=Constants!$B$2,TRUE(),IF(N284=Constants!$B$3,FALSE(),TRUE())))</f>
        <v/>
      </c>
      <c r="AP284" s="135" t="str">
        <f aca="false">IF(ISBLANK($C284),"",IF(ISNUMBER(O284),IF(O284&gt;=0,O284,""),""))</f>
        <v/>
      </c>
      <c r="AQ284" s="135" t="str">
        <f aca="false">IF(ISBLANK($C284),"",IF(P284=Constants!$B$2,TRUE(),IF(P284=Constants!$B$3,FALSE(),FALSE())))</f>
        <v/>
      </c>
      <c r="AR284" s="135" t="str">
        <f aca="false">IF(ISBLANK($C284),"",IF(Q284=Constants!$B$2,TRUE(),IF(Q284=Constants!$B$3,FALSE(),TRUE())))</f>
        <v/>
      </c>
      <c r="AS284" s="135" t="str">
        <f aca="false">IF(ISBLANK($C284),"",IF(R284=Constants!$B$2,TRUE(),IF(R284=Constants!$B$3,FALSE(),TRUE())))</f>
        <v/>
      </c>
      <c r="AT284" s="135" t="str">
        <f aca="false">IF(ISBLANK($C284),"",IF(S284=Constants!$B$4,TRUE(),IF(S284=Constants!$B$5,FALSE(),COUNTA(T284:X284)&gt;0)))</f>
        <v/>
      </c>
      <c r="AU284" s="136" t="str">
        <f aca="false">IF(ISBLANK($C284),"",IF(ISNUMBER(T284),IF(T284&gt;=0,T284,""),""))</f>
        <v/>
      </c>
      <c r="AV284" s="137" t="str">
        <f aca="false">IF(ISBLANK($C284),"",IF(ISNUMBER(U284),IF(U284&gt;=0,U284,""),""))</f>
        <v/>
      </c>
      <c r="AW284" s="137" t="str">
        <f aca="false">IF(ISBLANK($C284),"",IF(V284=Constants!$B$2,TRUE(),IF(V284=Constants!$B$3,FALSE(),TRUE())))</f>
        <v/>
      </c>
      <c r="AX284" s="135" t="str">
        <f aca="false">IF(ISBLANK($C284),"",IF(ISNUMBER(W284),IF(W284&gt;=0,W284,""),""))</f>
        <v/>
      </c>
      <c r="AY284" s="135" t="str">
        <f aca="false">IF(ISBLANK($C284),"",IF(X284=Constants!$B$2,TRUE(),IF(X284=Constants!$B$3,FALSE(),FALSE())))</f>
        <v/>
      </c>
      <c r="AZ284" s="135" t="str">
        <f aca="false">IF(ISBLANK($C284),"",MIN(Constants!$B$25,MAX(0,IF(ISNUMBER(Y284),Y284*60,0)+IF(ISNUMBER(Z284),Z284,0))))</f>
        <v/>
      </c>
      <c r="BA284" s="135" t="str">
        <f aca="false">IF(ISBLANK($C284),"",IF(AA284=Constants!$B$2,TRUE(),IF(AA284=Constants!$B$3,FALSE(),FALSE())))</f>
        <v/>
      </c>
      <c r="BB284" s="134" t="str">
        <f aca="false">IF(ISBLANK($C284),"",AND($AL284,OR($AM284="",$AN284="",AND($AO284,$AP284=""))))</f>
        <v/>
      </c>
      <c r="BC284" s="137" t="str">
        <f aca="false">IF($BX284&lt;&gt;Constants!$B$6,"",IF($AL284,Constants!$B$17*$AN284+Constants!$B$18*IF($AO284,$AP284,Constants!$B$19),Constants!$B$20))</f>
        <v/>
      </c>
      <c r="BD284" s="138" t="str">
        <f aca="false">IF($BX284&lt;&gt;Constants!$B$6,"",Constants!$B$21*ABS($AD$9-IF($AL284,$AM284,0)))</f>
        <v/>
      </c>
      <c r="BE284" s="138" t="str">
        <f aca="false">IF($BX284&lt;&gt;Constants!$B$6,"",IF(AND($AL284,$AQ284,$AO284),Constants!$B$22,0))</f>
        <v/>
      </c>
      <c r="BF284" s="138" t="str">
        <f aca="false">IF($BX284&lt;&gt;Constants!$B$6,"",IF($AL284,($AI284-Constants!$B$24)*Constants!$B$23,0))</f>
        <v/>
      </c>
      <c r="BG284" s="138" t="str">
        <f aca="false">IF($BX284&lt;&gt;Constants!$B$6,"",IF($AK284,0,Constants!$B$12)+IF($AJ284,0,Constants!$B$13)+IF($AH284,0,Constants!$B$14))</f>
        <v/>
      </c>
      <c r="BH284" s="139" t="str">
        <f aca="false">IF($BX284&lt;&gt;Constants!$B$6,"",Constants!$B$16+SUM($BC284:$BG284))</f>
        <v/>
      </c>
      <c r="BI284" s="138" t="str">
        <f aca="false">IF($BX284&lt;&gt;Constants!$B$6,"",$BC284)</f>
        <v/>
      </c>
      <c r="BJ284" s="138" t="str">
        <f aca="false">IF($BX284&lt;&gt;Constants!$B$6,"",$BD284)</f>
        <v/>
      </c>
      <c r="BK284" s="140" t="str">
        <f aca="false">IF($BX284&lt;&gt;Constants!$B$6,"",IF($AL284,$AN284,""))</f>
        <v/>
      </c>
      <c r="BL284" s="135" t="str">
        <f aca="false">IF($BX284&lt;&gt;Constants!$B$6,"",IF(OR($BS284&lt;$BH284,AND($BS284=$BH284,OR($BT284&lt;$BI284,AND($BT284=$BI284,OR($BU284&lt;$BJ284,AND($BU284=$BJ284,AND(ISNUMBER($BV284),OR(NOT(ISNUMBER($BK284)),$BV284&lt;$BK284)))))))),"-&gt;","&lt;-"))</f>
        <v/>
      </c>
      <c r="BM284" s="134" t="str">
        <f aca="false">IF(ISBLANK($C284),"",AND($AT284,OR($AU284="",$AV284="",AND($AW284,$AX284=""))))</f>
        <v/>
      </c>
      <c r="BN284" s="137" t="str">
        <f aca="false">IF($BX284&lt;&gt;Constants!$B$6,"",IF($AT284,Constants!$B$17*$AV284+Constants!$B$18*IF($AW284,$AX284,Constants!$B$19),Constants!$B$20))</f>
        <v/>
      </c>
      <c r="BO284" s="138" t="str">
        <f aca="false">IF($BX284&lt;&gt;Constants!$B$6,"",Constants!$B$21*ABS($AD$9-IF($AT284,$AU284,0)))</f>
        <v/>
      </c>
      <c r="BP284" s="138" t="str">
        <f aca="false">IF($BX284&lt;&gt;Constants!$B$6,"",IF(AND($AT284,$AY284,$AW284),Constants!$B$22,0))</f>
        <v/>
      </c>
      <c r="BQ284" s="138" t="str">
        <f aca="false">IF($BX284&lt;&gt;Constants!$B$6,"",IF($AT284,($AI284-Constants!$B$24)*Constants!$B$23,0))</f>
        <v/>
      </c>
      <c r="BR284" s="138" t="str">
        <f aca="false">IF($BX284&lt;&gt;Constants!$B$6,"",IF($AS284,0,Constants!$B$12)+IF($AR284,0,Constants!$B$13)+IF($AH284,0,Constants!$B$14))</f>
        <v/>
      </c>
      <c r="BS284" s="139" t="str">
        <f aca="false">IF($BX284&lt;&gt;Constants!$B$6,"",Constants!$B$16+SUM($BN284:$BR284))</f>
        <v/>
      </c>
      <c r="BT284" s="138" t="str">
        <f aca="false">IF($BX284&lt;&gt;Constants!$B$6,"",$BN284)</f>
        <v/>
      </c>
      <c r="BU284" s="138" t="str">
        <f aca="false">IF($BX284&lt;&gt;Constants!$B$6,"",$BO284)</f>
        <v/>
      </c>
      <c r="BV284" s="140" t="str">
        <f aca="false">IF($BX284&lt;&gt;Constants!$B$6,"",IF($AT284,$AV284,""))</f>
        <v/>
      </c>
      <c r="BW284" s="135" t="str">
        <f aca="false">IF(ISBLANK($C284),"",IF(ISBLANK($D$7),$BW$5,IF(NOT(ISNUMBER($D$7)),$BW$6,"")))</f>
        <v/>
      </c>
      <c r="BX284" s="135" t="str">
        <f aca="false">IF(ISBLANK($C284),"",IF($BA284,Constants!$B$9,IF(COUNTA($E284:$AA284)=0,Constants!$B$8,IF(NOT($AG284),Constants!$B$7,IF(OR($BW284&lt;&gt;"",$BB284,$BM284),Constants!$B$10,Constants!$B$6)))))</f>
        <v/>
      </c>
      <c r="BY284" s="135" t="str">
        <f aca="false">IF(ISBLANK($C284),"",IF($BX284&lt;&gt;Constants!$B$6,$BX284,Constants!$B$11))</f>
        <v/>
      </c>
      <c r="BZ284" s="138" t="str">
        <f aca="false">IF($BX284&lt;&gt;Constants!$B$6,"",IF($BL284="-&gt;",$BS284,$BH284))</f>
        <v/>
      </c>
      <c r="CA284" s="138" t="str">
        <f aca="false">IF($BX284&lt;&gt;Constants!$B$6,"",IF($AF284,0,Constants!$B$15))</f>
        <v/>
      </c>
      <c r="CB284" s="138" t="str">
        <f aca="false">IF($BX284&lt;&gt;Constants!$B$6,"",((Constants!$B$25-$AZ284)-Constants!$B$25)/Constants!$B$26)</f>
        <v/>
      </c>
      <c r="CC284" s="138" t="str">
        <f aca="false">IF(ISBLANK($C284),"",IF($BX284&lt;&gt;Constants!$B$6,$BX284,SUM($BZ284:$CB284)))</f>
        <v/>
      </c>
      <c r="CD284" s="135" t="str">
        <f aca="false">IF(ISBLANK($C284),"",IF($BX284&lt;&gt;Constants!$B$6,$BX284,RANK($CC284,$CC$9:$CC$508,1)))</f>
        <v/>
      </c>
      <c r="CE284" s="138" t="str">
        <f aca="false">IF($BX284&lt;&gt;Constants!$B$6,"",IF($BL284="-&gt;",$BT284,$BI284))</f>
        <v/>
      </c>
      <c r="CF284" s="135" t="str">
        <f aca="false">IF(ISBLANK($C284),"",IF($BX284&lt;&gt;Constants!$B$6,$BX284,IF(ISNUMBER($CE284),RANK($CE284,$CE$9:$CE$508,1),COUNT($CE$9:$CE$508)+1)))</f>
        <v/>
      </c>
      <c r="CG284" s="138" t="str">
        <f aca="false">IF($BX284&lt;&gt;Constants!$B$6,"",IF($BL284="-&gt;",$BU284,$BJ284))</f>
        <v/>
      </c>
      <c r="CH284" s="135" t="str">
        <f aca="false">IF(ISBLANK($C284),"",IF($BX284&lt;&gt;Constants!$B$6,$BX284,IF(ISNUMBER($CG284),RANK($CG284,$CG$9:$CG$508,1),COUNT($CG$9:$CG$508)+1)))</f>
        <v/>
      </c>
      <c r="CI284" s="138" t="str">
        <f aca="false">IF($BX284&lt;&gt;Constants!$B$6,"",IF($BL284="-&gt;",$BV284,$BK284))</f>
        <v/>
      </c>
      <c r="CJ284" s="135" t="str">
        <f aca="false">IF(ISBLANK($C284),"",IF($BX284&lt;&gt;Constants!$B$6,$BX284,IF(ISNUMBER($CI284),RANK($CI284,$CI$9:$CI$508,1),COUNT($CI$9:$CI$508)+1)))</f>
        <v/>
      </c>
      <c r="CK284" s="138" t="str">
        <f aca="false">IF($BX284&lt;&gt;Constants!$B$6,"",$AI284)</f>
        <v/>
      </c>
      <c r="CL284" s="135" t="str">
        <f aca="false">IF(ISBLANK($C284),"",IF($BX284&lt;&gt;Constants!$B$6,$BX284,IF(ISNUMBER($CK284),RANK($CK284,$CK$9:$CK$508,1),COUNT($CK$9:$CK$508)+1)))</f>
        <v/>
      </c>
      <c r="CM284" s="135" t="str">
        <f aca="false">IF(ISBLANK($C284),"",IF($BX284&lt;&gt;Constants!$B$6,$BX284,COUNTIFS($CD$9:$CD$508,"&lt;"&amp;$CD284)+COUNTIFS($CD$9:$CD$508,$CD284,$CF$9:$CF$508,"&lt;"&amp;$CF284)+COUNTIFS($CD$9:$CD$508,$CD284,$CF$9:$CF$508,$CF284,$CH$9:$CH$508,"&lt;"&amp;$CH284)+COUNTIFS($CD$9:$CD$508,$CD284,$CF$9:$CF$508,$CF284,$CH$9:$CH$508,$CH284,$CJ$9:$CJ$508,"&lt;"&amp;$CJ284)+COUNTIFS($CD$9:$CD$508,$CD284,$CF$9:$CF$508,$CF284,$CH$9:$CH$508,$CH284,$CJ$9:$CJ$508,$CJ284,$CL$9:$CL$508,"&lt;"&amp;$CL284)+1))</f>
        <v/>
      </c>
      <c r="CN284" s="135" t="str">
        <f aca="false">IF(ISBLANK($C284),"",IF($BX284&lt;&gt;Constants!$B$6,$BX284,$CD284-$CM284))</f>
        <v/>
      </c>
      <c r="CO284" s="141"/>
      <c r="CP284" s="142"/>
      <c r="CQ284" s="143" t="str">
        <f aca="false">IF(ISBLANK($C284),"",IF($BX284=Constants!$B$10,$BW284,""))</f>
        <v/>
      </c>
      <c r="CR284" s="142" t="str">
        <f aca="false">IF(ISBLANK($C284),"",IF($BX284&lt;&gt;Constants!$B$6,"",IF($BL284="-&gt;",2,1)))</f>
        <v/>
      </c>
      <c r="CS284" s="144" t="str">
        <f aca="false">IF(ISBLANK($C284),"",IF($BX284&lt;&gt;Constants!$B$6,"",IF($BL284="-&gt;",$BN284,$BC284)))</f>
        <v/>
      </c>
      <c r="CT284" s="144" t="str">
        <f aca="false">IF(ISBLANK($C284),"",IF($BX284&lt;&gt;Constants!$B$6,"",IF($BL284="-&gt;",$BO284,$BD284)))</f>
        <v/>
      </c>
      <c r="CU284" s="144" t="str">
        <f aca="false">IF(ISBLANK($C284),"",IF($BX284&lt;&gt;Constants!$B$6,"",IF($BL284="-&gt;",$BP284+$BQ284,$BE284+$BF284)+$CB284))</f>
        <v/>
      </c>
      <c r="CV284" s="144" t="str">
        <f aca="false">IF(ISBLANK($C284),"",IF($BX284&lt;&gt;Constants!$B$6,"",IF($BL284="-&gt;",$BR284,$BG284)+$CA284))</f>
        <v/>
      </c>
      <c r="CW284" s="145" t="str">
        <f aca="false">IF(ISBLANK($C284),"",IF($BX284&lt;&gt;Constants!$B$6,$BX284,$CC284))</f>
        <v/>
      </c>
      <c r="CX284" s="146" t="str">
        <f aca="false">IF(ISBLANK($C284),"",$BY284)</f>
        <v/>
      </c>
      <c r="CY284" s="147" t="str">
        <f aca="false">IF(ISBLANK($C284),"",$CN284)</f>
        <v/>
      </c>
      <c r="CZ284" s="147" t="str">
        <f aca="false">IF(ISBLANK($C284),"",$CM284)</f>
        <v/>
      </c>
      <c r="DA284" s="148" t="str">
        <f aca="false">IF(ISBLANK($C284),"",IFERROR(_xlfn.SWITCH($CZ284,Constants!$B$9,COUNTA($C$9:$C$508)+2,Constants!$B$8,COUNTA($C$9:$C$508)+1,Constants!$B$7,COUNTA($C$9:$C$508)),$CZ284))</f>
        <v/>
      </c>
      <c r="DB284" s="9"/>
      <c r="DC284" s="149" t="n">
        <f aca="false">IF(OR(ISNUMBER($CZ284),$CZ284=Constants!$B$9,$CZ284=Constants!$B$7,$CZ284=Constants!$B$8),1,0)</f>
        <v>0</v>
      </c>
      <c r="DD284" s="149" t="n">
        <v>276</v>
      </c>
      <c r="DE284" s="149" t="str">
        <f aca="false">IF(ISBLANK($C284),"",IF(ISNUMBER($DA284),$DA284+ROW($B284)/1000,""))</f>
        <v/>
      </c>
      <c r="DF284" s="149" t="str">
        <f aca="false">IF(ISNUMBER($DE284),RANK($DE284,$DE$9:$DE$508,1),"")</f>
        <v/>
      </c>
      <c r="DG284" s="149" t="str">
        <f aca="false">IF(ISBLANK($C284),"",$B284)</f>
        <v/>
      </c>
      <c r="DH284" s="149" t="str">
        <f aca="false">IF(ISBLANK($C284),"",$C284)</f>
        <v/>
      </c>
      <c r="DI284" s="149" t="str">
        <f aca="false">IF(ISBLANK($C284),"",$D284)</f>
        <v/>
      </c>
      <c r="DJ284" s="150" t="str">
        <f aca="false">$CX284</f>
        <v/>
      </c>
      <c r="DK284" s="151" t="str">
        <f aca="false">$CW284</f>
        <v/>
      </c>
      <c r="DL284" s="149" t="str">
        <f aca="false">IF(ISBLANK($C284),"",$CZ284)</f>
        <v/>
      </c>
      <c r="DM284" s="152" t="str">
        <f aca="false">IF($DD284&gt;$DC$8,"",VLOOKUP($DD284,$DF$9:$DL$508,7,FALSE()))</f>
        <v/>
      </c>
      <c r="DN284" s="153" t="str">
        <f aca="false">IF($DD284&gt;$DC$8,"",VLOOKUP($DD284,$DF$9:$DL$508,2,FALSE()))</f>
        <v/>
      </c>
      <c r="DO284" s="153" t="str">
        <f aca="false">IF($DD284&gt;$DC$8,"",VLOOKUP($DD284,$DF$9:$DL$508,3,FALSE()))</f>
        <v/>
      </c>
      <c r="DP284" s="153" t="str">
        <f aca="false">IF($DD284&gt;$DC$8,"",VLOOKUP($DD284,$DF$9:$DL$508,4,FALSE()))</f>
        <v/>
      </c>
      <c r="DQ284" s="153" t="str">
        <f aca="false">IF($DD284&gt;$DC$8,"",VLOOKUP($DD284,$DF$9:$DL$508,5,FALSE()))</f>
        <v/>
      </c>
      <c r="DR284" s="154" t="str">
        <f aca="false">IF($DD284&gt;$DC$8,"",VLOOKUP($DD284,$DF$9:$DL$508,6,FALSE()))</f>
        <v/>
      </c>
      <c r="DS284" s="76"/>
    </row>
    <row r="285" customFormat="false" ht="15.75" hidden="false" customHeight="false" outlineLevel="0" collapsed="false">
      <c r="A285" s="9"/>
      <c r="B285" s="78"/>
      <c r="C285" s="79"/>
      <c r="D285" s="170"/>
      <c r="E285" s="178"/>
      <c r="F285" s="172"/>
      <c r="G285" s="173"/>
      <c r="H285" s="173"/>
      <c r="I285" s="179"/>
      <c r="J285" s="176"/>
      <c r="K285" s="86"/>
      <c r="L285" s="87"/>
      <c r="M285" s="88"/>
      <c r="N285" s="176"/>
      <c r="O285" s="176"/>
      <c r="P285" s="178"/>
      <c r="Q285" s="176"/>
      <c r="R285" s="176"/>
      <c r="S285" s="86"/>
      <c r="T285" s="88"/>
      <c r="U285" s="88"/>
      <c r="V285" s="176"/>
      <c r="W285" s="176"/>
      <c r="X285" s="178"/>
      <c r="Y285" s="176"/>
      <c r="Z285" s="177"/>
      <c r="AA285" s="176"/>
      <c r="AB285" s="92"/>
      <c r="AC285" s="93"/>
      <c r="AD285" s="93"/>
      <c r="AE285" s="93"/>
      <c r="AF285" s="93" t="str">
        <f aca="false">IF(ISBLANK($C285),"",IF(E285=Constants!$B$2,TRUE(),IF(E285=Constants!$B$3,FALSE(),TRUE())))</f>
        <v/>
      </c>
      <c r="AG285" s="93" t="str">
        <f aca="false">IF(ISBLANK($C285),"",IF(F285=Constants!$B$2,TRUE(),IF(F285=Constants!$B$3,FALSE(),TRUE())))</f>
        <v/>
      </c>
      <c r="AH285" s="93" t="str">
        <f aca="false">IF(ISBLANK($C285),"",IF(G285=Constants!$B$2,TRUE(),IF(G285=Constants!$B$3,FALSE(),TRUE())))</f>
        <v/>
      </c>
      <c r="AI285" s="93" t="str">
        <f aca="false">IF(ISBLANK($C285),"",IF(AND(ISNUMBER(H285),H285&gt;=0),H285,Constants!$B$24))</f>
        <v/>
      </c>
      <c r="AJ285" s="93" t="str">
        <f aca="false">IF(ISBLANK($C285),"",IF(I285=Constants!$B$2,TRUE(),IF(I285=Constants!$B$3,FALSE(),TRUE())))</f>
        <v/>
      </c>
      <c r="AK285" s="93" t="str">
        <f aca="false">IF(ISBLANK($C285),"",IF(J285=Constants!$B$2,TRUE(),IF(J285=Constants!$B$3,FALSE(),TRUE())))</f>
        <v/>
      </c>
      <c r="AL285" s="93" t="str">
        <f aca="false">IF(ISBLANK($C285),"",IF(K285=Constants!$B$4,TRUE(),IF(K285=Constants!$B$5,FALSE(),COUNTA(L285:P285)&gt;0)))</f>
        <v/>
      </c>
      <c r="AM285" s="95" t="str">
        <f aca="false">IF(ISBLANK($C285),"",IF(ISNUMBER(L285),IF(L285&gt;=0,L285,""),""))</f>
        <v/>
      </c>
      <c r="AN285" s="94" t="str">
        <f aca="false">IF(ISBLANK($C285),"",IF(ISNUMBER(M285),IF(M285&gt;=0,M285,""),""))</f>
        <v/>
      </c>
      <c r="AO285" s="94" t="str">
        <f aca="false">IF(ISBLANK($C285),"",IF(N285=Constants!$B$2,TRUE(),IF(N285=Constants!$B$3,FALSE(),TRUE())))</f>
        <v/>
      </c>
      <c r="AP285" s="93" t="str">
        <f aca="false">IF(ISBLANK($C285),"",IF(ISNUMBER(O285),IF(O285&gt;=0,O285,""),""))</f>
        <v/>
      </c>
      <c r="AQ285" s="93" t="str">
        <f aca="false">IF(ISBLANK($C285),"",IF(P285=Constants!$B$2,TRUE(),IF(P285=Constants!$B$3,FALSE(),FALSE())))</f>
        <v/>
      </c>
      <c r="AR285" s="93" t="str">
        <f aca="false">IF(ISBLANK($C285),"",IF(Q285=Constants!$B$2,TRUE(),IF(Q285=Constants!$B$3,FALSE(),TRUE())))</f>
        <v/>
      </c>
      <c r="AS285" s="93" t="str">
        <f aca="false">IF(ISBLANK($C285),"",IF(R285=Constants!$B$2,TRUE(),IF(R285=Constants!$B$3,FALSE(),TRUE())))</f>
        <v/>
      </c>
      <c r="AT285" s="93" t="str">
        <f aca="false">IF(ISBLANK($C285),"",IF(S285=Constants!$B$4,TRUE(),IF(S285=Constants!$B$5,FALSE(),COUNTA(T285:X285)&gt;0)))</f>
        <v/>
      </c>
      <c r="AU285" s="95" t="str">
        <f aca="false">IF(ISBLANK($C285),"",IF(ISNUMBER(T285),IF(T285&gt;=0,T285,""),""))</f>
        <v/>
      </c>
      <c r="AV285" s="94" t="str">
        <f aca="false">IF(ISBLANK($C285),"",IF(ISNUMBER(U285),IF(U285&gt;=0,U285,""),""))</f>
        <v/>
      </c>
      <c r="AW285" s="94" t="str">
        <f aca="false">IF(ISBLANK($C285),"",IF(V285=Constants!$B$2,TRUE(),IF(V285=Constants!$B$3,FALSE(),TRUE())))</f>
        <v/>
      </c>
      <c r="AX285" s="93" t="str">
        <f aca="false">IF(ISBLANK($C285),"",IF(ISNUMBER(W285),IF(W285&gt;=0,W285,""),""))</f>
        <v/>
      </c>
      <c r="AY285" s="93" t="str">
        <f aca="false">IF(ISBLANK($C285),"",IF(X285=Constants!$B$2,TRUE(),IF(X285=Constants!$B$3,FALSE(),FALSE())))</f>
        <v/>
      </c>
      <c r="AZ285" s="93" t="str">
        <f aca="false">IF(ISBLANK($C285),"",MIN(Constants!$B$25,MAX(0,IF(ISNUMBER(Y285),Y285*60,0)+IF(ISNUMBER(Z285),Z285,0))))</f>
        <v/>
      </c>
      <c r="BA285" s="93" t="str">
        <f aca="false">IF(ISBLANK($C285),"",IF(AA285=Constants!$B$2,TRUE(),IF(AA285=Constants!$B$3,FALSE(),FALSE())))</f>
        <v/>
      </c>
      <c r="BB285" s="92" t="str">
        <f aca="false">IF(ISBLANK($C285),"",AND($AL285,OR($AM285="",$AN285="",AND($AO285,$AP285=""))))</f>
        <v/>
      </c>
      <c r="BC285" s="94" t="str">
        <f aca="false">IF($BX285&lt;&gt;Constants!$B$6,"",IF($AL285,Constants!$B$17*$AN285+Constants!$B$18*IF($AO285,$AP285,Constants!$B$19),Constants!$B$20))</f>
        <v/>
      </c>
      <c r="BD285" s="97" t="str">
        <f aca="false">IF($BX285&lt;&gt;Constants!$B$6,"",Constants!$B$21*ABS($AD$9-IF($AL285,$AM285,0)))</f>
        <v/>
      </c>
      <c r="BE285" s="97" t="str">
        <f aca="false">IF($BX285&lt;&gt;Constants!$B$6,"",IF(AND($AL285,$AQ285,$AO285),Constants!$B$22,0))</f>
        <v/>
      </c>
      <c r="BF285" s="97" t="str">
        <f aca="false">IF($BX285&lt;&gt;Constants!$B$6,"",IF($AL285,($AI285-Constants!$B$24)*Constants!$B$23,0))</f>
        <v/>
      </c>
      <c r="BG285" s="97" t="str">
        <f aca="false">IF($BX285&lt;&gt;Constants!$B$6,"",IF($AK285,0,Constants!$B$12)+IF($AJ285,0,Constants!$B$13)+IF($AH285,0,Constants!$B$14))</f>
        <v/>
      </c>
      <c r="BH285" s="98" t="str">
        <f aca="false">IF($BX285&lt;&gt;Constants!$B$6,"",Constants!$B$16+SUM($BC285:$BG285))</f>
        <v/>
      </c>
      <c r="BI285" s="97" t="str">
        <f aca="false">IF($BX285&lt;&gt;Constants!$B$6,"",$BC285)</f>
        <v/>
      </c>
      <c r="BJ285" s="97" t="str">
        <f aca="false">IF($BX285&lt;&gt;Constants!$B$6,"",$BD285)</f>
        <v/>
      </c>
      <c r="BK285" s="99" t="str">
        <f aca="false">IF($BX285&lt;&gt;Constants!$B$6,"",IF($AL285,$AN285,""))</f>
        <v/>
      </c>
      <c r="BL285" s="93" t="str">
        <f aca="false">IF($BX285&lt;&gt;Constants!$B$6,"",IF(OR($BS285&lt;$BH285,AND($BS285=$BH285,OR($BT285&lt;$BI285,AND($BT285=$BI285,OR($BU285&lt;$BJ285,AND($BU285=$BJ285,AND(ISNUMBER($BV285),OR(NOT(ISNUMBER($BK285)),$BV285&lt;$BK285)))))))),"-&gt;","&lt;-"))</f>
        <v/>
      </c>
      <c r="BM285" s="92" t="str">
        <f aca="false">IF(ISBLANK($C285),"",AND($AT285,OR($AU285="",$AV285="",AND($AW285,$AX285=""))))</f>
        <v/>
      </c>
      <c r="BN285" s="94" t="str">
        <f aca="false">IF($BX285&lt;&gt;Constants!$B$6,"",IF($AT285,Constants!$B$17*$AV285+Constants!$B$18*IF($AW285,$AX285,Constants!$B$19),Constants!$B$20))</f>
        <v/>
      </c>
      <c r="BO285" s="97" t="str">
        <f aca="false">IF($BX285&lt;&gt;Constants!$B$6,"",Constants!$B$21*ABS($AD$9-IF($AT285,$AU285,0)))</f>
        <v/>
      </c>
      <c r="BP285" s="97" t="str">
        <f aca="false">IF($BX285&lt;&gt;Constants!$B$6,"",IF(AND($AT285,$AY285,$AW285),Constants!$B$22,0))</f>
        <v/>
      </c>
      <c r="BQ285" s="97" t="str">
        <f aca="false">IF($BX285&lt;&gt;Constants!$B$6,"",IF($AT285,($AI285-Constants!$B$24)*Constants!$B$23,0))</f>
        <v/>
      </c>
      <c r="BR285" s="97" t="str">
        <f aca="false">IF($BX285&lt;&gt;Constants!$B$6,"",IF($AS285,0,Constants!$B$12)+IF($AR285,0,Constants!$B$13)+IF($AH285,0,Constants!$B$14))</f>
        <v/>
      </c>
      <c r="BS285" s="98" t="str">
        <f aca="false">IF($BX285&lt;&gt;Constants!$B$6,"",Constants!$B$16+SUM($BN285:$BR285))</f>
        <v/>
      </c>
      <c r="BT285" s="97" t="str">
        <f aca="false">IF($BX285&lt;&gt;Constants!$B$6,"",$BN285)</f>
        <v/>
      </c>
      <c r="BU285" s="97" t="str">
        <f aca="false">IF($BX285&lt;&gt;Constants!$B$6,"",$BO285)</f>
        <v/>
      </c>
      <c r="BV285" s="99" t="str">
        <f aca="false">IF($BX285&lt;&gt;Constants!$B$6,"",IF($AT285,$AV285,""))</f>
        <v/>
      </c>
      <c r="BW285" s="93" t="str">
        <f aca="false">IF(ISBLANK($C285),"",IF(ISBLANK($D$7),$BW$5,IF(NOT(ISNUMBER($D$7)),$BW$6,"")))</f>
        <v/>
      </c>
      <c r="BX285" s="93" t="str">
        <f aca="false">IF(ISBLANK($C285),"",IF($BA285,Constants!$B$9,IF(COUNTA($E285:$AA285)=0,Constants!$B$8,IF(NOT($AG285),Constants!$B$7,IF(OR($BW285&lt;&gt;"",$BB285,$BM285),Constants!$B$10,Constants!$B$6)))))</f>
        <v/>
      </c>
      <c r="BY285" s="93" t="str">
        <f aca="false">IF(ISBLANK($C285),"",IF($BX285&lt;&gt;Constants!$B$6,$BX285,Constants!$B$11))</f>
        <v/>
      </c>
      <c r="BZ285" s="97" t="str">
        <f aca="false">IF($BX285&lt;&gt;Constants!$B$6,"",IF($BL285="-&gt;",$BS285,$BH285))</f>
        <v/>
      </c>
      <c r="CA285" s="97" t="str">
        <f aca="false">IF($BX285&lt;&gt;Constants!$B$6,"",IF($AF285,0,Constants!$B$15))</f>
        <v/>
      </c>
      <c r="CB285" s="97" t="str">
        <f aca="false">IF($BX285&lt;&gt;Constants!$B$6,"",((Constants!$B$25-$AZ285)-Constants!$B$25)/Constants!$B$26)</f>
        <v/>
      </c>
      <c r="CC285" s="97" t="str">
        <f aca="false">IF(ISBLANK($C285),"",IF($BX285&lt;&gt;Constants!$B$6,$BX285,SUM($BZ285:$CB285)))</f>
        <v/>
      </c>
      <c r="CD285" s="93" t="str">
        <f aca="false">IF(ISBLANK($C285),"",IF($BX285&lt;&gt;Constants!$B$6,$BX285,RANK($CC285,$CC$9:$CC$508,1)))</f>
        <v/>
      </c>
      <c r="CE285" s="97" t="str">
        <f aca="false">IF($BX285&lt;&gt;Constants!$B$6,"",IF($BL285="-&gt;",$BT285,$BI285))</f>
        <v/>
      </c>
      <c r="CF285" s="93" t="str">
        <f aca="false">IF(ISBLANK($C285),"",IF($BX285&lt;&gt;Constants!$B$6,$BX285,IF(ISNUMBER($CE285),RANK($CE285,$CE$9:$CE$508,1),COUNT($CE$9:$CE$508)+1)))</f>
        <v/>
      </c>
      <c r="CG285" s="97" t="str">
        <f aca="false">IF($BX285&lt;&gt;Constants!$B$6,"",IF($BL285="-&gt;",$BU285,$BJ285))</f>
        <v/>
      </c>
      <c r="CH285" s="93" t="str">
        <f aca="false">IF(ISBLANK($C285),"",IF($BX285&lt;&gt;Constants!$B$6,$BX285,IF(ISNUMBER($CG285),RANK($CG285,$CG$9:$CG$508,1),COUNT($CG$9:$CG$508)+1)))</f>
        <v/>
      </c>
      <c r="CI285" s="97" t="str">
        <f aca="false">IF($BX285&lt;&gt;Constants!$B$6,"",IF($BL285="-&gt;",$BV285,$BK285))</f>
        <v/>
      </c>
      <c r="CJ285" s="93" t="str">
        <f aca="false">IF(ISBLANK($C285),"",IF($BX285&lt;&gt;Constants!$B$6,$BX285,IF(ISNUMBER($CI285),RANK($CI285,$CI$9:$CI$508,1),COUNT($CI$9:$CI$508)+1)))</f>
        <v/>
      </c>
      <c r="CK285" s="97" t="str">
        <f aca="false">IF($BX285&lt;&gt;Constants!$B$6,"",$AI285)</f>
        <v/>
      </c>
      <c r="CL285" s="93" t="str">
        <f aca="false">IF(ISBLANK($C285),"",IF($BX285&lt;&gt;Constants!$B$6,$BX285,IF(ISNUMBER($CK285),RANK($CK285,$CK$9:$CK$508,1),COUNT($CK$9:$CK$508)+1)))</f>
        <v/>
      </c>
      <c r="CM285" s="93" t="str">
        <f aca="false">IF(ISBLANK($C285),"",IF($BX285&lt;&gt;Constants!$B$6,$BX285,COUNTIFS($CD$9:$CD$508,"&lt;"&amp;$CD285)+COUNTIFS($CD$9:$CD$508,$CD285,$CF$9:$CF$508,"&lt;"&amp;$CF285)+COUNTIFS($CD$9:$CD$508,$CD285,$CF$9:$CF$508,$CF285,$CH$9:$CH$508,"&lt;"&amp;$CH285)+COUNTIFS($CD$9:$CD$508,$CD285,$CF$9:$CF$508,$CF285,$CH$9:$CH$508,$CH285,$CJ$9:$CJ$508,"&lt;"&amp;$CJ285)+COUNTIFS($CD$9:$CD$508,$CD285,$CF$9:$CF$508,$CF285,$CH$9:$CH$508,$CH285,$CJ$9:$CJ$508,$CJ285,$CL$9:$CL$508,"&lt;"&amp;$CL285)+1))</f>
        <v/>
      </c>
      <c r="CN285" s="93" t="str">
        <f aca="false">IF(ISBLANK($C285),"",IF($BX285&lt;&gt;Constants!$B$6,$BX285,$CD285-$CM285))</f>
        <v/>
      </c>
      <c r="CO285" s="100"/>
      <c r="CP285" s="101"/>
      <c r="CQ285" s="102" t="str">
        <f aca="false">IF(ISBLANK($C285),"",IF($BX285=Constants!$B$10,$BW285,""))</f>
        <v/>
      </c>
      <c r="CR285" s="101" t="str">
        <f aca="false">IF(ISBLANK($C285),"",IF($BX285&lt;&gt;Constants!$B$6,"",IF($BL285="-&gt;",2,1)))</f>
        <v/>
      </c>
      <c r="CS285" s="103" t="str">
        <f aca="false">IF(ISBLANK($C285),"",IF($BX285&lt;&gt;Constants!$B$6,"",IF($BL285="-&gt;",$BN285,$BC285)))</f>
        <v/>
      </c>
      <c r="CT285" s="103" t="str">
        <f aca="false">IF(ISBLANK($C285),"",IF($BX285&lt;&gt;Constants!$B$6,"",IF($BL285="-&gt;",$BO285,$BD285)))</f>
        <v/>
      </c>
      <c r="CU285" s="103" t="str">
        <f aca="false">IF(ISBLANK($C285),"",IF($BX285&lt;&gt;Constants!$B$6,"",IF($BL285="-&gt;",$BP285+$BQ285,$BE285+$BF285)+$CB285))</f>
        <v/>
      </c>
      <c r="CV285" s="103" t="str">
        <f aca="false">IF(ISBLANK($C285),"",IF($BX285&lt;&gt;Constants!$B$6,"",IF($BL285="-&gt;",$BR285,$BG285)+$CA285))</f>
        <v/>
      </c>
      <c r="CW285" s="104" t="str">
        <f aca="false">IF(ISBLANK($C285),"",IF($BX285&lt;&gt;Constants!$B$6,$BX285,$CC285))</f>
        <v/>
      </c>
      <c r="CX285" s="105" t="str">
        <f aca="false">IF(ISBLANK($C285),"",$BY285)</f>
        <v/>
      </c>
      <c r="CY285" s="106" t="str">
        <f aca="false">IF(ISBLANK($C285),"",$CN285)</f>
        <v/>
      </c>
      <c r="CZ285" s="106" t="str">
        <f aca="false">IF(ISBLANK($C285),"",$CM285)</f>
        <v/>
      </c>
      <c r="DA285" s="107" t="str">
        <f aca="false">IF(ISBLANK($C285),"",IFERROR(_xlfn.SWITCH($CZ285,Constants!$B$9,COUNTA($C$9:$C$508)+2,Constants!$B$8,COUNTA($C$9:$C$508)+1,Constants!$B$7,COUNTA($C$9:$C$508)),$CZ285))</f>
        <v/>
      </c>
      <c r="DB285" s="9"/>
      <c r="DC285" s="108" t="n">
        <f aca="false">IF(OR(ISNUMBER($CZ285),$CZ285=Constants!$B$9,$CZ285=Constants!$B$7,$CZ285=Constants!$B$8),1,0)</f>
        <v>0</v>
      </c>
      <c r="DD285" s="108" t="n">
        <v>277</v>
      </c>
      <c r="DE285" s="108" t="str">
        <f aca="false">IF(ISBLANK($C285),"",IF(ISNUMBER($DA285),$DA285+ROW($B285)/1000,""))</f>
        <v/>
      </c>
      <c r="DF285" s="108" t="str">
        <f aca="false">IF(ISNUMBER($DE285),RANK($DE285,$DE$9:$DE$508,1),"")</f>
        <v/>
      </c>
      <c r="DG285" s="108" t="str">
        <f aca="false">IF(ISBLANK($C285),"",$B285)</f>
        <v/>
      </c>
      <c r="DH285" s="108" t="str">
        <f aca="false">IF(ISBLANK($C285),"",$C285)</f>
        <v/>
      </c>
      <c r="DI285" s="108" t="str">
        <f aca="false">IF(ISBLANK($C285),"",$D285)</f>
        <v/>
      </c>
      <c r="DJ285" s="109" t="str">
        <f aca="false">$CX285</f>
        <v/>
      </c>
      <c r="DK285" s="110" t="str">
        <f aca="false">$CW285</f>
        <v/>
      </c>
      <c r="DL285" s="108" t="str">
        <f aca="false">IF(ISBLANK($C285),"",$CZ285)</f>
        <v/>
      </c>
      <c r="DM285" s="111" t="str">
        <f aca="false">IF($DD285&gt;$DC$8,"",VLOOKUP($DD285,$DF$9:$DL$508,7,FALSE()))</f>
        <v/>
      </c>
      <c r="DN285" s="112" t="str">
        <f aca="false">IF($DD285&gt;$DC$8,"",VLOOKUP($DD285,$DF$9:$DL$508,2,FALSE()))</f>
        <v/>
      </c>
      <c r="DO285" s="112" t="str">
        <f aca="false">IF($DD285&gt;$DC$8,"",VLOOKUP($DD285,$DF$9:$DL$508,3,FALSE()))</f>
        <v/>
      </c>
      <c r="DP285" s="112" t="str">
        <f aca="false">IF($DD285&gt;$DC$8,"",VLOOKUP($DD285,$DF$9:$DL$508,4,FALSE()))</f>
        <v/>
      </c>
      <c r="DQ285" s="112" t="str">
        <f aca="false">IF($DD285&gt;$DC$8,"",VLOOKUP($DD285,$DF$9:$DL$508,5,FALSE()))</f>
        <v/>
      </c>
      <c r="DR285" s="113" t="str">
        <f aca="false">IF($DD285&gt;$DC$8,"",VLOOKUP($DD285,$DF$9:$DL$508,6,FALSE()))</f>
        <v/>
      </c>
      <c r="DS285" s="76"/>
    </row>
    <row r="286" customFormat="false" ht="15.75" hidden="false" customHeight="false" outlineLevel="0" collapsed="false">
      <c r="A286" s="9"/>
      <c r="B286" s="78"/>
      <c r="C286" s="79"/>
      <c r="D286" s="170"/>
      <c r="E286" s="178"/>
      <c r="F286" s="172"/>
      <c r="G286" s="173"/>
      <c r="H286" s="173"/>
      <c r="I286" s="179"/>
      <c r="J286" s="176"/>
      <c r="K286" s="86"/>
      <c r="L286" s="87"/>
      <c r="M286" s="88"/>
      <c r="N286" s="176"/>
      <c r="O286" s="176"/>
      <c r="P286" s="178"/>
      <c r="Q286" s="176"/>
      <c r="R286" s="176"/>
      <c r="S286" s="86"/>
      <c r="T286" s="88"/>
      <c r="U286" s="88"/>
      <c r="V286" s="176"/>
      <c r="W286" s="176"/>
      <c r="X286" s="178"/>
      <c r="Y286" s="176"/>
      <c r="Z286" s="177"/>
      <c r="AA286" s="176"/>
      <c r="AB286" s="92"/>
      <c r="AC286" s="93"/>
      <c r="AD286" s="93"/>
      <c r="AE286" s="93"/>
      <c r="AF286" s="93" t="str">
        <f aca="false">IF(ISBLANK($C286),"",IF(E286=Constants!$B$2,TRUE(),IF(E286=Constants!$B$3,FALSE(),TRUE())))</f>
        <v/>
      </c>
      <c r="AG286" s="93" t="str">
        <f aca="false">IF(ISBLANK($C286),"",IF(F286=Constants!$B$2,TRUE(),IF(F286=Constants!$B$3,FALSE(),TRUE())))</f>
        <v/>
      </c>
      <c r="AH286" s="93" t="str">
        <f aca="false">IF(ISBLANK($C286),"",IF(G286=Constants!$B$2,TRUE(),IF(G286=Constants!$B$3,FALSE(),TRUE())))</f>
        <v/>
      </c>
      <c r="AI286" s="93" t="str">
        <f aca="false">IF(ISBLANK($C286),"",IF(AND(ISNUMBER(H286),H286&gt;=0),H286,Constants!$B$24))</f>
        <v/>
      </c>
      <c r="AJ286" s="93" t="str">
        <f aca="false">IF(ISBLANK($C286),"",IF(I286=Constants!$B$2,TRUE(),IF(I286=Constants!$B$3,FALSE(),TRUE())))</f>
        <v/>
      </c>
      <c r="AK286" s="93" t="str">
        <f aca="false">IF(ISBLANK($C286),"",IF(J286=Constants!$B$2,TRUE(),IF(J286=Constants!$B$3,FALSE(),TRUE())))</f>
        <v/>
      </c>
      <c r="AL286" s="93" t="str">
        <f aca="false">IF(ISBLANK($C286),"",IF(K286=Constants!$B$4,TRUE(),IF(K286=Constants!$B$5,FALSE(),COUNTA(L286:P286)&gt;0)))</f>
        <v/>
      </c>
      <c r="AM286" s="95" t="str">
        <f aca="false">IF(ISBLANK($C286),"",IF(ISNUMBER(L286),IF(L286&gt;=0,L286,""),""))</f>
        <v/>
      </c>
      <c r="AN286" s="94" t="str">
        <f aca="false">IF(ISBLANK($C286),"",IF(ISNUMBER(M286),IF(M286&gt;=0,M286,""),""))</f>
        <v/>
      </c>
      <c r="AO286" s="94" t="str">
        <f aca="false">IF(ISBLANK($C286),"",IF(N286=Constants!$B$2,TRUE(),IF(N286=Constants!$B$3,FALSE(),TRUE())))</f>
        <v/>
      </c>
      <c r="AP286" s="93" t="str">
        <f aca="false">IF(ISBLANK($C286),"",IF(ISNUMBER(O286),IF(O286&gt;=0,O286,""),""))</f>
        <v/>
      </c>
      <c r="AQ286" s="93" t="str">
        <f aca="false">IF(ISBLANK($C286),"",IF(P286=Constants!$B$2,TRUE(),IF(P286=Constants!$B$3,FALSE(),FALSE())))</f>
        <v/>
      </c>
      <c r="AR286" s="93" t="str">
        <f aca="false">IF(ISBLANK($C286),"",IF(Q286=Constants!$B$2,TRUE(),IF(Q286=Constants!$B$3,FALSE(),TRUE())))</f>
        <v/>
      </c>
      <c r="AS286" s="93" t="str">
        <f aca="false">IF(ISBLANK($C286),"",IF(R286=Constants!$B$2,TRUE(),IF(R286=Constants!$B$3,FALSE(),TRUE())))</f>
        <v/>
      </c>
      <c r="AT286" s="93" t="str">
        <f aca="false">IF(ISBLANK($C286),"",IF(S286=Constants!$B$4,TRUE(),IF(S286=Constants!$B$5,FALSE(),COUNTA(T286:X286)&gt;0)))</f>
        <v/>
      </c>
      <c r="AU286" s="95" t="str">
        <f aca="false">IF(ISBLANK($C286),"",IF(ISNUMBER(T286),IF(T286&gt;=0,T286,""),""))</f>
        <v/>
      </c>
      <c r="AV286" s="94" t="str">
        <f aca="false">IF(ISBLANK($C286),"",IF(ISNUMBER(U286),IF(U286&gt;=0,U286,""),""))</f>
        <v/>
      </c>
      <c r="AW286" s="94" t="str">
        <f aca="false">IF(ISBLANK($C286),"",IF(V286=Constants!$B$2,TRUE(),IF(V286=Constants!$B$3,FALSE(),TRUE())))</f>
        <v/>
      </c>
      <c r="AX286" s="93" t="str">
        <f aca="false">IF(ISBLANK($C286),"",IF(ISNUMBER(W286),IF(W286&gt;=0,W286,""),""))</f>
        <v/>
      </c>
      <c r="AY286" s="93" t="str">
        <f aca="false">IF(ISBLANK($C286),"",IF(X286=Constants!$B$2,TRUE(),IF(X286=Constants!$B$3,FALSE(),FALSE())))</f>
        <v/>
      </c>
      <c r="AZ286" s="93" t="str">
        <f aca="false">IF(ISBLANK($C286),"",MIN(Constants!$B$25,MAX(0,IF(ISNUMBER(Y286),Y286*60,0)+IF(ISNUMBER(Z286),Z286,0))))</f>
        <v/>
      </c>
      <c r="BA286" s="93" t="str">
        <f aca="false">IF(ISBLANK($C286),"",IF(AA286=Constants!$B$2,TRUE(),IF(AA286=Constants!$B$3,FALSE(),FALSE())))</f>
        <v/>
      </c>
      <c r="BB286" s="92" t="str">
        <f aca="false">IF(ISBLANK($C286),"",AND($AL286,OR($AM286="",$AN286="",AND($AO286,$AP286=""))))</f>
        <v/>
      </c>
      <c r="BC286" s="94" t="str">
        <f aca="false">IF($BX286&lt;&gt;Constants!$B$6,"",IF($AL286,Constants!$B$17*$AN286+Constants!$B$18*IF($AO286,$AP286,Constants!$B$19),Constants!$B$20))</f>
        <v/>
      </c>
      <c r="BD286" s="97" t="str">
        <f aca="false">IF($BX286&lt;&gt;Constants!$B$6,"",Constants!$B$21*ABS($AD$9-IF($AL286,$AM286,0)))</f>
        <v/>
      </c>
      <c r="BE286" s="97" t="str">
        <f aca="false">IF($BX286&lt;&gt;Constants!$B$6,"",IF(AND($AL286,$AQ286,$AO286),Constants!$B$22,0))</f>
        <v/>
      </c>
      <c r="BF286" s="97" t="str">
        <f aca="false">IF($BX286&lt;&gt;Constants!$B$6,"",IF($AL286,($AI286-Constants!$B$24)*Constants!$B$23,0))</f>
        <v/>
      </c>
      <c r="BG286" s="97" t="str">
        <f aca="false">IF($BX286&lt;&gt;Constants!$B$6,"",IF($AK286,0,Constants!$B$12)+IF($AJ286,0,Constants!$B$13)+IF($AH286,0,Constants!$B$14))</f>
        <v/>
      </c>
      <c r="BH286" s="98" t="str">
        <f aca="false">IF($BX286&lt;&gt;Constants!$B$6,"",Constants!$B$16+SUM($BC286:$BG286))</f>
        <v/>
      </c>
      <c r="BI286" s="97" t="str">
        <f aca="false">IF($BX286&lt;&gt;Constants!$B$6,"",$BC286)</f>
        <v/>
      </c>
      <c r="BJ286" s="97" t="str">
        <f aca="false">IF($BX286&lt;&gt;Constants!$B$6,"",$BD286)</f>
        <v/>
      </c>
      <c r="BK286" s="99" t="str">
        <f aca="false">IF($BX286&lt;&gt;Constants!$B$6,"",IF($AL286,$AN286,""))</f>
        <v/>
      </c>
      <c r="BL286" s="93" t="str">
        <f aca="false">IF($BX286&lt;&gt;Constants!$B$6,"",IF(OR($BS286&lt;$BH286,AND($BS286=$BH286,OR($BT286&lt;$BI286,AND($BT286=$BI286,OR($BU286&lt;$BJ286,AND($BU286=$BJ286,AND(ISNUMBER($BV286),OR(NOT(ISNUMBER($BK286)),$BV286&lt;$BK286)))))))),"-&gt;","&lt;-"))</f>
        <v/>
      </c>
      <c r="BM286" s="92" t="str">
        <f aca="false">IF(ISBLANK($C286),"",AND($AT286,OR($AU286="",$AV286="",AND($AW286,$AX286=""))))</f>
        <v/>
      </c>
      <c r="BN286" s="94" t="str">
        <f aca="false">IF($BX286&lt;&gt;Constants!$B$6,"",IF($AT286,Constants!$B$17*$AV286+Constants!$B$18*IF($AW286,$AX286,Constants!$B$19),Constants!$B$20))</f>
        <v/>
      </c>
      <c r="BO286" s="97" t="str">
        <f aca="false">IF($BX286&lt;&gt;Constants!$B$6,"",Constants!$B$21*ABS($AD$9-IF($AT286,$AU286,0)))</f>
        <v/>
      </c>
      <c r="BP286" s="97" t="str">
        <f aca="false">IF($BX286&lt;&gt;Constants!$B$6,"",IF(AND($AT286,$AY286,$AW286),Constants!$B$22,0))</f>
        <v/>
      </c>
      <c r="BQ286" s="97" t="str">
        <f aca="false">IF($BX286&lt;&gt;Constants!$B$6,"",IF($AT286,($AI286-Constants!$B$24)*Constants!$B$23,0))</f>
        <v/>
      </c>
      <c r="BR286" s="97" t="str">
        <f aca="false">IF($BX286&lt;&gt;Constants!$B$6,"",IF($AS286,0,Constants!$B$12)+IF($AR286,0,Constants!$B$13)+IF($AH286,0,Constants!$B$14))</f>
        <v/>
      </c>
      <c r="BS286" s="98" t="str">
        <f aca="false">IF($BX286&lt;&gt;Constants!$B$6,"",Constants!$B$16+SUM($BN286:$BR286))</f>
        <v/>
      </c>
      <c r="BT286" s="97" t="str">
        <f aca="false">IF($BX286&lt;&gt;Constants!$B$6,"",$BN286)</f>
        <v/>
      </c>
      <c r="BU286" s="97" t="str">
        <f aca="false">IF($BX286&lt;&gt;Constants!$B$6,"",$BO286)</f>
        <v/>
      </c>
      <c r="BV286" s="99" t="str">
        <f aca="false">IF($BX286&lt;&gt;Constants!$B$6,"",IF($AT286,$AV286,""))</f>
        <v/>
      </c>
      <c r="BW286" s="93" t="str">
        <f aca="false">IF(ISBLANK($C286),"",IF(ISBLANK($D$7),$BW$5,IF(NOT(ISNUMBER($D$7)),$BW$6,"")))</f>
        <v/>
      </c>
      <c r="BX286" s="93" t="str">
        <f aca="false">IF(ISBLANK($C286),"",IF($BA286,Constants!$B$9,IF(COUNTA($E286:$AA286)=0,Constants!$B$8,IF(NOT($AG286),Constants!$B$7,IF(OR($BW286&lt;&gt;"",$BB286,$BM286),Constants!$B$10,Constants!$B$6)))))</f>
        <v/>
      </c>
      <c r="BY286" s="93" t="str">
        <f aca="false">IF(ISBLANK($C286),"",IF($BX286&lt;&gt;Constants!$B$6,$BX286,Constants!$B$11))</f>
        <v/>
      </c>
      <c r="BZ286" s="97" t="str">
        <f aca="false">IF($BX286&lt;&gt;Constants!$B$6,"",IF($BL286="-&gt;",$BS286,$BH286))</f>
        <v/>
      </c>
      <c r="CA286" s="97" t="str">
        <f aca="false">IF($BX286&lt;&gt;Constants!$B$6,"",IF($AF286,0,Constants!$B$15))</f>
        <v/>
      </c>
      <c r="CB286" s="97" t="str">
        <f aca="false">IF($BX286&lt;&gt;Constants!$B$6,"",((Constants!$B$25-$AZ286)-Constants!$B$25)/Constants!$B$26)</f>
        <v/>
      </c>
      <c r="CC286" s="97" t="str">
        <f aca="false">IF(ISBLANK($C286),"",IF($BX286&lt;&gt;Constants!$B$6,$BX286,SUM($BZ286:$CB286)))</f>
        <v/>
      </c>
      <c r="CD286" s="93" t="str">
        <f aca="false">IF(ISBLANK($C286),"",IF($BX286&lt;&gt;Constants!$B$6,$BX286,RANK($CC286,$CC$9:$CC$508,1)))</f>
        <v/>
      </c>
      <c r="CE286" s="97" t="str">
        <f aca="false">IF($BX286&lt;&gt;Constants!$B$6,"",IF($BL286="-&gt;",$BT286,$BI286))</f>
        <v/>
      </c>
      <c r="CF286" s="93" t="str">
        <f aca="false">IF(ISBLANK($C286),"",IF($BX286&lt;&gt;Constants!$B$6,$BX286,IF(ISNUMBER($CE286),RANK($CE286,$CE$9:$CE$508,1),COUNT($CE$9:$CE$508)+1)))</f>
        <v/>
      </c>
      <c r="CG286" s="97" t="str">
        <f aca="false">IF($BX286&lt;&gt;Constants!$B$6,"",IF($BL286="-&gt;",$BU286,$BJ286))</f>
        <v/>
      </c>
      <c r="CH286" s="93" t="str">
        <f aca="false">IF(ISBLANK($C286),"",IF($BX286&lt;&gt;Constants!$B$6,$BX286,IF(ISNUMBER($CG286),RANK($CG286,$CG$9:$CG$508,1),COUNT($CG$9:$CG$508)+1)))</f>
        <v/>
      </c>
      <c r="CI286" s="97" t="str">
        <f aca="false">IF($BX286&lt;&gt;Constants!$B$6,"",IF($BL286="-&gt;",$BV286,$BK286))</f>
        <v/>
      </c>
      <c r="CJ286" s="93" t="str">
        <f aca="false">IF(ISBLANK($C286),"",IF($BX286&lt;&gt;Constants!$B$6,$BX286,IF(ISNUMBER($CI286),RANK($CI286,$CI$9:$CI$508,1),COUNT($CI$9:$CI$508)+1)))</f>
        <v/>
      </c>
      <c r="CK286" s="97" t="str">
        <f aca="false">IF($BX286&lt;&gt;Constants!$B$6,"",$AI286)</f>
        <v/>
      </c>
      <c r="CL286" s="93" t="str">
        <f aca="false">IF(ISBLANK($C286),"",IF($BX286&lt;&gt;Constants!$B$6,$BX286,IF(ISNUMBER($CK286),RANK($CK286,$CK$9:$CK$508,1),COUNT($CK$9:$CK$508)+1)))</f>
        <v/>
      </c>
      <c r="CM286" s="93" t="str">
        <f aca="false">IF(ISBLANK($C286),"",IF($BX286&lt;&gt;Constants!$B$6,$BX286,COUNTIFS($CD$9:$CD$508,"&lt;"&amp;$CD286)+COUNTIFS($CD$9:$CD$508,$CD286,$CF$9:$CF$508,"&lt;"&amp;$CF286)+COUNTIFS($CD$9:$CD$508,$CD286,$CF$9:$CF$508,$CF286,$CH$9:$CH$508,"&lt;"&amp;$CH286)+COUNTIFS($CD$9:$CD$508,$CD286,$CF$9:$CF$508,$CF286,$CH$9:$CH$508,$CH286,$CJ$9:$CJ$508,"&lt;"&amp;$CJ286)+COUNTIFS($CD$9:$CD$508,$CD286,$CF$9:$CF$508,$CF286,$CH$9:$CH$508,$CH286,$CJ$9:$CJ$508,$CJ286,$CL$9:$CL$508,"&lt;"&amp;$CL286)+1))</f>
        <v/>
      </c>
      <c r="CN286" s="93" t="str">
        <f aca="false">IF(ISBLANK($C286),"",IF($BX286&lt;&gt;Constants!$B$6,$BX286,$CD286-$CM286))</f>
        <v/>
      </c>
      <c r="CO286" s="100"/>
      <c r="CP286" s="101"/>
      <c r="CQ286" s="102" t="str">
        <f aca="false">IF(ISBLANK($C286),"",IF($BX286=Constants!$B$10,$BW286,""))</f>
        <v/>
      </c>
      <c r="CR286" s="101" t="str">
        <f aca="false">IF(ISBLANK($C286),"",IF($BX286&lt;&gt;Constants!$B$6,"",IF($BL286="-&gt;",2,1)))</f>
        <v/>
      </c>
      <c r="CS286" s="103" t="str">
        <f aca="false">IF(ISBLANK($C286),"",IF($BX286&lt;&gt;Constants!$B$6,"",IF($BL286="-&gt;",$BN286,$BC286)))</f>
        <v/>
      </c>
      <c r="CT286" s="103" t="str">
        <f aca="false">IF(ISBLANK($C286),"",IF($BX286&lt;&gt;Constants!$B$6,"",IF($BL286="-&gt;",$BO286,$BD286)))</f>
        <v/>
      </c>
      <c r="CU286" s="103" t="str">
        <f aca="false">IF(ISBLANK($C286),"",IF($BX286&lt;&gt;Constants!$B$6,"",IF($BL286="-&gt;",$BP286+$BQ286,$BE286+$BF286)+$CB286))</f>
        <v/>
      </c>
      <c r="CV286" s="103" t="str">
        <f aca="false">IF(ISBLANK($C286),"",IF($BX286&lt;&gt;Constants!$B$6,"",IF($BL286="-&gt;",$BR286,$BG286)+$CA286))</f>
        <v/>
      </c>
      <c r="CW286" s="104" t="str">
        <f aca="false">IF(ISBLANK($C286),"",IF($BX286&lt;&gt;Constants!$B$6,$BX286,$CC286))</f>
        <v/>
      </c>
      <c r="CX286" s="105" t="str">
        <f aca="false">IF(ISBLANK($C286),"",$BY286)</f>
        <v/>
      </c>
      <c r="CY286" s="106" t="str">
        <f aca="false">IF(ISBLANK($C286),"",$CN286)</f>
        <v/>
      </c>
      <c r="CZ286" s="106" t="str">
        <f aca="false">IF(ISBLANK($C286),"",$CM286)</f>
        <v/>
      </c>
      <c r="DA286" s="107" t="str">
        <f aca="false">IF(ISBLANK($C286),"",IFERROR(_xlfn.SWITCH($CZ286,Constants!$B$9,COUNTA($C$9:$C$508)+2,Constants!$B$8,COUNTA($C$9:$C$508)+1,Constants!$B$7,COUNTA($C$9:$C$508)),$CZ286))</f>
        <v/>
      </c>
      <c r="DB286" s="9"/>
      <c r="DC286" s="108" t="n">
        <f aca="false">IF(OR(ISNUMBER($CZ286),$CZ286=Constants!$B$9,$CZ286=Constants!$B$7,$CZ286=Constants!$B$8),1,0)</f>
        <v>0</v>
      </c>
      <c r="DD286" s="108" t="n">
        <v>278</v>
      </c>
      <c r="DE286" s="108" t="str">
        <f aca="false">IF(ISBLANK($C286),"",IF(ISNUMBER($DA286),$DA286+ROW($B286)/1000,""))</f>
        <v/>
      </c>
      <c r="DF286" s="108" t="str">
        <f aca="false">IF(ISNUMBER($DE286),RANK($DE286,$DE$9:$DE$508,1),"")</f>
        <v/>
      </c>
      <c r="DG286" s="108" t="str">
        <f aca="false">IF(ISBLANK($C286),"",$B286)</f>
        <v/>
      </c>
      <c r="DH286" s="108" t="str">
        <f aca="false">IF(ISBLANK($C286),"",$C286)</f>
        <v/>
      </c>
      <c r="DI286" s="108" t="str">
        <f aca="false">IF(ISBLANK($C286),"",$D286)</f>
        <v/>
      </c>
      <c r="DJ286" s="109" t="str">
        <f aca="false">$CX286</f>
        <v/>
      </c>
      <c r="DK286" s="110" t="str">
        <f aca="false">$CW286</f>
        <v/>
      </c>
      <c r="DL286" s="108" t="str">
        <f aca="false">IF(ISBLANK($C286),"",$CZ286)</f>
        <v/>
      </c>
      <c r="DM286" s="111" t="str">
        <f aca="false">IF($DD286&gt;$DC$8,"",VLOOKUP($DD286,$DF$9:$DL$508,7,FALSE()))</f>
        <v/>
      </c>
      <c r="DN286" s="112" t="str">
        <f aca="false">IF($DD286&gt;$DC$8,"",VLOOKUP($DD286,$DF$9:$DL$508,2,FALSE()))</f>
        <v/>
      </c>
      <c r="DO286" s="112" t="str">
        <f aca="false">IF($DD286&gt;$DC$8,"",VLOOKUP($DD286,$DF$9:$DL$508,3,FALSE()))</f>
        <v/>
      </c>
      <c r="DP286" s="112" t="str">
        <f aca="false">IF($DD286&gt;$DC$8,"",VLOOKUP($DD286,$DF$9:$DL$508,4,FALSE()))</f>
        <v/>
      </c>
      <c r="DQ286" s="112" t="str">
        <f aca="false">IF($DD286&gt;$DC$8,"",VLOOKUP($DD286,$DF$9:$DL$508,5,FALSE()))</f>
        <v/>
      </c>
      <c r="DR286" s="113" t="str">
        <f aca="false">IF($DD286&gt;$DC$8,"",VLOOKUP($DD286,$DF$9:$DL$508,6,FALSE()))</f>
        <v/>
      </c>
      <c r="DS286" s="76"/>
    </row>
    <row r="287" customFormat="false" ht="15.75" hidden="false" customHeight="false" outlineLevel="0" collapsed="false">
      <c r="A287" s="9"/>
      <c r="B287" s="78"/>
      <c r="C287" s="79"/>
      <c r="D287" s="170"/>
      <c r="E287" s="178"/>
      <c r="F287" s="172"/>
      <c r="G287" s="173"/>
      <c r="H287" s="173"/>
      <c r="I287" s="179"/>
      <c r="J287" s="176"/>
      <c r="K287" s="86"/>
      <c r="L287" s="87"/>
      <c r="M287" s="88"/>
      <c r="N287" s="176"/>
      <c r="O287" s="176"/>
      <c r="P287" s="178"/>
      <c r="Q287" s="176"/>
      <c r="R287" s="176"/>
      <c r="S287" s="86"/>
      <c r="T287" s="88"/>
      <c r="U287" s="88"/>
      <c r="V287" s="176"/>
      <c r="W287" s="176"/>
      <c r="X287" s="178"/>
      <c r="Y287" s="176"/>
      <c r="Z287" s="177"/>
      <c r="AA287" s="176"/>
      <c r="AB287" s="92"/>
      <c r="AC287" s="93"/>
      <c r="AD287" s="93"/>
      <c r="AE287" s="93"/>
      <c r="AF287" s="93" t="str">
        <f aca="false">IF(ISBLANK($C287),"",IF(E287=Constants!$B$2,TRUE(),IF(E287=Constants!$B$3,FALSE(),TRUE())))</f>
        <v/>
      </c>
      <c r="AG287" s="93" t="str">
        <f aca="false">IF(ISBLANK($C287),"",IF(F287=Constants!$B$2,TRUE(),IF(F287=Constants!$B$3,FALSE(),TRUE())))</f>
        <v/>
      </c>
      <c r="AH287" s="93" t="str">
        <f aca="false">IF(ISBLANK($C287),"",IF(G287=Constants!$B$2,TRUE(),IF(G287=Constants!$B$3,FALSE(),TRUE())))</f>
        <v/>
      </c>
      <c r="AI287" s="93" t="str">
        <f aca="false">IF(ISBLANK($C287),"",IF(AND(ISNUMBER(H287),H287&gt;=0),H287,Constants!$B$24))</f>
        <v/>
      </c>
      <c r="AJ287" s="93" t="str">
        <f aca="false">IF(ISBLANK($C287),"",IF(I287=Constants!$B$2,TRUE(),IF(I287=Constants!$B$3,FALSE(),TRUE())))</f>
        <v/>
      </c>
      <c r="AK287" s="93" t="str">
        <f aca="false">IF(ISBLANK($C287),"",IF(J287=Constants!$B$2,TRUE(),IF(J287=Constants!$B$3,FALSE(),TRUE())))</f>
        <v/>
      </c>
      <c r="AL287" s="93" t="str">
        <f aca="false">IF(ISBLANK($C287),"",IF(K287=Constants!$B$4,TRUE(),IF(K287=Constants!$B$5,FALSE(),COUNTA(L287:P287)&gt;0)))</f>
        <v/>
      </c>
      <c r="AM287" s="95" t="str">
        <f aca="false">IF(ISBLANK($C287),"",IF(ISNUMBER(L287),IF(L287&gt;=0,L287,""),""))</f>
        <v/>
      </c>
      <c r="AN287" s="94" t="str">
        <f aca="false">IF(ISBLANK($C287),"",IF(ISNUMBER(M287),IF(M287&gt;=0,M287,""),""))</f>
        <v/>
      </c>
      <c r="AO287" s="94" t="str">
        <f aca="false">IF(ISBLANK($C287),"",IF(N287=Constants!$B$2,TRUE(),IF(N287=Constants!$B$3,FALSE(),TRUE())))</f>
        <v/>
      </c>
      <c r="AP287" s="93" t="str">
        <f aca="false">IF(ISBLANK($C287),"",IF(ISNUMBER(O287),IF(O287&gt;=0,O287,""),""))</f>
        <v/>
      </c>
      <c r="AQ287" s="93" t="str">
        <f aca="false">IF(ISBLANK($C287),"",IF(P287=Constants!$B$2,TRUE(),IF(P287=Constants!$B$3,FALSE(),FALSE())))</f>
        <v/>
      </c>
      <c r="AR287" s="93" t="str">
        <f aca="false">IF(ISBLANK($C287),"",IF(Q287=Constants!$B$2,TRUE(),IF(Q287=Constants!$B$3,FALSE(),TRUE())))</f>
        <v/>
      </c>
      <c r="AS287" s="93" t="str">
        <f aca="false">IF(ISBLANK($C287),"",IF(R287=Constants!$B$2,TRUE(),IF(R287=Constants!$B$3,FALSE(),TRUE())))</f>
        <v/>
      </c>
      <c r="AT287" s="93" t="str">
        <f aca="false">IF(ISBLANK($C287),"",IF(S287=Constants!$B$4,TRUE(),IF(S287=Constants!$B$5,FALSE(),COUNTA(T287:X287)&gt;0)))</f>
        <v/>
      </c>
      <c r="AU287" s="95" t="str">
        <f aca="false">IF(ISBLANK($C287),"",IF(ISNUMBER(T287),IF(T287&gt;=0,T287,""),""))</f>
        <v/>
      </c>
      <c r="AV287" s="94" t="str">
        <f aca="false">IF(ISBLANK($C287),"",IF(ISNUMBER(U287),IF(U287&gt;=0,U287,""),""))</f>
        <v/>
      </c>
      <c r="AW287" s="94" t="str">
        <f aca="false">IF(ISBLANK($C287),"",IF(V287=Constants!$B$2,TRUE(),IF(V287=Constants!$B$3,FALSE(),TRUE())))</f>
        <v/>
      </c>
      <c r="AX287" s="93" t="str">
        <f aca="false">IF(ISBLANK($C287),"",IF(ISNUMBER(W287),IF(W287&gt;=0,W287,""),""))</f>
        <v/>
      </c>
      <c r="AY287" s="93" t="str">
        <f aca="false">IF(ISBLANK($C287),"",IF(X287=Constants!$B$2,TRUE(),IF(X287=Constants!$B$3,FALSE(),FALSE())))</f>
        <v/>
      </c>
      <c r="AZ287" s="93" t="str">
        <f aca="false">IF(ISBLANK($C287),"",MIN(Constants!$B$25,MAX(0,IF(ISNUMBER(Y287),Y287*60,0)+IF(ISNUMBER(Z287),Z287,0))))</f>
        <v/>
      </c>
      <c r="BA287" s="93" t="str">
        <f aca="false">IF(ISBLANK($C287),"",IF(AA287=Constants!$B$2,TRUE(),IF(AA287=Constants!$B$3,FALSE(),FALSE())))</f>
        <v/>
      </c>
      <c r="BB287" s="92" t="str">
        <f aca="false">IF(ISBLANK($C287),"",AND($AL287,OR($AM287="",$AN287="",AND($AO287,$AP287=""))))</f>
        <v/>
      </c>
      <c r="BC287" s="94" t="str">
        <f aca="false">IF($BX287&lt;&gt;Constants!$B$6,"",IF($AL287,Constants!$B$17*$AN287+Constants!$B$18*IF($AO287,$AP287,Constants!$B$19),Constants!$B$20))</f>
        <v/>
      </c>
      <c r="BD287" s="97" t="str">
        <f aca="false">IF($BX287&lt;&gt;Constants!$B$6,"",Constants!$B$21*ABS($AD$9-IF($AL287,$AM287,0)))</f>
        <v/>
      </c>
      <c r="BE287" s="97" t="str">
        <f aca="false">IF($BX287&lt;&gt;Constants!$B$6,"",IF(AND($AL287,$AQ287,$AO287),Constants!$B$22,0))</f>
        <v/>
      </c>
      <c r="BF287" s="97" t="str">
        <f aca="false">IF($BX287&lt;&gt;Constants!$B$6,"",IF($AL287,($AI287-Constants!$B$24)*Constants!$B$23,0))</f>
        <v/>
      </c>
      <c r="BG287" s="97" t="str">
        <f aca="false">IF($BX287&lt;&gt;Constants!$B$6,"",IF($AK287,0,Constants!$B$12)+IF($AJ287,0,Constants!$B$13)+IF($AH287,0,Constants!$B$14))</f>
        <v/>
      </c>
      <c r="BH287" s="98" t="str">
        <f aca="false">IF($BX287&lt;&gt;Constants!$B$6,"",Constants!$B$16+SUM($BC287:$BG287))</f>
        <v/>
      </c>
      <c r="BI287" s="97" t="str">
        <f aca="false">IF($BX287&lt;&gt;Constants!$B$6,"",$BC287)</f>
        <v/>
      </c>
      <c r="BJ287" s="97" t="str">
        <f aca="false">IF($BX287&lt;&gt;Constants!$B$6,"",$BD287)</f>
        <v/>
      </c>
      <c r="BK287" s="99" t="str">
        <f aca="false">IF($BX287&lt;&gt;Constants!$B$6,"",IF($AL287,$AN287,""))</f>
        <v/>
      </c>
      <c r="BL287" s="93" t="str">
        <f aca="false">IF($BX287&lt;&gt;Constants!$B$6,"",IF(OR($BS287&lt;$BH287,AND($BS287=$BH287,OR($BT287&lt;$BI287,AND($BT287=$BI287,OR($BU287&lt;$BJ287,AND($BU287=$BJ287,AND(ISNUMBER($BV287),OR(NOT(ISNUMBER($BK287)),$BV287&lt;$BK287)))))))),"-&gt;","&lt;-"))</f>
        <v/>
      </c>
      <c r="BM287" s="92" t="str">
        <f aca="false">IF(ISBLANK($C287),"",AND($AT287,OR($AU287="",$AV287="",AND($AW287,$AX287=""))))</f>
        <v/>
      </c>
      <c r="BN287" s="94" t="str">
        <f aca="false">IF($BX287&lt;&gt;Constants!$B$6,"",IF($AT287,Constants!$B$17*$AV287+Constants!$B$18*IF($AW287,$AX287,Constants!$B$19),Constants!$B$20))</f>
        <v/>
      </c>
      <c r="BO287" s="97" t="str">
        <f aca="false">IF($BX287&lt;&gt;Constants!$B$6,"",Constants!$B$21*ABS($AD$9-IF($AT287,$AU287,0)))</f>
        <v/>
      </c>
      <c r="BP287" s="97" t="str">
        <f aca="false">IF($BX287&lt;&gt;Constants!$B$6,"",IF(AND($AT287,$AY287,$AW287),Constants!$B$22,0))</f>
        <v/>
      </c>
      <c r="BQ287" s="97" t="str">
        <f aca="false">IF($BX287&lt;&gt;Constants!$B$6,"",IF($AT287,($AI287-Constants!$B$24)*Constants!$B$23,0))</f>
        <v/>
      </c>
      <c r="BR287" s="97" t="str">
        <f aca="false">IF($BX287&lt;&gt;Constants!$B$6,"",IF($AS287,0,Constants!$B$12)+IF($AR287,0,Constants!$B$13)+IF($AH287,0,Constants!$B$14))</f>
        <v/>
      </c>
      <c r="BS287" s="98" t="str">
        <f aca="false">IF($BX287&lt;&gt;Constants!$B$6,"",Constants!$B$16+SUM($BN287:$BR287))</f>
        <v/>
      </c>
      <c r="BT287" s="97" t="str">
        <f aca="false">IF($BX287&lt;&gt;Constants!$B$6,"",$BN287)</f>
        <v/>
      </c>
      <c r="BU287" s="97" t="str">
        <f aca="false">IF($BX287&lt;&gt;Constants!$B$6,"",$BO287)</f>
        <v/>
      </c>
      <c r="BV287" s="99" t="str">
        <f aca="false">IF($BX287&lt;&gt;Constants!$B$6,"",IF($AT287,$AV287,""))</f>
        <v/>
      </c>
      <c r="BW287" s="93" t="str">
        <f aca="false">IF(ISBLANK($C287),"",IF(ISBLANK($D$7),$BW$5,IF(NOT(ISNUMBER($D$7)),$BW$6,"")))</f>
        <v/>
      </c>
      <c r="BX287" s="93" t="str">
        <f aca="false">IF(ISBLANK($C287),"",IF($BA287,Constants!$B$9,IF(COUNTA($E287:$AA287)=0,Constants!$B$8,IF(NOT($AG287),Constants!$B$7,IF(OR($BW287&lt;&gt;"",$BB287,$BM287),Constants!$B$10,Constants!$B$6)))))</f>
        <v/>
      </c>
      <c r="BY287" s="93" t="str">
        <f aca="false">IF(ISBLANK($C287),"",IF($BX287&lt;&gt;Constants!$B$6,$BX287,Constants!$B$11))</f>
        <v/>
      </c>
      <c r="BZ287" s="97" t="str">
        <f aca="false">IF($BX287&lt;&gt;Constants!$B$6,"",IF($BL287="-&gt;",$BS287,$BH287))</f>
        <v/>
      </c>
      <c r="CA287" s="97" t="str">
        <f aca="false">IF($BX287&lt;&gt;Constants!$B$6,"",IF($AF287,0,Constants!$B$15))</f>
        <v/>
      </c>
      <c r="CB287" s="97" t="str">
        <f aca="false">IF($BX287&lt;&gt;Constants!$B$6,"",((Constants!$B$25-$AZ287)-Constants!$B$25)/Constants!$B$26)</f>
        <v/>
      </c>
      <c r="CC287" s="97" t="str">
        <f aca="false">IF(ISBLANK($C287),"",IF($BX287&lt;&gt;Constants!$B$6,$BX287,SUM($BZ287:$CB287)))</f>
        <v/>
      </c>
      <c r="CD287" s="93" t="str">
        <f aca="false">IF(ISBLANK($C287),"",IF($BX287&lt;&gt;Constants!$B$6,$BX287,RANK($CC287,$CC$9:$CC$508,1)))</f>
        <v/>
      </c>
      <c r="CE287" s="97" t="str">
        <f aca="false">IF($BX287&lt;&gt;Constants!$B$6,"",IF($BL287="-&gt;",$BT287,$BI287))</f>
        <v/>
      </c>
      <c r="CF287" s="93" t="str">
        <f aca="false">IF(ISBLANK($C287),"",IF($BX287&lt;&gt;Constants!$B$6,$BX287,IF(ISNUMBER($CE287),RANK($CE287,$CE$9:$CE$508,1),COUNT($CE$9:$CE$508)+1)))</f>
        <v/>
      </c>
      <c r="CG287" s="97" t="str">
        <f aca="false">IF($BX287&lt;&gt;Constants!$B$6,"",IF($BL287="-&gt;",$BU287,$BJ287))</f>
        <v/>
      </c>
      <c r="CH287" s="93" t="str">
        <f aca="false">IF(ISBLANK($C287),"",IF($BX287&lt;&gt;Constants!$B$6,$BX287,IF(ISNUMBER($CG287),RANK($CG287,$CG$9:$CG$508,1),COUNT($CG$9:$CG$508)+1)))</f>
        <v/>
      </c>
      <c r="CI287" s="97" t="str">
        <f aca="false">IF($BX287&lt;&gt;Constants!$B$6,"",IF($BL287="-&gt;",$BV287,$BK287))</f>
        <v/>
      </c>
      <c r="CJ287" s="93" t="str">
        <f aca="false">IF(ISBLANK($C287),"",IF($BX287&lt;&gt;Constants!$B$6,$BX287,IF(ISNUMBER($CI287),RANK($CI287,$CI$9:$CI$508,1),COUNT($CI$9:$CI$508)+1)))</f>
        <v/>
      </c>
      <c r="CK287" s="97" t="str">
        <f aca="false">IF($BX287&lt;&gt;Constants!$B$6,"",$AI287)</f>
        <v/>
      </c>
      <c r="CL287" s="93" t="str">
        <f aca="false">IF(ISBLANK($C287),"",IF($BX287&lt;&gt;Constants!$B$6,$BX287,IF(ISNUMBER($CK287),RANK($CK287,$CK$9:$CK$508,1),COUNT($CK$9:$CK$508)+1)))</f>
        <v/>
      </c>
      <c r="CM287" s="93" t="str">
        <f aca="false">IF(ISBLANK($C287),"",IF($BX287&lt;&gt;Constants!$B$6,$BX287,COUNTIFS($CD$9:$CD$508,"&lt;"&amp;$CD287)+COUNTIFS($CD$9:$CD$508,$CD287,$CF$9:$CF$508,"&lt;"&amp;$CF287)+COUNTIFS($CD$9:$CD$508,$CD287,$CF$9:$CF$508,$CF287,$CH$9:$CH$508,"&lt;"&amp;$CH287)+COUNTIFS($CD$9:$CD$508,$CD287,$CF$9:$CF$508,$CF287,$CH$9:$CH$508,$CH287,$CJ$9:$CJ$508,"&lt;"&amp;$CJ287)+COUNTIFS($CD$9:$CD$508,$CD287,$CF$9:$CF$508,$CF287,$CH$9:$CH$508,$CH287,$CJ$9:$CJ$508,$CJ287,$CL$9:$CL$508,"&lt;"&amp;$CL287)+1))</f>
        <v/>
      </c>
      <c r="CN287" s="93" t="str">
        <f aca="false">IF(ISBLANK($C287),"",IF($BX287&lt;&gt;Constants!$B$6,$BX287,$CD287-$CM287))</f>
        <v/>
      </c>
      <c r="CO287" s="100"/>
      <c r="CP287" s="101"/>
      <c r="CQ287" s="102" t="str">
        <f aca="false">IF(ISBLANK($C287),"",IF($BX287=Constants!$B$10,$BW287,""))</f>
        <v/>
      </c>
      <c r="CR287" s="101" t="str">
        <f aca="false">IF(ISBLANK($C287),"",IF($BX287&lt;&gt;Constants!$B$6,"",IF($BL287="-&gt;",2,1)))</f>
        <v/>
      </c>
      <c r="CS287" s="103" t="str">
        <f aca="false">IF(ISBLANK($C287),"",IF($BX287&lt;&gt;Constants!$B$6,"",IF($BL287="-&gt;",$BN287,$BC287)))</f>
        <v/>
      </c>
      <c r="CT287" s="103" t="str">
        <f aca="false">IF(ISBLANK($C287),"",IF($BX287&lt;&gt;Constants!$B$6,"",IF($BL287="-&gt;",$BO287,$BD287)))</f>
        <v/>
      </c>
      <c r="CU287" s="103" t="str">
        <f aca="false">IF(ISBLANK($C287),"",IF($BX287&lt;&gt;Constants!$B$6,"",IF($BL287="-&gt;",$BP287+$BQ287,$BE287+$BF287)+$CB287))</f>
        <v/>
      </c>
      <c r="CV287" s="103" t="str">
        <f aca="false">IF(ISBLANK($C287),"",IF($BX287&lt;&gt;Constants!$B$6,"",IF($BL287="-&gt;",$BR287,$BG287)+$CA287))</f>
        <v/>
      </c>
      <c r="CW287" s="104" t="str">
        <f aca="false">IF(ISBLANK($C287),"",IF($BX287&lt;&gt;Constants!$B$6,$BX287,$CC287))</f>
        <v/>
      </c>
      <c r="CX287" s="105" t="str">
        <f aca="false">IF(ISBLANK($C287),"",$BY287)</f>
        <v/>
      </c>
      <c r="CY287" s="106" t="str">
        <f aca="false">IF(ISBLANK($C287),"",$CN287)</f>
        <v/>
      </c>
      <c r="CZ287" s="106" t="str">
        <f aca="false">IF(ISBLANK($C287),"",$CM287)</f>
        <v/>
      </c>
      <c r="DA287" s="107" t="str">
        <f aca="false">IF(ISBLANK($C287),"",IFERROR(_xlfn.SWITCH($CZ287,Constants!$B$9,COUNTA($C$9:$C$508)+2,Constants!$B$8,COUNTA($C$9:$C$508)+1,Constants!$B$7,COUNTA($C$9:$C$508)),$CZ287))</f>
        <v/>
      </c>
      <c r="DB287" s="9"/>
      <c r="DC287" s="108" t="n">
        <f aca="false">IF(OR(ISNUMBER($CZ287),$CZ287=Constants!$B$9,$CZ287=Constants!$B$7,$CZ287=Constants!$B$8),1,0)</f>
        <v>0</v>
      </c>
      <c r="DD287" s="108" t="n">
        <v>279</v>
      </c>
      <c r="DE287" s="108" t="str">
        <f aca="false">IF(ISBLANK($C287),"",IF(ISNUMBER($DA287),$DA287+ROW($B287)/1000,""))</f>
        <v/>
      </c>
      <c r="DF287" s="108" t="str">
        <f aca="false">IF(ISNUMBER($DE287),RANK($DE287,$DE$9:$DE$508,1),"")</f>
        <v/>
      </c>
      <c r="DG287" s="108" t="str">
        <f aca="false">IF(ISBLANK($C287),"",$B287)</f>
        <v/>
      </c>
      <c r="DH287" s="108" t="str">
        <f aca="false">IF(ISBLANK($C287),"",$C287)</f>
        <v/>
      </c>
      <c r="DI287" s="108" t="str">
        <f aca="false">IF(ISBLANK($C287),"",$D287)</f>
        <v/>
      </c>
      <c r="DJ287" s="109" t="str">
        <f aca="false">$CX287</f>
        <v/>
      </c>
      <c r="DK287" s="110" t="str">
        <f aca="false">$CW287</f>
        <v/>
      </c>
      <c r="DL287" s="108" t="str">
        <f aca="false">IF(ISBLANK($C287),"",$CZ287)</f>
        <v/>
      </c>
      <c r="DM287" s="111" t="str">
        <f aca="false">IF($DD287&gt;$DC$8,"",VLOOKUP($DD287,$DF$9:$DL$508,7,FALSE()))</f>
        <v/>
      </c>
      <c r="DN287" s="112" t="str">
        <f aca="false">IF($DD287&gt;$DC$8,"",VLOOKUP($DD287,$DF$9:$DL$508,2,FALSE()))</f>
        <v/>
      </c>
      <c r="DO287" s="112" t="str">
        <f aca="false">IF($DD287&gt;$DC$8,"",VLOOKUP($DD287,$DF$9:$DL$508,3,FALSE()))</f>
        <v/>
      </c>
      <c r="DP287" s="112" t="str">
        <f aca="false">IF($DD287&gt;$DC$8,"",VLOOKUP($DD287,$DF$9:$DL$508,4,FALSE()))</f>
        <v/>
      </c>
      <c r="DQ287" s="112" t="str">
        <f aca="false">IF($DD287&gt;$DC$8,"",VLOOKUP($DD287,$DF$9:$DL$508,5,FALSE()))</f>
        <v/>
      </c>
      <c r="DR287" s="113" t="str">
        <f aca="false">IF($DD287&gt;$DC$8,"",VLOOKUP($DD287,$DF$9:$DL$508,6,FALSE()))</f>
        <v/>
      </c>
      <c r="DS287" s="76"/>
    </row>
    <row r="288" customFormat="false" ht="15.75" hidden="false" customHeight="false" outlineLevel="0" collapsed="false">
      <c r="A288" s="9"/>
      <c r="B288" s="160"/>
      <c r="C288" s="161"/>
      <c r="D288" s="162"/>
      <c r="E288" s="180"/>
      <c r="F288" s="164"/>
      <c r="G288" s="165"/>
      <c r="H288" s="165"/>
      <c r="I288" s="181"/>
      <c r="J288" s="168"/>
      <c r="K288" s="128"/>
      <c r="L288" s="129"/>
      <c r="M288" s="130"/>
      <c r="N288" s="168"/>
      <c r="O288" s="168"/>
      <c r="P288" s="180"/>
      <c r="Q288" s="168"/>
      <c r="R288" s="168"/>
      <c r="S288" s="128"/>
      <c r="T288" s="130"/>
      <c r="U288" s="130"/>
      <c r="V288" s="168"/>
      <c r="W288" s="168"/>
      <c r="X288" s="180"/>
      <c r="Y288" s="168"/>
      <c r="Z288" s="169"/>
      <c r="AA288" s="168"/>
      <c r="AB288" s="134"/>
      <c r="AC288" s="135"/>
      <c r="AD288" s="135"/>
      <c r="AE288" s="135"/>
      <c r="AF288" s="135" t="str">
        <f aca="false">IF(ISBLANK($C288),"",IF(E288=Constants!$B$2,TRUE(),IF(E288=Constants!$B$3,FALSE(),TRUE())))</f>
        <v/>
      </c>
      <c r="AG288" s="135" t="str">
        <f aca="false">IF(ISBLANK($C288),"",IF(F288=Constants!$B$2,TRUE(),IF(F288=Constants!$B$3,FALSE(),TRUE())))</f>
        <v/>
      </c>
      <c r="AH288" s="135" t="str">
        <f aca="false">IF(ISBLANK($C288),"",IF(G288=Constants!$B$2,TRUE(),IF(G288=Constants!$B$3,FALSE(),TRUE())))</f>
        <v/>
      </c>
      <c r="AI288" s="135" t="str">
        <f aca="false">IF(ISBLANK($C288),"",IF(AND(ISNUMBER(H288),H288&gt;=0),H288,Constants!$B$24))</f>
        <v/>
      </c>
      <c r="AJ288" s="135" t="str">
        <f aca="false">IF(ISBLANK($C288),"",IF(I288=Constants!$B$2,TRUE(),IF(I288=Constants!$B$3,FALSE(),TRUE())))</f>
        <v/>
      </c>
      <c r="AK288" s="135" t="str">
        <f aca="false">IF(ISBLANK($C288),"",IF(J288=Constants!$B$2,TRUE(),IF(J288=Constants!$B$3,FALSE(),TRUE())))</f>
        <v/>
      </c>
      <c r="AL288" s="135" t="str">
        <f aca="false">IF(ISBLANK($C288),"",IF(K288=Constants!$B$4,TRUE(),IF(K288=Constants!$B$5,FALSE(),COUNTA(L288:P288)&gt;0)))</f>
        <v/>
      </c>
      <c r="AM288" s="136" t="str">
        <f aca="false">IF(ISBLANK($C288),"",IF(ISNUMBER(L288),IF(L288&gt;=0,L288,""),""))</f>
        <v/>
      </c>
      <c r="AN288" s="137" t="str">
        <f aca="false">IF(ISBLANK($C288),"",IF(ISNUMBER(M288),IF(M288&gt;=0,M288,""),""))</f>
        <v/>
      </c>
      <c r="AO288" s="137" t="str">
        <f aca="false">IF(ISBLANK($C288),"",IF(N288=Constants!$B$2,TRUE(),IF(N288=Constants!$B$3,FALSE(),TRUE())))</f>
        <v/>
      </c>
      <c r="AP288" s="135" t="str">
        <f aca="false">IF(ISBLANK($C288),"",IF(ISNUMBER(O288),IF(O288&gt;=0,O288,""),""))</f>
        <v/>
      </c>
      <c r="AQ288" s="135" t="str">
        <f aca="false">IF(ISBLANK($C288),"",IF(P288=Constants!$B$2,TRUE(),IF(P288=Constants!$B$3,FALSE(),FALSE())))</f>
        <v/>
      </c>
      <c r="AR288" s="135" t="str">
        <f aca="false">IF(ISBLANK($C288),"",IF(Q288=Constants!$B$2,TRUE(),IF(Q288=Constants!$B$3,FALSE(),TRUE())))</f>
        <v/>
      </c>
      <c r="AS288" s="135" t="str">
        <f aca="false">IF(ISBLANK($C288),"",IF(R288=Constants!$B$2,TRUE(),IF(R288=Constants!$B$3,FALSE(),TRUE())))</f>
        <v/>
      </c>
      <c r="AT288" s="135" t="str">
        <f aca="false">IF(ISBLANK($C288),"",IF(S288=Constants!$B$4,TRUE(),IF(S288=Constants!$B$5,FALSE(),COUNTA(T288:X288)&gt;0)))</f>
        <v/>
      </c>
      <c r="AU288" s="136" t="str">
        <f aca="false">IF(ISBLANK($C288),"",IF(ISNUMBER(T288),IF(T288&gt;=0,T288,""),""))</f>
        <v/>
      </c>
      <c r="AV288" s="137" t="str">
        <f aca="false">IF(ISBLANK($C288),"",IF(ISNUMBER(U288),IF(U288&gt;=0,U288,""),""))</f>
        <v/>
      </c>
      <c r="AW288" s="137" t="str">
        <f aca="false">IF(ISBLANK($C288),"",IF(V288=Constants!$B$2,TRUE(),IF(V288=Constants!$B$3,FALSE(),TRUE())))</f>
        <v/>
      </c>
      <c r="AX288" s="135" t="str">
        <f aca="false">IF(ISBLANK($C288),"",IF(ISNUMBER(W288),IF(W288&gt;=0,W288,""),""))</f>
        <v/>
      </c>
      <c r="AY288" s="135" t="str">
        <f aca="false">IF(ISBLANK($C288),"",IF(X288=Constants!$B$2,TRUE(),IF(X288=Constants!$B$3,FALSE(),FALSE())))</f>
        <v/>
      </c>
      <c r="AZ288" s="135" t="str">
        <f aca="false">IF(ISBLANK($C288),"",MIN(Constants!$B$25,MAX(0,IF(ISNUMBER(Y288),Y288*60,0)+IF(ISNUMBER(Z288),Z288,0))))</f>
        <v/>
      </c>
      <c r="BA288" s="135" t="str">
        <f aca="false">IF(ISBLANK($C288),"",IF(AA288=Constants!$B$2,TRUE(),IF(AA288=Constants!$B$3,FALSE(),FALSE())))</f>
        <v/>
      </c>
      <c r="BB288" s="134" t="str">
        <f aca="false">IF(ISBLANK($C288),"",AND($AL288,OR($AM288="",$AN288="",AND($AO288,$AP288=""))))</f>
        <v/>
      </c>
      <c r="BC288" s="137" t="str">
        <f aca="false">IF($BX288&lt;&gt;Constants!$B$6,"",IF($AL288,Constants!$B$17*$AN288+Constants!$B$18*IF($AO288,$AP288,Constants!$B$19),Constants!$B$20))</f>
        <v/>
      </c>
      <c r="BD288" s="138" t="str">
        <f aca="false">IF($BX288&lt;&gt;Constants!$B$6,"",Constants!$B$21*ABS($AD$9-IF($AL288,$AM288,0)))</f>
        <v/>
      </c>
      <c r="BE288" s="138" t="str">
        <f aca="false">IF($BX288&lt;&gt;Constants!$B$6,"",IF(AND($AL288,$AQ288,$AO288),Constants!$B$22,0))</f>
        <v/>
      </c>
      <c r="BF288" s="138" t="str">
        <f aca="false">IF($BX288&lt;&gt;Constants!$B$6,"",IF($AL288,($AI288-Constants!$B$24)*Constants!$B$23,0))</f>
        <v/>
      </c>
      <c r="BG288" s="138" t="str">
        <f aca="false">IF($BX288&lt;&gt;Constants!$B$6,"",IF($AK288,0,Constants!$B$12)+IF($AJ288,0,Constants!$B$13)+IF($AH288,0,Constants!$B$14))</f>
        <v/>
      </c>
      <c r="BH288" s="139" t="str">
        <f aca="false">IF($BX288&lt;&gt;Constants!$B$6,"",Constants!$B$16+SUM($BC288:$BG288))</f>
        <v/>
      </c>
      <c r="BI288" s="138" t="str">
        <f aca="false">IF($BX288&lt;&gt;Constants!$B$6,"",$BC288)</f>
        <v/>
      </c>
      <c r="BJ288" s="138" t="str">
        <f aca="false">IF($BX288&lt;&gt;Constants!$B$6,"",$BD288)</f>
        <v/>
      </c>
      <c r="BK288" s="140" t="str">
        <f aca="false">IF($BX288&lt;&gt;Constants!$B$6,"",IF($AL288,$AN288,""))</f>
        <v/>
      </c>
      <c r="BL288" s="135" t="str">
        <f aca="false">IF($BX288&lt;&gt;Constants!$B$6,"",IF(OR($BS288&lt;$BH288,AND($BS288=$BH288,OR($BT288&lt;$BI288,AND($BT288=$BI288,OR($BU288&lt;$BJ288,AND($BU288=$BJ288,AND(ISNUMBER($BV288),OR(NOT(ISNUMBER($BK288)),$BV288&lt;$BK288)))))))),"-&gt;","&lt;-"))</f>
        <v/>
      </c>
      <c r="BM288" s="134" t="str">
        <f aca="false">IF(ISBLANK($C288),"",AND($AT288,OR($AU288="",$AV288="",AND($AW288,$AX288=""))))</f>
        <v/>
      </c>
      <c r="BN288" s="137" t="str">
        <f aca="false">IF($BX288&lt;&gt;Constants!$B$6,"",IF($AT288,Constants!$B$17*$AV288+Constants!$B$18*IF($AW288,$AX288,Constants!$B$19),Constants!$B$20))</f>
        <v/>
      </c>
      <c r="BO288" s="138" t="str">
        <f aca="false">IF($BX288&lt;&gt;Constants!$B$6,"",Constants!$B$21*ABS($AD$9-IF($AT288,$AU288,0)))</f>
        <v/>
      </c>
      <c r="BP288" s="138" t="str">
        <f aca="false">IF($BX288&lt;&gt;Constants!$B$6,"",IF(AND($AT288,$AY288,$AW288),Constants!$B$22,0))</f>
        <v/>
      </c>
      <c r="BQ288" s="138" t="str">
        <f aca="false">IF($BX288&lt;&gt;Constants!$B$6,"",IF($AT288,($AI288-Constants!$B$24)*Constants!$B$23,0))</f>
        <v/>
      </c>
      <c r="BR288" s="138" t="str">
        <f aca="false">IF($BX288&lt;&gt;Constants!$B$6,"",IF($AS288,0,Constants!$B$12)+IF($AR288,0,Constants!$B$13)+IF($AH288,0,Constants!$B$14))</f>
        <v/>
      </c>
      <c r="BS288" s="139" t="str">
        <f aca="false">IF($BX288&lt;&gt;Constants!$B$6,"",Constants!$B$16+SUM($BN288:$BR288))</f>
        <v/>
      </c>
      <c r="BT288" s="138" t="str">
        <f aca="false">IF($BX288&lt;&gt;Constants!$B$6,"",$BN288)</f>
        <v/>
      </c>
      <c r="BU288" s="138" t="str">
        <f aca="false">IF($BX288&lt;&gt;Constants!$B$6,"",$BO288)</f>
        <v/>
      </c>
      <c r="BV288" s="140" t="str">
        <f aca="false">IF($BX288&lt;&gt;Constants!$B$6,"",IF($AT288,$AV288,""))</f>
        <v/>
      </c>
      <c r="BW288" s="135" t="str">
        <f aca="false">IF(ISBLANK($C288),"",IF(ISBLANK($D$7),$BW$5,IF(NOT(ISNUMBER($D$7)),$BW$6,"")))</f>
        <v/>
      </c>
      <c r="BX288" s="135" t="str">
        <f aca="false">IF(ISBLANK($C288),"",IF($BA288,Constants!$B$9,IF(COUNTA($E288:$AA288)=0,Constants!$B$8,IF(NOT($AG288),Constants!$B$7,IF(OR($BW288&lt;&gt;"",$BB288,$BM288),Constants!$B$10,Constants!$B$6)))))</f>
        <v/>
      </c>
      <c r="BY288" s="135" t="str">
        <f aca="false">IF(ISBLANK($C288),"",IF($BX288&lt;&gt;Constants!$B$6,$BX288,Constants!$B$11))</f>
        <v/>
      </c>
      <c r="BZ288" s="138" t="str">
        <f aca="false">IF($BX288&lt;&gt;Constants!$B$6,"",IF($BL288="-&gt;",$BS288,$BH288))</f>
        <v/>
      </c>
      <c r="CA288" s="138" t="str">
        <f aca="false">IF($BX288&lt;&gt;Constants!$B$6,"",IF($AF288,0,Constants!$B$15))</f>
        <v/>
      </c>
      <c r="CB288" s="138" t="str">
        <f aca="false">IF($BX288&lt;&gt;Constants!$B$6,"",((Constants!$B$25-$AZ288)-Constants!$B$25)/Constants!$B$26)</f>
        <v/>
      </c>
      <c r="CC288" s="138" t="str">
        <f aca="false">IF(ISBLANK($C288),"",IF($BX288&lt;&gt;Constants!$B$6,$BX288,SUM($BZ288:$CB288)))</f>
        <v/>
      </c>
      <c r="CD288" s="135" t="str">
        <f aca="false">IF(ISBLANK($C288),"",IF($BX288&lt;&gt;Constants!$B$6,$BX288,RANK($CC288,$CC$9:$CC$508,1)))</f>
        <v/>
      </c>
      <c r="CE288" s="138" t="str">
        <f aca="false">IF($BX288&lt;&gt;Constants!$B$6,"",IF($BL288="-&gt;",$BT288,$BI288))</f>
        <v/>
      </c>
      <c r="CF288" s="135" t="str">
        <f aca="false">IF(ISBLANK($C288),"",IF($BX288&lt;&gt;Constants!$B$6,$BX288,IF(ISNUMBER($CE288),RANK($CE288,$CE$9:$CE$508,1),COUNT($CE$9:$CE$508)+1)))</f>
        <v/>
      </c>
      <c r="CG288" s="138" t="str">
        <f aca="false">IF($BX288&lt;&gt;Constants!$B$6,"",IF($BL288="-&gt;",$BU288,$BJ288))</f>
        <v/>
      </c>
      <c r="CH288" s="135" t="str">
        <f aca="false">IF(ISBLANK($C288),"",IF($BX288&lt;&gt;Constants!$B$6,$BX288,IF(ISNUMBER($CG288),RANK($CG288,$CG$9:$CG$508,1),COUNT($CG$9:$CG$508)+1)))</f>
        <v/>
      </c>
      <c r="CI288" s="138" t="str">
        <f aca="false">IF($BX288&lt;&gt;Constants!$B$6,"",IF($BL288="-&gt;",$BV288,$BK288))</f>
        <v/>
      </c>
      <c r="CJ288" s="135" t="str">
        <f aca="false">IF(ISBLANK($C288),"",IF($BX288&lt;&gt;Constants!$B$6,$BX288,IF(ISNUMBER($CI288),RANK($CI288,$CI$9:$CI$508,1),COUNT($CI$9:$CI$508)+1)))</f>
        <v/>
      </c>
      <c r="CK288" s="138" t="str">
        <f aca="false">IF($BX288&lt;&gt;Constants!$B$6,"",$AI288)</f>
        <v/>
      </c>
      <c r="CL288" s="135" t="str">
        <f aca="false">IF(ISBLANK($C288),"",IF($BX288&lt;&gt;Constants!$B$6,$BX288,IF(ISNUMBER($CK288),RANK($CK288,$CK$9:$CK$508,1),COUNT($CK$9:$CK$508)+1)))</f>
        <v/>
      </c>
      <c r="CM288" s="135" t="str">
        <f aca="false">IF(ISBLANK($C288),"",IF($BX288&lt;&gt;Constants!$B$6,$BX288,COUNTIFS($CD$9:$CD$508,"&lt;"&amp;$CD288)+COUNTIFS($CD$9:$CD$508,$CD288,$CF$9:$CF$508,"&lt;"&amp;$CF288)+COUNTIFS($CD$9:$CD$508,$CD288,$CF$9:$CF$508,$CF288,$CH$9:$CH$508,"&lt;"&amp;$CH288)+COUNTIFS($CD$9:$CD$508,$CD288,$CF$9:$CF$508,$CF288,$CH$9:$CH$508,$CH288,$CJ$9:$CJ$508,"&lt;"&amp;$CJ288)+COUNTIFS($CD$9:$CD$508,$CD288,$CF$9:$CF$508,$CF288,$CH$9:$CH$508,$CH288,$CJ$9:$CJ$508,$CJ288,$CL$9:$CL$508,"&lt;"&amp;$CL288)+1))</f>
        <v/>
      </c>
      <c r="CN288" s="135" t="str">
        <f aca="false">IF(ISBLANK($C288),"",IF($BX288&lt;&gt;Constants!$B$6,$BX288,$CD288-$CM288))</f>
        <v/>
      </c>
      <c r="CO288" s="141"/>
      <c r="CP288" s="142"/>
      <c r="CQ288" s="143" t="str">
        <f aca="false">IF(ISBLANK($C288),"",IF($BX288=Constants!$B$10,$BW288,""))</f>
        <v/>
      </c>
      <c r="CR288" s="142" t="str">
        <f aca="false">IF(ISBLANK($C288),"",IF($BX288&lt;&gt;Constants!$B$6,"",IF($BL288="-&gt;",2,1)))</f>
        <v/>
      </c>
      <c r="CS288" s="144" t="str">
        <f aca="false">IF(ISBLANK($C288),"",IF($BX288&lt;&gt;Constants!$B$6,"",IF($BL288="-&gt;",$BN288,$BC288)))</f>
        <v/>
      </c>
      <c r="CT288" s="144" t="str">
        <f aca="false">IF(ISBLANK($C288),"",IF($BX288&lt;&gt;Constants!$B$6,"",IF($BL288="-&gt;",$BO288,$BD288)))</f>
        <v/>
      </c>
      <c r="CU288" s="144" t="str">
        <f aca="false">IF(ISBLANK($C288),"",IF($BX288&lt;&gt;Constants!$B$6,"",IF($BL288="-&gt;",$BP288+$BQ288,$BE288+$BF288)+$CB288))</f>
        <v/>
      </c>
      <c r="CV288" s="144" t="str">
        <f aca="false">IF(ISBLANK($C288),"",IF($BX288&lt;&gt;Constants!$B$6,"",IF($BL288="-&gt;",$BR288,$BG288)+$CA288))</f>
        <v/>
      </c>
      <c r="CW288" s="145" t="str">
        <f aca="false">IF(ISBLANK($C288),"",IF($BX288&lt;&gt;Constants!$B$6,$BX288,$CC288))</f>
        <v/>
      </c>
      <c r="CX288" s="146" t="str">
        <f aca="false">IF(ISBLANK($C288),"",$BY288)</f>
        <v/>
      </c>
      <c r="CY288" s="147" t="str">
        <f aca="false">IF(ISBLANK($C288),"",$CN288)</f>
        <v/>
      </c>
      <c r="CZ288" s="147" t="str">
        <f aca="false">IF(ISBLANK($C288),"",$CM288)</f>
        <v/>
      </c>
      <c r="DA288" s="148" t="str">
        <f aca="false">IF(ISBLANK($C288),"",IFERROR(_xlfn.SWITCH($CZ288,Constants!$B$9,COUNTA($C$9:$C$508)+2,Constants!$B$8,COUNTA($C$9:$C$508)+1,Constants!$B$7,COUNTA($C$9:$C$508)),$CZ288))</f>
        <v/>
      </c>
      <c r="DB288" s="9"/>
      <c r="DC288" s="149" t="n">
        <f aca="false">IF(OR(ISNUMBER($CZ288),$CZ288=Constants!$B$9,$CZ288=Constants!$B$7,$CZ288=Constants!$B$8),1,0)</f>
        <v>0</v>
      </c>
      <c r="DD288" s="149" t="n">
        <v>280</v>
      </c>
      <c r="DE288" s="149" t="str">
        <f aca="false">IF(ISBLANK($C288),"",IF(ISNUMBER($DA288),$DA288+ROW($B288)/1000,""))</f>
        <v/>
      </c>
      <c r="DF288" s="149" t="str">
        <f aca="false">IF(ISNUMBER($DE288),RANK($DE288,$DE$9:$DE$508,1),"")</f>
        <v/>
      </c>
      <c r="DG288" s="149" t="str">
        <f aca="false">IF(ISBLANK($C288),"",$B288)</f>
        <v/>
      </c>
      <c r="DH288" s="149" t="str">
        <f aca="false">IF(ISBLANK($C288),"",$C288)</f>
        <v/>
      </c>
      <c r="DI288" s="149" t="str">
        <f aca="false">IF(ISBLANK($C288),"",$D288)</f>
        <v/>
      </c>
      <c r="DJ288" s="150" t="str">
        <f aca="false">$CX288</f>
        <v/>
      </c>
      <c r="DK288" s="151" t="str">
        <f aca="false">$CW288</f>
        <v/>
      </c>
      <c r="DL288" s="149" t="str">
        <f aca="false">IF(ISBLANK($C288),"",$CZ288)</f>
        <v/>
      </c>
      <c r="DM288" s="152" t="str">
        <f aca="false">IF($DD288&gt;$DC$8,"",VLOOKUP($DD288,$DF$9:$DL$508,7,FALSE()))</f>
        <v/>
      </c>
      <c r="DN288" s="153" t="str">
        <f aca="false">IF($DD288&gt;$DC$8,"",VLOOKUP($DD288,$DF$9:$DL$508,2,FALSE()))</f>
        <v/>
      </c>
      <c r="DO288" s="153" t="str">
        <f aca="false">IF($DD288&gt;$DC$8,"",VLOOKUP($DD288,$DF$9:$DL$508,3,FALSE()))</f>
        <v/>
      </c>
      <c r="DP288" s="153" t="str">
        <f aca="false">IF($DD288&gt;$DC$8,"",VLOOKUP($DD288,$DF$9:$DL$508,4,FALSE()))</f>
        <v/>
      </c>
      <c r="DQ288" s="153" t="str">
        <f aca="false">IF($DD288&gt;$DC$8,"",VLOOKUP($DD288,$DF$9:$DL$508,5,FALSE()))</f>
        <v/>
      </c>
      <c r="DR288" s="154" t="str">
        <f aca="false">IF($DD288&gt;$DC$8,"",VLOOKUP($DD288,$DF$9:$DL$508,6,FALSE()))</f>
        <v/>
      </c>
      <c r="DS288" s="76"/>
    </row>
    <row r="289" customFormat="false" ht="15.75" hidden="false" customHeight="false" outlineLevel="0" collapsed="false">
      <c r="A289" s="9"/>
      <c r="B289" s="160"/>
      <c r="C289" s="161"/>
      <c r="D289" s="162"/>
      <c r="E289" s="180"/>
      <c r="F289" s="164"/>
      <c r="G289" s="165"/>
      <c r="H289" s="165"/>
      <c r="I289" s="181"/>
      <c r="J289" s="168"/>
      <c r="K289" s="128"/>
      <c r="L289" s="129"/>
      <c r="M289" s="130"/>
      <c r="N289" s="168"/>
      <c r="O289" s="168"/>
      <c r="P289" s="180"/>
      <c r="Q289" s="168"/>
      <c r="R289" s="168"/>
      <c r="S289" s="128"/>
      <c r="T289" s="130"/>
      <c r="U289" s="130"/>
      <c r="V289" s="168"/>
      <c r="W289" s="168"/>
      <c r="X289" s="180"/>
      <c r="Y289" s="168"/>
      <c r="Z289" s="169"/>
      <c r="AA289" s="168"/>
      <c r="AB289" s="134"/>
      <c r="AC289" s="135"/>
      <c r="AD289" s="135"/>
      <c r="AE289" s="135"/>
      <c r="AF289" s="135" t="str">
        <f aca="false">IF(ISBLANK($C289),"",IF(E289=Constants!$B$2,TRUE(),IF(E289=Constants!$B$3,FALSE(),TRUE())))</f>
        <v/>
      </c>
      <c r="AG289" s="135" t="str">
        <f aca="false">IF(ISBLANK($C289),"",IF(F289=Constants!$B$2,TRUE(),IF(F289=Constants!$B$3,FALSE(),TRUE())))</f>
        <v/>
      </c>
      <c r="AH289" s="135" t="str">
        <f aca="false">IF(ISBLANK($C289),"",IF(G289=Constants!$B$2,TRUE(),IF(G289=Constants!$B$3,FALSE(),TRUE())))</f>
        <v/>
      </c>
      <c r="AI289" s="135" t="str">
        <f aca="false">IF(ISBLANK($C289),"",IF(AND(ISNUMBER(H289),H289&gt;=0),H289,Constants!$B$24))</f>
        <v/>
      </c>
      <c r="AJ289" s="135" t="str">
        <f aca="false">IF(ISBLANK($C289),"",IF(I289=Constants!$B$2,TRUE(),IF(I289=Constants!$B$3,FALSE(),TRUE())))</f>
        <v/>
      </c>
      <c r="AK289" s="135" t="str">
        <f aca="false">IF(ISBLANK($C289),"",IF(J289=Constants!$B$2,TRUE(),IF(J289=Constants!$B$3,FALSE(),TRUE())))</f>
        <v/>
      </c>
      <c r="AL289" s="135" t="str">
        <f aca="false">IF(ISBLANK($C289),"",IF(K289=Constants!$B$4,TRUE(),IF(K289=Constants!$B$5,FALSE(),COUNTA(L289:P289)&gt;0)))</f>
        <v/>
      </c>
      <c r="AM289" s="136" t="str">
        <f aca="false">IF(ISBLANK($C289),"",IF(ISNUMBER(L289),IF(L289&gt;=0,L289,""),""))</f>
        <v/>
      </c>
      <c r="AN289" s="137" t="str">
        <f aca="false">IF(ISBLANK($C289),"",IF(ISNUMBER(M289),IF(M289&gt;=0,M289,""),""))</f>
        <v/>
      </c>
      <c r="AO289" s="137" t="str">
        <f aca="false">IF(ISBLANK($C289),"",IF(N289=Constants!$B$2,TRUE(),IF(N289=Constants!$B$3,FALSE(),TRUE())))</f>
        <v/>
      </c>
      <c r="AP289" s="135" t="str">
        <f aca="false">IF(ISBLANK($C289),"",IF(ISNUMBER(O289),IF(O289&gt;=0,O289,""),""))</f>
        <v/>
      </c>
      <c r="AQ289" s="135" t="str">
        <f aca="false">IF(ISBLANK($C289),"",IF(P289=Constants!$B$2,TRUE(),IF(P289=Constants!$B$3,FALSE(),FALSE())))</f>
        <v/>
      </c>
      <c r="AR289" s="135" t="str">
        <f aca="false">IF(ISBLANK($C289),"",IF(Q289=Constants!$B$2,TRUE(),IF(Q289=Constants!$B$3,FALSE(),TRUE())))</f>
        <v/>
      </c>
      <c r="AS289" s="135" t="str">
        <f aca="false">IF(ISBLANK($C289),"",IF(R289=Constants!$B$2,TRUE(),IF(R289=Constants!$B$3,FALSE(),TRUE())))</f>
        <v/>
      </c>
      <c r="AT289" s="135" t="str">
        <f aca="false">IF(ISBLANK($C289),"",IF(S289=Constants!$B$4,TRUE(),IF(S289=Constants!$B$5,FALSE(),COUNTA(T289:X289)&gt;0)))</f>
        <v/>
      </c>
      <c r="AU289" s="136" t="str">
        <f aca="false">IF(ISBLANK($C289),"",IF(ISNUMBER(T289),IF(T289&gt;=0,T289,""),""))</f>
        <v/>
      </c>
      <c r="AV289" s="137" t="str">
        <f aca="false">IF(ISBLANK($C289),"",IF(ISNUMBER(U289),IF(U289&gt;=0,U289,""),""))</f>
        <v/>
      </c>
      <c r="AW289" s="137" t="str">
        <f aca="false">IF(ISBLANK($C289),"",IF(V289=Constants!$B$2,TRUE(),IF(V289=Constants!$B$3,FALSE(),TRUE())))</f>
        <v/>
      </c>
      <c r="AX289" s="135" t="str">
        <f aca="false">IF(ISBLANK($C289),"",IF(ISNUMBER(W289),IF(W289&gt;=0,W289,""),""))</f>
        <v/>
      </c>
      <c r="AY289" s="135" t="str">
        <f aca="false">IF(ISBLANK($C289),"",IF(X289=Constants!$B$2,TRUE(),IF(X289=Constants!$B$3,FALSE(),FALSE())))</f>
        <v/>
      </c>
      <c r="AZ289" s="135" t="str">
        <f aca="false">IF(ISBLANK($C289),"",MIN(Constants!$B$25,MAX(0,IF(ISNUMBER(Y289),Y289*60,0)+IF(ISNUMBER(Z289),Z289,0))))</f>
        <v/>
      </c>
      <c r="BA289" s="135" t="str">
        <f aca="false">IF(ISBLANK($C289),"",IF(AA289=Constants!$B$2,TRUE(),IF(AA289=Constants!$B$3,FALSE(),FALSE())))</f>
        <v/>
      </c>
      <c r="BB289" s="134" t="str">
        <f aca="false">IF(ISBLANK($C289),"",AND($AL289,OR($AM289="",$AN289="",AND($AO289,$AP289=""))))</f>
        <v/>
      </c>
      <c r="BC289" s="137" t="str">
        <f aca="false">IF($BX289&lt;&gt;Constants!$B$6,"",IF($AL289,Constants!$B$17*$AN289+Constants!$B$18*IF($AO289,$AP289,Constants!$B$19),Constants!$B$20))</f>
        <v/>
      </c>
      <c r="BD289" s="138" t="str">
        <f aca="false">IF($BX289&lt;&gt;Constants!$B$6,"",Constants!$B$21*ABS($AD$9-IF($AL289,$AM289,0)))</f>
        <v/>
      </c>
      <c r="BE289" s="138" t="str">
        <f aca="false">IF($BX289&lt;&gt;Constants!$B$6,"",IF(AND($AL289,$AQ289,$AO289),Constants!$B$22,0))</f>
        <v/>
      </c>
      <c r="BF289" s="138" t="str">
        <f aca="false">IF($BX289&lt;&gt;Constants!$B$6,"",IF($AL289,($AI289-Constants!$B$24)*Constants!$B$23,0))</f>
        <v/>
      </c>
      <c r="BG289" s="138" t="str">
        <f aca="false">IF($BX289&lt;&gt;Constants!$B$6,"",IF($AK289,0,Constants!$B$12)+IF($AJ289,0,Constants!$B$13)+IF($AH289,0,Constants!$B$14))</f>
        <v/>
      </c>
      <c r="BH289" s="139" t="str">
        <f aca="false">IF($BX289&lt;&gt;Constants!$B$6,"",Constants!$B$16+SUM($BC289:$BG289))</f>
        <v/>
      </c>
      <c r="BI289" s="138" t="str">
        <f aca="false">IF($BX289&lt;&gt;Constants!$B$6,"",$BC289)</f>
        <v/>
      </c>
      <c r="BJ289" s="138" t="str">
        <f aca="false">IF($BX289&lt;&gt;Constants!$B$6,"",$BD289)</f>
        <v/>
      </c>
      <c r="BK289" s="140" t="str">
        <f aca="false">IF($BX289&lt;&gt;Constants!$B$6,"",IF($AL289,$AN289,""))</f>
        <v/>
      </c>
      <c r="BL289" s="135" t="str">
        <f aca="false">IF($BX289&lt;&gt;Constants!$B$6,"",IF(OR($BS289&lt;$BH289,AND($BS289=$BH289,OR($BT289&lt;$BI289,AND($BT289=$BI289,OR($BU289&lt;$BJ289,AND($BU289=$BJ289,AND(ISNUMBER($BV289),OR(NOT(ISNUMBER($BK289)),$BV289&lt;$BK289)))))))),"-&gt;","&lt;-"))</f>
        <v/>
      </c>
      <c r="BM289" s="134" t="str">
        <f aca="false">IF(ISBLANK($C289),"",AND($AT289,OR($AU289="",$AV289="",AND($AW289,$AX289=""))))</f>
        <v/>
      </c>
      <c r="BN289" s="137" t="str">
        <f aca="false">IF($BX289&lt;&gt;Constants!$B$6,"",IF($AT289,Constants!$B$17*$AV289+Constants!$B$18*IF($AW289,$AX289,Constants!$B$19),Constants!$B$20))</f>
        <v/>
      </c>
      <c r="BO289" s="138" t="str">
        <f aca="false">IF($BX289&lt;&gt;Constants!$B$6,"",Constants!$B$21*ABS($AD$9-IF($AT289,$AU289,0)))</f>
        <v/>
      </c>
      <c r="BP289" s="138" t="str">
        <f aca="false">IF($BX289&lt;&gt;Constants!$B$6,"",IF(AND($AT289,$AY289,$AW289),Constants!$B$22,0))</f>
        <v/>
      </c>
      <c r="BQ289" s="138" t="str">
        <f aca="false">IF($BX289&lt;&gt;Constants!$B$6,"",IF($AT289,($AI289-Constants!$B$24)*Constants!$B$23,0))</f>
        <v/>
      </c>
      <c r="BR289" s="138" t="str">
        <f aca="false">IF($BX289&lt;&gt;Constants!$B$6,"",IF($AS289,0,Constants!$B$12)+IF($AR289,0,Constants!$B$13)+IF($AH289,0,Constants!$B$14))</f>
        <v/>
      </c>
      <c r="BS289" s="139" t="str">
        <f aca="false">IF($BX289&lt;&gt;Constants!$B$6,"",Constants!$B$16+SUM($BN289:$BR289))</f>
        <v/>
      </c>
      <c r="BT289" s="138" t="str">
        <f aca="false">IF($BX289&lt;&gt;Constants!$B$6,"",$BN289)</f>
        <v/>
      </c>
      <c r="BU289" s="138" t="str">
        <f aca="false">IF($BX289&lt;&gt;Constants!$B$6,"",$BO289)</f>
        <v/>
      </c>
      <c r="BV289" s="140" t="str">
        <f aca="false">IF($BX289&lt;&gt;Constants!$B$6,"",IF($AT289,$AV289,""))</f>
        <v/>
      </c>
      <c r="BW289" s="135" t="str">
        <f aca="false">IF(ISBLANK($C289),"",IF(ISBLANK($D$7),$BW$5,IF(NOT(ISNUMBER($D$7)),$BW$6,"")))</f>
        <v/>
      </c>
      <c r="BX289" s="135" t="str">
        <f aca="false">IF(ISBLANK($C289),"",IF($BA289,Constants!$B$9,IF(COUNTA($E289:$AA289)=0,Constants!$B$8,IF(NOT($AG289),Constants!$B$7,IF(OR($BW289&lt;&gt;"",$BB289,$BM289),Constants!$B$10,Constants!$B$6)))))</f>
        <v/>
      </c>
      <c r="BY289" s="135" t="str">
        <f aca="false">IF(ISBLANK($C289),"",IF($BX289&lt;&gt;Constants!$B$6,$BX289,Constants!$B$11))</f>
        <v/>
      </c>
      <c r="BZ289" s="138" t="str">
        <f aca="false">IF($BX289&lt;&gt;Constants!$B$6,"",IF($BL289="-&gt;",$BS289,$BH289))</f>
        <v/>
      </c>
      <c r="CA289" s="138" t="str">
        <f aca="false">IF($BX289&lt;&gt;Constants!$B$6,"",IF($AF289,0,Constants!$B$15))</f>
        <v/>
      </c>
      <c r="CB289" s="138" t="str">
        <f aca="false">IF($BX289&lt;&gt;Constants!$B$6,"",((Constants!$B$25-$AZ289)-Constants!$B$25)/Constants!$B$26)</f>
        <v/>
      </c>
      <c r="CC289" s="138" t="str">
        <f aca="false">IF(ISBLANK($C289),"",IF($BX289&lt;&gt;Constants!$B$6,$BX289,SUM($BZ289:$CB289)))</f>
        <v/>
      </c>
      <c r="CD289" s="135" t="str">
        <f aca="false">IF(ISBLANK($C289),"",IF($BX289&lt;&gt;Constants!$B$6,$BX289,RANK($CC289,$CC$9:$CC$508,1)))</f>
        <v/>
      </c>
      <c r="CE289" s="138" t="str">
        <f aca="false">IF($BX289&lt;&gt;Constants!$B$6,"",IF($BL289="-&gt;",$BT289,$BI289))</f>
        <v/>
      </c>
      <c r="CF289" s="135" t="str">
        <f aca="false">IF(ISBLANK($C289),"",IF($BX289&lt;&gt;Constants!$B$6,$BX289,IF(ISNUMBER($CE289),RANK($CE289,$CE$9:$CE$508,1),COUNT($CE$9:$CE$508)+1)))</f>
        <v/>
      </c>
      <c r="CG289" s="138" t="str">
        <f aca="false">IF($BX289&lt;&gt;Constants!$B$6,"",IF($BL289="-&gt;",$BU289,$BJ289))</f>
        <v/>
      </c>
      <c r="CH289" s="135" t="str">
        <f aca="false">IF(ISBLANK($C289),"",IF($BX289&lt;&gt;Constants!$B$6,$BX289,IF(ISNUMBER($CG289),RANK($CG289,$CG$9:$CG$508,1),COUNT($CG$9:$CG$508)+1)))</f>
        <v/>
      </c>
      <c r="CI289" s="138" t="str">
        <f aca="false">IF($BX289&lt;&gt;Constants!$B$6,"",IF($BL289="-&gt;",$BV289,$BK289))</f>
        <v/>
      </c>
      <c r="CJ289" s="135" t="str">
        <f aca="false">IF(ISBLANK($C289),"",IF($BX289&lt;&gt;Constants!$B$6,$BX289,IF(ISNUMBER($CI289),RANK($CI289,$CI$9:$CI$508,1),COUNT($CI$9:$CI$508)+1)))</f>
        <v/>
      </c>
      <c r="CK289" s="138" t="str">
        <f aca="false">IF($BX289&lt;&gt;Constants!$B$6,"",$AI289)</f>
        <v/>
      </c>
      <c r="CL289" s="135" t="str">
        <f aca="false">IF(ISBLANK($C289),"",IF($BX289&lt;&gt;Constants!$B$6,$BX289,IF(ISNUMBER($CK289),RANK($CK289,$CK$9:$CK$508,1),COUNT($CK$9:$CK$508)+1)))</f>
        <v/>
      </c>
      <c r="CM289" s="135" t="str">
        <f aca="false">IF(ISBLANK($C289),"",IF($BX289&lt;&gt;Constants!$B$6,$BX289,COUNTIFS($CD$9:$CD$508,"&lt;"&amp;$CD289)+COUNTIFS($CD$9:$CD$508,$CD289,$CF$9:$CF$508,"&lt;"&amp;$CF289)+COUNTIFS($CD$9:$CD$508,$CD289,$CF$9:$CF$508,$CF289,$CH$9:$CH$508,"&lt;"&amp;$CH289)+COUNTIFS($CD$9:$CD$508,$CD289,$CF$9:$CF$508,$CF289,$CH$9:$CH$508,$CH289,$CJ$9:$CJ$508,"&lt;"&amp;$CJ289)+COUNTIFS($CD$9:$CD$508,$CD289,$CF$9:$CF$508,$CF289,$CH$9:$CH$508,$CH289,$CJ$9:$CJ$508,$CJ289,$CL$9:$CL$508,"&lt;"&amp;$CL289)+1))</f>
        <v/>
      </c>
      <c r="CN289" s="135" t="str">
        <f aca="false">IF(ISBLANK($C289),"",IF($BX289&lt;&gt;Constants!$B$6,$BX289,$CD289-$CM289))</f>
        <v/>
      </c>
      <c r="CO289" s="141"/>
      <c r="CP289" s="142"/>
      <c r="CQ289" s="143" t="str">
        <f aca="false">IF(ISBLANK($C289),"",IF($BX289=Constants!$B$10,$BW289,""))</f>
        <v/>
      </c>
      <c r="CR289" s="142" t="str">
        <f aca="false">IF(ISBLANK($C289),"",IF($BX289&lt;&gt;Constants!$B$6,"",IF($BL289="-&gt;",2,1)))</f>
        <v/>
      </c>
      <c r="CS289" s="144" t="str">
        <f aca="false">IF(ISBLANK($C289),"",IF($BX289&lt;&gt;Constants!$B$6,"",IF($BL289="-&gt;",$BN289,$BC289)))</f>
        <v/>
      </c>
      <c r="CT289" s="144" t="str">
        <f aca="false">IF(ISBLANK($C289),"",IF($BX289&lt;&gt;Constants!$B$6,"",IF($BL289="-&gt;",$BO289,$BD289)))</f>
        <v/>
      </c>
      <c r="CU289" s="144" t="str">
        <f aca="false">IF(ISBLANK($C289),"",IF($BX289&lt;&gt;Constants!$B$6,"",IF($BL289="-&gt;",$BP289+$BQ289,$BE289+$BF289)+$CB289))</f>
        <v/>
      </c>
      <c r="CV289" s="144" t="str">
        <f aca="false">IF(ISBLANK($C289),"",IF($BX289&lt;&gt;Constants!$B$6,"",IF($BL289="-&gt;",$BR289,$BG289)+$CA289))</f>
        <v/>
      </c>
      <c r="CW289" s="145" t="str">
        <f aca="false">IF(ISBLANK($C289),"",IF($BX289&lt;&gt;Constants!$B$6,$BX289,$CC289))</f>
        <v/>
      </c>
      <c r="CX289" s="146" t="str">
        <f aca="false">IF(ISBLANK($C289),"",$BY289)</f>
        <v/>
      </c>
      <c r="CY289" s="147" t="str">
        <f aca="false">IF(ISBLANK($C289),"",$CN289)</f>
        <v/>
      </c>
      <c r="CZ289" s="147" t="str">
        <f aca="false">IF(ISBLANK($C289),"",$CM289)</f>
        <v/>
      </c>
      <c r="DA289" s="148" t="str">
        <f aca="false">IF(ISBLANK($C289),"",IFERROR(_xlfn.SWITCH($CZ289,Constants!$B$9,COUNTA($C$9:$C$508)+2,Constants!$B$8,COUNTA($C$9:$C$508)+1,Constants!$B$7,COUNTA($C$9:$C$508)),$CZ289))</f>
        <v/>
      </c>
      <c r="DB289" s="9"/>
      <c r="DC289" s="149" t="n">
        <f aca="false">IF(OR(ISNUMBER($CZ289),$CZ289=Constants!$B$9,$CZ289=Constants!$B$7,$CZ289=Constants!$B$8),1,0)</f>
        <v>0</v>
      </c>
      <c r="DD289" s="149" t="n">
        <v>281</v>
      </c>
      <c r="DE289" s="149" t="str">
        <f aca="false">IF(ISBLANK($C289),"",IF(ISNUMBER($DA289),$DA289+ROW($B289)/1000,""))</f>
        <v/>
      </c>
      <c r="DF289" s="149" t="str">
        <f aca="false">IF(ISNUMBER($DE289),RANK($DE289,$DE$9:$DE$508,1),"")</f>
        <v/>
      </c>
      <c r="DG289" s="149" t="str">
        <f aca="false">IF(ISBLANK($C289),"",$B289)</f>
        <v/>
      </c>
      <c r="DH289" s="149" t="str">
        <f aca="false">IF(ISBLANK($C289),"",$C289)</f>
        <v/>
      </c>
      <c r="DI289" s="149" t="str">
        <f aca="false">IF(ISBLANK($C289),"",$D289)</f>
        <v/>
      </c>
      <c r="DJ289" s="150" t="str">
        <f aca="false">$CX289</f>
        <v/>
      </c>
      <c r="DK289" s="151" t="str">
        <f aca="false">$CW289</f>
        <v/>
      </c>
      <c r="DL289" s="149" t="str">
        <f aca="false">IF(ISBLANK($C289),"",$CZ289)</f>
        <v/>
      </c>
      <c r="DM289" s="152" t="str">
        <f aca="false">IF($DD289&gt;$DC$8,"",VLOOKUP($DD289,$DF$9:$DL$508,7,FALSE()))</f>
        <v/>
      </c>
      <c r="DN289" s="153" t="str">
        <f aca="false">IF($DD289&gt;$DC$8,"",VLOOKUP($DD289,$DF$9:$DL$508,2,FALSE()))</f>
        <v/>
      </c>
      <c r="DO289" s="153" t="str">
        <f aca="false">IF($DD289&gt;$DC$8,"",VLOOKUP($DD289,$DF$9:$DL$508,3,FALSE()))</f>
        <v/>
      </c>
      <c r="DP289" s="153" t="str">
        <f aca="false">IF($DD289&gt;$DC$8,"",VLOOKUP($DD289,$DF$9:$DL$508,4,FALSE()))</f>
        <v/>
      </c>
      <c r="DQ289" s="153" t="str">
        <f aca="false">IF($DD289&gt;$DC$8,"",VLOOKUP($DD289,$DF$9:$DL$508,5,FALSE()))</f>
        <v/>
      </c>
      <c r="DR289" s="154" t="str">
        <f aca="false">IF($DD289&gt;$DC$8,"",VLOOKUP($DD289,$DF$9:$DL$508,6,FALSE()))</f>
        <v/>
      </c>
      <c r="DS289" s="76"/>
    </row>
    <row r="290" customFormat="false" ht="15.75" hidden="false" customHeight="false" outlineLevel="0" collapsed="false">
      <c r="A290" s="9"/>
      <c r="B290" s="160"/>
      <c r="C290" s="161"/>
      <c r="D290" s="162"/>
      <c r="E290" s="180"/>
      <c r="F290" s="164"/>
      <c r="G290" s="165"/>
      <c r="H290" s="165"/>
      <c r="I290" s="181"/>
      <c r="J290" s="168"/>
      <c r="K290" s="128"/>
      <c r="L290" s="129"/>
      <c r="M290" s="130"/>
      <c r="N290" s="168"/>
      <c r="O290" s="168"/>
      <c r="P290" s="180"/>
      <c r="Q290" s="168"/>
      <c r="R290" s="168"/>
      <c r="S290" s="128"/>
      <c r="T290" s="130"/>
      <c r="U290" s="130"/>
      <c r="V290" s="168"/>
      <c r="W290" s="168"/>
      <c r="X290" s="180"/>
      <c r="Y290" s="168"/>
      <c r="Z290" s="169"/>
      <c r="AA290" s="168"/>
      <c r="AB290" s="134"/>
      <c r="AC290" s="135"/>
      <c r="AD290" s="135"/>
      <c r="AE290" s="135"/>
      <c r="AF290" s="135" t="str">
        <f aca="false">IF(ISBLANK($C290),"",IF(E290=Constants!$B$2,TRUE(),IF(E290=Constants!$B$3,FALSE(),TRUE())))</f>
        <v/>
      </c>
      <c r="AG290" s="135" t="str">
        <f aca="false">IF(ISBLANK($C290),"",IF(F290=Constants!$B$2,TRUE(),IF(F290=Constants!$B$3,FALSE(),TRUE())))</f>
        <v/>
      </c>
      <c r="AH290" s="135" t="str">
        <f aca="false">IF(ISBLANK($C290),"",IF(G290=Constants!$B$2,TRUE(),IF(G290=Constants!$B$3,FALSE(),TRUE())))</f>
        <v/>
      </c>
      <c r="AI290" s="135" t="str">
        <f aca="false">IF(ISBLANK($C290),"",IF(AND(ISNUMBER(H290),H290&gt;=0),H290,Constants!$B$24))</f>
        <v/>
      </c>
      <c r="AJ290" s="135" t="str">
        <f aca="false">IF(ISBLANK($C290),"",IF(I290=Constants!$B$2,TRUE(),IF(I290=Constants!$B$3,FALSE(),TRUE())))</f>
        <v/>
      </c>
      <c r="AK290" s="135" t="str">
        <f aca="false">IF(ISBLANK($C290),"",IF(J290=Constants!$B$2,TRUE(),IF(J290=Constants!$B$3,FALSE(),TRUE())))</f>
        <v/>
      </c>
      <c r="AL290" s="135" t="str">
        <f aca="false">IF(ISBLANK($C290),"",IF(K290=Constants!$B$4,TRUE(),IF(K290=Constants!$B$5,FALSE(),COUNTA(L290:P290)&gt;0)))</f>
        <v/>
      </c>
      <c r="AM290" s="136" t="str">
        <f aca="false">IF(ISBLANK($C290),"",IF(ISNUMBER(L290),IF(L290&gt;=0,L290,""),""))</f>
        <v/>
      </c>
      <c r="AN290" s="137" t="str">
        <f aca="false">IF(ISBLANK($C290),"",IF(ISNUMBER(M290),IF(M290&gt;=0,M290,""),""))</f>
        <v/>
      </c>
      <c r="AO290" s="137" t="str">
        <f aca="false">IF(ISBLANK($C290),"",IF(N290=Constants!$B$2,TRUE(),IF(N290=Constants!$B$3,FALSE(),TRUE())))</f>
        <v/>
      </c>
      <c r="AP290" s="135" t="str">
        <f aca="false">IF(ISBLANK($C290),"",IF(ISNUMBER(O290),IF(O290&gt;=0,O290,""),""))</f>
        <v/>
      </c>
      <c r="AQ290" s="135" t="str">
        <f aca="false">IF(ISBLANK($C290),"",IF(P290=Constants!$B$2,TRUE(),IF(P290=Constants!$B$3,FALSE(),FALSE())))</f>
        <v/>
      </c>
      <c r="AR290" s="135" t="str">
        <f aca="false">IF(ISBLANK($C290),"",IF(Q290=Constants!$B$2,TRUE(),IF(Q290=Constants!$B$3,FALSE(),TRUE())))</f>
        <v/>
      </c>
      <c r="AS290" s="135" t="str">
        <f aca="false">IF(ISBLANK($C290),"",IF(R290=Constants!$B$2,TRUE(),IF(R290=Constants!$B$3,FALSE(),TRUE())))</f>
        <v/>
      </c>
      <c r="AT290" s="135" t="str">
        <f aca="false">IF(ISBLANK($C290),"",IF(S290=Constants!$B$4,TRUE(),IF(S290=Constants!$B$5,FALSE(),COUNTA(T290:X290)&gt;0)))</f>
        <v/>
      </c>
      <c r="AU290" s="136" t="str">
        <f aca="false">IF(ISBLANK($C290),"",IF(ISNUMBER(T290),IF(T290&gt;=0,T290,""),""))</f>
        <v/>
      </c>
      <c r="AV290" s="137" t="str">
        <f aca="false">IF(ISBLANK($C290),"",IF(ISNUMBER(U290),IF(U290&gt;=0,U290,""),""))</f>
        <v/>
      </c>
      <c r="AW290" s="137" t="str">
        <f aca="false">IF(ISBLANK($C290),"",IF(V290=Constants!$B$2,TRUE(),IF(V290=Constants!$B$3,FALSE(),TRUE())))</f>
        <v/>
      </c>
      <c r="AX290" s="135" t="str">
        <f aca="false">IF(ISBLANK($C290),"",IF(ISNUMBER(W290),IF(W290&gt;=0,W290,""),""))</f>
        <v/>
      </c>
      <c r="AY290" s="135" t="str">
        <f aca="false">IF(ISBLANK($C290),"",IF(X290=Constants!$B$2,TRUE(),IF(X290=Constants!$B$3,FALSE(),FALSE())))</f>
        <v/>
      </c>
      <c r="AZ290" s="135" t="str">
        <f aca="false">IF(ISBLANK($C290),"",MIN(Constants!$B$25,MAX(0,IF(ISNUMBER(Y290),Y290*60,0)+IF(ISNUMBER(Z290),Z290,0))))</f>
        <v/>
      </c>
      <c r="BA290" s="135" t="str">
        <f aca="false">IF(ISBLANK($C290),"",IF(AA290=Constants!$B$2,TRUE(),IF(AA290=Constants!$B$3,FALSE(),FALSE())))</f>
        <v/>
      </c>
      <c r="BB290" s="134" t="str">
        <f aca="false">IF(ISBLANK($C290),"",AND($AL290,OR($AM290="",$AN290="",AND($AO290,$AP290=""))))</f>
        <v/>
      </c>
      <c r="BC290" s="137" t="str">
        <f aca="false">IF($BX290&lt;&gt;Constants!$B$6,"",IF($AL290,Constants!$B$17*$AN290+Constants!$B$18*IF($AO290,$AP290,Constants!$B$19),Constants!$B$20))</f>
        <v/>
      </c>
      <c r="BD290" s="138" t="str">
        <f aca="false">IF($BX290&lt;&gt;Constants!$B$6,"",Constants!$B$21*ABS($AD$9-IF($AL290,$AM290,0)))</f>
        <v/>
      </c>
      <c r="BE290" s="138" t="str">
        <f aca="false">IF($BX290&lt;&gt;Constants!$B$6,"",IF(AND($AL290,$AQ290,$AO290),Constants!$B$22,0))</f>
        <v/>
      </c>
      <c r="BF290" s="138" t="str">
        <f aca="false">IF($BX290&lt;&gt;Constants!$B$6,"",IF($AL290,($AI290-Constants!$B$24)*Constants!$B$23,0))</f>
        <v/>
      </c>
      <c r="BG290" s="138" t="str">
        <f aca="false">IF($BX290&lt;&gt;Constants!$B$6,"",IF($AK290,0,Constants!$B$12)+IF($AJ290,0,Constants!$B$13)+IF($AH290,0,Constants!$B$14))</f>
        <v/>
      </c>
      <c r="BH290" s="139" t="str">
        <f aca="false">IF($BX290&lt;&gt;Constants!$B$6,"",Constants!$B$16+SUM($BC290:$BG290))</f>
        <v/>
      </c>
      <c r="BI290" s="138" t="str">
        <f aca="false">IF($BX290&lt;&gt;Constants!$B$6,"",$BC290)</f>
        <v/>
      </c>
      <c r="BJ290" s="138" t="str">
        <f aca="false">IF($BX290&lt;&gt;Constants!$B$6,"",$BD290)</f>
        <v/>
      </c>
      <c r="BK290" s="140" t="str">
        <f aca="false">IF($BX290&lt;&gt;Constants!$B$6,"",IF($AL290,$AN290,""))</f>
        <v/>
      </c>
      <c r="BL290" s="135" t="str">
        <f aca="false">IF($BX290&lt;&gt;Constants!$B$6,"",IF(OR($BS290&lt;$BH290,AND($BS290=$BH290,OR($BT290&lt;$BI290,AND($BT290=$BI290,OR($BU290&lt;$BJ290,AND($BU290=$BJ290,AND(ISNUMBER($BV290),OR(NOT(ISNUMBER($BK290)),$BV290&lt;$BK290)))))))),"-&gt;","&lt;-"))</f>
        <v/>
      </c>
      <c r="BM290" s="134" t="str">
        <f aca="false">IF(ISBLANK($C290),"",AND($AT290,OR($AU290="",$AV290="",AND($AW290,$AX290=""))))</f>
        <v/>
      </c>
      <c r="BN290" s="137" t="str">
        <f aca="false">IF($BX290&lt;&gt;Constants!$B$6,"",IF($AT290,Constants!$B$17*$AV290+Constants!$B$18*IF($AW290,$AX290,Constants!$B$19),Constants!$B$20))</f>
        <v/>
      </c>
      <c r="BO290" s="138" t="str">
        <f aca="false">IF($BX290&lt;&gt;Constants!$B$6,"",Constants!$B$21*ABS($AD$9-IF($AT290,$AU290,0)))</f>
        <v/>
      </c>
      <c r="BP290" s="138" t="str">
        <f aca="false">IF($BX290&lt;&gt;Constants!$B$6,"",IF(AND($AT290,$AY290,$AW290),Constants!$B$22,0))</f>
        <v/>
      </c>
      <c r="BQ290" s="138" t="str">
        <f aca="false">IF($BX290&lt;&gt;Constants!$B$6,"",IF($AT290,($AI290-Constants!$B$24)*Constants!$B$23,0))</f>
        <v/>
      </c>
      <c r="BR290" s="138" t="str">
        <f aca="false">IF($BX290&lt;&gt;Constants!$B$6,"",IF($AS290,0,Constants!$B$12)+IF($AR290,0,Constants!$B$13)+IF($AH290,0,Constants!$B$14))</f>
        <v/>
      </c>
      <c r="BS290" s="139" t="str">
        <f aca="false">IF($BX290&lt;&gt;Constants!$B$6,"",Constants!$B$16+SUM($BN290:$BR290))</f>
        <v/>
      </c>
      <c r="BT290" s="138" t="str">
        <f aca="false">IF($BX290&lt;&gt;Constants!$B$6,"",$BN290)</f>
        <v/>
      </c>
      <c r="BU290" s="138" t="str">
        <f aca="false">IF($BX290&lt;&gt;Constants!$B$6,"",$BO290)</f>
        <v/>
      </c>
      <c r="BV290" s="140" t="str">
        <f aca="false">IF($BX290&lt;&gt;Constants!$B$6,"",IF($AT290,$AV290,""))</f>
        <v/>
      </c>
      <c r="BW290" s="135" t="str">
        <f aca="false">IF(ISBLANK($C290),"",IF(ISBLANK($D$7),$BW$5,IF(NOT(ISNUMBER($D$7)),$BW$6,"")))</f>
        <v/>
      </c>
      <c r="BX290" s="135" t="str">
        <f aca="false">IF(ISBLANK($C290),"",IF($BA290,Constants!$B$9,IF(COUNTA($E290:$AA290)=0,Constants!$B$8,IF(NOT($AG290),Constants!$B$7,IF(OR($BW290&lt;&gt;"",$BB290,$BM290),Constants!$B$10,Constants!$B$6)))))</f>
        <v/>
      </c>
      <c r="BY290" s="135" t="str">
        <f aca="false">IF(ISBLANK($C290),"",IF($BX290&lt;&gt;Constants!$B$6,$BX290,Constants!$B$11))</f>
        <v/>
      </c>
      <c r="BZ290" s="138" t="str">
        <f aca="false">IF($BX290&lt;&gt;Constants!$B$6,"",IF($BL290="-&gt;",$BS290,$BH290))</f>
        <v/>
      </c>
      <c r="CA290" s="138" t="str">
        <f aca="false">IF($BX290&lt;&gt;Constants!$B$6,"",IF($AF290,0,Constants!$B$15))</f>
        <v/>
      </c>
      <c r="CB290" s="138" t="str">
        <f aca="false">IF($BX290&lt;&gt;Constants!$B$6,"",((Constants!$B$25-$AZ290)-Constants!$B$25)/Constants!$B$26)</f>
        <v/>
      </c>
      <c r="CC290" s="138" t="str">
        <f aca="false">IF(ISBLANK($C290),"",IF($BX290&lt;&gt;Constants!$B$6,$BX290,SUM($BZ290:$CB290)))</f>
        <v/>
      </c>
      <c r="CD290" s="135" t="str">
        <f aca="false">IF(ISBLANK($C290),"",IF($BX290&lt;&gt;Constants!$B$6,$BX290,RANK($CC290,$CC$9:$CC$508,1)))</f>
        <v/>
      </c>
      <c r="CE290" s="138" t="str">
        <f aca="false">IF($BX290&lt;&gt;Constants!$B$6,"",IF($BL290="-&gt;",$BT290,$BI290))</f>
        <v/>
      </c>
      <c r="CF290" s="135" t="str">
        <f aca="false">IF(ISBLANK($C290),"",IF($BX290&lt;&gt;Constants!$B$6,$BX290,IF(ISNUMBER($CE290),RANK($CE290,$CE$9:$CE$508,1),COUNT($CE$9:$CE$508)+1)))</f>
        <v/>
      </c>
      <c r="CG290" s="138" t="str">
        <f aca="false">IF($BX290&lt;&gt;Constants!$B$6,"",IF($BL290="-&gt;",$BU290,$BJ290))</f>
        <v/>
      </c>
      <c r="CH290" s="135" t="str">
        <f aca="false">IF(ISBLANK($C290),"",IF($BX290&lt;&gt;Constants!$B$6,$BX290,IF(ISNUMBER($CG290),RANK($CG290,$CG$9:$CG$508,1),COUNT($CG$9:$CG$508)+1)))</f>
        <v/>
      </c>
      <c r="CI290" s="138" t="str">
        <f aca="false">IF($BX290&lt;&gt;Constants!$B$6,"",IF($BL290="-&gt;",$BV290,$BK290))</f>
        <v/>
      </c>
      <c r="CJ290" s="135" t="str">
        <f aca="false">IF(ISBLANK($C290),"",IF($BX290&lt;&gt;Constants!$B$6,$BX290,IF(ISNUMBER($CI290),RANK($CI290,$CI$9:$CI$508,1),COUNT($CI$9:$CI$508)+1)))</f>
        <v/>
      </c>
      <c r="CK290" s="138" t="str">
        <f aca="false">IF($BX290&lt;&gt;Constants!$B$6,"",$AI290)</f>
        <v/>
      </c>
      <c r="CL290" s="135" t="str">
        <f aca="false">IF(ISBLANK($C290),"",IF($BX290&lt;&gt;Constants!$B$6,$BX290,IF(ISNUMBER($CK290),RANK($CK290,$CK$9:$CK$508,1),COUNT($CK$9:$CK$508)+1)))</f>
        <v/>
      </c>
      <c r="CM290" s="135" t="str">
        <f aca="false">IF(ISBLANK($C290),"",IF($BX290&lt;&gt;Constants!$B$6,$BX290,COUNTIFS($CD$9:$CD$508,"&lt;"&amp;$CD290)+COUNTIFS($CD$9:$CD$508,$CD290,$CF$9:$CF$508,"&lt;"&amp;$CF290)+COUNTIFS($CD$9:$CD$508,$CD290,$CF$9:$CF$508,$CF290,$CH$9:$CH$508,"&lt;"&amp;$CH290)+COUNTIFS($CD$9:$CD$508,$CD290,$CF$9:$CF$508,$CF290,$CH$9:$CH$508,$CH290,$CJ$9:$CJ$508,"&lt;"&amp;$CJ290)+COUNTIFS($CD$9:$CD$508,$CD290,$CF$9:$CF$508,$CF290,$CH$9:$CH$508,$CH290,$CJ$9:$CJ$508,$CJ290,$CL$9:$CL$508,"&lt;"&amp;$CL290)+1))</f>
        <v/>
      </c>
      <c r="CN290" s="135" t="str">
        <f aca="false">IF(ISBLANK($C290),"",IF($BX290&lt;&gt;Constants!$B$6,$BX290,$CD290-$CM290))</f>
        <v/>
      </c>
      <c r="CO290" s="141"/>
      <c r="CP290" s="142"/>
      <c r="CQ290" s="143" t="str">
        <f aca="false">IF(ISBLANK($C290),"",IF($BX290=Constants!$B$10,$BW290,""))</f>
        <v/>
      </c>
      <c r="CR290" s="142" t="str">
        <f aca="false">IF(ISBLANK($C290),"",IF($BX290&lt;&gt;Constants!$B$6,"",IF($BL290="-&gt;",2,1)))</f>
        <v/>
      </c>
      <c r="CS290" s="144" t="str">
        <f aca="false">IF(ISBLANK($C290),"",IF($BX290&lt;&gt;Constants!$B$6,"",IF($BL290="-&gt;",$BN290,$BC290)))</f>
        <v/>
      </c>
      <c r="CT290" s="144" t="str">
        <f aca="false">IF(ISBLANK($C290),"",IF($BX290&lt;&gt;Constants!$B$6,"",IF($BL290="-&gt;",$BO290,$BD290)))</f>
        <v/>
      </c>
      <c r="CU290" s="144" t="str">
        <f aca="false">IF(ISBLANK($C290),"",IF($BX290&lt;&gt;Constants!$B$6,"",IF($BL290="-&gt;",$BP290+$BQ290,$BE290+$BF290)+$CB290))</f>
        <v/>
      </c>
      <c r="CV290" s="144" t="str">
        <f aca="false">IF(ISBLANK($C290),"",IF($BX290&lt;&gt;Constants!$B$6,"",IF($BL290="-&gt;",$BR290,$BG290)+$CA290))</f>
        <v/>
      </c>
      <c r="CW290" s="145" t="str">
        <f aca="false">IF(ISBLANK($C290),"",IF($BX290&lt;&gt;Constants!$B$6,$BX290,$CC290))</f>
        <v/>
      </c>
      <c r="CX290" s="146" t="str">
        <f aca="false">IF(ISBLANK($C290),"",$BY290)</f>
        <v/>
      </c>
      <c r="CY290" s="147" t="str">
        <f aca="false">IF(ISBLANK($C290),"",$CN290)</f>
        <v/>
      </c>
      <c r="CZ290" s="147" t="str">
        <f aca="false">IF(ISBLANK($C290),"",$CM290)</f>
        <v/>
      </c>
      <c r="DA290" s="148" t="str">
        <f aca="false">IF(ISBLANK($C290),"",IFERROR(_xlfn.SWITCH($CZ290,Constants!$B$9,COUNTA($C$9:$C$508)+2,Constants!$B$8,COUNTA($C$9:$C$508)+1,Constants!$B$7,COUNTA($C$9:$C$508)),$CZ290))</f>
        <v/>
      </c>
      <c r="DB290" s="9"/>
      <c r="DC290" s="149" t="n">
        <f aca="false">IF(OR(ISNUMBER($CZ290),$CZ290=Constants!$B$9,$CZ290=Constants!$B$7,$CZ290=Constants!$B$8),1,0)</f>
        <v>0</v>
      </c>
      <c r="DD290" s="149" t="n">
        <v>282</v>
      </c>
      <c r="DE290" s="149" t="str">
        <f aca="false">IF(ISBLANK($C290),"",IF(ISNUMBER($DA290),$DA290+ROW($B290)/1000,""))</f>
        <v/>
      </c>
      <c r="DF290" s="149" t="str">
        <f aca="false">IF(ISNUMBER($DE290),RANK($DE290,$DE$9:$DE$508,1),"")</f>
        <v/>
      </c>
      <c r="DG290" s="149" t="str">
        <f aca="false">IF(ISBLANK($C290),"",$B290)</f>
        <v/>
      </c>
      <c r="DH290" s="149" t="str">
        <f aca="false">IF(ISBLANK($C290),"",$C290)</f>
        <v/>
      </c>
      <c r="DI290" s="149" t="str">
        <f aca="false">IF(ISBLANK($C290),"",$D290)</f>
        <v/>
      </c>
      <c r="DJ290" s="150" t="str">
        <f aca="false">$CX290</f>
        <v/>
      </c>
      <c r="DK290" s="151" t="str">
        <f aca="false">$CW290</f>
        <v/>
      </c>
      <c r="DL290" s="149" t="str">
        <f aca="false">IF(ISBLANK($C290),"",$CZ290)</f>
        <v/>
      </c>
      <c r="DM290" s="152" t="str">
        <f aca="false">IF($DD290&gt;$DC$8,"",VLOOKUP($DD290,$DF$9:$DL$508,7,FALSE()))</f>
        <v/>
      </c>
      <c r="DN290" s="153" t="str">
        <f aca="false">IF($DD290&gt;$DC$8,"",VLOOKUP($DD290,$DF$9:$DL$508,2,FALSE()))</f>
        <v/>
      </c>
      <c r="DO290" s="153" t="str">
        <f aca="false">IF($DD290&gt;$DC$8,"",VLOOKUP($DD290,$DF$9:$DL$508,3,FALSE()))</f>
        <v/>
      </c>
      <c r="DP290" s="153" t="str">
        <f aca="false">IF($DD290&gt;$DC$8,"",VLOOKUP($DD290,$DF$9:$DL$508,4,FALSE()))</f>
        <v/>
      </c>
      <c r="DQ290" s="153" t="str">
        <f aca="false">IF($DD290&gt;$DC$8,"",VLOOKUP($DD290,$DF$9:$DL$508,5,FALSE()))</f>
        <v/>
      </c>
      <c r="DR290" s="154" t="str">
        <f aca="false">IF($DD290&gt;$DC$8,"",VLOOKUP($DD290,$DF$9:$DL$508,6,FALSE()))</f>
        <v/>
      </c>
      <c r="DS290" s="76"/>
    </row>
    <row r="291" customFormat="false" ht="15.75" hidden="false" customHeight="false" outlineLevel="0" collapsed="false">
      <c r="A291" s="9"/>
      <c r="B291" s="78"/>
      <c r="C291" s="79"/>
      <c r="D291" s="170"/>
      <c r="E291" s="178"/>
      <c r="F291" s="172"/>
      <c r="G291" s="173"/>
      <c r="H291" s="173"/>
      <c r="I291" s="179"/>
      <c r="J291" s="176"/>
      <c r="K291" s="86"/>
      <c r="L291" s="87"/>
      <c r="M291" s="88"/>
      <c r="N291" s="176"/>
      <c r="O291" s="176"/>
      <c r="P291" s="178"/>
      <c r="Q291" s="176"/>
      <c r="R291" s="176"/>
      <c r="S291" s="86"/>
      <c r="T291" s="88"/>
      <c r="U291" s="88"/>
      <c r="V291" s="176"/>
      <c r="W291" s="176"/>
      <c r="X291" s="178"/>
      <c r="Y291" s="176"/>
      <c r="Z291" s="177"/>
      <c r="AA291" s="176"/>
      <c r="AB291" s="92"/>
      <c r="AC291" s="93"/>
      <c r="AD291" s="93"/>
      <c r="AE291" s="93"/>
      <c r="AF291" s="93" t="str">
        <f aca="false">IF(ISBLANK($C291),"",IF(E291=Constants!$B$2,TRUE(),IF(E291=Constants!$B$3,FALSE(),TRUE())))</f>
        <v/>
      </c>
      <c r="AG291" s="93" t="str">
        <f aca="false">IF(ISBLANK($C291),"",IF(F291=Constants!$B$2,TRUE(),IF(F291=Constants!$B$3,FALSE(),TRUE())))</f>
        <v/>
      </c>
      <c r="AH291" s="93" t="str">
        <f aca="false">IF(ISBLANK($C291),"",IF(G291=Constants!$B$2,TRUE(),IF(G291=Constants!$B$3,FALSE(),TRUE())))</f>
        <v/>
      </c>
      <c r="AI291" s="93" t="str">
        <f aca="false">IF(ISBLANK($C291),"",IF(AND(ISNUMBER(H291),H291&gt;=0),H291,Constants!$B$24))</f>
        <v/>
      </c>
      <c r="AJ291" s="93" t="str">
        <f aca="false">IF(ISBLANK($C291),"",IF(I291=Constants!$B$2,TRUE(),IF(I291=Constants!$B$3,FALSE(),TRUE())))</f>
        <v/>
      </c>
      <c r="AK291" s="93" t="str">
        <f aca="false">IF(ISBLANK($C291),"",IF(J291=Constants!$B$2,TRUE(),IF(J291=Constants!$B$3,FALSE(),TRUE())))</f>
        <v/>
      </c>
      <c r="AL291" s="93" t="str">
        <f aca="false">IF(ISBLANK($C291),"",IF(K291=Constants!$B$4,TRUE(),IF(K291=Constants!$B$5,FALSE(),COUNTA(L291:P291)&gt;0)))</f>
        <v/>
      </c>
      <c r="AM291" s="95" t="str">
        <f aca="false">IF(ISBLANK($C291),"",IF(ISNUMBER(L291),IF(L291&gt;=0,L291,""),""))</f>
        <v/>
      </c>
      <c r="AN291" s="94" t="str">
        <f aca="false">IF(ISBLANK($C291),"",IF(ISNUMBER(M291),IF(M291&gt;=0,M291,""),""))</f>
        <v/>
      </c>
      <c r="AO291" s="94" t="str">
        <f aca="false">IF(ISBLANK($C291),"",IF(N291=Constants!$B$2,TRUE(),IF(N291=Constants!$B$3,FALSE(),TRUE())))</f>
        <v/>
      </c>
      <c r="AP291" s="93" t="str">
        <f aca="false">IF(ISBLANK($C291),"",IF(ISNUMBER(O291),IF(O291&gt;=0,O291,""),""))</f>
        <v/>
      </c>
      <c r="AQ291" s="93" t="str">
        <f aca="false">IF(ISBLANK($C291),"",IF(P291=Constants!$B$2,TRUE(),IF(P291=Constants!$B$3,FALSE(),FALSE())))</f>
        <v/>
      </c>
      <c r="AR291" s="93" t="str">
        <f aca="false">IF(ISBLANK($C291),"",IF(Q291=Constants!$B$2,TRUE(),IF(Q291=Constants!$B$3,FALSE(),TRUE())))</f>
        <v/>
      </c>
      <c r="AS291" s="93" t="str">
        <f aca="false">IF(ISBLANK($C291),"",IF(R291=Constants!$B$2,TRUE(),IF(R291=Constants!$B$3,FALSE(),TRUE())))</f>
        <v/>
      </c>
      <c r="AT291" s="93" t="str">
        <f aca="false">IF(ISBLANK($C291),"",IF(S291=Constants!$B$4,TRUE(),IF(S291=Constants!$B$5,FALSE(),COUNTA(T291:X291)&gt;0)))</f>
        <v/>
      </c>
      <c r="AU291" s="95" t="str">
        <f aca="false">IF(ISBLANK($C291),"",IF(ISNUMBER(T291),IF(T291&gt;=0,T291,""),""))</f>
        <v/>
      </c>
      <c r="AV291" s="94" t="str">
        <f aca="false">IF(ISBLANK($C291),"",IF(ISNUMBER(U291),IF(U291&gt;=0,U291,""),""))</f>
        <v/>
      </c>
      <c r="AW291" s="94" t="str">
        <f aca="false">IF(ISBLANK($C291),"",IF(V291=Constants!$B$2,TRUE(),IF(V291=Constants!$B$3,FALSE(),TRUE())))</f>
        <v/>
      </c>
      <c r="AX291" s="93" t="str">
        <f aca="false">IF(ISBLANK($C291),"",IF(ISNUMBER(W291),IF(W291&gt;=0,W291,""),""))</f>
        <v/>
      </c>
      <c r="AY291" s="93" t="str">
        <f aca="false">IF(ISBLANK($C291),"",IF(X291=Constants!$B$2,TRUE(),IF(X291=Constants!$B$3,FALSE(),FALSE())))</f>
        <v/>
      </c>
      <c r="AZ291" s="93" t="str">
        <f aca="false">IF(ISBLANK($C291),"",MIN(Constants!$B$25,MAX(0,IF(ISNUMBER(Y291),Y291*60,0)+IF(ISNUMBER(Z291),Z291,0))))</f>
        <v/>
      </c>
      <c r="BA291" s="93" t="str">
        <f aca="false">IF(ISBLANK($C291),"",IF(AA291=Constants!$B$2,TRUE(),IF(AA291=Constants!$B$3,FALSE(),FALSE())))</f>
        <v/>
      </c>
      <c r="BB291" s="92" t="str">
        <f aca="false">IF(ISBLANK($C291),"",AND($AL291,OR($AM291="",$AN291="",AND($AO291,$AP291=""))))</f>
        <v/>
      </c>
      <c r="BC291" s="94" t="str">
        <f aca="false">IF($BX291&lt;&gt;Constants!$B$6,"",IF($AL291,Constants!$B$17*$AN291+Constants!$B$18*IF($AO291,$AP291,Constants!$B$19),Constants!$B$20))</f>
        <v/>
      </c>
      <c r="BD291" s="97" t="str">
        <f aca="false">IF($BX291&lt;&gt;Constants!$B$6,"",Constants!$B$21*ABS($AD$9-IF($AL291,$AM291,0)))</f>
        <v/>
      </c>
      <c r="BE291" s="97" t="str">
        <f aca="false">IF($BX291&lt;&gt;Constants!$B$6,"",IF(AND($AL291,$AQ291,$AO291),Constants!$B$22,0))</f>
        <v/>
      </c>
      <c r="BF291" s="97" t="str">
        <f aca="false">IF($BX291&lt;&gt;Constants!$B$6,"",IF($AL291,($AI291-Constants!$B$24)*Constants!$B$23,0))</f>
        <v/>
      </c>
      <c r="BG291" s="97" t="str">
        <f aca="false">IF($BX291&lt;&gt;Constants!$B$6,"",IF($AK291,0,Constants!$B$12)+IF($AJ291,0,Constants!$B$13)+IF($AH291,0,Constants!$B$14))</f>
        <v/>
      </c>
      <c r="BH291" s="98" t="str">
        <f aca="false">IF($BX291&lt;&gt;Constants!$B$6,"",Constants!$B$16+SUM($BC291:$BG291))</f>
        <v/>
      </c>
      <c r="BI291" s="97" t="str">
        <f aca="false">IF($BX291&lt;&gt;Constants!$B$6,"",$BC291)</f>
        <v/>
      </c>
      <c r="BJ291" s="97" t="str">
        <f aca="false">IF($BX291&lt;&gt;Constants!$B$6,"",$BD291)</f>
        <v/>
      </c>
      <c r="BK291" s="99" t="str">
        <f aca="false">IF($BX291&lt;&gt;Constants!$B$6,"",IF($AL291,$AN291,""))</f>
        <v/>
      </c>
      <c r="BL291" s="93" t="str">
        <f aca="false">IF($BX291&lt;&gt;Constants!$B$6,"",IF(OR($BS291&lt;$BH291,AND($BS291=$BH291,OR($BT291&lt;$BI291,AND($BT291=$BI291,OR($BU291&lt;$BJ291,AND($BU291=$BJ291,AND(ISNUMBER($BV291),OR(NOT(ISNUMBER($BK291)),$BV291&lt;$BK291)))))))),"-&gt;","&lt;-"))</f>
        <v/>
      </c>
      <c r="BM291" s="92" t="str">
        <f aca="false">IF(ISBLANK($C291),"",AND($AT291,OR($AU291="",$AV291="",AND($AW291,$AX291=""))))</f>
        <v/>
      </c>
      <c r="BN291" s="94" t="str">
        <f aca="false">IF($BX291&lt;&gt;Constants!$B$6,"",IF($AT291,Constants!$B$17*$AV291+Constants!$B$18*IF($AW291,$AX291,Constants!$B$19),Constants!$B$20))</f>
        <v/>
      </c>
      <c r="BO291" s="97" t="str">
        <f aca="false">IF($BX291&lt;&gt;Constants!$B$6,"",Constants!$B$21*ABS($AD$9-IF($AT291,$AU291,0)))</f>
        <v/>
      </c>
      <c r="BP291" s="97" t="str">
        <f aca="false">IF($BX291&lt;&gt;Constants!$B$6,"",IF(AND($AT291,$AY291,$AW291),Constants!$B$22,0))</f>
        <v/>
      </c>
      <c r="BQ291" s="97" t="str">
        <f aca="false">IF($BX291&lt;&gt;Constants!$B$6,"",IF($AT291,($AI291-Constants!$B$24)*Constants!$B$23,0))</f>
        <v/>
      </c>
      <c r="BR291" s="97" t="str">
        <f aca="false">IF($BX291&lt;&gt;Constants!$B$6,"",IF($AS291,0,Constants!$B$12)+IF($AR291,0,Constants!$B$13)+IF($AH291,0,Constants!$B$14))</f>
        <v/>
      </c>
      <c r="BS291" s="98" t="str">
        <f aca="false">IF($BX291&lt;&gt;Constants!$B$6,"",Constants!$B$16+SUM($BN291:$BR291))</f>
        <v/>
      </c>
      <c r="BT291" s="97" t="str">
        <f aca="false">IF($BX291&lt;&gt;Constants!$B$6,"",$BN291)</f>
        <v/>
      </c>
      <c r="BU291" s="97" t="str">
        <f aca="false">IF($BX291&lt;&gt;Constants!$B$6,"",$BO291)</f>
        <v/>
      </c>
      <c r="BV291" s="99" t="str">
        <f aca="false">IF($BX291&lt;&gt;Constants!$B$6,"",IF($AT291,$AV291,""))</f>
        <v/>
      </c>
      <c r="BW291" s="93" t="str">
        <f aca="false">IF(ISBLANK($C291),"",IF(ISBLANK($D$7),$BW$5,IF(NOT(ISNUMBER($D$7)),$BW$6,"")))</f>
        <v/>
      </c>
      <c r="BX291" s="93" t="str">
        <f aca="false">IF(ISBLANK($C291),"",IF($BA291,Constants!$B$9,IF(COUNTA($E291:$AA291)=0,Constants!$B$8,IF(NOT($AG291),Constants!$B$7,IF(OR($BW291&lt;&gt;"",$BB291,$BM291),Constants!$B$10,Constants!$B$6)))))</f>
        <v/>
      </c>
      <c r="BY291" s="93" t="str">
        <f aca="false">IF(ISBLANK($C291),"",IF($BX291&lt;&gt;Constants!$B$6,$BX291,Constants!$B$11))</f>
        <v/>
      </c>
      <c r="BZ291" s="97" t="str">
        <f aca="false">IF($BX291&lt;&gt;Constants!$B$6,"",IF($BL291="-&gt;",$BS291,$BH291))</f>
        <v/>
      </c>
      <c r="CA291" s="97" t="str">
        <f aca="false">IF($BX291&lt;&gt;Constants!$B$6,"",IF($AF291,0,Constants!$B$15))</f>
        <v/>
      </c>
      <c r="CB291" s="97" t="str">
        <f aca="false">IF($BX291&lt;&gt;Constants!$B$6,"",((Constants!$B$25-$AZ291)-Constants!$B$25)/Constants!$B$26)</f>
        <v/>
      </c>
      <c r="CC291" s="97" t="str">
        <f aca="false">IF(ISBLANK($C291),"",IF($BX291&lt;&gt;Constants!$B$6,$BX291,SUM($BZ291:$CB291)))</f>
        <v/>
      </c>
      <c r="CD291" s="93" t="str">
        <f aca="false">IF(ISBLANK($C291),"",IF($BX291&lt;&gt;Constants!$B$6,$BX291,RANK($CC291,$CC$9:$CC$508,1)))</f>
        <v/>
      </c>
      <c r="CE291" s="97" t="str">
        <f aca="false">IF($BX291&lt;&gt;Constants!$B$6,"",IF($BL291="-&gt;",$BT291,$BI291))</f>
        <v/>
      </c>
      <c r="CF291" s="93" t="str">
        <f aca="false">IF(ISBLANK($C291),"",IF($BX291&lt;&gt;Constants!$B$6,$BX291,IF(ISNUMBER($CE291),RANK($CE291,$CE$9:$CE$508,1),COUNT($CE$9:$CE$508)+1)))</f>
        <v/>
      </c>
      <c r="CG291" s="97" t="str">
        <f aca="false">IF($BX291&lt;&gt;Constants!$B$6,"",IF($BL291="-&gt;",$BU291,$BJ291))</f>
        <v/>
      </c>
      <c r="CH291" s="93" t="str">
        <f aca="false">IF(ISBLANK($C291),"",IF($BX291&lt;&gt;Constants!$B$6,$BX291,IF(ISNUMBER($CG291),RANK($CG291,$CG$9:$CG$508,1),COUNT($CG$9:$CG$508)+1)))</f>
        <v/>
      </c>
      <c r="CI291" s="97" t="str">
        <f aca="false">IF($BX291&lt;&gt;Constants!$B$6,"",IF($BL291="-&gt;",$BV291,$BK291))</f>
        <v/>
      </c>
      <c r="CJ291" s="93" t="str">
        <f aca="false">IF(ISBLANK($C291),"",IF($BX291&lt;&gt;Constants!$B$6,$BX291,IF(ISNUMBER($CI291),RANK($CI291,$CI$9:$CI$508,1),COUNT($CI$9:$CI$508)+1)))</f>
        <v/>
      </c>
      <c r="CK291" s="97" t="str">
        <f aca="false">IF($BX291&lt;&gt;Constants!$B$6,"",$AI291)</f>
        <v/>
      </c>
      <c r="CL291" s="93" t="str">
        <f aca="false">IF(ISBLANK($C291),"",IF($BX291&lt;&gt;Constants!$B$6,$BX291,IF(ISNUMBER($CK291),RANK($CK291,$CK$9:$CK$508,1),COUNT($CK$9:$CK$508)+1)))</f>
        <v/>
      </c>
      <c r="CM291" s="93" t="str">
        <f aca="false">IF(ISBLANK($C291),"",IF($BX291&lt;&gt;Constants!$B$6,$BX291,COUNTIFS($CD$9:$CD$508,"&lt;"&amp;$CD291)+COUNTIFS($CD$9:$CD$508,$CD291,$CF$9:$CF$508,"&lt;"&amp;$CF291)+COUNTIFS($CD$9:$CD$508,$CD291,$CF$9:$CF$508,$CF291,$CH$9:$CH$508,"&lt;"&amp;$CH291)+COUNTIFS($CD$9:$CD$508,$CD291,$CF$9:$CF$508,$CF291,$CH$9:$CH$508,$CH291,$CJ$9:$CJ$508,"&lt;"&amp;$CJ291)+COUNTIFS($CD$9:$CD$508,$CD291,$CF$9:$CF$508,$CF291,$CH$9:$CH$508,$CH291,$CJ$9:$CJ$508,$CJ291,$CL$9:$CL$508,"&lt;"&amp;$CL291)+1))</f>
        <v/>
      </c>
      <c r="CN291" s="93" t="str">
        <f aca="false">IF(ISBLANK($C291),"",IF($BX291&lt;&gt;Constants!$B$6,$BX291,$CD291-$CM291))</f>
        <v/>
      </c>
      <c r="CO291" s="100"/>
      <c r="CP291" s="101"/>
      <c r="CQ291" s="102" t="str">
        <f aca="false">IF(ISBLANK($C291),"",IF($BX291=Constants!$B$10,$BW291,""))</f>
        <v/>
      </c>
      <c r="CR291" s="101" t="str">
        <f aca="false">IF(ISBLANK($C291),"",IF($BX291&lt;&gt;Constants!$B$6,"",IF($BL291="-&gt;",2,1)))</f>
        <v/>
      </c>
      <c r="CS291" s="103" t="str">
        <f aca="false">IF(ISBLANK($C291),"",IF($BX291&lt;&gt;Constants!$B$6,"",IF($BL291="-&gt;",$BN291,$BC291)))</f>
        <v/>
      </c>
      <c r="CT291" s="103" t="str">
        <f aca="false">IF(ISBLANK($C291),"",IF($BX291&lt;&gt;Constants!$B$6,"",IF($BL291="-&gt;",$BO291,$BD291)))</f>
        <v/>
      </c>
      <c r="CU291" s="103" t="str">
        <f aca="false">IF(ISBLANK($C291),"",IF($BX291&lt;&gt;Constants!$B$6,"",IF($BL291="-&gt;",$BP291+$BQ291,$BE291+$BF291)+$CB291))</f>
        <v/>
      </c>
      <c r="CV291" s="103" t="str">
        <f aca="false">IF(ISBLANK($C291),"",IF($BX291&lt;&gt;Constants!$B$6,"",IF($BL291="-&gt;",$BR291,$BG291)+$CA291))</f>
        <v/>
      </c>
      <c r="CW291" s="104" t="str">
        <f aca="false">IF(ISBLANK($C291),"",IF($BX291&lt;&gt;Constants!$B$6,$BX291,$CC291))</f>
        <v/>
      </c>
      <c r="CX291" s="105" t="str">
        <f aca="false">IF(ISBLANK($C291),"",$BY291)</f>
        <v/>
      </c>
      <c r="CY291" s="106" t="str">
        <f aca="false">IF(ISBLANK($C291),"",$CN291)</f>
        <v/>
      </c>
      <c r="CZ291" s="106" t="str">
        <f aca="false">IF(ISBLANK($C291),"",$CM291)</f>
        <v/>
      </c>
      <c r="DA291" s="107" t="str">
        <f aca="false">IF(ISBLANK($C291),"",IFERROR(_xlfn.SWITCH($CZ291,Constants!$B$9,COUNTA($C$9:$C$508)+2,Constants!$B$8,COUNTA($C$9:$C$508)+1,Constants!$B$7,COUNTA($C$9:$C$508)),$CZ291))</f>
        <v/>
      </c>
      <c r="DB291" s="9"/>
      <c r="DC291" s="108" t="n">
        <f aca="false">IF(OR(ISNUMBER($CZ291),$CZ291=Constants!$B$9,$CZ291=Constants!$B$7,$CZ291=Constants!$B$8),1,0)</f>
        <v>0</v>
      </c>
      <c r="DD291" s="108" t="n">
        <v>283</v>
      </c>
      <c r="DE291" s="108" t="str">
        <f aca="false">IF(ISBLANK($C291),"",IF(ISNUMBER($DA291),$DA291+ROW($B291)/1000,""))</f>
        <v/>
      </c>
      <c r="DF291" s="108" t="str">
        <f aca="false">IF(ISNUMBER($DE291),RANK($DE291,$DE$9:$DE$508,1),"")</f>
        <v/>
      </c>
      <c r="DG291" s="108" t="str">
        <f aca="false">IF(ISBLANK($C291),"",$B291)</f>
        <v/>
      </c>
      <c r="DH291" s="108" t="str">
        <f aca="false">IF(ISBLANK($C291),"",$C291)</f>
        <v/>
      </c>
      <c r="DI291" s="108" t="str">
        <f aca="false">IF(ISBLANK($C291),"",$D291)</f>
        <v/>
      </c>
      <c r="DJ291" s="109" t="str">
        <f aca="false">$CX291</f>
        <v/>
      </c>
      <c r="DK291" s="110" t="str">
        <f aca="false">$CW291</f>
        <v/>
      </c>
      <c r="DL291" s="108" t="str">
        <f aca="false">IF(ISBLANK($C291),"",$CZ291)</f>
        <v/>
      </c>
      <c r="DM291" s="111" t="str">
        <f aca="false">IF($DD291&gt;$DC$8,"",VLOOKUP($DD291,$DF$9:$DL$508,7,FALSE()))</f>
        <v/>
      </c>
      <c r="DN291" s="112" t="str">
        <f aca="false">IF($DD291&gt;$DC$8,"",VLOOKUP($DD291,$DF$9:$DL$508,2,FALSE()))</f>
        <v/>
      </c>
      <c r="DO291" s="112" t="str">
        <f aca="false">IF($DD291&gt;$DC$8,"",VLOOKUP($DD291,$DF$9:$DL$508,3,FALSE()))</f>
        <v/>
      </c>
      <c r="DP291" s="112" t="str">
        <f aca="false">IF($DD291&gt;$DC$8,"",VLOOKUP($DD291,$DF$9:$DL$508,4,FALSE()))</f>
        <v/>
      </c>
      <c r="DQ291" s="112" t="str">
        <f aca="false">IF($DD291&gt;$DC$8,"",VLOOKUP($DD291,$DF$9:$DL$508,5,FALSE()))</f>
        <v/>
      </c>
      <c r="DR291" s="113" t="str">
        <f aca="false">IF($DD291&gt;$DC$8,"",VLOOKUP($DD291,$DF$9:$DL$508,6,FALSE()))</f>
        <v/>
      </c>
      <c r="DS291" s="76"/>
    </row>
    <row r="292" customFormat="false" ht="15.75" hidden="false" customHeight="false" outlineLevel="0" collapsed="false">
      <c r="A292" s="9"/>
      <c r="B292" s="78"/>
      <c r="C292" s="79"/>
      <c r="D292" s="170"/>
      <c r="E292" s="178"/>
      <c r="F292" s="172"/>
      <c r="G292" s="173"/>
      <c r="H292" s="173"/>
      <c r="I292" s="179"/>
      <c r="J292" s="176"/>
      <c r="K292" s="86"/>
      <c r="L292" s="87"/>
      <c r="M292" s="88"/>
      <c r="N292" s="176"/>
      <c r="O292" s="176"/>
      <c r="P292" s="178"/>
      <c r="Q292" s="176"/>
      <c r="R292" s="176"/>
      <c r="S292" s="86"/>
      <c r="T292" s="88"/>
      <c r="U292" s="88"/>
      <c r="V292" s="176"/>
      <c r="W292" s="176"/>
      <c r="X292" s="178"/>
      <c r="Y292" s="176"/>
      <c r="Z292" s="177"/>
      <c r="AA292" s="176"/>
      <c r="AB292" s="92"/>
      <c r="AC292" s="93"/>
      <c r="AD292" s="93"/>
      <c r="AE292" s="93"/>
      <c r="AF292" s="93" t="str">
        <f aca="false">IF(ISBLANK($C292),"",IF(E292=Constants!$B$2,TRUE(),IF(E292=Constants!$B$3,FALSE(),TRUE())))</f>
        <v/>
      </c>
      <c r="AG292" s="93" t="str">
        <f aca="false">IF(ISBLANK($C292),"",IF(F292=Constants!$B$2,TRUE(),IF(F292=Constants!$B$3,FALSE(),TRUE())))</f>
        <v/>
      </c>
      <c r="AH292" s="93" t="str">
        <f aca="false">IF(ISBLANK($C292),"",IF(G292=Constants!$B$2,TRUE(),IF(G292=Constants!$B$3,FALSE(),TRUE())))</f>
        <v/>
      </c>
      <c r="AI292" s="93" t="str">
        <f aca="false">IF(ISBLANK($C292),"",IF(AND(ISNUMBER(H292),H292&gt;=0),H292,Constants!$B$24))</f>
        <v/>
      </c>
      <c r="AJ292" s="93" t="str">
        <f aca="false">IF(ISBLANK($C292),"",IF(I292=Constants!$B$2,TRUE(),IF(I292=Constants!$B$3,FALSE(),TRUE())))</f>
        <v/>
      </c>
      <c r="AK292" s="93" t="str">
        <f aca="false">IF(ISBLANK($C292),"",IF(J292=Constants!$B$2,TRUE(),IF(J292=Constants!$B$3,FALSE(),TRUE())))</f>
        <v/>
      </c>
      <c r="AL292" s="93" t="str">
        <f aca="false">IF(ISBLANK($C292),"",IF(K292=Constants!$B$4,TRUE(),IF(K292=Constants!$B$5,FALSE(),COUNTA(L292:P292)&gt;0)))</f>
        <v/>
      </c>
      <c r="AM292" s="95" t="str">
        <f aca="false">IF(ISBLANK($C292),"",IF(ISNUMBER(L292),IF(L292&gt;=0,L292,""),""))</f>
        <v/>
      </c>
      <c r="AN292" s="94" t="str">
        <f aca="false">IF(ISBLANK($C292),"",IF(ISNUMBER(M292),IF(M292&gt;=0,M292,""),""))</f>
        <v/>
      </c>
      <c r="AO292" s="94" t="str">
        <f aca="false">IF(ISBLANK($C292),"",IF(N292=Constants!$B$2,TRUE(),IF(N292=Constants!$B$3,FALSE(),TRUE())))</f>
        <v/>
      </c>
      <c r="AP292" s="93" t="str">
        <f aca="false">IF(ISBLANK($C292),"",IF(ISNUMBER(O292),IF(O292&gt;=0,O292,""),""))</f>
        <v/>
      </c>
      <c r="AQ292" s="93" t="str">
        <f aca="false">IF(ISBLANK($C292),"",IF(P292=Constants!$B$2,TRUE(),IF(P292=Constants!$B$3,FALSE(),FALSE())))</f>
        <v/>
      </c>
      <c r="AR292" s="93" t="str">
        <f aca="false">IF(ISBLANK($C292),"",IF(Q292=Constants!$B$2,TRUE(),IF(Q292=Constants!$B$3,FALSE(),TRUE())))</f>
        <v/>
      </c>
      <c r="AS292" s="93" t="str">
        <f aca="false">IF(ISBLANK($C292),"",IF(R292=Constants!$B$2,TRUE(),IF(R292=Constants!$B$3,FALSE(),TRUE())))</f>
        <v/>
      </c>
      <c r="AT292" s="93" t="str">
        <f aca="false">IF(ISBLANK($C292),"",IF(S292=Constants!$B$4,TRUE(),IF(S292=Constants!$B$5,FALSE(),COUNTA(T292:X292)&gt;0)))</f>
        <v/>
      </c>
      <c r="AU292" s="95" t="str">
        <f aca="false">IF(ISBLANK($C292),"",IF(ISNUMBER(T292),IF(T292&gt;=0,T292,""),""))</f>
        <v/>
      </c>
      <c r="AV292" s="94" t="str">
        <f aca="false">IF(ISBLANK($C292),"",IF(ISNUMBER(U292),IF(U292&gt;=0,U292,""),""))</f>
        <v/>
      </c>
      <c r="AW292" s="94" t="str">
        <f aca="false">IF(ISBLANK($C292),"",IF(V292=Constants!$B$2,TRUE(),IF(V292=Constants!$B$3,FALSE(),TRUE())))</f>
        <v/>
      </c>
      <c r="AX292" s="93" t="str">
        <f aca="false">IF(ISBLANK($C292),"",IF(ISNUMBER(W292),IF(W292&gt;=0,W292,""),""))</f>
        <v/>
      </c>
      <c r="AY292" s="93" t="str">
        <f aca="false">IF(ISBLANK($C292),"",IF(X292=Constants!$B$2,TRUE(),IF(X292=Constants!$B$3,FALSE(),FALSE())))</f>
        <v/>
      </c>
      <c r="AZ292" s="93" t="str">
        <f aca="false">IF(ISBLANK($C292),"",MIN(Constants!$B$25,MAX(0,IF(ISNUMBER(Y292),Y292*60,0)+IF(ISNUMBER(Z292),Z292,0))))</f>
        <v/>
      </c>
      <c r="BA292" s="93" t="str">
        <f aca="false">IF(ISBLANK($C292),"",IF(AA292=Constants!$B$2,TRUE(),IF(AA292=Constants!$B$3,FALSE(),FALSE())))</f>
        <v/>
      </c>
      <c r="BB292" s="92" t="str">
        <f aca="false">IF(ISBLANK($C292),"",AND($AL292,OR($AM292="",$AN292="",AND($AO292,$AP292=""))))</f>
        <v/>
      </c>
      <c r="BC292" s="94" t="str">
        <f aca="false">IF($BX292&lt;&gt;Constants!$B$6,"",IF($AL292,Constants!$B$17*$AN292+Constants!$B$18*IF($AO292,$AP292,Constants!$B$19),Constants!$B$20))</f>
        <v/>
      </c>
      <c r="BD292" s="97" t="str">
        <f aca="false">IF($BX292&lt;&gt;Constants!$B$6,"",Constants!$B$21*ABS($AD$9-IF($AL292,$AM292,0)))</f>
        <v/>
      </c>
      <c r="BE292" s="97" t="str">
        <f aca="false">IF($BX292&lt;&gt;Constants!$B$6,"",IF(AND($AL292,$AQ292,$AO292),Constants!$B$22,0))</f>
        <v/>
      </c>
      <c r="BF292" s="97" t="str">
        <f aca="false">IF($BX292&lt;&gt;Constants!$B$6,"",IF($AL292,($AI292-Constants!$B$24)*Constants!$B$23,0))</f>
        <v/>
      </c>
      <c r="BG292" s="97" t="str">
        <f aca="false">IF($BX292&lt;&gt;Constants!$B$6,"",IF($AK292,0,Constants!$B$12)+IF($AJ292,0,Constants!$B$13)+IF($AH292,0,Constants!$B$14))</f>
        <v/>
      </c>
      <c r="BH292" s="98" t="str">
        <f aca="false">IF($BX292&lt;&gt;Constants!$B$6,"",Constants!$B$16+SUM($BC292:$BG292))</f>
        <v/>
      </c>
      <c r="BI292" s="97" t="str">
        <f aca="false">IF($BX292&lt;&gt;Constants!$B$6,"",$BC292)</f>
        <v/>
      </c>
      <c r="BJ292" s="97" t="str">
        <f aca="false">IF($BX292&lt;&gt;Constants!$B$6,"",$BD292)</f>
        <v/>
      </c>
      <c r="BK292" s="99" t="str">
        <f aca="false">IF($BX292&lt;&gt;Constants!$B$6,"",IF($AL292,$AN292,""))</f>
        <v/>
      </c>
      <c r="BL292" s="93" t="str">
        <f aca="false">IF($BX292&lt;&gt;Constants!$B$6,"",IF(OR($BS292&lt;$BH292,AND($BS292=$BH292,OR($BT292&lt;$BI292,AND($BT292=$BI292,OR($BU292&lt;$BJ292,AND($BU292=$BJ292,AND(ISNUMBER($BV292),OR(NOT(ISNUMBER($BK292)),$BV292&lt;$BK292)))))))),"-&gt;","&lt;-"))</f>
        <v/>
      </c>
      <c r="BM292" s="92" t="str">
        <f aca="false">IF(ISBLANK($C292),"",AND($AT292,OR($AU292="",$AV292="",AND($AW292,$AX292=""))))</f>
        <v/>
      </c>
      <c r="BN292" s="94" t="str">
        <f aca="false">IF($BX292&lt;&gt;Constants!$B$6,"",IF($AT292,Constants!$B$17*$AV292+Constants!$B$18*IF($AW292,$AX292,Constants!$B$19),Constants!$B$20))</f>
        <v/>
      </c>
      <c r="BO292" s="97" t="str">
        <f aca="false">IF($BX292&lt;&gt;Constants!$B$6,"",Constants!$B$21*ABS($AD$9-IF($AT292,$AU292,0)))</f>
        <v/>
      </c>
      <c r="BP292" s="97" t="str">
        <f aca="false">IF($BX292&lt;&gt;Constants!$B$6,"",IF(AND($AT292,$AY292,$AW292),Constants!$B$22,0))</f>
        <v/>
      </c>
      <c r="BQ292" s="97" t="str">
        <f aca="false">IF($BX292&lt;&gt;Constants!$B$6,"",IF($AT292,($AI292-Constants!$B$24)*Constants!$B$23,0))</f>
        <v/>
      </c>
      <c r="BR292" s="97" t="str">
        <f aca="false">IF($BX292&lt;&gt;Constants!$B$6,"",IF($AS292,0,Constants!$B$12)+IF($AR292,0,Constants!$B$13)+IF($AH292,0,Constants!$B$14))</f>
        <v/>
      </c>
      <c r="BS292" s="98" t="str">
        <f aca="false">IF($BX292&lt;&gt;Constants!$B$6,"",Constants!$B$16+SUM($BN292:$BR292))</f>
        <v/>
      </c>
      <c r="BT292" s="97" t="str">
        <f aca="false">IF($BX292&lt;&gt;Constants!$B$6,"",$BN292)</f>
        <v/>
      </c>
      <c r="BU292" s="97" t="str">
        <f aca="false">IF($BX292&lt;&gt;Constants!$B$6,"",$BO292)</f>
        <v/>
      </c>
      <c r="BV292" s="99" t="str">
        <f aca="false">IF($BX292&lt;&gt;Constants!$B$6,"",IF($AT292,$AV292,""))</f>
        <v/>
      </c>
      <c r="BW292" s="93" t="str">
        <f aca="false">IF(ISBLANK($C292),"",IF(ISBLANK($D$7),$BW$5,IF(NOT(ISNUMBER($D$7)),$BW$6,"")))</f>
        <v/>
      </c>
      <c r="BX292" s="93" t="str">
        <f aca="false">IF(ISBLANK($C292),"",IF($BA292,Constants!$B$9,IF(COUNTA($E292:$AA292)=0,Constants!$B$8,IF(NOT($AG292),Constants!$B$7,IF(OR($BW292&lt;&gt;"",$BB292,$BM292),Constants!$B$10,Constants!$B$6)))))</f>
        <v/>
      </c>
      <c r="BY292" s="93" t="str">
        <f aca="false">IF(ISBLANK($C292),"",IF($BX292&lt;&gt;Constants!$B$6,$BX292,Constants!$B$11))</f>
        <v/>
      </c>
      <c r="BZ292" s="97" t="str">
        <f aca="false">IF($BX292&lt;&gt;Constants!$B$6,"",IF($BL292="-&gt;",$BS292,$BH292))</f>
        <v/>
      </c>
      <c r="CA292" s="97" t="str">
        <f aca="false">IF($BX292&lt;&gt;Constants!$B$6,"",IF($AF292,0,Constants!$B$15))</f>
        <v/>
      </c>
      <c r="CB292" s="97" t="str">
        <f aca="false">IF($BX292&lt;&gt;Constants!$B$6,"",((Constants!$B$25-$AZ292)-Constants!$B$25)/Constants!$B$26)</f>
        <v/>
      </c>
      <c r="CC292" s="97" t="str">
        <f aca="false">IF(ISBLANK($C292),"",IF($BX292&lt;&gt;Constants!$B$6,$BX292,SUM($BZ292:$CB292)))</f>
        <v/>
      </c>
      <c r="CD292" s="93" t="str">
        <f aca="false">IF(ISBLANK($C292),"",IF($BX292&lt;&gt;Constants!$B$6,$BX292,RANK($CC292,$CC$9:$CC$508,1)))</f>
        <v/>
      </c>
      <c r="CE292" s="97" t="str">
        <f aca="false">IF($BX292&lt;&gt;Constants!$B$6,"",IF($BL292="-&gt;",$BT292,$BI292))</f>
        <v/>
      </c>
      <c r="CF292" s="93" t="str">
        <f aca="false">IF(ISBLANK($C292),"",IF($BX292&lt;&gt;Constants!$B$6,$BX292,IF(ISNUMBER($CE292),RANK($CE292,$CE$9:$CE$508,1),COUNT($CE$9:$CE$508)+1)))</f>
        <v/>
      </c>
      <c r="CG292" s="97" t="str">
        <f aca="false">IF($BX292&lt;&gt;Constants!$B$6,"",IF($BL292="-&gt;",$BU292,$BJ292))</f>
        <v/>
      </c>
      <c r="CH292" s="93" t="str">
        <f aca="false">IF(ISBLANK($C292),"",IF($BX292&lt;&gt;Constants!$B$6,$BX292,IF(ISNUMBER($CG292),RANK($CG292,$CG$9:$CG$508,1),COUNT($CG$9:$CG$508)+1)))</f>
        <v/>
      </c>
      <c r="CI292" s="97" t="str">
        <f aca="false">IF($BX292&lt;&gt;Constants!$B$6,"",IF($BL292="-&gt;",$BV292,$BK292))</f>
        <v/>
      </c>
      <c r="CJ292" s="93" t="str">
        <f aca="false">IF(ISBLANK($C292),"",IF($BX292&lt;&gt;Constants!$B$6,$BX292,IF(ISNUMBER($CI292),RANK($CI292,$CI$9:$CI$508,1),COUNT($CI$9:$CI$508)+1)))</f>
        <v/>
      </c>
      <c r="CK292" s="97" t="str">
        <f aca="false">IF($BX292&lt;&gt;Constants!$B$6,"",$AI292)</f>
        <v/>
      </c>
      <c r="CL292" s="93" t="str">
        <f aca="false">IF(ISBLANK($C292),"",IF($BX292&lt;&gt;Constants!$B$6,$BX292,IF(ISNUMBER($CK292),RANK($CK292,$CK$9:$CK$508,1),COUNT($CK$9:$CK$508)+1)))</f>
        <v/>
      </c>
      <c r="CM292" s="93" t="str">
        <f aca="false">IF(ISBLANK($C292),"",IF($BX292&lt;&gt;Constants!$B$6,$BX292,COUNTIFS($CD$9:$CD$508,"&lt;"&amp;$CD292)+COUNTIFS($CD$9:$CD$508,$CD292,$CF$9:$CF$508,"&lt;"&amp;$CF292)+COUNTIFS($CD$9:$CD$508,$CD292,$CF$9:$CF$508,$CF292,$CH$9:$CH$508,"&lt;"&amp;$CH292)+COUNTIFS($CD$9:$CD$508,$CD292,$CF$9:$CF$508,$CF292,$CH$9:$CH$508,$CH292,$CJ$9:$CJ$508,"&lt;"&amp;$CJ292)+COUNTIFS($CD$9:$CD$508,$CD292,$CF$9:$CF$508,$CF292,$CH$9:$CH$508,$CH292,$CJ$9:$CJ$508,$CJ292,$CL$9:$CL$508,"&lt;"&amp;$CL292)+1))</f>
        <v/>
      </c>
      <c r="CN292" s="93" t="str">
        <f aca="false">IF(ISBLANK($C292),"",IF($BX292&lt;&gt;Constants!$B$6,$BX292,$CD292-$CM292))</f>
        <v/>
      </c>
      <c r="CO292" s="100"/>
      <c r="CP292" s="101"/>
      <c r="CQ292" s="102" t="str">
        <f aca="false">IF(ISBLANK($C292),"",IF($BX292=Constants!$B$10,$BW292,""))</f>
        <v/>
      </c>
      <c r="CR292" s="101" t="str">
        <f aca="false">IF(ISBLANK($C292),"",IF($BX292&lt;&gt;Constants!$B$6,"",IF($BL292="-&gt;",2,1)))</f>
        <v/>
      </c>
      <c r="CS292" s="103" t="str">
        <f aca="false">IF(ISBLANK($C292),"",IF($BX292&lt;&gt;Constants!$B$6,"",IF($BL292="-&gt;",$BN292,$BC292)))</f>
        <v/>
      </c>
      <c r="CT292" s="103" t="str">
        <f aca="false">IF(ISBLANK($C292),"",IF($BX292&lt;&gt;Constants!$B$6,"",IF($BL292="-&gt;",$BO292,$BD292)))</f>
        <v/>
      </c>
      <c r="CU292" s="103" t="str">
        <f aca="false">IF(ISBLANK($C292),"",IF($BX292&lt;&gt;Constants!$B$6,"",IF($BL292="-&gt;",$BP292+$BQ292,$BE292+$BF292)+$CB292))</f>
        <v/>
      </c>
      <c r="CV292" s="103" t="str">
        <f aca="false">IF(ISBLANK($C292),"",IF($BX292&lt;&gt;Constants!$B$6,"",IF($BL292="-&gt;",$BR292,$BG292)+$CA292))</f>
        <v/>
      </c>
      <c r="CW292" s="104" t="str">
        <f aca="false">IF(ISBLANK($C292),"",IF($BX292&lt;&gt;Constants!$B$6,$BX292,$CC292))</f>
        <v/>
      </c>
      <c r="CX292" s="105" t="str">
        <f aca="false">IF(ISBLANK($C292),"",$BY292)</f>
        <v/>
      </c>
      <c r="CY292" s="106" t="str">
        <f aca="false">IF(ISBLANK($C292),"",$CN292)</f>
        <v/>
      </c>
      <c r="CZ292" s="106" t="str">
        <f aca="false">IF(ISBLANK($C292),"",$CM292)</f>
        <v/>
      </c>
      <c r="DA292" s="107" t="str">
        <f aca="false">IF(ISBLANK($C292),"",IFERROR(_xlfn.SWITCH($CZ292,Constants!$B$9,COUNTA($C$9:$C$508)+2,Constants!$B$8,COUNTA($C$9:$C$508)+1,Constants!$B$7,COUNTA($C$9:$C$508)),$CZ292))</f>
        <v/>
      </c>
      <c r="DB292" s="9"/>
      <c r="DC292" s="108" t="n">
        <f aca="false">IF(OR(ISNUMBER($CZ292),$CZ292=Constants!$B$9,$CZ292=Constants!$B$7,$CZ292=Constants!$B$8),1,0)</f>
        <v>0</v>
      </c>
      <c r="DD292" s="108" t="n">
        <v>284</v>
      </c>
      <c r="DE292" s="108" t="str">
        <f aca="false">IF(ISBLANK($C292),"",IF(ISNUMBER($DA292),$DA292+ROW($B292)/1000,""))</f>
        <v/>
      </c>
      <c r="DF292" s="108" t="str">
        <f aca="false">IF(ISNUMBER($DE292),RANK($DE292,$DE$9:$DE$508,1),"")</f>
        <v/>
      </c>
      <c r="DG292" s="108" t="str">
        <f aca="false">IF(ISBLANK($C292),"",$B292)</f>
        <v/>
      </c>
      <c r="DH292" s="108" t="str">
        <f aca="false">IF(ISBLANK($C292),"",$C292)</f>
        <v/>
      </c>
      <c r="DI292" s="108" t="str">
        <f aca="false">IF(ISBLANK($C292),"",$D292)</f>
        <v/>
      </c>
      <c r="DJ292" s="109" t="str">
        <f aca="false">$CX292</f>
        <v/>
      </c>
      <c r="DK292" s="110" t="str">
        <f aca="false">$CW292</f>
        <v/>
      </c>
      <c r="DL292" s="108" t="str">
        <f aca="false">IF(ISBLANK($C292),"",$CZ292)</f>
        <v/>
      </c>
      <c r="DM292" s="111" t="str">
        <f aca="false">IF($DD292&gt;$DC$8,"",VLOOKUP($DD292,$DF$9:$DL$508,7,FALSE()))</f>
        <v/>
      </c>
      <c r="DN292" s="112" t="str">
        <f aca="false">IF($DD292&gt;$DC$8,"",VLOOKUP($DD292,$DF$9:$DL$508,2,FALSE()))</f>
        <v/>
      </c>
      <c r="DO292" s="112" t="str">
        <f aca="false">IF($DD292&gt;$DC$8,"",VLOOKUP($DD292,$DF$9:$DL$508,3,FALSE()))</f>
        <v/>
      </c>
      <c r="DP292" s="112" t="str">
        <f aca="false">IF($DD292&gt;$DC$8,"",VLOOKUP($DD292,$DF$9:$DL$508,4,FALSE()))</f>
        <v/>
      </c>
      <c r="DQ292" s="112" t="str">
        <f aca="false">IF($DD292&gt;$DC$8,"",VLOOKUP($DD292,$DF$9:$DL$508,5,FALSE()))</f>
        <v/>
      </c>
      <c r="DR292" s="113" t="str">
        <f aca="false">IF($DD292&gt;$DC$8,"",VLOOKUP($DD292,$DF$9:$DL$508,6,FALSE()))</f>
        <v/>
      </c>
      <c r="DS292" s="76"/>
    </row>
    <row r="293" customFormat="false" ht="15.75" hidden="false" customHeight="false" outlineLevel="0" collapsed="false">
      <c r="A293" s="9"/>
      <c r="B293" s="78"/>
      <c r="C293" s="79"/>
      <c r="D293" s="170"/>
      <c r="E293" s="178"/>
      <c r="F293" s="172"/>
      <c r="G293" s="173"/>
      <c r="H293" s="173"/>
      <c r="I293" s="179"/>
      <c r="J293" s="176"/>
      <c r="K293" s="86"/>
      <c r="L293" s="87"/>
      <c r="M293" s="88"/>
      <c r="N293" s="176"/>
      <c r="O293" s="176"/>
      <c r="P293" s="178"/>
      <c r="Q293" s="176"/>
      <c r="R293" s="176"/>
      <c r="S293" s="86"/>
      <c r="T293" s="88"/>
      <c r="U293" s="88"/>
      <c r="V293" s="176"/>
      <c r="W293" s="176"/>
      <c r="X293" s="178"/>
      <c r="Y293" s="176"/>
      <c r="Z293" s="177"/>
      <c r="AA293" s="176"/>
      <c r="AB293" s="92"/>
      <c r="AC293" s="93"/>
      <c r="AD293" s="93"/>
      <c r="AE293" s="93"/>
      <c r="AF293" s="93" t="str">
        <f aca="false">IF(ISBLANK($C293),"",IF(E293=Constants!$B$2,TRUE(),IF(E293=Constants!$B$3,FALSE(),TRUE())))</f>
        <v/>
      </c>
      <c r="AG293" s="93" t="str">
        <f aca="false">IF(ISBLANK($C293),"",IF(F293=Constants!$B$2,TRUE(),IF(F293=Constants!$B$3,FALSE(),TRUE())))</f>
        <v/>
      </c>
      <c r="AH293" s="93" t="str">
        <f aca="false">IF(ISBLANK($C293),"",IF(G293=Constants!$B$2,TRUE(),IF(G293=Constants!$B$3,FALSE(),TRUE())))</f>
        <v/>
      </c>
      <c r="AI293" s="93" t="str">
        <f aca="false">IF(ISBLANK($C293),"",IF(AND(ISNUMBER(H293),H293&gt;=0),H293,Constants!$B$24))</f>
        <v/>
      </c>
      <c r="AJ293" s="93" t="str">
        <f aca="false">IF(ISBLANK($C293),"",IF(I293=Constants!$B$2,TRUE(),IF(I293=Constants!$B$3,FALSE(),TRUE())))</f>
        <v/>
      </c>
      <c r="AK293" s="93" t="str">
        <f aca="false">IF(ISBLANK($C293),"",IF(J293=Constants!$B$2,TRUE(),IF(J293=Constants!$B$3,FALSE(),TRUE())))</f>
        <v/>
      </c>
      <c r="AL293" s="93" t="str">
        <f aca="false">IF(ISBLANK($C293),"",IF(K293=Constants!$B$4,TRUE(),IF(K293=Constants!$B$5,FALSE(),COUNTA(L293:P293)&gt;0)))</f>
        <v/>
      </c>
      <c r="AM293" s="95" t="str">
        <f aca="false">IF(ISBLANK($C293),"",IF(ISNUMBER(L293),IF(L293&gt;=0,L293,""),""))</f>
        <v/>
      </c>
      <c r="AN293" s="94" t="str">
        <f aca="false">IF(ISBLANK($C293),"",IF(ISNUMBER(M293),IF(M293&gt;=0,M293,""),""))</f>
        <v/>
      </c>
      <c r="AO293" s="94" t="str">
        <f aca="false">IF(ISBLANK($C293),"",IF(N293=Constants!$B$2,TRUE(),IF(N293=Constants!$B$3,FALSE(),TRUE())))</f>
        <v/>
      </c>
      <c r="AP293" s="93" t="str">
        <f aca="false">IF(ISBLANK($C293),"",IF(ISNUMBER(O293),IF(O293&gt;=0,O293,""),""))</f>
        <v/>
      </c>
      <c r="AQ293" s="93" t="str">
        <f aca="false">IF(ISBLANK($C293),"",IF(P293=Constants!$B$2,TRUE(),IF(P293=Constants!$B$3,FALSE(),FALSE())))</f>
        <v/>
      </c>
      <c r="AR293" s="93" t="str">
        <f aca="false">IF(ISBLANK($C293),"",IF(Q293=Constants!$B$2,TRUE(),IF(Q293=Constants!$B$3,FALSE(),TRUE())))</f>
        <v/>
      </c>
      <c r="AS293" s="93" t="str">
        <f aca="false">IF(ISBLANK($C293),"",IF(R293=Constants!$B$2,TRUE(),IF(R293=Constants!$B$3,FALSE(),TRUE())))</f>
        <v/>
      </c>
      <c r="AT293" s="93" t="str">
        <f aca="false">IF(ISBLANK($C293),"",IF(S293=Constants!$B$4,TRUE(),IF(S293=Constants!$B$5,FALSE(),COUNTA(T293:X293)&gt;0)))</f>
        <v/>
      </c>
      <c r="AU293" s="95" t="str">
        <f aca="false">IF(ISBLANK($C293),"",IF(ISNUMBER(T293),IF(T293&gt;=0,T293,""),""))</f>
        <v/>
      </c>
      <c r="AV293" s="94" t="str">
        <f aca="false">IF(ISBLANK($C293),"",IF(ISNUMBER(U293),IF(U293&gt;=0,U293,""),""))</f>
        <v/>
      </c>
      <c r="AW293" s="94" t="str">
        <f aca="false">IF(ISBLANK($C293),"",IF(V293=Constants!$B$2,TRUE(),IF(V293=Constants!$B$3,FALSE(),TRUE())))</f>
        <v/>
      </c>
      <c r="AX293" s="93" t="str">
        <f aca="false">IF(ISBLANK($C293),"",IF(ISNUMBER(W293),IF(W293&gt;=0,W293,""),""))</f>
        <v/>
      </c>
      <c r="AY293" s="93" t="str">
        <f aca="false">IF(ISBLANK($C293),"",IF(X293=Constants!$B$2,TRUE(),IF(X293=Constants!$B$3,FALSE(),FALSE())))</f>
        <v/>
      </c>
      <c r="AZ293" s="93" t="str">
        <f aca="false">IF(ISBLANK($C293),"",MIN(Constants!$B$25,MAX(0,IF(ISNUMBER(Y293),Y293*60,0)+IF(ISNUMBER(Z293),Z293,0))))</f>
        <v/>
      </c>
      <c r="BA293" s="93" t="str">
        <f aca="false">IF(ISBLANK($C293),"",IF(AA293=Constants!$B$2,TRUE(),IF(AA293=Constants!$B$3,FALSE(),FALSE())))</f>
        <v/>
      </c>
      <c r="BB293" s="92" t="str">
        <f aca="false">IF(ISBLANK($C293),"",AND($AL293,OR($AM293="",$AN293="",AND($AO293,$AP293=""))))</f>
        <v/>
      </c>
      <c r="BC293" s="94" t="str">
        <f aca="false">IF($BX293&lt;&gt;Constants!$B$6,"",IF($AL293,Constants!$B$17*$AN293+Constants!$B$18*IF($AO293,$AP293,Constants!$B$19),Constants!$B$20))</f>
        <v/>
      </c>
      <c r="BD293" s="97" t="str">
        <f aca="false">IF($BX293&lt;&gt;Constants!$B$6,"",Constants!$B$21*ABS($AD$9-IF($AL293,$AM293,0)))</f>
        <v/>
      </c>
      <c r="BE293" s="97" t="str">
        <f aca="false">IF($BX293&lt;&gt;Constants!$B$6,"",IF(AND($AL293,$AQ293,$AO293),Constants!$B$22,0))</f>
        <v/>
      </c>
      <c r="BF293" s="97" t="str">
        <f aca="false">IF($BX293&lt;&gt;Constants!$B$6,"",IF($AL293,($AI293-Constants!$B$24)*Constants!$B$23,0))</f>
        <v/>
      </c>
      <c r="BG293" s="97" t="str">
        <f aca="false">IF($BX293&lt;&gt;Constants!$B$6,"",IF($AK293,0,Constants!$B$12)+IF($AJ293,0,Constants!$B$13)+IF($AH293,0,Constants!$B$14))</f>
        <v/>
      </c>
      <c r="BH293" s="98" t="str">
        <f aca="false">IF($BX293&lt;&gt;Constants!$B$6,"",Constants!$B$16+SUM($BC293:$BG293))</f>
        <v/>
      </c>
      <c r="BI293" s="97" t="str">
        <f aca="false">IF($BX293&lt;&gt;Constants!$B$6,"",$BC293)</f>
        <v/>
      </c>
      <c r="BJ293" s="97" t="str">
        <f aca="false">IF($BX293&lt;&gt;Constants!$B$6,"",$BD293)</f>
        <v/>
      </c>
      <c r="BK293" s="99" t="str">
        <f aca="false">IF($BX293&lt;&gt;Constants!$B$6,"",IF($AL293,$AN293,""))</f>
        <v/>
      </c>
      <c r="BL293" s="93" t="str">
        <f aca="false">IF($BX293&lt;&gt;Constants!$B$6,"",IF(OR($BS293&lt;$BH293,AND($BS293=$BH293,OR($BT293&lt;$BI293,AND($BT293=$BI293,OR($BU293&lt;$BJ293,AND($BU293=$BJ293,AND(ISNUMBER($BV293),OR(NOT(ISNUMBER($BK293)),$BV293&lt;$BK293)))))))),"-&gt;","&lt;-"))</f>
        <v/>
      </c>
      <c r="BM293" s="92" t="str">
        <f aca="false">IF(ISBLANK($C293),"",AND($AT293,OR($AU293="",$AV293="",AND($AW293,$AX293=""))))</f>
        <v/>
      </c>
      <c r="BN293" s="94" t="str">
        <f aca="false">IF($BX293&lt;&gt;Constants!$B$6,"",IF($AT293,Constants!$B$17*$AV293+Constants!$B$18*IF($AW293,$AX293,Constants!$B$19),Constants!$B$20))</f>
        <v/>
      </c>
      <c r="BO293" s="97" t="str">
        <f aca="false">IF($BX293&lt;&gt;Constants!$B$6,"",Constants!$B$21*ABS($AD$9-IF($AT293,$AU293,0)))</f>
        <v/>
      </c>
      <c r="BP293" s="97" t="str">
        <f aca="false">IF($BX293&lt;&gt;Constants!$B$6,"",IF(AND($AT293,$AY293,$AW293),Constants!$B$22,0))</f>
        <v/>
      </c>
      <c r="BQ293" s="97" t="str">
        <f aca="false">IF($BX293&lt;&gt;Constants!$B$6,"",IF($AT293,($AI293-Constants!$B$24)*Constants!$B$23,0))</f>
        <v/>
      </c>
      <c r="BR293" s="97" t="str">
        <f aca="false">IF($BX293&lt;&gt;Constants!$B$6,"",IF($AS293,0,Constants!$B$12)+IF($AR293,0,Constants!$B$13)+IF($AH293,0,Constants!$B$14))</f>
        <v/>
      </c>
      <c r="BS293" s="98" t="str">
        <f aca="false">IF($BX293&lt;&gt;Constants!$B$6,"",Constants!$B$16+SUM($BN293:$BR293))</f>
        <v/>
      </c>
      <c r="BT293" s="97" t="str">
        <f aca="false">IF($BX293&lt;&gt;Constants!$B$6,"",$BN293)</f>
        <v/>
      </c>
      <c r="BU293" s="97" t="str">
        <f aca="false">IF($BX293&lt;&gt;Constants!$B$6,"",$BO293)</f>
        <v/>
      </c>
      <c r="BV293" s="99" t="str">
        <f aca="false">IF($BX293&lt;&gt;Constants!$B$6,"",IF($AT293,$AV293,""))</f>
        <v/>
      </c>
      <c r="BW293" s="93" t="str">
        <f aca="false">IF(ISBLANK($C293),"",IF(ISBLANK($D$7),$BW$5,IF(NOT(ISNUMBER($D$7)),$BW$6,"")))</f>
        <v/>
      </c>
      <c r="BX293" s="93" t="str">
        <f aca="false">IF(ISBLANK($C293),"",IF($BA293,Constants!$B$9,IF(COUNTA($E293:$AA293)=0,Constants!$B$8,IF(NOT($AG293),Constants!$B$7,IF(OR($BW293&lt;&gt;"",$BB293,$BM293),Constants!$B$10,Constants!$B$6)))))</f>
        <v/>
      </c>
      <c r="BY293" s="93" t="str">
        <f aca="false">IF(ISBLANK($C293),"",IF($BX293&lt;&gt;Constants!$B$6,$BX293,Constants!$B$11))</f>
        <v/>
      </c>
      <c r="BZ293" s="97" t="str">
        <f aca="false">IF($BX293&lt;&gt;Constants!$B$6,"",IF($BL293="-&gt;",$BS293,$BH293))</f>
        <v/>
      </c>
      <c r="CA293" s="97" t="str">
        <f aca="false">IF($BX293&lt;&gt;Constants!$B$6,"",IF($AF293,0,Constants!$B$15))</f>
        <v/>
      </c>
      <c r="CB293" s="97" t="str">
        <f aca="false">IF($BX293&lt;&gt;Constants!$B$6,"",((Constants!$B$25-$AZ293)-Constants!$B$25)/Constants!$B$26)</f>
        <v/>
      </c>
      <c r="CC293" s="97" t="str">
        <f aca="false">IF(ISBLANK($C293),"",IF($BX293&lt;&gt;Constants!$B$6,$BX293,SUM($BZ293:$CB293)))</f>
        <v/>
      </c>
      <c r="CD293" s="93" t="str">
        <f aca="false">IF(ISBLANK($C293),"",IF($BX293&lt;&gt;Constants!$B$6,$BX293,RANK($CC293,$CC$9:$CC$508,1)))</f>
        <v/>
      </c>
      <c r="CE293" s="97" t="str">
        <f aca="false">IF($BX293&lt;&gt;Constants!$B$6,"",IF($BL293="-&gt;",$BT293,$BI293))</f>
        <v/>
      </c>
      <c r="CF293" s="93" t="str">
        <f aca="false">IF(ISBLANK($C293),"",IF($BX293&lt;&gt;Constants!$B$6,$BX293,IF(ISNUMBER($CE293),RANK($CE293,$CE$9:$CE$508,1),COUNT($CE$9:$CE$508)+1)))</f>
        <v/>
      </c>
      <c r="CG293" s="97" t="str">
        <f aca="false">IF($BX293&lt;&gt;Constants!$B$6,"",IF($BL293="-&gt;",$BU293,$BJ293))</f>
        <v/>
      </c>
      <c r="CH293" s="93" t="str">
        <f aca="false">IF(ISBLANK($C293),"",IF($BX293&lt;&gt;Constants!$B$6,$BX293,IF(ISNUMBER($CG293),RANK($CG293,$CG$9:$CG$508,1),COUNT($CG$9:$CG$508)+1)))</f>
        <v/>
      </c>
      <c r="CI293" s="97" t="str">
        <f aca="false">IF($BX293&lt;&gt;Constants!$B$6,"",IF($BL293="-&gt;",$BV293,$BK293))</f>
        <v/>
      </c>
      <c r="CJ293" s="93" t="str">
        <f aca="false">IF(ISBLANK($C293),"",IF($BX293&lt;&gt;Constants!$B$6,$BX293,IF(ISNUMBER($CI293),RANK($CI293,$CI$9:$CI$508,1),COUNT($CI$9:$CI$508)+1)))</f>
        <v/>
      </c>
      <c r="CK293" s="97" t="str">
        <f aca="false">IF($BX293&lt;&gt;Constants!$B$6,"",$AI293)</f>
        <v/>
      </c>
      <c r="CL293" s="93" t="str">
        <f aca="false">IF(ISBLANK($C293),"",IF($BX293&lt;&gt;Constants!$B$6,$BX293,IF(ISNUMBER($CK293),RANK($CK293,$CK$9:$CK$508,1),COUNT($CK$9:$CK$508)+1)))</f>
        <v/>
      </c>
      <c r="CM293" s="93" t="str">
        <f aca="false">IF(ISBLANK($C293),"",IF($BX293&lt;&gt;Constants!$B$6,$BX293,COUNTIFS($CD$9:$CD$508,"&lt;"&amp;$CD293)+COUNTIFS($CD$9:$CD$508,$CD293,$CF$9:$CF$508,"&lt;"&amp;$CF293)+COUNTIFS($CD$9:$CD$508,$CD293,$CF$9:$CF$508,$CF293,$CH$9:$CH$508,"&lt;"&amp;$CH293)+COUNTIFS($CD$9:$CD$508,$CD293,$CF$9:$CF$508,$CF293,$CH$9:$CH$508,$CH293,$CJ$9:$CJ$508,"&lt;"&amp;$CJ293)+COUNTIFS($CD$9:$CD$508,$CD293,$CF$9:$CF$508,$CF293,$CH$9:$CH$508,$CH293,$CJ$9:$CJ$508,$CJ293,$CL$9:$CL$508,"&lt;"&amp;$CL293)+1))</f>
        <v/>
      </c>
      <c r="CN293" s="93" t="str">
        <f aca="false">IF(ISBLANK($C293),"",IF($BX293&lt;&gt;Constants!$B$6,$BX293,$CD293-$CM293))</f>
        <v/>
      </c>
      <c r="CO293" s="100"/>
      <c r="CP293" s="101"/>
      <c r="CQ293" s="102" t="str">
        <f aca="false">IF(ISBLANK($C293),"",IF($BX293=Constants!$B$10,$BW293,""))</f>
        <v/>
      </c>
      <c r="CR293" s="101" t="str">
        <f aca="false">IF(ISBLANK($C293),"",IF($BX293&lt;&gt;Constants!$B$6,"",IF($BL293="-&gt;",2,1)))</f>
        <v/>
      </c>
      <c r="CS293" s="103" t="str">
        <f aca="false">IF(ISBLANK($C293),"",IF($BX293&lt;&gt;Constants!$B$6,"",IF($BL293="-&gt;",$BN293,$BC293)))</f>
        <v/>
      </c>
      <c r="CT293" s="103" t="str">
        <f aca="false">IF(ISBLANK($C293),"",IF($BX293&lt;&gt;Constants!$B$6,"",IF($BL293="-&gt;",$BO293,$BD293)))</f>
        <v/>
      </c>
      <c r="CU293" s="103" t="str">
        <f aca="false">IF(ISBLANK($C293),"",IF($BX293&lt;&gt;Constants!$B$6,"",IF($BL293="-&gt;",$BP293+$BQ293,$BE293+$BF293)+$CB293))</f>
        <v/>
      </c>
      <c r="CV293" s="103" t="str">
        <f aca="false">IF(ISBLANK($C293),"",IF($BX293&lt;&gt;Constants!$B$6,"",IF($BL293="-&gt;",$BR293,$BG293)+$CA293))</f>
        <v/>
      </c>
      <c r="CW293" s="104" t="str">
        <f aca="false">IF(ISBLANK($C293),"",IF($BX293&lt;&gt;Constants!$B$6,$BX293,$CC293))</f>
        <v/>
      </c>
      <c r="CX293" s="105" t="str">
        <f aca="false">IF(ISBLANK($C293),"",$BY293)</f>
        <v/>
      </c>
      <c r="CY293" s="106" t="str">
        <f aca="false">IF(ISBLANK($C293),"",$CN293)</f>
        <v/>
      </c>
      <c r="CZ293" s="106" t="str">
        <f aca="false">IF(ISBLANK($C293),"",$CM293)</f>
        <v/>
      </c>
      <c r="DA293" s="107" t="str">
        <f aca="false">IF(ISBLANK($C293),"",IFERROR(_xlfn.SWITCH($CZ293,Constants!$B$9,COUNTA($C$9:$C$508)+2,Constants!$B$8,COUNTA($C$9:$C$508)+1,Constants!$B$7,COUNTA($C$9:$C$508)),$CZ293))</f>
        <v/>
      </c>
      <c r="DB293" s="9"/>
      <c r="DC293" s="108" t="n">
        <f aca="false">IF(OR(ISNUMBER($CZ293),$CZ293=Constants!$B$9,$CZ293=Constants!$B$7,$CZ293=Constants!$B$8),1,0)</f>
        <v>0</v>
      </c>
      <c r="DD293" s="108" t="n">
        <v>285</v>
      </c>
      <c r="DE293" s="108" t="str">
        <f aca="false">IF(ISBLANK($C293),"",IF(ISNUMBER($DA293),$DA293+ROW($B293)/1000,""))</f>
        <v/>
      </c>
      <c r="DF293" s="108" t="str">
        <f aca="false">IF(ISNUMBER($DE293),RANK($DE293,$DE$9:$DE$508,1),"")</f>
        <v/>
      </c>
      <c r="DG293" s="108" t="str">
        <f aca="false">IF(ISBLANK($C293),"",$B293)</f>
        <v/>
      </c>
      <c r="DH293" s="108" t="str">
        <f aca="false">IF(ISBLANK($C293),"",$C293)</f>
        <v/>
      </c>
      <c r="DI293" s="108" t="str">
        <f aca="false">IF(ISBLANK($C293),"",$D293)</f>
        <v/>
      </c>
      <c r="DJ293" s="109" t="str">
        <f aca="false">$CX293</f>
        <v/>
      </c>
      <c r="DK293" s="110" t="str">
        <f aca="false">$CW293</f>
        <v/>
      </c>
      <c r="DL293" s="108" t="str">
        <f aca="false">IF(ISBLANK($C293),"",$CZ293)</f>
        <v/>
      </c>
      <c r="DM293" s="111" t="str">
        <f aca="false">IF($DD293&gt;$DC$8,"",VLOOKUP($DD293,$DF$9:$DL$508,7,FALSE()))</f>
        <v/>
      </c>
      <c r="DN293" s="112" t="str">
        <f aca="false">IF($DD293&gt;$DC$8,"",VLOOKUP($DD293,$DF$9:$DL$508,2,FALSE()))</f>
        <v/>
      </c>
      <c r="DO293" s="112" t="str">
        <f aca="false">IF($DD293&gt;$DC$8,"",VLOOKUP($DD293,$DF$9:$DL$508,3,FALSE()))</f>
        <v/>
      </c>
      <c r="DP293" s="112" t="str">
        <f aca="false">IF($DD293&gt;$DC$8,"",VLOOKUP($DD293,$DF$9:$DL$508,4,FALSE()))</f>
        <v/>
      </c>
      <c r="DQ293" s="112" t="str">
        <f aca="false">IF($DD293&gt;$DC$8,"",VLOOKUP($DD293,$DF$9:$DL$508,5,FALSE()))</f>
        <v/>
      </c>
      <c r="DR293" s="113" t="str">
        <f aca="false">IF($DD293&gt;$DC$8,"",VLOOKUP($DD293,$DF$9:$DL$508,6,FALSE()))</f>
        <v/>
      </c>
      <c r="DS293" s="76"/>
    </row>
    <row r="294" customFormat="false" ht="15.75" hidden="false" customHeight="false" outlineLevel="0" collapsed="false">
      <c r="A294" s="9"/>
      <c r="B294" s="160"/>
      <c r="C294" s="161"/>
      <c r="D294" s="162"/>
      <c r="E294" s="180"/>
      <c r="F294" s="164"/>
      <c r="G294" s="165"/>
      <c r="H294" s="165"/>
      <c r="I294" s="181"/>
      <c r="J294" s="168"/>
      <c r="K294" s="128"/>
      <c r="L294" s="129"/>
      <c r="M294" s="130"/>
      <c r="N294" s="168"/>
      <c r="O294" s="168"/>
      <c r="P294" s="180"/>
      <c r="Q294" s="168"/>
      <c r="R294" s="168"/>
      <c r="S294" s="128"/>
      <c r="T294" s="130"/>
      <c r="U294" s="130"/>
      <c r="V294" s="168"/>
      <c r="W294" s="168"/>
      <c r="X294" s="180"/>
      <c r="Y294" s="168"/>
      <c r="Z294" s="169"/>
      <c r="AA294" s="168"/>
      <c r="AB294" s="134"/>
      <c r="AC294" s="135"/>
      <c r="AD294" s="135"/>
      <c r="AE294" s="135"/>
      <c r="AF294" s="135" t="str">
        <f aca="false">IF(ISBLANK($C294),"",IF(E294=Constants!$B$2,TRUE(),IF(E294=Constants!$B$3,FALSE(),TRUE())))</f>
        <v/>
      </c>
      <c r="AG294" s="135" t="str">
        <f aca="false">IF(ISBLANK($C294),"",IF(F294=Constants!$B$2,TRUE(),IF(F294=Constants!$B$3,FALSE(),TRUE())))</f>
        <v/>
      </c>
      <c r="AH294" s="135" t="str">
        <f aca="false">IF(ISBLANK($C294),"",IF(G294=Constants!$B$2,TRUE(),IF(G294=Constants!$B$3,FALSE(),TRUE())))</f>
        <v/>
      </c>
      <c r="AI294" s="135" t="str">
        <f aca="false">IF(ISBLANK($C294),"",IF(AND(ISNUMBER(H294),H294&gt;=0),H294,Constants!$B$24))</f>
        <v/>
      </c>
      <c r="AJ294" s="135" t="str">
        <f aca="false">IF(ISBLANK($C294),"",IF(I294=Constants!$B$2,TRUE(),IF(I294=Constants!$B$3,FALSE(),TRUE())))</f>
        <v/>
      </c>
      <c r="AK294" s="135" t="str">
        <f aca="false">IF(ISBLANK($C294),"",IF(J294=Constants!$B$2,TRUE(),IF(J294=Constants!$B$3,FALSE(),TRUE())))</f>
        <v/>
      </c>
      <c r="AL294" s="135" t="str">
        <f aca="false">IF(ISBLANK($C294),"",IF(K294=Constants!$B$4,TRUE(),IF(K294=Constants!$B$5,FALSE(),COUNTA(L294:P294)&gt;0)))</f>
        <v/>
      </c>
      <c r="AM294" s="136" t="str">
        <f aca="false">IF(ISBLANK($C294),"",IF(ISNUMBER(L294),IF(L294&gt;=0,L294,""),""))</f>
        <v/>
      </c>
      <c r="AN294" s="137" t="str">
        <f aca="false">IF(ISBLANK($C294),"",IF(ISNUMBER(M294),IF(M294&gt;=0,M294,""),""))</f>
        <v/>
      </c>
      <c r="AO294" s="137" t="str">
        <f aca="false">IF(ISBLANK($C294),"",IF(N294=Constants!$B$2,TRUE(),IF(N294=Constants!$B$3,FALSE(),TRUE())))</f>
        <v/>
      </c>
      <c r="AP294" s="135" t="str">
        <f aca="false">IF(ISBLANK($C294),"",IF(ISNUMBER(O294),IF(O294&gt;=0,O294,""),""))</f>
        <v/>
      </c>
      <c r="AQ294" s="135" t="str">
        <f aca="false">IF(ISBLANK($C294),"",IF(P294=Constants!$B$2,TRUE(),IF(P294=Constants!$B$3,FALSE(),FALSE())))</f>
        <v/>
      </c>
      <c r="AR294" s="135" t="str">
        <f aca="false">IF(ISBLANK($C294),"",IF(Q294=Constants!$B$2,TRUE(),IF(Q294=Constants!$B$3,FALSE(),TRUE())))</f>
        <v/>
      </c>
      <c r="AS294" s="135" t="str">
        <f aca="false">IF(ISBLANK($C294),"",IF(R294=Constants!$B$2,TRUE(),IF(R294=Constants!$B$3,FALSE(),TRUE())))</f>
        <v/>
      </c>
      <c r="AT294" s="135" t="str">
        <f aca="false">IF(ISBLANK($C294),"",IF(S294=Constants!$B$4,TRUE(),IF(S294=Constants!$B$5,FALSE(),COUNTA(T294:X294)&gt;0)))</f>
        <v/>
      </c>
      <c r="AU294" s="136" t="str">
        <f aca="false">IF(ISBLANK($C294),"",IF(ISNUMBER(T294),IF(T294&gt;=0,T294,""),""))</f>
        <v/>
      </c>
      <c r="AV294" s="137" t="str">
        <f aca="false">IF(ISBLANK($C294),"",IF(ISNUMBER(U294),IF(U294&gt;=0,U294,""),""))</f>
        <v/>
      </c>
      <c r="AW294" s="137" t="str">
        <f aca="false">IF(ISBLANK($C294),"",IF(V294=Constants!$B$2,TRUE(),IF(V294=Constants!$B$3,FALSE(),TRUE())))</f>
        <v/>
      </c>
      <c r="AX294" s="135" t="str">
        <f aca="false">IF(ISBLANK($C294),"",IF(ISNUMBER(W294),IF(W294&gt;=0,W294,""),""))</f>
        <v/>
      </c>
      <c r="AY294" s="135" t="str">
        <f aca="false">IF(ISBLANK($C294),"",IF(X294=Constants!$B$2,TRUE(),IF(X294=Constants!$B$3,FALSE(),FALSE())))</f>
        <v/>
      </c>
      <c r="AZ294" s="135" t="str">
        <f aca="false">IF(ISBLANK($C294),"",MIN(Constants!$B$25,MAX(0,IF(ISNUMBER(Y294),Y294*60,0)+IF(ISNUMBER(Z294),Z294,0))))</f>
        <v/>
      </c>
      <c r="BA294" s="135" t="str">
        <f aca="false">IF(ISBLANK($C294),"",IF(AA294=Constants!$B$2,TRUE(),IF(AA294=Constants!$B$3,FALSE(),FALSE())))</f>
        <v/>
      </c>
      <c r="BB294" s="134" t="str">
        <f aca="false">IF(ISBLANK($C294),"",AND($AL294,OR($AM294="",$AN294="",AND($AO294,$AP294=""))))</f>
        <v/>
      </c>
      <c r="BC294" s="137" t="str">
        <f aca="false">IF($BX294&lt;&gt;Constants!$B$6,"",IF($AL294,Constants!$B$17*$AN294+Constants!$B$18*IF($AO294,$AP294,Constants!$B$19),Constants!$B$20))</f>
        <v/>
      </c>
      <c r="BD294" s="138" t="str">
        <f aca="false">IF($BX294&lt;&gt;Constants!$B$6,"",Constants!$B$21*ABS($AD$9-IF($AL294,$AM294,0)))</f>
        <v/>
      </c>
      <c r="BE294" s="138" t="str">
        <f aca="false">IF($BX294&lt;&gt;Constants!$B$6,"",IF(AND($AL294,$AQ294,$AO294),Constants!$B$22,0))</f>
        <v/>
      </c>
      <c r="BF294" s="138" t="str">
        <f aca="false">IF($BX294&lt;&gt;Constants!$B$6,"",IF($AL294,($AI294-Constants!$B$24)*Constants!$B$23,0))</f>
        <v/>
      </c>
      <c r="BG294" s="138" t="str">
        <f aca="false">IF($BX294&lt;&gt;Constants!$B$6,"",IF($AK294,0,Constants!$B$12)+IF($AJ294,0,Constants!$B$13)+IF($AH294,0,Constants!$B$14))</f>
        <v/>
      </c>
      <c r="BH294" s="139" t="str">
        <f aca="false">IF($BX294&lt;&gt;Constants!$B$6,"",Constants!$B$16+SUM($BC294:$BG294))</f>
        <v/>
      </c>
      <c r="BI294" s="138" t="str">
        <f aca="false">IF($BX294&lt;&gt;Constants!$B$6,"",$BC294)</f>
        <v/>
      </c>
      <c r="BJ294" s="138" t="str">
        <f aca="false">IF($BX294&lt;&gt;Constants!$B$6,"",$BD294)</f>
        <v/>
      </c>
      <c r="BK294" s="140" t="str">
        <f aca="false">IF($BX294&lt;&gt;Constants!$B$6,"",IF($AL294,$AN294,""))</f>
        <v/>
      </c>
      <c r="BL294" s="135" t="str">
        <f aca="false">IF($BX294&lt;&gt;Constants!$B$6,"",IF(OR($BS294&lt;$BH294,AND($BS294=$BH294,OR($BT294&lt;$BI294,AND($BT294=$BI294,OR($BU294&lt;$BJ294,AND($BU294=$BJ294,AND(ISNUMBER($BV294),OR(NOT(ISNUMBER($BK294)),$BV294&lt;$BK294)))))))),"-&gt;","&lt;-"))</f>
        <v/>
      </c>
      <c r="BM294" s="134" t="str">
        <f aca="false">IF(ISBLANK($C294),"",AND($AT294,OR($AU294="",$AV294="",AND($AW294,$AX294=""))))</f>
        <v/>
      </c>
      <c r="BN294" s="137" t="str">
        <f aca="false">IF($BX294&lt;&gt;Constants!$B$6,"",IF($AT294,Constants!$B$17*$AV294+Constants!$B$18*IF($AW294,$AX294,Constants!$B$19),Constants!$B$20))</f>
        <v/>
      </c>
      <c r="BO294" s="138" t="str">
        <f aca="false">IF($BX294&lt;&gt;Constants!$B$6,"",Constants!$B$21*ABS($AD$9-IF($AT294,$AU294,0)))</f>
        <v/>
      </c>
      <c r="BP294" s="138" t="str">
        <f aca="false">IF($BX294&lt;&gt;Constants!$B$6,"",IF(AND($AT294,$AY294,$AW294),Constants!$B$22,0))</f>
        <v/>
      </c>
      <c r="BQ294" s="138" t="str">
        <f aca="false">IF($BX294&lt;&gt;Constants!$B$6,"",IF($AT294,($AI294-Constants!$B$24)*Constants!$B$23,0))</f>
        <v/>
      </c>
      <c r="BR294" s="138" t="str">
        <f aca="false">IF($BX294&lt;&gt;Constants!$B$6,"",IF($AS294,0,Constants!$B$12)+IF($AR294,0,Constants!$B$13)+IF($AH294,0,Constants!$B$14))</f>
        <v/>
      </c>
      <c r="BS294" s="139" t="str">
        <f aca="false">IF($BX294&lt;&gt;Constants!$B$6,"",Constants!$B$16+SUM($BN294:$BR294))</f>
        <v/>
      </c>
      <c r="BT294" s="138" t="str">
        <f aca="false">IF($BX294&lt;&gt;Constants!$B$6,"",$BN294)</f>
        <v/>
      </c>
      <c r="BU294" s="138" t="str">
        <f aca="false">IF($BX294&lt;&gt;Constants!$B$6,"",$BO294)</f>
        <v/>
      </c>
      <c r="BV294" s="140" t="str">
        <f aca="false">IF($BX294&lt;&gt;Constants!$B$6,"",IF($AT294,$AV294,""))</f>
        <v/>
      </c>
      <c r="BW294" s="135" t="str">
        <f aca="false">IF(ISBLANK($C294),"",IF(ISBLANK($D$7),$BW$5,IF(NOT(ISNUMBER($D$7)),$BW$6,"")))</f>
        <v/>
      </c>
      <c r="BX294" s="135" t="str">
        <f aca="false">IF(ISBLANK($C294),"",IF($BA294,Constants!$B$9,IF(COUNTA($E294:$AA294)=0,Constants!$B$8,IF(NOT($AG294),Constants!$B$7,IF(OR($BW294&lt;&gt;"",$BB294,$BM294),Constants!$B$10,Constants!$B$6)))))</f>
        <v/>
      </c>
      <c r="BY294" s="135" t="str">
        <f aca="false">IF(ISBLANK($C294),"",IF($BX294&lt;&gt;Constants!$B$6,$BX294,Constants!$B$11))</f>
        <v/>
      </c>
      <c r="BZ294" s="138" t="str">
        <f aca="false">IF($BX294&lt;&gt;Constants!$B$6,"",IF($BL294="-&gt;",$BS294,$BH294))</f>
        <v/>
      </c>
      <c r="CA294" s="138" t="str">
        <f aca="false">IF($BX294&lt;&gt;Constants!$B$6,"",IF($AF294,0,Constants!$B$15))</f>
        <v/>
      </c>
      <c r="CB294" s="138" t="str">
        <f aca="false">IF($BX294&lt;&gt;Constants!$B$6,"",((Constants!$B$25-$AZ294)-Constants!$B$25)/Constants!$B$26)</f>
        <v/>
      </c>
      <c r="CC294" s="138" t="str">
        <f aca="false">IF(ISBLANK($C294),"",IF($BX294&lt;&gt;Constants!$B$6,$BX294,SUM($BZ294:$CB294)))</f>
        <v/>
      </c>
      <c r="CD294" s="135" t="str">
        <f aca="false">IF(ISBLANK($C294),"",IF($BX294&lt;&gt;Constants!$B$6,$BX294,RANK($CC294,$CC$9:$CC$508,1)))</f>
        <v/>
      </c>
      <c r="CE294" s="138" t="str">
        <f aca="false">IF($BX294&lt;&gt;Constants!$B$6,"",IF($BL294="-&gt;",$BT294,$BI294))</f>
        <v/>
      </c>
      <c r="CF294" s="135" t="str">
        <f aca="false">IF(ISBLANK($C294),"",IF($BX294&lt;&gt;Constants!$B$6,$BX294,IF(ISNUMBER($CE294),RANK($CE294,$CE$9:$CE$508,1),COUNT($CE$9:$CE$508)+1)))</f>
        <v/>
      </c>
      <c r="CG294" s="138" t="str">
        <f aca="false">IF($BX294&lt;&gt;Constants!$B$6,"",IF($BL294="-&gt;",$BU294,$BJ294))</f>
        <v/>
      </c>
      <c r="CH294" s="135" t="str">
        <f aca="false">IF(ISBLANK($C294),"",IF($BX294&lt;&gt;Constants!$B$6,$BX294,IF(ISNUMBER($CG294),RANK($CG294,$CG$9:$CG$508,1),COUNT($CG$9:$CG$508)+1)))</f>
        <v/>
      </c>
      <c r="CI294" s="138" t="str">
        <f aca="false">IF($BX294&lt;&gt;Constants!$B$6,"",IF($BL294="-&gt;",$BV294,$BK294))</f>
        <v/>
      </c>
      <c r="CJ294" s="135" t="str">
        <f aca="false">IF(ISBLANK($C294),"",IF($BX294&lt;&gt;Constants!$B$6,$BX294,IF(ISNUMBER($CI294),RANK($CI294,$CI$9:$CI$508,1),COUNT($CI$9:$CI$508)+1)))</f>
        <v/>
      </c>
      <c r="CK294" s="138" t="str">
        <f aca="false">IF($BX294&lt;&gt;Constants!$B$6,"",$AI294)</f>
        <v/>
      </c>
      <c r="CL294" s="135" t="str">
        <f aca="false">IF(ISBLANK($C294),"",IF($BX294&lt;&gt;Constants!$B$6,$BX294,IF(ISNUMBER($CK294),RANK($CK294,$CK$9:$CK$508,1),COUNT($CK$9:$CK$508)+1)))</f>
        <v/>
      </c>
      <c r="CM294" s="135" t="str">
        <f aca="false">IF(ISBLANK($C294),"",IF($BX294&lt;&gt;Constants!$B$6,$BX294,COUNTIFS($CD$9:$CD$508,"&lt;"&amp;$CD294)+COUNTIFS($CD$9:$CD$508,$CD294,$CF$9:$CF$508,"&lt;"&amp;$CF294)+COUNTIFS($CD$9:$CD$508,$CD294,$CF$9:$CF$508,$CF294,$CH$9:$CH$508,"&lt;"&amp;$CH294)+COUNTIFS($CD$9:$CD$508,$CD294,$CF$9:$CF$508,$CF294,$CH$9:$CH$508,$CH294,$CJ$9:$CJ$508,"&lt;"&amp;$CJ294)+COUNTIFS($CD$9:$CD$508,$CD294,$CF$9:$CF$508,$CF294,$CH$9:$CH$508,$CH294,$CJ$9:$CJ$508,$CJ294,$CL$9:$CL$508,"&lt;"&amp;$CL294)+1))</f>
        <v/>
      </c>
      <c r="CN294" s="135" t="str">
        <f aca="false">IF(ISBLANK($C294),"",IF($BX294&lt;&gt;Constants!$B$6,$BX294,$CD294-$CM294))</f>
        <v/>
      </c>
      <c r="CO294" s="141"/>
      <c r="CP294" s="142"/>
      <c r="CQ294" s="143" t="str">
        <f aca="false">IF(ISBLANK($C294),"",IF($BX294=Constants!$B$10,$BW294,""))</f>
        <v/>
      </c>
      <c r="CR294" s="142" t="str">
        <f aca="false">IF(ISBLANK($C294),"",IF($BX294&lt;&gt;Constants!$B$6,"",IF($BL294="-&gt;",2,1)))</f>
        <v/>
      </c>
      <c r="CS294" s="144" t="str">
        <f aca="false">IF(ISBLANK($C294),"",IF($BX294&lt;&gt;Constants!$B$6,"",IF($BL294="-&gt;",$BN294,$BC294)))</f>
        <v/>
      </c>
      <c r="CT294" s="144" t="str">
        <f aca="false">IF(ISBLANK($C294),"",IF($BX294&lt;&gt;Constants!$B$6,"",IF($BL294="-&gt;",$BO294,$BD294)))</f>
        <v/>
      </c>
      <c r="CU294" s="144" t="str">
        <f aca="false">IF(ISBLANK($C294),"",IF($BX294&lt;&gt;Constants!$B$6,"",IF($BL294="-&gt;",$BP294+$BQ294,$BE294+$BF294)+$CB294))</f>
        <v/>
      </c>
      <c r="CV294" s="144" t="str">
        <f aca="false">IF(ISBLANK($C294),"",IF($BX294&lt;&gt;Constants!$B$6,"",IF($BL294="-&gt;",$BR294,$BG294)+$CA294))</f>
        <v/>
      </c>
      <c r="CW294" s="145" t="str">
        <f aca="false">IF(ISBLANK($C294),"",IF($BX294&lt;&gt;Constants!$B$6,$BX294,$CC294))</f>
        <v/>
      </c>
      <c r="CX294" s="146" t="str">
        <f aca="false">IF(ISBLANK($C294),"",$BY294)</f>
        <v/>
      </c>
      <c r="CY294" s="147" t="str">
        <f aca="false">IF(ISBLANK($C294),"",$CN294)</f>
        <v/>
      </c>
      <c r="CZ294" s="147" t="str">
        <f aca="false">IF(ISBLANK($C294),"",$CM294)</f>
        <v/>
      </c>
      <c r="DA294" s="148" t="str">
        <f aca="false">IF(ISBLANK($C294),"",IFERROR(_xlfn.SWITCH($CZ294,Constants!$B$9,COUNTA($C$9:$C$508)+2,Constants!$B$8,COUNTA($C$9:$C$508)+1,Constants!$B$7,COUNTA($C$9:$C$508)),$CZ294))</f>
        <v/>
      </c>
      <c r="DB294" s="9"/>
      <c r="DC294" s="149" t="n">
        <f aca="false">IF(OR(ISNUMBER($CZ294),$CZ294=Constants!$B$9,$CZ294=Constants!$B$7,$CZ294=Constants!$B$8),1,0)</f>
        <v>0</v>
      </c>
      <c r="DD294" s="149" t="n">
        <v>286</v>
      </c>
      <c r="DE294" s="149" t="str">
        <f aca="false">IF(ISBLANK($C294),"",IF(ISNUMBER($DA294),$DA294+ROW($B294)/1000,""))</f>
        <v/>
      </c>
      <c r="DF294" s="149" t="str">
        <f aca="false">IF(ISNUMBER($DE294),RANK($DE294,$DE$9:$DE$508,1),"")</f>
        <v/>
      </c>
      <c r="DG294" s="149" t="str">
        <f aca="false">IF(ISBLANK($C294),"",$B294)</f>
        <v/>
      </c>
      <c r="DH294" s="149" t="str">
        <f aca="false">IF(ISBLANK($C294),"",$C294)</f>
        <v/>
      </c>
      <c r="DI294" s="149" t="str">
        <f aca="false">IF(ISBLANK($C294),"",$D294)</f>
        <v/>
      </c>
      <c r="DJ294" s="150" t="str">
        <f aca="false">$CX294</f>
        <v/>
      </c>
      <c r="DK294" s="151" t="str">
        <f aca="false">$CW294</f>
        <v/>
      </c>
      <c r="DL294" s="149" t="str">
        <f aca="false">IF(ISBLANK($C294),"",$CZ294)</f>
        <v/>
      </c>
      <c r="DM294" s="152" t="str">
        <f aca="false">IF($DD294&gt;$DC$8,"",VLOOKUP($DD294,$DF$9:$DL$508,7,FALSE()))</f>
        <v/>
      </c>
      <c r="DN294" s="153" t="str">
        <f aca="false">IF($DD294&gt;$DC$8,"",VLOOKUP($DD294,$DF$9:$DL$508,2,FALSE()))</f>
        <v/>
      </c>
      <c r="DO294" s="153" t="str">
        <f aca="false">IF($DD294&gt;$DC$8,"",VLOOKUP($DD294,$DF$9:$DL$508,3,FALSE()))</f>
        <v/>
      </c>
      <c r="DP294" s="153" t="str">
        <f aca="false">IF($DD294&gt;$DC$8,"",VLOOKUP($DD294,$DF$9:$DL$508,4,FALSE()))</f>
        <v/>
      </c>
      <c r="DQ294" s="153" t="str">
        <f aca="false">IF($DD294&gt;$DC$8,"",VLOOKUP($DD294,$DF$9:$DL$508,5,FALSE()))</f>
        <v/>
      </c>
      <c r="DR294" s="154" t="str">
        <f aca="false">IF($DD294&gt;$DC$8,"",VLOOKUP($DD294,$DF$9:$DL$508,6,FALSE()))</f>
        <v/>
      </c>
      <c r="DS294" s="76"/>
    </row>
    <row r="295" customFormat="false" ht="15.75" hidden="false" customHeight="false" outlineLevel="0" collapsed="false">
      <c r="A295" s="9"/>
      <c r="B295" s="160"/>
      <c r="C295" s="161"/>
      <c r="D295" s="162"/>
      <c r="E295" s="180"/>
      <c r="F295" s="164"/>
      <c r="G295" s="165"/>
      <c r="H295" s="165"/>
      <c r="I295" s="181"/>
      <c r="J295" s="168"/>
      <c r="K295" s="128"/>
      <c r="L295" s="129"/>
      <c r="M295" s="130"/>
      <c r="N295" s="168"/>
      <c r="O295" s="168"/>
      <c r="P295" s="180"/>
      <c r="Q295" s="168"/>
      <c r="R295" s="168"/>
      <c r="S295" s="128"/>
      <c r="T295" s="130"/>
      <c r="U295" s="130"/>
      <c r="V295" s="168"/>
      <c r="W295" s="168"/>
      <c r="X295" s="180"/>
      <c r="Y295" s="168"/>
      <c r="Z295" s="169"/>
      <c r="AA295" s="168"/>
      <c r="AB295" s="134"/>
      <c r="AC295" s="135"/>
      <c r="AD295" s="135"/>
      <c r="AE295" s="135"/>
      <c r="AF295" s="135" t="str">
        <f aca="false">IF(ISBLANK($C295),"",IF(E295=Constants!$B$2,TRUE(),IF(E295=Constants!$B$3,FALSE(),TRUE())))</f>
        <v/>
      </c>
      <c r="AG295" s="135" t="str">
        <f aca="false">IF(ISBLANK($C295),"",IF(F295=Constants!$B$2,TRUE(),IF(F295=Constants!$B$3,FALSE(),TRUE())))</f>
        <v/>
      </c>
      <c r="AH295" s="135" t="str">
        <f aca="false">IF(ISBLANK($C295),"",IF(G295=Constants!$B$2,TRUE(),IF(G295=Constants!$B$3,FALSE(),TRUE())))</f>
        <v/>
      </c>
      <c r="AI295" s="135" t="str">
        <f aca="false">IF(ISBLANK($C295),"",IF(AND(ISNUMBER(H295),H295&gt;=0),H295,Constants!$B$24))</f>
        <v/>
      </c>
      <c r="AJ295" s="135" t="str">
        <f aca="false">IF(ISBLANK($C295),"",IF(I295=Constants!$B$2,TRUE(),IF(I295=Constants!$B$3,FALSE(),TRUE())))</f>
        <v/>
      </c>
      <c r="AK295" s="135" t="str">
        <f aca="false">IF(ISBLANK($C295),"",IF(J295=Constants!$B$2,TRUE(),IF(J295=Constants!$B$3,FALSE(),TRUE())))</f>
        <v/>
      </c>
      <c r="AL295" s="135" t="str">
        <f aca="false">IF(ISBLANK($C295),"",IF(K295=Constants!$B$4,TRUE(),IF(K295=Constants!$B$5,FALSE(),COUNTA(L295:P295)&gt;0)))</f>
        <v/>
      </c>
      <c r="AM295" s="136" t="str">
        <f aca="false">IF(ISBLANK($C295),"",IF(ISNUMBER(L295),IF(L295&gt;=0,L295,""),""))</f>
        <v/>
      </c>
      <c r="AN295" s="137" t="str">
        <f aca="false">IF(ISBLANK($C295),"",IF(ISNUMBER(M295),IF(M295&gt;=0,M295,""),""))</f>
        <v/>
      </c>
      <c r="AO295" s="137" t="str">
        <f aca="false">IF(ISBLANK($C295),"",IF(N295=Constants!$B$2,TRUE(),IF(N295=Constants!$B$3,FALSE(),TRUE())))</f>
        <v/>
      </c>
      <c r="AP295" s="135" t="str">
        <f aca="false">IF(ISBLANK($C295),"",IF(ISNUMBER(O295),IF(O295&gt;=0,O295,""),""))</f>
        <v/>
      </c>
      <c r="AQ295" s="135" t="str">
        <f aca="false">IF(ISBLANK($C295),"",IF(P295=Constants!$B$2,TRUE(),IF(P295=Constants!$B$3,FALSE(),FALSE())))</f>
        <v/>
      </c>
      <c r="AR295" s="135" t="str">
        <f aca="false">IF(ISBLANK($C295),"",IF(Q295=Constants!$B$2,TRUE(),IF(Q295=Constants!$B$3,FALSE(),TRUE())))</f>
        <v/>
      </c>
      <c r="AS295" s="135" t="str">
        <f aca="false">IF(ISBLANK($C295),"",IF(R295=Constants!$B$2,TRUE(),IF(R295=Constants!$B$3,FALSE(),TRUE())))</f>
        <v/>
      </c>
      <c r="AT295" s="135" t="str">
        <f aca="false">IF(ISBLANK($C295),"",IF(S295=Constants!$B$4,TRUE(),IF(S295=Constants!$B$5,FALSE(),COUNTA(T295:X295)&gt;0)))</f>
        <v/>
      </c>
      <c r="AU295" s="136" t="str">
        <f aca="false">IF(ISBLANK($C295),"",IF(ISNUMBER(T295),IF(T295&gt;=0,T295,""),""))</f>
        <v/>
      </c>
      <c r="AV295" s="137" t="str">
        <f aca="false">IF(ISBLANK($C295),"",IF(ISNUMBER(U295),IF(U295&gt;=0,U295,""),""))</f>
        <v/>
      </c>
      <c r="AW295" s="137" t="str">
        <f aca="false">IF(ISBLANK($C295),"",IF(V295=Constants!$B$2,TRUE(),IF(V295=Constants!$B$3,FALSE(),TRUE())))</f>
        <v/>
      </c>
      <c r="AX295" s="135" t="str">
        <f aca="false">IF(ISBLANK($C295),"",IF(ISNUMBER(W295),IF(W295&gt;=0,W295,""),""))</f>
        <v/>
      </c>
      <c r="AY295" s="135" t="str">
        <f aca="false">IF(ISBLANK($C295),"",IF(X295=Constants!$B$2,TRUE(),IF(X295=Constants!$B$3,FALSE(),FALSE())))</f>
        <v/>
      </c>
      <c r="AZ295" s="135" t="str">
        <f aca="false">IF(ISBLANK($C295),"",MIN(Constants!$B$25,MAX(0,IF(ISNUMBER(Y295),Y295*60,0)+IF(ISNUMBER(Z295),Z295,0))))</f>
        <v/>
      </c>
      <c r="BA295" s="135" t="str">
        <f aca="false">IF(ISBLANK($C295),"",IF(AA295=Constants!$B$2,TRUE(),IF(AA295=Constants!$B$3,FALSE(),FALSE())))</f>
        <v/>
      </c>
      <c r="BB295" s="134" t="str">
        <f aca="false">IF(ISBLANK($C295),"",AND($AL295,OR($AM295="",$AN295="",AND($AO295,$AP295=""))))</f>
        <v/>
      </c>
      <c r="BC295" s="137" t="str">
        <f aca="false">IF($BX295&lt;&gt;Constants!$B$6,"",IF($AL295,Constants!$B$17*$AN295+Constants!$B$18*IF($AO295,$AP295,Constants!$B$19),Constants!$B$20))</f>
        <v/>
      </c>
      <c r="BD295" s="138" t="str">
        <f aca="false">IF($BX295&lt;&gt;Constants!$B$6,"",Constants!$B$21*ABS($AD$9-IF($AL295,$AM295,0)))</f>
        <v/>
      </c>
      <c r="BE295" s="138" t="str">
        <f aca="false">IF($BX295&lt;&gt;Constants!$B$6,"",IF(AND($AL295,$AQ295,$AO295),Constants!$B$22,0))</f>
        <v/>
      </c>
      <c r="BF295" s="138" t="str">
        <f aca="false">IF($BX295&lt;&gt;Constants!$B$6,"",IF($AL295,($AI295-Constants!$B$24)*Constants!$B$23,0))</f>
        <v/>
      </c>
      <c r="BG295" s="138" t="str">
        <f aca="false">IF($BX295&lt;&gt;Constants!$B$6,"",IF($AK295,0,Constants!$B$12)+IF($AJ295,0,Constants!$B$13)+IF($AH295,0,Constants!$B$14))</f>
        <v/>
      </c>
      <c r="BH295" s="139" t="str">
        <f aca="false">IF($BX295&lt;&gt;Constants!$B$6,"",Constants!$B$16+SUM($BC295:$BG295))</f>
        <v/>
      </c>
      <c r="BI295" s="138" t="str">
        <f aca="false">IF($BX295&lt;&gt;Constants!$B$6,"",$BC295)</f>
        <v/>
      </c>
      <c r="BJ295" s="138" t="str">
        <f aca="false">IF($BX295&lt;&gt;Constants!$B$6,"",$BD295)</f>
        <v/>
      </c>
      <c r="BK295" s="140" t="str">
        <f aca="false">IF($BX295&lt;&gt;Constants!$B$6,"",IF($AL295,$AN295,""))</f>
        <v/>
      </c>
      <c r="BL295" s="135" t="str">
        <f aca="false">IF($BX295&lt;&gt;Constants!$B$6,"",IF(OR($BS295&lt;$BH295,AND($BS295=$BH295,OR($BT295&lt;$BI295,AND($BT295=$BI295,OR($BU295&lt;$BJ295,AND($BU295=$BJ295,AND(ISNUMBER($BV295),OR(NOT(ISNUMBER($BK295)),$BV295&lt;$BK295)))))))),"-&gt;","&lt;-"))</f>
        <v/>
      </c>
      <c r="BM295" s="134" t="str">
        <f aca="false">IF(ISBLANK($C295),"",AND($AT295,OR($AU295="",$AV295="",AND($AW295,$AX295=""))))</f>
        <v/>
      </c>
      <c r="BN295" s="137" t="str">
        <f aca="false">IF($BX295&lt;&gt;Constants!$B$6,"",IF($AT295,Constants!$B$17*$AV295+Constants!$B$18*IF($AW295,$AX295,Constants!$B$19),Constants!$B$20))</f>
        <v/>
      </c>
      <c r="BO295" s="138" t="str">
        <f aca="false">IF($BX295&lt;&gt;Constants!$B$6,"",Constants!$B$21*ABS($AD$9-IF($AT295,$AU295,0)))</f>
        <v/>
      </c>
      <c r="BP295" s="138" t="str">
        <f aca="false">IF($BX295&lt;&gt;Constants!$B$6,"",IF(AND($AT295,$AY295,$AW295),Constants!$B$22,0))</f>
        <v/>
      </c>
      <c r="BQ295" s="138" t="str">
        <f aca="false">IF($BX295&lt;&gt;Constants!$B$6,"",IF($AT295,($AI295-Constants!$B$24)*Constants!$B$23,0))</f>
        <v/>
      </c>
      <c r="BR295" s="138" t="str">
        <f aca="false">IF($BX295&lt;&gt;Constants!$B$6,"",IF($AS295,0,Constants!$B$12)+IF($AR295,0,Constants!$B$13)+IF($AH295,0,Constants!$B$14))</f>
        <v/>
      </c>
      <c r="BS295" s="139" t="str">
        <f aca="false">IF($BX295&lt;&gt;Constants!$B$6,"",Constants!$B$16+SUM($BN295:$BR295))</f>
        <v/>
      </c>
      <c r="BT295" s="138" t="str">
        <f aca="false">IF($BX295&lt;&gt;Constants!$B$6,"",$BN295)</f>
        <v/>
      </c>
      <c r="BU295" s="138" t="str">
        <f aca="false">IF($BX295&lt;&gt;Constants!$B$6,"",$BO295)</f>
        <v/>
      </c>
      <c r="BV295" s="140" t="str">
        <f aca="false">IF($BX295&lt;&gt;Constants!$B$6,"",IF($AT295,$AV295,""))</f>
        <v/>
      </c>
      <c r="BW295" s="135" t="str">
        <f aca="false">IF(ISBLANK($C295),"",IF(ISBLANK($D$7),$BW$5,IF(NOT(ISNUMBER($D$7)),$BW$6,"")))</f>
        <v/>
      </c>
      <c r="BX295" s="135" t="str">
        <f aca="false">IF(ISBLANK($C295),"",IF($BA295,Constants!$B$9,IF(COUNTA($E295:$AA295)=0,Constants!$B$8,IF(NOT($AG295),Constants!$B$7,IF(OR($BW295&lt;&gt;"",$BB295,$BM295),Constants!$B$10,Constants!$B$6)))))</f>
        <v/>
      </c>
      <c r="BY295" s="135" t="str">
        <f aca="false">IF(ISBLANK($C295),"",IF($BX295&lt;&gt;Constants!$B$6,$BX295,Constants!$B$11))</f>
        <v/>
      </c>
      <c r="BZ295" s="138" t="str">
        <f aca="false">IF($BX295&lt;&gt;Constants!$B$6,"",IF($BL295="-&gt;",$BS295,$BH295))</f>
        <v/>
      </c>
      <c r="CA295" s="138" t="str">
        <f aca="false">IF($BX295&lt;&gt;Constants!$B$6,"",IF($AF295,0,Constants!$B$15))</f>
        <v/>
      </c>
      <c r="CB295" s="138" t="str">
        <f aca="false">IF($BX295&lt;&gt;Constants!$B$6,"",((Constants!$B$25-$AZ295)-Constants!$B$25)/Constants!$B$26)</f>
        <v/>
      </c>
      <c r="CC295" s="138" t="str">
        <f aca="false">IF(ISBLANK($C295),"",IF($BX295&lt;&gt;Constants!$B$6,$BX295,SUM($BZ295:$CB295)))</f>
        <v/>
      </c>
      <c r="CD295" s="135" t="str">
        <f aca="false">IF(ISBLANK($C295),"",IF($BX295&lt;&gt;Constants!$B$6,$BX295,RANK($CC295,$CC$9:$CC$508,1)))</f>
        <v/>
      </c>
      <c r="CE295" s="138" t="str">
        <f aca="false">IF($BX295&lt;&gt;Constants!$B$6,"",IF($BL295="-&gt;",$BT295,$BI295))</f>
        <v/>
      </c>
      <c r="CF295" s="135" t="str">
        <f aca="false">IF(ISBLANK($C295),"",IF($BX295&lt;&gt;Constants!$B$6,$BX295,IF(ISNUMBER($CE295),RANK($CE295,$CE$9:$CE$508,1),COUNT($CE$9:$CE$508)+1)))</f>
        <v/>
      </c>
      <c r="CG295" s="138" t="str">
        <f aca="false">IF($BX295&lt;&gt;Constants!$B$6,"",IF($BL295="-&gt;",$BU295,$BJ295))</f>
        <v/>
      </c>
      <c r="CH295" s="135" t="str">
        <f aca="false">IF(ISBLANK($C295),"",IF($BX295&lt;&gt;Constants!$B$6,$BX295,IF(ISNUMBER($CG295),RANK($CG295,$CG$9:$CG$508,1),COUNT($CG$9:$CG$508)+1)))</f>
        <v/>
      </c>
      <c r="CI295" s="138" t="str">
        <f aca="false">IF($BX295&lt;&gt;Constants!$B$6,"",IF($BL295="-&gt;",$BV295,$BK295))</f>
        <v/>
      </c>
      <c r="CJ295" s="135" t="str">
        <f aca="false">IF(ISBLANK($C295),"",IF($BX295&lt;&gt;Constants!$B$6,$BX295,IF(ISNUMBER($CI295),RANK($CI295,$CI$9:$CI$508,1),COUNT($CI$9:$CI$508)+1)))</f>
        <v/>
      </c>
      <c r="CK295" s="138" t="str">
        <f aca="false">IF($BX295&lt;&gt;Constants!$B$6,"",$AI295)</f>
        <v/>
      </c>
      <c r="CL295" s="135" t="str">
        <f aca="false">IF(ISBLANK($C295),"",IF($BX295&lt;&gt;Constants!$B$6,$BX295,IF(ISNUMBER($CK295),RANK($CK295,$CK$9:$CK$508,1),COUNT($CK$9:$CK$508)+1)))</f>
        <v/>
      </c>
      <c r="CM295" s="135" t="str">
        <f aca="false">IF(ISBLANK($C295),"",IF($BX295&lt;&gt;Constants!$B$6,$BX295,COUNTIFS($CD$9:$CD$508,"&lt;"&amp;$CD295)+COUNTIFS($CD$9:$CD$508,$CD295,$CF$9:$CF$508,"&lt;"&amp;$CF295)+COUNTIFS($CD$9:$CD$508,$CD295,$CF$9:$CF$508,$CF295,$CH$9:$CH$508,"&lt;"&amp;$CH295)+COUNTIFS($CD$9:$CD$508,$CD295,$CF$9:$CF$508,$CF295,$CH$9:$CH$508,$CH295,$CJ$9:$CJ$508,"&lt;"&amp;$CJ295)+COUNTIFS($CD$9:$CD$508,$CD295,$CF$9:$CF$508,$CF295,$CH$9:$CH$508,$CH295,$CJ$9:$CJ$508,$CJ295,$CL$9:$CL$508,"&lt;"&amp;$CL295)+1))</f>
        <v/>
      </c>
      <c r="CN295" s="135" t="str">
        <f aca="false">IF(ISBLANK($C295),"",IF($BX295&lt;&gt;Constants!$B$6,$BX295,$CD295-$CM295))</f>
        <v/>
      </c>
      <c r="CO295" s="141"/>
      <c r="CP295" s="142"/>
      <c r="CQ295" s="143" t="str">
        <f aca="false">IF(ISBLANK($C295),"",IF($BX295=Constants!$B$10,$BW295,""))</f>
        <v/>
      </c>
      <c r="CR295" s="142" t="str">
        <f aca="false">IF(ISBLANK($C295),"",IF($BX295&lt;&gt;Constants!$B$6,"",IF($BL295="-&gt;",2,1)))</f>
        <v/>
      </c>
      <c r="CS295" s="144" t="str">
        <f aca="false">IF(ISBLANK($C295),"",IF($BX295&lt;&gt;Constants!$B$6,"",IF($BL295="-&gt;",$BN295,$BC295)))</f>
        <v/>
      </c>
      <c r="CT295" s="144" t="str">
        <f aca="false">IF(ISBLANK($C295),"",IF($BX295&lt;&gt;Constants!$B$6,"",IF($BL295="-&gt;",$BO295,$BD295)))</f>
        <v/>
      </c>
      <c r="CU295" s="144" t="str">
        <f aca="false">IF(ISBLANK($C295),"",IF($BX295&lt;&gt;Constants!$B$6,"",IF($BL295="-&gt;",$BP295+$BQ295,$BE295+$BF295)+$CB295))</f>
        <v/>
      </c>
      <c r="CV295" s="144" t="str">
        <f aca="false">IF(ISBLANK($C295),"",IF($BX295&lt;&gt;Constants!$B$6,"",IF($BL295="-&gt;",$BR295,$BG295)+$CA295))</f>
        <v/>
      </c>
      <c r="CW295" s="145" t="str">
        <f aca="false">IF(ISBLANK($C295),"",IF($BX295&lt;&gt;Constants!$B$6,$BX295,$CC295))</f>
        <v/>
      </c>
      <c r="CX295" s="146" t="str">
        <f aca="false">IF(ISBLANK($C295),"",$BY295)</f>
        <v/>
      </c>
      <c r="CY295" s="147" t="str">
        <f aca="false">IF(ISBLANK($C295),"",$CN295)</f>
        <v/>
      </c>
      <c r="CZ295" s="147" t="str">
        <f aca="false">IF(ISBLANK($C295),"",$CM295)</f>
        <v/>
      </c>
      <c r="DA295" s="148" t="str">
        <f aca="false">IF(ISBLANK($C295),"",IFERROR(_xlfn.SWITCH($CZ295,Constants!$B$9,COUNTA($C$9:$C$508)+2,Constants!$B$8,COUNTA($C$9:$C$508)+1,Constants!$B$7,COUNTA($C$9:$C$508)),$CZ295))</f>
        <v/>
      </c>
      <c r="DB295" s="9"/>
      <c r="DC295" s="149" t="n">
        <f aca="false">IF(OR(ISNUMBER($CZ295),$CZ295=Constants!$B$9,$CZ295=Constants!$B$7,$CZ295=Constants!$B$8),1,0)</f>
        <v>0</v>
      </c>
      <c r="DD295" s="149" t="n">
        <v>287</v>
      </c>
      <c r="DE295" s="149" t="str">
        <f aca="false">IF(ISBLANK($C295),"",IF(ISNUMBER($DA295),$DA295+ROW($B295)/1000,""))</f>
        <v/>
      </c>
      <c r="DF295" s="149" t="str">
        <f aca="false">IF(ISNUMBER($DE295),RANK($DE295,$DE$9:$DE$508,1),"")</f>
        <v/>
      </c>
      <c r="DG295" s="149" t="str">
        <f aca="false">IF(ISBLANK($C295),"",$B295)</f>
        <v/>
      </c>
      <c r="DH295" s="149" t="str">
        <f aca="false">IF(ISBLANK($C295),"",$C295)</f>
        <v/>
      </c>
      <c r="DI295" s="149" t="str">
        <f aca="false">IF(ISBLANK($C295),"",$D295)</f>
        <v/>
      </c>
      <c r="DJ295" s="150" t="str">
        <f aca="false">$CX295</f>
        <v/>
      </c>
      <c r="DK295" s="151" t="str">
        <f aca="false">$CW295</f>
        <v/>
      </c>
      <c r="DL295" s="149" t="str">
        <f aca="false">IF(ISBLANK($C295),"",$CZ295)</f>
        <v/>
      </c>
      <c r="DM295" s="152" t="str">
        <f aca="false">IF($DD295&gt;$DC$8,"",VLOOKUP($DD295,$DF$9:$DL$508,7,FALSE()))</f>
        <v/>
      </c>
      <c r="DN295" s="153" t="str">
        <f aca="false">IF($DD295&gt;$DC$8,"",VLOOKUP($DD295,$DF$9:$DL$508,2,FALSE()))</f>
        <v/>
      </c>
      <c r="DO295" s="153" t="str">
        <f aca="false">IF($DD295&gt;$DC$8,"",VLOOKUP($DD295,$DF$9:$DL$508,3,FALSE()))</f>
        <v/>
      </c>
      <c r="DP295" s="153" t="str">
        <f aca="false">IF($DD295&gt;$DC$8,"",VLOOKUP($DD295,$DF$9:$DL$508,4,FALSE()))</f>
        <v/>
      </c>
      <c r="DQ295" s="153" t="str">
        <f aca="false">IF($DD295&gt;$DC$8,"",VLOOKUP($DD295,$DF$9:$DL$508,5,FALSE()))</f>
        <v/>
      </c>
      <c r="DR295" s="154" t="str">
        <f aca="false">IF($DD295&gt;$DC$8,"",VLOOKUP($DD295,$DF$9:$DL$508,6,FALSE()))</f>
        <v/>
      </c>
      <c r="DS295" s="76"/>
    </row>
    <row r="296" customFormat="false" ht="15.75" hidden="false" customHeight="false" outlineLevel="0" collapsed="false">
      <c r="A296" s="9"/>
      <c r="B296" s="160"/>
      <c r="C296" s="161"/>
      <c r="D296" s="162"/>
      <c r="E296" s="180"/>
      <c r="F296" s="164"/>
      <c r="G296" s="165"/>
      <c r="H296" s="165"/>
      <c r="I296" s="181"/>
      <c r="J296" s="168"/>
      <c r="K296" s="128"/>
      <c r="L296" s="129"/>
      <c r="M296" s="130"/>
      <c r="N296" s="168"/>
      <c r="O296" s="168"/>
      <c r="P296" s="180"/>
      <c r="Q296" s="168"/>
      <c r="R296" s="168"/>
      <c r="S296" s="128"/>
      <c r="T296" s="130"/>
      <c r="U296" s="130"/>
      <c r="V296" s="168"/>
      <c r="W296" s="168"/>
      <c r="X296" s="180"/>
      <c r="Y296" s="168"/>
      <c r="Z296" s="169"/>
      <c r="AA296" s="168"/>
      <c r="AB296" s="134"/>
      <c r="AC296" s="135"/>
      <c r="AD296" s="135"/>
      <c r="AE296" s="135"/>
      <c r="AF296" s="135" t="str">
        <f aca="false">IF(ISBLANK($C296),"",IF(E296=Constants!$B$2,TRUE(),IF(E296=Constants!$B$3,FALSE(),TRUE())))</f>
        <v/>
      </c>
      <c r="AG296" s="135" t="str">
        <f aca="false">IF(ISBLANK($C296),"",IF(F296=Constants!$B$2,TRUE(),IF(F296=Constants!$B$3,FALSE(),TRUE())))</f>
        <v/>
      </c>
      <c r="AH296" s="135" t="str">
        <f aca="false">IF(ISBLANK($C296),"",IF(G296=Constants!$B$2,TRUE(),IF(G296=Constants!$B$3,FALSE(),TRUE())))</f>
        <v/>
      </c>
      <c r="AI296" s="135" t="str">
        <f aca="false">IF(ISBLANK($C296),"",IF(AND(ISNUMBER(H296),H296&gt;=0),H296,Constants!$B$24))</f>
        <v/>
      </c>
      <c r="AJ296" s="135" t="str">
        <f aca="false">IF(ISBLANK($C296),"",IF(I296=Constants!$B$2,TRUE(),IF(I296=Constants!$B$3,FALSE(),TRUE())))</f>
        <v/>
      </c>
      <c r="AK296" s="135" t="str">
        <f aca="false">IF(ISBLANK($C296),"",IF(J296=Constants!$B$2,TRUE(),IF(J296=Constants!$B$3,FALSE(),TRUE())))</f>
        <v/>
      </c>
      <c r="AL296" s="135" t="str">
        <f aca="false">IF(ISBLANK($C296),"",IF(K296=Constants!$B$4,TRUE(),IF(K296=Constants!$B$5,FALSE(),COUNTA(L296:P296)&gt;0)))</f>
        <v/>
      </c>
      <c r="AM296" s="136" t="str">
        <f aca="false">IF(ISBLANK($C296),"",IF(ISNUMBER(L296),IF(L296&gt;=0,L296,""),""))</f>
        <v/>
      </c>
      <c r="AN296" s="137" t="str">
        <f aca="false">IF(ISBLANK($C296),"",IF(ISNUMBER(M296),IF(M296&gt;=0,M296,""),""))</f>
        <v/>
      </c>
      <c r="AO296" s="137" t="str">
        <f aca="false">IF(ISBLANK($C296),"",IF(N296=Constants!$B$2,TRUE(),IF(N296=Constants!$B$3,FALSE(),TRUE())))</f>
        <v/>
      </c>
      <c r="AP296" s="135" t="str">
        <f aca="false">IF(ISBLANK($C296),"",IF(ISNUMBER(O296),IF(O296&gt;=0,O296,""),""))</f>
        <v/>
      </c>
      <c r="AQ296" s="135" t="str">
        <f aca="false">IF(ISBLANK($C296),"",IF(P296=Constants!$B$2,TRUE(),IF(P296=Constants!$B$3,FALSE(),FALSE())))</f>
        <v/>
      </c>
      <c r="AR296" s="135" t="str">
        <f aca="false">IF(ISBLANK($C296),"",IF(Q296=Constants!$B$2,TRUE(),IF(Q296=Constants!$B$3,FALSE(),TRUE())))</f>
        <v/>
      </c>
      <c r="AS296" s="135" t="str">
        <f aca="false">IF(ISBLANK($C296),"",IF(R296=Constants!$B$2,TRUE(),IF(R296=Constants!$B$3,FALSE(),TRUE())))</f>
        <v/>
      </c>
      <c r="AT296" s="135" t="str">
        <f aca="false">IF(ISBLANK($C296),"",IF(S296=Constants!$B$4,TRUE(),IF(S296=Constants!$B$5,FALSE(),COUNTA(T296:X296)&gt;0)))</f>
        <v/>
      </c>
      <c r="AU296" s="136" t="str">
        <f aca="false">IF(ISBLANK($C296),"",IF(ISNUMBER(T296),IF(T296&gt;=0,T296,""),""))</f>
        <v/>
      </c>
      <c r="AV296" s="137" t="str">
        <f aca="false">IF(ISBLANK($C296),"",IF(ISNUMBER(U296),IF(U296&gt;=0,U296,""),""))</f>
        <v/>
      </c>
      <c r="AW296" s="137" t="str">
        <f aca="false">IF(ISBLANK($C296),"",IF(V296=Constants!$B$2,TRUE(),IF(V296=Constants!$B$3,FALSE(),TRUE())))</f>
        <v/>
      </c>
      <c r="AX296" s="135" t="str">
        <f aca="false">IF(ISBLANK($C296),"",IF(ISNUMBER(W296),IF(W296&gt;=0,W296,""),""))</f>
        <v/>
      </c>
      <c r="AY296" s="135" t="str">
        <f aca="false">IF(ISBLANK($C296),"",IF(X296=Constants!$B$2,TRUE(),IF(X296=Constants!$B$3,FALSE(),FALSE())))</f>
        <v/>
      </c>
      <c r="AZ296" s="135" t="str">
        <f aca="false">IF(ISBLANK($C296),"",MIN(Constants!$B$25,MAX(0,IF(ISNUMBER(Y296),Y296*60,0)+IF(ISNUMBER(Z296),Z296,0))))</f>
        <v/>
      </c>
      <c r="BA296" s="135" t="str">
        <f aca="false">IF(ISBLANK($C296),"",IF(AA296=Constants!$B$2,TRUE(),IF(AA296=Constants!$B$3,FALSE(),FALSE())))</f>
        <v/>
      </c>
      <c r="BB296" s="134" t="str">
        <f aca="false">IF(ISBLANK($C296),"",AND($AL296,OR($AM296="",$AN296="",AND($AO296,$AP296=""))))</f>
        <v/>
      </c>
      <c r="BC296" s="137" t="str">
        <f aca="false">IF($BX296&lt;&gt;Constants!$B$6,"",IF($AL296,Constants!$B$17*$AN296+Constants!$B$18*IF($AO296,$AP296,Constants!$B$19),Constants!$B$20))</f>
        <v/>
      </c>
      <c r="BD296" s="138" t="str">
        <f aca="false">IF($BX296&lt;&gt;Constants!$B$6,"",Constants!$B$21*ABS($AD$9-IF($AL296,$AM296,0)))</f>
        <v/>
      </c>
      <c r="BE296" s="138" t="str">
        <f aca="false">IF($BX296&lt;&gt;Constants!$B$6,"",IF(AND($AL296,$AQ296,$AO296),Constants!$B$22,0))</f>
        <v/>
      </c>
      <c r="BF296" s="138" t="str">
        <f aca="false">IF($BX296&lt;&gt;Constants!$B$6,"",IF($AL296,($AI296-Constants!$B$24)*Constants!$B$23,0))</f>
        <v/>
      </c>
      <c r="BG296" s="138" t="str">
        <f aca="false">IF($BX296&lt;&gt;Constants!$B$6,"",IF($AK296,0,Constants!$B$12)+IF($AJ296,0,Constants!$B$13)+IF($AH296,0,Constants!$B$14))</f>
        <v/>
      </c>
      <c r="BH296" s="139" t="str">
        <f aca="false">IF($BX296&lt;&gt;Constants!$B$6,"",Constants!$B$16+SUM($BC296:$BG296))</f>
        <v/>
      </c>
      <c r="BI296" s="138" t="str">
        <f aca="false">IF($BX296&lt;&gt;Constants!$B$6,"",$BC296)</f>
        <v/>
      </c>
      <c r="BJ296" s="138" t="str">
        <f aca="false">IF($BX296&lt;&gt;Constants!$B$6,"",$BD296)</f>
        <v/>
      </c>
      <c r="BK296" s="140" t="str">
        <f aca="false">IF($BX296&lt;&gt;Constants!$B$6,"",IF($AL296,$AN296,""))</f>
        <v/>
      </c>
      <c r="BL296" s="135" t="str">
        <f aca="false">IF($BX296&lt;&gt;Constants!$B$6,"",IF(OR($BS296&lt;$BH296,AND($BS296=$BH296,OR($BT296&lt;$BI296,AND($BT296=$BI296,OR($BU296&lt;$BJ296,AND($BU296=$BJ296,AND(ISNUMBER($BV296),OR(NOT(ISNUMBER($BK296)),$BV296&lt;$BK296)))))))),"-&gt;","&lt;-"))</f>
        <v/>
      </c>
      <c r="BM296" s="134" t="str">
        <f aca="false">IF(ISBLANK($C296),"",AND($AT296,OR($AU296="",$AV296="",AND($AW296,$AX296=""))))</f>
        <v/>
      </c>
      <c r="BN296" s="137" t="str">
        <f aca="false">IF($BX296&lt;&gt;Constants!$B$6,"",IF($AT296,Constants!$B$17*$AV296+Constants!$B$18*IF($AW296,$AX296,Constants!$B$19),Constants!$B$20))</f>
        <v/>
      </c>
      <c r="BO296" s="138" t="str">
        <f aca="false">IF($BX296&lt;&gt;Constants!$B$6,"",Constants!$B$21*ABS($AD$9-IF($AT296,$AU296,0)))</f>
        <v/>
      </c>
      <c r="BP296" s="138" t="str">
        <f aca="false">IF($BX296&lt;&gt;Constants!$B$6,"",IF(AND($AT296,$AY296,$AW296),Constants!$B$22,0))</f>
        <v/>
      </c>
      <c r="BQ296" s="138" t="str">
        <f aca="false">IF($BX296&lt;&gt;Constants!$B$6,"",IF($AT296,($AI296-Constants!$B$24)*Constants!$B$23,0))</f>
        <v/>
      </c>
      <c r="BR296" s="138" t="str">
        <f aca="false">IF($BX296&lt;&gt;Constants!$B$6,"",IF($AS296,0,Constants!$B$12)+IF($AR296,0,Constants!$B$13)+IF($AH296,0,Constants!$B$14))</f>
        <v/>
      </c>
      <c r="BS296" s="139" t="str">
        <f aca="false">IF($BX296&lt;&gt;Constants!$B$6,"",Constants!$B$16+SUM($BN296:$BR296))</f>
        <v/>
      </c>
      <c r="BT296" s="138" t="str">
        <f aca="false">IF($BX296&lt;&gt;Constants!$B$6,"",$BN296)</f>
        <v/>
      </c>
      <c r="BU296" s="138" t="str">
        <f aca="false">IF($BX296&lt;&gt;Constants!$B$6,"",$BO296)</f>
        <v/>
      </c>
      <c r="BV296" s="140" t="str">
        <f aca="false">IF($BX296&lt;&gt;Constants!$B$6,"",IF($AT296,$AV296,""))</f>
        <v/>
      </c>
      <c r="BW296" s="135" t="str">
        <f aca="false">IF(ISBLANK($C296),"",IF(ISBLANK($D$7),$BW$5,IF(NOT(ISNUMBER($D$7)),$BW$6,"")))</f>
        <v/>
      </c>
      <c r="BX296" s="135" t="str">
        <f aca="false">IF(ISBLANK($C296),"",IF($BA296,Constants!$B$9,IF(COUNTA($E296:$AA296)=0,Constants!$B$8,IF(NOT($AG296),Constants!$B$7,IF(OR($BW296&lt;&gt;"",$BB296,$BM296),Constants!$B$10,Constants!$B$6)))))</f>
        <v/>
      </c>
      <c r="BY296" s="135" t="str">
        <f aca="false">IF(ISBLANK($C296),"",IF($BX296&lt;&gt;Constants!$B$6,$BX296,Constants!$B$11))</f>
        <v/>
      </c>
      <c r="BZ296" s="138" t="str">
        <f aca="false">IF($BX296&lt;&gt;Constants!$B$6,"",IF($BL296="-&gt;",$BS296,$BH296))</f>
        <v/>
      </c>
      <c r="CA296" s="138" t="str">
        <f aca="false">IF($BX296&lt;&gt;Constants!$B$6,"",IF($AF296,0,Constants!$B$15))</f>
        <v/>
      </c>
      <c r="CB296" s="138" t="str">
        <f aca="false">IF($BX296&lt;&gt;Constants!$B$6,"",((Constants!$B$25-$AZ296)-Constants!$B$25)/Constants!$B$26)</f>
        <v/>
      </c>
      <c r="CC296" s="138" t="str">
        <f aca="false">IF(ISBLANK($C296),"",IF($BX296&lt;&gt;Constants!$B$6,$BX296,SUM($BZ296:$CB296)))</f>
        <v/>
      </c>
      <c r="CD296" s="135" t="str">
        <f aca="false">IF(ISBLANK($C296),"",IF($BX296&lt;&gt;Constants!$B$6,$BX296,RANK($CC296,$CC$9:$CC$508,1)))</f>
        <v/>
      </c>
      <c r="CE296" s="138" t="str">
        <f aca="false">IF($BX296&lt;&gt;Constants!$B$6,"",IF($BL296="-&gt;",$BT296,$BI296))</f>
        <v/>
      </c>
      <c r="CF296" s="135" t="str">
        <f aca="false">IF(ISBLANK($C296),"",IF($BX296&lt;&gt;Constants!$B$6,$BX296,IF(ISNUMBER($CE296),RANK($CE296,$CE$9:$CE$508,1),COUNT($CE$9:$CE$508)+1)))</f>
        <v/>
      </c>
      <c r="CG296" s="138" t="str">
        <f aca="false">IF($BX296&lt;&gt;Constants!$B$6,"",IF($BL296="-&gt;",$BU296,$BJ296))</f>
        <v/>
      </c>
      <c r="CH296" s="135" t="str">
        <f aca="false">IF(ISBLANK($C296),"",IF($BX296&lt;&gt;Constants!$B$6,$BX296,IF(ISNUMBER($CG296),RANK($CG296,$CG$9:$CG$508,1),COUNT($CG$9:$CG$508)+1)))</f>
        <v/>
      </c>
      <c r="CI296" s="138" t="str">
        <f aca="false">IF($BX296&lt;&gt;Constants!$B$6,"",IF($BL296="-&gt;",$BV296,$BK296))</f>
        <v/>
      </c>
      <c r="CJ296" s="135" t="str">
        <f aca="false">IF(ISBLANK($C296),"",IF($BX296&lt;&gt;Constants!$B$6,$BX296,IF(ISNUMBER($CI296),RANK($CI296,$CI$9:$CI$508,1),COUNT($CI$9:$CI$508)+1)))</f>
        <v/>
      </c>
      <c r="CK296" s="138" t="str">
        <f aca="false">IF($BX296&lt;&gt;Constants!$B$6,"",$AI296)</f>
        <v/>
      </c>
      <c r="CL296" s="135" t="str">
        <f aca="false">IF(ISBLANK($C296),"",IF($BX296&lt;&gt;Constants!$B$6,$BX296,IF(ISNUMBER($CK296),RANK($CK296,$CK$9:$CK$508,1),COUNT($CK$9:$CK$508)+1)))</f>
        <v/>
      </c>
      <c r="CM296" s="135" t="str">
        <f aca="false">IF(ISBLANK($C296),"",IF($BX296&lt;&gt;Constants!$B$6,$BX296,COUNTIFS($CD$9:$CD$508,"&lt;"&amp;$CD296)+COUNTIFS($CD$9:$CD$508,$CD296,$CF$9:$CF$508,"&lt;"&amp;$CF296)+COUNTIFS($CD$9:$CD$508,$CD296,$CF$9:$CF$508,$CF296,$CH$9:$CH$508,"&lt;"&amp;$CH296)+COUNTIFS($CD$9:$CD$508,$CD296,$CF$9:$CF$508,$CF296,$CH$9:$CH$508,$CH296,$CJ$9:$CJ$508,"&lt;"&amp;$CJ296)+COUNTIFS($CD$9:$CD$508,$CD296,$CF$9:$CF$508,$CF296,$CH$9:$CH$508,$CH296,$CJ$9:$CJ$508,$CJ296,$CL$9:$CL$508,"&lt;"&amp;$CL296)+1))</f>
        <v/>
      </c>
      <c r="CN296" s="135" t="str">
        <f aca="false">IF(ISBLANK($C296),"",IF($BX296&lt;&gt;Constants!$B$6,$BX296,$CD296-$CM296))</f>
        <v/>
      </c>
      <c r="CO296" s="141"/>
      <c r="CP296" s="142"/>
      <c r="CQ296" s="143" t="str">
        <f aca="false">IF(ISBLANK($C296),"",IF($BX296=Constants!$B$10,$BW296,""))</f>
        <v/>
      </c>
      <c r="CR296" s="142" t="str">
        <f aca="false">IF(ISBLANK($C296),"",IF($BX296&lt;&gt;Constants!$B$6,"",IF($BL296="-&gt;",2,1)))</f>
        <v/>
      </c>
      <c r="CS296" s="144" t="str">
        <f aca="false">IF(ISBLANK($C296),"",IF($BX296&lt;&gt;Constants!$B$6,"",IF($BL296="-&gt;",$BN296,$BC296)))</f>
        <v/>
      </c>
      <c r="CT296" s="144" t="str">
        <f aca="false">IF(ISBLANK($C296),"",IF($BX296&lt;&gt;Constants!$B$6,"",IF($BL296="-&gt;",$BO296,$BD296)))</f>
        <v/>
      </c>
      <c r="CU296" s="144" t="str">
        <f aca="false">IF(ISBLANK($C296),"",IF($BX296&lt;&gt;Constants!$B$6,"",IF($BL296="-&gt;",$BP296+$BQ296,$BE296+$BF296)+$CB296))</f>
        <v/>
      </c>
      <c r="CV296" s="144" t="str">
        <f aca="false">IF(ISBLANK($C296),"",IF($BX296&lt;&gt;Constants!$B$6,"",IF($BL296="-&gt;",$BR296,$BG296)+$CA296))</f>
        <v/>
      </c>
      <c r="CW296" s="145" t="str">
        <f aca="false">IF(ISBLANK($C296),"",IF($BX296&lt;&gt;Constants!$B$6,$BX296,$CC296))</f>
        <v/>
      </c>
      <c r="CX296" s="146" t="str">
        <f aca="false">IF(ISBLANK($C296),"",$BY296)</f>
        <v/>
      </c>
      <c r="CY296" s="147" t="str">
        <f aca="false">IF(ISBLANK($C296),"",$CN296)</f>
        <v/>
      </c>
      <c r="CZ296" s="147" t="str">
        <f aca="false">IF(ISBLANK($C296),"",$CM296)</f>
        <v/>
      </c>
      <c r="DA296" s="148" t="str">
        <f aca="false">IF(ISBLANK($C296),"",IFERROR(_xlfn.SWITCH($CZ296,Constants!$B$9,COUNTA($C$9:$C$508)+2,Constants!$B$8,COUNTA($C$9:$C$508)+1,Constants!$B$7,COUNTA($C$9:$C$508)),$CZ296))</f>
        <v/>
      </c>
      <c r="DB296" s="9"/>
      <c r="DC296" s="149" t="n">
        <f aca="false">IF(OR(ISNUMBER($CZ296),$CZ296=Constants!$B$9,$CZ296=Constants!$B$7,$CZ296=Constants!$B$8),1,0)</f>
        <v>0</v>
      </c>
      <c r="DD296" s="149" t="n">
        <v>288</v>
      </c>
      <c r="DE296" s="149" t="str">
        <f aca="false">IF(ISBLANK($C296),"",IF(ISNUMBER($DA296),$DA296+ROW($B296)/1000,""))</f>
        <v/>
      </c>
      <c r="DF296" s="149" t="str">
        <f aca="false">IF(ISNUMBER($DE296),RANK($DE296,$DE$9:$DE$508,1),"")</f>
        <v/>
      </c>
      <c r="DG296" s="149" t="str">
        <f aca="false">IF(ISBLANK($C296),"",$B296)</f>
        <v/>
      </c>
      <c r="DH296" s="149" t="str">
        <f aca="false">IF(ISBLANK($C296),"",$C296)</f>
        <v/>
      </c>
      <c r="DI296" s="149" t="str">
        <f aca="false">IF(ISBLANK($C296),"",$D296)</f>
        <v/>
      </c>
      <c r="DJ296" s="150" t="str">
        <f aca="false">$CX296</f>
        <v/>
      </c>
      <c r="DK296" s="151" t="str">
        <f aca="false">$CW296</f>
        <v/>
      </c>
      <c r="DL296" s="149" t="str">
        <f aca="false">IF(ISBLANK($C296),"",$CZ296)</f>
        <v/>
      </c>
      <c r="DM296" s="152" t="str">
        <f aca="false">IF($DD296&gt;$DC$8,"",VLOOKUP($DD296,$DF$9:$DL$508,7,FALSE()))</f>
        <v/>
      </c>
      <c r="DN296" s="153" t="str">
        <f aca="false">IF($DD296&gt;$DC$8,"",VLOOKUP($DD296,$DF$9:$DL$508,2,FALSE()))</f>
        <v/>
      </c>
      <c r="DO296" s="153" t="str">
        <f aca="false">IF($DD296&gt;$DC$8,"",VLOOKUP($DD296,$DF$9:$DL$508,3,FALSE()))</f>
        <v/>
      </c>
      <c r="DP296" s="153" t="str">
        <f aca="false">IF($DD296&gt;$DC$8,"",VLOOKUP($DD296,$DF$9:$DL$508,4,FALSE()))</f>
        <v/>
      </c>
      <c r="DQ296" s="153" t="str">
        <f aca="false">IF($DD296&gt;$DC$8,"",VLOOKUP($DD296,$DF$9:$DL$508,5,FALSE()))</f>
        <v/>
      </c>
      <c r="DR296" s="154" t="str">
        <f aca="false">IF($DD296&gt;$DC$8,"",VLOOKUP($DD296,$DF$9:$DL$508,6,FALSE()))</f>
        <v/>
      </c>
      <c r="DS296" s="76"/>
    </row>
    <row r="297" customFormat="false" ht="15.75" hidden="false" customHeight="false" outlineLevel="0" collapsed="false">
      <c r="A297" s="9"/>
      <c r="B297" s="78"/>
      <c r="C297" s="79"/>
      <c r="D297" s="170"/>
      <c r="E297" s="178"/>
      <c r="F297" s="172"/>
      <c r="G297" s="173"/>
      <c r="H297" s="173"/>
      <c r="I297" s="179"/>
      <c r="J297" s="176"/>
      <c r="K297" s="86"/>
      <c r="L297" s="87"/>
      <c r="M297" s="88"/>
      <c r="N297" s="176"/>
      <c r="O297" s="176"/>
      <c r="P297" s="178"/>
      <c r="Q297" s="176"/>
      <c r="R297" s="176"/>
      <c r="S297" s="86"/>
      <c r="T297" s="88"/>
      <c r="U297" s="88"/>
      <c r="V297" s="176"/>
      <c r="W297" s="176"/>
      <c r="X297" s="178"/>
      <c r="Y297" s="176"/>
      <c r="Z297" s="177"/>
      <c r="AA297" s="176"/>
      <c r="AB297" s="92"/>
      <c r="AC297" s="93"/>
      <c r="AD297" s="93"/>
      <c r="AE297" s="93"/>
      <c r="AF297" s="93" t="str">
        <f aca="false">IF(ISBLANK($C297),"",IF(E297=Constants!$B$2,TRUE(),IF(E297=Constants!$B$3,FALSE(),TRUE())))</f>
        <v/>
      </c>
      <c r="AG297" s="93" t="str">
        <f aca="false">IF(ISBLANK($C297),"",IF(F297=Constants!$B$2,TRUE(),IF(F297=Constants!$B$3,FALSE(),TRUE())))</f>
        <v/>
      </c>
      <c r="AH297" s="93" t="str">
        <f aca="false">IF(ISBLANK($C297),"",IF(G297=Constants!$B$2,TRUE(),IF(G297=Constants!$B$3,FALSE(),TRUE())))</f>
        <v/>
      </c>
      <c r="AI297" s="93" t="str">
        <f aca="false">IF(ISBLANK($C297),"",IF(AND(ISNUMBER(H297),H297&gt;=0),H297,Constants!$B$24))</f>
        <v/>
      </c>
      <c r="AJ297" s="93" t="str">
        <f aca="false">IF(ISBLANK($C297),"",IF(I297=Constants!$B$2,TRUE(),IF(I297=Constants!$B$3,FALSE(),TRUE())))</f>
        <v/>
      </c>
      <c r="AK297" s="93" t="str">
        <f aca="false">IF(ISBLANK($C297),"",IF(J297=Constants!$B$2,TRUE(),IF(J297=Constants!$B$3,FALSE(),TRUE())))</f>
        <v/>
      </c>
      <c r="AL297" s="93" t="str">
        <f aca="false">IF(ISBLANK($C297),"",IF(K297=Constants!$B$4,TRUE(),IF(K297=Constants!$B$5,FALSE(),COUNTA(L297:P297)&gt;0)))</f>
        <v/>
      </c>
      <c r="AM297" s="95" t="str">
        <f aca="false">IF(ISBLANK($C297),"",IF(ISNUMBER(L297),IF(L297&gt;=0,L297,""),""))</f>
        <v/>
      </c>
      <c r="AN297" s="94" t="str">
        <f aca="false">IF(ISBLANK($C297),"",IF(ISNUMBER(M297),IF(M297&gt;=0,M297,""),""))</f>
        <v/>
      </c>
      <c r="AO297" s="94" t="str">
        <f aca="false">IF(ISBLANK($C297),"",IF(N297=Constants!$B$2,TRUE(),IF(N297=Constants!$B$3,FALSE(),TRUE())))</f>
        <v/>
      </c>
      <c r="AP297" s="93" t="str">
        <f aca="false">IF(ISBLANK($C297),"",IF(ISNUMBER(O297),IF(O297&gt;=0,O297,""),""))</f>
        <v/>
      </c>
      <c r="AQ297" s="93" t="str">
        <f aca="false">IF(ISBLANK($C297),"",IF(P297=Constants!$B$2,TRUE(),IF(P297=Constants!$B$3,FALSE(),FALSE())))</f>
        <v/>
      </c>
      <c r="AR297" s="93" t="str">
        <f aca="false">IF(ISBLANK($C297),"",IF(Q297=Constants!$B$2,TRUE(),IF(Q297=Constants!$B$3,FALSE(),TRUE())))</f>
        <v/>
      </c>
      <c r="AS297" s="93" t="str">
        <f aca="false">IF(ISBLANK($C297),"",IF(R297=Constants!$B$2,TRUE(),IF(R297=Constants!$B$3,FALSE(),TRUE())))</f>
        <v/>
      </c>
      <c r="AT297" s="93" t="str">
        <f aca="false">IF(ISBLANK($C297),"",IF(S297=Constants!$B$4,TRUE(),IF(S297=Constants!$B$5,FALSE(),COUNTA(T297:X297)&gt;0)))</f>
        <v/>
      </c>
      <c r="AU297" s="95" t="str">
        <f aca="false">IF(ISBLANK($C297),"",IF(ISNUMBER(T297),IF(T297&gt;=0,T297,""),""))</f>
        <v/>
      </c>
      <c r="AV297" s="94" t="str">
        <f aca="false">IF(ISBLANK($C297),"",IF(ISNUMBER(U297),IF(U297&gt;=0,U297,""),""))</f>
        <v/>
      </c>
      <c r="AW297" s="94" t="str">
        <f aca="false">IF(ISBLANK($C297),"",IF(V297=Constants!$B$2,TRUE(),IF(V297=Constants!$B$3,FALSE(),TRUE())))</f>
        <v/>
      </c>
      <c r="AX297" s="93" t="str">
        <f aca="false">IF(ISBLANK($C297),"",IF(ISNUMBER(W297),IF(W297&gt;=0,W297,""),""))</f>
        <v/>
      </c>
      <c r="AY297" s="93" t="str">
        <f aca="false">IF(ISBLANK($C297),"",IF(X297=Constants!$B$2,TRUE(),IF(X297=Constants!$B$3,FALSE(),FALSE())))</f>
        <v/>
      </c>
      <c r="AZ297" s="93" t="str">
        <f aca="false">IF(ISBLANK($C297),"",MIN(Constants!$B$25,MAX(0,IF(ISNUMBER(Y297),Y297*60,0)+IF(ISNUMBER(Z297),Z297,0))))</f>
        <v/>
      </c>
      <c r="BA297" s="93" t="str">
        <f aca="false">IF(ISBLANK($C297),"",IF(AA297=Constants!$B$2,TRUE(),IF(AA297=Constants!$B$3,FALSE(),FALSE())))</f>
        <v/>
      </c>
      <c r="BB297" s="92" t="str">
        <f aca="false">IF(ISBLANK($C297),"",AND($AL297,OR($AM297="",$AN297="",AND($AO297,$AP297=""))))</f>
        <v/>
      </c>
      <c r="BC297" s="94" t="str">
        <f aca="false">IF($BX297&lt;&gt;Constants!$B$6,"",IF($AL297,Constants!$B$17*$AN297+Constants!$B$18*IF($AO297,$AP297,Constants!$B$19),Constants!$B$20))</f>
        <v/>
      </c>
      <c r="BD297" s="97" t="str">
        <f aca="false">IF($BX297&lt;&gt;Constants!$B$6,"",Constants!$B$21*ABS($AD$9-IF($AL297,$AM297,0)))</f>
        <v/>
      </c>
      <c r="BE297" s="97" t="str">
        <f aca="false">IF($BX297&lt;&gt;Constants!$B$6,"",IF(AND($AL297,$AQ297,$AO297),Constants!$B$22,0))</f>
        <v/>
      </c>
      <c r="BF297" s="97" t="str">
        <f aca="false">IF($BX297&lt;&gt;Constants!$B$6,"",IF($AL297,($AI297-Constants!$B$24)*Constants!$B$23,0))</f>
        <v/>
      </c>
      <c r="BG297" s="97" t="str">
        <f aca="false">IF($BX297&lt;&gt;Constants!$B$6,"",IF($AK297,0,Constants!$B$12)+IF($AJ297,0,Constants!$B$13)+IF($AH297,0,Constants!$B$14))</f>
        <v/>
      </c>
      <c r="BH297" s="98" t="str">
        <f aca="false">IF($BX297&lt;&gt;Constants!$B$6,"",Constants!$B$16+SUM($BC297:$BG297))</f>
        <v/>
      </c>
      <c r="BI297" s="97" t="str">
        <f aca="false">IF($BX297&lt;&gt;Constants!$B$6,"",$BC297)</f>
        <v/>
      </c>
      <c r="BJ297" s="97" t="str">
        <f aca="false">IF($BX297&lt;&gt;Constants!$B$6,"",$BD297)</f>
        <v/>
      </c>
      <c r="BK297" s="99" t="str">
        <f aca="false">IF($BX297&lt;&gt;Constants!$B$6,"",IF($AL297,$AN297,""))</f>
        <v/>
      </c>
      <c r="BL297" s="93" t="str">
        <f aca="false">IF($BX297&lt;&gt;Constants!$B$6,"",IF(OR($BS297&lt;$BH297,AND($BS297=$BH297,OR($BT297&lt;$BI297,AND($BT297=$BI297,OR($BU297&lt;$BJ297,AND($BU297=$BJ297,AND(ISNUMBER($BV297),OR(NOT(ISNUMBER($BK297)),$BV297&lt;$BK297)))))))),"-&gt;","&lt;-"))</f>
        <v/>
      </c>
      <c r="BM297" s="92" t="str">
        <f aca="false">IF(ISBLANK($C297),"",AND($AT297,OR($AU297="",$AV297="",AND($AW297,$AX297=""))))</f>
        <v/>
      </c>
      <c r="BN297" s="94" t="str">
        <f aca="false">IF($BX297&lt;&gt;Constants!$B$6,"",IF($AT297,Constants!$B$17*$AV297+Constants!$B$18*IF($AW297,$AX297,Constants!$B$19),Constants!$B$20))</f>
        <v/>
      </c>
      <c r="BO297" s="97" t="str">
        <f aca="false">IF($BX297&lt;&gt;Constants!$B$6,"",Constants!$B$21*ABS($AD$9-IF($AT297,$AU297,0)))</f>
        <v/>
      </c>
      <c r="BP297" s="97" t="str">
        <f aca="false">IF($BX297&lt;&gt;Constants!$B$6,"",IF(AND($AT297,$AY297,$AW297),Constants!$B$22,0))</f>
        <v/>
      </c>
      <c r="BQ297" s="97" t="str">
        <f aca="false">IF($BX297&lt;&gt;Constants!$B$6,"",IF($AT297,($AI297-Constants!$B$24)*Constants!$B$23,0))</f>
        <v/>
      </c>
      <c r="BR297" s="97" t="str">
        <f aca="false">IF($BX297&lt;&gt;Constants!$B$6,"",IF($AS297,0,Constants!$B$12)+IF($AR297,0,Constants!$B$13)+IF($AH297,0,Constants!$B$14))</f>
        <v/>
      </c>
      <c r="BS297" s="98" t="str">
        <f aca="false">IF($BX297&lt;&gt;Constants!$B$6,"",Constants!$B$16+SUM($BN297:$BR297))</f>
        <v/>
      </c>
      <c r="BT297" s="97" t="str">
        <f aca="false">IF($BX297&lt;&gt;Constants!$B$6,"",$BN297)</f>
        <v/>
      </c>
      <c r="BU297" s="97" t="str">
        <f aca="false">IF($BX297&lt;&gt;Constants!$B$6,"",$BO297)</f>
        <v/>
      </c>
      <c r="BV297" s="99" t="str">
        <f aca="false">IF($BX297&lt;&gt;Constants!$B$6,"",IF($AT297,$AV297,""))</f>
        <v/>
      </c>
      <c r="BW297" s="93" t="str">
        <f aca="false">IF(ISBLANK($C297),"",IF(ISBLANK($D$7),$BW$5,IF(NOT(ISNUMBER($D$7)),$BW$6,"")))</f>
        <v/>
      </c>
      <c r="BX297" s="93" t="str">
        <f aca="false">IF(ISBLANK($C297),"",IF($BA297,Constants!$B$9,IF(COUNTA($E297:$AA297)=0,Constants!$B$8,IF(NOT($AG297),Constants!$B$7,IF(OR($BW297&lt;&gt;"",$BB297,$BM297),Constants!$B$10,Constants!$B$6)))))</f>
        <v/>
      </c>
      <c r="BY297" s="93" t="str">
        <f aca="false">IF(ISBLANK($C297),"",IF($BX297&lt;&gt;Constants!$B$6,$BX297,Constants!$B$11))</f>
        <v/>
      </c>
      <c r="BZ297" s="97" t="str">
        <f aca="false">IF($BX297&lt;&gt;Constants!$B$6,"",IF($BL297="-&gt;",$BS297,$BH297))</f>
        <v/>
      </c>
      <c r="CA297" s="97" t="str">
        <f aca="false">IF($BX297&lt;&gt;Constants!$B$6,"",IF($AF297,0,Constants!$B$15))</f>
        <v/>
      </c>
      <c r="CB297" s="97" t="str">
        <f aca="false">IF($BX297&lt;&gt;Constants!$B$6,"",((Constants!$B$25-$AZ297)-Constants!$B$25)/Constants!$B$26)</f>
        <v/>
      </c>
      <c r="CC297" s="97" t="str">
        <f aca="false">IF(ISBLANK($C297),"",IF($BX297&lt;&gt;Constants!$B$6,$BX297,SUM($BZ297:$CB297)))</f>
        <v/>
      </c>
      <c r="CD297" s="93" t="str">
        <f aca="false">IF(ISBLANK($C297),"",IF($BX297&lt;&gt;Constants!$B$6,$BX297,RANK($CC297,$CC$9:$CC$508,1)))</f>
        <v/>
      </c>
      <c r="CE297" s="97" t="str">
        <f aca="false">IF($BX297&lt;&gt;Constants!$B$6,"",IF($BL297="-&gt;",$BT297,$BI297))</f>
        <v/>
      </c>
      <c r="CF297" s="93" t="str">
        <f aca="false">IF(ISBLANK($C297),"",IF($BX297&lt;&gt;Constants!$B$6,$BX297,IF(ISNUMBER($CE297),RANK($CE297,$CE$9:$CE$508,1),COUNT($CE$9:$CE$508)+1)))</f>
        <v/>
      </c>
      <c r="CG297" s="97" t="str">
        <f aca="false">IF($BX297&lt;&gt;Constants!$B$6,"",IF($BL297="-&gt;",$BU297,$BJ297))</f>
        <v/>
      </c>
      <c r="CH297" s="93" t="str">
        <f aca="false">IF(ISBLANK($C297),"",IF($BX297&lt;&gt;Constants!$B$6,$BX297,IF(ISNUMBER($CG297),RANK($CG297,$CG$9:$CG$508,1),COUNT($CG$9:$CG$508)+1)))</f>
        <v/>
      </c>
      <c r="CI297" s="97" t="str">
        <f aca="false">IF($BX297&lt;&gt;Constants!$B$6,"",IF($BL297="-&gt;",$BV297,$BK297))</f>
        <v/>
      </c>
      <c r="CJ297" s="93" t="str">
        <f aca="false">IF(ISBLANK($C297),"",IF($BX297&lt;&gt;Constants!$B$6,$BX297,IF(ISNUMBER($CI297),RANK($CI297,$CI$9:$CI$508,1),COUNT($CI$9:$CI$508)+1)))</f>
        <v/>
      </c>
      <c r="CK297" s="97" t="str">
        <f aca="false">IF($BX297&lt;&gt;Constants!$B$6,"",$AI297)</f>
        <v/>
      </c>
      <c r="CL297" s="93" t="str">
        <f aca="false">IF(ISBLANK($C297),"",IF($BX297&lt;&gt;Constants!$B$6,$BX297,IF(ISNUMBER($CK297),RANK($CK297,$CK$9:$CK$508,1),COUNT($CK$9:$CK$508)+1)))</f>
        <v/>
      </c>
      <c r="CM297" s="93" t="str">
        <f aca="false">IF(ISBLANK($C297),"",IF($BX297&lt;&gt;Constants!$B$6,$BX297,COUNTIFS($CD$9:$CD$508,"&lt;"&amp;$CD297)+COUNTIFS($CD$9:$CD$508,$CD297,$CF$9:$CF$508,"&lt;"&amp;$CF297)+COUNTIFS($CD$9:$CD$508,$CD297,$CF$9:$CF$508,$CF297,$CH$9:$CH$508,"&lt;"&amp;$CH297)+COUNTIFS($CD$9:$CD$508,$CD297,$CF$9:$CF$508,$CF297,$CH$9:$CH$508,$CH297,$CJ$9:$CJ$508,"&lt;"&amp;$CJ297)+COUNTIFS($CD$9:$CD$508,$CD297,$CF$9:$CF$508,$CF297,$CH$9:$CH$508,$CH297,$CJ$9:$CJ$508,$CJ297,$CL$9:$CL$508,"&lt;"&amp;$CL297)+1))</f>
        <v/>
      </c>
      <c r="CN297" s="93" t="str">
        <f aca="false">IF(ISBLANK($C297),"",IF($BX297&lt;&gt;Constants!$B$6,$BX297,$CD297-$CM297))</f>
        <v/>
      </c>
      <c r="CO297" s="100"/>
      <c r="CP297" s="101"/>
      <c r="CQ297" s="102" t="str">
        <f aca="false">IF(ISBLANK($C297),"",IF($BX297=Constants!$B$10,$BW297,""))</f>
        <v/>
      </c>
      <c r="CR297" s="101" t="str">
        <f aca="false">IF(ISBLANK($C297),"",IF($BX297&lt;&gt;Constants!$B$6,"",IF($BL297="-&gt;",2,1)))</f>
        <v/>
      </c>
      <c r="CS297" s="103" t="str">
        <f aca="false">IF(ISBLANK($C297),"",IF($BX297&lt;&gt;Constants!$B$6,"",IF($BL297="-&gt;",$BN297,$BC297)))</f>
        <v/>
      </c>
      <c r="CT297" s="103" t="str">
        <f aca="false">IF(ISBLANK($C297),"",IF($BX297&lt;&gt;Constants!$B$6,"",IF($BL297="-&gt;",$BO297,$BD297)))</f>
        <v/>
      </c>
      <c r="CU297" s="103" t="str">
        <f aca="false">IF(ISBLANK($C297),"",IF($BX297&lt;&gt;Constants!$B$6,"",IF($BL297="-&gt;",$BP297+$BQ297,$BE297+$BF297)+$CB297))</f>
        <v/>
      </c>
      <c r="CV297" s="103" t="str">
        <f aca="false">IF(ISBLANK($C297),"",IF($BX297&lt;&gt;Constants!$B$6,"",IF($BL297="-&gt;",$BR297,$BG297)+$CA297))</f>
        <v/>
      </c>
      <c r="CW297" s="104" t="str">
        <f aca="false">IF(ISBLANK($C297),"",IF($BX297&lt;&gt;Constants!$B$6,$BX297,$CC297))</f>
        <v/>
      </c>
      <c r="CX297" s="105" t="str">
        <f aca="false">IF(ISBLANK($C297),"",$BY297)</f>
        <v/>
      </c>
      <c r="CY297" s="106" t="str">
        <f aca="false">IF(ISBLANK($C297),"",$CN297)</f>
        <v/>
      </c>
      <c r="CZ297" s="106" t="str">
        <f aca="false">IF(ISBLANK($C297),"",$CM297)</f>
        <v/>
      </c>
      <c r="DA297" s="107" t="str">
        <f aca="false">IF(ISBLANK($C297),"",IFERROR(_xlfn.SWITCH($CZ297,Constants!$B$9,COUNTA($C$9:$C$508)+2,Constants!$B$8,COUNTA($C$9:$C$508)+1,Constants!$B$7,COUNTA($C$9:$C$508)),$CZ297))</f>
        <v/>
      </c>
      <c r="DB297" s="9"/>
      <c r="DC297" s="108" t="n">
        <f aca="false">IF(OR(ISNUMBER($CZ297),$CZ297=Constants!$B$9,$CZ297=Constants!$B$7,$CZ297=Constants!$B$8),1,0)</f>
        <v>0</v>
      </c>
      <c r="DD297" s="108" t="n">
        <v>289</v>
      </c>
      <c r="DE297" s="108" t="str">
        <f aca="false">IF(ISBLANK($C297),"",IF(ISNUMBER($DA297),$DA297+ROW($B297)/1000,""))</f>
        <v/>
      </c>
      <c r="DF297" s="108" t="str">
        <f aca="false">IF(ISNUMBER($DE297),RANK($DE297,$DE$9:$DE$508,1),"")</f>
        <v/>
      </c>
      <c r="DG297" s="108" t="str">
        <f aca="false">IF(ISBLANK($C297),"",$B297)</f>
        <v/>
      </c>
      <c r="DH297" s="108" t="str">
        <f aca="false">IF(ISBLANK($C297),"",$C297)</f>
        <v/>
      </c>
      <c r="DI297" s="108" t="str">
        <f aca="false">IF(ISBLANK($C297),"",$D297)</f>
        <v/>
      </c>
      <c r="DJ297" s="109" t="str">
        <f aca="false">$CX297</f>
        <v/>
      </c>
      <c r="DK297" s="110" t="str">
        <f aca="false">$CW297</f>
        <v/>
      </c>
      <c r="DL297" s="108" t="str">
        <f aca="false">IF(ISBLANK($C297),"",$CZ297)</f>
        <v/>
      </c>
      <c r="DM297" s="111" t="str">
        <f aca="false">IF($DD297&gt;$DC$8,"",VLOOKUP($DD297,$DF$9:$DL$508,7,FALSE()))</f>
        <v/>
      </c>
      <c r="DN297" s="112" t="str">
        <f aca="false">IF($DD297&gt;$DC$8,"",VLOOKUP($DD297,$DF$9:$DL$508,2,FALSE()))</f>
        <v/>
      </c>
      <c r="DO297" s="112" t="str">
        <f aca="false">IF($DD297&gt;$DC$8,"",VLOOKUP($DD297,$DF$9:$DL$508,3,FALSE()))</f>
        <v/>
      </c>
      <c r="DP297" s="112" t="str">
        <f aca="false">IF($DD297&gt;$DC$8,"",VLOOKUP($DD297,$DF$9:$DL$508,4,FALSE()))</f>
        <v/>
      </c>
      <c r="DQ297" s="112" t="str">
        <f aca="false">IF($DD297&gt;$DC$8,"",VLOOKUP($DD297,$DF$9:$DL$508,5,FALSE()))</f>
        <v/>
      </c>
      <c r="DR297" s="113" t="str">
        <f aca="false">IF($DD297&gt;$DC$8,"",VLOOKUP($DD297,$DF$9:$DL$508,6,FALSE()))</f>
        <v/>
      </c>
      <c r="DS297" s="76"/>
    </row>
    <row r="298" customFormat="false" ht="15.75" hidden="false" customHeight="false" outlineLevel="0" collapsed="false">
      <c r="A298" s="9"/>
      <c r="B298" s="78"/>
      <c r="C298" s="79"/>
      <c r="D298" s="170"/>
      <c r="E298" s="178"/>
      <c r="F298" s="172"/>
      <c r="G298" s="173"/>
      <c r="H298" s="173"/>
      <c r="I298" s="179"/>
      <c r="J298" s="176"/>
      <c r="K298" s="86"/>
      <c r="L298" s="87"/>
      <c r="M298" s="88"/>
      <c r="N298" s="176"/>
      <c r="O298" s="176"/>
      <c r="P298" s="178"/>
      <c r="Q298" s="176"/>
      <c r="R298" s="176"/>
      <c r="S298" s="86"/>
      <c r="T298" s="88"/>
      <c r="U298" s="88"/>
      <c r="V298" s="176"/>
      <c r="W298" s="176"/>
      <c r="X298" s="178"/>
      <c r="Y298" s="176"/>
      <c r="Z298" s="177"/>
      <c r="AA298" s="176"/>
      <c r="AB298" s="92"/>
      <c r="AC298" s="93"/>
      <c r="AD298" s="93"/>
      <c r="AE298" s="93"/>
      <c r="AF298" s="93" t="str">
        <f aca="false">IF(ISBLANK($C298),"",IF(E298=Constants!$B$2,TRUE(),IF(E298=Constants!$B$3,FALSE(),TRUE())))</f>
        <v/>
      </c>
      <c r="AG298" s="93" t="str">
        <f aca="false">IF(ISBLANK($C298),"",IF(F298=Constants!$B$2,TRUE(),IF(F298=Constants!$B$3,FALSE(),TRUE())))</f>
        <v/>
      </c>
      <c r="AH298" s="93" t="str">
        <f aca="false">IF(ISBLANK($C298),"",IF(G298=Constants!$B$2,TRUE(),IF(G298=Constants!$B$3,FALSE(),TRUE())))</f>
        <v/>
      </c>
      <c r="AI298" s="93" t="str">
        <f aca="false">IF(ISBLANK($C298),"",IF(AND(ISNUMBER(H298),H298&gt;=0),H298,Constants!$B$24))</f>
        <v/>
      </c>
      <c r="AJ298" s="93" t="str">
        <f aca="false">IF(ISBLANK($C298),"",IF(I298=Constants!$B$2,TRUE(),IF(I298=Constants!$B$3,FALSE(),TRUE())))</f>
        <v/>
      </c>
      <c r="AK298" s="93" t="str">
        <f aca="false">IF(ISBLANK($C298),"",IF(J298=Constants!$B$2,TRUE(),IF(J298=Constants!$B$3,FALSE(),TRUE())))</f>
        <v/>
      </c>
      <c r="AL298" s="93" t="str">
        <f aca="false">IF(ISBLANK($C298),"",IF(K298=Constants!$B$4,TRUE(),IF(K298=Constants!$B$5,FALSE(),COUNTA(L298:P298)&gt;0)))</f>
        <v/>
      </c>
      <c r="AM298" s="95" t="str">
        <f aca="false">IF(ISBLANK($C298),"",IF(ISNUMBER(L298),IF(L298&gt;=0,L298,""),""))</f>
        <v/>
      </c>
      <c r="AN298" s="94" t="str">
        <f aca="false">IF(ISBLANK($C298),"",IF(ISNUMBER(M298),IF(M298&gt;=0,M298,""),""))</f>
        <v/>
      </c>
      <c r="AO298" s="94" t="str">
        <f aca="false">IF(ISBLANK($C298),"",IF(N298=Constants!$B$2,TRUE(),IF(N298=Constants!$B$3,FALSE(),TRUE())))</f>
        <v/>
      </c>
      <c r="AP298" s="93" t="str">
        <f aca="false">IF(ISBLANK($C298),"",IF(ISNUMBER(O298),IF(O298&gt;=0,O298,""),""))</f>
        <v/>
      </c>
      <c r="AQ298" s="93" t="str">
        <f aca="false">IF(ISBLANK($C298),"",IF(P298=Constants!$B$2,TRUE(),IF(P298=Constants!$B$3,FALSE(),FALSE())))</f>
        <v/>
      </c>
      <c r="AR298" s="93" t="str">
        <f aca="false">IF(ISBLANK($C298),"",IF(Q298=Constants!$B$2,TRUE(),IF(Q298=Constants!$B$3,FALSE(),TRUE())))</f>
        <v/>
      </c>
      <c r="AS298" s="93" t="str">
        <f aca="false">IF(ISBLANK($C298),"",IF(R298=Constants!$B$2,TRUE(),IF(R298=Constants!$B$3,FALSE(),TRUE())))</f>
        <v/>
      </c>
      <c r="AT298" s="93" t="str">
        <f aca="false">IF(ISBLANK($C298),"",IF(S298=Constants!$B$4,TRUE(),IF(S298=Constants!$B$5,FALSE(),COUNTA(T298:X298)&gt;0)))</f>
        <v/>
      </c>
      <c r="AU298" s="95" t="str">
        <f aca="false">IF(ISBLANK($C298),"",IF(ISNUMBER(T298),IF(T298&gt;=0,T298,""),""))</f>
        <v/>
      </c>
      <c r="AV298" s="94" t="str">
        <f aca="false">IF(ISBLANK($C298),"",IF(ISNUMBER(U298),IF(U298&gt;=0,U298,""),""))</f>
        <v/>
      </c>
      <c r="AW298" s="94" t="str">
        <f aca="false">IF(ISBLANK($C298),"",IF(V298=Constants!$B$2,TRUE(),IF(V298=Constants!$B$3,FALSE(),TRUE())))</f>
        <v/>
      </c>
      <c r="AX298" s="93" t="str">
        <f aca="false">IF(ISBLANK($C298),"",IF(ISNUMBER(W298),IF(W298&gt;=0,W298,""),""))</f>
        <v/>
      </c>
      <c r="AY298" s="93" t="str">
        <f aca="false">IF(ISBLANK($C298),"",IF(X298=Constants!$B$2,TRUE(),IF(X298=Constants!$B$3,FALSE(),FALSE())))</f>
        <v/>
      </c>
      <c r="AZ298" s="93" t="str">
        <f aca="false">IF(ISBLANK($C298),"",MIN(Constants!$B$25,MAX(0,IF(ISNUMBER(Y298),Y298*60,0)+IF(ISNUMBER(Z298),Z298,0))))</f>
        <v/>
      </c>
      <c r="BA298" s="93" t="str">
        <f aca="false">IF(ISBLANK($C298),"",IF(AA298=Constants!$B$2,TRUE(),IF(AA298=Constants!$B$3,FALSE(),FALSE())))</f>
        <v/>
      </c>
      <c r="BB298" s="92" t="str">
        <f aca="false">IF(ISBLANK($C298),"",AND($AL298,OR($AM298="",$AN298="",AND($AO298,$AP298=""))))</f>
        <v/>
      </c>
      <c r="BC298" s="94" t="str">
        <f aca="false">IF($BX298&lt;&gt;Constants!$B$6,"",IF($AL298,Constants!$B$17*$AN298+Constants!$B$18*IF($AO298,$AP298,Constants!$B$19),Constants!$B$20))</f>
        <v/>
      </c>
      <c r="BD298" s="97" t="str">
        <f aca="false">IF($BX298&lt;&gt;Constants!$B$6,"",Constants!$B$21*ABS($AD$9-IF($AL298,$AM298,0)))</f>
        <v/>
      </c>
      <c r="BE298" s="97" t="str">
        <f aca="false">IF($BX298&lt;&gt;Constants!$B$6,"",IF(AND($AL298,$AQ298,$AO298),Constants!$B$22,0))</f>
        <v/>
      </c>
      <c r="BF298" s="97" t="str">
        <f aca="false">IF($BX298&lt;&gt;Constants!$B$6,"",IF($AL298,($AI298-Constants!$B$24)*Constants!$B$23,0))</f>
        <v/>
      </c>
      <c r="BG298" s="97" t="str">
        <f aca="false">IF($BX298&lt;&gt;Constants!$B$6,"",IF($AK298,0,Constants!$B$12)+IF($AJ298,0,Constants!$B$13)+IF($AH298,0,Constants!$B$14))</f>
        <v/>
      </c>
      <c r="BH298" s="98" t="str">
        <f aca="false">IF($BX298&lt;&gt;Constants!$B$6,"",Constants!$B$16+SUM($BC298:$BG298))</f>
        <v/>
      </c>
      <c r="BI298" s="97" t="str">
        <f aca="false">IF($BX298&lt;&gt;Constants!$B$6,"",$BC298)</f>
        <v/>
      </c>
      <c r="BJ298" s="97" t="str">
        <f aca="false">IF($BX298&lt;&gt;Constants!$B$6,"",$BD298)</f>
        <v/>
      </c>
      <c r="BK298" s="99" t="str">
        <f aca="false">IF($BX298&lt;&gt;Constants!$B$6,"",IF($AL298,$AN298,""))</f>
        <v/>
      </c>
      <c r="BL298" s="93" t="str">
        <f aca="false">IF($BX298&lt;&gt;Constants!$B$6,"",IF(OR($BS298&lt;$BH298,AND($BS298=$BH298,OR($BT298&lt;$BI298,AND($BT298=$BI298,OR($BU298&lt;$BJ298,AND($BU298=$BJ298,AND(ISNUMBER($BV298),OR(NOT(ISNUMBER($BK298)),$BV298&lt;$BK298)))))))),"-&gt;","&lt;-"))</f>
        <v/>
      </c>
      <c r="BM298" s="92" t="str">
        <f aca="false">IF(ISBLANK($C298),"",AND($AT298,OR($AU298="",$AV298="",AND($AW298,$AX298=""))))</f>
        <v/>
      </c>
      <c r="BN298" s="94" t="str">
        <f aca="false">IF($BX298&lt;&gt;Constants!$B$6,"",IF($AT298,Constants!$B$17*$AV298+Constants!$B$18*IF($AW298,$AX298,Constants!$B$19),Constants!$B$20))</f>
        <v/>
      </c>
      <c r="BO298" s="97" t="str">
        <f aca="false">IF($BX298&lt;&gt;Constants!$B$6,"",Constants!$B$21*ABS($AD$9-IF($AT298,$AU298,0)))</f>
        <v/>
      </c>
      <c r="BP298" s="97" t="str">
        <f aca="false">IF($BX298&lt;&gt;Constants!$B$6,"",IF(AND($AT298,$AY298,$AW298),Constants!$B$22,0))</f>
        <v/>
      </c>
      <c r="BQ298" s="97" t="str">
        <f aca="false">IF($BX298&lt;&gt;Constants!$B$6,"",IF($AT298,($AI298-Constants!$B$24)*Constants!$B$23,0))</f>
        <v/>
      </c>
      <c r="BR298" s="97" t="str">
        <f aca="false">IF($BX298&lt;&gt;Constants!$B$6,"",IF($AS298,0,Constants!$B$12)+IF($AR298,0,Constants!$B$13)+IF($AH298,0,Constants!$B$14))</f>
        <v/>
      </c>
      <c r="BS298" s="98" t="str">
        <f aca="false">IF($BX298&lt;&gt;Constants!$B$6,"",Constants!$B$16+SUM($BN298:$BR298))</f>
        <v/>
      </c>
      <c r="BT298" s="97" t="str">
        <f aca="false">IF($BX298&lt;&gt;Constants!$B$6,"",$BN298)</f>
        <v/>
      </c>
      <c r="BU298" s="97" t="str">
        <f aca="false">IF($BX298&lt;&gt;Constants!$B$6,"",$BO298)</f>
        <v/>
      </c>
      <c r="BV298" s="99" t="str">
        <f aca="false">IF($BX298&lt;&gt;Constants!$B$6,"",IF($AT298,$AV298,""))</f>
        <v/>
      </c>
      <c r="BW298" s="93" t="str">
        <f aca="false">IF(ISBLANK($C298),"",IF(ISBLANK($D$7),$BW$5,IF(NOT(ISNUMBER($D$7)),$BW$6,"")))</f>
        <v/>
      </c>
      <c r="BX298" s="93" t="str">
        <f aca="false">IF(ISBLANK($C298),"",IF($BA298,Constants!$B$9,IF(COUNTA($E298:$AA298)=0,Constants!$B$8,IF(NOT($AG298),Constants!$B$7,IF(OR($BW298&lt;&gt;"",$BB298,$BM298),Constants!$B$10,Constants!$B$6)))))</f>
        <v/>
      </c>
      <c r="BY298" s="93" t="str">
        <f aca="false">IF(ISBLANK($C298),"",IF($BX298&lt;&gt;Constants!$B$6,$BX298,Constants!$B$11))</f>
        <v/>
      </c>
      <c r="BZ298" s="97" t="str">
        <f aca="false">IF($BX298&lt;&gt;Constants!$B$6,"",IF($BL298="-&gt;",$BS298,$BH298))</f>
        <v/>
      </c>
      <c r="CA298" s="97" t="str">
        <f aca="false">IF($BX298&lt;&gt;Constants!$B$6,"",IF($AF298,0,Constants!$B$15))</f>
        <v/>
      </c>
      <c r="CB298" s="97" t="str">
        <f aca="false">IF($BX298&lt;&gt;Constants!$B$6,"",((Constants!$B$25-$AZ298)-Constants!$B$25)/Constants!$B$26)</f>
        <v/>
      </c>
      <c r="CC298" s="97" t="str">
        <f aca="false">IF(ISBLANK($C298),"",IF($BX298&lt;&gt;Constants!$B$6,$BX298,SUM($BZ298:$CB298)))</f>
        <v/>
      </c>
      <c r="CD298" s="93" t="str">
        <f aca="false">IF(ISBLANK($C298),"",IF($BX298&lt;&gt;Constants!$B$6,$BX298,RANK($CC298,$CC$9:$CC$508,1)))</f>
        <v/>
      </c>
      <c r="CE298" s="97" t="str">
        <f aca="false">IF($BX298&lt;&gt;Constants!$B$6,"",IF($BL298="-&gt;",$BT298,$BI298))</f>
        <v/>
      </c>
      <c r="CF298" s="93" t="str">
        <f aca="false">IF(ISBLANK($C298),"",IF($BX298&lt;&gt;Constants!$B$6,$BX298,IF(ISNUMBER($CE298),RANK($CE298,$CE$9:$CE$508,1),COUNT($CE$9:$CE$508)+1)))</f>
        <v/>
      </c>
      <c r="CG298" s="97" t="str">
        <f aca="false">IF($BX298&lt;&gt;Constants!$B$6,"",IF($BL298="-&gt;",$BU298,$BJ298))</f>
        <v/>
      </c>
      <c r="CH298" s="93" t="str">
        <f aca="false">IF(ISBLANK($C298),"",IF($BX298&lt;&gt;Constants!$B$6,$BX298,IF(ISNUMBER($CG298),RANK($CG298,$CG$9:$CG$508,1),COUNT($CG$9:$CG$508)+1)))</f>
        <v/>
      </c>
      <c r="CI298" s="97" t="str">
        <f aca="false">IF($BX298&lt;&gt;Constants!$B$6,"",IF($BL298="-&gt;",$BV298,$BK298))</f>
        <v/>
      </c>
      <c r="CJ298" s="93" t="str">
        <f aca="false">IF(ISBLANK($C298),"",IF($BX298&lt;&gt;Constants!$B$6,$BX298,IF(ISNUMBER($CI298),RANK($CI298,$CI$9:$CI$508,1),COUNT($CI$9:$CI$508)+1)))</f>
        <v/>
      </c>
      <c r="CK298" s="97" t="str">
        <f aca="false">IF($BX298&lt;&gt;Constants!$B$6,"",$AI298)</f>
        <v/>
      </c>
      <c r="CL298" s="93" t="str">
        <f aca="false">IF(ISBLANK($C298),"",IF($BX298&lt;&gt;Constants!$B$6,$BX298,IF(ISNUMBER($CK298),RANK($CK298,$CK$9:$CK$508,1),COUNT($CK$9:$CK$508)+1)))</f>
        <v/>
      </c>
      <c r="CM298" s="93" t="str">
        <f aca="false">IF(ISBLANK($C298),"",IF($BX298&lt;&gt;Constants!$B$6,$BX298,COUNTIFS($CD$9:$CD$508,"&lt;"&amp;$CD298)+COUNTIFS($CD$9:$CD$508,$CD298,$CF$9:$CF$508,"&lt;"&amp;$CF298)+COUNTIFS($CD$9:$CD$508,$CD298,$CF$9:$CF$508,$CF298,$CH$9:$CH$508,"&lt;"&amp;$CH298)+COUNTIFS($CD$9:$CD$508,$CD298,$CF$9:$CF$508,$CF298,$CH$9:$CH$508,$CH298,$CJ$9:$CJ$508,"&lt;"&amp;$CJ298)+COUNTIFS($CD$9:$CD$508,$CD298,$CF$9:$CF$508,$CF298,$CH$9:$CH$508,$CH298,$CJ$9:$CJ$508,$CJ298,$CL$9:$CL$508,"&lt;"&amp;$CL298)+1))</f>
        <v/>
      </c>
      <c r="CN298" s="93" t="str">
        <f aca="false">IF(ISBLANK($C298),"",IF($BX298&lt;&gt;Constants!$B$6,$BX298,$CD298-$CM298))</f>
        <v/>
      </c>
      <c r="CO298" s="100"/>
      <c r="CP298" s="101"/>
      <c r="CQ298" s="102" t="str">
        <f aca="false">IF(ISBLANK($C298),"",IF($BX298=Constants!$B$10,$BW298,""))</f>
        <v/>
      </c>
      <c r="CR298" s="101" t="str">
        <f aca="false">IF(ISBLANK($C298),"",IF($BX298&lt;&gt;Constants!$B$6,"",IF($BL298="-&gt;",2,1)))</f>
        <v/>
      </c>
      <c r="CS298" s="103" t="str">
        <f aca="false">IF(ISBLANK($C298),"",IF($BX298&lt;&gt;Constants!$B$6,"",IF($BL298="-&gt;",$BN298,$BC298)))</f>
        <v/>
      </c>
      <c r="CT298" s="103" t="str">
        <f aca="false">IF(ISBLANK($C298),"",IF($BX298&lt;&gt;Constants!$B$6,"",IF($BL298="-&gt;",$BO298,$BD298)))</f>
        <v/>
      </c>
      <c r="CU298" s="103" t="str">
        <f aca="false">IF(ISBLANK($C298),"",IF($BX298&lt;&gt;Constants!$B$6,"",IF($BL298="-&gt;",$BP298+$BQ298,$BE298+$BF298)+$CB298))</f>
        <v/>
      </c>
      <c r="CV298" s="103" t="str">
        <f aca="false">IF(ISBLANK($C298),"",IF($BX298&lt;&gt;Constants!$B$6,"",IF($BL298="-&gt;",$BR298,$BG298)+$CA298))</f>
        <v/>
      </c>
      <c r="CW298" s="104" t="str">
        <f aca="false">IF(ISBLANK($C298),"",IF($BX298&lt;&gt;Constants!$B$6,$BX298,$CC298))</f>
        <v/>
      </c>
      <c r="CX298" s="105" t="str">
        <f aca="false">IF(ISBLANK($C298),"",$BY298)</f>
        <v/>
      </c>
      <c r="CY298" s="106" t="str">
        <f aca="false">IF(ISBLANK($C298),"",$CN298)</f>
        <v/>
      </c>
      <c r="CZ298" s="106" t="str">
        <f aca="false">IF(ISBLANK($C298),"",$CM298)</f>
        <v/>
      </c>
      <c r="DA298" s="107" t="str">
        <f aca="false">IF(ISBLANK($C298),"",IFERROR(_xlfn.SWITCH($CZ298,Constants!$B$9,COUNTA($C$9:$C$508)+2,Constants!$B$8,COUNTA($C$9:$C$508)+1,Constants!$B$7,COUNTA($C$9:$C$508)),$CZ298))</f>
        <v/>
      </c>
      <c r="DB298" s="9"/>
      <c r="DC298" s="108" t="n">
        <f aca="false">IF(OR(ISNUMBER($CZ298),$CZ298=Constants!$B$9,$CZ298=Constants!$B$7,$CZ298=Constants!$B$8),1,0)</f>
        <v>0</v>
      </c>
      <c r="DD298" s="108" t="n">
        <v>290</v>
      </c>
      <c r="DE298" s="108" t="str">
        <f aca="false">IF(ISBLANK($C298),"",IF(ISNUMBER($DA298),$DA298+ROW($B298)/1000,""))</f>
        <v/>
      </c>
      <c r="DF298" s="108" t="str">
        <f aca="false">IF(ISNUMBER($DE298),RANK($DE298,$DE$9:$DE$508,1),"")</f>
        <v/>
      </c>
      <c r="DG298" s="108" t="str">
        <f aca="false">IF(ISBLANK($C298),"",$B298)</f>
        <v/>
      </c>
      <c r="DH298" s="108" t="str">
        <f aca="false">IF(ISBLANK($C298),"",$C298)</f>
        <v/>
      </c>
      <c r="DI298" s="108" t="str">
        <f aca="false">IF(ISBLANK($C298),"",$D298)</f>
        <v/>
      </c>
      <c r="DJ298" s="109" t="str">
        <f aca="false">$CX298</f>
        <v/>
      </c>
      <c r="DK298" s="110" t="str">
        <f aca="false">$CW298</f>
        <v/>
      </c>
      <c r="DL298" s="108" t="str">
        <f aca="false">IF(ISBLANK($C298),"",$CZ298)</f>
        <v/>
      </c>
      <c r="DM298" s="111" t="str">
        <f aca="false">IF($DD298&gt;$DC$8,"",VLOOKUP($DD298,$DF$9:$DL$508,7,FALSE()))</f>
        <v/>
      </c>
      <c r="DN298" s="112" t="str">
        <f aca="false">IF($DD298&gt;$DC$8,"",VLOOKUP($DD298,$DF$9:$DL$508,2,FALSE()))</f>
        <v/>
      </c>
      <c r="DO298" s="112" t="str">
        <f aca="false">IF($DD298&gt;$DC$8,"",VLOOKUP($DD298,$DF$9:$DL$508,3,FALSE()))</f>
        <v/>
      </c>
      <c r="DP298" s="112" t="str">
        <f aca="false">IF($DD298&gt;$DC$8,"",VLOOKUP($DD298,$DF$9:$DL$508,4,FALSE()))</f>
        <v/>
      </c>
      <c r="DQ298" s="112" t="str">
        <f aca="false">IF($DD298&gt;$DC$8,"",VLOOKUP($DD298,$DF$9:$DL$508,5,FALSE()))</f>
        <v/>
      </c>
      <c r="DR298" s="113" t="str">
        <f aca="false">IF($DD298&gt;$DC$8,"",VLOOKUP($DD298,$DF$9:$DL$508,6,FALSE()))</f>
        <v/>
      </c>
      <c r="DS298" s="76"/>
    </row>
    <row r="299" customFormat="false" ht="15.75" hidden="false" customHeight="false" outlineLevel="0" collapsed="false">
      <c r="A299" s="9"/>
      <c r="B299" s="78"/>
      <c r="C299" s="79"/>
      <c r="D299" s="170"/>
      <c r="E299" s="178"/>
      <c r="F299" s="172"/>
      <c r="G299" s="173"/>
      <c r="H299" s="173"/>
      <c r="I299" s="179"/>
      <c r="J299" s="176"/>
      <c r="K299" s="86"/>
      <c r="L299" s="87"/>
      <c r="M299" s="88"/>
      <c r="N299" s="176"/>
      <c r="O299" s="176"/>
      <c r="P299" s="178"/>
      <c r="Q299" s="176"/>
      <c r="R299" s="176"/>
      <c r="S299" s="86"/>
      <c r="T299" s="88"/>
      <c r="U299" s="88"/>
      <c r="V299" s="176"/>
      <c r="W299" s="176"/>
      <c r="X299" s="178"/>
      <c r="Y299" s="176"/>
      <c r="Z299" s="177"/>
      <c r="AA299" s="176"/>
      <c r="AB299" s="92"/>
      <c r="AC299" s="93"/>
      <c r="AD299" s="93"/>
      <c r="AE299" s="93"/>
      <c r="AF299" s="93" t="str">
        <f aca="false">IF(ISBLANK($C299),"",IF(E299=Constants!$B$2,TRUE(),IF(E299=Constants!$B$3,FALSE(),TRUE())))</f>
        <v/>
      </c>
      <c r="AG299" s="93" t="str">
        <f aca="false">IF(ISBLANK($C299),"",IF(F299=Constants!$B$2,TRUE(),IF(F299=Constants!$B$3,FALSE(),TRUE())))</f>
        <v/>
      </c>
      <c r="AH299" s="93" t="str">
        <f aca="false">IF(ISBLANK($C299),"",IF(G299=Constants!$B$2,TRUE(),IF(G299=Constants!$B$3,FALSE(),TRUE())))</f>
        <v/>
      </c>
      <c r="AI299" s="93" t="str">
        <f aca="false">IF(ISBLANK($C299),"",IF(AND(ISNUMBER(H299),H299&gt;=0),H299,Constants!$B$24))</f>
        <v/>
      </c>
      <c r="AJ299" s="93" t="str">
        <f aca="false">IF(ISBLANK($C299),"",IF(I299=Constants!$B$2,TRUE(),IF(I299=Constants!$B$3,FALSE(),TRUE())))</f>
        <v/>
      </c>
      <c r="AK299" s="93" t="str">
        <f aca="false">IF(ISBLANK($C299),"",IF(J299=Constants!$B$2,TRUE(),IF(J299=Constants!$B$3,FALSE(),TRUE())))</f>
        <v/>
      </c>
      <c r="AL299" s="93" t="str">
        <f aca="false">IF(ISBLANK($C299),"",IF(K299=Constants!$B$4,TRUE(),IF(K299=Constants!$B$5,FALSE(),COUNTA(L299:P299)&gt;0)))</f>
        <v/>
      </c>
      <c r="AM299" s="95" t="str">
        <f aca="false">IF(ISBLANK($C299),"",IF(ISNUMBER(L299),IF(L299&gt;=0,L299,""),""))</f>
        <v/>
      </c>
      <c r="AN299" s="94" t="str">
        <f aca="false">IF(ISBLANK($C299),"",IF(ISNUMBER(M299),IF(M299&gt;=0,M299,""),""))</f>
        <v/>
      </c>
      <c r="AO299" s="94" t="str">
        <f aca="false">IF(ISBLANK($C299),"",IF(N299=Constants!$B$2,TRUE(),IF(N299=Constants!$B$3,FALSE(),TRUE())))</f>
        <v/>
      </c>
      <c r="AP299" s="93" t="str">
        <f aca="false">IF(ISBLANK($C299),"",IF(ISNUMBER(O299),IF(O299&gt;=0,O299,""),""))</f>
        <v/>
      </c>
      <c r="AQ299" s="93" t="str">
        <f aca="false">IF(ISBLANK($C299),"",IF(P299=Constants!$B$2,TRUE(),IF(P299=Constants!$B$3,FALSE(),FALSE())))</f>
        <v/>
      </c>
      <c r="AR299" s="93" t="str">
        <f aca="false">IF(ISBLANK($C299),"",IF(Q299=Constants!$B$2,TRUE(),IF(Q299=Constants!$B$3,FALSE(),TRUE())))</f>
        <v/>
      </c>
      <c r="AS299" s="93" t="str">
        <f aca="false">IF(ISBLANK($C299),"",IF(R299=Constants!$B$2,TRUE(),IF(R299=Constants!$B$3,FALSE(),TRUE())))</f>
        <v/>
      </c>
      <c r="AT299" s="93" t="str">
        <f aca="false">IF(ISBLANK($C299),"",IF(S299=Constants!$B$4,TRUE(),IF(S299=Constants!$B$5,FALSE(),COUNTA(T299:X299)&gt;0)))</f>
        <v/>
      </c>
      <c r="AU299" s="95" t="str">
        <f aca="false">IF(ISBLANK($C299),"",IF(ISNUMBER(T299),IF(T299&gt;=0,T299,""),""))</f>
        <v/>
      </c>
      <c r="AV299" s="94" t="str">
        <f aca="false">IF(ISBLANK($C299),"",IF(ISNUMBER(U299),IF(U299&gt;=0,U299,""),""))</f>
        <v/>
      </c>
      <c r="AW299" s="94" t="str">
        <f aca="false">IF(ISBLANK($C299),"",IF(V299=Constants!$B$2,TRUE(),IF(V299=Constants!$B$3,FALSE(),TRUE())))</f>
        <v/>
      </c>
      <c r="AX299" s="93" t="str">
        <f aca="false">IF(ISBLANK($C299),"",IF(ISNUMBER(W299),IF(W299&gt;=0,W299,""),""))</f>
        <v/>
      </c>
      <c r="AY299" s="93" t="str">
        <f aca="false">IF(ISBLANK($C299),"",IF(X299=Constants!$B$2,TRUE(),IF(X299=Constants!$B$3,FALSE(),FALSE())))</f>
        <v/>
      </c>
      <c r="AZ299" s="93" t="str">
        <f aca="false">IF(ISBLANK($C299),"",MIN(Constants!$B$25,MAX(0,IF(ISNUMBER(Y299),Y299*60,0)+IF(ISNUMBER(Z299),Z299,0))))</f>
        <v/>
      </c>
      <c r="BA299" s="93" t="str">
        <f aca="false">IF(ISBLANK($C299),"",IF(AA299=Constants!$B$2,TRUE(),IF(AA299=Constants!$B$3,FALSE(),FALSE())))</f>
        <v/>
      </c>
      <c r="BB299" s="92" t="str">
        <f aca="false">IF(ISBLANK($C299),"",AND($AL299,OR($AM299="",$AN299="",AND($AO299,$AP299=""))))</f>
        <v/>
      </c>
      <c r="BC299" s="94" t="str">
        <f aca="false">IF($BX299&lt;&gt;Constants!$B$6,"",IF($AL299,Constants!$B$17*$AN299+Constants!$B$18*IF($AO299,$AP299,Constants!$B$19),Constants!$B$20))</f>
        <v/>
      </c>
      <c r="BD299" s="97" t="str">
        <f aca="false">IF($BX299&lt;&gt;Constants!$B$6,"",Constants!$B$21*ABS($AD$9-IF($AL299,$AM299,0)))</f>
        <v/>
      </c>
      <c r="BE299" s="97" t="str">
        <f aca="false">IF($BX299&lt;&gt;Constants!$B$6,"",IF(AND($AL299,$AQ299,$AO299),Constants!$B$22,0))</f>
        <v/>
      </c>
      <c r="BF299" s="97" t="str">
        <f aca="false">IF($BX299&lt;&gt;Constants!$B$6,"",IF($AL299,($AI299-Constants!$B$24)*Constants!$B$23,0))</f>
        <v/>
      </c>
      <c r="BG299" s="97" t="str">
        <f aca="false">IF($BX299&lt;&gt;Constants!$B$6,"",IF($AK299,0,Constants!$B$12)+IF($AJ299,0,Constants!$B$13)+IF($AH299,0,Constants!$B$14))</f>
        <v/>
      </c>
      <c r="BH299" s="98" t="str">
        <f aca="false">IF($BX299&lt;&gt;Constants!$B$6,"",Constants!$B$16+SUM($BC299:$BG299))</f>
        <v/>
      </c>
      <c r="BI299" s="97" t="str">
        <f aca="false">IF($BX299&lt;&gt;Constants!$B$6,"",$BC299)</f>
        <v/>
      </c>
      <c r="BJ299" s="97" t="str">
        <f aca="false">IF($BX299&lt;&gt;Constants!$B$6,"",$BD299)</f>
        <v/>
      </c>
      <c r="BK299" s="99" t="str">
        <f aca="false">IF($BX299&lt;&gt;Constants!$B$6,"",IF($AL299,$AN299,""))</f>
        <v/>
      </c>
      <c r="BL299" s="93" t="str">
        <f aca="false">IF($BX299&lt;&gt;Constants!$B$6,"",IF(OR($BS299&lt;$BH299,AND($BS299=$BH299,OR($BT299&lt;$BI299,AND($BT299=$BI299,OR($BU299&lt;$BJ299,AND($BU299=$BJ299,AND(ISNUMBER($BV299),OR(NOT(ISNUMBER($BK299)),$BV299&lt;$BK299)))))))),"-&gt;","&lt;-"))</f>
        <v/>
      </c>
      <c r="BM299" s="92" t="str">
        <f aca="false">IF(ISBLANK($C299),"",AND($AT299,OR($AU299="",$AV299="",AND($AW299,$AX299=""))))</f>
        <v/>
      </c>
      <c r="BN299" s="94" t="str">
        <f aca="false">IF($BX299&lt;&gt;Constants!$B$6,"",IF($AT299,Constants!$B$17*$AV299+Constants!$B$18*IF($AW299,$AX299,Constants!$B$19),Constants!$B$20))</f>
        <v/>
      </c>
      <c r="BO299" s="97" t="str">
        <f aca="false">IF($BX299&lt;&gt;Constants!$B$6,"",Constants!$B$21*ABS($AD$9-IF($AT299,$AU299,0)))</f>
        <v/>
      </c>
      <c r="BP299" s="97" t="str">
        <f aca="false">IF($BX299&lt;&gt;Constants!$B$6,"",IF(AND($AT299,$AY299,$AW299),Constants!$B$22,0))</f>
        <v/>
      </c>
      <c r="BQ299" s="97" t="str">
        <f aca="false">IF($BX299&lt;&gt;Constants!$B$6,"",IF($AT299,($AI299-Constants!$B$24)*Constants!$B$23,0))</f>
        <v/>
      </c>
      <c r="BR299" s="97" t="str">
        <f aca="false">IF($BX299&lt;&gt;Constants!$B$6,"",IF($AS299,0,Constants!$B$12)+IF($AR299,0,Constants!$B$13)+IF($AH299,0,Constants!$B$14))</f>
        <v/>
      </c>
      <c r="BS299" s="98" t="str">
        <f aca="false">IF($BX299&lt;&gt;Constants!$B$6,"",Constants!$B$16+SUM($BN299:$BR299))</f>
        <v/>
      </c>
      <c r="BT299" s="97" t="str">
        <f aca="false">IF($BX299&lt;&gt;Constants!$B$6,"",$BN299)</f>
        <v/>
      </c>
      <c r="BU299" s="97" t="str">
        <f aca="false">IF($BX299&lt;&gt;Constants!$B$6,"",$BO299)</f>
        <v/>
      </c>
      <c r="BV299" s="99" t="str">
        <f aca="false">IF($BX299&lt;&gt;Constants!$B$6,"",IF($AT299,$AV299,""))</f>
        <v/>
      </c>
      <c r="BW299" s="93" t="str">
        <f aca="false">IF(ISBLANK($C299),"",IF(ISBLANK($D$7),$BW$5,IF(NOT(ISNUMBER($D$7)),$BW$6,"")))</f>
        <v/>
      </c>
      <c r="BX299" s="93" t="str">
        <f aca="false">IF(ISBLANK($C299),"",IF($BA299,Constants!$B$9,IF(COUNTA($E299:$AA299)=0,Constants!$B$8,IF(NOT($AG299),Constants!$B$7,IF(OR($BW299&lt;&gt;"",$BB299,$BM299),Constants!$B$10,Constants!$B$6)))))</f>
        <v/>
      </c>
      <c r="BY299" s="93" t="str">
        <f aca="false">IF(ISBLANK($C299),"",IF($BX299&lt;&gt;Constants!$B$6,$BX299,Constants!$B$11))</f>
        <v/>
      </c>
      <c r="BZ299" s="97" t="str">
        <f aca="false">IF($BX299&lt;&gt;Constants!$B$6,"",IF($BL299="-&gt;",$BS299,$BH299))</f>
        <v/>
      </c>
      <c r="CA299" s="97" t="str">
        <f aca="false">IF($BX299&lt;&gt;Constants!$B$6,"",IF($AF299,0,Constants!$B$15))</f>
        <v/>
      </c>
      <c r="CB299" s="97" t="str">
        <f aca="false">IF($BX299&lt;&gt;Constants!$B$6,"",((Constants!$B$25-$AZ299)-Constants!$B$25)/Constants!$B$26)</f>
        <v/>
      </c>
      <c r="CC299" s="97" t="str">
        <f aca="false">IF(ISBLANK($C299),"",IF($BX299&lt;&gt;Constants!$B$6,$BX299,SUM($BZ299:$CB299)))</f>
        <v/>
      </c>
      <c r="CD299" s="93" t="str">
        <f aca="false">IF(ISBLANK($C299),"",IF($BX299&lt;&gt;Constants!$B$6,$BX299,RANK($CC299,$CC$9:$CC$508,1)))</f>
        <v/>
      </c>
      <c r="CE299" s="97" t="str">
        <f aca="false">IF($BX299&lt;&gt;Constants!$B$6,"",IF($BL299="-&gt;",$BT299,$BI299))</f>
        <v/>
      </c>
      <c r="CF299" s="93" t="str">
        <f aca="false">IF(ISBLANK($C299),"",IF($BX299&lt;&gt;Constants!$B$6,$BX299,IF(ISNUMBER($CE299),RANK($CE299,$CE$9:$CE$508,1),COUNT($CE$9:$CE$508)+1)))</f>
        <v/>
      </c>
      <c r="CG299" s="97" t="str">
        <f aca="false">IF($BX299&lt;&gt;Constants!$B$6,"",IF($BL299="-&gt;",$BU299,$BJ299))</f>
        <v/>
      </c>
      <c r="CH299" s="93" t="str">
        <f aca="false">IF(ISBLANK($C299),"",IF($BX299&lt;&gt;Constants!$B$6,$BX299,IF(ISNUMBER($CG299),RANK($CG299,$CG$9:$CG$508,1),COUNT($CG$9:$CG$508)+1)))</f>
        <v/>
      </c>
      <c r="CI299" s="97" t="str">
        <f aca="false">IF($BX299&lt;&gt;Constants!$B$6,"",IF($BL299="-&gt;",$BV299,$BK299))</f>
        <v/>
      </c>
      <c r="CJ299" s="93" t="str">
        <f aca="false">IF(ISBLANK($C299),"",IF($BX299&lt;&gt;Constants!$B$6,$BX299,IF(ISNUMBER($CI299),RANK($CI299,$CI$9:$CI$508,1),COUNT($CI$9:$CI$508)+1)))</f>
        <v/>
      </c>
      <c r="CK299" s="97" t="str">
        <f aca="false">IF($BX299&lt;&gt;Constants!$B$6,"",$AI299)</f>
        <v/>
      </c>
      <c r="CL299" s="93" t="str">
        <f aca="false">IF(ISBLANK($C299),"",IF($BX299&lt;&gt;Constants!$B$6,$BX299,IF(ISNUMBER($CK299),RANK($CK299,$CK$9:$CK$508,1),COUNT($CK$9:$CK$508)+1)))</f>
        <v/>
      </c>
      <c r="CM299" s="93" t="str">
        <f aca="false">IF(ISBLANK($C299),"",IF($BX299&lt;&gt;Constants!$B$6,$BX299,COUNTIFS($CD$9:$CD$508,"&lt;"&amp;$CD299)+COUNTIFS($CD$9:$CD$508,$CD299,$CF$9:$CF$508,"&lt;"&amp;$CF299)+COUNTIFS($CD$9:$CD$508,$CD299,$CF$9:$CF$508,$CF299,$CH$9:$CH$508,"&lt;"&amp;$CH299)+COUNTIFS($CD$9:$CD$508,$CD299,$CF$9:$CF$508,$CF299,$CH$9:$CH$508,$CH299,$CJ$9:$CJ$508,"&lt;"&amp;$CJ299)+COUNTIFS($CD$9:$CD$508,$CD299,$CF$9:$CF$508,$CF299,$CH$9:$CH$508,$CH299,$CJ$9:$CJ$508,$CJ299,$CL$9:$CL$508,"&lt;"&amp;$CL299)+1))</f>
        <v/>
      </c>
      <c r="CN299" s="93" t="str">
        <f aca="false">IF(ISBLANK($C299),"",IF($BX299&lt;&gt;Constants!$B$6,$BX299,$CD299-$CM299))</f>
        <v/>
      </c>
      <c r="CO299" s="100"/>
      <c r="CP299" s="101"/>
      <c r="CQ299" s="102" t="str">
        <f aca="false">IF(ISBLANK($C299),"",IF($BX299=Constants!$B$10,$BW299,""))</f>
        <v/>
      </c>
      <c r="CR299" s="101" t="str">
        <f aca="false">IF(ISBLANK($C299),"",IF($BX299&lt;&gt;Constants!$B$6,"",IF($BL299="-&gt;",2,1)))</f>
        <v/>
      </c>
      <c r="CS299" s="103" t="str">
        <f aca="false">IF(ISBLANK($C299),"",IF($BX299&lt;&gt;Constants!$B$6,"",IF($BL299="-&gt;",$BN299,$BC299)))</f>
        <v/>
      </c>
      <c r="CT299" s="103" t="str">
        <f aca="false">IF(ISBLANK($C299),"",IF($BX299&lt;&gt;Constants!$B$6,"",IF($BL299="-&gt;",$BO299,$BD299)))</f>
        <v/>
      </c>
      <c r="CU299" s="103" t="str">
        <f aca="false">IF(ISBLANK($C299),"",IF($BX299&lt;&gt;Constants!$B$6,"",IF($BL299="-&gt;",$BP299+$BQ299,$BE299+$BF299)+$CB299))</f>
        <v/>
      </c>
      <c r="CV299" s="103" t="str">
        <f aca="false">IF(ISBLANK($C299),"",IF($BX299&lt;&gt;Constants!$B$6,"",IF($BL299="-&gt;",$BR299,$BG299)+$CA299))</f>
        <v/>
      </c>
      <c r="CW299" s="104" t="str">
        <f aca="false">IF(ISBLANK($C299),"",IF($BX299&lt;&gt;Constants!$B$6,$BX299,$CC299))</f>
        <v/>
      </c>
      <c r="CX299" s="105" t="str">
        <f aca="false">IF(ISBLANK($C299),"",$BY299)</f>
        <v/>
      </c>
      <c r="CY299" s="106" t="str">
        <f aca="false">IF(ISBLANK($C299),"",$CN299)</f>
        <v/>
      </c>
      <c r="CZ299" s="106" t="str">
        <f aca="false">IF(ISBLANK($C299),"",$CM299)</f>
        <v/>
      </c>
      <c r="DA299" s="107" t="str">
        <f aca="false">IF(ISBLANK($C299),"",IFERROR(_xlfn.SWITCH($CZ299,Constants!$B$9,COUNTA($C$9:$C$508)+2,Constants!$B$8,COUNTA($C$9:$C$508)+1,Constants!$B$7,COUNTA($C$9:$C$508)),$CZ299))</f>
        <v/>
      </c>
      <c r="DB299" s="9"/>
      <c r="DC299" s="108" t="n">
        <f aca="false">IF(OR(ISNUMBER($CZ299),$CZ299=Constants!$B$9,$CZ299=Constants!$B$7,$CZ299=Constants!$B$8),1,0)</f>
        <v>0</v>
      </c>
      <c r="DD299" s="108" t="n">
        <v>291</v>
      </c>
      <c r="DE299" s="108" t="str">
        <f aca="false">IF(ISBLANK($C299),"",IF(ISNUMBER($DA299),$DA299+ROW($B299)/1000,""))</f>
        <v/>
      </c>
      <c r="DF299" s="108" t="str">
        <f aca="false">IF(ISNUMBER($DE299),RANK($DE299,$DE$9:$DE$508,1),"")</f>
        <v/>
      </c>
      <c r="DG299" s="108" t="str">
        <f aca="false">IF(ISBLANK($C299),"",$B299)</f>
        <v/>
      </c>
      <c r="DH299" s="108" t="str">
        <f aca="false">IF(ISBLANK($C299),"",$C299)</f>
        <v/>
      </c>
      <c r="DI299" s="108" t="str">
        <f aca="false">IF(ISBLANK($C299),"",$D299)</f>
        <v/>
      </c>
      <c r="DJ299" s="109" t="str">
        <f aca="false">$CX299</f>
        <v/>
      </c>
      <c r="DK299" s="110" t="str">
        <f aca="false">$CW299</f>
        <v/>
      </c>
      <c r="DL299" s="108" t="str">
        <f aca="false">IF(ISBLANK($C299),"",$CZ299)</f>
        <v/>
      </c>
      <c r="DM299" s="111" t="str">
        <f aca="false">IF($DD299&gt;$DC$8,"",VLOOKUP($DD299,$DF$9:$DL$508,7,FALSE()))</f>
        <v/>
      </c>
      <c r="DN299" s="112" t="str">
        <f aca="false">IF($DD299&gt;$DC$8,"",VLOOKUP($DD299,$DF$9:$DL$508,2,FALSE()))</f>
        <v/>
      </c>
      <c r="DO299" s="112" t="str">
        <f aca="false">IF($DD299&gt;$DC$8,"",VLOOKUP($DD299,$DF$9:$DL$508,3,FALSE()))</f>
        <v/>
      </c>
      <c r="DP299" s="112" t="str">
        <f aca="false">IF($DD299&gt;$DC$8,"",VLOOKUP($DD299,$DF$9:$DL$508,4,FALSE()))</f>
        <v/>
      </c>
      <c r="DQ299" s="112" t="str">
        <f aca="false">IF($DD299&gt;$DC$8,"",VLOOKUP($DD299,$DF$9:$DL$508,5,FALSE()))</f>
        <v/>
      </c>
      <c r="DR299" s="113" t="str">
        <f aca="false">IF($DD299&gt;$DC$8,"",VLOOKUP($DD299,$DF$9:$DL$508,6,FALSE()))</f>
        <v/>
      </c>
      <c r="DS299" s="76"/>
    </row>
    <row r="300" customFormat="false" ht="15.75" hidden="false" customHeight="false" outlineLevel="0" collapsed="false">
      <c r="A300" s="9"/>
      <c r="B300" s="160"/>
      <c r="C300" s="161"/>
      <c r="D300" s="162"/>
      <c r="E300" s="180"/>
      <c r="F300" s="164"/>
      <c r="G300" s="165"/>
      <c r="H300" s="165"/>
      <c r="I300" s="181"/>
      <c r="J300" s="168"/>
      <c r="K300" s="128"/>
      <c r="L300" s="129"/>
      <c r="M300" s="130"/>
      <c r="N300" s="168"/>
      <c r="O300" s="168"/>
      <c r="P300" s="180"/>
      <c r="Q300" s="168"/>
      <c r="R300" s="168"/>
      <c r="S300" s="128"/>
      <c r="T300" s="130"/>
      <c r="U300" s="130"/>
      <c r="V300" s="168"/>
      <c r="W300" s="168"/>
      <c r="X300" s="180"/>
      <c r="Y300" s="168"/>
      <c r="Z300" s="169"/>
      <c r="AA300" s="168"/>
      <c r="AB300" s="134"/>
      <c r="AC300" s="135"/>
      <c r="AD300" s="135"/>
      <c r="AE300" s="135"/>
      <c r="AF300" s="135" t="str">
        <f aca="false">IF(ISBLANK($C300),"",IF(E300=Constants!$B$2,TRUE(),IF(E300=Constants!$B$3,FALSE(),TRUE())))</f>
        <v/>
      </c>
      <c r="AG300" s="135" t="str">
        <f aca="false">IF(ISBLANK($C300),"",IF(F300=Constants!$B$2,TRUE(),IF(F300=Constants!$B$3,FALSE(),TRUE())))</f>
        <v/>
      </c>
      <c r="AH300" s="135" t="str">
        <f aca="false">IF(ISBLANK($C300),"",IF(G300=Constants!$B$2,TRUE(),IF(G300=Constants!$B$3,FALSE(),TRUE())))</f>
        <v/>
      </c>
      <c r="AI300" s="135" t="str">
        <f aca="false">IF(ISBLANK($C300),"",IF(AND(ISNUMBER(H300),H300&gt;=0),H300,Constants!$B$24))</f>
        <v/>
      </c>
      <c r="AJ300" s="135" t="str">
        <f aca="false">IF(ISBLANK($C300),"",IF(I300=Constants!$B$2,TRUE(),IF(I300=Constants!$B$3,FALSE(),TRUE())))</f>
        <v/>
      </c>
      <c r="AK300" s="135" t="str">
        <f aca="false">IF(ISBLANK($C300),"",IF(J300=Constants!$B$2,TRUE(),IF(J300=Constants!$B$3,FALSE(),TRUE())))</f>
        <v/>
      </c>
      <c r="AL300" s="135" t="str">
        <f aca="false">IF(ISBLANK($C300),"",IF(K300=Constants!$B$4,TRUE(),IF(K300=Constants!$B$5,FALSE(),COUNTA(L300:P300)&gt;0)))</f>
        <v/>
      </c>
      <c r="AM300" s="136" t="str">
        <f aca="false">IF(ISBLANK($C300),"",IF(ISNUMBER(L300),IF(L300&gt;=0,L300,""),""))</f>
        <v/>
      </c>
      <c r="AN300" s="137" t="str">
        <f aca="false">IF(ISBLANK($C300),"",IF(ISNUMBER(M300),IF(M300&gt;=0,M300,""),""))</f>
        <v/>
      </c>
      <c r="AO300" s="137" t="str">
        <f aca="false">IF(ISBLANK($C300),"",IF(N300=Constants!$B$2,TRUE(),IF(N300=Constants!$B$3,FALSE(),TRUE())))</f>
        <v/>
      </c>
      <c r="AP300" s="135" t="str">
        <f aca="false">IF(ISBLANK($C300),"",IF(ISNUMBER(O300),IF(O300&gt;=0,O300,""),""))</f>
        <v/>
      </c>
      <c r="AQ300" s="135" t="str">
        <f aca="false">IF(ISBLANK($C300),"",IF(P300=Constants!$B$2,TRUE(),IF(P300=Constants!$B$3,FALSE(),FALSE())))</f>
        <v/>
      </c>
      <c r="AR300" s="135" t="str">
        <f aca="false">IF(ISBLANK($C300),"",IF(Q300=Constants!$B$2,TRUE(),IF(Q300=Constants!$B$3,FALSE(),TRUE())))</f>
        <v/>
      </c>
      <c r="AS300" s="135" t="str">
        <f aca="false">IF(ISBLANK($C300),"",IF(R300=Constants!$B$2,TRUE(),IF(R300=Constants!$B$3,FALSE(),TRUE())))</f>
        <v/>
      </c>
      <c r="AT300" s="135" t="str">
        <f aca="false">IF(ISBLANK($C300),"",IF(S300=Constants!$B$4,TRUE(),IF(S300=Constants!$B$5,FALSE(),COUNTA(T300:X300)&gt;0)))</f>
        <v/>
      </c>
      <c r="AU300" s="136" t="str">
        <f aca="false">IF(ISBLANK($C300),"",IF(ISNUMBER(T300),IF(T300&gt;=0,T300,""),""))</f>
        <v/>
      </c>
      <c r="AV300" s="137" t="str">
        <f aca="false">IF(ISBLANK($C300),"",IF(ISNUMBER(U300),IF(U300&gt;=0,U300,""),""))</f>
        <v/>
      </c>
      <c r="AW300" s="137" t="str">
        <f aca="false">IF(ISBLANK($C300),"",IF(V300=Constants!$B$2,TRUE(),IF(V300=Constants!$B$3,FALSE(),TRUE())))</f>
        <v/>
      </c>
      <c r="AX300" s="135" t="str">
        <f aca="false">IF(ISBLANK($C300),"",IF(ISNUMBER(W300),IF(W300&gt;=0,W300,""),""))</f>
        <v/>
      </c>
      <c r="AY300" s="135" t="str">
        <f aca="false">IF(ISBLANK($C300),"",IF(X300=Constants!$B$2,TRUE(),IF(X300=Constants!$B$3,FALSE(),FALSE())))</f>
        <v/>
      </c>
      <c r="AZ300" s="135" t="str">
        <f aca="false">IF(ISBLANK($C300),"",MIN(Constants!$B$25,MAX(0,IF(ISNUMBER(Y300),Y300*60,0)+IF(ISNUMBER(Z300),Z300,0))))</f>
        <v/>
      </c>
      <c r="BA300" s="135" t="str">
        <f aca="false">IF(ISBLANK($C300),"",IF(AA300=Constants!$B$2,TRUE(),IF(AA300=Constants!$B$3,FALSE(),FALSE())))</f>
        <v/>
      </c>
      <c r="BB300" s="134" t="str">
        <f aca="false">IF(ISBLANK($C300),"",AND($AL300,OR($AM300="",$AN300="",AND($AO300,$AP300=""))))</f>
        <v/>
      </c>
      <c r="BC300" s="137" t="str">
        <f aca="false">IF($BX300&lt;&gt;Constants!$B$6,"",IF($AL300,Constants!$B$17*$AN300+Constants!$B$18*IF($AO300,$AP300,Constants!$B$19),Constants!$B$20))</f>
        <v/>
      </c>
      <c r="BD300" s="138" t="str">
        <f aca="false">IF($BX300&lt;&gt;Constants!$B$6,"",Constants!$B$21*ABS($AD$9-IF($AL300,$AM300,0)))</f>
        <v/>
      </c>
      <c r="BE300" s="138" t="str">
        <f aca="false">IF($BX300&lt;&gt;Constants!$B$6,"",IF(AND($AL300,$AQ300,$AO300),Constants!$B$22,0))</f>
        <v/>
      </c>
      <c r="BF300" s="138" t="str">
        <f aca="false">IF($BX300&lt;&gt;Constants!$B$6,"",IF($AL300,($AI300-Constants!$B$24)*Constants!$B$23,0))</f>
        <v/>
      </c>
      <c r="BG300" s="138" t="str">
        <f aca="false">IF($BX300&lt;&gt;Constants!$B$6,"",IF($AK300,0,Constants!$B$12)+IF($AJ300,0,Constants!$B$13)+IF($AH300,0,Constants!$B$14))</f>
        <v/>
      </c>
      <c r="BH300" s="139" t="str">
        <f aca="false">IF($BX300&lt;&gt;Constants!$B$6,"",Constants!$B$16+SUM($BC300:$BG300))</f>
        <v/>
      </c>
      <c r="BI300" s="138" t="str">
        <f aca="false">IF($BX300&lt;&gt;Constants!$B$6,"",$BC300)</f>
        <v/>
      </c>
      <c r="BJ300" s="138" t="str">
        <f aca="false">IF($BX300&lt;&gt;Constants!$B$6,"",$BD300)</f>
        <v/>
      </c>
      <c r="BK300" s="140" t="str">
        <f aca="false">IF($BX300&lt;&gt;Constants!$B$6,"",IF($AL300,$AN300,""))</f>
        <v/>
      </c>
      <c r="BL300" s="135" t="str">
        <f aca="false">IF($BX300&lt;&gt;Constants!$B$6,"",IF(OR($BS300&lt;$BH300,AND($BS300=$BH300,OR($BT300&lt;$BI300,AND($BT300=$BI300,OR($BU300&lt;$BJ300,AND($BU300=$BJ300,AND(ISNUMBER($BV300),OR(NOT(ISNUMBER($BK300)),$BV300&lt;$BK300)))))))),"-&gt;","&lt;-"))</f>
        <v/>
      </c>
      <c r="BM300" s="134" t="str">
        <f aca="false">IF(ISBLANK($C300),"",AND($AT300,OR($AU300="",$AV300="",AND($AW300,$AX300=""))))</f>
        <v/>
      </c>
      <c r="BN300" s="137" t="str">
        <f aca="false">IF($BX300&lt;&gt;Constants!$B$6,"",IF($AT300,Constants!$B$17*$AV300+Constants!$B$18*IF($AW300,$AX300,Constants!$B$19),Constants!$B$20))</f>
        <v/>
      </c>
      <c r="BO300" s="138" t="str">
        <f aca="false">IF($BX300&lt;&gt;Constants!$B$6,"",Constants!$B$21*ABS($AD$9-IF($AT300,$AU300,0)))</f>
        <v/>
      </c>
      <c r="BP300" s="138" t="str">
        <f aca="false">IF($BX300&lt;&gt;Constants!$B$6,"",IF(AND($AT300,$AY300,$AW300),Constants!$B$22,0))</f>
        <v/>
      </c>
      <c r="BQ300" s="138" t="str">
        <f aca="false">IF($BX300&lt;&gt;Constants!$B$6,"",IF($AT300,($AI300-Constants!$B$24)*Constants!$B$23,0))</f>
        <v/>
      </c>
      <c r="BR300" s="138" t="str">
        <f aca="false">IF($BX300&lt;&gt;Constants!$B$6,"",IF($AS300,0,Constants!$B$12)+IF($AR300,0,Constants!$B$13)+IF($AH300,0,Constants!$B$14))</f>
        <v/>
      </c>
      <c r="BS300" s="139" t="str">
        <f aca="false">IF($BX300&lt;&gt;Constants!$B$6,"",Constants!$B$16+SUM($BN300:$BR300))</f>
        <v/>
      </c>
      <c r="BT300" s="138" t="str">
        <f aca="false">IF($BX300&lt;&gt;Constants!$B$6,"",$BN300)</f>
        <v/>
      </c>
      <c r="BU300" s="138" t="str">
        <f aca="false">IF($BX300&lt;&gt;Constants!$B$6,"",$BO300)</f>
        <v/>
      </c>
      <c r="BV300" s="140" t="str">
        <f aca="false">IF($BX300&lt;&gt;Constants!$B$6,"",IF($AT300,$AV300,""))</f>
        <v/>
      </c>
      <c r="BW300" s="135" t="str">
        <f aca="false">IF(ISBLANK($C300),"",IF(ISBLANK($D$7),$BW$5,IF(NOT(ISNUMBER($D$7)),$BW$6,"")))</f>
        <v/>
      </c>
      <c r="BX300" s="135" t="str">
        <f aca="false">IF(ISBLANK($C300),"",IF($BA300,Constants!$B$9,IF(COUNTA($E300:$AA300)=0,Constants!$B$8,IF(NOT($AG300),Constants!$B$7,IF(OR($BW300&lt;&gt;"",$BB300,$BM300),Constants!$B$10,Constants!$B$6)))))</f>
        <v/>
      </c>
      <c r="BY300" s="135" t="str">
        <f aca="false">IF(ISBLANK($C300),"",IF($BX300&lt;&gt;Constants!$B$6,$BX300,Constants!$B$11))</f>
        <v/>
      </c>
      <c r="BZ300" s="138" t="str">
        <f aca="false">IF($BX300&lt;&gt;Constants!$B$6,"",IF($BL300="-&gt;",$BS300,$BH300))</f>
        <v/>
      </c>
      <c r="CA300" s="138" t="str">
        <f aca="false">IF($BX300&lt;&gt;Constants!$B$6,"",IF($AF300,0,Constants!$B$15))</f>
        <v/>
      </c>
      <c r="CB300" s="138" t="str">
        <f aca="false">IF($BX300&lt;&gt;Constants!$B$6,"",((Constants!$B$25-$AZ300)-Constants!$B$25)/Constants!$B$26)</f>
        <v/>
      </c>
      <c r="CC300" s="138" t="str">
        <f aca="false">IF(ISBLANK($C300),"",IF($BX300&lt;&gt;Constants!$B$6,$BX300,SUM($BZ300:$CB300)))</f>
        <v/>
      </c>
      <c r="CD300" s="135" t="str">
        <f aca="false">IF(ISBLANK($C300),"",IF($BX300&lt;&gt;Constants!$B$6,$BX300,RANK($CC300,$CC$9:$CC$508,1)))</f>
        <v/>
      </c>
      <c r="CE300" s="138" t="str">
        <f aca="false">IF($BX300&lt;&gt;Constants!$B$6,"",IF($BL300="-&gt;",$BT300,$BI300))</f>
        <v/>
      </c>
      <c r="CF300" s="135" t="str">
        <f aca="false">IF(ISBLANK($C300),"",IF($BX300&lt;&gt;Constants!$B$6,$BX300,IF(ISNUMBER($CE300),RANK($CE300,$CE$9:$CE$508,1),COUNT($CE$9:$CE$508)+1)))</f>
        <v/>
      </c>
      <c r="CG300" s="138" t="str">
        <f aca="false">IF($BX300&lt;&gt;Constants!$B$6,"",IF($BL300="-&gt;",$BU300,$BJ300))</f>
        <v/>
      </c>
      <c r="CH300" s="135" t="str">
        <f aca="false">IF(ISBLANK($C300),"",IF($BX300&lt;&gt;Constants!$B$6,$BX300,IF(ISNUMBER($CG300),RANK($CG300,$CG$9:$CG$508,1),COUNT($CG$9:$CG$508)+1)))</f>
        <v/>
      </c>
      <c r="CI300" s="138" t="str">
        <f aca="false">IF($BX300&lt;&gt;Constants!$B$6,"",IF($BL300="-&gt;",$BV300,$BK300))</f>
        <v/>
      </c>
      <c r="CJ300" s="135" t="str">
        <f aca="false">IF(ISBLANK($C300),"",IF($BX300&lt;&gt;Constants!$B$6,$BX300,IF(ISNUMBER($CI300),RANK($CI300,$CI$9:$CI$508,1),COUNT($CI$9:$CI$508)+1)))</f>
        <v/>
      </c>
      <c r="CK300" s="138" t="str">
        <f aca="false">IF($BX300&lt;&gt;Constants!$B$6,"",$AI300)</f>
        <v/>
      </c>
      <c r="CL300" s="135" t="str">
        <f aca="false">IF(ISBLANK($C300),"",IF($BX300&lt;&gt;Constants!$B$6,$BX300,IF(ISNUMBER($CK300),RANK($CK300,$CK$9:$CK$508,1),COUNT($CK$9:$CK$508)+1)))</f>
        <v/>
      </c>
      <c r="CM300" s="135" t="str">
        <f aca="false">IF(ISBLANK($C300),"",IF($BX300&lt;&gt;Constants!$B$6,$BX300,COUNTIFS($CD$9:$CD$508,"&lt;"&amp;$CD300)+COUNTIFS($CD$9:$CD$508,$CD300,$CF$9:$CF$508,"&lt;"&amp;$CF300)+COUNTIFS($CD$9:$CD$508,$CD300,$CF$9:$CF$508,$CF300,$CH$9:$CH$508,"&lt;"&amp;$CH300)+COUNTIFS($CD$9:$CD$508,$CD300,$CF$9:$CF$508,$CF300,$CH$9:$CH$508,$CH300,$CJ$9:$CJ$508,"&lt;"&amp;$CJ300)+COUNTIFS($CD$9:$CD$508,$CD300,$CF$9:$CF$508,$CF300,$CH$9:$CH$508,$CH300,$CJ$9:$CJ$508,$CJ300,$CL$9:$CL$508,"&lt;"&amp;$CL300)+1))</f>
        <v/>
      </c>
      <c r="CN300" s="135" t="str">
        <f aca="false">IF(ISBLANK($C300),"",IF($BX300&lt;&gt;Constants!$B$6,$BX300,$CD300-$CM300))</f>
        <v/>
      </c>
      <c r="CO300" s="141"/>
      <c r="CP300" s="142"/>
      <c r="CQ300" s="143" t="str">
        <f aca="false">IF(ISBLANK($C300),"",IF($BX300=Constants!$B$10,$BW300,""))</f>
        <v/>
      </c>
      <c r="CR300" s="142" t="str">
        <f aca="false">IF(ISBLANK($C300),"",IF($BX300&lt;&gt;Constants!$B$6,"",IF($BL300="-&gt;",2,1)))</f>
        <v/>
      </c>
      <c r="CS300" s="144" t="str">
        <f aca="false">IF(ISBLANK($C300),"",IF($BX300&lt;&gt;Constants!$B$6,"",IF($BL300="-&gt;",$BN300,$BC300)))</f>
        <v/>
      </c>
      <c r="CT300" s="144" t="str">
        <f aca="false">IF(ISBLANK($C300),"",IF($BX300&lt;&gt;Constants!$B$6,"",IF($BL300="-&gt;",$BO300,$BD300)))</f>
        <v/>
      </c>
      <c r="CU300" s="144" t="str">
        <f aca="false">IF(ISBLANK($C300),"",IF($BX300&lt;&gt;Constants!$B$6,"",IF($BL300="-&gt;",$BP300+$BQ300,$BE300+$BF300)+$CB300))</f>
        <v/>
      </c>
      <c r="CV300" s="144" t="str">
        <f aca="false">IF(ISBLANK($C300),"",IF($BX300&lt;&gt;Constants!$B$6,"",IF($BL300="-&gt;",$BR300,$BG300)+$CA300))</f>
        <v/>
      </c>
      <c r="CW300" s="145" t="str">
        <f aca="false">IF(ISBLANK($C300),"",IF($BX300&lt;&gt;Constants!$B$6,$BX300,$CC300))</f>
        <v/>
      </c>
      <c r="CX300" s="146" t="str">
        <f aca="false">IF(ISBLANK($C300),"",$BY300)</f>
        <v/>
      </c>
      <c r="CY300" s="147" t="str">
        <f aca="false">IF(ISBLANK($C300),"",$CN300)</f>
        <v/>
      </c>
      <c r="CZ300" s="147" t="str">
        <f aca="false">IF(ISBLANK($C300),"",$CM300)</f>
        <v/>
      </c>
      <c r="DA300" s="148" t="str">
        <f aca="false">IF(ISBLANK($C300),"",IFERROR(_xlfn.SWITCH($CZ300,Constants!$B$9,COUNTA($C$9:$C$508)+2,Constants!$B$8,COUNTA($C$9:$C$508)+1,Constants!$B$7,COUNTA($C$9:$C$508)),$CZ300))</f>
        <v/>
      </c>
      <c r="DB300" s="9"/>
      <c r="DC300" s="149" t="n">
        <f aca="false">IF(OR(ISNUMBER($CZ300),$CZ300=Constants!$B$9,$CZ300=Constants!$B$7,$CZ300=Constants!$B$8),1,0)</f>
        <v>0</v>
      </c>
      <c r="DD300" s="149" t="n">
        <v>292</v>
      </c>
      <c r="DE300" s="149" t="str">
        <f aca="false">IF(ISBLANK($C300),"",IF(ISNUMBER($DA300),$DA300+ROW($B300)/1000,""))</f>
        <v/>
      </c>
      <c r="DF300" s="149" t="str">
        <f aca="false">IF(ISNUMBER($DE300),RANK($DE300,$DE$9:$DE$508,1),"")</f>
        <v/>
      </c>
      <c r="DG300" s="149" t="str">
        <f aca="false">IF(ISBLANK($C300),"",$B300)</f>
        <v/>
      </c>
      <c r="DH300" s="149" t="str">
        <f aca="false">IF(ISBLANK($C300),"",$C300)</f>
        <v/>
      </c>
      <c r="DI300" s="149" t="str">
        <f aca="false">IF(ISBLANK($C300),"",$D300)</f>
        <v/>
      </c>
      <c r="DJ300" s="150" t="str">
        <f aca="false">$CX300</f>
        <v/>
      </c>
      <c r="DK300" s="151" t="str">
        <f aca="false">$CW300</f>
        <v/>
      </c>
      <c r="DL300" s="149" t="str">
        <f aca="false">IF(ISBLANK($C300),"",$CZ300)</f>
        <v/>
      </c>
      <c r="DM300" s="152" t="str">
        <f aca="false">IF($DD300&gt;$DC$8,"",VLOOKUP($DD300,$DF$9:$DL$508,7,FALSE()))</f>
        <v/>
      </c>
      <c r="DN300" s="153" t="str">
        <f aca="false">IF($DD300&gt;$DC$8,"",VLOOKUP($DD300,$DF$9:$DL$508,2,FALSE()))</f>
        <v/>
      </c>
      <c r="DO300" s="153" t="str">
        <f aca="false">IF($DD300&gt;$DC$8,"",VLOOKUP($DD300,$DF$9:$DL$508,3,FALSE()))</f>
        <v/>
      </c>
      <c r="DP300" s="153" t="str">
        <f aca="false">IF($DD300&gt;$DC$8,"",VLOOKUP($DD300,$DF$9:$DL$508,4,FALSE()))</f>
        <v/>
      </c>
      <c r="DQ300" s="153" t="str">
        <f aca="false">IF($DD300&gt;$DC$8,"",VLOOKUP($DD300,$DF$9:$DL$508,5,FALSE()))</f>
        <v/>
      </c>
      <c r="DR300" s="154" t="str">
        <f aca="false">IF($DD300&gt;$DC$8,"",VLOOKUP($DD300,$DF$9:$DL$508,6,FALSE()))</f>
        <v/>
      </c>
      <c r="DS300" s="76"/>
    </row>
    <row r="301" customFormat="false" ht="15.75" hidden="false" customHeight="false" outlineLevel="0" collapsed="false">
      <c r="A301" s="9"/>
      <c r="B301" s="160"/>
      <c r="C301" s="161"/>
      <c r="D301" s="162"/>
      <c r="E301" s="180"/>
      <c r="F301" s="164"/>
      <c r="G301" s="165"/>
      <c r="H301" s="165"/>
      <c r="I301" s="181"/>
      <c r="J301" s="168"/>
      <c r="K301" s="128"/>
      <c r="L301" s="129"/>
      <c r="M301" s="130"/>
      <c r="N301" s="168"/>
      <c r="O301" s="168"/>
      <c r="P301" s="180"/>
      <c r="Q301" s="168"/>
      <c r="R301" s="168"/>
      <c r="S301" s="128"/>
      <c r="T301" s="130"/>
      <c r="U301" s="130"/>
      <c r="V301" s="168"/>
      <c r="W301" s="168"/>
      <c r="X301" s="180"/>
      <c r="Y301" s="168"/>
      <c r="Z301" s="169"/>
      <c r="AA301" s="168"/>
      <c r="AB301" s="134"/>
      <c r="AC301" s="135"/>
      <c r="AD301" s="135"/>
      <c r="AE301" s="135"/>
      <c r="AF301" s="135" t="str">
        <f aca="false">IF(ISBLANK($C301),"",IF(E301=Constants!$B$2,TRUE(),IF(E301=Constants!$B$3,FALSE(),TRUE())))</f>
        <v/>
      </c>
      <c r="AG301" s="135" t="str">
        <f aca="false">IF(ISBLANK($C301),"",IF(F301=Constants!$B$2,TRUE(),IF(F301=Constants!$B$3,FALSE(),TRUE())))</f>
        <v/>
      </c>
      <c r="AH301" s="135" t="str">
        <f aca="false">IF(ISBLANK($C301),"",IF(G301=Constants!$B$2,TRUE(),IF(G301=Constants!$B$3,FALSE(),TRUE())))</f>
        <v/>
      </c>
      <c r="AI301" s="135" t="str">
        <f aca="false">IF(ISBLANK($C301),"",IF(AND(ISNUMBER(H301),H301&gt;=0),H301,Constants!$B$24))</f>
        <v/>
      </c>
      <c r="AJ301" s="135" t="str">
        <f aca="false">IF(ISBLANK($C301),"",IF(I301=Constants!$B$2,TRUE(),IF(I301=Constants!$B$3,FALSE(),TRUE())))</f>
        <v/>
      </c>
      <c r="AK301" s="135" t="str">
        <f aca="false">IF(ISBLANK($C301),"",IF(J301=Constants!$B$2,TRUE(),IF(J301=Constants!$B$3,FALSE(),TRUE())))</f>
        <v/>
      </c>
      <c r="AL301" s="135" t="str">
        <f aca="false">IF(ISBLANK($C301),"",IF(K301=Constants!$B$4,TRUE(),IF(K301=Constants!$B$5,FALSE(),COUNTA(L301:P301)&gt;0)))</f>
        <v/>
      </c>
      <c r="AM301" s="136" t="str">
        <f aca="false">IF(ISBLANK($C301),"",IF(ISNUMBER(L301),IF(L301&gt;=0,L301,""),""))</f>
        <v/>
      </c>
      <c r="AN301" s="137" t="str">
        <f aca="false">IF(ISBLANK($C301),"",IF(ISNUMBER(M301),IF(M301&gt;=0,M301,""),""))</f>
        <v/>
      </c>
      <c r="AO301" s="137" t="str">
        <f aca="false">IF(ISBLANK($C301),"",IF(N301=Constants!$B$2,TRUE(),IF(N301=Constants!$B$3,FALSE(),TRUE())))</f>
        <v/>
      </c>
      <c r="AP301" s="135" t="str">
        <f aca="false">IF(ISBLANK($C301),"",IF(ISNUMBER(O301),IF(O301&gt;=0,O301,""),""))</f>
        <v/>
      </c>
      <c r="AQ301" s="135" t="str">
        <f aca="false">IF(ISBLANK($C301),"",IF(P301=Constants!$B$2,TRUE(),IF(P301=Constants!$B$3,FALSE(),FALSE())))</f>
        <v/>
      </c>
      <c r="AR301" s="135" t="str">
        <f aca="false">IF(ISBLANK($C301),"",IF(Q301=Constants!$B$2,TRUE(),IF(Q301=Constants!$B$3,FALSE(),TRUE())))</f>
        <v/>
      </c>
      <c r="AS301" s="135" t="str">
        <f aca="false">IF(ISBLANK($C301),"",IF(R301=Constants!$B$2,TRUE(),IF(R301=Constants!$B$3,FALSE(),TRUE())))</f>
        <v/>
      </c>
      <c r="AT301" s="135" t="str">
        <f aca="false">IF(ISBLANK($C301),"",IF(S301=Constants!$B$4,TRUE(),IF(S301=Constants!$B$5,FALSE(),COUNTA(T301:X301)&gt;0)))</f>
        <v/>
      </c>
      <c r="AU301" s="136" t="str">
        <f aca="false">IF(ISBLANK($C301),"",IF(ISNUMBER(T301),IF(T301&gt;=0,T301,""),""))</f>
        <v/>
      </c>
      <c r="AV301" s="137" t="str">
        <f aca="false">IF(ISBLANK($C301),"",IF(ISNUMBER(U301),IF(U301&gt;=0,U301,""),""))</f>
        <v/>
      </c>
      <c r="AW301" s="137" t="str">
        <f aca="false">IF(ISBLANK($C301),"",IF(V301=Constants!$B$2,TRUE(),IF(V301=Constants!$B$3,FALSE(),TRUE())))</f>
        <v/>
      </c>
      <c r="AX301" s="135" t="str">
        <f aca="false">IF(ISBLANK($C301),"",IF(ISNUMBER(W301),IF(W301&gt;=0,W301,""),""))</f>
        <v/>
      </c>
      <c r="AY301" s="135" t="str">
        <f aca="false">IF(ISBLANK($C301),"",IF(X301=Constants!$B$2,TRUE(),IF(X301=Constants!$B$3,FALSE(),FALSE())))</f>
        <v/>
      </c>
      <c r="AZ301" s="135" t="str">
        <f aca="false">IF(ISBLANK($C301),"",MIN(Constants!$B$25,MAX(0,IF(ISNUMBER(Y301),Y301*60,0)+IF(ISNUMBER(Z301),Z301,0))))</f>
        <v/>
      </c>
      <c r="BA301" s="135" t="str">
        <f aca="false">IF(ISBLANK($C301),"",IF(AA301=Constants!$B$2,TRUE(),IF(AA301=Constants!$B$3,FALSE(),FALSE())))</f>
        <v/>
      </c>
      <c r="BB301" s="134" t="str">
        <f aca="false">IF(ISBLANK($C301),"",AND($AL301,OR($AM301="",$AN301="",AND($AO301,$AP301=""))))</f>
        <v/>
      </c>
      <c r="BC301" s="137" t="str">
        <f aca="false">IF($BX301&lt;&gt;Constants!$B$6,"",IF($AL301,Constants!$B$17*$AN301+Constants!$B$18*IF($AO301,$AP301,Constants!$B$19),Constants!$B$20))</f>
        <v/>
      </c>
      <c r="BD301" s="138" t="str">
        <f aca="false">IF($BX301&lt;&gt;Constants!$B$6,"",Constants!$B$21*ABS($AD$9-IF($AL301,$AM301,0)))</f>
        <v/>
      </c>
      <c r="BE301" s="138" t="str">
        <f aca="false">IF($BX301&lt;&gt;Constants!$B$6,"",IF(AND($AL301,$AQ301,$AO301),Constants!$B$22,0))</f>
        <v/>
      </c>
      <c r="BF301" s="138" t="str">
        <f aca="false">IF($BX301&lt;&gt;Constants!$B$6,"",IF($AL301,($AI301-Constants!$B$24)*Constants!$B$23,0))</f>
        <v/>
      </c>
      <c r="BG301" s="138" t="str">
        <f aca="false">IF($BX301&lt;&gt;Constants!$B$6,"",IF($AK301,0,Constants!$B$12)+IF($AJ301,0,Constants!$B$13)+IF($AH301,0,Constants!$B$14))</f>
        <v/>
      </c>
      <c r="BH301" s="139" t="str">
        <f aca="false">IF($BX301&lt;&gt;Constants!$B$6,"",Constants!$B$16+SUM($BC301:$BG301))</f>
        <v/>
      </c>
      <c r="BI301" s="138" t="str">
        <f aca="false">IF($BX301&lt;&gt;Constants!$B$6,"",$BC301)</f>
        <v/>
      </c>
      <c r="BJ301" s="138" t="str">
        <f aca="false">IF($BX301&lt;&gt;Constants!$B$6,"",$BD301)</f>
        <v/>
      </c>
      <c r="BK301" s="140" t="str">
        <f aca="false">IF($BX301&lt;&gt;Constants!$B$6,"",IF($AL301,$AN301,""))</f>
        <v/>
      </c>
      <c r="BL301" s="135" t="str">
        <f aca="false">IF($BX301&lt;&gt;Constants!$B$6,"",IF(OR($BS301&lt;$BH301,AND($BS301=$BH301,OR($BT301&lt;$BI301,AND($BT301=$BI301,OR($BU301&lt;$BJ301,AND($BU301=$BJ301,AND(ISNUMBER($BV301),OR(NOT(ISNUMBER($BK301)),$BV301&lt;$BK301)))))))),"-&gt;","&lt;-"))</f>
        <v/>
      </c>
      <c r="BM301" s="134" t="str">
        <f aca="false">IF(ISBLANK($C301),"",AND($AT301,OR($AU301="",$AV301="",AND($AW301,$AX301=""))))</f>
        <v/>
      </c>
      <c r="BN301" s="137" t="str">
        <f aca="false">IF($BX301&lt;&gt;Constants!$B$6,"",IF($AT301,Constants!$B$17*$AV301+Constants!$B$18*IF($AW301,$AX301,Constants!$B$19),Constants!$B$20))</f>
        <v/>
      </c>
      <c r="BO301" s="138" t="str">
        <f aca="false">IF($BX301&lt;&gt;Constants!$B$6,"",Constants!$B$21*ABS($AD$9-IF($AT301,$AU301,0)))</f>
        <v/>
      </c>
      <c r="BP301" s="138" t="str">
        <f aca="false">IF($BX301&lt;&gt;Constants!$B$6,"",IF(AND($AT301,$AY301,$AW301),Constants!$B$22,0))</f>
        <v/>
      </c>
      <c r="BQ301" s="138" t="str">
        <f aca="false">IF($BX301&lt;&gt;Constants!$B$6,"",IF($AT301,($AI301-Constants!$B$24)*Constants!$B$23,0))</f>
        <v/>
      </c>
      <c r="BR301" s="138" t="str">
        <f aca="false">IF($BX301&lt;&gt;Constants!$B$6,"",IF($AS301,0,Constants!$B$12)+IF($AR301,0,Constants!$B$13)+IF($AH301,0,Constants!$B$14))</f>
        <v/>
      </c>
      <c r="BS301" s="139" t="str">
        <f aca="false">IF($BX301&lt;&gt;Constants!$B$6,"",Constants!$B$16+SUM($BN301:$BR301))</f>
        <v/>
      </c>
      <c r="BT301" s="138" t="str">
        <f aca="false">IF($BX301&lt;&gt;Constants!$B$6,"",$BN301)</f>
        <v/>
      </c>
      <c r="BU301" s="138" t="str">
        <f aca="false">IF($BX301&lt;&gt;Constants!$B$6,"",$BO301)</f>
        <v/>
      </c>
      <c r="BV301" s="140" t="str">
        <f aca="false">IF($BX301&lt;&gt;Constants!$B$6,"",IF($AT301,$AV301,""))</f>
        <v/>
      </c>
      <c r="BW301" s="135" t="str">
        <f aca="false">IF(ISBLANK($C301),"",IF(ISBLANK($D$7),$BW$5,IF(NOT(ISNUMBER($D$7)),$BW$6,"")))</f>
        <v/>
      </c>
      <c r="BX301" s="135" t="str">
        <f aca="false">IF(ISBLANK($C301),"",IF($BA301,Constants!$B$9,IF(COUNTA($E301:$AA301)=0,Constants!$B$8,IF(NOT($AG301),Constants!$B$7,IF(OR($BW301&lt;&gt;"",$BB301,$BM301),Constants!$B$10,Constants!$B$6)))))</f>
        <v/>
      </c>
      <c r="BY301" s="135" t="str">
        <f aca="false">IF(ISBLANK($C301),"",IF($BX301&lt;&gt;Constants!$B$6,$BX301,Constants!$B$11))</f>
        <v/>
      </c>
      <c r="BZ301" s="138" t="str">
        <f aca="false">IF($BX301&lt;&gt;Constants!$B$6,"",IF($BL301="-&gt;",$BS301,$BH301))</f>
        <v/>
      </c>
      <c r="CA301" s="138" t="str">
        <f aca="false">IF($BX301&lt;&gt;Constants!$B$6,"",IF($AF301,0,Constants!$B$15))</f>
        <v/>
      </c>
      <c r="CB301" s="138" t="str">
        <f aca="false">IF($BX301&lt;&gt;Constants!$B$6,"",((Constants!$B$25-$AZ301)-Constants!$B$25)/Constants!$B$26)</f>
        <v/>
      </c>
      <c r="CC301" s="138" t="str">
        <f aca="false">IF(ISBLANK($C301),"",IF($BX301&lt;&gt;Constants!$B$6,$BX301,SUM($BZ301:$CB301)))</f>
        <v/>
      </c>
      <c r="CD301" s="135" t="str">
        <f aca="false">IF(ISBLANK($C301),"",IF($BX301&lt;&gt;Constants!$B$6,$BX301,RANK($CC301,$CC$9:$CC$508,1)))</f>
        <v/>
      </c>
      <c r="CE301" s="138" t="str">
        <f aca="false">IF($BX301&lt;&gt;Constants!$B$6,"",IF($BL301="-&gt;",$BT301,$BI301))</f>
        <v/>
      </c>
      <c r="CF301" s="135" t="str">
        <f aca="false">IF(ISBLANK($C301),"",IF($BX301&lt;&gt;Constants!$B$6,$BX301,IF(ISNUMBER($CE301),RANK($CE301,$CE$9:$CE$508,1),COUNT($CE$9:$CE$508)+1)))</f>
        <v/>
      </c>
      <c r="CG301" s="138" t="str">
        <f aca="false">IF($BX301&lt;&gt;Constants!$B$6,"",IF($BL301="-&gt;",$BU301,$BJ301))</f>
        <v/>
      </c>
      <c r="CH301" s="135" t="str">
        <f aca="false">IF(ISBLANK($C301),"",IF($BX301&lt;&gt;Constants!$B$6,$BX301,IF(ISNUMBER($CG301),RANK($CG301,$CG$9:$CG$508,1),COUNT($CG$9:$CG$508)+1)))</f>
        <v/>
      </c>
      <c r="CI301" s="138" t="str">
        <f aca="false">IF($BX301&lt;&gt;Constants!$B$6,"",IF($BL301="-&gt;",$BV301,$BK301))</f>
        <v/>
      </c>
      <c r="CJ301" s="135" t="str">
        <f aca="false">IF(ISBLANK($C301),"",IF($BX301&lt;&gt;Constants!$B$6,$BX301,IF(ISNUMBER($CI301),RANK($CI301,$CI$9:$CI$508,1),COUNT($CI$9:$CI$508)+1)))</f>
        <v/>
      </c>
      <c r="CK301" s="138" t="str">
        <f aca="false">IF($BX301&lt;&gt;Constants!$B$6,"",$AI301)</f>
        <v/>
      </c>
      <c r="CL301" s="135" t="str">
        <f aca="false">IF(ISBLANK($C301),"",IF($BX301&lt;&gt;Constants!$B$6,$BX301,IF(ISNUMBER($CK301),RANK($CK301,$CK$9:$CK$508,1),COUNT($CK$9:$CK$508)+1)))</f>
        <v/>
      </c>
      <c r="CM301" s="135" t="str">
        <f aca="false">IF(ISBLANK($C301),"",IF($BX301&lt;&gt;Constants!$B$6,$BX301,COUNTIFS($CD$9:$CD$508,"&lt;"&amp;$CD301)+COUNTIFS($CD$9:$CD$508,$CD301,$CF$9:$CF$508,"&lt;"&amp;$CF301)+COUNTIFS($CD$9:$CD$508,$CD301,$CF$9:$CF$508,$CF301,$CH$9:$CH$508,"&lt;"&amp;$CH301)+COUNTIFS($CD$9:$CD$508,$CD301,$CF$9:$CF$508,$CF301,$CH$9:$CH$508,$CH301,$CJ$9:$CJ$508,"&lt;"&amp;$CJ301)+COUNTIFS($CD$9:$CD$508,$CD301,$CF$9:$CF$508,$CF301,$CH$9:$CH$508,$CH301,$CJ$9:$CJ$508,$CJ301,$CL$9:$CL$508,"&lt;"&amp;$CL301)+1))</f>
        <v/>
      </c>
      <c r="CN301" s="135" t="str">
        <f aca="false">IF(ISBLANK($C301),"",IF($BX301&lt;&gt;Constants!$B$6,$BX301,$CD301-$CM301))</f>
        <v/>
      </c>
      <c r="CO301" s="141"/>
      <c r="CP301" s="142"/>
      <c r="CQ301" s="143" t="str">
        <f aca="false">IF(ISBLANK($C301),"",IF($BX301=Constants!$B$10,$BW301,""))</f>
        <v/>
      </c>
      <c r="CR301" s="142" t="str">
        <f aca="false">IF(ISBLANK($C301),"",IF($BX301&lt;&gt;Constants!$B$6,"",IF($BL301="-&gt;",2,1)))</f>
        <v/>
      </c>
      <c r="CS301" s="144" t="str">
        <f aca="false">IF(ISBLANK($C301),"",IF($BX301&lt;&gt;Constants!$B$6,"",IF($BL301="-&gt;",$BN301,$BC301)))</f>
        <v/>
      </c>
      <c r="CT301" s="144" t="str">
        <f aca="false">IF(ISBLANK($C301),"",IF($BX301&lt;&gt;Constants!$B$6,"",IF($BL301="-&gt;",$BO301,$BD301)))</f>
        <v/>
      </c>
      <c r="CU301" s="144" t="str">
        <f aca="false">IF(ISBLANK($C301),"",IF($BX301&lt;&gt;Constants!$B$6,"",IF($BL301="-&gt;",$BP301+$BQ301,$BE301+$BF301)+$CB301))</f>
        <v/>
      </c>
      <c r="CV301" s="144" t="str">
        <f aca="false">IF(ISBLANK($C301),"",IF($BX301&lt;&gt;Constants!$B$6,"",IF($BL301="-&gt;",$BR301,$BG301)+$CA301))</f>
        <v/>
      </c>
      <c r="CW301" s="145" t="str">
        <f aca="false">IF(ISBLANK($C301),"",IF($BX301&lt;&gt;Constants!$B$6,$BX301,$CC301))</f>
        <v/>
      </c>
      <c r="CX301" s="146" t="str">
        <f aca="false">IF(ISBLANK($C301),"",$BY301)</f>
        <v/>
      </c>
      <c r="CY301" s="147" t="str">
        <f aca="false">IF(ISBLANK($C301),"",$CN301)</f>
        <v/>
      </c>
      <c r="CZ301" s="147" t="str">
        <f aca="false">IF(ISBLANK($C301),"",$CM301)</f>
        <v/>
      </c>
      <c r="DA301" s="148" t="str">
        <f aca="false">IF(ISBLANK($C301),"",IFERROR(_xlfn.SWITCH($CZ301,Constants!$B$9,COUNTA($C$9:$C$508)+2,Constants!$B$8,COUNTA($C$9:$C$508)+1,Constants!$B$7,COUNTA($C$9:$C$508)),$CZ301))</f>
        <v/>
      </c>
      <c r="DB301" s="9"/>
      <c r="DC301" s="149" t="n">
        <f aca="false">IF(OR(ISNUMBER($CZ301),$CZ301=Constants!$B$9,$CZ301=Constants!$B$7,$CZ301=Constants!$B$8),1,0)</f>
        <v>0</v>
      </c>
      <c r="DD301" s="149" t="n">
        <v>293</v>
      </c>
      <c r="DE301" s="149" t="str">
        <f aca="false">IF(ISBLANK($C301),"",IF(ISNUMBER($DA301),$DA301+ROW($B301)/1000,""))</f>
        <v/>
      </c>
      <c r="DF301" s="149" t="str">
        <f aca="false">IF(ISNUMBER($DE301),RANK($DE301,$DE$9:$DE$508,1),"")</f>
        <v/>
      </c>
      <c r="DG301" s="149" t="str">
        <f aca="false">IF(ISBLANK($C301),"",$B301)</f>
        <v/>
      </c>
      <c r="DH301" s="149" t="str">
        <f aca="false">IF(ISBLANK($C301),"",$C301)</f>
        <v/>
      </c>
      <c r="DI301" s="149" t="str">
        <f aca="false">IF(ISBLANK($C301),"",$D301)</f>
        <v/>
      </c>
      <c r="DJ301" s="150" t="str">
        <f aca="false">$CX301</f>
        <v/>
      </c>
      <c r="DK301" s="151" t="str">
        <f aca="false">$CW301</f>
        <v/>
      </c>
      <c r="DL301" s="149" t="str">
        <f aca="false">IF(ISBLANK($C301),"",$CZ301)</f>
        <v/>
      </c>
      <c r="DM301" s="152" t="str">
        <f aca="false">IF($DD301&gt;$DC$8,"",VLOOKUP($DD301,$DF$9:$DL$508,7,FALSE()))</f>
        <v/>
      </c>
      <c r="DN301" s="153" t="str">
        <f aca="false">IF($DD301&gt;$DC$8,"",VLOOKUP($DD301,$DF$9:$DL$508,2,FALSE()))</f>
        <v/>
      </c>
      <c r="DO301" s="153" t="str">
        <f aca="false">IF($DD301&gt;$DC$8,"",VLOOKUP($DD301,$DF$9:$DL$508,3,FALSE()))</f>
        <v/>
      </c>
      <c r="DP301" s="153" t="str">
        <f aca="false">IF($DD301&gt;$DC$8,"",VLOOKUP($DD301,$DF$9:$DL$508,4,FALSE()))</f>
        <v/>
      </c>
      <c r="DQ301" s="153" t="str">
        <f aca="false">IF($DD301&gt;$DC$8,"",VLOOKUP($DD301,$DF$9:$DL$508,5,FALSE()))</f>
        <v/>
      </c>
      <c r="DR301" s="154" t="str">
        <f aca="false">IF($DD301&gt;$DC$8,"",VLOOKUP($DD301,$DF$9:$DL$508,6,FALSE()))</f>
        <v/>
      </c>
      <c r="DS301" s="76"/>
    </row>
    <row r="302" customFormat="false" ht="15.75" hidden="false" customHeight="false" outlineLevel="0" collapsed="false">
      <c r="A302" s="9"/>
      <c r="B302" s="160"/>
      <c r="C302" s="161"/>
      <c r="D302" s="162"/>
      <c r="E302" s="180"/>
      <c r="F302" s="164"/>
      <c r="G302" s="165"/>
      <c r="H302" s="165"/>
      <c r="I302" s="181"/>
      <c r="J302" s="168"/>
      <c r="K302" s="128"/>
      <c r="L302" s="129"/>
      <c r="M302" s="130"/>
      <c r="N302" s="168"/>
      <c r="O302" s="168"/>
      <c r="P302" s="180"/>
      <c r="Q302" s="168"/>
      <c r="R302" s="168"/>
      <c r="S302" s="128"/>
      <c r="T302" s="130"/>
      <c r="U302" s="130"/>
      <c r="V302" s="168"/>
      <c r="W302" s="168"/>
      <c r="X302" s="180"/>
      <c r="Y302" s="168"/>
      <c r="Z302" s="169"/>
      <c r="AA302" s="168"/>
      <c r="AB302" s="134"/>
      <c r="AC302" s="135"/>
      <c r="AD302" s="135"/>
      <c r="AE302" s="135"/>
      <c r="AF302" s="135" t="str">
        <f aca="false">IF(ISBLANK($C302),"",IF(E302=Constants!$B$2,TRUE(),IF(E302=Constants!$B$3,FALSE(),TRUE())))</f>
        <v/>
      </c>
      <c r="AG302" s="135" t="str">
        <f aca="false">IF(ISBLANK($C302),"",IF(F302=Constants!$B$2,TRUE(),IF(F302=Constants!$B$3,FALSE(),TRUE())))</f>
        <v/>
      </c>
      <c r="AH302" s="135" t="str">
        <f aca="false">IF(ISBLANK($C302),"",IF(G302=Constants!$B$2,TRUE(),IF(G302=Constants!$B$3,FALSE(),TRUE())))</f>
        <v/>
      </c>
      <c r="AI302" s="135" t="str">
        <f aca="false">IF(ISBLANK($C302),"",IF(AND(ISNUMBER(H302),H302&gt;=0),H302,Constants!$B$24))</f>
        <v/>
      </c>
      <c r="AJ302" s="135" t="str">
        <f aca="false">IF(ISBLANK($C302),"",IF(I302=Constants!$B$2,TRUE(),IF(I302=Constants!$B$3,FALSE(),TRUE())))</f>
        <v/>
      </c>
      <c r="AK302" s="135" t="str">
        <f aca="false">IF(ISBLANK($C302),"",IF(J302=Constants!$B$2,TRUE(),IF(J302=Constants!$B$3,FALSE(),TRUE())))</f>
        <v/>
      </c>
      <c r="AL302" s="135" t="str">
        <f aca="false">IF(ISBLANK($C302),"",IF(K302=Constants!$B$4,TRUE(),IF(K302=Constants!$B$5,FALSE(),COUNTA(L302:P302)&gt;0)))</f>
        <v/>
      </c>
      <c r="AM302" s="136" t="str">
        <f aca="false">IF(ISBLANK($C302),"",IF(ISNUMBER(L302),IF(L302&gt;=0,L302,""),""))</f>
        <v/>
      </c>
      <c r="AN302" s="137" t="str">
        <f aca="false">IF(ISBLANK($C302),"",IF(ISNUMBER(M302),IF(M302&gt;=0,M302,""),""))</f>
        <v/>
      </c>
      <c r="AO302" s="137" t="str">
        <f aca="false">IF(ISBLANK($C302),"",IF(N302=Constants!$B$2,TRUE(),IF(N302=Constants!$B$3,FALSE(),TRUE())))</f>
        <v/>
      </c>
      <c r="AP302" s="135" t="str">
        <f aca="false">IF(ISBLANK($C302),"",IF(ISNUMBER(O302),IF(O302&gt;=0,O302,""),""))</f>
        <v/>
      </c>
      <c r="AQ302" s="135" t="str">
        <f aca="false">IF(ISBLANK($C302),"",IF(P302=Constants!$B$2,TRUE(),IF(P302=Constants!$B$3,FALSE(),FALSE())))</f>
        <v/>
      </c>
      <c r="AR302" s="135" t="str">
        <f aca="false">IF(ISBLANK($C302),"",IF(Q302=Constants!$B$2,TRUE(),IF(Q302=Constants!$B$3,FALSE(),TRUE())))</f>
        <v/>
      </c>
      <c r="AS302" s="135" t="str">
        <f aca="false">IF(ISBLANK($C302),"",IF(R302=Constants!$B$2,TRUE(),IF(R302=Constants!$B$3,FALSE(),TRUE())))</f>
        <v/>
      </c>
      <c r="AT302" s="135" t="str">
        <f aca="false">IF(ISBLANK($C302),"",IF(S302=Constants!$B$4,TRUE(),IF(S302=Constants!$B$5,FALSE(),COUNTA(T302:X302)&gt;0)))</f>
        <v/>
      </c>
      <c r="AU302" s="136" t="str">
        <f aca="false">IF(ISBLANK($C302),"",IF(ISNUMBER(T302),IF(T302&gt;=0,T302,""),""))</f>
        <v/>
      </c>
      <c r="AV302" s="137" t="str">
        <f aca="false">IF(ISBLANK($C302),"",IF(ISNUMBER(U302),IF(U302&gt;=0,U302,""),""))</f>
        <v/>
      </c>
      <c r="AW302" s="137" t="str">
        <f aca="false">IF(ISBLANK($C302),"",IF(V302=Constants!$B$2,TRUE(),IF(V302=Constants!$B$3,FALSE(),TRUE())))</f>
        <v/>
      </c>
      <c r="AX302" s="135" t="str">
        <f aca="false">IF(ISBLANK($C302),"",IF(ISNUMBER(W302),IF(W302&gt;=0,W302,""),""))</f>
        <v/>
      </c>
      <c r="AY302" s="135" t="str">
        <f aca="false">IF(ISBLANK($C302),"",IF(X302=Constants!$B$2,TRUE(),IF(X302=Constants!$B$3,FALSE(),FALSE())))</f>
        <v/>
      </c>
      <c r="AZ302" s="135" t="str">
        <f aca="false">IF(ISBLANK($C302),"",MIN(Constants!$B$25,MAX(0,IF(ISNUMBER(Y302),Y302*60,0)+IF(ISNUMBER(Z302),Z302,0))))</f>
        <v/>
      </c>
      <c r="BA302" s="135" t="str">
        <f aca="false">IF(ISBLANK($C302),"",IF(AA302=Constants!$B$2,TRUE(),IF(AA302=Constants!$B$3,FALSE(),FALSE())))</f>
        <v/>
      </c>
      <c r="BB302" s="134" t="str">
        <f aca="false">IF(ISBLANK($C302),"",AND($AL302,OR($AM302="",$AN302="",AND($AO302,$AP302=""))))</f>
        <v/>
      </c>
      <c r="BC302" s="137" t="str">
        <f aca="false">IF($BX302&lt;&gt;Constants!$B$6,"",IF($AL302,Constants!$B$17*$AN302+Constants!$B$18*IF($AO302,$AP302,Constants!$B$19),Constants!$B$20))</f>
        <v/>
      </c>
      <c r="BD302" s="138" t="str">
        <f aca="false">IF($BX302&lt;&gt;Constants!$B$6,"",Constants!$B$21*ABS($AD$9-IF($AL302,$AM302,0)))</f>
        <v/>
      </c>
      <c r="BE302" s="138" t="str">
        <f aca="false">IF($BX302&lt;&gt;Constants!$B$6,"",IF(AND($AL302,$AQ302,$AO302),Constants!$B$22,0))</f>
        <v/>
      </c>
      <c r="BF302" s="138" t="str">
        <f aca="false">IF($BX302&lt;&gt;Constants!$B$6,"",IF($AL302,($AI302-Constants!$B$24)*Constants!$B$23,0))</f>
        <v/>
      </c>
      <c r="BG302" s="138" t="str">
        <f aca="false">IF($BX302&lt;&gt;Constants!$B$6,"",IF($AK302,0,Constants!$B$12)+IF($AJ302,0,Constants!$B$13)+IF($AH302,0,Constants!$B$14))</f>
        <v/>
      </c>
      <c r="BH302" s="139" t="str">
        <f aca="false">IF($BX302&lt;&gt;Constants!$B$6,"",Constants!$B$16+SUM($BC302:$BG302))</f>
        <v/>
      </c>
      <c r="BI302" s="138" t="str">
        <f aca="false">IF($BX302&lt;&gt;Constants!$B$6,"",$BC302)</f>
        <v/>
      </c>
      <c r="BJ302" s="138" t="str">
        <f aca="false">IF($BX302&lt;&gt;Constants!$B$6,"",$BD302)</f>
        <v/>
      </c>
      <c r="BK302" s="140" t="str">
        <f aca="false">IF($BX302&lt;&gt;Constants!$B$6,"",IF($AL302,$AN302,""))</f>
        <v/>
      </c>
      <c r="BL302" s="135" t="str">
        <f aca="false">IF($BX302&lt;&gt;Constants!$B$6,"",IF(OR($BS302&lt;$BH302,AND($BS302=$BH302,OR($BT302&lt;$BI302,AND($BT302=$BI302,OR($BU302&lt;$BJ302,AND($BU302=$BJ302,AND(ISNUMBER($BV302),OR(NOT(ISNUMBER($BK302)),$BV302&lt;$BK302)))))))),"-&gt;","&lt;-"))</f>
        <v/>
      </c>
      <c r="BM302" s="134" t="str">
        <f aca="false">IF(ISBLANK($C302),"",AND($AT302,OR($AU302="",$AV302="",AND($AW302,$AX302=""))))</f>
        <v/>
      </c>
      <c r="BN302" s="137" t="str">
        <f aca="false">IF($BX302&lt;&gt;Constants!$B$6,"",IF($AT302,Constants!$B$17*$AV302+Constants!$B$18*IF($AW302,$AX302,Constants!$B$19),Constants!$B$20))</f>
        <v/>
      </c>
      <c r="BO302" s="138" t="str">
        <f aca="false">IF($BX302&lt;&gt;Constants!$B$6,"",Constants!$B$21*ABS($AD$9-IF($AT302,$AU302,0)))</f>
        <v/>
      </c>
      <c r="BP302" s="138" t="str">
        <f aca="false">IF($BX302&lt;&gt;Constants!$B$6,"",IF(AND($AT302,$AY302,$AW302),Constants!$B$22,0))</f>
        <v/>
      </c>
      <c r="BQ302" s="138" t="str">
        <f aca="false">IF($BX302&lt;&gt;Constants!$B$6,"",IF($AT302,($AI302-Constants!$B$24)*Constants!$B$23,0))</f>
        <v/>
      </c>
      <c r="BR302" s="138" t="str">
        <f aca="false">IF($BX302&lt;&gt;Constants!$B$6,"",IF($AS302,0,Constants!$B$12)+IF($AR302,0,Constants!$B$13)+IF($AH302,0,Constants!$B$14))</f>
        <v/>
      </c>
      <c r="BS302" s="139" t="str">
        <f aca="false">IF($BX302&lt;&gt;Constants!$B$6,"",Constants!$B$16+SUM($BN302:$BR302))</f>
        <v/>
      </c>
      <c r="BT302" s="138" t="str">
        <f aca="false">IF($BX302&lt;&gt;Constants!$B$6,"",$BN302)</f>
        <v/>
      </c>
      <c r="BU302" s="138" t="str">
        <f aca="false">IF($BX302&lt;&gt;Constants!$B$6,"",$BO302)</f>
        <v/>
      </c>
      <c r="BV302" s="140" t="str">
        <f aca="false">IF($BX302&lt;&gt;Constants!$B$6,"",IF($AT302,$AV302,""))</f>
        <v/>
      </c>
      <c r="BW302" s="135" t="str">
        <f aca="false">IF(ISBLANK($C302),"",IF(ISBLANK($D$7),$BW$5,IF(NOT(ISNUMBER($D$7)),$BW$6,"")))</f>
        <v/>
      </c>
      <c r="BX302" s="135" t="str">
        <f aca="false">IF(ISBLANK($C302),"",IF($BA302,Constants!$B$9,IF(COUNTA($E302:$AA302)=0,Constants!$B$8,IF(NOT($AG302),Constants!$B$7,IF(OR($BW302&lt;&gt;"",$BB302,$BM302),Constants!$B$10,Constants!$B$6)))))</f>
        <v/>
      </c>
      <c r="BY302" s="135" t="str">
        <f aca="false">IF(ISBLANK($C302),"",IF($BX302&lt;&gt;Constants!$B$6,$BX302,Constants!$B$11))</f>
        <v/>
      </c>
      <c r="BZ302" s="138" t="str">
        <f aca="false">IF($BX302&lt;&gt;Constants!$B$6,"",IF($BL302="-&gt;",$BS302,$BH302))</f>
        <v/>
      </c>
      <c r="CA302" s="138" t="str">
        <f aca="false">IF($BX302&lt;&gt;Constants!$B$6,"",IF($AF302,0,Constants!$B$15))</f>
        <v/>
      </c>
      <c r="CB302" s="138" t="str">
        <f aca="false">IF($BX302&lt;&gt;Constants!$B$6,"",((Constants!$B$25-$AZ302)-Constants!$B$25)/Constants!$B$26)</f>
        <v/>
      </c>
      <c r="CC302" s="138" t="str">
        <f aca="false">IF(ISBLANK($C302),"",IF($BX302&lt;&gt;Constants!$B$6,$BX302,SUM($BZ302:$CB302)))</f>
        <v/>
      </c>
      <c r="CD302" s="135" t="str">
        <f aca="false">IF(ISBLANK($C302),"",IF($BX302&lt;&gt;Constants!$B$6,$BX302,RANK($CC302,$CC$9:$CC$508,1)))</f>
        <v/>
      </c>
      <c r="CE302" s="138" t="str">
        <f aca="false">IF($BX302&lt;&gt;Constants!$B$6,"",IF($BL302="-&gt;",$BT302,$BI302))</f>
        <v/>
      </c>
      <c r="CF302" s="135" t="str">
        <f aca="false">IF(ISBLANK($C302),"",IF($BX302&lt;&gt;Constants!$B$6,$BX302,IF(ISNUMBER($CE302),RANK($CE302,$CE$9:$CE$508,1),COUNT($CE$9:$CE$508)+1)))</f>
        <v/>
      </c>
      <c r="CG302" s="138" t="str">
        <f aca="false">IF($BX302&lt;&gt;Constants!$B$6,"",IF($BL302="-&gt;",$BU302,$BJ302))</f>
        <v/>
      </c>
      <c r="CH302" s="135" t="str">
        <f aca="false">IF(ISBLANK($C302),"",IF($BX302&lt;&gt;Constants!$B$6,$BX302,IF(ISNUMBER($CG302),RANK($CG302,$CG$9:$CG$508,1),COUNT($CG$9:$CG$508)+1)))</f>
        <v/>
      </c>
      <c r="CI302" s="138" t="str">
        <f aca="false">IF($BX302&lt;&gt;Constants!$B$6,"",IF($BL302="-&gt;",$BV302,$BK302))</f>
        <v/>
      </c>
      <c r="CJ302" s="135" t="str">
        <f aca="false">IF(ISBLANK($C302),"",IF($BX302&lt;&gt;Constants!$B$6,$BX302,IF(ISNUMBER($CI302),RANK($CI302,$CI$9:$CI$508,1),COUNT($CI$9:$CI$508)+1)))</f>
        <v/>
      </c>
      <c r="CK302" s="138" t="str">
        <f aca="false">IF($BX302&lt;&gt;Constants!$B$6,"",$AI302)</f>
        <v/>
      </c>
      <c r="CL302" s="135" t="str">
        <f aca="false">IF(ISBLANK($C302),"",IF($BX302&lt;&gt;Constants!$B$6,$BX302,IF(ISNUMBER($CK302),RANK($CK302,$CK$9:$CK$508,1),COUNT($CK$9:$CK$508)+1)))</f>
        <v/>
      </c>
      <c r="CM302" s="135" t="str">
        <f aca="false">IF(ISBLANK($C302),"",IF($BX302&lt;&gt;Constants!$B$6,$BX302,COUNTIFS($CD$9:$CD$508,"&lt;"&amp;$CD302)+COUNTIFS($CD$9:$CD$508,$CD302,$CF$9:$CF$508,"&lt;"&amp;$CF302)+COUNTIFS($CD$9:$CD$508,$CD302,$CF$9:$CF$508,$CF302,$CH$9:$CH$508,"&lt;"&amp;$CH302)+COUNTIFS($CD$9:$CD$508,$CD302,$CF$9:$CF$508,$CF302,$CH$9:$CH$508,$CH302,$CJ$9:$CJ$508,"&lt;"&amp;$CJ302)+COUNTIFS($CD$9:$CD$508,$CD302,$CF$9:$CF$508,$CF302,$CH$9:$CH$508,$CH302,$CJ$9:$CJ$508,$CJ302,$CL$9:$CL$508,"&lt;"&amp;$CL302)+1))</f>
        <v/>
      </c>
      <c r="CN302" s="135" t="str">
        <f aca="false">IF(ISBLANK($C302),"",IF($BX302&lt;&gt;Constants!$B$6,$BX302,$CD302-$CM302))</f>
        <v/>
      </c>
      <c r="CO302" s="141"/>
      <c r="CP302" s="142"/>
      <c r="CQ302" s="143" t="str">
        <f aca="false">IF(ISBLANK($C302),"",IF($BX302=Constants!$B$10,$BW302,""))</f>
        <v/>
      </c>
      <c r="CR302" s="142" t="str">
        <f aca="false">IF(ISBLANK($C302),"",IF($BX302&lt;&gt;Constants!$B$6,"",IF($BL302="-&gt;",2,1)))</f>
        <v/>
      </c>
      <c r="CS302" s="144" t="str">
        <f aca="false">IF(ISBLANK($C302),"",IF($BX302&lt;&gt;Constants!$B$6,"",IF($BL302="-&gt;",$BN302,$BC302)))</f>
        <v/>
      </c>
      <c r="CT302" s="144" t="str">
        <f aca="false">IF(ISBLANK($C302),"",IF($BX302&lt;&gt;Constants!$B$6,"",IF($BL302="-&gt;",$BO302,$BD302)))</f>
        <v/>
      </c>
      <c r="CU302" s="144" t="str">
        <f aca="false">IF(ISBLANK($C302),"",IF($BX302&lt;&gt;Constants!$B$6,"",IF($BL302="-&gt;",$BP302+$BQ302,$BE302+$BF302)+$CB302))</f>
        <v/>
      </c>
      <c r="CV302" s="144" t="str">
        <f aca="false">IF(ISBLANK($C302),"",IF($BX302&lt;&gt;Constants!$B$6,"",IF($BL302="-&gt;",$BR302,$BG302)+$CA302))</f>
        <v/>
      </c>
      <c r="CW302" s="145" t="str">
        <f aca="false">IF(ISBLANK($C302),"",IF($BX302&lt;&gt;Constants!$B$6,$BX302,$CC302))</f>
        <v/>
      </c>
      <c r="CX302" s="146" t="str">
        <f aca="false">IF(ISBLANK($C302),"",$BY302)</f>
        <v/>
      </c>
      <c r="CY302" s="147" t="str">
        <f aca="false">IF(ISBLANK($C302),"",$CN302)</f>
        <v/>
      </c>
      <c r="CZ302" s="147" t="str">
        <f aca="false">IF(ISBLANK($C302),"",$CM302)</f>
        <v/>
      </c>
      <c r="DA302" s="148" t="str">
        <f aca="false">IF(ISBLANK($C302),"",IFERROR(_xlfn.SWITCH($CZ302,Constants!$B$9,COUNTA($C$9:$C$508)+2,Constants!$B$8,COUNTA($C$9:$C$508)+1,Constants!$B$7,COUNTA($C$9:$C$508)),$CZ302))</f>
        <v/>
      </c>
      <c r="DB302" s="9"/>
      <c r="DC302" s="149" t="n">
        <f aca="false">IF(OR(ISNUMBER($CZ302),$CZ302=Constants!$B$9,$CZ302=Constants!$B$7,$CZ302=Constants!$B$8),1,0)</f>
        <v>0</v>
      </c>
      <c r="DD302" s="149" t="n">
        <v>294</v>
      </c>
      <c r="DE302" s="149" t="str">
        <f aca="false">IF(ISBLANK($C302),"",IF(ISNUMBER($DA302),$DA302+ROW($B302)/1000,""))</f>
        <v/>
      </c>
      <c r="DF302" s="149" t="str">
        <f aca="false">IF(ISNUMBER($DE302),RANK($DE302,$DE$9:$DE$508,1),"")</f>
        <v/>
      </c>
      <c r="DG302" s="149" t="str">
        <f aca="false">IF(ISBLANK($C302),"",$B302)</f>
        <v/>
      </c>
      <c r="DH302" s="149" t="str">
        <f aca="false">IF(ISBLANK($C302),"",$C302)</f>
        <v/>
      </c>
      <c r="DI302" s="149" t="str">
        <f aca="false">IF(ISBLANK($C302),"",$D302)</f>
        <v/>
      </c>
      <c r="DJ302" s="150" t="str">
        <f aca="false">$CX302</f>
        <v/>
      </c>
      <c r="DK302" s="151" t="str">
        <f aca="false">$CW302</f>
        <v/>
      </c>
      <c r="DL302" s="149" t="str">
        <f aca="false">IF(ISBLANK($C302),"",$CZ302)</f>
        <v/>
      </c>
      <c r="DM302" s="152" t="str">
        <f aca="false">IF($DD302&gt;$DC$8,"",VLOOKUP($DD302,$DF$9:$DL$508,7,FALSE()))</f>
        <v/>
      </c>
      <c r="DN302" s="153" t="str">
        <f aca="false">IF($DD302&gt;$DC$8,"",VLOOKUP($DD302,$DF$9:$DL$508,2,FALSE()))</f>
        <v/>
      </c>
      <c r="DO302" s="153" t="str">
        <f aca="false">IF($DD302&gt;$DC$8,"",VLOOKUP($DD302,$DF$9:$DL$508,3,FALSE()))</f>
        <v/>
      </c>
      <c r="DP302" s="153" t="str">
        <f aca="false">IF($DD302&gt;$DC$8,"",VLOOKUP($DD302,$DF$9:$DL$508,4,FALSE()))</f>
        <v/>
      </c>
      <c r="DQ302" s="153" t="str">
        <f aca="false">IF($DD302&gt;$DC$8,"",VLOOKUP($DD302,$DF$9:$DL$508,5,FALSE()))</f>
        <v/>
      </c>
      <c r="DR302" s="154" t="str">
        <f aca="false">IF($DD302&gt;$DC$8,"",VLOOKUP($DD302,$DF$9:$DL$508,6,FALSE()))</f>
        <v/>
      </c>
      <c r="DS302" s="76"/>
    </row>
    <row r="303" customFormat="false" ht="15.75" hidden="false" customHeight="false" outlineLevel="0" collapsed="false">
      <c r="A303" s="9"/>
      <c r="B303" s="78"/>
      <c r="C303" s="79"/>
      <c r="D303" s="170"/>
      <c r="E303" s="178"/>
      <c r="F303" s="172"/>
      <c r="G303" s="173"/>
      <c r="H303" s="173"/>
      <c r="I303" s="179"/>
      <c r="J303" s="176"/>
      <c r="K303" s="86"/>
      <c r="L303" s="87"/>
      <c r="M303" s="88"/>
      <c r="N303" s="176"/>
      <c r="O303" s="176"/>
      <c r="P303" s="178"/>
      <c r="Q303" s="176"/>
      <c r="R303" s="176"/>
      <c r="S303" s="86"/>
      <c r="T303" s="88"/>
      <c r="U303" s="88"/>
      <c r="V303" s="176"/>
      <c r="W303" s="176"/>
      <c r="X303" s="178"/>
      <c r="Y303" s="176"/>
      <c r="Z303" s="177"/>
      <c r="AA303" s="176"/>
      <c r="AB303" s="92"/>
      <c r="AC303" s="93"/>
      <c r="AD303" s="93"/>
      <c r="AE303" s="93"/>
      <c r="AF303" s="93" t="str">
        <f aca="false">IF(ISBLANK($C303),"",IF(E303=Constants!$B$2,TRUE(),IF(E303=Constants!$B$3,FALSE(),TRUE())))</f>
        <v/>
      </c>
      <c r="AG303" s="93" t="str">
        <f aca="false">IF(ISBLANK($C303),"",IF(F303=Constants!$B$2,TRUE(),IF(F303=Constants!$B$3,FALSE(),TRUE())))</f>
        <v/>
      </c>
      <c r="AH303" s="93" t="str">
        <f aca="false">IF(ISBLANK($C303),"",IF(G303=Constants!$B$2,TRUE(),IF(G303=Constants!$B$3,FALSE(),TRUE())))</f>
        <v/>
      </c>
      <c r="AI303" s="93" t="str">
        <f aca="false">IF(ISBLANK($C303),"",IF(AND(ISNUMBER(H303),H303&gt;=0),H303,Constants!$B$24))</f>
        <v/>
      </c>
      <c r="AJ303" s="93" t="str">
        <f aca="false">IF(ISBLANK($C303),"",IF(I303=Constants!$B$2,TRUE(),IF(I303=Constants!$B$3,FALSE(),TRUE())))</f>
        <v/>
      </c>
      <c r="AK303" s="93" t="str">
        <f aca="false">IF(ISBLANK($C303),"",IF(J303=Constants!$B$2,TRUE(),IF(J303=Constants!$B$3,FALSE(),TRUE())))</f>
        <v/>
      </c>
      <c r="AL303" s="93" t="str">
        <f aca="false">IF(ISBLANK($C303),"",IF(K303=Constants!$B$4,TRUE(),IF(K303=Constants!$B$5,FALSE(),COUNTA(L303:P303)&gt;0)))</f>
        <v/>
      </c>
      <c r="AM303" s="95" t="str">
        <f aca="false">IF(ISBLANK($C303),"",IF(ISNUMBER(L303),IF(L303&gt;=0,L303,""),""))</f>
        <v/>
      </c>
      <c r="AN303" s="94" t="str">
        <f aca="false">IF(ISBLANK($C303),"",IF(ISNUMBER(M303),IF(M303&gt;=0,M303,""),""))</f>
        <v/>
      </c>
      <c r="AO303" s="94" t="str">
        <f aca="false">IF(ISBLANK($C303),"",IF(N303=Constants!$B$2,TRUE(),IF(N303=Constants!$B$3,FALSE(),TRUE())))</f>
        <v/>
      </c>
      <c r="AP303" s="93" t="str">
        <f aca="false">IF(ISBLANK($C303),"",IF(ISNUMBER(O303),IF(O303&gt;=0,O303,""),""))</f>
        <v/>
      </c>
      <c r="AQ303" s="93" t="str">
        <f aca="false">IF(ISBLANK($C303),"",IF(P303=Constants!$B$2,TRUE(),IF(P303=Constants!$B$3,FALSE(),FALSE())))</f>
        <v/>
      </c>
      <c r="AR303" s="93" t="str">
        <f aca="false">IF(ISBLANK($C303),"",IF(Q303=Constants!$B$2,TRUE(),IF(Q303=Constants!$B$3,FALSE(),TRUE())))</f>
        <v/>
      </c>
      <c r="AS303" s="93" t="str">
        <f aca="false">IF(ISBLANK($C303),"",IF(R303=Constants!$B$2,TRUE(),IF(R303=Constants!$B$3,FALSE(),TRUE())))</f>
        <v/>
      </c>
      <c r="AT303" s="93" t="str">
        <f aca="false">IF(ISBLANK($C303),"",IF(S303=Constants!$B$4,TRUE(),IF(S303=Constants!$B$5,FALSE(),COUNTA(T303:X303)&gt;0)))</f>
        <v/>
      </c>
      <c r="AU303" s="95" t="str">
        <f aca="false">IF(ISBLANK($C303),"",IF(ISNUMBER(T303),IF(T303&gt;=0,T303,""),""))</f>
        <v/>
      </c>
      <c r="AV303" s="94" t="str">
        <f aca="false">IF(ISBLANK($C303),"",IF(ISNUMBER(U303),IF(U303&gt;=0,U303,""),""))</f>
        <v/>
      </c>
      <c r="AW303" s="94" t="str">
        <f aca="false">IF(ISBLANK($C303),"",IF(V303=Constants!$B$2,TRUE(),IF(V303=Constants!$B$3,FALSE(),TRUE())))</f>
        <v/>
      </c>
      <c r="AX303" s="93" t="str">
        <f aca="false">IF(ISBLANK($C303),"",IF(ISNUMBER(W303),IF(W303&gt;=0,W303,""),""))</f>
        <v/>
      </c>
      <c r="AY303" s="93" t="str">
        <f aca="false">IF(ISBLANK($C303),"",IF(X303=Constants!$B$2,TRUE(),IF(X303=Constants!$B$3,FALSE(),FALSE())))</f>
        <v/>
      </c>
      <c r="AZ303" s="93" t="str">
        <f aca="false">IF(ISBLANK($C303),"",MIN(Constants!$B$25,MAX(0,IF(ISNUMBER(Y303),Y303*60,0)+IF(ISNUMBER(Z303),Z303,0))))</f>
        <v/>
      </c>
      <c r="BA303" s="93" t="str">
        <f aca="false">IF(ISBLANK($C303),"",IF(AA303=Constants!$B$2,TRUE(),IF(AA303=Constants!$B$3,FALSE(),FALSE())))</f>
        <v/>
      </c>
      <c r="BB303" s="92" t="str">
        <f aca="false">IF(ISBLANK($C303),"",AND($AL303,OR($AM303="",$AN303="",AND($AO303,$AP303=""))))</f>
        <v/>
      </c>
      <c r="BC303" s="94" t="str">
        <f aca="false">IF($BX303&lt;&gt;Constants!$B$6,"",IF($AL303,Constants!$B$17*$AN303+Constants!$B$18*IF($AO303,$AP303,Constants!$B$19),Constants!$B$20))</f>
        <v/>
      </c>
      <c r="BD303" s="97" t="str">
        <f aca="false">IF($BX303&lt;&gt;Constants!$B$6,"",Constants!$B$21*ABS($AD$9-IF($AL303,$AM303,0)))</f>
        <v/>
      </c>
      <c r="BE303" s="97" t="str">
        <f aca="false">IF($BX303&lt;&gt;Constants!$B$6,"",IF(AND($AL303,$AQ303,$AO303),Constants!$B$22,0))</f>
        <v/>
      </c>
      <c r="BF303" s="97" t="str">
        <f aca="false">IF($BX303&lt;&gt;Constants!$B$6,"",IF($AL303,($AI303-Constants!$B$24)*Constants!$B$23,0))</f>
        <v/>
      </c>
      <c r="BG303" s="97" t="str">
        <f aca="false">IF($BX303&lt;&gt;Constants!$B$6,"",IF($AK303,0,Constants!$B$12)+IF($AJ303,0,Constants!$B$13)+IF($AH303,0,Constants!$B$14))</f>
        <v/>
      </c>
      <c r="BH303" s="98" t="str">
        <f aca="false">IF($BX303&lt;&gt;Constants!$B$6,"",Constants!$B$16+SUM($BC303:$BG303))</f>
        <v/>
      </c>
      <c r="BI303" s="97" t="str">
        <f aca="false">IF($BX303&lt;&gt;Constants!$B$6,"",$BC303)</f>
        <v/>
      </c>
      <c r="BJ303" s="97" t="str">
        <f aca="false">IF($BX303&lt;&gt;Constants!$B$6,"",$BD303)</f>
        <v/>
      </c>
      <c r="BK303" s="99" t="str">
        <f aca="false">IF($BX303&lt;&gt;Constants!$B$6,"",IF($AL303,$AN303,""))</f>
        <v/>
      </c>
      <c r="BL303" s="93" t="str">
        <f aca="false">IF($BX303&lt;&gt;Constants!$B$6,"",IF(OR($BS303&lt;$BH303,AND($BS303=$BH303,OR($BT303&lt;$BI303,AND($BT303=$BI303,OR($BU303&lt;$BJ303,AND($BU303=$BJ303,AND(ISNUMBER($BV303),OR(NOT(ISNUMBER($BK303)),$BV303&lt;$BK303)))))))),"-&gt;","&lt;-"))</f>
        <v/>
      </c>
      <c r="BM303" s="92" t="str">
        <f aca="false">IF(ISBLANK($C303),"",AND($AT303,OR($AU303="",$AV303="",AND($AW303,$AX303=""))))</f>
        <v/>
      </c>
      <c r="BN303" s="94" t="str">
        <f aca="false">IF($BX303&lt;&gt;Constants!$B$6,"",IF($AT303,Constants!$B$17*$AV303+Constants!$B$18*IF($AW303,$AX303,Constants!$B$19),Constants!$B$20))</f>
        <v/>
      </c>
      <c r="BO303" s="97" t="str">
        <f aca="false">IF($BX303&lt;&gt;Constants!$B$6,"",Constants!$B$21*ABS($AD$9-IF($AT303,$AU303,0)))</f>
        <v/>
      </c>
      <c r="BP303" s="97" t="str">
        <f aca="false">IF($BX303&lt;&gt;Constants!$B$6,"",IF(AND($AT303,$AY303,$AW303),Constants!$B$22,0))</f>
        <v/>
      </c>
      <c r="BQ303" s="97" t="str">
        <f aca="false">IF($BX303&lt;&gt;Constants!$B$6,"",IF($AT303,($AI303-Constants!$B$24)*Constants!$B$23,0))</f>
        <v/>
      </c>
      <c r="BR303" s="97" t="str">
        <f aca="false">IF($BX303&lt;&gt;Constants!$B$6,"",IF($AS303,0,Constants!$B$12)+IF($AR303,0,Constants!$B$13)+IF($AH303,0,Constants!$B$14))</f>
        <v/>
      </c>
      <c r="BS303" s="98" t="str">
        <f aca="false">IF($BX303&lt;&gt;Constants!$B$6,"",Constants!$B$16+SUM($BN303:$BR303))</f>
        <v/>
      </c>
      <c r="BT303" s="97" t="str">
        <f aca="false">IF($BX303&lt;&gt;Constants!$B$6,"",$BN303)</f>
        <v/>
      </c>
      <c r="BU303" s="97" t="str">
        <f aca="false">IF($BX303&lt;&gt;Constants!$B$6,"",$BO303)</f>
        <v/>
      </c>
      <c r="BV303" s="99" t="str">
        <f aca="false">IF($BX303&lt;&gt;Constants!$B$6,"",IF($AT303,$AV303,""))</f>
        <v/>
      </c>
      <c r="BW303" s="93" t="str">
        <f aca="false">IF(ISBLANK($C303),"",IF(ISBLANK($D$7),$BW$5,IF(NOT(ISNUMBER($D$7)),$BW$6,"")))</f>
        <v/>
      </c>
      <c r="BX303" s="93" t="str">
        <f aca="false">IF(ISBLANK($C303),"",IF($BA303,Constants!$B$9,IF(COUNTA($E303:$AA303)=0,Constants!$B$8,IF(NOT($AG303),Constants!$B$7,IF(OR($BW303&lt;&gt;"",$BB303,$BM303),Constants!$B$10,Constants!$B$6)))))</f>
        <v/>
      </c>
      <c r="BY303" s="93" t="str">
        <f aca="false">IF(ISBLANK($C303),"",IF($BX303&lt;&gt;Constants!$B$6,$BX303,Constants!$B$11))</f>
        <v/>
      </c>
      <c r="BZ303" s="97" t="str">
        <f aca="false">IF($BX303&lt;&gt;Constants!$B$6,"",IF($BL303="-&gt;",$BS303,$BH303))</f>
        <v/>
      </c>
      <c r="CA303" s="97" t="str">
        <f aca="false">IF($BX303&lt;&gt;Constants!$B$6,"",IF($AF303,0,Constants!$B$15))</f>
        <v/>
      </c>
      <c r="CB303" s="97" t="str">
        <f aca="false">IF($BX303&lt;&gt;Constants!$B$6,"",((Constants!$B$25-$AZ303)-Constants!$B$25)/Constants!$B$26)</f>
        <v/>
      </c>
      <c r="CC303" s="97" t="str">
        <f aca="false">IF(ISBLANK($C303),"",IF($BX303&lt;&gt;Constants!$B$6,$BX303,SUM($BZ303:$CB303)))</f>
        <v/>
      </c>
      <c r="CD303" s="93" t="str">
        <f aca="false">IF(ISBLANK($C303),"",IF($BX303&lt;&gt;Constants!$B$6,$BX303,RANK($CC303,$CC$9:$CC$508,1)))</f>
        <v/>
      </c>
      <c r="CE303" s="97" t="str">
        <f aca="false">IF($BX303&lt;&gt;Constants!$B$6,"",IF($BL303="-&gt;",$BT303,$BI303))</f>
        <v/>
      </c>
      <c r="CF303" s="93" t="str">
        <f aca="false">IF(ISBLANK($C303),"",IF($BX303&lt;&gt;Constants!$B$6,$BX303,IF(ISNUMBER($CE303),RANK($CE303,$CE$9:$CE$508,1),COUNT($CE$9:$CE$508)+1)))</f>
        <v/>
      </c>
      <c r="CG303" s="97" t="str">
        <f aca="false">IF($BX303&lt;&gt;Constants!$B$6,"",IF($BL303="-&gt;",$BU303,$BJ303))</f>
        <v/>
      </c>
      <c r="CH303" s="93" t="str">
        <f aca="false">IF(ISBLANK($C303),"",IF($BX303&lt;&gt;Constants!$B$6,$BX303,IF(ISNUMBER($CG303),RANK($CG303,$CG$9:$CG$508,1),COUNT($CG$9:$CG$508)+1)))</f>
        <v/>
      </c>
      <c r="CI303" s="97" t="str">
        <f aca="false">IF($BX303&lt;&gt;Constants!$B$6,"",IF($BL303="-&gt;",$BV303,$BK303))</f>
        <v/>
      </c>
      <c r="CJ303" s="93" t="str">
        <f aca="false">IF(ISBLANK($C303),"",IF($BX303&lt;&gt;Constants!$B$6,$BX303,IF(ISNUMBER($CI303),RANK($CI303,$CI$9:$CI$508,1),COUNT($CI$9:$CI$508)+1)))</f>
        <v/>
      </c>
      <c r="CK303" s="97" t="str">
        <f aca="false">IF($BX303&lt;&gt;Constants!$B$6,"",$AI303)</f>
        <v/>
      </c>
      <c r="CL303" s="93" t="str">
        <f aca="false">IF(ISBLANK($C303),"",IF($BX303&lt;&gt;Constants!$B$6,$BX303,IF(ISNUMBER($CK303),RANK($CK303,$CK$9:$CK$508,1),COUNT($CK$9:$CK$508)+1)))</f>
        <v/>
      </c>
      <c r="CM303" s="93" t="str">
        <f aca="false">IF(ISBLANK($C303),"",IF($BX303&lt;&gt;Constants!$B$6,$BX303,COUNTIFS($CD$9:$CD$508,"&lt;"&amp;$CD303)+COUNTIFS($CD$9:$CD$508,$CD303,$CF$9:$CF$508,"&lt;"&amp;$CF303)+COUNTIFS($CD$9:$CD$508,$CD303,$CF$9:$CF$508,$CF303,$CH$9:$CH$508,"&lt;"&amp;$CH303)+COUNTIFS($CD$9:$CD$508,$CD303,$CF$9:$CF$508,$CF303,$CH$9:$CH$508,$CH303,$CJ$9:$CJ$508,"&lt;"&amp;$CJ303)+COUNTIFS($CD$9:$CD$508,$CD303,$CF$9:$CF$508,$CF303,$CH$9:$CH$508,$CH303,$CJ$9:$CJ$508,$CJ303,$CL$9:$CL$508,"&lt;"&amp;$CL303)+1))</f>
        <v/>
      </c>
      <c r="CN303" s="93" t="str">
        <f aca="false">IF(ISBLANK($C303),"",IF($BX303&lt;&gt;Constants!$B$6,$BX303,$CD303-$CM303))</f>
        <v/>
      </c>
      <c r="CO303" s="100"/>
      <c r="CP303" s="101"/>
      <c r="CQ303" s="102" t="str">
        <f aca="false">IF(ISBLANK($C303),"",IF($BX303=Constants!$B$10,$BW303,""))</f>
        <v/>
      </c>
      <c r="CR303" s="101" t="str">
        <f aca="false">IF(ISBLANK($C303),"",IF($BX303&lt;&gt;Constants!$B$6,"",IF($BL303="-&gt;",2,1)))</f>
        <v/>
      </c>
      <c r="CS303" s="103" t="str">
        <f aca="false">IF(ISBLANK($C303),"",IF($BX303&lt;&gt;Constants!$B$6,"",IF($BL303="-&gt;",$BN303,$BC303)))</f>
        <v/>
      </c>
      <c r="CT303" s="103" t="str">
        <f aca="false">IF(ISBLANK($C303),"",IF($BX303&lt;&gt;Constants!$B$6,"",IF($BL303="-&gt;",$BO303,$BD303)))</f>
        <v/>
      </c>
      <c r="CU303" s="103" t="str">
        <f aca="false">IF(ISBLANK($C303),"",IF($BX303&lt;&gt;Constants!$B$6,"",IF($BL303="-&gt;",$BP303+$BQ303,$BE303+$BF303)+$CB303))</f>
        <v/>
      </c>
      <c r="CV303" s="103" t="str">
        <f aca="false">IF(ISBLANK($C303),"",IF($BX303&lt;&gt;Constants!$B$6,"",IF($BL303="-&gt;",$BR303,$BG303)+$CA303))</f>
        <v/>
      </c>
      <c r="CW303" s="104" t="str">
        <f aca="false">IF(ISBLANK($C303),"",IF($BX303&lt;&gt;Constants!$B$6,$BX303,$CC303))</f>
        <v/>
      </c>
      <c r="CX303" s="105" t="str">
        <f aca="false">IF(ISBLANK($C303),"",$BY303)</f>
        <v/>
      </c>
      <c r="CY303" s="106" t="str">
        <f aca="false">IF(ISBLANK($C303),"",$CN303)</f>
        <v/>
      </c>
      <c r="CZ303" s="106" t="str">
        <f aca="false">IF(ISBLANK($C303),"",$CM303)</f>
        <v/>
      </c>
      <c r="DA303" s="107" t="str">
        <f aca="false">IF(ISBLANK($C303),"",IFERROR(_xlfn.SWITCH($CZ303,Constants!$B$9,COUNTA($C$9:$C$508)+2,Constants!$B$8,COUNTA($C$9:$C$508)+1,Constants!$B$7,COUNTA($C$9:$C$508)),$CZ303))</f>
        <v/>
      </c>
      <c r="DB303" s="9"/>
      <c r="DC303" s="108" t="n">
        <f aca="false">IF(OR(ISNUMBER($CZ303),$CZ303=Constants!$B$9,$CZ303=Constants!$B$7,$CZ303=Constants!$B$8),1,0)</f>
        <v>0</v>
      </c>
      <c r="DD303" s="108" t="n">
        <v>295</v>
      </c>
      <c r="DE303" s="108" t="str">
        <f aca="false">IF(ISBLANK($C303),"",IF(ISNUMBER($DA303),$DA303+ROW($B303)/1000,""))</f>
        <v/>
      </c>
      <c r="DF303" s="108" t="str">
        <f aca="false">IF(ISNUMBER($DE303),RANK($DE303,$DE$9:$DE$508,1),"")</f>
        <v/>
      </c>
      <c r="DG303" s="108" t="str">
        <f aca="false">IF(ISBLANK($C303),"",$B303)</f>
        <v/>
      </c>
      <c r="DH303" s="108" t="str">
        <f aca="false">IF(ISBLANK($C303),"",$C303)</f>
        <v/>
      </c>
      <c r="DI303" s="108" t="str">
        <f aca="false">IF(ISBLANK($C303),"",$D303)</f>
        <v/>
      </c>
      <c r="DJ303" s="109" t="str">
        <f aca="false">$CX303</f>
        <v/>
      </c>
      <c r="DK303" s="110" t="str">
        <f aca="false">$CW303</f>
        <v/>
      </c>
      <c r="DL303" s="108" t="str">
        <f aca="false">IF(ISBLANK($C303),"",$CZ303)</f>
        <v/>
      </c>
      <c r="DM303" s="111" t="str">
        <f aca="false">IF($DD303&gt;$DC$8,"",VLOOKUP($DD303,$DF$9:$DL$508,7,FALSE()))</f>
        <v/>
      </c>
      <c r="DN303" s="112" t="str">
        <f aca="false">IF($DD303&gt;$DC$8,"",VLOOKUP($DD303,$DF$9:$DL$508,2,FALSE()))</f>
        <v/>
      </c>
      <c r="DO303" s="112" t="str">
        <f aca="false">IF($DD303&gt;$DC$8,"",VLOOKUP($DD303,$DF$9:$DL$508,3,FALSE()))</f>
        <v/>
      </c>
      <c r="DP303" s="112" t="str">
        <f aca="false">IF($DD303&gt;$DC$8,"",VLOOKUP($DD303,$DF$9:$DL$508,4,FALSE()))</f>
        <v/>
      </c>
      <c r="DQ303" s="112" t="str">
        <f aca="false">IF($DD303&gt;$DC$8,"",VLOOKUP($DD303,$DF$9:$DL$508,5,FALSE()))</f>
        <v/>
      </c>
      <c r="DR303" s="113" t="str">
        <f aca="false">IF($DD303&gt;$DC$8,"",VLOOKUP($DD303,$DF$9:$DL$508,6,FALSE()))</f>
        <v/>
      </c>
      <c r="DS303" s="76"/>
    </row>
    <row r="304" customFormat="false" ht="15.75" hidden="false" customHeight="false" outlineLevel="0" collapsed="false">
      <c r="A304" s="9"/>
      <c r="B304" s="78"/>
      <c r="C304" s="79"/>
      <c r="D304" s="170"/>
      <c r="E304" s="178"/>
      <c r="F304" s="172"/>
      <c r="G304" s="173"/>
      <c r="H304" s="173"/>
      <c r="I304" s="179"/>
      <c r="J304" s="176"/>
      <c r="K304" s="86"/>
      <c r="L304" s="87"/>
      <c r="M304" s="88"/>
      <c r="N304" s="176"/>
      <c r="O304" s="176"/>
      <c r="P304" s="178"/>
      <c r="Q304" s="176"/>
      <c r="R304" s="176"/>
      <c r="S304" s="86"/>
      <c r="T304" s="88"/>
      <c r="U304" s="88"/>
      <c r="V304" s="176"/>
      <c r="W304" s="176"/>
      <c r="X304" s="178"/>
      <c r="Y304" s="176"/>
      <c r="Z304" s="177"/>
      <c r="AA304" s="176"/>
      <c r="AB304" s="92"/>
      <c r="AC304" s="93"/>
      <c r="AD304" s="93"/>
      <c r="AE304" s="93"/>
      <c r="AF304" s="93" t="str">
        <f aca="false">IF(ISBLANK($C304),"",IF(E304=Constants!$B$2,TRUE(),IF(E304=Constants!$B$3,FALSE(),TRUE())))</f>
        <v/>
      </c>
      <c r="AG304" s="93" t="str">
        <f aca="false">IF(ISBLANK($C304),"",IF(F304=Constants!$B$2,TRUE(),IF(F304=Constants!$B$3,FALSE(),TRUE())))</f>
        <v/>
      </c>
      <c r="AH304" s="93" t="str">
        <f aca="false">IF(ISBLANK($C304),"",IF(G304=Constants!$B$2,TRUE(),IF(G304=Constants!$B$3,FALSE(),TRUE())))</f>
        <v/>
      </c>
      <c r="AI304" s="93" t="str">
        <f aca="false">IF(ISBLANK($C304),"",IF(AND(ISNUMBER(H304),H304&gt;=0),H304,Constants!$B$24))</f>
        <v/>
      </c>
      <c r="AJ304" s="93" t="str">
        <f aca="false">IF(ISBLANK($C304),"",IF(I304=Constants!$B$2,TRUE(),IF(I304=Constants!$B$3,FALSE(),TRUE())))</f>
        <v/>
      </c>
      <c r="AK304" s="93" t="str">
        <f aca="false">IF(ISBLANK($C304),"",IF(J304=Constants!$B$2,TRUE(),IF(J304=Constants!$B$3,FALSE(),TRUE())))</f>
        <v/>
      </c>
      <c r="AL304" s="93" t="str">
        <f aca="false">IF(ISBLANK($C304),"",IF(K304=Constants!$B$4,TRUE(),IF(K304=Constants!$B$5,FALSE(),COUNTA(L304:P304)&gt;0)))</f>
        <v/>
      </c>
      <c r="AM304" s="95" t="str">
        <f aca="false">IF(ISBLANK($C304),"",IF(ISNUMBER(L304),IF(L304&gt;=0,L304,""),""))</f>
        <v/>
      </c>
      <c r="AN304" s="94" t="str">
        <f aca="false">IF(ISBLANK($C304),"",IF(ISNUMBER(M304),IF(M304&gt;=0,M304,""),""))</f>
        <v/>
      </c>
      <c r="AO304" s="94" t="str">
        <f aca="false">IF(ISBLANK($C304),"",IF(N304=Constants!$B$2,TRUE(),IF(N304=Constants!$B$3,FALSE(),TRUE())))</f>
        <v/>
      </c>
      <c r="AP304" s="93" t="str">
        <f aca="false">IF(ISBLANK($C304),"",IF(ISNUMBER(O304),IF(O304&gt;=0,O304,""),""))</f>
        <v/>
      </c>
      <c r="AQ304" s="93" t="str">
        <f aca="false">IF(ISBLANK($C304),"",IF(P304=Constants!$B$2,TRUE(),IF(P304=Constants!$B$3,FALSE(),FALSE())))</f>
        <v/>
      </c>
      <c r="AR304" s="93" t="str">
        <f aca="false">IF(ISBLANK($C304),"",IF(Q304=Constants!$B$2,TRUE(),IF(Q304=Constants!$B$3,FALSE(),TRUE())))</f>
        <v/>
      </c>
      <c r="AS304" s="93" t="str">
        <f aca="false">IF(ISBLANK($C304),"",IF(R304=Constants!$B$2,TRUE(),IF(R304=Constants!$B$3,FALSE(),TRUE())))</f>
        <v/>
      </c>
      <c r="AT304" s="93" t="str">
        <f aca="false">IF(ISBLANK($C304),"",IF(S304=Constants!$B$4,TRUE(),IF(S304=Constants!$B$5,FALSE(),COUNTA(T304:X304)&gt;0)))</f>
        <v/>
      </c>
      <c r="AU304" s="95" t="str">
        <f aca="false">IF(ISBLANK($C304),"",IF(ISNUMBER(T304),IF(T304&gt;=0,T304,""),""))</f>
        <v/>
      </c>
      <c r="AV304" s="94" t="str">
        <f aca="false">IF(ISBLANK($C304),"",IF(ISNUMBER(U304),IF(U304&gt;=0,U304,""),""))</f>
        <v/>
      </c>
      <c r="AW304" s="94" t="str">
        <f aca="false">IF(ISBLANK($C304),"",IF(V304=Constants!$B$2,TRUE(),IF(V304=Constants!$B$3,FALSE(),TRUE())))</f>
        <v/>
      </c>
      <c r="AX304" s="93" t="str">
        <f aca="false">IF(ISBLANK($C304),"",IF(ISNUMBER(W304),IF(W304&gt;=0,W304,""),""))</f>
        <v/>
      </c>
      <c r="AY304" s="93" t="str">
        <f aca="false">IF(ISBLANK($C304),"",IF(X304=Constants!$B$2,TRUE(),IF(X304=Constants!$B$3,FALSE(),FALSE())))</f>
        <v/>
      </c>
      <c r="AZ304" s="93" t="str">
        <f aca="false">IF(ISBLANK($C304),"",MIN(Constants!$B$25,MAX(0,IF(ISNUMBER(Y304),Y304*60,0)+IF(ISNUMBER(Z304),Z304,0))))</f>
        <v/>
      </c>
      <c r="BA304" s="93" t="str">
        <f aca="false">IF(ISBLANK($C304),"",IF(AA304=Constants!$B$2,TRUE(),IF(AA304=Constants!$B$3,FALSE(),FALSE())))</f>
        <v/>
      </c>
      <c r="BB304" s="92" t="str">
        <f aca="false">IF(ISBLANK($C304),"",AND($AL304,OR($AM304="",$AN304="",AND($AO304,$AP304=""))))</f>
        <v/>
      </c>
      <c r="BC304" s="94" t="str">
        <f aca="false">IF($BX304&lt;&gt;Constants!$B$6,"",IF($AL304,Constants!$B$17*$AN304+Constants!$B$18*IF($AO304,$AP304,Constants!$B$19),Constants!$B$20))</f>
        <v/>
      </c>
      <c r="BD304" s="97" t="str">
        <f aca="false">IF($BX304&lt;&gt;Constants!$B$6,"",Constants!$B$21*ABS($AD$9-IF($AL304,$AM304,0)))</f>
        <v/>
      </c>
      <c r="BE304" s="97" t="str">
        <f aca="false">IF($BX304&lt;&gt;Constants!$B$6,"",IF(AND($AL304,$AQ304,$AO304),Constants!$B$22,0))</f>
        <v/>
      </c>
      <c r="BF304" s="97" t="str">
        <f aca="false">IF($BX304&lt;&gt;Constants!$B$6,"",IF($AL304,($AI304-Constants!$B$24)*Constants!$B$23,0))</f>
        <v/>
      </c>
      <c r="BG304" s="97" t="str">
        <f aca="false">IF($BX304&lt;&gt;Constants!$B$6,"",IF($AK304,0,Constants!$B$12)+IF($AJ304,0,Constants!$B$13)+IF($AH304,0,Constants!$B$14))</f>
        <v/>
      </c>
      <c r="BH304" s="98" t="str">
        <f aca="false">IF($BX304&lt;&gt;Constants!$B$6,"",Constants!$B$16+SUM($BC304:$BG304))</f>
        <v/>
      </c>
      <c r="BI304" s="97" t="str">
        <f aca="false">IF($BX304&lt;&gt;Constants!$B$6,"",$BC304)</f>
        <v/>
      </c>
      <c r="BJ304" s="97" t="str">
        <f aca="false">IF($BX304&lt;&gt;Constants!$B$6,"",$BD304)</f>
        <v/>
      </c>
      <c r="BK304" s="99" t="str">
        <f aca="false">IF($BX304&lt;&gt;Constants!$B$6,"",IF($AL304,$AN304,""))</f>
        <v/>
      </c>
      <c r="BL304" s="93" t="str">
        <f aca="false">IF($BX304&lt;&gt;Constants!$B$6,"",IF(OR($BS304&lt;$BH304,AND($BS304=$BH304,OR($BT304&lt;$BI304,AND($BT304=$BI304,OR($BU304&lt;$BJ304,AND($BU304=$BJ304,AND(ISNUMBER($BV304),OR(NOT(ISNUMBER($BK304)),$BV304&lt;$BK304)))))))),"-&gt;","&lt;-"))</f>
        <v/>
      </c>
      <c r="BM304" s="92" t="str">
        <f aca="false">IF(ISBLANK($C304),"",AND($AT304,OR($AU304="",$AV304="",AND($AW304,$AX304=""))))</f>
        <v/>
      </c>
      <c r="BN304" s="94" t="str">
        <f aca="false">IF($BX304&lt;&gt;Constants!$B$6,"",IF($AT304,Constants!$B$17*$AV304+Constants!$B$18*IF($AW304,$AX304,Constants!$B$19),Constants!$B$20))</f>
        <v/>
      </c>
      <c r="BO304" s="97" t="str">
        <f aca="false">IF($BX304&lt;&gt;Constants!$B$6,"",Constants!$B$21*ABS($AD$9-IF($AT304,$AU304,0)))</f>
        <v/>
      </c>
      <c r="BP304" s="97" t="str">
        <f aca="false">IF($BX304&lt;&gt;Constants!$B$6,"",IF(AND($AT304,$AY304,$AW304),Constants!$B$22,0))</f>
        <v/>
      </c>
      <c r="BQ304" s="97" t="str">
        <f aca="false">IF($BX304&lt;&gt;Constants!$B$6,"",IF($AT304,($AI304-Constants!$B$24)*Constants!$B$23,0))</f>
        <v/>
      </c>
      <c r="BR304" s="97" t="str">
        <f aca="false">IF($BX304&lt;&gt;Constants!$B$6,"",IF($AS304,0,Constants!$B$12)+IF($AR304,0,Constants!$B$13)+IF($AH304,0,Constants!$B$14))</f>
        <v/>
      </c>
      <c r="BS304" s="98" t="str">
        <f aca="false">IF($BX304&lt;&gt;Constants!$B$6,"",Constants!$B$16+SUM($BN304:$BR304))</f>
        <v/>
      </c>
      <c r="BT304" s="97" t="str">
        <f aca="false">IF($BX304&lt;&gt;Constants!$B$6,"",$BN304)</f>
        <v/>
      </c>
      <c r="BU304" s="97" t="str">
        <f aca="false">IF($BX304&lt;&gt;Constants!$B$6,"",$BO304)</f>
        <v/>
      </c>
      <c r="BV304" s="99" t="str">
        <f aca="false">IF($BX304&lt;&gt;Constants!$B$6,"",IF($AT304,$AV304,""))</f>
        <v/>
      </c>
      <c r="BW304" s="93" t="str">
        <f aca="false">IF(ISBLANK($C304),"",IF(ISBLANK($D$7),$BW$5,IF(NOT(ISNUMBER($D$7)),$BW$6,"")))</f>
        <v/>
      </c>
      <c r="BX304" s="93" t="str">
        <f aca="false">IF(ISBLANK($C304),"",IF($BA304,Constants!$B$9,IF(COUNTA($E304:$AA304)=0,Constants!$B$8,IF(NOT($AG304),Constants!$B$7,IF(OR($BW304&lt;&gt;"",$BB304,$BM304),Constants!$B$10,Constants!$B$6)))))</f>
        <v/>
      </c>
      <c r="BY304" s="93" t="str">
        <f aca="false">IF(ISBLANK($C304),"",IF($BX304&lt;&gt;Constants!$B$6,$BX304,Constants!$B$11))</f>
        <v/>
      </c>
      <c r="BZ304" s="97" t="str">
        <f aca="false">IF($BX304&lt;&gt;Constants!$B$6,"",IF($BL304="-&gt;",$BS304,$BH304))</f>
        <v/>
      </c>
      <c r="CA304" s="97" t="str">
        <f aca="false">IF($BX304&lt;&gt;Constants!$B$6,"",IF($AF304,0,Constants!$B$15))</f>
        <v/>
      </c>
      <c r="CB304" s="97" t="str">
        <f aca="false">IF($BX304&lt;&gt;Constants!$B$6,"",((Constants!$B$25-$AZ304)-Constants!$B$25)/Constants!$B$26)</f>
        <v/>
      </c>
      <c r="CC304" s="97" t="str">
        <f aca="false">IF(ISBLANK($C304),"",IF($BX304&lt;&gt;Constants!$B$6,$BX304,SUM($BZ304:$CB304)))</f>
        <v/>
      </c>
      <c r="CD304" s="93" t="str">
        <f aca="false">IF(ISBLANK($C304),"",IF($BX304&lt;&gt;Constants!$B$6,$BX304,RANK($CC304,$CC$9:$CC$508,1)))</f>
        <v/>
      </c>
      <c r="CE304" s="97" t="str">
        <f aca="false">IF($BX304&lt;&gt;Constants!$B$6,"",IF($BL304="-&gt;",$BT304,$BI304))</f>
        <v/>
      </c>
      <c r="CF304" s="93" t="str">
        <f aca="false">IF(ISBLANK($C304),"",IF($BX304&lt;&gt;Constants!$B$6,$BX304,IF(ISNUMBER($CE304),RANK($CE304,$CE$9:$CE$508,1),COUNT($CE$9:$CE$508)+1)))</f>
        <v/>
      </c>
      <c r="CG304" s="97" t="str">
        <f aca="false">IF($BX304&lt;&gt;Constants!$B$6,"",IF($BL304="-&gt;",$BU304,$BJ304))</f>
        <v/>
      </c>
      <c r="CH304" s="93" t="str">
        <f aca="false">IF(ISBLANK($C304),"",IF($BX304&lt;&gt;Constants!$B$6,$BX304,IF(ISNUMBER($CG304),RANK($CG304,$CG$9:$CG$508,1),COUNT($CG$9:$CG$508)+1)))</f>
        <v/>
      </c>
      <c r="CI304" s="97" t="str">
        <f aca="false">IF($BX304&lt;&gt;Constants!$B$6,"",IF($BL304="-&gt;",$BV304,$BK304))</f>
        <v/>
      </c>
      <c r="CJ304" s="93" t="str">
        <f aca="false">IF(ISBLANK($C304),"",IF($BX304&lt;&gt;Constants!$B$6,$BX304,IF(ISNUMBER($CI304),RANK($CI304,$CI$9:$CI$508,1),COUNT($CI$9:$CI$508)+1)))</f>
        <v/>
      </c>
      <c r="CK304" s="97" t="str">
        <f aca="false">IF($BX304&lt;&gt;Constants!$B$6,"",$AI304)</f>
        <v/>
      </c>
      <c r="CL304" s="93" t="str">
        <f aca="false">IF(ISBLANK($C304),"",IF($BX304&lt;&gt;Constants!$B$6,$BX304,IF(ISNUMBER($CK304),RANK($CK304,$CK$9:$CK$508,1),COUNT($CK$9:$CK$508)+1)))</f>
        <v/>
      </c>
      <c r="CM304" s="93" t="str">
        <f aca="false">IF(ISBLANK($C304),"",IF($BX304&lt;&gt;Constants!$B$6,$BX304,COUNTIFS($CD$9:$CD$508,"&lt;"&amp;$CD304)+COUNTIFS($CD$9:$CD$508,$CD304,$CF$9:$CF$508,"&lt;"&amp;$CF304)+COUNTIFS($CD$9:$CD$508,$CD304,$CF$9:$CF$508,$CF304,$CH$9:$CH$508,"&lt;"&amp;$CH304)+COUNTIFS($CD$9:$CD$508,$CD304,$CF$9:$CF$508,$CF304,$CH$9:$CH$508,$CH304,$CJ$9:$CJ$508,"&lt;"&amp;$CJ304)+COUNTIFS($CD$9:$CD$508,$CD304,$CF$9:$CF$508,$CF304,$CH$9:$CH$508,$CH304,$CJ$9:$CJ$508,$CJ304,$CL$9:$CL$508,"&lt;"&amp;$CL304)+1))</f>
        <v/>
      </c>
      <c r="CN304" s="93" t="str">
        <f aca="false">IF(ISBLANK($C304),"",IF($BX304&lt;&gt;Constants!$B$6,$BX304,$CD304-$CM304))</f>
        <v/>
      </c>
      <c r="CO304" s="100"/>
      <c r="CP304" s="101"/>
      <c r="CQ304" s="102" t="str">
        <f aca="false">IF(ISBLANK($C304),"",IF($BX304=Constants!$B$10,$BW304,""))</f>
        <v/>
      </c>
      <c r="CR304" s="101" t="str">
        <f aca="false">IF(ISBLANK($C304),"",IF($BX304&lt;&gt;Constants!$B$6,"",IF($BL304="-&gt;",2,1)))</f>
        <v/>
      </c>
      <c r="CS304" s="103" t="str">
        <f aca="false">IF(ISBLANK($C304),"",IF($BX304&lt;&gt;Constants!$B$6,"",IF($BL304="-&gt;",$BN304,$BC304)))</f>
        <v/>
      </c>
      <c r="CT304" s="103" t="str">
        <f aca="false">IF(ISBLANK($C304),"",IF($BX304&lt;&gt;Constants!$B$6,"",IF($BL304="-&gt;",$BO304,$BD304)))</f>
        <v/>
      </c>
      <c r="CU304" s="103" t="str">
        <f aca="false">IF(ISBLANK($C304),"",IF($BX304&lt;&gt;Constants!$B$6,"",IF($BL304="-&gt;",$BP304+$BQ304,$BE304+$BF304)+$CB304))</f>
        <v/>
      </c>
      <c r="CV304" s="103" t="str">
        <f aca="false">IF(ISBLANK($C304),"",IF($BX304&lt;&gt;Constants!$B$6,"",IF($BL304="-&gt;",$BR304,$BG304)+$CA304))</f>
        <v/>
      </c>
      <c r="CW304" s="104" t="str">
        <f aca="false">IF(ISBLANK($C304),"",IF($BX304&lt;&gt;Constants!$B$6,$BX304,$CC304))</f>
        <v/>
      </c>
      <c r="CX304" s="105" t="str">
        <f aca="false">IF(ISBLANK($C304),"",$BY304)</f>
        <v/>
      </c>
      <c r="CY304" s="106" t="str">
        <f aca="false">IF(ISBLANK($C304),"",$CN304)</f>
        <v/>
      </c>
      <c r="CZ304" s="106" t="str">
        <f aca="false">IF(ISBLANK($C304),"",$CM304)</f>
        <v/>
      </c>
      <c r="DA304" s="107" t="str">
        <f aca="false">IF(ISBLANK($C304),"",IFERROR(_xlfn.SWITCH($CZ304,Constants!$B$9,COUNTA($C$9:$C$508)+2,Constants!$B$8,COUNTA($C$9:$C$508)+1,Constants!$B$7,COUNTA($C$9:$C$508)),$CZ304))</f>
        <v/>
      </c>
      <c r="DB304" s="9"/>
      <c r="DC304" s="108" t="n">
        <f aca="false">IF(OR(ISNUMBER($CZ304),$CZ304=Constants!$B$9,$CZ304=Constants!$B$7,$CZ304=Constants!$B$8),1,0)</f>
        <v>0</v>
      </c>
      <c r="DD304" s="108" t="n">
        <v>296</v>
      </c>
      <c r="DE304" s="108" t="str">
        <f aca="false">IF(ISBLANK($C304),"",IF(ISNUMBER($DA304),$DA304+ROW($B304)/1000,""))</f>
        <v/>
      </c>
      <c r="DF304" s="108" t="str">
        <f aca="false">IF(ISNUMBER($DE304),RANK($DE304,$DE$9:$DE$508,1),"")</f>
        <v/>
      </c>
      <c r="DG304" s="108" t="str">
        <f aca="false">IF(ISBLANK($C304),"",$B304)</f>
        <v/>
      </c>
      <c r="DH304" s="108" t="str">
        <f aca="false">IF(ISBLANK($C304),"",$C304)</f>
        <v/>
      </c>
      <c r="DI304" s="108" t="str">
        <f aca="false">IF(ISBLANK($C304),"",$D304)</f>
        <v/>
      </c>
      <c r="DJ304" s="109" t="str">
        <f aca="false">$CX304</f>
        <v/>
      </c>
      <c r="DK304" s="110" t="str">
        <f aca="false">$CW304</f>
        <v/>
      </c>
      <c r="DL304" s="108" t="str">
        <f aca="false">IF(ISBLANK($C304),"",$CZ304)</f>
        <v/>
      </c>
      <c r="DM304" s="111" t="str">
        <f aca="false">IF($DD304&gt;$DC$8,"",VLOOKUP($DD304,$DF$9:$DL$508,7,FALSE()))</f>
        <v/>
      </c>
      <c r="DN304" s="112" t="str">
        <f aca="false">IF($DD304&gt;$DC$8,"",VLOOKUP($DD304,$DF$9:$DL$508,2,FALSE()))</f>
        <v/>
      </c>
      <c r="DO304" s="112" t="str">
        <f aca="false">IF($DD304&gt;$DC$8,"",VLOOKUP($DD304,$DF$9:$DL$508,3,FALSE()))</f>
        <v/>
      </c>
      <c r="DP304" s="112" t="str">
        <f aca="false">IF($DD304&gt;$DC$8,"",VLOOKUP($DD304,$DF$9:$DL$508,4,FALSE()))</f>
        <v/>
      </c>
      <c r="DQ304" s="112" t="str">
        <f aca="false">IF($DD304&gt;$DC$8,"",VLOOKUP($DD304,$DF$9:$DL$508,5,FALSE()))</f>
        <v/>
      </c>
      <c r="DR304" s="113" t="str">
        <f aca="false">IF($DD304&gt;$DC$8,"",VLOOKUP($DD304,$DF$9:$DL$508,6,FALSE()))</f>
        <v/>
      </c>
      <c r="DS304" s="76"/>
    </row>
    <row r="305" customFormat="false" ht="15.75" hidden="false" customHeight="false" outlineLevel="0" collapsed="false">
      <c r="A305" s="9"/>
      <c r="B305" s="78"/>
      <c r="C305" s="79"/>
      <c r="D305" s="170"/>
      <c r="E305" s="178"/>
      <c r="F305" s="172"/>
      <c r="G305" s="173"/>
      <c r="H305" s="173"/>
      <c r="I305" s="179"/>
      <c r="J305" s="176"/>
      <c r="K305" s="86"/>
      <c r="L305" s="87"/>
      <c r="M305" s="88"/>
      <c r="N305" s="176"/>
      <c r="O305" s="176"/>
      <c r="P305" s="178"/>
      <c r="Q305" s="176"/>
      <c r="R305" s="176"/>
      <c r="S305" s="86"/>
      <c r="T305" s="88"/>
      <c r="U305" s="88"/>
      <c r="V305" s="176"/>
      <c r="W305" s="176"/>
      <c r="X305" s="178"/>
      <c r="Y305" s="176"/>
      <c r="Z305" s="177"/>
      <c r="AA305" s="176"/>
      <c r="AB305" s="92"/>
      <c r="AC305" s="93"/>
      <c r="AD305" s="93"/>
      <c r="AE305" s="93"/>
      <c r="AF305" s="93" t="str">
        <f aca="false">IF(ISBLANK($C305),"",IF(E305=Constants!$B$2,TRUE(),IF(E305=Constants!$B$3,FALSE(),TRUE())))</f>
        <v/>
      </c>
      <c r="AG305" s="93" t="str">
        <f aca="false">IF(ISBLANK($C305),"",IF(F305=Constants!$B$2,TRUE(),IF(F305=Constants!$B$3,FALSE(),TRUE())))</f>
        <v/>
      </c>
      <c r="AH305" s="93" t="str">
        <f aca="false">IF(ISBLANK($C305),"",IF(G305=Constants!$B$2,TRUE(),IF(G305=Constants!$B$3,FALSE(),TRUE())))</f>
        <v/>
      </c>
      <c r="AI305" s="93" t="str">
        <f aca="false">IF(ISBLANK($C305),"",IF(AND(ISNUMBER(H305),H305&gt;=0),H305,Constants!$B$24))</f>
        <v/>
      </c>
      <c r="AJ305" s="93" t="str">
        <f aca="false">IF(ISBLANK($C305),"",IF(I305=Constants!$B$2,TRUE(),IF(I305=Constants!$B$3,FALSE(),TRUE())))</f>
        <v/>
      </c>
      <c r="AK305" s="93" t="str">
        <f aca="false">IF(ISBLANK($C305),"",IF(J305=Constants!$B$2,TRUE(),IF(J305=Constants!$B$3,FALSE(),TRUE())))</f>
        <v/>
      </c>
      <c r="AL305" s="93" t="str">
        <f aca="false">IF(ISBLANK($C305),"",IF(K305=Constants!$B$4,TRUE(),IF(K305=Constants!$B$5,FALSE(),COUNTA(L305:P305)&gt;0)))</f>
        <v/>
      </c>
      <c r="AM305" s="95" t="str">
        <f aca="false">IF(ISBLANK($C305),"",IF(ISNUMBER(L305),IF(L305&gt;=0,L305,""),""))</f>
        <v/>
      </c>
      <c r="AN305" s="94" t="str">
        <f aca="false">IF(ISBLANK($C305),"",IF(ISNUMBER(M305),IF(M305&gt;=0,M305,""),""))</f>
        <v/>
      </c>
      <c r="AO305" s="94" t="str">
        <f aca="false">IF(ISBLANK($C305),"",IF(N305=Constants!$B$2,TRUE(),IF(N305=Constants!$B$3,FALSE(),TRUE())))</f>
        <v/>
      </c>
      <c r="AP305" s="93" t="str">
        <f aca="false">IF(ISBLANK($C305),"",IF(ISNUMBER(O305),IF(O305&gt;=0,O305,""),""))</f>
        <v/>
      </c>
      <c r="AQ305" s="93" t="str">
        <f aca="false">IF(ISBLANK($C305),"",IF(P305=Constants!$B$2,TRUE(),IF(P305=Constants!$B$3,FALSE(),FALSE())))</f>
        <v/>
      </c>
      <c r="AR305" s="93" t="str">
        <f aca="false">IF(ISBLANK($C305),"",IF(Q305=Constants!$B$2,TRUE(),IF(Q305=Constants!$B$3,FALSE(),TRUE())))</f>
        <v/>
      </c>
      <c r="AS305" s="93" t="str">
        <f aca="false">IF(ISBLANK($C305),"",IF(R305=Constants!$B$2,TRUE(),IF(R305=Constants!$B$3,FALSE(),TRUE())))</f>
        <v/>
      </c>
      <c r="AT305" s="93" t="str">
        <f aca="false">IF(ISBLANK($C305),"",IF(S305=Constants!$B$4,TRUE(),IF(S305=Constants!$B$5,FALSE(),COUNTA(T305:X305)&gt;0)))</f>
        <v/>
      </c>
      <c r="AU305" s="95" t="str">
        <f aca="false">IF(ISBLANK($C305),"",IF(ISNUMBER(T305),IF(T305&gt;=0,T305,""),""))</f>
        <v/>
      </c>
      <c r="AV305" s="94" t="str">
        <f aca="false">IF(ISBLANK($C305),"",IF(ISNUMBER(U305),IF(U305&gt;=0,U305,""),""))</f>
        <v/>
      </c>
      <c r="AW305" s="94" t="str">
        <f aca="false">IF(ISBLANK($C305),"",IF(V305=Constants!$B$2,TRUE(),IF(V305=Constants!$B$3,FALSE(),TRUE())))</f>
        <v/>
      </c>
      <c r="AX305" s="93" t="str">
        <f aca="false">IF(ISBLANK($C305),"",IF(ISNUMBER(W305),IF(W305&gt;=0,W305,""),""))</f>
        <v/>
      </c>
      <c r="AY305" s="93" t="str">
        <f aca="false">IF(ISBLANK($C305),"",IF(X305=Constants!$B$2,TRUE(),IF(X305=Constants!$B$3,FALSE(),FALSE())))</f>
        <v/>
      </c>
      <c r="AZ305" s="93" t="str">
        <f aca="false">IF(ISBLANK($C305),"",MIN(Constants!$B$25,MAX(0,IF(ISNUMBER(Y305),Y305*60,0)+IF(ISNUMBER(Z305),Z305,0))))</f>
        <v/>
      </c>
      <c r="BA305" s="93" t="str">
        <f aca="false">IF(ISBLANK($C305),"",IF(AA305=Constants!$B$2,TRUE(),IF(AA305=Constants!$B$3,FALSE(),FALSE())))</f>
        <v/>
      </c>
      <c r="BB305" s="92" t="str">
        <f aca="false">IF(ISBLANK($C305),"",AND($AL305,OR($AM305="",$AN305="",AND($AO305,$AP305=""))))</f>
        <v/>
      </c>
      <c r="BC305" s="94" t="str">
        <f aca="false">IF($BX305&lt;&gt;Constants!$B$6,"",IF($AL305,Constants!$B$17*$AN305+Constants!$B$18*IF($AO305,$AP305,Constants!$B$19),Constants!$B$20))</f>
        <v/>
      </c>
      <c r="BD305" s="97" t="str">
        <f aca="false">IF($BX305&lt;&gt;Constants!$B$6,"",Constants!$B$21*ABS($AD$9-IF($AL305,$AM305,0)))</f>
        <v/>
      </c>
      <c r="BE305" s="97" t="str">
        <f aca="false">IF($BX305&lt;&gt;Constants!$B$6,"",IF(AND($AL305,$AQ305,$AO305),Constants!$B$22,0))</f>
        <v/>
      </c>
      <c r="BF305" s="97" t="str">
        <f aca="false">IF($BX305&lt;&gt;Constants!$B$6,"",IF($AL305,($AI305-Constants!$B$24)*Constants!$B$23,0))</f>
        <v/>
      </c>
      <c r="BG305" s="97" t="str">
        <f aca="false">IF($BX305&lt;&gt;Constants!$B$6,"",IF($AK305,0,Constants!$B$12)+IF($AJ305,0,Constants!$B$13)+IF($AH305,0,Constants!$B$14))</f>
        <v/>
      </c>
      <c r="BH305" s="98" t="str">
        <f aca="false">IF($BX305&lt;&gt;Constants!$B$6,"",Constants!$B$16+SUM($BC305:$BG305))</f>
        <v/>
      </c>
      <c r="BI305" s="97" t="str">
        <f aca="false">IF($BX305&lt;&gt;Constants!$B$6,"",$BC305)</f>
        <v/>
      </c>
      <c r="BJ305" s="97" t="str">
        <f aca="false">IF($BX305&lt;&gt;Constants!$B$6,"",$BD305)</f>
        <v/>
      </c>
      <c r="BK305" s="99" t="str">
        <f aca="false">IF($BX305&lt;&gt;Constants!$B$6,"",IF($AL305,$AN305,""))</f>
        <v/>
      </c>
      <c r="BL305" s="93" t="str">
        <f aca="false">IF($BX305&lt;&gt;Constants!$B$6,"",IF(OR($BS305&lt;$BH305,AND($BS305=$BH305,OR($BT305&lt;$BI305,AND($BT305=$BI305,OR($BU305&lt;$BJ305,AND($BU305=$BJ305,AND(ISNUMBER($BV305),OR(NOT(ISNUMBER($BK305)),$BV305&lt;$BK305)))))))),"-&gt;","&lt;-"))</f>
        <v/>
      </c>
      <c r="BM305" s="92" t="str">
        <f aca="false">IF(ISBLANK($C305),"",AND($AT305,OR($AU305="",$AV305="",AND($AW305,$AX305=""))))</f>
        <v/>
      </c>
      <c r="BN305" s="94" t="str">
        <f aca="false">IF($BX305&lt;&gt;Constants!$B$6,"",IF($AT305,Constants!$B$17*$AV305+Constants!$B$18*IF($AW305,$AX305,Constants!$B$19),Constants!$B$20))</f>
        <v/>
      </c>
      <c r="BO305" s="97" t="str">
        <f aca="false">IF($BX305&lt;&gt;Constants!$B$6,"",Constants!$B$21*ABS($AD$9-IF($AT305,$AU305,0)))</f>
        <v/>
      </c>
      <c r="BP305" s="97" t="str">
        <f aca="false">IF($BX305&lt;&gt;Constants!$B$6,"",IF(AND($AT305,$AY305,$AW305),Constants!$B$22,0))</f>
        <v/>
      </c>
      <c r="BQ305" s="97" t="str">
        <f aca="false">IF($BX305&lt;&gt;Constants!$B$6,"",IF($AT305,($AI305-Constants!$B$24)*Constants!$B$23,0))</f>
        <v/>
      </c>
      <c r="BR305" s="97" t="str">
        <f aca="false">IF($BX305&lt;&gt;Constants!$B$6,"",IF($AS305,0,Constants!$B$12)+IF($AR305,0,Constants!$B$13)+IF($AH305,0,Constants!$B$14))</f>
        <v/>
      </c>
      <c r="BS305" s="98" t="str">
        <f aca="false">IF($BX305&lt;&gt;Constants!$B$6,"",Constants!$B$16+SUM($BN305:$BR305))</f>
        <v/>
      </c>
      <c r="BT305" s="97" t="str">
        <f aca="false">IF($BX305&lt;&gt;Constants!$B$6,"",$BN305)</f>
        <v/>
      </c>
      <c r="BU305" s="97" t="str">
        <f aca="false">IF($BX305&lt;&gt;Constants!$B$6,"",$BO305)</f>
        <v/>
      </c>
      <c r="BV305" s="99" t="str">
        <f aca="false">IF($BX305&lt;&gt;Constants!$B$6,"",IF($AT305,$AV305,""))</f>
        <v/>
      </c>
      <c r="BW305" s="93" t="str">
        <f aca="false">IF(ISBLANK($C305),"",IF(ISBLANK($D$7),$BW$5,IF(NOT(ISNUMBER($D$7)),$BW$6,"")))</f>
        <v/>
      </c>
      <c r="BX305" s="93" t="str">
        <f aca="false">IF(ISBLANK($C305),"",IF($BA305,Constants!$B$9,IF(COUNTA($E305:$AA305)=0,Constants!$B$8,IF(NOT($AG305),Constants!$B$7,IF(OR($BW305&lt;&gt;"",$BB305,$BM305),Constants!$B$10,Constants!$B$6)))))</f>
        <v/>
      </c>
      <c r="BY305" s="93" t="str">
        <f aca="false">IF(ISBLANK($C305),"",IF($BX305&lt;&gt;Constants!$B$6,$BX305,Constants!$B$11))</f>
        <v/>
      </c>
      <c r="BZ305" s="97" t="str">
        <f aca="false">IF($BX305&lt;&gt;Constants!$B$6,"",IF($BL305="-&gt;",$BS305,$BH305))</f>
        <v/>
      </c>
      <c r="CA305" s="97" t="str">
        <f aca="false">IF($BX305&lt;&gt;Constants!$B$6,"",IF($AF305,0,Constants!$B$15))</f>
        <v/>
      </c>
      <c r="CB305" s="97" t="str">
        <f aca="false">IF($BX305&lt;&gt;Constants!$B$6,"",((Constants!$B$25-$AZ305)-Constants!$B$25)/Constants!$B$26)</f>
        <v/>
      </c>
      <c r="CC305" s="97" t="str">
        <f aca="false">IF(ISBLANK($C305),"",IF($BX305&lt;&gt;Constants!$B$6,$BX305,SUM($BZ305:$CB305)))</f>
        <v/>
      </c>
      <c r="CD305" s="93" t="str">
        <f aca="false">IF(ISBLANK($C305),"",IF($BX305&lt;&gt;Constants!$B$6,$BX305,RANK($CC305,$CC$9:$CC$508,1)))</f>
        <v/>
      </c>
      <c r="CE305" s="97" t="str">
        <f aca="false">IF($BX305&lt;&gt;Constants!$B$6,"",IF($BL305="-&gt;",$BT305,$BI305))</f>
        <v/>
      </c>
      <c r="CF305" s="93" t="str">
        <f aca="false">IF(ISBLANK($C305),"",IF($BX305&lt;&gt;Constants!$B$6,$BX305,IF(ISNUMBER($CE305),RANK($CE305,$CE$9:$CE$508,1),COUNT($CE$9:$CE$508)+1)))</f>
        <v/>
      </c>
      <c r="CG305" s="97" t="str">
        <f aca="false">IF($BX305&lt;&gt;Constants!$B$6,"",IF($BL305="-&gt;",$BU305,$BJ305))</f>
        <v/>
      </c>
      <c r="CH305" s="93" t="str">
        <f aca="false">IF(ISBLANK($C305),"",IF($BX305&lt;&gt;Constants!$B$6,$BX305,IF(ISNUMBER($CG305),RANK($CG305,$CG$9:$CG$508,1),COUNT($CG$9:$CG$508)+1)))</f>
        <v/>
      </c>
      <c r="CI305" s="97" t="str">
        <f aca="false">IF($BX305&lt;&gt;Constants!$B$6,"",IF($BL305="-&gt;",$BV305,$BK305))</f>
        <v/>
      </c>
      <c r="CJ305" s="93" t="str">
        <f aca="false">IF(ISBLANK($C305),"",IF($BX305&lt;&gt;Constants!$B$6,$BX305,IF(ISNUMBER($CI305),RANK($CI305,$CI$9:$CI$508,1),COUNT($CI$9:$CI$508)+1)))</f>
        <v/>
      </c>
      <c r="CK305" s="97" t="str">
        <f aca="false">IF($BX305&lt;&gt;Constants!$B$6,"",$AI305)</f>
        <v/>
      </c>
      <c r="CL305" s="93" t="str">
        <f aca="false">IF(ISBLANK($C305),"",IF($BX305&lt;&gt;Constants!$B$6,$BX305,IF(ISNUMBER($CK305),RANK($CK305,$CK$9:$CK$508,1),COUNT($CK$9:$CK$508)+1)))</f>
        <v/>
      </c>
      <c r="CM305" s="93" t="str">
        <f aca="false">IF(ISBLANK($C305),"",IF($BX305&lt;&gt;Constants!$B$6,$BX305,COUNTIFS($CD$9:$CD$508,"&lt;"&amp;$CD305)+COUNTIFS($CD$9:$CD$508,$CD305,$CF$9:$CF$508,"&lt;"&amp;$CF305)+COUNTIFS($CD$9:$CD$508,$CD305,$CF$9:$CF$508,$CF305,$CH$9:$CH$508,"&lt;"&amp;$CH305)+COUNTIFS($CD$9:$CD$508,$CD305,$CF$9:$CF$508,$CF305,$CH$9:$CH$508,$CH305,$CJ$9:$CJ$508,"&lt;"&amp;$CJ305)+COUNTIFS($CD$9:$CD$508,$CD305,$CF$9:$CF$508,$CF305,$CH$9:$CH$508,$CH305,$CJ$9:$CJ$508,$CJ305,$CL$9:$CL$508,"&lt;"&amp;$CL305)+1))</f>
        <v/>
      </c>
      <c r="CN305" s="93" t="str">
        <f aca="false">IF(ISBLANK($C305),"",IF($BX305&lt;&gt;Constants!$B$6,$BX305,$CD305-$CM305))</f>
        <v/>
      </c>
      <c r="CO305" s="100"/>
      <c r="CP305" s="101"/>
      <c r="CQ305" s="102" t="str">
        <f aca="false">IF(ISBLANK($C305),"",IF($BX305=Constants!$B$10,$BW305,""))</f>
        <v/>
      </c>
      <c r="CR305" s="101" t="str">
        <f aca="false">IF(ISBLANK($C305),"",IF($BX305&lt;&gt;Constants!$B$6,"",IF($BL305="-&gt;",2,1)))</f>
        <v/>
      </c>
      <c r="CS305" s="103" t="str">
        <f aca="false">IF(ISBLANK($C305),"",IF($BX305&lt;&gt;Constants!$B$6,"",IF($BL305="-&gt;",$BN305,$BC305)))</f>
        <v/>
      </c>
      <c r="CT305" s="103" t="str">
        <f aca="false">IF(ISBLANK($C305),"",IF($BX305&lt;&gt;Constants!$B$6,"",IF($BL305="-&gt;",$BO305,$BD305)))</f>
        <v/>
      </c>
      <c r="CU305" s="103" t="str">
        <f aca="false">IF(ISBLANK($C305),"",IF($BX305&lt;&gt;Constants!$B$6,"",IF($BL305="-&gt;",$BP305+$BQ305,$BE305+$BF305)+$CB305))</f>
        <v/>
      </c>
      <c r="CV305" s="103" t="str">
        <f aca="false">IF(ISBLANK($C305),"",IF($BX305&lt;&gt;Constants!$B$6,"",IF($BL305="-&gt;",$BR305,$BG305)+$CA305))</f>
        <v/>
      </c>
      <c r="CW305" s="104" t="str">
        <f aca="false">IF(ISBLANK($C305),"",IF($BX305&lt;&gt;Constants!$B$6,$BX305,$CC305))</f>
        <v/>
      </c>
      <c r="CX305" s="105" t="str">
        <f aca="false">IF(ISBLANK($C305),"",$BY305)</f>
        <v/>
      </c>
      <c r="CY305" s="106" t="str">
        <f aca="false">IF(ISBLANK($C305),"",$CN305)</f>
        <v/>
      </c>
      <c r="CZ305" s="106" t="str">
        <f aca="false">IF(ISBLANK($C305),"",$CM305)</f>
        <v/>
      </c>
      <c r="DA305" s="107" t="str">
        <f aca="false">IF(ISBLANK($C305),"",IFERROR(_xlfn.SWITCH($CZ305,Constants!$B$9,COUNTA($C$9:$C$508)+2,Constants!$B$8,COUNTA($C$9:$C$508)+1,Constants!$B$7,COUNTA($C$9:$C$508)),$CZ305))</f>
        <v/>
      </c>
      <c r="DB305" s="9"/>
      <c r="DC305" s="108" t="n">
        <f aca="false">IF(OR(ISNUMBER($CZ305),$CZ305=Constants!$B$9,$CZ305=Constants!$B$7,$CZ305=Constants!$B$8),1,0)</f>
        <v>0</v>
      </c>
      <c r="DD305" s="108" t="n">
        <v>297</v>
      </c>
      <c r="DE305" s="108" t="str">
        <f aca="false">IF(ISBLANK($C305),"",IF(ISNUMBER($DA305),$DA305+ROW($B305)/1000,""))</f>
        <v/>
      </c>
      <c r="DF305" s="108" t="str">
        <f aca="false">IF(ISNUMBER($DE305),RANK($DE305,$DE$9:$DE$508,1),"")</f>
        <v/>
      </c>
      <c r="DG305" s="108" t="str">
        <f aca="false">IF(ISBLANK($C305),"",$B305)</f>
        <v/>
      </c>
      <c r="DH305" s="108" t="str">
        <f aca="false">IF(ISBLANK($C305),"",$C305)</f>
        <v/>
      </c>
      <c r="DI305" s="108" t="str">
        <f aca="false">IF(ISBLANK($C305),"",$D305)</f>
        <v/>
      </c>
      <c r="DJ305" s="109" t="str">
        <f aca="false">$CX305</f>
        <v/>
      </c>
      <c r="DK305" s="110" t="str">
        <f aca="false">$CW305</f>
        <v/>
      </c>
      <c r="DL305" s="108" t="str">
        <f aca="false">IF(ISBLANK($C305),"",$CZ305)</f>
        <v/>
      </c>
      <c r="DM305" s="111" t="str">
        <f aca="false">IF($DD305&gt;$DC$8,"",VLOOKUP($DD305,$DF$9:$DL$508,7,FALSE()))</f>
        <v/>
      </c>
      <c r="DN305" s="112" t="str">
        <f aca="false">IF($DD305&gt;$DC$8,"",VLOOKUP($DD305,$DF$9:$DL$508,2,FALSE()))</f>
        <v/>
      </c>
      <c r="DO305" s="112" t="str">
        <f aca="false">IF($DD305&gt;$DC$8,"",VLOOKUP($DD305,$DF$9:$DL$508,3,FALSE()))</f>
        <v/>
      </c>
      <c r="DP305" s="112" t="str">
        <f aca="false">IF($DD305&gt;$DC$8,"",VLOOKUP($DD305,$DF$9:$DL$508,4,FALSE()))</f>
        <v/>
      </c>
      <c r="DQ305" s="112" t="str">
        <f aca="false">IF($DD305&gt;$DC$8,"",VLOOKUP($DD305,$DF$9:$DL$508,5,FALSE()))</f>
        <v/>
      </c>
      <c r="DR305" s="113" t="str">
        <f aca="false">IF($DD305&gt;$DC$8,"",VLOOKUP($DD305,$DF$9:$DL$508,6,FALSE()))</f>
        <v/>
      </c>
      <c r="DS305" s="76"/>
    </row>
    <row r="306" customFormat="false" ht="15.75" hidden="false" customHeight="false" outlineLevel="0" collapsed="false">
      <c r="A306" s="9"/>
      <c r="B306" s="160"/>
      <c r="C306" s="161"/>
      <c r="D306" s="162"/>
      <c r="E306" s="180"/>
      <c r="F306" s="164"/>
      <c r="G306" s="165"/>
      <c r="H306" s="165"/>
      <c r="I306" s="181"/>
      <c r="J306" s="168"/>
      <c r="K306" s="128"/>
      <c r="L306" s="129"/>
      <c r="M306" s="130"/>
      <c r="N306" s="168"/>
      <c r="O306" s="168"/>
      <c r="P306" s="180"/>
      <c r="Q306" s="168"/>
      <c r="R306" s="168"/>
      <c r="S306" s="128"/>
      <c r="T306" s="130"/>
      <c r="U306" s="130"/>
      <c r="V306" s="168"/>
      <c r="W306" s="168"/>
      <c r="X306" s="180"/>
      <c r="Y306" s="168"/>
      <c r="Z306" s="169"/>
      <c r="AA306" s="168"/>
      <c r="AB306" s="134"/>
      <c r="AC306" s="135"/>
      <c r="AD306" s="135"/>
      <c r="AE306" s="135"/>
      <c r="AF306" s="135" t="str">
        <f aca="false">IF(ISBLANK($C306),"",IF(E306=Constants!$B$2,TRUE(),IF(E306=Constants!$B$3,FALSE(),TRUE())))</f>
        <v/>
      </c>
      <c r="AG306" s="135" t="str">
        <f aca="false">IF(ISBLANK($C306),"",IF(F306=Constants!$B$2,TRUE(),IF(F306=Constants!$B$3,FALSE(),TRUE())))</f>
        <v/>
      </c>
      <c r="AH306" s="135" t="str">
        <f aca="false">IF(ISBLANK($C306),"",IF(G306=Constants!$B$2,TRUE(),IF(G306=Constants!$B$3,FALSE(),TRUE())))</f>
        <v/>
      </c>
      <c r="AI306" s="135" t="str">
        <f aca="false">IF(ISBLANK($C306),"",IF(AND(ISNUMBER(H306),H306&gt;=0),H306,Constants!$B$24))</f>
        <v/>
      </c>
      <c r="AJ306" s="135" t="str">
        <f aca="false">IF(ISBLANK($C306),"",IF(I306=Constants!$B$2,TRUE(),IF(I306=Constants!$B$3,FALSE(),TRUE())))</f>
        <v/>
      </c>
      <c r="AK306" s="135" t="str">
        <f aca="false">IF(ISBLANK($C306),"",IF(J306=Constants!$B$2,TRUE(),IF(J306=Constants!$B$3,FALSE(),TRUE())))</f>
        <v/>
      </c>
      <c r="AL306" s="135" t="str">
        <f aca="false">IF(ISBLANK($C306),"",IF(K306=Constants!$B$4,TRUE(),IF(K306=Constants!$B$5,FALSE(),COUNTA(L306:P306)&gt;0)))</f>
        <v/>
      </c>
      <c r="AM306" s="136" t="str">
        <f aca="false">IF(ISBLANK($C306),"",IF(ISNUMBER(L306),IF(L306&gt;=0,L306,""),""))</f>
        <v/>
      </c>
      <c r="AN306" s="137" t="str">
        <f aca="false">IF(ISBLANK($C306),"",IF(ISNUMBER(M306),IF(M306&gt;=0,M306,""),""))</f>
        <v/>
      </c>
      <c r="AO306" s="137" t="str">
        <f aca="false">IF(ISBLANK($C306),"",IF(N306=Constants!$B$2,TRUE(),IF(N306=Constants!$B$3,FALSE(),TRUE())))</f>
        <v/>
      </c>
      <c r="AP306" s="135" t="str">
        <f aca="false">IF(ISBLANK($C306),"",IF(ISNUMBER(O306),IF(O306&gt;=0,O306,""),""))</f>
        <v/>
      </c>
      <c r="AQ306" s="135" t="str">
        <f aca="false">IF(ISBLANK($C306),"",IF(P306=Constants!$B$2,TRUE(),IF(P306=Constants!$B$3,FALSE(),FALSE())))</f>
        <v/>
      </c>
      <c r="AR306" s="135" t="str">
        <f aca="false">IF(ISBLANK($C306),"",IF(Q306=Constants!$B$2,TRUE(),IF(Q306=Constants!$B$3,FALSE(),TRUE())))</f>
        <v/>
      </c>
      <c r="AS306" s="135" t="str">
        <f aca="false">IF(ISBLANK($C306),"",IF(R306=Constants!$B$2,TRUE(),IF(R306=Constants!$B$3,FALSE(),TRUE())))</f>
        <v/>
      </c>
      <c r="AT306" s="135" t="str">
        <f aca="false">IF(ISBLANK($C306),"",IF(S306=Constants!$B$4,TRUE(),IF(S306=Constants!$B$5,FALSE(),COUNTA(T306:X306)&gt;0)))</f>
        <v/>
      </c>
      <c r="AU306" s="136" t="str">
        <f aca="false">IF(ISBLANK($C306),"",IF(ISNUMBER(T306),IF(T306&gt;=0,T306,""),""))</f>
        <v/>
      </c>
      <c r="AV306" s="137" t="str">
        <f aca="false">IF(ISBLANK($C306),"",IF(ISNUMBER(U306),IF(U306&gt;=0,U306,""),""))</f>
        <v/>
      </c>
      <c r="AW306" s="137" t="str">
        <f aca="false">IF(ISBLANK($C306),"",IF(V306=Constants!$B$2,TRUE(),IF(V306=Constants!$B$3,FALSE(),TRUE())))</f>
        <v/>
      </c>
      <c r="AX306" s="135" t="str">
        <f aca="false">IF(ISBLANK($C306),"",IF(ISNUMBER(W306),IF(W306&gt;=0,W306,""),""))</f>
        <v/>
      </c>
      <c r="AY306" s="135" t="str">
        <f aca="false">IF(ISBLANK($C306),"",IF(X306=Constants!$B$2,TRUE(),IF(X306=Constants!$B$3,FALSE(),FALSE())))</f>
        <v/>
      </c>
      <c r="AZ306" s="135" t="str">
        <f aca="false">IF(ISBLANK($C306),"",MIN(Constants!$B$25,MAX(0,IF(ISNUMBER(Y306),Y306*60,0)+IF(ISNUMBER(Z306),Z306,0))))</f>
        <v/>
      </c>
      <c r="BA306" s="135" t="str">
        <f aca="false">IF(ISBLANK($C306),"",IF(AA306=Constants!$B$2,TRUE(),IF(AA306=Constants!$B$3,FALSE(),FALSE())))</f>
        <v/>
      </c>
      <c r="BB306" s="134" t="str">
        <f aca="false">IF(ISBLANK($C306),"",AND($AL306,OR($AM306="",$AN306="",AND($AO306,$AP306=""))))</f>
        <v/>
      </c>
      <c r="BC306" s="137" t="str">
        <f aca="false">IF($BX306&lt;&gt;Constants!$B$6,"",IF($AL306,Constants!$B$17*$AN306+Constants!$B$18*IF($AO306,$AP306,Constants!$B$19),Constants!$B$20))</f>
        <v/>
      </c>
      <c r="BD306" s="138" t="str">
        <f aca="false">IF($BX306&lt;&gt;Constants!$B$6,"",Constants!$B$21*ABS($AD$9-IF($AL306,$AM306,0)))</f>
        <v/>
      </c>
      <c r="BE306" s="138" t="str">
        <f aca="false">IF($BX306&lt;&gt;Constants!$B$6,"",IF(AND($AL306,$AQ306,$AO306),Constants!$B$22,0))</f>
        <v/>
      </c>
      <c r="BF306" s="138" t="str">
        <f aca="false">IF($BX306&lt;&gt;Constants!$B$6,"",IF($AL306,($AI306-Constants!$B$24)*Constants!$B$23,0))</f>
        <v/>
      </c>
      <c r="BG306" s="138" t="str">
        <f aca="false">IF($BX306&lt;&gt;Constants!$B$6,"",IF($AK306,0,Constants!$B$12)+IF($AJ306,0,Constants!$B$13)+IF($AH306,0,Constants!$B$14))</f>
        <v/>
      </c>
      <c r="BH306" s="139" t="str">
        <f aca="false">IF($BX306&lt;&gt;Constants!$B$6,"",Constants!$B$16+SUM($BC306:$BG306))</f>
        <v/>
      </c>
      <c r="BI306" s="138" t="str">
        <f aca="false">IF($BX306&lt;&gt;Constants!$B$6,"",$BC306)</f>
        <v/>
      </c>
      <c r="BJ306" s="138" t="str">
        <f aca="false">IF($BX306&lt;&gt;Constants!$B$6,"",$BD306)</f>
        <v/>
      </c>
      <c r="BK306" s="140" t="str">
        <f aca="false">IF($BX306&lt;&gt;Constants!$B$6,"",IF($AL306,$AN306,""))</f>
        <v/>
      </c>
      <c r="BL306" s="135" t="str">
        <f aca="false">IF($BX306&lt;&gt;Constants!$B$6,"",IF(OR($BS306&lt;$BH306,AND($BS306=$BH306,OR($BT306&lt;$BI306,AND($BT306=$BI306,OR($BU306&lt;$BJ306,AND($BU306=$BJ306,AND(ISNUMBER($BV306),OR(NOT(ISNUMBER($BK306)),$BV306&lt;$BK306)))))))),"-&gt;","&lt;-"))</f>
        <v/>
      </c>
      <c r="BM306" s="134" t="str">
        <f aca="false">IF(ISBLANK($C306),"",AND($AT306,OR($AU306="",$AV306="",AND($AW306,$AX306=""))))</f>
        <v/>
      </c>
      <c r="BN306" s="137" t="str">
        <f aca="false">IF($BX306&lt;&gt;Constants!$B$6,"",IF($AT306,Constants!$B$17*$AV306+Constants!$B$18*IF($AW306,$AX306,Constants!$B$19),Constants!$B$20))</f>
        <v/>
      </c>
      <c r="BO306" s="138" t="str">
        <f aca="false">IF($BX306&lt;&gt;Constants!$B$6,"",Constants!$B$21*ABS($AD$9-IF($AT306,$AU306,0)))</f>
        <v/>
      </c>
      <c r="BP306" s="138" t="str">
        <f aca="false">IF($BX306&lt;&gt;Constants!$B$6,"",IF(AND($AT306,$AY306,$AW306),Constants!$B$22,0))</f>
        <v/>
      </c>
      <c r="BQ306" s="138" t="str">
        <f aca="false">IF($BX306&lt;&gt;Constants!$B$6,"",IF($AT306,($AI306-Constants!$B$24)*Constants!$B$23,0))</f>
        <v/>
      </c>
      <c r="BR306" s="138" t="str">
        <f aca="false">IF($BX306&lt;&gt;Constants!$B$6,"",IF($AS306,0,Constants!$B$12)+IF($AR306,0,Constants!$B$13)+IF($AH306,0,Constants!$B$14))</f>
        <v/>
      </c>
      <c r="BS306" s="139" t="str">
        <f aca="false">IF($BX306&lt;&gt;Constants!$B$6,"",Constants!$B$16+SUM($BN306:$BR306))</f>
        <v/>
      </c>
      <c r="BT306" s="138" t="str">
        <f aca="false">IF($BX306&lt;&gt;Constants!$B$6,"",$BN306)</f>
        <v/>
      </c>
      <c r="BU306" s="138" t="str">
        <f aca="false">IF($BX306&lt;&gt;Constants!$B$6,"",$BO306)</f>
        <v/>
      </c>
      <c r="BV306" s="140" t="str">
        <f aca="false">IF($BX306&lt;&gt;Constants!$B$6,"",IF($AT306,$AV306,""))</f>
        <v/>
      </c>
      <c r="BW306" s="135" t="str">
        <f aca="false">IF(ISBLANK($C306),"",IF(ISBLANK($D$7),$BW$5,IF(NOT(ISNUMBER($D$7)),$BW$6,"")))</f>
        <v/>
      </c>
      <c r="BX306" s="135" t="str">
        <f aca="false">IF(ISBLANK($C306),"",IF($BA306,Constants!$B$9,IF(COUNTA($E306:$AA306)=0,Constants!$B$8,IF(NOT($AG306),Constants!$B$7,IF(OR($BW306&lt;&gt;"",$BB306,$BM306),Constants!$B$10,Constants!$B$6)))))</f>
        <v/>
      </c>
      <c r="BY306" s="135" t="str">
        <f aca="false">IF(ISBLANK($C306),"",IF($BX306&lt;&gt;Constants!$B$6,$BX306,Constants!$B$11))</f>
        <v/>
      </c>
      <c r="BZ306" s="138" t="str">
        <f aca="false">IF($BX306&lt;&gt;Constants!$B$6,"",IF($BL306="-&gt;",$BS306,$BH306))</f>
        <v/>
      </c>
      <c r="CA306" s="138" t="str">
        <f aca="false">IF($BX306&lt;&gt;Constants!$B$6,"",IF($AF306,0,Constants!$B$15))</f>
        <v/>
      </c>
      <c r="CB306" s="138" t="str">
        <f aca="false">IF($BX306&lt;&gt;Constants!$B$6,"",((Constants!$B$25-$AZ306)-Constants!$B$25)/Constants!$B$26)</f>
        <v/>
      </c>
      <c r="CC306" s="138" t="str">
        <f aca="false">IF(ISBLANK($C306),"",IF($BX306&lt;&gt;Constants!$B$6,$BX306,SUM($BZ306:$CB306)))</f>
        <v/>
      </c>
      <c r="CD306" s="135" t="str">
        <f aca="false">IF(ISBLANK($C306),"",IF($BX306&lt;&gt;Constants!$B$6,$BX306,RANK($CC306,$CC$9:$CC$508,1)))</f>
        <v/>
      </c>
      <c r="CE306" s="138" t="str">
        <f aca="false">IF($BX306&lt;&gt;Constants!$B$6,"",IF($BL306="-&gt;",$BT306,$BI306))</f>
        <v/>
      </c>
      <c r="CF306" s="135" t="str">
        <f aca="false">IF(ISBLANK($C306),"",IF($BX306&lt;&gt;Constants!$B$6,$BX306,IF(ISNUMBER($CE306),RANK($CE306,$CE$9:$CE$508,1),COUNT($CE$9:$CE$508)+1)))</f>
        <v/>
      </c>
      <c r="CG306" s="138" t="str">
        <f aca="false">IF($BX306&lt;&gt;Constants!$B$6,"",IF($BL306="-&gt;",$BU306,$BJ306))</f>
        <v/>
      </c>
      <c r="CH306" s="135" t="str">
        <f aca="false">IF(ISBLANK($C306),"",IF($BX306&lt;&gt;Constants!$B$6,$BX306,IF(ISNUMBER($CG306),RANK($CG306,$CG$9:$CG$508,1),COUNT($CG$9:$CG$508)+1)))</f>
        <v/>
      </c>
      <c r="CI306" s="138" t="str">
        <f aca="false">IF($BX306&lt;&gt;Constants!$B$6,"",IF($BL306="-&gt;",$BV306,$BK306))</f>
        <v/>
      </c>
      <c r="CJ306" s="135" t="str">
        <f aca="false">IF(ISBLANK($C306),"",IF($BX306&lt;&gt;Constants!$B$6,$BX306,IF(ISNUMBER($CI306),RANK($CI306,$CI$9:$CI$508,1),COUNT($CI$9:$CI$508)+1)))</f>
        <v/>
      </c>
      <c r="CK306" s="138" t="str">
        <f aca="false">IF($BX306&lt;&gt;Constants!$B$6,"",$AI306)</f>
        <v/>
      </c>
      <c r="CL306" s="135" t="str">
        <f aca="false">IF(ISBLANK($C306),"",IF($BX306&lt;&gt;Constants!$B$6,$BX306,IF(ISNUMBER($CK306),RANK($CK306,$CK$9:$CK$508,1),COUNT($CK$9:$CK$508)+1)))</f>
        <v/>
      </c>
      <c r="CM306" s="135" t="str">
        <f aca="false">IF(ISBLANK($C306),"",IF($BX306&lt;&gt;Constants!$B$6,$BX306,COUNTIFS($CD$9:$CD$508,"&lt;"&amp;$CD306)+COUNTIFS($CD$9:$CD$508,$CD306,$CF$9:$CF$508,"&lt;"&amp;$CF306)+COUNTIFS($CD$9:$CD$508,$CD306,$CF$9:$CF$508,$CF306,$CH$9:$CH$508,"&lt;"&amp;$CH306)+COUNTIFS($CD$9:$CD$508,$CD306,$CF$9:$CF$508,$CF306,$CH$9:$CH$508,$CH306,$CJ$9:$CJ$508,"&lt;"&amp;$CJ306)+COUNTIFS($CD$9:$CD$508,$CD306,$CF$9:$CF$508,$CF306,$CH$9:$CH$508,$CH306,$CJ$9:$CJ$508,$CJ306,$CL$9:$CL$508,"&lt;"&amp;$CL306)+1))</f>
        <v/>
      </c>
      <c r="CN306" s="135" t="str">
        <f aca="false">IF(ISBLANK($C306),"",IF($BX306&lt;&gt;Constants!$B$6,$BX306,$CD306-$CM306))</f>
        <v/>
      </c>
      <c r="CO306" s="141"/>
      <c r="CP306" s="142"/>
      <c r="CQ306" s="143" t="str">
        <f aca="false">IF(ISBLANK($C306),"",IF($BX306=Constants!$B$10,$BW306,""))</f>
        <v/>
      </c>
      <c r="CR306" s="142" t="str">
        <f aca="false">IF(ISBLANK($C306),"",IF($BX306&lt;&gt;Constants!$B$6,"",IF($BL306="-&gt;",2,1)))</f>
        <v/>
      </c>
      <c r="CS306" s="144" t="str">
        <f aca="false">IF(ISBLANK($C306),"",IF($BX306&lt;&gt;Constants!$B$6,"",IF($BL306="-&gt;",$BN306,$BC306)))</f>
        <v/>
      </c>
      <c r="CT306" s="144" t="str">
        <f aca="false">IF(ISBLANK($C306),"",IF($BX306&lt;&gt;Constants!$B$6,"",IF($BL306="-&gt;",$BO306,$BD306)))</f>
        <v/>
      </c>
      <c r="CU306" s="144" t="str">
        <f aca="false">IF(ISBLANK($C306),"",IF($BX306&lt;&gt;Constants!$B$6,"",IF($BL306="-&gt;",$BP306+$BQ306,$BE306+$BF306)+$CB306))</f>
        <v/>
      </c>
      <c r="CV306" s="144" t="str">
        <f aca="false">IF(ISBLANK($C306),"",IF($BX306&lt;&gt;Constants!$B$6,"",IF($BL306="-&gt;",$BR306,$BG306)+$CA306))</f>
        <v/>
      </c>
      <c r="CW306" s="145" t="str">
        <f aca="false">IF(ISBLANK($C306),"",IF($BX306&lt;&gt;Constants!$B$6,$BX306,$CC306))</f>
        <v/>
      </c>
      <c r="CX306" s="146" t="str">
        <f aca="false">IF(ISBLANK($C306),"",$BY306)</f>
        <v/>
      </c>
      <c r="CY306" s="147" t="str">
        <f aca="false">IF(ISBLANK($C306),"",$CN306)</f>
        <v/>
      </c>
      <c r="CZ306" s="147" t="str">
        <f aca="false">IF(ISBLANK($C306),"",$CM306)</f>
        <v/>
      </c>
      <c r="DA306" s="148" t="str">
        <f aca="false">IF(ISBLANK($C306),"",IFERROR(_xlfn.SWITCH($CZ306,Constants!$B$9,COUNTA($C$9:$C$508)+2,Constants!$B$8,COUNTA($C$9:$C$508)+1,Constants!$B$7,COUNTA($C$9:$C$508)),$CZ306))</f>
        <v/>
      </c>
      <c r="DB306" s="9"/>
      <c r="DC306" s="149" t="n">
        <f aca="false">IF(OR(ISNUMBER($CZ306),$CZ306=Constants!$B$9,$CZ306=Constants!$B$7,$CZ306=Constants!$B$8),1,0)</f>
        <v>0</v>
      </c>
      <c r="DD306" s="149" t="n">
        <v>298</v>
      </c>
      <c r="DE306" s="149" t="str">
        <f aca="false">IF(ISBLANK($C306),"",IF(ISNUMBER($DA306),$DA306+ROW($B306)/1000,""))</f>
        <v/>
      </c>
      <c r="DF306" s="149" t="str">
        <f aca="false">IF(ISNUMBER($DE306),RANK($DE306,$DE$9:$DE$508,1),"")</f>
        <v/>
      </c>
      <c r="DG306" s="149" t="str">
        <f aca="false">IF(ISBLANK($C306),"",$B306)</f>
        <v/>
      </c>
      <c r="DH306" s="149" t="str">
        <f aca="false">IF(ISBLANK($C306),"",$C306)</f>
        <v/>
      </c>
      <c r="DI306" s="149" t="str">
        <f aca="false">IF(ISBLANK($C306),"",$D306)</f>
        <v/>
      </c>
      <c r="DJ306" s="150" t="str">
        <f aca="false">$CX306</f>
        <v/>
      </c>
      <c r="DK306" s="151" t="str">
        <f aca="false">$CW306</f>
        <v/>
      </c>
      <c r="DL306" s="149" t="str">
        <f aca="false">IF(ISBLANK($C306),"",$CZ306)</f>
        <v/>
      </c>
      <c r="DM306" s="152" t="str">
        <f aca="false">IF($DD306&gt;$DC$8,"",VLOOKUP($DD306,$DF$9:$DL$508,7,FALSE()))</f>
        <v/>
      </c>
      <c r="DN306" s="153" t="str">
        <f aca="false">IF($DD306&gt;$DC$8,"",VLOOKUP($DD306,$DF$9:$DL$508,2,FALSE()))</f>
        <v/>
      </c>
      <c r="DO306" s="153" t="str">
        <f aca="false">IF($DD306&gt;$DC$8,"",VLOOKUP($DD306,$DF$9:$DL$508,3,FALSE()))</f>
        <v/>
      </c>
      <c r="DP306" s="153" t="str">
        <f aca="false">IF($DD306&gt;$DC$8,"",VLOOKUP($DD306,$DF$9:$DL$508,4,FALSE()))</f>
        <v/>
      </c>
      <c r="DQ306" s="153" t="str">
        <f aca="false">IF($DD306&gt;$DC$8,"",VLOOKUP($DD306,$DF$9:$DL$508,5,FALSE()))</f>
        <v/>
      </c>
      <c r="DR306" s="154" t="str">
        <f aca="false">IF($DD306&gt;$DC$8,"",VLOOKUP($DD306,$DF$9:$DL$508,6,FALSE()))</f>
        <v/>
      </c>
      <c r="DS306" s="76"/>
    </row>
    <row r="307" customFormat="false" ht="15.75" hidden="false" customHeight="false" outlineLevel="0" collapsed="false">
      <c r="A307" s="9"/>
      <c r="B307" s="160"/>
      <c r="C307" s="161"/>
      <c r="D307" s="162"/>
      <c r="E307" s="180"/>
      <c r="F307" s="164"/>
      <c r="G307" s="165"/>
      <c r="H307" s="165"/>
      <c r="I307" s="181"/>
      <c r="J307" s="168"/>
      <c r="K307" s="128"/>
      <c r="L307" s="129"/>
      <c r="M307" s="130"/>
      <c r="N307" s="168"/>
      <c r="O307" s="168"/>
      <c r="P307" s="180"/>
      <c r="Q307" s="168"/>
      <c r="R307" s="168"/>
      <c r="S307" s="128"/>
      <c r="T307" s="130"/>
      <c r="U307" s="130"/>
      <c r="V307" s="168"/>
      <c r="W307" s="168"/>
      <c r="X307" s="180"/>
      <c r="Y307" s="168"/>
      <c r="Z307" s="169"/>
      <c r="AA307" s="168"/>
      <c r="AB307" s="134"/>
      <c r="AC307" s="135"/>
      <c r="AD307" s="135"/>
      <c r="AE307" s="135"/>
      <c r="AF307" s="135" t="str">
        <f aca="false">IF(ISBLANK($C307),"",IF(E307=Constants!$B$2,TRUE(),IF(E307=Constants!$B$3,FALSE(),TRUE())))</f>
        <v/>
      </c>
      <c r="AG307" s="135" t="str">
        <f aca="false">IF(ISBLANK($C307),"",IF(F307=Constants!$B$2,TRUE(),IF(F307=Constants!$B$3,FALSE(),TRUE())))</f>
        <v/>
      </c>
      <c r="AH307" s="135" t="str">
        <f aca="false">IF(ISBLANK($C307),"",IF(G307=Constants!$B$2,TRUE(),IF(G307=Constants!$B$3,FALSE(),TRUE())))</f>
        <v/>
      </c>
      <c r="AI307" s="135" t="str">
        <f aca="false">IF(ISBLANK($C307),"",IF(AND(ISNUMBER(H307),H307&gt;=0),H307,Constants!$B$24))</f>
        <v/>
      </c>
      <c r="AJ307" s="135" t="str">
        <f aca="false">IF(ISBLANK($C307),"",IF(I307=Constants!$B$2,TRUE(),IF(I307=Constants!$B$3,FALSE(),TRUE())))</f>
        <v/>
      </c>
      <c r="AK307" s="135" t="str">
        <f aca="false">IF(ISBLANK($C307),"",IF(J307=Constants!$B$2,TRUE(),IF(J307=Constants!$B$3,FALSE(),TRUE())))</f>
        <v/>
      </c>
      <c r="AL307" s="135" t="str">
        <f aca="false">IF(ISBLANK($C307),"",IF(K307=Constants!$B$4,TRUE(),IF(K307=Constants!$B$5,FALSE(),COUNTA(L307:P307)&gt;0)))</f>
        <v/>
      </c>
      <c r="AM307" s="136" t="str">
        <f aca="false">IF(ISBLANK($C307),"",IF(ISNUMBER(L307),IF(L307&gt;=0,L307,""),""))</f>
        <v/>
      </c>
      <c r="AN307" s="137" t="str">
        <f aca="false">IF(ISBLANK($C307),"",IF(ISNUMBER(M307),IF(M307&gt;=0,M307,""),""))</f>
        <v/>
      </c>
      <c r="AO307" s="137" t="str">
        <f aca="false">IF(ISBLANK($C307),"",IF(N307=Constants!$B$2,TRUE(),IF(N307=Constants!$B$3,FALSE(),TRUE())))</f>
        <v/>
      </c>
      <c r="AP307" s="135" t="str">
        <f aca="false">IF(ISBLANK($C307),"",IF(ISNUMBER(O307),IF(O307&gt;=0,O307,""),""))</f>
        <v/>
      </c>
      <c r="AQ307" s="135" t="str">
        <f aca="false">IF(ISBLANK($C307),"",IF(P307=Constants!$B$2,TRUE(),IF(P307=Constants!$B$3,FALSE(),FALSE())))</f>
        <v/>
      </c>
      <c r="AR307" s="135" t="str">
        <f aca="false">IF(ISBLANK($C307),"",IF(Q307=Constants!$B$2,TRUE(),IF(Q307=Constants!$B$3,FALSE(),TRUE())))</f>
        <v/>
      </c>
      <c r="AS307" s="135" t="str">
        <f aca="false">IF(ISBLANK($C307),"",IF(R307=Constants!$B$2,TRUE(),IF(R307=Constants!$B$3,FALSE(),TRUE())))</f>
        <v/>
      </c>
      <c r="AT307" s="135" t="str">
        <f aca="false">IF(ISBLANK($C307),"",IF(S307=Constants!$B$4,TRUE(),IF(S307=Constants!$B$5,FALSE(),COUNTA(T307:X307)&gt;0)))</f>
        <v/>
      </c>
      <c r="AU307" s="136" t="str">
        <f aca="false">IF(ISBLANK($C307),"",IF(ISNUMBER(T307),IF(T307&gt;=0,T307,""),""))</f>
        <v/>
      </c>
      <c r="AV307" s="137" t="str">
        <f aca="false">IF(ISBLANK($C307),"",IF(ISNUMBER(U307),IF(U307&gt;=0,U307,""),""))</f>
        <v/>
      </c>
      <c r="AW307" s="137" t="str">
        <f aca="false">IF(ISBLANK($C307),"",IF(V307=Constants!$B$2,TRUE(),IF(V307=Constants!$B$3,FALSE(),TRUE())))</f>
        <v/>
      </c>
      <c r="AX307" s="135" t="str">
        <f aca="false">IF(ISBLANK($C307),"",IF(ISNUMBER(W307),IF(W307&gt;=0,W307,""),""))</f>
        <v/>
      </c>
      <c r="AY307" s="135" t="str">
        <f aca="false">IF(ISBLANK($C307),"",IF(X307=Constants!$B$2,TRUE(),IF(X307=Constants!$B$3,FALSE(),FALSE())))</f>
        <v/>
      </c>
      <c r="AZ307" s="135" t="str">
        <f aca="false">IF(ISBLANK($C307),"",MIN(Constants!$B$25,MAX(0,IF(ISNUMBER(Y307),Y307*60,0)+IF(ISNUMBER(Z307),Z307,0))))</f>
        <v/>
      </c>
      <c r="BA307" s="135" t="str">
        <f aca="false">IF(ISBLANK($C307),"",IF(AA307=Constants!$B$2,TRUE(),IF(AA307=Constants!$B$3,FALSE(),FALSE())))</f>
        <v/>
      </c>
      <c r="BB307" s="134" t="str">
        <f aca="false">IF(ISBLANK($C307),"",AND($AL307,OR($AM307="",$AN307="",AND($AO307,$AP307=""))))</f>
        <v/>
      </c>
      <c r="BC307" s="137" t="str">
        <f aca="false">IF($BX307&lt;&gt;Constants!$B$6,"",IF($AL307,Constants!$B$17*$AN307+Constants!$B$18*IF($AO307,$AP307,Constants!$B$19),Constants!$B$20))</f>
        <v/>
      </c>
      <c r="BD307" s="138" t="str">
        <f aca="false">IF($BX307&lt;&gt;Constants!$B$6,"",Constants!$B$21*ABS($AD$9-IF($AL307,$AM307,0)))</f>
        <v/>
      </c>
      <c r="BE307" s="138" t="str">
        <f aca="false">IF($BX307&lt;&gt;Constants!$B$6,"",IF(AND($AL307,$AQ307,$AO307),Constants!$B$22,0))</f>
        <v/>
      </c>
      <c r="BF307" s="138" t="str">
        <f aca="false">IF($BX307&lt;&gt;Constants!$B$6,"",IF($AL307,($AI307-Constants!$B$24)*Constants!$B$23,0))</f>
        <v/>
      </c>
      <c r="BG307" s="138" t="str">
        <f aca="false">IF($BX307&lt;&gt;Constants!$B$6,"",IF($AK307,0,Constants!$B$12)+IF($AJ307,0,Constants!$B$13)+IF($AH307,0,Constants!$B$14))</f>
        <v/>
      </c>
      <c r="BH307" s="139" t="str">
        <f aca="false">IF($BX307&lt;&gt;Constants!$B$6,"",Constants!$B$16+SUM($BC307:$BG307))</f>
        <v/>
      </c>
      <c r="BI307" s="138" t="str">
        <f aca="false">IF($BX307&lt;&gt;Constants!$B$6,"",$BC307)</f>
        <v/>
      </c>
      <c r="BJ307" s="138" t="str">
        <f aca="false">IF($BX307&lt;&gt;Constants!$B$6,"",$BD307)</f>
        <v/>
      </c>
      <c r="BK307" s="140" t="str">
        <f aca="false">IF($BX307&lt;&gt;Constants!$B$6,"",IF($AL307,$AN307,""))</f>
        <v/>
      </c>
      <c r="BL307" s="135" t="str">
        <f aca="false">IF($BX307&lt;&gt;Constants!$B$6,"",IF(OR($BS307&lt;$BH307,AND($BS307=$BH307,OR($BT307&lt;$BI307,AND($BT307=$BI307,OR($BU307&lt;$BJ307,AND($BU307=$BJ307,AND(ISNUMBER($BV307),OR(NOT(ISNUMBER($BK307)),$BV307&lt;$BK307)))))))),"-&gt;","&lt;-"))</f>
        <v/>
      </c>
      <c r="BM307" s="134" t="str">
        <f aca="false">IF(ISBLANK($C307),"",AND($AT307,OR($AU307="",$AV307="",AND($AW307,$AX307=""))))</f>
        <v/>
      </c>
      <c r="BN307" s="137" t="str">
        <f aca="false">IF($BX307&lt;&gt;Constants!$B$6,"",IF($AT307,Constants!$B$17*$AV307+Constants!$B$18*IF($AW307,$AX307,Constants!$B$19),Constants!$B$20))</f>
        <v/>
      </c>
      <c r="BO307" s="138" t="str">
        <f aca="false">IF($BX307&lt;&gt;Constants!$B$6,"",Constants!$B$21*ABS($AD$9-IF($AT307,$AU307,0)))</f>
        <v/>
      </c>
      <c r="BP307" s="138" t="str">
        <f aca="false">IF($BX307&lt;&gt;Constants!$B$6,"",IF(AND($AT307,$AY307,$AW307),Constants!$B$22,0))</f>
        <v/>
      </c>
      <c r="BQ307" s="138" t="str">
        <f aca="false">IF($BX307&lt;&gt;Constants!$B$6,"",IF($AT307,($AI307-Constants!$B$24)*Constants!$B$23,0))</f>
        <v/>
      </c>
      <c r="BR307" s="138" t="str">
        <f aca="false">IF($BX307&lt;&gt;Constants!$B$6,"",IF($AS307,0,Constants!$B$12)+IF($AR307,0,Constants!$B$13)+IF($AH307,0,Constants!$B$14))</f>
        <v/>
      </c>
      <c r="BS307" s="139" t="str">
        <f aca="false">IF($BX307&lt;&gt;Constants!$B$6,"",Constants!$B$16+SUM($BN307:$BR307))</f>
        <v/>
      </c>
      <c r="BT307" s="138" t="str">
        <f aca="false">IF($BX307&lt;&gt;Constants!$B$6,"",$BN307)</f>
        <v/>
      </c>
      <c r="BU307" s="138" t="str">
        <f aca="false">IF($BX307&lt;&gt;Constants!$B$6,"",$BO307)</f>
        <v/>
      </c>
      <c r="BV307" s="140" t="str">
        <f aca="false">IF($BX307&lt;&gt;Constants!$B$6,"",IF($AT307,$AV307,""))</f>
        <v/>
      </c>
      <c r="BW307" s="135" t="str">
        <f aca="false">IF(ISBLANK($C307),"",IF(ISBLANK($D$7),$BW$5,IF(NOT(ISNUMBER($D$7)),$BW$6,"")))</f>
        <v/>
      </c>
      <c r="BX307" s="135" t="str">
        <f aca="false">IF(ISBLANK($C307),"",IF($BA307,Constants!$B$9,IF(COUNTA($E307:$AA307)=0,Constants!$B$8,IF(NOT($AG307),Constants!$B$7,IF(OR($BW307&lt;&gt;"",$BB307,$BM307),Constants!$B$10,Constants!$B$6)))))</f>
        <v/>
      </c>
      <c r="BY307" s="135" t="str">
        <f aca="false">IF(ISBLANK($C307),"",IF($BX307&lt;&gt;Constants!$B$6,$BX307,Constants!$B$11))</f>
        <v/>
      </c>
      <c r="BZ307" s="138" t="str">
        <f aca="false">IF($BX307&lt;&gt;Constants!$B$6,"",IF($BL307="-&gt;",$BS307,$BH307))</f>
        <v/>
      </c>
      <c r="CA307" s="138" t="str">
        <f aca="false">IF($BX307&lt;&gt;Constants!$B$6,"",IF($AF307,0,Constants!$B$15))</f>
        <v/>
      </c>
      <c r="CB307" s="138" t="str">
        <f aca="false">IF($BX307&lt;&gt;Constants!$B$6,"",((Constants!$B$25-$AZ307)-Constants!$B$25)/Constants!$B$26)</f>
        <v/>
      </c>
      <c r="CC307" s="138" t="str">
        <f aca="false">IF(ISBLANK($C307),"",IF($BX307&lt;&gt;Constants!$B$6,$BX307,SUM($BZ307:$CB307)))</f>
        <v/>
      </c>
      <c r="CD307" s="135" t="str">
        <f aca="false">IF(ISBLANK($C307),"",IF($BX307&lt;&gt;Constants!$B$6,$BX307,RANK($CC307,$CC$9:$CC$508,1)))</f>
        <v/>
      </c>
      <c r="CE307" s="138" t="str">
        <f aca="false">IF($BX307&lt;&gt;Constants!$B$6,"",IF($BL307="-&gt;",$BT307,$BI307))</f>
        <v/>
      </c>
      <c r="CF307" s="135" t="str">
        <f aca="false">IF(ISBLANK($C307),"",IF($BX307&lt;&gt;Constants!$B$6,$BX307,IF(ISNUMBER($CE307),RANK($CE307,$CE$9:$CE$508,1),COUNT($CE$9:$CE$508)+1)))</f>
        <v/>
      </c>
      <c r="CG307" s="138" t="str">
        <f aca="false">IF($BX307&lt;&gt;Constants!$B$6,"",IF($BL307="-&gt;",$BU307,$BJ307))</f>
        <v/>
      </c>
      <c r="CH307" s="135" t="str">
        <f aca="false">IF(ISBLANK($C307),"",IF($BX307&lt;&gt;Constants!$B$6,$BX307,IF(ISNUMBER($CG307),RANK($CG307,$CG$9:$CG$508,1),COUNT($CG$9:$CG$508)+1)))</f>
        <v/>
      </c>
      <c r="CI307" s="138" t="str">
        <f aca="false">IF($BX307&lt;&gt;Constants!$B$6,"",IF($BL307="-&gt;",$BV307,$BK307))</f>
        <v/>
      </c>
      <c r="CJ307" s="135" t="str">
        <f aca="false">IF(ISBLANK($C307),"",IF($BX307&lt;&gt;Constants!$B$6,$BX307,IF(ISNUMBER($CI307),RANK($CI307,$CI$9:$CI$508,1),COUNT($CI$9:$CI$508)+1)))</f>
        <v/>
      </c>
      <c r="CK307" s="138" t="str">
        <f aca="false">IF($BX307&lt;&gt;Constants!$B$6,"",$AI307)</f>
        <v/>
      </c>
      <c r="CL307" s="135" t="str">
        <f aca="false">IF(ISBLANK($C307),"",IF($BX307&lt;&gt;Constants!$B$6,$BX307,IF(ISNUMBER($CK307),RANK($CK307,$CK$9:$CK$508,1),COUNT($CK$9:$CK$508)+1)))</f>
        <v/>
      </c>
      <c r="CM307" s="135" t="str">
        <f aca="false">IF(ISBLANK($C307),"",IF($BX307&lt;&gt;Constants!$B$6,$BX307,COUNTIFS($CD$9:$CD$508,"&lt;"&amp;$CD307)+COUNTIFS($CD$9:$CD$508,$CD307,$CF$9:$CF$508,"&lt;"&amp;$CF307)+COUNTIFS($CD$9:$CD$508,$CD307,$CF$9:$CF$508,$CF307,$CH$9:$CH$508,"&lt;"&amp;$CH307)+COUNTIFS($CD$9:$CD$508,$CD307,$CF$9:$CF$508,$CF307,$CH$9:$CH$508,$CH307,$CJ$9:$CJ$508,"&lt;"&amp;$CJ307)+COUNTIFS($CD$9:$CD$508,$CD307,$CF$9:$CF$508,$CF307,$CH$9:$CH$508,$CH307,$CJ$9:$CJ$508,$CJ307,$CL$9:$CL$508,"&lt;"&amp;$CL307)+1))</f>
        <v/>
      </c>
      <c r="CN307" s="135" t="str">
        <f aca="false">IF(ISBLANK($C307),"",IF($BX307&lt;&gt;Constants!$B$6,$BX307,$CD307-$CM307))</f>
        <v/>
      </c>
      <c r="CO307" s="141"/>
      <c r="CP307" s="142"/>
      <c r="CQ307" s="143" t="str">
        <f aca="false">IF(ISBLANK($C307),"",IF($BX307=Constants!$B$10,$BW307,""))</f>
        <v/>
      </c>
      <c r="CR307" s="142" t="str">
        <f aca="false">IF(ISBLANK($C307),"",IF($BX307&lt;&gt;Constants!$B$6,"",IF($BL307="-&gt;",2,1)))</f>
        <v/>
      </c>
      <c r="CS307" s="144" t="str">
        <f aca="false">IF(ISBLANK($C307),"",IF($BX307&lt;&gt;Constants!$B$6,"",IF($BL307="-&gt;",$BN307,$BC307)))</f>
        <v/>
      </c>
      <c r="CT307" s="144" t="str">
        <f aca="false">IF(ISBLANK($C307),"",IF($BX307&lt;&gt;Constants!$B$6,"",IF($BL307="-&gt;",$BO307,$BD307)))</f>
        <v/>
      </c>
      <c r="CU307" s="144" t="str">
        <f aca="false">IF(ISBLANK($C307),"",IF($BX307&lt;&gt;Constants!$B$6,"",IF($BL307="-&gt;",$BP307+$BQ307,$BE307+$BF307)+$CB307))</f>
        <v/>
      </c>
      <c r="CV307" s="144" t="str">
        <f aca="false">IF(ISBLANK($C307),"",IF($BX307&lt;&gt;Constants!$B$6,"",IF($BL307="-&gt;",$BR307,$BG307)+$CA307))</f>
        <v/>
      </c>
      <c r="CW307" s="145" t="str">
        <f aca="false">IF(ISBLANK($C307),"",IF($BX307&lt;&gt;Constants!$B$6,$BX307,$CC307))</f>
        <v/>
      </c>
      <c r="CX307" s="146" t="str">
        <f aca="false">IF(ISBLANK($C307),"",$BY307)</f>
        <v/>
      </c>
      <c r="CY307" s="147" t="str">
        <f aca="false">IF(ISBLANK($C307),"",$CN307)</f>
        <v/>
      </c>
      <c r="CZ307" s="147" t="str">
        <f aca="false">IF(ISBLANK($C307),"",$CM307)</f>
        <v/>
      </c>
      <c r="DA307" s="148" t="str">
        <f aca="false">IF(ISBLANK($C307),"",IFERROR(_xlfn.SWITCH($CZ307,Constants!$B$9,COUNTA($C$9:$C$508)+2,Constants!$B$8,COUNTA($C$9:$C$508)+1,Constants!$B$7,COUNTA($C$9:$C$508)),$CZ307))</f>
        <v/>
      </c>
      <c r="DB307" s="9"/>
      <c r="DC307" s="149" t="n">
        <f aca="false">IF(OR(ISNUMBER($CZ307),$CZ307=Constants!$B$9,$CZ307=Constants!$B$7,$CZ307=Constants!$B$8),1,0)</f>
        <v>0</v>
      </c>
      <c r="DD307" s="149" t="n">
        <v>299</v>
      </c>
      <c r="DE307" s="149" t="str">
        <f aca="false">IF(ISBLANK($C307),"",IF(ISNUMBER($DA307),$DA307+ROW($B307)/1000,""))</f>
        <v/>
      </c>
      <c r="DF307" s="149" t="str">
        <f aca="false">IF(ISNUMBER($DE307),RANK($DE307,$DE$9:$DE$508,1),"")</f>
        <v/>
      </c>
      <c r="DG307" s="149" t="str">
        <f aca="false">IF(ISBLANK($C307),"",$B307)</f>
        <v/>
      </c>
      <c r="DH307" s="149" t="str">
        <f aca="false">IF(ISBLANK($C307),"",$C307)</f>
        <v/>
      </c>
      <c r="DI307" s="149" t="str">
        <f aca="false">IF(ISBLANK($C307),"",$D307)</f>
        <v/>
      </c>
      <c r="DJ307" s="150" t="str">
        <f aca="false">$CX307</f>
        <v/>
      </c>
      <c r="DK307" s="151" t="str">
        <f aca="false">$CW307</f>
        <v/>
      </c>
      <c r="DL307" s="149" t="str">
        <f aca="false">IF(ISBLANK($C307),"",$CZ307)</f>
        <v/>
      </c>
      <c r="DM307" s="152" t="str">
        <f aca="false">IF($DD307&gt;$DC$8,"",VLOOKUP($DD307,$DF$9:$DL$508,7,FALSE()))</f>
        <v/>
      </c>
      <c r="DN307" s="153" t="str">
        <f aca="false">IF($DD307&gt;$DC$8,"",VLOOKUP($DD307,$DF$9:$DL$508,2,FALSE()))</f>
        <v/>
      </c>
      <c r="DO307" s="153" t="str">
        <f aca="false">IF($DD307&gt;$DC$8,"",VLOOKUP($DD307,$DF$9:$DL$508,3,FALSE()))</f>
        <v/>
      </c>
      <c r="DP307" s="153" t="str">
        <f aca="false">IF($DD307&gt;$DC$8,"",VLOOKUP($DD307,$DF$9:$DL$508,4,FALSE()))</f>
        <v/>
      </c>
      <c r="DQ307" s="153" t="str">
        <f aca="false">IF($DD307&gt;$DC$8,"",VLOOKUP($DD307,$DF$9:$DL$508,5,FALSE()))</f>
        <v/>
      </c>
      <c r="DR307" s="154" t="str">
        <f aca="false">IF($DD307&gt;$DC$8,"",VLOOKUP($DD307,$DF$9:$DL$508,6,FALSE()))</f>
        <v/>
      </c>
      <c r="DS307" s="76"/>
    </row>
    <row r="308" customFormat="false" ht="15.75" hidden="false" customHeight="false" outlineLevel="0" collapsed="false">
      <c r="A308" s="9"/>
      <c r="B308" s="160"/>
      <c r="C308" s="161"/>
      <c r="D308" s="162"/>
      <c r="E308" s="180"/>
      <c r="F308" s="164"/>
      <c r="G308" s="165"/>
      <c r="H308" s="165"/>
      <c r="I308" s="181"/>
      <c r="J308" s="168"/>
      <c r="K308" s="128"/>
      <c r="L308" s="129"/>
      <c r="M308" s="130"/>
      <c r="N308" s="168"/>
      <c r="O308" s="168"/>
      <c r="P308" s="180"/>
      <c r="Q308" s="168"/>
      <c r="R308" s="168"/>
      <c r="S308" s="128"/>
      <c r="T308" s="130"/>
      <c r="U308" s="130"/>
      <c r="V308" s="168"/>
      <c r="W308" s="168"/>
      <c r="X308" s="180"/>
      <c r="Y308" s="168"/>
      <c r="Z308" s="169"/>
      <c r="AA308" s="168"/>
      <c r="AB308" s="134"/>
      <c r="AC308" s="135"/>
      <c r="AD308" s="135"/>
      <c r="AE308" s="135"/>
      <c r="AF308" s="135" t="str">
        <f aca="false">IF(ISBLANK($C308),"",IF(E308=Constants!$B$2,TRUE(),IF(E308=Constants!$B$3,FALSE(),TRUE())))</f>
        <v/>
      </c>
      <c r="AG308" s="135" t="str">
        <f aca="false">IF(ISBLANK($C308),"",IF(F308=Constants!$B$2,TRUE(),IF(F308=Constants!$B$3,FALSE(),TRUE())))</f>
        <v/>
      </c>
      <c r="AH308" s="135" t="str">
        <f aca="false">IF(ISBLANK($C308),"",IF(G308=Constants!$B$2,TRUE(),IF(G308=Constants!$B$3,FALSE(),TRUE())))</f>
        <v/>
      </c>
      <c r="AI308" s="135" t="str">
        <f aca="false">IF(ISBLANK($C308),"",IF(AND(ISNUMBER(H308),H308&gt;=0),H308,Constants!$B$24))</f>
        <v/>
      </c>
      <c r="AJ308" s="135" t="str">
        <f aca="false">IF(ISBLANK($C308),"",IF(I308=Constants!$B$2,TRUE(),IF(I308=Constants!$B$3,FALSE(),TRUE())))</f>
        <v/>
      </c>
      <c r="AK308" s="135" t="str">
        <f aca="false">IF(ISBLANK($C308),"",IF(J308=Constants!$B$2,TRUE(),IF(J308=Constants!$B$3,FALSE(),TRUE())))</f>
        <v/>
      </c>
      <c r="AL308" s="135" t="str">
        <f aca="false">IF(ISBLANK($C308),"",IF(K308=Constants!$B$4,TRUE(),IF(K308=Constants!$B$5,FALSE(),COUNTA(L308:P308)&gt;0)))</f>
        <v/>
      </c>
      <c r="AM308" s="136" t="str">
        <f aca="false">IF(ISBLANK($C308),"",IF(ISNUMBER(L308),IF(L308&gt;=0,L308,""),""))</f>
        <v/>
      </c>
      <c r="AN308" s="137" t="str">
        <f aca="false">IF(ISBLANK($C308),"",IF(ISNUMBER(M308),IF(M308&gt;=0,M308,""),""))</f>
        <v/>
      </c>
      <c r="AO308" s="137" t="str">
        <f aca="false">IF(ISBLANK($C308),"",IF(N308=Constants!$B$2,TRUE(),IF(N308=Constants!$B$3,FALSE(),TRUE())))</f>
        <v/>
      </c>
      <c r="AP308" s="135" t="str">
        <f aca="false">IF(ISBLANK($C308),"",IF(ISNUMBER(O308),IF(O308&gt;=0,O308,""),""))</f>
        <v/>
      </c>
      <c r="AQ308" s="135" t="str">
        <f aca="false">IF(ISBLANK($C308),"",IF(P308=Constants!$B$2,TRUE(),IF(P308=Constants!$B$3,FALSE(),FALSE())))</f>
        <v/>
      </c>
      <c r="AR308" s="135" t="str">
        <f aca="false">IF(ISBLANK($C308),"",IF(Q308=Constants!$B$2,TRUE(),IF(Q308=Constants!$B$3,FALSE(),TRUE())))</f>
        <v/>
      </c>
      <c r="AS308" s="135" t="str">
        <f aca="false">IF(ISBLANK($C308),"",IF(R308=Constants!$B$2,TRUE(),IF(R308=Constants!$B$3,FALSE(),TRUE())))</f>
        <v/>
      </c>
      <c r="AT308" s="135" t="str">
        <f aca="false">IF(ISBLANK($C308),"",IF(S308=Constants!$B$4,TRUE(),IF(S308=Constants!$B$5,FALSE(),COUNTA(T308:X308)&gt;0)))</f>
        <v/>
      </c>
      <c r="AU308" s="136" t="str">
        <f aca="false">IF(ISBLANK($C308),"",IF(ISNUMBER(T308),IF(T308&gt;=0,T308,""),""))</f>
        <v/>
      </c>
      <c r="AV308" s="137" t="str">
        <f aca="false">IF(ISBLANK($C308),"",IF(ISNUMBER(U308),IF(U308&gt;=0,U308,""),""))</f>
        <v/>
      </c>
      <c r="AW308" s="137" t="str">
        <f aca="false">IF(ISBLANK($C308),"",IF(V308=Constants!$B$2,TRUE(),IF(V308=Constants!$B$3,FALSE(),TRUE())))</f>
        <v/>
      </c>
      <c r="AX308" s="135" t="str">
        <f aca="false">IF(ISBLANK($C308),"",IF(ISNUMBER(W308),IF(W308&gt;=0,W308,""),""))</f>
        <v/>
      </c>
      <c r="AY308" s="135" t="str">
        <f aca="false">IF(ISBLANK($C308),"",IF(X308=Constants!$B$2,TRUE(),IF(X308=Constants!$B$3,FALSE(),FALSE())))</f>
        <v/>
      </c>
      <c r="AZ308" s="135" t="str">
        <f aca="false">IF(ISBLANK($C308),"",MIN(Constants!$B$25,MAX(0,IF(ISNUMBER(Y308),Y308*60,0)+IF(ISNUMBER(Z308),Z308,0))))</f>
        <v/>
      </c>
      <c r="BA308" s="135" t="str">
        <f aca="false">IF(ISBLANK($C308),"",IF(AA308=Constants!$B$2,TRUE(),IF(AA308=Constants!$B$3,FALSE(),FALSE())))</f>
        <v/>
      </c>
      <c r="BB308" s="134" t="str">
        <f aca="false">IF(ISBLANK($C308),"",AND($AL308,OR($AM308="",$AN308="",AND($AO308,$AP308=""))))</f>
        <v/>
      </c>
      <c r="BC308" s="137" t="str">
        <f aca="false">IF($BX308&lt;&gt;Constants!$B$6,"",IF($AL308,Constants!$B$17*$AN308+Constants!$B$18*IF($AO308,$AP308,Constants!$B$19),Constants!$B$20))</f>
        <v/>
      </c>
      <c r="BD308" s="138" t="str">
        <f aca="false">IF($BX308&lt;&gt;Constants!$B$6,"",Constants!$B$21*ABS($AD$9-IF($AL308,$AM308,0)))</f>
        <v/>
      </c>
      <c r="BE308" s="138" t="str">
        <f aca="false">IF($BX308&lt;&gt;Constants!$B$6,"",IF(AND($AL308,$AQ308,$AO308),Constants!$B$22,0))</f>
        <v/>
      </c>
      <c r="BF308" s="138" t="str">
        <f aca="false">IF($BX308&lt;&gt;Constants!$B$6,"",IF($AL308,($AI308-Constants!$B$24)*Constants!$B$23,0))</f>
        <v/>
      </c>
      <c r="BG308" s="138" t="str">
        <f aca="false">IF($BX308&lt;&gt;Constants!$B$6,"",IF($AK308,0,Constants!$B$12)+IF($AJ308,0,Constants!$B$13)+IF($AH308,0,Constants!$B$14))</f>
        <v/>
      </c>
      <c r="BH308" s="139" t="str">
        <f aca="false">IF($BX308&lt;&gt;Constants!$B$6,"",Constants!$B$16+SUM($BC308:$BG308))</f>
        <v/>
      </c>
      <c r="BI308" s="138" t="str">
        <f aca="false">IF($BX308&lt;&gt;Constants!$B$6,"",$BC308)</f>
        <v/>
      </c>
      <c r="BJ308" s="138" t="str">
        <f aca="false">IF($BX308&lt;&gt;Constants!$B$6,"",$BD308)</f>
        <v/>
      </c>
      <c r="BK308" s="140" t="str">
        <f aca="false">IF($BX308&lt;&gt;Constants!$B$6,"",IF($AL308,$AN308,""))</f>
        <v/>
      </c>
      <c r="BL308" s="135" t="str">
        <f aca="false">IF($BX308&lt;&gt;Constants!$B$6,"",IF(OR($BS308&lt;$BH308,AND($BS308=$BH308,OR($BT308&lt;$BI308,AND($BT308=$BI308,OR($BU308&lt;$BJ308,AND($BU308=$BJ308,AND(ISNUMBER($BV308),OR(NOT(ISNUMBER($BK308)),$BV308&lt;$BK308)))))))),"-&gt;","&lt;-"))</f>
        <v/>
      </c>
      <c r="BM308" s="134" t="str">
        <f aca="false">IF(ISBLANK($C308),"",AND($AT308,OR($AU308="",$AV308="",AND($AW308,$AX308=""))))</f>
        <v/>
      </c>
      <c r="BN308" s="137" t="str">
        <f aca="false">IF($BX308&lt;&gt;Constants!$B$6,"",IF($AT308,Constants!$B$17*$AV308+Constants!$B$18*IF($AW308,$AX308,Constants!$B$19),Constants!$B$20))</f>
        <v/>
      </c>
      <c r="BO308" s="138" t="str">
        <f aca="false">IF($BX308&lt;&gt;Constants!$B$6,"",Constants!$B$21*ABS($AD$9-IF($AT308,$AU308,0)))</f>
        <v/>
      </c>
      <c r="BP308" s="138" t="str">
        <f aca="false">IF($BX308&lt;&gt;Constants!$B$6,"",IF(AND($AT308,$AY308,$AW308),Constants!$B$22,0))</f>
        <v/>
      </c>
      <c r="BQ308" s="138" t="str">
        <f aca="false">IF($BX308&lt;&gt;Constants!$B$6,"",IF($AT308,($AI308-Constants!$B$24)*Constants!$B$23,0))</f>
        <v/>
      </c>
      <c r="BR308" s="138" t="str">
        <f aca="false">IF($BX308&lt;&gt;Constants!$B$6,"",IF($AS308,0,Constants!$B$12)+IF($AR308,0,Constants!$B$13)+IF($AH308,0,Constants!$B$14))</f>
        <v/>
      </c>
      <c r="BS308" s="139" t="str">
        <f aca="false">IF($BX308&lt;&gt;Constants!$B$6,"",Constants!$B$16+SUM($BN308:$BR308))</f>
        <v/>
      </c>
      <c r="BT308" s="138" t="str">
        <f aca="false">IF($BX308&lt;&gt;Constants!$B$6,"",$BN308)</f>
        <v/>
      </c>
      <c r="BU308" s="138" t="str">
        <f aca="false">IF($BX308&lt;&gt;Constants!$B$6,"",$BO308)</f>
        <v/>
      </c>
      <c r="BV308" s="140" t="str">
        <f aca="false">IF($BX308&lt;&gt;Constants!$B$6,"",IF($AT308,$AV308,""))</f>
        <v/>
      </c>
      <c r="BW308" s="135" t="str">
        <f aca="false">IF(ISBLANK($C308),"",IF(ISBLANK($D$7),$BW$5,IF(NOT(ISNUMBER($D$7)),$BW$6,"")))</f>
        <v/>
      </c>
      <c r="BX308" s="135" t="str">
        <f aca="false">IF(ISBLANK($C308),"",IF($BA308,Constants!$B$9,IF(COUNTA($E308:$AA308)=0,Constants!$B$8,IF(NOT($AG308),Constants!$B$7,IF(OR($BW308&lt;&gt;"",$BB308,$BM308),Constants!$B$10,Constants!$B$6)))))</f>
        <v/>
      </c>
      <c r="BY308" s="135" t="str">
        <f aca="false">IF(ISBLANK($C308),"",IF($BX308&lt;&gt;Constants!$B$6,$BX308,Constants!$B$11))</f>
        <v/>
      </c>
      <c r="BZ308" s="138" t="str">
        <f aca="false">IF($BX308&lt;&gt;Constants!$B$6,"",IF($BL308="-&gt;",$BS308,$BH308))</f>
        <v/>
      </c>
      <c r="CA308" s="138" t="str">
        <f aca="false">IF($BX308&lt;&gt;Constants!$B$6,"",IF($AF308,0,Constants!$B$15))</f>
        <v/>
      </c>
      <c r="CB308" s="138" t="str">
        <f aca="false">IF($BX308&lt;&gt;Constants!$B$6,"",((Constants!$B$25-$AZ308)-Constants!$B$25)/Constants!$B$26)</f>
        <v/>
      </c>
      <c r="CC308" s="138" t="str">
        <f aca="false">IF(ISBLANK($C308),"",IF($BX308&lt;&gt;Constants!$B$6,$BX308,SUM($BZ308:$CB308)))</f>
        <v/>
      </c>
      <c r="CD308" s="135" t="str">
        <f aca="false">IF(ISBLANK($C308),"",IF($BX308&lt;&gt;Constants!$B$6,$BX308,RANK($CC308,$CC$9:$CC$508,1)))</f>
        <v/>
      </c>
      <c r="CE308" s="138" t="str">
        <f aca="false">IF($BX308&lt;&gt;Constants!$B$6,"",IF($BL308="-&gt;",$BT308,$BI308))</f>
        <v/>
      </c>
      <c r="CF308" s="135" t="str">
        <f aca="false">IF(ISBLANK($C308),"",IF($BX308&lt;&gt;Constants!$B$6,$BX308,IF(ISNUMBER($CE308),RANK($CE308,$CE$9:$CE$508,1),COUNT($CE$9:$CE$508)+1)))</f>
        <v/>
      </c>
      <c r="CG308" s="138" t="str">
        <f aca="false">IF($BX308&lt;&gt;Constants!$B$6,"",IF($BL308="-&gt;",$BU308,$BJ308))</f>
        <v/>
      </c>
      <c r="CH308" s="135" t="str">
        <f aca="false">IF(ISBLANK($C308),"",IF($BX308&lt;&gt;Constants!$B$6,$BX308,IF(ISNUMBER($CG308),RANK($CG308,$CG$9:$CG$508,1),COUNT($CG$9:$CG$508)+1)))</f>
        <v/>
      </c>
      <c r="CI308" s="138" t="str">
        <f aca="false">IF($BX308&lt;&gt;Constants!$B$6,"",IF($BL308="-&gt;",$BV308,$BK308))</f>
        <v/>
      </c>
      <c r="CJ308" s="135" t="str">
        <f aca="false">IF(ISBLANK($C308),"",IF($BX308&lt;&gt;Constants!$B$6,$BX308,IF(ISNUMBER($CI308),RANK($CI308,$CI$9:$CI$508,1),COUNT($CI$9:$CI$508)+1)))</f>
        <v/>
      </c>
      <c r="CK308" s="138" t="str">
        <f aca="false">IF($BX308&lt;&gt;Constants!$B$6,"",$AI308)</f>
        <v/>
      </c>
      <c r="CL308" s="135" t="str">
        <f aca="false">IF(ISBLANK($C308),"",IF($BX308&lt;&gt;Constants!$B$6,$BX308,IF(ISNUMBER($CK308),RANK($CK308,$CK$9:$CK$508,1),COUNT($CK$9:$CK$508)+1)))</f>
        <v/>
      </c>
      <c r="CM308" s="135" t="str">
        <f aca="false">IF(ISBLANK($C308),"",IF($BX308&lt;&gt;Constants!$B$6,$BX308,COUNTIFS($CD$9:$CD$508,"&lt;"&amp;$CD308)+COUNTIFS($CD$9:$CD$508,$CD308,$CF$9:$CF$508,"&lt;"&amp;$CF308)+COUNTIFS($CD$9:$CD$508,$CD308,$CF$9:$CF$508,$CF308,$CH$9:$CH$508,"&lt;"&amp;$CH308)+COUNTIFS($CD$9:$CD$508,$CD308,$CF$9:$CF$508,$CF308,$CH$9:$CH$508,$CH308,$CJ$9:$CJ$508,"&lt;"&amp;$CJ308)+COUNTIFS($CD$9:$CD$508,$CD308,$CF$9:$CF$508,$CF308,$CH$9:$CH$508,$CH308,$CJ$9:$CJ$508,$CJ308,$CL$9:$CL$508,"&lt;"&amp;$CL308)+1))</f>
        <v/>
      </c>
      <c r="CN308" s="135" t="str">
        <f aca="false">IF(ISBLANK($C308),"",IF($BX308&lt;&gt;Constants!$B$6,$BX308,$CD308-$CM308))</f>
        <v/>
      </c>
      <c r="CO308" s="141"/>
      <c r="CP308" s="142"/>
      <c r="CQ308" s="143" t="str">
        <f aca="false">IF(ISBLANK($C308),"",IF($BX308=Constants!$B$10,$BW308,""))</f>
        <v/>
      </c>
      <c r="CR308" s="142" t="str">
        <f aca="false">IF(ISBLANK($C308),"",IF($BX308&lt;&gt;Constants!$B$6,"",IF($BL308="-&gt;",2,1)))</f>
        <v/>
      </c>
      <c r="CS308" s="144" t="str">
        <f aca="false">IF(ISBLANK($C308),"",IF($BX308&lt;&gt;Constants!$B$6,"",IF($BL308="-&gt;",$BN308,$BC308)))</f>
        <v/>
      </c>
      <c r="CT308" s="144" t="str">
        <f aca="false">IF(ISBLANK($C308),"",IF($BX308&lt;&gt;Constants!$B$6,"",IF($BL308="-&gt;",$BO308,$BD308)))</f>
        <v/>
      </c>
      <c r="CU308" s="144" t="str">
        <f aca="false">IF(ISBLANK($C308),"",IF($BX308&lt;&gt;Constants!$B$6,"",IF($BL308="-&gt;",$BP308+$BQ308,$BE308+$BF308)+$CB308))</f>
        <v/>
      </c>
      <c r="CV308" s="144" t="str">
        <f aca="false">IF(ISBLANK($C308),"",IF($BX308&lt;&gt;Constants!$B$6,"",IF($BL308="-&gt;",$BR308,$BG308)+$CA308))</f>
        <v/>
      </c>
      <c r="CW308" s="145" t="str">
        <f aca="false">IF(ISBLANK($C308),"",IF($BX308&lt;&gt;Constants!$B$6,$BX308,$CC308))</f>
        <v/>
      </c>
      <c r="CX308" s="146" t="str">
        <f aca="false">IF(ISBLANK($C308),"",$BY308)</f>
        <v/>
      </c>
      <c r="CY308" s="147" t="str">
        <f aca="false">IF(ISBLANK($C308),"",$CN308)</f>
        <v/>
      </c>
      <c r="CZ308" s="147" t="str">
        <f aca="false">IF(ISBLANK($C308),"",$CM308)</f>
        <v/>
      </c>
      <c r="DA308" s="148" t="str">
        <f aca="false">IF(ISBLANK($C308),"",IFERROR(_xlfn.SWITCH($CZ308,Constants!$B$9,COUNTA($C$9:$C$508)+2,Constants!$B$8,COUNTA($C$9:$C$508)+1,Constants!$B$7,COUNTA($C$9:$C$508)),$CZ308))</f>
        <v/>
      </c>
      <c r="DB308" s="9"/>
      <c r="DC308" s="149" t="n">
        <f aca="false">IF(OR(ISNUMBER($CZ308),$CZ308=Constants!$B$9,$CZ308=Constants!$B$7,$CZ308=Constants!$B$8),1,0)</f>
        <v>0</v>
      </c>
      <c r="DD308" s="149" t="n">
        <v>300</v>
      </c>
      <c r="DE308" s="149" t="str">
        <f aca="false">IF(ISBLANK($C308),"",IF(ISNUMBER($DA308),$DA308+ROW($B308)/1000,""))</f>
        <v/>
      </c>
      <c r="DF308" s="149" t="str">
        <f aca="false">IF(ISNUMBER($DE308),RANK($DE308,$DE$9:$DE$508,1),"")</f>
        <v/>
      </c>
      <c r="DG308" s="149" t="str">
        <f aca="false">IF(ISBLANK($C308),"",$B308)</f>
        <v/>
      </c>
      <c r="DH308" s="149" t="str">
        <f aca="false">IF(ISBLANK($C308),"",$C308)</f>
        <v/>
      </c>
      <c r="DI308" s="149" t="str">
        <f aca="false">IF(ISBLANK($C308),"",$D308)</f>
        <v/>
      </c>
      <c r="DJ308" s="150" t="str">
        <f aca="false">$CX308</f>
        <v/>
      </c>
      <c r="DK308" s="151" t="str">
        <f aca="false">$CW308</f>
        <v/>
      </c>
      <c r="DL308" s="149" t="str">
        <f aca="false">IF(ISBLANK($C308),"",$CZ308)</f>
        <v/>
      </c>
      <c r="DM308" s="152" t="str">
        <f aca="false">IF($DD308&gt;$DC$8,"",VLOOKUP($DD308,$DF$9:$DL$508,7,FALSE()))</f>
        <v/>
      </c>
      <c r="DN308" s="153" t="str">
        <f aca="false">IF($DD308&gt;$DC$8,"",VLOOKUP($DD308,$DF$9:$DL$508,2,FALSE()))</f>
        <v/>
      </c>
      <c r="DO308" s="153" t="str">
        <f aca="false">IF($DD308&gt;$DC$8,"",VLOOKUP($DD308,$DF$9:$DL$508,3,FALSE()))</f>
        <v/>
      </c>
      <c r="DP308" s="153" t="str">
        <f aca="false">IF($DD308&gt;$DC$8,"",VLOOKUP($DD308,$DF$9:$DL$508,4,FALSE()))</f>
        <v/>
      </c>
      <c r="DQ308" s="153" t="str">
        <f aca="false">IF($DD308&gt;$DC$8,"",VLOOKUP($DD308,$DF$9:$DL$508,5,FALSE()))</f>
        <v/>
      </c>
      <c r="DR308" s="154" t="str">
        <f aca="false">IF($DD308&gt;$DC$8,"",VLOOKUP($DD308,$DF$9:$DL$508,6,FALSE()))</f>
        <v/>
      </c>
      <c r="DS308" s="76"/>
    </row>
    <row r="309" customFormat="false" ht="15.75" hidden="false" customHeight="false" outlineLevel="0" collapsed="false">
      <c r="A309" s="9"/>
      <c r="B309" s="78"/>
      <c r="C309" s="79"/>
      <c r="D309" s="170"/>
      <c r="E309" s="178"/>
      <c r="F309" s="172"/>
      <c r="G309" s="173"/>
      <c r="H309" s="173"/>
      <c r="I309" s="179"/>
      <c r="J309" s="176"/>
      <c r="K309" s="86"/>
      <c r="L309" s="87"/>
      <c r="M309" s="88"/>
      <c r="N309" s="176"/>
      <c r="O309" s="176"/>
      <c r="P309" s="178"/>
      <c r="Q309" s="176"/>
      <c r="R309" s="176"/>
      <c r="S309" s="86"/>
      <c r="T309" s="88"/>
      <c r="U309" s="88"/>
      <c r="V309" s="176"/>
      <c r="W309" s="176"/>
      <c r="X309" s="178"/>
      <c r="Y309" s="176"/>
      <c r="Z309" s="177"/>
      <c r="AA309" s="176"/>
      <c r="AB309" s="92"/>
      <c r="AC309" s="93"/>
      <c r="AD309" s="93"/>
      <c r="AE309" s="93"/>
      <c r="AF309" s="93" t="str">
        <f aca="false">IF(ISBLANK($C309),"",IF(E309=Constants!$B$2,TRUE(),IF(E309=Constants!$B$3,FALSE(),TRUE())))</f>
        <v/>
      </c>
      <c r="AG309" s="93" t="str">
        <f aca="false">IF(ISBLANK($C309),"",IF(F309=Constants!$B$2,TRUE(),IF(F309=Constants!$B$3,FALSE(),TRUE())))</f>
        <v/>
      </c>
      <c r="AH309" s="93" t="str">
        <f aca="false">IF(ISBLANK($C309),"",IF(G309=Constants!$B$2,TRUE(),IF(G309=Constants!$B$3,FALSE(),TRUE())))</f>
        <v/>
      </c>
      <c r="AI309" s="93" t="str">
        <f aca="false">IF(ISBLANK($C309),"",IF(AND(ISNUMBER(H309),H309&gt;=0),H309,Constants!$B$24))</f>
        <v/>
      </c>
      <c r="AJ309" s="93" t="str">
        <f aca="false">IF(ISBLANK($C309),"",IF(I309=Constants!$B$2,TRUE(),IF(I309=Constants!$B$3,FALSE(),TRUE())))</f>
        <v/>
      </c>
      <c r="AK309" s="93" t="str">
        <f aca="false">IF(ISBLANK($C309),"",IF(J309=Constants!$B$2,TRUE(),IF(J309=Constants!$B$3,FALSE(),TRUE())))</f>
        <v/>
      </c>
      <c r="AL309" s="93" t="str">
        <f aca="false">IF(ISBLANK($C309),"",IF(K309=Constants!$B$4,TRUE(),IF(K309=Constants!$B$5,FALSE(),COUNTA(L309:P309)&gt;0)))</f>
        <v/>
      </c>
      <c r="AM309" s="95" t="str">
        <f aca="false">IF(ISBLANK($C309),"",IF(ISNUMBER(L309),IF(L309&gt;=0,L309,""),""))</f>
        <v/>
      </c>
      <c r="AN309" s="94" t="str">
        <f aca="false">IF(ISBLANK($C309),"",IF(ISNUMBER(M309),IF(M309&gt;=0,M309,""),""))</f>
        <v/>
      </c>
      <c r="AO309" s="94" t="str">
        <f aca="false">IF(ISBLANK($C309),"",IF(N309=Constants!$B$2,TRUE(),IF(N309=Constants!$B$3,FALSE(),TRUE())))</f>
        <v/>
      </c>
      <c r="AP309" s="93" t="str">
        <f aca="false">IF(ISBLANK($C309),"",IF(ISNUMBER(O309),IF(O309&gt;=0,O309,""),""))</f>
        <v/>
      </c>
      <c r="AQ309" s="93" t="str">
        <f aca="false">IF(ISBLANK($C309),"",IF(P309=Constants!$B$2,TRUE(),IF(P309=Constants!$B$3,FALSE(),FALSE())))</f>
        <v/>
      </c>
      <c r="AR309" s="93" t="str">
        <f aca="false">IF(ISBLANK($C309),"",IF(Q309=Constants!$B$2,TRUE(),IF(Q309=Constants!$B$3,FALSE(),TRUE())))</f>
        <v/>
      </c>
      <c r="AS309" s="93" t="str">
        <f aca="false">IF(ISBLANK($C309),"",IF(R309=Constants!$B$2,TRUE(),IF(R309=Constants!$B$3,FALSE(),TRUE())))</f>
        <v/>
      </c>
      <c r="AT309" s="93" t="str">
        <f aca="false">IF(ISBLANK($C309),"",IF(S309=Constants!$B$4,TRUE(),IF(S309=Constants!$B$5,FALSE(),COUNTA(T309:X309)&gt;0)))</f>
        <v/>
      </c>
      <c r="AU309" s="95" t="str">
        <f aca="false">IF(ISBLANK($C309),"",IF(ISNUMBER(T309),IF(T309&gt;=0,T309,""),""))</f>
        <v/>
      </c>
      <c r="AV309" s="94" t="str">
        <f aca="false">IF(ISBLANK($C309),"",IF(ISNUMBER(U309),IF(U309&gt;=0,U309,""),""))</f>
        <v/>
      </c>
      <c r="AW309" s="94" t="str">
        <f aca="false">IF(ISBLANK($C309),"",IF(V309=Constants!$B$2,TRUE(),IF(V309=Constants!$B$3,FALSE(),TRUE())))</f>
        <v/>
      </c>
      <c r="AX309" s="93" t="str">
        <f aca="false">IF(ISBLANK($C309),"",IF(ISNUMBER(W309),IF(W309&gt;=0,W309,""),""))</f>
        <v/>
      </c>
      <c r="AY309" s="93" t="str">
        <f aca="false">IF(ISBLANK($C309),"",IF(X309=Constants!$B$2,TRUE(),IF(X309=Constants!$B$3,FALSE(),FALSE())))</f>
        <v/>
      </c>
      <c r="AZ309" s="93" t="str">
        <f aca="false">IF(ISBLANK($C309),"",MIN(Constants!$B$25,MAX(0,IF(ISNUMBER(Y309),Y309*60,0)+IF(ISNUMBER(Z309),Z309,0))))</f>
        <v/>
      </c>
      <c r="BA309" s="93" t="str">
        <f aca="false">IF(ISBLANK($C309),"",IF(AA309=Constants!$B$2,TRUE(),IF(AA309=Constants!$B$3,FALSE(),FALSE())))</f>
        <v/>
      </c>
      <c r="BB309" s="92" t="str">
        <f aca="false">IF(ISBLANK($C309),"",AND($AL309,OR($AM309="",$AN309="",AND($AO309,$AP309=""))))</f>
        <v/>
      </c>
      <c r="BC309" s="94" t="str">
        <f aca="false">IF($BX309&lt;&gt;Constants!$B$6,"",IF($AL309,Constants!$B$17*$AN309+Constants!$B$18*IF($AO309,$AP309,Constants!$B$19),Constants!$B$20))</f>
        <v/>
      </c>
      <c r="BD309" s="97" t="str">
        <f aca="false">IF($BX309&lt;&gt;Constants!$B$6,"",Constants!$B$21*ABS($AD$9-IF($AL309,$AM309,0)))</f>
        <v/>
      </c>
      <c r="BE309" s="97" t="str">
        <f aca="false">IF($BX309&lt;&gt;Constants!$B$6,"",IF(AND($AL309,$AQ309,$AO309),Constants!$B$22,0))</f>
        <v/>
      </c>
      <c r="BF309" s="97" t="str">
        <f aca="false">IF($BX309&lt;&gt;Constants!$B$6,"",IF($AL309,($AI309-Constants!$B$24)*Constants!$B$23,0))</f>
        <v/>
      </c>
      <c r="BG309" s="97" t="str">
        <f aca="false">IF($BX309&lt;&gt;Constants!$B$6,"",IF($AK309,0,Constants!$B$12)+IF($AJ309,0,Constants!$B$13)+IF($AH309,0,Constants!$B$14))</f>
        <v/>
      </c>
      <c r="BH309" s="98" t="str">
        <f aca="false">IF($BX309&lt;&gt;Constants!$B$6,"",Constants!$B$16+SUM($BC309:$BG309))</f>
        <v/>
      </c>
      <c r="BI309" s="97" t="str">
        <f aca="false">IF($BX309&lt;&gt;Constants!$B$6,"",$BC309)</f>
        <v/>
      </c>
      <c r="BJ309" s="97" t="str">
        <f aca="false">IF($BX309&lt;&gt;Constants!$B$6,"",$BD309)</f>
        <v/>
      </c>
      <c r="BK309" s="99" t="str">
        <f aca="false">IF($BX309&lt;&gt;Constants!$B$6,"",IF($AL309,$AN309,""))</f>
        <v/>
      </c>
      <c r="BL309" s="93" t="str">
        <f aca="false">IF($BX309&lt;&gt;Constants!$B$6,"",IF(OR($BS309&lt;$BH309,AND($BS309=$BH309,OR($BT309&lt;$BI309,AND($BT309=$BI309,OR($BU309&lt;$BJ309,AND($BU309=$BJ309,AND(ISNUMBER($BV309),OR(NOT(ISNUMBER($BK309)),$BV309&lt;$BK309)))))))),"-&gt;","&lt;-"))</f>
        <v/>
      </c>
      <c r="BM309" s="92" t="str">
        <f aca="false">IF(ISBLANK($C309),"",AND($AT309,OR($AU309="",$AV309="",AND($AW309,$AX309=""))))</f>
        <v/>
      </c>
      <c r="BN309" s="94" t="str">
        <f aca="false">IF($BX309&lt;&gt;Constants!$B$6,"",IF($AT309,Constants!$B$17*$AV309+Constants!$B$18*IF($AW309,$AX309,Constants!$B$19),Constants!$B$20))</f>
        <v/>
      </c>
      <c r="BO309" s="97" t="str">
        <f aca="false">IF($BX309&lt;&gt;Constants!$B$6,"",Constants!$B$21*ABS($AD$9-IF($AT309,$AU309,0)))</f>
        <v/>
      </c>
      <c r="BP309" s="97" t="str">
        <f aca="false">IF($BX309&lt;&gt;Constants!$B$6,"",IF(AND($AT309,$AY309,$AW309),Constants!$B$22,0))</f>
        <v/>
      </c>
      <c r="BQ309" s="97" t="str">
        <f aca="false">IF($BX309&lt;&gt;Constants!$B$6,"",IF($AT309,($AI309-Constants!$B$24)*Constants!$B$23,0))</f>
        <v/>
      </c>
      <c r="BR309" s="97" t="str">
        <f aca="false">IF($BX309&lt;&gt;Constants!$B$6,"",IF($AS309,0,Constants!$B$12)+IF($AR309,0,Constants!$B$13)+IF($AH309,0,Constants!$B$14))</f>
        <v/>
      </c>
      <c r="BS309" s="98" t="str">
        <f aca="false">IF($BX309&lt;&gt;Constants!$B$6,"",Constants!$B$16+SUM($BN309:$BR309))</f>
        <v/>
      </c>
      <c r="BT309" s="97" t="str">
        <f aca="false">IF($BX309&lt;&gt;Constants!$B$6,"",$BN309)</f>
        <v/>
      </c>
      <c r="BU309" s="97" t="str">
        <f aca="false">IF($BX309&lt;&gt;Constants!$B$6,"",$BO309)</f>
        <v/>
      </c>
      <c r="BV309" s="99" t="str">
        <f aca="false">IF($BX309&lt;&gt;Constants!$B$6,"",IF($AT309,$AV309,""))</f>
        <v/>
      </c>
      <c r="BW309" s="93" t="str">
        <f aca="false">IF(ISBLANK($C309),"",IF(ISBLANK($D$7),$BW$5,IF(NOT(ISNUMBER($D$7)),$BW$6,"")))</f>
        <v/>
      </c>
      <c r="BX309" s="93" t="str">
        <f aca="false">IF(ISBLANK($C309),"",IF($BA309,Constants!$B$9,IF(COUNTA($E309:$AA309)=0,Constants!$B$8,IF(NOT($AG309),Constants!$B$7,IF(OR($BW309&lt;&gt;"",$BB309,$BM309),Constants!$B$10,Constants!$B$6)))))</f>
        <v/>
      </c>
      <c r="BY309" s="93" t="str">
        <f aca="false">IF(ISBLANK($C309),"",IF($BX309&lt;&gt;Constants!$B$6,$BX309,Constants!$B$11))</f>
        <v/>
      </c>
      <c r="BZ309" s="97" t="str">
        <f aca="false">IF($BX309&lt;&gt;Constants!$B$6,"",IF($BL309="-&gt;",$BS309,$BH309))</f>
        <v/>
      </c>
      <c r="CA309" s="97" t="str">
        <f aca="false">IF($BX309&lt;&gt;Constants!$B$6,"",IF($AF309,0,Constants!$B$15))</f>
        <v/>
      </c>
      <c r="CB309" s="97" t="str">
        <f aca="false">IF($BX309&lt;&gt;Constants!$B$6,"",((Constants!$B$25-$AZ309)-Constants!$B$25)/Constants!$B$26)</f>
        <v/>
      </c>
      <c r="CC309" s="97" t="str">
        <f aca="false">IF(ISBLANK($C309),"",IF($BX309&lt;&gt;Constants!$B$6,$BX309,SUM($BZ309:$CB309)))</f>
        <v/>
      </c>
      <c r="CD309" s="93" t="str">
        <f aca="false">IF(ISBLANK($C309),"",IF($BX309&lt;&gt;Constants!$B$6,$BX309,RANK($CC309,$CC$9:$CC$508,1)))</f>
        <v/>
      </c>
      <c r="CE309" s="97" t="str">
        <f aca="false">IF($BX309&lt;&gt;Constants!$B$6,"",IF($BL309="-&gt;",$BT309,$BI309))</f>
        <v/>
      </c>
      <c r="CF309" s="93" t="str">
        <f aca="false">IF(ISBLANK($C309),"",IF($BX309&lt;&gt;Constants!$B$6,$BX309,IF(ISNUMBER($CE309),RANK($CE309,$CE$9:$CE$508,1),COUNT($CE$9:$CE$508)+1)))</f>
        <v/>
      </c>
      <c r="CG309" s="97" t="str">
        <f aca="false">IF($BX309&lt;&gt;Constants!$B$6,"",IF($BL309="-&gt;",$BU309,$BJ309))</f>
        <v/>
      </c>
      <c r="CH309" s="93" t="str">
        <f aca="false">IF(ISBLANK($C309),"",IF($BX309&lt;&gt;Constants!$B$6,$BX309,IF(ISNUMBER($CG309),RANK($CG309,$CG$9:$CG$508,1),COUNT($CG$9:$CG$508)+1)))</f>
        <v/>
      </c>
      <c r="CI309" s="97" t="str">
        <f aca="false">IF($BX309&lt;&gt;Constants!$B$6,"",IF($BL309="-&gt;",$BV309,$BK309))</f>
        <v/>
      </c>
      <c r="CJ309" s="93" t="str">
        <f aca="false">IF(ISBLANK($C309),"",IF($BX309&lt;&gt;Constants!$B$6,$BX309,IF(ISNUMBER($CI309),RANK($CI309,$CI$9:$CI$508,1),COUNT($CI$9:$CI$508)+1)))</f>
        <v/>
      </c>
      <c r="CK309" s="97" t="str">
        <f aca="false">IF($BX309&lt;&gt;Constants!$B$6,"",$AI309)</f>
        <v/>
      </c>
      <c r="CL309" s="93" t="str">
        <f aca="false">IF(ISBLANK($C309),"",IF($BX309&lt;&gt;Constants!$B$6,$BX309,IF(ISNUMBER($CK309),RANK($CK309,$CK$9:$CK$508,1),COUNT($CK$9:$CK$508)+1)))</f>
        <v/>
      </c>
      <c r="CM309" s="93" t="str">
        <f aca="false">IF(ISBLANK($C309),"",IF($BX309&lt;&gt;Constants!$B$6,$BX309,COUNTIFS($CD$9:$CD$508,"&lt;"&amp;$CD309)+COUNTIFS($CD$9:$CD$508,$CD309,$CF$9:$CF$508,"&lt;"&amp;$CF309)+COUNTIFS($CD$9:$CD$508,$CD309,$CF$9:$CF$508,$CF309,$CH$9:$CH$508,"&lt;"&amp;$CH309)+COUNTIFS($CD$9:$CD$508,$CD309,$CF$9:$CF$508,$CF309,$CH$9:$CH$508,$CH309,$CJ$9:$CJ$508,"&lt;"&amp;$CJ309)+COUNTIFS($CD$9:$CD$508,$CD309,$CF$9:$CF$508,$CF309,$CH$9:$CH$508,$CH309,$CJ$9:$CJ$508,$CJ309,$CL$9:$CL$508,"&lt;"&amp;$CL309)+1))</f>
        <v/>
      </c>
      <c r="CN309" s="93" t="str">
        <f aca="false">IF(ISBLANK($C309),"",IF($BX309&lt;&gt;Constants!$B$6,$BX309,$CD309-$CM309))</f>
        <v/>
      </c>
      <c r="CO309" s="100"/>
      <c r="CP309" s="101"/>
      <c r="CQ309" s="102" t="str">
        <f aca="false">IF(ISBLANK($C309),"",IF($BX309=Constants!$B$10,$BW309,""))</f>
        <v/>
      </c>
      <c r="CR309" s="101" t="str">
        <f aca="false">IF(ISBLANK($C309),"",IF($BX309&lt;&gt;Constants!$B$6,"",IF($BL309="-&gt;",2,1)))</f>
        <v/>
      </c>
      <c r="CS309" s="103" t="str">
        <f aca="false">IF(ISBLANK($C309),"",IF($BX309&lt;&gt;Constants!$B$6,"",IF($BL309="-&gt;",$BN309,$BC309)))</f>
        <v/>
      </c>
      <c r="CT309" s="103" t="str">
        <f aca="false">IF(ISBLANK($C309),"",IF($BX309&lt;&gt;Constants!$B$6,"",IF($BL309="-&gt;",$BO309,$BD309)))</f>
        <v/>
      </c>
      <c r="CU309" s="103" t="str">
        <f aca="false">IF(ISBLANK($C309),"",IF($BX309&lt;&gt;Constants!$B$6,"",IF($BL309="-&gt;",$BP309+$BQ309,$BE309+$BF309)+$CB309))</f>
        <v/>
      </c>
      <c r="CV309" s="103" t="str">
        <f aca="false">IF(ISBLANK($C309),"",IF($BX309&lt;&gt;Constants!$B$6,"",IF($BL309="-&gt;",$BR309,$BG309)+$CA309))</f>
        <v/>
      </c>
      <c r="CW309" s="104" t="str">
        <f aca="false">IF(ISBLANK($C309),"",IF($BX309&lt;&gt;Constants!$B$6,$BX309,$CC309))</f>
        <v/>
      </c>
      <c r="CX309" s="105" t="str">
        <f aca="false">IF(ISBLANK($C309),"",$BY309)</f>
        <v/>
      </c>
      <c r="CY309" s="106" t="str">
        <f aca="false">IF(ISBLANK($C309),"",$CN309)</f>
        <v/>
      </c>
      <c r="CZ309" s="106" t="str">
        <f aca="false">IF(ISBLANK($C309),"",$CM309)</f>
        <v/>
      </c>
      <c r="DA309" s="107" t="str">
        <f aca="false">IF(ISBLANK($C309),"",IFERROR(_xlfn.SWITCH($CZ309,Constants!$B$9,COUNTA($C$9:$C$508)+2,Constants!$B$8,COUNTA($C$9:$C$508)+1,Constants!$B$7,COUNTA($C$9:$C$508)),$CZ309))</f>
        <v/>
      </c>
      <c r="DB309" s="9"/>
      <c r="DC309" s="108" t="n">
        <f aca="false">IF(OR(ISNUMBER($CZ309),$CZ309=Constants!$B$9,$CZ309=Constants!$B$7,$CZ309=Constants!$B$8),1,0)</f>
        <v>0</v>
      </c>
      <c r="DD309" s="108" t="n">
        <v>301</v>
      </c>
      <c r="DE309" s="108" t="str">
        <f aca="false">IF(ISBLANK($C309),"",IF(ISNUMBER($DA309),$DA309+ROW($B309)/1000,""))</f>
        <v/>
      </c>
      <c r="DF309" s="108" t="str">
        <f aca="false">IF(ISNUMBER($DE309),RANK($DE309,$DE$9:$DE$508,1),"")</f>
        <v/>
      </c>
      <c r="DG309" s="108" t="str">
        <f aca="false">IF(ISBLANK($C309),"",$B309)</f>
        <v/>
      </c>
      <c r="DH309" s="108" t="str">
        <f aca="false">IF(ISBLANK($C309),"",$C309)</f>
        <v/>
      </c>
      <c r="DI309" s="108" t="str">
        <f aca="false">IF(ISBLANK($C309),"",$D309)</f>
        <v/>
      </c>
      <c r="DJ309" s="109" t="str">
        <f aca="false">$CX309</f>
        <v/>
      </c>
      <c r="DK309" s="110" t="str">
        <f aca="false">$CW309</f>
        <v/>
      </c>
      <c r="DL309" s="108" t="str">
        <f aca="false">IF(ISBLANK($C309),"",$CZ309)</f>
        <v/>
      </c>
      <c r="DM309" s="111" t="str">
        <f aca="false">IF($DD309&gt;$DC$8,"",VLOOKUP($DD309,$DF$9:$DL$508,7,FALSE()))</f>
        <v/>
      </c>
      <c r="DN309" s="112" t="str">
        <f aca="false">IF($DD309&gt;$DC$8,"",VLOOKUP($DD309,$DF$9:$DL$508,2,FALSE()))</f>
        <v/>
      </c>
      <c r="DO309" s="112" t="str">
        <f aca="false">IF($DD309&gt;$DC$8,"",VLOOKUP($DD309,$DF$9:$DL$508,3,FALSE()))</f>
        <v/>
      </c>
      <c r="DP309" s="112" t="str">
        <f aca="false">IF($DD309&gt;$DC$8,"",VLOOKUP($DD309,$DF$9:$DL$508,4,FALSE()))</f>
        <v/>
      </c>
      <c r="DQ309" s="112" t="str">
        <f aca="false">IF($DD309&gt;$DC$8,"",VLOOKUP($DD309,$DF$9:$DL$508,5,FALSE()))</f>
        <v/>
      </c>
      <c r="DR309" s="113" t="str">
        <f aca="false">IF($DD309&gt;$DC$8,"",VLOOKUP($DD309,$DF$9:$DL$508,6,FALSE()))</f>
        <v/>
      </c>
      <c r="DS309" s="76"/>
    </row>
    <row r="310" customFormat="false" ht="15.75" hidden="false" customHeight="false" outlineLevel="0" collapsed="false">
      <c r="A310" s="9"/>
      <c r="B310" s="78"/>
      <c r="C310" s="79"/>
      <c r="D310" s="170"/>
      <c r="E310" s="178"/>
      <c r="F310" s="172"/>
      <c r="G310" s="173"/>
      <c r="H310" s="173"/>
      <c r="I310" s="179"/>
      <c r="J310" s="176"/>
      <c r="K310" s="86"/>
      <c r="L310" s="87"/>
      <c r="M310" s="88"/>
      <c r="N310" s="176"/>
      <c r="O310" s="176"/>
      <c r="P310" s="178"/>
      <c r="Q310" s="176"/>
      <c r="R310" s="176"/>
      <c r="S310" s="86"/>
      <c r="T310" s="88"/>
      <c r="U310" s="88"/>
      <c r="V310" s="176"/>
      <c r="W310" s="176"/>
      <c r="X310" s="178"/>
      <c r="Y310" s="176"/>
      <c r="Z310" s="177"/>
      <c r="AA310" s="176"/>
      <c r="AB310" s="92"/>
      <c r="AC310" s="93"/>
      <c r="AD310" s="93"/>
      <c r="AE310" s="93"/>
      <c r="AF310" s="93" t="str">
        <f aca="false">IF(ISBLANK($C310),"",IF(E310=Constants!$B$2,TRUE(),IF(E310=Constants!$B$3,FALSE(),TRUE())))</f>
        <v/>
      </c>
      <c r="AG310" s="93" t="str">
        <f aca="false">IF(ISBLANK($C310),"",IF(F310=Constants!$B$2,TRUE(),IF(F310=Constants!$B$3,FALSE(),TRUE())))</f>
        <v/>
      </c>
      <c r="AH310" s="93" t="str">
        <f aca="false">IF(ISBLANK($C310),"",IF(G310=Constants!$B$2,TRUE(),IF(G310=Constants!$B$3,FALSE(),TRUE())))</f>
        <v/>
      </c>
      <c r="AI310" s="93" t="str">
        <f aca="false">IF(ISBLANK($C310),"",IF(AND(ISNUMBER(H310),H310&gt;=0),H310,Constants!$B$24))</f>
        <v/>
      </c>
      <c r="AJ310" s="93" t="str">
        <f aca="false">IF(ISBLANK($C310),"",IF(I310=Constants!$B$2,TRUE(),IF(I310=Constants!$B$3,FALSE(),TRUE())))</f>
        <v/>
      </c>
      <c r="AK310" s="93" t="str">
        <f aca="false">IF(ISBLANK($C310),"",IF(J310=Constants!$B$2,TRUE(),IF(J310=Constants!$B$3,FALSE(),TRUE())))</f>
        <v/>
      </c>
      <c r="AL310" s="93" t="str">
        <f aca="false">IF(ISBLANK($C310),"",IF(K310=Constants!$B$4,TRUE(),IF(K310=Constants!$B$5,FALSE(),COUNTA(L310:P310)&gt;0)))</f>
        <v/>
      </c>
      <c r="AM310" s="95" t="str">
        <f aca="false">IF(ISBLANK($C310),"",IF(ISNUMBER(L310),IF(L310&gt;=0,L310,""),""))</f>
        <v/>
      </c>
      <c r="AN310" s="94" t="str">
        <f aca="false">IF(ISBLANK($C310),"",IF(ISNUMBER(M310),IF(M310&gt;=0,M310,""),""))</f>
        <v/>
      </c>
      <c r="AO310" s="94" t="str">
        <f aca="false">IF(ISBLANK($C310),"",IF(N310=Constants!$B$2,TRUE(),IF(N310=Constants!$B$3,FALSE(),TRUE())))</f>
        <v/>
      </c>
      <c r="AP310" s="93" t="str">
        <f aca="false">IF(ISBLANK($C310),"",IF(ISNUMBER(O310),IF(O310&gt;=0,O310,""),""))</f>
        <v/>
      </c>
      <c r="AQ310" s="93" t="str">
        <f aca="false">IF(ISBLANK($C310),"",IF(P310=Constants!$B$2,TRUE(),IF(P310=Constants!$B$3,FALSE(),FALSE())))</f>
        <v/>
      </c>
      <c r="AR310" s="93" t="str">
        <f aca="false">IF(ISBLANK($C310),"",IF(Q310=Constants!$B$2,TRUE(),IF(Q310=Constants!$B$3,FALSE(),TRUE())))</f>
        <v/>
      </c>
      <c r="AS310" s="93" t="str">
        <f aca="false">IF(ISBLANK($C310),"",IF(R310=Constants!$B$2,TRUE(),IF(R310=Constants!$B$3,FALSE(),TRUE())))</f>
        <v/>
      </c>
      <c r="AT310" s="93" t="str">
        <f aca="false">IF(ISBLANK($C310),"",IF(S310=Constants!$B$4,TRUE(),IF(S310=Constants!$B$5,FALSE(),COUNTA(T310:X310)&gt;0)))</f>
        <v/>
      </c>
      <c r="AU310" s="95" t="str">
        <f aca="false">IF(ISBLANK($C310),"",IF(ISNUMBER(T310),IF(T310&gt;=0,T310,""),""))</f>
        <v/>
      </c>
      <c r="AV310" s="94" t="str">
        <f aca="false">IF(ISBLANK($C310),"",IF(ISNUMBER(U310),IF(U310&gt;=0,U310,""),""))</f>
        <v/>
      </c>
      <c r="AW310" s="94" t="str">
        <f aca="false">IF(ISBLANK($C310),"",IF(V310=Constants!$B$2,TRUE(),IF(V310=Constants!$B$3,FALSE(),TRUE())))</f>
        <v/>
      </c>
      <c r="AX310" s="93" t="str">
        <f aca="false">IF(ISBLANK($C310),"",IF(ISNUMBER(W310),IF(W310&gt;=0,W310,""),""))</f>
        <v/>
      </c>
      <c r="AY310" s="93" t="str">
        <f aca="false">IF(ISBLANK($C310),"",IF(X310=Constants!$B$2,TRUE(),IF(X310=Constants!$B$3,FALSE(),FALSE())))</f>
        <v/>
      </c>
      <c r="AZ310" s="93" t="str">
        <f aca="false">IF(ISBLANK($C310),"",MIN(Constants!$B$25,MAX(0,IF(ISNUMBER(Y310),Y310*60,0)+IF(ISNUMBER(Z310),Z310,0))))</f>
        <v/>
      </c>
      <c r="BA310" s="93" t="str">
        <f aca="false">IF(ISBLANK($C310),"",IF(AA310=Constants!$B$2,TRUE(),IF(AA310=Constants!$B$3,FALSE(),FALSE())))</f>
        <v/>
      </c>
      <c r="BB310" s="92" t="str">
        <f aca="false">IF(ISBLANK($C310),"",AND($AL310,OR($AM310="",$AN310="",AND($AO310,$AP310=""))))</f>
        <v/>
      </c>
      <c r="BC310" s="94" t="str">
        <f aca="false">IF($BX310&lt;&gt;Constants!$B$6,"",IF($AL310,Constants!$B$17*$AN310+Constants!$B$18*IF($AO310,$AP310,Constants!$B$19),Constants!$B$20))</f>
        <v/>
      </c>
      <c r="BD310" s="97" t="str">
        <f aca="false">IF($BX310&lt;&gt;Constants!$B$6,"",Constants!$B$21*ABS($AD$9-IF($AL310,$AM310,0)))</f>
        <v/>
      </c>
      <c r="BE310" s="97" t="str">
        <f aca="false">IF($BX310&lt;&gt;Constants!$B$6,"",IF(AND($AL310,$AQ310,$AO310),Constants!$B$22,0))</f>
        <v/>
      </c>
      <c r="BF310" s="97" t="str">
        <f aca="false">IF($BX310&lt;&gt;Constants!$B$6,"",IF($AL310,($AI310-Constants!$B$24)*Constants!$B$23,0))</f>
        <v/>
      </c>
      <c r="BG310" s="97" t="str">
        <f aca="false">IF($BX310&lt;&gt;Constants!$B$6,"",IF($AK310,0,Constants!$B$12)+IF($AJ310,0,Constants!$B$13)+IF($AH310,0,Constants!$B$14))</f>
        <v/>
      </c>
      <c r="BH310" s="98" t="str">
        <f aca="false">IF($BX310&lt;&gt;Constants!$B$6,"",Constants!$B$16+SUM($BC310:$BG310))</f>
        <v/>
      </c>
      <c r="BI310" s="97" t="str">
        <f aca="false">IF($BX310&lt;&gt;Constants!$B$6,"",$BC310)</f>
        <v/>
      </c>
      <c r="BJ310" s="97" t="str">
        <f aca="false">IF($BX310&lt;&gt;Constants!$B$6,"",$BD310)</f>
        <v/>
      </c>
      <c r="BK310" s="99" t="str">
        <f aca="false">IF($BX310&lt;&gt;Constants!$B$6,"",IF($AL310,$AN310,""))</f>
        <v/>
      </c>
      <c r="BL310" s="93" t="str">
        <f aca="false">IF($BX310&lt;&gt;Constants!$B$6,"",IF(OR($BS310&lt;$BH310,AND($BS310=$BH310,OR($BT310&lt;$BI310,AND($BT310=$BI310,OR($BU310&lt;$BJ310,AND($BU310=$BJ310,AND(ISNUMBER($BV310),OR(NOT(ISNUMBER($BK310)),$BV310&lt;$BK310)))))))),"-&gt;","&lt;-"))</f>
        <v/>
      </c>
      <c r="BM310" s="92" t="str">
        <f aca="false">IF(ISBLANK($C310),"",AND($AT310,OR($AU310="",$AV310="",AND($AW310,$AX310=""))))</f>
        <v/>
      </c>
      <c r="BN310" s="94" t="str">
        <f aca="false">IF($BX310&lt;&gt;Constants!$B$6,"",IF($AT310,Constants!$B$17*$AV310+Constants!$B$18*IF($AW310,$AX310,Constants!$B$19),Constants!$B$20))</f>
        <v/>
      </c>
      <c r="BO310" s="97" t="str">
        <f aca="false">IF($BX310&lt;&gt;Constants!$B$6,"",Constants!$B$21*ABS($AD$9-IF($AT310,$AU310,0)))</f>
        <v/>
      </c>
      <c r="BP310" s="97" t="str">
        <f aca="false">IF($BX310&lt;&gt;Constants!$B$6,"",IF(AND($AT310,$AY310,$AW310),Constants!$B$22,0))</f>
        <v/>
      </c>
      <c r="BQ310" s="97" t="str">
        <f aca="false">IF($BX310&lt;&gt;Constants!$B$6,"",IF($AT310,($AI310-Constants!$B$24)*Constants!$B$23,0))</f>
        <v/>
      </c>
      <c r="BR310" s="97" t="str">
        <f aca="false">IF($BX310&lt;&gt;Constants!$B$6,"",IF($AS310,0,Constants!$B$12)+IF($AR310,0,Constants!$B$13)+IF($AH310,0,Constants!$B$14))</f>
        <v/>
      </c>
      <c r="BS310" s="98" t="str">
        <f aca="false">IF($BX310&lt;&gt;Constants!$B$6,"",Constants!$B$16+SUM($BN310:$BR310))</f>
        <v/>
      </c>
      <c r="BT310" s="97" t="str">
        <f aca="false">IF($BX310&lt;&gt;Constants!$B$6,"",$BN310)</f>
        <v/>
      </c>
      <c r="BU310" s="97" t="str">
        <f aca="false">IF($BX310&lt;&gt;Constants!$B$6,"",$BO310)</f>
        <v/>
      </c>
      <c r="BV310" s="99" t="str">
        <f aca="false">IF($BX310&lt;&gt;Constants!$B$6,"",IF($AT310,$AV310,""))</f>
        <v/>
      </c>
      <c r="BW310" s="93" t="str">
        <f aca="false">IF(ISBLANK($C310),"",IF(ISBLANK($D$7),$BW$5,IF(NOT(ISNUMBER($D$7)),$BW$6,"")))</f>
        <v/>
      </c>
      <c r="BX310" s="93" t="str">
        <f aca="false">IF(ISBLANK($C310),"",IF($BA310,Constants!$B$9,IF(COUNTA($E310:$AA310)=0,Constants!$B$8,IF(NOT($AG310),Constants!$B$7,IF(OR($BW310&lt;&gt;"",$BB310,$BM310),Constants!$B$10,Constants!$B$6)))))</f>
        <v/>
      </c>
      <c r="BY310" s="93" t="str">
        <f aca="false">IF(ISBLANK($C310),"",IF($BX310&lt;&gt;Constants!$B$6,$BX310,Constants!$B$11))</f>
        <v/>
      </c>
      <c r="BZ310" s="97" t="str">
        <f aca="false">IF($BX310&lt;&gt;Constants!$B$6,"",IF($BL310="-&gt;",$BS310,$BH310))</f>
        <v/>
      </c>
      <c r="CA310" s="97" t="str">
        <f aca="false">IF($BX310&lt;&gt;Constants!$B$6,"",IF($AF310,0,Constants!$B$15))</f>
        <v/>
      </c>
      <c r="CB310" s="97" t="str">
        <f aca="false">IF($BX310&lt;&gt;Constants!$B$6,"",((Constants!$B$25-$AZ310)-Constants!$B$25)/Constants!$B$26)</f>
        <v/>
      </c>
      <c r="CC310" s="97" t="str">
        <f aca="false">IF(ISBLANK($C310),"",IF($BX310&lt;&gt;Constants!$B$6,$BX310,SUM($BZ310:$CB310)))</f>
        <v/>
      </c>
      <c r="CD310" s="93" t="str">
        <f aca="false">IF(ISBLANK($C310),"",IF($BX310&lt;&gt;Constants!$B$6,$BX310,RANK($CC310,$CC$9:$CC$508,1)))</f>
        <v/>
      </c>
      <c r="CE310" s="97" t="str">
        <f aca="false">IF($BX310&lt;&gt;Constants!$B$6,"",IF($BL310="-&gt;",$BT310,$BI310))</f>
        <v/>
      </c>
      <c r="CF310" s="93" t="str">
        <f aca="false">IF(ISBLANK($C310),"",IF($BX310&lt;&gt;Constants!$B$6,$BX310,IF(ISNUMBER($CE310),RANK($CE310,$CE$9:$CE$508,1),COUNT($CE$9:$CE$508)+1)))</f>
        <v/>
      </c>
      <c r="CG310" s="97" t="str">
        <f aca="false">IF($BX310&lt;&gt;Constants!$B$6,"",IF($BL310="-&gt;",$BU310,$BJ310))</f>
        <v/>
      </c>
      <c r="CH310" s="93" t="str">
        <f aca="false">IF(ISBLANK($C310),"",IF($BX310&lt;&gt;Constants!$B$6,$BX310,IF(ISNUMBER($CG310),RANK($CG310,$CG$9:$CG$508,1),COUNT($CG$9:$CG$508)+1)))</f>
        <v/>
      </c>
      <c r="CI310" s="97" t="str">
        <f aca="false">IF($BX310&lt;&gt;Constants!$B$6,"",IF($BL310="-&gt;",$BV310,$BK310))</f>
        <v/>
      </c>
      <c r="CJ310" s="93" t="str">
        <f aca="false">IF(ISBLANK($C310),"",IF($BX310&lt;&gt;Constants!$B$6,$BX310,IF(ISNUMBER($CI310),RANK($CI310,$CI$9:$CI$508,1),COUNT($CI$9:$CI$508)+1)))</f>
        <v/>
      </c>
      <c r="CK310" s="97" t="str">
        <f aca="false">IF($BX310&lt;&gt;Constants!$B$6,"",$AI310)</f>
        <v/>
      </c>
      <c r="CL310" s="93" t="str">
        <f aca="false">IF(ISBLANK($C310),"",IF($BX310&lt;&gt;Constants!$B$6,$BX310,IF(ISNUMBER($CK310),RANK($CK310,$CK$9:$CK$508,1),COUNT($CK$9:$CK$508)+1)))</f>
        <v/>
      </c>
      <c r="CM310" s="93" t="str">
        <f aca="false">IF(ISBLANK($C310),"",IF($BX310&lt;&gt;Constants!$B$6,$BX310,COUNTIFS($CD$9:$CD$508,"&lt;"&amp;$CD310)+COUNTIFS($CD$9:$CD$508,$CD310,$CF$9:$CF$508,"&lt;"&amp;$CF310)+COUNTIFS($CD$9:$CD$508,$CD310,$CF$9:$CF$508,$CF310,$CH$9:$CH$508,"&lt;"&amp;$CH310)+COUNTIFS($CD$9:$CD$508,$CD310,$CF$9:$CF$508,$CF310,$CH$9:$CH$508,$CH310,$CJ$9:$CJ$508,"&lt;"&amp;$CJ310)+COUNTIFS($CD$9:$CD$508,$CD310,$CF$9:$CF$508,$CF310,$CH$9:$CH$508,$CH310,$CJ$9:$CJ$508,$CJ310,$CL$9:$CL$508,"&lt;"&amp;$CL310)+1))</f>
        <v/>
      </c>
      <c r="CN310" s="93" t="str">
        <f aca="false">IF(ISBLANK($C310),"",IF($BX310&lt;&gt;Constants!$B$6,$BX310,$CD310-$CM310))</f>
        <v/>
      </c>
      <c r="CO310" s="100"/>
      <c r="CP310" s="101"/>
      <c r="CQ310" s="102" t="str">
        <f aca="false">IF(ISBLANK($C310),"",IF($BX310=Constants!$B$10,$BW310,""))</f>
        <v/>
      </c>
      <c r="CR310" s="101" t="str">
        <f aca="false">IF(ISBLANK($C310),"",IF($BX310&lt;&gt;Constants!$B$6,"",IF($BL310="-&gt;",2,1)))</f>
        <v/>
      </c>
      <c r="CS310" s="103" t="str">
        <f aca="false">IF(ISBLANK($C310),"",IF($BX310&lt;&gt;Constants!$B$6,"",IF($BL310="-&gt;",$BN310,$BC310)))</f>
        <v/>
      </c>
      <c r="CT310" s="103" t="str">
        <f aca="false">IF(ISBLANK($C310),"",IF($BX310&lt;&gt;Constants!$B$6,"",IF($BL310="-&gt;",$BO310,$BD310)))</f>
        <v/>
      </c>
      <c r="CU310" s="103" t="str">
        <f aca="false">IF(ISBLANK($C310),"",IF($BX310&lt;&gt;Constants!$B$6,"",IF($BL310="-&gt;",$BP310+$BQ310,$BE310+$BF310)+$CB310))</f>
        <v/>
      </c>
      <c r="CV310" s="103" t="str">
        <f aca="false">IF(ISBLANK($C310),"",IF($BX310&lt;&gt;Constants!$B$6,"",IF($BL310="-&gt;",$BR310,$BG310)+$CA310))</f>
        <v/>
      </c>
      <c r="CW310" s="104" t="str">
        <f aca="false">IF(ISBLANK($C310),"",IF($BX310&lt;&gt;Constants!$B$6,$BX310,$CC310))</f>
        <v/>
      </c>
      <c r="CX310" s="105" t="str">
        <f aca="false">IF(ISBLANK($C310),"",$BY310)</f>
        <v/>
      </c>
      <c r="CY310" s="106" t="str">
        <f aca="false">IF(ISBLANK($C310),"",$CN310)</f>
        <v/>
      </c>
      <c r="CZ310" s="106" t="str">
        <f aca="false">IF(ISBLANK($C310),"",$CM310)</f>
        <v/>
      </c>
      <c r="DA310" s="107" t="str">
        <f aca="false">IF(ISBLANK($C310),"",IFERROR(_xlfn.SWITCH($CZ310,Constants!$B$9,COUNTA($C$9:$C$508)+2,Constants!$B$8,COUNTA($C$9:$C$508)+1,Constants!$B$7,COUNTA($C$9:$C$508)),$CZ310))</f>
        <v/>
      </c>
      <c r="DB310" s="9"/>
      <c r="DC310" s="108" t="n">
        <f aca="false">IF(OR(ISNUMBER($CZ310),$CZ310=Constants!$B$9,$CZ310=Constants!$B$7,$CZ310=Constants!$B$8),1,0)</f>
        <v>0</v>
      </c>
      <c r="DD310" s="108" t="n">
        <v>302</v>
      </c>
      <c r="DE310" s="108" t="str">
        <f aca="false">IF(ISBLANK($C310),"",IF(ISNUMBER($DA310),$DA310+ROW($B310)/1000,""))</f>
        <v/>
      </c>
      <c r="DF310" s="108" t="str">
        <f aca="false">IF(ISNUMBER($DE310),RANK($DE310,$DE$9:$DE$508,1),"")</f>
        <v/>
      </c>
      <c r="DG310" s="108" t="str">
        <f aca="false">IF(ISBLANK($C310),"",$B310)</f>
        <v/>
      </c>
      <c r="DH310" s="108" t="str">
        <f aca="false">IF(ISBLANK($C310),"",$C310)</f>
        <v/>
      </c>
      <c r="DI310" s="108" t="str">
        <f aca="false">IF(ISBLANK($C310),"",$D310)</f>
        <v/>
      </c>
      <c r="DJ310" s="109" t="str">
        <f aca="false">$CX310</f>
        <v/>
      </c>
      <c r="DK310" s="110" t="str">
        <f aca="false">$CW310</f>
        <v/>
      </c>
      <c r="DL310" s="108" t="str">
        <f aca="false">IF(ISBLANK($C310),"",$CZ310)</f>
        <v/>
      </c>
      <c r="DM310" s="111" t="str">
        <f aca="false">IF($DD310&gt;$DC$8,"",VLOOKUP($DD310,$DF$9:$DL$508,7,FALSE()))</f>
        <v/>
      </c>
      <c r="DN310" s="112" t="str">
        <f aca="false">IF($DD310&gt;$DC$8,"",VLOOKUP($DD310,$DF$9:$DL$508,2,FALSE()))</f>
        <v/>
      </c>
      <c r="DO310" s="112" t="str">
        <f aca="false">IF($DD310&gt;$DC$8,"",VLOOKUP($DD310,$DF$9:$DL$508,3,FALSE()))</f>
        <v/>
      </c>
      <c r="DP310" s="112" t="str">
        <f aca="false">IF($DD310&gt;$DC$8,"",VLOOKUP($DD310,$DF$9:$DL$508,4,FALSE()))</f>
        <v/>
      </c>
      <c r="DQ310" s="112" t="str">
        <f aca="false">IF($DD310&gt;$DC$8,"",VLOOKUP($DD310,$DF$9:$DL$508,5,FALSE()))</f>
        <v/>
      </c>
      <c r="DR310" s="113" t="str">
        <f aca="false">IF($DD310&gt;$DC$8,"",VLOOKUP($DD310,$DF$9:$DL$508,6,FALSE()))</f>
        <v/>
      </c>
      <c r="DS310" s="76"/>
    </row>
    <row r="311" customFormat="false" ht="15.75" hidden="false" customHeight="false" outlineLevel="0" collapsed="false">
      <c r="A311" s="9"/>
      <c r="B311" s="78"/>
      <c r="C311" s="79"/>
      <c r="D311" s="170"/>
      <c r="E311" s="178"/>
      <c r="F311" s="172"/>
      <c r="G311" s="173"/>
      <c r="H311" s="173"/>
      <c r="I311" s="179"/>
      <c r="J311" s="176"/>
      <c r="K311" s="86"/>
      <c r="L311" s="87"/>
      <c r="M311" s="88"/>
      <c r="N311" s="176"/>
      <c r="O311" s="176"/>
      <c r="P311" s="178"/>
      <c r="Q311" s="176"/>
      <c r="R311" s="176"/>
      <c r="S311" s="86"/>
      <c r="T311" s="88"/>
      <c r="U311" s="88"/>
      <c r="V311" s="176"/>
      <c r="W311" s="176"/>
      <c r="X311" s="178"/>
      <c r="Y311" s="176"/>
      <c r="Z311" s="177"/>
      <c r="AA311" s="176"/>
      <c r="AB311" s="92"/>
      <c r="AC311" s="93"/>
      <c r="AD311" s="93"/>
      <c r="AE311" s="93"/>
      <c r="AF311" s="93" t="str">
        <f aca="false">IF(ISBLANK($C311),"",IF(E311=Constants!$B$2,TRUE(),IF(E311=Constants!$B$3,FALSE(),TRUE())))</f>
        <v/>
      </c>
      <c r="AG311" s="93" t="str">
        <f aca="false">IF(ISBLANK($C311),"",IF(F311=Constants!$B$2,TRUE(),IF(F311=Constants!$B$3,FALSE(),TRUE())))</f>
        <v/>
      </c>
      <c r="AH311" s="93" t="str">
        <f aca="false">IF(ISBLANK($C311),"",IF(G311=Constants!$B$2,TRUE(),IF(G311=Constants!$B$3,FALSE(),TRUE())))</f>
        <v/>
      </c>
      <c r="AI311" s="93" t="str">
        <f aca="false">IF(ISBLANK($C311),"",IF(AND(ISNUMBER(H311),H311&gt;=0),H311,Constants!$B$24))</f>
        <v/>
      </c>
      <c r="AJ311" s="93" t="str">
        <f aca="false">IF(ISBLANK($C311),"",IF(I311=Constants!$B$2,TRUE(),IF(I311=Constants!$B$3,FALSE(),TRUE())))</f>
        <v/>
      </c>
      <c r="AK311" s="93" t="str">
        <f aca="false">IF(ISBLANK($C311),"",IF(J311=Constants!$B$2,TRUE(),IF(J311=Constants!$B$3,FALSE(),TRUE())))</f>
        <v/>
      </c>
      <c r="AL311" s="93" t="str">
        <f aca="false">IF(ISBLANK($C311),"",IF(K311=Constants!$B$4,TRUE(),IF(K311=Constants!$B$5,FALSE(),COUNTA(L311:P311)&gt;0)))</f>
        <v/>
      </c>
      <c r="AM311" s="95" t="str">
        <f aca="false">IF(ISBLANK($C311),"",IF(ISNUMBER(L311),IF(L311&gt;=0,L311,""),""))</f>
        <v/>
      </c>
      <c r="AN311" s="94" t="str">
        <f aca="false">IF(ISBLANK($C311),"",IF(ISNUMBER(M311),IF(M311&gt;=0,M311,""),""))</f>
        <v/>
      </c>
      <c r="AO311" s="94" t="str">
        <f aca="false">IF(ISBLANK($C311),"",IF(N311=Constants!$B$2,TRUE(),IF(N311=Constants!$B$3,FALSE(),TRUE())))</f>
        <v/>
      </c>
      <c r="AP311" s="93" t="str">
        <f aca="false">IF(ISBLANK($C311),"",IF(ISNUMBER(O311),IF(O311&gt;=0,O311,""),""))</f>
        <v/>
      </c>
      <c r="AQ311" s="93" t="str">
        <f aca="false">IF(ISBLANK($C311),"",IF(P311=Constants!$B$2,TRUE(),IF(P311=Constants!$B$3,FALSE(),FALSE())))</f>
        <v/>
      </c>
      <c r="AR311" s="93" t="str">
        <f aca="false">IF(ISBLANK($C311),"",IF(Q311=Constants!$B$2,TRUE(),IF(Q311=Constants!$B$3,FALSE(),TRUE())))</f>
        <v/>
      </c>
      <c r="AS311" s="93" t="str">
        <f aca="false">IF(ISBLANK($C311),"",IF(R311=Constants!$B$2,TRUE(),IF(R311=Constants!$B$3,FALSE(),TRUE())))</f>
        <v/>
      </c>
      <c r="AT311" s="93" t="str">
        <f aca="false">IF(ISBLANK($C311),"",IF(S311=Constants!$B$4,TRUE(),IF(S311=Constants!$B$5,FALSE(),COUNTA(T311:X311)&gt;0)))</f>
        <v/>
      </c>
      <c r="AU311" s="95" t="str">
        <f aca="false">IF(ISBLANK($C311),"",IF(ISNUMBER(T311),IF(T311&gt;=0,T311,""),""))</f>
        <v/>
      </c>
      <c r="AV311" s="94" t="str">
        <f aca="false">IF(ISBLANK($C311),"",IF(ISNUMBER(U311),IF(U311&gt;=0,U311,""),""))</f>
        <v/>
      </c>
      <c r="AW311" s="94" t="str">
        <f aca="false">IF(ISBLANK($C311),"",IF(V311=Constants!$B$2,TRUE(),IF(V311=Constants!$B$3,FALSE(),TRUE())))</f>
        <v/>
      </c>
      <c r="AX311" s="93" t="str">
        <f aca="false">IF(ISBLANK($C311),"",IF(ISNUMBER(W311),IF(W311&gt;=0,W311,""),""))</f>
        <v/>
      </c>
      <c r="AY311" s="93" t="str">
        <f aca="false">IF(ISBLANK($C311),"",IF(X311=Constants!$B$2,TRUE(),IF(X311=Constants!$B$3,FALSE(),FALSE())))</f>
        <v/>
      </c>
      <c r="AZ311" s="93" t="str">
        <f aca="false">IF(ISBLANK($C311),"",MIN(Constants!$B$25,MAX(0,IF(ISNUMBER(Y311),Y311*60,0)+IF(ISNUMBER(Z311),Z311,0))))</f>
        <v/>
      </c>
      <c r="BA311" s="93" t="str">
        <f aca="false">IF(ISBLANK($C311),"",IF(AA311=Constants!$B$2,TRUE(),IF(AA311=Constants!$B$3,FALSE(),FALSE())))</f>
        <v/>
      </c>
      <c r="BB311" s="92" t="str">
        <f aca="false">IF(ISBLANK($C311),"",AND($AL311,OR($AM311="",$AN311="",AND($AO311,$AP311=""))))</f>
        <v/>
      </c>
      <c r="BC311" s="94" t="str">
        <f aca="false">IF($BX311&lt;&gt;Constants!$B$6,"",IF($AL311,Constants!$B$17*$AN311+Constants!$B$18*IF($AO311,$AP311,Constants!$B$19),Constants!$B$20))</f>
        <v/>
      </c>
      <c r="BD311" s="97" t="str">
        <f aca="false">IF($BX311&lt;&gt;Constants!$B$6,"",Constants!$B$21*ABS($AD$9-IF($AL311,$AM311,0)))</f>
        <v/>
      </c>
      <c r="BE311" s="97" t="str">
        <f aca="false">IF($BX311&lt;&gt;Constants!$B$6,"",IF(AND($AL311,$AQ311,$AO311),Constants!$B$22,0))</f>
        <v/>
      </c>
      <c r="BF311" s="97" t="str">
        <f aca="false">IF($BX311&lt;&gt;Constants!$B$6,"",IF($AL311,($AI311-Constants!$B$24)*Constants!$B$23,0))</f>
        <v/>
      </c>
      <c r="BG311" s="97" t="str">
        <f aca="false">IF($BX311&lt;&gt;Constants!$B$6,"",IF($AK311,0,Constants!$B$12)+IF($AJ311,0,Constants!$B$13)+IF($AH311,0,Constants!$B$14))</f>
        <v/>
      </c>
      <c r="BH311" s="98" t="str">
        <f aca="false">IF($BX311&lt;&gt;Constants!$B$6,"",Constants!$B$16+SUM($BC311:$BG311))</f>
        <v/>
      </c>
      <c r="BI311" s="97" t="str">
        <f aca="false">IF($BX311&lt;&gt;Constants!$B$6,"",$BC311)</f>
        <v/>
      </c>
      <c r="BJ311" s="97" t="str">
        <f aca="false">IF($BX311&lt;&gt;Constants!$B$6,"",$BD311)</f>
        <v/>
      </c>
      <c r="BK311" s="99" t="str">
        <f aca="false">IF($BX311&lt;&gt;Constants!$B$6,"",IF($AL311,$AN311,""))</f>
        <v/>
      </c>
      <c r="BL311" s="93" t="str">
        <f aca="false">IF($BX311&lt;&gt;Constants!$B$6,"",IF(OR($BS311&lt;$BH311,AND($BS311=$BH311,OR($BT311&lt;$BI311,AND($BT311=$BI311,OR($BU311&lt;$BJ311,AND($BU311=$BJ311,AND(ISNUMBER($BV311),OR(NOT(ISNUMBER($BK311)),$BV311&lt;$BK311)))))))),"-&gt;","&lt;-"))</f>
        <v/>
      </c>
      <c r="BM311" s="92" t="str">
        <f aca="false">IF(ISBLANK($C311),"",AND($AT311,OR($AU311="",$AV311="",AND($AW311,$AX311=""))))</f>
        <v/>
      </c>
      <c r="BN311" s="94" t="str">
        <f aca="false">IF($BX311&lt;&gt;Constants!$B$6,"",IF($AT311,Constants!$B$17*$AV311+Constants!$B$18*IF($AW311,$AX311,Constants!$B$19),Constants!$B$20))</f>
        <v/>
      </c>
      <c r="BO311" s="97" t="str">
        <f aca="false">IF($BX311&lt;&gt;Constants!$B$6,"",Constants!$B$21*ABS($AD$9-IF($AT311,$AU311,0)))</f>
        <v/>
      </c>
      <c r="BP311" s="97" t="str">
        <f aca="false">IF($BX311&lt;&gt;Constants!$B$6,"",IF(AND($AT311,$AY311,$AW311),Constants!$B$22,0))</f>
        <v/>
      </c>
      <c r="BQ311" s="97" t="str">
        <f aca="false">IF($BX311&lt;&gt;Constants!$B$6,"",IF($AT311,($AI311-Constants!$B$24)*Constants!$B$23,0))</f>
        <v/>
      </c>
      <c r="BR311" s="97" t="str">
        <f aca="false">IF($BX311&lt;&gt;Constants!$B$6,"",IF($AS311,0,Constants!$B$12)+IF($AR311,0,Constants!$B$13)+IF($AH311,0,Constants!$B$14))</f>
        <v/>
      </c>
      <c r="BS311" s="98" t="str">
        <f aca="false">IF($BX311&lt;&gt;Constants!$B$6,"",Constants!$B$16+SUM($BN311:$BR311))</f>
        <v/>
      </c>
      <c r="BT311" s="97" t="str">
        <f aca="false">IF($BX311&lt;&gt;Constants!$B$6,"",$BN311)</f>
        <v/>
      </c>
      <c r="BU311" s="97" t="str">
        <f aca="false">IF($BX311&lt;&gt;Constants!$B$6,"",$BO311)</f>
        <v/>
      </c>
      <c r="BV311" s="99" t="str">
        <f aca="false">IF($BX311&lt;&gt;Constants!$B$6,"",IF($AT311,$AV311,""))</f>
        <v/>
      </c>
      <c r="BW311" s="93" t="str">
        <f aca="false">IF(ISBLANK($C311),"",IF(ISBLANK($D$7),$BW$5,IF(NOT(ISNUMBER($D$7)),$BW$6,"")))</f>
        <v/>
      </c>
      <c r="BX311" s="93" t="str">
        <f aca="false">IF(ISBLANK($C311),"",IF($BA311,Constants!$B$9,IF(COUNTA($E311:$AA311)=0,Constants!$B$8,IF(NOT($AG311),Constants!$B$7,IF(OR($BW311&lt;&gt;"",$BB311,$BM311),Constants!$B$10,Constants!$B$6)))))</f>
        <v/>
      </c>
      <c r="BY311" s="93" t="str">
        <f aca="false">IF(ISBLANK($C311),"",IF($BX311&lt;&gt;Constants!$B$6,$BX311,Constants!$B$11))</f>
        <v/>
      </c>
      <c r="BZ311" s="97" t="str">
        <f aca="false">IF($BX311&lt;&gt;Constants!$B$6,"",IF($BL311="-&gt;",$BS311,$BH311))</f>
        <v/>
      </c>
      <c r="CA311" s="97" t="str">
        <f aca="false">IF($BX311&lt;&gt;Constants!$B$6,"",IF($AF311,0,Constants!$B$15))</f>
        <v/>
      </c>
      <c r="CB311" s="97" t="str">
        <f aca="false">IF($BX311&lt;&gt;Constants!$B$6,"",((Constants!$B$25-$AZ311)-Constants!$B$25)/Constants!$B$26)</f>
        <v/>
      </c>
      <c r="CC311" s="97" t="str">
        <f aca="false">IF(ISBLANK($C311),"",IF($BX311&lt;&gt;Constants!$B$6,$BX311,SUM($BZ311:$CB311)))</f>
        <v/>
      </c>
      <c r="CD311" s="93" t="str">
        <f aca="false">IF(ISBLANK($C311),"",IF($BX311&lt;&gt;Constants!$B$6,$BX311,RANK($CC311,$CC$9:$CC$508,1)))</f>
        <v/>
      </c>
      <c r="CE311" s="97" t="str">
        <f aca="false">IF($BX311&lt;&gt;Constants!$B$6,"",IF($BL311="-&gt;",$BT311,$BI311))</f>
        <v/>
      </c>
      <c r="CF311" s="93" t="str">
        <f aca="false">IF(ISBLANK($C311),"",IF($BX311&lt;&gt;Constants!$B$6,$BX311,IF(ISNUMBER($CE311),RANK($CE311,$CE$9:$CE$508,1),COUNT($CE$9:$CE$508)+1)))</f>
        <v/>
      </c>
      <c r="CG311" s="97" t="str">
        <f aca="false">IF($BX311&lt;&gt;Constants!$B$6,"",IF($BL311="-&gt;",$BU311,$BJ311))</f>
        <v/>
      </c>
      <c r="CH311" s="93" t="str">
        <f aca="false">IF(ISBLANK($C311),"",IF($BX311&lt;&gt;Constants!$B$6,$BX311,IF(ISNUMBER($CG311),RANK($CG311,$CG$9:$CG$508,1),COUNT($CG$9:$CG$508)+1)))</f>
        <v/>
      </c>
      <c r="CI311" s="97" t="str">
        <f aca="false">IF($BX311&lt;&gt;Constants!$B$6,"",IF($BL311="-&gt;",$BV311,$BK311))</f>
        <v/>
      </c>
      <c r="CJ311" s="93" t="str">
        <f aca="false">IF(ISBLANK($C311),"",IF($BX311&lt;&gt;Constants!$B$6,$BX311,IF(ISNUMBER($CI311),RANK($CI311,$CI$9:$CI$508,1),COUNT($CI$9:$CI$508)+1)))</f>
        <v/>
      </c>
      <c r="CK311" s="97" t="str">
        <f aca="false">IF($BX311&lt;&gt;Constants!$B$6,"",$AI311)</f>
        <v/>
      </c>
      <c r="CL311" s="93" t="str">
        <f aca="false">IF(ISBLANK($C311),"",IF($BX311&lt;&gt;Constants!$B$6,$BX311,IF(ISNUMBER($CK311),RANK($CK311,$CK$9:$CK$508,1),COUNT($CK$9:$CK$508)+1)))</f>
        <v/>
      </c>
      <c r="CM311" s="93" t="str">
        <f aca="false">IF(ISBLANK($C311),"",IF($BX311&lt;&gt;Constants!$B$6,$BX311,COUNTIFS($CD$9:$CD$508,"&lt;"&amp;$CD311)+COUNTIFS($CD$9:$CD$508,$CD311,$CF$9:$CF$508,"&lt;"&amp;$CF311)+COUNTIFS($CD$9:$CD$508,$CD311,$CF$9:$CF$508,$CF311,$CH$9:$CH$508,"&lt;"&amp;$CH311)+COUNTIFS($CD$9:$CD$508,$CD311,$CF$9:$CF$508,$CF311,$CH$9:$CH$508,$CH311,$CJ$9:$CJ$508,"&lt;"&amp;$CJ311)+COUNTIFS($CD$9:$CD$508,$CD311,$CF$9:$CF$508,$CF311,$CH$9:$CH$508,$CH311,$CJ$9:$CJ$508,$CJ311,$CL$9:$CL$508,"&lt;"&amp;$CL311)+1))</f>
        <v/>
      </c>
      <c r="CN311" s="93" t="str">
        <f aca="false">IF(ISBLANK($C311),"",IF($BX311&lt;&gt;Constants!$B$6,$BX311,$CD311-$CM311))</f>
        <v/>
      </c>
      <c r="CO311" s="100"/>
      <c r="CP311" s="101"/>
      <c r="CQ311" s="102" t="str">
        <f aca="false">IF(ISBLANK($C311),"",IF($BX311=Constants!$B$10,$BW311,""))</f>
        <v/>
      </c>
      <c r="CR311" s="101" t="str">
        <f aca="false">IF(ISBLANK($C311),"",IF($BX311&lt;&gt;Constants!$B$6,"",IF($BL311="-&gt;",2,1)))</f>
        <v/>
      </c>
      <c r="CS311" s="103" t="str">
        <f aca="false">IF(ISBLANK($C311),"",IF($BX311&lt;&gt;Constants!$B$6,"",IF($BL311="-&gt;",$BN311,$BC311)))</f>
        <v/>
      </c>
      <c r="CT311" s="103" t="str">
        <f aca="false">IF(ISBLANK($C311),"",IF($BX311&lt;&gt;Constants!$B$6,"",IF($BL311="-&gt;",$BO311,$BD311)))</f>
        <v/>
      </c>
      <c r="CU311" s="103" t="str">
        <f aca="false">IF(ISBLANK($C311),"",IF($BX311&lt;&gt;Constants!$B$6,"",IF($BL311="-&gt;",$BP311+$BQ311,$BE311+$BF311)+$CB311))</f>
        <v/>
      </c>
      <c r="CV311" s="103" t="str">
        <f aca="false">IF(ISBLANK($C311),"",IF($BX311&lt;&gt;Constants!$B$6,"",IF($BL311="-&gt;",$BR311,$BG311)+$CA311))</f>
        <v/>
      </c>
      <c r="CW311" s="104" t="str">
        <f aca="false">IF(ISBLANK($C311),"",IF($BX311&lt;&gt;Constants!$B$6,$BX311,$CC311))</f>
        <v/>
      </c>
      <c r="CX311" s="105" t="str">
        <f aca="false">IF(ISBLANK($C311),"",$BY311)</f>
        <v/>
      </c>
      <c r="CY311" s="106" t="str">
        <f aca="false">IF(ISBLANK($C311),"",$CN311)</f>
        <v/>
      </c>
      <c r="CZ311" s="106" t="str">
        <f aca="false">IF(ISBLANK($C311),"",$CM311)</f>
        <v/>
      </c>
      <c r="DA311" s="107" t="str">
        <f aca="false">IF(ISBLANK($C311),"",IFERROR(_xlfn.SWITCH($CZ311,Constants!$B$9,COUNTA($C$9:$C$508)+2,Constants!$B$8,COUNTA($C$9:$C$508)+1,Constants!$B$7,COUNTA($C$9:$C$508)),$CZ311))</f>
        <v/>
      </c>
      <c r="DB311" s="9"/>
      <c r="DC311" s="108" t="n">
        <f aca="false">IF(OR(ISNUMBER($CZ311),$CZ311=Constants!$B$9,$CZ311=Constants!$B$7,$CZ311=Constants!$B$8),1,0)</f>
        <v>0</v>
      </c>
      <c r="DD311" s="108" t="n">
        <v>303</v>
      </c>
      <c r="DE311" s="108" t="str">
        <f aca="false">IF(ISBLANK($C311),"",IF(ISNUMBER($DA311),$DA311+ROW($B311)/1000,""))</f>
        <v/>
      </c>
      <c r="DF311" s="108" t="str">
        <f aca="false">IF(ISNUMBER($DE311),RANK($DE311,$DE$9:$DE$508,1),"")</f>
        <v/>
      </c>
      <c r="DG311" s="108" t="str">
        <f aca="false">IF(ISBLANK($C311),"",$B311)</f>
        <v/>
      </c>
      <c r="DH311" s="108" t="str">
        <f aca="false">IF(ISBLANK($C311),"",$C311)</f>
        <v/>
      </c>
      <c r="DI311" s="108" t="str">
        <f aca="false">IF(ISBLANK($C311),"",$D311)</f>
        <v/>
      </c>
      <c r="DJ311" s="109" t="str">
        <f aca="false">$CX311</f>
        <v/>
      </c>
      <c r="DK311" s="110" t="str">
        <f aca="false">$CW311</f>
        <v/>
      </c>
      <c r="DL311" s="108" t="str">
        <f aca="false">IF(ISBLANK($C311),"",$CZ311)</f>
        <v/>
      </c>
      <c r="DM311" s="111" t="str">
        <f aca="false">IF($DD311&gt;$DC$8,"",VLOOKUP($DD311,$DF$9:$DL$508,7,FALSE()))</f>
        <v/>
      </c>
      <c r="DN311" s="112" t="str">
        <f aca="false">IF($DD311&gt;$DC$8,"",VLOOKUP($DD311,$DF$9:$DL$508,2,FALSE()))</f>
        <v/>
      </c>
      <c r="DO311" s="112" t="str">
        <f aca="false">IF($DD311&gt;$DC$8,"",VLOOKUP($DD311,$DF$9:$DL$508,3,FALSE()))</f>
        <v/>
      </c>
      <c r="DP311" s="112" t="str">
        <f aca="false">IF($DD311&gt;$DC$8,"",VLOOKUP($DD311,$DF$9:$DL$508,4,FALSE()))</f>
        <v/>
      </c>
      <c r="DQ311" s="112" t="str">
        <f aca="false">IF($DD311&gt;$DC$8,"",VLOOKUP($DD311,$DF$9:$DL$508,5,FALSE()))</f>
        <v/>
      </c>
      <c r="DR311" s="113" t="str">
        <f aca="false">IF($DD311&gt;$DC$8,"",VLOOKUP($DD311,$DF$9:$DL$508,6,FALSE()))</f>
        <v/>
      </c>
      <c r="DS311" s="76"/>
    </row>
    <row r="312" customFormat="false" ht="15.75" hidden="false" customHeight="false" outlineLevel="0" collapsed="false">
      <c r="A312" s="9"/>
      <c r="B312" s="160"/>
      <c r="C312" s="161"/>
      <c r="D312" s="162"/>
      <c r="E312" s="180"/>
      <c r="F312" s="164"/>
      <c r="G312" s="165"/>
      <c r="H312" s="165"/>
      <c r="I312" s="181"/>
      <c r="J312" s="168"/>
      <c r="K312" s="128"/>
      <c r="L312" s="129"/>
      <c r="M312" s="130"/>
      <c r="N312" s="168"/>
      <c r="O312" s="168"/>
      <c r="P312" s="180"/>
      <c r="Q312" s="168"/>
      <c r="R312" s="168"/>
      <c r="S312" s="128"/>
      <c r="T312" s="130"/>
      <c r="U312" s="130"/>
      <c r="V312" s="168"/>
      <c r="W312" s="168"/>
      <c r="X312" s="180"/>
      <c r="Y312" s="168"/>
      <c r="Z312" s="169"/>
      <c r="AA312" s="168"/>
      <c r="AB312" s="134"/>
      <c r="AC312" s="135"/>
      <c r="AD312" s="135"/>
      <c r="AE312" s="135"/>
      <c r="AF312" s="135" t="str">
        <f aca="false">IF(ISBLANK($C312),"",IF(E312=Constants!$B$2,TRUE(),IF(E312=Constants!$B$3,FALSE(),TRUE())))</f>
        <v/>
      </c>
      <c r="AG312" s="135" t="str">
        <f aca="false">IF(ISBLANK($C312),"",IF(F312=Constants!$B$2,TRUE(),IF(F312=Constants!$B$3,FALSE(),TRUE())))</f>
        <v/>
      </c>
      <c r="AH312" s="135" t="str">
        <f aca="false">IF(ISBLANK($C312),"",IF(G312=Constants!$B$2,TRUE(),IF(G312=Constants!$B$3,FALSE(),TRUE())))</f>
        <v/>
      </c>
      <c r="AI312" s="135" t="str">
        <f aca="false">IF(ISBLANK($C312),"",IF(AND(ISNUMBER(H312),H312&gt;=0),H312,Constants!$B$24))</f>
        <v/>
      </c>
      <c r="AJ312" s="135" t="str">
        <f aca="false">IF(ISBLANK($C312),"",IF(I312=Constants!$B$2,TRUE(),IF(I312=Constants!$B$3,FALSE(),TRUE())))</f>
        <v/>
      </c>
      <c r="AK312" s="135" t="str">
        <f aca="false">IF(ISBLANK($C312),"",IF(J312=Constants!$B$2,TRUE(),IF(J312=Constants!$B$3,FALSE(),TRUE())))</f>
        <v/>
      </c>
      <c r="AL312" s="135" t="str">
        <f aca="false">IF(ISBLANK($C312),"",IF(K312=Constants!$B$4,TRUE(),IF(K312=Constants!$B$5,FALSE(),COUNTA(L312:P312)&gt;0)))</f>
        <v/>
      </c>
      <c r="AM312" s="136" t="str">
        <f aca="false">IF(ISBLANK($C312),"",IF(ISNUMBER(L312),IF(L312&gt;=0,L312,""),""))</f>
        <v/>
      </c>
      <c r="AN312" s="137" t="str">
        <f aca="false">IF(ISBLANK($C312),"",IF(ISNUMBER(M312),IF(M312&gt;=0,M312,""),""))</f>
        <v/>
      </c>
      <c r="AO312" s="137" t="str">
        <f aca="false">IF(ISBLANK($C312),"",IF(N312=Constants!$B$2,TRUE(),IF(N312=Constants!$B$3,FALSE(),TRUE())))</f>
        <v/>
      </c>
      <c r="AP312" s="135" t="str">
        <f aca="false">IF(ISBLANK($C312),"",IF(ISNUMBER(O312),IF(O312&gt;=0,O312,""),""))</f>
        <v/>
      </c>
      <c r="AQ312" s="135" t="str">
        <f aca="false">IF(ISBLANK($C312),"",IF(P312=Constants!$B$2,TRUE(),IF(P312=Constants!$B$3,FALSE(),FALSE())))</f>
        <v/>
      </c>
      <c r="AR312" s="135" t="str">
        <f aca="false">IF(ISBLANK($C312),"",IF(Q312=Constants!$B$2,TRUE(),IF(Q312=Constants!$B$3,FALSE(),TRUE())))</f>
        <v/>
      </c>
      <c r="AS312" s="135" t="str">
        <f aca="false">IF(ISBLANK($C312),"",IF(R312=Constants!$B$2,TRUE(),IF(R312=Constants!$B$3,FALSE(),TRUE())))</f>
        <v/>
      </c>
      <c r="AT312" s="135" t="str">
        <f aca="false">IF(ISBLANK($C312),"",IF(S312=Constants!$B$4,TRUE(),IF(S312=Constants!$B$5,FALSE(),COUNTA(T312:X312)&gt;0)))</f>
        <v/>
      </c>
      <c r="AU312" s="136" t="str">
        <f aca="false">IF(ISBLANK($C312),"",IF(ISNUMBER(T312),IF(T312&gt;=0,T312,""),""))</f>
        <v/>
      </c>
      <c r="AV312" s="137" t="str">
        <f aca="false">IF(ISBLANK($C312),"",IF(ISNUMBER(U312),IF(U312&gt;=0,U312,""),""))</f>
        <v/>
      </c>
      <c r="AW312" s="137" t="str">
        <f aca="false">IF(ISBLANK($C312),"",IF(V312=Constants!$B$2,TRUE(),IF(V312=Constants!$B$3,FALSE(),TRUE())))</f>
        <v/>
      </c>
      <c r="AX312" s="135" t="str">
        <f aca="false">IF(ISBLANK($C312),"",IF(ISNUMBER(W312),IF(W312&gt;=0,W312,""),""))</f>
        <v/>
      </c>
      <c r="AY312" s="135" t="str">
        <f aca="false">IF(ISBLANK($C312),"",IF(X312=Constants!$B$2,TRUE(),IF(X312=Constants!$B$3,FALSE(),FALSE())))</f>
        <v/>
      </c>
      <c r="AZ312" s="135" t="str">
        <f aca="false">IF(ISBLANK($C312),"",MIN(Constants!$B$25,MAX(0,IF(ISNUMBER(Y312),Y312*60,0)+IF(ISNUMBER(Z312),Z312,0))))</f>
        <v/>
      </c>
      <c r="BA312" s="135" t="str">
        <f aca="false">IF(ISBLANK($C312),"",IF(AA312=Constants!$B$2,TRUE(),IF(AA312=Constants!$B$3,FALSE(),FALSE())))</f>
        <v/>
      </c>
      <c r="BB312" s="134" t="str">
        <f aca="false">IF(ISBLANK($C312),"",AND($AL312,OR($AM312="",$AN312="",AND($AO312,$AP312=""))))</f>
        <v/>
      </c>
      <c r="BC312" s="137" t="str">
        <f aca="false">IF($BX312&lt;&gt;Constants!$B$6,"",IF($AL312,Constants!$B$17*$AN312+Constants!$B$18*IF($AO312,$AP312,Constants!$B$19),Constants!$B$20))</f>
        <v/>
      </c>
      <c r="BD312" s="138" t="str">
        <f aca="false">IF($BX312&lt;&gt;Constants!$B$6,"",Constants!$B$21*ABS($AD$9-IF($AL312,$AM312,0)))</f>
        <v/>
      </c>
      <c r="BE312" s="138" t="str">
        <f aca="false">IF($BX312&lt;&gt;Constants!$B$6,"",IF(AND($AL312,$AQ312,$AO312),Constants!$B$22,0))</f>
        <v/>
      </c>
      <c r="BF312" s="138" t="str">
        <f aca="false">IF($BX312&lt;&gt;Constants!$B$6,"",IF($AL312,($AI312-Constants!$B$24)*Constants!$B$23,0))</f>
        <v/>
      </c>
      <c r="BG312" s="138" t="str">
        <f aca="false">IF($BX312&lt;&gt;Constants!$B$6,"",IF($AK312,0,Constants!$B$12)+IF($AJ312,0,Constants!$B$13)+IF($AH312,0,Constants!$B$14))</f>
        <v/>
      </c>
      <c r="BH312" s="139" t="str">
        <f aca="false">IF($BX312&lt;&gt;Constants!$B$6,"",Constants!$B$16+SUM($BC312:$BG312))</f>
        <v/>
      </c>
      <c r="BI312" s="138" t="str">
        <f aca="false">IF($BX312&lt;&gt;Constants!$B$6,"",$BC312)</f>
        <v/>
      </c>
      <c r="BJ312" s="138" t="str">
        <f aca="false">IF($BX312&lt;&gt;Constants!$B$6,"",$BD312)</f>
        <v/>
      </c>
      <c r="BK312" s="140" t="str">
        <f aca="false">IF($BX312&lt;&gt;Constants!$B$6,"",IF($AL312,$AN312,""))</f>
        <v/>
      </c>
      <c r="BL312" s="135" t="str">
        <f aca="false">IF($BX312&lt;&gt;Constants!$B$6,"",IF(OR($BS312&lt;$BH312,AND($BS312=$BH312,OR($BT312&lt;$BI312,AND($BT312=$BI312,OR($BU312&lt;$BJ312,AND($BU312=$BJ312,AND(ISNUMBER($BV312),OR(NOT(ISNUMBER($BK312)),$BV312&lt;$BK312)))))))),"-&gt;","&lt;-"))</f>
        <v/>
      </c>
      <c r="BM312" s="134" t="str">
        <f aca="false">IF(ISBLANK($C312),"",AND($AT312,OR($AU312="",$AV312="",AND($AW312,$AX312=""))))</f>
        <v/>
      </c>
      <c r="BN312" s="137" t="str">
        <f aca="false">IF($BX312&lt;&gt;Constants!$B$6,"",IF($AT312,Constants!$B$17*$AV312+Constants!$B$18*IF($AW312,$AX312,Constants!$B$19),Constants!$B$20))</f>
        <v/>
      </c>
      <c r="BO312" s="138" t="str">
        <f aca="false">IF($BX312&lt;&gt;Constants!$B$6,"",Constants!$B$21*ABS($AD$9-IF($AT312,$AU312,0)))</f>
        <v/>
      </c>
      <c r="BP312" s="138" t="str">
        <f aca="false">IF($BX312&lt;&gt;Constants!$B$6,"",IF(AND($AT312,$AY312,$AW312),Constants!$B$22,0))</f>
        <v/>
      </c>
      <c r="BQ312" s="138" t="str">
        <f aca="false">IF($BX312&lt;&gt;Constants!$B$6,"",IF($AT312,($AI312-Constants!$B$24)*Constants!$B$23,0))</f>
        <v/>
      </c>
      <c r="BR312" s="138" t="str">
        <f aca="false">IF($BX312&lt;&gt;Constants!$B$6,"",IF($AS312,0,Constants!$B$12)+IF($AR312,0,Constants!$B$13)+IF($AH312,0,Constants!$B$14))</f>
        <v/>
      </c>
      <c r="BS312" s="139" t="str">
        <f aca="false">IF($BX312&lt;&gt;Constants!$B$6,"",Constants!$B$16+SUM($BN312:$BR312))</f>
        <v/>
      </c>
      <c r="BT312" s="138" t="str">
        <f aca="false">IF($BX312&lt;&gt;Constants!$B$6,"",$BN312)</f>
        <v/>
      </c>
      <c r="BU312" s="138" t="str">
        <f aca="false">IF($BX312&lt;&gt;Constants!$B$6,"",$BO312)</f>
        <v/>
      </c>
      <c r="BV312" s="140" t="str">
        <f aca="false">IF($BX312&lt;&gt;Constants!$B$6,"",IF($AT312,$AV312,""))</f>
        <v/>
      </c>
      <c r="BW312" s="135" t="str">
        <f aca="false">IF(ISBLANK($C312),"",IF(ISBLANK($D$7),$BW$5,IF(NOT(ISNUMBER($D$7)),$BW$6,"")))</f>
        <v/>
      </c>
      <c r="BX312" s="135" t="str">
        <f aca="false">IF(ISBLANK($C312),"",IF($BA312,Constants!$B$9,IF(COUNTA($E312:$AA312)=0,Constants!$B$8,IF(NOT($AG312),Constants!$B$7,IF(OR($BW312&lt;&gt;"",$BB312,$BM312),Constants!$B$10,Constants!$B$6)))))</f>
        <v/>
      </c>
      <c r="BY312" s="135" t="str">
        <f aca="false">IF(ISBLANK($C312),"",IF($BX312&lt;&gt;Constants!$B$6,$BX312,Constants!$B$11))</f>
        <v/>
      </c>
      <c r="BZ312" s="138" t="str">
        <f aca="false">IF($BX312&lt;&gt;Constants!$B$6,"",IF($BL312="-&gt;",$BS312,$BH312))</f>
        <v/>
      </c>
      <c r="CA312" s="138" t="str">
        <f aca="false">IF($BX312&lt;&gt;Constants!$B$6,"",IF($AF312,0,Constants!$B$15))</f>
        <v/>
      </c>
      <c r="CB312" s="138" t="str">
        <f aca="false">IF($BX312&lt;&gt;Constants!$B$6,"",((Constants!$B$25-$AZ312)-Constants!$B$25)/Constants!$B$26)</f>
        <v/>
      </c>
      <c r="CC312" s="138" t="str">
        <f aca="false">IF(ISBLANK($C312),"",IF($BX312&lt;&gt;Constants!$B$6,$BX312,SUM($BZ312:$CB312)))</f>
        <v/>
      </c>
      <c r="CD312" s="135" t="str">
        <f aca="false">IF(ISBLANK($C312),"",IF($BX312&lt;&gt;Constants!$B$6,$BX312,RANK($CC312,$CC$9:$CC$508,1)))</f>
        <v/>
      </c>
      <c r="CE312" s="138" t="str">
        <f aca="false">IF($BX312&lt;&gt;Constants!$B$6,"",IF($BL312="-&gt;",$BT312,$BI312))</f>
        <v/>
      </c>
      <c r="CF312" s="135" t="str">
        <f aca="false">IF(ISBLANK($C312),"",IF($BX312&lt;&gt;Constants!$B$6,$BX312,IF(ISNUMBER($CE312),RANK($CE312,$CE$9:$CE$508,1),COUNT($CE$9:$CE$508)+1)))</f>
        <v/>
      </c>
      <c r="CG312" s="138" t="str">
        <f aca="false">IF($BX312&lt;&gt;Constants!$B$6,"",IF($BL312="-&gt;",$BU312,$BJ312))</f>
        <v/>
      </c>
      <c r="CH312" s="135" t="str">
        <f aca="false">IF(ISBLANK($C312),"",IF($BX312&lt;&gt;Constants!$B$6,$BX312,IF(ISNUMBER($CG312),RANK($CG312,$CG$9:$CG$508,1),COUNT($CG$9:$CG$508)+1)))</f>
        <v/>
      </c>
      <c r="CI312" s="138" t="str">
        <f aca="false">IF($BX312&lt;&gt;Constants!$B$6,"",IF($BL312="-&gt;",$BV312,$BK312))</f>
        <v/>
      </c>
      <c r="CJ312" s="135" t="str">
        <f aca="false">IF(ISBLANK($C312),"",IF($BX312&lt;&gt;Constants!$B$6,$BX312,IF(ISNUMBER($CI312),RANK($CI312,$CI$9:$CI$508,1),COUNT($CI$9:$CI$508)+1)))</f>
        <v/>
      </c>
      <c r="CK312" s="138" t="str">
        <f aca="false">IF($BX312&lt;&gt;Constants!$B$6,"",$AI312)</f>
        <v/>
      </c>
      <c r="CL312" s="135" t="str">
        <f aca="false">IF(ISBLANK($C312),"",IF($BX312&lt;&gt;Constants!$B$6,$BX312,IF(ISNUMBER($CK312),RANK($CK312,$CK$9:$CK$508,1),COUNT($CK$9:$CK$508)+1)))</f>
        <v/>
      </c>
      <c r="CM312" s="135" t="str">
        <f aca="false">IF(ISBLANK($C312),"",IF($BX312&lt;&gt;Constants!$B$6,$BX312,COUNTIFS($CD$9:$CD$508,"&lt;"&amp;$CD312)+COUNTIFS($CD$9:$CD$508,$CD312,$CF$9:$CF$508,"&lt;"&amp;$CF312)+COUNTIFS($CD$9:$CD$508,$CD312,$CF$9:$CF$508,$CF312,$CH$9:$CH$508,"&lt;"&amp;$CH312)+COUNTIFS($CD$9:$CD$508,$CD312,$CF$9:$CF$508,$CF312,$CH$9:$CH$508,$CH312,$CJ$9:$CJ$508,"&lt;"&amp;$CJ312)+COUNTIFS($CD$9:$CD$508,$CD312,$CF$9:$CF$508,$CF312,$CH$9:$CH$508,$CH312,$CJ$9:$CJ$508,$CJ312,$CL$9:$CL$508,"&lt;"&amp;$CL312)+1))</f>
        <v/>
      </c>
      <c r="CN312" s="135" t="str">
        <f aca="false">IF(ISBLANK($C312),"",IF($BX312&lt;&gt;Constants!$B$6,$BX312,$CD312-$CM312))</f>
        <v/>
      </c>
      <c r="CO312" s="141"/>
      <c r="CP312" s="142"/>
      <c r="CQ312" s="143" t="str">
        <f aca="false">IF(ISBLANK($C312),"",IF($BX312=Constants!$B$10,$BW312,""))</f>
        <v/>
      </c>
      <c r="CR312" s="142" t="str">
        <f aca="false">IF(ISBLANK($C312),"",IF($BX312&lt;&gt;Constants!$B$6,"",IF($BL312="-&gt;",2,1)))</f>
        <v/>
      </c>
      <c r="CS312" s="144" t="str">
        <f aca="false">IF(ISBLANK($C312),"",IF($BX312&lt;&gt;Constants!$B$6,"",IF($BL312="-&gt;",$BN312,$BC312)))</f>
        <v/>
      </c>
      <c r="CT312" s="144" t="str">
        <f aca="false">IF(ISBLANK($C312),"",IF($BX312&lt;&gt;Constants!$B$6,"",IF($BL312="-&gt;",$BO312,$BD312)))</f>
        <v/>
      </c>
      <c r="CU312" s="144" t="str">
        <f aca="false">IF(ISBLANK($C312),"",IF($BX312&lt;&gt;Constants!$B$6,"",IF($BL312="-&gt;",$BP312+$BQ312,$BE312+$BF312)+$CB312))</f>
        <v/>
      </c>
      <c r="CV312" s="144" t="str">
        <f aca="false">IF(ISBLANK($C312),"",IF($BX312&lt;&gt;Constants!$B$6,"",IF($BL312="-&gt;",$BR312,$BG312)+$CA312))</f>
        <v/>
      </c>
      <c r="CW312" s="145" t="str">
        <f aca="false">IF(ISBLANK($C312),"",IF($BX312&lt;&gt;Constants!$B$6,$BX312,$CC312))</f>
        <v/>
      </c>
      <c r="CX312" s="146" t="str">
        <f aca="false">IF(ISBLANK($C312),"",$BY312)</f>
        <v/>
      </c>
      <c r="CY312" s="147" t="str">
        <f aca="false">IF(ISBLANK($C312),"",$CN312)</f>
        <v/>
      </c>
      <c r="CZ312" s="147" t="str">
        <f aca="false">IF(ISBLANK($C312),"",$CM312)</f>
        <v/>
      </c>
      <c r="DA312" s="148" t="str">
        <f aca="false">IF(ISBLANK($C312),"",IFERROR(_xlfn.SWITCH($CZ312,Constants!$B$9,COUNTA($C$9:$C$508)+2,Constants!$B$8,COUNTA($C$9:$C$508)+1,Constants!$B$7,COUNTA($C$9:$C$508)),$CZ312))</f>
        <v/>
      </c>
      <c r="DB312" s="9"/>
      <c r="DC312" s="149" t="n">
        <f aca="false">IF(OR(ISNUMBER($CZ312),$CZ312=Constants!$B$9,$CZ312=Constants!$B$7,$CZ312=Constants!$B$8),1,0)</f>
        <v>0</v>
      </c>
      <c r="DD312" s="149" t="n">
        <v>304</v>
      </c>
      <c r="DE312" s="149" t="str">
        <f aca="false">IF(ISBLANK($C312),"",IF(ISNUMBER($DA312),$DA312+ROW($B312)/1000,""))</f>
        <v/>
      </c>
      <c r="DF312" s="149" t="str">
        <f aca="false">IF(ISNUMBER($DE312),RANK($DE312,$DE$9:$DE$508,1),"")</f>
        <v/>
      </c>
      <c r="DG312" s="149" t="str">
        <f aca="false">IF(ISBLANK($C312),"",$B312)</f>
        <v/>
      </c>
      <c r="DH312" s="149" t="str">
        <f aca="false">IF(ISBLANK($C312),"",$C312)</f>
        <v/>
      </c>
      <c r="DI312" s="149" t="str">
        <f aca="false">IF(ISBLANK($C312),"",$D312)</f>
        <v/>
      </c>
      <c r="DJ312" s="150" t="str">
        <f aca="false">$CX312</f>
        <v/>
      </c>
      <c r="DK312" s="151" t="str">
        <f aca="false">$CW312</f>
        <v/>
      </c>
      <c r="DL312" s="149" t="str">
        <f aca="false">IF(ISBLANK($C312),"",$CZ312)</f>
        <v/>
      </c>
      <c r="DM312" s="152" t="str">
        <f aca="false">IF($DD312&gt;$DC$8,"",VLOOKUP($DD312,$DF$9:$DL$508,7,FALSE()))</f>
        <v/>
      </c>
      <c r="DN312" s="153" t="str">
        <f aca="false">IF($DD312&gt;$DC$8,"",VLOOKUP($DD312,$DF$9:$DL$508,2,FALSE()))</f>
        <v/>
      </c>
      <c r="DO312" s="153" t="str">
        <f aca="false">IF($DD312&gt;$DC$8,"",VLOOKUP($DD312,$DF$9:$DL$508,3,FALSE()))</f>
        <v/>
      </c>
      <c r="DP312" s="153" t="str">
        <f aca="false">IF($DD312&gt;$DC$8,"",VLOOKUP($DD312,$DF$9:$DL$508,4,FALSE()))</f>
        <v/>
      </c>
      <c r="DQ312" s="153" t="str">
        <f aca="false">IF($DD312&gt;$DC$8,"",VLOOKUP($DD312,$DF$9:$DL$508,5,FALSE()))</f>
        <v/>
      </c>
      <c r="DR312" s="154" t="str">
        <f aca="false">IF($DD312&gt;$DC$8,"",VLOOKUP($DD312,$DF$9:$DL$508,6,FALSE()))</f>
        <v/>
      </c>
      <c r="DS312" s="76"/>
    </row>
    <row r="313" customFormat="false" ht="15.75" hidden="false" customHeight="false" outlineLevel="0" collapsed="false">
      <c r="A313" s="9"/>
      <c r="B313" s="160"/>
      <c r="C313" s="161"/>
      <c r="D313" s="162"/>
      <c r="E313" s="180"/>
      <c r="F313" s="164"/>
      <c r="G313" s="165"/>
      <c r="H313" s="165"/>
      <c r="I313" s="181"/>
      <c r="J313" s="168"/>
      <c r="K313" s="128"/>
      <c r="L313" s="129"/>
      <c r="M313" s="130"/>
      <c r="N313" s="168"/>
      <c r="O313" s="168"/>
      <c r="P313" s="180"/>
      <c r="Q313" s="168"/>
      <c r="R313" s="168"/>
      <c r="S313" s="128"/>
      <c r="T313" s="130"/>
      <c r="U313" s="130"/>
      <c r="V313" s="168"/>
      <c r="W313" s="168"/>
      <c r="X313" s="180"/>
      <c r="Y313" s="168"/>
      <c r="Z313" s="169"/>
      <c r="AA313" s="168"/>
      <c r="AB313" s="134"/>
      <c r="AC313" s="135"/>
      <c r="AD313" s="135"/>
      <c r="AE313" s="135"/>
      <c r="AF313" s="135" t="str">
        <f aca="false">IF(ISBLANK($C313),"",IF(E313=Constants!$B$2,TRUE(),IF(E313=Constants!$B$3,FALSE(),TRUE())))</f>
        <v/>
      </c>
      <c r="AG313" s="135" t="str">
        <f aca="false">IF(ISBLANK($C313),"",IF(F313=Constants!$B$2,TRUE(),IF(F313=Constants!$B$3,FALSE(),TRUE())))</f>
        <v/>
      </c>
      <c r="AH313" s="135" t="str">
        <f aca="false">IF(ISBLANK($C313),"",IF(G313=Constants!$B$2,TRUE(),IF(G313=Constants!$B$3,FALSE(),TRUE())))</f>
        <v/>
      </c>
      <c r="AI313" s="135" t="str">
        <f aca="false">IF(ISBLANK($C313),"",IF(AND(ISNUMBER(H313),H313&gt;=0),H313,Constants!$B$24))</f>
        <v/>
      </c>
      <c r="AJ313" s="135" t="str">
        <f aca="false">IF(ISBLANK($C313),"",IF(I313=Constants!$B$2,TRUE(),IF(I313=Constants!$B$3,FALSE(),TRUE())))</f>
        <v/>
      </c>
      <c r="AK313" s="135" t="str">
        <f aca="false">IF(ISBLANK($C313),"",IF(J313=Constants!$B$2,TRUE(),IF(J313=Constants!$B$3,FALSE(),TRUE())))</f>
        <v/>
      </c>
      <c r="AL313" s="135" t="str">
        <f aca="false">IF(ISBLANK($C313),"",IF(K313=Constants!$B$4,TRUE(),IF(K313=Constants!$B$5,FALSE(),COUNTA(L313:P313)&gt;0)))</f>
        <v/>
      </c>
      <c r="AM313" s="136" t="str">
        <f aca="false">IF(ISBLANK($C313),"",IF(ISNUMBER(L313),IF(L313&gt;=0,L313,""),""))</f>
        <v/>
      </c>
      <c r="AN313" s="137" t="str">
        <f aca="false">IF(ISBLANK($C313),"",IF(ISNUMBER(M313),IF(M313&gt;=0,M313,""),""))</f>
        <v/>
      </c>
      <c r="AO313" s="137" t="str">
        <f aca="false">IF(ISBLANK($C313),"",IF(N313=Constants!$B$2,TRUE(),IF(N313=Constants!$B$3,FALSE(),TRUE())))</f>
        <v/>
      </c>
      <c r="AP313" s="135" t="str">
        <f aca="false">IF(ISBLANK($C313),"",IF(ISNUMBER(O313),IF(O313&gt;=0,O313,""),""))</f>
        <v/>
      </c>
      <c r="AQ313" s="135" t="str">
        <f aca="false">IF(ISBLANK($C313),"",IF(P313=Constants!$B$2,TRUE(),IF(P313=Constants!$B$3,FALSE(),FALSE())))</f>
        <v/>
      </c>
      <c r="AR313" s="135" t="str">
        <f aca="false">IF(ISBLANK($C313),"",IF(Q313=Constants!$B$2,TRUE(),IF(Q313=Constants!$B$3,FALSE(),TRUE())))</f>
        <v/>
      </c>
      <c r="AS313" s="135" t="str">
        <f aca="false">IF(ISBLANK($C313),"",IF(R313=Constants!$B$2,TRUE(),IF(R313=Constants!$B$3,FALSE(),TRUE())))</f>
        <v/>
      </c>
      <c r="AT313" s="135" t="str">
        <f aca="false">IF(ISBLANK($C313),"",IF(S313=Constants!$B$4,TRUE(),IF(S313=Constants!$B$5,FALSE(),COUNTA(T313:X313)&gt;0)))</f>
        <v/>
      </c>
      <c r="AU313" s="136" t="str">
        <f aca="false">IF(ISBLANK($C313),"",IF(ISNUMBER(T313),IF(T313&gt;=0,T313,""),""))</f>
        <v/>
      </c>
      <c r="AV313" s="137" t="str">
        <f aca="false">IF(ISBLANK($C313),"",IF(ISNUMBER(U313),IF(U313&gt;=0,U313,""),""))</f>
        <v/>
      </c>
      <c r="AW313" s="137" t="str">
        <f aca="false">IF(ISBLANK($C313),"",IF(V313=Constants!$B$2,TRUE(),IF(V313=Constants!$B$3,FALSE(),TRUE())))</f>
        <v/>
      </c>
      <c r="AX313" s="135" t="str">
        <f aca="false">IF(ISBLANK($C313),"",IF(ISNUMBER(W313),IF(W313&gt;=0,W313,""),""))</f>
        <v/>
      </c>
      <c r="AY313" s="135" t="str">
        <f aca="false">IF(ISBLANK($C313),"",IF(X313=Constants!$B$2,TRUE(),IF(X313=Constants!$B$3,FALSE(),FALSE())))</f>
        <v/>
      </c>
      <c r="AZ313" s="135" t="str">
        <f aca="false">IF(ISBLANK($C313),"",MIN(Constants!$B$25,MAX(0,IF(ISNUMBER(Y313),Y313*60,0)+IF(ISNUMBER(Z313),Z313,0))))</f>
        <v/>
      </c>
      <c r="BA313" s="135" t="str">
        <f aca="false">IF(ISBLANK($C313),"",IF(AA313=Constants!$B$2,TRUE(),IF(AA313=Constants!$B$3,FALSE(),FALSE())))</f>
        <v/>
      </c>
      <c r="BB313" s="134" t="str">
        <f aca="false">IF(ISBLANK($C313),"",AND($AL313,OR($AM313="",$AN313="",AND($AO313,$AP313=""))))</f>
        <v/>
      </c>
      <c r="BC313" s="137" t="str">
        <f aca="false">IF($BX313&lt;&gt;Constants!$B$6,"",IF($AL313,Constants!$B$17*$AN313+Constants!$B$18*IF($AO313,$AP313,Constants!$B$19),Constants!$B$20))</f>
        <v/>
      </c>
      <c r="BD313" s="138" t="str">
        <f aca="false">IF($BX313&lt;&gt;Constants!$B$6,"",Constants!$B$21*ABS($AD$9-IF($AL313,$AM313,0)))</f>
        <v/>
      </c>
      <c r="BE313" s="138" t="str">
        <f aca="false">IF($BX313&lt;&gt;Constants!$B$6,"",IF(AND($AL313,$AQ313,$AO313),Constants!$B$22,0))</f>
        <v/>
      </c>
      <c r="BF313" s="138" t="str">
        <f aca="false">IF($BX313&lt;&gt;Constants!$B$6,"",IF($AL313,($AI313-Constants!$B$24)*Constants!$B$23,0))</f>
        <v/>
      </c>
      <c r="BG313" s="138" t="str">
        <f aca="false">IF($BX313&lt;&gt;Constants!$B$6,"",IF($AK313,0,Constants!$B$12)+IF($AJ313,0,Constants!$B$13)+IF($AH313,0,Constants!$B$14))</f>
        <v/>
      </c>
      <c r="BH313" s="139" t="str">
        <f aca="false">IF($BX313&lt;&gt;Constants!$B$6,"",Constants!$B$16+SUM($BC313:$BG313))</f>
        <v/>
      </c>
      <c r="BI313" s="138" t="str">
        <f aca="false">IF($BX313&lt;&gt;Constants!$B$6,"",$BC313)</f>
        <v/>
      </c>
      <c r="BJ313" s="138" t="str">
        <f aca="false">IF($BX313&lt;&gt;Constants!$B$6,"",$BD313)</f>
        <v/>
      </c>
      <c r="BK313" s="140" t="str">
        <f aca="false">IF($BX313&lt;&gt;Constants!$B$6,"",IF($AL313,$AN313,""))</f>
        <v/>
      </c>
      <c r="BL313" s="135" t="str">
        <f aca="false">IF($BX313&lt;&gt;Constants!$B$6,"",IF(OR($BS313&lt;$BH313,AND($BS313=$BH313,OR($BT313&lt;$BI313,AND($BT313=$BI313,OR($BU313&lt;$BJ313,AND($BU313=$BJ313,AND(ISNUMBER($BV313),OR(NOT(ISNUMBER($BK313)),$BV313&lt;$BK313)))))))),"-&gt;","&lt;-"))</f>
        <v/>
      </c>
      <c r="BM313" s="134" t="str">
        <f aca="false">IF(ISBLANK($C313),"",AND($AT313,OR($AU313="",$AV313="",AND($AW313,$AX313=""))))</f>
        <v/>
      </c>
      <c r="BN313" s="137" t="str">
        <f aca="false">IF($BX313&lt;&gt;Constants!$B$6,"",IF($AT313,Constants!$B$17*$AV313+Constants!$B$18*IF($AW313,$AX313,Constants!$B$19),Constants!$B$20))</f>
        <v/>
      </c>
      <c r="BO313" s="138" t="str">
        <f aca="false">IF($BX313&lt;&gt;Constants!$B$6,"",Constants!$B$21*ABS($AD$9-IF($AT313,$AU313,0)))</f>
        <v/>
      </c>
      <c r="BP313" s="138" t="str">
        <f aca="false">IF($BX313&lt;&gt;Constants!$B$6,"",IF(AND($AT313,$AY313,$AW313),Constants!$B$22,0))</f>
        <v/>
      </c>
      <c r="BQ313" s="138" t="str">
        <f aca="false">IF($BX313&lt;&gt;Constants!$B$6,"",IF($AT313,($AI313-Constants!$B$24)*Constants!$B$23,0))</f>
        <v/>
      </c>
      <c r="BR313" s="138" t="str">
        <f aca="false">IF($BX313&lt;&gt;Constants!$B$6,"",IF($AS313,0,Constants!$B$12)+IF($AR313,0,Constants!$B$13)+IF($AH313,0,Constants!$B$14))</f>
        <v/>
      </c>
      <c r="BS313" s="139" t="str">
        <f aca="false">IF($BX313&lt;&gt;Constants!$B$6,"",Constants!$B$16+SUM($BN313:$BR313))</f>
        <v/>
      </c>
      <c r="BT313" s="138" t="str">
        <f aca="false">IF($BX313&lt;&gt;Constants!$B$6,"",$BN313)</f>
        <v/>
      </c>
      <c r="BU313" s="138" t="str">
        <f aca="false">IF($BX313&lt;&gt;Constants!$B$6,"",$BO313)</f>
        <v/>
      </c>
      <c r="BV313" s="140" t="str">
        <f aca="false">IF($BX313&lt;&gt;Constants!$B$6,"",IF($AT313,$AV313,""))</f>
        <v/>
      </c>
      <c r="BW313" s="135" t="str">
        <f aca="false">IF(ISBLANK($C313),"",IF(ISBLANK($D$7),$BW$5,IF(NOT(ISNUMBER($D$7)),$BW$6,"")))</f>
        <v/>
      </c>
      <c r="BX313" s="135" t="str">
        <f aca="false">IF(ISBLANK($C313),"",IF($BA313,Constants!$B$9,IF(COUNTA($E313:$AA313)=0,Constants!$B$8,IF(NOT($AG313),Constants!$B$7,IF(OR($BW313&lt;&gt;"",$BB313,$BM313),Constants!$B$10,Constants!$B$6)))))</f>
        <v/>
      </c>
      <c r="BY313" s="135" t="str">
        <f aca="false">IF(ISBLANK($C313),"",IF($BX313&lt;&gt;Constants!$B$6,$BX313,Constants!$B$11))</f>
        <v/>
      </c>
      <c r="BZ313" s="138" t="str">
        <f aca="false">IF($BX313&lt;&gt;Constants!$B$6,"",IF($BL313="-&gt;",$BS313,$BH313))</f>
        <v/>
      </c>
      <c r="CA313" s="138" t="str">
        <f aca="false">IF($BX313&lt;&gt;Constants!$B$6,"",IF($AF313,0,Constants!$B$15))</f>
        <v/>
      </c>
      <c r="CB313" s="138" t="str">
        <f aca="false">IF($BX313&lt;&gt;Constants!$B$6,"",((Constants!$B$25-$AZ313)-Constants!$B$25)/Constants!$B$26)</f>
        <v/>
      </c>
      <c r="CC313" s="138" t="str">
        <f aca="false">IF(ISBLANK($C313),"",IF($BX313&lt;&gt;Constants!$B$6,$BX313,SUM($BZ313:$CB313)))</f>
        <v/>
      </c>
      <c r="CD313" s="135" t="str">
        <f aca="false">IF(ISBLANK($C313),"",IF($BX313&lt;&gt;Constants!$B$6,$BX313,RANK($CC313,$CC$9:$CC$508,1)))</f>
        <v/>
      </c>
      <c r="CE313" s="138" t="str">
        <f aca="false">IF($BX313&lt;&gt;Constants!$B$6,"",IF($BL313="-&gt;",$BT313,$BI313))</f>
        <v/>
      </c>
      <c r="CF313" s="135" t="str">
        <f aca="false">IF(ISBLANK($C313),"",IF($BX313&lt;&gt;Constants!$B$6,$BX313,IF(ISNUMBER($CE313),RANK($CE313,$CE$9:$CE$508,1),COUNT($CE$9:$CE$508)+1)))</f>
        <v/>
      </c>
      <c r="CG313" s="138" t="str">
        <f aca="false">IF($BX313&lt;&gt;Constants!$B$6,"",IF($BL313="-&gt;",$BU313,$BJ313))</f>
        <v/>
      </c>
      <c r="CH313" s="135" t="str">
        <f aca="false">IF(ISBLANK($C313),"",IF($BX313&lt;&gt;Constants!$B$6,$BX313,IF(ISNUMBER($CG313),RANK($CG313,$CG$9:$CG$508,1),COUNT($CG$9:$CG$508)+1)))</f>
        <v/>
      </c>
      <c r="CI313" s="138" t="str">
        <f aca="false">IF($BX313&lt;&gt;Constants!$B$6,"",IF($BL313="-&gt;",$BV313,$BK313))</f>
        <v/>
      </c>
      <c r="CJ313" s="135" t="str">
        <f aca="false">IF(ISBLANK($C313),"",IF($BX313&lt;&gt;Constants!$B$6,$BX313,IF(ISNUMBER($CI313),RANK($CI313,$CI$9:$CI$508,1),COUNT($CI$9:$CI$508)+1)))</f>
        <v/>
      </c>
      <c r="CK313" s="138" t="str">
        <f aca="false">IF($BX313&lt;&gt;Constants!$B$6,"",$AI313)</f>
        <v/>
      </c>
      <c r="CL313" s="135" t="str">
        <f aca="false">IF(ISBLANK($C313),"",IF($BX313&lt;&gt;Constants!$B$6,$BX313,IF(ISNUMBER($CK313),RANK($CK313,$CK$9:$CK$508,1),COUNT($CK$9:$CK$508)+1)))</f>
        <v/>
      </c>
      <c r="CM313" s="135" t="str">
        <f aca="false">IF(ISBLANK($C313),"",IF($BX313&lt;&gt;Constants!$B$6,$BX313,COUNTIFS($CD$9:$CD$508,"&lt;"&amp;$CD313)+COUNTIFS($CD$9:$CD$508,$CD313,$CF$9:$CF$508,"&lt;"&amp;$CF313)+COUNTIFS($CD$9:$CD$508,$CD313,$CF$9:$CF$508,$CF313,$CH$9:$CH$508,"&lt;"&amp;$CH313)+COUNTIFS($CD$9:$CD$508,$CD313,$CF$9:$CF$508,$CF313,$CH$9:$CH$508,$CH313,$CJ$9:$CJ$508,"&lt;"&amp;$CJ313)+COUNTIFS($CD$9:$CD$508,$CD313,$CF$9:$CF$508,$CF313,$CH$9:$CH$508,$CH313,$CJ$9:$CJ$508,$CJ313,$CL$9:$CL$508,"&lt;"&amp;$CL313)+1))</f>
        <v/>
      </c>
      <c r="CN313" s="135" t="str">
        <f aca="false">IF(ISBLANK($C313),"",IF($BX313&lt;&gt;Constants!$B$6,$BX313,$CD313-$CM313))</f>
        <v/>
      </c>
      <c r="CO313" s="141"/>
      <c r="CP313" s="142"/>
      <c r="CQ313" s="143" t="str">
        <f aca="false">IF(ISBLANK($C313),"",IF($BX313=Constants!$B$10,$BW313,""))</f>
        <v/>
      </c>
      <c r="CR313" s="142" t="str">
        <f aca="false">IF(ISBLANK($C313),"",IF($BX313&lt;&gt;Constants!$B$6,"",IF($BL313="-&gt;",2,1)))</f>
        <v/>
      </c>
      <c r="CS313" s="144" t="str">
        <f aca="false">IF(ISBLANK($C313),"",IF($BX313&lt;&gt;Constants!$B$6,"",IF($BL313="-&gt;",$BN313,$BC313)))</f>
        <v/>
      </c>
      <c r="CT313" s="144" t="str">
        <f aca="false">IF(ISBLANK($C313),"",IF($BX313&lt;&gt;Constants!$B$6,"",IF($BL313="-&gt;",$BO313,$BD313)))</f>
        <v/>
      </c>
      <c r="CU313" s="144" t="str">
        <f aca="false">IF(ISBLANK($C313),"",IF($BX313&lt;&gt;Constants!$B$6,"",IF($BL313="-&gt;",$BP313+$BQ313,$BE313+$BF313)+$CB313))</f>
        <v/>
      </c>
      <c r="CV313" s="144" t="str">
        <f aca="false">IF(ISBLANK($C313),"",IF($BX313&lt;&gt;Constants!$B$6,"",IF($BL313="-&gt;",$BR313,$BG313)+$CA313))</f>
        <v/>
      </c>
      <c r="CW313" s="145" t="str">
        <f aca="false">IF(ISBLANK($C313),"",IF($BX313&lt;&gt;Constants!$B$6,$BX313,$CC313))</f>
        <v/>
      </c>
      <c r="CX313" s="146" t="str">
        <f aca="false">IF(ISBLANK($C313),"",$BY313)</f>
        <v/>
      </c>
      <c r="CY313" s="147" t="str">
        <f aca="false">IF(ISBLANK($C313),"",$CN313)</f>
        <v/>
      </c>
      <c r="CZ313" s="147" t="str">
        <f aca="false">IF(ISBLANK($C313),"",$CM313)</f>
        <v/>
      </c>
      <c r="DA313" s="148" t="str">
        <f aca="false">IF(ISBLANK($C313),"",IFERROR(_xlfn.SWITCH($CZ313,Constants!$B$9,COUNTA($C$9:$C$508)+2,Constants!$B$8,COUNTA($C$9:$C$508)+1,Constants!$B$7,COUNTA($C$9:$C$508)),$CZ313))</f>
        <v/>
      </c>
      <c r="DB313" s="9"/>
      <c r="DC313" s="149" t="n">
        <f aca="false">IF(OR(ISNUMBER($CZ313),$CZ313=Constants!$B$9,$CZ313=Constants!$B$7,$CZ313=Constants!$B$8),1,0)</f>
        <v>0</v>
      </c>
      <c r="DD313" s="149" t="n">
        <v>305</v>
      </c>
      <c r="DE313" s="149" t="str">
        <f aca="false">IF(ISBLANK($C313),"",IF(ISNUMBER($DA313),$DA313+ROW($B313)/1000,""))</f>
        <v/>
      </c>
      <c r="DF313" s="149" t="str">
        <f aca="false">IF(ISNUMBER($DE313),RANK($DE313,$DE$9:$DE$508,1),"")</f>
        <v/>
      </c>
      <c r="DG313" s="149" t="str">
        <f aca="false">IF(ISBLANK($C313),"",$B313)</f>
        <v/>
      </c>
      <c r="DH313" s="149" t="str">
        <f aca="false">IF(ISBLANK($C313),"",$C313)</f>
        <v/>
      </c>
      <c r="DI313" s="149" t="str">
        <f aca="false">IF(ISBLANK($C313),"",$D313)</f>
        <v/>
      </c>
      <c r="DJ313" s="150" t="str">
        <f aca="false">$CX313</f>
        <v/>
      </c>
      <c r="DK313" s="151" t="str">
        <f aca="false">$CW313</f>
        <v/>
      </c>
      <c r="DL313" s="149" t="str">
        <f aca="false">IF(ISBLANK($C313),"",$CZ313)</f>
        <v/>
      </c>
      <c r="DM313" s="152" t="str">
        <f aca="false">IF($DD313&gt;$DC$8,"",VLOOKUP($DD313,$DF$9:$DL$508,7,FALSE()))</f>
        <v/>
      </c>
      <c r="DN313" s="153" t="str">
        <f aca="false">IF($DD313&gt;$DC$8,"",VLOOKUP($DD313,$DF$9:$DL$508,2,FALSE()))</f>
        <v/>
      </c>
      <c r="DO313" s="153" t="str">
        <f aca="false">IF($DD313&gt;$DC$8,"",VLOOKUP($DD313,$DF$9:$DL$508,3,FALSE()))</f>
        <v/>
      </c>
      <c r="DP313" s="153" t="str">
        <f aca="false">IF($DD313&gt;$DC$8,"",VLOOKUP($DD313,$DF$9:$DL$508,4,FALSE()))</f>
        <v/>
      </c>
      <c r="DQ313" s="153" t="str">
        <f aca="false">IF($DD313&gt;$DC$8,"",VLOOKUP($DD313,$DF$9:$DL$508,5,FALSE()))</f>
        <v/>
      </c>
      <c r="DR313" s="154" t="str">
        <f aca="false">IF($DD313&gt;$DC$8,"",VLOOKUP($DD313,$DF$9:$DL$508,6,FALSE()))</f>
        <v/>
      </c>
      <c r="DS313" s="76"/>
    </row>
    <row r="314" customFormat="false" ht="15.75" hidden="false" customHeight="false" outlineLevel="0" collapsed="false">
      <c r="A314" s="9"/>
      <c r="B314" s="160"/>
      <c r="C314" s="161"/>
      <c r="D314" s="162"/>
      <c r="E314" s="180"/>
      <c r="F314" s="164"/>
      <c r="G314" s="165"/>
      <c r="H314" s="165"/>
      <c r="I314" s="181"/>
      <c r="J314" s="168"/>
      <c r="K314" s="128"/>
      <c r="L314" s="129"/>
      <c r="M314" s="130"/>
      <c r="N314" s="168"/>
      <c r="O314" s="168"/>
      <c r="P314" s="180"/>
      <c r="Q314" s="168"/>
      <c r="R314" s="168"/>
      <c r="S314" s="128"/>
      <c r="T314" s="130"/>
      <c r="U314" s="130"/>
      <c r="V314" s="168"/>
      <c r="W314" s="168"/>
      <c r="X314" s="180"/>
      <c r="Y314" s="168"/>
      <c r="Z314" s="169"/>
      <c r="AA314" s="168"/>
      <c r="AB314" s="134"/>
      <c r="AC314" s="135"/>
      <c r="AD314" s="135"/>
      <c r="AE314" s="135"/>
      <c r="AF314" s="135" t="str">
        <f aca="false">IF(ISBLANK($C314),"",IF(E314=Constants!$B$2,TRUE(),IF(E314=Constants!$B$3,FALSE(),TRUE())))</f>
        <v/>
      </c>
      <c r="AG314" s="135" t="str">
        <f aca="false">IF(ISBLANK($C314),"",IF(F314=Constants!$B$2,TRUE(),IF(F314=Constants!$B$3,FALSE(),TRUE())))</f>
        <v/>
      </c>
      <c r="AH314" s="135" t="str">
        <f aca="false">IF(ISBLANK($C314),"",IF(G314=Constants!$B$2,TRUE(),IF(G314=Constants!$B$3,FALSE(),TRUE())))</f>
        <v/>
      </c>
      <c r="AI314" s="135" t="str">
        <f aca="false">IF(ISBLANK($C314),"",IF(AND(ISNUMBER(H314),H314&gt;=0),H314,Constants!$B$24))</f>
        <v/>
      </c>
      <c r="AJ314" s="135" t="str">
        <f aca="false">IF(ISBLANK($C314),"",IF(I314=Constants!$B$2,TRUE(),IF(I314=Constants!$B$3,FALSE(),TRUE())))</f>
        <v/>
      </c>
      <c r="AK314" s="135" t="str">
        <f aca="false">IF(ISBLANK($C314),"",IF(J314=Constants!$B$2,TRUE(),IF(J314=Constants!$B$3,FALSE(),TRUE())))</f>
        <v/>
      </c>
      <c r="AL314" s="135" t="str">
        <f aca="false">IF(ISBLANK($C314),"",IF(K314=Constants!$B$4,TRUE(),IF(K314=Constants!$B$5,FALSE(),COUNTA(L314:P314)&gt;0)))</f>
        <v/>
      </c>
      <c r="AM314" s="136" t="str">
        <f aca="false">IF(ISBLANK($C314),"",IF(ISNUMBER(L314),IF(L314&gt;=0,L314,""),""))</f>
        <v/>
      </c>
      <c r="AN314" s="137" t="str">
        <f aca="false">IF(ISBLANK($C314),"",IF(ISNUMBER(M314),IF(M314&gt;=0,M314,""),""))</f>
        <v/>
      </c>
      <c r="AO314" s="137" t="str">
        <f aca="false">IF(ISBLANK($C314),"",IF(N314=Constants!$B$2,TRUE(),IF(N314=Constants!$B$3,FALSE(),TRUE())))</f>
        <v/>
      </c>
      <c r="AP314" s="135" t="str">
        <f aca="false">IF(ISBLANK($C314),"",IF(ISNUMBER(O314),IF(O314&gt;=0,O314,""),""))</f>
        <v/>
      </c>
      <c r="AQ314" s="135" t="str">
        <f aca="false">IF(ISBLANK($C314),"",IF(P314=Constants!$B$2,TRUE(),IF(P314=Constants!$B$3,FALSE(),FALSE())))</f>
        <v/>
      </c>
      <c r="AR314" s="135" t="str">
        <f aca="false">IF(ISBLANK($C314),"",IF(Q314=Constants!$B$2,TRUE(),IF(Q314=Constants!$B$3,FALSE(),TRUE())))</f>
        <v/>
      </c>
      <c r="AS314" s="135" t="str">
        <f aca="false">IF(ISBLANK($C314),"",IF(R314=Constants!$B$2,TRUE(),IF(R314=Constants!$B$3,FALSE(),TRUE())))</f>
        <v/>
      </c>
      <c r="AT314" s="135" t="str">
        <f aca="false">IF(ISBLANK($C314),"",IF(S314=Constants!$B$4,TRUE(),IF(S314=Constants!$B$5,FALSE(),COUNTA(T314:X314)&gt;0)))</f>
        <v/>
      </c>
      <c r="AU314" s="136" t="str">
        <f aca="false">IF(ISBLANK($C314),"",IF(ISNUMBER(T314),IF(T314&gt;=0,T314,""),""))</f>
        <v/>
      </c>
      <c r="AV314" s="137" t="str">
        <f aca="false">IF(ISBLANK($C314),"",IF(ISNUMBER(U314),IF(U314&gt;=0,U314,""),""))</f>
        <v/>
      </c>
      <c r="AW314" s="137" t="str">
        <f aca="false">IF(ISBLANK($C314),"",IF(V314=Constants!$B$2,TRUE(),IF(V314=Constants!$B$3,FALSE(),TRUE())))</f>
        <v/>
      </c>
      <c r="AX314" s="135" t="str">
        <f aca="false">IF(ISBLANK($C314),"",IF(ISNUMBER(W314),IF(W314&gt;=0,W314,""),""))</f>
        <v/>
      </c>
      <c r="AY314" s="135" t="str">
        <f aca="false">IF(ISBLANK($C314),"",IF(X314=Constants!$B$2,TRUE(),IF(X314=Constants!$B$3,FALSE(),FALSE())))</f>
        <v/>
      </c>
      <c r="AZ314" s="135" t="str">
        <f aca="false">IF(ISBLANK($C314),"",MIN(Constants!$B$25,MAX(0,IF(ISNUMBER(Y314),Y314*60,0)+IF(ISNUMBER(Z314),Z314,0))))</f>
        <v/>
      </c>
      <c r="BA314" s="135" t="str">
        <f aca="false">IF(ISBLANK($C314),"",IF(AA314=Constants!$B$2,TRUE(),IF(AA314=Constants!$B$3,FALSE(),FALSE())))</f>
        <v/>
      </c>
      <c r="BB314" s="134" t="str">
        <f aca="false">IF(ISBLANK($C314),"",AND($AL314,OR($AM314="",$AN314="",AND($AO314,$AP314=""))))</f>
        <v/>
      </c>
      <c r="BC314" s="137" t="str">
        <f aca="false">IF($BX314&lt;&gt;Constants!$B$6,"",IF($AL314,Constants!$B$17*$AN314+Constants!$B$18*IF($AO314,$AP314,Constants!$B$19),Constants!$B$20))</f>
        <v/>
      </c>
      <c r="BD314" s="138" t="str">
        <f aca="false">IF($BX314&lt;&gt;Constants!$B$6,"",Constants!$B$21*ABS($AD$9-IF($AL314,$AM314,0)))</f>
        <v/>
      </c>
      <c r="BE314" s="138" t="str">
        <f aca="false">IF($BX314&lt;&gt;Constants!$B$6,"",IF(AND($AL314,$AQ314,$AO314),Constants!$B$22,0))</f>
        <v/>
      </c>
      <c r="BF314" s="138" t="str">
        <f aca="false">IF($BX314&lt;&gt;Constants!$B$6,"",IF($AL314,($AI314-Constants!$B$24)*Constants!$B$23,0))</f>
        <v/>
      </c>
      <c r="BG314" s="138" t="str">
        <f aca="false">IF($BX314&lt;&gt;Constants!$B$6,"",IF($AK314,0,Constants!$B$12)+IF($AJ314,0,Constants!$B$13)+IF($AH314,0,Constants!$B$14))</f>
        <v/>
      </c>
      <c r="BH314" s="139" t="str">
        <f aca="false">IF($BX314&lt;&gt;Constants!$B$6,"",Constants!$B$16+SUM($BC314:$BG314))</f>
        <v/>
      </c>
      <c r="BI314" s="138" t="str">
        <f aca="false">IF($BX314&lt;&gt;Constants!$B$6,"",$BC314)</f>
        <v/>
      </c>
      <c r="BJ314" s="138" t="str">
        <f aca="false">IF($BX314&lt;&gt;Constants!$B$6,"",$BD314)</f>
        <v/>
      </c>
      <c r="BK314" s="140" t="str">
        <f aca="false">IF($BX314&lt;&gt;Constants!$B$6,"",IF($AL314,$AN314,""))</f>
        <v/>
      </c>
      <c r="BL314" s="135" t="str">
        <f aca="false">IF($BX314&lt;&gt;Constants!$B$6,"",IF(OR($BS314&lt;$BH314,AND($BS314=$BH314,OR($BT314&lt;$BI314,AND($BT314=$BI314,OR($BU314&lt;$BJ314,AND($BU314=$BJ314,AND(ISNUMBER($BV314),OR(NOT(ISNUMBER($BK314)),$BV314&lt;$BK314)))))))),"-&gt;","&lt;-"))</f>
        <v/>
      </c>
      <c r="BM314" s="134" t="str">
        <f aca="false">IF(ISBLANK($C314),"",AND($AT314,OR($AU314="",$AV314="",AND($AW314,$AX314=""))))</f>
        <v/>
      </c>
      <c r="BN314" s="137" t="str">
        <f aca="false">IF($BX314&lt;&gt;Constants!$B$6,"",IF($AT314,Constants!$B$17*$AV314+Constants!$B$18*IF($AW314,$AX314,Constants!$B$19),Constants!$B$20))</f>
        <v/>
      </c>
      <c r="BO314" s="138" t="str">
        <f aca="false">IF($BX314&lt;&gt;Constants!$B$6,"",Constants!$B$21*ABS($AD$9-IF($AT314,$AU314,0)))</f>
        <v/>
      </c>
      <c r="BP314" s="138" t="str">
        <f aca="false">IF($BX314&lt;&gt;Constants!$B$6,"",IF(AND($AT314,$AY314,$AW314),Constants!$B$22,0))</f>
        <v/>
      </c>
      <c r="BQ314" s="138" t="str">
        <f aca="false">IF($BX314&lt;&gt;Constants!$B$6,"",IF($AT314,($AI314-Constants!$B$24)*Constants!$B$23,0))</f>
        <v/>
      </c>
      <c r="BR314" s="138" t="str">
        <f aca="false">IF($BX314&lt;&gt;Constants!$B$6,"",IF($AS314,0,Constants!$B$12)+IF($AR314,0,Constants!$B$13)+IF($AH314,0,Constants!$B$14))</f>
        <v/>
      </c>
      <c r="BS314" s="139" t="str">
        <f aca="false">IF($BX314&lt;&gt;Constants!$B$6,"",Constants!$B$16+SUM($BN314:$BR314))</f>
        <v/>
      </c>
      <c r="BT314" s="138" t="str">
        <f aca="false">IF($BX314&lt;&gt;Constants!$B$6,"",$BN314)</f>
        <v/>
      </c>
      <c r="BU314" s="138" t="str">
        <f aca="false">IF($BX314&lt;&gt;Constants!$B$6,"",$BO314)</f>
        <v/>
      </c>
      <c r="BV314" s="140" t="str">
        <f aca="false">IF($BX314&lt;&gt;Constants!$B$6,"",IF($AT314,$AV314,""))</f>
        <v/>
      </c>
      <c r="BW314" s="135" t="str">
        <f aca="false">IF(ISBLANK($C314),"",IF(ISBLANK($D$7),$BW$5,IF(NOT(ISNUMBER($D$7)),$BW$6,"")))</f>
        <v/>
      </c>
      <c r="BX314" s="135" t="str">
        <f aca="false">IF(ISBLANK($C314),"",IF($BA314,Constants!$B$9,IF(COUNTA($E314:$AA314)=0,Constants!$B$8,IF(NOT($AG314),Constants!$B$7,IF(OR($BW314&lt;&gt;"",$BB314,$BM314),Constants!$B$10,Constants!$B$6)))))</f>
        <v/>
      </c>
      <c r="BY314" s="135" t="str">
        <f aca="false">IF(ISBLANK($C314),"",IF($BX314&lt;&gt;Constants!$B$6,$BX314,Constants!$B$11))</f>
        <v/>
      </c>
      <c r="BZ314" s="138" t="str">
        <f aca="false">IF($BX314&lt;&gt;Constants!$B$6,"",IF($BL314="-&gt;",$BS314,$BH314))</f>
        <v/>
      </c>
      <c r="CA314" s="138" t="str">
        <f aca="false">IF($BX314&lt;&gt;Constants!$B$6,"",IF($AF314,0,Constants!$B$15))</f>
        <v/>
      </c>
      <c r="CB314" s="138" t="str">
        <f aca="false">IF($BX314&lt;&gt;Constants!$B$6,"",((Constants!$B$25-$AZ314)-Constants!$B$25)/Constants!$B$26)</f>
        <v/>
      </c>
      <c r="CC314" s="138" t="str">
        <f aca="false">IF(ISBLANK($C314),"",IF($BX314&lt;&gt;Constants!$B$6,$BX314,SUM($BZ314:$CB314)))</f>
        <v/>
      </c>
      <c r="CD314" s="135" t="str">
        <f aca="false">IF(ISBLANK($C314),"",IF($BX314&lt;&gt;Constants!$B$6,$BX314,RANK($CC314,$CC$9:$CC$508,1)))</f>
        <v/>
      </c>
      <c r="CE314" s="138" t="str">
        <f aca="false">IF($BX314&lt;&gt;Constants!$B$6,"",IF($BL314="-&gt;",$BT314,$BI314))</f>
        <v/>
      </c>
      <c r="CF314" s="135" t="str">
        <f aca="false">IF(ISBLANK($C314),"",IF($BX314&lt;&gt;Constants!$B$6,$BX314,IF(ISNUMBER($CE314),RANK($CE314,$CE$9:$CE$508,1),COUNT($CE$9:$CE$508)+1)))</f>
        <v/>
      </c>
      <c r="CG314" s="138" t="str">
        <f aca="false">IF($BX314&lt;&gt;Constants!$B$6,"",IF($BL314="-&gt;",$BU314,$BJ314))</f>
        <v/>
      </c>
      <c r="CH314" s="135" t="str">
        <f aca="false">IF(ISBLANK($C314),"",IF($BX314&lt;&gt;Constants!$B$6,$BX314,IF(ISNUMBER($CG314),RANK($CG314,$CG$9:$CG$508,1),COUNT($CG$9:$CG$508)+1)))</f>
        <v/>
      </c>
      <c r="CI314" s="138" t="str">
        <f aca="false">IF($BX314&lt;&gt;Constants!$B$6,"",IF($BL314="-&gt;",$BV314,$BK314))</f>
        <v/>
      </c>
      <c r="CJ314" s="135" t="str">
        <f aca="false">IF(ISBLANK($C314),"",IF($BX314&lt;&gt;Constants!$B$6,$BX314,IF(ISNUMBER($CI314),RANK($CI314,$CI$9:$CI$508,1),COUNT($CI$9:$CI$508)+1)))</f>
        <v/>
      </c>
      <c r="CK314" s="138" t="str">
        <f aca="false">IF($BX314&lt;&gt;Constants!$B$6,"",$AI314)</f>
        <v/>
      </c>
      <c r="CL314" s="135" t="str">
        <f aca="false">IF(ISBLANK($C314),"",IF($BX314&lt;&gt;Constants!$B$6,$BX314,IF(ISNUMBER($CK314),RANK($CK314,$CK$9:$CK$508,1),COUNT($CK$9:$CK$508)+1)))</f>
        <v/>
      </c>
      <c r="CM314" s="135" t="str">
        <f aca="false">IF(ISBLANK($C314),"",IF($BX314&lt;&gt;Constants!$B$6,$BX314,COUNTIFS($CD$9:$CD$508,"&lt;"&amp;$CD314)+COUNTIFS($CD$9:$CD$508,$CD314,$CF$9:$CF$508,"&lt;"&amp;$CF314)+COUNTIFS($CD$9:$CD$508,$CD314,$CF$9:$CF$508,$CF314,$CH$9:$CH$508,"&lt;"&amp;$CH314)+COUNTIFS($CD$9:$CD$508,$CD314,$CF$9:$CF$508,$CF314,$CH$9:$CH$508,$CH314,$CJ$9:$CJ$508,"&lt;"&amp;$CJ314)+COUNTIFS($CD$9:$CD$508,$CD314,$CF$9:$CF$508,$CF314,$CH$9:$CH$508,$CH314,$CJ$9:$CJ$508,$CJ314,$CL$9:$CL$508,"&lt;"&amp;$CL314)+1))</f>
        <v/>
      </c>
      <c r="CN314" s="135" t="str">
        <f aca="false">IF(ISBLANK($C314),"",IF($BX314&lt;&gt;Constants!$B$6,$BX314,$CD314-$CM314))</f>
        <v/>
      </c>
      <c r="CO314" s="141"/>
      <c r="CP314" s="142"/>
      <c r="CQ314" s="143" t="str">
        <f aca="false">IF(ISBLANK($C314),"",IF($BX314=Constants!$B$10,$BW314,""))</f>
        <v/>
      </c>
      <c r="CR314" s="142" t="str">
        <f aca="false">IF(ISBLANK($C314),"",IF($BX314&lt;&gt;Constants!$B$6,"",IF($BL314="-&gt;",2,1)))</f>
        <v/>
      </c>
      <c r="CS314" s="144" t="str">
        <f aca="false">IF(ISBLANK($C314),"",IF($BX314&lt;&gt;Constants!$B$6,"",IF($BL314="-&gt;",$BN314,$BC314)))</f>
        <v/>
      </c>
      <c r="CT314" s="144" t="str">
        <f aca="false">IF(ISBLANK($C314),"",IF($BX314&lt;&gt;Constants!$B$6,"",IF($BL314="-&gt;",$BO314,$BD314)))</f>
        <v/>
      </c>
      <c r="CU314" s="144" t="str">
        <f aca="false">IF(ISBLANK($C314),"",IF($BX314&lt;&gt;Constants!$B$6,"",IF($BL314="-&gt;",$BP314+$BQ314,$BE314+$BF314)+$CB314))</f>
        <v/>
      </c>
      <c r="CV314" s="144" t="str">
        <f aca="false">IF(ISBLANK($C314),"",IF($BX314&lt;&gt;Constants!$B$6,"",IF($BL314="-&gt;",$BR314,$BG314)+$CA314))</f>
        <v/>
      </c>
      <c r="CW314" s="145" t="str">
        <f aca="false">IF(ISBLANK($C314),"",IF($BX314&lt;&gt;Constants!$B$6,$BX314,$CC314))</f>
        <v/>
      </c>
      <c r="CX314" s="146" t="str">
        <f aca="false">IF(ISBLANK($C314),"",$BY314)</f>
        <v/>
      </c>
      <c r="CY314" s="147" t="str">
        <f aca="false">IF(ISBLANK($C314),"",$CN314)</f>
        <v/>
      </c>
      <c r="CZ314" s="147" t="str">
        <f aca="false">IF(ISBLANK($C314),"",$CM314)</f>
        <v/>
      </c>
      <c r="DA314" s="148" t="str">
        <f aca="false">IF(ISBLANK($C314),"",IFERROR(_xlfn.SWITCH($CZ314,Constants!$B$9,COUNTA($C$9:$C$508)+2,Constants!$B$8,COUNTA($C$9:$C$508)+1,Constants!$B$7,COUNTA($C$9:$C$508)),$CZ314))</f>
        <v/>
      </c>
      <c r="DB314" s="9"/>
      <c r="DC314" s="149" t="n">
        <f aca="false">IF(OR(ISNUMBER($CZ314),$CZ314=Constants!$B$9,$CZ314=Constants!$B$7,$CZ314=Constants!$B$8),1,0)</f>
        <v>0</v>
      </c>
      <c r="DD314" s="149" t="n">
        <v>306</v>
      </c>
      <c r="DE314" s="149" t="str">
        <f aca="false">IF(ISBLANK($C314),"",IF(ISNUMBER($DA314),$DA314+ROW($B314)/1000,""))</f>
        <v/>
      </c>
      <c r="DF314" s="149" t="str">
        <f aca="false">IF(ISNUMBER($DE314),RANK($DE314,$DE$9:$DE$508,1),"")</f>
        <v/>
      </c>
      <c r="DG314" s="149" t="str">
        <f aca="false">IF(ISBLANK($C314),"",$B314)</f>
        <v/>
      </c>
      <c r="DH314" s="149" t="str">
        <f aca="false">IF(ISBLANK($C314),"",$C314)</f>
        <v/>
      </c>
      <c r="DI314" s="149" t="str">
        <f aca="false">IF(ISBLANK($C314),"",$D314)</f>
        <v/>
      </c>
      <c r="DJ314" s="150" t="str">
        <f aca="false">$CX314</f>
        <v/>
      </c>
      <c r="DK314" s="151" t="str">
        <f aca="false">$CW314</f>
        <v/>
      </c>
      <c r="DL314" s="149" t="str">
        <f aca="false">IF(ISBLANK($C314),"",$CZ314)</f>
        <v/>
      </c>
      <c r="DM314" s="152" t="str">
        <f aca="false">IF($DD314&gt;$DC$8,"",VLOOKUP($DD314,$DF$9:$DL$508,7,FALSE()))</f>
        <v/>
      </c>
      <c r="DN314" s="153" t="str">
        <f aca="false">IF($DD314&gt;$DC$8,"",VLOOKUP($DD314,$DF$9:$DL$508,2,FALSE()))</f>
        <v/>
      </c>
      <c r="DO314" s="153" t="str">
        <f aca="false">IF($DD314&gt;$DC$8,"",VLOOKUP($DD314,$DF$9:$DL$508,3,FALSE()))</f>
        <v/>
      </c>
      <c r="DP314" s="153" t="str">
        <f aca="false">IF($DD314&gt;$DC$8,"",VLOOKUP($DD314,$DF$9:$DL$508,4,FALSE()))</f>
        <v/>
      </c>
      <c r="DQ314" s="153" t="str">
        <f aca="false">IF($DD314&gt;$DC$8,"",VLOOKUP($DD314,$DF$9:$DL$508,5,FALSE()))</f>
        <v/>
      </c>
      <c r="DR314" s="154" t="str">
        <f aca="false">IF($DD314&gt;$DC$8,"",VLOOKUP($DD314,$DF$9:$DL$508,6,FALSE()))</f>
        <v/>
      </c>
      <c r="DS314" s="76"/>
    </row>
    <row r="315" customFormat="false" ht="15.75" hidden="false" customHeight="false" outlineLevel="0" collapsed="false">
      <c r="A315" s="9"/>
      <c r="B315" s="78"/>
      <c r="C315" s="79"/>
      <c r="D315" s="170"/>
      <c r="E315" s="178"/>
      <c r="F315" s="172"/>
      <c r="G315" s="173"/>
      <c r="H315" s="173"/>
      <c r="I315" s="179"/>
      <c r="J315" s="176"/>
      <c r="K315" s="86"/>
      <c r="L315" s="87"/>
      <c r="M315" s="88"/>
      <c r="N315" s="176"/>
      <c r="O315" s="176"/>
      <c r="P315" s="178"/>
      <c r="Q315" s="176"/>
      <c r="R315" s="176"/>
      <c r="S315" s="86"/>
      <c r="T315" s="88"/>
      <c r="U315" s="88"/>
      <c r="V315" s="176"/>
      <c r="W315" s="176"/>
      <c r="X315" s="178"/>
      <c r="Y315" s="176"/>
      <c r="Z315" s="177"/>
      <c r="AA315" s="176"/>
      <c r="AB315" s="92"/>
      <c r="AC315" s="93"/>
      <c r="AD315" s="93"/>
      <c r="AE315" s="93"/>
      <c r="AF315" s="93" t="str">
        <f aca="false">IF(ISBLANK($C315),"",IF(E315=Constants!$B$2,TRUE(),IF(E315=Constants!$B$3,FALSE(),TRUE())))</f>
        <v/>
      </c>
      <c r="AG315" s="93" t="str">
        <f aca="false">IF(ISBLANK($C315),"",IF(F315=Constants!$B$2,TRUE(),IF(F315=Constants!$B$3,FALSE(),TRUE())))</f>
        <v/>
      </c>
      <c r="AH315" s="93" t="str">
        <f aca="false">IF(ISBLANK($C315),"",IF(G315=Constants!$B$2,TRUE(),IF(G315=Constants!$B$3,FALSE(),TRUE())))</f>
        <v/>
      </c>
      <c r="AI315" s="93" t="str">
        <f aca="false">IF(ISBLANK($C315),"",IF(AND(ISNUMBER(H315),H315&gt;=0),H315,Constants!$B$24))</f>
        <v/>
      </c>
      <c r="AJ315" s="93" t="str">
        <f aca="false">IF(ISBLANK($C315),"",IF(I315=Constants!$B$2,TRUE(),IF(I315=Constants!$B$3,FALSE(),TRUE())))</f>
        <v/>
      </c>
      <c r="AK315" s="93" t="str">
        <f aca="false">IF(ISBLANK($C315),"",IF(J315=Constants!$B$2,TRUE(),IF(J315=Constants!$B$3,FALSE(),TRUE())))</f>
        <v/>
      </c>
      <c r="AL315" s="93" t="str">
        <f aca="false">IF(ISBLANK($C315),"",IF(K315=Constants!$B$4,TRUE(),IF(K315=Constants!$B$5,FALSE(),COUNTA(L315:P315)&gt;0)))</f>
        <v/>
      </c>
      <c r="AM315" s="95" t="str">
        <f aca="false">IF(ISBLANK($C315),"",IF(ISNUMBER(L315),IF(L315&gt;=0,L315,""),""))</f>
        <v/>
      </c>
      <c r="AN315" s="94" t="str">
        <f aca="false">IF(ISBLANK($C315),"",IF(ISNUMBER(M315),IF(M315&gt;=0,M315,""),""))</f>
        <v/>
      </c>
      <c r="AO315" s="94" t="str">
        <f aca="false">IF(ISBLANK($C315),"",IF(N315=Constants!$B$2,TRUE(),IF(N315=Constants!$B$3,FALSE(),TRUE())))</f>
        <v/>
      </c>
      <c r="AP315" s="93" t="str">
        <f aca="false">IF(ISBLANK($C315),"",IF(ISNUMBER(O315),IF(O315&gt;=0,O315,""),""))</f>
        <v/>
      </c>
      <c r="AQ315" s="93" t="str">
        <f aca="false">IF(ISBLANK($C315),"",IF(P315=Constants!$B$2,TRUE(),IF(P315=Constants!$B$3,FALSE(),FALSE())))</f>
        <v/>
      </c>
      <c r="AR315" s="93" t="str">
        <f aca="false">IF(ISBLANK($C315),"",IF(Q315=Constants!$B$2,TRUE(),IF(Q315=Constants!$B$3,FALSE(),TRUE())))</f>
        <v/>
      </c>
      <c r="AS315" s="93" t="str">
        <f aca="false">IF(ISBLANK($C315),"",IF(R315=Constants!$B$2,TRUE(),IF(R315=Constants!$B$3,FALSE(),TRUE())))</f>
        <v/>
      </c>
      <c r="AT315" s="93" t="str">
        <f aca="false">IF(ISBLANK($C315),"",IF(S315=Constants!$B$4,TRUE(),IF(S315=Constants!$B$5,FALSE(),COUNTA(T315:X315)&gt;0)))</f>
        <v/>
      </c>
      <c r="AU315" s="95" t="str">
        <f aca="false">IF(ISBLANK($C315),"",IF(ISNUMBER(T315),IF(T315&gt;=0,T315,""),""))</f>
        <v/>
      </c>
      <c r="AV315" s="94" t="str">
        <f aca="false">IF(ISBLANK($C315),"",IF(ISNUMBER(U315),IF(U315&gt;=0,U315,""),""))</f>
        <v/>
      </c>
      <c r="AW315" s="94" t="str">
        <f aca="false">IF(ISBLANK($C315),"",IF(V315=Constants!$B$2,TRUE(),IF(V315=Constants!$B$3,FALSE(),TRUE())))</f>
        <v/>
      </c>
      <c r="AX315" s="93" t="str">
        <f aca="false">IF(ISBLANK($C315),"",IF(ISNUMBER(W315),IF(W315&gt;=0,W315,""),""))</f>
        <v/>
      </c>
      <c r="AY315" s="93" t="str">
        <f aca="false">IF(ISBLANK($C315),"",IF(X315=Constants!$B$2,TRUE(),IF(X315=Constants!$B$3,FALSE(),FALSE())))</f>
        <v/>
      </c>
      <c r="AZ315" s="93" t="str">
        <f aca="false">IF(ISBLANK($C315),"",MIN(Constants!$B$25,MAX(0,IF(ISNUMBER(Y315),Y315*60,0)+IF(ISNUMBER(Z315),Z315,0))))</f>
        <v/>
      </c>
      <c r="BA315" s="93" t="str">
        <f aca="false">IF(ISBLANK($C315),"",IF(AA315=Constants!$B$2,TRUE(),IF(AA315=Constants!$B$3,FALSE(),FALSE())))</f>
        <v/>
      </c>
      <c r="BB315" s="92" t="str">
        <f aca="false">IF(ISBLANK($C315),"",AND($AL315,OR($AM315="",$AN315="",AND($AO315,$AP315=""))))</f>
        <v/>
      </c>
      <c r="BC315" s="94" t="str">
        <f aca="false">IF($BX315&lt;&gt;Constants!$B$6,"",IF($AL315,Constants!$B$17*$AN315+Constants!$B$18*IF($AO315,$AP315,Constants!$B$19),Constants!$B$20))</f>
        <v/>
      </c>
      <c r="BD315" s="97" t="str">
        <f aca="false">IF($BX315&lt;&gt;Constants!$B$6,"",Constants!$B$21*ABS($AD$9-IF($AL315,$AM315,0)))</f>
        <v/>
      </c>
      <c r="BE315" s="97" t="str">
        <f aca="false">IF($BX315&lt;&gt;Constants!$B$6,"",IF(AND($AL315,$AQ315,$AO315),Constants!$B$22,0))</f>
        <v/>
      </c>
      <c r="BF315" s="97" t="str">
        <f aca="false">IF($BX315&lt;&gt;Constants!$B$6,"",IF($AL315,($AI315-Constants!$B$24)*Constants!$B$23,0))</f>
        <v/>
      </c>
      <c r="BG315" s="97" t="str">
        <f aca="false">IF($BX315&lt;&gt;Constants!$B$6,"",IF($AK315,0,Constants!$B$12)+IF($AJ315,0,Constants!$B$13)+IF($AH315,0,Constants!$B$14))</f>
        <v/>
      </c>
      <c r="BH315" s="98" t="str">
        <f aca="false">IF($BX315&lt;&gt;Constants!$B$6,"",Constants!$B$16+SUM($BC315:$BG315))</f>
        <v/>
      </c>
      <c r="BI315" s="97" t="str">
        <f aca="false">IF($BX315&lt;&gt;Constants!$B$6,"",$BC315)</f>
        <v/>
      </c>
      <c r="BJ315" s="97" t="str">
        <f aca="false">IF($BX315&lt;&gt;Constants!$B$6,"",$BD315)</f>
        <v/>
      </c>
      <c r="BK315" s="99" t="str">
        <f aca="false">IF($BX315&lt;&gt;Constants!$B$6,"",IF($AL315,$AN315,""))</f>
        <v/>
      </c>
      <c r="BL315" s="93" t="str">
        <f aca="false">IF($BX315&lt;&gt;Constants!$B$6,"",IF(OR($BS315&lt;$BH315,AND($BS315=$BH315,OR($BT315&lt;$BI315,AND($BT315=$BI315,OR($BU315&lt;$BJ315,AND($BU315=$BJ315,AND(ISNUMBER($BV315),OR(NOT(ISNUMBER($BK315)),$BV315&lt;$BK315)))))))),"-&gt;","&lt;-"))</f>
        <v/>
      </c>
      <c r="BM315" s="92" t="str">
        <f aca="false">IF(ISBLANK($C315),"",AND($AT315,OR($AU315="",$AV315="",AND($AW315,$AX315=""))))</f>
        <v/>
      </c>
      <c r="BN315" s="94" t="str">
        <f aca="false">IF($BX315&lt;&gt;Constants!$B$6,"",IF($AT315,Constants!$B$17*$AV315+Constants!$B$18*IF($AW315,$AX315,Constants!$B$19),Constants!$B$20))</f>
        <v/>
      </c>
      <c r="BO315" s="97" t="str">
        <f aca="false">IF($BX315&lt;&gt;Constants!$B$6,"",Constants!$B$21*ABS($AD$9-IF($AT315,$AU315,0)))</f>
        <v/>
      </c>
      <c r="BP315" s="97" t="str">
        <f aca="false">IF($BX315&lt;&gt;Constants!$B$6,"",IF(AND($AT315,$AY315,$AW315),Constants!$B$22,0))</f>
        <v/>
      </c>
      <c r="BQ315" s="97" t="str">
        <f aca="false">IF($BX315&lt;&gt;Constants!$B$6,"",IF($AT315,($AI315-Constants!$B$24)*Constants!$B$23,0))</f>
        <v/>
      </c>
      <c r="BR315" s="97" t="str">
        <f aca="false">IF($BX315&lt;&gt;Constants!$B$6,"",IF($AS315,0,Constants!$B$12)+IF($AR315,0,Constants!$B$13)+IF($AH315,0,Constants!$B$14))</f>
        <v/>
      </c>
      <c r="BS315" s="98" t="str">
        <f aca="false">IF($BX315&lt;&gt;Constants!$B$6,"",Constants!$B$16+SUM($BN315:$BR315))</f>
        <v/>
      </c>
      <c r="BT315" s="97" t="str">
        <f aca="false">IF($BX315&lt;&gt;Constants!$B$6,"",$BN315)</f>
        <v/>
      </c>
      <c r="BU315" s="97" t="str">
        <f aca="false">IF($BX315&lt;&gt;Constants!$B$6,"",$BO315)</f>
        <v/>
      </c>
      <c r="BV315" s="99" t="str">
        <f aca="false">IF($BX315&lt;&gt;Constants!$B$6,"",IF($AT315,$AV315,""))</f>
        <v/>
      </c>
      <c r="BW315" s="93" t="str">
        <f aca="false">IF(ISBLANK($C315),"",IF(ISBLANK($D$7),$BW$5,IF(NOT(ISNUMBER($D$7)),$BW$6,"")))</f>
        <v/>
      </c>
      <c r="BX315" s="93" t="str">
        <f aca="false">IF(ISBLANK($C315),"",IF($BA315,Constants!$B$9,IF(COUNTA($E315:$AA315)=0,Constants!$B$8,IF(NOT($AG315),Constants!$B$7,IF(OR($BW315&lt;&gt;"",$BB315,$BM315),Constants!$B$10,Constants!$B$6)))))</f>
        <v/>
      </c>
      <c r="BY315" s="93" t="str">
        <f aca="false">IF(ISBLANK($C315),"",IF($BX315&lt;&gt;Constants!$B$6,$BX315,Constants!$B$11))</f>
        <v/>
      </c>
      <c r="BZ315" s="97" t="str">
        <f aca="false">IF($BX315&lt;&gt;Constants!$B$6,"",IF($BL315="-&gt;",$BS315,$BH315))</f>
        <v/>
      </c>
      <c r="CA315" s="97" t="str">
        <f aca="false">IF($BX315&lt;&gt;Constants!$B$6,"",IF($AF315,0,Constants!$B$15))</f>
        <v/>
      </c>
      <c r="CB315" s="97" t="str">
        <f aca="false">IF($BX315&lt;&gt;Constants!$B$6,"",((Constants!$B$25-$AZ315)-Constants!$B$25)/Constants!$B$26)</f>
        <v/>
      </c>
      <c r="CC315" s="97" t="str">
        <f aca="false">IF(ISBLANK($C315),"",IF($BX315&lt;&gt;Constants!$B$6,$BX315,SUM($BZ315:$CB315)))</f>
        <v/>
      </c>
      <c r="CD315" s="93" t="str">
        <f aca="false">IF(ISBLANK($C315),"",IF($BX315&lt;&gt;Constants!$B$6,$BX315,RANK($CC315,$CC$9:$CC$508,1)))</f>
        <v/>
      </c>
      <c r="CE315" s="97" t="str">
        <f aca="false">IF($BX315&lt;&gt;Constants!$B$6,"",IF($BL315="-&gt;",$BT315,$BI315))</f>
        <v/>
      </c>
      <c r="CF315" s="93" t="str">
        <f aca="false">IF(ISBLANK($C315),"",IF($BX315&lt;&gt;Constants!$B$6,$BX315,IF(ISNUMBER($CE315),RANK($CE315,$CE$9:$CE$508,1),COUNT($CE$9:$CE$508)+1)))</f>
        <v/>
      </c>
      <c r="CG315" s="97" t="str">
        <f aca="false">IF($BX315&lt;&gt;Constants!$B$6,"",IF($BL315="-&gt;",$BU315,$BJ315))</f>
        <v/>
      </c>
      <c r="CH315" s="93" t="str">
        <f aca="false">IF(ISBLANK($C315),"",IF($BX315&lt;&gt;Constants!$B$6,$BX315,IF(ISNUMBER($CG315),RANK($CG315,$CG$9:$CG$508,1),COUNT($CG$9:$CG$508)+1)))</f>
        <v/>
      </c>
      <c r="CI315" s="97" t="str">
        <f aca="false">IF($BX315&lt;&gt;Constants!$B$6,"",IF($BL315="-&gt;",$BV315,$BK315))</f>
        <v/>
      </c>
      <c r="CJ315" s="93" t="str">
        <f aca="false">IF(ISBLANK($C315),"",IF($BX315&lt;&gt;Constants!$B$6,$BX315,IF(ISNUMBER($CI315),RANK($CI315,$CI$9:$CI$508,1),COUNT($CI$9:$CI$508)+1)))</f>
        <v/>
      </c>
      <c r="CK315" s="97" t="str">
        <f aca="false">IF($BX315&lt;&gt;Constants!$B$6,"",$AI315)</f>
        <v/>
      </c>
      <c r="CL315" s="93" t="str">
        <f aca="false">IF(ISBLANK($C315),"",IF($BX315&lt;&gt;Constants!$B$6,$BX315,IF(ISNUMBER($CK315),RANK($CK315,$CK$9:$CK$508,1),COUNT($CK$9:$CK$508)+1)))</f>
        <v/>
      </c>
      <c r="CM315" s="93" t="str">
        <f aca="false">IF(ISBLANK($C315),"",IF($BX315&lt;&gt;Constants!$B$6,$BX315,COUNTIFS($CD$9:$CD$508,"&lt;"&amp;$CD315)+COUNTIFS($CD$9:$CD$508,$CD315,$CF$9:$CF$508,"&lt;"&amp;$CF315)+COUNTIFS($CD$9:$CD$508,$CD315,$CF$9:$CF$508,$CF315,$CH$9:$CH$508,"&lt;"&amp;$CH315)+COUNTIFS($CD$9:$CD$508,$CD315,$CF$9:$CF$508,$CF315,$CH$9:$CH$508,$CH315,$CJ$9:$CJ$508,"&lt;"&amp;$CJ315)+COUNTIFS($CD$9:$CD$508,$CD315,$CF$9:$CF$508,$CF315,$CH$9:$CH$508,$CH315,$CJ$9:$CJ$508,$CJ315,$CL$9:$CL$508,"&lt;"&amp;$CL315)+1))</f>
        <v/>
      </c>
      <c r="CN315" s="93" t="str">
        <f aca="false">IF(ISBLANK($C315),"",IF($BX315&lt;&gt;Constants!$B$6,$BX315,$CD315-$CM315))</f>
        <v/>
      </c>
      <c r="CO315" s="100"/>
      <c r="CP315" s="101"/>
      <c r="CQ315" s="102" t="str">
        <f aca="false">IF(ISBLANK($C315),"",IF($BX315=Constants!$B$10,$BW315,""))</f>
        <v/>
      </c>
      <c r="CR315" s="101" t="str">
        <f aca="false">IF(ISBLANK($C315),"",IF($BX315&lt;&gt;Constants!$B$6,"",IF($BL315="-&gt;",2,1)))</f>
        <v/>
      </c>
      <c r="CS315" s="103" t="str">
        <f aca="false">IF(ISBLANK($C315),"",IF($BX315&lt;&gt;Constants!$B$6,"",IF($BL315="-&gt;",$BN315,$BC315)))</f>
        <v/>
      </c>
      <c r="CT315" s="103" t="str">
        <f aca="false">IF(ISBLANK($C315),"",IF($BX315&lt;&gt;Constants!$B$6,"",IF($BL315="-&gt;",$BO315,$BD315)))</f>
        <v/>
      </c>
      <c r="CU315" s="103" t="str">
        <f aca="false">IF(ISBLANK($C315),"",IF($BX315&lt;&gt;Constants!$B$6,"",IF($BL315="-&gt;",$BP315+$BQ315,$BE315+$BF315)+$CB315))</f>
        <v/>
      </c>
      <c r="CV315" s="103" t="str">
        <f aca="false">IF(ISBLANK($C315),"",IF($BX315&lt;&gt;Constants!$B$6,"",IF($BL315="-&gt;",$BR315,$BG315)+$CA315))</f>
        <v/>
      </c>
      <c r="CW315" s="104" t="str">
        <f aca="false">IF(ISBLANK($C315),"",IF($BX315&lt;&gt;Constants!$B$6,$BX315,$CC315))</f>
        <v/>
      </c>
      <c r="CX315" s="105" t="str">
        <f aca="false">IF(ISBLANK($C315),"",$BY315)</f>
        <v/>
      </c>
      <c r="CY315" s="106" t="str">
        <f aca="false">IF(ISBLANK($C315),"",$CN315)</f>
        <v/>
      </c>
      <c r="CZ315" s="106" t="str">
        <f aca="false">IF(ISBLANK($C315),"",$CM315)</f>
        <v/>
      </c>
      <c r="DA315" s="107" t="str">
        <f aca="false">IF(ISBLANK($C315),"",IFERROR(_xlfn.SWITCH($CZ315,Constants!$B$9,COUNTA($C$9:$C$508)+2,Constants!$B$8,COUNTA($C$9:$C$508)+1,Constants!$B$7,COUNTA($C$9:$C$508)),$CZ315))</f>
        <v/>
      </c>
      <c r="DB315" s="9"/>
      <c r="DC315" s="108" t="n">
        <f aca="false">IF(OR(ISNUMBER($CZ315),$CZ315=Constants!$B$9,$CZ315=Constants!$B$7,$CZ315=Constants!$B$8),1,0)</f>
        <v>0</v>
      </c>
      <c r="DD315" s="108" t="n">
        <v>307</v>
      </c>
      <c r="DE315" s="108" t="str">
        <f aca="false">IF(ISBLANK($C315),"",IF(ISNUMBER($DA315),$DA315+ROW($B315)/1000,""))</f>
        <v/>
      </c>
      <c r="DF315" s="108" t="str">
        <f aca="false">IF(ISNUMBER($DE315),RANK($DE315,$DE$9:$DE$508,1),"")</f>
        <v/>
      </c>
      <c r="DG315" s="108" t="str">
        <f aca="false">IF(ISBLANK($C315),"",$B315)</f>
        <v/>
      </c>
      <c r="DH315" s="108" t="str">
        <f aca="false">IF(ISBLANK($C315),"",$C315)</f>
        <v/>
      </c>
      <c r="DI315" s="108" t="str">
        <f aca="false">IF(ISBLANK($C315),"",$D315)</f>
        <v/>
      </c>
      <c r="DJ315" s="109" t="str">
        <f aca="false">$CX315</f>
        <v/>
      </c>
      <c r="DK315" s="110" t="str">
        <f aca="false">$CW315</f>
        <v/>
      </c>
      <c r="DL315" s="108" t="str">
        <f aca="false">IF(ISBLANK($C315),"",$CZ315)</f>
        <v/>
      </c>
      <c r="DM315" s="111" t="str">
        <f aca="false">IF($DD315&gt;$DC$8,"",VLOOKUP($DD315,$DF$9:$DL$508,7,FALSE()))</f>
        <v/>
      </c>
      <c r="DN315" s="112" t="str">
        <f aca="false">IF($DD315&gt;$DC$8,"",VLOOKUP($DD315,$DF$9:$DL$508,2,FALSE()))</f>
        <v/>
      </c>
      <c r="DO315" s="112" t="str">
        <f aca="false">IF($DD315&gt;$DC$8,"",VLOOKUP($DD315,$DF$9:$DL$508,3,FALSE()))</f>
        <v/>
      </c>
      <c r="DP315" s="112" t="str">
        <f aca="false">IF($DD315&gt;$DC$8,"",VLOOKUP($DD315,$DF$9:$DL$508,4,FALSE()))</f>
        <v/>
      </c>
      <c r="DQ315" s="112" t="str">
        <f aca="false">IF($DD315&gt;$DC$8,"",VLOOKUP($DD315,$DF$9:$DL$508,5,FALSE()))</f>
        <v/>
      </c>
      <c r="DR315" s="113" t="str">
        <f aca="false">IF($DD315&gt;$DC$8,"",VLOOKUP($DD315,$DF$9:$DL$508,6,FALSE()))</f>
        <v/>
      </c>
      <c r="DS315" s="76"/>
    </row>
    <row r="316" customFormat="false" ht="15.75" hidden="false" customHeight="false" outlineLevel="0" collapsed="false">
      <c r="A316" s="9"/>
      <c r="B316" s="78"/>
      <c r="C316" s="79"/>
      <c r="D316" s="170"/>
      <c r="E316" s="178"/>
      <c r="F316" s="172"/>
      <c r="G316" s="173"/>
      <c r="H316" s="173"/>
      <c r="I316" s="179"/>
      <c r="J316" s="176"/>
      <c r="K316" s="86"/>
      <c r="L316" s="87"/>
      <c r="M316" s="88"/>
      <c r="N316" s="176"/>
      <c r="O316" s="176"/>
      <c r="P316" s="178"/>
      <c r="Q316" s="176"/>
      <c r="R316" s="176"/>
      <c r="S316" s="86"/>
      <c r="T316" s="88"/>
      <c r="U316" s="88"/>
      <c r="V316" s="176"/>
      <c r="W316" s="176"/>
      <c r="X316" s="178"/>
      <c r="Y316" s="176"/>
      <c r="Z316" s="177"/>
      <c r="AA316" s="176"/>
      <c r="AB316" s="92"/>
      <c r="AC316" s="93"/>
      <c r="AD316" s="93"/>
      <c r="AE316" s="93"/>
      <c r="AF316" s="93" t="str">
        <f aca="false">IF(ISBLANK($C316),"",IF(E316=Constants!$B$2,TRUE(),IF(E316=Constants!$B$3,FALSE(),TRUE())))</f>
        <v/>
      </c>
      <c r="AG316" s="93" t="str">
        <f aca="false">IF(ISBLANK($C316),"",IF(F316=Constants!$B$2,TRUE(),IF(F316=Constants!$B$3,FALSE(),TRUE())))</f>
        <v/>
      </c>
      <c r="AH316" s="93" t="str">
        <f aca="false">IF(ISBLANK($C316),"",IF(G316=Constants!$B$2,TRUE(),IF(G316=Constants!$B$3,FALSE(),TRUE())))</f>
        <v/>
      </c>
      <c r="AI316" s="93" t="str">
        <f aca="false">IF(ISBLANK($C316),"",IF(AND(ISNUMBER(H316),H316&gt;=0),H316,Constants!$B$24))</f>
        <v/>
      </c>
      <c r="AJ316" s="93" t="str">
        <f aca="false">IF(ISBLANK($C316),"",IF(I316=Constants!$B$2,TRUE(),IF(I316=Constants!$B$3,FALSE(),TRUE())))</f>
        <v/>
      </c>
      <c r="AK316" s="93" t="str">
        <f aca="false">IF(ISBLANK($C316),"",IF(J316=Constants!$B$2,TRUE(),IF(J316=Constants!$B$3,FALSE(),TRUE())))</f>
        <v/>
      </c>
      <c r="AL316" s="93" t="str">
        <f aca="false">IF(ISBLANK($C316),"",IF(K316=Constants!$B$4,TRUE(),IF(K316=Constants!$B$5,FALSE(),COUNTA(L316:P316)&gt;0)))</f>
        <v/>
      </c>
      <c r="AM316" s="95" t="str">
        <f aca="false">IF(ISBLANK($C316),"",IF(ISNUMBER(L316),IF(L316&gt;=0,L316,""),""))</f>
        <v/>
      </c>
      <c r="AN316" s="94" t="str">
        <f aca="false">IF(ISBLANK($C316),"",IF(ISNUMBER(M316),IF(M316&gt;=0,M316,""),""))</f>
        <v/>
      </c>
      <c r="AO316" s="94" t="str">
        <f aca="false">IF(ISBLANK($C316),"",IF(N316=Constants!$B$2,TRUE(),IF(N316=Constants!$B$3,FALSE(),TRUE())))</f>
        <v/>
      </c>
      <c r="AP316" s="93" t="str">
        <f aca="false">IF(ISBLANK($C316),"",IF(ISNUMBER(O316),IF(O316&gt;=0,O316,""),""))</f>
        <v/>
      </c>
      <c r="AQ316" s="93" t="str">
        <f aca="false">IF(ISBLANK($C316),"",IF(P316=Constants!$B$2,TRUE(),IF(P316=Constants!$B$3,FALSE(),FALSE())))</f>
        <v/>
      </c>
      <c r="AR316" s="93" t="str">
        <f aca="false">IF(ISBLANK($C316),"",IF(Q316=Constants!$B$2,TRUE(),IF(Q316=Constants!$B$3,FALSE(),TRUE())))</f>
        <v/>
      </c>
      <c r="AS316" s="93" t="str">
        <f aca="false">IF(ISBLANK($C316),"",IF(R316=Constants!$B$2,TRUE(),IF(R316=Constants!$B$3,FALSE(),TRUE())))</f>
        <v/>
      </c>
      <c r="AT316" s="93" t="str">
        <f aca="false">IF(ISBLANK($C316),"",IF(S316=Constants!$B$4,TRUE(),IF(S316=Constants!$B$5,FALSE(),COUNTA(T316:X316)&gt;0)))</f>
        <v/>
      </c>
      <c r="AU316" s="95" t="str">
        <f aca="false">IF(ISBLANK($C316),"",IF(ISNUMBER(T316),IF(T316&gt;=0,T316,""),""))</f>
        <v/>
      </c>
      <c r="AV316" s="94" t="str">
        <f aca="false">IF(ISBLANK($C316),"",IF(ISNUMBER(U316),IF(U316&gt;=0,U316,""),""))</f>
        <v/>
      </c>
      <c r="AW316" s="94" t="str">
        <f aca="false">IF(ISBLANK($C316),"",IF(V316=Constants!$B$2,TRUE(),IF(V316=Constants!$B$3,FALSE(),TRUE())))</f>
        <v/>
      </c>
      <c r="AX316" s="93" t="str">
        <f aca="false">IF(ISBLANK($C316),"",IF(ISNUMBER(W316),IF(W316&gt;=0,W316,""),""))</f>
        <v/>
      </c>
      <c r="AY316" s="93" t="str">
        <f aca="false">IF(ISBLANK($C316),"",IF(X316=Constants!$B$2,TRUE(),IF(X316=Constants!$B$3,FALSE(),FALSE())))</f>
        <v/>
      </c>
      <c r="AZ316" s="93" t="str">
        <f aca="false">IF(ISBLANK($C316),"",MIN(Constants!$B$25,MAX(0,IF(ISNUMBER(Y316),Y316*60,0)+IF(ISNUMBER(Z316),Z316,0))))</f>
        <v/>
      </c>
      <c r="BA316" s="93" t="str">
        <f aca="false">IF(ISBLANK($C316),"",IF(AA316=Constants!$B$2,TRUE(),IF(AA316=Constants!$B$3,FALSE(),FALSE())))</f>
        <v/>
      </c>
      <c r="BB316" s="92" t="str">
        <f aca="false">IF(ISBLANK($C316),"",AND($AL316,OR($AM316="",$AN316="",AND($AO316,$AP316=""))))</f>
        <v/>
      </c>
      <c r="BC316" s="94" t="str">
        <f aca="false">IF($BX316&lt;&gt;Constants!$B$6,"",IF($AL316,Constants!$B$17*$AN316+Constants!$B$18*IF($AO316,$AP316,Constants!$B$19),Constants!$B$20))</f>
        <v/>
      </c>
      <c r="BD316" s="97" t="str">
        <f aca="false">IF($BX316&lt;&gt;Constants!$B$6,"",Constants!$B$21*ABS($AD$9-IF($AL316,$AM316,0)))</f>
        <v/>
      </c>
      <c r="BE316" s="97" t="str">
        <f aca="false">IF($BX316&lt;&gt;Constants!$B$6,"",IF(AND($AL316,$AQ316,$AO316),Constants!$B$22,0))</f>
        <v/>
      </c>
      <c r="BF316" s="97" t="str">
        <f aca="false">IF($BX316&lt;&gt;Constants!$B$6,"",IF($AL316,($AI316-Constants!$B$24)*Constants!$B$23,0))</f>
        <v/>
      </c>
      <c r="BG316" s="97" t="str">
        <f aca="false">IF($BX316&lt;&gt;Constants!$B$6,"",IF($AK316,0,Constants!$B$12)+IF($AJ316,0,Constants!$B$13)+IF($AH316,0,Constants!$B$14))</f>
        <v/>
      </c>
      <c r="BH316" s="98" t="str">
        <f aca="false">IF($BX316&lt;&gt;Constants!$B$6,"",Constants!$B$16+SUM($BC316:$BG316))</f>
        <v/>
      </c>
      <c r="BI316" s="97" t="str">
        <f aca="false">IF($BX316&lt;&gt;Constants!$B$6,"",$BC316)</f>
        <v/>
      </c>
      <c r="BJ316" s="97" t="str">
        <f aca="false">IF($BX316&lt;&gt;Constants!$B$6,"",$BD316)</f>
        <v/>
      </c>
      <c r="BK316" s="99" t="str">
        <f aca="false">IF($BX316&lt;&gt;Constants!$B$6,"",IF($AL316,$AN316,""))</f>
        <v/>
      </c>
      <c r="BL316" s="93" t="str">
        <f aca="false">IF($BX316&lt;&gt;Constants!$B$6,"",IF(OR($BS316&lt;$BH316,AND($BS316=$BH316,OR($BT316&lt;$BI316,AND($BT316=$BI316,OR($BU316&lt;$BJ316,AND($BU316=$BJ316,AND(ISNUMBER($BV316),OR(NOT(ISNUMBER($BK316)),$BV316&lt;$BK316)))))))),"-&gt;","&lt;-"))</f>
        <v/>
      </c>
      <c r="BM316" s="92" t="str">
        <f aca="false">IF(ISBLANK($C316),"",AND($AT316,OR($AU316="",$AV316="",AND($AW316,$AX316=""))))</f>
        <v/>
      </c>
      <c r="BN316" s="94" t="str">
        <f aca="false">IF($BX316&lt;&gt;Constants!$B$6,"",IF($AT316,Constants!$B$17*$AV316+Constants!$B$18*IF($AW316,$AX316,Constants!$B$19),Constants!$B$20))</f>
        <v/>
      </c>
      <c r="BO316" s="97" t="str">
        <f aca="false">IF($BX316&lt;&gt;Constants!$B$6,"",Constants!$B$21*ABS($AD$9-IF($AT316,$AU316,0)))</f>
        <v/>
      </c>
      <c r="BP316" s="97" t="str">
        <f aca="false">IF($BX316&lt;&gt;Constants!$B$6,"",IF(AND($AT316,$AY316,$AW316),Constants!$B$22,0))</f>
        <v/>
      </c>
      <c r="BQ316" s="97" t="str">
        <f aca="false">IF($BX316&lt;&gt;Constants!$B$6,"",IF($AT316,($AI316-Constants!$B$24)*Constants!$B$23,0))</f>
        <v/>
      </c>
      <c r="BR316" s="97" t="str">
        <f aca="false">IF($BX316&lt;&gt;Constants!$B$6,"",IF($AS316,0,Constants!$B$12)+IF($AR316,0,Constants!$B$13)+IF($AH316,0,Constants!$B$14))</f>
        <v/>
      </c>
      <c r="BS316" s="98" t="str">
        <f aca="false">IF($BX316&lt;&gt;Constants!$B$6,"",Constants!$B$16+SUM($BN316:$BR316))</f>
        <v/>
      </c>
      <c r="BT316" s="97" t="str">
        <f aca="false">IF($BX316&lt;&gt;Constants!$B$6,"",$BN316)</f>
        <v/>
      </c>
      <c r="BU316" s="97" t="str">
        <f aca="false">IF($BX316&lt;&gt;Constants!$B$6,"",$BO316)</f>
        <v/>
      </c>
      <c r="BV316" s="99" t="str">
        <f aca="false">IF($BX316&lt;&gt;Constants!$B$6,"",IF($AT316,$AV316,""))</f>
        <v/>
      </c>
      <c r="BW316" s="93" t="str">
        <f aca="false">IF(ISBLANK($C316),"",IF(ISBLANK($D$7),$BW$5,IF(NOT(ISNUMBER($D$7)),$BW$6,"")))</f>
        <v/>
      </c>
      <c r="BX316" s="93" t="str">
        <f aca="false">IF(ISBLANK($C316),"",IF($BA316,Constants!$B$9,IF(COUNTA($E316:$AA316)=0,Constants!$B$8,IF(NOT($AG316),Constants!$B$7,IF(OR($BW316&lt;&gt;"",$BB316,$BM316),Constants!$B$10,Constants!$B$6)))))</f>
        <v/>
      </c>
      <c r="BY316" s="93" t="str">
        <f aca="false">IF(ISBLANK($C316),"",IF($BX316&lt;&gt;Constants!$B$6,$BX316,Constants!$B$11))</f>
        <v/>
      </c>
      <c r="BZ316" s="97" t="str">
        <f aca="false">IF($BX316&lt;&gt;Constants!$B$6,"",IF($BL316="-&gt;",$BS316,$BH316))</f>
        <v/>
      </c>
      <c r="CA316" s="97" t="str">
        <f aca="false">IF($BX316&lt;&gt;Constants!$B$6,"",IF($AF316,0,Constants!$B$15))</f>
        <v/>
      </c>
      <c r="CB316" s="97" t="str">
        <f aca="false">IF($BX316&lt;&gt;Constants!$B$6,"",((Constants!$B$25-$AZ316)-Constants!$B$25)/Constants!$B$26)</f>
        <v/>
      </c>
      <c r="CC316" s="97" t="str">
        <f aca="false">IF(ISBLANK($C316),"",IF($BX316&lt;&gt;Constants!$B$6,$BX316,SUM($BZ316:$CB316)))</f>
        <v/>
      </c>
      <c r="CD316" s="93" t="str">
        <f aca="false">IF(ISBLANK($C316),"",IF($BX316&lt;&gt;Constants!$B$6,$BX316,RANK($CC316,$CC$9:$CC$508,1)))</f>
        <v/>
      </c>
      <c r="CE316" s="97" t="str">
        <f aca="false">IF($BX316&lt;&gt;Constants!$B$6,"",IF($BL316="-&gt;",$BT316,$BI316))</f>
        <v/>
      </c>
      <c r="CF316" s="93" t="str">
        <f aca="false">IF(ISBLANK($C316),"",IF($BX316&lt;&gt;Constants!$B$6,$BX316,IF(ISNUMBER($CE316),RANK($CE316,$CE$9:$CE$508,1),COUNT($CE$9:$CE$508)+1)))</f>
        <v/>
      </c>
      <c r="CG316" s="97" t="str">
        <f aca="false">IF($BX316&lt;&gt;Constants!$B$6,"",IF($BL316="-&gt;",$BU316,$BJ316))</f>
        <v/>
      </c>
      <c r="CH316" s="93" t="str">
        <f aca="false">IF(ISBLANK($C316),"",IF($BX316&lt;&gt;Constants!$B$6,$BX316,IF(ISNUMBER($CG316),RANK($CG316,$CG$9:$CG$508,1),COUNT($CG$9:$CG$508)+1)))</f>
        <v/>
      </c>
      <c r="CI316" s="97" t="str">
        <f aca="false">IF($BX316&lt;&gt;Constants!$B$6,"",IF($BL316="-&gt;",$BV316,$BK316))</f>
        <v/>
      </c>
      <c r="CJ316" s="93" t="str">
        <f aca="false">IF(ISBLANK($C316),"",IF($BX316&lt;&gt;Constants!$B$6,$BX316,IF(ISNUMBER($CI316),RANK($CI316,$CI$9:$CI$508,1),COUNT($CI$9:$CI$508)+1)))</f>
        <v/>
      </c>
      <c r="CK316" s="97" t="str">
        <f aca="false">IF($BX316&lt;&gt;Constants!$B$6,"",$AI316)</f>
        <v/>
      </c>
      <c r="CL316" s="93" t="str">
        <f aca="false">IF(ISBLANK($C316),"",IF($BX316&lt;&gt;Constants!$B$6,$BX316,IF(ISNUMBER($CK316),RANK($CK316,$CK$9:$CK$508,1),COUNT($CK$9:$CK$508)+1)))</f>
        <v/>
      </c>
      <c r="CM316" s="93" t="str">
        <f aca="false">IF(ISBLANK($C316),"",IF($BX316&lt;&gt;Constants!$B$6,$BX316,COUNTIFS($CD$9:$CD$508,"&lt;"&amp;$CD316)+COUNTIFS($CD$9:$CD$508,$CD316,$CF$9:$CF$508,"&lt;"&amp;$CF316)+COUNTIFS($CD$9:$CD$508,$CD316,$CF$9:$CF$508,$CF316,$CH$9:$CH$508,"&lt;"&amp;$CH316)+COUNTIFS($CD$9:$CD$508,$CD316,$CF$9:$CF$508,$CF316,$CH$9:$CH$508,$CH316,$CJ$9:$CJ$508,"&lt;"&amp;$CJ316)+COUNTIFS($CD$9:$CD$508,$CD316,$CF$9:$CF$508,$CF316,$CH$9:$CH$508,$CH316,$CJ$9:$CJ$508,$CJ316,$CL$9:$CL$508,"&lt;"&amp;$CL316)+1))</f>
        <v/>
      </c>
      <c r="CN316" s="93" t="str">
        <f aca="false">IF(ISBLANK($C316),"",IF($BX316&lt;&gt;Constants!$B$6,$BX316,$CD316-$CM316))</f>
        <v/>
      </c>
      <c r="CO316" s="100"/>
      <c r="CP316" s="101"/>
      <c r="CQ316" s="102" t="str">
        <f aca="false">IF(ISBLANK($C316),"",IF($BX316=Constants!$B$10,$BW316,""))</f>
        <v/>
      </c>
      <c r="CR316" s="101" t="str">
        <f aca="false">IF(ISBLANK($C316),"",IF($BX316&lt;&gt;Constants!$B$6,"",IF($BL316="-&gt;",2,1)))</f>
        <v/>
      </c>
      <c r="CS316" s="103" t="str">
        <f aca="false">IF(ISBLANK($C316),"",IF($BX316&lt;&gt;Constants!$B$6,"",IF($BL316="-&gt;",$BN316,$BC316)))</f>
        <v/>
      </c>
      <c r="CT316" s="103" t="str">
        <f aca="false">IF(ISBLANK($C316),"",IF($BX316&lt;&gt;Constants!$B$6,"",IF($BL316="-&gt;",$BO316,$BD316)))</f>
        <v/>
      </c>
      <c r="CU316" s="103" t="str">
        <f aca="false">IF(ISBLANK($C316),"",IF($BX316&lt;&gt;Constants!$B$6,"",IF($BL316="-&gt;",$BP316+$BQ316,$BE316+$BF316)+$CB316))</f>
        <v/>
      </c>
      <c r="CV316" s="103" t="str">
        <f aca="false">IF(ISBLANK($C316),"",IF($BX316&lt;&gt;Constants!$B$6,"",IF($BL316="-&gt;",$BR316,$BG316)+$CA316))</f>
        <v/>
      </c>
      <c r="CW316" s="104" t="str">
        <f aca="false">IF(ISBLANK($C316),"",IF($BX316&lt;&gt;Constants!$B$6,$BX316,$CC316))</f>
        <v/>
      </c>
      <c r="CX316" s="105" t="str">
        <f aca="false">IF(ISBLANK($C316),"",$BY316)</f>
        <v/>
      </c>
      <c r="CY316" s="106" t="str">
        <f aca="false">IF(ISBLANK($C316),"",$CN316)</f>
        <v/>
      </c>
      <c r="CZ316" s="106" t="str">
        <f aca="false">IF(ISBLANK($C316),"",$CM316)</f>
        <v/>
      </c>
      <c r="DA316" s="107" t="str">
        <f aca="false">IF(ISBLANK($C316),"",IFERROR(_xlfn.SWITCH($CZ316,Constants!$B$9,COUNTA($C$9:$C$508)+2,Constants!$B$8,COUNTA($C$9:$C$508)+1,Constants!$B$7,COUNTA($C$9:$C$508)),$CZ316))</f>
        <v/>
      </c>
      <c r="DB316" s="9"/>
      <c r="DC316" s="108" t="n">
        <f aca="false">IF(OR(ISNUMBER($CZ316),$CZ316=Constants!$B$9,$CZ316=Constants!$B$7,$CZ316=Constants!$B$8),1,0)</f>
        <v>0</v>
      </c>
      <c r="DD316" s="108" t="n">
        <v>308</v>
      </c>
      <c r="DE316" s="108" t="str">
        <f aca="false">IF(ISBLANK($C316),"",IF(ISNUMBER($DA316),$DA316+ROW($B316)/1000,""))</f>
        <v/>
      </c>
      <c r="DF316" s="108" t="str">
        <f aca="false">IF(ISNUMBER($DE316),RANK($DE316,$DE$9:$DE$508,1),"")</f>
        <v/>
      </c>
      <c r="DG316" s="108" t="str">
        <f aca="false">IF(ISBLANK($C316),"",$B316)</f>
        <v/>
      </c>
      <c r="DH316" s="108" t="str">
        <f aca="false">IF(ISBLANK($C316),"",$C316)</f>
        <v/>
      </c>
      <c r="DI316" s="108" t="str">
        <f aca="false">IF(ISBLANK($C316),"",$D316)</f>
        <v/>
      </c>
      <c r="DJ316" s="109" t="str">
        <f aca="false">$CX316</f>
        <v/>
      </c>
      <c r="DK316" s="110" t="str">
        <f aca="false">$CW316</f>
        <v/>
      </c>
      <c r="DL316" s="108" t="str">
        <f aca="false">IF(ISBLANK($C316),"",$CZ316)</f>
        <v/>
      </c>
      <c r="DM316" s="111" t="str">
        <f aca="false">IF($DD316&gt;$DC$8,"",VLOOKUP($DD316,$DF$9:$DL$508,7,FALSE()))</f>
        <v/>
      </c>
      <c r="DN316" s="112" t="str">
        <f aca="false">IF($DD316&gt;$DC$8,"",VLOOKUP($DD316,$DF$9:$DL$508,2,FALSE()))</f>
        <v/>
      </c>
      <c r="DO316" s="112" t="str">
        <f aca="false">IF($DD316&gt;$DC$8,"",VLOOKUP($DD316,$DF$9:$DL$508,3,FALSE()))</f>
        <v/>
      </c>
      <c r="DP316" s="112" t="str">
        <f aca="false">IF($DD316&gt;$DC$8,"",VLOOKUP($DD316,$DF$9:$DL$508,4,FALSE()))</f>
        <v/>
      </c>
      <c r="DQ316" s="112" t="str">
        <f aca="false">IF($DD316&gt;$DC$8,"",VLOOKUP($DD316,$DF$9:$DL$508,5,FALSE()))</f>
        <v/>
      </c>
      <c r="DR316" s="113" t="str">
        <f aca="false">IF($DD316&gt;$DC$8,"",VLOOKUP($DD316,$DF$9:$DL$508,6,FALSE()))</f>
        <v/>
      </c>
      <c r="DS316" s="76"/>
    </row>
    <row r="317" customFormat="false" ht="15.75" hidden="false" customHeight="false" outlineLevel="0" collapsed="false">
      <c r="A317" s="9"/>
      <c r="B317" s="78"/>
      <c r="C317" s="79"/>
      <c r="D317" s="170"/>
      <c r="E317" s="178"/>
      <c r="F317" s="172"/>
      <c r="G317" s="173"/>
      <c r="H317" s="173"/>
      <c r="I317" s="179"/>
      <c r="J317" s="176"/>
      <c r="K317" s="86"/>
      <c r="L317" s="87"/>
      <c r="M317" s="88"/>
      <c r="N317" s="176"/>
      <c r="O317" s="176"/>
      <c r="P317" s="178"/>
      <c r="Q317" s="176"/>
      <c r="R317" s="176"/>
      <c r="S317" s="86"/>
      <c r="T317" s="88"/>
      <c r="U317" s="88"/>
      <c r="V317" s="176"/>
      <c r="W317" s="176"/>
      <c r="X317" s="178"/>
      <c r="Y317" s="176"/>
      <c r="Z317" s="177"/>
      <c r="AA317" s="176"/>
      <c r="AB317" s="92"/>
      <c r="AC317" s="93"/>
      <c r="AD317" s="93"/>
      <c r="AE317" s="93"/>
      <c r="AF317" s="93" t="str">
        <f aca="false">IF(ISBLANK($C317),"",IF(E317=Constants!$B$2,TRUE(),IF(E317=Constants!$B$3,FALSE(),TRUE())))</f>
        <v/>
      </c>
      <c r="AG317" s="93" t="str">
        <f aca="false">IF(ISBLANK($C317),"",IF(F317=Constants!$B$2,TRUE(),IF(F317=Constants!$B$3,FALSE(),TRUE())))</f>
        <v/>
      </c>
      <c r="AH317" s="93" t="str">
        <f aca="false">IF(ISBLANK($C317),"",IF(G317=Constants!$B$2,TRUE(),IF(G317=Constants!$B$3,FALSE(),TRUE())))</f>
        <v/>
      </c>
      <c r="AI317" s="93" t="str">
        <f aca="false">IF(ISBLANK($C317),"",IF(AND(ISNUMBER(H317),H317&gt;=0),H317,Constants!$B$24))</f>
        <v/>
      </c>
      <c r="AJ317" s="93" t="str">
        <f aca="false">IF(ISBLANK($C317),"",IF(I317=Constants!$B$2,TRUE(),IF(I317=Constants!$B$3,FALSE(),TRUE())))</f>
        <v/>
      </c>
      <c r="AK317" s="93" t="str">
        <f aca="false">IF(ISBLANK($C317),"",IF(J317=Constants!$B$2,TRUE(),IF(J317=Constants!$B$3,FALSE(),TRUE())))</f>
        <v/>
      </c>
      <c r="AL317" s="93" t="str">
        <f aca="false">IF(ISBLANK($C317),"",IF(K317=Constants!$B$4,TRUE(),IF(K317=Constants!$B$5,FALSE(),COUNTA(L317:P317)&gt;0)))</f>
        <v/>
      </c>
      <c r="AM317" s="95" t="str">
        <f aca="false">IF(ISBLANK($C317),"",IF(ISNUMBER(L317),IF(L317&gt;=0,L317,""),""))</f>
        <v/>
      </c>
      <c r="AN317" s="94" t="str">
        <f aca="false">IF(ISBLANK($C317),"",IF(ISNUMBER(M317),IF(M317&gt;=0,M317,""),""))</f>
        <v/>
      </c>
      <c r="AO317" s="94" t="str">
        <f aca="false">IF(ISBLANK($C317),"",IF(N317=Constants!$B$2,TRUE(),IF(N317=Constants!$B$3,FALSE(),TRUE())))</f>
        <v/>
      </c>
      <c r="AP317" s="93" t="str">
        <f aca="false">IF(ISBLANK($C317),"",IF(ISNUMBER(O317),IF(O317&gt;=0,O317,""),""))</f>
        <v/>
      </c>
      <c r="AQ317" s="93" t="str">
        <f aca="false">IF(ISBLANK($C317),"",IF(P317=Constants!$B$2,TRUE(),IF(P317=Constants!$B$3,FALSE(),FALSE())))</f>
        <v/>
      </c>
      <c r="AR317" s="93" t="str">
        <f aca="false">IF(ISBLANK($C317),"",IF(Q317=Constants!$B$2,TRUE(),IF(Q317=Constants!$B$3,FALSE(),TRUE())))</f>
        <v/>
      </c>
      <c r="AS317" s="93" t="str">
        <f aca="false">IF(ISBLANK($C317),"",IF(R317=Constants!$B$2,TRUE(),IF(R317=Constants!$B$3,FALSE(),TRUE())))</f>
        <v/>
      </c>
      <c r="AT317" s="93" t="str">
        <f aca="false">IF(ISBLANK($C317),"",IF(S317=Constants!$B$4,TRUE(),IF(S317=Constants!$B$5,FALSE(),COUNTA(T317:X317)&gt;0)))</f>
        <v/>
      </c>
      <c r="AU317" s="95" t="str">
        <f aca="false">IF(ISBLANK($C317),"",IF(ISNUMBER(T317),IF(T317&gt;=0,T317,""),""))</f>
        <v/>
      </c>
      <c r="AV317" s="94" t="str">
        <f aca="false">IF(ISBLANK($C317),"",IF(ISNUMBER(U317),IF(U317&gt;=0,U317,""),""))</f>
        <v/>
      </c>
      <c r="AW317" s="94" t="str">
        <f aca="false">IF(ISBLANK($C317),"",IF(V317=Constants!$B$2,TRUE(),IF(V317=Constants!$B$3,FALSE(),TRUE())))</f>
        <v/>
      </c>
      <c r="AX317" s="93" t="str">
        <f aca="false">IF(ISBLANK($C317),"",IF(ISNUMBER(W317),IF(W317&gt;=0,W317,""),""))</f>
        <v/>
      </c>
      <c r="AY317" s="93" t="str">
        <f aca="false">IF(ISBLANK($C317),"",IF(X317=Constants!$B$2,TRUE(),IF(X317=Constants!$B$3,FALSE(),FALSE())))</f>
        <v/>
      </c>
      <c r="AZ317" s="93" t="str">
        <f aca="false">IF(ISBLANK($C317),"",MIN(Constants!$B$25,MAX(0,IF(ISNUMBER(Y317),Y317*60,0)+IF(ISNUMBER(Z317),Z317,0))))</f>
        <v/>
      </c>
      <c r="BA317" s="93" t="str">
        <f aca="false">IF(ISBLANK($C317),"",IF(AA317=Constants!$B$2,TRUE(),IF(AA317=Constants!$B$3,FALSE(),FALSE())))</f>
        <v/>
      </c>
      <c r="BB317" s="92" t="str">
        <f aca="false">IF(ISBLANK($C317),"",AND($AL317,OR($AM317="",$AN317="",AND($AO317,$AP317=""))))</f>
        <v/>
      </c>
      <c r="BC317" s="94" t="str">
        <f aca="false">IF($BX317&lt;&gt;Constants!$B$6,"",IF($AL317,Constants!$B$17*$AN317+Constants!$B$18*IF($AO317,$AP317,Constants!$B$19),Constants!$B$20))</f>
        <v/>
      </c>
      <c r="BD317" s="97" t="str">
        <f aca="false">IF($BX317&lt;&gt;Constants!$B$6,"",Constants!$B$21*ABS($AD$9-IF($AL317,$AM317,0)))</f>
        <v/>
      </c>
      <c r="BE317" s="97" t="str">
        <f aca="false">IF($BX317&lt;&gt;Constants!$B$6,"",IF(AND($AL317,$AQ317,$AO317),Constants!$B$22,0))</f>
        <v/>
      </c>
      <c r="BF317" s="97" t="str">
        <f aca="false">IF($BX317&lt;&gt;Constants!$B$6,"",IF($AL317,($AI317-Constants!$B$24)*Constants!$B$23,0))</f>
        <v/>
      </c>
      <c r="BG317" s="97" t="str">
        <f aca="false">IF($BX317&lt;&gt;Constants!$B$6,"",IF($AK317,0,Constants!$B$12)+IF($AJ317,0,Constants!$B$13)+IF($AH317,0,Constants!$B$14))</f>
        <v/>
      </c>
      <c r="BH317" s="98" t="str">
        <f aca="false">IF($BX317&lt;&gt;Constants!$B$6,"",Constants!$B$16+SUM($BC317:$BG317))</f>
        <v/>
      </c>
      <c r="BI317" s="97" t="str">
        <f aca="false">IF($BX317&lt;&gt;Constants!$B$6,"",$BC317)</f>
        <v/>
      </c>
      <c r="BJ317" s="97" t="str">
        <f aca="false">IF($BX317&lt;&gt;Constants!$B$6,"",$BD317)</f>
        <v/>
      </c>
      <c r="BK317" s="99" t="str">
        <f aca="false">IF($BX317&lt;&gt;Constants!$B$6,"",IF($AL317,$AN317,""))</f>
        <v/>
      </c>
      <c r="BL317" s="93" t="str">
        <f aca="false">IF($BX317&lt;&gt;Constants!$B$6,"",IF(OR($BS317&lt;$BH317,AND($BS317=$BH317,OR($BT317&lt;$BI317,AND($BT317=$BI317,OR($BU317&lt;$BJ317,AND($BU317=$BJ317,AND(ISNUMBER($BV317),OR(NOT(ISNUMBER($BK317)),$BV317&lt;$BK317)))))))),"-&gt;","&lt;-"))</f>
        <v/>
      </c>
      <c r="BM317" s="92" t="str">
        <f aca="false">IF(ISBLANK($C317),"",AND($AT317,OR($AU317="",$AV317="",AND($AW317,$AX317=""))))</f>
        <v/>
      </c>
      <c r="BN317" s="94" t="str">
        <f aca="false">IF($BX317&lt;&gt;Constants!$B$6,"",IF($AT317,Constants!$B$17*$AV317+Constants!$B$18*IF($AW317,$AX317,Constants!$B$19),Constants!$B$20))</f>
        <v/>
      </c>
      <c r="BO317" s="97" t="str">
        <f aca="false">IF($BX317&lt;&gt;Constants!$B$6,"",Constants!$B$21*ABS($AD$9-IF($AT317,$AU317,0)))</f>
        <v/>
      </c>
      <c r="BP317" s="97" t="str">
        <f aca="false">IF($BX317&lt;&gt;Constants!$B$6,"",IF(AND($AT317,$AY317,$AW317),Constants!$B$22,0))</f>
        <v/>
      </c>
      <c r="BQ317" s="97" t="str">
        <f aca="false">IF($BX317&lt;&gt;Constants!$B$6,"",IF($AT317,($AI317-Constants!$B$24)*Constants!$B$23,0))</f>
        <v/>
      </c>
      <c r="BR317" s="97" t="str">
        <f aca="false">IF($BX317&lt;&gt;Constants!$B$6,"",IF($AS317,0,Constants!$B$12)+IF($AR317,0,Constants!$B$13)+IF($AH317,0,Constants!$B$14))</f>
        <v/>
      </c>
      <c r="BS317" s="98" t="str">
        <f aca="false">IF($BX317&lt;&gt;Constants!$B$6,"",Constants!$B$16+SUM($BN317:$BR317))</f>
        <v/>
      </c>
      <c r="BT317" s="97" t="str">
        <f aca="false">IF($BX317&lt;&gt;Constants!$B$6,"",$BN317)</f>
        <v/>
      </c>
      <c r="BU317" s="97" t="str">
        <f aca="false">IF($BX317&lt;&gt;Constants!$B$6,"",$BO317)</f>
        <v/>
      </c>
      <c r="BV317" s="99" t="str">
        <f aca="false">IF($BX317&lt;&gt;Constants!$B$6,"",IF($AT317,$AV317,""))</f>
        <v/>
      </c>
      <c r="BW317" s="93" t="str">
        <f aca="false">IF(ISBLANK($C317),"",IF(ISBLANK($D$7),$BW$5,IF(NOT(ISNUMBER($D$7)),$BW$6,"")))</f>
        <v/>
      </c>
      <c r="BX317" s="93" t="str">
        <f aca="false">IF(ISBLANK($C317),"",IF($BA317,Constants!$B$9,IF(COUNTA($E317:$AA317)=0,Constants!$B$8,IF(NOT($AG317),Constants!$B$7,IF(OR($BW317&lt;&gt;"",$BB317,$BM317),Constants!$B$10,Constants!$B$6)))))</f>
        <v/>
      </c>
      <c r="BY317" s="93" t="str">
        <f aca="false">IF(ISBLANK($C317),"",IF($BX317&lt;&gt;Constants!$B$6,$BX317,Constants!$B$11))</f>
        <v/>
      </c>
      <c r="BZ317" s="97" t="str">
        <f aca="false">IF($BX317&lt;&gt;Constants!$B$6,"",IF($BL317="-&gt;",$BS317,$BH317))</f>
        <v/>
      </c>
      <c r="CA317" s="97" t="str">
        <f aca="false">IF($BX317&lt;&gt;Constants!$B$6,"",IF($AF317,0,Constants!$B$15))</f>
        <v/>
      </c>
      <c r="CB317" s="97" t="str">
        <f aca="false">IF($BX317&lt;&gt;Constants!$B$6,"",((Constants!$B$25-$AZ317)-Constants!$B$25)/Constants!$B$26)</f>
        <v/>
      </c>
      <c r="CC317" s="97" t="str">
        <f aca="false">IF(ISBLANK($C317),"",IF($BX317&lt;&gt;Constants!$B$6,$BX317,SUM($BZ317:$CB317)))</f>
        <v/>
      </c>
      <c r="CD317" s="93" t="str">
        <f aca="false">IF(ISBLANK($C317),"",IF($BX317&lt;&gt;Constants!$B$6,$BX317,RANK($CC317,$CC$9:$CC$508,1)))</f>
        <v/>
      </c>
      <c r="CE317" s="97" t="str">
        <f aca="false">IF($BX317&lt;&gt;Constants!$B$6,"",IF($BL317="-&gt;",$BT317,$BI317))</f>
        <v/>
      </c>
      <c r="CF317" s="93" t="str">
        <f aca="false">IF(ISBLANK($C317),"",IF($BX317&lt;&gt;Constants!$B$6,$BX317,IF(ISNUMBER($CE317),RANK($CE317,$CE$9:$CE$508,1),COUNT($CE$9:$CE$508)+1)))</f>
        <v/>
      </c>
      <c r="CG317" s="97" t="str">
        <f aca="false">IF($BX317&lt;&gt;Constants!$B$6,"",IF($BL317="-&gt;",$BU317,$BJ317))</f>
        <v/>
      </c>
      <c r="CH317" s="93" t="str">
        <f aca="false">IF(ISBLANK($C317),"",IF($BX317&lt;&gt;Constants!$B$6,$BX317,IF(ISNUMBER($CG317),RANK($CG317,$CG$9:$CG$508,1),COUNT($CG$9:$CG$508)+1)))</f>
        <v/>
      </c>
      <c r="CI317" s="97" t="str">
        <f aca="false">IF($BX317&lt;&gt;Constants!$B$6,"",IF($BL317="-&gt;",$BV317,$BK317))</f>
        <v/>
      </c>
      <c r="CJ317" s="93" t="str">
        <f aca="false">IF(ISBLANK($C317),"",IF($BX317&lt;&gt;Constants!$B$6,$BX317,IF(ISNUMBER($CI317),RANK($CI317,$CI$9:$CI$508,1),COUNT($CI$9:$CI$508)+1)))</f>
        <v/>
      </c>
      <c r="CK317" s="97" t="str">
        <f aca="false">IF($BX317&lt;&gt;Constants!$B$6,"",$AI317)</f>
        <v/>
      </c>
      <c r="CL317" s="93" t="str">
        <f aca="false">IF(ISBLANK($C317),"",IF($BX317&lt;&gt;Constants!$B$6,$BX317,IF(ISNUMBER($CK317),RANK($CK317,$CK$9:$CK$508,1),COUNT($CK$9:$CK$508)+1)))</f>
        <v/>
      </c>
      <c r="CM317" s="93" t="str">
        <f aca="false">IF(ISBLANK($C317),"",IF($BX317&lt;&gt;Constants!$B$6,$BX317,COUNTIFS($CD$9:$CD$508,"&lt;"&amp;$CD317)+COUNTIFS($CD$9:$CD$508,$CD317,$CF$9:$CF$508,"&lt;"&amp;$CF317)+COUNTIFS($CD$9:$CD$508,$CD317,$CF$9:$CF$508,$CF317,$CH$9:$CH$508,"&lt;"&amp;$CH317)+COUNTIFS($CD$9:$CD$508,$CD317,$CF$9:$CF$508,$CF317,$CH$9:$CH$508,$CH317,$CJ$9:$CJ$508,"&lt;"&amp;$CJ317)+COUNTIFS($CD$9:$CD$508,$CD317,$CF$9:$CF$508,$CF317,$CH$9:$CH$508,$CH317,$CJ$9:$CJ$508,$CJ317,$CL$9:$CL$508,"&lt;"&amp;$CL317)+1))</f>
        <v/>
      </c>
      <c r="CN317" s="93" t="str">
        <f aca="false">IF(ISBLANK($C317),"",IF($BX317&lt;&gt;Constants!$B$6,$BX317,$CD317-$CM317))</f>
        <v/>
      </c>
      <c r="CO317" s="100"/>
      <c r="CP317" s="101"/>
      <c r="CQ317" s="102" t="str">
        <f aca="false">IF(ISBLANK($C317),"",IF($BX317=Constants!$B$10,$BW317,""))</f>
        <v/>
      </c>
      <c r="CR317" s="101" t="str">
        <f aca="false">IF(ISBLANK($C317),"",IF($BX317&lt;&gt;Constants!$B$6,"",IF($BL317="-&gt;",2,1)))</f>
        <v/>
      </c>
      <c r="CS317" s="103" t="str">
        <f aca="false">IF(ISBLANK($C317),"",IF($BX317&lt;&gt;Constants!$B$6,"",IF($BL317="-&gt;",$BN317,$BC317)))</f>
        <v/>
      </c>
      <c r="CT317" s="103" t="str">
        <f aca="false">IF(ISBLANK($C317),"",IF($BX317&lt;&gt;Constants!$B$6,"",IF($BL317="-&gt;",$BO317,$BD317)))</f>
        <v/>
      </c>
      <c r="CU317" s="103" t="str">
        <f aca="false">IF(ISBLANK($C317),"",IF($BX317&lt;&gt;Constants!$B$6,"",IF($BL317="-&gt;",$BP317+$BQ317,$BE317+$BF317)+$CB317))</f>
        <v/>
      </c>
      <c r="CV317" s="103" t="str">
        <f aca="false">IF(ISBLANK($C317),"",IF($BX317&lt;&gt;Constants!$B$6,"",IF($BL317="-&gt;",$BR317,$BG317)+$CA317))</f>
        <v/>
      </c>
      <c r="CW317" s="104" t="str">
        <f aca="false">IF(ISBLANK($C317),"",IF($BX317&lt;&gt;Constants!$B$6,$BX317,$CC317))</f>
        <v/>
      </c>
      <c r="CX317" s="105" t="str">
        <f aca="false">IF(ISBLANK($C317),"",$BY317)</f>
        <v/>
      </c>
      <c r="CY317" s="106" t="str">
        <f aca="false">IF(ISBLANK($C317),"",$CN317)</f>
        <v/>
      </c>
      <c r="CZ317" s="106" t="str">
        <f aca="false">IF(ISBLANK($C317),"",$CM317)</f>
        <v/>
      </c>
      <c r="DA317" s="107" t="str">
        <f aca="false">IF(ISBLANK($C317),"",IFERROR(_xlfn.SWITCH($CZ317,Constants!$B$9,COUNTA($C$9:$C$508)+2,Constants!$B$8,COUNTA($C$9:$C$508)+1,Constants!$B$7,COUNTA($C$9:$C$508)),$CZ317))</f>
        <v/>
      </c>
      <c r="DB317" s="9"/>
      <c r="DC317" s="108" t="n">
        <f aca="false">IF(OR(ISNUMBER($CZ317),$CZ317=Constants!$B$9,$CZ317=Constants!$B$7,$CZ317=Constants!$B$8),1,0)</f>
        <v>0</v>
      </c>
      <c r="DD317" s="108" t="n">
        <v>309</v>
      </c>
      <c r="DE317" s="108" t="str">
        <f aca="false">IF(ISBLANK($C317),"",IF(ISNUMBER($DA317),$DA317+ROW($B317)/1000,""))</f>
        <v/>
      </c>
      <c r="DF317" s="108" t="str">
        <f aca="false">IF(ISNUMBER($DE317),RANK($DE317,$DE$9:$DE$508,1),"")</f>
        <v/>
      </c>
      <c r="DG317" s="108" t="str">
        <f aca="false">IF(ISBLANK($C317),"",$B317)</f>
        <v/>
      </c>
      <c r="DH317" s="108" t="str">
        <f aca="false">IF(ISBLANK($C317),"",$C317)</f>
        <v/>
      </c>
      <c r="DI317" s="108" t="str">
        <f aca="false">IF(ISBLANK($C317),"",$D317)</f>
        <v/>
      </c>
      <c r="DJ317" s="109" t="str">
        <f aca="false">$CX317</f>
        <v/>
      </c>
      <c r="DK317" s="110" t="str">
        <f aca="false">$CW317</f>
        <v/>
      </c>
      <c r="DL317" s="108" t="str">
        <f aca="false">IF(ISBLANK($C317),"",$CZ317)</f>
        <v/>
      </c>
      <c r="DM317" s="111" t="str">
        <f aca="false">IF($DD317&gt;$DC$8,"",VLOOKUP($DD317,$DF$9:$DL$508,7,FALSE()))</f>
        <v/>
      </c>
      <c r="DN317" s="112" t="str">
        <f aca="false">IF($DD317&gt;$DC$8,"",VLOOKUP($DD317,$DF$9:$DL$508,2,FALSE()))</f>
        <v/>
      </c>
      <c r="DO317" s="112" t="str">
        <f aca="false">IF($DD317&gt;$DC$8,"",VLOOKUP($DD317,$DF$9:$DL$508,3,FALSE()))</f>
        <v/>
      </c>
      <c r="DP317" s="112" t="str">
        <f aca="false">IF($DD317&gt;$DC$8,"",VLOOKUP($DD317,$DF$9:$DL$508,4,FALSE()))</f>
        <v/>
      </c>
      <c r="DQ317" s="112" t="str">
        <f aca="false">IF($DD317&gt;$DC$8,"",VLOOKUP($DD317,$DF$9:$DL$508,5,FALSE()))</f>
        <v/>
      </c>
      <c r="DR317" s="113" t="str">
        <f aca="false">IF($DD317&gt;$DC$8,"",VLOOKUP($DD317,$DF$9:$DL$508,6,FALSE()))</f>
        <v/>
      </c>
      <c r="DS317" s="76"/>
    </row>
    <row r="318" customFormat="false" ht="15.75" hidden="false" customHeight="false" outlineLevel="0" collapsed="false">
      <c r="A318" s="9"/>
      <c r="B318" s="160"/>
      <c r="C318" s="161"/>
      <c r="D318" s="162"/>
      <c r="E318" s="180"/>
      <c r="F318" s="164"/>
      <c r="G318" s="165"/>
      <c r="H318" s="165"/>
      <c r="I318" s="181"/>
      <c r="J318" s="168"/>
      <c r="K318" s="128"/>
      <c r="L318" s="129"/>
      <c r="M318" s="130"/>
      <c r="N318" s="168"/>
      <c r="O318" s="168"/>
      <c r="P318" s="180"/>
      <c r="Q318" s="168"/>
      <c r="R318" s="168"/>
      <c r="S318" s="128"/>
      <c r="T318" s="130"/>
      <c r="U318" s="130"/>
      <c r="V318" s="168"/>
      <c r="W318" s="168"/>
      <c r="X318" s="180"/>
      <c r="Y318" s="168"/>
      <c r="Z318" s="169"/>
      <c r="AA318" s="168"/>
      <c r="AB318" s="134"/>
      <c r="AC318" s="135"/>
      <c r="AD318" s="135"/>
      <c r="AE318" s="135"/>
      <c r="AF318" s="135" t="str">
        <f aca="false">IF(ISBLANK($C318),"",IF(E318=Constants!$B$2,TRUE(),IF(E318=Constants!$B$3,FALSE(),TRUE())))</f>
        <v/>
      </c>
      <c r="AG318" s="135" t="str">
        <f aca="false">IF(ISBLANK($C318),"",IF(F318=Constants!$B$2,TRUE(),IF(F318=Constants!$B$3,FALSE(),TRUE())))</f>
        <v/>
      </c>
      <c r="AH318" s="135" t="str">
        <f aca="false">IF(ISBLANK($C318),"",IF(G318=Constants!$B$2,TRUE(),IF(G318=Constants!$B$3,FALSE(),TRUE())))</f>
        <v/>
      </c>
      <c r="AI318" s="135" t="str">
        <f aca="false">IF(ISBLANK($C318),"",IF(AND(ISNUMBER(H318),H318&gt;=0),H318,Constants!$B$24))</f>
        <v/>
      </c>
      <c r="AJ318" s="135" t="str">
        <f aca="false">IF(ISBLANK($C318),"",IF(I318=Constants!$B$2,TRUE(),IF(I318=Constants!$B$3,FALSE(),TRUE())))</f>
        <v/>
      </c>
      <c r="AK318" s="135" t="str">
        <f aca="false">IF(ISBLANK($C318),"",IF(J318=Constants!$B$2,TRUE(),IF(J318=Constants!$B$3,FALSE(),TRUE())))</f>
        <v/>
      </c>
      <c r="AL318" s="135" t="str">
        <f aca="false">IF(ISBLANK($C318),"",IF(K318=Constants!$B$4,TRUE(),IF(K318=Constants!$B$5,FALSE(),COUNTA(L318:P318)&gt;0)))</f>
        <v/>
      </c>
      <c r="AM318" s="136" t="str">
        <f aca="false">IF(ISBLANK($C318),"",IF(ISNUMBER(L318),IF(L318&gt;=0,L318,""),""))</f>
        <v/>
      </c>
      <c r="AN318" s="137" t="str">
        <f aca="false">IF(ISBLANK($C318),"",IF(ISNUMBER(M318),IF(M318&gt;=0,M318,""),""))</f>
        <v/>
      </c>
      <c r="AO318" s="137" t="str">
        <f aca="false">IF(ISBLANK($C318),"",IF(N318=Constants!$B$2,TRUE(),IF(N318=Constants!$B$3,FALSE(),TRUE())))</f>
        <v/>
      </c>
      <c r="AP318" s="135" t="str">
        <f aca="false">IF(ISBLANK($C318),"",IF(ISNUMBER(O318),IF(O318&gt;=0,O318,""),""))</f>
        <v/>
      </c>
      <c r="AQ318" s="135" t="str">
        <f aca="false">IF(ISBLANK($C318),"",IF(P318=Constants!$B$2,TRUE(),IF(P318=Constants!$B$3,FALSE(),FALSE())))</f>
        <v/>
      </c>
      <c r="AR318" s="135" t="str">
        <f aca="false">IF(ISBLANK($C318),"",IF(Q318=Constants!$B$2,TRUE(),IF(Q318=Constants!$B$3,FALSE(),TRUE())))</f>
        <v/>
      </c>
      <c r="AS318" s="135" t="str">
        <f aca="false">IF(ISBLANK($C318),"",IF(R318=Constants!$B$2,TRUE(),IF(R318=Constants!$B$3,FALSE(),TRUE())))</f>
        <v/>
      </c>
      <c r="AT318" s="135" t="str">
        <f aca="false">IF(ISBLANK($C318),"",IF(S318=Constants!$B$4,TRUE(),IF(S318=Constants!$B$5,FALSE(),COUNTA(T318:X318)&gt;0)))</f>
        <v/>
      </c>
      <c r="AU318" s="136" t="str">
        <f aca="false">IF(ISBLANK($C318),"",IF(ISNUMBER(T318),IF(T318&gt;=0,T318,""),""))</f>
        <v/>
      </c>
      <c r="AV318" s="137" t="str">
        <f aca="false">IF(ISBLANK($C318),"",IF(ISNUMBER(U318),IF(U318&gt;=0,U318,""),""))</f>
        <v/>
      </c>
      <c r="AW318" s="137" t="str">
        <f aca="false">IF(ISBLANK($C318),"",IF(V318=Constants!$B$2,TRUE(),IF(V318=Constants!$B$3,FALSE(),TRUE())))</f>
        <v/>
      </c>
      <c r="AX318" s="135" t="str">
        <f aca="false">IF(ISBLANK($C318),"",IF(ISNUMBER(W318),IF(W318&gt;=0,W318,""),""))</f>
        <v/>
      </c>
      <c r="AY318" s="135" t="str">
        <f aca="false">IF(ISBLANK($C318),"",IF(X318=Constants!$B$2,TRUE(),IF(X318=Constants!$B$3,FALSE(),FALSE())))</f>
        <v/>
      </c>
      <c r="AZ318" s="135" t="str">
        <f aca="false">IF(ISBLANK($C318),"",MIN(Constants!$B$25,MAX(0,IF(ISNUMBER(Y318),Y318*60,0)+IF(ISNUMBER(Z318),Z318,0))))</f>
        <v/>
      </c>
      <c r="BA318" s="135" t="str">
        <f aca="false">IF(ISBLANK($C318),"",IF(AA318=Constants!$B$2,TRUE(),IF(AA318=Constants!$B$3,FALSE(),FALSE())))</f>
        <v/>
      </c>
      <c r="BB318" s="134" t="str">
        <f aca="false">IF(ISBLANK($C318),"",AND($AL318,OR($AM318="",$AN318="",AND($AO318,$AP318=""))))</f>
        <v/>
      </c>
      <c r="BC318" s="137" t="str">
        <f aca="false">IF($BX318&lt;&gt;Constants!$B$6,"",IF($AL318,Constants!$B$17*$AN318+Constants!$B$18*IF($AO318,$AP318,Constants!$B$19),Constants!$B$20))</f>
        <v/>
      </c>
      <c r="BD318" s="138" t="str">
        <f aca="false">IF($BX318&lt;&gt;Constants!$B$6,"",Constants!$B$21*ABS($AD$9-IF($AL318,$AM318,0)))</f>
        <v/>
      </c>
      <c r="BE318" s="138" t="str">
        <f aca="false">IF($BX318&lt;&gt;Constants!$B$6,"",IF(AND($AL318,$AQ318,$AO318),Constants!$B$22,0))</f>
        <v/>
      </c>
      <c r="BF318" s="138" t="str">
        <f aca="false">IF($BX318&lt;&gt;Constants!$B$6,"",IF($AL318,($AI318-Constants!$B$24)*Constants!$B$23,0))</f>
        <v/>
      </c>
      <c r="BG318" s="138" t="str">
        <f aca="false">IF($BX318&lt;&gt;Constants!$B$6,"",IF($AK318,0,Constants!$B$12)+IF($AJ318,0,Constants!$B$13)+IF($AH318,0,Constants!$B$14))</f>
        <v/>
      </c>
      <c r="BH318" s="139" t="str">
        <f aca="false">IF($BX318&lt;&gt;Constants!$B$6,"",Constants!$B$16+SUM($BC318:$BG318))</f>
        <v/>
      </c>
      <c r="BI318" s="138" t="str">
        <f aca="false">IF($BX318&lt;&gt;Constants!$B$6,"",$BC318)</f>
        <v/>
      </c>
      <c r="BJ318" s="138" t="str">
        <f aca="false">IF($BX318&lt;&gt;Constants!$B$6,"",$BD318)</f>
        <v/>
      </c>
      <c r="BK318" s="140" t="str">
        <f aca="false">IF($BX318&lt;&gt;Constants!$B$6,"",IF($AL318,$AN318,""))</f>
        <v/>
      </c>
      <c r="BL318" s="135" t="str">
        <f aca="false">IF($BX318&lt;&gt;Constants!$B$6,"",IF(OR($BS318&lt;$BH318,AND($BS318=$BH318,OR($BT318&lt;$BI318,AND($BT318=$BI318,OR($BU318&lt;$BJ318,AND($BU318=$BJ318,AND(ISNUMBER($BV318),OR(NOT(ISNUMBER($BK318)),$BV318&lt;$BK318)))))))),"-&gt;","&lt;-"))</f>
        <v/>
      </c>
      <c r="BM318" s="134" t="str">
        <f aca="false">IF(ISBLANK($C318),"",AND($AT318,OR($AU318="",$AV318="",AND($AW318,$AX318=""))))</f>
        <v/>
      </c>
      <c r="BN318" s="137" t="str">
        <f aca="false">IF($BX318&lt;&gt;Constants!$B$6,"",IF($AT318,Constants!$B$17*$AV318+Constants!$B$18*IF($AW318,$AX318,Constants!$B$19),Constants!$B$20))</f>
        <v/>
      </c>
      <c r="BO318" s="138" t="str">
        <f aca="false">IF($BX318&lt;&gt;Constants!$B$6,"",Constants!$B$21*ABS($AD$9-IF($AT318,$AU318,0)))</f>
        <v/>
      </c>
      <c r="BP318" s="138" t="str">
        <f aca="false">IF($BX318&lt;&gt;Constants!$B$6,"",IF(AND($AT318,$AY318,$AW318),Constants!$B$22,0))</f>
        <v/>
      </c>
      <c r="BQ318" s="138" t="str">
        <f aca="false">IF($BX318&lt;&gt;Constants!$B$6,"",IF($AT318,($AI318-Constants!$B$24)*Constants!$B$23,0))</f>
        <v/>
      </c>
      <c r="BR318" s="138" t="str">
        <f aca="false">IF($BX318&lt;&gt;Constants!$B$6,"",IF($AS318,0,Constants!$B$12)+IF($AR318,0,Constants!$B$13)+IF($AH318,0,Constants!$B$14))</f>
        <v/>
      </c>
      <c r="BS318" s="139" t="str">
        <f aca="false">IF($BX318&lt;&gt;Constants!$B$6,"",Constants!$B$16+SUM($BN318:$BR318))</f>
        <v/>
      </c>
      <c r="BT318" s="138" t="str">
        <f aca="false">IF($BX318&lt;&gt;Constants!$B$6,"",$BN318)</f>
        <v/>
      </c>
      <c r="BU318" s="138" t="str">
        <f aca="false">IF($BX318&lt;&gt;Constants!$B$6,"",$BO318)</f>
        <v/>
      </c>
      <c r="BV318" s="140" t="str">
        <f aca="false">IF($BX318&lt;&gt;Constants!$B$6,"",IF($AT318,$AV318,""))</f>
        <v/>
      </c>
      <c r="BW318" s="135" t="str">
        <f aca="false">IF(ISBLANK($C318),"",IF(ISBLANK($D$7),$BW$5,IF(NOT(ISNUMBER($D$7)),$BW$6,"")))</f>
        <v/>
      </c>
      <c r="BX318" s="135" t="str">
        <f aca="false">IF(ISBLANK($C318),"",IF($BA318,Constants!$B$9,IF(COUNTA($E318:$AA318)=0,Constants!$B$8,IF(NOT($AG318),Constants!$B$7,IF(OR($BW318&lt;&gt;"",$BB318,$BM318),Constants!$B$10,Constants!$B$6)))))</f>
        <v/>
      </c>
      <c r="BY318" s="135" t="str">
        <f aca="false">IF(ISBLANK($C318),"",IF($BX318&lt;&gt;Constants!$B$6,$BX318,Constants!$B$11))</f>
        <v/>
      </c>
      <c r="BZ318" s="138" t="str">
        <f aca="false">IF($BX318&lt;&gt;Constants!$B$6,"",IF($BL318="-&gt;",$BS318,$BH318))</f>
        <v/>
      </c>
      <c r="CA318" s="138" t="str">
        <f aca="false">IF($BX318&lt;&gt;Constants!$B$6,"",IF($AF318,0,Constants!$B$15))</f>
        <v/>
      </c>
      <c r="CB318" s="138" t="str">
        <f aca="false">IF($BX318&lt;&gt;Constants!$B$6,"",((Constants!$B$25-$AZ318)-Constants!$B$25)/Constants!$B$26)</f>
        <v/>
      </c>
      <c r="CC318" s="138" t="str">
        <f aca="false">IF(ISBLANK($C318),"",IF($BX318&lt;&gt;Constants!$B$6,$BX318,SUM($BZ318:$CB318)))</f>
        <v/>
      </c>
      <c r="CD318" s="135" t="str">
        <f aca="false">IF(ISBLANK($C318),"",IF($BX318&lt;&gt;Constants!$B$6,$BX318,RANK($CC318,$CC$9:$CC$508,1)))</f>
        <v/>
      </c>
      <c r="CE318" s="138" t="str">
        <f aca="false">IF($BX318&lt;&gt;Constants!$B$6,"",IF($BL318="-&gt;",$BT318,$BI318))</f>
        <v/>
      </c>
      <c r="CF318" s="135" t="str">
        <f aca="false">IF(ISBLANK($C318),"",IF($BX318&lt;&gt;Constants!$B$6,$BX318,IF(ISNUMBER($CE318),RANK($CE318,$CE$9:$CE$508,1),COUNT($CE$9:$CE$508)+1)))</f>
        <v/>
      </c>
      <c r="CG318" s="138" t="str">
        <f aca="false">IF($BX318&lt;&gt;Constants!$B$6,"",IF($BL318="-&gt;",$BU318,$BJ318))</f>
        <v/>
      </c>
      <c r="CH318" s="135" t="str">
        <f aca="false">IF(ISBLANK($C318),"",IF($BX318&lt;&gt;Constants!$B$6,$BX318,IF(ISNUMBER($CG318),RANK($CG318,$CG$9:$CG$508,1),COUNT($CG$9:$CG$508)+1)))</f>
        <v/>
      </c>
      <c r="CI318" s="138" t="str">
        <f aca="false">IF($BX318&lt;&gt;Constants!$B$6,"",IF($BL318="-&gt;",$BV318,$BK318))</f>
        <v/>
      </c>
      <c r="CJ318" s="135" t="str">
        <f aca="false">IF(ISBLANK($C318),"",IF($BX318&lt;&gt;Constants!$B$6,$BX318,IF(ISNUMBER($CI318),RANK($CI318,$CI$9:$CI$508,1),COUNT($CI$9:$CI$508)+1)))</f>
        <v/>
      </c>
      <c r="CK318" s="138" t="str">
        <f aca="false">IF($BX318&lt;&gt;Constants!$B$6,"",$AI318)</f>
        <v/>
      </c>
      <c r="CL318" s="135" t="str">
        <f aca="false">IF(ISBLANK($C318),"",IF($BX318&lt;&gt;Constants!$B$6,$BX318,IF(ISNUMBER($CK318),RANK($CK318,$CK$9:$CK$508,1),COUNT($CK$9:$CK$508)+1)))</f>
        <v/>
      </c>
      <c r="CM318" s="135" t="str">
        <f aca="false">IF(ISBLANK($C318),"",IF($BX318&lt;&gt;Constants!$B$6,$BX318,COUNTIFS($CD$9:$CD$508,"&lt;"&amp;$CD318)+COUNTIFS($CD$9:$CD$508,$CD318,$CF$9:$CF$508,"&lt;"&amp;$CF318)+COUNTIFS($CD$9:$CD$508,$CD318,$CF$9:$CF$508,$CF318,$CH$9:$CH$508,"&lt;"&amp;$CH318)+COUNTIFS($CD$9:$CD$508,$CD318,$CF$9:$CF$508,$CF318,$CH$9:$CH$508,$CH318,$CJ$9:$CJ$508,"&lt;"&amp;$CJ318)+COUNTIFS($CD$9:$CD$508,$CD318,$CF$9:$CF$508,$CF318,$CH$9:$CH$508,$CH318,$CJ$9:$CJ$508,$CJ318,$CL$9:$CL$508,"&lt;"&amp;$CL318)+1))</f>
        <v/>
      </c>
      <c r="CN318" s="135" t="str">
        <f aca="false">IF(ISBLANK($C318),"",IF($BX318&lt;&gt;Constants!$B$6,$BX318,$CD318-$CM318))</f>
        <v/>
      </c>
      <c r="CO318" s="141"/>
      <c r="CP318" s="142"/>
      <c r="CQ318" s="143" t="str">
        <f aca="false">IF(ISBLANK($C318),"",IF($BX318=Constants!$B$10,$BW318,""))</f>
        <v/>
      </c>
      <c r="CR318" s="142" t="str">
        <f aca="false">IF(ISBLANK($C318),"",IF($BX318&lt;&gt;Constants!$B$6,"",IF($BL318="-&gt;",2,1)))</f>
        <v/>
      </c>
      <c r="CS318" s="144" t="str">
        <f aca="false">IF(ISBLANK($C318),"",IF($BX318&lt;&gt;Constants!$B$6,"",IF($BL318="-&gt;",$BN318,$BC318)))</f>
        <v/>
      </c>
      <c r="CT318" s="144" t="str">
        <f aca="false">IF(ISBLANK($C318),"",IF($BX318&lt;&gt;Constants!$B$6,"",IF($BL318="-&gt;",$BO318,$BD318)))</f>
        <v/>
      </c>
      <c r="CU318" s="144" t="str">
        <f aca="false">IF(ISBLANK($C318),"",IF($BX318&lt;&gt;Constants!$B$6,"",IF($BL318="-&gt;",$BP318+$BQ318,$BE318+$BF318)+$CB318))</f>
        <v/>
      </c>
      <c r="CV318" s="144" t="str">
        <f aca="false">IF(ISBLANK($C318),"",IF($BX318&lt;&gt;Constants!$B$6,"",IF($BL318="-&gt;",$BR318,$BG318)+$CA318))</f>
        <v/>
      </c>
      <c r="CW318" s="145" t="str">
        <f aca="false">IF(ISBLANK($C318),"",IF($BX318&lt;&gt;Constants!$B$6,$BX318,$CC318))</f>
        <v/>
      </c>
      <c r="CX318" s="146" t="str">
        <f aca="false">IF(ISBLANK($C318),"",$BY318)</f>
        <v/>
      </c>
      <c r="CY318" s="147" t="str">
        <f aca="false">IF(ISBLANK($C318),"",$CN318)</f>
        <v/>
      </c>
      <c r="CZ318" s="147" t="str">
        <f aca="false">IF(ISBLANK($C318),"",$CM318)</f>
        <v/>
      </c>
      <c r="DA318" s="148" t="str">
        <f aca="false">IF(ISBLANK($C318),"",IFERROR(_xlfn.SWITCH($CZ318,Constants!$B$9,COUNTA($C$9:$C$508)+2,Constants!$B$8,COUNTA($C$9:$C$508)+1,Constants!$B$7,COUNTA($C$9:$C$508)),$CZ318))</f>
        <v/>
      </c>
      <c r="DB318" s="9"/>
      <c r="DC318" s="149" t="n">
        <f aca="false">IF(OR(ISNUMBER($CZ318),$CZ318=Constants!$B$9,$CZ318=Constants!$B$7,$CZ318=Constants!$B$8),1,0)</f>
        <v>0</v>
      </c>
      <c r="DD318" s="149" t="n">
        <v>310</v>
      </c>
      <c r="DE318" s="149" t="str">
        <f aca="false">IF(ISBLANK($C318),"",IF(ISNUMBER($DA318),$DA318+ROW($B318)/1000,""))</f>
        <v/>
      </c>
      <c r="DF318" s="149" t="str">
        <f aca="false">IF(ISNUMBER($DE318),RANK($DE318,$DE$9:$DE$508,1),"")</f>
        <v/>
      </c>
      <c r="DG318" s="149" t="str">
        <f aca="false">IF(ISBLANK($C318),"",$B318)</f>
        <v/>
      </c>
      <c r="DH318" s="149" t="str">
        <f aca="false">IF(ISBLANK($C318),"",$C318)</f>
        <v/>
      </c>
      <c r="DI318" s="149" t="str">
        <f aca="false">IF(ISBLANK($C318),"",$D318)</f>
        <v/>
      </c>
      <c r="DJ318" s="150" t="str">
        <f aca="false">$CX318</f>
        <v/>
      </c>
      <c r="DK318" s="151" t="str">
        <f aca="false">$CW318</f>
        <v/>
      </c>
      <c r="DL318" s="149" t="str">
        <f aca="false">IF(ISBLANK($C318),"",$CZ318)</f>
        <v/>
      </c>
      <c r="DM318" s="152" t="str">
        <f aca="false">IF($DD318&gt;$DC$8,"",VLOOKUP($DD318,$DF$9:$DL$508,7,FALSE()))</f>
        <v/>
      </c>
      <c r="DN318" s="153" t="str">
        <f aca="false">IF($DD318&gt;$DC$8,"",VLOOKUP($DD318,$DF$9:$DL$508,2,FALSE()))</f>
        <v/>
      </c>
      <c r="DO318" s="153" t="str">
        <f aca="false">IF($DD318&gt;$DC$8,"",VLOOKUP($DD318,$DF$9:$DL$508,3,FALSE()))</f>
        <v/>
      </c>
      <c r="DP318" s="153" t="str">
        <f aca="false">IF($DD318&gt;$DC$8,"",VLOOKUP($DD318,$DF$9:$DL$508,4,FALSE()))</f>
        <v/>
      </c>
      <c r="DQ318" s="153" t="str">
        <f aca="false">IF($DD318&gt;$DC$8,"",VLOOKUP($DD318,$DF$9:$DL$508,5,FALSE()))</f>
        <v/>
      </c>
      <c r="DR318" s="154" t="str">
        <f aca="false">IF($DD318&gt;$DC$8,"",VLOOKUP($DD318,$DF$9:$DL$508,6,FALSE()))</f>
        <v/>
      </c>
      <c r="DS318" s="76"/>
    </row>
    <row r="319" customFormat="false" ht="15.75" hidden="false" customHeight="false" outlineLevel="0" collapsed="false">
      <c r="A319" s="9"/>
      <c r="B319" s="160"/>
      <c r="C319" s="161"/>
      <c r="D319" s="162"/>
      <c r="E319" s="180"/>
      <c r="F319" s="164"/>
      <c r="G319" s="165"/>
      <c r="H319" s="165"/>
      <c r="I319" s="181"/>
      <c r="J319" s="168"/>
      <c r="K319" s="128"/>
      <c r="L319" s="129"/>
      <c r="M319" s="130"/>
      <c r="N319" s="168"/>
      <c r="O319" s="168"/>
      <c r="P319" s="180"/>
      <c r="Q319" s="168"/>
      <c r="R319" s="168"/>
      <c r="S319" s="128"/>
      <c r="T319" s="130"/>
      <c r="U319" s="130"/>
      <c r="V319" s="168"/>
      <c r="W319" s="168"/>
      <c r="X319" s="180"/>
      <c r="Y319" s="168"/>
      <c r="Z319" s="169"/>
      <c r="AA319" s="168"/>
      <c r="AB319" s="134"/>
      <c r="AC319" s="135"/>
      <c r="AD319" s="135"/>
      <c r="AE319" s="135"/>
      <c r="AF319" s="135" t="str">
        <f aca="false">IF(ISBLANK($C319),"",IF(E319=Constants!$B$2,TRUE(),IF(E319=Constants!$B$3,FALSE(),TRUE())))</f>
        <v/>
      </c>
      <c r="AG319" s="135" t="str">
        <f aca="false">IF(ISBLANK($C319),"",IF(F319=Constants!$B$2,TRUE(),IF(F319=Constants!$B$3,FALSE(),TRUE())))</f>
        <v/>
      </c>
      <c r="AH319" s="135" t="str">
        <f aca="false">IF(ISBLANK($C319),"",IF(G319=Constants!$B$2,TRUE(),IF(G319=Constants!$B$3,FALSE(),TRUE())))</f>
        <v/>
      </c>
      <c r="AI319" s="135" t="str">
        <f aca="false">IF(ISBLANK($C319),"",IF(AND(ISNUMBER(H319),H319&gt;=0),H319,Constants!$B$24))</f>
        <v/>
      </c>
      <c r="AJ319" s="135" t="str">
        <f aca="false">IF(ISBLANK($C319),"",IF(I319=Constants!$B$2,TRUE(),IF(I319=Constants!$B$3,FALSE(),TRUE())))</f>
        <v/>
      </c>
      <c r="AK319" s="135" t="str">
        <f aca="false">IF(ISBLANK($C319),"",IF(J319=Constants!$B$2,TRUE(),IF(J319=Constants!$B$3,FALSE(),TRUE())))</f>
        <v/>
      </c>
      <c r="AL319" s="135" t="str">
        <f aca="false">IF(ISBLANK($C319),"",IF(K319=Constants!$B$4,TRUE(),IF(K319=Constants!$B$5,FALSE(),COUNTA(L319:P319)&gt;0)))</f>
        <v/>
      </c>
      <c r="AM319" s="136" t="str">
        <f aca="false">IF(ISBLANK($C319),"",IF(ISNUMBER(L319),IF(L319&gt;=0,L319,""),""))</f>
        <v/>
      </c>
      <c r="AN319" s="137" t="str">
        <f aca="false">IF(ISBLANK($C319),"",IF(ISNUMBER(M319),IF(M319&gt;=0,M319,""),""))</f>
        <v/>
      </c>
      <c r="AO319" s="137" t="str">
        <f aca="false">IF(ISBLANK($C319),"",IF(N319=Constants!$B$2,TRUE(),IF(N319=Constants!$B$3,FALSE(),TRUE())))</f>
        <v/>
      </c>
      <c r="AP319" s="135" t="str">
        <f aca="false">IF(ISBLANK($C319),"",IF(ISNUMBER(O319),IF(O319&gt;=0,O319,""),""))</f>
        <v/>
      </c>
      <c r="AQ319" s="135" t="str">
        <f aca="false">IF(ISBLANK($C319),"",IF(P319=Constants!$B$2,TRUE(),IF(P319=Constants!$B$3,FALSE(),FALSE())))</f>
        <v/>
      </c>
      <c r="AR319" s="135" t="str">
        <f aca="false">IF(ISBLANK($C319),"",IF(Q319=Constants!$B$2,TRUE(),IF(Q319=Constants!$B$3,FALSE(),TRUE())))</f>
        <v/>
      </c>
      <c r="AS319" s="135" t="str">
        <f aca="false">IF(ISBLANK($C319),"",IF(R319=Constants!$B$2,TRUE(),IF(R319=Constants!$B$3,FALSE(),TRUE())))</f>
        <v/>
      </c>
      <c r="AT319" s="135" t="str">
        <f aca="false">IF(ISBLANK($C319),"",IF(S319=Constants!$B$4,TRUE(),IF(S319=Constants!$B$5,FALSE(),COUNTA(T319:X319)&gt;0)))</f>
        <v/>
      </c>
      <c r="AU319" s="136" t="str">
        <f aca="false">IF(ISBLANK($C319),"",IF(ISNUMBER(T319),IF(T319&gt;=0,T319,""),""))</f>
        <v/>
      </c>
      <c r="AV319" s="137" t="str">
        <f aca="false">IF(ISBLANK($C319),"",IF(ISNUMBER(U319),IF(U319&gt;=0,U319,""),""))</f>
        <v/>
      </c>
      <c r="AW319" s="137" t="str">
        <f aca="false">IF(ISBLANK($C319),"",IF(V319=Constants!$B$2,TRUE(),IF(V319=Constants!$B$3,FALSE(),TRUE())))</f>
        <v/>
      </c>
      <c r="AX319" s="135" t="str">
        <f aca="false">IF(ISBLANK($C319),"",IF(ISNUMBER(W319),IF(W319&gt;=0,W319,""),""))</f>
        <v/>
      </c>
      <c r="AY319" s="135" t="str">
        <f aca="false">IF(ISBLANK($C319),"",IF(X319=Constants!$B$2,TRUE(),IF(X319=Constants!$B$3,FALSE(),FALSE())))</f>
        <v/>
      </c>
      <c r="AZ319" s="135" t="str">
        <f aca="false">IF(ISBLANK($C319),"",MIN(Constants!$B$25,MAX(0,IF(ISNUMBER(Y319),Y319*60,0)+IF(ISNUMBER(Z319),Z319,0))))</f>
        <v/>
      </c>
      <c r="BA319" s="135" t="str">
        <f aca="false">IF(ISBLANK($C319),"",IF(AA319=Constants!$B$2,TRUE(),IF(AA319=Constants!$B$3,FALSE(),FALSE())))</f>
        <v/>
      </c>
      <c r="BB319" s="134" t="str">
        <f aca="false">IF(ISBLANK($C319),"",AND($AL319,OR($AM319="",$AN319="",AND($AO319,$AP319=""))))</f>
        <v/>
      </c>
      <c r="BC319" s="137" t="str">
        <f aca="false">IF($BX319&lt;&gt;Constants!$B$6,"",IF($AL319,Constants!$B$17*$AN319+Constants!$B$18*IF($AO319,$AP319,Constants!$B$19),Constants!$B$20))</f>
        <v/>
      </c>
      <c r="BD319" s="138" t="str">
        <f aca="false">IF($BX319&lt;&gt;Constants!$B$6,"",Constants!$B$21*ABS($AD$9-IF($AL319,$AM319,0)))</f>
        <v/>
      </c>
      <c r="BE319" s="138" t="str">
        <f aca="false">IF($BX319&lt;&gt;Constants!$B$6,"",IF(AND($AL319,$AQ319,$AO319),Constants!$B$22,0))</f>
        <v/>
      </c>
      <c r="BF319" s="138" t="str">
        <f aca="false">IF($BX319&lt;&gt;Constants!$B$6,"",IF($AL319,($AI319-Constants!$B$24)*Constants!$B$23,0))</f>
        <v/>
      </c>
      <c r="BG319" s="138" t="str">
        <f aca="false">IF($BX319&lt;&gt;Constants!$B$6,"",IF($AK319,0,Constants!$B$12)+IF($AJ319,0,Constants!$B$13)+IF($AH319,0,Constants!$B$14))</f>
        <v/>
      </c>
      <c r="BH319" s="139" t="str">
        <f aca="false">IF($BX319&lt;&gt;Constants!$B$6,"",Constants!$B$16+SUM($BC319:$BG319))</f>
        <v/>
      </c>
      <c r="BI319" s="138" t="str">
        <f aca="false">IF($BX319&lt;&gt;Constants!$B$6,"",$BC319)</f>
        <v/>
      </c>
      <c r="BJ319" s="138" t="str">
        <f aca="false">IF($BX319&lt;&gt;Constants!$B$6,"",$BD319)</f>
        <v/>
      </c>
      <c r="BK319" s="140" t="str">
        <f aca="false">IF($BX319&lt;&gt;Constants!$B$6,"",IF($AL319,$AN319,""))</f>
        <v/>
      </c>
      <c r="BL319" s="135" t="str">
        <f aca="false">IF($BX319&lt;&gt;Constants!$B$6,"",IF(OR($BS319&lt;$BH319,AND($BS319=$BH319,OR($BT319&lt;$BI319,AND($BT319=$BI319,OR($BU319&lt;$BJ319,AND($BU319=$BJ319,AND(ISNUMBER($BV319),OR(NOT(ISNUMBER($BK319)),$BV319&lt;$BK319)))))))),"-&gt;","&lt;-"))</f>
        <v/>
      </c>
      <c r="BM319" s="134" t="str">
        <f aca="false">IF(ISBLANK($C319),"",AND($AT319,OR($AU319="",$AV319="",AND($AW319,$AX319=""))))</f>
        <v/>
      </c>
      <c r="BN319" s="137" t="str">
        <f aca="false">IF($BX319&lt;&gt;Constants!$B$6,"",IF($AT319,Constants!$B$17*$AV319+Constants!$B$18*IF($AW319,$AX319,Constants!$B$19),Constants!$B$20))</f>
        <v/>
      </c>
      <c r="BO319" s="138" t="str">
        <f aca="false">IF($BX319&lt;&gt;Constants!$B$6,"",Constants!$B$21*ABS($AD$9-IF($AT319,$AU319,0)))</f>
        <v/>
      </c>
      <c r="BP319" s="138" t="str">
        <f aca="false">IF($BX319&lt;&gt;Constants!$B$6,"",IF(AND($AT319,$AY319,$AW319),Constants!$B$22,0))</f>
        <v/>
      </c>
      <c r="BQ319" s="138" t="str">
        <f aca="false">IF($BX319&lt;&gt;Constants!$B$6,"",IF($AT319,($AI319-Constants!$B$24)*Constants!$B$23,0))</f>
        <v/>
      </c>
      <c r="BR319" s="138" t="str">
        <f aca="false">IF($BX319&lt;&gt;Constants!$B$6,"",IF($AS319,0,Constants!$B$12)+IF($AR319,0,Constants!$B$13)+IF($AH319,0,Constants!$B$14))</f>
        <v/>
      </c>
      <c r="BS319" s="139" t="str">
        <f aca="false">IF($BX319&lt;&gt;Constants!$B$6,"",Constants!$B$16+SUM($BN319:$BR319))</f>
        <v/>
      </c>
      <c r="BT319" s="138" t="str">
        <f aca="false">IF($BX319&lt;&gt;Constants!$B$6,"",$BN319)</f>
        <v/>
      </c>
      <c r="BU319" s="138" t="str">
        <f aca="false">IF($BX319&lt;&gt;Constants!$B$6,"",$BO319)</f>
        <v/>
      </c>
      <c r="BV319" s="140" t="str">
        <f aca="false">IF($BX319&lt;&gt;Constants!$B$6,"",IF($AT319,$AV319,""))</f>
        <v/>
      </c>
      <c r="BW319" s="135" t="str">
        <f aca="false">IF(ISBLANK($C319),"",IF(ISBLANK($D$7),$BW$5,IF(NOT(ISNUMBER($D$7)),$BW$6,"")))</f>
        <v/>
      </c>
      <c r="BX319" s="135" t="str">
        <f aca="false">IF(ISBLANK($C319),"",IF($BA319,Constants!$B$9,IF(COUNTA($E319:$AA319)=0,Constants!$B$8,IF(NOT($AG319),Constants!$B$7,IF(OR($BW319&lt;&gt;"",$BB319,$BM319),Constants!$B$10,Constants!$B$6)))))</f>
        <v/>
      </c>
      <c r="BY319" s="135" t="str">
        <f aca="false">IF(ISBLANK($C319),"",IF($BX319&lt;&gt;Constants!$B$6,$BX319,Constants!$B$11))</f>
        <v/>
      </c>
      <c r="BZ319" s="138" t="str">
        <f aca="false">IF($BX319&lt;&gt;Constants!$B$6,"",IF($BL319="-&gt;",$BS319,$BH319))</f>
        <v/>
      </c>
      <c r="CA319" s="138" t="str">
        <f aca="false">IF($BX319&lt;&gt;Constants!$B$6,"",IF($AF319,0,Constants!$B$15))</f>
        <v/>
      </c>
      <c r="CB319" s="138" t="str">
        <f aca="false">IF($BX319&lt;&gt;Constants!$B$6,"",((Constants!$B$25-$AZ319)-Constants!$B$25)/Constants!$B$26)</f>
        <v/>
      </c>
      <c r="CC319" s="138" t="str">
        <f aca="false">IF(ISBLANK($C319),"",IF($BX319&lt;&gt;Constants!$B$6,$BX319,SUM($BZ319:$CB319)))</f>
        <v/>
      </c>
      <c r="CD319" s="135" t="str">
        <f aca="false">IF(ISBLANK($C319),"",IF($BX319&lt;&gt;Constants!$B$6,$BX319,RANK($CC319,$CC$9:$CC$508,1)))</f>
        <v/>
      </c>
      <c r="CE319" s="138" t="str">
        <f aca="false">IF($BX319&lt;&gt;Constants!$B$6,"",IF($BL319="-&gt;",$BT319,$BI319))</f>
        <v/>
      </c>
      <c r="CF319" s="135" t="str">
        <f aca="false">IF(ISBLANK($C319),"",IF($BX319&lt;&gt;Constants!$B$6,$BX319,IF(ISNUMBER($CE319),RANK($CE319,$CE$9:$CE$508,1),COUNT($CE$9:$CE$508)+1)))</f>
        <v/>
      </c>
      <c r="CG319" s="138" t="str">
        <f aca="false">IF($BX319&lt;&gt;Constants!$B$6,"",IF($BL319="-&gt;",$BU319,$BJ319))</f>
        <v/>
      </c>
      <c r="CH319" s="135" t="str">
        <f aca="false">IF(ISBLANK($C319),"",IF($BX319&lt;&gt;Constants!$B$6,$BX319,IF(ISNUMBER($CG319),RANK($CG319,$CG$9:$CG$508,1),COUNT($CG$9:$CG$508)+1)))</f>
        <v/>
      </c>
      <c r="CI319" s="138" t="str">
        <f aca="false">IF($BX319&lt;&gt;Constants!$B$6,"",IF($BL319="-&gt;",$BV319,$BK319))</f>
        <v/>
      </c>
      <c r="CJ319" s="135" t="str">
        <f aca="false">IF(ISBLANK($C319),"",IF($BX319&lt;&gt;Constants!$B$6,$BX319,IF(ISNUMBER($CI319),RANK($CI319,$CI$9:$CI$508,1),COUNT($CI$9:$CI$508)+1)))</f>
        <v/>
      </c>
      <c r="CK319" s="138" t="str">
        <f aca="false">IF($BX319&lt;&gt;Constants!$B$6,"",$AI319)</f>
        <v/>
      </c>
      <c r="CL319" s="135" t="str">
        <f aca="false">IF(ISBLANK($C319),"",IF($BX319&lt;&gt;Constants!$B$6,$BX319,IF(ISNUMBER($CK319),RANK($CK319,$CK$9:$CK$508,1),COUNT($CK$9:$CK$508)+1)))</f>
        <v/>
      </c>
      <c r="CM319" s="135" t="str">
        <f aca="false">IF(ISBLANK($C319),"",IF($BX319&lt;&gt;Constants!$B$6,$BX319,COUNTIFS($CD$9:$CD$508,"&lt;"&amp;$CD319)+COUNTIFS($CD$9:$CD$508,$CD319,$CF$9:$CF$508,"&lt;"&amp;$CF319)+COUNTIFS($CD$9:$CD$508,$CD319,$CF$9:$CF$508,$CF319,$CH$9:$CH$508,"&lt;"&amp;$CH319)+COUNTIFS($CD$9:$CD$508,$CD319,$CF$9:$CF$508,$CF319,$CH$9:$CH$508,$CH319,$CJ$9:$CJ$508,"&lt;"&amp;$CJ319)+COUNTIFS($CD$9:$CD$508,$CD319,$CF$9:$CF$508,$CF319,$CH$9:$CH$508,$CH319,$CJ$9:$CJ$508,$CJ319,$CL$9:$CL$508,"&lt;"&amp;$CL319)+1))</f>
        <v/>
      </c>
      <c r="CN319" s="135" t="str">
        <f aca="false">IF(ISBLANK($C319),"",IF($BX319&lt;&gt;Constants!$B$6,$BX319,$CD319-$CM319))</f>
        <v/>
      </c>
      <c r="CO319" s="141"/>
      <c r="CP319" s="142"/>
      <c r="CQ319" s="143" t="str">
        <f aca="false">IF(ISBLANK($C319),"",IF($BX319=Constants!$B$10,$BW319,""))</f>
        <v/>
      </c>
      <c r="CR319" s="142" t="str">
        <f aca="false">IF(ISBLANK($C319),"",IF($BX319&lt;&gt;Constants!$B$6,"",IF($BL319="-&gt;",2,1)))</f>
        <v/>
      </c>
      <c r="CS319" s="144" t="str">
        <f aca="false">IF(ISBLANK($C319),"",IF($BX319&lt;&gt;Constants!$B$6,"",IF($BL319="-&gt;",$BN319,$BC319)))</f>
        <v/>
      </c>
      <c r="CT319" s="144" t="str">
        <f aca="false">IF(ISBLANK($C319),"",IF($BX319&lt;&gt;Constants!$B$6,"",IF($BL319="-&gt;",$BO319,$BD319)))</f>
        <v/>
      </c>
      <c r="CU319" s="144" t="str">
        <f aca="false">IF(ISBLANK($C319),"",IF($BX319&lt;&gt;Constants!$B$6,"",IF($BL319="-&gt;",$BP319+$BQ319,$BE319+$BF319)+$CB319))</f>
        <v/>
      </c>
      <c r="CV319" s="144" t="str">
        <f aca="false">IF(ISBLANK($C319),"",IF($BX319&lt;&gt;Constants!$B$6,"",IF($BL319="-&gt;",$BR319,$BG319)+$CA319))</f>
        <v/>
      </c>
      <c r="CW319" s="145" t="str">
        <f aca="false">IF(ISBLANK($C319),"",IF($BX319&lt;&gt;Constants!$B$6,$BX319,$CC319))</f>
        <v/>
      </c>
      <c r="CX319" s="146" t="str">
        <f aca="false">IF(ISBLANK($C319),"",$BY319)</f>
        <v/>
      </c>
      <c r="CY319" s="147" t="str">
        <f aca="false">IF(ISBLANK($C319),"",$CN319)</f>
        <v/>
      </c>
      <c r="CZ319" s="147" t="str">
        <f aca="false">IF(ISBLANK($C319),"",$CM319)</f>
        <v/>
      </c>
      <c r="DA319" s="148" t="str">
        <f aca="false">IF(ISBLANK($C319),"",IFERROR(_xlfn.SWITCH($CZ319,Constants!$B$9,COUNTA($C$9:$C$508)+2,Constants!$B$8,COUNTA($C$9:$C$508)+1,Constants!$B$7,COUNTA($C$9:$C$508)),$CZ319))</f>
        <v/>
      </c>
      <c r="DB319" s="9"/>
      <c r="DC319" s="149" t="n">
        <f aca="false">IF(OR(ISNUMBER($CZ319),$CZ319=Constants!$B$9,$CZ319=Constants!$B$7,$CZ319=Constants!$B$8),1,0)</f>
        <v>0</v>
      </c>
      <c r="DD319" s="149" t="n">
        <v>311</v>
      </c>
      <c r="DE319" s="149" t="str">
        <f aca="false">IF(ISBLANK($C319),"",IF(ISNUMBER($DA319),$DA319+ROW($B319)/1000,""))</f>
        <v/>
      </c>
      <c r="DF319" s="149" t="str">
        <f aca="false">IF(ISNUMBER($DE319),RANK($DE319,$DE$9:$DE$508,1),"")</f>
        <v/>
      </c>
      <c r="DG319" s="149" t="str">
        <f aca="false">IF(ISBLANK($C319),"",$B319)</f>
        <v/>
      </c>
      <c r="DH319" s="149" t="str">
        <f aca="false">IF(ISBLANK($C319),"",$C319)</f>
        <v/>
      </c>
      <c r="DI319" s="149" t="str">
        <f aca="false">IF(ISBLANK($C319),"",$D319)</f>
        <v/>
      </c>
      <c r="DJ319" s="150" t="str">
        <f aca="false">$CX319</f>
        <v/>
      </c>
      <c r="DK319" s="151" t="str">
        <f aca="false">$CW319</f>
        <v/>
      </c>
      <c r="DL319" s="149" t="str">
        <f aca="false">IF(ISBLANK($C319),"",$CZ319)</f>
        <v/>
      </c>
      <c r="DM319" s="152" t="str">
        <f aca="false">IF($DD319&gt;$DC$8,"",VLOOKUP($DD319,$DF$9:$DL$508,7,FALSE()))</f>
        <v/>
      </c>
      <c r="DN319" s="153" t="str">
        <f aca="false">IF($DD319&gt;$DC$8,"",VLOOKUP($DD319,$DF$9:$DL$508,2,FALSE()))</f>
        <v/>
      </c>
      <c r="DO319" s="153" t="str">
        <f aca="false">IF($DD319&gt;$DC$8,"",VLOOKUP($DD319,$DF$9:$DL$508,3,FALSE()))</f>
        <v/>
      </c>
      <c r="DP319" s="153" t="str">
        <f aca="false">IF($DD319&gt;$DC$8,"",VLOOKUP($DD319,$DF$9:$DL$508,4,FALSE()))</f>
        <v/>
      </c>
      <c r="DQ319" s="153" t="str">
        <f aca="false">IF($DD319&gt;$DC$8,"",VLOOKUP($DD319,$DF$9:$DL$508,5,FALSE()))</f>
        <v/>
      </c>
      <c r="DR319" s="154" t="str">
        <f aca="false">IF($DD319&gt;$DC$8,"",VLOOKUP($DD319,$DF$9:$DL$508,6,FALSE()))</f>
        <v/>
      </c>
      <c r="DS319" s="76"/>
    </row>
    <row r="320" customFormat="false" ht="15.75" hidden="false" customHeight="false" outlineLevel="0" collapsed="false">
      <c r="A320" s="9"/>
      <c r="B320" s="160"/>
      <c r="C320" s="161"/>
      <c r="D320" s="162"/>
      <c r="E320" s="180"/>
      <c r="F320" s="164"/>
      <c r="G320" s="165"/>
      <c r="H320" s="165"/>
      <c r="I320" s="181"/>
      <c r="J320" s="168"/>
      <c r="K320" s="128"/>
      <c r="L320" s="129"/>
      <c r="M320" s="130"/>
      <c r="N320" s="168"/>
      <c r="O320" s="168"/>
      <c r="P320" s="180"/>
      <c r="Q320" s="168"/>
      <c r="R320" s="168"/>
      <c r="S320" s="128"/>
      <c r="T320" s="130"/>
      <c r="U320" s="130"/>
      <c r="V320" s="168"/>
      <c r="W320" s="168"/>
      <c r="X320" s="180"/>
      <c r="Y320" s="168"/>
      <c r="Z320" s="169"/>
      <c r="AA320" s="168"/>
      <c r="AB320" s="134"/>
      <c r="AC320" s="135"/>
      <c r="AD320" s="135"/>
      <c r="AE320" s="135"/>
      <c r="AF320" s="135" t="str">
        <f aca="false">IF(ISBLANK($C320),"",IF(E320=Constants!$B$2,TRUE(),IF(E320=Constants!$B$3,FALSE(),TRUE())))</f>
        <v/>
      </c>
      <c r="AG320" s="135" t="str">
        <f aca="false">IF(ISBLANK($C320),"",IF(F320=Constants!$B$2,TRUE(),IF(F320=Constants!$B$3,FALSE(),TRUE())))</f>
        <v/>
      </c>
      <c r="AH320" s="135" t="str">
        <f aca="false">IF(ISBLANK($C320),"",IF(G320=Constants!$B$2,TRUE(),IF(G320=Constants!$B$3,FALSE(),TRUE())))</f>
        <v/>
      </c>
      <c r="AI320" s="135" t="str">
        <f aca="false">IF(ISBLANK($C320),"",IF(AND(ISNUMBER(H320),H320&gt;=0),H320,Constants!$B$24))</f>
        <v/>
      </c>
      <c r="AJ320" s="135" t="str">
        <f aca="false">IF(ISBLANK($C320),"",IF(I320=Constants!$B$2,TRUE(),IF(I320=Constants!$B$3,FALSE(),TRUE())))</f>
        <v/>
      </c>
      <c r="AK320" s="135" t="str">
        <f aca="false">IF(ISBLANK($C320),"",IF(J320=Constants!$B$2,TRUE(),IF(J320=Constants!$B$3,FALSE(),TRUE())))</f>
        <v/>
      </c>
      <c r="AL320" s="135" t="str">
        <f aca="false">IF(ISBLANK($C320),"",IF(K320=Constants!$B$4,TRUE(),IF(K320=Constants!$B$5,FALSE(),COUNTA(L320:P320)&gt;0)))</f>
        <v/>
      </c>
      <c r="AM320" s="136" t="str">
        <f aca="false">IF(ISBLANK($C320),"",IF(ISNUMBER(L320),IF(L320&gt;=0,L320,""),""))</f>
        <v/>
      </c>
      <c r="AN320" s="137" t="str">
        <f aca="false">IF(ISBLANK($C320),"",IF(ISNUMBER(M320),IF(M320&gt;=0,M320,""),""))</f>
        <v/>
      </c>
      <c r="AO320" s="137" t="str">
        <f aca="false">IF(ISBLANK($C320),"",IF(N320=Constants!$B$2,TRUE(),IF(N320=Constants!$B$3,FALSE(),TRUE())))</f>
        <v/>
      </c>
      <c r="AP320" s="135" t="str">
        <f aca="false">IF(ISBLANK($C320),"",IF(ISNUMBER(O320),IF(O320&gt;=0,O320,""),""))</f>
        <v/>
      </c>
      <c r="AQ320" s="135" t="str">
        <f aca="false">IF(ISBLANK($C320),"",IF(P320=Constants!$B$2,TRUE(),IF(P320=Constants!$B$3,FALSE(),FALSE())))</f>
        <v/>
      </c>
      <c r="AR320" s="135" t="str">
        <f aca="false">IF(ISBLANK($C320),"",IF(Q320=Constants!$B$2,TRUE(),IF(Q320=Constants!$B$3,FALSE(),TRUE())))</f>
        <v/>
      </c>
      <c r="AS320" s="135" t="str">
        <f aca="false">IF(ISBLANK($C320),"",IF(R320=Constants!$B$2,TRUE(),IF(R320=Constants!$B$3,FALSE(),TRUE())))</f>
        <v/>
      </c>
      <c r="AT320" s="135" t="str">
        <f aca="false">IF(ISBLANK($C320),"",IF(S320=Constants!$B$4,TRUE(),IF(S320=Constants!$B$5,FALSE(),COUNTA(T320:X320)&gt;0)))</f>
        <v/>
      </c>
      <c r="AU320" s="136" t="str">
        <f aca="false">IF(ISBLANK($C320),"",IF(ISNUMBER(T320),IF(T320&gt;=0,T320,""),""))</f>
        <v/>
      </c>
      <c r="AV320" s="137" t="str">
        <f aca="false">IF(ISBLANK($C320),"",IF(ISNUMBER(U320),IF(U320&gt;=0,U320,""),""))</f>
        <v/>
      </c>
      <c r="AW320" s="137" t="str">
        <f aca="false">IF(ISBLANK($C320),"",IF(V320=Constants!$B$2,TRUE(),IF(V320=Constants!$B$3,FALSE(),TRUE())))</f>
        <v/>
      </c>
      <c r="AX320" s="135" t="str">
        <f aca="false">IF(ISBLANK($C320),"",IF(ISNUMBER(W320),IF(W320&gt;=0,W320,""),""))</f>
        <v/>
      </c>
      <c r="AY320" s="135" t="str">
        <f aca="false">IF(ISBLANK($C320),"",IF(X320=Constants!$B$2,TRUE(),IF(X320=Constants!$B$3,FALSE(),FALSE())))</f>
        <v/>
      </c>
      <c r="AZ320" s="135" t="str">
        <f aca="false">IF(ISBLANK($C320),"",MIN(Constants!$B$25,MAX(0,IF(ISNUMBER(Y320),Y320*60,0)+IF(ISNUMBER(Z320),Z320,0))))</f>
        <v/>
      </c>
      <c r="BA320" s="135" t="str">
        <f aca="false">IF(ISBLANK($C320),"",IF(AA320=Constants!$B$2,TRUE(),IF(AA320=Constants!$B$3,FALSE(),FALSE())))</f>
        <v/>
      </c>
      <c r="BB320" s="134" t="str">
        <f aca="false">IF(ISBLANK($C320),"",AND($AL320,OR($AM320="",$AN320="",AND($AO320,$AP320=""))))</f>
        <v/>
      </c>
      <c r="BC320" s="137" t="str">
        <f aca="false">IF($BX320&lt;&gt;Constants!$B$6,"",IF($AL320,Constants!$B$17*$AN320+Constants!$B$18*IF($AO320,$AP320,Constants!$B$19),Constants!$B$20))</f>
        <v/>
      </c>
      <c r="BD320" s="138" t="str">
        <f aca="false">IF($BX320&lt;&gt;Constants!$B$6,"",Constants!$B$21*ABS($AD$9-IF($AL320,$AM320,0)))</f>
        <v/>
      </c>
      <c r="BE320" s="138" t="str">
        <f aca="false">IF($BX320&lt;&gt;Constants!$B$6,"",IF(AND($AL320,$AQ320,$AO320),Constants!$B$22,0))</f>
        <v/>
      </c>
      <c r="BF320" s="138" t="str">
        <f aca="false">IF($BX320&lt;&gt;Constants!$B$6,"",IF($AL320,($AI320-Constants!$B$24)*Constants!$B$23,0))</f>
        <v/>
      </c>
      <c r="BG320" s="138" t="str">
        <f aca="false">IF($BX320&lt;&gt;Constants!$B$6,"",IF($AK320,0,Constants!$B$12)+IF($AJ320,0,Constants!$B$13)+IF($AH320,0,Constants!$B$14))</f>
        <v/>
      </c>
      <c r="BH320" s="139" t="str">
        <f aca="false">IF($BX320&lt;&gt;Constants!$B$6,"",Constants!$B$16+SUM($BC320:$BG320))</f>
        <v/>
      </c>
      <c r="BI320" s="138" t="str">
        <f aca="false">IF($BX320&lt;&gt;Constants!$B$6,"",$BC320)</f>
        <v/>
      </c>
      <c r="BJ320" s="138" t="str">
        <f aca="false">IF($BX320&lt;&gt;Constants!$B$6,"",$BD320)</f>
        <v/>
      </c>
      <c r="BK320" s="140" t="str">
        <f aca="false">IF($BX320&lt;&gt;Constants!$B$6,"",IF($AL320,$AN320,""))</f>
        <v/>
      </c>
      <c r="BL320" s="135" t="str">
        <f aca="false">IF($BX320&lt;&gt;Constants!$B$6,"",IF(OR($BS320&lt;$BH320,AND($BS320=$BH320,OR($BT320&lt;$BI320,AND($BT320=$BI320,OR($BU320&lt;$BJ320,AND($BU320=$BJ320,AND(ISNUMBER($BV320),OR(NOT(ISNUMBER($BK320)),$BV320&lt;$BK320)))))))),"-&gt;","&lt;-"))</f>
        <v/>
      </c>
      <c r="BM320" s="134" t="str">
        <f aca="false">IF(ISBLANK($C320),"",AND($AT320,OR($AU320="",$AV320="",AND($AW320,$AX320=""))))</f>
        <v/>
      </c>
      <c r="BN320" s="137" t="str">
        <f aca="false">IF($BX320&lt;&gt;Constants!$B$6,"",IF($AT320,Constants!$B$17*$AV320+Constants!$B$18*IF($AW320,$AX320,Constants!$B$19),Constants!$B$20))</f>
        <v/>
      </c>
      <c r="BO320" s="138" t="str">
        <f aca="false">IF($BX320&lt;&gt;Constants!$B$6,"",Constants!$B$21*ABS($AD$9-IF($AT320,$AU320,0)))</f>
        <v/>
      </c>
      <c r="BP320" s="138" t="str">
        <f aca="false">IF($BX320&lt;&gt;Constants!$B$6,"",IF(AND($AT320,$AY320,$AW320),Constants!$B$22,0))</f>
        <v/>
      </c>
      <c r="BQ320" s="138" t="str">
        <f aca="false">IF($BX320&lt;&gt;Constants!$B$6,"",IF($AT320,($AI320-Constants!$B$24)*Constants!$B$23,0))</f>
        <v/>
      </c>
      <c r="BR320" s="138" t="str">
        <f aca="false">IF($BX320&lt;&gt;Constants!$B$6,"",IF($AS320,0,Constants!$B$12)+IF($AR320,0,Constants!$B$13)+IF($AH320,0,Constants!$B$14))</f>
        <v/>
      </c>
      <c r="BS320" s="139" t="str">
        <f aca="false">IF($BX320&lt;&gt;Constants!$B$6,"",Constants!$B$16+SUM($BN320:$BR320))</f>
        <v/>
      </c>
      <c r="BT320" s="138" t="str">
        <f aca="false">IF($BX320&lt;&gt;Constants!$B$6,"",$BN320)</f>
        <v/>
      </c>
      <c r="BU320" s="138" t="str">
        <f aca="false">IF($BX320&lt;&gt;Constants!$B$6,"",$BO320)</f>
        <v/>
      </c>
      <c r="BV320" s="140" t="str">
        <f aca="false">IF($BX320&lt;&gt;Constants!$B$6,"",IF($AT320,$AV320,""))</f>
        <v/>
      </c>
      <c r="BW320" s="135" t="str">
        <f aca="false">IF(ISBLANK($C320),"",IF(ISBLANK($D$7),$BW$5,IF(NOT(ISNUMBER($D$7)),$BW$6,"")))</f>
        <v/>
      </c>
      <c r="BX320" s="135" t="str">
        <f aca="false">IF(ISBLANK($C320),"",IF($BA320,Constants!$B$9,IF(COUNTA($E320:$AA320)=0,Constants!$B$8,IF(NOT($AG320),Constants!$B$7,IF(OR($BW320&lt;&gt;"",$BB320,$BM320),Constants!$B$10,Constants!$B$6)))))</f>
        <v/>
      </c>
      <c r="BY320" s="135" t="str">
        <f aca="false">IF(ISBLANK($C320),"",IF($BX320&lt;&gt;Constants!$B$6,$BX320,Constants!$B$11))</f>
        <v/>
      </c>
      <c r="BZ320" s="138" t="str">
        <f aca="false">IF($BX320&lt;&gt;Constants!$B$6,"",IF($BL320="-&gt;",$BS320,$BH320))</f>
        <v/>
      </c>
      <c r="CA320" s="138" t="str">
        <f aca="false">IF($BX320&lt;&gt;Constants!$B$6,"",IF($AF320,0,Constants!$B$15))</f>
        <v/>
      </c>
      <c r="CB320" s="138" t="str">
        <f aca="false">IF($BX320&lt;&gt;Constants!$B$6,"",((Constants!$B$25-$AZ320)-Constants!$B$25)/Constants!$B$26)</f>
        <v/>
      </c>
      <c r="CC320" s="138" t="str">
        <f aca="false">IF(ISBLANK($C320),"",IF($BX320&lt;&gt;Constants!$B$6,$BX320,SUM($BZ320:$CB320)))</f>
        <v/>
      </c>
      <c r="CD320" s="135" t="str">
        <f aca="false">IF(ISBLANK($C320),"",IF($BX320&lt;&gt;Constants!$B$6,$BX320,RANK($CC320,$CC$9:$CC$508,1)))</f>
        <v/>
      </c>
      <c r="CE320" s="138" t="str">
        <f aca="false">IF($BX320&lt;&gt;Constants!$B$6,"",IF($BL320="-&gt;",$BT320,$BI320))</f>
        <v/>
      </c>
      <c r="CF320" s="135" t="str">
        <f aca="false">IF(ISBLANK($C320),"",IF($BX320&lt;&gt;Constants!$B$6,$BX320,IF(ISNUMBER($CE320),RANK($CE320,$CE$9:$CE$508,1),COUNT($CE$9:$CE$508)+1)))</f>
        <v/>
      </c>
      <c r="CG320" s="138" t="str">
        <f aca="false">IF($BX320&lt;&gt;Constants!$B$6,"",IF($BL320="-&gt;",$BU320,$BJ320))</f>
        <v/>
      </c>
      <c r="CH320" s="135" t="str">
        <f aca="false">IF(ISBLANK($C320),"",IF($BX320&lt;&gt;Constants!$B$6,$BX320,IF(ISNUMBER($CG320),RANK($CG320,$CG$9:$CG$508,1),COUNT($CG$9:$CG$508)+1)))</f>
        <v/>
      </c>
      <c r="CI320" s="138" t="str">
        <f aca="false">IF($BX320&lt;&gt;Constants!$B$6,"",IF($BL320="-&gt;",$BV320,$BK320))</f>
        <v/>
      </c>
      <c r="CJ320" s="135" t="str">
        <f aca="false">IF(ISBLANK($C320),"",IF($BX320&lt;&gt;Constants!$B$6,$BX320,IF(ISNUMBER($CI320),RANK($CI320,$CI$9:$CI$508,1),COUNT($CI$9:$CI$508)+1)))</f>
        <v/>
      </c>
      <c r="CK320" s="138" t="str">
        <f aca="false">IF($BX320&lt;&gt;Constants!$B$6,"",$AI320)</f>
        <v/>
      </c>
      <c r="CL320" s="135" t="str">
        <f aca="false">IF(ISBLANK($C320),"",IF($BX320&lt;&gt;Constants!$B$6,$BX320,IF(ISNUMBER($CK320),RANK($CK320,$CK$9:$CK$508,1),COUNT($CK$9:$CK$508)+1)))</f>
        <v/>
      </c>
      <c r="CM320" s="135" t="str">
        <f aca="false">IF(ISBLANK($C320),"",IF($BX320&lt;&gt;Constants!$B$6,$BX320,COUNTIFS($CD$9:$CD$508,"&lt;"&amp;$CD320)+COUNTIFS($CD$9:$CD$508,$CD320,$CF$9:$CF$508,"&lt;"&amp;$CF320)+COUNTIFS($CD$9:$CD$508,$CD320,$CF$9:$CF$508,$CF320,$CH$9:$CH$508,"&lt;"&amp;$CH320)+COUNTIFS($CD$9:$CD$508,$CD320,$CF$9:$CF$508,$CF320,$CH$9:$CH$508,$CH320,$CJ$9:$CJ$508,"&lt;"&amp;$CJ320)+COUNTIFS($CD$9:$CD$508,$CD320,$CF$9:$CF$508,$CF320,$CH$9:$CH$508,$CH320,$CJ$9:$CJ$508,$CJ320,$CL$9:$CL$508,"&lt;"&amp;$CL320)+1))</f>
        <v/>
      </c>
      <c r="CN320" s="135" t="str">
        <f aca="false">IF(ISBLANK($C320),"",IF($BX320&lt;&gt;Constants!$B$6,$BX320,$CD320-$CM320))</f>
        <v/>
      </c>
      <c r="CO320" s="141"/>
      <c r="CP320" s="142"/>
      <c r="CQ320" s="143" t="str">
        <f aca="false">IF(ISBLANK($C320),"",IF($BX320=Constants!$B$10,$BW320,""))</f>
        <v/>
      </c>
      <c r="CR320" s="142" t="str">
        <f aca="false">IF(ISBLANK($C320),"",IF($BX320&lt;&gt;Constants!$B$6,"",IF($BL320="-&gt;",2,1)))</f>
        <v/>
      </c>
      <c r="CS320" s="144" t="str">
        <f aca="false">IF(ISBLANK($C320),"",IF($BX320&lt;&gt;Constants!$B$6,"",IF($BL320="-&gt;",$BN320,$BC320)))</f>
        <v/>
      </c>
      <c r="CT320" s="144" t="str">
        <f aca="false">IF(ISBLANK($C320),"",IF($BX320&lt;&gt;Constants!$B$6,"",IF($BL320="-&gt;",$BO320,$BD320)))</f>
        <v/>
      </c>
      <c r="CU320" s="144" t="str">
        <f aca="false">IF(ISBLANK($C320),"",IF($BX320&lt;&gt;Constants!$B$6,"",IF($BL320="-&gt;",$BP320+$BQ320,$BE320+$BF320)+$CB320))</f>
        <v/>
      </c>
      <c r="CV320" s="144" t="str">
        <f aca="false">IF(ISBLANK($C320),"",IF($BX320&lt;&gt;Constants!$B$6,"",IF($BL320="-&gt;",$BR320,$BG320)+$CA320))</f>
        <v/>
      </c>
      <c r="CW320" s="145" t="str">
        <f aca="false">IF(ISBLANK($C320),"",IF($BX320&lt;&gt;Constants!$B$6,$BX320,$CC320))</f>
        <v/>
      </c>
      <c r="CX320" s="146" t="str">
        <f aca="false">IF(ISBLANK($C320),"",$BY320)</f>
        <v/>
      </c>
      <c r="CY320" s="147" t="str">
        <f aca="false">IF(ISBLANK($C320),"",$CN320)</f>
        <v/>
      </c>
      <c r="CZ320" s="147" t="str">
        <f aca="false">IF(ISBLANK($C320),"",$CM320)</f>
        <v/>
      </c>
      <c r="DA320" s="148" t="str">
        <f aca="false">IF(ISBLANK($C320),"",IFERROR(_xlfn.SWITCH($CZ320,Constants!$B$9,COUNTA($C$9:$C$508)+2,Constants!$B$8,COUNTA($C$9:$C$508)+1,Constants!$B$7,COUNTA($C$9:$C$508)),$CZ320))</f>
        <v/>
      </c>
      <c r="DB320" s="9"/>
      <c r="DC320" s="149" t="n">
        <f aca="false">IF(OR(ISNUMBER($CZ320),$CZ320=Constants!$B$9,$CZ320=Constants!$B$7,$CZ320=Constants!$B$8),1,0)</f>
        <v>0</v>
      </c>
      <c r="DD320" s="149" t="n">
        <v>312</v>
      </c>
      <c r="DE320" s="149" t="str">
        <f aca="false">IF(ISBLANK($C320),"",IF(ISNUMBER($DA320),$DA320+ROW($B320)/1000,""))</f>
        <v/>
      </c>
      <c r="DF320" s="149" t="str">
        <f aca="false">IF(ISNUMBER($DE320),RANK($DE320,$DE$9:$DE$508,1),"")</f>
        <v/>
      </c>
      <c r="DG320" s="149" t="str">
        <f aca="false">IF(ISBLANK($C320),"",$B320)</f>
        <v/>
      </c>
      <c r="DH320" s="149" t="str">
        <f aca="false">IF(ISBLANK($C320),"",$C320)</f>
        <v/>
      </c>
      <c r="DI320" s="149" t="str">
        <f aca="false">IF(ISBLANK($C320),"",$D320)</f>
        <v/>
      </c>
      <c r="DJ320" s="150" t="str">
        <f aca="false">$CX320</f>
        <v/>
      </c>
      <c r="DK320" s="151" t="str">
        <f aca="false">$CW320</f>
        <v/>
      </c>
      <c r="DL320" s="149" t="str">
        <f aca="false">IF(ISBLANK($C320),"",$CZ320)</f>
        <v/>
      </c>
      <c r="DM320" s="152" t="str">
        <f aca="false">IF($DD320&gt;$DC$8,"",VLOOKUP($DD320,$DF$9:$DL$508,7,FALSE()))</f>
        <v/>
      </c>
      <c r="DN320" s="153" t="str">
        <f aca="false">IF($DD320&gt;$DC$8,"",VLOOKUP($DD320,$DF$9:$DL$508,2,FALSE()))</f>
        <v/>
      </c>
      <c r="DO320" s="153" t="str">
        <f aca="false">IF($DD320&gt;$DC$8,"",VLOOKUP($DD320,$DF$9:$DL$508,3,FALSE()))</f>
        <v/>
      </c>
      <c r="DP320" s="153" t="str">
        <f aca="false">IF($DD320&gt;$DC$8,"",VLOOKUP($DD320,$DF$9:$DL$508,4,FALSE()))</f>
        <v/>
      </c>
      <c r="DQ320" s="153" t="str">
        <f aca="false">IF($DD320&gt;$DC$8,"",VLOOKUP($DD320,$DF$9:$DL$508,5,FALSE()))</f>
        <v/>
      </c>
      <c r="DR320" s="154" t="str">
        <f aca="false">IF($DD320&gt;$DC$8,"",VLOOKUP($DD320,$DF$9:$DL$508,6,FALSE()))</f>
        <v/>
      </c>
      <c r="DS320" s="76"/>
    </row>
    <row r="321" customFormat="false" ht="15.75" hidden="false" customHeight="false" outlineLevel="0" collapsed="false">
      <c r="A321" s="9"/>
      <c r="B321" s="78"/>
      <c r="C321" s="79"/>
      <c r="D321" s="170"/>
      <c r="E321" s="178"/>
      <c r="F321" s="172"/>
      <c r="G321" s="173"/>
      <c r="H321" s="173"/>
      <c r="I321" s="179"/>
      <c r="J321" s="176"/>
      <c r="K321" s="86"/>
      <c r="L321" s="87"/>
      <c r="M321" s="88"/>
      <c r="N321" s="176"/>
      <c r="O321" s="176"/>
      <c r="P321" s="178"/>
      <c r="Q321" s="176"/>
      <c r="R321" s="176"/>
      <c r="S321" s="86"/>
      <c r="T321" s="88"/>
      <c r="U321" s="88"/>
      <c r="V321" s="176"/>
      <c r="W321" s="176"/>
      <c r="X321" s="178"/>
      <c r="Y321" s="176"/>
      <c r="Z321" s="177"/>
      <c r="AA321" s="176"/>
      <c r="AB321" s="92"/>
      <c r="AC321" s="93"/>
      <c r="AD321" s="93"/>
      <c r="AE321" s="93"/>
      <c r="AF321" s="93" t="str">
        <f aca="false">IF(ISBLANK($C321),"",IF(E321=Constants!$B$2,TRUE(),IF(E321=Constants!$B$3,FALSE(),TRUE())))</f>
        <v/>
      </c>
      <c r="AG321" s="93" t="str">
        <f aca="false">IF(ISBLANK($C321),"",IF(F321=Constants!$B$2,TRUE(),IF(F321=Constants!$B$3,FALSE(),TRUE())))</f>
        <v/>
      </c>
      <c r="AH321" s="93" t="str">
        <f aca="false">IF(ISBLANK($C321),"",IF(G321=Constants!$B$2,TRUE(),IF(G321=Constants!$B$3,FALSE(),TRUE())))</f>
        <v/>
      </c>
      <c r="AI321" s="93" t="str">
        <f aca="false">IF(ISBLANK($C321),"",IF(AND(ISNUMBER(H321),H321&gt;=0),H321,Constants!$B$24))</f>
        <v/>
      </c>
      <c r="AJ321" s="93" t="str">
        <f aca="false">IF(ISBLANK($C321),"",IF(I321=Constants!$B$2,TRUE(),IF(I321=Constants!$B$3,FALSE(),TRUE())))</f>
        <v/>
      </c>
      <c r="AK321" s="93" t="str">
        <f aca="false">IF(ISBLANK($C321),"",IF(J321=Constants!$B$2,TRUE(),IF(J321=Constants!$B$3,FALSE(),TRUE())))</f>
        <v/>
      </c>
      <c r="AL321" s="93" t="str">
        <f aca="false">IF(ISBLANK($C321),"",IF(K321=Constants!$B$4,TRUE(),IF(K321=Constants!$B$5,FALSE(),COUNTA(L321:P321)&gt;0)))</f>
        <v/>
      </c>
      <c r="AM321" s="95" t="str">
        <f aca="false">IF(ISBLANK($C321),"",IF(ISNUMBER(L321),IF(L321&gt;=0,L321,""),""))</f>
        <v/>
      </c>
      <c r="AN321" s="94" t="str">
        <f aca="false">IF(ISBLANK($C321),"",IF(ISNUMBER(M321),IF(M321&gt;=0,M321,""),""))</f>
        <v/>
      </c>
      <c r="AO321" s="94" t="str">
        <f aca="false">IF(ISBLANK($C321),"",IF(N321=Constants!$B$2,TRUE(),IF(N321=Constants!$B$3,FALSE(),TRUE())))</f>
        <v/>
      </c>
      <c r="AP321" s="93" t="str">
        <f aca="false">IF(ISBLANK($C321),"",IF(ISNUMBER(O321),IF(O321&gt;=0,O321,""),""))</f>
        <v/>
      </c>
      <c r="AQ321" s="93" t="str">
        <f aca="false">IF(ISBLANK($C321),"",IF(P321=Constants!$B$2,TRUE(),IF(P321=Constants!$B$3,FALSE(),FALSE())))</f>
        <v/>
      </c>
      <c r="AR321" s="93" t="str">
        <f aca="false">IF(ISBLANK($C321),"",IF(Q321=Constants!$B$2,TRUE(),IF(Q321=Constants!$B$3,FALSE(),TRUE())))</f>
        <v/>
      </c>
      <c r="AS321" s="93" t="str">
        <f aca="false">IF(ISBLANK($C321),"",IF(R321=Constants!$B$2,TRUE(),IF(R321=Constants!$B$3,FALSE(),TRUE())))</f>
        <v/>
      </c>
      <c r="AT321" s="93" t="str">
        <f aca="false">IF(ISBLANK($C321),"",IF(S321=Constants!$B$4,TRUE(),IF(S321=Constants!$B$5,FALSE(),COUNTA(T321:X321)&gt;0)))</f>
        <v/>
      </c>
      <c r="AU321" s="95" t="str">
        <f aca="false">IF(ISBLANK($C321),"",IF(ISNUMBER(T321),IF(T321&gt;=0,T321,""),""))</f>
        <v/>
      </c>
      <c r="AV321" s="94" t="str">
        <f aca="false">IF(ISBLANK($C321),"",IF(ISNUMBER(U321),IF(U321&gt;=0,U321,""),""))</f>
        <v/>
      </c>
      <c r="AW321" s="94" t="str">
        <f aca="false">IF(ISBLANK($C321),"",IF(V321=Constants!$B$2,TRUE(),IF(V321=Constants!$B$3,FALSE(),TRUE())))</f>
        <v/>
      </c>
      <c r="AX321" s="93" t="str">
        <f aca="false">IF(ISBLANK($C321),"",IF(ISNUMBER(W321),IF(W321&gt;=0,W321,""),""))</f>
        <v/>
      </c>
      <c r="AY321" s="93" t="str">
        <f aca="false">IF(ISBLANK($C321),"",IF(X321=Constants!$B$2,TRUE(),IF(X321=Constants!$B$3,FALSE(),FALSE())))</f>
        <v/>
      </c>
      <c r="AZ321" s="93" t="str">
        <f aca="false">IF(ISBLANK($C321),"",MIN(Constants!$B$25,MAX(0,IF(ISNUMBER(Y321),Y321*60,0)+IF(ISNUMBER(Z321),Z321,0))))</f>
        <v/>
      </c>
      <c r="BA321" s="93" t="str">
        <f aca="false">IF(ISBLANK($C321),"",IF(AA321=Constants!$B$2,TRUE(),IF(AA321=Constants!$B$3,FALSE(),FALSE())))</f>
        <v/>
      </c>
      <c r="BB321" s="92" t="str">
        <f aca="false">IF(ISBLANK($C321),"",AND($AL321,OR($AM321="",$AN321="",AND($AO321,$AP321=""))))</f>
        <v/>
      </c>
      <c r="BC321" s="94" t="str">
        <f aca="false">IF($BX321&lt;&gt;Constants!$B$6,"",IF($AL321,Constants!$B$17*$AN321+Constants!$B$18*IF($AO321,$AP321,Constants!$B$19),Constants!$B$20))</f>
        <v/>
      </c>
      <c r="BD321" s="97" t="str">
        <f aca="false">IF($BX321&lt;&gt;Constants!$B$6,"",Constants!$B$21*ABS($AD$9-IF($AL321,$AM321,0)))</f>
        <v/>
      </c>
      <c r="BE321" s="97" t="str">
        <f aca="false">IF($BX321&lt;&gt;Constants!$B$6,"",IF(AND($AL321,$AQ321,$AO321),Constants!$B$22,0))</f>
        <v/>
      </c>
      <c r="BF321" s="97" t="str">
        <f aca="false">IF($BX321&lt;&gt;Constants!$B$6,"",IF($AL321,($AI321-Constants!$B$24)*Constants!$B$23,0))</f>
        <v/>
      </c>
      <c r="BG321" s="97" t="str">
        <f aca="false">IF($BX321&lt;&gt;Constants!$B$6,"",IF($AK321,0,Constants!$B$12)+IF($AJ321,0,Constants!$B$13)+IF($AH321,0,Constants!$B$14))</f>
        <v/>
      </c>
      <c r="BH321" s="98" t="str">
        <f aca="false">IF($BX321&lt;&gt;Constants!$B$6,"",Constants!$B$16+SUM($BC321:$BG321))</f>
        <v/>
      </c>
      <c r="BI321" s="97" t="str">
        <f aca="false">IF($BX321&lt;&gt;Constants!$B$6,"",$BC321)</f>
        <v/>
      </c>
      <c r="BJ321" s="97" t="str">
        <f aca="false">IF($BX321&lt;&gt;Constants!$B$6,"",$BD321)</f>
        <v/>
      </c>
      <c r="BK321" s="99" t="str">
        <f aca="false">IF($BX321&lt;&gt;Constants!$B$6,"",IF($AL321,$AN321,""))</f>
        <v/>
      </c>
      <c r="BL321" s="93" t="str">
        <f aca="false">IF($BX321&lt;&gt;Constants!$B$6,"",IF(OR($BS321&lt;$BH321,AND($BS321=$BH321,OR($BT321&lt;$BI321,AND($BT321=$BI321,OR($BU321&lt;$BJ321,AND($BU321=$BJ321,AND(ISNUMBER($BV321),OR(NOT(ISNUMBER($BK321)),$BV321&lt;$BK321)))))))),"-&gt;","&lt;-"))</f>
        <v/>
      </c>
      <c r="BM321" s="92" t="str">
        <f aca="false">IF(ISBLANK($C321),"",AND($AT321,OR($AU321="",$AV321="",AND($AW321,$AX321=""))))</f>
        <v/>
      </c>
      <c r="BN321" s="94" t="str">
        <f aca="false">IF($BX321&lt;&gt;Constants!$B$6,"",IF($AT321,Constants!$B$17*$AV321+Constants!$B$18*IF($AW321,$AX321,Constants!$B$19),Constants!$B$20))</f>
        <v/>
      </c>
      <c r="BO321" s="97" t="str">
        <f aca="false">IF($BX321&lt;&gt;Constants!$B$6,"",Constants!$B$21*ABS($AD$9-IF($AT321,$AU321,0)))</f>
        <v/>
      </c>
      <c r="BP321" s="97" t="str">
        <f aca="false">IF($BX321&lt;&gt;Constants!$B$6,"",IF(AND($AT321,$AY321,$AW321),Constants!$B$22,0))</f>
        <v/>
      </c>
      <c r="BQ321" s="97" t="str">
        <f aca="false">IF($BX321&lt;&gt;Constants!$B$6,"",IF($AT321,($AI321-Constants!$B$24)*Constants!$B$23,0))</f>
        <v/>
      </c>
      <c r="BR321" s="97" t="str">
        <f aca="false">IF($BX321&lt;&gt;Constants!$B$6,"",IF($AS321,0,Constants!$B$12)+IF($AR321,0,Constants!$B$13)+IF($AH321,0,Constants!$B$14))</f>
        <v/>
      </c>
      <c r="BS321" s="98" t="str">
        <f aca="false">IF($BX321&lt;&gt;Constants!$B$6,"",Constants!$B$16+SUM($BN321:$BR321))</f>
        <v/>
      </c>
      <c r="BT321" s="97" t="str">
        <f aca="false">IF($BX321&lt;&gt;Constants!$B$6,"",$BN321)</f>
        <v/>
      </c>
      <c r="BU321" s="97" t="str">
        <f aca="false">IF($BX321&lt;&gt;Constants!$B$6,"",$BO321)</f>
        <v/>
      </c>
      <c r="BV321" s="99" t="str">
        <f aca="false">IF($BX321&lt;&gt;Constants!$B$6,"",IF($AT321,$AV321,""))</f>
        <v/>
      </c>
      <c r="BW321" s="93" t="str">
        <f aca="false">IF(ISBLANK($C321),"",IF(ISBLANK($D$7),$BW$5,IF(NOT(ISNUMBER($D$7)),$BW$6,"")))</f>
        <v/>
      </c>
      <c r="BX321" s="93" t="str">
        <f aca="false">IF(ISBLANK($C321),"",IF($BA321,Constants!$B$9,IF(COUNTA($E321:$AA321)=0,Constants!$B$8,IF(NOT($AG321),Constants!$B$7,IF(OR($BW321&lt;&gt;"",$BB321,$BM321),Constants!$B$10,Constants!$B$6)))))</f>
        <v/>
      </c>
      <c r="BY321" s="93" t="str">
        <f aca="false">IF(ISBLANK($C321),"",IF($BX321&lt;&gt;Constants!$B$6,$BX321,Constants!$B$11))</f>
        <v/>
      </c>
      <c r="BZ321" s="97" t="str">
        <f aca="false">IF($BX321&lt;&gt;Constants!$B$6,"",IF($BL321="-&gt;",$BS321,$BH321))</f>
        <v/>
      </c>
      <c r="CA321" s="97" t="str">
        <f aca="false">IF($BX321&lt;&gt;Constants!$B$6,"",IF($AF321,0,Constants!$B$15))</f>
        <v/>
      </c>
      <c r="CB321" s="97" t="str">
        <f aca="false">IF($BX321&lt;&gt;Constants!$B$6,"",((Constants!$B$25-$AZ321)-Constants!$B$25)/Constants!$B$26)</f>
        <v/>
      </c>
      <c r="CC321" s="97" t="str">
        <f aca="false">IF(ISBLANK($C321),"",IF($BX321&lt;&gt;Constants!$B$6,$BX321,SUM($BZ321:$CB321)))</f>
        <v/>
      </c>
      <c r="CD321" s="93" t="str">
        <f aca="false">IF(ISBLANK($C321),"",IF($BX321&lt;&gt;Constants!$B$6,$BX321,RANK($CC321,$CC$9:$CC$508,1)))</f>
        <v/>
      </c>
      <c r="CE321" s="97" t="str">
        <f aca="false">IF($BX321&lt;&gt;Constants!$B$6,"",IF($BL321="-&gt;",$BT321,$BI321))</f>
        <v/>
      </c>
      <c r="CF321" s="93" t="str">
        <f aca="false">IF(ISBLANK($C321),"",IF($BX321&lt;&gt;Constants!$B$6,$BX321,IF(ISNUMBER($CE321),RANK($CE321,$CE$9:$CE$508,1),COUNT($CE$9:$CE$508)+1)))</f>
        <v/>
      </c>
      <c r="CG321" s="97" t="str">
        <f aca="false">IF($BX321&lt;&gt;Constants!$B$6,"",IF($BL321="-&gt;",$BU321,$BJ321))</f>
        <v/>
      </c>
      <c r="CH321" s="93" t="str">
        <f aca="false">IF(ISBLANK($C321),"",IF($BX321&lt;&gt;Constants!$B$6,$BX321,IF(ISNUMBER($CG321),RANK($CG321,$CG$9:$CG$508,1),COUNT($CG$9:$CG$508)+1)))</f>
        <v/>
      </c>
      <c r="CI321" s="97" t="str">
        <f aca="false">IF($BX321&lt;&gt;Constants!$B$6,"",IF($BL321="-&gt;",$BV321,$BK321))</f>
        <v/>
      </c>
      <c r="CJ321" s="93" t="str">
        <f aca="false">IF(ISBLANK($C321),"",IF($BX321&lt;&gt;Constants!$B$6,$BX321,IF(ISNUMBER($CI321),RANK($CI321,$CI$9:$CI$508,1),COUNT($CI$9:$CI$508)+1)))</f>
        <v/>
      </c>
      <c r="CK321" s="97" t="str">
        <f aca="false">IF($BX321&lt;&gt;Constants!$B$6,"",$AI321)</f>
        <v/>
      </c>
      <c r="CL321" s="93" t="str">
        <f aca="false">IF(ISBLANK($C321),"",IF($BX321&lt;&gt;Constants!$B$6,$BX321,IF(ISNUMBER($CK321),RANK($CK321,$CK$9:$CK$508,1),COUNT($CK$9:$CK$508)+1)))</f>
        <v/>
      </c>
      <c r="CM321" s="93" t="str">
        <f aca="false">IF(ISBLANK($C321),"",IF($BX321&lt;&gt;Constants!$B$6,$BX321,COUNTIFS($CD$9:$CD$508,"&lt;"&amp;$CD321)+COUNTIFS($CD$9:$CD$508,$CD321,$CF$9:$CF$508,"&lt;"&amp;$CF321)+COUNTIFS($CD$9:$CD$508,$CD321,$CF$9:$CF$508,$CF321,$CH$9:$CH$508,"&lt;"&amp;$CH321)+COUNTIFS($CD$9:$CD$508,$CD321,$CF$9:$CF$508,$CF321,$CH$9:$CH$508,$CH321,$CJ$9:$CJ$508,"&lt;"&amp;$CJ321)+COUNTIFS($CD$9:$CD$508,$CD321,$CF$9:$CF$508,$CF321,$CH$9:$CH$508,$CH321,$CJ$9:$CJ$508,$CJ321,$CL$9:$CL$508,"&lt;"&amp;$CL321)+1))</f>
        <v/>
      </c>
      <c r="CN321" s="93" t="str">
        <f aca="false">IF(ISBLANK($C321),"",IF($BX321&lt;&gt;Constants!$B$6,$BX321,$CD321-$CM321))</f>
        <v/>
      </c>
      <c r="CO321" s="100"/>
      <c r="CP321" s="101"/>
      <c r="CQ321" s="102" t="str">
        <f aca="false">IF(ISBLANK($C321),"",IF($BX321=Constants!$B$10,$BW321,""))</f>
        <v/>
      </c>
      <c r="CR321" s="101" t="str">
        <f aca="false">IF(ISBLANK($C321),"",IF($BX321&lt;&gt;Constants!$B$6,"",IF($BL321="-&gt;",2,1)))</f>
        <v/>
      </c>
      <c r="CS321" s="103" t="str">
        <f aca="false">IF(ISBLANK($C321),"",IF($BX321&lt;&gt;Constants!$B$6,"",IF($BL321="-&gt;",$BN321,$BC321)))</f>
        <v/>
      </c>
      <c r="CT321" s="103" t="str">
        <f aca="false">IF(ISBLANK($C321),"",IF($BX321&lt;&gt;Constants!$B$6,"",IF($BL321="-&gt;",$BO321,$BD321)))</f>
        <v/>
      </c>
      <c r="CU321" s="103" t="str">
        <f aca="false">IF(ISBLANK($C321),"",IF($BX321&lt;&gt;Constants!$B$6,"",IF($BL321="-&gt;",$BP321+$BQ321,$BE321+$BF321)+$CB321))</f>
        <v/>
      </c>
      <c r="CV321" s="103" t="str">
        <f aca="false">IF(ISBLANK($C321),"",IF($BX321&lt;&gt;Constants!$B$6,"",IF($BL321="-&gt;",$BR321,$BG321)+$CA321))</f>
        <v/>
      </c>
      <c r="CW321" s="104" t="str">
        <f aca="false">IF(ISBLANK($C321),"",IF($BX321&lt;&gt;Constants!$B$6,$BX321,$CC321))</f>
        <v/>
      </c>
      <c r="CX321" s="105" t="str">
        <f aca="false">IF(ISBLANK($C321),"",$BY321)</f>
        <v/>
      </c>
      <c r="CY321" s="106" t="str">
        <f aca="false">IF(ISBLANK($C321),"",$CN321)</f>
        <v/>
      </c>
      <c r="CZ321" s="106" t="str">
        <f aca="false">IF(ISBLANK($C321),"",$CM321)</f>
        <v/>
      </c>
      <c r="DA321" s="107" t="str">
        <f aca="false">IF(ISBLANK($C321),"",IFERROR(_xlfn.SWITCH($CZ321,Constants!$B$9,COUNTA($C$9:$C$508)+2,Constants!$B$8,COUNTA($C$9:$C$508)+1,Constants!$B$7,COUNTA($C$9:$C$508)),$CZ321))</f>
        <v/>
      </c>
      <c r="DB321" s="9"/>
      <c r="DC321" s="108" t="n">
        <f aca="false">IF(OR(ISNUMBER($CZ321),$CZ321=Constants!$B$9,$CZ321=Constants!$B$7,$CZ321=Constants!$B$8),1,0)</f>
        <v>0</v>
      </c>
      <c r="DD321" s="108" t="n">
        <v>313</v>
      </c>
      <c r="DE321" s="108" t="str">
        <f aca="false">IF(ISBLANK($C321),"",IF(ISNUMBER($DA321),$DA321+ROW($B321)/1000,""))</f>
        <v/>
      </c>
      <c r="DF321" s="108" t="str">
        <f aca="false">IF(ISNUMBER($DE321),RANK($DE321,$DE$9:$DE$508,1),"")</f>
        <v/>
      </c>
      <c r="DG321" s="108" t="str">
        <f aca="false">IF(ISBLANK($C321),"",$B321)</f>
        <v/>
      </c>
      <c r="DH321" s="108" t="str">
        <f aca="false">IF(ISBLANK($C321),"",$C321)</f>
        <v/>
      </c>
      <c r="DI321" s="108" t="str">
        <f aca="false">IF(ISBLANK($C321),"",$D321)</f>
        <v/>
      </c>
      <c r="DJ321" s="109" t="str">
        <f aca="false">$CX321</f>
        <v/>
      </c>
      <c r="DK321" s="110" t="str">
        <f aca="false">$CW321</f>
        <v/>
      </c>
      <c r="DL321" s="108" t="str">
        <f aca="false">IF(ISBLANK($C321),"",$CZ321)</f>
        <v/>
      </c>
      <c r="DM321" s="111" t="str">
        <f aca="false">IF($DD321&gt;$DC$8,"",VLOOKUP($DD321,$DF$9:$DL$508,7,FALSE()))</f>
        <v/>
      </c>
      <c r="DN321" s="112" t="str">
        <f aca="false">IF($DD321&gt;$DC$8,"",VLOOKUP($DD321,$DF$9:$DL$508,2,FALSE()))</f>
        <v/>
      </c>
      <c r="DO321" s="112" t="str">
        <f aca="false">IF($DD321&gt;$DC$8,"",VLOOKUP($DD321,$DF$9:$DL$508,3,FALSE()))</f>
        <v/>
      </c>
      <c r="DP321" s="112" t="str">
        <f aca="false">IF($DD321&gt;$DC$8,"",VLOOKUP($DD321,$DF$9:$DL$508,4,FALSE()))</f>
        <v/>
      </c>
      <c r="DQ321" s="112" t="str">
        <f aca="false">IF($DD321&gt;$DC$8,"",VLOOKUP($DD321,$DF$9:$DL$508,5,FALSE()))</f>
        <v/>
      </c>
      <c r="DR321" s="113" t="str">
        <f aca="false">IF($DD321&gt;$DC$8,"",VLOOKUP($DD321,$DF$9:$DL$508,6,FALSE()))</f>
        <v/>
      </c>
      <c r="DS321" s="76"/>
    </row>
    <row r="322" customFormat="false" ht="15.75" hidden="false" customHeight="false" outlineLevel="0" collapsed="false">
      <c r="A322" s="9"/>
      <c r="B322" s="78"/>
      <c r="C322" s="79"/>
      <c r="D322" s="170"/>
      <c r="E322" s="178"/>
      <c r="F322" s="172"/>
      <c r="G322" s="173"/>
      <c r="H322" s="173"/>
      <c r="I322" s="179"/>
      <c r="J322" s="176"/>
      <c r="K322" s="86"/>
      <c r="L322" s="87"/>
      <c r="M322" s="88"/>
      <c r="N322" s="176"/>
      <c r="O322" s="176"/>
      <c r="P322" s="178"/>
      <c r="Q322" s="176"/>
      <c r="R322" s="176"/>
      <c r="S322" s="86"/>
      <c r="T322" s="88"/>
      <c r="U322" s="88"/>
      <c r="V322" s="176"/>
      <c r="W322" s="176"/>
      <c r="X322" s="178"/>
      <c r="Y322" s="176"/>
      <c r="Z322" s="177"/>
      <c r="AA322" s="176"/>
      <c r="AB322" s="92"/>
      <c r="AC322" s="93"/>
      <c r="AD322" s="93"/>
      <c r="AE322" s="93"/>
      <c r="AF322" s="93" t="str">
        <f aca="false">IF(ISBLANK($C322),"",IF(E322=Constants!$B$2,TRUE(),IF(E322=Constants!$B$3,FALSE(),TRUE())))</f>
        <v/>
      </c>
      <c r="AG322" s="93" t="str">
        <f aca="false">IF(ISBLANK($C322),"",IF(F322=Constants!$B$2,TRUE(),IF(F322=Constants!$B$3,FALSE(),TRUE())))</f>
        <v/>
      </c>
      <c r="AH322" s="93" t="str">
        <f aca="false">IF(ISBLANK($C322),"",IF(G322=Constants!$B$2,TRUE(),IF(G322=Constants!$B$3,FALSE(),TRUE())))</f>
        <v/>
      </c>
      <c r="AI322" s="93" t="str">
        <f aca="false">IF(ISBLANK($C322),"",IF(AND(ISNUMBER(H322),H322&gt;=0),H322,Constants!$B$24))</f>
        <v/>
      </c>
      <c r="AJ322" s="93" t="str">
        <f aca="false">IF(ISBLANK($C322),"",IF(I322=Constants!$B$2,TRUE(),IF(I322=Constants!$B$3,FALSE(),TRUE())))</f>
        <v/>
      </c>
      <c r="AK322" s="93" t="str">
        <f aca="false">IF(ISBLANK($C322),"",IF(J322=Constants!$B$2,TRUE(),IF(J322=Constants!$B$3,FALSE(),TRUE())))</f>
        <v/>
      </c>
      <c r="AL322" s="93" t="str">
        <f aca="false">IF(ISBLANK($C322),"",IF(K322=Constants!$B$4,TRUE(),IF(K322=Constants!$B$5,FALSE(),COUNTA(L322:P322)&gt;0)))</f>
        <v/>
      </c>
      <c r="AM322" s="95" t="str">
        <f aca="false">IF(ISBLANK($C322),"",IF(ISNUMBER(L322),IF(L322&gt;=0,L322,""),""))</f>
        <v/>
      </c>
      <c r="AN322" s="94" t="str">
        <f aca="false">IF(ISBLANK($C322),"",IF(ISNUMBER(M322),IF(M322&gt;=0,M322,""),""))</f>
        <v/>
      </c>
      <c r="AO322" s="94" t="str">
        <f aca="false">IF(ISBLANK($C322),"",IF(N322=Constants!$B$2,TRUE(),IF(N322=Constants!$B$3,FALSE(),TRUE())))</f>
        <v/>
      </c>
      <c r="AP322" s="93" t="str">
        <f aca="false">IF(ISBLANK($C322),"",IF(ISNUMBER(O322),IF(O322&gt;=0,O322,""),""))</f>
        <v/>
      </c>
      <c r="AQ322" s="93" t="str">
        <f aca="false">IF(ISBLANK($C322),"",IF(P322=Constants!$B$2,TRUE(),IF(P322=Constants!$B$3,FALSE(),FALSE())))</f>
        <v/>
      </c>
      <c r="AR322" s="93" t="str">
        <f aca="false">IF(ISBLANK($C322),"",IF(Q322=Constants!$B$2,TRUE(),IF(Q322=Constants!$B$3,FALSE(),TRUE())))</f>
        <v/>
      </c>
      <c r="AS322" s="93" t="str">
        <f aca="false">IF(ISBLANK($C322),"",IF(R322=Constants!$B$2,TRUE(),IF(R322=Constants!$B$3,FALSE(),TRUE())))</f>
        <v/>
      </c>
      <c r="AT322" s="93" t="str">
        <f aca="false">IF(ISBLANK($C322),"",IF(S322=Constants!$B$4,TRUE(),IF(S322=Constants!$B$5,FALSE(),COUNTA(T322:X322)&gt;0)))</f>
        <v/>
      </c>
      <c r="AU322" s="95" t="str">
        <f aca="false">IF(ISBLANK($C322),"",IF(ISNUMBER(T322),IF(T322&gt;=0,T322,""),""))</f>
        <v/>
      </c>
      <c r="AV322" s="94" t="str">
        <f aca="false">IF(ISBLANK($C322),"",IF(ISNUMBER(U322),IF(U322&gt;=0,U322,""),""))</f>
        <v/>
      </c>
      <c r="AW322" s="94" t="str">
        <f aca="false">IF(ISBLANK($C322),"",IF(V322=Constants!$B$2,TRUE(),IF(V322=Constants!$B$3,FALSE(),TRUE())))</f>
        <v/>
      </c>
      <c r="AX322" s="93" t="str">
        <f aca="false">IF(ISBLANK($C322),"",IF(ISNUMBER(W322),IF(W322&gt;=0,W322,""),""))</f>
        <v/>
      </c>
      <c r="AY322" s="93" t="str">
        <f aca="false">IF(ISBLANK($C322),"",IF(X322=Constants!$B$2,TRUE(),IF(X322=Constants!$B$3,FALSE(),FALSE())))</f>
        <v/>
      </c>
      <c r="AZ322" s="93" t="str">
        <f aca="false">IF(ISBLANK($C322),"",MIN(Constants!$B$25,MAX(0,IF(ISNUMBER(Y322),Y322*60,0)+IF(ISNUMBER(Z322),Z322,0))))</f>
        <v/>
      </c>
      <c r="BA322" s="93" t="str">
        <f aca="false">IF(ISBLANK($C322),"",IF(AA322=Constants!$B$2,TRUE(),IF(AA322=Constants!$B$3,FALSE(),FALSE())))</f>
        <v/>
      </c>
      <c r="BB322" s="92" t="str">
        <f aca="false">IF(ISBLANK($C322),"",AND($AL322,OR($AM322="",$AN322="",AND($AO322,$AP322=""))))</f>
        <v/>
      </c>
      <c r="BC322" s="94" t="str">
        <f aca="false">IF($BX322&lt;&gt;Constants!$B$6,"",IF($AL322,Constants!$B$17*$AN322+Constants!$B$18*IF($AO322,$AP322,Constants!$B$19),Constants!$B$20))</f>
        <v/>
      </c>
      <c r="BD322" s="97" t="str">
        <f aca="false">IF($BX322&lt;&gt;Constants!$B$6,"",Constants!$B$21*ABS($AD$9-IF($AL322,$AM322,0)))</f>
        <v/>
      </c>
      <c r="BE322" s="97" t="str">
        <f aca="false">IF($BX322&lt;&gt;Constants!$B$6,"",IF(AND($AL322,$AQ322,$AO322),Constants!$B$22,0))</f>
        <v/>
      </c>
      <c r="BF322" s="97" t="str">
        <f aca="false">IF($BX322&lt;&gt;Constants!$B$6,"",IF($AL322,($AI322-Constants!$B$24)*Constants!$B$23,0))</f>
        <v/>
      </c>
      <c r="BG322" s="97" t="str">
        <f aca="false">IF($BX322&lt;&gt;Constants!$B$6,"",IF($AK322,0,Constants!$B$12)+IF($AJ322,0,Constants!$B$13)+IF($AH322,0,Constants!$B$14))</f>
        <v/>
      </c>
      <c r="BH322" s="98" t="str">
        <f aca="false">IF($BX322&lt;&gt;Constants!$B$6,"",Constants!$B$16+SUM($BC322:$BG322))</f>
        <v/>
      </c>
      <c r="BI322" s="97" t="str">
        <f aca="false">IF($BX322&lt;&gt;Constants!$B$6,"",$BC322)</f>
        <v/>
      </c>
      <c r="BJ322" s="97" t="str">
        <f aca="false">IF($BX322&lt;&gt;Constants!$B$6,"",$BD322)</f>
        <v/>
      </c>
      <c r="BK322" s="99" t="str">
        <f aca="false">IF($BX322&lt;&gt;Constants!$B$6,"",IF($AL322,$AN322,""))</f>
        <v/>
      </c>
      <c r="BL322" s="93" t="str">
        <f aca="false">IF($BX322&lt;&gt;Constants!$B$6,"",IF(OR($BS322&lt;$BH322,AND($BS322=$BH322,OR($BT322&lt;$BI322,AND($BT322=$BI322,OR($BU322&lt;$BJ322,AND($BU322=$BJ322,AND(ISNUMBER($BV322),OR(NOT(ISNUMBER($BK322)),$BV322&lt;$BK322)))))))),"-&gt;","&lt;-"))</f>
        <v/>
      </c>
      <c r="BM322" s="92" t="str">
        <f aca="false">IF(ISBLANK($C322),"",AND($AT322,OR($AU322="",$AV322="",AND($AW322,$AX322=""))))</f>
        <v/>
      </c>
      <c r="BN322" s="94" t="str">
        <f aca="false">IF($BX322&lt;&gt;Constants!$B$6,"",IF($AT322,Constants!$B$17*$AV322+Constants!$B$18*IF($AW322,$AX322,Constants!$B$19),Constants!$B$20))</f>
        <v/>
      </c>
      <c r="BO322" s="97" t="str">
        <f aca="false">IF($BX322&lt;&gt;Constants!$B$6,"",Constants!$B$21*ABS($AD$9-IF($AT322,$AU322,0)))</f>
        <v/>
      </c>
      <c r="BP322" s="97" t="str">
        <f aca="false">IF($BX322&lt;&gt;Constants!$B$6,"",IF(AND($AT322,$AY322,$AW322),Constants!$B$22,0))</f>
        <v/>
      </c>
      <c r="BQ322" s="97" t="str">
        <f aca="false">IF($BX322&lt;&gt;Constants!$B$6,"",IF($AT322,($AI322-Constants!$B$24)*Constants!$B$23,0))</f>
        <v/>
      </c>
      <c r="BR322" s="97" t="str">
        <f aca="false">IF($BX322&lt;&gt;Constants!$B$6,"",IF($AS322,0,Constants!$B$12)+IF($AR322,0,Constants!$B$13)+IF($AH322,0,Constants!$B$14))</f>
        <v/>
      </c>
      <c r="BS322" s="98" t="str">
        <f aca="false">IF($BX322&lt;&gt;Constants!$B$6,"",Constants!$B$16+SUM($BN322:$BR322))</f>
        <v/>
      </c>
      <c r="BT322" s="97" t="str">
        <f aca="false">IF($BX322&lt;&gt;Constants!$B$6,"",$BN322)</f>
        <v/>
      </c>
      <c r="BU322" s="97" t="str">
        <f aca="false">IF($BX322&lt;&gt;Constants!$B$6,"",$BO322)</f>
        <v/>
      </c>
      <c r="BV322" s="99" t="str">
        <f aca="false">IF($BX322&lt;&gt;Constants!$B$6,"",IF($AT322,$AV322,""))</f>
        <v/>
      </c>
      <c r="BW322" s="93" t="str">
        <f aca="false">IF(ISBLANK($C322),"",IF(ISBLANK($D$7),$BW$5,IF(NOT(ISNUMBER($D$7)),$BW$6,"")))</f>
        <v/>
      </c>
      <c r="BX322" s="93" t="str">
        <f aca="false">IF(ISBLANK($C322),"",IF($BA322,Constants!$B$9,IF(COUNTA($E322:$AA322)=0,Constants!$B$8,IF(NOT($AG322),Constants!$B$7,IF(OR($BW322&lt;&gt;"",$BB322,$BM322),Constants!$B$10,Constants!$B$6)))))</f>
        <v/>
      </c>
      <c r="BY322" s="93" t="str">
        <f aca="false">IF(ISBLANK($C322),"",IF($BX322&lt;&gt;Constants!$B$6,$BX322,Constants!$B$11))</f>
        <v/>
      </c>
      <c r="BZ322" s="97" t="str">
        <f aca="false">IF($BX322&lt;&gt;Constants!$B$6,"",IF($BL322="-&gt;",$BS322,$BH322))</f>
        <v/>
      </c>
      <c r="CA322" s="97" t="str">
        <f aca="false">IF($BX322&lt;&gt;Constants!$B$6,"",IF($AF322,0,Constants!$B$15))</f>
        <v/>
      </c>
      <c r="CB322" s="97" t="str">
        <f aca="false">IF($BX322&lt;&gt;Constants!$B$6,"",((Constants!$B$25-$AZ322)-Constants!$B$25)/Constants!$B$26)</f>
        <v/>
      </c>
      <c r="CC322" s="97" t="str">
        <f aca="false">IF(ISBLANK($C322),"",IF($BX322&lt;&gt;Constants!$B$6,$BX322,SUM($BZ322:$CB322)))</f>
        <v/>
      </c>
      <c r="CD322" s="93" t="str">
        <f aca="false">IF(ISBLANK($C322),"",IF($BX322&lt;&gt;Constants!$B$6,$BX322,RANK($CC322,$CC$9:$CC$508,1)))</f>
        <v/>
      </c>
      <c r="CE322" s="97" t="str">
        <f aca="false">IF($BX322&lt;&gt;Constants!$B$6,"",IF($BL322="-&gt;",$BT322,$BI322))</f>
        <v/>
      </c>
      <c r="CF322" s="93" t="str">
        <f aca="false">IF(ISBLANK($C322),"",IF($BX322&lt;&gt;Constants!$B$6,$BX322,IF(ISNUMBER($CE322),RANK($CE322,$CE$9:$CE$508,1),COUNT($CE$9:$CE$508)+1)))</f>
        <v/>
      </c>
      <c r="CG322" s="97" t="str">
        <f aca="false">IF($BX322&lt;&gt;Constants!$B$6,"",IF($BL322="-&gt;",$BU322,$BJ322))</f>
        <v/>
      </c>
      <c r="CH322" s="93" t="str">
        <f aca="false">IF(ISBLANK($C322),"",IF($BX322&lt;&gt;Constants!$B$6,$BX322,IF(ISNUMBER($CG322),RANK($CG322,$CG$9:$CG$508,1),COUNT($CG$9:$CG$508)+1)))</f>
        <v/>
      </c>
      <c r="CI322" s="97" t="str">
        <f aca="false">IF($BX322&lt;&gt;Constants!$B$6,"",IF($BL322="-&gt;",$BV322,$BK322))</f>
        <v/>
      </c>
      <c r="CJ322" s="93" t="str">
        <f aca="false">IF(ISBLANK($C322),"",IF($BX322&lt;&gt;Constants!$B$6,$BX322,IF(ISNUMBER($CI322),RANK($CI322,$CI$9:$CI$508,1),COUNT($CI$9:$CI$508)+1)))</f>
        <v/>
      </c>
      <c r="CK322" s="97" t="str">
        <f aca="false">IF($BX322&lt;&gt;Constants!$B$6,"",$AI322)</f>
        <v/>
      </c>
      <c r="CL322" s="93" t="str">
        <f aca="false">IF(ISBLANK($C322),"",IF($BX322&lt;&gt;Constants!$B$6,$BX322,IF(ISNUMBER($CK322),RANK($CK322,$CK$9:$CK$508,1),COUNT($CK$9:$CK$508)+1)))</f>
        <v/>
      </c>
      <c r="CM322" s="93" t="str">
        <f aca="false">IF(ISBLANK($C322),"",IF($BX322&lt;&gt;Constants!$B$6,$BX322,COUNTIFS($CD$9:$CD$508,"&lt;"&amp;$CD322)+COUNTIFS($CD$9:$CD$508,$CD322,$CF$9:$CF$508,"&lt;"&amp;$CF322)+COUNTIFS($CD$9:$CD$508,$CD322,$CF$9:$CF$508,$CF322,$CH$9:$CH$508,"&lt;"&amp;$CH322)+COUNTIFS($CD$9:$CD$508,$CD322,$CF$9:$CF$508,$CF322,$CH$9:$CH$508,$CH322,$CJ$9:$CJ$508,"&lt;"&amp;$CJ322)+COUNTIFS($CD$9:$CD$508,$CD322,$CF$9:$CF$508,$CF322,$CH$9:$CH$508,$CH322,$CJ$9:$CJ$508,$CJ322,$CL$9:$CL$508,"&lt;"&amp;$CL322)+1))</f>
        <v/>
      </c>
      <c r="CN322" s="93" t="str">
        <f aca="false">IF(ISBLANK($C322),"",IF($BX322&lt;&gt;Constants!$B$6,$BX322,$CD322-$CM322))</f>
        <v/>
      </c>
      <c r="CO322" s="100"/>
      <c r="CP322" s="101"/>
      <c r="CQ322" s="102" t="str">
        <f aca="false">IF(ISBLANK($C322),"",IF($BX322=Constants!$B$10,$BW322,""))</f>
        <v/>
      </c>
      <c r="CR322" s="101" t="str">
        <f aca="false">IF(ISBLANK($C322),"",IF($BX322&lt;&gt;Constants!$B$6,"",IF($BL322="-&gt;",2,1)))</f>
        <v/>
      </c>
      <c r="CS322" s="103" t="str">
        <f aca="false">IF(ISBLANK($C322),"",IF($BX322&lt;&gt;Constants!$B$6,"",IF($BL322="-&gt;",$BN322,$BC322)))</f>
        <v/>
      </c>
      <c r="CT322" s="103" t="str">
        <f aca="false">IF(ISBLANK($C322),"",IF($BX322&lt;&gt;Constants!$B$6,"",IF($BL322="-&gt;",$BO322,$BD322)))</f>
        <v/>
      </c>
      <c r="CU322" s="103" t="str">
        <f aca="false">IF(ISBLANK($C322),"",IF($BX322&lt;&gt;Constants!$B$6,"",IF($BL322="-&gt;",$BP322+$BQ322,$BE322+$BF322)+$CB322))</f>
        <v/>
      </c>
      <c r="CV322" s="103" t="str">
        <f aca="false">IF(ISBLANK($C322),"",IF($BX322&lt;&gt;Constants!$B$6,"",IF($BL322="-&gt;",$BR322,$BG322)+$CA322))</f>
        <v/>
      </c>
      <c r="CW322" s="104" t="str">
        <f aca="false">IF(ISBLANK($C322),"",IF($BX322&lt;&gt;Constants!$B$6,$BX322,$CC322))</f>
        <v/>
      </c>
      <c r="CX322" s="105" t="str">
        <f aca="false">IF(ISBLANK($C322),"",$BY322)</f>
        <v/>
      </c>
      <c r="CY322" s="106" t="str">
        <f aca="false">IF(ISBLANK($C322),"",$CN322)</f>
        <v/>
      </c>
      <c r="CZ322" s="106" t="str">
        <f aca="false">IF(ISBLANK($C322),"",$CM322)</f>
        <v/>
      </c>
      <c r="DA322" s="107" t="str">
        <f aca="false">IF(ISBLANK($C322),"",IFERROR(_xlfn.SWITCH($CZ322,Constants!$B$9,COUNTA($C$9:$C$508)+2,Constants!$B$8,COUNTA($C$9:$C$508)+1,Constants!$B$7,COUNTA($C$9:$C$508)),$CZ322))</f>
        <v/>
      </c>
      <c r="DB322" s="9"/>
      <c r="DC322" s="108" t="n">
        <f aca="false">IF(OR(ISNUMBER($CZ322),$CZ322=Constants!$B$9,$CZ322=Constants!$B$7,$CZ322=Constants!$B$8),1,0)</f>
        <v>0</v>
      </c>
      <c r="DD322" s="108" t="n">
        <v>314</v>
      </c>
      <c r="DE322" s="108" t="str">
        <f aca="false">IF(ISBLANK($C322),"",IF(ISNUMBER($DA322),$DA322+ROW($B322)/1000,""))</f>
        <v/>
      </c>
      <c r="DF322" s="108" t="str">
        <f aca="false">IF(ISNUMBER($DE322),RANK($DE322,$DE$9:$DE$508,1),"")</f>
        <v/>
      </c>
      <c r="DG322" s="108" t="str">
        <f aca="false">IF(ISBLANK($C322),"",$B322)</f>
        <v/>
      </c>
      <c r="DH322" s="108" t="str">
        <f aca="false">IF(ISBLANK($C322),"",$C322)</f>
        <v/>
      </c>
      <c r="DI322" s="108" t="str">
        <f aca="false">IF(ISBLANK($C322),"",$D322)</f>
        <v/>
      </c>
      <c r="DJ322" s="109" t="str">
        <f aca="false">$CX322</f>
        <v/>
      </c>
      <c r="DK322" s="110" t="str">
        <f aca="false">$CW322</f>
        <v/>
      </c>
      <c r="DL322" s="108" t="str">
        <f aca="false">IF(ISBLANK($C322),"",$CZ322)</f>
        <v/>
      </c>
      <c r="DM322" s="111" t="str">
        <f aca="false">IF($DD322&gt;$DC$8,"",VLOOKUP($DD322,$DF$9:$DL$508,7,FALSE()))</f>
        <v/>
      </c>
      <c r="DN322" s="112" t="str">
        <f aca="false">IF($DD322&gt;$DC$8,"",VLOOKUP($DD322,$DF$9:$DL$508,2,FALSE()))</f>
        <v/>
      </c>
      <c r="DO322" s="112" t="str">
        <f aca="false">IF($DD322&gt;$DC$8,"",VLOOKUP($DD322,$DF$9:$DL$508,3,FALSE()))</f>
        <v/>
      </c>
      <c r="DP322" s="112" t="str">
        <f aca="false">IF($DD322&gt;$DC$8,"",VLOOKUP($DD322,$DF$9:$DL$508,4,FALSE()))</f>
        <v/>
      </c>
      <c r="DQ322" s="112" t="str">
        <f aca="false">IF($DD322&gt;$DC$8,"",VLOOKUP($DD322,$DF$9:$DL$508,5,FALSE()))</f>
        <v/>
      </c>
      <c r="DR322" s="113" t="str">
        <f aca="false">IF($DD322&gt;$DC$8,"",VLOOKUP($DD322,$DF$9:$DL$508,6,FALSE()))</f>
        <v/>
      </c>
      <c r="DS322" s="76"/>
    </row>
    <row r="323" customFormat="false" ht="15.75" hidden="false" customHeight="false" outlineLevel="0" collapsed="false">
      <c r="A323" s="9"/>
      <c r="B323" s="78"/>
      <c r="C323" s="79"/>
      <c r="D323" s="170"/>
      <c r="E323" s="178"/>
      <c r="F323" s="172"/>
      <c r="G323" s="173"/>
      <c r="H323" s="173"/>
      <c r="I323" s="179"/>
      <c r="J323" s="176"/>
      <c r="K323" s="86"/>
      <c r="L323" s="87"/>
      <c r="M323" s="88"/>
      <c r="N323" s="176"/>
      <c r="O323" s="176"/>
      <c r="P323" s="178"/>
      <c r="Q323" s="176"/>
      <c r="R323" s="176"/>
      <c r="S323" s="86"/>
      <c r="T323" s="88"/>
      <c r="U323" s="88"/>
      <c r="V323" s="176"/>
      <c r="W323" s="176"/>
      <c r="X323" s="178"/>
      <c r="Y323" s="176"/>
      <c r="Z323" s="177"/>
      <c r="AA323" s="176"/>
      <c r="AB323" s="92"/>
      <c r="AC323" s="93"/>
      <c r="AD323" s="93"/>
      <c r="AE323" s="93"/>
      <c r="AF323" s="93" t="str">
        <f aca="false">IF(ISBLANK($C323),"",IF(E323=Constants!$B$2,TRUE(),IF(E323=Constants!$B$3,FALSE(),TRUE())))</f>
        <v/>
      </c>
      <c r="AG323" s="93" t="str">
        <f aca="false">IF(ISBLANK($C323),"",IF(F323=Constants!$B$2,TRUE(),IF(F323=Constants!$B$3,FALSE(),TRUE())))</f>
        <v/>
      </c>
      <c r="AH323" s="93" t="str">
        <f aca="false">IF(ISBLANK($C323),"",IF(G323=Constants!$B$2,TRUE(),IF(G323=Constants!$B$3,FALSE(),TRUE())))</f>
        <v/>
      </c>
      <c r="AI323" s="93" t="str">
        <f aca="false">IF(ISBLANK($C323),"",IF(AND(ISNUMBER(H323),H323&gt;=0),H323,Constants!$B$24))</f>
        <v/>
      </c>
      <c r="AJ323" s="93" t="str">
        <f aca="false">IF(ISBLANK($C323),"",IF(I323=Constants!$B$2,TRUE(),IF(I323=Constants!$B$3,FALSE(),TRUE())))</f>
        <v/>
      </c>
      <c r="AK323" s="93" t="str">
        <f aca="false">IF(ISBLANK($C323),"",IF(J323=Constants!$B$2,TRUE(),IF(J323=Constants!$B$3,FALSE(),TRUE())))</f>
        <v/>
      </c>
      <c r="AL323" s="93" t="str">
        <f aca="false">IF(ISBLANK($C323),"",IF(K323=Constants!$B$4,TRUE(),IF(K323=Constants!$B$5,FALSE(),COUNTA(L323:P323)&gt;0)))</f>
        <v/>
      </c>
      <c r="AM323" s="95" t="str">
        <f aca="false">IF(ISBLANK($C323),"",IF(ISNUMBER(L323),IF(L323&gt;=0,L323,""),""))</f>
        <v/>
      </c>
      <c r="AN323" s="94" t="str">
        <f aca="false">IF(ISBLANK($C323),"",IF(ISNUMBER(M323),IF(M323&gt;=0,M323,""),""))</f>
        <v/>
      </c>
      <c r="AO323" s="94" t="str">
        <f aca="false">IF(ISBLANK($C323),"",IF(N323=Constants!$B$2,TRUE(),IF(N323=Constants!$B$3,FALSE(),TRUE())))</f>
        <v/>
      </c>
      <c r="AP323" s="93" t="str">
        <f aca="false">IF(ISBLANK($C323),"",IF(ISNUMBER(O323),IF(O323&gt;=0,O323,""),""))</f>
        <v/>
      </c>
      <c r="AQ323" s="93" t="str">
        <f aca="false">IF(ISBLANK($C323),"",IF(P323=Constants!$B$2,TRUE(),IF(P323=Constants!$B$3,FALSE(),FALSE())))</f>
        <v/>
      </c>
      <c r="AR323" s="93" t="str">
        <f aca="false">IF(ISBLANK($C323),"",IF(Q323=Constants!$B$2,TRUE(),IF(Q323=Constants!$B$3,FALSE(),TRUE())))</f>
        <v/>
      </c>
      <c r="AS323" s="93" t="str">
        <f aca="false">IF(ISBLANK($C323),"",IF(R323=Constants!$B$2,TRUE(),IF(R323=Constants!$B$3,FALSE(),TRUE())))</f>
        <v/>
      </c>
      <c r="AT323" s="93" t="str">
        <f aca="false">IF(ISBLANK($C323),"",IF(S323=Constants!$B$4,TRUE(),IF(S323=Constants!$B$5,FALSE(),COUNTA(T323:X323)&gt;0)))</f>
        <v/>
      </c>
      <c r="AU323" s="95" t="str">
        <f aca="false">IF(ISBLANK($C323),"",IF(ISNUMBER(T323),IF(T323&gt;=0,T323,""),""))</f>
        <v/>
      </c>
      <c r="AV323" s="94" t="str">
        <f aca="false">IF(ISBLANK($C323),"",IF(ISNUMBER(U323),IF(U323&gt;=0,U323,""),""))</f>
        <v/>
      </c>
      <c r="AW323" s="94" t="str">
        <f aca="false">IF(ISBLANK($C323),"",IF(V323=Constants!$B$2,TRUE(),IF(V323=Constants!$B$3,FALSE(),TRUE())))</f>
        <v/>
      </c>
      <c r="AX323" s="93" t="str">
        <f aca="false">IF(ISBLANK($C323),"",IF(ISNUMBER(W323),IF(W323&gt;=0,W323,""),""))</f>
        <v/>
      </c>
      <c r="AY323" s="93" t="str">
        <f aca="false">IF(ISBLANK($C323),"",IF(X323=Constants!$B$2,TRUE(),IF(X323=Constants!$B$3,FALSE(),FALSE())))</f>
        <v/>
      </c>
      <c r="AZ323" s="93" t="str">
        <f aca="false">IF(ISBLANK($C323),"",MIN(Constants!$B$25,MAX(0,IF(ISNUMBER(Y323),Y323*60,0)+IF(ISNUMBER(Z323),Z323,0))))</f>
        <v/>
      </c>
      <c r="BA323" s="93" t="str">
        <f aca="false">IF(ISBLANK($C323),"",IF(AA323=Constants!$B$2,TRUE(),IF(AA323=Constants!$B$3,FALSE(),FALSE())))</f>
        <v/>
      </c>
      <c r="BB323" s="92" t="str">
        <f aca="false">IF(ISBLANK($C323),"",AND($AL323,OR($AM323="",$AN323="",AND($AO323,$AP323=""))))</f>
        <v/>
      </c>
      <c r="BC323" s="94" t="str">
        <f aca="false">IF($BX323&lt;&gt;Constants!$B$6,"",IF($AL323,Constants!$B$17*$AN323+Constants!$B$18*IF($AO323,$AP323,Constants!$B$19),Constants!$B$20))</f>
        <v/>
      </c>
      <c r="BD323" s="97" t="str">
        <f aca="false">IF($BX323&lt;&gt;Constants!$B$6,"",Constants!$B$21*ABS($AD$9-IF($AL323,$AM323,0)))</f>
        <v/>
      </c>
      <c r="BE323" s="97" t="str">
        <f aca="false">IF($BX323&lt;&gt;Constants!$B$6,"",IF(AND($AL323,$AQ323,$AO323),Constants!$B$22,0))</f>
        <v/>
      </c>
      <c r="BF323" s="97" t="str">
        <f aca="false">IF($BX323&lt;&gt;Constants!$B$6,"",IF($AL323,($AI323-Constants!$B$24)*Constants!$B$23,0))</f>
        <v/>
      </c>
      <c r="BG323" s="97" t="str">
        <f aca="false">IF($BX323&lt;&gt;Constants!$B$6,"",IF($AK323,0,Constants!$B$12)+IF($AJ323,0,Constants!$B$13)+IF($AH323,0,Constants!$B$14))</f>
        <v/>
      </c>
      <c r="BH323" s="98" t="str">
        <f aca="false">IF($BX323&lt;&gt;Constants!$B$6,"",Constants!$B$16+SUM($BC323:$BG323))</f>
        <v/>
      </c>
      <c r="BI323" s="97" t="str">
        <f aca="false">IF($BX323&lt;&gt;Constants!$B$6,"",$BC323)</f>
        <v/>
      </c>
      <c r="BJ323" s="97" t="str">
        <f aca="false">IF($BX323&lt;&gt;Constants!$B$6,"",$BD323)</f>
        <v/>
      </c>
      <c r="BK323" s="99" t="str">
        <f aca="false">IF($BX323&lt;&gt;Constants!$B$6,"",IF($AL323,$AN323,""))</f>
        <v/>
      </c>
      <c r="BL323" s="93" t="str">
        <f aca="false">IF($BX323&lt;&gt;Constants!$B$6,"",IF(OR($BS323&lt;$BH323,AND($BS323=$BH323,OR($BT323&lt;$BI323,AND($BT323=$BI323,OR($BU323&lt;$BJ323,AND($BU323=$BJ323,AND(ISNUMBER($BV323),OR(NOT(ISNUMBER($BK323)),$BV323&lt;$BK323)))))))),"-&gt;","&lt;-"))</f>
        <v/>
      </c>
      <c r="BM323" s="92" t="str">
        <f aca="false">IF(ISBLANK($C323),"",AND($AT323,OR($AU323="",$AV323="",AND($AW323,$AX323=""))))</f>
        <v/>
      </c>
      <c r="BN323" s="94" t="str">
        <f aca="false">IF($BX323&lt;&gt;Constants!$B$6,"",IF($AT323,Constants!$B$17*$AV323+Constants!$B$18*IF($AW323,$AX323,Constants!$B$19),Constants!$B$20))</f>
        <v/>
      </c>
      <c r="BO323" s="97" t="str">
        <f aca="false">IF($BX323&lt;&gt;Constants!$B$6,"",Constants!$B$21*ABS($AD$9-IF($AT323,$AU323,0)))</f>
        <v/>
      </c>
      <c r="BP323" s="97" t="str">
        <f aca="false">IF($BX323&lt;&gt;Constants!$B$6,"",IF(AND($AT323,$AY323,$AW323),Constants!$B$22,0))</f>
        <v/>
      </c>
      <c r="BQ323" s="97" t="str">
        <f aca="false">IF($BX323&lt;&gt;Constants!$B$6,"",IF($AT323,($AI323-Constants!$B$24)*Constants!$B$23,0))</f>
        <v/>
      </c>
      <c r="BR323" s="97" t="str">
        <f aca="false">IF($BX323&lt;&gt;Constants!$B$6,"",IF($AS323,0,Constants!$B$12)+IF($AR323,0,Constants!$B$13)+IF($AH323,0,Constants!$B$14))</f>
        <v/>
      </c>
      <c r="BS323" s="98" t="str">
        <f aca="false">IF($BX323&lt;&gt;Constants!$B$6,"",Constants!$B$16+SUM($BN323:$BR323))</f>
        <v/>
      </c>
      <c r="BT323" s="97" t="str">
        <f aca="false">IF($BX323&lt;&gt;Constants!$B$6,"",$BN323)</f>
        <v/>
      </c>
      <c r="BU323" s="97" t="str">
        <f aca="false">IF($BX323&lt;&gt;Constants!$B$6,"",$BO323)</f>
        <v/>
      </c>
      <c r="BV323" s="99" t="str">
        <f aca="false">IF($BX323&lt;&gt;Constants!$B$6,"",IF($AT323,$AV323,""))</f>
        <v/>
      </c>
      <c r="BW323" s="93" t="str">
        <f aca="false">IF(ISBLANK($C323),"",IF(ISBLANK($D$7),$BW$5,IF(NOT(ISNUMBER($D$7)),$BW$6,"")))</f>
        <v/>
      </c>
      <c r="BX323" s="93" t="str">
        <f aca="false">IF(ISBLANK($C323),"",IF($BA323,Constants!$B$9,IF(COUNTA($E323:$AA323)=0,Constants!$B$8,IF(NOT($AG323),Constants!$B$7,IF(OR($BW323&lt;&gt;"",$BB323,$BM323),Constants!$B$10,Constants!$B$6)))))</f>
        <v/>
      </c>
      <c r="BY323" s="93" t="str">
        <f aca="false">IF(ISBLANK($C323),"",IF($BX323&lt;&gt;Constants!$B$6,$BX323,Constants!$B$11))</f>
        <v/>
      </c>
      <c r="BZ323" s="97" t="str">
        <f aca="false">IF($BX323&lt;&gt;Constants!$B$6,"",IF($BL323="-&gt;",$BS323,$BH323))</f>
        <v/>
      </c>
      <c r="CA323" s="97" t="str">
        <f aca="false">IF($BX323&lt;&gt;Constants!$B$6,"",IF($AF323,0,Constants!$B$15))</f>
        <v/>
      </c>
      <c r="CB323" s="97" t="str">
        <f aca="false">IF($BX323&lt;&gt;Constants!$B$6,"",((Constants!$B$25-$AZ323)-Constants!$B$25)/Constants!$B$26)</f>
        <v/>
      </c>
      <c r="CC323" s="97" t="str">
        <f aca="false">IF(ISBLANK($C323),"",IF($BX323&lt;&gt;Constants!$B$6,$BX323,SUM($BZ323:$CB323)))</f>
        <v/>
      </c>
      <c r="CD323" s="93" t="str">
        <f aca="false">IF(ISBLANK($C323),"",IF($BX323&lt;&gt;Constants!$B$6,$BX323,RANK($CC323,$CC$9:$CC$508,1)))</f>
        <v/>
      </c>
      <c r="CE323" s="97" t="str">
        <f aca="false">IF($BX323&lt;&gt;Constants!$B$6,"",IF($BL323="-&gt;",$BT323,$BI323))</f>
        <v/>
      </c>
      <c r="CF323" s="93" t="str">
        <f aca="false">IF(ISBLANK($C323),"",IF($BX323&lt;&gt;Constants!$B$6,$BX323,IF(ISNUMBER($CE323),RANK($CE323,$CE$9:$CE$508,1),COUNT($CE$9:$CE$508)+1)))</f>
        <v/>
      </c>
      <c r="CG323" s="97" t="str">
        <f aca="false">IF($BX323&lt;&gt;Constants!$B$6,"",IF($BL323="-&gt;",$BU323,$BJ323))</f>
        <v/>
      </c>
      <c r="CH323" s="93" t="str">
        <f aca="false">IF(ISBLANK($C323),"",IF($BX323&lt;&gt;Constants!$B$6,$BX323,IF(ISNUMBER($CG323),RANK($CG323,$CG$9:$CG$508,1),COUNT($CG$9:$CG$508)+1)))</f>
        <v/>
      </c>
      <c r="CI323" s="97" t="str">
        <f aca="false">IF($BX323&lt;&gt;Constants!$B$6,"",IF($BL323="-&gt;",$BV323,$BK323))</f>
        <v/>
      </c>
      <c r="CJ323" s="93" t="str">
        <f aca="false">IF(ISBLANK($C323),"",IF($BX323&lt;&gt;Constants!$B$6,$BX323,IF(ISNUMBER($CI323),RANK($CI323,$CI$9:$CI$508,1),COUNT($CI$9:$CI$508)+1)))</f>
        <v/>
      </c>
      <c r="CK323" s="97" t="str">
        <f aca="false">IF($BX323&lt;&gt;Constants!$B$6,"",$AI323)</f>
        <v/>
      </c>
      <c r="CL323" s="93" t="str">
        <f aca="false">IF(ISBLANK($C323),"",IF($BX323&lt;&gt;Constants!$B$6,$BX323,IF(ISNUMBER($CK323),RANK($CK323,$CK$9:$CK$508,1),COUNT($CK$9:$CK$508)+1)))</f>
        <v/>
      </c>
      <c r="CM323" s="93" t="str">
        <f aca="false">IF(ISBLANK($C323),"",IF($BX323&lt;&gt;Constants!$B$6,$BX323,COUNTIFS($CD$9:$CD$508,"&lt;"&amp;$CD323)+COUNTIFS($CD$9:$CD$508,$CD323,$CF$9:$CF$508,"&lt;"&amp;$CF323)+COUNTIFS($CD$9:$CD$508,$CD323,$CF$9:$CF$508,$CF323,$CH$9:$CH$508,"&lt;"&amp;$CH323)+COUNTIFS($CD$9:$CD$508,$CD323,$CF$9:$CF$508,$CF323,$CH$9:$CH$508,$CH323,$CJ$9:$CJ$508,"&lt;"&amp;$CJ323)+COUNTIFS($CD$9:$CD$508,$CD323,$CF$9:$CF$508,$CF323,$CH$9:$CH$508,$CH323,$CJ$9:$CJ$508,$CJ323,$CL$9:$CL$508,"&lt;"&amp;$CL323)+1))</f>
        <v/>
      </c>
      <c r="CN323" s="93" t="str">
        <f aca="false">IF(ISBLANK($C323),"",IF($BX323&lt;&gt;Constants!$B$6,$BX323,$CD323-$CM323))</f>
        <v/>
      </c>
      <c r="CO323" s="100"/>
      <c r="CP323" s="101"/>
      <c r="CQ323" s="102" t="str">
        <f aca="false">IF(ISBLANK($C323),"",IF($BX323=Constants!$B$10,$BW323,""))</f>
        <v/>
      </c>
      <c r="CR323" s="101" t="str">
        <f aca="false">IF(ISBLANK($C323),"",IF($BX323&lt;&gt;Constants!$B$6,"",IF($BL323="-&gt;",2,1)))</f>
        <v/>
      </c>
      <c r="CS323" s="103" t="str">
        <f aca="false">IF(ISBLANK($C323),"",IF($BX323&lt;&gt;Constants!$B$6,"",IF($BL323="-&gt;",$BN323,$BC323)))</f>
        <v/>
      </c>
      <c r="CT323" s="103" t="str">
        <f aca="false">IF(ISBLANK($C323),"",IF($BX323&lt;&gt;Constants!$B$6,"",IF($BL323="-&gt;",$BO323,$BD323)))</f>
        <v/>
      </c>
      <c r="CU323" s="103" t="str">
        <f aca="false">IF(ISBLANK($C323),"",IF($BX323&lt;&gt;Constants!$B$6,"",IF($BL323="-&gt;",$BP323+$BQ323,$BE323+$BF323)+$CB323))</f>
        <v/>
      </c>
      <c r="CV323" s="103" t="str">
        <f aca="false">IF(ISBLANK($C323),"",IF($BX323&lt;&gt;Constants!$B$6,"",IF($BL323="-&gt;",$BR323,$BG323)+$CA323))</f>
        <v/>
      </c>
      <c r="CW323" s="104" t="str">
        <f aca="false">IF(ISBLANK($C323),"",IF($BX323&lt;&gt;Constants!$B$6,$BX323,$CC323))</f>
        <v/>
      </c>
      <c r="CX323" s="105" t="str">
        <f aca="false">IF(ISBLANK($C323),"",$BY323)</f>
        <v/>
      </c>
      <c r="CY323" s="106" t="str">
        <f aca="false">IF(ISBLANK($C323),"",$CN323)</f>
        <v/>
      </c>
      <c r="CZ323" s="106" t="str">
        <f aca="false">IF(ISBLANK($C323),"",$CM323)</f>
        <v/>
      </c>
      <c r="DA323" s="107" t="str">
        <f aca="false">IF(ISBLANK($C323),"",IFERROR(_xlfn.SWITCH($CZ323,Constants!$B$9,COUNTA($C$9:$C$508)+2,Constants!$B$8,COUNTA($C$9:$C$508)+1,Constants!$B$7,COUNTA($C$9:$C$508)),$CZ323))</f>
        <v/>
      </c>
      <c r="DB323" s="9"/>
      <c r="DC323" s="108" t="n">
        <f aca="false">IF(OR(ISNUMBER($CZ323),$CZ323=Constants!$B$9,$CZ323=Constants!$B$7,$CZ323=Constants!$B$8),1,0)</f>
        <v>0</v>
      </c>
      <c r="DD323" s="108" t="n">
        <v>315</v>
      </c>
      <c r="DE323" s="108" t="str">
        <f aca="false">IF(ISBLANK($C323),"",IF(ISNUMBER($DA323),$DA323+ROW($B323)/1000,""))</f>
        <v/>
      </c>
      <c r="DF323" s="108" t="str">
        <f aca="false">IF(ISNUMBER($DE323),RANK($DE323,$DE$9:$DE$508,1),"")</f>
        <v/>
      </c>
      <c r="DG323" s="108" t="str">
        <f aca="false">IF(ISBLANK($C323),"",$B323)</f>
        <v/>
      </c>
      <c r="DH323" s="108" t="str">
        <f aca="false">IF(ISBLANK($C323),"",$C323)</f>
        <v/>
      </c>
      <c r="DI323" s="108" t="str">
        <f aca="false">IF(ISBLANK($C323),"",$D323)</f>
        <v/>
      </c>
      <c r="DJ323" s="109" t="str">
        <f aca="false">$CX323</f>
        <v/>
      </c>
      <c r="DK323" s="110" t="str">
        <f aca="false">$CW323</f>
        <v/>
      </c>
      <c r="DL323" s="108" t="str">
        <f aca="false">IF(ISBLANK($C323),"",$CZ323)</f>
        <v/>
      </c>
      <c r="DM323" s="111" t="str">
        <f aca="false">IF($DD323&gt;$DC$8,"",VLOOKUP($DD323,$DF$9:$DL$508,7,FALSE()))</f>
        <v/>
      </c>
      <c r="DN323" s="112" t="str">
        <f aca="false">IF($DD323&gt;$DC$8,"",VLOOKUP($DD323,$DF$9:$DL$508,2,FALSE()))</f>
        <v/>
      </c>
      <c r="DO323" s="112" t="str">
        <f aca="false">IF($DD323&gt;$DC$8,"",VLOOKUP($DD323,$DF$9:$DL$508,3,FALSE()))</f>
        <v/>
      </c>
      <c r="DP323" s="112" t="str">
        <f aca="false">IF($DD323&gt;$DC$8,"",VLOOKUP($DD323,$DF$9:$DL$508,4,FALSE()))</f>
        <v/>
      </c>
      <c r="DQ323" s="112" t="str">
        <f aca="false">IF($DD323&gt;$DC$8,"",VLOOKUP($DD323,$DF$9:$DL$508,5,FALSE()))</f>
        <v/>
      </c>
      <c r="DR323" s="113" t="str">
        <f aca="false">IF($DD323&gt;$DC$8,"",VLOOKUP($DD323,$DF$9:$DL$508,6,FALSE()))</f>
        <v/>
      </c>
      <c r="DS323" s="76"/>
    </row>
    <row r="324" customFormat="false" ht="15.75" hidden="false" customHeight="false" outlineLevel="0" collapsed="false">
      <c r="A324" s="9"/>
      <c r="B324" s="160"/>
      <c r="C324" s="161"/>
      <c r="D324" s="162"/>
      <c r="E324" s="180"/>
      <c r="F324" s="164"/>
      <c r="G324" s="165"/>
      <c r="H324" s="165"/>
      <c r="I324" s="181"/>
      <c r="J324" s="168"/>
      <c r="K324" s="128"/>
      <c r="L324" s="129"/>
      <c r="M324" s="130"/>
      <c r="N324" s="168"/>
      <c r="O324" s="168"/>
      <c r="P324" s="180"/>
      <c r="Q324" s="168"/>
      <c r="R324" s="168"/>
      <c r="S324" s="128"/>
      <c r="T324" s="130"/>
      <c r="U324" s="130"/>
      <c r="V324" s="168"/>
      <c r="W324" s="168"/>
      <c r="X324" s="180"/>
      <c r="Y324" s="168"/>
      <c r="Z324" s="169"/>
      <c r="AA324" s="168"/>
      <c r="AB324" s="134"/>
      <c r="AC324" s="135"/>
      <c r="AD324" s="135"/>
      <c r="AE324" s="135"/>
      <c r="AF324" s="135" t="str">
        <f aca="false">IF(ISBLANK($C324),"",IF(E324=Constants!$B$2,TRUE(),IF(E324=Constants!$B$3,FALSE(),TRUE())))</f>
        <v/>
      </c>
      <c r="AG324" s="135" t="str">
        <f aca="false">IF(ISBLANK($C324),"",IF(F324=Constants!$B$2,TRUE(),IF(F324=Constants!$B$3,FALSE(),TRUE())))</f>
        <v/>
      </c>
      <c r="AH324" s="135" t="str">
        <f aca="false">IF(ISBLANK($C324),"",IF(G324=Constants!$B$2,TRUE(),IF(G324=Constants!$B$3,FALSE(),TRUE())))</f>
        <v/>
      </c>
      <c r="AI324" s="135" t="str">
        <f aca="false">IF(ISBLANK($C324),"",IF(AND(ISNUMBER(H324),H324&gt;=0),H324,Constants!$B$24))</f>
        <v/>
      </c>
      <c r="AJ324" s="135" t="str">
        <f aca="false">IF(ISBLANK($C324),"",IF(I324=Constants!$B$2,TRUE(),IF(I324=Constants!$B$3,FALSE(),TRUE())))</f>
        <v/>
      </c>
      <c r="AK324" s="135" t="str">
        <f aca="false">IF(ISBLANK($C324),"",IF(J324=Constants!$B$2,TRUE(),IF(J324=Constants!$B$3,FALSE(),TRUE())))</f>
        <v/>
      </c>
      <c r="AL324" s="135" t="str">
        <f aca="false">IF(ISBLANK($C324),"",IF(K324=Constants!$B$4,TRUE(),IF(K324=Constants!$B$5,FALSE(),COUNTA(L324:P324)&gt;0)))</f>
        <v/>
      </c>
      <c r="AM324" s="136" t="str">
        <f aca="false">IF(ISBLANK($C324),"",IF(ISNUMBER(L324),IF(L324&gt;=0,L324,""),""))</f>
        <v/>
      </c>
      <c r="AN324" s="137" t="str">
        <f aca="false">IF(ISBLANK($C324),"",IF(ISNUMBER(M324),IF(M324&gt;=0,M324,""),""))</f>
        <v/>
      </c>
      <c r="AO324" s="137" t="str">
        <f aca="false">IF(ISBLANK($C324),"",IF(N324=Constants!$B$2,TRUE(),IF(N324=Constants!$B$3,FALSE(),TRUE())))</f>
        <v/>
      </c>
      <c r="AP324" s="135" t="str">
        <f aca="false">IF(ISBLANK($C324),"",IF(ISNUMBER(O324),IF(O324&gt;=0,O324,""),""))</f>
        <v/>
      </c>
      <c r="AQ324" s="135" t="str">
        <f aca="false">IF(ISBLANK($C324),"",IF(P324=Constants!$B$2,TRUE(),IF(P324=Constants!$B$3,FALSE(),FALSE())))</f>
        <v/>
      </c>
      <c r="AR324" s="135" t="str">
        <f aca="false">IF(ISBLANK($C324),"",IF(Q324=Constants!$B$2,TRUE(),IF(Q324=Constants!$B$3,FALSE(),TRUE())))</f>
        <v/>
      </c>
      <c r="AS324" s="135" t="str">
        <f aca="false">IF(ISBLANK($C324),"",IF(R324=Constants!$B$2,TRUE(),IF(R324=Constants!$B$3,FALSE(),TRUE())))</f>
        <v/>
      </c>
      <c r="AT324" s="135" t="str">
        <f aca="false">IF(ISBLANK($C324),"",IF(S324=Constants!$B$4,TRUE(),IF(S324=Constants!$B$5,FALSE(),COUNTA(T324:X324)&gt;0)))</f>
        <v/>
      </c>
      <c r="AU324" s="136" t="str">
        <f aca="false">IF(ISBLANK($C324),"",IF(ISNUMBER(T324),IF(T324&gt;=0,T324,""),""))</f>
        <v/>
      </c>
      <c r="AV324" s="137" t="str">
        <f aca="false">IF(ISBLANK($C324),"",IF(ISNUMBER(U324),IF(U324&gt;=0,U324,""),""))</f>
        <v/>
      </c>
      <c r="AW324" s="137" t="str">
        <f aca="false">IF(ISBLANK($C324),"",IF(V324=Constants!$B$2,TRUE(),IF(V324=Constants!$B$3,FALSE(),TRUE())))</f>
        <v/>
      </c>
      <c r="AX324" s="135" t="str">
        <f aca="false">IF(ISBLANK($C324),"",IF(ISNUMBER(W324),IF(W324&gt;=0,W324,""),""))</f>
        <v/>
      </c>
      <c r="AY324" s="135" t="str">
        <f aca="false">IF(ISBLANK($C324),"",IF(X324=Constants!$B$2,TRUE(),IF(X324=Constants!$B$3,FALSE(),FALSE())))</f>
        <v/>
      </c>
      <c r="AZ324" s="135" t="str">
        <f aca="false">IF(ISBLANK($C324),"",MIN(Constants!$B$25,MAX(0,IF(ISNUMBER(Y324),Y324*60,0)+IF(ISNUMBER(Z324),Z324,0))))</f>
        <v/>
      </c>
      <c r="BA324" s="135" t="str">
        <f aca="false">IF(ISBLANK($C324),"",IF(AA324=Constants!$B$2,TRUE(),IF(AA324=Constants!$B$3,FALSE(),FALSE())))</f>
        <v/>
      </c>
      <c r="BB324" s="134" t="str">
        <f aca="false">IF(ISBLANK($C324),"",AND($AL324,OR($AM324="",$AN324="",AND($AO324,$AP324=""))))</f>
        <v/>
      </c>
      <c r="BC324" s="137" t="str">
        <f aca="false">IF($BX324&lt;&gt;Constants!$B$6,"",IF($AL324,Constants!$B$17*$AN324+Constants!$B$18*IF($AO324,$AP324,Constants!$B$19),Constants!$B$20))</f>
        <v/>
      </c>
      <c r="BD324" s="138" t="str">
        <f aca="false">IF($BX324&lt;&gt;Constants!$B$6,"",Constants!$B$21*ABS($AD$9-IF($AL324,$AM324,0)))</f>
        <v/>
      </c>
      <c r="BE324" s="138" t="str">
        <f aca="false">IF($BX324&lt;&gt;Constants!$B$6,"",IF(AND($AL324,$AQ324,$AO324),Constants!$B$22,0))</f>
        <v/>
      </c>
      <c r="BF324" s="138" t="str">
        <f aca="false">IF($BX324&lt;&gt;Constants!$B$6,"",IF($AL324,($AI324-Constants!$B$24)*Constants!$B$23,0))</f>
        <v/>
      </c>
      <c r="BG324" s="138" t="str">
        <f aca="false">IF($BX324&lt;&gt;Constants!$B$6,"",IF($AK324,0,Constants!$B$12)+IF($AJ324,0,Constants!$B$13)+IF($AH324,0,Constants!$B$14))</f>
        <v/>
      </c>
      <c r="BH324" s="139" t="str">
        <f aca="false">IF($BX324&lt;&gt;Constants!$B$6,"",Constants!$B$16+SUM($BC324:$BG324))</f>
        <v/>
      </c>
      <c r="BI324" s="138" t="str">
        <f aca="false">IF($BX324&lt;&gt;Constants!$B$6,"",$BC324)</f>
        <v/>
      </c>
      <c r="BJ324" s="138" t="str">
        <f aca="false">IF($BX324&lt;&gt;Constants!$B$6,"",$BD324)</f>
        <v/>
      </c>
      <c r="BK324" s="140" t="str">
        <f aca="false">IF($BX324&lt;&gt;Constants!$B$6,"",IF($AL324,$AN324,""))</f>
        <v/>
      </c>
      <c r="BL324" s="135" t="str">
        <f aca="false">IF($BX324&lt;&gt;Constants!$B$6,"",IF(OR($BS324&lt;$BH324,AND($BS324=$BH324,OR($BT324&lt;$BI324,AND($BT324=$BI324,OR($BU324&lt;$BJ324,AND($BU324=$BJ324,AND(ISNUMBER($BV324),OR(NOT(ISNUMBER($BK324)),$BV324&lt;$BK324)))))))),"-&gt;","&lt;-"))</f>
        <v/>
      </c>
      <c r="BM324" s="134" t="str">
        <f aca="false">IF(ISBLANK($C324),"",AND($AT324,OR($AU324="",$AV324="",AND($AW324,$AX324=""))))</f>
        <v/>
      </c>
      <c r="BN324" s="137" t="str">
        <f aca="false">IF($BX324&lt;&gt;Constants!$B$6,"",IF($AT324,Constants!$B$17*$AV324+Constants!$B$18*IF($AW324,$AX324,Constants!$B$19),Constants!$B$20))</f>
        <v/>
      </c>
      <c r="BO324" s="138" t="str">
        <f aca="false">IF($BX324&lt;&gt;Constants!$B$6,"",Constants!$B$21*ABS($AD$9-IF($AT324,$AU324,0)))</f>
        <v/>
      </c>
      <c r="BP324" s="138" t="str">
        <f aca="false">IF($BX324&lt;&gt;Constants!$B$6,"",IF(AND($AT324,$AY324,$AW324),Constants!$B$22,0))</f>
        <v/>
      </c>
      <c r="BQ324" s="138" t="str">
        <f aca="false">IF($BX324&lt;&gt;Constants!$B$6,"",IF($AT324,($AI324-Constants!$B$24)*Constants!$B$23,0))</f>
        <v/>
      </c>
      <c r="BR324" s="138" t="str">
        <f aca="false">IF($BX324&lt;&gt;Constants!$B$6,"",IF($AS324,0,Constants!$B$12)+IF($AR324,0,Constants!$B$13)+IF($AH324,0,Constants!$B$14))</f>
        <v/>
      </c>
      <c r="BS324" s="139" t="str">
        <f aca="false">IF($BX324&lt;&gt;Constants!$B$6,"",Constants!$B$16+SUM($BN324:$BR324))</f>
        <v/>
      </c>
      <c r="BT324" s="138" t="str">
        <f aca="false">IF($BX324&lt;&gt;Constants!$B$6,"",$BN324)</f>
        <v/>
      </c>
      <c r="BU324" s="138" t="str">
        <f aca="false">IF($BX324&lt;&gt;Constants!$B$6,"",$BO324)</f>
        <v/>
      </c>
      <c r="BV324" s="140" t="str">
        <f aca="false">IF($BX324&lt;&gt;Constants!$B$6,"",IF($AT324,$AV324,""))</f>
        <v/>
      </c>
      <c r="BW324" s="135" t="str">
        <f aca="false">IF(ISBLANK($C324),"",IF(ISBLANK($D$7),$BW$5,IF(NOT(ISNUMBER($D$7)),$BW$6,"")))</f>
        <v/>
      </c>
      <c r="BX324" s="135" t="str">
        <f aca="false">IF(ISBLANK($C324),"",IF($BA324,Constants!$B$9,IF(COUNTA($E324:$AA324)=0,Constants!$B$8,IF(NOT($AG324),Constants!$B$7,IF(OR($BW324&lt;&gt;"",$BB324,$BM324),Constants!$B$10,Constants!$B$6)))))</f>
        <v/>
      </c>
      <c r="BY324" s="135" t="str">
        <f aca="false">IF(ISBLANK($C324),"",IF($BX324&lt;&gt;Constants!$B$6,$BX324,Constants!$B$11))</f>
        <v/>
      </c>
      <c r="BZ324" s="138" t="str">
        <f aca="false">IF($BX324&lt;&gt;Constants!$B$6,"",IF($BL324="-&gt;",$BS324,$BH324))</f>
        <v/>
      </c>
      <c r="CA324" s="138" t="str">
        <f aca="false">IF($BX324&lt;&gt;Constants!$B$6,"",IF($AF324,0,Constants!$B$15))</f>
        <v/>
      </c>
      <c r="CB324" s="138" t="str">
        <f aca="false">IF($BX324&lt;&gt;Constants!$B$6,"",((Constants!$B$25-$AZ324)-Constants!$B$25)/Constants!$B$26)</f>
        <v/>
      </c>
      <c r="CC324" s="138" t="str">
        <f aca="false">IF(ISBLANK($C324),"",IF($BX324&lt;&gt;Constants!$B$6,$BX324,SUM($BZ324:$CB324)))</f>
        <v/>
      </c>
      <c r="CD324" s="135" t="str">
        <f aca="false">IF(ISBLANK($C324),"",IF($BX324&lt;&gt;Constants!$B$6,$BX324,RANK($CC324,$CC$9:$CC$508,1)))</f>
        <v/>
      </c>
      <c r="CE324" s="138" t="str">
        <f aca="false">IF($BX324&lt;&gt;Constants!$B$6,"",IF($BL324="-&gt;",$BT324,$BI324))</f>
        <v/>
      </c>
      <c r="CF324" s="135" t="str">
        <f aca="false">IF(ISBLANK($C324),"",IF($BX324&lt;&gt;Constants!$B$6,$BX324,IF(ISNUMBER($CE324),RANK($CE324,$CE$9:$CE$508,1),COUNT($CE$9:$CE$508)+1)))</f>
        <v/>
      </c>
      <c r="CG324" s="138" t="str">
        <f aca="false">IF($BX324&lt;&gt;Constants!$B$6,"",IF($BL324="-&gt;",$BU324,$BJ324))</f>
        <v/>
      </c>
      <c r="CH324" s="135" t="str">
        <f aca="false">IF(ISBLANK($C324),"",IF($BX324&lt;&gt;Constants!$B$6,$BX324,IF(ISNUMBER($CG324),RANK($CG324,$CG$9:$CG$508,1),COUNT($CG$9:$CG$508)+1)))</f>
        <v/>
      </c>
      <c r="CI324" s="138" t="str">
        <f aca="false">IF($BX324&lt;&gt;Constants!$B$6,"",IF($BL324="-&gt;",$BV324,$BK324))</f>
        <v/>
      </c>
      <c r="CJ324" s="135" t="str">
        <f aca="false">IF(ISBLANK($C324),"",IF($BX324&lt;&gt;Constants!$B$6,$BX324,IF(ISNUMBER($CI324),RANK($CI324,$CI$9:$CI$508,1),COUNT($CI$9:$CI$508)+1)))</f>
        <v/>
      </c>
      <c r="CK324" s="138" t="str">
        <f aca="false">IF($BX324&lt;&gt;Constants!$B$6,"",$AI324)</f>
        <v/>
      </c>
      <c r="CL324" s="135" t="str">
        <f aca="false">IF(ISBLANK($C324),"",IF($BX324&lt;&gt;Constants!$B$6,$BX324,IF(ISNUMBER($CK324),RANK($CK324,$CK$9:$CK$508,1),COUNT($CK$9:$CK$508)+1)))</f>
        <v/>
      </c>
      <c r="CM324" s="135" t="str">
        <f aca="false">IF(ISBLANK($C324),"",IF($BX324&lt;&gt;Constants!$B$6,$BX324,COUNTIFS($CD$9:$CD$508,"&lt;"&amp;$CD324)+COUNTIFS($CD$9:$CD$508,$CD324,$CF$9:$CF$508,"&lt;"&amp;$CF324)+COUNTIFS($CD$9:$CD$508,$CD324,$CF$9:$CF$508,$CF324,$CH$9:$CH$508,"&lt;"&amp;$CH324)+COUNTIFS($CD$9:$CD$508,$CD324,$CF$9:$CF$508,$CF324,$CH$9:$CH$508,$CH324,$CJ$9:$CJ$508,"&lt;"&amp;$CJ324)+COUNTIFS($CD$9:$CD$508,$CD324,$CF$9:$CF$508,$CF324,$CH$9:$CH$508,$CH324,$CJ$9:$CJ$508,$CJ324,$CL$9:$CL$508,"&lt;"&amp;$CL324)+1))</f>
        <v/>
      </c>
      <c r="CN324" s="135" t="str">
        <f aca="false">IF(ISBLANK($C324),"",IF($BX324&lt;&gt;Constants!$B$6,$BX324,$CD324-$CM324))</f>
        <v/>
      </c>
      <c r="CO324" s="141"/>
      <c r="CP324" s="142"/>
      <c r="CQ324" s="143" t="str">
        <f aca="false">IF(ISBLANK($C324),"",IF($BX324=Constants!$B$10,$BW324,""))</f>
        <v/>
      </c>
      <c r="CR324" s="142" t="str">
        <f aca="false">IF(ISBLANK($C324),"",IF($BX324&lt;&gt;Constants!$B$6,"",IF($BL324="-&gt;",2,1)))</f>
        <v/>
      </c>
      <c r="CS324" s="144" t="str">
        <f aca="false">IF(ISBLANK($C324),"",IF($BX324&lt;&gt;Constants!$B$6,"",IF($BL324="-&gt;",$BN324,$BC324)))</f>
        <v/>
      </c>
      <c r="CT324" s="144" t="str">
        <f aca="false">IF(ISBLANK($C324),"",IF($BX324&lt;&gt;Constants!$B$6,"",IF($BL324="-&gt;",$BO324,$BD324)))</f>
        <v/>
      </c>
      <c r="CU324" s="144" t="str">
        <f aca="false">IF(ISBLANK($C324),"",IF($BX324&lt;&gt;Constants!$B$6,"",IF($BL324="-&gt;",$BP324+$BQ324,$BE324+$BF324)+$CB324))</f>
        <v/>
      </c>
      <c r="CV324" s="144" t="str">
        <f aca="false">IF(ISBLANK($C324),"",IF($BX324&lt;&gt;Constants!$B$6,"",IF($BL324="-&gt;",$BR324,$BG324)+$CA324))</f>
        <v/>
      </c>
      <c r="CW324" s="145" t="str">
        <f aca="false">IF(ISBLANK($C324),"",IF($BX324&lt;&gt;Constants!$B$6,$BX324,$CC324))</f>
        <v/>
      </c>
      <c r="CX324" s="146" t="str">
        <f aca="false">IF(ISBLANK($C324),"",$BY324)</f>
        <v/>
      </c>
      <c r="CY324" s="147" t="str">
        <f aca="false">IF(ISBLANK($C324),"",$CN324)</f>
        <v/>
      </c>
      <c r="CZ324" s="147" t="str">
        <f aca="false">IF(ISBLANK($C324),"",$CM324)</f>
        <v/>
      </c>
      <c r="DA324" s="148" t="str">
        <f aca="false">IF(ISBLANK($C324),"",IFERROR(_xlfn.SWITCH($CZ324,Constants!$B$9,COUNTA($C$9:$C$508)+2,Constants!$B$8,COUNTA($C$9:$C$508)+1,Constants!$B$7,COUNTA($C$9:$C$508)),$CZ324))</f>
        <v/>
      </c>
      <c r="DB324" s="9"/>
      <c r="DC324" s="149" t="n">
        <f aca="false">IF(OR(ISNUMBER($CZ324),$CZ324=Constants!$B$9,$CZ324=Constants!$B$7,$CZ324=Constants!$B$8),1,0)</f>
        <v>0</v>
      </c>
      <c r="DD324" s="149" t="n">
        <v>316</v>
      </c>
      <c r="DE324" s="149" t="str">
        <f aca="false">IF(ISBLANK($C324),"",IF(ISNUMBER($DA324),$DA324+ROW($B324)/1000,""))</f>
        <v/>
      </c>
      <c r="DF324" s="149" t="str">
        <f aca="false">IF(ISNUMBER($DE324),RANK($DE324,$DE$9:$DE$508,1),"")</f>
        <v/>
      </c>
      <c r="DG324" s="149" t="str">
        <f aca="false">IF(ISBLANK($C324),"",$B324)</f>
        <v/>
      </c>
      <c r="DH324" s="149" t="str">
        <f aca="false">IF(ISBLANK($C324),"",$C324)</f>
        <v/>
      </c>
      <c r="DI324" s="149" t="str">
        <f aca="false">IF(ISBLANK($C324),"",$D324)</f>
        <v/>
      </c>
      <c r="DJ324" s="150" t="str">
        <f aca="false">$CX324</f>
        <v/>
      </c>
      <c r="DK324" s="151" t="str">
        <f aca="false">$CW324</f>
        <v/>
      </c>
      <c r="DL324" s="149" t="str">
        <f aca="false">IF(ISBLANK($C324),"",$CZ324)</f>
        <v/>
      </c>
      <c r="DM324" s="152" t="str">
        <f aca="false">IF($DD324&gt;$DC$8,"",VLOOKUP($DD324,$DF$9:$DL$508,7,FALSE()))</f>
        <v/>
      </c>
      <c r="DN324" s="153" t="str">
        <f aca="false">IF($DD324&gt;$DC$8,"",VLOOKUP($DD324,$DF$9:$DL$508,2,FALSE()))</f>
        <v/>
      </c>
      <c r="DO324" s="153" t="str">
        <f aca="false">IF($DD324&gt;$DC$8,"",VLOOKUP($DD324,$DF$9:$DL$508,3,FALSE()))</f>
        <v/>
      </c>
      <c r="DP324" s="153" t="str">
        <f aca="false">IF($DD324&gt;$DC$8,"",VLOOKUP($DD324,$DF$9:$DL$508,4,FALSE()))</f>
        <v/>
      </c>
      <c r="DQ324" s="153" t="str">
        <f aca="false">IF($DD324&gt;$DC$8,"",VLOOKUP($DD324,$DF$9:$DL$508,5,FALSE()))</f>
        <v/>
      </c>
      <c r="DR324" s="154" t="str">
        <f aca="false">IF($DD324&gt;$DC$8,"",VLOOKUP($DD324,$DF$9:$DL$508,6,FALSE()))</f>
        <v/>
      </c>
      <c r="DS324" s="76"/>
    </row>
    <row r="325" customFormat="false" ht="15.75" hidden="false" customHeight="false" outlineLevel="0" collapsed="false">
      <c r="A325" s="9"/>
      <c r="B325" s="160"/>
      <c r="C325" s="161"/>
      <c r="D325" s="162"/>
      <c r="E325" s="180"/>
      <c r="F325" s="164"/>
      <c r="G325" s="165"/>
      <c r="H325" s="165"/>
      <c r="I325" s="181"/>
      <c r="J325" s="168"/>
      <c r="K325" s="128"/>
      <c r="L325" s="129"/>
      <c r="M325" s="130"/>
      <c r="N325" s="168"/>
      <c r="O325" s="168"/>
      <c r="P325" s="180"/>
      <c r="Q325" s="168"/>
      <c r="R325" s="168"/>
      <c r="S325" s="128"/>
      <c r="T325" s="130"/>
      <c r="U325" s="130"/>
      <c r="V325" s="168"/>
      <c r="W325" s="168"/>
      <c r="X325" s="180"/>
      <c r="Y325" s="168"/>
      <c r="Z325" s="169"/>
      <c r="AA325" s="168"/>
      <c r="AB325" s="134"/>
      <c r="AC325" s="135"/>
      <c r="AD325" s="135"/>
      <c r="AE325" s="135"/>
      <c r="AF325" s="135" t="str">
        <f aca="false">IF(ISBLANK($C325),"",IF(E325=Constants!$B$2,TRUE(),IF(E325=Constants!$B$3,FALSE(),TRUE())))</f>
        <v/>
      </c>
      <c r="AG325" s="135" t="str">
        <f aca="false">IF(ISBLANK($C325),"",IF(F325=Constants!$B$2,TRUE(),IF(F325=Constants!$B$3,FALSE(),TRUE())))</f>
        <v/>
      </c>
      <c r="AH325" s="135" t="str">
        <f aca="false">IF(ISBLANK($C325),"",IF(G325=Constants!$B$2,TRUE(),IF(G325=Constants!$B$3,FALSE(),TRUE())))</f>
        <v/>
      </c>
      <c r="AI325" s="135" t="str">
        <f aca="false">IF(ISBLANK($C325),"",IF(AND(ISNUMBER(H325),H325&gt;=0),H325,Constants!$B$24))</f>
        <v/>
      </c>
      <c r="AJ325" s="135" t="str">
        <f aca="false">IF(ISBLANK($C325),"",IF(I325=Constants!$B$2,TRUE(),IF(I325=Constants!$B$3,FALSE(),TRUE())))</f>
        <v/>
      </c>
      <c r="AK325" s="135" t="str">
        <f aca="false">IF(ISBLANK($C325),"",IF(J325=Constants!$B$2,TRUE(),IF(J325=Constants!$B$3,FALSE(),TRUE())))</f>
        <v/>
      </c>
      <c r="AL325" s="135" t="str">
        <f aca="false">IF(ISBLANK($C325),"",IF(K325=Constants!$B$4,TRUE(),IF(K325=Constants!$B$5,FALSE(),COUNTA(L325:P325)&gt;0)))</f>
        <v/>
      </c>
      <c r="AM325" s="136" t="str">
        <f aca="false">IF(ISBLANK($C325),"",IF(ISNUMBER(L325),IF(L325&gt;=0,L325,""),""))</f>
        <v/>
      </c>
      <c r="AN325" s="137" t="str">
        <f aca="false">IF(ISBLANK($C325),"",IF(ISNUMBER(M325),IF(M325&gt;=0,M325,""),""))</f>
        <v/>
      </c>
      <c r="AO325" s="137" t="str">
        <f aca="false">IF(ISBLANK($C325),"",IF(N325=Constants!$B$2,TRUE(),IF(N325=Constants!$B$3,FALSE(),TRUE())))</f>
        <v/>
      </c>
      <c r="AP325" s="135" t="str">
        <f aca="false">IF(ISBLANK($C325),"",IF(ISNUMBER(O325),IF(O325&gt;=0,O325,""),""))</f>
        <v/>
      </c>
      <c r="AQ325" s="135" t="str">
        <f aca="false">IF(ISBLANK($C325),"",IF(P325=Constants!$B$2,TRUE(),IF(P325=Constants!$B$3,FALSE(),FALSE())))</f>
        <v/>
      </c>
      <c r="AR325" s="135" t="str">
        <f aca="false">IF(ISBLANK($C325),"",IF(Q325=Constants!$B$2,TRUE(),IF(Q325=Constants!$B$3,FALSE(),TRUE())))</f>
        <v/>
      </c>
      <c r="AS325" s="135" t="str">
        <f aca="false">IF(ISBLANK($C325),"",IF(R325=Constants!$B$2,TRUE(),IF(R325=Constants!$B$3,FALSE(),TRUE())))</f>
        <v/>
      </c>
      <c r="AT325" s="135" t="str">
        <f aca="false">IF(ISBLANK($C325),"",IF(S325=Constants!$B$4,TRUE(),IF(S325=Constants!$B$5,FALSE(),COUNTA(T325:X325)&gt;0)))</f>
        <v/>
      </c>
      <c r="AU325" s="136" t="str">
        <f aca="false">IF(ISBLANK($C325),"",IF(ISNUMBER(T325),IF(T325&gt;=0,T325,""),""))</f>
        <v/>
      </c>
      <c r="AV325" s="137" t="str">
        <f aca="false">IF(ISBLANK($C325),"",IF(ISNUMBER(U325),IF(U325&gt;=0,U325,""),""))</f>
        <v/>
      </c>
      <c r="AW325" s="137" t="str">
        <f aca="false">IF(ISBLANK($C325),"",IF(V325=Constants!$B$2,TRUE(),IF(V325=Constants!$B$3,FALSE(),TRUE())))</f>
        <v/>
      </c>
      <c r="AX325" s="135" t="str">
        <f aca="false">IF(ISBLANK($C325),"",IF(ISNUMBER(W325),IF(W325&gt;=0,W325,""),""))</f>
        <v/>
      </c>
      <c r="AY325" s="135" t="str">
        <f aca="false">IF(ISBLANK($C325),"",IF(X325=Constants!$B$2,TRUE(),IF(X325=Constants!$B$3,FALSE(),FALSE())))</f>
        <v/>
      </c>
      <c r="AZ325" s="135" t="str">
        <f aca="false">IF(ISBLANK($C325),"",MIN(Constants!$B$25,MAX(0,IF(ISNUMBER(Y325),Y325*60,0)+IF(ISNUMBER(Z325),Z325,0))))</f>
        <v/>
      </c>
      <c r="BA325" s="135" t="str">
        <f aca="false">IF(ISBLANK($C325),"",IF(AA325=Constants!$B$2,TRUE(),IF(AA325=Constants!$B$3,FALSE(),FALSE())))</f>
        <v/>
      </c>
      <c r="BB325" s="134" t="str">
        <f aca="false">IF(ISBLANK($C325),"",AND($AL325,OR($AM325="",$AN325="",AND($AO325,$AP325=""))))</f>
        <v/>
      </c>
      <c r="BC325" s="137" t="str">
        <f aca="false">IF($BX325&lt;&gt;Constants!$B$6,"",IF($AL325,Constants!$B$17*$AN325+Constants!$B$18*IF($AO325,$AP325,Constants!$B$19),Constants!$B$20))</f>
        <v/>
      </c>
      <c r="BD325" s="138" t="str">
        <f aca="false">IF($BX325&lt;&gt;Constants!$B$6,"",Constants!$B$21*ABS($AD$9-IF($AL325,$AM325,0)))</f>
        <v/>
      </c>
      <c r="BE325" s="138" t="str">
        <f aca="false">IF($BX325&lt;&gt;Constants!$B$6,"",IF(AND($AL325,$AQ325,$AO325),Constants!$B$22,0))</f>
        <v/>
      </c>
      <c r="BF325" s="138" t="str">
        <f aca="false">IF($BX325&lt;&gt;Constants!$B$6,"",IF($AL325,($AI325-Constants!$B$24)*Constants!$B$23,0))</f>
        <v/>
      </c>
      <c r="BG325" s="138" t="str">
        <f aca="false">IF($BX325&lt;&gt;Constants!$B$6,"",IF($AK325,0,Constants!$B$12)+IF($AJ325,0,Constants!$B$13)+IF($AH325,0,Constants!$B$14))</f>
        <v/>
      </c>
      <c r="BH325" s="139" t="str">
        <f aca="false">IF($BX325&lt;&gt;Constants!$B$6,"",Constants!$B$16+SUM($BC325:$BG325))</f>
        <v/>
      </c>
      <c r="BI325" s="138" t="str">
        <f aca="false">IF($BX325&lt;&gt;Constants!$B$6,"",$BC325)</f>
        <v/>
      </c>
      <c r="BJ325" s="138" t="str">
        <f aca="false">IF($BX325&lt;&gt;Constants!$B$6,"",$BD325)</f>
        <v/>
      </c>
      <c r="BK325" s="140" t="str">
        <f aca="false">IF($BX325&lt;&gt;Constants!$B$6,"",IF($AL325,$AN325,""))</f>
        <v/>
      </c>
      <c r="BL325" s="135" t="str">
        <f aca="false">IF($BX325&lt;&gt;Constants!$B$6,"",IF(OR($BS325&lt;$BH325,AND($BS325=$BH325,OR($BT325&lt;$BI325,AND($BT325=$BI325,OR($BU325&lt;$BJ325,AND($BU325=$BJ325,AND(ISNUMBER($BV325),OR(NOT(ISNUMBER($BK325)),$BV325&lt;$BK325)))))))),"-&gt;","&lt;-"))</f>
        <v/>
      </c>
      <c r="BM325" s="134" t="str">
        <f aca="false">IF(ISBLANK($C325),"",AND($AT325,OR($AU325="",$AV325="",AND($AW325,$AX325=""))))</f>
        <v/>
      </c>
      <c r="BN325" s="137" t="str">
        <f aca="false">IF($BX325&lt;&gt;Constants!$B$6,"",IF($AT325,Constants!$B$17*$AV325+Constants!$B$18*IF($AW325,$AX325,Constants!$B$19),Constants!$B$20))</f>
        <v/>
      </c>
      <c r="BO325" s="138" t="str">
        <f aca="false">IF($BX325&lt;&gt;Constants!$B$6,"",Constants!$B$21*ABS($AD$9-IF($AT325,$AU325,0)))</f>
        <v/>
      </c>
      <c r="BP325" s="138" t="str">
        <f aca="false">IF($BX325&lt;&gt;Constants!$B$6,"",IF(AND($AT325,$AY325,$AW325),Constants!$B$22,0))</f>
        <v/>
      </c>
      <c r="BQ325" s="138" t="str">
        <f aca="false">IF($BX325&lt;&gt;Constants!$B$6,"",IF($AT325,($AI325-Constants!$B$24)*Constants!$B$23,0))</f>
        <v/>
      </c>
      <c r="BR325" s="138" t="str">
        <f aca="false">IF($BX325&lt;&gt;Constants!$B$6,"",IF($AS325,0,Constants!$B$12)+IF($AR325,0,Constants!$B$13)+IF($AH325,0,Constants!$B$14))</f>
        <v/>
      </c>
      <c r="BS325" s="139" t="str">
        <f aca="false">IF($BX325&lt;&gt;Constants!$B$6,"",Constants!$B$16+SUM($BN325:$BR325))</f>
        <v/>
      </c>
      <c r="BT325" s="138" t="str">
        <f aca="false">IF($BX325&lt;&gt;Constants!$B$6,"",$BN325)</f>
        <v/>
      </c>
      <c r="BU325" s="138" t="str">
        <f aca="false">IF($BX325&lt;&gt;Constants!$B$6,"",$BO325)</f>
        <v/>
      </c>
      <c r="BV325" s="140" t="str">
        <f aca="false">IF($BX325&lt;&gt;Constants!$B$6,"",IF($AT325,$AV325,""))</f>
        <v/>
      </c>
      <c r="BW325" s="135" t="str">
        <f aca="false">IF(ISBLANK($C325),"",IF(ISBLANK($D$7),$BW$5,IF(NOT(ISNUMBER($D$7)),$BW$6,"")))</f>
        <v/>
      </c>
      <c r="BX325" s="135" t="str">
        <f aca="false">IF(ISBLANK($C325),"",IF($BA325,Constants!$B$9,IF(COUNTA($E325:$AA325)=0,Constants!$B$8,IF(NOT($AG325),Constants!$B$7,IF(OR($BW325&lt;&gt;"",$BB325,$BM325),Constants!$B$10,Constants!$B$6)))))</f>
        <v/>
      </c>
      <c r="BY325" s="135" t="str">
        <f aca="false">IF(ISBLANK($C325),"",IF($BX325&lt;&gt;Constants!$B$6,$BX325,Constants!$B$11))</f>
        <v/>
      </c>
      <c r="BZ325" s="138" t="str">
        <f aca="false">IF($BX325&lt;&gt;Constants!$B$6,"",IF($BL325="-&gt;",$BS325,$BH325))</f>
        <v/>
      </c>
      <c r="CA325" s="138" t="str">
        <f aca="false">IF($BX325&lt;&gt;Constants!$B$6,"",IF($AF325,0,Constants!$B$15))</f>
        <v/>
      </c>
      <c r="CB325" s="138" t="str">
        <f aca="false">IF($BX325&lt;&gt;Constants!$B$6,"",((Constants!$B$25-$AZ325)-Constants!$B$25)/Constants!$B$26)</f>
        <v/>
      </c>
      <c r="CC325" s="138" t="str">
        <f aca="false">IF(ISBLANK($C325),"",IF($BX325&lt;&gt;Constants!$B$6,$BX325,SUM($BZ325:$CB325)))</f>
        <v/>
      </c>
      <c r="CD325" s="135" t="str">
        <f aca="false">IF(ISBLANK($C325),"",IF($BX325&lt;&gt;Constants!$B$6,$BX325,RANK($CC325,$CC$9:$CC$508,1)))</f>
        <v/>
      </c>
      <c r="CE325" s="138" t="str">
        <f aca="false">IF($BX325&lt;&gt;Constants!$B$6,"",IF($BL325="-&gt;",$BT325,$BI325))</f>
        <v/>
      </c>
      <c r="CF325" s="135" t="str">
        <f aca="false">IF(ISBLANK($C325),"",IF($BX325&lt;&gt;Constants!$B$6,$BX325,IF(ISNUMBER($CE325),RANK($CE325,$CE$9:$CE$508,1),COUNT($CE$9:$CE$508)+1)))</f>
        <v/>
      </c>
      <c r="CG325" s="138" t="str">
        <f aca="false">IF($BX325&lt;&gt;Constants!$B$6,"",IF($BL325="-&gt;",$BU325,$BJ325))</f>
        <v/>
      </c>
      <c r="CH325" s="135" t="str">
        <f aca="false">IF(ISBLANK($C325),"",IF($BX325&lt;&gt;Constants!$B$6,$BX325,IF(ISNUMBER($CG325),RANK($CG325,$CG$9:$CG$508,1),COUNT($CG$9:$CG$508)+1)))</f>
        <v/>
      </c>
      <c r="CI325" s="138" t="str">
        <f aca="false">IF($BX325&lt;&gt;Constants!$B$6,"",IF($BL325="-&gt;",$BV325,$BK325))</f>
        <v/>
      </c>
      <c r="CJ325" s="135" t="str">
        <f aca="false">IF(ISBLANK($C325),"",IF($BX325&lt;&gt;Constants!$B$6,$BX325,IF(ISNUMBER($CI325),RANK($CI325,$CI$9:$CI$508,1),COUNT($CI$9:$CI$508)+1)))</f>
        <v/>
      </c>
      <c r="CK325" s="138" t="str">
        <f aca="false">IF($BX325&lt;&gt;Constants!$B$6,"",$AI325)</f>
        <v/>
      </c>
      <c r="CL325" s="135" t="str">
        <f aca="false">IF(ISBLANK($C325),"",IF($BX325&lt;&gt;Constants!$B$6,$BX325,IF(ISNUMBER($CK325),RANK($CK325,$CK$9:$CK$508,1),COUNT($CK$9:$CK$508)+1)))</f>
        <v/>
      </c>
      <c r="CM325" s="135" t="str">
        <f aca="false">IF(ISBLANK($C325),"",IF($BX325&lt;&gt;Constants!$B$6,$BX325,COUNTIFS($CD$9:$CD$508,"&lt;"&amp;$CD325)+COUNTIFS($CD$9:$CD$508,$CD325,$CF$9:$CF$508,"&lt;"&amp;$CF325)+COUNTIFS($CD$9:$CD$508,$CD325,$CF$9:$CF$508,$CF325,$CH$9:$CH$508,"&lt;"&amp;$CH325)+COUNTIFS($CD$9:$CD$508,$CD325,$CF$9:$CF$508,$CF325,$CH$9:$CH$508,$CH325,$CJ$9:$CJ$508,"&lt;"&amp;$CJ325)+COUNTIFS($CD$9:$CD$508,$CD325,$CF$9:$CF$508,$CF325,$CH$9:$CH$508,$CH325,$CJ$9:$CJ$508,$CJ325,$CL$9:$CL$508,"&lt;"&amp;$CL325)+1))</f>
        <v/>
      </c>
      <c r="CN325" s="135" t="str">
        <f aca="false">IF(ISBLANK($C325),"",IF($BX325&lt;&gt;Constants!$B$6,$BX325,$CD325-$CM325))</f>
        <v/>
      </c>
      <c r="CO325" s="141"/>
      <c r="CP325" s="142"/>
      <c r="CQ325" s="143" t="str">
        <f aca="false">IF(ISBLANK($C325),"",IF($BX325=Constants!$B$10,$BW325,""))</f>
        <v/>
      </c>
      <c r="CR325" s="142" t="str">
        <f aca="false">IF(ISBLANK($C325),"",IF($BX325&lt;&gt;Constants!$B$6,"",IF($BL325="-&gt;",2,1)))</f>
        <v/>
      </c>
      <c r="CS325" s="144" t="str">
        <f aca="false">IF(ISBLANK($C325),"",IF($BX325&lt;&gt;Constants!$B$6,"",IF($BL325="-&gt;",$BN325,$BC325)))</f>
        <v/>
      </c>
      <c r="CT325" s="144" t="str">
        <f aca="false">IF(ISBLANK($C325),"",IF($BX325&lt;&gt;Constants!$B$6,"",IF($BL325="-&gt;",$BO325,$BD325)))</f>
        <v/>
      </c>
      <c r="CU325" s="144" t="str">
        <f aca="false">IF(ISBLANK($C325),"",IF($BX325&lt;&gt;Constants!$B$6,"",IF($BL325="-&gt;",$BP325+$BQ325,$BE325+$BF325)+$CB325))</f>
        <v/>
      </c>
      <c r="CV325" s="144" t="str">
        <f aca="false">IF(ISBLANK($C325),"",IF($BX325&lt;&gt;Constants!$B$6,"",IF($BL325="-&gt;",$BR325,$BG325)+$CA325))</f>
        <v/>
      </c>
      <c r="CW325" s="145" t="str">
        <f aca="false">IF(ISBLANK($C325),"",IF($BX325&lt;&gt;Constants!$B$6,$BX325,$CC325))</f>
        <v/>
      </c>
      <c r="CX325" s="146" t="str">
        <f aca="false">IF(ISBLANK($C325),"",$BY325)</f>
        <v/>
      </c>
      <c r="CY325" s="147" t="str">
        <f aca="false">IF(ISBLANK($C325),"",$CN325)</f>
        <v/>
      </c>
      <c r="CZ325" s="147" t="str">
        <f aca="false">IF(ISBLANK($C325),"",$CM325)</f>
        <v/>
      </c>
      <c r="DA325" s="148" t="str">
        <f aca="false">IF(ISBLANK($C325),"",IFERROR(_xlfn.SWITCH($CZ325,Constants!$B$9,COUNTA($C$9:$C$508)+2,Constants!$B$8,COUNTA($C$9:$C$508)+1,Constants!$B$7,COUNTA($C$9:$C$508)),$CZ325))</f>
        <v/>
      </c>
      <c r="DB325" s="9"/>
      <c r="DC325" s="149" t="n">
        <f aca="false">IF(OR(ISNUMBER($CZ325),$CZ325=Constants!$B$9,$CZ325=Constants!$B$7,$CZ325=Constants!$B$8),1,0)</f>
        <v>0</v>
      </c>
      <c r="DD325" s="149" t="n">
        <v>317</v>
      </c>
      <c r="DE325" s="149" t="str">
        <f aca="false">IF(ISBLANK($C325),"",IF(ISNUMBER($DA325),$DA325+ROW($B325)/1000,""))</f>
        <v/>
      </c>
      <c r="DF325" s="149" t="str">
        <f aca="false">IF(ISNUMBER($DE325),RANK($DE325,$DE$9:$DE$508,1),"")</f>
        <v/>
      </c>
      <c r="DG325" s="149" t="str">
        <f aca="false">IF(ISBLANK($C325),"",$B325)</f>
        <v/>
      </c>
      <c r="DH325" s="149" t="str">
        <f aca="false">IF(ISBLANK($C325),"",$C325)</f>
        <v/>
      </c>
      <c r="DI325" s="149" t="str">
        <f aca="false">IF(ISBLANK($C325),"",$D325)</f>
        <v/>
      </c>
      <c r="DJ325" s="150" t="str">
        <f aca="false">$CX325</f>
        <v/>
      </c>
      <c r="DK325" s="151" t="str">
        <f aca="false">$CW325</f>
        <v/>
      </c>
      <c r="DL325" s="149" t="str">
        <f aca="false">IF(ISBLANK($C325),"",$CZ325)</f>
        <v/>
      </c>
      <c r="DM325" s="152" t="str">
        <f aca="false">IF($DD325&gt;$DC$8,"",VLOOKUP($DD325,$DF$9:$DL$508,7,FALSE()))</f>
        <v/>
      </c>
      <c r="DN325" s="153" t="str">
        <f aca="false">IF($DD325&gt;$DC$8,"",VLOOKUP($DD325,$DF$9:$DL$508,2,FALSE()))</f>
        <v/>
      </c>
      <c r="DO325" s="153" t="str">
        <f aca="false">IF($DD325&gt;$DC$8,"",VLOOKUP($DD325,$DF$9:$DL$508,3,FALSE()))</f>
        <v/>
      </c>
      <c r="DP325" s="153" t="str">
        <f aca="false">IF($DD325&gt;$DC$8,"",VLOOKUP($DD325,$DF$9:$DL$508,4,FALSE()))</f>
        <v/>
      </c>
      <c r="DQ325" s="153" t="str">
        <f aca="false">IF($DD325&gt;$DC$8,"",VLOOKUP($DD325,$DF$9:$DL$508,5,FALSE()))</f>
        <v/>
      </c>
      <c r="DR325" s="154" t="str">
        <f aca="false">IF($DD325&gt;$DC$8,"",VLOOKUP($DD325,$DF$9:$DL$508,6,FALSE()))</f>
        <v/>
      </c>
      <c r="DS325" s="76"/>
    </row>
    <row r="326" customFormat="false" ht="15.75" hidden="false" customHeight="false" outlineLevel="0" collapsed="false">
      <c r="A326" s="9"/>
      <c r="B326" s="160"/>
      <c r="C326" s="161"/>
      <c r="D326" s="162"/>
      <c r="E326" s="180"/>
      <c r="F326" s="164"/>
      <c r="G326" s="165"/>
      <c r="H326" s="165"/>
      <c r="I326" s="181"/>
      <c r="J326" s="168"/>
      <c r="K326" s="128"/>
      <c r="L326" s="129"/>
      <c r="M326" s="130"/>
      <c r="N326" s="168"/>
      <c r="O326" s="168"/>
      <c r="P326" s="180"/>
      <c r="Q326" s="168"/>
      <c r="R326" s="168"/>
      <c r="S326" s="128"/>
      <c r="T326" s="130"/>
      <c r="U326" s="130"/>
      <c r="V326" s="168"/>
      <c r="W326" s="168"/>
      <c r="X326" s="180"/>
      <c r="Y326" s="168"/>
      <c r="Z326" s="169"/>
      <c r="AA326" s="168"/>
      <c r="AB326" s="134"/>
      <c r="AC326" s="135"/>
      <c r="AD326" s="135"/>
      <c r="AE326" s="135"/>
      <c r="AF326" s="135" t="str">
        <f aca="false">IF(ISBLANK($C326),"",IF(E326=Constants!$B$2,TRUE(),IF(E326=Constants!$B$3,FALSE(),TRUE())))</f>
        <v/>
      </c>
      <c r="AG326" s="135" t="str">
        <f aca="false">IF(ISBLANK($C326),"",IF(F326=Constants!$B$2,TRUE(),IF(F326=Constants!$B$3,FALSE(),TRUE())))</f>
        <v/>
      </c>
      <c r="AH326" s="135" t="str">
        <f aca="false">IF(ISBLANK($C326),"",IF(G326=Constants!$B$2,TRUE(),IF(G326=Constants!$B$3,FALSE(),TRUE())))</f>
        <v/>
      </c>
      <c r="AI326" s="135" t="str">
        <f aca="false">IF(ISBLANK($C326),"",IF(AND(ISNUMBER(H326),H326&gt;=0),H326,Constants!$B$24))</f>
        <v/>
      </c>
      <c r="AJ326" s="135" t="str">
        <f aca="false">IF(ISBLANK($C326),"",IF(I326=Constants!$B$2,TRUE(),IF(I326=Constants!$B$3,FALSE(),TRUE())))</f>
        <v/>
      </c>
      <c r="AK326" s="135" t="str">
        <f aca="false">IF(ISBLANK($C326),"",IF(J326=Constants!$B$2,TRUE(),IF(J326=Constants!$B$3,FALSE(),TRUE())))</f>
        <v/>
      </c>
      <c r="AL326" s="135" t="str">
        <f aca="false">IF(ISBLANK($C326),"",IF(K326=Constants!$B$4,TRUE(),IF(K326=Constants!$B$5,FALSE(),COUNTA(L326:P326)&gt;0)))</f>
        <v/>
      </c>
      <c r="AM326" s="136" t="str">
        <f aca="false">IF(ISBLANK($C326),"",IF(ISNUMBER(L326),IF(L326&gt;=0,L326,""),""))</f>
        <v/>
      </c>
      <c r="AN326" s="137" t="str">
        <f aca="false">IF(ISBLANK($C326),"",IF(ISNUMBER(M326),IF(M326&gt;=0,M326,""),""))</f>
        <v/>
      </c>
      <c r="AO326" s="137" t="str">
        <f aca="false">IF(ISBLANK($C326),"",IF(N326=Constants!$B$2,TRUE(),IF(N326=Constants!$B$3,FALSE(),TRUE())))</f>
        <v/>
      </c>
      <c r="AP326" s="135" t="str">
        <f aca="false">IF(ISBLANK($C326),"",IF(ISNUMBER(O326),IF(O326&gt;=0,O326,""),""))</f>
        <v/>
      </c>
      <c r="AQ326" s="135" t="str">
        <f aca="false">IF(ISBLANK($C326),"",IF(P326=Constants!$B$2,TRUE(),IF(P326=Constants!$B$3,FALSE(),FALSE())))</f>
        <v/>
      </c>
      <c r="AR326" s="135" t="str">
        <f aca="false">IF(ISBLANK($C326),"",IF(Q326=Constants!$B$2,TRUE(),IF(Q326=Constants!$B$3,FALSE(),TRUE())))</f>
        <v/>
      </c>
      <c r="AS326" s="135" t="str">
        <f aca="false">IF(ISBLANK($C326),"",IF(R326=Constants!$B$2,TRUE(),IF(R326=Constants!$B$3,FALSE(),TRUE())))</f>
        <v/>
      </c>
      <c r="AT326" s="135" t="str">
        <f aca="false">IF(ISBLANK($C326),"",IF(S326=Constants!$B$4,TRUE(),IF(S326=Constants!$B$5,FALSE(),COUNTA(T326:X326)&gt;0)))</f>
        <v/>
      </c>
      <c r="AU326" s="136" t="str">
        <f aca="false">IF(ISBLANK($C326),"",IF(ISNUMBER(T326),IF(T326&gt;=0,T326,""),""))</f>
        <v/>
      </c>
      <c r="AV326" s="137" t="str">
        <f aca="false">IF(ISBLANK($C326),"",IF(ISNUMBER(U326),IF(U326&gt;=0,U326,""),""))</f>
        <v/>
      </c>
      <c r="AW326" s="137" t="str">
        <f aca="false">IF(ISBLANK($C326),"",IF(V326=Constants!$B$2,TRUE(),IF(V326=Constants!$B$3,FALSE(),TRUE())))</f>
        <v/>
      </c>
      <c r="AX326" s="135" t="str">
        <f aca="false">IF(ISBLANK($C326),"",IF(ISNUMBER(W326),IF(W326&gt;=0,W326,""),""))</f>
        <v/>
      </c>
      <c r="AY326" s="135" t="str">
        <f aca="false">IF(ISBLANK($C326),"",IF(X326=Constants!$B$2,TRUE(),IF(X326=Constants!$B$3,FALSE(),FALSE())))</f>
        <v/>
      </c>
      <c r="AZ326" s="135" t="str">
        <f aca="false">IF(ISBLANK($C326),"",MIN(Constants!$B$25,MAX(0,IF(ISNUMBER(Y326),Y326*60,0)+IF(ISNUMBER(Z326),Z326,0))))</f>
        <v/>
      </c>
      <c r="BA326" s="135" t="str">
        <f aca="false">IF(ISBLANK($C326),"",IF(AA326=Constants!$B$2,TRUE(),IF(AA326=Constants!$B$3,FALSE(),FALSE())))</f>
        <v/>
      </c>
      <c r="BB326" s="134" t="str">
        <f aca="false">IF(ISBLANK($C326),"",AND($AL326,OR($AM326="",$AN326="",AND($AO326,$AP326=""))))</f>
        <v/>
      </c>
      <c r="BC326" s="137" t="str">
        <f aca="false">IF($BX326&lt;&gt;Constants!$B$6,"",IF($AL326,Constants!$B$17*$AN326+Constants!$B$18*IF($AO326,$AP326,Constants!$B$19),Constants!$B$20))</f>
        <v/>
      </c>
      <c r="BD326" s="138" t="str">
        <f aca="false">IF($BX326&lt;&gt;Constants!$B$6,"",Constants!$B$21*ABS($AD$9-IF($AL326,$AM326,0)))</f>
        <v/>
      </c>
      <c r="BE326" s="138" t="str">
        <f aca="false">IF($BX326&lt;&gt;Constants!$B$6,"",IF(AND($AL326,$AQ326,$AO326),Constants!$B$22,0))</f>
        <v/>
      </c>
      <c r="BF326" s="138" t="str">
        <f aca="false">IF($BX326&lt;&gt;Constants!$B$6,"",IF($AL326,($AI326-Constants!$B$24)*Constants!$B$23,0))</f>
        <v/>
      </c>
      <c r="BG326" s="138" t="str">
        <f aca="false">IF($BX326&lt;&gt;Constants!$B$6,"",IF($AK326,0,Constants!$B$12)+IF($AJ326,0,Constants!$B$13)+IF($AH326,0,Constants!$B$14))</f>
        <v/>
      </c>
      <c r="BH326" s="139" t="str">
        <f aca="false">IF($BX326&lt;&gt;Constants!$B$6,"",Constants!$B$16+SUM($BC326:$BG326))</f>
        <v/>
      </c>
      <c r="BI326" s="138" t="str">
        <f aca="false">IF($BX326&lt;&gt;Constants!$B$6,"",$BC326)</f>
        <v/>
      </c>
      <c r="BJ326" s="138" t="str">
        <f aca="false">IF($BX326&lt;&gt;Constants!$B$6,"",$BD326)</f>
        <v/>
      </c>
      <c r="BK326" s="140" t="str">
        <f aca="false">IF($BX326&lt;&gt;Constants!$B$6,"",IF($AL326,$AN326,""))</f>
        <v/>
      </c>
      <c r="BL326" s="135" t="str">
        <f aca="false">IF($BX326&lt;&gt;Constants!$B$6,"",IF(OR($BS326&lt;$BH326,AND($BS326=$BH326,OR($BT326&lt;$BI326,AND($BT326=$BI326,OR($BU326&lt;$BJ326,AND($BU326=$BJ326,AND(ISNUMBER($BV326),OR(NOT(ISNUMBER($BK326)),$BV326&lt;$BK326)))))))),"-&gt;","&lt;-"))</f>
        <v/>
      </c>
      <c r="BM326" s="134" t="str">
        <f aca="false">IF(ISBLANK($C326),"",AND($AT326,OR($AU326="",$AV326="",AND($AW326,$AX326=""))))</f>
        <v/>
      </c>
      <c r="BN326" s="137" t="str">
        <f aca="false">IF($BX326&lt;&gt;Constants!$B$6,"",IF($AT326,Constants!$B$17*$AV326+Constants!$B$18*IF($AW326,$AX326,Constants!$B$19),Constants!$B$20))</f>
        <v/>
      </c>
      <c r="BO326" s="138" t="str">
        <f aca="false">IF($BX326&lt;&gt;Constants!$B$6,"",Constants!$B$21*ABS($AD$9-IF($AT326,$AU326,0)))</f>
        <v/>
      </c>
      <c r="BP326" s="138" t="str">
        <f aca="false">IF($BX326&lt;&gt;Constants!$B$6,"",IF(AND($AT326,$AY326,$AW326),Constants!$B$22,0))</f>
        <v/>
      </c>
      <c r="BQ326" s="138" t="str">
        <f aca="false">IF($BX326&lt;&gt;Constants!$B$6,"",IF($AT326,($AI326-Constants!$B$24)*Constants!$B$23,0))</f>
        <v/>
      </c>
      <c r="BR326" s="138" t="str">
        <f aca="false">IF($BX326&lt;&gt;Constants!$B$6,"",IF($AS326,0,Constants!$B$12)+IF($AR326,0,Constants!$B$13)+IF($AH326,0,Constants!$B$14))</f>
        <v/>
      </c>
      <c r="BS326" s="139" t="str">
        <f aca="false">IF($BX326&lt;&gt;Constants!$B$6,"",Constants!$B$16+SUM($BN326:$BR326))</f>
        <v/>
      </c>
      <c r="BT326" s="138" t="str">
        <f aca="false">IF($BX326&lt;&gt;Constants!$B$6,"",$BN326)</f>
        <v/>
      </c>
      <c r="BU326" s="138" t="str">
        <f aca="false">IF($BX326&lt;&gt;Constants!$B$6,"",$BO326)</f>
        <v/>
      </c>
      <c r="BV326" s="140" t="str">
        <f aca="false">IF($BX326&lt;&gt;Constants!$B$6,"",IF($AT326,$AV326,""))</f>
        <v/>
      </c>
      <c r="BW326" s="135" t="str">
        <f aca="false">IF(ISBLANK($C326),"",IF(ISBLANK($D$7),$BW$5,IF(NOT(ISNUMBER($D$7)),$BW$6,"")))</f>
        <v/>
      </c>
      <c r="BX326" s="135" t="str">
        <f aca="false">IF(ISBLANK($C326),"",IF($BA326,Constants!$B$9,IF(COUNTA($E326:$AA326)=0,Constants!$B$8,IF(NOT($AG326),Constants!$B$7,IF(OR($BW326&lt;&gt;"",$BB326,$BM326),Constants!$B$10,Constants!$B$6)))))</f>
        <v/>
      </c>
      <c r="BY326" s="135" t="str">
        <f aca="false">IF(ISBLANK($C326),"",IF($BX326&lt;&gt;Constants!$B$6,$BX326,Constants!$B$11))</f>
        <v/>
      </c>
      <c r="BZ326" s="138" t="str">
        <f aca="false">IF($BX326&lt;&gt;Constants!$B$6,"",IF($BL326="-&gt;",$BS326,$BH326))</f>
        <v/>
      </c>
      <c r="CA326" s="138" t="str">
        <f aca="false">IF($BX326&lt;&gt;Constants!$B$6,"",IF($AF326,0,Constants!$B$15))</f>
        <v/>
      </c>
      <c r="CB326" s="138" t="str">
        <f aca="false">IF($BX326&lt;&gt;Constants!$B$6,"",((Constants!$B$25-$AZ326)-Constants!$B$25)/Constants!$B$26)</f>
        <v/>
      </c>
      <c r="CC326" s="138" t="str">
        <f aca="false">IF(ISBLANK($C326),"",IF($BX326&lt;&gt;Constants!$B$6,$BX326,SUM($BZ326:$CB326)))</f>
        <v/>
      </c>
      <c r="CD326" s="135" t="str">
        <f aca="false">IF(ISBLANK($C326),"",IF($BX326&lt;&gt;Constants!$B$6,$BX326,RANK($CC326,$CC$9:$CC$508,1)))</f>
        <v/>
      </c>
      <c r="CE326" s="138" t="str">
        <f aca="false">IF($BX326&lt;&gt;Constants!$B$6,"",IF($BL326="-&gt;",$BT326,$BI326))</f>
        <v/>
      </c>
      <c r="CF326" s="135" t="str">
        <f aca="false">IF(ISBLANK($C326),"",IF($BX326&lt;&gt;Constants!$B$6,$BX326,IF(ISNUMBER($CE326),RANK($CE326,$CE$9:$CE$508,1),COUNT($CE$9:$CE$508)+1)))</f>
        <v/>
      </c>
      <c r="CG326" s="138" t="str">
        <f aca="false">IF($BX326&lt;&gt;Constants!$B$6,"",IF($BL326="-&gt;",$BU326,$BJ326))</f>
        <v/>
      </c>
      <c r="CH326" s="135" t="str">
        <f aca="false">IF(ISBLANK($C326),"",IF($BX326&lt;&gt;Constants!$B$6,$BX326,IF(ISNUMBER($CG326),RANK($CG326,$CG$9:$CG$508,1),COUNT($CG$9:$CG$508)+1)))</f>
        <v/>
      </c>
      <c r="CI326" s="138" t="str">
        <f aca="false">IF($BX326&lt;&gt;Constants!$B$6,"",IF($BL326="-&gt;",$BV326,$BK326))</f>
        <v/>
      </c>
      <c r="CJ326" s="135" t="str">
        <f aca="false">IF(ISBLANK($C326),"",IF($BX326&lt;&gt;Constants!$B$6,$BX326,IF(ISNUMBER($CI326),RANK($CI326,$CI$9:$CI$508,1),COUNT($CI$9:$CI$508)+1)))</f>
        <v/>
      </c>
      <c r="CK326" s="138" t="str">
        <f aca="false">IF($BX326&lt;&gt;Constants!$B$6,"",$AI326)</f>
        <v/>
      </c>
      <c r="CL326" s="135" t="str">
        <f aca="false">IF(ISBLANK($C326),"",IF($BX326&lt;&gt;Constants!$B$6,$BX326,IF(ISNUMBER($CK326),RANK($CK326,$CK$9:$CK$508,1),COUNT($CK$9:$CK$508)+1)))</f>
        <v/>
      </c>
      <c r="CM326" s="135" t="str">
        <f aca="false">IF(ISBLANK($C326),"",IF($BX326&lt;&gt;Constants!$B$6,$BX326,COUNTIFS($CD$9:$CD$508,"&lt;"&amp;$CD326)+COUNTIFS($CD$9:$CD$508,$CD326,$CF$9:$CF$508,"&lt;"&amp;$CF326)+COUNTIFS($CD$9:$CD$508,$CD326,$CF$9:$CF$508,$CF326,$CH$9:$CH$508,"&lt;"&amp;$CH326)+COUNTIFS($CD$9:$CD$508,$CD326,$CF$9:$CF$508,$CF326,$CH$9:$CH$508,$CH326,$CJ$9:$CJ$508,"&lt;"&amp;$CJ326)+COUNTIFS($CD$9:$CD$508,$CD326,$CF$9:$CF$508,$CF326,$CH$9:$CH$508,$CH326,$CJ$9:$CJ$508,$CJ326,$CL$9:$CL$508,"&lt;"&amp;$CL326)+1))</f>
        <v/>
      </c>
      <c r="CN326" s="135" t="str">
        <f aca="false">IF(ISBLANK($C326),"",IF($BX326&lt;&gt;Constants!$B$6,$BX326,$CD326-$CM326))</f>
        <v/>
      </c>
      <c r="CO326" s="141"/>
      <c r="CP326" s="142"/>
      <c r="CQ326" s="143" t="str">
        <f aca="false">IF(ISBLANK($C326),"",IF($BX326=Constants!$B$10,$BW326,""))</f>
        <v/>
      </c>
      <c r="CR326" s="142" t="str">
        <f aca="false">IF(ISBLANK($C326),"",IF($BX326&lt;&gt;Constants!$B$6,"",IF($BL326="-&gt;",2,1)))</f>
        <v/>
      </c>
      <c r="CS326" s="144" t="str">
        <f aca="false">IF(ISBLANK($C326),"",IF($BX326&lt;&gt;Constants!$B$6,"",IF($BL326="-&gt;",$BN326,$BC326)))</f>
        <v/>
      </c>
      <c r="CT326" s="144" t="str">
        <f aca="false">IF(ISBLANK($C326),"",IF($BX326&lt;&gt;Constants!$B$6,"",IF($BL326="-&gt;",$BO326,$BD326)))</f>
        <v/>
      </c>
      <c r="CU326" s="144" t="str">
        <f aca="false">IF(ISBLANK($C326),"",IF($BX326&lt;&gt;Constants!$B$6,"",IF($BL326="-&gt;",$BP326+$BQ326,$BE326+$BF326)+$CB326))</f>
        <v/>
      </c>
      <c r="CV326" s="144" t="str">
        <f aca="false">IF(ISBLANK($C326),"",IF($BX326&lt;&gt;Constants!$B$6,"",IF($BL326="-&gt;",$BR326,$BG326)+$CA326))</f>
        <v/>
      </c>
      <c r="CW326" s="145" t="str">
        <f aca="false">IF(ISBLANK($C326),"",IF($BX326&lt;&gt;Constants!$B$6,$BX326,$CC326))</f>
        <v/>
      </c>
      <c r="CX326" s="146" t="str">
        <f aca="false">IF(ISBLANK($C326),"",$BY326)</f>
        <v/>
      </c>
      <c r="CY326" s="147" t="str">
        <f aca="false">IF(ISBLANK($C326),"",$CN326)</f>
        <v/>
      </c>
      <c r="CZ326" s="147" t="str">
        <f aca="false">IF(ISBLANK($C326),"",$CM326)</f>
        <v/>
      </c>
      <c r="DA326" s="148" t="str">
        <f aca="false">IF(ISBLANK($C326),"",IFERROR(_xlfn.SWITCH($CZ326,Constants!$B$9,COUNTA($C$9:$C$508)+2,Constants!$B$8,COUNTA($C$9:$C$508)+1,Constants!$B$7,COUNTA($C$9:$C$508)),$CZ326))</f>
        <v/>
      </c>
      <c r="DB326" s="9"/>
      <c r="DC326" s="149" t="n">
        <f aca="false">IF(OR(ISNUMBER($CZ326),$CZ326=Constants!$B$9,$CZ326=Constants!$B$7,$CZ326=Constants!$B$8),1,0)</f>
        <v>0</v>
      </c>
      <c r="DD326" s="149" t="n">
        <v>318</v>
      </c>
      <c r="DE326" s="149" t="str">
        <f aca="false">IF(ISBLANK($C326),"",IF(ISNUMBER($DA326),$DA326+ROW($B326)/1000,""))</f>
        <v/>
      </c>
      <c r="DF326" s="149" t="str">
        <f aca="false">IF(ISNUMBER($DE326),RANK($DE326,$DE$9:$DE$508,1),"")</f>
        <v/>
      </c>
      <c r="DG326" s="149" t="str">
        <f aca="false">IF(ISBLANK($C326),"",$B326)</f>
        <v/>
      </c>
      <c r="DH326" s="149" t="str">
        <f aca="false">IF(ISBLANK($C326),"",$C326)</f>
        <v/>
      </c>
      <c r="DI326" s="149" t="str">
        <f aca="false">IF(ISBLANK($C326),"",$D326)</f>
        <v/>
      </c>
      <c r="DJ326" s="150" t="str">
        <f aca="false">$CX326</f>
        <v/>
      </c>
      <c r="DK326" s="151" t="str">
        <f aca="false">$CW326</f>
        <v/>
      </c>
      <c r="DL326" s="149" t="str">
        <f aca="false">IF(ISBLANK($C326),"",$CZ326)</f>
        <v/>
      </c>
      <c r="DM326" s="152" t="str">
        <f aca="false">IF($DD326&gt;$DC$8,"",VLOOKUP($DD326,$DF$9:$DL$508,7,FALSE()))</f>
        <v/>
      </c>
      <c r="DN326" s="153" t="str">
        <f aca="false">IF($DD326&gt;$DC$8,"",VLOOKUP($DD326,$DF$9:$DL$508,2,FALSE()))</f>
        <v/>
      </c>
      <c r="DO326" s="153" t="str">
        <f aca="false">IF($DD326&gt;$DC$8,"",VLOOKUP($DD326,$DF$9:$DL$508,3,FALSE()))</f>
        <v/>
      </c>
      <c r="DP326" s="153" t="str">
        <f aca="false">IF($DD326&gt;$DC$8,"",VLOOKUP($DD326,$DF$9:$DL$508,4,FALSE()))</f>
        <v/>
      </c>
      <c r="DQ326" s="153" t="str">
        <f aca="false">IF($DD326&gt;$DC$8,"",VLOOKUP($DD326,$DF$9:$DL$508,5,FALSE()))</f>
        <v/>
      </c>
      <c r="DR326" s="154" t="str">
        <f aca="false">IF($DD326&gt;$DC$8,"",VLOOKUP($DD326,$DF$9:$DL$508,6,FALSE()))</f>
        <v/>
      </c>
      <c r="DS326" s="76"/>
    </row>
    <row r="327" customFormat="false" ht="15.75" hidden="false" customHeight="false" outlineLevel="0" collapsed="false">
      <c r="A327" s="9"/>
      <c r="B327" s="78"/>
      <c r="C327" s="79"/>
      <c r="D327" s="170"/>
      <c r="E327" s="178"/>
      <c r="F327" s="172"/>
      <c r="G327" s="173"/>
      <c r="H327" s="173"/>
      <c r="I327" s="179"/>
      <c r="J327" s="176"/>
      <c r="K327" s="86"/>
      <c r="L327" s="87"/>
      <c r="M327" s="88"/>
      <c r="N327" s="176"/>
      <c r="O327" s="176"/>
      <c r="P327" s="178"/>
      <c r="Q327" s="176"/>
      <c r="R327" s="176"/>
      <c r="S327" s="86"/>
      <c r="T327" s="88"/>
      <c r="U327" s="88"/>
      <c r="V327" s="176"/>
      <c r="W327" s="176"/>
      <c r="X327" s="178"/>
      <c r="Y327" s="176"/>
      <c r="Z327" s="177"/>
      <c r="AA327" s="176"/>
      <c r="AB327" s="92"/>
      <c r="AC327" s="93"/>
      <c r="AD327" s="93"/>
      <c r="AE327" s="93"/>
      <c r="AF327" s="93" t="str">
        <f aca="false">IF(ISBLANK($C327),"",IF(E327=Constants!$B$2,TRUE(),IF(E327=Constants!$B$3,FALSE(),TRUE())))</f>
        <v/>
      </c>
      <c r="AG327" s="93" t="str">
        <f aca="false">IF(ISBLANK($C327),"",IF(F327=Constants!$B$2,TRUE(),IF(F327=Constants!$B$3,FALSE(),TRUE())))</f>
        <v/>
      </c>
      <c r="AH327" s="93" t="str">
        <f aca="false">IF(ISBLANK($C327),"",IF(G327=Constants!$B$2,TRUE(),IF(G327=Constants!$B$3,FALSE(),TRUE())))</f>
        <v/>
      </c>
      <c r="AI327" s="93" t="str">
        <f aca="false">IF(ISBLANK($C327),"",IF(AND(ISNUMBER(H327),H327&gt;=0),H327,Constants!$B$24))</f>
        <v/>
      </c>
      <c r="AJ327" s="93" t="str">
        <f aca="false">IF(ISBLANK($C327),"",IF(I327=Constants!$B$2,TRUE(),IF(I327=Constants!$B$3,FALSE(),TRUE())))</f>
        <v/>
      </c>
      <c r="AK327" s="93" t="str">
        <f aca="false">IF(ISBLANK($C327),"",IF(J327=Constants!$B$2,TRUE(),IF(J327=Constants!$B$3,FALSE(),TRUE())))</f>
        <v/>
      </c>
      <c r="AL327" s="93" t="str">
        <f aca="false">IF(ISBLANK($C327),"",IF(K327=Constants!$B$4,TRUE(),IF(K327=Constants!$B$5,FALSE(),COUNTA(L327:P327)&gt;0)))</f>
        <v/>
      </c>
      <c r="AM327" s="95" t="str">
        <f aca="false">IF(ISBLANK($C327),"",IF(ISNUMBER(L327),IF(L327&gt;=0,L327,""),""))</f>
        <v/>
      </c>
      <c r="AN327" s="94" t="str">
        <f aca="false">IF(ISBLANK($C327),"",IF(ISNUMBER(M327),IF(M327&gt;=0,M327,""),""))</f>
        <v/>
      </c>
      <c r="AO327" s="94" t="str">
        <f aca="false">IF(ISBLANK($C327),"",IF(N327=Constants!$B$2,TRUE(),IF(N327=Constants!$B$3,FALSE(),TRUE())))</f>
        <v/>
      </c>
      <c r="AP327" s="93" t="str">
        <f aca="false">IF(ISBLANK($C327),"",IF(ISNUMBER(O327),IF(O327&gt;=0,O327,""),""))</f>
        <v/>
      </c>
      <c r="AQ327" s="93" t="str">
        <f aca="false">IF(ISBLANK($C327),"",IF(P327=Constants!$B$2,TRUE(),IF(P327=Constants!$B$3,FALSE(),FALSE())))</f>
        <v/>
      </c>
      <c r="AR327" s="93" t="str">
        <f aca="false">IF(ISBLANK($C327),"",IF(Q327=Constants!$B$2,TRUE(),IF(Q327=Constants!$B$3,FALSE(),TRUE())))</f>
        <v/>
      </c>
      <c r="AS327" s="93" t="str">
        <f aca="false">IF(ISBLANK($C327),"",IF(R327=Constants!$B$2,TRUE(),IF(R327=Constants!$B$3,FALSE(),TRUE())))</f>
        <v/>
      </c>
      <c r="AT327" s="93" t="str">
        <f aca="false">IF(ISBLANK($C327),"",IF(S327=Constants!$B$4,TRUE(),IF(S327=Constants!$B$5,FALSE(),COUNTA(T327:X327)&gt;0)))</f>
        <v/>
      </c>
      <c r="AU327" s="95" t="str">
        <f aca="false">IF(ISBLANK($C327),"",IF(ISNUMBER(T327),IF(T327&gt;=0,T327,""),""))</f>
        <v/>
      </c>
      <c r="AV327" s="94" t="str">
        <f aca="false">IF(ISBLANK($C327),"",IF(ISNUMBER(U327),IF(U327&gt;=0,U327,""),""))</f>
        <v/>
      </c>
      <c r="AW327" s="94" t="str">
        <f aca="false">IF(ISBLANK($C327),"",IF(V327=Constants!$B$2,TRUE(),IF(V327=Constants!$B$3,FALSE(),TRUE())))</f>
        <v/>
      </c>
      <c r="AX327" s="93" t="str">
        <f aca="false">IF(ISBLANK($C327),"",IF(ISNUMBER(W327),IF(W327&gt;=0,W327,""),""))</f>
        <v/>
      </c>
      <c r="AY327" s="93" t="str">
        <f aca="false">IF(ISBLANK($C327),"",IF(X327=Constants!$B$2,TRUE(),IF(X327=Constants!$B$3,FALSE(),FALSE())))</f>
        <v/>
      </c>
      <c r="AZ327" s="93" t="str">
        <f aca="false">IF(ISBLANK($C327),"",MIN(Constants!$B$25,MAX(0,IF(ISNUMBER(Y327),Y327*60,0)+IF(ISNUMBER(Z327),Z327,0))))</f>
        <v/>
      </c>
      <c r="BA327" s="93" t="str">
        <f aca="false">IF(ISBLANK($C327),"",IF(AA327=Constants!$B$2,TRUE(),IF(AA327=Constants!$B$3,FALSE(),FALSE())))</f>
        <v/>
      </c>
      <c r="BB327" s="92" t="str">
        <f aca="false">IF(ISBLANK($C327),"",AND($AL327,OR($AM327="",$AN327="",AND($AO327,$AP327=""))))</f>
        <v/>
      </c>
      <c r="BC327" s="94" t="str">
        <f aca="false">IF($BX327&lt;&gt;Constants!$B$6,"",IF($AL327,Constants!$B$17*$AN327+Constants!$B$18*IF($AO327,$AP327,Constants!$B$19),Constants!$B$20))</f>
        <v/>
      </c>
      <c r="BD327" s="97" t="str">
        <f aca="false">IF($BX327&lt;&gt;Constants!$B$6,"",Constants!$B$21*ABS($AD$9-IF($AL327,$AM327,0)))</f>
        <v/>
      </c>
      <c r="BE327" s="97" t="str">
        <f aca="false">IF($BX327&lt;&gt;Constants!$B$6,"",IF(AND($AL327,$AQ327,$AO327),Constants!$B$22,0))</f>
        <v/>
      </c>
      <c r="BF327" s="97" t="str">
        <f aca="false">IF($BX327&lt;&gt;Constants!$B$6,"",IF($AL327,($AI327-Constants!$B$24)*Constants!$B$23,0))</f>
        <v/>
      </c>
      <c r="BG327" s="97" t="str">
        <f aca="false">IF($BX327&lt;&gt;Constants!$B$6,"",IF($AK327,0,Constants!$B$12)+IF($AJ327,0,Constants!$B$13)+IF($AH327,0,Constants!$B$14))</f>
        <v/>
      </c>
      <c r="BH327" s="98" t="str">
        <f aca="false">IF($BX327&lt;&gt;Constants!$B$6,"",Constants!$B$16+SUM($BC327:$BG327))</f>
        <v/>
      </c>
      <c r="BI327" s="97" t="str">
        <f aca="false">IF($BX327&lt;&gt;Constants!$B$6,"",$BC327)</f>
        <v/>
      </c>
      <c r="BJ327" s="97" t="str">
        <f aca="false">IF($BX327&lt;&gt;Constants!$B$6,"",$BD327)</f>
        <v/>
      </c>
      <c r="BK327" s="99" t="str">
        <f aca="false">IF($BX327&lt;&gt;Constants!$B$6,"",IF($AL327,$AN327,""))</f>
        <v/>
      </c>
      <c r="BL327" s="93" t="str">
        <f aca="false">IF($BX327&lt;&gt;Constants!$B$6,"",IF(OR($BS327&lt;$BH327,AND($BS327=$BH327,OR($BT327&lt;$BI327,AND($BT327=$BI327,OR($BU327&lt;$BJ327,AND($BU327=$BJ327,AND(ISNUMBER($BV327),OR(NOT(ISNUMBER($BK327)),$BV327&lt;$BK327)))))))),"-&gt;","&lt;-"))</f>
        <v/>
      </c>
      <c r="BM327" s="92" t="str">
        <f aca="false">IF(ISBLANK($C327),"",AND($AT327,OR($AU327="",$AV327="",AND($AW327,$AX327=""))))</f>
        <v/>
      </c>
      <c r="BN327" s="94" t="str">
        <f aca="false">IF($BX327&lt;&gt;Constants!$B$6,"",IF($AT327,Constants!$B$17*$AV327+Constants!$B$18*IF($AW327,$AX327,Constants!$B$19),Constants!$B$20))</f>
        <v/>
      </c>
      <c r="BO327" s="97" t="str">
        <f aca="false">IF($BX327&lt;&gt;Constants!$B$6,"",Constants!$B$21*ABS($AD$9-IF($AT327,$AU327,0)))</f>
        <v/>
      </c>
      <c r="BP327" s="97" t="str">
        <f aca="false">IF($BX327&lt;&gt;Constants!$B$6,"",IF(AND($AT327,$AY327,$AW327),Constants!$B$22,0))</f>
        <v/>
      </c>
      <c r="BQ327" s="97" t="str">
        <f aca="false">IF($BX327&lt;&gt;Constants!$B$6,"",IF($AT327,($AI327-Constants!$B$24)*Constants!$B$23,0))</f>
        <v/>
      </c>
      <c r="BR327" s="97" t="str">
        <f aca="false">IF($BX327&lt;&gt;Constants!$B$6,"",IF($AS327,0,Constants!$B$12)+IF($AR327,0,Constants!$B$13)+IF($AH327,0,Constants!$B$14))</f>
        <v/>
      </c>
      <c r="BS327" s="98" t="str">
        <f aca="false">IF($BX327&lt;&gt;Constants!$B$6,"",Constants!$B$16+SUM($BN327:$BR327))</f>
        <v/>
      </c>
      <c r="BT327" s="97" t="str">
        <f aca="false">IF($BX327&lt;&gt;Constants!$B$6,"",$BN327)</f>
        <v/>
      </c>
      <c r="BU327" s="97" t="str">
        <f aca="false">IF($BX327&lt;&gt;Constants!$B$6,"",$BO327)</f>
        <v/>
      </c>
      <c r="BV327" s="99" t="str">
        <f aca="false">IF($BX327&lt;&gt;Constants!$B$6,"",IF($AT327,$AV327,""))</f>
        <v/>
      </c>
      <c r="BW327" s="93" t="str">
        <f aca="false">IF(ISBLANK($C327),"",IF(ISBLANK($D$7),$BW$5,IF(NOT(ISNUMBER($D$7)),$BW$6,"")))</f>
        <v/>
      </c>
      <c r="BX327" s="93" t="str">
        <f aca="false">IF(ISBLANK($C327),"",IF($BA327,Constants!$B$9,IF(COUNTA($E327:$AA327)=0,Constants!$B$8,IF(NOT($AG327),Constants!$B$7,IF(OR($BW327&lt;&gt;"",$BB327,$BM327),Constants!$B$10,Constants!$B$6)))))</f>
        <v/>
      </c>
      <c r="BY327" s="93" t="str">
        <f aca="false">IF(ISBLANK($C327),"",IF($BX327&lt;&gt;Constants!$B$6,$BX327,Constants!$B$11))</f>
        <v/>
      </c>
      <c r="BZ327" s="97" t="str">
        <f aca="false">IF($BX327&lt;&gt;Constants!$B$6,"",IF($BL327="-&gt;",$BS327,$BH327))</f>
        <v/>
      </c>
      <c r="CA327" s="97" t="str">
        <f aca="false">IF($BX327&lt;&gt;Constants!$B$6,"",IF($AF327,0,Constants!$B$15))</f>
        <v/>
      </c>
      <c r="CB327" s="97" t="str">
        <f aca="false">IF($BX327&lt;&gt;Constants!$B$6,"",((Constants!$B$25-$AZ327)-Constants!$B$25)/Constants!$B$26)</f>
        <v/>
      </c>
      <c r="CC327" s="97" t="str">
        <f aca="false">IF(ISBLANK($C327),"",IF($BX327&lt;&gt;Constants!$B$6,$BX327,SUM($BZ327:$CB327)))</f>
        <v/>
      </c>
      <c r="CD327" s="93" t="str">
        <f aca="false">IF(ISBLANK($C327),"",IF($BX327&lt;&gt;Constants!$B$6,$BX327,RANK($CC327,$CC$9:$CC$508,1)))</f>
        <v/>
      </c>
      <c r="CE327" s="97" t="str">
        <f aca="false">IF($BX327&lt;&gt;Constants!$B$6,"",IF($BL327="-&gt;",$BT327,$BI327))</f>
        <v/>
      </c>
      <c r="CF327" s="93" t="str">
        <f aca="false">IF(ISBLANK($C327),"",IF($BX327&lt;&gt;Constants!$B$6,$BX327,IF(ISNUMBER($CE327),RANK($CE327,$CE$9:$CE$508,1),COUNT($CE$9:$CE$508)+1)))</f>
        <v/>
      </c>
      <c r="CG327" s="97" t="str">
        <f aca="false">IF($BX327&lt;&gt;Constants!$B$6,"",IF($BL327="-&gt;",$BU327,$BJ327))</f>
        <v/>
      </c>
      <c r="CH327" s="93" t="str">
        <f aca="false">IF(ISBLANK($C327),"",IF($BX327&lt;&gt;Constants!$B$6,$BX327,IF(ISNUMBER($CG327),RANK($CG327,$CG$9:$CG$508,1),COUNT($CG$9:$CG$508)+1)))</f>
        <v/>
      </c>
      <c r="CI327" s="97" t="str">
        <f aca="false">IF($BX327&lt;&gt;Constants!$B$6,"",IF($BL327="-&gt;",$BV327,$BK327))</f>
        <v/>
      </c>
      <c r="CJ327" s="93" t="str">
        <f aca="false">IF(ISBLANK($C327),"",IF($BX327&lt;&gt;Constants!$B$6,$BX327,IF(ISNUMBER($CI327),RANK($CI327,$CI$9:$CI$508,1),COUNT($CI$9:$CI$508)+1)))</f>
        <v/>
      </c>
      <c r="CK327" s="97" t="str">
        <f aca="false">IF($BX327&lt;&gt;Constants!$B$6,"",$AI327)</f>
        <v/>
      </c>
      <c r="CL327" s="93" t="str">
        <f aca="false">IF(ISBLANK($C327),"",IF($BX327&lt;&gt;Constants!$B$6,$BX327,IF(ISNUMBER($CK327),RANK($CK327,$CK$9:$CK$508,1),COUNT($CK$9:$CK$508)+1)))</f>
        <v/>
      </c>
      <c r="CM327" s="93" t="str">
        <f aca="false">IF(ISBLANK($C327),"",IF($BX327&lt;&gt;Constants!$B$6,$BX327,COUNTIFS($CD$9:$CD$508,"&lt;"&amp;$CD327)+COUNTIFS($CD$9:$CD$508,$CD327,$CF$9:$CF$508,"&lt;"&amp;$CF327)+COUNTIFS($CD$9:$CD$508,$CD327,$CF$9:$CF$508,$CF327,$CH$9:$CH$508,"&lt;"&amp;$CH327)+COUNTIFS($CD$9:$CD$508,$CD327,$CF$9:$CF$508,$CF327,$CH$9:$CH$508,$CH327,$CJ$9:$CJ$508,"&lt;"&amp;$CJ327)+COUNTIFS($CD$9:$CD$508,$CD327,$CF$9:$CF$508,$CF327,$CH$9:$CH$508,$CH327,$CJ$9:$CJ$508,$CJ327,$CL$9:$CL$508,"&lt;"&amp;$CL327)+1))</f>
        <v/>
      </c>
      <c r="CN327" s="93" t="str">
        <f aca="false">IF(ISBLANK($C327),"",IF($BX327&lt;&gt;Constants!$B$6,$BX327,$CD327-$CM327))</f>
        <v/>
      </c>
      <c r="CO327" s="100"/>
      <c r="CP327" s="101"/>
      <c r="CQ327" s="102" t="str">
        <f aca="false">IF(ISBLANK($C327),"",IF($BX327=Constants!$B$10,$BW327,""))</f>
        <v/>
      </c>
      <c r="CR327" s="101" t="str">
        <f aca="false">IF(ISBLANK($C327),"",IF($BX327&lt;&gt;Constants!$B$6,"",IF($BL327="-&gt;",2,1)))</f>
        <v/>
      </c>
      <c r="CS327" s="103" t="str">
        <f aca="false">IF(ISBLANK($C327),"",IF($BX327&lt;&gt;Constants!$B$6,"",IF($BL327="-&gt;",$BN327,$BC327)))</f>
        <v/>
      </c>
      <c r="CT327" s="103" t="str">
        <f aca="false">IF(ISBLANK($C327),"",IF($BX327&lt;&gt;Constants!$B$6,"",IF($BL327="-&gt;",$BO327,$BD327)))</f>
        <v/>
      </c>
      <c r="CU327" s="103" t="str">
        <f aca="false">IF(ISBLANK($C327),"",IF($BX327&lt;&gt;Constants!$B$6,"",IF($BL327="-&gt;",$BP327+$BQ327,$BE327+$BF327)+$CB327))</f>
        <v/>
      </c>
      <c r="CV327" s="103" t="str">
        <f aca="false">IF(ISBLANK($C327),"",IF($BX327&lt;&gt;Constants!$B$6,"",IF($BL327="-&gt;",$BR327,$BG327)+$CA327))</f>
        <v/>
      </c>
      <c r="CW327" s="104" t="str">
        <f aca="false">IF(ISBLANK($C327),"",IF($BX327&lt;&gt;Constants!$B$6,$BX327,$CC327))</f>
        <v/>
      </c>
      <c r="CX327" s="105" t="str">
        <f aca="false">IF(ISBLANK($C327),"",$BY327)</f>
        <v/>
      </c>
      <c r="CY327" s="106" t="str">
        <f aca="false">IF(ISBLANK($C327),"",$CN327)</f>
        <v/>
      </c>
      <c r="CZ327" s="106" t="str">
        <f aca="false">IF(ISBLANK($C327),"",$CM327)</f>
        <v/>
      </c>
      <c r="DA327" s="107" t="str">
        <f aca="false">IF(ISBLANK($C327),"",IFERROR(_xlfn.SWITCH($CZ327,Constants!$B$9,COUNTA($C$9:$C$508)+2,Constants!$B$8,COUNTA($C$9:$C$508)+1,Constants!$B$7,COUNTA($C$9:$C$508)),$CZ327))</f>
        <v/>
      </c>
      <c r="DB327" s="9"/>
      <c r="DC327" s="108" t="n">
        <f aca="false">IF(OR(ISNUMBER($CZ327),$CZ327=Constants!$B$9,$CZ327=Constants!$B$7,$CZ327=Constants!$B$8),1,0)</f>
        <v>0</v>
      </c>
      <c r="DD327" s="108" t="n">
        <v>319</v>
      </c>
      <c r="DE327" s="108" t="str">
        <f aca="false">IF(ISBLANK($C327),"",IF(ISNUMBER($DA327),$DA327+ROW($B327)/1000,""))</f>
        <v/>
      </c>
      <c r="DF327" s="108" t="str">
        <f aca="false">IF(ISNUMBER($DE327),RANK($DE327,$DE$9:$DE$508,1),"")</f>
        <v/>
      </c>
      <c r="DG327" s="108" t="str">
        <f aca="false">IF(ISBLANK($C327),"",$B327)</f>
        <v/>
      </c>
      <c r="DH327" s="108" t="str">
        <f aca="false">IF(ISBLANK($C327),"",$C327)</f>
        <v/>
      </c>
      <c r="DI327" s="108" t="str">
        <f aca="false">IF(ISBLANK($C327),"",$D327)</f>
        <v/>
      </c>
      <c r="DJ327" s="109" t="str">
        <f aca="false">$CX327</f>
        <v/>
      </c>
      <c r="DK327" s="110" t="str">
        <f aca="false">$CW327</f>
        <v/>
      </c>
      <c r="DL327" s="108" t="str">
        <f aca="false">IF(ISBLANK($C327),"",$CZ327)</f>
        <v/>
      </c>
      <c r="DM327" s="111" t="str">
        <f aca="false">IF($DD327&gt;$DC$8,"",VLOOKUP($DD327,$DF$9:$DL$508,7,FALSE()))</f>
        <v/>
      </c>
      <c r="DN327" s="112" t="str">
        <f aca="false">IF($DD327&gt;$DC$8,"",VLOOKUP($DD327,$DF$9:$DL$508,2,FALSE()))</f>
        <v/>
      </c>
      <c r="DO327" s="112" t="str">
        <f aca="false">IF($DD327&gt;$DC$8,"",VLOOKUP($DD327,$DF$9:$DL$508,3,FALSE()))</f>
        <v/>
      </c>
      <c r="DP327" s="112" t="str">
        <f aca="false">IF($DD327&gt;$DC$8,"",VLOOKUP($DD327,$DF$9:$DL$508,4,FALSE()))</f>
        <v/>
      </c>
      <c r="DQ327" s="112" t="str">
        <f aca="false">IF($DD327&gt;$DC$8,"",VLOOKUP($DD327,$DF$9:$DL$508,5,FALSE()))</f>
        <v/>
      </c>
      <c r="DR327" s="113" t="str">
        <f aca="false">IF($DD327&gt;$DC$8,"",VLOOKUP($DD327,$DF$9:$DL$508,6,FALSE()))</f>
        <v/>
      </c>
      <c r="DS327" s="76"/>
    </row>
    <row r="328" customFormat="false" ht="15.75" hidden="false" customHeight="false" outlineLevel="0" collapsed="false">
      <c r="A328" s="9"/>
      <c r="B328" s="78"/>
      <c r="C328" s="79"/>
      <c r="D328" s="170"/>
      <c r="E328" s="178"/>
      <c r="F328" s="172"/>
      <c r="G328" s="173"/>
      <c r="H328" s="173"/>
      <c r="I328" s="179"/>
      <c r="J328" s="176"/>
      <c r="K328" s="86"/>
      <c r="L328" s="87"/>
      <c r="M328" s="88"/>
      <c r="N328" s="176"/>
      <c r="O328" s="176"/>
      <c r="P328" s="178"/>
      <c r="Q328" s="176"/>
      <c r="R328" s="176"/>
      <c r="S328" s="86"/>
      <c r="T328" s="88"/>
      <c r="U328" s="88"/>
      <c r="V328" s="176"/>
      <c r="W328" s="176"/>
      <c r="X328" s="178"/>
      <c r="Y328" s="176"/>
      <c r="Z328" s="177"/>
      <c r="AA328" s="176"/>
      <c r="AB328" s="92"/>
      <c r="AC328" s="93"/>
      <c r="AD328" s="93"/>
      <c r="AE328" s="93"/>
      <c r="AF328" s="93" t="str">
        <f aca="false">IF(ISBLANK($C328),"",IF(E328=Constants!$B$2,TRUE(),IF(E328=Constants!$B$3,FALSE(),TRUE())))</f>
        <v/>
      </c>
      <c r="AG328" s="93" t="str">
        <f aca="false">IF(ISBLANK($C328),"",IF(F328=Constants!$B$2,TRUE(),IF(F328=Constants!$B$3,FALSE(),TRUE())))</f>
        <v/>
      </c>
      <c r="AH328" s="93" t="str">
        <f aca="false">IF(ISBLANK($C328),"",IF(G328=Constants!$B$2,TRUE(),IF(G328=Constants!$B$3,FALSE(),TRUE())))</f>
        <v/>
      </c>
      <c r="AI328" s="93" t="str">
        <f aca="false">IF(ISBLANK($C328),"",IF(AND(ISNUMBER(H328),H328&gt;=0),H328,Constants!$B$24))</f>
        <v/>
      </c>
      <c r="AJ328" s="93" t="str">
        <f aca="false">IF(ISBLANK($C328),"",IF(I328=Constants!$B$2,TRUE(),IF(I328=Constants!$B$3,FALSE(),TRUE())))</f>
        <v/>
      </c>
      <c r="AK328" s="93" t="str">
        <f aca="false">IF(ISBLANK($C328),"",IF(J328=Constants!$B$2,TRUE(),IF(J328=Constants!$B$3,FALSE(),TRUE())))</f>
        <v/>
      </c>
      <c r="AL328" s="93" t="str">
        <f aca="false">IF(ISBLANK($C328),"",IF(K328=Constants!$B$4,TRUE(),IF(K328=Constants!$B$5,FALSE(),COUNTA(L328:P328)&gt;0)))</f>
        <v/>
      </c>
      <c r="AM328" s="95" t="str">
        <f aca="false">IF(ISBLANK($C328),"",IF(ISNUMBER(L328),IF(L328&gt;=0,L328,""),""))</f>
        <v/>
      </c>
      <c r="AN328" s="94" t="str">
        <f aca="false">IF(ISBLANK($C328),"",IF(ISNUMBER(M328),IF(M328&gt;=0,M328,""),""))</f>
        <v/>
      </c>
      <c r="AO328" s="94" t="str">
        <f aca="false">IF(ISBLANK($C328),"",IF(N328=Constants!$B$2,TRUE(),IF(N328=Constants!$B$3,FALSE(),TRUE())))</f>
        <v/>
      </c>
      <c r="AP328" s="93" t="str">
        <f aca="false">IF(ISBLANK($C328),"",IF(ISNUMBER(O328),IF(O328&gt;=0,O328,""),""))</f>
        <v/>
      </c>
      <c r="AQ328" s="93" t="str">
        <f aca="false">IF(ISBLANK($C328),"",IF(P328=Constants!$B$2,TRUE(),IF(P328=Constants!$B$3,FALSE(),FALSE())))</f>
        <v/>
      </c>
      <c r="AR328" s="93" t="str">
        <f aca="false">IF(ISBLANK($C328),"",IF(Q328=Constants!$B$2,TRUE(),IF(Q328=Constants!$B$3,FALSE(),TRUE())))</f>
        <v/>
      </c>
      <c r="AS328" s="93" t="str">
        <f aca="false">IF(ISBLANK($C328),"",IF(R328=Constants!$B$2,TRUE(),IF(R328=Constants!$B$3,FALSE(),TRUE())))</f>
        <v/>
      </c>
      <c r="AT328" s="93" t="str">
        <f aca="false">IF(ISBLANK($C328),"",IF(S328=Constants!$B$4,TRUE(),IF(S328=Constants!$B$5,FALSE(),COUNTA(T328:X328)&gt;0)))</f>
        <v/>
      </c>
      <c r="AU328" s="95" t="str">
        <f aca="false">IF(ISBLANK($C328),"",IF(ISNUMBER(T328),IF(T328&gt;=0,T328,""),""))</f>
        <v/>
      </c>
      <c r="AV328" s="94" t="str">
        <f aca="false">IF(ISBLANK($C328),"",IF(ISNUMBER(U328),IF(U328&gt;=0,U328,""),""))</f>
        <v/>
      </c>
      <c r="AW328" s="94" t="str">
        <f aca="false">IF(ISBLANK($C328),"",IF(V328=Constants!$B$2,TRUE(),IF(V328=Constants!$B$3,FALSE(),TRUE())))</f>
        <v/>
      </c>
      <c r="AX328" s="93" t="str">
        <f aca="false">IF(ISBLANK($C328),"",IF(ISNUMBER(W328),IF(W328&gt;=0,W328,""),""))</f>
        <v/>
      </c>
      <c r="AY328" s="93" t="str">
        <f aca="false">IF(ISBLANK($C328),"",IF(X328=Constants!$B$2,TRUE(),IF(X328=Constants!$B$3,FALSE(),FALSE())))</f>
        <v/>
      </c>
      <c r="AZ328" s="93" t="str">
        <f aca="false">IF(ISBLANK($C328),"",MIN(Constants!$B$25,MAX(0,IF(ISNUMBER(Y328),Y328*60,0)+IF(ISNUMBER(Z328),Z328,0))))</f>
        <v/>
      </c>
      <c r="BA328" s="93" t="str">
        <f aca="false">IF(ISBLANK($C328),"",IF(AA328=Constants!$B$2,TRUE(),IF(AA328=Constants!$B$3,FALSE(),FALSE())))</f>
        <v/>
      </c>
      <c r="BB328" s="92" t="str">
        <f aca="false">IF(ISBLANK($C328),"",AND($AL328,OR($AM328="",$AN328="",AND($AO328,$AP328=""))))</f>
        <v/>
      </c>
      <c r="BC328" s="94" t="str">
        <f aca="false">IF($BX328&lt;&gt;Constants!$B$6,"",IF($AL328,Constants!$B$17*$AN328+Constants!$B$18*IF($AO328,$AP328,Constants!$B$19),Constants!$B$20))</f>
        <v/>
      </c>
      <c r="BD328" s="97" t="str">
        <f aca="false">IF($BX328&lt;&gt;Constants!$B$6,"",Constants!$B$21*ABS($AD$9-IF($AL328,$AM328,0)))</f>
        <v/>
      </c>
      <c r="BE328" s="97" t="str">
        <f aca="false">IF($BX328&lt;&gt;Constants!$B$6,"",IF(AND($AL328,$AQ328,$AO328),Constants!$B$22,0))</f>
        <v/>
      </c>
      <c r="BF328" s="97" t="str">
        <f aca="false">IF($BX328&lt;&gt;Constants!$B$6,"",IF($AL328,($AI328-Constants!$B$24)*Constants!$B$23,0))</f>
        <v/>
      </c>
      <c r="BG328" s="97" t="str">
        <f aca="false">IF($BX328&lt;&gt;Constants!$B$6,"",IF($AK328,0,Constants!$B$12)+IF($AJ328,0,Constants!$B$13)+IF($AH328,0,Constants!$B$14))</f>
        <v/>
      </c>
      <c r="BH328" s="98" t="str">
        <f aca="false">IF($BX328&lt;&gt;Constants!$B$6,"",Constants!$B$16+SUM($BC328:$BG328))</f>
        <v/>
      </c>
      <c r="BI328" s="97" t="str">
        <f aca="false">IF($BX328&lt;&gt;Constants!$B$6,"",$BC328)</f>
        <v/>
      </c>
      <c r="BJ328" s="97" t="str">
        <f aca="false">IF($BX328&lt;&gt;Constants!$B$6,"",$BD328)</f>
        <v/>
      </c>
      <c r="BK328" s="99" t="str">
        <f aca="false">IF($BX328&lt;&gt;Constants!$B$6,"",IF($AL328,$AN328,""))</f>
        <v/>
      </c>
      <c r="BL328" s="93" t="str">
        <f aca="false">IF($BX328&lt;&gt;Constants!$B$6,"",IF(OR($BS328&lt;$BH328,AND($BS328=$BH328,OR($BT328&lt;$BI328,AND($BT328=$BI328,OR($BU328&lt;$BJ328,AND($BU328=$BJ328,AND(ISNUMBER($BV328),OR(NOT(ISNUMBER($BK328)),$BV328&lt;$BK328)))))))),"-&gt;","&lt;-"))</f>
        <v/>
      </c>
      <c r="BM328" s="92" t="str">
        <f aca="false">IF(ISBLANK($C328),"",AND($AT328,OR($AU328="",$AV328="",AND($AW328,$AX328=""))))</f>
        <v/>
      </c>
      <c r="BN328" s="94" t="str">
        <f aca="false">IF($BX328&lt;&gt;Constants!$B$6,"",IF($AT328,Constants!$B$17*$AV328+Constants!$B$18*IF($AW328,$AX328,Constants!$B$19),Constants!$B$20))</f>
        <v/>
      </c>
      <c r="BO328" s="97" t="str">
        <f aca="false">IF($BX328&lt;&gt;Constants!$B$6,"",Constants!$B$21*ABS($AD$9-IF($AT328,$AU328,0)))</f>
        <v/>
      </c>
      <c r="BP328" s="97" t="str">
        <f aca="false">IF($BX328&lt;&gt;Constants!$B$6,"",IF(AND($AT328,$AY328,$AW328),Constants!$B$22,0))</f>
        <v/>
      </c>
      <c r="BQ328" s="97" t="str">
        <f aca="false">IF($BX328&lt;&gt;Constants!$B$6,"",IF($AT328,($AI328-Constants!$B$24)*Constants!$B$23,0))</f>
        <v/>
      </c>
      <c r="BR328" s="97" t="str">
        <f aca="false">IF($BX328&lt;&gt;Constants!$B$6,"",IF($AS328,0,Constants!$B$12)+IF($AR328,0,Constants!$B$13)+IF($AH328,0,Constants!$B$14))</f>
        <v/>
      </c>
      <c r="BS328" s="98" t="str">
        <f aca="false">IF($BX328&lt;&gt;Constants!$B$6,"",Constants!$B$16+SUM($BN328:$BR328))</f>
        <v/>
      </c>
      <c r="BT328" s="97" t="str">
        <f aca="false">IF($BX328&lt;&gt;Constants!$B$6,"",$BN328)</f>
        <v/>
      </c>
      <c r="BU328" s="97" t="str">
        <f aca="false">IF($BX328&lt;&gt;Constants!$B$6,"",$BO328)</f>
        <v/>
      </c>
      <c r="BV328" s="99" t="str">
        <f aca="false">IF($BX328&lt;&gt;Constants!$B$6,"",IF($AT328,$AV328,""))</f>
        <v/>
      </c>
      <c r="BW328" s="93" t="str">
        <f aca="false">IF(ISBLANK($C328),"",IF(ISBLANK($D$7),$BW$5,IF(NOT(ISNUMBER($D$7)),$BW$6,"")))</f>
        <v/>
      </c>
      <c r="BX328" s="93" t="str">
        <f aca="false">IF(ISBLANK($C328),"",IF($BA328,Constants!$B$9,IF(COUNTA($E328:$AA328)=0,Constants!$B$8,IF(NOT($AG328),Constants!$B$7,IF(OR($BW328&lt;&gt;"",$BB328,$BM328),Constants!$B$10,Constants!$B$6)))))</f>
        <v/>
      </c>
      <c r="BY328" s="93" t="str">
        <f aca="false">IF(ISBLANK($C328),"",IF($BX328&lt;&gt;Constants!$B$6,$BX328,Constants!$B$11))</f>
        <v/>
      </c>
      <c r="BZ328" s="97" t="str">
        <f aca="false">IF($BX328&lt;&gt;Constants!$B$6,"",IF($BL328="-&gt;",$BS328,$BH328))</f>
        <v/>
      </c>
      <c r="CA328" s="97" t="str">
        <f aca="false">IF($BX328&lt;&gt;Constants!$B$6,"",IF($AF328,0,Constants!$B$15))</f>
        <v/>
      </c>
      <c r="CB328" s="97" t="str">
        <f aca="false">IF($BX328&lt;&gt;Constants!$B$6,"",((Constants!$B$25-$AZ328)-Constants!$B$25)/Constants!$B$26)</f>
        <v/>
      </c>
      <c r="CC328" s="97" t="str">
        <f aca="false">IF(ISBLANK($C328),"",IF($BX328&lt;&gt;Constants!$B$6,$BX328,SUM($BZ328:$CB328)))</f>
        <v/>
      </c>
      <c r="CD328" s="93" t="str">
        <f aca="false">IF(ISBLANK($C328),"",IF($BX328&lt;&gt;Constants!$B$6,$BX328,RANK($CC328,$CC$9:$CC$508,1)))</f>
        <v/>
      </c>
      <c r="CE328" s="97" t="str">
        <f aca="false">IF($BX328&lt;&gt;Constants!$B$6,"",IF($BL328="-&gt;",$BT328,$BI328))</f>
        <v/>
      </c>
      <c r="CF328" s="93" t="str">
        <f aca="false">IF(ISBLANK($C328),"",IF($BX328&lt;&gt;Constants!$B$6,$BX328,IF(ISNUMBER($CE328),RANK($CE328,$CE$9:$CE$508,1),COUNT($CE$9:$CE$508)+1)))</f>
        <v/>
      </c>
      <c r="CG328" s="97" t="str">
        <f aca="false">IF($BX328&lt;&gt;Constants!$B$6,"",IF($BL328="-&gt;",$BU328,$BJ328))</f>
        <v/>
      </c>
      <c r="CH328" s="93" t="str">
        <f aca="false">IF(ISBLANK($C328),"",IF($BX328&lt;&gt;Constants!$B$6,$BX328,IF(ISNUMBER($CG328),RANK($CG328,$CG$9:$CG$508,1),COUNT($CG$9:$CG$508)+1)))</f>
        <v/>
      </c>
      <c r="CI328" s="97" t="str">
        <f aca="false">IF($BX328&lt;&gt;Constants!$B$6,"",IF($BL328="-&gt;",$BV328,$BK328))</f>
        <v/>
      </c>
      <c r="CJ328" s="93" t="str">
        <f aca="false">IF(ISBLANK($C328),"",IF($BX328&lt;&gt;Constants!$B$6,$BX328,IF(ISNUMBER($CI328),RANK($CI328,$CI$9:$CI$508,1),COUNT($CI$9:$CI$508)+1)))</f>
        <v/>
      </c>
      <c r="CK328" s="97" t="str">
        <f aca="false">IF($BX328&lt;&gt;Constants!$B$6,"",$AI328)</f>
        <v/>
      </c>
      <c r="CL328" s="93" t="str">
        <f aca="false">IF(ISBLANK($C328),"",IF($BX328&lt;&gt;Constants!$B$6,$BX328,IF(ISNUMBER($CK328),RANK($CK328,$CK$9:$CK$508,1),COUNT($CK$9:$CK$508)+1)))</f>
        <v/>
      </c>
      <c r="CM328" s="93" t="str">
        <f aca="false">IF(ISBLANK($C328),"",IF($BX328&lt;&gt;Constants!$B$6,$BX328,COUNTIFS($CD$9:$CD$508,"&lt;"&amp;$CD328)+COUNTIFS($CD$9:$CD$508,$CD328,$CF$9:$CF$508,"&lt;"&amp;$CF328)+COUNTIFS($CD$9:$CD$508,$CD328,$CF$9:$CF$508,$CF328,$CH$9:$CH$508,"&lt;"&amp;$CH328)+COUNTIFS($CD$9:$CD$508,$CD328,$CF$9:$CF$508,$CF328,$CH$9:$CH$508,$CH328,$CJ$9:$CJ$508,"&lt;"&amp;$CJ328)+COUNTIFS($CD$9:$CD$508,$CD328,$CF$9:$CF$508,$CF328,$CH$9:$CH$508,$CH328,$CJ$9:$CJ$508,$CJ328,$CL$9:$CL$508,"&lt;"&amp;$CL328)+1))</f>
        <v/>
      </c>
      <c r="CN328" s="93" t="str">
        <f aca="false">IF(ISBLANK($C328),"",IF($BX328&lt;&gt;Constants!$B$6,$BX328,$CD328-$CM328))</f>
        <v/>
      </c>
      <c r="CO328" s="100"/>
      <c r="CP328" s="101"/>
      <c r="CQ328" s="102" t="str">
        <f aca="false">IF(ISBLANK($C328),"",IF($BX328=Constants!$B$10,$BW328,""))</f>
        <v/>
      </c>
      <c r="CR328" s="101" t="str">
        <f aca="false">IF(ISBLANK($C328),"",IF($BX328&lt;&gt;Constants!$B$6,"",IF($BL328="-&gt;",2,1)))</f>
        <v/>
      </c>
      <c r="CS328" s="103" t="str">
        <f aca="false">IF(ISBLANK($C328),"",IF($BX328&lt;&gt;Constants!$B$6,"",IF($BL328="-&gt;",$BN328,$BC328)))</f>
        <v/>
      </c>
      <c r="CT328" s="103" t="str">
        <f aca="false">IF(ISBLANK($C328),"",IF($BX328&lt;&gt;Constants!$B$6,"",IF($BL328="-&gt;",$BO328,$BD328)))</f>
        <v/>
      </c>
      <c r="CU328" s="103" t="str">
        <f aca="false">IF(ISBLANK($C328),"",IF($BX328&lt;&gt;Constants!$B$6,"",IF($BL328="-&gt;",$BP328+$BQ328,$BE328+$BF328)+$CB328))</f>
        <v/>
      </c>
      <c r="CV328" s="103" t="str">
        <f aca="false">IF(ISBLANK($C328),"",IF($BX328&lt;&gt;Constants!$B$6,"",IF($BL328="-&gt;",$BR328,$BG328)+$CA328))</f>
        <v/>
      </c>
      <c r="CW328" s="104" t="str">
        <f aca="false">IF(ISBLANK($C328),"",IF($BX328&lt;&gt;Constants!$B$6,$BX328,$CC328))</f>
        <v/>
      </c>
      <c r="CX328" s="105" t="str">
        <f aca="false">IF(ISBLANK($C328),"",$BY328)</f>
        <v/>
      </c>
      <c r="CY328" s="106" t="str">
        <f aca="false">IF(ISBLANK($C328),"",$CN328)</f>
        <v/>
      </c>
      <c r="CZ328" s="106" t="str">
        <f aca="false">IF(ISBLANK($C328),"",$CM328)</f>
        <v/>
      </c>
      <c r="DA328" s="107" t="str">
        <f aca="false">IF(ISBLANK($C328),"",IFERROR(_xlfn.SWITCH($CZ328,Constants!$B$9,COUNTA($C$9:$C$508)+2,Constants!$B$8,COUNTA($C$9:$C$508)+1,Constants!$B$7,COUNTA($C$9:$C$508)),$CZ328))</f>
        <v/>
      </c>
      <c r="DB328" s="9"/>
      <c r="DC328" s="108" t="n">
        <f aca="false">IF(OR(ISNUMBER($CZ328),$CZ328=Constants!$B$9,$CZ328=Constants!$B$7,$CZ328=Constants!$B$8),1,0)</f>
        <v>0</v>
      </c>
      <c r="DD328" s="108" t="n">
        <v>320</v>
      </c>
      <c r="DE328" s="108" t="str">
        <f aca="false">IF(ISBLANK($C328),"",IF(ISNUMBER($DA328),$DA328+ROW($B328)/1000,""))</f>
        <v/>
      </c>
      <c r="DF328" s="108" t="str">
        <f aca="false">IF(ISNUMBER($DE328),RANK($DE328,$DE$9:$DE$508,1),"")</f>
        <v/>
      </c>
      <c r="DG328" s="108" t="str">
        <f aca="false">IF(ISBLANK($C328),"",$B328)</f>
        <v/>
      </c>
      <c r="DH328" s="108" t="str">
        <f aca="false">IF(ISBLANK($C328),"",$C328)</f>
        <v/>
      </c>
      <c r="DI328" s="108" t="str">
        <f aca="false">IF(ISBLANK($C328),"",$D328)</f>
        <v/>
      </c>
      <c r="DJ328" s="109" t="str">
        <f aca="false">$CX328</f>
        <v/>
      </c>
      <c r="DK328" s="110" t="str">
        <f aca="false">$CW328</f>
        <v/>
      </c>
      <c r="DL328" s="108" t="str">
        <f aca="false">IF(ISBLANK($C328),"",$CZ328)</f>
        <v/>
      </c>
      <c r="DM328" s="111" t="str">
        <f aca="false">IF($DD328&gt;$DC$8,"",VLOOKUP($DD328,$DF$9:$DL$508,7,FALSE()))</f>
        <v/>
      </c>
      <c r="DN328" s="112" t="str">
        <f aca="false">IF($DD328&gt;$DC$8,"",VLOOKUP($DD328,$DF$9:$DL$508,2,FALSE()))</f>
        <v/>
      </c>
      <c r="DO328" s="112" t="str">
        <f aca="false">IF($DD328&gt;$DC$8,"",VLOOKUP($DD328,$DF$9:$DL$508,3,FALSE()))</f>
        <v/>
      </c>
      <c r="DP328" s="112" t="str">
        <f aca="false">IF($DD328&gt;$DC$8,"",VLOOKUP($DD328,$DF$9:$DL$508,4,FALSE()))</f>
        <v/>
      </c>
      <c r="DQ328" s="112" t="str">
        <f aca="false">IF($DD328&gt;$DC$8,"",VLOOKUP($DD328,$DF$9:$DL$508,5,FALSE()))</f>
        <v/>
      </c>
      <c r="DR328" s="113" t="str">
        <f aca="false">IF($DD328&gt;$DC$8,"",VLOOKUP($DD328,$DF$9:$DL$508,6,FALSE()))</f>
        <v/>
      </c>
      <c r="DS328" s="76"/>
    </row>
    <row r="329" customFormat="false" ht="15.75" hidden="false" customHeight="false" outlineLevel="0" collapsed="false">
      <c r="A329" s="9"/>
      <c r="B329" s="78"/>
      <c r="C329" s="79"/>
      <c r="D329" s="170"/>
      <c r="E329" s="178"/>
      <c r="F329" s="172"/>
      <c r="G329" s="173"/>
      <c r="H329" s="173"/>
      <c r="I329" s="179"/>
      <c r="J329" s="176"/>
      <c r="K329" s="86"/>
      <c r="L329" s="87"/>
      <c r="M329" s="88"/>
      <c r="N329" s="176"/>
      <c r="O329" s="176"/>
      <c r="P329" s="178"/>
      <c r="Q329" s="176"/>
      <c r="R329" s="176"/>
      <c r="S329" s="86"/>
      <c r="T329" s="88"/>
      <c r="U329" s="88"/>
      <c r="V329" s="176"/>
      <c r="W329" s="176"/>
      <c r="X329" s="178"/>
      <c r="Y329" s="176"/>
      <c r="Z329" s="177"/>
      <c r="AA329" s="176"/>
      <c r="AB329" s="92"/>
      <c r="AC329" s="93"/>
      <c r="AD329" s="93"/>
      <c r="AE329" s="93"/>
      <c r="AF329" s="93" t="str">
        <f aca="false">IF(ISBLANK($C329),"",IF(E329=Constants!$B$2,TRUE(),IF(E329=Constants!$B$3,FALSE(),TRUE())))</f>
        <v/>
      </c>
      <c r="AG329" s="93" t="str">
        <f aca="false">IF(ISBLANK($C329),"",IF(F329=Constants!$B$2,TRUE(),IF(F329=Constants!$B$3,FALSE(),TRUE())))</f>
        <v/>
      </c>
      <c r="AH329" s="93" t="str">
        <f aca="false">IF(ISBLANK($C329),"",IF(G329=Constants!$B$2,TRUE(),IF(G329=Constants!$B$3,FALSE(),TRUE())))</f>
        <v/>
      </c>
      <c r="AI329" s="93" t="str">
        <f aca="false">IF(ISBLANK($C329),"",IF(AND(ISNUMBER(H329),H329&gt;=0),H329,Constants!$B$24))</f>
        <v/>
      </c>
      <c r="AJ329" s="93" t="str">
        <f aca="false">IF(ISBLANK($C329),"",IF(I329=Constants!$B$2,TRUE(),IF(I329=Constants!$B$3,FALSE(),TRUE())))</f>
        <v/>
      </c>
      <c r="AK329" s="93" t="str">
        <f aca="false">IF(ISBLANK($C329),"",IF(J329=Constants!$B$2,TRUE(),IF(J329=Constants!$B$3,FALSE(),TRUE())))</f>
        <v/>
      </c>
      <c r="AL329" s="93" t="str">
        <f aca="false">IF(ISBLANK($C329),"",IF(K329=Constants!$B$4,TRUE(),IF(K329=Constants!$B$5,FALSE(),COUNTA(L329:P329)&gt;0)))</f>
        <v/>
      </c>
      <c r="AM329" s="95" t="str">
        <f aca="false">IF(ISBLANK($C329),"",IF(ISNUMBER(L329),IF(L329&gt;=0,L329,""),""))</f>
        <v/>
      </c>
      <c r="AN329" s="94" t="str">
        <f aca="false">IF(ISBLANK($C329),"",IF(ISNUMBER(M329),IF(M329&gt;=0,M329,""),""))</f>
        <v/>
      </c>
      <c r="AO329" s="94" t="str">
        <f aca="false">IF(ISBLANK($C329),"",IF(N329=Constants!$B$2,TRUE(),IF(N329=Constants!$B$3,FALSE(),TRUE())))</f>
        <v/>
      </c>
      <c r="AP329" s="93" t="str">
        <f aca="false">IF(ISBLANK($C329),"",IF(ISNUMBER(O329),IF(O329&gt;=0,O329,""),""))</f>
        <v/>
      </c>
      <c r="AQ329" s="93" t="str">
        <f aca="false">IF(ISBLANK($C329),"",IF(P329=Constants!$B$2,TRUE(),IF(P329=Constants!$B$3,FALSE(),FALSE())))</f>
        <v/>
      </c>
      <c r="AR329" s="93" t="str">
        <f aca="false">IF(ISBLANK($C329),"",IF(Q329=Constants!$B$2,TRUE(),IF(Q329=Constants!$B$3,FALSE(),TRUE())))</f>
        <v/>
      </c>
      <c r="AS329" s="93" t="str">
        <f aca="false">IF(ISBLANK($C329),"",IF(R329=Constants!$B$2,TRUE(),IF(R329=Constants!$B$3,FALSE(),TRUE())))</f>
        <v/>
      </c>
      <c r="AT329" s="93" t="str">
        <f aca="false">IF(ISBLANK($C329),"",IF(S329=Constants!$B$4,TRUE(),IF(S329=Constants!$B$5,FALSE(),COUNTA(T329:X329)&gt;0)))</f>
        <v/>
      </c>
      <c r="AU329" s="95" t="str">
        <f aca="false">IF(ISBLANK($C329),"",IF(ISNUMBER(T329),IF(T329&gt;=0,T329,""),""))</f>
        <v/>
      </c>
      <c r="AV329" s="94" t="str">
        <f aca="false">IF(ISBLANK($C329),"",IF(ISNUMBER(U329),IF(U329&gt;=0,U329,""),""))</f>
        <v/>
      </c>
      <c r="AW329" s="94" t="str">
        <f aca="false">IF(ISBLANK($C329),"",IF(V329=Constants!$B$2,TRUE(),IF(V329=Constants!$B$3,FALSE(),TRUE())))</f>
        <v/>
      </c>
      <c r="AX329" s="93" t="str">
        <f aca="false">IF(ISBLANK($C329),"",IF(ISNUMBER(W329),IF(W329&gt;=0,W329,""),""))</f>
        <v/>
      </c>
      <c r="AY329" s="93" t="str">
        <f aca="false">IF(ISBLANK($C329),"",IF(X329=Constants!$B$2,TRUE(),IF(X329=Constants!$B$3,FALSE(),FALSE())))</f>
        <v/>
      </c>
      <c r="AZ329" s="93" t="str">
        <f aca="false">IF(ISBLANK($C329),"",MIN(Constants!$B$25,MAX(0,IF(ISNUMBER(Y329),Y329*60,0)+IF(ISNUMBER(Z329),Z329,0))))</f>
        <v/>
      </c>
      <c r="BA329" s="93" t="str">
        <f aca="false">IF(ISBLANK($C329),"",IF(AA329=Constants!$B$2,TRUE(),IF(AA329=Constants!$B$3,FALSE(),FALSE())))</f>
        <v/>
      </c>
      <c r="BB329" s="92" t="str">
        <f aca="false">IF(ISBLANK($C329),"",AND($AL329,OR($AM329="",$AN329="",AND($AO329,$AP329=""))))</f>
        <v/>
      </c>
      <c r="BC329" s="94" t="str">
        <f aca="false">IF($BX329&lt;&gt;Constants!$B$6,"",IF($AL329,Constants!$B$17*$AN329+Constants!$B$18*IF($AO329,$AP329,Constants!$B$19),Constants!$B$20))</f>
        <v/>
      </c>
      <c r="BD329" s="97" t="str">
        <f aca="false">IF($BX329&lt;&gt;Constants!$B$6,"",Constants!$B$21*ABS($AD$9-IF($AL329,$AM329,0)))</f>
        <v/>
      </c>
      <c r="BE329" s="97" t="str">
        <f aca="false">IF($BX329&lt;&gt;Constants!$B$6,"",IF(AND($AL329,$AQ329,$AO329),Constants!$B$22,0))</f>
        <v/>
      </c>
      <c r="BF329" s="97" t="str">
        <f aca="false">IF($BX329&lt;&gt;Constants!$B$6,"",IF($AL329,($AI329-Constants!$B$24)*Constants!$B$23,0))</f>
        <v/>
      </c>
      <c r="BG329" s="97" t="str">
        <f aca="false">IF($BX329&lt;&gt;Constants!$B$6,"",IF($AK329,0,Constants!$B$12)+IF($AJ329,0,Constants!$B$13)+IF($AH329,0,Constants!$B$14))</f>
        <v/>
      </c>
      <c r="BH329" s="98" t="str">
        <f aca="false">IF($BX329&lt;&gt;Constants!$B$6,"",Constants!$B$16+SUM($BC329:$BG329))</f>
        <v/>
      </c>
      <c r="BI329" s="97" t="str">
        <f aca="false">IF($BX329&lt;&gt;Constants!$B$6,"",$BC329)</f>
        <v/>
      </c>
      <c r="BJ329" s="97" t="str">
        <f aca="false">IF($BX329&lt;&gt;Constants!$B$6,"",$BD329)</f>
        <v/>
      </c>
      <c r="BK329" s="99" t="str">
        <f aca="false">IF($BX329&lt;&gt;Constants!$B$6,"",IF($AL329,$AN329,""))</f>
        <v/>
      </c>
      <c r="BL329" s="93" t="str">
        <f aca="false">IF($BX329&lt;&gt;Constants!$B$6,"",IF(OR($BS329&lt;$BH329,AND($BS329=$BH329,OR($BT329&lt;$BI329,AND($BT329=$BI329,OR($BU329&lt;$BJ329,AND($BU329=$BJ329,AND(ISNUMBER($BV329),OR(NOT(ISNUMBER($BK329)),$BV329&lt;$BK329)))))))),"-&gt;","&lt;-"))</f>
        <v/>
      </c>
      <c r="BM329" s="92" t="str">
        <f aca="false">IF(ISBLANK($C329),"",AND($AT329,OR($AU329="",$AV329="",AND($AW329,$AX329=""))))</f>
        <v/>
      </c>
      <c r="BN329" s="94" t="str">
        <f aca="false">IF($BX329&lt;&gt;Constants!$B$6,"",IF($AT329,Constants!$B$17*$AV329+Constants!$B$18*IF($AW329,$AX329,Constants!$B$19),Constants!$B$20))</f>
        <v/>
      </c>
      <c r="BO329" s="97" t="str">
        <f aca="false">IF($BX329&lt;&gt;Constants!$B$6,"",Constants!$B$21*ABS($AD$9-IF($AT329,$AU329,0)))</f>
        <v/>
      </c>
      <c r="BP329" s="97" t="str">
        <f aca="false">IF($BX329&lt;&gt;Constants!$B$6,"",IF(AND($AT329,$AY329,$AW329),Constants!$B$22,0))</f>
        <v/>
      </c>
      <c r="BQ329" s="97" t="str">
        <f aca="false">IF($BX329&lt;&gt;Constants!$B$6,"",IF($AT329,($AI329-Constants!$B$24)*Constants!$B$23,0))</f>
        <v/>
      </c>
      <c r="BR329" s="97" t="str">
        <f aca="false">IF($BX329&lt;&gt;Constants!$B$6,"",IF($AS329,0,Constants!$B$12)+IF($AR329,0,Constants!$B$13)+IF($AH329,0,Constants!$B$14))</f>
        <v/>
      </c>
      <c r="BS329" s="98" t="str">
        <f aca="false">IF($BX329&lt;&gt;Constants!$B$6,"",Constants!$B$16+SUM($BN329:$BR329))</f>
        <v/>
      </c>
      <c r="BT329" s="97" t="str">
        <f aca="false">IF($BX329&lt;&gt;Constants!$B$6,"",$BN329)</f>
        <v/>
      </c>
      <c r="BU329" s="97" t="str">
        <f aca="false">IF($BX329&lt;&gt;Constants!$B$6,"",$BO329)</f>
        <v/>
      </c>
      <c r="BV329" s="99" t="str">
        <f aca="false">IF($BX329&lt;&gt;Constants!$B$6,"",IF($AT329,$AV329,""))</f>
        <v/>
      </c>
      <c r="BW329" s="93" t="str">
        <f aca="false">IF(ISBLANK($C329),"",IF(ISBLANK($D$7),$BW$5,IF(NOT(ISNUMBER($D$7)),$BW$6,"")))</f>
        <v/>
      </c>
      <c r="BX329" s="93" t="str">
        <f aca="false">IF(ISBLANK($C329),"",IF($BA329,Constants!$B$9,IF(COUNTA($E329:$AA329)=0,Constants!$B$8,IF(NOT($AG329),Constants!$B$7,IF(OR($BW329&lt;&gt;"",$BB329,$BM329),Constants!$B$10,Constants!$B$6)))))</f>
        <v/>
      </c>
      <c r="BY329" s="93" t="str">
        <f aca="false">IF(ISBLANK($C329),"",IF($BX329&lt;&gt;Constants!$B$6,$BX329,Constants!$B$11))</f>
        <v/>
      </c>
      <c r="BZ329" s="97" t="str">
        <f aca="false">IF($BX329&lt;&gt;Constants!$B$6,"",IF($BL329="-&gt;",$BS329,$BH329))</f>
        <v/>
      </c>
      <c r="CA329" s="97" t="str">
        <f aca="false">IF($BX329&lt;&gt;Constants!$B$6,"",IF($AF329,0,Constants!$B$15))</f>
        <v/>
      </c>
      <c r="CB329" s="97" t="str">
        <f aca="false">IF($BX329&lt;&gt;Constants!$B$6,"",((Constants!$B$25-$AZ329)-Constants!$B$25)/Constants!$B$26)</f>
        <v/>
      </c>
      <c r="CC329" s="97" t="str">
        <f aca="false">IF(ISBLANK($C329),"",IF($BX329&lt;&gt;Constants!$B$6,$BX329,SUM($BZ329:$CB329)))</f>
        <v/>
      </c>
      <c r="CD329" s="93" t="str">
        <f aca="false">IF(ISBLANK($C329),"",IF($BX329&lt;&gt;Constants!$B$6,$BX329,RANK($CC329,$CC$9:$CC$508,1)))</f>
        <v/>
      </c>
      <c r="CE329" s="97" t="str">
        <f aca="false">IF($BX329&lt;&gt;Constants!$B$6,"",IF($BL329="-&gt;",$BT329,$BI329))</f>
        <v/>
      </c>
      <c r="CF329" s="93" t="str">
        <f aca="false">IF(ISBLANK($C329),"",IF($BX329&lt;&gt;Constants!$B$6,$BX329,IF(ISNUMBER($CE329),RANK($CE329,$CE$9:$CE$508,1),COUNT($CE$9:$CE$508)+1)))</f>
        <v/>
      </c>
      <c r="CG329" s="97" t="str">
        <f aca="false">IF($BX329&lt;&gt;Constants!$B$6,"",IF($BL329="-&gt;",$BU329,$BJ329))</f>
        <v/>
      </c>
      <c r="CH329" s="93" t="str">
        <f aca="false">IF(ISBLANK($C329),"",IF($BX329&lt;&gt;Constants!$B$6,$BX329,IF(ISNUMBER($CG329),RANK($CG329,$CG$9:$CG$508,1),COUNT($CG$9:$CG$508)+1)))</f>
        <v/>
      </c>
      <c r="CI329" s="97" t="str">
        <f aca="false">IF($BX329&lt;&gt;Constants!$B$6,"",IF($BL329="-&gt;",$BV329,$BK329))</f>
        <v/>
      </c>
      <c r="CJ329" s="93" t="str">
        <f aca="false">IF(ISBLANK($C329),"",IF($BX329&lt;&gt;Constants!$B$6,$BX329,IF(ISNUMBER($CI329),RANK($CI329,$CI$9:$CI$508,1),COUNT($CI$9:$CI$508)+1)))</f>
        <v/>
      </c>
      <c r="CK329" s="97" t="str">
        <f aca="false">IF($BX329&lt;&gt;Constants!$B$6,"",$AI329)</f>
        <v/>
      </c>
      <c r="CL329" s="93" t="str">
        <f aca="false">IF(ISBLANK($C329),"",IF($BX329&lt;&gt;Constants!$B$6,$BX329,IF(ISNUMBER($CK329),RANK($CK329,$CK$9:$CK$508,1),COUNT($CK$9:$CK$508)+1)))</f>
        <v/>
      </c>
      <c r="CM329" s="93" t="str">
        <f aca="false">IF(ISBLANK($C329),"",IF($BX329&lt;&gt;Constants!$B$6,$BX329,COUNTIFS($CD$9:$CD$508,"&lt;"&amp;$CD329)+COUNTIFS($CD$9:$CD$508,$CD329,$CF$9:$CF$508,"&lt;"&amp;$CF329)+COUNTIFS($CD$9:$CD$508,$CD329,$CF$9:$CF$508,$CF329,$CH$9:$CH$508,"&lt;"&amp;$CH329)+COUNTIFS($CD$9:$CD$508,$CD329,$CF$9:$CF$508,$CF329,$CH$9:$CH$508,$CH329,$CJ$9:$CJ$508,"&lt;"&amp;$CJ329)+COUNTIFS($CD$9:$CD$508,$CD329,$CF$9:$CF$508,$CF329,$CH$9:$CH$508,$CH329,$CJ$9:$CJ$508,$CJ329,$CL$9:$CL$508,"&lt;"&amp;$CL329)+1))</f>
        <v/>
      </c>
      <c r="CN329" s="93" t="str">
        <f aca="false">IF(ISBLANK($C329),"",IF($BX329&lt;&gt;Constants!$B$6,$BX329,$CD329-$CM329))</f>
        <v/>
      </c>
      <c r="CO329" s="100"/>
      <c r="CP329" s="101"/>
      <c r="CQ329" s="102" t="str">
        <f aca="false">IF(ISBLANK($C329),"",IF($BX329=Constants!$B$10,$BW329,""))</f>
        <v/>
      </c>
      <c r="CR329" s="101" t="str">
        <f aca="false">IF(ISBLANK($C329),"",IF($BX329&lt;&gt;Constants!$B$6,"",IF($BL329="-&gt;",2,1)))</f>
        <v/>
      </c>
      <c r="CS329" s="103" t="str">
        <f aca="false">IF(ISBLANK($C329),"",IF($BX329&lt;&gt;Constants!$B$6,"",IF($BL329="-&gt;",$BN329,$BC329)))</f>
        <v/>
      </c>
      <c r="CT329" s="103" t="str">
        <f aca="false">IF(ISBLANK($C329),"",IF($BX329&lt;&gt;Constants!$B$6,"",IF($BL329="-&gt;",$BO329,$BD329)))</f>
        <v/>
      </c>
      <c r="CU329" s="103" t="str">
        <f aca="false">IF(ISBLANK($C329),"",IF($BX329&lt;&gt;Constants!$B$6,"",IF($BL329="-&gt;",$BP329+$BQ329,$BE329+$BF329)+$CB329))</f>
        <v/>
      </c>
      <c r="CV329" s="103" t="str">
        <f aca="false">IF(ISBLANK($C329),"",IF($BX329&lt;&gt;Constants!$B$6,"",IF($BL329="-&gt;",$BR329,$BG329)+$CA329))</f>
        <v/>
      </c>
      <c r="CW329" s="104" t="str">
        <f aca="false">IF(ISBLANK($C329),"",IF($BX329&lt;&gt;Constants!$B$6,$BX329,$CC329))</f>
        <v/>
      </c>
      <c r="CX329" s="105" t="str">
        <f aca="false">IF(ISBLANK($C329),"",$BY329)</f>
        <v/>
      </c>
      <c r="CY329" s="106" t="str">
        <f aca="false">IF(ISBLANK($C329),"",$CN329)</f>
        <v/>
      </c>
      <c r="CZ329" s="106" t="str">
        <f aca="false">IF(ISBLANK($C329),"",$CM329)</f>
        <v/>
      </c>
      <c r="DA329" s="107" t="str">
        <f aca="false">IF(ISBLANK($C329),"",IFERROR(_xlfn.SWITCH($CZ329,Constants!$B$9,COUNTA($C$9:$C$508)+2,Constants!$B$8,COUNTA($C$9:$C$508)+1,Constants!$B$7,COUNTA($C$9:$C$508)),$CZ329))</f>
        <v/>
      </c>
      <c r="DB329" s="9"/>
      <c r="DC329" s="108" t="n">
        <f aca="false">IF(OR(ISNUMBER($CZ329),$CZ329=Constants!$B$9,$CZ329=Constants!$B$7,$CZ329=Constants!$B$8),1,0)</f>
        <v>0</v>
      </c>
      <c r="DD329" s="108" t="n">
        <v>321</v>
      </c>
      <c r="DE329" s="108" t="str">
        <f aca="false">IF(ISBLANK($C329),"",IF(ISNUMBER($DA329),$DA329+ROW($B329)/1000,""))</f>
        <v/>
      </c>
      <c r="DF329" s="108" t="str">
        <f aca="false">IF(ISNUMBER($DE329),RANK($DE329,$DE$9:$DE$508,1),"")</f>
        <v/>
      </c>
      <c r="DG329" s="108" t="str">
        <f aca="false">IF(ISBLANK($C329),"",$B329)</f>
        <v/>
      </c>
      <c r="DH329" s="108" t="str">
        <f aca="false">IF(ISBLANK($C329),"",$C329)</f>
        <v/>
      </c>
      <c r="DI329" s="108" t="str">
        <f aca="false">IF(ISBLANK($C329),"",$D329)</f>
        <v/>
      </c>
      <c r="DJ329" s="109" t="str">
        <f aca="false">$CX329</f>
        <v/>
      </c>
      <c r="DK329" s="110" t="str">
        <f aca="false">$CW329</f>
        <v/>
      </c>
      <c r="DL329" s="108" t="str">
        <f aca="false">IF(ISBLANK($C329),"",$CZ329)</f>
        <v/>
      </c>
      <c r="DM329" s="111" t="str">
        <f aca="false">IF($DD329&gt;$DC$8,"",VLOOKUP($DD329,$DF$9:$DL$508,7,FALSE()))</f>
        <v/>
      </c>
      <c r="DN329" s="112" t="str">
        <f aca="false">IF($DD329&gt;$DC$8,"",VLOOKUP($DD329,$DF$9:$DL$508,2,FALSE()))</f>
        <v/>
      </c>
      <c r="DO329" s="112" t="str">
        <f aca="false">IF($DD329&gt;$DC$8,"",VLOOKUP($DD329,$DF$9:$DL$508,3,FALSE()))</f>
        <v/>
      </c>
      <c r="DP329" s="112" t="str">
        <f aca="false">IF($DD329&gt;$DC$8,"",VLOOKUP($DD329,$DF$9:$DL$508,4,FALSE()))</f>
        <v/>
      </c>
      <c r="DQ329" s="112" t="str">
        <f aca="false">IF($DD329&gt;$DC$8,"",VLOOKUP($DD329,$DF$9:$DL$508,5,FALSE()))</f>
        <v/>
      </c>
      <c r="DR329" s="113" t="str">
        <f aca="false">IF($DD329&gt;$DC$8,"",VLOOKUP($DD329,$DF$9:$DL$508,6,FALSE()))</f>
        <v/>
      </c>
      <c r="DS329" s="76"/>
    </row>
    <row r="330" customFormat="false" ht="15.75" hidden="false" customHeight="false" outlineLevel="0" collapsed="false">
      <c r="A330" s="9"/>
      <c r="B330" s="160"/>
      <c r="C330" s="161"/>
      <c r="D330" s="162"/>
      <c r="E330" s="180"/>
      <c r="F330" s="164"/>
      <c r="G330" s="165"/>
      <c r="H330" s="165"/>
      <c r="I330" s="181"/>
      <c r="J330" s="168"/>
      <c r="K330" s="128"/>
      <c r="L330" s="129"/>
      <c r="M330" s="130"/>
      <c r="N330" s="168"/>
      <c r="O330" s="168"/>
      <c r="P330" s="180"/>
      <c r="Q330" s="168"/>
      <c r="R330" s="168"/>
      <c r="S330" s="128"/>
      <c r="T330" s="130"/>
      <c r="U330" s="130"/>
      <c r="V330" s="168"/>
      <c r="W330" s="168"/>
      <c r="X330" s="180"/>
      <c r="Y330" s="168"/>
      <c r="Z330" s="169"/>
      <c r="AA330" s="168"/>
      <c r="AB330" s="134"/>
      <c r="AC330" s="135"/>
      <c r="AD330" s="135"/>
      <c r="AE330" s="135"/>
      <c r="AF330" s="135" t="str">
        <f aca="false">IF(ISBLANK($C330),"",IF(E330=Constants!$B$2,TRUE(),IF(E330=Constants!$B$3,FALSE(),TRUE())))</f>
        <v/>
      </c>
      <c r="AG330" s="135" t="str">
        <f aca="false">IF(ISBLANK($C330),"",IF(F330=Constants!$B$2,TRUE(),IF(F330=Constants!$B$3,FALSE(),TRUE())))</f>
        <v/>
      </c>
      <c r="AH330" s="135" t="str">
        <f aca="false">IF(ISBLANK($C330),"",IF(G330=Constants!$B$2,TRUE(),IF(G330=Constants!$B$3,FALSE(),TRUE())))</f>
        <v/>
      </c>
      <c r="AI330" s="135" t="str">
        <f aca="false">IF(ISBLANK($C330),"",IF(AND(ISNUMBER(H330),H330&gt;=0),H330,Constants!$B$24))</f>
        <v/>
      </c>
      <c r="AJ330" s="135" t="str">
        <f aca="false">IF(ISBLANK($C330),"",IF(I330=Constants!$B$2,TRUE(),IF(I330=Constants!$B$3,FALSE(),TRUE())))</f>
        <v/>
      </c>
      <c r="AK330" s="135" t="str">
        <f aca="false">IF(ISBLANK($C330),"",IF(J330=Constants!$B$2,TRUE(),IF(J330=Constants!$B$3,FALSE(),TRUE())))</f>
        <v/>
      </c>
      <c r="AL330" s="135" t="str">
        <f aca="false">IF(ISBLANK($C330),"",IF(K330=Constants!$B$4,TRUE(),IF(K330=Constants!$B$5,FALSE(),COUNTA(L330:P330)&gt;0)))</f>
        <v/>
      </c>
      <c r="AM330" s="136" t="str">
        <f aca="false">IF(ISBLANK($C330),"",IF(ISNUMBER(L330),IF(L330&gt;=0,L330,""),""))</f>
        <v/>
      </c>
      <c r="AN330" s="137" t="str">
        <f aca="false">IF(ISBLANK($C330),"",IF(ISNUMBER(M330),IF(M330&gt;=0,M330,""),""))</f>
        <v/>
      </c>
      <c r="AO330" s="137" t="str">
        <f aca="false">IF(ISBLANK($C330),"",IF(N330=Constants!$B$2,TRUE(),IF(N330=Constants!$B$3,FALSE(),TRUE())))</f>
        <v/>
      </c>
      <c r="AP330" s="135" t="str">
        <f aca="false">IF(ISBLANK($C330),"",IF(ISNUMBER(O330),IF(O330&gt;=0,O330,""),""))</f>
        <v/>
      </c>
      <c r="AQ330" s="135" t="str">
        <f aca="false">IF(ISBLANK($C330),"",IF(P330=Constants!$B$2,TRUE(),IF(P330=Constants!$B$3,FALSE(),FALSE())))</f>
        <v/>
      </c>
      <c r="AR330" s="135" t="str">
        <f aca="false">IF(ISBLANK($C330),"",IF(Q330=Constants!$B$2,TRUE(),IF(Q330=Constants!$B$3,FALSE(),TRUE())))</f>
        <v/>
      </c>
      <c r="AS330" s="135" t="str">
        <f aca="false">IF(ISBLANK($C330),"",IF(R330=Constants!$B$2,TRUE(),IF(R330=Constants!$B$3,FALSE(),TRUE())))</f>
        <v/>
      </c>
      <c r="AT330" s="135" t="str">
        <f aca="false">IF(ISBLANK($C330),"",IF(S330=Constants!$B$4,TRUE(),IF(S330=Constants!$B$5,FALSE(),COUNTA(T330:X330)&gt;0)))</f>
        <v/>
      </c>
      <c r="AU330" s="136" t="str">
        <f aca="false">IF(ISBLANK($C330),"",IF(ISNUMBER(T330),IF(T330&gt;=0,T330,""),""))</f>
        <v/>
      </c>
      <c r="AV330" s="137" t="str">
        <f aca="false">IF(ISBLANK($C330),"",IF(ISNUMBER(U330),IF(U330&gt;=0,U330,""),""))</f>
        <v/>
      </c>
      <c r="AW330" s="137" t="str">
        <f aca="false">IF(ISBLANK($C330),"",IF(V330=Constants!$B$2,TRUE(),IF(V330=Constants!$B$3,FALSE(),TRUE())))</f>
        <v/>
      </c>
      <c r="AX330" s="135" t="str">
        <f aca="false">IF(ISBLANK($C330),"",IF(ISNUMBER(W330),IF(W330&gt;=0,W330,""),""))</f>
        <v/>
      </c>
      <c r="AY330" s="135" t="str">
        <f aca="false">IF(ISBLANK($C330),"",IF(X330=Constants!$B$2,TRUE(),IF(X330=Constants!$B$3,FALSE(),FALSE())))</f>
        <v/>
      </c>
      <c r="AZ330" s="135" t="str">
        <f aca="false">IF(ISBLANK($C330),"",MIN(Constants!$B$25,MAX(0,IF(ISNUMBER(Y330),Y330*60,0)+IF(ISNUMBER(Z330),Z330,0))))</f>
        <v/>
      </c>
      <c r="BA330" s="135" t="str">
        <f aca="false">IF(ISBLANK($C330),"",IF(AA330=Constants!$B$2,TRUE(),IF(AA330=Constants!$B$3,FALSE(),FALSE())))</f>
        <v/>
      </c>
      <c r="BB330" s="134" t="str">
        <f aca="false">IF(ISBLANK($C330),"",AND($AL330,OR($AM330="",$AN330="",AND($AO330,$AP330=""))))</f>
        <v/>
      </c>
      <c r="BC330" s="137" t="str">
        <f aca="false">IF($BX330&lt;&gt;Constants!$B$6,"",IF($AL330,Constants!$B$17*$AN330+Constants!$B$18*IF($AO330,$AP330,Constants!$B$19),Constants!$B$20))</f>
        <v/>
      </c>
      <c r="BD330" s="138" t="str">
        <f aca="false">IF($BX330&lt;&gt;Constants!$B$6,"",Constants!$B$21*ABS($AD$9-IF($AL330,$AM330,0)))</f>
        <v/>
      </c>
      <c r="BE330" s="138" t="str">
        <f aca="false">IF($BX330&lt;&gt;Constants!$B$6,"",IF(AND($AL330,$AQ330,$AO330),Constants!$B$22,0))</f>
        <v/>
      </c>
      <c r="BF330" s="138" t="str">
        <f aca="false">IF($BX330&lt;&gt;Constants!$B$6,"",IF($AL330,($AI330-Constants!$B$24)*Constants!$B$23,0))</f>
        <v/>
      </c>
      <c r="BG330" s="138" t="str">
        <f aca="false">IF($BX330&lt;&gt;Constants!$B$6,"",IF($AK330,0,Constants!$B$12)+IF($AJ330,0,Constants!$B$13)+IF($AH330,0,Constants!$B$14))</f>
        <v/>
      </c>
      <c r="BH330" s="139" t="str">
        <f aca="false">IF($BX330&lt;&gt;Constants!$B$6,"",Constants!$B$16+SUM($BC330:$BG330))</f>
        <v/>
      </c>
      <c r="BI330" s="138" t="str">
        <f aca="false">IF($BX330&lt;&gt;Constants!$B$6,"",$BC330)</f>
        <v/>
      </c>
      <c r="BJ330" s="138" t="str">
        <f aca="false">IF($BX330&lt;&gt;Constants!$B$6,"",$BD330)</f>
        <v/>
      </c>
      <c r="BK330" s="140" t="str">
        <f aca="false">IF($BX330&lt;&gt;Constants!$B$6,"",IF($AL330,$AN330,""))</f>
        <v/>
      </c>
      <c r="BL330" s="135" t="str">
        <f aca="false">IF($BX330&lt;&gt;Constants!$B$6,"",IF(OR($BS330&lt;$BH330,AND($BS330=$BH330,OR($BT330&lt;$BI330,AND($BT330=$BI330,OR($BU330&lt;$BJ330,AND($BU330=$BJ330,AND(ISNUMBER($BV330),OR(NOT(ISNUMBER($BK330)),$BV330&lt;$BK330)))))))),"-&gt;","&lt;-"))</f>
        <v/>
      </c>
      <c r="BM330" s="134" t="str">
        <f aca="false">IF(ISBLANK($C330),"",AND($AT330,OR($AU330="",$AV330="",AND($AW330,$AX330=""))))</f>
        <v/>
      </c>
      <c r="BN330" s="137" t="str">
        <f aca="false">IF($BX330&lt;&gt;Constants!$B$6,"",IF($AT330,Constants!$B$17*$AV330+Constants!$B$18*IF($AW330,$AX330,Constants!$B$19),Constants!$B$20))</f>
        <v/>
      </c>
      <c r="BO330" s="138" t="str">
        <f aca="false">IF($BX330&lt;&gt;Constants!$B$6,"",Constants!$B$21*ABS($AD$9-IF($AT330,$AU330,0)))</f>
        <v/>
      </c>
      <c r="BP330" s="138" t="str">
        <f aca="false">IF($BX330&lt;&gt;Constants!$B$6,"",IF(AND($AT330,$AY330,$AW330),Constants!$B$22,0))</f>
        <v/>
      </c>
      <c r="BQ330" s="138" t="str">
        <f aca="false">IF($BX330&lt;&gt;Constants!$B$6,"",IF($AT330,($AI330-Constants!$B$24)*Constants!$B$23,0))</f>
        <v/>
      </c>
      <c r="BR330" s="138" t="str">
        <f aca="false">IF($BX330&lt;&gt;Constants!$B$6,"",IF($AS330,0,Constants!$B$12)+IF($AR330,0,Constants!$B$13)+IF($AH330,0,Constants!$B$14))</f>
        <v/>
      </c>
      <c r="BS330" s="139" t="str">
        <f aca="false">IF($BX330&lt;&gt;Constants!$B$6,"",Constants!$B$16+SUM($BN330:$BR330))</f>
        <v/>
      </c>
      <c r="BT330" s="138" t="str">
        <f aca="false">IF($BX330&lt;&gt;Constants!$B$6,"",$BN330)</f>
        <v/>
      </c>
      <c r="BU330" s="138" t="str">
        <f aca="false">IF($BX330&lt;&gt;Constants!$B$6,"",$BO330)</f>
        <v/>
      </c>
      <c r="BV330" s="140" t="str">
        <f aca="false">IF($BX330&lt;&gt;Constants!$B$6,"",IF($AT330,$AV330,""))</f>
        <v/>
      </c>
      <c r="BW330" s="135" t="str">
        <f aca="false">IF(ISBLANK($C330),"",IF(ISBLANK($D$7),$BW$5,IF(NOT(ISNUMBER($D$7)),$BW$6,"")))</f>
        <v/>
      </c>
      <c r="BX330" s="135" t="str">
        <f aca="false">IF(ISBLANK($C330),"",IF($BA330,Constants!$B$9,IF(COUNTA($E330:$AA330)=0,Constants!$B$8,IF(NOT($AG330),Constants!$B$7,IF(OR($BW330&lt;&gt;"",$BB330,$BM330),Constants!$B$10,Constants!$B$6)))))</f>
        <v/>
      </c>
      <c r="BY330" s="135" t="str">
        <f aca="false">IF(ISBLANK($C330),"",IF($BX330&lt;&gt;Constants!$B$6,$BX330,Constants!$B$11))</f>
        <v/>
      </c>
      <c r="BZ330" s="138" t="str">
        <f aca="false">IF($BX330&lt;&gt;Constants!$B$6,"",IF($BL330="-&gt;",$BS330,$BH330))</f>
        <v/>
      </c>
      <c r="CA330" s="138" t="str">
        <f aca="false">IF($BX330&lt;&gt;Constants!$B$6,"",IF($AF330,0,Constants!$B$15))</f>
        <v/>
      </c>
      <c r="CB330" s="138" t="str">
        <f aca="false">IF($BX330&lt;&gt;Constants!$B$6,"",((Constants!$B$25-$AZ330)-Constants!$B$25)/Constants!$B$26)</f>
        <v/>
      </c>
      <c r="CC330" s="138" t="str">
        <f aca="false">IF(ISBLANK($C330),"",IF($BX330&lt;&gt;Constants!$B$6,$BX330,SUM($BZ330:$CB330)))</f>
        <v/>
      </c>
      <c r="CD330" s="135" t="str">
        <f aca="false">IF(ISBLANK($C330),"",IF($BX330&lt;&gt;Constants!$B$6,$BX330,RANK($CC330,$CC$9:$CC$508,1)))</f>
        <v/>
      </c>
      <c r="CE330" s="138" t="str">
        <f aca="false">IF($BX330&lt;&gt;Constants!$B$6,"",IF($BL330="-&gt;",$BT330,$BI330))</f>
        <v/>
      </c>
      <c r="CF330" s="135" t="str">
        <f aca="false">IF(ISBLANK($C330),"",IF($BX330&lt;&gt;Constants!$B$6,$BX330,IF(ISNUMBER($CE330),RANK($CE330,$CE$9:$CE$508,1),COUNT($CE$9:$CE$508)+1)))</f>
        <v/>
      </c>
      <c r="CG330" s="138" t="str">
        <f aca="false">IF($BX330&lt;&gt;Constants!$B$6,"",IF($BL330="-&gt;",$BU330,$BJ330))</f>
        <v/>
      </c>
      <c r="CH330" s="135" t="str">
        <f aca="false">IF(ISBLANK($C330),"",IF($BX330&lt;&gt;Constants!$B$6,$BX330,IF(ISNUMBER($CG330),RANK($CG330,$CG$9:$CG$508,1),COUNT($CG$9:$CG$508)+1)))</f>
        <v/>
      </c>
      <c r="CI330" s="138" t="str">
        <f aca="false">IF($BX330&lt;&gt;Constants!$B$6,"",IF($BL330="-&gt;",$BV330,$BK330))</f>
        <v/>
      </c>
      <c r="CJ330" s="135" t="str">
        <f aca="false">IF(ISBLANK($C330),"",IF($BX330&lt;&gt;Constants!$B$6,$BX330,IF(ISNUMBER($CI330),RANK($CI330,$CI$9:$CI$508,1),COUNT($CI$9:$CI$508)+1)))</f>
        <v/>
      </c>
      <c r="CK330" s="138" t="str">
        <f aca="false">IF($BX330&lt;&gt;Constants!$B$6,"",$AI330)</f>
        <v/>
      </c>
      <c r="CL330" s="135" t="str">
        <f aca="false">IF(ISBLANK($C330),"",IF($BX330&lt;&gt;Constants!$B$6,$BX330,IF(ISNUMBER($CK330),RANK($CK330,$CK$9:$CK$508,1),COUNT($CK$9:$CK$508)+1)))</f>
        <v/>
      </c>
      <c r="CM330" s="135" t="str">
        <f aca="false">IF(ISBLANK($C330),"",IF($BX330&lt;&gt;Constants!$B$6,$BX330,COUNTIFS($CD$9:$CD$508,"&lt;"&amp;$CD330)+COUNTIFS($CD$9:$CD$508,$CD330,$CF$9:$CF$508,"&lt;"&amp;$CF330)+COUNTIFS($CD$9:$CD$508,$CD330,$CF$9:$CF$508,$CF330,$CH$9:$CH$508,"&lt;"&amp;$CH330)+COUNTIFS($CD$9:$CD$508,$CD330,$CF$9:$CF$508,$CF330,$CH$9:$CH$508,$CH330,$CJ$9:$CJ$508,"&lt;"&amp;$CJ330)+COUNTIFS($CD$9:$CD$508,$CD330,$CF$9:$CF$508,$CF330,$CH$9:$CH$508,$CH330,$CJ$9:$CJ$508,$CJ330,$CL$9:$CL$508,"&lt;"&amp;$CL330)+1))</f>
        <v/>
      </c>
      <c r="CN330" s="135" t="str">
        <f aca="false">IF(ISBLANK($C330),"",IF($BX330&lt;&gt;Constants!$B$6,$BX330,$CD330-$CM330))</f>
        <v/>
      </c>
      <c r="CO330" s="141"/>
      <c r="CP330" s="142"/>
      <c r="CQ330" s="143" t="str">
        <f aca="false">IF(ISBLANK($C330),"",IF($BX330=Constants!$B$10,$BW330,""))</f>
        <v/>
      </c>
      <c r="CR330" s="142" t="str">
        <f aca="false">IF(ISBLANK($C330),"",IF($BX330&lt;&gt;Constants!$B$6,"",IF($BL330="-&gt;",2,1)))</f>
        <v/>
      </c>
      <c r="CS330" s="144" t="str">
        <f aca="false">IF(ISBLANK($C330),"",IF($BX330&lt;&gt;Constants!$B$6,"",IF($BL330="-&gt;",$BN330,$BC330)))</f>
        <v/>
      </c>
      <c r="CT330" s="144" t="str">
        <f aca="false">IF(ISBLANK($C330),"",IF($BX330&lt;&gt;Constants!$B$6,"",IF($BL330="-&gt;",$BO330,$BD330)))</f>
        <v/>
      </c>
      <c r="CU330" s="144" t="str">
        <f aca="false">IF(ISBLANK($C330),"",IF($BX330&lt;&gt;Constants!$B$6,"",IF($BL330="-&gt;",$BP330+$BQ330,$BE330+$BF330)+$CB330))</f>
        <v/>
      </c>
      <c r="CV330" s="144" t="str">
        <f aca="false">IF(ISBLANK($C330),"",IF($BX330&lt;&gt;Constants!$B$6,"",IF($BL330="-&gt;",$BR330,$BG330)+$CA330))</f>
        <v/>
      </c>
      <c r="CW330" s="145" t="str">
        <f aca="false">IF(ISBLANK($C330),"",IF($BX330&lt;&gt;Constants!$B$6,$BX330,$CC330))</f>
        <v/>
      </c>
      <c r="CX330" s="146" t="str">
        <f aca="false">IF(ISBLANK($C330),"",$BY330)</f>
        <v/>
      </c>
      <c r="CY330" s="147" t="str">
        <f aca="false">IF(ISBLANK($C330),"",$CN330)</f>
        <v/>
      </c>
      <c r="CZ330" s="147" t="str">
        <f aca="false">IF(ISBLANK($C330),"",$CM330)</f>
        <v/>
      </c>
      <c r="DA330" s="148" t="str">
        <f aca="false">IF(ISBLANK($C330),"",IFERROR(_xlfn.SWITCH($CZ330,Constants!$B$9,COUNTA($C$9:$C$508)+2,Constants!$B$8,COUNTA($C$9:$C$508)+1,Constants!$B$7,COUNTA($C$9:$C$508)),$CZ330))</f>
        <v/>
      </c>
      <c r="DB330" s="9"/>
      <c r="DC330" s="149" t="n">
        <f aca="false">IF(OR(ISNUMBER($CZ330),$CZ330=Constants!$B$9,$CZ330=Constants!$B$7,$CZ330=Constants!$B$8),1,0)</f>
        <v>0</v>
      </c>
      <c r="DD330" s="149" t="n">
        <v>322</v>
      </c>
      <c r="DE330" s="149" t="str">
        <f aca="false">IF(ISBLANK($C330),"",IF(ISNUMBER($DA330),$DA330+ROW($B330)/1000,""))</f>
        <v/>
      </c>
      <c r="DF330" s="149" t="str">
        <f aca="false">IF(ISNUMBER($DE330),RANK($DE330,$DE$9:$DE$508,1),"")</f>
        <v/>
      </c>
      <c r="DG330" s="149" t="str">
        <f aca="false">IF(ISBLANK($C330),"",$B330)</f>
        <v/>
      </c>
      <c r="DH330" s="149" t="str">
        <f aca="false">IF(ISBLANK($C330),"",$C330)</f>
        <v/>
      </c>
      <c r="DI330" s="149" t="str">
        <f aca="false">IF(ISBLANK($C330),"",$D330)</f>
        <v/>
      </c>
      <c r="DJ330" s="150" t="str">
        <f aca="false">$CX330</f>
        <v/>
      </c>
      <c r="DK330" s="151" t="str">
        <f aca="false">$CW330</f>
        <v/>
      </c>
      <c r="DL330" s="149" t="str">
        <f aca="false">IF(ISBLANK($C330),"",$CZ330)</f>
        <v/>
      </c>
      <c r="DM330" s="152" t="str">
        <f aca="false">IF($DD330&gt;$DC$8,"",VLOOKUP($DD330,$DF$9:$DL$508,7,FALSE()))</f>
        <v/>
      </c>
      <c r="DN330" s="153" t="str">
        <f aca="false">IF($DD330&gt;$DC$8,"",VLOOKUP($DD330,$DF$9:$DL$508,2,FALSE()))</f>
        <v/>
      </c>
      <c r="DO330" s="153" t="str">
        <f aca="false">IF($DD330&gt;$DC$8,"",VLOOKUP($DD330,$DF$9:$DL$508,3,FALSE()))</f>
        <v/>
      </c>
      <c r="DP330" s="153" t="str">
        <f aca="false">IF($DD330&gt;$DC$8,"",VLOOKUP($DD330,$DF$9:$DL$508,4,FALSE()))</f>
        <v/>
      </c>
      <c r="DQ330" s="153" t="str">
        <f aca="false">IF($DD330&gt;$DC$8,"",VLOOKUP($DD330,$DF$9:$DL$508,5,FALSE()))</f>
        <v/>
      </c>
      <c r="DR330" s="154" t="str">
        <f aca="false">IF($DD330&gt;$DC$8,"",VLOOKUP($DD330,$DF$9:$DL$508,6,FALSE()))</f>
        <v/>
      </c>
      <c r="DS330" s="76"/>
    </row>
    <row r="331" customFormat="false" ht="15.75" hidden="false" customHeight="false" outlineLevel="0" collapsed="false">
      <c r="A331" s="9"/>
      <c r="B331" s="160"/>
      <c r="C331" s="161"/>
      <c r="D331" s="162"/>
      <c r="E331" s="180"/>
      <c r="F331" s="164"/>
      <c r="G331" s="165"/>
      <c r="H331" s="165"/>
      <c r="I331" s="181"/>
      <c r="J331" s="168"/>
      <c r="K331" s="128"/>
      <c r="L331" s="129"/>
      <c r="M331" s="130"/>
      <c r="N331" s="168"/>
      <c r="O331" s="168"/>
      <c r="P331" s="180"/>
      <c r="Q331" s="168"/>
      <c r="R331" s="168"/>
      <c r="S331" s="128"/>
      <c r="T331" s="130"/>
      <c r="U331" s="130"/>
      <c r="V331" s="168"/>
      <c r="W331" s="168"/>
      <c r="X331" s="180"/>
      <c r="Y331" s="168"/>
      <c r="Z331" s="169"/>
      <c r="AA331" s="168"/>
      <c r="AB331" s="134"/>
      <c r="AC331" s="135"/>
      <c r="AD331" s="135"/>
      <c r="AE331" s="135"/>
      <c r="AF331" s="135" t="str">
        <f aca="false">IF(ISBLANK($C331),"",IF(E331=Constants!$B$2,TRUE(),IF(E331=Constants!$B$3,FALSE(),TRUE())))</f>
        <v/>
      </c>
      <c r="AG331" s="135" t="str">
        <f aca="false">IF(ISBLANK($C331),"",IF(F331=Constants!$B$2,TRUE(),IF(F331=Constants!$B$3,FALSE(),TRUE())))</f>
        <v/>
      </c>
      <c r="AH331" s="135" t="str">
        <f aca="false">IF(ISBLANK($C331),"",IF(G331=Constants!$B$2,TRUE(),IF(G331=Constants!$B$3,FALSE(),TRUE())))</f>
        <v/>
      </c>
      <c r="AI331" s="135" t="str">
        <f aca="false">IF(ISBLANK($C331),"",IF(AND(ISNUMBER(H331),H331&gt;=0),H331,Constants!$B$24))</f>
        <v/>
      </c>
      <c r="AJ331" s="135" t="str">
        <f aca="false">IF(ISBLANK($C331),"",IF(I331=Constants!$B$2,TRUE(),IF(I331=Constants!$B$3,FALSE(),TRUE())))</f>
        <v/>
      </c>
      <c r="AK331" s="135" t="str">
        <f aca="false">IF(ISBLANK($C331),"",IF(J331=Constants!$B$2,TRUE(),IF(J331=Constants!$B$3,FALSE(),TRUE())))</f>
        <v/>
      </c>
      <c r="AL331" s="135" t="str">
        <f aca="false">IF(ISBLANK($C331),"",IF(K331=Constants!$B$4,TRUE(),IF(K331=Constants!$B$5,FALSE(),COUNTA(L331:P331)&gt;0)))</f>
        <v/>
      </c>
      <c r="AM331" s="136" t="str">
        <f aca="false">IF(ISBLANK($C331),"",IF(ISNUMBER(L331),IF(L331&gt;=0,L331,""),""))</f>
        <v/>
      </c>
      <c r="AN331" s="137" t="str">
        <f aca="false">IF(ISBLANK($C331),"",IF(ISNUMBER(M331),IF(M331&gt;=0,M331,""),""))</f>
        <v/>
      </c>
      <c r="AO331" s="137" t="str">
        <f aca="false">IF(ISBLANK($C331),"",IF(N331=Constants!$B$2,TRUE(),IF(N331=Constants!$B$3,FALSE(),TRUE())))</f>
        <v/>
      </c>
      <c r="AP331" s="135" t="str">
        <f aca="false">IF(ISBLANK($C331),"",IF(ISNUMBER(O331),IF(O331&gt;=0,O331,""),""))</f>
        <v/>
      </c>
      <c r="AQ331" s="135" t="str">
        <f aca="false">IF(ISBLANK($C331),"",IF(P331=Constants!$B$2,TRUE(),IF(P331=Constants!$B$3,FALSE(),FALSE())))</f>
        <v/>
      </c>
      <c r="AR331" s="135" t="str">
        <f aca="false">IF(ISBLANK($C331),"",IF(Q331=Constants!$B$2,TRUE(),IF(Q331=Constants!$B$3,FALSE(),TRUE())))</f>
        <v/>
      </c>
      <c r="AS331" s="135" t="str">
        <f aca="false">IF(ISBLANK($C331),"",IF(R331=Constants!$B$2,TRUE(),IF(R331=Constants!$B$3,FALSE(),TRUE())))</f>
        <v/>
      </c>
      <c r="AT331" s="135" t="str">
        <f aca="false">IF(ISBLANK($C331),"",IF(S331=Constants!$B$4,TRUE(),IF(S331=Constants!$B$5,FALSE(),COUNTA(T331:X331)&gt;0)))</f>
        <v/>
      </c>
      <c r="AU331" s="136" t="str">
        <f aca="false">IF(ISBLANK($C331),"",IF(ISNUMBER(T331),IF(T331&gt;=0,T331,""),""))</f>
        <v/>
      </c>
      <c r="AV331" s="137" t="str">
        <f aca="false">IF(ISBLANK($C331),"",IF(ISNUMBER(U331),IF(U331&gt;=0,U331,""),""))</f>
        <v/>
      </c>
      <c r="AW331" s="137" t="str">
        <f aca="false">IF(ISBLANK($C331),"",IF(V331=Constants!$B$2,TRUE(),IF(V331=Constants!$B$3,FALSE(),TRUE())))</f>
        <v/>
      </c>
      <c r="AX331" s="135" t="str">
        <f aca="false">IF(ISBLANK($C331),"",IF(ISNUMBER(W331),IF(W331&gt;=0,W331,""),""))</f>
        <v/>
      </c>
      <c r="AY331" s="135" t="str">
        <f aca="false">IF(ISBLANK($C331),"",IF(X331=Constants!$B$2,TRUE(),IF(X331=Constants!$B$3,FALSE(),FALSE())))</f>
        <v/>
      </c>
      <c r="AZ331" s="135" t="str">
        <f aca="false">IF(ISBLANK($C331),"",MIN(Constants!$B$25,MAX(0,IF(ISNUMBER(Y331),Y331*60,0)+IF(ISNUMBER(Z331),Z331,0))))</f>
        <v/>
      </c>
      <c r="BA331" s="135" t="str">
        <f aca="false">IF(ISBLANK($C331),"",IF(AA331=Constants!$B$2,TRUE(),IF(AA331=Constants!$B$3,FALSE(),FALSE())))</f>
        <v/>
      </c>
      <c r="BB331" s="134" t="str">
        <f aca="false">IF(ISBLANK($C331),"",AND($AL331,OR($AM331="",$AN331="",AND($AO331,$AP331=""))))</f>
        <v/>
      </c>
      <c r="BC331" s="137" t="str">
        <f aca="false">IF($BX331&lt;&gt;Constants!$B$6,"",IF($AL331,Constants!$B$17*$AN331+Constants!$B$18*IF($AO331,$AP331,Constants!$B$19),Constants!$B$20))</f>
        <v/>
      </c>
      <c r="BD331" s="138" t="str">
        <f aca="false">IF($BX331&lt;&gt;Constants!$B$6,"",Constants!$B$21*ABS($AD$9-IF($AL331,$AM331,0)))</f>
        <v/>
      </c>
      <c r="BE331" s="138" t="str">
        <f aca="false">IF($BX331&lt;&gt;Constants!$B$6,"",IF(AND($AL331,$AQ331,$AO331),Constants!$B$22,0))</f>
        <v/>
      </c>
      <c r="BF331" s="138" t="str">
        <f aca="false">IF($BX331&lt;&gt;Constants!$B$6,"",IF($AL331,($AI331-Constants!$B$24)*Constants!$B$23,0))</f>
        <v/>
      </c>
      <c r="BG331" s="138" t="str">
        <f aca="false">IF($BX331&lt;&gt;Constants!$B$6,"",IF($AK331,0,Constants!$B$12)+IF($AJ331,0,Constants!$B$13)+IF($AH331,0,Constants!$B$14))</f>
        <v/>
      </c>
      <c r="BH331" s="139" t="str">
        <f aca="false">IF($BX331&lt;&gt;Constants!$B$6,"",Constants!$B$16+SUM($BC331:$BG331))</f>
        <v/>
      </c>
      <c r="BI331" s="138" t="str">
        <f aca="false">IF($BX331&lt;&gt;Constants!$B$6,"",$BC331)</f>
        <v/>
      </c>
      <c r="BJ331" s="138" t="str">
        <f aca="false">IF($BX331&lt;&gt;Constants!$B$6,"",$BD331)</f>
        <v/>
      </c>
      <c r="BK331" s="140" t="str">
        <f aca="false">IF($BX331&lt;&gt;Constants!$B$6,"",IF($AL331,$AN331,""))</f>
        <v/>
      </c>
      <c r="BL331" s="135" t="str">
        <f aca="false">IF($BX331&lt;&gt;Constants!$B$6,"",IF(OR($BS331&lt;$BH331,AND($BS331=$BH331,OR($BT331&lt;$BI331,AND($BT331=$BI331,OR($BU331&lt;$BJ331,AND($BU331=$BJ331,AND(ISNUMBER($BV331),OR(NOT(ISNUMBER($BK331)),$BV331&lt;$BK331)))))))),"-&gt;","&lt;-"))</f>
        <v/>
      </c>
      <c r="BM331" s="134" t="str">
        <f aca="false">IF(ISBLANK($C331),"",AND($AT331,OR($AU331="",$AV331="",AND($AW331,$AX331=""))))</f>
        <v/>
      </c>
      <c r="BN331" s="137" t="str">
        <f aca="false">IF($BX331&lt;&gt;Constants!$B$6,"",IF($AT331,Constants!$B$17*$AV331+Constants!$B$18*IF($AW331,$AX331,Constants!$B$19),Constants!$B$20))</f>
        <v/>
      </c>
      <c r="BO331" s="138" t="str">
        <f aca="false">IF($BX331&lt;&gt;Constants!$B$6,"",Constants!$B$21*ABS($AD$9-IF($AT331,$AU331,0)))</f>
        <v/>
      </c>
      <c r="BP331" s="138" t="str">
        <f aca="false">IF($BX331&lt;&gt;Constants!$B$6,"",IF(AND($AT331,$AY331,$AW331),Constants!$B$22,0))</f>
        <v/>
      </c>
      <c r="BQ331" s="138" t="str">
        <f aca="false">IF($BX331&lt;&gt;Constants!$B$6,"",IF($AT331,($AI331-Constants!$B$24)*Constants!$B$23,0))</f>
        <v/>
      </c>
      <c r="BR331" s="138" t="str">
        <f aca="false">IF($BX331&lt;&gt;Constants!$B$6,"",IF($AS331,0,Constants!$B$12)+IF($AR331,0,Constants!$B$13)+IF($AH331,0,Constants!$B$14))</f>
        <v/>
      </c>
      <c r="BS331" s="139" t="str">
        <f aca="false">IF($BX331&lt;&gt;Constants!$B$6,"",Constants!$B$16+SUM($BN331:$BR331))</f>
        <v/>
      </c>
      <c r="BT331" s="138" t="str">
        <f aca="false">IF($BX331&lt;&gt;Constants!$B$6,"",$BN331)</f>
        <v/>
      </c>
      <c r="BU331" s="138" t="str">
        <f aca="false">IF($BX331&lt;&gt;Constants!$B$6,"",$BO331)</f>
        <v/>
      </c>
      <c r="BV331" s="140" t="str">
        <f aca="false">IF($BX331&lt;&gt;Constants!$B$6,"",IF($AT331,$AV331,""))</f>
        <v/>
      </c>
      <c r="BW331" s="135" t="str">
        <f aca="false">IF(ISBLANK($C331),"",IF(ISBLANK($D$7),$BW$5,IF(NOT(ISNUMBER($D$7)),$BW$6,"")))</f>
        <v/>
      </c>
      <c r="BX331" s="135" t="str">
        <f aca="false">IF(ISBLANK($C331),"",IF($BA331,Constants!$B$9,IF(COUNTA($E331:$AA331)=0,Constants!$B$8,IF(NOT($AG331),Constants!$B$7,IF(OR($BW331&lt;&gt;"",$BB331,$BM331),Constants!$B$10,Constants!$B$6)))))</f>
        <v/>
      </c>
      <c r="BY331" s="135" t="str">
        <f aca="false">IF(ISBLANK($C331),"",IF($BX331&lt;&gt;Constants!$B$6,$BX331,Constants!$B$11))</f>
        <v/>
      </c>
      <c r="BZ331" s="138" t="str">
        <f aca="false">IF($BX331&lt;&gt;Constants!$B$6,"",IF($BL331="-&gt;",$BS331,$BH331))</f>
        <v/>
      </c>
      <c r="CA331" s="138" t="str">
        <f aca="false">IF($BX331&lt;&gt;Constants!$B$6,"",IF($AF331,0,Constants!$B$15))</f>
        <v/>
      </c>
      <c r="CB331" s="138" t="str">
        <f aca="false">IF($BX331&lt;&gt;Constants!$B$6,"",((Constants!$B$25-$AZ331)-Constants!$B$25)/Constants!$B$26)</f>
        <v/>
      </c>
      <c r="CC331" s="138" t="str">
        <f aca="false">IF(ISBLANK($C331),"",IF($BX331&lt;&gt;Constants!$B$6,$BX331,SUM($BZ331:$CB331)))</f>
        <v/>
      </c>
      <c r="CD331" s="135" t="str">
        <f aca="false">IF(ISBLANK($C331),"",IF($BX331&lt;&gt;Constants!$B$6,$BX331,RANK($CC331,$CC$9:$CC$508,1)))</f>
        <v/>
      </c>
      <c r="CE331" s="138" t="str">
        <f aca="false">IF($BX331&lt;&gt;Constants!$B$6,"",IF($BL331="-&gt;",$BT331,$BI331))</f>
        <v/>
      </c>
      <c r="CF331" s="135" t="str">
        <f aca="false">IF(ISBLANK($C331),"",IF($BX331&lt;&gt;Constants!$B$6,$BX331,IF(ISNUMBER($CE331),RANK($CE331,$CE$9:$CE$508,1),COUNT($CE$9:$CE$508)+1)))</f>
        <v/>
      </c>
      <c r="CG331" s="138" t="str">
        <f aca="false">IF($BX331&lt;&gt;Constants!$B$6,"",IF($BL331="-&gt;",$BU331,$BJ331))</f>
        <v/>
      </c>
      <c r="CH331" s="135" t="str">
        <f aca="false">IF(ISBLANK($C331),"",IF($BX331&lt;&gt;Constants!$B$6,$BX331,IF(ISNUMBER($CG331),RANK($CG331,$CG$9:$CG$508,1),COUNT($CG$9:$CG$508)+1)))</f>
        <v/>
      </c>
      <c r="CI331" s="138" t="str">
        <f aca="false">IF($BX331&lt;&gt;Constants!$B$6,"",IF($BL331="-&gt;",$BV331,$BK331))</f>
        <v/>
      </c>
      <c r="CJ331" s="135" t="str">
        <f aca="false">IF(ISBLANK($C331),"",IF($BX331&lt;&gt;Constants!$B$6,$BX331,IF(ISNUMBER($CI331),RANK($CI331,$CI$9:$CI$508,1),COUNT($CI$9:$CI$508)+1)))</f>
        <v/>
      </c>
      <c r="CK331" s="138" t="str">
        <f aca="false">IF($BX331&lt;&gt;Constants!$B$6,"",$AI331)</f>
        <v/>
      </c>
      <c r="CL331" s="135" t="str">
        <f aca="false">IF(ISBLANK($C331),"",IF($BX331&lt;&gt;Constants!$B$6,$BX331,IF(ISNUMBER($CK331),RANK($CK331,$CK$9:$CK$508,1),COUNT($CK$9:$CK$508)+1)))</f>
        <v/>
      </c>
      <c r="CM331" s="135" t="str">
        <f aca="false">IF(ISBLANK($C331),"",IF($BX331&lt;&gt;Constants!$B$6,$BX331,COUNTIFS($CD$9:$CD$508,"&lt;"&amp;$CD331)+COUNTIFS($CD$9:$CD$508,$CD331,$CF$9:$CF$508,"&lt;"&amp;$CF331)+COUNTIFS($CD$9:$CD$508,$CD331,$CF$9:$CF$508,$CF331,$CH$9:$CH$508,"&lt;"&amp;$CH331)+COUNTIFS($CD$9:$CD$508,$CD331,$CF$9:$CF$508,$CF331,$CH$9:$CH$508,$CH331,$CJ$9:$CJ$508,"&lt;"&amp;$CJ331)+COUNTIFS($CD$9:$CD$508,$CD331,$CF$9:$CF$508,$CF331,$CH$9:$CH$508,$CH331,$CJ$9:$CJ$508,$CJ331,$CL$9:$CL$508,"&lt;"&amp;$CL331)+1))</f>
        <v/>
      </c>
      <c r="CN331" s="135" t="str">
        <f aca="false">IF(ISBLANK($C331),"",IF($BX331&lt;&gt;Constants!$B$6,$BX331,$CD331-$CM331))</f>
        <v/>
      </c>
      <c r="CO331" s="141"/>
      <c r="CP331" s="142"/>
      <c r="CQ331" s="143" t="str">
        <f aca="false">IF(ISBLANK($C331),"",IF($BX331=Constants!$B$10,$BW331,""))</f>
        <v/>
      </c>
      <c r="CR331" s="142" t="str">
        <f aca="false">IF(ISBLANK($C331),"",IF($BX331&lt;&gt;Constants!$B$6,"",IF($BL331="-&gt;",2,1)))</f>
        <v/>
      </c>
      <c r="CS331" s="144" t="str">
        <f aca="false">IF(ISBLANK($C331),"",IF($BX331&lt;&gt;Constants!$B$6,"",IF($BL331="-&gt;",$BN331,$BC331)))</f>
        <v/>
      </c>
      <c r="CT331" s="144" t="str">
        <f aca="false">IF(ISBLANK($C331),"",IF($BX331&lt;&gt;Constants!$B$6,"",IF($BL331="-&gt;",$BO331,$BD331)))</f>
        <v/>
      </c>
      <c r="CU331" s="144" t="str">
        <f aca="false">IF(ISBLANK($C331),"",IF($BX331&lt;&gt;Constants!$B$6,"",IF($BL331="-&gt;",$BP331+$BQ331,$BE331+$BF331)+$CB331))</f>
        <v/>
      </c>
      <c r="CV331" s="144" t="str">
        <f aca="false">IF(ISBLANK($C331),"",IF($BX331&lt;&gt;Constants!$B$6,"",IF($BL331="-&gt;",$BR331,$BG331)+$CA331))</f>
        <v/>
      </c>
      <c r="CW331" s="145" t="str">
        <f aca="false">IF(ISBLANK($C331),"",IF($BX331&lt;&gt;Constants!$B$6,$BX331,$CC331))</f>
        <v/>
      </c>
      <c r="CX331" s="146" t="str">
        <f aca="false">IF(ISBLANK($C331),"",$BY331)</f>
        <v/>
      </c>
      <c r="CY331" s="147" t="str">
        <f aca="false">IF(ISBLANK($C331),"",$CN331)</f>
        <v/>
      </c>
      <c r="CZ331" s="147" t="str">
        <f aca="false">IF(ISBLANK($C331),"",$CM331)</f>
        <v/>
      </c>
      <c r="DA331" s="148" t="str">
        <f aca="false">IF(ISBLANK($C331),"",IFERROR(_xlfn.SWITCH($CZ331,Constants!$B$9,COUNTA($C$9:$C$508)+2,Constants!$B$8,COUNTA($C$9:$C$508)+1,Constants!$B$7,COUNTA($C$9:$C$508)),$CZ331))</f>
        <v/>
      </c>
      <c r="DB331" s="9"/>
      <c r="DC331" s="149" t="n">
        <f aca="false">IF(OR(ISNUMBER($CZ331),$CZ331=Constants!$B$9,$CZ331=Constants!$B$7,$CZ331=Constants!$B$8),1,0)</f>
        <v>0</v>
      </c>
      <c r="DD331" s="149" t="n">
        <v>323</v>
      </c>
      <c r="DE331" s="149" t="str">
        <f aca="false">IF(ISBLANK($C331),"",IF(ISNUMBER($DA331),$DA331+ROW($B331)/1000,""))</f>
        <v/>
      </c>
      <c r="DF331" s="149" t="str">
        <f aca="false">IF(ISNUMBER($DE331),RANK($DE331,$DE$9:$DE$508,1),"")</f>
        <v/>
      </c>
      <c r="DG331" s="149" t="str">
        <f aca="false">IF(ISBLANK($C331),"",$B331)</f>
        <v/>
      </c>
      <c r="DH331" s="149" t="str">
        <f aca="false">IF(ISBLANK($C331),"",$C331)</f>
        <v/>
      </c>
      <c r="DI331" s="149" t="str">
        <f aca="false">IF(ISBLANK($C331),"",$D331)</f>
        <v/>
      </c>
      <c r="DJ331" s="150" t="str">
        <f aca="false">$CX331</f>
        <v/>
      </c>
      <c r="DK331" s="151" t="str">
        <f aca="false">$CW331</f>
        <v/>
      </c>
      <c r="DL331" s="149" t="str">
        <f aca="false">IF(ISBLANK($C331),"",$CZ331)</f>
        <v/>
      </c>
      <c r="DM331" s="152" t="str">
        <f aca="false">IF($DD331&gt;$DC$8,"",VLOOKUP($DD331,$DF$9:$DL$508,7,FALSE()))</f>
        <v/>
      </c>
      <c r="DN331" s="153" t="str">
        <f aca="false">IF($DD331&gt;$DC$8,"",VLOOKUP($DD331,$DF$9:$DL$508,2,FALSE()))</f>
        <v/>
      </c>
      <c r="DO331" s="153" t="str">
        <f aca="false">IF($DD331&gt;$DC$8,"",VLOOKUP($DD331,$DF$9:$DL$508,3,FALSE()))</f>
        <v/>
      </c>
      <c r="DP331" s="153" t="str">
        <f aca="false">IF($DD331&gt;$DC$8,"",VLOOKUP($DD331,$DF$9:$DL$508,4,FALSE()))</f>
        <v/>
      </c>
      <c r="DQ331" s="153" t="str">
        <f aca="false">IF($DD331&gt;$DC$8,"",VLOOKUP($DD331,$DF$9:$DL$508,5,FALSE()))</f>
        <v/>
      </c>
      <c r="DR331" s="154" t="str">
        <f aca="false">IF($DD331&gt;$DC$8,"",VLOOKUP($DD331,$DF$9:$DL$508,6,FALSE()))</f>
        <v/>
      </c>
      <c r="DS331" s="76"/>
    </row>
    <row r="332" customFormat="false" ht="15.75" hidden="false" customHeight="false" outlineLevel="0" collapsed="false">
      <c r="A332" s="9"/>
      <c r="B332" s="160"/>
      <c r="C332" s="161"/>
      <c r="D332" s="162"/>
      <c r="E332" s="180"/>
      <c r="F332" s="164"/>
      <c r="G332" s="165"/>
      <c r="H332" s="165"/>
      <c r="I332" s="181"/>
      <c r="J332" s="168"/>
      <c r="K332" s="128"/>
      <c r="L332" s="129"/>
      <c r="M332" s="130"/>
      <c r="N332" s="168"/>
      <c r="O332" s="168"/>
      <c r="P332" s="180"/>
      <c r="Q332" s="168"/>
      <c r="R332" s="168"/>
      <c r="S332" s="128"/>
      <c r="T332" s="130"/>
      <c r="U332" s="130"/>
      <c r="V332" s="168"/>
      <c r="W332" s="168"/>
      <c r="X332" s="180"/>
      <c r="Y332" s="168"/>
      <c r="Z332" s="169"/>
      <c r="AA332" s="168"/>
      <c r="AB332" s="134"/>
      <c r="AC332" s="135"/>
      <c r="AD332" s="135"/>
      <c r="AE332" s="135"/>
      <c r="AF332" s="135" t="str">
        <f aca="false">IF(ISBLANK($C332),"",IF(E332=Constants!$B$2,TRUE(),IF(E332=Constants!$B$3,FALSE(),TRUE())))</f>
        <v/>
      </c>
      <c r="AG332" s="135" t="str">
        <f aca="false">IF(ISBLANK($C332),"",IF(F332=Constants!$B$2,TRUE(),IF(F332=Constants!$B$3,FALSE(),TRUE())))</f>
        <v/>
      </c>
      <c r="AH332" s="135" t="str">
        <f aca="false">IF(ISBLANK($C332),"",IF(G332=Constants!$B$2,TRUE(),IF(G332=Constants!$B$3,FALSE(),TRUE())))</f>
        <v/>
      </c>
      <c r="AI332" s="135" t="str">
        <f aca="false">IF(ISBLANK($C332),"",IF(AND(ISNUMBER(H332),H332&gt;=0),H332,Constants!$B$24))</f>
        <v/>
      </c>
      <c r="AJ332" s="135" t="str">
        <f aca="false">IF(ISBLANK($C332),"",IF(I332=Constants!$B$2,TRUE(),IF(I332=Constants!$B$3,FALSE(),TRUE())))</f>
        <v/>
      </c>
      <c r="AK332" s="135" t="str">
        <f aca="false">IF(ISBLANK($C332),"",IF(J332=Constants!$B$2,TRUE(),IF(J332=Constants!$B$3,FALSE(),TRUE())))</f>
        <v/>
      </c>
      <c r="AL332" s="135" t="str">
        <f aca="false">IF(ISBLANK($C332),"",IF(K332=Constants!$B$4,TRUE(),IF(K332=Constants!$B$5,FALSE(),COUNTA(L332:P332)&gt;0)))</f>
        <v/>
      </c>
      <c r="AM332" s="136" t="str">
        <f aca="false">IF(ISBLANK($C332),"",IF(ISNUMBER(L332),IF(L332&gt;=0,L332,""),""))</f>
        <v/>
      </c>
      <c r="AN332" s="137" t="str">
        <f aca="false">IF(ISBLANK($C332),"",IF(ISNUMBER(M332),IF(M332&gt;=0,M332,""),""))</f>
        <v/>
      </c>
      <c r="AO332" s="137" t="str">
        <f aca="false">IF(ISBLANK($C332),"",IF(N332=Constants!$B$2,TRUE(),IF(N332=Constants!$B$3,FALSE(),TRUE())))</f>
        <v/>
      </c>
      <c r="AP332" s="135" t="str">
        <f aca="false">IF(ISBLANK($C332),"",IF(ISNUMBER(O332),IF(O332&gt;=0,O332,""),""))</f>
        <v/>
      </c>
      <c r="AQ332" s="135" t="str">
        <f aca="false">IF(ISBLANK($C332),"",IF(P332=Constants!$B$2,TRUE(),IF(P332=Constants!$B$3,FALSE(),FALSE())))</f>
        <v/>
      </c>
      <c r="AR332" s="135" t="str">
        <f aca="false">IF(ISBLANK($C332),"",IF(Q332=Constants!$B$2,TRUE(),IF(Q332=Constants!$B$3,FALSE(),TRUE())))</f>
        <v/>
      </c>
      <c r="AS332" s="135" t="str">
        <f aca="false">IF(ISBLANK($C332),"",IF(R332=Constants!$B$2,TRUE(),IF(R332=Constants!$B$3,FALSE(),TRUE())))</f>
        <v/>
      </c>
      <c r="AT332" s="135" t="str">
        <f aca="false">IF(ISBLANK($C332),"",IF(S332=Constants!$B$4,TRUE(),IF(S332=Constants!$B$5,FALSE(),COUNTA(T332:X332)&gt;0)))</f>
        <v/>
      </c>
      <c r="AU332" s="136" t="str">
        <f aca="false">IF(ISBLANK($C332),"",IF(ISNUMBER(T332),IF(T332&gt;=0,T332,""),""))</f>
        <v/>
      </c>
      <c r="AV332" s="137" t="str">
        <f aca="false">IF(ISBLANK($C332),"",IF(ISNUMBER(U332),IF(U332&gt;=0,U332,""),""))</f>
        <v/>
      </c>
      <c r="AW332" s="137" t="str">
        <f aca="false">IF(ISBLANK($C332),"",IF(V332=Constants!$B$2,TRUE(),IF(V332=Constants!$B$3,FALSE(),TRUE())))</f>
        <v/>
      </c>
      <c r="AX332" s="135" t="str">
        <f aca="false">IF(ISBLANK($C332),"",IF(ISNUMBER(W332),IF(W332&gt;=0,W332,""),""))</f>
        <v/>
      </c>
      <c r="AY332" s="135" t="str">
        <f aca="false">IF(ISBLANK($C332),"",IF(X332=Constants!$B$2,TRUE(),IF(X332=Constants!$B$3,FALSE(),FALSE())))</f>
        <v/>
      </c>
      <c r="AZ332" s="135" t="str">
        <f aca="false">IF(ISBLANK($C332),"",MIN(Constants!$B$25,MAX(0,IF(ISNUMBER(Y332),Y332*60,0)+IF(ISNUMBER(Z332),Z332,0))))</f>
        <v/>
      </c>
      <c r="BA332" s="135" t="str">
        <f aca="false">IF(ISBLANK($C332),"",IF(AA332=Constants!$B$2,TRUE(),IF(AA332=Constants!$B$3,FALSE(),FALSE())))</f>
        <v/>
      </c>
      <c r="BB332" s="134" t="str">
        <f aca="false">IF(ISBLANK($C332),"",AND($AL332,OR($AM332="",$AN332="",AND($AO332,$AP332=""))))</f>
        <v/>
      </c>
      <c r="BC332" s="137" t="str">
        <f aca="false">IF($BX332&lt;&gt;Constants!$B$6,"",IF($AL332,Constants!$B$17*$AN332+Constants!$B$18*IF($AO332,$AP332,Constants!$B$19),Constants!$B$20))</f>
        <v/>
      </c>
      <c r="BD332" s="138" t="str">
        <f aca="false">IF($BX332&lt;&gt;Constants!$B$6,"",Constants!$B$21*ABS($AD$9-IF($AL332,$AM332,0)))</f>
        <v/>
      </c>
      <c r="BE332" s="138" t="str">
        <f aca="false">IF($BX332&lt;&gt;Constants!$B$6,"",IF(AND($AL332,$AQ332,$AO332),Constants!$B$22,0))</f>
        <v/>
      </c>
      <c r="BF332" s="138" t="str">
        <f aca="false">IF($BX332&lt;&gt;Constants!$B$6,"",IF($AL332,($AI332-Constants!$B$24)*Constants!$B$23,0))</f>
        <v/>
      </c>
      <c r="BG332" s="138" t="str">
        <f aca="false">IF($BX332&lt;&gt;Constants!$B$6,"",IF($AK332,0,Constants!$B$12)+IF($AJ332,0,Constants!$B$13)+IF($AH332,0,Constants!$B$14))</f>
        <v/>
      </c>
      <c r="BH332" s="139" t="str">
        <f aca="false">IF($BX332&lt;&gt;Constants!$B$6,"",Constants!$B$16+SUM($BC332:$BG332))</f>
        <v/>
      </c>
      <c r="BI332" s="138" t="str">
        <f aca="false">IF($BX332&lt;&gt;Constants!$B$6,"",$BC332)</f>
        <v/>
      </c>
      <c r="BJ332" s="138" t="str">
        <f aca="false">IF($BX332&lt;&gt;Constants!$B$6,"",$BD332)</f>
        <v/>
      </c>
      <c r="BK332" s="140" t="str">
        <f aca="false">IF($BX332&lt;&gt;Constants!$B$6,"",IF($AL332,$AN332,""))</f>
        <v/>
      </c>
      <c r="BL332" s="135" t="str">
        <f aca="false">IF($BX332&lt;&gt;Constants!$B$6,"",IF(OR($BS332&lt;$BH332,AND($BS332=$BH332,OR($BT332&lt;$BI332,AND($BT332=$BI332,OR($BU332&lt;$BJ332,AND($BU332=$BJ332,AND(ISNUMBER($BV332),OR(NOT(ISNUMBER($BK332)),$BV332&lt;$BK332)))))))),"-&gt;","&lt;-"))</f>
        <v/>
      </c>
      <c r="BM332" s="134" t="str">
        <f aca="false">IF(ISBLANK($C332),"",AND($AT332,OR($AU332="",$AV332="",AND($AW332,$AX332=""))))</f>
        <v/>
      </c>
      <c r="BN332" s="137" t="str">
        <f aca="false">IF($BX332&lt;&gt;Constants!$B$6,"",IF($AT332,Constants!$B$17*$AV332+Constants!$B$18*IF($AW332,$AX332,Constants!$B$19),Constants!$B$20))</f>
        <v/>
      </c>
      <c r="BO332" s="138" t="str">
        <f aca="false">IF($BX332&lt;&gt;Constants!$B$6,"",Constants!$B$21*ABS($AD$9-IF($AT332,$AU332,0)))</f>
        <v/>
      </c>
      <c r="BP332" s="138" t="str">
        <f aca="false">IF($BX332&lt;&gt;Constants!$B$6,"",IF(AND($AT332,$AY332,$AW332),Constants!$B$22,0))</f>
        <v/>
      </c>
      <c r="BQ332" s="138" t="str">
        <f aca="false">IF($BX332&lt;&gt;Constants!$B$6,"",IF($AT332,($AI332-Constants!$B$24)*Constants!$B$23,0))</f>
        <v/>
      </c>
      <c r="BR332" s="138" t="str">
        <f aca="false">IF($BX332&lt;&gt;Constants!$B$6,"",IF($AS332,0,Constants!$B$12)+IF($AR332,0,Constants!$B$13)+IF($AH332,0,Constants!$B$14))</f>
        <v/>
      </c>
      <c r="BS332" s="139" t="str">
        <f aca="false">IF($BX332&lt;&gt;Constants!$B$6,"",Constants!$B$16+SUM($BN332:$BR332))</f>
        <v/>
      </c>
      <c r="BT332" s="138" t="str">
        <f aca="false">IF($BX332&lt;&gt;Constants!$B$6,"",$BN332)</f>
        <v/>
      </c>
      <c r="BU332" s="138" t="str">
        <f aca="false">IF($BX332&lt;&gt;Constants!$B$6,"",$BO332)</f>
        <v/>
      </c>
      <c r="BV332" s="140" t="str">
        <f aca="false">IF($BX332&lt;&gt;Constants!$B$6,"",IF($AT332,$AV332,""))</f>
        <v/>
      </c>
      <c r="BW332" s="135" t="str">
        <f aca="false">IF(ISBLANK($C332),"",IF(ISBLANK($D$7),$BW$5,IF(NOT(ISNUMBER($D$7)),$BW$6,"")))</f>
        <v/>
      </c>
      <c r="BX332" s="135" t="str">
        <f aca="false">IF(ISBLANK($C332),"",IF($BA332,Constants!$B$9,IF(COUNTA($E332:$AA332)=0,Constants!$B$8,IF(NOT($AG332),Constants!$B$7,IF(OR($BW332&lt;&gt;"",$BB332,$BM332),Constants!$B$10,Constants!$B$6)))))</f>
        <v/>
      </c>
      <c r="BY332" s="135" t="str">
        <f aca="false">IF(ISBLANK($C332),"",IF($BX332&lt;&gt;Constants!$B$6,$BX332,Constants!$B$11))</f>
        <v/>
      </c>
      <c r="BZ332" s="138" t="str">
        <f aca="false">IF($BX332&lt;&gt;Constants!$B$6,"",IF($BL332="-&gt;",$BS332,$BH332))</f>
        <v/>
      </c>
      <c r="CA332" s="138" t="str">
        <f aca="false">IF($BX332&lt;&gt;Constants!$B$6,"",IF($AF332,0,Constants!$B$15))</f>
        <v/>
      </c>
      <c r="CB332" s="138" t="str">
        <f aca="false">IF($BX332&lt;&gt;Constants!$B$6,"",((Constants!$B$25-$AZ332)-Constants!$B$25)/Constants!$B$26)</f>
        <v/>
      </c>
      <c r="CC332" s="138" t="str">
        <f aca="false">IF(ISBLANK($C332),"",IF($BX332&lt;&gt;Constants!$B$6,$BX332,SUM($BZ332:$CB332)))</f>
        <v/>
      </c>
      <c r="CD332" s="135" t="str">
        <f aca="false">IF(ISBLANK($C332),"",IF($BX332&lt;&gt;Constants!$B$6,$BX332,RANK($CC332,$CC$9:$CC$508,1)))</f>
        <v/>
      </c>
      <c r="CE332" s="138" t="str">
        <f aca="false">IF($BX332&lt;&gt;Constants!$B$6,"",IF($BL332="-&gt;",$BT332,$BI332))</f>
        <v/>
      </c>
      <c r="CF332" s="135" t="str">
        <f aca="false">IF(ISBLANK($C332),"",IF($BX332&lt;&gt;Constants!$B$6,$BX332,IF(ISNUMBER($CE332),RANK($CE332,$CE$9:$CE$508,1),COUNT($CE$9:$CE$508)+1)))</f>
        <v/>
      </c>
      <c r="CG332" s="138" t="str">
        <f aca="false">IF($BX332&lt;&gt;Constants!$B$6,"",IF($BL332="-&gt;",$BU332,$BJ332))</f>
        <v/>
      </c>
      <c r="CH332" s="135" t="str">
        <f aca="false">IF(ISBLANK($C332),"",IF($BX332&lt;&gt;Constants!$B$6,$BX332,IF(ISNUMBER($CG332),RANK($CG332,$CG$9:$CG$508,1),COUNT($CG$9:$CG$508)+1)))</f>
        <v/>
      </c>
      <c r="CI332" s="138" t="str">
        <f aca="false">IF($BX332&lt;&gt;Constants!$B$6,"",IF($BL332="-&gt;",$BV332,$BK332))</f>
        <v/>
      </c>
      <c r="CJ332" s="135" t="str">
        <f aca="false">IF(ISBLANK($C332),"",IF($BX332&lt;&gt;Constants!$B$6,$BX332,IF(ISNUMBER($CI332),RANK($CI332,$CI$9:$CI$508,1),COUNT($CI$9:$CI$508)+1)))</f>
        <v/>
      </c>
      <c r="CK332" s="138" t="str">
        <f aca="false">IF($BX332&lt;&gt;Constants!$B$6,"",$AI332)</f>
        <v/>
      </c>
      <c r="CL332" s="135" t="str">
        <f aca="false">IF(ISBLANK($C332),"",IF($BX332&lt;&gt;Constants!$B$6,$BX332,IF(ISNUMBER($CK332),RANK($CK332,$CK$9:$CK$508,1),COUNT($CK$9:$CK$508)+1)))</f>
        <v/>
      </c>
      <c r="CM332" s="135" t="str">
        <f aca="false">IF(ISBLANK($C332),"",IF($BX332&lt;&gt;Constants!$B$6,$BX332,COUNTIFS($CD$9:$CD$508,"&lt;"&amp;$CD332)+COUNTIFS($CD$9:$CD$508,$CD332,$CF$9:$CF$508,"&lt;"&amp;$CF332)+COUNTIFS($CD$9:$CD$508,$CD332,$CF$9:$CF$508,$CF332,$CH$9:$CH$508,"&lt;"&amp;$CH332)+COUNTIFS($CD$9:$CD$508,$CD332,$CF$9:$CF$508,$CF332,$CH$9:$CH$508,$CH332,$CJ$9:$CJ$508,"&lt;"&amp;$CJ332)+COUNTIFS($CD$9:$CD$508,$CD332,$CF$9:$CF$508,$CF332,$CH$9:$CH$508,$CH332,$CJ$9:$CJ$508,$CJ332,$CL$9:$CL$508,"&lt;"&amp;$CL332)+1))</f>
        <v/>
      </c>
      <c r="CN332" s="135" t="str">
        <f aca="false">IF(ISBLANK($C332),"",IF($BX332&lt;&gt;Constants!$B$6,$BX332,$CD332-$CM332))</f>
        <v/>
      </c>
      <c r="CO332" s="141"/>
      <c r="CP332" s="142"/>
      <c r="CQ332" s="143" t="str">
        <f aca="false">IF(ISBLANK($C332),"",IF($BX332=Constants!$B$10,$BW332,""))</f>
        <v/>
      </c>
      <c r="CR332" s="142" t="str">
        <f aca="false">IF(ISBLANK($C332),"",IF($BX332&lt;&gt;Constants!$B$6,"",IF($BL332="-&gt;",2,1)))</f>
        <v/>
      </c>
      <c r="CS332" s="144" t="str">
        <f aca="false">IF(ISBLANK($C332),"",IF($BX332&lt;&gt;Constants!$B$6,"",IF($BL332="-&gt;",$BN332,$BC332)))</f>
        <v/>
      </c>
      <c r="CT332" s="144" t="str">
        <f aca="false">IF(ISBLANK($C332),"",IF($BX332&lt;&gt;Constants!$B$6,"",IF($BL332="-&gt;",$BO332,$BD332)))</f>
        <v/>
      </c>
      <c r="CU332" s="144" t="str">
        <f aca="false">IF(ISBLANK($C332),"",IF($BX332&lt;&gt;Constants!$B$6,"",IF($BL332="-&gt;",$BP332+$BQ332,$BE332+$BF332)+$CB332))</f>
        <v/>
      </c>
      <c r="CV332" s="144" t="str">
        <f aca="false">IF(ISBLANK($C332),"",IF($BX332&lt;&gt;Constants!$B$6,"",IF($BL332="-&gt;",$BR332,$BG332)+$CA332))</f>
        <v/>
      </c>
      <c r="CW332" s="145" t="str">
        <f aca="false">IF(ISBLANK($C332),"",IF($BX332&lt;&gt;Constants!$B$6,$BX332,$CC332))</f>
        <v/>
      </c>
      <c r="CX332" s="146" t="str">
        <f aca="false">IF(ISBLANK($C332),"",$BY332)</f>
        <v/>
      </c>
      <c r="CY332" s="147" t="str">
        <f aca="false">IF(ISBLANK($C332),"",$CN332)</f>
        <v/>
      </c>
      <c r="CZ332" s="147" t="str">
        <f aca="false">IF(ISBLANK($C332),"",$CM332)</f>
        <v/>
      </c>
      <c r="DA332" s="148" t="str">
        <f aca="false">IF(ISBLANK($C332),"",IFERROR(_xlfn.SWITCH($CZ332,Constants!$B$9,COUNTA($C$9:$C$508)+2,Constants!$B$8,COUNTA($C$9:$C$508)+1,Constants!$B$7,COUNTA($C$9:$C$508)),$CZ332))</f>
        <v/>
      </c>
      <c r="DB332" s="9"/>
      <c r="DC332" s="149" t="n">
        <f aca="false">IF(OR(ISNUMBER($CZ332),$CZ332=Constants!$B$9,$CZ332=Constants!$B$7,$CZ332=Constants!$B$8),1,0)</f>
        <v>0</v>
      </c>
      <c r="DD332" s="149" t="n">
        <v>324</v>
      </c>
      <c r="DE332" s="149" t="str">
        <f aca="false">IF(ISBLANK($C332),"",IF(ISNUMBER($DA332),$DA332+ROW($B332)/1000,""))</f>
        <v/>
      </c>
      <c r="DF332" s="149" t="str">
        <f aca="false">IF(ISNUMBER($DE332),RANK($DE332,$DE$9:$DE$508,1),"")</f>
        <v/>
      </c>
      <c r="DG332" s="149" t="str">
        <f aca="false">IF(ISBLANK($C332),"",$B332)</f>
        <v/>
      </c>
      <c r="DH332" s="149" t="str">
        <f aca="false">IF(ISBLANK($C332),"",$C332)</f>
        <v/>
      </c>
      <c r="DI332" s="149" t="str">
        <f aca="false">IF(ISBLANK($C332),"",$D332)</f>
        <v/>
      </c>
      <c r="DJ332" s="150" t="str">
        <f aca="false">$CX332</f>
        <v/>
      </c>
      <c r="DK332" s="151" t="str">
        <f aca="false">$CW332</f>
        <v/>
      </c>
      <c r="DL332" s="149" t="str">
        <f aca="false">IF(ISBLANK($C332),"",$CZ332)</f>
        <v/>
      </c>
      <c r="DM332" s="152" t="str">
        <f aca="false">IF($DD332&gt;$DC$8,"",VLOOKUP($DD332,$DF$9:$DL$508,7,FALSE()))</f>
        <v/>
      </c>
      <c r="DN332" s="153" t="str">
        <f aca="false">IF($DD332&gt;$DC$8,"",VLOOKUP($DD332,$DF$9:$DL$508,2,FALSE()))</f>
        <v/>
      </c>
      <c r="DO332" s="153" t="str">
        <f aca="false">IF($DD332&gt;$DC$8,"",VLOOKUP($DD332,$DF$9:$DL$508,3,FALSE()))</f>
        <v/>
      </c>
      <c r="DP332" s="153" t="str">
        <f aca="false">IF($DD332&gt;$DC$8,"",VLOOKUP($DD332,$DF$9:$DL$508,4,FALSE()))</f>
        <v/>
      </c>
      <c r="DQ332" s="153" t="str">
        <f aca="false">IF($DD332&gt;$DC$8,"",VLOOKUP($DD332,$DF$9:$DL$508,5,FALSE()))</f>
        <v/>
      </c>
      <c r="DR332" s="154" t="str">
        <f aca="false">IF($DD332&gt;$DC$8,"",VLOOKUP($DD332,$DF$9:$DL$508,6,FALSE()))</f>
        <v/>
      </c>
      <c r="DS332" s="76"/>
    </row>
    <row r="333" customFormat="false" ht="15.75" hidden="false" customHeight="false" outlineLevel="0" collapsed="false">
      <c r="A333" s="9"/>
      <c r="B333" s="78"/>
      <c r="C333" s="79"/>
      <c r="D333" s="170"/>
      <c r="E333" s="178"/>
      <c r="F333" s="172"/>
      <c r="G333" s="173"/>
      <c r="H333" s="173"/>
      <c r="I333" s="179"/>
      <c r="J333" s="176"/>
      <c r="K333" s="86"/>
      <c r="L333" s="87"/>
      <c r="M333" s="88"/>
      <c r="N333" s="176"/>
      <c r="O333" s="176"/>
      <c r="P333" s="178"/>
      <c r="Q333" s="176"/>
      <c r="R333" s="176"/>
      <c r="S333" s="86"/>
      <c r="T333" s="88"/>
      <c r="U333" s="88"/>
      <c r="V333" s="176"/>
      <c r="W333" s="176"/>
      <c r="X333" s="178"/>
      <c r="Y333" s="176"/>
      <c r="Z333" s="177"/>
      <c r="AA333" s="176"/>
      <c r="AB333" s="92"/>
      <c r="AC333" s="93"/>
      <c r="AD333" s="93"/>
      <c r="AE333" s="93"/>
      <c r="AF333" s="93" t="str">
        <f aca="false">IF(ISBLANK($C333),"",IF(E333=Constants!$B$2,TRUE(),IF(E333=Constants!$B$3,FALSE(),TRUE())))</f>
        <v/>
      </c>
      <c r="AG333" s="93" t="str">
        <f aca="false">IF(ISBLANK($C333),"",IF(F333=Constants!$B$2,TRUE(),IF(F333=Constants!$B$3,FALSE(),TRUE())))</f>
        <v/>
      </c>
      <c r="AH333" s="93" t="str">
        <f aca="false">IF(ISBLANK($C333),"",IF(G333=Constants!$B$2,TRUE(),IF(G333=Constants!$B$3,FALSE(),TRUE())))</f>
        <v/>
      </c>
      <c r="AI333" s="93" t="str">
        <f aca="false">IF(ISBLANK($C333),"",IF(AND(ISNUMBER(H333),H333&gt;=0),H333,Constants!$B$24))</f>
        <v/>
      </c>
      <c r="AJ333" s="93" t="str">
        <f aca="false">IF(ISBLANK($C333),"",IF(I333=Constants!$B$2,TRUE(),IF(I333=Constants!$B$3,FALSE(),TRUE())))</f>
        <v/>
      </c>
      <c r="AK333" s="93" t="str">
        <f aca="false">IF(ISBLANK($C333),"",IF(J333=Constants!$B$2,TRUE(),IF(J333=Constants!$B$3,FALSE(),TRUE())))</f>
        <v/>
      </c>
      <c r="AL333" s="93" t="str">
        <f aca="false">IF(ISBLANK($C333),"",IF(K333=Constants!$B$4,TRUE(),IF(K333=Constants!$B$5,FALSE(),COUNTA(L333:P333)&gt;0)))</f>
        <v/>
      </c>
      <c r="AM333" s="95" t="str">
        <f aca="false">IF(ISBLANK($C333),"",IF(ISNUMBER(L333),IF(L333&gt;=0,L333,""),""))</f>
        <v/>
      </c>
      <c r="AN333" s="94" t="str">
        <f aca="false">IF(ISBLANK($C333),"",IF(ISNUMBER(M333),IF(M333&gt;=0,M333,""),""))</f>
        <v/>
      </c>
      <c r="AO333" s="94" t="str">
        <f aca="false">IF(ISBLANK($C333),"",IF(N333=Constants!$B$2,TRUE(),IF(N333=Constants!$B$3,FALSE(),TRUE())))</f>
        <v/>
      </c>
      <c r="AP333" s="93" t="str">
        <f aca="false">IF(ISBLANK($C333),"",IF(ISNUMBER(O333),IF(O333&gt;=0,O333,""),""))</f>
        <v/>
      </c>
      <c r="AQ333" s="93" t="str">
        <f aca="false">IF(ISBLANK($C333),"",IF(P333=Constants!$B$2,TRUE(),IF(P333=Constants!$B$3,FALSE(),FALSE())))</f>
        <v/>
      </c>
      <c r="AR333" s="93" t="str">
        <f aca="false">IF(ISBLANK($C333),"",IF(Q333=Constants!$B$2,TRUE(),IF(Q333=Constants!$B$3,FALSE(),TRUE())))</f>
        <v/>
      </c>
      <c r="AS333" s="93" t="str">
        <f aca="false">IF(ISBLANK($C333),"",IF(R333=Constants!$B$2,TRUE(),IF(R333=Constants!$B$3,FALSE(),TRUE())))</f>
        <v/>
      </c>
      <c r="AT333" s="93" t="str">
        <f aca="false">IF(ISBLANK($C333),"",IF(S333=Constants!$B$4,TRUE(),IF(S333=Constants!$B$5,FALSE(),COUNTA(T333:X333)&gt;0)))</f>
        <v/>
      </c>
      <c r="AU333" s="95" t="str">
        <f aca="false">IF(ISBLANK($C333),"",IF(ISNUMBER(T333),IF(T333&gt;=0,T333,""),""))</f>
        <v/>
      </c>
      <c r="AV333" s="94" t="str">
        <f aca="false">IF(ISBLANK($C333),"",IF(ISNUMBER(U333),IF(U333&gt;=0,U333,""),""))</f>
        <v/>
      </c>
      <c r="AW333" s="94" t="str">
        <f aca="false">IF(ISBLANK($C333),"",IF(V333=Constants!$B$2,TRUE(),IF(V333=Constants!$B$3,FALSE(),TRUE())))</f>
        <v/>
      </c>
      <c r="AX333" s="93" t="str">
        <f aca="false">IF(ISBLANK($C333),"",IF(ISNUMBER(W333),IF(W333&gt;=0,W333,""),""))</f>
        <v/>
      </c>
      <c r="AY333" s="93" t="str">
        <f aca="false">IF(ISBLANK($C333),"",IF(X333=Constants!$B$2,TRUE(),IF(X333=Constants!$B$3,FALSE(),FALSE())))</f>
        <v/>
      </c>
      <c r="AZ333" s="93" t="str">
        <f aca="false">IF(ISBLANK($C333),"",MIN(Constants!$B$25,MAX(0,IF(ISNUMBER(Y333),Y333*60,0)+IF(ISNUMBER(Z333),Z333,0))))</f>
        <v/>
      </c>
      <c r="BA333" s="93" t="str">
        <f aca="false">IF(ISBLANK($C333),"",IF(AA333=Constants!$B$2,TRUE(),IF(AA333=Constants!$B$3,FALSE(),FALSE())))</f>
        <v/>
      </c>
      <c r="BB333" s="92" t="str">
        <f aca="false">IF(ISBLANK($C333),"",AND($AL333,OR($AM333="",$AN333="",AND($AO333,$AP333=""))))</f>
        <v/>
      </c>
      <c r="BC333" s="94" t="str">
        <f aca="false">IF($BX333&lt;&gt;Constants!$B$6,"",IF($AL333,Constants!$B$17*$AN333+Constants!$B$18*IF($AO333,$AP333,Constants!$B$19),Constants!$B$20))</f>
        <v/>
      </c>
      <c r="BD333" s="97" t="str">
        <f aca="false">IF($BX333&lt;&gt;Constants!$B$6,"",Constants!$B$21*ABS($AD$9-IF($AL333,$AM333,0)))</f>
        <v/>
      </c>
      <c r="BE333" s="97" t="str">
        <f aca="false">IF($BX333&lt;&gt;Constants!$B$6,"",IF(AND($AL333,$AQ333,$AO333),Constants!$B$22,0))</f>
        <v/>
      </c>
      <c r="BF333" s="97" t="str">
        <f aca="false">IF($BX333&lt;&gt;Constants!$B$6,"",IF($AL333,($AI333-Constants!$B$24)*Constants!$B$23,0))</f>
        <v/>
      </c>
      <c r="BG333" s="97" t="str">
        <f aca="false">IF($BX333&lt;&gt;Constants!$B$6,"",IF($AK333,0,Constants!$B$12)+IF($AJ333,0,Constants!$B$13)+IF($AH333,0,Constants!$B$14))</f>
        <v/>
      </c>
      <c r="BH333" s="98" t="str">
        <f aca="false">IF($BX333&lt;&gt;Constants!$B$6,"",Constants!$B$16+SUM($BC333:$BG333))</f>
        <v/>
      </c>
      <c r="BI333" s="97" t="str">
        <f aca="false">IF($BX333&lt;&gt;Constants!$B$6,"",$BC333)</f>
        <v/>
      </c>
      <c r="BJ333" s="97" t="str">
        <f aca="false">IF($BX333&lt;&gt;Constants!$B$6,"",$BD333)</f>
        <v/>
      </c>
      <c r="BK333" s="99" t="str">
        <f aca="false">IF($BX333&lt;&gt;Constants!$B$6,"",IF($AL333,$AN333,""))</f>
        <v/>
      </c>
      <c r="BL333" s="93" t="str">
        <f aca="false">IF($BX333&lt;&gt;Constants!$B$6,"",IF(OR($BS333&lt;$BH333,AND($BS333=$BH333,OR($BT333&lt;$BI333,AND($BT333=$BI333,OR($BU333&lt;$BJ333,AND($BU333=$BJ333,AND(ISNUMBER($BV333),OR(NOT(ISNUMBER($BK333)),$BV333&lt;$BK333)))))))),"-&gt;","&lt;-"))</f>
        <v/>
      </c>
      <c r="BM333" s="92" t="str">
        <f aca="false">IF(ISBLANK($C333),"",AND($AT333,OR($AU333="",$AV333="",AND($AW333,$AX333=""))))</f>
        <v/>
      </c>
      <c r="BN333" s="94" t="str">
        <f aca="false">IF($BX333&lt;&gt;Constants!$B$6,"",IF($AT333,Constants!$B$17*$AV333+Constants!$B$18*IF($AW333,$AX333,Constants!$B$19),Constants!$B$20))</f>
        <v/>
      </c>
      <c r="BO333" s="97" t="str">
        <f aca="false">IF($BX333&lt;&gt;Constants!$B$6,"",Constants!$B$21*ABS($AD$9-IF($AT333,$AU333,0)))</f>
        <v/>
      </c>
      <c r="BP333" s="97" t="str">
        <f aca="false">IF($BX333&lt;&gt;Constants!$B$6,"",IF(AND($AT333,$AY333,$AW333),Constants!$B$22,0))</f>
        <v/>
      </c>
      <c r="BQ333" s="97" t="str">
        <f aca="false">IF($BX333&lt;&gt;Constants!$B$6,"",IF($AT333,($AI333-Constants!$B$24)*Constants!$B$23,0))</f>
        <v/>
      </c>
      <c r="BR333" s="97" t="str">
        <f aca="false">IF($BX333&lt;&gt;Constants!$B$6,"",IF($AS333,0,Constants!$B$12)+IF($AR333,0,Constants!$B$13)+IF($AH333,0,Constants!$B$14))</f>
        <v/>
      </c>
      <c r="BS333" s="98" t="str">
        <f aca="false">IF($BX333&lt;&gt;Constants!$B$6,"",Constants!$B$16+SUM($BN333:$BR333))</f>
        <v/>
      </c>
      <c r="BT333" s="97" t="str">
        <f aca="false">IF($BX333&lt;&gt;Constants!$B$6,"",$BN333)</f>
        <v/>
      </c>
      <c r="BU333" s="97" t="str">
        <f aca="false">IF($BX333&lt;&gt;Constants!$B$6,"",$BO333)</f>
        <v/>
      </c>
      <c r="BV333" s="99" t="str">
        <f aca="false">IF($BX333&lt;&gt;Constants!$B$6,"",IF($AT333,$AV333,""))</f>
        <v/>
      </c>
      <c r="BW333" s="93" t="str">
        <f aca="false">IF(ISBLANK($C333),"",IF(ISBLANK($D$7),$BW$5,IF(NOT(ISNUMBER($D$7)),$BW$6,"")))</f>
        <v/>
      </c>
      <c r="BX333" s="93" t="str">
        <f aca="false">IF(ISBLANK($C333),"",IF($BA333,Constants!$B$9,IF(COUNTA($E333:$AA333)=0,Constants!$B$8,IF(NOT($AG333),Constants!$B$7,IF(OR($BW333&lt;&gt;"",$BB333,$BM333),Constants!$B$10,Constants!$B$6)))))</f>
        <v/>
      </c>
      <c r="BY333" s="93" t="str">
        <f aca="false">IF(ISBLANK($C333),"",IF($BX333&lt;&gt;Constants!$B$6,$BX333,Constants!$B$11))</f>
        <v/>
      </c>
      <c r="BZ333" s="97" t="str">
        <f aca="false">IF($BX333&lt;&gt;Constants!$B$6,"",IF($BL333="-&gt;",$BS333,$BH333))</f>
        <v/>
      </c>
      <c r="CA333" s="97" t="str">
        <f aca="false">IF($BX333&lt;&gt;Constants!$B$6,"",IF($AF333,0,Constants!$B$15))</f>
        <v/>
      </c>
      <c r="CB333" s="97" t="str">
        <f aca="false">IF($BX333&lt;&gt;Constants!$B$6,"",((Constants!$B$25-$AZ333)-Constants!$B$25)/Constants!$B$26)</f>
        <v/>
      </c>
      <c r="CC333" s="97" t="str">
        <f aca="false">IF(ISBLANK($C333),"",IF($BX333&lt;&gt;Constants!$B$6,$BX333,SUM($BZ333:$CB333)))</f>
        <v/>
      </c>
      <c r="CD333" s="93" t="str">
        <f aca="false">IF(ISBLANK($C333),"",IF($BX333&lt;&gt;Constants!$B$6,$BX333,RANK($CC333,$CC$9:$CC$508,1)))</f>
        <v/>
      </c>
      <c r="CE333" s="97" t="str">
        <f aca="false">IF($BX333&lt;&gt;Constants!$B$6,"",IF($BL333="-&gt;",$BT333,$BI333))</f>
        <v/>
      </c>
      <c r="CF333" s="93" t="str">
        <f aca="false">IF(ISBLANK($C333),"",IF($BX333&lt;&gt;Constants!$B$6,$BX333,IF(ISNUMBER($CE333),RANK($CE333,$CE$9:$CE$508,1),COUNT($CE$9:$CE$508)+1)))</f>
        <v/>
      </c>
      <c r="CG333" s="97" t="str">
        <f aca="false">IF($BX333&lt;&gt;Constants!$B$6,"",IF($BL333="-&gt;",$BU333,$BJ333))</f>
        <v/>
      </c>
      <c r="CH333" s="93" t="str">
        <f aca="false">IF(ISBLANK($C333),"",IF($BX333&lt;&gt;Constants!$B$6,$BX333,IF(ISNUMBER($CG333),RANK($CG333,$CG$9:$CG$508,1),COUNT($CG$9:$CG$508)+1)))</f>
        <v/>
      </c>
      <c r="CI333" s="97" t="str">
        <f aca="false">IF($BX333&lt;&gt;Constants!$B$6,"",IF($BL333="-&gt;",$BV333,$BK333))</f>
        <v/>
      </c>
      <c r="CJ333" s="93" t="str">
        <f aca="false">IF(ISBLANK($C333),"",IF($BX333&lt;&gt;Constants!$B$6,$BX333,IF(ISNUMBER($CI333),RANK($CI333,$CI$9:$CI$508,1),COUNT($CI$9:$CI$508)+1)))</f>
        <v/>
      </c>
      <c r="CK333" s="97" t="str">
        <f aca="false">IF($BX333&lt;&gt;Constants!$B$6,"",$AI333)</f>
        <v/>
      </c>
      <c r="CL333" s="93" t="str">
        <f aca="false">IF(ISBLANK($C333),"",IF($BX333&lt;&gt;Constants!$B$6,$BX333,IF(ISNUMBER($CK333),RANK($CK333,$CK$9:$CK$508,1),COUNT($CK$9:$CK$508)+1)))</f>
        <v/>
      </c>
      <c r="CM333" s="93" t="str">
        <f aca="false">IF(ISBLANK($C333),"",IF($BX333&lt;&gt;Constants!$B$6,$BX333,COUNTIFS($CD$9:$CD$508,"&lt;"&amp;$CD333)+COUNTIFS($CD$9:$CD$508,$CD333,$CF$9:$CF$508,"&lt;"&amp;$CF333)+COUNTIFS($CD$9:$CD$508,$CD333,$CF$9:$CF$508,$CF333,$CH$9:$CH$508,"&lt;"&amp;$CH333)+COUNTIFS($CD$9:$CD$508,$CD333,$CF$9:$CF$508,$CF333,$CH$9:$CH$508,$CH333,$CJ$9:$CJ$508,"&lt;"&amp;$CJ333)+COUNTIFS($CD$9:$CD$508,$CD333,$CF$9:$CF$508,$CF333,$CH$9:$CH$508,$CH333,$CJ$9:$CJ$508,$CJ333,$CL$9:$CL$508,"&lt;"&amp;$CL333)+1))</f>
        <v/>
      </c>
      <c r="CN333" s="93" t="str">
        <f aca="false">IF(ISBLANK($C333),"",IF($BX333&lt;&gt;Constants!$B$6,$BX333,$CD333-$CM333))</f>
        <v/>
      </c>
      <c r="CO333" s="100"/>
      <c r="CP333" s="101"/>
      <c r="CQ333" s="102" t="str">
        <f aca="false">IF(ISBLANK($C333),"",IF($BX333=Constants!$B$10,$BW333,""))</f>
        <v/>
      </c>
      <c r="CR333" s="101" t="str">
        <f aca="false">IF(ISBLANK($C333),"",IF($BX333&lt;&gt;Constants!$B$6,"",IF($BL333="-&gt;",2,1)))</f>
        <v/>
      </c>
      <c r="CS333" s="103" t="str">
        <f aca="false">IF(ISBLANK($C333),"",IF($BX333&lt;&gt;Constants!$B$6,"",IF($BL333="-&gt;",$BN333,$BC333)))</f>
        <v/>
      </c>
      <c r="CT333" s="103" t="str">
        <f aca="false">IF(ISBLANK($C333),"",IF($BX333&lt;&gt;Constants!$B$6,"",IF($BL333="-&gt;",$BO333,$BD333)))</f>
        <v/>
      </c>
      <c r="CU333" s="103" t="str">
        <f aca="false">IF(ISBLANK($C333),"",IF($BX333&lt;&gt;Constants!$B$6,"",IF($BL333="-&gt;",$BP333+$BQ333,$BE333+$BF333)+$CB333))</f>
        <v/>
      </c>
      <c r="CV333" s="103" t="str">
        <f aca="false">IF(ISBLANK($C333),"",IF($BX333&lt;&gt;Constants!$B$6,"",IF($BL333="-&gt;",$BR333,$BG333)+$CA333))</f>
        <v/>
      </c>
      <c r="CW333" s="104" t="str">
        <f aca="false">IF(ISBLANK($C333),"",IF($BX333&lt;&gt;Constants!$B$6,$BX333,$CC333))</f>
        <v/>
      </c>
      <c r="CX333" s="105" t="str">
        <f aca="false">IF(ISBLANK($C333),"",$BY333)</f>
        <v/>
      </c>
      <c r="CY333" s="106" t="str">
        <f aca="false">IF(ISBLANK($C333),"",$CN333)</f>
        <v/>
      </c>
      <c r="CZ333" s="106" t="str">
        <f aca="false">IF(ISBLANK($C333),"",$CM333)</f>
        <v/>
      </c>
      <c r="DA333" s="107" t="str">
        <f aca="false">IF(ISBLANK($C333),"",IFERROR(_xlfn.SWITCH($CZ333,Constants!$B$9,COUNTA($C$9:$C$508)+2,Constants!$B$8,COUNTA($C$9:$C$508)+1,Constants!$B$7,COUNTA($C$9:$C$508)),$CZ333))</f>
        <v/>
      </c>
      <c r="DB333" s="9"/>
      <c r="DC333" s="108" t="n">
        <f aca="false">IF(OR(ISNUMBER($CZ333),$CZ333=Constants!$B$9,$CZ333=Constants!$B$7,$CZ333=Constants!$B$8),1,0)</f>
        <v>0</v>
      </c>
      <c r="DD333" s="108" t="n">
        <v>325</v>
      </c>
      <c r="DE333" s="108" t="str">
        <f aca="false">IF(ISBLANK($C333),"",IF(ISNUMBER($DA333),$DA333+ROW($B333)/1000,""))</f>
        <v/>
      </c>
      <c r="DF333" s="108" t="str">
        <f aca="false">IF(ISNUMBER($DE333),RANK($DE333,$DE$9:$DE$508,1),"")</f>
        <v/>
      </c>
      <c r="DG333" s="108" t="str">
        <f aca="false">IF(ISBLANK($C333),"",$B333)</f>
        <v/>
      </c>
      <c r="DH333" s="108" t="str">
        <f aca="false">IF(ISBLANK($C333),"",$C333)</f>
        <v/>
      </c>
      <c r="DI333" s="108" t="str">
        <f aca="false">IF(ISBLANK($C333),"",$D333)</f>
        <v/>
      </c>
      <c r="DJ333" s="109" t="str">
        <f aca="false">$CX333</f>
        <v/>
      </c>
      <c r="DK333" s="110" t="str">
        <f aca="false">$CW333</f>
        <v/>
      </c>
      <c r="DL333" s="108" t="str">
        <f aca="false">IF(ISBLANK($C333),"",$CZ333)</f>
        <v/>
      </c>
      <c r="DM333" s="111" t="str">
        <f aca="false">IF($DD333&gt;$DC$8,"",VLOOKUP($DD333,$DF$9:$DL$508,7,FALSE()))</f>
        <v/>
      </c>
      <c r="DN333" s="112" t="str">
        <f aca="false">IF($DD333&gt;$DC$8,"",VLOOKUP($DD333,$DF$9:$DL$508,2,FALSE()))</f>
        <v/>
      </c>
      <c r="DO333" s="112" t="str">
        <f aca="false">IF($DD333&gt;$DC$8,"",VLOOKUP($DD333,$DF$9:$DL$508,3,FALSE()))</f>
        <v/>
      </c>
      <c r="DP333" s="112" t="str">
        <f aca="false">IF($DD333&gt;$DC$8,"",VLOOKUP($DD333,$DF$9:$DL$508,4,FALSE()))</f>
        <v/>
      </c>
      <c r="DQ333" s="112" t="str">
        <f aca="false">IF($DD333&gt;$DC$8,"",VLOOKUP($DD333,$DF$9:$DL$508,5,FALSE()))</f>
        <v/>
      </c>
      <c r="DR333" s="113" t="str">
        <f aca="false">IF($DD333&gt;$DC$8,"",VLOOKUP($DD333,$DF$9:$DL$508,6,FALSE()))</f>
        <v/>
      </c>
      <c r="DS333" s="76"/>
    </row>
    <row r="334" customFormat="false" ht="15.75" hidden="false" customHeight="false" outlineLevel="0" collapsed="false">
      <c r="A334" s="9"/>
      <c r="B334" s="78"/>
      <c r="C334" s="79"/>
      <c r="D334" s="170"/>
      <c r="E334" s="178"/>
      <c r="F334" s="172"/>
      <c r="G334" s="173"/>
      <c r="H334" s="173"/>
      <c r="I334" s="179"/>
      <c r="J334" s="176"/>
      <c r="K334" s="86"/>
      <c r="L334" s="87"/>
      <c r="M334" s="88"/>
      <c r="N334" s="176"/>
      <c r="O334" s="176"/>
      <c r="P334" s="178"/>
      <c r="Q334" s="176"/>
      <c r="R334" s="176"/>
      <c r="S334" s="86"/>
      <c r="T334" s="88"/>
      <c r="U334" s="88"/>
      <c r="V334" s="176"/>
      <c r="W334" s="176"/>
      <c r="X334" s="178"/>
      <c r="Y334" s="176"/>
      <c r="Z334" s="177"/>
      <c r="AA334" s="176"/>
      <c r="AB334" s="92"/>
      <c r="AC334" s="93"/>
      <c r="AD334" s="93"/>
      <c r="AE334" s="93"/>
      <c r="AF334" s="93" t="str">
        <f aca="false">IF(ISBLANK($C334),"",IF(E334=Constants!$B$2,TRUE(),IF(E334=Constants!$B$3,FALSE(),TRUE())))</f>
        <v/>
      </c>
      <c r="AG334" s="93" t="str">
        <f aca="false">IF(ISBLANK($C334),"",IF(F334=Constants!$B$2,TRUE(),IF(F334=Constants!$B$3,FALSE(),TRUE())))</f>
        <v/>
      </c>
      <c r="AH334" s="93" t="str">
        <f aca="false">IF(ISBLANK($C334),"",IF(G334=Constants!$B$2,TRUE(),IF(G334=Constants!$B$3,FALSE(),TRUE())))</f>
        <v/>
      </c>
      <c r="AI334" s="93" t="str">
        <f aca="false">IF(ISBLANK($C334),"",IF(AND(ISNUMBER(H334),H334&gt;=0),H334,Constants!$B$24))</f>
        <v/>
      </c>
      <c r="AJ334" s="93" t="str">
        <f aca="false">IF(ISBLANK($C334),"",IF(I334=Constants!$B$2,TRUE(),IF(I334=Constants!$B$3,FALSE(),TRUE())))</f>
        <v/>
      </c>
      <c r="AK334" s="93" t="str">
        <f aca="false">IF(ISBLANK($C334),"",IF(J334=Constants!$B$2,TRUE(),IF(J334=Constants!$B$3,FALSE(),TRUE())))</f>
        <v/>
      </c>
      <c r="AL334" s="93" t="str">
        <f aca="false">IF(ISBLANK($C334),"",IF(K334=Constants!$B$4,TRUE(),IF(K334=Constants!$B$5,FALSE(),COUNTA(L334:P334)&gt;0)))</f>
        <v/>
      </c>
      <c r="AM334" s="95" t="str">
        <f aca="false">IF(ISBLANK($C334),"",IF(ISNUMBER(L334),IF(L334&gt;=0,L334,""),""))</f>
        <v/>
      </c>
      <c r="AN334" s="94" t="str">
        <f aca="false">IF(ISBLANK($C334),"",IF(ISNUMBER(M334),IF(M334&gt;=0,M334,""),""))</f>
        <v/>
      </c>
      <c r="AO334" s="94" t="str">
        <f aca="false">IF(ISBLANK($C334),"",IF(N334=Constants!$B$2,TRUE(),IF(N334=Constants!$B$3,FALSE(),TRUE())))</f>
        <v/>
      </c>
      <c r="AP334" s="93" t="str">
        <f aca="false">IF(ISBLANK($C334),"",IF(ISNUMBER(O334),IF(O334&gt;=0,O334,""),""))</f>
        <v/>
      </c>
      <c r="AQ334" s="93" t="str">
        <f aca="false">IF(ISBLANK($C334),"",IF(P334=Constants!$B$2,TRUE(),IF(P334=Constants!$B$3,FALSE(),FALSE())))</f>
        <v/>
      </c>
      <c r="AR334" s="93" t="str">
        <f aca="false">IF(ISBLANK($C334),"",IF(Q334=Constants!$B$2,TRUE(),IF(Q334=Constants!$B$3,FALSE(),TRUE())))</f>
        <v/>
      </c>
      <c r="AS334" s="93" t="str">
        <f aca="false">IF(ISBLANK($C334),"",IF(R334=Constants!$B$2,TRUE(),IF(R334=Constants!$B$3,FALSE(),TRUE())))</f>
        <v/>
      </c>
      <c r="AT334" s="93" t="str">
        <f aca="false">IF(ISBLANK($C334),"",IF(S334=Constants!$B$4,TRUE(),IF(S334=Constants!$B$5,FALSE(),COUNTA(T334:X334)&gt;0)))</f>
        <v/>
      </c>
      <c r="AU334" s="95" t="str">
        <f aca="false">IF(ISBLANK($C334),"",IF(ISNUMBER(T334),IF(T334&gt;=0,T334,""),""))</f>
        <v/>
      </c>
      <c r="AV334" s="94" t="str">
        <f aca="false">IF(ISBLANK($C334),"",IF(ISNUMBER(U334),IF(U334&gt;=0,U334,""),""))</f>
        <v/>
      </c>
      <c r="AW334" s="94" t="str">
        <f aca="false">IF(ISBLANK($C334),"",IF(V334=Constants!$B$2,TRUE(),IF(V334=Constants!$B$3,FALSE(),TRUE())))</f>
        <v/>
      </c>
      <c r="AX334" s="93" t="str">
        <f aca="false">IF(ISBLANK($C334),"",IF(ISNUMBER(W334),IF(W334&gt;=0,W334,""),""))</f>
        <v/>
      </c>
      <c r="AY334" s="93" t="str">
        <f aca="false">IF(ISBLANK($C334),"",IF(X334=Constants!$B$2,TRUE(),IF(X334=Constants!$B$3,FALSE(),FALSE())))</f>
        <v/>
      </c>
      <c r="AZ334" s="93" t="str">
        <f aca="false">IF(ISBLANK($C334),"",MIN(Constants!$B$25,MAX(0,IF(ISNUMBER(Y334),Y334*60,0)+IF(ISNUMBER(Z334),Z334,0))))</f>
        <v/>
      </c>
      <c r="BA334" s="93" t="str">
        <f aca="false">IF(ISBLANK($C334),"",IF(AA334=Constants!$B$2,TRUE(),IF(AA334=Constants!$B$3,FALSE(),FALSE())))</f>
        <v/>
      </c>
      <c r="BB334" s="92" t="str">
        <f aca="false">IF(ISBLANK($C334),"",AND($AL334,OR($AM334="",$AN334="",AND($AO334,$AP334=""))))</f>
        <v/>
      </c>
      <c r="BC334" s="94" t="str">
        <f aca="false">IF($BX334&lt;&gt;Constants!$B$6,"",IF($AL334,Constants!$B$17*$AN334+Constants!$B$18*IF($AO334,$AP334,Constants!$B$19),Constants!$B$20))</f>
        <v/>
      </c>
      <c r="BD334" s="97" t="str">
        <f aca="false">IF($BX334&lt;&gt;Constants!$B$6,"",Constants!$B$21*ABS($AD$9-IF($AL334,$AM334,0)))</f>
        <v/>
      </c>
      <c r="BE334" s="97" t="str">
        <f aca="false">IF($BX334&lt;&gt;Constants!$B$6,"",IF(AND($AL334,$AQ334,$AO334),Constants!$B$22,0))</f>
        <v/>
      </c>
      <c r="BF334" s="97" t="str">
        <f aca="false">IF($BX334&lt;&gt;Constants!$B$6,"",IF($AL334,($AI334-Constants!$B$24)*Constants!$B$23,0))</f>
        <v/>
      </c>
      <c r="BG334" s="97" t="str">
        <f aca="false">IF($BX334&lt;&gt;Constants!$B$6,"",IF($AK334,0,Constants!$B$12)+IF($AJ334,0,Constants!$B$13)+IF($AH334,0,Constants!$B$14))</f>
        <v/>
      </c>
      <c r="BH334" s="98" t="str">
        <f aca="false">IF($BX334&lt;&gt;Constants!$B$6,"",Constants!$B$16+SUM($BC334:$BG334))</f>
        <v/>
      </c>
      <c r="BI334" s="97" t="str">
        <f aca="false">IF($BX334&lt;&gt;Constants!$B$6,"",$BC334)</f>
        <v/>
      </c>
      <c r="BJ334" s="97" t="str">
        <f aca="false">IF($BX334&lt;&gt;Constants!$B$6,"",$BD334)</f>
        <v/>
      </c>
      <c r="BK334" s="99" t="str">
        <f aca="false">IF($BX334&lt;&gt;Constants!$B$6,"",IF($AL334,$AN334,""))</f>
        <v/>
      </c>
      <c r="BL334" s="93" t="str">
        <f aca="false">IF($BX334&lt;&gt;Constants!$B$6,"",IF(OR($BS334&lt;$BH334,AND($BS334=$BH334,OR($BT334&lt;$BI334,AND($BT334=$BI334,OR($BU334&lt;$BJ334,AND($BU334=$BJ334,AND(ISNUMBER($BV334),OR(NOT(ISNUMBER($BK334)),$BV334&lt;$BK334)))))))),"-&gt;","&lt;-"))</f>
        <v/>
      </c>
      <c r="BM334" s="92" t="str">
        <f aca="false">IF(ISBLANK($C334),"",AND($AT334,OR($AU334="",$AV334="",AND($AW334,$AX334=""))))</f>
        <v/>
      </c>
      <c r="BN334" s="94" t="str">
        <f aca="false">IF($BX334&lt;&gt;Constants!$B$6,"",IF($AT334,Constants!$B$17*$AV334+Constants!$B$18*IF($AW334,$AX334,Constants!$B$19),Constants!$B$20))</f>
        <v/>
      </c>
      <c r="BO334" s="97" t="str">
        <f aca="false">IF($BX334&lt;&gt;Constants!$B$6,"",Constants!$B$21*ABS($AD$9-IF($AT334,$AU334,0)))</f>
        <v/>
      </c>
      <c r="BP334" s="97" t="str">
        <f aca="false">IF($BX334&lt;&gt;Constants!$B$6,"",IF(AND($AT334,$AY334,$AW334),Constants!$B$22,0))</f>
        <v/>
      </c>
      <c r="BQ334" s="97" t="str">
        <f aca="false">IF($BX334&lt;&gt;Constants!$B$6,"",IF($AT334,($AI334-Constants!$B$24)*Constants!$B$23,0))</f>
        <v/>
      </c>
      <c r="BR334" s="97" t="str">
        <f aca="false">IF($BX334&lt;&gt;Constants!$B$6,"",IF($AS334,0,Constants!$B$12)+IF($AR334,0,Constants!$B$13)+IF($AH334,0,Constants!$B$14))</f>
        <v/>
      </c>
      <c r="BS334" s="98" t="str">
        <f aca="false">IF($BX334&lt;&gt;Constants!$B$6,"",Constants!$B$16+SUM($BN334:$BR334))</f>
        <v/>
      </c>
      <c r="BT334" s="97" t="str">
        <f aca="false">IF($BX334&lt;&gt;Constants!$B$6,"",$BN334)</f>
        <v/>
      </c>
      <c r="BU334" s="97" t="str">
        <f aca="false">IF($BX334&lt;&gt;Constants!$B$6,"",$BO334)</f>
        <v/>
      </c>
      <c r="BV334" s="99" t="str">
        <f aca="false">IF($BX334&lt;&gt;Constants!$B$6,"",IF($AT334,$AV334,""))</f>
        <v/>
      </c>
      <c r="BW334" s="93" t="str">
        <f aca="false">IF(ISBLANK($C334),"",IF(ISBLANK($D$7),$BW$5,IF(NOT(ISNUMBER($D$7)),$BW$6,"")))</f>
        <v/>
      </c>
      <c r="BX334" s="93" t="str">
        <f aca="false">IF(ISBLANK($C334),"",IF($BA334,Constants!$B$9,IF(COUNTA($E334:$AA334)=0,Constants!$B$8,IF(NOT($AG334),Constants!$B$7,IF(OR($BW334&lt;&gt;"",$BB334,$BM334),Constants!$B$10,Constants!$B$6)))))</f>
        <v/>
      </c>
      <c r="BY334" s="93" t="str">
        <f aca="false">IF(ISBLANK($C334),"",IF($BX334&lt;&gt;Constants!$B$6,$BX334,Constants!$B$11))</f>
        <v/>
      </c>
      <c r="BZ334" s="97" t="str">
        <f aca="false">IF($BX334&lt;&gt;Constants!$B$6,"",IF($BL334="-&gt;",$BS334,$BH334))</f>
        <v/>
      </c>
      <c r="CA334" s="97" t="str">
        <f aca="false">IF($BX334&lt;&gt;Constants!$B$6,"",IF($AF334,0,Constants!$B$15))</f>
        <v/>
      </c>
      <c r="CB334" s="97" t="str">
        <f aca="false">IF($BX334&lt;&gt;Constants!$B$6,"",((Constants!$B$25-$AZ334)-Constants!$B$25)/Constants!$B$26)</f>
        <v/>
      </c>
      <c r="CC334" s="97" t="str">
        <f aca="false">IF(ISBLANK($C334),"",IF($BX334&lt;&gt;Constants!$B$6,$BX334,SUM($BZ334:$CB334)))</f>
        <v/>
      </c>
      <c r="CD334" s="93" t="str">
        <f aca="false">IF(ISBLANK($C334),"",IF($BX334&lt;&gt;Constants!$B$6,$BX334,RANK($CC334,$CC$9:$CC$508,1)))</f>
        <v/>
      </c>
      <c r="CE334" s="97" t="str">
        <f aca="false">IF($BX334&lt;&gt;Constants!$B$6,"",IF($BL334="-&gt;",$BT334,$BI334))</f>
        <v/>
      </c>
      <c r="CF334" s="93" t="str">
        <f aca="false">IF(ISBLANK($C334),"",IF($BX334&lt;&gt;Constants!$B$6,$BX334,IF(ISNUMBER($CE334),RANK($CE334,$CE$9:$CE$508,1),COUNT($CE$9:$CE$508)+1)))</f>
        <v/>
      </c>
      <c r="CG334" s="97" t="str">
        <f aca="false">IF($BX334&lt;&gt;Constants!$B$6,"",IF($BL334="-&gt;",$BU334,$BJ334))</f>
        <v/>
      </c>
      <c r="CH334" s="93" t="str">
        <f aca="false">IF(ISBLANK($C334),"",IF($BX334&lt;&gt;Constants!$B$6,$BX334,IF(ISNUMBER($CG334),RANK($CG334,$CG$9:$CG$508,1),COUNT($CG$9:$CG$508)+1)))</f>
        <v/>
      </c>
      <c r="CI334" s="97" t="str">
        <f aca="false">IF($BX334&lt;&gt;Constants!$B$6,"",IF($BL334="-&gt;",$BV334,$BK334))</f>
        <v/>
      </c>
      <c r="CJ334" s="93" t="str">
        <f aca="false">IF(ISBLANK($C334),"",IF($BX334&lt;&gt;Constants!$B$6,$BX334,IF(ISNUMBER($CI334),RANK($CI334,$CI$9:$CI$508,1),COUNT($CI$9:$CI$508)+1)))</f>
        <v/>
      </c>
      <c r="CK334" s="97" t="str">
        <f aca="false">IF($BX334&lt;&gt;Constants!$B$6,"",$AI334)</f>
        <v/>
      </c>
      <c r="CL334" s="93" t="str">
        <f aca="false">IF(ISBLANK($C334),"",IF($BX334&lt;&gt;Constants!$B$6,$BX334,IF(ISNUMBER($CK334),RANK($CK334,$CK$9:$CK$508,1),COUNT($CK$9:$CK$508)+1)))</f>
        <v/>
      </c>
      <c r="CM334" s="93" t="str">
        <f aca="false">IF(ISBLANK($C334),"",IF($BX334&lt;&gt;Constants!$B$6,$BX334,COUNTIFS($CD$9:$CD$508,"&lt;"&amp;$CD334)+COUNTIFS($CD$9:$CD$508,$CD334,$CF$9:$CF$508,"&lt;"&amp;$CF334)+COUNTIFS($CD$9:$CD$508,$CD334,$CF$9:$CF$508,$CF334,$CH$9:$CH$508,"&lt;"&amp;$CH334)+COUNTIFS($CD$9:$CD$508,$CD334,$CF$9:$CF$508,$CF334,$CH$9:$CH$508,$CH334,$CJ$9:$CJ$508,"&lt;"&amp;$CJ334)+COUNTIFS($CD$9:$CD$508,$CD334,$CF$9:$CF$508,$CF334,$CH$9:$CH$508,$CH334,$CJ$9:$CJ$508,$CJ334,$CL$9:$CL$508,"&lt;"&amp;$CL334)+1))</f>
        <v/>
      </c>
      <c r="CN334" s="93" t="str">
        <f aca="false">IF(ISBLANK($C334),"",IF($BX334&lt;&gt;Constants!$B$6,$BX334,$CD334-$CM334))</f>
        <v/>
      </c>
      <c r="CO334" s="100"/>
      <c r="CP334" s="101"/>
      <c r="CQ334" s="102" t="str">
        <f aca="false">IF(ISBLANK($C334),"",IF($BX334=Constants!$B$10,$BW334,""))</f>
        <v/>
      </c>
      <c r="CR334" s="101" t="str">
        <f aca="false">IF(ISBLANK($C334),"",IF($BX334&lt;&gt;Constants!$B$6,"",IF($BL334="-&gt;",2,1)))</f>
        <v/>
      </c>
      <c r="CS334" s="103" t="str">
        <f aca="false">IF(ISBLANK($C334),"",IF($BX334&lt;&gt;Constants!$B$6,"",IF($BL334="-&gt;",$BN334,$BC334)))</f>
        <v/>
      </c>
      <c r="CT334" s="103" t="str">
        <f aca="false">IF(ISBLANK($C334),"",IF($BX334&lt;&gt;Constants!$B$6,"",IF($BL334="-&gt;",$BO334,$BD334)))</f>
        <v/>
      </c>
      <c r="CU334" s="103" t="str">
        <f aca="false">IF(ISBLANK($C334),"",IF($BX334&lt;&gt;Constants!$B$6,"",IF($BL334="-&gt;",$BP334+$BQ334,$BE334+$BF334)+$CB334))</f>
        <v/>
      </c>
      <c r="CV334" s="103" t="str">
        <f aca="false">IF(ISBLANK($C334),"",IF($BX334&lt;&gt;Constants!$B$6,"",IF($BL334="-&gt;",$BR334,$BG334)+$CA334))</f>
        <v/>
      </c>
      <c r="CW334" s="104" t="str">
        <f aca="false">IF(ISBLANK($C334),"",IF($BX334&lt;&gt;Constants!$B$6,$BX334,$CC334))</f>
        <v/>
      </c>
      <c r="CX334" s="105" t="str">
        <f aca="false">IF(ISBLANK($C334),"",$BY334)</f>
        <v/>
      </c>
      <c r="CY334" s="106" t="str">
        <f aca="false">IF(ISBLANK($C334),"",$CN334)</f>
        <v/>
      </c>
      <c r="CZ334" s="106" t="str">
        <f aca="false">IF(ISBLANK($C334),"",$CM334)</f>
        <v/>
      </c>
      <c r="DA334" s="107" t="str">
        <f aca="false">IF(ISBLANK($C334),"",IFERROR(_xlfn.SWITCH($CZ334,Constants!$B$9,COUNTA($C$9:$C$508)+2,Constants!$B$8,COUNTA($C$9:$C$508)+1,Constants!$B$7,COUNTA($C$9:$C$508)),$CZ334))</f>
        <v/>
      </c>
      <c r="DB334" s="9"/>
      <c r="DC334" s="108" t="n">
        <f aca="false">IF(OR(ISNUMBER($CZ334),$CZ334=Constants!$B$9,$CZ334=Constants!$B$7,$CZ334=Constants!$B$8),1,0)</f>
        <v>0</v>
      </c>
      <c r="DD334" s="108" t="n">
        <v>326</v>
      </c>
      <c r="DE334" s="108" t="str">
        <f aca="false">IF(ISBLANK($C334),"",IF(ISNUMBER($DA334),$DA334+ROW($B334)/1000,""))</f>
        <v/>
      </c>
      <c r="DF334" s="108" t="str">
        <f aca="false">IF(ISNUMBER($DE334),RANK($DE334,$DE$9:$DE$508,1),"")</f>
        <v/>
      </c>
      <c r="DG334" s="108" t="str">
        <f aca="false">IF(ISBLANK($C334),"",$B334)</f>
        <v/>
      </c>
      <c r="DH334" s="108" t="str">
        <f aca="false">IF(ISBLANK($C334),"",$C334)</f>
        <v/>
      </c>
      <c r="DI334" s="108" t="str">
        <f aca="false">IF(ISBLANK($C334),"",$D334)</f>
        <v/>
      </c>
      <c r="DJ334" s="109" t="str">
        <f aca="false">$CX334</f>
        <v/>
      </c>
      <c r="DK334" s="110" t="str">
        <f aca="false">$CW334</f>
        <v/>
      </c>
      <c r="DL334" s="108" t="str">
        <f aca="false">IF(ISBLANK($C334),"",$CZ334)</f>
        <v/>
      </c>
      <c r="DM334" s="111" t="str">
        <f aca="false">IF($DD334&gt;$DC$8,"",VLOOKUP($DD334,$DF$9:$DL$508,7,FALSE()))</f>
        <v/>
      </c>
      <c r="DN334" s="112" t="str">
        <f aca="false">IF($DD334&gt;$DC$8,"",VLOOKUP($DD334,$DF$9:$DL$508,2,FALSE()))</f>
        <v/>
      </c>
      <c r="DO334" s="112" t="str">
        <f aca="false">IF($DD334&gt;$DC$8,"",VLOOKUP($DD334,$DF$9:$DL$508,3,FALSE()))</f>
        <v/>
      </c>
      <c r="DP334" s="112" t="str">
        <f aca="false">IF($DD334&gt;$DC$8,"",VLOOKUP($DD334,$DF$9:$DL$508,4,FALSE()))</f>
        <v/>
      </c>
      <c r="DQ334" s="112" t="str">
        <f aca="false">IF($DD334&gt;$DC$8,"",VLOOKUP($DD334,$DF$9:$DL$508,5,FALSE()))</f>
        <v/>
      </c>
      <c r="DR334" s="113" t="str">
        <f aca="false">IF($DD334&gt;$DC$8,"",VLOOKUP($DD334,$DF$9:$DL$508,6,FALSE()))</f>
        <v/>
      </c>
      <c r="DS334" s="76"/>
    </row>
    <row r="335" customFormat="false" ht="15.75" hidden="false" customHeight="false" outlineLevel="0" collapsed="false">
      <c r="A335" s="9"/>
      <c r="B335" s="78"/>
      <c r="C335" s="79"/>
      <c r="D335" s="170"/>
      <c r="E335" s="178"/>
      <c r="F335" s="172"/>
      <c r="G335" s="173"/>
      <c r="H335" s="173"/>
      <c r="I335" s="179"/>
      <c r="J335" s="176"/>
      <c r="K335" s="86"/>
      <c r="L335" s="87"/>
      <c r="M335" s="88"/>
      <c r="N335" s="176"/>
      <c r="O335" s="176"/>
      <c r="P335" s="178"/>
      <c r="Q335" s="176"/>
      <c r="R335" s="176"/>
      <c r="S335" s="86"/>
      <c r="T335" s="88"/>
      <c r="U335" s="88"/>
      <c r="V335" s="176"/>
      <c r="W335" s="176"/>
      <c r="X335" s="178"/>
      <c r="Y335" s="176"/>
      <c r="Z335" s="177"/>
      <c r="AA335" s="176"/>
      <c r="AB335" s="92"/>
      <c r="AC335" s="93"/>
      <c r="AD335" s="93"/>
      <c r="AE335" s="93"/>
      <c r="AF335" s="93" t="str">
        <f aca="false">IF(ISBLANK($C335),"",IF(E335=Constants!$B$2,TRUE(),IF(E335=Constants!$B$3,FALSE(),TRUE())))</f>
        <v/>
      </c>
      <c r="AG335" s="93" t="str">
        <f aca="false">IF(ISBLANK($C335),"",IF(F335=Constants!$B$2,TRUE(),IF(F335=Constants!$B$3,FALSE(),TRUE())))</f>
        <v/>
      </c>
      <c r="AH335" s="93" t="str">
        <f aca="false">IF(ISBLANK($C335),"",IF(G335=Constants!$B$2,TRUE(),IF(G335=Constants!$B$3,FALSE(),TRUE())))</f>
        <v/>
      </c>
      <c r="AI335" s="93" t="str">
        <f aca="false">IF(ISBLANK($C335),"",IF(AND(ISNUMBER(H335),H335&gt;=0),H335,Constants!$B$24))</f>
        <v/>
      </c>
      <c r="AJ335" s="93" t="str">
        <f aca="false">IF(ISBLANK($C335),"",IF(I335=Constants!$B$2,TRUE(),IF(I335=Constants!$B$3,FALSE(),TRUE())))</f>
        <v/>
      </c>
      <c r="AK335" s="93" t="str">
        <f aca="false">IF(ISBLANK($C335),"",IF(J335=Constants!$B$2,TRUE(),IF(J335=Constants!$B$3,FALSE(),TRUE())))</f>
        <v/>
      </c>
      <c r="AL335" s="93" t="str">
        <f aca="false">IF(ISBLANK($C335),"",IF(K335=Constants!$B$4,TRUE(),IF(K335=Constants!$B$5,FALSE(),COUNTA(L335:P335)&gt;0)))</f>
        <v/>
      </c>
      <c r="AM335" s="95" t="str">
        <f aca="false">IF(ISBLANK($C335),"",IF(ISNUMBER(L335),IF(L335&gt;=0,L335,""),""))</f>
        <v/>
      </c>
      <c r="AN335" s="94" t="str">
        <f aca="false">IF(ISBLANK($C335),"",IF(ISNUMBER(M335),IF(M335&gt;=0,M335,""),""))</f>
        <v/>
      </c>
      <c r="AO335" s="94" t="str">
        <f aca="false">IF(ISBLANK($C335),"",IF(N335=Constants!$B$2,TRUE(),IF(N335=Constants!$B$3,FALSE(),TRUE())))</f>
        <v/>
      </c>
      <c r="AP335" s="93" t="str">
        <f aca="false">IF(ISBLANK($C335),"",IF(ISNUMBER(O335),IF(O335&gt;=0,O335,""),""))</f>
        <v/>
      </c>
      <c r="AQ335" s="93" t="str">
        <f aca="false">IF(ISBLANK($C335),"",IF(P335=Constants!$B$2,TRUE(),IF(P335=Constants!$B$3,FALSE(),FALSE())))</f>
        <v/>
      </c>
      <c r="AR335" s="93" t="str">
        <f aca="false">IF(ISBLANK($C335),"",IF(Q335=Constants!$B$2,TRUE(),IF(Q335=Constants!$B$3,FALSE(),TRUE())))</f>
        <v/>
      </c>
      <c r="AS335" s="93" t="str">
        <f aca="false">IF(ISBLANK($C335),"",IF(R335=Constants!$B$2,TRUE(),IF(R335=Constants!$B$3,FALSE(),TRUE())))</f>
        <v/>
      </c>
      <c r="AT335" s="93" t="str">
        <f aca="false">IF(ISBLANK($C335),"",IF(S335=Constants!$B$4,TRUE(),IF(S335=Constants!$B$5,FALSE(),COUNTA(T335:X335)&gt;0)))</f>
        <v/>
      </c>
      <c r="AU335" s="95" t="str">
        <f aca="false">IF(ISBLANK($C335),"",IF(ISNUMBER(T335),IF(T335&gt;=0,T335,""),""))</f>
        <v/>
      </c>
      <c r="AV335" s="94" t="str">
        <f aca="false">IF(ISBLANK($C335),"",IF(ISNUMBER(U335),IF(U335&gt;=0,U335,""),""))</f>
        <v/>
      </c>
      <c r="AW335" s="94" t="str">
        <f aca="false">IF(ISBLANK($C335),"",IF(V335=Constants!$B$2,TRUE(),IF(V335=Constants!$B$3,FALSE(),TRUE())))</f>
        <v/>
      </c>
      <c r="AX335" s="93" t="str">
        <f aca="false">IF(ISBLANK($C335),"",IF(ISNUMBER(W335),IF(W335&gt;=0,W335,""),""))</f>
        <v/>
      </c>
      <c r="AY335" s="93" t="str">
        <f aca="false">IF(ISBLANK($C335),"",IF(X335=Constants!$B$2,TRUE(),IF(X335=Constants!$B$3,FALSE(),FALSE())))</f>
        <v/>
      </c>
      <c r="AZ335" s="93" t="str">
        <f aca="false">IF(ISBLANK($C335),"",MIN(Constants!$B$25,MAX(0,IF(ISNUMBER(Y335),Y335*60,0)+IF(ISNUMBER(Z335),Z335,0))))</f>
        <v/>
      </c>
      <c r="BA335" s="93" t="str">
        <f aca="false">IF(ISBLANK($C335),"",IF(AA335=Constants!$B$2,TRUE(),IF(AA335=Constants!$B$3,FALSE(),FALSE())))</f>
        <v/>
      </c>
      <c r="BB335" s="92" t="str">
        <f aca="false">IF(ISBLANK($C335),"",AND($AL335,OR($AM335="",$AN335="",AND($AO335,$AP335=""))))</f>
        <v/>
      </c>
      <c r="BC335" s="94" t="str">
        <f aca="false">IF($BX335&lt;&gt;Constants!$B$6,"",IF($AL335,Constants!$B$17*$AN335+Constants!$B$18*IF($AO335,$AP335,Constants!$B$19),Constants!$B$20))</f>
        <v/>
      </c>
      <c r="BD335" s="97" t="str">
        <f aca="false">IF($BX335&lt;&gt;Constants!$B$6,"",Constants!$B$21*ABS($AD$9-IF($AL335,$AM335,0)))</f>
        <v/>
      </c>
      <c r="BE335" s="97" t="str">
        <f aca="false">IF($BX335&lt;&gt;Constants!$B$6,"",IF(AND($AL335,$AQ335,$AO335),Constants!$B$22,0))</f>
        <v/>
      </c>
      <c r="BF335" s="97" t="str">
        <f aca="false">IF($BX335&lt;&gt;Constants!$B$6,"",IF($AL335,($AI335-Constants!$B$24)*Constants!$B$23,0))</f>
        <v/>
      </c>
      <c r="BG335" s="97" t="str">
        <f aca="false">IF($BX335&lt;&gt;Constants!$B$6,"",IF($AK335,0,Constants!$B$12)+IF($AJ335,0,Constants!$B$13)+IF($AH335,0,Constants!$B$14))</f>
        <v/>
      </c>
      <c r="BH335" s="98" t="str">
        <f aca="false">IF($BX335&lt;&gt;Constants!$B$6,"",Constants!$B$16+SUM($BC335:$BG335))</f>
        <v/>
      </c>
      <c r="BI335" s="97" t="str">
        <f aca="false">IF($BX335&lt;&gt;Constants!$B$6,"",$BC335)</f>
        <v/>
      </c>
      <c r="BJ335" s="97" t="str">
        <f aca="false">IF($BX335&lt;&gt;Constants!$B$6,"",$BD335)</f>
        <v/>
      </c>
      <c r="BK335" s="99" t="str">
        <f aca="false">IF($BX335&lt;&gt;Constants!$B$6,"",IF($AL335,$AN335,""))</f>
        <v/>
      </c>
      <c r="BL335" s="93" t="str">
        <f aca="false">IF($BX335&lt;&gt;Constants!$B$6,"",IF(OR($BS335&lt;$BH335,AND($BS335=$BH335,OR($BT335&lt;$BI335,AND($BT335=$BI335,OR($BU335&lt;$BJ335,AND($BU335=$BJ335,AND(ISNUMBER($BV335),OR(NOT(ISNUMBER($BK335)),$BV335&lt;$BK335)))))))),"-&gt;","&lt;-"))</f>
        <v/>
      </c>
      <c r="BM335" s="92" t="str">
        <f aca="false">IF(ISBLANK($C335),"",AND($AT335,OR($AU335="",$AV335="",AND($AW335,$AX335=""))))</f>
        <v/>
      </c>
      <c r="BN335" s="94" t="str">
        <f aca="false">IF($BX335&lt;&gt;Constants!$B$6,"",IF($AT335,Constants!$B$17*$AV335+Constants!$B$18*IF($AW335,$AX335,Constants!$B$19),Constants!$B$20))</f>
        <v/>
      </c>
      <c r="BO335" s="97" t="str">
        <f aca="false">IF($BX335&lt;&gt;Constants!$B$6,"",Constants!$B$21*ABS($AD$9-IF($AT335,$AU335,0)))</f>
        <v/>
      </c>
      <c r="BP335" s="97" t="str">
        <f aca="false">IF($BX335&lt;&gt;Constants!$B$6,"",IF(AND($AT335,$AY335,$AW335),Constants!$B$22,0))</f>
        <v/>
      </c>
      <c r="BQ335" s="97" t="str">
        <f aca="false">IF($BX335&lt;&gt;Constants!$B$6,"",IF($AT335,($AI335-Constants!$B$24)*Constants!$B$23,0))</f>
        <v/>
      </c>
      <c r="BR335" s="97" t="str">
        <f aca="false">IF($BX335&lt;&gt;Constants!$B$6,"",IF($AS335,0,Constants!$B$12)+IF($AR335,0,Constants!$B$13)+IF($AH335,0,Constants!$B$14))</f>
        <v/>
      </c>
      <c r="BS335" s="98" t="str">
        <f aca="false">IF($BX335&lt;&gt;Constants!$B$6,"",Constants!$B$16+SUM($BN335:$BR335))</f>
        <v/>
      </c>
      <c r="BT335" s="97" t="str">
        <f aca="false">IF($BX335&lt;&gt;Constants!$B$6,"",$BN335)</f>
        <v/>
      </c>
      <c r="BU335" s="97" t="str">
        <f aca="false">IF($BX335&lt;&gt;Constants!$B$6,"",$BO335)</f>
        <v/>
      </c>
      <c r="BV335" s="99" t="str">
        <f aca="false">IF($BX335&lt;&gt;Constants!$B$6,"",IF($AT335,$AV335,""))</f>
        <v/>
      </c>
      <c r="BW335" s="93" t="str">
        <f aca="false">IF(ISBLANK($C335),"",IF(ISBLANK($D$7),$BW$5,IF(NOT(ISNUMBER($D$7)),$BW$6,"")))</f>
        <v/>
      </c>
      <c r="BX335" s="93" t="str">
        <f aca="false">IF(ISBLANK($C335),"",IF($BA335,Constants!$B$9,IF(COUNTA($E335:$AA335)=0,Constants!$B$8,IF(NOT($AG335),Constants!$B$7,IF(OR($BW335&lt;&gt;"",$BB335,$BM335),Constants!$B$10,Constants!$B$6)))))</f>
        <v/>
      </c>
      <c r="BY335" s="93" t="str">
        <f aca="false">IF(ISBLANK($C335),"",IF($BX335&lt;&gt;Constants!$B$6,$BX335,Constants!$B$11))</f>
        <v/>
      </c>
      <c r="BZ335" s="97" t="str">
        <f aca="false">IF($BX335&lt;&gt;Constants!$B$6,"",IF($BL335="-&gt;",$BS335,$BH335))</f>
        <v/>
      </c>
      <c r="CA335" s="97" t="str">
        <f aca="false">IF($BX335&lt;&gt;Constants!$B$6,"",IF($AF335,0,Constants!$B$15))</f>
        <v/>
      </c>
      <c r="CB335" s="97" t="str">
        <f aca="false">IF($BX335&lt;&gt;Constants!$B$6,"",((Constants!$B$25-$AZ335)-Constants!$B$25)/Constants!$B$26)</f>
        <v/>
      </c>
      <c r="CC335" s="97" t="str">
        <f aca="false">IF(ISBLANK($C335),"",IF($BX335&lt;&gt;Constants!$B$6,$BX335,SUM($BZ335:$CB335)))</f>
        <v/>
      </c>
      <c r="CD335" s="93" t="str">
        <f aca="false">IF(ISBLANK($C335),"",IF($BX335&lt;&gt;Constants!$B$6,$BX335,RANK($CC335,$CC$9:$CC$508,1)))</f>
        <v/>
      </c>
      <c r="CE335" s="97" t="str">
        <f aca="false">IF($BX335&lt;&gt;Constants!$B$6,"",IF($BL335="-&gt;",$BT335,$BI335))</f>
        <v/>
      </c>
      <c r="CF335" s="93" t="str">
        <f aca="false">IF(ISBLANK($C335),"",IF($BX335&lt;&gt;Constants!$B$6,$BX335,IF(ISNUMBER($CE335),RANK($CE335,$CE$9:$CE$508,1),COUNT($CE$9:$CE$508)+1)))</f>
        <v/>
      </c>
      <c r="CG335" s="97" t="str">
        <f aca="false">IF($BX335&lt;&gt;Constants!$B$6,"",IF($BL335="-&gt;",$BU335,$BJ335))</f>
        <v/>
      </c>
      <c r="CH335" s="93" t="str">
        <f aca="false">IF(ISBLANK($C335),"",IF($BX335&lt;&gt;Constants!$B$6,$BX335,IF(ISNUMBER($CG335),RANK($CG335,$CG$9:$CG$508,1),COUNT($CG$9:$CG$508)+1)))</f>
        <v/>
      </c>
      <c r="CI335" s="97" t="str">
        <f aca="false">IF($BX335&lt;&gt;Constants!$B$6,"",IF($BL335="-&gt;",$BV335,$BK335))</f>
        <v/>
      </c>
      <c r="CJ335" s="93" t="str">
        <f aca="false">IF(ISBLANK($C335),"",IF($BX335&lt;&gt;Constants!$B$6,$BX335,IF(ISNUMBER($CI335),RANK($CI335,$CI$9:$CI$508,1),COUNT($CI$9:$CI$508)+1)))</f>
        <v/>
      </c>
      <c r="CK335" s="97" t="str">
        <f aca="false">IF($BX335&lt;&gt;Constants!$B$6,"",$AI335)</f>
        <v/>
      </c>
      <c r="CL335" s="93" t="str">
        <f aca="false">IF(ISBLANK($C335),"",IF($BX335&lt;&gt;Constants!$B$6,$BX335,IF(ISNUMBER($CK335),RANK($CK335,$CK$9:$CK$508,1),COUNT($CK$9:$CK$508)+1)))</f>
        <v/>
      </c>
      <c r="CM335" s="93" t="str">
        <f aca="false">IF(ISBLANK($C335),"",IF($BX335&lt;&gt;Constants!$B$6,$BX335,COUNTIFS($CD$9:$CD$508,"&lt;"&amp;$CD335)+COUNTIFS($CD$9:$CD$508,$CD335,$CF$9:$CF$508,"&lt;"&amp;$CF335)+COUNTIFS($CD$9:$CD$508,$CD335,$CF$9:$CF$508,$CF335,$CH$9:$CH$508,"&lt;"&amp;$CH335)+COUNTIFS($CD$9:$CD$508,$CD335,$CF$9:$CF$508,$CF335,$CH$9:$CH$508,$CH335,$CJ$9:$CJ$508,"&lt;"&amp;$CJ335)+COUNTIFS($CD$9:$CD$508,$CD335,$CF$9:$CF$508,$CF335,$CH$9:$CH$508,$CH335,$CJ$9:$CJ$508,$CJ335,$CL$9:$CL$508,"&lt;"&amp;$CL335)+1))</f>
        <v/>
      </c>
      <c r="CN335" s="93" t="str">
        <f aca="false">IF(ISBLANK($C335),"",IF($BX335&lt;&gt;Constants!$B$6,$BX335,$CD335-$CM335))</f>
        <v/>
      </c>
      <c r="CO335" s="100"/>
      <c r="CP335" s="101"/>
      <c r="CQ335" s="102" t="str">
        <f aca="false">IF(ISBLANK($C335),"",IF($BX335=Constants!$B$10,$BW335,""))</f>
        <v/>
      </c>
      <c r="CR335" s="101" t="str">
        <f aca="false">IF(ISBLANK($C335),"",IF($BX335&lt;&gt;Constants!$B$6,"",IF($BL335="-&gt;",2,1)))</f>
        <v/>
      </c>
      <c r="CS335" s="103" t="str">
        <f aca="false">IF(ISBLANK($C335),"",IF($BX335&lt;&gt;Constants!$B$6,"",IF($BL335="-&gt;",$BN335,$BC335)))</f>
        <v/>
      </c>
      <c r="CT335" s="103" t="str">
        <f aca="false">IF(ISBLANK($C335),"",IF($BX335&lt;&gt;Constants!$B$6,"",IF($BL335="-&gt;",$BO335,$BD335)))</f>
        <v/>
      </c>
      <c r="CU335" s="103" t="str">
        <f aca="false">IF(ISBLANK($C335),"",IF($BX335&lt;&gt;Constants!$B$6,"",IF($BL335="-&gt;",$BP335+$BQ335,$BE335+$BF335)+$CB335))</f>
        <v/>
      </c>
      <c r="CV335" s="103" t="str">
        <f aca="false">IF(ISBLANK($C335),"",IF($BX335&lt;&gt;Constants!$B$6,"",IF($BL335="-&gt;",$BR335,$BG335)+$CA335))</f>
        <v/>
      </c>
      <c r="CW335" s="104" t="str">
        <f aca="false">IF(ISBLANK($C335),"",IF($BX335&lt;&gt;Constants!$B$6,$BX335,$CC335))</f>
        <v/>
      </c>
      <c r="CX335" s="105" t="str">
        <f aca="false">IF(ISBLANK($C335),"",$BY335)</f>
        <v/>
      </c>
      <c r="CY335" s="106" t="str">
        <f aca="false">IF(ISBLANK($C335),"",$CN335)</f>
        <v/>
      </c>
      <c r="CZ335" s="106" t="str">
        <f aca="false">IF(ISBLANK($C335),"",$CM335)</f>
        <v/>
      </c>
      <c r="DA335" s="107" t="str">
        <f aca="false">IF(ISBLANK($C335),"",IFERROR(_xlfn.SWITCH($CZ335,Constants!$B$9,COUNTA($C$9:$C$508)+2,Constants!$B$8,COUNTA($C$9:$C$508)+1,Constants!$B$7,COUNTA($C$9:$C$508)),$CZ335))</f>
        <v/>
      </c>
      <c r="DB335" s="9"/>
      <c r="DC335" s="108" t="n">
        <f aca="false">IF(OR(ISNUMBER($CZ335),$CZ335=Constants!$B$9,$CZ335=Constants!$B$7,$CZ335=Constants!$B$8),1,0)</f>
        <v>0</v>
      </c>
      <c r="DD335" s="108" t="n">
        <v>327</v>
      </c>
      <c r="DE335" s="108" t="str">
        <f aca="false">IF(ISBLANK($C335),"",IF(ISNUMBER($DA335),$DA335+ROW($B335)/1000,""))</f>
        <v/>
      </c>
      <c r="DF335" s="108" t="str">
        <f aca="false">IF(ISNUMBER($DE335),RANK($DE335,$DE$9:$DE$508,1),"")</f>
        <v/>
      </c>
      <c r="DG335" s="108" t="str">
        <f aca="false">IF(ISBLANK($C335),"",$B335)</f>
        <v/>
      </c>
      <c r="DH335" s="108" t="str">
        <f aca="false">IF(ISBLANK($C335),"",$C335)</f>
        <v/>
      </c>
      <c r="DI335" s="108" t="str">
        <f aca="false">IF(ISBLANK($C335),"",$D335)</f>
        <v/>
      </c>
      <c r="DJ335" s="109" t="str">
        <f aca="false">$CX335</f>
        <v/>
      </c>
      <c r="DK335" s="110" t="str">
        <f aca="false">$CW335</f>
        <v/>
      </c>
      <c r="DL335" s="108" t="str">
        <f aca="false">IF(ISBLANK($C335),"",$CZ335)</f>
        <v/>
      </c>
      <c r="DM335" s="111" t="str">
        <f aca="false">IF($DD335&gt;$DC$8,"",VLOOKUP($DD335,$DF$9:$DL$508,7,FALSE()))</f>
        <v/>
      </c>
      <c r="DN335" s="112" t="str">
        <f aca="false">IF($DD335&gt;$DC$8,"",VLOOKUP($DD335,$DF$9:$DL$508,2,FALSE()))</f>
        <v/>
      </c>
      <c r="DO335" s="112" t="str">
        <f aca="false">IF($DD335&gt;$DC$8,"",VLOOKUP($DD335,$DF$9:$DL$508,3,FALSE()))</f>
        <v/>
      </c>
      <c r="DP335" s="112" t="str">
        <f aca="false">IF($DD335&gt;$DC$8,"",VLOOKUP($DD335,$DF$9:$DL$508,4,FALSE()))</f>
        <v/>
      </c>
      <c r="DQ335" s="112" t="str">
        <f aca="false">IF($DD335&gt;$DC$8,"",VLOOKUP($DD335,$DF$9:$DL$508,5,FALSE()))</f>
        <v/>
      </c>
      <c r="DR335" s="113" t="str">
        <f aca="false">IF($DD335&gt;$DC$8,"",VLOOKUP($DD335,$DF$9:$DL$508,6,FALSE()))</f>
        <v/>
      </c>
      <c r="DS335" s="76"/>
    </row>
    <row r="336" customFormat="false" ht="15.75" hidden="false" customHeight="false" outlineLevel="0" collapsed="false">
      <c r="A336" s="9"/>
      <c r="B336" s="160"/>
      <c r="C336" s="161"/>
      <c r="D336" s="162"/>
      <c r="E336" s="180"/>
      <c r="F336" s="164"/>
      <c r="G336" s="165"/>
      <c r="H336" s="165"/>
      <c r="I336" s="181"/>
      <c r="J336" s="168"/>
      <c r="K336" s="128"/>
      <c r="L336" s="129"/>
      <c r="M336" s="130"/>
      <c r="N336" s="168"/>
      <c r="O336" s="168"/>
      <c r="P336" s="180"/>
      <c r="Q336" s="168"/>
      <c r="R336" s="168"/>
      <c r="S336" s="128"/>
      <c r="T336" s="130"/>
      <c r="U336" s="130"/>
      <c r="V336" s="168"/>
      <c r="W336" s="168"/>
      <c r="X336" s="180"/>
      <c r="Y336" s="168"/>
      <c r="Z336" s="169"/>
      <c r="AA336" s="168"/>
      <c r="AB336" s="134"/>
      <c r="AC336" s="135"/>
      <c r="AD336" s="135"/>
      <c r="AE336" s="135"/>
      <c r="AF336" s="135" t="str">
        <f aca="false">IF(ISBLANK($C336),"",IF(E336=Constants!$B$2,TRUE(),IF(E336=Constants!$B$3,FALSE(),TRUE())))</f>
        <v/>
      </c>
      <c r="AG336" s="135" t="str">
        <f aca="false">IF(ISBLANK($C336),"",IF(F336=Constants!$B$2,TRUE(),IF(F336=Constants!$B$3,FALSE(),TRUE())))</f>
        <v/>
      </c>
      <c r="AH336" s="135" t="str">
        <f aca="false">IF(ISBLANK($C336),"",IF(G336=Constants!$B$2,TRUE(),IF(G336=Constants!$B$3,FALSE(),TRUE())))</f>
        <v/>
      </c>
      <c r="AI336" s="135" t="str">
        <f aca="false">IF(ISBLANK($C336),"",IF(AND(ISNUMBER(H336),H336&gt;=0),H336,Constants!$B$24))</f>
        <v/>
      </c>
      <c r="AJ336" s="135" t="str">
        <f aca="false">IF(ISBLANK($C336),"",IF(I336=Constants!$B$2,TRUE(),IF(I336=Constants!$B$3,FALSE(),TRUE())))</f>
        <v/>
      </c>
      <c r="AK336" s="135" t="str">
        <f aca="false">IF(ISBLANK($C336),"",IF(J336=Constants!$B$2,TRUE(),IF(J336=Constants!$B$3,FALSE(),TRUE())))</f>
        <v/>
      </c>
      <c r="AL336" s="135" t="str">
        <f aca="false">IF(ISBLANK($C336),"",IF(K336=Constants!$B$4,TRUE(),IF(K336=Constants!$B$5,FALSE(),COUNTA(L336:P336)&gt;0)))</f>
        <v/>
      </c>
      <c r="AM336" s="136" t="str">
        <f aca="false">IF(ISBLANK($C336),"",IF(ISNUMBER(L336),IF(L336&gt;=0,L336,""),""))</f>
        <v/>
      </c>
      <c r="AN336" s="137" t="str">
        <f aca="false">IF(ISBLANK($C336),"",IF(ISNUMBER(M336),IF(M336&gt;=0,M336,""),""))</f>
        <v/>
      </c>
      <c r="AO336" s="137" t="str">
        <f aca="false">IF(ISBLANK($C336),"",IF(N336=Constants!$B$2,TRUE(),IF(N336=Constants!$B$3,FALSE(),TRUE())))</f>
        <v/>
      </c>
      <c r="AP336" s="135" t="str">
        <f aca="false">IF(ISBLANK($C336),"",IF(ISNUMBER(O336),IF(O336&gt;=0,O336,""),""))</f>
        <v/>
      </c>
      <c r="AQ336" s="135" t="str">
        <f aca="false">IF(ISBLANK($C336),"",IF(P336=Constants!$B$2,TRUE(),IF(P336=Constants!$B$3,FALSE(),FALSE())))</f>
        <v/>
      </c>
      <c r="AR336" s="135" t="str">
        <f aca="false">IF(ISBLANK($C336),"",IF(Q336=Constants!$B$2,TRUE(),IF(Q336=Constants!$B$3,FALSE(),TRUE())))</f>
        <v/>
      </c>
      <c r="AS336" s="135" t="str">
        <f aca="false">IF(ISBLANK($C336),"",IF(R336=Constants!$B$2,TRUE(),IF(R336=Constants!$B$3,FALSE(),TRUE())))</f>
        <v/>
      </c>
      <c r="AT336" s="135" t="str">
        <f aca="false">IF(ISBLANK($C336),"",IF(S336=Constants!$B$4,TRUE(),IF(S336=Constants!$B$5,FALSE(),COUNTA(T336:X336)&gt;0)))</f>
        <v/>
      </c>
      <c r="AU336" s="136" t="str">
        <f aca="false">IF(ISBLANK($C336),"",IF(ISNUMBER(T336),IF(T336&gt;=0,T336,""),""))</f>
        <v/>
      </c>
      <c r="AV336" s="137" t="str">
        <f aca="false">IF(ISBLANK($C336),"",IF(ISNUMBER(U336),IF(U336&gt;=0,U336,""),""))</f>
        <v/>
      </c>
      <c r="AW336" s="137" t="str">
        <f aca="false">IF(ISBLANK($C336),"",IF(V336=Constants!$B$2,TRUE(),IF(V336=Constants!$B$3,FALSE(),TRUE())))</f>
        <v/>
      </c>
      <c r="AX336" s="135" t="str">
        <f aca="false">IF(ISBLANK($C336),"",IF(ISNUMBER(W336),IF(W336&gt;=0,W336,""),""))</f>
        <v/>
      </c>
      <c r="AY336" s="135" t="str">
        <f aca="false">IF(ISBLANK($C336),"",IF(X336=Constants!$B$2,TRUE(),IF(X336=Constants!$B$3,FALSE(),FALSE())))</f>
        <v/>
      </c>
      <c r="AZ336" s="135" t="str">
        <f aca="false">IF(ISBLANK($C336),"",MIN(Constants!$B$25,MAX(0,IF(ISNUMBER(Y336),Y336*60,0)+IF(ISNUMBER(Z336),Z336,0))))</f>
        <v/>
      </c>
      <c r="BA336" s="135" t="str">
        <f aca="false">IF(ISBLANK($C336),"",IF(AA336=Constants!$B$2,TRUE(),IF(AA336=Constants!$B$3,FALSE(),FALSE())))</f>
        <v/>
      </c>
      <c r="BB336" s="134" t="str">
        <f aca="false">IF(ISBLANK($C336),"",AND($AL336,OR($AM336="",$AN336="",AND($AO336,$AP336=""))))</f>
        <v/>
      </c>
      <c r="BC336" s="137" t="str">
        <f aca="false">IF($BX336&lt;&gt;Constants!$B$6,"",IF($AL336,Constants!$B$17*$AN336+Constants!$B$18*IF($AO336,$AP336,Constants!$B$19),Constants!$B$20))</f>
        <v/>
      </c>
      <c r="BD336" s="138" t="str">
        <f aca="false">IF($BX336&lt;&gt;Constants!$B$6,"",Constants!$B$21*ABS($AD$9-IF($AL336,$AM336,0)))</f>
        <v/>
      </c>
      <c r="BE336" s="138" t="str">
        <f aca="false">IF($BX336&lt;&gt;Constants!$B$6,"",IF(AND($AL336,$AQ336,$AO336),Constants!$B$22,0))</f>
        <v/>
      </c>
      <c r="BF336" s="138" t="str">
        <f aca="false">IF($BX336&lt;&gt;Constants!$B$6,"",IF($AL336,($AI336-Constants!$B$24)*Constants!$B$23,0))</f>
        <v/>
      </c>
      <c r="BG336" s="138" t="str">
        <f aca="false">IF($BX336&lt;&gt;Constants!$B$6,"",IF($AK336,0,Constants!$B$12)+IF($AJ336,0,Constants!$B$13)+IF($AH336,0,Constants!$B$14))</f>
        <v/>
      </c>
      <c r="BH336" s="139" t="str">
        <f aca="false">IF($BX336&lt;&gt;Constants!$B$6,"",Constants!$B$16+SUM($BC336:$BG336))</f>
        <v/>
      </c>
      <c r="BI336" s="138" t="str">
        <f aca="false">IF($BX336&lt;&gt;Constants!$B$6,"",$BC336)</f>
        <v/>
      </c>
      <c r="BJ336" s="138" t="str">
        <f aca="false">IF($BX336&lt;&gt;Constants!$B$6,"",$BD336)</f>
        <v/>
      </c>
      <c r="BK336" s="140" t="str">
        <f aca="false">IF($BX336&lt;&gt;Constants!$B$6,"",IF($AL336,$AN336,""))</f>
        <v/>
      </c>
      <c r="BL336" s="135" t="str">
        <f aca="false">IF($BX336&lt;&gt;Constants!$B$6,"",IF(OR($BS336&lt;$BH336,AND($BS336=$BH336,OR($BT336&lt;$BI336,AND($BT336=$BI336,OR($BU336&lt;$BJ336,AND($BU336=$BJ336,AND(ISNUMBER($BV336),OR(NOT(ISNUMBER($BK336)),$BV336&lt;$BK336)))))))),"-&gt;","&lt;-"))</f>
        <v/>
      </c>
      <c r="BM336" s="134" t="str">
        <f aca="false">IF(ISBLANK($C336),"",AND($AT336,OR($AU336="",$AV336="",AND($AW336,$AX336=""))))</f>
        <v/>
      </c>
      <c r="BN336" s="137" t="str">
        <f aca="false">IF($BX336&lt;&gt;Constants!$B$6,"",IF($AT336,Constants!$B$17*$AV336+Constants!$B$18*IF($AW336,$AX336,Constants!$B$19),Constants!$B$20))</f>
        <v/>
      </c>
      <c r="BO336" s="138" t="str">
        <f aca="false">IF($BX336&lt;&gt;Constants!$B$6,"",Constants!$B$21*ABS($AD$9-IF($AT336,$AU336,0)))</f>
        <v/>
      </c>
      <c r="BP336" s="138" t="str">
        <f aca="false">IF($BX336&lt;&gt;Constants!$B$6,"",IF(AND($AT336,$AY336,$AW336),Constants!$B$22,0))</f>
        <v/>
      </c>
      <c r="BQ336" s="138" t="str">
        <f aca="false">IF($BX336&lt;&gt;Constants!$B$6,"",IF($AT336,($AI336-Constants!$B$24)*Constants!$B$23,0))</f>
        <v/>
      </c>
      <c r="BR336" s="138" t="str">
        <f aca="false">IF($BX336&lt;&gt;Constants!$B$6,"",IF($AS336,0,Constants!$B$12)+IF($AR336,0,Constants!$B$13)+IF($AH336,0,Constants!$B$14))</f>
        <v/>
      </c>
      <c r="BS336" s="139" t="str">
        <f aca="false">IF($BX336&lt;&gt;Constants!$B$6,"",Constants!$B$16+SUM($BN336:$BR336))</f>
        <v/>
      </c>
      <c r="BT336" s="138" t="str">
        <f aca="false">IF($BX336&lt;&gt;Constants!$B$6,"",$BN336)</f>
        <v/>
      </c>
      <c r="BU336" s="138" t="str">
        <f aca="false">IF($BX336&lt;&gt;Constants!$B$6,"",$BO336)</f>
        <v/>
      </c>
      <c r="BV336" s="140" t="str">
        <f aca="false">IF($BX336&lt;&gt;Constants!$B$6,"",IF($AT336,$AV336,""))</f>
        <v/>
      </c>
      <c r="BW336" s="135" t="str">
        <f aca="false">IF(ISBLANK($C336),"",IF(ISBLANK($D$7),$BW$5,IF(NOT(ISNUMBER($D$7)),$BW$6,"")))</f>
        <v/>
      </c>
      <c r="BX336" s="135" t="str">
        <f aca="false">IF(ISBLANK($C336),"",IF($BA336,Constants!$B$9,IF(COUNTA($E336:$AA336)=0,Constants!$B$8,IF(NOT($AG336),Constants!$B$7,IF(OR($BW336&lt;&gt;"",$BB336,$BM336),Constants!$B$10,Constants!$B$6)))))</f>
        <v/>
      </c>
      <c r="BY336" s="135" t="str">
        <f aca="false">IF(ISBLANK($C336),"",IF($BX336&lt;&gt;Constants!$B$6,$BX336,Constants!$B$11))</f>
        <v/>
      </c>
      <c r="BZ336" s="138" t="str">
        <f aca="false">IF($BX336&lt;&gt;Constants!$B$6,"",IF($BL336="-&gt;",$BS336,$BH336))</f>
        <v/>
      </c>
      <c r="CA336" s="138" t="str">
        <f aca="false">IF($BX336&lt;&gt;Constants!$B$6,"",IF($AF336,0,Constants!$B$15))</f>
        <v/>
      </c>
      <c r="CB336" s="138" t="str">
        <f aca="false">IF($BX336&lt;&gt;Constants!$B$6,"",((Constants!$B$25-$AZ336)-Constants!$B$25)/Constants!$B$26)</f>
        <v/>
      </c>
      <c r="CC336" s="138" t="str">
        <f aca="false">IF(ISBLANK($C336),"",IF($BX336&lt;&gt;Constants!$B$6,$BX336,SUM($BZ336:$CB336)))</f>
        <v/>
      </c>
      <c r="CD336" s="135" t="str">
        <f aca="false">IF(ISBLANK($C336),"",IF($BX336&lt;&gt;Constants!$B$6,$BX336,RANK($CC336,$CC$9:$CC$508,1)))</f>
        <v/>
      </c>
      <c r="CE336" s="138" t="str">
        <f aca="false">IF($BX336&lt;&gt;Constants!$B$6,"",IF($BL336="-&gt;",$BT336,$BI336))</f>
        <v/>
      </c>
      <c r="CF336" s="135" t="str">
        <f aca="false">IF(ISBLANK($C336),"",IF($BX336&lt;&gt;Constants!$B$6,$BX336,IF(ISNUMBER($CE336),RANK($CE336,$CE$9:$CE$508,1),COUNT($CE$9:$CE$508)+1)))</f>
        <v/>
      </c>
      <c r="CG336" s="138" t="str">
        <f aca="false">IF($BX336&lt;&gt;Constants!$B$6,"",IF($BL336="-&gt;",$BU336,$BJ336))</f>
        <v/>
      </c>
      <c r="CH336" s="135" t="str">
        <f aca="false">IF(ISBLANK($C336),"",IF($BX336&lt;&gt;Constants!$B$6,$BX336,IF(ISNUMBER($CG336),RANK($CG336,$CG$9:$CG$508,1),COUNT($CG$9:$CG$508)+1)))</f>
        <v/>
      </c>
      <c r="CI336" s="138" t="str">
        <f aca="false">IF($BX336&lt;&gt;Constants!$B$6,"",IF($BL336="-&gt;",$BV336,$BK336))</f>
        <v/>
      </c>
      <c r="CJ336" s="135" t="str">
        <f aca="false">IF(ISBLANK($C336),"",IF($BX336&lt;&gt;Constants!$B$6,$BX336,IF(ISNUMBER($CI336),RANK($CI336,$CI$9:$CI$508,1),COUNT($CI$9:$CI$508)+1)))</f>
        <v/>
      </c>
      <c r="CK336" s="138" t="str">
        <f aca="false">IF($BX336&lt;&gt;Constants!$B$6,"",$AI336)</f>
        <v/>
      </c>
      <c r="CL336" s="135" t="str">
        <f aca="false">IF(ISBLANK($C336),"",IF($BX336&lt;&gt;Constants!$B$6,$BX336,IF(ISNUMBER($CK336),RANK($CK336,$CK$9:$CK$508,1),COUNT($CK$9:$CK$508)+1)))</f>
        <v/>
      </c>
      <c r="CM336" s="135" t="str">
        <f aca="false">IF(ISBLANK($C336),"",IF($BX336&lt;&gt;Constants!$B$6,$BX336,COUNTIFS($CD$9:$CD$508,"&lt;"&amp;$CD336)+COUNTIFS($CD$9:$CD$508,$CD336,$CF$9:$CF$508,"&lt;"&amp;$CF336)+COUNTIFS($CD$9:$CD$508,$CD336,$CF$9:$CF$508,$CF336,$CH$9:$CH$508,"&lt;"&amp;$CH336)+COUNTIFS($CD$9:$CD$508,$CD336,$CF$9:$CF$508,$CF336,$CH$9:$CH$508,$CH336,$CJ$9:$CJ$508,"&lt;"&amp;$CJ336)+COUNTIFS($CD$9:$CD$508,$CD336,$CF$9:$CF$508,$CF336,$CH$9:$CH$508,$CH336,$CJ$9:$CJ$508,$CJ336,$CL$9:$CL$508,"&lt;"&amp;$CL336)+1))</f>
        <v/>
      </c>
      <c r="CN336" s="135" t="str">
        <f aca="false">IF(ISBLANK($C336),"",IF($BX336&lt;&gt;Constants!$B$6,$BX336,$CD336-$CM336))</f>
        <v/>
      </c>
      <c r="CO336" s="141"/>
      <c r="CP336" s="142"/>
      <c r="CQ336" s="143" t="str">
        <f aca="false">IF(ISBLANK($C336),"",IF($BX336=Constants!$B$10,$BW336,""))</f>
        <v/>
      </c>
      <c r="CR336" s="142" t="str">
        <f aca="false">IF(ISBLANK($C336),"",IF($BX336&lt;&gt;Constants!$B$6,"",IF($BL336="-&gt;",2,1)))</f>
        <v/>
      </c>
      <c r="CS336" s="144" t="str">
        <f aca="false">IF(ISBLANK($C336),"",IF($BX336&lt;&gt;Constants!$B$6,"",IF($BL336="-&gt;",$BN336,$BC336)))</f>
        <v/>
      </c>
      <c r="CT336" s="144" t="str">
        <f aca="false">IF(ISBLANK($C336),"",IF($BX336&lt;&gt;Constants!$B$6,"",IF($BL336="-&gt;",$BO336,$BD336)))</f>
        <v/>
      </c>
      <c r="CU336" s="144" t="str">
        <f aca="false">IF(ISBLANK($C336),"",IF($BX336&lt;&gt;Constants!$B$6,"",IF($BL336="-&gt;",$BP336+$BQ336,$BE336+$BF336)+$CB336))</f>
        <v/>
      </c>
      <c r="CV336" s="144" t="str">
        <f aca="false">IF(ISBLANK($C336),"",IF($BX336&lt;&gt;Constants!$B$6,"",IF($BL336="-&gt;",$BR336,$BG336)+$CA336))</f>
        <v/>
      </c>
      <c r="CW336" s="145" t="str">
        <f aca="false">IF(ISBLANK($C336),"",IF($BX336&lt;&gt;Constants!$B$6,$BX336,$CC336))</f>
        <v/>
      </c>
      <c r="CX336" s="146" t="str">
        <f aca="false">IF(ISBLANK($C336),"",$BY336)</f>
        <v/>
      </c>
      <c r="CY336" s="147" t="str">
        <f aca="false">IF(ISBLANK($C336),"",$CN336)</f>
        <v/>
      </c>
      <c r="CZ336" s="147" t="str">
        <f aca="false">IF(ISBLANK($C336),"",$CM336)</f>
        <v/>
      </c>
      <c r="DA336" s="148" t="str">
        <f aca="false">IF(ISBLANK($C336),"",IFERROR(_xlfn.SWITCH($CZ336,Constants!$B$9,COUNTA($C$9:$C$508)+2,Constants!$B$8,COUNTA($C$9:$C$508)+1,Constants!$B$7,COUNTA($C$9:$C$508)),$CZ336))</f>
        <v/>
      </c>
      <c r="DB336" s="9"/>
      <c r="DC336" s="149" t="n">
        <f aca="false">IF(OR(ISNUMBER($CZ336),$CZ336=Constants!$B$9,$CZ336=Constants!$B$7,$CZ336=Constants!$B$8),1,0)</f>
        <v>0</v>
      </c>
      <c r="DD336" s="149" t="n">
        <v>328</v>
      </c>
      <c r="DE336" s="149" t="str">
        <f aca="false">IF(ISBLANK($C336),"",IF(ISNUMBER($DA336),$DA336+ROW($B336)/1000,""))</f>
        <v/>
      </c>
      <c r="DF336" s="149" t="str">
        <f aca="false">IF(ISNUMBER($DE336),RANK($DE336,$DE$9:$DE$508,1),"")</f>
        <v/>
      </c>
      <c r="DG336" s="149" t="str">
        <f aca="false">IF(ISBLANK($C336),"",$B336)</f>
        <v/>
      </c>
      <c r="DH336" s="149" t="str">
        <f aca="false">IF(ISBLANK($C336),"",$C336)</f>
        <v/>
      </c>
      <c r="DI336" s="149" t="str">
        <f aca="false">IF(ISBLANK($C336),"",$D336)</f>
        <v/>
      </c>
      <c r="DJ336" s="150" t="str">
        <f aca="false">$CX336</f>
        <v/>
      </c>
      <c r="DK336" s="151" t="str">
        <f aca="false">$CW336</f>
        <v/>
      </c>
      <c r="DL336" s="149" t="str">
        <f aca="false">IF(ISBLANK($C336),"",$CZ336)</f>
        <v/>
      </c>
      <c r="DM336" s="152" t="str">
        <f aca="false">IF($DD336&gt;$DC$8,"",VLOOKUP($DD336,$DF$9:$DL$508,7,FALSE()))</f>
        <v/>
      </c>
      <c r="DN336" s="153" t="str">
        <f aca="false">IF($DD336&gt;$DC$8,"",VLOOKUP($DD336,$DF$9:$DL$508,2,FALSE()))</f>
        <v/>
      </c>
      <c r="DO336" s="153" t="str">
        <f aca="false">IF($DD336&gt;$DC$8,"",VLOOKUP($DD336,$DF$9:$DL$508,3,FALSE()))</f>
        <v/>
      </c>
      <c r="DP336" s="153" t="str">
        <f aca="false">IF($DD336&gt;$DC$8,"",VLOOKUP($DD336,$DF$9:$DL$508,4,FALSE()))</f>
        <v/>
      </c>
      <c r="DQ336" s="153" t="str">
        <f aca="false">IF($DD336&gt;$DC$8,"",VLOOKUP($DD336,$DF$9:$DL$508,5,FALSE()))</f>
        <v/>
      </c>
      <c r="DR336" s="154" t="str">
        <f aca="false">IF($DD336&gt;$DC$8,"",VLOOKUP($DD336,$DF$9:$DL$508,6,FALSE()))</f>
        <v/>
      </c>
      <c r="DS336" s="76"/>
    </row>
    <row r="337" customFormat="false" ht="15.75" hidden="false" customHeight="false" outlineLevel="0" collapsed="false">
      <c r="A337" s="9"/>
      <c r="B337" s="160"/>
      <c r="C337" s="161"/>
      <c r="D337" s="162"/>
      <c r="E337" s="180"/>
      <c r="F337" s="164"/>
      <c r="G337" s="165"/>
      <c r="H337" s="165"/>
      <c r="I337" s="181"/>
      <c r="J337" s="168"/>
      <c r="K337" s="128"/>
      <c r="L337" s="129"/>
      <c r="M337" s="130"/>
      <c r="N337" s="168"/>
      <c r="O337" s="168"/>
      <c r="P337" s="180"/>
      <c r="Q337" s="168"/>
      <c r="R337" s="168"/>
      <c r="S337" s="128"/>
      <c r="T337" s="130"/>
      <c r="U337" s="130"/>
      <c r="V337" s="168"/>
      <c r="W337" s="168"/>
      <c r="X337" s="180"/>
      <c r="Y337" s="168"/>
      <c r="Z337" s="169"/>
      <c r="AA337" s="168"/>
      <c r="AB337" s="134"/>
      <c r="AC337" s="135"/>
      <c r="AD337" s="135"/>
      <c r="AE337" s="135"/>
      <c r="AF337" s="135" t="str">
        <f aca="false">IF(ISBLANK($C337),"",IF(E337=Constants!$B$2,TRUE(),IF(E337=Constants!$B$3,FALSE(),TRUE())))</f>
        <v/>
      </c>
      <c r="AG337" s="135" t="str">
        <f aca="false">IF(ISBLANK($C337),"",IF(F337=Constants!$B$2,TRUE(),IF(F337=Constants!$B$3,FALSE(),TRUE())))</f>
        <v/>
      </c>
      <c r="AH337" s="135" t="str">
        <f aca="false">IF(ISBLANK($C337),"",IF(G337=Constants!$B$2,TRUE(),IF(G337=Constants!$B$3,FALSE(),TRUE())))</f>
        <v/>
      </c>
      <c r="AI337" s="135" t="str">
        <f aca="false">IF(ISBLANK($C337),"",IF(AND(ISNUMBER(H337),H337&gt;=0),H337,Constants!$B$24))</f>
        <v/>
      </c>
      <c r="AJ337" s="135" t="str">
        <f aca="false">IF(ISBLANK($C337),"",IF(I337=Constants!$B$2,TRUE(),IF(I337=Constants!$B$3,FALSE(),TRUE())))</f>
        <v/>
      </c>
      <c r="AK337" s="135" t="str">
        <f aca="false">IF(ISBLANK($C337),"",IF(J337=Constants!$B$2,TRUE(),IF(J337=Constants!$B$3,FALSE(),TRUE())))</f>
        <v/>
      </c>
      <c r="AL337" s="135" t="str">
        <f aca="false">IF(ISBLANK($C337),"",IF(K337=Constants!$B$4,TRUE(),IF(K337=Constants!$B$5,FALSE(),COUNTA(L337:P337)&gt;0)))</f>
        <v/>
      </c>
      <c r="AM337" s="136" t="str">
        <f aca="false">IF(ISBLANK($C337),"",IF(ISNUMBER(L337),IF(L337&gt;=0,L337,""),""))</f>
        <v/>
      </c>
      <c r="AN337" s="137" t="str">
        <f aca="false">IF(ISBLANK($C337),"",IF(ISNUMBER(M337),IF(M337&gt;=0,M337,""),""))</f>
        <v/>
      </c>
      <c r="AO337" s="137" t="str">
        <f aca="false">IF(ISBLANK($C337),"",IF(N337=Constants!$B$2,TRUE(),IF(N337=Constants!$B$3,FALSE(),TRUE())))</f>
        <v/>
      </c>
      <c r="AP337" s="135" t="str">
        <f aca="false">IF(ISBLANK($C337),"",IF(ISNUMBER(O337),IF(O337&gt;=0,O337,""),""))</f>
        <v/>
      </c>
      <c r="AQ337" s="135" t="str">
        <f aca="false">IF(ISBLANK($C337),"",IF(P337=Constants!$B$2,TRUE(),IF(P337=Constants!$B$3,FALSE(),FALSE())))</f>
        <v/>
      </c>
      <c r="AR337" s="135" t="str">
        <f aca="false">IF(ISBLANK($C337),"",IF(Q337=Constants!$B$2,TRUE(),IF(Q337=Constants!$B$3,FALSE(),TRUE())))</f>
        <v/>
      </c>
      <c r="AS337" s="135" t="str">
        <f aca="false">IF(ISBLANK($C337),"",IF(R337=Constants!$B$2,TRUE(),IF(R337=Constants!$B$3,FALSE(),TRUE())))</f>
        <v/>
      </c>
      <c r="AT337" s="135" t="str">
        <f aca="false">IF(ISBLANK($C337),"",IF(S337=Constants!$B$4,TRUE(),IF(S337=Constants!$B$5,FALSE(),COUNTA(T337:X337)&gt;0)))</f>
        <v/>
      </c>
      <c r="AU337" s="136" t="str">
        <f aca="false">IF(ISBLANK($C337),"",IF(ISNUMBER(T337),IF(T337&gt;=0,T337,""),""))</f>
        <v/>
      </c>
      <c r="AV337" s="137" t="str">
        <f aca="false">IF(ISBLANK($C337),"",IF(ISNUMBER(U337),IF(U337&gt;=0,U337,""),""))</f>
        <v/>
      </c>
      <c r="AW337" s="137" t="str">
        <f aca="false">IF(ISBLANK($C337),"",IF(V337=Constants!$B$2,TRUE(),IF(V337=Constants!$B$3,FALSE(),TRUE())))</f>
        <v/>
      </c>
      <c r="AX337" s="135" t="str">
        <f aca="false">IF(ISBLANK($C337),"",IF(ISNUMBER(W337),IF(W337&gt;=0,W337,""),""))</f>
        <v/>
      </c>
      <c r="AY337" s="135" t="str">
        <f aca="false">IF(ISBLANK($C337),"",IF(X337=Constants!$B$2,TRUE(),IF(X337=Constants!$B$3,FALSE(),FALSE())))</f>
        <v/>
      </c>
      <c r="AZ337" s="135" t="str">
        <f aca="false">IF(ISBLANK($C337),"",MIN(Constants!$B$25,MAX(0,IF(ISNUMBER(Y337),Y337*60,0)+IF(ISNUMBER(Z337),Z337,0))))</f>
        <v/>
      </c>
      <c r="BA337" s="135" t="str">
        <f aca="false">IF(ISBLANK($C337),"",IF(AA337=Constants!$B$2,TRUE(),IF(AA337=Constants!$B$3,FALSE(),FALSE())))</f>
        <v/>
      </c>
      <c r="BB337" s="134" t="str">
        <f aca="false">IF(ISBLANK($C337),"",AND($AL337,OR($AM337="",$AN337="",AND($AO337,$AP337=""))))</f>
        <v/>
      </c>
      <c r="BC337" s="137" t="str">
        <f aca="false">IF($BX337&lt;&gt;Constants!$B$6,"",IF($AL337,Constants!$B$17*$AN337+Constants!$B$18*IF($AO337,$AP337,Constants!$B$19),Constants!$B$20))</f>
        <v/>
      </c>
      <c r="BD337" s="138" t="str">
        <f aca="false">IF($BX337&lt;&gt;Constants!$B$6,"",Constants!$B$21*ABS($AD$9-IF($AL337,$AM337,0)))</f>
        <v/>
      </c>
      <c r="BE337" s="138" t="str">
        <f aca="false">IF($BX337&lt;&gt;Constants!$B$6,"",IF(AND($AL337,$AQ337,$AO337),Constants!$B$22,0))</f>
        <v/>
      </c>
      <c r="BF337" s="138" t="str">
        <f aca="false">IF($BX337&lt;&gt;Constants!$B$6,"",IF($AL337,($AI337-Constants!$B$24)*Constants!$B$23,0))</f>
        <v/>
      </c>
      <c r="BG337" s="138" t="str">
        <f aca="false">IF($BX337&lt;&gt;Constants!$B$6,"",IF($AK337,0,Constants!$B$12)+IF($AJ337,0,Constants!$B$13)+IF($AH337,0,Constants!$B$14))</f>
        <v/>
      </c>
      <c r="BH337" s="139" t="str">
        <f aca="false">IF($BX337&lt;&gt;Constants!$B$6,"",Constants!$B$16+SUM($BC337:$BG337))</f>
        <v/>
      </c>
      <c r="BI337" s="138" t="str">
        <f aca="false">IF($BX337&lt;&gt;Constants!$B$6,"",$BC337)</f>
        <v/>
      </c>
      <c r="BJ337" s="138" t="str">
        <f aca="false">IF($BX337&lt;&gt;Constants!$B$6,"",$BD337)</f>
        <v/>
      </c>
      <c r="BK337" s="140" t="str">
        <f aca="false">IF($BX337&lt;&gt;Constants!$B$6,"",IF($AL337,$AN337,""))</f>
        <v/>
      </c>
      <c r="BL337" s="135" t="str">
        <f aca="false">IF($BX337&lt;&gt;Constants!$B$6,"",IF(OR($BS337&lt;$BH337,AND($BS337=$BH337,OR($BT337&lt;$BI337,AND($BT337=$BI337,OR($BU337&lt;$BJ337,AND($BU337=$BJ337,AND(ISNUMBER($BV337),OR(NOT(ISNUMBER($BK337)),$BV337&lt;$BK337)))))))),"-&gt;","&lt;-"))</f>
        <v/>
      </c>
      <c r="BM337" s="134" t="str">
        <f aca="false">IF(ISBLANK($C337),"",AND($AT337,OR($AU337="",$AV337="",AND($AW337,$AX337=""))))</f>
        <v/>
      </c>
      <c r="BN337" s="137" t="str">
        <f aca="false">IF($BX337&lt;&gt;Constants!$B$6,"",IF($AT337,Constants!$B$17*$AV337+Constants!$B$18*IF($AW337,$AX337,Constants!$B$19),Constants!$B$20))</f>
        <v/>
      </c>
      <c r="BO337" s="138" t="str">
        <f aca="false">IF($BX337&lt;&gt;Constants!$B$6,"",Constants!$B$21*ABS($AD$9-IF($AT337,$AU337,0)))</f>
        <v/>
      </c>
      <c r="BP337" s="138" t="str">
        <f aca="false">IF($BX337&lt;&gt;Constants!$B$6,"",IF(AND($AT337,$AY337,$AW337),Constants!$B$22,0))</f>
        <v/>
      </c>
      <c r="BQ337" s="138" t="str">
        <f aca="false">IF($BX337&lt;&gt;Constants!$B$6,"",IF($AT337,($AI337-Constants!$B$24)*Constants!$B$23,0))</f>
        <v/>
      </c>
      <c r="BR337" s="138" t="str">
        <f aca="false">IF($BX337&lt;&gt;Constants!$B$6,"",IF($AS337,0,Constants!$B$12)+IF($AR337,0,Constants!$B$13)+IF($AH337,0,Constants!$B$14))</f>
        <v/>
      </c>
      <c r="BS337" s="139" t="str">
        <f aca="false">IF($BX337&lt;&gt;Constants!$B$6,"",Constants!$B$16+SUM($BN337:$BR337))</f>
        <v/>
      </c>
      <c r="BT337" s="138" t="str">
        <f aca="false">IF($BX337&lt;&gt;Constants!$B$6,"",$BN337)</f>
        <v/>
      </c>
      <c r="BU337" s="138" t="str">
        <f aca="false">IF($BX337&lt;&gt;Constants!$B$6,"",$BO337)</f>
        <v/>
      </c>
      <c r="BV337" s="140" t="str">
        <f aca="false">IF($BX337&lt;&gt;Constants!$B$6,"",IF($AT337,$AV337,""))</f>
        <v/>
      </c>
      <c r="BW337" s="135" t="str">
        <f aca="false">IF(ISBLANK($C337),"",IF(ISBLANK($D$7),$BW$5,IF(NOT(ISNUMBER($D$7)),$BW$6,"")))</f>
        <v/>
      </c>
      <c r="BX337" s="135" t="str">
        <f aca="false">IF(ISBLANK($C337),"",IF($BA337,Constants!$B$9,IF(COUNTA($E337:$AA337)=0,Constants!$B$8,IF(NOT($AG337),Constants!$B$7,IF(OR($BW337&lt;&gt;"",$BB337,$BM337),Constants!$B$10,Constants!$B$6)))))</f>
        <v/>
      </c>
      <c r="BY337" s="135" t="str">
        <f aca="false">IF(ISBLANK($C337),"",IF($BX337&lt;&gt;Constants!$B$6,$BX337,Constants!$B$11))</f>
        <v/>
      </c>
      <c r="BZ337" s="138" t="str">
        <f aca="false">IF($BX337&lt;&gt;Constants!$B$6,"",IF($BL337="-&gt;",$BS337,$BH337))</f>
        <v/>
      </c>
      <c r="CA337" s="138" t="str">
        <f aca="false">IF($BX337&lt;&gt;Constants!$B$6,"",IF($AF337,0,Constants!$B$15))</f>
        <v/>
      </c>
      <c r="CB337" s="138" t="str">
        <f aca="false">IF($BX337&lt;&gt;Constants!$B$6,"",((Constants!$B$25-$AZ337)-Constants!$B$25)/Constants!$B$26)</f>
        <v/>
      </c>
      <c r="CC337" s="138" t="str">
        <f aca="false">IF(ISBLANK($C337),"",IF($BX337&lt;&gt;Constants!$B$6,$BX337,SUM($BZ337:$CB337)))</f>
        <v/>
      </c>
      <c r="CD337" s="135" t="str">
        <f aca="false">IF(ISBLANK($C337),"",IF($BX337&lt;&gt;Constants!$B$6,$BX337,RANK($CC337,$CC$9:$CC$508,1)))</f>
        <v/>
      </c>
      <c r="CE337" s="138" t="str">
        <f aca="false">IF($BX337&lt;&gt;Constants!$B$6,"",IF($BL337="-&gt;",$BT337,$BI337))</f>
        <v/>
      </c>
      <c r="CF337" s="135" t="str">
        <f aca="false">IF(ISBLANK($C337),"",IF($BX337&lt;&gt;Constants!$B$6,$BX337,IF(ISNUMBER($CE337),RANK($CE337,$CE$9:$CE$508,1),COUNT($CE$9:$CE$508)+1)))</f>
        <v/>
      </c>
      <c r="CG337" s="138" t="str">
        <f aca="false">IF($BX337&lt;&gt;Constants!$B$6,"",IF($BL337="-&gt;",$BU337,$BJ337))</f>
        <v/>
      </c>
      <c r="CH337" s="135" t="str">
        <f aca="false">IF(ISBLANK($C337),"",IF($BX337&lt;&gt;Constants!$B$6,$BX337,IF(ISNUMBER($CG337),RANK($CG337,$CG$9:$CG$508,1),COUNT($CG$9:$CG$508)+1)))</f>
        <v/>
      </c>
      <c r="CI337" s="138" t="str">
        <f aca="false">IF($BX337&lt;&gt;Constants!$B$6,"",IF($BL337="-&gt;",$BV337,$BK337))</f>
        <v/>
      </c>
      <c r="CJ337" s="135" t="str">
        <f aca="false">IF(ISBLANK($C337),"",IF($BX337&lt;&gt;Constants!$B$6,$BX337,IF(ISNUMBER($CI337),RANK($CI337,$CI$9:$CI$508,1),COUNT($CI$9:$CI$508)+1)))</f>
        <v/>
      </c>
      <c r="CK337" s="138" t="str">
        <f aca="false">IF($BX337&lt;&gt;Constants!$B$6,"",$AI337)</f>
        <v/>
      </c>
      <c r="CL337" s="135" t="str">
        <f aca="false">IF(ISBLANK($C337),"",IF($BX337&lt;&gt;Constants!$B$6,$BX337,IF(ISNUMBER($CK337),RANK($CK337,$CK$9:$CK$508,1),COUNT($CK$9:$CK$508)+1)))</f>
        <v/>
      </c>
      <c r="CM337" s="135" t="str">
        <f aca="false">IF(ISBLANK($C337),"",IF($BX337&lt;&gt;Constants!$B$6,$BX337,COUNTIFS($CD$9:$CD$508,"&lt;"&amp;$CD337)+COUNTIFS($CD$9:$CD$508,$CD337,$CF$9:$CF$508,"&lt;"&amp;$CF337)+COUNTIFS($CD$9:$CD$508,$CD337,$CF$9:$CF$508,$CF337,$CH$9:$CH$508,"&lt;"&amp;$CH337)+COUNTIFS($CD$9:$CD$508,$CD337,$CF$9:$CF$508,$CF337,$CH$9:$CH$508,$CH337,$CJ$9:$CJ$508,"&lt;"&amp;$CJ337)+COUNTIFS($CD$9:$CD$508,$CD337,$CF$9:$CF$508,$CF337,$CH$9:$CH$508,$CH337,$CJ$9:$CJ$508,$CJ337,$CL$9:$CL$508,"&lt;"&amp;$CL337)+1))</f>
        <v/>
      </c>
      <c r="CN337" s="135" t="str">
        <f aca="false">IF(ISBLANK($C337),"",IF($BX337&lt;&gt;Constants!$B$6,$BX337,$CD337-$CM337))</f>
        <v/>
      </c>
      <c r="CO337" s="141"/>
      <c r="CP337" s="142"/>
      <c r="CQ337" s="143" t="str">
        <f aca="false">IF(ISBLANK($C337),"",IF($BX337=Constants!$B$10,$BW337,""))</f>
        <v/>
      </c>
      <c r="CR337" s="142" t="str">
        <f aca="false">IF(ISBLANK($C337),"",IF($BX337&lt;&gt;Constants!$B$6,"",IF($BL337="-&gt;",2,1)))</f>
        <v/>
      </c>
      <c r="CS337" s="144" t="str">
        <f aca="false">IF(ISBLANK($C337),"",IF($BX337&lt;&gt;Constants!$B$6,"",IF($BL337="-&gt;",$BN337,$BC337)))</f>
        <v/>
      </c>
      <c r="CT337" s="144" t="str">
        <f aca="false">IF(ISBLANK($C337),"",IF($BX337&lt;&gt;Constants!$B$6,"",IF($BL337="-&gt;",$BO337,$BD337)))</f>
        <v/>
      </c>
      <c r="CU337" s="144" t="str">
        <f aca="false">IF(ISBLANK($C337),"",IF($BX337&lt;&gt;Constants!$B$6,"",IF($BL337="-&gt;",$BP337+$BQ337,$BE337+$BF337)+$CB337))</f>
        <v/>
      </c>
      <c r="CV337" s="144" t="str">
        <f aca="false">IF(ISBLANK($C337),"",IF($BX337&lt;&gt;Constants!$B$6,"",IF($BL337="-&gt;",$BR337,$BG337)+$CA337))</f>
        <v/>
      </c>
      <c r="CW337" s="145" t="str">
        <f aca="false">IF(ISBLANK($C337),"",IF($BX337&lt;&gt;Constants!$B$6,$BX337,$CC337))</f>
        <v/>
      </c>
      <c r="CX337" s="146" t="str">
        <f aca="false">IF(ISBLANK($C337),"",$BY337)</f>
        <v/>
      </c>
      <c r="CY337" s="147" t="str">
        <f aca="false">IF(ISBLANK($C337),"",$CN337)</f>
        <v/>
      </c>
      <c r="CZ337" s="147" t="str">
        <f aca="false">IF(ISBLANK($C337),"",$CM337)</f>
        <v/>
      </c>
      <c r="DA337" s="148" t="str">
        <f aca="false">IF(ISBLANK($C337),"",IFERROR(_xlfn.SWITCH($CZ337,Constants!$B$9,COUNTA($C$9:$C$508)+2,Constants!$B$8,COUNTA($C$9:$C$508)+1,Constants!$B$7,COUNTA($C$9:$C$508)),$CZ337))</f>
        <v/>
      </c>
      <c r="DB337" s="9"/>
      <c r="DC337" s="149" t="n">
        <f aca="false">IF(OR(ISNUMBER($CZ337),$CZ337=Constants!$B$9,$CZ337=Constants!$B$7,$CZ337=Constants!$B$8),1,0)</f>
        <v>0</v>
      </c>
      <c r="DD337" s="149" t="n">
        <v>329</v>
      </c>
      <c r="DE337" s="149" t="str">
        <f aca="false">IF(ISBLANK($C337),"",IF(ISNUMBER($DA337),$DA337+ROW($B337)/1000,""))</f>
        <v/>
      </c>
      <c r="DF337" s="149" t="str">
        <f aca="false">IF(ISNUMBER($DE337),RANK($DE337,$DE$9:$DE$508,1),"")</f>
        <v/>
      </c>
      <c r="DG337" s="149" t="str">
        <f aca="false">IF(ISBLANK($C337),"",$B337)</f>
        <v/>
      </c>
      <c r="DH337" s="149" t="str">
        <f aca="false">IF(ISBLANK($C337),"",$C337)</f>
        <v/>
      </c>
      <c r="DI337" s="149" t="str">
        <f aca="false">IF(ISBLANK($C337),"",$D337)</f>
        <v/>
      </c>
      <c r="DJ337" s="150" t="str">
        <f aca="false">$CX337</f>
        <v/>
      </c>
      <c r="DK337" s="151" t="str">
        <f aca="false">$CW337</f>
        <v/>
      </c>
      <c r="DL337" s="149" t="str">
        <f aca="false">IF(ISBLANK($C337),"",$CZ337)</f>
        <v/>
      </c>
      <c r="DM337" s="152" t="str">
        <f aca="false">IF($DD337&gt;$DC$8,"",VLOOKUP($DD337,$DF$9:$DL$508,7,FALSE()))</f>
        <v/>
      </c>
      <c r="DN337" s="153" t="str">
        <f aca="false">IF($DD337&gt;$DC$8,"",VLOOKUP($DD337,$DF$9:$DL$508,2,FALSE()))</f>
        <v/>
      </c>
      <c r="DO337" s="153" t="str">
        <f aca="false">IF($DD337&gt;$DC$8,"",VLOOKUP($DD337,$DF$9:$DL$508,3,FALSE()))</f>
        <v/>
      </c>
      <c r="DP337" s="153" t="str">
        <f aca="false">IF($DD337&gt;$DC$8,"",VLOOKUP($DD337,$DF$9:$DL$508,4,FALSE()))</f>
        <v/>
      </c>
      <c r="DQ337" s="153" t="str">
        <f aca="false">IF($DD337&gt;$DC$8,"",VLOOKUP($DD337,$DF$9:$DL$508,5,FALSE()))</f>
        <v/>
      </c>
      <c r="DR337" s="154" t="str">
        <f aca="false">IF($DD337&gt;$DC$8,"",VLOOKUP($DD337,$DF$9:$DL$508,6,FALSE()))</f>
        <v/>
      </c>
      <c r="DS337" s="76"/>
    </row>
    <row r="338" customFormat="false" ht="15.75" hidden="false" customHeight="false" outlineLevel="0" collapsed="false">
      <c r="A338" s="9"/>
      <c r="B338" s="160"/>
      <c r="C338" s="161"/>
      <c r="D338" s="162"/>
      <c r="E338" s="180"/>
      <c r="F338" s="164"/>
      <c r="G338" s="165"/>
      <c r="H338" s="165"/>
      <c r="I338" s="181"/>
      <c r="J338" s="168"/>
      <c r="K338" s="128"/>
      <c r="L338" s="129"/>
      <c r="M338" s="130"/>
      <c r="N338" s="168"/>
      <c r="O338" s="168"/>
      <c r="P338" s="180"/>
      <c r="Q338" s="168"/>
      <c r="R338" s="168"/>
      <c r="S338" s="128"/>
      <c r="T338" s="130"/>
      <c r="U338" s="130"/>
      <c r="V338" s="168"/>
      <c r="W338" s="168"/>
      <c r="X338" s="180"/>
      <c r="Y338" s="168"/>
      <c r="Z338" s="169"/>
      <c r="AA338" s="168"/>
      <c r="AB338" s="134"/>
      <c r="AC338" s="135"/>
      <c r="AD338" s="135"/>
      <c r="AE338" s="135"/>
      <c r="AF338" s="135" t="str">
        <f aca="false">IF(ISBLANK($C338),"",IF(E338=Constants!$B$2,TRUE(),IF(E338=Constants!$B$3,FALSE(),TRUE())))</f>
        <v/>
      </c>
      <c r="AG338" s="135" t="str">
        <f aca="false">IF(ISBLANK($C338),"",IF(F338=Constants!$B$2,TRUE(),IF(F338=Constants!$B$3,FALSE(),TRUE())))</f>
        <v/>
      </c>
      <c r="AH338" s="135" t="str">
        <f aca="false">IF(ISBLANK($C338),"",IF(G338=Constants!$B$2,TRUE(),IF(G338=Constants!$B$3,FALSE(),TRUE())))</f>
        <v/>
      </c>
      <c r="AI338" s="135" t="str">
        <f aca="false">IF(ISBLANK($C338),"",IF(AND(ISNUMBER(H338),H338&gt;=0),H338,Constants!$B$24))</f>
        <v/>
      </c>
      <c r="AJ338" s="135" t="str">
        <f aca="false">IF(ISBLANK($C338),"",IF(I338=Constants!$B$2,TRUE(),IF(I338=Constants!$B$3,FALSE(),TRUE())))</f>
        <v/>
      </c>
      <c r="AK338" s="135" t="str">
        <f aca="false">IF(ISBLANK($C338),"",IF(J338=Constants!$B$2,TRUE(),IF(J338=Constants!$B$3,FALSE(),TRUE())))</f>
        <v/>
      </c>
      <c r="AL338" s="135" t="str">
        <f aca="false">IF(ISBLANK($C338),"",IF(K338=Constants!$B$4,TRUE(),IF(K338=Constants!$B$5,FALSE(),COUNTA(L338:P338)&gt;0)))</f>
        <v/>
      </c>
      <c r="AM338" s="136" t="str">
        <f aca="false">IF(ISBLANK($C338),"",IF(ISNUMBER(L338),IF(L338&gt;=0,L338,""),""))</f>
        <v/>
      </c>
      <c r="AN338" s="137" t="str">
        <f aca="false">IF(ISBLANK($C338),"",IF(ISNUMBER(M338),IF(M338&gt;=0,M338,""),""))</f>
        <v/>
      </c>
      <c r="AO338" s="137" t="str">
        <f aca="false">IF(ISBLANK($C338),"",IF(N338=Constants!$B$2,TRUE(),IF(N338=Constants!$B$3,FALSE(),TRUE())))</f>
        <v/>
      </c>
      <c r="AP338" s="135" t="str">
        <f aca="false">IF(ISBLANK($C338),"",IF(ISNUMBER(O338),IF(O338&gt;=0,O338,""),""))</f>
        <v/>
      </c>
      <c r="AQ338" s="135" t="str">
        <f aca="false">IF(ISBLANK($C338),"",IF(P338=Constants!$B$2,TRUE(),IF(P338=Constants!$B$3,FALSE(),FALSE())))</f>
        <v/>
      </c>
      <c r="AR338" s="135" t="str">
        <f aca="false">IF(ISBLANK($C338),"",IF(Q338=Constants!$B$2,TRUE(),IF(Q338=Constants!$B$3,FALSE(),TRUE())))</f>
        <v/>
      </c>
      <c r="AS338" s="135" t="str">
        <f aca="false">IF(ISBLANK($C338),"",IF(R338=Constants!$B$2,TRUE(),IF(R338=Constants!$B$3,FALSE(),TRUE())))</f>
        <v/>
      </c>
      <c r="AT338" s="135" t="str">
        <f aca="false">IF(ISBLANK($C338),"",IF(S338=Constants!$B$4,TRUE(),IF(S338=Constants!$B$5,FALSE(),COUNTA(T338:X338)&gt;0)))</f>
        <v/>
      </c>
      <c r="AU338" s="136" t="str">
        <f aca="false">IF(ISBLANK($C338),"",IF(ISNUMBER(T338),IF(T338&gt;=0,T338,""),""))</f>
        <v/>
      </c>
      <c r="AV338" s="137" t="str">
        <f aca="false">IF(ISBLANK($C338),"",IF(ISNUMBER(U338),IF(U338&gt;=0,U338,""),""))</f>
        <v/>
      </c>
      <c r="AW338" s="137" t="str">
        <f aca="false">IF(ISBLANK($C338),"",IF(V338=Constants!$B$2,TRUE(),IF(V338=Constants!$B$3,FALSE(),TRUE())))</f>
        <v/>
      </c>
      <c r="AX338" s="135" t="str">
        <f aca="false">IF(ISBLANK($C338),"",IF(ISNUMBER(W338),IF(W338&gt;=0,W338,""),""))</f>
        <v/>
      </c>
      <c r="AY338" s="135" t="str">
        <f aca="false">IF(ISBLANK($C338),"",IF(X338=Constants!$B$2,TRUE(),IF(X338=Constants!$B$3,FALSE(),FALSE())))</f>
        <v/>
      </c>
      <c r="AZ338" s="135" t="str">
        <f aca="false">IF(ISBLANK($C338),"",MIN(Constants!$B$25,MAX(0,IF(ISNUMBER(Y338),Y338*60,0)+IF(ISNUMBER(Z338),Z338,0))))</f>
        <v/>
      </c>
      <c r="BA338" s="135" t="str">
        <f aca="false">IF(ISBLANK($C338),"",IF(AA338=Constants!$B$2,TRUE(),IF(AA338=Constants!$B$3,FALSE(),FALSE())))</f>
        <v/>
      </c>
      <c r="BB338" s="134" t="str">
        <f aca="false">IF(ISBLANK($C338),"",AND($AL338,OR($AM338="",$AN338="",AND($AO338,$AP338=""))))</f>
        <v/>
      </c>
      <c r="BC338" s="137" t="str">
        <f aca="false">IF($BX338&lt;&gt;Constants!$B$6,"",IF($AL338,Constants!$B$17*$AN338+Constants!$B$18*IF($AO338,$AP338,Constants!$B$19),Constants!$B$20))</f>
        <v/>
      </c>
      <c r="BD338" s="138" t="str">
        <f aca="false">IF($BX338&lt;&gt;Constants!$B$6,"",Constants!$B$21*ABS($AD$9-IF($AL338,$AM338,0)))</f>
        <v/>
      </c>
      <c r="BE338" s="138" t="str">
        <f aca="false">IF($BX338&lt;&gt;Constants!$B$6,"",IF(AND($AL338,$AQ338,$AO338),Constants!$B$22,0))</f>
        <v/>
      </c>
      <c r="BF338" s="138" t="str">
        <f aca="false">IF($BX338&lt;&gt;Constants!$B$6,"",IF($AL338,($AI338-Constants!$B$24)*Constants!$B$23,0))</f>
        <v/>
      </c>
      <c r="BG338" s="138" t="str">
        <f aca="false">IF($BX338&lt;&gt;Constants!$B$6,"",IF($AK338,0,Constants!$B$12)+IF($AJ338,0,Constants!$B$13)+IF($AH338,0,Constants!$B$14))</f>
        <v/>
      </c>
      <c r="BH338" s="139" t="str">
        <f aca="false">IF($BX338&lt;&gt;Constants!$B$6,"",Constants!$B$16+SUM($BC338:$BG338))</f>
        <v/>
      </c>
      <c r="BI338" s="138" t="str">
        <f aca="false">IF($BX338&lt;&gt;Constants!$B$6,"",$BC338)</f>
        <v/>
      </c>
      <c r="BJ338" s="138" t="str">
        <f aca="false">IF($BX338&lt;&gt;Constants!$B$6,"",$BD338)</f>
        <v/>
      </c>
      <c r="BK338" s="140" t="str">
        <f aca="false">IF($BX338&lt;&gt;Constants!$B$6,"",IF($AL338,$AN338,""))</f>
        <v/>
      </c>
      <c r="BL338" s="135" t="str">
        <f aca="false">IF($BX338&lt;&gt;Constants!$B$6,"",IF(OR($BS338&lt;$BH338,AND($BS338=$BH338,OR($BT338&lt;$BI338,AND($BT338=$BI338,OR($BU338&lt;$BJ338,AND($BU338=$BJ338,AND(ISNUMBER($BV338),OR(NOT(ISNUMBER($BK338)),$BV338&lt;$BK338)))))))),"-&gt;","&lt;-"))</f>
        <v/>
      </c>
      <c r="BM338" s="134" t="str">
        <f aca="false">IF(ISBLANK($C338),"",AND($AT338,OR($AU338="",$AV338="",AND($AW338,$AX338=""))))</f>
        <v/>
      </c>
      <c r="BN338" s="137" t="str">
        <f aca="false">IF($BX338&lt;&gt;Constants!$B$6,"",IF($AT338,Constants!$B$17*$AV338+Constants!$B$18*IF($AW338,$AX338,Constants!$B$19),Constants!$B$20))</f>
        <v/>
      </c>
      <c r="BO338" s="138" t="str">
        <f aca="false">IF($BX338&lt;&gt;Constants!$B$6,"",Constants!$B$21*ABS($AD$9-IF($AT338,$AU338,0)))</f>
        <v/>
      </c>
      <c r="BP338" s="138" t="str">
        <f aca="false">IF($BX338&lt;&gt;Constants!$B$6,"",IF(AND($AT338,$AY338,$AW338),Constants!$B$22,0))</f>
        <v/>
      </c>
      <c r="BQ338" s="138" t="str">
        <f aca="false">IF($BX338&lt;&gt;Constants!$B$6,"",IF($AT338,($AI338-Constants!$B$24)*Constants!$B$23,0))</f>
        <v/>
      </c>
      <c r="BR338" s="138" t="str">
        <f aca="false">IF($BX338&lt;&gt;Constants!$B$6,"",IF($AS338,0,Constants!$B$12)+IF($AR338,0,Constants!$B$13)+IF($AH338,0,Constants!$B$14))</f>
        <v/>
      </c>
      <c r="BS338" s="139" t="str">
        <f aca="false">IF($BX338&lt;&gt;Constants!$B$6,"",Constants!$B$16+SUM($BN338:$BR338))</f>
        <v/>
      </c>
      <c r="BT338" s="138" t="str">
        <f aca="false">IF($BX338&lt;&gt;Constants!$B$6,"",$BN338)</f>
        <v/>
      </c>
      <c r="BU338" s="138" t="str">
        <f aca="false">IF($BX338&lt;&gt;Constants!$B$6,"",$BO338)</f>
        <v/>
      </c>
      <c r="BV338" s="140" t="str">
        <f aca="false">IF($BX338&lt;&gt;Constants!$B$6,"",IF($AT338,$AV338,""))</f>
        <v/>
      </c>
      <c r="BW338" s="135" t="str">
        <f aca="false">IF(ISBLANK($C338),"",IF(ISBLANK($D$7),$BW$5,IF(NOT(ISNUMBER($D$7)),$BW$6,"")))</f>
        <v/>
      </c>
      <c r="BX338" s="135" t="str">
        <f aca="false">IF(ISBLANK($C338),"",IF($BA338,Constants!$B$9,IF(COUNTA($E338:$AA338)=0,Constants!$B$8,IF(NOT($AG338),Constants!$B$7,IF(OR($BW338&lt;&gt;"",$BB338,$BM338),Constants!$B$10,Constants!$B$6)))))</f>
        <v/>
      </c>
      <c r="BY338" s="135" t="str">
        <f aca="false">IF(ISBLANK($C338),"",IF($BX338&lt;&gt;Constants!$B$6,$BX338,Constants!$B$11))</f>
        <v/>
      </c>
      <c r="BZ338" s="138" t="str">
        <f aca="false">IF($BX338&lt;&gt;Constants!$B$6,"",IF($BL338="-&gt;",$BS338,$BH338))</f>
        <v/>
      </c>
      <c r="CA338" s="138" t="str">
        <f aca="false">IF($BX338&lt;&gt;Constants!$B$6,"",IF($AF338,0,Constants!$B$15))</f>
        <v/>
      </c>
      <c r="CB338" s="138" t="str">
        <f aca="false">IF($BX338&lt;&gt;Constants!$B$6,"",((Constants!$B$25-$AZ338)-Constants!$B$25)/Constants!$B$26)</f>
        <v/>
      </c>
      <c r="CC338" s="138" t="str">
        <f aca="false">IF(ISBLANK($C338),"",IF($BX338&lt;&gt;Constants!$B$6,$BX338,SUM($BZ338:$CB338)))</f>
        <v/>
      </c>
      <c r="CD338" s="135" t="str">
        <f aca="false">IF(ISBLANK($C338),"",IF($BX338&lt;&gt;Constants!$B$6,$BX338,RANK($CC338,$CC$9:$CC$508,1)))</f>
        <v/>
      </c>
      <c r="CE338" s="138" t="str">
        <f aca="false">IF($BX338&lt;&gt;Constants!$B$6,"",IF($BL338="-&gt;",$BT338,$BI338))</f>
        <v/>
      </c>
      <c r="CF338" s="135" t="str">
        <f aca="false">IF(ISBLANK($C338),"",IF($BX338&lt;&gt;Constants!$B$6,$BX338,IF(ISNUMBER($CE338),RANK($CE338,$CE$9:$CE$508,1),COUNT($CE$9:$CE$508)+1)))</f>
        <v/>
      </c>
      <c r="CG338" s="138" t="str">
        <f aca="false">IF($BX338&lt;&gt;Constants!$B$6,"",IF($BL338="-&gt;",$BU338,$BJ338))</f>
        <v/>
      </c>
      <c r="CH338" s="135" t="str">
        <f aca="false">IF(ISBLANK($C338),"",IF($BX338&lt;&gt;Constants!$B$6,$BX338,IF(ISNUMBER($CG338),RANK($CG338,$CG$9:$CG$508,1),COUNT($CG$9:$CG$508)+1)))</f>
        <v/>
      </c>
      <c r="CI338" s="138" t="str">
        <f aca="false">IF($BX338&lt;&gt;Constants!$B$6,"",IF($BL338="-&gt;",$BV338,$BK338))</f>
        <v/>
      </c>
      <c r="CJ338" s="135" t="str">
        <f aca="false">IF(ISBLANK($C338),"",IF($BX338&lt;&gt;Constants!$B$6,$BX338,IF(ISNUMBER($CI338),RANK($CI338,$CI$9:$CI$508,1),COUNT($CI$9:$CI$508)+1)))</f>
        <v/>
      </c>
      <c r="CK338" s="138" t="str">
        <f aca="false">IF($BX338&lt;&gt;Constants!$B$6,"",$AI338)</f>
        <v/>
      </c>
      <c r="CL338" s="135" t="str">
        <f aca="false">IF(ISBLANK($C338),"",IF($BX338&lt;&gt;Constants!$B$6,$BX338,IF(ISNUMBER($CK338),RANK($CK338,$CK$9:$CK$508,1),COUNT($CK$9:$CK$508)+1)))</f>
        <v/>
      </c>
      <c r="CM338" s="135" t="str">
        <f aca="false">IF(ISBLANK($C338),"",IF($BX338&lt;&gt;Constants!$B$6,$BX338,COUNTIFS($CD$9:$CD$508,"&lt;"&amp;$CD338)+COUNTIFS($CD$9:$CD$508,$CD338,$CF$9:$CF$508,"&lt;"&amp;$CF338)+COUNTIFS($CD$9:$CD$508,$CD338,$CF$9:$CF$508,$CF338,$CH$9:$CH$508,"&lt;"&amp;$CH338)+COUNTIFS($CD$9:$CD$508,$CD338,$CF$9:$CF$508,$CF338,$CH$9:$CH$508,$CH338,$CJ$9:$CJ$508,"&lt;"&amp;$CJ338)+COUNTIFS($CD$9:$CD$508,$CD338,$CF$9:$CF$508,$CF338,$CH$9:$CH$508,$CH338,$CJ$9:$CJ$508,$CJ338,$CL$9:$CL$508,"&lt;"&amp;$CL338)+1))</f>
        <v/>
      </c>
      <c r="CN338" s="135" t="str">
        <f aca="false">IF(ISBLANK($C338),"",IF($BX338&lt;&gt;Constants!$B$6,$BX338,$CD338-$CM338))</f>
        <v/>
      </c>
      <c r="CO338" s="141"/>
      <c r="CP338" s="142"/>
      <c r="CQ338" s="143" t="str">
        <f aca="false">IF(ISBLANK($C338),"",IF($BX338=Constants!$B$10,$BW338,""))</f>
        <v/>
      </c>
      <c r="CR338" s="142" t="str">
        <f aca="false">IF(ISBLANK($C338),"",IF($BX338&lt;&gt;Constants!$B$6,"",IF($BL338="-&gt;",2,1)))</f>
        <v/>
      </c>
      <c r="CS338" s="144" t="str">
        <f aca="false">IF(ISBLANK($C338),"",IF($BX338&lt;&gt;Constants!$B$6,"",IF($BL338="-&gt;",$BN338,$BC338)))</f>
        <v/>
      </c>
      <c r="CT338" s="144" t="str">
        <f aca="false">IF(ISBLANK($C338),"",IF($BX338&lt;&gt;Constants!$B$6,"",IF($BL338="-&gt;",$BO338,$BD338)))</f>
        <v/>
      </c>
      <c r="CU338" s="144" t="str">
        <f aca="false">IF(ISBLANK($C338),"",IF($BX338&lt;&gt;Constants!$B$6,"",IF($BL338="-&gt;",$BP338+$BQ338,$BE338+$BF338)+$CB338))</f>
        <v/>
      </c>
      <c r="CV338" s="144" t="str">
        <f aca="false">IF(ISBLANK($C338),"",IF($BX338&lt;&gt;Constants!$B$6,"",IF($BL338="-&gt;",$BR338,$BG338)+$CA338))</f>
        <v/>
      </c>
      <c r="CW338" s="145" t="str">
        <f aca="false">IF(ISBLANK($C338),"",IF($BX338&lt;&gt;Constants!$B$6,$BX338,$CC338))</f>
        <v/>
      </c>
      <c r="CX338" s="146" t="str">
        <f aca="false">IF(ISBLANK($C338),"",$BY338)</f>
        <v/>
      </c>
      <c r="CY338" s="147" t="str">
        <f aca="false">IF(ISBLANK($C338),"",$CN338)</f>
        <v/>
      </c>
      <c r="CZ338" s="147" t="str">
        <f aca="false">IF(ISBLANK($C338),"",$CM338)</f>
        <v/>
      </c>
      <c r="DA338" s="148" t="str">
        <f aca="false">IF(ISBLANK($C338),"",IFERROR(_xlfn.SWITCH($CZ338,Constants!$B$9,COUNTA($C$9:$C$508)+2,Constants!$B$8,COUNTA($C$9:$C$508)+1,Constants!$B$7,COUNTA($C$9:$C$508)),$CZ338))</f>
        <v/>
      </c>
      <c r="DB338" s="9"/>
      <c r="DC338" s="149" t="n">
        <f aca="false">IF(OR(ISNUMBER($CZ338),$CZ338=Constants!$B$9,$CZ338=Constants!$B$7,$CZ338=Constants!$B$8),1,0)</f>
        <v>0</v>
      </c>
      <c r="DD338" s="149" t="n">
        <v>330</v>
      </c>
      <c r="DE338" s="149" t="str">
        <f aca="false">IF(ISBLANK($C338),"",IF(ISNUMBER($DA338),$DA338+ROW($B338)/1000,""))</f>
        <v/>
      </c>
      <c r="DF338" s="149" t="str">
        <f aca="false">IF(ISNUMBER($DE338),RANK($DE338,$DE$9:$DE$508,1),"")</f>
        <v/>
      </c>
      <c r="DG338" s="149" t="str">
        <f aca="false">IF(ISBLANK($C338),"",$B338)</f>
        <v/>
      </c>
      <c r="DH338" s="149" t="str">
        <f aca="false">IF(ISBLANK($C338),"",$C338)</f>
        <v/>
      </c>
      <c r="DI338" s="149" t="str">
        <f aca="false">IF(ISBLANK($C338),"",$D338)</f>
        <v/>
      </c>
      <c r="DJ338" s="150" t="str">
        <f aca="false">$CX338</f>
        <v/>
      </c>
      <c r="DK338" s="151" t="str">
        <f aca="false">$CW338</f>
        <v/>
      </c>
      <c r="DL338" s="149" t="str">
        <f aca="false">IF(ISBLANK($C338),"",$CZ338)</f>
        <v/>
      </c>
      <c r="DM338" s="152" t="str">
        <f aca="false">IF($DD338&gt;$DC$8,"",VLOOKUP($DD338,$DF$9:$DL$508,7,FALSE()))</f>
        <v/>
      </c>
      <c r="DN338" s="153" t="str">
        <f aca="false">IF($DD338&gt;$DC$8,"",VLOOKUP($DD338,$DF$9:$DL$508,2,FALSE()))</f>
        <v/>
      </c>
      <c r="DO338" s="153" t="str">
        <f aca="false">IF($DD338&gt;$DC$8,"",VLOOKUP($DD338,$DF$9:$DL$508,3,FALSE()))</f>
        <v/>
      </c>
      <c r="DP338" s="153" t="str">
        <f aca="false">IF($DD338&gt;$DC$8,"",VLOOKUP($DD338,$DF$9:$DL$508,4,FALSE()))</f>
        <v/>
      </c>
      <c r="DQ338" s="153" t="str">
        <f aca="false">IF($DD338&gt;$DC$8,"",VLOOKUP($DD338,$DF$9:$DL$508,5,FALSE()))</f>
        <v/>
      </c>
      <c r="DR338" s="154" t="str">
        <f aca="false">IF($DD338&gt;$DC$8,"",VLOOKUP($DD338,$DF$9:$DL$508,6,FALSE()))</f>
        <v/>
      </c>
      <c r="DS338" s="76"/>
    </row>
    <row r="339" customFormat="false" ht="15.75" hidden="false" customHeight="false" outlineLevel="0" collapsed="false">
      <c r="A339" s="9"/>
      <c r="B339" s="78"/>
      <c r="C339" s="79"/>
      <c r="D339" s="170"/>
      <c r="E339" s="178"/>
      <c r="F339" s="172"/>
      <c r="G339" s="173"/>
      <c r="H339" s="173"/>
      <c r="I339" s="179"/>
      <c r="J339" s="176"/>
      <c r="K339" s="86"/>
      <c r="L339" s="87"/>
      <c r="M339" s="88"/>
      <c r="N339" s="176"/>
      <c r="O339" s="176"/>
      <c r="P339" s="178"/>
      <c r="Q339" s="176"/>
      <c r="R339" s="176"/>
      <c r="S339" s="86"/>
      <c r="T339" s="88"/>
      <c r="U339" s="88"/>
      <c r="V339" s="176"/>
      <c r="W339" s="176"/>
      <c r="X339" s="178"/>
      <c r="Y339" s="176"/>
      <c r="Z339" s="177"/>
      <c r="AA339" s="176"/>
      <c r="AB339" s="92"/>
      <c r="AC339" s="93"/>
      <c r="AD339" s="93"/>
      <c r="AE339" s="93"/>
      <c r="AF339" s="93" t="str">
        <f aca="false">IF(ISBLANK($C339),"",IF(E339=Constants!$B$2,TRUE(),IF(E339=Constants!$B$3,FALSE(),TRUE())))</f>
        <v/>
      </c>
      <c r="AG339" s="93" t="str">
        <f aca="false">IF(ISBLANK($C339),"",IF(F339=Constants!$B$2,TRUE(),IF(F339=Constants!$B$3,FALSE(),TRUE())))</f>
        <v/>
      </c>
      <c r="AH339" s="93" t="str">
        <f aca="false">IF(ISBLANK($C339),"",IF(G339=Constants!$B$2,TRUE(),IF(G339=Constants!$B$3,FALSE(),TRUE())))</f>
        <v/>
      </c>
      <c r="AI339" s="93" t="str">
        <f aca="false">IF(ISBLANK($C339),"",IF(AND(ISNUMBER(H339),H339&gt;=0),H339,Constants!$B$24))</f>
        <v/>
      </c>
      <c r="AJ339" s="93" t="str">
        <f aca="false">IF(ISBLANK($C339),"",IF(I339=Constants!$B$2,TRUE(),IF(I339=Constants!$B$3,FALSE(),TRUE())))</f>
        <v/>
      </c>
      <c r="AK339" s="93" t="str">
        <f aca="false">IF(ISBLANK($C339),"",IF(J339=Constants!$B$2,TRUE(),IF(J339=Constants!$B$3,FALSE(),TRUE())))</f>
        <v/>
      </c>
      <c r="AL339" s="93" t="str">
        <f aca="false">IF(ISBLANK($C339),"",IF(K339=Constants!$B$4,TRUE(),IF(K339=Constants!$B$5,FALSE(),COUNTA(L339:P339)&gt;0)))</f>
        <v/>
      </c>
      <c r="AM339" s="95" t="str">
        <f aca="false">IF(ISBLANK($C339),"",IF(ISNUMBER(L339),IF(L339&gt;=0,L339,""),""))</f>
        <v/>
      </c>
      <c r="AN339" s="94" t="str">
        <f aca="false">IF(ISBLANK($C339),"",IF(ISNUMBER(M339),IF(M339&gt;=0,M339,""),""))</f>
        <v/>
      </c>
      <c r="AO339" s="94" t="str">
        <f aca="false">IF(ISBLANK($C339),"",IF(N339=Constants!$B$2,TRUE(),IF(N339=Constants!$B$3,FALSE(),TRUE())))</f>
        <v/>
      </c>
      <c r="AP339" s="93" t="str">
        <f aca="false">IF(ISBLANK($C339),"",IF(ISNUMBER(O339),IF(O339&gt;=0,O339,""),""))</f>
        <v/>
      </c>
      <c r="AQ339" s="93" t="str">
        <f aca="false">IF(ISBLANK($C339),"",IF(P339=Constants!$B$2,TRUE(),IF(P339=Constants!$B$3,FALSE(),FALSE())))</f>
        <v/>
      </c>
      <c r="AR339" s="93" t="str">
        <f aca="false">IF(ISBLANK($C339),"",IF(Q339=Constants!$B$2,TRUE(),IF(Q339=Constants!$B$3,FALSE(),TRUE())))</f>
        <v/>
      </c>
      <c r="AS339" s="93" t="str">
        <f aca="false">IF(ISBLANK($C339),"",IF(R339=Constants!$B$2,TRUE(),IF(R339=Constants!$B$3,FALSE(),TRUE())))</f>
        <v/>
      </c>
      <c r="AT339" s="93" t="str">
        <f aca="false">IF(ISBLANK($C339),"",IF(S339=Constants!$B$4,TRUE(),IF(S339=Constants!$B$5,FALSE(),COUNTA(T339:X339)&gt;0)))</f>
        <v/>
      </c>
      <c r="AU339" s="95" t="str">
        <f aca="false">IF(ISBLANK($C339),"",IF(ISNUMBER(T339),IF(T339&gt;=0,T339,""),""))</f>
        <v/>
      </c>
      <c r="AV339" s="94" t="str">
        <f aca="false">IF(ISBLANK($C339),"",IF(ISNUMBER(U339),IF(U339&gt;=0,U339,""),""))</f>
        <v/>
      </c>
      <c r="AW339" s="94" t="str">
        <f aca="false">IF(ISBLANK($C339),"",IF(V339=Constants!$B$2,TRUE(),IF(V339=Constants!$B$3,FALSE(),TRUE())))</f>
        <v/>
      </c>
      <c r="AX339" s="93" t="str">
        <f aca="false">IF(ISBLANK($C339),"",IF(ISNUMBER(W339),IF(W339&gt;=0,W339,""),""))</f>
        <v/>
      </c>
      <c r="AY339" s="93" t="str">
        <f aca="false">IF(ISBLANK($C339),"",IF(X339=Constants!$B$2,TRUE(),IF(X339=Constants!$B$3,FALSE(),FALSE())))</f>
        <v/>
      </c>
      <c r="AZ339" s="93" t="str">
        <f aca="false">IF(ISBLANK($C339),"",MIN(Constants!$B$25,MAX(0,IF(ISNUMBER(Y339),Y339*60,0)+IF(ISNUMBER(Z339),Z339,0))))</f>
        <v/>
      </c>
      <c r="BA339" s="93" t="str">
        <f aca="false">IF(ISBLANK($C339),"",IF(AA339=Constants!$B$2,TRUE(),IF(AA339=Constants!$B$3,FALSE(),FALSE())))</f>
        <v/>
      </c>
      <c r="BB339" s="92" t="str">
        <f aca="false">IF(ISBLANK($C339),"",AND($AL339,OR($AM339="",$AN339="",AND($AO339,$AP339=""))))</f>
        <v/>
      </c>
      <c r="BC339" s="94" t="str">
        <f aca="false">IF($BX339&lt;&gt;Constants!$B$6,"",IF($AL339,Constants!$B$17*$AN339+Constants!$B$18*IF($AO339,$AP339,Constants!$B$19),Constants!$B$20))</f>
        <v/>
      </c>
      <c r="BD339" s="97" t="str">
        <f aca="false">IF($BX339&lt;&gt;Constants!$B$6,"",Constants!$B$21*ABS($AD$9-IF($AL339,$AM339,0)))</f>
        <v/>
      </c>
      <c r="BE339" s="97" t="str">
        <f aca="false">IF($BX339&lt;&gt;Constants!$B$6,"",IF(AND($AL339,$AQ339,$AO339),Constants!$B$22,0))</f>
        <v/>
      </c>
      <c r="BF339" s="97" t="str">
        <f aca="false">IF($BX339&lt;&gt;Constants!$B$6,"",IF($AL339,($AI339-Constants!$B$24)*Constants!$B$23,0))</f>
        <v/>
      </c>
      <c r="BG339" s="97" t="str">
        <f aca="false">IF($BX339&lt;&gt;Constants!$B$6,"",IF($AK339,0,Constants!$B$12)+IF($AJ339,0,Constants!$B$13)+IF($AH339,0,Constants!$B$14))</f>
        <v/>
      </c>
      <c r="BH339" s="98" t="str">
        <f aca="false">IF($BX339&lt;&gt;Constants!$B$6,"",Constants!$B$16+SUM($BC339:$BG339))</f>
        <v/>
      </c>
      <c r="BI339" s="97" t="str">
        <f aca="false">IF($BX339&lt;&gt;Constants!$B$6,"",$BC339)</f>
        <v/>
      </c>
      <c r="BJ339" s="97" t="str">
        <f aca="false">IF($BX339&lt;&gt;Constants!$B$6,"",$BD339)</f>
        <v/>
      </c>
      <c r="BK339" s="99" t="str">
        <f aca="false">IF($BX339&lt;&gt;Constants!$B$6,"",IF($AL339,$AN339,""))</f>
        <v/>
      </c>
      <c r="BL339" s="93" t="str">
        <f aca="false">IF($BX339&lt;&gt;Constants!$B$6,"",IF(OR($BS339&lt;$BH339,AND($BS339=$BH339,OR($BT339&lt;$BI339,AND($BT339=$BI339,OR($BU339&lt;$BJ339,AND($BU339=$BJ339,AND(ISNUMBER($BV339),OR(NOT(ISNUMBER($BK339)),$BV339&lt;$BK339)))))))),"-&gt;","&lt;-"))</f>
        <v/>
      </c>
      <c r="BM339" s="92" t="str">
        <f aca="false">IF(ISBLANK($C339),"",AND($AT339,OR($AU339="",$AV339="",AND($AW339,$AX339=""))))</f>
        <v/>
      </c>
      <c r="BN339" s="94" t="str">
        <f aca="false">IF($BX339&lt;&gt;Constants!$B$6,"",IF($AT339,Constants!$B$17*$AV339+Constants!$B$18*IF($AW339,$AX339,Constants!$B$19),Constants!$B$20))</f>
        <v/>
      </c>
      <c r="BO339" s="97" t="str">
        <f aca="false">IF($BX339&lt;&gt;Constants!$B$6,"",Constants!$B$21*ABS($AD$9-IF($AT339,$AU339,0)))</f>
        <v/>
      </c>
      <c r="BP339" s="97" t="str">
        <f aca="false">IF($BX339&lt;&gt;Constants!$B$6,"",IF(AND($AT339,$AY339,$AW339),Constants!$B$22,0))</f>
        <v/>
      </c>
      <c r="BQ339" s="97" t="str">
        <f aca="false">IF($BX339&lt;&gt;Constants!$B$6,"",IF($AT339,($AI339-Constants!$B$24)*Constants!$B$23,0))</f>
        <v/>
      </c>
      <c r="BR339" s="97" t="str">
        <f aca="false">IF($BX339&lt;&gt;Constants!$B$6,"",IF($AS339,0,Constants!$B$12)+IF($AR339,0,Constants!$B$13)+IF($AH339,0,Constants!$B$14))</f>
        <v/>
      </c>
      <c r="BS339" s="98" t="str">
        <f aca="false">IF($BX339&lt;&gt;Constants!$B$6,"",Constants!$B$16+SUM($BN339:$BR339))</f>
        <v/>
      </c>
      <c r="BT339" s="97" t="str">
        <f aca="false">IF($BX339&lt;&gt;Constants!$B$6,"",$BN339)</f>
        <v/>
      </c>
      <c r="BU339" s="97" t="str">
        <f aca="false">IF($BX339&lt;&gt;Constants!$B$6,"",$BO339)</f>
        <v/>
      </c>
      <c r="BV339" s="99" t="str">
        <f aca="false">IF($BX339&lt;&gt;Constants!$B$6,"",IF($AT339,$AV339,""))</f>
        <v/>
      </c>
      <c r="BW339" s="93" t="str">
        <f aca="false">IF(ISBLANK($C339),"",IF(ISBLANK($D$7),$BW$5,IF(NOT(ISNUMBER($D$7)),$BW$6,"")))</f>
        <v/>
      </c>
      <c r="BX339" s="93" t="str">
        <f aca="false">IF(ISBLANK($C339),"",IF($BA339,Constants!$B$9,IF(COUNTA($E339:$AA339)=0,Constants!$B$8,IF(NOT($AG339),Constants!$B$7,IF(OR($BW339&lt;&gt;"",$BB339,$BM339),Constants!$B$10,Constants!$B$6)))))</f>
        <v/>
      </c>
      <c r="BY339" s="93" t="str">
        <f aca="false">IF(ISBLANK($C339),"",IF($BX339&lt;&gt;Constants!$B$6,$BX339,Constants!$B$11))</f>
        <v/>
      </c>
      <c r="BZ339" s="97" t="str">
        <f aca="false">IF($BX339&lt;&gt;Constants!$B$6,"",IF($BL339="-&gt;",$BS339,$BH339))</f>
        <v/>
      </c>
      <c r="CA339" s="97" t="str">
        <f aca="false">IF($BX339&lt;&gt;Constants!$B$6,"",IF($AF339,0,Constants!$B$15))</f>
        <v/>
      </c>
      <c r="CB339" s="97" t="str">
        <f aca="false">IF($BX339&lt;&gt;Constants!$B$6,"",((Constants!$B$25-$AZ339)-Constants!$B$25)/Constants!$B$26)</f>
        <v/>
      </c>
      <c r="CC339" s="97" t="str">
        <f aca="false">IF(ISBLANK($C339),"",IF($BX339&lt;&gt;Constants!$B$6,$BX339,SUM($BZ339:$CB339)))</f>
        <v/>
      </c>
      <c r="CD339" s="93" t="str">
        <f aca="false">IF(ISBLANK($C339),"",IF($BX339&lt;&gt;Constants!$B$6,$BX339,RANK($CC339,$CC$9:$CC$508,1)))</f>
        <v/>
      </c>
      <c r="CE339" s="97" t="str">
        <f aca="false">IF($BX339&lt;&gt;Constants!$B$6,"",IF($BL339="-&gt;",$BT339,$BI339))</f>
        <v/>
      </c>
      <c r="CF339" s="93" t="str">
        <f aca="false">IF(ISBLANK($C339),"",IF($BX339&lt;&gt;Constants!$B$6,$BX339,IF(ISNUMBER($CE339),RANK($CE339,$CE$9:$CE$508,1),COUNT($CE$9:$CE$508)+1)))</f>
        <v/>
      </c>
      <c r="CG339" s="97" t="str">
        <f aca="false">IF($BX339&lt;&gt;Constants!$B$6,"",IF($BL339="-&gt;",$BU339,$BJ339))</f>
        <v/>
      </c>
      <c r="CH339" s="93" t="str">
        <f aca="false">IF(ISBLANK($C339),"",IF($BX339&lt;&gt;Constants!$B$6,$BX339,IF(ISNUMBER($CG339),RANK($CG339,$CG$9:$CG$508,1),COUNT($CG$9:$CG$508)+1)))</f>
        <v/>
      </c>
      <c r="CI339" s="97" t="str">
        <f aca="false">IF($BX339&lt;&gt;Constants!$B$6,"",IF($BL339="-&gt;",$BV339,$BK339))</f>
        <v/>
      </c>
      <c r="CJ339" s="93" t="str">
        <f aca="false">IF(ISBLANK($C339),"",IF($BX339&lt;&gt;Constants!$B$6,$BX339,IF(ISNUMBER($CI339),RANK($CI339,$CI$9:$CI$508,1),COUNT($CI$9:$CI$508)+1)))</f>
        <v/>
      </c>
      <c r="CK339" s="97" t="str">
        <f aca="false">IF($BX339&lt;&gt;Constants!$B$6,"",$AI339)</f>
        <v/>
      </c>
      <c r="CL339" s="93" t="str">
        <f aca="false">IF(ISBLANK($C339),"",IF($BX339&lt;&gt;Constants!$B$6,$BX339,IF(ISNUMBER($CK339),RANK($CK339,$CK$9:$CK$508,1),COUNT($CK$9:$CK$508)+1)))</f>
        <v/>
      </c>
      <c r="CM339" s="93" t="str">
        <f aca="false">IF(ISBLANK($C339),"",IF($BX339&lt;&gt;Constants!$B$6,$BX339,COUNTIFS($CD$9:$CD$508,"&lt;"&amp;$CD339)+COUNTIFS($CD$9:$CD$508,$CD339,$CF$9:$CF$508,"&lt;"&amp;$CF339)+COUNTIFS($CD$9:$CD$508,$CD339,$CF$9:$CF$508,$CF339,$CH$9:$CH$508,"&lt;"&amp;$CH339)+COUNTIFS($CD$9:$CD$508,$CD339,$CF$9:$CF$508,$CF339,$CH$9:$CH$508,$CH339,$CJ$9:$CJ$508,"&lt;"&amp;$CJ339)+COUNTIFS($CD$9:$CD$508,$CD339,$CF$9:$CF$508,$CF339,$CH$9:$CH$508,$CH339,$CJ$9:$CJ$508,$CJ339,$CL$9:$CL$508,"&lt;"&amp;$CL339)+1))</f>
        <v/>
      </c>
      <c r="CN339" s="93" t="str">
        <f aca="false">IF(ISBLANK($C339),"",IF($BX339&lt;&gt;Constants!$B$6,$BX339,$CD339-$CM339))</f>
        <v/>
      </c>
      <c r="CO339" s="100"/>
      <c r="CP339" s="101"/>
      <c r="CQ339" s="102" t="str">
        <f aca="false">IF(ISBLANK($C339),"",IF($BX339=Constants!$B$10,$BW339,""))</f>
        <v/>
      </c>
      <c r="CR339" s="101" t="str">
        <f aca="false">IF(ISBLANK($C339),"",IF($BX339&lt;&gt;Constants!$B$6,"",IF($BL339="-&gt;",2,1)))</f>
        <v/>
      </c>
      <c r="CS339" s="103" t="str">
        <f aca="false">IF(ISBLANK($C339),"",IF($BX339&lt;&gt;Constants!$B$6,"",IF($BL339="-&gt;",$BN339,$BC339)))</f>
        <v/>
      </c>
      <c r="CT339" s="103" t="str">
        <f aca="false">IF(ISBLANK($C339),"",IF($BX339&lt;&gt;Constants!$B$6,"",IF($BL339="-&gt;",$BO339,$BD339)))</f>
        <v/>
      </c>
      <c r="CU339" s="103" t="str">
        <f aca="false">IF(ISBLANK($C339),"",IF($BX339&lt;&gt;Constants!$B$6,"",IF($BL339="-&gt;",$BP339+$BQ339,$BE339+$BF339)+$CB339))</f>
        <v/>
      </c>
      <c r="CV339" s="103" t="str">
        <f aca="false">IF(ISBLANK($C339),"",IF($BX339&lt;&gt;Constants!$B$6,"",IF($BL339="-&gt;",$BR339,$BG339)+$CA339))</f>
        <v/>
      </c>
      <c r="CW339" s="104" t="str">
        <f aca="false">IF(ISBLANK($C339),"",IF($BX339&lt;&gt;Constants!$B$6,$BX339,$CC339))</f>
        <v/>
      </c>
      <c r="CX339" s="105" t="str">
        <f aca="false">IF(ISBLANK($C339),"",$BY339)</f>
        <v/>
      </c>
      <c r="CY339" s="106" t="str">
        <f aca="false">IF(ISBLANK($C339),"",$CN339)</f>
        <v/>
      </c>
      <c r="CZ339" s="106" t="str">
        <f aca="false">IF(ISBLANK($C339),"",$CM339)</f>
        <v/>
      </c>
      <c r="DA339" s="107" t="str">
        <f aca="false">IF(ISBLANK($C339),"",IFERROR(_xlfn.SWITCH($CZ339,Constants!$B$9,COUNTA($C$9:$C$508)+2,Constants!$B$8,COUNTA($C$9:$C$508)+1,Constants!$B$7,COUNTA($C$9:$C$508)),$CZ339))</f>
        <v/>
      </c>
      <c r="DB339" s="9"/>
      <c r="DC339" s="108" t="n">
        <f aca="false">IF(OR(ISNUMBER($CZ339),$CZ339=Constants!$B$9,$CZ339=Constants!$B$7,$CZ339=Constants!$B$8),1,0)</f>
        <v>0</v>
      </c>
      <c r="DD339" s="108" t="n">
        <v>331</v>
      </c>
      <c r="DE339" s="108" t="str">
        <f aca="false">IF(ISBLANK($C339),"",IF(ISNUMBER($DA339),$DA339+ROW($B339)/1000,""))</f>
        <v/>
      </c>
      <c r="DF339" s="108" t="str">
        <f aca="false">IF(ISNUMBER($DE339),RANK($DE339,$DE$9:$DE$508,1),"")</f>
        <v/>
      </c>
      <c r="DG339" s="108" t="str">
        <f aca="false">IF(ISBLANK($C339),"",$B339)</f>
        <v/>
      </c>
      <c r="DH339" s="108" t="str">
        <f aca="false">IF(ISBLANK($C339),"",$C339)</f>
        <v/>
      </c>
      <c r="DI339" s="108" t="str">
        <f aca="false">IF(ISBLANK($C339),"",$D339)</f>
        <v/>
      </c>
      <c r="DJ339" s="109" t="str">
        <f aca="false">$CX339</f>
        <v/>
      </c>
      <c r="DK339" s="110" t="str">
        <f aca="false">$CW339</f>
        <v/>
      </c>
      <c r="DL339" s="108" t="str">
        <f aca="false">IF(ISBLANK($C339),"",$CZ339)</f>
        <v/>
      </c>
      <c r="DM339" s="111" t="str">
        <f aca="false">IF($DD339&gt;$DC$8,"",VLOOKUP($DD339,$DF$9:$DL$508,7,FALSE()))</f>
        <v/>
      </c>
      <c r="DN339" s="112" t="str">
        <f aca="false">IF($DD339&gt;$DC$8,"",VLOOKUP($DD339,$DF$9:$DL$508,2,FALSE()))</f>
        <v/>
      </c>
      <c r="DO339" s="112" t="str">
        <f aca="false">IF($DD339&gt;$DC$8,"",VLOOKUP($DD339,$DF$9:$DL$508,3,FALSE()))</f>
        <v/>
      </c>
      <c r="DP339" s="112" t="str">
        <f aca="false">IF($DD339&gt;$DC$8,"",VLOOKUP($DD339,$DF$9:$DL$508,4,FALSE()))</f>
        <v/>
      </c>
      <c r="DQ339" s="112" t="str">
        <f aca="false">IF($DD339&gt;$DC$8,"",VLOOKUP($DD339,$DF$9:$DL$508,5,FALSE()))</f>
        <v/>
      </c>
      <c r="DR339" s="113" t="str">
        <f aca="false">IF($DD339&gt;$DC$8,"",VLOOKUP($DD339,$DF$9:$DL$508,6,FALSE()))</f>
        <v/>
      </c>
      <c r="DS339" s="76"/>
    </row>
    <row r="340" customFormat="false" ht="15.75" hidden="false" customHeight="false" outlineLevel="0" collapsed="false">
      <c r="A340" s="9"/>
      <c r="B340" s="78"/>
      <c r="C340" s="79"/>
      <c r="D340" s="170"/>
      <c r="E340" s="178"/>
      <c r="F340" s="172"/>
      <c r="G340" s="173"/>
      <c r="H340" s="173"/>
      <c r="I340" s="179"/>
      <c r="J340" s="176"/>
      <c r="K340" s="86"/>
      <c r="L340" s="87"/>
      <c r="M340" s="88"/>
      <c r="N340" s="176"/>
      <c r="O340" s="176"/>
      <c r="P340" s="178"/>
      <c r="Q340" s="176"/>
      <c r="R340" s="176"/>
      <c r="S340" s="86"/>
      <c r="T340" s="88"/>
      <c r="U340" s="88"/>
      <c r="V340" s="176"/>
      <c r="W340" s="176"/>
      <c r="X340" s="178"/>
      <c r="Y340" s="176"/>
      <c r="Z340" s="177"/>
      <c r="AA340" s="176"/>
      <c r="AB340" s="92"/>
      <c r="AC340" s="93"/>
      <c r="AD340" s="93"/>
      <c r="AE340" s="93"/>
      <c r="AF340" s="93" t="str">
        <f aca="false">IF(ISBLANK($C340),"",IF(E340=Constants!$B$2,TRUE(),IF(E340=Constants!$B$3,FALSE(),TRUE())))</f>
        <v/>
      </c>
      <c r="AG340" s="93" t="str">
        <f aca="false">IF(ISBLANK($C340),"",IF(F340=Constants!$B$2,TRUE(),IF(F340=Constants!$B$3,FALSE(),TRUE())))</f>
        <v/>
      </c>
      <c r="AH340" s="93" t="str">
        <f aca="false">IF(ISBLANK($C340),"",IF(G340=Constants!$B$2,TRUE(),IF(G340=Constants!$B$3,FALSE(),TRUE())))</f>
        <v/>
      </c>
      <c r="AI340" s="93" t="str">
        <f aca="false">IF(ISBLANK($C340),"",IF(AND(ISNUMBER(H340),H340&gt;=0),H340,Constants!$B$24))</f>
        <v/>
      </c>
      <c r="AJ340" s="93" t="str">
        <f aca="false">IF(ISBLANK($C340),"",IF(I340=Constants!$B$2,TRUE(),IF(I340=Constants!$B$3,FALSE(),TRUE())))</f>
        <v/>
      </c>
      <c r="AK340" s="93" t="str">
        <f aca="false">IF(ISBLANK($C340),"",IF(J340=Constants!$B$2,TRUE(),IF(J340=Constants!$B$3,FALSE(),TRUE())))</f>
        <v/>
      </c>
      <c r="AL340" s="93" t="str">
        <f aca="false">IF(ISBLANK($C340),"",IF(K340=Constants!$B$4,TRUE(),IF(K340=Constants!$B$5,FALSE(),COUNTA(L340:P340)&gt;0)))</f>
        <v/>
      </c>
      <c r="AM340" s="95" t="str">
        <f aca="false">IF(ISBLANK($C340),"",IF(ISNUMBER(L340),IF(L340&gt;=0,L340,""),""))</f>
        <v/>
      </c>
      <c r="AN340" s="94" t="str">
        <f aca="false">IF(ISBLANK($C340),"",IF(ISNUMBER(M340),IF(M340&gt;=0,M340,""),""))</f>
        <v/>
      </c>
      <c r="AO340" s="94" t="str">
        <f aca="false">IF(ISBLANK($C340),"",IF(N340=Constants!$B$2,TRUE(),IF(N340=Constants!$B$3,FALSE(),TRUE())))</f>
        <v/>
      </c>
      <c r="AP340" s="93" t="str">
        <f aca="false">IF(ISBLANK($C340),"",IF(ISNUMBER(O340),IF(O340&gt;=0,O340,""),""))</f>
        <v/>
      </c>
      <c r="AQ340" s="93" t="str">
        <f aca="false">IF(ISBLANK($C340),"",IF(P340=Constants!$B$2,TRUE(),IF(P340=Constants!$B$3,FALSE(),FALSE())))</f>
        <v/>
      </c>
      <c r="AR340" s="93" t="str">
        <f aca="false">IF(ISBLANK($C340),"",IF(Q340=Constants!$B$2,TRUE(),IF(Q340=Constants!$B$3,FALSE(),TRUE())))</f>
        <v/>
      </c>
      <c r="AS340" s="93" t="str">
        <f aca="false">IF(ISBLANK($C340),"",IF(R340=Constants!$B$2,TRUE(),IF(R340=Constants!$B$3,FALSE(),TRUE())))</f>
        <v/>
      </c>
      <c r="AT340" s="93" t="str">
        <f aca="false">IF(ISBLANK($C340),"",IF(S340=Constants!$B$4,TRUE(),IF(S340=Constants!$B$5,FALSE(),COUNTA(T340:X340)&gt;0)))</f>
        <v/>
      </c>
      <c r="AU340" s="95" t="str">
        <f aca="false">IF(ISBLANK($C340),"",IF(ISNUMBER(T340),IF(T340&gt;=0,T340,""),""))</f>
        <v/>
      </c>
      <c r="AV340" s="94" t="str">
        <f aca="false">IF(ISBLANK($C340),"",IF(ISNUMBER(U340),IF(U340&gt;=0,U340,""),""))</f>
        <v/>
      </c>
      <c r="AW340" s="94" t="str">
        <f aca="false">IF(ISBLANK($C340),"",IF(V340=Constants!$B$2,TRUE(),IF(V340=Constants!$B$3,FALSE(),TRUE())))</f>
        <v/>
      </c>
      <c r="AX340" s="93" t="str">
        <f aca="false">IF(ISBLANK($C340),"",IF(ISNUMBER(W340),IF(W340&gt;=0,W340,""),""))</f>
        <v/>
      </c>
      <c r="AY340" s="93" t="str">
        <f aca="false">IF(ISBLANK($C340),"",IF(X340=Constants!$B$2,TRUE(),IF(X340=Constants!$B$3,FALSE(),FALSE())))</f>
        <v/>
      </c>
      <c r="AZ340" s="93" t="str">
        <f aca="false">IF(ISBLANK($C340),"",MIN(Constants!$B$25,MAX(0,IF(ISNUMBER(Y340),Y340*60,0)+IF(ISNUMBER(Z340),Z340,0))))</f>
        <v/>
      </c>
      <c r="BA340" s="93" t="str">
        <f aca="false">IF(ISBLANK($C340),"",IF(AA340=Constants!$B$2,TRUE(),IF(AA340=Constants!$B$3,FALSE(),FALSE())))</f>
        <v/>
      </c>
      <c r="BB340" s="92" t="str">
        <f aca="false">IF(ISBLANK($C340),"",AND($AL340,OR($AM340="",$AN340="",AND($AO340,$AP340=""))))</f>
        <v/>
      </c>
      <c r="BC340" s="94" t="str">
        <f aca="false">IF($BX340&lt;&gt;Constants!$B$6,"",IF($AL340,Constants!$B$17*$AN340+Constants!$B$18*IF($AO340,$AP340,Constants!$B$19),Constants!$B$20))</f>
        <v/>
      </c>
      <c r="BD340" s="97" t="str">
        <f aca="false">IF($BX340&lt;&gt;Constants!$B$6,"",Constants!$B$21*ABS($AD$9-IF($AL340,$AM340,0)))</f>
        <v/>
      </c>
      <c r="BE340" s="97" t="str">
        <f aca="false">IF($BX340&lt;&gt;Constants!$B$6,"",IF(AND($AL340,$AQ340,$AO340),Constants!$B$22,0))</f>
        <v/>
      </c>
      <c r="BF340" s="97" t="str">
        <f aca="false">IF($BX340&lt;&gt;Constants!$B$6,"",IF($AL340,($AI340-Constants!$B$24)*Constants!$B$23,0))</f>
        <v/>
      </c>
      <c r="BG340" s="97" t="str">
        <f aca="false">IF($BX340&lt;&gt;Constants!$B$6,"",IF($AK340,0,Constants!$B$12)+IF($AJ340,0,Constants!$B$13)+IF($AH340,0,Constants!$B$14))</f>
        <v/>
      </c>
      <c r="BH340" s="98" t="str">
        <f aca="false">IF($BX340&lt;&gt;Constants!$B$6,"",Constants!$B$16+SUM($BC340:$BG340))</f>
        <v/>
      </c>
      <c r="BI340" s="97" t="str">
        <f aca="false">IF($BX340&lt;&gt;Constants!$B$6,"",$BC340)</f>
        <v/>
      </c>
      <c r="BJ340" s="97" t="str">
        <f aca="false">IF($BX340&lt;&gt;Constants!$B$6,"",$BD340)</f>
        <v/>
      </c>
      <c r="BK340" s="99" t="str">
        <f aca="false">IF($BX340&lt;&gt;Constants!$B$6,"",IF($AL340,$AN340,""))</f>
        <v/>
      </c>
      <c r="BL340" s="93" t="str">
        <f aca="false">IF($BX340&lt;&gt;Constants!$B$6,"",IF(OR($BS340&lt;$BH340,AND($BS340=$BH340,OR($BT340&lt;$BI340,AND($BT340=$BI340,OR($BU340&lt;$BJ340,AND($BU340=$BJ340,AND(ISNUMBER($BV340),OR(NOT(ISNUMBER($BK340)),$BV340&lt;$BK340)))))))),"-&gt;","&lt;-"))</f>
        <v/>
      </c>
      <c r="BM340" s="92" t="str">
        <f aca="false">IF(ISBLANK($C340),"",AND($AT340,OR($AU340="",$AV340="",AND($AW340,$AX340=""))))</f>
        <v/>
      </c>
      <c r="BN340" s="94" t="str">
        <f aca="false">IF($BX340&lt;&gt;Constants!$B$6,"",IF($AT340,Constants!$B$17*$AV340+Constants!$B$18*IF($AW340,$AX340,Constants!$B$19),Constants!$B$20))</f>
        <v/>
      </c>
      <c r="BO340" s="97" t="str">
        <f aca="false">IF($BX340&lt;&gt;Constants!$B$6,"",Constants!$B$21*ABS($AD$9-IF($AT340,$AU340,0)))</f>
        <v/>
      </c>
      <c r="BP340" s="97" t="str">
        <f aca="false">IF($BX340&lt;&gt;Constants!$B$6,"",IF(AND($AT340,$AY340,$AW340),Constants!$B$22,0))</f>
        <v/>
      </c>
      <c r="BQ340" s="97" t="str">
        <f aca="false">IF($BX340&lt;&gt;Constants!$B$6,"",IF($AT340,($AI340-Constants!$B$24)*Constants!$B$23,0))</f>
        <v/>
      </c>
      <c r="BR340" s="97" t="str">
        <f aca="false">IF($BX340&lt;&gt;Constants!$B$6,"",IF($AS340,0,Constants!$B$12)+IF($AR340,0,Constants!$B$13)+IF($AH340,0,Constants!$B$14))</f>
        <v/>
      </c>
      <c r="BS340" s="98" t="str">
        <f aca="false">IF($BX340&lt;&gt;Constants!$B$6,"",Constants!$B$16+SUM($BN340:$BR340))</f>
        <v/>
      </c>
      <c r="BT340" s="97" t="str">
        <f aca="false">IF($BX340&lt;&gt;Constants!$B$6,"",$BN340)</f>
        <v/>
      </c>
      <c r="BU340" s="97" t="str">
        <f aca="false">IF($BX340&lt;&gt;Constants!$B$6,"",$BO340)</f>
        <v/>
      </c>
      <c r="BV340" s="99" t="str">
        <f aca="false">IF($BX340&lt;&gt;Constants!$B$6,"",IF($AT340,$AV340,""))</f>
        <v/>
      </c>
      <c r="BW340" s="93" t="str">
        <f aca="false">IF(ISBLANK($C340),"",IF(ISBLANK($D$7),$BW$5,IF(NOT(ISNUMBER($D$7)),$BW$6,"")))</f>
        <v/>
      </c>
      <c r="BX340" s="93" t="str">
        <f aca="false">IF(ISBLANK($C340),"",IF($BA340,Constants!$B$9,IF(COUNTA($E340:$AA340)=0,Constants!$B$8,IF(NOT($AG340),Constants!$B$7,IF(OR($BW340&lt;&gt;"",$BB340,$BM340),Constants!$B$10,Constants!$B$6)))))</f>
        <v/>
      </c>
      <c r="BY340" s="93" t="str">
        <f aca="false">IF(ISBLANK($C340),"",IF($BX340&lt;&gt;Constants!$B$6,$BX340,Constants!$B$11))</f>
        <v/>
      </c>
      <c r="BZ340" s="97" t="str">
        <f aca="false">IF($BX340&lt;&gt;Constants!$B$6,"",IF($BL340="-&gt;",$BS340,$BH340))</f>
        <v/>
      </c>
      <c r="CA340" s="97" t="str">
        <f aca="false">IF($BX340&lt;&gt;Constants!$B$6,"",IF($AF340,0,Constants!$B$15))</f>
        <v/>
      </c>
      <c r="CB340" s="97" t="str">
        <f aca="false">IF($BX340&lt;&gt;Constants!$B$6,"",((Constants!$B$25-$AZ340)-Constants!$B$25)/Constants!$B$26)</f>
        <v/>
      </c>
      <c r="CC340" s="97" t="str">
        <f aca="false">IF(ISBLANK($C340),"",IF($BX340&lt;&gt;Constants!$B$6,$BX340,SUM($BZ340:$CB340)))</f>
        <v/>
      </c>
      <c r="CD340" s="93" t="str">
        <f aca="false">IF(ISBLANK($C340),"",IF($BX340&lt;&gt;Constants!$B$6,$BX340,RANK($CC340,$CC$9:$CC$508,1)))</f>
        <v/>
      </c>
      <c r="CE340" s="97" t="str">
        <f aca="false">IF($BX340&lt;&gt;Constants!$B$6,"",IF($BL340="-&gt;",$BT340,$BI340))</f>
        <v/>
      </c>
      <c r="CF340" s="93" t="str">
        <f aca="false">IF(ISBLANK($C340),"",IF($BX340&lt;&gt;Constants!$B$6,$BX340,IF(ISNUMBER($CE340),RANK($CE340,$CE$9:$CE$508,1),COUNT($CE$9:$CE$508)+1)))</f>
        <v/>
      </c>
      <c r="CG340" s="97" t="str">
        <f aca="false">IF($BX340&lt;&gt;Constants!$B$6,"",IF($BL340="-&gt;",$BU340,$BJ340))</f>
        <v/>
      </c>
      <c r="CH340" s="93" t="str">
        <f aca="false">IF(ISBLANK($C340),"",IF($BX340&lt;&gt;Constants!$B$6,$BX340,IF(ISNUMBER($CG340),RANK($CG340,$CG$9:$CG$508,1),COUNT($CG$9:$CG$508)+1)))</f>
        <v/>
      </c>
      <c r="CI340" s="97" t="str">
        <f aca="false">IF($BX340&lt;&gt;Constants!$B$6,"",IF($BL340="-&gt;",$BV340,$BK340))</f>
        <v/>
      </c>
      <c r="CJ340" s="93" t="str">
        <f aca="false">IF(ISBLANK($C340),"",IF($BX340&lt;&gt;Constants!$B$6,$BX340,IF(ISNUMBER($CI340),RANK($CI340,$CI$9:$CI$508,1),COUNT($CI$9:$CI$508)+1)))</f>
        <v/>
      </c>
      <c r="CK340" s="97" t="str">
        <f aca="false">IF($BX340&lt;&gt;Constants!$B$6,"",$AI340)</f>
        <v/>
      </c>
      <c r="CL340" s="93" t="str">
        <f aca="false">IF(ISBLANK($C340),"",IF($BX340&lt;&gt;Constants!$B$6,$BX340,IF(ISNUMBER($CK340),RANK($CK340,$CK$9:$CK$508,1),COUNT($CK$9:$CK$508)+1)))</f>
        <v/>
      </c>
      <c r="CM340" s="93" t="str">
        <f aca="false">IF(ISBLANK($C340),"",IF($BX340&lt;&gt;Constants!$B$6,$BX340,COUNTIFS($CD$9:$CD$508,"&lt;"&amp;$CD340)+COUNTIFS($CD$9:$CD$508,$CD340,$CF$9:$CF$508,"&lt;"&amp;$CF340)+COUNTIFS($CD$9:$CD$508,$CD340,$CF$9:$CF$508,$CF340,$CH$9:$CH$508,"&lt;"&amp;$CH340)+COUNTIFS($CD$9:$CD$508,$CD340,$CF$9:$CF$508,$CF340,$CH$9:$CH$508,$CH340,$CJ$9:$CJ$508,"&lt;"&amp;$CJ340)+COUNTIFS($CD$9:$CD$508,$CD340,$CF$9:$CF$508,$CF340,$CH$9:$CH$508,$CH340,$CJ$9:$CJ$508,$CJ340,$CL$9:$CL$508,"&lt;"&amp;$CL340)+1))</f>
        <v/>
      </c>
      <c r="CN340" s="93" t="str">
        <f aca="false">IF(ISBLANK($C340),"",IF($BX340&lt;&gt;Constants!$B$6,$BX340,$CD340-$CM340))</f>
        <v/>
      </c>
      <c r="CO340" s="100"/>
      <c r="CP340" s="101"/>
      <c r="CQ340" s="102" t="str">
        <f aca="false">IF(ISBLANK($C340),"",IF($BX340=Constants!$B$10,$BW340,""))</f>
        <v/>
      </c>
      <c r="CR340" s="101" t="str">
        <f aca="false">IF(ISBLANK($C340),"",IF($BX340&lt;&gt;Constants!$B$6,"",IF($BL340="-&gt;",2,1)))</f>
        <v/>
      </c>
      <c r="CS340" s="103" t="str">
        <f aca="false">IF(ISBLANK($C340),"",IF($BX340&lt;&gt;Constants!$B$6,"",IF($BL340="-&gt;",$BN340,$BC340)))</f>
        <v/>
      </c>
      <c r="CT340" s="103" t="str">
        <f aca="false">IF(ISBLANK($C340),"",IF($BX340&lt;&gt;Constants!$B$6,"",IF($BL340="-&gt;",$BO340,$BD340)))</f>
        <v/>
      </c>
      <c r="CU340" s="103" t="str">
        <f aca="false">IF(ISBLANK($C340),"",IF($BX340&lt;&gt;Constants!$B$6,"",IF($BL340="-&gt;",$BP340+$BQ340,$BE340+$BF340)+$CB340))</f>
        <v/>
      </c>
      <c r="CV340" s="103" t="str">
        <f aca="false">IF(ISBLANK($C340),"",IF($BX340&lt;&gt;Constants!$B$6,"",IF($BL340="-&gt;",$BR340,$BG340)+$CA340))</f>
        <v/>
      </c>
      <c r="CW340" s="104" t="str">
        <f aca="false">IF(ISBLANK($C340),"",IF($BX340&lt;&gt;Constants!$B$6,$BX340,$CC340))</f>
        <v/>
      </c>
      <c r="CX340" s="105" t="str">
        <f aca="false">IF(ISBLANK($C340),"",$BY340)</f>
        <v/>
      </c>
      <c r="CY340" s="106" t="str">
        <f aca="false">IF(ISBLANK($C340),"",$CN340)</f>
        <v/>
      </c>
      <c r="CZ340" s="106" t="str">
        <f aca="false">IF(ISBLANK($C340),"",$CM340)</f>
        <v/>
      </c>
      <c r="DA340" s="107" t="str">
        <f aca="false">IF(ISBLANK($C340),"",IFERROR(_xlfn.SWITCH($CZ340,Constants!$B$9,COUNTA($C$9:$C$508)+2,Constants!$B$8,COUNTA($C$9:$C$508)+1,Constants!$B$7,COUNTA($C$9:$C$508)),$CZ340))</f>
        <v/>
      </c>
      <c r="DB340" s="9"/>
      <c r="DC340" s="108" t="n">
        <f aca="false">IF(OR(ISNUMBER($CZ340),$CZ340=Constants!$B$9,$CZ340=Constants!$B$7,$CZ340=Constants!$B$8),1,0)</f>
        <v>0</v>
      </c>
      <c r="DD340" s="108" t="n">
        <v>332</v>
      </c>
      <c r="DE340" s="108" t="str">
        <f aca="false">IF(ISBLANK($C340),"",IF(ISNUMBER($DA340),$DA340+ROW($B340)/1000,""))</f>
        <v/>
      </c>
      <c r="DF340" s="108" t="str">
        <f aca="false">IF(ISNUMBER($DE340),RANK($DE340,$DE$9:$DE$508,1),"")</f>
        <v/>
      </c>
      <c r="DG340" s="108" t="str">
        <f aca="false">IF(ISBLANK($C340),"",$B340)</f>
        <v/>
      </c>
      <c r="DH340" s="108" t="str">
        <f aca="false">IF(ISBLANK($C340),"",$C340)</f>
        <v/>
      </c>
      <c r="DI340" s="108" t="str">
        <f aca="false">IF(ISBLANK($C340),"",$D340)</f>
        <v/>
      </c>
      <c r="DJ340" s="109" t="str">
        <f aca="false">$CX340</f>
        <v/>
      </c>
      <c r="DK340" s="110" t="str">
        <f aca="false">$CW340</f>
        <v/>
      </c>
      <c r="DL340" s="108" t="str">
        <f aca="false">IF(ISBLANK($C340),"",$CZ340)</f>
        <v/>
      </c>
      <c r="DM340" s="111" t="str">
        <f aca="false">IF($DD340&gt;$DC$8,"",VLOOKUP($DD340,$DF$9:$DL$508,7,FALSE()))</f>
        <v/>
      </c>
      <c r="DN340" s="112" t="str">
        <f aca="false">IF($DD340&gt;$DC$8,"",VLOOKUP($DD340,$DF$9:$DL$508,2,FALSE()))</f>
        <v/>
      </c>
      <c r="DO340" s="112" t="str">
        <f aca="false">IF($DD340&gt;$DC$8,"",VLOOKUP($DD340,$DF$9:$DL$508,3,FALSE()))</f>
        <v/>
      </c>
      <c r="DP340" s="112" t="str">
        <f aca="false">IF($DD340&gt;$DC$8,"",VLOOKUP($DD340,$DF$9:$DL$508,4,FALSE()))</f>
        <v/>
      </c>
      <c r="DQ340" s="112" t="str">
        <f aca="false">IF($DD340&gt;$DC$8,"",VLOOKUP($DD340,$DF$9:$DL$508,5,FALSE()))</f>
        <v/>
      </c>
      <c r="DR340" s="113" t="str">
        <f aca="false">IF($DD340&gt;$DC$8,"",VLOOKUP($DD340,$DF$9:$DL$508,6,FALSE()))</f>
        <v/>
      </c>
      <c r="DS340" s="76"/>
    </row>
    <row r="341" customFormat="false" ht="15.75" hidden="false" customHeight="false" outlineLevel="0" collapsed="false">
      <c r="A341" s="9"/>
      <c r="B341" s="78"/>
      <c r="C341" s="79"/>
      <c r="D341" s="170"/>
      <c r="E341" s="178"/>
      <c r="F341" s="172"/>
      <c r="G341" s="173"/>
      <c r="H341" s="173"/>
      <c r="I341" s="179"/>
      <c r="J341" s="176"/>
      <c r="K341" s="86"/>
      <c r="L341" s="87"/>
      <c r="M341" s="88"/>
      <c r="N341" s="176"/>
      <c r="O341" s="176"/>
      <c r="P341" s="178"/>
      <c r="Q341" s="176"/>
      <c r="R341" s="176"/>
      <c r="S341" s="86"/>
      <c r="T341" s="88"/>
      <c r="U341" s="88"/>
      <c r="V341" s="176"/>
      <c r="W341" s="176"/>
      <c r="X341" s="178"/>
      <c r="Y341" s="176"/>
      <c r="Z341" s="177"/>
      <c r="AA341" s="176"/>
      <c r="AB341" s="92"/>
      <c r="AC341" s="93"/>
      <c r="AD341" s="93"/>
      <c r="AE341" s="93"/>
      <c r="AF341" s="93" t="str">
        <f aca="false">IF(ISBLANK($C341),"",IF(E341=Constants!$B$2,TRUE(),IF(E341=Constants!$B$3,FALSE(),TRUE())))</f>
        <v/>
      </c>
      <c r="AG341" s="93" t="str">
        <f aca="false">IF(ISBLANK($C341),"",IF(F341=Constants!$B$2,TRUE(),IF(F341=Constants!$B$3,FALSE(),TRUE())))</f>
        <v/>
      </c>
      <c r="AH341" s="93" t="str">
        <f aca="false">IF(ISBLANK($C341),"",IF(G341=Constants!$B$2,TRUE(),IF(G341=Constants!$B$3,FALSE(),TRUE())))</f>
        <v/>
      </c>
      <c r="AI341" s="93" t="str">
        <f aca="false">IF(ISBLANK($C341),"",IF(AND(ISNUMBER(H341),H341&gt;=0),H341,Constants!$B$24))</f>
        <v/>
      </c>
      <c r="AJ341" s="93" t="str">
        <f aca="false">IF(ISBLANK($C341),"",IF(I341=Constants!$B$2,TRUE(),IF(I341=Constants!$B$3,FALSE(),TRUE())))</f>
        <v/>
      </c>
      <c r="AK341" s="93" t="str">
        <f aca="false">IF(ISBLANK($C341),"",IF(J341=Constants!$B$2,TRUE(),IF(J341=Constants!$B$3,FALSE(),TRUE())))</f>
        <v/>
      </c>
      <c r="AL341" s="93" t="str">
        <f aca="false">IF(ISBLANK($C341),"",IF(K341=Constants!$B$4,TRUE(),IF(K341=Constants!$B$5,FALSE(),COUNTA(L341:P341)&gt;0)))</f>
        <v/>
      </c>
      <c r="AM341" s="95" t="str">
        <f aca="false">IF(ISBLANK($C341),"",IF(ISNUMBER(L341),IF(L341&gt;=0,L341,""),""))</f>
        <v/>
      </c>
      <c r="AN341" s="94" t="str">
        <f aca="false">IF(ISBLANK($C341),"",IF(ISNUMBER(M341),IF(M341&gt;=0,M341,""),""))</f>
        <v/>
      </c>
      <c r="AO341" s="94" t="str">
        <f aca="false">IF(ISBLANK($C341),"",IF(N341=Constants!$B$2,TRUE(),IF(N341=Constants!$B$3,FALSE(),TRUE())))</f>
        <v/>
      </c>
      <c r="AP341" s="93" t="str">
        <f aca="false">IF(ISBLANK($C341),"",IF(ISNUMBER(O341),IF(O341&gt;=0,O341,""),""))</f>
        <v/>
      </c>
      <c r="AQ341" s="93" t="str">
        <f aca="false">IF(ISBLANK($C341),"",IF(P341=Constants!$B$2,TRUE(),IF(P341=Constants!$B$3,FALSE(),FALSE())))</f>
        <v/>
      </c>
      <c r="AR341" s="93" t="str">
        <f aca="false">IF(ISBLANK($C341),"",IF(Q341=Constants!$B$2,TRUE(),IF(Q341=Constants!$B$3,FALSE(),TRUE())))</f>
        <v/>
      </c>
      <c r="AS341" s="93" t="str">
        <f aca="false">IF(ISBLANK($C341),"",IF(R341=Constants!$B$2,TRUE(),IF(R341=Constants!$B$3,FALSE(),TRUE())))</f>
        <v/>
      </c>
      <c r="AT341" s="93" t="str">
        <f aca="false">IF(ISBLANK($C341),"",IF(S341=Constants!$B$4,TRUE(),IF(S341=Constants!$B$5,FALSE(),COUNTA(T341:X341)&gt;0)))</f>
        <v/>
      </c>
      <c r="AU341" s="95" t="str">
        <f aca="false">IF(ISBLANK($C341),"",IF(ISNUMBER(T341),IF(T341&gt;=0,T341,""),""))</f>
        <v/>
      </c>
      <c r="AV341" s="94" t="str">
        <f aca="false">IF(ISBLANK($C341),"",IF(ISNUMBER(U341),IF(U341&gt;=0,U341,""),""))</f>
        <v/>
      </c>
      <c r="AW341" s="94" t="str">
        <f aca="false">IF(ISBLANK($C341),"",IF(V341=Constants!$B$2,TRUE(),IF(V341=Constants!$B$3,FALSE(),TRUE())))</f>
        <v/>
      </c>
      <c r="AX341" s="93" t="str">
        <f aca="false">IF(ISBLANK($C341),"",IF(ISNUMBER(W341),IF(W341&gt;=0,W341,""),""))</f>
        <v/>
      </c>
      <c r="AY341" s="93" t="str">
        <f aca="false">IF(ISBLANK($C341),"",IF(X341=Constants!$B$2,TRUE(),IF(X341=Constants!$B$3,FALSE(),FALSE())))</f>
        <v/>
      </c>
      <c r="AZ341" s="93" t="str">
        <f aca="false">IF(ISBLANK($C341),"",MIN(Constants!$B$25,MAX(0,IF(ISNUMBER(Y341),Y341*60,0)+IF(ISNUMBER(Z341),Z341,0))))</f>
        <v/>
      </c>
      <c r="BA341" s="93" t="str">
        <f aca="false">IF(ISBLANK($C341),"",IF(AA341=Constants!$B$2,TRUE(),IF(AA341=Constants!$B$3,FALSE(),FALSE())))</f>
        <v/>
      </c>
      <c r="BB341" s="92" t="str">
        <f aca="false">IF(ISBLANK($C341),"",AND($AL341,OR($AM341="",$AN341="",AND($AO341,$AP341=""))))</f>
        <v/>
      </c>
      <c r="BC341" s="94" t="str">
        <f aca="false">IF($BX341&lt;&gt;Constants!$B$6,"",IF($AL341,Constants!$B$17*$AN341+Constants!$B$18*IF($AO341,$AP341,Constants!$B$19),Constants!$B$20))</f>
        <v/>
      </c>
      <c r="BD341" s="97" t="str">
        <f aca="false">IF($BX341&lt;&gt;Constants!$B$6,"",Constants!$B$21*ABS($AD$9-IF($AL341,$AM341,0)))</f>
        <v/>
      </c>
      <c r="BE341" s="97" t="str">
        <f aca="false">IF($BX341&lt;&gt;Constants!$B$6,"",IF(AND($AL341,$AQ341,$AO341),Constants!$B$22,0))</f>
        <v/>
      </c>
      <c r="BF341" s="97" t="str">
        <f aca="false">IF($BX341&lt;&gt;Constants!$B$6,"",IF($AL341,($AI341-Constants!$B$24)*Constants!$B$23,0))</f>
        <v/>
      </c>
      <c r="BG341" s="97" t="str">
        <f aca="false">IF($BX341&lt;&gt;Constants!$B$6,"",IF($AK341,0,Constants!$B$12)+IF($AJ341,0,Constants!$B$13)+IF($AH341,0,Constants!$B$14))</f>
        <v/>
      </c>
      <c r="BH341" s="98" t="str">
        <f aca="false">IF($BX341&lt;&gt;Constants!$B$6,"",Constants!$B$16+SUM($BC341:$BG341))</f>
        <v/>
      </c>
      <c r="BI341" s="97" t="str">
        <f aca="false">IF($BX341&lt;&gt;Constants!$B$6,"",$BC341)</f>
        <v/>
      </c>
      <c r="BJ341" s="97" t="str">
        <f aca="false">IF($BX341&lt;&gt;Constants!$B$6,"",$BD341)</f>
        <v/>
      </c>
      <c r="BK341" s="99" t="str">
        <f aca="false">IF($BX341&lt;&gt;Constants!$B$6,"",IF($AL341,$AN341,""))</f>
        <v/>
      </c>
      <c r="BL341" s="93" t="str">
        <f aca="false">IF($BX341&lt;&gt;Constants!$B$6,"",IF(OR($BS341&lt;$BH341,AND($BS341=$BH341,OR($BT341&lt;$BI341,AND($BT341=$BI341,OR($BU341&lt;$BJ341,AND($BU341=$BJ341,AND(ISNUMBER($BV341),OR(NOT(ISNUMBER($BK341)),$BV341&lt;$BK341)))))))),"-&gt;","&lt;-"))</f>
        <v/>
      </c>
      <c r="BM341" s="92" t="str">
        <f aca="false">IF(ISBLANK($C341),"",AND($AT341,OR($AU341="",$AV341="",AND($AW341,$AX341=""))))</f>
        <v/>
      </c>
      <c r="BN341" s="94" t="str">
        <f aca="false">IF($BX341&lt;&gt;Constants!$B$6,"",IF($AT341,Constants!$B$17*$AV341+Constants!$B$18*IF($AW341,$AX341,Constants!$B$19),Constants!$B$20))</f>
        <v/>
      </c>
      <c r="BO341" s="97" t="str">
        <f aca="false">IF($BX341&lt;&gt;Constants!$B$6,"",Constants!$B$21*ABS($AD$9-IF($AT341,$AU341,0)))</f>
        <v/>
      </c>
      <c r="BP341" s="97" t="str">
        <f aca="false">IF($BX341&lt;&gt;Constants!$B$6,"",IF(AND($AT341,$AY341,$AW341),Constants!$B$22,0))</f>
        <v/>
      </c>
      <c r="BQ341" s="97" t="str">
        <f aca="false">IF($BX341&lt;&gt;Constants!$B$6,"",IF($AT341,($AI341-Constants!$B$24)*Constants!$B$23,0))</f>
        <v/>
      </c>
      <c r="BR341" s="97" t="str">
        <f aca="false">IF($BX341&lt;&gt;Constants!$B$6,"",IF($AS341,0,Constants!$B$12)+IF($AR341,0,Constants!$B$13)+IF($AH341,0,Constants!$B$14))</f>
        <v/>
      </c>
      <c r="BS341" s="98" t="str">
        <f aca="false">IF($BX341&lt;&gt;Constants!$B$6,"",Constants!$B$16+SUM($BN341:$BR341))</f>
        <v/>
      </c>
      <c r="BT341" s="97" t="str">
        <f aca="false">IF($BX341&lt;&gt;Constants!$B$6,"",$BN341)</f>
        <v/>
      </c>
      <c r="BU341" s="97" t="str">
        <f aca="false">IF($BX341&lt;&gt;Constants!$B$6,"",$BO341)</f>
        <v/>
      </c>
      <c r="BV341" s="99" t="str">
        <f aca="false">IF($BX341&lt;&gt;Constants!$B$6,"",IF($AT341,$AV341,""))</f>
        <v/>
      </c>
      <c r="BW341" s="93" t="str">
        <f aca="false">IF(ISBLANK($C341),"",IF(ISBLANK($D$7),$BW$5,IF(NOT(ISNUMBER($D$7)),$BW$6,"")))</f>
        <v/>
      </c>
      <c r="BX341" s="93" t="str">
        <f aca="false">IF(ISBLANK($C341),"",IF($BA341,Constants!$B$9,IF(COUNTA($E341:$AA341)=0,Constants!$B$8,IF(NOT($AG341),Constants!$B$7,IF(OR($BW341&lt;&gt;"",$BB341,$BM341),Constants!$B$10,Constants!$B$6)))))</f>
        <v/>
      </c>
      <c r="BY341" s="93" t="str">
        <f aca="false">IF(ISBLANK($C341),"",IF($BX341&lt;&gt;Constants!$B$6,$BX341,Constants!$B$11))</f>
        <v/>
      </c>
      <c r="BZ341" s="97" t="str">
        <f aca="false">IF($BX341&lt;&gt;Constants!$B$6,"",IF($BL341="-&gt;",$BS341,$BH341))</f>
        <v/>
      </c>
      <c r="CA341" s="97" t="str">
        <f aca="false">IF($BX341&lt;&gt;Constants!$B$6,"",IF($AF341,0,Constants!$B$15))</f>
        <v/>
      </c>
      <c r="CB341" s="97" t="str">
        <f aca="false">IF($BX341&lt;&gt;Constants!$B$6,"",((Constants!$B$25-$AZ341)-Constants!$B$25)/Constants!$B$26)</f>
        <v/>
      </c>
      <c r="CC341" s="97" t="str">
        <f aca="false">IF(ISBLANK($C341),"",IF($BX341&lt;&gt;Constants!$B$6,$BX341,SUM($BZ341:$CB341)))</f>
        <v/>
      </c>
      <c r="CD341" s="93" t="str">
        <f aca="false">IF(ISBLANK($C341),"",IF($BX341&lt;&gt;Constants!$B$6,$BX341,RANK($CC341,$CC$9:$CC$508,1)))</f>
        <v/>
      </c>
      <c r="CE341" s="97" t="str">
        <f aca="false">IF($BX341&lt;&gt;Constants!$B$6,"",IF($BL341="-&gt;",$BT341,$BI341))</f>
        <v/>
      </c>
      <c r="CF341" s="93" t="str">
        <f aca="false">IF(ISBLANK($C341),"",IF($BX341&lt;&gt;Constants!$B$6,$BX341,IF(ISNUMBER($CE341),RANK($CE341,$CE$9:$CE$508,1),COUNT($CE$9:$CE$508)+1)))</f>
        <v/>
      </c>
      <c r="CG341" s="97" t="str">
        <f aca="false">IF($BX341&lt;&gt;Constants!$B$6,"",IF($BL341="-&gt;",$BU341,$BJ341))</f>
        <v/>
      </c>
      <c r="CH341" s="93" t="str">
        <f aca="false">IF(ISBLANK($C341),"",IF($BX341&lt;&gt;Constants!$B$6,$BX341,IF(ISNUMBER($CG341),RANK($CG341,$CG$9:$CG$508,1),COUNT($CG$9:$CG$508)+1)))</f>
        <v/>
      </c>
      <c r="CI341" s="97" t="str">
        <f aca="false">IF($BX341&lt;&gt;Constants!$B$6,"",IF($BL341="-&gt;",$BV341,$BK341))</f>
        <v/>
      </c>
      <c r="CJ341" s="93" t="str">
        <f aca="false">IF(ISBLANK($C341),"",IF($BX341&lt;&gt;Constants!$B$6,$BX341,IF(ISNUMBER($CI341),RANK($CI341,$CI$9:$CI$508,1),COUNT($CI$9:$CI$508)+1)))</f>
        <v/>
      </c>
      <c r="CK341" s="97" t="str">
        <f aca="false">IF($BX341&lt;&gt;Constants!$B$6,"",$AI341)</f>
        <v/>
      </c>
      <c r="CL341" s="93" t="str">
        <f aca="false">IF(ISBLANK($C341),"",IF($BX341&lt;&gt;Constants!$B$6,$BX341,IF(ISNUMBER($CK341),RANK($CK341,$CK$9:$CK$508,1),COUNT($CK$9:$CK$508)+1)))</f>
        <v/>
      </c>
      <c r="CM341" s="93" t="str">
        <f aca="false">IF(ISBLANK($C341),"",IF($BX341&lt;&gt;Constants!$B$6,$BX341,COUNTIFS($CD$9:$CD$508,"&lt;"&amp;$CD341)+COUNTIFS($CD$9:$CD$508,$CD341,$CF$9:$CF$508,"&lt;"&amp;$CF341)+COUNTIFS($CD$9:$CD$508,$CD341,$CF$9:$CF$508,$CF341,$CH$9:$CH$508,"&lt;"&amp;$CH341)+COUNTIFS($CD$9:$CD$508,$CD341,$CF$9:$CF$508,$CF341,$CH$9:$CH$508,$CH341,$CJ$9:$CJ$508,"&lt;"&amp;$CJ341)+COUNTIFS($CD$9:$CD$508,$CD341,$CF$9:$CF$508,$CF341,$CH$9:$CH$508,$CH341,$CJ$9:$CJ$508,$CJ341,$CL$9:$CL$508,"&lt;"&amp;$CL341)+1))</f>
        <v/>
      </c>
      <c r="CN341" s="93" t="str">
        <f aca="false">IF(ISBLANK($C341),"",IF($BX341&lt;&gt;Constants!$B$6,$BX341,$CD341-$CM341))</f>
        <v/>
      </c>
      <c r="CO341" s="100"/>
      <c r="CP341" s="101"/>
      <c r="CQ341" s="102" t="str">
        <f aca="false">IF(ISBLANK($C341),"",IF($BX341=Constants!$B$10,$BW341,""))</f>
        <v/>
      </c>
      <c r="CR341" s="101" t="str">
        <f aca="false">IF(ISBLANK($C341),"",IF($BX341&lt;&gt;Constants!$B$6,"",IF($BL341="-&gt;",2,1)))</f>
        <v/>
      </c>
      <c r="CS341" s="103" t="str">
        <f aca="false">IF(ISBLANK($C341),"",IF($BX341&lt;&gt;Constants!$B$6,"",IF($BL341="-&gt;",$BN341,$BC341)))</f>
        <v/>
      </c>
      <c r="CT341" s="103" t="str">
        <f aca="false">IF(ISBLANK($C341),"",IF($BX341&lt;&gt;Constants!$B$6,"",IF($BL341="-&gt;",$BO341,$BD341)))</f>
        <v/>
      </c>
      <c r="CU341" s="103" t="str">
        <f aca="false">IF(ISBLANK($C341),"",IF($BX341&lt;&gt;Constants!$B$6,"",IF($BL341="-&gt;",$BP341+$BQ341,$BE341+$BF341)+$CB341))</f>
        <v/>
      </c>
      <c r="CV341" s="103" t="str">
        <f aca="false">IF(ISBLANK($C341),"",IF($BX341&lt;&gt;Constants!$B$6,"",IF($BL341="-&gt;",$BR341,$BG341)+$CA341))</f>
        <v/>
      </c>
      <c r="CW341" s="104" t="str">
        <f aca="false">IF(ISBLANK($C341),"",IF($BX341&lt;&gt;Constants!$B$6,$BX341,$CC341))</f>
        <v/>
      </c>
      <c r="CX341" s="105" t="str">
        <f aca="false">IF(ISBLANK($C341),"",$BY341)</f>
        <v/>
      </c>
      <c r="CY341" s="106" t="str">
        <f aca="false">IF(ISBLANK($C341),"",$CN341)</f>
        <v/>
      </c>
      <c r="CZ341" s="106" t="str">
        <f aca="false">IF(ISBLANK($C341),"",$CM341)</f>
        <v/>
      </c>
      <c r="DA341" s="107" t="str">
        <f aca="false">IF(ISBLANK($C341),"",IFERROR(_xlfn.SWITCH($CZ341,Constants!$B$9,COUNTA($C$9:$C$508)+2,Constants!$B$8,COUNTA($C$9:$C$508)+1,Constants!$B$7,COUNTA($C$9:$C$508)),$CZ341))</f>
        <v/>
      </c>
      <c r="DB341" s="9"/>
      <c r="DC341" s="108" t="n">
        <f aca="false">IF(OR(ISNUMBER($CZ341),$CZ341=Constants!$B$9,$CZ341=Constants!$B$7,$CZ341=Constants!$B$8),1,0)</f>
        <v>0</v>
      </c>
      <c r="DD341" s="108" t="n">
        <v>333</v>
      </c>
      <c r="DE341" s="108" t="str">
        <f aca="false">IF(ISBLANK($C341),"",IF(ISNUMBER($DA341),$DA341+ROW($B341)/1000,""))</f>
        <v/>
      </c>
      <c r="DF341" s="108" t="str">
        <f aca="false">IF(ISNUMBER($DE341),RANK($DE341,$DE$9:$DE$508,1),"")</f>
        <v/>
      </c>
      <c r="DG341" s="108" t="str">
        <f aca="false">IF(ISBLANK($C341),"",$B341)</f>
        <v/>
      </c>
      <c r="DH341" s="108" t="str">
        <f aca="false">IF(ISBLANK($C341),"",$C341)</f>
        <v/>
      </c>
      <c r="DI341" s="108" t="str">
        <f aca="false">IF(ISBLANK($C341),"",$D341)</f>
        <v/>
      </c>
      <c r="DJ341" s="109" t="str">
        <f aca="false">$CX341</f>
        <v/>
      </c>
      <c r="DK341" s="110" t="str">
        <f aca="false">$CW341</f>
        <v/>
      </c>
      <c r="DL341" s="108" t="str">
        <f aca="false">IF(ISBLANK($C341),"",$CZ341)</f>
        <v/>
      </c>
      <c r="DM341" s="111" t="str">
        <f aca="false">IF($DD341&gt;$DC$8,"",VLOOKUP($DD341,$DF$9:$DL$508,7,FALSE()))</f>
        <v/>
      </c>
      <c r="DN341" s="112" t="str">
        <f aca="false">IF($DD341&gt;$DC$8,"",VLOOKUP($DD341,$DF$9:$DL$508,2,FALSE()))</f>
        <v/>
      </c>
      <c r="DO341" s="112" t="str">
        <f aca="false">IF($DD341&gt;$DC$8,"",VLOOKUP($DD341,$DF$9:$DL$508,3,FALSE()))</f>
        <v/>
      </c>
      <c r="DP341" s="112" t="str">
        <f aca="false">IF($DD341&gt;$DC$8,"",VLOOKUP($DD341,$DF$9:$DL$508,4,FALSE()))</f>
        <v/>
      </c>
      <c r="DQ341" s="112" t="str">
        <f aca="false">IF($DD341&gt;$DC$8,"",VLOOKUP($DD341,$DF$9:$DL$508,5,FALSE()))</f>
        <v/>
      </c>
      <c r="DR341" s="113" t="str">
        <f aca="false">IF($DD341&gt;$DC$8,"",VLOOKUP($DD341,$DF$9:$DL$508,6,FALSE()))</f>
        <v/>
      </c>
      <c r="DS341" s="76"/>
    </row>
    <row r="342" customFormat="false" ht="15.75" hidden="false" customHeight="false" outlineLevel="0" collapsed="false">
      <c r="A342" s="9"/>
      <c r="B342" s="160"/>
      <c r="C342" s="161"/>
      <c r="D342" s="162"/>
      <c r="E342" s="180"/>
      <c r="F342" s="164"/>
      <c r="G342" s="165"/>
      <c r="H342" s="165"/>
      <c r="I342" s="181"/>
      <c r="J342" s="168"/>
      <c r="K342" s="128"/>
      <c r="L342" s="129"/>
      <c r="M342" s="130"/>
      <c r="N342" s="168"/>
      <c r="O342" s="168"/>
      <c r="P342" s="180"/>
      <c r="Q342" s="168"/>
      <c r="R342" s="168"/>
      <c r="S342" s="128"/>
      <c r="T342" s="130"/>
      <c r="U342" s="130"/>
      <c r="V342" s="168"/>
      <c r="W342" s="168"/>
      <c r="X342" s="180"/>
      <c r="Y342" s="168"/>
      <c r="Z342" s="169"/>
      <c r="AA342" s="168"/>
      <c r="AB342" s="134"/>
      <c r="AC342" s="135"/>
      <c r="AD342" s="135"/>
      <c r="AE342" s="135"/>
      <c r="AF342" s="135" t="str">
        <f aca="false">IF(ISBLANK($C342),"",IF(E342=Constants!$B$2,TRUE(),IF(E342=Constants!$B$3,FALSE(),TRUE())))</f>
        <v/>
      </c>
      <c r="AG342" s="135" t="str">
        <f aca="false">IF(ISBLANK($C342),"",IF(F342=Constants!$B$2,TRUE(),IF(F342=Constants!$B$3,FALSE(),TRUE())))</f>
        <v/>
      </c>
      <c r="AH342" s="135" t="str">
        <f aca="false">IF(ISBLANK($C342),"",IF(G342=Constants!$B$2,TRUE(),IF(G342=Constants!$B$3,FALSE(),TRUE())))</f>
        <v/>
      </c>
      <c r="AI342" s="135" t="str">
        <f aca="false">IF(ISBLANK($C342),"",IF(AND(ISNUMBER(H342),H342&gt;=0),H342,Constants!$B$24))</f>
        <v/>
      </c>
      <c r="AJ342" s="135" t="str">
        <f aca="false">IF(ISBLANK($C342),"",IF(I342=Constants!$B$2,TRUE(),IF(I342=Constants!$B$3,FALSE(),TRUE())))</f>
        <v/>
      </c>
      <c r="AK342" s="135" t="str">
        <f aca="false">IF(ISBLANK($C342),"",IF(J342=Constants!$B$2,TRUE(),IF(J342=Constants!$B$3,FALSE(),TRUE())))</f>
        <v/>
      </c>
      <c r="AL342" s="135" t="str">
        <f aca="false">IF(ISBLANK($C342),"",IF(K342=Constants!$B$4,TRUE(),IF(K342=Constants!$B$5,FALSE(),COUNTA(L342:P342)&gt;0)))</f>
        <v/>
      </c>
      <c r="AM342" s="136" t="str">
        <f aca="false">IF(ISBLANK($C342),"",IF(ISNUMBER(L342),IF(L342&gt;=0,L342,""),""))</f>
        <v/>
      </c>
      <c r="AN342" s="137" t="str">
        <f aca="false">IF(ISBLANK($C342),"",IF(ISNUMBER(M342),IF(M342&gt;=0,M342,""),""))</f>
        <v/>
      </c>
      <c r="AO342" s="137" t="str">
        <f aca="false">IF(ISBLANK($C342),"",IF(N342=Constants!$B$2,TRUE(),IF(N342=Constants!$B$3,FALSE(),TRUE())))</f>
        <v/>
      </c>
      <c r="AP342" s="135" t="str">
        <f aca="false">IF(ISBLANK($C342),"",IF(ISNUMBER(O342),IF(O342&gt;=0,O342,""),""))</f>
        <v/>
      </c>
      <c r="AQ342" s="135" t="str">
        <f aca="false">IF(ISBLANK($C342),"",IF(P342=Constants!$B$2,TRUE(),IF(P342=Constants!$B$3,FALSE(),FALSE())))</f>
        <v/>
      </c>
      <c r="AR342" s="135" t="str">
        <f aca="false">IF(ISBLANK($C342),"",IF(Q342=Constants!$B$2,TRUE(),IF(Q342=Constants!$B$3,FALSE(),TRUE())))</f>
        <v/>
      </c>
      <c r="AS342" s="135" t="str">
        <f aca="false">IF(ISBLANK($C342),"",IF(R342=Constants!$B$2,TRUE(),IF(R342=Constants!$B$3,FALSE(),TRUE())))</f>
        <v/>
      </c>
      <c r="AT342" s="135" t="str">
        <f aca="false">IF(ISBLANK($C342),"",IF(S342=Constants!$B$4,TRUE(),IF(S342=Constants!$B$5,FALSE(),COUNTA(T342:X342)&gt;0)))</f>
        <v/>
      </c>
      <c r="AU342" s="136" t="str">
        <f aca="false">IF(ISBLANK($C342),"",IF(ISNUMBER(T342),IF(T342&gt;=0,T342,""),""))</f>
        <v/>
      </c>
      <c r="AV342" s="137" t="str">
        <f aca="false">IF(ISBLANK($C342),"",IF(ISNUMBER(U342),IF(U342&gt;=0,U342,""),""))</f>
        <v/>
      </c>
      <c r="AW342" s="137" t="str">
        <f aca="false">IF(ISBLANK($C342),"",IF(V342=Constants!$B$2,TRUE(),IF(V342=Constants!$B$3,FALSE(),TRUE())))</f>
        <v/>
      </c>
      <c r="AX342" s="135" t="str">
        <f aca="false">IF(ISBLANK($C342),"",IF(ISNUMBER(W342),IF(W342&gt;=0,W342,""),""))</f>
        <v/>
      </c>
      <c r="AY342" s="135" t="str">
        <f aca="false">IF(ISBLANK($C342),"",IF(X342=Constants!$B$2,TRUE(),IF(X342=Constants!$B$3,FALSE(),FALSE())))</f>
        <v/>
      </c>
      <c r="AZ342" s="135" t="str">
        <f aca="false">IF(ISBLANK($C342),"",MIN(Constants!$B$25,MAX(0,IF(ISNUMBER(Y342),Y342*60,0)+IF(ISNUMBER(Z342),Z342,0))))</f>
        <v/>
      </c>
      <c r="BA342" s="135" t="str">
        <f aca="false">IF(ISBLANK($C342),"",IF(AA342=Constants!$B$2,TRUE(),IF(AA342=Constants!$B$3,FALSE(),FALSE())))</f>
        <v/>
      </c>
      <c r="BB342" s="134" t="str">
        <f aca="false">IF(ISBLANK($C342),"",AND($AL342,OR($AM342="",$AN342="",AND($AO342,$AP342=""))))</f>
        <v/>
      </c>
      <c r="BC342" s="137" t="str">
        <f aca="false">IF($BX342&lt;&gt;Constants!$B$6,"",IF($AL342,Constants!$B$17*$AN342+Constants!$B$18*IF($AO342,$AP342,Constants!$B$19),Constants!$B$20))</f>
        <v/>
      </c>
      <c r="BD342" s="138" t="str">
        <f aca="false">IF($BX342&lt;&gt;Constants!$B$6,"",Constants!$B$21*ABS($AD$9-IF($AL342,$AM342,0)))</f>
        <v/>
      </c>
      <c r="BE342" s="138" t="str">
        <f aca="false">IF($BX342&lt;&gt;Constants!$B$6,"",IF(AND($AL342,$AQ342,$AO342),Constants!$B$22,0))</f>
        <v/>
      </c>
      <c r="BF342" s="138" t="str">
        <f aca="false">IF($BX342&lt;&gt;Constants!$B$6,"",IF($AL342,($AI342-Constants!$B$24)*Constants!$B$23,0))</f>
        <v/>
      </c>
      <c r="BG342" s="138" t="str">
        <f aca="false">IF($BX342&lt;&gt;Constants!$B$6,"",IF($AK342,0,Constants!$B$12)+IF($AJ342,0,Constants!$B$13)+IF($AH342,0,Constants!$B$14))</f>
        <v/>
      </c>
      <c r="BH342" s="139" t="str">
        <f aca="false">IF($BX342&lt;&gt;Constants!$B$6,"",Constants!$B$16+SUM($BC342:$BG342))</f>
        <v/>
      </c>
      <c r="BI342" s="138" t="str">
        <f aca="false">IF($BX342&lt;&gt;Constants!$B$6,"",$BC342)</f>
        <v/>
      </c>
      <c r="BJ342" s="138" t="str">
        <f aca="false">IF($BX342&lt;&gt;Constants!$B$6,"",$BD342)</f>
        <v/>
      </c>
      <c r="BK342" s="140" t="str">
        <f aca="false">IF($BX342&lt;&gt;Constants!$B$6,"",IF($AL342,$AN342,""))</f>
        <v/>
      </c>
      <c r="BL342" s="135" t="str">
        <f aca="false">IF($BX342&lt;&gt;Constants!$B$6,"",IF(OR($BS342&lt;$BH342,AND($BS342=$BH342,OR($BT342&lt;$BI342,AND($BT342=$BI342,OR($BU342&lt;$BJ342,AND($BU342=$BJ342,AND(ISNUMBER($BV342),OR(NOT(ISNUMBER($BK342)),$BV342&lt;$BK342)))))))),"-&gt;","&lt;-"))</f>
        <v/>
      </c>
      <c r="BM342" s="134" t="str">
        <f aca="false">IF(ISBLANK($C342),"",AND($AT342,OR($AU342="",$AV342="",AND($AW342,$AX342=""))))</f>
        <v/>
      </c>
      <c r="BN342" s="137" t="str">
        <f aca="false">IF($BX342&lt;&gt;Constants!$B$6,"",IF($AT342,Constants!$B$17*$AV342+Constants!$B$18*IF($AW342,$AX342,Constants!$B$19),Constants!$B$20))</f>
        <v/>
      </c>
      <c r="BO342" s="138" t="str">
        <f aca="false">IF($BX342&lt;&gt;Constants!$B$6,"",Constants!$B$21*ABS($AD$9-IF($AT342,$AU342,0)))</f>
        <v/>
      </c>
      <c r="BP342" s="138" t="str">
        <f aca="false">IF($BX342&lt;&gt;Constants!$B$6,"",IF(AND($AT342,$AY342,$AW342),Constants!$B$22,0))</f>
        <v/>
      </c>
      <c r="BQ342" s="138" t="str">
        <f aca="false">IF($BX342&lt;&gt;Constants!$B$6,"",IF($AT342,($AI342-Constants!$B$24)*Constants!$B$23,0))</f>
        <v/>
      </c>
      <c r="BR342" s="138" t="str">
        <f aca="false">IF($BX342&lt;&gt;Constants!$B$6,"",IF($AS342,0,Constants!$B$12)+IF($AR342,0,Constants!$B$13)+IF($AH342,0,Constants!$B$14))</f>
        <v/>
      </c>
      <c r="BS342" s="139" t="str">
        <f aca="false">IF($BX342&lt;&gt;Constants!$B$6,"",Constants!$B$16+SUM($BN342:$BR342))</f>
        <v/>
      </c>
      <c r="BT342" s="138" t="str">
        <f aca="false">IF($BX342&lt;&gt;Constants!$B$6,"",$BN342)</f>
        <v/>
      </c>
      <c r="BU342" s="138" t="str">
        <f aca="false">IF($BX342&lt;&gt;Constants!$B$6,"",$BO342)</f>
        <v/>
      </c>
      <c r="BV342" s="140" t="str">
        <f aca="false">IF($BX342&lt;&gt;Constants!$B$6,"",IF($AT342,$AV342,""))</f>
        <v/>
      </c>
      <c r="BW342" s="135" t="str">
        <f aca="false">IF(ISBLANK($C342),"",IF(ISBLANK($D$7),$BW$5,IF(NOT(ISNUMBER($D$7)),$BW$6,"")))</f>
        <v/>
      </c>
      <c r="BX342" s="135" t="str">
        <f aca="false">IF(ISBLANK($C342),"",IF($BA342,Constants!$B$9,IF(COUNTA($E342:$AA342)=0,Constants!$B$8,IF(NOT($AG342),Constants!$B$7,IF(OR($BW342&lt;&gt;"",$BB342,$BM342),Constants!$B$10,Constants!$B$6)))))</f>
        <v/>
      </c>
      <c r="BY342" s="135" t="str">
        <f aca="false">IF(ISBLANK($C342),"",IF($BX342&lt;&gt;Constants!$B$6,$BX342,Constants!$B$11))</f>
        <v/>
      </c>
      <c r="BZ342" s="138" t="str">
        <f aca="false">IF($BX342&lt;&gt;Constants!$B$6,"",IF($BL342="-&gt;",$BS342,$BH342))</f>
        <v/>
      </c>
      <c r="CA342" s="138" t="str">
        <f aca="false">IF($BX342&lt;&gt;Constants!$B$6,"",IF($AF342,0,Constants!$B$15))</f>
        <v/>
      </c>
      <c r="CB342" s="138" t="str">
        <f aca="false">IF($BX342&lt;&gt;Constants!$B$6,"",((Constants!$B$25-$AZ342)-Constants!$B$25)/Constants!$B$26)</f>
        <v/>
      </c>
      <c r="CC342" s="138" t="str">
        <f aca="false">IF(ISBLANK($C342),"",IF($BX342&lt;&gt;Constants!$B$6,$BX342,SUM($BZ342:$CB342)))</f>
        <v/>
      </c>
      <c r="CD342" s="135" t="str">
        <f aca="false">IF(ISBLANK($C342),"",IF($BX342&lt;&gt;Constants!$B$6,$BX342,RANK($CC342,$CC$9:$CC$508,1)))</f>
        <v/>
      </c>
      <c r="CE342" s="138" t="str">
        <f aca="false">IF($BX342&lt;&gt;Constants!$B$6,"",IF($BL342="-&gt;",$BT342,$BI342))</f>
        <v/>
      </c>
      <c r="CF342" s="135" t="str">
        <f aca="false">IF(ISBLANK($C342),"",IF($BX342&lt;&gt;Constants!$B$6,$BX342,IF(ISNUMBER($CE342),RANK($CE342,$CE$9:$CE$508,1),COUNT($CE$9:$CE$508)+1)))</f>
        <v/>
      </c>
      <c r="CG342" s="138" t="str">
        <f aca="false">IF($BX342&lt;&gt;Constants!$B$6,"",IF($BL342="-&gt;",$BU342,$BJ342))</f>
        <v/>
      </c>
      <c r="CH342" s="135" t="str">
        <f aca="false">IF(ISBLANK($C342),"",IF($BX342&lt;&gt;Constants!$B$6,$BX342,IF(ISNUMBER($CG342),RANK($CG342,$CG$9:$CG$508,1),COUNT($CG$9:$CG$508)+1)))</f>
        <v/>
      </c>
      <c r="CI342" s="138" t="str">
        <f aca="false">IF($BX342&lt;&gt;Constants!$B$6,"",IF($BL342="-&gt;",$BV342,$BK342))</f>
        <v/>
      </c>
      <c r="CJ342" s="135" t="str">
        <f aca="false">IF(ISBLANK($C342),"",IF($BX342&lt;&gt;Constants!$B$6,$BX342,IF(ISNUMBER($CI342),RANK($CI342,$CI$9:$CI$508,1),COUNT($CI$9:$CI$508)+1)))</f>
        <v/>
      </c>
      <c r="CK342" s="138" t="str">
        <f aca="false">IF($BX342&lt;&gt;Constants!$B$6,"",$AI342)</f>
        <v/>
      </c>
      <c r="CL342" s="135" t="str">
        <f aca="false">IF(ISBLANK($C342),"",IF($BX342&lt;&gt;Constants!$B$6,$BX342,IF(ISNUMBER($CK342),RANK($CK342,$CK$9:$CK$508,1),COUNT($CK$9:$CK$508)+1)))</f>
        <v/>
      </c>
      <c r="CM342" s="135" t="str">
        <f aca="false">IF(ISBLANK($C342),"",IF($BX342&lt;&gt;Constants!$B$6,$BX342,COUNTIFS($CD$9:$CD$508,"&lt;"&amp;$CD342)+COUNTIFS($CD$9:$CD$508,$CD342,$CF$9:$CF$508,"&lt;"&amp;$CF342)+COUNTIFS($CD$9:$CD$508,$CD342,$CF$9:$CF$508,$CF342,$CH$9:$CH$508,"&lt;"&amp;$CH342)+COUNTIFS($CD$9:$CD$508,$CD342,$CF$9:$CF$508,$CF342,$CH$9:$CH$508,$CH342,$CJ$9:$CJ$508,"&lt;"&amp;$CJ342)+COUNTIFS($CD$9:$CD$508,$CD342,$CF$9:$CF$508,$CF342,$CH$9:$CH$508,$CH342,$CJ$9:$CJ$508,$CJ342,$CL$9:$CL$508,"&lt;"&amp;$CL342)+1))</f>
        <v/>
      </c>
      <c r="CN342" s="135" t="str">
        <f aca="false">IF(ISBLANK($C342),"",IF($BX342&lt;&gt;Constants!$B$6,$BX342,$CD342-$CM342))</f>
        <v/>
      </c>
      <c r="CO342" s="141"/>
      <c r="CP342" s="142"/>
      <c r="CQ342" s="143" t="str">
        <f aca="false">IF(ISBLANK($C342),"",IF($BX342=Constants!$B$10,$BW342,""))</f>
        <v/>
      </c>
      <c r="CR342" s="142" t="str">
        <f aca="false">IF(ISBLANK($C342),"",IF($BX342&lt;&gt;Constants!$B$6,"",IF($BL342="-&gt;",2,1)))</f>
        <v/>
      </c>
      <c r="CS342" s="144" t="str">
        <f aca="false">IF(ISBLANK($C342),"",IF($BX342&lt;&gt;Constants!$B$6,"",IF($BL342="-&gt;",$BN342,$BC342)))</f>
        <v/>
      </c>
      <c r="CT342" s="144" t="str">
        <f aca="false">IF(ISBLANK($C342),"",IF($BX342&lt;&gt;Constants!$B$6,"",IF($BL342="-&gt;",$BO342,$BD342)))</f>
        <v/>
      </c>
      <c r="CU342" s="144" t="str">
        <f aca="false">IF(ISBLANK($C342),"",IF($BX342&lt;&gt;Constants!$B$6,"",IF($BL342="-&gt;",$BP342+$BQ342,$BE342+$BF342)+$CB342))</f>
        <v/>
      </c>
      <c r="CV342" s="144" t="str">
        <f aca="false">IF(ISBLANK($C342),"",IF($BX342&lt;&gt;Constants!$B$6,"",IF($BL342="-&gt;",$BR342,$BG342)+$CA342))</f>
        <v/>
      </c>
      <c r="CW342" s="145" t="str">
        <f aca="false">IF(ISBLANK($C342),"",IF($BX342&lt;&gt;Constants!$B$6,$BX342,$CC342))</f>
        <v/>
      </c>
      <c r="CX342" s="146" t="str">
        <f aca="false">IF(ISBLANK($C342),"",$BY342)</f>
        <v/>
      </c>
      <c r="CY342" s="147" t="str">
        <f aca="false">IF(ISBLANK($C342),"",$CN342)</f>
        <v/>
      </c>
      <c r="CZ342" s="147" t="str">
        <f aca="false">IF(ISBLANK($C342),"",$CM342)</f>
        <v/>
      </c>
      <c r="DA342" s="148" t="str">
        <f aca="false">IF(ISBLANK($C342),"",IFERROR(_xlfn.SWITCH($CZ342,Constants!$B$9,COUNTA($C$9:$C$508)+2,Constants!$B$8,COUNTA($C$9:$C$508)+1,Constants!$B$7,COUNTA($C$9:$C$508)),$CZ342))</f>
        <v/>
      </c>
      <c r="DB342" s="9"/>
      <c r="DC342" s="149" t="n">
        <f aca="false">IF(OR(ISNUMBER($CZ342),$CZ342=Constants!$B$9,$CZ342=Constants!$B$7,$CZ342=Constants!$B$8),1,0)</f>
        <v>0</v>
      </c>
      <c r="DD342" s="149" t="n">
        <v>334</v>
      </c>
      <c r="DE342" s="149" t="str">
        <f aca="false">IF(ISBLANK($C342),"",IF(ISNUMBER($DA342),$DA342+ROW($B342)/1000,""))</f>
        <v/>
      </c>
      <c r="DF342" s="149" t="str">
        <f aca="false">IF(ISNUMBER($DE342),RANK($DE342,$DE$9:$DE$508,1),"")</f>
        <v/>
      </c>
      <c r="DG342" s="149" t="str">
        <f aca="false">IF(ISBLANK($C342),"",$B342)</f>
        <v/>
      </c>
      <c r="DH342" s="149" t="str">
        <f aca="false">IF(ISBLANK($C342),"",$C342)</f>
        <v/>
      </c>
      <c r="DI342" s="149" t="str">
        <f aca="false">IF(ISBLANK($C342),"",$D342)</f>
        <v/>
      </c>
      <c r="DJ342" s="150" t="str">
        <f aca="false">$CX342</f>
        <v/>
      </c>
      <c r="DK342" s="151" t="str">
        <f aca="false">$CW342</f>
        <v/>
      </c>
      <c r="DL342" s="149" t="str">
        <f aca="false">IF(ISBLANK($C342),"",$CZ342)</f>
        <v/>
      </c>
      <c r="DM342" s="152" t="str">
        <f aca="false">IF($DD342&gt;$DC$8,"",VLOOKUP($DD342,$DF$9:$DL$508,7,FALSE()))</f>
        <v/>
      </c>
      <c r="DN342" s="153" t="str">
        <f aca="false">IF($DD342&gt;$DC$8,"",VLOOKUP($DD342,$DF$9:$DL$508,2,FALSE()))</f>
        <v/>
      </c>
      <c r="DO342" s="153" t="str">
        <f aca="false">IF($DD342&gt;$DC$8,"",VLOOKUP($DD342,$DF$9:$DL$508,3,FALSE()))</f>
        <v/>
      </c>
      <c r="DP342" s="153" t="str">
        <f aca="false">IF($DD342&gt;$DC$8,"",VLOOKUP($DD342,$DF$9:$DL$508,4,FALSE()))</f>
        <v/>
      </c>
      <c r="DQ342" s="153" t="str">
        <f aca="false">IF($DD342&gt;$DC$8,"",VLOOKUP($DD342,$DF$9:$DL$508,5,FALSE()))</f>
        <v/>
      </c>
      <c r="DR342" s="154" t="str">
        <f aca="false">IF($DD342&gt;$DC$8,"",VLOOKUP($DD342,$DF$9:$DL$508,6,FALSE()))</f>
        <v/>
      </c>
      <c r="DS342" s="76"/>
    </row>
    <row r="343" customFormat="false" ht="15.75" hidden="false" customHeight="false" outlineLevel="0" collapsed="false">
      <c r="A343" s="9"/>
      <c r="B343" s="160"/>
      <c r="C343" s="161"/>
      <c r="D343" s="162"/>
      <c r="E343" s="180"/>
      <c r="F343" s="164"/>
      <c r="G343" s="165"/>
      <c r="H343" s="165"/>
      <c r="I343" s="181"/>
      <c r="J343" s="168"/>
      <c r="K343" s="128"/>
      <c r="L343" s="129"/>
      <c r="M343" s="130"/>
      <c r="N343" s="168"/>
      <c r="O343" s="168"/>
      <c r="P343" s="180"/>
      <c r="Q343" s="168"/>
      <c r="R343" s="168"/>
      <c r="S343" s="128"/>
      <c r="T343" s="130"/>
      <c r="U343" s="130"/>
      <c r="V343" s="168"/>
      <c r="W343" s="168"/>
      <c r="X343" s="180"/>
      <c r="Y343" s="168"/>
      <c r="Z343" s="169"/>
      <c r="AA343" s="168"/>
      <c r="AB343" s="134"/>
      <c r="AC343" s="135"/>
      <c r="AD343" s="135"/>
      <c r="AE343" s="135"/>
      <c r="AF343" s="135" t="str">
        <f aca="false">IF(ISBLANK($C343),"",IF(E343=Constants!$B$2,TRUE(),IF(E343=Constants!$B$3,FALSE(),TRUE())))</f>
        <v/>
      </c>
      <c r="AG343" s="135" t="str">
        <f aca="false">IF(ISBLANK($C343),"",IF(F343=Constants!$B$2,TRUE(),IF(F343=Constants!$B$3,FALSE(),TRUE())))</f>
        <v/>
      </c>
      <c r="AH343" s="135" t="str">
        <f aca="false">IF(ISBLANK($C343),"",IF(G343=Constants!$B$2,TRUE(),IF(G343=Constants!$B$3,FALSE(),TRUE())))</f>
        <v/>
      </c>
      <c r="AI343" s="135" t="str">
        <f aca="false">IF(ISBLANK($C343),"",IF(AND(ISNUMBER(H343),H343&gt;=0),H343,Constants!$B$24))</f>
        <v/>
      </c>
      <c r="AJ343" s="135" t="str">
        <f aca="false">IF(ISBLANK($C343),"",IF(I343=Constants!$B$2,TRUE(),IF(I343=Constants!$B$3,FALSE(),TRUE())))</f>
        <v/>
      </c>
      <c r="AK343" s="135" t="str">
        <f aca="false">IF(ISBLANK($C343),"",IF(J343=Constants!$B$2,TRUE(),IF(J343=Constants!$B$3,FALSE(),TRUE())))</f>
        <v/>
      </c>
      <c r="AL343" s="135" t="str">
        <f aca="false">IF(ISBLANK($C343),"",IF(K343=Constants!$B$4,TRUE(),IF(K343=Constants!$B$5,FALSE(),COUNTA(L343:P343)&gt;0)))</f>
        <v/>
      </c>
      <c r="AM343" s="136" t="str">
        <f aca="false">IF(ISBLANK($C343),"",IF(ISNUMBER(L343),IF(L343&gt;=0,L343,""),""))</f>
        <v/>
      </c>
      <c r="AN343" s="137" t="str">
        <f aca="false">IF(ISBLANK($C343),"",IF(ISNUMBER(M343),IF(M343&gt;=0,M343,""),""))</f>
        <v/>
      </c>
      <c r="AO343" s="137" t="str">
        <f aca="false">IF(ISBLANK($C343),"",IF(N343=Constants!$B$2,TRUE(),IF(N343=Constants!$B$3,FALSE(),TRUE())))</f>
        <v/>
      </c>
      <c r="AP343" s="135" t="str">
        <f aca="false">IF(ISBLANK($C343),"",IF(ISNUMBER(O343),IF(O343&gt;=0,O343,""),""))</f>
        <v/>
      </c>
      <c r="AQ343" s="135" t="str">
        <f aca="false">IF(ISBLANK($C343),"",IF(P343=Constants!$B$2,TRUE(),IF(P343=Constants!$B$3,FALSE(),FALSE())))</f>
        <v/>
      </c>
      <c r="AR343" s="135" t="str">
        <f aca="false">IF(ISBLANK($C343),"",IF(Q343=Constants!$B$2,TRUE(),IF(Q343=Constants!$B$3,FALSE(),TRUE())))</f>
        <v/>
      </c>
      <c r="AS343" s="135" t="str">
        <f aca="false">IF(ISBLANK($C343),"",IF(R343=Constants!$B$2,TRUE(),IF(R343=Constants!$B$3,FALSE(),TRUE())))</f>
        <v/>
      </c>
      <c r="AT343" s="135" t="str">
        <f aca="false">IF(ISBLANK($C343),"",IF(S343=Constants!$B$4,TRUE(),IF(S343=Constants!$B$5,FALSE(),COUNTA(T343:X343)&gt;0)))</f>
        <v/>
      </c>
      <c r="AU343" s="136" t="str">
        <f aca="false">IF(ISBLANK($C343),"",IF(ISNUMBER(T343),IF(T343&gt;=0,T343,""),""))</f>
        <v/>
      </c>
      <c r="AV343" s="137" t="str">
        <f aca="false">IF(ISBLANK($C343),"",IF(ISNUMBER(U343),IF(U343&gt;=0,U343,""),""))</f>
        <v/>
      </c>
      <c r="AW343" s="137" t="str">
        <f aca="false">IF(ISBLANK($C343),"",IF(V343=Constants!$B$2,TRUE(),IF(V343=Constants!$B$3,FALSE(),TRUE())))</f>
        <v/>
      </c>
      <c r="AX343" s="135" t="str">
        <f aca="false">IF(ISBLANK($C343),"",IF(ISNUMBER(W343),IF(W343&gt;=0,W343,""),""))</f>
        <v/>
      </c>
      <c r="AY343" s="135" t="str">
        <f aca="false">IF(ISBLANK($C343),"",IF(X343=Constants!$B$2,TRUE(),IF(X343=Constants!$B$3,FALSE(),FALSE())))</f>
        <v/>
      </c>
      <c r="AZ343" s="135" t="str">
        <f aca="false">IF(ISBLANK($C343),"",MIN(Constants!$B$25,MAX(0,IF(ISNUMBER(Y343),Y343*60,0)+IF(ISNUMBER(Z343),Z343,0))))</f>
        <v/>
      </c>
      <c r="BA343" s="135" t="str">
        <f aca="false">IF(ISBLANK($C343),"",IF(AA343=Constants!$B$2,TRUE(),IF(AA343=Constants!$B$3,FALSE(),FALSE())))</f>
        <v/>
      </c>
      <c r="BB343" s="134" t="str">
        <f aca="false">IF(ISBLANK($C343),"",AND($AL343,OR($AM343="",$AN343="",AND($AO343,$AP343=""))))</f>
        <v/>
      </c>
      <c r="BC343" s="137" t="str">
        <f aca="false">IF($BX343&lt;&gt;Constants!$B$6,"",IF($AL343,Constants!$B$17*$AN343+Constants!$B$18*IF($AO343,$AP343,Constants!$B$19),Constants!$B$20))</f>
        <v/>
      </c>
      <c r="BD343" s="138" t="str">
        <f aca="false">IF($BX343&lt;&gt;Constants!$B$6,"",Constants!$B$21*ABS($AD$9-IF($AL343,$AM343,0)))</f>
        <v/>
      </c>
      <c r="BE343" s="138" t="str">
        <f aca="false">IF($BX343&lt;&gt;Constants!$B$6,"",IF(AND($AL343,$AQ343,$AO343),Constants!$B$22,0))</f>
        <v/>
      </c>
      <c r="BF343" s="138" t="str">
        <f aca="false">IF($BX343&lt;&gt;Constants!$B$6,"",IF($AL343,($AI343-Constants!$B$24)*Constants!$B$23,0))</f>
        <v/>
      </c>
      <c r="BG343" s="138" t="str">
        <f aca="false">IF($BX343&lt;&gt;Constants!$B$6,"",IF($AK343,0,Constants!$B$12)+IF($AJ343,0,Constants!$B$13)+IF($AH343,0,Constants!$B$14))</f>
        <v/>
      </c>
      <c r="BH343" s="139" t="str">
        <f aca="false">IF($BX343&lt;&gt;Constants!$B$6,"",Constants!$B$16+SUM($BC343:$BG343))</f>
        <v/>
      </c>
      <c r="BI343" s="138" t="str">
        <f aca="false">IF($BX343&lt;&gt;Constants!$B$6,"",$BC343)</f>
        <v/>
      </c>
      <c r="BJ343" s="138" t="str">
        <f aca="false">IF($BX343&lt;&gt;Constants!$B$6,"",$BD343)</f>
        <v/>
      </c>
      <c r="BK343" s="140" t="str">
        <f aca="false">IF($BX343&lt;&gt;Constants!$B$6,"",IF($AL343,$AN343,""))</f>
        <v/>
      </c>
      <c r="BL343" s="135" t="str">
        <f aca="false">IF($BX343&lt;&gt;Constants!$B$6,"",IF(OR($BS343&lt;$BH343,AND($BS343=$BH343,OR($BT343&lt;$BI343,AND($BT343=$BI343,OR($BU343&lt;$BJ343,AND($BU343=$BJ343,AND(ISNUMBER($BV343),OR(NOT(ISNUMBER($BK343)),$BV343&lt;$BK343)))))))),"-&gt;","&lt;-"))</f>
        <v/>
      </c>
      <c r="BM343" s="134" t="str">
        <f aca="false">IF(ISBLANK($C343),"",AND($AT343,OR($AU343="",$AV343="",AND($AW343,$AX343=""))))</f>
        <v/>
      </c>
      <c r="BN343" s="137" t="str">
        <f aca="false">IF($BX343&lt;&gt;Constants!$B$6,"",IF($AT343,Constants!$B$17*$AV343+Constants!$B$18*IF($AW343,$AX343,Constants!$B$19),Constants!$B$20))</f>
        <v/>
      </c>
      <c r="BO343" s="138" t="str">
        <f aca="false">IF($BX343&lt;&gt;Constants!$B$6,"",Constants!$B$21*ABS($AD$9-IF($AT343,$AU343,0)))</f>
        <v/>
      </c>
      <c r="BP343" s="138" t="str">
        <f aca="false">IF($BX343&lt;&gt;Constants!$B$6,"",IF(AND($AT343,$AY343,$AW343),Constants!$B$22,0))</f>
        <v/>
      </c>
      <c r="BQ343" s="138" t="str">
        <f aca="false">IF($BX343&lt;&gt;Constants!$B$6,"",IF($AT343,($AI343-Constants!$B$24)*Constants!$B$23,0))</f>
        <v/>
      </c>
      <c r="BR343" s="138" t="str">
        <f aca="false">IF($BX343&lt;&gt;Constants!$B$6,"",IF($AS343,0,Constants!$B$12)+IF($AR343,0,Constants!$B$13)+IF($AH343,0,Constants!$B$14))</f>
        <v/>
      </c>
      <c r="BS343" s="139" t="str">
        <f aca="false">IF($BX343&lt;&gt;Constants!$B$6,"",Constants!$B$16+SUM($BN343:$BR343))</f>
        <v/>
      </c>
      <c r="BT343" s="138" t="str">
        <f aca="false">IF($BX343&lt;&gt;Constants!$B$6,"",$BN343)</f>
        <v/>
      </c>
      <c r="BU343" s="138" t="str">
        <f aca="false">IF($BX343&lt;&gt;Constants!$B$6,"",$BO343)</f>
        <v/>
      </c>
      <c r="BV343" s="140" t="str">
        <f aca="false">IF($BX343&lt;&gt;Constants!$B$6,"",IF($AT343,$AV343,""))</f>
        <v/>
      </c>
      <c r="BW343" s="135" t="str">
        <f aca="false">IF(ISBLANK($C343),"",IF(ISBLANK($D$7),$BW$5,IF(NOT(ISNUMBER($D$7)),$BW$6,"")))</f>
        <v/>
      </c>
      <c r="BX343" s="135" t="str">
        <f aca="false">IF(ISBLANK($C343),"",IF($BA343,Constants!$B$9,IF(COUNTA($E343:$AA343)=0,Constants!$B$8,IF(NOT($AG343),Constants!$B$7,IF(OR($BW343&lt;&gt;"",$BB343,$BM343),Constants!$B$10,Constants!$B$6)))))</f>
        <v/>
      </c>
      <c r="BY343" s="135" t="str">
        <f aca="false">IF(ISBLANK($C343),"",IF($BX343&lt;&gt;Constants!$B$6,$BX343,Constants!$B$11))</f>
        <v/>
      </c>
      <c r="BZ343" s="138" t="str">
        <f aca="false">IF($BX343&lt;&gt;Constants!$B$6,"",IF($BL343="-&gt;",$BS343,$BH343))</f>
        <v/>
      </c>
      <c r="CA343" s="138" t="str">
        <f aca="false">IF($BX343&lt;&gt;Constants!$B$6,"",IF($AF343,0,Constants!$B$15))</f>
        <v/>
      </c>
      <c r="CB343" s="138" t="str">
        <f aca="false">IF($BX343&lt;&gt;Constants!$B$6,"",((Constants!$B$25-$AZ343)-Constants!$B$25)/Constants!$B$26)</f>
        <v/>
      </c>
      <c r="CC343" s="138" t="str">
        <f aca="false">IF(ISBLANK($C343),"",IF($BX343&lt;&gt;Constants!$B$6,$BX343,SUM($BZ343:$CB343)))</f>
        <v/>
      </c>
      <c r="CD343" s="135" t="str">
        <f aca="false">IF(ISBLANK($C343),"",IF($BX343&lt;&gt;Constants!$B$6,$BX343,RANK($CC343,$CC$9:$CC$508,1)))</f>
        <v/>
      </c>
      <c r="CE343" s="138" t="str">
        <f aca="false">IF($BX343&lt;&gt;Constants!$B$6,"",IF($BL343="-&gt;",$BT343,$BI343))</f>
        <v/>
      </c>
      <c r="CF343" s="135" t="str">
        <f aca="false">IF(ISBLANK($C343),"",IF($BX343&lt;&gt;Constants!$B$6,$BX343,IF(ISNUMBER($CE343),RANK($CE343,$CE$9:$CE$508,1),COUNT($CE$9:$CE$508)+1)))</f>
        <v/>
      </c>
      <c r="CG343" s="138" t="str">
        <f aca="false">IF($BX343&lt;&gt;Constants!$B$6,"",IF($BL343="-&gt;",$BU343,$BJ343))</f>
        <v/>
      </c>
      <c r="CH343" s="135" t="str">
        <f aca="false">IF(ISBLANK($C343),"",IF($BX343&lt;&gt;Constants!$B$6,$BX343,IF(ISNUMBER($CG343),RANK($CG343,$CG$9:$CG$508,1),COUNT($CG$9:$CG$508)+1)))</f>
        <v/>
      </c>
      <c r="CI343" s="138" t="str">
        <f aca="false">IF($BX343&lt;&gt;Constants!$B$6,"",IF($BL343="-&gt;",$BV343,$BK343))</f>
        <v/>
      </c>
      <c r="CJ343" s="135" t="str">
        <f aca="false">IF(ISBLANK($C343),"",IF($BX343&lt;&gt;Constants!$B$6,$BX343,IF(ISNUMBER($CI343),RANK($CI343,$CI$9:$CI$508,1),COUNT($CI$9:$CI$508)+1)))</f>
        <v/>
      </c>
      <c r="CK343" s="138" t="str">
        <f aca="false">IF($BX343&lt;&gt;Constants!$B$6,"",$AI343)</f>
        <v/>
      </c>
      <c r="CL343" s="135" t="str">
        <f aca="false">IF(ISBLANK($C343),"",IF($BX343&lt;&gt;Constants!$B$6,$BX343,IF(ISNUMBER($CK343),RANK($CK343,$CK$9:$CK$508,1),COUNT($CK$9:$CK$508)+1)))</f>
        <v/>
      </c>
      <c r="CM343" s="135" t="str">
        <f aca="false">IF(ISBLANK($C343),"",IF($BX343&lt;&gt;Constants!$B$6,$BX343,COUNTIFS($CD$9:$CD$508,"&lt;"&amp;$CD343)+COUNTIFS($CD$9:$CD$508,$CD343,$CF$9:$CF$508,"&lt;"&amp;$CF343)+COUNTIFS($CD$9:$CD$508,$CD343,$CF$9:$CF$508,$CF343,$CH$9:$CH$508,"&lt;"&amp;$CH343)+COUNTIFS($CD$9:$CD$508,$CD343,$CF$9:$CF$508,$CF343,$CH$9:$CH$508,$CH343,$CJ$9:$CJ$508,"&lt;"&amp;$CJ343)+COUNTIFS($CD$9:$CD$508,$CD343,$CF$9:$CF$508,$CF343,$CH$9:$CH$508,$CH343,$CJ$9:$CJ$508,$CJ343,$CL$9:$CL$508,"&lt;"&amp;$CL343)+1))</f>
        <v/>
      </c>
      <c r="CN343" s="135" t="str">
        <f aca="false">IF(ISBLANK($C343),"",IF($BX343&lt;&gt;Constants!$B$6,$BX343,$CD343-$CM343))</f>
        <v/>
      </c>
      <c r="CO343" s="141"/>
      <c r="CP343" s="142"/>
      <c r="CQ343" s="143" t="str">
        <f aca="false">IF(ISBLANK($C343),"",IF($BX343=Constants!$B$10,$BW343,""))</f>
        <v/>
      </c>
      <c r="CR343" s="142" t="str">
        <f aca="false">IF(ISBLANK($C343),"",IF($BX343&lt;&gt;Constants!$B$6,"",IF($BL343="-&gt;",2,1)))</f>
        <v/>
      </c>
      <c r="CS343" s="144" t="str">
        <f aca="false">IF(ISBLANK($C343),"",IF($BX343&lt;&gt;Constants!$B$6,"",IF($BL343="-&gt;",$BN343,$BC343)))</f>
        <v/>
      </c>
      <c r="CT343" s="144" t="str">
        <f aca="false">IF(ISBLANK($C343),"",IF($BX343&lt;&gt;Constants!$B$6,"",IF($BL343="-&gt;",$BO343,$BD343)))</f>
        <v/>
      </c>
      <c r="CU343" s="144" t="str">
        <f aca="false">IF(ISBLANK($C343),"",IF($BX343&lt;&gt;Constants!$B$6,"",IF($BL343="-&gt;",$BP343+$BQ343,$BE343+$BF343)+$CB343))</f>
        <v/>
      </c>
      <c r="CV343" s="144" t="str">
        <f aca="false">IF(ISBLANK($C343),"",IF($BX343&lt;&gt;Constants!$B$6,"",IF($BL343="-&gt;",$BR343,$BG343)+$CA343))</f>
        <v/>
      </c>
      <c r="CW343" s="145" t="str">
        <f aca="false">IF(ISBLANK($C343),"",IF($BX343&lt;&gt;Constants!$B$6,$BX343,$CC343))</f>
        <v/>
      </c>
      <c r="CX343" s="146" t="str">
        <f aca="false">IF(ISBLANK($C343),"",$BY343)</f>
        <v/>
      </c>
      <c r="CY343" s="147" t="str">
        <f aca="false">IF(ISBLANK($C343),"",$CN343)</f>
        <v/>
      </c>
      <c r="CZ343" s="147" t="str">
        <f aca="false">IF(ISBLANK($C343),"",$CM343)</f>
        <v/>
      </c>
      <c r="DA343" s="148" t="str">
        <f aca="false">IF(ISBLANK($C343),"",IFERROR(_xlfn.SWITCH($CZ343,Constants!$B$9,COUNTA($C$9:$C$508)+2,Constants!$B$8,COUNTA($C$9:$C$508)+1,Constants!$B$7,COUNTA($C$9:$C$508)),$CZ343))</f>
        <v/>
      </c>
      <c r="DB343" s="9"/>
      <c r="DC343" s="149" t="n">
        <f aca="false">IF(OR(ISNUMBER($CZ343),$CZ343=Constants!$B$9,$CZ343=Constants!$B$7,$CZ343=Constants!$B$8),1,0)</f>
        <v>0</v>
      </c>
      <c r="DD343" s="149" t="n">
        <v>335</v>
      </c>
      <c r="DE343" s="149" t="str">
        <f aca="false">IF(ISBLANK($C343),"",IF(ISNUMBER($DA343),$DA343+ROW($B343)/1000,""))</f>
        <v/>
      </c>
      <c r="DF343" s="149" t="str">
        <f aca="false">IF(ISNUMBER($DE343),RANK($DE343,$DE$9:$DE$508,1),"")</f>
        <v/>
      </c>
      <c r="DG343" s="149" t="str">
        <f aca="false">IF(ISBLANK($C343),"",$B343)</f>
        <v/>
      </c>
      <c r="DH343" s="149" t="str">
        <f aca="false">IF(ISBLANK($C343),"",$C343)</f>
        <v/>
      </c>
      <c r="DI343" s="149" t="str">
        <f aca="false">IF(ISBLANK($C343),"",$D343)</f>
        <v/>
      </c>
      <c r="DJ343" s="150" t="str">
        <f aca="false">$CX343</f>
        <v/>
      </c>
      <c r="DK343" s="151" t="str">
        <f aca="false">$CW343</f>
        <v/>
      </c>
      <c r="DL343" s="149" t="str">
        <f aca="false">IF(ISBLANK($C343),"",$CZ343)</f>
        <v/>
      </c>
      <c r="DM343" s="152" t="str">
        <f aca="false">IF($DD343&gt;$DC$8,"",VLOOKUP($DD343,$DF$9:$DL$508,7,FALSE()))</f>
        <v/>
      </c>
      <c r="DN343" s="153" t="str">
        <f aca="false">IF($DD343&gt;$DC$8,"",VLOOKUP($DD343,$DF$9:$DL$508,2,FALSE()))</f>
        <v/>
      </c>
      <c r="DO343" s="153" t="str">
        <f aca="false">IF($DD343&gt;$DC$8,"",VLOOKUP($DD343,$DF$9:$DL$508,3,FALSE()))</f>
        <v/>
      </c>
      <c r="DP343" s="153" t="str">
        <f aca="false">IF($DD343&gt;$DC$8,"",VLOOKUP($DD343,$DF$9:$DL$508,4,FALSE()))</f>
        <v/>
      </c>
      <c r="DQ343" s="153" t="str">
        <f aca="false">IF($DD343&gt;$DC$8,"",VLOOKUP($DD343,$DF$9:$DL$508,5,FALSE()))</f>
        <v/>
      </c>
      <c r="DR343" s="154" t="str">
        <f aca="false">IF($DD343&gt;$DC$8,"",VLOOKUP($DD343,$DF$9:$DL$508,6,FALSE()))</f>
        <v/>
      </c>
      <c r="DS343" s="76"/>
    </row>
    <row r="344" customFormat="false" ht="15.75" hidden="false" customHeight="false" outlineLevel="0" collapsed="false">
      <c r="A344" s="9"/>
      <c r="B344" s="160"/>
      <c r="C344" s="161"/>
      <c r="D344" s="162"/>
      <c r="E344" s="180"/>
      <c r="F344" s="164"/>
      <c r="G344" s="165"/>
      <c r="H344" s="165"/>
      <c r="I344" s="181"/>
      <c r="J344" s="168"/>
      <c r="K344" s="128"/>
      <c r="L344" s="129"/>
      <c r="M344" s="130"/>
      <c r="N344" s="168"/>
      <c r="O344" s="168"/>
      <c r="P344" s="180"/>
      <c r="Q344" s="168"/>
      <c r="R344" s="168"/>
      <c r="S344" s="128"/>
      <c r="T344" s="130"/>
      <c r="U344" s="130"/>
      <c r="V344" s="168"/>
      <c r="W344" s="168"/>
      <c r="X344" s="180"/>
      <c r="Y344" s="168"/>
      <c r="Z344" s="169"/>
      <c r="AA344" s="168"/>
      <c r="AB344" s="134"/>
      <c r="AC344" s="135"/>
      <c r="AD344" s="135"/>
      <c r="AE344" s="135"/>
      <c r="AF344" s="135" t="str">
        <f aca="false">IF(ISBLANK($C344),"",IF(E344=Constants!$B$2,TRUE(),IF(E344=Constants!$B$3,FALSE(),TRUE())))</f>
        <v/>
      </c>
      <c r="AG344" s="135" t="str">
        <f aca="false">IF(ISBLANK($C344),"",IF(F344=Constants!$B$2,TRUE(),IF(F344=Constants!$B$3,FALSE(),TRUE())))</f>
        <v/>
      </c>
      <c r="AH344" s="135" t="str">
        <f aca="false">IF(ISBLANK($C344),"",IF(G344=Constants!$B$2,TRUE(),IF(G344=Constants!$B$3,FALSE(),TRUE())))</f>
        <v/>
      </c>
      <c r="AI344" s="135" t="str">
        <f aca="false">IF(ISBLANK($C344),"",IF(AND(ISNUMBER(H344),H344&gt;=0),H344,Constants!$B$24))</f>
        <v/>
      </c>
      <c r="AJ344" s="135" t="str">
        <f aca="false">IF(ISBLANK($C344),"",IF(I344=Constants!$B$2,TRUE(),IF(I344=Constants!$B$3,FALSE(),TRUE())))</f>
        <v/>
      </c>
      <c r="AK344" s="135" t="str">
        <f aca="false">IF(ISBLANK($C344),"",IF(J344=Constants!$B$2,TRUE(),IF(J344=Constants!$B$3,FALSE(),TRUE())))</f>
        <v/>
      </c>
      <c r="AL344" s="135" t="str">
        <f aca="false">IF(ISBLANK($C344),"",IF(K344=Constants!$B$4,TRUE(),IF(K344=Constants!$B$5,FALSE(),COUNTA(L344:P344)&gt;0)))</f>
        <v/>
      </c>
      <c r="AM344" s="136" t="str">
        <f aca="false">IF(ISBLANK($C344),"",IF(ISNUMBER(L344),IF(L344&gt;=0,L344,""),""))</f>
        <v/>
      </c>
      <c r="AN344" s="137" t="str">
        <f aca="false">IF(ISBLANK($C344),"",IF(ISNUMBER(M344),IF(M344&gt;=0,M344,""),""))</f>
        <v/>
      </c>
      <c r="AO344" s="137" t="str">
        <f aca="false">IF(ISBLANK($C344),"",IF(N344=Constants!$B$2,TRUE(),IF(N344=Constants!$B$3,FALSE(),TRUE())))</f>
        <v/>
      </c>
      <c r="AP344" s="135" t="str">
        <f aca="false">IF(ISBLANK($C344),"",IF(ISNUMBER(O344),IF(O344&gt;=0,O344,""),""))</f>
        <v/>
      </c>
      <c r="AQ344" s="135" t="str">
        <f aca="false">IF(ISBLANK($C344),"",IF(P344=Constants!$B$2,TRUE(),IF(P344=Constants!$B$3,FALSE(),FALSE())))</f>
        <v/>
      </c>
      <c r="AR344" s="135" t="str">
        <f aca="false">IF(ISBLANK($C344),"",IF(Q344=Constants!$B$2,TRUE(),IF(Q344=Constants!$B$3,FALSE(),TRUE())))</f>
        <v/>
      </c>
      <c r="AS344" s="135" t="str">
        <f aca="false">IF(ISBLANK($C344),"",IF(R344=Constants!$B$2,TRUE(),IF(R344=Constants!$B$3,FALSE(),TRUE())))</f>
        <v/>
      </c>
      <c r="AT344" s="135" t="str">
        <f aca="false">IF(ISBLANK($C344),"",IF(S344=Constants!$B$4,TRUE(),IF(S344=Constants!$B$5,FALSE(),COUNTA(T344:X344)&gt;0)))</f>
        <v/>
      </c>
      <c r="AU344" s="136" t="str">
        <f aca="false">IF(ISBLANK($C344),"",IF(ISNUMBER(T344),IF(T344&gt;=0,T344,""),""))</f>
        <v/>
      </c>
      <c r="AV344" s="137" t="str">
        <f aca="false">IF(ISBLANK($C344),"",IF(ISNUMBER(U344),IF(U344&gt;=0,U344,""),""))</f>
        <v/>
      </c>
      <c r="AW344" s="137" t="str">
        <f aca="false">IF(ISBLANK($C344),"",IF(V344=Constants!$B$2,TRUE(),IF(V344=Constants!$B$3,FALSE(),TRUE())))</f>
        <v/>
      </c>
      <c r="AX344" s="135" t="str">
        <f aca="false">IF(ISBLANK($C344),"",IF(ISNUMBER(W344),IF(W344&gt;=0,W344,""),""))</f>
        <v/>
      </c>
      <c r="AY344" s="135" t="str">
        <f aca="false">IF(ISBLANK($C344),"",IF(X344=Constants!$B$2,TRUE(),IF(X344=Constants!$B$3,FALSE(),FALSE())))</f>
        <v/>
      </c>
      <c r="AZ344" s="135" t="str">
        <f aca="false">IF(ISBLANK($C344),"",MIN(Constants!$B$25,MAX(0,IF(ISNUMBER(Y344),Y344*60,0)+IF(ISNUMBER(Z344),Z344,0))))</f>
        <v/>
      </c>
      <c r="BA344" s="135" t="str">
        <f aca="false">IF(ISBLANK($C344),"",IF(AA344=Constants!$B$2,TRUE(),IF(AA344=Constants!$B$3,FALSE(),FALSE())))</f>
        <v/>
      </c>
      <c r="BB344" s="134" t="str">
        <f aca="false">IF(ISBLANK($C344),"",AND($AL344,OR($AM344="",$AN344="",AND($AO344,$AP344=""))))</f>
        <v/>
      </c>
      <c r="BC344" s="137" t="str">
        <f aca="false">IF($BX344&lt;&gt;Constants!$B$6,"",IF($AL344,Constants!$B$17*$AN344+Constants!$B$18*IF($AO344,$AP344,Constants!$B$19),Constants!$B$20))</f>
        <v/>
      </c>
      <c r="BD344" s="138" t="str">
        <f aca="false">IF($BX344&lt;&gt;Constants!$B$6,"",Constants!$B$21*ABS($AD$9-IF($AL344,$AM344,0)))</f>
        <v/>
      </c>
      <c r="BE344" s="138" t="str">
        <f aca="false">IF($BX344&lt;&gt;Constants!$B$6,"",IF(AND($AL344,$AQ344,$AO344),Constants!$B$22,0))</f>
        <v/>
      </c>
      <c r="BF344" s="138" t="str">
        <f aca="false">IF($BX344&lt;&gt;Constants!$B$6,"",IF($AL344,($AI344-Constants!$B$24)*Constants!$B$23,0))</f>
        <v/>
      </c>
      <c r="BG344" s="138" t="str">
        <f aca="false">IF($BX344&lt;&gt;Constants!$B$6,"",IF($AK344,0,Constants!$B$12)+IF($AJ344,0,Constants!$B$13)+IF($AH344,0,Constants!$B$14))</f>
        <v/>
      </c>
      <c r="BH344" s="139" t="str">
        <f aca="false">IF($BX344&lt;&gt;Constants!$B$6,"",Constants!$B$16+SUM($BC344:$BG344))</f>
        <v/>
      </c>
      <c r="BI344" s="138" t="str">
        <f aca="false">IF($BX344&lt;&gt;Constants!$B$6,"",$BC344)</f>
        <v/>
      </c>
      <c r="BJ344" s="138" t="str">
        <f aca="false">IF($BX344&lt;&gt;Constants!$B$6,"",$BD344)</f>
        <v/>
      </c>
      <c r="BK344" s="140" t="str">
        <f aca="false">IF($BX344&lt;&gt;Constants!$B$6,"",IF($AL344,$AN344,""))</f>
        <v/>
      </c>
      <c r="BL344" s="135" t="str">
        <f aca="false">IF($BX344&lt;&gt;Constants!$B$6,"",IF(OR($BS344&lt;$BH344,AND($BS344=$BH344,OR($BT344&lt;$BI344,AND($BT344=$BI344,OR($BU344&lt;$BJ344,AND($BU344=$BJ344,AND(ISNUMBER($BV344),OR(NOT(ISNUMBER($BK344)),$BV344&lt;$BK344)))))))),"-&gt;","&lt;-"))</f>
        <v/>
      </c>
      <c r="BM344" s="134" t="str">
        <f aca="false">IF(ISBLANK($C344),"",AND($AT344,OR($AU344="",$AV344="",AND($AW344,$AX344=""))))</f>
        <v/>
      </c>
      <c r="BN344" s="137" t="str">
        <f aca="false">IF($BX344&lt;&gt;Constants!$B$6,"",IF($AT344,Constants!$B$17*$AV344+Constants!$B$18*IF($AW344,$AX344,Constants!$B$19),Constants!$B$20))</f>
        <v/>
      </c>
      <c r="BO344" s="138" t="str">
        <f aca="false">IF($BX344&lt;&gt;Constants!$B$6,"",Constants!$B$21*ABS($AD$9-IF($AT344,$AU344,0)))</f>
        <v/>
      </c>
      <c r="BP344" s="138" t="str">
        <f aca="false">IF($BX344&lt;&gt;Constants!$B$6,"",IF(AND($AT344,$AY344,$AW344),Constants!$B$22,0))</f>
        <v/>
      </c>
      <c r="BQ344" s="138" t="str">
        <f aca="false">IF($BX344&lt;&gt;Constants!$B$6,"",IF($AT344,($AI344-Constants!$B$24)*Constants!$B$23,0))</f>
        <v/>
      </c>
      <c r="BR344" s="138" t="str">
        <f aca="false">IF($BX344&lt;&gt;Constants!$B$6,"",IF($AS344,0,Constants!$B$12)+IF($AR344,0,Constants!$B$13)+IF($AH344,0,Constants!$B$14))</f>
        <v/>
      </c>
      <c r="BS344" s="139" t="str">
        <f aca="false">IF($BX344&lt;&gt;Constants!$B$6,"",Constants!$B$16+SUM($BN344:$BR344))</f>
        <v/>
      </c>
      <c r="BT344" s="138" t="str">
        <f aca="false">IF($BX344&lt;&gt;Constants!$B$6,"",$BN344)</f>
        <v/>
      </c>
      <c r="BU344" s="138" t="str">
        <f aca="false">IF($BX344&lt;&gt;Constants!$B$6,"",$BO344)</f>
        <v/>
      </c>
      <c r="BV344" s="140" t="str">
        <f aca="false">IF($BX344&lt;&gt;Constants!$B$6,"",IF($AT344,$AV344,""))</f>
        <v/>
      </c>
      <c r="BW344" s="135" t="str">
        <f aca="false">IF(ISBLANK($C344),"",IF(ISBLANK($D$7),$BW$5,IF(NOT(ISNUMBER($D$7)),$BW$6,"")))</f>
        <v/>
      </c>
      <c r="BX344" s="135" t="str">
        <f aca="false">IF(ISBLANK($C344),"",IF($BA344,Constants!$B$9,IF(COUNTA($E344:$AA344)=0,Constants!$B$8,IF(NOT($AG344),Constants!$B$7,IF(OR($BW344&lt;&gt;"",$BB344,$BM344),Constants!$B$10,Constants!$B$6)))))</f>
        <v/>
      </c>
      <c r="BY344" s="135" t="str">
        <f aca="false">IF(ISBLANK($C344),"",IF($BX344&lt;&gt;Constants!$B$6,$BX344,Constants!$B$11))</f>
        <v/>
      </c>
      <c r="BZ344" s="138" t="str">
        <f aca="false">IF($BX344&lt;&gt;Constants!$B$6,"",IF($BL344="-&gt;",$BS344,$BH344))</f>
        <v/>
      </c>
      <c r="CA344" s="138" t="str">
        <f aca="false">IF($BX344&lt;&gt;Constants!$B$6,"",IF($AF344,0,Constants!$B$15))</f>
        <v/>
      </c>
      <c r="CB344" s="138" t="str">
        <f aca="false">IF($BX344&lt;&gt;Constants!$B$6,"",((Constants!$B$25-$AZ344)-Constants!$B$25)/Constants!$B$26)</f>
        <v/>
      </c>
      <c r="CC344" s="138" t="str">
        <f aca="false">IF(ISBLANK($C344),"",IF($BX344&lt;&gt;Constants!$B$6,$BX344,SUM($BZ344:$CB344)))</f>
        <v/>
      </c>
      <c r="CD344" s="135" t="str">
        <f aca="false">IF(ISBLANK($C344),"",IF($BX344&lt;&gt;Constants!$B$6,$BX344,RANK($CC344,$CC$9:$CC$508,1)))</f>
        <v/>
      </c>
      <c r="CE344" s="138" t="str">
        <f aca="false">IF($BX344&lt;&gt;Constants!$B$6,"",IF($BL344="-&gt;",$BT344,$BI344))</f>
        <v/>
      </c>
      <c r="CF344" s="135" t="str">
        <f aca="false">IF(ISBLANK($C344),"",IF($BX344&lt;&gt;Constants!$B$6,$BX344,IF(ISNUMBER($CE344),RANK($CE344,$CE$9:$CE$508,1),COUNT($CE$9:$CE$508)+1)))</f>
        <v/>
      </c>
      <c r="CG344" s="138" t="str">
        <f aca="false">IF($BX344&lt;&gt;Constants!$B$6,"",IF($BL344="-&gt;",$BU344,$BJ344))</f>
        <v/>
      </c>
      <c r="CH344" s="135" t="str">
        <f aca="false">IF(ISBLANK($C344),"",IF($BX344&lt;&gt;Constants!$B$6,$BX344,IF(ISNUMBER($CG344),RANK($CG344,$CG$9:$CG$508,1),COUNT($CG$9:$CG$508)+1)))</f>
        <v/>
      </c>
      <c r="CI344" s="138" t="str">
        <f aca="false">IF($BX344&lt;&gt;Constants!$B$6,"",IF($BL344="-&gt;",$BV344,$BK344))</f>
        <v/>
      </c>
      <c r="CJ344" s="135" t="str">
        <f aca="false">IF(ISBLANK($C344),"",IF($BX344&lt;&gt;Constants!$B$6,$BX344,IF(ISNUMBER($CI344),RANK($CI344,$CI$9:$CI$508,1),COUNT($CI$9:$CI$508)+1)))</f>
        <v/>
      </c>
      <c r="CK344" s="138" t="str">
        <f aca="false">IF($BX344&lt;&gt;Constants!$B$6,"",$AI344)</f>
        <v/>
      </c>
      <c r="CL344" s="135" t="str">
        <f aca="false">IF(ISBLANK($C344),"",IF($BX344&lt;&gt;Constants!$B$6,$BX344,IF(ISNUMBER($CK344),RANK($CK344,$CK$9:$CK$508,1),COUNT($CK$9:$CK$508)+1)))</f>
        <v/>
      </c>
      <c r="CM344" s="135" t="str">
        <f aca="false">IF(ISBLANK($C344),"",IF($BX344&lt;&gt;Constants!$B$6,$BX344,COUNTIFS($CD$9:$CD$508,"&lt;"&amp;$CD344)+COUNTIFS($CD$9:$CD$508,$CD344,$CF$9:$CF$508,"&lt;"&amp;$CF344)+COUNTIFS($CD$9:$CD$508,$CD344,$CF$9:$CF$508,$CF344,$CH$9:$CH$508,"&lt;"&amp;$CH344)+COUNTIFS($CD$9:$CD$508,$CD344,$CF$9:$CF$508,$CF344,$CH$9:$CH$508,$CH344,$CJ$9:$CJ$508,"&lt;"&amp;$CJ344)+COUNTIFS($CD$9:$CD$508,$CD344,$CF$9:$CF$508,$CF344,$CH$9:$CH$508,$CH344,$CJ$9:$CJ$508,$CJ344,$CL$9:$CL$508,"&lt;"&amp;$CL344)+1))</f>
        <v/>
      </c>
      <c r="CN344" s="135" t="str">
        <f aca="false">IF(ISBLANK($C344),"",IF($BX344&lt;&gt;Constants!$B$6,$BX344,$CD344-$CM344))</f>
        <v/>
      </c>
      <c r="CO344" s="141"/>
      <c r="CP344" s="142"/>
      <c r="CQ344" s="143" t="str">
        <f aca="false">IF(ISBLANK($C344),"",IF($BX344=Constants!$B$10,$BW344,""))</f>
        <v/>
      </c>
      <c r="CR344" s="142" t="str">
        <f aca="false">IF(ISBLANK($C344),"",IF($BX344&lt;&gt;Constants!$B$6,"",IF($BL344="-&gt;",2,1)))</f>
        <v/>
      </c>
      <c r="CS344" s="144" t="str">
        <f aca="false">IF(ISBLANK($C344),"",IF($BX344&lt;&gt;Constants!$B$6,"",IF($BL344="-&gt;",$BN344,$BC344)))</f>
        <v/>
      </c>
      <c r="CT344" s="144" t="str">
        <f aca="false">IF(ISBLANK($C344),"",IF($BX344&lt;&gt;Constants!$B$6,"",IF($BL344="-&gt;",$BO344,$BD344)))</f>
        <v/>
      </c>
      <c r="CU344" s="144" t="str">
        <f aca="false">IF(ISBLANK($C344),"",IF($BX344&lt;&gt;Constants!$B$6,"",IF($BL344="-&gt;",$BP344+$BQ344,$BE344+$BF344)+$CB344))</f>
        <v/>
      </c>
      <c r="CV344" s="144" t="str">
        <f aca="false">IF(ISBLANK($C344),"",IF($BX344&lt;&gt;Constants!$B$6,"",IF($BL344="-&gt;",$BR344,$BG344)+$CA344))</f>
        <v/>
      </c>
      <c r="CW344" s="145" t="str">
        <f aca="false">IF(ISBLANK($C344),"",IF($BX344&lt;&gt;Constants!$B$6,$BX344,$CC344))</f>
        <v/>
      </c>
      <c r="CX344" s="146" t="str">
        <f aca="false">IF(ISBLANK($C344),"",$BY344)</f>
        <v/>
      </c>
      <c r="CY344" s="147" t="str">
        <f aca="false">IF(ISBLANK($C344),"",$CN344)</f>
        <v/>
      </c>
      <c r="CZ344" s="147" t="str">
        <f aca="false">IF(ISBLANK($C344),"",$CM344)</f>
        <v/>
      </c>
      <c r="DA344" s="148" t="str">
        <f aca="false">IF(ISBLANK($C344),"",IFERROR(_xlfn.SWITCH($CZ344,Constants!$B$9,COUNTA($C$9:$C$508)+2,Constants!$B$8,COUNTA($C$9:$C$508)+1,Constants!$B$7,COUNTA($C$9:$C$508)),$CZ344))</f>
        <v/>
      </c>
      <c r="DB344" s="9"/>
      <c r="DC344" s="149" t="n">
        <f aca="false">IF(OR(ISNUMBER($CZ344),$CZ344=Constants!$B$9,$CZ344=Constants!$B$7,$CZ344=Constants!$B$8),1,0)</f>
        <v>0</v>
      </c>
      <c r="DD344" s="149" t="n">
        <v>336</v>
      </c>
      <c r="DE344" s="149" t="str">
        <f aca="false">IF(ISBLANK($C344),"",IF(ISNUMBER($DA344),$DA344+ROW($B344)/1000,""))</f>
        <v/>
      </c>
      <c r="DF344" s="149" t="str">
        <f aca="false">IF(ISNUMBER($DE344),RANK($DE344,$DE$9:$DE$508,1),"")</f>
        <v/>
      </c>
      <c r="DG344" s="149" t="str">
        <f aca="false">IF(ISBLANK($C344),"",$B344)</f>
        <v/>
      </c>
      <c r="DH344" s="149" t="str">
        <f aca="false">IF(ISBLANK($C344),"",$C344)</f>
        <v/>
      </c>
      <c r="DI344" s="149" t="str">
        <f aca="false">IF(ISBLANK($C344),"",$D344)</f>
        <v/>
      </c>
      <c r="DJ344" s="150" t="str">
        <f aca="false">$CX344</f>
        <v/>
      </c>
      <c r="DK344" s="151" t="str">
        <f aca="false">$CW344</f>
        <v/>
      </c>
      <c r="DL344" s="149" t="str">
        <f aca="false">IF(ISBLANK($C344),"",$CZ344)</f>
        <v/>
      </c>
      <c r="DM344" s="152" t="str">
        <f aca="false">IF($DD344&gt;$DC$8,"",VLOOKUP($DD344,$DF$9:$DL$508,7,FALSE()))</f>
        <v/>
      </c>
      <c r="DN344" s="153" t="str">
        <f aca="false">IF($DD344&gt;$DC$8,"",VLOOKUP($DD344,$DF$9:$DL$508,2,FALSE()))</f>
        <v/>
      </c>
      <c r="DO344" s="153" t="str">
        <f aca="false">IF($DD344&gt;$DC$8,"",VLOOKUP($DD344,$DF$9:$DL$508,3,FALSE()))</f>
        <v/>
      </c>
      <c r="DP344" s="153" t="str">
        <f aca="false">IF($DD344&gt;$DC$8,"",VLOOKUP($DD344,$DF$9:$DL$508,4,FALSE()))</f>
        <v/>
      </c>
      <c r="DQ344" s="153" t="str">
        <f aca="false">IF($DD344&gt;$DC$8,"",VLOOKUP($DD344,$DF$9:$DL$508,5,FALSE()))</f>
        <v/>
      </c>
      <c r="DR344" s="154" t="str">
        <f aca="false">IF($DD344&gt;$DC$8,"",VLOOKUP($DD344,$DF$9:$DL$508,6,FALSE()))</f>
        <v/>
      </c>
      <c r="DS344" s="76"/>
    </row>
    <row r="345" customFormat="false" ht="15.75" hidden="false" customHeight="false" outlineLevel="0" collapsed="false">
      <c r="A345" s="9"/>
      <c r="B345" s="78"/>
      <c r="C345" s="79"/>
      <c r="D345" s="170"/>
      <c r="E345" s="178"/>
      <c r="F345" s="172"/>
      <c r="G345" s="173"/>
      <c r="H345" s="173"/>
      <c r="I345" s="179"/>
      <c r="J345" s="176"/>
      <c r="K345" s="86"/>
      <c r="L345" s="87"/>
      <c r="M345" s="88"/>
      <c r="N345" s="176"/>
      <c r="O345" s="176"/>
      <c r="P345" s="178"/>
      <c r="Q345" s="176"/>
      <c r="R345" s="176"/>
      <c r="S345" s="86"/>
      <c r="T345" s="88"/>
      <c r="U345" s="88"/>
      <c r="V345" s="176"/>
      <c r="W345" s="176"/>
      <c r="X345" s="178"/>
      <c r="Y345" s="176"/>
      <c r="Z345" s="177"/>
      <c r="AA345" s="176"/>
      <c r="AB345" s="92"/>
      <c r="AC345" s="93"/>
      <c r="AD345" s="93"/>
      <c r="AE345" s="93"/>
      <c r="AF345" s="93" t="str">
        <f aca="false">IF(ISBLANK($C345),"",IF(E345=Constants!$B$2,TRUE(),IF(E345=Constants!$B$3,FALSE(),TRUE())))</f>
        <v/>
      </c>
      <c r="AG345" s="93" t="str">
        <f aca="false">IF(ISBLANK($C345),"",IF(F345=Constants!$B$2,TRUE(),IF(F345=Constants!$B$3,FALSE(),TRUE())))</f>
        <v/>
      </c>
      <c r="AH345" s="93" t="str">
        <f aca="false">IF(ISBLANK($C345),"",IF(G345=Constants!$B$2,TRUE(),IF(G345=Constants!$B$3,FALSE(),TRUE())))</f>
        <v/>
      </c>
      <c r="AI345" s="93" t="str">
        <f aca="false">IF(ISBLANK($C345),"",IF(AND(ISNUMBER(H345),H345&gt;=0),H345,Constants!$B$24))</f>
        <v/>
      </c>
      <c r="AJ345" s="93" t="str">
        <f aca="false">IF(ISBLANK($C345),"",IF(I345=Constants!$B$2,TRUE(),IF(I345=Constants!$B$3,FALSE(),TRUE())))</f>
        <v/>
      </c>
      <c r="AK345" s="93" t="str">
        <f aca="false">IF(ISBLANK($C345),"",IF(J345=Constants!$B$2,TRUE(),IF(J345=Constants!$B$3,FALSE(),TRUE())))</f>
        <v/>
      </c>
      <c r="AL345" s="93" t="str">
        <f aca="false">IF(ISBLANK($C345),"",IF(K345=Constants!$B$4,TRUE(),IF(K345=Constants!$B$5,FALSE(),COUNTA(L345:P345)&gt;0)))</f>
        <v/>
      </c>
      <c r="AM345" s="95" t="str">
        <f aca="false">IF(ISBLANK($C345),"",IF(ISNUMBER(L345),IF(L345&gt;=0,L345,""),""))</f>
        <v/>
      </c>
      <c r="AN345" s="94" t="str">
        <f aca="false">IF(ISBLANK($C345),"",IF(ISNUMBER(M345),IF(M345&gt;=0,M345,""),""))</f>
        <v/>
      </c>
      <c r="AO345" s="94" t="str">
        <f aca="false">IF(ISBLANK($C345),"",IF(N345=Constants!$B$2,TRUE(),IF(N345=Constants!$B$3,FALSE(),TRUE())))</f>
        <v/>
      </c>
      <c r="AP345" s="93" t="str">
        <f aca="false">IF(ISBLANK($C345),"",IF(ISNUMBER(O345),IF(O345&gt;=0,O345,""),""))</f>
        <v/>
      </c>
      <c r="AQ345" s="93" t="str">
        <f aca="false">IF(ISBLANK($C345),"",IF(P345=Constants!$B$2,TRUE(),IF(P345=Constants!$B$3,FALSE(),FALSE())))</f>
        <v/>
      </c>
      <c r="AR345" s="93" t="str">
        <f aca="false">IF(ISBLANK($C345),"",IF(Q345=Constants!$B$2,TRUE(),IF(Q345=Constants!$B$3,FALSE(),TRUE())))</f>
        <v/>
      </c>
      <c r="AS345" s="93" t="str">
        <f aca="false">IF(ISBLANK($C345),"",IF(R345=Constants!$B$2,TRUE(),IF(R345=Constants!$B$3,FALSE(),TRUE())))</f>
        <v/>
      </c>
      <c r="AT345" s="93" t="str">
        <f aca="false">IF(ISBLANK($C345),"",IF(S345=Constants!$B$4,TRUE(),IF(S345=Constants!$B$5,FALSE(),COUNTA(T345:X345)&gt;0)))</f>
        <v/>
      </c>
      <c r="AU345" s="95" t="str">
        <f aca="false">IF(ISBLANK($C345),"",IF(ISNUMBER(T345),IF(T345&gt;=0,T345,""),""))</f>
        <v/>
      </c>
      <c r="AV345" s="94" t="str">
        <f aca="false">IF(ISBLANK($C345),"",IF(ISNUMBER(U345),IF(U345&gt;=0,U345,""),""))</f>
        <v/>
      </c>
      <c r="AW345" s="94" t="str">
        <f aca="false">IF(ISBLANK($C345),"",IF(V345=Constants!$B$2,TRUE(),IF(V345=Constants!$B$3,FALSE(),TRUE())))</f>
        <v/>
      </c>
      <c r="AX345" s="93" t="str">
        <f aca="false">IF(ISBLANK($C345),"",IF(ISNUMBER(W345),IF(W345&gt;=0,W345,""),""))</f>
        <v/>
      </c>
      <c r="AY345" s="93" t="str">
        <f aca="false">IF(ISBLANK($C345),"",IF(X345=Constants!$B$2,TRUE(),IF(X345=Constants!$B$3,FALSE(),FALSE())))</f>
        <v/>
      </c>
      <c r="AZ345" s="93" t="str">
        <f aca="false">IF(ISBLANK($C345),"",MIN(Constants!$B$25,MAX(0,IF(ISNUMBER(Y345),Y345*60,0)+IF(ISNUMBER(Z345),Z345,0))))</f>
        <v/>
      </c>
      <c r="BA345" s="93" t="str">
        <f aca="false">IF(ISBLANK($C345),"",IF(AA345=Constants!$B$2,TRUE(),IF(AA345=Constants!$B$3,FALSE(),FALSE())))</f>
        <v/>
      </c>
      <c r="BB345" s="92" t="str">
        <f aca="false">IF(ISBLANK($C345),"",AND($AL345,OR($AM345="",$AN345="",AND($AO345,$AP345=""))))</f>
        <v/>
      </c>
      <c r="BC345" s="94" t="str">
        <f aca="false">IF($BX345&lt;&gt;Constants!$B$6,"",IF($AL345,Constants!$B$17*$AN345+Constants!$B$18*IF($AO345,$AP345,Constants!$B$19),Constants!$B$20))</f>
        <v/>
      </c>
      <c r="BD345" s="97" t="str">
        <f aca="false">IF($BX345&lt;&gt;Constants!$B$6,"",Constants!$B$21*ABS($AD$9-IF($AL345,$AM345,0)))</f>
        <v/>
      </c>
      <c r="BE345" s="97" t="str">
        <f aca="false">IF($BX345&lt;&gt;Constants!$B$6,"",IF(AND($AL345,$AQ345,$AO345),Constants!$B$22,0))</f>
        <v/>
      </c>
      <c r="BF345" s="97" t="str">
        <f aca="false">IF($BX345&lt;&gt;Constants!$B$6,"",IF($AL345,($AI345-Constants!$B$24)*Constants!$B$23,0))</f>
        <v/>
      </c>
      <c r="BG345" s="97" t="str">
        <f aca="false">IF($BX345&lt;&gt;Constants!$B$6,"",IF($AK345,0,Constants!$B$12)+IF($AJ345,0,Constants!$B$13)+IF($AH345,0,Constants!$B$14))</f>
        <v/>
      </c>
      <c r="BH345" s="98" t="str">
        <f aca="false">IF($BX345&lt;&gt;Constants!$B$6,"",Constants!$B$16+SUM($BC345:$BG345))</f>
        <v/>
      </c>
      <c r="BI345" s="97" t="str">
        <f aca="false">IF($BX345&lt;&gt;Constants!$B$6,"",$BC345)</f>
        <v/>
      </c>
      <c r="BJ345" s="97" t="str">
        <f aca="false">IF($BX345&lt;&gt;Constants!$B$6,"",$BD345)</f>
        <v/>
      </c>
      <c r="BK345" s="99" t="str">
        <f aca="false">IF($BX345&lt;&gt;Constants!$B$6,"",IF($AL345,$AN345,""))</f>
        <v/>
      </c>
      <c r="BL345" s="93" t="str">
        <f aca="false">IF($BX345&lt;&gt;Constants!$B$6,"",IF(OR($BS345&lt;$BH345,AND($BS345=$BH345,OR($BT345&lt;$BI345,AND($BT345=$BI345,OR($BU345&lt;$BJ345,AND($BU345=$BJ345,AND(ISNUMBER($BV345),OR(NOT(ISNUMBER($BK345)),$BV345&lt;$BK345)))))))),"-&gt;","&lt;-"))</f>
        <v/>
      </c>
      <c r="BM345" s="92" t="str">
        <f aca="false">IF(ISBLANK($C345),"",AND($AT345,OR($AU345="",$AV345="",AND($AW345,$AX345=""))))</f>
        <v/>
      </c>
      <c r="BN345" s="94" t="str">
        <f aca="false">IF($BX345&lt;&gt;Constants!$B$6,"",IF($AT345,Constants!$B$17*$AV345+Constants!$B$18*IF($AW345,$AX345,Constants!$B$19),Constants!$B$20))</f>
        <v/>
      </c>
      <c r="BO345" s="97" t="str">
        <f aca="false">IF($BX345&lt;&gt;Constants!$B$6,"",Constants!$B$21*ABS($AD$9-IF($AT345,$AU345,0)))</f>
        <v/>
      </c>
      <c r="BP345" s="97" t="str">
        <f aca="false">IF($BX345&lt;&gt;Constants!$B$6,"",IF(AND($AT345,$AY345,$AW345),Constants!$B$22,0))</f>
        <v/>
      </c>
      <c r="BQ345" s="97" t="str">
        <f aca="false">IF($BX345&lt;&gt;Constants!$B$6,"",IF($AT345,($AI345-Constants!$B$24)*Constants!$B$23,0))</f>
        <v/>
      </c>
      <c r="BR345" s="97" t="str">
        <f aca="false">IF($BX345&lt;&gt;Constants!$B$6,"",IF($AS345,0,Constants!$B$12)+IF($AR345,0,Constants!$B$13)+IF($AH345,0,Constants!$B$14))</f>
        <v/>
      </c>
      <c r="BS345" s="98" t="str">
        <f aca="false">IF($BX345&lt;&gt;Constants!$B$6,"",Constants!$B$16+SUM($BN345:$BR345))</f>
        <v/>
      </c>
      <c r="BT345" s="97" t="str">
        <f aca="false">IF($BX345&lt;&gt;Constants!$B$6,"",$BN345)</f>
        <v/>
      </c>
      <c r="BU345" s="97" t="str">
        <f aca="false">IF($BX345&lt;&gt;Constants!$B$6,"",$BO345)</f>
        <v/>
      </c>
      <c r="BV345" s="99" t="str">
        <f aca="false">IF($BX345&lt;&gt;Constants!$B$6,"",IF($AT345,$AV345,""))</f>
        <v/>
      </c>
      <c r="BW345" s="93" t="str">
        <f aca="false">IF(ISBLANK($C345),"",IF(ISBLANK($D$7),$BW$5,IF(NOT(ISNUMBER($D$7)),$BW$6,"")))</f>
        <v/>
      </c>
      <c r="BX345" s="93" t="str">
        <f aca="false">IF(ISBLANK($C345),"",IF($BA345,Constants!$B$9,IF(COUNTA($E345:$AA345)=0,Constants!$B$8,IF(NOT($AG345),Constants!$B$7,IF(OR($BW345&lt;&gt;"",$BB345,$BM345),Constants!$B$10,Constants!$B$6)))))</f>
        <v/>
      </c>
      <c r="BY345" s="93" t="str">
        <f aca="false">IF(ISBLANK($C345),"",IF($BX345&lt;&gt;Constants!$B$6,$BX345,Constants!$B$11))</f>
        <v/>
      </c>
      <c r="BZ345" s="97" t="str">
        <f aca="false">IF($BX345&lt;&gt;Constants!$B$6,"",IF($BL345="-&gt;",$BS345,$BH345))</f>
        <v/>
      </c>
      <c r="CA345" s="97" t="str">
        <f aca="false">IF($BX345&lt;&gt;Constants!$B$6,"",IF($AF345,0,Constants!$B$15))</f>
        <v/>
      </c>
      <c r="CB345" s="97" t="str">
        <f aca="false">IF($BX345&lt;&gt;Constants!$B$6,"",((Constants!$B$25-$AZ345)-Constants!$B$25)/Constants!$B$26)</f>
        <v/>
      </c>
      <c r="CC345" s="97" t="str">
        <f aca="false">IF(ISBLANK($C345),"",IF($BX345&lt;&gt;Constants!$B$6,$BX345,SUM($BZ345:$CB345)))</f>
        <v/>
      </c>
      <c r="CD345" s="93" t="str">
        <f aca="false">IF(ISBLANK($C345),"",IF($BX345&lt;&gt;Constants!$B$6,$BX345,RANK($CC345,$CC$9:$CC$508,1)))</f>
        <v/>
      </c>
      <c r="CE345" s="97" t="str">
        <f aca="false">IF($BX345&lt;&gt;Constants!$B$6,"",IF($BL345="-&gt;",$BT345,$BI345))</f>
        <v/>
      </c>
      <c r="CF345" s="93" t="str">
        <f aca="false">IF(ISBLANK($C345),"",IF($BX345&lt;&gt;Constants!$B$6,$BX345,IF(ISNUMBER($CE345),RANK($CE345,$CE$9:$CE$508,1),COUNT($CE$9:$CE$508)+1)))</f>
        <v/>
      </c>
      <c r="CG345" s="97" t="str">
        <f aca="false">IF($BX345&lt;&gt;Constants!$B$6,"",IF($BL345="-&gt;",$BU345,$BJ345))</f>
        <v/>
      </c>
      <c r="CH345" s="93" t="str">
        <f aca="false">IF(ISBLANK($C345),"",IF($BX345&lt;&gt;Constants!$B$6,$BX345,IF(ISNUMBER($CG345),RANK($CG345,$CG$9:$CG$508,1),COUNT($CG$9:$CG$508)+1)))</f>
        <v/>
      </c>
      <c r="CI345" s="97" t="str">
        <f aca="false">IF($BX345&lt;&gt;Constants!$B$6,"",IF($BL345="-&gt;",$BV345,$BK345))</f>
        <v/>
      </c>
      <c r="CJ345" s="93" t="str">
        <f aca="false">IF(ISBLANK($C345),"",IF($BX345&lt;&gt;Constants!$B$6,$BX345,IF(ISNUMBER($CI345),RANK($CI345,$CI$9:$CI$508,1),COUNT($CI$9:$CI$508)+1)))</f>
        <v/>
      </c>
      <c r="CK345" s="97" t="str">
        <f aca="false">IF($BX345&lt;&gt;Constants!$B$6,"",$AI345)</f>
        <v/>
      </c>
      <c r="CL345" s="93" t="str">
        <f aca="false">IF(ISBLANK($C345),"",IF($BX345&lt;&gt;Constants!$B$6,$BX345,IF(ISNUMBER($CK345),RANK($CK345,$CK$9:$CK$508,1),COUNT($CK$9:$CK$508)+1)))</f>
        <v/>
      </c>
      <c r="CM345" s="93" t="str">
        <f aca="false">IF(ISBLANK($C345),"",IF($BX345&lt;&gt;Constants!$B$6,$BX345,COUNTIFS($CD$9:$CD$508,"&lt;"&amp;$CD345)+COUNTIFS($CD$9:$CD$508,$CD345,$CF$9:$CF$508,"&lt;"&amp;$CF345)+COUNTIFS($CD$9:$CD$508,$CD345,$CF$9:$CF$508,$CF345,$CH$9:$CH$508,"&lt;"&amp;$CH345)+COUNTIFS($CD$9:$CD$508,$CD345,$CF$9:$CF$508,$CF345,$CH$9:$CH$508,$CH345,$CJ$9:$CJ$508,"&lt;"&amp;$CJ345)+COUNTIFS($CD$9:$CD$508,$CD345,$CF$9:$CF$508,$CF345,$CH$9:$CH$508,$CH345,$CJ$9:$CJ$508,$CJ345,$CL$9:$CL$508,"&lt;"&amp;$CL345)+1))</f>
        <v/>
      </c>
      <c r="CN345" s="93" t="str">
        <f aca="false">IF(ISBLANK($C345),"",IF($BX345&lt;&gt;Constants!$B$6,$BX345,$CD345-$CM345))</f>
        <v/>
      </c>
      <c r="CO345" s="100"/>
      <c r="CP345" s="101"/>
      <c r="CQ345" s="102" t="str">
        <f aca="false">IF(ISBLANK($C345),"",IF($BX345=Constants!$B$10,$BW345,""))</f>
        <v/>
      </c>
      <c r="CR345" s="101" t="str">
        <f aca="false">IF(ISBLANK($C345),"",IF($BX345&lt;&gt;Constants!$B$6,"",IF($BL345="-&gt;",2,1)))</f>
        <v/>
      </c>
      <c r="CS345" s="103" t="str">
        <f aca="false">IF(ISBLANK($C345),"",IF($BX345&lt;&gt;Constants!$B$6,"",IF($BL345="-&gt;",$BN345,$BC345)))</f>
        <v/>
      </c>
      <c r="CT345" s="103" t="str">
        <f aca="false">IF(ISBLANK($C345),"",IF($BX345&lt;&gt;Constants!$B$6,"",IF($BL345="-&gt;",$BO345,$BD345)))</f>
        <v/>
      </c>
      <c r="CU345" s="103" t="str">
        <f aca="false">IF(ISBLANK($C345),"",IF($BX345&lt;&gt;Constants!$B$6,"",IF($BL345="-&gt;",$BP345+$BQ345,$BE345+$BF345)+$CB345))</f>
        <v/>
      </c>
      <c r="CV345" s="103" t="str">
        <f aca="false">IF(ISBLANK($C345),"",IF($BX345&lt;&gt;Constants!$B$6,"",IF($BL345="-&gt;",$BR345,$BG345)+$CA345))</f>
        <v/>
      </c>
      <c r="CW345" s="104" t="str">
        <f aca="false">IF(ISBLANK($C345),"",IF($BX345&lt;&gt;Constants!$B$6,$BX345,$CC345))</f>
        <v/>
      </c>
      <c r="CX345" s="105" t="str">
        <f aca="false">IF(ISBLANK($C345),"",$BY345)</f>
        <v/>
      </c>
      <c r="CY345" s="106" t="str">
        <f aca="false">IF(ISBLANK($C345),"",$CN345)</f>
        <v/>
      </c>
      <c r="CZ345" s="106" t="str">
        <f aca="false">IF(ISBLANK($C345),"",$CM345)</f>
        <v/>
      </c>
      <c r="DA345" s="107" t="str">
        <f aca="false">IF(ISBLANK($C345),"",IFERROR(_xlfn.SWITCH($CZ345,Constants!$B$9,COUNTA($C$9:$C$508)+2,Constants!$B$8,COUNTA($C$9:$C$508)+1,Constants!$B$7,COUNTA($C$9:$C$508)),$CZ345))</f>
        <v/>
      </c>
      <c r="DB345" s="9"/>
      <c r="DC345" s="108" t="n">
        <f aca="false">IF(OR(ISNUMBER($CZ345),$CZ345=Constants!$B$9,$CZ345=Constants!$B$7,$CZ345=Constants!$B$8),1,0)</f>
        <v>0</v>
      </c>
      <c r="DD345" s="108" t="n">
        <v>337</v>
      </c>
      <c r="DE345" s="108" t="str">
        <f aca="false">IF(ISBLANK($C345),"",IF(ISNUMBER($DA345),$DA345+ROW($B345)/1000,""))</f>
        <v/>
      </c>
      <c r="DF345" s="108" t="str">
        <f aca="false">IF(ISNUMBER($DE345),RANK($DE345,$DE$9:$DE$508,1),"")</f>
        <v/>
      </c>
      <c r="DG345" s="108" t="str">
        <f aca="false">IF(ISBLANK($C345),"",$B345)</f>
        <v/>
      </c>
      <c r="DH345" s="108" t="str">
        <f aca="false">IF(ISBLANK($C345),"",$C345)</f>
        <v/>
      </c>
      <c r="DI345" s="108" t="str">
        <f aca="false">IF(ISBLANK($C345),"",$D345)</f>
        <v/>
      </c>
      <c r="DJ345" s="109" t="str">
        <f aca="false">$CX345</f>
        <v/>
      </c>
      <c r="DK345" s="110" t="str">
        <f aca="false">$CW345</f>
        <v/>
      </c>
      <c r="DL345" s="108" t="str">
        <f aca="false">IF(ISBLANK($C345),"",$CZ345)</f>
        <v/>
      </c>
      <c r="DM345" s="111" t="str">
        <f aca="false">IF($DD345&gt;$DC$8,"",VLOOKUP($DD345,$DF$9:$DL$508,7,FALSE()))</f>
        <v/>
      </c>
      <c r="DN345" s="112" t="str">
        <f aca="false">IF($DD345&gt;$DC$8,"",VLOOKUP($DD345,$DF$9:$DL$508,2,FALSE()))</f>
        <v/>
      </c>
      <c r="DO345" s="112" t="str">
        <f aca="false">IF($DD345&gt;$DC$8,"",VLOOKUP($DD345,$DF$9:$DL$508,3,FALSE()))</f>
        <v/>
      </c>
      <c r="DP345" s="112" t="str">
        <f aca="false">IF($DD345&gt;$DC$8,"",VLOOKUP($DD345,$DF$9:$DL$508,4,FALSE()))</f>
        <v/>
      </c>
      <c r="DQ345" s="112" t="str">
        <f aca="false">IF($DD345&gt;$DC$8,"",VLOOKUP($DD345,$DF$9:$DL$508,5,FALSE()))</f>
        <v/>
      </c>
      <c r="DR345" s="113" t="str">
        <f aca="false">IF($DD345&gt;$DC$8,"",VLOOKUP($DD345,$DF$9:$DL$508,6,FALSE()))</f>
        <v/>
      </c>
      <c r="DS345" s="76"/>
    </row>
    <row r="346" customFormat="false" ht="15.75" hidden="false" customHeight="false" outlineLevel="0" collapsed="false">
      <c r="A346" s="9"/>
      <c r="B346" s="78"/>
      <c r="C346" s="79"/>
      <c r="D346" s="170"/>
      <c r="E346" s="178"/>
      <c r="F346" s="172"/>
      <c r="G346" s="173"/>
      <c r="H346" s="173"/>
      <c r="I346" s="179"/>
      <c r="J346" s="176"/>
      <c r="K346" s="86"/>
      <c r="L346" s="87"/>
      <c r="M346" s="88"/>
      <c r="N346" s="176"/>
      <c r="O346" s="176"/>
      <c r="P346" s="178"/>
      <c r="Q346" s="176"/>
      <c r="R346" s="176"/>
      <c r="S346" s="86"/>
      <c r="T346" s="88"/>
      <c r="U346" s="88"/>
      <c r="V346" s="176"/>
      <c r="W346" s="176"/>
      <c r="X346" s="178"/>
      <c r="Y346" s="176"/>
      <c r="Z346" s="177"/>
      <c r="AA346" s="176"/>
      <c r="AB346" s="92"/>
      <c r="AC346" s="93"/>
      <c r="AD346" s="93"/>
      <c r="AE346" s="93"/>
      <c r="AF346" s="93" t="str">
        <f aca="false">IF(ISBLANK($C346),"",IF(E346=Constants!$B$2,TRUE(),IF(E346=Constants!$B$3,FALSE(),TRUE())))</f>
        <v/>
      </c>
      <c r="AG346" s="93" t="str">
        <f aca="false">IF(ISBLANK($C346),"",IF(F346=Constants!$B$2,TRUE(),IF(F346=Constants!$B$3,FALSE(),TRUE())))</f>
        <v/>
      </c>
      <c r="AH346" s="93" t="str">
        <f aca="false">IF(ISBLANK($C346),"",IF(G346=Constants!$B$2,TRUE(),IF(G346=Constants!$B$3,FALSE(),TRUE())))</f>
        <v/>
      </c>
      <c r="AI346" s="93" t="str">
        <f aca="false">IF(ISBLANK($C346),"",IF(AND(ISNUMBER(H346),H346&gt;=0),H346,Constants!$B$24))</f>
        <v/>
      </c>
      <c r="AJ346" s="93" t="str">
        <f aca="false">IF(ISBLANK($C346),"",IF(I346=Constants!$B$2,TRUE(),IF(I346=Constants!$B$3,FALSE(),TRUE())))</f>
        <v/>
      </c>
      <c r="AK346" s="93" t="str">
        <f aca="false">IF(ISBLANK($C346),"",IF(J346=Constants!$B$2,TRUE(),IF(J346=Constants!$B$3,FALSE(),TRUE())))</f>
        <v/>
      </c>
      <c r="AL346" s="93" t="str">
        <f aca="false">IF(ISBLANK($C346),"",IF(K346=Constants!$B$4,TRUE(),IF(K346=Constants!$B$5,FALSE(),COUNTA(L346:P346)&gt;0)))</f>
        <v/>
      </c>
      <c r="AM346" s="95" t="str">
        <f aca="false">IF(ISBLANK($C346),"",IF(ISNUMBER(L346),IF(L346&gt;=0,L346,""),""))</f>
        <v/>
      </c>
      <c r="AN346" s="94" t="str">
        <f aca="false">IF(ISBLANK($C346),"",IF(ISNUMBER(M346),IF(M346&gt;=0,M346,""),""))</f>
        <v/>
      </c>
      <c r="AO346" s="94" t="str">
        <f aca="false">IF(ISBLANK($C346),"",IF(N346=Constants!$B$2,TRUE(),IF(N346=Constants!$B$3,FALSE(),TRUE())))</f>
        <v/>
      </c>
      <c r="AP346" s="93" t="str">
        <f aca="false">IF(ISBLANK($C346),"",IF(ISNUMBER(O346),IF(O346&gt;=0,O346,""),""))</f>
        <v/>
      </c>
      <c r="AQ346" s="93" t="str">
        <f aca="false">IF(ISBLANK($C346),"",IF(P346=Constants!$B$2,TRUE(),IF(P346=Constants!$B$3,FALSE(),FALSE())))</f>
        <v/>
      </c>
      <c r="AR346" s="93" t="str">
        <f aca="false">IF(ISBLANK($C346),"",IF(Q346=Constants!$B$2,TRUE(),IF(Q346=Constants!$B$3,FALSE(),TRUE())))</f>
        <v/>
      </c>
      <c r="AS346" s="93" t="str">
        <f aca="false">IF(ISBLANK($C346),"",IF(R346=Constants!$B$2,TRUE(),IF(R346=Constants!$B$3,FALSE(),TRUE())))</f>
        <v/>
      </c>
      <c r="AT346" s="93" t="str">
        <f aca="false">IF(ISBLANK($C346),"",IF(S346=Constants!$B$4,TRUE(),IF(S346=Constants!$B$5,FALSE(),COUNTA(T346:X346)&gt;0)))</f>
        <v/>
      </c>
      <c r="AU346" s="95" t="str">
        <f aca="false">IF(ISBLANK($C346),"",IF(ISNUMBER(T346),IF(T346&gt;=0,T346,""),""))</f>
        <v/>
      </c>
      <c r="AV346" s="94" t="str">
        <f aca="false">IF(ISBLANK($C346),"",IF(ISNUMBER(U346),IF(U346&gt;=0,U346,""),""))</f>
        <v/>
      </c>
      <c r="AW346" s="94" t="str">
        <f aca="false">IF(ISBLANK($C346),"",IF(V346=Constants!$B$2,TRUE(),IF(V346=Constants!$B$3,FALSE(),TRUE())))</f>
        <v/>
      </c>
      <c r="AX346" s="93" t="str">
        <f aca="false">IF(ISBLANK($C346),"",IF(ISNUMBER(W346),IF(W346&gt;=0,W346,""),""))</f>
        <v/>
      </c>
      <c r="AY346" s="93" t="str">
        <f aca="false">IF(ISBLANK($C346),"",IF(X346=Constants!$B$2,TRUE(),IF(X346=Constants!$B$3,FALSE(),FALSE())))</f>
        <v/>
      </c>
      <c r="AZ346" s="93" t="str">
        <f aca="false">IF(ISBLANK($C346),"",MIN(Constants!$B$25,MAX(0,IF(ISNUMBER(Y346),Y346*60,0)+IF(ISNUMBER(Z346),Z346,0))))</f>
        <v/>
      </c>
      <c r="BA346" s="93" t="str">
        <f aca="false">IF(ISBLANK($C346),"",IF(AA346=Constants!$B$2,TRUE(),IF(AA346=Constants!$B$3,FALSE(),FALSE())))</f>
        <v/>
      </c>
      <c r="BB346" s="92" t="str">
        <f aca="false">IF(ISBLANK($C346),"",AND($AL346,OR($AM346="",$AN346="",AND($AO346,$AP346=""))))</f>
        <v/>
      </c>
      <c r="BC346" s="94" t="str">
        <f aca="false">IF($BX346&lt;&gt;Constants!$B$6,"",IF($AL346,Constants!$B$17*$AN346+Constants!$B$18*IF($AO346,$AP346,Constants!$B$19),Constants!$B$20))</f>
        <v/>
      </c>
      <c r="BD346" s="97" t="str">
        <f aca="false">IF($BX346&lt;&gt;Constants!$B$6,"",Constants!$B$21*ABS($AD$9-IF($AL346,$AM346,0)))</f>
        <v/>
      </c>
      <c r="BE346" s="97" t="str">
        <f aca="false">IF($BX346&lt;&gt;Constants!$B$6,"",IF(AND($AL346,$AQ346,$AO346),Constants!$B$22,0))</f>
        <v/>
      </c>
      <c r="BF346" s="97" t="str">
        <f aca="false">IF($BX346&lt;&gt;Constants!$B$6,"",IF($AL346,($AI346-Constants!$B$24)*Constants!$B$23,0))</f>
        <v/>
      </c>
      <c r="BG346" s="97" t="str">
        <f aca="false">IF($BX346&lt;&gt;Constants!$B$6,"",IF($AK346,0,Constants!$B$12)+IF($AJ346,0,Constants!$B$13)+IF($AH346,0,Constants!$B$14))</f>
        <v/>
      </c>
      <c r="BH346" s="98" t="str">
        <f aca="false">IF($BX346&lt;&gt;Constants!$B$6,"",Constants!$B$16+SUM($BC346:$BG346))</f>
        <v/>
      </c>
      <c r="BI346" s="97" t="str">
        <f aca="false">IF($BX346&lt;&gt;Constants!$B$6,"",$BC346)</f>
        <v/>
      </c>
      <c r="BJ346" s="97" t="str">
        <f aca="false">IF($BX346&lt;&gt;Constants!$B$6,"",$BD346)</f>
        <v/>
      </c>
      <c r="BK346" s="99" t="str">
        <f aca="false">IF($BX346&lt;&gt;Constants!$B$6,"",IF($AL346,$AN346,""))</f>
        <v/>
      </c>
      <c r="BL346" s="93" t="str">
        <f aca="false">IF($BX346&lt;&gt;Constants!$B$6,"",IF(OR($BS346&lt;$BH346,AND($BS346=$BH346,OR($BT346&lt;$BI346,AND($BT346=$BI346,OR($BU346&lt;$BJ346,AND($BU346=$BJ346,AND(ISNUMBER($BV346),OR(NOT(ISNUMBER($BK346)),$BV346&lt;$BK346)))))))),"-&gt;","&lt;-"))</f>
        <v/>
      </c>
      <c r="BM346" s="92" t="str">
        <f aca="false">IF(ISBLANK($C346),"",AND($AT346,OR($AU346="",$AV346="",AND($AW346,$AX346=""))))</f>
        <v/>
      </c>
      <c r="BN346" s="94" t="str">
        <f aca="false">IF($BX346&lt;&gt;Constants!$B$6,"",IF($AT346,Constants!$B$17*$AV346+Constants!$B$18*IF($AW346,$AX346,Constants!$B$19),Constants!$B$20))</f>
        <v/>
      </c>
      <c r="BO346" s="97" t="str">
        <f aca="false">IF($BX346&lt;&gt;Constants!$B$6,"",Constants!$B$21*ABS($AD$9-IF($AT346,$AU346,0)))</f>
        <v/>
      </c>
      <c r="BP346" s="97" t="str">
        <f aca="false">IF($BX346&lt;&gt;Constants!$B$6,"",IF(AND($AT346,$AY346,$AW346),Constants!$B$22,0))</f>
        <v/>
      </c>
      <c r="BQ346" s="97" t="str">
        <f aca="false">IF($BX346&lt;&gt;Constants!$B$6,"",IF($AT346,($AI346-Constants!$B$24)*Constants!$B$23,0))</f>
        <v/>
      </c>
      <c r="BR346" s="97" t="str">
        <f aca="false">IF($BX346&lt;&gt;Constants!$B$6,"",IF($AS346,0,Constants!$B$12)+IF($AR346,0,Constants!$B$13)+IF($AH346,0,Constants!$B$14))</f>
        <v/>
      </c>
      <c r="BS346" s="98" t="str">
        <f aca="false">IF($BX346&lt;&gt;Constants!$B$6,"",Constants!$B$16+SUM($BN346:$BR346))</f>
        <v/>
      </c>
      <c r="BT346" s="97" t="str">
        <f aca="false">IF($BX346&lt;&gt;Constants!$B$6,"",$BN346)</f>
        <v/>
      </c>
      <c r="BU346" s="97" t="str">
        <f aca="false">IF($BX346&lt;&gt;Constants!$B$6,"",$BO346)</f>
        <v/>
      </c>
      <c r="BV346" s="99" t="str">
        <f aca="false">IF($BX346&lt;&gt;Constants!$B$6,"",IF($AT346,$AV346,""))</f>
        <v/>
      </c>
      <c r="BW346" s="93" t="str">
        <f aca="false">IF(ISBLANK($C346),"",IF(ISBLANK($D$7),$BW$5,IF(NOT(ISNUMBER($D$7)),$BW$6,"")))</f>
        <v/>
      </c>
      <c r="BX346" s="93" t="str">
        <f aca="false">IF(ISBLANK($C346),"",IF($BA346,Constants!$B$9,IF(COUNTA($E346:$AA346)=0,Constants!$B$8,IF(NOT($AG346),Constants!$B$7,IF(OR($BW346&lt;&gt;"",$BB346,$BM346),Constants!$B$10,Constants!$B$6)))))</f>
        <v/>
      </c>
      <c r="BY346" s="93" t="str">
        <f aca="false">IF(ISBLANK($C346),"",IF($BX346&lt;&gt;Constants!$B$6,$BX346,Constants!$B$11))</f>
        <v/>
      </c>
      <c r="BZ346" s="97" t="str">
        <f aca="false">IF($BX346&lt;&gt;Constants!$B$6,"",IF($BL346="-&gt;",$BS346,$BH346))</f>
        <v/>
      </c>
      <c r="CA346" s="97" t="str">
        <f aca="false">IF($BX346&lt;&gt;Constants!$B$6,"",IF($AF346,0,Constants!$B$15))</f>
        <v/>
      </c>
      <c r="CB346" s="97" t="str">
        <f aca="false">IF($BX346&lt;&gt;Constants!$B$6,"",((Constants!$B$25-$AZ346)-Constants!$B$25)/Constants!$B$26)</f>
        <v/>
      </c>
      <c r="CC346" s="97" t="str">
        <f aca="false">IF(ISBLANK($C346),"",IF($BX346&lt;&gt;Constants!$B$6,$BX346,SUM($BZ346:$CB346)))</f>
        <v/>
      </c>
      <c r="CD346" s="93" t="str">
        <f aca="false">IF(ISBLANK($C346),"",IF($BX346&lt;&gt;Constants!$B$6,$BX346,RANK($CC346,$CC$9:$CC$508,1)))</f>
        <v/>
      </c>
      <c r="CE346" s="97" t="str">
        <f aca="false">IF($BX346&lt;&gt;Constants!$B$6,"",IF($BL346="-&gt;",$BT346,$BI346))</f>
        <v/>
      </c>
      <c r="CF346" s="93" t="str">
        <f aca="false">IF(ISBLANK($C346),"",IF($BX346&lt;&gt;Constants!$B$6,$BX346,IF(ISNUMBER($CE346),RANK($CE346,$CE$9:$CE$508,1),COUNT($CE$9:$CE$508)+1)))</f>
        <v/>
      </c>
      <c r="CG346" s="97" t="str">
        <f aca="false">IF($BX346&lt;&gt;Constants!$B$6,"",IF($BL346="-&gt;",$BU346,$BJ346))</f>
        <v/>
      </c>
      <c r="CH346" s="93" t="str">
        <f aca="false">IF(ISBLANK($C346),"",IF($BX346&lt;&gt;Constants!$B$6,$BX346,IF(ISNUMBER($CG346),RANK($CG346,$CG$9:$CG$508,1),COUNT($CG$9:$CG$508)+1)))</f>
        <v/>
      </c>
      <c r="CI346" s="97" t="str">
        <f aca="false">IF($BX346&lt;&gt;Constants!$B$6,"",IF($BL346="-&gt;",$BV346,$BK346))</f>
        <v/>
      </c>
      <c r="CJ346" s="93" t="str">
        <f aca="false">IF(ISBLANK($C346),"",IF($BX346&lt;&gt;Constants!$B$6,$BX346,IF(ISNUMBER($CI346),RANK($CI346,$CI$9:$CI$508,1),COUNT($CI$9:$CI$508)+1)))</f>
        <v/>
      </c>
      <c r="CK346" s="97" t="str">
        <f aca="false">IF($BX346&lt;&gt;Constants!$B$6,"",$AI346)</f>
        <v/>
      </c>
      <c r="CL346" s="93" t="str">
        <f aca="false">IF(ISBLANK($C346),"",IF($BX346&lt;&gt;Constants!$B$6,$BX346,IF(ISNUMBER($CK346),RANK($CK346,$CK$9:$CK$508,1),COUNT($CK$9:$CK$508)+1)))</f>
        <v/>
      </c>
      <c r="CM346" s="93" t="str">
        <f aca="false">IF(ISBLANK($C346),"",IF($BX346&lt;&gt;Constants!$B$6,$BX346,COUNTIFS($CD$9:$CD$508,"&lt;"&amp;$CD346)+COUNTIFS($CD$9:$CD$508,$CD346,$CF$9:$CF$508,"&lt;"&amp;$CF346)+COUNTIFS($CD$9:$CD$508,$CD346,$CF$9:$CF$508,$CF346,$CH$9:$CH$508,"&lt;"&amp;$CH346)+COUNTIFS($CD$9:$CD$508,$CD346,$CF$9:$CF$508,$CF346,$CH$9:$CH$508,$CH346,$CJ$9:$CJ$508,"&lt;"&amp;$CJ346)+COUNTIFS($CD$9:$CD$508,$CD346,$CF$9:$CF$508,$CF346,$CH$9:$CH$508,$CH346,$CJ$9:$CJ$508,$CJ346,$CL$9:$CL$508,"&lt;"&amp;$CL346)+1))</f>
        <v/>
      </c>
      <c r="CN346" s="93" t="str">
        <f aca="false">IF(ISBLANK($C346),"",IF($BX346&lt;&gt;Constants!$B$6,$BX346,$CD346-$CM346))</f>
        <v/>
      </c>
      <c r="CO346" s="100"/>
      <c r="CP346" s="101"/>
      <c r="CQ346" s="102" t="str">
        <f aca="false">IF(ISBLANK($C346),"",IF($BX346=Constants!$B$10,$BW346,""))</f>
        <v/>
      </c>
      <c r="CR346" s="101" t="str">
        <f aca="false">IF(ISBLANK($C346),"",IF($BX346&lt;&gt;Constants!$B$6,"",IF($BL346="-&gt;",2,1)))</f>
        <v/>
      </c>
      <c r="CS346" s="103" t="str">
        <f aca="false">IF(ISBLANK($C346),"",IF($BX346&lt;&gt;Constants!$B$6,"",IF($BL346="-&gt;",$BN346,$BC346)))</f>
        <v/>
      </c>
      <c r="CT346" s="103" t="str">
        <f aca="false">IF(ISBLANK($C346),"",IF($BX346&lt;&gt;Constants!$B$6,"",IF($BL346="-&gt;",$BO346,$BD346)))</f>
        <v/>
      </c>
      <c r="CU346" s="103" t="str">
        <f aca="false">IF(ISBLANK($C346),"",IF($BX346&lt;&gt;Constants!$B$6,"",IF($BL346="-&gt;",$BP346+$BQ346,$BE346+$BF346)+$CB346))</f>
        <v/>
      </c>
      <c r="CV346" s="103" t="str">
        <f aca="false">IF(ISBLANK($C346),"",IF($BX346&lt;&gt;Constants!$B$6,"",IF($BL346="-&gt;",$BR346,$BG346)+$CA346))</f>
        <v/>
      </c>
      <c r="CW346" s="104" t="str">
        <f aca="false">IF(ISBLANK($C346),"",IF($BX346&lt;&gt;Constants!$B$6,$BX346,$CC346))</f>
        <v/>
      </c>
      <c r="CX346" s="105" t="str">
        <f aca="false">IF(ISBLANK($C346),"",$BY346)</f>
        <v/>
      </c>
      <c r="CY346" s="106" t="str">
        <f aca="false">IF(ISBLANK($C346),"",$CN346)</f>
        <v/>
      </c>
      <c r="CZ346" s="106" t="str">
        <f aca="false">IF(ISBLANK($C346),"",$CM346)</f>
        <v/>
      </c>
      <c r="DA346" s="107" t="str">
        <f aca="false">IF(ISBLANK($C346),"",IFERROR(_xlfn.SWITCH($CZ346,Constants!$B$9,COUNTA($C$9:$C$508)+2,Constants!$B$8,COUNTA($C$9:$C$508)+1,Constants!$B$7,COUNTA($C$9:$C$508)),$CZ346))</f>
        <v/>
      </c>
      <c r="DB346" s="9"/>
      <c r="DC346" s="108" t="n">
        <f aca="false">IF(OR(ISNUMBER($CZ346),$CZ346=Constants!$B$9,$CZ346=Constants!$B$7,$CZ346=Constants!$B$8),1,0)</f>
        <v>0</v>
      </c>
      <c r="DD346" s="108" t="n">
        <v>338</v>
      </c>
      <c r="DE346" s="108" t="str">
        <f aca="false">IF(ISBLANK($C346),"",IF(ISNUMBER($DA346),$DA346+ROW($B346)/1000,""))</f>
        <v/>
      </c>
      <c r="DF346" s="108" t="str">
        <f aca="false">IF(ISNUMBER($DE346),RANK($DE346,$DE$9:$DE$508,1),"")</f>
        <v/>
      </c>
      <c r="DG346" s="108" t="str">
        <f aca="false">IF(ISBLANK($C346),"",$B346)</f>
        <v/>
      </c>
      <c r="DH346" s="108" t="str">
        <f aca="false">IF(ISBLANK($C346),"",$C346)</f>
        <v/>
      </c>
      <c r="DI346" s="108" t="str">
        <f aca="false">IF(ISBLANK($C346),"",$D346)</f>
        <v/>
      </c>
      <c r="DJ346" s="109" t="str">
        <f aca="false">$CX346</f>
        <v/>
      </c>
      <c r="DK346" s="110" t="str">
        <f aca="false">$CW346</f>
        <v/>
      </c>
      <c r="DL346" s="108" t="str">
        <f aca="false">IF(ISBLANK($C346),"",$CZ346)</f>
        <v/>
      </c>
      <c r="DM346" s="111" t="str">
        <f aca="false">IF($DD346&gt;$DC$8,"",VLOOKUP($DD346,$DF$9:$DL$508,7,FALSE()))</f>
        <v/>
      </c>
      <c r="DN346" s="112" t="str">
        <f aca="false">IF($DD346&gt;$DC$8,"",VLOOKUP($DD346,$DF$9:$DL$508,2,FALSE()))</f>
        <v/>
      </c>
      <c r="DO346" s="112" t="str">
        <f aca="false">IF($DD346&gt;$DC$8,"",VLOOKUP($DD346,$DF$9:$DL$508,3,FALSE()))</f>
        <v/>
      </c>
      <c r="DP346" s="112" t="str">
        <f aca="false">IF($DD346&gt;$DC$8,"",VLOOKUP($DD346,$DF$9:$DL$508,4,FALSE()))</f>
        <v/>
      </c>
      <c r="DQ346" s="112" t="str">
        <f aca="false">IF($DD346&gt;$DC$8,"",VLOOKUP($DD346,$DF$9:$DL$508,5,FALSE()))</f>
        <v/>
      </c>
      <c r="DR346" s="113" t="str">
        <f aca="false">IF($DD346&gt;$DC$8,"",VLOOKUP($DD346,$DF$9:$DL$508,6,FALSE()))</f>
        <v/>
      </c>
      <c r="DS346" s="76"/>
    </row>
    <row r="347" customFormat="false" ht="15.75" hidden="false" customHeight="false" outlineLevel="0" collapsed="false">
      <c r="A347" s="9"/>
      <c r="B347" s="78"/>
      <c r="C347" s="79"/>
      <c r="D347" s="170"/>
      <c r="E347" s="178"/>
      <c r="F347" s="172"/>
      <c r="G347" s="173"/>
      <c r="H347" s="173"/>
      <c r="I347" s="179"/>
      <c r="J347" s="176"/>
      <c r="K347" s="86"/>
      <c r="L347" s="87"/>
      <c r="M347" s="88"/>
      <c r="N347" s="176"/>
      <c r="O347" s="176"/>
      <c r="P347" s="178"/>
      <c r="Q347" s="176"/>
      <c r="R347" s="176"/>
      <c r="S347" s="86"/>
      <c r="T347" s="88"/>
      <c r="U347" s="88"/>
      <c r="V347" s="176"/>
      <c r="W347" s="176"/>
      <c r="X347" s="178"/>
      <c r="Y347" s="176"/>
      <c r="Z347" s="177"/>
      <c r="AA347" s="176"/>
      <c r="AB347" s="92"/>
      <c r="AC347" s="93"/>
      <c r="AD347" s="93"/>
      <c r="AE347" s="93"/>
      <c r="AF347" s="93" t="str">
        <f aca="false">IF(ISBLANK($C347),"",IF(E347=Constants!$B$2,TRUE(),IF(E347=Constants!$B$3,FALSE(),TRUE())))</f>
        <v/>
      </c>
      <c r="AG347" s="93" t="str">
        <f aca="false">IF(ISBLANK($C347),"",IF(F347=Constants!$B$2,TRUE(),IF(F347=Constants!$B$3,FALSE(),TRUE())))</f>
        <v/>
      </c>
      <c r="AH347" s="93" t="str">
        <f aca="false">IF(ISBLANK($C347),"",IF(G347=Constants!$B$2,TRUE(),IF(G347=Constants!$B$3,FALSE(),TRUE())))</f>
        <v/>
      </c>
      <c r="AI347" s="93" t="str">
        <f aca="false">IF(ISBLANK($C347),"",IF(AND(ISNUMBER(H347),H347&gt;=0),H347,Constants!$B$24))</f>
        <v/>
      </c>
      <c r="AJ347" s="93" t="str">
        <f aca="false">IF(ISBLANK($C347),"",IF(I347=Constants!$B$2,TRUE(),IF(I347=Constants!$B$3,FALSE(),TRUE())))</f>
        <v/>
      </c>
      <c r="AK347" s="93" t="str">
        <f aca="false">IF(ISBLANK($C347),"",IF(J347=Constants!$B$2,TRUE(),IF(J347=Constants!$B$3,FALSE(),TRUE())))</f>
        <v/>
      </c>
      <c r="AL347" s="93" t="str">
        <f aca="false">IF(ISBLANK($C347),"",IF(K347=Constants!$B$4,TRUE(),IF(K347=Constants!$B$5,FALSE(),COUNTA(L347:P347)&gt;0)))</f>
        <v/>
      </c>
      <c r="AM347" s="95" t="str">
        <f aca="false">IF(ISBLANK($C347),"",IF(ISNUMBER(L347),IF(L347&gt;=0,L347,""),""))</f>
        <v/>
      </c>
      <c r="AN347" s="94" t="str">
        <f aca="false">IF(ISBLANK($C347),"",IF(ISNUMBER(M347),IF(M347&gt;=0,M347,""),""))</f>
        <v/>
      </c>
      <c r="AO347" s="94" t="str">
        <f aca="false">IF(ISBLANK($C347),"",IF(N347=Constants!$B$2,TRUE(),IF(N347=Constants!$B$3,FALSE(),TRUE())))</f>
        <v/>
      </c>
      <c r="AP347" s="93" t="str">
        <f aca="false">IF(ISBLANK($C347),"",IF(ISNUMBER(O347),IF(O347&gt;=0,O347,""),""))</f>
        <v/>
      </c>
      <c r="AQ347" s="93" t="str">
        <f aca="false">IF(ISBLANK($C347),"",IF(P347=Constants!$B$2,TRUE(),IF(P347=Constants!$B$3,FALSE(),FALSE())))</f>
        <v/>
      </c>
      <c r="AR347" s="93" t="str">
        <f aca="false">IF(ISBLANK($C347),"",IF(Q347=Constants!$B$2,TRUE(),IF(Q347=Constants!$B$3,FALSE(),TRUE())))</f>
        <v/>
      </c>
      <c r="AS347" s="93" t="str">
        <f aca="false">IF(ISBLANK($C347),"",IF(R347=Constants!$B$2,TRUE(),IF(R347=Constants!$B$3,FALSE(),TRUE())))</f>
        <v/>
      </c>
      <c r="AT347" s="93" t="str">
        <f aca="false">IF(ISBLANK($C347),"",IF(S347=Constants!$B$4,TRUE(),IF(S347=Constants!$B$5,FALSE(),COUNTA(T347:X347)&gt;0)))</f>
        <v/>
      </c>
      <c r="AU347" s="95" t="str">
        <f aca="false">IF(ISBLANK($C347),"",IF(ISNUMBER(T347),IF(T347&gt;=0,T347,""),""))</f>
        <v/>
      </c>
      <c r="AV347" s="94" t="str">
        <f aca="false">IF(ISBLANK($C347),"",IF(ISNUMBER(U347),IF(U347&gt;=0,U347,""),""))</f>
        <v/>
      </c>
      <c r="AW347" s="94" t="str">
        <f aca="false">IF(ISBLANK($C347),"",IF(V347=Constants!$B$2,TRUE(),IF(V347=Constants!$B$3,FALSE(),TRUE())))</f>
        <v/>
      </c>
      <c r="AX347" s="93" t="str">
        <f aca="false">IF(ISBLANK($C347),"",IF(ISNUMBER(W347),IF(W347&gt;=0,W347,""),""))</f>
        <v/>
      </c>
      <c r="AY347" s="93" t="str">
        <f aca="false">IF(ISBLANK($C347),"",IF(X347=Constants!$B$2,TRUE(),IF(X347=Constants!$B$3,FALSE(),FALSE())))</f>
        <v/>
      </c>
      <c r="AZ347" s="93" t="str">
        <f aca="false">IF(ISBLANK($C347),"",MIN(Constants!$B$25,MAX(0,IF(ISNUMBER(Y347),Y347*60,0)+IF(ISNUMBER(Z347),Z347,0))))</f>
        <v/>
      </c>
      <c r="BA347" s="93" t="str">
        <f aca="false">IF(ISBLANK($C347),"",IF(AA347=Constants!$B$2,TRUE(),IF(AA347=Constants!$B$3,FALSE(),FALSE())))</f>
        <v/>
      </c>
      <c r="BB347" s="92" t="str">
        <f aca="false">IF(ISBLANK($C347),"",AND($AL347,OR($AM347="",$AN347="",AND($AO347,$AP347=""))))</f>
        <v/>
      </c>
      <c r="BC347" s="94" t="str">
        <f aca="false">IF($BX347&lt;&gt;Constants!$B$6,"",IF($AL347,Constants!$B$17*$AN347+Constants!$B$18*IF($AO347,$AP347,Constants!$B$19),Constants!$B$20))</f>
        <v/>
      </c>
      <c r="BD347" s="97" t="str">
        <f aca="false">IF($BX347&lt;&gt;Constants!$B$6,"",Constants!$B$21*ABS($AD$9-IF($AL347,$AM347,0)))</f>
        <v/>
      </c>
      <c r="BE347" s="97" t="str">
        <f aca="false">IF($BX347&lt;&gt;Constants!$B$6,"",IF(AND($AL347,$AQ347,$AO347),Constants!$B$22,0))</f>
        <v/>
      </c>
      <c r="BF347" s="97" t="str">
        <f aca="false">IF($BX347&lt;&gt;Constants!$B$6,"",IF($AL347,($AI347-Constants!$B$24)*Constants!$B$23,0))</f>
        <v/>
      </c>
      <c r="BG347" s="97" t="str">
        <f aca="false">IF($BX347&lt;&gt;Constants!$B$6,"",IF($AK347,0,Constants!$B$12)+IF($AJ347,0,Constants!$B$13)+IF($AH347,0,Constants!$B$14))</f>
        <v/>
      </c>
      <c r="BH347" s="98" t="str">
        <f aca="false">IF($BX347&lt;&gt;Constants!$B$6,"",Constants!$B$16+SUM($BC347:$BG347))</f>
        <v/>
      </c>
      <c r="BI347" s="97" t="str">
        <f aca="false">IF($BX347&lt;&gt;Constants!$B$6,"",$BC347)</f>
        <v/>
      </c>
      <c r="BJ347" s="97" t="str">
        <f aca="false">IF($BX347&lt;&gt;Constants!$B$6,"",$BD347)</f>
        <v/>
      </c>
      <c r="BK347" s="99" t="str">
        <f aca="false">IF($BX347&lt;&gt;Constants!$B$6,"",IF($AL347,$AN347,""))</f>
        <v/>
      </c>
      <c r="BL347" s="93" t="str">
        <f aca="false">IF($BX347&lt;&gt;Constants!$B$6,"",IF(OR($BS347&lt;$BH347,AND($BS347=$BH347,OR($BT347&lt;$BI347,AND($BT347=$BI347,OR($BU347&lt;$BJ347,AND($BU347=$BJ347,AND(ISNUMBER($BV347),OR(NOT(ISNUMBER($BK347)),$BV347&lt;$BK347)))))))),"-&gt;","&lt;-"))</f>
        <v/>
      </c>
      <c r="BM347" s="92" t="str">
        <f aca="false">IF(ISBLANK($C347),"",AND($AT347,OR($AU347="",$AV347="",AND($AW347,$AX347=""))))</f>
        <v/>
      </c>
      <c r="BN347" s="94" t="str">
        <f aca="false">IF($BX347&lt;&gt;Constants!$B$6,"",IF($AT347,Constants!$B$17*$AV347+Constants!$B$18*IF($AW347,$AX347,Constants!$B$19),Constants!$B$20))</f>
        <v/>
      </c>
      <c r="BO347" s="97" t="str">
        <f aca="false">IF($BX347&lt;&gt;Constants!$B$6,"",Constants!$B$21*ABS($AD$9-IF($AT347,$AU347,0)))</f>
        <v/>
      </c>
      <c r="BP347" s="97" t="str">
        <f aca="false">IF($BX347&lt;&gt;Constants!$B$6,"",IF(AND($AT347,$AY347,$AW347),Constants!$B$22,0))</f>
        <v/>
      </c>
      <c r="BQ347" s="97" t="str">
        <f aca="false">IF($BX347&lt;&gt;Constants!$B$6,"",IF($AT347,($AI347-Constants!$B$24)*Constants!$B$23,0))</f>
        <v/>
      </c>
      <c r="BR347" s="97" t="str">
        <f aca="false">IF($BX347&lt;&gt;Constants!$B$6,"",IF($AS347,0,Constants!$B$12)+IF($AR347,0,Constants!$B$13)+IF($AH347,0,Constants!$B$14))</f>
        <v/>
      </c>
      <c r="BS347" s="98" t="str">
        <f aca="false">IF($BX347&lt;&gt;Constants!$B$6,"",Constants!$B$16+SUM($BN347:$BR347))</f>
        <v/>
      </c>
      <c r="BT347" s="97" t="str">
        <f aca="false">IF($BX347&lt;&gt;Constants!$B$6,"",$BN347)</f>
        <v/>
      </c>
      <c r="BU347" s="97" t="str">
        <f aca="false">IF($BX347&lt;&gt;Constants!$B$6,"",$BO347)</f>
        <v/>
      </c>
      <c r="BV347" s="99" t="str">
        <f aca="false">IF($BX347&lt;&gt;Constants!$B$6,"",IF($AT347,$AV347,""))</f>
        <v/>
      </c>
      <c r="BW347" s="93" t="str">
        <f aca="false">IF(ISBLANK($C347),"",IF(ISBLANK($D$7),$BW$5,IF(NOT(ISNUMBER($D$7)),$BW$6,"")))</f>
        <v/>
      </c>
      <c r="BX347" s="93" t="str">
        <f aca="false">IF(ISBLANK($C347),"",IF($BA347,Constants!$B$9,IF(COUNTA($E347:$AA347)=0,Constants!$B$8,IF(NOT($AG347),Constants!$B$7,IF(OR($BW347&lt;&gt;"",$BB347,$BM347),Constants!$B$10,Constants!$B$6)))))</f>
        <v/>
      </c>
      <c r="BY347" s="93" t="str">
        <f aca="false">IF(ISBLANK($C347),"",IF($BX347&lt;&gt;Constants!$B$6,$BX347,Constants!$B$11))</f>
        <v/>
      </c>
      <c r="BZ347" s="97" t="str">
        <f aca="false">IF($BX347&lt;&gt;Constants!$B$6,"",IF($BL347="-&gt;",$BS347,$BH347))</f>
        <v/>
      </c>
      <c r="CA347" s="97" t="str">
        <f aca="false">IF($BX347&lt;&gt;Constants!$B$6,"",IF($AF347,0,Constants!$B$15))</f>
        <v/>
      </c>
      <c r="CB347" s="97" t="str">
        <f aca="false">IF($BX347&lt;&gt;Constants!$B$6,"",((Constants!$B$25-$AZ347)-Constants!$B$25)/Constants!$B$26)</f>
        <v/>
      </c>
      <c r="CC347" s="97" t="str">
        <f aca="false">IF(ISBLANK($C347),"",IF($BX347&lt;&gt;Constants!$B$6,$BX347,SUM($BZ347:$CB347)))</f>
        <v/>
      </c>
      <c r="CD347" s="93" t="str">
        <f aca="false">IF(ISBLANK($C347),"",IF($BX347&lt;&gt;Constants!$B$6,$BX347,RANK($CC347,$CC$9:$CC$508,1)))</f>
        <v/>
      </c>
      <c r="CE347" s="97" t="str">
        <f aca="false">IF($BX347&lt;&gt;Constants!$B$6,"",IF($BL347="-&gt;",$BT347,$BI347))</f>
        <v/>
      </c>
      <c r="CF347" s="93" t="str">
        <f aca="false">IF(ISBLANK($C347),"",IF($BX347&lt;&gt;Constants!$B$6,$BX347,IF(ISNUMBER($CE347),RANK($CE347,$CE$9:$CE$508,1),COUNT($CE$9:$CE$508)+1)))</f>
        <v/>
      </c>
      <c r="CG347" s="97" t="str">
        <f aca="false">IF($BX347&lt;&gt;Constants!$B$6,"",IF($BL347="-&gt;",$BU347,$BJ347))</f>
        <v/>
      </c>
      <c r="CH347" s="93" t="str">
        <f aca="false">IF(ISBLANK($C347),"",IF($BX347&lt;&gt;Constants!$B$6,$BX347,IF(ISNUMBER($CG347),RANK($CG347,$CG$9:$CG$508,1),COUNT($CG$9:$CG$508)+1)))</f>
        <v/>
      </c>
      <c r="CI347" s="97" t="str">
        <f aca="false">IF($BX347&lt;&gt;Constants!$B$6,"",IF($BL347="-&gt;",$BV347,$BK347))</f>
        <v/>
      </c>
      <c r="CJ347" s="93" t="str">
        <f aca="false">IF(ISBLANK($C347),"",IF($BX347&lt;&gt;Constants!$B$6,$BX347,IF(ISNUMBER($CI347),RANK($CI347,$CI$9:$CI$508,1),COUNT($CI$9:$CI$508)+1)))</f>
        <v/>
      </c>
      <c r="CK347" s="97" t="str">
        <f aca="false">IF($BX347&lt;&gt;Constants!$B$6,"",$AI347)</f>
        <v/>
      </c>
      <c r="CL347" s="93" t="str">
        <f aca="false">IF(ISBLANK($C347),"",IF($BX347&lt;&gt;Constants!$B$6,$BX347,IF(ISNUMBER($CK347),RANK($CK347,$CK$9:$CK$508,1),COUNT($CK$9:$CK$508)+1)))</f>
        <v/>
      </c>
      <c r="CM347" s="93" t="str">
        <f aca="false">IF(ISBLANK($C347),"",IF($BX347&lt;&gt;Constants!$B$6,$BX347,COUNTIFS($CD$9:$CD$508,"&lt;"&amp;$CD347)+COUNTIFS($CD$9:$CD$508,$CD347,$CF$9:$CF$508,"&lt;"&amp;$CF347)+COUNTIFS($CD$9:$CD$508,$CD347,$CF$9:$CF$508,$CF347,$CH$9:$CH$508,"&lt;"&amp;$CH347)+COUNTIFS($CD$9:$CD$508,$CD347,$CF$9:$CF$508,$CF347,$CH$9:$CH$508,$CH347,$CJ$9:$CJ$508,"&lt;"&amp;$CJ347)+COUNTIFS($CD$9:$CD$508,$CD347,$CF$9:$CF$508,$CF347,$CH$9:$CH$508,$CH347,$CJ$9:$CJ$508,$CJ347,$CL$9:$CL$508,"&lt;"&amp;$CL347)+1))</f>
        <v/>
      </c>
      <c r="CN347" s="93" t="str">
        <f aca="false">IF(ISBLANK($C347),"",IF($BX347&lt;&gt;Constants!$B$6,$BX347,$CD347-$CM347))</f>
        <v/>
      </c>
      <c r="CO347" s="100"/>
      <c r="CP347" s="101"/>
      <c r="CQ347" s="102" t="str">
        <f aca="false">IF(ISBLANK($C347),"",IF($BX347=Constants!$B$10,$BW347,""))</f>
        <v/>
      </c>
      <c r="CR347" s="101" t="str">
        <f aca="false">IF(ISBLANK($C347),"",IF($BX347&lt;&gt;Constants!$B$6,"",IF($BL347="-&gt;",2,1)))</f>
        <v/>
      </c>
      <c r="CS347" s="103" t="str">
        <f aca="false">IF(ISBLANK($C347),"",IF($BX347&lt;&gt;Constants!$B$6,"",IF($BL347="-&gt;",$BN347,$BC347)))</f>
        <v/>
      </c>
      <c r="CT347" s="103" t="str">
        <f aca="false">IF(ISBLANK($C347),"",IF($BX347&lt;&gt;Constants!$B$6,"",IF($BL347="-&gt;",$BO347,$BD347)))</f>
        <v/>
      </c>
      <c r="CU347" s="103" t="str">
        <f aca="false">IF(ISBLANK($C347),"",IF($BX347&lt;&gt;Constants!$B$6,"",IF($BL347="-&gt;",$BP347+$BQ347,$BE347+$BF347)+$CB347))</f>
        <v/>
      </c>
      <c r="CV347" s="103" t="str">
        <f aca="false">IF(ISBLANK($C347),"",IF($BX347&lt;&gt;Constants!$B$6,"",IF($BL347="-&gt;",$BR347,$BG347)+$CA347))</f>
        <v/>
      </c>
      <c r="CW347" s="104" t="str">
        <f aca="false">IF(ISBLANK($C347),"",IF($BX347&lt;&gt;Constants!$B$6,$BX347,$CC347))</f>
        <v/>
      </c>
      <c r="CX347" s="105" t="str">
        <f aca="false">IF(ISBLANK($C347),"",$BY347)</f>
        <v/>
      </c>
      <c r="CY347" s="106" t="str">
        <f aca="false">IF(ISBLANK($C347),"",$CN347)</f>
        <v/>
      </c>
      <c r="CZ347" s="106" t="str">
        <f aca="false">IF(ISBLANK($C347),"",$CM347)</f>
        <v/>
      </c>
      <c r="DA347" s="107" t="str">
        <f aca="false">IF(ISBLANK($C347),"",IFERROR(_xlfn.SWITCH($CZ347,Constants!$B$9,COUNTA($C$9:$C$508)+2,Constants!$B$8,COUNTA($C$9:$C$508)+1,Constants!$B$7,COUNTA($C$9:$C$508)),$CZ347))</f>
        <v/>
      </c>
      <c r="DB347" s="9"/>
      <c r="DC347" s="108" t="n">
        <f aca="false">IF(OR(ISNUMBER($CZ347),$CZ347=Constants!$B$9,$CZ347=Constants!$B$7,$CZ347=Constants!$B$8),1,0)</f>
        <v>0</v>
      </c>
      <c r="DD347" s="108" t="n">
        <v>339</v>
      </c>
      <c r="DE347" s="108" t="str">
        <f aca="false">IF(ISBLANK($C347),"",IF(ISNUMBER($DA347),$DA347+ROW($B347)/1000,""))</f>
        <v/>
      </c>
      <c r="DF347" s="108" t="str">
        <f aca="false">IF(ISNUMBER($DE347),RANK($DE347,$DE$9:$DE$508,1),"")</f>
        <v/>
      </c>
      <c r="DG347" s="108" t="str">
        <f aca="false">IF(ISBLANK($C347),"",$B347)</f>
        <v/>
      </c>
      <c r="DH347" s="108" t="str">
        <f aca="false">IF(ISBLANK($C347),"",$C347)</f>
        <v/>
      </c>
      <c r="DI347" s="108" t="str">
        <f aca="false">IF(ISBLANK($C347),"",$D347)</f>
        <v/>
      </c>
      <c r="DJ347" s="109" t="str">
        <f aca="false">$CX347</f>
        <v/>
      </c>
      <c r="DK347" s="110" t="str">
        <f aca="false">$CW347</f>
        <v/>
      </c>
      <c r="DL347" s="108" t="str">
        <f aca="false">IF(ISBLANK($C347),"",$CZ347)</f>
        <v/>
      </c>
      <c r="DM347" s="111" t="str">
        <f aca="false">IF($DD347&gt;$DC$8,"",VLOOKUP($DD347,$DF$9:$DL$508,7,FALSE()))</f>
        <v/>
      </c>
      <c r="DN347" s="112" t="str">
        <f aca="false">IF($DD347&gt;$DC$8,"",VLOOKUP($DD347,$DF$9:$DL$508,2,FALSE()))</f>
        <v/>
      </c>
      <c r="DO347" s="112" t="str">
        <f aca="false">IF($DD347&gt;$DC$8,"",VLOOKUP($DD347,$DF$9:$DL$508,3,FALSE()))</f>
        <v/>
      </c>
      <c r="DP347" s="112" t="str">
        <f aca="false">IF($DD347&gt;$DC$8,"",VLOOKUP($DD347,$DF$9:$DL$508,4,FALSE()))</f>
        <v/>
      </c>
      <c r="DQ347" s="112" t="str">
        <f aca="false">IF($DD347&gt;$DC$8,"",VLOOKUP($DD347,$DF$9:$DL$508,5,FALSE()))</f>
        <v/>
      </c>
      <c r="DR347" s="113" t="str">
        <f aca="false">IF($DD347&gt;$DC$8,"",VLOOKUP($DD347,$DF$9:$DL$508,6,FALSE()))</f>
        <v/>
      </c>
      <c r="DS347" s="76"/>
    </row>
    <row r="348" customFormat="false" ht="15.75" hidden="false" customHeight="false" outlineLevel="0" collapsed="false">
      <c r="A348" s="9"/>
      <c r="B348" s="160"/>
      <c r="C348" s="161"/>
      <c r="D348" s="162"/>
      <c r="E348" s="180"/>
      <c r="F348" s="164"/>
      <c r="G348" s="165"/>
      <c r="H348" s="165"/>
      <c r="I348" s="181"/>
      <c r="J348" s="168"/>
      <c r="K348" s="128"/>
      <c r="L348" s="129"/>
      <c r="M348" s="130"/>
      <c r="N348" s="168"/>
      <c r="O348" s="168"/>
      <c r="P348" s="180"/>
      <c r="Q348" s="168"/>
      <c r="R348" s="168"/>
      <c r="S348" s="128"/>
      <c r="T348" s="130"/>
      <c r="U348" s="130"/>
      <c r="V348" s="168"/>
      <c r="W348" s="168"/>
      <c r="X348" s="180"/>
      <c r="Y348" s="168"/>
      <c r="Z348" s="169"/>
      <c r="AA348" s="168"/>
      <c r="AB348" s="134"/>
      <c r="AC348" s="135"/>
      <c r="AD348" s="135"/>
      <c r="AE348" s="135"/>
      <c r="AF348" s="135" t="str">
        <f aca="false">IF(ISBLANK($C348),"",IF(E348=Constants!$B$2,TRUE(),IF(E348=Constants!$B$3,FALSE(),TRUE())))</f>
        <v/>
      </c>
      <c r="AG348" s="135" t="str">
        <f aca="false">IF(ISBLANK($C348),"",IF(F348=Constants!$B$2,TRUE(),IF(F348=Constants!$B$3,FALSE(),TRUE())))</f>
        <v/>
      </c>
      <c r="AH348" s="135" t="str">
        <f aca="false">IF(ISBLANK($C348),"",IF(G348=Constants!$B$2,TRUE(),IF(G348=Constants!$B$3,FALSE(),TRUE())))</f>
        <v/>
      </c>
      <c r="AI348" s="135" t="str">
        <f aca="false">IF(ISBLANK($C348),"",IF(AND(ISNUMBER(H348),H348&gt;=0),H348,Constants!$B$24))</f>
        <v/>
      </c>
      <c r="AJ348" s="135" t="str">
        <f aca="false">IF(ISBLANK($C348),"",IF(I348=Constants!$B$2,TRUE(),IF(I348=Constants!$B$3,FALSE(),TRUE())))</f>
        <v/>
      </c>
      <c r="AK348" s="135" t="str">
        <f aca="false">IF(ISBLANK($C348),"",IF(J348=Constants!$B$2,TRUE(),IF(J348=Constants!$B$3,FALSE(),TRUE())))</f>
        <v/>
      </c>
      <c r="AL348" s="135" t="str">
        <f aca="false">IF(ISBLANK($C348),"",IF(K348=Constants!$B$4,TRUE(),IF(K348=Constants!$B$5,FALSE(),COUNTA(L348:P348)&gt;0)))</f>
        <v/>
      </c>
      <c r="AM348" s="136" t="str">
        <f aca="false">IF(ISBLANK($C348),"",IF(ISNUMBER(L348),IF(L348&gt;=0,L348,""),""))</f>
        <v/>
      </c>
      <c r="AN348" s="137" t="str">
        <f aca="false">IF(ISBLANK($C348),"",IF(ISNUMBER(M348),IF(M348&gt;=0,M348,""),""))</f>
        <v/>
      </c>
      <c r="AO348" s="137" t="str">
        <f aca="false">IF(ISBLANK($C348),"",IF(N348=Constants!$B$2,TRUE(),IF(N348=Constants!$B$3,FALSE(),TRUE())))</f>
        <v/>
      </c>
      <c r="AP348" s="135" t="str">
        <f aca="false">IF(ISBLANK($C348),"",IF(ISNUMBER(O348),IF(O348&gt;=0,O348,""),""))</f>
        <v/>
      </c>
      <c r="AQ348" s="135" t="str">
        <f aca="false">IF(ISBLANK($C348),"",IF(P348=Constants!$B$2,TRUE(),IF(P348=Constants!$B$3,FALSE(),FALSE())))</f>
        <v/>
      </c>
      <c r="AR348" s="135" t="str">
        <f aca="false">IF(ISBLANK($C348),"",IF(Q348=Constants!$B$2,TRUE(),IF(Q348=Constants!$B$3,FALSE(),TRUE())))</f>
        <v/>
      </c>
      <c r="AS348" s="135" t="str">
        <f aca="false">IF(ISBLANK($C348),"",IF(R348=Constants!$B$2,TRUE(),IF(R348=Constants!$B$3,FALSE(),TRUE())))</f>
        <v/>
      </c>
      <c r="AT348" s="135" t="str">
        <f aca="false">IF(ISBLANK($C348),"",IF(S348=Constants!$B$4,TRUE(),IF(S348=Constants!$B$5,FALSE(),COUNTA(T348:X348)&gt;0)))</f>
        <v/>
      </c>
      <c r="AU348" s="136" t="str">
        <f aca="false">IF(ISBLANK($C348),"",IF(ISNUMBER(T348),IF(T348&gt;=0,T348,""),""))</f>
        <v/>
      </c>
      <c r="AV348" s="137" t="str">
        <f aca="false">IF(ISBLANK($C348),"",IF(ISNUMBER(U348),IF(U348&gt;=0,U348,""),""))</f>
        <v/>
      </c>
      <c r="AW348" s="137" t="str">
        <f aca="false">IF(ISBLANK($C348),"",IF(V348=Constants!$B$2,TRUE(),IF(V348=Constants!$B$3,FALSE(),TRUE())))</f>
        <v/>
      </c>
      <c r="AX348" s="135" t="str">
        <f aca="false">IF(ISBLANK($C348),"",IF(ISNUMBER(W348),IF(W348&gt;=0,W348,""),""))</f>
        <v/>
      </c>
      <c r="AY348" s="135" t="str">
        <f aca="false">IF(ISBLANK($C348),"",IF(X348=Constants!$B$2,TRUE(),IF(X348=Constants!$B$3,FALSE(),FALSE())))</f>
        <v/>
      </c>
      <c r="AZ348" s="135" t="str">
        <f aca="false">IF(ISBLANK($C348),"",MIN(Constants!$B$25,MAX(0,IF(ISNUMBER(Y348),Y348*60,0)+IF(ISNUMBER(Z348),Z348,0))))</f>
        <v/>
      </c>
      <c r="BA348" s="135" t="str">
        <f aca="false">IF(ISBLANK($C348),"",IF(AA348=Constants!$B$2,TRUE(),IF(AA348=Constants!$B$3,FALSE(),FALSE())))</f>
        <v/>
      </c>
      <c r="BB348" s="134" t="str">
        <f aca="false">IF(ISBLANK($C348),"",AND($AL348,OR($AM348="",$AN348="",AND($AO348,$AP348=""))))</f>
        <v/>
      </c>
      <c r="BC348" s="137" t="str">
        <f aca="false">IF($BX348&lt;&gt;Constants!$B$6,"",IF($AL348,Constants!$B$17*$AN348+Constants!$B$18*IF($AO348,$AP348,Constants!$B$19),Constants!$B$20))</f>
        <v/>
      </c>
      <c r="BD348" s="138" t="str">
        <f aca="false">IF($BX348&lt;&gt;Constants!$B$6,"",Constants!$B$21*ABS($AD$9-IF($AL348,$AM348,0)))</f>
        <v/>
      </c>
      <c r="BE348" s="138" t="str">
        <f aca="false">IF($BX348&lt;&gt;Constants!$B$6,"",IF(AND($AL348,$AQ348,$AO348),Constants!$B$22,0))</f>
        <v/>
      </c>
      <c r="BF348" s="138" t="str">
        <f aca="false">IF($BX348&lt;&gt;Constants!$B$6,"",IF($AL348,($AI348-Constants!$B$24)*Constants!$B$23,0))</f>
        <v/>
      </c>
      <c r="BG348" s="138" t="str">
        <f aca="false">IF($BX348&lt;&gt;Constants!$B$6,"",IF($AK348,0,Constants!$B$12)+IF($AJ348,0,Constants!$B$13)+IF($AH348,0,Constants!$B$14))</f>
        <v/>
      </c>
      <c r="BH348" s="139" t="str">
        <f aca="false">IF($BX348&lt;&gt;Constants!$B$6,"",Constants!$B$16+SUM($BC348:$BG348))</f>
        <v/>
      </c>
      <c r="BI348" s="138" t="str">
        <f aca="false">IF($BX348&lt;&gt;Constants!$B$6,"",$BC348)</f>
        <v/>
      </c>
      <c r="BJ348" s="138" t="str">
        <f aca="false">IF($BX348&lt;&gt;Constants!$B$6,"",$BD348)</f>
        <v/>
      </c>
      <c r="BK348" s="140" t="str">
        <f aca="false">IF($BX348&lt;&gt;Constants!$B$6,"",IF($AL348,$AN348,""))</f>
        <v/>
      </c>
      <c r="BL348" s="135" t="str">
        <f aca="false">IF($BX348&lt;&gt;Constants!$B$6,"",IF(OR($BS348&lt;$BH348,AND($BS348=$BH348,OR($BT348&lt;$BI348,AND($BT348=$BI348,OR($BU348&lt;$BJ348,AND($BU348=$BJ348,AND(ISNUMBER($BV348),OR(NOT(ISNUMBER($BK348)),$BV348&lt;$BK348)))))))),"-&gt;","&lt;-"))</f>
        <v/>
      </c>
      <c r="BM348" s="134" t="str">
        <f aca="false">IF(ISBLANK($C348),"",AND($AT348,OR($AU348="",$AV348="",AND($AW348,$AX348=""))))</f>
        <v/>
      </c>
      <c r="BN348" s="137" t="str">
        <f aca="false">IF($BX348&lt;&gt;Constants!$B$6,"",IF($AT348,Constants!$B$17*$AV348+Constants!$B$18*IF($AW348,$AX348,Constants!$B$19),Constants!$B$20))</f>
        <v/>
      </c>
      <c r="BO348" s="138" t="str">
        <f aca="false">IF($BX348&lt;&gt;Constants!$B$6,"",Constants!$B$21*ABS($AD$9-IF($AT348,$AU348,0)))</f>
        <v/>
      </c>
      <c r="BP348" s="138" t="str">
        <f aca="false">IF($BX348&lt;&gt;Constants!$B$6,"",IF(AND($AT348,$AY348,$AW348),Constants!$B$22,0))</f>
        <v/>
      </c>
      <c r="BQ348" s="138" t="str">
        <f aca="false">IF($BX348&lt;&gt;Constants!$B$6,"",IF($AT348,($AI348-Constants!$B$24)*Constants!$B$23,0))</f>
        <v/>
      </c>
      <c r="BR348" s="138" t="str">
        <f aca="false">IF($BX348&lt;&gt;Constants!$B$6,"",IF($AS348,0,Constants!$B$12)+IF($AR348,0,Constants!$B$13)+IF($AH348,0,Constants!$B$14))</f>
        <v/>
      </c>
      <c r="BS348" s="139" t="str">
        <f aca="false">IF($BX348&lt;&gt;Constants!$B$6,"",Constants!$B$16+SUM($BN348:$BR348))</f>
        <v/>
      </c>
      <c r="BT348" s="138" t="str">
        <f aca="false">IF($BX348&lt;&gt;Constants!$B$6,"",$BN348)</f>
        <v/>
      </c>
      <c r="BU348" s="138" t="str">
        <f aca="false">IF($BX348&lt;&gt;Constants!$B$6,"",$BO348)</f>
        <v/>
      </c>
      <c r="BV348" s="140" t="str">
        <f aca="false">IF($BX348&lt;&gt;Constants!$B$6,"",IF($AT348,$AV348,""))</f>
        <v/>
      </c>
      <c r="BW348" s="135" t="str">
        <f aca="false">IF(ISBLANK($C348),"",IF(ISBLANK($D$7),$BW$5,IF(NOT(ISNUMBER($D$7)),$BW$6,"")))</f>
        <v/>
      </c>
      <c r="BX348" s="135" t="str">
        <f aca="false">IF(ISBLANK($C348),"",IF($BA348,Constants!$B$9,IF(COUNTA($E348:$AA348)=0,Constants!$B$8,IF(NOT($AG348),Constants!$B$7,IF(OR($BW348&lt;&gt;"",$BB348,$BM348),Constants!$B$10,Constants!$B$6)))))</f>
        <v/>
      </c>
      <c r="BY348" s="135" t="str">
        <f aca="false">IF(ISBLANK($C348),"",IF($BX348&lt;&gt;Constants!$B$6,$BX348,Constants!$B$11))</f>
        <v/>
      </c>
      <c r="BZ348" s="138" t="str">
        <f aca="false">IF($BX348&lt;&gt;Constants!$B$6,"",IF($BL348="-&gt;",$BS348,$BH348))</f>
        <v/>
      </c>
      <c r="CA348" s="138" t="str">
        <f aca="false">IF($BX348&lt;&gt;Constants!$B$6,"",IF($AF348,0,Constants!$B$15))</f>
        <v/>
      </c>
      <c r="CB348" s="138" t="str">
        <f aca="false">IF($BX348&lt;&gt;Constants!$B$6,"",((Constants!$B$25-$AZ348)-Constants!$B$25)/Constants!$B$26)</f>
        <v/>
      </c>
      <c r="CC348" s="138" t="str">
        <f aca="false">IF(ISBLANK($C348),"",IF($BX348&lt;&gt;Constants!$B$6,$BX348,SUM($BZ348:$CB348)))</f>
        <v/>
      </c>
      <c r="CD348" s="135" t="str">
        <f aca="false">IF(ISBLANK($C348),"",IF($BX348&lt;&gt;Constants!$B$6,$BX348,RANK($CC348,$CC$9:$CC$508,1)))</f>
        <v/>
      </c>
      <c r="CE348" s="138" t="str">
        <f aca="false">IF($BX348&lt;&gt;Constants!$B$6,"",IF($BL348="-&gt;",$BT348,$BI348))</f>
        <v/>
      </c>
      <c r="CF348" s="135" t="str">
        <f aca="false">IF(ISBLANK($C348),"",IF($BX348&lt;&gt;Constants!$B$6,$BX348,IF(ISNUMBER($CE348),RANK($CE348,$CE$9:$CE$508,1),COUNT($CE$9:$CE$508)+1)))</f>
        <v/>
      </c>
      <c r="CG348" s="138" t="str">
        <f aca="false">IF($BX348&lt;&gt;Constants!$B$6,"",IF($BL348="-&gt;",$BU348,$BJ348))</f>
        <v/>
      </c>
      <c r="CH348" s="135" t="str">
        <f aca="false">IF(ISBLANK($C348),"",IF($BX348&lt;&gt;Constants!$B$6,$BX348,IF(ISNUMBER($CG348),RANK($CG348,$CG$9:$CG$508,1),COUNT($CG$9:$CG$508)+1)))</f>
        <v/>
      </c>
      <c r="CI348" s="138" t="str">
        <f aca="false">IF($BX348&lt;&gt;Constants!$B$6,"",IF($BL348="-&gt;",$BV348,$BK348))</f>
        <v/>
      </c>
      <c r="CJ348" s="135" t="str">
        <f aca="false">IF(ISBLANK($C348),"",IF($BX348&lt;&gt;Constants!$B$6,$BX348,IF(ISNUMBER($CI348),RANK($CI348,$CI$9:$CI$508,1),COUNT($CI$9:$CI$508)+1)))</f>
        <v/>
      </c>
      <c r="CK348" s="138" t="str">
        <f aca="false">IF($BX348&lt;&gt;Constants!$B$6,"",$AI348)</f>
        <v/>
      </c>
      <c r="CL348" s="135" t="str">
        <f aca="false">IF(ISBLANK($C348),"",IF($BX348&lt;&gt;Constants!$B$6,$BX348,IF(ISNUMBER($CK348),RANK($CK348,$CK$9:$CK$508,1),COUNT($CK$9:$CK$508)+1)))</f>
        <v/>
      </c>
      <c r="CM348" s="135" t="str">
        <f aca="false">IF(ISBLANK($C348),"",IF($BX348&lt;&gt;Constants!$B$6,$BX348,COUNTIFS($CD$9:$CD$508,"&lt;"&amp;$CD348)+COUNTIFS($CD$9:$CD$508,$CD348,$CF$9:$CF$508,"&lt;"&amp;$CF348)+COUNTIFS($CD$9:$CD$508,$CD348,$CF$9:$CF$508,$CF348,$CH$9:$CH$508,"&lt;"&amp;$CH348)+COUNTIFS($CD$9:$CD$508,$CD348,$CF$9:$CF$508,$CF348,$CH$9:$CH$508,$CH348,$CJ$9:$CJ$508,"&lt;"&amp;$CJ348)+COUNTIFS($CD$9:$CD$508,$CD348,$CF$9:$CF$508,$CF348,$CH$9:$CH$508,$CH348,$CJ$9:$CJ$508,$CJ348,$CL$9:$CL$508,"&lt;"&amp;$CL348)+1))</f>
        <v/>
      </c>
      <c r="CN348" s="135" t="str">
        <f aca="false">IF(ISBLANK($C348),"",IF($BX348&lt;&gt;Constants!$B$6,$BX348,$CD348-$CM348))</f>
        <v/>
      </c>
      <c r="CO348" s="141"/>
      <c r="CP348" s="142"/>
      <c r="CQ348" s="143" t="str">
        <f aca="false">IF(ISBLANK($C348),"",IF($BX348=Constants!$B$10,$BW348,""))</f>
        <v/>
      </c>
      <c r="CR348" s="142" t="str">
        <f aca="false">IF(ISBLANK($C348),"",IF($BX348&lt;&gt;Constants!$B$6,"",IF($BL348="-&gt;",2,1)))</f>
        <v/>
      </c>
      <c r="CS348" s="144" t="str">
        <f aca="false">IF(ISBLANK($C348),"",IF($BX348&lt;&gt;Constants!$B$6,"",IF($BL348="-&gt;",$BN348,$BC348)))</f>
        <v/>
      </c>
      <c r="CT348" s="144" t="str">
        <f aca="false">IF(ISBLANK($C348),"",IF($BX348&lt;&gt;Constants!$B$6,"",IF($BL348="-&gt;",$BO348,$BD348)))</f>
        <v/>
      </c>
      <c r="CU348" s="144" t="str">
        <f aca="false">IF(ISBLANK($C348),"",IF($BX348&lt;&gt;Constants!$B$6,"",IF($BL348="-&gt;",$BP348+$BQ348,$BE348+$BF348)+$CB348))</f>
        <v/>
      </c>
      <c r="CV348" s="144" t="str">
        <f aca="false">IF(ISBLANK($C348),"",IF($BX348&lt;&gt;Constants!$B$6,"",IF($BL348="-&gt;",$BR348,$BG348)+$CA348))</f>
        <v/>
      </c>
      <c r="CW348" s="145" t="str">
        <f aca="false">IF(ISBLANK($C348),"",IF($BX348&lt;&gt;Constants!$B$6,$BX348,$CC348))</f>
        <v/>
      </c>
      <c r="CX348" s="146" t="str">
        <f aca="false">IF(ISBLANK($C348),"",$BY348)</f>
        <v/>
      </c>
      <c r="CY348" s="147" t="str">
        <f aca="false">IF(ISBLANK($C348),"",$CN348)</f>
        <v/>
      </c>
      <c r="CZ348" s="147" t="str">
        <f aca="false">IF(ISBLANK($C348),"",$CM348)</f>
        <v/>
      </c>
      <c r="DA348" s="148" t="str">
        <f aca="false">IF(ISBLANK($C348),"",IFERROR(_xlfn.SWITCH($CZ348,Constants!$B$9,COUNTA($C$9:$C$508)+2,Constants!$B$8,COUNTA($C$9:$C$508)+1,Constants!$B$7,COUNTA($C$9:$C$508)),$CZ348))</f>
        <v/>
      </c>
      <c r="DB348" s="9"/>
      <c r="DC348" s="149" t="n">
        <f aca="false">IF(OR(ISNUMBER($CZ348),$CZ348=Constants!$B$9,$CZ348=Constants!$B$7,$CZ348=Constants!$B$8),1,0)</f>
        <v>0</v>
      </c>
      <c r="DD348" s="149" t="n">
        <v>340</v>
      </c>
      <c r="DE348" s="149" t="str">
        <f aca="false">IF(ISBLANK($C348),"",IF(ISNUMBER($DA348),$DA348+ROW($B348)/1000,""))</f>
        <v/>
      </c>
      <c r="DF348" s="149" t="str">
        <f aca="false">IF(ISNUMBER($DE348),RANK($DE348,$DE$9:$DE$508,1),"")</f>
        <v/>
      </c>
      <c r="DG348" s="149" t="str">
        <f aca="false">IF(ISBLANK($C348),"",$B348)</f>
        <v/>
      </c>
      <c r="DH348" s="149" t="str">
        <f aca="false">IF(ISBLANK($C348),"",$C348)</f>
        <v/>
      </c>
      <c r="DI348" s="149" t="str">
        <f aca="false">IF(ISBLANK($C348),"",$D348)</f>
        <v/>
      </c>
      <c r="DJ348" s="150" t="str">
        <f aca="false">$CX348</f>
        <v/>
      </c>
      <c r="DK348" s="151" t="str">
        <f aca="false">$CW348</f>
        <v/>
      </c>
      <c r="DL348" s="149" t="str">
        <f aca="false">IF(ISBLANK($C348),"",$CZ348)</f>
        <v/>
      </c>
      <c r="DM348" s="152" t="str">
        <f aca="false">IF($DD348&gt;$DC$8,"",VLOOKUP($DD348,$DF$9:$DL$508,7,FALSE()))</f>
        <v/>
      </c>
      <c r="DN348" s="153" t="str">
        <f aca="false">IF($DD348&gt;$DC$8,"",VLOOKUP($DD348,$DF$9:$DL$508,2,FALSE()))</f>
        <v/>
      </c>
      <c r="DO348" s="153" t="str">
        <f aca="false">IF($DD348&gt;$DC$8,"",VLOOKUP($DD348,$DF$9:$DL$508,3,FALSE()))</f>
        <v/>
      </c>
      <c r="DP348" s="153" t="str">
        <f aca="false">IF($DD348&gt;$DC$8,"",VLOOKUP($DD348,$DF$9:$DL$508,4,FALSE()))</f>
        <v/>
      </c>
      <c r="DQ348" s="153" t="str">
        <f aca="false">IF($DD348&gt;$DC$8,"",VLOOKUP($DD348,$DF$9:$DL$508,5,FALSE()))</f>
        <v/>
      </c>
      <c r="DR348" s="154" t="str">
        <f aca="false">IF($DD348&gt;$DC$8,"",VLOOKUP($DD348,$DF$9:$DL$508,6,FALSE()))</f>
        <v/>
      </c>
      <c r="DS348" s="76"/>
    </row>
    <row r="349" customFormat="false" ht="15.75" hidden="false" customHeight="false" outlineLevel="0" collapsed="false">
      <c r="A349" s="9"/>
      <c r="B349" s="160"/>
      <c r="C349" s="161"/>
      <c r="D349" s="162"/>
      <c r="E349" s="180"/>
      <c r="F349" s="164"/>
      <c r="G349" s="165"/>
      <c r="H349" s="165"/>
      <c r="I349" s="181"/>
      <c r="J349" s="168"/>
      <c r="K349" s="128"/>
      <c r="L349" s="129"/>
      <c r="M349" s="130"/>
      <c r="N349" s="168"/>
      <c r="O349" s="168"/>
      <c r="P349" s="180"/>
      <c r="Q349" s="168"/>
      <c r="R349" s="168"/>
      <c r="S349" s="128"/>
      <c r="T349" s="130"/>
      <c r="U349" s="130"/>
      <c r="V349" s="168"/>
      <c r="W349" s="168"/>
      <c r="X349" s="180"/>
      <c r="Y349" s="168"/>
      <c r="Z349" s="169"/>
      <c r="AA349" s="168"/>
      <c r="AB349" s="134"/>
      <c r="AC349" s="135"/>
      <c r="AD349" s="135"/>
      <c r="AE349" s="135"/>
      <c r="AF349" s="135" t="str">
        <f aca="false">IF(ISBLANK($C349),"",IF(E349=Constants!$B$2,TRUE(),IF(E349=Constants!$B$3,FALSE(),TRUE())))</f>
        <v/>
      </c>
      <c r="AG349" s="135" t="str">
        <f aca="false">IF(ISBLANK($C349),"",IF(F349=Constants!$B$2,TRUE(),IF(F349=Constants!$B$3,FALSE(),TRUE())))</f>
        <v/>
      </c>
      <c r="AH349" s="135" t="str">
        <f aca="false">IF(ISBLANK($C349),"",IF(G349=Constants!$B$2,TRUE(),IF(G349=Constants!$B$3,FALSE(),TRUE())))</f>
        <v/>
      </c>
      <c r="AI349" s="135" t="str">
        <f aca="false">IF(ISBLANK($C349),"",IF(AND(ISNUMBER(H349),H349&gt;=0),H349,Constants!$B$24))</f>
        <v/>
      </c>
      <c r="AJ349" s="135" t="str">
        <f aca="false">IF(ISBLANK($C349),"",IF(I349=Constants!$B$2,TRUE(),IF(I349=Constants!$B$3,FALSE(),TRUE())))</f>
        <v/>
      </c>
      <c r="AK349" s="135" t="str">
        <f aca="false">IF(ISBLANK($C349),"",IF(J349=Constants!$B$2,TRUE(),IF(J349=Constants!$B$3,FALSE(),TRUE())))</f>
        <v/>
      </c>
      <c r="AL349" s="135" t="str">
        <f aca="false">IF(ISBLANK($C349),"",IF(K349=Constants!$B$4,TRUE(),IF(K349=Constants!$B$5,FALSE(),COUNTA(L349:P349)&gt;0)))</f>
        <v/>
      </c>
      <c r="AM349" s="136" t="str">
        <f aca="false">IF(ISBLANK($C349),"",IF(ISNUMBER(L349),IF(L349&gt;=0,L349,""),""))</f>
        <v/>
      </c>
      <c r="AN349" s="137" t="str">
        <f aca="false">IF(ISBLANK($C349),"",IF(ISNUMBER(M349),IF(M349&gt;=0,M349,""),""))</f>
        <v/>
      </c>
      <c r="AO349" s="137" t="str">
        <f aca="false">IF(ISBLANK($C349),"",IF(N349=Constants!$B$2,TRUE(),IF(N349=Constants!$B$3,FALSE(),TRUE())))</f>
        <v/>
      </c>
      <c r="AP349" s="135" t="str">
        <f aca="false">IF(ISBLANK($C349),"",IF(ISNUMBER(O349),IF(O349&gt;=0,O349,""),""))</f>
        <v/>
      </c>
      <c r="AQ349" s="135" t="str">
        <f aca="false">IF(ISBLANK($C349),"",IF(P349=Constants!$B$2,TRUE(),IF(P349=Constants!$B$3,FALSE(),FALSE())))</f>
        <v/>
      </c>
      <c r="AR349" s="135" t="str">
        <f aca="false">IF(ISBLANK($C349),"",IF(Q349=Constants!$B$2,TRUE(),IF(Q349=Constants!$B$3,FALSE(),TRUE())))</f>
        <v/>
      </c>
      <c r="AS349" s="135" t="str">
        <f aca="false">IF(ISBLANK($C349),"",IF(R349=Constants!$B$2,TRUE(),IF(R349=Constants!$B$3,FALSE(),TRUE())))</f>
        <v/>
      </c>
      <c r="AT349" s="135" t="str">
        <f aca="false">IF(ISBLANK($C349),"",IF(S349=Constants!$B$4,TRUE(),IF(S349=Constants!$B$5,FALSE(),COUNTA(T349:X349)&gt;0)))</f>
        <v/>
      </c>
      <c r="AU349" s="136" t="str">
        <f aca="false">IF(ISBLANK($C349),"",IF(ISNUMBER(T349),IF(T349&gt;=0,T349,""),""))</f>
        <v/>
      </c>
      <c r="AV349" s="137" t="str">
        <f aca="false">IF(ISBLANK($C349),"",IF(ISNUMBER(U349),IF(U349&gt;=0,U349,""),""))</f>
        <v/>
      </c>
      <c r="AW349" s="137" t="str">
        <f aca="false">IF(ISBLANK($C349),"",IF(V349=Constants!$B$2,TRUE(),IF(V349=Constants!$B$3,FALSE(),TRUE())))</f>
        <v/>
      </c>
      <c r="AX349" s="135" t="str">
        <f aca="false">IF(ISBLANK($C349),"",IF(ISNUMBER(W349),IF(W349&gt;=0,W349,""),""))</f>
        <v/>
      </c>
      <c r="AY349" s="135" t="str">
        <f aca="false">IF(ISBLANK($C349),"",IF(X349=Constants!$B$2,TRUE(),IF(X349=Constants!$B$3,FALSE(),FALSE())))</f>
        <v/>
      </c>
      <c r="AZ349" s="135" t="str">
        <f aca="false">IF(ISBLANK($C349),"",MIN(Constants!$B$25,MAX(0,IF(ISNUMBER(Y349),Y349*60,0)+IF(ISNUMBER(Z349),Z349,0))))</f>
        <v/>
      </c>
      <c r="BA349" s="135" t="str">
        <f aca="false">IF(ISBLANK($C349),"",IF(AA349=Constants!$B$2,TRUE(),IF(AA349=Constants!$B$3,FALSE(),FALSE())))</f>
        <v/>
      </c>
      <c r="BB349" s="134" t="str">
        <f aca="false">IF(ISBLANK($C349),"",AND($AL349,OR($AM349="",$AN349="",AND($AO349,$AP349=""))))</f>
        <v/>
      </c>
      <c r="BC349" s="137" t="str">
        <f aca="false">IF($BX349&lt;&gt;Constants!$B$6,"",IF($AL349,Constants!$B$17*$AN349+Constants!$B$18*IF($AO349,$AP349,Constants!$B$19),Constants!$B$20))</f>
        <v/>
      </c>
      <c r="BD349" s="138" t="str">
        <f aca="false">IF($BX349&lt;&gt;Constants!$B$6,"",Constants!$B$21*ABS($AD$9-IF($AL349,$AM349,0)))</f>
        <v/>
      </c>
      <c r="BE349" s="138" t="str">
        <f aca="false">IF($BX349&lt;&gt;Constants!$B$6,"",IF(AND($AL349,$AQ349,$AO349),Constants!$B$22,0))</f>
        <v/>
      </c>
      <c r="BF349" s="138" t="str">
        <f aca="false">IF($BX349&lt;&gt;Constants!$B$6,"",IF($AL349,($AI349-Constants!$B$24)*Constants!$B$23,0))</f>
        <v/>
      </c>
      <c r="BG349" s="138" t="str">
        <f aca="false">IF($BX349&lt;&gt;Constants!$B$6,"",IF($AK349,0,Constants!$B$12)+IF($AJ349,0,Constants!$B$13)+IF($AH349,0,Constants!$B$14))</f>
        <v/>
      </c>
      <c r="BH349" s="139" t="str">
        <f aca="false">IF($BX349&lt;&gt;Constants!$B$6,"",Constants!$B$16+SUM($BC349:$BG349))</f>
        <v/>
      </c>
      <c r="BI349" s="138" t="str">
        <f aca="false">IF($BX349&lt;&gt;Constants!$B$6,"",$BC349)</f>
        <v/>
      </c>
      <c r="BJ349" s="138" t="str">
        <f aca="false">IF($BX349&lt;&gt;Constants!$B$6,"",$BD349)</f>
        <v/>
      </c>
      <c r="BK349" s="140" t="str">
        <f aca="false">IF($BX349&lt;&gt;Constants!$B$6,"",IF($AL349,$AN349,""))</f>
        <v/>
      </c>
      <c r="BL349" s="135" t="str">
        <f aca="false">IF($BX349&lt;&gt;Constants!$B$6,"",IF(OR($BS349&lt;$BH349,AND($BS349=$BH349,OR($BT349&lt;$BI349,AND($BT349=$BI349,OR($BU349&lt;$BJ349,AND($BU349=$BJ349,AND(ISNUMBER($BV349),OR(NOT(ISNUMBER($BK349)),$BV349&lt;$BK349)))))))),"-&gt;","&lt;-"))</f>
        <v/>
      </c>
      <c r="BM349" s="134" t="str">
        <f aca="false">IF(ISBLANK($C349),"",AND($AT349,OR($AU349="",$AV349="",AND($AW349,$AX349=""))))</f>
        <v/>
      </c>
      <c r="BN349" s="137" t="str">
        <f aca="false">IF($BX349&lt;&gt;Constants!$B$6,"",IF($AT349,Constants!$B$17*$AV349+Constants!$B$18*IF($AW349,$AX349,Constants!$B$19),Constants!$B$20))</f>
        <v/>
      </c>
      <c r="BO349" s="138" t="str">
        <f aca="false">IF($BX349&lt;&gt;Constants!$B$6,"",Constants!$B$21*ABS($AD$9-IF($AT349,$AU349,0)))</f>
        <v/>
      </c>
      <c r="BP349" s="138" t="str">
        <f aca="false">IF($BX349&lt;&gt;Constants!$B$6,"",IF(AND($AT349,$AY349,$AW349),Constants!$B$22,0))</f>
        <v/>
      </c>
      <c r="BQ349" s="138" t="str">
        <f aca="false">IF($BX349&lt;&gt;Constants!$B$6,"",IF($AT349,($AI349-Constants!$B$24)*Constants!$B$23,0))</f>
        <v/>
      </c>
      <c r="BR349" s="138" t="str">
        <f aca="false">IF($BX349&lt;&gt;Constants!$B$6,"",IF($AS349,0,Constants!$B$12)+IF($AR349,0,Constants!$B$13)+IF($AH349,0,Constants!$B$14))</f>
        <v/>
      </c>
      <c r="BS349" s="139" t="str">
        <f aca="false">IF($BX349&lt;&gt;Constants!$B$6,"",Constants!$B$16+SUM($BN349:$BR349))</f>
        <v/>
      </c>
      <c r="BT349" s="138" t="str">
        <f aca="false">IF($BX349&lt;&gt;Constants!$B$6,"",$BN349)</f>
        <v/>
      </c>
      <c r="BU349" s="138" t="str">
        <f aca="false">IF($BX349&lt;&gt;Constants!$B$6,"",$BO349)</f>
        <v/>
      </c>
      <c r="BV349" s="140" t="str">
        <f aca="false">IF($BX349&lt;&gt;Constants!$B$6,"",IF($AT349,$AV349,""))</f>
        <v/>
      </c>
      <c r="BW349" s="135" t="str">
        <f aca="false">IF(ISBLANK($C349),"",IF(ISBLANK($D$7),$BW$5,IF(NOT(ISNUMBER($D$7)),$BW$6,"")))</f>
        <v/>
      </c>
      <c r="BX349" s="135" t="str">
        <f aca="false">IF(ISBLANK($C349),"",IF($BA349,Constants!$B$9,IF(COUNTA($E349:$AA349)=0,Constants!$B$8,IF(NOT($AG349),Constants!$B$7,IF(OR($BW349&lt;&gt;"",$BB349,$BM349),Constants!$B$10,Constants!$B$6)))))</f>
        <v/>
      </c>
      <c r="BY349" s="135" t="str">
        <f aca="false">IF(ISBLANK($C349),"",IF($BX349&lt;&gt;Constants!$B$6,$BX349,Constants!$B$11))</f>
        <v/>
      </c>
      <c r="BZ349" s="138" t="str">
        <f aca="false">IF($BX349&lt;&gt;Constants!$B$6,"",IF($BL349="-&gt;",$BS349,$BH349))</f>
        <v/>
      </c>
      <c r="CA349" s="138" t="str">
        <f aca="false">IF($BX349&lt;&gt;Constants!$B$6,"",IF($AF349,0,Constants!$B$15))</f>
        <v/>
      </c>
      <c r="CB349" s="138" t="str">
        <f aca="false">IF($BX349&lt;&gt;Constants!$B$6,"",((Constants!$B$25-$AZ349)-Constants!$B$25)/Constants!$B$26)</f>
        <v/>
      </c>
      <c r="CC349" s="138" t="str">
        <f aca="false">IF(ISBLANK($C349),"",IF($BX349&lt;&gt;Constants!$B$6,$BX349,SUM($BZ349:$CB349)))</f>
        <v/>
      </c>
      <c r="CD349" s="135" t="str">
        <f aca="false">IF(ISBLANK($C349),"",IF($BX349&lt;&gt;Constants!$B$6,$BX349,RANK($CC349,$CC$9:$CC$508,1)))</f>
        <v/>
      </c>
      <c r="CE349" s="138" t="str">
        <f aca="false">IF($BX349&lt;&gt;Constants!$B$6,"",IF($BL349="-&gt;",$BT349,$BI349))</f>
        <v/>
      </c>
      <c r="CF349" s="135" t="str">
        <f aca="false">IF(ISBLANK($C349),"",IF($BX349&lt;&gt;Constants!$B$6,$BX349,IF(ISNUMBER($CE349),RANK($CE349,$CE$9:$CE$508,1),COUNT($CE$9:$CE$508)+1)))</f>
        <v/>
      </c>
      <c r="CG349" s="138" t="str">
        <f aca="false">IF($BX349&lt;&gt;Constants!$B$6,"",IF($BL349="-&gt;",$BU349,$BJ349))</f>
        <v/>
      </c>
      <c r="CH349" s="135" t="str">
        <f aca="false">IF(ISBLANK($C349),"",IF($BX349&lt;&gt;Constants!$B$6,$BX349,IF(ISNUMBER($CG349),RANK($CG349,$CG$9:$CG$508,1),COUNT($CG$9:$CG$508)+1)))</f>
        <v/>
      </c>
      <c r="CI349" s="138" t="str">
        <f aca="false">IF($BX349&lt;&gt;Constants!$B$6,"",IF($BL349="-&gt;",$BV349,$BK349))</f>
        <v/>
      </c>
      <c r="CJ349" s="135" t="str">
        <f aca="false">IF(ISBLANK($C349),"",IF($BX349&lt;&gt;Constants!$B$6,$BX349,IF(ISNUMBER($CI349),RANK($CI349,$CI$9:$CI$508,1),COUNT($CI$9:$CI$508)+1)))</f>
        <v/>
      </c>
      <c r="CK349" s="138" t="str">
        <f aca="false">IF($BX349&lt;&gt;Constants!$B$6,"",$AI349)</f>
        <v/>
      </c>
      <c r="CL349" s="135" t="str">
        <f aca="false">IF(ISBLANK($C349),"",IF($BX349&lt;&gt;Constants!$B$6,$BX349,IF(ISNUMBER($CK349),RANK($CK349,$CK$9:$CK$508,1),COUNT($CK$9:$CK$508)+1)))</f>
        <v/>
      </c>
      <c r="CM349" s="135" t="str">
        <f aca="false">IF(ISBLANK($C349),"",IF($BX349&lt;&gt;Constants!$B$6,$BX349,COUNTIFS($CD$9:$CD$508,"&lt;"&amp;$CD349)+COUNTIFS($CD$9:$CD$508,$CD349,$CF$9:$CF$508,"&lt;"&amp;$CF349)+COUNTIFS($CD$9:$CD$508,$CD349,$CF$9:$CF$508,$CF349,$CH$9:$CH$508,"&lt;"&amp;$CH349)+COUNTIFS($CD$9:$CD$508,$CD349,$CF$9:$CF$508,$CF349,$CH$9:$CH$508,$CH349,$CJ$9:$CJ$508,"&lt;"&amp;$CJ349)+COUNTIFS($CD$9:$CD$508,$CD349,$CF$9:$CF$508,$CF349,$CH$9:$CH$508,$CH349,$CJ$9:$CJ$508,$CJ349,$CL$9:$CL$508,"&lt;"&amp;$CL349)+1))</f>
        <v/>
      </c>
      <c r="CN349" s="135" t="str">
        <f aca="false">IF(ISBLANK($C349),"",IF($BX349&lt;&gt;Constants!$B$6,$BX349,$CD349-$CM349))</f>
        <v/>
      </c>
      <c r="CO349" s="141"/>
      <c r="CP349" s="142"/>
      <c r="CQ349" s="143" t="str">
        <f aca="false">IF(ISBLANK($C349),"",IF($BX349=Constants!$B$10,$BW349,""))</f>
        <v/>
      </c>
      <c r="CR349" s="142" t="str">
        <f aca="false">IF(ISBLANK($C349),"",IF($BX349&lt;&gt;Constants!$B$6,"",IF($BL349="-&gt;",2,1)))</f>
        <v/>
      </c>
      <c r="CS349" s="144" t="str">
        <f aca="false">IF(ISBLANK($C349),"",IF($BX349&lt;&gt;Constants!$B$6,"",IF($BL349="-&gt;",$BN349,$BC349)))</f>
        <v/>
      </c>
      <c r="CT349" s="144" t="str">
        <f aca="false">IF(ISBLANK($C349),"",IF($BX349&lt;&gt;Constants!$B$6,"",IF($BL349="-&gt;",$BO349,$BD349)))</f>
        <v/>
      </c>
      <c r="CU349" s="144" t="str">
        <f aca="false">IF(ISBLANK($C349),"",IF($BX349&lt;&gt;Constants!$B$6,"",IF($BL349="-&gt;",$BP349+$BQ349,$BE349+$BF349)+$CB349))</f>
        <v/>
      </c>
      <c r="CV349" s="144" t="str">
        <f aca="false">IF(ISBLANK($C349),"",IF($BX349&lt;&gt;Constants!$B$6,"",IF($BL349="-&gt;",$BR349,$BG349)+$CA349))</f>
        <v/>
      </c>
      <c r="CW349" s="145" t="str">
        <f aca="false">IF(ISBLANK($C349),"",IF($BX349&lt;&gt;Constants!$B$6,$BX349,$CC349))</f>
        <v/>
      </c>
      <c r="CX349" s="146" t="str">
        <f aca="false">IF(ISBLANK($C349),"",$BY349)</f>
        <v/>
      </c>
      <c r="CY349" s="147" t="str">
        <f aca="false">IF(ISBLANK($C349),"",$CN349)</f>
        <v/>
      </c>
      <c r="CZ349" s="147" t="str">
        <f aca="false">IF(ISBLANK($C349),"",$CM349)</f>
        <v/>
      </c>
      <c r="DA349" s="148" t="str">
        <f aca="false">IF(ISBLANK($C349),"",IFERROR(_xlfn.SWITCH($CZ349,Constants!$B$9,COUNTA($C$9:$C$508)+2,Constants!$B$8,COUNTA($C$9:$C$508)+1,Constants!$B$7,COUNTA($C$9:$C$508)),$CZ349))</f>
        <v/>
      </c>
      <c r="DB349" s="9"/>
      <c r="DC349" s="149" t="n">
        <f aca="false">IF(OR(ISNUMBER($CZ349),$CZ349=Constants!$B$9,$CZ349=Constants!$B$7,$CZ349=Constants!$B$8),1,0)</f>
        <v>0</v>
      </c>
      <c r="DD349" s="149" t="n">
        <v>341</v>
      </c>
      <c r="DE349" s="149" t="str">
        <f aca="false">IF(ISBLANK($C349),"",IF(ISNUMBER($DA349),$DA349+ROW($B349)/1000,""))</f>
        <v/>
      </c>
      <c r="DF349" s="149" t="str">
        <f aca="false">IF(ISNUMBER($DE349),RANK($DE349,$DE$9:$DE$508,1),"")</f>
        <v/>
      </c>
      <c r="DG349" s="149" t="str">
        <f aca="false">IF(ISBLANK($C349),"",$B349)</f>
        <v/>
      </c>
      <c r="DH349" s="149" t="str">
        <f aca="false">IF(ISBLANK($C349),"",$C349)</f>
        <v/>
      </c>
      <c r="DI349" s="149" t="str">
        <f aca="false">IF(ISBLANK($C349),"",$D349)</f>
        <v/>
      </c>
      <c r="DJ349" s="150" t="str">
        <f aca="false">$CX349</f>
        <v/>
      </c>
      <c r="DK349" s="151" t="str">
        <f aca="false">$CW349</f>
        <v/>
      </c>
      <c r="DL349" s="149" t="str">
        <f aca="false">IF(ISBLANK($C349),"",$CZ349)</f>
        <v/>
      </c>
      <c r="DM349" s="152" t="str">
        <f aca="false">IF($DD349&gt;$DC$8,"",VLOOKUP($DD349,$DF$9:$DL$508,7,FALSE()))</f>
        <v/>
      </c>
      <c r="DN349" s="153" t="str">
        <f aca="false">IF($DD349&gt;$DC$8,"",VLOOKUP($DD349,$DF$9:$DL$508,2,FALSE()))</f>
        <v/>
      </c>
      <c r="DO349" s="153" t="str">
        <f aca="false">IF($DD349&gt;$DC$8,"",VLOOKUP($DD349,$DF$9:$DL$508,3,FALSE()))</f>
        <v/>
      </c>
      <c r="DP349" s="153" t="str">
        <f aca="false">IF($DD349&gt;$DC$8,"",VLOOKUP($DD349,$DF$9:$DL$508,4,FALSE()))</f>
        <v/>
      </c>
      <c r="DQ349" s="153" t="str">
        <f aca="false">IF($DD349&gt;$DC$8,"",VLOOKUP($DD349,$DF$9:$DL$508,5,FALSE()))</f>
        <v/>
      </c>
      <c r="DR349" s="154" t="str">
        <f aca="false">IF($DD349&gt;$DC$8,"",VLOOKUP($DD349,$DF$9:$DL$508,6,FALSE()))</f>
        <v/>
      </c>
      <c r="DS349" s="76"/>
    </row>
    <row r="350" customFormat="false" ht="15.75" hidden="false" customHeight="false" outlineLevel="0" collapsed="false">
      <c r="A350" s="9"/>
      <c r="B350" s="160"/>
      <c r="C350" s="161"/>
      <c r="D350" s="162"/>
      <c r="E350" s="180"/>
      <c r="F350" s="164"/>
      <c r="G350" s="165"/>
      <c r="H350" s="165"/>
      <c r="I350" s="181"/>
      <c r="J350" s="168"/>
      <c r="K350" s="128"/>
      <c r="L350" s="129"/>
      <c r="M350" s="130"/>
      <c r="N350" s="168"/>
      <c r="O350" s="168"/>
      <c r="P350" s="180"/>
      <c r="Q350" s="168"/>
      <c r="R350" s="168"/>
      <c r="S350" s="128"/>
      <c r="T350" s="130"/>
      <c r="U350" s="130"/>
      <c r="V350" s="168"/>
      <c r="W350" s="168"/>
      <c r="X350" s="180"/>
      <c r="Y350" s="168"/>
      <c r="Z350" s="169"/>
      <c r="AA350" s="168"/>
      <c r="AB350" s="134"/>
      <c r="AC350" s="135"/>
      <c r="AD350" s="135"/>
      <c r="AE350" s="135"/>
      <c r="AF350" s="135" t="str">
        <f aca="false">IF(ISBLANK($C350),"",IF(E350=Constants!$B$2,TRUE(),IF(E350=Constants!$B$3,FALSE(),TRUE())))</f>
        <v/>
      </c>
      <c r="AG350" s="135" t="str">
        <f aca="false">IF(ISBLANK($C350),"",IF(F350=Constants!$B$2,TRUE(),IF(F350=Constants!$B$3,FALSE(),TRUE())))</f>
        <v/>
      </c>
      <c r="AH350" s="135" t="str">
        <f aca="false">IF(ISBLANK($C350),"",IF(G350=Constants!$B$2,TRUE(),IF(G350=Constants!$B$3,FALSE(),TRUE())))</f>
        <v/>
      </c>
      <c r="AI350" s="135" t="str">
        <f aca="false">IF(ISBLANK($C350),"",IF(AND(ISNUMBER(H350),H350&gt;=0),H350,Constants!$B$24))</f>
        <v/>
      </c>
      <c r="AJ350" s="135" t="str">
        <f aca="false">IF(ISBLANK($C350),"",IF(I350=Constants!$B$2,TRUE(),IF(I350=Constants!$B$3,FALSE(),TRUE())))</f>
        <v/>
      </c>
      <c r="AK350" s="135" t="str">
        <f aca="false">IF(ISBLANK($C350),"",IF(J350=Constants!$B$2,TRUE(),IF(J350=Constants!$B$3,FALSE(),TRUE())))</f>
        <v/>
      </c>
      <c r="AL350" s="135" t="str">
        <f aca="false">IF(ISBLANK($C350),"",IF(K350=Constants!$B$4,TRUE(),IF(K350=Constants!$B$5,FALSE(),COUNTA(L350:P350)&gt;0)))</f>
        <v/>
      </c>
      <c r="AM350" s="136" t="str">
        <f aca="false">IF(ISBLANK($C350),"",IF(ISNUMBER(L350),IF(L350&gt;=0,L350,""),""))</f>
        <v/>
      </c>
      <c r="AN350" s="137" t="str">
        <f aca="false">IF(ISBLANK($C350),"",IF(ISNUMBER(M350),IF(M350&gt;=0,M350,""),""))</f>
        <v/>
      </c>
      <c r="AO350" s="137" t="str">
        <f aca="false">IF(ISBLANK($C350),"",IF(N350=Constants!$B$2,TRUE(),IF(N350=Constants!$B$3,FALSE(),TRUE())))</f>
        <v/>
      </c>
      <c r="AP350" s="135" t="str">
        <f aca="false">IF(ISBLANK($C350),"",IF(ISNUMBER(O350),IF(O350&gt;=0,O350,""),""))</f>
        <v/>
      </c>
      <c r="AQ350" s="135" t="str">
        <f aca="false">IF(ISBLANK($C350),"",IF(P350=Constants!$B$2,TRUE(),IF(P350=Constants!$B$3,FALSE(),FALSE())))</f>
        <v/>
      </c>
      <c r="AR350" s="135" t="str">
        <f aca="false">IF(ISBLANK($C350),"",IF(Q350=Constants!$B$2,TRUE(),IF(Q350=Constants!$B$3,FALSE(),TRUE())))</f>
        <v/>
      </c>
      <c r="AS350" s="135" t="str">
        <f aca="false">IF(ISBLANK($C350),"",IF(R350=Constants!$B$2,TRUE(),IF(R350=Constants!$B$3,FALSE(),TRUE())))</f>
        <v/>
      </c>
      <c r="AT350" s="135" t="str">
        <f aca="false">IF(ISBLANK($C350),"",IF(S350=Constants!$B$4,TRUE(),IF(S350=Constants!$B$5,FALSE(),COUNTA(T350:X350)&gt;0)))</f>
        <v/>
      </c>
      <c r="AU350" s="136" t="str">
        <f aca="false">IF(ISBLANK($C350),"",IF(ISNUMBER(T350),IF(T350&gt;=0,T350,""),""))</f>
        <v/>
      </c>
      <c r="AV350" s="137" t="str">
        <f aca="false">IF(ISBLANK($C350),"",IF(ISNUMBER(U350),IF(U350&gt;=0,U350,""),""))</f>
        <v/>
      </c>
      <c r="AW350" s="137" t="str">
        <f aca="false">IF(ISBLANK($C350),"",IF(V350=Constants!$B$2,TRUE(),IF(V350=Constants!$B$3,FALSE(),TRUE())))</f>
        <v/>
      </c>
      <c r="AX350" s="135" t="str">
        <f aca="false">IF(ISBLANK($C350),"",IF(ISNUMBER(W350),IF(W350&gt;=0,W350,""),""))</f>
        <v/>
      </c>
      <c r="AY350" s="135" t="str">
        <f aca="false">IF(ISBLANK($C350),"",IF(X350=Constants!$B$2,TRUE(),IF(X350=Constants!$B$3,FALSE(),FALSE())))</f>
        <v/>
      </c>
      <c r="AZ350" s="135" t="str">
        <f aca="false">IF(ISBLANK($C350),"",MIN(Constants!$B$25,MAX(0,IF(ISNUMBER(Y350),Y350*60,0)+IF(ISNUMBER(Z350),Z350,0))))</f>
        <v/>
      </c>
      <c r="BA350" s="135" t="str">
        <f aca="false">IF(ISBLANK($C350),"",IF(AA350=Constants!$B$2,TRUE(),IF(AA350=Constants!$B$3,FALSE(),FALSE())))</f>
        <v/>
      </c>
      <c r="BB350" s="134" t="str">
        <f aca="false">IF(ISBLANK($C350),"",AND($AL350,OR($AM350="",$AN350="",AND($AO350,$AP350=""))))</f>
        <v/>
      </c>
      <c r="BC350" s="137" t="str">
        <f aca="false">IF($BX350&lt;&gt;Constants!$B$6,"",IF($AL350,Constants!$B$17*$AN350+Constants!$B$18*IF($AO350,$AP350,Constants!$B$19),Constants!$B$20))</f>
        <v/>
      </c>
      <c r="BD350" s="138" t="str">
        <f aca="false">IF($BX350&lt;&gt;Constants!$B$6,"",Constants!$B$21*ABS($AD$9-IF($AL350,$AM350,0)))</f>
        <v/>
      </c>
      <c r="BE350" s="138" t="str">
        <f aca="false">IF($BX350&lt;&gt;Constants!$B$6,"",IF(AND($AL350,$AQ350,$AO350),Constants!$B$22,0))</f>
        <v/>
      </c>
      <c r="BF350" s="138" t="str">
        <f aca="false">IF($BX350&lt;&gt;Constants!$B$6,"",IF($AL350,($AI350-Constants!$B$24)*Constants!$B$23,0))</f>
        <v/>
      </c>
      <c r="BG350" s="138" t="str">
        <f aca="false">IF($BX350&lt;&gt;Constants!$B$6,"",IF($AK350,0,Constants!$B$12)+IF($AJ350,0,Constants!$B$13)+IF($AH350,0,Constants!$B$14))</f>
        <v/>
      </c>
      <c r="BH350" s="139" t="str">
        <f aca="false">IF($BX350&lt;&gt;Constants!$B$6,"",Constants!$B$16+SUM($BC350:$BG350))</f>
        <v/>
      </c>
      <c r="BI350" s="138" t="str">
        <f aca="false">IF($BX350&lt;&gt;Constants!$B$6,"",$BC350)</f>
        <v/>
      </c>
      <c r="BJ350" s="138" t="str">
        <f aca="false">IF($BX350&lt;&gt;Constants!$B$6,"",$BD350)</f>
        <v/>
      </c>
      <c r="BK350" s="140" t="str">
        <f aca="false">IF($BX350&lt;&gt;Constants!$B$6,"",IF($AL350,$AN350,""))</f>
        <v/>
      </c>
      <c r="BL350" s="135" t="str">
        <f aca="false">IF($BX350&lt;&gt;Constants!$B$6,"",IF(OR($BS350&lt;$BH350,AND($BS350=$BH350,OR($BT350&lt;$BI350,AND($BT350=$BI350,OR($BU350&lt;$BJ350,AND($BU350=$BJ350,AND(ISNUMBER($BV350),OR(NOT(ISNUMBER($BK350)),$BV350&lt;$BK350)))))))),"-&gt;","&lt;-"))</f>
        <v/>
      </c>
      <c r="BM350" s="134" t="str">
        <f aca="false">IF(ISBLANK($C350),"",AND($AT350,OR($AU350="",$AV350="",AND($AW350,$AX350=""))))</f>
        <v/>
      </c>
      <c r="BN350" s="137" t="str">
        <f aca="false">IF($BX350&lt;&gt;Constants!$B$6,"",IF($AT350,Constants!$B$17*$AV350+Constants!$B$18*IF($AW350,$AX350,Constants!$B$19),Constants!$B$20))</f>
        <v/>
      </c>
      <c r="BO350" s="138" t="str">
        <f aca="false">IF($BX350&lt;&gt;Constants!$B$6,"",Constants!$B$21*ABS($AD$9-IF($AT350,$AU350,0)))</f>
        <v/>
      </c>
      <c r="BP350" s="138" t="str">
        <f aca="false">IF($BX350&lt;&gt;Constants!$B$6,"",IF(AND($AT350,$AY350,$AW350),Constants!$B$22,0))</f>
        <v/>
      </c>
      <c r="BQ350" s="138" t="str">
        <f aca="false">IF($BX350&lt;&gt;Constants!$B$6,"",IF($AT350,($AI350-Constants!$B$24)*Constants!$B$23,0))</f>
        <v/>
      </c>
      <c r="BR350" s="138" t="str">
        <f aca="false">IF($BX350&lt;&gt;Constants!$B$6,"",IF($AS350,0,Constants!$B$12)+IF($AR350,0,Constants!$B$13)+IF($AH350,0,Constants!$B$14))</f>
        <v/>
      </c>
      <c r="BS350" s="139" t="str">
        <f aca="false">IF($BX350&lt;&gt;Constants!$B$6,"",Constants!$B$16+SUM($BN350:$BR350))</f>
        <v/>
      </c>
      <c r="BT350" s="138" t="str">
        <f aca="false">IF($BX350&lt;&gt;Constants!$B$6,"",$BN350)</f>
        <v/>
      </c>
      <c r="BU350" s="138" t="str">
        <f aca="false">IF($BX350&lt;&gt;Constants!$B$6,"",$BO350)</f>
        <v/>
      </c>
      <c r="BV350" s="140" t="str">
        <f aca="false">IF($BX350&lt;&gt;Constants!$B$6,"",IF($AT350,$AV350,""))</f>
        <v/>
      </c>
      <c r="BW350" s="135" t="str">
        <f aca="false">IF(ISBLANK($C350),"",IF(ISBLANK($D$7),$BW$5,IF(NOT(ISNUMBER($D$7)),$BW$6,"")))</f>
        <v/>
      </c>
      <c r="BX350" s="135" t="str">
        <f aca="false">IF(ISBLANK($C350),"",IF($BA350,Constants!$B$9,IF(COUNTA($E350:$AA350)=0,Constants!$B$8,IF(NOT($AG350),Constants!$B$7,IF(OR($BW350&lt;&gt;"",$BB350,$BM350),Constants!$B$10,Constants!$B$6)))))</f>
        <v/>
      </c>
      <c r="BY350" s="135" t="str">
        <f aca="false">IF(ISBLANK($C350),"",IF($BX350&lt;&gt;Constants!$B$6,$BX350,Constants!$B$11))</f>
        <v/>
      </c>
      <c r="BZ350" s="138" t="str">
        <f aca="false">IF($BX350&lt;&gt;Constants!$B$6,"",IF($BL350="-&gt;",$BS350,$BH350))</f>
        <v/>
      </c>
      <c r="CA350" s="138" t="str">
        <f aca="false">IF($BX350&lt;&gt;Constants!$B$6,"",IF($AF350,0,Constants!$B$15))</f>
        <v/>
      </c>
      <c r="CB350" s="138" t="str">
        <f aca="false">IF($BX350&lt;&gt;Constants!$B$6,"",((Constants!$B$25-$AZ350)-Constants!$B$25)/Constants!$B$26)</f>
        <v/>
      </c>
      <c r="CC350" s="138" t="str">
        <f aca="false">IF(ISBLANK($C350),"",IF($BX350&lt;&gt;Constants!$B$6,$BX350,SUM($BZ350:$CB350)))</f>
        <v/>
      </c>
      <c r="CD350" s="135" t="str">
        <f aca="false">IF(ISBLANK($C350),"",IF($BX350&lt;&gt;Constants!$B$6,$BX350,RANK($CC350,$CC$9:$CC$508,1)))</f>
        <v/>
      </c>
      <c r="CE350" s="138" t="str">
        <f aca="false">IF($BX350&lt;&gt;Constants!$B$6,"",IF($BL350="-&gt;",$BT350,$BI350))</f>
        <v/>
      </c>
      <c r="CF350" s="135" t="str">
        <f aca="false">IF(ISBLANK($C350),"",IF($BX350&lt;&gt;Constants!$B$6,$BX350,IF(ISNUMBER($CE350),RANK($CE350,$CE$9:$CE$508,1),COUNT($CE$9:$CE$508)+1)))</f>
        <v/>
      </c>
      <c r="CG350" s="138" t="str">
        <f aca="false">IF($BX350&lt;&gt;Constants!$B$6,"",IF($BL350="-&gt;",$BU350,$BJ350))</f>
        <v/>
      </c>
      <c r="CH350" s="135" t="str">
        <f aca="false">IF(ISBLANK($C350),"",IF($BX350&lt;&gt;Constants!$B$6,$BX350,IF(ISNUMBER($CG350),RANK($CG350,$CG$9:$CG$508,1),COUNT($CG$9:$CG$508)+1)))</f>
        <v/>
      </c>
      <c r="CI350" s="138" t="str">
        <f aca="false">IF($BX350&lt;&gt;Constants!$B$6,"",IF($BL350="-&gt;",$BV350,$BK350))</f>
        <v/>
      </c>
      <c r="CJ350" s="135" t="str">
        <f aca="false">IF(ISBLANK($C350),"",IF($BX350&lt;&gt;Constants!$B$6,$BX350,IF(ISNUMBER($CI350),RANK($CI350,$CI$9:$CI$508,1),COUNT($CI$9:$CI$508)+1)))</f>
        <v/>
      </c>
      <c r="CK350" s="138" t="str">
        <f aca="false">IF($BX350&lt;&gt;Constants!$B$6,"",$AI350)</f>
        <v/>
      </c>
      <c r="CL350" s="135" t="str">
        <f aca="false">IF(ISBLANK($C350),"",IF($BX350&lt;&gt;Constants!$B$6,$BX350,IF(ISNUMBER($CK350),RANK($CK350,$CK$9:$CK$508,1),COUNT($CK$9:$CK$508)+1)))</f>
        <v/>
      </c>
      <c r="CM350" s="135" t="str">
        <f aca="false">IF(ISBLANK($C350),"",IF($BX350&lt;&gt;Constants!$B$6,$BX350,COUNTIFS($CD$9:$CD$508,"&lt;"&amp;$CD350)+COUNTIFS($CD$9:$CD$508,$CD350,$CF$9:$CF$508,"&lt;"&amp;$CF350)+COUNTIFS($CD$9:$CD$508,$CD350,$CF$9:$CF$508,$CF350,$CH$9:$CH$508,"&lt;"&amp;$CH350)+COUNTIFS($CD$9:$CD$508,$CD350,$CF$9:$CF$508,$CF350,$CH$9:$CH$508,$CH350,$CJ$9:$CJ$508,"&lt;"&amp;$CJ350)+COUNTIFS($CD$9:$CD$508,$CD350,$CF$9:$CF$508,$CF350,$CH$9:$CH$508,$CH350,$CJ$9:$CJ$508,$CJ350,$CL$9:$CL$508,"&lt;"&amp;$CL350)+1))</f>
        <v/>
      </c>
      <c r="CN350" s="135" t="str">
        <f aca="false">IF(ISBLANK($C350),"",IF($BX350&lt;&gt;Constants!$B$6,$BX350,$CD350-$CM350))</f>
        <v/>
      </c>
      <c r="CO350" s="141"/>
      <c r="CP350" s="142"/>
      <c r="CQ350" s="143" t="str">
        <f aca="false">IF(ISBLANK($C350),"",IF($BX350=Constants!$B$10,$BW350,""))</f>
        <v/>
      </c>
      <c r="CR350" s="142" t="str">
        <f aca="false">IF(ISBLANK($C350),"",IF($BX350&lt;&gt;Constants!$B$6,"",IF($BL350="-&gt;",2,1)))</f>
        <v/>
      </c>
      <c r="CS350" s="144" t="str">
        <f aca="false">IF(ISBLANK($C350),"",IF($BX350&lt;&gt;Constants!$B$6,"",IF($BL350="-&gt;",$BN350,$BC350)))</f>
        <v/>
      </c>
      <c r="CT350" s="144" t="str">
        <f aca="false">IF(ISBLANK($C350),"",IF($BX350&lt;&gt;Constants!$B$6,"",IF($BL350="-&gt;",$BO350,$BD350)))</f>
        <v/>
      </c>
      <c r="CU350" s="144" t="str">
        <f aca="false">IF(ISBLANK($C350),"",IF($BX350&lt;&gt;Constants!$B$6,"",IF($BL350="-&gt;",$BP350+$BQ350,$BE350+$BF350)+$CB350))</f>
        <v/>
      </c>
      <c r="CV350" s="144" t="str">
        <f aca="false">IF(ISBLANK($C350),"",IF($BX350&lt;&gt;Constants!$B$6,"",IF($BL350="-&gt;",$BR350,$BG350)+$CA350))</f>
        <v/>
      </c>
      <c r="CW350" s="145" t="str">
        <f aca="false">IF(ISBLANK($C350),"",IF($BX350&lt;&gt;Constants!$B$6,$BX350,$CC350))</f>
        <v/>
      </c>
      <c r="CX350" s="146" t="str">
        <f aca="false">IF(ISBLANK($C350),"",$BY350)</f>
        <v/>
      </c>
      <c r="CY350" s="147" t="str">
        <f aca="false">IF(ISBLANK($C350),"",$CN350)</f>
        <v/>
      </c>
      <c r="CZ350" s="147" t="str">
        <f aca="false">IF(ISBLANK($C350),"",$CM350)</f>
        <v/>
      </c>
      <c r="DA350" s="148" t="str">
        <f aca="false">IF(ISBLANK($C350),"",IFERROR(_xlfn.SWITCH($CZ350,Constants!$B$9,COUNTA($C$9:$C$508)+2,Constants!$B$8,COUNTA($C$9:$C$508)+1,Constants!$B$7,COUNTA($C$9:$C$508)),$CZ350))</f>
        <v/>
      </c>
      <c r="DB350" s="9"/>
      <c r="DC350" s="149" t="n">
        <f aca="false">IF(OR(ISNUMBER($CZ350),$CZ350=Constants!$B$9,$CZ350=Constants!$B$7,$CZ350=Constants!$B$8),1,0)</f>
        <v>0</v>
      </c>
      <c r="DD350" s="149" t="n">
        <v>342</v>
      </c>
      <c r="DE350" s="149" t="str">
        <f aca="false">IF(ISBLANK($C350),"",IF(ISNUMBER($DA350),$DA350+ROW($B350)/1000,""))</f>
        <v/>
      </c>
      <c r="DF350" s="149" t="str">
        <f aca="false">IF(ISNUMBER($DE350),RANK($DE350,$DE$9:$DE$508,1),"")</f>
        <v/>
      </c>
      <c r="DG350" s="149" t="str">
        <f aca="false">IF(ISBLANK($C350),"",$B350)</f>
        <v/>
      </c>
      <c r="DH350" s="149" t="str">
        <f aca="false">IF(ISBLANK($C350),"",$C350)</f>
        <v/>
      </c>
      <c r="DI350" s="149" t="str">
        <f aca="false">IF(ISBLANK($C350),"",$D350)</f>
        <v/>
      </c>
      <c r="DJ350" s="150" t="str">
        <f aca="false">$CX350</f>
        <v/>
      </c>
      <c r="DK350" s="151" t="str">
        <f aca="false">$CW350</f>
        <v/>
      </c>
      <c r="DL350" s="149" t="str">
        <f aca="false">IF(ISBLANK($C350),"",$CZ350)</f>
        <v/>
      </c>
      <c r="DM350" s="152" t="str">
        <f aca="false">IF($DD350&gt;$DC$8,"",VLOOKUP($DD350,$DF$9:$DL$508,7,FALSE()))</f>
        <v/>
      </c>
      <c r="DN350" s="153" t="str">
        <f aca="false">IF($DD350&gt;$DC$8,"",VLOOKUP($DD350,$DF$9:$DL$508,2,FALSE()))</f>
        <v/>
      </c>
      <c r="DO350" s="153" t="str">
        <f aca="false">IF($DD350&gt;$DC$8,"",VLOOKUP($DD350,$DF$9:$DL$508,3,FALSE()))</f>
        <v/>
      </c>
      <c r="DP350" s="153" t="str">
        <f aca="false">IF($DD350&gt;$DC$8,"",VLOOKUP($DD350,$DF$9:$DL$508,4,FALSE()))</f>
        <v/>
      </c>
      <c r="DQ350" s="153" t="str">
        <f aca="false">IF($DD350&gt;$DC$8,"",VLOOKUP($DD350,$DF$9:$DL$508,5,FALSE()))</f>
        <v/>
      </c>
      <c r="DR350" s="154" t="str">
        <f aca="false">IF($DD350&gt;$DC$8,"",VLOOKUP($DD350,$DF$9:$DL$508,6,FALSE()))</f>
        <v/>
      </c>
      <c r="DS350" s="76"/>
    </row>
    <row r="351" customFormat="false" ht="15.75" hidden="false" customHeight="false" outlineLevel="0" collapsed="false">
      <c r="A351" s="9"/>
      <c r="B351" s="78"/>
      <c r="C351" s="79"/>
      <c r="D351" s="170"/>
      <c r="E351" s="178"/>
      <c r="F351" s="172"/>
      <c r="G351" s="173"/>
      <c r="H351" s="173"/>
      <c r="I351" s="179"/>
      <c r="J351" s="176"/>
      <c r="K351" s="86"/>
      <c r="L351" s="87"/>
      <c r="M351" s="88"/>
      <c r="N351" s="176"/>
      <c r="O351" s="176"/>
      <c r="P351" s="178"/>
      <c r="Q351" s="176"/>
      <c r="R351" s="176"/>
      <c r="S351" s="86"/>
      <c r="T351" s="88"/>
      <c r="U351" s="88"/>
      <c r="V351" s="176"/>
      <c r="W351" s="176"/>
      <c r="X351" s="178"/>
      <c r="Y351" s="176"/>
      <c r="Z351" s="177"/>
      <c r="AA351" s="176"/>
      <c r="AB351" s="92"/>
      <c r="AC351" s="93"/>
      <c r="AD351" s="93"/>
      <c r="AE351" s="93"/>
      <c r="AF351" s="93" t="str">
        <f aca="false">IF(ISBLANK($C351),"",IF(E351=Constants!$B$2,TRUE(),IF(E351=Constants!$B$3,FALSE(),TRUE())))</f>
        <v/>
      </c>
      <c r="AG351" s="93" t="str">
        <f aca="false">IF(ISBLANK($C351),"",IF(F351=Constants!$B$2,TRUE(),IF(F351=Constants!$B$3,FALSE(),TRUE())))</f>
        <v/>
      </c>
      <c r="AH351" s="93" t="str">
        <f aca="false">IF(ISBLANK($C351),"",IF(G351=Constants!$B$2,TRUE(),IF(G351=Constants!$B$3,FALSE(),TRUE())))</f>
        <v/>
      </c>
      <c r="AI351" s="93" t="str">
        <f aca="false">IF(ISBLANK($C351),"",IF(AND(ISNUMBER(H351),H351&gt;=0),H351,Constants!$B$24))</f>
        <v/>
      </c>
      <c r="AJ351" s="93" t="str">
        <f aca="false">IF(ISBLANK($C351),"",IF(I351=Constants!$B$2,TRUE(),IF(I351=Constants!$B$3,FALSE(),TRUE())))</f>
        <v/>
      </c>
      <c r="AK351" s="93" t="str">
        <f aca="false">IF(ISBLANK($C351),"",IF(J351=Constants!$B$2,TRUE(),IF(J351=Constants!$B$3,FALSE(),TRUE())))</f>
        <v/>
      </c>
      <c r="AL351" s="93" t="str">
        <f aca="false">IF(ISBLANK($C351),"",IF(K351=Constants!$B$4,TRUE(),IF(K351=Constants!$B$5,FALSE(),COUNTA(L351:P351)&gt;0)))</f>
        <v/>
      </c>
      <c r="AM351" s="95" t="str">
        <f aca="false">IF(ISBLANK($C351),"",IF(ISNUMBER(L351),IF(L351&gt;=0,L351,""),""))</f>
        <v/>
      </c>
      <c r="AN351" s="94" t="str">
        <f aca="false">IF(ISBLANK($C351),"",IF(ISNUMBER(M351),IF(M351&gt;=0,M351,""),""))</f>
        <v/>
      </c>
      <c r="AO351" s="94" t="str">
        <f aca="false">IF(ISBLANK($C351),"",IF(N351=Constants!$B$2,TRUE(),IF(N351=Constants!$B$3,FALSE(),TRUE())))</f>
        <v/>
      </c>
      <c r="AP351" s="93" t="str">
        <f aca="false">IF(ISBLANK($C351),"",IF(ISNUMBER(O351),IF(O351&gt;=0,O351,""),""))</f>
        <v/>
      </c>
      <c r="AQ351" s="93" t="str">
        <f aca="false">IF(ISBLANK($C351),"",IF(P351=Constants!$B$2,TRUE(),IF(P351=Constants!$B$3,FALSE(),FALSE())))</f>
        <v/>
      </c>
      <c r="AR351" s="93" t="str">
        <f aca="false">IF(ISBLANK($C351),"",IF(Q351=Constants!$B$2,TRUE(),IF(Q351=Constants!$B$3,FALSE(),TRUE())))</f>
        <v/>
      </c>
      <c r="AS351" s="93" t="str">
        <f aca="false">IF(ISBLANK($C351),"",IF(R351=Constants!$B$2,TRUE(),IF(R351=Constants!$B$3,FALSE(),TRUE())))</f>
        <v/>
      </c>
      <c r="AT351" s="93" t="str">
        <f aca="false">IF(ISBLANK($C351),"",IF(S351=Constants!$B$4,TRUE(),IF(S351=Constants!$B$5,FALSE(),COUNTA(T351:X351)&gt;0)))</f>
        <v/>
      </c>
      <c r="AU351" s="95" t="str">
        <f aca="false">IF(ISBLANK($C351),"",IF(ISNUMBER(T351),IF(T351&gt;=0,T351,""),""))</f>
        <v/>
      </c>
      <c r="AV351" s="94" t="str">
        <f aca="false">IF(ISBLANK($C351),"",IF(ISNUMBER(U351),IF(U351&gt;=0,U351,""),""))</f>
        <v/>
      </c>
      <c r="AW351" s="94" t="str">
        <f aca="false">IF(ISBLANK($C351),"",IF(V351=Constants!$B$2,TRUE(),IF(V351=Constants!$B$3,FALSE(),TRUE())))</f>
        <v/>
      </c>
      <c r="AX351" s="93" t="str">
        <f aca="false">IF(ISBLANK($C351),"",IF(ISNUMBER(W351),IF(W351&gt;=0,W351,""),""))</f>
        <v/>
      </c>
      <c r="AY351" s="93" t="str">
        <f aca="false">IF(ISBLANK($C351),"",IF(X351=Constants!$B$2,TRUE(),IF(X351=Constants!$B$3,FALSE(),FALSE())))</f>
        <v/>
      </c>
      <c r="AZ351" s="93" t="str">
        <f aca="false">IF(ISBLANK($C351),"",MIN(Constants!$B$25,MAX(0,IF(ISNUMBER(Y351),Y351*60,0)+IF(ISNUMBER(Z351),Z351,0))))</f>
        <v/>
      </c>
      <c r="BA351" s="93" t="str">
        <f aca="false">IF(ISBLANK($C351),"",IF(AA351=Constants!$B$2,TRUE(),IF(AA351=Constants!$B$3,FALSE(),FALSE())))</f>
        <v/>
      </c>
      <c r="BB351" s="92" t="str">
        <f aca="false">IF(ISBLANK($C351),"",AND($AL351,OR($AM351="",$AN351="",AND($AO351,$AP351=""))))</f>
        <v/>
      </c>
      <c r="BC351" s="94" t="str">
        <f aca="false">IF($BX351&lt;&gt;Constants!$B$6,"",IF($AL351,Constants!$B$17*$AN351+Constants!$B$18*IF($AO351,$AP351,Constants!$B$19),Constants!$B$20))</f>
        <v/>
      </c>
      <c r="BD351" s="97" t="str">
        <f aca="false">IF($BX351&lt;&gt;Constants!$B$6,"",Constants!$B$21*ABS($AD$9-IF($AL351,$AM351,0)))</f>
        <v/>
      </c>
      <c r="BE351" s="97" t="str">
        <f aca="false">IF($BX351&lt;&gt;Constants!$B$6,"",IF(AND($AL351,$AQ351,$AO351),Constants!$B$22,0))</f>
        <v/>
      </c>
      <c r="BF351" s="97" t="str">
        <f aca="false">IF($BX351&lt;&gt;Constants!$B$6,"",IF($AL351,($AI351-Constants!$B$24)*Constants!$B$23,0))</f>
        <v/>
      </c>
      <c r="BG351" s="97" t="str">
        <f aca="false">IF($BX351&lt;&gt;Constants!$B$6,"",IF($AK351,0,Constants!$B$12)+IF($AJ351,0,Constants!$B$13)+IF($AH351,0,Constants!$B$14))</f>
        <v/>
      </c>
      <c r="BH351" s="98" t="str">
        <f aca="false">IF($BX351&lt;&gt;Constants!$B$6,"",Constants!$B$16+SUM($BC351:$BG351))</f>
        <v/>
      </c>
      <c r="BI351" s="97" t="str">
        <f aca="false">IF($BX351&lt;&gt;Constants!$B$6,"",$BC351)</f>
        <v/>
      </c>
      <c r="BJ351" s="97" t="str">
        <f aca="false">IF($BX351&lt;&gt;Constants!$B$6,"",$BD351)</f>
        <v/>
      </c>
      <c r="BK351" s="99" t="str">
        <f aca="false">IF($BX351&lt;&gt;Constants!$B$6,"",IF($AL351,$AN351,""))</f>
        <v/>
      </c>
      <c r="BL351" s="93" t="str">
        <f aca="false">IF($BX351&lt;&gt;Constants!$B$6,"",IF(OR($BS351&lt;$BH351,AND($BS351=$BH351,OR($BT351&lt;$BI351,AND($BT351=$BI351,OR($BU351&lt;$BJ351,AND($BU351=$BJ351,AND(ISNUMBER($BV351),OR(NOT(ISNUMBER($BK351)),$BV351&lt;$BK351)))))))),"-&gt;","&lt;-"))</f>
        <v/>
      </c>
      <c r="BM351" s="92" t="str">
        <f aca="false">IF(ISBLANK($C351),"",AND($AT351,OR($AU351="",$AV351="",AND($AW351,$AX351=""))))</f>
        <v/>
      </c>
      <c r="BN351" s="94" t="str">
        <f aca="false">IF($BX351&lt;&gt;Constants!$B$6,"",IF($AT351,Constants!$B$17*$AV351+Constants!$B$18*IF($AW351,$AX351,Constants!$B$19),Constants!$B$20))</f>
        <v/>
      </c>
      <c r="BO351" s="97" t="str">
        <f aca="false">IF($BX351&lt;&gt;Constants!$B$6,"",Constants!$B$21*ABS($AD$9-IF($AT351,$AU351,0)))</f>
        <v/>
      </c>
      <c r="BP351" s="97" t="str">
        <f aca="false">IF($BX351&lt;&gt;Constants!$B$6,"",IF(AND($AT351,$AY351,$AW351),Constants!$B$22,0))</f>
        <v/>
      </c>
      <c r="BQ351" s="97" t="str">
        <f aca="false">IF($BX351&lt;&gt;Constants!$B$6,"",IF($AT351,($AI351-Constants!$B$24)*Constants!$B$23,0))</f>
        <v/>
      </c>
      <c r="BR351" s="97" t="str">
        <f aca="false">IF($BX351&lt;&gt;Constants!$B$6,"",IF($AS351,0,Constants!$B$12)+IF($AR351,0,Constants!$B$13)+IF($AH351,0,Constants!$B$14))</f>
        <v/>
      </c>
      <c r="BS351" s="98" t="str">
        <f aca="false">IF($BX351&lt;&gt;Constants!$B$6,"",Constants!$B$16+SUM($BN351:$BR351))</f>
        <v/>
      </c>
      <c r="BT351" s="97" t="str">
        <f aca="false">IF($BX351&lt;&gt;Constants!$B$6,"",$BN351)</f>
        <v/>
      </c>
      <c r="BU351" s="97" t="str">
        <f aca="false">IF($BX351&lt;&gt;Constants!$B$6,"",$BO351)</f>
        <v/>
      </c>
      <c r="BV351" s="99" t="str">
        <f aca="false">IF($BX351&lt;&gt;Constants!$B$6,"",IF($AT351,$AV351,""))</f>
        <v/>
      </c>
      <c r="BW351" s="93" t="str">
        <f aca="false">IF(ISBLANK($C351),"",IF(ISBLANK($D$7),$BW$5,IF(NOT(ISNUMBER($D$7)),$BW$6,"")))</f>
        <v/>
      </c>
      <c r="BX351" s="93" t="str">
        <f aca="false">IF(ISBLANK($C351),"",IF($BA351,Constants!$B$9,IF(COUNTA($E351:$AA351)=0,Constants!$B$8,IF(NOT($AG351),Constants!$B$7,IF(OR($BW351&lt;&gt;"",$BB351,$BM351),Constants!$B$10,Constants!$B$6)))))</f>
        <v/>
      </c>
      <c r="BY351" s="93" t="str">
        <f aca="false">IF(ISBLANK($C351),"",IF($BX351&lt;&gt;Constants!$B$6,$BX351,Constants!$B$11))</f>
        <v/>
      </c>
      <c r="BZ351" s="97" t="str">
        <f aca="false">IF($BX351&lt;&gt;Constants!$B$6,"",IF($BL351="-&gt;",$BS351,$BH351))</f>
        <v/>
      </c>
      <c r="CA351" s="97" t="str">
        <f aca="false">IF($BX351&lt;&gt;Constants!$B$6,"",IF($AF351,0,Constants!$B$15))</f>
        <v/>
      </c>
      <c r="CB351" s="97" t="str">
        <f aca="false">IF($BX351&lt;&gt;Constants!$B$6,"",((Constants!$B$25-$AZ351)-Constants!$B$25)/Constants!$B$26)</f>
        <v/>
      </c>
      <c r="CC351" s="97" t="str">
        <f aca="false">IF(ISBLANK($C351),"",IF($BX351&lt;&gt;Constants!$B$6,$BX351,SUM($BZ351:$CB351)))</f>
        <v/>
      </c>
      <c r="CD351" s="93" t="str">
        <f aca="false">IF(ISBLANK($C351),"",IF($BX351&lt;&gt;Constants!$B$6,$BX351,RANK($CC351,$CC$9:$CC$508,1)))</f>
        <v/>
      </c>
      <c r="CE351" s="97" t="str">
        <f aca="false">IF($BX351&lt;&gt;Constants!$B$6,"",IF($BL351="-&gt;",$BT351,$BI351))</f>
        <v/>
      </c>
      <c r="CF351" s="93" t="str">
        <f aca="false">IF(ISBLANK($C351),"",IF($BX351&lt;&gt;Constants!$B$6,$BX351,IF(ISNUMBER($CE351),RANK($CE351,$CE$9:$CE$508,1),COUNT($CE$9:$CE$508)+1)))</f>
        <v/>
      </c>
      <c r="CG351" s="97" t="str">
        <f aca="false">IF($BX351&lt;&gt;Constants!$B$6,"",IF($BL351="-&gt;",$BU351,$BJ351))</f>
        <v/>
      </c>
      <c r="CH351" s="93" t="str">
        <f aca="false">IF(ISBLANK($C351),"",IF($BX351&lt;&gt;Constants!$B$6,$BX351,IF(ISNUMBER($CG351),RANK($CG351,$CG$9:$CG$508,1),COUNT($CG$9:$CG$508)+1)))</f>
        <v/>
      </c>
      <c r="CI351" s="97" t="str">
        <f aca="false">IF($BX351&lt;&gt;Constants!$B$6,"",IF($BL351="-&gt;",$BV351,$BK351))</f>
        <v/>
      </c>
      <c r="CJ351" s="93" t="str">
        <f aca="false">IF(ISBLANK($C351),"",IF($BX351&lt;&gt;Constants!$B$6,$BX351,IF(ISNUMBER($CI351),RANK($CI351,$CI$9:$CI$508,1),COUNT($CI$9:$CI$508)+1)))</f>
        <v/>
      </c>
      <c r="CK351" s="97" t="str">
        <f aca="false">IF($BX351&lt;&gt;Constants!$B$6,"",$AI351)</f>
        <v/>
      </c>
      <c r="CL351" s="93" t="str">
        <f aca="false">IF(ISBLANK($C351),"",IF($BX351&lt;&gt;Constants!$B$6,$BX351,IF(ISNUMBER($CK351),RANK($CK351,$CK$9:$CK$508,1),COUNT($CK$9:$CK$508)+1)))</f>
        <v/>
      </c>
      <c r="CM351" s="93" t="str">
        <f aca="false">IF(ISBLANK($C351),"",IF($BX351&lt;&gt;Constants!$B$6,$BX351,COUNTIFS($CD$9:$CD$508,"&lt;"&amp;$CD351)+COUNTIFS($CD$9:$CD$508,$CD351,$CF$9:$CF$508,"&lt;"&amp;$CF351)+COUNTIFS($CD$9:$CD$508,$CD351,$CF$9:$CF$508,$CF351,$CH$9:$CH$508,"&lt;"&amp;$CH351)+COUNTIFS($CD$9:$CD$508,$CD351,$CF$9:$CF$508,$CF351,$CH$9:$CH$508,$CH351,$CJ$9:$CJ$508,"&lt;"&amp;$CJ351)+COUNTIFS($CD$9:$CD$508,$CD351,$CF$9:$CF$508,$CF351,$CH$9:$CH$508,$CH351,$CJ$9:$CJ$508,$CJ351,$CL$9:$CL$508,"&lt;"&amp;$CL351)+1))</f>
        <v/>
      </c>
      <c r="CN351" s="93" t="str">
        <f aca="false">IF(ISBLANK($C351),"",IF($BX351&lt;&gt;Constants!$B$6,$BX351,$CD351-$CM351))</f>
        <v/>
      </c>
      <c r="CO351" s="100"/>
      <c r="CP351" s="101"/>
      <c r="CQ351" s="102" t="str">
        <f aca="false">IF(ISBLANK($C351),"",IF($BX351=Constants!$B$10,$BW351,""))</f>
        <v/>
      </c>
      <c r="CR351" s="101" t="str">
        <f aca="false">IF(ISBLANK($C351),"",IF($BX351&lt;&gt;Constants!$B$6,"",IF($BL351="-&gt;",2,1)))</f>
        <v/>
      </c>
      <c r="CS351" s="103" t="str">
        <f aca="false">IF(ISBLANK($C351),"",IF($BX351&lt;&gt;Constants!$B$6,"",IF($BL351="-&gt;",$BN351,$BC351)))</f>
        <v/>
      </c>
      <c r="CT351" s="103" t="str">
        <f aca="false">IF(ISBLANK($C351),"",IF($BX351&lt;&gt;Constants!$B$6,"",IF($BL351="-&gt;",$BO351,$BD351)))</f>
        <v/>
      </c>
      <c r="CU351" s="103" t="str">
        <f aca="false">IF(ISBLANK($C351),"",IF($BX351&lt;&gt;Constants!$B$6,"",IF($BL351="-&gt;",$BP351+$BQ351,$BE351+$BF351)+$CB351))</f>
        <v/>
      </c>
      <c r="CV351" s="103" t="str">
        <f aca="false">IF(ISBLANK($C351),"",IF($BX351&lt;&gt;Constants!$B$6,"",IF($BL351="-&gt;",$BR351,$BG351)+$CA351))</f>
        <v/>
      </c>
      <c r="CW351" s="104" t="str">
        <f aca="false">IF(ISBLANK($C351),"",IF($BX351&lt;&gt;Constants!$B$6,$BX351,$CC351))</f>
        <v/>
      </c>
      <c r="CX351" s="105" t="str">
        <f aca="false">IF(ISBLANK($C351),"",$BY351)</f>
        <v/>
      </c>
      <c r="CY351" s="106" t="str">
        <f aca="false">IF(ISBLANK($C351),"",$CN351)</f>
        <v/>
      </c>
      <c r="CZ351" s="106" t="str">
        <f aca="false">IF(ISBLANK($C351),"",$CM351)</f>
        <v/>
      </c>
      <c r="DA351" s="107" t="str">
        <f aca="false">IF(ISBLANK($C351),"",IFERROR(_xlfn.SWITCH($CZ351,Constants!$B$9,COUNTA($C$9:$C$508)+2,Constants!$B$8,COUNTA($C$9:$C$508)+1,Constants!$B$7,COUNTA($C$9:$C$508)),$CZ351))</f>
        <v/>
      </c>
      <c r="DB351" s="9"/>
      <c r="DC351" s="108" t="n">
        <f aca="false">IF(OR(ISNUMBER($CZ351),$CZ351=Constants!$B$9,$CZ351=Constants!$B$7,$CZ351=Constants!$B$8),1,0)</f>
        <v>0</v>
      </c>
      <c r="DD351" s="108" t="n">
        <v>343</v>
      </c>
      <c r="DE351" s="108" t="str">
        <f aca="false">IF(ISBLANK($C351),"",IF(ISNUMBER($DA351),$DA351+ROW($B351)/1000,""))</f>
        <v/>
      </c>
      <c r="DF351" s="108" t="str">
        <f aca="false">IF(ISNUMBER($DE351),RANK($DE351,$DE$9:$DE$508,1),"")</f>
        <v/>
      </c>
      <c r="DG351" s="108" t="str">
        <f aca="false">IF(ISBLANK($C351),"",$B351)</f>
        <v/>
      </c>
      <c r="DH351" s="108" t="str">
        <f aca="false">IF(ISBLANK($C351),"",$C351)</f>
        <v/>
      </c>
      <c r="DI351" s="108" t="str">
        <f aca="false">IF(ISBLANK($C351),"",$D351)</f>
        <v/>
      </c>
      <c r="DJ351" s="109" t="str">
        <f aca="false">$CX351</f>
        <v/>
      </c>
      <c r="DK351" s="110" t="str">
        <f aca="false">$CW351</f>
        <v/>
      </c>
      <c r="DL351" s="108" t="str">
        <f aca="false">IF(ISBLANK($C351),"",$CZ351)</f>
        <v/>
      </c>
      <c r="DM351" s="111" t="str">
        <f aca="false">IF($DD351&gt;$DC$8,"",VLOOKUP($DD351,$DF$9:$DL$508,7,FALSE()))</f>
        <v/>
      </c>
      <c r="DN351" s="112" t="str">
        <f aca="false">IF($DD351&gt;$DC$8,"",VLOOKUP($DD351,$DF$9:$DL$508,2,FALSE()))</f>
        <v/>
      </c>
      <c r="DO351" s="112" t="str">
        <f aca="false">IF($DD351&gt;$DC$8,"",VLOOKUP($DD351,$DF$9:$DL$508,3,FALSE()))</f>
        <v/>
      </c>
      <c r="DP351" s="112" t="str">
        <f aca="false">IF($DD351&gt;$DC$8,"",VLOOKUP($DD351,$DF$9:$DL$508,4,FALSE()))</f>
        <v/>
      </c>
      <c r="DQ351" s="112" t="str">
        <f aca="false">IF($DD351&gt;$DC$8,"",VLOOKUP($DD351,$DF$9:$DL$508,5,FALSE()))</f>
        <v/>
      </c>
      <c r="DR351" s="113" t="str">
        <f aca="false">IF($DD351&gt;$DC$8,"",VLOOKUP($DD351,$DF$9:$DL$508,6,FALSE()))</f>
        <v/>
      </c>
      <c r="DS351" s="76"/>
    </row>
    <row r="352" customFormat="false" ht="15.75" hidden="false" customHeight="false" outlineLevel="0" collapsed="false">
      <c r="A352" s="9"/>
      <c r="B352" s="78"/>
      <c r="C352" s="79"/>
      <c r="D352" s="170"/>
      <c r="E352" s="178"/>
      <c r="F352" s="172"/>
      <c r="G352" s="173"/>
      <c r="H352" s="173"/>
      <c r="I352" s="179"/>
      <c r="J352" s="176"/>
      <c r="K352" s="86"/>
      <c r="L352" s="87"/>
      <c r="M352" s="88"/>
      <c r="N352" s="176"/>
      <c r="O352" s="176"/>
      <c r="P352" s="178"/>
      <c r="Q352" s="176"/>
      <c r="R352" s="176"/>
      <c r="S352" s="86"/>
      <c r="T352" s="88"/>
      <c r="U352" s="88"/>
      <c r="V352" s="176"/>
      <c r="W352" s="176"/>
      <c r="X352" s="178"/>
      <c r="Y352" s="176"/>
      <c r="Z352" s="177"/>
      <c r="AA352" s="176"/>
      <c r="AB352" s="92"/>
      <c r="AC352" s="93"/>
      <c r="AD352" s="93"/>
      <c r="AE352" s="93"/>
      <c r="AF352" s="93" t="str">
        <f aca="false">IF(ISBLANK($C352),"",IF(E352=Constants!$B$2,TRUE(),IF(E352=Constants!$B$3,FALSE(),TRUE())))</f>
        <v/>
      </c>
      <c r="AG352" s="93" t="str">
        <f aca="false">IF(ISBLANK($C352),"",IF(F352=Constants!$B$2,TRUE(),IF(F352=Constants!$B$3,FALSE(),TRUE())))</f>
        <v/>
      </c>
      <c r="AH352" s="93" t="str">
        <f aca="false">IF(ISBLANK($C352),"",IF(G352=Constants!$B$2,TRUE(),IF(G352=Constants!$B$3,FALSE(),TRUE())))</f>
        <v/>
      </c>
      <c r="AI352" s="93" t="str">
        <f aca="false">IF(ISBLANK($C352),"",IF(AND(ISNUMBER(H352),H352&gt;=0),H352,Constants!$B$24))</f>
        <v/>
      </c>
      <c r="AJ352" s="93" t="str">
        <f aca="false">IF(ISBLANK($C352),"",IF(I352=Constants!$B$2,TRUE(),IF(I352=Constants!$B$3,FALSE(),TRUE())))</f>
        <v/>
      </c>
      <c r="AK352" s="93" t="str">
        <f aca="false">IF(ISBLANK($C352),"",IF(J352=Constants!$B$2,TRUE(),IF(J352=Constants!$B$3,FALSE(),TRUE())))</f>
        <v/>
      </c>
      <c r="AL352" s="93" t="str">
        <f aca="false">IF(ISBLANK($C352),"",IF(K352=Constants!$B$4,TRUE(),IF(K352=Constants!$B$5,FALSE(),COUNTA(L352:P352)&gt;0)))</f>
        <v/>
      </c>
      <c r="AM352" s="95" t="str">
        <f aca="false">IF(ISBLANK($C352),"",IF(ISNUMBER(L352),IF(L352&gt;=0,L352,""),""))</f>
        <v/>
      </c>
      <c r="AN352" s="94" t="str">
        <f aca="false">IF(ISBLANK($C352),"",IF(ISNUMBER(M352),IF(M352&gt;=0,M352,""),""))</f>
        <v/>
      </c>
      <c r="AO352" s="94" t="str">
        <f aca="false">IF(ISBLANK($C352),"",IF(N352=Constants!$B$2,TRUE(),IF(N352=Constants!$B$3,FALSE(),TRUE())))</f>
        <v/>
      </c>
      <c r="AP352" s="93" t="str">
        <f aca="false">IF(ISBLANK($C352),"",IF(ISNUMBER(O352),IF(O352&gt;=0,O352,""),""))</f>
        <v/>
      </c>
      <c r="AQ352" s="93" t="str">
        <f aca="false">IF(ISBLANK($C352),"",IF(P352=Constants!$B$2,TRUE(),IF(P352=Constants!$B$3,FALSE(),FALSE())))</f>
        <v/>
      </c>
      <c r="AR352" s="93" t="str">
        <f aca="false">IF(ISBLANK($C352),"",IF(Q352=Constants!$B$2,TRUE(),IF(Q352=Constants!$B$3,FALSE(),TRUE())))</f>
        <v/>
      </c>
      <c r="AS352" s="93" t="str">
        <f aca="false">IF(ISBLANK($C352),"",IF(R352=Constants!$B$2,TRUE(),IF(R352=Constants!$B$3,FALSE(),TRUE())))</f>
        <v/>
      </c>
      <c r="AT352" s="93" t="str">
        <f aca="false">IF(ISBLANK($C352),"",IF(S352=Constants!$B$4,TRUE(),IF(S352=Constants!$B$5,FALSE(),COUNTA(T352:X352)&gt;0)))</f>
        <v/>
      </c>
      <c r="AU352" s="95" t="str">
        <f aca="false">IF(ISBLANK($C352),"",IF(ISNUMBER(T352),IF(T352&gt;=0,T352,""),""))</f>
        <v/>
      </c>
      <c r="AV352" s="94" t="str">
        <f aca="false">IF(ISBLANK($C352),"",IF(ISNUMBER(U352),IF(U352&gt;=0,U352,""),""))</f>
        <v/>
      </c>
      <c r="AW352" s="94" t="str">
        <f aca="false">IF(ISBLANK($C352),"",IF(V352=Constants!$B$2,TRUE(),IF(V352=Constants!$B$3,FALSE(),TRUE())))</f>
        <v/>
      </c>
      <c r="AX352" s="93" t="str">
        <f aca="false">IF(ISBLANK($C352),"",IF(ISNUMBER(W352),IF(W352&gt;=0,W352,""),""))</f>
        <v/>
      </c>
      <c r="AY352" s="93" t="str">
        <f aca="false">IF(ISBLANK($C352),"",IF(X352=Constants!$B$2,TRUE(),IF(X352=Constants!$B$3,FALSE(),FALSE())))</f>
        <v/>
      </c>
      <c r="AZ352" s="93" t="str">
        <f aca="false">IF(ISBLANK($C352),"",MIN(Constants!$B$25,MAX(0,IF(ISNUMBER(Y352),Y352*60,0)+IF(ISNUMBER(Z352),Z352,0))))</f>
        <v/>
      </c>
      <c r="BA352" s="93" t="str">
        <f aca="false">IF(ISBLANK($C352),"",IF(AA352=Constants!$B$2,TRUE(),IF(AA352=Constants!$B$3,FALSE(),FALSE())))</f>
        <v/>
      </c>
      <c r="BB352" s="92" t="str">
        <f aca="false">IF(ISBLANK($C352),"",AND($AL352,OR($AM352="",$AN352="",AND($AO352,$AP352=""))))</f>
        <v/>
      </c>
      <c r="BC352" s="94" t="str">
        <f aca="false">IF($BX352&lt;&gt;Constants!$B$6,"",IF($AL352,Constants!$B$17*$AN352+Constants!$B$18*IF($AO352,$AP352,Constants!$B$19),Constants!$B$20))</f>
        <v/>
      </c>
      <c r="BD352" s="97" t="str">
        <f aca="false">IF($BX352&lt;&gt;Constants!$B$6,"",Constants!$B$21*ABS($AD$9-IF($AL352,$AM352,0)))</f>
        <v/>
      </c>
      <c r="BE352" s="97" t="str">
        <f aca="false">IF($BX352&lt;&gt;Constants!$B$6,"",IF(AND($AL352,$AQ352,$AO352),Constants!$B$22,0))</f>
        <v/>
      </c>
      <c r="BF352" s="97" t="str">
        <f aca="false">IF($BX352&lt;&gt;Constants!$B$6,"",IF($AL352,($AI352-Constants!$B$24)*Constants!$B$23,0))</f>
        <v/>
      </c>
      <c r="BG352" s="97" t="str">
        <f aca="false">IF($BX352&lt;&gt;Constants!$B$6,"",IF($AK352,0,Constants!$B$12)+IF($AJ352,0,Constants!$B$13)+IF($AH352,0,Constants!$B$14))</f>
        <v/>
      </c>
      <c r="BH352" s="98" t="str">
        <f aca="false">IF($BX352&lt;&gt;Constants!$B$6,"",Constants!$B$16+SUM($BC352:$BG352))</f>
        <v/>
      </c>
      <c r="BI352" s="97" t="str">
        <f aca="false">IF($BX352&lt;&gt;Constants!$B$6,"",$BC352)</f>
        <v/>
      </c>
      <c r="BJ352" s="97" t="str">
        <f aca="false">IF($BX352&lt;&gt;Constants!$B$6,"",$BD352)</f>
        <v/>
      </c>
      <c r="BK352" s="99" t="str">
        <f aca="false">IF($BX352&lt;&gt;Constants!$B$6,"",IF($AL352,$AN352,""))</f>
        <v/>
      </c>
      <c r="BL352" s="93" t="str">
        <f aca="false">IF($BX352&lt;&gt;Constants!$B$6,"",IF(OR($BS352&lt;$BH352,AND($BS352=$BH352,OR($BT352&lt;$BI352,AND($BT352=$BI352,OR($BU352&lt;$BJ352,AND($BU352=$BJ352,AND(ISNUMBER($BV352),OR(NOT(ISNUMBER($BK352)),$BV352&lt;$BK352)))))))),"-&gt;","&lt;-"))</f>
        <v/>
      </c>
      <c r="BM352" s="92" t="str">
        <f aca="false">IF(ISBLANK($C352),"",AND($AT352,OR($AU352="",$AV352="",AND($AW352,$AX352=""))))</f>
        <v/>
      </c>
      <c r="BN352" s="94" t="str">
        <f aca="false">IF($BX352&lt;&gt;Constants!$B$6,"",IF($AT352,Constants!$B$17*$AV352+Constants!$B$18*IF($AW352,$AX352,Constants!$B$19),Constants!$B$20))</f>
        <v/>
      </c>
      <c r="BO352" s="97" t="str">
        <f aca="false">IF($BX352&lt;&gt;Constants!$B$6,"",Constants!$B$21*ABS($AD$9-IF($AT352,$AU352,0)))</f>
        <v/>
      </c>
      <c r="BP352" s="97" t="str">
        <f aca="false">IF($BX352&lt;&gt;Constants!$B$6,"",IF(AND($AT352,$AY352,$AW352),Constants!$B$22,0))</f>
        <v/>
      </c>
      <c r="BQ352" s="97" t="str">
        <f aca="false">IF($BX352&lt;&gt;Constants!$B$6,"",IF($AT352,($AI352-Constants!$B$24)*Constants!$B$23,0))</f>
        <v/>
      </c>
      <c r="BR352" s="97" t="str">
        <f aca="false">IF($BX352&lt;&gt;Constants!$B$6,"",IF($AS352,0,Constants!$B$12)+IF($AR352,0,Constants!$B$13)+IF($AH352,0,Constants!$B$14))</f>
        <v/>
      </c>
      <c r="BS352" s="98" t="str">
        <f aca="false">IF($BX352&lt;&gt;Constants!$B$6,"",Constants!$B$16+SUM($BN352:$BR352))</f>
        <v/>
      </c>
      <c r="BT352" s="97" t="str">
        <f aca="false">IF($BX352&lt;&gt;Constants!$B$6,"",$BN352)</f>
        <v/>
      </c>
      <c r="BU352" s="97" t="str">
        <f aca="false">IF($BX352&lt;&gt;Constants!$B$6,"",$BO352)</f>
        <v/>
      </c>
      <c r="BV352" s="99" t="str">
        <f aca="false">IF($BX352&lt;&gt;Constants!$B$6,"",IF($AT352,$AV352,""))</f>
        <v/>
      </c>
      <c r="BW352" s="93" t="str">
        <f aca="false">IF(ISBLANK($C352),"",IF(ISBLANK($D$7),$BW$5,IF(NOT(ISNUMBER($D$7)),$BW$6,"")))</f>
        <v/>
      </c>
      <c r="BX352" s="93" t="str">
        <f aca="false">IF(ISBLANK($C352),"",IF($BA352,Constants!$B$9,IF(COUNTA($E352:$AA352)=0,Constants!$B$8,IF(NOT($AG352),Constants!$B$7,IF(OR($BW352&lt;&gt;"",$BB352,$BM352),Constants!$B$10,Constants!$B$6)))))</f>
        <v/>
      </c>
      <c r="BY352" s="93" t="str">
        <f aca="false">IF(ISBLANK($C352),"",IF($BX352&lt;&gt;Constants!$B$6,$BX352,Constants!$B$11))</f>
        <v/>
      </c>
      <c r="BZ352" s="97" t="str">
        <f aca="false">IF($BX352&lt;&gt;Constants!$B$6,"",IF($BL352="-&gt;",$BS352,$BH352))</f>
        <v/>
      </c>
      <c r="CA352" s="97" t="str">
        <f aca="false">IF($BX352&lt;&gt;Constants!$B$6,"",IF($AF352,0,Constants!$B$15))</f>
        <v/>
      </c>
      <c r="CB352" s="97" t="str">
        <f aca="false">IF($BX352&lt;&gt;Constants!$B$6,"",((Constants!$B$25-$AZ352)-Constants!$B$25)/Constants!$B$26)</f>
        <v/>
      </c>
      <c r="CC352" s="97" t="str">
        <f aca="false">IF(ISBLANK($C352),"",IF($BX352&lt;&gt;Constants!$B$6,$BX352,SUM($BZ352:$CB352)))</f>
        <v/>
      </c>
      <c r="CD352" s="93" t="str">
        <f aca="false">IF(ISBLANK($C352),"",IF($BX352&lt;&gt;Constants!$B$6,$BX352,RANK($CC352,$CC$9:$CC$508,1)))</f>
        <v/>
      </c>
      <c r="CE352" s="97" t="str">
        <f aca="false">IF($BX352&lt;&gt;Constants!$B$6,"",IF($BL352="-&gt;",$BT352,$BI352))</f>
        <v/>
      </c>
      <c r="CF352" s="93" t="str">
        <f aca="false">IF(ISBLANK($C352),"",IF($BX352&lt;&gt;Constants!$B$6,$BX352,IF(ISNUMBER($CE352),RANK($CE352,$CE$9:$CE$508,1),COUNT($CE$9:$CE$508)+1)))</f>
        <v/>
      </c>
      <c r="CG352" s="97" t="str">
        <f aca="false">IF($BX352&lt;&gt;Constants!$B$6,"",IF($BL352="-&gt;",$BU352,$BJ352))</f>
        <v/>
      </c>
      <c r="CH352" s="93" t="str">
        <f aca="false">IF(ISBLANK($C352),"",IF($BX352&lt;&gt;Constants!$B$6,$BX352,IF(ISNUMBER($CG352),RANK($CG352,$CG$9:$CG$508,1),COUNT($CG$9:$CG$508)+1)))</f>
        <v/>
      </c>
      <c r="CI352" s="97" t="str">
        <f aca="false">IF($BX352&lt;&gt;Constants!$B$6,"",IF($BL352="-&gt;",$BV352,$BK352))</f>
        <v/>
      </c>
      <c r="CJ352" s="93" t="str">
        <f aca="false">IF(ISBLANK($C352),"",IF($BX352&lt;&gt;Constants!$B$6,$BX352,IF(ISNUMBER($CI352),RANK($CI352,$CI$9:$CI$508,1),COUNT($CI$9:$CI$508)+1)))</f>
        <v/>
      </c>
      <c r="CK352" s="97" t="str">
        <f aca="false">IF($BX352&lt;&gt;Constants!$B$6,"",$AI352)</f>
        <v/>
      </c>
      <c r="CL352" s="93" t="str">
        <f aca="false">IF(ISBLANK($C352),"",IF($BX352&lt;&gt;Constants!$B$6,$BX352,IF(ISNUMBER($CK352),RANK($CK352,$CK$9:$CK$508,1),COUNT($CK$9:$CK$508)+1)))</f>
        <v/>
      </c>
      <c r="CM352" s="93" t="str">
        <f aca="false">IF(ISBLANK($C352),"",IF($BX352&lt;&gt;Constants!$B$6,$BX352,COUNTIFS($CD$9:$CD$508,"&lt;"&amp;$CD352)+COUNTIFS($CD$9:$CD$508,$CD352,$CF$9:$CF$508,"&lt;"&amp;$CF352)+COUNTIFS($CD$9:$CD$508,$CD352,$CF$9:$CF$508,$CF352,$CH$9:$CH$508,"&lt;"&amp;$CH352)+COUNTIFS($CD$9:$CD$508,$CD352,$CF$9:$CF$508,$CF352,$CH$9:$CH$508,$CH352,$CJ$9:$CJ$508,"&lt;"&amp;$CJ352)+COUNTIFS($CD$9:$CD$508,$CD352,$CF$9:$CF$508,$CF352,$CH$9:$CH$508,$CH352,$CJ$9:$CJ$508,$CJ352,$CL$9:$CL$508,"&lt;"&amp;$CL352)+1))</f>
        <v/>
      </c>
      <c r="CN352" s="93" t="str">
        <f aca="false">IF(ISBLANK($C352),"",IF($BX352&lt;&gt;Constants!$B$6,$BX352,$CD352-$CM352))</f>
        <v/>
      </c>
      <c r="CO352" s="100"/>
      <c r="CP352" s="101"/>
      <c r="CQ352" s="102" t="str">
        <f aca="false">IF(ISBLANK($C352),"",IF($BX352=Constants!$B$10,$BW352,""))</f>
        <v/>
      </c>
      <c r="CR352" s="101" t="str">
        <f aca="false">IF(ISBLANK($C352),"",IF($BX352&lt;&gt;Constants!$B$6,"",IF($BL352="-&gt;",2,1)))</f>
        <v/>
      </c>
      <c r="CS352" s="103" t="str">
        <f aca="false">IF(ISBLANK($C352),"",IF($BX352&lt;&gt;Constants!$B$6,"",IF($BL352="-&gt;",$BN352,$BC352)))</f>
        <v/>
      </c>
      <c r="CT352" s="103" t="str">
        <f aca="false">IF(ISBLANK($C352),"",IF($BX352&lt;&gt;Constants!$B$6,"",IF($BL352="-&gt;",$BO352,$BD352)))</f>
        <v/>
      </c>
      <c r="CU352" s="103" t="str">
        <f aca="false">IF(ISBLANK($C352),"",IF($BX352&lt;&gt;Constants!$B$6,"",IF($BL352="-&gt;",$BP352+$BQ352,$BE352+$BF352)+$CB352))</f>
        <v/>
      </c>
      <c r="CV352" s="103" t="str">
        <f aca="false">IF(ISBLANK($C352),"",IF($BX352&lt;&gt;Constants!$B$6,"",IF($BL352="-&gt;",$BR352,$BG352)+$CA352))</f>
        <v/>
      </c>
      <c r="CW352" s="104" t="str">
        <f aca="false">IF(ISBLANK($C352),"",IF($BX352&lt;&gt;Constants!$B$6,$BX352,$CC352))</f>
        <v/>
      </c>
      <c r="CX352" s="105" t="str">
        <f aca="false">IF(ISBLANK($C352),"",$BY352)</f>
        <v/>
      </c>
      <c r="CY352" s="106" t="str">
        <f aca="false">IF(ISBLANK($C352),"",$CN352)</f>
        <v/>
      </c>
      <c r="CZ352" s="106" t="str">
        <f aca="false">IF(ISBLANK($C352),"",$CM352)</f>
        <v/>
      </c>
      <c r="DA352" s="107" t="str">
        <f aca="false">IF(ISBLANK($C352),"",IFERROR(_xlfn.SWITCH($CZ352,Constants!$B$9,COUNTA($C$9:$C$508)+2,Constants!$B$8,COUNTA($C$9:$C$508)+1,Constants!$B$7,COUNTA($C$9:$C$508)),$CZ352))</f>
        <v/>
      </c>
      <c r="DB352" s="9"/>
      <c r="DC352" s="108" t="n">
        <f aca="false">IF(OR(ISNUMBER($CZ352),$CZ352=Constants!$B$9,$CZ352=Constants!$B$7,$CZ352=Constants!$B$8),1,0)</f>
        <v>0</v>
      </c>
      <c r="DD352" s="108" t="n">
        <v>344</v>
      </c>
      <c r="DE352" s="108" t="str">
        <f aca="false">IF(ISBLANK($C352),"",IF(ISNUMBER($DA352),$DA352+ROW($B352)/1000,""))</f>
        <v/>
      </c>
      <c r="DF352" s="108" t="str">
        <f aca="false">IF(ISNUMBER($DE352),RANK($DE352,$DE$9:$DE$508,1),"")</f>
        <v/>
      </c>
      <c r="DG352" s="108" t="str">
        <f aca="false">IF(ISBLANK($C352),"",$B352)</f>
        <v/>
      </c>
      <c r="DH352" s="108" t="str">
        <f aca="false">IF(ISBLANK($C352),"",$C352)</f>
        <v/>
      </c>
      <c r="DI352" s="108" t="str">
        <f aca="false">IF(ISBLANK($C352),"",$D352)</f>
        <v/>
      </c>
      <c r="DJ352" s="109" t="str">
        <f aca="false">$CX352</f>
        <v/>
      </c>
      <c r="DK352" s="110" t="str">
        <f aca="false">$CW352</f>
        <v/>
      </c>
      <c r="DL352" s="108" t="str">
        <f aca="false">IF(ISBLANK($C352),"",$CZ352)</f>
        <v/>
      </c>
      <c r="DM352" s="111" t="str">
        <f aca="false">IF($DD352&gt;$DC$8,"",VLOOKUP($DD352,$DF$9:$DL$508,7,FALSE()))</f>
        <v/>
      </c>
      <c r="DN352" s="112" t="str">
        <f aca="false">IF($DD352&gt;$DC$8,"",VLOOKUP($DD352,$DF$9:$DL$508,2,FALSE()))</f>
        <v/>
      </c>
      <c r="DO352" s="112" t="str">
        <f aca="false">IF($DD352&gt;$DC$8,"",VLOOKUP($DD352,$DF$9:$DL$508,3,FALSE()))</f>
        <v/>
      </c>
      <c r="DP352" s="112" t="str">
        <f aca="false">IF($DD352&gt;$DC$8,"",VLOOKUP($DD352,$DF$9:$DL$508,4,FALSE()))</f>
        <v/>
      </c>
      <c r="DQ352" s="112" t="str">
        <f aca="false">IF($DD352&gt;$DC$8,"",VLOOKUP($DD352,$DF$9:$DL$508,5,FALSE()))</f>
        <v/>
      </c>
      <c r="DR352" s="113" t="str">
        <f aca="false">IF($DD352&gt;$DC$8,"",VLOOKUP($DD352,$DF$9:$DL$508,6,FALSE()))</f>
        <v/>
      </c>
      <c r="DS352" s="76"/>
    </row>
    <row r="353" customFormat="false" ht="15.75" hidden="false" customHeight="false" outlineLevel="0" collapsed="false">
      <c r="A353" s="9"/>
      <c r="B353" s="78"/>
      <c r="C353" s="79"/>
      <c r="D353" s="170"/>
      <c r="E353" s="178"/>
      <c r="F353" s="172"/>
      <c r="G353" s="173"/>
      <c r="H353" s="173"/>
      <c r="I353" s="179"/>
      <c r="J353" s="176"/>
      <c r="K353" s="86"/>
      <c r="L353" s="87"/>
      <c r="M353" s="88"/>
      <c r="N353" s="176"/>
      <c r="O353" s="176"/>
      <c r="P353" s="178"/>
      <c r="Q353" s="176"/>
      <c r="R353" s="176"/>
      <c r="S353" s="86"/>
      <c r="T353" s="88"/>
      <c r="U353" s="88"/>
      <c r="V353" s="176"/>
      <c r="W353" s="176"/>
      <c r="X353" s="178"/>
      <c r="Y353" s="176"/>
      <c r="Z353" s="177"/>
      <c r="AA353" s="176"/>
      <c r="AB353" s="92"/>
      <c r="AC353" s="93"/>
      <c r="AD353" s="93"/>
      <c r="AE353" s="93"/>
      <c r="AF353" s="93" t="str">
        <f aca="false">IF(ISBLANK($C353),"",IF(E353=Constants!$B$2,TRUE(),IF(E353=Constants!$B$3,FALSE(),TRUE())))</f>
        <v/>
      </c>
      <c r="AG353" s="93" t="str">
        <f aca="false">IF(ISBLANK($C353),"",IF(F353=Constants!$B$2,TRUE(),IF(F353=Constants!$B$3,FALSE(),TRUE())))</f>
        <v/>
      </c>
      <c r="AH353" s="93" t="str">
        <f aca="false">IF(ISBLANK($C353),"",IF(G353=Constants!$B$2,TRUE(),IF(G353=Constants!$B$3,FALSE(),TRUE())))</f>
        <v/>
      </c>
      <c r="AI353" s="93" t="str">
        <f aca="false">IF(ISBLANK($C353),"",IF(AND(ISNUMBER(H353),H353&gt;=0),H353,Constants!$B$24))</f>
        <v/>
      </c>
      <c r="AJ353" s="93" t="str">
        <f aca="false">IF(ISBLANK($C353),"",IF(I353=Constants!$B$2,TRUE(),IF(I353=Constants!$B$3,FALSE(),TRUE())))</f>
        <v/>
      </c>
      <c r="AK353" s="93" t="str">
        <f aca="false">IF(ISBLANK($C353),"",IF(J353=Constants!$B$2,TRUE(),IF(J353=Constants!$B$3,FALSE(),TRUE())))</f>
        <v/>
      </c>
      <c r="AL353" s="93" t="str">
        <f aca="false">IF(ISBLANK($C353),"",IF(K353=Constants!$B$4,TRUE(),IF(K353=Constants!$B$5,FALSE(),COUNTA(L353:P353)&gt;0)))</f>
        <v/>
      </c>
      <c r="AM353" s="95" t="str">
        <f aca="false">IF(ISBLANK($C353),"",IF(ISNUMBER(L353),IF(L353&gt;=0,L353,""),""))</f>
        <v/>
      </c>
      <c r="AN353" s="94" t="str">
        <f aca="false">IF(ISBLANK($C353),"",IF(ISNUMBER(M353),IF(M353&gt;=0,M353,""),""))</f>
        <v/>
      </c>
      <c r="AO353" s="94" t="str">
        <f aca="false">IF(ISBLANK($C353),"",IF(N353=Constants!$B$2,TRUE(),IF(N353=Constants!$B$3,FALSE(),TRUE())))</f>
        <v/>
      </c>
      <c r="AP353" s="93" t="str">
        <f aca="false">IF(ISBLANK($C353),"",IF(ISNUMBER(O353),IF(O353&gt;=0,O353,""),""))</f>
        <v/>
      </c>
      <c r="AQ353" s="93" t="str">
        <f aca="false">IF(ISBLANK($C353),"",IF(P353=Constants!$B$2,TRUE(),IF(P353=Constants!$B$3,FALSE(),FALSE())))</f>
        <v/>
      </c>
      <c r="AR353" s="93" t="str">
        <f aca="false">IF(ISBLANK($C353),"",IF(Q353=Constants!$B$2,TRUE(),IF(Q353=Constants!$B$3,FALSE(),TRUE())))</f>
        <v/>
      </c>
      <c r="AS353" s="93" t="str">
        <f aca="false">IF(ISBLANK($C353),"",IF(R353=Constants!$B$2,TRUE(),IF(R353=Constants!$B$3,FALSE(),TRUE())))</f>
        <v/>
      </c>
      <c r="AT353" s="93" t="str">
        <f aca="false">IF(ISBLANK($C353),"",IF(S353=Constants!$B$4,TRUE(),IF(S353=Constants!$B$5,FALSE(),COUNTA(T353:X353)&gt;0)))</f>
        <v/>
      </c>
      <c r="AU353" s="95" t="str">
        <f aca="false">IF(ISBLANK($C353),"",IF(ISNUMBER(T353),IF(T353&gt;=0,T353,""),""))</f>
        <v/>
      </c>
      <c r="AV353" s="94" t="str">
        <f aca="false">IF(ISBLANK($C353),"",IF(ISNUMBER(U353),IF(U353&gt;=0,U353,""),""))</f>
        <v/>
      </c>
      <c r="AW353" s="94" t="str">
        <f aca="false">IF(ISBLANK($C353),"",IF(V353=Constants!$B$2,TRUE(),IF(V353=Constants!$B$3,FALSE(),TRUE())))</f>
        <v/>
      </c>
      <c r="AX353" s="93" t="str">
        <f aca="false">IF(ISBLANK($C353),"",IF(ISNUMBER(W353),IF(W353&gt;=0,W353,""),""))</f>
        <v/>
      </c>
      <c r="AY353" s="93" t="str">
        <f aca="false">IF(ISBLANK($C353),"",IF(X353=Constants!$B$2,TRUE(),IF(X353=Constants!$B$3,FALSE(),FALSE())))</f>
        <v/>
      </c>
      <c r="AZ353" s="93" t="str">
        <f aca="false">IF(ISBLANK($C353),"",MIN(Constants!$B$25,MAX(0,IF(ISNUMBER(Y353),Y353*60,0)+IF(ISNUMBER(Z353),Z353,0))))</f>
        <v/>
      </c>
      <c r="BA353" s="93" t="str">
        <f aca="false">IF(ISBLANK($C353),"",IF(AA353=Constants!$B$2,TRUE(),IF(AA353=Constants!$B$3,FALSE(),FALSE())))</f>
        <v/>
      </c>
      <c r="BB353" s="92" t="str">
        <f aca="false">IF(ISBLANK($C353),"",AND($AL353,OR($AM353="",$AN353="",AND($AO353,$AP353=""))))</f>
        <v/>
      </c>
      <c r="BC353" s="94" t="str">
        <f aca="false">IF($BX353&lt;&gt;Constants!$B$6,"",IF($AL353,Constants!$B$17*$AN353+Constants!$B$18*IF($AO353,$AP353,Constants!$B$19),Constants!$B$20))</f>
        <v/>
      </c>
      <c r="BD353" s="97" t="str">
        <f aca="false">IF($BX353&lt;&gt;Constants!$B$6,"",Constants!$B$21*ABS($AD$9-IF($AL353,$AM353,0)))</f>
        <v/>
      </c>
      <c r="BE353" s="97" t="str">
        <f aca="false">IF($BX353&lt;&gt;Constants!$B$6,"",IF(AND($AL353,$AQ353,$AO353),Constants!$B$22,0))</f>
        <v/>
      </c>
      <c r="BF353" s="97" t="str">
        <f aca="false">IF($BX353&lt;&gt;Constants!$B$6,"",IF($AL353,($AI353-Constants!$B$24)*Constants!$B$23,0))</f>
        <v/>
      </c>
      <c r="BG353" s="97" t="str">
        <f aca="false">IF($BX353&lt;&gt;Constants!$B$6,"",IF($AK353,0,Constants!$B$12)+IF($AJ353,0,Constants!$B$13)+IF($AH353,0,Constants!$B$14))</f>
        <v/>
      </c>
      <c r="BH353" s="98" t="str">
        <f aca="false">IF($BX353&lt;&gt;Constants!$B$6,"",Constants!$B$16+SUM($BC353:$BG353))</f>
        <v/>
      </c>
      <c r="BI353" s="97" t="str">
        <f aca="false">IF($BX353&lt;&gt;Constants!$B$6,"",$BC353)</f>
        <v/>
      </c>
      <c r="BJ353" s="97" t="str">
        <f aca="false">IF($BX353&lt;&gt;Constants!$B$6,"",$BD353)</f>
        <v/>
      </c>
      <c r="BK353" s="99" t="str">
        <f aca="false">IF($BX353&lt;&gt;Constants!$B$6,"",IF($AL353,$AN353,""))</f>
        <v/>
      </c>
      <c r="BL353" s="93" t="str">
        <f aca="false">IF($BX353&lt;&gt;Constants!$B$6,"",IF(OR($BS353&lt;$BH353,AND($BS353=$BH353,OR($BT353&lt;$BI353,AND($BT353=$BI353,OR($BU353&lt;$BJ353,AND($BU353=$BJ353,AND(ISNUMBER($BV353),OR(NOT(ISNUMBER($BK353)),$BV353&lt;$BK353)))))))),"-&gt;","&lt;-"))</f>
        <v/>
      </c>
      <c r="BM353" s="92" t="str">
        <f aca="false">IF(ISBLANK($C353),"",AND($AT353,OR($AU353="",$AV353="",AND($AW353,$AX353=""))))</f>
        <v/>
      </c>
      <c r="BN353" s="94" t="str">
        <f aca="false">IF($BX353&lt;&gt;Constants!$B$6,"",IF($AT353,Constants!$B$17*$AV353+Constants!$B$18*IF($AW353,$AX353,Constants!$B$19),Constants!$B$20))</f>
        <v/>
      </c>
      <c r="BO353" s="97" t="str">
        <f aca="false">IF($BX353&lt;&gt;Constants!$B$6,"",Constants!$B$21*ABS($AD$9-IF($AT353,$AU353,0)))</f>
        <v/>
      </c>
      <c r="BP353" s="97" t="str">
        <f aca="false">IF($BX353&lt;&gt;Constants!$B$6,"",IF(AND($AT353,$AY353,$AW353),Constants!$B$22,0))</f>
        <v/>
      </c>
      <c r="BQ353" s="97" t="str">
        <f aca="false">IF($BX353&lt;&gt;Constants!$B$6,"",IF($AT353,($AI353-Constants!$B$24)*Constants!$B$23,0))</f>
        <v/>
      </c>
      <c r="BR353" s="97" t="str">
        <f aca="false">IF($BX353&lt;&gt;Constants!$B$6,"",IF($AS353,0,Constants!$B$12)+IF($AR353,0,Constants!$B$13)+IF($AH353,0,Constants!$B$14))</f>
        <v/>
      </c>
      <c r="BS353" s="98" t="str">
        <f aca="false">IF($BX353&lt;&gt;Constants!$B$6,"",Constants!$B$16+SUM($BN353:$BR353))</f>
        <v/>
      </c>
      <c r="BT353" s="97" t="str">
        <f aca="false">IF($BX353&lt;&gt;Constants!$B$6,"",$BN353)</f>
        <v/>
      </c>
      <c r="BU353" s="97" t="str">
        <f aca="false">IF($BX353&lt;&gt;Constants!$B$6,"",$BO353)</f>
        <v/>
      </c>
      <c r="BV353" s="99" t="str">
        <f aca="false">IF($BX353&lt;&gt;Constants!$B$6,"",IF($AT353,$AV353,""))</f>
        <v/>
      </c>
      <c r="BW353" s="93" t="str">
        <f aca="false">IF(ISBLANK($C353),"",IF(ISBLANK($D$7),$BW$5,IF(NOT(ISNUMBER($D$7)),$BW$6,"")))</f>
        <v/>
      </c>
      <c r="BX353" s="93" t="str">
        <f aca="false">IF(ISBLANK($C353),"",IF($BA353,Constants!$B$9,IF(COUNTA($E353:$AA353)=0,Constants!$B$8,IF(NOT($AG353),Constants!$B$7,IF(OR($BW353&lt;&gt;"",$BB353,$BM353),Constants!$B$10,Constants!$B$6)))))</f>
        <v/>
      </c>
      <c r="BY353" s="93" t="str">
        <f aca="false">IF(ISBLANK($C353),"",IF($BX353&lt;&gt;Constants!$B$6,$BX353,Constants!$B$11))</f>
        <v/>
      </c>
      <c r="BZ353" s="97" t="str">
        <f aca="false">IF($BX353&lt;&gt;Constants!$B$6,"",IF($BL353="-&gt;",$BS353,$BH353))</f>
        <v/>
      </c>
      <c r="CA353" s="97" t="str">
        <f aca="false">IF($BX353&lt;&gt;Constants!$B$6,"",IF($AF353,0,Constants!$B$15))</f>
        <v/>
      </c>
      <c r="CB353" s="97" t="str">
        <f aca="false">IF($BX353&lt;&gt;Constants!$B$6,"",((Constants!$B$25-$AZ353)-Constants!$B$25)/Constants!$B$26)</f>
        <v/>
      </c>
      <c r="CC353" s="97" t="str">
        <f aca="false">IF(ISBLANK($C353),"",IF($BX353&lt;&gt;Constants!$B$6,$BX353,SUM($BZ353:$CB353)))</f>
        <v/>
      </c>
      <c r="CD353" s="93" t="str">
        <f aca="false">IF(ISBLANK($C353),"",IF($BX353&lt;&gt;Constants!$B$6,$BX353,RANK($CC353,$CC$9:$CC$508,1)))</f>
        <v/>
      </c>
      <c r="CE353" s="97" t="str">
        <f aca="false">IF($BX353&lt;&gt;Constants!$B$6,"",IF($BL353="-&gt;",$BT353,$BI353))</f>
        <v/>
      </c>
      <c r="CF353" s="93" t="str">
        <f aca="false">IF(ISBLANK($C353),"",IF($BX353&lt;&gt;Constants!$B$6,$BX353,IF(ISNUMBER($CE353),RANK($CE353,$CE$9:$CE$508,1),COUNT($CE$9:$CE$508)+1)))</f>
        <v/>
      </c>
      <c r="CG353" s="97" t="str">
        <f aca="false">IF($BX353&lt;&gt;Constants!$B$6,"",IF($BL353="-&gt;",$BU353,$BJ353))</f>
        <v/>
      </c>
      <c r="CH353" s="93" t="str">
        <f aca="false">IF(ISBLANK($C353),"",IF($BX353&lt;&gt;Constants!$B$6,$BX353,IF(ISNUMBER($CG353),RANK($CG353,$CG$9:$CG$508,1),COUNT($CG$9:$CG$508)+1)))</f>
        <v/>
      </c>
      <c r="CI353" s="97" t="str">
        <f aca="false">IF($BX353&lt;&gt;Constants!$B$6,"",IF($BL353="-&gt;",$BV353,$BK353))</f>
        <v/>
      </c>
      <c r="CJ353" s="93" t="str">
        <f aca="false">IF(ISBLANK($C353),"",IF($BX353&lt;&gt;Constants!$B$6,$BX353,IF(ISNUMBER($CI353),RANK($CI353,$CI$9:$CI$508,1),COUNT($CI$9:$CI$508)+1)))</f>
        <v/>
      </c>
      <c r="CK353" s="97" t="str">
        <f aca="false">IF($BX353&lt;&gt;Constants!$B$6,"",$AI353)</f>
        <v/>
      </c>
      <c r="CL353" s="93" t="str">
        <f aca="false">IF(ISBLANK($C353),"",IF($BX353&lt;&gt;Constants!$B$6,$BX353,IF(ISNUMBER($CK353),RANK($CK353,$CK$9:$CK$508,1),COUNT($CK$9:$CK$508)+1)))</f>
        <v/>
      </c>
      <c r="CM353" s="93" t="str">
        <f aca="false">IF(ISBLANK($C353),"",IF($BX353&lt;&gt;Constants!$B$6,$BX353,COUNTIFS($CD$9:$CD$508,"&lt;"&amp;$CD353)+COUNTIFS($CD$9:$CD$508,$CD353,$CF$9:$CF$508,"&lt;"&amp;$CF353)+COUNTIFS($CD$9:$CD$508,$CD353,$CF$9:$CF$508,$CF353,$CH$9:$CH$508,"&lt;"&amp;$CH353)+COUNTIFS($CD$9:$CD$508,$CD353,$CF$9:$CF$508,$CF353,$CH$9:$CH$508,$CH353,$CJ$9:$CJ$508,"&lt;"&amp;$CJ353)+COUNTIFS($CD$9:$CD$508,$CD353,$CF$9:$CF$508,$CF353,$CH$9:$CH$508,$CH353,$CJ$9:$CJ$508,$CJ353,$CL$9:$CL$508,"&lt;"&amp;$CL353)+1))</f>
        <v/>
      </c>
      <c r="CN353" s="93" t="str">
        <f aca="false">IF(ISBLANK($C353),"",IF($BX353&lt;&gt;Constants!$B$6,$BX353,$CD353-$CM353))</f>
        <v/>
      </c>
      <c r="CO353" s="100"/>
      <c r="CP353" s="101"/>
      <c r="CQ353" s="102" t="str">
        <f aca="false">IF(ISBLANK($C353),"",IF($BX353=Constants!$B$10,$BW353,""))</f>
        <v/>
      </c>
      <c r="CR353" s="101" t="str">
        <f aca="false">IF(ISBLANK($C353),"",IF($BX353&lt;&gt;Constants!$B$6,"",IF($BL353="-&gt;",2,1)))</f>
        <v/>
      </c>
      <c r="CS353" s="103" t="str">
        <f aca="false">IF(ISBLANK($C353),"",IF($BX353&lt;&gt;Constants!$B$6,"",IF($BL353="-&gt;",$BN353,$BC353)))</f>
        <v/>
      </c>
      <c r="CT353" s="103" t="str">
        <f aca="false">IF(ISBLANK($C353),"",IF($BX353&lt;&gt;Constants!$B$6,"",IF($BL353="-&gt;",$BO353,$BD353)))</f>
        <v/>
      </c>
      <c r="CU353" s="103" t="str">
        <f aca="false">IF(ISBLANK($C353),"",IF($BX353&lt;&gt;Constants!$B$6,"",IF($BL353="-&gt;",$BP353+$BQ353,$BE353+$BF353)+$CB353))</f>
        <v/>
      </c>
      <c r="CV353" s="103" t="str">
        <f aca="false">IF(ISBLANK($C353),"",IF($BX353&lt;&gt;Constants!$B$6,"",IF($BL353="-&gt;",$BR353,$BG353)+$CA353))</f>
        <v/>
      </c>
      <c r="CW353" s="104" t="str">
        <f aca="false">IF(ISBLANK($C353),"",IF($BX353&lt;&gt;Constants!$B$6,$BX353,$CC353))</f>
        <v/>
      </c>
      <c r="CX353" s="105" t="str">
        <f aca="false">IF(ISBLANK($C353),"",$BY353)</f>
        <v/>
      </c>
      <c r="CY353" s="106" t="str">
        <f aca="false">IF(ISBLANK($C353),"",$CN353)</f>
        <v/>
      </c>
      <c r="CZ353" s="106" t="str">
        <f aca="false">IF(ISBLANK($C353),"",$CM353)</f>
        <v/>
      </c>
      <c r="DA353" s="107" t="str">
        <f aca="false">IF(ISBLANK($C353),"",IFERROR(_xlfn.SWITCH($CZ353,Constants!$B$9,COUNTA($C$9:$C$508)+2,Constants!$B$8,COUNTA($C$9:$C$508)+1,Constants!$B$7,COUNTA($C$9:$C$508)),$CZ353))</f>
        <v/>
      </c>
      <c r="DB353" s="9"/>
      <c r="DC353" s="108" t="n">
        <f aca="false">IF(OR(ISNUMBER($CZ353),$CZ353=Constants!$B$9,$CZ353=Constants!$B$7,$CZ353=Constants!$B$8),1,0)</f>
        <v>0</v>
      </c>
      <c r="DD353" s="108" t="n">
        <v>345</v>
      </c>
      <c r="DE353" s="108" t="str">
        <f aca="false">IF(ISBLANK($C353),"",IF(ISNUMBER($DA353),$DA353+ROW($B353)/1000,""))</f>
        <v/>
      </c>
      <c r="DF353" s="108" t="str">
        <f aca="false">IF(ISNUMBER($DE353),RANK($DE353,$DE$9:$DE$508,1),"")</f>
        <v/>
      </c>
      <c r="DG353" s="108" t="str">
        <f aca="false">IF(ISBLANK($C353),"",$B353)</f>
        <v/>
      </c>
      <c r="DH353" s="108" t="str">
        <f aca="false">IF(ISBLANK($C353),"",$C353)</f>
        <v/>
      </c>
      <c r="DI353" s="108" t="str">
        <f aca="false">IF(ISBLANK($C353),"",$D353)</f>
        <v/>
      </c>
      <c r="DJ353" s="109" t="str">
        <f aca="false">$CX353</f>
        <v/>
      </c>
      <c r="DK353" s="110" t="str">
        <f aca="false">$CW353</f>
        <v/>
      </c>
      <c r="DL353" s="108" t="str">
        <f aca="false">IF(ISBLANK($C353),"",$CZ353)</f>
        <v/>
      </c>
      <c r="DM353" s="111" t="str">
        <f aca="false">IF($DD353&gt;$DC$8,"",VLOOKUP($DD353,$DF$9:$DL$508,7,FALSE()))</f>
        <v/>
      </c>
      <c r="DN353" s="112" t="str">
        <f aca="false">IF($DD353&gt;$DC$8,"",VLOOKUP($DD353,$DF$9:$DL$508,2,FALSE()))</f>
        <v/>
      </c>
      <c r="DO353" s="112" t="str">
        <f aca="false">IF($DD353&gt;$DC$8,"",VLOOKUP($DD353,$DF$9:$DL$508,3,FALSE()))</f>
        <v/>
      </c>
      <c r="DP353" s="112" t="str">
        <f aca="false">IF($DD353&gt;$DC$8,"",VLOOKUP($DD353,$DF$9:$DL$508,4,FALSE()))</f>
        <v/>
      </c>
      <c r="DQ353" s="112" t="str">
        <f aca="false">IF($DD353&gt;$DC$8,"",VLOOKUP($DD353,$DF$9:$DL$508,5,FALSE()))</f>
        <v/>
      </c>
      <c r="DR353" s="113" t="str">
        <f aca="false">IF($DD353&gt;$DC$8,"",VLOOKUP($DD353,$DF$9:$DL$508,6,FALSE()))</f>
        <v/>
      </c>
      <c r="DS353" s="76"/>
    </row>
    <row r="354" customFormat="false" ht="15.75" hidden="false" customHeight="false" outlineLevel="0" collapsed="false">
      <c r="A354" s="9"/>
      <c r="B354" s="160"/>
      <c r="C354" s="161"/>
      <c r="D354" s="162"/>
      <c r="E354" s="180"/>
      <c r="F354" s="164"/>
      <c r="G354" s="165"/>
      <c r="H354" s="165"/>
      <c r="I354" s="181"/>
      <c r="J354" s="168"/>
      <c r="K354" s="128"/>
      <c r="L354" s="129"/>
      <c r="M354" s="130"/>
      <c r="N354" s="168"/>
      <c r="O354" s="168"/>
      <c r="P354" s="180"/>
      <c r="Q354" s="168"/>
      <c r="R354" s="168"/>
      <c r="S354" s="128"/>
      <c r="T354" s="130"/>
      <c r="U354" s="130"/>
      <c r="V354" s="168"/>
      <c r="W354" s="168"/>
      <c r="X354" s="180"/>
      <c r="Y354" s="168"/>
      <c r="Z354" s="169"/>
      <c r="AA354" s="168"/>
      <c r="AB354" s="134"/>
      <c r="AC354" s="135"/>
      <c r="AD354" s="135"/>
      <c r="AE354" s="135"/>
      <c r="AF354" s="135" t="str">
        <f aca="false">IF(ISBLANK($C354),"",IF(E354=Constants!$B$2,TRUE(),IF(E354=Constants!$B$3,FALSE(),TRUE())))</f>
        <v/>
      </c>
      <c r="AG354" s="135" t="str">
        <f aca="false">IF(ISBLANK($C354),"",IF(F354=Constants!$B$2,TRUE(),IF(F354=Constants!$B$3,FALSE(),TRUE())))</f>
        <v/>
      </c>
      <c r="AH354" s="135" t="str">
        <f aca="false">IF(ISBLANK($C354),"",IF(G354=Constants!$B$2,TRUE(),IF(G354=Constants!$B$3,FALSE(),TRUE())))</f>
        <v/>
      </c>
      <c r="AI354" s="135" t="str">
        <f aca="false">IF(ISBLANK($C354),"",IF(AND(ISNUMBER(H354),H354&gt;=0),H354,Constants!$B$24))</f>
        <v/>
      </c>
      <c r="AJ354" s="135" t="str">
        <f aca="false">IF(ISBLANK($C354),"",IF(I354=Constants!$B$2,TRUE(),IF(I354=Constants!$B$3,FALSE(),TRUE())))</f>
        <v/>
      </c>
      <c r="AK354" s="135" t="str">
        <f aca="false">IF(ISBLANK($C354),"",IF(J354=Constants!$B$2,TRUE(),IF(J354=Constants!$B$3,FALSE(),TRUE())))</f>
        <v/>
      </c>
      <c r="AL354" s="135" t="str">
        <f aca="false">IF(ISBLANK($C354),"",IF(K354=Constants!$B$4,TRUE(),IF(K354=Constants!$B$5,FALSE(),COUNTA(L354:P354)&gt;0)))</f>
        <v/>
      </c>
      <c r="AM354" s="136" t="str">
        <f aca="false">IF(ISBLANK($C354),"",IF(ISNUMBER(L354),IF(L354&gt;=0,L354,""),""))</f>
        <v/>
      </c>
      <c r="AN354" s="137" t="str">
        <f aca="false">IF(ISBLANK($C354),"",IF(ISNUMBER(M354),IF(M354&gt;=0,M354,""),""))</f>
        <v/>
      </c>
      <c r="AO354" s="137" t="str">
        <f aca="false">IF(ISBLANK($C354),"",IF(N354=Constants!$B$2,TRUE(),IF(N354=Constants!$B$3,FALSE(),TRUE())))</f>
        <v/>
      </c>
      <c r="AP354" s="135" t="str">
        <f aca="false">IF(ISBLANK($C354),"",IF(ISNUMBER(O354),IF(O354&gt;=0,O354,""),""))</f>
        <v/>
      </c>
      <c r="AQ354" s="135" t="str">
        <f aca="false">IF(ISBLANK($C354),"",IF(P354=Constants!$B$2,TRUE(),IF(P354=Constants!$B$3,FALSE(),FALSE())))</f>
        <v/>
      </c>
      <c r="AR354" s="135" t="str">
        <f aca="false">IF(ISBLANK($C354),"",IF(Q354=Constants!$B$2,TRUE(),IF(Q354=Constants!$B$3,FALSE(),TRUE())))</f>
        <v/>
      </c>
      <c r="AS354" s="135" t="str">
        <f aca="false">IF(ISBLANK($C354),"",IF(R354=Constants!$B$2,TRUE(),IF(R354=Constants!$B$3,FALSE(),TRUE())))</f>
        <v/>
      </c>
      <c r="AT354" s="135" t="str">
        <f aca="false">IF(ISBLANK($C354),"",IF(S354=Constants!$B$4,TRUE(),IF(S354=Constants!$B$5,FALSE(),COUNTA(T354:X354)&gt;0)))</f>
        <v/>
      </c>
      <c r="AU354" s="136" t="str">
        <f aca="false">IF(ISBLANK($C354),"",IF(ISNUMBER(T354),IF(T354&gt;=0,T354,""),""))</f>
        <v/>
      </c>
      <c r="AV354" s="137" t="str">
        <f aca="false">IF(ISBLANK($C354),"",IF(ISNUMBER(U354),IF(U354&gt;=0,U354,""),""))</f>
        <v/>
      </c>
      <c r="AW354" s="137" t="str">
        <f aca="false">IF(ISBLANK($C354),"",IF(V354=Constants!$B$2,TRUE(),IF(V354=Constants!$B$3,FALSE(),TRUE())))</f>
        <v/>
      </c>
      <c r="AX354" s="135" t="str">
        <f aca="false">IF(ISBLANK($C354),"",IF(ISNUMBER(W354),IF(W354&gt;=0,W354,""),""))</f>
        <v/>
      </c>
      <c r="AY354" s="135" t="str">
        <f aca="false">IF(ISBLANK($C354),"",IF(X354=Constants!$B$2,TRUE(),IF(X354=Constants!$B$3,FALSE(),FALSE())))</f>
        <v/>
      </c>
      <c r="AZ354" s="135" t="str">
        <f aca="false">IF(ISBLANK($C354),"",MIN(Constants!$B$25,MAX(0,IF(ISNUMBER(Y354),Y354*60,0)+IF(ISNUMBER(Z354),Z354,0))))</f>
        <v/>
      </c>
      <c r="BA354" s="135" t="str">
        <f aca="false">IF(ISBLANK($C354),"",IF(AA354=Constants!$B$2,TRUE(),IF(AA354=Constants!$B$3,FALSE(),FALSE())))</f>
        <v/>
      </c>
      <c r="BB354" s="134" t="str">
        <f aca="false">IF(ISBLANK($C354),"",AND($AL354,OR($AM354="",$AN354="",AND($AO354,$AP354=""))))</f>
        <v/>
      </c>
      <c r="BC354" s="137" t="str">
        <f aca="false">IF($BX354&lt;&gt;Constants!$B$6,"",IF($AL354,Constants!$B$17*$AN354+Constants!$B$18*IF($AO354,$AP354,Constants!$B$19),Constants!$B$20))</f>
        <v/>
      </c>
      <c r="BD354" s="138" t="str">
        <f aca="false">IF($BX354&lt;&gt;Constants!$B$6,"",Constants!$B$21*ABS($AD$9-IF($AL354,$AM354,0)))</f>
        <v/>
      </c>
      <c r="BE354" s="138" t="str">
        <f aca="false">IF($BX354&lt;&gt;Constants!$B$6,"",IF(AND($AL354,$AQ354,$AO354),Constants!$B$22,0))</f>
        <v/>
      </c>
      <c r="BF354" s="138" t="str">
        <f aca="false">IF($BX354&lt;&gt;Constants!$B$6,"",IF($AL354,($AI354-Constants!$B$24)*Constants!$B$23,0))</f>
        <v/>
      </c>
      <c r="BG354" s="138" t="str">
        <f aca="false">IF($BX354&lt;&gt;Constants!$B$6,"",IF($AK354,0,Constants!$B$12)+IF($AJ354,0,Constants!$B$13)+IF($AH354,0,Constants!$B$14))</f>
        <v/>
      </c>
      <c r="BH354" s="139" t="str">
        <f aca="false">IF($BX354&lt;&gt;Constants!$B$6,"",Constants!$B$16+SUM($BC354:$BG354))</f>
        <v/>
      </c>
      <c r="BI354" s="138" t="str">
        <f aca="false">IF($BX354&lt;&gt;Constants!$B$6,"",$BC354)</f>
        <v/>
      </c>
      <c r="BJ354" s="138" t="str">
        <f aca="false">IF($BX354&lt;&gt;Constants!$B$6,"",$BD354)</f>
        <v/>
      </c>
      <c r="BK354" s="140" t="str">
        <f aca="false">IF($BX354&lt;&gt;Constants!$B$6,"",IF($AL354,$AN354,""))</f>
        <v/>
      </c>
      <c r="BL354" s="135" t="str">
        <f aca="false">IF($BX354&lt;&gt;Constants!$B$6,"",IF(OR($BS354&lt;$BH354,AND($BS354=$BH354,OR($BT354&lt;$BI354,AND($BT354=$BI354,OR($BU354&lt;$BJ354,AND($BU354=$BJ354,AND(ISNUMBER($BV354),OR(NOT(ISNUMBER($BK354)),$BV354&lt;$BK354)))))))),"-&gt;","&lt;-"))</f>
        <v/>
      </c>
      <c r="BM354" s="134" t="str">
        <f aca="false">IF(ISBLANK($C354),"",AND($AT354,OR($AU354="",$AV354="",AND($AW354,$AX354=""))))</f>
        <v/>
      </c>
      <c r="BN354" s="137" t="str">
        <f aca="false">IF($BX354&lt;&gt;Constants!$B$6,"",IF($AT354,Constants!$B$17*$AV354+Constants!$B$18*IF($AW354,$AX354,Constants!$B$19),Constants!$B$20))</f>
        <v/>
      </c>
      <c r="BO354" s="138" t="str">
        <f aca="false">IF($BX354&lt;&gt;Constants!$B$6,"",Constants!$B$21*ABS($AD$9-IF($AT354,$AU354,0)))</f>
        <v/>
      </c>
      <c r="BP354" s="138" t="str">
        <f aca="false">IF($BX354&lt;&gt;Constants!$B$6,"",IF(AND($AT354,$AY354,$AW354),Constants!$B$22,0))</f>
        <v/>
      </c>
      <c r="BQ354" s="138" t="str">
        <f aca="false">IF($BX354&lt;&gt;Constants!$B$6,"",IF($AT354,($AI354-Constants!$B$24)*Constants!$B$23,0))</f>
        <v/>
      </c>
      <c r="BR354" s="138" t="str">
        <f aca="false">IF($BX354&lt;&gt;Constants!$B$6,"",IF($AS354,0,Constants!$B$12)+IF($AR354,0,Constants!$B$13)+IF($AH354,0,Constants!$B$14))</f>
        <v/>
      </c>
      <c r="BS354" s="139" t="str">
        <f aca="false">IF($BX354&lt;&gt;Constants!$B$6,"",Constants!$B$16+SUM($BN354:$BR354))</f>
        <v/>
      </c>
      <c r="BT354" s="138" t="str">
        <f aca="false">IF($BX354&lt;&gt;Constants!$B$6,"",$BN354)</f>
        <v/>
      </c>
      <c r="BU354" s="138" t="str">
        <f aca="false">IF($BX354&lt;&gt;Constants!$B$6,"",$BO354)</f>
        <v/>
      </c>
      <c r="BV354" s="140" t="str">
        <f aca="false">IF($BX354&lt;&gt;Constants!$B$6,"",IF($AT354,$AV354,""))</f>
        <v/>
      </c>
      <c r="BW354" s="135" t="str">
        <f aca="false">IF(ISBLANK($C354),"",IF(ISBLANK($D$7),$BW$5,IF(NOT(ISNUMBER($D$7)),$BW$6,"")))</f>
        <v/>
      </c>
      <c r="BX354" s="135" t="str">
        <f aca="false">IF(ISBLANK($C354),"",IF($BA354,Constants!$B$9,IF(COUNTA($E354:$AA354)=0,Constants!$B$8,IF(NOT($AG354),Constants!$B$7,IF(OR($BW354&lt;&gt;"",$BB354,$BM354),Constants!$B$10,Constants!$B$6)))))</f>
        <v/>
      </c>
      <c r="BY354" s="135" t="str">
        <f aca="false">IF(ISBLANK($C354),"",IF($BX354&lt;&gt;Constants!$B$6,$BX354,Constants!$B$11))</f>
        <v/>
      </c>
      <c r="BZ354" s="138" t="str">
        <f aca="false">IF($BX354&lt;&gt;Constants!$B$6,"",IF($BL354="-&gt;",$BS354,$BH354))</f>
        <v/>
      </c>
      <c r="CA354" s="138" t="str">
        <f aca="false">IF($BX354&lt;&gt;Constants!$B$6,"",IF($AF354,0,Constants!$B$15))</f>
        <v/>
      </c>
      <c r="CB354" s="138" t="str">
        <f aca="false">IF($BX354&lt;&gt;Constants!$B$6,"",((Constants!$B$25-$AZ354)-Constants!$B$25)/Constants!$B$26)</f>
        <v/>
      </c>
      <c r="CC354" s="138" t="str">
        <f aca="false">IF(ISBLANK($C354),"",IF($BX354&lt;&gt;Constants!$B$6,$BX354,SUM($BZ354:$CB354)))</f>
        <v/>
      </c>
      <c r="CD354" s="135" t="str">
        <f aca="false">IF(ISBLANK($C354),"",IF($BX354&lt;&gt;Constants!$B$6,$BX354,RANK($CC354,$CC$9:$CC$508,1)))</f>
        <v/>
      </c>
      <c r="CE354" s="138" t="str">
        <f aca="false">IF($BX354&lt;&gt;Constants!$B$6,"",IF($BL354="-&gt;",$BT354,$BI354))</f>
        <v/>
      </c>
      <c r="CF354" s="135" t="str">
        <f aca="false">IF(ISBLANK($C354),"",IF($BX354&lt;&gt;Constants!$B$6,$BX354,IF(ISNUMBER($CE354),RANK($CE354,$CE$9:$CE$508,1),COUNT($CE$9:$CE$508)+1)))</f>
        <v/>
      </c>
      <c r="CG354" s="138" t="str">
        <f aca="false">IF($BX354&lt;&gt;Constants!$B$6,"",IF($BL354="-&gt;",$BU354,$BJ354))</f>
        <v/>
      </c>
      <c r="CH354" s="135" t="str">
        <f aca="false">IF(ISBLANK($C354),"",IF($BX354&lt;&gt;Constants!$B$6,$BX354,IF(ISNUMBER($CG354),RANK($CG354,$CG$9:$CG$508,1),COUNT($CG$9:$CG$508)+1)))</f>
        <v/>
      </c>
      <c r="CI354" s="138" t="str">
        <f aca="false">IF($BX354&lt;&gt;Constants!$B$6,"",IF($BL354="-&gt;",$BV354,$BK354))</f>
        <v/>
      </c>
      <c r="CJ354" s="135" t="str">
        <f aca="false">IF(ISBLANK($C354),"",IF($BX354&lt;&gt;Constants!$B$6,$BX354,IF(ISNUMBER($CI354),RANK($CI354,$CI$9:$CI$508,1),COUNT($CI$9:$CI$508)+1)))</f>
        <v/>
      </c>
      <c r="CK354" s="138" t="str">
        <f aca="false">IF($BX354&lt;&gt;Constants!$B$6,"",$AI354)</f>
        <v/>
      </c>
      <c r="CL354" s="135" t="str">
        <f aca="false">IF(ISBLANK($C354),"",IF($BX354&lt;&gt;Constants!$B$6,$BX354,IF(ISNUMBER($CK354),RANK($CK354,$CK$9:$CK$508,1),COUNT($CK$9:$CK$508)+1)))</f>
        <v/>
      </c>
      <c r="CM354" s="135" t="str">
        <f aca="false">IF(ISBLANK($C354),"",IF($BX354&lt;&gt;Constants!$B$6,$BX354,COUNTIFS($CD$9:$CD$508,"&lt;"&amp;$CD354)+COUNTIFS($CD$9:$CD$508,$CD354,$CF$9:$CF$508,"&lt;"&amp;$CF354)+COUNTIFS($CD$9:$CD$508,$CD354,$CF$9:$CF$508,$CF354,$CH$9:$CH$508,"&lt;"&amp;$CH354)+COUNTIFS($CD$9:$CD$508,$CD354,$CF$9:$CF$508,$CF354,$CH$9:$CH$508,$CH354,$CJ$9:$CJ$508,"&lt;"&amp;$CJ354)+COUNTIFS($CD$9:$CD$508,$CD354,$CF$9:$CF$508,$CF354,$CH$9:$CH$508,$CH354,$CJ$9:$CJ$508,$CJ354,$CL$9:$CL$508,"&lt;"&amp;$CL354)+1))</f>
        <v/>
      </c>
      <c r="CN354" s="135" t="str">
        <f aca="false">IF(ISBLANK($C354),"",IF($BX354&lt;&gt;Constants!$B$6,$BX354,$CD354-$CM354))</f>
        <v/>
      </c>
      <c r="CO354" s="141"/>
      <c r="CP354" s="142"/>
      <c r="CQ354" s="143" t="str">
        <f aca="false">IF(ISBLANK($C354),"",IF($BX354=Constants!$B$10,$BW354,""))</f>
        <v/>
      </c>
      <c r="CR354" s="142" t="str">
        <f aca="false">IF(ISBLANK($C354),"",IF($BX354&lt;&gt;Constants!$B$6,"",IF($BL354="-&gt;",2,1)))</f>
        <v/>
      </c>
      <c r="CS354" s="144" t="str">
        <f aca="false">IF(ISBLANK($C354),"",IF($BX354&lt;&gt;Constants!$B$6,"",IF($BL354="-&gt;",$BN354,$BC354)))</f>
        <v/>
      </c>
      <c r="CT354" s="144" t="str">
        <f aca="false">IF(ISBLANK($C354),"",IF($BX354&lt;&gt;Constants!$B$6,"",IF($BL354="-&gt;",$BO354,$BD354)))</f>
        <v/>
      </c>
      <c r="CU354" s="144" t="str">
        <f aca="false">IF(ISBLANK($C354),"",IF($BX354&lt;&gt;Constants!$B$6,"",IF($BL354="-&gt;",$BP354+$BQ354,$BE354+$BF354)+$CB354))</f>
        <v/>
      </c>
      <c r="CV354" s="144" t="str">
        <f aca="false">IF(ISBLANK($C354),"",IF($BX354&lt;&gt;Constants!$B$6,"",IF($BL354="-&gt;",$BR354,$BG354)+$CA354))</f>
        <v/>
      </c>
      <c r="CW354" s="145" t="str">
        <f aca="false">IF(ISBLANK($C354),"",IF($BX354&lt;&gt;Constants!$B$6,$BX354,$CC354))</f>
        <v/>
      </c>
      <c r="CX354" s="146" t="str">
        <f aca="false">IF(ISBLANK($C354),"",$BY354)</f>
        <v/>
      </c>
      <c r="CY354" s="147" t="str">
        <f aca="false">IF(ISBLANK($C354),"",$CN354)</f>
        <v/>
      </c>
      <c r="CZ354" s="147" t="str">
        <f aca="false">IF(ISBLANK($C354),"",$CM354)</f>
        <v/>
      </c>
      <c r="DA354" s="148" t="str">
        <f aca="false">IF(ISBLANK($C354),"",IFERROR(_xlfn.SWITCH($CZ354,Constants!$B$9,COUNTA($C$9:$C$508)+2,Constants!$B$8,COUNTA($C$9:$C$508)+1,Constants!$B$7,COUNTA($C$9:$C$508)),$CZ354))</f>
        <v/>
      </c>
      <c r="DB354" s="9"/>
      <c r="DC354" s="149" t="n">
        <f aca="false">IF(OR(ISNUMBER($CZ354),$CZ354=Constants!$B$9,$CZ354=Constants!$B$7,$CZ354=Constants!$B$8),1,0)</f>
        <v>0</v>
      </c>
      <c r="DD354" s="149" t="n">
        <v>346</v>
      </c>
      <c r="DE354" s="149" t="str">
        <f aca="false">IF(ISBLANK($C354),"",IF(ISNUMBER($DA354),$DA354+ROW($B354)/1000,""))</f>
        <v/>
      </c>
      <c r="DF354" s="149" t="str">
        <f aca="false">IF(ISNUMBER($DE354),RANK($DE354,$DE$9:$DE$508,1),"")</f>
        <v/>
      </c>
      <c r="DG354" s="149" t="str">
        <f aca="false">IF(ISBLANK($C354),"",$B354)</f>
        <v/>
      </c>
      <c r="DH354" s="149" t="str">
        <f aca="false">IF(ISBLANK($C354),"",$C354)</f>
        <v/>
      </c>
      <c r="DI354" s="149" t="str">
        <f aca="false">IF(ISBLANK($C354),"",$D354)</f>
        <v/>
      </c>
      <c r="DJ354" s="150" t="str">
        <f aca="false">$CX354</f>
        <v/>
      </c>
      <c r="DK354" s="151" t="str">
        <f aca="false">$CW354</f>
        <v/>
      </c>
      <c r="DL354" s="149" t="str">
        <f aca="false">IF(ISBLANK($C354),"",$CZ354)</f>
        <v/>
      </c>
      <c r="DM354" s="152" t="str">
        <f aca="false">IF($DD354&gt;$DC$8,"",VLOOKUP($DD354,$DF$9:$DL$508,7,FALSE()))</f>
        <v/>
      </c>
      <c r="DN354" s="153" t="str">
        <f aca="false">IF($DD354&gt;$DC$8,"",VLOOKUP($DD354,$DF$9:$DL$508,2,FALSE()))</f>
        <v/>
      </c>
      <c r="DO354" s="153" t="str">
        <f aca="false">IF($DD354&gt;$DC$8,"",VLOOKUP($DD354,$DF$9:$DL$508,3,FALSE()))</f>
        <v/>
      </c>
      <c r="DP354" s="153" t="str">
        <f aca="false">IF($DD354&gt;$DC$8,"",VLOOKUP($DD354,$DF$9:$DL$508,4,FALSE()))</f>
        <v/>
      </c>
      <c r="DQ354" s="153" t="str">
        <f aca="false">IF($DD354&gt;$DC$8,"",VLOOKUP($DD354,$DF$9:$DL$508,5,FALSE()))</f>
        <v/>
      </c>
      <c r="DR354" s="154" t="str">
        <f aca="false">IF($DD354&gt;$DC$8,"",VLOOKUP($DD354,$DF$9:$DL$508,6,FALSE()))</f>
        <v/>
      </c>
      <c r="DS354" s="76"/>
    </row>
    <row r="355" customFormat="false" ht="15.75" hidden="false" customHeight="false" outlineLevel="0" collapsed="false">
      <c r="A355" s="9"/>
      <c r="B355" s="160"/>
      <c r="C355" s="161"/>
      <c r="D355" s="162"/>
      <c r="E355" s="180"/>
      <c r="F355" s="164"/>
      <c r="G355" s="165"/>
      <c r="H355" s="165"/>
      <c r="I355" s="181"/>
      <c r="J355" s="168"/>
      <c r="K355" s="128"/>
      <c r="L355" s="129"/>
      <c r="M355" s="130"/>
      <c r="N355" s="168"/>
      <c r="O355" s="168"/>
      <c r="P355" s="180"/>
      <c r="Q355" s="168"/>
      <c r="R355" s="168"/>
      <c r="S355" s="128"/>
      <c r="T355" s="130"/>
      <c r="U355" s="130"/>
      <c r="V355" s="168"/>
      <c r="W355" s="168"/>
      <c r="X355" s="180"/>
      <c r="Y355" s="168"/>
      <c r="Z355" s="169"/>
      <c r="AA355" s="168"/>
      <c r="AB355" s="134"/>
      <c r="AC355" s="135"/>
      <c r="AD355" s="135"/>
      <c r="AE355" s="135"/>
      <c r="AF355" s="135" t="str">
        <f aca="false">IF(ISBLANK($C355),"",IF(E355=Constants!$B$2,TRUE(),IF(E355=Constants!$B$3,FALSE(),TRUE())))</f>
        <v/>
      </c>
      <c r="AG355" s="135" t="str">
        <f aca="false">IF(ISBLANK($C355),"",IF(F355=Constants!$B$2,TRUE(),IF(F355=Constants!$B$3,FALSE(),TRUE())))</f>
        <v/>
      </c>
      <c r="AH355" s="135" t="str">
        <f aca="false">IF(ISBLANK($C355),"",IF(G355=Constants!$B$2,TRUE(),IF(G355=Constants!$B$3,FALSE(),TRUE())))</f>
        <v/>
      </c>
      <c r="AI355" s="135" t="str">
        <f aca="false">IF(ISBLANK($C355),"",IF(AND(ISNUMBER(H355),H355&gt;=0),H355,Constants!$B$24))</f>
        <v/>
      </c>
      <c r="AJ355" s="135" t="str">
        <f aca="false">IF(ISBLANK($C355),"",IF(I355=Constants!$B$2,TRUE(),IF(I355=Constants!$B$3,FALSE(),TRUE())))</f>
        <v/>
      </c>
      <c r="AK355" s="135" t="str">
        <f aca="false">IF(ISBLANK($C355),"",IF(J355=Constants!$B$2,TRUE(),IF(J355=Constants!$B$3,FALSE(),TRUE())))</f>
        <v/>
      </c>
      <c r="AL355" s="135" t="str">
        <f aca="false">IF(ISBLANK($C355),"",IF(K355=Constants!$B$4,TRUE(),IF(K355=Constants!$B$5,FALSE(),COUNTA(L355:P355)&gt;0)))</f>
        <v/>
      </c>
      <c r="AM355" s="136" t="str">
        <f aca="false">IF(ISBLANK($C355),"",IF(ISNUMBER(L355),IF(L355&gt;=0,L355,""),""))</f>
        <v/>
      </c>
      <c r="AN355" s="137" t="str">
        <f aca="false">IF(ISBLANK($C355),"",IF(ISNUMBER(M355),IF(M355&gt;=0,M355,""),""))</f>
        <v/>
      </c>
      <c r="AO355" s="137" t="str">
        <f aca="false">IF(ISBLANK($C355),"",IF(N355=Constants!$B$2,TRUE(),IF(N355=Constants!$B$3,FALSE(),TRUE())))</f>
        <v/>
      </c>
      <c r="AP355" s="135" t="str">
        <f aca="false">IF(ISBLANK($C355),"",IF(ISNUMBER(O355),IF(O355&gt;=0,O355,""),""))</f>
        <v/>
      </c>
      <c r="AQ355" s="135" t="str">
        <f aca="false">IF(ISBLANK($C355),"",IF(P355=Constants!$B$2,TRUE(),IF(P355=Constants!$B$3,FALSE(),FALSE())))</f>
        <v/>
      </c>
      <c r="AR355" s="135" t="str">
        <f aca="false">IF(ISBLANK($C355),"",IF(Q355=Constants!$B$2,TRUE(),IF(Q355=Constants!$B$3,FALSE(),TRUE())))</f>
        <v/>
      </c>
      <c r="AS355" s="135" t="str">
        <f aca="false">IF(ISBLANK($C355),"",IF(R355=Constants!$B$2,TRUE(),IF(R355=Constants!$B$3,FALSE(),TRUE())))</f>
        <v/>
      </c>
      <c r="AT355" s="135" t="str">
        <f aca="false">IF(ISBLANK($C355),"",IF(S355=Constants!$B$4,TRUE(),IF(S355=Constants!$B$5,FALSE(),COUNTA(T355:X355)&gt;0)))</f>
        <v/>
      </c>
      <c r="AU355" s="136" t="str">
        <f aca="false">IF(ISBLANK($C355),"",IF(ISNUMBER(T355),IF(T355&gt;=0,T355,""),""))</f>
        <v/>
      </c>
      <c r="AV355" s="137" t="str">
        <f aca="false">IF(ISBLANK($C355),"",IF(ISNUMBER(U355),IF(U355&gt;=0,U355,""),""))</f>
        <v/>
      </c>
      <c r="AW355" s="137" t="str">
        <f aca="false">IF(ISBLANK($C355),"",IF(V355=Constants!$B$2,TRUE(),IF(V355=Constants!$B$3,FALSE(),TRUE())))</f>
        <v/>
      </c>
      <c r="AX355" s="135" t="str">
        <f aca="false">IF(ISBLANK($C355),"",IF(ISNUMBER(W355),IF(W355&gt;=0,W355,""),""))</f>
        <v/>
      </c>
      <c r="AY355" s="135" t="str">
        <f aca="false">IF(ISBLANK($C355),"",IF(X355=Constants!$B$2,TRUE(),IF(X355=Constants!$B$3,FALSE(),FALSE())))</f>
        <v/>
      </c>
      <c r="AZ355" s="135" t="str">
        <f aca="false">IF(ISBLANK($C355),"",MIN(Constants!$B$25,MAX(0,IF(ISNUMBER(Y355),Y355*60,0)+IF(ISNUMBER(Z355),Z355,0))))</f>
        <v/>
      </c>
      <c r="BA355" s="135" t="str">
        <f aca="false">IF(ISBLANK($C355),"",IF(AA355=Constants!$B$2,TRUE(),IF(AA355=Constants!$B$3,FALSE(),FALSE())))</f>
        <v/>
      </c>
      <c r="BB355" s="134" t="str">
        <f aca="false">IF(ISBLANK($C355),"",AND($AL355,OR($AM355="",$AN355="",AND($AO355,$AP355=""))))</f>
        <v/>
      </c>
      <c r="BC355" s="137" t="str">
        <f aca="false">IF($BX355&lt;&gt;Constants!$B$6,"",IF($AL355,Constants!$B$17*$AN355+Constants!$B$18*IF($AO355,$AP355,Constants!$B$19),Constants!$B$20))</f>
        <v/>
      </c>
      <c r="BD355" s="138" t="str">
        <f aca="false">IF($BX355&lt;&gt;Constants!$B$6,"",Constants!$B$21*ABS($AD$9-IF($AL355,$AM355,0)))</f>
        <v/>
      </c>
      <c r="BE355" s="138" t="str">
        <f aca="false">IF($BX355&lt;&gt;Constants!$B$6,"",IF(AND($AL355,$AQ355,$AO355),Constants!$B$22,0))</f>
        <v/>
      </c>
      <c r="BF355" s="138" t="str">
        <f aca="false">IF($BX355&lt;&gt;Constants!$B$6,"",IF($AL355,($AI355-Constants!$B$24)*Constants!$B$23,0))</f>
        <v/>
      </c>
      <c r="BG355" s="138" t="str">
        <f aca="false">IF($BX355&lt;&gt;Constants!$B$6,"",IF($AK355,0,Constants!$B$12)+IF($AJ355,0,Constants!$B$13)+IF($AH355,0,Constants!$B$14))</f>
        <v/>
      </c>
      <c r="BH355" s="139" t="str">
        <f aca="false">IF($BX355&lt;&gt;Constants!$B$6,"",Constants!$B$16+SUM($BC355:$BG355))</f>
        <v/>
      </c>
      <c r="BI355" s="138" t="str">
        <f aca="false">IF($BX355&lt;&gt;Constants!$B$6,"",$BC355)</f>
        <v/>
      </c>
      <c r="BJ355" s="138" t="str">
        <f aca="false">IF($BX355&lt;&gt;Constants!$B$6,"",$BD355)</f>
        <v/>
      </c>
      <c r="BK355" s="140" t="str">
        <f aca="false">IF($BX355&lt;&gt;Constants!$B$6,"",IF($AL355,$AN355,""))</f>
        <v/>
      </c>
      <c r="BL355" s="135" t="str">
        <f aca="false">IF($BX355&lt;&gt;Constants!$B$6,"",IF(OR($BS355&lt;$BH355,AND($BS355=$BH355,OR($BT355&lt;$BI355,AND($BT355=$BI355,OR($BU355&lt;$BJ355,AND($BU355=$BJ355,AND(ISNUMBER($BV355),OR(NOT(ISNUMBER($BK355)),$BV355&lt;$BK355)))))))),"-&gt;","&lt;-"))</f>
        <v/>
      </c>
      <c r="BM355" s="134" t="str">
        <f aca="false">IF(ISBLANK($C355),"",AND($AT355,OR($AU355="",$AV355="",AND($AW355,$AX355=""))))</f>
        <v/>
      </c>
      <c r="BN355" s="137" t="str">
        <f aca="false">IF($BX355&lt;&gt;Constants!$B$6,"",IF($AT355,Constants!$B$17*$AV355+Constants!$B$18*IF($AW355,$AX355,Constants!$B$19),Constants!$B$20))</f>
        <v/>
      </c>
      <c r="BO355" s="138" t="str">
        <f aca="false">IF($BX355&lt;&gt;Constants!$B$6,"",Constants!$B$21*ABS($AD$9-IF($AT355,$AU355,0)))</f>
        <v/>
      </c>
      <c r="BP355" s="138" t="str">
        <f aca="false">IF($BX355&lt;&gt;Constants!$B$6,"",IF(AND($AT355,$AY355,$AW355),Constants!$B$22,0))</f>
        <v/>
      </c>
      <c r="BQ355" s="138" t="str">
        <f aca="false">IF($BX355&lt;&gt;Constants!$B$6,"",IF($AT355,($AI355-Constants!$B$24)*Constants!$B$23,0))</f>
        <v/>
      </c>
      <c r="BR355" s="138" t="str">
        <f aca="false">IF($BX355&lt;&gt;Constants!$B$6,"",IF($AS355,0,Constants!$B$12)+IF($AR355,0,Constants!$B$13)+IF($AH355,0,Constants!$B$14))</f>
        <v/>
      </c>
      <c r="BS355" s="139" t="str">
        <f aca="false">IF($BX355&lt;&gt;Constants!$B$6,"",Constants!$B$16+SUM($BN355:$BR355))</f>
        <v/>
      </c>
      <c r="BT355" s="138" t="str">
        <f aca="false">IF($BX355&lt;&gt;Constants!$B$6,"",$BN355)</f>
        <v/>
      </c>
      <c r="BU355" s="138" t="str">
        <f aca="false">IF($BX355&lt;&gt;Constants!$B$6,"",$BO355)</f>
        <v/>
      </c>
      <c r="BV355" s="140" t="str">
        <f aca="false">IF($BX355&lt;&gt;Constants!$B$6,"",IF($AT355,$AV355,""))</f>
        <v/>
      </c>
      <c r="BW355" s="135" t="str">
        <f aca="false">IF(ISBLANK($C355),"",IF(ISBLANK($D$7),$BW$5,IF(NOT(ISNUMBER($D$7)),$BW$6,"")))</f>
        <v/>
      </c>
      <c r="BX355" s="135" t="str">
        <f aca="false">IF(ISBLANK($C355),"",IF($BA355,Constants!$B$9,IF(COUNTA($E355:$AA355)=0,Constants!$B$8,IF(NOT($AG355),Constants!$B$7,IF(OR($BW355&lt;&gt;"",$BB355,$BM355),Constants!$B$10,Constants!$B$6)))))</f>
        <v/>
      </c>
      <c r="BY355" s="135" t="str">
        <f aca="false">IF(ISBLANK($C355),"",IF($BX355&lt;&gt;Constants!$B$6,$BX355,Constants!$B$11))</f>
        <v/>
      </c>
      <c r="BZ355" s="138" t="str">
        <f aca="false">IF($BX355&lt;&gt;Constants!$B$6,"",IF($BL355="-&gt;",$BS355,$BH355))</f>
        <v/>
      </c>
      <c r="CA355" s="138" t="str">
        <f aca="false">IF($BX355&lt;&gt;Constants!$B$6,"",IF($AF355,0,Constants!$B$15))</f>
        <v/>
      </c>
      <c r="CB355" s="138" t="str">
        <f aca="false">IF($BX355&lt;&gt;Constants!$B$6,"",((Constants!$B$25-$AZ355)-Constants!$B$25)/Constants!$B$26)</f>
        <v/>
      </c>
      <c r="CC355" s="138" t="str">
        <f aca="false">IF(ISBLANK($C355),"",IF($BX355&lt;&gt;Constants!$B$6,$BX355,SUM($BZ355:$CB355)))</f>
        <v/>
      </c>
      <c r="CD355" s="135" t="str">
        <f aca="false">IF(ISBLANK($C355),"",IF($BX355&lt;&gt;Constants!$B$6,$BX355,RANK($CC355,$CC$9:$CC$508,1)))</f>
        <v/>
      </c>
      <c r="CE355" s="138" t="str">
        <f aca="false">IF($BX355&lt;&gt;Constants!$B$6,"",IF($BL355="-&gt;",$BT355,$BI355))</f>
        <v/>
      </c>
      <c r="CF355" s="135" t="str">
        <f aca="false">IF(ISBLANK($C355),"",IF($BX355&lt;&gt;Constants!$B$6,$BX355,IF(ISNUMBER($CE355),RANK($CE355,$CE$9:$CE$508,1),COUNT($CE$9:$CE$508)+1)))</f>
        <v/>
      </c>
      <c r="CG355" s="138" t="str">
        <f aca="false">IF($BX355&lt;&gt;Constants!$B$6,"",IF($BL355="-&gt;",$BU355,$BJ355))</f>
        <v/>
      </c>
      <c r="CH355" s="135" t="str">
        <f aca="false">IF(ISBLANK($C355),"",IF($BX355&lt;&gt;Constants!$B$6,$BX355,IF(ISNUMBER($CG355),RANK($CG355,$CG$9:$CG$508,1),COUNT($CG$9:$CG$508)+1)))</f>
        <v/>
      </c>
      <c r="CI355" s="138" t="str">
        <f aca="false">IF($BX355&lt;&gt;Constants!$B$6,"",IF($BL355="-&gt;",$BV355,$BK355))</f>
        <v/>
      </c>
      <c r="CJ355" s="135" t="str">
        <f aca="false">IF(ISBLANK($C355),"",IF($BX355&lt;&gt;Constants!$B$6,$BX355,IF(ISNUMBER($CI355),RANK($CI355,$CI$9:$CI$508,1),COUNT($CI$9:$CI$508)+1)))</f>
        <v/>
      </c>
      <c r="CK355" s="138" t="str">
        <f aca="false">IF($BX355&lt;&gt;Constants!$B$6,"",$AI355)</f>
        <v/>
      </c>
      <c r="CL355" s="135" t="str">
        <f aca="false">IF(ISBLANK($C355),"",IF($BX355&lt;&gt;Constants!$B$6,$BX355,IF(ISNUMBER($CK355),RANK($CK355,$CK$9:$CK$508,1),COUNT($CK$9:$CK$508)+1)))</f>
        <v/>
      </c>
      <c r="CM355" s="135" t="str">
        <f aca="false">IF(ISBLANK($C355),"",IF($BX355&lt;&gt;Constants!$B$6,$BX355,COUNTIFS($CD$9:$CD$508,"&lt;"&amp;$CD355)+COUNTIFS($CD$9:$CD$508,$CD355,$CF$9:$CF$508,"&lt;"&amp;$CF355)+COUNTIFS($CD$9:$CD$508,$CD355,$CF$9:$CF$508,$CF355,$CH$9:$CH$508,"&lt;"&amp;$CH355)+COUNTIFS($CD$9:$CD$508,$CD355,$CF$9:$CF$508,$CF355,$CH$9:$CH$508,$CH355,$CJ$9:$CJ$508,"&lt;"&amp;$CJ355)+COUNTIFS($CD$9:$CD$508,$CD355,$CF$9:$CF$508,$CF355,$CH$9:$CH$508,$CH355,$CJ$9:$CJ$508,$CJ355,$CL$9:$CL$508,"&lt;"&amp;$CL355)+1))</f>
        <v/>
      </c>
      <c r="CN355" s="135" t="str">
        <f aca="false">IF(ISBLANK($C355),"",IF($BX355&lt;&gt;Constants!$B$6,$BX355,$CD355-$CM355))</f>
        <v/>
      </c>
      <c r="CO355" s="141"/>
      <c r="CP355" s="142"/>
      <c r="CQ355" s="143" t="str">
        <f aca="false">IF(ISBLANK($C355),"",IF($BX355=Constants!$B$10,$BW355,""))</f>
        <v/>
      </c>
      <c r="CR355" s="142" t="str">
        <f aca="false">IF(ISBLANK($C355),"",IF($BX355&lt;&gt;Constants!$B$6,"",IF($BL355="-&gt;",2,1)))</f>
        <v/>
      </c>
      <c r="CS355" s="144" t="str">
        <f aca="false">IF(ISBLANK($C355),"",IF($BX355&lt;&gt;Constants!$B$6,"",IF($BL355="-&gt;",$BN355,$BC355)))</f>
        <v/>
      </c>
      <c r="CT355" s="144" t="str">
        <f aca="false">IF(ISBLANK($C355),"",IF($BX355&lt;&gt;Constants!$B$6,"",IF($BL355="-&gt;",$BO355,$BD355)))</f>
        <v/>
      </c>
      <c r="CU355" s="144" t="str">
        <f aca="false">IF(ISBLANK($C355),"",IF($BX355&lt;&gt;Constants!$B$6,"",IF($BL355="-&gt;",$BP355+$BQ355,$BE355+$BF355)+$CB355))</f>
        <v/>
      </c>
      <c r="CV355" s="144" t="str">
        <f aca="false">IF(ISBLANK($C355),"",IF($BX355&lt;&gt;Constants!$B$6,"",IF($BL355="-&gt;",$BR355,$BG355)+$CA355))</f>
        <v/>
      </c>
      <c r="CW355" s="145" t="str">
        <f aca="false">IF(ISBLANK($C355),"",IF($BX355&lt;&gt;Constants!$B$6,$BX355,$CC355))</f>
        <v/>
      </c>
      <c r="CX355" s="146" t="str">
        <f aca="false">IF(ISBLANK($C355),"",$BY355)</f>
        <v/>
      </c>
      <c r="CY355" s="147" t="str">
        <f aca="false">IF(ISBLANK($C355),"",$CN355)</f>
        <v/>
      </c>
      <c r="CZ355" s="147" t="str">
        <f aca="false">IF(ISBLANK($C355),"",$CM355)</f>
        <v/>
      </c>
      <c r="DA355" s="148" t="str">
        <f aca="false">IF(ISBLANK($C355),"",IFERROR(_xlfn.SWITCH($CZ355,Constants!$B$9,COUNTA($C$9:$C$508)+2,Constants!$B$8,COUNTA($C$9:$C$508)+1,Constants!$B$7,COUNTA($C$9:$C$508)),$CZ355))</f>
        <v/>
      </c>
      <c r="DB355" s="9"/>
      <c r="DC355" s="149" t="n">
        <f aca="false">IF(OR(ISNUMBER($CZ355),$CZ355=Constants!$B$9,$CZ355=Constants!$B$7,$CZ355=Constants!$B$8),1,0)</f>
        <v>0</v>
      </c>
      <c r="DD355" s="149" t="n">
        <v>347</v>
      </c>
      <c r="DE355" s="149" t="str">
        <f aca="false">IF(ISBLANK($C355),"",IF(ISNUMBER($DA355),$DA355+ROW($B355)/1000,""))</f>
        <v/>
      </c>
      <c r="DF355" s="149" t="str">
        <f aca="false">IF(ISNUMBER($DE355),RANK($DE355,$DE$9:$DE$508,1),"")</f>
        <v/>
      </c>
      <c r="DG355" s="149" t="str">
        <f aca="false">IF(ISBLANK($C355),"",$B355)</f>
        <v/>
      </c>
      <c r="DH355" s="149" t="str">
        <f aca="false">IF(ISBLANK($C355),"",$C355)</f>
        <v/>
      </c>
      <c r="DI355" s="149" t="str">
        <f aca="false">IF(ISBLANK($C355),"",$D355)</f>
        <v/>
      </c>
      <c r="DJ355" s="150" t="str">
        <f aca="false">$CX355</f>
        <v/>
      </c>
      <c r="DK355" s="151" t="str">
        <f aca="false">$CW355</f>
        <v/>
      </c>
      <c r="DL355" s="149" t="str">
        <f aca="false">IF(ISBLANK($C355),"",$CZ355)</f>
        <v/>
      </c>
      <c r="DM355" s="152" t="str">
        <f aca="false">IF($DD355&gt;$DC$8,"",VLOOKUP($DD355,$DF$9:$DL$508,7,FALSE()))</f>
        <v/>
      </c>
      <c r="DN355" s="153" t="str">
        <f aca="false">IF($DD355&gt;$DC$8,"",VLOOKUP($DD355,$DF$9:$DL$508,2,FALSE()))</f>
        <v/>
      </c>
      <c r="DO355" s="153" t="str">
        <f aca="false">IF($DD355&gt;$DC$8,"",VLOOKUP($DD355,$DF$9:$DL$508,3,FALSE()))</f>
        <v/>
      </c>
      <c r="DP355" s="153" t="str">
        <f aca="false">IF($DD355&gt;$DC$8,"",VLOOKUP($DD355,$DF$9:$DL$508,4,FALSE()))</f>
        <v/>
      </c>
      <c r="DQ355" s="153" t="str">
        <f aca="false">IF($DD355&gt;$DC$8,"",VLOOKUP($DD355,$DF$9:$DL$508,5,FALSE()))</f>
        <v/>
      </c>
      <c r="DR355" s="154" t="str">
        <f aca="false">IF($DD355&gt;$DC$8,"",VLOOKUP($DD355,$DF$9:$DL$508,6,FALSE()))</f>
        <v/>
      </c>
      <c r="DS355" s="76"/>
    </row>
    <row r="356" customFormat="false" ht="15.75" hidden="false" customHeight="false" outlineLevel="0" collapsed="false">
      <c r="A356" s="9"/>
      <c r="B356" s="160"/>
      <c r="C356" s="161"/>
      <c r="D356" s="162"/>
      <c r="E356" s="180"/>
      <c r="F356" s="164"/>
      <c r="G356" s="165"/>
      <c r="H356" s="165"/>
      <c r="I356" s="181"/>
      <c r="J356" s="168"/>
      <c r="K356" s="128"/>
      <c r="L356" s="129"/>
      <c r="M356" s="130"/>
      <c r="N356" s="168"/>
      <c r="O356" s="168"/>
      <c r="P356" s="180"/>
      <c r="Q356" s="168"/>
      <c r="R356" s="168"/>
      <c r="S356" s="128"/>
      <c r="T356" s="130"/>
      <c r="U356" s="130"/>
      <c r="V356" s="168"/>
      <c r="W356" s="168"/>
      <c r="X356" s="180"/>
      <c r="Y356" s="168"/>
      <c r="Z356" s="169"/>
      <c r="AA356" s="168"/>
      <c r="AB356" s="134"/>
      <c r="AC356" s="135"/>
      <c r="AD356" s="135"/>
      <c r="AE356" s="135"/>
      <c r="AF356" s="135" t="str">
        <f aca="false">IF(ISBLANK($C356),"",IF(E356=Constants!$B$2,TRUE(),IF(E356=Constants!$B$3,FALSE(),TRUE())))</f>
        <v/>
      </c>
      <c r="AG356" s="135" t="str">
        <f aca="false">IF(ISBLANK($C356),"",IF(F356=Constants!$B$2,TRUE(),IF(F356=Constants!$B$3,FALSE(),TRUE())))</f>
        <v/>
      </c>
      <c r="AH356" s="135" t="str">
        <f aca="false">IF(ISBLANK($C356),"",IF(G356=Constants!$B$2,TRUE(),IF(G356=Constants!$B$3,FALSE(),TRUE())))</f>
        <v/>
      </c>
      <c r="AI356" s="135" t="str">
        <f aca="false">IF(ISBLANK($C356),"",IF(AND(ISNUMBER(H356),H356&gt;=0),H356,Constants!$B$24))</f>
        <v/>
      </c>
      <c r="AJ356" s="135" t="str">
        <f aca="false">IF(ISBLANK($C356),"",IF(I356=Constants!$B$2,TRUE(),IF(I356=Constants!$B$3,FALSE(),TRUE())))</f>
        <v/>
      </c>
      <c r="AK356" s="135" t="str">
        <f aca="false">IF(ISBLANK($C356),"",IF(J356=Constants!$B$2,TRUE(),IF(J356=Constants!$B$3,FALSE(),TRUE())))</f>
        <v/>
      </c>
      <c r="AL356" s="135" t="str">
        <f aca="false">IF(ISBLANK($C356),"",IF(K356=Constants!$B$4,TRUE(),IF(K356=Constants!$B$5,FALSE(),COUNTA(L356:P356)&gt;0)))</f>
        <v/>
      </c>
      <c r="AM356" s="136" t="str">
        <f aca="false">IF(ISBLANK($C356),"",IF(ISNUMBER(L356),IF(L356&gt;=0,L356,""),""))</f>
        <v/>
      </c>
      <c r="AN356" s="137" t="str">
        <f aca="false">IF(ISBLANK($C356),"",IF(ISNUMBER(M356),IF(M356&gt;=0,M356,""),""))</f>
        <v/>
      </c>
      <c r="AO356" s="137" t="str">
        <f aca="false">IF(ISBLANK($C356),"",IF(N356=Constants!$B$2,TRUE(),IF(N356=Constants!$B$3,FALSE(),TRUE())))</f>
        <v/>
      </c>
      <c r="AP356" s="135" t="str">
        <f aca="false">IF(ISBLANK($C356),"",IF(ISNUMBER(O356),IF(O356&gt;=0,O356,""),""))</f>
        <v/>
      </c>
      <c r="AQ356" s="135" t="str">
        <f aca="false">IF(ISBLANK($C356),"",IF(P356=Constants!$B$2,TRUE(),IF(P356=Constants!$B$3,FALSE(),FALSE())))</f>
        <v/>
      </c>
      <c r="AR356" s="135" t="str">
        <f aca="false">IF(ISBLANK($C356),"",IF(Q356=Constants!$B$2,TRUE(),IF(Q356=Constants!$B$3,FALSE(),TRUE())))</f>
        <v/>
      </c>
      <c r="AS356" s="135" t="str">
        <f aca="false">IF(ISBLANK($C356),"",IF(R356=Constants!$B$2,TRUE(),IF(R356=Constants!$B$3,FALSE(),TRUE())))</f>
        <v/>
      </c>
      <c r="AT356" s="135" t="str">
        <f aca="false">IF(ISBLANK($C356),"",IF(S356=Constants!$B$4,TRUE(),IF(S356=Constants!$B$5,FALSE(),COUNTA(T356:X356)&gt;0)))</f>
        <v/>
      </c>
      <c r="AU356" s="136" t="str">
        <f aca="false">IF(ISBLANK($C356),"",IF(ISNUMBER(T356),IF(T356&gt;=0,T356,""),""))</f>
        <v/>
      </c>
      <c r="AV356" s="137" t="str">
        <f aca="false">IF(ISBLANK($C356),"",IF(ISNUMBER(U356),IF(U356&gt;=0,U356,""),""))</f>
        <v/>
      </c>
      <c r="AW356" s="137" t="str">
        <f aca="false">IF(ISBLANK($C356),"",IF(V356=Constants!$B$2,TRUE(),IF(V356=Constants!$B$3,FALSE(),TRUE())))</f>
        <v/>
      </c>
      <c r="AX356" s="135" t="str">
        <f aca="false">IF(ISBLANK($C356),"",IF(ISNUMBER(W356),IF(W356&gt;=0,W356,""),""))</f>
        <v/>
      </c>
      <c r="AY356" s="135" t="str">
        <f aca="false">IF(ISBLANK($C356),"",IF(X356=Constants!$B$2,TRUE(),IF(X356=Constants!$B$3,FALSE(),FALSE())))</f>
        <v/>
      </c>
      <c r="AZ356" s="135" t="str">
        <f aca="false">IF(ISBLANK($C356),"",MIN(Constants!$B$25,MAX(0,IF(ISNUMBER(Y356),Y356*60,0)+IF(ISNUMBER(Z356),Z356,0))))</f>
        <v/>
      </c>
      <c r="BA356" s="135" t="str">
        <f aca="false">IF(ISBLANK($C356),"",IF(AA356=Constants!$B$2,TRUE(),IF(AA356=Constants!$B$3,FALSE(),FALSE())))</f>
        <v/>
      </c>
      <c r="BB356" s="134" t="str">
        <f aca="false">IF(ISBLANK($C356),"",AND($AL356,OR($AM356="",$AN356="",AND($AO356,$AP356=""))))</f>
        <v/>
      </c>
      <c r="BC356" s="137" t="str">
        <f aca="false">IF($BX356&lt;&gt;Constants!$B$6,"",IF($AL356,Constants!$B$17*$AN356+Constants!$B$18*IF($AO356,$AP356,Constants!$B$19),Constants!$B$20))</f>
        <v/>
      </c>
      <c r="BD356" s="138" t="str">
        <f aca="false">IF($BX356&lt;&gt;Constants!$B$6,"",Constants!$B$21*ABS($AD$9-IF($AL356,$AM356,0)))</f>
        <v/>
      </c>
      <c r="BE356" s="138" t="str">
        <f aca="false">IF($BX356&lt;&gt;Constants!$B$6,"",IF(AND($AL356,$AQ356,$AO356),Constants!$B$22,0))</f>
        <v/>
      </c>
      <c r="BF356" s="138" t="str">
        <f aca="false">IF($BX356&lt;&gt;Constants!$B$6,"",IF($AL356,($AI356-Constants!$B$24)*Constants!$B$23,0))</f>
        <v/>
      </c>
      <c r="BG356" s="138" t="str">
        <f aca="false">IF($BX356&lt;&gt;Constants!$B$6,"",IF($AK356,0,Constants!$B$12)+IF($AJ356,0,Constants!$B$13)+IF($AH356,0,Constants!$B$14))</f>
        <v/>
      </c>
      <c r="BH356" s="139" t="str">
        <f aca="false">IF($BX356&lt;&gt;Constants!$B$6,"",Constants!$B$16+SUM($BC356:$BG356))</f>
        <v/>
      </c>
      <c r="BI356" s="138" t="str">
        <f aca="false">IF($BX356&lt;&gt;Constants!$B$6,"",$BC356)</f>
        <v/>
      </c>
      <c r="BJ356" s="138" t="str">
        <f aca="false">IF($BX356&lt;&gt;Constants!$B$6,"",$BD356)</f>
        <v/>
      </c>
      <c r="BK356" s="140" t="str">
        <f aca="false">IF($BX356&lt;&gt;Constants!$B$6,"",IF($AL356,$AN356,""))</f>
        <v/>
      </c>
      <c r="BL356" s="135" t="str">
        <f aca="false">IF($BX356&lt;&gt;Constants!$B$6,"",IF(OR($BS356&lt;$BH356,AND($BS356=$BH356,OR($BT356&lt;$BI356,AND($BT356=$BI356,OR($BU356&lt;$BJ356,AND($BU356=$BJ356,AND(ISNUMBER($BV356),OR(NOT(ISNUMBER($BK356)),$BV356&lt;$BK356)))))))),"-&gt;","&lt;-"))</f>
        <v/>
      </c>
      <c r="BM356" s="134" t="str">
        <f aca="false">IF(ISBLANK($C356),"",AND($AT356,OR($AU356="",$AV356="",AND($AW356,$AX356=""))))</f>
        <v/>
      </c>
      <c r="BN356" s="137" t="str">
        <f aca="false">IF($BX356&lt;&gt;Constants!$B$6,"",IF($AT356,Constants!$B$17*$AV356+Constants!$B$18*IF($AW356,$AX356,Constants!$B$19),Constants!$B$20))</f>
        <v/>
      </c>
      <c r="BO356" s="138" t="str">
        <f aca="false">IF($BX356&lt;&gt;Constants!$B$6,"",Constants!$B$21*ABS($AD$9-IF($AT356,$AU356,0)))</f>
        <v/>
      </c>
      <c r="BP356" s="138" t="str">
        <f aca="false">IF($BX356&lt;&gt;Constants!$B$6,"",IF(AND($AT356,$AY356,$AW356),Constants!$B$22,0))</f>
        <v/>
      </c>
      <c r="BQ356" s="138" t="str">
        <f aca="false">IF($BX356&lt;&gt;Constants!$B$6,"",IF($AT356,($AI356-Constants!$B$24)*Constants!$B$23,0))</f>
        <v/>
      </c>
      <c r="BR356" s="138" t="str">
        <f aca="false">IF($BX356&lt;&gt;Constants!$B$6,"",IF($AS356,0,Constants!$B$12)+IF($AR356,0,Constants!$B$13)+IF($AH356,0,Constants!$B$14))</f>
        <v/>
      </c>
      <c r="BS356" s="139" t="str">
        <f aca="false">IF($BX356&lt;&gt;Constants!$B$6,"",Constants!$B$16+SUM($BN356:$BR356))</f>
        <v/>
      </c>
      <c r="BT356" s="138" t="str">
        <f aca="false">IF($BX356&lt;&gt;Constants!$B$6,"",$BN356)</f>
        <v/>
      </c>
      <c r="BU356" s="138" t="str">
        <f aca="false">IF($BX356&lt;&gt;Constants!$B$6,"",$BO356)</f>
        <v/>
      </c>
      <c r="BV356" s="140" t="str">
        <f aca="false">IF($BX356&lt;&gt;Constants!$B$6,"",IF($AT356,$AV356,""))</f>
        <v/>
      </c>
      <c r="BW356" s="135" t="str">
        <f aca="false">IF(ISBLANK($C356),"",IF(ISBLANK($D$7),$BW$5,IF(NOT(ISNUMBER($D$7)),$BW$6,"")))</f>
        <v/>
      </c>
      <c r="BX356" s="135" t="str">
        <f aca="false">IF(ISBLANK($C356),"",IF($BA356,Constants!$B$9,IF(COUNTA($E356:$AA356)=0,Constants!$B$8,IF(NOT($AG356),Constants!$B$7,IF(OR($BW356&lt;&gt;"",$BB356,$BM356),Constants!$B$10,Constants!$B$6)))))</f>
        <v/>
      </c>
      <c r="BY356" s="135" t="str">
        <f aca="false">IF(ISBLANK($C356),"",IF($BX356&lt;&gt;Constants!$B$6,$BX356,Constants!$B$11))</f>
        <v/>
      </c>
      <c r="BZ356" s="138" t="str">
        <f aca="false">IF($BX356&lt;&gt;Constants!$B$6,"",IF($BL356="-&gt;",$BS356,$BH356))</f>
        <v/>
      </c>
      <c r="CA356" s="138" t="str">
        <f aca="false">IF($BX356&lt;&gt;Constants!$B$6,"",IF($AF356,0,Constants!$B$15))</f>
        <v/>
      </c>
      <c r="CB356" s="138" t="str">
        <f aca="false">IF($BX356&lt;&gt;Constants!$B$6,"",((Constants!$B$25-$AZ356)-Constants!$B$25)/Constants!$B$26)</f>
        <v/>
      </c>
      <c r="CC356" s="138" t="str">
        <f aca="false">IF(ISBLANK($C356),"",IF($BX356&lt;&gt;Constants!$B$6,$BX356,SUM($BZ356:$CB356)))</f>
        <v/>
      </c>
      <c r="CD356" s="135" t="str">
        <f aca="false">IF(ISBLANK($C356),"",IF($BX356&lt;&gt;Constants!$B$6,$BX356,RANK($CC356,$CC$9:$CC$508,1)))</f>
        <v/>
      </c>
      <c r="CE356" s="138" t="str">
        <f aca="false">IF($BX356&lt;&gt;Constants!$B$6,"",IF($BL356="-&gt;",$BT356,$BI356))</f>
        <v/>
      </c>
      <c r="CF356" s="135" t="str">
        <f aca="false">IF(ISBLANK($C356),"",IF($BX356&lt;&gt;Constants!$B$6,$BX356,IF(ISNUMBER($CE356),RANK($CE356,$CE$9:$CE$508,1),COUNT($CE$9:$CE$508)+1)))</f>
        <v/>
      </c>
      <c r="CG356" s="138" t="str">
        <f aca="false">IF($BX356&lt;&gt;Constants!$B$6,"",IF($BL356="-&gt;",$BU356,$BJ356))</f>
        <v/>
      </c>
      <c r="CH356" s="135" t="str">
        <f aca="false">IF(ISBLANK($C356),"",IF($BX356&lt;&gt;Constants!$B$6,$BX356,IF(ISNUMBER($CG356),RANK($CG356,$CG$9:$CG$508,1),COUNT($CG$9:$CG$508)+1)))</f>
        <v/>
      </c>
      <c r="CI356" s="138" t="str">
        <f aca="false">IF($BX356&lt;&gt;Constants!$B$6,"",IF($BL356="-&gt;",$BV356,$BK356))</f>
        <v/>
      </c>
      <c r="CJ356" s="135" t="str">
        <f aca="false">IF(ISBLANK($C356),"",IF($BX356&lt;&gt;Constants!$B$6,$BX356,IF(ISNUMBER($CI356),RANK($CI356,$CI$9:$CI$508,1),COUNT($CI$9:$CI$508)+1)))</f>
        <v/>
      </c>
      <c r="CK356" s="138" t="str">
        <f aca="false">IF($BX356&lt;&gt;Constants!$B$6,"",$AI356)</f>
        <v/>
      </c>
      <c r="CL356" s="135" t="str">
        <f aca="false">IF(ISBLANK($C356),"",IF($BX356&lt;&gt;Constants!$B$6,$BX356,IF(ISNUMBER($CK356),RANK($CK356,$CK$9:$CK$508,1),COUNT($CK$9:$CK$508)+1)))</f>
        <v/>
      </c>
      <c r="CM356" s="135" t="str">
        <f aca="false">IF(ISBLANK($C356),"",IF($BX356&lt;&gt;Constants!$B$6,$BX356,COUNTIFS($CD$9:$CD$508,"&lt;"&amp;$CD356)+COUNTIFS($CD$9:$CD$508,$CD356,$CF$9:$CF$508,"&lt;"&amp;$CF356)+COUNTIFS($CD$9:$CD$508,$CD356,$CF$9:$CF$508,$CF356,$CH$9:$CH$508,"&lt;"&amp;$CH356)+COUNTIFS($CD$9:$CD$508,$CD356,$CF$9:$CF$508,$CF356,$CH$9:$CH$508,$CH356,$CJ$9:$CJ$508,"&lt;"&amp;$CJ356)+COUNTIFS($CD$9:$CD$508,$CD356,$CF$9:$CF$508,$CF356,$CH$9:$CH$508,$CH356,$CJ$9:$CJ$508,$CJ356,$CL$9:$CL$508,"&lt;"&amp;$CL356)+1))</f>
        <v/>
      </c>
      <c r="CN356" s="135" t="str">
        <f aca="false">IF(ISBLANK($C356),"",IF($BX356&lt;&gt;Constants!$B$6,$BX356,$CD356-$CM356))</f>
        <v/>
      </c>
      <c r="CO356" s="141"/>
      <c r="CP356" s="142"/>
      <c r="CQ356" s="143" t="str">
        <f aca="false">IF(ISBLANK($C356),"",IF($BX356=Constants!$B$10,$BW356,""))</f>
        <v/>
      </c>
      <c r="CR356" s="142" t="str">
        <f aca="false">IF(ISBLANK($C356),"",IF($BX356&lt;&gt;Constants!$B$6,"",IF($BL356="-&gt;",2,1)))</f>
        <v/>
      </c>
      <c r="CS356" s="144" t="str">
        <f aca="false">IF(ISBLANK($C356),"",IF($BX356&lt;&gt;Constants!$B$6,"",IF($BL356="-&gt;",$BN356,$BC356)))</f>
        <v/>
      </c>
      <c r="CT356" s="144" t="str">
        <f aca="false">IF(ISBLANK($C356),"",IF($BX356&lt;&gt;Constants!$B$6,"",IF($BL356="-&gt;",$BO356,$BD356)))</f>
        <v/>
      </c>
      <c r="CU356" s="144" t="str">
        <f aca="false">IF(ISBLANK($C356),"",IF($BX356&lt;&gt;Constants!$B$6,"",IF($BL356="-&gt;",$BP356+$BQ356,$BE356+$BF356)+$CB356))</f>
        <v/>
      </c>
      <c r="CV356" s="144" t="str">
        <f aca="false">IF(ISBLANK($C356),"",IF($BX356&lt;&gt;Constants!$B$6,"",IF($BL356="-&gt;",$BR356,$BG356)+$CA356))</f>
        <v/>
      </c>
      <c r="CW356" s="145" t="str">
        <f aca="false">IF(ISBLANK($C356),"",IF($BX356&lt;&gt;Constants!$B$6,$BX356,$CC356))</f>
        <v/>
      </c>
      <c r="CX356" s="146" t="str">
        <f aca="false">IF(ISBLANK($C356),"",$BY356)</f>
        <v/>
      </c>
      <c r="CY356" s="147" t="str">
        <f aca="false">IF(ISBLANK($C356),"",$CN356)</f>
        <v/>
      </c>
      <c r="CZ356" s="147" t="str">
        <f aca="false">IF(ISBLANK($C356),"",$CM356)</f>
        <v/>
      </c>
      <c r="DA356" s="148" t="str">
        <f aca="false">IF(ISBLANK($C356),"",IFERROR(_xlfn.SWITCH($CZ356,Constants!$B$9,COUNTA($C$9:$C$508)+2,Constants!$B$8,COUNTA($C$9:$C$508)+1,Constants!$B$7,COUNTA($C$9:$C$508)),$CZ356))</f>
        <v/>
      </c>
      <c r="DB356" s="9"/>
      <c r="DC356" s="149" t="n">
        <f aca="false">IF(OR(ISNUMBER($CZ356),$CZ356=Constants!$B$9,$CZ356=Constants!$B$7,$CZ356=Constants!$B$8),1,0)</f>
        <v>0</v>
      </c>
      <c r="DD356" s="149" t="n">
        <v>348</v>
      </c>
      <c r="DE356" s="149" t="str">
        <f aca="false">IF(ISBLANK($C356),"",IF(ISNUMBER($DA356),$DA356+ROW($B356)/1000,""))</f>
        <v/>
      </c>
      <c r="DF356" s="149" t="str">
        <f aca="false">IF(ISNUMBER($DE356),RANK($DE356,$DE$9:$DE$508,1),"")</f>
        <v/>
      </c>
      <c r="DG356" s="149" t="str">
        <f aca="false">IF(ISBLANK($C356),"",$B356)</f>
        <v/>
      </c>
      <c r="DH356" s="149" t="str">
        <f aca="false">IF(ISBLANK($C356),"",$C356)</f>
        <v/>
      </c>
      <c r="DI356" s="149" t="str">
        <f aca="false">IF(ISBLANK($C356),"",$D356)</f>
        <v/>
      </c>
      <c r="DJ356" s="150" t="str">
        <f aca="false">$CX356</f>
        <v/>
      </c>
      <c r="DK356" s="151" t="str">
        <f aca="false">$CW356</f>
        <v/>
      </c>
      <c r="DL356" s="149" t="str">
        <f aca="false">IF(ISBLANK($C356),"",$CZ356)</f>
        <v/>
      </c>
      <c r="DM356" s="152" t="str">
        <f aca="false">IF($DD356&gt;$DC$8,"",VLOOKUP($DD356,$DF$9:$DL$508,7,FALSE()))</f>
        <v/>
      </c>
      <c r="DN356" s="153" t="str">
        <f aca="false">IF($DD356&gt;$DC$8,"",VLOOKUP($DD356,$DF$9:$DL$508,2,FALSE()))</f>
        <v/>
      </c>
      <c r="DO356" s="153" t="str">
        <f aca="false">IF($DD356&gt;$DC$8,"",VLOOKUP($DD356,$DF$9:$DL$508,3,FALSE()))</f>
        <v/>
      </c>
      <c r="DP356" s="153" t="str">
        <f aca="false">IF($DD356&gt;$DC$8,"",VLOOKUP($DD356,$DF$9:$DL$508,4,FALSE()))</f>
        <v/>
      </c>
      <c r="DQ356" s="153" t="str">
        <f aca="false">IF($DD356&gt;$DC$8,"",VLOOKUP($DD356,$DF$9:$DL$508,5,FALSE()))</f>
        <v/>
      </c>
      <c r="DR356" s="154" t="str">
        <f aca="false">IF($DD356&gt;$DC$8,"",VLOOKUP($DD356,$DF$9:$DL$508,6,FALSE()))</f>
        <v/>
      </c>
      <c r="DS356" s="76"/>
    </row>
    <row r="357" customFormat="false" ht="15.75" hidden="false" customHeight="false" outlineLevel="0" collapsed="false">
      <c r="A357" s="9"/>
      <c r="B357" s="78"/>
      <c r="C357" s="79"/>
      <c r="D357" s="170"/>
      <c r="E357" s="178"/>
      <c r="F357" s="172"/>
      <c r="G357" s="173"/>
      <c r="H357" s="173"/>
      <c r="I357" s="179"/>
      <c r="J357" s="176"/>
      <c r="K357" s="86"/>
      <c r="L357" s="87"/>
      <c r="M357" s="88"/>
      <c r="N357" s="176"/>
      <c r="O357" s="176"/>
      <c r="P357" s="178"/>
      <c r="Q357" s="176"/>
      <c r="R357" s="176"/>
      <c r="S357" s="86"/>
      <c r="T357" s="88"/>
      <c r="U357" s="88"/>
      <c r="V357" s="176"/>
      <c r="W357" s="176"/>
      <c r="X357" s="178"/>
      <c r="Y357" s="176"/>
      <c r="Z357" s="177"/>
      <c r="AA357" s="176"/>
      <c r="AB357" s="92"/>
      <c r="AC357" s="93"/>
      <c r="AD357" s="93"/>
      <c r="AE357" s="93"/>
      <c r="AF357" s="93" t="str">
        <f aca="false">IF(ISBLANK($C357),"",IF(E357=Constants!$B$2,TRUE(),IF(E357=Constants!$B$3,FALSE(),TRUE())))</f>
        <v/>
      </c>
      <c r="AG357" s="93" t="str">
        <f aca="false">IF(ISBLANK($C357),"",IF(F357=Constants!$B$2,TRUE(),IF(F357=Constants!$B$3,FALSE(),TRUE())))</f>
        <v/>
      </c>
      <c r="AH357" s="93" t="str">
        <f aca="false">IF(ISBLANK($C357),"",IF(G357=Constants!$B$2,TRUE(),IF(G357=Constants!$B$3,FALSE(),TRUE())))</f>
        <v/>
      </c>
      <c r="AI357" s="93" t="str">
        <f aca="false">IF(ISBLANK($C357),"",IF(AND(ISNUMBER(H357),H357&gt;=0),H357,Constants!$B$24))</f>
        <v/>
      </c>
      <c r="AJ357" s="93" t="str">
        <f aca="false">IF(ISBLANK($C357),"",IF(I357=Constants!$B$2,TRUE(),IF(I357=Constants!$B$3,FALSE(),TRUE())))</f>
        <v/>
      </c>
      <c r="AK357" s="93" t="str">
        <f aca="false">IF(ISBLANK($C357),"",IF(J357=Constants!$B$2,TRUE(),IF(J357=Constants!$B$3,FALSE(),TRUE())))</f>
        <v/>
      </c>
      <c r="AL357" s="93" t="str">
        <f aca="false">IF(ISBLANK($C357),"",IF(K357=Constants!$B$4,TRUE(),IF(K357=Constants!$B$5,FALSE(),COUNTA(L357:P357)&gt;0)))</f>
        <v/>
      </c>
      <c r="AM357" s="95" t="str">
        <f aca="false">IF(ISBLANK($C357),"",IF(ISNUMBER(L357),IF(L357&gt;=0,L357,""),""))</f>
        <v/>
      </c>
      <c r="AN357" s="94" t="str">
        <f aca="false">IF(ISBLANK($C357),"",IF(ISNUMBER(M357),IF(M357&gt;=0,M357,""),""))</f>
        <v/>
      </c>
      <c r="AO357" s="94" t="str">
        <f aca="false">IF(ISBLANK($C357),"",IF(N357=Constants!$B$2,TRUE(),IF(N357=Constants!$B$3,FALSE(),TRUE())))</f>
        <v/>
      </c>
      <c r="AP357" s="93" t="str">
        <f aca="false">IF(ISBLANK($C357),"",IF(ISNUMBER(O357),IF(O357&gt;=0,O357,""),""))</f>
        <v/>
      </c>
      <c r="AQ357" s="93" t="str">
        <f aca="false">IF(ISBLANK($C357),"",IF(P357=Constants!$B$2,TRUE(),IF(P357=Constants!$B$3,FALSE(),FALSE())))</f>
        <v/>
      </c>
      <c r="AR357" s="93" t="str">
        <f aca="false">IF(ISBLANK($C357),"",IF(Q357=Constants!$B$2,TRUE(),IF(Q357=Constants!$B$3,FALSE(),TRUE())))</f>
        <v/>
      </c>
      <c r="AS357" s="93" t="str">
        <f aca="false">IF(ISBLANK($C357),"",IF(R357=Constants!$B$2,TRUE(),IF(R357=Constants!$B$3,FALSE(),TRUE())))</f>
        <v/>
      </c>
      <c r="AT357" s="93" t="str">
        <f aca="false">IF(ISBLANK($C357),"",IF(S357=Constants!$B$4,TRUE(),IF(S357=Constants!$B$5,FALSE(),COUNTA(T357:X357)&gt;0)))</f>
        <v/>
      </c>
      <c r="AU357" s="95" t="str">
        <f aca="false">IF(ISBLANK($C357),"",IF(ISNUMBER(T357),IF(T357&gt;=0,T357,""),""))</f>
        <v/>
      </c>
      <c r="AV357" s="94" t="str">
        <f aca="false">IF(ISBLANK($C357),"",IF(ISNUMBER(U357),IF(U357&gt;=0,U357,""),""))</f>
        <v/>
      </c>
      <c r="AW357" s="94" t="str">
        <f aca="false">IF(ISBLANK($C357),"",IF(V357=Constants!$B$2,TRUE(),IF(V357=Constants!$B$3,FALSE(),TRUE())))</f>
        <v/>
      </c>
      <c r="AX357" s="93" t="str">
        <f aca="false">IF(ISBLANK($C357),"",IF(ISNUMBER(W357),IF(W357&gt;=0,W357,""),""))</f>
        <v/>
      </c>
      <c r="AY357" s="93" t="str">
        <f aca="false">IF(ISBLANK($C357),"",IF(X357=Constants!$B$2,TRUE(),IF(X357=Constants!$B$3,FALSE(),FALSE())))</f>
        <v/>
      </c>
      <c r="AZ357" s="93" t="str">
        <f aca="false">IF(ISBLANK($C357),"",MIN(Constants!$B$25,MAX(0,IF(ISNUMBER(Y357),Y357*60,0)+IF(ISNUMBER(Z357),Z357,0))))</f>
        <v/>
      </c>
      <c r="BA357" s="93" t="str">
        <f aca="false">IF(ISBLANK($C357),"",IF(AA357=Constants!$B$2,TRUE(),IF(AA357=Constants!$B$3,FALSE(),FALSE())))</f>
        <v/>
      </c>
      <c r="BB357" s="92" t="str">
        <f aca="false">IF(ISBLANK($C357),"",AND($AL357,OR($AM357="",$AN357="",AND($AO357,$AP357=""))))</f>
        <v/>
      </c>
      <c r="BC357" s="94" t="str">
        <f aca="false">IF($BX357&lt;&gt;Constants!$B$6,"",IF($AL357,Constants!$B$17*$AN357+Constants!$B$18*IF($AO357,$AP357,Constants!$B$19),Constants!$B$20))</f>
        <v/>
      </c>
      <c r="BD357" s="97" t="str">
        <f aca="false">IF($BX357&lt;&gt;Constants!$B$6,"",Constants!$B$21*ABS($AD$9-IF($AL357,$AM357,0)))</f>
        <v/>
      </c>
      <c r="BE357" s="97" t="str">
        <f aca="false">IF($BX357&lt;&gt;Constants!$B$6,"",IF(AND($AL357,$AQ357,$AO357),Constants!$B$22,0))</f>
        <v/>
      </c>
      <c r="BF357" s="97" t="str">
        <f aca="false">IF($BX357&lt;&gt;Constants!$B$6,"",IF($AL357,($AI357-Constants!$B$24)*Constants!$B$23,0))</f>
        <v/>
      </c>
      <c r="BG357" s="97" t="str">
        <f aca="false">IF($BX357&lt;&gt;Constants!$B$6,"",IF($AK357,0,Constants!$B$12)+IF($AJ357,0,Constants!$B$13)+IF($AH357,0,Constants!$B$14))</f>
        <v/>
      </c>
      <c r="BH357" s="98" t="str">
        <f aca="false">IF($BX357&lt;&gt;Constants!$B$6,"",Constants!$B$16+SUM($BC357:$BG357))</f>
        <v/>
      </c>
      <c r="BI357" s="97" t="str">
        <f aca="false">IF($BX357&lt;&gt;Constants!$B$6,"",$BC357)</f>
        <v/>
      </c>
      <c r="BJ357" s="97" t="str">
        <f aca="false">IF($BX357&lt;&gt;Constants!$B$6,"",$BD357)</f>
        <v/>
      </c>
      <c r="BK357" s="99" t="str">
        <f aca="false">IF($BX357&lt;&gt;Constants!$B$6,"",IF($AL357,$AN357,""))</f>
        <v/>
      </c>
      <c r="BL357" s="93" t="str">
        <f aca="false">IF($BX357&lt;&gt;Constants!$B$6,"",IF(OR($BS357&lt;$BH357,AND($BS357=$BH357,OR($BT357&lt;$BI357,AND($BT357=$BI357,OR($BU357&lt;$BJ357,AND($BU357=$BJ357,AND(ISNUMBER($BV357),OR(NOT(ISNUMBER($BK357)),$BV357&lt;$BK357)))))))),"-&gt;","&lt;-"))</f>
        <v/>
      </c>
      <c r="BM357" s="92" t="str">
        <f aca="false">IF(ISBLANK($C357),"",AND($AT357,OR($AU357="",$AV357="",AND($AW357,$AX357=""))))</f>
        <v/>
      </c>
      <c r="BN357" s="94" t="str">
        <f aca="false">IF($BX357&lt;&gt;Constants!$B$6,"",IF($AT357,Constants!$B$17*$AV357+Constants!$B$18*IF($AW357,$AX357,Constants!$B$19),Constants!$B$20))</f>
        <v/>
      </c>
      <c r="BO357" s="97" t="str">
        <f aca="false">IF($BX357&lt;&gt;Constants!$B$6,"",Constants!$B$21*ABS($AD$9-IF($AT357,$AU357,0)))</f>
        <v/>
      </c>
      <c r="BP357" s="97" t="str">
        <f aca="false">IF($BX357&lt;&gt;Constants!$B$6,"",IF(AND($AT357,$AY357,$AW357),Constants!$B$22,0))</f>
        <v/>
      </c>
      <c r="BQ357" s="97" t="str">
        <f aca="false">IF($BX357&lt;&gt;Constants!$B$6,"",IF($AT357,($AI357-Constants!$B$24)*Constants!$B$23,0))</f>
        <v/>
      </c>
      <c r="BR357" s="97" t="str">
        <f aca="false">IF($BX357&lt;&gt;Constants!$B$6,"",IF($AS357,0,Constants!$B$12)+IF($AR357,0,Constants!$B$13)+IF($AH357,0,Constants!$B$14))</f>
        <v/>
      </c>
      <c r="BS357" s="98" t="str">
        <f aca="false">IF($BX357&lt;&gt;Constants!$B$6,"",Constants!$B$16+SUM($BN357:$BR357))</f>
        <v/>
      </c>
      <c r="BT357" s="97" t="str">
        <f aca="false">IF($BX357&lt;&gt;Constants!$B$6,"",$BN357)</f>
        <v/>
      </c>
      <c r="BU357" s="97" t="str">
        <f aca="false">IF($BX357&lt;&gt;Constants!$B$6,"",$BO357)</f>
        <v/>
      </c>
      <c r="BV357" s="99" t="str">
        <f aca="false">IF($BX357&lt;&gt;Constants!$B$6,"",IF($AT357,$AV357,""))</f>
        <v/>
      </c>
      <c r="BW357" s="93" t="str">
        <f aca="false">IF(ISBLANK($C357),"",IF(ISBLANK($D$7),$BW$5,IF(NOT(ISNUMBER($D$7)),$BW$6,"")))</f>
        <v/>
      </c>
      <c r="BX357" s="93" t="str">
        <f aca="false">IF(ISBLANK($C357),"",IF($BA357,Constants!$B$9,IF(COUNTA($E357:$AA357)=0,Constants!$B$8,IF(NOT($AG357),Constants!$B$7,IF(OR($BW357&lt;&gt;"",$BB357,$BM357),Constants!$B$10,Constants!$B$6)))))</f>
        <v/>
      </c>
      <c r="BY357" s="93" t="str">
        <f aca="false">IF(ISBLANK($C357),"",IF($BX357&lt;&gt;Constants!$B$6,$BX357,Constants!$B$11))</f>
        <v/>
      </c>
      <c r="BZ357" s="97" t="str">
        <f aca="false">IF($BX357&lt;&gt;Constants!$B$6,"",IF($BL357="-&gt;",$BS357,$BH357))</f>
        <v/>
      </c>
      <c r="CA357" s="97" t="str">
        <f aca="false">IF($BX357&lt;&gt;Constants!$B$6,"",IF($AF357,0,Constants!$B$15))</f>
        <v/>
      </c>
      <c r="CB357" s="97" t="str">
        <f aca="false">IF($BX357&lt;&gt;Constants!$B$6,"",((Constants!$B$25-$AZ357)-Constants!$B$25)/Constants!$B$26)</f>
        <v/>
      </c>
      <c r="CC357" s="97" t="str">
        <f aca="false">IF(ISBLANK($C357),"",IF($BX357&lt;&gt;Constants!$B$6,$BX357,SUM($BZ357:$CB357)))</f>
        <v/>
      </c>
      <c r="CD357" s="93" t="str">
        <f aca="false">IF(ISBLANK($C357),"",IF($BX357&lt;&gt;Constants!$B$6,$BX357,RANK($CC357,$CC$9:$CC$508,1)))</f>
        <v/>
      </c>
      <c r="CE357" s="97" t="str">
        <f aca="false">IF($BX357&lt;&gt;Constants!$B$6,"",IF($BL357="-&gt;",$BT357,$BI357))</f>
        <v/>
      </c>
      <c r="CF357" s="93" t="str">
        <f aca="false">IF(ISBLANK($C357),"",IF($BX357&lt;&gt;Constants!$B$6,$BX357,IF(ISNUMBER($CE357),RANK($CE357,$CE$9:$CE$508,1),COUNT($CE$9:$CE$508)+1)))</f>
        <v/>
      </c>
      <c r="CG357" s="97" t="str">
        <f aca="false">IF($BX357&lt;&gt;Constants!$B$6,"",IF($BL357="-&gt;",$BU357,$BJ357))</f>
        <v/>
      </c>
      <c r="CH357" s="93" t="str">
        <f aca="false">IF(ISBLANK($C357),"",IF($BX357&lt;&gt;Constants!$B$6,$BX357,IF(ISNUMBER($CG357),RANK($CG357,$CG$9:$CG$508,1),COUNT($CG$9:$CG$508)+1)))</f>
        <v/>
      </c>
      <c r="CI357" s="97" t="str">
        <f aca="false">IF($BX357&lt;&gt;Constants!$B$6,"",IF($BL357="-&gt;",$BV357,$BK357))</f>
        <v/>
      </c>
      <c r="CJ357" s="93" t="str">
        <f aca="false">IF(ISBLANK($C357),"",IF($BX357&lt;&gt;Constants!$B$6,$BX357,IF(ISNUMBER($CI357),RANK($CI357,$CI$9:$CI$508,1),COUNT($CI$9:$CI$508)+1)))</f>
        <v/>
      </c>
      <c r="CK357" s="97" t="str">
        <f aca="false">IF($BX357&lt;&gt;Constants!$B$6,"",$AI357)</f>
        <v/>
      </c>
      <c r="CL357" s="93" t="str">
        <f aca="false">IF(ISBLANK($C357),"",IF($BX357&lt;&gt;Constants!$B$6,$BX357,IF(ISNUMBER($CK357),RANK($CK357,$CK$9:$CK$508,1),COUNT($CK$9:$CK$508)+1)))</f>
        <v/>
      </c>
      <c r="CM357" s="93" t="str">
        <f aca="false">IF(ISBLANK($C357),"",IF($BX357&lt;&gt;Constants!$B$6,$BX357,COUNTIFS($CD$9:$CD$508,"&lt;"&amp;$CD357)+COUNTIFS($CD$9:$CD$508,$CD357,$CF$9:$CF$508,"&lt;"&amp;$CF357)+COUNTIFS($CD$9:$CD$508,$CD357,$CF$9:$CF$508,$CF357,$CH$9:$CH$508,"&lt;"&amp;$CH357)+COUNTIFS($CD$9:$CD$508,$CD357,$CF$9:$CF$508,$CF357,$CH$9:$CH$508,$CH357,$CJ$9:$CJ$508,"&lt;"&amp;$CJ357)+COUNTIFS($CD$9:$CD$508,$CD357,$CF$9:$CF$508,$CF357,$CH$9:$CH$508,$CH357,$CJ$9:$CJ$508,$CJ357,$CL$9:$CL$508,"&lt;"&amp;$CL357)+1))</f>
        <v/>
      </c>
      <c r="CN357" s="93" t="str">
        <f aca="false">IF(ISBLANK($C357),"",IF($BX357&lt;&gt;Constants!$B$6,$BX357,$CD357-$CM357))</f>
        <v/>
      </c>
      <c r="CO357" s="100"/>
      <c r="CP357" s="101"/>
      <c r="CQ357" s="102" t="str">
        <f aca="false">IF(ISBLANK($C357),"",IF($BX357=Constants!$B$10,$BW357,""))</f>
        <v/>
      </c>
      <c r="CR357" s="101" t="str">
        <f aca="false">IF(ISBLANK($C357),"",IF($BX357&lt;&gt;Constants!$B$6,"",IF($BL357="-&gt;",2,1)))</f>
        <v/>
      </c>
      <c r="CS357" s="103" t="str">
        <f aca="false">IF(ISBLANK($C357),"",IF($BX357&lt;&gt;Constants!$B$6,"",IF($BL357="-&gt;",$BN357,$BC357)))</f>
        <v/>
      </c>
      <c r="CT357" s="103" t="str">
        <f aca="false">IF(ISBLANK($C357),"",IF($BX357&lt;&gt;Constants!$B$6,"",IF($BL357="-&gt;",$BO357,$BD357)))</f>
        <v/>
      </c>
      <c r="CU357" s="103" t="str">
        <f aca="false">IF(ISBLANK($C357),"",IF($BX357&lt;&gt;Constants!$B$6,"",IF($BL357="-&gt;",$BP357+$BQ357,$BE357+$BF357)+$CB357))</f>
        <v/>
      </c>
      <c r="CV357" s="103" t="str">
        <f aca="false">IF(ISBLANK($C357),"",IF($BX357&lt;&gt;Constants!$B$6,"",IF($BL357="-&gt;",$BR357,$BG357)+$CA357))</f>
        <v/>
      </c>
      <c r="CW357" s="104" t="str">
        <f aca="false">IF(ISBLANK($C357),"",IF($BX357&lt;&gt;Constants!$B$6,$BX357,$CC357))</f>
        <v/>
      </c>
      <c r="CX357" s="105" t="str">
        <f aca="false">IF(ISBLANK($C357),"",$BY357)</f>
        <v/>
      </c>
      <c r="CY357" s="106" t="str">
        <f aca="false">IF(ISBLANK($C357),"",$CN357)</f>
        <v/>
      </c>
      <c r="CZ357" s="106" t="str">
        <f aca="false">IF(ISBLANK($C357),"",$CM357)</f>
        <v/>
      </c>
      <c r="DA357" s="107" t="str">
        <f aca="false">IF(ISBLANK($C357),"",IFERROR(_xlfn.SWITCH($CZ357,Constants!$B$9,COUNTA($C$9:$C$508)+2,Constants!$B$8,COUNTA($C$9:$C$508)+1,Constants!$B$7,COUNTA($C$9:$C$508)),$CZ357))</f>
        <v/>
      </c>
      <c r="DB357" s="9"/>
      <c r="DC357" s="108" t="n">
        <f aca="false">IF(OR(ISNUMBER($CZ357),$CZ357=Constants!$B$9,$CZ357=Constants!$B$7,$CZ357=Constants!$B$8),1,0)</f>
        <v>0</v>
      </c>
      <c r="DD357" s="108" t="n">
        <v>349</v>
      </c>
      <c r="DE357" s="108" t="str">
        <f aca="false">IF(ISBLANK($C357),"",IF(ISNUMBER($DA357),$DA357+ROW($B357)/1000,""))</f>
        <v/>
      </c>
      <c r="DF357" s="108" t="str">
        <f aca="false">IF(ISNUMBER($DE357),RANK($DE357,$DE$9:$DE$508,1),"")</f>
        <v/>
      </c>
      <c r="DG357" s="108" t="str">
        <f aca="false">IF(ISBLANK($C357),"",$B357)</f>
        <v/>
      </c>
      <c r="DH357" s="108" t="str">
        <f aca="false">IF(ISBLANK($C357),"",$C357)</f>
        <v/>
      </c>
      <c r="DI357" s="108" t="str">
        <f aca="false">IF(ISBLANK($C357),"",$D357)</f>
        <v/>
      </c>
      <c r="DJ357" s="109" t="str">
        <f aca="false">$CX357</f>
        <v/>
      </c>
      <c r="DK357" s="110" t="str">
        <f aca="false">$CW357</f>
        <v/>
      </c>
      <c r="DL357" s="108" t="str">
        <f aca="false">IF(ISBLANK($C357),"",$CZ357)</f>
        <v/>
      </c>
      <c r="DM357" s="111" t="str">
        <f aca="false">IF($DD357&gt;$DC$8,"",VLOOKUP($DD357,$DF$9:$DL$508,7,FALSE()))</f>
        <v/>
      </c>
      <c r="DN357" s="112" t="str">
        <f aca="false">IF($DD357&gt;$DC$8,"",VLOOKUP($DD357,$DF$9:$DL$508,2,FALSE()))</f>
        <v/>
      </c>
      <c r="DO357" s="112" t="str">
        <f aca="false">IF($DD357&gt;$DC$8,"",VLOOKUP($DD357,$DF$9:$DL$508,3,FALSE()))</f>
        <v/>
      </c>
      <c r="DP357" s="112" t="str">
        <f aca="false">IF($DD357&gt;$DC$8,"",VLOOKUP($DD357,$DF$9:$DL$508,4,FALSE()))</f>
        <v/>
      </c>
      <c r="DQ357" s="112" t="str">
        <f aca="false">IF($DD357&gt;$DC$8,"",VLOOKUP($DD357,$DF$9:$DL$508,5,FALSE()))</f>
        <v/>
      </c>
      <c r="DR357" s="113" t="str">
        <f aca="false">IF($DD357&gt;$DC$8,"",VLOOKUP($DD357,$DF$9:$DL$508,6,FALSE()))</f>
        <v/>
      </c>
      <c r="DS357" s="76"/>
    </row>
    <row r="358" customFormat="false" ht="15.75" hidden="false" customHeight="false" outlineLevel="0" collapsed="false">
      <c r="A358" s="9"/>
      <c r="B358" s="78"/>
      <c r="C358" s="79"/>
      <c r="D358" s="170"/>
      <c r="E358" s="178"/>
      <c r="F358" s="172"/>
      <c r="G358" s="173"/>
      <c r="H358" s="173"/>
      <c r="I358" s="179"/>
      <c r="J358" s="176"/>
      <c r="K358" s="86"/>
      <c r="L358" s="87"/>
      <c r="M358" s="88"/>
      <c r="N358" s="176"/>
      <c r="O358" s="176"/>
      <c r="P358" s="178"/>
      <c r="Q358" s="176"/>
      <c r="R358" s="176"/>
      <c r="S358" s="86"/>
      <c r="T358" s="88"/>
      <c r="U358" s="88"/>
      <c r="V358" s="176"/>
      <c r="W358" s="176"/>
      <c r="X358" s="178"/>
      <c r="Y358" s="176"/>
      <c r="Z358" s="177"/>
      <c r="AA358" s="176"/>
      <c r="AB358" s="92"/>
      <c r="AC358" s="93"/>
      <c r="AD358" s="93"/>
      <c r="AE358" s="93"/>
      <c r="AF358" s="93" t="str">
        <f aca="false">IF(ISBLANK($C358),"",IF(E358=Constants!$B$2,TRUE(),IF(E358=Constants!$B$3,FALSE(),TRUE())))</f>
        <v/>
      </c>
      <c r="AG358" s="93" t="str">
        <f aca="false">IF(ISBLANK($C358),"",IF(F358=Constants!$B$2,TRUE(),IF(F358=Constants!$B$3,FALSE(),TRUE())))</f>
        <v/>
      </c>
      <c r="AH358" s="93" t="str">
        <f aca="false">IF(ISBLANK($C358),"",IF(G358=Constants!$B$2,TRUE(),IF(G358=Constants!$B$3,FALSE(),TRUE())))</f>
        <v/>
      </c>
      <c r="AI358" s="93" t="str">
        <f aca="false">IF(ISBLANK($C358),"",IF(AND(ISNUMBER(H358),H358&gt;=0),H358,Constants!$B$24))</f>
        <v/>
      </c>
      <c r="AJ358" s="93" t="str">
        <f aca="false">IF(ISBLANK($C358),"",IF(I358=Constants!$B$2,TRUE(),IF(I358=Constants!$B$3,FALSE(),TRUE())))</f>
        <v/>
      </c>
      <c r="AK358" s="93" t="str">
        <f aca="false">IF(ISBLANK($C358),"",IF(J358=Constants!$B$2,TRUE(),IF(J358=Constants!$B$3,FALSE(),TRUE())))</f>
        <v/>
      </c>
      <c r="AL358" s="93" t="str">
        <f aca="false">IF(ISBLANK($C358),"",IF(K358=Constants!$B$4,TRUE(),IF(K358=Constants!$B$5,FALSE(),COUNTA(L358:P358)&gt;0)))</f>
        <v/>
      </c>
      <c r="AM358" s="95" t="str">
        <f aca="false">IF(ISBLANK($C358),"",IF(ISNUMBER(L358),IF(L358&gt;=0,L358,""),""))</f>
        <v/>
      </c>
      <c r="AN358" s="94" t="str">
        <f aca="false">IF(ISBLANK($C358),"",IF(ISNUMBER(M358),IF(M358&gt;=0,M358,""),""))</f>
        <v/>
      </c>
      <c r="AO358" s="94" t="str">
        <f aca="false">IF(ISBLANK($C358),"",IF(N358=Constants!$B$2,TRUE(),IF(N358=Constants!$B$3,FALSE(),TRUE())))</f>
        <v/>
      </c>
      <c r="AP358" s="93" t="str">
        <f aca="false">IF(ISBLANK($C358),"",IF(ISNUMBER(O358),IF(O358&gt;=0,O358,""),""))</f>
        <v/>
      </c>
      <c r="AQ358" s="93" t="str">
        <f aca="false">IF(ISBLANK($C358),"",IF(P358=Constants!$B$2,TRUE(),IF(P358=Constants!$B$3,FALSE(),FALSE())))</f>
        <v/>
      </c>
      <c r="AR358" s="93" t="str">
        <f aca="false">IF(ISBLANK($C358),"",IF(Q358=Constants!$B$2,TRUE(),IF(Q358=Constants!$B$3,FALSE(),TRUE())))</f>
        <v/>
      </c>
      <c r="AS358" s="93" t="str">
        <f aca="false">IF(ISBLANK($C358),"",IF(R358=Constants!$B$2,TRUE(),IF(R358=Constants!$B$3,FALSE(),TRUE())))</f>
        <v/>
      </c>
      <c r="AT358" s="93" t="str">
        <f aca="false">IF(ISBLANK($C358),"",IF(S358=Constants!$B$4,TRUE(),IF(S358=Constants!$B$5,FALSE(),COUNTA(T358:X358)&gt;0)))</f>
        <v/>
      </c>
      <c r="AU358" s="95" t="str">
        <f aca="false">IF(ISBLANK($C358),"",IF(ISNUMBER(T358),IF(T358&gt;=0,T358,""),""))</f>
        <v/>
      </c>
      <c r="AV358" s="94" t="str">
        <f aca="false">IF(ISBLANK($C358),"",IF(ISNUMBER(U358),IF(U358&gt;=0,U358,""),""))</f>
        <v/>
      </c>
      <c r="AW358" s="94" t="str">
        <f aca="false">IF(ISBLANK($C358),"",IF(V358=Constants!$B$2,TRUE(),IF(V358=Constants!$B$3,FALSE(),TRUE())))</f>
        <v/>
      </c>
      <c r="AX358" s="93" t="str">
        <f aca="false">IF(ISBLANK($C358),"",IF(ISNUMBER(W358),IF(W358&gt;=0,W358,""),""))</f>
        <v/>
      </c>
      <c r="AY358" s="93" t="str">
        <f aca="false">IF(ISBLANK($C358),"",IF(X358=Constants!$B$2,TRUE(),IF(X358=Constants!$B$3,FALSE(),FALSE())))</f>
        <v/>
      </c>
      <c r="AZ358" s="93" t="str">
        <f aca="false">IF(ISBLANK($C358),"",MIN(Constants!$B$25,MAX(0,IF(ISNUMBER(Y358),Y358*60,0)+IF(ISNUMBER(Z358),Z358,0))))</f>
        <v/>
      </c>
      <c r="BA358" s="93" t="str">
        <f aca="false">IF(ISBLANK($C358),"",IF(AA358=Constants!$B$2,TRUE(),IF(AA358=Constants!$B$3,FALSE(),FALSE())))</f>
        <v/>
      </c>
      <c r="BB358" s="92" t="str">
        <f aca="false">IF(ISBLANK($C358),"",AND($AL358,OR($AM358="",$AN358="",AND($AO358,$AP358=""))))</f>
        <v/>
      </c>
      <c r="BC358" s="94" t="str">
        <f aca="false">IF($BX358&lt;&gt;Constants!$B$6,"",IF($AL358,Constants!$B$17*$AN358+Constants!$B$18*IF($AO358,$AP358,Constants!$B$19),Constants!$B$20))</f>
        <v/>
      </c>
      <c r="BD358" s="97" t="str">
        <f aca="false">IF($BX358&lt;&gt;Constants!$B$6,"",Constants!$B$21*ABS($AD$9-IF($AL358,$AM358,0)))</f>
        <v/>
      </c>
      <c r="BE358" s="97" t="str">
        <f aca="false">IF($BX358&lt;&gt;Constants!$B$6,"",IF(AND($AL358,$AQ358,$AO358),Constants!$B$22,0))</f>
        <v/>
      </c>
      <c r="BF358" s="97" t="str">
        <f aca="false">IF($BX358&lt;&gt;Constants!$B$6,"",IF($AL358,($AI358-Constants!$B$24)*Constants!$B$23,0))</f>
        <v/>
      </c>
      <c r="BG358" s="97" t="str">
        <f aca="false">IF($BX358&lt;&gt;Constants!$B$6,"",IF($AK358,0,Constants!$B$12)+IF($AJ358,0,Constants!$B$13)+IF($AH358,0,Constants!$B$14))</f>
        <v/>
      </c>
      <c r="BH358" s="98" t="str">
        <f aca="false">IF($BX358&lt;&gt;Constants!$B$6,"",Constants!$B$16+SUM($BC358:$BG358))</f>
        <v/>
      </c>
      <c r="BI358" s="97" t="str">
        <f aca="false">IF($BX358&lt;&gt;Constants!$B$6,"",$BC358)</f>
        <v/>
      </c>
      <c r="BJ358" s="97" t="str">
        <f aca="false">IF($BX358&lt;&gt;Constants!$B$6,"",$BD358)</f>
        <v/>
      </c>
      <c r="BK358" s="99" t="str">
        <f aca="false">IF($BX358&lt;&gt;Constants!$B$6,"",IF($AL358,$AN358,""))</f>
        <v/>
      </c>
      <c r="BL358" s="93" t="str">
        <f aca="false">IF($BX358&lt;&gt;Constants!$B$6,"",IF(OR($BS358&lt;$BH358,AND($BS358=$BH358,OR($BT358&lt;$BI358,AND($BT358=$BI358,OR($BU358&lt;$BJ358,AND($BU358=$BJ358,AND(ISNUMBER($BV358),OR(NOT(ISNUMBER($BK358)),$BV358&lt;$BK358)))))))),"-&gt;","&lt;-"))</f>
        <v/>
      </c>
      <c r="BM358" s="92" t="str">
        <f aca="false">IF(ISBLANK($C358),"",AND($AT358,OR($AU358="",$AV358="",AND($AW358,$AX358=""))))</f>
        <v/>
      </c>
      <c r="BN358" s="94" t="str">
        <f aca="false">IF($BX358&lt;&gt;Constants!$B$6,"",IF($AT358,Constants!$B$17*$AV358+Constants!$B$18*IF($AW358,$AX358,Constants!$B$19),Constants!$B$20))</f>
        <v/>
      </c>
      <c r="BO358" s="97" t="str">
        <f aca="false">IF($BX358&lt;&gt;Constants!$B$6,"",Constants!$B$21*ABS($AD$9-IF($AT358,$AU358,0)))</f>
        <v/>
      </c>
      <c r="BP358" s="97" t="str">
        <f aca="false">IF($BX358&lt;&gt;Constants!$B$6,"",IF(AND($AT358,$AY358,$AW358),Constants!$B$22,0))</f>
        <v/>
      </c>
      <c r="BQ358" s="97" t="str">
        <f aca="false">IF($BX358&lt;&gt;Constants!$B$6,"",IF($AT358,($AI358-Constants!$B$24)*Constants!$B$23,0))</f>
        <v/>
      </c>
      <c r="BR358" s="97" t="str">
        <f aca="false">IF($BX358&lt;&gt;Constants!$B$6,"",IF($AS358,0,Constants!$B$12)+IF($AR358,0,Constants!$B$13)+IF($AH358,0,Constants!$B$14))</f>
        <v/>
      </c>
      <c r="BS358" s="98" t="str">
        <f aca="false">IF($BX358&lt;&gt;Constants!$B$6,"",Constants!$B$16+SUM($BN358:$BR358))</f>
        <v/>
      </c>
      <c r="BT358" s="97" t="str">
        <f aca="false">IF($BX358&lt;&gt;Constants!$B$6,"",$BN358)</f>
        <v/>
      </c>
      <c r="BU358" s="97" t="str">
        <f aca="false">IF($BX358&lt;&gt;Constants!$B$6,"",$BO358)</f>
        <v/>
      </c>
      <c r="BV358" s="99" t="str">
        <f aca="false">IF($BX358&lt;&gt;Constants!$B$6,"",IF($AT358,$AV358,""))</f>
        <v/>
      </c>
      <c r="BW358" s="93" t="str">
        <f aca="false">IF(ISBLANK($C358),"",IF(ISBLANK($D$7),$BW$5,IF(NOT(ISNUMBER($D$7)),$BW$6,"")))</f>
        <v/>
      </c>
      <c r="BX358" s="93" t="str">
        <f aca="false">IF(ISBLANK($C358),"",IF($BA358,Constants!$B$9,IF(COUNTA($E358:$AA358)=0,Constants!$B$8,IF(NOT($AG358),Constants!$B$7,IF(OR($BW358&lt;&gt;"",$BB358,$BM358),Constants!$B$10,Constants!$B$6)))))</f>
        <v/>
      </c>
      <c r="BY358" s="93" t="str">
        <f aca="false">IF(ISBLANK($C358),"",IF($BX358&lt;&gt;Constants!$B$6,$BX358,Constants!$B$11))</f>
        <v/>
      </c>
      <c r="BZ358" s="97" t="str">
        <f aca="false">IF($BX358&lt;&gt;Constants!$B$6,"",IF($BL358="-&gt;",$BS358,$BH358))</f>
        <v/>
      </c>
      <c r="CA358" s="97" t="str">
        <f aca="false">IF($BX358&lt;&gt;Constants!$B$6,"",IF($AF358,0,Constants!$B$15))</f>
        <v/>
      </c>
      <c r="CB358" s="97" t="str">
        <f aca="false">IF($BX358&lt;&gt;Constants!$B$6,"",((Constants!$B$25-$AZ358)-Constants!$B$25)/Constants!$B$26)</f>
        <v/>
      </c>
      <c r="CC358" s="97" t="str">
        <f aca="false">IF(ISBLANK($C358),"",IF($BX358&lt;&gt;Constants!$B$6,$BX358,SUM($BZ358:$CB358)))</f>
        <v/>
      </c>
      <c r="CD358" s="93" t="str">
        <f aca="false">IF(ISBLANK($C358),"",IF($BX358&lt;&gt;Constants!$B$6,$BX358,RANK($CC358,$CC$9:$CC$508,1)))</f>
        <v/>
      </c>
      <c r="CE358" s="97" t="str">
        <f aca="false">IF($BX358&lt;&gt;Constants!$B$6,"",IF($BL358="-&gt;",$BT358,$BI358))</f>
        <v/>
      </c>
      <c r="CF358" s="93" t="str">
        <f aca="false">IF(ISBLANK($C358),"",IF($BX358&lt;&gt;Constants!$B$6,$BX358,IF(ISNUMBER($CE358),RANK($CE358,$CE$9:$CE$508,1),COUNT($CE$9:$CE$508)+1)))</f>
        <v/>
      </c>
      <c r="CG358" s="97" t="str">
        <f aca="false">IF($BX358&lt;&gt;Constants!$B$6,"",IF($BL358="-&gt;",$BU358,$BJ358))</f>
        <v/>
      </c>
      <c r="CH358" s="93" t="str">
        <f aca="false">IF(ISBLANK($C358),"",IF($BX358&lt;&gt;Constants!$B$6,$BX358,IF(ISNUMBER($CG358),RANK($CG358,$CG$9:$CG$508,1),COUNT($CG$9:$CG$508)+1)))</f>
        <v/>
      </c>
      <c r="CI358" s="97" t="str">
        <f aca="false">IF($BX358&lt;&gt;Constants!$B$6,"",IF($BL358="-&gt;",$BV358,$BK358))</f>
        <v/>
      </c>
      <c r="CJ358" s="93" t="str">
        <f aca="false">IF(ISBLANK($C358),"",IF($BX358&lt;&gt;Constants!$B$6,$BX358,IF(ISNUMBER($CI358),RANK($CI358,$CI$9:$CI$508,1),COUNT($CI$9:$CI$508)+1)))</f>
        <v/>
      </c>
      <c r="CK358" s="97" t="str">
        <f aca="false">IF($BX358&lt;&gt;Constants!$B$6,"",$AI358)</f>
        <v/>
      </c>
      <c r="CL358" s="93" t="str">
        <f aca="false">IF(ISBLANK($C358),"",IF($BX358&lt;&gt;Constants!$B$6,$BX358,IF(ISNUMBER($CK358),RANK($CK358,$CK$9:$CK$508,1),COUNT($CK$9:$CK$508)+1)))</f>
        <v/>
      </c>
      <c r="CM358" s="93" t="str">
        <f aca="false">IF(ISBLANK($C358),"",IF($BX358&lt;&gt;Constants!$B$6,$BX358,COUNTIFS($CD$9:$CD$508,"&lt;"&amp;$CD358)+COUNTIFS($CD$9:$CD$508,$CD358,$CF$9:$CF$508,"&lt;"&amp;$CF358)+COUNTIFS($CD$9:$CD$508,$CD358,$CF$9:$CF$508,$CF358,$CH$9:$CH$508,"&lt;"&amp;$CH358)+COUNTIFS($CD$9:$CD$508,$CD358,$CF$9:$CF$508,$CF358,$CH$9:$CH$508,$CH358,$CJ$9:$CJ$508,"&lt;"&amp;$CJ358)+COUNTIFS($CD$9:$CD$508,$CD358,$CF$9:$CF$508,$CF358,$CH$9:$CH$508,$CH358,$CJ$9:$CJ$508,$CJ358,$CL$9:$CL$508,"&lt;"&amp;$CL358)+1))</f>
        <v/>
      </c>
      <c r="CN358" s="93" t="str">
        <f aca="false">IF(ISBLANK($C358),"",IF($BX358&lt;&gt;Constants!$B$6,$BX358,$CD358-$CM358))</f>
        <v/>
      </c>
      <c r="CO358" s="100"/>
      <c r="CP358" s="101"/>
      <c r="CQ358" s="102" t="str">
        <f aca="false">IF(ISBLANK($C358),"",IF($BX358=Constants!$B$10,$BW358,""))</f>
        <v/>
      </c>
      <c r="CR358" s="101" t="str">
        <f aca="false">IF(ISBLANK($C358),"",IF($BX358&lt;&gt;Constants!$B$6,"",IF($BL358="-&gt;",2,1)))</f>
        <v/>
      </c>
      <c r="CS358" s="103" t="str">
        <f aca="false">IF(ISBLANK($C358),"",IF($BX358&lt;&gt;Constants!$B$6,"",IF($BL358="-&gt;",$BN358,$BC358)))</f>
        <v/>
      </c>
      <c r="CT358" s="103" t="str">
        <f aca="false">IF(ISBLANK($C358),"",IF($BX358&lt;&gt;Constants!$B$6,"",IF($BL358="-&gt;",$BO358,$BD358)))</f>
        <v/>
      </c>
      <c r="CU358" s="103" t="str">
        <f aca="false">IF(ISBLANK($C358),"",IF($BX358&lt;&gt;Constants!$B$6,"",IF($BL358="-&gt;",$BP358+$BQ358,$BE358+$BF358)+$CB358))</f>
        <v/>
      </c>
      <c r="CV358" s="103" t="str">
        <f aca="false">IF(ISBLANK($C358),"",IF($BX358&lt;&gt;Constants!$B$6,"",IF($BL358="-&gt;",$BR358,$BG358)+$CA358))</f>
        <v/>
      </c>
      <c r="CW358" s="104" t="str">
        <f aca="false">IF(ISBLANK($C358),"",IF($BX358&lt;&gt;Constants!$B$6,$BX358,$CC358))</f>
        <v/>
      </c>
      <c r="CX358" s="105" t="str">
        <f aca="false">IF(ISBLANK($C358),"",$BY358)</f>
        <v/>
      </c>
      <c r="CY358" s="106" t="str">
        <f aca="false">IF(ISBLANK($C358),"",$CN358)</f>
        <v/>
      </c>
      <c r="CZ358" s="106" t="str">
        <f aca="false">IF(ISBLANK($C358),"",$CM358)</f>
        <v/>
      </c>
      <c r="DA358" s="107" t="str">
        <f aca="false">IF(ISBLANK($C358),"",IFERROR(_xlfn.SWITCH($CZ358,Constants!$B$9,COUNTA($C$9:$C$508)+2,Constants!$B$8,COUNTA($C$9:$C$508)+1,Constants!$B$7,COUNTA($C$9:$C$508)),$CZ358))</f>
        <v/>
      </c>
      <c r="DB358" s="9"/>
      <c r="DC358" s="108" t="n">
        <f aca="false">IF(OR(ISNUMBER($CZ358),$CZ358=Constants!$B$9,$CZ358=Constants!$B$7,$CZ358=Constants!$B$8),1,0)</f>
        <v>0</v>
      </c>
      <c r="DD358" s="108" t="n">
        <v>350</v>
      </c>
      <c r="DE358" s="108" t="str">
        <f aca="false">IF(ISBLANK($C358),"",IF(ISNUMBER($DA358),$DA358+ROW($B358)/1000,""))</f>
        <v/>
      </c>
      <c r="DF358" s="108" t="str">
        <f aca="false">IF(ISNUMBER($DE358),RANK($DE358,$DE$9:$DE$508,1),"")</f>
        <v/>
      </c>
      <c r="DG358" s="108" t="str">
        <f aca="false">IF(ISBLANK($C358),"",$B358)</f>
        <v/>
      </c>
      <c r="DH358" s="108" t="str">
        <f aca="false">IF(ISBLANK($C358),"",$C358)</f>
        <v/>
      </c>
      <c r="DI358" s="108" t="str">
        <f aca="false">IF(ISBLANK($C358),"",$D358)</f>
        <v/>
      </c>
      <c r="DJ358" s="109" t="str">
        <f aca="false">$CX358</f>
        <v/>
      </c>
      <c r="DK358" s="110" t="str">
        <f aca="false">$CW358</f>
        <v/>
      </c>
      <c r="DL358" s="108" t="str">
        <f aca="false">IF(ISBLANK($C358),"",$CZ358)</f>
        <v/>
      </c>
      <c r="DM358" s="111" t="str">
        <f aca="false">IF($DD358&gt;$DC$8,"",VLOOKUP($DD358,$DF$9:$DL$508,7,FALSE()))</f>
        <v/>
      </c>
      <c r="DN358" s="112" t="str">
        <f aca="false">IF($DD358&gt;$DC$8,"",VLOOKUP($DD358,$DF$9:$DL$508,2,FALSE()))</f>
        <v/>
      </c>
      <c r="DO358" s="112" t="str">
        <f aca="false">IF($DD358&gt;$DC$8,"",VLOOKUP($DD358,$DF$9:$DL$508,3,FALSE()))</f>
        <v/>
      </c>
      <c r="DP358" s="112" t="str">
        <f aca="false">IF($DD358&gt;$DC$8,"",VLOOKUP($DD358,$DF$9:$DL$508,4,FALSE()))</f>
        <v/>
      </c>
      <c r="DQ358" s="112" t="str">
        <f aca="false">IF($DD358&gt;$DC$8,"",VLOOKUP($DD358,$DF$9:$DL$508,5,FALSE()))</f>
        <v/>
      </c>
      <c r="DR358" s="113" t="str">
        <f aca="false">IF($DD358&gt;$DC$8,"",VLOOKUP($DD358,$DF$9:$DL$508,6,FALSE()))</f>
        <v/>
      </c>
      <c r="DS358" s="76"/>
    </row>
    <row r="359" customFormat="false" ht="15.75" hidden="false" customHeight="false" outlineLevel="0" collapsed="false">
      <c r="A359" s="9"/>
      <c r="B359" s="78"/>
      <c r="C359" s="79"/>
      <c r="D359" s="170"/>
      <c r="E359" s="178"/>
      <c r="F359" s="172"/>
      <c r="G359" s="173"/>
      <c r="H359" s="173"/>
      <c r="I359" s="179"/>
      <c r="J359" s="176"/>
      <c r="K359" s="86"/>
      <c r="L359" s="87"/>
      <c r="M359" s="88"/>
      <c r="N359" s="176"/>
      <c r="O359" s="176"/>
      <c r="P359" s="178"/>
      <c r="Q359" s="176"/>
      <c r="R359" s="176"/>
      <c r="S359" s="86"/>
      <c r="T359" s="88"/>
      <c r="U359" s="88"/>
      <c r="V359" s="176"/>
      <c r="W359" s="176"/>
      <c r="X359" s="178"/>
      <c r="Y359" s="176"/>
      <c r="Z359" s="177"/>
      <c r="AA359" s="176"/>
      <c r="AB359" s="92"/>
      <c r="AC359" s="93"/>
      <c r="AD359" s="93"/>
      <c r="AE359" s="93"/>
      <c r="AF359" s="93" t="str">
        <f aca="false">IF(ISBLANK($C359),"",IF(E359=Constants!$B$2,TRUE(),IF(E359=Constants!$B$3,FALSE(),TRUE())))</f>
        <v/>
      </c>
      <c r="AG359" s="93" t="str">
        <f aca="false">IF(ISBLANK($C359),"",IF(F359=Constants!$B$2,TRUE(),IF(F359=Constants!$B$3,FALSE(),TRUE())))</f>
        <v/>
      </c>
      <c r="AH359" s="93" t="str">
        <f aca="false">IF(ISBLANK($C359),"",IF(G359=Constants!$B$2,TRUE(),IF(G359=Constants!$B$3,FALSE(),TRUE())))</f>
        <v/>
      </c>
      <c r="AI359" s="93" t="str">
        <f aca="false">IF(ISBLANK($C359),"",IF(AND(ISNUMBER(H359),H359&gt;=0),H359,Constants!$B$24))</f>
        <v/>
      </c>
      <c r="AJ359" s="93" t="str">
        <f aca="false">IF(ISBLANK($C359),"",IF(I359=Constants!$B$2,TRUE(),IF(I359=Constants!$B$3,FALSE(),TRUE())))</f>
        <v/>
      </c>
      <c r="AK359" s="93" t="str">
        <f aca="false">IF(ISBLANK($C359),"",IF(J359=Constants!$B$2,TRUE(),IF(J359=Constants!$B$3,FALSE(),TRUE())))</f>
        <v/>
      </c>
      <c r="AL359" s="93" t="str">
        <f aca="false">IF(ISBLANK($C359),"",IF(K359=Constants!$B$4,TRUE(),IF(K359=Constants!$B$5,FALSE(),COUNTA(L359:P359)&gt;0)))</f>
        <v/>
      </c>
      <c r="AM359" s="95" t="str">
        <f aca="false">IF(ISBLANK($C359),"",IF(ISNUMBER(L359),IF(L359&gt;=0,L359,""),""))</f>
        <v/>
      </c>
      <c r="AN359" s="94" t="str">
        <f aca="false">IF(ISBLANK($C359),"",IF(ISNUMBER(M359),IF(M359&gt;=0,M359,""),""))</f>
        <v/>
      </c>
      <c r="AO359" s="94" t="str">
        <f aca="false">IF(ISBLANK($C359),"",IF(N359=Constants!$B$2,TRUE(),IF(N359=Constants!$B$3,FALSE(),TRUE())))</f>
        <v/>
      </c>
      <c r="AP359" s="93" t="str">
        <f aca="false">IF(ISBLANK($C359),"",IF(ISNUMBER(O359),IF(O359&gt;=0,O359,""),""))</f>
        <v/>
      </c>
      <c r="AQ359" s="93" t="str">
        <f aca="false">IF(ISBLANK($C359),"",IF(P359=Constants!$B$2,TRUE(),IF(P359=Constants!$B$3,FALSE(),FALSE())))</f>
        <v/>
      </c>
      <c r="AR359" s="93" t="str">
        <f aca="false">IF(ISBLANK($C359),"",IF(Q359=Constants!$B$2,TRUE(),IF(Q359=Constants!$B$3,FALSE(),TRUE())))</f>
        <v/>
      </c>
      <c r="AS359" s="93" t="str">
        <f aca="false">IF(ISBLANK($C359),"",IF(R359=Constants!$B$2,TRUE(),IF(R359=Constants!$B$3,FALSE(),TRUE())))</f>
        <v/>
      </c>
      <c r="AT359" s="93" t="str">
        <f aca="false">IF(ISBLANK($C359),"",IF(S359=Constants!$B$4,TRUE(),IF(S359=Constants!$B$5,FALSE(),COUNTA(T359:X359)&gt;0)))</f>
        <v/>
      </c>
      <c r="AU359" s="95" t="str">
        <f aca="false">IF(ISBLANK($C359),"",IF(ISNUMBER(T359),IF(T359&gt;=0,T359,""),""))</f>
        <v/>
      </c>
      <c r="AV359" s="94" t="str">
        <f aca="false">IF(ISBLANK($C359),"",IF(ISNUMBER(U359),IF(U359&gt;=0,U359,""),""))</f>
        <v/>
      </c>
      <c r="AW359" s="94" t="str">
        <f aca="false">IF(ISBLANK($C359),"",IF(V359=Constants!$B$2,TRUE(),IF(V359=Constants!$B$3,FALSE(),TRUE())))</f>
        <v/>
      </c>
      <c r="AX359" s="93" t="str">
        <f aca="false">IF(ISBLANK($C359),"",IF(ISNUMBER(W359),IF(W359&gt;=0,W359,""),""))</f>
        <v/>
      </c>
      <c r="AY359" s="93" t="str">
        <f aca="false">IF(ISBLANK($C359),"",IF(X359=Constants!$B$2,TRUE(),IF(X359=Constants!$B$3,FALSE(),FALSE())))</f>
        <v/>
      </c>
      <c r="AZ359" s="93" t="str">
        <f aca="false">IF(ISBLANK($C359),"",MIN(Constants!$B$25,MAX(0,IF(ISNUMBER(Y359),Y359*60,0)+IF(ISNUMBER(Z359),Z359,0))))</f>
        <v/>
      </c>
      <c r="BA359" s="93" t="str">
        <f aca="false">IF(ISBLANK($C359),"",IF(AA359=Constants!$B$2,TRUE(),IF(AA359=Constants!$B$3,FALSE(),FALSE())))</f>
        <v/>
      </c>
      <c r="BB359" s="92" t="str">
        <f aca="false">IF(ISBLANK($C359),"",AND($AL359,OR($AM359="",$AN359="",AND($AO359,$AP359=""))))</f>
        <v/>
      </c>
      <c r="BC359" s="94" t="str">
        <f aca="false">IF($BX359&lt;&gt;Constants!$B$6,"",IF($AL359,Constants!$B$17*$AN359+Constants!$B$18*IF($AO359,$AP359,Constants!$B$19),Constants!$B$20))</f>
        <v/>
      </c>
      <c r="BD359" s="97" t="str">
        <f aca="false">IF($BX359&lt;&gt;Constants!$B$6,"",Constants!$B$21*ABS($AD$9-IF($AL359,$AM359,0)))</f>
        <v/>
      </c>
      <c r="BE359" s="97" t="str">
        <f aca="false">IF($BX359&lt;&gt;Constants!$B$6,"",IF(AND($AL359,$AQ359,$AO359),Constants!$B$22,0))</f>
        <v/>
      </c>
      <c r="BF359" s="97" t="str">
        <f aca="false">IF($BX359&lt;&gt;Constants!$B$6,"",IF($AL359,($AI359-Constants!$B$24)*Constants!$B$23,0))</f>
        <v/>
      </c>
      <c r="BG359" s="97" t="str">
        <f aca="false">IF($BX359&lt;&gt;Constants!$B$6,"",IF($AK359,0,Constants!$B$12)+IF($AJ359,0,Constants!$B$13)+IF($AH359,0,Constants!$B$14))</f>
        <v/>
      </c>
      <c r="BH359" s="98" t="str">
        <f aca="false">IF($BX359&lt;&gt;Constants!$B$6,"",Constants!$B$16+SUM($BC359:$BG359))</f>
        <v/>
      </c>
      <c r="BI359" s="97" t="str">
        <f aca="false">IF($BX359&lt;&gt;Constants!$B$6,"",$BC359)</f>
        <v/>
      </c>
      <c r="BJ359" s="97" t="str">
        <f aca="false">IF($BX359&lt;&gt;Constants!$B$6,"",$BD359)</f>
        <v/>
      </c>
      <c r="BK359" s="99" t="str">
        <f aca="false">IF($BX359&lt;&gt;Constants!$B$6,"",IF($AL359,$AN359,""))</f>
        <v/>
      </c>
      <c r="BL359" s="93" t="str">
        <f aca="false">IF($BX359&lt;&gt;Constants!$B$6,"",IF(OR($BS359&lt;$BH359,AND($BS359=$BH359,OR($BT359&lt;$BI359,AND($BT359=$BI359,OR($BU359&lt;$BJ359,AND($BU359=$BJ359,AND(ISNUMBER($BV359),OR(NOT(ISNUMBER($BK359)),$BV359&lt;$BK359)))))))),"-&gt;","&lt;-"))</f>
        <v/>
      </c>
      <c r="BM359" s="92" t="str">
        <f aca="false">IF(ISBLANK($C359),"",AND($AT359,OR($AU359="",$AV359="",AND($AW359,$AX359=""))))</f>
        <v/>
      </c>
      <c r="BN359" s="94" t="str">
        <f aca="false">IF($BX359&lt;&gt;Constants!$B$6,"",IF($AT359,Constants!$B$17*$AV359+Constants!$B$18*IF($AW359,$AX359,Constants!$B$19),Constants!$B$20))</f>
        <v/>
      </c>
      <c r="BO359" s="97" t="str">
        <f aca="false">IF($BX359&lt;&gt;Constants!$B$6,"",Constants!$B$21*ABS($AD$9-IF($AT359,$AU359,0)))</f>
        <v/>
      </c>
      <c r="BP359" s="97" t="str">
        <f aca="false">IF($BX359&lt;&gt;Constants!$B$6,"",IF(AND($AT359,$AY359,$AW359),Constants!$B$22,0))</f>
        <v/>
      </c>
      <c r="BQ359" s="97" t="str">
        <f aca="false">IF($BX359&lt;&gt;Constants!$B$6,"",IF($AT359,($AI359-Constants!$B$24)*Constants!$B$23,0))</f>
        <v/>
      </c>
      <c r="BR359" s="97" t="str">
        <f aca="false">IF($BX359&lt;&gt;Constants!$B$6,"",IF($AS359,0,Constants!$B$12)+IF($AR359,0,Constants!$B$13)+IF($AH359,0,Constants!$B$14))</f>
        <v/>
      </c>
      <c r="BS359" s="98" t="str">
        <f aca="false">IF($BX359&lt;&gt;Constants!$B$6,"",Constants!$B$16+SUM($BN359:$BR359))</f>
        <v/>
      </c>
      <c r="BT359" s="97" t="str">
        <f aca="false">IF($BX359&lt;&gt;Constants!$B$6,"",$BN359)</f>
        <v/>
      </c>
      <c r="BU359" s="97" t="str">
        <f aca="false">IF($BX359&lt;&gt;Constants!$B$6,"",$BO359)</f>
        <v/>
      </c>
      <c r="BV359" s="99" t="str">
        <f aca="false">IF($BX359&lt;&gt;Constants!$B$6,"",IF($AT359,$AV359,""))</f>
        <v/>
      </c>
      <c r="BW359" s="93" t="str">
        <f aca="false">IF(ISBLANK($C359),"",IF(ISBLANK($D$7),$BW$5,IF(NOT(ISNUMBER($D$7)),$BW$6,"")))</f>
        <v/>
      </c>
      <c r="BX359" s="93" t="str">
        <f aca="false">IF(ISBLANK($C359),"",IF($BA359,Constants!$B$9,IF(COUNTA($E359:$AA359)=0,Constants!$B$8,IF(NOT($AG359),Constants!$B$7,IF(OR($BW359&lt;&gt;"",$BB359,$BM359),Constants!$B$10,Constants!$B$6)))))</f>
        <v/>
      </c>
      <c r="BY359" s="93" t="str">
        <f aca="false">IF(ISBLANK($C359),"",IF($BX359&lt;&gt;Constants!$B$6,$BX359,Constants!$B$11))</f>
        <v/>
      </c>
      <c r="BZ359" s="97" t="str">
        <f aca="false">IF($BX359&lt;&gt;Constants!$B$6,"",IF($BL359="-&gt;",$BS359,$BH359))</f>
        <v/>
      </c>
      <c r="CA359" s="97" t="str">
        <f aca="false">IF($BX359&lt;&gt;Constants!$B$6,"",IF($AF359,0,Constants!$B$15))</f>
        <v/>
      </c>
      <c r="CB359" s="97" t="str">
        <f aca="false">IF($BX359&lt;&gt;Constants!$B$6,"",((Constants!$B$25-$AZ359)-Constants!$B$25)/Constants!$B$26)</f>
        <v/>
      </c>
      <c r="CC359" s="97" t="str">
        <f aca="false">IF(ISBLANK($C359),"",IF($BX359&lt;&gt;Constants!$B$6,$BX359,SUM($BZ359:$CB359)))</f>
        <v/>
      </c>
      <c r="CD359" s="93" t="str">
        <f aca="false">IF(ISBLANK($C359),"",IF($BX359&lt;&gt;Constants!$B$6,$BX359,RANK($CC359,$CC$9:$CC$508,1)))</f>
        <v/>
      </c>
      <c r="CE359" s="97" t="str">
        <f aca="false">IF($BX359&lt;&gt;Constants!$B$6,"",IF($BL359="-&gt;",$BT359,$BI359))</f>
        <v/>
      </c>
      <c r="CF359" s="93" t="str">
        <f aca="false">IF(ISBLANK($C359),"",IF($BX359&lt;&gt;Constants!$B$6,$BX359,IF(ISNUMBER($CE359),RANK($CE359,$CE$9:$CE$508,1),COUNT($CE$9:$CE$508)+1)))</f>
        <v/>
      </c>
      <c r="CG359" s="97" t="str">
        <f aca="false">IF($BX359&lt;&gt;Constants!$B$6,"",IF($BL359="-&gt;",$BU359,$BJ359))</f>
        <v/>
      </c>
      <c r="CH359" s="93" t="str">
        <f aca="false">IF(ISBLANK($C359),"",IF($BX359&lt;&gt;Constants!$B$6,$BX359,IF(ISNUMBER($CG359),RANK($CG359,$CG$9:$CG$508,1),COUNT($CG$9:$CG$508)+1)))</f>
        <v/>
      </c>
      <c r="CI359" s="97" t="str">
        <f aca="false">IF($BX359&lt;&gt;Constants!$B$6,"",IF($BL359="-&gt;",$BV359,$BK359))</f>
        <v/>
      </c>
      <c r="CJ359" s="93" t="str">
        <f aca="false">IF(ISBLANK($C359),"",IF($BX359&lt;&gt;Constants!$B$6,$BX359,IF(ISNUMBER($CI359),RANK($CI359,$CI$9:$CI$508,1),COUNT($CI$9:$CI$508)+1)))</f>
        <v/>
      </c>
      <c r="CK359" s="97" t="str">
        <f aca="false">IF($BX359&lt;&gt;Constants!$B$6,"",$AI359)</f>
        <v/>
      </c>
      <c r="CL359" s="93" t="str">
        <f aca="false">IF(ISBLANK($C359),"",IF($BX359&lt;&gt;Constants!$B$6,$BX359,IF(ISNUMBER($CK359),RANK($CK359,$CK$9:$CK$508,1),COUNT($CK$9:$CK$508)+1)))</f>
        <v/>
      </c>
      <c r="CM359" s="93" t="str">
        <f aca="false">IF(ISBLANK($C359),"",IF($BX359&lt;&gt;Constants!$B$6,$BX359,COUNTIFS($CD$9:$CD$508,"&lt;"&amp;$CD359)+COUNTIFS($CD$9:$CD$508,$CD359,$CF$9:$CF$508,"&lt;"&amp;$CF359)+COUNTIFS($CD$9:$CD$508,$CD359,$CF$9:$CF$508,$CF359,$CH$9:$CH$508,"&lt;"&amp;$CH359)+COUNTIFS($CD$9:$CD$508,$CD359,$CF$9:$CF$508,$CF359,$CH$9:$CH$508,$CH359,$CJ$9:$CJ$508,"&lt;"&amp;$CJ359)+COUNTIFS($CD$9:$CD$508,$CD359,$CF$9:$CF$508,$CF359,$CH$9:$CH$508,$CH359,$CJ$9:$CJ$508,$CJ359,$CL$9:$CL$508,"&lt;"&amp;$CL359)+1))</f>
        <v/>
      </c>
      <c r="CN359" s="93" t="str">
        <f aca="false">IF(ISBLANK($C359),"",IF($BX359&lt;&gt;Constants!$B$6,$BX359,$CD359-$CM359))</f>
        <v/>
      </c>
      <c r="CO359" s="100"/>
      <c r="CP359" s="101"/>
      <c r="CQ359" s="102" t="str">
        <f aca="false">IF(ISBLANK($C359),"",IF($BX359=Constants!$B$10,$BW359,""))</f>
        <v/>
      </c>
      <c r="CR359" s="101" t="str">
        <f aca="false">IF(ISBLANK($C359),"",IF($BX359&lt;&gt;Constants!$B$6,"",IF($BL359="-&gt;",2,1)))</f>
        <v/>
      </c>
      <c r="CS359" s="103" t="str">
        <f aca="false">IF(ISBLANK($C359),"",IF($BX359&lt;&gt;Constants!$B$6,"",IF($BL359="-&gt;",$BN359,$BC359)))</f>
        <v/>
      </c>
      <c r="CT359" s="103" t="str">
        <f aca="false">IF(ISBLANK($C359),"",IF($BX359&lt;&gt;Constants!$B$6,"",IF($BL359="-&gt;",$BO359,$BD359)))</f>
        <v/>
      </c>
      <c r="CU359" s="103" t="str">
        <f aca="false">IF(ISBLANK($C359),"",IF($BX359&lt;&gt;Constants!$B$6,"",IF($BL359="-&gt;",$BP359+$BQ359,$BE359+$BF359)+$CB359))</f>
        <v/>
      </c>
      <c r="CV359" s="103" t="str">
        <f aca="false">IF(ISBLANK($C359),"",IF($BX359&lt;&gt;Constants!$B$6,"",IF($BL359="-&gt;",$BR359,$BG359)+$CA359))</f>
        <v/>
      </c>
      <c r="CW359" s="104" t="str">
        <f aca="false">IF(ISBLANK($C359),"",IF($BX359&lt;&gt;Constants!$B$6,$BX359,$CC359))</f>
        <v/>
      </c>
      <c r="CX359" s="105" t="str">
        <f aca="false">IF(ISBLANK($C359),"",$BY359)</f>
        <v/>
      </c>
      <c r="CY359" s="106" t="str">
        <f aca="false">IF(ISBLANK($C359),"",$CN359)</f>
        <v/>
      </c>
      <c r="CZ359" s="106" t="str">
        <f aca="false">IF(ISBLANK($C359),"",$CM359)</f>
        <v/>
      </c>
      <c r="DA359" s="107" t="str">
        <f aca="false">IF(ISBLANK($C359),"",IFERROR(_xlfn.SWITCH($CZ359,Constants!$B$9,COUNTA($C$9:$C$508)+2,Constants!$B$8,COUNTA($C$9:$C$508)+1,Constants!$B$7,COUNTA($C$9:$C$508)),$CZ359))</f>
        <v/>
      </c>
      <c r="DB359" s="9"/>
      <c r="DC359" s="108" t="n">
        <f aca="false">IF(OR(ISNUMBER($CZ359),$CZ359=Constants!$B$9,$CZ359=Constants!$B$7,$CZ359=Constants!$B$8),1,0)</f>
        <v>0</v>
      </c>
      <c r="DD359" s="108" t="n">
        <v>351</v>
      </c>
      <c r="DE359" s="108" t="str">
        <f aca="false">IF(ISBLANK($C359),"",IF(ISNUMBER($DA359),$DA359+ROW($B359)/1000,""))</f>
        <v/>
      </c>
      <c r="DF359" s="108" t="str">
        <f aca="false">IF(ISNUMBER($DE359),RANK($DE359,$DE$9:$DE$508,1),"")</f>
        <v/>
      </c>
      <c r="DG359" s="108" t="str">
        <f aca="false">IF(ISBLANK($C359),"",$B359)</f>
        <v/>
      </c>
      <c r="DH359" s="108" t="str">
        <f aca="false">IF(ISBLANK($C359),"",$C359)</f>
        <v/>
      </c>
      <c r="DI359" s="108" t="str">
        <f aca="false">IF(ISBLANK($C359),"",$D359)</f>
        <v/>
      </c>
      <c r="DJ359" s="109" t="str">
        <f aca="false">$CX359</f>
        <v/>
      </c>
      <c r="DK359" s="110" t="str">
        <f aca="false">$CW359</f>
        <v/>
      </c>
      <c r="DL359" s="108" t="str">
        <f aca="false">IF(ISBLANK($C359),"",$CZ359)</f>
        <v/>
      </c>
      <c r="DM359" s="111" t="str">
        <f aca="false">IF($DD359&gt;$DC$8,"",VLOOKUP($DD359,$DF$9:$DL$508,7,FALSE()))</f>
        <v/>
      </c>
      <c r="DN359" s="112" t="str">
        <f aca="false">IF($DD359&gt;$DC$8,"",VLOOKUP($DD359,$DF$9:$DL$508,2,FALSE()))</f>
        <v/>
      </c>
      <c r="DO359" s="112" t="str">
        <f aca="false">IF($DD359&gt;$DC$8,"",VLOOKUP($DD359,$DF$9:$DL$508,3,FALSE()))</f>
        <v/>
      </c>
      <c r="DP359" s="112" t="str">
        <f aca="false">IF($DD359&gt;$DC$8,"",VLOOKUP($DD359,$DF$9:$DL$508,4,FALSE()))</f>
        <v/>
      </c>
      <c r="DQ359" s="112" t="str">
        <f aca="false">IF($DD359&gt;$DC$8,"",VLOOKUP($DD359,$DF$9:$DL$508,5,FALSE()))</f>
        <v/>
      </c>
      <c r="DR359" s="113" t="str">
        <f aca="false">IF($DD359&gt;$DC$8,"",VLOOKUP($DD359,$DF$9:$DL$508,6,FALSE()))</f>
        <v/>
      </c>
      <c r="DS359" s="76"/>
    </row>
    <row r="360" customFormat="false" ht="15.75" hidden="false" customHeight="false" outlineLevel="0" collapsed="false">
      <c r="A360" s="9"/>
      <c r="B360" s="160"/>
      <c r="C360" s="161"/>
      <c r="D360" s="162"/>
      <c r="E360" s="180"/>
      <c r="F360" s="164"/>
      <c r="G360" s="165"/>
      <c r="H360" s="165"/>
      <c r="I360" s="181"/>
      <c r="J360" s="168"/>
      <c r="K360" s="128"/>
      <c r="L360" s="129"/>
      <c r="M360" s="130"/>
      <c r="N360" s="168"/>
      <c r="O360" s="168"/>
      <c r="P360" s="180"/>
      <c r="Q360" s="168"/>
      <c r="R360" s="168"/>
      <c r="S360" s="128"/>
      <c r="T360" s="130"/>
      <c r="U360" s="130"/>
      <c r="V360" s="168"/>
      <c r="W360" s="168"/>
      <c r="X360" s="180"/>
      <c r="Y360" s="168"/>
      <c r="Z360" s="169"/>
      <c r="AA360" s="168"/>
      <c r="AB360" s="134"/>
      <c r="AC360" s="135"/>
      <c r="AD360" s="135"/>
      <c r="AE360" s="135"/>
      <c r="AF360" s="135" t="str">
        <f aca="false">IF(ISBLANK($C360),"",IF(E360=Constants!$B$2,TRUE(),IF(E360=Constants!$B$3,FALSE(),TRUE())))</f>
        <v/>
      </c>
      <c r="AG360" s="135" t="str">
        <f aca="false">IF(ISBLANK($C360),"",IF(F360=Constants!$B$2,TRUE(),IF(F360=Constants!$B$3,FALSE(),TRUE())))</f>
        <v/>
      </c>
      <c r="AH360" s="135" t="str">
        <f aca="false">IF(ISBLANK($C360),"",IF(G360=Constants!$B$2,TRUE(),IF(G360=Constants!$B$3,FALSE(),TRUE())))</f>
        <v/>
      </c>
      <c r="AI360" s="135" t="str">
        <f aca="false">IF(ISBLANK($C360),"",IF(AND(ISNUMBER(H360),H360&gt;=0),H360,Constants!$B$24))</f>
        <v/>
      </c>
      <c r="AJ360" s="135" t="str">
        <f aca="false">IF(ISBLANK($C360),"",IF(I360=Constants!$B$2,TRUE(),IF(I360=Constants!$B$3,FALSE(),TRUE())))</f>
        <v/>
      </c>
      <c r="AK360" s="135" t="str">
        <f aca="false">IF(ISBLANK($C360),"",IF(J360=Constants!$B$2,TRUE(),IF(J360=Constants!$B$3,FALSE(),TRUE())))</f>
        <v/>
      </c>
      <c r="AL360" s="135" t="str">
        <f aca="false">IF(ISBLANK($C360),"",IF(K360=Constants!$B$4,TRUE(),IF(K360=Constants!$B$5,FALSE(),COUNTA(L360:P360)&gt;0)))</f>
        <v/>
      </c>
      <c r="AM360" s="136" t="str">
        <f aca="false">IF(ISBLANK($C360),"",IF(ISNUMBER(L360),IF(L360&gt;=0,L360,""),""))</f>
        <v/>
      </c>
      <c r="AN360" s="137" t="str">
        <f aca="false">IF(ISBLANK($C360),"",IF(ISNUMBER(M360),IF(M360&gt;=0,M360,""),""))</f>
        <v/>
      </c>
      <c r="AO360" s="137" t="str">
        <f aca="false">IF(ISBLANK($C360),"",IF(N360=Constants!$B$2,TRUE(),IF(N360=Constants!$B$3,FALSE(),TRUE())))</f>
        <v/>
      </c>
      <c r="AP360" s="135" t="str">
        <f aca="false">IF(ISBLANK($C360),"",IF(ISNUMBER(O360),IF(O360&gt;=0,O360,""),""))</f>
        <v/>
      </c>
      <c r="AQ360" s="135" t="str">
        <f aca="false">IF(ISBLANK($C360),"",IF(P360=Constants!$B$2,TRUE(),IF(P360=Constants!$B$3,FALSE(),FALSE())))</f>
        <v/>
      </c>
      <c r="AR360" s="135" t="str">
        <f aca="false">IF(ISBLANK($C360),"",IF(Q360=Constants!$B$2,TRUE(),IF(Q360=Constants!$B$3,FALSE(),TRUE())))</f>
        <v/>
      </c>
      <c r="AS360" s="135" t="str">
        <f aca="false">IF(ISBLANK($C360),"",IF(R360=Constants!$B$2,TRUE(),IF(R360=Constants!$B$3,FALSE(),TRUE())))</f>
        <v/>
      </c>
      <c r="AT360" s="135" t="str">
        <f aca="false">IF(ISBLANK($C360),"",IF(S360=Constants!$B$4,TRUE(),IF(S360=Constants!$B$5,FALSE(),COUNTA(T360:X360)&gt;0)))</f>
        <v/>
      </c>
      <c r="AU360" s="136" t="str">
        <f aca="false">IF(ISBLANK($C360),"",IF(ISNUMBER(T360),IF(T360&gt;=0,T360,""),""))</f>
        <v/>
      </c>
      <c r="AV360" s="137" t="str">
        <f aca="false">IF(ISBLANK($C360),"",IF(ISNUMBER(U360),IF(U360&gt;=0,U360,""),""))</f>
        <v/>
      </c>
      <c r="AW360" s="137" t="str">
        <f aca="false">IF(ISBLANK($C360),"",IF(V360=Constants!$B$2,TRUE(),IF(V360=Constants!$B$3,FALSE(),TRUE())))</f>
        <v/>
      </c>
      <c r="AX360" s="135" t="str">
        <f aca="false">IF(ISBLANK($C360),"",IF(ISNUMBER(W360),IF(W360&gt;=0,W360,""),""))</f>
        <v/>
      </c>
      <c r="AY360" s="135" t="str">
        <f aca="false">IF(ISBLANK($C360),"",IF(X360=Constants!$B$2,TRUE(),IF(X360=Constants!$B$3,FALSE(),FALSE())))</f>
        <v/>
      </c>
      <c r="AZ360" s="135" t="str">
        <f aca="false">IF(ISBLANK($C360),"",MIN(Constants!$B$25,MAX(0,IF(ISNUMBER(Y360),Y360*60,0)+IF(ISNUMBER(Z360),Z360,0))))</f>
        <v/>
      </c>
      <c r="BA360" s="135" t="str">
        <f aca="false">IF(ISBLANK($C360),"",IF(AA360=Constants!$B$2,TRUE(),IF(AA360=Constants!$B$3,FALSE(),FALSE())))</f>
        <v/>
      </c>
      <c r="BB360" s="134" t="str">
        <f aca="false">IF(ISBLANK($C360),"",AND($AL360,OR($AM360="",$AN360="",AND($AO360,$AP360=""))))</f>
        <v/>
      </c>
      <c r="BC360" s="137" t="str">
        <f aca="false">IF($BX360&lt;&gt;Constants!$B$6,"",IF($AL360,Constants!$B$17*$AN360+Constants!$B$18*IF($AO360,$AP360,Constants!$B$19),Constants!$B$20))</f>
        <v/>
      </c>
      <c r="BD360" s="138" t="str">
        <f aca="false">IF($BX360&lt;&gt;Constants!$B$6,"",Constants!$B$21*ABS($AD$9-IF($AL360,$AM360,0)))</f>
        <v/>
      </c>
      <c r="BE360" s="138" t="str">
        <f aca="false">IF($BX360&lt;&gt;Constants!$B$6,"",IF(AND($AL360,$AQ360,$AO360),Constants!$B$22,0))</f>
        <v/>
      </c>
      <c r="BF360" s="138" t="str">
        <f aca="false">IF($BX360&lt;&gt;Constants!$B$6,"",IF($AL360,($AI360-Constants!$B$24)*Constants!$B$23,0))</f>
        <v/>
      </c>
      <c r="BG360" s="138" t="str">
        <f aca="false">IF($BX360&lt;&gt;Constants!$B$6,"",IF($AK360,0,Constants!$B$12)+IF($AJ360,0,Constants!$B$13)+IF($AH360,0,Constants!$B$14))</f>
        <v/>
      </c>
      <c r="BH360" s="139" t="str">
        <f aca="false">IF($BX360&lt;&gt;Constants!$B$6,"",Constants!$B$16+SUM($BC360:$BG360))</f>
        <v/>
      </c>
      <c r="BI360" s="138" t="str">
        <f aca="false">IF($BX360&lt;&gt;Constants!$B$6,"",$BC360)</f>
        <v/>
      </c>
      <c r="BJ360" s="138" t="str">
        <f aca="false">IF($BX360&lt;&gt;Constants!$B$6,"",$BD360)</f>
        <v/>
      </c>
      <c r="BK360" s="140" t="str">
        <f aca="false">IF($BX360&lt;&gt;Constants!$B$6,"",IF($AL360,$AN360,""))</f>
        <v/>
      </c>
      <c r="BL360" s="135" t="str">
        <f aca="false">IF($BX360&lt;&gt;Constants!$B$6,"",IF(OR($BS360&lt;$BH360,AND($BS360=$BH360,OR($BT360&lt;$BI360,AND($BT360=$BI360,OR($BU360&lt;$BJ360,AND($BU360=$BJ360,AND(ISNUMBER($BV360),OR(NOT(ISNUMBER($BK360)),$BV360&lt;$BK360)))))))),"-&gt;","&lt;-"))</f>
        <v/>
      </c>
      <c r="BM360" s="134" t="str">
        <f aca="false">IF(ISBLANK($C360),"",AND($AT360,OR($AU360="",$AV360="",AND($AW360,$AX360=""))))</f>
        <v/>
      </c>
      <c r="BN360" s="137" t="str">
        <f aca="false">IF($BX360&lt;&gt;Constants!$B$6,"",IF($AT360,Constants!$B$17*$AV360+Constants!$B$18*IF($AW360,$AX360,Constants!$B$19),Constants!$B$20))</f>
        <v/>
      </c>
      <c r="BO360" s="138" t="str">
        <f aca="false">IF($BX360&lt;&gt;Constants!$B$6,"",Constants!$B$21*ABS($AD$9-IF($AT360,$AU360,0)))</f>
        <v/>
      </c>
      <c r="BP360" s="138" t="str">
        <f aca="false">IF($BX360&lt;&gt;Constants!$B$6,"",IF(AND($AT360,$AY360,$AW360),Constants!$B$22,0))</f>
        <v/>
      </c>
      <c r="BQ360" s="138" t="str">
        <f aca="false">IF($BX360&lt;&gt;Constants!$B$6,"",IF($AT360,($AI360-Constants!$B$24)*Constants!$B$23,0))</f>
        <v/>
      </c>
      <c r="BR360" s="138" t="str">
        <f aca="false">IF($BX360&lt;&gt;Constants!$B$6,"",IF($AS360,0,Constants!$B$12)+IF($AR360,0,Constants!$B$13)+IF($AH360,0,Constants!$B$14))</f>
        <v/>
      </c>
      <c r="BS360" s="139" t="str">
        <f aca="false">IF($BX360&lt;&gt;Constants!$B$6,"",Constants!$B$16+SUM($BN360:$BR360))</f>
        <v/>
      </c>
      <c r="BT360" s="138" t="str">
        <f aca="false">IF($BX360&lt;&gt;Constants!$B$6,"",$BN360)</f>
        <v/>
      </c>
      <c r="BU360" s="138" t="str">
        <f aca="false">IF($BX360&lt;&gt;Constants!$B$6,"",$BO360)</f>
        <v/>
      </c>
      <c r="BV360" s="140" t="str">
        <f aca="false">IF($BX360&lt;&gt;Constants!$B$6,"",IF($AT360,$AV360,""))</f>
        <v/>
      </c>
      <c r="BW360" s="135" t="str">
        <f aca="false">IF(ISBLANK($C360),"",IF(ISBLANK($D$7),$BW$5,IF(NOT(ISNUMBER($D$7)),$BW$6,"")))</f>
        <v/>
      </c>
      <c r="BX360" s="135" t="str">
        <f aca="false">IF(ISBLANK($C360),"",IF($BA360,Constants!$B$9,IF(COUNTA($E360:$AA360)=0,Constants!$B$8,IF(NOT($AG360),Constants!$B$7,IF(OR($BW360&lt;&gt;"",$BB360,$BM360),Constants!$B$10,Constants!$B$6)))))</f>
        <v/>
      </c>
      <c r="BY360" s="135" t="str">
        <f aca="false">IF(ISBLANK($C360),"",IF($BX360&lt;&gt;Constants!$B$6,$BX360,Constants!$B$11))</f>
        <v/>
      </c>
      <c r="BZ360" s="138" t="str">
        <f aca="false">IF($BX360&lt;&gt;Constants!$B$6,"",IF($BL360="-&gt;",$BS360,$BH360))</f>
        <v/>
      </c>
      <c r="CA360" s="138" t="str">
        <f aca="false">IF($BX360&lt;&gt;Constants!$B$6,"",IF($AF360,0,Constants!$B$15))</f>
        <v/>
      </c>
      <c r="CB360" s="138" t="str">
        <f aca="false">IF($BX360&lt;&gt;Constants!$B$6,"",((Constants!$B$25-$AZ360)-Constants!$B$25)/Constants!$B$26)</f>
        <v/>
      </c>
      <c r="CC360" s="138" t="str">
        <f aca="false">IF(ISBLANK($C360),"",IF($BX360&lt;&gt;Constants!$B$6,$BX360,SUM($BZ360:$CB360)))</f>
        <v/>
      </c>
      <c r="CD360" s="135" t="str">
        <f aca="false">IF(ISBLANK($C360),"",IF($BX360&lt;&gt;Constants!$B$6,$BX360,RANK($CC360,$CC$9:$CC$508,1)))</f>
        <v/>
      </c>
      <c r="CE360" s="138" t="str">
        <f aca="false">IF($BX360&lt;&gt;Constants!$B$6,"",IF($BL360="-&gt;",$BT360,$BI360))</f>
        <v/>
      </c>
      <c r="CF360" s="135" t="str">
        <f aca="false">IF(ISBLANK($C360),"",IF($BX360&lt;&gt;Constants!$B$6,$BX360,IF(ISNUMBER($CE360),RANK($CE360,$CE$9:$CE$508,1),COUNT($CE$9:$CE$508)+1)))</f>
        <v/>
      </c>
      <c r="CG360" s="138" t="str">
        <f aca="false">IF($BX360&lt;&gt;Constants!$B$6,"",IF($BL360="-&gt;",$BU360,$BJ360))</f>
        <v/>
      </c>
      <c r="CH360" s="135" t="str">
        <f aca="false">IF(ISBLANK($C360),"",IF($BX360&lt;&gt;Constants!$B$6,$BX360,IF(ISNUMBER($CG360),RANK($CG360,$CG$9:$CG$508,1),COUNT($CG$9:$CG$508)+1)))</f>
        <v/>
      </c>
      <c r="CI360" s="138" t="str">
        <f aca="false">IF($BX360&lt;&gt;Constants!$B$6,"",IF($BL360="-&gt;",$BV360,$BK360))</f>
        <v/>
      </c>
      <c r="CJ360" s="135" t="str">
        <f aca="false">IF(ISBLANK($C360),"",IF($BX360&lt;&gt;Constants!$B$6,$BX360,IF(ISNUMBER($CI360),RANK($CI360,$CI$9:$CI$508,1),COUNT($CI$9:$CI$508)+1)))</f>
        <v/>
      </c>
      <c r="CK360" s="138" t="str">
        <f aca="false">IF($BX360&lt;&gt;Constants!$B$6,"",$AI360)</f>
        <v/>
      </c>
      <c r="CL360" s="135" t="str">
        <f aca="false">IF(ISBLANK($C360),"",IF($BX360&lt;&gt;Constants!$B$6,$BX360,IF(ISNUMBER($CK360),RANK($CK360,$CK$9:$CK$508,1),COUNT($CK$9:$CK$508)+1)))</f>
        <v/>
      </c>
      <c r="CM360" s="135" t="str">
        <f aca="false">IF(ISBLANK($C360),"",IF($BX360&lt;&gt;Constants!$B$6,$BX360,COUNTIFS($CD$9:$CD$508,"&lt;"&amp;$CD360)+COUNTIFS($CD$9:$CD$508,$CD360,$CF$9:$CF$508,"&lt;"&amp;$CF360)+COUNTIFS($CD$9:$CD$508,$CD360,$CF$9:$CF$508,$CF360,$CH$9:$CH$508,"&lt;"&amp;$CH360)+COUNTIFS($CD$9:$CD$508,$CD360,$CF$9:$CF$508,$CF360,$CH$9:$CH$508,$CH360,$CJ$9:$CJ$508,"&lt;"&amp;$CJ360)+COUNTIFS($CD$9:$CD$508,$CD360,$CF$9:$CF$508,$CF360,$CH$9:$CH$508,$CH360,$CJ$9:$CJ$508,$CJ360,$CL$9:$CL$508,"&lt;"&amp;$CL360)+1))</f>
        <v/>
      </c>
      <c r="CN360" s="135" t="str">
        <f aca="false">IF(ISBLANK($C360),"",IF($BX360&lt;&gt;Constants!$B$6,$BX360,$CD360-$CM360))</f>
        <v/>
      </c>
      <c r="CO360" s="141"/>
      <c r="CP360" s="142"/>
      <c r="CQ360" s="143" t="str">
        <f aca="false">IF(ISBLANK($C360),"",IF($BX360=Constants!$B$10,$BW360,""))</f>
        <v/>
      </c>
      <c r="CR360" s="142" t="str">
        <f aca="false">IF(ISBLANK($C360),"",IF($BX360&lt;&gt;Constants!$B$6,"",IF($BL360="-&gt;",2,1)))</f>
        <v/>
      </c>
      <c r="CS360" s="144" t="str">
        <f aca="false">IF(ISBLANK($C360),"",IF($BX360&lt;&gt;Constants!$B$6,"",IF($BL360="-&gt;",$BN360,$BC360)))</f>
        <v/>
      </c>
      <c r="CT360" s="144" t="str">
        <f aca="false">IF(ISBLANK($C360),"",IF($BX360&lt;&gt;Constants!$B$6,"",IF($BL360="-&gt;",$BO360,$BD360)))</f>
        <v/>
      </c>
      <c r="CU360" s="144" t="str">
        <f aca="false">IF(ISBLANK($C360),"",IF($BX360&lt;&gt;Constants!$B$6,"",IF($BL360="-&gt;",$BP360+$BQ360,$BE360+$BF360)+$CB360))</f>
        <v/>
      </c>
      <c r="CV360" s="144" t="str">
        <f aca="false">IF(ISBLANK($C360),"",IF($BX360&lt;&gt;Constants!$B$6,"",IF($BL360="-&gt;",$BR360,$BG360)+$CA360))</f>
        <v/>
      </c>
      <c r="CW360" s="145" t="str">
        <f aca="false">IF(ISBLANK($C360),"",IF($BX360&lt;&gt;Constants!$B$6,$BX360,$CC360))</f>
        <v/>
      </c>
      <c r="CX360" s="146" t="str">
        <f aca="false">IF(ISBLANK($C360),"",$BY360)</f>
        <v/>
      </c>
      <c r="CY360" s="147" t="str">
        <f aca="false">IF(ISBLANK($C360),"",$CN360)</f>
        <v/>
      </c>
      <c r="CZ360" s="147" t="str">
        <f aca="false">IF(ISBLANK($C360),"",$CM360)</f>
        <v/>
      </c>
      <c r="DA360" s="148" t="str">
        <f aca="false">IF(ISBLANK($C360),"",IFERROR(_xlfn.SWITCH($CZ360,Constants!$B$9,COUNTA($C$9:$C$508)+2,Constants!$B$8,COUNTA($C$9:$C$508)+1,Constants!$B$7,COUNTA($C$9:$C$508)),$CZ360))</f>
        <v/>
      </c>
      <c r="DB360" s="9"/>
      <c r="DC360" s="149" t="n">
        <f aca="false">IF(OR(ISNUMBER($CZ360),$CZ360=Constants!$B$9,$CZ360=Constants!$B$7,$CZ360=Constants!$B$8),1,0)</f>
        <v>0</v>
      </c>
      <c r="DD360" s="149" t="n">
        <v>352</v>
      </c>
      <c r="DE360" s="149" t="str">
        <f aca="false">IF(ISBLANK($C360),"",IF(ISNUMBER($DA360),$DA360+ROW($B360)/1000,""))</f>
        <v/>
      </c>
      <c r="DF360" s="149" t="str">
        <f aca="false">IF(ISNUMBER($DE360),RANK($DE360,$DE$9:$DE$508,1),"")</f>
        <v/>
      </c>
      <c r="DG360" s="149" t="str">
        <f aca="false">IF(ISBLANK($C360),"",$B360)</f>
        <v/>
      </c>
      <c r="DH360" s="149" t="str">
        <f aca="false">IF(ISBLANK($C360),"",$C360)</f>
        <v/>
      </c>
      <c r="DI360" s="149" t="str">
        <f aca="false">IF(ISBLANK($C360),"",$D360)</f>
        <v/>
      </c>
      <c r="DJ360" s="150" t="str">
        <f aca="false">$CX360</f>
        <v/>
      </c>
      <c r="DK360" s="151" t="str">
        <f aca="false">$CW360</f>
        <v/>
      </c>
      <c r="DL360" s="149" t="str">
        <f aca="false">IF(ISBLANK($C360),"",$CZ360)</f>
        <v/>
      </c>
      <c r="DM360" s="152" t="str">
        <f aca="false">IF($DD360&gt;$DC$8,"",VLOOKUP($DD360,$DF$9:$DL$508,7,FALSE()))</f>
        <v/>
      </c>
      <c r="DN360" s="153" t="str">
        <f aca="false">IF($DD360&gt;$DC$8,"",VLOOKUP($DD360,$DF$9:$DL$508,2,FALSE()))</f>
        <v/>
      </c>
      <c r="DO360" s="153" t="str">
        <f aca="false">IF($DD360&gt;$DC$8,"",VLOOKUP($DD360,$DF$9:$DL$508,3,FALSE()))</f>
        <v/>
      </c>
      <c r="DP360" s="153" t="str">
        <f aca="false">IF($DD360&gt;$DC$8,"",VLOOKUP($DD360,$DF$9:$DL$508,4,FALSE()))</f>
        <v/>
      </c>
      <c r="DQ360" s="153" t="str">
        <f aca="false">IF($DD360&gt;$DC$8,"",VLOOKUP($DD360,$DF$9:$DL$508,5,FALSE()))</f>
        <v/>
      </c>
      <c r="DR360" s="154" t="str">
        <f aca="false">IF($DD360&gt;$DC$8,"",VLOOKUP($DD360,$DF$9:$DL$508,6,FALSE()))</f>
        <v/>
      </c>
      <c r="DS360" s="76"/>
    </row>
    <row r="361" customFormat="false" ht="15.75" hidden="false" customHeight="false" outlineLevel="0" collapsed="false">
      <c r="A361" s="9"/>
      <c r="B361" s="160"/>
      <c r="C361" s="161"/>
      <c r="D361" s="162"/>
      <c r="E361" s="180"/>
      <c r="F361" s="164"/>
      <c r="G361" s="165"/>
      <c r="H361" s="165"/>
      <c r="I361" s="181"/>
      <c r="J361" s="168"/>
      <c r="K361" s="128"/>
      <c r="L361" s="129"/>
      <c r="M361" s="130"/>
      <c r="N361" s="168"/>
      <c r="O361" s="168"/>
      <c r="P361" s="180"/>
      <c r="Q361" s="168"/>
      <c r="R361" s="168"/>
      <c r="S361" s="128"/>
      <c r="T361" s="130"/>
      <c r="U361" s="130"/>
      <c r="V361" s="168"/>
      <c r="W361" s="168"/>
      <c r="X361" s="180"/>
      <c r="Y361" s="168"/>
      <c r="Z361" s="169"/>
      <c r="AA361" s="168"/>
      <c r="AB361" s="134"/>
      <c r="AC361" s="135"/>
      <c r="AD361" s="135"/>
      <c r="AE361" s="135"/>
      <c r="AF361" s="135" t="str">
        <f aca="false">IF(ISBLANK($C361),"",IF(E361=Constants!$B$2,TRUE(),IF(E361=Constants!$B$3,FALSE(),TRUE())))</f>
        <v/>
      </c>
      <c r="AG361" s="135" t="str">
        <f aca="false">IF(ISBLANK($C361),"",IF(F361=Constants!$B$2,TRUE(),IF(F361=Constants!$B$3,FALSE(),TRUE())))</f>
        <v/>
      </c>
      <c r="AH361" s="135" t="str">
        <f aca="false">IF(ISBLANK($C361),"",IF(G361=Constants!$B$2,TRUE(),IF(G361=Constants!$B$3,FALSE(),TRUE())))</f>
        <v/>
      </c>
      <c r="AI361" s="135" t="str">
        <f aca="false">IF(ISBLANK($C361),"",IF(AND(ISNUMBER(H361),H361&gt;=0),H361,Constants!$B$24))</f>
        <v/>
      </c>
      <c r="AJ361" s="135" t="str">
        <f aca="false">IF(ISBLANK($C361),"",IF(I361=Constants!$B$2,TRUE(),IF(I361=Constants!$B$3,FALSE(),TRUE())))</f>
        <v/>
      </c>
      <c r="AK361" s="135" t="str">
        <f aca="false">IF(ISBLANK($C361),"",IF(J361=Constants!$B$2,TRUE(),IF(J361=Constants!$B$3,FALSE(),TRUE())))</f>
        <v/>
      </c>
      <c r="AL361" s="135" t="str">
        <f aca="false">IF(ISBLANK($C361),"",IF(K361=Constants!$B$4,TRUE(),IF(K361=Constants!$B$5,FALSE(),COUNTA(L361:P361)&gt;0)))</f>
        <v/>
      </c>
      <c r="AM361" s="136" t="str">
        <f aca="false">IF(ISBLANK($C361),"",IF(ISNUMBER(L361),IF(L361&gt;=0,L361,""),""))</f>
        <v/>
      </c>
      <c r="AN361" s="137" t="str">
        <f aca="false">IF(ISBLANK($C361),"",IF(ISNUMBER(M361),IF(M361&gt;=0,M361,""),""))</f>
        <v/>
      </c>
      <c r="AO361" s="137" t="str">
        <f aca="false">IF(ISBLANK($C361),"",IF(N361=Constants!$B$2,TRUE(),IF(N361=Constants!$B$3,FALSE(),TRUE())))</f>
        <v/>
      </c>
      <c r="AP361" s="135" t="str">
        <f aca="false">IF(ISBLANK($C361),"",IF(ISNUMBER(O361),IF(O361&gt;=0,O361,""),""))</f>
        <v/>
      </c>
      <c r="AQ361" s="135" t="str">
        <f aca="false">IF(ISBLANK($C361),"",IF(P361=Constants!$B$2,TRUE(),IF(P361=Constants!$B$3,FALSE(),FALSE())))</f>
        <v/>
      </c>
      <c r="AR361" s="135" t="str">
        <f aca="false">IF(ISBLANK($C361),"",IF(Q361=Constants!$B$2,TRUE(),IF(Q361=Constants!$B$3,FALSE(),TRUE())))</f>
        <v/>
      </c>
      <c r="AS361" s="135" t="str">
        <f aca="false">IF(ISBLANK($C361),"",IF(R361=Constants!$B$2,TRUE(),IF(R361=Constants!$B$3,FALSE(),TRUE())))</f>
        <v/>
      </c>
      <c r="AT361" s="135" t="str">
        <f aca="false">IF(ISBLANK($C361),"",IF(S361=Constants!$B$4,TRUE(),IF(S361=Constants!$B$5,FALSE(),COUNTA(T361:X361)&gt;0)))</f>
        <v/>
      </c>
      <c r="AU361" s="136" t="str">
        <f aca="false">IF(ISBLANK($C361),"",IF(ISNUMBER(T361),IF(T361&gt;=0,T361,""),""))</f>
        <v/>
      </c>
      <c r="AV361" s="137" t="str">
        <f aca="false">IF(ISBLANK($C361),"",IF(ISNUMBER(U361),IF(U361&gt;=0,U361,""),""))</f>
        <v/>
      </c>
      <c r="AW361" s="137" t="str">
        <f aca="false">IF(ISBLANK($C361),"",IF(V361=Constants!$B$2,TRUE(),IF(V361=Constants!$B$3,FALSE(),TRUE())))</f>
        <v/>
      </c>
      <c r="AX361" s="135" t="str">
        <f aca="false">IF(ISBLANK($C361),"",IF(ISNUMBER(W361),IF(W361&gt;=0,W361,""),""))</f>
        <v/>
      </c>
      <c r="AY361" s="135" t="str">
        <f aca="false">IF(ISBLANK($C361),"",IF(X361=Constants!$B$2,TRUE(),IF(X361=Constants!$B$3,FALSE(),FALSE())))</f>
        <v/>
      </c>
      <c r="AZ361" s="135" t="str">
        <f aca="false">IF(ISBLANK($C361),"",MIN(Constants!$B$25,MAX(0,IF(ISNUMBER(Y361),Y361*60,0)+IF(ISNUMBER(Z361),Z361,0))))</f>
        <v/>
      </c>
      <c r="BA361" s="135" t="str">
        <f aca="false">IF(ISBLANK($C361),"",IF(AA361=Constants!$B$2,TRUE(),IF(AA361=Constants!$B$3,FALSE(),FALSE())))</f>
        <v/>
      </c>
      <c r="BB361" s="134" t="str">
        <f aca="false">IF(ISBLANK($C361),"",AND($AL361,OR($AM361="",$AN361="",AND($AO361,$AP361=""))))</f>
        <v/>
      </c>
      <c r="BC361" s="137" t="str">
        <f aca="false">IF($BX361&lt;&gt;Constants!$B$6,"",IF($AL361,Constants!$B$17*$AN361+Constants!$B$18*IF($AO361,$AP361,Constants!$B$19),Constants!$B$20))</f>
        <v/>
      </c>
      <c r="BD361" s="138" t="str">
        <f aca="false">IF($BX361&lt;&gt;Constants!$B$6,"",Constants!$B$21*ABS($AD$9-IF($AL361,$AM361,0)))</f>
        <v/>
      </c>
      <c r="BE361" s="138" t="str">
        <f aca="false">IF($BX361&lt;&gt;Constants!$B$6,"",IF(AND($AL361,$AQ361,$AO361),Constants!$B$22,0))</f>
        <v/>
      </c>
      <c r="BF361" s="138" t="str">
        <f aca="false">IF($BX361&lt;&gt;Constants!$B$6,"",IF($AL361,($AI361-Constants!$B$24)*Constants!$B$23,0))</f>
        <v/>
      </c>
      <c r="BG361" s="138" t="str">
        <f aca="false">IF($BX361&lt;&gt;Constants!$B$6,"",IF($AK361,0,Constants!$B$12)+IF($AJ361,0,Constants!$B$13)+IF($AH361,0,Constants!$B$14))</f>
        <v/>
      </c>
      <c r="BH361" s="139" t="str">
        <f aca="false">IF($BX361&lt;&gt;Constants!$B$6,"",Constants!$B$16+SUM($BC361:$BG361))</f>
        <v/>
      </c>
      <c r="BI361" s="138" t="str">
        <f aca="false">IF($BX361&lt;&gt;Constants!$B$6,"",$BC361)</f>
        <v/>
      </c>
      <c r="BJ361" s="138" t="str">
        <f aca="false">IF($BX361&lt;&gt;Constants!$B$6,"",$BD361)</f>
        <v/>
      </c>
      <c r="BK361" s="140" t="str">
        <f aca="false">IF($BX361&lt;&gt;Constants!$B$6,"",IF($AL361,$AN361,""))</f>
        <v/>
      </c>
      <c r="BL361" s="135" t="str">
        <f aca="false">IF($BX361&lt;&gt;Constants!$B$6,"",IF(OR($BS361&lt;$BH361,AND($BS361=$BH361,OR($BT361&lt;$BI361,AND($BT361=$BI361,OR($BU361&lt;$BJ361,AND($BU361=$BJ361,AND(ISNUMBER($BV361),OR(NOT(ISNUMBER($BK361)),$BV361&lt;$BK361)))))))),"-&gt;","&lt;-"))</f>
        <v/>
      </c>
      <c r="BM361" s="134" t="str">
        <f aca="false">IF(ISBLANK($C361),"",AND($AT361,OR($AU361="",$AV361="",AND($AW361,$AX361=""))))</f>
        <v/>
      </c>
      <c r="BN361" s="137" t="str">
        <f aca="false">IF($BX361&lt;&gt;Constants!$B$6,"",IF($AT361,Constants!$B$17*$AV361+Constants!$B$18*IF($AW361,$AX361,Constants!$B$19),Constants!$B$20))</f>
        <v/>
      </c>
      <c r="BO361" s="138" t="str">
        <f aca="false">IF($BX361&lt;&gt;Constants!$B$6,"",Constants!$B$21*ABS($AD$9-IF($AT361,$AU361,0)))</f>
        <v/>
      </c>
      <c r="BP361" s="138" t="str">
        <f aca="false">IF($BX361&lt;&gt;Constants!$B$6,"",IF(AND($AT361,$AY361,$AW361),Constants!$B$22,0))</f>
        <v/>
      </c>
      <c r="BQ361" s="138" t="str">
        <f aca="false">IF($BX361&lt;&gt;Constants!$B$6,"",IF($AT361,($AI361-Constants!$B$24)*Constants!$B$23,0))</f>
        <v/>
      </c>
      <c r="BR361" s="138" t="str">
        <f aca="false">IF($BX361&lt;&gt;Constants!$B$6,"",IF($AS361,0,Constants!$B$12)+IF($AR361,0,Constants!$B$13)+IF($AH361,0,Constants!$B$14))</f>
        <v/>
      </c>
      <c r="BS361" s="139" t="str">
        <f aca="false">IF($BX361&lt;&gt;Constants!$B$6,"",Constants!$B$16+SUM($BN361:$BR361))</f>
        <v/>
      </c>
      <c r="BT361" s="138" t="str">
        <f aca="false">IF($BX361&lt;&gt;Constants!$B$6,"",$BN361)</f>
        <v/>
      </c>
      <c r="BU361" s="138" t="str">
        <f aca="false">IF($BX361&lt;&gt;Constants!$B$6,"",$BO361)</f>
        <v/>
      </c>
      <c r="BV361" s="140" t="str">
        <f aca="false">IF($BX361&lt;&gt;Constants!$B$6,"",IF($AT361,$AV361,""))</f>
        <v/>
      </c>
      <c r="BW361" s="135" t="str">
        <f aca="false">IF(ISBLANK($C361),"",IF(ISBLANK($D$7),$BW$5,IF(NOT(ISNUMBER($D$7)),$BW$6,"")))</f>
        <v/>
      </c>
      <c r="BX361" s="135" t="str">
        <f aca="false">IF(ISBLANK($C361),"",IF($BA361,Constants!$B$9,IF(COUNTA($E361:$AA361)=0,Constants!$B$8,IF(NOT($AG361),Constants!$B$7,IF(OR($BW361&lt;&gt;"",$BB361,$BM361),Constants!$B$10,Constants!$B$6)))))</f>
        <v/>
      </c>
      <c r="BY361" s="135" t="str">
        <f aca="false">IF(ISBLANK($C361),"",IF($BX361&lt;&gt;Constants!$B$6,$BX361,Constants!$B$11))</f>
        <v/>
      </c>
      <c r="BZ361" s="138" t="str">
        <f aca="false">IF($BX361&lt;&gt;Constants!$B$6,"",IF($BL361="-&gt;",$BS361,$BH361))</f>
        <v/>
      </c>
      <c r="CA361" s="138" t="str">
        <f aca="false">IF($BX361&lt;&gt;Constants!$B$6,"",IF($AF361,0,Constants!$B$15))</f>
        <v/>
      </c>
      <c r="CB361" s="138" t="str">
        <f aca="false">IF($BX361&lt;&gt;Constants!$B$6,"",((Constants!$B$25-$AZ361)-Constants!$B$25)/Constants!$B$26)</f>
        <v/>
      </c>
      <c r="CC361" s="138" t="str">
        <f aca="false">IF(ISBLANK($C361),"",IF($BX361&lt;&gt;Constants!$B$6,$BX361,SUM($BZ361:$CB361)))</f>
        <v/>
      </c>
      <c r="CD361" s="135" t="str">
        <f aca="false">IF(ISBLANK($C361),"",IF($BX361&lt;&gt;Constants!$B$6,$BX361,RANK($CC361,$CC$9:$CC$508,1)))</f>
        <v/>
      </c>
      <c r="CE361" s="138" t="str">
        <f aca="false">IF($BX361&lt;&gt;Constants!$B$6,"",IF($BL361="-&gt;",$BT361,$BI361))</f>
        <v/>
      </c>
      <c r="CF361" s="135" t="str">
        <f aca="false">IF(ISBLANK($C361),"",IF($BX361&lt;&gt;Constants!$B$6,$BX361,IF(ISNUMBER($CE361),RANK($CE361,$CE$9:$CE$508,1),COUNT($CE$9:$CE$508)+1)))</f>
        <v/>
      </c>
      <c r="CG361" s="138" t="str">
        <f aca="false">IF($BX361&lt;&gt;Constants!$B$6,"",IF($BL361="-&gt;",$BU361,$BJ361))</f>
        <v/>
      </c>
      <c r="CH361" s="135" t="str">
        <f aca="false">IF(ISBLANK($C361),"",IF($BX361&lt;&gt;Constants!$B$6,$BX361,IF(ISNUMBER($CG361),RANK($CG361,$CG$9:$CG$508,1),COUNT($CG$9:$CG$508)+1)))</f>
        <v/>
      </c>
      <c r="CI361" s="138" t="str">
        <f aca="false">IF($BX361&lt;&gt;Constants!$B$6,"",IF($BL361="-&gt;",$BV361,$BK361))</f>
        <v/>
      </c>
      <c r="CJ361" s="135" t="str">
        <f aca="false">IF(ISBLANK($C361),"",IF($BX361&lt;&gt;Constants!$B$6,$BX361,IF(ISNUMBER($CI361),RANK($CI361,$CI$9:$CI$508,1),COUNT($CI$9:$CI$508)+1)))</f>
        <v/>
      </c>
      <c r="CK361" s="138" t="str">
        <f aca="false">IF($BX361&lt;&gt;Constants!$B$6,"",$AI361)</f>
        <v/>
      </c>
      <c r="CL361" s="135" t="str">
        <f aca="false">IF(ISBLANK($C361),"",IF($BX361&lt;&gt;Constants!$B$6,$BX361,IF(ISNUMBER($CK361),RANK($CK361,$CK$9:$CK$508,1),COUNT($CK$9:$CK$508)+1)))</f>
        <v/>
      </c>
      <c r="CM361" s="135" t="str">
        <f aca="false">IF(ISBLANK($C361),"",IF($BX361&lt;&gt;Constants!$B$6,$BX361,COUNTIFS($CD$9:$CD$508,"&lt;"&amp;$CD361)+COUNTIFS($CD$9:$CD$508,$CD361,$CF$9:$CF$508,"&lt;"&amp;$CF361)+COUNTIFS($CD$9:$CD$508,$CD361,$CF$9:$CF$508,$CF361,$CH$9:$CH$508,"&lt;"&amp;$CH361)+COUNTIFS($CD$9:$CD$508,$CD361,$CF$9:$CF$508,$CF361,$CH$9:$CH$508,$CH361,$CJ$9:$CJ$508,"&lt;"&amp;$CJ361)+COUNTIFS($CD$9:$CD$508,$CD361,$CF$9:$CF$508,$CF361,$CH$9:$CH$508,$CH361,$CJ$9:$CJ$508,$CJ361,$CL$9:$CL$508,"&lt;"&amp;$CL361)+1))</f>
        <v/>
      </c>
      <c r="CN361" s="135" t="str">
        <f aca="false">IF(ISBLANK($C361),"",IF($BX361&lt;&gt;Constants!$B$6,$BX361,$CD361-$CM361))</f>
        <v/>
      </c>
      <c r="CO361" s="141"/>
      <c r="CP361" s="142"/>
      <c r="CQ361" s="143" t="str">
        <f aca="false">IF(ISBLANK($C361),"",IF($BX361=Constants!$B$10,$BW361,""))</f>
        <v/>
      </c>
      <c r="CR361" s="142" t="str">
        <f aca="false">IF(ISBLANK($C361),"",IF($BX361&lt;&gt;Constants!$B$6,"",IF($BL361="-&gt;",2,1)))</f>
        <v/>
      </c>
      <c r="CS361" s="144" t="str">
        <f aca="false">IF(ISBLANK($C361),"",IF($BX361&lt;&gt;Constants!$B$6,"",IF($BL361="-&gt;",$BN361,$BC361)))</f>
        <v/>
      </c>
      <c r="CT361" s="144" t="str">
        <f aca="false">IF(ISBLANK($C361),"",IF($BX361&lt;&gt;Constants!$B$6,"",IF($BL361="-&gt;",$BO361,$BD361)))</f>
        <v/>
      </c>
      <c r="CU361" s="144" t="str">
        <f aca="false">IF(ISBLANK($C361),"",IF($BX361&lt;&gt;Constants!$B$6,"",IF($BL361="-&gt;",$BP361+$BQ361,$BE361+$BF361)+$CB361))</f>
        <v/>
      </c>
      <c r="CV361" s="144" t="str">
        <f aca="false">IF(ISBLANK($C361),"",IF($BX361&lt;&gt;Constants!$B$6,"",IF($BL361="-&gt;",$BR361,$BG361)+$CA361))</f>
        <v/>
      </c>
      <c r="CW361" s="145" t="str">
        <f aca="false">IF(ISBLANK($C361),"",IF($BX361&lt;&gt;Constants!$B$6,$BX361,$CC361))</f>
        <v/>
      </c>
      <c r="CX361" s="146" t="str">
        <f aca="false">IF(ISBLANK($C361),"",$BY361)</f>
        <v/>
      </c>
      <c r="CY361" s="147" t="str">
        <f aca="false">IF(ISBLANK($C361),"",$CN361)</f>
        <v/>
      </c>
      <c r="CZ361" s="147" t="str">
        <f aca="false">IF(ISBLANK($C361),"",$CM361)</f>
        <v/>
      </c>
      <c r="DA361" s="148" t="str">
        <f aca="false">IF(ISBLANK($C361),"",IFERROR(_xlfn.SWITCH($CZ361,Constants!$B$9,COUNTA($C$9:$C$508)+2,Constants!$B$8,COUNTA($C$9:$C$508)+1,Constants!$B$7,COUNTA($C$9:$C$508)),$CZ361))</f>
        <v/>
      </c>
      <c r="DB361" s="9"/>
      <c r="DC361" s="149" t="n">
        <f aca="false">IF(OR(ISNUMBER($CZ361),$CZ361=Constants!$B$9,$CZ361=Constants!$B$7,$CZ361=Constants!$B$8),1,0)</f>
        <v>0</v>
      </c>
      <c r="DD361" s="149" t="n">
        <v>353</v>
      </c>
      <c r="DE361" s="149" t="str">
        <f aca="false">IF(ISBLANK($C361),"",IF(ISNUMBER($DA361),$DA361+ROW($B361)/1000,""))</f>
        <v/>
      </c>
      <c r="DF361" s="149" t="str">
        <f aca="false">IF(ISNUMBER($DE361),RANK($DE361,$DE$9:$DE$508,1),"")</f>
        <v/>
      </c>
      <c r="DG361" s="149" t="str">
        <f aca="false">IF(ISBLANK($C361),"",$B361)</f>
        <v/>
      </c>
      <c r="DH361" s="149" t="str">
        <f aca="false">IF(ISBLANK($C361),"",$C361)</f>
        <v/>
      </c>
      <c r="DI361" s="149" t="str">
        <f aca="false">IF(ISBLANK($C361),"",$D361)</f>
        <v/>
      </c>
      <c r="DJ361" s="150" t="str">
        <f aca="false">$CX361</f>
        <v/>
      </c>
      <c r="DK361" s="151" t="str">
        <f aca="false">$CW361</f>
        <v/>
      </c>
      <c r="DL361" s="149" t="str">
        <f aca="false">IF(ISBLANK($C361),"",$CZ361)</f>
        <v/>
      </c>
      <c r="DM361" s="152" t="str">
        <f aca="false">IF($DD361&gt;$DC$8,"",VLOOKUP($DD361,$DF$9:$DL$508,7,FALSE()))</f>
        <v/>
      </c>
      <c r="DN361" s="153" t="str">
        <f aca="false">IF($DD361&gt;$DC$8,"",VLOOKUP($DD361,$DF$9:$DL$508,2,FALSE()))</f>
        <v/>
      </c>
      <c r="DO361" s="153" t="str">
        <f aca="false">IF($DD361&gt;$DC$8,"",VLOOKUP($DD361,$DF$9:$DL$508,3,FALSE()))</f>
        <v/>
      </c>
      <c r="DP361" s="153" t="str">
        <f aca="false">IF($DD361&gt;$DC$8,"",VLOOKUP($DD361,$DF$9:$DL$508,4,FALSE()))</f>
        <v/>
      </c>
      <c r="DQ361" s="153" t="str">
        <f aca="false">IF($DD361&gt;$DC$8,"",VLOOKUP($DD361,$DF$9:$DL$508,5,FALSE()))</f>
        <v/>
      </c>
      <c r="DR361" s="154" t="str">
        <f aca="false">IF($DD361&gt;$DC$8,"",VLOOKUP($DD361,$DF$9:$DL$508,6,FALSE()))</f>
        <v/>
      </c>
      <c r="DS361" s="76"/>
    </row>
    <row r="362" customFormat="false" ht="15.75" hidden="false" customHeight="false" outlineLevel="0" collapsed="false">
      <c r="A362" s="9"/>
      <c r="B362" s="160"/>
      <c r="C362" s="161"/>
      <c r="D362" s="162"/>
      <c r="E362" s="180"/>
      <c r="F362" s="164"/>
      <c r="G362" s="165"/>
      <c r="H362" s="165"/>
      <c r="I362" s="181"/>
      <c r="J362" s="168"/>
      <c r="K362" s="128"/>
      <c r="L362" s="129"/>
      <c r="M362" s="130"/>
      <c r="N362" s="168"/>
      <c r="O362" s="168"/>
      <c r="P362" s="180"/>
      <c r="Q362" s="168"/>
      <c r="R362" s="168"/>
      <c r="S362" s="128"/>
      <c r="T362" s="130"/>
      <c r="U362" s="130"/>
      <c r="V362" s="168"/>
      <c r="W362" s="168"/>
      <c r="X362" s="180"/>
      <c r="Y362" s="168"/>
      <c r="Z362" s="169"/>
      <c r="AA362" s="168"/>
      <c r="AB362" s="134"/>
      <c r="AC362" s="135"/>
      <c r="AD362" s="135"/>
      <c r="AE362" s="135"/>
      <c r="AF362" s="135" t="str">
        <f aca="false">IF(ISBLANK($C362),"",IF(E362=Constants!$B$2,TRUE(),IF(E362=Constants!$B$3,FALSE(),TRUE())))</f>
        <v/>
      </c>
      <c r="AG362" s="135" t="str">
        <f aca="false">IF(ISBLANK($C362),"",IF(F362=Constants!$B$2,TRUE(),IF(F362=Constants!$B$3,FALSE(),TRUE())))</f>
        <v/>
      </c>
      <c r="AH362" s="135" t="str">
        <f aca="false">IF(ISBLANK($C362),"",IF(G362=Constants!$B$2,TRUE(),IF(G362=Constants!$B$3,FALSE(),TRUE())))</f>
        <v/>
      </c>
      <c r="AI362" s="135" t="str">
        <f aca="false">IF(ISBLANK($C362),"",IF(AND(ISNUMBER(H362),H362&gt;=0),H362,Constants!$B$24))</f>
        <v/>
      </c>
      <c r="AJ362" s="135" t="str">
        <f aca="false">IF(ISBLANK($C362),"",IF(I362=Constants!$B$2,TRUE(),IF(I362=Constants!$B$3,FALSE(),TRUE())))</f>
        <v/>
      </c>
      <c r="AK362" s="135" t="str">
        <f aca="false">IF(ISBLANK($C362),"",IF(J362=Constants!$B$2,TRUE(),IF(J362=Constants!$B$3,FALSE(),TRUE())))</f>
        <v/>
      </c>
      <c r="AL362" s="135" t="str">
        <f aca="false">IF(ISBLANK($C362),"",IF(K362=Constants!$B$4,TRUE(),IF(K362=Constants!$B$5,FALSE(),COUNTA(L362:P362)&gt;0)))</f>
        <v/>
      </c>
      <c r="AM362" s="136" t="str">
        <f aca="false">IF(ISBLANK($C362),"",IF(ISNUMBER(L362),IF(L362&gt;=0,L362,""),""))</f>
        <v/>
      </c>
      <c r="AN362" s="137" t="str">
        <f aca="false">IF(ISBLANK($C362),"",IF(ISNUMBER(M362),IF(M362&gt;=0,M362,""),""))</f>
        <v/>
      </c>
      <c r="AO362" s="137" t="str">
        <f aca="false">IF(ISBLANK($C362),"",IF(N362=Constants!$B$2,TRUE(),IF(N362=Constants!$B$3,FALSE(),TRUE())))</f>
        <v/>
      </c>
      <c r="AP362" s="135" t="str">
        <f aca="false">IF(ISBLANK($C362),"",IF(ISNUMBER(O362),IF(O362&gt;=0,O362,""),""))</f>
        <v/>
      </c>
      <c r="AQ362" s="135" t="str">
        <f aca="false">IF(ISBLANK($C362),"",IF(P362=Constants!$B$2,TRUE(),IF(P362=Constants!$B$3,FALSE(),FALSE())))</f>
        <v/>
      </c>
      <c r="AR362" s="135" t="str">
        <f aca="false">IF(ISBLANK($C362),"",IF(Q362=Constants!$B$2,TRUE(),IF(Q362=Constants!$B$3,FALSE(),TRUE())))</f>
        <v/>
      </c>
      <c r="AS362" s="135" t="str">
        <f aca="false">IF(ISBLANK($C362),"",IF(R362=Constants!$B$2,TRUE(),IF(R362=Constants!$B$3,FALSE(),TRUE())))</f>
        <v/>
      </c>
      <c r="AT362" s="135" t="str">
        <f aca="false">IF(ISBLANK($C362),"",IF(S362=Constants!$B$4,TRUE(),IF(S362=Constants!$B$5,FALSE(),COUNTA(T362:X362)&gt;0)))</f>
        <v/>
      </c>
      <c r="AU362" s="136" t="str">
        <f aca="false">IF(ISBLANK($C362),"",IF(ISNUMBER(T362),IF(T362&gt;=0,T362,""),""))</f>
        <v/>
      </c>
      <c r="AV362" s="137" t="str">
        <f aca="false">IF(ISBLANK($C362),"",IF(ISNUMBER(U362),IF(U362&gt;=0,U362,""),""))</f>
        <v/>
      </c>
      <c r="AW362" s="137" t="str">
        <f aca="false">IF(ISBLANK($C362),"",IF(V362=Constants!$B$2,TRUE(),IF(V362=Constants!$B$3,FALSE(),TRUE())))</f>
        <v/>
      </c>
      <c r="AX362" s="135" t="str">
        <f aca="false">IF(ISBLANK($C362),"",IF(ISNUMBER(W362),IF(W362&gt;=0,W362,""),""))</f>
        <v/>
      </c>
      <c r="AY362" s="135" t="str">
        <f aca="false">IF(ISBLANK($C362),"",IF(X362=Constants!$B$2,TRUE(),IF(X362=Constants!$B$3,FALSE(),FALSE())))</f>
        <v/>
      </c>
      <c r="AZ362" s="135" t="str">
        <f aca="false">IF(ISBLANK($C362),"",MIN(Constants!$B$25,MAX(0,IF(ISNUMBER(Y362),Y362*60,0)+IF(ISNUMBER(Z362),Z362,0))))</f>
        <v/>
      </c>
      <c r="BA362" s="135" t="str">
        <f aca="false">IF(ISBLANK($C362),"",IF(AA362=Constants!$B$2,TRUE(),IF(AA362=Constants!$B$3,FALSE(),FALSE())))</f>
        <v/>
      </c>
      <c r="BB362" s="134" t="str">
        <f aca="false">IF(ISBLANK($C362),"",AND($AL362,OR($AM362="",$AN362="",AND($AO362,$AP362=""))))</f>
        <v/>
      </c>
      <c r="BC362" s="137" t="str">
        <f aca="false">IF($BX362&lt;&gt;Constants!$B$6,"",IF($AL362,Constants!$B$17*$AN362+Constants!$B$18*IF($AO362,$AP362,Constants!$B$19),Constants!$B$20))</f>
        <v/>
      </c>
      <c r="BD362" s="138" t="str">
        <f aca="false">IF($BX362&lt;&gt;Constants!$B$6,"",Constants!$B$21*ABS($AD$9-IF($AL362,$AM362,0)))</f>
        <v/>
      </c>
      <c r="BE362" s="138" t="str">
        <f aca="false">IF($BX362&lt;&gt;Constants!$B$6,"",IF(AND($AL362,$AQ362,$AO362),Constants!$B$22,0))</f>
        <v/>
      </c>
      <c r="BF362" s="138" t="str">
        <f aca="false">IF($BX362&lt;&gt;Constants!$B$6,"",IF($AL362,($AI362-Constants!$B$24)*Constants!$B$23,0))</f>
        <v/>
      </c>
      <c r="BG362" s="138" t="str">
        <f aca="false">IF($BX362&lt;&gt;Constants!$B$6,"",IF($AK362,0,Constants!$B$12)+IF($AJ362,0,Constants!$B$13)+IF($AH362,0,Constants!$B$14))</f>
        <v/>
      </c>
      <c r="BH362" s="139" t="str">
        <f aca="false">IF($BX362&lt;&gt;Constants!$B$6,"",Constants!$B$16+SUM($BC362:$BG362))</f>
        <v/>
      </c>
      <c r="BI362" s="138" t="str">
        <f aca="false">IF($BX362&lt;&gt;Constants!$B$6,"",$BC362)</f>
        <v/>
      </c>
      <c r="BJ362" s="138" t="str">
        <f aca="false">IF($BX362&lt;&gt;Constants!$B$6,"",$BD362)</f>
        <v/>
      </c>
      <c r="BK362" s="140" t="str">
        <f aca="false">IF($BX362&lt;&gt;Constants!$B$6,"",IF($AL362,$AN362,""))</f>
        <v/>
      </c>
      <c r="BL362" s="135" t="str">
        <f aca="false">IF($BX362&lt;&gt;Constants!$B$6,"",IF(OR($BS362&lt;$BH362,AND($BS362=$BH362,OR($BT362&lt;$BI362,AND($BT362=$BI362,OR($BU362&lt;$BJ362,AND($BU362=$BJ362,AND(ISNUMBER($BV362),OR(NOT(ISNUMBER($BK362)),$BV362&lt;$BK362)))))))),"-&gt;","&lt;-"))</f>
        <v/>
      </c>
      <c r="BM362" s="134" t="str">
        <f aca="false">IF(ISBLANK($C362),"",AND($AT362,OR($AU362="",$AV362="",AND($AW362,$AX362=""))))</f>
        <v/>
      </c>
      <c r="BN362" s="137" t="str">
        <f aca="false">IF($BX362&lt;&gt;Constants!$B$6,"",IF($AT362,Constants!$B$17*$AV362+Constants!$B$18*IF($AW362,$AX362,Constants!$B$19),Constants!$B$20))</f>
        <v/>
      </c>
      <c r="BO362" s="138" t="str">
        <f aca="false">IF($BX362&lt;&gt;Constants!$B$6,"",Constants!$B$21*ABS($AD$9-IF($AT362,$AU362,0)))</f>
        <v/>
      </c>
      <c r="BP362" s="138" t="str">
        <f aca="false">IF($BX362&lt;&gt;Constants!$B$6,"",IF(AND($AT362,$AY362,$AW362),Constants!$B$22,0))</f>
        <v/>
      </c>
      <c r="BQ362" s="138" t="str">
        <f aca="false">IF($BX362&lt;&gt;Constants!$B$6,"",IF($AT362,($AI362-Constants!$B$24)*Constants!$B$23,0))</f>
        <v/>
      </c>
      <c r="BR362" s="138" t="str">
        <f aca="false">IF($BX362&lt;&gt;Constants!$B$6,"",IF($AS362,0,Constants!$B$12)+IF($AR362,0,Constants!$B$13)+IF($AH362,0,Constants!$B$14))</f>
        <v/>
      </c>
      <c r="BS362" s="139" t="str">
        <f aca="false">IF($BX362&lt;&gt;Constants!$B$6,"",Constants!$B$16+SUM($BN362:$BR362))</f>
        <v/>
      </c>
      <c r="BT362" s="138" t="str">
        <f aca="false">IF($BX362&lt;&gt;Constants!$B$6,"",$BN362)</f>
        <v/>
      </c>
      <c r="BU362" s="138" t="str">
        <f aca="false">IF($BX362&lt;&gt;Constants!$B$6,"",$BO362)</f>
        <v/>
      </c>
      <c r="BV362" s="140" t="str">
        <f aca="false">IF($BX362&lt;&gt;Constants!$B$6,"",IF($AT362,$AV362,""))</f>
        <v/>
      </c>
      <c r="BW362" s="135" t="str">
        <f aca="false">IF(ISBLANK($C362),"",IF(ISBLANK($D$7),$BW$5,IF(NOT(ISNUMBER($D$7)),$BW$6,"")))</f>
        <v/>
      </c>
      <c r="BX362" s="135" t="str">
        <f aca="false">IF(ISBLANK($C362),"",IF($BA362,Constants!$B$9,IF(COUNTA($E362:$AA362)=0,Constants!$B$8,IF(NOT($AG362),Constants!$B$7,IF(OR($BW362&lt;&gt;"",$BB362,$BM362),Constants!$B$10,Constants!$B$6)))))</f>
        <v/>
      </c>
      <c r="BY362" s="135" t="str">
        <f aca="false">IF(ISBLANK($C362),"",IF($BX362&lt;&gt;Constants!$B$6,$BX362,Constants!$B$11))</f>
        <v/>
      </c>
      <c r="BZ362" s="138" t="str">
        <f aca="false">IF($BX362&lt;&gt;Constants!$B$6,"",IF($BL362="-&gt;",$BS362,$BH362))</f>
        <v/>
      </c>
      <c r="CA362" s="138" t="str">
        <f aca="false">IF($BX362&lt;&gt;Constants!$B$6,"",IF($AF362,0,Constants!$B$15))</f>
        <v/>
      </c>
      <c r="CB362" s="138" t="str">
        <f aca="false">IF($BX362&lt;&gt;Constants!$B$6,"",((Constants!$B$25-$AZ362)-Constants!$B$25)/Constants!$B$26)</f>
        <v/>
      </c>
      <c r="CC362" s="138" t="str">
        <f aca="false">IF(ISBLANK($C362),"",IF($BX362&lt;&gt;Constants!$B$6,$BX362,SUM($BZ362:$CB362)))</f>
        <v/>
      </c>
      <c r="CD362" s="135" t="str">
        <f aca="false">IF(ISBLANK($C362),"",IF($BX362&lt;&gt;Constants!$B$6,$BX362,RANK($CC362,$CC$9:$CC$508,1)))</f>
        <v/>
      </c>
      <c r="CE362" s="138" t="str">
        <f aca="false">IF($BX362&lt;&gt;Constants!$B$6,"",IF($BL362="-&gt;",$BT362,$BI362))</f>
        <v/>
      </c>
      <c r="CF362" s="135" t="str">
        <f aca="false">IF(ISBLANK($C362),"",IF($BX362&lt;&gt;Constants!$B$6,$BX362,IF(ISNUMBER($CE362),RANK($CE362,$CE$9:$CE$508,1),COUNT($CE$9:$CE$508)+1)))</f>
        <v/>
      </c>
      <c r="CG362" s="138" t="str">
        <f aca="false">IF($BX362&lt;&gt;Constants!$B$6,"",IF($BL362="-&gt;",$BU362,$BJ362))</f>
        <v/>
      </c>
      <c r="CH362" s="135" t="str">
        <f aca="false">IF(ISBLANK($C362),"",IF($BX362&lt;&gt;Constants!$B$6,$BX362,IF(ISNUMBER($CG362),RANK($CG362,$CG$9:$CG$508,1),COUNT($CG$9:$CG$508)+1)))</f>
        <v/>
      </c>
      <c r="CI362" s="138" t="str">
        <f aca="false">IF($BX362&lt;&gt;Constants!$B$6,"",IF($BL362="-&gt;",$BV362,$BK362))</f>
        <v/>
      </c>
      <c r="CJ362" s="135" t="str">
        <f aca="false">IF(ISBLANK($C362),"",IF($BX362&lt;&gt;Constants!$B$6,$BX362,IF(ISNUMBER($CI362),RANK($CI362,$CI$9:$CI$508,1),COUNT($CI$9:$CI$508)+1)))</f>
        <v/>
      </c>
      <c r="CK362" s="138" t="str">
        <f aca="false">IF($BX362&lt;&gt;Constants!$B$6,"",$AI362)</f>
        <v/>
      </c>
      <c r="CL362" s="135" t="str">
        <f aca="false">IF(ISBLANK($C362),"",IF($BX362&lt;&gt;Constants!$B$6,$BX362,IF(ISNUMBER($CK362),RANK($CK362,$CK$9:$CK$508,1),COUNT($CK$9:$CK$508)+1)))</f>
        <v/>
      </c>
      <c r="CM362" s="135" t="str">
        <f aca="false">IF(ISBLANK($C362),"",IF($BX362&lt;&gt;Constants!$B$6,$BX362,COUNTIFS($CD$9:$CD$508,"&lt;"&amp;$CD362)+COUNTIFS($CD$9:$CD$508,$CD362,$CF$9:$CF$508,"&lt;"&amp;$CF362)+COUNTIFS($CD$9:$CD$508,$CD362,$CF$9:$CF$508,$CF362,$CH$9:$CH$508,"&lt;"&amp;$CH362)+COUNTIFS($CD$9:$CD$508,$CD362,$CF$9:$CF$508,$CF362,$CH$9:$CH$508,$CH362,$CJ$9:$CJ$508,"&lt;"&amp;$CJ362)+COUNTIFS($CD$9:$CD$508,$CD362,$CF$9:$CF$508,$CF362,$CH$9:$CH$508,$CH362,$CJ$9:$CJ$508,$CJ362,$CL$9:$CL$508,"&lt;"&amp;$CL362)+1))</f>
        <v/>
      </c>
      <c r="CN362" s="135" t="str">
        <f aca="false">IF(ISBLANK($C362),"",IF($BX362&lt;&gt;Constants!$B$6,$BX362,$CD362-$CM362))</f>
        <v/>
      </c>
      <c r="CO362" s="141"/>
      <c r="CP362" s="142"/>
      <c r="CQ362" s="143" t="str">
        <f aca="false">IF(ISBLANK($C362),"",IF($BX362=Constants!$B$10,$BW362,""))</f>
        <v/>
      </c>
      <c r="CR362" s="142" t="str">
        <f aca="false">IF(ISBLANK($C362),"",IF($BX362&lt;&gt;Constants!$B$6,"",IF($BL362="-&gt;",2,1)))</f>
        <v/>
      </c>
      <c r="CS362" s="144" t="str">
        <f aca="false">IF(ISBLANK($C362),"",IF($BX362&lt;&gt;Constants!$B$6,"",IF($BL362="-&gt;",$BN362,$BC362)))</f>
        <v/>
      </c>
      <c r="CT362" s="144" t="str">
        <f aca="false">IF(ISBLANK($C362),"",IF($BX362&lt;&gt;Constants!$B$6,"",IF($BL362="-&gt;",$BO362,$BD362)))</f>
        <v/>
      </c>
      <c r="CU362" s="144" t="str">
        <f aca="false">IF(ISBLANK($C362),"",IF($BX362&lt;&gt;Constants!$B$6,"",IF($BL362="-&gt;",$BP362+$BQ362,$BE362+$BF362)+$CB362))</f>
        <v/>
      </c>
      <c r="CV362" s="144" t="str">
        <f aca="false">IF(ISBLANK($C362),"",IF($BX362&lt;&gt;Constants!$B$6,"",IF($BL362="-&gt;",$BR362,$BG362)+$CA362))</f>
        <v/>
      </c>
      <c r="CW362" s="145" t="str">
        <f aca="false">IF(ISBLANK($C362),"",IF($BX362&lt;&gt;Constants!$B$6,$BX362,$CC362))</f>
        <v/>
      </c>
      <c r="CX362" s="146" t="str">
        <f aca="false">IF(ISBLANK($C362),"",$BY362)</f>
        <v/>
      </c>
      <c r="CY362" s="147" t="str">
        <f aca="false">IF(ISBLANK($C362),"",$CN362)</f>
        <v/>
      </c>
      <c r="CZ362" s="147" t="str">
        <f aca="false">IF(ISBLANK($C362),"",$CM362)</f>
        <v/>
      </c>
      <c r="DA362" s="148" t="str">
        <f aca="false">IF(ISBLANK($C362),"",IFERROR(_xlfn.SWITCH($CZ362,Constants!$B$9,COUNTA($C$9:$C$508)+2,Constants!$B$8,COUNTA($C$9:$C$508)+1,Constants!$B$7,COUNTA($C$9:$C$508)),$CZ362))</f>
        <v/>
      </c>
      <c r="DB362" s="9"/>
      <c r="DC362" s="149" t="n">
        <f aca="false">IF(OR(ISNUMBER($CZ362),$CZ362=Constants!$B$9,$CZ362=Constants!$B$7,$CZ362=Constants!$B$8),1,0)</f>
        <v>0</v>
      </c>
      <c r="DD362" s="149" t="n">
        <v>354</v>
      </c>
      <c r="DE362" s="149" t="str">
        <f aca="false">IF(ISBLANK($C362),"",IF(ISNUMBER($DA362),$DA362+ROW($B362)/1000,""))</f>
        <v/>
      </c>
      <c r="DF362" s="149" t="str">
        <f aca="false">IF(ISNUMBER($DE362),RANK($DE362,$DE$9:$DE$508,1),"")</f>
        <v/>
      </c>
      <c r="DG362" s="149" t="str">
        <f aca="false">IF(ISBLANK($C362),"",$B362)</f>
        <v/>
      </c>
      <c r="DH362" s="149" t="str">
        <f aca="false">IF(ISBLANK($C362),"",$C362)</f>
        <v/>
      </c>
      <c r="DI362" s="149" t="str">
        <f aca="false">IF(ISBLANK($C362),"",$D362)</f>
        <v/>
      </c>
      <c r="DJ362" s="150" t="str">
        <f aca="false">$CX362</f>
        <v/>
      </c>
      <c r="DK362" s="151" t="str">
        <f aca="false">$CW362</f>
        <v/>
      </c>
      <c r="DL362" s="149" t="str">
        <f aca="false">IF(ISBLANK($C362),"",$CZ362)</f>
        <v/>
      </c>
      <c r="DM362" s="152" t="str">
        <f aca="false">IF($DD362&gt;$DC$8,"",VLOOKUP($DD362,$DF$9:$DL$508,7,FALSE()))</f>
        <v/>
      </c>
      <c r="DN362" s="153" t="str">
        <f aca="false">IF($DD362&gt;$DC$8,"",VLOOKUP($DD362,$DF$9:$DL$508,2,FALSE()))</f>
        <v/>
      </c>
      <c r="DO362" s="153" t="str">
        <f aca="false">IF($DD362&gt;$DC$8,"",VLOOKUP($DD362,$DF$9:$DL$508,3,FALSE()))</f>
        <v/>
      </c>
      <c r="DP362" s="153" t="str">
        <f aca="false">IF($DD362&gt;$DC$8,"",VLOOKUP($DD362,$DF$9:$DL$508,4,FALSE()))</f>
        <v/>
      </c>
      <c r="DQ362" s="153" t="str">
        <f aca="false">IF($DD362&gt;$DC$8,"",VLOOKUP($DD362,$DF$9:$DL$508,5,FALSE()))</f>
        <v/>
      </c>
      <c r="DR362" s="154" t="str">
        <f aca="false">IF($DD362&gt;$DC$8,"",VLOOKUP($DD362,$DF$9:$DL$508,6,FALSE()))</f>
        <v/>
      </c>
      <c r="DS362" s="76"/>
    </row>
    <row r="363" customFormat="false" ht="15.75" hidden="false" customHeight="false" outlineLevel="0" collapsed="false">
      <c r="A363" s="9"/>
      <c r="B363" s="78"/>
      <c r="C363" s="79"/>
      <c r="D363" s="170"/>
      <c r="E363" s="178"/>
      <c r="F363" s="172"/>
      <c r="G363" s="173"/>
      <c r="H363" s="173"/>
      <c r="I363" s="179"/>
      <c r="J363" s="176"/>
      <c r="K363" s="86"/>
      <c r="L363" s="87"/>
      <c r="M363" s="88"/>
      <c r="N363" s="176"/>
      <c r="O363" s="176"/>
      <c r="P363" s="178"/>
      <c r="Q363" s="176"/>
      <c r="R363" s="176"/>
      <c r="S363" s="86"/>
      <c r="T363" s="88"/>
      <c r="U363" s="88"/>
      <c r="V363" s="176"/>
      <c r="W363" s="176"/>
      <c r="X363" s="178"/>
      <c r="Y363" s="176"/>
      <c r="Z363" s="177"/>
      <c r="AA363" s="176"/>
      <c r="AB363" s="92"/>
      <c r="AC363" s="93"/>
      <c r="AD363" s="93"/>
      <c r="AE363" s="93"/>
      <c r="AF363" s="93" t="str">
        <f aca="false">IF(ISBLANK($C363),"",IF(E363=Constants!$B$2,TRUE(),IF(E363=Constants!$B$3,FALSE(),TRUE())))</f>
        <v/>
      </c>
      <c r="AG363" s="93" t="str">
        <f aca="false">IF(ISBLANK($C363),"",IF(F363=Constants!$B$2,TRUE(),IF(F363=Constants!$B$3,FALSE(),TRUE())))</f>
        <v/>
      </c>
      <c r="AH363" s="93" t="str">
        <f aca="false">IF(ISBLANK($C363),"",IF(G363=Constants!$B$2,TRUE(),IF(G363=Constants!$B$3,FALSE(),TRUE())))</f>
        <v/>
      </c>
      <c r="AI363" s="93" t="str">
        <f aca="false">IF(ISBLANK($C363),"",IF(AND(ISNUMBER(H363),H363&gt;=0),H363,Constants!$B$24))</f>
        <v/>
      </c>
      <c r="AJ363" s="93" t="str">
        <f aca="false">IF(ISBLANK($C363),"",IF(I363=Constants!$B$2,TRUE(),IF(I363=Constants!$B$3,FALSE(),TRUE())))</f>
        <v/>
      </c>
      <c r="AK363" s="93" t="str">
        <f aca="false">IF(ISBLANK($C363),"",IF(J363=Constants!$B$2,TRUE(),IF(J363=Constants!$B$3,FALSE(),TRUE())))</f>
        <v/>
      </c>
      <c r="AL363" s="93" t="str">
        <f aca="false">IF(ISBLANK($C363),"",IF(K363=Constants!$B$4,TRUE(),IF(K363=Constants!$B$5,FALSE(),COUNTA(L363:P363)&gt;0)))</f>
        <v/>
      </c>
      <c r="AM363" s="95" t="str">
        <f aca="false">IF(ISBLANK($C363),"",IF(ISNUMBER(L363),IF(L363&gt;=0,L363,""),""))</f>
        <v/>
      </c>
      <c r="AN363" s="94" t="str">
        <f aca="false">IF(ISBLANK($C363),"",IF(ISNUMBER(M363),IF(M363&gt;=0,M363,""),""))</f>
        <v/>
      </c>
      <c r="AO363" s="94" t="str">
        <f aca="false">IF(ISBLANK($C363),"",IF(N363=Constants!$B$2,TRUE(),IF(N363=Constants!$B$3,FALSE(),TRUE())))</f>
        <v/>
      </c>
      <c r="AP363" s="93" t="str">
        <f aca="false">IF(ISBLANK($C363),"",IF(ISNUMBER(O363),IF(O363&gt;=0,O363,""),""))</f>
        <v/>
      </c>
      <c r="AQ363" s="93" t="str">
        <f aca="false">IF(ISBLANK($C363),"",IF(P363=Constants!$B$2,TRUE(),IF(P363=Constants!$B$3,FALSE(),FALSE())))</f>
        <v/>
      </c>
      <c r="AR363" s="93" t="str">
        <f aca="false">IF(ISBLANK($C363),"",IF(Q363=Constants!$B$2,TRUE(),IF(Q363=Constants!$B$3,FALSE(),TRUE())))</f>
        <v/>
      </c>
      <c r="AS363" s="93" t="str">
        <f aca="false">IF(ISBLANK($C363),"",IF(R363=Constants!$B$2,TRUE(),IF(R363=Constants!$B$3,FALSE(),TRUE())))</f>
        <v/>
      </c>
      <c r="AT363" s="93" t="str">
        <f aca="false">IF(ISBLANK($C363),"",IF(S363=Constants!$B$4,TRUE(),IF(S363=Constants!$B$5,FALSE(),COUNTA(T363:X363)&gt;0)))</f>
        <v/>
      </c>
      <c r="AU363" s="95" t="str">
        <f aca="false">IF(ISBLANK($C363),"",IF(ISNUMBER(T363),IF(T363&gt;=0,T363,""),""))</f>
        <v/>
      </c>
      <c r="AV363" s="94" t="str">
        <f aca="false">IF(ISBLANK($C363),"",IF(ISNUMBER(U363),IF(U363&gt;=0,U363,""),""))</f>
        <v/>
      </c>
      <c r="AW363" s="94" t="str">
        <f aca="false">IF(ISBLANK($C363),"",IF(V363=Constants!$B$2,TRUE(),IF(V363=Constants!$B$3,FALSE(),TRUE())))</f>
        <v/>
      </c>
      <c r="AX363" s="93" t="str">
        <f aca="false">IF(ISBLANK($C363),"",IF(ISNUMBER(W363),IF(W363&gt;=0,W363,""),""))</f>
        <v/>
      </c>
      <c r="AY363" s="93" t="str">
        <f aca="false">IF(ISBLANK($C363),"",IF(X363=Constants!$B$2,TRUE(),IF(X363=Constants!$B$3,FALSE(),FALSE())))</f>
        <v/>
      </c>
      <c r="AZ363" s="93" t="str">
        <f aca="false">IF(ISBLANK($C363),"",MIN(Constants!$B$25,MAX(0,IF(ISNUMBER(Y363),Y363*60,0)+IF(ISNUMBER(Z363),Z363,0))))</f>
        <v/>
      </c>
      <c r="BA363" s="93" t="str">
        <f aca="false">IF(ISBLANK($C363),"",IF(AA363=Constants!$B$2,TRUE(),IF(AA363=Constants!$B$3,FALSE(),FALSE())))</f>
        <v/>
      </c>
      <c r="BB363" s="92" t="str">
        <f aca="false">IF(ISBLANK($C363),"",AND($AL363,OR($AM363="",$AN363="",AND($AO363,$AP363=""))))</f>
        <v/>
      </c>
      <c r="BC363" s="94" t="str">
        <f aca="false">IF($BX363&lt;&gt;Constants!$B$6,"",IF($AL363,Constants!$B$17*$AN363+Constants!$B$18*IF($AO363,$AP363,Constants!$B$19),Constants!$B$20))</f>
        <v/>
      </c>
      <c r="BD363" s="97" t="str">
        <f aca="false">IF($BX363&lt;&gt;Constants!$B$6,"",Constants!$B$21*ABS($AD$9-IF($AL363,$AM363,0)))</f>
        <v/>
      </c>
      <c r="BE363" s="97" t="str">
        <f aca="false">IF($BX363&lt;&gt;Constants!$B$6,"",IF(AND($AL363,$AQ363,$AO363),Constants!$B$22,0))</f>
        <v/>
      </c>
      <c r="BF363" s="97" t="str">
        <f aca="false">IF($BX363&lt;&gt;Constants!$B$6,"",IF($AL363,($AI363-Constants!$B$24)*Constants!$B$23,0))</f>
        <v/>
      </c>
      <c r="BG363" s="97" t="str">
        <f aca="false">IF($BX363&lt;&gt;Constants!$B$6,"",IF($AK363,0,Constants!$B$12)+IF($AJ363,0,Constants!$B$13)+IF($AH363,0,Constants!$B$14))</f>
        <v/>
      </c>
      <c r="BH363" s="98" t="str">
        <f aca="false">IF($BX363&lt;&gt;Constants!$B$6,"",Constants!$B$16+SUM($BC363:$BG363))</f>
        <v/>
      </c>
      <c r="BI363" s="97" t="str">
        <f aca="false">IF($BX363&lt;&gt;Constants!$B$6,"",$BC363)</f>
        <v/>
      </c>
      <c r="BJ363" s="97" t="str">
        <f aca="false">IF($BX363&lt;&gt;Constants!$B$6,"",$BD363)</f>
        <v/>
      </c>
      <c r="BK363" s="99" t="str">
        <f aca="false">IF($BX363&lt;&gt;Constants!$B$6,"",IF($AL363,$AN363,""))</f>
        <v/>
      </c>
      <c r="BL363" s="93" t="str">
        <f aca="false">IF($BX363&lt;&gt;Constants!$B$6,"",IF(OR($BS363&lt;$BH363,AND($BS363=$BH363,OR($BT363&lt;$BI363,AND($BT363=$BI363,OR($BU363&lt;$BJ363,AND($BU363=$BJ363,AND(ISNUMBER($BV363),OR(NOT(ISNUMBER($BK363)),$BV363&lt;$BK363)))))))),"-&gt;","&lt;-"))</f>
        <v/>
      </c>
      <c r="BM363" s="92" t="str">
        <f aca="false">IF(ISBLANK($C363),"",AND($AT363,OR($AU363="",$AV363="",AND($AW363,$AX363=""))))</f>
        <v/>
      </c>
      <c r="BN363" s="94" t="str">
        <f aca="false">IF($BX363&lt;&gt;Constants!$B$6,"",IF($AT363,Constants!$B$17*$AV363+Constants!$B$18*IF($AW363,$AX363,Constants!$B$19),Constants!$B$20))</f>
        <v/>
      </c>
      <c r="BO363" s="97" t="str">
        <f aca="false">IF($BX363&lt;&gt;Constants!$B$6,"",Constants!$B$21*ABS($AD$9-IF($AT363,$AU363,0)))</f>
        <v/>
      </c>
      <c r="BP363" s="97" t="str">
        <f aca="false">IF($BX363&lt;&gt;Constants!$B$6,"",IF(AND($AT363,$AY363,$AW363),Constants!$B$22,0))</f>
        <v/>
      </c>
      <c r="BQ363" s="97" t="str">
        <f aca="false">IF($BX363&lt;&gt;Constants!$B$6,"",IF($AT363,($AI363-Constants!$B$24)*Constants!$B$23,0))</f>
        <v/>
      </c>
      <c r="BR363" s="97" t="str">
        <f aca="false">IF($BX363&lt;&gt;Constants!$B$6,"",IF($AS363,0,Constants!$B$12)+IF($AR363,0,Constants!$B$13)+IF($AH363,0,Constants!$B$14))</f>
        <v/>
      </c>
      <c r="BS363" s="98" t="str">
        <f aca="false">IF($BX363&lt;&gt;Constants!$B$6,"",Constants!$B$16+SUM($BN363:$BR363))</f>
        <v/>
      </c>
      <c r="BT363" s="97" t="str">
        <f aca="false">IF($BX363&lt;&gt;Constants!$B$6,"",$BN363)</f>
        <v/>
      </c>
      <c r="BU363" s="97" t="str">
        <f aca="false">IF($BX363&lt;&gt;Constants!$B$6,"",$BO363)</f>
        <v/>
      </c>
      <c r="BV363" s="99" t="str">
        <f aca="false">IF($BX363&lt;&gt;Constants!$B$6,"",IF($AT363,$AV363,""))</f>
        <v/>
      </c>
      <c r="BW363" s="93" t="str">
        <f aca="false">IF(ISBLANK($C363),"",IF(ISBLANK($D$7),$BW$5,IF(NOT(ISNUMBER($D$7)),$BW$6,"")))</f>
        <v/>
      </c>
      <c r="BX363" s="93" t="str">
        <f aca="false">IF(ISBLANK($C363),"",IF($BA363,Constants!$B$9,IF(COUNTA($E363:$AA363)=0,Constants!$B$8,IF(NOT($AG363),Constants!$B$7,IF(OR($BW363&lt;&gt;"",$BB363,$BM363),Constants!$B$10,Constants!$B$6)))))</f>
        <v/>
      </c>
      <c r="BY363" s="93" t="str">
        <f aca="false">IF(ISBLANK($C363),"",IF($BX363&lt;&gt;Constants!$B$6,$BX363,Constants!$B$11))</f>
        <v/>
      </c>
      <c r="BZ363" s="97" t="str">
        <f aca="false">IF($BX363&lt;&gt;Constants!$B$6,"",IF($BL363="-&gt;",$BS363,$BH363))</f>
        <v/>
      </c>
      <c r="CA363" s="97" t="str">
        <f aca="false">IF($BX363&lt;&gt;Constants!$B$6,"",IF($AF363,0,Constants!$B$15))</f>
        <v/>
      </c>
      <c r="CB363" s="97" t="str">
        <f aca="false">IF($BX363&lt;&gt;Constants!$B$6,"",((Constants!$B$25-$AZ363)-Constants!$B$25)/Constants!$B$26)</f>
        <v/>
      </c>
      <c r="CC363" s="97" t="str">
        <f aca="false">IF(ISBLANK($C363),"",IF($BX363&lt;&gt;Constants!$B$6,$BX363,SUM($BZ363:$CB363)))</f>
        <v/>
      </c>
      <c r="CD363" s="93" t="str">
        <f aca="false">IF(ISBLANK($C363),"",IF($BX363&lt;&gt;Constants!$B$6,$BX363,RANK($CC363,$CC$9:$CC$508,1)))</f>
        <v/>
      </c>
      <c r="CE363" s="97" t="str">
        <f aca="false">IF($BX363&lt;&gt;Constants!$B$6,"",IF($BL363="-&gt;",$BT363,$BI363))</f>
        <v/>
      </c>
      <c r="CF363" s="93" t="str">
        <f aca="false">IF(ISBLANK($C363),"",IF($BX363&lt;&gt;Constants!$B$6,$BX363,IF(ISNUMBER($CE363),RANK($CE363,$CE$9:$CE$508,1),COUNT($CE$9:$CE$508)+1)))</f>
        <v/>
      </c>
      <c r="CG363" s="97" t="str">
        <f aca="false">IF($BX363&lt;&gt;Constants!$B$6,"",IF($BL363="-&gt;",$BU363,$BJ363))</f>
        <v/>
      </c>
      <c r="CH363" s="93" t="str">
        <f aca="false">IF(ISBLANK($C363),"",IF($BX363&lt;&gt;Constants!$B$6,$BX363,IF(ISNUMBER($CG363),RANK($CG363,$CG$9:$CG$508,1),COUNT($CG$9:$CG$508)+1)))</f>
        <v/>
      </c>
      <c r="CI363" s="97" t="str">
        <f aca="false">IF($BX363&lt;&gt;Constants!$B$6,"",IF($BL363="-&gt;",$BV363,$BK363))</f>
        <v/>
      </c>
      <c r="CJ363" s="93" t="str">
        <f aca="false">IF(ISBLANK($C363),"",IF($BX363&lt;&gt;Constants!$B$6,$BX363,IF(ISNUMBER($CI363),RANK($CI363,$CI$9:$CI$508,1),COUNT($CI$9:$CI$508)+1)))</f>
        <v/>
      </c>
      <c r="CK363" s="97" t="str">
        <f aca="false">IF($BX363&lt;&gt;Constants!$B$6,"",$AI363)</f>
        <v/>
      </c>
      <c r="CL363" s="93" t="str">
        <f aca="false">IF(ISBLANK($C363),"",IF($BX363&lt;&gt;Constants!$B$6,$BX363,IF(ISNUMBER($CK363),RANK($CK363,$CK$9:$CK$508,1),COUNT($CK$9:$CK$508)+1)))</f>
        <v/>
      </c>
      <c r="CM363" s="93" t="str">
        <f aca="false">IF(ISBLANK($C363),"",IF($BX363&lt;&gt;Constants!$B$6,$BX363,COUNTIFS($CD$9:$CD$508,"&lt;"&amp;$CD363)+COUNTIFS($CD$9:$CD$508,$CD363,$CF$9:$CF$508,"&lt;"&amp;$CF363)+COUNTIFS($CD$9:$CD$508,$CD363,$CF$9:$CF$508,$CF363,$CH$9:$CH$508,"&lt;"&amp;$CH363)+COUNTIFS($CD$9:$CD$508,$CD363,$CF$9:$CF$508,$CF363,$CH$9:$CH$508,$CH363,$CJ$9:$CJ$508,"&lt;"&amp;$CJ363)+COUNTIFS($CD$9:$CD$508,$CD363,$CF$9:$CF$508,$CF363,$CH$9:$CH$508,$CH363,$CJ$9:$CJ$508,$CJ363,$CL$9:$CL$508,"&lt;"&amp;$CL363)+1))</f>
        <v/>
      </c>
      <c r="CN363" s="93" t="str">
        <f aca="false">IF(ISBLANK($C363),"",IF($BX363&lt;&gt;Constants!$B$6,$BX363,$CD363-$CM363))</f>
        <v/>
      </c>
      <c r="CO363" s="100"/>
      <c r="CP363" s="101"/>
      <c r="CQ363" s="102" t="str">
        <f aca="false">IF(ISBLANK($C363),"",IF($BX363=Constants!$B$10,$BW363,""))</f>
        <v/>
      </c>
      <c r="CR363" s="101" t="str">
        <f aca="false">IF(ISBLANK($C363),"",IF($BX363&lt;&gt;Constants!$B$6,"",IF($BL363="-&gt;",2,1)))</f>
        <v/>
      </c>
      <c r="CS363" s="103" t="str">
        <f aca="false">IF(ISBLANK($C363),"",IF($BX363&lt;&gt;Constants!$B$6,"",IF($BL363="-&gt;",$BN363,$BC363)))</f>
        <v/>
      </c>
      <c r="CT363" s="103" t="str">
        <f aca="false">IF(ISBLANK($C363),"",IF($BX363&lt;&gt;Constants!$B$6,"",IF($BL363="-&gt;",$BO363,$BD363)))</f>
        <v/>
      </c>
      <c r="CU363" s="103" t="str">
        <f aca="false">IF(ISBLANK($C363),"",IF($BX363&lt;&gt;Constants!$B$6,"",IF($BL363="-&gt;",$BP363+$BQ363,$BE363+$BF363)+$CB363))</f>
        <v/>
      </c>
      <c r="CV363" s="103" t="str">
        <f aca="false">IF(ISBLANK($C363),"",IF($BX363&lt;&gt;Constants!$B$6,"",IF($BL363="-&gt;",$BR363,$BG363)+$CA363))</f>
        <v/>
      </c>
      <c r="CW363" s="104" t="str">
        <f aca="false">IF(ISBLANK($C363),"",IF($BX363&lt;&gt;Constants!$B$6,$BX363,$CC363))</f>
        <v/>
      </c>
      <c r="CX363" s="105" t="str">
        <f aca="false">IF(ISBLANK($C363),"",$BY363)</f>
        <v/>
      </c>
      <c r="CY363" s="106" t="str">
        <f aca="false">IF(ISBLANK($C363),"",$CN363)</f>
        <v/>
      </c>
      <c r="CZ363" s="106" t="str">
        <f aca="false">IF(ISBLANK($C363),"",$CM363)</f>
        <v/>
      </c>
      <c r="DA363" s="107" t="str">
        <f aca="false">IF(ISBLANK($C363),"",IFERROR(_xlfn.SWITCH($CZ363,Constants!$B$9,COUNTA($C$9:$C$508)+2,Constants!$B$8,COUNTA($C$9:$C$508)+1,Constants!$B$7,COUNTA($C$9:$C$508)),$CZ363))</f>
        <v/>
      </c>
      <c r="DB363" s="9"/>
      <c r="DC363" s="108" t="n">
        <f aca="false">IF(OR(ISNUMBER($CZ363),$CZ363=Constants!$B$9,$CZ363=Constants!$B$7,$CZ363=Constants!$B$8),1,0)</f>
        <v>0</v>
      </c>
      <c r="DD363" s="108" t="n">
        <v>355</v>
      </c>
      <c r="DE363" s="108" t="str">
        <f aca="false">IF(ISBLANK($C363),"",IF(ISNUMBER($DA363),$DA363+ROW($B363)/1000,""))</f>
        <v/>
      </c>
      <c r="DF363" s="108" t="str">
        <f aca="false">IF(ISNUMBER($DE363),RANK($DE363,$DE$9:$DE$508,1),"")</f>
        <v/>
      </c>
      <c r="DG363" s="108" t="str">
        <f aca="false">IF(ISBLANK($C363),"",$B363)</f>
        <v/>
      </c>
      <c r="DH363" s="108" t="str">
        <f aca="false">IF(ISBLANK($C363),"",$C363)</f>
        <v/>
      </c>
      <c r="DI363" s="108" t="str">
        <f aca="false">IF(ISBLANK($C363),"",$D363)</f>
        <v/>
      </c>
      <c r="DJ363" s="109" t="str">
        <f aca="false">$CX363</f>
        <v/>
      </c>
      <c r="DK363" s="110" t="str">
        <f aca="false">$CW363</f>
        <v/>
      </c>
      <c r="DL363" s="108" t="str">
        <f aca="false">IF(ISBLANK($C363),"",$CZ363)</f>
        <v/>
      </c>
      <c r="DM363" s="111" t="str">
        <f aca="false">IF($DD363&gt;$DC$8,"",VLOOKUP($DD363,$DF$9:$DL$508,7,FALSE()))</f>
        <v/>
      </c>
      <c r="DN363" s="112" t="str">
        <f aca="false">IF($DD363&gt;$DC$8,"",VLOOKUP($DD363,$DF$9:$DL$508,2,FALSE()))</f>
        <v/>
      </c>
      <c r="DO363" s="112" t="str">
        <f aca="false">IF($DD363&gt;$DC$8,"",VLOOKUP($DD363,$DF$9:$DL$508,3,FALSE()))</f>
        <v/>
      </c>
      <c r="DP363" s="112" t="str">
        <f aca="false">IF($DD363&gt;$DC$8,"",VLOOKUP($DD363,$DF$9:$DL$508,4,FALSE()))</f>
        <v/>
      </c>
      <c r="DQ363" s="112" t="str">
        <f aca="false">IF($DD363&gt;$DC$8,"",VLOOKUP($DD363,$DF$9:$DL$508,5,FALSE()))</f>
        <v/>
      </c>
      <c r="DR363" s="113" t="str">
        <f aca="false">IF($DD363&gt;$DC$8,"",VLOOKUP($DD363,$DF$9:$DL$508,6,FALSE()))</f>
        <v/>
      </c>
      <c r="DS363" s="76"/>
    </row>
    <row r="364" customFormat="false" ht="15.75" hidden="false" customHeight="false" outlineLevel="0" collapsed="false">
      <c r="A364" s="9"/>
      <c r="B364" s="78"/>
      <c r="C364" s="79"/>
      <c r="D364" s="170"/>
      <c r="E364" s="178"/>
      <c r="F364" s="172"/>
      <c r="G364" s="173"/>
      <c r="H364" s="173"/>
      <c r="I364" s="179"/>
      <c r="J364" s="176"/>
      <c r="K364" s="86"/>
      <c r="L364" s="87"/>
      <c r="M364" s="88"/>
      <c r="N364" s="176"/>
      <c r="O364" s="176"/>
      <c r="P364" s="178"/>
      <c r="Q364" s="176"/>
      <c r="R364" s="176"/>
      <c r="S364" s="86"/>
      <c r="T364" s="88"/>
      <c r="U364" s="88"/>
      <c r="V364" s="176"/>
      <c r="W364" s="176"/>
      <c r="X364" s="178"/>
      <c r="Y364" s="176"/>
      <c r="Z364" s="177"/>
      <c r="AA364" s="176"/>
      <c r="AB364" s="92"/>
      <c r="AC364" s="93"/>
      <c r="AD364" s="93"/>
      <c r="AE364" s="93"/>
      <c r="AF364" s="93" t="str">
        <f aca="false">IF(ISBLANK($C364),"",IF(E364=Constants!$B$2,TRUE(),IF(E364=Constants!$B$3,FALSE(),TRUE())))</f>
        <v/>
      </c>
      <c r="AG364" s="93" t="str">
        <f aca="false">IF(ISBLANK($C364),"",IF(F364=Constants!$B$2,TRUE(),IF(F364=Constants!$B$3,FALSE(),TRUE())))</f>
        <v/>
      </c>
      <c r="AH364" s="93" t="str">
        <f aca="false">IF(ISBLANK($C364),"",IF(G364=Constants!$B$2,TRUE(),IF(G364=Constants!$B$3,FALSE(),TRUE())))</f>
        <v/>
      </c>
      <c r="AI364" s="93" t="str">
        <f aca="false">IF(ISBLANK($C364),"",IF(AND(ISNUMBER(H364),H364&gt;=0),H364,Constants!$B$24))</f>
        <v/>
      </c>
      <c r="AJ364" s="93" t="str">
        <f aca="false">IF(ISBLANK($C364),"",IF(I364=Constants!$B$2,TRUE(),IF(I364=Constants!$B$3,FALSE(),TRUE())))</f>
        <v/>
      </c>
      <c r="AK364" s="93" t="str">
        <f aca="false">IF(ISBLANK($C364),"",IF(J364=Constants!$B$2,TRUE(),IF(J364=Constants!$B$3,FALSE(),TRUE())))</f>
        <v/>
      </c>
      <c r="AL364" s="93" t="str">
        <f aca="false">IF(ISBLANK($C364),"",IF(K364=Constants!$B$4,TRUE(),IF(K364=Constants!$B$5,FALSE(),COUNTA(L364:P364)&gt;0)))</f>
        <v/>
      </c>
      <c r="AM364" s="95" t="str">
        <f aca="false">IF(ISBLANK($C364),"",IF(ISNUMBER(L364),IF(L364&gt;=0,L364,""),""))</f>
        <v/>
      </c>
      <c r="AN364" s="94" t="str">
        <f aca="false">IF(ISBLANK($C364),"",IF(ISNUMBER(M364),IF(M364&gt;=0,M364,""),""))</f>
        <v/>
      </c>
      <c r="AO364" s="94" t="str">
        <f aca="false">IF(ISBLANK($C364),"",IF(N364=Constants!$B$2,TRUE(),IF(N364=Constants!$B$3,FALSE(),TRUE())))</f>
        <v/>
      </c>
      <c r="AP364" s="93" t="str">
        <f aca="false">IF(ISBLANK($C364),"",IF(ISNUMBER(O364),IF(O364&gt;=0,O364,""),""))</f>
        <v/>
      </c>
      <c r="AQ364" s="93" t="str">
        <f aca="false">IF(ISBLANK($C364),"",IF(P364=Constants!$B$2,TRUE(),IF(P364=Constants!$B$3,FALSE(),FALSE())))</f>
        <v/>
      </c>
      <c r="AR364" s="93" t="str">
        <f aca="false">IF(ISBLANK($C364),"",IF(Q364=Constants!$B$2,TRUE(),IF(Q364=Constants!$B$3,FALSE(),TRUE())))</f>
        <v/>
      </c>
      <c r="AS364" s="93" t="str">
        <f aca="false">IF(ISBLANK($C364),"",IF(R364=Constants!$B$2,TRUE(),IF(R364=Constants!$B$3,FALSE(),TRUE())))</f>
        <v/>
      </c>
      <c r="AT364" s="93" t="str">
        <f aca="false">IF(ISBLANK($C364),"",IF(S364=Constants!$B$4,TRUE(),IF(S364=Constants!$B$5,FALSE(),COUNTA(T364:X364)&gt;0)))</f>
        <v/>
      </c>
      <c r="AU364" s="95" t="str">
        <f aca="false">IF(ISBLANK($C364),"",IF(ISNUMBER(T364),IF(T364&gt;=0,T364,""),""))</f>
        <v/>
      </c>
      <c r="AV364" s="94" t="str">
        <f aca="false">IF(ISBLANK($C364),"",IF(ISNUMBER(U364),IF(U364&gt;=0,U364,""),""))</f>
        <v/>
      </c>
      <c r="AW364" s="94" t="str">
        <f aca="false">IF(ISBLANK($C364),"",IF(V364=Constants!$B$2,TRUE(),IF(V364=Constants!$B$3,FALSE(),TRUE())))</f>
        <v/>
      </c>
      <c r="AX364" s="93" t="str">
        <f aca="false">IF(ISBLANK($C364),"",IF(ISNUMBER(W364),IF(W364&gt;=0,W364,""),""))</f>
        <v/>
      </c>
      <c r="AY364" s="93" t="str">
        <f aca="false">IF(ISBLANK($C364),"",IF(X364=Constants!$B$2,TRUE(),IF(X364=Constants!$B$3,FALSE(),FALSE())))</f>
        <v/>
      </c>
      <c r="AZ364" s="93" t="str">
        <f aca="false">IF(ISBLANK($C364),"",MIN(Constants!$B$25,MAX(0,IF(ISNUMBER(Y364),Y364*60,0)+IF(ISNUMBER(Z364),Z364,0))))</f>
        <v/>
      </c>
      <c r="BA364" s="93" t="str">
        <f aca="false">IF(ISBLANK($C364),"",IF(AA364=Constants!$B$2,TRUE(),IF(AA364=Constants!$B$3,FALSE(),FALSE())))</f>
        <v/>
      </c>
      <c r="BB364" s="92" t="str">
        <f aca="false">IF(ISBLANK($C364),"",AND($AL364,OR($AM364="",$AN364="",AND($AO364,$AP364=""))))</f>
        <v/>
      </c>
      <c r="BC364" s="94" t="str">
        <f aca="false">IF($BX364&lt;&gt;Constants!$B$6,"",IF($AL364,Constants!$B$17*$AN364+Constants!$B$18*IF($AO364,$AP364,Constants!$B$19),Constants!$B$20))</f>
        <v/>
      </c>
      <c r="BD364" s="97" t="str">
        <f aca="false">IF($BX364&lt;&gt;Constants!$B$6,"",Constants!$B$21*ABS($AD$9-IF($AL364,$AM364,0)))</f>
        <v/>
      </c>
      <c r="BE364" s="97" t="str">
        <f aca="false">IF($BX364&lt;&gt;Constants!$B$6,"",IF(AND($AL364,$AQ364,$AO364),Constants!$B$22,0))</f>
        <v/>
      </c>
      <c r="BF364" s="97" t="str">
        <f aca="false">IF($BX364&lt;&gt;Constants!$B$6,"",IF($AL364,($AI364-Constants!$B$24)*Constants!$B$23,0))</f>
        <v/>
      </c>
      <c r="BG364" s="97" t="str">
        <f aca="false">IF($BX364&lt;&gt;Constants!$B$6,"",IF($AK364,0,Constants!$B$12)+IF($AJ364,0,Constants!$B$13)+IF($AH364,0,Constants!$B$14))</f>
        <v/>
      </c>
      <c r="BH364" s="98" t="str">
        <f aca="false">IF($BX364&lt;&gt;Constants!$B$6,"",Constants!$B$16+SUM($BC364:$BG364))</f>
        <v/>
      </c>
      <c r="BI364" s="97" t="str">
        <f aca="false">IF($BX364&lt;&gt;Constants!$B$6,"",$BC364)</f>
        <v/>
      </c>
      <c r="BJ364" s="97" t="str">
        <f aca="false">IF($BX364&lt;&gt;Constants!$B$6,"",$BD364)</f>
        <v/>
      </c>
      <c r="BK364" s="99" t="str">
        <f aca="false">IF($BX364&lt;&gt;Constants!$B$6,"",IF($AL364,$AN364,""))</f>
        <v/>
      </c>
      <c r="BL364" s="93" t="str">
        <f aca="false">IF($BX364&lt;&gt;Constants!$B$6,"",IF(OR($BS364&lt;$BH364,AND($BS364=$BH364,OR($BT364&lt;$BI364,AND($BT364=$BI364,OR($BU364&lt;$BJ364,AND($BU364=$BJ364,AND(ISNUMBER($BV364),OR(NOT(ISNUMBER($BK364)),$BV364&lt;$BK364)))))))),"-&gt;","&lt;-"))</f>
        <v/>
      </c>
      <c r="BM364" s="92" t="str">
        <f aca="false">IF(ISBLANK($C364),"",AND($AT364,OR($AU364="",$AV364="",AND($AW364,$AX364=""))))</f>
        <v/>
      </c>
      <c r="BN364" s="94" t="str">
        <f aca="false">IF($BX364&lt;&gt;Constants!$B$6,"",IF($AT364,Constants!$B$17*$AV364+Constants!$B$18*IF($AW364,$AX364,Constants!$B$19),Constants!$B$20))</f>
        <v/>
      </c>
      <c r="BO364" s="97" t="str">
        <f aca="false">IF($BX364&lt;&gt;Constants!$B$6,"",Constants!$B$21*ABS($AD$9-IF($AT364,$AU364,0)))</f>
        <v/>
      </c>
      <c r="BP364" s="97" t="str">
        <f aca="false">IF($BX364&lt;&gt;Constants!$B$6,"",IF(AND($AT364,$AY364,$AW364),Constants!$B$22,0))</f>
        <v/>
      </c>
      <c r="BQ364" s="97" t="str">
        <f aca="false">IF($BX364&lt;&gt;Constants!$B$6,"",IF($AT364,($AI364-Constants!$B$24)*Constants!$B$23,0))</f>
        <v/>
      </c>
      <c r="BR364" s="97" t="str">
        <f aca="false">IF($BX364&lt;&gt;Constants!$B$6,"",IF($AS364,0,Constants!$B$12)+IF($AR364,0,Constants!$B$13)+IF($AH364,0,Constants!$B$14))</f>
        <v/>
      </c>
      <c r="BS364" s="98" t="str">
        <f aca="false">IF($BX364&lt;&gt;Constants!$B$6,"",Constants!$B$16+SUM($BN364:$BR364))</f>
        <v/>
      </c>
      <c r="BT364" s="97" t="str">
        <f aca="false">IF($BX364&lt;&gt;Constants!$B$6,"",$BN364)</f>
        <v/>
      </c>
      <c r="BU364" s="97" t="str">
        <f aca="false">IF($BX364&lt;&gt;Constants!$B$6,"",$BO364)</f>
        <v/>
      </c>
      <c r="BV364" s="99" t="str">
        <f aca="false">IF($BX364&lt;&gt;Constants!$B$6,"",IF($AT364,$AV364,""))</f>
        <v/>
      </c>
      <c r="BW364" s="93" t="str">
        <f aca="false">IF(ISBLANK($C364),"",IF(ISBLANK($D$7),$BW$5,IF(NOT(ISNUMBER($D$7)),$BW$6,"")))</f>
        <v/>
      </c>
      <c r="BX364" s="93" t="str">
        <f aca="false">IF(ISBLANK($C364),"",IF($BA364,Constants!$B$9,IF(COUNTA($E364:$AA364)=0,Constants!$B$8,IF(NOT($AG364),Constants!$B$7,IF(OR($BW364&lt;&gt;"",$BB364,$BM364),Constants!$B$10,Constants!$B$6)))))</f>
        <v/>
      </c>
      <c r="BY364" s="93" t="str">
        <f aca="false">IF(ISBLANK($C364),"",IF($BX364&lt;&gt;Constants!$B$6,$BX364,Constants!$B$11))</f>
        <v/>
      </c>
      <c r="BZ364" s="97" t="str">
        <f aca="false">IF($BX364&lt;&gt;Constants!$B$6,"",IF($BL364="-&gt;",$BS364,$BH364))</f>
        <v/>
      </c>
      <c r="CA364" s="97" t="str">
        <f aca="false">IF($BX364&lt;&gt;Constants!$B$6,"",IF($AF364,0,Constants!$B$15))</f>
        <v/>
      </c>
      <c r="CB364" s="97" t="str">
        <f aca="false">IF($BX364&lt;&gt;Constants!$B$6,"",((Constants!$B$25-$AZ364)-Constants!$B$25)/Constants!$B$26)</f>
        <v/>
      </c>
      <c r="CC364" s="97" t="str">
        <f aca="false">IF(ISBLANK($C364),"",IF($BX364&lt;&gt;Constants!$B$6,$BX364,SUM($BZ364:$CB364)))</f>
        <v/>
      </c>
      <c r="CD364" s="93" t="str">
        <f aca="false">IF(ISBLANK($C364),"",IF($BX364&lt;&gt;Constants!$B$6,$BX364,RANK($CC364,$CC$9:$CC$508,1)))</f>
        <v/>
      </c>
      <c r="CE364" s="97" t="str">
        <f aca="false">IF($BX364&lt;&gt;Constants!$B$6,"",IF($BL364="-&gt;",$BT364,$BI364))</f>
        <v/>
      </c>
      <c r="CF364" s="93" t="str">
        <f aca="false">IF(ISBLANK($C364),"",IF($BX364&lt;&gt;Constants!$B$6,$BX364,IF(ISNUMBER($CE364),RANK($CE364,$CE$9:$CE$508,1),COUNT($CE$9:$CE$508)+1)))</f>
        <v/>
      </c>
      <c r="CG364" s="97" t="str">
        <f aca="false">IF($BX364&lt;&gt;Constants!$B$6,"",IF($BL364="-&gt;",$BU364,$BJ364))</f>
        <v/>
      </c>
      <c r="CH364" s="93" t="str">
        <f aca="false">IF(ISBLANK($C364),"",IF($BX364&lt;&gt;Constants!$B$6,$BX364,IF(ISNUMBER($CG364),RANK($CG364,$CG$9:$CG$508,1),COUNT($CG$9:$CG$508)+1)))</f>
        <v/>
      </c>
      <c r="CI364" s="97" t="str">
        <f aca="false">IF($BX364&lt;&gt;Constants!$B$6,"",IF($BL364="-&gt;",$BV364,$BK364))</f>
        <v/>
      </c>
      <c r="CJ364" s="93" t="str">
        <f aca="false">IF(ISBLANK($C364),"",IF($BX364&lt;&gt;Constants!$B$6,$BX364,IF(ISNUMBER($CI364),RANK($CI364,$CI$9:$CI$508,1),COUNT($CI$9:$CI$508)+1)))</f>
        <v/>
      </c>
      <c r="CK364" s="97" t="str">
        <f aca="false">IF($BX364&lt;&gt;Constants!$B$6,"",$AI364)</f>
        <v/>
      </c>
      <c r="CL364" s="93" t="str">
        <f aca="false">IF(ISBLANK($C364),"",IF($BX364&lt;&gt;Constants!$B$6,$BX364,IF(ISNUMBER($CK364),RANK($CK364,$CK$9:$CK$508,1),COUNT($CK$9:$CK$508)+1)))</f>
        <v/>
      </c>
      <c r="CM364" s="93" t="str">
        <f aca="false">IF(ISBLANK($C364),"",IF($BX364&lt;&gt;Constants!$B$6,$BX364,COUNTIFS($CD$9:$CD$508,"&lt;"&amp;$CD364)+COUNTIFS($CD$9:$CD$508,$CD364,$CF$9:$CF$508,"&lt;"&amp;$CF364)+COUNTIFS($CD$9:$CD$508,$CD364,$CF$9:$CF$508,$CF364,$CH$9:$CH$508,"&lt;"&amp;$CH364)+COUNTIFS($CD$9:$CD$508,$CD364,$CF$9:$CF$508,$CF364,$CH$9:$CH$508,$CH364,$CJ$9:$CJ$508,"&lt;"&amp;$CJ364)+COUNTIFS($CD$9:$CD$508,$CD364,$CF$9:$CF$508,$CF364,$CH$9:$CH$508,$CH364,$CJ$9:$CJ$508,$CJ364,$CL$9:$CL$508,"&lt;"&amp;$CL364)+1))</f>
        <v/>
      </c>
      <c r="CN364" s="93" t="str">
        <f aca="false">IF(ISBLANK($C364),"",IF($BX364&lt;&gt;Constants!$B$6,$BX364,$CD364-$CM364))</f>
        <v/>
      </c>
      <c r="CO364" s="100"/>
      <c r="CP364" s="101"/>
      <c r="CQ364" s="102" t="str">
        <f aca="false">IF(ISBLANK($C364),"",IF($BX364=Constants!$B$10,$BW364,""))</f>
        <v/>
      </c>
      <c r="CR364" s="101" t="str">
        <f aca="false">IF(ISBLANK($C364),"",IF($BX364&lt;&gt;Constants!$B$6,"",IF($BL364="-&gt;",2,1)))</f>
        <v/>
      </c>
      <c r="CS364" s="103" t="str">
        <f aca="false">IF(ISBLANK($C364),"",IF($BX364&lt;&gt;Constants!$B$6,"",IF($BL364="-&gt;",$BN364,$BC364)))</f>
        <v/>
      </c>
      <c r="CT364" s="103" t="str">
        <f aca="false">IF(ISBLANK($C364),"",IF($BX364&lt;&gt;Constants!$B$6,"",IF($BL364="-&gt;",$BO364,$BD364)))</f>
        <v/>
      </c>
      <c r="CU364" s="103" t="str">
        <f aca="false">IF(ISBLANK($C364),"",IF($BX364&lt;&gt;Constants!$B$6,"",IF($BL364="-&gt;",$BP364+$BQ364,$BE364+$BF364)+$CB364))</f>
        <v/>
      </c>
      <c r="CV364" s="103" t="str">
        <f aca="false">IF(ISBLANK($C364),"",IF($BX364&lt;&gt;Constants!$B$6,"",IF($BL364="-&gt;",$BR364,$BG364)+$CA364))</f>
        <v/>
      </c>
      <c r="CW364" s="104" t="str">
        <f aca="false">IF(ISBLANK($C364),"",IF($BX364&lt;&gt;Constants!$B$6,$BX364,$CC364))</f>
        <v/>
      </c>
      <c r="CX364" s="105" t="str">
        <f aca="false">IF(ISBLANK($C364),"",$BY364)</f>
        <v/>
      </c>
      <c r="CY364" s="106" t="str">
        <f aca="false">IF(ISBLANK($C364),"",$CN364)</f>
        <v/>
      </c>
      <c r="CZ364" s="106" t="str">
        <f aca="false">IF(ISBLANK($C364),"",$CM364)</f>
        <v/>
      </c>
      <c r="DA364" s="107" t="str">
        <f aca="false">IF(ISBLANK($C364),"",IFERROR(_xlfn.SWITCH($CZ364,Constants!$B$9,COUNTA($C$9:$C$508)+2,Constants!$B$8,COUNTA($C$9:$C$508)+1,Constants!$B$7,COUNTA($C$9:$C$508)),$CZ364))</f>
        <v/>
      </c>
      <c r="DB364" s="9"/>
      <c r="DC364" s="108" t="n">
        <f aca="false">IF(OR(ISNUMBER($CZ364),$CZ364=Constants!$B$9,$CZ364=Constants!$B$7,$CZ364=Constants!$B$8),1,0)</f>
        <v>0</v>
      </c>
      <c r="DD364" s="108" t="n">
        <v>356</v>
      </c>
      <c r="DE364" s="108" t="str">
        <f aca="false">IF(ISBLANK($C364),"",IF(ISNUMBER($DA364),$DA364+ROW($B364)/1000,""))</f>
        <v/>
      </c>
      <c r="DF364" s="108" t="str">
        <f aca="false">IF(ISNUMBER($DE364),RANK($DE364,$DE$9:$DE$508,1),"")</f>
        <v/>
      </c>
      <c r="DG364" s="108" t="str">
        <f aca="false">IF(ISBLANK($C364),"",$B364)</f>
        <v/>
      </c>
      <c r="DH364" s="108" t="str">
        <f aca="false">IF(ISBLANK($C364),"",$C364)</f>
        <v/>
      </c>
      <c r="DI364" s="108" t="str">
        <f aca="false">IF(ISBLANK($C364),"",$D364)</f>
        <v/>
      </c>
      <c r="DJ364" s="109" t="str">
        <f aca="false">$CX364</f>
        <v/>
      </c>
      <c r="DK364" s="110" t="str">
        <f aca="false">$CW364</f>
        <v/>
      </c>
      <c r="DL364" s="108" t="str">
        <f aca="false">IF(ISBLANK($C364),"",$CZ364)</f>
        <v/>
      </c>
      <c r="DM364" s="111" t="str">
        <f aca="false">IF($DD364&gt;$DC$8,"",VLOOKUP($DD364,$DF$9:$DL$508,7,FALSE()))</f>
        <v/>
      </c>
      <c r="DN364" s="112" t="str">
        <f aca="false">IF($DD364&gt;$DC$8,"",VLOOKUP($DD364,$DF$9:$DL$508,2,FALSE()))</f>
        <v/>
      </c>
      <c r="DO364" s="112" t="str">
        <f aca="false">IF($DD364&gt;$DC$8,"",VLOOKUP($DD364,$DF$9:$DL$508,3,FALSE()))</f>
        <v/>
      </c>
      <c r="DP364" s="112" t="str">
        <f aca="false">IF($DD364&gt;$DC$8,"",VLOOKUP($DD364,$DF$9:$DL$508,4,FALSE()))</f>
        <v/>
      </c>
      <c r="DQ364" s="112" t="str">
        <f aca="false">IF($DD364&gt;$DC$8,"",VLOOKUP($DD364,$DF$9:$DL$508,5,FALSE()))</f>
        <v/>
      </c>
      <c r="DR364" s="113" t="str">
        <f aca="false">IF($DD364&gt;$DC$8,"",VLOOKUP($DD364,$DF$9:$DL$508,6,FALSE()))</f>
        <v/>
      </c>
      <c r="DS364" s="76"/>
    </row>
    <row r="365" customFormat="false" ht="15.75" hidden="false" customHeight="false" outlineLevel="0" collapsed="false">
      <c r="A365" s="9"/>
      <c r="B365" s="78"/>
      <c r="C365" s="79"/>
      <c r="D365" s="170"/>
      <c r="E365" s="178"/>
      <c r="F365" s="172"/>
      <c r="G365" s="173"/>
      <c r="H365" s="173"/>
      <c r="I365" s="179"/>
      <c r="J365" s="176"/>
      <c r="K365" s="86"/>
      <c r="L365" s="87"/>
      <c r="M365" s="88"/>
      <c r="N365" s="176"/>
      <c r="O365" s="176"/>
      <c r="P365" s="178"/>
      <c r="Q365" s="176"/>
      <c r="R365" s="176"/>
      <c r="S365" s="86"/>
      <c r="T365" s="88"/>
      <c r="U365" s="88"/>
      <c r="V365" s="176"/>
      <c r="W365" s="176"/>
      <c r="X365" s="178"/>
      <c r="Y365" s="176"/>
      <c r="Z365" s="177"/>
      <c r="AA365" s="176"/>
      <c r="AB365" s="92"/>
      <c r="AC365" s="93"/>
      <c r="AD365" s="93"/>
      <c r="AE365" s="93"/>
      <c r="AF365" s="93" t="str">
        <f aca="false">IF(ISBLANK($C365),"",IF(E365=Constants!$B$2,TRUE(),IF(E365=Constants!$B$3,FALSE(),TRUE())))</f>
        <v/>
      </c>
      <c r="AG365" s="93" t="str">
        <f aca="false">IF(ISBLANK($C365),"",IF(F365=Constants!$B$2,TRUE(),IF(F365=Constants!$B$3,FALSE(),TRUE())))</f>
        <v/>
      </c>
      <c r="AH365" s="93" t="str">
        <f aca="false">IF(ISBLANK($C365),"",IF(G365=Constants!$B$2,TRUE(),IF(G365=Constants!$B$3,FALSE(),TRUE())))</f>
        <v/>
      </c>
      <c r="AI365" s="93" t="str">
        <f aca="false">IF(ISBLANK($C365),"",IF(AND(ISNUMBER(H365),H365&gt;=0),H365,Constants!$B$24))</f>
        <v/>
      </c>
      <c r="AJ365" s="93" t="str">
        <f aca="false">IF(ISBLANK($C365),"",IF(I365=Constants!$B$2,TRUE(),IF(I365=Constants!$B$3,FALSE(),TRUE())))</f>
        <v/>
      </c>
      <c r="AK365" s="93" t="str">
        <f aca="false">IF(ISBLANK($C365),"",IF(J365=Constants!$B$2,TRUE(),IF(J365=Constants!$B$3,FALSE(),TRUE())))</f>
        <v/>
      </c>
      <c r="AL365" s="93" t="str">
        <f aca="false">IF(ISBLANK($C365),"",IF(K365=Constants!$B$4,TRUE(),IF(K365=Constants!$B$5,FALSE(),COUNTA(L365:P365)&gt;0)))</f>
        <v/>
      </c>
      <c r="AM365" s="95" t="str">
        <f aca="false">IF(ISBLANK($C365),"",IF(ISNUMBER(L365),IF(L365&gt;=0,L365,""),""))</f>
        <v/>
      </c>
      <c r="AN365" s="94" t="str">
        <f aca="false">IF(ISBLANK($C365),"",IF(ISNUMBER(M365),IF(M365&gt;=0,M365,""),""))</f>
        <v/>
      </c>
      <c r="AO365" s="94" t="str">
        <f aca="false">IF(ISBLANK($C365),"",IF(N365=Constants!$B$2,TRUE(),IF(N365=Constants!$B$3,FALSE(),TRUE())))</f>
        <v/>
      </c>
      <c r="AP365" s="93" t="str">
        <f aca="false">IF(ISBLANK($C365),"",IF(ISNUMBER(O365),IF(O365&gt;=0,O365,""),""))</f>
        <v/>
      </c>
      <c r="AQ365" s="93" t="str">
        <f aca="false">IF(ISBLANK($C365),"",IF(P365=Constants!$B$2,TRUE(),IF(P365=Constants!$B$3,FALSE(),FALSE())))</f>
        <v/>
      </c>
      <c r="AR365" s="93" t="str">
        <f aca="false">IF(ISBLANK($C365),"",IF(Q365=Constants!$B$2,TRUE(),IF(Q365=Constants!$B$3,FALSE(),TRUE())))</f>
        <v/>
      </c>
      <c r="AS365" s="93" t="str">
        <f aca="false">IF(ISBLANK($C365),"",IF(R365=Constants!$B$2,TRUE(),IF(R365=Constants!$B$3,FALSE(),TRUE())))</f>
        <v/>
      </c>
      <c r="AT365" s="93" t="str">
        <f aca="false">IF(ISBLANK($C365),"",IF(S365=Constants!$B$4,TRUE(),IF(S365=Constants!$B$5,FALSE(),COUNTA(T365:X365)&gt;0)))</f>
        <v/>
      </c>
      <c r="AU365" s="95" t="str">
        <f aca="false">IF(ISBLANK($C365),"",IF(ISNUMBER(T365),IF(T365&gt;=0,T365,""),""))</f>
        <v/>
      </c>
      <c r="AV365" s="94" t="str">
        <f aca="false">IF(ISBLANK($C365),"",IF(ISNUMBER(U365),IF(U365&gt;=0,U365,""),""))</f>
        <v/>
      </c>
      <c r="AW365" s="94" t="str">
        <f aca="false">IF(ISBLANK($C365),"",IF(V365=Constants!$B$2,TRUE(),IF(V365=Constants!$B$3,FALSE(),TRUE())))</f>
        <v/>
      </c>
      <c r="AX365" s="93" t="str">
        <f aca="false">IF(ISBLANK($C365),"",IF(ISNUMBER(W365),IF(W365&gt;=0,W365,""),""))</f>
        <v/>
      </c>
      <c r="AY365" s="93" t="str">
        <f aca="false">IF(ISBLANK($C365),"",IF(X365=Constants!$B$2,TRUE(),IF(X365=Constants!$B$3,FALSE(),FALSE())))</f>
        <v/>
      </c>
      <c r="AZ365" s="93" t="str">
        <f aca="false">IF(ISBLANK($C365),"",MIN(Constants!$B$25,MAX(0,IF(ISNUMBER(Y365),Y365*60,0)+IF(ISNUMBER(Z365),Z365,0))))</f>
        <v/>
      </c>
      <c r="BA365" s="93" t="str">
        <f aca="false">IF(ISBLANK($C365),"",IF(AA365=Constants!$B$2,TRUE(),IF(AA365=Constants!$B$3,FALSE(),FALSE())))</f>
        <v/>
      </c>
      <c r="BB365" s="92" t="str">
        <f aca="false">IF(ISBLANK($C365),"",AND($AL365,OR($AM365="",$AN365="",AND($AO365,$AP365=""))))</f>
        <v/>
      </c>
      <c r="BC365" s="94" t="str">
        <f aca="false">IF($BX365&lt;&gt;Constants!$B$6,"",IF($AL365,Constants!$B$17*$AN365+Constants!$B$18*IF($AO365,$AP365,Constants!$B$19),Constants!$B$20))</f>
        <v/>
      </c>
      <c r="BD365" s="97" t="str">
        <f aca="false">IF($BX365&lt;&gt;Constants!$B$6,"",Constants!$B$21*ABS($AD$9-IF($AL365,$AM365,0)))</f>
        <v/>
      </c>
      <c r="BE365" s="97" t="str">
        <f aca="false">IF($BX365&lt;&gt;Constants!$B$6,"",IF(AND($AL365,$AQ365,$AO365),Constants!$B$22,0))</f>
        <v/>
      </c>
      <c r="BF365" s="97" t="str">
        <f aca="false">IF($BX365&lt;&gt;Constants!$B$6,"",IF($AL365,($AI365-Constants!$B$24)*Constants!$B$23,0))</f>
        <v/>
      </c>
      <c r="BG365" s="97" t="str">
        <f aca="false">IF($BX365&lt;&gt;Constants!$B$6,"",IF($AK365,0,Constants!$B$12)+IF($AJ365,0,Constants!$B$13)+IF($AH365,0,Constants!$B$14))</f>
        <v/>
      </c>
      <c r="BH365" s="98" t="str">
        <f aca="false">IF($BX365&lt;&gt;Constants!$B$6,"",Constants!$B$16+SUM($BC365:$BG365))</f>
        <v/>
      </c>
      <c r="BI365" s="97" t="str">
        <f aca="false">IF($BX365&lt;&gt;Constants!$B$6,"",$BC365)</f>
        <v/>
      </c>
      <c r="BJ365" s="97" t="str">
        <f aca="false">IF($BX365&lt;&gt;Constants!$B$6,"",$BD365)</f>
        <v/>
      </c>
      <c r="BK365" s="99" t="str">
        <f aca="false">IF($BX365&lt;&gt;Constants!$B$6,"",IF($AL365,$AN365,""))</f>
        <v/>
      </c>
      <c r="BL365" s="93" t="str">
        <f aca="false">IF($BX365&lt;&gt;Constants!$B$6,"",IF(OR($BS365&lt;$BH365,AND($BS365=$BH365,OR($BT365&lt;$BI365,AND($BT365=$BI365,OR($BU365&lt;$BJ365,AND($BU365=$BJ365,AND(ISNUMBER($BV365),OR(NOT(ISNUMBER($BK365)),$BV365&lt;$BK365)))))))),"-&gt;","&lt;-"))</f>
        <v/>
      </c>
      <c r="BM365" s="92" t="str">
        <f aca="false">IF(ISBLANK($C365),"",AND($AT365,OR($AU365="",$AV365="",AND($AW365,$AX365=""))))</f>
        <v/>
      </c>
      <c r="BN365" s="94" t="str">
        <f aca="false">IF($BX365&lt;&gt;Constants!$B$6,"",IF($AT365,Constants!$B$17*$AV365+Constants!$B$18*IF($AW365,$AX365,Constants!$B$19),Constants!$B$20))</f>
        <v/>
      </c>
      <c r="BO365" s="97" t="str">
        <f aca="false">IF($BX365&lt;&gt;Constants!$B$6,"",Constants!$B$21*ABS($AD$9-IF($AT365,$AU365,0)))</f>
        <v/>
      </c>
      <c r="BP365" s="97" t="str">
        <f aca="false">IF($BX365&lt;&gt;Constants!$B$6,"",IF(AND($AT365,$AY365,$AW365),Constants!$B$22,0))</f>
        <v/>
      </c>
      <c r="BQ365" s="97" t="str">
        <f aca="false">IF($BX365&lt;&gt;Constants!$B$6,"",IF($AT365,($AI365-Constants!$B$24)*Constants!$B$23,0))</f>
        <v/>
      </c>
      <c r="BR365" s="97" t="str">
        <f aca="false">IF($BX365&lt;&gt;Constants!$B$6,"",IF($AS365,0,Constants!$B$12)+IF($AR365,0,Constants!$B$13)+IF($AH365,0,Constants!$B$14))</f>
        <v/>
      </c>
      <c r="BS365" s="98" t="str">
        <f aca="false">IF($BX365&lt;&gt;Constants!$B$6,"",Constants!$B$16+SUM($BN365:$BR365))</f>
        <v/>
      </c>
      <c r="BT365" s="97" t="str">
        <f aca="false">IF($BX365&lt;&gt;Constants!$B$6,"",$BN365)</f>
        <v/>
      </c>
      <c r="BU365" s="97" t="str">
        <f aca="false">IF($BX365&lt;&gt;Constants!$B$6,"",$BO365)</f>
        <v/>
      </c>
      <c r="BV365" s="99" t="str">
        <f aca="false">IF($BX365&lt;&gt;Constants!$B$6,"",IF($AT365,$AV365,""))</f>
        <v/>
      </c>
      <c r="BW365" s="93" t="str">
        <f aca="false">IF(ISBLANK($C365),"",IF(ISBLANK($D$7),$BW$5,IF(NOT(ISNUMBER($D$7)),$BW$6,"")))</f>
        <v/>
      </c>
      <c r="BX365" s="93" t="str">
        <f aca="false">IF(ISBLANK($C365),"",IF($BA365,Constants!$B$9,IF(COUNTA($E365:$AA365)=0,Constants!$B$8,IF(NOT($AG365),Constants!$B$7,IF(OR($BW365&lt;&gt;"",$BB365,$BM365),Constants!$B$10,Constants!$B$6)))))</f>
        <v/>
      </c>
      <c r="BY365" s="93" t="str">
        <f aca="false">IF(ISBLANK($C365),"",IF($BX365&lt;&gt;Constants!$B$6,$BX365,Constants!$B$11))</f>
        <v/>
      </c>
      <c r="BZ365" s="97" t="str">
        <f aca="false">IF($BX365&lt;&gt;Constants!$B$6,"",IF($BL365="-&gt;",$BS365,$BH365))</f>
        <v/>
      </c>
      <c r="CA365" s="97" t="str">
        <f aca="false">IF($BX365&lt;&gt;Constants!$B$6,"",IF($AF365,0,Constants!$B$15))</f>
        <v/>
      </c>
      <c r="CB365" s="97" t="str">
        <f aca="false">IF($BX365&lt;&gt;Constants!$B$6,"",((Constants!$B$25-$AZ365)-Constants!$B$25)/Constants!$B$26)</f>
        <v/>
      </c>
      <c r="CC365" s="97" t="str">
        <f aca="false">IF(ISBLANK($C365),"",IF($BX365&lt;&gt;Constants!$B$6,$BX365,SUM($BZ365:$CB365)))</f>
        <v/>
      </c>
      <c r="CD365" s="93" t="str">
        <f aca="false">IF(ISBLANK($C365),"",IF($BX365&lt;&gt;Constants!$B$6,$BX365,RANK($CC365,$CC$9:$CC$508,1)))</f>
        <v/>
      </c>
      <c r="CE365" s="97" t="str">
        <f aca="false">IF($BX365&lt;&gt;Constants!$B$6,"",IF($BL365="-&gt;",$BT365,$BI365))</f>
        <v/>
      </c>
      <c r="CF365" s="93" t="str">
        <f aca="false">IF(ISBLANK($C365),"",IF($BX365&lt;&gt;Constants!$B$6,$BX365,IF(ISNUMBER($CE365),RANK($CE365,$CE$9:$CE$508,1),COUNT($CE$9:$CE$508)+1)))</f>
        <v/>
      </c>
      <c r="CG365" s="97" t="str">
        <f aca="false">IF($BX365&lt;&gt;Constants!$B$6,"",IF($BL365="-&gt;",$BU365,$BJ365))</f>
        <v/>
      </c>
      <c r="CH365" s="93" t="str">
        <f aca="false">IF(ISBLANK($C365),"",IF($BX365&lt;&gt;Constants!$B$6,$BX365,IF(ISNUMBER($CG365),RANK($CG365,$CG$9:$CG$508,1),COUNT($CG$9:$CG$508)+1)))</f>
        <v/>
      </c>
      <c r="CI365" s="97" t="str">
        <f aca="false">IF($BX365&lt;&gt;Constants!$B$6,"",IF($BL365="-&gt;",$BV365,$BK365))</f>
        <v/>
      </c>
      <c r="CJ365" s="93" t="str">
        <f aca="false">IF(ISBLANK($C365),"",IF($BX365&lt;&gt;Constants!$B$6,$BX365,IF(ISNUMBER($CI365),RANK($CI365,$CI$9:$CI$508,1),COUNT($CI$9:$CI$508)+1)))</f>
        <v/>
      </c>
      <c r="CK365" s="97" t="str">
        <f aca="false">IF($BX365&lt;&gt;Constants!$B$6,"",$AI365)</f>
        <v/>
      </c>
      <c r="CL365" s="93" t="str">
        <f aca="false">IF(ISBLANK($C365),"",IF($BX365&lt;&gt;Constants!$B$6,$BX365,IF(ISNUMBER($CK365),RANK($CK365,$CK$9:$CK$508,1),COUNT($CK$9:$CK$508)+1)))</f>
        <v/>
      </c>
      <c r="CM365" s="93" t="str">
        <f aca="false">IF(ISBLANK($C365),"",IF($BX365&lt;&gt;Constants!$B$6,$BX365,COUNTIFS($CD$9:$CD$508,"&lt;"&amp;$CD365)+COUNTIFS($CD$9:$CD$508,$CD365,$CF$9:$CF$508,"&lt;"&amp;$CF365)+COUNTIFS($CD$9:$CD$508,$CD365,$CF$9:$CF$508,$CF365,$CH$9:$CH$508,"&lt;"&amp;$CH365)+COUNTIFS($CD$9:$CD$508,$CD365,$CF$9:$CF$508,$CF365,$CH$9:$CH$508,$CH365,$CJ$9:$CJ$508,"&lt;"&amp;$CJ365)+COUNTIFS($CD$9:$CD$508,$CD365,$CF$9:$CF$508,$CF365,$CH$9:$CH$508,$CH365,$CJ$9:$CJ$508,$CJ365,$CL$9:$CL$508,"&lt;"&amp;$CL365)+1))</f>
        <v/>
      </c>
      <c r="CN365" s="93" t="str">
        <f aca="false">IF(ISBLANK($C365),"",IF($BX365&lt;&gt;Constants!$B$6,$BX365,$CD365-$CM365))</f>
        <v/>
      </c>
      <c r="CO365" s="100"/>
      <c r="CP365" s="101"/>
      <c r="CQ365" s="102" t="str">
        <f aca="false">IF(ISBLANK($C365),"",IF($BX365=Constants!$B$10,$BW365,""))</f>
        <v/>
      </c>
      <c r="CR365" s="101" t="str">
        <f aca="false">IF(ISBLANK($C365),"",IF($BX365&lt;&gt;Constants!$B$6,"",IF($BL365="-&gt;",2,1)))</f>
        <v/>
      </c>
      <c r="CS365" s="103" t="str">
        <f aca="false">IF(ISBLANK($C365),"",IF($BX365&lt;&gt;Constants!$B$6,"",IF($BL365="-&gt;",$BN365,$BC365)))</f>
        <v/>
      </c>
      <c r="CT365" s="103" t="str">
        <f aca="false">IF(ISBLANK($C365),"",IF($BX365&lt;&gt;Constants!$B$6,"",IF($BL365="-&gt;",$BO365,$BD365)))</f>
        <v/>
      </c>
      <c r="CU365" s="103" t="str">
        <f aca="false">IF(ISBLANK($C365),"",IF($BX365&lt;&gt;Constants!$B$6,"",IF($BL365="-&gt;",$BP365+$BQ365,$BE365+$BF365)+$CB365))</f>
        <v/>
      </c>
      <c r="CV365" s="103" t="str">
        <f aca="false">IF(ISBLANK($C365),"",IF($BX365&lt;&gt;Constants!$B$6,"",IF($BL365="-&gt;",$BR365,$BG365)+$CA365))</f>
        <v/>
      </c>
      <c r="CW365" s="104" t="str">
        <f aca="false">IF(ISBLANK($C365),"",IF($BX365&lt;&gt;Constants!$B$6,$BX365,$CC365))</f>
        <v/>
      </c>
      <c r="CX365" s="105" t="str">
        <f aca="false">IF(ISBLANK($C365),"",$BY365)</f>
        <v/>
      </c>
      <c r="CY365" s="106" t="str">
        <f aca="false">IF(ISBLANK($C365),"",$CN365)</f>
        <v/>
      </c>
      <c r="CZ365" s="106" t="str">
        <f aca="false">IF(ISBLANK($C365),"",$CM365)</f>
        <v/>
      </c>
      <c r="DA365" s="107" t="str">
        <f aca="false">IF(ISBLANK($C365),"",IFERROR(_xlfn.SWITCH($CZ365,Constants!$B$9,COUNTA($C$9:$C$508)+2,Constants!$B$8,COUNTA($C$9:$C$508)+1,Constants!$B$7,COUNTA($C$9:$C$508)),$CZ365))</f>
        <v/>
      </c>
      <c r="DB365" s="9"/>
      <c r="DC365" s="108" t="n">
        <f aca="false">IF(OR(ISNUMBER($CZ365),$CZ365=Constants!$B$9,$CZ365=Constants!$B$7,$CZ365=Constants!$B$8),1,0)</f>
        <v>0</v>
      </c>
      <c r="DD365" s="108" t="n">
        <v>357</v>
      </c>
      <c r="DE365" s="108" t="str">
        <f aca="false">IF(ISBLANK($C365),"",IF(ISNUMBER($DA365),$DA365+ROW($B365)/1000,""))</f>
        <v/>
      </c>
      <c r="DF365" s="108" t="str">
        <f aca="false">IF(ISNUMBER($DE365),RANK($DE365,$DE$9:$DE$508,1),"")</f>
        <v/>
      </c>
      <c r="DG365" s="108" t="str">
        <f aca="false">IF(ISBLANK($C365),"",$B365)</f>
        <v/>
      </c>
      <c r="DH365" s="108" t="str">
        <f aca="false">IF(ISBLANK($C365),"",$C365)</f>
        <v/>
      </c>
      <c r="DI365" s="108" t="str">
        <f aca="false">IF(ISBLANK($C365),"",$D365)</f>
        <v/>
      </c>
      <c r="DJ365" s="109" t="str">
        <f aca="false">$CX365</f>
        <v/>
      </c>
      <c r="DK365" s="110" t="str">
        <f aca="false">$CW365</f>
        <v/>
      </c>
      <c r="DL365" s="108" t="str">
        <f aca="false">IF(ISBLANK($C365),"",$CZ365)</f>
        <v/>
      </c>
      <c r="DM365" s="111" t="str">
        <f aca="false">IF($DD365&gt;$DC$8,"",VLOOKUP($DD365,$DF$9:$DL$508,7,FALSE()))</f>
        <v/>
      </c>
      <c r="DN365" s="112" t="str">
        <f aca="false">IF($DD365&gt;$DC$8,"",VLOOKUP($DD365,$DF$9:$DL$508,2,FALSE()))</f>
        <v/>
      </c>
      <c r="DO365" s="112" t="str">
        <f aca="false">IF($DD365&gt;$DC$8,"",VLOOKUP($DD365,$DF$9:$DL$508,3,FALSE()))</f>
        <v/>
      </c>
      <c r="DP365" s="112" t="str">
        <f aca="false">IF($DD365&gt;$DC$8,"",VLOOKUP($DD365,$DF$9:$DL$508,4,FALSE()))</f>
        <v/>
      </c>
      <c r="DQ365" s="112" t="str">
        <f aca="false">IF($DD365&gt;$DC$8,"",VLOOKUP($DD365,$DF$9:$DL$508,5,FALSE()))</f>
        <v/>
      </c>
      <c r="DR365" s="113" t="str">
        <f aca="false">IF($DD365&gt;$DC$8,"",VLOOKUP($DD365,$DF$9:$DL$508,6,FALSE()))</f>
        <v/>
      </c>
      <c r="DS365" s="76"/>
    </row>
    <row r="366" customFormat="false" ht="15.75" hidden="false" customHeight="false" outlineLevel="0" collapsed="false">
      <c r="A366" s="9"/>
      <c r="B366" s="160"/>
      <c r="C366" s="161"/>
      <c r="D366" s="162"/>
      <c r="E366" s="180"/>
      <c r="F366" s="164"/>
      <c r="G366" s="165"/>
      <c r="H366" s="165"/>
      <c r="I366" s="181"/>
      <c r="J366" s="168"/>
      <c r="K366" s="128"/>
      <c r="L366" s="129"/>
      <c r="M366" s="130"/>
      <c r="N366" s="168"/>
      <c r="O366" s="168"/>
      <c r="P366" s="180"/>
      <c r="Q366" s="168"/>
      <c r="R366" s="168"/>
      <c r="S366" s="128"/>
      <c r="T366" s="130"/>
      <c r="U366" s="130"/>
      <c r="V366" s="168"/>
      <c r="W366" s="168"/>
      <c r="X366" s="180"/>
      <c r="Y366" s="168"/>
      <c r="Z366" s="169"/>
      <c r="AA366" s="168"/>
      <c r="AB366" s="134"/>
      <c r="AC366" s="135"/>
      <c r="AD366" s="135"/>
      <c r="AE366" s="135"/>
      <c r="AF366" s="135" t="str">
        <f aca="false">IF(ISBLANK($C366),"",IF(E366=Constants!$B$2,TRUE(),IF(E366=Constants!$B$3,FALSE(),TRUE())))</f>
        <v/>
      </c>
      <c r="AG366" s="135" t="str">
        <f aca="false">IF(ISBLANK($C366),"",IF(F366=Constants!$B$2,TRUE(),IF(F366=Constants!$B$3,FALSE(),TRUE())))</f>
        <v/>
      </c>
      <c r="AH366" s="135" t="str">
        <f aca="false">IF(ISBLANK($C366),"",IF(G366=Constants!$B$2,TRUE(),IF(G366=Constants!$B$3,FALSE(),TRUE())))</f>
        <v/>
      </c>
      <c r="AI366" s="135" t="str">
        <f aca="false">IF(ISBLANK($C366),"",IF(AND(ISNUMBER(H366),H366&gt;=0),H366,Constants!$B$24))</f>
        <v/>
      </c>
      <c r="AJ366" s="135" t="str">
        <f aca="false">IF(ISBLANK($C366),"",IF(I366=Constants!$B$2,TRUE(),IF(I366=Constants!$B$3,FALSE(),TRUE())))</f>
        <v/>
      </c>
      <c r="AK366" s="135" t="str">
        <f aca="false">IF(ISBLANK($C366),"",IF(J366=Constants!$B$2,TRUE(),IF(J366=Constants!$B$3,FALSE(),TRUE())))</f>
        <v/>
      </c>
      <c r="AL366" s="135" t="str">
        <f aca="false">IF(ISBLANK($C366),"",IF(K366=Constants!$B$4,TRUE(),IF(K366=Constants!$B$5,FALSE(),COUNTA(L366:P366)&gt;0)))</f>
        <v/>
      </c>
      <c r="AM366" s="136" t="str">
        <f aca="false">IF(ISBLANK($C366),"",IF(ISNUMBER(L366),IF(L366&gt;=0,L366,""),""))</f>
        <v/>
      </c>
      <c r="AN366" s="137" t="str">
        <f aca="false">IF(ISBLANK($C366),"",IF(ISNUMBER(M366),IF(M366&gt;=0,M366,""),""))</f>
        <v/>
      </c>
      <c r="AO366" s="137" t="str">
        <f aca="false">IF(ISBLANK($C366),"",IF(N366=Constants!$B$2,TRUE(),IF(N366=Constants!$B$3,FALSE(),TRUE())))</f>
        <v/>
      </c>
      <c r="AP366" s="135" t="str">
        <f aca="false">IF(ISBLANK($C366),"",IF(ISNUMBER(O366),IF(O366&gt;=0,O366,""),""))</f>
        <v/>
      </c>
      <c r="AQ366" s="135" t="str">
        <f aca="false">IF(ISBLANK($C366),"",IF(P366=Constants!$B$2,TRUE(),IF(P366=Constants!$B$3,FALSE(),FALSE())))</f>
        <v/>
      </c>
      <c r="AR366" s="135" t="str">
        <f aca="false">IF(ISBLANK($C366),"",IF(Q366=Constants!$B$2,TRUE(),IF(Q366=Constants!$B$3,FALSE(),TRUE())))</f>
        <v/>
      </c>
      <c r="AS366" s="135" t="str">
        <f aca="false">IF(ISBLANK($C366),"",IF(R366=Constants!$B$2,TRUE(),IF(R366=Constants!$B$3,FALSE(),TRUE())))</f>
        <v/>
      </c>
      <c r="AT366" s="135" t="str">
        <f aca="false">IF(ISBLANK($C366),"",IF(S366=Constants!$B$4,TRUE(),IF(S366=Constants!$B$5,FALSE(),COUNTA(T366:X366)&gt;0)))</f>
        <v/>
      </c>
      <c r="AU366" s="136" t="str">
        <f aca="false">IF(ISBLANK($C366),"",IF(ISNUMBER(T366),IF(T366&gt;=0,T366,""),""))</f>
        <v/>
      </c>
      <c r="AV366" s="137" t="str">
        <f aca="false">IF(ISBLANK($C366),"",IF(ISNUMBER(U366),IF(U366&gt;=0,U366,""),""))</f>
        <v/>
      </c>
      <c r="AW366" s="137" t="str">
        <f aca="false">IF(ISBLANK($C366),"",IF(V366=Constants!$B$2,TRUE(),IF(V366=Constants!$B$3,FALSE(),TRUE())))</f>
        <v/>
      </c>
      <c r="AX366" s="135" t="str">
        <f aca="false">IF(ISBLANK($C366),"",IF(ISNUMBER(W366),IF(W366&gt;=0,W366,""),""))</f>
        <v/>
      </c>
      <c r="AY366" s="135" t="str">
        <f aca="false">IF(ISBLANK($C366),"",IF(X366=Constants!$B$2,TRUE(),IF(X366=Constants!$B$3,FALSE(),FALSE())))</f>
        <v/>
      </c>
      <c r="AZ366" s="135" t="str">
        <f aca="false">IF(ISBLANK($C366),"",MIN(Constants!$B$25,MAX(0,IF(ISNUMBER(Y366),Y366*60,0)+IF(ISNUMBER(Z366),Z366,0))))</f>
        <v/>
      </c>
      <c r="BA366" s="135" t="str">
        <f aca="false">IF(ISBLANK($C366),"",IF(AA366=Constants!$B$2,TRUE(),IF(AA366=Constants!$B$3,FALSE(),FALSE())))</f>
        <v/>
      </c>
      <c r="BB366" s="134" t="str">
        <f aca="false">IF(ISBLANK($C366),"",AND($AL366,OR($AM366="",$AN366="",AND($AO366,$AP366=""))))</f>
        <v/>
      </c>
      <c r="BC366" s="137" t="str">
        <f aca="false">IF($BX366&lt;&gt;Constants!$B$6,"",IF($AL366,Constants!$B$17*$AN366+Constants!$B$18*IF($AO366,$AP366,Constants!$B$19),Constants!$B$20))</f>
        <v/>
      </c>
      <c r="BD366" s="138" t="str">
        <f aca="false">IF($BX366&lt;&gt;Constants!$B$6,"",Constants!$B$21*ABS($AD$9-IF($AL366,$AM366,0)))</f>
        <v/>
      </c>
      <c r="BE366" s="138" t="str">
        <f aca="false">IF($BX366&lt;&gt;Constants!$B$6,"",IF(AND($AL366,$AQ366,$AO366),Constants!$B$22,0))</f>
        <v/>
      </c>
      <c r="BF366" s="138" t="str">
        <f aca="false">IF($BX366&lt;&gt;Constants!$B$6,"",IF($AL366,($AI366-Constants!$B$24)*Constants!$B$23,0))</f>
        <v/>
      </c>
      <c r="BG366" s="138" t="str">
        <f aca="false">IF($BX366&lt;&gt;Constants!$B$6,"",IF($AK366,0,Constants!$B$12)+IF($AJ366,0,Constants!$B$13)+IF($AH366,0,Constants!$B$14))</f>
        <v/>
      </c>
      <c r="BH366" s="139" t="str">
        <f aca="false">IF($BX366&lt;&gt;Constants!$B$6,"",Constants!$B$16+SUM($BC366:$BG366))</f>
        <v/>
      </c>
      <c r="BI366" s="138" t="str">
        <f aca="false">IF($BX366&lt;&gt;Constants!$B$6,"",$BC366)</f>
        <v/>
      </c>
      <c r="BJ366" s="138" t="str">
        <f aca="false">IF($BX366&lt;&gt;Constants!$B$6,"",$BD366)</f>
        <v/>
      </c>
      <c r="BK366" s="140" t="str">
        <f aca="false">IF($BX366&lt;&gt;Constants!$B$6,"",IF($AL366,$AN366,""))</f>
        <v/>
      </c>
      <c r="BL366" s="135" t="str">
        <f aca="false">IF($BX366&lt;&gt;Constants!$B$6,"",IF(OR($BS366&lt;$BH366,AND($BS366=$BH366,OR($BT366&lt;$BI366,AND($BT366=$BI366,OR($BU366&lt;$BJ366,AND($BU366=$BJ366,AND(ISNUMBER($BV366),OR(NOT(ISNUMBER($BK366)),$BV366&lt;$BK366)))))))),"-&gt;","&lt;-"))</f>
        <v/>
      </c>
      <c r="BM366" s="134" t="str">
        <f aca="false">IF(ISBLANK($C366),"",AND($AT366,OR($AU366="",$AV366="",AND($AW366,$AX366=""))))</f>
        <v/>
      </c>
      <c r="BN366" s="137" t="str">
        <f aca="false">IF($BX366&lt;&gt;Constants!$B$6,"",IF($AT366,Constants!$B$17*$AV366+Constants!$B$18*IF($AW366,$AX366,Constants!$B$19),Constants!$B$20))</f>
        <v/>
      </c>
      <c r="BO366" s="138" t="str">
        <f aca="false">IF($BX366&lt;&gt;Constants!$B$6,"",Constants!$B$21*ABS($AD$9-IF($AT366,$AU366,0)))</f>
        <v/>
      </c>
      <c r="BP366" s="138" t="str">
        <f aca="false">IF($BX366&lt;&gt;Constants!$B$6,"",IF(AND($AT366,$AY366,$AW366),Constants!$B$22,0))</f>
        <v/>
      </c>
      <c r="BQ366" s="138" t="str">
        <f aca="false">IF($BX366&lt;&gt;Constants!$B$6,"",IF($AT366,($AI366-Constants!$B$24)*Constants!$B$23,0))</f>
        <v/>
      </c>
      <c r="BR366" s="138" t="str">
        <f aca="false">IF($BX366&lt;&gt;Constants!$B$6,"",IF($AS366,0,Constants!$B$12)+IF($AR366,0,Constants!$B$13)+IF($AH366,0,Constants!$B$14))</f>
        <v/>
      </c>
      <c r="BS366" s="139" t="str">
        <f aca="false">IF($BX366&lt;&gt;Constants!$B$6,"",Constants!$B$16+SUM($BN366:$BR366))</f>
        <v/>
      </c>
      <c r="BT366" s="138" t="str">
        <f aca="false">IF($BX366&lt;&gt;Constants!$B$6,"",$BN366)</f>
        <v/>
      </c>
      <c r="BU366" s="138" t="str">
        <f aca="false">IF($BX366&lt;&gt;Constants!$B$6,"",$BO366)</f>
        <v/>
      </c>
      <c r="BV366" s="140" t="str">
        <f aca="false">IF($BX366&lt;&gt;Constants!$B$6,"",IF($AT366,$AV366,""))</f>
        <v/>
      </c>
      <c r="BW366" s="135" t="str">
        <f aca="false">IF(ISBLANK($C366),"",IF(ISBLANK($D$7),$BW$5,IF(NOT(ISNUMBER($D$7)),$BW$6,"")))</f>
        <v/>
      </c>
      <c r="BX366" s="135" t="str">
        <f aca="false">IF(ISBLANK($C366),"",IF($BA366,Constants!$B$9,IF(COUNTA($E366:$AA366)=0,Constants!$B$8,IF(NOT($AG366),Constants!$B$7,IF(OR($BW366&lt;&gt;"",$BB366,$BM366),Constants!$B$10,Constants!$B$6)))))</f>
        <v/>
      </c>
      <c r="BY366" s="135" t="str">
        <f aca="false">IF(ISBLANK($C366),"",IF($BX366&lt;&gt;Constants!$B$6,$BX366,Constants!$B$11))</f>
        <v/>
      </c>
      <c r="BZ366" s="138" t="str">
        <f aca="false">IF($BX366&lt;&gt;Constants!$B$6,"",IF($BL366="-&gt;",$BS366,$BH366))</f>
        <v/>
      </c>
      <c r="CA366" s="138" t="str">
        <f aca="false">IF($BX366&lt;&gt;Constants!$B$6,"",IF($AF366,0,Constants!$B$15))</f>
        <v/>
      </c>
      <c r="CB366" s="138" t="str">
        <f aca="false">IF($BX366&lt;&gt;Constants!$B$6,"",((Constants!$B$25-$AZ366)-Constants!$B$25)/Constants!$B$26)</f>
        <v/>
      </c>
      <c r="CC366" s="138" t="str">
        <f aca="false">IF(ISBLANK($C366),"",IF($BX366&lt;&gt;Constants!$B$6,$BX366,SUM($BZ366:$CB366)))</f>
        <v/>
      </c>
      <c r="CD366" s="135" t="str">
        <f aca="false">IF(ISBLANK($C366),"",IF($BX366&lt;&gt;Constants!$B$6,$BX366,RANK($CC366,$CC$9:$CC$508,1)))</f>
        <v/>
      </c>
      <c r="CE366" s="138" t="str">
        <f aca="false">IF($BX366&lt;&gt;Constants!$B$6,"",IF($BL366="-&gt;",$BT366,$BI366))</f>
        <v/>
      </c>
      <c r="CF366" s="135" t="str">
        <f aca="false">IF(ISBLANK($C366),"",IF($BX366&lt;&gt;Constants!$B$6,$BX366,IF(ISNUMBER($CE366),RANK($CE366,$CE$9:$CE$508,1),COUNT($CE$9:$CE$508)+1)))</f>
        <v/>
      </c>
      <c r="CG366" s="138" t="str">
        <f aca="false">IF($BX366&lt;&gt;Constants!$B$6,"",IF($BL366="-&gt;",$BU366,$BJ366))</f>
        <v/>
      </c>
      <c r="CH366" s="135" t="str">
        <f aca="false">IF(ISBLANK($C366),"",IF($BX366&lt;&gt;Constants!$B$6,$BX366,IF(ISNUMBER($CG366),RANK($CG366,$CG$9:$CG$508,1),COUNT($CG$9:$CG$508)+1)))</f>
        <v/>
      </c>
      <c r="CI366" s="138" t="str">
        <f aca="false">IF($BX366&lt;&gt;Constants!$B$6,"",IF($BL366="-&gt;",$BV366,$BK366))</f>
        <v/>
      </c>
      <c r="CJ366" s="135" t="str">
        <f aca="false">IF(ISBLANK($C366),"",IF($BX366&lt;&gt;Constants!$B$6,$BX366,IF(ISNUMBER($CI366),RANK($CI366,$CI$9:$CI$508,1),COUNT($CI$9:$CI$508)+1)))</f>
        <v/>
      </c>
      <c r="CK366" s="138" t="str">
        <f aca="false">IF($BX366&lt;&gt;Constants!$B$6,"",$AI366)</f>
        <v/>
      </c>
      <c r="CL366" s="135" t="str">
        <f aca="false">IF(ISBLANK($C366),"",IF($BX366&lt;&gt;Constants!$B$6,$BX366,IF(ISNUMBER($CK366),RANK($CK366,$CK$9:$CK$508,1),COUNT($CK$9:$CK$508)+1)))</f>
        <v/>
      </c>
      <c r="CM366" s="135" t="str">
        <f aca="false">IF(ISBLANK($C366),"",IF($BX366&lt;&gt;Constants!$B$6,$BX366,COUNTIFS($CD$9:$CD$508,"&lt;"&amp;$CD366)+COUNTIFS($CD$9:$CD$508,$CD366,$CF$9:$CF$508,"&lt;"&amp;$CF366)+COUNTIFS($CD$9:$CD$508,$CD366,$CF$9:$CF$508,$CF366,$CH$9:$CH$508,"&lt;"&amp;$CH366)+COUNTIFS($CD$9:$CD$508,$CD366,$CF$9:$CF$508,$CF366,$CH$9:$CH$508,$CH366,$CJ$9:$CJ$508,"&lt;"&amp;$CJ366)+COUNTIFS($CD$9:$CD$508,$CD366,$CF$9:$CF$508,$CF366,$CH$9:$CH$508,$CH366,$CJ$9:$CJ$508,$CJ366,$CL$9:$CL$508,"&lt;"&amp;$CL366)+1))</f>
        <v/>
      </c>
      <c r="CN366" s="135" t="str">
        <f aca="false">IF(ISBLANK($C366),"",IF($BX366&lt;&gt;Constants!$B$6,$BX366,$CD366-$CM366))</f>
        <v/>
      </c>
      <c r="CO366" s="141"/>
      <c r="CP366" s="142"/>
      <c r="CQ366" s="143" t="str">
        <f aca="false">IF(ISBLANK($C366),"",IF($BX366=Constants!$B$10,$BW366,""))</f>
        <v/>
      </c>
      <c r="CR366" s="142" t="str">
        <f aca="false">IF(ISBLANK($C366),"",IF($BX366&lt;&gt;Constants!$B$6,"",IF($BL366="-&gt;",2,1)))</f>
        <v/>
      </c>
      <c r="CS366" s="144" t="str">
        <f aca="false">IF(ISBLANK($C366),"",IF($BX366&lt;&gt;Constants!$B$6,"",IF($BL366="-&gt;",$BN366,$BC366)))</f>
        <v/>
      </c>
      <c r="CT366" s="144" t="str">
        <f aca="false">IF(ISBLANK($C366),"",IF($BX366&lt;&gt;Constants!$B$6,"",IF($BL366="-&gt;",$BO366,$BD366)))</f>
        <v/>
      </c>
      <c r="CU366" s="144" t="str">
        <f aca="false">IF(ISBLANK($C366),"",IF($BX366&lt;&gt;Constants!$B$6,"",IF($BL366="-&gt;",$BP366+$BQ366,$BE366+$BF366)+$CB366))</f>
        <v/>
      </c>
      <c r="CV366" s="144" t="str">
        <f aca="false">IF(ISBLANK($C366),"",IF($BX366&lt;&gt;Constants!$B$6,"",IF($BL366="-&gt;",$BR366,$BG366)+$CA366))</f>
        <v/>
      </c>
      <c r="CW366" s="145" t="str">
        <f aca="false">IF(ISBLANK($C366),"",IF($BX366&lt;&gt;Constants!$B$6,$BX366,$CC366))</f>
        <v/>
      </c>
      <c r="CX366" s="146" t="str">
        <f aca="false">IF(ISBLANK($C366),"",$BY366)</f>
        <v/>
      </c>
      <c r="CY366" s="147" t="str">
        <f aca="false">IF(ISBLANK($C366),"",$CN366)</f>
        <v/>
      </c>
      <c r="CZ366" s="147" t="str">
        <f aca="false">IF(ISBLANK($C366),"",$CM366)</f>
        <v/>
      </c>
      <c r="DA366" s="148" t="str">
        <f aca="false">IF(ISBLANK($C366),"",IFERROR(_xlfn.SWITCH($CZ366,Constants!$B$9,COUNTA($C$9:$C$508)+2,Constants!$B$8,COUNTA($C$9:$C$508)+1,Constants!$B$7,COUNTA($C$9:$C$508)),$CZ366))</f>
        <v/>
      </c>
      <c r="DB366" s="9"/>
      <c r="DC366" s="149" t="n">
        <f aca="false">IF(OR(ISNUMBER($CZ366),$CZ366=Constants!$B$9,$CZ366=Constants!$B$7,$CZ366=Constants!$B$8),1,0)</f>
        <v>0</v>
      </c>
      <c r="DD366" s="149" t="n">
        <v>358</v>
      </c>
      <c r="DE366" s="149" t="str">
        <f aca="false">IF(ISBLANK($C366),"",IF(ISNUMBER($DA366),$DA366+ROW($B366)/1000,""))</f>
        <v/>
      </c>
      <c r="DF366" s="149" t="str">
        <f aca="false">IF(ISNUMBER($DE366),RANK($DE366,$DE$9:$DE$508,1),"")</f>
        <v/>
      </c>
      <c r="DG366" s="149" t="str">
        <f aca="false">IF(ISBLANK($C366),"",$B366)</f>
        <v/>
      </c>
      <c r="DH366" s="149" t="str">
        <f aca="false">IF(ISBLANK($C366),"",$C366)</f>
        <v/>
      </c>
      <c r="DI366" s="149" t="str">
        <f aca="false">IF(ISBLANK($C366),"",$D366)</f>
        <v/>
      </c>
      <c r="DJ366" s="150" t="str">
        <f aca="false">$CX366</f>
        <v/>
      </c>
      <c r="DK366" s="151" t="str">
        <f aca="false">$CW366</f>
        <v/>
      </c>
      <c r="DL366" s="149" t="str">
        <f aca="false">IF(ISBLANK($C366),"",$CZ366)</f>
        <v/>
      </c>
      <c r="DM366" s="152" t="str">
        <f aca="false">IF($DD366&gt;$DC$8,"",VLOOKUP($DD366,$DF$9:$DL$508,7,FALSE()))</f>
        <v/>
      </c>
      <c r="DN366" s="153" t="str">
        <f aca="false">IF($DD366&gt;$DC$8,"",VLOOKUP($DD366,$DF$9:$DL$508,2,FALSE()))</f>
        <v/>
      </c>
      <c r="DO366" s="153" t="str">
        <f aca="false">IF($DD366&gt;$DC$8,"",VLOOKUP($DD366,$DF$9:$DL$508,3,FALSE()))</f>
        <v/>
      </c>
      <c r="DP366" s="153" t="str">
        <f aca="false">IF($DD366&gt;$DC$8,"",VLOOKUP($DD366,$DF$9:$DL$508,4,FALSE()))</f>
        <v/>
      </c>
      <c r="DQ366" s="153" t="str">
        <f aca="false">IF($DD366&gt;$DC$8,"",VLOOKUP($DD366,$DF$9:$DL$508,5,FALSE()))</f>
        <v/>
      </c>
      <c r="DR366" s="154" t="str">
        <f aca="false">IF($DD366&gt;$DC$8,"",VLOOKUP($DD366,$DF$9:$DL$508,6,FALSE()))</f>
        <v/>
      </c>
      <c r="DS366" s="76"/>
    </row>
    <row r="367" customFormat="false" ht="15.75" hidden="false" customHeight="false" outlineLevel="0" collapsed="false">
      <c r="A367" s="9"/>
      <c r="B367" s="160"/>
      <c r="C367" s="161"/>
      <c r="D367" s="162"/>
      <c r="E367" s="180"/>
      <c r="F367" s="164"/>
      <c r="G367" s="165"/>
      <c r="H367" s="165"/>
      <c r="I367" s="181"/>
      <c r="J367" s="168"/>
      <c r="K367" s="128"/>
      <c r="L367" s="129"/>
      <c r="M367" s="130"/>
      <c r="N367" s="168"/>
      <c r="O367" s="168"/>
      <c r="P367" s="180"/>
      <c r="Q367" s="168"/>
      <c r="R367" s="168"/>
      <c r="S367" s="128"/>
      <c r="T367" s="130"/>
      <c r="U367" s="130"/>
      <c r="V367" s="168"/>
      <c r="W367" s="168"/>
      <c r="X367" s="180"/>
      <c r="Y367" s="168"/>
      <c r="Z367" s="169"/>
      <c r="AA367" s="168"/>
      <c r="AB367" s="134"/>
      <c r="AC367" s="135"/>
      <c r="AD367" s="135"/>
      <c r="AE367" s="135"/>
      <c r="AF367" s="135" t="str">
        <f aca="false">IF(ISBLANK($C367),"",IF(E367=Constants!$B$2,TRUE(),IF(E367=Constants!$B$3,FALSE(),TRUE())))</f>
        <v/>
      </c>
      <c r="AG367" s="135" t="str">
        <f aca="false">IF(ISBLANK($C367),"",IF(F367=Constants!$B$2,TRUE(),IF(F367=Constants!$B$3,FALSE(),TRUE())))</f>
        <v/>
      </c>
      <c r="AH367" s="135" t="str">
        <f aca="false">IF(ISBLANK($C367),"",IF(G367=Constants!$B$2,TRUE(),IF(G367=Constants!$B$3,FALSE(),TRUE())))</f>
        <v/>
      </c>
      <c r="AI367" s="135" t="str">
        <f aca="false">IF(ISBLANK($C367),"",IF(AND(ISNUMBER(H367),H367&gt;=0),H367,Constants!$B$24))</f>
        <v/>
      </c>
      <c r="AJ367" s="135" t="str">
        <f aca="false">IF(ISBLANK($C367),"",IF(I367=Constants!$B$2,TRUE(),IF(I367=Constants!$B$3,FALSE(),TRUE())))</f>
        <v/>
      </c>
      <c r="AK367" s="135" t="str">
        <f aca="false">IF(ISBLANK($C367),"",IF(J367=Constants!$B$2,TRUE(),IF(J367=Constants!$B$3,FALSE(),TRUE())))</f>
        <v/>
      </c>
      <c r="AL367" s="135" t="str">
        <f aca="false">IF(ISBLANK($C367),"",IF(K367=Constants!$B$4,TRUE(),IF(K367=Constants!$B$5,FALSE(),COUNTA(L367:P367)&gt;0)))</f>
        <v/>
      </c>
      <c r="AM367" s="136" t="str">
        <f aca="false">IF(ISBLANK($C367),"",IF(ISNUMBER(L367),IF(L367&gt;=0,L367,""),""))</f>
        <v/>
      </c>
      <c r="AN367" s="137" t="str">
        <f aca="false">IF(ISBLANK($C367),"",IF(ISNUMBER(M367),IF(M367&gt;=0,M367,""),""))</f>
        <v/>
      </c>
      <c r="AO367" s="137" t="str">
        <f aca="false">IF(ISBLANK($C367),"",IF(N367=Constants!$B$2,TRUE(),IF(N367=Constants!$B$3,FALSE(),TRUE())))</f>
        <v/>
      </c>
      <c r="AP367" s="135" t="str">
        <f aca="false">IF(ISBLANK($C367),"",IF(ISNUMBER(O367),IF(O367&gt;=0,O367,""),""))</f>
        <v/>
      </c>
      <c r="AQ367" s="135" t="str">
        <f aca="false">IF(ISBLANK($C367),"",IF(P367=Constants!$B$2,TRUE(),IF(P367=Constants!$B$3,FALSE(),FALSE())))</f>
        <v/>
      </c>
      <c r="AR367" s="135" t="str">
        <f aca="false">IF(ISBLANK($C367),"",IF(Q367=Constants!$B$2,TRUE(),IF(Q367=Constants!$B$3,FALSE(),TRUE())))</f>
        <v/>
      </c>
      <c r="AS367" s="135" t="str">
        <f aca="false">IF(ISBLANK($C367),"",IF(R367=Constants!$B$2,TRUE(),IF(R367=Constants!$B$3,FALSE(),TRUE())))</f>
        <v/>
      </c>
      <c r="AT367" s="135" t="str">
        <f aca="false">IF(ISBLANK($C367),"",IF(S367=Constants!$B$4,TRUE(),IF(S367=Constants!$B$5,FALSE(),COUNTA(T367:X367)&gt;0)))</f>
        <v/>
      </c>
      <c r="AU367" s="136" t="str">
        <f aca="false">IF(ISBLANK($C367),"",IF(ISNUMBER(T367),IF(T367&gt;=0,T367,""),""))</f>
        <v/>
      </c>
      <c r="AV367" s="137" t="str">
        <f aca="false">IF(ISBLANK($C367),"",IF(ISNUMBER(U367),IF(U367&gt;=0,U367,""),""))</f>
        <v/>
      </c>
      <c r="AW367" s="137" t="str">
        <f aca="false">IF(ISBLANK($C367),"",IF(V367=Constants!$B$2,TRUE(),IF(V367=Constants!$B$3,FALSE(),TRUE())))</f>
        <v/>
      </c>
      <c r="AX367" s="135" t="str">
        <f aca="false">IF(ISBLANK($C367),"",IF(ISNUMBER(W367),IF(W367&gt;=0,W367,""),""))</f>
        <v/>
      </c>
      <c r="AY367" s="135" t="str">
        <f aca="false">IF(ISBLANK($C367),"",IF(X367=Constants!$B$2,TRUE(),IF(X367=Constants!$B$3,FALSE(),FALSE())))</f>
        <v/>
      </c>
      <c r="AZ367" s="135" t="str">
        <f aca="false">IF(ISBLANK($C367),"",MIN(Constants!$B$25,MAX(0,IF(ISNUMBER(Y367),Y367*60,0)+IF(ISNUMBER(Z367),Z367,0))))</f>
        <v/>
      </c>
      <c r="BA367" s="135" t="str">
        <f aca="false">IF(ISBLANK($C367),"",IF(AA367=Constants!$B$2,TRUE(),IF(AA367=Constants!$B$3,FALSE(),FALSE())))</f>
        <v/>
      </c>
      <c r="BB367" s="134" t="str">
        <f aca="false">IF(ISBLANK($C367),"",AND($AL367,OR($AM367="",$AN367="",AND($AO367,$AP367=""))))</f>
        <v/>
      </c>
      <c r="BC367" s="137" t="str">
        <f aca="false">IF($BX367&lt;&gt;Constants!$B$6,"",IF($AL367,Constants!$B$17*$AN367+Constants!$B$18*IF($AO367,$AP367,Constants!$B$19),Constants!$B$20))</f>
        <v/>
      </c>
      <c r="BD367" s="138" t="str">
        <f aca="false">IF($BX367&lt;&gt;Constants!$B$6,"",Constants!$B$21*ABS($AD$9-IF($AL367,$AM367,0)))</f>
        <v/>
      </c>
      <c r="BE367" s="138" t="str">
        <f aca="false">IF($BX367&lt;&gt;Constants!$B$6,"",IF(AND($AL367,$AQ367,$AO367),Constants!$B$22,0))</f>
        <v/>
      </c>
      <c r="BF367" s="138" t="str">
        <f aca="false">IF($BX367&lt;&gt;Constants!$B$6,"",IF($AL367,($AI367-Constants!$B$24)*Constants!$B$23,0))</f>
        <v/>
      </c>
      <c r="BG367" s="138" t="str">
        <f aca="false">IF($BX367&lt;&gt;Constants!$B$6,"",IF($AK367,0,Constants!$B$12)+IF($AJ367,0,Constants!$B$13)+IF($AH367,0,Constants!$B$14))</f>
        <v/>
      </c>
      <c r="BH367" s="139" t="str">
        <f aca="false">IF($BX367&lt;&gt;Constants!$B$6,"",Constants!$B$16+SUM($BC367:$BG367))</f>
        <v/>
      </c>
      <c r="BI367" s="138" t="str">
        <f aca="false">IF($BX367&lt;&gt;Constants!$B$6,"",$BC367)</f>
        <v/>
      </c>
      <c r="BJ367" s="138" t="str">
        <f aca="false">IF($BX367&lt;&gt;Constants!$B$6,"",$BD367)</f>
        <v/>
      </c>
      <c r="BK367" s="140" t="str">
        <f aca="false">IF($BX367&lt;&gt;Constants!$B$6,"",IF($AL367,$AN367,""))</f>
        <v/>
      </c>
      <c r="BL367" s="135" t="str">
        <f aca="false">IF($BX367&lt;&gt;Constants!$B$6,"",IF(OR($BS367&lt;$BH367,AND($BS367=$BH367,OR($BT367&lt;$BI367,AND($BT367=$BI367,OR($BU367&lt;$BJ367,AND($BU367=$BJ367,AND(ISNUMBER($BV367),OR(NOT(ISNUMBER($BK367)),$BV367&lt;$BK367)))))))),"-&gt;","&lt;-"))</f>
        <v/>
      </c>
      <c r="BM367" s="134" t="str">
        <f aca="false">IF(ISBLANK($C367),"",AND($AT367,OR($AU367="",$AV367="",AND($AW367,$AX367=""))))</f>
        <v/>
      </c>
      <c r="BN367" s="137" t="str">
        <f aca="false">IF($BX367&lt;&gt;Constants!$B$6,"",IF($AT367,Constants!$B$17*$AV367+Constants!$B$18*IF($AW367,$AX367,Constants!$B$19),Constants!$B$20))</f>
        <v/>
      </c>
      <c r="BO367" s="138" t="str">
        <f aca="false">IF($BX367&lt;&gt;Constants!$B$6,"",Constants!$B$21*ABS($AD$9-IF($AT367,$AU367,0)))</f>
        <v/>
      </c>
      <c r="BP367" s="138" t="str">
        <f aca="false">IF($BX367&lt;&gt;Constants!$B$6,"",IF(AND($AT367,$AY367,$AW367),Constants!$B$22,0))</f>
        <v/>
      </c>
      <c r="BQ367" s="138" t="str">
        <f aca="false">IF($BX367&lt;&gt;Constants!$B$6,"",IF($AT367,($AI367-Constants!$B$24)*Constants!$B$23,0))</f>
        <v/>
      </c>
      <c r="BR367" s="138" t="str">
        <f aca="false">IF($BX367&lt;&gt;Constants!$B$6,"",IF($AS367,0,Constants!$B$12)+IF($AR367,0,Constants!$B$13)+IF($AH367,0,Constants!$B$14))</f>
        <v/>
      </c>
      <c r="BS367" s="139" t="str">
        <f aca="false">IF($BX367&lt;&gt;Constants!$B$6,"",Constants!$B$16+SUM($BN367:$BR367))</f>
        <v/>
      </c>
      <c r="BT367" s="138" t="str">
        <f aca="false">IF($BX367&lt;&gt;Constants!$B$6,"",$BN367)</f>
        <v/>
      </c>
      <c r="BU367" s="138" t="str">
        <f aca="false">IF($BX367&lt;&gt;Constants!$B$6,"",$BO367)</f>
        <v/>
      </c>
      <c r="BV367" s="140" t="str">
        <f aca="false">IF($BX367&lt;&gt;Constants!$B$6,"",IF($AT367,$AV367,""))</f>
        <v/>
      </c>
      <c r="BW367" s="135" t="str">
        <f aca="false">IF(ISBLANK($C367),"",IF(ISBLANK($D$7),$BW$5,IF(NOT(ISNUMBER($D$7)),$BW$6,"")))</f>
        <v/>
      </c>
      <c r="BX367" s="135" t="str">
        <f aca="false">IF(ISBLANK($C367),"",IF($BA367,Constants!$B$9,IF(COUNTA($E367:$AA367)=0,Constants!$B$8,IF(NOT($AG367),Constants!$B$7,IF(OR($BW367&lt;&gt;"",$BB367,$BM367),Constants!$B$10,Constants!$B$6)))))</f>
        <v/>
      </c>
      <c r="BY367" s="135" t="str">
        <f aca="false">IF(ISBLANK($C367),"",IF($BX367&lt;&gt;Constants!$B$6,$BX367,Constants!$B$11))</f>
        <v/>
      </c>
      <c r="BZ367" s="138" t="str">
        <f aca="false">IF($BX367&lt;&gt;Constants!$B$6,"",IF($BL367="-&gt;",$BS367,$BH367))</f>
        <v/>
      </c>
      <c r="CA367" s="138" t="str">
        <f aca="false">IF($BX367&lt;&gt;Constants!$B$6,"",IF($AF367,0,Constants!$B$15))</f>
        <v/>
      </c>
      <c r="CB367" s="138" t="str">
        <f aca="false">IF($BX367&lt;&gt;Constants!$B$6,"",((Constants!$B$25-$AZ367)-Constants!$B$25)/Constants!$B$26)</f>
        <v/>
      </c>
      <c r="CC367" s="138" t="str">
        <f aca="false">IF(ISBLANK($C367),"",IF($BX367&lt;&gt;Constants!$B$6,$BX367,SUM($BZ367:$CB367)))</f>
        <v/>
      </c>
      <c r="CD367" s="135" t="str">
        <f aca="false">IF(ISBLANK($C367),"",IF($BX367&lt;&gt;Constants!$B$6,$BX367,RANK($CC367,$CC$9:$CC$508,1)))</f>
        <v/>
      </c>
      <c r="CE367" s="138" t="str">
        <f aca="false">IF($BX367&lt;&gt;Constants!$B$6,"",IF($BL367="-&gt;",$BT367,$BI367))</f>
        <v/>
      </c>
      <c r="CF367" s="135" t="str">
        <f aca="false">IF(ISBLANK($C367),"",IF($BX367&lt;&gt;Constants!$B$6,$BX367,IF(ISNUMBER($CE367),RANK($CE367,$CE$9:$CE$508,1),COUNT($CE$9:$CE$508)+1)))</f>
        <v/>
      </c>
      <c r="CG367" s="138" t="str">
        <f aca="false">IF($BX367&lt;&gt;Constants!$B$6,"",IF($BL367="-&gt;",$BU367,$BJ367))</f>
        <v/>
      </c>
      <c r="CH367" s="135" t="str">
        <f aca="false">IF(ISBLANK($C367),"",IF($BX367&lt;&gt;Constants!$B$6,$BX367,IF(ISNUMBER($CG367),RANK($CG367,$CG$9:$CG$508,1),COUNT($CG$9:$CG$508)+1)))</f>
        <v/>
      </c>
      <c r="CI367" s="138" t="str">
        <f aca="false">IF($BX367&lt;&gt;Constants!$B$6,"",IF($BL367="-&gt;",$BV367,$BK367))</f>
        <v/>
      </c>
      <c r="CJ367" s="135" t="str">
        <f aca="false">IF(ISBLANK($C367),"",IF($BX367&lt;&gt;Constants!$B$6,$BX367,IF(ISNUMBER($CI367),RANK($CI367,$CI$9:$CI$508,1),COUNT($CI$9:$CI$508)+1)))</f>
        <v/>
      </c>
      <c r="CK367" s="138" t="str">
        <f aca="false">IF($BX367&lt;&gt;Constants!$B$6,"",$AI367)</f>
        <v/>
      </c>
      <c r="CL367" s="135" t="str">
        <f aca="false">IF(ISBLANK($C367),"",IF($BX367&lt;&gt;Constants!$B$6,$BX367,IF(ISNUMBER($CK367),RANK($CK367,$CK$9:$CK$508,1),COUNT($CK$9:$CK$508)+1)))</f>
        <v/>
      </c>
      <c r="CM367" s="135" t="str">
        <f aca="false">IF(ISBLANK($C367),"",IF($BX367&lt;&gt;Constants!$B$6,$BX367,COUNTIFS($CD$9:$CD$508,"&lt;"&amp;$CD367)+COUNTIFS($CD$9:$CD$508,$CD367,$CF$9:$CF$508,"&lt;"&amp;$CF367)+COUNTIFS($CD$9:$CD$508,$CD367,$CF$9:$CF$508,$CF367,$CH$9:$CH$508,"&lt;"&amp;$CH367)+COUNTIFS($CD$9:$CD$508,$CD367,$CF$9:$CF$508,$CF367,$CH$9:$CH$508,$CH367,$CJ$9:$CJ$508,"&lt;"&amp;$CJ367)+COUNTIFS($CD$9:$CD$508,$CD367,$CF$9:$CF$508,$CF367,$CH$9:$CH$508,$CH367,$CJ$9:$CJ$508,$CJ367,$CL$9:$CL$508,"&lt;"&amp;$CL367)+1))</f>
        <v/>
      </c>
      <c r="CN367" s="135" t="str">
        <f aca="false">IF(ISBLANK($C367),"",IF($BX367&lt;&gt;Constants!$B$6,$BX367,$CD367-$CM367))</f>
        <v/>
      </c>
      <c r="CO367" s="141"/>
      <c r="CP367" s="142"/>
      <c r="CQ367" s="143" t="str">
        <f aca="false">IF(ISBLANK($C367),"",IF($BX367=Constants!$B$10,$BW367,""))</f>
        <v/>
      </c>
      <c r="CR367" s="142" t="str">
        <f aca="false">IF(ISBLANK($C367),"",IF($BX367&lt;&gt;Constants!$B$6,"",IF($BL367="-&gt;",2,1)))</f>
        <v/>
      </c>
      <c r="CS367" s="144" t="str">
        <f aca="false">IF(ISBLANK($C367),"",IF($BX367&lt;&gt;Constants!$B$6,"",IF($BL367="-&gt;",$BN367,$BC367)))</f>
        <v/>
      </c>
      <c r="CT367" s="144" t="str">
        <f aca="false">IF(ISBLANK($C367),"",IF($BX367&lt;&gt;Constants!$B$6,"",IF($BL367="-&gt;",$BO367,$BD367)))</f>
        <v/>
      </c>
      <c r="CU367" s="144" t="str">
        <f aca="false">IF(ISBLANK($C367),"",IF($BX367&lt;&gt;Constants!$B$6,"",IF($BL367="-&gt;",$BP367+$BQ367,$BE367+$BF367)+$CB367))</f>
        <v/>
      </c>
      <c r="CV367" s="144" t="str">
        <f aca="false">IF(ISBLANK($C367),"",IF($BX367&lt;&gt;Constants!$B$6,"",IF($BL367="-&gt;",$BR367,$BG367)+$CA367))</f>
        <v/>
      </c>
      <c r="CW367" s="145" t="str">
        <f aca="false">IF(ISBLANK($C367),"",IF($BX367&lt;&gt;Constants!$B$6,$BX367,$CC367))</f>
        <v/>
      </c>
      <c r="CX367" s="146" t="str">
        <f aca="false">IF(ISBLANK($C367),"",$BY367)</f>
        <v/>
      </c>
      <c r="CY367" s="147" t="str">
        <f aca="false">IF(ISBLANK($C367),"",$CN367)</f>
        <v/>
      </c>
      <c r="CZ367" s="147" t="str">
        <f aca="false">IF(ISBLANK($C367),"",$CM367)</f>
        <v/>
      </c>
      <c r="DA367" s="148" t="str">
        <f aca="false">IF(ISBLANK($C367),"",IFERROR(_xlfn.SWITCH($CZ367,Constants!$B$9,COUNTA($C$9:$C$508)+2,Constants!$B$8,COUNTA($C$9:$C$508)+1,Constants!$B$7,COUNTA($C$9:$C$508)),$CZ367))</f>
        <v/>
      </c>
      <c r="DB367" s="9"/>
      <c r="DC367" s="149" t="n">
        <f aca="false">IF(OR(ISNUMBER($CZ367),$CZ367=Constants!$B$9,$CZ367=Constants!$B$7,$CZ367=Constants!$B$8),1,0)</f>
        <v>0</v>
      </c>
      <c r="DD367" s="149" t="n">
        <v>359</v>
      </c>
      <c r="DE367" s="149" t="str">
        <f aca="false">IF(ISBLANK($C367),"",IF(ISNUMBER($DA367),$DA367+ROW($B367)/1000,""))</f>
        <v/>
      </c>
      <c r="DF367" s="149" t="str">
        <f aca="false">IF(ISNUMBER($DE367),RANK($DE367,$DE$9:$DE$508,1),"")</f>
        <v/>
      </c>
      <c r="DG367" s="149" t="str">
        <f aca="false">IF(ISBLANK($C367),"",$B367)</f>
        <v/>
      </c>
      <c r="DH367" s="149" t="str">
        <f aca="false">IF(ISBLANK($C367),"",$C367)</f>
        <v/>
      </c>
      <c r="DI367" s="149" t="str">
        <f aca="false">IF(ISBLANK($C367),"",$D367)</f>
        <v/>
      </c>
      <c r="DJ367" s="150" t="str">
        <f aca="false">$CX367</f>
        <v/>
      </c>
      <c r="DK367" s="151" t="str">
        <f aca="false">$CW367</f>
        <v/>
      </c>
      <c r="DL367" s="149" t="str">
        <f aca="false">IF(ISBLANK($C367),"",$CZ367)</f>
        <v/>
      </c>
      <c r="DM367" s="152" t="str">
        <f aca="false">IF($DD367&gt;$DC$8,"",VLOOKUP($DD367,$DF$9:$DL$508,7,FALSE()))</f>
        <v/>
      </c>
      <c r="DN367" s="153" t="str">
        <f aca="false">IF($DD367&gt;$DC$8,"",VLOOKUP($DD367,$DF$9:$DL$508,2,FALSE()))</f>
        <v/>
      </c>
      <c r="DO367" s="153" t="str">
        <f aca="false">IF($DD367&gt;$DC$8,"",VLOOKUP($DD367,$DF$9:$DL$508,3,FALSE()))</f>
        <v/>
      </c>
      <c r="DP367" s="153" t="str">
        <f aca="false">IF($DD367&gt;$DC$8,"",VLOOKUP($DD367,$DF$9:$DL$508,4,FALSE()))</f>
        <v/>
      </c>
      <c r="DQ367" s="153" t="str">
        <f aca="false">IF($DD367&gt;$DC$8,"",VLOOKUP($DD367,$DF$9:$DL$508,5,FALSE()))</f>
        <v/>
      </c>
      <c r="DR367" s="154" t="str">
        <f aca="false">IF($DD367&gt;$DC$8,"",VLOOKUP($DD367,$DF$9:$DL$508,6,FALSE()))</f>
        <v/>
      </c>
      <c r="DS367" s="76"/>
    </row>
    <row r="368" customFormat="false" ht="15.75" hidden="false" customHeight="false" outlineLevel="0" collapsed="false">
      <c r="A368" s="9"/>
      <c r="B368" s="160"/>
      <c r="C368" s="161"/>
      <c r="D368" s="162"/>
      <c r="E368" s="180"/>
      <c r="F368" s="164"/>
      <c r="G368" s="165"/>
      <c r="H368" s="165"/>
      <c r="I368" s="181"/>
      <c r="J368" s="168"/>
      <c r="K368" s="128"/>
      <c r="L368" s="129"/>
      <c r="M368" s="130"/>
      <c r="N368" s="168"/>
      <c r="O368" s="168"/>
      <c r="P368" s="180"/>
      <c r="Q368" s="168"/>
      <c r="R368" s="168"/>
      <c r="S368" s="128"/>
      <c r="T368" s="130"/>
      <c r="U368" s="130"/>
      <c r="V368" s="168"/>
      <c r="W368" s="168"/>
      <c r="X368" s="180"/>
      <c r="Y368" s="168"/>
      <c r="Z368" s="169"/>
      <c r="AA368" s="168"/>
      <c r="AB368" s="134"/>
      <c r="AC368" s="135"/>
      <c r="AD368" s="135"/>
      <c r="AE368" s="135"/>
      <c r="AF368" s="135" t="str">
        <f aca="false">IF(ISBLANK($C368),"",IF(E368=Constants!$B$2,TRUE(),IF(E368=Constants!$B$3,FALSE(),TRUE())))</f>
        <v/>
      </c>
      <c r="AG368" s="135" t="str">
        <f aca="false">IF(ISBLANK($C368),"",IF(F368=Constants!$B$2,TRUE(),IF(F368=Constants!$B$3,FALSE(),TRUE())))</f>
        <v/>
      </c>
      <c r="AH368" s="135" t="str">
        <f aca="false">IF(ISBLANK($C368),"",IF(G368=Constants!$B$2,TRUE(),IF(G368=Constants!$B$3,FALSE(),TRUE())))</f>
        <v/>
      </c>
      <c r="AI368" s="135" t="str">
        <f aca="false">IF(ISBLANK($C368),"",IF(AND(ISNUMBER(H368),H368&gt;=0),H368,Constants!$B$24))</f>
        <v/>
      </c>
      <c r="AJ368" s="135" t="str">
        <f aca="false">IF(ISBLANK($C368),"",IF(I368=Constants!$B$2,TRUE(),IF(I368=Constants!$B$3,FALSE(),TRUE())))</f>
        <v/>
      </c>
      <c r="AK368" s="135" t="str">
        <f aca="false">IF(ISBLANK($C368),"",IF(J368=Constants!$B$2,TRUE(),IF(J368=Constants!$B$3,FALSE(),TRUE())))</f>
        <v/>
      </c>
      <c r="AL368" s="135" t="str">
        <f aca="false">IF(ISBLANK($C368),"",IF(K368=Constants!$B$4,TRUE(),IF(K368=Constants!$B$5,FALSE(),COUNTA(L368:P368)&gt;0)))</f>
        <v/>
      </c>
      <c r="AM368" s="136" t="str">
        <f aca="false">IF(ISBLANK($C368),"",IF(ISNUMBER(L368),IF(L368&gt;=0,L368,""),""))</f>
        <v/>
      </c>
      <c r="AN368" s="137" t="str">
        <f aca="false">IF(ISBLANK($C368),"",IF(ISNUMBER(M368),IF(M368&gt;=0,M368,""),""))</f>
        <v/>
      </c>
      <c r="AO368" s="137" t="str">
        <f aca="false">IF(ISBLANK($C368),"",IF(N368=Constants!$B$2,TRUE(),IF(N368=Constants!$B$3,FALSE(),TRUE())))</f>
        <v/>
      </c>
      <c r="AP368" s="135" t="str">
        <f aca="false">IF(ISBLANK($C368),"",IF(ISNUMBER(O368),IF(O368&gt;=0,O368,""),""))</f>
        <v/>
      </c>
      <c r="AQ368" s="135" t="str">
        <f aca="false">IF(ISBLANK($C368),"",IF(P368=Constants!$B$2,TRUE(),IF(P368=Constants!$B$3,FALSE(),FALSE())))</f>
        <v/>
      </c>
      <c r="AR368" s="135" t="str">
        <f aca="false">IF(ISBLANK($C368),"",IF(Q368=Constants!$B$2,TRUE(),IF(Q368=Constants!$B$3,FALSE(),TRUE())))</f>
        <v/>
      </c>
      <c r="AS368" s="135" t="str">
        <f aca="false">IF(ISBLANK($C368),"",IF(R368=Constants!$B$2,TRUE(),IF(R368=Constants!$B$3,FALSE(),TRUE())))</f>
        <v/>
      </c>
      <c r="AT368" s="135" t="str">
        <f aca="false">IF(ISBLANK($C368),"",IF(S368=Constants!$B$4,TRUE(),IF(S368=Constants!$B$5,FALSE(),COUNTA(T368:X368)&gt;0)))</f>
        <v/>
      </c>
      <c r="AU368" s="136" t="str">
        <f aca="false">IF(ISBLANK($C368),"",IF(ISNUMBER(T368),IF(T368&gt;=0,T368,""),""))</f>
        <v/>
      </c>
      <c r="AV368" s="137" t="str">
        <f aca="false">IF(ISBLANK($C368),"",IF(ISNUMBER(U368),IF(U368&gt;=0,U368,""),""))</f>
        <v/>
      </c>
      <c r="AW368" s="137" t="str">
        <f aca="false">IF(ISBLANK($C368),"",IF(V368=Constants!$B$2,TRUE(),IF(V368=Constants!$B$3,FALSE(),TRUE())))</f>
        <v/>
      </c>
      <c r="AX368" s="135" t="str">
        <f aca="false">IF(ISBLANK($C368),"",IF(ISNUMBER(W368),IF(W368&gt;=0,W368,""),""))</f>
        <v/>
      </c>
      <c r="AY368" s="135" t="str">
        <f aca="false">IF(ISBLANK($C368),"",IF(X368=Constants!$B$2,TRUE(),IF(X368=Constants!$B$3,FALSE(),FALSE())))</f>
        <v/>
      </c>
      <c r="AZ368" s="135" t="str">
        <f aca="false">IF(ISBLANK($C368),"",MIN(Constants!$B$25,MAX(0,IF(ISNUMBER(Y368),Y368*60,0)+IF(ISNUMBER(Z368),Z368,0))))</f>
        <v/>
      </c>
      <c r="BA368" s="135" t="str">
        <f aca="false">IF(ISBLANK($C368),"",IF(AA368=Constants!$B$2,TRUE(),IF(AA368=Constants!$B$3,FALSE(),FALSE())))</f>
        <v/>
      </c>
      <c r="BB368" s="134" t="str">
        <f aca="false">IF(ISBLANK($C368),"",AND($AL368,OR($AM368="",$AN368="",AND($AO368,$AP368=""))))</f>
        <v/>
      </c>
      <c r="BC368" s="137" t="str">
        <f aca="false">IF($BX368&lt;&gt;Constants!$B$6,"",IF($AL368,Constants!$B$17*$AN368+Constants!$B$18*IF($AO368,$AP368,Constants!$B$19),Constants!$B$20))</f>
        <v/>
      </c>
      <c r="BD368" s="138" t="str">
        <f aca="false">IF($BX368&lt;&gt;Constants!$B$6,"",Constants!$B$21*ABS($AD$9-IF($AL368,$AM368,0)))</f>
        <v/>
      </c>
      <c r="BE368" s="138" t="str">
        <f aca="false">IF($BX368&lt;&gt;Constants!$B$6,"",IF(AND($AL368,$AQ368,$AO368),Constants!$B$22,0))</f>
        <v/>
      </c>
      <c r="BF368" s="138" t="str">
        <f aca="false">IF($BX368&lt;&gt;Constants!$B$6,"",IF($AL368,($AI368-Constants!$B$24)*Constants!$B$23,0))</f>
        <v/>
      </c>
      <c r="BG368" s="138" t="str">
        <f aca="false">IF($BX368&lt;&gt;Constants!$B$6,"",IF($AK368,0,Constants!$B$12)+IF($AJ368,0,Constants!$B$13)+IF($AH368,0,Constants!$B$14))</f>
        <v/>
      </c>
      <c r="BH368" s="139" t="str">
        <f aca="false">IF($BX368&lt;&gt;Constants!$B$6,"",Constants!$B$16+SUM($BC368:$BG368))</f>
        <v/>
      </c>
      <c r="BI368" s="138" t="str">
        <f aca="false">IF($BX368&lt;&gt;Constants!$B$6,"",$BC368)</f>
        <v/>
      </c>
      <c r="BJ368" s="138" t="str">
        <f aca="false">IF($BX368&lt;&gt;Constants!$B$6,"",$BD368)</f>
        <v/>
      </c>
      <c r="BK368" s="140" t="str">
        <f aca="false">IF($BX368&lt;&gt;Constants!$B$6,"",IF($AL368,$AN368,""))</f>
        <v/>
      </c>
      <c r="BL368" s="135" t="str">
        <f aca="false">IF($BX368&lt;&gt;Constants!$B$6,"",IF(OR($BS368&lt;$BH368,AND($BS368=$BH368,OR($BT368&lt;$BI368,AND($BT368=$BI368,OR($BU368&lt;$BJ368,AND($BU368=$BJ368,AND(ISNUMBER($BV368),OR(NOT(ISNUMBER($BK368)),$BV368&lt;$BK368)))))))),"-&gt;","&lt;-"))</f>
        <v/>
      </c>
      <c r="BM368" s="134" t="str">
        <f aca="false">IF(ISBLANK($C368),"",AND($AT368,OR($AU368="",$AV368="",AND($AW368,$AX368=""))))</f>
        <v/>
      </c>
      <c r="BN368" s="137" t="str">
        <f aca="false">IF($BX368&lt;&gt;Constants!$B$6,"",IF($AT368,Constants!$B$17*$AV368+Constants!$B$18*IF($AW368,$AX368,Constants!$B$19),Constants!$B$20))</f>
        <v/>
      </c>
      <c r="BO368" s="138" t="str">
        <f aca="false">IF($BX368&lt;&gt;Constants!$B$6,"",Constants!$B$21*ABS($AD$9-IF($AT368,$AU368,0)))</f>
        <v/>
      </c>
      <c r="BP368" s="138" t="str">
        <f aca="false">IF($BX368&lt;&gt;Constants!$B$6,"",IF(AND($AT368,$AY368,$AW368),Constants!$B$22,0))</f>
        <v/>
      </c>
      <c r="BQ368" s="138" t="str">
        <f aca="false">IF($BX368&lt;&gt;Constants!$B$6,"",IF($AT368,($AI368-Constants!$B$24)*Constants!$B$23,0))</f>
        <v/>
      </c>
      <c r="BR368" s="138" t="str">
        <f aca="false">IF($BX368&lt;&gt;Constants!$B$6,"",IF($AS368,0,Constants!$B$12)+IF($AR368,0,Constants!$B$13)+IF($AH368,0,Constants!$B$14))</f>
        <v/>
      </c>
      <c r="BS368" s="139" t="str">
        <f aca="false">IF($BX368&lt;&gt;Constants!$B$6,"",Constants!$B$16+SUM($BN368:$BR368))</f>
        <v/>
      </c>
      <c r="BT368" s="138" t="str">
        <f aca="false">IF($BX368&lt;&gt;Constants!$B$6,"",$BN368)</f>
        <v/>
      </c>
      <c r="BU368" s="138" t="str">
        <f aca="false">IF($BX368&lt;&gt;Constants!$B$6,"",$BO368)</f>
        <v/>
      </c>
      <c r="BV368" s="140" t="str">
        <f aca="false">IF($BX368&lt;&gt;Constants!$B$6,"",IF($AT368,$AV368,""))</f>
        <v/>
      </c>
      <c r="BW368" s="135" t="str">
        <f aca="false">IF(ISBLANK($C368),"",IF(ISBLANK($D$7),$BW$5,IF(NOT(ISNUMBER($D$7)),$BW$6,"")))</f>
        <v/>
      </c>
      <c r="BX368" s="135" t="str">
        <f aca="false">IF(ISBLANK($C368),"",IF($BA368,Constants!$B$9,IF(COUNTA($E368:$AA368)=0,Constants!$B$8,IF(NOT($AG368),Constants!$B$7,IF(OR($BW368&lt;&gt;"",$BB368,$BM368),Constants!$B$10,Constants!$B$6)))))</f>
        <v/>
      </c>
      <c r="BY368" s="135" t="str">
        <f aca="false">IF(ISBLANK($C368),"",IF($BX368&lt;&gt;Constants!$B$6,$BX368,Constants!$B$11))</f>
        <v/>
      </c>
      <c r="BZ368" s="138" t="str">
        <f aca="false">IF($BX368&lt;&gt;Constants!$B$6,"",IF($BL368="-&gt;",$BS368,$BH368))</f>
        <v/>
      </c>
      <c r="CA368" s="138" t="str">
        <f aca="false">IF($BX368&lt;&gt;Constants!$B$6,"",IF($AF368,0,Constants!$B$15))</f>
        <v/>
      </c>
      <c r="CB368" s="138" t="str">
        <f aca="false">IF($BX368&lt;&gt;Constants!$B$6,"",((Constants!$B$25-$AZ368)-Constants!$B$25)/Constants!$B$26)</f>
        <v/>
      </c>
      <c r="CC368" s="138" t="str">
        <f aca="false">IF(ISBLANK($C368),"",IF($BX368&lt;&gt;Constants!$B$6,$BX368,SUM($BZ368:$CB368)))</f>
        <v/>
      </c>
      <c r="CD368" s="135" t="str">
        <f aca="false">IF(ISBLANK($C368),"",IF($BX368&lt;&gt;Constants!$B$6,$BX368,RANK($CC368,$CC$9:$CC$508,1)))</f>
        <v/>
      </c>
      <c r="CE368" s="138" t="str">
        <f aca="false">IF($BX368&lt;&gt;Constants!$B$6,"",IF($BL368="-&gt;",$BT368,$BI368))</f>
        <v/>
      </c>
      <c r="CF368" s="135" t="str">
        <f aca="false">IF(ISBLANK($C368),"",IF($BX368&lt;&gt;Constants!$B$6,$BX368,IF(ISNUMBER($CE368),RANK($CE368,$CE$9:$CE$508,1),COUNT($CE$9:$CE$508)+1)))</f>
        <v/>
      </c>
      <c r="CG368" s="138" t="str">
        <f aca="false">IF($BX368&lt;&gt;Constants!$B$6,"",IF($BL368="-&gt;",$BU368,$BJ368))</f>
        <v/>
      </c>
      <c r="CH368" s="135" t="str">
        <f aca="false">IF(ISBLANK($C368),"",IF($BX368&lt;&gt;Constants!$B$6,$BX368,IF(ISNUMBER($CG368),RANK($CG368,$CG$9:$CG$508,1),COUNT($CG$9:$CG$508)+1)))</f>
        <v/>
      </c>
      <c r="CI368" s="138" t="str">
        <f aca="false">IF($BX368&lt;&gt;Constants!$B$6,"",IF($BL368="-&gt;",$BV368,$BK368))</f>
        <v/>
      </c>
      <c r="CJ368" s="135" t="str">
        <f aca="false">IF(ISBLANK($C368),"",IF($BX368&lt;&gt;Constants!$B$6,$BX368,IF(ISNUMBER($CI368),RANK($CI368,$CI$9:$CI$508,1),COUNT($CI$9:$CI$508)+1)))</f>
        <v/>
      </c>
      <c r="CK368" s="138" t="str">
        <f aca="false">IF($BX368&lt;&gt;Constants!$B$6,"",$AI368)</f>
        <v/>
      </c>
      <c r="CL368" s="135" t="str">
        <f aca="false">IF(ISBLANK($C368),"",IF($BX368&lt;&gt;Constants!$B$6,$BX368,IF(ISNUMBER($CK368),RANK($CK368,$CK$9:$CK$508,1),COUNT($CK$9:$CK$508)+1)))</f>
        <v/>
      </c>
      <c r="CM368" s="135" t="str">
        <f aca="false">IF(ISBLANK($C368),"",IF($BX368&lt;&gt;Constants!$B$6,$BX368,COUNTIFS($CD$9:$CD$508,"&lt;"&amp;$CD368)+COUNTIFS($CD$9:$CD$508,$CD368,$CF$9:$CF$508,"&lt;"&amp;$CF368)+COUNTIFS($CD$9:$CD$508,$CD368,$CF$9:$CF$508,$CF368,$CH$9:$CH$508,"&lt;"&amp;$CH368)+COUNTIFS($CD$9:$CD$508,$CD368,$CF$9:$CF$508,$CF368,$CH$9:$CH$508,$CH368,$CJ$9:$CJ$508,"&lt;"&amp;$CJ368)+COUNTIFS($CD$9:$CD$508,$CD368,$CF$9:$CF$508,$CF368,$CH$9:$CH$508,$CH368,$CJ$9:$CJ$508,$CJ368,$CL$9:$CL$508,"&lt;"&amp;$CL368)+1))</f>
        <v/>
      </c>
      <c r="CN368" s="135" t="str">
        <f aca="false">IF(ISBLANK($C368),"",IF($BX368&lt;&gt;Constants!$B$6,$BX368,$CD368-$CM368))</f>
        <v/>
      </c>
      <c r="CO368" s="141"/>
      <c r="CP368" s="142"/>
      <c r="CQ368" s="143" t="str">
        <f aca="false">IF(ISBLANK($C368),"",IF($BX368=Constants!$B$10,$BW368,""))</f>
        <v/>
      </c>
      <c r="CR368" s="142" t="str">
        <f aca="false">IF(ISBLANK($C368),"",IF($BX368&lt;&gt;Constants!$B$6,"",IF($BL368="-&gt;",2,1)))</f>
        <v/>
      </c>
      <c r="CS368" s="144" t="str">
        <f aca="false">IF(ISBLANK($C368),"",IF($BX368&lt;&gt;Constants!$B$6,"",IF($BL368="-&gt;",$BN368,$BC368)))</f>
        <v/>
      </c>
      <c r="CT368" s="144" t="str">
        <f aca="false">IF(ISBLANK($C368),"",IF($BX368&lt;&gt;Constants!$B$6,"",IF($BL368="-&gt;",$BO368,$BD368)))</f>
        <v/>
      </c>
      <c r="CU368" s="144" t="str">
        <f aca="false">IF(ISBLANK($C368),"",IF($BX368&lt;&gt;Constants!$B$6,"",IF($BL368="-&gt;",$BP368+$BQ368,$BE368+$BF368)+$CB368))</f>
        <v/>
      </c>
      <c r="CV368" s="144" t="str">
        <f aca="false">IF(ISBLANK($C368),"",IF($BX368&lt;&gt;Constants!$B$6,"",IF($BL368="-&gt;",$BR368,$BG368)+$CA368))</f>
        <v/>
      </c>
      <c r="CW368" s="145" t="str">
        <f aca="false">IF(ISBLANK($C368),"",IF($BX368&lt;&gt;Constants!$B$6,$BX368,$CC368))</f>
        <v/>
      </c>
      <c r="CX368" s="146" t="str">
        <f aca="false">IF(ISBLANK($C368),"",$BY368)</f>
        <v/>
      </c>
      <c r="CY368" s="147" t="str">
        <f aca="false">IF(ISBLANK($C368),"",$CN368)</f>
        <v/>
      </c>
      <c r="CZ368" s="147" t="str">
        <f aca="false">IF(ISBLANK($C368),"",$CM368)</f>
        <v/>
      </c>
      <c r="DA368" s="148" t="str">
        <f aca="false">IF(ISBLANK($C368),"",IFERROR(_xlfn.SWITCH($CZ368,Constants!$B$9,COUNTA($C$9:$C$508)+2,Constants!$B$8,COUNTA($C$9:$C$508)+1,Constants!$B$7,COUNTA($C$9:$C$508)),$CZ368))</f>
        <v/>
      </c>
      <c r="DB368" s="9"/>
      <c r="DC368" s="149" t="n">
        <f aca="false">IF(OR(ISNUMBER($CZ368),$CZ368=Constants!$B$9,$CZ368=Constants!$B$7,$CZ368=Constants!$B$8),1,0)</f>
        <v>0</v>
      </c>
      <c r="DD368" s="149" t="n">
        <v>360</v>
      </c>
      <c r="DE368" s="149" t="str">
        <f aca="false">IF(ISBLANK($C368),"",IF(ISNUMBER($DA368),$DA368+ROW($B368)/1000,""))</f>
        <v/>
      </c>
      <c r="DF368" s="149" t="str">
        <f aca="false">IF(ISNUMBER($DE368),RANK($DE368,$DE$9:$DE$508,1),"")</f>
        <v/>
      </c>
      <c r="DG368" s="149" t="str">
        <f aca="false">IF(ISBLANK($C368),"",$B368)</f>
        <v/>
      </c>
      <c r="DH368" s="149" t="str">
        <f aca="false">IF(ISBLANK($C368),"",$C368)</f>
        <v/>
      </c>
      <c r="DI368" s="149" t="str">
        <f aca="false">IF(ISBLANK($C368),"",$D368)</f>
        <v/>
      </c>
      <c r="DJ368" s="150" t="str">
        <f aca="false">$CX368</f>
        <v/>
      </c>
      <c r="DK368" s="151" t="str">
        <f aca="false">$CW368</f>
        <v/>
      </c>
      <c r="DL368" s="149" t="str">
        <f aca="false">IF(ISBLANK($C368),"",$CZ368)</f>
        <v/>
      </c>
      <c r="DM368" s="152" t="str">
        <f aca="false">IF($DD368&gt;$DC$8,"",VLOOKUP($DD368,$DF$9:$DL$508,7,FALSE()))</f>
        <v/>
      </c>
      <c r="DN368" s="153" t="str">
        <f aca="false">IF($DD368&gt;$DC$8,"",VLOOKUP($DD368,$DF$9:$DL$508,2,FALSE()))</f>
        <v/>
      </c>
      <c r="DO368" s="153" t="str">
        <f aca="false">IF($DD368&gt;$DC$8,"",VLOOKUP($DD368,$DF$9:$DL$508,3,FALSE()))</f>
        <v/>
      </c>
      <c r="DP368" s="153" t="str">
        <f aca="false">IF($DD368&gt;$DC$8,"",VLOOKUP($DD368,$DF$9:$DL$508,4,FALSE()))</f>
        <v/>
      </c>
      <c r="DQ368" s="153" t="str">
        <f aca="false">IF($DD368&gt;$DC$8,"",VLOOKUP($DD368,$DF$9:$DL$508,5,FALSE()))</f>
        <v/>
      </c>
      <c r="DR368" s="154" t="str">
        <f aca="false">IF($DD368&gt;$DC$8,"",VLOOKUP($DD368,$DF$9:$DL$508,6,FALSE()))</f>
        <v/>
      </c>
      <c r="DS368" s="76"/>
    </row>
    <row r="369" customFormat="false" ht="15.75" hidden="false" customHeight="false" outlineLevel="0" collapsed="false">
      <c r="A369" s="9"/>
      <c r="B369" s="78"/>
      <c r="C369" s="79"/>
      <c r="D369" s="170"/>
      <c r="E369" s="178"/>
      <c r="F369" s="172"/>
      <c r="G369" s="173"/>
      <c r="H369" s="173"/>
      <c r="I369" s="179"/>
      <c r="J369" s="176"/>
      <c r="K369" s="86"/>
      <c r="L369" s="87"/>
      <c r="M369" s="88"/>
      <c r="N369" s="176"/>
      <c r="O369" s="176"/>
      <c r="P369" s="178"/>
      <c r="Q369" s="176"/>
      <c r="R369" s="176"/>
      <c r="S369" s="86"/>
      <c r="T369" s="88"/>
      <c r="U369" s="88"/>
      <c r="V369" s="176"/>
      <c r="W369" s="176"/>
      <c r="X369" s="178"/>
      <c r="Y369" s="176"/>
      <c r="Z369" s="177"/>
      <c r="AA369" s="176"/>
      <c r="AB369" s="92"/>
      <c r="AC369" s="93"/>
      <c r="AD369" s="93"/>
      <c r="AE369" s="93"/>
      <c r="AF369" s="93" t="str">
        <f aca="false">IF(ISBLANK($C369),"",IF(E369=Constants!$B$2,TRUE(),IF(E369=Constants!$B$3,FALSE(),TRUE())))</f>
        <v/>
      </c>
      <c r="AG369" s="93" t="str">
        <f aca="false">IF(ISBLANK($C369),"",IF(F369=Constants!$B$2,TRUE(),IF(F369=Constants!$B$3,FALSE(),TRUE())))</f>
        <v/>
      </c>
      <c r="AH369" s="93" t="str">
        <f aca="false">IF(ISBLANK($C369),"",IF(G369=Constants!$B$2,TRUE(),IF(G369=Constants!$B$3,FALSE(),TRUE())))</f>
        <v/>
      </c>
      <c r="AI369" s="93" t="str">
        <f aca="false">IF(ISBLANK($C369),"",IF(AND(ISNUMBER(H369),H369&gt;=0),H369,Constants!$B$24))</f>
        <v/>
      </c>
      <c r="AJ369" s="93" t="str">
        <f aca="false">IF(ISBLANK($C369),"",IF(I369=Constants!$B$2,TRUE(),IF(I369=Constants!$B$3,FALSE(),TRUE())))</f>
        <v/>
      </c>
      <c r="AK369" s="93" t="str">
        <f aca="false">IF(ISBLANK($C369),"",IF(J369=Constants!$B$2,TRUE(),IF(J369=Constants!$B$3,FALSE(),TRUE())))</f>
        <v/>
      </c>
      <c r="AL369" s="93" t="str">
        <f aca="false">IF(ISBLANK($C369),"",IF(K369=Constants!$B$4,TRUE(),IF(K369=Constants!$B$5,FALSE(),COUNTA(L369:P369)&gt;0)))</f>
        <v/>
      </c>
      <c r="AM369" s="95" t="str">
        <f aca="false">IF(ISBLANK($C369),"",IF(ISNUMBER(L369),IF(L369&gt;=0,L369,""),""))</f>
        <v/>
      </c>
      <c r="AN369" s="94" t="str">
        <f aca="false">IF(ISBLANK($C369),"",IF(ISNUMBER(M369),IF(M369&gt;=0,M369,""),""))</f>
        <v/>
      </c>
      <c r="AO369" s="94" t="str">
        <f aca="false">IF(ISBLANK($C369),"",IF(N369=Constants!$B$2,TRUE(),IF(N369=Constants!$B$3,FALSE(),TRUE())))</f>
        <v/>
      </c>
      <c r="AP369" s="93" t="str">
        <f aca="false">IF(ISBLANK($C369),"",IF(ISNUMBER(O369),IF(O369&gt;=0,O369,""),""))</f>
        <v/>
      </c>
      <c r="AQ369" s="93" t="str">
        <f aca="false">IF(ISBLANK($C369),"",IF(P369=Constants!$B$2,TRUE(),IF(P369=Constants!$B$3,FALSE(),FALSE())))</f>
        <v/>
      </c>
      <c r="AR369" s="93" t="str">
        <f aca="false">IF(ISBLANK($C369),"",IF(Q369=Constants!$B$2,TRUE(),IF(Q369=Constants!$B$3,FALSE(),TRUE())))</f>
        <v/>
      </c>
      <c r="AS369" s="93" t="str">
        <f aca="false">IF(ISBLANK($C369),"",IF(R369=Constants!$B$2,TRUE(),IF(R369=Constants!$B$3,FALSE(),TRUE())))</f>
        <v/>
      </c>
      <c r="AT369" s="93" t="str">
        <f aca="false">IF(ISBLANK($C369),"",IF(S369=Constants!$B$4,TRUE(),IF(S369=Constants!$B$5,FALSE(),COUNTA(T369:X369)&gt;0)))</f>
        <v/>
      </c>
      <c r="AU369" s="95" t="str">
        <f aca="false">IF(ISBLANK($C369),"",IF(ISNUMBER(T369),IF(T369&gt;=0,T369,""),""))</f>
        <v/>
      </c>
      <c r="AV369" s="94" t="str">
        <f aca="false">IF(ISBLANK($C369),"",IF(ISNUMBER(U369),IF(U369&gt;=0,U369,""),""))</f>
        <v/>
      </c>
      <c r="AW369" s="94" t="str">
        <f aca="false">IF(ISBLANK($C369),"",IF(V369=Constants!$B$2,TRUE(),IF(V369=Constants!$B$3,FALSE(),TRUE())))</f>
        <v/>
      </c>
      <c r="AX369" s="93" t="str">
        <f aca="false">IF(ISBLANK($C369),"",IF(ISNUMBER(W369),IF(W369&gt;=0,W369,""),""))</f>
        <v/>
      </c>
      <c r="AY369" s="93" t="str">
        <f aca="false">IF(ISBLANK($C369),"",IF(X369=Constants!$B$2,TRUE(),IF(X369=Constants!$B$3,FALSE(),FALSE())))</f>
        <v/>
      </c>
      <c r="AZ369" s="93" t="str">
        <f aca="false">IF(ISBLANK($C369),"",MIN(Constants!$B$25,MAX(0,IF(ISNUMBER(Y369),Y369*60,0)+IF(ISNUMBER(Z369),Z369,0))))</f>
        <v/>
      </c>
      <c r="BA369" s="93" t="str">
        <f aca="false">IF(ISBLANK($C369),"",IF(AA369=Constants!$B$2,TRUE(),IF(AA369=Constants!$B$3,FALSE(),FALSE())))</f>
        <v/>
      </c>
      <c r="BB369" s="92" t="str">
        <f aca="false">IF(ISBLANK($C369),"",AND($AL369,OR($AM369="",$AN369="",AND($AO369,$AP369=""))))</f>
        <v/>
      </c>
      <c r="BC369" s="94" t="str">
        <f aca="false">IF($BX369&lt;&gt;Constants!$B$6,"",IF($AL369,Constants!$B$17*$AN369+Constants!$B$18*IF($AO369,$AP369,Constants!$B$19),Constants!$B$20))</f>
        <v/>
      </c>
      <c r="BD369" s="97" t="str">
        <f aca="false">IF($BX369&lt;&gt;Constants!$B$6,"",Constants!$B$21*ABS($AD$9-IF($AL369,$AM369,0)))</f>
        <v/>
      </c>
      <c r="BE369" s="97" t="str">
        <f aca="false">IF($BX369&lt;&gt;Constants!$B$6,"",IF(AND($AL369,$AQ369,$AO369),Constants!$B$22,0))</f>
        <v/>
      </c>
      <c r="BF369" s="97" t="str">
        <f aca="false">IF($BX369&lt;&gt;Constants!$B$6,"",IF($AL369,($AI369-Constants!$B$24)*Constants!$B$23,0))</f>
        <v/>
      </c>
      <c r="BG369" s="97" t="str">
        <f aca="false">IF($BX369&lt;&gt;Constants!$B$6,"",IF($AK369,0,Constants!$B$12)+IF($AJ369,0,Constants!$B$13)+IF($AH369,0,Constants!$B$14))</f>
        <v/>
      </c>
      <c r="BH369" s="98" t="str">
        <f aca="false">IF($BX369&lt;&gt;Constants!$B$6,"",Constants!$B$16+SUM($BC369:$BG369))</f>
        <v/>
      </c>
      <c r="BI369" s="97" t="str">
        <f aca="false">IF($BX369&lt;&gt;Constants!$B$6,"",$BC369)</f>
        <v/>
      </c>
      <c r="BJ369" s="97" t="str">
        <f aca="false">IF($BX369&lt;&gt;Constants!$B$6,"",$BD369)</f>
        <v/>
      </c>
      <c r="BK369" s="99" t="str">
        <f aca="false">IF($BX369&lt;&gt;Constants!$B$6,"",IF($AL369,$AN369,""))</f>
        <v/>
      </c>
      <c r="BL369" s="93" t="str">
        <f aca="false">IF($BX369&lt;&gt;Constants!$B$6,"",IF(OR($BS369&lt;$BH369,AND($BS369=$BH369,OR($BT369&lt;$BI369,AND($BT369=$BI369,OR($BU369&lt;$BJ369,AND($BU369=$BJ369,AND(ISNUMBER($BV369),OR(NOT(ISNUMBER($BK369)),$BV369&lt;$BK369)))))))),"-&gt;","&lt;-"))</f>
        <v/>
      </c>
      <c r="BM369" s="92" t="str">
        <f aca="false">IF(ISBLANK($C369),"",AND($AT369,OR($AU369="",$AV369="",AND($AW369,$AX369=""))))</f>
        <v/>
      </c>
      <c r="BN369" s="94" t="str">
        <f aca="false">IF($BX369&lt;&gt;Constants!$B$6,"",IF($AT369,Constants!$B$17*$AV369+Constants!$B$18*IF($AW369,$AX369,Constants!$B$19),Constants!$B$20))</f>
        <v/>
      </c>
      <c r="BO369" s="97" t="str">
        <f aca="false">IF($BX369&lt;&gt;Constants!$B$6,"",Constants!$B$21*ABS($AD$9-IF($AT369,$AU369,0)))</f>
        <v/>
      </c>
      <c r="BP369" s="97" t="str">
        <f aca="false">IF($BX369&lt;&gt;Constants!$B$6,"",IF(AND($AT369,$AY369,$AW369),Constants!$B$22,0))</f>
        <v/>
      </c>
      <c r="BQ369" s="97" t="str">
        <f aca="false">IF($BX369&lt;&gt;Constants!$B$6,"",IF($AT369,($AI369-Constants!$B$24)*Constants!$B$23,0))</f>
        <v/>
      </c>
      <c r="BR369" s="97" t="str">
        <f aca="false">IF($BX369&lt;&gt;Constants!$B$6,"",IF($AS369,0,Constants!$B$12)+IF($AR369,0,Constants!$B$13)+IF($AH369,0,Constants!$B$14))</f>
        <v/>
      </c>
      <c r="BS369" s="98" t="str">
        <f aca="false">IF($BX369&lt;&gt;Constants!$B$6,"",Constants!$B$16+SUM($BN369:$BR369))</f>
        <v/>
      </c>
      <c r="BT369" s="97" t="str">
        <f aca="false">IF($BX369&lt;&gt;Constants!$B$6,"",$BN369)</f>
        <v/>
      </c>
      <c r="BU369" s="97" t="str">
        <f aca="false">IF($BX369&lt;&gt;Constants!$B$6,"",$BO369)</f>
        <v/>
      </c>
      <c r="BV369" s="99" t="str">
        <f aca="false">IF($BX369&lt;&gt;Constants!$B$6,"",IF($AT369,$AV369,""))</f>
        <v/>
      </c>
      <c r="BW369" s="93" t="str">
        <f aca="false">IF(ISBLANK($C369),"",IF(ISBLANK($D$7),$BW$5,IF(NOT(ISNUMBER($D$7)),$BW$6,"")))</f>
        <v/>
      </c>
      <c r="BX369" s="93" t="str">
        <f aca="false">IF(ISBLANK($C369),"",IF($BA369,Constants!$B$9,IF(COUNTA($E369:$AA369)=0,Constants!$B$8,IF(NOT($AG369),Constants!$B$7,IF(OR($BW369&lt;&gt;"",$BB369,$BM369),Constants!$B$10,Constants!$B$6)))))</f>
        <v/>
      </c>
      <c r="BY369" s="93" t="str">
        <f aca="false">IF(ISBLANK($C369),"",IF($BX369&lt;&gt;Constants!$B$6,$BX369,Constants!$B$11))</f>
        <v/>
      </c>
      <c r="BZ369" s="97" t="str">
        <f aca="false">IF($BX369&lt;&gt;Constants!$B$6,"",IF($BL369="-&gt;",$BS369,$BH369))</f>
        <v/>
      </c>
      <c r="CA369" s="97" t="str">
        <f aca="false">IF($BX369&lt;&gt;Constants!$B$6,"",IF($AF369,0,Constants!$B$15))</f>
        <v/>
      </c>
      <c r="CB369" s="97" t="str">
        <f aca="false">IF($BX369&lt;&gt;Constants!$B$6,"",((Constants!$B$25-$AZ369)-Constants!$B$25)/Constants!$B$26)</f>
        <v/>
      </c>
      <c r="CC369" s="97" t="str">
        <f aca="false">IF(ISBLANK($C369),"",IF($BX369&lt;&gt;Constants!$B$6,$BX369,SUM($BZ369:$CB369)))</f>
        <v/>
      </c>
      <c r="CD369" s="93" t="str">
        <f aca="false">IF(ISBLANK($C369),"",IF($BX369&lt;&gt;Constants!$B$6,$BX369,RANK($CC369,$CC$9:$CC$508,1)))</f>
        <v/>
      </c>
      <c r="CE369" s="97" t="str">
        <f aca="false">IF($BX369&lt;&gt;Constants!$B$6,"",IF($BL369="-&gt;",$BT369,$BI369))</f>
        <v/>
      </c>
      <c r="CF369" s="93" t="str">
        <f aca="false">IF(ISBLANK($C369),"",IF($BX369&lt;&gt;Constants!$B$6,$BX369,IF(ISNUMBER($CE369),RANK($CE369,$CE$9:$CE$508,1),COUNT($CE$9:$CE$508)+1)))</f>
        <v/>
      </c>
      <c r="CG369" s="97" t="str">
        <f aca="false">IF($BX369&lt;&gt;Constants!$B$6,"",IF($BL369="-&gt;",$BU369,$BJ369))</f>
        <v/>
      </c>
      <c r="CH369" s="93" t="str">
        <f aca="false">IF(ISBLANK($C369),"",IF($BX369&lt;&gt;Constants!$B$6,$BX369,IF(ISNUMBER($CG369),RANK($CG369,$CG$9:$CG$508,1),COUNT($CG$9:$CG$508)+1)))</f>
        <v/>
      </c>
      <c r="CI369" s="97" t="str">
        <f aca="false">IF($BX369&lt;&gt;Constants!$B$6,"",IF($BL369="-&gt;",$BV369,$BK369))</f>
        <v/>
      </c>
      <c r="CJ369" s="93" t="str">
        <f aca="false">IF(ISBLANK($C369),"",IF($BX369&lt;&gt;Constants!$B$6,$BX369,IF(ISNUMBER($CI369),RANK($CI369,$CI$9:$CI$508,1),COUNT($CI$9:$CI$508)+1)))</f>
        <v/>
      </c>
      <c r="CK369" s="97" t="str">
        <f aca="false">IF($BX369&lt;&gt;Constants!$B$6,"",$AI369)</f>
        <v/>
      </c>
      <c r="CL369" s="93" t="str">
        <f aca="false">IF(ISBLANK($C369),"",IF($BX369&lt;&gt;Constants!$B$6,$BX369,IF(ISNUMBER($CK369),RANK($CK369,$CK$9:$CK$508,1),COUNT($CK$9:$CK$508)+1)))</f>
        <v/>
      </c>
      <c r="CM369" s="93" t="str">
        <f aca="false">IF(ISBLANK($C369),"",IF($BX369&lt;&gt;Constants!$B$6,$BX369,COUNTIFS($CD$9:$CD$508,"&lt;"&amp;$CD369)+COUNTIFS($CD$9:$CD$508,$CD369,$CF$9:$CF$508,"&lt;"&amp;$CF369)+COUNTIFS($CD$9:$CD$508,$CD369,$CF$9:$CF$508,$CF369,$CH$9:$CH$508,"&lt;"&amp;$CH369)+COUNTIFS($CD$9:$CD$508,$CD369,$CF$9:$CF$508,$CF369,$CH$9:$CH$508,$CH369,$CJ$9:$CJ$508,"&lt;"&amp;$CJ369)+COUNTIFS($CD$9:$CD$508,$CD369,$CF$9:$CF$508,$CF369,$CH$9:$CH$508,$CH369,$CJ$9:$CJ$508,$CJ369,$CL$9:$CL$508,"&lt;"&amp;$CL369)+1))</f>
        <v/>
      </c>
      <c r="CN369" s="93" t="str">
        <f aca="false">IF(ISBLANK($C369),"",IF($BX369&lt;&gt;Constants!$B$6,$BX369,$CD369-$CM369))</f>
        <v/>
      </c>
      <c r="CO369" s="100"/>
      <c r="CP369" s="101"/>
      <c r="CQ369" s="102" t="str">
        <f aca="false">IF(ISBLANK($C369),"",IF($BX369=Constants!$B$10,$BW369,""))</f>
        <v/>
      </c>
      <c r="CR369" s="101" t="str">
        <f aca="false">IF(ISBLANK($C369),"",IF($BX369&lt;&gt;Constants!$B$6,"",IF($BL369="-&gt;",2,1)))</f>
        <v/>
      </c>
      <c r="CS369" s="103" t="str">
        <f aca="false">IF(ISBLANK($C369),"",IF($BX369&lt;&gt;Constants!$B$6,"",IF($BL369="-&gt;",$BN369,$BC369)))</f>
        <v/>
      </c>
      <c r="CT369" s="103" t="str">
        <f aca="false">IF(ISBLANK($C369),"",IF($BX369&lt;&gt;Constants!$B$6,"",IF($BL369="-&gt;",$BO369,$BD369)))</f>
        <v/>
      </c>
      <c r="CU369" s="103" t="str">
        <f aca="false">IF(ISBLANK($C369),"",IF($BX369&lt;&gt;Constants!$B$6,"",IF($BL369="-&gt;",$BP369+$BQ369,$BE369+$BF369)+$CB369))</f>
        <v/>
      </c>
      <c r="CV369" s="103" t="str">
        <f aca="false">IF(ISBLANK($C369),"",IF($BX369&lt;&gt;Constants!$B$6,"",IF($BL369="-&gt;",$BR369,$BG369)+$CA369))</f>
        <v/>
      </c>
      <c r="CW369" s="104" t="str">
        <f aca="false">IF(ISBLANK($C369),"",IF($BX369&lt;&gt;Constants!$B$6,$BX369,$CC369))</f>
        <v/>
      </c>
      <c r="CX369" s="105" t="str">
        <f aca="false">IF(ISBLANK($C369),"",$BY369)</f>
        <v/>
      </c>
      <c r="CY369" s="106" t="str">
        <f aca="false">IF(ISBLANK($C369),"",$CN369)</f>
        <v/>
      </c>
      <c r="CZ369" s="106" t="str">
        <f aca="false">IF(ISBLANK($C369),"",$CM369)</f>
        <v/>
      </c>
      <c r="DA369" s="107" t="str">
        <f aca="false">IF(ISBLANK($C369),"",IFERROR(_xlfn.SWITCH($CZ369,Constants!$B$9,COUNTA($C$9:$C$508)+2,Constants!$B$8,COUNTA($C$9:$C$508)+1,Constants!$B$7,COUNTA($C$9:$C$508)),$CZ369))</f>
        <v/>
      </c>
      <c r="DB369" s="9"/>
      <c r="DC369" s="108" t="n">
        <f aca="false">IF(OR(ISNUMBER($CZ369),$CZ369=Constants!$B$9,$CZ369=Constants!$B$7,$CZ369=Constants!$B$8),1,0)</f>
        <v>0</v>
      </c>
      <c r="DD369" s="108" t="n">
        <v>361</v>
      </c>
      <c r="DE369" s="108" t="str">
        <f aca="false">IF(ISBLANK($C369),"",IF(ISNUMBER($DA369),$DA369+ROW($B369)/1000,""))</f>
        <v/>
      </c>
      <c r="DF369" s="108" t="str">
        <f aca="false">IF(ISNUMBER($DE369),RANK($DE369,$DE$9:$DE$508,1),"")</f>
        <v/>
      </c>
      <c r="DG369" s="108" t="str">
        <f aca="false">IF(ISBLANK($C369),"",$B369)</f>
        <v/>
      </c>
      <c r="DH369" s="108" t="str">
        <f aca="false">IF(ISBLANK($C369),"",$C369)</f>
        <v/>
      </c>
      <c r="DI369" s="108" t="str">
        <f aca="false">IF(ISBLANK($C369),"",$D369)</f>
        <v/>
      </c>
      <c r="DJ369" s="109" t="str">
        <f aca="false">$CX369</f>
        <v/>
      </c>
      <c r="DK369" s="110" t="str">
        <f aca="false">$CW369</f>
        <v/>
      </c>
      <c r="DL369" s="108" t="str">
        <f aca="false">IF(ISBLANK($C369),"",$CZ369)</f>
        <v/>
      </c>
      <c r="DM369" s="111" t="str">
        <f aca="false">IF($DD369&gt;$DC$8,"",VLOOKUP($DD369,$DF$9:$DL$508,7,FALSE()))</f>
        <v/>
      </c>
      <c r="DN369" s="112" t="str">
        <f aca="false">IF($DD369&gt;$DC$8,"",VLOOKUP($DD369,$DF$9:$DL$508,2,FALSE()))</f>
        <v/>
      </c>
      <c r="DO369" s="112" t="str">
        <f aca="false">IF($DD369&gt;$DC$8,"",VLOOKUP($DD369,$DF$9:$DL$508,3,FALSE()))</f>
        <v/>
      </c>
      <c r="DP369" s="112" t="str">
        <f aca="false">IF($DD369&gt;$DC$8,"",VLOOKUP($DD369,$DF$9:$DL$508,4,FALSE()))</f>
        <v/>
      </c>
      <c r="DQ369" s="112" t="str">
        <f aca="false">IF($DD369&gt;$DC$8,"",VLOOKUP($DD369,$DF$9:$DL$508,5,FALSE()))</f>
        <v/>
      </c>
      <c r="DR369" s="113" t="str">
        <f aca="false">IF($DD369&gt;$DC$8,"",VLOOKUP($DD369,$DF$9:$DL$508,6,FALSE()))</f>
        <v/>
      </c>
      <c r="DS369" s="76"/>
    </row>
    <row r="370" customFormat="false" ht="15.75" hidden="false" customHeight="false" outlineLevel="0" collapsed="false">
      <c r="A370" s="9"/>
      <c r="B370" s="78"/>
      <c r="C370" s="79"/>
      <c r="D370" s="170"/>
      <c r="E370" s="178"/>
      <c r="F370" s="172"/>
      <c r="G370" s="173"/>
      <c r="H370" s="173"/>
      <c r="I370" s="179"/>
      <c r="J370" s="176"/>
      <c r="K370" s="86"/>
      <c r="L370" s="87"/>
      <c r="M370" s="88"/>
      <c r="N370" s="176"/>
      <c r="O370" s="176"/>
      <c r="P370" s="178"/>
      <c r="Q370" s="176"/>
      <c r="R370" s="176"/>
      <c r="S370" s="86"/>
      <c r="T370" s="88"/>
      <c r="U370" s="88"/>
      <c r="V370" s="176"/>
      <c r="W370" s="176"/>
      <c r="X370" s="178"/>
      <c r="Y370" s="176"/>
      <c r="Z370" s="177"/>
      <c r="AA370" s="176"/>
      <c r="AB370" s="92"/>
      <c r="AC370" s="93"/>
      <c r="AD370" s="93"/>
      <c r="AE370" s="93"/>
      <c r="AF370" s="93" t="str">
        <f aca="false">IF(ISBLANK($C370),"",IF(E370=Constants!$B$2,TRUE(),IF(E370=Constants!$B$3,FALSE(),TRUE())))</f>
        <v/>
      </c>
      <c r="AG370" s="93" t="str">
        <f aca="false">IF(ISBLANK($C370),"",IF(F370=Constants!$B$2,TRUE(),IF(F370=Constants!$B$3,FALSE(),TRUE())))</f>
        <v/>
      </c>
      <c r="AH370" s="93" t="str">
        <f aca="false">IF(ISBLANK($C370),"",IF(G370=Constants!$B$2,TRUE(),IF(G370=Constants!$B$3,FALSE(),TRUE())))</f>
        <v/>
      </c>
      <c r="AI370" s="93" t="str">
        <f aca="false">IF(ISBLANK($C370),"",IF(AND(ISNUMBER(H370),H370&gt;=0),H370,Constants!$B$24))</f>
        <v/>
      </c>
      <c r="AJ370" s="93" t="str">
        <f aca="false">IF(ISBLANK($C370),"",IF(I370=Constants!$B$2,TRUE(),IF(I370=Constants!$B$3,FALSE(),TRUE())))</f>
        <v/>
      </c>
      <c r="AK370" s="93" t="str">
        <f aca="false">IF(ISBLANK($C370),"",IF(J370=Constants!$B$2,TRUE(),IF(J370=Constants!$B$3,FALSE(),TRUE())))</f>
        <v/>
      </c>
      <c r="AL370" s="93" t="str">
        <f aca="false">IF(ISBLANK($C370),"",IF(K370=Constants!$B$4,TRUE(),IF(K370=Constants!$B$5,FALSE(),COUNTA(L370:P370)&gt;0)))</f>
        <v/>
      </c>
      <c r="AM370" s="95" t="str">
        <f aca="false">IF(ISBLANK($C370),"",IF(ISNUMBER(L370),IF(L370&gt;=0,L370,""),""))</f>
        <v/>
      </c>
      <c r="AN370" s="94" t="str">
        <f aca="false">IF(ISBLANK($C370),"",IF(ISNUMBER(M370),IF(M370&gt;=0,M370,""),""))</f>
        <v/>
      </c>
      <c r="AO370" s="94" t="str">
        <f aca="false">IF(ISBLANK($C370),"",IF(N370=Constants!$B$2,TRUE(),IF(N370=Constants!$B$3,FALSE(),TRUE())))</f>
        <v/>
      </c>
      <c r="AP370" s="93" t="str">
        <f aca="false">IF(ISBLANK($C370),"",IF(ISNUMBER(O370),IF(O370&gt;=0,O370,""),""))</f>
        <v/>
      </c>
      <c r="AQ370" s="93" t="str">
        <f aca="false">IF(ISBLANK($C370),"",IF(P370=Constants!$B$2,TRUE(),IF(P370=Constants!$B$3,FALSE(),FALSE())))</f>
        <v/>
      </c>
      <c r="AR370" s="93" t="str">
        <f aca="false">IF(ISBLANK($C370),"",IF(Q370=Constants!$B$2,TRUE(),IF(Q370=Constants!$B$3,FALSE(),TRUE())))</f>
        <v/>
      </c>
      <c r="AS370" s="93" t="str">
        <f aca="false">IF(ISBLANK($C370),"",IF(R370=Constants!$B$2,TRUE(),IF(R370=Constants!$B$3,FALSE(),TRUE())))</f>
        <v/>
      </c>
      <c r="AT370" s="93" t="str">
        <f aca="false">IF(ISBLANK($C370),"",IF(S370=Constants!$B$4,TRUE(),IF(S370=Constants!$B$5,FALSE(),COUNTA(T370:X370)&gt;0)))</f>
        <v/>
      </c>
      <c r="AU370" s="95" t="str">
        <f aca="false">IF(ISBLANK($C370),"",IF(ISNUMBER(T370),IF(T370&gt;=0,T370,""),""))</f>
        <v/>
      </c>
      <c r="AV370" s="94" t="str">
        <f aca="false">IF(ISBLANK($C370),"",IF(ISNUMBER(U370),IF(U370&gt;=0,U370,""),""))</f>
        <v/>
      </c>
      <c r="AW370" s="94" t="str">
        <f aca="false">IF(ISBLANK($C370),"",IF(V370=Constants!$B$2,TRUE(),IF(V370=Constants!$B$3,FALSE(),TRUE())))</f>
        <v/>
      </c>
      <c r="AX370" s="93" t="str">
        <f aca="false">IF(ISBLANK($C370),"",IF(ISNUMBER(W370),IF(W370&gt;=0,W370,""),""))</f>
        <v/>
      </c>
      <c r="AY370" s="93" t="str">
        <f aca="false">IF(ISBLANK($C370),"",IF(X370=Constants!$B$2,TRUE(),IF(X370=Constants!$B$3,FALSE(),FALSE())))</f>
        <v/>
      </c>
      <c r="AZ370" s="93" t="str">
        <f aca="false">IF(ISBLANK($C370),"",MIN(Constants!$B$25,MAX(0,IF(ISNUMBER(Y370),Y370*60,0)+IF(ISNUMBER(Z370),Z370,0))))</f>
        <v/>
      </c>
      <c r="BA370" s="93" t="str">
        <f aca="false">IF(ISBLANK($C370),"",IF(AA370=Constants!$B$2,TRUE(),IF(AA370=Constants!$B$3,FALSE(),FALSE())))</f>
        <v/>
      </c>
      <c r="BB370" s="92" t="str">
        <f aca="false">IF(ISBLANK($C370),"",AND($AL370,OR($AM370="",$AN370="",AND($AO370,$AP370=""))))</f>
        <v/>
      </c>
      <c r="BC370" s="94" t="str">
        <f aca="false">IF($BX370&lt;&gt;Constants!$B$6,"",IF($AL370,Constants!$B$17*$AN370+Constants!$B$18*IF($AO370,$AP370,Constants!$B$19),Constants!$B$20))</f>
        <v/>
      </c>
      <c r="BD370" s="97" t="str">
        <f aca="false">IF($BX370&lt;&gt;Constants!$B$6,"",Constants!$B$21*ABS($AD$9-IF($AL370,$AM370,0)))</f>
        <v/>
      </c>
      <c r="BE370" s="97" t="str">
        <f aca="false">IF($BX370&lt;&gt;Constants!$B$6,"",IF(AND($AL370,$AQ370,$AO370),Constants!$B$22,0))</f>
        <v/>
      </c>
      <c r="BF370" s="97" t="str">
        <f aca="false">IF($BX370&lt;&gt;Constants!$B$6,"",IF($AL370,($AI370-Constants!$B$24)*Constants!$B$23,0))</f>
        <v/>
      </c>
      <c r="BG370" s="97" t="str">
        <f aca="false">IF($BX370&lt;&gt;Constants!$B$6,"",IF($AK370,0,Constants!$B$12)+IF($AJ370,0,Constants!$B$13)+IF($AH370,0,Constants!$B$14))</f>
        <v/>
      </c>
      <c r="BH370" s="98" t="str">
        <f aca="false">IF($BX370&lt;&gt;Constants!$B$6,"",Constants!$B$16+SUM($BC370:$BG370))</f>
        <v/>
      </c>
      <c r="BI370" s="97" t="str">
        <f aca="false">IF($BX370&lt;&gt;Constants!$B$6,"",$BC370)</f>
        <v/>
      </c>
      <c r="BJ370" s="97" t="str">
        <f aca="false">IF($BX370&lt;&gt;Constants!$B$6,"",$BD370)</f>
        <v/>
      </c>
      <c r="BK370" s="99" t="str">
        <f aca="false">IF($BX370&lt;&gt;Constants!$B$6,"",IF($AL370,$AN370,""))</f>
        <v/>
      </c>
      <c r="BL370" s="93" t="str">
        <f aca="false">IF($BX370&lt;&gt;Constants!$B$6,"",IF(OR($BS370&lt;$BH370,AND($BS370=$BH370,OR($BT370&lt;$BI370,AND($BT370=$BI370,OR($BU370&lt;$BJ370,AND($BU370=$BJ370,AND(ISNUMBER($BV370),OR(NOT(ISNUMBER($BK370)),$BV370&lt;$BK370)))))))),"-&gt;","&lt;-"))</f>
        <v/>
      </c>
      <c r="BM370" s="92" t="str">
        <f aca="false">IF(ISBLANK($C370),"",AND($AT370,OR($AU370="",$AV370="",AND($AW370,$AX370=""))))</f>
        <v/>
      </c>
      <c r="BN370" s="94" t="str">
        <f aca="false">IF($BX370&lt;&gt;Constants!$B$6,"",IF($AT370,Constants!$B$17*$AV370+Constants!$B$18*IF($AW370,$AX370,Constants!$B$19),Constants!$B$20))</f>
        <v/>
      </c>
      <c r="BO370" s="97" t="str">
        <f aca="false">IF($BX370&lt;&gt;Constants!$B$6,"",Constants!$B$21*ABS($AD$9-IF($AT370,$AU370,0)))</f>
        <v/>
      </c>
      <c r="BP370" s="97" t="str">
        <f aca="false">IF($BX370&lt;&gt;Constants!$B$6,"",IF(AND($AT370,$AY370,$AW370),Constants!$B$22,0))</f>
        <v/>
      </c>
      <c r="BQ370" s="97" t="str">
        <f aca="false">IF($BX370&lt;&gt;Constants!$B$6,"",IF($AT370,($AI370-Constants!$B$24)*Constants!$B$23,0))</f>
        <v/>
      </c>
      <c r="BR370" s="97" t="str">
        <f aca="false">IF($BX370&lt;&gt;Constants!$B$6,"",IF($AS370,0,Constants!$B$12)+IF($AR370,0,Constants!$B$13)+IF($AH370,0,Constants!$B$14))</f>
        <v/>
      </c>
      <c r="BS370" s="98" t="str">
        <f aca="false">IF($BX370&lt;&gt;Constants!$B$6,"",Constants!$B$16+SUM($BN370:$BR370))</f>
        <v/>
      </c>
      <c r="BT370" s="97" t="str">
        <f aca="false">IF($BX370&lt;&gt;Constants!$B$6,"",$BN370)</f>
        <v/>
      </c>
      <c r="BU370" s="97" t="str">
        <f aca="false">IF($BX370&lt;&gt;Constants!$B$6,"",$BO370)</f>
        <v/>
      </c>
      <c r="BV370" s="99" t="str">
        <f aca="false">IF($BX370&lt;&gt;Constants!$B$6,"",IF($AT370,$AV370,""))</f>
        <v/>
      </c>
      <c r="BW370" s="93" t="str">
        <f aca="false">IF(ISBLANK($C370),"",IF(ISBLANK($D$7),$BW$5,IF(NOT(ISNUMBER($D$7)),$BW$6,"")))</f>
        <v/>
      </c>
      <c r="BX370" s="93" t="str">
        <f aca="false">IF(ISBLANK($C370),"",IF($BA370,Constants!$B$9,IF(COUNTA($E370:$AA370)=0,Constants!$B$8,IF(NOT($AG370),Constants!$B$7,IF(OR($BW370&lt;&gt;"",$BB370,$BM370),Constants!$B$10,Constants!$B$6)))))</f>
        <v/>
      </c>
      <c r="BY370" s="93" t="str">
        <f aca="false">IF(ISBLANK($C370),"",IF($BX370&lt;&gt;Constants!$B$6,$BX370,Constants!$B$11))</f>
        <v/>
      </c>
      <c r="BZ370" s="97" t="str">
        <f aca="false">IF($BX370&lt;&gt;Constants!$B$6,"",IF($BL370="-&gt;",$BS370,$BH370))</f>
        <v/>
      </c>
      <c r="CA370" s="97" t="str">
        <f aca="false">IF($BX370&lt;&gt;Constants!$B$6,"",IF($AF370,0,Constants!$B$15))</f>
        <v/>
      </c>
      <c r="CB370" s="97" t="str">
        <f aca="false">IF($BX370&lt;&gt;Constants!$B$6,"",((Constants!$B$25-$AZ370)-Constants!$B$25)/Constants!$B$26)</f>
        <v/>
      </c>
      <c r="CC370" s="97" t="str">
        <f aca="false">IF(ISBLANK($C370),"",IF($BX370&lt;&gt;Constants!$B$6,$BX370,SUM($BZ370:$CB370)))</f>
        <v/>
      </c>
      <c r="CD370" s="93" t="str">
        <f aca="false">IF(ISBLANK($C370),"",IF($BX370&lt;&gt;Constants!$B$6,$BX370,RANK($CC370,$CC$9:$CC$508,1)))</f>
        <v/>
      </c>
      <c r="CE370" s="97" t="str">
        <f aca="false">IF($BX370&lt;&gt;Constants!$B$6,"",IF($BL370="-&gt;",$BT370,$BI370))</f>
        <v/>
      </c>
      <c r="CF370" s="93" t="str">
        <f aca="false">IF(ISBLANK($C370),"",IF($BX370&lt;&gt;Constants!$B$6,$BX370,IF(ISNUMBER($CE370),RANK($CE370,$CE$9:$CE$508,1),COUNT($CE$9:$CE$508)+1)))</f>
        <v/>
      </c>
      <c r="CG370" s="97" t="str">
        <f aca="false">IF($BX370&lt;&gt;Constants!$B$6,"",IF($BL370="-&gt;",$BU370,$BJ370))</f>
        <v/>
      </c>
      <c r="CH370" s="93" t="str">
        <f aca="false">IF(ISBLANK($C370),"",IF($BX370&lt;&gt;Constants!$B$6,$BX370,IF(ISNUMBER($CG370),RANK($CG370,$CG$9:$CG$508,1),COUNT($CG$9:$CG$508)+1)))</f>
        <v/>
      </c>
      <c r="CI370" s="97" t="str">
        <f aca="false">IF($BX370&lt;&gt;Constants!$B$6,"",IF($BL370="-&gt;",$BV370,$BK370))</f>
        <v/>
      </c>
      <c r="CJ370" s="93" t="str">
        <f aca="false">IF(ISBLANK($C370),"",IF($BX370&lt;&gt;Constants!$B$6,$BX370,IF(ISNUMBER($CI370),RANK($CI370,$CI$9:$CI$508,1),COUNT($CI$9:$CI$508)+1)))</f>
        <v/>
      </c>
      <c r="CK370" s="97" t="str">
        <f aca="false">IF($BX370&lt;&gt;Constants!$B$6,"",$AI370)</f>
        <v/>
      </c>
      <c r="CL370" s="93" t="str">
        <f aca="false">IF(ISBLANK($C370),"",IF($BX370&lt;&gt;Constants!$B$6,$BX370,IF(ISNUMBER($CK370),RANK($CK370,$CK$9:$CK$508,1),COUNT($CK$9:$CK$508)+1)))</f>
        <v/>
      </c>
      <c r="CM370" s="93" t="str">
        <f aca="false">IF(ISBLANK($C370),"",IF($BX370&lt;&gt;Constants!$B$6,$BX370,COUNTIFS($CD$9:$CD$508,"&lt;"&amp;$CD370)+COUNTIFS($CD$9:$CD$508,$CD370,$CF$9:$CF$508,"&lt;"&amp;$CF370)+COUNTIFS($CD$9:$CD$508,$CD370,$CF$9:$CF$508,$CF370,$CH$9:$CH$508,"&lt;"&amp;$CH370)+COUNTIFS($CD$9:$CD$508,$CD370,$CF$9:$CF$508,$CF370,$CH$9:$CH$508,$CH370,$CJ$9:$CJ$508,"&lt;"&amp;$CJ370)+COUNTIFS($CD$9:$CD$508,$CD370,$CF$9:$CF$508,$CF370,$CH$9:$CH$508,$CH370,$CJ$9:$CJ$508,$CJ370,$CL$9:$CL$508,"&lt;"&amp;$CL370)+1))</f>
        <v/>
      </c>
      <c r="CN370" s="93" t="str">
        <f aca="false">IF(ISBLANK($C370),"",IF($BX370&lt;&gt;Constants!$B$6,$BX370,$CD370-$CM370))</f>
        <v/>
      </c>
      <c r="CO370" s="100"/>
      <c r="CP370" s="101"/>
      <c r="CQ370" s="102" t="str">
        <f aca="false">IF(ISBLANK($C370),"",IF($BX370=Constants!$B$10,$BW370,""))</f>
        <v/>
      </c>
      <c r="CR370" s="101" t="str">
        <f aca="false">IF(ISBLANK($C370),"",IF($BX370&lt;&gt;Constants!$B$6,"",IF($BL370="-&gt;",2,1)))</f>
        <v/>
      </c>
      <c r="CS370" s="103" t="str">
        <f aca="false">IF(ISBLANK($C370),"",IF($BX370&lt;&gt;Constants!$B$6,"",IF($BL370="-&gt;",$BN370,$BC370)))</f>
        <v/>
      </c>
      <c r="CT370" s="103" t="str">
        <f aca="false">IF(ISBLANK($C370),"",IF($BX370&lt;&gt;Constants!$B$6,"",IF($BL370="-&gt;",$BO370,$BD370)))</f>
        <v/>
      </c>
      <c r="CU370" s="103" t="str">
        <f aca="false">IF(ISBLANK($C370),"",IF($BX370&lt;&gt;Constants!$B$6,"",IF($BL370="-&gt;",$BP370+$BQ370,$BE370+$BF370)+$CB370))</f>
        <v/>
      </c>
      <c r="CV370" s="103" t="str">
        <f aca="false">IF(ISBLANK($C370),"",IF($BX370&lt;&gt;Constants!$B$6,"",IF($BL370="-&gt;",$BR370,$BG370)+$CA370))</f>
        <v/>
      </c>
      <c r="CW370" s="104" t="str">
        <f aca="false">IF(ISBLANK($C370),"",IF($BX370&lt;&gt;Constants!$B$6,$BX370,$CC370))</f>
        <v/>
      </c>
      <c r="CX370" s="105" t="str">
        <f aca="false">IF(ISBLANK($C370),"",$BY370)</f>
        <v/>
      </c>
      <c r="CY370" s="106" t="str">
        <f aca="false">IF(ISBLANK($C370),"",$CN370)</f>
        <v/>
      </c>
      <c r="CZ370" s="106" t="str">
        <f aca="false">IF(ISBLANK($C370),"",$CM370)</f>
        <v/>
      </c>
      <c r="DA370" s="107" t="str">
        <f aca="false">IF(ISBLANK($C370),"",IFERROR(_xlfn.SWITCH($CZ370,Constants!$B$9,COUNTA($C$9:$C$508)+2,Constants!$B$8,COUNTA($C$9:$C$508)+1,Constants!$B$7,COUNTA($C$9:$C$508)),$CZ370))</f>
        <v/>
      </c>
      <c r="DB370" s="9"/>
      <c r="DC370" s="108" t="n">
        <f aca="false">IF(OR(ISNUMBER($CZ370),$CZ370=Constants!$B$9,$CZ370=Constants!$B$7,$CZ370=Constants!$B$8),1,0)</f>
        <v>0</v>
      </c>
      <c r="DD370" s="108" t="n">
        <v>362</v>
      </c>
      <c r="DE370" s="108" t="str">
        <f aca="false">IF(ISBLANK($C370),"",IF(ISNUMBER($DA370),$DA370+ROW($B370)/1000,""))</f>
        <v/>
      </c>
      <c r="DF370" s="108" t="str">
        <f aca="false">IF(ISNUMBER($DE370),RANK($DE370,$DE$9:$DE$508,1),"")</f>
        <v/>
      </c>
      <c r="DG370" s="108" t="str">
        <f aca="false">IF(ISBLANK($C370),"",$B370)</f>
        <v/>
      </c>
      <c r="DH370" s="108" t="str">
        <f aca="false">IF(ISBLANK($C370),"",$C370)</f>
        <v/>
      </c>
      <c r="DI370" s="108" t="str">
        <f aca="false">IF(ISBLANK($C370),"",$D370)</f>
        <v/>
      </c>
      <c r="DJ370" s="109" t="str">
        <f aca="false">$CX370</f>
        <v/>
      </c>
      <c r="DK370" s="110" t="str">
        <f aca="false">$CW370</f>
        <v/>
      </c>
      <c r="DL370" s="108" t="str">
        <f aca="false">IF(ISBLANK($C370),"",$CZ370)</f>
        <v/>
      </c>
      <c r="DM370" s="111" t="str">
        <f aca="false">IF($DD370&gt;$DC$8,"",VLOOKUP($DD370,$DF$9:$DL$508,7,FALSE()))</f>
        <v/>
      </c>
      <c r="DN370" s="112" t="str">
        <f aca="false">IF($DD370&gt;$DC$8,"",VLOOKUP($DD370,$DF$9:$DL$508,2,FALSE()))</f>
        <v/>
      </c>
      <c r="DO370" s="112" t="str">
        <f aca="false">IF($DD370&gt;$DC$8,"",VLOOKUP($DD370,$DF$9:$DL$508,3,FALSE()))</f>
        <v/>
      </c>
      <c r="DP370" s="112" t="str">
        <f aca="false">IF($DD370&gt;$DC$8,"",VLOOKUP($DD370,$DF$9:$DL$508,4,FALSE()))</f>
        <v/>
      </c>
      <c r="DQ370" s="112" t="str">
        <f aca="false">IF($DD370&gt;$DC$8,"",VLOOKUP($DD370,$DF$9:$DL$508,5,FALSE()))</f>
        <v/>
      </c>
      <c r="DR370" s="113" t="str">
        <f aca="false">IF($DD370&gt;$DC$8,"",VLOOKUP($DD370,$DF$9:$DL$508,6,FALSE()))</f>
        <v/>
      </c>
      <c r="DS370" s="76"/>
    </row>
    <row r="371" customFormat="false" ht="15.75" hidden="false" customHeight="false" outlineLevel="0" collapsed="false">
      <c r="A371" s="9"/>
      <c r="B371" s="78"/>
      <c r="C371" s="79"/>
      <c r="D371" s="170"/>
      <c r="E371" s="178"/>
      <c r="F371" s="172"/>
      <c r="G371" s="173"/>
      <c r="H371" s="173"/>
      <c r="I371" s="179"/>
      <c r="J371" s="176"/>
      <c r="K371" s="86"/>
      <c r="L371" s="87"/>
      <c r="M371" s="88"/>
      <c r="N371" s="176"/>
      <c r="O371" s="176"/>
      <c r="P371" s="178"/>
      <c r="Q371" s="176"/>
      <c r="R371" s="176"/>
      <c r="S371" s="86"/>
      <c r="T371" s="88"/>
      <c r="U371" s="88"/>
      <c r="V371" s="176"/>
      <c r="W371" s="176"/>
      <c r="X371" s="178"/>
      <c r="Y371" s="176"/>
      <c r="Z371" s="177"/>
      <c r="AA371" s="176"/>
      <c r="AB371" s="92"/>
      <c r="AC371" s="93"/>
      <c r="AD371" s="93"/>
      <c r="AE371" s="93"/>
      <c r="AF371" s="93" t="str">
        <f aca="false">IF(ISBLANK($C371),"",IF(E371=Constants!$B$2,TRUE(),IF(E371=Constants!$B$3,FALSE(),TRUE())))</f>
        <v/>
      </c>
      <c r="AG371" s="93" t="str">
        <f aca="false">IF(ISBLANK($C371),"",IF(F371=Constants!$B$2,TRUE(),IF(F371=Constants!$B$3,FALSE(),TRUE())))</f>
        <v/>
      </c>
      <c r="AH371" s="93" t="str">
        <f aca="false">IF(ISBLANK($C371),"",IF(G371=Constants!$B$2,TRUE(),IF(G371=Constants!$B$3,FALSE(),TRUE())))</f>
        <v/>
      </c>
      <c r="AI371" s="93" t="str">
        <f aca="false">IF(ISBLANK($C371),"",IF(AND(ISNUMBER(H371),H371&gt;=0),H371,Constants!$B$24))</f>
        <v/>
      </c>
      <c r="AJ371" s="93" t="str">
        <f aca="false">IF(ISBLANK($C371),"",IF(I371=Constants!$B$2,TRUE(),IF(I371=Constants!$B$3,FALSE(),TRUE())))</f>
        <v/>
      </c>
      <c r="AK371" s="93" t="str">
        <f aca="false">IF(ISBLANK($C371),"",IF(J371=Constants!$B$2,TRUE(),IF(J371=Constants!$B$3,FALSE(),TRUE())))</f>
        <v/>
      </c>
      <c r="AL371" s="93" t="str">
        <f aca="false">IF(ISBLANK($C371),"",IF(K371=Constants!$B$4,TRUE(),IF(K371=Constants!$B$5,FALSE(),COUNTA(L371:P371)&gt;0)))</f>
        <v/>
      </c>
      <c r="AM371" s="95" t="str">
        <f aca="false">IF(ISBLANK($C371),"",IF(ISNUMBER(L371),IF(L371&gt;=0,L371,""),""))</f>
        <v/>
      </c>
      <c r="AN371" s="94" t="str">
        <f aca="false">IF(ISBLANK($C371),"",IF(ISNUMBER(M371),IF(M371&gt;=0,M371,""),""))</f>
        <v/>
      </c>
      <c r="AO371" s="94" t="str">
        <f aca="false">IF(ISBLANK($C371),"",IF(N371=Constants!$B$2,TRUE(),IF(N371=Constants!$B$3,FALSE(),TRUE())))</f>
        <v/>
      </c>
      <c r="AP371" s="93" t="str">
        <f aca="false">IF(ISBLANK($C371),"",IF(ISNUMBER(O371),IF(O371&gt;=0,O371,""),""))</f>
        <v/>
      </c>
      <c r="AQ371" s="93" t="str">
        <f aca="false">IF(ISBLANK($C371),"",IF(P371=Constants!$B$2,TRUE(),IF(P371=Constants!$B$3,FALSE(),FALSE())))</f>
        <v/>
      </c>
      <c r="AR371" s="93" t="str">
        <f aca="false">IF(ISBLANK($C371),"",IF(Q371=Constants!$B$2,TRUE(),IF(Q371=Constants!$B$3,FALSE(),TRUE())))</f>
        <v/>
      </c>
      <c r="AS371" s="93" t="str">
        <f aca="false">IF(ISBLANK($C371),"",IF(R371=Constants!$B$2,TRUE(),IF(R371=Constants!$B$3,FALSE(),TRUE())))</f>
        <v/>
      </c>
      <c r="AT371" s="93" t="str">
        <f aca="false">IF(ISBLANK($C371),"",IF(S371=Constants!$B$4,TRUE(),IF(S371=Constants!$B$5,FALSE(),COUNTA(T371:X371)&gt;0)))</f>
        <v/>
      </c>
      <c r="AU371" s="95" t="str">
        <f aca="false">IF(ISBLANK($C371),"",IF(ISNUMBER(T371),IF(T371&gt;=0,T371,""),""))</f>
        <v/>
      </c>
      <c r="AV371" s="94" t="str">
        <f aca="false">IF(ISBLANK($C371),"",IF(ISNUMBER(U371),IF(U371&gt;=0,U371,""),""))</f>
        <v/>
      </c>
      <c r="AW371" s="94" t="str">
        <f aca="false">IF(ISBLANK($C371),"",IF(V371=Constants!$B$2,TRUE(),IF(V371=Constants!$B$3,FALSE(),TRUE())))</f>
        <v/>
      </c>
      <c r="AX371" s="93" t="str">
        <f aca="false">IF(ISBLANK($C371),"",IF(ISNUMBER(W371),IF(W371&gt;=0,W371,""),""))</f>
        <v/>
      </c>
      <c r="AY371" s="93" t="str">
        <f aca="false">IF(ISBLANK($C371),"",IF(X371=Constants!$B$2,TRUE(),IF(X371=Constants!$B$3,FALSE(),FALSE())))</f>
        <v/>
      </c>
      <c r="AZ371" s="93" t="str">
        <f aca="false">IF(ISBLANK($C371),"",MIN(Constants!$B$25,MAX(0,IF(ISNUMBER(Y371),Y371*60,0)+IF(ISNUMBER(Z371),Z371,0))))</f>
        <v/>
      </c>
      <c r="BA371" s="93" t="str">
        <f aca="false">IF(ISBLANK($C371),"",IF(AA371=Constants!$B$2,TRUE(),IF(AA371=Constants!$B$3,FALSE(),FALSE())))</f>
        <v/>
      </c>
      <c r="BB371" s="92" t="str">
        <f aca="false">IF(ISBLANK($C371),"",AND($AL371,OR($AM371="",$AN371="",AND($AO371,$AP371=""))))</f>
        <v/>
      </c>
      <c r="BC371" s="94" t="str">
        <f aca="false">IF($BX371&lt;&gt;Constants!$B$6,"",IF($AL371,Constants!$B$17*$AN371+Constants!$B$18*IF($AO371,$AP371,Constants!$B$19),Constants!$B$20))</f>
        <v/>
      </c>
      <c r="BD371" s="97" t="str">
        <f aca="false">IF($BX371&lt;&gt;Constants!$B$6,"",Constants!$B$21*ABS($AD$9-IF($AL371,$AM371,0)))</f>
        <v/>
      </c>
      <c r="BE371" s="97" t="str">
        <f aca="false">IF($BX371&lt;&gt;Constants!$B$6,"",IF(AND($AL371,$AQ371,$AO371),Constants!$B$22,0))</f>
        <v/>
      </c>
      <c r="BF371" s="97" t="str">
        <f aca="false">IF($BX371&lt;&gt;Constants!$B$6,"",IF($AL371,($AI371-Constants!$B$24)*Constants!$B$23,0))</f>
        <v/>
      </c>
      <c r="BG371" s="97" t="str">
        <f aca="false">IF($BX371&lt;&gt;Constants!$B$6,"",IF($AK371,0,Constants!$B$12)+IF($AJ371,0,Constants!$B$13)+IF($AH371,0,Constants!$B$14))</f>
        <v/>
      </c>
      <c r="BH371" s="98" t="str">
        <f aca="false">IF($BX371&lt;&gt;Constants!$B$6,"",Constants!$B$16+SUM($BC371:$BG371))</f>
        <v/>
      </c>
      <c r="BI371" s="97" t="str">
        <f aca="false">IF($BX371&lt;&gt;Constants!$B$6,"",$BC371)</f>
        <v/>
      </c>
      <c r="BJ371" s="97" t="str">
        <f aca="false">IF($BX371&lt;&gt;Constants!$B$6,"",$BD371)</f>
        <v/>
      </c>
      <c r="BK371" s="99" t="str">
        <f aca="false">IF($BX371&lt;&gt;Constants!$B$6,"",IF($AL371,$AN371,""))</f>
        <v/>
      </c>
      <c r="BL371" s="93" t="str">
        <f aca="false">IF($BX371&lt;&gt;Constants!$B$6,"",IF(OR($BS371&lt;$BH371,AND($BS371=$BH371,OR($BT371&lt;$BI371,AND($BT371=$BI371,OR($BU371&lt;$BJ371,AND($BU371=$BJ371,AND(ISNUMBER($BV371),OR(NOT(ISNUMBER($BK371)),$BV371&lt;$BK371)))))))),"-&gt;","&lt;-"))</f>
        <v/>
      </c>
      <c r="BM371" s="92" t="str">
        <f aca="false">IF(ISBLANK($C371),"",AND($AT371,OR($AU371="",$AV371="",AND($AW371,$AX371=""))))</f>
        <v/>
      </c>
      <c r="BN371" s="94" t="str">
        <f aca="false">IF($BX371&lt;&gt;Constants!$B$6,"",IF($AT371,Constants!$B$17*$AV371+Constants!$B$18*IF($AW371,$AX371,Constants!$B$19),Constants!$B$20))</f>
        <v/>
      </c>
      <c r="BO371" s="97" t="str">
        <f aca="false">IF($BX371&lt;&gt;Constants!$B$6,"",Constants!$B$21*ABS($AD$9-IF($AT371,$AU371,0)))</f>
        <v/>
      </c>
      <c r="BP371" s="97" t="str">
        <f aca="false">IF($BX371&lt;&gt;Constants!$B$6,"",IF(AND($AT371,$AY371,$AW371),Constants!$B$22,0))</f>
        <v/>
      </c>
      <c r="BQ371" s="97" t="str">
        <f aca="false">IF($BX371&lt;&gt;Constants!$B$6,"",IF($AT371,($AI371-Constants!$B$24)*Constants!$B$23,0))</f>
        <v/>
      </c>
      <c r="BR371" s="97" t="str">
        <f aca="false">IF($BX371&lt;&gt;Constants!$B$6,"",IF($AS371,0,Constants!$B$12)+IF($AR371,0,Constants!$B$13)+IF($AH371,0,Constants!$B$14))</f>
        <v/>
      </c>
      <c r="BS371" s="98" t="str">
        <f aca="false">IF($BX371&lt;&gt;Constants!$B$6,"",Constants!$B$16+SUM($BN371:$BR371))</f>
        <v/>
      </c>
      <c r="BT371" s="97" t="str">
        <f aca="false">IF($BX371&lt;&gt;Constants!$B$6,"",$BN371)</f>
        <v/>
      </c>
      <c r="BU371" s="97" t="str">
        <f aca="false">IF($BX371&lt;&gt;Constants!$B$6,"",$BO371)</f>
        <v/>
      </c>
      <c r="BV371" s="99" t="str">
        <f aca="false">IF($BX371&lt;&gt;Constants!$B$6,"",IF($AT371,$AV371,""))</f>
        <v/>
      </c>
      <c r="BW371" s="93" t="str">
        <f aca="false">IF(ISBLANK($C371),"",IF(ISBLANK($D$7),$BW$5,IF(NOT(ISNUMBER($D$7)),$BW$6,"")))</f>
        <v/>
      </c>
      <c r="BX371" s="93" t="str">
        <f aca="false">IF(ISBLANK($C371),"",IF($BA371,Constants!$B$9,IF(COUNTA($E371:$AA371)=0,Constants!$B$8,IF(NOT($AG371),Constants!$B$7,IF(OR($BW371&lt;&gt;"",$BB371,$BM371),Constants!$B$10,Constants!$B$6)))))</f>
        <v/>
      </c>
      <c r="BY371" s="93" t="str">
        <f aca="false">IF(ISBLANK($C371),"",IF($BX371&lt;&gt;Constants!$B$6,$BX371,Constants!$B$11))</f>
        <v/>
      </c>
      <c r="BZ371" s="97" t="str">
        <f aca="false">IF($BX371&lt;&gt;Constants!$B$6,"",IF($BL371="-&gt;",$BS371,$BH371))</f>
        <v/>
      </c>
      <c r="CA371" s="97" t="str">
        <f aca="false">IF($BX371&lt;&gt;Constants!$B$6,"",IF($AF371,0,Constants!$B$15))</f>
        <v/>
      </c>
      <c r="CB371" s="97" t="str">
        <f aca="false">IF($BX371&lt;&gt;Constants!$B$6,"",((Constants!$B$25-$AZ371)-Constants!$B$25)/Constants!$B$26)</f>
        <v/>
      </c>
      <c r="CC371" s="97" t="str">
        <f aca="false">IF(ISBLANK($C371),"",IF($BX371&lt;&gt;Constants!$B$6,$BX371,SUM($BZ371:$CB371)))</f>
        <v/>
      </c>
      <c r="CD371" s="93" t="str">
        <f aca="false">IF(ISBLANK($C371),"",IF($BX371&lt;&gt;Constants!$B$6,$BX371,RANK($CC371,$CC$9:$CC$508,1)))</f>
        <v/>
      </c>
      <c r="CE371" s="97" t="str">
        <f aca="false">IF($BX371&lt;&gt;Constants!$B$6,"",IF($BL371="-&gt;",$BT371,$BI371))</f>
        <v/>
      </c>
      <c r="CF371" s="93" t="str">
        <f aca="false">IF(ISBLANK($C371),"",IF($BX371&lt;&gt;Constants!$B$6,$BX371,IF(ISNUMBER($CE371),RANK($CE371,$CE$9:$CE$508,1),COUNT($CE$9:$CE$508)+1)))</f>
        <v/>
      </c>
      <c r="CG371" s="97" t="str">
        <f aca="false">IF($BX371&lt;&gt;Constants!$B$6,"",IF($BL371="-&gt;",$BU371,$BJ371))</f>
        <v/>
      </c>
      <c r="CH371" s="93" t="str">
        <f aca="false">IF(ISBLANK($C371),"",IF($BX371&lt;&gt;Constants!$B$6,$BX371,IF(ISNUMBER($CG371),RANK($CG371,$CG$9:$CG$508,1),COUNT($CG$9:$CG$508)+1)))</f>
        <v/>
      </c>
      <c r="CI371" s="97" t="str">
        <f aca="false">IF($BX371&lt;&gt;Constants!$B$6,"",IF($BL371="-&gt;",$BV371,$BK371))</f>
        <v/>
      </c>
      <c r="CJ371" s="93" t="str">
        <f aca="false">IF(ISBLANK($C371),"",IF($BX371&lt;&gt;Constants!$B$6,$BX371,IF(ISNUMBER($CI371),RANK($CI371,$CI$9:$CI$508,1),COUNT($CI$9:$CI$508)+1)))</f>
        <v/>
      </c>
      <c r="CK371" s="97" t="str">
        <f aca="false">IF($BX371&lt;&gt;Constants!$B$6,"",$AI371)</f>
        <v/>
      </c>
      <c r="CL371" s="93" t="str">
        <f aca="false">IF(ISBLANK($C371),"",IF($BX371&lt;&gt;Constants!$B$6,$BX371,IF(ISNUMBER($CK371),RANK($CK371,$CK$9:$CK$508,1),COUNT($CK$9:$CK$508)+1)))</f>
        <v/>
      </c>
      <c r="CM371" s="93" t="str">
        <f aca="false">IF(ISBLANK($C371),"",IF($BX371&lt;&gt;Constants!$B$6,$BX371,COUNTIFS($CD$9:$CD$508,"&lt;"&amp;$CD371)+COUNTIFS($CD$9:$CD$508,$CD371,$CF$9:$CF$508,"&lt;"&amp;$CF371)+COUNTIFS($CD$9:$CD$508,$CD371,$CF$9:$CF$508,$CF371,$CH$9:$CH$508,"&lt;"&amp;$CH371)+COUNTIFS($CD$9:$CD$508,$CD371,$CF$9:$CF$508,$CF371,$CH$9:$CH$508,$CH371,$CJ$9:$CJ$508,"&lt;"&amp;$CJ371)+COUNTIFS($CD$9:$CD$508,$CD371,$CF$9:$CF$508,$CF371,$CH$9:$CH$508,$CH371,$CJ$9:$CJ$508,$CJ371,$CL$9:$CL$508,"&lt;"&amp;$CL371)+1))</f>
        <v/>
      </c>
      <c r="CN371" s="93" t="str">
        <f aca="false">IF(ISBLANK($C371),"",IF($BX371&lt;&gt;Constants!$B$6,$BX371,$CD371-$CM371))</f>
        <v/>
      </c>
      <c r="CO371" s="100"/>
      <c r="CP371" s="101"/>
      <c r="CQ371" s="102" t="str">
        <f aca="false">IF(ISBLANK($C371),"",IF($BX371=Constants!$B$10,$BW371,""))</f>
        <v/>
      </c>
      <c r="CR371" s="101" t="str">
        <f aca="false">IF(ISBLANK($C371),"",IF($BX371&lt;&gt;Constants!$B$6,"",IF($BL371="-&gt;",2,1)))</f>
        <v/>
      </c>
      <c r="CS371" s="103" t="str">
        <f aca="false">IF(ISBLANK($C371),"",IF($BX371&lt;&gt;Constants!$B$6,"",IF($BL371="-&gt;",$BN371,$BC371)))</f>
        <v/>
      </c>
      <c r="CT371" s="103" t="str">
        <f aca="false">IF(ISBLANK($C371),"",IF($BX371&lt;&gt;Constants!$B$6,"",IF($BL371="-&gt;",$BO371,$BD371)))</f>
        <v/>
      </c>
      <c r="CU371" s="103" t="str">
        <f aca="false">IF(ISBLANK($C371),"",IF($BX371&lt;&gt;Constants!$B$6,"",IF($BL371="-&gt;",$BP371+$BQ371,$BE371+$BF371)+$CB371))</f>
        <v/>
      </c>
      <c r="CV371" s="103" t="str">
        <f aca="false">IF(ISBLANK($C371),"",IF($BX371&lt;&gt;Constants!$B$6,"",IF($BL371="-&gt;",$BR371,$BG371)+$CA371))</f>
        <v/>
      </c>
      <c r="CW371" s="104" t="str">
        <f aca="false">IF(ISBLANK($C371),"",IF($BX371&lt;&gt;Constants!$B$6,$BX371,$CC371))</f>
        <v/>
      </c>
      <c r="CX371" s="105" t="str">
        <f aca="false">IF(ISBLANK($C371),"",$BY371)</f>
        <v/>
      </c>
      <c r="CY371" s="106" t="str">
        <f aca="false">IF(ISBLANK($C371),"",$CN371)</f>
        <v/>
      </c>
      <c r="CZ371" s="106" t="str">
        <f aca="false">IF(ISBLANK($C371),"",$CM371)</f>
        <v/>
      </c>
      <c r="DA371" s="107" t="str">
        <f aca="false">IF(ISBLANK($C371),"",IFERROR(_xlfn.SWITCH($CZ371,Constants!$B$9,COUNTA($C$9:$C$508)+2,Constants!$B$8,COUNTA($C$9:$C$508)+1,Constants!$B$7,COUNTA($C$9:$C$508)),$CZ371))</f>
        <v/>
      </c>
      <c r="DB371" s="9"/>
      <c r="DC371" s="108" t="n">
        <f aca="false">IF(OR(ISNUMBER($CZ371),$CZ371=Constants!$B$9,$CZ371=Constants!$B$7,$CZ371=Constants!$B$8),1,0)</f>
        <v>0</v>
      </c>
      <c r="DD371" s="108" t="n">
        <v>363</v>
      </c>
      <c r="DE371" s="108" t="str">
        <f aca="false">IF(ISBLANK($C371),"",IF(ISNUMBER($DA371),$DA371+ROW($B371)/1000,""))</f>
        <v/>
      </c>
      <c r="DF371" s="108" t="str">
        <f aca="false">IF(ISNUMBER($DE371),RANK($DE371,$DE$9:$DE$508,1),"")</f>
        <v/>
      </c>
      <c r="DG371" s="108" t="str">
        <f aca="false">IF(ISBLANK($C371),"",$B371)</f>
        <v/>
      </c>
      <c r="DH371" s="108" t="str">
        <f aca="false">IF(ISBLANK($C371),"",$C371)</f>
        <v/>
      </c>
      <c r="DI371" s="108" t="str">
        <f aca="false">IF(ISBLANK($C371),"",$D371)</f>
        <v/>
      </c>
      <c r="DJ371" s="109" t="str">
        <f aca="false">$CX371</f>
        <v/>
      </c>
      <c r="DK371" s="110" t="str">
        <f aca="false">$CW371</f>
        <v/>
      </c>
      <c r="DL371" s="108" t="str">
        <f aca="false">IF(ISBLANK($C371),"",$CZ371)</f>
        <v/>
      </c>
      <c r="DM371" s="111" t="str">
        <f aca="false">IF($DD371&gt;$DC$8,"",VLOOKUP($DD371,$DF$9:$DL$508,7,FALSE()))</f>
        <v/>
      </c>
      <c r="DN371" s="112" t="str">
        <f aca="false">IF($DD371&gt;$DC$8,"",VLOOKUP($DD371,$DF$9:$DL$508,2,FALSE()))</f>
        <v/>
      </c>
      <c r="DO371" s="112" t="str">
        <f aca="false">IF($DD371&gt;$DC$8,"",VLOOKUP($DD371,$DF$9:$DL$508,3,FALSE()))</f>
        <v/>
      </c>
      <c r="DP371" s="112" t="str">
        <f aca="false">IF($DD371&gt;$DC$8,"",VLOOKUP($DD371,$DF$9:$DL$508,4,FALSE()))</f>
        <v/>
      </c>
      <c r="DQ371" s="112" t="str">
        <f aca="false">IF($DD371&gt;$DC$8,"",VLOOKUP($DD371,$DF$9:$DL$508,5,FALSE()))</f>
        <v/>
      </c>
      <c r="DR371" s="113" t="str">
        <f aca="false">IF($DD371&gt;$DC$8,"",VLOOKUP($DD371,$DF$9:$DL$508,6,FALSE()))</f>
        <v/>
      </c>
      <c r="DS371" s="76"/>
    </row>
    <row r="372" customFormat="false" ht="15.75" hidden="false" customHeight="false" outlineLevel="0" collapsed="false">
      <c r="A372" s="9"/>
      <c r="B372" s="160"/>
      <c r="C372" s="161"/>
      <c r="D372" s="162"/>
      <c r="E372" s="180"/>
      <c r="F372" s="164"/>
      <c r="G372" s="165"/>
      <c r="H372" s="165"/>
      <c r="I372" s="181"/>
      <c r="J372" s="168"/>
      <c r="K372" s="128"/>
      <c r="L372" s="129"/>
      <c r="M372" s="130"/>
      <c r="N372" s="168"/>
      <c r="O372" s="168"/>
      <c r="P372" s="180"/>
      <c r="Q372" s="168"/>
      <c r="R372" s="168"/>
      <c r="S372" s="128"/>
      <c r="T372" s="130"/>
      <c r="U372" s="130"/>
      <c r="V372" s="168"/>
      <c r="W372" s="168"/>
      <c r="X372" s="180"/>
      <c r="Y372" s="168"/>
      <c r="Z372" s="169"/>
      <c r="AA372" s="168"/>
      <c r="AB372" s="134"/>
      <c r="AC372" s="135"/>
      <c r="AD372" s="135"/>
      <c r="AE372" s="135"/>
      <c r="AF372" s="135" t="str">
        <f aca="false">IF(ISBLANK($C372),"",IF(E372=Constants!$B$2,TRUE(),IF(E372=Constants!$B$3,FALSE(),TRUE())))</f>
        <v/>
      </c>
      <c r="AG372" s="135" t="str">
        <f aca="false">IF(ISBLANK($C372),"",IF(F372=Constants!$B$2,TRUE(),IF(F372=Constants!$B$3,FALSE(),TRUE())))</f>
        <v/>
      </c>
      <c r="AH372" s="135" t="str">
        <f aca="false">IF(ISBLANK($C372),"",IF(G372=Constants!$B$2,TRUE(),IF(G372=Constants!$B$3,FALSE(),TRUE())))</f>
        <v/>
      </c>
      <c r="AI372" s="135" t="str">
        <f aca="false">IF(ISBLANK($C372),"",IF(AND(ISNUMBER(H372),H372&gt;=0),H372,Constants!$B$24))</f>
        <v/>
      </c>
      <c r="AJ372" s="135" t="str">
        <f aca="false">IF(ISBLANK($C372),"",IF(I372=Constants!$B$2,TRUE(),IF(I372=Constants!$B$3,FALSE(),TRUE())))</f>
        <v/>
      </c>
      <c r="AK372" s="135" t="str">
        <f aca="false">IF(ISBLANK($C372),"",IF(J372=Constants!$B$2,TRUE(),IF(J372=Constants!$B$3,FALSE(),TRUE())))</f>
        <v/>
      </c>
      <c r="AL372" s="135" t="str">
        <f aca="false">IF(ISBLANK($C372),"",IF(K372=Constants!$B$4,TRUE(),IF(K372=Constants!$B$5,FALSE(),COUNTA(L372:P372)&gt;0)))</f>
        <v/>
      </c>
      <c r="AM372" s="136" t="str">
        <f aca="false">IF(ISBLANK($C372),"",IF(ISNUMBER(L372),IF(L372&gt;=0,L372,""),""))</f>
        <v/>
      </c>
      <c r="AN372" s="137" t="str">
        <f aca="false">IF(ISBLANK($C372),"",IF(ISNUMBER(M372),IF(M372&gt;=0,M372,""),""))</f>
        <v/>
      </c>
      <c r="AO372" s="137" t="str">
        <f aca="false">IF(ISBLANK($C372),"",IF(N372=Constants!$B$2,TRUE(),IF(N372=Constants!$B$3,FALSE(),TRUE())))</f>
        <v/>
      </c>
      <c r="AP372" s="135" t="str">
        <f aca="false">IF(ISBLANK($C372),"",IF(ISNUMBER(O372),IF(O372&gt;=0,O372,""),""))</f>
        <v/>
      </c>
      <c r="AQ372" s="135" t="str">
        <f aca="false">IF(ISBLANK($C372),"",IF(P372=Constants!$B$2,TRUE(),IF(P372=Constants!$B$3,FALSE(),FALSE())))</f>
        <v/>
      </c>
      <c r="AR372" s="135" t="str">
        <f aca="false">IF(ISBLANK($C372),"",IF(Q372=Constants!$B$2,TRUE(),IF(Q372=Constants!$B$3,FALSE(),TRUE())))</f>
        <v/>
      </c>
      <c r="AS372" s="135" t="str">
        <f aca="false">IF(ISBLANK($C372),"",IF(R372=Constants!$B$2,TRUE(),IF(R372=Constants!$B$3,FALSE(),TRUE())))</f>
        <v/>
      </c>
      <c r="AT372" s="135" t="str">
        <f aca="false">IF(ISBLANK($C372),"",IF(S372=Constants!$B$4,TRUE(),IF(S372=Constants!$B$5,FALSE(),COUNTA(T372:X372)&gt;0)))</f>
        <v/>
      </c>
      <c r="AU372" s="136" t="str">
        <f aca="false">IF(ISBLANK($C372),"",IF(ISNUMBER(T372),IF(T372&gt;=0,T372,""),""))</f>
        <v/>
      </c>
      <c r="AV372" s="137" t="str">
        <f aca="false">IF(ISBLANK($C372),"",IF(ISNUMBER(U372),IF(U372&gt;=0,U372,""),""))</f>
        <v/>
      </c>
      <c r="AW372" s="137" t="str">
        <f aca="false">IF(ISBLANK($C372),"",IF(V372=Constants!$B$2,TRUE(),IF(V372=Constants!$B$3,FALSE(),TRUE())))</f>
        <v/>
      </c>
      <c r="AX372" s="135" t="str">
        <f aca="false">IF(ISBLANK($C372),"",IF(ISNUMBER(W372),IF(W372&gt;=0,W372,""),""))</f>
        <v/>
      </c>
      <c r="AY372" s="135" t="str">
        <f aca="false">IF(ISBLANK($C372),"",IF(X372=Constants!$B$2,TRUE(),IF(X372=Constants!$B$3,FALSE(),FALSE())))</f>
        <v/>
      </c>
      <c r="AZ372" s="135" t="str">
        <f aca="false">IF(ISBLANK($C372),"",MIN(Constants!$B$25,MAX(0,IF(ISNUMBER(Y372),Y372*60,0)+IF(ISNUMBER(Z372),Z372,0))))</f>
        <v/>
      </c>
      <c r="BA372" s="135" t="str">
        <f aca="false">IF(ISBLANK($C372),"",IF(AA372=Constants!$B$2,TRUE(),IF(AA372=Constants!$B$3,FALSE(),FALSE())))</f>
        <v/>
      </c>
      <c r="BB372" s="134" t="str">
        <f aca="false">IF(ISBLANK($C372),"",AND($AL372,OR($AM372="",$AN372="",AND($AO372,$AP372=""))))</f>
        <v/>
      </c>
      <c r="BC372" s="137" t="str">
        <f aca="false">IF($BX372&lt;&gt;Constants!$B$6,"",IF($AL372,Constants!$B$17*$AN372+Constants!$B$18*IF($AO372,$AP372,Constants!$B$19),Constants!$B$20))</f>
        <v/>
      </c>
      <c r="BD372" s="138" t="str">
        <f aca="false">IF($BX372&lt;&gt;Constants!$B$6,"",Constants!$B$21*ABS($AD$9-IF($AL372,$AM372,0)))</f>
        <v/>
      </c>
      <c r="BE372" s="138" t="str">
        <f aca="false">IF($BX372&lt;&gt;Constants!$B$6,"",IF(AND($AL372,$AQ372,$AO372),Constants!$B$22,0))</f>
        <v/>
      </c>
      <c r="BF372" s="138" t="str">
        <f aca="false">IF($BX372&lt;&gt;Constants!$B$6,"",IF($AL372,($AI372-Constants!$B$24)*Constants!$B$23,0))</f>
        <v/>
      </c>
      <c r="BG372" s="138" t="str">
        <f aca="false">IF($BX372&lt;&gt;Constants!$B$6,"",IF($AK372,0,Constants!$B$12)+IF($AJ372,0,Constants!$B$13)+IF($AH372,0,Constants!$B$14))</f>
        <v/>
      </c>
      <c r="BH372" s="139" t="str">
        <f aca="false">IF($BX372&lt;&gt;Constants!$B$6,"",Constants!$B$16+SUM($BC372:$BG372))</f>
        <v/>
      </c>
      <c r="BI372" s="138" t="str">
        <f aca="false">IF($BX372&lt;&gt;Constants!$B$6,"",$BC372)</f>
        <v/>
      </c>
      <c r="BJ372" s="138" t="str">
        <f aca="false">IF($BX372&lt;&gt;Constants!$B$6,"",$BD372)</f>
        <v/>
      </c>
      <c r="BK372" s="140" t="str">
        <f aca="false">IF($BX372&lt;&gt;Constants!$B$6,"",IF($AL372,$AN372,""))</f>
        <v/>
      </c>
      <c r="BL372" s="135" t="str">
        <f aca="false">IF($BX372&lt;&gt;Constants!$B$6,"",IF(OR($BS372&lt;$BH372,AND($BS372=$BH372,OR($BT372&lt;$BI372,AND($BT372=$BI372,OR($BU372&lt;$BJ372,AND($BU372=$BJ372,AND(ISNUMBER($BV372),OR(NOT(ISNUMBER($BK372)),$BV372&lt;$BK372)))))))),"-&gt;","&lt;-"))</f>
        <v/>
      </c>
      <c r="BM372" s="134" t="str">
        <f aca="false">IF(ISBLANK($C372),"",AND($AT372,OR($AU372="",$AV372="",AND($AW372,$AX372=""))))</f>
        <v/>
      </c>
      <c r="BN372" s="137" t="str">
        <f aca="false">IF($BX372&lt;&gt;Constants!$B$6,"",IF($AT372,Constants!$B$17*$AV372+Constants!$B$18*IF($AW372,$AX372,Constants!$B$19),Constants!$B$20))</f>
        <v/>
      </c>
      <c r="BO372" s="138" t="str">
        <f aca="false">IF($BX372&lt;&gt;Constants!$B$6,"",Constants!$B$21*ABS($AD$9-IF($AT372,$AU372,0)))</f>
        <v/>
      </c>
      <c r="BP372" s="138" t="str">
        <f aca="false">IF($BX372&lt;&gt;Constants!$B$6,"",IF(AND($AT372,$AY372,$AW372),Constants!$B$22,0))</f>
        <v/>
      </c>
      <c r="BQ372" s="138" t="str">
        <f aca="false">IF($BX372&lt;&gt;Constants!$B$6,"",IF($AT372,($AI372-Constants!$B$24)*Constants!$B$23,0))</f>
        <v/>
      </c>
      <c r="BR372" s="138" t="str">
        <f aca="false">IF($BX372&lt;&gt;Constants!$B$6,"",IF($AS372,0,Constants!$B$12)+IF($AR372,0,Constants!$B$13)+IF($AH372,0,Constants!$B$14))</f>
        <v/>
      </c>
      <c r="BS372" s="139" t="str">
        <f aca="false">IF($BX372&lt;&gt;Constants!$B$6,"",Constants!$B$16+SUM($BN372:$BR372))</f>
        <v/>
      </c>
      <c r="BT372" s="138" t="str">
        <f aca="false">IF($BX372&lt;&gt;Constants!$B$6,"",$BN372)</f>
        <v/>
      </c>
      <c r="BU372" s="138" t="str">
        <f aca="false">IF($BX372&lt;&gt;Constants!$B$6,"",$BO372)</f>
        <v/>
      </c>
      <c r="BV372" s="140" t="str">
        <f aca="false">IF($BX372&lt;&gt;Constants!$B$6,"",IF($AT372,$AV372,""))</f>
        <v/>
      </c>
      <c r="BW372" s="135" t="str">
        <f aca="false">IF(ISBLANK($C372),"",IF(ISBLANK($D$7),$BW$5,IF(NOT(ISNUMBER($D$7)),$BW$6,"")))</f>
        <v/>
      </c>
      <c r="BX372" s="135" t="str">
        <f aca="false">IF(ISBLANK($C372),"",IF($BA372,Constants!$B$9,IF(COUNTA($E372:$AA372)=0,Constants!$B$8,IF(NOT($AG372),Constants!$B$7,IF(OR($BW372&lt;&gt;"",$BB372,$BM372),Constants!$B$10,Constants!$B$6)))))</f>
        <v/>
      </c>
      <c r="BY372" s="135" t="str">
        <f aca="false">IF(ISBLANK($C372),"",IF($BX372&lt;&gt;Constants!$B$6,$BX372,Constants!$B$11))</f>
        <v/>
      </c>
      <c r="BZ372" s="138" t="str">
        <f aca="false">IF($BX372&lt;&gt;Constants!$B$6,"",IF($BL372="-&gt;",$BS372,$BH372))</f>
        <v/>
      </c>
      <c r="CA372" s="138" t="str">
        <f aca="false">IF($BX372&lt;&gt;Constants!$B$6,"",IF($AF372,0,Constants!$B$15))</f>
        <v/>
      </c>
      <c r="CB372" s="138" t="str">
        <f aca="false">IF($BX372&lt;&gt;Constants!$B$6,"",((Constants!$B$25-$AZ372)-Constants!$B$25)/Constants!$B$26)</f>
        <v/>
      </c>
      <c r="CC372" s="138" t="str">
        <f aca="false">IF(ISBLANK($C372),"",IF($BX372&lt;&gt;Constants!$B$6,$BX372,SUM($BZ372:$CB372)))</f>
        <v/>
      </c>
      <c r="CD372" s="135" t="str">
        <f aca="false">IF(ISBLANK($C372),"",IF($BX372&lt;&gt;Constants!$B$6,$BX372,RANK($CC372,$CC$9:$CC$508,1)))</f>
        <v/>
      </c>
      <c r="CE372" s="138" t="str">
        <f aca="false">IF($BX372&lt;&gt;Constants!$B$6,"",IF($BL372="-&gt;",$BT372,$BI372))</f>
        <v/>
      </c>
      <c r="CF372" s="135" t="str">
        <f aca="false">IF(ISBLANK($C372),"",IF($BX372&lt;&gt;Constants!$B$6,$BX372,IF(ISNUMBER($CE372),RANK($CE372,$CE$9:$CE$508,1),COUNT($CE$9:$CE$508)+1)))</f>
        <v/>
      </c>
      <c r="CG372" s="138" t="str">
        <f aca="false">IF($BX372&lt;&gt;Constants!$B$6,"",IF($BL372="-&gt;",$BU372,$BJ372))</f>
        <v/>
      </c>
      <c r="CH372" s="135" t="str">
        <f aca="false">IF(ISBLANK($C372),"",IF($BX372&lt;&gt;Constants!$B$6,$BX372,IF(ISNUMBER($CG372),RANK($CG372,$CG$9:$CG$508,1),COUNT($CG$9:$CG$508)+1)))</f>
        <v/>
      </c>
      <c r="CI372" s="138" t="str">
        <f aca="false">IF($BX372&lt;&gt;Constants!$B$6,"",IF($BL372="-&gt;",$BV372,$BK372))</f>
        <v/>
      </c>
      <c r="CJ372" s="135" t="str">
        <f aca="false">IF(ISBLANK($C372),"",IF($BX372&lt;&gt;Constants!$B$6,$BX372,IF(ISNUMBER($CI372),RANK($CI372,$CI$9:$CI$508,1),COUNT($CI$9:$CI$508)+1)))</f>
        <v/>
      </c>
      <c r="CK372" s="138" t="str">
        <f aca="false">IF($BX372&lt;&gt;Constants!$B$6,"",$AI372)</f>
        <v/>
      </c>
      <c r="CL372" s="135" t="str">
        <f aca="false">IF(ISBLANK($C372),"",IF($BX372&lt;&gt;Constants!$B$6,$BX372,IF(ISNUMBER($CK372),RANK($CK372,$CK$9:$CK$508,1),COUNT($CK$9:$CK$508)+1)))</f>
        <v/>
      </c>
      <c r="CM372" s="135" t="str">
        <f aca="false">IF(ISBLANK($C372),"",IF($BX372&lt;&gt;Constants!$B$6,$BX372,COUNTIFS($CD$9:$CD$508,"&lt;"&amp;$CD372)+COUNTIFS($CD$9:$CD$508,$CD372,$CF$9:$CF$508,"&lt;"&amp;$CF372)+COUNTIFS($CD$9:$CD$508,$CD372,$CF$9:$CF$508,$CF372,$CH$9:$CH$508,"&lt;"&amp;$CH372)+COUNTIFS($CD$9:$CD$508,$CD372,$CF$9:$CF$508,$CF372,$CH$9:$CH$508,$CH372,$CJ$9:$CJ$508,"&lt;"&amp;$CJ372)+COUNTIFS($CD$9:$CD$508,$CD372,$CF$9:$CF$508,$CF372,$CH$9:$CH$508,$CH372,$CJ$9:$CJ$508,$CJ372,$CL$9:$CL$508,"&lt;"&amp;$CL372)+1))</f>
        <v/>
      </c>
      <c r="CN372" s="135" t="str">
        <f aca="false">IF(ISBLANK($C372),"",IF($BX372&lt;&gt;Constants!$B$6,$BX372,$CD372-$CM372))</f>
        <v/>
      </c>
      <c r="CO372" s="141"/>
      <c r="CP372" s="142"/>
      <c r="CQ372" s="143" t="str">
        <f aca="false">IF(ISBLANK($C372),"",IF($BX372=Constants!$B$10,$BW372,""))</f>
        <v/>
      </c>
      <c r="CR372" s="142" t="str">
        <f aca="false">IF(ISBLANK($C372),"",IF($BX372&lt;&gt;Constants!$B$6,"",IF($BL372="-&gt;",2,1)))</f>
        <v/>
      </c>
      <c r="CS372" s="144" t="str">
        <f aca="false">IF(ISBLANK($C372),"",IF($BX372&lt;&gt;Constants!$B$6,"",IF($BL372="-&gt;",$BN372,$BC372)))</f>
        <v/>
      </c>
      <c r="CT372" s="144" t="str">
        <f aca="false">IF(ISBLANK($C372),"",IF($BX372&lt;&gt;Constants!$B$6,"",IF($BL372="-&gt;",$BO372,$BD372)))</f>
        <v/>
      </c>
      <c r="CU372" s="144" t="str">
        <f aca="false">IF(ISBLANK($C372),"",IF($BX372&lt;&gt;Constants!$B$6,"",IF($BL372="-&gt;",$BP372+$BQ372,$BE372+$BF372)+$CB372))</f>
        <v/>
      </c>
      <c r="CV372" s="144" t="str">
        <f aca="false">IF(ISBLANK($C372),"",IF($BX372&lt;&gt;Constants!$B$6,"",IF($BL372="-&gt;",$BR372,$BG372)+$CA372))</f>
        <v/>
      </c>
      <c r="CW372" s="145" t="str">
        <f aca="false">IF(ISBLANK($C372),"",IF($BX372&lt;&gt;Constants!$B$6,$BX372,$CC372))</f>
        <v/>
      </c>
      <c r="CX372" s="146" t="str">
        <f aca="false">IF(ISBLANK($C372),"",$BY372)</f>
        <v/>
      </c>
      <c r="CY372" s="147" t="str">
        <f aca="false">IF(ISBLANK($C372),"",$CN372)</f>
        <v/>
      </c>
      <c r="CZ372" s="147" t="str">
        <f aca="false">IF(ISBLANK($C372),"",$CM372)</f>
        <v/>
      </c>
      <c r="DA372" s="148" t="str">
        <f aca="false">IF(ISBLANK($C372),"",IFERROR(_xlfn.SWITCH($CZ372,Constants!$B$9,COUNTA($C$9:$C$508)+2,Constants!$B$8,COUNTA($C$9:$C$508)+1,Constants!$B$7,COUNTA($C$9:$C$508)),$CZ372))</f>
        <v/>
      </c>
      <c r="DB372" s="9"/>
      <c r="DC372" s="149" t="n">
        <f aca="false">IF(OR(ISNUMBER($CZ372),$CZ372=Constants!$B$9,$CZ372=Constants!$B$7,$CZ372=Constants!$B$8),1,0)</f>
        <v>0</v>
      </c>
      <c r="DD372" s="149" t="n">
        <v>364</v>
      </c>
      <c r="DE372" s="149" t="str">
        <f aca="false">IF(ISBLANK($C372),"",IF(ISNUMBER($DA372),$DA372+ROW($B372)/1000,""))</f>
        <v/>
      </c>
      <c r="DF372" s="149" t="str">
        <f aca="false">IF(ISNUMBER($DE372),RANK($DE372,$DE$9:$DE$508,1),"")</f>
        <v/>
      </c>
      <c r="DG372" s="149" t="str">
        <f aca="false">IF(ISBLANK($C372),"",$B372)</f>
        <v/>
      </c>
      <c r="DH372" s="149" t="str">
        <f aca="false">IF(ISBLANK($C372),"",$C372)</f>
        <v/>
      </c>
      <c r="DI372" s="149" t="str">
        <f aca="false">IF(ISBLANK($C372),"",$D372)</f>
        <v/>
      </c>
      <c r="DJ372" s="150" t="str">
        <f aca="false">$CX372</f>
        <v/>
      </c>
      <c r="DK372" s="151" t="str">
        <f aca="false">$CW372</f>
        <v/>
      </c>
      <c r="DL372" s="149" t="str">
        <f aca="false">IF(ISBLANK($C372),"",$CZ372)</f>
        <v/>
      </c>
      <c r="DM372" s="152" t="str">
        <f aca="false">IF($DD372&gt;$DC$8,"",VLOOKUP($DD372,$DF$9:$DL$508,7,FALSE()))</f>
        <v/>
      </c>
      <c r="DN372" s="153" t="str">
        <f aca="false">IF($DD372&gt;$DC$8,"",VLOOKUP($DD372,$DF$9:$DL$508,2,FALSE()))</f>
        <v/>
      </c>
      <c r="DO372" s="153" t="str">
        <f aca="false">IF($DD372&gt;$DC$8,"",VLOOKUP($DD372,$DF$9:$DL$508,3,FALSE()))</f>
        <v/>
      </c>
      <c r="DP372" s="153" t="str">
        <f aca="false">IF($DD372&gt;$DC$8,"",VLOOKUP($DD372,$DF$9:$DL$508,4,FALSE()))</f>
        <v/>
      </c>
      <c r="DQ372" s="153" t="str">
        <f aca="false">IF($DD372&gt;$DC$8,"",VLOOKUP($DD372,$DF$9:$DL$508,5,FALSE()))</f>
        <v/>
      </c>
      <c r="DR372" s="154" t="str">
        <f aca="false">IF($DD372&gt;$DC$8,"",VLOOKUP($DD372,$DF$9:$DL$508,6,FALSE()))</f>
        <v/>
      </c>
      <c r="DS372" s="76"/>
    </row>
    <row r="373" customFormat="false" ht="15.75" hidden="false" customHeight="false" outlineLevel="0" collapsed="false">
      <c r="A373" s="9"/>
      <c r="B373" s="160"/>
      <c r="C373" s="161"/>
      <c r="D373" s="162"/>
      <c r="E373" s="180"/>
      <c r="F373" s="164"/>
      <c r="G373" s="165"/>
      <c r="H373" s="165"/>
      <c r="I373" s="181"/>
      <c r="J373" s="168"/>
      <c r="K373" s="128"/>
      <c r="L373" s="129"/>
      <c r="M373" s="130"/>
      <c r="N373" s="168"/>
      <c r="O373" s="168"/>
      <c r="P373" s="180"/>
      <c r="Q373" s="168"/>
      <c r="R373" s="168"/>
      <c r="S373" s="128"/>
      <c r="T373" s="130"/>
      <c r="U373" s="130"/>
      <c r="V373" s="168"/>
      <c r="W373" s="168"/>
      <c r="X373" s="180"/>
      <c r="Y373" s="168"/>
      <c r="Z373" s="169"/>
      <c r="AA373" s="168"/>
      <c r="AB373" s="134"/>
      <c r="AC373" s="135"/>
      <c r="AD373" s="135"/>
      <c r="AE373" s="135"/>
      <c r="AF373" s="135" t="str">
        <f aca="false">IF(ISBLANK($C373),"",IF(E373=Constants!$B$2,TRUE(),IF(E373=Constants!$B$3,FALSE(),TRUE())))</f>
        <v/>
      </c>
      <c r="AG373" s="135" t="str">
        <f aca="false">IF(ISBLANK($C373),"",IF(F373=Constants!$B$2,TRUE(),IF(F373=Constants!$B$3,FALSE(),TRUE())))</f>
        <v/>
      </c>
      <c r="AH373" s="135" t="str">
        <f aca="false">IF(ISBLANK($C373),"",IF(G373=Constants!$B$2,TRUE(),IF(G373=Constants!$B$3,FALSE(),TRUE())))</f>
        <v/>
      </c>
      <c r="AI373" s="135" t="str">
        <f aca="false">IF(ISBLANK($C373),"",IF(AND(ISNUMBER(H373),H373&gt;=0),H373,Constants!$B$24))</f>
        <v/>
      </c>
      <c r="AJ373" s="135" t="str">
        <f aca="false">IF(ISBLANK($C373),"",IF(I373=Constants!$B$2,TRUE(),IF(I373=Constants!$B$3,FALSE(),TRUE())))</f>
        <v/>
      </c>
      <c r="AK373" s="135" t="str">
        <f aca="false">IF(ISBLANK($C373),"",IF(J373=Constants!$B$2,TRUE(),IF(J373=Constants!$B$3,FALSE(),TRUE())))</f>
        <v/>
      </c>
      <c r="AL373" s="135" t="str">
        <f aca="false">IF(ISBLANK($C373),"",IF(K373=Constants!$B$4,TRUE(),IF(K373=Constants!$B$5,FALSE(),COUNTA(L373:P373)&gt;0)))</f>
        <v/>
      </c>
      <c r="AM373" s="136" t="str">
        <f aca="false">IF(ISBLANK($C373),"",IF(ISNUMBER(L373),IF(L373&gt;=0,L373,""),""))</f>
        <v/>
      </c>
      <c r="AN373" s="137" t="str">
        <f aca="false">IF(ISBLANK($C373),"",IF(ISNUMBER(M373),IF(M373&gt;=0,M373,""),""))</f>
        <v/>
      </c>
      <c r="AO373" s="137" t="str">
        <f aca="false">IF(ISBLANK($C373),"",IF(N373=Constants!$B$2,TRUE(),IF(N373=Constants!$B$3,FALSE(),TRUE())))</f>
        <v/>
      </c>
      <c r="AP373" s="135" t="str">
        <f aca="false">IF(ISBLANK($C373),"",IF(ISNUMBER(O373),IF(O373&gt;=0,O373,""),""))</f>
        <v/>
      </c>
      <c r="AQ373" s="135" t="str">
        <f aca="false">IF(ISBLANK($C373),"",IF(P373=Constants!$B$2,TRUE(),IF(P373=Constants!$B$3,FALSE(),FALSE())))</f>
        <v/>
      </c>
      <c r="AR373" s="135" t="str">
        <f aca="false">IF(ISBLANK($C373),"",IF(Q373=Constants!$B$2,TRUE(),IF(Q373=Constants!$B$3,FALSE(),TRUE())))</f>
        <v/>
      </c>
      <c r="AS373" s="135" t="str">
        <f aca="false">IF(ISBLANK($C373),"",IF(R373=Constants!$B$2,TRUE(),IF(R373=Constants!$B$3,FALSE(),TRUE())))</f>
        <v/>
      </c>
      <c r="AT373" s="135" t="str">
        <f aca="false">IF(ISBLANK($C373),"",IF(S373=Constants!$B$4,TRUE(),IF(S373=Constants!$B$5,FALSE(),COUNTA(T373:X373)&gt;0)))</f>
        <v/>
      </c>
      <c r="AU373" s="136" t="str">
        <f aca="false">IF(ISBLANK($C373),"",IF(ISNUMBER(T373),IF(T373&gt;=0,T373,""),""))</f>
        <v/>
      </c>
      <c r="AV373" s="137" t="str">
        <f aca="false">IF(ISBLANK($C373),"",IF(ISNUMBER(U373),IF(U373&gt;=0,U373,""),""))</f>
        <v/>
      </c>
      <c r="AW373" s="137" t="str">
        <f aca="false">IF(ISBLANK($C373),"",IF(V373=Constants!$B$2,TRUE(),IF(V373=Constants!$B$3,FALSE(),TRUE())))</f>
        <v/>
      </c>
      <c r="AX373" s="135" t="str">
        <f aca="false">IF(ISBLANK($C373),"",IF(ISNUMBER(W373),IF(W373&gt;=0,W373,""),""))</f>
        <v/>
      </c>
      <c r="AY373" s="135" t="str">
        <f aca="false">IF(ISBLANK($C373),"",IF(X373=Constants!$B$2,TRUE(),IF(X373=Constants!$B$3,FALSE(),FALSE())))</f>
        <v/>
      </c>
      <c r="AZ373" s="135" t="str">
        <f aca="false">IF(ISBLANK($C373),"",MIN(Constants!$B$25,MAX(0,IF(ISNUMBER(Y373),Y373*60,0)+IF(ISNUMBER(Z373),Z373,0))))</f>
        <v/>
      </c>
      <c r="BA373" s="135" t="str">
        <f aca="false">IF(ISBLANK($C373),"",IF(AA373=Constants!$B$2,TRUE(),IF(AA373=Constants!$B$3,FALSE(),FALSE())))</f>
        <v/>
      </c>
      <c r="BB373" s="134" t="str">
        <f aca="false">IF(ISBLANK($C373),"",AND($AL373,OR($AM373="",$AN373="",AND($AO373,$AP373=""))))</f>
        <v/>
      </c>
      <c r="BC373" s="137" t="str">
        <f aca="false">IF($BX373&lt;&gt;Constants!$B$6,"",IF($AL373,Constants!$B$17*$AN373+Constants!$B$18*IF($AO373,$AP373,Constants!$B$19),Constants!$B$20))</f>
        <v/>
      </c>
      <c r="BD373" s="138" t="str">
        <f aca="false">IF($BX373&lt;&gt;Constants!$B$6,"",Constants!$B$21*ABS($AD$9-IF($AL373,$AM373,0)))</f>
        <v/>
      </c>
      <c r="BE373" s="138" t="str">
        <f aca="false">IF($BX373&lt;&gt;Constants!$B$6,"",IF(AND($AL373,$AQ373,$AO373),Constants!$B$22,0))</f>
        <v/>
      </c>
      <c r="BF373" s="138" t="str">
        <f aca="false">IF($BX373&lt;&gt;Constants!$B$6,"",IF($AL373,($AI373-Constants!$B$24)*Constants!$B$23,0))</f>
        <v/>
      </c>
      <c r="BG373" s="138" t="str">
        <f aca="false">IF($BX373&lt;&gt;Constants!$B$6,"",IF($AK373,0,Constants!$B$12)+IF($AJ373,0,Constants!$B$13)+IF($AH373,0,Constants!$B$14))</f>
        <v/>
      </c>
      <c r="BH373" s="139" t="str">
        <f aca="false">IF($BX373&lt;&gt;Constants!$B$6,"",Constants!$B$16+SUM($BC373:$BG373))</f>
        <v/>
      </c>
      <c r="BI373" s="138" t="str">
        <f aca="false">IF($BX373&lt;&gt;Constants!$B$6,"",$BC373)</f>
        <v/>
      </c>
      <c r="BJ373" s="138" t="str">
        <f aca="false">IF($BX373&lt;&gt;Constants!$B$6,"",$BD373)</f>
        <v/>
      </c>
      <c r="BK373" s="140" t="str">
        <f aca="false">IF($BX373&lt;&gt;Constants!$B$6,"",IF($AL373,$AN373,""))</f>
        <v/>
      </c>
      <c r="BL373" s="135" t="str">
        <f aca="false">IF($BX373&lt;&gt;Constants!$B$6,"",IF(OR($BS373&lt;$BH373,AND($BS373=$BH373,OR($BT373&lt;$BI373,AND($BT373=$BI373,OR($BU373&lt;$BJ373,AND($BU373=$BJ373,AND(ISNUMBER($BV373),OR(NOT(ISNUMBER($BK373)),$BV373&lt;$BK373)))))))),"-&gt;","&lt;-"))</f>
        <v/>
      </c>
      <c r="BM373" s="134" t="str">
        <f aca="false">IF(ISBLANK($C373),"",AND($AT373,OR($AU373="",$AV373="",AND($AW373,$AX373=""))))</f>
        <v/>
      </c>
      <c r="BN373" s="137" t="str">
        <f aca="false">IF($BX373&lt;&gt;Constants!$B$6,"",IF($AT373,Constants!$B$17*$AV373+Constants!$B$18*IF($AW373,$AX373,Constants!$B$19),Constants!$B$20))</f>
        <v/>
      </c>
      <c r="BO373" s="138" t="str">
        <f aca="false">IF($BX373&lt;&gt;Constants!$B$6,"",Constants!$B$21*ABS($AD$9-IF($AT373,$AU373,0)))</f>
        <v/>
      </c>
      <c r="BP373" s="138" t="str">
        <f aca="false">IF($BX373&lt;&gt;Constants!$B$6,"",IF(AND($AT373,$AY373,$AW373),Constants!$B$22,0))</f>
        <v/>
      </c>
      <c r="BQ373" s="138" t="str">
        <f aca="false">IF($BX373&lt;&gt;Constants!$B$6,"",IF($AT373,($AI373-Constants!$B$24)*Constants!$B$23,0))</f>
        <v/>
      </c>
      <c r="BR373" s="138" t="str">
        <f aca="false">IF($BX373&lt;&gt;Constants!$B$6,"",IF($AS373,0,Constants!$B$12)+IF($AR373,0,Constants!$B$13)+IF($AH373,0,Constants!$B$14))</f>
        <v/>
      </c>
      <c r="BS373" s="139" t="str">
        <f aca="false">IF($BX373&lt;&gt;Constants!$B$6,"",Constants!$B$16+SUM($BN373:$BR373))</f>
        <v/>
      </c>
      <c r="BT373" s="138" t="str">
        <f aca="false">IF($BX373&lt;&gt;Constants!$B$6,"",$BN373)</f>
        <v/>
      </c>
      <c r="BU373" s="138" t="str">
        <f aca="false">IF($BX373&lt;&gt;Constants!$B$6,"",$BO373)</f>
        <v/>
      </c>
      <c r="BV373" s="140" t="str">
        <f aca="false">IF($BX373&lt;&gt;Constants!$B$6,"",IF($AT373,$AV373,""))</f>
        <v/>
      </c>
      <c r="BW373" s="135" t="str">
        <f aca="false">IF(ISBLANK($C373),"",IF(ISBLANK($D$7),$BW$5,IF(NOT(ISNUMBER($D$7)),$BW$6,"")))</f>
        <v/>
      </c>
      <c r="BX373" s="135" t="str">
        <f aca="false">IF(ISBLANK($C373),"",IF($BA373,Constants!$B$9,IF(COUNTA($E373:$AA373)=0,Constants!$B$8,IF(NOT($AG373),Constants!$B$7,IF(OR($BW373&lt;&gt;"",$BB373,$BM373),Constants!$B$10,Constants!$B$6)))))</f>
        <v/>
      </c>
      <c r="BY373" s="135" t="str">
        <f aca="false">IF(ISBLANK($C373),"",IF($BX373&lt;&gt;Constants!$B$6,$BX373,Constants!$B$11))</f>
        <v/>
      </c>
      <c r="BZ373" s="138" t="str">
        <f aca="false">IF($BX373&lt;&gt;Constants!$B$6,"",IF($BL373="-&gt;",$BS373,$BH373))</f>
        <v/>
      </c>
      <c r="CA373" s="138" t="str">
        <f aca="false">IF($BX373&lt;&gt;Constants!$B$6,"",IF($AF373,0,Constants!$B$15))</f>
        <v/>
      </c>
      <c r="CB373" s="138" t="str">
        <f aca="false">IF($BX373&lt;&gt;Constants!$B$6,"",((Constants!$B$25-$AZ373)-Constants!$B$25)/Constants!$B$26)</f>
        <v/>
      </c>
      <c r="CC373" s="138" t="str">
        <f aca="false">IF(ISBLANK($C373),"",IF($BX373&lt;&gt;Constants!$B$6,$BX373,SUM($BZ373:$CB373)))</f>
        <v/>
      </c>
      <c r="CD373" s="135" t="str">
        <f aca="false">IF(ISBLANK($C373),"",IF($BX373&lt;&gt;Constants!$B$6,$BX373,RANK($CC373,$CC$9:$CC$508,1)))</f>
        <v/>
      </c>
      <c r="CE373" s="138" t="str">
        <f aca="false">IF($BX373&lt;&gt;Constants!$B$6,"",IF($BL373="-&gt;",$BT373,$BI373))</f>
        <v/>
      </c>
      <c r="CF373" s="135" t="str">
        <f aca="false">IF(ISBLANK($C373),"",IF($BX373&lt;&gt;Constants!$B$6,$BX373,IF(ISNUMBER($CE373),RANK($CE373,$CE$9:$CE$508,1),COUNT($CE$9:$CE$508)+1)))</f>
        <v/>
      </c>
      <c r="CG373" s="138" t="str">
        <f aca="false">IF($BX373&lt;&gt;Constants!$B$6,"",IF($BL373="-&gt;",$BU373,$BJ373))</f>
        <v/>
      </c>
      <c r="CH373" s="135" t="str">
        <f aca="false">IF(ISBLANK($C373),"",IF($BX373&lt;&gt;Constants!$B$6,$BX373,IF(ISNUMBER($CG373),RANK($CG373,$CG$9:$CG$508,1),COUNT($CG$9:$CG$508)+1)))</f>
        <v/>
      </c>
      <c r="CI373" s="138" t="str">
        <f aca="false">IF($BX373&lt;&gt;Constants!$B$6,"",IF($BL373="-&gt;",$BV373,$BK373))</f>
        <v/>
      </c>
      <c r="CJ373" s="135" t="str">
        <f aca="false">IF(ISBLANK($C373),"",IF($BX373&lt;&gt;Constants!$B$6,$BX373,IF(ISNUMBER($CI373),RANK($CI373,$CI$9:$CI$508,1),COUNT($CI$9:$CI$508)+1)))</f>
        <v/>
      </c>
      <c r="CK373" s="138" t="str">
        <f aca="false">IF($BX373&lt;&gt;Constants!$B$6,"",$AI373)</f>
        <v/>
      </c>
      <c r="CL373" s="135" t="str">
        <f aca="false">IF(ISBLANK($C373),"",IF($BX373&lt;&gt;Constants!$B$6,$BX373,IF(ISNUMBER($CK373),RANK($CK373,$CK$9:$CK$508,1),COUNT($CK$9:$CK$508)+1)))</f>
        <v/>
      </c>
      <c r="CM373" s="135" t="str">
        <f aca="false">IF(ISBLANK($C373),"",IF($BX373&lt;&gt;Constants!$B$6,$BX373,COUNTIFS($CD$9:$CD$508,"&lt;"&amp;$CD373)+COUNTIFS($CD$9:$CD$508,$CD373,$CF$9:$CF$508,"&lt;"&amp;$CF373)+COUNTIFS($CD$9:$CD$508,$CD373,$CF$9:$CF$508,$CF373,$CH$9:$CH$508,"&lt;"&amp;$CH373)+COUNTIFS($CD$9:$CD$508,$CD373,$CF$9:$CF$508,$CF373,$CH$9:$CH$508,$CH373,$CJ$9:$CJ$508,"&lt;"&amp;$CJ373)+COUNTIFS($CD$9:$CD$508,$CD373,$CF$9:$CF$508,$CF373,$CH$9:$CH$508,$CH373,$CJ$9:$CJ$508,$CJ373,$CL$9:$CL$508,"&lt;"&amp;$CL373)+1))</f>
        <v/>
      </c>
      <c r="CN373" s="135" t="str">
        <f aca="false">IF(ISBLANK($C373),"",IF($BX373&lt;&gt;Constants!$B$6,$BX373,$CD373-$CM373))</f>
        <v/>
      </c>
      <c r="CO373" s="141"/>
      <c r="CP373" s="142"/>
      <c r="CQ373" s="143" t="str">
        <f aca="false">IF(ISBLANK($C373),"",IF($BX373=Constants!$B$10,$BW373,""))</f>
        <v/>
      </c>
      <c r="CR373" s="142" t="str">
        <f aca="false">IF(ISBLANK($C373),"",IF($BX373&lt;&gt;Constants!$B$6,"",IF($BL373="-&gt;",2,1)))</f>
        <v/>
      </c>
      <c r="CS373" s="144" t="str">
        <f aca="false">IF(ISBLANK($C373),"",IF($BX373&lt;&gt;Constants!$B$6,"",IF($BL373="-&gt;",$BN373,$BC373)))</f>
        <v/>
      </c>
      <c r="CT373" s="144" t="str">
        <f aca="false">IF(ISBLANK($C373),"",IF($BX373&lt;&gt;Constants!$B$6,"",IF($BL373="-&gt;",$BO373,$BD373)))</f>
        <v/>
      </c>
      <c r="CU373" s="144" t="str">
        <f aca="false">IF(ISBLANK($C373),"",IF($BX373&lt;&gt;Constants!$B$6,"",IF($BL373="-&gt;",$BP373+$BQ373,$BE373+$BF373)+$CB373))</f>
        <v/>
      </c>
      <c r="CV373" s="144" t="str">
        <f aca="false">IF(ISBLANK($C373),"",IF($BX373&lt;&gt;Constants!$B$6,"",IF($BL373="-&gt;",$BR373,$BG373)+$CA373))</f>
        <v/>
      </c>
      <c r="CW373" s="145" t="str">
        <f aca="false">IF(ISBLANK($C373),"",IF($BX373&lt;&gt;Constants!$B$6,$BX373,$CC373))</f>
        <v/>
      </c>
      <c r="CX373" s="146" t="str">
        <f aca="false">IF(ISBLANK($C373),"",$BY373)</f>
        <v/>
      </c>
      <c r="CY373" s="147" t="str">
        <f aca="false">IF(ISBLANK($C373),"",$CN373)</f>
        <v/>
      </c>
      <c r="CZ373" s="147" t="str">
        <f aca="false">IF(ISBLANK($C373),"",$CM373)</f>
        <v/>
      </c>
      <c r="DA373" s="148" t="str">
        <f aca="false">IF(ISBLANK($C373),"",IFERROR(_xlfn.SWITCH($CZ373,Constants!$B$9,COUNTA($C$9:$C$508)+2,Constants!$B$8,COUNTA($C$9:$C$508)+1,Constants!$B$7,COUNTA($C$9:$C$508)),$CZ373))</f>
        <v/>
      </c>
      <c r="DB373" s="9"/>
      <c r="DC373" s="149" t="n">
        <f aca="false">IF(OR(ISNUMBER($CZ373),$CZ373=Constants!$B$9,$CZ373=Constants!$B$7,$CZ373=Constants!$B$8),1,0)</f>
        <v>0</v>
      </c>
      <c r="DD373" s="149" t="n">
        <v>365</v>
      </c>
      <c r="DE373" s="149" t="str">
        <f aca="false">IF(ISBLANK($C373),"",IF(ISNUMBER($DA373),$DA373+ROW($B373)/1000,""))</f>
        <v/>
      </c>
      <c r="DF373" s="149" t="str">
        <f aca="false">IF(ISNUMBER($DE373),RANK($DE373,$DE$9:$DE$508,1),"")</f>
        <v/>
      </c>
      <c r="DG373" s="149" t="str">
        <f aca="false">IF(ISBLANK($C373),"",$B373)</f>
        <v/>
      </c>
      <c r="DH373" s="149" t="str">
        <f aca="false">IF(ISBLANK($C373),"",$C373)</f>
        <v/>
      </c>
      <c r="DI373" s="149" t="str">
        <f aca="false">IF(ISBLANK($C373),"",$D373)</f>
        <v/>
      </c>
      <c r="DJ373" s="150" t="str">
        <f aca="false">$CX373</f>
        <v/>
      </c>
      <c r="DK373" s="151" t="str">
        <f aca="false">$CW373</f>
        <v/>
      </c>
      <c r="DL373" s="149" t="str">
        <f aca="false">IF(ISBLANK($C373),"",$CZ373)</f>
        <v/>
      </c>
      <c r="DM373" s="152" t="str">
        <f aca="false">IF($DD373&gt;$DC$8,"",VLOOKUP($DD373,$DF$9:$DL$508,7,FALSE()))</f>
        <v/>
      </c>
      <c r="DN373" s="153" t="str">
        <f aca="false">IF($DD373&gt;$DC$8,"",VLOOKUP($DD373,$DF$9:$DL$508,2,FALSE()))</f>
        <v/>
      </c>
      <c r="DO373" s="153" t="str">
        <f aca="false">IF($DD373&gt;$DC$8,"",VLOOKUP($DD373,$DF$9:$DL$508,3,FALSE()))</f>
        <v/>
      </c>
      <c r="DP373" s="153" t="str">
        <f aca="false">IF($DD373&gt;$DC$8,"",VLOOKUP($DD373,$DF$9:$DL$508,4,FALSE()))</f>
        <v/>
      </c>
      <c r="DQ373" s="153" t="str">
        <f aca="false">IF($DD373&gt;$DC$8,"",VLOOKUP($DD373,$DF$9:$DL$508,5,FALSE()))</f>
        <v/>
      </c>
      <c r="DR373" s="154" t="str">
        <f aca="false">IF($DD373&gt;$DC$8,"",VLOOKUP($DD373,$DF$9:$DL$508,6,FALSE()))</f>
        <v/>
      </c>
      <c r="DS373" s="76"/>
    </row>
    <row r="374" customFormat="false" ht="15.75" hidden="false" customHeight="false" outlineLevel="0" collapsed="false">
      <c r="A374" s="9"/>
      <c r="B374" s="160"/>
      <c r="C374" s="161"/>
      <c r="D374" s="162"/>
      <c r="E374" s="180"/>
      <c r="F374" s="164"/>
      <c r="G374" s="165"/>
      <c r="H374" s="165"/>
      <c r="I374" s="181"/>
      <c r="J374" s="168"/>
      <c r="K374" s="128"/>
      <c r="L374" s="129"/>
      <c r="M374" s="130"/>
      <c r="N374" s="168"/>
      <c r="O374" s="168"/>
      <c r="P374" s="180"/>
      <c r="Q374" s="168"/>
      <c r="R374" s="168"/>
      <c r="S374" s="128"/>
      <c r="T374" s="130"/>
      <c r="U374" s="130"/>
      <c r="V374" s="168"/>
      <c r="W374" s="168"/>
      <c r="X374" s="180"/>
      <c r="Y374" s="168"/>
      <c r="Z374" s="169"/>
      <c r="AA374" s="168"/>
      <c r="AB374" s="134"/>
      <c r="AC374" s="135"/>
      <c r="AD374" s="135"/>
      <c r="AE374" s="135"/>
      <c r="AF374" s="135" t="str">
        <f aca="false">IF(ISBLANK($C374),"",IF(E374=Constants!$B$2,TRUE(),IF(E374=Constants!$B$3,FALSE(),TRUE())))</f>
        <v/>
      </c>
      <c r="AG374" s="135" t="str">
        <f aca="false">IF(ISBLANK($C374),"",IF(F374=Constants!$B$2,TRUE(),IF(F374=Constants!$B$3,FALSE(),TRUE())))</f>
        <v/>
      </c>
      <c r="AH374" s="135" t="str">
        <f aca="false">IF(ISBLANK($C374),"",IF(G374=Constants!$B$2,TRUE(),IF(G374=Constants!$B$3,FALSE(),TRUE())))</f>
        <v/>
      </c>
      <c r="AI374" s="135" t="str">
        <f aca="false">IF(ISBLANK($C374),"",IF(AND(ISNUMBER(H374),H374&gt;=0),H374,Constants!$B$24))</f>
        <v/>
      </c>
      <c r="AJ374" s="135" t="str">
        <f aca="false">IF(ISBLANK($C374),"",IF(I374=Constants!$B$2,TRUE(),IF(I374=Constants!$B$3,FALSE(),TRUE())))</f>
        <v/>
      </c>
      <c r="AK374" s="135" t="str">
        <f aca="false">IF(ISBLANK($C374),"",IF(J374=Constants!$B$2,TRUE(),IF(J374=Constants!$B$3,FALSE(),TRUE())))</f>
        <v/>
      </c>
      <c r="AL374" s="135" t="str">
        <f aca="false">IF(ISBLANK($C374),"",IF(K374=Constants!$B$4,TRUE(),IF(K374=Constants!$B$5,FALSE(),COUNTA(L374:P374)&gt;0)))</f>
        <v/>
      </c>
      <c r="AM374" s="136" t="str">
        <f aca="false">IF(ISBLANK($C374),"",IF(ISNUMBER(L374),IF(L374&gt;=0,L374,""),""))</f>
        <v/>
      </c>
      <c r="AN374" s="137" t="str">
        <f aca="false">IF(ISBLANK($C374),"",IF(ISNUMBER(M374),IF(M374&gt;=0,M374,""),""))</f>
        <v/>
      </c>
      <c r="AO374" s="137" t="str">
        <f aca="false">IF(ISBLANK($C374),"",IF(N374=Constants!$B$2,TRUE(),IF(N374=Constants!$B$3,FALSE(),TRUE())))</f>
        <v/>
      </c>
      <c r="AP374" s="135" t="str">
        <f aca="false">IF(ISBLANK($C374),"",IF(ISNUMBER(O374),IF(O374&gt;=0,O374,""),""))</f>
        <v/>
      </c>
      <c r="AQ374" s="135" t="str">
        <f aca="false">IF(ISBLANK($C374),"",IF(P374=Constants!$B$2,TRUE(),IF(P374=Constants!$B$3,FALSE(),FALSE())))</f>
        <v/>
      </c>
      <c r="AR374" s="135" t="str">
        <f aca="false">IF(ISBLANK($C374),"",IF(Q374=Constants!$B$2,TRUE(),IF(Q374=Constants!$B$3,FALSE(),TRUE())))</f>
        <v/>
      </c>
      <c r="AS374" s="135" t="str">
        <f aca="false">IF(ISBLANK($C374),"",IF(R374=Constants!$B$2,TRUE(),IF(R374=Constants!$B$3,FALSE(),TRUE())))</f>
        <v/>
      </c>
      <c r="AT374" s="135" t="str">
        <f aca="false">IF(ISBLANK($C374),"",IF(S374=Constants!$B$4,TRUE(),IF(S374=Constants!$B$5,FALSE(),COUNTA(T374:X374)&gt;0)))</f>
        <v/>
      </c>
      <c r="AU374" s="136" t="str">
        <f aca="false">IF(ISBLANK($C374),"",IF(ISNUMBER(T374),IF(T374&gt;=0,T374,""),""))</f>
        <v/>
      </c>
      <c r="AV374" s="137" t="str">
        <f aca="false">IF(ISBLANK($C374),"",IF(ISNUMBER(U374),IF(U374&gt;=0,U374,""),""))</f>
        <v/>
      </c>
      <c r="AW374" s="137" t="str">
        <f aca="false">IF(ISBLANK($C374),"",IF(V374=Constants!$B$2,TRUE(),IF(V374=Constants!$B$3,FALSE(),TRUE())))</f>
        <v/>
      </c>
      <c r="AX374" s="135" t="str">
        <f aca="false">IF(ISBLANK($C374),"",IF(ISNUMBER(W374),IF(W374&gt;=0,W374,""),""))</f>
        <v/>
      </c>
      <c r="AY374" s="135" t="str">
        <f aca="false">IF(ISBLANK($C374),"",IF(X374=Constants!$B$2,TRUE(),IF(X374=Constants!$B$3,FALSE(),FALSE())))</f>
        <v/>
      </c>
      <c r="AZ374" s="135" t="str">
        <f aca="false">IF(ISBLANK($C374),"",MIN(Constants!$B$25,MAX(0,IF(ISNUMBER(Y374),Y374*60,0)+IF(ISNUMBER(Z374),Z374,0))))</f>
        <v/>
      </c>
      <c r="BA374" s="135" t="str">
        <f aca="false">IF(ISBLANK($C374),"",IF(AA374=Constants!$B$2,TRUE(),IF(AA374=Constants!$B$3,FALSE(),FALSE())))</f>
        <v/>
      </c>
      <c r="BB374" s="134" t="str">
        <f aca="false">IF(ISBLANK($C374),"",AND($AL374,OR($AM374="",$AN374="",AND($AO374,$AP374=""))))</f>
        <v/>
      </c>
      <c r="BC374" s="137" t="str">
        <f aca="false">IF($BX374&lt;&gt;Constants!$B$6,"",IF($AL374,Constants!$B$17*$AN374+Constants!$B$18*IF($AO374,$AP374,Constants!$B$19),Constants!$B$20))</f>
        <v/>
      </c>
      <c r="BD374" s="138" t="str">
        <f aca="false">IF($BX374&lt;&gt;Constants!$B$6,"",Constants!$B$21*ABS($AD$9-IF($AL374,$AM374,0)))</f>
        <v/>
      </c>
      <c r="BE374" s="138" t="str">
        <f aca="false">IF($BX374&lt;&gt;Constants!$B$6,"",IF(AND($AL374,$AQ374,$AO374),Constants!$B$22,0))</f>
        <v/>
      </c>
      <c r="BF374" s="138" t="str">
        <f aca="false">IF($BX374&lt;&gt;Constants!$B$6,"",IF($AL374,($AI374-Constants!$B$24)*Constants!$B$23,0))</f>
        <v/>
      </c>
      <c r="BG374" s="138" t="str">
        <f aca="false">IF($BX374&lt;&gt;Constants!$B$6,"",IF($AK374,0,Constants!$B$12)+IF($AJ374,0,Constants!$B$13)+IF($AH374,0,Constants!$B$14))</f>
        <v/>
      </c>
      <c r="BH374" s="139" t="str">
        <f aca="false">IF($BX374&lt;&gt;Constants!$B$6,"",Constants!$B$16+SUM($BC374:$BG374))</f>
        <v/>
      </c>
      <c r="BI374" s="138" t="str">
        <f aca="false">IF($BX374&lt;&gt;Constants!$B$6,"",$BC374)</f>
        <v/>
      </c>
      <c r="BJ374" s="138" t="str">
        <f aca="false">IF($BX374&lt;&gt;Constants!$B$6,"",$BD374)</f>
        <v/>
      </c>
      <c r="BK374" s="140" t="str">
        <f aca="false">IF($BX374&lt;&gt;Constants!$B$6,"",IF($AL374,$AN374,""))</f>
        <v/>
      </c>
      <c r="BL374" s="135" t="str">
        <f aca="false">IF($BX374&lt;&gt;Constants!$B$6,"",IF(OR($BS374&lt;$BH374,AND($BS374=$BH374,OR($BT374&lt;$BI374,AND($BT374=$BI374,OR($BU374&lt;$BJ374,AND($BU374=$BJ374,AND(ISNUMBER($BV374),OR(NOT(ISNUMBER($BK374)),$BV374&lt;$BK374)))))))),"-&gt;","&lt;-"))</f>
        <v/>
      </c>
      <c r="BM374" s="134" t="str">
        <f aca="false">IF(ISBLANK($C374),"",AND($AT374,OR($AU374="",$AV374="",AND($AW374,$AX374=""))))</f>
        <v/>
      </c>
      <c r="BN374" s="137" t="str">
        <f aca="false">IF($BX374&lt;&gt;Constants!$B$6,"",IF($AT374,Constants!$B$17*$AV374+Constants!$B$18*IF($AW374,$AX374,Constants!$B$19),Constants!$B$20))</f>
        <v/>
      </c>
      <c r="BO374" s="138" t="str">
        <f aca="false">IF($BX374&lt;&gt;Constants!$B$6,"",Constants!$B$21*ABS($AD$9-IF($AT374,$AU374,0)))</f>
        <v/>
      </c>
      <c r="BP374" s="138" t="str">
        <f aca="false">IF($BX374&lt;&gt;Constants!$B$6,"",IF(AND($AT374,$AY374,$AW374),Constants!$B$22,0))</f>
        <v/>
      </c>
      <c r="BQ374" s="138" t="str">
        <f aca="false">IF($BX374&lt;&gt;Constants!$B$6,"",IF($AT374,($AI374-Constants!$B$24)*Constants!$B$23,0))</f>
        <v/>
      </c>
      <c r="BR374" s="138" t="str">
        <f aca="false">IF($BX374&lt;&gt;Constants!$B$6,"",IF($AS374,0,Constants!$B$12)+IF($AR374,0,Constants!$B$13)+IF($AH374,0,Constants!$B$14))</f>
        <v/>
      </c>
      <c r="BS374" s="139" t="str">
        <f aca="false">IF($BX374&lt;&gt;Constants!$B$6,"",Constants!$B$16+SUM($BN374:$BR374))</f>
        <v/>
      </c>
      <c r="BT374" s="138" t="str">
        <f aca="false">IF($BX374&lt;&gt;Constants!$B$6,"",$BN374)</f>
        <v/>
      </c>
      <c r="BU374" s="138" t="str">
        <f aca="false">IF($BX374&lt;&gt;Constants!$B$6,"",$BO374)</f>
        <v/>
      </c>
      <c r="BV374" s="140" t="str">
        <f aca="false">IF($BX374&lt;&gt;Constants!$B$6,"",IF($AT374,$AV374,""))</f>
        <v/>
      </c>
      <c r="BW374" s="135" t="str">
        <f aca="false">IF(ISBLANK($C374),"",IF(ISBLANK($D$7),$BW$5,IF(NOT(ISNUMBER($D$7)),$BW$6,"")))</f>
        <v/>
      </c>
      <c r="BX374" s="135" t="str">
        <f aca="false">IF(ISBLANK($C374),"",IF($BA374,Constants!$B$9,IF(COUNTA($E374:$AA374)=0,Constants!$B$8,IF(NOT($AG374),Constants!$B$7,IF(OR($BW374&lt;&gt;"",$BB374,$BM374),Constants!$B$10,Constants!$B$6)))))</f>
        <v/>
      </c>
      <c r="BY374" s="135" t="str">
        <f aca="false">IF(ISBLANK($C374),"",IF($BX374&lt;&gt;Constants!$B$6,$BX374,Constants!$B$11))</f>
        <v/>
      </c>
      <c r="BZ374" s="138" t="str">
        <f aca="false">IF($BX374&lt;&gt;Constants!$B$6,"",IF($BL374="-&gt;",$BS374,$BH374))</f>
        <v/>
      </c>
      <c r="CA374" s="138" t="str">
        <f aca="false">IF($BX374&lt;&gt;Constants!$B$6,"",IF($AF374,0,Constants!$B$15))</f>
        <v/>
      </c>
      <c r="CB374" s="138" t="str">
        <f aca="false">IF($BX374&lt;&gt;Constants!$B$6,"",((Constants!$B$25-$AZ374)-Constants!$B$25)/Constants!$B$26)</f>
        <v/>
      </c>
      <c r="CC374" s="138" t="str">
        <f aca="false">IF(ISBLANK($C374),"",IF($BX374&lt;&gt;Constants!$B$6,$BX374,SUM($BZ374:$CB374)))</f>
        <v/>
      </c>
      <c r="CD374" s="135" t="str">
        <f aca="false">IF(ISBLANK($C374),"",IF($BX374&lt;&gt;Constants!$B$6,$BX374,RANK($CC374,$CC$9:$CC$508,1)))</f>
        <v/>
      </c>
      <c r="CE374" s="138" t="str">
        <f aca="false">IF($BX374&lt;&gt;Constants!$B$6,"",IF($BL374="-&gt;",$BT374,$BI374))</f>
        <v/>
      </c>
      <c r="CF374" s="135" t="str">
        <f aca="false">IF(ISBLANK($C374),"",IF($BX374&lt;&gt;Constants!$B$6,$BX374,IF(ISNUMBER($CE374),RANK($CE374,$CE$9:$CE$508,1),COUNT($CE$9:$CE$508)+1)))</f>
        <v/>
      </c>
      <c r="CG374" s="138" t="str">
        <f aca="false">IF($BX374&lt;&gt;Constants!$B$6,"",IF($BL374="-&gt;",$BU374,$BJ374))</f>
        <v/>
      </c>
      <c r="CH374" s="135" t="str">
        <f aca="false">IF(ISBLANK($C374),"",IF($BX374&lt;&gt;Constants!$B$6,$BX374,IF(ISNUMBER($CG374),RANK($CG374,$CG$9:$CG$508,1),COUNT($CG$9:$CG$508)+1)))</f>
        <v/>
      </c>
      <c r="CI374" s="138" t="str">
        <f aca="false">IF($BX374&lt;&gt;Constants!$B$6,"",IF($BL374="-&gt;",$BV374,$BK374))</f>
        <v/>
      </c>
      <c r="CJ374" s="135" t="str">
        <f aca="false">IF(ISBLANK($C374),"",IF($BX374&lt;&gt;Constants!$B$6,$BX374,IF(ISNUMBER($CI374),RANK($CI374,$CI$9:$CI$508,1),COUNT($CI$9:$CI$508)+1)))</f>
        <v/>
      </c>
      <c r="CK374" s="138" t="str">
        <f aca="false">IF($BX374&lt;&gt;Constants!$B$6,"",$AI374)</f>
        <v/>
      </c>
      <c r="CL374" s="135" t="str">
        <f aca="false">IF(ISBLANK($C374),"",IF($BX374&lt;&gt;Constants!$B$6,$BX374,IF(ISNUMBER($CK374),RANK($CK374,$CK$9:$CK$508,1),COUNT($CK$9:$CK$508)+1)))</f>
        <v/>
      </c>
      <c r="CM374" s="135" t="str">
        <f aca="false">IF(ISBLANK($C374),"",IF($BX374&lt;&gt;Constants!$B$6,$BX374,COUNTIFS($CD$9:$CD$508,"&lt;"&amp;$CD374)+COUNTIFS($CD$9:$CD$508,$CD374,$CF$9:$CF$508,"&lt;"&amp;$CF374)+COUNTIFS($CD$9:$CD$508,$CD374,$CF$9:$CF$508,$CF374,$CH$9:$CH$508,"&lt;"&amp;$CH374)+COUNTIFS($CD$9:$CD$508,$CD374,$CF$9:$CF$508,$CF374,$CH$9:$CH$508,$CH374,$CJ$9:$CJ$508,"&lt;"&amp;$CJ374)+COUNTIFS($CD$9:$CD$508,$CD374,$CF$9:$CF$508,$CF374,$CH$9:$CH$508,$CH374,$CJ$9:$CJ$508,$CJ374,$CL$9:$CL$508,"&lt;"&amp;$CL374)+1))</f>
        <v/>
      </c>
      <c r="CN374" s="135" t="str">
        <f aca="false">IF(ISBLANK($C374),"",IF($BX374&lt;&gt;Constants!$B$6,$BX374,$CD374-$CM374))</f>
        <v/>
      </c>
      <c r="CO374" s="141"/>
      <c r="CP374" s="142"/>
      <c r="CQ374" s="143" t="str">
        <f aca="false">IF(ISBLANK($C374),"",IF($BX374=Constants!$B$10,$BW374,""))</f>
        <v/>
      </c>
      <c r="CR374" s="142" t="str">
        <f aca="false">IF(ISBLANK($C374),"",IF($BX374&lt;&gt;Constants!$B$6,"",IF($BL374="-&gt;",2,1)))</f>
        <v/>
      </c>
      <c r="CS374" s="144" t="str">
        <f aca="false">IF(ISBLANK($C374),"",IF($BX374&lt;&gt;Constants!$B$6,"",IF($BL374="-&gt;",$BN374,$BC374)))</f>
        <v/>
      </c>
      <c r="CT374" s="144" t="str">
        <f aca="false">IF(ISBLANK($C374),"",IF($BX374&lt;&gt;Constants!$B$6,"",IF($BL374="-&gt;",$BO374,$BD374)))</f>
        <v/>
      </c>
      <c r="CU374" s="144" t="str">
        <f aca="false">IF(ISBLANK($C374),"",IF($BX374&lt;&gt;Constants!$B$6,"",IF($BL374="-&gt;",$BP374+$BQ374,$BE374+$BF374)+$CB374))</f>
        <v/>
      </c>
      <c r="CV374" s="144" t="str">
        <f aca="false">IF(ISBLANK($C374),"",IF($BX374&lt;&gt;Constants!$B$6,"",IF($BL374="-&gt;",$BR374,$BG374)+$CA374))</f>
        <v/>
      </c>
      <c r="CW374" s="145" t="str">
        <f aca="false">IF(ISBLANK($C374),"",IF($BX374&lt;&gt;Constants!$B$6,$BX374,$CC374))</f>
        <v/>
      </c>
      <c r="CX374" s="146" t="str">
        <f aca="false">IF(ISBLANK($C374),"",$BY374)</f>
        <v/>
      </c>
      <c r="CY374" s="147" t="str">
        <f aca="false">IF(ISBLANK($C374),"",$CN374)</f>
        <v/>
      </c>
      <c r="CZ374" s="147" t="str">
        <f aca="false">IF(ISBLANK($C374),"",$CM374)</f>
        <v/>
      </c>
      <c r="DA374" s="148" t="str">
        <f aca="false">IF(ISBLANK($C374),"",IFERROR(_xlfn.SWITCH($CZ374,Constants!$B$9,COUNTA($C$9:$C$508)+2,Constants!$B$8,COUNTA($C$9:$C$508)+1,Constants!$B$7,COUNTA($C$9:$C$508)),$CZ374))</f>
        <v/>
      </c>
      <c r="DB374" s="9"/>
      <c r="DC374" s="149" t="n">
        <f aca="false">IF(OR(ISNUMBER($CZ374),$CZ374=Constants!$B$9,$CZ374=Constants!$B$7,$CZ374=Constants!$B$8),1,0)</f>
        <v>0</v>
      </c>
      <c r="DD374" s="149" t="n">
        <v>366</v>
      </c>
      <c r="DE374" s="149" t="str">
        <f aca="false">IF(ISBLANK($C374),"",IF(ISNUMBER($DA374),$DA374+ROW($B374)/1000,""))</f>
        <v/>
      </c>
      <c r="DF374" s="149" t="str">
        <f aca="false">IF(ISNUMBER($DE374),RANK($DE374,$DE$9:$DE$508,1),"")</f>
        <v/>
      </c>
      <c r="DG374" s="149" t="str">
        <f aca="false">IF(ISBLANK($C374),"",$B374)</f>
        <v/>
      </c>
      <c r="DH374" s="149" t="str">
        <f aca="false">IF(ISBLANK($C374),"",$C374)</f>
        <v/>
      </c>
      <c r="DI374" s="149" t="str">
        <f aca="false">IF(ISBLANK($C374),"",$D374)</f>
        <v/>
      </c>
      <c r="DJ374" s="150" t="str">
        <f aca="false">$CX374</f>
        <v/>
      </c>
      <c r="DK374" s="151" t="str">
        <f aca="false">$CW374</f>
        <v/>
      </c>
      <c r="DL374" s="149" t="str">
        <f aca="false">IF(ISBLANK($C374),"",$CZ374)</f>
        <v/>
      </c>
      <c r="DM374" s="152" t="str">
        <f aca="false">IF($DD374&gt;$DC$8,"",VLOOKUP($DD374,$DF$9:$DL$508,7,FALSE()))</f>
        <v/>
      </c>
      <c r="DN374" s="153" t="str">
        <f aca="false">IF($DD374&gt;$DC$8,"",VLOOKUP($DD374,$DF$9:$DL$508,2,FALSE()))</f>
        <v/>
      </c>
      <c r="DO374" s="153" t="str">
        <f aca="false">IF($DD374&gt;$DC$8,"",VLOOKUP($DD374,$DF$9:$DL$508,3,FALSE()))</f>
        <v/>
      </c>
      <c r="DP374" s="153" t="str">
        <f aca="false">IF($DD374&gt;$DC$8,"",VLOOKUP($DD374,$DF$9:$DL$508,4,FALSE()))</f>
        <v/>
      </c>
      <c r="DQ374" s="153" t="str">
        <f aca="false">IF($DD374&gt;$DC$8,"",VLOOKUP($DD374,$DF$9:$DL$508,5,FALSE()))</f>
        <v/>
      </c>
      <c r="DR374" s="154" t="str">
        <f aca="false">IF($DD374&gt;$DC$8,"",VLOOKUP($DD374,$DF$9:$DL$508,6,FALSE()))</f>
        <v/>
      </c>
      <c r="DS374" s="76"/>
    </row>
    <row r="375" customFormat="false" ht="15.75" hidden="false" customHeight="false" outlineLevel="0" collapsed="false">
      <c r="A375" s="9"/>
      <c r="B375" s="78"/>
      <c r="C375" s="79"/>
      <c r="D375" s="170"/>
      <c r="E375" s="178"/>
      <c r="F375" s="172"/>
      <c r="G375" s="173"/>
      <c r="H375" s="173"/>
      <c r="I375" s="179"/>
      <c r="J375" s="176"/>
      <c r="K375" s="86"/>
      <c r="L375" s="87"/>
      <c r="M375" s="88"/>
      <c r="N375" s="176"/>
      <c r="O375" s="176"/>
      <c r="P375" s="178"/>
      <c r="Q375" s="176"/>
      <c r="R375" s="176"/>
      <c r="S375" s="86"/>
      <c r="T375" s="88"/>
      <c r="U375" s="88"/>
      <c r="V375" s="176"/>
      <c r="W375" s="176"/>
      <c r="X375" s="178"/>
      <c r="Y375" s="176"/>
      <c r="Z375" s="177"/>
      <c r="AA375" s="176"/>
      <c r="AB375" s="92"/>
      <c r="AC375" s="93"/>
      <c r="AD375" s="93"/>
      <c r="AE375" s="93"/>
      <c r="AF375" s="93" t="str">
        <f aca="false">IF(ISBLANK($C375),"",IF(E375=Constants!$B$2,TRUE(),IF(E375=Constants!$B$3,FALSE(),TRUE())))</f>
        <v/>
      </c>
      <c r="AG375" s="93" t="str">
        <f aca="false">IF(ISBLANK($C375),"",IF(F375=Constants!$B$2,TRUE(),IF(F375=Constants!$B$3,FALSE(),TRUE())))</f>
        <v/>
      </c>
      <c r="AH375" s="93" t="str">
        <f aca="false">IF(ISBLANK($C375),"",IF(G375=Constants!$B$2,TRUE(),IF(G375=Constants!$B$3,FALSE(),TRUE())))</f>
        <v/>
      </c>
      <c r="AI375" s="93" t="str">
        <f aca="false">IF(ISBLANK($C375),"",IF(AND(ISNUMBER(H375),H375&gt;=0),H375,Constants!$B$24))</f>
        <v/>
      </c>
      <c r="AJ375" s="93" t="str">
        <f aca="false">IF(ISBLANK($C375),"",IF(I375=Constants!$B$2,TRUE(),IF(I375=Constants!$B$3,FALSE(),TRUE())))</f>
        <v/>
      </c>
      <c r="AK375" s="93" t="str">
        <f aca="false">IF(ISBLANK($C375),"",IF(J375=Constants!$B$2,TRUE(),IF(J375=Constants!$B$3,FALSE(),TRUE())))</f>
        <v/>
      </c>
      <c r="AL375" s="93" t="str">
        <f aca="false">IF(ISBLANK($C375),"",IF(K375=Constants!$B$4,TRUE(),IF(K375=Constants!$B$5,FALSE(),COUNTA(L375:P375)&gt;0)))</f>
        <v/>
      </c>
      <c r="AM375" s="95" t="str">
        <f aca="false">IF(ISBLANK($C375),"",IF(ISNUMBER(L375),IF(L375&gt;=0,L375,""),""))</f>
        <v/>
      </c>
      <c r="AN375" s="94" t="str">
        <f aca="false">IF(ISBLANK($C375),"",IF(ISNUMBER(M375),IF(M375&gt;=0,M375,""),""))</f>
        <v/>
      </c>
      <c r="AO375" s="94" t="str">
        <f aca="false">IF(ISBLANK($C375),"",IF(N375=Constants!$B$2,TRUE(),IF(N375=Constants!$B$3,FALSE(),TRUE())))</f>
        <v/>
      </c>
      <c r="AP375" s="93" t="str">
        <f aca="false">IF(ISBLANK($C375),"",IF(ISNUMBER(O375),IF(O375&gt;=0,O375,""),""))</f>
        <v/>
      </c>
      <c r="AQ375" s="93" t="str">
        <f aca="false">IF(ISBLANK($C375),"",IF(P375=Constants!$B$2,TRUE(),IF(P375=Constants!$B$3,FALSE(),FALSE())))</f>
        <v/>
      </c>
      <c r="AR375" s="93" t="str">
        <f aca="false">IF(ISBLANK($C375),"",IF(Q375=Constants!$B$2,TRUE(),IF(Q375=Constants!$B$3,FALSE(),TRUE())))</f>
        <v/>
      </c>
      <c r="AS375" s="93" t="str">
        <f aca="false">IF(ISBLANK($C375),"",IF(R375=Constants!$B$2,TRUE(),IF(R375=Constants!$B$3,FALSE(),TRUE())))</f>
        <v/>
      </c>
      <c r="AT375" s="93" t="str">
        <f aca="false">IF(ISBLANK($C375),"",IF(S375=Constants!$B$4,TRUE(),IF(S375=Constants!$B$5,FALSE(),COUNTA(T375:X375)&gt;0)))</f>
        <v/>
      </c>
      <c r="AU375" s="95" t="str">
        <f aca="false">IF(ISBLANK($C375),"",IF(ISNUMBER(T375),IF(T375&gt;=0,T375,""),""))</f>
        <v/>
      </c>
      <c r="AV375" s="94" t="str">
        <f aca="false">IF(ISBLANK($C375),"",IF(ISNUMBER(U375),IF(U375&gt;=0,U375,""),""))</f>
        <v/>
      </c>
      <c r="AW375" s="94" t="str">
        <f aca="false">IF(ISBLANK($C375),"",IF(V375=Constants!$B$2,TRUE(),IF(V375=Constants!$B$3,FALSE(),TRUE())))</f>
        <v/>
      </c>
      <c r="AX375" s="93" t="str">
        <f aca="false">IF(ISBLANK($C375),"",IF(ISNUMBER(W375),IF(W375&gt;=0,W375,""),""))</f>
        <v/>
      </c>
      <c r="AY375" s="93" t="str">
        <f aca="false">IF(ISBLANK($C375),"",IF(X375=Constants!$B$2,TRUE(),IF(X375=Constants!$B$3,FALSE(),FALSE())))</f>
        <v/>
      </c>
      <c r="AZ375" s="93" t="str">
        <f aca="false">IF(ISBLANK($C375),"",MIN(Constants!$B$25,MAX(0,IF(ISNUMBER(Y375),Y375*60,0)+IF(ISNUMBER(Z375),Z375,0))))</f>
        <v/>
      </c>
      <c r="BA375" s="93" t="str">
        <f aca="false">IF(ISBLANK($C375),"",IF(AA375=Constants!$B$2,TRUE(),IF(AA375=Constants!$B$3,FALSE(),FALSE())))</f>
        <v/>
      </c>
      <c r="BB375" s="92" t="str">
        <f aca="false">IF(ISBLANK($C375),"",AND($AL375,OR($AM375="",$AN375="",AND($AO375,$AP375=""))))</f>
        <v/>
      </c>
      <c r="BC375" s="94" t="str">
        <f aca="false">IF($BX375&lt;&gt;Constants!$B$6,"",IF($AL375,Constants!$B$17*$AN375+Constants!$B$18*IF($AO375,$AP375,Constants!$B$19),Constants!$B$20))</f>
        <v/>
      </c>
      <c r="BD375" s="97" t="str">
        <f aca="false">IF($BX375&lt;&gt;Constants!$B$6,"",Constants!$B$21*ABS($AD$9-IF($AL375,$AM375,0)))</f>
        <v/>
      </c>
      <c r="BE375" s="97" t="str">
        <f aca="false">IF($BX375&lt;&gt;Constants!$B$6,"",IF(AND($AL375,$AQ375,$AO375),Constants!$B$22,0))</f>
        <v/>
      </c>
      <c r="BF375" s="97" t="str">
        <f aca="false">IF($BX375&lt;&gt;Constants!$B$6,"",IF($AL375,($AI375-Constants!$B$24)*Constants!$B$23,0))</f>
        <v/>
      </c>
      <c r="BG375" s="97" t="str">
        <f aca="false">IF($BX375&lt;&gt;Constants!$B$6,"",IF($AK375,0,Constants!$B$12)+IF($AJ375,0,Constants!$B$13)+IF($AH375,0,Constants!$B$14))</f>
        <v/>
      </c>
      <c r="BH375" s="98" t="str">
        <f aca="false">IF($BX375&lt;&gt;Constants!$B$6,"",Constants!$B$16+SUM($BC375:$BG375))</f>
        <v/>
      </c>
      <c r="BI375" s="97" t="str">
        <f aca="false">IF($BX375&lt;&gt;Constants!$B$6,"",$BC375)</f>
        <v/>
      </c>
      <c r="BJ375" s="97" t="str">
        <f aca="false">IF($BX375&lt;&gt;Constants!$B$6,"",$BD375)</f>
        <v/>
      </c>
      <c r="BK375" s="99" t="str">
        <f aca="false">IF($BX375&lt;&gt;Constants!$B$6,"",IF($AL375,$AN375,""))</f>
        <v/>
      </c>
      <c r="BL375" s="93" t="str">
        <f aca="false">IF($BX375&lt;&gt;Constants!$B$6,"",IF(OR($BS375&lt;$BH375,AND($BS375=$BH375,OR($BT375&lt;$BI375,AND($BT375=$BI375,OR($BU375&lt;$BJ375,AND($BU375=$BJ375,AND(ISNUMBER($BV375),OR(NOT(ISNUMBER($BK375)),$BV375&lt;$BK375)))))))),"-&gt;","&lt;-"))</f>
        <v/>
      </c>
      <c r="BM375" s="92" t="str">
        <f aca="false">IF(ISBLANK($C375),"",AND($AT375,OR($AU375="",$AV375="",AND($AW375,$AX375=""))))</f>
        <v/>
      </c>
      <c r="BN375" s="94" t="str">
        <f aca="false">IF($BX375&lt;&gt;Constants!$B$6,"",IF($AT375,Constants!$B$17*$AV375+Constants!$B$18*IF($AW375,$AX375,Constants!$B$19),Constants!$B$20))</f>
        <v/>
      </c>
      <c r="BO375" s="97" t="str">
        <f aca="false">IF($BX375&lt;&gt;Constants!$B$6,"",Constants!$B$21*ABS($AD$9-IF($AT375,$AU375,0)))</f>
        <v/>
      </c>
      <c r="BP375" s="97" t="str">
        <f aca="false">IF($BX375&lt;&gt;Constants!$B$6,"",IF(AND($AT375,$AY375,$AW375),Constants!$B$22,0))</f>
        <v/>
      </c>
      <c r="BQ375" s="97" t="str">
        <f aca="false">IF($BX375&lt;&gt;Constants!$B$6,"",IF($AT375,($AI375-Constants!$B$24)*Constants!$B$23,0))</f>
        <v/>
      </c>
      <c r="BR375" s="97" t="str">
        <f aca="false">IF($BX375&lt;&gt;Constants!$B$6,"",IF($AS375,0,Constants!$B$12)+IF($AR375,0,Constants!$B$13)+IF($AH375,0,Constants!$B$14))</f>
        <v/>
      </c>
      <c r="BS375" s="98" t="str">
        <f aca="false">IF($BX375&lt;&gt;Constants!$B$6,"",Constants!$B$16+SUM($BN375:$BR375))</f>
        <v/>
      </c>
      <c r="BT375" s="97" t="str">
        <f aca="false">IF($BX375&lt;&gt;Constants!$B$6,"",$BN375)</f>
        <v/>
      </c>
      <c r="BU375" s="97" t="str">
        <f aca="false">IF($BX375&lt;&gt;Constants!$B$6,"",$BO375)</f>
        <v/>
      </c>
      <c r="BV375" s="99" t="str">
        <f aca="false">IF($BX375&lt;&gt;Constants!$B$6,"",IF($AT375,$AV375,""))</f>
        <v/>
      </c>
      <c r="BW375" s="93" t="str">
        <f aca="false">IF(ISBLANK($C375),"",IF(ISBLANK($D$7),$BW$5,IF(NOT(ISNUMBER($D$7)),$BW$6,"")))</f>
        <v/>
      </c>
      <c r="BX375" s="93" t="str">
        <f aca="false">IF(ISBLANK($C375),"",IF($BA375,Constants!$B$9,IF(COUNTA($E375:$AA375)=0,Constants!$B$8,IF(NOT($AG375),Constants!$B$7,IF(OR($BW375&lt;&gt;"",$BB375,$BM375),Constants!$B$10,Constants!$B$6)))))</f>
        <v/>
      </c>
      <c r="BY375" s="93" t="str">
        <f aca="false">IF(ISBLANK($C375),"",IF($BX375&lt;&gt;Constants!$B$6,$BX375,Constants!$B$11))</f>
        <v/>
      </c>
      <c r="BZ375" s="97" t="str">
        <f aca="false">IF($BX375&lt;&gt;Constants!$B$6,"",IF($BL375="-&gt;",$BS375,$BH375))</f>
        <v/>
      </c>
      <c r="CA375" s="97" t="str">
        <f aca="false">IF($BX375&lt;&gt;Constants!$B$6,"",IF($AF375,0,Constants!$B$15))</f>
        <v/>
      </c>
      <c r="CB375" s="97" t="str">
        <f aca="false">IF($BX375&lt;&gt;Constants!$B$6,"",((Constants!$B$25-$AZ375)-Constants!$B$25)/Constants!$B$26)</f>
        <v/>
      </c>
      <c r="CC375" s="97" t="str">
        <f aca="false">IF(ISBLANK($C375),"",IF($BX375&lt;&gt;Constants!$B$6,$BX375,SUM($BZ375:$CB375)))</f>
        <v/>
      </c>
      <c r="CD375" s="93" t="str">
        <f aca="false">IF(ISBLANK($C375),"",IF($BX375&lt;&gt;Constants!$B$6,$BX375,RANK($CC375,$CC$9:$CC$508,1)))</f>
        <v/>
      </c>
      <c r="CE375" s="97" t="str">
        <f aca="false">IF($BX375&lt;&gt;Constants!$B$6,"",IF($BL375="-&gt;",$BT375,$BI375))</f>
        <v/>
      </c>
      <c r="CF375" s="93" t="str">
        <f aca="false">IF(ISBLANK($C375),"",IF($BX375&lt;&gt;Constants!$B$6,$BX375,IF(ISNUMBER($CE375),RANK($CE375,$CE$9:$CE$508,1),COUNT($CE$9:$CE$508)+1)))</f>
        <v/>
      </c>
      <c r="CG375" s="97" t="str">
        <f aca="false">IF($BX375&lt;&gt;Constants!$B$6,"",IF($BL375="-&gt;",$BU375,$BJ375))</f>
        <v/>
      </c>
      <c r="CH375" s="93" t="str">
        <f aca="false">IF(ISBLANK($C375),"",IF($BX375&lt;&gt;Constants!$B$6,$BX375,IF(ISNUMBER($CG375),RANK($CG375,$CG$9:$CG$508,1),COUNT($CG$9:$CG$508)+1)))</f>
        <v/>
      </c>
      <c r="CI375" s="97" t="str">
        <f aca="false">IF($BX375&lt;&gt;Constants!$B$6,"",IF($BL375="-&gt;",$BV375,$BK375))</f>
        <v/>
      </c>
      <c r="CJ375" s="93" t="str">
        <f aca="false">IF(ISBLANK($C375),"",IF($BX375&lt;&gt;Constants!$B$6,$BX375,IF(ISNUMBER($CI375),RANK($CI375,$CI$9:$CI$508,1),COUNT($CI$9:$CI$508)+1)))</f>
        <v/>
      </c>
      <c r="CK375" s="97" t="str">
        <f aca="false">IF($BX375&lt;&gt;Constants!$B$6,"",$AI375)</f>
        <v/>
      </c>
      <c r="CL375" s="93" t="str">
        <f aca="false">IF(ISBLANK($C375),"",IF($BX375&lt;&gt;Constants!$B$6,$BX375,IF(ISNUMBER($CK375),RANK($CK375,$CK$9:$CK$508,1),COUNT($CK$9:$CK$508)+1)))</f>
        <v/>
      </c>
      <c r="CM375" s="93" t="str">
        <f aca="false">IF(ISBLANK($C375),"",IF($BX375&lt;&gt;Constants!$B$6,$BX375,COUNTIFS($CD$9:$CD$508,"&lt;"&amp;$CD375)+COUNTIFS($CD$9:$CD$508,$CD375,$CF$9:$CF$508,"&lt;"&amp;$CF375)+COUNTIFS($CD$9:$CD$508,$CD375,$CF$9:$CF$508,$CF375,$CH$9:$CH$508,"&lt;"&amp;$CH375)+COUNTIFS($CD$9:$CD$508,$CD375,$CF$9:$CF$508,$CF375,$CH$9:$CH$508,$CH375,$CJ$9:$CJ$508,"&lt;"&amp;$CJ375)+COUNTIFS($CD$9:$CD$508,$CD375,$CF$9:$CF$508,$CF375,$CH$9:$CH$508,$CH375,$CJ$9:$CJ$508,$CJ375,$CL$9:$CL$508,"&lt;"&amp;$CL375)+1))</f>
        <v/>
      </c>
      <c r="CN375" s="93" t="str">
        <f aca="false">IF(ISBLANK($C375),"",IF($BX375&lt;&gt;Constants!$B$6,$BX375,$CD375-$CM375))</f>
        <v/>
      </c>
      <c r="CO375" s="100"/>
      <c r="CP375" s="101"/>
      <c r="CQ375" s="102" t="str">
        <f aca="false">IF(ISBLANK($C375),"",IF($BX375=Constants!$B$10,$BW375,""))</f>
        <v/>
      </c>
      <c r="CR375" s="101" t="str">
        <f aca="false">IF(ISBLANK($C375),"",IF($BX375&lt;&gt;Constants!$B$6,"",IF($BL375="-&gt;",2,1)))</f>
        <v/>
      </c>
      <c r="CS375" s="103" t="str">
        <f aca="false">IF(ISBLANK($C375),"",IF($BX375&lt;&gt;Constants!$B$6,"",IF($BL375="-&gt;",$BN375,$BC375)))</f>
        <v/>
      </c>
      <c r="CT375" s="103" t="str">
        <f aca="false">IF(ISBLANK($C375),"",IF($BX375&lt;&gt;Constants!$B$6,"",IF($BL375="-&gt;",$BO375,$BD375)))</f>
        <v/>
      </c>
      <c r="CU375" s="103" t="str">
        <f aca="false">IF(ISBLANK($C375),"",IF($BX375&lt;&gt;Constants!$B$6,"",IF($BL375="-&gt;",$BP375+$BQ375,$BE375+$BF375)+$CB375))</f>
        <v/>
      </c>
      <c r="CV375" s="103" t="str">
        <f aca="false">IF(ISBLANK($C375),"",IF($BX375&lt;&gt;Constants!$B$6,"",IF($BL375="-&gt;",$BR375,$BG375)+$CA375))</f>
        <v/>
      </c>
      <c r="CW375" s="104" t="str">
        <f aca="false">IF(ISBLANK($C375),"",IF($BX375&lt;&gt;Constants!$B$6,$BX375,$CC375))</f>
        <v/>
      </c>
      <c r="CX375" s="105" t="str">
        <f aca="false">IF(ISBLANK($C375),"",$BY375)</f>
        <v/>
      </c>
      <c r="CY375" s="106" t="str">
        <f aca="false">IF(ISBLANK($C375),"",$CN375)</f>
        <v/>
      </c>
      <c r="CZ375" s="106" t="str">
        <f aca="false">IF(ISBLANK($C375),"",$CM375)</f>
        <v/>
      </c>
      <c r="DA375" s="107" t="str">
        <f aca="false">IF(ISBLANK($C375),"",IFERROR(_xlfn.SWITCH($CZ375,Constants!$B$9,COUNTA($C$9:$C$508)+2,Constants!$B$8,COUNTA($C$9:$C$508)+1,Constants!$B$7,COUNTA($C$9:$C$508)),$CZ375))</f>
        <v/>
      </c>
      <c r="DB375" s="9"/>
      <c r="DC375" s="108" t="n">
        <f aca="false">IF(OR(ISNUMBER($CZ375),$CZ375=Constants!$B$9,$CZ375=Constants!$B$7,$CZ375=Constants!$B$8),1,0)</f>
        <v>0</v>
      </c>
      <c r="DD375" s="108" t="n">
        <v>367</v>
      </c>
      <c r="DE375" s="108" t="str">
        <f aca="false">IF(ISBLANK($C375),"",IF(ISNUMBER($DA375),$DA375+ROW($B375)/1000,""))</f>
        <v/>
      </c>
      <c r="DF375" s="108" t="str">
        <f aca="false">IF(ISNUMBER($DE375),RANK($DE375,$DE$9:$DE$508,1),"")</f>
        <v/>
      </c>
      <c r="DG375" s="108" t="str">
        <f aca="false">IF(ISBLANK($C375),"",$B375)</f>
        <v/>
      </c>
      <c r="DH375" s="108" t="str">
        <f aca="false">IF(ISBLANK($C375),"",$C375)</f>
        <v/>
      </c>
      <c r="DI375" s="108" t="str">
        <f aca="false">IF(ISBLANK($C375),"",$D375)</f>
        <v/>
      </c>
      <c r="DJ375" s="109" t="str">
        <f aca="false">$CX375</f>
        <v/>
      </c>
      <c r="DK375" s="110" t="str">
        <f aca="false">$CW375</f>
        <v/>
      </c>
      <c r="DL375" s="108" t="str">
        <f aca="false">IF(ISBLANK($C375),"",$CZ375)</f>
        <v/>
      </c>
      <c r="DM375" s="111" t="str">
        <f aca="false">IF($DD375&gt;$DC$8,"",VLOOKUP($DD375,$DF$9:$DL$508,7,FALSE()))</f>
        <v/>
      </c>
      <c r="DN375" s="112" t="str">
        <f aca="false">IF($DD375&gt;$DC$8,"",VLOOKUP($DD375,$DF$9:$DL$508,2,FALSE()))</f>
        <v/>
      </c>
      <c r="DO375" s="112" t="str">
        <f aca="false">IF($DD375&gt;$DC$8,"",VLOOKUP($DD375,$DF$9:$DL$508,3,FALSE()))</f>
        <v/>
      </c>
      <c r="DP375" s="112" t="str">
        <f aca="false">IF($DD375&gt;$DC$8,"",VLOOKUP($DD375,$DF$9:$DL$508,4,FALSE()))</f>
        <v/>
      </c>
      <c r="DQ375" s="112" t="str">
        <f aca="false">IF($DD375&gt;$DC$8,"",VLOOKUP($DD375,$DF$9:$DL$508,5,FALSE()))</f>
        <v/>
      </c>
      <c r="DR375" s="113" t="str">
        <f aca="false">IF($DD375&gt;$DC$8,"",VLOOKUP($DD375,$DF$9:$DL$508,6,FALSE()))</f>
        <v/>
      </c>
      <c r="DS375" s="76"/>
    </row>
    <row r="376" customFormat="false" ht="15.75" hidden="false" customHeight="false" outlineLevel="0" collapsed="false">
      <c r="A376" s="9"/>
      <c r="B376" s="78"/>
      <c r="C376" s="79"/>
      <c r="D376" s="170"/>
      <c r="E376" s="178"/>
      <c r="F376" s="172"/>
      <c r="G376" s="173"/>
      <c r="H376" s="173"/>
      <c r="I376" s="179"/>
      <c r="J376" s="176"/>
      <c r="K376" s="86"/>
      <c r="L376" s="87"/>
      <c r="M376" s="88"/>
      <c r="N376" s="176"/>
      <c r="O376" s="176"/>
      <c r="P376" s="178"/>
      <c r="Q376" s="176"/>
      <c r="R376" s="176"/>
      <c r="S376" s="86"/>
      <c r="T376" s="88"/>
      <c r="U376" s="88"/>
      <c r="V376" s="176"/>
      <c r="W376" s="176"/>
      <c r="X376" s="178"/>
      <c r="Y376" s="176"/>
      <c r="Z376" s="177"/>
      <c r="AA376" s="176"/>
      <c r="AB376" s="92"/>
      <c r="AC376" s="93"/>
      <c r="AD376" s="93"/>
      <c r="AE376" s="93"/>
      <c r="AF376" s="93" t="str">
        <f aca="false">IF(ISBLANK($C376),"",IF(E376=Constants!$B$2,TRUE(),IF(E376=Constants!$B$3,FALSE(),TRUE())))</f>
        <v/>
      </c>
      <c r="AG376" s="93" t="str">
        <f aca="false">IF(ISBLANK($C376),"",IF(F376=Constants!$B$2,TRUE(),IF(F376=Constants!$B$3,FALSE(),TRUE())))</f>
        <v/>
      </c>
      <c r="AH376" s="93" t="str">
        <f aca="false">IF(ISBLANK($C376),"",IF(G376=Constants!$B$2,TRUE(),IF(G376=Constants!$B$3,FALSE(),TRUE())))</f>
        <v/>
      </c>
      <c r="AI376" s="93" t="str">
        <f aca="false">IF(ISBLANK($C376),"",IF(AND(ISNUMBER(H376),H376&gt;=0),H376,Constants!$B$24))</f>
        <v/>
      </c>
      <c r="AJ376" s="93" t="str">
        <f aca="false">IF(ISBLANK($C376),"",IF(I376=Constants!$B$2,TRUE(),IF(I376=Constants!$B$3,FALSE(),TRUE())))</f>
        <v/>
      </c>
      <c r="AK376" s="93" t="str">
        <f aca="false">IF(ISBLANK($C376),"",IF(J376=Constants!$B$2,TRUE(),IF(J376=Constants!$B$3,FALSE(),TRUE())))</f>
        <v/>
      </c>
      <c r="AL376" s="93" t="str">
        <f aca="false">IF(ISBLANK($C376),"",IF(K376=Constants!$B$4,TRUE(),IF(K376=Constants!$B$5,FALSE(),COUNTA(L376:P376)&gt;0)))</f>
        <v/>
      </c>
      <c r="AM376" s="95" t="str">
        <f aca="false">IF(ISBLANK($C376),"",IF(ISNUMBER(L376),IF(L376&gt;=0,L376,""),""))</f>
        <v/>
      </c>
      <c r="AN376" s="94" t="str">
        <f aca="false">IF(ISBLANK($C376),"",IF(ISNUMBER(M376),IF(M376&gt;=0,M376,""),""))</f>
        <v/>
      </c>
      <c r="AO376" s="94" t="str">
        <f aca="false">IF(ISBLANK($C376),"",IF(N376=Constants!$B$2,TRUE(),IF(N376=Constants!$B$3,FALSE(),TRUE())))</f>
        <v/>
      </c>
      <c r="AP376" s="93" t="str">
        <f aca="false">IF(ISBLANK($C376),"",IF(ISNUMBER(O376),IF(O376&gt;=0,O376,""),""))</f>
        <v/>
      </c>
      <c r="AQ376" s="93" t="str">
        <f aca="false">IF(ISBLANK($C376),"",IF(P376=Constants!$B$2,TRUE(),IF(P376=Constants!$B$3,FALSE(),FALSE())))</f>
        <v/>
      </c>
      <c r="AR376" s="93" t="str">
        <f aca="false">IF(ISBLANK($C376),"",IF(Q376=Constants!$B$2,TRUE(),IF(Q376=Constants!$B$3,FALSE(),TRUE())))</f>
        <v/>
      </c>
      <c r="AS376" s="93" t="str">
        <f aca="false">IF(ISBLANK($C376),"",IF(R376=Constants!$B$2,TRUE(),IF(R376=Constants!$B$3,FALSE(),TRUE())))</f>
        <v/>
      </c>
      <c r="AT376" s="93" t="str">
        <f aca="false">IF(ISBLANK($C376),"",IF(S376=Constants!$B$4,TRUE(),IF(S376=Constants!$B$5,FALSE(),COUNTA(T376:X376)&gt;0)))</f>
        <v/>
      </c>
      <c r="AU376" s="95" t="str">
        <f aca="false">IF(ISBLANK($C376),"",IF(ISNUMBER(T376),IF(T376&gt;=0,T376,""),""))</f>
        <v/>
      </c>
      <c r="AV376" s="94" t="str">
        <f aca="false">IF(ISBLANK($C376),"",IF(ISNUMBER(U376),IF(U376&gt;=0,U376,""),""))</f>
        <v/>
      </c>
      <c r="AW376" s="94" t="str">
        <f aca="false">IF(ISBLANK($C376),"",IF(V376=Constants!$B$2,TRUE(),IF(V376=Constants!$B$3,FALSE(),TRUE())))</f>
        <v/>
      </c>
      <c r="AX376" s="93" t="str">
        <f aca="false">IF(ISBLANK($C376),"",IF(ISNUMBER(W376),IF(W376&gt;=0,W376,""),""))</f>
        <v/>
      </c>
      <c r="AY376" s="93" t="str">
        <f aca="false">IF(ISBLANK($C376),"",IF(X376=Constants!$B$2,TRUE(),IF(X376=Constants!$B$3,FALSE(),FALSE())))</f>
        <v/>
      </c>
      <c r="AZ376" s="93" t="str">
        <f aca="false">IF(ISBLANK($C376),"",MIN(Constants!$B$25,MAX(0,IF(ISNUMBER(Y376),Y376*60,0)+IF(ISNUMBER(Z376),Z376,0))))</f>
        <v/>
      </c>
      <c r="BA376" s="93" t="str">
        <f aca="false">IF(ISBLANK($C376),"",IF(AA376=Constants!$B$2,TRUE(),IF(AA376=Constants!$B$3,FALSE(),FALSE())))</f>
        <v/>
      </c>
      <c r="BB376" s="92" t="str">
        <f aca="false">IF(ISBLANK($C376),"",AND($AL376,OR($AM376="",$AN376="",AND($AO376,$AP376=""))))</f>
        <v/>
      </c>
      <c r="BC376" s="94" t="str">
        <f aca="false">IF($BX376&lt;&gt;Constants!$B$6,"",IF($AL376,Constants!$B$17*$AN376+Constants!$B$18*IF($AO376,$AP376,Constants!$B$19),Constants!$B$20))</f>
        <v/>
      </c>
      <c r="BD376" s="97" t="str">
        <f aca="false">IF($BX376&lt;&gt;Constants!$B$6,"",Constants!$B$21*ABS($AD$9-IF($AL376,$AM376,0)))</f>
        <v/>
      </c>
      <c r="BE376" s="97" t="str">
        <f aca="false">IF($BX376&lt;&gt;Constants!$B$6,"",IF(AND($AL376,$AQ376,$AO376),Constants!$B$22,0))</f>
        <v/>
      </c>
      <c r="BF376" s="97" t="str">
        <f aca="false">IF($BX376&lt;&gt;Constants!$B$6,"",IF($AL376,($AI376-Constants!$B$24)*Constants!$B$23,0))</f>
        <v/>
      </c>
      <c r="BG376" s="97" t="str">
        <f aca="false">IF($BX376&lt;&gt;Constants!$B$6,"",IF($AK376,0,Constants!$B$12)+IF($AJ376,0,Constants!$B$13)+IF($AH376,0,Constants!$B$14))</f>
        <v/>
      </c>
      <c r="BH376" s="98" t="str">
        <f aca="false">IF($BX376&lt;&gt;Constants!$B$6,"",Constants!$B$16+SUM($BC376:$BG376))</f>
        <v/>
      </c>
      <c r="BI376" s="97" t="str">
        <f aca="false">IF($BX376&lt;&gt;Constants!$B$6,"",$BC376)</f>
        <v/>
      </c>
      <c r="BJ376" s="97" t="str">
        <f aca="false">IF($BX376&lt;&gt;Constants!$B$6,"",$BD376)</f>
        <v/>
      </c>
      <c r="BK376" s="99" t="str">
        <f aca="false">IF($BX376&lt;&gt;Constants!$B$6,"",IF($AL376,$AN376,""))</f>
        <v/>
      </c>
      <c r="BL376" s="93" t="str">
        <f aca="false">IF($BX376&lt;&gt;Constants!$B$6,"",IF(OR($BS376&lt;$BH376,AND($BS376=$BH376,OR($BT376&lt;$BI376,AND($BT376=$BI376,OR($BU376&lt;$BJ376,AND($BU376=$BJ376,AND(ISNUMBER($BV376),OR(NOT(ISNUMBER($BK376)),$BV376&lt;$BK376)))))))),"-&gt;","&lt;-"))</f>
        <v/>
      </c>
      <c r="BM376" s="92" t="str">
        <f aca="false">IF(ISBLANK($C376),"",AND($AT376,OR($AU376="",$AV376="",AND($AW376,$AX376=""))))</f>
        <v/>
      </c>
      <c r="BN376" s="94" t="str">
        <f aca="false">IF($BX376&lt;&gt;Constants!$B$6,"",IF($AT376,Constants!$B$17*$AV376+Constants!$B$18*IF($AW376,$AX376,Constants!$B$19),Constants!$B$20))</f>
        <v/>
      </c>
      <c r="BO376" s="97" t="str">
        <f aca="false">IF($BX376&lt;&gt;Constants!$B$6,"",Constants!$B$21*ABS($AD$9-IF($AT376,$AU376,0)))</f>
        <v/>
      </c>
      <c r="BP376" s="97" t="str">
        <f aca="false">IF($BX376&lt;&gt;Constants!$B$6,"",IF(AND($AT376,$AY376,$AW376),Constants!$B$22,0))</f>
        <v/>
      </c>
      <c r="BQ376" s="97" t="str">
        <f aca="false">IF($BX376&lt;&gt;Constants!$B$6,"",IF($AT376,($AI376-Constants!$B$24)*Constants!$B$23,0))</f>
        <v/>
      </c>
      <c r="BR376" s="97" t="str">
        <f aca="false">IF($BX376&lt;&gt;Constants!$B$6,"",IF($AS376,0,Constants!$B$12)+IF($AR376,0,Constants!$B$13)+IF($AH376,0,Constants!$B$14))</f>
        <v/>
      </c>
      <c r="BS376" s="98" t="str">
        <f aca="false">IF($BX376&lt;&gt;Constants!$B$6,"",Constants!$B$16+SUM($BN376:$BR376))</f>
        <v/>
      </c>
      <c r="BT376" s="97" t="str">
        <f aca="false">IF($BX376&lt;&gt;Constants!$B$6,"",$BN376)</f>
        <v/>
      </c>
      <c r="BU376" s="97" t="str">
        <f aca="false">IF($BX376&lt;&gt;Constants!$B$6,"",$BO376)</f>
        <v/>
      </c>
      <c r="BV376" s="99" t="str">
        <f aca="false">IF($BX376&lt;&gt;Constants!$B$6,"",IF($AT376,$AV376,""))</f>
        <v/>
      </c>
      <c r="BW376" s="93" t="str">
        <f aca="false">IF(ISBLANK($C376),"",IF(ISBLANK($D$7),$BW$5,IF(NOT(ISNUMBER($D$7)),$BW$6,"")))</f>
        <v/>
      </c>
      <c r="BX376" s="93" t="str">
        <f aca="false">IF(ISBLANK($C376),"",IF($BA376,Constants!$B$9,IF(COUNTA($E376:$AA376)=0,Constants!$B$8,IF(NOT($AG376),Constants!$B$7,IF(OR($BW376&lt;&gt;"",$BB376,$BM376),Constants!$B$10,Constants!$B$6)))))</f>
        <v/>
      </c>
      <c r="BY376" s="93" t="str">
        <f aca="false">IF(ISBLANK($C376),"",IF($BX376&lt;&gt;Constants!$B$6,$BX376,Constants!$B$11))</f>
        <v/>
      </c>
      <c r="BZ376" s="97" t="str">
        <f aca="false">IF($BX376&lt;&gt;Constants!$B$6,"",IF($BL376="-&gt;",$BS376,$BH376))</f>
        <v/>
      </c>
      <c r="CA376" s="97" t="str">
        <f aca="false">IF($BX376&lt;&gt;Constants!$B$6,"",IF($AF376,0,Constants!$B$15))</f>
        <v/>
      </c>
      <c r="CB376" s="97" t="str">
        <f aca="false">IF($BX376&lt;&gt;Constants!$B$6,"",((Constants!$B$25-$AZ376)-Constants!$B$25)/Constants!$B$26)</f>
        <v/>
      </c>
      <c r="CC376" s="97" t="str">
        <f aca="false">IF(ISBLANK($C376),"",IF($BX376&lt;&gt;Constants!$B$6,$BX376,SUM($BZ376:$CB376)))</f>
        <v/>
      </c>
      <c r="CD376" s="93" t="str">
        <f aca="false">IF(ISBLANK($C376),"",IF($BX376&lt;&gt;Constants!$B$6,$BX376,RANK($CC376,$CC$9:$CC$508,1)))</f>
        <v/>
      </c>
      <c r="CE376" s="97" t="str">
        <f aca="false">IF($BX376&lt;&gt;Constants!$B$6,"",IF($BL376="-&gt;",$BT376,$BI376))</f>
        <v/>
      </c>
      <c r="CF376" s="93" t="str">
        <f aca="false">IF(ISBLANK($C376),"",IF($BX376&lt;&gt;Constants!$B$6,$BX376,IF(ISNUMBER($CE376),RANK($CE376,$CE$9:$CE$508,1),COUNT($CE$9:$CE$508)+1)))</f>
        <v/>
      </c>
      <c r="CG376" s="97" t="str">
        <f aca="false">IF($BX376&lt;&gt;Constants!$B$6,"",IF($BL376="-&gt;",$BU376,$BJ376))</f>
        <v/>
      </c>
      <c r="CH376" s="93" t="str">
        <f aca="false">IF(ISBLANK($C376),"",IF($BX376&lt;&gt;Constants!$B$6,$BX376,IF(ISNUMBER($CG376),RANK($CG376,$CG$9:$CG$508,1),COUNT($CG$9:$CG$508)+1)))</f>
        <v/>
      </c>
      <c r="CI376" s="97" t="str">
        <f aca="false">IF($BX376&lt;&gt;Constants!$B$6,"",IF($BL376="-&gt;",$BV376,$BK376))</f>
        <v/>
      </c>
      <c r="CJ376" s="93" t="str">
        <f aca="false">IF(ISBLANK($C376),"",IF($BX376&lt;&gt;Constants!$B$6,$BX376,IF(ISNUMBER($CI376),RANK($CI376,$CI$9:$CI$508,1),COUNT($CI$9:$CI$508)+1)))</f>
        <v/>
      </c>
      <c r="CK376" s="97" t="str">
        <f aca="false">IF($BX376&lt;&gt;Constants!$B$6,"",$AI376)</f>
        <v/>
      </c>
      <c r="CL376" s="93" t="str">
        <f aca="false">IF(ISBLANK($C376),"",IF($BX376&lt;&gt;Constants!$B$6,$BX376,IF(ISNUMBER($CK376),RANK($CK376,$CK$9:$CK$508,1),COUNT($CK$9:$CK$508)+1)))</f>
        <v/>
      </c>
      <c r="CM376" s="93" t="str">
        <f aca="false">IF(ISBLANK($C376),"",IF($BX376&lt;&gt;Constants!$B$6,$BX376,COUNTIFS($CD$9:$CD$508,"&lt;"&amp;$CD376)+COUNTIFS($CD$9:$CD$508,$CD376,$CF$9:$CF$508,"&lt;"&amp;$CF376)+COUNTIFS($CD$9:$CD$508,$CD376,$CF$9:$CF$508,$CF376,$CH$9:$CH$508,"&lt;"&amp;$CH376)+COUNTIFS($CD$9:$CD$508,$CD376,$CF$9:$CF$508,$CF376,$CH$9:$CH$508,$CH376,$CJ$9:$CJ$508,"&lt;"&amp;$CJ376)+COUNTIFS($CD$9:$CD$508,$CD376,$CF$9:$CF$508,$CF376,$CH$9:$CH$508,$CH376,$CJ$9:$CJ$508,$CJ376,$CL$9:$CL$508,"&lt;"&amp;$CL376)+1))</f>
        <v/>
      </c>
      <c r="CN376" s="93" t="str">
        <f aca="false">IF(ISBLANK($C376),"",IF($BX376&lt;&gt;Constants!$B$6,$BX376,$CD376-$CM376))</f>
        <v/>
      </c>
      <c r="CO376" s="100"/>
      <c r="CP376" s="101"/>
      <c r="CQ376" s="102" t="str">
        <f aca="false">IF(ISBLANK($C376),"",IF($BX376=Constants!$B$10,$BW376,""))</f>
        <v/>
      </c>
      <c r="CR376" s="101" t="str">
        <f aca="false">IF(ISBLANK($C376),"",IF($BX376&lt;&gt;Constants!$B$6,"",IF($BL376="-&gt;",2,1)))</f>
        <v/>
      </c>
      <c r="CS376" s="103" t="str">
        <f aca="false">IF(ISBLANK($C376),"",IF($BX376&lt;&gt;Constants!$B$6,"",IF($BL376="-&gt;",$BN376,$BC376)))</f>
        <v/>
      </c>
      <c r="CT376" s="103" t="str">
        <f aca="false">IF(ISBLANK($C376),"",IF($BX376&lt;&gt;Constants!$B$6,"",IF($BL376="-&gt;",$BO376,$BD376)))</f>
        <v/>
      </c>
      <c r="CU376" s="103" t="str">
        <f aca="false">IF(ISBLANK($C376),"",IF($BX376&lt;&gt;Constants!$B$6,"",IF($BL376="-&gt;",$BP376+$BQ376,$BE376+$BF376)+$CB376))</f>
        <v/>
      </c>
      <c r="CV376" s="103" t="str">
        <f aca="false">IF(ISBLANK($C376),"",IF($BX376&lt;&gt;Constants!$B$6,"",IF($BL376="-&gt;",$BR376,$BG376)+$CA376))</f>
        <v/>
      </c>
      <c r="CW376" s="104" t="str">
        <f aca="false">IF(ISBLANK($C376),"",IF($BX376&lt;&gt;Constants!$B$6,$BX376,$CC376))</f>
        <v/>
      </c>
      <c r="CX376" s="105" t="str">
        <f aca="false">IF(ISBLANK($C376),"",$BY376)</f>
        <v/>
      </c>
      <c r="CY376" s="106" t="str">
        <f aca="false">IF(ISBLANK($C376),"",$CN376)</f>
        <v/>
      </c>
      <c r="CZ376" s="106" t="str">
        <f aca="false">IF(ISBLANK($C376),"",$CM376)</f>
        <v/>
      </c>
      <c r="DA376" s="107" t="str">
        <f aca="false">IF(ISBLANK($C376),"",IFERROR(_xlfn.SWITCH($CZ376,Constants!$B$9,COUNTA($C$9:$C$508)+2,Constants!$B$8,COUNTA($C$9:$C$508)+1,Constants!$B$7,COUNTA($C$9:$C$508)),$CZ376))</f>
        <v/>
      </c>
      <c r="DB376" s="9"/>
      <c r="DC376" s="108" t="n">
        <f aca="false">IF(OR(ISNUMBER($CZ376),$CZ376=Constants!$B$9,$CZ376=Constants!$B$7,$CZ376=Constants!$B$8),1,0)</f>
        <v>0</v>
      </c>
      <c r="DD376" s="108" t="n">
        <v>368</v>
      </c>
      <c r="DE376" s="108" t="str">
        <f aca="false">IF(ISBLANK($C376),"",IF(ISNUMBER($DA376),$DA376+ROW($B376)/1000,""))</f>
        <v/>
      </c>
      <c r="DF376" s="108" t="str">
        <f aca="false">IF(ISNUMBER($DE376),RANK($DE376,$DE$9:$DE$508,1),"")</f>
        <v/>
      </c>
      <c r="DG376" s="108" t="str">
        <f aca="false">IF(ISBLANK($C376),"",$B376)</f>
        <v/>
      </c>
      <c r="DH376" s="108" t="str">
        <f aca="false">IF(ISBLANK($C376),"",$C376)</f>
        <v/>
      </c>
      <c r="DI376" s="108" t="str">
        <f aca="false">IF(ISBLANK($C376),"",$D376)</f>
        <v/>
      </c>
      <c r="DJ376" s="109" t="str">
        <f aca="false">$CX376</f>
        <v/>
      </c>
      <c r="DK376" s="110" t="str">
        <f aca="false">$CW376</f>
        <v/>
      </c>
      <c r="DL376" s="108" t="str">
        <f aca="false">IF(ISBLANK($C376),"",$CZ376)</f>
        <v/>
      </c>
      <c r="DM376" s="111" t="str">
        <f aca="false">IF($DD376&gt;$DC$8,"",VLOOKUP($DD376,$DF$9:$DL$508,7,FALSE()))</f>
        <v/>
      </c>
      <c r="DN376" s="112" t="str">
        <f aca="false">IF($DD376&gt;$DC$8,"",VLOOKUP($DD376,$DF$9:$DL$508,2,FALSE()))</f>
        <v/>
      </c>
      <c r="DO376" s="112" t="str">
        <f aca="false">IF($DD376&gt;$DC$8,"",VLOOKUP($DD376,$DF$9:$DL$508,3,FALSE()))</f>
        <v/>
      </c>
      <c r="DP376" s="112" t="str">
        <f aca="false">IF($DD376&gt;$DC$8,"",VLOOKUP($DD376,$DF$9:$DL$508,4,FALSE()))</f>
        <v/>
      </c>
      <c r="DQ376" s="112" t="str">
        <f aca="false">IF($DD376&gt;$DC$8,"",VLOOKUP($DD376,$DF$9:$DL$508,5,FALSE()))</f>
        <v/>
      </c>
      <c r="DR376" s="113" t="str">
        <f aca="false">IF($DD376&gt;$DC$8,"",VLOOKUP($DD376,$DF$9:$DL$508,6,FALSE()))</f>
        <v/>
      </c>
      <c r="DS376" s="76"/>
    </row>
    <row r="377" customFormat="false" ht="15.75" hidden="false" customHeight="false" outlineLevel="0" collapsed="false">
      <c r="A377" s="9"/>
      <c r="B377" s="78"/>
      <c r="C377" s="79"/>
      <c r="D377" s="170"/>
      <c r="E377" s="178"/>
      <c r="F377" s="172"/>
      <c r="G377" s="173"/>
      <c r="H377" s="173"/>
      <c r="I377" s="179"/>
      <c r="J377" s="176"/>
      <c r="K377" s="86"/>
      <c r="L377" s="87"/>
      <c r="M377" s="88"/>
      <c r="N377" s="176"/>
      <c r="O377" s="176"/>
      <c r="P377" s="178"/>
      <c r="Q377" s="176"/>
      <c r="R377" s="176"/>
      <c r="S377" s="86"/>
      <c r="T377" s="88"/>
      <c r="U377" s="88"/>
      <c r="V377" s="176"/>
      <c r="W377" s="176"/>
      <c r="X377" s="178"/>
      <c r="Y377" s="176"/>
      <c r="Z377" s="177"/>
      <c r="AA377" s="176"/>
      <c r="AB377" s="92"/>
      <c r="AC377" s="93"/>
      <c r="AD377" s="93"/>
      <c r="AE377" s="93"/>
      <c r="AF377" s="93" t="str">
        <f aca="false">IF(ISBLANK($C377),"",IF(E377=Constants!$B$2,TRUE(),IF(E377=Constants!$B$3,FALSE(),TRUE())))</f>
        <v/>
      </c>
      <c r="AG377" s="93" t="str">
        <f aca="false">IF(ISBLANK($C377),"",IF(F377=Constants!$B$2,TRUE(),IF(F377=Constants!$B$3,FALSE(),TRUE())))</f>
        <v/>
      </c>
      <c r="AH377" s="93" t="str">
        <f aca="false">IF(ISBLANK($C377),"",IF(G377=Constants!$B$2,TRUE(),IF(G377=Constants!$B$3,FALSE(),TRUE())))</f>
        <v/>
      </c>
      <c r="AI377" s="93" t="str">
        <f aca="false">IF(ISBLANK($C377),"",IF(AND(ISNUMBER(H377),H377&gt;=0),H377,Constants!$B$24))</f>
        <v/>
      </c>
      <c r="AJ377" s="93" t="str">
        <f aca="false">IF(ISBLANK($C377),"",IF(I377=Constants!$B$2,TRUE(),IF(I377=Constants!$B$3,FALSE(),TRUE())))</f>
        <v/>
      </c>
      <c r="AK377" s="93" t="str">
        <f aca="false">IF(ISBLANK($C377),"",IF(J377=Constants!$B$2,TRUE(),IF(J377=Constants!$B$3,FALSE(),TRUE())))</f>
        <v/>
      </c>
      <c r="AL377" s="93" t="str">
        <f aca="false">IF(ISBLANK($C377),"",IF(K377=Constants!$B$4,TRUE(),IF(K377=Constants!$B$5,FALSE(),COUNTA(L377:P377)&gt;0)))</f>
        <v/>
      </c>
      <c r="AM377" s="95" t="str">
        <f aca="false">IF(ISBLANK($C377),"",IF(ISNUMBER(L377),IF(L377&gt;=0,L377,""),""))</f>
        <v/>
      </c>
      <c r="AN377" s="94" t="str">
        <f aca="false">IF(ISBLANK($C377),"",IF(ISNUMBER(M377),IF(M377&gt;=0,M377,""),""))</f>
        <v/>
      </c>
      <c r="AO377" s="94" t="str">
        <f aca="false">IF(ISBLANK($C377),"",IF(N377=Constants!$B$2,TRUE(),IF(N377=Constants!$B$3,FALSE(),TRUE())))</f>
        <v/>
      </c>
      <c r="AP377" s="93" t="str">
        <f aca="false">IF(ISBLANK($C377),"",IF(ISNUMBER(O377),IF(O377&gt;=0,O377,""),""))</f>
        <v/>
      </c>
      <c r="AQ377" s="93" t="str">
        <f aca="false">IF(ISBLANK($C377),"",IF(P377=Constants!$B$2,TRUE(),IF(P377=Constants!$B$3,FALSE(),FALSE())))</f>
        <v/>
      </c>
      <c r="AR377" s="93" t="str">
        <f aca="false">IF(ISBLANK($C377),"",IF(Q377=Constants!$B$2,TRUE(),IF(Q377=Constants!$B$3,FALSE(),TRUE())))</f>
        <v/>
      </c>
      <c r="AS377" s="93" t="str">
        <f aca="false">IF(ISBLANK($C377),"",IF(R377=Constants!$B$2,TRUE(),IF(R377=Constants!$B$3,FALSE(),TRUE())))</f>
        <v/>
      </c>
      <c r="AT377" s="93" t="str">
        <f aca="false">IF(ISBLANK($C377),"",IF(S377=Constants!$B$4,TRUE(),IF(S377=Constants!$B$5,FALSE(),COUNTA(T377:X377)&gt;0)))</f>
        <v/>
      </c>
      <c r="AU377" s="95" t="str">
        <f aca="false">IF(ISBLANK($C377),"",IF(ISNUMBER(T377),IF(T377&gt;=0,T377,""),""))</f>
        <v/>
      </c>
      <c r="AV377" s="94" t="str">
        <f aca="false">IF(ISBLANK($C377),"",IF(ISNUMBER(U377),IF(U377&gt;=0,U377,""),""))</f>
        <v/>
      </c>
      <c r="AW377" s="94" t="str">
        <f aca="false">IF(ISBLANK($C377),"",IF(V377=Constants!$B$2,TRUE(),IF(V377=Constants!$B$3,FALSE(),TRUE())))</f>
        <v/>
      </c>
      <c r="AX377" s="93" t="str">
        <f aca="false">IF(ISBLANK($C377),"",IF(ISNUMBER(W377),IF(W377&gt;=0,W377,""),""))</f>
        <v/>
      </c>
      <c r="AY377" s="93" t="str">
        <f aca="false">IF(ISBLANK($C377),"",IF(X377=Constants!$B$2,TRUE(),IF(X377=Constants!$B$3,FALSE(),FALSE())))</f>
        <v/>
      </c>
      <c r="AZ377" s="93" t="str">
        <f aca="false">IF(ISBLANK($C377),"",MIN(Constants!$B$25,MAX(0,IF(ISNUMBER(Y377),Y377*60,0)+IF(ISNUMBER(Z377),Z377,0))))</f>
        <v/>
      </c>
      <c r="BA377" s="93" t="str">
        <f aca="false">IF(ISBLANK($C377),"",IF(AA377=Constants!$B$2,TRUE(),IF(AA377=Constants!$B$3,FALSE(),FALSE())))</f>
        <v/>
      </c>
      <c r="BB377" s="92" t="str">
        <f aca="false">IF(ISBLANK($C377),"",AND($AL377,OR($AM377="",$AN377="",AND($AO377,$AP377=""))))</f>
        <v/>
      </c>
      <c r="BC377" s="94" t="str">
        <f aca="false">IF($BX377&lt;&gt;Constants!$B$6,"",IF($AL377,Constants!$B$17*$AN377+Constants!$B$18*IF($AO377,$AP377,Constants!$B$19),Constants!$B$20))</f>
        <v/>
      </c>
      <c r="BD377" s="97" t="str">
        <f aca="false">IF($BX377&lt;&gt;Constants!$B$6,"",Constants!$B$21*ABS($AD$9-IF($AL377,$AM377,0)))</f>
        <v/>
      </c>
      <c r="BE377" s="97" t="str">
        <f aca="false">IF($BX377&lt;&gt;Constants!$B$6,"",IF(AND($AL377,$AQ377,$AO377),Constants!$B$22,0))</f>
        <v/>
      </c>
      <c r="BF377" s="97" t="str">
        <f aca="false">IF($BX377&lt;&gt;Constants!$B$6,"",IF($AL377,($AI377-Constants!$B$24)*Constants!$B$23,0))</f>
        <v/>
      </c>
      <c r="BG377" s="97" t="str">
        <f aca="false">IF($BX377&lt;&gt;Constants!$B$6,"",IF($AK377,0,Constants!$B$12)+IF($AJ377,0,Constants!$B$13)+IF($AH377,0,Constants!$B$14))</f>
        <v/>
      </c>
      <c r="BH377" s="98" t="str">
        <f aca="false">IF($BX377&lt;&gt;Constants!$B$6,"",Constants!$B$16+SUM($BC377:$BG377))</f>
        <v/>
      </c>
      <c r="BI377" s="97" t="str">
        <f aca="false">IF($BX377&lt;&gt;Constants!$B$6,"",$BC377)</f>
        <v/>
      </c>
      <c r="BJ377" s="97" t="str">
        <f aca="false">IF($BX377&lt;&gt;Constants!$B$6,"",$BD377)</f>
        <v/>
      </c>
      <c r="BK377" s="99" t="str">
        <f aca="false">IF($BX377&lt;&gt;Constants!$B$6,"",IF($AL377,$AN377,""))</f>
        <v/>
      </c>
      <c r="BL377" s="93" t="str">
        <f aca="false">IF($BX377&lt;&gt;Constants!$B$6,"",IF(OR($BS377&lt;$BH377,AND($BS377=$BH377,OR($BT377&lt;$BI377,AND($BT377=$BI377,OR($BU377&lt;$BJ377,AND($BU377=$BJ377,AND(ISNUMBER($BV377),OR(NOT(ISNUMBER($BK377)),$BV377&lt;$BK377)))))))),"-&gt;","&lt;-"))</f>
        <v/>
      </c>
      <c r="BM377" s="92" t="str">
        <f aca="false">IF(ISBLANK($C377),"",AND($AT377,OR($AU377="",$AV377="",AND($AW377,$AX377=""))))</f>
        <v/>
      </c>
      <c r="BN377" s="94" t="str">
        <f aca="false">IF($BX377&lt;&gt;Constants!$B$6,"",IF($AT377,Constants!$B$17*$AV377+Constants!$B$18*IF($AW377,$AX377,Constants!$B$19),Constants!$B$20))</f>
        <v/>
      </c>
      <c r="BO377" s="97" t="str">
        <f aca="false">IF($BX377&lt;&gt;Constants!$B$6,"",Constants!$B$21*ABS($AD$9-IF($AT377,$AU377,0)))</f>
        <v/>
      </c>
      <c r="BP377" s="97" t="str">
        <f aca="false">IF($BX377&lt;&gt;Constants!$B$6,"",IF(AND($AT377,$AY377,$AW377),Constants!$B$22,0))</f>
        <v/>
      </c>
      <c r="BQ377" s="97" t="str">
        <f aca="false">IF($BX377&lt;&gt;Constants!$B$6,"",IF($AT377,($AI377-Constants!$B$24)*Constants!$B$23,0))</f>
        <v/>
      </c>
      <c r="BR377" s="97" t="str">
        <f aca="false">IF($BX377&lt;&gt;Constants!$B$6,"",IF($AS377,0,Constants!$B$12)+IF($AR377,0,Constants!$B$13)+IF($AH377,0,Constants!$B$14))</f>
        <v/>
      </c>
      <c r="BS377" s="98" t="str">
        <f aca="false">IF($BX377&lt;&gt;Constants!$B$6,"",Constants!$B$16+SUM($BN377:$BR377))</f>
        <v/>
      </c>
      <c r="BT377" s="97" t="str">
        <f aca="false">IF($BX377&lt;&gt;Constants!$B$6,"",$BN377)</f>
        <v/>
      </c>
      <c r="BU377" s="97" t="str">
        <f aca="false">IF($BX377&lt;&gt;Constants!$B$6,"",$BO377)</f>
        <v/>
      </c>
      <c r="BV377" s="99" t="str">
        <f aca="false">IF($BX377&lt;&gt;Constants!$B$6,"",IF($AT377,$AV377,""))</f>
        <v/>
      </c>
      <c r="BW377" s="93" t="str">
        <f aca="false">IF(ISBLANK($C377),"",IF(ISBLANK($D$7),$BW$5,IF(NOT(ISNUMBER($D$7)),$BW$6,"")))</f>
        <v/>
      </c>
      <c r="BX377" s="93" t="str">
        <f aca="false">IF(ISBLANK($C377),"",IF($BA377,Constants!$B$9,IF(COUNTA($E377:$AA377)=0,Constants!$B$8,IF(NOT($AG377),Constants!$B$7,IF(OR($BW377&lt;&gt;"",$BB377,$BM377),Constants!$B$10,Constants!$B$6)))))</f>
        <v/>
      </c>
      <c r="BY377" s="93" t="str">
        <f aca="false">IF(ISBLANK($C377),"",IF($BX377&lt;&gt;Constants!$B$6,$BX377,Constants!$B$11))</f>
        <v/>
      </c>
      <c r="BZ377" s="97" t="str">
        <f aca="false">IF($BX377&lt;&gt;Constants!$B$6,"",IF($BL377="-&gt;",$BS377,$BH377))</f>
        <v/>
      </c>
      <c r="CA377" s="97" t="str">
        <f aca="false">IF($BX377&lt;&gt;Constants!$B$6,"",IF($AF377,0,Constants!$B$15))</f>
        <v/>
      </c>
      <c r="CB377" s="97" t="str">
        <f aca="false">IF($BX377&lt;&gt;Constants!$B$6,"",((Constants!$B$25-$AZ377)-Constants!$B$25)/Constants!$B$26)</f>
        <v/>
      </c>
      <c r="CC377" s="97" t="str">
        <f aca="false">IF(ISBLANK($C377),"",IF($BX377&lt;&gt;Constants!$B$6,$BX377,SUM($BZ377:$CB377)))</f>
        <v/>
      </c>
      <c r="CD377" s="93" t="str">
        <f aca="false">IF(ISBLANK($C377),"",IF($BX377&lt;&gt;Constants!$B$6,$BX377,RANK($CC377,$CC$9:$CC$508,1)))</f>
        <v/>
      </c>
      <c r="CE377" s="97" t="str">
        <f aca="false">IF($BX377&lt;&gt;Constants!$B$6,"",IF($BL377="-&gt;",$BT377,$BI377))</f>
        <v/>
      </c>
      <c r="CF377" s="93" t="str">
        <f aca="false">IF(ISBLANK($C377),"",IF($BX377&lt;&gt;Constants!$B$6,$BX377,IF(ISNUMBER($CE377),RANK($CE377,$CE$9:$CE$508,1),COUNT($CE$9:$CE$508)+1)))</f>
        <v/>
      </c>
      <c r="CG377" s="97" t="str">
        <f aca="false">IF($BX377&lt;&gt;Constants!$B$6,"",IF($BL377="-&gt;",$BU377,$BJ377))</f>
        <v/>
      </c>
      <c r="CH377" s="93" t="str">
        <f aca="false">IF(ISBLANK($C377),"",IF($BX377&lt;&gt;Constants!$B$6,$BX377,IF(ISNUMBER($CG377),RANK($CG377,$CG$9:$CG$508,1),COUNT($CG$9:$CG$508)+1)))</f>
        <v/>
      </c>
      <c r="CI377" s="97" t="str">
        <f aca="false">IF($BX377&lt;&gt;Constants!$B$6,"",IF($BL377="-&gt;",$BV377,$BK377))</f>
        <v/>
      </c>
      <c r="CJ377" s="93" t="str">
        <f aca="false">IF(ISBLANK($C377),"",IF($BX377&lt;&gt;Constants!$B$6,$BX377,IF(ISNUMBER($CI377),RANK($CI377,$CI$9:$CI$508,1),COUNT($CI$9:$CI$508)+1)))</f>
        <v/>
      </c>
      <c r="CK377" s="97" t="str">
        <f aca="false">IF($BX377&lt;&gt;Constants!$B$6,"",$AI377)</f>
        <v/>
      </c>
      <c r="CL377" s="93" t="str">
        <f aca="false">IF(ISBLANK($C377),"",IF($BX377&lt;&gt;Constants!$B$6,$BX377,IF(ISNUMBER($CK377),RANK($CK377,$CK$9:$CK$508,1),COUNT($CK$9:$CK$508)+1)))</f>
        <v/>
      </c>
      <c r="CM377" s="93" t="str">
        <f aca="false">IF(ISBLANK($C377),"",IF($BX377&lt;&gt;Constants!$B$6,$BX377,COUNTIFS($CD$9:$CD$508,"&lt;"&amp;$CD377)+COUNTIFS($CD$9:$CD$508,$CD377,$CF$9:$CF$508,"&lt;"&amp;$CF377)+COUNTIFS($CD$9:$CD$508,$CD377,$CF$9:$CF$508,$CF377,$CH$9:$CH$508,"&lt;"&amp;$CH377)+COUNTIFS($CD$9:$CD$508,$CD377,$CF$9:$CF$508,$CF377,$CH$9:$CH$508,$CH377,$CJ$9:$CJ$508,"&lt;"&amp;$CJ377)+COUNTIFS($CD$9:$CD$508,$CD377,$CF$9:$CF$508,$CF377,$CH$9:$CH$508,$CH377,$CJ$9:$CJ$508,$CJ377,$CL$9:$CL$508,"&lt;"&amp;$CL377)+1))</f>
        <v/>
      </c>
      <c r="CN377" s="93" t="str">
        <f aca="false">IF(ISBLANK($C377),"",IF($BX377&lt;&gt;Constants!$B$6,$BX377,$CD377-$CM377))</f>
        <v/>
      </c>
      <c r="CO377" s="100"/>
      <c r="CP377" s="101"/>
      <c r="CQ377" s="102" t="str">
        <f aca="false">IF(ISBLANK($C377),"",IF($BX377=Constants!$B$10,$BW377,""))</f>
        <v/>
      </c>
      <c r="CR377" s="101" t="str">
        <f aca="false">IF(ISBLANK($C377),"",IF($BX377&lt;&gt;Constants!$B$6,"",IF($BL377="-&gt;",2,1)))</f>
        <v/>
      </c>
      <c r="CS377" s="103" t="str">
        <f aca="false">IF(ISBLANK($C377),"",IF($BX377&lt;&gt;Constants!$B$6,"",IF($BL377="-&gt;",$BN377,$BC377)))</f>
        <v/>
      </c>
      <c r="CT377" s="103" t="str">
        <f aca="false">IF(ISBLANK($C377),"",IF($BX377&lt;&gt;Constants!$B$6,"",IF($BL377="-&gt;",$BO377,$BD377)))</f>
        <v/>
      </c>
      <c r="CU377" s="103" t="str">
        <f aca="false">IF(ISBLANK($C377),"",IF($BX377&lt;&gt;Constants!$B$6,"",IF($BL377="-&gt;",$BP377+$BQ377,$BE377+$BF377)+$CB377))</f>
        <v/>
      </c>
      <c r="CV377" s="103" t="str">
        <f aca="false">IF(ISBLANK($C377),"",IF($BX377&lt;&gt;Constants!$B$6,"",IF($BL377="-&gt;",$BR377,$BG377)+$CA377))</f>
        <v/>
      </c>
      <c r="CW377" s="104" t="str">
        <f aca="false">IF(ISBLANK($C377),"",IF($BX377&lt;&gt;Constants!$B$6,$BX377,$CC377))</f>
        <v/>
      </c>
      <c r="CX377" s="105" t="str">
        <f aca="false">IF(ISBLANK($C377),"",$BY377)</f>
        <v/>
      </c>
      <c r="CY377" s="106" t="str">
        <f aca="false">IF(ISBLANK($C377),"",$CN377)</f>
        <v/>
      </c>
      <c r="CZ377" s="106" t="str">
        <f aca="false">IF(ISBLANK($C377),"",$CM377)</f>
        <v/>
      </c>
      <c r="DA377" s="107" t="str">
        <f aca="false">IF(ISBLANK($C377),"",IFERROR(_xlfn.SWITCH($CZ377,Constants!$B$9,COUNTA($C$9:$C$508)+2,Constants!$B$8,COUNTA($C$9:$C$508)+1,Constants!$B$7,COUNTA($C$9:$C$508)),$CZ377))</f>
        <v/>
      </c>
      <c r="DB377" s="9"/>
      <c r="DC377" s="108" t="n">
        <f aca="false">IF(OR(ISNUMBER($CZ377),$CZ377=Constants!$B$9,$CZ377=Constants!$B$7,$CZ377=Constants!$B$8),1,0)</f>
        <v>0</v>
      </c>
      <c r="DD377" s="108" t="n">
        <v>369</v>
      </c>
      <c r="DE377" s="108" t="str">
        <f aca="false">IF(ISBLANK($C377),"",IF(ISNUMBER($DA377),$DA377+ROW($B377)/1000,""))</f>
        <v/>
      </c>
      <c r="DF377" s="108" t="str">
        <f aca="false">IF(ISNUMBER($DE377),RANK($DE377,$DE$9:$DE$508,1),"")</f>
        <v/>
      </c>
      <c r="DG377" s="108" t="str">
        <f aca="false">IF(ISBLANK($C377),"",$B377)</f>
        <v/>
      </c>
      <c r="DH377" s="108" t="str">
        <f aca="false">IF(ISBLANK($C377),"",$C377)</f>
        <v/>
      </c>
      <c r="DI377" s="108" t="str">
        <f aca="false">IF(ISBLANK($C377),"",$D377)</f>
        <v/>
      </c>
      <c r="DJ377" s="109" t="str">
        <f aca="false">$CX377</f>
        <v/>
      </c>
      <c r="DK377" s="110" t="str">
        <f aca="false">$CW377</f>
        <v/>
      </c>
      <c r="DL377" s="108" t="str">
        <f aca="false">IF(ISBLANK($C377),"",$CZ377)</f>
        <v/>
      </c>
      <c r="DM377" s="111" t="str">
        <f aca="false">IF($DD377&gt;$DC$8,"",VLOOKUP($DD377,$DF$9:$DL$508,7,FALSE()))</f>
        <v/>
      </c>
      <c r="DN377" s="112" t="str">
        <f aca="false">IF($DD377&gt;$DC$8,"",VLOOKUP($DD377,$DF$9:$DL$508,2,FALSE()))</f>
        <v/>
      </c>
      <c r="DO377" s="112" t="str">
        <f aca="false">IF($DD377&gt;$DC$8,"",VLOOKUP($DD377,$DF$9:$DL$508,3,FALSE()))</f>
        <v/>
      </c>
      <c r="DP377" s="112" t="str">
        <f aca="false">IF($DD377&gt;$DC$8,"",VLOOKUP($DD377,$DF$9:$DL$508,4,FALSE()))</f>
        <v/>
      </c>
      <c r="DQ377" s="112" t="str">
        <f aca="false">IF($DD377&gt;$DC$8,"",VLOOKUP($DD377,$DF$9:$DL$508,5,FALSE()))</f>
        <v/>
      </c>
      <c r="DR377" s="113" t="str">
        <f aca="false">IF($DD377&gt;$DC$8,"",VLOOKUP($DD377,$DF$9:$DL$508,6,FALSE()))</f>
        <v/>
      </c>
      <c r="DS377" s="76"/>
    </row>
    <row r="378" customFormat="false" ht="15.75" hidden="false" customHeight="false" outlineLevel="0" collapsed="false">
      <c r="A378" s="9"/>
      <c r="B378" s="160"/>
      <c r="C378" s="161"/>
      <c r="D378" s="162"/>
      <c r="E378" s="180"/>
      <c r="F378" s="164"/>
      <c r="G378" s="165"/>
      <c r="H378" s="165"/>
      <c r="I378" s="181"/>
      <c r="J378" s="168"/>
      <c r="K378" s="128"/>
      <c r="L378" s="129"/>
      <c r="M378" s="130"/>
      <c r="N378" s="168"/>
      <c r="O378" s="168"/>
      <c r="P378" s="180"/>
      <c r="Q378" s="168"/>
      <c r="R378" s="168"/>
      <c r="S378" s="128"/>
      <c r="T378" s="130"/>
      <c r="U378" s="130"/>
      <c r="V378" s="168"/>
      <c r="W378" s="168"/>
      <c r="X378" s="180"/>
      <c r="Y378" s="168"/>
      <c r="Z378" s="169"/>
      <c r="AA378" s="168"/>
      <c r="AB378" s="134"/>
      <c r="AC378" s="135"/>
      <c r="AD378" s="135"/>
      <c r="AE378" s="135"/>
      <c r="AF378" s="135" t="str">
        <f aca="false">IF(ISBLANK($C378),"",IF(E378=Constants!$B$2,TRUE(),IF(E378=Constants!$B$3,FALSE(),TRUE())))</f>
        <v/>
      </c>
      <c r="AG378" s="135" t="str">
        <f aca="false">IF(ISBLANK($C378),"",IF(F378=Constants!$B$2,TRUE(),IF(F378=Constants!$B$3,FALSE(),TRUE())))</f>
        <v/>
      </c>
      <c r="AH378" s="135" t="str">
        <f aca="false">IF(ISBLANK($C378),"",IF(G378=Constants!$B$2,TRUE(),IF(G378=Constants!$B$3,FALSE(),TRUE())))</f>
        <v/>
      </c>
      <c r="AI378" s="135" t="str">
        <f aca="false">IF(ISBLANK($C378),"",IF(AND(ISNUMBER(H378),H378&gt;=0),H378,Constants!$B$24))</f>
        <v/>
      </c>
      <c r="AJ378" s="135" t="str">
        <f aca="false">IF(ISBLANK($C378),"",IF(I378=Constants!$B$2,TRUE(),IF(I378=Constants!$B$3,FALSE(),TRUE())))</f>
        <v/>
      </c>
      <c r="AK378" s="135" t="str">
        <f aca="false">IF(ISBLANK($C378),"",IF(J378=Constants!$B$2,TRUE(),IF(J378=Constants!$B$3,FALSE(),TRUE())))</f>
        <v/>
      </c>
      <c r="AL378" s="135" t="str">
        <f aca="false">IF(ISBLANK($C378),"",IF(K378=Constants!$B$4,TRUE(),IF(K378=Constants!$B$5,FALSE(),COUNTA(L378:P378)&gt;0)))</f>
        <v/>
      </c>
      <c r="AM378" s="136" t="str">
        <f aca="false">IF(ISBLANK($C378),"",IF(ISNUMBER(L378),IF(L378&gt;=0,L378,""),""))</f>
        <v/>
      </c>
      <c r="AN378" s="137" t="str">
        <f aca="false">IF(ISBLANK($C378),"",IF(ISNUMBER(M378),IF(M378&gt;=0,M378,""),""))</f>
        <v/>
      </c>
      <c r="AO378" s="137" t="str">
        <f aca="false">IF(ISBLANK($C378),"",IF(N378=Constants!$B$2,TRUE(),IF(N378=Constants!$B$3,FALSE(),TRUE())))</f>
        <v/>
      </c>
      <c r="AP378" s="135" t="str">
        <f aca="false">IF(ISBLANK($C378),"",IF(ISNUMBER(O378),IF(O378&gt;=0,O378,""),""))</f>
        <v/>
      </c>
      <c r="AQ378" s="135" t="str">
        <f aca="false">IF(ISBLANK($C378),"",IF(P378=Constants!$B$2,TRUE(),IF(P378=Constants!$B$3,FALSE(),FALSE())))</f>
        <v/>
      </c>
      <c r="AR378" s="135" t="str">
        <f aca="false">IF(ISBLANK($C378),"",IF(Q378=Constants!$B$2,TRUE(),IF(Q378=Constants!$B$3,FALSE(),TRUE())))</f>
        <v/>
      </c>
      <c r="AS378" s="135" t="str">
        <f aca="false">IF(ISBLANK($C378),"",IF(R378=Constants!$B$2,TRUE(),IF(R378=Constants!$B$3,FALSE(),TRUE())))</f>
        <v/>
      </c>
      <c r="AT378" s="135" t="str">
        <f aca="false">IF(ISBLANK($C378),"",IF(S378=Constants!$B$4,TRUE(),IF(S378=Constants!$B$5,FALSE(),COUNTA(T378:X378)&gt;0)))</f>
        <v/>
      </c>
      <c r="AU378" s="136" t="str">
        <f aca="false">IF(ISBLANK($C378),"",IF(ISNUMBER(T378),IF(T378&gt;=0,T378,""),""))</f>
        <v/>
      </c>
      <c r="AV378" s="137" t="str">
        <f aca="false">IF(ISBLANK($C378),"",IF(ISNUMBER(U378),IF(U378&gt;=0,U378,""),""))</f>
        <v/>
      </c>
      <c r="AW378" s="137" t="str">
        <f aca="false">IF(ISBLANK($C378),"",IF(V378=Constants!$B$2,TRUE(),IF(V378=Constants!$B$3,FALSE(),TRUE())))</f>
        <v/>
      </c>
      <c r="AX378" s="135" t="str">
        <f aca="false">IF(ISBLANK($C378),"",IF(ISNUMBER(W378),IF(W378&gt;=0,W378,""),""))</f>
        <v/>
      </c>
      <c r="AY378" s="135" t="str">
        <f aca="false">IF(ISBLANK($C378),"",IF(X378=Constants!$B$2,TRUE(),IF(X378=Constants!$B$3,FALSE(),FALSE())))</f>
        <v/>
      </c>
      <c r="AZ378" s="135" t="str">
        <f aca="false">IF(ISBLANK($C378),"",MIN(Constants!$B$25,MAX(0,IF(ISNUMBER(Y378),Y378*60,0)+IF(ISNUMBER(Z378),Z378,0))))</f>
        <v/>
      </c>
      <c r="BA378" s="135" t="str">
        <f aca="false">IF(ISBLANK($C378),"",IF(AA378=Constants!$B$2,TRUE(),IF(AA378=Constants!$B$3,FALSE(),FALSE())))</f>
        <v/>
      </c>
      <c r="BB378" s="134" t="str">
        <f aca="false">IF(ISBLANK($C378),"",AND($AL378,OR($AM378="",$AN378="",AND($AO378,$AP378=""))))</f>
        <v/>
      </c>
      <c r="BC378" s="137" t="str">
        <f aca="false">IF($BX378&lt;&gt;Constants!$B$6,"",IF($AL378,Constants!$B$17*$AN378+Constants!$B$18*IF($AO378,$AP378,Constants!$B$19),Constants!$B$20))</f>
        <v/>
      </c>
      <c r="BD378" s="138" t="str">
        <f aca="false">IF($BX378&lt;&gt;Constants!$B$6,"",Constants!$B$21*ABS($AD$9-IF($AL378,$AM378,0)))</f>
        <v/>
      </c>
      <c r="BE378" s="138" t="str">
        <f aca="false">IF($BX378&lt;&gt;Constants!$B$6,"",IF(AND($AL378,$AQ378,$AO378),Constants!$B$22,0))</f>
        <v/>
      </c>
      <c r="BF378" s="138" t="str">
        <f aca="false">IF($BX378&lt;&gt;Constants!$B$6,"",IF($AL378,($AI378-Constants!$B$24)*Constants!$B$23,0))</f>
        <v/>
      </c>
      <c r="BG378" s="138" t="str">
        <f aca="false">IF($BX378&lt;&gt;Constants!$B$6,"",IF($AK378,0,Constants!$B$12)+IF($AJ378,0,Constants!$B$13)+IF($AH378,0,Constants!$B$14))</f>
        <v/>
      </c>
      <c r="BH378" s="139" t="str">
        <f aca="false">IF($BX378&lt;&gt;Constants!$B$6,"",Constants!$B$16+SUM($BC378:$BG378))</f>
        <v/>
      </c>
      <c r="BI378" s="138" t="str">
        <f aca="false">IF($BX378&lt;&gt;Constants!$B$6,"",$BC378)</f>
        <v/>
      </c>
      <c r="BJ378" s="138" t="str">
        <f aca="false">IF($BX378&lt;&gt;Constants!$B$6,"",$BD378)</f>
        <v/>
      </c>
      <c r="BK378" s="140" t="str">
        <f aca="false">IF($BX378&lt;&gt;Constants!$B$6,"",IF($AL378,$AN378,""))</f>
        <v/>
      </c>
      <c r="BL378" s="135" t="str">
        <f aca="false">IF($BX378&lt;&gt;Constants!$B$6,"",IF(OR($BS378&lt;$BH378,AND($BS378=$BH378,OR($BT378&lt;$BI378,AND($BT378=$BI378,OR($BU378&lt;$BJ378,AND($BU378=$BJ378,AND(ISNUMBER($BV378),OR(NOT(ISNUMBER($BK378)),$BV378&lt;$BK378)))))))),"-&gt;","&lt;-"))</f>
        <v/>
      </c>
      <c r="BM378" s="134" t="str">
        <f aca="false">IF(ISBLANK($C378),"",AND($AT378,OR($AU378="",$AV378="",AND($AW378,$AX378=""))))</f>
        <v/>
      </c>
      <c r="BN378" s="137" t="str">
        <f aca="false">IF($BX378&lt;&gt;Constants!$B$6,"",IF($AT378,Constants!$B$17*$AV378+Constants!$B$18*IF($AW378,$AX378,Constants!$B$19),Constants!$B$20))</f>
        <v/>
      </c>
      <c r="BO378" s="138" t="str">
        <f aca="false">IF($BX378&lt;&gt;Constants!$B$6,"",Constants!$B$21*ABS($AD$9-IF($AT378,$AU378,0)))</f>
        <v/>
      </c>
      <c r="BP378" s="138" t="str">
        <f aca="false">IF($BX378&lt;&gt;Constants!$B$6,"",IF(AND($AT378,$AY378,$AW378),Constants!$B$22,0))</f>
        <v/>
      </c>
      <c r="BQ378" s="138" t="str">
        <f aca="false">IF($BX378&lt;&gt;Constants!$B$6,"",IF($AT378,($AI378-Constants!$B$24)*Constants!$B$23,0))</f>
        <v/>
      </c>
      <c r="BR378" s="138" t="str">
        <f aca="false">IF($BX378&lt;&gt;Constants!$B$6,"",IF($AS378,0,Constants!$B$12)+IF($AR378,0,Constants!$B$13)+IF($AH378,0,Constants!$B$14))</f>
        <v/>
      </c>
      <c r="BS378" s="139" t="str">
        <f aca="false">IF($BX378&lt;&gt;Constants!$B$6,"",Constants!$B$16+SUM($BN378:$BR378))</f>
        <v/>
      </c>
      <c r="BT378" s="138" t="str">
        <f aca="false">IF($BX378&lt;&gt;Constants!$B$6,"",$BN378)</f>
        <v/>
      </c>
      <c r="BU378" s="138" t="str">
        <f aca="false">IF($BX378&lt;&gt;Constants!$B$6,"",$BO378)</f>
        <v/>
      </c>
      <c r="BV378" s="140" t="str">
        <f aca="false">IF($BX378&lt;&gt;Constants!$B$6,"",IF($AT378,$AV378,""))</f>
        <v/>
      </c>
      <c r="BW378" s="135" t="str">
        <f aca="false">IF(ISBLANK($C378),"",IF(ISBLANK($D$7),$BW$5,IF(NOT(ISNUMBER($D$7)),$BW$6,"")))</f>
        <v/>
      </c>
      <c r="BX378" s="135" t="str">
        <f aca="false">IF(ISBLANK($C378),"",IF($BA378,Constants!$B$9,IF(COUNTA($E378:$AA378)=0,Constants!$B$8,IF(NOT($AG378),Constants!$B$7,IF(OR($BW378&lt;&gt;"",$BB378,$BM378),Constants!$B$10,Constants!$B$6)))))</f>
        <v/>
      </c>
      <c r="BY378" s="135" t="str">
        <f aca="false">IF(ISBLANK($C378),"",IF($BX378&lt;&gt;Constants!$B$6,$BX378,Constants!$B$11))</f>
        <v/>
      </c>
      <c r="BZ378" s="138" t="str">
        <f aca="false">IF($BX378&lt;&gt;Constants!$B$6,"",IF($BL378="-&gt;",$BS378,$BH378))</f>
        <v/>
      </c>
      <c r="CA378" s="138" t="str">
        <f aca="false">IF($BX378&lt;&gt;Constants!$B$6,"",IF($AF378,0,Constants!$B$15))</f>
        <v/>
      </c>
      <c r="CB378" s="138" t="str">
        <f aca="false">IF($BX378&lt;&gt;Constants!$B$6,"",((Constants!$B$25-$AZ378)-Constants!$B$25)/Constants!$B$26)</f>
        <v/>
      </c>
      <c r="CC378" s="138" t="str">
        <f aca="false">IF(ISBLANK($C378),"",IF($BX378&lt;&gt;Constants!$B$6,$BX378,SUM($BZ378:$CB378)))</f>
        <v/>
      </c>
      <c r="CD378" s="135" t="str">
        <f aca="false">IF(ISBLANK($C378),"",IF($BX378&lt;&gt;Constants!$B$6,$BX378,RANK($CC378,$CC$9:$CC$508,1)))</f>
        <v/>
      </c>
      <c r="CE378" s="138" t="str">
        <f aca="false">IF($BX378&lt;&gt;Constants!$B$6,"",IF($BL378="-&gt;",$BT378,$BI378))</f>
        <v/>
      </c>
      <c r="CF378" s="135" t="str">
        <f aca="false">IF(ISBLANK($C378),"",IF($BX378&lt;&gt;Constants!$B$6,$BX378,IF(ISNUMBER($CE378),RANK($CE378,$CE$9:$CE$508,1),COUNT($CE$9:$CE$508)+1)))</f>
        <v/>
      </c>
      <c r="CG378" s="138" t="str">
        <f aca="false">IF($BX378&lt;&gt;Constants!$B$6,"",IF($BL378="-&gt;",$BU378,$BJ378))</f>
        <v/>
      </c>
      <c r="CH378" s="135" t="str">
        <f aca="false">IF(ISBLANK($C378),"",IF($BX378&lt;&gt;Constants!$B$6,$BX378,IF(ISNUMBER($CG378),RANK($CG378,$CG$9:$CG$508,1),COUNT($CG$9:$CG$508)+1)))</f>
        <v/>
      </c>
      <c r="CI378" s="138" t="str">
        <f aca="false">IF($BX378&lt;&gt;Constants!$B$6,"",IF($BL378="-&gt;",$BV378,$BK378))</f>
        <v/>
      </c>
      <c r="CJ378" s="135" t="str">
        <f aca="false">IF(ISBLANK($C378),"",IF($BX378&lt;&gt;Constants!$B$6,$BX378,IF(ISNUMBER($CI378),RANK($CI378,$CI$9:$CI$508,1),COUNT($CI$9:$CI$508)+1)))</f>
        <v/>
      </c>
      <c r="CK378" s="138" t="str">
        <f aca="false">IF($BX378&lt;&gt;Constants!$B$6,"",$AI378)</f>
        <v/>
      </c>
      <c r="CL378" s="135" t="str">
        <f aca="false">IF(ISBLANK($C378),"",IF($BX378&lt;&gt;Constants!$B$6,$BX378,IF(ISNUMBER($CK378),RANK($CK378,$CK$9:$CK$508,1),COUNT($CK$9:$CK$508)+1)))</f>
        <v/>
      </c>
      <c r="CM378" s="135" t="str">
        <f aca="false">IF(ISBLANK($C378),"",IF($BX378&lt;&gt;Constants!$B$6,$BX378,COUNTIFS($CD$9:$CD$508,"&lt;"&amp;$CD378)+COUNTIFS($CD$9:$CD$508,$CD378,$CF$9:$CF$508,"&lt;"&amp;$CF378)+COUNTIFS($CD$9:$CD$508,$CD378,$CF$9:$CF$508,$CF378,$CH$9:$CH$508,"&lt;"&amp;$CH378)+COUNTIFS($CD$9:$CD$508,$CD378,$CF$9:$CF$508,$CF378,$CH$9:$CH$508,$CH378,$CJ$9:$CJ$508,"&lt;"&amp;$CJ378)+COUNTIFS($CD$9:$CD$508,$CD378,$CF$9:$CF$508,$CF378,$CH$9:$CH$508,$CH378,$CJ$9:$CJ$508,$CJ378,$CL$9:$CL$508,"&lt;"&amp;$CL378)+1))</f>
        <v/>
      </c>
      <c r="CN378" s="135" t="str">
        <f aca="false">IF(ISBLANK($C378),"",IF($BX378&lt;&gt;Constants!$B$6,$BX378,$CD378-$CM378))</f>
        <v/>
      </c>
      <c r="CO378" s="141"/>
      <c r="CP378" s="142"/>
      <c r="CQ378" s="143" t="str">
        <f aca="false">IF(ISBLANK($C378),"",IF($BX378=Constants!$B$10,$BW378,""))</f>
        <v/>
      </c>
      <c r="CR378" s="142" t="str">
        <f aca="false">IF(ISBLANK($C378),"",IF($BX378&lt;&gt;Constants!$B$6,"",IF($BL378="-&gt;",2,1)))</f>
        <v/>
      </c>
      <c r="CS378" s="144" t="str">
        <f aca="false">IF(ISBLANK($C378),"",IF($BX378&lt;&gt;Constants!$B$6,"",IF($BL378="-&gt;",$BN378,$BC378)))</f>
        <v/>
      </c>
      <c r="CT378" s="144" t="str">
        <f aca="false">IF(ISBLANK($C378),"",IF($BX378&lt;&gt;Constants!$B$6,"",IF($BL378="-&gt;",$BO378,$BD378)))</f>
        <v/>
      </c>
      <c r="CU378" s="144" t="str">
        <f aca="false">IF(ISBLANK($C378),"",IF($BX378&lt;&gt;Constants!$B$6,"",IF($BL378="-&gt;",$BP378+$BQ378,$BE378+$BF378)+$CB378))</f>
        <v/>
      </c>
      <c r="CV378" s="144" t="str">
        <f aca="false">IF(ISBLANK($C378),"",IF($BX378&lt;&gt;Constants!$B$6,"",IF($BL378="-&gt;",$BR378,$BG378)+$CA378))</f>
        <v/>
      </c>
      <c r="CW378" s="145" t="str">
        <f aca="false">IF(ISBLANK($C378),"",IF($BX378&lt;&gt;Constants!$B$6,$BX378,$CC378))</f>
        <v/>
      </c>
      <c r="CX378" s="146" t="str">
        <f aca="false">IF(ISBLANK($C378),"",$BY378)</f>
        <v/>
      </c>
      <c r="CY378" s="147" t="str">
        <f aca="false">IF(ISBLANK($C378),"",$CN378)</f>
        <v/>
      </c>
      <c r="CZ378" s="147" t="str">
        <f aca="false">IF(ISBLANK($C378),"",$CM378)</f>
        <v/>
      </c>
      <c r="DA378" s="148" t="str">
        <f aca="false">IF(ISBLANK($C378),"",IFERROR(_xlfn.SWITCH($CZ378,Constants!$B$9,COUNTA($C$9:$C$508)+2,Constants!$B$8,COUNTA($C$9:$C$508)+1,Constants!$B$7,COUNTA($C$9:$C$508)),$CZ378))</f>
        <v/>
      </c>
      <c r="DB378" s="9"/>
      <c r="DC378" s="149" t="n">
        <f aca="false">IF(OR(ISNUMBER($CZ378),$CZ378=Constants!$B$9,$CZ378=Constants!$B$7,$CZ378=Constants!$B$8),1,0)</f>
        <v>0</v>
      </c>
      <c r="DD378" s="149" t="n">
        <v>370</v>
      </c>
      <c r="DE378" s="149" t="str">
        <f aca="false">IF(ISBLANK($C378),"",IF(ISNUMBER($DA378),$DA378+ROW($B378)/1000,""))</f>
        <v/>
      </c>
      <c r="DF378" s="149" t="str">
        <f aca="false">IF(ISNUMBER($DE378),RANK($DE378,$DE$9:$DE$508,1),"")</f>
        <v/>
      </c>
      <c r="DG378" s="149" t="str">
        <f aca="false">IF(ISBLANK($C378),"",$B378)</f>
        <v/>
      </c>
      <c r="DH378" s="149" t="str">
        <f aca="false">IF(ISBLANK($C378),"",$C378)</f>
        <v/>
      </c>
      <c r="DI378" s="149" t="str">
        <f aca="false">IF(ISBLANK($C378),"",$D378)</f>
        <v/>
      </c>
      <c r="DJ378" s="150" t="str">
        <f aca="false">$CX378</f>
        <v/>
      </c>
      <c r="DK378" s="151" t="str">
        <f aca="false">$CW378</f>
        <v/>
      </c>
      <c r="DL378" s="149" t="str">
        <f aca="false">IF(ISBLANK($C378),"",$CZ378)</f>
        <v/>
      </c>
      <c r="DM378" s="152" t="str">
        <f aca="false">IF($DD378&gt;$DC$8,"",VLOOKUP($DD378,$DF$9:$DL$508,7,FALSE()))</f>
        <v/>
      </c>
      <c r="DN378" s="153" t="str">
        <f aca="false">IF($DD378&gt;$DC$8,"",VLOOKUP($DD378,$DF$9:$DL$508,2,FALSE()))</f>
        <v/>
      </c>
      <c r="DO378" s="153" t="str">
        <f aca="false">IF($DD378&gt;$DC$8,"",VLOOKUP($DD378,$DF$9:$DL$508,3,FALSE()))</f>
        <v/>
      </c>
      <c r="DP378" s="153" t="str">
        <f aca="false">IF($DD378&gt;$DC$8,"",VLOOKUP($DD378,$DF$9:$DL$508,4,FALSE()))</f>
        <v/>
      </c>
      <c r="DQ378" s="153" t="str">
        <f aca="false">IF($DD378&gt;$DC$8,"",VLOOKUP($DD378,$DF$9:$DL$508,5,FALSE()))</f>
        <v/>
      </c>
      <c r="DR378" s="154" t="str">
        <f aca="false">IF($DD378&gt;$DC$8,"",VLOOKUP($DD378,$DF$9:$DL$508,6,FALSE()))</f>
        <v/>
      </c>
      <c r="DS378" s="76"/>
    </row>
    <row r="379" customFormat="false" ht="15.75" hidden="false" customHeight="false" outlineLevel="0" collapsed="false">
      <c r="A379" s="9"/>
      <c r="B379" s="160"/>
      <c r="C379" s="161"/>
      <c r="D379" s="162"/>
      <c r="E379" s="180"/>
      <c r="F379" s="164"/>
      <c r="G379" s="165"/>
      <c r="H379" s="165"/>
      <c r="I379" s="181"/>
      <c r="J379" s="168"/>
      <c r="K379" s="128"/>
      <c r="L379" s="129"/>
      <c r="M379" s="130"/>
      <c r="N379" s="168"/>
      <c r="O379" s="168"/>
      <c r="P379" s="180"/>
      <c r="Q379" s="168"/>
      <c r="R379" s="168"/>
      <c r="S379" s="128"/>
      <c r="T379" s="130"/>
      <c r="U379" s="130"/>
      <c r="V379" s="168"/>
      <c r="W379" s="168"/>
      <c r="X379" s="180"/>
      <c r="Y379" s="168"/>
      <c r="Z379" s="169"/>
      <c r="AA379" s="168"/>
      <c r="AB379" s="134"/>
      <c r="AC379" s="135"/>
      <c r="AD379" s="135"/>
      <c r="AE379" s="135"/>
      <c r="AF379" s="135" t="str">
        <f aca="false">IF(ISBLANK($C379),"",IF(E379=Constants!$B$2,TRUE(),IF(E379=Constants!$B$3,FALSE(),TRUE())))</f>
        <v/>
      </c>
      <c r="AG379" s="135" t="str">
        <f aca="false">IF(ISBLANK($C379),"",IF(F379=Constants!$B$2,TRUE(),IF(F379=Constants!$B$3,FALSE(),TRUE())))</f>
        <v/>
      </c>
      <c r="AH379" s="135" t="str">
        <f aca="false">IF(ISBLANK($C379),"",IF(G379=Constants!$B$2,TRUE(),IF(G379=Constants!$B$3,FALSE(),TRUE())))</f>
        <v/>
      </c>
      <c r="AI379" s="135" t="str">
        <f aca="false">IF(ISBLANK($C379),"",IF(AND(ISNUMBER(H379),H379&gt;=0),H379,Constants!$B$24))</f>
        <v/>
      </c>
      <c r="AJ379" s="135" t="str">
        <f aca="false">IF(ISBLANK($C379),"",IF(I379=Constants!$B$2,TRUE(),IF(I379=Constants!$B$3,FALSE(),TRUE())))</f>
        <v/>
      </c>
      <c r="AK379" s="135" t="str">
        <f aca="false">IF(ISBLANK($C379),"",IF(J379=Constants!$B$2,TRUE(),IF(J379=Constants!$B$3,FALSE(),TRUE())))</f>
        <v/>
      </c>
      <c r="AL379" s="135" t="str">
        <f aca="false">IF(ISBLANK($C379),"",IF(K379=Constants!$B$4,TRUE(),IF(K379=Constants!$B$5,FALSE(),COUNTA(L379:P379)&gt;0)))</f>
        <v/>
      </c>
      <c r="AM379" s="136" t="str">
        <f aca="false">IF(ISBLANK($C379),"",IF(ISNUMBER(L379),IF(L379&gt;=0,L379,""),""))</f>
        <v/>
      </c>
      <c r="AN379" s="137" t="str">
        <f aca="false">IF(ISBLANK($C379),"",IF(ISNUMBER(M379),IF(M379&gt;=0,M379,""),""))</f>
        <v/>
      </c>
      <c r="AO379" s="137" t="str">
        <f aca="false">IF(ISBLANK($C379),"",IF(N379=Constants!$B$2,TRUE(),IF(N379=Constants!$B$3,FALSE(),TRUE())))</f>
        <v/>
      </c>
      <c r="AP379" s="135" t="str">
        <f aca="false">IF(ISBLANK($C379),"",IF(ISNUMBER(O379),IF(O379&gt;=0,O379,""),""))</f>
        <v/>
      </c>
      <c r="AQ379" s="135" t="str">
        <f aca="false">IF(ISBLANK($C379),"",IF(P379=Constants!$B$2,TRUE(),IF(P379=Constants!$B$3,FALSE(),FALSE())))</f>
        <v/>
      </c>
      <c r="AR379" s="135" t="str">
        <f aca="false">IF(ISBLANK($C379),"",IF(Q379=Constants!$B$2,TRUE(),IF(Q379=Constants!$B$3,FALSE(),TRUE())))</f>
        <v/>
      </c>
      <c r="AS379" s="135" t="str">
        <f aca="false">IF(ISBLANK($C379),"",IF(R379=Constants!$B$2,TRUE(),IF(R379=Constants!$B$3,FALSE(),TRUE())))</f>
        <v/>
      </c>
      <c r="AT379" s="135" t="str">
        <f aca="false">IF(ISBLANK($C379),"",IF(S379=Constants!$B$4,TRUE(),IF(S379=Constants!$B$5,FALSE(),COUNTA(T379:X379)&gt;0)))</f>
        <v/>
      </c>
      <c r="AU379" s="136" t="str">
        <f aca="false">IF(ISBLANK($C379),"",IF(ISNUMBER(T379),IF(T379&gt;=0,T379,""),""))</f>
        <v/>
      </c>
      <c r="AV379" s="137" t="str">
        <f aca="false">IF(ISBLANK($C379),"",IF(ISNUMBER(U379),IF(U379&gt;=0,U379,""),""))</f>
        <v/>
      </c>
      <c r="AW379" s="137" t="str">
        <f aca="false">IF(ISBLANK($C379),"",IF(V379=Constants!$B$2,TRUE(),IF(V379=Constants!$B$3,FALSE(),TRUE())))</f>
        <v/>
      </c>
      <c r="AX379" s="135" t="str">
        <f aca="false">IF(ISBLANK($C379),"",IF(ISNUMBER(W379),IF(W379&gt;=0,W379,""),""))</f>
        <v/>
      </c>
      <c r="AY379" s="135" t="str">
        <f aca="false">IF(ISBLANK($C379),"",IF(X379=Constants!$B$2,TRUE(),IF(X379=Constants!$B$3,FALSE(),FALSE())))</f>
        <v/>
      </c>
      <c r="AZ379" s="135" t="str">
        <f aca="false">IF(ISBLANK($C379),"",MIN(Constants!$B$25,MAX(0,IF(ISNUMBER(Y379),Y379*60,0)+IF(ISNUMBER(Z379),Z379,0))))</f>
        <v/>
      </c>
      <c r="BA379" s="135" t="str">
        <f aca="false">IF(ISBLANK($C379),"",IF(AA379=Constants!$B$2,TRUE(),IF(AA379=Constants!$B$3,FALSE(),FALSE())))</f>
        <v/>
      </c>
      <c r="BB379" s="134" t="str">
        <f aca="false">IF(ISBLANK($C379),"",AND($AL379,OR($AM379="",$AN379="",AND($AO379,$AP379=""))))</f>
        <v/>
      </c>
      <c r="BC379" s="137" t="str">
        <f aca="false">IF($BX379&lt;&gt;Constants!$B$6,"",IF($AL379,Constants!$B$17*$AN379+Constants!$B$18*IF($AO379,$AP379,Constants!$B$19),Constants!$B$20))</f>
        <v/>
      </c>
      <c r="BD379" s="138" t="str">
        <f aca="false">IF($BX379&lt;&gt;Constants!$B$6,"",Constants!$B$21*ABS($AD$9-IF($AL379,$AM379,0)))</f>
        <v/>
      </c>
      <c r="BE379" s="138" t="str">
        <f aca="false">IF($BX379&lt;&gt;Constants!$B$6,"",IF(AND($AL379,$AQ379,$AO379),Constants!$B$22,0))</f>
        <v/>
      </c>
      <c r="BF379" s="138" t="str">
        <f aca="false">IF($BX379&lt;&gt;Constants!$B$6,"",IF($AL379,($AI379-Constants!$B$24)*Constants!$B$23,0))</f>
        <v/>
      </c>
      <c r="BG379" s="138" t="str">
        <f aca="false">IF($BX379&lt;&gt;Constants!$B$6,"",IF($AK379,0,Constants!$B$12)+IF($AJ379,0,Constants!$B$13)+IF($AH379,0,Constants!$B$14))</f>
        <v/>
      </c>
      <c r="BH379" s="139" t="str">
        <f aca="false">IF($BX379&lt;&gt;Constants!$B$6,"",Constants!$B$16+SUM($BC379:$BG379))</f>
        <v/>
      </c>
      <c r="BI379" s="138" t="str">
        <f aca="false">IF($BX379&lt;&gt;Constants!$B$6,"",$BC379)</f>
        <v/>
      </c>
      <c r="BJ379" s="138" t="str">
        <f aca="false">IF($BX379&lt;&gt;Constants!$B$6,"",$BD379)</f>
        <v/>
      </c>
      <c r="BK379" s="140" t="str">
        <f aca="false">IF($BX379&lt;&gt;Constants!$B$6,"",IF($AL379,$AN379,""))</f>
        <v/>
      </c>
      <c r="BL379" s="135" t="str">
        <f aca="false">IF($BX379&lt;&gt;Constants!$B$6,"",IF(OR($BS379&lt;$BH379,AND($BS379=$BH379,OR($BT379&lt;$BI379,AND($BT379=$BI379,OR($BU379&lt;$BJ379,AND($BU379=$BJ379,AND(ISNUMBER($BV379),OR(NOT(ISNUMBER($BK379)),$BV379&lt;$BK379)))))))),"-&gt;","&lt;-"))</f>
        <v/>
      </c>
      <c r="BM379" s="134" t="str">
        <f aca="false">IF(ISBLANK($C379),"",AND($AT379,OR($AU379="",$AV379="",AND($AW379,$AX379=""))))</f>
        <v/>
      </c>
      <c r="BN379" s="137" t="str">
        <f aca="false">IF($BX379&lt;&gt;Constants!$B$6,"",IF($AT379,Constants!$B$17*$AV379+Constants!$B$18*IF($AW379,$AX379,Constants!$B$19),Constants!$B$20))</f>
        <v/>
      </c>
      <c r="BO379" s="138" t="str">
        <f aca="false">IF($BX379&lt;&gt;Constants!$B$6,"",Constants!$B$21*ABS($AD$9-IF($AT379,$AU379,0)))</f>
        <v/>
      </c>
      <c r="BP379" s="138" t="str">
        <f aca="false">IF($BX379&lt;&gt;Constants!$B$6,"",IF(AND($AT379,$AY379,$AW379),Constants!$B$22,0))</f>
        <v/>
      </c>
      <c r="BQ379" s="138" t="str">
        <f aca="false">IF($BX379&lt;&gt;Constants!$B$6,"",IF($AT379,($AI379-Constants!$B$24)*Constants!$B$23,0))</f>
        <v/>
      </c>
      <c r="BR379" s="138" t="str">
        <f aca="false">IF($BX379&lt;&gt;Constants!$B$6,"",IF($AS379,0,Constants!$B$12)+IF($AR379,0,Constants!$B$13)+IF($AH379,0,Constants!$B$14))</f>
        <v/>
      </c>
      <c r="BS379" s="139" t="str">
        <f aca="false">IF($BX379&lt;&gt;Constants!$B$6,"",Constants!$B$16+SUM($BN379:$BR379))</f>
        <v/>
      </c>
      <c r="BT379" s="138" t="str">
        <f aca="false">IF($BX379&lt;&gt;Constants!$B$6,"",$BN379)</f>
        <v/>
      </c>
      <c r="BU379" s="138" t="str">
        <f aca="false">IF($BX379&lt;&gt;Constants!$B$6,"",$BO379)</f>
        <v/>
      </c>
      <c r="BV379" s="140" t="str">
        <f aca="false">IF($BX379&lt;&gt;Constants!$B$6,"",IF($AT379,$AV379,""))</f>
        <v/>
      </c>
      <c r="BW379" s="135" t="str">
        <f aca="false">IF(ISBLANK($C379),"",IF(ISBLANK($D$7),$BW$5,IF(NOT(ISNUMBER($D$7)),$BW$6,"")))</f>
        <v/>
      </c>
      <c r="BX379" s="135" t="str">
        <f aca="false">IF(ISBLANK($C379),"",IF($BA379,Constants!$B$9,IF(COUNTA($E379:$AA379)=0,Constants!$B$8,IF(NOT($AG379),Constants!$B$7,IF(OR($BW379&lt;&gt;"",$BB379,$BM379),Constants!$B$10,Constants!$B$6)))))</f>
        <v/>
      </c>
      <c r="BY379" s="135" t="str">
        <f aca="false">IF(ISBLANK($C379),"",IF($BX379&lt;&gt;Constants!$B$6,$BX379,Constants!$B$11))</f>
        <v/>
      </c>
      <c r="BZ379" s="138" t="str">
        <f aca="false">IF($BX379&lt;&gt;Constants!$B$6,"",IF($BL379="-&gt;",$BS379,$BH379))</f>
        <v/>
      </c>
      <c r="CA379" s="138" t="str">
        <f aca="false">IF($BX379&lt;&gt;Constants!$B$6,"",IF($AF379,0,Constants!$B$15))</f>
        <v/>
      </c>
      <c r="CB379" s="138" t="str">
        <f aca="false">IF($BX379&lt;&gt;Constants!$B$6,"",((Constants!$B$25-$AZ379)-Constants!$B$25)/Constants!$B$26)</f>
        <v/>
      </c>
      <c r="CC379" s="138" t="str">
        <f aca="false">IF(ISBLANK($C379),"",IF($BX379&lt;&gt;Constants!$B$6,$BX379,SUM($BZ379:$CB379)))</f>
        <v/>
      </c>
      <c r="CD379" s="135" t="str">
        <f aca="false">IF(ISBLANK($C379),"",IF($BX379&lt;&gt;Constants!$B$6,$BX379,RANK($CC379,$CC$9:$CC$508,1)))</f>
        <v/>
      </c>
      <c r="CE379" s="138" t="str">
        <f aca="false">IF($BX379&lt;&gt;Constants!$B$6,"",IF($BL379="-&gt;",$BT379,$BI379))</f>
        <v/>
      </c>
      <c r="CF379" s="135" t="str">
        <f aca="false">IF(ISBLANK($C379),"",IF($BX379&lt;&gt;Constants!$B$6,$BX379,IF(ISNUMBER($CE379),RANK($CE379,$CE$9:$CE$508,1),COUNT($CE$9:$CE$508)+1)))</f>
        <v/>
      </c>
      <c r="CG379" s="138" t="str">
        <f aca="false">IF($BX379&lt;&gt;Constants!$B$6,"",IF($BL379="-&gt;",$BU379,$BJ379))</f>
        <v/>
      </c>
      <c r="CH379" s="135" t="str">
        <f aca="false">IF(ISBLANK($C379),"",IF($BX379&lt;&gt;Constants!$B$6,$BX379,IF(ISNUMBER($CG379),RANK($CG379,$CG$9:$CG$508,1),COUNT($CG$9:$CG$508)+1)))</f>
        <v/>
      </c>
      <c r="CI379" s="138" t="str">
        <f aca="false">IF($BX379&lt;&gt;Constants!$B$6,"",IF($BL379="-&gt;",$BV379,$BK379))</f>
        <v/>
      </c>
      <c r="CJ379" s="135" t="str">
        <f aca="false">IF(ISBLANK($C379),"",IF($BX379&lt;&gt;Constants!$B$6,$BX379,IF(ISNUMBER($CI379),RANK($CI379,$CI$9:$CI$508,1),COUNT($CI$9:$CI$508)+1)))</f>
        <v/>
      </c>
      <c r="CK379" s="138" t="str">
        <f aca="false">IF($BX379&lt;&gt;Constants!$B$6,"",$AI379)</f>
        <v/>
      </c>
      <c r="CL379" s="135" t="str">
        <f aca="false">IF(ISBLANK($C379),"",IF($BX379&lt;&gt;Constants!$B$6,$BX379,IF(ISNUMBER($CK379),RANK($CK379,$CK$9:$CK$508,1),COUNT($CK$9:$CK$508)+1)))</f>
        <v/>
      </c>
      <c r="CM379" s="135" t="str">
        <f aca="false">IF(ISBLANK($C379),"",IF($BX379&lt;&gt;Constants!$B$6,$BX379,COUNTIFS($CD$9:$CD$508,"&lt;"&amp;$CD379)+COUNTIFS($CD$9:$CD$508,$CD379,$CF$9:$CF$508,"&lt;"&amp;$CF379)+COUNTIFS($CD$9:$CD$508,$CD379,$CF$9:$CF$508,$CF379,$CH$9:$CH$508,"&lt;"&amp;$CH379)+COUNTIFS($CD$9:$CD$508,$CD379,$CF$9:$CF$508,$CF379,$CH$9:$CH$508,$CH379,$CJ$9:$CJ$508,"&lt;"&amp;$CJ379)+COUNTIFS($CD$9:$CD$508,$CD379,$CF$9:$CF$508,$CF379,$CH$9:$CH$508,$CH379,$CJ$9:$CJ$508,$CJ379,$CL$9:$CL$508,"&lt;"&amp;$CL379)+1))</f>
        <v/>
      </c>
      <c r="CN379" s="135" t="str">
        <f aca="false">IF(ISBLANK($C379),"",IF($BX379&lt;&gt;Constants!$B$6,$BX379,$CD379-$CM379))</f>
        <v/>
      </c>
      <c r="CO379" s="141"/>
      <c r="CP379" s="142"/>
      <c r="CQ379" s="143" t="str">
        <f aca="false">IF(ISBLANK($C379),"",IF($BX379=Constants!$B$10,$BW379,""))</f>
        <v/>
      </c>
      <c r="CR379" s="142" t="str">
        <f aca="false">IF(ISBLANK($C379),"",IF($BX379&lt;&gt;Constants!$B$6,"",IF($BL379="-&gt;",2,1)))</f>
        <v/>
      </c>
      <c r="CS379" s="144" t="str">
        <f aca="false">IF(ISBLANK($C379),"",IF($BX379&lt;&gt;Constants!$B$6,"",IF($BL379="-&gt;",$BN379,$BC379)))</f>
        <v/>
      </c>
      <c r="CT379" s="144" t="str">
        <f aca="false">IF(ISBLANK($C379),"",IF($BX379&lt;&gt;Constants!$B$6,"",IF($BL379="-&gt;",$BO379,$BD379)))</f>
        <v/>
      </c>
      <c r="CU379" s="144" t="str">
        <f aca="false">IF(ISBLANK($C379),"",IF($BX379&lt;&gt;Constants!$B$6,"",IF($BL379="-&gt;",$BP379+$BQ379,$BE379+$BF379)+$CB379))</f>
        <v/>
      </c>
      <c r="CV379" s="144" t="str">
        <f aca="false">IF(ISBLANK($C379),"",IF($BX379&lt;&gt;Constants!$B$6,"",IF($BL379="-&gt;",$BR379,$BG379)+$CA379))</f>
        <v/>
      </c>
      <c r="CW379" s="145" t="str">
        <f aca="false">IF(ISBLANK($C379),"",IF($BX379&lt;&gt;Constants!$B$6,$BX379,$CC379))</f>
        <v/>
      </c>
      <c r="CX379" s="146" t="str">
        <f aca="false">IF(ISBLANK($C379),"",$BY379)</f>
        <v/>
      </c>
      <c r="CY379" s="147" t="str">
        <f aca="false">IF(ISBLANK($C379),"",$CN379)</f>
        <v/>
      </c>
      <c r="CZ379" s="147" t="str">
        <f aca="false">IF(ISBLANK($C379),"",$CM379)</f>
        <v/>
      </c>
      <c r="DA379" s="148" t="str">
        <f aca="false">IF(ISBLANK($C379),"",IFERROR(_xlfn.SWITCH($CZ379,Constants!$B$9,COUNTA($C$9:$C$508)+2,Constants!$B$8,COUNTA($C$9:$C$508)+1,Constants!$B$7,COUNTA($C$9:$C$508)),$CZ379))</f>
        <v/>
      </c>
      <c r="DB379" s="9"/>
      <c r="DC379" s="149" t="n">
        <f aca="false">IF(OR(ISNUMBER($CZ379),$CZ379=Constants!$B$9,$CZ379=Constants!$B$7,$CZ379=Constants!$B$8),1,0)</f>
        <v>0</v>
      </c>
      <c r="DD379" s="149" t="n">
        <v>371</v>
      </c>
      <c r="DE379" s="149" t="str">
        <f aca="false">IF(ISBLANK($C379),"",IF(ISNUMBER($DA379),$DA379+ROW($B379)/1000,""))</f>
        <v/>
      </c>
      <c r="DF379" s="149" t="str">
        <f aca="false">IF(ISNUMBER($DE379),RANK($DE379,$DE$9:$DE$508,1),"")</f>
        <v/>
      </c>
      <c r="DG379" s="149" t="str">
        <f aca="false">IF(ISBLANK($C379),"",$B379)</f>
        <v/>
      </c>
      <c r="DH379" s="149" t="str">
        <f aca="false">IF(ISBLANK($C379),"",$C379)</f>
        <v/>
      </c>
      <c r="DI379" s="149" t="str">
        <f aca="false">IF(ISBLANK($C379),"",$D379)</f>
        <v/>
      </c>
      <c r="DJ379" s="150" t="str">
        <f aca="false">$CX379</f>
        <v/>
      </c>
      <c r="DK379" s="151" t="str">
        <f aca="false">$CW379</f>
        <v/>
      </c>
      <c r="DL379" s="149" t="str">
        <f aca="false">IF(ISBLANK($C379),"",$CZ379)</f>
        <v/>
      </c>
      <c r="DM379" s="152" t="str">
        <f aca="false">IF($DD379&gt;$DC$8,"",VLOOKUP($DD379,$DF$9:$DL$508,7,FALSE()))</f>
        <v/>
      </c>
      <c r="DN379" s="153" t="str">
        <f aca="false">IF($DD379&gt;$DC$8,"",VLOOKUP($DD379,$DF$9:$DL$508,2,FALSE()))</f>
        <v/>
      </c>
      <c r="DO379" s="153" t="str">
        <f aca="false">IF($DD379&gt;$DC$8,"",VLOOKUP($DD379,$DF$9:$DL$508,3,FALSE()))</f>
        <v/>
      </c>
      <c r="DP379" s="153" t="str">
        <f aca="false">IF($DD379&gt;$DC$8,"",VLOOKUP($DD379,$DF$9:$DL$508,4,FALSE()))</f>
        <v/>
      </c>
      <c r="DQ379" s="153" t="str">
        <f aca="false">IF($DD379&gt;$DC$8,"",VLOOKUP($DD379,$DF$9:$DL$508,5,FALSE()))</f>
        <v/>
      </c>
      <c r="DR379" s="154" t="str">
        <f aca="false">IF($DD379&gt;$DC$8,"",VLOOKUP($DD379,$DF$9:$DL$508,6,FALSE()))</f>
        <v/>
      </c>
      <c r="DS379" s="76"/>
    </row>
    <row r="380" customFormat="false" ht="15.75" hidden="false" customHeight="false" outlineLevel="0" collapsed="false">
      <c r="A380" s="9"/>
      <c r="B380" s="160"/>
      <c r="C380" s="161"/>
      <c r="D380" s="162"/>
      <c r="E380" s="180"/>
      <c r="F380" s="164"/>
      <c r="G380" s="165"/>
      <c r="H380" s="165"/>
      <c r="I380" s="181"/>
      <c r="J380" s="168"/>
      <c r="K380" s="128"/>
      <c r="L380" s="129"/>
      <c r="M380" s="130"/>
      <c r="N380" s="168"/>
      <c r="O380" s="168"/>
      <c r="P380" s="180"/>
      <c r="Q380" s="168"/>
      <c r="R380" s="168"/>
      <c r="S380" s="128"/>
      <c r="T380" s="130"/>
      <c r="U380" s="130"/>
      <c r="V380" s="168"/>
      <c r="W380" s="168"/>
      <c r="X380" s="180"/>
      <c r="Y380" s="168"/>
      <c r="Z380" s="169"/>
      <c r="AA380" s="168"/>
      <c r="AB380" s="134"/>
      <c r="AC380" s="135"/>
      <c r="AD380" s="135"/>
      <c r="AE380" s="135"/>
      <c r="AF380" s="135" t="str">
        <f aca="false">IF(ISBLANK($C380),"",IF(E380=Constants!$B$2,TRUE(),IF(E380=Constants!$B$3,FALSE(),TRUE())))</f>
        <v/>
      </c>
      <c r="AG380" s="135" t="str">
        <f aca="false">IF(ISBLANK($C380),"",IF(F380=Constants!$B$2,TRUE(),IF(F380=Constants!$B$3,FALSE(),TRUE())))</f>
        <v/>
      </c>
      <c r="AH380" s="135" t="str">
        <f aca="false">IF(ISBLANK($C380),"",IF(G380=Constants!$B$2,TRUE(),IF(G380=Constants!$B$3,FALSE(),TRUE())))</f>
        <v/>
      </c>
      <c r="AI380" s="135" t="str">
        <f aca="false">IF(ISBLANK($C380),"",IF(AND(ISNUMBER(H380),H380&gt;=0),H380,Constants!$B$24))</f>
        <v/>
      </c>
      <c r="AJ380" s="135" t="str">
        <f aca="false">IF(ISBLANK($C380),"",IF(I380=Constants!$B$2,TRUE(),IF(I380=Constants!$B$3,FALSE(),TRUE())))</f>
        <v/>
      </c>
      <c r="AK380" s="135" t="str">
        <f aca="false">IF(ISBLANK($C380),"",IF(J380=Constants!$B$2,TRUE(),IF(J380=Constants!$B$3,FALSE(),TRUE())))</f>
        <v/>
      </c>
      <c r="AL380" s="135" t="str">
        <f aca="false">IF(ISBLANK($C380),"",IF(K380=Constants!$B$4,TRUE(),IF(K380=Constants!$B$5,FALSE(),COUNTA(L380:P380)&gt;0)))</f>
        <v/>
      </c>
      <c r="AM380" s="136" t="str">
        <f aca="false">IF(ISBLANK($C380),"",IF(ISNUMBER(L380),IF(L380&gt;=0,L380,""),""))</f>
        <v/>
      </c>
      <c r="AN380" s="137" t="str">
        <f aca="false">IF(ISBLANK($C380),"",IF(ISNUMBER(M380),IF(M380&gt;=0,M380,""),""))</f>
        <v/>
      </c>
      <c r="AO380" s="137" t="str">
        <f aca="false">IF(ISBLANK($C380),"",IF(N380=Constants!$B$2,TRUE(),IF(N380=Constants!$B$3,FALSE(),TRUE())))</f>
        <v/>
      </c>
      <c r="AP380" s="135" t="str">
        <f aca="false">IF(ISBLANK($C380),"",IF(ISNUMBER(O380),IF(O380&gt;=0,O380,""),""))</f>
        <v/>
      </c>
      <c r="AQ380" s="135" t="str">
        <f aca="false">IF(ISBLANK($C380),"",IF(P380=Constants!$B$2,TRUE(),IF(P380=Constants!$B$3,FALSE(),FALSE())))</f>
        <v/>
      </c>
      <c r="AR380" s="135" t="str">
        <f aca="false">IF(ISBLANK($C380),"",IF(Q380=Constants!$B$2,TRUE(),IF(Q380=Constants!$B$3,FALSE(),TRUE())))</f>
        <v/>
      </c>
      <c r="AS380" s="135" t="str">
        <f aca="false">IF(ISBLANK($C380),"",IF(R380=Constants!$B$2,TRUE(),IF(R380=Constants!$B$3,FALSE(),TRUE())))</f>
        <v/>
      </c>
      <c r="AT380" s="135" t="str">
        <f aca="false">IF(ISBLANK($C380),"",IF(S380=Constants!$B$4,TRUE(),IF(S380=Constants!$B$5,FALSE(),COUNTA(T380:X380)&gt;0)))</f>
        <v/>
      </c>
      <c r="AU380" s="136" t="str">
        <f aca="false">IF(ISBLANK($C380),"",IF(ISNUMBER(T380),IF(T380&gt;=0,T380,""),""))</f>
        <v/>
      </c>
      <c r="AV380" s="137" t="str">
        <f aca="false">IF(ISBLANK($C380),"",IF(ISNUMBER(U380),IF(U380&gt;=0,U380,""),""))</f>
        <v/>
      </c>
      <c r="AW380" s="137" t="str">
        <f aca="false">IF(ISBLANK($C380),"",IF(V380=Constants!$B$2,TRUE(),IF(V380=Constants!$B$3,FALSE(),TRUE())))</f>
        <v/>
      </c>
      <c r="AX380" s="135" t="str">
        <f aca="false">IF(ISBLANK($C380),"",IF(ISNUMBER(W380),IF(W380&gt;=0,W380,""),""))</f>
        <v/>
      </c>
      <c r="AY380" s="135" t="str">
        <f aca="false">IF(ISBLANK($C380),"",IF(X380=Constants!$B$2,TRUE(),IF(X380=Constants!$B$3,FALSE(),FALSE())))</f>
        <v/>
      </c>
      <c r="AZ380" s="135" t="str">
        <f aca="false">IF(ISBLANK($C380),"",MIN(Constants!$B$25,MAX(0,IF(ISNUMBER(Y380),Y380*60,0)+IF(ISNUMBER(Z380),Z380,0))))</f>
        <v/>
      </c>
      <c r="BA380" s="135" t="str">
        <f aca="false">IF(ISBLANK($C380),"",IF(AA380=Constants!$B$2,TRUE(),IF(AA380=Constants!$B$3,FALSE(),FALSE())))</f>
        <v/>
      </c>
      <c r="BB380" s="134" t="str">
        <f aca="false">IF(ISBLANK($C380),"",AND($AL380,OR($AM380="",$AN380="",AND($AO380,$AP380=""))))</f>
        <v/>
      </c>
      <c r="BC380" s="137" t="str">
        <f aca="false">IF($BX380&lt;&gt;Constants!$B$6,"",IF($AL380,Constants!$B$17*$AN380+Constants!$B$18*IF($AO380,$AP380,Constants!$B$19),Constants!$B$20))</f>
        <v/>
      </c>
      <c r="BD380" s="138" t="str">
        <f aca="false">IF($BX380&lt;&gt;Constants!$B$6,"",Constants!$B$21*ABS($AD$9-IF($AL380,$AM380,0)))</f>
        <v/>
      </c>
      <c r="BE380" s="138" t="str">
        <f aca="false">IF($BX380&lt;&gt;Constants!$B$6,"",IF(AND($AL380,$AQ380,$AO380),Constants!$B$22,0))</f>
        <v/>
      </c>
      <c r="BF380" s="138" t="str">
        <f aca="false">IF($BX380&lt;&gt;Constants!$B$6,"",IF($AL380,($AI380-Constants!$B$24)*Constants!$B$23,0))</f>
        <v/>
      </c>
      <c r="BG380" s="138" t="str">
        <f aca="false">IF($BX380&lt;&gt;Constants!$B$6,"",IF($AK380,0,Constants!$B$12)+IF($AJ380,0,Constants!$B$13)+IF($AH380,0,Constants!$B$14))</f>
        <v/>
      </c>
      <c r="BH380" s="139" t="str">
        <f aca="false">IF($BX380&lt;&gt;Constants!$B$6,"",Constants!$B$16+SUM($BC380:$BG380))</f>
        <v/>
      </c>
      <c r="BI380" s="138" t="str">
        <f aca="false">IF($BX380&lt;&gt;Constants!$B$6,"",$BC380)</f>
        <v/>
      </c>
      <c r="BJ380" s="138" t="str">
        <f aca="false">IF($BX380&lt;&gt;Constants!$B$6,"",$BD380)</f>
        <v/>
      </c>
      <c r="BK380" s="140" t="str">
        <f aca="false">IF($BX380&lt;&gt;Constants!$B$6,"",IF($AL380,$AN380,""))</f>
        <v/>
      </c>
      <c r="BL380" s="135" t="str">
        <f aca="false">IF($BX380&lt;&gt;Constants!$B$6,"",IF(OR($BS380&lt;$BH380,AND($BS380=$BH380,OR($BT380&lt;$BI380,AND($BT380=$BI380,OR($BU380&lt;$BJ380,AND($BU380=$BJ380,AND(ISNUMBER($BV380),OR(NOT(ISNUMBER($BK380)),$BV380&lt;$BK380)))))))),"-&gt;","&lt;-"))</f>
        <v/>
      </c>
      <c r="BM380" s="134" t="str">
        <f aca="false">IF(ISBLANK($C380),"",AND($AT380,OR($AU380="",$AV380="",AND($AW380,$AX380=""))))</f>
        <v/>
      </c>
      <c r="BN380" s="137" t="str">
        <f aca="false">IF($BX380&lt;&gt;Constants!$B$6,"",IF($AT380,Constants!$B$17*$AV380+Constants!$B$18*IF($AW380,$AX380,Constants!$B$19),Constants!$B$20))</f>
        <v/>
      </c>
      <c r="BO380" s="138" t="str">
        <f aca="false">IF($BX380&lt;&gt;Constants!$B$6,"",Constants!$B$21*ABS($AD$9-IF($AT380,$AU380,0)))</f>
        <v/>
      </c>
      <c r="BP380" s="138" t="str">
        <f aca="false">IF($BX380&lt;&gt;Constants!$B$6,"",IF(AND($AT380,$AY380,$AW380),Constants!$B$22,0))</f>
        <v/>
      </c>
      <c r="BQ380" s="138" t="str">
        <f aca="false">IF($BX380&lt;&gt;Constants!$B$6,"",IF($AT380,($AI380-Constants!$B$24)*Constants!$B$23,0))</f>
        <v/>
      </c>
      <c r="BR380" s="138" t="str">
        <f aca="false">IF($BX380&lt;&gt;Constants!$B$6,"",IF($AS380,0,Constants!$B$12)+IF($AR380,0,Constants!$B$13)+IF($AH380,0,Constants!$B$14))</f>
        <v/>
      </c>
      <c r="BS380" s="139" t="str">
        <f aca="false">IF($BX380&lt;&gt;Constants!$B$6,"",Constants!$B$16+SUM($BN380:$BR380))</f>
        <v/>
      </c>
      <c r="BT380" s="138" t="str">
        <f aca="false">IF($BX380&lt;&gt;Constants!$B$6,"",$BN380)</f>
        <v/>
      </c>
      <c r="BU380" s="138" t="str">
        <f aca="false">IF($BX380&lt;&gt;Constants!$B$6,"",$BO380)</f>
        <v/>
      </c>
      <c r="BV380" s="140" t="str">
        <f aca="false">IF($BX380&lt;&gt;Constants!$B$6,"",IF($AT380,$AV380,""))</f>
        <v/>
      </c>
      <c r="BW380" s="135" t="str">
        <f aca="false">IF(ISBLANK($C380),"",IF(ISBLANK($D$7),$BW$5,IF(NOT(ISNUMBER($D$7)),$BW$6,"")))</f>
        <v/>
      </c>
      <c r="BX380" s="135" t="str">
        <f aca="false">IF(ISBLANK($C380),"",IF($BA380,Constants!$B$9,IF(COUNTA($E380:$AA380)=0,Constants!$B$8,IF(NOT($AG380),Constants!$B$7,IF(OR($BW380&lt;&gt;"",$BB380,$BM380),Constants!$B$10,Constants!$B$6)))))</f>
        <v/>
      </c>
      <c r="BY380" s="135" t="str">
        <f aca="false">IF(ISBLANK($C380),"",IF($BX380&lt;&gt;Constants!$B$6,$BX380,Constants!$B$11))</f>
        <v/>
      </c>
      <c r="BZ380" s="138" t="str">
        <f aca="false">IF($BX380&lt;&gt;Constants!$B$6,"",IF($BL380="-&gt;",$BS380,$BH380))</f>
        <v/>
      </c>
      <c r="CA380" s="138" t="str">
        <f aca="false">IF($BX380&lt;&gt;Constants!$B$6,"",IF($AF380,0,Constants!$B$15))</f>
        <v/>
      </c>
      <c r="CB380" s="138" t="str">
        <f aca="false">IF($BX380&lt;&gt;Constants!$B$6,"",((Constants!$B$25-$AZ380)-Constants!$B$25)/Constants!$B$26)</f>
        <v/>
      </c>
      <c r="CC380" s="138" t="str">
        <f aca="false">IF(ISBLANK($C380),"",IF($BX380&lt;&gt;Constants!$B$6,$BX380,SUM($BZ380:$CB380)))</f>
        <v/>
      </c>
      <c r="CD380" s="135" t="str">
        <f aca="false">IF(ISBLANK($C380),"",IF($BX380&lt;&gt;Constants!$B$6,$BX380,RANK($CC380,$CC$9:$CC$508,1)))</f>
        <v/>
      </c>
      <c r="CE380" s="138" t="str">
        <f aca="false">IF($BX380&lt;&gt;Constants!$B$6,"",IF($BL380="-&gt;",$BT380,$BI380))</f>
        <v/>
      </c>
      <c r="CF380" s="135" t="str">
        <f aca="false">IF(ISBLANK($C380),"",IF($BX380&lt;&gt;Constants!$B$6,$BX380,IF(ISNUMBER($CE380),RANK($CE380,$CE$9:$CE$508,1),COUNT($CE$9:$CE$508)+1)))</f>
        <v/>
      </c>
      <c r="CG380" s="138" t="str">
        <f aca="false">IF($BX380&lt;&gt;Constants!$B$6,"",IF($BL380="-&gt;",$BU380,$BJ380))</f>
        <v/>
      </c>
      <c r="CH380" s="135" t="str">
        <f aca="false">IF(ISBLANK($C380),"",IF($BX380&lt;&gt;Constants!$B$6,$BX380,IF(ISNUMBER($CG380),RANK($CG380,$CG$9:$CG$508,1),COUNT($CG$9:$CG$508)+1)))</f>
        <v/>
      </c>
      <c r="CI380" s="138" t="str">
        <f aca="false">IF($BX380&lt;&gt;Constants!$B$6,"",IF($BL380="-&gt;",$BV380,$BK380))</f>
        <v/>
      </c>
      <c r="CJ380" s="135" t="str">
        <f aca="false">IF(ISBLANK($C380),"",IF($BX380&lt;&gt;Constants!$B$6,$BX380,IF(ISNUMBER($CI380),RANK($CI380,$CI$9:$CI$508,1),COUNT($CI$9:$CI$508)+1)))</f>
        <v/>
      </c>
      <c r="CK380" s="138" t="str">
        <f aca="false">IF($BX380&lt;&gt;Constants!$B$6,"",$AI380)</f>
        <v/>
      </c>
      <c r="CL380" s="135" t="str">
        <f aca="false">IF(ISBLANK($C380),"",IF($BX380&lt;&gt;Constants!$B$6,$BX380,IF(ISNUMBER($CK380),RANK($CK380,$CK$9:$CK$508,1),COUNT($CK$9:$CK$508)+1)))</f>
        <v/>
      </c>
      <c r="CM380" s="135" t="str">
        <f aca="false">IF(ISBLANK($C380),"",IF($BX380&lt;&gt;Constants!$B$6,$BX380,COUNTIFS($CD$9:$CD$508,"&lt;"&amp;$CD380)+COUNTIFS($CD$9:$CD$508,$CD380,$CF$9:$CF$508,"&lt;"&amp;$CF380)+COUNTIFS($CD$9:$CD$508,$CD380,$CF$9:$CF$508,$CF380,$CH$9:$CH$508,"&lt;"&amp;$CH380)+COUNTIFS($CD$9:$CD$508,$CD380,$CF$9:$CF$508,$CF380,$CH$9:$CH$508,$CH380,$CJ$9:$CJ$508,"&lt;"&amp;$CJ380)+COUNTIFS($CD$9:$CD$508,$CD380,$CF$9:$CF$508,$CF380,$CH$9:$CH$508,$CH380,$CJ$9:$CJ$508,$CJ380,$CL$9:$CL$508,"&lt;"&amp;$CL380)+1))</f>
        <v/>
      </c>
      <c r="CN380" s="135" t="str">
        <f aca="false">IF(ISBLANK($C380),"",IF($BX380&lt;&gt;Constants!$B$6,$BX380,$CD380-$CM380))</f>
        <v/>
      </c>
      <c r="CO380" s="141"/>
      <c r="CP380" s="142"/>
      <c r="CQ380" s="143" t="str">
        <f aca="false">IF(ISBLANK($C380),"",IF($BX380=Constants!$B$10,$BW380,""))</f>
        <v/>
      </c>
      <c r="CR380" s="142" t="str">
        <f aca="false">IF(ISBLANK($C380),"",IF($BX380&lt;&gt;Constants!$B$6,"",IF($BL380="-&gt;",2,1)))</f>
        <v/>
      </c>
      <c r="CS380" s="144" t="str">
        <f aca="false">IF(ISBLANK($C380),"",IF($BX380&lt;&gt;Constants!$B$6,"",IF($BL380="-&gt;",$BN380,$BC380)))</f>
        <v/>
      </c>
      <c r="CT380" s="144" t="str">
        <f aca="false">IF(ISBLANK($C380),"",IF($BX380&lt;&gt;Constants!$B$6,"",IF($BL380="-&gt;",$BO380,$BD380)))</f>
        <v/>
      </c>
      <c r="CU380" s="144" t="str">
        <f aca="false">IF(ISBLANK($C380),"",IF($BX380&lt;&gt;Constants!$B$6,"",IF($BL380="-&gt;",$BP380+$BQ380,$BE380+$BF380)+$CB380))</f>
        <v/>
      </c>
      <c r="CV380" s="144" t="str">
        <f aca="false">IF(ISBLANK($C380),"",IF($BX380&lt;&gt;Constants!$B$6,"",IF($BL380="-&gt;",$BR380,$BG380)+$CA380))</f>
        <v/>
      </c>
      <c r="CW380" s="145" t="str">
        <f aca="false">IF(ISBLANK($C380),"",IF($BX380&lt;&gt;Constants!$B$6,$BX380,$CC380))</f>
        <v/>
      </c>
      <c r="CX380" s="146" t="str">
        <f aca="false">IF(ISBLANK($C380),"",$BY380)</f>
        <v/>
      </c>
      <c r="CY380" s="147" t="str">
        <f aca="false">IF(ISBLANK($C380),"",$CN380)</f>
        <v/>
      </c>
      <c r="CZ380" s="147" t="str">
        <f aca="false">IF(ISBLANK($C380),"",$CM380)</f>
        <v/>
      </c>
      <c r="DA380" s="148" t="str">
        <f aca="false">IF(ISBLANK($C380),"",IFERROR(_xlfn.SWITCH($CZ380,Constants!$B$9,COUNTA($C$9:$C$508)+2,Constants!$B$8,COUNTA($C$9:$C$508)+1,Constants!$B$7,COUNTA($C$9:$C$508)),$CZ380))</f>
        <v/>
      </c>
      <c r="DB380" s="9"/>
      <c r="DC380" s="149" t="n">
        <f aca="false">IF(OR(ISNUMBER($CZ380),$CZ380=Constants!$B$9,$CZ380=Constants!$B$7,$CZ380=Constants!$B$8),1,0)</f>
        <v>0</v>
      </c>
      <c r="DD380" s="149" t="n">
        <v>372</v>
      </c>
      <c r="DE380" s="149" t="str">
        <f aca="false">IF(ISBLANK($C380),"",IF(ISNUMBER($DA380),$DA380+ROW($B380)/1000,""))</f>
        <v/>
      </c>
      <c r="DF380" s="149" t="str">
        <f aca="false">IF(ISNUMBER($DE380),RANK($DE380,$DE$9:$DE$508,1),"")</f>
        <v/>
      </c>
      <c r="DG380" s="149" t="str">
        <f aca="false">IF(ISBLANK($C380),"",$B380)</f>
        <v/>
      </c>
      <c r="DH380" s="149" t="str">
        <f aca="false">IF(ISBLANK($C380),"",$C380)</f>
        <v/>
      </c>
      <c r="DI380" s="149" t="str">
        <f aca="false">IF(ISBLANK($C380),"",$D380)</f>
        <v/>
      </c>
      <c r="DJ380" s="150" t="str">
        <f aca="false">$CX380</f>
        <v/>
      </c>
      <c r="DK380" s="151" t="str">
        <f aca="false">$CW380</f>
        <v/>
      </c>
      <c r="DL380" s="149" t="str">
        <f aca="false">IF(ISBLANK($C380),"",$CZ380)</f>
        <v/>
      </c>
      <c r="DM380" s="152" t="str">
        <f aca="false">IF($DD380&gt;$DC$8,"",VLOOKUP($DD380,$DF$9:$DL$508,7,FALSE()))</f>
        <v/>
      </c>
      <c r="DN380" s="153" t="str">
        <f aca="false">IF($DD380&gt;$DC$8,"",VLOOKUP($DD380,$DF$9:$DL$508,2,FALSE()))</f>
        <v/>
      </c>
      <c r="DO380" s="153" t="str">
        <f aca="false">IF($DD380&gt;$DC$8,"",VLOOKUP($DD380,$DF$9:$DL$508,3,FALSE()))</f>
        <v/>
      </c>
      <c r="DP380" s="153" t="str">
        <f aca="false">IF($DD380&gt;$DC$8,"",VLOOKUP($DD380,$DF$9:$DL$508,4,FALSE()))</f>
        <v/>
      </c>
      <c r="DQ380" s="153" t="str">
        <f aca="false">IF($DD380&gt;$DC$8,"",VLOOKUP($DD380,$DF$9:$DL$508,5,FALSE()))</f>
        <v/>
      </c>
      <c r="DR380" s="154" t="str">
        <f aca="false">IF($DD380&gt;$DC$8,"",VLOOKUP($DD380,$DF$9:$DL$508,6,FALSE()))</f>
        <v/>
      </c>
      <c r="DS380" s="76"/>
    </row>
    <row r="381" customFormat="false" ht="15.75" hidden="false" customHeight="false" outlineLevel="0" collapsed="false">
      <c r="A381" s="9"/>
      <c r="B381" s="78"/>
      <c r="C381" s="79"/>
      <c r="D381" s="170"/>
      <c r="E381" s="178"/>
      <c r="F381" s="172"/>
      <c r="G381" s="173"/>
      <c r="H381" s="173"/>
      <c r="I381" s="179"/>
      <c r="J381" s="176"/>
      <c r="K381" s="86"/>
      <c r="L381" s="87"/>
      <c r="M381" s="88"/>
      <c r="N381" s="176"/>
      <c r="O381" s="176"/>
      <c r="P381" s="178"/>
      <c r="Q381" s="176"/>
      <c r="R381" s="176"/>
      <c r="S381" s="86"/>
      <c r="T381" s="88"/>
      <c r="U381" s="88"/>
      <c r="V381" s="176"/>
      <c r="W381" s="176"/>
      <c r="X381" s="178"/>
      <c r="Y381" s="176"/>
      <c r="Z381" s="177"/>
      <c r="AA381" s="176"/>
      <c r="AB381" s="92"/>
      <c r="AC381" s="93"/>
      <c r="AD381" s="93"/>
      <c r="AE381" s="93"/>
      <c r="AF381" s="93" t="str">
        <f aca="false">IF(ISBLANK($C381),"",IF(E381=Constants!$B$2,TRUE(),IF(E381=Constants!$B$3,FALSE(),TRUE())))</f>
        <v/>
      </c>
      <c r="AG381" s="93" t="str">
        <f aca="false">IF(ISBLANK($C381),"",IF(F381=Constants!$B$2,TRUE(),IF(F381=Constants!$B$3,FALSE(),TRUE())))</f>
        <v/>
      </c>
      <c r="AH381" s="93" t="str">
        <f aca="false">IF(ISBLANK($C381),"",IF(G381=Constants!$B$2,TRUE(),IF(G381=Constants!$B$3,FALSE(),TRUE())))</f>
        <v/>
      </c>
      <c r="AI381" s="93" t="str">
        <f aca="false">IF(ISBLANK($C381),"",IF(AND(ISNUMBER(H381),H381&gt;=0),H381,Constants!$B$24))</f>
        <v/>
      </c>
      <c r="AJ381" s="93" t="str">
        <f aca="false">IF(ISBLANK($C381),"",IF(I381=Constants!$B$2,TRUE(),IF(I381=Constants!$B$3,FALSE(),TRUE())))</f>
        <v/>
      </c>
      <c r="AK381" s="93" t="str">
        <f aca="false">IF(ISBLANK($C381),"",IF(J381=Constants!$B$2,TRUE(),IF(J381=Constants!$B$3,FALSE(),TRUE())))</f>
        <v/>
      </c>
      <c r="AL381" s="93" t="str">
        <f aca="false">IF(ISBLANK($C381),"",IF(K381=Constants!$B$4,TRUE(),IF(K381=Constants!$B$5,FALSE(),COUNTA(L381:P381)&gt;0)))</f>
        <v/>
      </c>
      <c r="AM381" s="95" t="str">
        <f aca="false">IF(ISBLANK($C381),"",IF(ISNUMBER(L381),IF(L381&gt;=0,L381,""),""))</f>
        <v/>
      </c>
      <c r="AN381" s="94" t="str">
        <f aca="false">IF(ISBLANK($C381),"",IF(ISNUMBER(M381),IF(M381&gt;=0,M381,""),""))</f>
        <v/>
      </c>
      <c r="AO381" s="94" t="str">
        <f aca="false">IF(ISBLANK($C381),"",IF(N381=Constants!$B$2,TRUE(),IF(N381=Constants!$B$3,FALSE(),TRUE())))</f>
        <v/>
      </c>
      <c r="AP381" s="93" t="str">
        <f aca="false">IF(ISBLANK($C381),"",IF(ISNUMBER(O381),IF(O381&gt;=0,O381,""),""))</f>
        <v/>
      </c>
      <c r="AQ381" s="93" t="str">
        <f aca="false">IF(ISBLANK($C381),"",IF(P381=Constants!$B$2,TRUE(),IF(P381=Constants!$B$3,FALSE(),FALSE())))</f>
        <v/>
      </c>
      <c r="AR381" s="93" t="str">
        <f aca="false">IF(ISBLANK($C381),"",IF(Q381=Constants!$B$2,TRUE(),IF(Q381=Constants!$B$3,FALSE(),TRUE())))</f>
        <v/>
      </c>
      <c r="AS381" s="93" t="str">
        <f aca="false">IF(ISBLANK($C381),"",IF(R381=Constants!$B$2,TRUE(),IF(R381=Constants!$B$3,FALSE(),TRUE())))</f>
        <v/>
      </c>
      <c r="AT381" s="93" t="str">
        <f aca="false">IF(ISBLANK($C381),"",IF(S381=Constants!$B$4,TRUE(),IF(S381=Constants!$B$5,FALSE(),COUNTA(T381:X381)&gt;0)))</f>
        <v/>
      </c>
      <c r="AU381" s="95" t="str">
        <f aca="false">IF(ISBLANK($C381),"",IF(ISNUMBER(T381),IF(T381&gt;=0,T381,""),""))</f>
        <v/>
      </c>
      <c r="AV381" s="94" t="str">
        <f aca="false">IF(ISBLANK($C381),"",IF(ISNUMBER(U381),IF(U381&gt;=0,U381,""),""))</f>
        <v/>
      </c>
      <c r="AW381" s="94" t="str">
        <f aca="false">IF(ISBLANK($C381),"",IF(V381=Constants!$B$2,TRUE(),IF(V381=Constants!$B$3,FALSE(),TRUE())))</f>
        <v/>
      </c>
      <c r="AX381" s="93" t="str">
        <f aca="false">IF(ISBLANK($C381),"",IF(ISNUMBER(W381),IF(W381&gt;=0,W381,""),""))</f>
        <v/>
      </c>
      <c r="AY381" s="93" t="str">
        <f aca="false">IF(ISBLANK($C381),"",IF(X381=Constants!$B$2,TRUE(),IF(X381=Constants!$B$3,FALSE(),FALSE())))</f>
        <v/>
      </c>
      <c r="AZ381" s="93" t="str">
        <f aca="false">IF(ISBLANK($C381),"",MIN(Constants!$B$25,MAX(0,IF(ISNUMBER(Y381),Y381*60,0)+IF(ISNUMBER(Z381),Z381,0))))</f>
        <v/>
      </c>
      <c r="BA381" s="93" t="str">
        <f aca="false">IF(ISBLANK($C381),"",IF(AA381=Constants!$B$2,TRUE(),IF(AA381=Constants!$B$3,FALSE(),FALSE())))</f>
        <v/>
      </c>
      <c r="BB381" s="92" t="str">
        <f aca="false">IF(ISBLANK($C381),"",AND($AL381,OR($AM381="",$AN381="",AND($AO381,$AP381=""))))</f>
        <v/>
      </c>
      <c r="BC381" s="94" t="str">
        <f aca="false">IF($BX381&lt;&gt;Constants!$B$6,"",IF($AL381,Constants!$B$17*$AN381+Constants!$B$18*IF($AO381,$AP381,Constants!$B$19),Constants!$B$20))</f>
        <v/>
      </c>
      <c r="BD381" s="97" t="str">
        <f aca="false">IF($BX381&lt;&gt;Constants!$B$6,"",Constants!$B$21*ABS($AD$9-IF($AL381,$AM381,0)))</f>
        <v/>
      </c>
      <c r="BE381" s="97" t="str">
        <f aca="false">IF($BX381&lt;&gt;Constants!$B$6,"",IF(AND($AL381,$AQ381,$AO381),Constants!$B$22,0))</f>
        <v/>
      </c>
      <c r="BF381" s="97" t="str">
        <f aca="false">IF($BX381&lt;&gt;Constants!$B$6,"",IF($AL381,($AI381-Constants!$B$24)*Constants!$B$23,0))</f>
        <v/>
      </c>
      <c r="BG381" s="97" t="str">
        <f aca="false">IF($BX381&lt;&gt;Constants!$B$6,"",IF($AK381,0,Constants!$B$12)+IF($AJ381,0,Constants!$B$13)+IF($AH381,0,Constants!$B$14))</f>
        <v/>
      </c>
      <c r="BH381" s="98" t="str">
        <f aca="false">IF($BX381&lt;&gt;Constants!$B$6,"",Constants!$B$16+SUM($BC381:$BG381))</f>
        <v/>
      </c>
      <c r="BI381" s="97" t="str">
        <f aca="false">IF($BX381&lt;&gt;Constants!$B$6,"",$BC381)</f>
        <v/>
      </c>
      <c r="BJ381" s="97" t="str">
        <f aca="false">IF($BX381&lt;&gt;Constants!$B$6,"",$BD381)</f>
        <v/>
      </c>
      <c r="BK381" s="99" t="str">
        <f aca="false">IF($BX381&lt;&gt;Constants!$B$6,"",IF($AL381,$AN381,""))</f>
        <v/>
      </c>
      <c r="BL381" s="93" t="str">
        <f aca="false">IF($BX381&lt;&gt;Constants!$B$6,"",IF(OR($BS381&lt;$BH381,AND($BS381=$BH381,OR($BT381&lt;$BI381,AND($BT381=$BI381,OR($BU381&lt;$BJ381,AND($BU381=$BJ381,AND(ISNUMBER($BV381),OR(NOT(ISNUMBER($BK381)),$BV381&lt;$BK381)))))))),"-&gt;","&lt;-"))</f>
        <v/>
      </c>
      <c r="BM381" s="92" t="str">
        <f aca="false">IF(ISBLANK($C381),"",AND($AT381,OR($AU381="",$AV381="",AND($AW381,$AX381=""))))</f>
        <v/>
      </c>
      <c r="BN381" s="94" t="str">
        <f aca="false">IF($BX381&lt;&gt;Constants!$B$6,"",IF($AT381,Constants!$B$17*$AV381+Constants!$B$18*IF($AW381,$AX381,Constants!$B$19),Constants!$B$20))</f>
        <v/>
      </c>
      <c r="BO381" s="97" t="str">
        <f aca="false">IF($BX381&lt;&gt;Constants!$B$6,"",Constants!$B$21*ABS($AD$9-IF($AT381,$AU381,0)))</f>
        <v/>
      </c>
      <c r="BP381" s="97" t="str">
        <f aca="false">IF($BX381&lt;&gt;Constants!$B$6,"",IF(AND($AT381,$AY381,$AW381),Constants!$B$22,0))</f>
        <v/>
      </c>
      <c r="BQ381" s="97" t="str">
        <f aca="false">IF($BX381&lt;&gt;Constants!$B$6,"",IF($AT381,($AI381-Constants!$B$24)*Constants!$B$23,0))</f>
        <v/>
      </c>
      <c r="BR381" s="97" t="str">
        <f aca="false">IF($BX381&lt;&gt;Constants!$B$6,"",IF($AS381,0,Constants!$B$12)+IF($AR381,0,Constants!$B$13)+IF($AH381,0,Constants!$B$14))</f>
        <v/>
      </c>
      <c r="BS381" s="98" t="str">
        <f aca="false">IF($BX381&lt;&gt;Constants!$B$6,"",Constants!$B$16+SUM($BN381:$BR381))</f>
        <v/>
      </c>
      <c r="BT381" s="97" t="str">
        <f aca="false">IF($BX381&lt;&gt;Constants!$B$6,"",$BN381)</f>
        <v/>
      </c>
      <c r="BU381" s="97" t="str">
        <f aca="false">IF($BX381&lt;&gt;Constants!$B$6,"",$BO381)</f>
        <v/>
      </c>
      <c r="BV381" s="99" t="str">
        <f aca="false">IF($BX381&lt;&gt;Constants!$B$6,"",IF($AT381,$AV381,""))</f>
        <v/>
      </c>
      <c r="BW381" s="93" t="str">
        <f aca="false">IF(ISBLANK($C381),"",IF(ISBLANK($D$7),$BW$5,IF(NOT(ISNUMBER($D$7)),$BW$6,"")))</f>
        <v/>
      </c>
      <c r="BX381" s="93" t="str">
        <f aca="false">IF(ISBLANK($C381),"",IF($BA381,Constants!$B$9,IF(COUNTA($E381:$AA381)=0,Constants!$B$8,IF(NOT($AG381),Constants!$B$7,IF(OR($BW381&lt;&gt;"",$BB381,$BM381),Constants!$B$10,Constants!$B$6)))))</f>
        <v/>
      </c>
      <c r="BY381" s="93" t="str">
        <f aca="false">IF(ISBLANK($C381),"",IF($BX381&lt;&gt;Constants!$B$6,$BX381,Constants!$B$11))</f>
        <v/>
      </c>
      <c r="BZ381" s="97" t="str">
        <f aca="false">IF($BX381&lt;&gt;Constants!$B$6,"",IF($BL381="-&gt;",$BS381,$BH381))</f>
        <v/>
      </c>
      <c r="CA381" s="97" t="str">
        <f aca="false">IF($BX381&lt;&gt;Constants!$B$6,"",IF($AF381,0,Constants!$B$15))</f>
        <v/>
      </c>
      <c r="CB381" s="97" t="str">
        <f aca="false">IF($BX381&lt;&gt;Constants!$B$6,"",((Constants!$B$25-$AZ381)-Constants!$B$25)/Constants!$B$26)</f>
        <v/>
      </c>
      <c r="CC381" s="97" t="str">
        <f aca="false">IF(ISBLANK($C381),"",IF($BX381&lt;&gt;Constants!$B$6,$BX381,SUM($BZ381:$CB381)))</f>
        <v/>
      </c>
      <c r="CD381" s="93" t="str">
        <f aca="false">IF(ISBLANK($C381),"",IF($BX381&lt;&gt;Constants!$B$6,$BX381,RANK($CC381,$CC$9:$CC$508,1)))</f>
        <v/>
      </c>
      <c r="CE381" s="97" t="str">
        <f aca="false">IF($BX381&lt;&gt;Constants!$B$6,"",IF($BL381="-&gt;",$BT381,$BI381))</f>
        <v/>
      </c>
      <c r="CF381" s="93" t="str">
        <f aca="false">IF(ISBLANK($C381),"",IF($BX381&lt;&gt;Constants!$B$6,$BX381,IF(ISNUMBER($CE381),RANK($CE381,$CE$9:$CE$508,1),COUNT($CE$9:$CE$508)+1)))</f>
        <v/>
      </c>
      <c r="CG381" s="97" t="str">
        <f aca="false">IF($BX381&lt;&gt;Constants!$B$6,"",IF($BL381="-&gt;",$BU381,$BJ381))</f>
        <v/>
      </c>
      <c r="CH381" s="93" t="str">
        <f aca="false">IF(ISBLANK($C381),"",IF($BX381&lt;&gt;Constants!$B$6,$BX381,IF(ISNUMBER($CG381),RANK($CG381,$CG$9:$CG$508,1),COUNT($CG$9:$CG$508)+1)))</f>
        <v/>
      </c>
      <c r="CI381" s="97" t="str">
        <f aca="false">IF($BX381&lt;&gt;Constants!$B$6,"",IF($BL381="-&gt;",$BV381,$BK381))</f>
        <v/>
      </c>
      <c r="CJ381" s="93" t="str">
        <f aca="false">IF(ISBLANK($C381),"",IF($BX381&lt;&gt;Constants!$B$6,$BX381,IF(ISNUMBER($CI381),RANK($CI381,$CI$9:$CI$508,1),COUNT($CI$9:$CI$508)+1)))</f>
        <v/>
      </c>
      <c r="CK381" s="97" t="str">
        <f aca="false">IF($BX381&lt;&gt;Constants!$B$6,"",$AI381)</f>
        <v/>
      </c>
      <c r="CL381" s="93" t="str">
        <f aca="false">IF(ISBLANK($C381),"",IF($BX381&lt;&gt;Constants!$B$6,$BX381,IF(ISNUMBER($CK381),RANK($CK381,$CK$9:$CK$508,1),COUNT($CK$9:$CK$508)+1)))</f>
        <v/>
      </c>
      <c r="CM381" s="93" t="str">
        <f aca="false">IF(ISBLANK($C381),"",IF($BX381&lt;&gt;Constants!$B$6,$BX381,COUNTIFS($CD$9:$CD$508,"&lt;"&amp;$CD381)+COUNTIFS($CD$9:$CD$508,$CD381,$CF$9:$CF$508,"&lt;"&amp;$CF381)+COUNTIFS($CD$9:$CD$508,$CD381,$CF$9:$CF$508,$CF381,$CH$9:$CH$508,"&lt;"&amp;$CH381)+COUNTIFS($CD$9:$CD$508,$CD381,$CF$9:$CF$508,$CF381,$CH$9:$CH$508,$CH381,$CJ$9:$CJ$508,"&lt;"&amp;$CJ381)+COUNTIFS($CD$9:$CD$508,$CD381,$CF$9:$CF$508,$CF381,$CH$9:$CH$508,$CH381,$CJ$9:$CJ$508,$CJ381,$CL$9:$CL$508,"&lt;"&amp;$CL381)+1))</f>
        <v/>
      </c>
      <c r="CN381" s="93" t="str">
        <f aca="false">IF(ISBLANK($C381),"",IF($BX381&lt;&gt;Constants!$B$6,$BX381,$CD381-$CM381))</f>
        <v/>
      </c>
      <c r="CO381" s="100"/>
      <c r="CP381" s="101"/>
      <c r="CQ381" s="102" t="str">
        <f aca="false">IF(ISBLANK($C381),"",IF($BX381=Constants!$B$10,$BW381,""))</f>
        <v/>
      </c>
      <c r="CR381" s="101" t="str">
        <f aca="false">IF(ISBLANK($C381),"",IF($BX381&lt;&gt;Constants!$B$6,"",IF($BL381="-&gt;",2,1)))</f>
        <v/>
      </c>
      <c r="CS381" s="103" t="str">
        <f aca="false">IF(ISBLANK($C381),"",IF($BX381&lt;&gt;Constants!$B$6,"",IF($BL381="-&gt;",$BN381,$BC381)))</f>
        <v/>
      </c>
      <c r="CT381" s="103" t="str">
        <f aca="false">IF(ISBLANK($C381),"",IF($BX381&lt;&gt;Constants!$B$6,"",IF($BL381="-&gt;",$BO381,$BD381)))</f>
        <v/>
      </c>
      <c r="CU381" s="103" t="str">
        <f aca="false">IF(ISBLANK($C381),"",IF($BX381&lt;&gt;Constants!$B$6,"",IF($BL381="-&gt;",$BP381+$BQ381,$BE381+$BF381)+$CB381))</f>
        <v/>
      </c>
      <c r="CV381" s="103" t="str">
        <f aca="false">IF(ISBLANK($C381),"",IF($BX381&lt;&gt;Constants!$B$6,"",IF($BL381="-&gt;",$BR381,$BG381)+$CA381))</f>
        <v/>
      </c>
      <c r="CW381" s="104" t="str">
        <f aca="false">IF(ISBLANK($C381),"",IF($BX381&lt;&gt;Constants!$B$6,$BX381,$CC381))</f>
        <v/>
      </c>
      <c r="CX381" s="105" t="str">
        <f aca="false">IF(ISBLANK($C381),"",$BY381)</f>
        <v/>
      </c>
      <c r="CY381" s="106" t="str">
        <f aca="false">IF(ISBLANK($C381),"",$CN381)</f>
        <v/>
      </c>
      <c r="CZ381" s="106" t="str">
        <f aca="false">IF(ISBLANK($C381),"",$CM381)</f>
        <v/>
      </c>
      <c r="DA381" s="107" t="str">
        <f aca="false">IF(ISBLANK($C381),"",IFERROR(_xlfn.SWITCH($CZ381,Constants!$B$9,COUNTA($C$9:$C$508)+2,Constants!$B$8,COUNTA($C$9:$C$508)+1,Constants!$B$7,COUNTA($C$9:$C$508)),$CZ381))</f>
        <v/>
      </c>
      <c r="DB381" s="9"/>
      <c r="DC381" s="108" t="n">
        <f aca="false">IF(OR(ISNUMBER($CZ381),$CZ381=Constants!$B$9,$CZ381=Constants!$B$7,$CZ381=Constants!$B$8),1,0)</f>
        <v>0</v>
      </c>
      <c r="DD381" s="108" t="n">
        <v>373</v>
      </c>
      <c r="DE381" s="108" t="str">
        <f aca="false">IF(ISBLANK($C381),"",IF(ISNUMBER($DA381),$DA381+ROW($B381)/1000,""))</f>
        <v/>
      </c>
      <c r="DF381" s="108" t="str">
        <f aca="false">IF(ISNUMBER($DE381),RANK($DE381,$DE$9:$DE$508,1),"")</f>
        <v/>
      </c>
      <c r="DG381" s="108" t="str">
        <f aca="false">IF(ISBLANK($C381),"",$B381)</f>
        <v/>
      </c>
      <c r="DH381" s="108" t="str">
        <f aca="false">IF(ISBLANK($C381),"",$C381)</f>
        <v/>
      </c>
      <c r="DI381" s="108" t="str">
        <f aca="false">IF(ISBLANK($C381),"",$D381)</f>
        <v/>
      </c>
      <c r="DJ381" s="109" t="str">
        <f aca="false">$CX381</f>
        <v/>
      </c>
      <c r="DK381" s="110" t="str">
        <f aca="false">$CW381</f>
        <v/>
      </c>
      <c r="DL381" s="108" t="str">
        <f aca="false">IF(ISBLANK($C381),"",$CZ381)</f>
        <v/>
      </c>
      <c r="DM381" s="111" t="str">
        <f aca="false">IF($DD381&gt;$DC$8,"",VLOOKUP($DD381,$DF$9:$DL$508,7,FALSE()))</f>
        <v/>
      </c>
      <c r="DN381" s="112" t="str">
        <f aca="false">IF($DD381&gt;$DC$8,"",VLOOKUP($DD381,$DF$9:$DL$508,2,FALSE()))</f>
        <v/>
      </c>
      <c r="DO381" s="112" t="str">
        <f aca="false">IF($DD381&gt;$DC$8,"",VLOOKUP($DD381,$DF$9:$DL$508,3,FALSE()))</f>
        <v/>
      </c>
      <c r="DP381" s="112" t="str">
        <f aca="false">IF($DD381&gt;$DC$8,"",VLOOKUP($DD381,$DF$9:$DL$508,4,FALSE()))</f>
        <v/>
      </c>
      <c r="DQ381" s="112" t="str">
        <f aca="false">IF($DD381&gt;$DC$8,"",VLOOKUP($DD381,$DF$9:$DL$508,5,FALSE()))</f>
        <v/>
      </c>
      <c r="DR381" s="113" t="str">
        <f aca="false">IF($DD381&gt;$DC$8,"",VLOOKUP($DD381,$DF$9:$DL$508,6,FALSE()))</f>
        <v/>
      </c>
      <c r="DS381" s="76"/>
    </row>
    <row r="382" customFormat="false" ht="15.75" hidden="false" customHeight="false" outlineLevel="0" collapsed="false">
      <c r="A382" s="9"/>
      <c r="B382" s="78"/>
      <c r="C382" s="79"/>
      <c r="D382" s="170"/>
      <c r="E382" s="178"/>
      <c r="F382" s="172"/>
      <c r="G382" s="173"/>
      <c r="H382" s="173"/>
      <c r="I382" s="179"/>
      <c r="J382" s="176"/>
      <c r="K382" s="86"/>
      <c r="L382" s="87"/>
      <c r="M382" s="88"/>
      <c r="N382" s="176"/>
      <c r="O382" s="176"/>
      <c r="P382" s="178"/>
      <c r="Q382" s="176"/>
      <c r="R382" s="176"/>
      <c r="S382" s="86"/>
      <c r="T382" s="88"/>
      <c r="U382" s="88"/>
      <c r="V382" s="176"/>
      <c r="W382" s="176"/>
      <c r="X382" s="178"/>
      <c r="Y382" s="176"/>
      <c r="Z382" s="177"/>
      <c r="AA382" s="176"/>
      <c r="AB382" s="92"/>
      <c r="AC382" s="93"/>
      <c r="AD382" s="93"/>
      <c r="AE382" s="93"/>
      <c r="AF382" s="93" t="str">
        <f aca="false">IF(ISBLANK($C382),"",IF(E382=Constants!$B$2,TRUE(),IF(E382=Constants!$B$3,FALSE(),TRUE())))</f>
        <v/>
      </c>
      <c r="AG382" s="93" t="str">
        <f aca="false">IF(ISBLANK($C382),"",IF(F382=Constants!$B$2,TRUE(),IF(F382=Constants!$B$3,FALSE(),TRUE())))</f>
        <v/>
      </c>
      <c r="AH382" s="93" t="str">
        <f aca="false">IF(ISBLANK($C382),"",IF(G382=Constants!$B$2,TRUE(),IF(G382=Constants!$B$3,FALSE(),TRUE())))</f>
        <v/>
      </c>
      <c r="AI382" s="93" t="str">
        <f aca="false">IF(ISBLANK($C382),"",IF(AND(ISNUMBER(H382),H382&gt;=0),H382,Constants!$B$24))</f>
        <v/>
      </c>
      <c r="AJ382" s="93" t="str">
        <f aca="false">IF(ISBLANK($C382),"",IF(I382=Constants!$B$2,TRUE(),IF(I382=Constants!$B$3,FALSE(),TRUE())))</f>
        <v/>
      </c>
      <c r="AK382" s="93" t="str">
        <f aca="false">IF(ISBLANK($C382),"",IF(J382=Constants!$B$2,TRUE(),IF(J382=Constants!$B$3,FALSE(),TRUE())))</f>
        <v/>
      </c>
      <c r="AL382" s="93" t="str">
        <f aca="false">IF(ISBLANK($C382),"",IF(K382=Constants!$B$4,TRUE(),IF(K382=Constants!$B$5,FALSE(),COUNTA(L382:P382)&gt;0)))</f>
        <v/>
      </c>
      <c r="AM382" s="95" t="str">
        <f aca="false">IF(ISBLANK($C382),"",IF(ISNUMBER(L382),IF(L382&gt;=0,L382,""),""))</f>
        <v/>
      </c>
      <c r="AN382" s="94" t="str">
        <f aca="false">IF(ISBLANK($C382),"",IF(ISNUMBER(M382),IF(M382&gt;=0,M382,""),""))</f>
        <v/>
      </c>
      <c r="AO382" s="94" t="str">
        <f aca="false">IF(ISBLANK($C382),"",IF(N382=Constants!$B$2,TRUE(),IF(N382=Constants!$B$3,FALSE(),TRUE())))</f>
        <v/>
      </c>
      <c r="AP382" s="93" t="str">
        <f aca="false">IF(ISBLANK($C382),"",IF(ISNUMBER(O382),IF(O382&gt;=0,O382,""),""))</f>
        <v/>
      </c>
      <c r="AQ382" s="93" t="str">
        <f aca="false">IF(ISBLANK($C382),"",IF(P382=Constants!$B$2,TRUE(),IF(P382=Constants!$B$3,FALSE(),FALSE())))</f>
        <v/>
      </c>
      <c r="AR382" s="93" t="str">
        <f aca="false">IF(ISBLANK($C382),"",IF(Q382=Constants!$B$2,TRUE(),IF(Q382=Constants!$B$3,FALSE(),TRUE())))</f>
        <v/>
      </c>
      <c r="AS382" s="93" t="str">
        <f aca="false">IF(ISBLANK($C382),"",IF(R382=Constants!$B$2,TRUE(),IF(R382=Constants!$B$3,FALSE(),TRUE())))</f>
        <v/>
      </c>
      <c r="AT382" s="93" t="str">
        <f aca="false">IF(ISBLANK($C382),"",IF(S382=Constants!$B$4,TRUE(),IF(S382=Constants!$B$5,FALSE(),COUNTA(T382:X382)&gt;0)))</f>
        <v/>
      </c>
      <c r="AU382" s="95" t="str">
        <f aca="false">IF(ISBLANK($C382),"",IF(ISNUMBER(T382),IF(T382&gt;=0,T382,""),""))</f>
        <v/>
      </c>
      <c r="AV382" s="94" t="str">
        <f aca="false">IF(ISBLANK($C382),"",IF(ISNUMBER(U382),IF(U382&gt;=0,U382,""),""))</f>
        <v/>
      </c>
      <c r="AW382" s="94" t="str">
        <f aca="false">IF(ISBLANK($C382),"",IF(V382=Constants!$B$2,TRUE(),IF(V382=Constants!$B$3,FALSE(),TRUE())))</f>
        <v/>
      </c>
      <c r="AX382" s="93" t="str">
        <f aca="false">IF(ISBLANK($C382),"",IF(ISNUMBER(W382),IF(W382&gt;=0,W382,""),""))</f>
        <v/>
      </c>
      <c r="AY382" s="93" t="str">
        <f aca="false">IF(ISBLANK($C382),"",IF(X382=Constants!$B$2,TRUE(),IF(X382=Constants!$B$3,FALSE(),FALSE())))</f>
        <v/>
      </c>
      <c r="AZ382" s="93" t="str">
        <f aca="false">IF(ISBLANK($C382),"",MIN(Constants!$B$25,MAX(0,IF(ISNUMBER(Y382),Y382*60,0)+IF(ISNUMBER(Z382),Z382,0))))</f>
        <v/>
      </c>
      <c r="BA382" s="93" t="str">
        <f aca="false">IF(ISBLANK($C382),"",IF(AA382=Constants!$B$2,TRUE(),IF(AA382=Constants!$B$3,FALSE(),FALSE())))</f>
        <v/>
      </c>
      <c r="BB382" s="92" t="str">
        <f aca="false">IF(ISBLANK($C382),"",AND($AL382,OR($AM382="",$AN382="",AND($AO382,$AP382=""))))</f>
        <v/>
      </c>
      <c r="BC382" s="94" t="str">
        <f aca="false">IF($BX382&lt;&gt;Constants!$B$6,"",IF($AL382,Constants!$B$17*$AN382+Constants!$B$18*IF($AO382,$AP382,Constants!$B$19),Constants!$B$20))</f>
        <v/>
      </c>
      <c r="BD382" s="97" t="str">
        <f aca="false">IF($BX382&lt;&gt;Constants!$B$6,"",Constants!$B$21*ABS($AD$9-IF($AL382,$AM382,0)))</f>
        <v/>
      </c>
      <c r="BE382" s="97" t="str">
        <f aca="false">IF($BX382&lt;&gt;Constants!$B$6,"",IF(AND($AL382,$AQ382,$AO382),Constants!$B$22,0))</f>
        <v/>
      </c>
      <c r="BF382" s="97" t="str">
        <f aca="false">IF($BX382&lt;&gt;Constants!$B$6,"",IF($AL382,($AI382-Constants!$B$24)*Constants!$B$23,0))</f>
        <v/>
      </c>
      <c r="BG382" s="97" t="str">
        <f aca="false">IF($BX382&lt;&gt;Constants!$B$6,"",IF($AK382,0,Constants!$B$12)+IF($AJ382,0,Constants!$B$13)+IF($AH382,0,Constants!$B$14))</f>
        <v/>
      </c>
      <c r="BH382" s="98" t="str">
        <f aca="false">IF($BX382&lt;&gt;Constants!$B$6,"",Constants!$B$16+SUM($BC382:$BG382))</f>
        <v/>
      </c>
      <c r="BI382" s="97" t="str">
        <f aca="false">IF($BX382&lt;&gt;Constants!$B$6,"",$BC382)</f>
        <v/>
      </c>
      <c r="BJ382" s="97" t="str">
        <f aca="false">IF($BX382&lt;&gt;Constants!$B$6,"",$BD382)</f>
        <v/>
      </c>
      <c r="BK382" s="99" t="str">
        <f aca="false">IF($BX382&lt;&gt;Constants!$B$6,"",IF($AL382,$AN382,""))</f>
        <v/>
      </c>
      <c r="BL382" s="93" t="str">
        <f aca="false">IF($BX382&lt;&gt;Constants!$B$6,"",IF(OR($BS382&lt;$BH382,AND($BS382=$BH382,OR($BT382&lt;$BI382,AND($BT382=$BI382,OR($BU382&lt;$BJ382,AND($BU382=$BJ382,AND(ISNUMBER($BV382),OR(NOT(ISNUMBER($BK382)),$BV382&lt;$BK382)))))))),"-&gt;","&lt;-"))</f>
        <v/>
      </c>
      <c r="BM382" s="92" t="str">
        <f aca="false">IF(ISBLANK($C382),"",AND($AT382,OR($AU382="",$AV382="",AND($AW382,$AX382=""))))</f>
        <v/>
      </c>
      <c r="BN382" s="94" t="str">
        <f aca="false">IF($BX382&lt;&gt;Constants!$B$6,"",IF($AT382,Constants!$B$17*$AV382+Constants!$B$18*IF($AW382,$AX382,Constants!$B$19),Constants!$B$20))</f>
        <v/>
      </c>
      <c r="BO382" s="97" t="str">
        <f aca="false">IF($BX382&lt;&gt;Constants!$B$6,"",Constants!$B$21*ABS($AD$9-IF($AT382,$AU382,0)))</f>
        <v/>
      </c>
      <c r="BP382" s="97" t="str">
        <f aca="false">IF($BX382&lt;&gt;Constants!$B$6,"",IF(AND($AT382,$AY382,$AW382),Constants!$B$22,0))</f>
        <v/>
      </c>
      <c r="BQ382" s="97" t="str">
        <f aca="false">IF($BX382&lt;&gt;Constants!$B$6,"",IF($AT382,($AI382-Constants!$B$24)*Constants!$B$23,0))</f>
        <v/>
      </c>
      <c r="BR382" s="97" t="str">
        <f aca="false">IF($BX382&lt;&gt;Constants!$B$6,"",IF($AS382,0,Constants!$B$12)+IF($AR382,0,Constants!$B$13)+IF($AH382,0,Constants!$B$14))</f>
        <v/>
      </c>
      <c r="BS382" s="98" t="str">
        <f aca="false">IF($BX382&lt;&gt;Constants!$B$6,"",Constants!$B$16+SUM($BN382:$BR382))</f>
        <v/>
      </c>
      <c r="BT382" s="97" t="str">
        <f aca="false">IF($BX382&lt;&gt;Constants!$B$6,"",$BN382)</f>
        <v/>
      </c>
      <c r="BU382" s="97" t="str">
        <f aca="false">IF($BX382&lt;&gt;Constants!$B$6,"",$BO382)</f>
        <v/>
      </c>
      <c r="BV382" s="99" t="str">
        <f aca="false">IF($BX382&lt;&gt;Constants!$B$6,"",IF($AT382,$AV382,""))</f>
        <v/>
      </c>
      <c r="BW382" s="93" t="str">
        <f aca="false">IF(ISBLANK($C382),"",IF(ISBLANK($D$7),$BW$5,IF(NOT(ISNUMBER($D$7)),$BW$6,"")))</f>
        <v/>
      </c>
      <c r="BX382" s="93" t="str">
        <f aca="false">IF(ISBLANK($C382),"",IF($BA382,Constants!$B$9,IF(COUNTA($E382:$AA382)=0,Constants!$B$8,IF(NOT($AG382),Constants!$B$7,IF(OR($BW382&lt;&gt;"",$BB382,$BM382),Constants!$B$10,Constants!$B$6)))))</f>
        <v/>
      </c>
      <c r="BY382" s="93" t="str">
        <f aca="false">IF(ISBLANK($C382),"",IF($BX382&lt;&gt;Constants!$B$6,$BX382,Constants!$B$11))</f>
        <v/>
      </c>
      <c r="BZ382" s="97" t="str">
        <f aca="false">IF($BX382&lt;&gt;Constants!$B$6,"",IF($BL382="-&gt;",$BS382,$BH382))</f>
        <v/>
      </c>
      <c r="CA382" s="97" t="str">
        <f aca="false">IF($BX382&lt;&gt;Constants!$B$6,"",IF($AF382,0,Constants!$B$15))</f>
        <v/>
      </c>
      <c r="CB382" s="97" t="str">
        <f aca="false">IF($BX382&lt;&gt;Constants!$B$6,"",((Constants!$B$25-$AZ382)-Constants!$B$25)/Constants!$B$26)</f>
        <v/>
      </c>
      <c r="CC382" s="97" t="str">
        <f aca="false">IF(ISBLANK($C382),"",IF($BX382&lt;&gt;Constants!$B$6,$BX382,SUM($BZ382:$CB382)))</f>
        <v/>
      </c>
      <c r="CD382" s="93" t="str">
        <f aca="false">IF(ISBLANK($C382),"",IF($BX382&lt;&gt;Constants!$B$6,$BX382,RANK($CC382,$CC$9:$CC$508,1)))</f>
        <v/>
      </c>
      <c r="CE382" s="97" t="str">
        <f aca="false">IF($BX382&lt;&gt;Constants!$B$6,"",IF($BL382="-&gt;",$BT382,$BI382))</f>
        <v/>
      </c>
      <c r="CF382" s="93" t="str">
        <f aca="false">IF(ISBLANK($C382),"",IF($BX382&lt;&gt;Constants!$B$6,$BX382,IF(ISNUMBER($CE382),RANK($CE382,$CE$9:$CE$508,1),COUNT($CE$9:$CE$508)+1)))</f>
        <v/>
      </c>
      <c r="CG382" s="97" t="str">
        <f aca="false">IF($BX382&lt;&gt;Constants!$B$6,"",IF($BL382="-&gt;",$BU382,$BJ382))</f>
        <v/>
      </c>
      <c r="CH382" s="93" t="str">
        <f aca="false">IF(ISBLANK($C382),"",IF($BX382&lt;&gt;Constants!$B$6,$BX382,IF(ISNUMBER($CG382),RANK($CG382,$CG$9:$CG$508,1),COUNT($CG$9:$CG$508)+1)))</f>
        <v/>
      </c>
      <c r="CI382" s="97" t="str">
        <f aca="false">IF($BX382&lt;&gt;Constants!$B$6,"",IF($BL382="-&gt;",$BV382,$BK382))</f>
        <v/>
      </c>
      <c r="CJ382" s="93" t="str">
        <f aca="false">IF(ISBLANK($C382),"",IF($BX382&lt;&gt;Constants!$B$6,$BX382,IF(ISNUMBER($CI382),RANK($CI382,$CI$9:$CI$508,1),COUNT($CI$9:$CI$508)+1)))</f>
        <v/>
      </c>
      <c r="CK382" s="97" t="str">
        <f aca="false">IF($BX382&lt;&gt;Constants!$B$6,"",$AI382)</f>
        <v/>
      </c>
      <c r="CL382" s="93" t="str">
        <f aca="false">IF(ISBLANK($C382),"",IF($BX382&lt;&gt;Constants!$B$6,$BX382,IF(ISNUMBER($CK382),RANK($CK382,$CK$9:$CK$508,1),COUNT($CK$9:$CK$508)+1)))</f>
        <v/>
      </c>
      <c r="CM382" s="93" t="str">
        <f aca="false">IF(ISBLANK($C382),"",IF($BX382&lt;&gt;Constants!$B$6,$BX382,COUNTIFS($CD$9:$CD$508,"&lt;"&amp;$CD382)+COUNTIFS($CD$9:$CD$508,$CD382,$CF$9:$CF$508,"&lt;"&amp;$CF382)+COUNTIFS($CD$9:$CD$508,$CD382,$CF$9:$CF$508,$CF382,$CH$9:$CH$508,"&lt;"&amp;$CH382)+COUNTIFS($CD$9:$CD$508,$CD382,$CF$9:$CF$508,$CF382,$CH$9:$CH$508,$CH382,$CJ$9:$CJ$508,"&lt;"&amp;$CJ382)+COUNTIFS($CD$9:$CD$508,$CD382,$CF$9:$CF$508,$CF382,$CH$9:$CH$508,$CH382,$CJ$9:$CJ$508,$CJ382,$CL$9:$CL$508,"&lt;"&amp;$CL382)+1))</f>
        <v/>
      </c>
      <c r="CN382" s="93" t="str">
        <f aca="false">IF(ISBLANK($C382),"",IF($BX382&lt;&gt;Constants!$B$6,$BX382,$CD382-$CM382))</f>
        <v/>
      </c>
      <c r="CO382" s="100"/>
      <c r="CP382" s="101"/>
      <c r="CQ382" s="102" t="str">
        <f aca="false">IF(ISBLANK($C382),"",IF($BX382=Constants!$B$10,$BW382,""))</f>
        <v/>
      </c>
      <c r="CR382" s="101" t="str">
        <f aca="false">IF(ISBLANK($C382),"",IF($BX382&lt;&gt;Constants!$B$6,"",IF($BL382="-&gt;",2,1)))</f>
        <v/>
      </c>
      <c r="CS382" s="103" t="str">
        <f aca="false">IF(ISBLANK($C382),"",IF($BX382&lt;&gt;Constants!$B$6,"",IF($BL382="-&gt;",$BN382,$BC382)))</f>
        <v/>
      </c>
      <c r="CT382" s="103" t="str">
        <f aca="false">IF(ISBLANK($C382),"",IF($BX382&lt;&gt;Constants!$B$6,"",IF($BL382="-&gt;",$BO382,$BD382)))</f>
        <v/>
      </c>
      <c r="CU382" s="103" t="str">
        <f aca="false">IF(ISBLANK($C382),"",IF($BX382&lt;&gt;Constants!$B$6,"",IF($BL382="-&gt;",$BP382+$BQ382,$BE382+$BF382)+$CB382))</f>
        <v/>
      </c>
      <c r="CV382" s="103" t="str">
        <f aca="false">IF(ISBLANK($C382),"",IF($BX382&lt;&gt;Constants!$B$6,"",IF($BL382="-&gt;",$BR382,$BG382)+$CA382))</f>
        <v/>
      </c>
      <c r="CW382" s="104" t="str">
        <f aca="false">IF(ISBLANK($C382),"",IF($BX382&lt;&gt;Constants!$B$6,$BX382,$CC382))</f>
        <v/>
      </c>
      <c r="CX382" s="105" t="str">
        <f aca="false">IF(ISBLANK($C382),"",$BY382)</f>
        <v/>
      </c>
      <c r="CY382" s="106" t="str">
        <f aca="false">IF(ISBLANK($C382),"",$CN382)</f>
        <v/>
      </c>
      <c r="CZ382" s="106" t="str">
        <f aca="false">IF(ISBLANK($C382),"",$CM382)</f>
        <v/>
      </c>
      <c r="DA382" s="107" t="str">
        <f aca="false">IF(ISBLANK($C382),"",IFERROR(_xlfn.SWITCH($CZ382,Constants!$B$9,COUNTA($C$9:$C$508)+2,Constants!$B$8,COUNTA($C$9:$C$508)+1,Constants!$B$7,COUNTA($C$9:$C$508)),$CZ382))</f>
        <v/>
      </c>
      <c r="DB382" s="9"/>
      <c r="DC382" s="108" t="n">
        <f aca="false">IF(OR(ISNUMBER($CZ382),$CZ382=Constants!$B$9,$CZ382=Constants!$B$7,$CZ382=Constants!$B$8),1,0)</f>
        <v>0</v>
      </c>
      <c r="DD382" s="108" t="n">
        <v>374</v>
      </c>
      <c r="DE382" s="108" t="str">
        <f aca="false">IF(ISBLANK($C382),"",IF(ISNUMBER($DA382),$DA382+ROW($B382)/1000,""))</f>
        <v/>
      </c>
      <c r="DF382" s="108" t="str">
        <f aca="false">IF(ISNUMBER($DE382),RANK($DE382,$DE$9:$DE$508,1),"")</f>
        <v/>
      </c>
      <c r="DG382" s="108" t="str">
        <f aca="false">IF(ISBLANK($C382),"",$B382)</f>
        <v/>
      </c>
      <c r="DH382" s="108" t="str">
        <f aca="false">IF(ISBLANK($C382),"",$C382)</f>
        <v/>
      </c>
      <c r="DI382" s="108" t="str">
        <f aca="false">IF(ISBLANK($C382),"",$D382)</f>
        <v/>
      </c>
      <c r="DJ382" s="109" t="str">
        <f aca="false">$CX382</f>
        <v/>
      </c>
      <c r="DK382" s="110" t="str">
        <f aca="false">$CW382</f>
        <v/>
      </c>
      <c r="DL382" s="108" t="str">
        <f aca="false">IF(ISBLANK($C382),"",$CZ382)</f>
        <v/>
      </c>
      <c r="DM382" s="111" t="str">
        <f aca="false">IF($DD382&gt;$DC$8,"",VLOOKUP($DD382,$DF$9:$DL$508,7,FALSE()))</f>
        <v/>
      </c>
      <c r="DN382" s="112" t="str">
        <f aca="false">IF($DD382&gt;$DC$8,"",VLOOKUP($DD382,$DF$9:$DL$508,2,FALSE()))</f>
        <v/>
      </c>
      <c r="DO382" s="112" t="str">
        <f aca="false">IF($DD382&gt;$DC$8,"",VLOOKUP($DD382,$DF$9:$DL$508,3,FALSE()))</f>
        <v/>
      </c>
      <c r="DP382" s="112" t="str">
        <f aca="false">IF($DD382&gt;$DC$8,"",VLOOKUP($DD382,$DF$9:$DL$508,4,FALSE()))</f>
        <v/>
      </c>
      <c r="DQ382" s="112" t="str">
        <f aca="false">IF($DD382&gt;$DC$8,"",VLOOKUP($DD382,$DF$9:$DL$508,5,FALSE()))</f>
        <v/>
      </c>
      <c r="DR382" s="113" t="str">
        <f aca="false">IF($DD382&gt;$DC$8,"",VLOOKUP($DD382,$DF$9:$DL$508,6,FALSE()))</f>
        <v/>
      </c>
      <c r="DS382" s="76"/>
    </row>
    <row r="383" customFormat="false" ht="15.75" hidden="false" customHeight="false" outlineLevel="0" collapsed="false">
      <c r="A383" s="9"/>
      <c r="B383" s="78"/>
      <c r="C383" s="79"/>
      <c r="D383" s="170"/>
      <c r="E383" s="178"/>
      <c r="F383" s="172"/>
      <c r="G383" s="173"/>
      <c r="H383" s="173"/>
      <c r="I383" s="179"/>
      <c r="J383" s="176"/>
      <c r="K383" s="86"/>
      <c r="L383" s="87"/>
      <c r="M383" s="88"/>
      <c r="N383" s="176"/>
      <c r="O383" s="176"/>
      <c r="P383" s="178"/>
      <c r="Q383" s="176"/>
      <c r="R383" s="176"/>
      <c r="S383" s="86"/>
      <c r="T383" s="88"/>
      <c r="U383" s="88"/>
      <c r="V383" s="176"/>
      <c r="W383" s="176"/>
      <c r="X383" s="178"/>
      <c r="Y383" s="176"/>
      <c r="Z383" s="177"/>
      <c r="AA383" s="176"/>
      <c r="AB383" s="92"/>
      <c r="AC383" s="93"/>
      <c r="AD383" s="93"/>
      <c r="AE383" s="93"/>
      <c r="AF383" s="93" t="str">
        <f aca="false">IF(ISBLANK($C383),"",IF(E383=Constants!$B$2,TRUE(),IF(E383=Constants!$B$3,FALSE(),TRUE())))</f>
        <v/>
      </c>
      <c r="AG383" s="93" t="str">
        <f aca="false">IF(ISBLANK($C383),"",IF(F383=Constants!$B$2,TRUE(),IF(F383=Constants!$B$3,FALSE(),TRUE())))</f>
        <v/>
      </c>
      <c r="AH383" s="93" t="str">
        <f aca="false">IF(ISBLANK($C383),"",IF(G383=Constants!$B$2,TRUE(),IF(G383=Constants!$B$3,FALSE(),TRUE())))</f>
        <v/>
      </c>
      <c r="AI383" s="93" t="str">
        <f aca="false">IF(ISBLANK($C383),"",IF(AND(ISNUMBER(H383),H383&gt;=0),H383,Constants!$B$24))</f>
        <v/>
      </c>
      <c r="AJ383" s="93" t="str">
        <f aca="false">IF(ISBLANK($C383),"",IF(I383=Constants!$B$2,TRUE(),IF(I383=Constants!$B$3,FALSE(),TRUE())))</f>
        <v/>
      </c>
      <c r="AK383" s="93" t="str">
        <f aca="false">IF(ISBLANK($C383),"",IF(J383=Constants!$B$2,TRUE(),IF(J383=Constants!$B$3,FALSE(),TRUE())))</f>
        <v/>
      </c>
      <c r="AL383" s="93" t="str">
        <f aca="false">IF(ISBLANK($C383),"",IF(K383=Constants!$B$4,TRUE(),IF(K383=Constants!$B$5,FALSE(),COUNTA(L383:P383)&gt;0)))</f>
        <v/>
      </c>
      <c r="AM383" s="95" t="str">
        <f aca="false">IF(ISBLANK($C383),"",IF(ISNUMBER(L383),IF(L383&gt;=0,L383,""),""))</f>
        <v/>
      </c>
      <c r="AN383" s="94" t="str">
        <f aca="false">IF(ISBLANK($C383),"",IF(ISNUMBER(M383),IF(M383&gt;=0,M383,""),""))</f>
        <v/>
      </c>
      <c r="AO383" s="94" t="str">
        <f aca="false">IF(ISBLANK($C383),"",IF(N383=Constants!$B$2,TRUE(),IF(N383=Constants!$B$3,FALSE(),TRUE())))</f>
        <v/>
      </c>
      <c r="AP383" s="93" t="str">
        <f aca="false">IF(ISBLANK($C383),"",IF(ISNUMBER(O383),IF(O383&gt;=0,O383,""),""))</f>
        <v/>
      </c>
      <c r="AQ383" s="93" t="str">
        <f aca="false">IF(ISBLANK($C383),"",IF(P383=Constants!$B$2,TRUE(),IF(P383=Constants!$B$3,FALSE(),FALSE())))</f>
        <v/>
      </c>
      <c r="AR383" s="93" t="str">
        <f aca="false">IF(ISBLANK($C383),"",IF(Q383=Constants!$B$2,TRUE(),IF(Q383=Constants!$B$3,FALSE(),TRUE())))</f>
        <v/>
      </c>
      <c r="AS383" s="93" t="str">
        <f aca="false">IF(ISBLANK($C383),"",IF(R383=Constants!$B$2,TRUE(),IF(R383=Constants!$B$3,FALSE(),TRUE())))</f>
        <v/>
      </c>
      <c r="AT383" s="93" t="str">
        <f aca="false">IF(ISBLANK($C383),"",IF(S383=Constants!$B$4,TRUE(),IF(S383=Constants!$B$5,FALSE(),COUNTA(T383:X383)&gt;0)))</f>
        <v/>
      </c>
      <c r="AU383" s="95" t="str">
        <f aca="false">IF(ISBLANK($C383),"",IF(ISNUMBER(T383),IF(T383&gt;=0,T383,""),""))</f>
        <v/>
      </c>
      <c r="AV383" s="94" t="str">
        <f aca="false">IF(ISBLANK($C383),"",IF(ISNUMBER(U383),IF(U383&gt;=0,U383,""),""))</f>
        <v/>
      </c>
      <c r="AW383" s="94" t="str">
        <f aca="false">IF(ISBLANK($C383),"",IF(V383=Constants!$B$2,TRUE(),IF(V383=Constants!$B$3,FALSE(),TRUE())))</f>
        <v/>
      </c>
      <c r="AX383" s="93" t="str">
        <f aca="false">IF(ISBLANK($C383),"",IF(ISNUMBER(W383),IF(W383&gt;=0,W383,""),""))</f>
        <v/>
      </c>
      <c r="AY383" s="93" t="str">
        <f aca="false">IF(ISBLANK($C383),"",IF(X383=Constants!$B$2,TRUE(),IF(X383=Constants!$B$3,FALSE(),FALSE())))</f>
        <v/>
      </c>
      <c r="AZ383" s="93" t="str">
        <f aca="false">IF(ISBLANK($C383),"",MIN(Constants!$B$25,MAX(0,IF(ISNUMBER(Y383),Y383*60,0)+IF(ISNUMBER(Z383),Z383,0))))</f>
        <v/>
      </c>
      <c r="BA383" s="93" t="str">
        <f aca="false">IF(ISBLANK($C383),"",IF(AA383=Constants!$B$2,TRUE(),IF(AA383=Constants!$B$3,FALSE(),FALSE())))</f>
        <v/>
      </c>
      <c r="BB383" s="92" t="str">
        <f aca="false">IF(ISBLANK($C383),"",AND($AL383,OR($AM383="",$AN383="",AND($AO383,$AP383=""))))</f>
        <v/>
      </c>
      <c r="BC383" s="94" t="str">
        <f aca="false">IF($BX383&lt;&gt;Constants!$B$6,"",IF($AL383,Constants!$B$17*$AN383+Constants!$B$18*IF($AO383,$AP383,Constants!$B$19),Constants!$B$20))</f>
        <v/>
      </c>
      <c r="BD383" s="97" t="str">
        <f aca="false">IF($BX383&lt;&gt;Constants!$B$6,"",Constants!$B$21*ABS($AD$9-IF($AL383,$AM383,0)))</f>
        <v/>
      </c>
      <c r="BE383" s="97" t="str">
        <f aca="false">IF($BX383&lt;&gt;Constants!$B$6,"",IF(AND($AL383,$AQ383,$AO383),Constants!$B$22,0))</f>
        <v/>
      </c>
      <c r="BF383" s="97" t="str">
        <f aca="false">IF($BX383&lt;&gt;Constants!$B$6,"",IF($AL383,($AI383-Constants!$B$24)*Constants!$B$23,0))</f>
        <v/>
      </c>
      <c r="BG383" s="97" t="str">
        <f aca="false">IF($BX383&lt;&gt;Constants!$B$6,"",IF($AK383,0,Constants!$B$12)+IF($AJ383,0,Constants!$B$13)+IF($AH383,0,Constants!$B$14))</f>
        <v/>
      </c>
      <c r="BH383" s="98" t="str">
        <f aca="false">IF($BX383&lt;&gt;Constants!$B$6,"",Constants!$B$16+SUM($BC383:$BG383))</f>
        <v/>
      </c>
      <c r="BI383" s="97" t="str">
        <f aca="false">IF($BX383&lt;&gt;Constants!$B$6,"",$BC383)</f>
        <v/>
      </c>
      <c r="BJ383" s="97" t="str">
        <f aca="false">IF($BX383&lt;&gt;Constants!$B$6,"",$BD383)</f>
        <v/>
      </c>
      <c r="BK383" s="99" t="str">
        <f aca="false">IF($BX383&lt;&gt;Constants!$B$6,"",IF($AL383,$AN383,""))</f>
        <v/>
      </c>
      <c r="BL383" s="93" t="str">
        <f aca="false">IF($BX383&lt;&gt;Constants!$B$6,"",IF(OR($BS383&lt;$BH383,AND($BS383=$BH383,OR($BT383&lt;$BI383,AND($BT383=$BI383,OR($BU383&lt;$BJ383,AND($BU383=$BJ383,AND(ISNUMBER($BV383),OR(NOT(ISNUMBER($BK383)),$BV383&lt;$BK383)))))))),"-&gt;","&lt;-"))</f>
        <v/>
      </c>
      <c r="BM383" s="92" t="str">
        <f aca="false">IF(ISBLANK($C383),"",AND($AT383,OR($AU383="",$AV383="",AND($AW383,$AX383=""))))</f>
        <v/>
      </c>
      <c r="BN383" s="94" t="str">
        <f aca="false">IF($BX383&lt;&gt;Constants!$B$6,"",IF($AT383,Constants!$B$17*$AV383+Constants!$B$18*IF($AW383,$AX383,Constants!$B$19),Constants!$B$20))</f>
        <v/>
      </c>
      <c r="BO383" s="97" t="str">
        <f aca="false">IF($BX383&lt;&gt;Constants!$B$6,"",Constants!$B$21*ABS($AD$9-IF($AT383,$AU383,0)))</f>
        <v/>
      </c>
      <c r="BP383" s="97" t="str">
        <f aca="false">IF($BX383&lt;&gt;Constants!$B$6,"",IF(AND($AT383,$AY383,$AW383),Constants!$B$22,0))</f>
        <v/>
      </c>
      <c r="BQ383" s="97" t="str">
        <f aca="false">IF($BX383&lt;&gt;Constants!$B$6,"",IF($AT383,($AI383-Constants!$B$24)*Constants!$B$23,0))</f>
        <v/>
      </c>
      <c r="BR383" s="97" t="str">
        <f aca="false">IF($BX383&lt;&gt;Constants!$B$6,"",IF($AS383,0,Constants!$B$12)+IF($AR383,0,Constants!$B$13)+IF($AH383,0,Constants!$B$14))</f>
        <v/>
      </c>
      <c r="BS383" s="98" t="str">
        <f aca="false">IF($BX383&lt;&gt;Constants!$B$6,"",Constants!$B$16+SUM($BN383:$BR383))</f>
        <v/>
      </c>
      <c r="BT383" s="97" t="str">
        <f aca="false">IF($BX383&lt;&gt;Constants!$B$6,"",$BN383)</f>
        <v/>
      </c>
      <c r="BU383" s="97" t="str">
        <f aca="false">IF($BX383&lt;&gt;Constants!$B$6,"",$BO383)</f>
        <v/>
      </c>
      <c r="BV383" s="99" t="str">
        <f aca="false">IF($BX383&lt;&gt;Constants!$B$6,"",IF($AT383,$AV383,""))</f>
        <v/>
      </c>
      <c r="BW383" s="93" t="str">
        <f aca="false">IF(ISBLANK($C383),"",IF(ISBLANK($D$7),$BW$5,IF(NOT(ISNUMBER($D$7)),$BW$6,"")))</f>
        <v/>
      </c>
      <c r="BX383" s="93" t="str">
        <f aca="false">IF(ISBLANK($C383),"",IF($BA383,Constants!$B$9,IF(COUNTA($E383:$AA383)=0,Constants!$B$8,IF(NOT($AG383),Constants!$B$7,IF(OR($BW383&lt;&gt;"",$BB383,$BM383),Constants!$B$10,Constants!$B$6)))))</f>
        <v/>
      </c>
      <c r="BY383" s="93" t="str">
        <f aca="false">IF(ISBLANK($C383),"",IF($BX383&lt;&gt;Constants!$B$6,$BX383,Constants!$B$11))</f>
        <v/>
      </c>
      <c r="BZ383" s="97" t="str">
        <f aca="false">IF($BX383&lt;&gt;Constants!$B$6,"",IF($BL383="-&gt;",$BS383,$BH383))</f>
        <v/>
      </c>
      <c r="CA383" s="97" t="str">
        <f aca="false">IF($BX383&lt;&gt;Constants!$B$6,"",IF($AF383,0,Constants!$B$15))</f>
        <v/>
      </c>
      <c r="CB383" s="97" t="str">
        <f aca="false">IF($BX383&lt;&gt;Constants!$B$6,"",((Constants!$B$25-$AZ383)-Constants!$B$25)/Constants!$B$26)</f>
        <v/>
      </c>
      <c r="CC383" s="97" t="str">
        <f aca="false">IF(ISBLANK($C383),"",IF($BX383&lt;&gt;Constants!$B$6,$BX383,SUM($BZ383:$CB383)))</f>
        <v/>
      </c>
      <c r="CD383" s="93" t="str">
        <f aca="false">IF(ISBLANK($C383),"",IF($BX383&lt;&gt;Constants!$B$6,$BX383,RANK($CC383,$CC$9:$CC$508,1)))</f>
        <v/>
      </c>
      <c r="CE383" s="97" t="str">
        <f aca="false">IF($BX383&lt;&gt;Constants!$B$6,"",IF($BL383="-&gt;",$BT383,$BI383))</f>
        <v/>
      </c>
      <c r="CF383" s="93" t="str">
        <f aca="false">IF(ISBLANK($C383),"",IF($BX383&lt;&gt;Constants!$B$6,$BX383,IF(ISNUMBER($CE383),RANK($CE383,$CE$9:$CE$508,1),COUNT($CE$9:$CE$508)+1)))</f>
        <v/>
      </c>
      <c r="CG383" s="97" t="str">
        <f aca="false">IF($BX383&lt;&gt;Constants!$B$6,"",IF($BL383="-&gt;",$BU383,$BJ383))</f>
        <v/>
      </c>
      <c r="CH383" s="93" t="str">
        <f aca="false">IF(ISBLANK($C383),"",IF($BX383&lt;&gt;Constants!$B$6,$BX383,IF(ISNUMBER($CG383),RANK($CG383,$CG$9:$CG$508,1),COUNT($CG$9:$CG$508)+1)))</f>
        <v/>
      </c>
      <c r="CI383" s="97" t="str">
        <f aca="false">IF($BX383&lt;&gt;Constants!$B$6,"",IF($BL383="-&gt;",$BV383,$BK383))</f>
        <v/>
      </c>
      <c r="CJ383" s="93" t="str">
        <f aca="false">IF(ISBLANK($C383),"",IF($BX383&lt;&gt;Constants!$B$6,$BX383,IF(ISNUMBER($CI383),RANK($CI383,$CI$9:$CI$508,1),COUNT($CI$9:$CI$508)+1)))</f>
        <v/>
      </c>
      <c r="CK383" s="97" t="str">
        <f aca="false">IF($BX383&lt;&gt;Constants!$B$6,"",$AI383)</f>
        <v/>
      </c>
      <c r="CL383" s="93" t="str">
        <f aca="false">IF(ISBLANK($C383),"",IF($BX383&lt;&gt;Constants!$B$6,$BX383,IF(ISNUMBER($CK383),RANK($CK383,$CK$9:$CK$508,1),COUNT($CK$9:$CK$508)+1)))</f>
        <v/>
      </c>
      <c r="CM383" s="93" t="str">
        <f aca="false">IF(ISBLANK($C383),"",IF($BX383&lt;&gt;Constants!$B$6,$BX383,COUNTIFS($CD$9:$CD$508,"&lt;"&amp;$CD383)+COUNTIFS($CD$9:$CD$508,$CD383,$CF$9:$CF$508,"&lt;"&amp;$CF383)+COUNTIFS($CD$9:$CD$508,$CD383,$CF$9:$CF$508,$CF383,$CH$9:$CH$508,"&lt;"&amp;$CH383)+COUNTIFS($CD$9:$CD$508,$CD383,$CF$9:$CF$508,$CF383,$CH$9:$CH$508,$CH383,$CJ$9:$CJ$508,"&lt;"&amp;$CJ383)+COUNTIFS($CD$9:$CD$508,$CD383,$CF$9:$CF$508,$CF383,$CH$9:$CH$508,$CH383,$CJ$9:$CJ$508,$CJ383,$CL$9:$CL$508,"&lt;"&amp;$CL383)+1))</f>
        <v/>
      </c>
      <c r="CN383" s="93" t="str">
        <f aca="false">IF(ISBLANK($C383),"",IF($BX383&lt;&gt;Constants!$B$6,$BX383,$CD383-$CM383))</f>
        <v/>
      </c>
      <c r="CO383" s="100"/>
      <c r="CP383" s="101"/>
      <c r="CQ383" s="102" t="str">
        <f aca="false">IF(ISBLANK($C383),"",IF($BX383=Constants!$B$10,$BW383,""))</f>
        <v/>
      </c>
      <c r="CR383" s="101" t="str">
        <f aca="false">IF(ISBLANK($C383),"",IF($BX383&lt;&gt;Constants!$B$6,"",IF($BL383="-&gt;",2,1)))</f>
        <v/>
      </c>
      <c r="CS383" s="103" t="str">
        <f aca="false">IF(ISBLANK($C383),"",IF($BX383&lt;&gt;Constants!$B$6,"",IF($BL383="-&gt;",$BN383,$BC383)))</f>
        <v/>
      </c>
      <c r="CT383" s="103" t="str">
        <f aca="false">IF(ISBLANK($C383),"",IF($BX383&lt;&gt;Constants!$B$6,"",IF($BL383="-&gt;",$BO383,$BD383)))</f>
        <v/>
      </c>
      <c r="CU383" s="103" t="str">
        <f aca="false">IF(ISBLANK($C383),"",IF($BX383&lt;&gt;Constants!$B$6,"",IF($BL383="-&gt;",$BP383+$BQ383,$BE383+$BF383)+$CB383))</f>
        <v/>
      </c>
      <c r="CV383" s="103" t="str">
        <f aca="false">IF(ISBLANK($C383),"",IF($BX383&lt;&gt;Constants!$B$6,"",IF($BL383="-&gt;",$BR383,$BG383)+$CA383))</f>
        <v/>
      </c>
      <c r="CW383" s="104" t="str">
        <f aca="false">IF(ISBLANK($C383),"",IF($BX383&lt;&gt;Constants!$B$6,$BX383,$CC383))</f>
        <v/>
      </c>
      <c r="CX383" s="105" t="str">
        <f aca="false">IF(ISBLANK($C383),"",$BY383)</f>
        <v/>
      </c>
      <c r="CY383" s="106" t="str">
        <f aca="false">IF(ISBLANK($C383),"",$CN383)</f>
        <v/>
      </c>
      <c r="CZ383" s="106" t="str">
        <f aca="false">IF(ISBLANK($C383),"",$CM383)</f>
        <v/>
      </c>
      <c r="DA383" s="107" t="str">
        <f aca="false">IF(ISBLANK($C383),"",IFERROR(_xlfn.SWITCH($CZ383,Constants!$B$9,COUNTA($C$9:$C$508)+2,Constants!$B$8,COUNTA($C$9:$C$508)+1,Constants!$B$7,COUNTA($C$9:$C$508)),$CZ383))</f>
        <v/>
      </c>
      <c r="DB383" s="9"/>
      <c r="DC383" s="108" t="n">
        <f aca="false">IF(OR(ISNUMBER($CZ383),$CZ383=Constants!$B$9,$CZ383=Constants!$B$7,$CZ383=Constants!$B$8),1,0)</f>
        <v>0</v>
      </c>
      <c r="DD383" s="108" t="n">
        <v>375</v>
      </c>
      <c r="DE383" s="108" t="str">
        <f aca="false">IF(ISBLANK($C383),"",IF(ISNUMBER($DA383),$DA383+ROW($B383)/1000,""))</f>
        <v/>
      </c>
      <c r="DF383" s="108" t="str">
        <f aca="false">IF(ISNUMBER($DE383),RANK($DE383,$DE$9:$DE$508,1),"")</f>
        <v/>
      </c>
      <c r="DG383" s="108" t="str">
        <f aca="false">IF(ISBLANK($C383),"",$B383)</f>
        <v/>
      </c>
      <c r="DH383" s="108" t="str">
        <f aca="false">IF(ISBLANK($C383),"",$C383)</f>
        <v/>
      </c>
      <c r="DI383" s="108" t="str">
        <f aca="false">IF(ISBLANK($C383),"",$D383)</f>
        <v/>
      </c>
      <c r="DJ383" s="109" t="str">
        <f aca="false">$CX383</f>
        <v/>
      </c>
      <c r="DK383" s="110" t="str">
        <f aca="false">$CW383</f>
        <v/>
      </c>
      <c r="DL383" s="108" t="str">
        <f aca="false">IF(ISBLANK($C383),"",$CZ383)</f>
        <v/>
      </c>
      <c r="DM383" s="111" t="str">
        <f aca="false">IF($DD383&gt;$DC$8,"",VLOOKUP($DD383,$DF$9:$DL$508,7,FALSE()))</f>
        <v/>
      </c>
      <c r="DN383" s="112" t="str">
        <f aca="false">IF($DD383&gt;$DC$8,"",VLOOKUP($DD383,$DF$9:$DL$508,2,FALSE()))</f>
        <v/>
      </c>
      <c r="DO383" s="112" t="str">
        <f aca="false">IF($DD383&gt;$DC$8,"",VLOOKUP($DD383,$DF$9:$DL$508,3,FALSE()))</f>
        <v/>
      </c>
      <c r="DP383" s="112" t="str">
        <f aca="false">IF($DD383&gt;$DC$8,"",VLOOKUP($DD383,$DF$9:$DL$508,4,FALSE()))</f>
        <v/>
      </c>
      <c r="DQ383" s="112" t="str">
        <f aca="false">IF($DD383&gt;$DC$8,"",VLOOKUP($DD383,$DF$9:$DL$508,5,FALSE()))</f>
        <v/>
      </c>
      <c r="DR383" s="113" t="str">
        <f aca="false">IF($DD383&gt;$DC$8,"",VLOOKUP($DD383,$DF$9:$DL$508,6,FALSE()))</f>
        <v/>
      </c>
      <c r="DS383" s="76"/>
    </row>
    <row r="384" customFormat="false" ht="15.75" hidden="false" customHeight="false" outlineLevel="0" collapsed="false">
      <c r="A384" s="9"/>
      <c r="B384" s="160"/>
      <c r="C384" s="161"/>
      <c r="D384" s="162"/>
      <c r="E384" s="180"/>
      <c r="F384" s="164"/>
      <c r="G384" s="165"/>
      <c r="H384" s="165"/>
      <c r="I384" s="181"/>
      <c r="J384" s="168"/>
      <c r="K384" s="128"/>
      <c r="L384" s="129"/>
      <c r="M384" s="130"/>
      <c r="N384" s="168"/>
      <c r="O384" s="168"/>
      <c r="P384" s="180"/>
      <c r="Q384" s="168"/>
      <c r="R384" s="168"/>
      <c r="S384" s="128"/>
      <c r="T384" s="130"/>
      <c r="U384" s="130"/>
      <c r="V384" s="168"/>
      <c r="W384" s="168"/>
      <c r="X384" s="180"/>
      <c r="Y384" s="168"/>
      <c r="Z384" s="169"/>
      <c r="AA384" s="168"/>
      <c r="AB384" s="134"/>
      <c r="AC384" s="135"/>
      <c r="AD384" s="135"/>
      <c r="AE384" s="135"/>
      <c r="AF384" s="135" t="str">
        <f aca="false">IF(ISBLANK($C384),"",IF(E384=Constants!$B$2,TRUE(),IF(E384=Constants!$B$3,FALSE(),TRUE())))</f>
        <v/>
      </c>
      <c r="AG384" s="135" t="str">
        <f aca="false">IF(ISBLANK($C384),"",IF(F384=Constants!$B$2,TRUE(),IF(F384=Constants!$B$3,FALSE(),TRUE())))</f>
        <v/>
      </c>
      <c r="AH384" s="135" t="str">
        <f aca="false">IF(ISBLANK($C384),"",IF(G384=Constants!$B$2,TRUE(),IF(G384=Constants!$B$3,FALSE(),TRUE())))</f>
        <v/>
      </c>
      <c r="AI384" s="135" t="str">
        <f aca="false">IF(ISBLANK($C384),"",IF(AND(ISNUMBER(H384),H384&gt;=0),H384,Constants!$B$24))</f>
        <v/>
      </c>
      <c r="AJ384" s="135" t="str">
        <f aca="false">IF(ISBLANK($C384),"",IF(I384=Constants!$B$2,TRUE(),IF(I384=Constants!$B$3,FALSE(),TRUE())))</f>
        <v/>
      </c>
      <c r="AK384" s="135" t="str">
        <f aca="false">IF(ISBLANK($C384),"",IF(J384=Constants!$B$2,TRUE(),IF(J384=Constants!$B$3,FALSE(),TRUE())))</f>
        <v/>
      </c>
      <c r="AL384" s="135" t="str">
        <f aca="false">IF(ISBLANK($C384),"",IF(K384=Constants!$B$4,TRUE(),IF(K384=Constants!$B$5,FALSE(),COUNTA(L384:P384)&gt;0)))</f>
        <v/>
      </c>
      <c r="AM384" s="136" t="str">
        <f aca="false">IF(ISBLANK($C384),"",IF(ISNUMBER(L384),IF(L384&gt;=0,L384,""),""))</f>
        <v/>
      </c>
      <c r="AN384" s="137" t="str">
        <f aca="false">IF(ISBLANK($C384),"",IF(ISNUMBER(M384),IF(M384&gt;=0,M384,""),""))</f>
        <v/>
      </c>
      <c r="AO384" s="137" t="str">
        <f aca="false">IF(ISBLANK($C384),"",IF(N384=Constants!$B$2,TRUE(),IF(N384=Constants!$B$3,FALSE(),TRUE())))</f>
        <v/>
      </c>
      <c r="AP384" s="135" t="str">
        <f aca="false">IF(ISBLANK($C384),"",IF(ISNUMBER(O384),IF(O384&gt;=0,O384,""),""))</f>
        <v/>
      </c>
      <c r="AQ384" s="135" t="str">
        <f aca="false">IF(ISBLANK($C384),"",IF(P384=Constants!$B$2,TRUE(),IF(P384=Constants!$B$3,FALSE(),FALSE())))</f>
        <v/>
      </c>
      <c r="AR384" s="135" t="str">
        <f aca="false">IF(ISBLANK($C384),"",IF(Q384=Constants!$B$2,TRUE(),IF(Q384=Constants!$B$3,FALSE(),TRUE())))</f>
        <v/>
      </c>
      <c r="AS384" s="135" t="str">
        <f aca="false">IF(ISBLANK($C384),"",IF(R384=Constants!$B$2,TRUE(),IF(R384=Constants!$B$3,FALSE(),TRUE())))</f>
        <v/>
      </c>
      <c r="AT384" s="135" t="str">
        <f aca="false">IF(ISBLANK($C384),"",IF(S384=Constants!$B$4,TRUE(),IF(S384=Constants!$B$5,FALSE(),COUNTA(T384:X384)&gt;0)))</f>
        <v/>
      </c>
      <c r="AU384" s="136" t="str">
        <f aca="false">IF(ISBLANK($C384),"",IF(ISNUMBER(T384),IF(T384&gt;=0,T384,""),""))</f>
        <v/>
      </c>
      <c r="AV384" s="137" t="str">
        <f aca="false">IF(ISBLANK($C384),"",IF(ISNUMBER(U384),IF(U384&gt;=0,U384,""),""))</f>
        <v/>
      </c>
      <c r="AW384" s="137" t="str">
        <f aca="false">IF(ISBLANK($C384),"",IF(V384=Constants!$B$2,TRUE(),IF(V384=Constants!$B$3,FALSE(),TRUE())))</f>
        <v/>
      </c>
      <c r="AX384" s="135" t="str">
        <f aca="false">IF(ISBLANK($C384),"",IF(ISNUMBER(W384),IF(W384&gt;=0,W384,""),""))</f>
        <v/>
      </c>
      <c r="AY384" s="135" t="str">
        <f aca="false">IF(ISBLANK($C384),"",IF(X384=Constants!$B$2,TRUE(),IF(X384=Constants!$B$3,FALSE(),FALSE())))</f>
        <v/>
      </c>
      <c r="AZ384" s="135" t="str">
        <f aca="false">IF(ISBLANK($C384),"",MIN(Constants!$B$25,MAX(0,IF(ISNUMBER(Y384),Y384*60,0)+IF(ISNUMBER(Z384),Z384,0))))</f>
        <v/>
      </c>
      <c r="BA384" s="135" t="str">
        <f aca="false">IF(ISBLANK($C384),"",IF(AA384=Constants!$B$2,TRUE(),IF(AA384=Constants!$B$3,FALSE(),FALSE())))</f>
        <v/>
      </c>
      <c r="BB384" s="134" t="str">
        <f aca="false">IF(ISBLANK($C384),"",AND($AL384,OR($AM384="",$AN384="",AND($AO384,$AP384=""))))</f>
        <v/>
      </c>
      <c r="BC384" s="137" t="str">
        <f aca="false">IF($BX384&lt;&gt;Constants!$B$6,"",IF($AL384,Constants!$B$17*$AN384+Constants!$B$18*IF($AO384,$AP384,Constants!$B$19),Constants!$B$20))</f>
        <v/>
      </c>
      <c r="BD384" s="138" t="str">
        <f aca="false">IF($BX384&lt;&gt;Constants!$B$6,"",Constants!$B$21*ABS($AD$9-IF($AL384,$AM384,0)))</f>
        <v/>
      </c>
      <c r="BE384" s="138" t="str">
        <f aca="false">IF($BX384&lt;&gt;Constants!$B$6,"",IF(AND($AL384,$AQ384,$AO384),Constants!$B$22,0))</f>
        <v/>
      </c>
      <c r="BF384" s="138" t="str">
        <f aca="false">IF($BX384&lt;&gt;Constants!$B$6,"",IF($AL384,($AI384-Constants!$B$24)*Constants!$B$23,0))</f>
        <v/>
      </c>
      <c r="BG384" s="138" t="str">
        <f aca="false">IF($BX384&lt;&gt;Constants!$B$6,"",IF($AK384,0,Constants!$B$12)+IF($AJ384,0,Constants!$B$13)+IF($AH384,0,Constants!$B$14))</f>
        <v/>
      </c>
      <c r="BH384" s="139" t="str">
        <f aca="false">IF($BX384&lt;&gt;Constants!$B$6,"",Constants!$B$16+SUM($BC384:$BG384))</f>
        <v/>
      </c>
      <c r="BI384" s="138" t="str">
        <f aca="false">IF($BX384&lt;&gt;Constants!$B$6,"",$BC384)</f>
        <v/>
      </c>
      <c r="BJ384" s="138" t="str">
        <f aca="false">IF($BX384&lt;&gt;Constants!$B$6,"",$BD384)</f>
        <v/>
      </c>
      <c r="BK384" s="140" t="str">
        <f aca="false">IF($BX384&lt;&gt;Constants!$B$6,"",IF($AL384,$AN384,""))</f>
        <v/>
      </c>
      <c r="BL384" s="135" t="str">
        <f aca="false">IF($BX384&lt;&gt;Constants!$B$6,"",IF(OR($BS384&lt;$BH384,AND($BS384=$BH384,OR($BT384&lt;$BI384,AND($BT384=$BI384,OR($BU384&lt;$BJ384,AND($BU384=$BJ384,AND(ISNUMBER($BV384),OR(NOT(ISNUMBER($BK384)),$BV384&lt;$BK384)))))))),"-&gt;","&lt;-"))</f>
        <v/>
      </c>
      <c r="BM384" s="134" t="str">
        <f aca="false">IF(ISBLANK($C384),"",AND($AT384,OR($AU384="",$AV384="",AND($AW384,$AX384=""))))</f>
        <v/>
      </c>
      <c r="BN384" s="137" t="str">
        <f aca="false">IF($BX384&lt;&gt;Constants!$B$6,"",IF($AT384,Constants!$B$17*$AV384+Constants!$B$18*IF($AW384,$AX384,Constants!$B$19),Constants!$B$20))</f>
        <v/>
      </c>
      <c r="BO384" s="138" t="str">
        <f aca="false">IF($BX384&lt;&gt;Constants!$B$6,"",Constants!$B$21*ABS($AD$9-IF($AT384,$AU384,0)))</f>
        <v/>
      </c>
      <c r="BP384" s="138" t="str">
        <f aca="false">IF($BX384&lt;&gt;Constants!$B$6,"",IF(AND($AT384,$AY384,$AW384),Constants!$B$22,0))</f>
        <v/>
      </c>
      <c r="BQ384" s="138" t="str">
        <f aca="false">IF($BX384&lt;&gt;Constants!$B$6,"",IF($AT384,($AI384-Constants!$B$24)*Constants!$B$23,0))</f>
        <v/>
      </c>
      <c r="BR384" s="138" t="str">
        <f aca="false">IF($BX384&lt;&gt;Constants!$B$6,"",IF($AS384,0,Constants!$B$12)+IF($AR384,0,Constants!$B$13)+IF($AH384,0,Constants!$B$14))</f>
        <v/>
      </c>
      <c r="BS384" s="139" t="str">
        <f aca="false">IF($BX384&lt;&gt;Constants!$B$6,"",Constants!$B$16+SUM($BN384:$BR384))</f>
        <v/>
      </c>
      <c r="BT384" s="138" t="str">
        <f aca="false">IF($BX384&lt;&gt;Constants!$B$6,"",$BN384)</f>
        <v/>
      </c>
      <c r="BU384" s="138" t="str">
        <f aca="false">IF($BX384&lt;&gt;Constants!$B$6,"",$BO384)</f>
        <v/>
      </c>
      <c r="BV384" s="140" t="str">
        <f aca="false">IF($BX384&lt;&gt;Constants!$B$6,"",IF($AT384,$AV384,""))</f>
        <v/>
      </c>
      <c r="BW384" s="135" t="str">
        <f aca="false">IF(ISBLANK($C384),"",IF(ISBLANK($D$7),$BW$5,IF(NOT(ISNUMBER($D$7)),$BW$6,"")))</f>
        <v/>
      </c>
      <c r="BX384" s="135" t="str">
        <f aca="false">IF(ISBLANK($C384),"",IF($BA384,Constants!$B$9,IF(COUNTA($E384:$AA384)=0,Constants!$B$8,IF(NOT($AG384),Constants!$B$7,IF(OR($BW384&lt;&gt;"",$BB384,$BM384),Constants!$B$10,Constants!$B$6)))))</f>
        <v/>
      </c>
      <c r="BY384" s="135" t="str">
        <f aca="false">IF(ISBLANK($C384),"",IF($BX384&lt;&gt;Constants!$B$6,$BX384,Constants!$B$11))</f>
        <v/>
      </c>
      <c r="BZ384" s="138" t="str">
        <f aca="false">IF($BX384&lt;&gt;Constants!$B$6,"",IF($BL384="-&gt;",$BS384,$BH384))</f>
        <v/>
      </c>
      <c r="CA384" s="138" t="str">
        <f aca="false">IF($BX384&lt;&gt;Constants!$B$6,"",IF($AF384,0,Constants!$B$15))</f>
        <v/>
      </c>
      <c r="CB384" s="138" t="str">
        <f aca="false">IF($BX384&lt;&gt;Constants!$B$6,"",((Constants!$B$25-$AZ384)-Constants!$B$25)/Constants!$B$26)</f>
        <v/>
      </c>
      <c r="CC384" s="138" t="str">
        <f aca="false">IF(ISBLANK($C384),"",IF($BX384&lt;&gt;Constants!$B$6,$BX384,SUM($BZ384:$CB384)))</f>
        <v/>
      </c>
      <c r="CD384" s="135" t="str">
        <f aca="false">IF(ISBLANK($C384),"",IF($BX384&lt;&gt;Constants!$B$6,$BX384,RANK($CC384,$CC$9:$CC$508,1)))</f>
        <v/>
      </c>
      <c r="CE384" s="138" t="str">
        <f aca="false">IF($BX384&lt;&gt;Constants!$B$6,"",IF($BL384="-&gt;",$BT384,$BI384))</f>
        <v/>
      </c>
      <c r="CF384" s="135" t="str">
        <f aca="false">IF(ISBLANK($C384),"",IF($BX384&lt;&gt;Constants!$B$6,$BX384,IF(ISNUMBER($CE384),RANK($CE384,$CE$9:$CE$508,1),COUNT($CE$9:$CE$508)+1)))</f>
        <v/>
      </c>
      <c r="CG384" s="138" t="str">
        <f aca="false">IF($BX384&lt;&gt;Constants!$B$6,"",IF($BL384="-&gt;",$BU384,$BJ384))</f>
        <v/>
      </c>
      <c r="CH384" s="135" t="str">
        <f aca="false">IF(ISBLANK($C384),"",IF($BX384&lt;&gt;Constants!$B$6,$BX384,IF(ISNUMBER($CG384),RANK($CG384,$CG$9:$CG$508,1),COUNT($CG$9:$CG$508)+1)))</f>
        <v/>
      </c>
      <c r="CI384" s="138" t="str">
        <f aca="false">IF($BX384&lt;&gt;Constants!$B$6,"",IF($BL384="-&gt;",$BV384,$BK384))</f>
        <v/>
      </c>
      <c r="CJ384" s="135" t="str">
        <f aca="false">IF(ISBLANK($C384),"",IF($BX384&lt;&gt;Constants!$B$6,$BX384,IF(ISNUMBER($CI384),RANK($CI384,$CI$9:$CI$508,1),COUNT($CI$9:$CI$508)+1)))</f>
        <v/>
      </c>
      <c r="CK384" s="138" t="str">
        <f aca="false">IF($BX384&lt;&gt;Constants!$B$6,"",$AI384)</f>
        <v/>
      </c>
      <c r="CL384" s="135" t="str">
        <f aca="false">IF(ISBLANK($C384),"",IF($BX384&lt;&gt;Constants!$B$6,$BX384,IF(ISNUMBER($CK384),RANK($CK384,$CK$9:$CK$508,1),COUNT($CK$9:$CK$508)+1)))</f>
        <v/>
      </c>
      <c r="CM384" s="135" t="str">
        <f aca="false">IF(ISBLANK($C384),"",IF($BX384&lt;&gt;Constants!$B$6,$BX384,COUNTIFS($CD$9:$CD$508,"&lt;"&amp;$CD384)+COUNTIFS($CD$9:$CD$508,$CD384,$CF$9:$CF$508,"&lt;"&amp;$CF384)+COUNTIFS($CD$9:$CD$508,$CD384,$CF$9:$CF$508,$CF384,$CH$9:$CH$508,"&lt;"&amp;$CH384)+COUNTIFS($CD$9:$CD$508,$CD384,$CF$9:$CF$508,$CF384,$CH$9:$CH$508,$CH384,$CJ$9:$CJ$508,"&lt;"&amp;$CJ384)+COUNTIFS($CD$9:$CD$508,$CD384,$CF$9:$CF$508,$CF384,$CH$9:$CH$508,$CH384,$CJ$9:$CJ$508,$CJ384,$CL$9:$CL$508,"&lt;"&amp;$CL384)+1))</f>
        <v/>
      </c>
      <c r="CN384" s="135" t="str">
        <f aca="false">IF(ISBLANK($C384),"",IF($BX384&lt;&gt;Constants!$B$6,$BX384,$CD384-$CM384))</f>
        <v/>
      </c>
      <c r="CO384" s="141"/>
      <c r="CP384" s="142"/>
      <c r="CQ384" s="143" t="str">
        <f aca="false">IF(ISBLANK($C384),"",IF($BX384=Constants!$B$10,$BW384,""))</f>
        <v/>
      </c>
      <c r="CR384" s="142" t="str">
        <f aca="false">IF(ISBLANK($C384),"",IF($BX384&lt;&gt;Constants!$B$6,"",IF($BL384="-&gt;",2,1)))</f>
        <v/>
      </c>
      <c r="CS384" s="144" t="str">
        <f aca="false">IF(ISBLANK($C384),"",IF($BX384&lt;&gt;Constants!$B$6,"",IF($BL384="-&gt;",$BN384,$BC384)))</f>
        <v/>
      </c>
      <c r="CT384" s="144" t="str">
        <f aca="false">IF(ISBLANK($C384),"",IF($BX384&lt;&gt;Constants!$B$6,"",IF($BL384="-&gt;",$BO384,$BD384)))</f>
        <v/>
      </c>
      <c r="CU384" s="144" t="str">
        <f aca="false">IF(ISBLANK($C384),"",IF($BX384&lt;&gt;Constants!$B$6,"",IF($BL384="-&gt;",$BP384+$BQ384,$BE384+$BF384)+$CB384))</f>
        <v/>
      </c>
      <c r="CV384" s="144" t="str">
        <f aca="false">IF(ISBLANK($C384),"",IF($BX384&lt;&gt;Constants!$B$6,"",IF($BL384="-&gt;",$BR384,$BG384)+$CA384))</f>
        <v/>
      </c>
      <c r="CW384" s="145" t="str">
        <f aca="false">IF(ISBLANK($C384),"",IF($BX384&lt;&gt;Constants!$B$6,$BX384,$CC384))</f>
        <v/>
      </c>
      <c r="CX384" s="146" t="str">
        <f aca="false">IF(ISBLANK($C384),"",$BY384)</f>
        <v/>
      </c>
      <c r="CY384" s="147" t="str">
        <f aca="false">IF(ISBLANK($C384),"",$CN384)</f>
        <v/>
      </c>
      <c r="CZ384" s="147" t="str">
        <f aca="false">IF(ISBLANK($C384),"",$CM384)</f>
        <v/>
      </c>
      <c r="DA384" s="148" t="str">
        <f aca="false">IF(ISBLANK($C384),"",IFERROR(_xlfn.SWITCH($CZ384,Constants!$B$9,COUNTA($C$9:$C$508)+2,Constants!$B$8,COUNTA($C$9:$C$508)+1,Constants!$B$7,COUNTA($C$9:$C$508)),$CZ384))</f>
        <v/>
      </c>
      <c r="DB384" s="9"/>
      <c r="DC384" s="149" t="n">
        <f aca="false">IF(OR(ISNUMBER($CZ384),$CZ384=Constants!$B$9,$CZ384=Constants!$B$7,$CZ384=Constants!$B$8),1,0)</f>
        <v>0</v>
      </c>
      <c r="DD384" s="149" t="n">
        <v>376</v>
      </c>
      <c r="DE384" s="149" t="str">
        <f aca="false">IF(ISBLANK($C384),"",IF(ISNUMBER($DA384),$DA384+ROW($B384)/1000,""))</f>
        <v/>
      </c>
      <c r="DF384" s="149" t="str">
        <f aca="false">IF(ISNUMBER($DE384),RANK($DE384,$DE$9:$DE$508,1),"")</f>
        <v/>
      </c>
      <c r="DG384" s="149" t="str">
        <f aca="false">IF(ISBLANK($C384),"",$B384)</f>
        <v/>
      </c>
      <c r="DH384" s="149" t="str">
        <f aca="false">IF(ISBLANK($C384),"",$C384)</f>
        <v/>
      </c>
      <c r="DI384" s="149" t="str">
        <f aca="false">IF(ISBLANK($C384),"",$D384)</f>
        <v/>
      </c>
      <c r="DJ384" s="150" t="str">
        <f aca="false">$CX384</f>
        <v/>
      </c>
      <c r="DK384" s="151" t="str">
        <f aca="false">$CW384</f>
        <v/>
      </c>
      <c r="DL384" s="149" t="str">
        <f aca="false">IF(ISBLANK($C384),"",$CZ384)</f>
        <v/>
      </c>
      <c r="DM384" s="152" t="str">
        <f aca="false">IF($DD384&gt;$DC$8,"",VLOOKUP($DD384,$DF$9:$DL$508,7,FALSE()))</f>
        <v/>
      </c>
      <c r="DN384" s="153" t="str">
        <f aca="false">IF($DD384&gt;$DC$8,"",VLOOKUP($DD384,$DF$9:$DL$508,2,FALSE()))</f>
        <v/>
      </c>
      <c r="DO384" s="153" t="str">
        <f aca="false">IF($DD384&gt;$DC$8,"",VLOOKUP($DD384,$DF$9:$DL$508,3,FALSE()))</f>
        <v/>
      </c>
      <c r="DP384" s="153" t="str">
        <f aca="false">IF($DD384&gt;$DC$8,"",VLOOKUP($DD384,$DF$9:$DL$508,4,FALSE()))</f>
        <v/>
      </c>
      <c r="DQ384" s="153" t="str">
        <f aca="false">IF($DD384&gt;$DC$8,"",VLOOKUP($DD384,$DF$9:$DL$508,5,FALSE()))</f>
        <v/>
      </c>
      <c r="DR384" s="154" t="str">
        <f aca="false">IF($DD384&gt;$DC$8,"",VLOOKUP($DD384,$DF$9:$DL$508,6,FALSE()))</f>
        <v/>
      </c>
      <c r="DS384" s="76"/>
    </row>
    <row r="385" customFormat="false" ht="15.75" hidden="false" customHeight="false" outlineLevel="0" collapsed="false">
      <c r="A385" s="9"/>
      <c r="B385" s="160"/>
      <c r="C385" s="161"/>
      <c r="D385" s="162"/>
      <c r="E385" s="180"/>
      <c r="F385" s="164"/>
      <c r="G385" s="165"/>
      <c r="H385" s="165"/>
      <c r="I385" s="181"/>
      <c r="J385" s="168"/>
      <c r="K385" s="128"/>
      <c r="L385" s="129"/>
      <c r="M385" s="130"/>
      <c r="N385" s="168"/>
      <c r="O385" s="168"/>
      <c r="P385" s="180"/>
      <c r="Q385" s="168"/>
      <c r="R385" s="168"/>
      <c r="S385" s="128"/>
      <c r="T385" s="130"/>
      <c r="U385" s="130"/>
      <c r="V385" s="168"/>
      <c r="W385" s="168"/>
      <c r="X385" s="180"/>
      <c r="Y385" s="168"/>
      <c r="Z385" s="169"/>
      <c r="AA385" s="168"/>
      <c r="AB385" s="134"/>
      <c r="AC385" s="135"/>
      <c r="AD385" s="135"/>
      <c r="AE385" s="135"/>
      <c r="AF385" s="135" t="str">
        <f aca="false">IF(ISBLANK($C385),"",IF(E385=Constants!$B$2,TRUE(),IF(E385=Constants!$B$3,FALSE(),TRUE())))</f>
        <v/>
      </c>
      <c r="AG385" s="135" t="str">
        <f aca="false">IF(ISBLANK($C385),"",IF(F385=Constants!$B$2,TRUE(),IF(F385=Constants!$B$3,FALSE(),TRUE())))</f>
        <v/>
      </c>
      <c r="AH385" s="135" t="str">
        <f aca="false">IF(ISBLANK($C385),"",IF(G385=Constants!$B$2,TRUE(),IF(G385=Constants!$B$3,FALSE(),TRUE())))</f>
        <v/>
      </c>
      <c r="AI385" s="135" t="str">
        <f aca="false">IF(ISBLANK($C385),"",IF(AND(ISNUMBER(H385),H385&gt;=0),H385,Constants!$B$24))</f>
        <v/>
      </c>
      <c r="AJ385" s="135" t="str">
        <f aca="false">IF(ISBLANK($C385),"",IF(I385=Constants!$B$2,TRUE(),IF(I385=Constants!$B$3,FALSE(),TRUE())))</f>
        <v/>
      </c>
      <c r="AK385" s="135" t="str">
        <f aca="false">IF(ISBLANK($C385),"",IF(J385=Constants!$B$2,TRUE(),IF(J385=Constants!$B$3,FALSE(),TRUE())))</f>
        <v/>
      </c>
      <c r="AL385" s="135" t="str">
        <f aca="false">IF(ISBLANK($C385),"",IF(K385=Constants!$B$4,TRUE(),IF(K385=Constants!$B$5,FALSE(),COUNTA(L385:P385)&gt;0)))</f>
        <v/>
      </c>
      <c r="AM385" s="136" t="str">
        <f aca="false">IF(ISBLANK($C385),"",IF(ISNUMBER(L385),IF(L385&gt;=0,L385,""),""))</f>
        <v/>
      </c>
      <c r="AN385" s="137" t="str">
        <f aca="false">IF(ISBLANK($C385),"",IF(ISNUMBER(M385),IF(M385&gt;=0,M385,""),""))</f>
        <v/>
      </c>
      <c r="AO385" s="137" t="str">
        <f aca="false">IF(ISBLANK($C385),"",IF(N385=Constants!$B$2,TRUE(),IF(N385=Constants!$B$3,FALSE(),TRUE())))</f>
        <v/>
      </c>
      <c r="AP385" s="135" t="str">
        <f aca="false">IF(ISBLANK($C385),"",IF(ISNUMBER(O385),IF(O385&gt;=0,O385,""),""))</f>
        <v/>
      </c>
      <c r="AQ385" s="135" t="str">
        <f aca="false">IF(ISBLANK($C385),"",IF(P385=Constants!$B$2,TRUE(),IF(P385=Constants!$B$3,FALSE(),FALSE())))</f>
        <v/>
      </c>
      <c r="AR385" s="135" t="str">
        <f aca="false">IF(ISBLANK($C385),"",IF(Q385=Constants!$B$2,TRUE(),IF(Q385=Constants!$B$3,FALSE(),TRUE())))</f>
        <v/>
      </c>
      <c r="AS385" s="135" t="str">
        <f aca="false">IF(ISBLANK($C385),"",IF(R385=Constants!$B$2,TRUE(),IF(R385=Constants!$B$3,FALSE(),TRUE())))</f>
        <v/>
      </c>
      <c r="AT385" s="135" t="str">
        <f aca="false">IF(ISBLANK($C385),"",IF(S385=Constants!$B$4,TRUE(),IF(S385=Constants!$B$5,FALSE(),COUNTA(T385:X385)&gt;0)))</f>
        <v/>
      </c>
      <c r="AU385" s="136" t="str">
        <f aca="false">IF(ISBLANK($C385),"",IF(ISNUMBER(T385),IF(T385&gt;=0,T385,""),""))</f>
        <v/>
      </c>
      <c r="AV385" s="137" t="str">
        <f aca="false">IF(ISBLANK($C385),"",IF(ISNUMBER(U385),IF(U385&gt;=0,U385,""),""))</f>
        <v/>
      </c>
      <c r="AW385" s="137" t="str">
        <f aca="false">IF(ISBLANK($C385),"",IF(V385=Constants!$B$2,TRUE(),IF(V385=Constants!$B$3,FALSE(),TRUE())))</f>
        <v/>
      </c>
      <c r="AX385" s="135" t="str">
        <f aca="false">IF(ISBLANK($C385),"",IF(ISNUMBER(W385),IF(W385&gt;=0,W385,""),""))</f>
        <v/>
      </c>
      <c r="AY385" s="135" t="str">
        <f aca="false">IF(ISBLANK($C385),"",IF(X385=Constants!$B$2,TRUE(),IF(X385=Constants!$B$3,FALSE(),FALSE())))</f>
        <v/>
      </c>
      <c r="AZ385" s="135" t="str">
        <f aca="false">IF(ISBLANK($C385),"",MIN(Constants!$B$25,MAX(0,IF(ISNUMBER(Y385),Y385*60,0)+IF(ISNUMBER(Z385),Z385,0))))</f>
        <v/>
      </c>
      <c r="BA385" s="135" t="str">
        <f aca="false">IF(ISBLANK($C385),"",IF(AA385=Constants!$B$2,TRUE(),IF(AA385=Constants!$B$3,FALSE(),FALSE())))</f>
        <v/>
      </c>
      <c r="BB385" s="134" t="str">
        <f aca="false">IF(ISBLANK($C385),"",AND($AL385,OR($AM385="",$AN385="",AND($AO385,$AP385=""))))</f>
        <v/>
      </c>
      <c r="BC385" s="137" t="str">
        <f aca="false">IF($BX385&lt;&gt;Constants!$B$6,"",IF($AL385,Constants!$B$17*$AN385+Constants!$B$18*IF($AO385,$AP385,Constants!$B$19),Constants!$B$20))</f>
        <v/>
      </c>
      <c r="BD385" s="138" t="str">
        <f aca="false">IF($BX385&lt;&gt;Constants!$B$6,"",Constants!$B$21*ABS($AD$9-IF($AL385,$AM385,0)))</f>
        <v/>
      </c>
      <c r="BE385" s="138" t="str">
        <f aca="false">IF($BX385&lt;&gt;Constants!$B$6,"",IF(AND($AL385,$AQ385,$AO385),Constants!$B$22,0))</f>
        <v/>
      </c>
      <c r="BF385" s="138" t="str">
        <f aca="false">IF($BX385&lt;&gt;Constants!$B$6,"",IF($AL385,($AI385-Constants!$B$24)*Constants!$B$23,0))</f>
        <v/>
      </c>
      <c r="BG385" s="138" t="str">
        <f aca="false">IF($BX385&lt;&gt;Constants!$B$6,"",IF($AK385,0,Constants!$B$12)+IF($AJ385,0,Constants!$B$13)+IF($AH385,0,Constants!$B$14))</f>
        <v/>
      </c>
      <c r="BH385" s="139" t="str">
        <f aca="false">IF($BX385&lt;&gt;Constants!$B$6,"",Constants!$B$16+SUM($BC385:$BG385))</f>
        <v/>
      </c>
      <c r="BI385" s="138" t="str">
        <f aca="false">IF($BX385&lt;&gt;Constants!$B$6,"",$BC385)</f>
        <v/>
      </c>
      <c r="BJ385" s="138" t="str">
        <f aca="false">IF($BX385&lt;&gt;Constants!$B$6,"",$BD385)</f>
        <v/>
      </c>
      <c r="BK385" s="140" t="str">
        <f aca="false">IF($BX385&lt;&gt;Constants!$B$6,"",IF($AL385,$AN385,""))</f>
        <v/>
      </c>
      <c r="BL385" s="135" t="str">
        <f aca="false">IF($BX385&lt;&gt;Constants!$B$6,"",IF(OR($BS385&lt;$BH385,AND($BS385=$BH385,OR($BT385&lt;$BI385,AND($BT385=$BI385,OR($BU385&lt;$BJ385,AND($BU385=$BJ385,AND(ISNUMBER($BV385),OR(NOT(ISNUMBER($BK385)),$BV385&lt;$BK385)))))))),"-&gt;","&lt;-"))</f>
        <v/>
      </c>
      <c r="BM385" s="134" t="str">
        <f aca="false">IF(ISBLANK($C385),"",AND($AT385,OR($AU385="",$AV385="",AND($AW385,$AX385=""))))</f>
        <v/>
      </c>
      <c r="BN385" s="137" t="str">
        <f aca="false">IF($BX385&lt;&gt;Constants!$B$6,"",IF($AT385,Constants!$B$17*$AV385+Constants!$B$18*IF($AW385,$AX385,Constants!$B$19),Constants!$B$20))</f>
        <v/>
      </c>
      <c r="BO385" s="138" t="str">
        <f aca="false">IF($BX385&lt;&gt;Constants!$B$6,"",Constants!$B$21*ABS($AD$9-IF($AT385,$AU385,0)))</f>
        <v/>
      </c>
      <c r="BP385" s="138" t="str">
        <f aca="false">IF($BX385&lt;&gt;Constants!$B$6,"",IF(AND($AT385,$AY385,$AW385),Constants!$B$22,0))</f>
        <v/>
      </c>
      <c r="BQ385" s="138" t="str">
        <f aca="false">IF($BX385&lt;&gt;Constants!$B$6,"",IF($AT385,($AI385-Constants!$B$24)*Constants!$B$23,0))</f>
        <v/>
      </c>
      <c r="BR385" s="138" t="str">
        <f aca="false">IF($BX385&lt;&gt;Constants!$B$6,"",IF($AS385,0,Constants!$B$12)+IF($AR385,0,Constants!$B$13)+IF($AH385,0,Constants!$B$14))</f>
        <v/>
      </c>
      <c r="BS385" s="139" t="str">
        <f aca="false">IF($BX385&lt;&gt;Constants!$B$6,"",Constants!$B$16+SUM($BN385:$BR385))</f>
        <v/>
      </c>
      <c r="BT385" s="138" t="str">
        <f aca="false">IF($BX385&lt;&gt;Constants!$B$6,"",$BN385)</f>
        <v/>
      </c>
      <c r="BU385" s="138" t="str">
        <f aca="false">IF($BX385&lt;&gt;Constants!$B$6,"",$BO385)</f>
        <v/>
      </c>
      <c r="BV385" s="140" t="str">
        <f aca="false">IF($BX385&lt;&gt;Constants!$B$6,"",IF($AT385,$AV385,""))</f>
        <v/>
      </c>
      <c r="BW385" s="135" t="str">
        <f aca="false">IF(ISBLANK($C385),"",IF(ISBLANK($D$7),$BW$5,IF(NOT(ISNUMBER($D$7)),$BW$6,"")))</f>
        <v/>
      </c>
      <c r="BX385" s="135" t="str">
        <f aca="false">IF(ISBLANK($C385),"",IF($BA385,Constants!$B$9,IF(COUNTA($E385:$AA385)=0,Constants!$B$8,IF(NOT($AG385),Constants!$B$7,IF(OR($BW385&lt;&gt;"",$BB385,$BM385),Constants!$B$10,Constants!$B$6)))))</f>
        <v/>
      </c>
      <c r="BY385" s="135" t="str">
        <f aca="false">IF(ISBLANK($C385),"",IF($BX385&lt;&gt;Constants!$B$6,$BX385,Constants!$B$11))</f>
        <v/>
      </c>
      <c r="BZ385" s="138" t="str">
        <f aca="false">IF($BX385&lt;&gt;Constants!$B$6,"",IF($BL385="-&gt;",$BS385,$BH385))</f>
        <v/>
      </c>
      <c r="CA385" s="138" t="str">
        <f aca="false">IF($BX385&lt;&gt;Constants!$B$6,"",IF($AF385,0,Constants!$B$15))</f>
        <v/>
      </c>
      <c r="CB385" s="138" t="str">
        <f aca="false">IF($BX385&lt;&gt;Constants!$B$6,"",((Constants!$B$25-$AZ385)-Constants!$B$25)/Constants!$B$26)</f>
        <v/>
      </c>
      <c r="CC385" s="138" t="str">
        <f aca="false">IF(ISBLANK($C385),"",IF($BX385&lt;&gt;Constants!$B$6,$BX385,SUM($BZ385:$CB385)))</f>
        <v/>
      </c>
      <c r="CD385" s="135" t="str">
        <f aca="false">IF(ISBLANK($C385),"",IF($BX385&lt;&gt;Constants!$B$6,$BX385,RANK($CC385,$CC$9:$CC$508,1)))</f>
        <v/>
      </c>
      <c r="CE385" s="138" t="str">
        <f aca="false">IF($BX385&lt;&gt;Constants!$B$6,"",IF($BL385="-&gt;",$BT385,$BI385))</f>
        <v/>
      </c>
      <c r="CF385" s="135" t="str">
        <f aca="false">IF(ISBLANK($C385),"",IF($BX385&lt;&gt;Constants!$B$6,$BX385,IF(ISNUMBER($CE385),RANK($CE385,$CE$9:$CE$508,1),COUNT($CE$9:$CE$508)+1)))</f>
        <v/>
      </c>
      <c r="CG385" s="138" t="str">
        <f aca="false">IF($BX385&lt;&gt;Constants!$B$6,"",IF($BL385="-&gt;",$BU385,$BJ385))</f>
        <v/>
      </c>
      <c r="CH385" s="135" t="str">
        <f aca="false">IF(ISBLANK($C385),"",IF($BX385&lt;&gt;Constants!$B$6,$BX385,IF(ISNUMBER($CG385),RANK($CG385,$CG$9:$CG$508,1),COUNT($CG$9:$CG$508)+1)))</f>
        <v/>
      </c>
      <c r="CI385" s="138" t="str">
        <f aca="false">IF($BX385&lt;&gt;Constants!$B$6,"",IF($BL385="-&gt;",$BV385,$BK385))</f>
        <v/>
      </c>
      <c r="CJ385" s="135" t="str">
        <f aca="false">IF(ISBLANK($C385),"",IF($BX385&lt;&gt;Constants!$B$6,$BX385,IF(ISNUMBER($CI385),RANK($CI385,$CI$9:$CI$508,1),COUNT($CI$9:$CI$508)+1)))</f>
        <v/>
      </c>
      <c r="CK385" s="138" t="str">
        <f aca="false">IF($BX385&lt;&gt;Constants!$B$6,"",$AI385)</f>
        <v/>
      </c>
      <c r="CL385" s="135" t="str">
        <f aca="false">IF(ISBLANK($C385),"",IF($BX385&lt;&gt;Constants!$B$6,$BX385,IF(ISNUMBER($CK385),RANK($CK385,$CK$9:$CK$508,1),COUNT($CK$9:$CK$508)+1)))</f>
        <v/>
      </c>
      <c r="CM385" s="135" t="str">
        <f aca="false">IF(ISBLANK($C385),"",IF($BX385&lt;&gt;Constants!$B$6,$BX385,COUNTIFS($CD$9:$CD$508,"&lt;"&amp;$CD385)+COUNTIFS($CD$9:$CD$508,$CD385,$CF$9:$CF$508,"&lt;"&amp;$CF385)+COUNTIFS($CD$9:$CD$508,$CD385,$CF$9:$CF$508,$CF385,$CH$9:$CH$508,"&lt;"&amp;$CH385)+COUNTIFS($CD$9:$CD$508,$CD385,$CF$9:$CF$508,$CF385,$CH$9:$CH$508,$CH385,$CJ$9:$CJ$508,"&lt;"&amp;$CJ385)+COUNTIFS($CD$9:$CD$508,$CD385,$CF$9:$CF$508,$CF385,$CH$9:$CH$508,$CH385,$CJ$9:$CJ$508,$CJ385,$CL$9:$CL$508,"&lt;"&amp;$CL385)+1))</f>
        <v/>
      </c>
      <c r="CN385" s="135" t="str">
        <f aca="false">IF(ISBLANK($C385),"",IF($BX385&lt;&gt;Constants!$B$6,$BX385,$CD385-$CM385))</f>
        <v/>
      </c>
      <c r="CO385" s="141"/>
      <c r="CP385" s="142"/>
      <c r="CQ385" s="143" t="str">
        <f aca="false">IF(ISBLANK($C385),"",IF($BX385=Constants!$B$10,$BW385,""))</f>
        <v/>
      </c>
      <c r="CR385" s="142" t="str">
        <f aca="false">IF(ISBLANK($C385),"",IF($BX385&lt;&gt;Constants!$B$6,"",IF($BL385="-&gt;",2,1)))</f>
        <v/>
      </c>
      <c r="CS385" s="144" t="str">
        <f aca="false">IF(ISBLANK($C385),"",IF($BX385&lt;&gt;Constants!$B$6,"",IF($BL385="-&gt;",$BN385,$BC385)))</f>
        <v/>
      </c>
      <c r="CT385" s="144" t="str">
        <f aca="false">IF(ISBLANK($C385),"",IF($BX385&lt;&gt;Constants!$B$6,"",IF($BL385="-&gt;",$BO385,$BD385)))</f>
        <v/>
      </c>
      <c r="CU385" s="144" t="str">
        <f aca="false">IF(ISBLANK($C385),"",IF($BX385&lt;&gt;Constants!$B$6,"",IF($BL385="-&gt;",$BP385+$BQ385,$BE385+$BF385)+$CB385))</f>
        <v/>
      </c>
      <c r="CV385" s="144" t="str">
        <f aca="false">IF(ISBLANK($C385),"",IF($BX385&lt;&gt;Constants!$B$6,"",IF($BL385="-&gt;",$BR385,$BG385)+$CA385))</f>
        <v/>
      </c>
      <c r="CW385" s="145" t="str">
        <f aca="false">IF(ISBLANK($C385),"",IF($BX385&lt;&gt;Constants!$B$6,$BX385,$CC385))</f>
        <v/>
      </c>
      <c r="CX385" s="146" t="str">
        <f aca="false">IF(ISBLANK($C385),"",$BY385)</f>
        <v/>
      </c>
      <c r="CY385" s="147" t="str">
        <f aca="false">IF(ISBLANK($C385),"",$CN385)</f>
        <v/>
      </c>
      <c r="CZ385" s="147" t="str">
        <f aca="false">IF(ISBLANK($C385),"",$CM385)</f>
        <v/>
      </c>
      <c r="DA385" s="148" t="str">
        <f aca="false">IF(ISBLANK($C385),"",IFERROR(_xlfn.SWITCH($CZ385,Constants!$B$9,COUNTA($C$9:$C$508)+2,Constants!$B$8,COUNTA($C$9:$C$508)+1,Constants!$B$7,COUNTA($C$9:$C$508)),$CZ385))</f>
        <v/>
      </c>
      <c r="DB385" s="9"/>
      <c r="DC385" s="149" t="n">
        <f aca="false">IF(OR(ISNUMBER($CZ385),$CZ385=Constants!$B$9,$CZ385=Constants!$B$7,$CZ385=Constants!$B$8),1,0)</f>
        <v>0</v>
      </c>
      <c r="DD385" s="149" t="n">
        <v>377</v>
      </c>
      <c r="DE385" s="149" t="str">
        <f aca="false">IF(ISBLANK($C385),"",IF(ISNUMBER($DA385),$DA385+ROW($B385)/1000,""))</f>
        <v/>
      </c>
      <c r="DF385" s="149" t="str">
        <f aca="false">IF(ISNUMBER($DE385),RANK($DE385,$DE$9:$DE$508,1),"")</f>
        <v/>
      </c>
      <c r="DG385" s="149" t="str">
        <f aca="false">IF(ISBLANK($C385),"",$B385)</f>
        <v/>
      </c>
      <c r="DH385" s="149" t="str">
        <f aca="false">IF(ISBLANK($C385),"",$C385)</f>
        <v/>
      </c>
      <c r="DI385" s="149" t="str">
        <f aca="false">IF(ISBLANK($C385),"",$D385)</f>
        <v/>
      </c>
      <c r="DJ385" s="150" t="str">
        <f aca="false">$CX385</f>
        <v/>
      </c>
      <c r="DK385" s="151" t="str">
        <f aca="false">$CW385</f>
        <v/>
      </c>
      <c r="DL385" s="149" t="str">
        <f aca="false">IF(ISBLANK($C385),"",$CZ385)</f>
        <v/>
      </c>
      <c r="DM385" s="152" t="str">
        <f aca="false">IF($DD385&gt;$DC$8,"",VLOOKUP($DD385,$DF$9:$DL$508,7,FALSE()))</f>
        <v/>
      </c>
      <c r="DN385" s="153" t="str">
        <f aca="false">IF($DD385&gt;$DC$8,"",VLOOKUP($DD385,$DF$9:$DL$508,2,FALSE()))</f>
        <v/>
      </c>
      <c r="DO385" s="153" t="str">
        <f aca="false">IF($DD385&gt;$DC$8,"",VLOOKUP($DD385,$DF$9:$DL$508,3,FALSE()))</f>
        <v/>
      </c>
      <c r="DP385" s="153" t="str">
        <f aca="false">IF($DD385&gt;$DC$8,"",VLOOKUP($DD385,$DF$9:$DL$508,4,FALSE()))</f>
        <v/>
      </c>
      <c r="DQ385" s="153" t="str">
        <f aca="false">IF($DD385&gt;$DC$8,"",VLOOKUP($DD385,$DF$9:$DL$508,5,FALSE()))</f>
        <v/>
      </c>
      <c r="DR385" s="154" t="str">
        <f aca="false">IF($DD385&gt;$DC$8,"",VLOOKUP($DD385,$DF$9:$DL$508,6,FALSE()))</f>
        <v/>
      </c>
      <c r="DS385" s="76"/>
    </row>
    <row r="386" customFormat="false" ht="15.75" hidden="false" customHeight="false" outlineLevel="0" collapsed="false">
      <c r="A386" s="9"/>
      <c r="B386" s="160"/>
      <c r="C386" s="161"/>
      <c r="D386" s="162"/>
      <c r="E386" s="180"/>
      <c r="F386" s="164"/>
      <c r="G386" s="165"/>
      <c r="H386" s="165"/>
      <c r="I386" s="181"/>
      <c r="J386" s="168"/>
      <c r="K386" s="128"/>
      <c r="L386" s="129"/>
      <c r="M386" s="130"/>
      <c r="N386" s="168"/>
      <c r="O386" s="168"/>
      <c r="P386" s="180"/>
      <c r="Q386" s="168"/>
      <c r="R386" s="168"/>
      <c r="S386" s="128"/>
      <c r="T386" s="130"/>
      <c r="U386" s="130"/>
      <c r="V386" s="168"/>
      <c r="W386" s="168"/>
      <c r="X386" s="180"/>
      <c r="Y386" s="168"/>
      <c r="Z386" s="169"/>
      <c r="AA386" s="168"/>
      <c r="AB386" s="134"/>
      <c r="AC386" s="135"/>
      <c r="AD386" s="135"/>
      <c r="AE386" s="135"/>
      <c r="AF386" s="135" t="str">
        <f aca="false">IF(ISBLANK($C386),"",IF(E386=Constants!$B$2,TRUE(),IF(E386=Constants!$B$3,FALSE(),TRUE())))</f>
        <v/>
      </c>
      <c r="AG386" s="135" t="str">
        <f aca="false">IF(ISBLANK($C386),"",IF(F386=Constants!$B$2,TRUE(),IF(F386=Constants!$B$3,FALSE(),TRUE())))</f>
        <v/>
      </c>
      <c r="AH386" s="135" t="str">
        <f aca="false">IF(ISBLANK($C386),"",IF(G386=Constants!$B$2,TRUE(),IF(G386=Constants!$B$3,FALSE(),TRUE())))</f>
        <v/>
      </c>
      <c r="AI386" s="135" t="str">
        <f aca="false">IF(ISBLANK($C386),"",IF(AND(ISNUMBER(H386),H386&gt;=0),H386,Constants!$B$24))</f>
        <v/>
      </c>
      <c r="AJ386" s="135" t="str">
        <f aca="false">IF(ISBLANK($C386),"",IF(I386=Constants!$B$2,TRUE(),IF(I386=Constants!$B$3,FALSE(),TRUE())))</f>
        <v/>
      </c>
      <c r="AK386" s="135" t="str">
        <f aca="false">IF(ISBLANK($C386),"",IF(J386=Constants!$B$2,TRUE(),IF(J386=Constants!$B$3,FALSE(),TRUE())))</f>
        <v/>
      </c>
      <c r="AL386" s="135" t="str">
        <f aca="false">IF(ISBLANK($C386),"",IF(K386=Constants!$B$4,TRUE(),IF(K386=Constants!$B$5,FALSE(),COUNTA(L386:P386)&gt;0)))</f>
        <v/>
      </c>
      <c r="AM386" s="136" t="str">
        <f aca="false">IF(ISBLANK($C386),"",IF(ISNUMBER(L386),IF(L386&gt;=0,L386,""),""))</f>
        <v/>
      </c>
      <c r="AN386" s="137" t="str">
        <f aca="false">IF(ISBLANK($C386),"",IF(ISNUMBER(M386),IF(M386&gt;=0,M386,""),""))</f>
        <v/>
      </c>
      <c r="AO386" s="137" t="str">
        <f aca="false">IF(ISBLANK($C386),"",IF(N386=Constants!$B$2,TRUE(),IF(N386=Constants!$B$3,FALSE(),TRUE())))</f>
        <v/>
      </c>
      <c r="AP386" s="135" t="str">
        <f aca="false">IF(ISBLANK($C386),"",IF(ISNUMBER(O386),IF(O386&gt;=0,O386,""),""))</f>
        <v/>
      </c>
      <c r="AQ386" s="135" t="str">
        <f aca="false">IF(ISBLANK($C386),"",IF(P386=Constants!$B$2,TRUE(),IF(P386=Constants!$B$3,FALSE(),FALSE())))</f>
        <v/>
      </c>
      <c r="AR386" s="135" t="str">
        <f aca="false">IF(ISBLANK($C386),"",IF(Q386=Constants!$B$2,TRUE(),IF(Q386=Constants!$B$3,FALSE(),TRUE())))</f>
        <v/>
      </c>
      <c r="AS386" s="135" t="str">
        <f aca="false">IF(ISBLANK($C386),"",IF(R386=Constants!$B$2,TRUE(),IF(R386=Constants!$B$3,FALSE(),TRUE())))</f>
        <v/>
      </c>
      <c r="AT386" s="135" t="str">
        <f aca="false">IF(ISBLANK($C386),"",IF(S386=Constants!$B$4,TRUE(),IF(S386=Constants!$B$5,FALSE(),COUNTA(T386:X386)&gt;0)))</f>
        <v/>
      </c>
      <c r="AU386" s="136" t="str">
        <f aca="false">IF(ISBLANK($C386),"",IF(ISNUMBER(T386),IF(T386&gt;=0,T386,""),""))</f>
        <v/>
      </c>
      <c r="AV386" s="137" t="str">
        <f aca="false">IF(ISBLANK($C386),"",IF(ISNUMBER(U386),IF(U386&gt;=0,U386,""),""))</f>
        <v/>
      </c>
      <c r="AW386" s="137" t="str">
        <f aca="false">IF(ISBLANK($C386),"",IF(V386=Constants!$B$2,TRUE(),IF(V386=Constants!$B$3,FALSE(),TRUE())))</f>
        <v/>
      </c>
      <c r="AX386" s="135" t="str">
        <f aca="false">IF(ISBLANK($C386),"",IF(ISNUMBER(W386),IF(W386&gt;=0,W386,""),""))</f>
        <v/>
      </c>
      <c r="AY386" s="135" t="str">
        <f aca="false">IF(ISBLANK($C386),"",IF(X386=Constants!$B$2,TRUE(),IF(X386=Constants!$B$3,FALSE(),FALSE())))</f>
        <v/>
      </c>
      <c r="AZ386" s="135" t="str">
        <f aca="false">IF(ISBLANK($C386),"",MIN(Constants!$B$25,MAX(0,IF(ISNUMBER(Y386),Y386*60,0)+IF(ISNUMBER(Z386),Z386,0))))</f>
        <v/>
      </c>
      <c r="BA386" s="135" t="str">
        <f aca="false">IF(ISBLANK($C386),"",IF(AA386=Constants!$B$2,TRUE(),IF(AA386=Constants!$B$3,FALSE(),FALSE())))</f>
        <v/>
      </c>
      <c r="BB386" s="134" t="str">
        <f aca="false">IF(ISBLANK($C386),"",AND($AL386,OR($AM386="",$AN386="",AND($AO386,$AP386=""))))</f>
        <v/>
      </c>
      <c r="BC386" s="137" t="str">
        <f aca="false">IF($BX386&lt;&gt;Constants!$B$6,"",IF($AL386,Constants!$B$17*$AN386+Constants!$B$18*IF($AO386,$AP386,Constants!$B$19),Constants!$B$20))</f>
        <v/>
      </c>
      <c r="BD386" s="138" t="str">
        <f aca="false">IF($BX386&lt;&gt;Constants!$B$6,"",Constants!$B$21*ABS($AD$9-IF($AL386,$AM386,0)))</f>
        <v/>
      </c>
      <c r="BE386" s="138" t="str">
        <f aca="false">IF($BX386&lt;&gt;Constants!$B$6,"",IF(AND($AL386,$AQ386,$AO386),Constants!$B$22,0))</f>
        <v/>
      </c>
      <c r="BF386" s="138" t="str">
        <f aca="false">IF($BX386&lt;&gt;Constants!$B$6,"",IF($AL386,($AI386-Constants!$B$24)*Constants!$B$23,0))</f>
        <v/>
      </c>
      <c r="BG386" s="138" t="str">
        <f aca="false">IF($BX386&lt;&gt;Constants!$B$6,"",IF($AK386,0,Constants!$B$12)+IF($AJ386,0,Constants!$B$13)+IF($AH386,0,Constants!$B$14))</f>
        <v/>
      </c>
      <c r="BH386" s="139" t="str">
        <f aca="false">IF($BX386&lt;&gt;Constants!$B$6,"",Constants!$B$16+SUM($BC386:$BG386))</f>
        <v/>
      </c>
      <c r="BI386" s="138" t="str">
        <f aca="false">IF($BX386&lt;&gt;Constants!$B$6,"",$BC386)</f>
        <v/>
      </c>
      <c r="BJ386" s="138" t="str">
        <f aca="false">IF($BX386&lt;&gt;Constants!$B$6,"",$BD386)</f>
        <v/>
      </c>
      <c r="BK386" s="140" t="str">
        <f aca="false">IF($BX386&lt;&gt;Constants!$B$6,"",IF($AL386,$AN386,""))</f>
        <v/>
      </c>
      <c r="BL386" s="135" t="str">
        <f aca="false">IF($BX386&lt;&gt;Constants!$B$6,"",IF(OR($BS386&lt;$BH386,AND($BS386=$BH386,OR($BT386&lt;$BI386,AND($BT386=$BI386,OR($BU386&lt;$BJ386,AND($BU386=$BJ386,AND(ISNUMBER($BV386),OR(NOT(ISNUMBER($BK386)),$BV386&lt;$BK386)))))))),"-&gt;","&lt;-"))</f>
        <v/>
      </c>
      <c r="BM386" s="134" t="str">
        <f aca="false">IF(ISBLANK($C386),"",AND($AT386,OR($AU386="",$AV386="",AND($AW386,$AX386=""))))</f>
        <v/>
      </c>
      <c r="BN386" s="137" t="str">
        <f aca="false">IF($BX386&lt;&gt;Constants!$B$6,"",IF($AT386,Constants!$B$17*$AV386+Constants!$B$18*IF($AW386,$AX386,Constants!$B$19),Constants!$B$20))</f>
        <v/>
      </c>
      <c r="BO386" s="138" t="str">
        <f aca="false">IF($BX386&lt;&gt;Constants!$B$6,"",Constants!$B$21*ABS($AD$9-IF($AT386,$AU386,0)))</f>
        <v/>
      </c>
      <c r="BP386" s="138" t="str">
        <f aca="false">IF($BX386&lt;&gt;Constants!$B$6,"",IF(AND($AT386,$AY386,$AW386),Constants!$B$22,0))</f>
        <v/>
      </c>
      <c r="BQ386" s="138" t="str">
        <f aca="false">IF($BX386&lt;&gt;Constants!$B$6,"",IF($AT386,($AI386-Constants!$B$24)*Constants!$B$23,0))</f>
        <v/>
      </c>
      <c r="BR386" s="138" t="str">
        <f aca="false">IF($BX386&lt;&gt;Constants!$B$6,"",IF($AS386,0,Constants!$B$12)+IF($AR386,0,Constants!$B$13)+IF($AH386,0,Constants!$B$14))</f>
        <v/>
      </c>
      <c r="BS386" s="139" t="str">
        <f aca="false">IF($BX386&lt;&gt;Constants!$B$6,"",Constants!$B$16+SUM($BN386:$BR386))</f>
        <v/>
      </c>
      <c r="BT386" s="138" t="str">
        <f aca="false">IF($BX386&lt;&gt;Constants!$B$6,"",$BN386)</f>
        <v/>
      </c>
      <c r="BU386" s="138" t="str">
        <f aca="false">IF($BX386&lt;&gt;Constants!$B$6,"",$BO386)</f>
        <v/>
      </c>
      <c r="BV386" s="140" t="str">
        <f aca="false">IF($BX386&lt;&gt;Constants!$B$6,"",IF($AT386,$AV386,""))</f>
        <v/>
      </c>
      <c r="BW386" s="135" t="str">
        <f aca="false">IF(ISBLANK($C386),"",IF(ISBLANK($D$7),$BW$5,IF(NOT(ISNUMBER($D$7)),$BW$6,"")))</f>
        <v/>
      </c>
      <c r="BX386" s="135" t="str">
        <f aca="false">IF(ISBLANK($C386),"",IF($BA386,Constants!$B$9,IF(COUNTA($E386:$AA386)=0,Constants!$B$8,IF(NOT($AG386),Constants!$B$7,IF(OR($BW386&lt;&gt;"",$BB386,$BM386),Constants!$B$10,Constants!$B$6)))))</f>
        <v/>
      </c>
      <c r="BY386" s="135" t="str">
        <f aca="false">IF(ISBLANK($C386),"",IF($BX386&lt;&gt;Constants!$B$6,$BX386,Constants!$B$11))</f>
        <v/>
      </c>
      <c r="BZ386" s="138" t="str">
        <f aca="false">IF($BX386&lt;&gt;Constants!$B$6,"",IF($BL386="-&gt;",$BS386,$BH386))</f>
        <v/>
      </c>
      <c r="CA386" s="138" t="str">
        <f aca="false">IF($BX386&lt;&gt;Constants!$B$6,"",IF($AF386,0,Constants!$B$15))</f>
        <v/>
      </c>
      <c r="CB386" s="138" t="str">
        <f aca="false">IF($BX386&lt;&gt;Constants!$B$6,"",((Constants!$B$25-$AZ386)-Constants!$B$25)/Constants!$B$26)</f>
        <v/>
      </c>
      <c r="CC386" s="138" t="str">
        <f aca="false">IF(ISBLANK($C386),"",IF($BX386&lt;&gt;Constants!$B$6,$BX386,SUM($BZ386:$CB386)))</f>
        <v/>
      </c>
      <c r="CD386" s="135" t="str">
        <f aca="false">IF(ISBLANK($C386),"",IF($BX386&lt;&gt;Constants!$B$6,$BX386,RANK($CC386,$CC$9:$CC$508,1)))</f>
        <v/>
      </c>
      <c r="CE386" s="138" t="str">
        <f aca="false">IF($BX386&lt;&gt;Constants!$B$6,"",IF($BL386="-&gt;",$BT386,$BI386))</f>
        <v/>
      </c>
      <c r="CF386" s="135" t="str">
        <f aca="false">IF(ISBLANK($C386),"",IF($BX386&lt;&gt;Constants!$B$6,$BX386,IF(ISNUMBER($CE386),RANK($CE386,$CE$9:$CE$508,1),COUNT($CE$9:$CE$508)+1)))</f>
        <v/>
      </c>
      <c r="CG386" s="138" t="str">
        <f aca="false">IF($BX386&lt;&gt;Constants!$B$6,"",IF($BL386="-&gt;",$BU386,$BJ386))</f>
        <v/>
      </c>
      <c r="CH386" s="135" t="str">
        <f aca="false">IF(ISBLANK($C386),"",IF($BX386&lt;&gt;Constants!$B$6,$BX386,IF(ISNUMBER($CG386),RANK($CG386,$CG$9:$CG$508,1),COUNT($CG$9:$CG$508)+1)))</f>
        <v/>
      </c>
      <c r="CI386" s="138" t="str">
        <f aca="false">IF($BX386&lt;&gt;Constants!$B$6,"",IF($BL386="-&gt;",$BV386,$BK386))</f>
        <v/>
      </c>
      <c r="CJ386" s="135" t="str">
        <f aca="false">IF(ISBLANK($C386),"",IF($BX386&lt;&gt;Constants!$B$6,$BX386,IF(ISNUMBER($CI386),RANK($CI386,$CI$9:$CI$508,1),COUNT($CI$9:$CI$508)+1)))</f>
        <v/>
      </c>
      <c r="CK386" s="138" t="str">
        <f aca="false">IF($BX386&lt;&gt;Constants!$B$6,"",$AI386)</f>
        <v/>
      </c>
      <c r="CL386" s="135" t="str">
        <f aca="false">IF(ISBLANK($C386),"",IF($BX386&lt;&gt;Constants!$B$6,$BX386,IF(ISNUMBER($CK386),RANK($CK386,$CK$9:$CK$508,1),COUNT($CK$9:$CK$508)+1)))</f>
        <v/>
      </c>
      <c r="CM386" s="135" t="str">
        <f aca="false">IF(ISBLANK($C386),"",IF($BX386&lt;&gt;Constants!$B$6,$BX386,COUNTIFS($CD$9:$CD$508,"&lt;"&amp;$CD386)+COUNTIFS($CD$9:$CD$508,$CD386,$CF$9:$CF$508,"&lt;"&amp;$CF386)+COUNTIFS($CD$9:$CD$508,$CD386,$CF$9:$CF$508,$CF386,$CH$9:$CH$508,"&lt;"&amp;$CH386)+COUNTIFS($CD$9:$CD$508,$CD386,$CF$9:$CF$508,$CF386,$CH$9:$CH$508,$CH386,$CJ$9:$CJ$508,"&lt;"&amp;$CJ386)+COUNTIFS($CD$9:$CD$508,$CD386,$CF$9:$CF$508,$CF386,$CH$9:$CH$508,$CH386,$CJ$9:$CJ$508,$CJ386,$CL$9:$CL$508,"&lt;"&amp;$CL386)+1))</f>
        <v/>
      </c>
      <c r="CN386" s="135" t="str">
        <f aca="false">IF(ISBLANK($C386),"",IF($BX386&lt;&gt;Constants!$B$6,$BX386,$CD386-$CM386))</f>
        <v/>
      </c>
      <c r="CO386" s="141"/>
      <c r="CP386" s="142"/>
      <c r="CQ386" s="143" t="str">
        <f aca="false">IF(ISBLANK($C386),"",IF($BX386=Constants!$B$10,$BW386,""))</f>
        <v/>
      </c>
      <c r="CR386" s="142" t="str">
        <f aca="false">IF(ISBLANK($C386),"",IF($BX386&lt;&gt;Constants!$B$6,"",IF($BL386="-&gt;",2,1)))</f>
        <v/>
      </c>
      <c r="CS386" s="144" t="str">
        <f aca="false">IF(ISBLANK($C386),"",IF($BX386&lt;&gt;Constants!$B$6,"",IF($BL386="-&gt;",$BN386,$BC386)))</f>
        <v/>
      </c>
      <c r="CT386" s="144" t="str">
        <f aca="false">IF(ISBLANK($C386),"",IF($BX386&lt;&gt;Constants!$B$6,"",IF($BL386="-&gt;",$BO386,$BD386)))</f>
        <v/>
      </c>
      <c r="CU386" s="144" t="str">
        <f aca="false">IF(ISBLANK($C386),"",IF($BX386&lt;&gt;Constants!$B$6,"",IF($BL386="-&gt;",$BP386+$BQ386,$BE386+$BF386)+$CB386))</f>
        <v/>
      </c>
      <c r="CV386" s="144" t="str">
        <f aca="false">IF(ISBLANK($C386),"",IF($BX386&lt;&gt;Constants!$B$6,"",IF($BL386="-&gt;",$BR386,$BG386)+$CA386))</f>
        <v/>
      </c>
      <c r="CW386" s="145" t="str">
        <f aca="false">IF(ISBLANK($C386),"",IF($BX386&lt;&gt;Constants!$B$6,$BX386,$CC386))</f>
        <v/>
      </c>
      <c r="CX386" s="146" t="str">
        <f aca="false">IF(ISBLANK($C386),"",$BY386)</f>
        <v/>
      </c>
      <c r="CY386" s="147" t="str">
        <f aca="false">IF(ISBLANK($C386),"",$CN386)</f>
        <v/>
      </c>
      <c r="CZ386" s="147" t="str">
        <f aca="false">IF(ISBLANK($C386),"",$CM386)</f>
        <v/>
      </c>
      <c r="DA386" s="148" t="str">
        <f aca="false">IF(ISBLANK($C386),"",IFERROR(_xlfn.SWITCH($CZ386,Constants!$B$9,COUNTA($C$9:$C$508)+2,Constants!$B$8,COUNTA($C$9:$C$508)+1,Constants!$B$7,COUNTA($C$9:$C$508)),$CZ386))</f>
        <v/>
      </c>
      <c r="DB386" s="9"/>
      <c r="DC386" s="149" t="n">
        <f aca="false">IF(OR(ISNUMBER($CZ386),$CZ386=Constants!$B$9,$CZ386=Constants!$B$7,$CZ386=Constants!$B$8),1,0)</f>
        <v>0</v>
      </c>
      <c r="DD386" s="149" t="n">
        <v>378</v>
      </c>
      <c r="DE386" s="149" t="str">
        <f aca="false">IF(ISBLANK($C386),"",IF(ISNUMBER($DA386),$DA386+ROW($B386)/1000,""))</f>
        <v/>
      </c>
      <c r="DF386" s="149" t="str">
        <f aca="false">IF(ISNUMBER($DE386),RANK($DE386,$DE$9:$DE$508,1),"")</f>
        <v/>
      </c>
      <c r="DG386" s="149" t="str">
        <f aca="false">IF(ISBLANK($C386),"",$B386)</f>
        <v/>
      </c>
      <c r="DH386" s="149" t="str">
        <f aca="false">IF(ISBLANK($C386),"",$C386)</f>
        <v/>
      </c>
      <c r="DI386" s="149" t="str">
        <f aca="false">IF(ISBLANK($C386),"",$D386)</f>
        <v/>
      </c>
      <c r="DJ386" s="150" t="str">
        <f aca="false">$CX386</f>
        <v/>
      </c>
      <c r="DK386" s="151" t="str">
        <f aca="false">$CW386</f>
        <v/>
      </c>
      <c r="DL386" s="149" t="str">
        <f aca="false">IF(ISBLANK($C386),"",$CZ386)</f>
        <v/>
      </c>
      <c r="DM386" s="152" t="str">
        <f aca="false">IF($DD386&gt;$DC$8,"",VLOOKUP($DD386,$DF$9:$DL$508,7,FALSE()))</f>
        <v/>
      </c>
      <c r="DN386" s="153" t="str">
        <f aca="false">IF($DD386&gt;$DC$8,"",VLOOKUP($DD386,$DF$9:$DL$508,2,FALSE()))</f>
        <v/>
      </c>
      <c r="DO386" s="153" t="str">
        <f aca="false">IF($DD386&gt;$DC$8,"",VLOOKUP($DD386,$DF$9:$DL$508,3,FALSE()))</f>
        <v/>
      </c>
      <c r="DP386" s="153" t="str">
        <f aca="false">IF($DD386&gt;$DC$8,"",VLOOKUP($DD386,$DF$9:$DL$508,4,FALSE()))</f>
        <v/>
      </c>
      <c r="DQ386" s="153" t="str">
        <f aca="false">IF($DD386&gt;$DC$8,"",VLOOKUP($DD386,$DF$9:$DL$508,5,FALSE()))</f>
        <v/>
      </c>
      <c r="DR386" s="154" t="str">
        <f aca="false">IF($DD386&gt;$DC$8,"",VLOOKUP($DD386,$DF$9:$DL$508,6,FALSE()))</f>
        <v/>
      </c>
      <c r="DS386" s="76"/>
    </row>
    <row r="387" customFormat="false" ht="15.75" hidden="false" customHeight="false" outlineLevel="0" collapsed="false">
      <c r="A387" s="9"/>
      <c r="B387" s="78"/>
      <c r="C387" s="79"/>
      <c r="D387" s="170"/>
      <c r="E387" s="178"/>
      <c r="F387" s="172"/>
      <c r="G387" s="173"/>
      <c r="H387" s="173"/>
      <c r="I387" s="179"/>
      <c r="J387" s="176"/>
      <c r="K387" s="86"/>
      <c r="L387" s="87"/>
      <c r="M387" s="88"/>
      <c r="N387" s="176"/>
      <c r="O387" s="176"/>
      <c r="P387" s="178"/>
      <c r="Q387" s="176"/>
      <c r="R387" s="176"/>
      <c r="S387" s="86"/>
      <c r="T387" s="88"/>
      <c r="U387" s="88"/>
      <c r="V387" s="176"/>
      <c r="W387" s="176"/>
      <c r="X387" s="178"/>
      <c r="Y387" s="176"/>
      <c r="Z387" s="177"/>
      <c r="AA387" s="176"/>
      <c r="AB387" s="92"/>
      <c r="AC387" s="93"/>
      <c r="AD387" s="93"/>
      <c r="AE387" s="93"/>
      <c r="AF387" s="93" t="str">
        <f aca="false">IF(ISBLANK($C387),"",IF(E387=Constants!$B$2,TRUE(),IF(E387=Constants!$B$3,FALSE(),TRUE())))</f>
        <v/>
      </c>
      <c r="AG387" s="93" t="str">
        <f aca="false">IF(ISBLANK($C387),"",IF(F387=Constants!$B$2,TRUE(),IF(F387=Constants!$B$3,FALSE(),TRUE())))</f>
        <v/>
      </c>
      <c r="AH387" s="93" t="str">
        <f aca="false">IF(ISBLANK($C387),"",IF(G387=Constants!$B$2,TRUE(),IF(G387=Constants!$B$3,FALSE(),TRUE())))</f>
        <v/>
      </c>
      <c r="AI387" s="93" t="str">
        <f aca="false">IF(ISBLANK($C387),"",IF(AND(ISNUMBER(H387),H387&gt;=0),H387,Constants!$B$24))</f>
        <v/>
      </c>
      <c r="AJ387" s="93" t="str">
        <f aca="false">IF(ISBLANK($C387),"",IF(I387=Constants!$B$2,TRUE(),IF(I387=Constants!$B$3,FALSE(),TRUE())))</f>
        <v/>
      </c>
      <c r="AK387" s="93" t="str">
        <f aca="false">IF(ISBLANK($C387),"",IF(J387=Constants!$B$2,TRUE(),IF(J387=Constants!$B$3,FALSE(),TRUE())))</f>
        <v/>
      </c>
      <c r="AL387" s="93" t="str">
        <f aca="false">IF(ISBLANK($C387),"",IF(K387=Constants!$B$4,TRUE(),IF(K387=Constants!$B$5,FALSE(),COUNTA(L387:P387)&gt;0)))</f>
        <v/>
      </c>
      <c r="AM387" s="95" t="str">
        <f aca="false">IF(ISBLANK($C387),"",IF(ISNUMBER(L387),IF(L387&gt;=0,L387,""),""))</f>
        <v/>
      </c>
      <c r="AN387" s="94" t="str">
        <f aca="false">IF(ISBLANK($C387),"",IF(ISNUMBER(M387),IF(M387&gt;=0,M387,""),""))</f>
        <v/>
      </c>
      <c r="AO387" s="94" t="str">
        <f aca="false">IF(ISBLANK($C387),"",IF(N387=Constants!$B$2,TRUE(),IF(N387=Constants!$B$3,FALSE(),TRUE())))</f>
        <v/>
      </c>
      <c r="AP387" s="93" t="str">
        <f aca="false">IF(ISBLANK($C387),"",IF(ISNUMBER(O387),IF(O387&gt;=0,O387,""),""))</f>
        <v/>
      </c>
      <c r="AQ387" s="93" t="str">
        <f aca="false">IF(ISBLANK($C387),"",IF(P387=Constants!$B$2,TRUE(),IF(P387=Constants!$B$3,FALSE(),FALSE())))</f>
        <v/>
      </c>
      <c r="AR387" s="93" t="str">
        <f aca="false">IF(ISBLANK($C387),"",IF(Q387=Constants!$B$2,TRUE(),IF(Q387=Constants!$B$3,FALSE(),TRUE())))</f>
        <v/>
      </c>
      <c r="AS387" s="93" t="str">
        <f aca="false">IF(ISBLANK($C387),"",IF(R387=Constants!$B$2,TRUE(),IF(R387=Constants!$B$3,FALSE(),TRUE())))</f>
        <v/>
      </c>
      <c r="AT387" s="93" t="str">
        <f aca="false">IF(ISBLANK($C387),"",IF(S387=Constants!$B$4,TRUE(),IF(S387=Constants!$B$5,FALSE(),COUNTA(T387:X387)&gt;0)))</f>
        <v/>
      </c>
      <c r="AU387" s="95" t="str">
        <f aca="false">IF(ISBLANK($C387),"",IF(ISNUMBER(T387),IF(T387&gt;=0,T387,""),""))</f>
        <v/>
      </c>
      <c r="AV387" s="94" t="str">
        <f aca="false">IF(ISBLANK($C387),"",IF(ISNUMBER(U387),IF(U387&gt;=0,U387,""),""))</f>
        <v/>
      </c>
      <c r="AW387" s="94" t="str">
        <f aca="false">IF(ISBLANK($C387),"",IF(V387=Constants!$B$2,TRUE(),IF(V387=Constants!$B$3,FALSE(),TRUE())))</f>
        <v/>
      </c>
      <c r="AX387" s="93" t="str">
        <f aca="false">IF(ISBLANK($C387),"",IF(ISNUMBER(W387),IF(W387&gt;=0,W387,""),""))</f>
        <v/>
      </c>
      <c r="AY387" s="93" t="str">
        <f aca="false">IF(ISBLANK($C387),"",IF(X387=Constants!$B$2,TRUE(),IF(X387=Constants!$B$3,FALSE(),FALSE())))</f>
        <v/>
      </c>
      <c r="AZ387" s="93" t="str">
        <f aca="false">IF(ISBLANK($C387),"",MIN(Constants!$B$25,MAX(0,IF(ISNUMBER(Y387),Y387*60,0)+IF(ISNUMBER(Z387),Z387,0))))</f>
        <v/>
      </c>
      <c r="BA387" s="93" t="str">
        <f aca="false">IF(ISBLANK($C387),"",IF(AA387=Constants!$B$2,TRUE(),IF(AA387=Constants!$B$3,FALSE(),FALSE())))</f>
        <v/>
      </c>
      <c r="BB387" s="92" t="str">
        <f aca="false">IF(ISBLANK($C387),"",AND($AL387,OR($AM387="",$AN387="",AND($AO387,$AP387=""))))</f>
        <v/>
      </c>
      <c r="BC387" s="94" t="str">
        <f aca="false">IF($BX387&lt;&gt;Constants!$B$6,"",IF($AL387,Constants!$B$17*$AN387+Constants!$B$18*IF($AO387,$AP387,Constants!$B$19),Constants!$B$20))</f>
        <v/>
      </c>
      <c r="BD387" s="97" t="str">
        <f aca="false">IF($BX387&lt;&gt;Constants!$B$6,"",Constants!$B$21*ABS($AD$9-IF($AL387,$AM387,0)))</f>
        <v/>
      </c>
      <c r="BE387" s="97" t="str">
        <f aca="false">IF($BX387&lt;&gt;Constants!$B$6,"",IF(AND($AL387,$AQ387,$AO387),Constants!$B$22,0))</f>
        <v/>
      </c>
      <c r="BF387" s="97" t="str">
        <f aca="false">IF($BX387&lt;&gt;Constants!$B$6,"",IF($AL387,($AI387-Constants!$B$24)*Constants!$B$23,0))</f>
        <v/>
      </c>
      <c r="BG387" s="97" t="str">
        <f aca="false">IF($BX387&lt;&gt;Constants!$B$6,"",IF($AK387,0,Constants!$B$12)+IF($AJ387,0,Constants!$B$13)+IF($AH387,0,Constants!$B$14))</f>
        <v/>
      </c>
      <c r="BH387" s="98" t="str">
        <f aca="false">IF($BX387&lt;&gt;Constants!$B$6,"",Constants!$B$16+SUM($BC387:$BG387))</f>
        <v/>
      </c>
      <c r="BI387" s="97" t="str">
        <f aca="false">IF($BX387&lt;&gt;Constants!$B$6,"",$BC387)</f>
        <v/>
      </c>
      <c r="BJ387" s="97" t="str">
        <f aca="false">IF($BX387&lt;&gt;Constants!$B$6,"",$BD387)</f>
        <v/>
      </c>
      <c r="BK387" s="99" t="str">
        <f aca="false">IF($BX387&lt;&gt;Constants!$B$6,"",IF($AL387,$AN387,""))</f>
        <v/>
      </c>
      <c r="BL387" s="93" t="str">
        <f aca="false">IF($BX387&lt;&gt;Constants!$B$6,"",IF(OR($BS387&lt;$BH387,AND($BS387=$BH387,OR($BT387&lt;$BI387,AND($BT387=$BI387,OR($BU387&lt;$BJ387,AND($BU387=$BJ387,AND(ISNUMBER($BV387),OR(NOT(ISNUMBER($BK387)),$BV387&lt;$BK387)))))))),"-&gt;","&lt;-"))</f>
        <v/>
      </c>
      <c r="BM387" s="92" t="str">
        <f aca="false">IF(ISBLANK($C387),"",AND($AT387,OR($AU387="",$AV387="",AND($AW387,$AX387=""))))</f>
        <v/>
      </c>
      <c r="BN387" s="94" t="str">
        <f aca="false">IF($BX387&lt;&gt;Constants!$B$6,"",IF($AT387,Constants!$B$17*$AV387+Constants!$B$18*IF($AW387,$AX387,Constants!$B$19),Constants!$B$20))</f>
        <v/>
      </c>
      <c r="BO387" s="97" t="str">
        <f aca="false">IF($BX387&lt;&gt;Constants!$B$6,"",Constants!$B$21*ABS($AD$9-IF($AT387,$AU387,0)))</f>
        <v/>
      </c>
      <c r="BP387" s="97" t="str">
        <f aca="false">IF($BX387&lt;&gt;Constants!$B$6,"",IF(AND($AT387,$AY387,$AW387),Constants!$B$22,0))</f>
        <v/>
      </c>
      <c r="BQ387" s="97" t="str">
        <f aca="false">IF($BX387&lt;&gt;Constants!$B$6,"",IF($AT387,($AI387-Constants!$B$24)*Constants!$B$23,0))</f>
        <v/>
      </c>
      <c r="BR387" s="97" t="str">
        <f aca="false">IF($BX387&lt;&gt;Constants!$B$6,"",IF($AS387,0,Constants!$B$12)+IF($AR387,0,Constants!$B$13)+IF($AH387,0,Constants!$B$14))</f>
        <v/>
      </c>
      <c r="BS387" s="98" t="str">
        <f aca="false">IF($BX387&lt;&gt;Constants!$B$6,"",Constants!$B$16+SUM($BN387:$BR387))</f>
        <v/>
      </c>
      <c r="BT387" s="97" t="str">
        <f aca="false">IF($BX387&lt;&gt;Constants!$B$6,"",$BN387)</f>
        <v/>
      </c>
      <c r="BU387" s="97" t="str">
        <f aca="false">IF($BX387&lt;&gt;Constants!$B$6,"",$BO387)</f>
        <v/>
      </c>
      <c r="BV387" s="99" t="str">
        <f aca="false">IF($BX387&lt;&gt;Constants!$B$6,"",IF($AT387,$AV387,""))</f>
        <v/>
      </c>
      <c r="BW387" s="93" t="str">
        <f aca="false">IF(ISBLANK($C387),"",IF(ISBLANK($D$7),$BW$5,IF(NOT(ISNUMBER($D$7)),$BW$6,"")))</f>
        <v/>
      </c>
      <c r="BX387" s="93" t="str">
        <f aca="false">IF(ISBLANK($C387),"",IF($BA387,Constants!$B$9,IF(COUNTA($E387:$AA387)=0,Constants!$B$8,IF(NOT($AG387),Constants!$B$7,IF(OR($BW387&lt;&gt;"",$BB387,$BM387),Constants!$B$10,Constants!$B$6)))))</f>
        <v/>
      </c>
      <c r="BY387" s="93" t="str">
        <f aca="false">IF(ISBLANK($C387),"",IF($BX387&lt;&gt;Constants!$B$6,$BX387,Constants!$B$11))</f>
        <v/>
      </c>
      <c r="BZ387" s="97" t="str">
        <f aca="false">IF($BX387&lt;&gt;Constants!$B$6,"",IF($BL387="-&gt;",$BS387,$BH387))</f>
        <v/>
      </c>
      <c r="CA387" s="97" t="str">
        <f aca="false">IF($BX387&lt;&gt;Constants!$B$6,"",IF($AF387,0,Constants!$B$15))</f>
        <v/>
      </c>
      <c r="CB387" s="97" t="str">
        <f aca="false">IF($BX387&lt;&gt;Constants!$B$6,"",((Constants!$B$25-$AZ387)-Constants!$B$25)/Constants!$B$26)</f>
        <v/>
      </c>
      <c r="CC387" s="97" t="str">
        <f aca="false">IF(ISBLANK($C387),"",IF($BX387&lt;&gt;Constants!$B$6,$BX387,SUM($BZ387:$CB387)))</f>
        <v/>
      </c>
      <c r="CD387" s="93" t="str">
        <f aca="false">IF(ISBLANK($C387),"",IF($BX387&lt;&gt;Constants!$B$6,$BX387,RANK($CC387,$CC$9:$CC$508,1)))</f>
        <v/>
      </c>
      <c r="CE387" s="97" t="str">
        <f aca="false">IF($BX387&lt;&gt;Constants!$B$6,"",IF($BL387="-&gt;",$BT387,$BI387))</f>
        <v/>
      </c>
      <c r="CF387" s="93" t="str">
        <f aca="false">IF(ISBLANK($C387),"",IF($BX387&lt;&gt;Constants!$B$6,$BX387,IF(ISNUMBER($CE387),RANK($CE387,$CE$9:$CE$508,1),COUNT($CE$9:$CE$508)+1)))</f>
        <v/>
      </c>
      <c r="CG387" s="97" t="str">
        <f aca="false">IF($BX387&lt;&gt;Constants!$B$6,"",IF($BL387="-&gt;",$BU387,$BJ387))</f>
        <v/>
      </c>
      <c r="CH387" s="93" t="str">
        <f aca="false">IF(ISBLANK($C387),"",IF($BX387&lt;&gt;Constants!$B$6,$BX387,IF(ISNUMBER($CG387),RANK($CG387,$CG$9:$CG$508,1),COUNT($CG$9:$CG$508)+1)))</f>
        <v/>
      </c>
      <c r="CI387" s="97" t="str">
        <f aca="false">IF($BX387&lt;&gt;Constants!$B$6,"",IF($BL387="-&gt;",$BV387,$BK387))</f>
        <v/>
      </c>
      <c r="CJ387" s="93" t="str">
        <f aca="false">IF(ISBLANK($C387),"",IF($BX387&lt;&gt;Constants!$B$6,$BX387,IF(ISNUMBER($CI387),RANK($CI387,$CI$9:$CI$508,1),COUNT($CI$9:$CI$508)+1)))</f>
        <v/>
      </c>
      <c r="CK387" s="97" t="str">
        <f aca="false">IF($BX387&lt;&gt;Constants!$B$6,"",$AI387)</f>
        <v/>
      </c>
      <c r="CL387" s="93" t="str">
        <f aca="false">IF(ISBLANK($C387),"",IF($BX387&lt;&gt;Constants!$B$6,$BX387,IF(ISNUMBER($CK387),RANK($CK387,$CK$9:$CK$508,1),COUNT($CK$9:$CK$508)+1)))</f>
        <v/>
      </c>
      <c r="CM387" s="93" t="str">
        <f aca="false">IF(ISBLANK($C387),"",IF($BX387&lt;&gt;Constants!$B$6,$BX387,COUNTIFS($CD$9:$CD$508,"&lt;"&amp;$CD387)+COUNTIFS($CD$9:$CD$508,$CD387,$CF$9:$CF$508,"&lt;"&amp;$CF387)+COUNTIFS($CD$9:$CD$508,$CD387,$CF$9:$CF$508,$CF387,$CH$9:$CH$508,"&lt;"&amp;$CH387)+COUNTIFS($CD$9:$CD$508,$CD387,$CF$9:$CF$508,$CF387,$CH$9:$CH$508,$CH387,$CJ$9:$CJ$508,"&lt;"&amp;$CJ387)+COUNTIFS($CD$9:$CD$508,$CD387,$CF$9:$CF$508,$CF387,$CH$9:$CH$508,$CH387,$CJ$9:$CJ$508,$CJ387,$CL$9:$CL$508,"&lt;"&amp;$CL387)+1))</f>
        <v/>
      </c>
      <c r="CN387" s="93" t="str">
        <f aca="false">IF(ISBLANK($C387),"",IF($BX387&lt;&gt;Constants!$B$6,$BX387,$CD387-$CM387))</f>
        <v/>
      </c>
      <c r="CO387" s="100"/>
      <c r="CP387" s="101"/>
      <c r="CQ387" s="102" t="str">
        <f aca="false">IF(ISBLANK($C387),"",IF($BX387=Constants!$B$10,$BW387,""))</f>
        <v/>
      </c>
      <c r="CR387" s="101" t="str">
        <f aca="false">IF(ISBLANK($C387),"",IF($BX387&lt;&gt;Constants!$B$6,"",IF($BL387="-&gt;",2,1)))</f>
        <v/>
      </c>
      <c r="CS387" s="103" t="str">
        <f aca="false">IF(ISBLANK($C387),"",IF($BX387&lt;&gt;Constants!$B$6,"",IF($BL387="-&gt;",$BN387,$BC387)))</f>
        <v/>
      </c>
      <c r="CT387" s="103" t="str">
        <f aca="false">IF(ISBLANK($C387),"",IF($BX387&lt;&gt;Constants!$B$6,"",IF($BL387="-&gt;",$BO387,$BD387)))</f>
        <v/>
      </c>
      <c r="CU387" s="103" t="str">
        <f aca="false">IF(ISBLANK($C387),"",IF($BX387&lt;&gt;Constants!$B$6,"",IF($BL387="-&gt;",$BP387+$BQ387,$BE387+$BF387)+$CB387))</f>
        <v/>
      </c>
      <c r="CV387" s="103" t="str">
        <f aca="false">IF(ISBLANK($C387),"",IF($BX387&lt;&gt;Constants!$B$6,"",IF($BL387="-&gt;",$BR387,$BG387)+$CA387))</f>
        <v/>
      </c>
      <c r="CW387" s="104" t="str">
        <f aca="false">IF(ISBLANK($C387),"",IF($BX387&lt;&gt;Constants!$B$6,$BX387,$CC387))</f>
        <v/>
      </c>
      <c r="CX387" s="105" t="str">
        <f aca="false">IF(ISBLANK($C387),"",$BY387)</f>
        <v/>
      </c>
      <c r="CY387" s="106" t="str">
        <f aca="false">IF(ISBLANK($C387),"",$CN387)</f>
        <v/>
      </c>
      <c r="CZ387" s="106" t="str">
        <f aca="false">IF(ISBLANK($C387),"",$CM387)</f>
        <v/>
      </c>
      <c r="DA387" s="107" t="str">
        <f aca="false">IF(ISBLANK($C387),"",IFERROR(_xlfn.SWITCH($CZ387,Constants!$B$9,COUNTA($C$9:$C$508)+2,Constants!$B$8,COUNTA($C$9:$C$508)+1,Constants!$B$7,COUNTA($C$9:$C$508)),$CZ387))</f>
        <v/>
      </c>
      <c r="DB387" s="9"/>
      <c r="DC387" s="108" t="n">
        <f aca="false">IF(OR(ISNUMBER($CZ387),$CZ387=Constants!$B$9,$CZ387=Constants!$B$7,$CZ387=Constants!$B$8),1,0)</f>
        <v>0</v>
      </c>
      <c r="DD387" s="108" t="n">
        <v>379</v>
      </c>
      <c r="DE387" s="108" t="str">
        <f aca="false">IF(ISBLANK($C387),"",IF(ISNUMBER($DA387),$DA387+ROW($B387)/1000,""))</f>
        <v/>
      </c>
      <c r="DF387" s="108" t="str">
        <f aca="false">IF(ISNUMBER($DE387),RANK($DE387,$DE$9:$DE$508,1),"")</f>
        <v/>
      </c>
      <c r="DG387" s="108" t="str">
        <f aca="false">IF(ISBLANK($C387),"",$B387)</f>
        <v/>
      </c>
      <c r="DH387" s="108" t="str">
        <f aca="false">IF(ISBLANK($C387),"",$C387)</f>
        <v/>
      </c>
      <c r="DI387" s="108" t="str">
        <f aca="false">IF(ISBLANK($C387),"",$D387)</f>
        <v/>
      </c>
      <c r="DJ387" s="109" t="str">
        <f aca="false">$CX387</f>
        <v/>
      </c>
      <c r="DK387" s="110" t="str">
        <f aca="false">$CW387</f>
        <v/>
      </c>
      <c r="DL387" s="108" t="str">
        <f aca="false">IF(ISBLANK($C387),"",$CZ387)</f>
        <v/>
      </c>
      <c r="DM387" s="111" t="str">
        <f aca="false">IF($DD387&gt;$DC$8,"",VLOOKUP($DD387,$DF$9:$DL$508,7,FALSE()))</f>
        <v/>
      </c>
      <c r="DN387" s="112" t="str">
        <f aca="false">IF($DD387&gt;$DC$8,"",VLOOKUP($DD387,$DF$9:$DL$508,2,FALSE()))</f>
        <v/>
      </c>
      <c r="DO387" s="112" t="str">
        <f aca="false">IF($DD387&gt;$DC$8,"",VLOOKUP($DD387,$DF$9:$DL$508,3,FALSE()))</f>
        <v/>
      </c>
      <c r="DP387" s="112" t="str">
        <f aca="false">IF($DD387&gt;$DC$8,"",VLOOKUP($DD387,$DF$9:$DL$508,4,FALSE()))</f>
        <v/>
      </c>
      <c r="DQ387" s="112" t="str">
        <f aca="false">IF($DD387&gt;$DC$8,"",VLOOKUP($DD387,$DF$9:$DL$508,5,FALSE()))</f>
        <v/>
      </c>
      <c r="DR387" s="113" t="str">
        <f aca="false">IF($DD387&gt;$DC$8,"",VLOOKUP($DD387,$DF$9:$DL$508,6,FALSE()))</f>
        <v/>
      </c>
      <c r="DS387" s="76"/>
    </row>
    <row r="388" customFormat="false" ht="15.75" hidden="false" customHeight="false" outlineLevel="0" collapsed="false">
      <c r="A388" s="9"/>
      <c r="B388" s="78"/>
      <c r="C388" s="79"/>
      <c r="D388" s="170"/>
      <c r="E388" s="178"/>
      <c r="F388" s="172"/>
      <c r="G388" s="173"/>
      <c r="H388" s="173"/>
      <c r="I388" s="179"/>
      <c r="J388" s="176"/>
      <c r="K388" s="86"/>
      <c r="L388" s="87"/>
      <c r="M388" s="88"/>
      <c r="N388" s="176"/>
      <c r="O388" s="176"/>
      <c r="P388" s="178"/>
      <c r="Q388" s="176"/>
      <c r="R388" s="176"/>
      <c r="S388" s="86"/>
      <c r="T388" s="88"/>
      <c r="U388" s="88"/>
      <c r="V388" s="176"/>
      <c r="W388" s="176"/>
      <c r="X388" s="178"/>
      <c r="Y388" s="176"/>
      <c r="Z388" s="177"/>
      <c r="AA388" s="176"/>
      <c r="AB388" s="92"/>
      <c r="AC388" s="93"/>
      <c r="AD388" s="93"/>
      <c r="AE388" s="93"/>
      <c r="AF388" s="93" t="str">
        <f aca="false">IF(ISBLANK($C388),"",IF(E388=Constants!$B$2,TRUE(),IF(E388=Constants!$B$3,FALSE(),TRUE())))</f>
        <v/>
      </c>
      <c r="AG388" s="93" t="str">
        <f aca="false">IF(ISBLANK($C388),"",IF(F388=Constants!$B$2,TRUE(),IF(F388=Constants!$B$3,FALSE(),TRUE())))</f>
        <v/>
      </c>
      <c r="AH388" s="93" t="str">
        <f aca="false">IF(ISBLANK($C388),"",IF(G388=Constants!$B$2,TRUE(),IF(G388=Constants!$B$3,FALSE(),TRUE())))</f>
        <v/>
      </c>
      <c r="AI388" s="93" t="str">
        <f aca="false">IF(ISBLANK($C388),"",IF(AND(ISNUMBER(H388),H388&gt;=0),H388,Constants!$B$24))</f>
        <v/>
      </c>
      <c r="AJ388" s="93" t="str">
        <f aca="false">IF(ISBLANK($C388),"",IF(I388=Constants!$B$2,TRUE(),IF(I388=Constants!$B$3,FALSE(),TRUE())))</f>
        <v/>
      </c>
      <c r="AK388" s="93" t="str">
        <f aca="false">IF(ISBLANK($C388),"",IF(J388=Constants!$B$2,TRUE(),IF(J388=Constants!$B$3,FALSE(),TRUE())))</f>
        <v/>
      </c>
      <c r="AL388" s="93" t="str">
        <f aca="false">IF(ISBLANK($C388),"",IF(K388=Constants!$B$4,TRUE(),IF(K388=Constants!$B$5,FALSE(),COUNTA(L388:P388)&gt;0)))</f>
        <v/>
      </c>
      <c r="AM388" s="95" t="str">
        <f aca="false">IF(ISBLANK($C388),"",IF(ISNUMBER(L388),IF(L388&gt;=0,L388,""),""))</f>
        <v/>
      </c>
      <c r="AN388" s="94" t="str">
        <f aca="false">IF(ISBLANK($C388),"",IF(ISNUMBER(M388),IF(M388&gt;=0,M388,""),""))</f>
        <v/>
      </c>
      <c r="AO388" s="94" t="str">
        <f aca="false">IF(ISBLANK($C388),"",IF(N388=Constants!$B$2,TRUE(),IF(N388=Constants!$B$3,FALSE(),TRUE())))</f>
        <v/>
      </c>
      <c r="AP388" s="93" t="str">
        <f aca="false">IF(ISBLANK($C388),"",IF(ISNUMBER(O388),IF(O388&gt;=0,O388,""),""))</f>
        <v/>
      </c>
      <c r="AQ388" s="93" t="str">
        <f aca="false">IF(ISBLANK($C388),"",IF(P388=Constants!$B$2,TRUE(),IF(P388=Constants!$B$3,FALSE(),FALSE())))</f>
        <v/>
      </c>
      <c r="AR388" s="93" t="str">
        <f aca="false">IF(ISBLANK($C388),"",IF(Q388=Constants!$B$2,TRUE(),IF(Q388=Constants!$B$3,FALSE(),TRUE())))</f>
        <v/>
      </c>
      <c r="AS388" s="93" t="str">
        <f aca="false">IF(ISBLANK($C388),"",IF(R388=Constants!$B$2,TRUE(),IF(R388=Constants!$B$3,FALSE(),TRUE())))</f>
        <v/>
      </c>
      <c r="AT388" s="93" t="str">
        <f aca="false">IF(ISBLANK($C388),"",IF(S388=Constants!$B$4,TRUE(),IF(S388=Constants!$B$5,FALSE(),COUNTA(T388:X388)&gt;0)))</f>
        <v/>
      </c>
      <c r="AU388" s="95" t="str">
        <f aca="false">IF(ISBLANK($C388),"",IF(ISNUMBER(T388),IF(T388&gt;=0,T388,""),""))</f>
        <v/>
      </c>
      <c r="AV388" s="94" t="str">
        <f aca="false">IF(ISBLANK($C388),"",IF(ISNUMBER(U388),IF(U388&gt;=0,U388,""),""))</f>
        <v/>
      </c>
      <c r="AW388" s="94" t="str">
        <f aca="false">IF(ISBLANK($C388),"",IF(V388=Constants!$B$2,TRUE(),IF(V388=Constants!$B$3,FALSE(),TRUE())))</f>
        <v/>
      </c>
      <c r="AX388" s="93" t="str">
        <f aca="false">IF(ISBLANK($C388),"",IF(ISNUMBER(W388),IF(W388&gt;=0,W388,""),""))</f>
        <v/>
      </c>
      <c r="AY388" s="93" t="str">
        <f aca="false">IF(ISBLANK($C388),"",IF(X388=Constants!$B$2,TRUE(),IF(X388=Constants!$B$3,FALSE(),FALSE())))</f>
        <v/>
      </c>
      <c r="AZ388" s="93" t="str">
        <f aca="false">IF(ISBLANK($C388),"",MIN(Constants!$B$25,MAX(0,IF(ISNUMBER(Y388),Y388*60,0)+IF(ISNUMBER(Z388),Z388,0))))</f>
        <v/>
      </c>
      <c r="BA388" s="93" t="str">
        <f aca="false">IF(ISBLANK($C388),"",IF(AA388=Constants!$B$2,TRUE(),IF(AA388=Constants!$B$3,FALSE(),FALSE())))</f>
        <v/>
      </c>
      <c r="BB388" s="92" t="str">
        <f aca="false">IF(ISBLANK($C388),"",AND($AL388,OR($AM388="",$AN388="",AND($AO388,$AP388=""))))</f>
        <v/>
      </c>
      <c r="BC388" s="94" t="str">
        <f aca="false">IF($BX388&lt;&gt;Constants!$B$6,"",IF($AL388,Constants!$B$17*$AN388+Constants!$B$18*IF($AO388,$AP388,Constants!$B$19),Constants!$B$20))</f>
        <v/>
      </c>
      <c r="BD388" s="97" t="str">
        <f aca="false">IF($BX388&lt;&gt;Constants!$B$6,"",Constants!$B$21*ABS($AD$9-IF($AL388,$AM388,0)))</f>
        <v/>
      </c>
      <c r="BE388" s="97" t="str">
        <f aca="false">IF($BX388&lt;&gt;Constants!$B$6,"",IF(AND($AL388,$AQ388,$AO388),Constants!$B$22,0))</f>
        <v/>
      </c>
      <c r="BF388" s="97" t="str">
        <f aca="false">IF($BX388&lt;&gt;Constants!$B$6,"",IF($AL388,($AI388-Constants!$B$24)*Constants!$B$23,0))</f>
        <v/>
      </c>
      <c r="BG388" s="97" t="str">
        <f aca="false">IF($BX388&lt;&gt;Constants!$B$6,"",IF($AK388,0,Constants!$B$12)+IF($AJ388,0,Constants!$B$13)+IF($AH388,0,Constants!$B$14))</f>
        <v/>
      </c>
      <c r="BH388" s="98" t="str">
        <f aca="false">IF($BX388&lt;&gt;Constants!$B$6,"",Constants!$B$16+SUM($BC388:$BG388))</f>
        <v/>
      </c>
      <c r="BI388" s="97" t="str">
        <f aca="false">IF($BX388&lt;&gt;Constants!$B$6,"",$BC388)</f>
        <v/>
      </c>
      <c r="BJ388" s="97" t="str">
        <f aca="false">IF($BX388&lt;&gt;Constants!$B$6,"",$BD388)</f>
        <v/>
      </c>
      <c r="BK388" s="99" t="str">
        <f aca="false">IF($BX388&lt;&gt;Constants!$B$6,"",IF($AL388,$AN388,""))</f>
        <v/>
      </c>
      <c r="BL388" s="93" t="str">
        <f aca="false">IF($BX388&lt;&gt;Constants!$B$6,"",IF(OR($BS388&lt;$BH388,AND($BS388=$BH388,OR($BT388&lt;$BI388,AND($BT388=$BI388,OR($BU388&lt;$BJ388,AND($BU388=$BJ388,AND(ISNUMBER($BV388),OR(NOT(ISNUMBER($BK388)),$BV388&lt;$BK388)))))))),"-&gt;","&lt;-"))</f>
        <v/>
      </c>
      <c r="BM388" s="92" t="str">
        <f aca="false">IF(ISBLANK($C388),"",AND($AT388,OR($AU388="",$AV388="",AND($AW388,$AX388=""))))</f>
        <v/>
      </c>
      <c r="BN388" s="94" t="str">
        <f aca="false">IF($BX388&lt;&gt;Constants!$B$6,"",IF($AT388,Constants!$B$17*$AV388+Constants!$B$18*IF($AW388,$AX388,Constants!$B$19),Constants!$B$20))</f>
        <v/>
      </c>
      <c r="BO388" s="97" t="str">
        <f aca="false">IF($BX388&lt;&gt;Constants!$B$6,"",Constants!$B$21*ABS($AD$9-IF($AT388,$AU388,0)))</f>
        <v/>
      </c>
      <c r="BP388" s="97" t="str">
        <f aca="false">IF($BX388&lt;&gt;Constants!$B$6,"",IF(AND($AT388,$AY388,$AW388),Constants!$B$22,0))</f>
        <v/>
      </c>
      <c r="BQ388" s="97" t="str">
        <f aca="false">IF($BX388&lt;&gt;Constants!$B$6,"",IF($AT388,($AI388-Constants!$B$24)*Constants!$B$23,0))</f>
        <v/>
      </c>
      <c r="BR388" s="97" t="str">
        <f aca="false">IF($BX388&lt;&gt;Constants!$B$6,"",IF($AS388,0,Constants!$B$12)+IF($AR388,0,Constants!$B$13)+IF($AH388,0,Constants!$B$14))</f>
        <v/>
      </c>
      <c r="BS388" s="98" t="str">
        <f aca="false">IF($BX388&lt;&gt;Constants!$B$6,"",Constants!$B$16+SUM($BN388:$BR388))</f>
        <v/>
      </c>
      <c r="BT388" s="97" t="str">
        <f aca="false">IF($BX388&lt;&gt;Constants!$B$6,"",$BN388)</f>
        <v/>
      </c>
      <c r="BU388" s="97" t="str">
        <f aca="false">IF($BX388&lt;&gt;Constants!$B$6,"",$BO388)</f>
        <v/>
      </c>
      <c r="BV388" s="99" t="str">
        <f aca="false">IF($BX388&lt;&gt;Constants!$B$6,"",IF($AT388,$AV388,""))</f>
        <v/>
      </c>
      <c r="BW388" s="93" t="str">
        <f aca="false">IF(ISBLANK($C388),"",IF(ISBLANK($D$7),$BW$5,IF(NOT(ISNUMBER($D$7)),$BW$6,"")))</f>
        <v/>
      </c>
      <c r="BX388" s="93" t="str">
        <f aca="false">IF(ISBLANK($C388),"",IF($BA388,Constants!$B$9,IF(COUNTA($E388:$AA388)=0,Constants!$B$8,IF(NOT($AG388),Constants!$B$7,IF(OR($BW388&lt;&gt;"",$BB388,$BM388),Constants!$B$10,Constants!$B$6)))))</f>
        <v/>
      </c>
      <c r="BY388" s="93" t="str">
        <f aca="false">IF(ISBLANK($C388),"",IF($BX388&lt;&gt;Constants!$B$6,$BX388,Constants!$B$11))</f>
        <v/>
      </c>
      <c r="BZ388" s="97" t="str">
        <f aca="false">IF($BX388&lt;&gt;Constants!$B$6,"",IF($BL388="-&gt;",$BS388,$BH388))</f>
        <v/>
      </c>
      <c r="CA388" s="97" t="str">
        <f aca="false">IF($BX388&lt;&gt;Constants!$B$6,"",IF($AF388,0,Constants!$B$15))</f>
        <v/>
      </c>
      <c r="CB388" s="97" t="str">
        <f aca="false">IF($BX388&lt;&gt;Constants!$B$6,"",((Constants!$B$25-$AZ388)-Constants!$B$25)/Constants!$B$26)</f>
        <v/>
      </c>
      <c r="CC388" s="97" t="str">
        <f aca="false">IF(ISBLANK($C388),"",IF($BX388&lt;&gt;Constants!$B$6,$BX388,SUM($BZ388:$CB388)))</f>
        <v/>
      </c>
      <c r="CD388" s="93" t="str">
        <f aca="false">IF(ISBLANK($C388),"",IF($BX388&lt;&gt;Constants!$B$6,$BX388,RANK($CC388,$CC$9:$CC$508,1)))</f>
        <v/>
      </c>
      <c r="CE388" s="97" t="str">
        <f aca="false">IF($BX388&lt;&gt;Constants!$B$6,"",IF($BL388="-&gt;",$BT388,$BI388))</f>
        <v/>
      </c>
      <c r="CF388" s="93" t="str">
        <f aca="false">IF(ISBLANK($C388),"",IF($BX388&lt;&gt;Constants!$B$6,$BX388,IF(ISNUMBER($CE388),RANK($CE388,$CE$9:$CE$508,1),COUNT($CE$9:$CE$508)+1)))</f>
        <v/>
      </c>
      <c r="CG388" s="97" t="str">
        <f aca="false">IF($BX388&lt;&gt;Constants!$B$6,"",IF($BL388="-&gt;",$BU388,$BJ388))</f>
        <v/>
      </c>
      <c r="CH388" s="93" t="str">
        <f aca="false">IF(ISBLANK($C388),"",IF($BX388&lt;&gt;Constants!$B$6,$BX388,IF(ISNUMBER($CG388),RANK($CG388,$CG$9:$CG$508,1),COUNT($CG$9:$CG$508)+1)))</f>
        <v/>
      </c>
      <c r="CI388" s="97" t="str">
        <f aca="false">IF($BX388&lt;&gt;Constants!$B$6,"",IF($BL388="-&gt;",$BV388,$BK388))</f>
        <v/>
      </c>
      <c r="CJ388" s="93" t="str">
        <f aca="false">IF(ISBLANK($C388),"",IF($BX388&lt;&gt;Constants!$B$6,$BX388,IF(ISNUMBER($CI388),RANK($CI388,$CI$9:$CI$508,1),COUNT($CI$9:$CI$508)+1)))</f>
        <v/>
      </c>
      <c r="CK388" s="97" t="str">
        <f aca="false">IF($BX388&lt;&gt;Constants!$B$6,"",$AI388)</f>
        <v/>
      </c>
      <c r="CL388" s="93" t="str">
        <f aca="false">IF(ISBLANK($C388),"",IF($BX388&lt;&gt;Constants!$B$6,$BX388,IF(ISNUMBER($CK388),RANK($CK388,$CK$9:$CK$508,1),COUNT($CK$9:$CK$508)+1)))</f>
        <v/>
      </c>
      <c r="CM388" s="93" t="str">
        <f aca="false">IF(ISBLANK($C388),"",IF($BX388&lt;&gt;Constants!$B$6,$BX388,COUNTIFS($CD$9:$CD$508,"&lt;"&amp;$CD388)+COUNTIFS($CD$9:$CD$508,$CD388,$CF$9:$CF$508,"&lt;"&amp;$CF388)+COUNTIFS($CD$9:$CD$508,$CD388,$CF$9:$CF$508,$CF388,$CH$9:$CH$508,"&lt;"&amp;$CH388)+COUNTIFS($CD$9:$CD$508,$CD388,$CF$9:$CF$508,$CF388,$CH$9:$CH$508,$CH388,$CJ$9:$CJ$508,"&lt;"&amp;$CJ388)+COUNTIFS($CD$9:$CD$508,$CD388,$CF$9:$CF$508,$CF388,$CH$9:$CH$508,$CH388,$CJ$9:$CJ$508,$CJ388,$CL$9:$CL$508,"&lt;"&amp;$CL388)+1))</f>
        <v/>
      </c>
      <c r="CN388" s="93" t="str">
        <f aca="false">IF(ISBLANK($C388),"",IF($BX388&lt;&gt;Constants!$B$6,$BX388,$CD388-$CM388))</f>
        <v/>
      </c>
      <c r="CO388" s="100"/>
      <c r="CP388" s="101"/>
      <c r="CQ388" s="102" t="str">
        <f aca="false">IF(ISBLANK($C388),"",IF($BX388=Constants!$B$10,$BW388,""))</f>
        <v/>
      </c>
      <c r="CR388" s="101" t="str">
        <f aca="false">IF(ISBLANK($C388),"",IF($BX388&lt;&gt;Constants!$B$6,"",IF($BL388="-&gt;",2,1)))</f>
        <v/>
      </c>
      <c r="CS388" s="103" t="str">
        <f aca="false">IF(ISBLANK($C388),"",IF($BX388&lt;&gt;Constants!$B$6,"",IF($BL388="-&gt;",$BN388,$BC388)))</f>
        <v/>
      </c>
      <c r="CT388" s="103" t="str">
        <f aca="false">IF(ISBLANK($C388),"",IF($BX388&lt;&gt;Constants!$B$6,"",IF($BL388="-&gt;",$BO388,$BD388)))</f>
        <v/>
      </c>
      <c r="CU388" s="103" t="str">
        <f aca="false">IF(ISBLANK($C388),"",IF($BX388&lt;&gt;Constants!$B$6,"",IF($BL388="-&gt;",$BP388+$BQ388,$BE388+$BF388)+$CB388))</f>
        <v/>
      </c>
      <c r="CV388" s="103" t="str">
        <f aca="false">IF(ISBLANK($C388),"",IF($BX388&lt;&gt;Constants!$B$6,"",IF($BL388="-&gt;",$BR388,$BG388)+$CA388))</f>
        <v/>
      </c>
      <c r="CW388" s="104" t="str">
        <f aca="false">IF(ISBLANK($C388),"",IF($BX388&lt;&gt;Constants!$B$6,$BX388,$CC388))</f>
        <v/>
      </c>
      <c r="CX388" s="105" t="str">
        <f aca="false">IF(ISBLANK($C388),"",$BY388)</f>
        <v/>
      </c>
      <c r="CY388" s="106" t="str">
        <f aca="false">IF(ISBLANK($C388),"",$CN388)</f>
        <v/>
      </c>
      <c r="CZ388" s="106" t="str">
        <f aca="false">IF(ISBLANK($C388),"",$CM388)</f>
        <v/>
      </c>
      <c r="DA388" s="107" t="str">
        <f aca="false">IF(ISBLANK($C388),"",IFERROR(_xlfn.SWITCH($CZ388,Constants!$B$9,COUNTA($C$9:$C$508)+2,Constants!$B$8,COUNTA($C$9:$C$508)+1,Constants!$B$7,COUNTA($C$9:$C$508)),$CZ388))</f>
        <v/>
      </c>
      <c r="DB388" s="9"/>
      <c r="DC388" s="108" t="n">
        <f aca="false">IF(OR(ISNUMBER($CZ388),$CZ388=Constants!$B$9,$CZ388=Constants!$B$7,$CZ388=Constants!$B$8),1,0)</f>
        <v>0</v>
      </c>
      <c r="DD388" s="108" t="n">
        <v>380</v>
      </c>
      <c r="DE388" s="108" t="str">
        <f aca="false">IF(ISBLANK($C388),"",IF(ISNUMBER($DA388),$DA388+ROW($B388)/1000,""))</f>
        <v/>
      </c>
      <c r="DF388" s="108" t="str">
        <f aca="false">IF(ISNUMBER($DE388),RANK($DE388,$DE$9:$DE$508,1),"")</f>
        <v/>
      </c>
      <c r="DG388" s="108" t="str">
        <f aca="false">IF(ISBLANK($C388),"",$B388)</f>
        <v/>
      </c>
      <c r="DH388" s="108" t="str">
        <f aca="false">IF(ISBLANK($C388),"",$C388)</f>
        <v/>
      </c>
      <c r="DI388" s="108" t="str">
        <f aca="false">IF(ISBLANK($C388),"",$D388)</f>
        <v/>
      </c>
      <c r="DJ388" s="109" t="str">
        <f aca="false">$CX388</f>
        <v/>
      </c>
      <c r="DK388" s="110" t="str">
        <f aca="false">$CW388</f>
        <v/>
      </c>
      <c r="DL388" s="108" t="str">
        <f aca="false">IF(ISBLANK($C388),"",$CZ388)</f>
        <v/>
      </c>
      <c r="DM388" s="111" t="str">
        <f aca="false">IF($DD388&gt;$DC$8,"",VLOOKUP($DD388,$DF$9:$DL$508,7,FALSE()))</f>
        <v/>
      </c>
      <c r="DN388" s="112" t="str">
        <f aca="false">IF($DD388&gt;$DC$8,"",VLOOKUP($DD388,$DF$9:$DL$508,2,FALSE()))</f>
        <v/>
      </c>
      <c r="DO388" s="112" t="str">
        <f aca="false">IF($DD388&gt;$DC$8,"",VLOOKUP($DD388,$DF$9:$DL$508,3,FALSE()))</f>
        <v/>
      </c>
      <c r="DP388" s="112" t="str">
        <f aca="false">IF($DD388&gt;$DC$8,"",VLOOKUP($DD388,$DF$9:$DL$508,4,FALSE()))</f>
        <v/>
      </c>
      <c r="DQ388" s="112" t="str">
        <f aca="false">IF($DD388&gt;$DC$8,"",VLOOKUP($DD388,$DF$9:$DL$508,5,FALSE()))</f>
        <v/>
      </c>
      <c r="DR388" s="113" t="str">
        <f aca="false">IF($DD388&gt;$DC$8,"",VLOOKUP($DD388,$DF$9:$DL$508,6,FALSE()))</f>
        <v/>
      </c>
      <c r="DS388" s="76"/>
    </row>
    <row r="389" customFormat="false" ht="15.75" hidden="false" customHeight="false" outlineLevel="0" collapsed="false">
      <c r="A389" s="9"/>
      <c r="B389" s="78"/>
      <c r="C389" s="79"/>
      <c r="D389" s="170"/>
      <c r="E389" s="178"/>
      <c r="F389" s="172"/>
      <c r="G389" s="173"/>
      <c r="H389" s="173"/>
      <c r="I389" s="179"/>
      <c r="J389" s="176"/>
      <c r="K389" s="86"/>
      <c r="L389" s="87"/>
      <c r="M389" s="88"/>
      <c r="N389" s="176"/>
      <c r="O389" s="176"/>
      <c r="P389" s="178"/>
      <c r="Q389" s="176"/>
      <c r="R389" s="176"/>
      <c r="S389" s="86"/>
      <c r="T389" s="88"/>
      <c r="U389" s="88"/>
      <c r="V389" s="176"/>
      <c r="W389" s="176"/>
      <c r="X389" s="178"/>
      <c r="Y389" s="176"/>
      <c r="Z389" s="177"/>
      <c r="AA389" s="176"/>
      <c r="AB389" s="92"/>
      <c r="AC389" s="93"/>
      <c r="AD389" s="93"/>
      <c r="AE389" s="93"/>
      <c r="AF389" s="93" t="str">
        <f aca="false">IF(ISBLANK($C389),"",IF(E389=Constants!$B$2,TRUE(),IF(E389=Constants!$B$3,FALSE(),TRUE())))</f>
        <v/>
      </c>
      <c r="AG389" s="93" t="str">
        <f aca="false">IF(ISBLANK($C389),"",IF(F389=Constants!$B$2,TRUE(),IF(F389=Constants!$B$3,FALSE(),TRUE())))</f>
        <v/>
      </c>
      <c r="AH389" s="93" t="str">
        <f aca="false">IF(ISBLANK($C389),"",IF(G389=Constants!$B$2,TRUE(),IF(G389=Constants!$B$3,FALSE(),TRUE())))</f>
        <v/>
      </c>
      <c r="AI389" s="93" t="str">
        <f aca="false">IF(ISBLANK($C389),"",IF(AND(ISNUMBER(H389),H389&gt;=0),H389,Constants!$B$24))</f>
        <v/>
      </c>
      <c r="AJ389" s="93" t="str">
        <f aca="false">IF(ISBLANK($C389),"",IF(I389=Constants!$B$2,TRUE(),IF(I389=Constants!$B$3,FALSE(),TRUE())))</f>
        <v/>
      </c>
      <c r="AK389" s="93" t="str">
        <f aca="false">IF(ISBLANK($C389),"",IF(J389=Constants!$B$2,TRUE(),IF(J389=Constants!$B$3,FALSE(),TRUE())))</f>
        <v/>
      </c>
      <c r="AL389" s="93" t="str">
        <f aca="false">IF(ISBLANK($C389),"",IF(K389=Constants!$B$4,TRUE(),IF(K389=Constants!$B$5,FALSE(),COUNTA(L389:P389)&gt;0)))</f>
        <v/>
      </c>
      <c r="AM389" s="95" t="str">
        <f aca="false">IF(ISBLANK($C389),"",IF(ISNUMBER(L389),IF(L389&gt;=0,L389,""),""))</f>
        <v/>
      </c>
      <c r="AN389" s="94" t="str">
        <f aca="false">IF(ISBLANK($C389),"",IF(ISNUMBER(M389),IF(M389&gt;=0,M389,""),""))</f>
        <v/>
      </c>
      <c r="AO389" s="94" t="str">
        <f aca="false">IF(ISBLANK($C389),"",IF(N389=Constants!$B$2,TRUE(),IF(N389=Constants!$B$3,FALSE(),TRUE())))</f>
        <v/>
      </c>
      <c r="AP389" s="93" t="str">
        <f aca="false">IF(ISBLANK($C389),"",IF(ISNUMBER(O389),IF(O389&gt;=0,O389,""),""))</f>
        <v/>
      </c>
      <c r="AQ389" s="93" t="str">
        <f aca="false">IF(ISBLANK($C389),"",IF(P389=Constants!$B$2,TRUE(),IF(P389=Constants!$B$3,FALSE(),FALSE())))</f>
        <v/>
      </c>
      <c r="AR389" s="93" t="str">
        <f aca="false">IF(ISBLANK($C389),"",IF(Q389=Constants!$B$2,TRUE(),IF(Q389=Constants!$B$3,FALSE(),TRUE())))</f>
        <v/>
      </c>
      <c r="AS389" s="93" t="str">
        <f aca="false">IF(ISBLANK($C389),"",IF(R389=Constants!$B$2,TRUE(),IF(R389=Constants!$B$3,FALSE(),TRUE())))</f>
        <v/>
      </c>
      <c r="AT389" s="93" t="str">
        <f aca="false">IF(ISBLANK($C389),"",IF(S389=Constants!$B$4,TRUE(),IF(S389=Constants!$B$5,FALSE(),COUNTA(T389:X389)&gt;0)))</f>
        <v/>
      </c>
      <c r="AU389" s="95" t="str">
        <f aca="false">IF(ISBLANK($C389),"",IF(ISNUMBER(T389),IF(T389&gt;=0,T389,""),""))</f>
        <v/>
      </c>
      <c r="AV389" s="94" t="str">
        <f aca="false">IF(ISBLANK($C389),"",IF(ISNUMBER(U389),IF(U389&gt;=0,U389,""),""))</f>
        <v/>
      </c>
      <c r="AW389" s="94" t="str">
        <f aca="false">IF(ISBLANK($C389),"",IF(V389=Constants!$B$2,TRUE(),IF(V389=Constants!$B$3,FALSE(),TRUE())))</f>
        <v/>
      </c>
      <c r="AX389" s="93" t="str">
        <f aca="false">IF(ISBLANK($C389),"",IF(ISNUMBER(W389),IF(W389&gt;=0,W389,""),""))</f>
        <v/>
      </c>
      <c r="AY389" s="93" t="str">
        <f aca="false">IF(ISBLANK($C389),"",IF(X389=Constants!$B$2,TRUE(),IF(X389=Constants!$B$3,FALSE(),FALSE())))</f>
        <v/>
      </c>
      <c r="AZ389" s="93" t="str">
        <f aca="false">IF(ISBLANK($C389),"",MIN(Constants!$B$25,MAX(0,IF(ISNUMBER(Y389),Y389*60,0)+IF(ISNUMBER(Z389),Z389,0))))</f>
        <v/>
      </c>
      <c r="BA389" s="93" t="str">
        <f aca="false">IF(ISBLANK($C389),"",IF(AA389=Constants!$B$2,TRUE(),IF(AA389=Constants!$B$3,FALSE(),FALSE())))</f>
        <v/>
      </c>
      <c r="BB389" s="92" t="str">
        <f aca="false">IF(ISBLANK($C389),"",AND($AL389,OR($AM389="",$AN389="",AND($AO389,$AP389=""))))</f>
        <v/>
      </c>
      <c r="BC389" s="94" t="str">
        <f aca="false">IF($BX389&lt;&gt;Constants!$B$6,"",IF($AL389,Constants!$B$17*$AN389+Constants!$B$18*IF($AO389,$AP389,Constants!$B$19),Constants!$B$20))</f>
        <v/>
      </c>
      <c r="BD389" s="97" t="str">
        <f aca="false">IF($BX389&lt;&gt;Constants!$B$6,"",Constants!$B$21*ABS($AD$9-IF($AL389,$AM389,0)))</f>
        <v/>
      </c>
      <c r="BE389" s="97" t="str">
        <f aca="false">IF($BX389&lt;&gt;Constants!$B$6,"",IF(AND($AL389,$AQ389,$AO389),Constants!$B$22,0))</f>
        <v/>
      </c>
      <c r="BF389" s="97" t="str">
        <f aca="false">IF($BX389&lt;&gt;Constants!$B$6,"",IF($AL389,($AI389-Constants!$B$24)*Constants!$B$23,0))</f>
        <v/>
      </c>
      <c r="BG389" s="97" t="str">
        <f aca="false">IF($BX389&lt;&gt;Constants!$B$6,"",IF($AK389,0,Constants!$B$12)+IF($AJ389,0,Constants!$B$13)+IF($AH389,0,Constants!$B$14))</f>
        <v/>
      </c>
      <c r="BH389" s="98" t="str">
        <f aca="false">IF($BX389&lt;&gt;Constants!$B$6,"",Constants!$B$16+SUM($BC389:$BG389))</f>
        <v/>
      </c>
      <c r="BI389" s="97" t="str">
        <f aca="false">IF($BX389&lt;&gt;Constants!$B$6,"",$BC389)</f>
        <v/>
      </c>
      <c r="BJ389" s="97" t="str">
        <f aca="false">IF($BX389&lt;&gt;Constants!$B$6,"",$BD389)</f>
        <v/>
      </c>
      <c r="BK389" s="99" t="str">
        <f aca="false">IF($BX389&lt;&gt;Constants!$B$6,"",IF($AL389,$AN389,""))</f>
        <v/>
      </c>
      <c r="BL389" s="93" t="str">
        <f aca="false">IF($BX389&lt;&gt;Constants!$B$6,"",IF(OR($BS389&lt;$BH389,AND($BS389=$BH389,OR($BT389&lt;$BI389,AND($BT389=$BI389,OR($BU389&lt;$BJ389,AND($BU389=$BJ389,AND(ISNUMBER($BV389),OR(NOT(ISNUMBER($BK389)),$BV389&lt;$BK389)))))))),"-&gt;","&lt;-"))</f>
        <v/>
      </c>
      <c r="BM389" s="92" t="str">
        <f aca="false">IF(ISBLANK($C389),"",AND($AT389,OR($AU389="",$AV389="",AND($AW389,$AX389=""))))</f>
        <v/>
      </c>
      <c r="BN389" s="94" t="str">
        <f aca="false">IF($BX389&lt;&gt;Constants!$B$6,"",IF($AT389,Constants!$B$17*$AV389+Constants!$B$18*IF($AW389,$AX389,Constants!$B$19),Constants!$B$20))</f>
        <v/>
      </c>
      <c r="BO389" s="97" t="str">
        <f aca="false">IF($BX389&lt;&gt;Constants!$B$6,"",Constants!$B$21*ABS($AD$9-IF($AT389,$AU389,0)))</f>
        <v/>
      </c>
      <c r="BP389" s="97" t="str">
        <f aca="false">IF($BX389&lt;&gt;Constants!$B$6,"",IF(AND($AT389,$AY389,$AW389),Constants!$B$22,0))</f>
        <v/>
      </c>
      <c r="BQ389" s="97" t="str">
        <f aca="false">IF($BX389&lt;&gt;Constants!$B$6,"",IF($AT389,($AI389-Constants!$B$24)*Constants!$B$23,0))</f>
        <v/>
      </c>
      <c r="BR389" s="97" t="str">
        <f aca="false">IF($BX389&lt;&gt;Constants!$B$6,"",IF($AS389,0,Constants!$B$12)+IF($AR389,0,Constants!$B$13)+IF($AH389,0,Constants!$B$14))</f>
        <v/>
      </c>
      <c r="BS389" s="98" t="str">
        <f aca="false">IF($BX389&lt;&gt;Constants!$B$6,"",Constants!$B$16+SUM($BN389:$BR389))</f>
        <v/>
      </c>
      <c r="BT389" s="97" t="str">
        <f aca="false">IF($BX389&lt;&gt;Constants!$B$6,"",$BN389)</f>
        <v/>
      </c>
      <c r="BU389" s="97" t="str">
        <f aca="false">IF($BX389&lt;&gt;Constants!$B$6,"",$BO389)</f>
        <v/>
      </c>
      <c r="BV389" s="99" t="str">
        <f aca="false">IF($BX389&lt;&gt;Constants!$B$6,"",IF($AT389,$AV389,""))</f>
        <v/>
      </c>
      <c r="BW389" s="93" t="str">
        <f aca="false">IF(ISBLANK($C389),"",IF(ISBLANK($D$7),$BW$5,IF(NOT(ISNUMBER($D$7)),$BW$6,"")))</f>
        <v/>
      </c>
      <c r="BX389" s="93" t="str">
        <f aca="false">IF(ISBLANK($C389),"",IF($BA389,Constants!$B$9,IF(COUNTA($E389:$AA389)=0,Constants!$B$8,IF(NOT($AG389),Constants!$B$7,IF(OR($BW389&lt;&gt;"",$BB389,$BM389),Constants!$B$10,Constants!$B$6)))))</f>
        <v/>
      </c>
      <c r="BY389" s="93" t="str">
        <f aca="false">IF(ISBLANK($C389),"",IF($BX389&lt;&gt;Constants!$B$6,$BX389,Constants!$B$11))</f>
        <v/>
      </c>
      <c r="BZ389" s="97" t="str">
        <f aca="false">IF($BX389&lt;&gt;Constants!$B$6,"",IF($BL389="-&gt;",$BS389,$BH389))</f>
        <v/>
      </c>
      <c r="CA389" s="97" t="str">
        <f aca="false">IF($BX389&lt;&gt;Constants!$B$6,"",IF($AF389,0,Constants!$B$15))</f>
        <v/>
      </c>
      <c r="CB389" s="97" t="str">
        <f aca="false">IF($BX389&lt;&gt;Constants!$B$6,"",((Constants!$B$25-$AZ389)-Constants!$B$25)/Constants!$B$26)</f>
        <v/>
      </c>
      <c r="CC389" s="97" t="str">
        <f aca="false">IF(ISBLANK($C389),"",IF($BX389&lt;&gt;Constants!$B$6,$BX389,SUM($BZ389:$CB389)))</f>
        <v/>
      </c>
      <c r="CD389" s="93" t="str">
        <f aca="false">IF(ISBLANK($C389),"",IF($BX389&lt;&gt;Constants!$B$6,$BX389,RANK($CC389,$CC$9:$CC$508,1)))</f>
        <v/>
      </c>
      <c r="CE389" s="97" t="str">
        <f aca="false">IF($BX389&lt;&gt;Constants!$B$6,"",IF($BL389="-&gt;",$BT389,$BI389))</f>
        <v/>
      </c>
      <c r="CF389" s="93" t="str">
        <f aca="false">IF(ISBLANK($C389),"",IF($BX389&lt;&gt;Constants!$B$6,$BX389,IF(ISNUMBER($CE389),RANK($CE389,$CE$9:$CE$508,1),COUNT($CE$9:$CE$508)+1)))</f>
        <v/>
      </c>
      <c r="CG389" s="97" t="str">
        <f aca="false">IF($BX389&lt;&gt;Constants!$B$6,"",IF($BL389="-&gt;",$BU389,$BJ389))</f>
        <v/>
      </c>
      <c r="CH389" s="93" t="str">
        <f aca="false">IF(ISBLANK($C389),"",IF($BX389&lt;&gt;Constants!$B$6,$BX389,IF(ISNUMBER($CG389),RANK($CG389,$CG$9:$CG$508,1),COUNT($CG$9:$CG$508)+1)))</f>
        <v/>
      </c>
      <c r="CI389" s="97" t="str">
        <f aca="false">IF($BX389&lt;&gt;Constants!$B$6,"",IF($BL389="-&gt;",$BV389,$BK389))</f>
        <v/>
      </c>
      <c r="CJ389" s="93" t="str">
        <f aca="false">IF(ISBLANK($C389),"",IF($BX389&lt;&gt;Constants!$B$6,$BX389,IF(ISNUMBER($CI389),RANK($CI389,$CI$9:$CI$508,1),COUNT($CI$9:$CI$508)+1)))</f>
        <v/>
      </c>
      <c r="CK389" s="97" t="str">
        <f aca="false">IF($BX389&lt;&gt;Constants!$B$6,"",$AI389)</f>
        <v/>
      </c>
      <c r="CL389" s="93" t="str">
        <f aca="false">IF(ISBLANK($C389),"",IF($BX389&lt;&gt;Constants!$B$6,$BX389,IF(ISNUMBER($CK389),RANK($CK389,$CK$9:$CK$508,1),COUNT($CK$9:$CK$508)+1)))</f>
        <v/>
      </c>
      <c r="CM389" s="93" t="str">
        <f aca="false">IF(ISBLANK($C389),"",IF($BX389&lt;&gt;Constants!$B$6,$BX389,COUNTIFS($CD$9:$CD$508,"&lt;"&amp;$CD389)+COUNTIFS($CD$9:$CD$508,$CD389,$CF$9:$CF$508,"&lt;"&amp;$CF389)+COUNTIFS($CD$9:$CD$508,$CD389,$CF$9:$CF$508,$CF389,$CH$9:$CH$508,"&lt;"&amp;$CH389)+COUNTIFS($CD$9:$CD$508,$CD389,$CF$9:$CF$508,$CF389,$CH$9:$CH$508,$CH389,$CJ$9:$CJ$508,"&lt;"&amp;$CJ389)+COUNTIFS($CD$9:$CD$508,$CD389,$CF$9:$CF$508,$CF389,$CH$9:$CH$508,$CH389,$CJ$9:$CJ$508,$CJ389,$CL$9:$CL$508,"&lt;"&amp;$CL389)+1))</f>
        <v/>
      </c>
      <c r="CN389" s="93" t="str">
        <f aca="false">IF(ISBLANK($C389),"",IF($BX389&lt;&gt;Constants!$B$6,$BX389,$CD389-$CM389))</f>
        <v/>
      </c>
      <c r="CO389" s="100"/>
      <c r="CP389" s="101"/>
      <c r="CQ389" s="102" t="str">
        <f aca="false">IF(ISBLANK($C389),"",IF($BX389=Constants!$B$10,$BW389,""))</f>
        <v/>
      </c>
      <c r="CR389" s="101" t="str">
        <f aca="false">IF(ISBLANK($C389),"",IF($BX389&lt;&gt;Constants!$B$6,"",IF($BL389="-&gt;",2,1)))</f>
        <v/>
      </c>
      <c r="CS389" s="103" t="str">
        <f aca="false">IF(ISBLANK($C389),"",IF($BX389&lt;&gt;Constants!$B$6,"",IF($BL389="-&gt;",$BN389,$BC389)))</f>
        <v/>
      </c>
      <c r="CT389" s="103" t="str">
        <f aca="false">IF(ISBLANK($C389),"",IF($BX389&lt;&gt;Constants!$B$6,"",IF($BL389="-&gt;",$BO389,$BD389)))</f>
        <v/>
      </c>
      <c r="CU389" s="103" t="str">
        <f aca="false">IF(ISBLANK($C389),"",IF($BX389&lt;&gt;Constants!$B$6,"",IF($BL389="-&gt;",$BP389+$BQ389,$BE389+$BF389)+$CB389))</f>
        <v/>
      </c>
      <c r="CV389" s="103" t="str">
        <f aca="false">IF(ISBLANK($C389),"",IF($BX389&lt;&gt;Constants!$B$6,"",IF($BL389="-&gt;",$BR389,$BG389)+$CA389))</f>
        <v/>
      </c>
      <c r="CW389" s="104" t="str">
        <f aca="false">IF(ISBLANK($C389),"",IF($BX389&lt;&gt;Constants!$B$6,$BX389,$CC389))</f>
        <v/>
      </c>
      <c r="CX389" s="105" t="str">
        <f aca="false">IF(ISBLANK($C389),"",$BY389)</f>
        <v/>
      </c>
      <c r="CY389" s="106" t="str">
        <f aca="false">IF(ISBLANK($C389),"",$CN389)</f>
        <v/>
      </c>
      <c r="CZ389" s="106" t="str">
        <f aca="false">IF(ISBLANK($C389),"",$CM389)</f>
        <v/>
      </c>
      <c r="DA389" s="107" t="str">
        <f aca="false">IF(ISBLANK($C389),"",IFERROR(_xlfn.SWITCH($CZ389,Constants!$B$9,COUNTA($C$9:$C$508)+2,Constants!$B$8,COUNTA($C$9:$C$508)+1,Constants!$B$7,COUNTA($C$9:$C$508)),$CZ389))</f>
        <v/>
      </c>
      <c r="DB389" s="9"/>
      <c r="DC389" s="108" t="n">
        <f aca="false">IF(OR(ISNUMBER($CZ389),$CZ389=Constants!$B$9,$CZ389=Constants!$B$7,$CZ389=Constants!$B$8),1,0)</f>
        <v>0</v>
      </c>
      <c r="DD389" s="108" t="n">
        <v>381</v>
      </c>
      <c r="DE389" s="108" t="str">
        <f aca="false">IF(ISBLANK($C389),"",IF(ISNUMBER($DA389),$DA389+ROW($B389)/1000,""))</f>
        <v/>
      </c>
      <c r="DF389" s="108" t="str">
        <f aca="false">IF(ISNUMBER($DE389),RANK($DE389,$DE$9:$DE$508,1),"")</f>
        <v/>
      </c>
      <c r="DG389" s="108" t="str">
        <f aca="false">IF(ISBLANK($C389),"",$B389)</f>
        <v/>
      </c>
      <c r="DH389" s="108" t="str">
        <f aca="false">IF(ISBLANK($C389),"",$C389)</f>
        <v/>
      </c>
      <c r="DI389" s="108" t="str">
        <f aca="false">IF(ISBLANK($C389),"",$D389)</f>
        <v/>
      </c>
      <c r="DJ389" s="109" t="str">
        <f aca="false">$CX389</f>
        <v/>
      </c>
      <c r="DK389" s="110" t="str">
        <f aca="false">$CW389</f>
        <v/>
      </c>
      <c r="DL389" s="108" t="str">
        <f aca="false">IF(ISBLANK($C389),"",$CZ389)</f>
        <v/>
      </c>
      <c r="DM389" s="111" t="str">
        <f aca="false">IF($DD389&gt;$DC$8,"",VLOOKUP($DD389,$DF$9:$DL$508,7,FALSE()))</f>
        <v/>
      </c>
      <c r="DN389" s="112" t="str">
        <f aca="false">IF($DD389&gt;$DC$8,"",VLOOKUP($DD389,$DF$9:$DL$508,2,FALSE()))</f>
        <v/>
      </c>
      <c r="DO389" s="112" t="str">
        <f aca="false">IF($DD389&gt;$DC$8,"",VLOOKUP($DD389,$DF$9:$DL$508,3,FALSE()))</f>
        <v/>
      </c>
      <c r="DP389" s="112" t="str">
        <f aca="false">IF($DD389&gt;$DC$8,"",VLOOKUP($DD389,$DF$9:$DL$508,4,FALSE()))</f>
        <v/>
      </c>
      <c r="DQ389" s="112" t="str">
        <f aca="false">IF($DD389&gt;$DC$8,"",VLOOKUP($DD389,$DF$9:$DL$508,5,FALSE()))</f>
        <v/>
      </c>
      <c r="DR389" s="113" t="str">
        <f aca="false">IF($DD389&gt;$DC$8,"",VLOOKUP($DD389,$DF$9:$DL$508,6,FALSE()))</f>
        <v/>
      </c>
      <c r="DS389" s="76"/>
    </row>
    <row r="390" customFormat="false" ht="15.75" hidden="false" customHeight="false" outlineLevel="0" collapsed="false">
      <c r="A390" s="9"/>
      <c r="B390" s="160"/>
      <c r="C390" s="161"/>
      <c r="D390" s="162"/>
      <c r="E390" s="180"/>
      <c r="F390" s="164"/>
      <c r="G390" s="165"/>
      <c r="H390" s="165"/>
      <c r="I390" s="181"/>
      <c r="J390" s="168"/>
      <c r="K390" s="128"/>
      <c r="L390" s="129"/>
      <c r="M390" s="130"/>
      <c r="N390" s="168"/>
      <c r="O390" s="168"/>
      <c r="P390" s="180"/>
      <c r="Q390" s="168"/>
      <c r="R390" s="168"/>
      <c r="S390" s="128"/>
      <c r="T390" s="130"/>
      <c r="U390" s="130"/>
      <c r="V390" s="168"/>
      <c r="W390" s="168"/>
      <c r="X390" s="180"/>
      <c r="Y390" s="168"/>
      <c r="Z390" s="169"/>
      <c r="AA390" s="168"/>
      <c r="AB390" s="134"/>
      <c r="AC390" s="135"/>
      <c r="AD390" s="135"/>
      <c r="AE390" s="135"/>
      <c r="AF390" s="135" t="str">
        <f aca="false">IF(ISBLANK($C390),"",IF(E390=Constants!$B$2,TRUE(),IF(E390=Constants!$B$3,FALSE(),TRUE())))</f>
        <v/>
      </c>
      <c r="AG390" s="135" t="str">
        <f aca="false">IF(ISBLANK($C390),"",IF(F390=Constants!$B$2,TRUE(),IF(F390=Constants!$B$3,FALSE(),TRUE())))</f>
        <v/>
      </c>
      <c r="AH390" s="135" t="str">
        <f aca="false">IF(ISBLANK($C390),"",IF(G390=Constants!$B$2,TRUE(),IF(G390=Constants!$B$3,FALSE(),TRUE())))</f>
        <v/>
      </c>
      <c r="AI390" s="135" t="str">
        <f aca="false">IF(ISBLANK($C390),"",IF(AND(ISNUMBER(H390),H390&gt;=0),H390,Constants!$B$24))</f>
        <v/>
      </c>
      <c r="AJ390" s="135" t="str">
        <f aca="false">IF(ISBLANK($C390),"",IF(I390=Constants!$B$2,TRUE(),IF(I390=Constants!$B$3,FALSE(),TRUE())))</f>
        <v/>
      </c>
      <c r="AK390" s="135" t="str">
        <f aca="false">IF(ISBLANK($C390),"",IF(J390=Constants!$B$2,TRUE(),IF(J390=Constants!$B$3,FALSE(),TRUE())))</f>
        <v/>
      </c>
      <c r="AL390" s="135" t="str">
        <f aca="false">IF(ISBLANK($C390),"",IF(K390=Constants!$B$4,TRUE(),IF(K390=Constants!$B$5,FALSE(),COUNTA(L390:P390)&gt;0)))</f>
        <v/>
      </c>
      <c r="AM390" s="136" t="str">
        <f aca="false">IF(ISBLANK($C390),"",IF(ISNUMBER(L390),IF(L390&gt;=0,L390,""),""))</f>
        <v/>
      </c>
      <c r="AN390" s="137" t="str">
        <f aca="false">IF(ISBLANK($C390),"",IF(ISNUMBER(M390),IF(M390&gt;=0,M390,""),""))</f>
        <v/>
      </c>
      <c r="AO390" s="137" t="str">
        <f aca="false">IF(ISBLANK($C390),"",IF(N390=Constants!$B$2,TRUE(),IF(N390=Constants!$B$3,FALSE(),TRUE())))</f>
        <v/>
      </c>
      <c r="AP390" s="135" t="str">
        <f aca="false">IF(ISBLANK($C390),"",IF(ISNUMBER(O390),IF(O390&gt;=0,O390,""),""))</f>
        <v/>
      </c>
      <c r="AQ390" s="135" t="str">
        <f aca="false">IF(ISBLANK($C390),"",IF(P390=Constants!$B$2,TRUE(),IF(P390=Constants!$B$3,FALSE(),FALSE())))</f>
        <v/>
      </c>
      <c r="AR390" s="135" t="str">
        <f aca="false">IF(ISBLANK($C390),"",IF(Q390=Constants!$B$2,TRUE(),IF(Q390=Constants!$B$3,FALSE(),TRUE())))</f>
        <v/>
      </c>
      <c r="AS390" s="135" t="str">
        <f aca="false">IF(ISBLANK($C390),"",IF(R390=Constants!$B$2,TRUE(),IF(R390=Constants!$B$3,FALSE(),TRUE())))</f>
        <v/>
      </c>
      <c r="AT390" s="135" t="str">
        <f aca="false">IF(ISBLANK($C390),"",IF(S390=Constants!$B$4,TRUE(),IF(S390=Constants!$B$5,FALSE(),COUNTA(T390:X390)&gt;0)))</f>
        <v/>
      </c>
      <c r="AU390" s="136" t="str">
        <f aca="false">IF(ISBLANK($C390),"",IF(ISNUMBER(T390),IF(T390&gt;=0,T390,""),""))</f>
        <v/>
      </c>
      <c r="AV390" s="137" t="str">
        <f aca="false">IF(ISBLANK($C390),"",IF(ISNUMBER(U390),IF(U390&gt;=0,U390,""),""))</f>
        <v/>
      </c>
      <c r="AW390" s="137" t="str">
        <f aca="false">IF(ISBLANK($C390),"",IF(V390=Constants!$B$2,TRUE(),IF(V390=Constants!$B$3,FALSE(),TRUE())))</f>
        <v/>
      </c>
      <c r="AX390" s="135" t="str">
        <f aca="false">IF(ISBLANK($C390),"",IF(ISNUMBER(W390),IF(W390&gt;=0,W390,""),""))</f>
        <v/>
      </c>
      <c r="AY390" s="135" t="str">
        <f aca="false">IF(ISBLANK($C390),"",IF(X390=Constants!$B$2,TRUE(),IF(X390=Constants!$B$3,FALSE(),FALSE())))</f>
        <v/>
      </c>
      <c r="AZ390" s="135" t="str">
        <f aca="false">IF(ISBLANK($C390),"",MIN(Constants!$B$25,MAX(0,IF(ISNUMBER(Y390),Y390*60,0)+IF(ISNUMBER(Z390),Z390,0))))</f>
        <v/>
      </c>
      <c r="BA390" s="135" t="str">
        <f aca="false">IF(ISBLANK($C390),"",IF(AA390=Constants!$B$2,TRUE(),IF(AA390=Constants!$B$3,FALSE(),FALSE())))</f>
        <v/>
      </c>
      <c r="BB390" s="134" t="str">
        <f aca="false">IF(ISBLANK($C390),"",AND($AL390,OR($AM390="",$AN390="",AND($AO390,$AP390=""))))</f>
        <v/>
      </c>
      <c r="BC390" s="137" t="str">
        <f aca="false">IF($BX390&lt;&gt;Constants!$B$6,"",IF($AL390,Constants!$B$17*$AN390+Constants!$B$18*IF($AO390,$AP390,Constants!$B$19),Constants!$B$20))</f>
        <v/>
      </c>
      <c r="BD390" s="138" t="str">
        <f aca="false">IF($BX390&lt;&gt;Constants!$B$6,"",Constants!$B$21*ABS($AD$9-IF($AL390,$AM390,0)))</f>
        <v/>
      </c>
      <c r="BE390" s="138" t="str">
        <f aca="false">IF($BX390&lt;&gt;Constants!$B$6,"",IF(AND($AL390,$AQ390,$AO390),Constants!$B$22,0))</f>
        <v/>
      </c>
      <c r="BF390" s="138" t="str">
        <f aca="false">IF($BX390&lt;&gt;Constants!$B$6,"",IF($AL390,($AI390-Constants!$B$24)*Constants!$B$23,0))</f>
        <v/>
      </c>
      <c r="BG390" s="138" t="str">
        <f aca="false">IF($BX390&lt;&gt;Constants!$B$6,"",IF($AK390,0,Constants!$B$12)+IF($AJ390,0,Constants!$B$13)+IF($AH390,0,Constants!$B$14))</f>
        <v/>
      </c>
      <c r="BH390" s="139" t="str">
        <f aca="false">IF($BX390&lt;&gt;Constants!$B$6,"",Constants!$B$16+SUM($BC390:$BG390))</f>
        <v/>
      </c>
      <c r="BI390" s="138" t="str">
        <f aca="false">IF($BX390&lt;&gt;Constants!$B$6,"",$BC390)</f>
        <v/>
      </c>
      <c r="BJ390" s="138" t="str">
        <f aca="false">IF($BX390&lt;&gt;Constants!$B$6,"",$BD390)</f>
        <v/>
      </c>
      <c r="BK390" s="140" t="str">
        <f aca="false">IF($BX390&lt;&gt;Constants!$B$6,"",IF($AL390,$AN390,""))</f>
        <v/>
      </c>
      <c r="BL390" s="135" t="str">
        <f aca="false">IF($BX390&lt;&gt;Constants!$B$6,"",IF(OR($BS390&lt;$BH390,AND($BS390=$BH390,OR($BT390&lt;$BI390,AND($BT390=$BI390,OR($BU390&lt;$BJ390,AND($BU390=$BJ390,AND(ISNUMBER($BV390),OR(NOT(ISNUMBER($BK390)),$BV390&lt;$BK390)))))))),"-&gt;","&lt;-"))</f>
        <v/>
      </c>
      <c r="BM390" s="134" t="str">
        <f aca="false">IF(ISBLANK($C390),"",AND($AT390,OR($AU390="",$AV390="",AND($AW390,$AX390=""))))</f>
        <v/>
      </c>
      <c r="BN390" s="137" t="str">
        <f aca="false">IF($BX390&lt;&gt;Constants!$B$6,"",IF($AT390,Constants!$B$17*$AV390+Constants!$B$18*IF($AW390,$AX390,Constants!$B$19),Constants!$B$20))</f>
        <v/>
      </c>
      <c r="BO390" s="138" t="str">
        <f aca="false">IF($BX390&lt;&gt;Constants!$B$6,"",Constants!$B$21*ABS($AD$9-IF($AT390,$AU390,0)))</f>
        <v/>
      </c>
      <c r="BP390" s="138" t="str">
        <f aca="false">IF($BX390&lt;&gt;Constants!$B$6,"",IF(AND($AT390,$AY390,$AW390),Constants!$B$22,0))</f>
        <v/>
      </c>
      <c r="BQ390" s="138" t="str">
        <f aca="false">IF($BX390&lt;&gt;Constants!$B$6,"",IF($AT390,($AI390-Constants!$B$24)*Constants!$B$23,0))</f>
        <v/>
      </c>
      <c r="BR390" s="138" t="str">
        <f aca="false">IF($BX390&lt;&gt;Constants!$B$6,"",IF($AS390,0,Constants!$B$12)+IF($AR390,0,Constants!$B$13)+IF($AH390,0,Constants!$B$14))</f>
        <v/>
      </c>
      <c r="BS390" s="139" t="str">
        <f aca="false">IF($BX390&lt;&gt;Constants!$B$6,"",Constants!$B$16+SUM($BN390:$BR390))</f>
        <v/>
      </c>
      <c r="BT390" s="138" t="str">
        <f aca="false">IF($BX390&lt;&gt;Constants!$B$6,"",$BN390)</f>
        <v/>
      </c>
      <c r="BU390" s="138" t="str">
        <f aca="false">IF($BX390&lt;&gt;Constants!$B$6,"",$BO390)</f>
        <v/>
      </c>
      <c r="BV390" s="140" t="str">
        <f aca="false">IF($BX390&lt;&gt;Constants!$B$6,"",IF($AT390,$AV390,""))</f>
        <v/>
      </c>
      <c r="BW390" s="135" t="str">
        <f aca="false">IF(ISBLANK($C390),"",IF(ISBLANK($D$7),$BW$5,IF(NOT(ISNUMBER($D$7)),$BW$6,"")))</f>
        <v/>
      </c>
      <c r="BX390" s="135" t="str">
        <f aca="false">IF(ISBLANK($C390),"",IF($BA390,Constants!$B$9,IF(COUNTA($E390:$AA390)=0,Constants!$B$8,IF(NOT($AG390),Constants!$B$7,IF(OR($BW390&lt;&gt;"",$BB390,$BM390),Constants!$B$10,Constants!$B$6)))))</f>
        <v/>
      </c>
      <c r="BY390" s="135" t="str">
        <f aca="false">IF(ISBLANK($C390),"",IF($BX390&lt;&gt;Constants!$B$6,$BX390,Constants!$B$11))</f>
        <v/>
      </c>
      <c r="BZ390" s="138" t="str">
        <f aca="false">IF($BX390&lt;&gt;Constants!$B$6,"",IF($BL390="-&gt;",$BS390,$BH390))</f>
        <v/>
      </c>
      <c r="CA390" s="138" t="str">
        <f aca="false">IF($BX390&lt;&gt;Constants!$B$6,"",IF($AF390,0,Constants!$B$15))</f>
        <v/>
      </c>
      <c r="CB390" s="138" t="str">
        <f aca="false">IF($BX390&lt;&gt;Constants!$B$6,"",((Constants!$B$25-$AZ390)-Constants!$B$25)/Constants!$B$26)</f>
        <v/>
      </c>
      <c r="CC390" s="138" t="str">
        <f aca="false">IF(ISBLANK($C390),"",IF($BX390&lt;&gt;Constants!$B$6,$BX390,SUM($BZ390:$CB390)))</f>
        <v/>
      </c>
      <c r="CD390" s="135" t="str">
        <f aca="false">IF(ISBLANK($C390),"",IF($BX390&lt;&gt;Constants!$B$6,$BX390,RANK($CC390,$CC$9:$CC$508,1)))</f>
        <v/>
      </c>
      <c r="CE390" s="138" t="str">
        <f aca="false">IF($BX390&lt;&gt;Constants!$B$6,"",IF($BL390="-&gt;",$BT390,$BI390))</f>
        <v/>
      </c>
      <c r="CF390" s="135" t="str">
        <f aca="false">IF(ISBLANK($C390),"",IF($BX390&lt;&gt;Constants!$B$6,$BX390,IF(ISNUMBER($CE390),RANK($CE390,$CE$9:$CE$508,1),COUNT($CE$9:$CE$508)+1)))</f>
        <v/>
      </c>
      <c r="CG390" s="138" t="str">
        <f aca="false">IF($BX390&lt;&gt;Constants!$B$6,"",IF($BL390="-&gt;",$BU390,$BJ390))</f>
        <v/>
      </c>
      <c r="CH390" s="135" t="str">
        <f aca="false">IF(ISBLANK($C390),"",IF($BX390&lt;&gt;Constants!$B$6,$BX390,IF(ISNUMBER($CG390),RANK($CG390,$CG$9:$CG$508,1),COUNT($CG$9:$CG$508)+1)))</f>
        <v/>
      </c>
      <c r="CI390" s="138" t="str">
        <f aca="false">IF($BX390&lt;&gt;Constants!$B$6,"",IF($BL390="-&gt;",$BV390,$BK390))</f>
        <v/>
      </c>
      <c r="CJ390" s="135" t="str">
        <f aca="false">IF(ISBLANK($C390),"",IF($BX390&lt;&gt;Constants!$B$6,$BX390,IF(ISNUMBER($CI390),RANK($CI390,$CI$9:$CI$508,1),COUNT($CI$9:$CI$508)+1)))</f>
        <v/>
      </c>
      <c r="CK390" s="138" t="str">
        <f aca="false">IF($BX390&lt;&gt;Constants!$B$6,"",$AI390)</f>
        <v/>
      </c>
      <c r="CL390" s="135" t="str">
        <f aca="false">IF(ISBLANK($C390),"",IF($BX390&lt;&gt;Constants!$B$6,$BX390,IF(ISNUMBER($CK390),RANK($CK390,$CK$9:$CK$508,1),COUNT($CK$9:$CK$508)+1)))</f>
        <v/>
      </c>
      <c r="CM390" s="135" t="str">
        <f aca="false">IF(ISBLANK($C390),"",IF($BX390&lt;&gt;Constants!$B$6,$BX390,COUNTIFS($CD$9:$CD$508,"&lt;"&amp;$CD390)+COUNTIFS($CD$9:$CD$508,$CD390,$CF$9:$CF$508,"&lt;"&amp;$CF390)+COUNTIFS($CD$9:$CD$508,$CD390,$CF$9:$CF$508,$CF390,$CH$9:$CH$508,"&lt;"&amp;$CH390)+COUNTIFS($CD$9:$CD$508,$CD390,$CF$9:$CF$508,$CF390,$CH$9:$CH$508,$CH390,$CJ$9:$CJ$508,"&lt;"&amp;$CJ390)+COUNTIFS($CD$9:$CD$508,$CD390,$CF$9:$CF$508,$CF390,$CH$9:$CH$508,$CH390,$CJ$9:$CJ$508,$CJ390,$CL$9:$CL$508,"&lt;"&amp;$CL390)+1))</f>
        <v/>
      </c>
      <c r="CN390" s="135" t="str">
        <f aca="false">IF(ISBLANK($C390),"",IF($BX390&lt;&gt;Constants!$B$6,$BX390,$CD390-$CM390))</f>
        <v/>
      </c>
      <c r="CO390" s="141"/>
      <c r="CP390" s="142"/>
      <c r="CQ390" s="143" t="str">
        <f aca="false">IF(ISBLANK($C390),"",IF($BX390=Constants!$B$10,$BW390,""))</f>
        <v/>
      </c>
      <c r="CR390" s="142" t="str">
        <f aca="false">IF(ISBLANK($C390),"",IF($BX390&lt;&gt;Constants!$B$6,"",IF($BL390="-&gt;",2,1)))</f>
        <v/>
      </c>
      <c r="CS390" s="144" t="str">
        <f aca="false">IF(ISBLANK($C390),"",IF($BX390&lt;&gt;Constants!$B$6,"",IF($BL390="-&gt;",$BN390,$BC390)))</f>
        <v/>
      </c>
      <c r="CT390" s="144" t="str">
        <f aca="false">IF(ISBLANK($C390),"",IF($BX390&lt;&gt;Constants!$B$6,"",IF($BL390="-&gt;",$BO390,$BD390)))</f>
        <v/>
      </c>
      <c r="CU390" s="144" t="str">
        <f aca="false">IF(ISBLANK($C390),"",IF($BX390&lt;&gt;Constants!$B$6,"",IF($BL390="-&gt;",$BP390+$BQ390,$BE390+$BF390)+$CB390))</f>
        <v/>
      </c>
      <c r="CV390" s="144" t="str">
        <f aca="false">IF(ISBLANK($C390),"",IF($BX390&lt;&gt;Constants!$B$6,"",IF($BL390="-&gt;",$BR390,$BG390)+$CA390))</f>
        <v/>
      </c>
      <c r="CW390" s="145" t="str">
        <f aca="false">IF(ISBLANK($C390),"",IF($BX390&lt;&gt;Constants!$B$6,$BX390,$CC390))</f>
        <v/>
      </c>
      <c r="CX390" s="146" t="str">
        <f aca="false">IF(ISBLANK($C390),"",$BY390)</f>
        <v/>
      </c>
      <c r="CY390" s="147" t="str">
        <f aca="false">IF(ISBLANK($C390),"",$CN390)</f>
        <v/>
      </c>
      <c r="CZ390" s="147" t="str">
        <f aca="false">IF(ISBLANK($C390),"",$CM390)</f>
        <v/>
      </c>
      <c r="DA390" s="148" t="str">
        <f aca="false">IF(ISBLANK($C390),"",IFERROR(_xlfn.SWITCH($CZ390,Constants!$B$9,COUNTA($C$9:$C$508)+2,Constants!$B$8,COUNTA($C$9:$C$508)+1,Constants!$B$7,COUNTA($C$9:$C$508)),$CZ390))</f>
        <v/>
      </c>
      <c r="DB390" s="9"/>
      <c r="DC390" s="149" t="n">
        <f aca="false">IF(OR(ISNUMBER($CZ390),$CZ390=Constants!$B$9,$CZ390=Constants!$B$7,$CZ390=Constants!$B$8),1,0)</f>
        <v>0</v>
      </c>
      <c r="DD390" s="149" t="n">
        <v>382</v>
      </c>
      <c r="DE390" s="149" t="str">
        <f aca="false">IF(ISBLANK($C390),"",IF(ISNUMBER($DA390),$DA390+ROW($B390)/1000,""))</f>
        <v/>
      </c>
      <c r="DF390" s="149" t="str">
        <f aca="false">IF(ISNUMBER($DE390),RANK($DE390,$DE$9:$DE$508,1),"")</f>
        <v/>
      </c>
      <c r="DG390" s="149" t="str">
        <f aca="false">IF(ISBLANK($C390),"",$B390)</f>
        <v/>
      </c>
      <c r="DH390" s="149" t="str">
        <f aca="false">IF(ISBLANK($C390),"",$C390)</f>
        <v/>
      </c>
      <c r="DI390" s="149" t="str">
        <f aca="false">IF(ISBLANK($C390),"",$D390)</f>
        <v/>
      </c>
      <c r="DJ390" s="150" t="str">
        <f aca="false">$CX390</f>
        <v/>
      </c>
      <c r="DK390" s="151" t="str">
        <f aca="false">$CW390</f>
        <v/>
      </c>
      <c r="DL390" s="149" t="str">
        <f aca="false">IF(ISBLANK($C390),"",$CZ390)</f>
        <v/>
      </c>
      <c r="DM390" s="152" t="str">
        <f aca="false">IF($DD390&gt;$DC$8,"",VLOOKUP($DD390,$DF$9:$DL$508,7,FALSE()))</f>
        <v/>
      </c>
      <c r="DN390" s="153" t="str">
        <f aca="false">IF($DD390&gt;$DC$8,"",VLOOKUP($DD390,$DF$9:$DL$508,2,FALSE()))</f>
        <v/>
      </c>
      <c r="DO390" s="153" t="str">
        <f aca="false">IF($DD390&gt;$DC$8,"",VLOOKUP($DD390,$DF$9:$DL$508,3,FALSE()))</f>
        <v/>
      </c>
      <c r="DP390" s="153" t="str">
        <f aca="false">IF($DD390&gt;$DC$8,"",VLOOKUP($DD390,$DF$9:$DL$508,4,FALSE()))</f>
        <v/>
      </c>
      <c r="DQ390" s="153" t="str">
        <f aca="false">IF($DD390&gt;$DC$8,"",VLOOKUP($DD390,$DF$9:$DL$508,5,FALSE()))</f>
        <v/>
      </c>
      <c r="DR390" s="154" t="str">
        <f aca="false">IF($DD390&gt;$DC$8,"",VLOOKUP($DD390,$DF$9:$DL$508,6,FALSE()))</f>
        <v/>
      </c>
      <c r="DS390" s="76"/>
    </row>
    <row r="391" customFormat="false" ht="15.75" hidden="false" customHeight="false" outlineLevel="0" collapsed="false">
      <c r="A391" s="9"/>
      <c r="B391" s="160"/>
      <c r="C391" s="161"/>
      <c r="D391" s="162"/>
      <c r="E391" s="180"/>
      <c r="F391" s="164"/>
      <c r="G391" s="165"/>
      <c r="H391" s="165"/>
      <c r="I391" s="181"/>
      <c r="J391" s="168"/>
      <c r="K391" s="128"/>
      <c r="L391" s="129"/>
      <c r="M391" s="130"/>
      <c r="N391" s="168"/>
      <c r="O391" s="168"/>
      <c r="P391" s="180"/>
      <c r="Q391" s="168"/>
      <c r="R391" s="168"/>
      <c r="S391" s="128"/>
      <c r="T391" s="130"/>
      <c r="U391" s="130"/>
      <c r="V391" s="168"/>
      <c r="W391" s="168"/>
      <c r="X391" s="180"/>
      <c r="Y391" s="168"/>
      <c r="Z391" s="169"/>
      <c r="AA391" s="168"/>
      <c r="AB391" s="134"/>
      <c r="AC391" s="135"/>
      <c r="AD391" s="135"/>
      <c r="AE391" s="135"/>
      <c r="AF391" s="135" t="str">
        <f aca="false">IF(ISBLANK($C391),"",IF(E391=Constants!$B$2,TRUE(),IF(E391=Constants!$B$3,FALSE(),TRUE())))</f>
        <v/>
      </c>
      <c r="AG391" s="135" t="str">
        <f aca="false">IF(ISBLANK($C391),"",IF(F391=Constants!$B$2,TRUE(),IF(F391=Constants!$B$3,FALSE(),TRUE())))</f>
        <v/>
      </c>
      <c r="AH391" s="135" t="str">
        <f aca="false">IF(ISBLANK($C391),"",IF(G391=Constants!$B$2,TRUE(),IF(G391=Constants!$B$3,FALSE(),TRUE())))</f>
        <v/>
      </c>
      <c r="AI391" s="135" t="str">
        <f aca="false">IF(ISBLANK($C391),"",IF(AND(ISNUMBER(H391),H391&gt;=0),H391,Constants!$B$24))</f>
        <v/>
      </c>
      <c r="AJ391" s="135" t="str">
        <f aca="false">IF(ISBLANK($C391),"",IF(I391=Constants!$B$2,TRUE(),IF(I391=Constants!$B$3,FALSE(),TRUE())))</f>
        <v/>
      </c>
      <c r="AK391" s="135" t="str">
        <f aca="false">IF(ISBLANK($C391),"",IF(J391=Constants!$B$2,TRUE(),IF(J391=Constants!$B$3,FALSE(),TRUE())))</f>
        <v/>
      </c>
      <c r="AL391" s="135" t="str">
        <f aca="false">IF(ISBLANK($C391),"",IF(K391=Constants!$B$4,TRUE(),IF(K391=Constants!$B$5,FALSE(),COUNTA(L391:P391)&gt;0)))</f>
        <v/>
      </c>
      <c r="AM391" s="136" t="str">
        <f aca="false">IF(ISBLANK($C391),"",IF(ISNUMBER(L391),IF(L391&gt;=0,L391,""),""))</f>
        <v/>
      </c>
      <c r="AN391" s="137" t="str">
        <f aca="false">IF(ISBLANK($C391),"",IF(ISNUMBER(M391),IF(M391&gt;=0,M391,""),""))</f>
        <v/>
      </c>
      <c r="AO391" s="137" t="str">
        <f aca="false">IF(ISBLANK($C391),"",IF(N391=Constants!$B$2,TRUE(),IF(N391=Constants!$B$3,FALSE(),TRUE())))</f>
        <v/>
      </c>
      <c r="AP391" s="135" t="str">
        <f aca="false">IF(ISBLANK($C391),"",IF(ISNUMBER(O391),IF(O391&gt;=0,O391,""),""))</f>
        <v/>
      </c>
      <c r="AQ391" s="135" t="str">
        <f aca="false">IF(ISBLANK($C391),"",IF(P391=Constants!$B$2,TRUE(),IF(P391=Constants!$B$3,FALSE(),FALSE())))</f>
        <v/>
      </c>
      <c r="AR391" s="135" t="str">
        <f aca="false">IF(ISBLANK($C391),"",IF(Q391=Constants!$B$2,TRUE(),IF(Q391=Constants!$B$3,FALSE(),TRUE())))</f>
        <v/>
      </c>
      <c r="AS391" s="135" t="str">
        <f aca="false">IF(ISBLANK($C391),"",IF(R391=Constants!$B$2,TRUE(),IF(R391=Constants!$B$3,FALSE(),TRUE())))</f>
        <v/>
      </c>
      <c r="AT391" s="135" t="str">
        <f aca="false">IF(ISBLANK($C391),"",IF(S391=Constants!$B$4,TRUE(),IF(S391=Constants!$B$5,FALSE(),COUNTA(T391:X391)&gt;0)))</f>
        <v/>
      </c>
      <c r="AU391" s="136" t="str">
        <f aca="false">IF(ISBLANK($C391),"",IF(ISNUMBER(T391),IF(T391&gt;=0,T391,""),""))</f>
        <v/>
      </c>
      <c r="AV391" s="137" t="str">
        <f aca="false">IF(ISBLANK($C391),"",IF(ISNUMBER(U391),IF(U391&gt;=0,U391,""),""))</f>
        <v/>
      </c>
      <c r="AW391" s="137" t="str">
        <f aca="false">IF(ISBLANK($C391),"",IF(V391=Constants!$B$2,TRUE(),IF(V391=Constants!$B$3,FALSE(),TRUE())))</f>
        <v/>
      </c>
      <c r="AX391" s="135" t="str">
        <f aca="false">IF(ISBLANK($C391),"",IF(ISNUMBER(W391),IF(W391&gt;=0,W391,""),""))</f>
        <v/>
      </c>
      <c r="AY391" s="135" t="str">
        <f aca="false">IF(ISBLANK($C391),"",IF(X391=Constants!$B$2,TRUE(),IF(X391=Constants!$B$3,FALSE(),FALSE())))</f>
        <v/>
      </c>
      <c r="AZ391" s="135" t="str">
        <f aca="false">IF(ISBLANK($C391),"",MIN(Constants!$B$25,MAX(0,IF(ISNUMBER(Y391),Y391*60,0)+IF(ISNUMBER(Z391),Z391,0))))</f>
        <v/>
      </c>
      <c r="BA391" s="135" t="str">
        <f aca="false">IF(ISBLANK($C391),"",IF(AA391=Constants!$B$2,TRUE(),IF(AA391=Constants!$B$3,FALSE(),FALSE())))</f>
        <v/>
      </c>
      <c r="BB391" s="134" t="str">
        <f aca="false">IF(ISBLANK($C391),"",AND($AL391,OR($AM391="",$AN391="",AND($AO391,$AP391=""))))</f>
        <v/>
      </c>
      <c r="BC391" s="137" t="str">
        <f aca="false">IF($BX391&lt;&gt;Constants!$B$6,"",IF($AL391,Constants!$B$17*$AN391+Constants!$B$18*IF($AO391,$AP391,Constants!$B$19),Constants!$B$20))</f>
        <v/>
      </c>
      <c r="BD391" s="138" t="str">
        <f aca="false">IF($BX391&lt;&gt;Constants!$B$6,"",Constants!$B$21*ABS($AD$9-IF($AL391,$AM391,0)))</f>
        <v/>
      </c>
      <c r="BE391" s="138" t="str">
        <f aca="false">IF($BX391&lt;&gt;Constants!$B$6,"",IF(AND($AL391,$AQ391,$AO391),Constants!$B$22,0))</f>
        <v/>
      </c>
      <c r="BF391" s="138" t="str">
        <f aca="false">IF($BX391&lt;&gt;Constants!$B$6,"",IF($AL391,($AI391-Constants!$B$24)*Constants!$B$23,0))</f>
        <v/>
      </c>
      <c r="BG391" s="138" t="str">
        <f aca="false">IF($BX391&lt;&gt;Constants!$B$6,"",IF($AK391,0,Constants!$B$12)+IF($AJ391,0,Constants!$B$13)+IF($AH391,0,Constants!$B$14))</f>
        <v/>
      </c>
      <c r="BH391" s="139" t="str">
        <f aca="false">IF($BX391&lt;&gt;Constants!$B$6,"",Constants!$B$16+SUM($BC391:$BG391))</f>
        <v/>
      </c>
      <c r="BI391" s="138" t="str">
        <f aca="false">IF($BX391&lt;&gt;Constants!$B$6,"",$BC391)</f>
        <v/>
      </c>
      <c r="BJ391" s="138" t="str">
        <f aca="false">IF($BX391&lt;&gt;Constants!$B$6,"",$BD391)</f>
        <v/>
      </c>
      <c r="BK391" s="140" t="str">
        <f aca="false">IF($BX391&lt;&gt;Constants!$B$6,"",IF($AL391,$AN391,""))</f>
        <v/>
      </c>
      <c r="BL391" s="135" t="str">
        <f aca="false">IF($BX391&lt;&gt;Constants!$B$6,"",IF(OR($BS391&lt;$BH391,AND($BS391=$BH391,OR($BT391&lt;$BI391,AND($BT391=$BI391,OR($BU391&lt;$BJ391,AND($BU391=$BJ391,AND(ISNUMBER($BV391),OR(NOT(ISNUMBER($BK391)),$BV391&lt;$BK391)))))))),"-&gt;","&lt;-"))</f>
        <v/>
      </c>
      <c r="BM391" s="134" t="str">
        <f aca="false">IF(ISBLANK($C391),"",AND($AT391,OR($AU391="",$AV391="",AND($AW391,$AX391=""))))</f>
        <v/>
      </c>
      <c r="BN391" s="137" t="str">
        <f aca="false">IF($BX391&lt;&gt;Constants!$B$6,"",IF($AT391,Constants!$B$17*$AV391+Constants!$B$18*IF($AW391,$AX391,Constants!$B$19),Constants!$B$20))</f>
        <v/>
      </c>
      <c r="BO391" s="138" t="str">
        <f aca="false">IF($BX391&lt;&gt;Constants!$B$6,"",Constants!$B$21*ABS($AD$9-IF($AT391,$AU391,0)))</f>
        <v/>
      </c>
      <c r="BP391" s="138" t="str">
        <f aca="false">IF($BX391&lt;&gt;Constants!$B$6,"",IF(AND($AT391,$AY391,$AW391),Constants!$B$22,0))</f>
        <v/>
      </c>
      <c r="BQ391" s="138" t="str">
        <f aca="false">IF($BX391&lt;&gt;Constants!$B$6,"",IF($AT391,($AI391-Constants!$B$24)*Constants!$B$23,0))</f>
        <v/>
      </c>
      <c r="BR391" s="138" t="str">
        <f aca="false">IF($BX391&lt;&gt;Constants!$B$6,"",IF($AS391,0,Constants!$B$12)+IF($AR391,0,Constants!$B$13)+IF($AH391,0,Constants!$B$14))</f>
        <v/>
      </c>
      <c r="BS391" s="139" t="str">
        <f aca="false">IF($BX391&lt;&gt;Constants!$B$6,"",Constants!$B$16+SUM($BN391:$BR391))</f>
        <v/>
      </c>
      <c r="BT391" s="138" t="str">
        <f aca="false">IF($BX391&lt;&gt;Constants!$B$6,"",$BN391)</f>
        <v/>
      </c>
      <c r="BU391" s="138" t="str">
        <f aca="false">IF($BX391&lt;&gt;Constants!$B$6,"",$BO391)</f>
        <v/>
      </c>
      <c r="BV391" s="140" t="str">
        <f aca="false">IF($BX391&lt;&gt;Constants!$B$6,"",IF($AT391,$AV391,""))</f>
        <v/>
      </c>
      <c r="BW391" s="135" t="str">
        <f aca="false">IF(ISBLANK($C391),"",IF(ISBLANK($D$7),$BW$5,IF(NOT(ISNUMBER($D$7)),$BW$6,"")))</f>
        <v/>
      </c>
      <c r="BX391" s="135" t="str">
        <f aca="false">IF(ISBLANK($C391),"",IF($BA391,Constants!$B$9,IF(COUNTA($E391:$AA391)=0,Constants!$B$8,IF(NOT($AG391),Constants!$B$7,IF(OR($BW391&lt;&gt;"",$BB391,$BM391),Constants!$B$10,Constants!$B$6)))))</f>
        <v/>
      </c>
      <c r="BY391" s="135" t="str">
        <f aca="false">IF(ISBLANK($C391),"",IF($BX391&lt;&gt;Constants!$B$6,$BX391,Constants!$B$11))</f>
        <v/>
      </c>
      <c r="BZ391" s="138" t="str">
        <f aca="false">IF($BX391&lt;&gt;Constants!$B$6,"",IF($BL391="-&gt;",$BS391,$BH391))</f>
        <v/>
      </c>
      <c r="CA391" s="138" t="str">
        <f aca="false">IF($BX391&lt;&gt;Constants!$B$6,"",IF($AF391,0,Constants!$B$15))</f>
        <v/>
      </c>
      <c r="CB391" s="138" t="str">
        <f aca="false">IF($BX391&lt;&gt;Constants!$B$6,"",((Constants!$B$25-$AZ391)-Constants!$B$25)/Constants!$B$26)</f>
        <v/>
      </c>
      <c r="CC391" s="138" t="str">
        <f aca="false">IF(ISBLANK($C391),"",IF($BX391&lt;&gt;Constants!$B$6,$BX391,SUM($BZ391:$CB391)))</f>
        <v/>
      </c>
      <c r="CD391" s="135" t="str">
        <f aca="false">IF(ISBLANK($C391),"",IF($BX391&lt;&gt;Constants!$B$6,$BX391,RANK($CC391,$CC$9:$CC$508,1)))</f>
        <v/>
      </c>
      <c r="CE391" s="138" t="str">
        <f aca="false">IF($BX391&lt;&gt;Constants!$B$6,"",IF($BL391="-&gt;",$BT391,$BI391))</f>
        <v/>
      </c>
      <c r="CF391" s="135" t="str">
        <f aca="false">IF(ISBLANK($C391),"",IF($BX391&lt;&gt;Constants!$B$6,$BX391,IF(ISNUMBER($CE391),RANK($CE391,$CE$9:$CE$508,1),COUNT($CE$9:$CE$508)+1)))</f>
        <v/>
      </c>
      <c r="CG391" s="138" t="str">
        <f aca="false">IF($BX391&lt;&gt;Constants!$B$6,"",IF($BL391="-&gt;",$BU391,$BJ391))</f>
        <v/>
      </c>
      <c r="CH391" s="135" t="str">
        <f aca="false">IF(ISBLANK($C391),"",IF($BX391&lt;&gt;Constants!$B$6,$BX391,IF(ISNUMBER($CG391),RANK($CG391,$CG$9:$CG$508,1),COUNT($CG$9:$CG$508)+1)))</f>
        <v/>
      </c>
      <c r="CI391" s="138" t="str">
        <f aca="false">IF($BX391&lt;&gt;Constants!$B$6,"",IF($BL391="-&gt;",$BV391,$BK391))</f>
        <v/>
      </c>
      <c r="CJ391" s="135" t="str">
        <f aca="false">IF(ISBLANK($C391),"",IF($BX391&lt;&gt;Constants!$B$6,$BX391,IF(ISNUMBER($CI391),RANK($CI391,$CI$9:$CI$508,1),COUNT($CI$9:$CI$508)+1)))</f>
        <v/>
      </c>
      <c r="CK391" s="138" t="str">
        <f aca="false">IF($BX391&lt;&gt;Constants!$B$6,"",$AI391)</f>
        <v/>
      </c>
      <c r="CL391" s="135" t="str">
        <f aca="false">IF(ISBLANK($C391),"",IF($BX391&lt;&gt;Constants!$B$6,$BX391,IF(ISNUMBER($CK391),RANK($CK391,$CK$9:$CK$508,1),COUNT($CK$9:$CK$508)+1)))</f>
        <v/>
      </c>
      <c r="CM391" s="135" t="str">
        <f aca="false">IF(ISBLANK($C391),"",IF($BX391&lt;&gt;Constants!$B$6,$BX391,COUNTIFS($CD$9:$CD$508,"&lt;"&amp;$CD391)+COUNTIFS($CD$9:$CD$508,$CD391,$CF$9:$CF$508,"&lt;"&amp;$CF391)+COUNTIFS($CD$9:$CD$508,$CD391,$CF$9:$CF$508,$CF391,$CH$9:$CH$508,"&lt;"&amp;$CH391)+COUNTIFS($CD$9:$CD$508,$CD391,$CF$9:$CF$508,$CF391,$CH$9:$CH$508,$CH391,$CJ$9:$CJ$508,"&lt;"&amp;$CJ391)+COUNTIFS($CD$9:$CD$508,$CD391,$CF$9:$CF$508,$CF391,$CH$9:$CH$508,$CH391,$CJ$9:$CJ$508,$CJ391,$CL$9:$CL$508,"&lt;"&amp;$CL391)+1))</f>
        <v/>
      </c>
      <c r="CN391" s="135" t="str">
        <f aca="false">IF(ISBLANK($C391),"",IF($BX391&lt;&gt;Constants!$B$6,$BX391,$CD391-$CM391))</f>
        <v/>
      </c>
      <c r="CO391" s="141"/>
      <c r="CP391" s="142"/>
      <c r="CQ391" s="143" t="str">
        <f aca="false">IF(ISBLANK($C391),"",IF($BX391=Constants!$B$10,$BW391,""))</f>
        <v/>
      </c>
      <c r="CR391" s="142" t="str">
        <f aca="false">IF(ISBLANK($C391),"",IF($BX391&lt;&gt;Constants!$B$6,"",IF($BL391="-&gt;",2,1)))</f>
        <v/>
      </c>
      <c r="CS391" s="144" t="str">
        <f aca="false">IF(ISBLANK($C391),"",IF($BX391&lt;&gt;Constants!$B$6,"",IF($BL391="-&gt;",$BN391,$BC391)))</f>
        <v/>
      </c>
      <c r="CT391" s="144" t="str">
        <f aca="false">IF(ISBLANK($C391),"",IF($BX391&lt;&gt;Constants!$B$6,"",IF($BL391="-&gt;",$BO391,$BD391)))</f>
        <v/>
      </c>
      <c r="CU391" s="144" t="str">
        <f aca="false">IF(ISBLANK($C391),"",IF($BX391&lt;&gt;Constants!$B$6,"",IF($BL391="-&gt;",$BP391+$BQ391,$BE391+$BF391)+$CB391))</f>
        <v/>
      </c>
      <c r="CV391" s="144" t="str">
        <f aca="false">IF(ISBLANK($C391),"",IF($BX391&lt;&gt;Constants!$B$6,"",IF($BL391="-&gt;",$BR391,$BG391)+$CA391))</f>
        <v/>
      </c>
      <c r="CW391" s="145" t="str">
        <f aca="false">IF(ISBLANK($C391),"",IF($BX391&lt;&gt;Constants!$B$6,$BX391,$CC391))</f>
        <v/>
      </c>
      <c r="CX391" s="146" t="str">
        <f aca="false">IF(ISBLANK($C391),"",$BY391)</f>
        <v/>
      </c>
      <c r="CY391" s="147" t="str">
        <f aca="false">IF(ISBLANK($C391),"",$CN391)</f>
        <v/>
      </c>
      <c r="CZ391" s="147" t="str">
        <f aca="false">IF(ISBLANK($C391),"",$CM391)</f>
        <v/>
      </c>
      <c r="DA391" s="148" t="str">
        <f aca="false">IF(ISBLANK($C391),"",IFERROR(_xlfn.SWITCH($CZ391,Constants!$B$9,COUNTA($C$9:$C$508)+2,Constants!$B$8,COUNTA($C$9:$C$508)+1,Constants!$B$7,COUNTA($C$9:$C$508)),$CZ391))</f>
        <v/>
      </c>
      <c r="DB391" s="9"/>
      <c r="DC391" s="149" t="n">
        <f aca="false">IF(OR(ISNUMBER($CZ391),$CZ391=Constants!$B$9,$CZ391=Constants!$B$7,$CZ391=Constants!$B$8),1,0)</f>
        <v>0</v>
      </c>
      <c r="DD391" s="149" t="n">
        <v>383</v>
      </c>
      <c r="DE391" s="149" t="str">
        <f aca="false">IF(ISBLANK($C391),"",IF(ISNUMBER($DA391),$DA391+ROW($B391)/1000,""))</f>
        <v/>
      </c>
      <c r="DF391" s="149" t="str">
        <f aca="false">IF(ISNUMBER($DE391),RANK($DE391,$DE$9:$DE$508,1),"")</f>
        <v/>
      </c>
      <c r="DG391" s="149" t="str">
        <f aca="false">IF(ISBLANK($C391),"",$B391)</f>
        <v/>
      </c>
      <c r="DH391" s="149" t="str">
        <f aca="false">IF(ISBLANK($C391),"",$C391)</f>
        <v/>
      </c>
      <c r="DI391" s="149" t="str">
        <f aca="false">IF(ISBLANK($C391),"",$D391)</f>
        <v/>
      </c>
      <c r="DJ391" s="150" t="str">
        <f aca="false">$CX391</f>
        <v/>
      </c>
      <c r="DK391" s="151" t="str">
        <f aca="false">$CW391</f>
        <v/>
      </c>
      <c r="DL391" s="149" t="str">
        <f aca="false">IF(ISBLANK($C391),"",$CZ391)</f>
        <v/>
      </c>
      <c r="DM391" s="152" t="str">
        <f aca="false">IF($DD391&gt;$DC$8,"",VLOOKUP($DD391,$DF$9:$DL$508,7,FALSE()))</f>
        <v/>
      </c>
      <c r="DN391" s="153" t="str">
        <f aca="false">IF($DD391&gt;$DC$8,"",VLOOKUP($DD391,$DF$9:$DL$508,2,FALSE()))</f>
        <v/>
      </c>
      <c r="DO391" s="153" t="str">
        <f aca="false">IF($DD391&gt;$DC$8,"",VLOOKUP($DD391,$DF$9:$DL$508,3,FALSE()))</f>
        <v/>
      </c>
      <c r="DP391" s="153" t="str">
        <f aca="false">IF($DD391&gt;$DC$8,"",VLOOKUP($DD391,$DF$9:$DL$508,4,FALSE()))</f>
        <v/>
      </c>
      <c r="DQ391" s="153" t="str">
        <f aca="false">IF($DD391&gt;$DC$8,"",VLOOKUP($DD391,$DF$9:$DL$508,5,FALSE()))</f>
        <v/>
      </c>
      <c r="DR391" s="154" t="str">
        <f aca="false">IF($DD391&gt;$DC$8,"",VLOOKUP($DD391,$DF$9:$DL$508,6,FALSE()))</f>
        <v/>
      </c>
      <c r="DS391" s="76"/>
    </row>
    <row r="392" customFormat="false" ht="15.75" hidden="false" customHeight="false" outlineLevel="0" collapsed="false">
      <c r="A392" s="9"/>
      <c r="B392" s="160"/>
      <c r="C392" s="161"/>
      <c r="D392" s="162"/>
      <c r="E392" s="180"/>
      <c r="F392" s="164"/>
      <c r="G392" s="165"/>
      <c r="H392" s="165"/>
      <c r="I392" s="181"/>
      <c r="J392" s="168"/>
      <c r="K392" s="128"/>
      <c r="L392" s="129"/>
      <c r="M392" s="130"/>
      <c r="N392" s="168"/>
      <c r="O392" s="168"/>
      <c r="P392" s="180"/>
      <c r="Q392" s="168"/>
      <c r="R392" s="168"/>
      <c r="S392" s="128"/>
      <c r="T392" s="130"/>
      <c r="U392" s="130"/>
      <c r="V392" s="168"/>
      <c r="W392" s="168"/>
      <c r="X392" s="180"/>
      <c r="Y392" s="168"/>
      <c r="Z392" s="169"/>
      <c r="AA392" s="168"/>
      <c r="AB392" s="134"/>
      <c r="AC392" s="135"/>
      <c r="AD392" s="135"/>
      <c r="AE392" s="135"/>
      <c r="AF392" s="135" t="str">
        <f aca="false">IF(ISBLANK($C392),"",IF(E392=Constants!$B$2,TRUE(),IF(E392=Constants!$B$3,FALSE(),TRUE())))</f>
        <v/>
      </c>
      <c r="AG392" s="135" t="str">
        <f aca="false">IF(ISBLANK($C392),"",IF(F392=Constants!$B$2,TRUE(),IF(F392=Constants!$B$3,FALSE(),TRUE())))</f>
        <v/>
      </c>
      <c r="AH392" s="135" t="str">
        <f aca="false">IF(ISBLANK($C392),"",IF(G392=Constants!$B$2,TRUE(),IF(G392=Constants!$B$3,FALSE(),TRUE())))</f>
        <v/>
      </c>
      <c r="AI392" s="135" t="str">
        <f aca="false">IF(ISBLANK($C392),"",IF(AND(ISNUMBER(H392),H392&gt;=0),H392,Constants!$B$24))</f>
        <v/>
      </c>
      <c r="AJ392" s="135" t="str">
        <f aca="false">IF(ISBLANK($C392),"",IF(I392=Constants!$B$2,TRUE(),IF(I392=Constants!$B$3,FALSE(),TRUE())))</f>
        <v/>
      </c>
      <c r="AK392" s="135" t="str">
        <f aca="false">IF(ISBLANK($C392),"",IF(J392=Constants!$B$2,TRUE(),IF(J392=Constants!$B$3,FALSE(),TRUE())))</f>
        <v/>
      </c>
      <c r="AL392" s="135" t="str">
        <f aca="false">IF(ISBLANK($C392),"",IF(K392=Constants!$B$4,TRUE(),IF(K392=Constants!$B$5,FALSE(),COUNTA(L392:P392)&gt;0)))</f>
        <v/>
      </c>
      <c r="AM392" s="136" t="str">
        <f aca="false">IF(ISBLANK($C392),"",IF(ISNUMBER(L392),IF(L392&gt;=0,L392,""),""))</f>
        <v/>
      </c>
      <c r="AN392" s="137" t="str">
        <f aca="false">IF(ISBLANK($C392),"",IF(ISNUMBER(M392),IF(M392&gt;=0,M392,""),""))</f>
        <v/>
      </c>
      <c r="AO392" s="137" t="str">
        <f aca="false">IF(ISBLANK($C392),"",IF(N392=Constants!$B$2,TRUE(),IF(N392=Constants!$B$3,FALSE(),TRUE())))</f>
        <v/>
      </c>
      <c r="AP392" s="135" t="str">
        <f aca="false">IF(ISBLANK($C392),"",IF(ISNUMBER(O392),IF(O392&gt;=0,O392,""),""))</f>
        <v/>
      </c>
      <c r="AQ392" s="135" t="str">
        <f aca="false">IF(ISBLANK($C392),"",IF(P392=Constants!$B$2,TRUE(),IF(P392=Constants!$B$3,FALSE(),FALSE())))</f>
        <v/>
      </c>
      <c r="AR392" s="135" t="str">
        <f aca="false">IF(ISBLANK($C392),"",IF(Q392=Constants!$B$2,TRUE(),IF(Q392=Constants!$B$3,FALSE(),TRUE())))</f>
        <v/>
      </c>
      <c r="AS392" s="135" t="str">
        <f aca="false">IF(ISBLANK($C392),"",IF(R392=Constants!$B$2,TRUE(),IF(R392=Constants!$B$3,FALSE(),TRUE())))</f>
        <v/>
      </c>
      <c r="AT392" s="135" t="str">
        <f aca="false">IF(ISBLANK($C392),"",IF(S392=Constants!$B$4,TRUE(),IF(S392=Constants!$B$5,FALSE(),COUNTA(T392:X392)&gt;0)))</f>
        <v/>
      </c>
      <c r="AU392" s="136" t="str">
        <f aca="false">IF(ISBLANK($C392),"",IF(ISNUMBER(T392),IF(T392&gt;=0,T392,""),""))</f>
        <v/>
      </c>
      <c r="AV392" s="137" t="str">
        <f aca="false">IF(ISBLANK($C392),"",IF(ISNUMBER(U392),IF(U392&gt;=0,U392,""),""))</f>
        <v/>
      </c>
      <c r="AW392" s="137" t="str">
        <f aca="false">IF(ISBLANK($C392),"",IF(V392=Constants!$B$2,TRUE(),IF(V392=Constants!$B$3,FALSE(),TRUE())))</f>
        <v/>
      </c>
      <c r="AX392" s="135" t="str">
        <f aca="false">IF(ISBLANK($C392),"",IF(ISNUMBER(W392),IF(W392&gt;=0,W392,""),""))</f>
        <v/>
      </c>
      <c r="AY392" s="135" t="str">
        <f aca="false">IF(ISBLANK($C392),"",IF(X392=Constants!$B$2,TRUE(),IF(X392=Constants!$B$3,FALSE(),FALSE())))</f>
        <v/>
      </c>
      <c r="AZ392" s="135" t="str">
        <f aca="false">IF(ISBLANK($C392),"",MIN(Constants!$B$25,MAX(0,IF(ISNUMBER(Y392),Y392*60,0)+IF(ISNUMBER(Z392),Z392,0))))</f>
        <v/>
      </c>
      <c r="BA392" s="135" t="str">
        <f aca="false">IF(ISBLANK($C392),"",IF(AA392=Constants!$B$2,TRUE(),IF(AA392=Constants!$B$3,FALSE(),FALSE())))</f>
        <v/>
      </c>
      <c r="BB392" s="134" t="str">
        <f aca="false">IF(ISBLANK($C392),"",AND($AL392,OR($AM392="",$AN392="",AND($AO392,$AP392=""))))</f>
        <v/>
      </c>
      <c r="BC392" s="137" t="str">
        <f aca="false">IF($BX392&lt;&gt;Constants!$B$6,"",IF($AL392,Constants!$B$17*$AN392+Constants!$B$18*IF($AO392,$AP392,Constants!$B$19),Constants!$B$20))</f>
        <v/>
      </c>
      <c r="BD392" s="138" t="str">
        <f aca="false">IF($BX392&lt;&gt;Constants!$B$6,"",Constants!$B$21*ABS($AD$9-IF($AL392,$AM392,0)))</f>
        <v/>
      </c>
      <c r="BE392" s="138" t="str">
        <f aca="false">IF($BX392&lt;&gt;Constants!$B$6,"",IF(AND($AL392,$AQ392,$AO392),Constants!$B$22,0))</f>
        <v/>
      </c>
      <c r="BF392" s="138" t="str">
        <f aca="false">IF($BX392&lt;&gt;Constants!$B$6,"",IF($AL392,($AI392-Constants!$B$24)*Constants!$B$23,0))</f>
        <v/>
      </c>
      <c r="BG392" s="138" t="str">
        <f aca="false">IF($BX392&lt;&gt;Constants!$B$6,"",IF($AK392,0,Constants!$B$12)+IF($AJ392,0,Constants!$B$13)+IF($AH392,0,Constants!$B$14))</f>
        <v/>
      </c>
      <c r="BH392" s="139" t="str">
        <f aca="false">IF($BX392&lt;&gt;Constants!$B$6,"",Constants!$B$16+SUM($BC392:$BG392))</f>
        <v/>
      </c>
      <c r="BI392" s="138" t="str">
        <f aca="false">IF($BX392&lt;&gt;Constants!$B$6,"",$BC392)</f>
        <v/>
      </c>
      <c r="BJ392" s="138" t="str">
        <f aca="false">IF($BX392&lt;&gt;Constants!$B$6,"",$BD392)</f>
        <v/>
      </c>
      <c r="BK392" s="140" t="str">
        <f aca="false">IF($BX392&lt;&gt;Constants!$B$6,"",IF($AL392,$AN392,""))</f>
        <v/>
      </c>
      <c r="BL392" s="135" t="str">
        <f aca="false">IF($BX392&lt;&gt;Constants!$B$6,"",IF(OR($BS392&lt;$BH392,AND($BS392=$BH392,OR($BT392&lt;$BI392,AND($BT392=$BI392,OR($BU392&lt;$BJ392,AND($BU392=$BJ392,AND(ISNUMBER($BV392),OR(NOT(ISNUMBER($BK392)),$BV392&lt;$BK392)))))))),"-&gt;","&lt;-"))</f>
        <v/>
      </c>
      <c r="BM392" s="134" t="str">
        <f aca="false">IF(ISBLANK($C392),"",AND($AT392,OR($AU392="",$AV392="",AND($AW392,$AX392=""))))</f>
        <v/>
      </c>
      <c r="BN392" s="137" t="str">
        <f aca="false">IF($BX392&lt;&gt;Constants!$B$6,"",IF($AT392,Constants!$B$17*$AV392+Constants!$B$18*IF($AW392,$AX392,Constants!$B$19),Constants!$B$20))</f>
        <v/>
      </c>
      <c r="BO392" s="138" t="str">
        <f aca="false">IF($BX392&lt;&gt;Constants!$B$6,"",Constants!$B$21*ABS($AD$9-IF($AT392,$AU392,0)))</f>
        <v/>
      </c>
      <c r="BP392" s="138" t="str">
        <f aca="false">IF($BX392&lt;&gt;Constants!$B$6,"",IF(AND($AT392,$AY392,$AW392),Constants!$B$22,0))</f>
        <v/>
      </c>
      <c r="BQ392" s="138" t="str">
        <f aca="false">IF($BX392&lt;&gt;Constants!$B$6,"",IF($AT392,($AI392-Constants!$B$24)*Constants!$B$23,0))</f>
        <v/>
      </c>
      <c r="BR392" s="138" t="str">
        <f aca="false">IF($BX392&lt;&gt;Constants!$B$6,"",IF($AS392,0,Constants!$B$12)+IF($AR392,0,Constants!$B$13)+IF($AH392,0,Constants!$B$14))</f>
        <v/>
      </c>
      <c r="BS392" s="139" t="str">
        <f aca="false">IF($BX392&lt;&gt;Constants!$B$6,"",Constants!$B$16+SUM($BN392:$BR392))</f>
        <v/>
      </c>
      <c r="BT392" s="138" t="str">
        <f aca="false">IF($BX392&lt;&gt;Constants!$B$6,"",$BN392)</f>
        <v/>
      </c>
      <c r="BU392" s="138" t="str">
        <f aca="false">IF($BX392&lt;&gt;Constants!$B$6,"",$BO392)</f>
        <v/>
      </c>
      <c r="BV392" s="140" t="str">
        <f aca="false">IF($BX392&lt;&gt;Constants!$B$6,"",IF($AT392,$AV392,""))</f>
        <v/>
      </c>
      <c r="BW392" s="135" t="str">
        <f aca="false">IF(ISBLANK($C392),"",IF(ISBLANK($D$7),$BW$5,IF(NOT(ISNUMBER($D$7)),$BW$6,"")))</f>
        <v/>
      </c>
      <c r="BX392" s="135" t="str">
        <f aca="false">IF(ISBLANK($C392),"",IF($BA392,Constants!$B$9,IF(COUNTA($E392:$AA392)=0,Constants!$B$8,IF(NOT($AG392),Constants!$B$7,IF(OR($BW392&lt;&gt;"",$BB392,$BM392),Constants!$B$10,Constants!$B$6)))))</f>
        <v/>
      </c>
      <c r="BY392" s="135" t="str">
        <f aca="false">IF(ISBLANK($C392),"",IF($BX392&lt;&gt;Constants!$B$6,$BX392,Constants!$B$11))</f>
        <v/>
      </c>
      <c r="BZ392" s="138" t="str">
        <f aca="false">IF($BX392&lt;&gt;Constants!$B$6,"",IF($BL392="-&gt;",$BS392,$BH392))</f>
        <v/>
      </c>
      <c r="CA392" s="138" t="str">
        <f aca="false">IF($BX392&lt;&gt;Constants!$B$6,"",IF($AF392,0,Constants!$B$15))</f>
        <v/>
      </c>
      <c r="CB392" s="138" t="str">
        <f aca="false">IF($BX392&lt;&gt;Constants!$B$6,"",((Constants!$B$25-$AZ392)-Constants!$B$25)/Constants!$B$26)</f>
        <v/>
      </c>
      <c r="CC392" s="138" t="str">
        <f aca="false">IF(ISBLANK($C392),"",IF($BX392&lt;&gt;Constants!$B$6,$BX392,SUM($BZ392:$CB392)))</f>
        <v/>
      </c>
      <c r="CD392" s="135" t="str">
        <f aca="false">IF(ISBLANK($C392),"",IF($BX392&lt;&gt;Constants!$B$6,$BX392,RANK($CC392,$CC$9:$CC$508,1)))</f>
        <v/>
      </c>
      <c r="CE392" s="138" t="str">
        <f aca="false">IF($BX392&lt;&gt;Constants!$B$6,"",IF($BL392="-&gt;",$BT392,$BI392))</f>
        <v/>
      </c>
      <c r="CF392" s="135" t="str">
        <f aca="false">IF(ISBLANK($C392),"",IF($BX392&lt;&gt;Constants!$B$6,$BX392,IF(ISNUMBER($CE392),RANK($CE392,$CE$9:$CE$508,1),COUNT($CE$9:$CE$508)+1)))</f>
        <v/>
      </c>
      <c r="CG392" s="138" t="str">
        <f aca="false">IF($BX392&lt;&gt;Constants!$B$6,"",IF($BL392="-&gt;",$BU392,$BJ392))</f>
        <v/>
      </c>
      <c r="CH392" s="135" t="str">
        <f aca="false">IF(ISBLANK($C392),"",IF($BX392&lt;&gt;Constants!$B$6,$BX392,IF(ISNUMBER($CG392),RANK($CG392,$CG$9:$CG$508,1),COUNT($CG$9:$CG$508)+1)))</f>
        <v/>
      </c>
      <c r="CI392" s="138" t="str">
        <f aca="false">IF($BX392&lt;&gt;Constants!$B$6,"",IF($BL392="-&gt;",$BV392,$BK392))</f>
        <v/>
      </c>
      <c r="CJ392" s="135" t="str">
        <f aca="false">IF(ISBLANK($C392),"",IF($BX392&lt;&gt;Constants!$B$6,$BX392,IF(ISNUMBER($CI392),RANK($CI392,$CI$9:$CI$508,1),COUNT($CI$9:$CI$508)+1)))</f>
        <v/>
      </c>
      <c r="CK392" s="138" t="str">
        <f aca="false">IF($BX392&lt;&gt;Constants!$B$6,"",$AI392)</f>
        <v/>
      </c>
      <c r="CL392" s="135" t="str">
        <f aca="false">IF(ISBLANK($C392),"",IF($BX392&lt;&gt;Constants!$B$6,$BX392,IF(ISNUMBER($CK392),RANK($CK392,$CK$9:$CK$508,1),COUNT($CK$9:$CK$508)+1)))</f>
        <v/>
      </c>
      <c r="CM392" s="135" t="str">
        <f aca="false">IF(ISBLANK($C392),"",IF($BX392&lt;&gt;Constants!$B$6,$BX392,COUNTIFS($CD$9:$CD$508,"&lt;"&amp;$CD392)+COUNTIFS($CD$9:$CD$508,$CD392,$CF$9:$CF$508,"&lt;"&amp;$CF392)+COUNTIFS($CD$9:$CD$508,$CD392,$CF$9:$CF$508,$CF392,$CH$9:$CH$508,"&lt;"&amp;$CH392)+COUNTIFS($CD$9:$CD$508,$CD392,$CF$9:$CF$508,$CF392,$CH$9:$CH$508,$CH392,$CJ$9:$CJ$508,"&lt;"&amp;$CJ392)+COUNTIFS($CD$9:$CD$508,$CD392,$CF$9:$CF$508,$CF392,$CH$9:$CH$508,$CH392,$CJ$9:$CJ$508,$CJ392,$CL$9:$CL$508,"&lt;"&amp;$CL392)+1))</f>
        <v/>
      </c>
      <c r="CN392" s="135" t="str">
        <f aca="false">IF(ISBLANK($C392),"",IF($BX392&lt;&gt;Constants!$B$6,$BX392,$CD392-$CM392))</f>
        <v/>
      </c>
      <c r="CO392" s="141"/>
      <c r="CP392" s="142"/>
      <c r="CQ392" s="143" t="str">
        <f aca="false">IF(ISBLANK($C392),"",IF($BX392=Constants!$B$10,$BW392,""))</f>
        <v/>
      </c>
      <c r="CR392" s="142" t="str">
        <f aca="false">IF(ISBLANK($C392),"",IF($BX392&lt;&gt;Constants!$B$6,"",IF($BL392="-&gt;",2,1)))</f>
        <v/>
      </c>
      <c r="CS392" s="144" t="str">
        <f aca="false">IF(ISBLANK($C392),"",IF($BX392&lt;&gt;Constants!$B$6,"",IF($BL392="-&gt;",$BN392,$BC392)))</f>
        <v/>
      </c>
      <c r="CT392" s="144" t="str">
        <f aca="false">IF(ISBLANK($C392),"",IF($BX392&lt;&gt;Constants!$B$6,"",IF($BL392="-&gt;",$BO392,$BD392)))</f>
        <v/>
      </c>
      <c r="CU392" s="144" t="str">
        <f aca="false">IF(ISBLANK($C392),"",IF($BX392&lt;&gt;Constants!$B$6,"",IF($BL392="-&gt;",$BP392+$BQ392,$BE392+$BF392)+$CB392))</f>
        <v/>
      </c>
      <c r="CV392" s="144" t="str">
        <f aca="false">IF(ISBLANK($C392),"",IF($BX392&lt;&gt;Constants!$B$6,"",IF($BL392="-&gt;",$BR392,$BG392)+$CA392))</f>
        <v/>
      </c>
      <c r="CW392" s="145" t="str">
        <f aca="false">IF(ISBLANK($C392),"",IF($BX392&lt;&gt;Constants!$B$6,$BX392,$CC392))</f>
        <v/>
      </c>
      <c r="CX392" s="146" t="str">
        <f aca="false">IF(ISBLANK($C392),"",$BY392)</f>
        <v/>
      </c>
      <c r="CY392" s="147" t="str">
        <f aca="false">IF(ISBLANK($C392),"",$CN392)</f>
        <v/>
      </c>
      <c r="CZ392" s="147" t="str">
        <f aca="false">IF(ISBLANK($C392),"",$CM392)</f>
        <v/>
      </c>
      <c r="DA392" s="148" t="str">
        <f aca="false">IF(ISBLANK($C392),"",IFERROR(_xlfn.SWITCH($CZ392,Constants!$B$9,COUNTA($C$9:$C$508)+2,Constants!$B$8,COUNTA($C$9:$C$508)+1,Constants!$B$7,COUNTA($C$9:$C$508)),$CZ392))</f>
        <v/>
      </c>
      <c r="DB392" s="9"/>
      <c r="DC392" s="149" t="n">
        <f aca="false">IF(OR(ISNUMBER($CZ392),$CZ392=Constants!$B$9,$CZ392=Constants!$B$7,$CZ392=Constants!$B$8),1,0)</f>
        <v>0</v>
      </c>
      <c r="DD392" s="149" t="n">
        <v>384</v>
      </c>
      <c r="DE392" s="149" t="str">
        <f aca="false">IF(ISBLANK($C392),"",IF(ISNUMBER($DA392),$DA392+ROW($B392)/1000,""))</f>
        <v/>
      </c>
      <c r="DF392" s="149" t="str">
        <f aca="false">IF(ISNUMBER($DE392),RANK($DE392,$DE$9:$DE$508,1),"")</f>
        <v/>
      </c>
      <c r="DG392" s="149" t="str">
        <f aca="false">IF(ISBLANK($C392),"",$B392)</f>
        <v/>
      </c>
      <c r="DH392" s="149" t="str">
        <f aca="false">IF(ISBLANK($C392),"",$C392)</f>
        <v/>
      </c>
      <c r="DI392" s="149" t="str">
        <f aca="false">IF(ISBLANK($C392),"",$D392)</f>
        <v/>
      </c>
      <c r="DJ392" s="150" t="str">
        <f aca="false">$CX392</f>
        <v/>
      </c>
      <c r="DK392" s="151" t="str">
        <f aca="false">$CW392</f>
        <v/>
      </c>
      <c r="DL392" s="149" t="str">
        <f aca="false">IF(ISBLANK($C392),"",$CZ392)</f>
        <v/>
      </c>
      <c r="DM392" s="152" t="str">
        <f aca="false">IF($DD392&gt;$DC$8,"",VLOOKUP($DD392,$DF$9:$DL$508,7,FALSE()))</f>
        <v/>
      </c>
      <c r="DN392" s="153" t="str">
        <f aca="false">IF($DD392&gt;$DC$8,"",VLOOKUP($DD392,$DF$9:$DL$508,2,FALSE()))</f>
        <v/>
      </c>
      <c r="DO392" s="153" t="str">
        <f aca="false">IF($DD392&gt;$DC$8,"",VLOOKUP($DD392,$DF$9:$DL$508,3,FALSE()))</f>
        <v/>
      </c>
      <c r="DP392" s="153" t="str">
        <f aca="false">IF($DD392&gt;$DC$8,"",VLOOKUP($DD392,$DF$9:$DL$508,4,FALSE()))</f>
        <v/>
      </c>
      <c r="DQ392" s="153" t="str">
        <f aca="false">IF($DD392&gt;$DC$8,"",VLOOKUP($DD392,$DF$9:$DL$508,5,FALSE()))</f>
        <v/>
      </c>
      <c r="DR392" s="154" t="str">
        <f aca="false">IF($DD392&gt;$DC$8,"",VLOOKUP($DD392,$DF$9:$DL$508,6,FALSE()))</f>
        <v/>
      </c>
      <c r="DS392" s="76"/>
    </row>
    <row r="393" customFormat="false" ht="15.75" hidden="false" customHeight="false" outlineLevel="0" collapsed="false">
      <c r="A393" s="9"/>
      <c r="B393" s="78"/>
      <c r="C393" s="79"/>
      <c r="D393" s="170"/>
      <c r="E393" s="178"/>
      <c r="F393" s="172"/>
      <c r="G393" s="173"/>
      <c r="H393" s="173"/>
      <c r="I393" s="179"/>
      <c r="J393" s="176"/>
      <c r="K393" s="86"/>
      <c r="L393" s="87"/>
      <c r="M393" s="88"/>
      <c r="N393" s="176"/>
      <c r="O393" s="176"/>
      <c r="P393" s="178"/>
      <c r="Q393" s="176"/>
      <c r="R393" s="176"/>
      <c r="S393" s="86"/>
      <c r="T393" s="88"/>
      <c r="U393" s="88"/>
      <c r="V393" s="176"/>
      <c r="W393" s="176"/>
      <c r="X393" s="178"/>
      <c r="Y393" s="176"/>
      <c r="Z393" s="177"/>
      <c r="AA393" s="176"/>
      <c r="AB393" s="92"/>
      <c r="AC393" s="93"/>
      <c r="AD393" s="93"/>
      <c r="AE393" s="93"/>
      <c r="AF393" s="93" t="str">
        <f aca="false">IF(ISBLANK($C393),"",IF(E393=Constants!$B$2,TRUE(),IF(E393=Constants!$B$3,FALSE(),TRUE())))</f>
        <v/>
      </c>
      <c r="AG393" s="93" t="str">
        <f aca="false">IF(ISBLANK($C393),"",IF(F393=Constants!$B$2,TRUE(),IF(F393=Constants!$B$3,FALSE(),TRUE())))</f>
        <v/>
      </c>
      <c r="AH393" s="93" t="str">
        <f aca="false">IF(ISBLANK($C393),"",IF(G393=Constants!$B$2,TRUE(),IF(G393=Constants!$B$3,FALSE(),TRUE())))</f>
        <v/>
      </c>
      <c r="AI393" s="93" t="str">
        <f aca="false">IF(ISBLANK($C393),"",IF(AND(ISNUMBER(H393),H393&gt;=0),H393,Constants!$B$24))</f>
        <v/>
      </c>
      <c r="AJ393" s="93" t="str">
        <f aca="false">IF(ISBLANK($C393),"",IF(I393=Constants!$B$2,TRUE(),IF(I393=Constants!$B$3,FALSE(),TRUE())))</f>
        <v/>
      </c>
      <c r="AK393" s="93" t="str">
        <f aca="false">IF(ISBLANK($C393),"",IF(J393=Constants!$B$2,TRUE(),IF(J393=Constants!$B$3,FALSE(),TRUE())))</f>
        <v/>
      </c>
      <c r="AL393" s="93" t="str">
        <f aca="false">IF(ISBLANK($C393),"",IF(K393=Constants!$B$4,TRUE(),IF(K393=Constants!$B$5,FALSE(),COUNTA(L393:P393)&gt;0)))</f>
        <v/>
      </c>
      <c r="AM393" s="95" t="str">
        <f aca="false">IF(ISBLANK($C393),"",IF(ISNUMBER(L393),IF(L393&gt;=0,L393,""),""))</f>
        <v/>
      </c>
      <c r="AN393" s="94" t="str">
        <f aca="false">IF(ISBLANK($C393),"",IF(ISNUMBER(M393),IF(M393&gt;=0,M393,""),""))</f>
        <v/>
      </c>
      <c r="AO393" s="94" t="str">
        <f aca="false">IF(ISBLANK($C393),"",IF(N393=Constants!$B$2,TRUE(),IF(N393=Constants!$B$3,FALSE(),TRUE())))</f>
        <v/>
      </c>
      <c r="AP393" s="93" t="str">
        <f aca="false">IF(ISBLANK($C393),"",IF(ISNUMBER(O393),IF(O393&gt;=0,O393,""),""))</f>
        <v/>
      </c>
      <c r="AQ393" s="93" t="str">
        <f aca="false">IF(ISBLANK($C393),"",IF(P393=Constants!$B$2,TRUE(),IF(P393=Constants!$B$3,FALSE(),FALSE())))</f>
        <v/>
      </c>
      <c r="AR393" s="93" t="str">
        <f aca="false">IF(ISBLANK($C393),"",IF(Q393=Constants!$B$2,TRUE(),IF(Q393=Constants!$B$3,FALSE(),TRUE())))</f>
        <v/>
      </c>
      <c r="AS393" s="93" t="str">
        <f aca="false">IF(ISBLANK($C393),"",IF(R393=Constants!$B$2,TRUE(),IF(R393=Constants!$B$3,FALSE(),TRUE())))</f>
        <v/>
      </c>
      <c r="AT393" s="93" t="str">
        <f aca="false">IF(ISBLANK($C393),"",IF(S393=Constants!$B$4,TRUE(),IF(S393=Constants!$B$5,FALSE(),COUNTA(T393:X393)&gt;0)))</f>
        <v/>
      </c>
      <c r="AU393" s="95" t="str">
        <f aca="false">IF(ISBLANK($C393),"",IF(ISNUMBER(T393),IF(T393&gt;=0,T393,""),""))</f>
        <v/>
      </c>
      <c r="AV393" s="94" t="str">
        <f aca="false">IF(ISBLANK($C393),"",IF(ISNUMBER(U393),IF(U393&gt;=0,U393,""),""))</f>
        <v/>
      </c>
      <c r="AW393" s="94" t="str">
        <f aca="false">IF(ISBLANK($C393),"",IF(V393=Constants!$B$2,TRUE(),IF(V393=Constants!$B$3,FALSE(),TRUE())))</f>
        <v/>
      </c>
      <c r="AX393" s="93" t="str">
        <f aca="false">IF(ISBLANK($C393),"",IF(ISNUMBER(W393),IF(W393&gt;=0,W393,""),""))</f>
        <v/>
      </c>
      <c r="AY393" s="93" t="str">
        <f aca="false">IF(ISBLANK($C393),"",IF(X393=Constants!$B$2,TRUE(),IF(X393=Constants!$B$3,FALSE(),FALSE())))</f>
        <v/>
      </c>
      <c r="AZ393" s="93" t="str">
        <f aca="false">IF(ISBLANK($C393),"",MIN(Constants!$B$25,MAX(0,IF(ISNUMBER(Y393),Y393*60,0)+IF(ISNUMBER(Z393),Z393,0))))</f>
        <v/>
      </c>
      <c r="BA393" s="93" t="str">
        <f aca="false">IF(ISBLANK($C393),"",IF(AA393=Constants!$B$2,TRUE(),IF(AA393=Constants!$B$3,FALSE(),FALSE())))</f>
        <v/>
      </c>
      <c r="BB393" s="92" t="str">
        <f aca="false">IF(ISBLANK($C393),"",AND($AL393,OR($AM393="",$AN393="",AND($AO393,$AP393=""))))</f>
        <v/>
      </c>
      <c r="BC393" s="94" t="str">
        <f aca="false">IF($BX393&lt;&gt;Constants!$B$6,"",IF($AL393,Constants!$B$17*$AN393+Constants!$B$18*IF($AO393,$AP393,Constants!$B$19),Constants!$B$20))</f>
        <v/>
      </c>
      <c r="BD393" s="97" t="str">
        <f aca="false">IF($BX393&lt;&gt;Constants!$B$6,"",Constants!$B$21*ABS($AD$9-IF($AL393,$AM393,0)))</f>
        <v/>
      </c>
      <c r="BE393" s="97" t="str">
        <f aca="false">IF($BX393&lt;&gt;Constants!$B$6,"",IF(AND($AL393,$AQ393,$AO393),Constants!$B$22,0))</f>
        <v/>
      </c>
      <c r="BF393" s="97" t="str">
        <f aca="false">IF($BX393&lt;&gt;Constants!$B$6,"",IF($AL393,($AI393-Constants!$B$24)*Constants!$B$23,0))</f>
        <v/>
      </c>
      <c r="BG393" s="97" t="str">
        <f aca="false">IF($BX393&lt;&gt;Constants!$B$6,"",IF($AK393,0,Constants!$B$12)+IF($AJ393,0,Constants!$B$13)+IF($AH393,0,Constants!$B$14))</f>
        <v/>
      </c>
      <c r="BH393" s="98" t="str">
        <f aca="false">IF($BX393&lt;&gt;Constants!$B$6,"",Constants!$B$16+SUM($BC393:$BG393))</f>
        <v/>
      </c>
      <c r="BI393" s="97" t="str">
        <f aca="false">IF($BX393&lt;&gt;Constants!$B$6,"",$BC393)</f>
        <v/>
      </c>
      <c r="BJ393" s="97" t="str">
        <f aca="false">IF($BX393&lt;&gt;Constants!$B$6,"",$BD393)</f>
        <v/>
      </c>
      <c r="BK393" s="99" t="str">
        <f aca="false">IF($BX393&lt;&gt;Constants!$B$6,"",IF($AL393,$AN393,""))</f>
        <v/>
      </c>
      <c r="BL393" s="93" t="str">
        <f aca="false">IF($BX393&lt;&gt;Constants!$B$6,"",IF(OR($BS393&lt;$BH393,AND($BS393=$BH393,OR($BT393&lt;$BI393,AND($BT393=$BI393,OR($BU393&lt;$BJ393,AND($BU393=$BJ393,AND(ISNUMBER($BV393),OR(NOT(ISNUMBER($BK393)),$BV393&lt;$BK393)))))))),"-&gt;","&lt;-"))</f>
        <v/>
      </c>
      <c r="BM393" s="92" t="str">
        <f aca="false">IF(ISBLANK($C393),"",AND($AT393,OR($AU393="",$AV393="",AND($AW393,$AX393=""))))</f>
        <v/>
      </c>
      <c r="BN393" s="94" t="str">
        <f aca="false">IF($BX393&lt;&gt;Constants!$B$6,"",IF($AT393,Constants!$B$17*$AV393+Constants!$B$18*IF($AW393,$AX393,Constants!$B$19),Constants!$B$20))</f>
        <v/>
      </c>
      <c r="BO393" s="97" t="str">
        <f aca="false">IF($BX393&lt;&gt;Constants!$B$6,"",Constants!$B$21*ABS($AD$9-IF($AT393,$AU393,0)))</f>
        <v/>
      </c>
      <c r="BP393" s="97" t="str">
        <f aca="false">IF($BX393&lt;&gt;Constants!$B$6,"",IF(AND($AT393,$AY393,$AW393),Constants!$B$22,0))</f>
        <v/>
      </c>
      <c r="BQ393" s="97" t="str">
        <f aca="false">IF($BX393&lt;&gt;Constants!$B$6,"",IF($AT393,($AI393-Constants!$B$24)*Constants!$B$23,0))</f>
        <v/>
      </c>
      <c r="BR393" s="97" t="str">
        <f aca="false">IF($BX393&lt;&gt;Constants!$B$6,"",IF($AS393,0,Constants!$B$12)+IF($AR393,0,Constants!$B$13)+IF($AH393,0,Constants!$B$14))</f>
        <v/>
      </c>
      <c r="BS393" s="98" t="str">
        <f aca="false">IF($BX393&lt;&gt;Constants!$B$6,"",Constants!$B$16+SUM($BN393:$BR393))</f>
        <v/>
      </c>
      <c r="BT393" s="97" t="str">
        <f aca="false">IF($BX393&lt;&gt;Constants!$B$6,"",$BN393)</f>
        <v/>
      </c>
      <c r="BU393" s="97" t="str">
        <f aca="false">IF($BX393&lt;&gt;Constants!$B$6,"",$BO393)</f>
        <v/>
      </c>
      <c r="BV393" s="99" t="str">
        <f aca="false">IF($BX393&lt;&gt;Constants!$B$6,"",IF($AT393,$AV393,""))</f>
        <v/>
      </c>
      <c r="BW393" s="93" t="str">
        <f aca="false">IF(ISBLANK($C393),"",IF(ISBLANK($D$7),$BW$5,IF(NOT(ISNUMBER($D$7)),$BW$6,"")))</f>
        <v/>
      </c>
      <c r="BX393" s="93" t="str">
        <f aca="false">IF(ISBLANK($C393),"",IF($BA393,Constants!$B$9,IF(COUNTA($E393:$AA393)=0,Constants!$B$8,IF(NOT($AG393),Constants!$B$7,IF(OR($BW393&lt;&gt;"",$BB393,$BM393),Constants!$B$10,Constants!$B$6)))))</f>
        <v/>
      </c>
      <c r="BY393" s="93" t="str">
        <f aca="false">IF(ISBLANK($C393),"",IF($BX393&lt;&gt;Constants!$B$6,$BX393,Constants!$B$11))</f>
        <v/>
      </c>
      <c r="BZ393" s="97" t="str">
        <f aca="false">IF($BX393&lt;&gt;Constants!$B$6,"",IF($BL393="-&gt;",$BS393,$BH393))</f>
        <v/>
      </c>
      <c r="CA393" s="97" t="str">
        <f aca="false">IF($BX393&lt;&gt;Constants!$B$6,"",IF($AF393,0,Constants!$B$15))</f>
        <v/>
      </c>
      <c r="CB393" s="97" t="str">
        <f aca="false">IF($BX393&lt;&gt;Constants!$B$6,"",((Constants!$B$25-$AZ393)-Constants!$B$25)/Constants!$B$26)</f>
        <v/>
      </c>
      <c r="CC393" s="97" t="str">
        <f aca="false">IF(ISBLANK($C393),"",IF($BX393&lt;&gt;Constants!$B$6,$BX393,SUM($BZ393:$CB393)))</f>
        <v/>
      </c>
      <c r="CD393" s="93" t="str">
        <f aca="false">IF(ISBLANK($C393),"",IF($BX393&lt;&gt;Constants!$B$6,$BX393,RANK($CC393,$CC$9:$CC$508,1)))</f>
        <v/>
      </c>
      <c r="CE393" s="97" t="str">
        <f aca="false">IF($BX393&lt;&gt;Constants!$B$6,"",IF($BL393="-&gt;",$BT393,$BI393))</f>
        <v/>
      </c>
      <c r="CF393" s="93" t="str">
        <f aca="false">IF(ISBLANK($C393),"",IF($BX393&lt;&gt;Constants!$B$6,$BX393,IF(ISNUMBER($CE393),RANK($CE393,$CE$9:$CE$508,1),COUNT($CE$9:$CE$508)+1)))</f>
        <v/>
      </c>
      <c r="CG393" s="97" t="str">
        <f aca="false">IF($BX393&lt;&gt;Constants!$B$6,"",IF($BL393="-&gt;",$BU393,$BJ393))</f>
        <v/>
      </c>
      <c r="CH393" s="93" t="str">
        <f aca="false">IF(ISBLANK($C393),"",IF($BX393&lt;&gt;Constants!$B$6,$BX393,IF(ISNUMBER($CG393),RANK($CG393,$CG$9:$CG$508,1),COUNT($CG$9:$CG$508)+1)))</f>
        <v/>
      </c>
      <c r="CI393" s="97" t="str">
        <f aca="false">IF($BX393&lt;&gt;Constants!$B$6,"",IF($BL393="-&gt;",$BV393,$BK393))</f>
        <v/>
      </c>
      <c r="CJ393" s="93" t="str">
        <f aca="false">IF(ISBLANK($C393),"",IF($BX393&lt;&gt;Constants!$B$6,$BX393,IF(ISNUMBER($CI393),RANK($CI393,$CI$9:$CI$508,1),COUNT($CI$9:$CI$508)+1)))</f>
        <v/>
      </c>
      <c r="CK393" s="97" t="str">
        <f aca="false">IF($BX393&lt;&gt;Constants!$B$6,"",$AI393)</f>
        <v/>
      </c>
      <c r="CL393" s="93" t="str">
        <f aca="false">IF(ISBLANK($C393),"",IF($BX393&lt;&gt;Constants!$B$6,$BX393,IF(ISNUMBER($CK393),RANK($CK393,$CK$9:$CK$508,1),COUNT($CK$9:$CK$508)+1)))</f>
        <v/>
      </c>
      <c r="CM393" s="93" t="str">
        <f aca="false">IF(ISBLANK($C393),"",IF($BX393&lt;&gt;Constants!$B$6,$BX393,COUNTIFS($CD$9:$CD$508,"&lt;"&amp;$CD393)+COUNTIFS($CD$9:$CD$508,$CD393,$CF$9:$CF$508,"&lt;"&amp;$CF393)+COUNTIFS($CD$9:$CD$508,$CD393,$CF$9:$CF$508,$CF393,$CH$9:$CH$508,"&lt;"&amp;$CH393)+COUNTIFS($CD$9:$CD$508,$CD393,$CF$9:$CF$508,$CF393,$CH$9:$CH$508,$CH393,$CJ$9:$CJ$508,"&lt;"&amp;$CJ393)+COUNTIFS($CD$9:$CD$508,$CD393,$CF$9:$CF$508,$CF393,$CH$9:$CH$508,$CH393,$CJ$9:$CJ$508,$CJ393,$CL$9:$CL$508,"&lt;"&amp;$CL393)+1))</f>
        <v/>
      </c>
      <c r="CN393" s="93" t="str">
        <f aca="false">IF(ISBLANK($C393),"",IF($BX393&lt;&gt;Constants!$B$6,$BX393,$CD393-$CM393))</f>
        <v/>
      </c>
      <c r="CO393" s="100"/>
      <c r="CP393" s="101"/>
      <c r="CQ393" s="102" t="str">
        <f aca="false">IF(ISBLANK($C393),"",IF($BX393=Constants!$B$10,$BW393,""))</f>
        <v/>
      </c>
      <c r="CR393" s="101" t="str">
        <f aca="false">IF(ISBLANK($C393),"",IF($BX393&lt;&gt;Constants!$B$6,"",IF($BL393="-&gt;",2,1)))</f>
        <v/>
      </c>
      <c r="CS393" s="103" t="str">
        <f aca="false">IF(ISBLANK($C393),"",IF($BX393&lt;&gt;Constants!$B$6,"",IF($BL393="-&gt;",$BN393,$BC393)))</f>
        <v/>
      </c>
      <c r="CT393" s="103" t="str">
        <f aca="false">IF(ISBLANK($C393),"",IF($BX393&lt;&gt;Constants!$B$6,"",IF($BL393="-&gt;",$BO393,$BD393)))</f>
        <v/>
      </c>
      <c r="CU393" s="103" t="str">
        <f aca="false">IF(ISBLANK($C393),"",IF($BX393&lt;&gt;Constants!$B$6,"",IF($BL393="-&gt;",$BP393+$BQ393,$BE393+$BF393)+$CB393))</f>
        <v/>
      </c>
      <c r="CV393" s="103" t="str">
        <f aca="false">IF(ISBLANK($C393),"",IF($BX393&lt;&gt;Constants!$B$6,"",IF($BL393="-&gt;",$BR393,$BG393)+$CA393))</f>
        <v/>
      </c>
      <c r="CW393" s="104" t="str">
        <f aca="false">IF(ISBLANK($C393),"",IF($BX393&lt;&gt;Constants!$B$6,$BX393,$CC393))</f>
        <v/>
      </c>
      <c r="CX393" s="105" t="str">
        <f aca="false">IF(ISBLANK($C393),"",$BY393)</f>
        <v/>
      </c>
      <c r="CY393" s="106" t="str">
        <f aca="false">IF(ISBLANK($C393),"",$CN393)</f>
        <v/>
      </c>
      <c r="CZ393" s="106" t="str">
        <f aca="false">IF(ISBLANK($C393),"",$CM393)</f>
        <v/>
      </c>
      <c r="DA393" s="107" t="str">
        <f aca="false">IF(ISBLANK($C393),"",IFERROR(_xlfn.SWITCH($CZ393,Constants!$B$9,COUNTA($C$9:$C$508)+2,Constants!$B$8,COUNTA($C$9:$C$508)+1,Constants!$B$7,COUNTA($C$9:$C$508)),$CZ393))</f>
        <v/>
      </c>
      <c r="DB393" s="9"/>
      <c r="DC393" s="108" t="n">
        <f aca="false">IF(OR(ISNUMBER($CZ393),$CZ393=Constants!$B$9,$CZ393=Constants!$B$7,$CZ393=Constants!$B$8),1,0)</f>
        <v>0</v>
      </c>
      <c r="DD393" s="108" t="n">
        <v>385</v>
      </c>
      <c r="DE393" s="108" t="str">
        <f aca="false">IF(ISBLANK($C393),"",IF(ISNUMBER($DA393),$DA393+ROW($B393)/1000,""))</f>
        <v/>
      </c>
      <c r="DF393" s="108" t="str">
        <f aca="false">IF(ISNUMBER($DE393),RANK($DE393,$DE$9:$DE$508,1),"")</f>
        <v/>
      </c>
      <c r="DG393" s="108" t="str">
        <f aca="false">IF(ISBLANK($C393),"",$B393)</f>
        <v/>
      </c>
      <c r="DH393" s="108" t="str">
        <f aca="false">IF(ISBLANK($C393),"",$C393)</f>
        <v/>
      </c>
      <c r="DI393" s="108" t="str">
        <f aca="false">IF(ISBLANK($C393),"",$D393)</f>
        <v/>
      </c>
      <c r="DJ393" s="109" t="str">
        <f aca="false">$CX393</f>
        <v/>
      </c>
      <c r="DK393" s="110" t="str">
        <f aca="false">$CW393</f>
        <v/>
      </c>
      <c r="DL393" s="108" t="str">
        <f aca="false">IF(ISBLANK($C393),"",$CZ393)</f>
        <v/>
      </c>
      <c r="DM393" s="111" t="str">
        <f aca="false">IF($DD393&gt;$DC$8,"",VLOOKUP($DD393,$DF$9:$DL$508,7,FALSE()))</f>
        <v/>
      </c>
      <c r="DN393" s="112" t="str">
        <f aca="false">IF($DD393&gt;$DC$8,"",VLOOKUP($DD393,$DF$9:$DL$508,2,FALSE()))</f>
        <v/>
      </c>
      <c r="DO393" s="112" t="str">
        <f aca="false">IF($DD393&gt;$DC$8,"",VLOOKUP($DD393,$DF$9:$DL$508,3,FALSE()))</f>
        <v/>
      </c>
      <c r="DP393" s="112" t="str">
        <f aca="false">IF($DD393&gt;$DC$8,"",VLOOKUP($DD393,$DF$9:$DL$508,4,FALSE()))</f>
        <v/>
      </c>
      <c r="DQ393" s="112" t="str">
        <f aca="false">IF($DD393&gt;$DC$8,"",VLOOKUP($DD393,$DF$9:$DL$508,5,FALSE()))</f>
        <v/>
      </c>
      <c r="DR393" s="113" t="str">
        <f aca="false">IF($DD393&gt;$DC$8,"",VLOOKUP($DD393,$DF$9:$DL$508,6,FALSE()))</f>
        <v/>
      </c>
      <c r="DS393" s="76"/>
    </row>
    <row r="394" customFormat="false" ht="15.75" hidden="false" customHeight="false" outlineLevel="0" collapsed="false">
      <c r="A394" s="9"/>
      <c r="B394" s="78"/>
      <c r="C394" s="79"/>
      <c r="D394" s="170"/>
      <c r="E394" s="178"/>
      <c r="F394" s="172"/>
      <c r="G394" s="173"/>
      <c r="H394" s="173"/>
      <c r="I394" s="179"/>
      <c r="J394" s="176"/>
      <c r="K394" s="86"/>
      <c r="L394" s="87"/>
      <c r="M394" s="88"/>
      <c r="N394" s="176"/>
      <c r="O394" s="176"/>
      <c r="P394" s="178"/>
      <c r="Q394" s="176"/>
      <c r="R394" s="176"/>
      <c r="S394" s="86"/>
      <c r="T394" s="88"/>
      <c r="U394" s="88"/>
      <c r="V394" s="176"/>
      <c r="W394" s="176"/>
      <c r="X394" s="178"/>
      <c r="Y394" s="176"/>
      <c r="Z394" s="177"/>
      <c r="AA394" s="176"/>
      <c r="AB394" s="92"/>
      <c r="AC394" s="93"/>
      <c r="AD394" s="93"/>
      <c r="AE394" s="93"/>
      <c r="AF394" s="93" t="str">
        <f aca="false">IF(ISBLANK($C394),"",IF(E394=Constants!$B$2,TRUE(),IF(E394=Constants!$B$3,FALSE(),TRUE())))</f>
        <v/>
      </c>
      <c r="AG394" s="93" t="str">
        <f aca="false">IF(ISBLANK($C394),"",IF(F394=Constants!$B$2,TRUE(),IF(F394=Constants!$B$3,FALSE(),TRUE())))</f>
        <v/>
      </c>
      <c r="AH394" s="93" t="str">
        <f aca="false">IF(ISBLANK($C394),"",IF(G394=Constants!$B$2,TRUE(),IF(G394=Constants!$B$3,FALSE(),TRUE())))</f>
        <v/>
      </c>
      <c r="AI394" s="93" t="str">
        <f aca="false">IF(ISBLANK($C394),"",IF(AND(ISNUMBER(H394),H394&gt;=0),H394,Constants!$B$24))</f>
        <v/>
      </c>
      <c r="AJ394" s="93" t="str">
        <f aca="false">IF(ISBLANK($C394),"",IF(I394=Constants!$B$2,TRUE(),IF(I394=Constants!$B$3,FALSE(),TRUE())))</f>
        <v/>
      </c>
      <c r="AK394" s="93" t="str">
        <f aca="false">IF(ISBLANK($C394),"",IF(J394=Constants!$B$2,TRUE(),IF(J394=Constants!$B$3,FALSE(),TRUE())))</f>
        <v/>
      </c>
      <c r="AL394" s="93" t="str">
        <f aca="false">IF(ISBLANK($C394),"",IF(K394=Constants!$B$4,TRUE(),IF(K394=Constants!$B$5,FALSE(),COUNTA(L394:P394)&gt;0)))</f>
        <v/>
      </c>
      <c r="AM394" s="95" t="str">
        <f aca="false">IF(ISBLANK($C394),"",IF(ISNUMBER(L394),IF(L394&gt;=0,L394,""),""))</f>
        <v/>
      </c>
      <c r="AN394" s="94" t="str">
        <f aca="false">IF(ISBLANK($C394),"",IF(ISNUMBER(M394),IF(M394&gt;=0,M394,""),""))</f>
        <v/>
      </c>
      <c r="AO394" s="94" t="str">
        <f aca="false">IF(ISBLANK($C394),"",IF(N394=Constants!$B$2,TRUE(),IF(N394=Constants!$B$3,FALSE(),TRUE())))</f>
        <v/>
      </c>
      <c r="AP394" s="93" t="str">
        <f aca="false">IF(ISBLANK($C394),"",IF(ISNUMBER(O394),IF(O394&gt;=0,O394,""),""))</f>
        <v/>
      </c>
      <c r="AQ394" s="93" t="str">
        <f aca="false">IF(ISBLANK($C394),"",IF(P394=Constants!$B$2,TRUE(),IF(P394=Constants!$B$3,FALSE(),FALSE())))</f>
        <v/>
      </c>
      <c r="AR394" s="93" t="str">
        <f aca="false">IF(ISBLANK($C394),"",IF(Q394=Constants!$B$2,TRUE(),IF(Q394=Constants!$B$3,FALSE(),TRUE())))</f>
        <v/>
      </c>
      <c r="AS394" s="93" t="str">
        <f aca="false">IF(ISBLANK($C394),"",IF(R394=Constants!$B$2,TRUE(),IF(R394=Constants!$B$3,FALSE(),TRUE())))</f>
        <v/>
      </c>
      <c r="AT394" s="93" t="str">
        <f aca="false">IF(ISBLANK($C394),"",IF(S394=Constants!$B$4,TRUE(),IF(S394=Constants!$B$5,FALSE(),COUNTA(T394:X394)&gt;0)))</f>
        <v/>
      </c>
      <c r="AU394" s="95" t="str">
        <f aca="false">IF(ISBLANK($C394),"",IF(ISNUMBER(T394),IF(T394&gt;=0,T394,""),""))</f>
        <v/>
      </c>
      <c r="AV394" s="94" t="str">
        <f aca="false">IF(ISBLANK($C394),"",IF(ISNUMBER(U394),IF(U394&gt;=0,U394,""),""))</f>
        <v/>
      </c>
      <c r="AW394" s="94" t="str">
        <f aca="false">IF(ISBLANK($C394),"",IF(V394=Constants!$B$2,TRUE(),IF(V394=Constants!$B$3,FALSE(),TRUE())))</f>
        <v/>
      </c>
      <c r="AX394" s="93" t="str">
        <f aca="false">IF(ISBLANK($C394),"",IF(ISNUMBER(W394),IF(W394&gt;=0,W394,""),""))</f>
        <v/>
      </c>
      <c r="AY394" s="93" t="str">
        <f aca="false">IF(ISBLANK($C394),"",IF(X394=Constants!$B$2,TRUE(),IF(X394=Constants!$B$3,FALSE(),FALSE())))</f>
        <v/>
      </c>
      <c r="AZ394" s="93" t="str">
        <f aca="false">IF(ISBLANK($C394),"",MIN(Constants!$B$25,MAX(0,IF(ISNUMBER(Y394),Y394*60,0)+IF(ISNUMBER(Z394),Z394,0))))</f>
        <v/>
      </c>
      <c r="BA394" s="93" t="str">
        <f aca="false">IF(ISBLANK($C394),"",IF(AA394=Constants!$B$2,TRUE(),IF(AA394=Constants!$B$3,FALSE(),FALSE())))</f>
        <v/>
      </c>
      <c r="BB394" s="92" t="str">
        <f aca="false">IF(ISBLANK($C394),"",AND($AL394,OR($AM394="",$AN394="",AND($AO394,$AP394=""))))</f>
        <v/>
      </c>
      <c r="BC394" s="94" t="str">
        <f aca="false">IF($BX394&lt;&gt;Constants!$B$6,"",IF($AL394,Constants!$B$17*$AN394+Constants!$B$18*IF($AO394,$AP394,Constants!$B$19),Constants!$B$20))</f>
        <v/>
      </c>
      <c r="BD394" s="97" t="str">
        <f aca="false">IF($BX394&lt;&gt;Constants!$B$6,"",Constants!$B$21*ABS($AD$9-IF($AL394,$AM394,0)))</f>
        <v/>
      </c>
      <c r="BE394" s="97" t="str">
        <f aca="false">IF($BX394&lt;&gt;Constants!$B$6,"",IF(AND($AL394,$AQ394,$AO394),Constants!$B$22,0))</f>
        <v/>
      </c>
      <c r="BF394" s="97" t="str">
        <f aca="false">IF($BX394&lt;&gt;Constants!$B$6,"",IF($AL394,($AI394-Constants!$B$24)*Constants!$B$23,0))</f>
        <v/>
      </c>
      <c r="BG394" s="97" t="str">
        <f aca="false">IF($BX394&lt;&gt;Constants!$B$6,"",IF($AK394,0,Constants!$B$12)+IF($AJ394,0,Constants!$B$13)+IF($AH394,0,Constants!$B$14))</f>
        <v/>
      </c>
      <c r="BH394" s="98" t="str">
        <f aca="false">IF($BX394&lt;&gt;Constants!$B$6,"",Constants!$B$16+SUM($BC394:$BG394))</f>
        <v/>
      </c>
      <c r="BI394" s="97" t="str">
        <f aca="false">IF($BX394&lt;&gt;Constants!$B$6,"",$BC394)</f>
        <v/>
      </c>
      <c r="BJ394" s="97" t="str">
        <f aca="false">IF($BX394&lt;&gt;Constants!$B$6,"",$BD394)</f>
        <v/>
      </c>
      <c r="BK394" s="99" t="str">
        <f aca="false">IF($BX394&lt;&gt;Constants!$B$6,"",IF($AL394,$AN394,""))</f>
        <v/>
      </c>
      <c r="BL394" s="93" t="str">
        <f aca="false">IF($BX394&lt;&gt;Constants!$B$6,"",IF(OR($BS394&lt;$BH394,AND($BS394=$BH394,OR($BT394&lt;$BI394,AND($BT394=$BI394,OR($BU394&lt;$BJ394,AND($BU394=$BJ394,AND(ISNUMBER($BV394),OR(NOT(ISNUMBER($BK394)),$BV394&lt;$BK394)))))))),"-&gt;","&lt;-"))</f>
        <v/>
      </c>
      <c r="BM394" s="92" t="str">
        <f aca="false">IF(ISBLANK($C394),"",AND($AT394,OR($AU394="",$AV394="",AND($AW394,$AX394=""))))</f>
        <v/>
      </c>
      <c r="BN394" s="94" t="str">
        <f aca="false">IF($BX394&lt;&gt;Constants!$B$6,"",IF($AT394,Constants!$B$17*$AV394+Constants!$B$18*IF($AW394,$AX394,Constants!$B$19),Constants!$B$20))</f>
        <v/>
      </c>
      <c r="BO394" s="97" t="str">
        <f aca="false">IF($BX394&lt;&gt;Constants!$B$6,"",Constants!$B$21*ABS($AD$9-IF($AT394,$AU394,0)))</f>
        <v/>
      </c>
      <c r="BP394" s="97" t="str">
        <f aca="false">IF($BX394&lt;&gt;Constants!$B$6,"",IF(AND($AT394,$AY394,$AW394),Constants!$B$22,0))</f>
        <v/>
      </c>
      <c r="BQ394" s="97" t="str">
        <f aca="false">IF($BX394&lt;&gt;Constants!$B$6,"",IF($AT394,($AI394-Constants!$B$24)*Constants!$B$23,0))</f>
        <v/>
      </c>
      <c r="BR394" s="97" t="str">
        <f aca="false">IF($BX394&lt;&gt;Constants!$B$6,"",IF($AS394,0,Constants!$B$12)+IF($AR394,0,Constants!$B$13)+IF($AH394,0,Constants!$B$14))</f>
        <v/>
      </c>
      <c r="BS394" s="98" t="str">
        <f aca="false">IF($BX394&lt;&gt;Constants!$B$6,"",Constants!$B$16+SUM($BN394:$BR394))</f>
        <v/>
      </c>
      <c r="BT394" s="97" t="str">
        <f aca="false">IF($BX394&lt;&gt;Constants!$B$6,"",$BN394)</f>
        <v/>
      </c>
      <c r="BU394" s="97" t="str">
        <f aca="false">IF($BX394&lt;&gt;Constants!$B$6,"",$BO394)</f>
        <v/>
      </c>
      <c r="BV394" s="99" t="str">
        <f aca="false">IF($BX394&lt;&gt;Constants!$B$6,"",IF($AT394,$AV394,""))</f>
        <v/>
      </c>
      <c r="BW394" s="93" t="str">
        <f aca="false">IF(ISBLANK($C394),"",IF(ISBLANK($D$7),$BW$5,IF(NOT(ISNUMBER($D$7)),$BW$6,"")))</f>
        <v/>
      </c>
      <c r="BX394" s="93" t="str">
        <f aca="false">IF(ISBLANK($C394),"",IF($BA394,Constants!$B$9,IF(COUNTA($E394:$AA394)=0,Constants!$B$8,IF(NOT($AG394),Constants!$B$7,IF(OR($BW394&lt;&gt;"",$BB394,$BM394),Constants!$B$10,Constants!$B$6)))))</f>
        <v/>
      </c>
      <c r="BY394" s="93" t="str">
        <f aca="false">IF(ISBLANK($C394),"",IF($BX394&lt;&gt;Constants!$B$6,$BX394,Constants!$B$11))</f>
        <v/>
      </c>
      <c r="BZ394" s="97" t="str">
        <f aca="false">IF($BX394&lt;&gt;Constants!$B$6,"",IF($BL394="-&gt;",$BS394,$BH394))</f>
        <v/>
      </c>
      <c r="CA394" s="97" t="str">
        <f aca="false">IF($BX394&lt;&gt;Constants!$B$6,"",IF($AF394,0,Constants!$B$15))</f>
        <v/>
      </c>
      <c r="CB394" s="97" t="str">
        <f aca="false">IF($BX394&lt;&gt;Constants!$B$6,"",((Constants!$B$25-$AZ394)-Constants!$B$25)/Constants!$B$26)</f>
        <v/>
      </c>
      <c r="CC394" s="97" t="str">
        <f aca="false">IF(ISBLANK($C394),"",IF($BX394&lt;&gt;Constants!$B$6,$BX394,SUM($BZ394:$CB394)))</f>
        <v/>
      </c>
      <c r="CD394" s="93" t="str">
        <f aca="false">IF(ISBLANK($C394),"",IF($BX394&lt;&gt;Constants!$B$6,$BX394,RANK($CC394,$CC$9:$CC$508,1)))</f>
        <v/>
      </c>
      <c r="CE394" s="97" t="str">
        <f aca="false">IF($BX394&lt;&gt;Constants!$B$6,"",IF($BL394="-&gt;",$BT394,$BI394))</f>
        <v/>
      </c>
      <c r="CF394" s="93" t="str">
        <f aca="false">IF(ISBLANK($C394),"",IF($BX394&lt;&gt;Constants!$B$6,$BX394,IF(ISNUMBER($CE394),RANK($CE394,$CE$9:$CE$508,1),COUNT($CE$9:$CE$508)+1)))</f>
        <v/>
      </c>
      <c r="CG394" s="97" t="str">
        <f aca="false">IF($BX394&lt;&gt;Constants!$B$6,"",IF($BL394="-&gt;",$BU394,$BJ394))</f>
        <v/>
      </c>
      <c r="CH394" s="93" t="str">
        <f aca="false">IF(ISBLANK($C394),"",IF($BX394&lt;&gt;Constants!$B$6,$BX394,IF(ISNUMBER($CG394),RANK($CG394,$CG$9:$CG$508,1),COUNT($CG$9:$CG$508)+1)))</f>
        <v/>
      </c>
      <c r="CI394" s="97" t="str">
        <f aca="false">IF($BX394&lt;&gt;Constants!$B$6,"",IF($BL394="-&gt;",$BV394,$BK394))</f>
        <v/>
      </c>
      <c r="CJ394" s="93" t="str">
        <f aca="false">IF(ISBLANK($C394),"",IF($BX394&lt;&gt;Constants!$B$6,$BX394,IF(ISNUMBER($CI394),RANK($CI394,$CI$9:$CI$508,1),COUNT($CI$9:$CI$508)+1)))</f>
        <v/>
      </c>
      <c r="CK394" s="97" t="str">
        <f aca="false">IF($BX394&lt;&gt;Constants!$B$6,"",$AI394)</f>
        <v/>
      </c>
      <c r="CL394" s="93" t="str">
        <f aca="false">IF(ISBLANK($C394),"",IF($BX394&lt;&gt;Constants!$B$6,$BX394,IF(ISNUMBER($CK394),RANK($CK394,$CK$9:$CK$508,1),COUNT($CK$9:$CK$508)+1)))</f>
        <v/>
      </c>
      <c r="CM394" s="93" t="str">
        <f aca="false">IF(ISBLANK($C394),"",IF($BX394&lt;&gt;Constants!$B$6,$BX394,COUNTIFS($CD$9:$CD$508,"&lt;"&amp;$CD394)+COUNTIFS($CD$9:$CD$508,$CD394,$CF$9:$CF$508,"&lt;"&amp;$CF394)+COUNTIFS($CD$9:$CD$508,$CD394,$CF$9:$CF$508,$CF394,$CH$9:$CH$508,"&lt;"&amp;$CH394)+COUNTIFS($CD$9:$CD$508,$CD394,$CF$9:$CF$508,$CF394,$CH$9:$CH$508,$CH394,$CJ$9:$CJ$508,"&lt;"&amp;$CJ394)+COUNTIFS($CD$9:$CD$508,$CD394,$CF$9:$CF$508,$CF394,$CH$9:$CH$508,$CH394,$CJ$9:$CJ$508,$CJ394,$CL$9:$CL$508,"&lt;"&amp;$CL394)+1))</f>
        <v/>
      </c>
      <c r="CN394" s="93" t="str">
        <f aca="false">IF(ISBLANK($C394),"",IF($BX394&lt;&gt;Constants!$B$6,$BX394,$CD394-$CM394))</f>
        <v/>
      </c>
      <c r="CO394" s="100"/>
      <c r="CP394" s="101"/>
      <c r="CQ394" s="102" t="str">
        <f aca="false">IF(ISBLANK($C394),"",IF($BX394=Constants!$B$10,$BW394,""))</f>
        <v/>
      </c>
      <c r="CR394" s="101" t="str">
        <f aca="false">IF(ISBLANK($C394),"",IF($BX394&lt;&gt;Constants!$B$6,"",IF($BL394="-&gt;",2,1)))</f>
        <v/>
      </c>
      <c r="CS394" s="103" t="str">
        <f aca="false">IF(ISBLANK($C394),"",IF($BX394&lt;&gt;Constants!$B$6,"",IF($BL394="-&gt;",$BN394,$BC394)))</f>
        <v/>
      </c>
      <c r="CT394" s="103" t="str">
        <f aca="false">IF(ISBLANK($C394),"",IF($BX394&lt;&gt;Constants!$B$6,"",IF($BL394="-&gt;",$BO394,$BD394)))</f>
        <v/>
      </c>
      <c r="CU394" s="103" t="str">
        <f aca="false">IF(ISBLANK($C394),"",IF($BX394&lt;&gt;Constants!$B$6,"",IF($BL394="-&gt;",$BP394+$BQ394,$BE394+$BF394)+$CB394))</f>
        <v/>
      </c>
      <c r="CV394" s="103" t="str">
        <f aca="false">IF(ISBLANK($C394),"",IF($BX394&lt;&gt;Constants!$B$6,"",IF($BL394="-&gt;",$BR394,$BG394)+$CA394))</f>
        <v/>
      </c>
      <c r="CW394" s="104" t="str">
        <f aca="false">IF(ISBLANK($C394),"",IF($BX394&lt;&gt;Constants!$B$6,$BX394,$CC394))</f>
        <v/>
      </c>
      <c r="CX394" s="105" t="str">
        <f aca="false">IF(ISBLANK($C394),"",$BY394)</f>
        <v/>
      </c>
      <c r="CY394" s="106" t="str">
        <f aca="false">IF(ISBLANK($C394),"",$CN394)</f>
        <v/>
      </c>
      <c r="CZ394" s="106" t="str">
        <f aca="false">IF(ISBLANK($C394),"",$CM394)</f>
        <v/>
      </c>
      <c r="DA394" s="107" t="str">
        <f aca="false">IF(ISBLANK($C394),"",IFERROR(_xlfn.SWITCH($CZ394,Constants!$B$9,COUNTA($C$9:$C$508)+2,Constants!$B$8,COUNTA($C$9:$C$508)+1,Constants!$B$7,COUNTA($C$9:$C$508)),$CZ394))</f>
        <v/>
      </c>
      <c r="DB394" s="9"/>
      <c r="DC394" s="108" t="n">
        <f aca="false">IF(OR(ISNUMBER($CZ394),$CZ394=Constants!$B$9,$CZ394=Constants!$B$7,$CZ394=Constants!$B$8),1,0)</f>
        <v>0</v>
      </c>
      <c r="DD394" s="108" t="n">
        <v>386</v>
      </c>
      <c r="DE394" s="108" t="str">
        <f aca="false">IF(ISBLANK($C394),"",IF(ISNUMBER($DA394),$DA394+ROW($B394)/1000,""))</f>
        <v/>
      </c>
      <c r="DF394" s="108" t="str">
        <f aca="false">IF(ISNUMBER($DE394),RANK($DE394,$DE$9:$DE$508,1),"")</f>
        <v/>
      </c>
      <c r="DG394" s="108" t="str">
        <f aca="false">IF(ISBLANK($C394),"",$B394)</f>
        <v/>
      </c>
      <c r="DH394" s="108" t="str">
        <f aca="false">IF(ISBLANK($C394),"",$C394)</f>
        <v/>
      </c>
      <c r="DI394" s="108" t="str">
        <f aca="false">IF(ISBLANK($C394),"",$D394)</f>
        <v/>
      </c>
      <c r="DJ394" s="109" t="str">
        <f aca="false">$CX394</f>
        <v/>
      </c>
      <c r="DK394" s="110" t="str">
        <f aca="false">$CW394</f>
        <v/>
      </c>
      <c r="DL394" s="108" t="str">
        <f aca="false">IF(ISBLANK($C394),"",$CZ394)</f>
        <v/>
      </c>
      <c r="DM394" s="111" t="str">
        <f aca="false">IF($DD394&gt;$DC$8,"",VLOOKUP($DD394,$DF$9:$DL$508,7,FALSE()))</f>
        <v/>
      </c>
      <c r="DN394" s="112" t="str">
        <f aca="false">IF($DD394&gt;$DC$8,"",VLOOKUP($DD394,$DF$9:$DL$508,2,FALSE()))</f>
        <v/>
      </c>
      <c r="DO394" s="112" t="str">
        <f aca="false">IF($DD394&gt;$DC$8,"",VLOOKUP($DD394,$DF$9:$DL$508,3,FALSE()))</f>
        <v/>
      </c>
      <c r="DP394" s="112" t="str">
        <f aca="false">IF($DD394&gt;$DC$8,"",VLOOKUP($DD394,$DF$9:$DL$508,4,FALSE()))</f>
        <v/>
      </c>
      <c r="DQ394" s="112" t="str">
        <f aca="false">IF($DD394&gt;$DC$8,"",VLOOKUP($DD394,$DF$9:$DL$508,5,FALSE()))</f>
        <v/>
      </c>
      <c r="DR394" s="113" t="str">
        <f aca="false">IF($DD394&gt;$DC$8,"",VLOOKUP($DD394,$DF$9:$DL$508,6,FALSE()))</f>
        <v/>
      </c>
      <c r="DS394" s="76"/>
    </row>
    <row r="395" customFormat="false" ht="15.75" hidden="false" customHeight="false" outlineLevel="0" collapsed="false">
      <c r="A395" s="9"/>
      <c r="B395" s="78"/>
      <c r="C395" s="79"/>
      <c r="D395" s="170"/>
      <c r="E395" s="178"/>
      <c r="F395" s="172"/>
      <c r="G395" s="173"/>
      <c r="H395" s="173"/>
      <c r="I395" s="179"/>
      <c r="J395" s="176"/>
      <c r="K395" s="86"/>
      <c r="L395" s="87"/>
      <c r="M395" s="88"/>
      <c r="N395" s="176"/>
      <c r="O395" s="176"/>
      <c r="P395" s="178"/>
      <c r="Q395" s="176"/>
      <c r="R395" s="176"/>
      <c r="S395" s="86"/>
      <c r="T395" s="88"/>
      <c r="U395" s="88"/>
      <c r="V395" s="176"/>
      <c r="W395" s="176"/>
      <c r="X395" s="178"/>
      <c r="Y395" s="176"/>
      <c r="Z395" s="177"/>
      <c r="AA395" s="176"/>
      <c r="AB395" s="92"/>
      <c r="AC395" s="93"/>
      <c r="AD395" s="93"/>
      <c r="AE395" s="93"/>
      <c r="AF395" s="93" t="str">
        <f aca="false">IF(ISBLANK($C395),"",IF(E395=Constants!$B$2,TRUE(),IF(E395=Constants!$B$3,FALSE(),TRUE())))</f>
        <v/>
      </c>
      <c r="AG395" s="93" t="str">
        <f aca="false">IF(ISBLANK($C395),"",IF(F395=Constants!$B$2,TRUE(),IF(F395=Constants!$B$3,FALSE(),TRUE())))</f>
        <v/>
      </c>
      <c r="AH395" s="93" t="str">
        <f aca="false">IF(ISBLANK($C395),"",IF(G395=Constants!$B$2,TRUE(),IF(G395=Constants!$B$3,FALSE(),TRUE())))</f>
        <v/>
      </c>
      <c r="AI395" s="93" t="str">
        <f aca="false">IF(ISBLANK($C395),"",IF(AND(ISNUMBER(H395),H395&gt;=0),H395,Constants!$B$24))</f>
        <v/>
      </c>
      <c r="AJ395" s="93" t="str">
        <f aca="false">IF(ISBLANK($C395),"",IF(I395=Constants!$B$2,TRUE(),IF(I395=Constants!$B$3,FALSE(),TRUE())))</f>
        <v/>
      </c>
      <c r="AK395" s="93" t="str">
        <f aca="false">IF(ISBLANK($C395),"",IF(J395=Constants!$B$2,TRUE(),IF(J395=Constants!$B$3,FALSE(),TRUE())))</f>
        <v/>
      </c>
      <c r="AL395" s="93" t="str">
        <f aca="false">IF(ISBLANK($C395),"",IF(K395=Constants!$B$4,TRUE(),IF(K395=Constants!$B$5,FALSE(),COUNTA(L395:P395)&gt;0)))</f>
        <v/>
      </c>
      <c r="AM395" s="95" t="str">
        <f aca="false">IF(ISBLANK($C395),"",IF(ISNUMBER(L395),IF(L395&gt;=0,L395,""),""))</f>
        <v/>
      </c>
      <c r="AN395" s="94" t="str">
        <f aca="false">IF(ISBLANK($C395),"",IF(ISNUMBER(M395),IF(M395&gt;=0,M395,""),""))</f>
        <v/>
      </c>
      <c r="AO395" s="94" t="str">
        <f aca="false">IF(ISBLANK($C395),"",IF(N395=Constants!$B$2,TRUE(),IF(N395=Constants!$B$3,FALSE(),TRUE())))</f>
        <v/>
      </c>
      <c r="AP395" s="93" t="str">
        <f aca="false">IF(ISBLANK($C395),"",IF(ISNUMBER(O395),IF(O395&gt;=0,O395,""),""))</f>
        <v/>
      </c>
      <c r="AQ395" s="93" t="str">
        <f aca="false">IF(ISBLANK($C395),"",IF(P395=Constants!$B$2,TRUE(),IF(P395=Constants!$B$3,FALSE(),FALSE())))</f>
        <v/>
      </c>
      <c r="AR395" s="93" t="str">
        <f aca="false">IF(ISBLANK($C395),"",IF(Q395=Constants!$B$2,TRUE(),IF(Q395=Constants!$B$3,FALSE(),TRUE())))</f>
        <v/>
      </c>
      <c r="AS395" s="93" t="str">
        <f aca="false">IF(ISBLANK($C395),"",IF(R395=Constants!$B$2,TRUE(),IF(R395=Constants!$B$3,FALSE(),TRUE())))</f>
        <v/>
      </c>
      <c r="AT395" s="93" t="str">
        <f aca="false">IF(ISBLANK($C395),"",IF(S395=Constants!$B$4,TRUE(),IF(S395=Constants!$B$5,FALSE(),COUNTA(T395:X395)&gt;0)))</f>
        <v/>
      </c>
      <c r="AU395" s="95" t="str">
        <f aca="false">IF(ISBLANK($C395),"",IF(ISNUMBER(T395),IF(T395&gt;=0,T395,""),""))</f>
        <v/>
      </c>
      <c r="AV395" s="94" t="str">
        <f aca="false">IF(ISBLANK($C395),"",IF(ISNUMBER(U395),IF(U395&gt;=0,U395,""),""))</f>
        <v/>
      </c>
      <c r="AW395" s="94" t="str">
        <f aca="false">IF(ISBLANK($C395),"",IF(V395=Constants!$B$2,TRUE(),IF(V395=Constants!$B$3,FALSE(),TRUE())))</f>
        <v/>
      </c>
      <c r="AX395" s="93" t="str">
        <f aca="false">IF(ISBLANK($C395),"",IF(ISNUMBER(W395),IF(W395&gt;=0,W395,""),""))</f>
        <v/>
      </c>
      <c r="AY395" s="93" t="str">
        <f aca="false">IF(ISBLANK($C395),"",IF(X395=Constants!$B$2,TRUE(),IF(X395=Constants!$B$3,FALSE(),FALSE())))</f>
        <v/>
      </c>
      <c r="AZ395" s="93" t="str">
        <f aca="false">IF(ISBLANK($C395),"",MIN(Constants!$B$25,MAX(0,IF(ISNUMBER(Y395),Y395*60,0)+IF(ISNUMBER(Z395),Z395,0))))</f>
        <v/>
      </c>
      <c r="BA395" s="93" t="str">
        <f aca="false">IF(ISBLANK($C395),"",IF(AA395=Constants!$B$2,TRUE(),IF(AA395=Constants!$B$3,FALSE(),FALSE())))</f>
        <v/>
      </c>
      <c r="BB395" s="92" t="str">
        <f aca="false">IF(ISBLANK($C395),"",AND($AL395,OR($AM395="",$AN395="",AND($AO395,$AP395=""))))</f>
        <v/>
      </c>
      <c r="BC395" s="94" t="str">
        <f aca="false">IF($BX395&lt;&gt;Constants!$B$6,"",IF($AL395,Constants!$B$17*$AN395+Constants!$B$18*IF($AO395,$AP395,Constants!$B$19),Constants!$B$20))</f>
        <v/>
      </c>
      <c r="BD395" s="97" t="str">
        <f aca="false">IF($BX395&lt;&gt;Constants!$B$6,"",Constants!$B$21*ABS($AD$9-IF($AL395,$AM395,0)))</f>
        <v/>
      </c>
      <c r="BE395" s="97" t="str">
        <f aca="false">IF($BX395&lt;&gt;Constants!$B$6,"",IF(AND($AL395,$AQ395,$AO395),Constants!$B$22,0))</f>
        <v/>
      </c>
      <c r="BF395" s="97" t="str">
        <f aca="false">IF($BX395&lt;&gt;Constants!$B$6,"",IF($AL395,($AI395-Constants!$B$24)*Constants!$B$23,0))</f>
        <v/>
      </c>
      <c r="BG395" s="97" t="str">
        <f aca="false">IF($BX395&lt;&gt;Constants!$B$6,"",IF($AK395,0,Constants!$B$12)+IF($AJ395,0,Constants!$B$13)+IF($AH395,0,Constants!$B$14))</f>
        <v/>
      </c>
      <c r="BH395" s="98" t="str">
        <f aca="false">IF($BX395&lt;&gt;Constants!$B$6,"",Constants!$B$16+SUM($BC395:$BG395))</f>
        <v/>
      </c>
      <c r="BI395" s="97" t="str">
        <f aca="false">IF($BX395&lt;&gt;Constants!$B$6,"",$BC395)</f>
        <v/>
      </c>
      <c r="BJ395" s="97" t="str">
        <f aca="false">IF($BX395&lt;&gt;Constants!$B$6,"",$BD395)</f>
        <v/>
      </c>
      <c r="BK395" s="99" t="str">
        <f aca="false">IF($BX395&lt;&gt;Constants!$B$6,"",IF($AL395,$AN395,""))</f>
        <v/>
      </c>
      <c r="BL395" s="93" t="str">
        <f aca="false">IF($BX395&lt;&gt;Constants!$B$6,"",IF(OR($BS395&lt;$BH395,AND($BS395=$BH395,OR($BT395&lt;$BI395,AND($BT395=$BI395,OR($BU395&lt;$BJ395,AND($BU395=$BJ395,AND(ISNUMBER($BV395),OR(NOT(ISNUMBER($BK395)),$BV395&lt;$BK395)))))))),"-&gt;","&lt;-"))</f>
        <v/>
      </c>
      <c r="BM395" s="92" t="str">
        <f aca="false">IF(ISBLANK($C395),"",AND($AT395,OR($AU395="",$AV395="",AND($AW395,$AX395=""))))</f>
        <v/>
      </c>
      <c r="BN395" s="94" t="str">
        <f aca="false">IF($BX395&lt;&gt;Constants!$B$6,"",IF($AT395,Constants!$B$17*$AV395+Constants!$B$18*IF($AW395,$AX395,Constants!$B$19),Constants!$B$20))</f>
        <v/>
      </c>
      <c r="BO395" s="97" t="str">
        <f aca="false">IF($BX395&lt;&gt;Constants!$B$6,"",Constants!$B$21*ABS($AD$9-IF($AT395,$AU395,0)))</f>
        <v/>
      </c>
      <c r="BP395" s="97" t="str">
        <f aca="false">IF($BX395&lt;&gt;Constants!$B$6,"",IF(AND($AT395,$AY395,$AW395),Constants!$B$22,0))</f>
        <v/>
      </c>
      <c r="BQ395" s="97" t="str">
        <f aca="false">IF($BX395&lt;&gt;Constants!$B$6,"",IF($AT395,($AI395-Constants!$B$24)*Constants!$B$23,0))</f>
        <v/>
      </c>
      <c r="BR395" s="97" t="str">
        <f aca="false">IF($BX395&lt;&gt;Constants!$B$6,"",IF($AS395,0,Constants!$B$12)+IF($AR395,0,Constants!$B$13)+IF($AH395,0,Constants!$B$14))</f>
        <v/>
      </c>
      <c r="BS395" s="98" t="str">
        <f aca="false">IF($BX395&lt;&gt;Constants!$B$6,"",Constants!$B$16+SUM($BN395:$BR395))</f>
        <v/>
      </c>
      <c r="BT395" s="97" t="str">
        <f aca="false">IF($BX395&lt;&gt;Constants!$B$6,"",$BN395)</f>
        <v/>
      </c>
      <c r="BU395" s="97" t="str">
        <f aca="false">IF($BX395&lt;&gt;Constants!$B$6,"",$BO395)</f>
        <v/>
      </c>
      <c r="BV395" s="99" t="str">
        <f aca="false">IF($BX395&lt;&gt;Constants!$B$6,"",IF($AT395,$AV395,""))</f>
        <v/>
      </c>
      <c r="BW395" s="93" t="str">
        <f aca="false">IF(ISBLANK($C395),"",IF(ISBLANK($D$7),$BW$5,IF(NOT(ISNUMBER($D$7)),$BW$6,"")))</f>
        <v/>
      </c>
      <c r="BX395" s="93" t="str">
        <f aca="false">IF(ISBLANK($C395),"",IF($BA395,Constants!$B$9,IF(COUNTA($E395:$AA395)=0,Constants!$B$8,IF(NOT($AG395),Constants!$B$7,IF(OR($BW395&lt;&gt;"",$BB395,$BM395),Constants!$B$10,Constants!$B$6)))))</f>
        <v/>
      </c>
      <c r="BY395" s="93" t="str">
        <f aca="false">IF(ISBLANK($C395),"",IF($BX395&lt;&gt;Constants!$B$6,$BX395,Constants!$B$11))</f>
        <v/>
      </c>
      <c r="BZ395" s="97" t="str">
        <f aca="false">IF($BX395&lt;&gt;Constants!$B$6,"",IF($BL395="-&gt;",$BS395,$BH395))</f>
        <v/>
      </c>
      <c r="CA395" s="97" t="str">
        <f aca="false">IF($BX395&lt;&gt;Constants!$B$6,"",IF($AF395,0,Constants!$B$15))</f>
        <v/>
      </c>
      <c r="CB395" s="97" t="str">
        <f aca="false">IF($BX395&lt;&gt;Constants!$B$6,"",((Constants!$B$25-$AZ395)-Constants!$B$25)/Constants!$B$26)</f>
        <v/>
      </c>
      <c r="CC395" s="97" t="str">
        <f aca="false">IF(ISBLANK($C395),"",IF($BX395&lt;&gt;Constants!$B$6,$BX395,SUM($BZ395:$CB395)))</f>
        <v/>
      </c>
      <c r="CD395" s="93" t="str">
        <f aca="false">IF(ISBLANK($C395),"",IF($BX395&lt;&gt;Constants!$B$6,$BX395,RANK($CC395,$CC$9:$CC$508,1)))</f>
        <v/>
      </c>
      <c r="CE395" s="97" t="str">
        <f aca="false">IF($BX395&lt;&gt;Constants!$B$6,"",IF($BL395="-&gt;",$BT395,$BI395))</f>
        <v/>
      </c>
      <c r="CF395" s="93" t="str">
        <f aca="false">IF(ISBLANK($C395),"",IF($BX395&lt;&gt;Constants!$B$6,$BX395,IF(ISNUMBER($CE395),RANK($CE395,$CE$9:$CE$508,1),COUNT($CE$9:$CE$508)+1)))</f>
        <v/>
      </c>
      <c r="CG395" s="97" t="str">
        <f aca="false">IF($BX395&lt;&gt;Constants!$B$6,"",IF($BL395="-&gt;",$BU395,$BJ395))</f>
        <v/>
      </c>
      <c r="CH395" s="93" t="str">
        <f aca="false">IF(ISBLANK($C395),"",IF($BX395&lt;&gt;Constants!$B$6,$BX395,IF(ISNUMBER($CG395),RANK($CG395,$CG$9:$CG$508,1),COUNT($CG$9:$CG$508)+1)))</f>
        <v/>
      </c>
      <c r="CI395" s="97" t="str">
        <f aca="false">IF($BX395&lt;&gt;Constants!$B$6,"",IF($BL395="-&gt;",$BV395,$BK395))</f>
        <v/>
      </c>
      <c r="CJ395" s="93" t="str">
        <f aca="false">IF(ISBLANK($C395),"",IF($BX395&lt;&gt;Constants!$B$6,$BX395,IF(ISNUMBER($CI395),RANK($CI395,$CI$9:$CI$508,1),COUNT($CI$9:$CI$508)+1)))</f>
        <v/>
      </c>
      <c r="CK395" s="97" t="str">
        <f aca="false">IF($BX395&lt;&gt;Constants!$B$6,"",$AI395)</f>
        <v/>
      </c>
      <c r="CL395" s="93" t="str">
        <f aca="false">IF(ISBLANK($C395),"",IF($BX395&lt;&gt;Constants!$B$6,$BX395,IF(ISNUMBER($CK395),RANK($CK395,$CK$9:$CK$508,1),COUNT($CK$9:$CK$508)+1)))</f>
        <v/>
      </c>
      <c r="CM395" s="93" t="str">
        <f aca="false">IF(ISBLANK($C395),"",IF($BX395&lt;&gt;Constants!$B$6,$BX395,COUNTIFS($CD$9:$CD$508,"&lt;"&amp;$CD395)+COUNTIFS($CD$9:$CD$508,$CD395,$CF$9:$CF$508,"&lt;"&amp;$CF395)+COUNTIFS($CD$9:$CD$508,$CD395,$CF$9:$CF$508,$CF395,$CH$9:$CH$508,"&lt;"&amp;$CH395)+COUNTIFS($CD$9:$CD$508,$CD395,$CF$9:$CF$508,$CF395,$CH$9:$CH$508,$CH395,$CJ$9:$CJ$508,"&lt;"&amp;$CJ395)+COUNTIFS($CD$9:$CD$508,$CD395,$CF$9:$CF$508,$CF395,$CH$9:$CH$508,$CH395,$CJ$9:$CJ$508,$CJ395,$CL$9:$CL$508,"&lt;"&amp;$CL395)+1))</f>
        <v/>
      </c>
      <c r="CN395" s="93" t="str">
        <f aca="false">IF(ISBLANK($C395),"",IF($BX395&lt;&gt;Constants!$B$6,$BX395,$CD395-$CM395))</f>
        <v/>
      </c>
      <c r="CO395" s="100"/>
      <c r="CP395" s="101"/>
      <c r="CQ395" s="102" t="str">
        <f aca="false">IF(ISBLANK($C395),"",IF($BX395=Constants!$B$10,$BW395,""))</f>
        <v/>
      </c>
      <c r="CR395" s="101" t="str">
        <f aca="false">IF(ISBLANK($C395),"",IF($BX395&lt;&gt;Constants!$B$6,"",IF($BL395="-&gt;",2,1)))</f>
        <v/>
      </c>
      <c r="CS395" s="103" t="str">
        <f aca="false">IF(ISBLANK($C395),"",IF($BX395&lt;&gt;Constants!$B$6,"",IF($BL395="-&gt;",$BN395,$BC395)))</f>
        <v/>
      </c>
      <c r="CT395" s="103" t="str">
        <f aca="false">IF(ISBLANK($C395),"",IF($BX395&lt;&gt;Constants!$B$6,"",IF($BL395="-&gt;",$BO395,$BD395)))</f>
        <v/>
      </c>
      <c r="CU395" s="103" t="str">
        <f aca="false">IF(ISBLANK($C395),"",IF($BX395&lt;&gt;Constants!$B$6,"",IF($BL395="-&gt;",$BP395+$BQ395,$BE395+$BF395)+$CB395))</f>
        <v/>
      </c>
      <c r="CV395" s="103" t="str">
        <f aca="false">IF(ISBLANK($C395),"",IF($BX395&lt;&gt;Constants!$B$6,"",IF($BL395="-&gt;",$BR395,$BG395)+$CA395))</f>
        <v/>
      </c>
      <c r="CW395" s="104" t="str">
        <f aca="false">IF(ISBLANK($C395),"",IF($BX395&lt;&gt;Constants!$B$6,$BX395,$CC395))</f>
        <v/>
      </c>
      <c r="CX395" s="105" t="str">
        <f aca="false">IF(ISBLANK($C395),"",$BY395)</f>
        <v/>
      </c>
      <c r="CY395" s="106" t="str">
        <f aca="false">IF(ISBLANK($C395),"",$CN395)</f>
        <v/>
      </c>
      <c r="CZ395" s="106" t="str">
        <f aca="false">IF(ISBLANK($C395),"",$CM395)</f>
        <v/>
      </c>
      <c r="DA395" s="107" t="str">
        <f aca="false">IF(ISBLANK($C395),"",IFERROR(_xlfn.SWITCH($CZ395,Constants!$B$9,COUNTA($C$9:$C$508)+2,Constants!$B$8,COUNTA($C$9:$C$508)+1,Constants!$B$7,COUNTA($C$9:$C$508)),$CZ395))</f>
        <v/>
      </c>
      <c r="DB395" s="9"/>
      <c r="DC395" s="108" t="n">
        <f aca="false">IF(OR(ISNUMBER($CZ395),$CZ395=Constants!$B$9,$CZ395=Constants!$B$7,$CZ395=Constants!$B$8),1,0)</f>
        <v>0</v>
      </c>
      <c r="DD395" s="108" t="n">
        <v>387</v>
      </c>
      <c r="DE395" s="108" t="str">
        <f aca="false">IF(ISBLANK($C395),"",IF(ISNUMBER($DA395),$DA395+ROW($B395)/1000,""))</f>
        <v/>
      </c>
      <c r="DF395" s="108" t="str">
        <f aca="false">IF(ISNUMBER($DE395),RANK($DE395,$DE$9:$DE$508,1),"")</f>
        <v/>
      </c>
      <c r="DG395" s="108" t="str">
        <f aca="false">IF(ISBLANK($C395),"",$B395)</f>
        <v/>
      </c>
      <c r="DH395" s="108" t="str">
        <f aca="false">IF(ISBLANK($C395),"",$C395)</f>
        <v/>
      </c>
      <c r="DI395" s="108" t="str">
        <f aca="false">IF(ISBLANK($C395),"",$D395)</f>
        <v/>
      </c>
      <c r="DJ395" s="109" t="str">
        <f aca="false">$CX395</f>
        <v/>
      </c>
      <c r="DK395" s="110" t="str">
        <f aca="false">$CW395</f>
        <v/>
      </c>
      <c r="DL395" s="108" t="str">
        <f aca="false">IF(ISBLANK($C395),"",$CZ395)</f>
        <v/>
      </c>
      <c r="DM395" s="111" t="str">
        <f aca="false">IF($DD395&gt;$DC$8,"",VLOOKUP($DD395,$DF$9:$DL$508,7,FALSE()))</f>
        <v/>
      </c>
      <c r="DN395" s="112" t="str">
        <f aca="false">IF($DD395&gt;$DC$8,"",VLOOKUP($DD395,$DF$9:$DL$508,2,FALSE()))</f>
        <v/>
      </c>
      <c r="DO395" s="112" t="str">
        <f aca="false">IF($DD395&gt;$DC$8,"",VLOOKUP($DD395,$DF$9:$DL$508,3,FALSE()))</f>
        <v/>
      </c>
      <c r="DP395" s="112" t="str">
        <f aca="false">IF($DD395&gt;$DC$8,"",VLOOKUP($DD395,$DF$9:$DL$508,4,FALSE()))</f>
        <v/>
      </c>
      <c r="DQ395" s="112" t="str">
        <f aca="false">IF($DD395&gt;$DC$8,"",VLOOKUP($DD395,$DF$9:$DL$508,5,FALSE()))</f>
        <v/>
      </c>
      <c r="DR395" s="113" t="str">
        <f aca="false">IF($DD395&gt;$DC$8,"",VLOOKUP($DD395,$DF$9:$DL$508,6,FALSE()))</f>
        <v/>
      </c>
      <c r="DS395" s="76"/>
    </row>
    <row r="396" customFormat="false" ht="15.75" hidden="false" customHeight="false" outlineLevel="0" collapsed="false">
      <c r="A396" s="9"/>
      <c r="B396" s="160"/>
      <c r="C396" s="161"/>
      <c r="D396" s="162"/>
      <c r="E396" s="180"/>
      <c r="F396" s="164"/>
      <c r="G396" s="165"/>
      <c r="H396" s="165"/>
      <c r="I396" s="181"/>
      <c r="J396" s="168"/>
      <c r="K396" s="128"/>
      <c r="L396" s="129"/>
      <c r="M396" s="130"/>
      <c r="N396" s="168"/>
      <c r="O396" s="168"/>
      <c r="P396" s="180"/>
      <c r="Q396" s="168"/>
      <c r="R396" s="168"/>
      <c r="S396" s="128"/>
      <c r="T396" s="130"/>
      <c r="U396" s="130"/>
      <c r="V396" s="168"/>
      <c r="W396" s="168"/>
      <c r="X396" s="180"/>
      <c r="Y396" s="168"/>
      <c r="Z396" s="169"/>
      <c r="AA396" s="168"/>
      <c r="AB396" s="134"/>
      <c r="AC396" s="135"/>
      <c r="AD396" s="135"/>
      <c r="AE396" s="135"/>
      <c r="AF396" s="135" t="str">
        <f aca="false">IF(ISBLANK($C396),"",IF(E396=Constants!$B$2,TRUE(),IF(E396=Constants!$B$3,FALSE(),TRUE())))</f>
        <v/>
      </c>
      <c r="AG396" s="135" t="str">
        <f aca="false">IF(ISBLANK($C396),"",IF(F396=Constants!$B$2,TRUE(),IF(F396=Constants!$B$3,FALSE(),TRUE())))</f>
        <v/>
      </c>
      <c r="AH396" s="135" t="str">
        <f aca="false">IF(ISBLANK($C396),"",IF(G396=Constants!$B$2,TRUE(),IF(G396=Constants!$B$3,FALSE(),TRUE())))</f>
        <v/>
      </c>
      <c r="AI396" s="135" t="str">
        <f aca="false">IF(ISBLANK($C396),"",IF(AND(ISNUMBER(H396),H396&gt;=0),H396,Constants!$B$24))</f>
        <v/>
      </c>
      <c r="AJ396" s="135" t="str">
        <f aca="false">IF(ISBLANK($C396),"",IF(I396=Constants!$B$2,TRUE(),IF(I396=Constants!$B$3,FALSE(),TRUE())))</f>
        <v/>
      </c>
      <c r="AK396" s="135" t="str">
        <f aca="false">IF(ISBLANK($C396),"",IF(J396=Constants!$B$2,TRUE(),IF(J396=Constants!$B$3,FALSE(),TRUE())))</f>
        <v/>
      </c>
      <c r="AL396" s="135" t="str">
        <f aca="false">IF(ISBLANK($C396),"",IF(K396=Constants!$B$4,TRUE(),IF(K396=Constants!$B$5,FALSE(),COUNTA(L396:P396)&gt;0)))</f>
        <v/>
      </c>
      <c r="AM396" s="136" t="str">
        <f aca="false">IF(ISBLANK($C396),"",IF(ISNUMBER(L396),IF(L396&gt;=0,L396,""),""))</f>
        <v/>
      </c>
      <c r="AN396" s="137" t="str">
        <f aca="false">IF(ISBLANK($C396),"",IF(ISNUMBER(M396),IF(M396&gt;=0,M396,""),""))</f>
        <v/>
      </c>
      <c r="AO396" s="137" t="str">
        <f aca="false">IF(ISBLANK($C396),"",IF(N396=Constants!$B$2,TRUE(),IF(N396=Constants!$B$3,FALSE(),TRUE())))</f>
        <v/>
      </c>
      <c r="AP396" s="135" t="str">
        <f aca="false">IF(ISBLANK($C396),"",IF(ISNUMBER(O396),IF(O396&gt;=0,O396,""),""))</f>
        <v/>
      </c>
      <c r="AQ396" s="135" t="str">
        <f aca="false">IF(ISBLANK($C396),"",IF(P396=Constants!$B$2,TRUE(),IF(P396=Constants!$B$3,FALSE(),FALSE())))</f>
        <v/>
      </c>
      <c r="AR396" s="135" t="str">
        <f aca="false">IF(ISBLANK($C396),"",IF(Q396=Constants!$B$2,TRUE(),IF(Q396=Constants!$B$3,FALSE(),TRUE())))</f>
        <v/>
      </c>
      <c r="AS396" s="135" t="str">
        <f aca="false">IF(ISBLANK($C396),"",IF(R396=Constants!$B$2,TRUE(),IF(R396=Constants!$B$3,FALSE(),TRUE())))</f>
        <v/>
      </c>
      <c r="AT396" s="135" t="str">
        <f aca="false">IF(ISBLANK($C396),"",IF(S396=Constants!$B$4,TRUE(),IF(S396=Constants!$B$5,FALSE(),COUNTA(T396:X396)&gt;0)))</f>
        <v/>
      </c>
      <c r="AU396" s="136" t="str">
        <f aca="false">IF(ISBLANK($C396),"",IF(ISNUMBER(T396),IF(T396&gt;=0,T396,""),""))</f>
        <v/>
      </c>
      <c r="AV396" s="137" t="str">
        <f aca="false">IF(ISBLANK($C396),"",IF(ISNUMBER(U396),IF(U396&gt;=0,U396,""),""))</f>
        <v/>
      </c>
      <c r="AW396" s="137" t="str">
        <f aca="false">IF(ISBLANK($C396),"",IF(V396=Constants!$B$2,TRUE(),IF(V396=Constants!$B$3,FALSE(),TRUE())))</f>
        <v/>
      </c>
      <c r="AX396" s="135" t="str">
        <f aca="false">IF(ISBLANK($C396),"",IF(ISNUMBER(W396),IF(W396&gt;=0,W396,""),""))</f>
        <v/>
      </c>
      <c r="AY396" s="135" t="str">
        <f aca="false">IF(ISBLANK($C396),"",IF(X396=Constants!$B$2,TRUE(),IF(X396=Constants!$B$3,FALSE(),FALSE())))</f>
        <v/>
      </c>
      <c r="AZ396" s="135" t="str">
        <f aca="false">IF(ISBLANK($C396),"",MIN(Constants!$B$25,MAX(0,IF(ISNUMBER(Y396),Y396*60,0)+IF(ISNUMBER(Z396),Z396,0))))</f>
        <v/>
      </c>
      <c r="BA396" s="135" t="str">
        <f aca="false">IF(ISBLANK($C396),"",IF(AA396=Constants!$B$2,TRUE(),IF(AA396=Constants!$B$3,FALSE(),FALSE())))</f>
        <v/>
      </c>
      <c r="BB396" s="134" t="str">
        <f aca="false">IF(ISBLANK($C396),"",AND($AL396,OR($AM396="",$AN396="",AND($AO396,$AP396=""))))</f>
        <v/>
      </c>
      <c r="BC396" s="137" t="str">
        <f aca="false">IF($BX396&lt;&gt;Constants!$B$6,"",IF($AL396,Constants!$B$17*$AN396+Constants!$B$18*IF($AO396,$AP396,Constants!$B$19),Constants!$B$20))</f>
        <v/>
      </c>
      <c r="BD396" s="138" t="str">
        <f aca="false">IF($BX396&lt;&gt;Constants!$B$6,"",Constants!$B$21*ABS($AD$9-IF($AL396,$AM396,0)))</f>
        <v/>
      </c>
      <c r="BE396" s="138" t="str">
        <f aca="false">IF($BX396&lt;&gt;Constants!$B$6,"",IF(AND($AL396,$AQ396,$AO396),Constants!$B$22,0))</f>
        <v/>
      </c>
      <c r="BF396" s="138" t="str">
        <f aca="false">IF($BX396&lt;&gt;Constants!$B$6,"",IF($AL396,($AI396-Constants!$B$24)*Constants!$B$23,0))</f>
        <v/>
      </c>
      <c r="BG396" s="138" t="str">
        <f aca="false">IF($BX396&lt;&gt;Constants!$B$6,"",IF($AK396,0,Constants!$B$12)+IF($AJ396,0,Constants!$B$13)+IF($AH396,0,Constants!$B$14))</f>
        <v/>
      </c>
      <c r="BH396" s="139" t="str">
        <f aca="false">IF($BX396&lt;&gt;Constants!$B$6,"",Constants!$B$16+SUM($BC396:$BG396))</f>
        <v/>
      </c>
      <c r="BI396" s="138" t="str">
        <f aca="false">IF($BX396&lt;&gt;Constants!$B$6,"",$BC396)</f>
        <v/>
      </c>
      <c r="BJ396" s="138" t="str">
        <f aca="false">IF($BX396&lt;&gt;Constants!$B$6,"",$BD396)</f>
        <v/>
      </c>
      <c r="BK396" s="140" t="str">
        <f aca="false">IF($BX396&lt;&gt;Constants!$B$6,"",IF($AL396,$AN396,""))</f>
        <v/>
      </c>
      <c r="BL396" s="135" t="str">
        <f aca="false">IF($BX396&lt;&gt;Constants!$B$6,"",IF(OR($BS396&lt;$BH396,AND($BS396=$BH396,OR($BT396&lt;$BI396,AND($BT396=$BI396,OR($BU396&lt;$BJ396,AND($BU396=$BJ396,AND(ISNUMBER($BV396),OR(NOT(ISNUMBER($BK396)),$BV396&lt;$BK396)))))))),"-&gt;","&lt;-"))</f>
        <v/>
      </c>
      <c r="BM396" s="134" t="str">
        <f aca="false">IF(ISBLANK($C396),"",AND($AT396,OR($AU396="",$AV396="",AND($AW396,$AX396=""))))</f>
        <v/>
      </c>
      <c r="BN396" s="137" t="str">
        <f aca="false">IF($BX396&lt;&gt;Constants!$B$6,"",IF($AT396,Constants!$B$17*$AV396+Constants!$B$18*IF($AW396,$AX396,Constants!$B$19),Constants!$B$20))</f>
        <v/>
      </c>
      <c r="BO396" s="138" t="str">
        <f aca="false">IF($BX396&lt;&gt;Constants!$B$6,"",Constants!$B$21*ABS($AD$9-IF($AT396,$AU396,0)))</f>
        <v/>
      </c>
      <c r="BP396" s="138" t="str">
        <f aca="false">IF($BX396&lt;&gt;Constants!$B$6,"",IF(AND($AT396,$AY396,$AW396),Constants!$B$22,0))</f>
        <v/>
      </c>
      <c r="BQ396" s="138" t="str">
        <f aca="false">IF($BX396&lt;&gt;Constants!$B$6,"",IF($AT396,($AI396-Constants!$B$24)*Constants!$B$23,0))</f>
        <v/>
      </c>
      <c r="BR396" s="138" t="str">
        <f aca="false">IF($BX396&lt;&gt;Constants!$B$6,"",IF($AS396,0,Constants!$B$12)+IF($AR396,0,Constants!$B$13)+IF($AH396,0,Constants!$B$14))</f>
        <v/>
      </c>
      <c r="BS396" s="139" t="str">
        <f aca="false">IF($BX396&lt;&gt;Constants!$B$6,"",Constants!$B$16+SUM($BN396:$BR396))</f>
        <v/>
      </c>
      <c r="BT396" s="138" t="str">
        <f aca="false">IF($BX396&lt;&gt;Constants!$B$6,"",$BN396)</f>
        <v/>
      </c>
      <c r="BU396" s="138" t="str">
        <f aca="false">IF($BX396&lt;&gt;Constants!$B$6,"",$BO396)</f>
        <v/>
      </c>
      <c r="BV396" s="140" t="str">
        <f aca="false">IF($BX396&lt;&gt;Constants!$B$6,"",IF($AT396,$AV396,""))</f>
        <v/>
      </c>
      <c r="BW396" s="135" t="str">
        <f aca="false">IF(ISBLANK($C396),"",IF(ISBLANK($D$7),$BW$5,IF(NOT(ISNUMBER($D$7)),$BW$6,"")))</f>
        <v/>
      </c>
      <c r="BX396" s="135" t="str">
        <f aca="false">IF(ISBLANK($C396),"",IF($BA396,Constants!$B$9,IF(COUNTA($E396:$AA396)=0,Constants!$B$8,IF(NOT($AG396),Constants!$B$7,IF(OR($BW396&lt;&gt;"",$BB396,$BM396),Constants!$B$10,Constants!$B$6)))))</f>
        <v/>
      </c>
      <c r="BY396" s="135" t="str">
        <f aca="false">IF(ISBLANK($C396),"",IF($BX396&lt;&gt;Constants!$B$6,$BX396,Constants!$B$11))</f>
        <v/>
      </c>
      <c r="BZ396" s="138" t="str">
        <f aca="false">IF($BX396&lt;&gt;Constants!$B$6,"",IF($BL396="-&gt;",$BS396,$BH396))</f>
        <v/>
      </c>
      <c r="CA396" s="138" t="str">
        <f aca="false">IF($BX396&lt;&gt;Constants!$B$6,"",IF($AF396,0,Constants!$B$15))</f>
        <v/>
      </c>
      <c r="CB396" s="138" t="str">
        <f aca="false">IF($BX396&lt;&gt;Constants!$B$6,"",((Constants!$B$25-$AZ396)-Constants!$B$25)/Constants!$B$26)</f>
        <v/>
      </c>
      <c r="CC396" s="138" t="str">
        <f aca="false">IF(ISBLANK($C396),"",IF($BX396&lt;&gt;Constants!$B$6,$BX396,SUM($BZ396:$CB396)))</f>
        <v/>
      </c>
      <c r="CD396" s="135" t="str">
        <f aca="false">IF(ISBLANK($C396),"",IF($BX396&lt;&gt;Constants!$B$6,$BX396,RANK($CC396,$CC$9:$CC$508,1)))</f>
        <v/>
      </c>
      <c r="CE396" s="138" t="str">
        <f aca="false">IF($BX396&lt;&gt;Constants!$B$6,"",IF($BL396="-&gt;",$BT396,$BI396))</f>
        <v/>
      </c>
      <c r="CF396" s="135" t="str">
        <f aca="false">IF(ISBLANK($C396),"",IF($BX396&lt;&gt;Constants!$B$6,$BX396,IF(ISNUMBER($CE396),RANK($CE396,$CE$9:$CE$508,1),COUNT($CE$9:$CE$508)+1)))</f>
        <v/>
      </c>
      <c r="CG396" s="138" t="str">
        <f aca="false">IF($BX396&lt;&gt;Constants!$B$6,"",IF($BL396="-&gt;",$BU396,$BJ396))</f>
        <v/>
      </c>
      <c r="CH396" s="135" t="str">
        <f aca="false">IF(ISBLANK($C396),"",IF($BX396&lt;&gt;Constants!$B$6,$BX396,IF(ISNUMBER($CG396),RANK($CG396,$CG$9:$CG$508,1),COUNT($CG$9:$CG$508)+1)))</f>
        <v/>
      </c>
      <c r="CI396" s="138" t="str">
        <f aca="false">IF($BX396&lt;&gt;Constants!$B$6,"",IF($BL396="-&gt;",$BV396,$BK396))</f>
        <v/>
      </c>
      <c r="CJ396" s="135" t="str">
        <f aca="false">IF(ISBLANK($C396),"",IF($BX396&lt;&gt;Constants!$B$6,$BX396,IF(ISNUMBER($CI396),RANK($CI396,$CI$9:$CI$508,1),COUNT($CI$9:$CI$508)+1)))</f>
        <v/>
      </c>
      <c r="CK396" s="138" t="str">
        <f aca="false">IF($BX396&lt;&gt;Constants!$B$6,"",$AI396)</f>
        <v/>
      </c>
      <c r="CL396" s="135" t="str">
        <f aca="false">IF(ISBLANK($C396),"",IF($BX396&lt;&gt;Constants!$B$6,$BX396,IF(ISNUMBER($CK396),RANK($CK396,$CK$9:$CK$508,1),COUNT($CK$9:$CK$508)+1)))</f>
        <v/>
      </c>
      <c r="CM396" s="135" t="str">
        <f aca="false">IF(ISBLANK($C396),"",IF($BX396&lt;&gt;Constants!$B$6,$BX396,COUNTIFS($CD$9:$CD$508,"&lt;"&amp;$CD396)+COUNTIFS($CD$9:$CD$508,$CD396,$CF$9:$CF$508,"&lt;"&amp;$CF396)+COUNTIFS($CD$9:$CD$508,$CD396,$CF$9:$CF$508,$CF396,$CH$9:$CH$508,"&lt;"&amp;$CH396)+COUNTIFS($CD$9:$CD$508,$CD396,$CF$9:$CF$508,$CF396,$CH$9:$CH$508,$CH396,$CJ$9:$CJ$508,"&lt;"&amp;$CJ396)+COUNTIFS($CD$9:$CD$508,$CD396,$CF$9:$CF$508,$CF396,$CH$9:$CH$508,$CH396,$CJ$9:$CJ$508,$CJ396,$CL$9:$CL$508,"&lt;"&amp;$CL396)+1))</f>
        <v/>
      </c>
      <c r="CN396" s="135" t="str">
        <f aca="false">IF(ISBLANK($C396),"",IF($BX396&lt;&gt;Constants!$B$6,$BX396,$CD396-$CM396))</f>
        <v/>
      </c>
      <c r="CO396" s="141"/>
      <c r="CP396" s="142"/>
      <c r="CQ396" s="143" t="str">
        <f aca="false">IF(ISBLANK($C396),"",IF($BX396=Constants!$B$10,$BW396,""))</f>
        <v/>
      </c>
      <c r="CR396" s="142" t="str">
        <f aca="false">IF(ISBLANK($C396),"",IF($BX396&lt;&gt;Constants!$B$6,"",IF($BL396="-&gt;",2,1)))</f>
        <v/>
      </c>
      <c r="CS396" s="144" t="str">
        <f aca="false">IF(ISBLANK($C396),"",IF($BX396&lt;&gt;Constants!$B$6,"",IF($BL396="-&gt;",$BN396,$BC396)))</f>
        <v/>
      </c>
      <c r="CT396" s="144" t="str">
        <f aca="false">IF(ISBLANK($C396),"",IF($BX396&lt;&gt;Constants!$B$6,"",IF($BL396="-&gt;",$BO396,$BD396)))</f>
        <v/>
      </c>
      <c r="CU396" s="144" t="str">
        <f aca="false">IF(ISBLANK($C396),"",IF($BX396&lt;&gt;Constants!$B$6,"",IF($BL396="-&gt;",$BP396+$BQ396,$BE396+$BF396)+$CB396))</f>
        <v/>
      </c>
      <c r="CV396" s="144" t="str">
        <f aca="false">IF(ISBLANK($C396),"",IF($BX396&lt;&gt;Constants!$B$6,"",IF($BL396="-&gt;",$BR396,$BG396)+$CA396))</f>
        <v/>
      </c>
      <c r="CW396" s="145" t="str">
        <f aca="false">IF(ISBLANK($C396),"",IF($BX396&lt;&gt;Constants!$B$6,$BX396,$CC396))</f>
        <v/>
      </c>
      <c r="CX396" s="146" t="str">
        <f aca="false">IF(ISBLANK($C396),"",$BY396)</f>
        <v/>
      </c>
      <c r="CY396" s="147" t="str">
        <f aca="false">IF(ISBLANK($C396),"",$CN396)</f>
        <v/>
      </c>
      <c r="CZ396" s="147" t="str">
        <f aca="false">IF(ISBLANK($C396),"",$CM396)</f>
        <v/>
      </c>
      <c r="DA396" s="148" t="str">
        <f aca="false">IF(ISBLANK($C396),"",IFERROR(_xlfn.SWITCH($CZ396,Constants!$B$9,COUNTA($C$9:$C$508)+2,Constants!$B$8,COUNTA($C$9:$C$508)+1,Constants!$B$7,COUNTA($C$9:$C$508)),$CZ396))</f>
        <v/>
      </c>
      <c r="DB396" s="9"/>
      <c r="DC396" s="149" t="n">
        <f aca="false">IF(OR(ISNUMBER($CZ396),$CZ396=Constants!$B$9,$CZ396=Constants!$B$7,$CZ396=Constants!$B$8),1,0)</f>
        <v>0</v>
      </c>
      <c r="DD396" s="149" t="n">
        <v>388</v>
      </c>
      <c r="DE396" s="149" t="str">
        <f aca="false">IF(ISBLANK($C396),"",IF(ISNUMBER($DA396),$DA396+ROW($B396)/1000,""))</f>
        <v/>
      </c>
      <c r="DF396" s="149" t="str">
        <f aca="false">IF(ISNUMBER($DE396),RANK($DE396,$DE$9:$DE$508,1),"")</f>
        <v/>
      </c>
      <c r="DG396" s="149" t="str">
        <f aca="false">IF(ISBLANK($C396),"",$B396)</f>
        <v/>
      </c>
      <c r="DH396" s="149" t="str">
        <f aca="false">IF(ISBLANK($C396),"",$C396)</f>
        <v/>
      </c>
      <c r="DI396" s="149" t="str">
        <f aca="false">IF(ISBLANK($C396),"",$D396)</f>
        <v/>
      </c>
      <c r="DJ396" s="150" t="str">
        <f aca="false">$CX396</f>
        <v/>
      </c>
      <c r="DK396" s="151" t="str">
        <f aca="false">$CW396</f>
        <v/>
      </c>
      <c r="DL396" s="149" t="str">
        <f aca="false">IF(ISBLANK($C396),"",$CZ396)</f>
        <v/>
      </c>
      <c r="DM396" s="152" t="str">
        <f aca="false">IF($DD396&gt;$DC$8,"",VLOOKUP($DD396,$DF$9:$DL$508,7,FALSE()))</f>
        <v/>
      </c>
      <c r="DN396" s="153" t="str">
        <f aca="false">IF($DD396&gt;$DC$8,"",VLOOKUP($DD396,$DF$9:$DL$508,2,FALSE()))</f>
        <v/>
      </c>
      <c r="DO396" s="153" t="str">
        <f aca="false">IF($DD396&gt;$DC$8,"",VLOOKUP($DD396,$DF$9:$DL$508,3,FALSE()))</f>
        <v/>
      </c>
      <c r="DP396" s="153" t="str">
        <f aca="false">IF($DD396&gt;$DC$8,"",VLOOKUP($DD396,$DF$9:$DL$508,4,FALSE()))</f>
        <v/>
      </c>
      <c r="DQ396" s="153" t="str">
        <f aca="false">IF($DD396&gt;$DC$8,"",VLOOKUP($DD396,$DF$9:$DL$508,5,FALSE()))</f>
        <v/>
      </c>
      <c r="DR396" s="154" t="str">
        <f aca="false">IF($DD396&gt;$DC$8,"",VLOOKUP($DD396,$DF$9:$DL$508,6,FALSE()))</f>
        <v/>
      </c>
      <c r="DS396" s="76"/>
    </row>
    <row r="397" customFormat="false" ht="15.75" hidden="false" customHeight="false" outlineLevel="0" collapsed="false">
      <c r="A397" s="9"/>
      <c r="B397" s="160"/>
      <c r="C397" s="161"/>
      <c r="D397" s="162"/>
      <c r="E397" s="180"/>
      <c r="F397" s="164"/>
      <c r="G397" s="165"/>
      <c r="H397" s="165"/>
      <c r="I397" s="181"/>
      <c r="J397" s="168"/>
      <c r="K397" s="128"/>
      <c r="L397" s="129"/>
      <c r="M397" s="130"/>
      <c r="N397" s="168"/>
      <c r="O397" s="168"/>
      <c r="P397" s="180"/>
      <c r="Q397" s="168"/>
      <c r="R397" s="168"/>
      <c r="S397" s="128"/>
      <c r="T397" s="130"/>
      <c r="U397" s="130"/>
      <c r="V397" s="168"/>
      <c r="W397" s="168"/>
      <c r="X397" s="180"/>
      <c r="Y397" s="168"/>
      <c r="Z397" s="169"/>
      <c r="AA397" s="168"/>
      <c r="AB397" s="134"/>
      <c r="AC397" s="135"/>
      <c r="AD397" s="135"/>
      <c r="AE397" s="135"/>
      <c r="AF397" s="135" t="str">
        <f aca="false">IF(ISBLANK($C397),"",IF(E397=Constants!$B$2,TRUE(),IF(E397=Constants!$B$3,FALSE(),TRUE())))</f>
        <v/>
      </c>
      <c r="AG397" s="135" t="str">
        <f aca="false">IF(ISBLANK($C397),"",IF(F397=Constants!$B$2,TRUE(),IF(F397=Constants!$B$3,FALSE(),TRUE())))</f>
        <v/>
      </c>
      <c r="AH397" s="135" t="str">
        <f aca="false">IF(ISBLANK($C397),"",IF(G397=Constants!$B$2,TRUE(),IF(G397=Constants!$B$3,FALSE(),TRUE())))</f>
        <v/>
      </c>
      <c r="AI397" s="135" t="str">
        <f aca="false">IF(ISBLANK($C397),"",IF(AND(ISNUMBER(H397),H397&gt;=0),H397,Constants!$B$24))</f>
        <v/>
      </c>
      <c r="AJ397" s="135" t="str">
        <f aca="false">IF(ISBLANK($C397),"",IF(I397=Constants!$B$2,TRUE(),IF(I397=Constants!$B$3,FALSE(),TRUE())))</f>
        <v/>
      </c>
      <c r="AK397" s="135" t="str">
        <f aca="false">IF(ISBLANK($C397),"",IF(J397=Constants!$B$2,TRUE(),IF(J397=Constants!$B$3,FALSE(),TRUE())))</f>
        <v/>
      </c>
      <c r="AL397" s="135" t="str">
        <f aca="false">IF(ISBLANK($C397),"",IF(K397=Constants!$B$4,TRUE(),IF(K397=Constants!$B$5,FALSE(),COUNTA(L397:P397)&gt;0)))</f>
        <v/>
      </c>
      <c r="AM397" s="136" t="str">
        <f aca="false">IF(ISBLANK($C397),"",IF(ISNUMBER(L397),IF(L397&gt;=0,L397,""),""))</f>
        <v/>
      </c>
      <c r="AN397" s="137" t="str">
        <f aca="false">IF(ISBLANK($C397),"",IF(ISNUMBER(M397),IF(M397&gt;=0,M397,""),""))</f>
        <v/>
      </c>
      <c r="AO397" s="137" t="str">
        <f aca="false">IF(ISBLANK($C397),"",IF(N397=Constants!$B$2,TRUE(),IF(N397=Constants!$B$3,FALSE(),TRUE())))</f>
        <v/>
      </c>
      <c r="AP397" s="135" t="str">
        <f aca="false">IF(ISBLANK($C397),"",IF(ISNUMBER(O397),IF(O397&gt;=0,O397,""),""))</f>
        <v/>
      </c>
      <c r="AQ397" s="135" t="str">
        <f aca="false">IF(ISBLANK($C397),"",IF(P397=Constants!$B$2,TRUE(),IF(P397=Constants!$B$3,FALSE(),FALSE())))</f>
        <v/>
      </c>
      <c r="AR397" s="135" t="str">
        <f aca="false">IF(ISBLANK($C397),"",IF(Q397=Constants!$B$2,TRUE(),IF(Q397=Constants!$B$3,FALSE(),TRUE())))</f>
        <v/>
      </c>
      <c r="AS397" s="135" t="str">
        <f aca="false">IF(ISBLANK($C397),"",IF(R397=Constants!$B$2,TRUE(),IF(R397=Constants!$B$3,FALSE(),TRUE())))</f>
        <v/>
      </c>
      <c r="AT397" s="135" t="str">
        <f aca="false">IF(ISBLANK($C397),"",IF(S397=Constants!$B$4,TRUE(),IF(S397=Constants!$B$5,FALSE(),COUNTA(T397:X397)&gt;0)))</f>
        <v/>
      </c>
      <c r="AU397" s="136" t="str">
        <f aca="false">IF(ISBLANK($C397),"",IF(ISNUMBER(T397),IF(T397&gt;=0,T397,""),""))</f>
        <v/>
      </c>
      <c r="AV397" s="137" t="str">
        <f aca="false">IF(ISBLANK($C397),"",IF(ISNUMBER(U397),IF(U397&gt;=0,U397,""),""))</f>
        <v/>
      </c>
      <c r="AW397" s="137" t="str">
        <f aca="false">IF(ISBLANK($C397),"",IF(V397=Constants!$B$2,TRUE(),IF(V397=Constants!$B$3,FALSE(),TRUE())))</f>
        <v/>
      </c>
      <c r="AX397" s="135" t="str">
        <f aca="false">IF(ISBLANK($C397),"",IF(ISNUMBER(W397),IF(W397&gt;=0,W397,""),""))</f>
        <v/>
      </c>
      <c r="AY397" s="135" t="str">
        <f aca="false">IF(ISBLANK($C397),"",IF(X397=Constants!$B$2,TRUE(),IF(X397=Constants!$B$3,FALSE(),FALSE())))</f>
        <v/>
      </c>
      <c r="AZ397" s="135" t="str">
        <f aca="false">IF(ISBLANK($C397),"",MIN(Constants!$B$25,MAX(0,IF(ISNUMBER(Y397),Y397*60,0)+IF(ISNUMBER(Z397),Z397,0))))</f>
        <v/>
      </c>
      <c r="BA397" s="135" t="str">
        <f aca="false">IF(ISBLANK($C397),"",IF(AA397=Constants!$B$2,TRUE(),IF(AA397=Constants!$B$3,FALSE(),FALSE())))</f>
        <v/>
      </c>
      <c r="BB397" s="134" t="str">
        <f aca="false">IF(ISBLANK($C397),"",AND($AL397,OR($AM397="",$AN397="",AND($AO397,$AP397=""))))</f>
        <v/>
      </c>
      <c r="BC397" s="137" t="str">
        <f aca="false">IF($BX397&lt;&gt;Constants!$B$6,"",IF($AL397,Constants!$B$17*$AN397+Constants!$B$18*IF($AO397,$AP397,Constants!$B$19),Constants!$B$20))</f>
        <v/>
      </c>
      <c r="BD397" s="138" t="str">
        <f aca="false">IF($BX397&lt;&gt;Constants!$B$6,"",Constants!$B$21*ABS($AD$9-IF($AL397,$AM397,0)))</f>
        <v/>
      </c>
      <c r="BE397" s="138" t="str">
        <f aca="false">IF($BX397&lt;&gt;Constants!$B$6,"",IF(AND($AL397,$AQ397,$AO397),Constants!$B$22,0))</f>
        <v/>
      </c>
      <c r="BF397" s="138" t="str">
        <f aca="false">IF($BX397&lt;&gt;Constants!$B$6,"",IF($AL397,($AI397-Constants!$B$24)*Constants!$B$23,0))</f>
        <v/>
      </c>
      <c r="BG397" s="138" t="str">
        <f aca="false">IF($BX397&lt;&gt;Constants!$B$6,"",IF($AK397,0,Constants!$B$12)+IF($AJ397,0,Constants!$B$13)+IF($AH397,0,Constants!$B$14))</f>
        <v/>
      </c>
      <c r="BH397" s="139" t="str">
        <f aca="false">IF($BX397&lt;&gt;Constants!$B$6,"",Constants!$B$16+SUM($BC397:$BG397))</f>
        <v/>
      </c>
      <c r="BI397" s="138" t="str">
        <f aca="false">IF($BX397&lt;&gt;Constants!$B$6,"",$BC397)</f>
        <v/>
      </c>
      <c r="BJ397" s="138" t="str">
        <f aca="false">IF($BX397&lt;&gt;Constants!$B$6,"",$BD397)</f>
        <v/>
      </c>
      <c r="BK397" s="140" t="str">
        <f aca="false">IF($BX397&lt;&gt;Constants!$B$6,"",IF($AL397,$AN397,""))</f>
        <v/>
      </c>
      <c r="BL397" s="135" t="str">
        <f aca="false">IF($BX397&lt;&gt;Constants!$B$6,"",IF(OR($BS397&lt;$BH397,AND($BS397=$BH397,OR($BT397&lt;$BI397,AND($BT397=$BI397,OR($BU397&lt;$BJ397,AND($BU397=$BJ397,AND(ISNUMBER($BV397),OR(NOT(ISNUMBER($BK397)),$BV397&lt;$BK397)))))))),"-&gt;","&lt;-"))</f>
        <v/>
      </c>
      <c r="BM397" s="134" t="str">
        <f aca="false">IF(ISBLANK($C397),"",AND($AT397,OR($AU397="",$AV397="",AND($AW397,$AX397=""))))</f>
        <v/>
      </c>
      <c r="BN397" s="137" t="str">
        <f aca="false">IF($BX397&lt;&gt;Constants!$B$6,"",IF($AT397,Constants!$B$17*$AV397+Constants!$B$18*IF($AW397,$AX397,Constants!$B$19),Constants!$B$20))</f>
        <v/>
      </c>
      <c r="BO397" s="138" t="str">
        <f aca="false">IF($BX397&lt;&gt;Constants!$B$6,"",Constants!$B$21*ABS($AD$9-IF($AT397,$AU397,0)))</f>
        <v/>
      </c>
      <c r="BP397" s="138" t="str">
        <f aca="false">IF($BX397&lt;&gt;Constants!$B$6,"",IF(AND($AT397,$AY397,$AW397),Constants!$B$22,0))</f>
        <v/>
      </c>
      <c r="BQ397" s="138" t="str">
        <f aca="false">IF($BX397&lt;&gt;Constants!$B$6,"",IF($AT397,($AI397-Constants!$B$24)*Constants!$B$23,0))</f>
        <v/>
      </c>
      <c r="BR397" s="138" t="str">
        <f aca="false">IF($BX397&lt;&gt;Constants!$B$6,"",IF($AS397,0,Constants!$B$12)+IF($AR397,0,Constants!$B$13)+IF($AH397,0,Constants!$B$14))</f>
        <v/>
      </c>
      <c r="BS397" s="139" t="str">
        <f aca="false">IF($BX397&lt;&gt;Constants!$B$6,"",Constants!$B$16+SUM($BN397:$BR397))</f>
        <v/>
      </c>
      <c r="BT397" s="138" t="str">
        <f aca="false">IF($BX397&lt;&gt;Constants!$B$6,"",$BN397)</f>
        <v/>
      </c>
      <c r="BU397" s="138" t="str">
        <f aca="false">IF($BX397&lt;&gt;Constants!$B$6,"",$BO397)</f>
        <v/>
      </c>
      <c r="BV397" s="140" t="str">
        <f aca="false">IF($BX397&lt;&gt;Constants!$B$6,"",IF($AT397,$AV397,""))</f>
        <v/>
      </c>
      <c r="BW397" s="135" t="str">
        <f aca="false">IF(ISBLANK($C397),"",IF(ISBLANK($D$7),$BW$5,IF(NOT(ISNUMBER($D$7)),$BW$6,"")))</f>
        <v/>
      </c>
      <c r="BX397" s="135" t="str">
        <f aca="false">IF(ISBLANK($C397),"",IF($BA397,Constants!$B$9,IF(COUNTA($E397:$AA397)=0,Constants!$B$8,IF(NOT($AG397),Constants!$B$7,IF(OR($BW397&lt;&gt;"",$BB397,$BM397),Constants!$B$10,Constants!$B$6)))))</f>
        <v/>
      </c>
      <c r="BY397" s="135" t="str">
        <f aca="false">IF(ISBLANK($C397),"",IF($BX397&lt;&gt;Constants!$B$6,$BX397,Constants!$B$11))</f>
        <v/>
      </c>
      <c r="BZ397" s="138" t="str">
        <f aca="false">IF($BX397&lt;&gt;Constants!$B$6,"",IF($BL397="-&gt;",$BS397,$BH397))</f>
        <v/>
      </c>
      <c r="CA397" s="138" t="str">
        <f aca="false">IF($BX397&lt;&gt;Constants!$B$6,"",IF($AF397,0,Constants!$B$15))</f>
        <v/>
      </c>
      <c r="CB397" s="138" t="str">
        <f aca="false">IF($BX397&lt;&gt;Constants!$B$6,"",((Constants!$B$25-$AZ397)-Constants!$B$25)/Constants!$B$26)</f>
        <v/>
      </c>
      <c r="CC397" s="138" t="str">
        <f aca="false">IF(ISBLANK($C397),"",IF($BX397&lt;&gt;Constants!$B$6,$BX397,SUM($BZ397:$CB397)))</f>
        <v/>
      </c>
      <c r="CD397" s="135" t="str">
        <f aca="false">IF(ISBLANK($C397),"",IF($BX397&lt;&gt;Constants!$B$6,$BX397,RANK($CC397,$CC$9:$CC$508,1)))</f>
        <v/>
      </c>
      <c r="CE397" s="138" t="str">
        <f aca="false">IF($BX397&lt;&gt;Constants!$B$6,"",IF($BL397="-&gt;",$BT397,$BI397))</f>
        <v/>
      </c>
      <c r="CF397" s="135" t="str">
        <f aca="false">IF(ISBLANK($C397),"",IF($BX397&lt;&gt;Constants!$B$6,$BX397,IF(ISNUMBER($CE397),RANK($CE397,$CE$9:$CE$508,1),COUNT($CE$9:$CE$508)+1)))</f>
        <v/>
      </c>
      <c r="CG397" s="138" t="str">
        <f aca="false">IF($BX397&lt;&gt;Constants!$B$6,"",IF($BL397="-&gt;",$BU397,$BJ397))</f>
        <v/>
      </c>
      <c r="CH397" s="135" t="str">
        <f aca="false">IF(ISBLANK($C397),"",IF($BX397&lt;&gt;Constants!$B$6,$BX397,IF(ISNUMBER($CG397),RANK($CG397,$CG$9:$CG$508,1),COUNT($CG$9:$CG$508)+1)))</f>
        <v/>
      </c>
      <c r="CI397" s="138" t="str">
        <f aca="false">IF($BX397&lt;&gt;Constants!$B$6,"",IF($BL397="-&gt;",$BV397,$BK397))</f>
        <v/>
      </c>
      <c r="CJ397" s="135" t="str">
        <f aca="false">IF(ISBLANK($C397),"",IF($BX397&lt;&gt;Constants!$B$6,$BX397,IF(ISNUMBER($CI397),RANK($CI397,$CI$9:$CI$508,1),COUNT($CI$9:$CI$508)+1)))</f>
        <v/>
      </c>
      <c r="CK397" s="138" t="str">
        <f aca="false">IF($BX397&lt;&gt;Constants!$B$6,"",$AI397)</f>
        <v/>
      </c>
      <c r="CL397" s="135" t="str">
        <f aca="false">IF(ISBLANK($C397),"",IF($BX397&lt;&gt;Constants!$B$6,$BX397,IF(ISNUMBER($CK397),RANK($CK397,$CK$9:$CK$508,1),COUNT($CK$9:$CK$508)+1)))</f>
        <v/>
      </c>
      <c r="CM397" s="135" t="str">
        <f aca="false">IF(ISBLANK($C397),"",IF($BX397&lt;&gt;Constants!$B$6,$BX397,COUNTIFS($CD$9:$CD$508,"&lt;"&amp;$CD397)+COUNTIFS($CD$9:$CD$508,$CD397,$CF$9:$CF$508,"&lt;"&amp;$CF397)+COUNTIFS($CD$9:$CD$508,$CD397,$CF$9:$CF$508,$CF397,$CH$9:$CH$508,"&lt;"&amp;$CH397)+COUNTIFS($CD$9:$CD$508,$CD397,$CF$9:$CF$508,$CF397,$CH$9:$CH$508,$CH397,$CJ$9:$CJ$508,"&lt;"&amp;$CJ397)+COUNTIFS($CD$9:$CD$508,$CD397,$CF$9:$CF$508,$CF397,$CH$9:$CH$508,$CH397,$CJ$9:$CJ$508,$CJ397,$CL$9:$CL$508,"&lt;"&amp;$CL397)+1))</f>
        <v/>
      </c>
      <c r="CN397" s="135" t="str">
        <f aca="false">IF(ISBLANK($C397),"",IF($BX397&lt;&gt;Constants!$B$6,$BX397,$CD397-$CM397))</f>
        <v/>
      </c>
      <c r="CO397" s="141"/>
      <c r="CP397" s="142"/>
      <c r="CQ397" s="143" t="str">
        <f aca="false">IF(ISBLANK($C397),"",IF($BX397=Constants!$B$10,$BW397,""))</f>
        <v/>
      </c>
      <c r="CR397" s="142" t="str">
        <f aca="false">IF(ISBLANK($C397),"",IF($BX397&lt;&gt;Constants!$B$6,"",IF($BL397="-&gt;",2,1)))</f>
        <v/>
      </c>
      <c r="CS397" s="144" t="str">
        <f aca="false">IF(ISBLANK($C397),"",IF($BX397&lt;&gt;Constants!$B$6,"",IF($BL397="-&gt;",$BN397,$BC397)))</f>
        <v/>
      </c>
      <c r="CT397" s="144" t="str">
        <f aca="false">IF(ISBLANK($C397),"",IF($BX397&lt;&gt;Constants!$B$6,"",IF($BL397="-&gt;",$BO397,$BD397)))</f>
        <v/>
      </c>
      <c r="CU397" s="144" t="str">
        <f aca="false">IF(ISBLANK($C397),"",IF($BX397&lt;&gt;Constants!$B$6,"",IF($BL397="-&gt;",$BP397+$BQ397,$BE397+$BF397)+$CB397))</f>
        <v/>
      </c>
      <c r="CV397" s="144" t="str">
        <f aca="false">IF(ISBLANK($C397),"",IF($BX397&lt;&gt;Constants!$B$6,"",IF($BL397="-&gt;",$BR397,$BG397)+$CA397))</f>
        <v/>
      </c>
      <c r="CW397" s="145" t="str">
        <f aca="false">IF(ISBLANK($C397),"",IF($BX397&lt;&gt;Constants!$B$6,$BX397,$CC397))</f>
        <v/>
      </c>
      <c r="CX397" s="146" t="str">
        <f aca="false">IF(ISBLANK($C397),"",$BY397)</f>
        <v/>
      </c>
      <c r="CY397" s="147" t="str">
        <f aca="false">IF(ISBLANK($C397),"",$CN397)</f>
        <v/>
      </c>
      <c r="CZ397" s="147" t="str">
        <f aca="false">IF(ISBLANK($C397),"",$CM397)</f>
        <v/>
      </c>
      <c r="DA397" s="148" t="str">
        <f aca="false">IF(ISBLANK($C397),"",IFERROR(_xlfn.SWITCH($CZ397,Constants!$B$9,COUNTA($C$9:$C$508)+2,Constants!$B$8,COUNTA($C$9:$C$508)+1,Constants!$B$7,COUNTA($C$9:$C$508)),$CZ397))</f>
        <v/>
      </c>
      <c r="DB397" s="9"/>
      <c r="DC397" s="149" t="n">
        <f aca="false">IF(OR(ISNUMBER($CZ397),$CZ397=Constants!$B$9,$CZ397=Constants!$B$7,$CZ397=Constants!$B$8),1,0)</f>
        <v>0</v>
      </c>
      <c r="DD397" s="149" t="n">
        <v>389</v>
      </c>
      <c r="DE397" s="149" t="str">
        <f aca="false">IF(ISBLANK($C397),"",IF(ISNUMBER($DA397),$DA397+ROW($B397)/1000,""))</f>
        <v/>
      </c>
      <c r="DF397" s="149" t="str">
        <f aca="false">IF(ISNUMBER($DE397),RANK($DE397,$DE$9:$DE$508,1),"")</f>
        <v/>
      </c>
      <c r="DG397" s="149" t="str">
        <f aca="false">IF(ISBLANK($C397),"",$B397)</f>
        <v/>
      </c>
      <c r="DH397" s="149" t="str">
        <f aca="false">IF(ISBLANK($C397),"",$C397)</f>
        <v/>
      </c>
      <c r="DI397" s="149" t="str">
        <f aca="false">IF(ISBLANK($C397),"",$D397)</f>
        <v/>
      </c>
      <c r="DJ397" s="150" t="str">
        <f aca="false">$CX397</f>
        <v/>
      </c>
      <c r="DK397" s="151" t="str">
        <f aca="false">$CW397</f>
        <v/>
      </c>
      <c r="DL397" s="149" t="str">
        <f aca="false">IF(ISBLANK($C397),"",$CZ397)</f>
        <v/>
      </c>
      <c r="DM397" s="152" t="str">
        <f aca="false">IF($DD397&gt;$DC$8,"",VLOOKUP($DD397,$DF$9:$DL$508,7,FALSE()))</f>
        <v/>
      </c>
      <c r="DN397" s="153" t="str">
        <f aca="false">IF($DD397&gt;$DC$8,"",VLOOKUP($DD397,$DF$9:$DL$508,2,FALSE()))</f>
        <v/>
      </c>
      <c r="DO397" s="153" t="str">
        <f aca="false">IF($DD397&gt;$DC$8,"",VLOOKUP($DD397,$DF$9:$DL$508,3,FALSE()))</f>
        <v/>
      </c>
      <c r="DP397" s="153" t="str">
        <f aca="false">IF($DD397&gt;$DC$8,"",VLOOKUP($DD397,$DF$9:$DL$508,4,FALSE()))</f>
        <v/>
      </c>
      <c r="DQ397" s="153" t="str">
        <f aca="false">IF($DD397&gt;$DC$8,"",VLOOKUP($DD397,$DF$9:$DL$508,5,FALSE()))</f>
        <v/>
      </c>
      <c r="DR397" s="154" t="str">
        <f aca="false">IF($DD397&gt;$DC$8,"",VLOOKUP($DD397,$DF$9:$DL$508,6,FALSE()))</f>
        <v/>
      </c>
      <c r="DS397" s="76"/>
    </row>
    <row r="398" customFormat="false" ht="15.75" hidden="false" customHeight="false" outlineLevel="0" collapsed="false">
      <c r="A398" s="9"/>
      <c r="B398" s="160"/>
      <c r="C398" s="161"/>
      <c r="D398" s="162"/>
      <c r="E398" s="180"/>
      <c r="F398" s="164"/>
      <c r="G398" s="165"/>
      <c r="H398" s="165"/>
      <c r="I398" s="181"/>
      <c r="J398" s="168"/>
      <c r="K398" s="128"/>
      <c r="L398" s="129"/>
      <c r="M398" s="130"/>
      <c r="N398" s="168"/>
      <c r="O398" s="168"/>
      <c r="P398" s="180"/>
      <c r="Q398" s="168"/>
      <c r="R398" s="168"/>
      <c r="S398" s="128"/>
      <c r="T398" s="130"/>
      <c r="U398" s="130"/>
      <c r="V398" s="168"/>
      <c r="W398" s="168"/>
      <c r="X398" s="180"/>
      <c r="Y398" s="168"/>
      <c r="Z398" s="169"/>
      <c r="AA398" s="168"/>
      <c r="AB398" s="134"/>
      <c r="AC398" s="135"/>
      <c r="AD398" s="135"/>
      <c r="AE398" s="135"/>
      <c r="AF398" s="135" t="str">
        <f aca="false">IF(ISBLANK($C398),"",IF(E398=Constants!$B$2,TRUE(),IF(E398=Constants!$B$3,FALSE(),TRUE())))</f>
        <v/>
      </c>
      <c r="AG398" s="135" t="str">
        <f aca="false">IF(ISBLANK($C398),"",IF(F398=Constants!$B$2,TRUE(),IF(F398=Constants!$B$3,FALSE(),TRUE())))</f>
        <v/>
      </c>
      <c r="AH398" s="135" t="str">
        <f aca="false">IF(ISBLANK($C398),"",IF(G398=Constants!$B$2,TRUE(),IF(G398=Constants!$B$3,FALSE(),TRUE())))</f>
        <v/>
      </c>
      <c r="AI398" s="135" t="str">
        <f aca="false">IF(ISBLANK($C398),"",IF(AND(ISNUMBER(H398),H398&gt;=0),H398,Constants!$B$24))</f>
        <v/>
      </c>
      <c r="AJ398" s="135" t="str">
        <f aca="false">IF(ISBLANK($C398),"",IF(I398=Constants!$B$2,TRUE(),IF(I398=Constants!$B$3,FALSE(),TRUE())))</f>
        <v/>
      </c>
      <c r="AK398" s="135" t="str">
        <f aca="false">IF(ISBLANK($C398),"",IF(J398=Constants!$B$2,TRUE(),IF(J398=Constants!$B$3,FALSE(),TRUE())))</f>
        <v/>
      </c>
      <c r="AL398" s="135" t="str">
        <f aca="false">IF(ISBLANK($C398),"",IF(K398=Constants!$B$4,TRUE(),IF(K398=Constants!$B$5,FALSE(),COUNTA(L398:P398)&gt;0)))</f>
        <v/>
      </c>
      <c r="AM398" s="136" t="str">
        <f aca="false">IF(ISBLANK($C398),"",IF(ISNUMBER(L398),IF(L398&gt;=0,L398,""),""))</f>
        <v/>
      </c>
      <c r="AN398" s="137" t="str">
        <f aca="false">IF(ISBLANK($C398),"",IF(ISNUMBER(M398),IF(M398&gt;=0,M398,""),""))</f>
        <v/>
      </c>
      <c r="AO398" s="137" t="str">
        <f aca="false">IF(ISBLANK($C398),"",IF(N398=Constants!$B$2,TRUE(),IF(N398=Constants!$B$3,FALSE(),TRUE())))</f>
        <v/>
      </c>
      <c r="AP398" s="135" t="str">
        <f aca="false">IF(ISBLANK($C398),"",IF(ISNUMBER(O398),IF(O398&gt;=0,O398,""),""))</f>
        <v/>
      </c>
      <c r="AQ398" s="135" t="str">
        <f aca="false">IF(ISBLANK($C398),"",IF(P398=Constants!$B$2,TRUE(),IF(P398=Constants!$B$3,FALSE(),FALSE())))</f>
        <v/>
      </c>
      <c r="AR398" s="135" t="str">
        <f aca="false">IF(ISBLANK($C398),"",IF(Q398=Constants!$B$2,TRUE(),IF(Q398=Constants!$B$3,FALSE(),TRUE())))</f>
        <v/>
      </c>
      <c r="AS398" s="135" t="str">
        <f aca="false">IF(ISBLANK($C398),"",IF(R398=Constants!$B$2,TRUE(),IF(R398=Constants!$B$3,FALSE(),TRUE())))</f>
        <v/>
      </c>
      <c r="AT398" s="135" t="str">
        <f aca="false">IF(ISBLANK($C398),"",IF(S398=Constants!$B$4,TRUE(),IF(S398=Constants!$B$5,FALSE(),COUNTA(T398:X398)&gt;0)))</f>
        <v/>
      </c>
      <c r="AU398" s="136" t="str">
        <f aca="false">IF(ISBLANK($C398),"",IF(ISNUMBER(T398),IF(T398&gt;=0,T398,""),""))</f>
        <v/>
      </c>
      <c r="AV398" s="137" t="str">
        <f aca="false">IF(ISBLANK($C398),"",IF(ISNUMBER(U398),IF(U398&gt;=0,U398,""),""))</f>
        <v/>
      </c>
      <c r="AW398" s="137" t="str">
        <f aca="false">IF(ISBLANK($C398),"",IF(V398=Constants!$B$2,TRUE(),IF(V398=Constants!$B$3,FALSE(),TRUE())))</f>
        <v/>
      </c>
      <c r="AX398" s="135" t="str">
        <f aca="false">IF(ISBLANK($C398),"",IF(ISNUMBER(W398),IF(W398&gt;=0,W398,""),""))</f>
        <v/>
      </c>
      <c r="AY398" s="135" t="str">
        <f aca="false">IF(ISBLANK($C398),"",IF(X398=Constants!$B$2,TRUE(),IF(X398=Constants!$B$3,FALSE(),FALSE())))</f>
        <v/>
      </c>
      <c r="AZ398" s="135" t="str">
        <f aca="false">IF(ISBLANK($C398),"",MIN(Constants!$B$25,MAX(0,IF(ISNUMBER(Y398),Y398*60,0)+IF(ISNUMBER(Z398),Z398,0))))</f>
        <v/>
      </c>
      <c r="BA398" s="135" t="str">
        <f aca="false">IF(ISBLANK($C398),"",IF(AA398=Constants!$B$2,TRUE(),IF(AA398=Constants!$B$3,FALSE(),FALSE())))</f>
        <v/>
      </c>
      <c r="BB398" s="134" t="str">
        <f aca="false">IF(ISBLANK($C398),"",AND($AL398,OR($AM398="",$AN398="",AND($AO398,$AP398=""))))</f>
        <v/>
      </c>
      <c r="BC398" s="137" t="str">
        <f aca="false">IF($BX398&lt;&gt;Constants!$B$6,"",IF($AL398,Constants!$B$17*$AN398+Constants!$B$18*IF($AO398,$AP398,Constants!$B$19),Constants!$B$20))</f>
        <v/>
      </c>
      <c r="BD398" s="138" t="str">
        <f aca="false">IF($BX398&lt;&gt;Constants!$B$6,"",Constants!$B$21*ABS($AD$9-IF($AL398,$AM398,0)))</f>
        <v/>
      </c>
      <c r="BE398" s="138" t="str">
        <f aca="false">IF($BX398&lt;&gt;Constants!$B$6,"",IF(AND($AL398,$AQ398,$AO398),Constants!$B$22,0))</f>
        <v/>
      </c>
      <c r="BF398" s="138" t="str">
        <f aca="false">IF($BX398&lt;&gt;Constants!$B$6,"",IF($AL398,($AI398-Constants!$B$24)*Constants!$B$23,0))</f>
        <v/>
      </c>
      <c r="BG398" s="138" t="str">
        <f aca="false">IF($BX398&lt;&gt;Constants!$B$6,"",IF($AK398,0,Constants!$B$12)+IF($AJ398,0,Constants!$B$13)+IF($AH398,0,Constants!$B$14))</f>
        <v/>
      </c>
      <c r="BH398" s="139" t="str">
        <f aca="false">IF($BX398&lt;&gt;Constants!$B$6,"",Constants!$B$16+SUM($BC398:$BG398))</f>
        <v/>
      </c>
      <c r="BI398" s="138" t="str">
        <f aca="false">IF($BX398&lt;&gt;Constants!$B$6,"",$BC398)</f>
        <v/>
      </c>
      <c r="BJ398" s="138" t="str">
        <f aca="false">IF($BX398&lt;&gt;Constants!$B$6,"",$BD398)</f>
        <v/>
      </c>
      <c r="BK398" s="140" t="str">
        <f aca="false">IF($BX398&lt;&gt;Constants!$B$6,"",IF($AL398,$AN398,""))</f>
        <v/>
      </c>
      <c r="BL398" s="135" t="str">
        <f aca="false">IF($BX398&lt;&gt;Constants!$B$6,"",IF(OR($BS398&lt;$BH398,AND($BS398=$BH398,OR($BT398&lt;$BI398,AND($BT398=$BI398,OR($BU398&lt;$BJ398,AND($BU398=$BJ398,AND(ISNUMBER($BV398),OR(NOT(ISNUMBER($BK398)),$BV398&lt;$BK398)))))))),"-&gt;","&lt;-"))</f>
        <v/>
      </c>
      <c r="BM398" s="134" t="str">
        <f aca="false">IF(ISBLANK($C398),"",AND($AT398,OR($AU398="",$AV398="",AND($AW398,$AX398=""))))</f>
        <v/>
      </c>
      <c r="BN398" s="137" t="str">
        <f aca="false">IF($BX398&lt;&gt;Constants!$B$6,"",IF($AT398,Constants!$B$17*$AV398+Constants!$B$18*IF($AW398,$AX398,Constants!$B$19),Constants!$B$20))</f>
        <v/>
      </c>
      <c r="BO398" s="138" t="str">
        <f aca="false">IF($BX398&lt;&gt;Constants!$B$6,"",Constants!$B$21*ABS($AD$9-IF($AT398,$AU398,0)))</f>
        <v/>
      </c>
      <c r="BP398" s="138" t="str">
        <f aca="false">IF($BX398&lt;&gt;Constants!$B$6,"",IF(AND($AT398,$AY398,$AW398),Constants!$B$22,0))</f>
        <v/>
      </c>
      <c r="BQ398" s="138" t="str">
        <f aca="false">IF($BX398&lt;&gt;Constants!$B$6,"",IF($AT398,($AI398-Constants!$B$24)*Constants!$B$23,0))</f>
        <v/>
      </c>
      <c r="BR398" s="138" t="str">
        <f aca="false">IF($BX398&lt;&gt;Constants!$B$6,"",IF($AS398,0,Constants!$B$12)+IF($AR398,0,Constants!$B$13)+IF($AH398,0,Constants!$B$14))</f>
        <v/>
      </c>
      <c r="BS398" s="139" t="str">
        <f aca="false">IF($BX398&lt;&gt;Constants!$B$6,"",Constants!$B$16+SUM($BN398:$BR398))</f>
        <v/>
      </c>
      <c r="BT398" s="138" t="str">
        <f aca="false">IF($BX398&lt;&gt;Constants!$B$6,"",$BN398)</f>
        <v/>
      </c>
      <c r="BU398" s="138" t="str">
        <f aca="false">IF($BX398&lt;&gt;Constants!$B$6,"",$BO398)</f>
        <v/>
      </c>
      <c r="BV398" s="140" t="str">
        <f aca="false">IF($BX398&lt;&gt;Constants!$B$6,"",IF($AT398,$AV398,""))</f>
        <v/>
      </c>
      <c r="BW398" s="135" t="str">
        <f aca="false">IF(ISBLANK($C398),"",IF(ISBLANK($D$7),$BW$5,IF(NOT(ISNUMBER($D$7)),$BW$6,"")))</f>
        <v/>
      </c>
      <c r="BX398" s="135" t="str">
        <f aca="false">IF(ISBLANK($C398),"",IF($BA398,Constants!$B$9,IF(COUNTA($E398:$AA398)=0,Constants!$B$8,IF(NOT($AG398),Constants!$B$7,IF(OR($BW398&lt;&gt;"",$BB398,$BM398),Constants!$B$10,Constants!$B$6)))))</f>
        <v/>
      </c>
      <c r="BY398" s="135" t="str">
        <f aca="false">IF(ISBLANK($C398),"",IF($BX398&lt;&gt;Constants!$B$6,$BX398,Constants!$B$11))</f>
        <v/>
      </c>
      <c r="BZ398" s="138" t="str">
        <f aca="false">IF($BX398&lt;&gt;Constants!$B$6,"",IF($BL398="-&gt;",$BS398,$BH398))</f>
        <v/>
      </c>
      <c r="CA398" s="138" t="str">
        <f aca="false">IF($BX398&lt;&gt;Constants!$B$6,"",IF($AF398,0,Constants!$B$15))</f>
        <v/>
      </c>
      <c r="CB398" s="138" t="str">
        <f aca="false">IF($BX398&lt;&gt;Constants!$B$6,"",((Constants!$B$25-$AZ398)-Constants!$B$25)/Constants!$B$26)</f>
        <v/>
      </c>
      <c r="CC398" s="138" t="str">
        <f aca="false">IF(ISBLANK($C398),"",IF($BX398&lt;&gt;Constants!$B$6,$BX398,SUM($BZ398:$CB398)))</f>
        <v/>
      </c>
      <c r="CD398" s="135" t="str">
        <f aca="false">IF(ISBLANK($C398),"",IF($BX398&lt;&gt;Constants!$B$6,$BX398,RANK($CC398,$CC$9:$CC$508,1)))</f>
        <v/>
      </c>
      <c r="CE398" s="138" t="str">
        <f aca="false">IF($BX398&lt;&gt;Constants!$B$6,"",IF($BL398="-&gt;",$BT398,$BI398))</f>
        <v/>
      </c>
      <c r="CF398" s="135" t="str">
        <f aca="false">IF(ISBLANK($C398),"",IF($BX398&lt;&gt;Constants!$B$6,$BX398,IF(ISNUMBER($CE398),RANK($CE398,$CE$9:$CE$508,1),COUNT($CE$9:$CE$508)+1)))</f>
        <v/>
      </c>
      <c r="CG398" s="138" t="str">
        <f aca="false">IF($BX398&lt;&gt;Constants!$B$6,"",IF($BL398="-&gt;",$BU398,$BJ398))</f>
        <v/>
      </c>
      <c r="CH398" s="135" t="str">
        <f aca="false">IF(ISBLANK($C398),"",IF($BX398&lt;&gt;Constants!$B$6,$BX398,IF(ISNUMBER($CG398),RANK($CG398,$CG$9:$CG$508,1),COUNT($CG$9:$CG$508)+1)))</f>
        <v/>
      </c>
      <c r="CI398" s="138" t="str">
        <f aca="false">IF($BX398&lt;&gt;Constants!$B$6,"",IF($BL398="-&gt;",$BV398,$BK398))</f>
        <v/>
      </c>
      <c r="CJ398" s="135" t="str">
        <f aca="false">IF(ISBLANK($C398),"",IF($BX398&lt;&gt;Constants!$B$6,$BX398,IF(ISNUMBER($CI398),RANK($CI398,$CI$9:$CI$508,1),COUNT($CI$9:$CI$508)+1)))</f>
        <v/>
      </c>
      <c r="CK398" s="138" t="str">
        <f aca="false">IF($BX398&lt;&gt;Constants!$B$6,"",$AI398)</f>
        <v/>
      </c>
      <c r="CL398" s="135" t="str">
        <f aca="false">IF(ISBLANK($C398),"",IF($BX398&lt;&gt;Constants!$B$6,$BX398,IF(ISNUMBER($CK398),RANK($CK398,$CK$9:$CK$508,1),COUNT($CK$9:$CK$508)+1)))</f>
        <v/>
      </c>
      <c r="CM398" s="135" t="str">
        <f aca="false">IF(ISBLANK($C398),"",IF($BX398&lt;&gt;Constants!$B$6,$BX398,COUNTIFS($CD$9:$CD$508,"&lt;"&amp;$CD398)+COUNTIFS($CD$9:$CD$508,$CD398,$CF$9:$CF$508,"&lt;"&amp;$CF398)+COUNTIFS($CD$9:$CD$508,$CD398,$CF$9:$CF$508,$CF398,$CH$9:$CH$508,"&lt;"&amp;$CH398)+COUNTIFS($CD$9:$CD$508,$CD398,$CF$9:$CF$508,$CF398,$CH$9:$CH$508,$CH398,$CJ$9:$CJ$508,"&lt;"&amp;$CJ398)+COUNTIFS($CD$9:$CD$508,$CD398,$CF$9:$CF$508,$CF398,$CH$9:$CH$508,$CH398,$CJ$9:$CJ$508,$CJ398,$CL$9:$CL$508,"&lt;"&amp;$CL398)+1))</f>
        <v/>
      </c>
      <c r="CN398" s="135" t="str">
        <f aca="false">IF(ISBLANK($C398),"",IF($BX398&lt;&gt;Constants!$B$6,$BX398,$CD398-$CM398))</f>
        <v/>
      </c>
      <c r="CO398" s="141"/>
      <c r="CP398" s="142"/>
      <c r="CQ398" s="143" t="str">
        <f aca="false">IF(ISBLANK($C398),"",IF($BX398=Constants!$B$10,$BW398,""))</f>
        <v/>
      </c>
      <c r="CR398" s="142" t="str">
        <f aca="false">IF(ISBLANK($C398),"",IF($BX398&lt;&gt;Constants!$B$6,"",IF($BL398="-&gt;",2,1)))</f>
        <v/>
      </c>
      <c r="CS398" s="144" t="str">
        <f aca="false">IF(ISBLANK($C398),"",IF($BX398&lt;&gt;Constants!$B$6,"",IF($BL398="-&gt;",$BN398,$BC398)))</f>
        <v/>
      </c>
      <c r="CT398" s="144" t="str">
        <f aca="false">IF(ISBLANK($C398),"",IF($BX398&lt;&gt;Constants!$B$6,"",IF($BL398="-&gt;",$BO398,$BD398)))</f>
        <v/>
      </c>
      <c r="CU398" s="144" t="str">
        <f aca="false">IF(ISBLANK($C398),"",IF($BX398&lt;&gt;Constants!$B$6,"",IF($BL398="-&gt;",$BP398+$BQ398,$BE398+$BF398)+$CB398))</f>
        <v/>
      </c>
      <c r="CV398" s="144" t="str">
        <f aca="false">IF(ISBLANK($C398),"",IF($BX398&lt;&gt;Constants!$B$6,"",IF($BL398="-&gt;",$BR398,$BG398)+$CA398))</f>
        <v/>
      </c>
      <c r="CW398" s="145" t="str">
        <f aca="false">IF(ISBLANK($C398),"",IF($BX398&lt;&gt;Constants!$B$6,$BX398,$CC398))</f>
        <v/>
      </c>
      <c r="CX398" s="146" t="str">
        <f aca="false">IF(ISBLANK($C398),"",$BY398)</f>
        <v/>
      </c>
      <c r="CY398" s="147" t="str">
        <f aca="false">IF(ISBLANK($C398),"",$CN398)</f>
        <v/>
      </c>
      <c r="CZ398" s="147" t="str">
        <f aca="false">IF(ISBLANK($C398),"",$CM398)</f>
        <v/>
      </c>
      <c r="DA398" s="148" t="str">
        <f aca="false">IF(ISBLANK($C398),"",IFERROR(_xlfn.SWITCH($CZ398,Constants!$B$9,COUNTA($C$9:$C$508)+2,Constants!$B$8,COUNTA($C$9:$C$508)+1,Constants!$B$7,COUNTA($C$9:$C$508)),$CZ398))</f>
        <v/>
      </c>
      <c r="DB398" s="9"/>
      <c r="DC398" s="149" t="n">
        <f aca="false">IF(OR(ISNUMBER($CZ398),$CZ398=Constants!$B$9,$CZ398=Constants!$B$7,$CZ398=Constants!$B$8),1,0)</f>
        <v>0</v>
      </c>
      <c r="DD398" s="149" t="n">
        <v>390</v>
      </c>
      <c r="DE398" s="149" t="str">
        <f aca="false">IF(ISBLANK($C398),"",IF(ISNUMBER($DA398),$DA398+ROW($B398)/1000,""))</f>
        <v/>
      </c>
      <c r="DF398" s="149" t="str">
        <f aca="false">IF(ISNUMBER($DE398),RANK($DE398,$DE$9:$DE$508,1),"")</f>
        <v/>
      </c>
      <c r="DG398" s="149" t="str">
        <f aca="false">IF(ISBLANK($C398),"",$B398)</f>
        <v/>
      </c>
      <c r="DH398" s="149" t="str">
        <f aca="false">IF(ISBLANK($C398),"",$C398)</f>
        <v/>
      </c>
      <c r="DI398" s="149" t="str">
        <f aca="false">IF(ISBLANK($C398),"",$D398)</f>
        <v/>
      </c>
      <c r="DJ398" s="150" t="str">
        <f aca="false">$CX398</f>
        <v/>
      </c>
      <c r="DK398" s="151" t="str">
        <f aca="false">$CW398</f>
        <v/>
      </c>
      <c r="DL398" s="149" t="str">
        <f aca="false">IF(ISBLANK($C398),"",$CZ398)</f>
        <v/>
      </c>
      <c r="DM398" s="152" t="str">
        <f aca="false">IF($DD398&gt;$DC$8,"",VLOOKUP($DD398,$DF$9:$DL$508,7,FALSE()))</f>
        <v/>
      </c>
      <c r="DN398" s="153" t="str">
        <f aca="false">IF($DD398&gt;$DC$8,"",VLOOKUP($DD398,$DF$9:$DL$508,2,FALSE()))</f>
        <v/>
      </c>
      <c r="DO398" s="153" t="str">
        <f aca="false">IF($DD398&gt;$DC$8,"",VLOOKUP($DD398,$DF$9:$DL$508,3,FALSE()))</f>
        <v/>
      </c>
      <c r="DP398" s="153" t="str">
        <f aca="false">IF($DD398&gt;$DC$8,"",VLOOKUP($DD398,$DF$9:$DL$508,4,FALSE()))</f>
        <v/>
      </c>
      <c r="DQ398" s="153" t="str">
        <f aca="false">IF($DD398&gt;$DC$8,"",VLOOKUP($DD398,$DF$9:$DL$508,5,FALSE()))</f>
        <v/>
      </c>
      <c r="DR398" s="154" t="str">
        <f aca="false">IF($DD398&gt;$DC$8,"",VLOOKUP($DD398,$DF$9:$DL$508,6,FALSE()))</f>
        <v/>
      </c>
      <c r="DS398" s="76"/>
    </row>
    <row r="399" customFormat="false" ht="15.75" hidden="false" customHeight="false" outlineLevel="0" collapsed="false">
      <c r="A399" s="9"/>
      <c r="B399" s="78"/>
      <c r="C399" s="79"/>
      <c r="D399" s="170"/>
      <c r="E399" s="178"/>
      <c r="F399" s="172"/>
      <c r="G399" s="173"/>
      <c r="H399" s="173"/>
      <c r="I399" s="179"/>
      <c r="J399" s="176"/>
      <c r="K399" s="86"/>
      <c r="L399" s="87"/>
      <c r="M399" s="88"/>
      <c r="N399" s="176"/>
      <c r="O399" s="176"/>
      <c r="P399" s="178"/>
      <c r="Q399" s="176"/>
      <c r="R399" s="176"/>
      <c r="S399" s="86"/>
      <c r="T399" s="88"/>
      <c r="U399" s="88"/>
      <c r="V399" s="176"/>
      <c r="W399" s="176"/>
      <c r="X399" s="178"/>
      <c r="Y399" s="176"/>
      <c r="Z399" s="177"/>
      <c r="AA399" s="176"/>
      <c r="AB399" s="92"/>
      <c r="AC399" s="93"/>
      <c r="AD399" s="93"/>
      <c r="AE399" s="93"/>
      <c r="AF399" s="93" t="str">
        <f aca="false">IF(ISBLANK($C399),"",IF(E399=Constants!$B$2,TRUE(),IF(E399=Constants!$B$3,FALSE(),TRUE())))</f>
        <v/>
      </c>
      <c r="AG399" s="93" t="str">
        <f aca="false">IF(ISBLANK($C399),"",IF(F399=Constants!$B$2,TRUE(),IF(F399=Constants!$B$3,FALSE(),TRUE())))</f>
        <v/>
      </c>
      <c r="AH399" s="93" t="str">
        <f aca="false">IF(ISBLANK($C399),"",IF(G399=Constants!$B$2,TRUE(),IF(G399=Constants!$B$3,FALSE(),TRUE())))</f>
        <v/>
      </c>
      <c r="AI399" s="93" t="str">
        <f aca="false">IF(ISBLANK($C399),"",IF(AND(ISNUMBER(H399),H399&gt;=0),H399,Constants!$B$24))</f>
        <v/>
      </c>
      <c r="AJ399" s="93" t="str">
        <f aca="false">IF(ISBLANK($C399),"",IF(I399=Constants!$B$2,TRUE(),IF(I399=Constants!$B$3,FALSE(),TRUE())))</f>
        <v/>
      </c>
      <c r="AK399" s="93" t="str">
        <f aca="false">IF(ISBLANK($C399),"",IF(J399=Constants!$B$2,TRUE(),IF(J399=Constants!$B$3,FALSE(),TRUE())))</f>
        <v/>
      </c>
      <c r="AL399" s="93" t="str">
        <f aca="false">IF(ISBLANK($C399),"",IF(K399=Constants!$B$4,TRUE(),IF(K399=Constants!$B$5,FALSE(),COUNTA(L399:P399)&gt;0)))</f>
        <v/>
      </c>
      <c r="AM399" s="95" t="str">
        <f aca="false">IF(ISBLANK($C399),"",IF(ISNUMBER(L399),IF(L399&gt;=0,L399,""),""))</f>
        <v/>
      </c>
      <c r="AN399" s="94" t="str">
        <f aca="false">IF(ISBLANK($C399),"",IF(ISNUMBER(M399),IF(M399&gt;=0,M399,""),""))</f>
        <v/>
      </c>
      <c r="AO399" s="94" t="str">
        <f aca="false">IF(ISBLANK($C399),"",IF(N399=Constants!$B$2,TRUE(),IF(N399=Constants!$B$3,FALSE(),TRUE())))</f>
        <v/>
      </c>
      <c r="AP399" s="93" t="str">
        <f aca="false">IF(ISBLANK($C399),"",IF(ISNUMBER(O399),IF(O399&gt;=0,O399,""),""))</f>
        <v/>
      </c>
      <c r="AQ399" s="93" t="str">
        <f aca="false">IF(ISBLANK($C399),"",IF(P399=Constants!$B$2,TRUE(),IF(P399=Constants!$B$3,FALSE(),FALSE())))</f>
        <v/>
      </c>
      <c r="AR399" s="93" t="str">
        <f aca="false">IF(ISBLANK($C399),"",IF(Q399=Constants!$B$2,TRUE(),IF(Q399=Constants!$B$3,FALSE(),TRUE())))</f>
        <v/>
      </c>
      <c r="AS399" s="93" t="str">
        <f aca="false">IF(ISBLANK($C399),"",IF(R399=Constants!$B$2,TRUE(),IF(R399=Constants!$B$3,FALSE(),TRUE())))</f>
        <v/>
      </c>
      <c r="AT399" s="93" t="str">
        <f aca="false">IF(ISBLANK($C399),"",IF(S399=Constants!$B$4,TRUE(),IF(S399=Constants!$B$5,FALSE(),COUNTA(T399:X399)&gt;0)))</f>
        <v/>
      </c>
      <c r="AU399" s="95" t="str">
        <f aca="false">IF(ISBLANK($C399),"",IF(ISNUMBER(T399),IF(T399&gt;=0,T399,""),""))</f>
        <v/>
      </c>
      <c r="AV399" s="94" t="str">
        <f aca="false">IF(ISBLANK($C399),"",IF(ISNUMBER(U399),IF(U399&gt;=0,U399,""),""))</f>
        <v/>
      </c>
      <c r="AW399" s="94" t="str">
        <f aca="false">IF(ISBLANK($C399),"",IF(V399=Constants!$B$2,TRUE(),IF(V399=Constants!$B$3,FALSE(),TRUE())))</f>
        <v/>
      </c>
      <c r="AX399" s="93" t="str">
        <f aca="false">IF(ISBLANK($C399),"",IF(ISNUMBER(W399),IF(W399&gt;=0,W399,""),""))</f>
        <v/>
      </c>
      <c r="AY399" s="93" t="str">
        <f aca="false">IF(ISBLANK($C399),"",IF(X399=Constants!$B$2,TRUE(),IF(X399=Constants!$B$3,FALSE(),FALSE())))</f>
        <v/>
      </c>
      <c r="AZ399" s="93" t="str">
        <f aca="false">IF(ISBLANK($C399),"",MIN(Constants!$B$25,MAX(0,IF(ISNUMBER(Y399),Y399*60,0)+IF(ISNUMBER(Z399),Z399,0))))</f>
        <v/>
      </c>
      <c r="BA399" s="93" t="str">
        <f aca="false">IF(ISBLANK($C399),"",IF(AA399=Constants!$B$2,TRUE(),IF(AA399=Constants!$B$3,FALSE(),FALSE())))</f>
        <v/>
      </c>
      <c r="BB399" s="92" t="str">
        <f aca="false">IF(ISBLANK($C399),"",AND($AL399,OR($AM399="",$AN399="",AND($AO399,$AP399=""))))</f>
        <v/>
      </c>
      <c r="BC399" s="94" t="str">
        <f aca="false">IF($BX399&lt;&gt;Constants!$B$6,"",IF($AL399,Constants!$B$17*$AN399+Constants!$B$18*IF($AO399,$AP399,Constants!$B$19),Constants!$B$20))</f>
        <v/>
      </c>
      <c r="BD399" s="97" t="str">
        <f aca="false">IF($BX399&lt;&gt;Constants!$B$6,"",Constants!$B$21*ABS($AD$9-IF($AL399,$AM399,0)))</f>
        <v/>
      </c>
      <c r="BE399" s="97" t="str">
        <f aca="false">IF($BX399&lt;&gt;Constants!$B$6,"",IF(AND($AL399,$AQ399,$AO399),Constants!$B$22,0))</f>
        <v/>
      </c>
      <c r="BF399" s="97" t="str">
        <f aca="false">IF($BX399&lt;&gt;Constants!$B$6,"",IF($AL399,($AI399-Constants!$B$24)*Constants!$B$23,0))</f>
        <v/>
      </c>
      <c r="BG399" s="97" t="str">
        <f aca="false">IF($BX399&lt;&gt;Constants!$B$6,"",IF($AK399,0,Constants!$B$12)+IF($AJ399,0,Constants!$B$13)+IF($AH399,0,Constants!$B$14))</f>
        <v/>
      </c>
      <c r="BH399" s="98" t="str">
        <f aca="false">IF($BX399&lt;&gt;Constants!$B$6,"",Constants!$B$16+SUM($BC399:$BG399))</f>
        <v/>
      </c>
      <c r="BI399" s="97" t="str">
        <f aca="false">IF($BX399&lt;&gt;Constants!$B$6,"",$BC399)</f>
        <v/>
      </c>
      <c r="BJ399" s="97" t="str">
        <f aca="false">IF($BX399&lt;&gt;Constants!$B$6,"",$BD399)</f>
        <v/>
      </c>
      <c r="BK399" s="99" t="str">
        <f aca="false">IF($BX399&lt;&gt;Constants!$B$6,"",IF($AL399,$AN399,""))</f>
        <v/>
      </c>
      <c r="BL399" s="93" t="str">
        <f aca="false">IF($BX399&lt;&gt;Constants!$B$6,"",IF(OR($BS399&lt;$BH399,AND($BS399=$BH399,OR($BT399&lt;$BI399,AND($BT399=$BI399,OR($BU399&lt;$BJ399,AND($BU399=$BJ399,AND(ISNUMBER($BV399),OR(NOT(ISNUMBER($BK399)),$BV399&lt;$BK399)))))))),"-&gt;","&lt;-"))</f>
        <v/>
      </c>
      <c r="BM399" s="92" t="str">
        <f aca="false">IF(ISBLANK($C399),"",AND($AT399,OR($AU399="",$AV399="",AND($AW399,$AX399=""))))</f>
        <v/>
      </c>
      <c r="BN399" s="94" t="str">
        <f aca="false">IF($BX399&lt;&gt;Constants!$B$6,"",IF($AT399,Constants!$B$17*$AV399+Constants!$B$18*IF($AW399,$AX399,Constants!$B$19),Constants!$B$20))</f>
        <v/>
      </c>
      <c r="BO399" s="97" t="str">
        <f aca="false">IF($BX399&lt;&gt;Constants!$B$6,"",Constants!$B$21*ABS($AD$9-IF($AT399,$AU399,0)))</f>
        <v/>
      </c>
      <c r="BP399" s="97" t="str">
        <f aca="false">IF($BX399&lt;&gt;Constants!$B$6,"",IF(AND($AT399,$AY399,$AW399),Constants!$B$22,0))</f>
        <v/>
      </c>
      <c r="BQ399" s="97" t="str">
        <f aca="false">IF($BX399&lt;&gt;Constants!$B$6,"",IF($AT399,($AI399-Constants!$B$24)*Constants!$B$23,0))</f>
        <v/>
      </c>
      <c r="BR399" s="97" t="str">
        <f aca="false">IF($BX399&lt;&gt;Constants!$B$6,"",IF($AS399,0,Constants!$B$12)+IF($AR399,0,Constants!$B$13)+IF($AH399,0,Constants!$B$14))</f>
        <v/>
      </c>
      <c r="BS399" s="98" t="str">
        <f aca="false">IF($BX399&lt;&gt;Constants!$B$6,"",Constants!$B$16+SUM($BN399:$BR399))</f>
        <v/>
      </c>
      <c r="BT399" s="97" t="str">
        <f aca="false">IF($BX399&lt;&gt;Constants!$B$6,"",$BN399)</f>
        <v/>
      </c>
      <c r="BU399" s="97" t="str">
        <f aca="false">IF($BX399&lt;&gt;Constants!$B$6,"",$BO399)</f>
        <v/>
      </c>
      <c r="BV399" s="99" t="str">
        <f aca="false">IF($BX399&lt;&gt;Constants!$B$6,"",IF($AT399,$AV399,""))</f>
        <v/>
      </c>
      <c r="BW399" s="93" t="str">
        <f aca="false">IF(ISBLANK($C399),"",IF(ISBLANK($D$7),$BW$5,IF(NOT(ISNUMBER($D$7)),$BW$6,"")))</f>
        <v/>
      </c>
      <c r="BX399" s="93" t="str">
        <f aca="false">IF(ISBLANK($C399),"",IF($BA399,Constants!$B$9,IF(COUNTA($E399:$AA399)=0,Constants!$B$8,IF(NOT($AG399),Constants!$B$7,IF(OR($BW399&lt;&gt;"",$BB399,$BM399),Constants!$B$10,Constants!$B$6)))))</f>
        <v/>
      </c>
      <c r="BY399" s="93" t="str">
        <f aca="false">IF(ISBLANK($C399),"",IF($BX399&lt;&gt;Constants!$B$6,$BX399,Constants!$B$11))</f>
        <v/>
      </c>
      <c r="BZ399" s="97" t="str">
        <f aca="false">IF($BX399&lt;&gt;Constants!$B$6,"",IF($BL399="-&gt;",$BS399,$BH399))</f>
        <v/>
      </c>
      <c r="CA399" s="97" t="str">
        <f aca="false">IF($BX399&lt;&gt;Constants!$B$6,"",IF($AF399,0,Constants!$B$15))</f>
        <v/>
      </c>
      <c r="CB399" s="97" t="str">
        <f aca="false">IF($BX399&lt;&gt;Constants!$B$6,"",((Constants!$B$25-$AZ399)-Constants!$B$25)/Constants!$B$26)</f>
        <v/>
      </c>
      <c r="CC399" s="97" t="str">
        <f aca="false">IF(ISBLANK($C399),"",IF($BX399&lt;&gt;Constants!$B$6,$BX399,SUM($BZ399:$CB399)))</f>
        <v/>
      </c>
      <c r="CD399" s="93" t="str">
        <f aca="false">IF(ISBLANK($C399),"",IF($BX399&lt;&gt;Constants!$B$6,$BX399,RANK($CC399,$CC$9:$CC$508,1)))</f>
        <v/>
      </c>
      <c r="CE399" s="97" t="str">
        <f aca="false">IF($BX399&lt;&gt;Constants!$B$6,"",IF($BL399="-&gt;",$BT399,$BI399))</f>
        <v/>
      </c>
      <c r="CF399" s="93" t="str">
        <f aca="false">IF(ISBLANK($C399),"",IF($BX399&lt;&gt;Constants!$B$6,$BX399,IF(ISNUMBER($CE399),RANK($CE399,$CE$9:$CE$508,1),COUNT($CE$9:$CE$508)+1)))</f>
        <v/>
      </c>
      <c r="CG399" s="97" t="str">
        <f aca="false">IF($BX399&lt;&gt;Constants!$B$6,"",IF($BL399="-&gt;",$BU399,$BJ399))</f>
        <v/>
      </c>
      <c r="CH399" s="93" t="str">
        <f aca="false">IF(ISBLANK($C399),"",IF($BX399&lt;&gt;Constants!$B$6,$BX399,IF(ISNUMBER($CG399),RANK($CG399,$CG$9:$CG$508,1),COUNT($CG$9:$CG$508)+1)))</f>
        <v/>
      </c>
      <c r="CI399" s="97" t="str">
        <f aca="false">IF($BX399&lt;&gt;Constants!$B$6,"",IF($BL399="-&gt;",$BV399,$BK399))</f>
        <v/>
      </c>
      <c r="CJ399" s="93" t="str">
        <f aca="false">IF(ISBLANK($C399),"",IF($BX399&lt;&gt;Constants!$B$6,$BX399,IF(ISNUMBER($CI399),RANK($CI399,$CI$9:$CI$508,1),COUNT($CI$9:$CI$508)+1)))</f>
        <v/>
      </c>
      <c r="CK399" s="97" t="str">
        <f aca="false">IF($BX399&lt;&gt;Constants!$B$6,"",$AI399)</f>
        <v/>
      </c>
      <c r="CL399" s="93" t="str">
        <f aca="false">IF(ISBLANK($C399),"",IF($BX399&lt;&gt;Constants!$B$6,$BX399,IF(ISNUMBER($CK399),RANK($CK399,$CK$9:$CK$508,1),COUNT($CK$9:$CK$508)+1)))</f>
        <v/>
      </c>
      <c r="CM399" s="93" t="str">
        <f aca="false">IF(ISBLANK($C399),"",IF($BX399&lt;&gt;Constants!$B$6,$BX399,COUNTIFS($CD$9:$CD$508,"&lt;"&amp;$CD399)+COUNTIFS($CD$9:$CD$508,$CD399,$CF$9:$CF$508,"&lt;"&amp;$CF399)+COUNTIFS($CD$9:$CD$508,$CD399,$CF$9:$CF$508,$CF399,$CH$9:$CH$508,"&lt;"&amp;$CH399)+COUNTIFS($CD$9:$CD$508,$CD399,$CF$9:$CF$508,$CF399,$CH$9:$CH$508,$CH399,$CJ$9:$CJ$508,"&lt;"&amp;$CJ399)+COUNTIFS($CD$9:$CD$508,$CD399,$CF$9:$CF$508,$CF399,$CH$9:$CH$508,$CH399,$CJ$9:$CJ$508,$CJ399,$CL$9:$CL$508,"&lt;"&amp;$CL399)+1))</f>
        <v/>
      </c>
      <c r="CN399" s="93" t="str">
        <f aca="false">IF(ISBLANK($C399),"",IF($BX399&lt;&gt;Constants!$B$6,$BX399,$CD399-$CM399))</f>
        <v/>
      </c>
      <c r="CO399" s="100"/>
      <c r="CP399" s="101"/>
      <c r="CQ399" s="102" t="str">
        <f aca="false">IF(ISBLANK($C399),"",IF($BX399=Constants!$B$10,$BW399,""))</f>
        <v/>
      </c>
      <c r="CR399" s="101" t="str">
        <f aca="false">IF(ISBLANK($C399),"",IF($BX399&lt;&gt;Constants!$B$6,"",IF($BL399="-&gt;",2,1)))</f>
        <v/>
      </c>
      <c r="CS399" s="103" t="str">
        <f aca="false">IF(ISBLANK($C399),"",IF($BX399&lt;&gt;Constants!$B$6,"",IF($BL399="-&gt;",$BN399,$BC399)))</f>
        <v/>
      </c>
      <c r="CT399" s="103" t="str">
        <f aca="false">IF(ISBLANK($C399),"",IF($BX399&lt;&gt;Constants!$B$6,"",IF($BL399="-&gt;",$BO399,$BD399)))</f>
        <v/>
      </c>
      <c r="CU399" s="103" t="str">
        <f aca="false">IF(ISBLANK($C399),"",IF($BX399&lt;&gt;Constants!$B$6,"",IF($BL399="-&gt;",$BP399+$BQ399,$BE399+$BF399)+$CB399))</f>
        <v/>
      </c>
      <c r="CV399" s="103" t="str">
        <f aca="false">IF(ISBLANK($C399),"",IF($BX399&lt;&gt;Constants!$B$6,"",IF($BL399="-&gt;",$BR399,$BG399)+$CA399))</f>
        <v/>
      </c>
      <c r="CW399" s="104" t="str">
        <f aca="false">IF(ISBLANK($C399),"",IF($BX399&lt;&gt;Constants!$B$6,$BX399,$CC399))</f>
        <v/>
      </c>
      <c r="CX399" s="105" t="str">
        <f aca="false">IF(ISBLANK($C399),"",$BY399)</f>
        <v/>
      </c>
      <c r="CY399" s="106" t="str">
        <f aca="false">IF(ISBLANK($C399),"",$CN399)</f>
        <v/>
      </c>
      <c r="CZ399" s="106" t="str">
        <f aca="false">IF(ISBLANK($C399),"",$CM399)</f>
        <v/>
      </c>
      <c r="DA399" s="107" t="str">
        <f aca="false">IF(ISBLANK($C399),"",IFERROR(_xlfn.SWITCH($CZ399,Constants!$B$9,COUNTA($C$9:$C$508)+2,Constants!$B$8,COUNTA($C$9:$C$508)+1,Constants!$B$7,COUNTA($C$9:$C$508)),$CZ399))</f>
        <v/>
      </c>
      <c r="DB399" s="9"/>
      <c r="DC399" s="108" t="n">
        <f aca="false">IF(OR(ISNUMBER($CZ399),$CZ399=Constants!$B$9,$CZ399=Constants!$B$7,$CZ399=Constants!$B$8),1,0)</f>
        <v>0</v>
      </c>
      <c r="DD399" s="108" t="n">
        <v>391</v>
      </c>
      <c r="DE399" s="108" t="str">
        <f aca="false">IF(ISBLANK($C399),"",IF(ISNUMBER($DA399),$DA399+ROW($B399)/1000,""))</f>
        <v/>
      </c>
      <c r="DF399" s="108" t="str">
        <f aca="false">IF(ISNUMBER($DE399),RANK($DE399,$DE$9:$DE$508,1),"")</f>
        <v/>
      </c>
      <c r="DG399" s="108" t="str">
        <f aca="false">IF(ISBLANK($C399),"",$B399)</f>
        <v/>
      </c>
      <c r="DH399" s="108" t="str">
        <f aca="false">IF(ISBLANK($C399),"",$C399)</f>
        <v/>
      </c>
      <c r="DI399" s="108" t="str">
        <f aca="false">IF(ISBLANK($C399),"",$D399)</f>
        <v/>
      </c>
      <c r="DJ399" s="109" t="str">
        <f aca="false">$CX399</f>
        <v/>
      </c>
      <c r="DK399" s="110" t="str">
        <f aca="false">$CW399</f>
        <v/>
      </c>
      <c r="DL399" s="108" t="str">
        <f aca="false">IF(ISBLANK($C399),"",$CZ399)</f>
        <v/>
      </c>
      <c r="DM399" s="111" t="str">
        <f aca="false">IF($DD399&gt;$DC$8,"",VLOOKUP($DD399,$DF$9:$DL$508,7,FALSE()))</f>
        <v/>
      </c>
      <c r="DN399" s="112" t="str">
        <f aca="false">IF($DD399&gt;$DC$8,"",VLOOKUP($DD399,$DF$9:$DL$508,2,FALSE()))</f>
        <v/>
      </c>
      <c r="DO399" s="112" t="str">
        <f aca="false">IF($DD399&gt;$DC$8,"",VLOOKUP($DD399,$DF$9:$DL$508,3,FALSE()))</f>
        <v/>
      </c>
      <c r="DP399" s="112" t="str">
        <f aca="false">IF($DD399&gt;$DC$8,"",VLOOKUP($DD399,$DF$9:$DL$508,4,FALSE()))</f>
        <v/>
      </c>
      <c r="DQ399" s="112" t="str">
        <f aca="false">IF($DD399&gt;$DC$8,"",VLOOKUP($DD399,$DF$9:$DL$508,5,FALSE()))</f>
        <v/>
      </c>
      <c r="DR399" s="113" t="str">
        <f aca="false">IF($DD399&gt;$DC$8,"",VLOOKUP($DD399,$DF$9:$DL$508,6,FALSE()))</f>
        <v/>
      </c>
      <c r="DS399" s="76"/>
    </row>
    <row r="400" customFormat="false" ht="15.75" hidden="false" customHeight="false" outlineLevel="0" collapsed="false">
      <c r="A400" s="9"/>
      <c r="B400" s="78"/>
      <c r="C400" s="79"/>
      <c r="D400" s="170"/>
      <c r="E400" s="178"/>
      <c r="F400" s="172"/>
      <c r="G400" s="173"/>
      <c r="H400" s="173"/>
      <c r="I400" s="179"/>
      <c r="J400" s="176"/>
      <c r="K400" s="86"/>
      <c r="L400" s="87"/>
      <c r="M400" s="88"/>
      <c r="N400" s="176"/>
      <c r="O400" s="176"/>
      <c r="P400" s="178"/>
      <c r="Q400" s="176"/>
      <c r="R400" s="176"/>
      <c r="S400" s="86"/>
      <c r="T400" s="88"/>
      <c r="U400" s="88"/>
      <c r="V400" s="176"/>
      <c r="W400" s="176"/>
      <c r="X400" s="178"/>
      <c r="Y400" s="176"/>
      <c r="Z400" s="177"/>
      <c r="AA400" s="176"/>
      <c r="AB400" s="92"/>
      <c r="AC400" s="93"/>
      <c r="AD400" s="93"/>
      <c r="AE400" s="93"/>
      <c r="AF400" s="93" t="str">
        <f aca="false">IF(ISBLANK($C400),"",IF(E400=Constants!$B$2,TRUE(),IF(E400=Constants!$B$3,FALSE(),TRUE())))</f>
        <v/>
      </c>
      <c r="AG400" s="93" t="str">
        <f aca="false">IF(ISBLANK($C400),"",IF(F400=Constants!$B$2,TRUE(),IF(F400=Constants!$B$3,FALSE(),TRUE())))</f>
        <v/>
      </c>
      <c r="AH400" s="93" t="str">
        <f aca="false">IF(ISBLANK($C400),"",IF(G400=Constants!$B$2,TRUE(),IF(G400=Constants!$B$3,FALSE(),TRUE())))</f>
        <v/>
      </c>
      <c r="AI400" s="93" t="str">
        <f aca="false">IF(ISBLANK($C400),"",IF(AND(ISNUMBER(H400),H400&gt;=0),H400,Constants!$B$24))</f>
        <v/>
      </c>
      <c r="AJ400" s="93" t="str">
        <f aca="false">IF(ISBLANK($C400),"",IF(I400=Constants!$B$2,TRUE(),IF(I400=Constants!$B$3,FALSE(),TRUE())))</f>
        <v/>
      </c>
      <c r="AK400" s="93" t="str">
        <f aca="false">IF(ISBLANK($C400),"",IF(J400=Constants!$B$2,TRUE(),IF(J400=Constants!$B$3,FALSE(),TRUE())))</f>
        <v/>
      </c>
      <c r="AL400" s="93" t="str">
        <f aca="false">IF(ISBLANK($C400),"",IF(K400=Constants!$B$4,TRUE(),IF(K400=Constants!$B$5,FALSE(),COUNTA(L400:P400)&gt;0)))</f>
        <v/>
      </c>
      <c r="AM400" s="95" t="str">
        <f aca="false">IF(ISBLANK($C400),"",IF(ISNUMBER(L400),IF(L400&gt;=0,L400,""),""))</f>
        <v/>
      </c>
      <c r="AN400" s="94" t="str">
        <f aca="false">IF(ISBLANK($C400),"",IF(ISNUMBER(M400),IF(M400&gt;=0,M400,""),""))</f>
        <v/>
      </c>
      <c r="AO400" s="94" t="str">
        <f aca="false">IF(ISBLANK($C400),"",IF(N400=Constants!$B$2,TRUE(),IF(N400=Constants!$B$3,FALSE(),TRUE())))</f>
        <v/>
      </c>
      <c r="AP400" s="93" t="str">
        <f aca="false">IF(ISBLANK($C400),"",IF(ISNUMBER(O400),IF(O400&gt;=0,O400,""),""))</f>
        <v/>
      </c>
      <c r="AQ400" s="93" t="str">
        <f aca="false">IF(ISBLANK($C400),"",IF(P400=Constants!$B$2,TRUE(),IF(P400=Constants!$B$3,FALSE(),FALSE())))</f>
        <v/>
      </c>
      <c r="AR400" s="93" t="str">
        <f aca="false">IF(ISBLANK($C400),"",IF(Q400=Constants!$B$2,TRUE(),IF(Q400=Constants!$B$3,FALSE(),TRUE())))</f>
        <v/>
      </c>
      <c r="AS400" s="93" t="str">
        <f aca="false">IF(ISBLANK($C400),"",IF(R400=Constants!$B$2,TRUE(),IF(R400=Constants!$B$3,FALSE(),TRUE())))</f>
        <v/>
      </c>
      <c r="AT400" s="93" t="str">
        <f aca="false">IF(ISBLANK($C400),"",IF(S400=Constants!$B$4,TRUE(),IF(S400=Constants!$B$5,FALSE(),COUNTA(T400:X400)&gt;0)))</f>
        <v/>
      </c>
      <c r="AU400" s="95" t="str">
        <f aca="false">IF(ISBLANK($C400),"",IF(ISNUMBER(T400),IF(T400&gt;=0,T400,""),""))</f>
        <v/>
      </c>
      <c r="AV400" s="94" t="str">
        <f aca="false">IF(ISBLANK($C400),"",IF(ISNUMBER(U400),IF(U400&gt;=0,U400,""),""))</f>
        <v/>
      </c>
      <c r="AW400" s="94" t="str">
        <f aca="false">IF(ISBLANK($C400),"",IF(V400=Constants!$B$2,TRUE(),IF(V400=Constants!$B$3,FALSE(),TRUE())))</f>
        <v/>
      </c>
      <c r="AX400" s="93" t="str">
        <f aca="false">IF(ISBLANK($C400),"",IF(ISNUMBER(W400),IF(W400&gt;=0,W400,""),""))</f>
        <v/>
      </c>
      <c r="AY400" s="93" t="str">
        <f aca="false">IF(ISBLANK($C400),"",IF(X400=Constants!$B$2,TRUE(),IF(X400=Constants!$B$3,FALSE(),FALSE())))</f>
        <v/>
      </c>
      <c r="AZ400" s="93" t="str">
        <f aca="false">IF(ISBLANK($C400),"",MIN(Constants!$B$25,MAX(0,IF(ISNUMBER(Y400),Y400*60,0)+IF(ISNUMBER(Z400),Z400,0))))</f>
        <v/>
      </c>
      <c r="BA400" s="93" t="str">
        <f aca="false">IF(ISBLANK($C400),"",IF(AA400=Constants!$B$2,TRUE(),IF(AA400=Constants!$B$3,FALSE(),FALSE())))</f>
        <v/>
      </c>
      <c r="BB400" s="92" t="str">
        <f aca="false">IF(ISBLANK($C400),"",AND($AL400,OR($AM400="",$AN400="",AND($AO400,$AP400=""))))</f>
        <v/>
      </c>
      <c r="BC400" s="94" t="str">
        <f aca="false">IF($BX400&lt;&gt;Constants!$B$6,"",IF($AL400,Constants!$B$17*$AN400+Constants!$B$18*IF($AO400,$AP400,Constants!$B$19),Constants!$B$20))</f>
        <v/>
      </c>
      <c r="BD400" s="97" t="str">
        <f aca="false">IF($BX400&lt;&gt;Constants!$B$6,"",Constants!$B$21*ABS($AD$9-IF($AL400,$AM400,0)))</f>
        <v/>
      </c>
      <c r="BE400" s="97" t="str">
        <f aca="false">IF($BX400&lt;&gt;Constants!$B$6,"",IF(AND($AL400,$AQ400,$AO400),Constants!$B$22,0))</f>
        <v/>
      </c>
      <c r="BF400" s="97" t="str">
        <f aca="false">IF($BX400&lt;&gt;Constants!$B$6,"",IF($AL400,($AI400-Constants!$B$24)*Constants!$B$23,0))</f>
        <v/>
      </c>
      <c r="BG400" s="97" t="str">
        <f aca="false">IF($BX400&lt;&gt;Constants!$B$6,"",IF($AK400,0,Constants!$B$12)+IF($AJ400,0,Constants!$B$13)+IF($AH400,0,Constants!$B$14))</f>
        <v/>
      </c>
      <c r="BH400" s="98" t="str">
        <f aca="false">IF($BX400&lt;&gt;Constants!$B$6,"",Constants!$B$16+SUM($BC400:$BG400))</f>
        <v/>
      </c>
      <c r="BI400" s="97" t="str">
        <f aca="false">IF($BX400&lt;&gt;Constants!$B$6,"",$BC400)</f>
        <v/>
      </c>
      <c r="BJ400" s="97" t="str">
        <f aca="false">IF($BX400&lt;&gt;Constants!$B$6,"",$BD400)</f>
        <v/>
      </c>
      <c r="BK400" s="99" t="str">
        <f aca="false">IF($BX400&lt;&gt;Constants!$B$6,"",IF($AL400,$AN400,""))</f>
        <v/>
      </c>
      <c r="BL400" s="93" t="str">
        <f aca="false">IF($BX400&lt;&gt;Constants!$B$6,"",IF(OR($BS400&lt;$BH400,AND($BS400=$BH400,OR($BT400&lt;$BI400,AND($BT400=$BI400,OR($BU400&lt;$BJ400,AND($BU400=$BJ400,AND(ISNUMBER($BV400),OR(NOT(ISNUMBER($BK400)),$BV400&lt;$BK400)))))))),"-&gt;","&lt;-"))</f>
        <v/>
      </c>
      <c r="BM400" s="92" t="str">
        <f aca="false">IF(ISBLANK($C400),"",AND($AT400,OR($AU400="",$AV400="",AND($AW400,$AX400=""))))</f>
        <v/>
      </c>
      <c r="BN400" s="94" t="str">
        <f aca="false">IF($BX400&lt;&gt;Constants!$B$6,"",IF($AT400,Constants!$B$17*$AV400+Constants!$B$18*IF($AW400,$AX400,Constants!$B$19),Constants!$B$20))</f>
        <v/>
      </c>
      <c r="BO400" s="97" t="str">
        <f aca="false">IF($BX400&lt;&gt;Constants!$B$6,"",Constants!$B$21*ABS($AD$9-IF($AT400,$AU400,0)))</f>
        <v/>
      </c>
      <c r="BP400" s="97" t="str">
        <f aca="false">IF($BX400&lt;&gt;Constants!$B$6,"",IF(AND($AT400,$AY400,$AW400),Constants!$B$22,0))</f>
        <v/>
      </c>
      <c r="BQ400" s="97" t="str">
        <f aca="false">IF($BX400&lt;&gt;Constants!$B$6,"",IF($AT400,($AI400-Constants!$B$24)*Constants!$B$23,0))</f>
        <v/>
      </c>
      <c r="BR400" s="97" t="str">
        <f aca="false">IF($BX400&lt;&gt;Constants!$B$6,"",IF($AS400,0,Constants!$B$12)+IF($AR400,0,Constants!$B$13)+IF($AH400,0,Constants!$B$14))</f>
        <v/>
      </c>
      <c r="BS400" s="98" t="str">
        <f aca="false">IF($BX400&lt;&gt;Constants!$B$6,"",Constants!$B$16+SUM($BN400:$BR400))</f>
        <v/>
      </c>
      <c r="BT400" s="97" t="str">
        <f aca="false">IF($BX400&lt;&gt;Constants!$B$6,"",$BN400)</f>
        <v/>
      </c>
      <c r="BU400" s="97" t="str">
        <f aca="false">IF($BX400&lt;&gt;Constants!$B$6,"",$BO400)</f>
        <v/>
      </c>
      <c r="BV400" s="99" t="str">
        <f aca="false">IF($BX400&lt;&gt;Constants!$B$6,"",IF($AT400,$AV400,""))</f>
        <v/>
      </c>
      <c r="BW400" s="93" t="str">
        <f aca="false">IF(ISBLANK($C400),"",IF(ISBLANK($D$7),$BW$5,IF(NOT(ISNUMBER($D$7)),$BW$6,"")))</f>
        <v/>
      </c>
      <c r="BX400" s="93" t="str">
        <f aca="false">IF(ISBLANK($C400),"",IF($BA400,Constants!$B$9,IF(COUNTA($E400:$AA400)=0,Constants!$B$8,IF(NOT($AG400),Constants!$B$7,IF(OR($BW400&lt;&gt;"",$BB400,$BM400),Constants!$B$10,Constants!$B$6)))))</f>
        <v/>
      </c>
      <c r="BY400" s="93" t="str">
        <f aca="false">IF(ISBLANK($C400),"",IF($BX400&lt;&gt;Constants!$B$6,$BX400,Constants!$B$11))</f>
        <v/>
      </c>
      <c r="BZ400" s="97" t="str">
        <f aca="false">IF($BX400&lt;&gt;Constants!$B$6,"",IF($BL400="-&gt;",$BS400,$BH400))</f>
        <v/>
      </c>
      <c r="CA400" s="97" t="str">
        <f aca="false">IF($BX400&lt;&gt;Constants!$B$6,"",IF($AF400,0,Constants!$B$15))</f>
        <v/>
      </c>
      <c r="CB400" s="97" t="str">
        <f aca="false">IF($BX400&lt;&gt;Constants!$B$6,"",((Constants!$B$25-$AZ400)-Constants!$B$25)/Constants!$B$26)</f>
        <v/>
      </c>
      <c r="CC400" s="97" t="str">
        <f aca="false">IF(ISBLANK($C400),"",IF($BX400&lt;&gt;Constants!$B$6,$BX400,SUM($BZ400:$CB400)))</f>
        <v/>
      </c>
      <c r="CD400" s="93" t="str">
        <f aca="false">IF(ISBLANK($C400),"",IF($BX400&lt;&gt;Constants!$B$6,$BX400,RANK($CC400,$CC$9:$CC$508,1)))</f>
        <v/>
      </c>
      <c r="CE400" s="97" t="str">
        <f aca="false">IF($BX400&lt;&gt;Constants!$B$6,"",IF($BL400="-&gt;",$BT400,$BI400))</f>
        <v/>
      </c>
      <c r="CF400" s="93" t="str">
        <f aca="false">IF(ISBLANK($C400),"",IF($BX400&lt;&gt;Constants!$B$6,$BX400,IF(ISNUMBER($CE400),RANK($CE400,$CE$9:$CE$508,1),COUNT($CE$9:$CE$508)+1)))</f>
        <v/>
      </c>
      <c r="CG400" s="97" t="str">
        <f aca="false">IF($BX400&lt;&gt;Constants!$B$6,"",IF($BL400="-&gt;",$BU400,$BJ400))</f>
        <v/>
      </c>
      <c r="CH400" s="93" t="str">
        <f aca="false">IF(ISBLANK($C400),"",IF($BX400&lt;&gt;Constants!$B$6,$BX400,IF(ISNUMBER($CG400),RANK($CG400,$CG$9:$CG$508,1),COUNT($CG$9:$CG$508)+1)))</f>
        <v/>
      </c>
      <c r="CI400" s="97" t="str">
        <f aca="false">IF($BX400&lt;&gt;Constants!$B$6,"",IF($BL400="-&gt;",$BV400,$BK400))</f>
        <v/>
      </c>
      <c r="CJ400" s="93" t="str">
        <f aca="false">IF(ISBLANK($C400),"",IF($BX400&lt;&gt;Constants!$B$6,$BX400,IF(ISNUMBER($CI400),RANK($CI400,$CI$9:$CI$508,1),COUNT($CI$9:$CI$508)+1)))</f>
        <v/>
      </c>
      <c r="CK400" s="97" t="str">
        <f aca="false">IF($BX400&lt;&gt;Constants!$B$6,"",$AI400)</f>
        <v/>
      </c>
      <c r="CL400" s="93" t="str">
        <f aca="false">IF(ISBLANK($C400),"",IF($BX400&lt;&gt;Constants!$B$6,$BX400,IF(ISNUMBER($CK400),RANK($CK400,$CK$9:$CK$508,1),COUNT($CK$9:$CK$508)+1)))</f>
        <v/>
      </c>
      <c r="CM400" s="93" t="str">
        <f aca="false">IF(ISBLANK($C400),"",IF($BX400&lt;&gt;Constants!$B$6,$BX400,COUNTIFS($CD$9:$CD$508,"&lt;"&amp;$CD400)+COUNTIFS($CD$9:$CD$508,$CD400,$CF$9:$CF$508,"&lt;"&amp;$CF400)+COUNTIFS($CD$9:$CD$508,$CD400,$CF$9:$CF$508,$CF400,$CH$9:$CH$508,"&lt;"&amp;$CH400)+COUNTIFS($CD$9:$CD$508,$CD400,$CF$9:$CF$508,$CF400,$CH$9:$CH$508,$CH400,$CJ$9:$CJ$508,"&lt;"&amp;$CJ400)+COUNTIFS($CD$9:$CD$508,$CD400,$CF$9:$CF$508,$CF400,$CH$9:$CH$508,$CH400,$CJ$9:$CJ$508,$CJ400,$CL$9:$CL$508,"&lt;"&amp;$CL400)+1))</f>
        <v/>
      </c>
      <c r="CN400" s="93" t="str">
        <f aca="false">IF(ISBLANK($C400),"",IF($BX400&lt;&gt;Constants!$B$6,$BX400,$CD400-$CM400))</f>
        <v/>
      </c>
      <c r="CO400" s="100"/>
      <c r="CP400" s="101"/>
      <c r="CQ400" s="102" t="str">
        <f aca="false">IF(ISBLANK($C400),"",IF($BX400=Constants!$B$10,$BW400,""))</f>
        <v/>
      </c>
      <c r="CR400" s="101" t="str">
        <f aca="false">IF(ISBLANK($C400),"",IF($BX400&lt;&gt;Constants!$B$6,"",IF($BL400="-&gt;",2,1)))</f>
        <v/>
      </c>
      <c r="CS400" s="103" t="str">
        <f aca="false">IF(ISBLANK($C400),"",IF($BX400&lt;&gt;Constants!$B$6,"",IF($BL400="-&gt;",$BN400,$BC400)))</f>
        <v/>
      </c>
      <c r="CT400" s="103" t="str">
        <f aca="false">IF(ISBLANK($C400),"",IF($BX400&lt;&gt;Constants!$B$6,"",IF($BL400="-&gt;",$BO400,$BD400)))</f>
        <v/>
      </c>
      <c r="CU400" s="103" t="str">
        <f aca="false">IF(ISBLANK($C400),"",IF($BX400&lt;&gt;Constants!$B$6,"",IF($BL400="-&gt;",$BP400+$BQ400,$BE400+$BF400)+$CB400))</f>
        <v/>
      </c>
      <c r="CV400" s="103" t="str">
        <f aca="false">IF(ISBLANK($C400),"",IF($BX400&lt;&gt;Constants!$B$6,"",IF($BL400="-&gt;",$BR400,$BG400)+$CA400))</f>
        <v/>
      </c>
      <c r="CW400" s="104" t="str">
        <f aca="false">IF(ISBLANK($C400),"",IF($BX400&lt;&gt;Constants!$B$6,$BX400,$CC400))</f>
        <v/>
      </c>
      <c r="CX400" s="105" t="str">
        <f aca="false">IF(ISBLANK($C400),"",$BY400)</f>
        <v/>
      </c>
      <c r="CY400" s="106" t="str">
        <f aca="false">IF(ISBLANK($C400),"",$CN400)</f>
        <v/>
      </c>
      <c r="CZ400" s="106" t="str">
        <f aca="false">IF(ISBLANK($C400),"",$CM400)</f>
        <v/>
      </c>
      <c r="DA400" s="107" t="str">
        <f aca="false">IF(ISBLANK($C400),"",IFERROR(_xlfn.SWITCH($CZ400,Constants!$B$9,COUNTA($C$9:$C$508)+2,Constants!$B$8,COUNTA($C$9:$C$508)+1,Constants!$B$7,COUNTA($C$9:$C$508)),$CZ400))</f>
        <v/>
      </c>
      <c r="DB400" s="9"/>
      <c r="DC400" s="108" t="n">
        <f aca="false">IF(OR(ISNUMBER($CZ400),$CZ400=Constants!$B$9,$CZ400=Constants!$B$7,$CZ400=Constants!$B$8),1,0)</f>
        <v>0</v>
      </c>
      <c r="DD400" s="108" t="n">
        <v>392</v>
      </c>
      <c r="DE400" s="108" t="str">
        <f aca="false">IF(ISBLANK($C400),"",IF(ISNUMBER($DA400),$DA400+ROW($B400)/1000,""))</f>
        <v/>
      </c>
      <c r="DF400" s="108" t="str">
        <f aca="false">IF(ISNUMBER($DE400),RANK($DE400,$DE$9:$DE$508,1),"")</f>
        <v/>
      </c>
      <c r="DG400" s="108" t="str">
        <f aca="false">IF(ISBLANK($C400),"",$B400)</f>
        <v/>
      </c>
      <c r="DH400" s="108" t="str">
        <f aca="false">IF(ISBLANK($C400),"",$C400)</f>
        <v/>
      </c>
      <c r="DI400" s="108" t="str">
        <f aca="false">IF(ISBLANK($C400),"",$D400)</f>
        <v/>
      </c>
      <c r="DJ400" s="109" t="str">
        <f aca="false">$CX400</f>
        <v/>
      </c>
      <c r="DK400" s="110" t="str">
        <f aca="false">$CW400</f>
        <v/>
      </c>
      <c r="DL400" s="108" t="str">
        <f aca="false">IF(ISBLANK($C400),"",$CZ400)</f>
        <v/>
      </c>
      <c r="DM400" s="111" t="str">
        <f aca="false">IF($DD400&gt;$DC$8,"",VLOOKUP($DD400,$DF$9:$DL$508,7,FALSE()))</f>
        <v/>
      </c>
      <c r="DN400" s="112" t="str">
        <f aca="false">IF($DD400&gt;$DC$8,"",VLOOKUP($DD400,$DF$9:$DL$508,2,FALSE()))</f>
        <v/>
      </c>
      <c r="DO400" s="112" t="str">
        <f aca="false">IF($DD400&gt;$DC$8,"",VLOOKUP($DD400,$DF$9:$DL$508,3,FALSE()))</f>
        <v/>
      </c>
      <c r="DP400" s="112" t="str">
        <f aca="false">IF($DD400&gt;$DC$8,"",VLOOKUP($DD400,$DF$9:$DL$508,4,FALSE()))</f>
        <v/>
      </c>
      <c r="DQ400" s="112" t="str">
        <f aca="false">IF($DD400&gt;$DC$8,"",VLOOKUP($DD400,$DF$9:$DL$508,5,FALSE()))</f>
        <v/>
      </c>
      <c r="DR400" s="113" t="str">
        <f aca="false">IF($DD400&gt;$DC$8,"",VLOOKUP($DD400,$DF$9:$DL$508,6,FALSE()))</f>
        <v/>
      </c>
      <c r="DS400" s="76"/>
    </row>
    <row r="401" customFormat="false" ht="15.75" hidden="false" customHeight="false" outlineLevel="0" collapsed="false">
      <c r="A401" s="9"/>
      <c r="B401" s="78"/>
      <c r="C401" s="79"/>
      <c r="D401" s="170"/>
      <c r="E401" s="178"/>
      <c r="F401" s="172"/>
      <c r="G401" s="173"/>
      <c r="H401" s="173"/>
      <c r="I401" s="179"/>
      <c r="J401" s="176"/>
      <c r="K401" s="86"/>
      <c r="L401" s="87"/>
      <c r="M401" s="88"/>
      <c r="N401" s="176"/>
      <c r="O401" s="176"/>
      <c r="P401" s="178"/>
      <c r="Q401" s="176"/>
      <c r="R401" s="176"/>
      <c r="S401" s="86"/>
      <c r="T401" s="88"/>
      <c r="U401" s="88"/>
      <c r="V401" s="176"/>
      <c r="W401" s="176"/>
      <c r="X401" s="178"/>
      <c r="Y401" s="176"/>
      <c r="Z401" s="177"/>
      <c r="AA401" s="176"/>
      <c r="AB401" s="92"/>
      <c r="AC401" s="93"/>
      <c r="AD401" s="93"/>
      <c r="AE401" s="93"/>
      <c r="AF401" s="93" t="str">
        <f aca="false">IF(ISBLANK($C401),"",IF(E401=Constants!$B$2,TRUE(),IF(E401=Constants!$B$3,FALSE(),TRUE())))</f>
        <v/>
      </c>
      <c r="AG401" s="93" t="str">
        <f aca="false">IF(ISBLANK($C401),"",IF(F401=Constants!$B$2,TRUE(),IF(F401=Constants!$B$3,FALSE(),TRUE())))</f>
        <v/>
      </c>
      <c r="AH401" s="93" t="str">
        <f aca="false">IF(ISBLANK($C401),"",IF(G401=Constants!$B$2,TRUE(),IF(G401=Constants!$B$3,FALSE(),TRUE())))</f>
        <v/>
      </c>
      <c r="AI401" s="93" t="str">
        <f aca="false">IF(ISBLANK($C401),"",IF(AND(ISNUMBER(H401),H401&gt;=0),H401,Constants!$B$24))</f>
        <v/>
      </c>
      <c r="AJ401" s="93" t="str">
        <f aca="false">IF(ISBLANK($C401),"",IF(I401=Constants!$B$2,TRUE(),IF(I401=Constants!$B$3,FALSE(),TRUE())))</f>
        <v/>
      </c>
      <c r="AK401" s="93" t="str">
        <f aca="false">IF(ISBLANK($C401),"",IF(J401=Constants!$B$2,TRUE(),IF(J401=Constants!$B$3,FALSE(),TRUE())))</f>
        <v/>
      </c>
      <c r="AL401" s="93" t="str">
        <f aca="false">IF(ISBLANK($C401),"",IF(K401=Constants!$B$4,TRUE(),IF(K401=Constants!$B$5,FALSE(),COUNTA(L401:P401)&gt;0)))</f>
        <v/>
      </c>
      <c r="AM401" s="95" t="str">
        <f aca="false">IF(ISBLANK($C401),"",IF(ISNUMBER(L401),IF(L401&gt;=0,L401,""),""))</f>
        <v/>
      </c>
      <c r="AN401" s="94" t="str">
        <f aca="false">IF(ISBLANK($C401),"",IF(ISNUMBER(M401),IF(M401&gt;=0,M401,""),""))</f>
        <v/>
      </c>
      <c r="AO401" s="94" t="str">
        <f aca="false">IF(ISBLANK($C401),"",IF(N401=Constants!$B$2,TRUE(),IF(N401=Constants!$B$3,FALSE(),TRUE())))</f>
        <v/>
      </c>
      <c r="AP401" s="93" t="str">
        <f aca="false">IF(ISBLANK($C401),"",IF(ISNUMBER(O401),IF(O401&gt;=0,O401,""),""))</f>
        <v/>
      </c>
      <c r="AQ401" s="93" t="str">
        <f aca="false">IF(ISBLANK($C401),"",IF(P401=Constants!$B$2,TRUE(),IF(P401=Constants!$B$3,FALSE(),FALSE())))</f>
        <v/>
      </c>
      <c r="AR401" s="93" t="str">
        <f aca="false">IF(ISBLANK($C401),"",IF(Q401=Constants!$B$2,TRUE(),IF(Q401=Constants!$B$3,FALSE(),TRUE())))</f>
        <v/>
      </c>
      <c r="AS401" s="93" t="str">
        <f aca="false">IF(ISBLANK($C401),"",IF(R401=Constants!$B$2,TRUE(),IF(R401=Constants!$B$3,FALSE(),TRUE())))</f>
        <v/>
      </c>
      <c r="AT401" s="93" t="str">
        <f aca="false">IF(ISBLANK($C401),"",IF(S401=Constants!$B$4,TRUE(),IF(S401=Constants!$B$5,FALSE(),COUNTA(T401:X401)&gt;0)))</f>
        <v/>
      </c>
      <c r="AU401" s="95" t="str">
        <f aca="false">IF(ISBLANK($C401),"",IF(ISNUMBER(T401),IF(T401&gt;=0,T401,""),""))</f>
        <v/>
      </c>
      <c r="AV401" s="94" t="str">
        <f aca="false">IF(ISBLANK($C401),"",IF(ISNUMBER(U401),IF(U401&gt;=0,U401,""),""))</f>
        <v/>
      </c>
      <c r="AW401" s="94" t="str">
        <f aca="false">IF(ISBLANK($C401),"",IF(V401=Constants!$B$2,TRUE(),IF(V401=Constants!$B$3,FALSE(),TRUE())))</f>
        <v/>
      </c>
      <c r="AX401" s="93" t="str">
        <f aca="false">IF(ISBLANK($C401),"",IF(ISNUMBER(W401),IF(W401&gt;=0,W401,""),""))</f>
        <v/>
      </c>
      <c r="AY401" s="93" t="str">
        <f aca="false">IF(ISBLANK($C401),"",IF(X401=Constants!$B$2,TRUE(),IF(X401=Constants!$B$3,FALSE(),FALSE())))</f>
        <v/>
      </c>
      <c r="AZ401" s="93" t="str">
        <f aca="false">IF(ISBLANK($C401),"",MIN(Constants!$B$25,MAX(0,IF(ISNUMBER(Y401),Y401*60,0)+IF(ISNUMBER(Z401),Z401,0))))</f>
        <v/>
      </c>
      <c r="BA401" s="93" t="str">
        <f aca="false">IF(ISBLANK($C401),"",IF(AA401=Constants!$B$2,TRUE(),IF(AA401=Constants!$B$3,FALSE(),FALSE())))</f>
        <v/>
      </c>
      <c r="BB401" s="92" t="str">
        <f aca="false">IF(ISBLANK($C401),"",AND($AL401,OR($AM401="",$AN401="",AND($AO401,$AP401=""))))</f>
        <v/>
      </c>
      <c r="BC401" s="94" t="str">
        <f aca="false">IF($BX401&lt;&gt;Constants!$B$6,"",IF($AL401,Constants!$B$17*$AN401+Constants!$B$18*IF($AO401,$AP401,Constants!$B$19),Constants!$B$20))</f>
        <v/>
      </c>
      <c r="BD401" s="97" t="str">
        <f aca="false">IF($BX401&lt;&gt;Constants!$B$6,"",Constants!$B$21*ABS($AD$9-IF($AL401,$AM401,0)))</f>
        <v/>
      </c>
      <c r="BE401" s="97" t="str">
        <f aca="false">IF($BX401&lt;&gt;Constants!$B$6,"",IF(AND($AL401,$AQ401,$AO401),Constants!$B$22,0))</f>
        <v/>
      </c>
      <c r="BF401" s="97" t="str">
        <f aca="false">IF($BX401&lt;&gt;Constants!$B$6,"",IF($AL401,($AI401-Constants!$B$24)*Constants!$B$23,0))</f>
        <v/>
      </c>
      <c r="BG401" s="97" t="str">
        <f aca="false">IF($BX401&lt;&gt;Constants!$B$6,"",IF($AK401,0,Constants!$B$12)+IF($AJ401,0,Constants!$B$13)+IF($AH401,0,Constants!$B$14))</f>
        <v/>
      </c>
      <c r="BH401" s="98" t="str">
        <f aca="false">IF($BX401&lt;&gt;Constants!$B$6,"",Constants!$B$16+SUM($BC401:$BG401))</f>
        <v/>
      </c>
      <c r="BI401" s="97" t="str">
        <f aca="false">IF($BX401&lt;&gt;Constants!$B$6,"",$BC401)</f>
        <v/>
      </c>
      <c r="BJ401" s="97" t="str">
        <f aca="false">IF($BX401&lt;&gt;Constants!$B$6,"",$BD401)</f>
        <v/>
      </c>
      <c r="BK401" s="99" t="str">
        <f aca="false">IF($BX401&lt;&gt;Constants!$B$6,"",IF($AL401,$AN401,""))</f>
        <v/>
      </c>
      <c r="BL401" s="93" t="str">
        <f aca="false">IF($BX401&lt;&gt;Constants!$B$6,"",IF(OR($BS401&lt;$BH401,AND($BS401=$BH401,OR($BT401&lt;$BI401,AND($BT401=$BI401,OR($BU401&lt;$BJ401,AND($BU401=$BJ401,AND(ISNUMBER($BV401),OR(NOT(ISNUMBER($BK401)),$BV401&lt;$BK401)))))))),"-&gt;","&lt;-"))</f>
        <v/>
      </c>
      <c r="BM401" s="92" t="str">
        <f aca="false">IF(ISBLANK($C401),"",AND($AT401,OR($AU401="",$AV401="",AND($AW401,$AX401=""))))</f>
        <v/>
      </c>
      <c r="BN401" s="94" t="str">
        <f aca="false">IF($BX401&lt;&gt;Constants!$B$6,"",IF($AT401,Constants!$B$17*$AV401+Constants!$B$18*IF($AW401,$AX401,Constants!$B$19),Constants!$B$20))</f>
        <v/>
      </c>
      <c r="BO401" s="97" t="str">
        <f aca="false">IF($BX401&lt;&gt;Constants!$B$6,"",Constants!$B$21*ABS($AD$9-IF($AT401,$AU401,0)))</f>
        <v/>
      </c>
      <c r="BP401" s="97" t="str">
        <f aca="false">IF($BX401&lt;&gt;Constants!$B$6,"",IF(AND($AT401,$AY401,$AW401),Constants!$B$22,0))</f>
        <v/>
      </c>
      <c r="BQ401" s="97" t="str">
        <f aca="false">IF($BX401&lt;&gt;Constants!$B$6,"",IF($AT401,($AI401-Constants!$B$24)*Constants!$B$23,0))</f>
        <v/>
      </c>
      <c r="BR401" s="97" t="str">
        <f aca="false">IF($BX401&lt;&gt;Constants!$B$6,"",IF($AS401,0,Constants!$B$12)+IF($AR401,0,Constants!$B$13)+IF($AH401,0,Constants!$B$14))</f>
        <v/>
      </c>
      <c r="BS401" s="98" t="str">
        <f aca="false">IF($BX401&lt;&gt;Constants!$B$6,"",Constants!$B$16+SUM($BN401:$BR401))</f>
        <v/>
      </c>
      <c r="BT401" s="97" t="str">
        <f aca="false">IF($BX401&lt;&gt;Constants!$B$6,"",$BN401)</f>
        <v/>
      </c>
      <c r="BU401" s="97" t="str">
        <f aca="false">IF($BX401&lt;&gt;Constants!$B$6,"",$BO401)</f>
        <v/>
      </c>
      <c r="BV401" s="99" t="str">
        <f aca="false">IF($BX401&lt;&gt;Constants!$B$6,"",IF($AT401,$AV401,""))</f>
        <v/>
      </c>
      <c r="BW401" s="93" t="str">
        <f aca="false">IF(ISBLANK($C401),"",IF(ISBLANK($D$7),$BW$5,IF(NOT(ISNUMBER($D$7)),$BW$6,"")))</f>
        <v/>
      </c>
      <c r="BX401" s="93" t="str">
        <f aca="false">IF(ISBLANK($C401),"",IF($BA401,Constants!$B$9,IF(COUNTA($E401:$AA401)=0,Constants!$B$8,IF(NOT($AG401),Constants!$B$7,IF(OR($BW401&lt;&gt;"",$BB401,$BM401),Constants!$B$10,Constants!$B$6)))))</f>
        <v/>
      </c>
      <c r="BY401" s="93" t="str">
        <f aca="false">IF(ISBLANK($C401),"",IF($BX401&lt;&gt;Constants!$B$6,$BX401,Constants!$B$11))</f>
        <v/>
      </c>
      <c r="BZ401" s="97" t="str">
        <f aca="false">IF($BX401&lt;&gt;Constants!$B$6,"",IF($BL401="-&gt;",$BS401,$BH401))</f>
        <v/>
      </c>
      <c r="CA401" s="97" t="str">
        <f aca="false">IF($BX401&lt;&gt;Constants!$B$6,"",IF($AF401,0,Constants!$B$15))</f>
        <v/>
      </c>
      <c r="CB401" s="97" t="str">
        <f aca="false">IF($BX401&lt;&gt;Constants!$B$6,"",((Constants!$B$25-$AZ401)-Constants!$B$25)/Constants!$B$26)</f>
        <v/>
      </c>
      <c r="CC401" s="97" t="str">
        <f aca="false">IF(ISBLANK($C401),"",IF($BX401&lt;&gt;Constants!$B$6,$BX401,SUM($BZ401:$CB401)))</f>
        <v/>
      </c>
      <c r="CD401" s="93" t="str">
        <f aca="false">IF(ISBLANK($C401),"",IF($BX401&lt;&gt;Constants!$B$6,$BX401,RANK($CC401,$CC$9:$CC$508,1)))</f>
        <v/>
      </c>
      <c r="CE401" s="97" t="str">
        <f aca="false">IF($BX401&lt;&gt;Constants!$B$6,"",IF($BL401="-&gt;",$BT401,$BI401))</f>
        <v/>
      </c>
      <c r="CF401" s="93" t="str">
        <f aca="false">IF(ISBLANK($C401),"",IF($BX401&lt;&gt;Constants!$B$6,$BX401,IF(ISNUMBER($CE401),RANK($CE401,$CE$9:$CE$508,1),COUNT($CE$9:$CE$508)+1)))</f>
        <v/>
      </c>
      <c r="CG401" s="97" t="str">
        <f aca="false">IF($BX401&lt;&gt;Constants!$B$6,"",IF($BL401="-&gt;",$BU401,$BJ401))</f>
        <v/>
      </c>
      <c r="CH401" s="93" t="str">
        <f aca="false">IF(ISBLANK($C401),"",IF($BX401&lt;&gt;Constants!$B$6,$BX401,IF(ISNUMBER($CG401),RANK($CG401,$CG$9:$CG$508,1),COUNT($CG$9:$CG$508)+1)))</f>
        <v/>
      </c>
      <c r="CI401" s="97" t="str">
        <f aca="false">IF($BX401&lt;&gt;Constants!$B$6,"",IF($BL401="-&gt;",$BV401,$BK401))</f>
        <v/>
      </c>
      <c r="CJ401" s="93" t="str">
        <f aca="false">IF(ISBLANK($C401),"",IF($BX401&lt;&gt;Constants!$B$6,$BX401,IF(ISNUMBER($CI401),RANK($CI401,$CI$9:$CI$508,1),COUNT($CI$9:$CI$508)+1)))</f>
        <v/>
      </c>
      <c r="CK401" s="97" t="str">
        <f aca="false">IF($BX401&lt;&gt;Constants!$B$6,"",$AI401)</f>
        <v/>
      </c>
      <c r="CL401" s="93" t="str">
        <f aca="false">IF(ISBLANK($C401),"",IF($BX401&lt;&gt;Constants!$B$6,$BX401,IF(ISNUMBER($CK401),RANK($CK401,$CK$9:$CK$508,1),COUNT($CK$9:$CK$508)+1)))</f>
        <v/>
      </c>
      <c r="CM401" s="93" t="str">
        <f aca="false">IF(ISBLANK($C401),"",IF($BX401&lt;&gt;Constants!$B$6,$BX401,COUNTIFS($CD$9:$CD$508,"&lt;"&amp;$CD401)+COUNTIFS($CD$9:$CD$508,$CD401,$CF$9:$CF$508,"&lt;"&amp;$CF401)+COUNTIFS($CD$9:$CD$508,$CD401,$CF$9:$CF$508,$CF401,$CH$9:$CH$508,"&lt;"&amp;$CH401)+COUNTIFS($CD$9:$CD$508,$CD401,$CF$9:$CF$508,$CF401,$CH$9:$CH$508,$CH401,$CJ$9:$CJ$508,"&lt;"&amp;$CJ401)+COUNTIFS($CD$9:$CD$508,$CD401,$CF$9:$CF$508,$CF401,$CH$9:$CH$508,$CH401,$CJ$9:$CJ$508,$CJ401,$CL$9:$CL$508,"&lt;"&amp;$CL401)+1))</f>
        <v/>
      </c>
      <c r="CN401" s="93" t="str">
        <f aca="false">IF(ISBLANK($C401),"",IF($BX401&lt;&gt;Constants!$B$6,$BX401,$CD401-$CM401))</f>
        <v/>
      </c>
      <c r="CO401" s="100"/>
      <c r="CP401" s="101"/>
      <c r="CQ401" s="102" t="str">
        <f aca="false">IF(ISBLANK($C401),"",IF($BX401=Constants!$B$10,$BW401,""))</f>
        <v/>
      </c>
      <c r="CR401" s="101" t="str">
        <f aca="false">IF(ISBLANK($C401),"",IF($BX401&lt;&gt;Constants!$B$6,"",IF($BL401="-&gt;",2,1)))</f>
        <v/>
      </c>
      <c r="CS401" s="103" t="str">
        <f aca="false">IF(ISBLANK($C401),"",IF($BX401&lt;&gt;Constants!$B$6,"",IF($BL401="-&gt;",$BN401,$BC401)))</f>
        <v/>
      </c>
      <c r="CT401" s="103" t="str">
        <f aca="false">IF(ISBLANK($C401),"",IF($BX401&lt;&gt;Constants!$B$6,"",IF($BL401="-&gt;",$BO401,$BD401)))</f>
        <v/>
      </c>
      <c r="CU401" s="103" t="str">
        <f aca="false">IF(ISBLANK($C401),"",IF($BX401&lt;&gt;Constants!$B$6,"",IF($BL401="-&gt;",$BP401+$BQ401,$BE401+$BF401)+$CB401))</f>
        <v/>
      </c>
      <c r="CV401" s="103" t="str">
        <f aca="false">IF(ISBLANK($C401),"",IF($BX401&lt;&gt;Constants!$B$6,"",IF($BL401="-&gt;",$BR401,$BG401)+$CA401))</f>
        <v/>
      </c>
      <c r="CW401" s="104" t="str">
        <f aca="false">IF(ISBLANK($C401),"",IF($BX401&lt;&gt;Constants!$B$6,$BX401,$CC401))</f>
        <v/>
      </c>
      <c r="CX401" s="105" t="str">
        <f aca="false">IF(ISBLANK($C401),"",$BY401)</f>
        <v/>
      </c>
      <c r="CY401" s="106" t="str">
        <f aca="false">IF(ISBLANK($C401),"",$CN401)</f>
        <v/>
      </c>
      <c r="CZ401" s="106" t="str">
        <f aca="false">IF(ISBLANK($C401),"",$CM401)</f>
        <v/>
      </c>
      <c r="DA401" s="107" t="str">
        <f aca="false">IF(ISBLANK($C401),"",IFERROR(_xlfn.SWITCH($CZ401,Constants!$B$9,COUNTA($C$9:$C$508)+2,Constants!$B$8,COUNTA($C$9:$C$508)+1,Constants!$B$7,COUNTA($C$9:$C$508)),$CZ401))</f>
        <v/>
      </c>
      <c r="DB401" s="9"/>
      <c r="DC401" s="108" t="n">
        <f aca="false">IF(OR(ISNUMBER($CZ401),$CZ401=Constants!$B$9,$CZ401=Constants!$B$7,$CZ401=Constants!$B$8),1,0)</f>
        <v>0</v>
      </c>
      <c r="DD401" s="108" t="n">
        <v>393</v>
      </c>
      <c r="DE401" s="108" t="str">
        <f aca="false">IF(ISBLANK($C401),"",IF(ISNUMBER($DA401),$DA401+ROW($B401)/1000,""))</f>
        <v/>
      </c>
      <c r="DF401" s="108" t="str">
        <f aca="false">IF(ISNUMBER($DE401),RANK($DE401,$DE$9:$DE$508,1),"")</f>
        <v/>
      </c>
      <c r="DG401" s="108" t="str">
        <f aca="false">IF(ISBLANK($C401),"",$B401)</f>
        <v/>
      </c>
      <c r="DH401" s="108" t="str">
        <f aca="false">IF(ISBLANK($C401),"",$C401)</f>
        <v/>
      </c>
      <c r="DI401" s="108" t="str">
        <f aca="false">IF(ISBLANK($C401),"",$D401)</f>
        <v/>
      </c>
      <c r="DJ401" s="109" t="str">
        <f aca="false">$CX401</f>
        <v/>
      </c>
      <c r="DK401" s="110" t="str">
        <f aca="false">$CW401</f>
        <v/>
      </c>
      <c r="DL401" s="108" t="str">
        <f aca="false">IF(ISBLANK($C401),"",$CZ401)</f>
        <v/>
      </c>
      <c r="DM401" s="111" t="str">
        <f aca="false">IF($DD401&gt;$DC$8,"",VLOOKUP($DD401,$DF$9:$DL$508,7,FALSE()))</f>
        <v/>
      </c>
      <c r="DN401" s="112" t="str">
        <f aca="false">IF($DD401&gt;$DC$8,"",VLOOKUP($DD401,$DF$9:$DL$508,2,FALSE()))</f>
        <v/>
      </c>
      <c r="DO401" s="112" t="str">
        <f aca="false">IF($DD401&gt;$DC$8,"",VLOOKUP($DD401,$DF$9:$DL$508,3,FALSE()))</f>
        <v/>
      </c>
      <c r="DP401" s="112" t="str">
        <f aca="false">IF($DD401&gt;$DC$8,"",VLOOKUP($DD401,$DF$9:$DL$508,4,FALSE()))</f>
        <v/>
      </c>
      <c r="DQ401" s="112" t="str">
        <f aca="false">IF($DD401&gt;$DC$8,"",VLOOKUP($DD401,$DF$9:$DL$508,5,FALSE()))</f>
        <v/>
      </c>
      <c r="DR401" s="113" t="str">
        <f aca="false">IF($DD401&gt;$DC$8,"",VLOOKUP($DD401,$DF$9:$DL$508,6,FALSE()))</f>
        <v/>
      </c>
      <c r="DS401" s="76"/>
    </row>
    <row r="402" customFormat="false" ht="15.75" hidden="false" customHeight="false" outlineLevel="0" collapsed="false">
      <c r="A402" s="9"/>
      <c r="B402" s="160"/>
      <c r="C402" s="161"/>
      <c r="D402" s="162"/>
      <c r="E402" s="180"/>
      <c r="F402" s="164"/>
      <c r="G402" s="165"/>
      <c r="H402" s="165"/>
      <c r="I402" s="181"/>
      <c r="J402" s="168"/>
      <c r="K402" s="128"/>
      <c r="L402" s="129"/>
      <c r="M402" s="130"/>
      <c r="N402" s="168"/>
      <c r="O402" s="168"/>
      <c r="P402" s="180"/>
      <c r="Q402" s="168"/>
      <c r="R402" s="168"/>
      <c r="S402" s="128"/>
      <c r="T402" s="130"/>
      <c r="U402" s="130"/>
      <c r="V402" s="168"/>
      <c r="W402" s="168"/>
      <c r="X402" s="180"/>
      <c r="Y402" s="168"/>
      <c r="Z402" s="169"/>
      <c r="AA402" s="168"/>
      <c r="AB402" s="134"/>
      <c r="AC402" s="135"/>
      <c r="AD402" s="135"/>
      <c r="AE402" s="135"/>
      <c r="AF402" s="135" t="str">
        <f aca="false">IF(ISBLANK($C402),"",IF(E402=Constants!$B$2,TRUE(),IF(E402=Constants!$B$3,FALSE(),TRUE())))</f>
        <v/>
      </c>
      <c r="AG402" s="135" t="str">
        <f aca="false">IF(ISBLANK($C402),"",IF(F402=Constants!$B$2,TRUE(),IF(F402=Constants!$B$3,FALSE(),TRUE())))</f>
        <v/>
      </c>
      <c r="AH402" s="135" t="str">
        <f aca="false">IF(ISBLANK($C402),"",IF(G402=Constants!$B$2,TRUE(),IF(G402=Constants!$B$3,FALSE(),TRUE())))</f>
        <v/>
      </c>
      <c r="AI402" s="135" t="str">
        <f aca="false">IF(ISBLANK($C402),"",IF(AND(ISNUMBER(H402),H402&gt;=0),H402,Constants!$B$24))</f>
        <v/>
      </c>
      <c r="AJ402" s="135" t="str">
        <f aca="false">IF(ISBLANK($C402),"",IF(I402=Constants!$B$2,TRUE(),IF(I402=Constants!$B$3,FALSE(),TRUE())))</f>
        <v/>
      </c>
      <c r="AK402" s="135" t="str">
        <f aca="false">IF(ISBLANK($C402),"",IF(J402=Constants!$B$2,TRUE(),IF(J402=Constants!$B$3,FALSE(),TRUE())))</f>
        <v/>
      </c>
      <c r="AL402" s="135" t="str">
        <f aca="false">IF(ISBLANK($C402),"",IF(K402=Constants!$B$4,TRUE(),IF(K402=Constants!$B$5,FALSE(),COUNTA(L402:P402)&gt;0)))</f>
        <v/>
      </c>
      <c r="AM402" s="136" t="str">
        <f aca="false">IF(ISBLANK($C402),"",IF(ISNUMBER(L402),IF(L402&gt;=0,L402,""),""))</f>
        <v/>
      </c>
      <c r="AN402" s="137" t="str">
        <f aca="false">IF(ISBLANK($C402),"",IF(ISNUMBER(M402),IF(M402&gt;=0,M402,""),""))</f>
        <v/>
      </c>
      <c r="AO402" s="137" t="str">
        <f aca="false">IF(ISBLANK($C402),"",IF(N402=Constants!$B$2,TRUE(),IF(N402=Constants!$B$3,FALSE(),TRUE())))</f>
        <v/>
      </c>
      <c r="AP402" s="135" t="str">
        <f aca="false">IF(ISBLANK($C402),"",IF(ISNUMBER(O402),IF(O402&gt;=0,O402,""),""))</f>
        <v/>
      </c>
      <c r="AQ402" s="135" t="str">
        <f aca="false">IF(ISBLANK($C402),"",IF(P402=Constants!$B$2,TRUE(),IF(P402=Constants!$B$3,FALSE(),FALSE())))</f>
        <v/>
      </c>
      <c r="AR402" s="135" t="str">
        <f aca="false">IF(ISBLANK($C402),"",IF(Q402=Constants!$B$2,TRUE(),IF(Q402=Constants!$B$3,FALSE(),TRUE())))</f>
        <v/>
      </c>
      <c r="AS402" s="135" t="str">
        <f aca="false">IF(ISBLANK($C402),"",IF(R402=Constants!$B$2,TRUE(),IF(R402=Constants!$B$3,FALSE(),TRUE())))</f>
        <v/>
      </c>
      <c r="AT402" s="135" t="str">
        <f aca="false">IF(ISBLANK($C402),"",IF(S402=Constants!$B$4,TRUE(),IF(S402=Constants!$B$5,FALSE(),COUNTA(T402:X402)&gt;0)))</f>
        <v/>
      </c>
      <c r="AU402" s="136" t="str">
        <f aca="false">IF(ISBLANK($C402),"",IF(ISNUMBER(T402),IF(T402&gt;=0,T402,""),""))</f>
        <v/>
      </c>
      <c r="AV402" s="137" t="str">
        <f aca="false">IF(ISBLANK($C402),"",IF(ISNUMBER(U402),IF(U402&gt;=0,U402,""),""))</f>
        <v/>
      </c>
      <c r="AW402" s="137" t="str">
        <f aca="false">IF(ISBLANK($C402),"",IF(V402=Constants!$B$2,TRUE(),IF(V402=Constants!$B$3,FALSE(),TRUE())))</f>
        <v/>
      </c>
      <c r="AX402" s="135" t="str">
        <f aca="false">IF(ISBLANK($C402),"",IF(ISNUMBER(W402),IF(W402&gt;=0,W402,""),""))</f>
        <v/>
      </c>
      <c r="AY402" s="135" t="str">
        <f aca="false">IF(ISBLANK($C402),"",IF(X402=Constants!$B$2,TRUE(),IF(X402=Constants!$B$3,FALSE(),FALSE())))</f>
        <v/>
      </c>
      <c r="AZ402" s="135" t="str">
        <f aca="false">IF(ISBLANK($C402),"",MIN(Constants!$B$25,MAX(0,IF(ISNUMBER(Y402),Y402*60,0)+IF(ISNUMBER(Z402),Z402,0))))</f>
        <v/>
      </c>
      <c r="BA402" s="135" t="str">
        <f aca="false">IF(ISBLANK($C402),"",IF(AA402=Constants!$B$2,TRUE(),IF(AA402=Constants!$B$3,FALSE(),FALSE())))</f>
        <v/>
      </c>
      <c r="BB402" s="134" t="str">
        <f aca="false">IF(ISBLANK($C402),"",AND($AL402,OR($AM402="",$AN402="",AND($AO402,$AP402=""))))</f>
        <v/>
      </c>
      <c r="BC402" s="137" t="str">
        <f aca="false">IF($BX402&lt;&gt;Constants!$B$6,"",IF($AL402,Constants!$B$17*$AN402+Constants!$B$18*IF($AO402,$AP402,Constants!$B$19),Constants!$B$20))</f>
        <v/>
      </c>
      <c r="BD402" s="138" t="str">
        <f aca="false">IF($BX402&lt;&gt;Constants!$B$6,"",Constants!$B$21*ABS($AD$9-IF($AL402,$AM402,0)))</f>
        <v/>
      </c>
      <c r="BE402" s="138" t="str">
        <f aca="false">IF($BX402&lt;&gt;Constants!$B$6,"",IF(AND($AL402,$AQ402,$AO402),Constants!$B$22,0))</f>
        <v/>
      </c>
      <c r="BF402" s="138" t="str">
        <f aca="false">IF($BX402&lt;&gt;Constants!$B$6,"",IF($AL402,($AI402-Constants!$B$24)*Constants!$B$23,0))</f>
        <v/>
      </c>
      <c r="BG402" s="138" t="str">
        <f aca="false">IF($BX402&lt;&gt;Constants!$B$6,"",IF($AK402,0,Constants!$B$12)+IF($AJ402,0,Constants!$B$13)+IF($AH402,0,Constants!$B$14))</f>
        <v/>
      </c>
      <c r="BH402" s="139" t="str">
        <f aca="false">IF($BX402&lt;&gt;Constants!$B$6,"",Constants!$B$16+SUM($BC402:$BG402))</f>
        <v/>
      </c>
      <c r="BI402" s="138" t="str">
        <f aca="false">IF($BX402&lt;&gt;Constants!$B$6,"",$BC402)</f>
        <v/>
      </c>
      <c r="BJ402" s="138" t="str">
        <f aca="false">IF($BX402&lt;&gt;Constants!$B$6,"",$BD402)</f>
        <v/>
      </c>
      <c r="BK402" s="140" t="str">
        <f aca="false">IF($BX402&lt;&gt;Constants!$B$6,"",IF($AL402,$AN402,""))</f>
        <v/>
      </c>
      <c r="BL402" s="135" t="str">
        <f aca="false">IF($BX402&lt;&gt;Constants!$B$6,"",IF(OR($BS402&lt;$BH402,AND($BS402=$BH402,OR($BT402&lt;$BI402,AND($BT402=$BI402,OR($BU402&lt;$BJ402,AND($BU402=$BJ402,AND(ISNUMBER($BV402),OR(NOT(ISNUMBER($BK402)),$BV402&lt;$BK402)))))))),"-&gt;","&lt;-"))</f>
        <v/>
      </c>
      <c r="BM402" s="134" t="str">
        <f aca="false">IF(ISBLANK($C402),"",AND($AT402,OR($AU402="",$AV402="",AND($AW402,$AX402=""))))</f>
        <v/>
      </c>
      <c r="BN402" s="137" t="str">
        <f aca="false">IF($BX402&lt;&gt;Constants!$B$6,"",IF($AT402,Constants!$B$17*$AV402+Constants!$B$18*IF($AW402,$AX402,Constants!$B$19),Constants!$B$20))</f>
        <v/>
      </c>
      <c r="BO402" s="138" t="str">
        <f aca="false">IF($BX402&lt;&gt;Constants!$B$6,"",Constants!$B$21*ABS($AD$9-IF($AT402,$AU402,0)))</f>
        <v/>
      </c>
      <c r="BP402" s="138" t="str">
        <f aca="false">IF($BX402&lt;&gt;Constants!$B$6,"",IF(AND($AT402,$AY402,$AW402),Constants!$B$22,0))</f>
        <v/>
      </c>
      <c r="BQ402" s="138" t="str">
        <f aca="false">IF($BX402&lt;&gt;Constants!$B$6,"",IF($AT402,($AI402-Constants!$B$24)*Constants!$B$23,0))</f>
        <v/>
      </c>
      <c r="BR402" s="138" t="str">
        <f aca="false">IF($BX402&lt;&gt;Constants!$B$6,"",IF($AS402,0,Constants!$B$12)+IF($AR402,0,Constants!$B$13)+IF($AH402,0,Constants!$B$14))</f>
        <v/>
      </c>
      <c r="BS402" s="139" t="str">
        <f aca="false">IF($BX402&lt;&gt;Constants!$B$6,"",Constants!$B$16+SUM($BN402:$BR402))</f>
        <v/>
      </c>
      <c r="BT402" s="138" t="str">
        <f aca="false">IF($BX402&lt;&gt;Constants!$B$6,"",$BN402)</f>
        <v/>
      </c>
      <c r="BU402" s="138" t="str">
        <f aca="false">IF($BX402&lt;&gt;Constants!$B$6,"",$BO402)</f>
        <v/>
      </c>
      <c r="BV402" s="140" t="str">
        <f aca="false">IF($BX402&lt;&gt;Constants!$B$6,"",IF($AT402,$AV402,""))</f>
        <v/>
      </c>
      <c r="BW402" s="135" t="str">
        <f aca="false">IF(ISBLANK($C402),"",IF(ISBLANK($D$7),$BW$5,IF(NOT(ISNUMBER($D$7)),$BW$6,"")))</f>
        <v/>
      </c>
      <c r="BX402" s="135" t="str">
        <f aca="false">IF(ISBLANK($C402),"",IF($BA402,Constants!$B$9,IF(COUNTA($E402:$AA402)=0,Constants!$B$8,IF(NOT($AG402),Constants!$B$7,IF(OR($BW402&lt;&gt;"",$BB402,$BM402),Constants!$B$10,Constants!$B$6)))))</f>
        <v/>
      </c>
      <c r="BY402" s="135" t="str">
        <f aca="false">IF(ISBLANK($C402),"",IF($BX402&lt;&gt;Constants!$B$6,$BX402,Constants!$B$11))</f>
        <v/>
      </c>
      <c r="BZ402" s="138" t="str">
        <f aca="false">IF($BX402&lt;&gt;Constants!$B$6,"",IF($BL402="-&gt;",$BS402,$BH402))</f>
        <v/>
      </c>
      <c r="CA402" s="138" t="str">
        <f aca="false">IF($BX402&lt;&gt;Constants!$B$6,"",IF($AF402,0,Constants!$B$15))</f>
        <v/>
      </c>
      <c r="CB402" s="138" t="str">
        <f aca="false">IF($BX402&lt;&gt;Constants!$B$6,"",((Constants!$B$25-$AZ402)-Constants!$B$25)/Constants!$B$26)</f>
        <v/>
      </c>
      <c r="CC402" s="138" t="str">
        <f aca="false">IF(ISBLANK($C402),"",IF($BX402&lt;&gt;Constants!$B$6,$BX402,SUM($BZ402:$CB402)))</f>
        <v/>
      </c>
      <c r="CD402" s="135" t="str">
        <f aca="false">IF(ISBLANK($C402),"",IF($BX402&lt;&gt;Constants!$B$6,$BX402,RANK($CC402,$CC$9:$CC$508,1)))</f>
        <v/>
      </c>
      <c r="CE402" s="138" t="str">
        <f aca="false">IF($BX402&lt;&gt;Constants!$B$6,"",IF($BL402="-&gt;",$BT402,$BI402))</f>
        <v/>
      </c>
      <c r="CF402" s="135" t="str">
        <f aca="false">IF(ISBLANK($C402),"",IF($BX402&lt;&gt;Constants!$B$6,$BX402,IF(ISNUMBER($CE402),RANK($CE402,$CE$9:$CE$508,1),COUNT($CE$9:$CE$508)+1)))</f>
        <v/>
      </c>
      <c r="CG402" s="138" t="str">
        <f aca="false">IF($BX402&lt;&gt;Constants!$B$6,"",IF($BL402="-&gt;",$BU402,$BJ402))</f>
        <v/>
      </c>
      <c r="CH402" s="135" t="str">
        <f aca="false">IF(ISBLANK($C402),"",IF($BX402&lt;&gt;Constants!$B$6,$BX402,IF(ISNUMBER($CG402),RANK($CG402,$CG$9:$CG$508,1),COUNT($CG$9:$CG$508)+1)))</f>
        <v/>
      </c>
      <c r="CI402" s="138" t="str">
        <f aca="false">IF($BX402&lt;&gt;Constants!$B$6,"",IF($BL402="-&gt;",$BV402,$BK402))</f>
        <v/>
      </c>
      <c r="CJ402" s="135" t="str">
        <f aca="false">IF(ISBLANK($C402),"",IF($BX402&lt;&gt;Constants!$B$6,$BX402,IF(ISNUMBER($CI402),RANK($CI402,$CI$9:$CI$508,1),COUNT($CI$9:$CI$508)+1)))</f>
        <v/>
      </c>
      <c r="CK402" s="138" t="str">
        <f aca="false">IF($BX402&lt;&gt;Constants!$B$6,"",$AI402)</f>
        <v/>
      </c>
      <c r="CL402" s="135" t="str">
        <f aca="false">IF(ISBLANK($C402),"",IF($BX402&lt;&gt;Constants!$B$6,$BX402,IF(ISNUMBER($CK402),RANK($CK402,$CK$9:$CK$508,1),COUNT($CK$9:$CK$508)+1)))</f>
        <v/>
      </c>
      <c r="CM402" s="135" t="str">
        <f aca="false">IF(ISBLANK($C402),"",IF($BX402&lt;&gt;Constants!$B$6,$BX402,COUNTIFS($CD$9:$CD$508,"&lt;"&amp;$CD402)+COUNTIFS($CD$9:$CD$508,$CD402,$CF$9:$CF$508,"&lt;"&amp;$CF402)+COUNTIFS($CD$9:$CD$508,$CD402,$CF$9:$CF$508,$CF402,$CH$9:$CH$508,"&lt;"&amp;$CH402)+COUNTIFS($CD$9:$CD$508,$CD402,$CF$9:$CF$508,$CF402,$CH$9:$CH$508,$CH402,$CJ$9:$CJ$508,"&lt;"&amp;$CJ402)+COUNTIFS($CD$9:$CD$508,$CD402,$CF$9:$CF$508,$CF402,$CH$9:$CH$508,$CH402,$CJ$9:$CJ$508,$CJ402,$CL$9:$CL$508,"&lt;"&amp;$CL402)+1))</f>
        <v/>
      </c>
      <c r="CN402" s="135" t="str">
        <f aca="false">IF(ISBLANK($C402),"",IF($BX402&lt;&gt;Constants!$B$6,$BX402,$CD402-$CM402))</f>
        <v/>
      </c>
      <c r="CO402" s="141"/>
      <c r="CP402" s="142"/>
      <c r="CQ402" s="143" t="str">
        <f aca="false">IF(ISBLANK($C402),"",IF($BX402=Constants!$B$10,$BW402,""))</f>
        <v/>
      </c>
      <c r="CR402" s="142" t="str">
        <f aca="false">IF(ISBLANK($C402),"",IF($BX402&lt;&gt;Constants!$B$6,"",IF($BL402="-&gt;",2,1)))</f>
        <v/>
      </c>
      <c r="CS402" s="144" t="str">
        <f aca="false">IF(ISBLANK($C402),"",IF($BX402&lt;&gt;Constants!$B$6,"",IF($BL402="-&gt;",$BN402,$BC402)))</f>
        <v/>
      </c>
      <c r="CT402" s="144" t="str">
        <f aca="false">IF(ISBLANK($C402),"",IF($BX402&lt;&gt;Constants!$B$6,"",IF($BL402="-&gt;",$BO402,$BD402)))</f>
        <v/>
      </c>
      <c r="CU402" s="144" t="str">
        <f aca="false">IF(ISBLANK($C402),"",IF($BX402&lt;&gt;Constants!$B$6,"",IF($BL402="-&gt;",$BP402+$BQ402,$BE402+$BF402)+$CB402))</f>
        <v/>
      </c>
      <c r="CV402" s="144" t="str">
        <f aca="false">IF(ISBLANK($C402),"",IF($BX402&lt;&gt;Constants!$B$6,"",IF($BL402="-&gt;",$BR402,$BG402)+$CA402))</f>
        <v/>
      </c>
      <c r="CW402" s="145" t="str">
        <f aca="false">IF(ISBLANK($C402),"",IF($BX402&lt;&gt;Constants!$B$6,$BX402,$CC402))</f>
        <v/>
      </c>
      <c r="CX402" s="146" t="str">
        <f aca="false">IF(ISBLANK($C402),"",$BY402)</f>
        <v/>
      </c>
      <c r="CY402" s="147" t="str">
        <f aca="false">IF(ISBLANK($C402),"",$CN402)</f>
        <v/>
      </c>
      <c r="CZ402" s="147" t="str">
        <f aca="false">IF(ISBLANK($C402),"",$CM402)</f>
        <v/>
      </c>
      <c r="DA402" s="148" t="str">
        <f aca="false">IF(ISBLANK($C402),"",IFERROR(_xlfn.SWITCH($CZ402,Constants!$B$9,COUNTA($C$9:$C$508)+2,Constants!$B$8,COUNTA($C$9:$C$508)+1,Constants!$B$7,COUNTA($C$9:$C$508)),$CZ402))</f>
        <v/>
      </c>
      <c r="DB402" s="9"/>
      <c r="DC402" s="149" t="n">
        <f aca="false">IF(OR(ISNUMBER($CZ402),$CZ402=Constants!$B$9,$CZ402=Constants!$B$7,$CZ402=Constants!$B$8),1,0)</f>
        <v>0</v>
      </c>
      <c r="DD402" s="149" t="n">
        <v>394</v>
      </c>
      <c r="DE402" s="149" t="str">
        <f aca="false">IF(ISBLANK($C402),"",IF(ISNUMBER($DA402),$DA402+ROW($B402)/1000,""))</f>
        <v/>
      </c>
      <c r="DF402" s="149" t="str">
        <f aca="false">IF(ISNUMBER($DE402),RANK($DE402,$DE$9:$DE$508,1),"")</f>
        <v/>
      </c>
      <c r="DG402" s="149" t="str">
        <f aca="false">IF(ISBLANK($C402),"",$B402)</f>
        <v/>
      </c>
      <c r="DH402" s="149" t="str">
        <f aca="false">IF(ISBLANK($C402),"",$C402)</f>
        <v/>
      </c>
      <c r="DI402" s="149" t="str">
        <f aca="false">IF(ISBLANK($C402),"",$D402)</f>
        <v/>
      </c>
      <c r="DJ402" s="150" t="str">
        <f aca="false">$CX402</f>
        <v/>
      </c>
      <c r="DK402" s="151" t="str">
        <f aca="false">$CW402</f>
        <v/>
      </c>
      <c r="DL402" s="149" t="str">
        <f aca="false">IF(ISBLANK($C402),"",$CZ402)</f>
        <v/>
      </c>
      <c r="DM402" s="152" t="str">
        <f aca="false">IF($DD402&gt;$DC$8,"",VLOOKUP($DD402,$DF$9:$DL$508,7,FALSE()))</f>
        <v/>
      </c>
      <c r="DN402" s="153" t="str">
        <f aca="false">IF($DD402&gt;$DC$8,"",VLOOKUP($DD402,$DF$9:$DL$508,2,FALSE()))</f>
        <v/>
      </c>
      <c r="DO402" s="153" t="str">
        <f aca="false">IF($DD402&gt;$DC$8,"",VLOOKUP($DD402,$DF$9:$DL$508,3,FALSE()))</f>
        <v/>
      </c>
      <c r="DP402" s="153" t="str">
        <f aca="false">IF($DD402&gt;$DC$8,"",VLOOKUP($DD402,$DF$9:$DL$508,4,FALSE()))</f>
        <v/>
      </c>
      <c r="DQ402" s="153" t="str">
        <f aca="false">IF($DD402&gt;$DC$8,"",VLOOKUP($DD402,$DF$9:$DL$508,5,FALSE()))</f>
        <v/>
      </c>
      <c r="DR402" s="154" t="str">
        <f aca="false">IF($DD402&gt;$DC$8,"",VLOOKUP($DD402,$DF$9:$DL$508,6,FALSE()))</f>
        <v/>
      </c>
      <c r="DS402" s="76"/>
    </row>
    <row r="403" customFormat="false" ht="15.75" hidden="false" customHeight="false" outlineLevel="0" collapsed="false">
      <c r="A403" s="9"/>
      <c r="B403" s="160"/>
      <c r="C403" s="161"/>
      <c r="D403" s="162"/>
      <c r="E403" s="180"/>
      <c r="F403" s="164"/>
      <c r="G403" s="165"/>
      <c r="H403" s="165"/>
      <c r="I403" s="181"/>
      <c r="J403" s="168"/>
      <c r="K403" s="128"/>
      <c r="L403" s="129"/>
      <c r="M403" s="130"/>
      <c r="N403" s="168"/>
      <c r="O403" s="168"/>
      <c r="P403" s="180"/>
      <c r="Q403" s="168"/>
      <c r="R403" s="168"/>
      <c r="S403" s="128"/>
      <c r="T403" s="130"/>
      <c r="U403" s="130"/>
      <c r="V403" s="168"/>
      <c r="W403" s="168"/>
      <c r="X403" s="180"/>
      <c r="Y403" s="168"/>
      <c r="Z403" s="169"/>
      <c r="AA403" s="168"/>
      <c r="AB403" s="134"/>
      <c r="AC403" s="135"/>
      <c r="AD403" s="135"/>
      <c r="AE403" s="135"/>
      <c r="AF403" s="135" t="str">
        <f aca="false">IF(ISBLANK($C403),"",IF(E403=Constants!$B$2,TRUE(),IF(E403=Constants!$B$3,FALSE(),TRUE())))</f>
        <v/>
      </c>
      <c r="AG403" s="135" t="str">
        <f aca="false">IF(ISBLANK($C403),"",IF(F403=Constants!$B$2,TRUE(),IF(F403=Constants!$B$3,FALSE(),TRUE())))</f>
        <v/>
      </c>
      <c r="AH403" s="135" t="str">
        <f aca="false">IF(ISBLANK($C403),"",IF(G403=Constants!$B$2,TRUE(),IF(G403=Constants!$B$3,FALSE(),TRUE())))</f>
        <v/>
      </c>
      <c r="AI403" s="135" t="str">
        <f aca="false">IF(ISBLANK($C403),"",IF(AND(ISNUMBER(H403),H403&gt;=0),H403,Constants!$B$24))</f>
        <v/>
      </c>
      <c r="AJ403" s="135" t="str">
        <f aca="false">IF(ISBLANK($C403),"",IF(I403=Constants!$B$2,TRUE(),IF(I403=Constants!$B$3,FALSE(),TRUE())))</f>
        <v/>
      </c>
      <c r="AK403" s="135" t="str">
        <f aca="false">IF(ISBLANK($C403),"",IF(J403=Constants!$B$2,TRUE(),IF(J403=Constants!$B$3,FALSE(),TRUE())))</f>
        <v/>
      </c>
      <c r="AL403" s="135" t="str">
        <f aca="false">IF(ISBLANK($C403),"",IF(K403=Constants!$B$4,TRUE(),IF(K403=Constants!$B$5,FALSE(),COUNTA(L403:P403)&gt;0)))</f>
        <v/>
      </c>
      <c r="AM403" s="136" t="str">
        <f aca="false">IF(ISBLANK($C403),"",IF(ISNUMBER(L403),IF(L403&gt;=0,L403,""),""))</f>
        <v/>
      </c>
      <c r="AN403" s="137" t="str">
        <f aca="false">IF(ISBLANK($C403),"",IF(ISNUMBER(M403),IF(M403&gt;=0,M403,""),""))</f>
        <v/>
      </c>
      <c r="AO403" s="137" t="str">
        <f aca="false">IF(ISBLANK($C403),"",IF(N403=Constants!$B$2,TRUE(),IF(N403=Constants!$B$3,FALSE(),TRUE())))</f>
        <v/>
      </c>
      <c r="AP403" s="135" t="str">
        <f aca="false">IF(ISBLANK($C403),"",IF(ISNUMBER(O403),IF(O403&gt;=0,O403,""),""))</f>
        <v/>
      </c>
      <c r="AQ403" s="135" t="str">
        <f aca="false">IF(ISBLANK($C403),"",IF(P403=Constants!$B$2,TRUE(),IF(P403=Constants!$B$3,FALSE(),FALSE())))</f>
        <v/>
      </c>
      <c r="AR403" s="135" t="str">
        <f aca="false">IF(ISBLANK($C403),"",IF(Q403=Constants!$B$2,TRUE(),IF(Q403=Constants!$B$3,FALSE(),TRUE())))</f>
        <v/>
      </c>
      <c r="AS403" s="135" t="str">
        <f aca="false">IF(ISBLANK($C403),"",IF(R403=Constants!$B$2,TRUE(),IF(R403=Constants!$B$3,FALSE(),TRUE())))</f>
        <v/>
      </c>
      <c r="AT403" s="135" t="str">
        <f aca="false">IF(ISBLANK($C403),"",IF(S403=Constants!$B$4,TRUE(),IF(S403=Constants!$B$5,FALSE(),COUNTA(T403:X403)&gt;0)))</f>
        <v/>
      </c>
      <c r="AU403" s="136" t="str">
        <f aca="false">IF(ISBLANK($C403),"",IF(ISNUMBER(T403),IF(T403&gt;=0,T403,""),""))</f>
        <v/>
      </c>
      <c r="AV403" s="137" t="str">
        <f aca="false">IF(ISBLANK($C403),"",IF(ISNUMBER(U403),IF(U403&gt;=0,U403,""),""))</f>
        <v/>
      </c>
      <c r="AW403" s="137" t="str">
        <f aca="false">IF(ISBLANK($C403),"",IF(V403=Constants!$B$2,TRUE(),IF(V403=Constants!$B$3,FALSE(),TRUE())))</f>
        <v/>
      </c>
      <c r="AX403" s="135" t="str">
        <f aca="false">IF(ISBLANK($C403),"",IF(ISNUMBER(W403),IF(W403&gt;=0,W403,""),""))</f>
        <v/>
      </c>
      <c r="AY403" s="135" t="str">
        <f aca="false">IF(ISBLANK($C403),"",IF(X403=Constants!$B$2,TRUE(),IF(X403=Constants!$B$3,FALSE(),FALSE())))</f>
        <v/>
      </c>
      <c r="AZ403" s="135" t="str">
        <f aca="false">IF(ISBLANK($C403),"",MIN(Constants!$B$25,MAX(0,IF(ISNUMBER(Y403),Y403*60,0)+IF(ISNUMBER(Z403),Z403,0))))</f>
        <v/>
      </c>
      <c r="BA403" s="135" t="str">
        <f aca="false">IF(ISBLANK($C403),"",IF(AA403=Constants!$B$2,TRUE(),IF(AA403=Constants!$B$3,FALSE(),FALSE())))</f>
        <v/>
      </c>
      <c r="BB403" s="134" t="str">
        <f aca="false">IF(ISBLANK($C403),"",AND($AL403,OR($AM403="",$AN403="",AND($AO403,$AP403=""))))</f>
        <v/>
      </c>
      <c r="BC403" s="137" t="str">
        <f aca="false">IF($BX403&lt;&gt;Constants!$B$6,"",IF($AL403,Constants!$B$17*$AN403+Constants!$B$18*IF($AO403,$AP403,Constants!$B$19),Constants!$B$20))</f>
        <v/>
      </c>
      <c r="BD403" s="138" t="str">
        <f aca="false">IF($BX403&lt;&gt;Constants!$B$6,"",Constants!$B$21*ABS($AD$9-IF($AL403,$AM403,0)))</f>
        <v/>
      </c>
      <c r="BE403" s="138" t="str">
        <f aca="false">IF($BX403&lt;&gt;Constants!$B$6,"",IF(AND($AL403,$AQ403,$AO403),Constants!$B$22,0))</f>
        <v/>
      </c>
      <c r="BF403" s="138" t="str">
        <f aca="false">IF($BX403&lt;&gt;Constants!$B$6,"",IF($AL403,($AI403-Constants!$B$24)*Constants!$B$23,0))</f>
        <v/>
      </c>
      <c r="BG403" s="138" t="str">
        <f aca="false">IF($BX403&lt;&gt;Constants!$B$6,"",IF($AK403,0,Constants!$B$12)+IF($AJ403,0,Constants!$B$13)+IF($AH403,0,Constants!$B$14))</f>
        <v/>
      </c>
      <c r="BH403" s="139" t="str">
        <f aca="false">IF($BX403&lt;&gt;Constants!$B$6,"",Constants!$B$16+SUM($BC403:$BG403))</f>
        <v/>
      </c>
      <c r="BI403" s="138" t="str">
        <f aca="false">IF($BX403&lt;&gt;Constants!$B$6,"",$BC403)</f>
        <v/>
      </c>
      <c r="BJ403" s="138" t="str">
        <f aca="false">IF($BX403&lt;&gt;Constants!$B$6,"",$BD403)</f>
        <v/>
      </c>
      <c r="BK403" s="140" t="str">
        <f aca="false">IF($BX403&lt;&gt;Constants!$B$6,"",IF($AL403,$AN403,""))</f>
        <v/>
      </c>
      <c r="BL403" s="135" t="str">
        <f aca="false">IF($BX403&lt;&gt;Constants!$B$6,"",IF(OR($BS403&lt;$BH403,AND($BS403=$BH403,OR($BT403&lt;$BI403,AND($BT403=$BI403,OR($BU403&lt;$BJ403,AND($BU403=$BJ403,AND(ISNUMBER($BV403),OR(NOT(ISNUMBER($BK403)),$BV403&lt;$BK403)))))))),"-&gt;","&lt;-"))</f>
        <v/>
      </c>
      <c r="BM403" s="134" t="str">
        <f aca="false">IF(ISBLANK($C403),"",AND($AT403,OR($AU403="",$AV403="",AND($AW403,$AX403=""))))</f>
        <v/>
      </c>
      <c r="BN403" s="137" t="str">
        <f aca="false">IF($BX403&lt;&gt;Constants!$B$6,"",IF($AT403,Constants!$B$17*$AV403+Constants!$B$18*IF($AW403,$AX403,Constants!$B$19),Constants!$B$20))</f>
        <v/>
      </c>
      <c r="BO403" s="138" t="str">
        <f aca="false">IF($BX403&lt;&gt;Constants!$B$6,"",Constants!$B$21*ABS($AD$9-IF($AT403,$AU403,0)))</f>
        <v/>
      </c>
      <c r="BP403" s="138" t="str">
        <f aca="false">IF($BX403&lt;&gt;Constants!$B$6,"",IF(AND($AT403,$AY403,$AW403),Constants!$B$22,0))</f>
        <v/>
      </c>
      <c r="BQ403" s="138" t="str">
        <f aca="false">IF($BX403&lt;&gt;Constants!$B$6,"",IF($AT403,($AI403-Constants!$B$24)*Constants!$B$23,0))</f>
        <v/>
      </c>
      <c r="BR403" s="138" t="str">
        <f aca="false">IF($BX403&lt;&gt;Constants!$B$6,"",IF($AS403,0,Constants!$B$12)+IF($AR403,0,Constants!$B$13)+IF($AH403,0,Constants!$B$14))</f>
        <v/>
      </c>
      <c r="BS403" s="139" t="str">
        <f aca="false">IF($BX403&lt;&gt;Constants!$B$6,"",Constants!$B$16+SUM($BN403:$BR403))</f>
        <v/>
      </c>
      <c r="BT403" s="138" t="str">
        <f aca="false">IF($BX403&lt;&gt;Constants!$B$6,"",$BN403)</f>
        <v/>
      </c>
      <c r="BU403" s="138" t="str">
        <f aca="false">IF($BX403&lt;&gt;Constants!$B$6,"",$BO403)</f>
        <v/>
      </c>
      <c r="BV403" s="140" t="str">
        <f aca="false">IF($BX403&lt;&gt;Constants!$B$6,"",IF($AT403,$AV403,""))</f>
        <v/>
      </c>
      <c r="BW403" s="135" t="str">
        <f aca="false">IF(ISBLANK($C403),"",IF(ISBLANK($D$7),$BW$5,IF(NOT(ISNUMBER($D$7)),$BW$6,"")))</f>
        <v/>
      </c>
      <c r="BX403" s="135" t="str">
        <f aca="false">IF(ISBLANK($C403),"",IF($BA403,Constants!$B$9,IF(COUNTA($E403:$AA403)=0,Constants!$B$8,IF(NOT($AG403),Constants!$B$7,IF(OR($BW403&lt;&gt;"",$BB403,$BM403),Constants!$B$10,Constants!$B$6)))))</f>
        <v/>
      </c>
      <c r="BY403" s="135" t="str">
        <f aca="false">IF(ISBLANK($C403),"",IF($BX403&lt;&gt;Constants!$B$6,$BX403,Constants!$B$11))</f>
        <v/>
      </c>
      <c r="BZ403" s="138" t="str">
        <f aca="false">IF($BX403&lt;&gt;Constants!$B$6,"",IF($BL403="-&gt;",$BS403,$BH403))</f>
        <v/>
      </c>
      <c r="CA403" s="138" t="str">
        <f aca="false">IF($BX403&lt;&gt;Constants!$B$6,"",IF($AF403,0,Constants!$B$15))</f>
        <v/>
      </c>
      <c r="CB403" s="138" t="str">
        <f aca="false">IF($BX403&lt;&gt;Constants!$B$6,"",((Constants!$B$25-$AZ403)-Constants!$B$25)/Constants!$B$26)</f>
        <v/>
      </c>
      <c r="CC403" s="138" t="str">
        <f aca="false">IF(ISBLANK($C403),"",IF($BX403&lt;&gt;Constants!$B$6,$BX403,SUM($BZ403:$CB403)))</f>
        <v/>
      </c>
      <c r="CD403" s="135" t="str">
        <f aca="false">IF(ISBLANK($C403),"",IF($BX403&lt;&gt;Constants!$B$6,$BX403,RANK($CC403,$CC$9:$CC$508,1)))</f>
        <v/>
      </c>
      <c r="CE403" s="138" t="str">
        <f aca="false">IF($BX403&lt;&gt;Constants!$B$6,"",IF($BL403="-&gt;",$BT403,$BI403))</f>
        <v/>
      </c>
      <c r="CF403" s="135" t="str">
        <f aca="false">IF(ISBLANK($C403),"",IF($BX403&lt;&gt;Constants!$B$6,$BX403,IF(ISNUMBER($CE403),RANK($CE403,$CE$9:$CE$508,1),COUNT($CE$9:$CE$508)+1)))</f>
        <v/>
      </c>
      <c r="CG403" s="138" t="str">
        <f aca="false">IF($BX403&lt;&gt;Constants!$B$6,"",IF($BL403="-&gt;",$BU403,$BJ403))</f>
        <v/>
      </c>
      <c r="CH403" s="135" t="str">
        <f aca="false">IF(ISBLANK($C403),"",IF($BX403&lt;&gt;Constants!$B$6,$BX403,IF(ISNUMBER($CG403),RANK($CG403,$CG$9:$CG$508,1),COUNT($CG$9:$CG$508)+1)))</f>
        <v/>
      </c>
      <c r="CI403" s="138" t="str">
        <f aca="false">IF($BX403&lt;&gt;Constants!$B$6,"",IF($BL403="-&gt;",$BV403,$BK403))</f>
        <v/>
      </c>
      <c r="CJ403" s="135" t="str">
        <f aca="false">IF(ISBLANK($C403),"",IF($BX403&lt;&gt;Constants!$B$6,$BX403,IF(ISNUMBER($CI403),RANK($CI403,$CI$9:$CI$508,1),COUNT($CI$9:$CI$508)+1)))</f>
        <v/>
      </c>
      <c r="CK403" s="138" t="str">
        <f aca="false">IF($BX403&lt;&gt;Constants!$B$6,"",$AI403)</f>
        <v/>
      </c>
      <c r="CL403" s="135" t="str">
        <f aca="false">IF(ISBLANK($C403),"",IF($BX403&lt;&gt;Constants!$B$6,$BX403,IF(ISNUMBER($CK403),RANK($CK403,$CK$9:$CK$508,1),COUNT($CK$9:$CK$508)+1)))</f>
        <v/>
      </c>
      <c r="CM403" s="135" t="str">
        <f aca="false">IF(ISBLANK($C403),"",IF($BX403&lt;&gt;Constants!$B$6,$BX403,COUNTIFS($CD$9:$CD$508,"&lt;"&amp;$CD403)+COUNTIFS($CD$9:$CD$508,$CD403,$CF$9:$CF$508,"&lt;"&amp;$CF403)+COUNTIFS($CD$9:$CD$508,$CD403,$CF$9:$CF$508,$CF403,$CH$9:$CH$508,"&lt;"&amp;$CH403)+COUNTIFS($CD$9:$CD$508,$CD403,$CF$9:$CF$508,$CF403,$CH$9:$CH$508,$CH403,$CJ$9:$CJ$508,"&lt;"&amp;$CJ403)+COUNTIFS($CD$9:$CD$508,$CD403,$CF$9:$CF$508,$CF403,$CH$9:$CH$508,$CH403,$CJ$9:$CJ$508,$CJ403,$CL$9:$CL$508,"&lt;"&amp;$CL403)+1))</f>
        <v/>
      </c>
      <c r="CN403" s="135" t="str">
        <f aca="false">IF(ISBLANK($C403),"",IF($BX403&lt;&gt;Constants!$B$6,$BX403,$CD403-$CM403))</f>
        <v/>
      </c>
      <c r="CO403" s="141"/>
      <c r="CP403" s="142"/>
      <c r="CQ403" s="143" t="str">
        <f aca="false">IF(ISBLANK($C403),"",IF($BX403=Constants!$B$10,$BW403,""))</f>
        <v/>
      </c>
      <c r="CR403" s="142" t="str">
        <f aca="false">IF(ISBLANK($C403),"",IF($BX403&lt;&gt;Constants!$B$6,"",IF($BL403="-&gt;",2,1)))</f>
        <v/>
      </c>
      <c r="CS403" s="144" t="str">
        <f aca="false">IF(ISBLANK($C403),"",IF($BX403&lt;&gt;Constants!$B$6,"",IF($BL403="-&gt;",$BN403,$BC403)))</f>
        <v/>
      </c>
      <c r="CT403" s="144" t="str">
        <f aca="false">IF(ISBLANK($C403),"",IF($BX403&lt;&gt;Constants!$B$6,"",IF($BL403="-&gt;",$BO403,$BD403)))</f>
        <v/>
      </c>
      <c r="CU403" s="144" t="str">
        <f aca="false">IF(ISBLANK($C403),"",IF($BX403&lt;&gt;Constants!$B$6,"",IF($BL403="-&gt;",$BP403+$BQ403,$BE403+$BF403)+$CB403))</f>
        <v/>
      </c>
      <c r="CV403" s="144" t="str">
        <f aca="false">IF(ISBLANK($C403),"",IF($BX403&lt;&gt;Constants!$B$6,"",IF($BL403="-&gt;",$BR403,$BG403)+$CA403))</f>
        <v/>
      </c>
      <c r="CW403" s="145" t="str">
        <f aca="false">IF(ISBLANK($C403),"",IF($BX403&lt;&gt;Constants!$B$6,$BX403,$CC403))</f>
        <v/>
      </c>
      <c r="CX403" s="146" t="str">
        <f aca="false">IF(ISBLANK($C403),"",$BY403)</f>
        <v/>
      </c>
      <c r="CY403" s="147" t="str">
        <f aca="false">IF(ISBLANK($C403),"",$CN403)</f>
        <v/>
      </c>
      <c r="CZ403" s="147" t="str">
        <f aca="false">IF(ISBLANK($C403),"",$CM403)</f>
        <v/>
      </c>
      <c r="DA403" s="148" t="str">
        <f aca="false">IF(ISBLANK($C403),"",IFERROR(_xlfn.SWITCH($CZ403,Constants!$B$9,COUNTA($C$9:$C$508)+2,Constants!$B$8,COUNTA($C$9:$C$508)+1,Constants!$B$7,COUNTA($C$9:$C$508)),$CZ403))</f>
        <v/>
      </c>
      <c r="DB403" s="9"/>
      <c r="DC403" s="149" t="n">
        <f aca="false">IF(OR(ISNUMBER($CZ403),$CZ403=Constants!$B$9,$CZ403=Constants!$B$7,$CZ403=Constants!$B$8),1,0)</f>
        <v>0</v>
      </c>
      <c r="DD403" s="149" t="n">
        <v>395</v>
      </c>
      <c r="DE403" s="149" t="str">
        <f aca="false">IF(ISBLANK($C403),"",IF(ISNUMBER($DA403),$DA403+ROW($B403)/1000,""))</f>
        <v/>
      </c>
      <c r="DF403" s="149" t="str">
        <f aca="false">IF(ISNUMBER($DE403),RANK($DE403,$DE$9:$DE$508,1),"")</f>
        <v/>
      </c>
      <c r="DG403" s="149" t="str">
        <f aca="false">IF(ISBLANK($C403),"",$B403)</f>
        <v/>
      </c>
      <c r="DH403" s="149" t="str">
        <f aca="false">IF(ISBLANK($C403),"",$C403)</f>
        <v/>
      </c>
      <c r="DI403" s="149" t="str">
        <f aca="false">IF(ISBLANK($C403),"",$D403)</f>
        <v/>
      </c>
      <c r="DJ403" s="150" t="str">
        <f aca="false">$CX403</f>
        <v/>
      </c>
      <c r="DK403" s="151" t="str">
        <f aca="false">$CW403</f>
        <v/>
      </c>
      <c r="DL403" s="149" t="str">
        <f aca="false">IF(ISBLANK($C403),"",$CZ403)</f>
        <v/>
      </c>
      <c r="DM403" s="152" t="str">
        <f aca="false">IF($DD403&gt;$DC$8,"",VLOOKUP($DD403,$DF$9:$DL$508,7,FALSE()))</f>
        <v/>
      </c>
      <c r="DN403" s="153" t="str">
        <f aca="false">IF($DD403&gt;$DC$8,"",VLOOKUP($DD403,$DF$9:$DL$508,2,FALSE()))</f>
        <v/>
      </c>
      <c r="DO403" s="153" t="str">
        <f aca="false">IF($DD403&gt;$DC$8,"",VLOOKUP($DD403,$DF$9:$DL$508,3,FALSE()))</f>
        <v/>
      </c>
      <c r="DP403" s="153" t="str">
        <f aca="false">IF($DD403&gt;$DC$8,"",VLOOKUP($DD403,$DF$9:$DL$508,4,FALSE()))</f>
        <v/>
      </c>
      <c r="DQ403" s="153" t="str">
        <f aca="false">IF($DD403&gt;$DC$8,"",VLOOKUP($DD403,$DF$9:$DL$508,5,FALSE()))</f>
        <v/>
      </c>
      <c r="DR403" s="154" t="str">
        <f aca="false">IF($DD403&gt;$DC$8,"",VLOOKUP($DD403,$DF$9:$DL$508,6,FALSE()))</f>
        <v/>
      </c>
      <c r="DS403" s="76"/>
    </row>
    <row r="404" customFormat="false" ht="15.75" hidden="false" customHeight="false" outlineLevel="0" collapsed="false">
      <c r="A404" s="9"/>
      <c r="B404" s="160"/>
      <c r="C404" s="161"/>
      <c r="D404" s="162"/>
      <c r="E404" s="180"/>
      <c r="F404" s="164"/>
      <c r="G404" s="165"/>
      <c r="H404" s="165"/>
      <c r="I404" s="181"/>
      <c r="J404" s="168"/>
      <c r="K404" s="128"/>
      <c r="L404" s="129"/>
      <c r="M404" s="130"/>
      <c r="N404" s="168"/>
      <c r="O404" s="168"/>
      <c r="P404" s="180"/>
      <c r="Q404" s="168"/>
      <c r="R404" s="168"/>
      <c r="S404" s="128"/>
      <c r="T404" s="130"/>
      <c r="U404" s="130"/>
      <c r="V404" s="168"/>
      <c r="W404" s="168"/>
      <c r="X404" s="180"/>
      <c r="Y404" s="168"/>
      <c r="Z404" s="169"/>
      <c r="AA404" s="168"/>
      <c r="AB404" s="134"/>
      <c r="AC404" s="135"/>
      <c r="AD404" s="135"/>
      <c r="AE404" s="135"/>
      <c r="AF404" s="135" t="str">
        <f aca="false">IF(ISBLANK($C404),"",IF(E404=Constants!$B$2,TRUE(),IF(E404=Constants!$B$3,FALSE(),TRUE())))</f>
        <v/>
      </c>
      <c r="AG404" s="135" t="str">
        <f aca="false">IF(ISBLANK($C404),"",IF(F404=Constants!$B$2,TRUE(),IF(F404=Constants!$B$3,FALSE(),TRUE())))</f>
        <v/>
      </c>
      <c r="AH404" s="135" t="str">
        <f aca="false">IF(ISBLANK($C404),"",IF(G404=Constants!$B$2,TRUE(),IF(G404=Constants!$B$3,FALSE(),TRUE())))</f>
        <v/>
      </c>
      <c r="AI404" s="135" t="str">
        <f aca="false">IF(ISBLANK($C404),"",IF(AND(ISNUMBER(H404),H404&gt;=0),H404,Constants!$B$24))</f>
        <v/>
      </c>
      <c r="AJ404" s="135" t="str">
        <f aca="false">IF(ISBLANK($C404),"",IF(I404=Constants!$B$2,TRUE(),IF(I404=Constants!$B$3,FALSE(),TRUE())))</f>
        <v/>
      </c>
      <c r="AK404" s="135" t="str">
        <f aca="false">IF(ISBLANK($C404),"",IF(J404=Constants!$B$2,TRUE(),IF(J404=Constants!$B$3,FALSE(),TRUE())))</f>
        <v/>
      </c>
      <c r="AL404" s="135" t="str">
        <f aca="false">IF(ISBLANK($C404),"",IF(K404=Constants!$B$4,TRUE(),IF(K404=Constants!$B$5,FALSE(),COUNTA(L404:P404)&gt;0)))</f>
        <v/>
      </c>
      <c r="AM404" s="136" t="str">
        <f aca="false">IF(ISBLANK($C404),"",IF(ISNUMBER(L404),IF(L404&gt;=0,L404,""),""))</f>
        <v/>
      </c>
      <c r="AN404" s="137" t="str">
        <f aca="false">IF(ISBLANK($C404),"",IF(ISNUMBER(M404),IF(M404&gt;=0,M404,""),""))</f>
        <v/>
      </c>
      <c r="AO404" s="137" t="str">
        <f aca="false">IF(ISBLANK($C404),"",IF(N404=Constants!$B$2,TRUE(),IF(N404=Constants!$B$3,FALSE(),TRUE())))</f>
        <v/>
      </c>
      <c r="AP404" s="135" t="str">
        <f aca="false">IF(ISBLANK($C404),"",IF(ISNUMBER(O404),IF(O404&gt;=0,O404,""),""))</f>
        <v/>
      </c>
      <c r="AQ404" s="135" t="str">
        <f aca="false">IF(ISBLANK($C404),"",IF(P404=Constants!$B$2,TRUE(),IF(P404=Constants!$B$3,FALSE(),FALSE())))</f>
        <v/>
      </c>
      <c r="AR404" s="135" t="str">
        <f aca="false">IF(ISBLANK($C404),"",IF(Q404=Constants!$B$2,TRUE(),IF(Q404=Constants!$B$3,FALSE(),TRUE())))</f>
        <v/>
      </c>
      <c r="AS404" s="135" t="str">
        <f aca="false">IF(ISBLANK($C404),"",IF(R404=Constants!$B$2,TRUE(),IF(R404=Constants!$B$3,FALSE(),TRUE())))</f>
        <v/>
      </c>
      <c r="AT404" s="135" t="str">
        <f aca="false">IF(ISBLANK($C404),"",IF(S404=Constants!$B$4,TRUE(),IF(S404=Constants!$B$5,FALSE(),COUNTA(T404:X404)&gt;0)))</f>
        <v/>
      </c>
      <c r="AU404" s="136" t="str">
        <f aca="false">IF(ISBLANK($C404),"",IF(ISNUMBER(T404),IF(T404&gt;=0,T404,""),""))</f>
        <v/>
      </c>
      <c r="AV404" s="137" t="str">
        <f aca="false">IF(ISBLANK($C404),"",IF(ISNUMBER(U404),IF(U404&gt;=0,U404,""),""))</f>
        <v/>
      </c>
      <c r="AW404" s="137" t="str">
        <f aca="false">IF(ISBLANK($C404),"",IF(V404=Constants!$B$2,TRUE(),IF(V404=Constants!$B$3,FALSE(),TRUE())))</f>
        <v/>
      </c>
      <c r="AX404" s="135" t="str">
        <f aca="false">IF(ISBLANK($C404),"",IF(ISNUMBER(W404),IF(W404&gt;=0,W404,""),""))</f>
        <v/>
      </c>
      <c r="AY404" s="135" t="str">
        <f aca="false">IF(ISBLANK($C404),"",IF(X404=Constants!$B$2,TRUE(),IF(X404=Constants!$B$3,FALSE(),FALSE())))</f>
        <v/>
      </c>
      <c r="AZ404" s="135" t="str">
        <f aca="false">IF(ISBLANK($C404),"",MIN(Constants!$B$25,MAX(0,IF(ISNUMBER(Y404),Y404*60,0)+IF(ISNUMBER(Z404),Z404,0))))</f>
        <v/>
      </c>
      <c r="BA404" s="135" t="str">
        <f aca="false">IF(ISBLANK($C404),"",IF(AA404=Constants!$B$2,TRUE(),IF(AA404=Constants!$B$3,FALSE(),FALSE())))</f>
        <v/>
      </c>
      <c r="BB404" s="134" t="str">
        <f aca="false">IF(ISBLANK($C404),"",AND($AL404,OR($AM404="",$AN404="",AND($AO404,$AP404=""))))</f>
        <v/>
      </c>
      <c r="BC404" s="137" t="str">
        <f aca="false">IF($BX404&lt;&gt;Constants!$B$6,"",IF($AL404,Constants!$B$17*$AN404+Constants!$B$18*IF($AO404,$AP404,Constants!$B$19),Constants!$B$20))</f>
        <v/>
      </c>
      <c r="BD404" s="138" t="str">
        <f aca="false">IF($BX404&lt;&gt;Constants!$B$6,"",Constants!$B$21*ABS($AD$9-IF($AL404,$AM404,0)))</f>
        <v/>
      </c>
      <c r="BE404" s="138" t="str">
        <f aca="false">IF($BX404&lt;&gt;Constants!$B$6,"",IF(AND($AL404,$AQ404,$AO404),Constants!$B$22,0))</f>
        <v/>
      </c>
      <c r="BF404" s="138" t="str">
        <f aca="false">IF($BX404&lt;&gt;Constants!$B$6,"",IF($AL404,($AI404-Constants!$B$24)*Constants!$B$23,0))</f>
        <v/>
      </c>
      <c r="BG404" s="138" t="str">
        <f aca="false">IF($BX404&lt;&gt;Constants!$B$6,"",IF($AK404,0,Constants!$B$12)+IF($AJ404,0,Constants!$B$13)+IF($AH404,0,Constants!$B$14))</f>
        <v/>
      </c>
      <c r="BH404" s="139" t="str">
        <f aca="false">IF($BX404&lt;&gt;Constants!$B$6,"",Constants!$B$16+SUM($BC404:$BG404))</f>
        <v/>
      </c>
      <c r="BI404" s="138" t="str">
        <f aca="false">IF($BX404&lt;&gt;Constants!$B$6,"",$BC404)</f>
        <v/>
      </c>
      <c r="BJ404" s="138" t="str">
        <f aca="false">IF($BX404&lt;&gt;Constants!$B$6,"",$BD404)</f>
        <v/>
      </c>
      <c r="BK404" s="140" t="str">
        <f aca="false">IF($BX404&lt;&gt;Constants!$B$6,"",IF($AL404,$AN404,""))</f>
        <v/>
      </c>
      <c r="BL404" s="135" t="str">
        <f aca="false">IF($BX404&lt;&gt;Constants!$B$6,"",IF(OR($BS404&lt;$BH404,AND($BS404=$BH404,OR($BT404&lt;$BI404,AND($BT404=$BI404,OR($BU404&lt;$BJ404,AND($BU404=$BJ404,AND(ISNUMBER($BV404),OR(NOT(ISNUMBER($BK404)),$BV404&lt;$BK404)))))))),"-&gt;","&lt;-"))</f>
        <v/>
      </c>
      <c r="BM404" s="134" t="str">
        <f aca="false">IF(ISBLANK($C404),"",AND($AT404,OR($AU404="",$AV404="",AND($AW404,$AX404=""))))</f>
        <v/>
      </c>
      <c r="BN404" s="137" t="str">
        <f aca="false">IF($BX404&lt;&gt;Constants!$B$6,"",IF($AT404,Constants!$B$17*$AV404+Constants!$B$18*IF($AW404,$AX404,Constants!$B$19),Constants!$B$20))</f>
        <v/>
      </c>
      <c r="BO404" s="138" t="str">
        <f aca="false">IF($BX404&lt;&gt;Constants!$B$6,"",Constants!$B$21*ABS($AD$9-IF($AT404,$AU404,0)))</f>
        <v/>
      </c>
      <c r="BP404" s="138" t="str">
        <f aca="false">IF($BX404&lt;&gt;Constants!$B$6,"",IF(AND($AT404,$AY404,$AW404),Constants!$B$22,0))</f>
        <v/>
      </c>
      <c r="BQ404" s="138" t="str">
        <f aca="false">IF($BX404&lt;&gt;Constants!$B$6,"",IF($AT404,($AI404-Constants!$B$24)*Constants!$B$23,0))</f>
        <v/>
      </c>
      <c r="BR404" s="138" t="str">
        <f aca="false">IF($BX404&lt;&gt;Constants!$B$6,"",IF($AS404,0,Constants!$B$12)+IF($AR404,0,Constants!$B$13)+IF($AH404,0,Constants!$B$14))</f>
        <v/>
      </c>
      <c r="BS404" s="139" t="str">
        <f aca="false">IF($BX404&lt;&gt;Constants!$B$6,"",Constants!$B$16+SUM($BN404:$BR404))</f>
        <v/>
      </c>
      <c r="BT404" s="138" t="str">
        <f aca="false">IF($BX404&lt;&gt;Constants!$B$6,"",$BN404)</f>
        <v/>
      </c>
      <c r="BU404" s="138" t="str">
        <f aca="false">IF($BX404&lt;&gt;Constants!$B$6,"",$BO404)</f>
        <v/>
      </c>
      <c r="BV404" s="140" t="str">
        <f aca="false">IF($BX404&lt;&gt;Constants!$B$6,"",IF($AT404,$AV404,""))</f>
        <v/>
      </c>
      <c r="BW404" s="135" t="str">
        <f aca="false">IF(ISBLANK($C404),"",IF(ISBLANK($D$7),$BW$5,IF(NOT(ISNUMBER($D$7)),$BW$6,"")))</f>
        <v/>
      </c>
      <c r="BX404" s="135" t="str">
        <f aca="false">IF(ISBLANK($C404),"",IF($BA404,Constants!$B$9,IF(COUNTA($E404:$AA404)=0,Constants!$B$8,IF(NOT($AG404),Constants!$B$7,IF(OR($BW404&lt;&gt;"",$BB404,$BM404),Constants!$B$10,Constants!$B$6)))))</f>
        <v/>
      </c>
      <c r="BY404" s="135" t="str">
        <f aca="false">IF(ISBLANK($C404),"",IF($BX404&lt;&gt;Constants!$B$6,$BX404,Constants!$B$11))</f>
        <v/>
      </c>
      <c r="BZ404" s="138" t="str">
        <f aca="false">IF($BX404&lt;&gt;Constants!$B$6,"",IF($BL404="-&gt;",$BS404,$BH404))</f>
        <v/>
      </c>
      <c r="CA404" s="138" t="str">
        <f aca="false">IF($BX404&lt;&gt;Constants!$B$6,"",IF($AF404,0,Constants!$B$15))</f>
        <v/>
      </c>
      <c r="CB404" s="138" t="str">
        <f aca="false">IF($BX404&lt;&gt;Constants!$B$6,"",((Constants!$B$25-$AZ404)-Constants!$B$25)/Constants!$B$26)</f>
        <v/>
      </c>
      <c r="CC404" s="138" t="str">
        <f aca="false">IF(ISBLANK($C404),"",IF($BX404&lt;&gt;Constants!$B$6,$BX404,SUM($BZ404:$CB404)))</f>
        <v/>
      </c>
      <c r="CD404" s="135" t="str">
        <f aca="false">IF(ISBLANK($C404),"",IF($BX404&lt;&gt;Constants!$B$6,$BX404,RANK($CC404,$CC$9:$CC$508,1)))</f>
        <v/>
      </c>
      <c r="CE404" s="138" t="str">
        <f aca="false">IF($BX404&lt;&gt;Constants!$B$6,"",IF($BL404="-&gt;",$BT404,$BI404))</f>
        <v/>
      </c>
      <c r="CF404" s="135" t="str">
        <f aca="false">IF(ISBLANK($C404),"",IF($BX404&lt;&gt;Constants!$B$6,$BX404,IF(ISNUMBER($CE404),RANK($CE404,$CE$9:$CE$508,1),COUNT($CE$9:$CE$508)+1)))</f>
        <v/>
      </c>
      <c r="CG404" s="138" t="str">
        <f aca="false">IF($BX404&lt;&gt;Constants!$B$6,"",IF($BL404="-&gt;",$BU404,$BJ404))</f>
        <v/>
      </c>
      <c r="CH404" s="135" t="str">
        <f aca="false">IF(ISBLANK($C404),"",IF($BX404&lt;&gt;Constants!$B$6,$BX404,IF(ISNUMBER($CG404),RANK($CG404,$CG$9:$CG$508,1),COUNT($CG$9:$CG$508)+1)))</f>
        <v/>
      </c>
      <c r="CI404" s="138" t="str">
        <f aca="false">IF($BX404&lt;&gt;Constants!$B$6,"",IF($BL404="-&gt;",$BV404,$BK404))</f>
        <v/>
      </c>
      <c r="CJ404" s="135" t="str">
        <f aca="false">IF(ISBLANK($C404),"",IF($BX404&lt;&gt;Constants!$B$6,$BX404,IF(ISNUMBER($CI404),RANK($CI404,$CI$9:$CI$508,1),COUNT($CI$9:$CI$508)+1)))</f>
        <v/>
      </c>
      <c r="CK404" s="138" t="str">
        <f aca="false">IF($BX404&lt;&gt;Constants!$B$6,"",$AI404)</f>
        <v/>
      </c>
      <c r="CL404" s="135" t="str">
        <f aca="false">IF(ISBLANK($C404),"",IF($BX404&lt;&gt;Constants!$B$6,$BX404,IF(ISNUMBER($CK404),RANK($CK404,$CK$9:$CK$508,1),COUNT($CK$9:$CK$508)+1)))</f>
        <v/>
      </c>
      <c r="CM404" s="135" t="str">
        <f aca="false">IF(ISBLANK($C404),"",IF($BX404&lt;&gt;Constants!$B$6,$BX404,COUNTIFS($CD$9:$CD$508,"&lt;"&amp;$CD404)+COUNTIFS($CD$9:$CD$508,$CD404,$CF$9:$CF$508,"&lt;"&amp;$CF404)+COUNTIFS($CD$9:$CD$508,$CD404,$CF$9:$CF$508,$CF404,$CH$9:$CH$508,"&lt;"&amp;$CH404)+COUNTIFS($CD$9:$CD$508,$CD404,$CF$9:$CF$508,$CF404,$CH$9:$CH$508,$CH404,$CJ$9:$CJ$508,"&lt;"&amp;$CJ404)+COUNTIFS($CD$9:$CD$508,$CD404,$CF$9:$CF$508,$CF404,$CH$9:$CH$508,$CH404,$CJ$9:$CJ$508,$CJ404,$CL$9:$CL$508,"&lt;"&amp;$CL404)+1))</f>
        <v/>
      </c>
      <c r="CN404" s="135" t="str">
        <f aca="false">IF(ISBLANK($C404),"",IF($BX404&lt;&gt;Constants!$B$6,$BX404,$CD404-$CM404))</f>
        <v/>
      </c>
      <c r="CO404" s="141"/>
      <c r="CP404" s="142"/>
      <c r="CQ404" s="143" t="str">
        <f aca="false">IF(ISBLANK($C404),"",IF($BX404=Constants!$B$10,$BW404,""))</f>
        <v/>
      </c>
      <c r="CR404" s="142" t="str">
        <f aca="false">IF(ISBLANK($C404),"",IF($BX404&lt;&gt;Constants!$B$6,"",IF($BL404="-&gt;",2,1)))</f>
        <v/>
      </c>
      <c r="CS404" s="144" t="str">
        <f aca="false">IF(ISBLANK($C404),"",IF($BX404&lt;&gt;Constants!$B$6,"",IF($BL404="-&gt;",$BN404,$BC404)))</f>
        <v/>
      </c>
      <c r="CT404" s="144" t="str">
        <f aca="false">IF(ISBLANK($C404),"",IF($BX404&lt;&gt;Constants!$B$6,"",IF($BL404="-&gt;",$BO404,$BD404)))</f>
        <v/>
      </c>
      <c r="CU404" s="144" t="str">
        <f aca="false">IF(ISBLANK($C404),"",IF($BX404&lt;&gt;Constants!$B$6,"",IF($BL404="-&gt;",$BP404+$BQ404,$BE404+$BF404)+$CB404))</f>
        <v/>
      </c>
      <c r="CV404" s="144" t="str">
        <f aca="false">IF(ISBLANK($C404),"",IF($BX404&lt;&gt;Constants!$B$6,"",IF($BL404="-&gt;",$BR404,$BG404)+$CA404))</f>
        <v/>
      </c>
      <c r="CW404" s="145" t="str">
        <f aca="false">IF(ISBLANK($C404),"",IF($BX404&lt;&gt;Constants!$B$6,$BX404,$CC404))</f>
        <v/>
      </c>
      <c r="CX404" s="146" t="str">
        <f aca="false">IF(ISBLANK($C404),"",$BY404)</f>
        <v/>
      </c>
      <c r="CY404" s="147" t="str">
        <f aca="false">IF(ISBLANK($C404),"",$CN404)</f>
        <v/>
      </c>
      <c r="CZ404" s="147" t="str">
        <f aca="false">IF(ISBLANK($C404),"",$CM404)</f>
        <v/>
      </c>
      <c r="DA404" s="148" t="str">
        <f aca="false">IF(ISBLANK($C404),"",IFERROR(_xlfn.SWITCH($CZ404,Constants!$B$9,COUNTA($C$9:$C$508)+2,Constants!$B$8,COUNTA($C$9:$C$508)+1,Constants!$B$7,COUNTA($C$9:$C$508)),$CZ404))</f>
        <v/>
      </c>
      <c r="DB404" s="9"/>
      <c r="DC404" s="149" t="n">
        <f aca="false">IF(OR(ISNUMBER($CZ404),$CZ404=Constants!$B$9,$CZ404=Constants!$B$7,$CZ404=Constants!$B$8),1,0)</f>
        <v>0</v>
      </c>
      <c r="DD404" s="149" t="n">
        <v>396</v>
      </c>
      <c r="DE404" s="149" t="str">
        <f aca="false">IF(ISBLANK($C404),"",IF(ISNUMBER($DA404),$DA404+ROW($B404)/1000,""))</f>
        <v/>
      </c>
      <c r="DF404" s="149" t="str">
        <f aca="false">IF(ISNUMBER($DE404),RANK($DE404,$DE$9:$DE$508,1),"")</f>
        <v/>
      </c>
      <c r="DG404" s="149" t="str">
        <f aca="false">IF(ISBLANK($C404),"",$B404)</f>
        <v/>
      </c>
      <c r="DH404" s="149" t="str">
        <f aca="false">IF(ISBLANK($C404),"",$C404)</f>
        <v/>
      </c>
      <c r="DI404" s="149" t="str">
        <f aca="false">IF(ISBLANK($C404),"",$D404)</f>
        <v/>
      </c>
      <c r="DJ404" s="150" t="str">
        <f aca="false">$CX404</f>
        <v/>
      </c>
      <c r="DK404" s="151" t="str">
        <f aca="false">$CW404</f>
        <v/>
      </c>
      <c r="DL404" s="149" t="str">
        <f aca="false">IF(ISBLANK($C404),"",$CZ404)</f>
        <v/>
      </c>
      <c r="DM404" s="152" t="str">
        <f aca="false">IF($DD404&gt;$DC$8,"",VLOOKUP($DD404,$DF$9:$DL$508,7,FALSE()))</f>
        <v/>
      </c>
      <c r="DN404" s="153" t="str">
        <f aca="false">IF($DD404&gt;$DC$8,"",VLOOKUP($DD404,$DF$9:$DL$508,2,FALSE()))</f>
        <v/>
      </c>
      <c r="DO404" s="153" t="str">
        <f aca="false">IF($DD404&gt;$DC$8,"",VLOOKUP($DD404,$DF$9:$DL$508,3,FALSE()))</f>
        <v/>
      </c>
      <c r="DP404" s="153" t="str">
        <f aca="false">IF($DD404&gt;$DC$8,"",VLOOKUP($DD404,$DF$9:$DL$508,4,FALSE()))</f>
        <v/>
      </c>
      <c r="DQ404" s="153" t="str">
        <f aca="false">IF($DD404&gt;$DC$8,"",VLOOKUP($DD404,$DF$9:$DL$508,5,FALSE()))</f>
        <v/>
      </c>
      <c r="DR404" s="154" t="str">
        <f aca="false">IF($DD404&gt;$DC$8,"",VLOOKUP($DD404,$DF$9:$DL$508,6,FALSE()))</f>
        <v/>
      </c>
      <c r="DS404" s="76"/>
    </row>
    <row r="405" customFormat="false" ht="15.75" hidden="false" customHeight="false" outlineLevel="0" collapsed="false">
      <c r="A405" s="9"/>
      <c r="B405" s="78"/>
      <c r="C405" s="79"/>
      <c r="D405" s="170"/>
      <c r="E405" s="178"/>
      <c r="F405" s="172"/>
      <c r="G405" s="173"/>
      <c r="H405" s="173"/>
      <c r="I405" s="179"/>
      <c r="J405" s="176"/>
      <c r="K405" s="86"/>
      <c r="L405" s="87"/>
      <c r="M405" s="88"/>
      <c r="N405" s="176"/>
      <c r="O405" s="176"/>
      <c r="P405" s="178"/>
      <c r="Q405" s="176"/>
      <c r="R405" s="176"/>
      <c r="S405" s="86"/>
      <c r="T405" s="88"/>
      <c r="U405" s="88"/>
      <c r="V405" s="176"/>
      <c r="W405" s="176"/>
      <c r="X405" s="178"/>
      <c r="Y405" s="176"/>
      <c r="Z405" s="177"/>
      <c r="AA405" s="176"/>
      <c r="AB405" s="92"/>
      <c r="AC405" s="93"/>
      <c r="AD405" s="93"/>
      <c r="AE405" s="93"/>
      <c r="AF405" s="93" t="str">
        <f aca="false">IF(ISBLANK($C405),"",IF(E405=Constants!$B$2,TRUE(),IF(E405=Constants!$B$3,FALSE(),TRUE())))</f>
        <v/>
      </c>
      <c r="AG405" s="93" t="str">
        <f aca="false">IF(ISBLANK($C405),"",IF(F405=Constants!$B$2,TRUE(),IF(F405=Constants!$B$3,FALSE(),TRUE())))</f>
        <v/>
      </c>
      <c r="AH405" s="93" t="str">
        <f aca="false">IF(ISBLANK($C405),"",IF(G405=Constants!$B$2,TRUE(),IF(G405=Constants!$B$3,FALSE(),TRUE())))</f>
        <v/>
      </c>
      <c r="AI405" s="93" t="str">
        <f aca="false">IF(ISBLANK($C405),"",IF(AND(ISNUMBER(H405),H405&gt;=0),H405,Constants!$B$24))</f>
        <v/>
      </c>
      <c r="AJ405" s="93" t="str">
        <f aca="false">IF(ISBLANK($C405),"",IF(I405=Constants!$B$2,TRUE(),IF(I405=Constants!$B$3,FALSE(),TRUE())))</f>
        <v/>
      </c>
      <c r="AK405" s="93" t="str">
        <f aca="false">IF(ISBLANK($C405),"",IF(J405=Constants!$B$2,TRUE(),IF(J405=Constants!$B$3,FALSE(),TRUE())))</f>
        <v/>
      </c>
      <c r="AL405" s="93" t="str">
        <f aca="false">IF(ISBLANK($C405),"",IF(K405=Constants!$B$4,TRUE(),IF(K405=Constants!$B$5,FALSE(),COUNTA(L405:P405)&gt;0)))</f>
        <v/>
      </c>
      <c r="AM405" s="95" t="str">
        <f aca="false">IF(ISBLANK($C405),"",IF(ISNUMBER(L405),IF(L405&gt;=0,L405,""),""))</f>
        <v/>
      </c>
      <c r="AN405" s="94" t="str">
        <f aca="false">IF(ISBLANK($C405),"",IF(ISNUMBER(M405),IF(M405&gt;=0,M405,""),""))</f>
        <v/>
      </c>
      <c r="AO405" s="94" t="str">
        <f aca="false">IF(ISBLANK($C405),"",IF(N405=Constants!$B$2,TRUE(),IF(N405=Constants!$B$3,FALSE(),TRUE())))</f>
        <v/>
      </c>
      <c r="AP405" s="93" t="str">
        <f aca="false">IF(ISBLANK($C405),"",IF(ISNUMBER(O405),IF(O405&gt;=0,O405,""),""))</f>
        <v/>
      </c>
      <c r="AQ405" s="93" t="str">
        <f aca="false">IF(ISBLANK($C405),"",IF(P405=Constants!$B$2,TRUE(),IF(P405=Constants!$B$3,FALSE(),FALSE())))</f>
        <v/>
      </c>
      <c r="AR405" s="93" t="str">
        <f aca="false">IF(ISBLANK($C405),"",IF(Q405=Constants!$B$2,TRUE(),IF(Q405=Constants!$B$3,FALSE(),TRUE())))</f>
        <v/>
      </c>
      <c r="AS405" s="93" t="str">
        <f aca="false">IF(ISBLANK($C405),"",IF(R405=Constants!$B$2,TRUE(),IF(R405=Constants!$B$3,FALSE(),TRUE())))</f>
        <v/>
      </c>
      <c r="AT405" s="93" t="str">
        <f aca="false">IF(ISBLANK($C405),"",IF(S405=Constants!$B$4,TRUE(),IF(S405=Constants!$B$5,FALSE(),COUNTA(T405:X405)&gt;0)))</f>
        <v/>
      </c>
      <c r="AU405" s="95" t="str">
        <f aca="false">IF(ISBLANK($C405),"",IF(ISNUMBER(T405),IF(T405&gt;=0,T405,""),""))</f>
        <v/>
      </c>
      <c r="AV405" s="94" t="str">
        <f aca="false">IF(ISBLANK($C405),"",IF(ISNUMBER(U405),IF(U405&gt;=0,U405,""),""))</f>
        <v/>
      </c>
      <c r="AW405" s="94" t="str">
        <f aca="false">IF(ISBLANK($C405),"",IF(V405=Constants!$B$2,TRUE(),IF(V405=Constants!$B$3,FALSE(),TRUE())))</f>
        <v/>
      </c>
      <c r="AX405" s="93" t="str">
        <f aca="false">IF(ISBLANK($C405),"",IF(ISNUMBER(W405),IF(W405&gt;=0,W405,""),""))</f>
        <v/>
      </c>
      <c r="AY405" s="93" t="str">
        <f aca="false">IF(ISBLANK($C405),"",IF(X405=Constants!$B$2,TRUE(),IF(X405=Constants!$B$3,FALSE(),FALSE())))</f>
        <v/>
      </c>
      <c r="AZ405" s="93" t="str">
        <f aca="false">IF(ISBLANK($C405),"",MIN(Constants!$B$25,MAX(0,IF(ISNUMBER(Y405),Y405*60,0)+IF(ISNUMBER(Z405),Z405,0))))</f>
        <v/>
      </c>
      <c r="BA405" s="93" t="str">
        <f aca="false">IF(ISBLANK($C405),"",IF(AA405=Constants!$B$2,TRUE(),IF(AA405=Constants!$B$3,FALSE(),FALSE())))</f>
        <v/>
      </c>
      <c r="BB405" s="92" t="str">
        <f aca="false">IF(ISBLANK($C405),"",AND($AL405,OR($AM405="",$AN405="",AND($AO405,$AP405=""))))</f>
        <v/>
      </c>
      <c r="BC405" s="94" t="str">
        <f aca="false">IF($BX405&lt;&gt;Constants!$B$6,"",IF($AL405,Constants!$B$17*$AN405+Constants!$B$18*IF($AO405,$AP405,Constants!$B$19),Constants!$B$20))</f>
        <v/>
      </c>
      <c r="BD405" s="97" t="str">
        <f aca="false">IF($BX405&lt;&gt;Constants!$B$6,"",Constants!$B$21*ABS($AD$9-IF($AL405,$AM405,0)))</f>
        <v/>
      </c>
      <c r="BE405" s="97" t="str">
        <f aca="false">IF($BX405&lt;&gt;Constants!$B$6,"",IF(AND($AL405,$AQ405,$AO405),Constants!$B$22,0))</f>
        <v/>
      </c>
      <c r="BF405" s="97" t="str">
        <f aca="false">IF($BX405&lt;&gt;Constants!$B$6,"",IF($AL405,($AI405-Constants!$B$24)*Constants!$B$23,0))</f>
        <v/>
      </c>
      <c r="BG405" s="97" t="str">
        <f aca="false">IF($BX405&lt;&gt;Constants!$B$6,"",IF($AK405,0,Constants!$B$12)+IF($AJ405,0,Constants!$B$13)+IF($AH405,0,Constants!$B$14))</f>
        <v/>
      </c>
      <c r="BH405" s="98" t="str">
        <f aca="false">IF($BX405&lt;&gt;Constants!$B$6,"",Constants!$B$16+SUM($BC405:$BG405))</f>
        <v/>
      </c>
      <c r="BI405" s="97" t="str">
        <f aca="false">IF($BX405&lt;&gt;Constants!$B$6,"",$BC405)</f>
        <v/>
      </c>
      <c r="BJ405" s="97" t="str">
        <f aca="false">IF($BX405&lt;&gt;Constants!$B$6,"",$BD405)</f>
        <v/>
      </c>
      <c r="BK405" s="99" t="str">
        <f aca="false">IF($BX405&lt;&gt;Constants!$B$6,"",IF($AL405,$AN405,""))</f>
        <v/>
      </c>
      <c r="BL405" s="93" t="str">
        <f aca="false">IF($BX405&lt;&gt;Constants!$B$6,"",IF(OR($BS405&lt;$BH405,AND($BS405=$BH405,OR($BT405&lt;$BI405,AND($BT405=$BI405,OR($BU405&lt;$BJ405,AND($BU405=$BJ405,AND(ISNUMBER($BV405),OR(NOT(ISNUMBER($BK405)),$BV405&lt;$BK405)))))))),"-&gt;","&lt;-"))</f>
        <v/>
      </c>
      <c r="BM405" s="92" t="str">
        <f aca="false">IF(ISBLANK($C405),"",AND($AT405,OR($AU405="",$AV405="",AND($AW405,$AX405=""))))</f>
        <v/>
      </c>
      <c r="BN405" s="94" t="str">
        <f aca="false">IF($BX405&lt;&gt;Constants!$B$6,"",IF($AT405,Constants!$B$17*$AV405+Constants!$B$18*IF($AW405,$AX405,Constants!$B$19),Constants!$B$20))</f>
        <v/>
      </c>
      <c r="BO405" s="97" t="str">
        <f aca="false">IF($BX405&lt;&gt;Constants!$B$6,"",Constants!$B$21*ABS($AD$9-IF($AT405,$AU405,0)))</f>
        <v/>
      </c>
      <c r="BP405" s="97" t="str">
        <f aca="false">IF($BX405&lt;&gt;Constants!$B$6,"",IF(AND($AT405,$AY405,$AW405),Constants!$B$22,0))</f>
        <v/>
      </c>
      <c r="BQ405" s="97" t="str">
        <f aca="false">IF($BX405&lt;&gt;Constants!$B$6,"",IF($AT405,($AI405-Constants!$B$24)*Constants!$B$23,0))</f>
        <v/>
      </c>
      <c r="BR405" s="97" t="str">
        <f aca="false">IF($BX405&lt;&gt;Constants!$B$6,"",IF($AS405,0,Constants!$B$12)+IF($AR405,0,Constants!$B$13)+IF($AH405,0,Constants!$B$14))</f>
        <v/>
      </c>
      <c r="BS405" s="98" t="str">
        <f aca="false">IF($BX405&lt;&gt;Constants!$B$6,"",Constants!$B$16+SUM($BN405:$BR405))</f>
        <v/>
      </c>
      <c r="BT405" s="97" t="str">
        <f aca="false">IF($BX405&lt;&gt;Constants!$B$6,"",$BN405)</f>
        <v/>
      </c>
      <c r="BU405" s="97" t="str">
        <f aca="false">IF($BX405&lt;&gt;Constants!$B$6,"",$BO405)</f>
        <v/>
      </c>
      <c r="BV405" s="99" t="str">
        <f aca="false">IF($BX405&lt;&gt;Constants!$B$6,"",IF($AT405,$AV405,""))</f>
        <v/>
      </c>
      <c r="BW405" s="93" t="str">
        <f aca="false">IF(ISBLANK($C405),"",IF(ISBLANK($D$7),$BW$5,IF(NOT(ISNUMBER($D$7)),$BW$6,"")))</f>
        <v/>
      </c>
      <c r="BX405" s="93" t="str">
        <f aca="false">IF(ISBLANK($C405),"",IF($BA405,Constants!$B$9,IF(COUNTA($E405:$AA405)=0,Constants!$B$8,IF(NOT($AG405),Constants!$B$7,IF(OR($BW405&lt;&gt;"",$BB405,$BM405),Constants!$B$10,Constants!$B$6)))))</f>
        <v/>
      </c>
      <c r="BY405" s="93" t="str">
        <f aca="false">IF(ISBLANK($C405),"",IF($BX405&lt;&gt;Constants!$B$6,$BX405,Constants!$B$11))</f>
        <v/>
      </c>
      <c r="BZ405" s="97" t="str">
        <f aca="false">IF($BX405&lt;&gt;Constants!$B$6,"",IF($BL405="-&gt;",$BS405,$BH405))</f>
        <v/>
      </c>
      <c r="CA405" s="97" t="str">
        <f aca="false">IF($BX405&lt;&gt;Constants!$B$6,"",IF($AF405,0,Constants!$B$15))</f>
        <v/>
      </c>
      <c r="CB405" s="97" t="str">
        <f aca="false">IF($BX405&lt;&gt;Constants!$B$6,"",((Constants!$B$25-$AZ405)-Constants!$B$25)/Constants!$B$26)</f>
        <v/>
      </c>
      <c r="CC405" s="97" t="str">
        <f aca="false">IF(ISBLANK($C405),"",IF($BX405&lt;&gt;Constants!$B$6,$BX405,SUM($BZ405:$CB405)))</f>
        <v/>
      </c>
      <c r="CD405" s="93" t="str">
        <f aca="false">IF(ISBLANK($C405),"",IF($BX405&lt;&gt;Constants!$B$6,$BX405,RANK($CC405,$CC$9:$CC$508,1)))</f>
        <v/>
      </c>
      <c r="CE405" s="97" t="str">
        <f aca="false">IF($BX405&lt;&gt;Constants!$B$6,"",IF($BL405="-&gt;",$BT405,$BI405))</f>
        <v/>
      </c>
      <c r="CF405" s="93" t="str">
        <f aca="false">IF(ISBLANK($C405),"",IF($BX405&lt;&gt;Constants!$B$6,$BX405,IF(ISNUMBER($CE405),RANK($CE405,$CE$9:$CE$508,1),COUNT($CE$9:$CE$508)+1)))</f>
        <v/>
      </c>
      <c r="CG405" s="97" t="str">
        <f aca="false">IF($BX405&lt;&gt;Constants!$B$6,"",IF($BL405="-&gt;",$BU405,$BJ405))</f>
        <v/>
      </c>
      <c r="CH405" s="93" t="str">
        <f aca="false">IF(ISBLANK($C405),"",IF($BX405&lt;&gt;Constants!$B$6,$BX405,IF(ISNUMBER($CG405),RANK($CG405,$CG$9:$CG$508,1),COUNT($CG$9:$CG$508)+1)))</f>
        <v/>
      </c>
      <c r="CI405" s="97" t="str">
        <f aca="false">IF($BX405&lt;&gt;Constants!$B$6,"",IF($BL405="-&gt;",$BV405,$BK405))</f>
        <v/>
      </c>
      <c r="CJ405" s="93" t="str">
        <f aca="false">IF(ISBLANK($C405),"",IF($BX405&lt;&gt;Constants!$B$6,$BX405,IF(ISNUMBER($CI405),RANK($CI405,$CI$9:$CI$508,1),COUNT($CI$9:$CI$508)+1)))</f>
        <v/>
      </c>
      <c r="CK405" s="97" t="str">
        <f aca="false">IF($BX405&lt;&gt;Constants!$B$6,"",$AI405)</f>
        <v/>
      </c>
      <c r="CL405" s="93" t="str">
        <f aca="false">IF(ISBLANK($C405),"",IF($BX405&lt;&gt;Constants!$B$6,$BX405,IF(ISNUMBER($CK405),RANK($CK405,$CK$9:$CK$508,1),COUNT($CK$9:$CK$508)+1)))</f>
        <v/>
      </c>
      <c r="CM405" s="93" t="str">
        <f aca="false">IF(ISBLANK($C405),"",IF($BX405&lt;&gt;Constants!$B$6,$BX405,COUNTIFS($CD$9:$CD$508,"&lt;"&amp;$CD405)+COUNTIFS($CD$9:$CD$508,$CD405,$CF$9:$CF$508,"&lt;"&amp;$CF405)+COUNTIFS($CD$9:$CD$508,$CD405,$CF$9:$CF$508,$CF405,$CH$9:$CH$508,"&lt;"&amp;$CH405)+COUNTIFS($CD$9:$CD$508,$CD405,$CF$9:$CF$508,$CF405,$CH$9:$CH$508,$CH405,$CJ$9:$CJ$508,"&lt;"&amp;$CJ405)+COUNTIFS($CD$9:$CD$508,$CD405,$CF$9:$CF$508,$CF405,$CH$9:$CH$508,$CH405,$CJ$9:$CJ$508,$CJ405,$CL$9:$CL$508,"&lt;"&amp;$CL405)+1))</f>
        <v/>
      </c>
      <c r="CN405" s="93" t="str">
        <f aca="false">IF(ISBLANK($C405),"",IF($BX405&lt;&gt;Constants!$B$6,$BX405,$CD405-$CM405))</f>
        <v/>
      </c>
      <c r="CO405" s="100"/>
      <c r="CP405" s="101"/>
      <c r="CQ405" s="102" t="str">
        <f aca="false">IF(ISBLANK($C405),"",IF($BX405=Constants!$B$10,$BW405,""))</f>
        <v/>
      </c>
      <c r="CR405" s="101" t="str">
        <f aca="false">IF(ISBLANK($C405),"",IF($BX405&lt;&gt;Constants!$B$6,"",IF($BL405="-&gt;",2,1)))</f>
        <v/>
      </c>
      <c r="CS405" s="103" t="str">
        <f aca="false">IF(ISBLANK($C405),"",IF($BX405&lt;&gt;Constants!$B$6,"",IF($BL405="-&gt;",$BN405,$BC405)))</f>
        <v/>
      </c>
      <c r="CT405" s="103" t="str">
        <f aca="false">IF(ISBLANK($C405),"",IF($BX405&lt;&gt;Constants!$B$6,"",IF($BL405="-&gt;",$BO405,$BD405)))</f>
        <v/>
      </c>
      <c r="CU405" s="103" t="str">
        <f aca="false">IF(ISBLANK($C405),"",IF($BX405&lt;&gt;Constants!$B$6,"",IF($BL405="-&gt;",$BP405+$BQ405,$BE405+$BF405)+$CB405))</f>
        <v/>
      </c>
      <c r="CV405" s="103" t="str">
        <f aca="false">IF(ISBLANK($C405),"",IF($BX405&lt;&gt;Constants!$B$6,"",IF($BL405="-&gt;",$BR405,$BG405)+$CA405))</f>
        <v/>
      </c>
      <c r="CW405" s="104" t="str">
        <f aca="false">IF(ISBLANK($C405),"",IF($BX405&lt;&gt;Constants!$B$6,$BX405,$CC405))</f>
        <v/>
      </c>
      <c r="CX405" s="105" t="str">
        <f aca="false">IF(ISBLANK($C405),"",$BY405)</f>
        <v/>
      </c>
      <c r="CY405" s="106" t="str">
        <f aca="false">IF(ISBLANK($C405),"",$CN405)</f>
        <v/>
      </c>
      <c r="CZ405" s="106" t="str">
        <f aca="false">IF(ISBLANK($C405),"",$CM405)</f>
        <v/>
      </c>
      <c r="DA405" s="107" t="str">
        <f aca="false">IF(ISBLANK($C405),"",IFERROR(_xlfn.SWITCH($CZ405,Constants!$B$9,COUNTA($C$9:$C$508)+2,Constants!$B$8,COUNTA($C$9:$C$508)+1,Constants!$B$7,COUNTA($C$9:$C$508)),$CZ405))</f>
        <v/>
      </c>
      <c r="DB405" s="9"/>
      <c r="DC405" s="108" t="n">
        <f aca="false">IF(OR(ISNUMBER($CZ405),$CZ405=Constants!$B$9,$CZ405=Constants!$B$7,$CZ405=Constants!$B$8),1,0)</f>
        <v>0</v>
      </c>
      <c r="DD405" s="108" t="n">
        <v>397</v>
      </c>
      <c r="DE405" s="108" t="str">
        <f aca="false">IF(ISBLANK($C405),"",IF(ISNUMBER($DA405),$DA405+ROW($B405)/1000,""))</f>
        <v/>
      </c>
      <c r="DF405" s="108" t="str">
        <f aca="false">IF(ISNUMBER($DE405),RANK($DE405,$DE$9:$DE$508,1),"")</f>
        <v/>
      </c>
      <c r="DG405" s="108" t="str">
        <f aca="false">IF(ISBLANK($C405),"",$B405)</f>
        <v/>
      </c>
      <c r="DH405" s="108" t="str">
        <f aca="false">IF(ISBLANK($C405),"",$C405)</f>
        <v/>
      </c>
      <c r="DI405" s="108" t="str">
        <f aca="false">IF(ISBLANK($C405),"",$D405)</f>
        <v/>
      </c>
      <c r="DJ405" s="109" t="str">
        <f aca="false">$CX405</f>
        <v/>
      </c>
      <c r="DK405" s="110" t="str">
        <f aca="false">$CW405</f>
        <v/>
      </c>
      <c r="DL405" s="108" t="str">
        <f aca="false">IF(ISBLANK($C405),"",$CZ405)</f>
        <v/>
      </c>
      <c r="DM405" s="111" t="str">
        <f aca="false">IF($DD405&gt;$DC$8,"",VLOOKUP($DD405,$DF$9:$DL$508,7,FALSE()))</f>
        <v/>
      </c>
      <c r="DN405" s="112" t="str">
        <f aca="false">IF($DD405&gt;$DC$8,"",VLOOKUP($DD405,$DF$9:$DL$508,2,FALSE()))</f>
        <v/>
      </c>
      <c r="DO405" s="112" t="str">
        <f aca="false">IF($DD405&gt;$DC$8,"",VLOOKUP($DD405,$DF$9:$DL$508,3,FALSE()))</f>
        <v/>
      </c>
      <c r="DP405" s="112" t="str">
        <f aca="false">IF($DD405&gt;$DC$8,"",VLOOKUP($DD405,$DF$9:$DL$508,4,FALSE()))</f>
        <v/>
      </c>
      <c r="DQ405" s="112" t="str">
        <f aca="false">IF($DD405&gt;$DC$8,"",VLOOKUP($DD405,$DF$9:$DL$508,5,FALSE()))</f>
        <v/>
      </c>
      <c r="DR405" s="113" t="str">
        <f aca="false">IF($DD405&gt;$DC$8,"",VLOOKUP($DD405,$DF$9:$DL$508,6,FALSE()))</f>
        <v/>
      </c>
      <c r="DS405" s="76"/>
    </row>
    <row r="406" customFormat="false" ht="15.75" hidden="false" customHeight="false" outlineLevel="0" collapsed="false">
      <c r="A406" s="9"/>
      <c r="B406" s="78"/>
      <c r="C406" s="79"/>
      <c r="D406" s="170"/>
      <c r="E406" s="178"/>
      <c r="F406" s="172"/>
      <c r="G406" s="173"/>
      <c r="H406" s="173"/>
      <c r="I406" s="179"/>
      <c r="J406" s="176"/>
      <c r="K406" s="86"/>
      <c r="L406" s="87"/>
      <c r="M406" s="88"/>
      <c r="N406" s="176"/>
      <c r="O406" s="176"/>
      <c r="P406" s="178"/>
      <c r="Q406" s="176"/>
      <c r="R406" s="176"/>
      <c r="S406" s="86"/>
      <c r="T406" s="88"/>
      <c r="U406" s="88"/>
      <c r="V406" s="176"/>
      <c r="W406" s="176"/>
      <c r="X406" s="178"/>
      <c r="Y406" s="176"/>
      <c r="Z406" s="177"/>
      <c r="AA406" s="176"/>
      <c r="AB406" s="92"/>
      <c r="AC406" s="93"/>
      <c r="AD406" s="93"/>
      <c r="AE406" s="93"/>
      <c r="AF406" s="93" t="str">
        <f aca="false">IF(ISBLANK($C406),"",IF(E406=Constants!$B$2,TRUE(),IF(E406=Constants!$B$3,FALSE(),TRUE())))</f>
        <v/>
      </c>
      <c r="AG406" s="93" t="str">
        <f aca="false">IF(ISBLANK($C406),"",IF(F406=Constants!$B$2,TRUE(),IF(F406=Constants!$B$3,FALSE(),TRUE())))</f>
        <v/>
      </c>
      <c r="AH406" s="93" t="str">
        <f aca="false">IF(ISBLANK($C406),"",IF(G406=Constants!$B$2,TRUE(),IF(G406=Constants!$B$3,FALSE(),TRUE())))</f>
        <v/>
      </c>
      <c r="AI406" s="93" t="str">
        <f aca="false">IF(ISBLANK($C406),"",IF(AND(ISNUMBER(H406),H406&gt;=0),H406,Constants!$B$24))</f>
        <v/>
      </c>
      <c r="AJ406" s="93" t="str">
        <f aca="false">IF(ISBLANK($C406),"",IF(I406=Constants!$B$2,TRUE(),IF(I406=Constants!$B$3,FALSE(),TRUE())))</f>
        <v/>
      </c>
      <c r="AK406" s="93" t="str">
        <f aca="false">IF(ISBLANK($C406),"",IF(J406=Constants!$B$2,TRUE(),IF(J406=Constants!$B$3,FALSE(),TRUE())))</f>
        <v/>
      </c>
      <c r="AL406" s="93" t="str">
        <f aca="false">IF(ISBLANK($C406),"",IF(K406=Constants!$B$4,TRUE(),IF(K406=Constants!$B$5,FALSE(),COUNTA(L406:P406)&gt;0)))</f>
        <v/>
      </c>
      <c r="AM406" s="95" t="str">
        <f aca="false">IF(ISBLANK($C406),"",IF(ISNUMBER(L406),IF(L406&gt;=0,L406,""),""))</f>
        <v/>
      </c>
      <c r="AN406" s="94" t="str">
        <f aca="false">IF(ISBLANK($C406),"",IF(ISNUMBER(M406),IF(M406&gt;=0,M406,""),""))</f>
        <v/>
      </c>
      <c r="AO406" s="94" t="str">
        <f aca="false">IF(ISBLANK($C406),"",IF(N406=Constants!$B$2,TRUE(),IF(N406=Constants!$B$3,FALSE(),TRUE())))</f>
        <v/>
      </c>
      <c r="AP406" s="93" t="str">
        <f aca="false">IF(ISBLANK($C406),"",IF(ISNUMBER(O406),IF(O406&gt;=0,O406,""),""))</f>
        <v/>
      </c>
      <c r="AQ406" s="93" t="str">
        <f aca="false">IF(ISBLANK($C406),"",IF(P406=Constants!$B$2,TRUE(),IF(P406=Constants!$B$3,FALSE(),FALSE())))</f>
        <v/>
      </c>
      <c r="AR406" s="93" t="str">
        <f aca="false">IF(ISBLANK($C406),"",IF(Q406=Constants!$B$2,TRUE(),IF(Q406=Constants!$B$3,FALSE(),TRUE())))</f>
        <v/>
      </c>
      <c r="AS406" s="93" t="str">
        <f aca="false">IF(ISBLANK($C406),"",IF(R406=Constants!$B$2,TRUE(),IF(R406=Constants!$B$3,FALSE(),TRUE())))</f>
        <v/>
      </c>
      <c r="AT406" s="93" t="str">
        <f aca="false">IF(ISBLANK($C406),"",IF(S406=Constants!$B$4,TRUE(),IF(S406=Constants!$B$5,FALSE(),COUNTA(T406:X406)&gt;0)))</f>
        <v/>
      </c>
      <c r="AU406" s="95" t="str">
        <f aca="false">IF(ISBLANK($C406),"",IF(ISNUMBER(T406),IF(T406&gt;=0,T406,""),""))</f>
        <v/>
      </c>
      <c r="AV406" s="94" t="str">
        <f aca="false">IF(ISBLANK($C406),"",IF(ISNUMBER(U406),IF(U406&gt;=0,U406,""),""))</f>
        <v/>
      </c>
      <c r="AW406" s="94" t="str">
        <f aca="false">IF(ISBLANK($C406),"",IF(V406=Constants!$B$2,TRUE(),IF(V406=Constants!$B$3,FALSE(),TRUE())))</f>
        <v/>
      </c>
      <c r="AX406" s="93" t="str">
        <f aca="false">IF(ISBLANK($C406),"",IF(ISNUMBER(W406),IF(W406&gt;=0,W406,""),""))</f>
        <v/>
      </c>
      <c r="AY406" s="93" t="str">
        <f aca="false">IF(ISBLANK($C406),"",IF(X406=Constants!$B$2,TRUE(),IF(X406=Constants!$B$3,FALSE(),FALSE())))</f>
        <v/>
      </c>
      <c r="AZ406" s="93" t="str">
        <f aca="false">IF(ISBLANK($C406),"",MIN(Constants!$B$25,MAX(0,IF(ISNUMBER(Y406),Y406*60,0)+IF(ISNUMBER(Z406),Z406,0))))</f>
        <v/>
      </c>
      <c r="BA406" s="93" t="str">
        <f aca="false">IF(ISBLANK($C406),"",IF(AA406=Constants!$B$2,TRUE(),IF(AA406=Constants!$B$3,FALSE(),FALSE())))</f>
        <v/>
      </c>
      <c r="BB406" s="92" t="str">
        <f aca="false">IF(ISBLANK($C406),"",AND($AL406,OR($AM406="",$AN406="",AND($AO406,$AP406=""))))</f>
        <v/>
      </c>
      <c r="BC406" s="94" t="str">
        <f aca="false">IF($BX406&lt;&gt;Constants!$B$6,"",IF($AL406,Constants!$B$17*$AN406+Constants!$B$18*IF($AO406,$AP406,Constants!$B$19),Constants!$B$20))</f>
        <v/>
      </c>
      <c r="BD406" s="97" t="str">
        <f aca="false">IF($BX406&lt;&gt;Constants!$B$6,"",Constants!$B$21*ABS($AD$9-IF($AL406,$AM406,0)))</f>
        <v/>
      </c>
      <c r="BE406" s="97" t="str">
        <f aca="false">IF($BX406&lt;&gt;Constants!$B$6,"",IF(AND($AL406,$AQ406,$AO406),Constants!$B$22,0))</f>
        <v/>
      </c>
      <c r="BF406" s="97" t="str">
        <f aca="false">IF($BX406&lt;&gt;Constants!$B$6,"",IF($AL406,($AI406-Constants!$B$24)*Constants!$B$23,0))</f>
        <v/>
      </c>
      <c r="BG406" s="97" t="str">
        <f aca="false">IF($BX406&lt;&gt;Constants!$B$6,"",IF($AK406,0,Constants!$B$12)+IF($AJ406,0,Constants!$B$13)+IF($AH406,0,Constants!$B$14))</f>
        <v/>
      </c>
      <c r="BH406" s="98" t="str">
        <f aca="false">IF($BX406&lt;&gt;Constants!$B$6,"",Constants!$B$16+SUM($BC406:$BG406))</f>
        <v/>
      </c>
      <c r="BI406" s="97" t="str">
        <f aca="false">IF($BX406&lt;&gt;Constants!$B$6,"",$BC406)</f>
        <v/>
      </c>
      <c r="BJ406" s="97" t="str">
        <f aca="false">IF($BX406&lt;&gt;Constants!$B$6,"",$BD406)</f>
        <v/>
      </c>
      <c r="BK406" s="99" t="str">
        <f aca="false">IF($BX406&lt;&gt;Constants!$B$6,"",IF($AL406,$AN406,""))</f>
        <v/>
      </c>
      <c r="BL406" s="93" t="str">
        <f aca="false">IF($BX406&lt;&gt;Constants!$B$6,"",IF(OR($BS406&lt;$BH406,AND($BS406=$BH406,OR($BT406&lt;$BI406,AND($BT406=$BI406,OR($BU406&lt;$BJ406,AND($BU406=$BJ406,AND(ISNUMBER($BV406),OR(NOT(ISNUMBER($BK406)),$BV406&lt;$BK406)))))))),"-&gt;","&lt;-"))</f>
        <v/>
      </c>
      <c r="BM406" s="92" t="str">
        <f aca="false">IF(ISBLANK($C406),"",AND($AT406,OR($AU406="",$AV406="",AND($AW406,$AX406=""))))</f>
        <v/>
      </c>
      <c r="BN406" s="94" t="str">
        <f aca="false">IF($BX406&lt;&gt;Constants!$B$6,"",IF($AT406,Constants!$B$17*$AV406+Constants!$B$18*IF($AW406,$AX406,Constants!$B$19),Constants!$B$20))</f>
        <v/>
      </c>
      <c r="BO406" s="97" t="str">
        <f aca="false">IF($BX406&lt;&gt;Constants!$B$6,"",Constants!$B$21*ABS($AD$9-IF($AT406,$AU406,0)))</f>
        <v/>
      </c>
      <c r="BP406" s="97" t="str">
        <f aca="false">IF($BX406&lt;&gt;Constants!$B$6,"",IF(AND($AT406,$AY406,$AW406),Constants!$B$22,0))</f>
        <v/>
      </c>
      <c r="BQ406" s="97" t="str">
        <f aca="false">IF($BX406&lt;&gt;Constants!$B$6,"",IF($AT406,($AI406-Constants!$B$24)*Constants!$B$23,0))</f>
        <v/>
      </c>
      <c r="BR406" s="97" t="str">
        <f aca="false">IF($BX406&lt;&gt;Constants!$B$6,"",IF($AS406,0,Constants!$B$12)+IF($AR406,0,Constants!$B$13)+IF($AH406,0,Constants!$B$14))</f>
        <v/>
      </c>
      <c r="BS406" s="98" t="str">
        <f aca="false">IF($BX406&lt;&gt;Constants!$B$6,"",Constants!$B$16+SUM($BN406:$BR406))</f>
        <v/>
      </c>
      <c r="BT406" s="97" t="str">
        <f aca="false">IF($BX406&lt;&gt;Constants!$B$6,"",$BN406)</f>
        <v/>
      </c>
      <c r="BU406" s="97" t="str">
        <f aca="false">IF($BX406&lt;&gt;Constants!$B$6,"",$BO406)</f>
        <v/>
      </c>
      <c r="BV406" s="99" t="str">
        <f aca="false">IF($BX406&lt;&gt;Constants!$B$6,"",IF($AT406,$AV406,""))</f>
        <v/>
      </c>
      <c r="BW406" s="93" t="str">
        <f aca="false">IF(ISBLANK($C406),"",IF(ISBLANK($D$7),$BW$5,IF(NOT(ISNUMBER($D$7)),$BW$6,"")))</f>
        <v/>
      </c>
      <c r="BX406" s="93" t="str">
        <f aca="false">IF(ISBLANK($C406),"",IF($BA406,Constants!$B$9,IF(COUNTA($E406:$AA406)=0,Constants!$B$8,IF(NOT($AG406),Constants!$B$7,IF(OR($BW406&lt;&gt;"",$BB406,$BM406),Constants!$B$10,Constants!$B$6)))))</f>
        <v/>
      </c>
      <c r="BY406" s="93" t="str">
        <f aca="false">IF(ISBLANK($C406),"",IF($BX406&lt;&gt;Constants!$B$6,$BX406,Constants!$B$11))</f>
        <v/>
      </c>
      <c r="BZ406" s="97" t="str">
        <f aca="false">IF($BX406&lt;&gt;Constants!$B$6,"",IF($BL406="-&gt;",$BS406,$BH406))</f>
        <v/>
      </c>
      <c r="CA406" s="97" t="str">
        <f aca="false">IF($BX406&lt;&gt;Constants!$B$6,"",IF($AF406,0,Constants!$B$15))</f>
        <v/>
      </c>
      <c r="CB406" s="97" t="str">
        <f aca="false">IF($BX406&lt;&gt;Constants!$B$6,"",((Constants!$B$25-$AZ406)-Constants!$B$25)/Constants!$B$26)</f>
        <v/>
      </c>
      <c r="CC406" s="97" t="str">
        <f aca="false">IF(ISBLANK($C406),"",IF($BX406&lt;&gt;Constants!$B$6,$BX406,SUM($BZ406:$CB406)))</f>
        <v/>
      </c>
      <c r="CD406" s="93" t="str">
        <f aca="false">IF(ISBLANK($C406),"",IF($BX406&lt;&gt;Constants!$B$6,$BX406,RANK($CC406,$CC$9:$CC$508,1)))</f>
        <v/>
      </c>
      <c r="CE406" s="97" t="str">
        <f aca="false">IF($BX406&lt;&gt;Constants!$B$6,"",IF($BL406="-&gt;",$BT406,$BI406))</f>
        <v/>
      </c>
      <c r="CF406" s="93" t="str">
        <f aca="false">IF(ISBLANK($C406),"",IF($BX406&lt;&gt;Constants!$B$6,$BX406,IF(ISNUMBER($CE406),RANK($CE406,$CE$9:$CE$508,1),COUNT($CE$9:$CE$508)+1)))</f>
        <v/>
      </c>
      <c r="CG406" s="97" t="str">
        <f aca="false">IF($BX406&lt;&gt;Constants!$B$6,"",IF($BL406="-&gt;",$BU406,$BJ406))</f>
        <v/>
      </c>
      <c r="CH406" s="93" t="str">
        <f aca="false">IF(ISBLANK($C406),"",IF($BX406&lt;&gt;Constants!$B$6,$BX406,IF(ISNUMBER($CG406),RANK($CG406,$CG$9:$CG$508,1),COUNT($CG$9:$CG$508)+1)))</f>
        <v/>
      </c>
      <c r="CI406" s="97" t="str">
        <f aca="false">IF($BX406&lt;&gt;Constants!$B$6,"",IF($BL406="-&gt;",$BV406,$BK406))</f>
        <v/>
      </c>
      <c r="CJ406" s="93" t="str">
        <f aca="false">IF(ISBLANK($C406),"",IF($BX406&lt;&gt;Constants!$B$6,$BX406,IF(ISNUMBER($CI406),RANK($CI406,$CI$9:$CI$508,1),COUNT($CI$9:$CI$508)+1)))</f>
        <v/>
      </c>
      <c r="CK406" s="97" t="str">
        <f aca="false">IF($BX406&lt;&gt;Constants!$B$6,"",$AI406)</f>
        <v/>
      </c>
      <c r="CL406" s="93" t="str">
        <f aca="false">IF(ISBLANK($C406),"",IF($BX406&lt;&gt;Constants!$B$6,$BX406,IF(ISNUMBER($CK406),RANK($CK406,$CK$9:$CK$508,1),COUNT($CK$9:$CK$508)+1)))</f>
        <v/>
      </c>
      <c r="CM406" s="93" t="str">
        <f aca="false">IF(ISBLANK($C406),"",IF($BX406&lt;&gt;Constants!$B$6,$BX406,COUNTIFS($CD$9:$CD$508,"&lt;"&amp;$CD406)+COUNTIFS($CD$9:$CD$508,$CD406,$CF$9:$CF$508,"&lt;"&amp;$CF406)+COUNTIFS($CD$9:$CD$508,$CD406,$CF$9:$CF$508,$CF406,$CH$9:$CH$508,"&lt;"&amp;$CH406)+COUNTIFS($CD$9:$CD$508,$CD406,$CF$9:$CF$508,$CF406,$CH$9:$CH$508,$CH406,$CJ$9:$CJ$508,"&lt;"&amp;$CJ406)+COUNTIFS($CD$9:$CD$508,$CD406,$CF$9:$CF$508,$CF406,$CH$9:$CH$508,$CH406,$CJ$9:$CJ$508,$CJ406,$CL$9:$CL$508,"&lt;"&amp;$CL406)+1))</f>
        <v/>
      </c>
      <c r="CN406" s="93" t="str">
        <f aca="false">IF(ISBLANK($C406),"",IF($BX406&lt;&gt;Constants!$B$6,$BX406,$CD406-$CM406))</f>
        <v/>
      </c>
      <c r="CO406" s="100"/>
      <c r="CP406" s="101"/>
      <c r="CQ406" s="102" t="str">
        <f aca="false">IF(ISBLANK($C406),"",IF($BX406=Constants!$B$10,$BW406,""))</f>
        <v/>
      </c>
      <c r="CR406" s="101" t="str">
        <f aca="false">IF(ISBLANK($C406),"",IF($BX406&lt;&gt;Constants!$B$6,"",IF($BL406="-&gt;",2,1)))</f>
        <v/>
      </c>
      <c r="CS406" s="103" t="str">
        <f aca="false">IF(ISBLANK($C406),"",IF($BX406&lt;&gt;Constants!$B$6,"",IF($BL406="-&gt;",$BN406,$BC406)))</f>
        <v/>
      </c>
      <c r="CT406" s="103" t="str">
        <f aca="false">IF(ISBLANK($C406),"",IF($BX406&lt;&gt;Constants!$B$6,"",IF($BL406="-&gt;",$BO406,$BD406)))</f>
        <v/>
      </c>
      <c r="CU406" s="103" t="str">
        <f aca="false">IF(ISBLANK($C406),"",IF($BX406&lt;&gt;Constants!$B$6,"",IF($BL406="-&gt;",$BP406+$BQ406,$BE406+$BF406)+$CB406))</f>
        <v/>
      </c>
      <c r="CV406" s="103" t="str">
        <f aca="false">IF(ISBLANK($C406),"",IF($BX406&lt;&gt;Constants!$B$6,"",IF($BL406="-&gt;",$BR406,$BG406)+$CA406))</f>
        <v/>
      </c>
      <c r="CW406" s="104" t="str">
        <f aca="false">IF(ISBLANK($C406),"",IF($BX406&lt;&gt;Constants!$B$6,$BX406,$CC406))</f>
        <v/>
      </c>
      <c r="CX406" s="105" t="str">
        <f aca="false">IF(ISBLANK($C406),"",$BY406)</f>
        <v/>
      </c>
      <c r="CY406" s="106" t="str">
        <f aca="false">IF(ISBLANK($C406),"",$CN406)</f>
        <v/>
      </c>
      <c r="CZ406" s="106" t="str">
        <f aca="false">IF(ISBLANK($C406),"",$CM406)</f>
        <v/>
      </c>
      <c r="DA406" s="107" t="str">
        <f aca="false">IF(ISBLANK($C406),"",IFERROR(_xlfn.SWITCH($CZ406,Constants!$B$9,COUNTA($C$9:$C$508)+2,Constants!$B$8,COUNTA($C$9:$C$508)+1,Constants!$B$7,COUNTA($C$9:$C$508)),$CZ406))</f>
        <v/>
      </c>
      <c r="DB406" s="9"/>
      <c r="DC406" s="108" t="n">
        <f aca="false">IF(OR(ISNUMBER($CZ406),$CZ406=Constants!$B$9,$CZ406=Constants!$B$7,$CZ406=Constants!$B$8),1,0)</f>
        <v>0</v>
      </c>
      <c r="DD406" s="108" t="n">
        <v>398</v>
      </c>
      <c r="DE406" s="108" t="str">
        <f aca="false">IF(ISBLANK($C406),"",IF(ISNUMBER($DA406),$DA406+ROW($B406)/1000,""))</f>
        <v/>
      </c>
      <c r="DF406" s="108" t="str">
        <f aca="false">IF(ISNUMBER($DE406),RANK($DE406,$DE$9:$DE$508,1),"")</f>
        <v/>
      </c>
      <c r="DG406" s="108" t="str">
        <f aca="false">IF(ISBLANK($C406),"",$B406)</f>
        <v/>
      </c>
      <c r="DH406" s="108" t="str">
        <f aca="false">IF(ISBLANK($C406),"",$C406)</f>
        <v/>
      </c>
      <c r="DI406" s="108" t="str">
        <f aca="false">IF(ISBLANK($C406),"",$D406)</f>
        <v/>
      </c>
      <c r="DJ406" s="109" t="str">
        <f aca="false">$CX406</f>
        <v/>
      </c>
      <c r="DK406" s="110" t="str">
        <f aca="false">$CW406</f>
        <v/>
      </c>
      <c r="DL406" s="108" t="str">
        <f aca="false">IF(ISBLANK($C406),"",$CZ406)</f>
        <v/>
      </c>
      <c r="DM406" s="111" t="str">
        <f aca="false">IF($DD406&gt;$DC$8,"",VLOOKUP($DD406,$DF$9:$DL$508,7,FALSE()))</f>
        <v/>
      </c>
      <c r="DN406" s="112" t="str">
        <f aca="false">IF($DD406&gt;$DC$8,"",VLOOKUP($DD406,$DF$9:$DL$508,2,FALSE()))</f>
        <v/>
      </c>
      <c r="DO406" s="112" t="str">
        <f aca="false">IF($DD406&gt;$DC$8,"",VLOOKUP($DD406,$DF$9:$DL$508,3,FALSE()))</f>
        <v/>
      </c>
      <c r="DP406" s="112" t="str">
        <f aca="false">IF($DD406&gt;$DC$8,"",VLOOKUP($DD406,$DF$9:$DL$508,4,FALSE()))</f>
        <v/>
      </c>
      <c r="DQ406" s="112" t="str">
        <f aca="false">IF($DD406&gt;$DC$8,"",VLOOKUP($DD406,$DF$9:$DL$508,5,FALSE()))</f>
        <v/>
      </c>
      <c r="DR406" s="113" t="str">
        <f aca="false">IF($DD406&gt;$DC$8,"",VLOOKUP($DD406,$DF$9:$DL$508,6,FALSE()))</f>
        <v/>
      </c>
      <c r="DS406" s="76"/>
    </row>
    <row r="407" customFormat="false" ht="15.75" hidden="false" customHeight="false" outlineLevel="0" collapsed="false">
      <c r="A407" s="9"/>
      <c r="B407" s="78"/>
      <c r="C407" s="79"/>
      <c r="D407" s="170"/>
      <c r="E407" s="178"/>
      <c r="F407" s="172"/>
      <c r="G407" s="173"/>
      <c r="H407" s="173"/>
      <c r="I407" s="179"/>
      <c r="J407" s="176"/>
      <c r="K407" s="86"/>
      <c r="L407" s="87"/>
      <c r="M407" s="88"/>
      <c r="N407" s="176"/>
      <c r="O407" s="176"/>
      <c r="P407" s="178"/>
      <c r="Q407" s="176"/>
      <c r="R407" s="176"/>
      <c r="S407" s="86"/>
      <c r="T407" s="88"/>
      <c r="U407" s="88"/>
      <c r="V407" s="176"/>
      <c r="W407" s="176"/>
      <c r="X407" s="178"/>
      <c r="Y407" s="176"/>
      <c r="Z407" s="177"/>
      <c r="AA407" s="176"/>
      <c r="AB407" s="92"/>
      <c r="AC407" s="93"/>
      <c r="AD407" s="93"/>
      <c r="AE407" s="93"/>
      <c r="AF407" s="93" t="str">
        <f aca="false">IF(ISBLANK($C407),"",IF(E407=Constants!$B$2,TRUE(),IF(E407=Constants!$B$3,FALSE(),TRUE())))</f>
        <v/>
      </c>
      <c r="AG407" s="93" t="str">
        <f aca="false">IF(ISBLANK($C407),"",IF(F407=Constants!$B$2,TRUE(),IF(F407=Constants!$B$3,FALSE(),TRUE())))</f>
        <v/>
      </c>
      <c r="AH407" s="93" t="str">
        <f aca="false">IF(ISBLANK($C407),"",IF(G407=Constants!$B$2,TRUE(),IF(G407=Constants!$B$3,FALSE(),TRUE())))</f>
        <v/>
      </c>
      <c r="AI407" s="93" t="str">
        <f aca="false">IF(ISBLANK($C407),"",IF(AND(ISNUMBER(H407),H407&gt;=0),H407,Constants!$B$24))</f>
        <v/>
      </c>
      <c r="AJ407" s="93" t="str">
        <f aca="false">IF(ISBLANK($C407),"",IF(I407=Constants!$B$2,TRUE(),IF(I407=Constants!$B$3,FALSE(),TRUE())))</f>
        <v/>
      </c>
      <c r="AK407" s="93" t="str">
        <f aca="false">IF(ISBLANK($C407),"",IF(J407=Constants!$B$2,TRUE(),IF(J407=Constants!$B$3,FALSE(),TRUE())))</f>
        <v/>
      </c>
      <c r="AL407" s="93" t="str">
        <f aca="false">IF(ISBLANK($C407),"",IF(K407=Constants!$B$4,TRUE(),IF(K407=Constants!$B$5,FALSE(),COUNTA(L407:P407)&gt;0)))</f>
        <v/>
      </c>
      <c r="AM407" s="95" t="str">
        <f aca="false">IF(ISBLANK($C407),"",IF(ISNUMBER(L407),IF(L407&gt;=0,L407,""),""))</f>
        <v/>
      </c>
      <c r="AN407" s="94" t="str">
        <f aca="false">IF(ISBLANK($C407),"",IF(ISNUMBER(M407),IF(M407&gt;=0,M407,""),""))</f>
        <v/>
      </c>
      <c r="AO407" s="94" t="str">
        <f aca="false">IF(ISBLANK($C407),"",IF(N407=Constants!$B$2,TRUE(),IF(N407=Constants!$B$3,FALSE(),TRUE())))</f>
        <v/>
      </c>
      <c r="AP407" s="93" t="str">
        <f aca="false">IF(ISBLANK($C407),"",IF(ISNUMBER(O407),IF(O407&gt;=0,O407,""),""))</f>
        <v/>
      </c>
      <c r="AQ407" s="93" t="str">
        <f aca="false">IF(ISBLANK($C407),"",IF(P407=Constants!$B$2,TRUE(),IF(P407=Constants!$B$3,FALSE(),FALSE())))</f>
        <v/>
      </c>
      <c r="AR407" s="93" t="str">
        <f aca="false">IF(ISBLANK($C407),"",IF(Q407=Constants!$B$2,TRUE(),IF(Q407=Constants!$B$3,FALSE(),TRUE())))</f>
        <v/>
      </c>
      <c r="AS407" s="93" t="str">
        <f aca="false">IF(ISBLANK($C407),"",IF(R407=Constants!$B$2,TRUE(),IF(R407=Constants!$B$3,FALSE(),TRUE())))</f>
        <v/>
      </c>
      <c r="AT407" s="93" t="str">
        <f aca="false">IF(ISBLANK($C407),"",IF(S407=Constants!$B$4,TRUE(),IF(S407=Constants!$B$5,FALSE(),COUNTA(T407:X407)&gt;0)))</f>
        <v/>
      </c>
      <c r="AU407" s="95" t="str">
        <f aca="false">IF(ISBLANK($C407),"",IF(ISNUMBER(T407),IF(T407&gt;=0,T407,""),""))</f>
        <v/>
      </c>
      <c r="AV407" s="94" t="str">
        <f aca="false">IF(ISBLANK($C407),"",IF(ISNUMBER(U407),IF(U407&gt;=0,U407,""),""))</f>
        <v/>
      </c>
      <c r="AW407" s="94" t="str">
        <f aca="false">IF(ISBLANK($C407),"",IF(V407=Constants!$B$2,TRUE(),IF(V407=Constants!$B$3,FALSE(),TRUE())))</f>
        <v/>
      </c>
      <c r="AX407" s="93" t="str">
        <f aca="false">IF(ISBLANK($C407),"",IF(ISNUMBER(W407),IF(W407&gt;=0,W407,""),""))</f>
        <v/>
      </c>
      <c r="AY407" s="93" t="str">
        <f aca="false">IF(ISBLANK($C407),"",IF(X407=Constants!$B$2,TRUE(),IF(X407=Constants!$B$3,FALSE(),FALSE())))</f>
        <v/>
      </c>
      <c r="AZ407" s="93" t="str">
        <f aca="false">IF(ISBLANK($C407),"",MIN(Constants!$B$25,MAX(0,IF(ISNUMBER(Y407),Y407*60,0)+IF(ISNUMBER(Z407),Z407,0))))</f>
        <v/>
      </c>
      <c r="BA407" s="93" t="str">
        <f aca="false">IF(ISBLANK($C407),"",IF(AA407=Constants!$B$2,TRUE(),IF(AA407=Constants!$B$3,FALSE(),FALSE())))</f>
        <v/>
      </c>
      <c r="BB407" s="92" t="str">
        <f aca="false">IF(ISBLANK($C407),"",AND($AL407,OR($AM407="",$AN407="",AND($AO407,$AP407=""))))</f>
        <v/>
      </c>
      <c r="BC407" s="94" t="str">
        <f aca="false">IF($BX407&lt;&gt;Constants!$B$6,"",IF($AL407,Constants!$B$17*$AN407+Constants!$B$18*IF($AO407,$AP407,Constants!$B$19),Constants!$B$20))</f>
        <v/>
      </c>
      <c r="BD407" s="97" t="str">
        <f aca="false">IF($BX407&lt;&gt;Constants!$B$6,"",Constants!$B$21*ABS($AD$9-IF($AL407,$AM407,0)))</f>
        <v/>
      </c>
      <c r="BE407" s="97" t="str">
        <f aca="false">IF($BX407&lt;&gt;Constants!$B$6,"",IF(AND($AL407,$AQ407,$AO407),Constants!$B$22,0))</f>
        <v/>
      </c>
      <c r="BF407" s="97" t="str">
        <f aca="false">IF($BX407&lt;&gt;Constants!$B$6,"",IF($AL407,($AI407-Constants!$B$24)*Constants!$B$23,0))</f>
        <v/>
      </c>
      <c r="BG407" s="97" t="str">
        <f aca="false">IF($BX407&lt;&gt;Constants!$B$6,"",IF($AK407,0,Constants!$B$12)+IF($AJ407,0,Constants!$B$13)+IF($AH407,0,Constants!$B$14))</f>
        <v/>
      </c>
      <c r="BH407" s="98" t="str">
        <f aca="false">IF($BX407&lt;&gt;Constants!$B$6,"",Constants!$B$16+SUM($BC407:$BG407))</f>
        <v/>
      </c>
      <c r="BI407" s="97" t="str">
        <f aca="false">IF($BX407&lt;&gt;Constants!$B$6,"",$BC407)</f>
        <v/>
      </c>
      <c r="BJ407" s="97" t="str">
        <f aca="false">IF($BX407&lt;&gt;Constants!$B$6,"",$BD407)</f>
        <v/>
      </c>
      <c r="BK407" s="99" t="str">
        <f aca="false">IF($BX407&lt;&gt;Constants!$B$6,"",IF($AL407,$AN407,""))</f>
        <v/>
      </c>
      <c r="BL407" s="93" t="str">
        <f aca="false">IF($BX407&lt;&gt;Constants!$B$6,"",IF(OR($BS407&lt;$BH407,AND($BS407=$BH407,OR($BT407&lt;$BI407,AND($BT407=$BI407,OR($BU407&lt;$BJ407,AND($BU407=$BJ407,AND(ISNUMBER($BV407),OR(NOT(ISNUMBER($BK407)),$BV407&lt;$BK407)))))))),"-&gt;","&lt;-"))</f>
        <v/>
      </c>
      <c r="BM407" s="92" t="str">
        <f aca="false">IF(ISBLANK($C407),"",AND($AT407,OR($AU407="",$AV407="",AND($AW407,$AX407=""))))</f>
        <v/>
      </c>
      <c r="BN407" s="94" t="str">
        <f aca="false">IF($BX407&lt;&gt;Constants!$B$6,"",IF($AT407,Constants!$B$17*$AV407+Constants!$B$18*IF($AW407,$AX407,Constants!$B$19),Constants!$B$20))</f>
        <v/>
      </c>
      <c r="BO407" s="97" t="str">
        <f aca="false">IF($BX407&lt;&gt;Constants!$B$6,"",Constants!$B$21*ABS($AD$9-IF($AT407,$AU407,0)))</f>
        <v/>
      </c>
      <c r="BP407" s="97" t="str">
        <f aca="false">IF($BX407&lt;&gt;Constants!$B$6,"",IF(AND($AT407,$AY407,$AW407),Constants!$B$22,0))</f>
        <v/>
      </c>
      <c r="BQ407" s="97" t="str">
        <f aca="false">IF($BX407&lt;&gt;Constants!$B$6,"",IF($AT407,($AI407-Constants!$B$24)*Constants!$B$23,0))</f>
        <v/>
      </c>
      <c r="BR407" s="97" t="str">
        <f aca="false">IF($BX407&lt;&gt;Constants!$B$6,"",IF($AS407,0,Constants!$B$12)+IF($AR407,0,Constants!$B$13)+IF($AH407,0,Constants!$B$14))</f>
        <v/>
      </c>
      <c r="BS407" s="98" t="str">
        <f aca="false">IF($BX407&lt;&gt;Constants!$B$6,"",Constants!$B$16+SUM($BN407:$BR407))</f>
        <v/>
      </c>
      <c r="BT407" s="97" t="str">
        <f aca="false">IF($BX407&lt;&gt;Constants!$B$6,"",$BN407)</f>
        <v/>
      </c>
      <c r="BU407" s="97" t="str">
        <f aca="false">IF($BX407&lt;&gt;Constants!$B$6,"",$BO407)</f>
        <v/>
      </c>
      <c r="BV407" s="99" t="str">
        <f aca="false">IF($BX407&lt;&gt;Constants!$B$6,"",IF($AT407,$AV407,""))</f>
        <v/>
      </c>
      <c r="BW407" s="93" t="str">
        <f aca="false">IF(ISBLANK($C407),"",IF(ISBLANK($D$7),$BW$5,IF(NOT(ISNUMBER($D$7)),$BW$6,"")))</f>
        <v/>
      </c>
      <c r="BX407" s="93" t="str">
        <f aca="false">IF(ISBLANK($C407),"",IF($BA407,Constants!$B$9,IF(COUNTA($E407:$AA407)=0,Constants!$B$8,IF(NOT($AG407),Constants!$B$7,IF(OR($BW407&lt;&gt;"",$BB407,$BM407),Constants!$B$10,Constants!$B$6)))))</f>
        <v/>
      </c>
      <c r="BY407" s="93" t="str">
        <f aca="false">IF(ISBLANK($C407),"",IF($BX407&lt;&gt;Constants!$B$6,$BX407,Constants!$B$11))</f>
        <v/>
      </c>
      <c r="BZ407" s="97" t="str">
        <f aca="false">IF($BX407&lt;&gt;Constants!$B$6,"",IF($BL407="-&gt;",$BS407,$BH407))</f>
        <v/>
      </c>
      <c r="CA407" s="97" t="str">
        <f aca="false">IF($BX407&lt;&gt;Constants!$B$6,"",IF($AF407,0,Constants!$B$15))</f>
        <v/>
      </c>
      <c r="CB407" s="97" t="str">
        <f aca="false">IF($BX407&lt;&gt;Constants!$B$6,"",((Constants!$B$25-$AZ407)-Constants!$B$25)/Constants!$B$26)</f>
        <v/>
      </c>
      <c r="CC407" s="97" t="str">
        <f aca="false">IF(ISBLANK($C407),"",IF($BX407&lt;&gt;Constants!$B$6,$BX407,SUM($BZ407:$CB407)))</f>
        <v/>
      </c>
      <c r="CD407" s="93" t="str">
        <f aca="false">IF(ISBLANK($C407),"",IF($BX407&lt;&gt;Constants!$B$6,$BX407,RANK($CC407,$CC$9:$CC$508,1)))</f>
        <v/>
      </c>
      <c r="CE407" s="97" t="str">
        <f aca="false">IF($BX407&lt;&gt;Constants!$B$6,"",IF($BL407="-&gt;",$BT407,$BI407))</f>
        <v/>
      </c>
      <c r="CF407" s="93" t="str">
        <f aca="false">IF(ISBLANK($C407),"",IF($BX407&lt;&gt;Constants!$B$6,$BX407,IF(ISNUMBER($CE407),RANK($CE407,$CE$9:$CE$508,1),COUNT($CE$9:$CE$508)+1)))</f>
        <v/>
      </c>
      <c r="CG407" s="97" t="str">
        <f aca="false">IF($BX407&lt;&gt;Constants!$B$6,"",IF($BL407="-&gt;",$BU407,$BJ407))</f>
        <v/>
      </c>
      <c r="CH407" s="93" t="str">
        <f aca="false">IF(ISBLANK($C407),"",IF($BX407&lt;&gt;Constants!$B$6,$BX407,IF(ISNUMBER($CG407),RANK($CG407,$CG$9:$CG$508,1),COUNT($CG$9:$CG$508)+1)))</f>
        <v/>
      </c>
      <c r="CI407" s="97" t="str">
        <f aca="false">IF($BX407&lt;&gt;Constants!$B$6,"",IF($BL407="-&gt;",$BV407,$BK407))</f>
        <v/>
      </c>
      <c r="CJ407" s="93" t="str">
        <f aca="false">IF(ISBLANK($C407),"",IF($BX407&lt;&gt;Constants!$B$6,$BX407,IF(ISNUMBER($CI407),RANK($CI407,$CI$9:$CI$508,1),COUNT($CI$9:$CI$508)+1)))</f>
        <v/>
      </c>
      <c r="CK407" s="97" t="str">
        <f aca="false">IF($BX407&lt;&gt;Constants!$B$6,"",$AI407)</f>
        <v/>
      </c>
      <c r="CL407" s="93" t="str">
        <f aca="false">IF(ISBLANK($C407),"",IF($BX407&lt;&gt;Constants!$B$6,$BX407,IF(ISNUMBER($CK407),RANK($CK407,$CK$9:$CK$508,1),COUNT($CK$9:$CK$508)+1)))</f>
        <v/>
      </c>
      <c r="CM407" s="93" t="str">
        <f aca="false">IF(ISBLANK($C407),"",IF($BX407&lt;&gt;Constants!$B$6,$BX407,COUNTIFS($CD$9:$CD$508,"&lt;"&amp;$CD407)+COUNTIFS($CD$9:$CD$508,$CD407,$CF$9:$CF$508,"&lt;"&amp;$CF407)+COUNTIFS($CD$9:$CD$508,$CD407,$CF$9:$CF$508,$CF407,$CH$9:$CH$508,"&lt;"&amp;$CH407)+COUNTIFS($CD$9:$CD$508,$CD407,$CF$9:$CF$508,$CF407,$CH$9:$CH$508,$CH407,$CJ$9:$CJ$508,"&lt;"&amp;$CJ407)+COUNTIFS($CD$9:$CD$508,$CD407,$CF$9:$CF$508,$CF407,$CH$9:$CH$508,$CH407,$CJ$9:$CJ$508,$CJ407,$CL$9:$CL$508,"&lt;"&amp;$CL407)+1))</f>
        <v/>
      </c>
      <c r="CN407" s="93" t="str">
        <f aca="false">IF(ISBLANK($C407),"",IF($BX407&lt;&gt;Constants!$B$6,$BX407,$CD407-$CM407))</f>
        <v/>
      </c>
      <c r="CO407" s="100"/>
      <c r="CP407" s="101"/>
      <c r="CQ407" s="102" t="str">
        <f aca="false">IF(ISBLANK($C407),"",IF($BX407=Constants!$B$10,$BW407,""))</f>
        <v/>
      </c>
      <c r="CR407" s="101" t="str">
        <f aca="false">IF(ISBLANK($C407),"",IF($BX407&lt;&gt;Constants!$B$6,"",IF($BL407="-&gt;",2,1)))</f>
        <v/>
      </c>
      <c r="CS407" s="103" t="str">
        <f aca="false">IF(ISBLANK($C407),"",IF($BX407&lt;&gt;Constants!$B$6,"",IF($BL407="-&gt;",$BN407,$BC407)))</f>
        <v/>
      </c>
      <c r="CT407" s="103" t="str">
        <f aca="false">IF(ISBLANK($C407),"",IF($BX407&lt;&gt;Constants!$B$6,"",IF($BL407="-&gt;",$BO407,$BD407)))</f>
        <v/>
      </c>
      <c r="CU407" s="103" t="str">
        <f aca="false">IF(ISBLANK($C407),"",IF($BX407&lt;&gt;Constants!$B$6,"",IF($BL407="-&gt;",$BP407+$BQ407,$BE407+$BF407)+$CB407))</f>
        <v/>
      </c>
      <c r="CV407" s="103" t="str">
        <f aca="false">IF(ISBLANK($C407),"",IF($BX407&lt;&gt;Constants!$B$6,"",IF($BL407="-&gt;",$BR407,$BG407)+$CA407))</f>
        <v/>
      </c>
      <c r="CW407" s="104" t="str">
        <f aca="false">IF(ISBLANK($C407),"",IF($BX407&lt;&gt;Constants!$B$6,$BX407,$CC407))</f>
        <v/>
      </c>
      <c r="CX407" s="105" t="str">
        <f aca="false">IF(ISBLANK($C407),"",$BY407)</f>
        <v/>
      </c>
      <c r="CY407" s="106" t="str">
        <f aca="false">IF(ISBLANK($C407),"",$CN407)</f>
        <v/>
      </c>
      <c r="CZ407" s="106" t="str">
        <f aca="false">IF(ISBLANK($C407),"",$CM407)</f>
        <v/>
      </c>
      <c r="DA407" s="107" t="str">
        <f aca="false">IF(ISBLANK($C407),"",IFERROR(_xlfn.SWITCH($CZ407,Constants!$B$9,COUNTA($C$9:$C$508)+2,Constants!$B$8,COUNTA($C$9:$C$508)+1,Constants!$B$7,COUNTA($C$9:$C$508)),$CZ407))</f>
        <v/>
      </c>
      <c r="DB407" s="9"/>
      <c r="DC407" s="108" t="n">
        <f aca="false">IF(OR(ISNUMBER($CZ407),$CZ407=Constants!$B$9,$CZ407=Constants!$B$7,$CZ407=Constants!$B$8),1,0)</f>
        <v>0</v>
      </c>
      <c r="DD407" s="108" t="n">
        <v>399</v>
      </c>
      <c r="DE407" s="108" t="str">
        <f aca="false">IF(ISBLANK($C407),"",IF(ISNUMBER($DA407),$DA407+ROW($B407)/1000,""))</f>
        <v/>
      </c>
      <c r="DF407" s="108" t="str">
        <f aca="false">IF(ISNUMBER($DE407),RANK($DE407,$DE$9:$DE$508,1),"")</f>
        <v/>
      </c>
      <c r="DG407" s="108" t="str">
        <f aca="false">IF(ISBLANK($C407),"",$B407)</f>
        <v/>
      </c>
      <c r="DH407" s="108" t="str">
        <f aca="false">IF(ISBLANK($C407),"",$C407)</f>
        <v/>
      </c>
      <c r="DI407" s="108" t="str">
        <f aca="false">IF(ISBLANK($C407),"",$D407)</f>
        <v/>
      </c>
      <c r="DJ407" s="109" t="str">
        <f aca="false">$CX407</f>
        <v/>
      </c>
      <c r="DK407" s="110" t="str">
        <f aca="false">$CW407</f>
        <v/>
      </c>
      <c r="DL407" s="108" t="str">
        <f aca="false">IF(ISBLANK($C407),"",$CZ407)</f>
        <v/>
      </c>
      <c r="DM407" s="111" t="str">
        <f aca="false">IF($DD407&gt;$DC$8,"",VLOOKUP($DD407,$DF$9:$DL$508,7,FALSE()))</f>
        <v/>
      </c>
      <c r="DN407" s="112" t="str">
        <f aca="false">IF($DD407&gt;$DC$8,"",VLOOKUP($DD407,$DF$9:$DL$508,2,FALSE()))</f>
        <v/>
      </c>
      <c r="DO407" s="112" t="str">
        <f aca="false">IF($DD407&gt;$DC$8,"",VLOOKUP($DD407,$DF$9:$DL$508,3,FALSE()))</f>
        <v/>
      </c>
      <c r="DP407" s="112" t="str">
        <f aca="false">IF($DD407&gt;$DC$8,"",VLOOKUP($DD407,$DF$9:$DL$508,4,FALSE()))</f>
        <v/>
      </c>
      <c r="DQ407" s="112" t="str">
        <f aca="false">IF($DD407&gt;$DC$8,"",VLOOKUP($DD407,$DF$9:$DL$508,5,FALSE()))</f>
        <v/>
      </c>
      <c r="DR407" s="113" t="str">
        <f aca="false">IF($DD407&gt;$DC$8,"",VLOOKUP($DD407,$DF$9:$DL$508,6,FALSE()))</f>
        <v/>
      </c>
      <c r="DS407" s="76"/>
    </row>
    <row r="408" customFormat="false" ht="15.75" hidden="false" customHeight="false" outlineLevel="0" collapsed="false">
      <c r="A408" s="9"/>
      <c r="B408" s="160"/>
      <c r="C408" s="161"/>
      <c r="D408" s="162"/>
      <c r="E408" s="180"/>
      <c r="F408" s="164"/>
      <c r="G408" s="165"/>
      <c r="H408" s="165"/>
      <c r="I408" s="181"/>
      <c r="J408" s="168"/>
      <c r="K408" s="128"/>
      <c r="L408" s="129"/>
      <c r="M408" s="130"/>
      <c r="N408" s="168"/>
      <c r="O408" s="168"/>
      <c r="P408" s="180"/>
      <c r="Q408" s="168"/>
      <c r="R408" s="168"/>
      <c r="S408" s="128"/>
      <c r="T408" s="130"/>
      <c r="U408" s="130"/>
      <c r="V408" s="168"/>
      <c r="W408" s="168"/>
      <c r="X408" s="180"/>
      <c r="Y408" s="168"/>
      <c r="Z408" s="169"/>
      <c r="AA408" s="168"/>
      <c r="AB408" s="134"/>
      <c r="AC408" s="135"/>
      <c r="AD408" s="135"/>
      <c r="AE408" s="135"/>
      <c r="AF408" s="135" t="str">
        <f aca="false">IF(ISBLANK($C408),"",IF(E408=Constants!$B$2,TRUE(),IF(E408=Constants!$B$3,FALSE(),TRUE())))</f>
        <v/>
      </c>
      <c r="AG408" s="135" t="str">
        <f aca="false">IF(ISBLANK($C408),"",IF(F408=Constants!$B$2,TRUE(),IF(F408=Constants!$B$3,FALSE(),TRUE())))</f>
        <v/>
      </c>
      <c r="AH408" s="135" t="str">
        <f aca="false">IF(ISBLANK($C408),"",IF(G408=Constants!$B$2,TRUE(),IF(G408=Constants!$B$3,FALSE(),TRUE())))</f>
        <v/>
      </c>
      <c r="AI408" s="135" t="str">
        <f aca="false">IF(ISBLANK($C408),"",IF(AND(ISNUMBER(H408),H408&gt;=0),H408,Constants!$B$24))</f>
        <v/>
      </c>
      <c r="AJ408" s="135" t="str">
        <f aca="false">IF(ISBLANK($C408),"",IF(I408=Constants!$B$2,TRUE(),IF(I408=Constants!$B$3,FALSE(),TRUE())))</f>
        <v/>
      </c>
      <c r="AK408" s="135" t="str">
        <f aca="false">IF(ISBLANK($C408),"",IF(J408=Constants!$B$2,TRUE(),IF(J408=Constants!$B$3,FALSE(),TRUE())))</f>
        <v/>
      </c>
      <c r="AL408" s="135" t="str">
        <f aca="false">IF(ISBLANK($C408),"",IF(K408=Constants!$B$4,TRUE(),IF(K408=Constants!$B$5,FALSE(),COUNTA(L408:P408)&gt;0)))</f>
        <v/>
      </c>
      <c r="AM408" s="136" t="str">
        <f aca="false">IF(ISBLANK($C408),"",IF(ISNUMBER(L408),IF(L408&gt;=0,L408,""),""))</f>
        <v/>
      </c>
      <c r="AN408" s="137" t="str">
        <f aca="false">IF(ISBLANK($C408),"",IF(ISNUMBER(M408),IF(M408&gt;=0,M408,""),""))</f>
        <v/>
      </c>
      <c r="AO408" s="137" t="str">
        <f aca="false">IF(ISBLANK($C408),"",IF(N408=Constants!$B$2,TRUE(),IF(N408=Constants!$B$3,FALSE(),TRUE())))</f>
        <v/>
      </c>
      <c r="AP408" s="135" t="str">
        <f aca="false">IF(ISBLANK($C408),"",IF(ISNUMBER(O408),IF(O408&gt;=0,O408,""),""))</f>
        <v/>
      </c>
      <c r="AQ408" s="135" t="str">
        <f aca="false">IF(ISBLANK($C408),"",IF(P408=Constants!$B$2,TRUE(),IF(P408=Constants!$B$3,FALSE(),FALSE())))</f>
        <v/>
      </c>
      <c r="AR408" s="135" t="str">
        <f aca="false">IF(ISBLANK($C408),"",IF(Q408=Constants!$B$2,TRUE(),IF(Q408=Constants!$B$3,FALSE(),TRUE())))</f>
        <v/>
      </c>
      <c r="AS408" s="135" t="str">
        <f aca="false">IF(ISBLANK($C408),"",IF(R408=Constants!$B$2,TRUE(),IF(R408=Constants!$B$3,FALSE(),TRUE())))</f>
        <v/>
      </c>
      <c r="AT408" s="135" t="str">
        <f aca="false">IF(ISBLANK($C408),"",IF(S408=Constants!$B$4,TRUE(),IF(S408=Constants!$B$5,FALSE(),COUNTA(T408:X408)&gt;0)))</f>
        <v/>
      </c>
      <c r="AU408" s="136" t="str">
        <f aca="false">IF(ISBLANK($C408),"",IF(ISNUMBER(T408),IF(T408&gt;=0,T408,""),""))</f>
        <v/>
      </c>
      <c r="AV408" s="137" t="str">
        <f aca="false">IF(ISBLANK($C408),"",IF(ISNUMBER(U408),IF(U408&gt;=0,U408,""),""))</f>
        <v/>
      </c>
      <c r="AW408" s="137" t="str">
        <f aca="false">IF(ISBLANK($C408),"",IF(V408=Constants!$B$2,TRUE(),IF(V408=Constants!$B$3,FALSE(),TRUE())))</f>
        <v/>
      </c>
      <c r="AX408" s="135" t="str">
        <f aca="false">IF(ISBLANK($C408),"",IF(ISNUMBER(W408),IF(W408&gt;=0,W408,""),""))</f>
        <v/>
      </c>
      <c r="AY408" s="135" t="str">
        <f aca="false">IF(ISBLANK($C408),"",IF(X408=Constants!$B$2,TRUE(),IF(X408=Constants!$B$3,FALSE(),FALSE())))</f>
        <v/>
      </c>
      <c r="AZ408" s="135" t="str">
        <f aca="false">IF(ISBLANK($C408),"",MIN(Constants!$B$25,MAX(0,IF(ISNUMBER(Y408),Y408*60,0)+IF(ISNUMBER(Z408),Z408,0))))</f>
        <v/>
      </c>
      <c r="BA408" s="135" t="str">
        <f aca="false">IF(ISBLANK($C408),"",IF(AA408=Constants!$B$2,TRUE(),IF(AA408=Constants!$B$3,FALSE(),FALSE())))</f>
        <v/>
      </c>
      <c r="BB408" s="134" t="str">
        <f aca="false">IF(ISBLANK($C408),"",AND($AL408,OR($AM408="",$AN408="",AND($AO408,$AP408=""))))</f>
        <v/>
      </c>
      <c r="BC408" s="137" t="str">
        <f aca="false">IF($BX408&lt;&gt;Constants!$B$6,"",IF($AL408,Constants!$B$17*$AN408+Constants!$B$18*IF($AO408,$AP408,Constants!$B$19),Constants!$B$20))</f>
        <v/>
      </c>
      <c r="BD408" s="138" t="str">
        <f aca="false">IF($BX408&lt;&gt;Constants!$B$6,"",Constants!$B$21*ABS($AD$9-IF($AL408,$AM408,0)))</f>
        <v/>
      </c>
      <c r="BE408" s="138" t="str">
        <f aca="false">IF($BX408&lt;&gt;Constants!$B$6,"",IF(AND($AL408,$AQ408,$AO408),Constants!$B$22,0))</f>
        <v/>
      </c>
      <c r="BF408" s="138" t="str">
        <f aca="false">IF($BX408&lt;&gt;Constants!$B$6,"",IF($AL408,($AI408-Constants!$B$24)*Constants!$B$23,0))</f>
        <v/>
      </c>
      <c r="BG408" s="138" t="str">
        <f aca="false">IF($BX408&lt;&gt;Constants!$B$6,"",IF($AK408,0,Constants!$B$12)+IF($AJ408,0,Constants!$B$13)+IF($AH408,0,Constants!$B$14))</f>
        <v/>
      </c>
      <c r="BH408" s="139" t="str">
        <f aca="false">IF($BX408&lt;&gt;Constants!$B$6,"",Constants!$B$16+SUM($BC408:$BG408))</f>
        <v/>
      </c>
      <c r="BI408" s="138" t="str">
        <f aca="false">IF($BX408&lt;&gt;Constants!$B$6,"",$BC408)</f>
        <v/>
      </c>
      <c r="BJ408" s="138" t="str">
        <f aca="false">IF($BX408&lt;&gt;Constants!$B$6,"",$BD408)</f>
        <v/>
      </c>
      <c r="BK408" s="140" t="str">
        <f aca="false">IF($BX408&lt;&gt;Constants!$B$6,"",IF($AL408,$AN408,""))</f>
        <v/>
      </c>
      <c r="BL408" s="135" t="str">
        <f aca="false">IF($BX408&lt;&gt;Constants!$B$6,"",IF(OR($BS408&lt;$BH408,AND($BS408=$BH408,OR($BT408&lt;$BI408,AND($BT408=$BI408,OR($BU408&lt;$BJ408,AND($BU408=$BJ408,AND(ISNUMBER($BV408),OR(NOT(ISNUMBER($BK408)),$BV408&lt;$BK408)))))))),"-&gt;","&lt;-"))</f>
        <v/>
      </c>
      <c r="BM408" s="134" t="str">
        <f aca="false">IF(ISBLANK($C408),"",AND($AT408,OR($AU408="",$AV408="",AND($AW408,$AX408=""))))</f>
        <v/>
      </c>
      <c r="BN408" s="137" t="str">
        <f aca="false">IF($BX408&lt;&gt;Constants!$B$6,"",IF($AT408,Constants!$B$17*$AV408+Constants!$B$18*IF($AW408,$AX408,Constants!$B$19),Constants!$B$20))</f>
        <v/>
      </c>
      <c r="BO408" s="138" t="str">
        <f aca="false">IF($BX408&lt;&gt;Constants!$B$6,"",Constants!$B$21*ABS($AD$9-IF($AT408,$AU408,0)))</f>
        <v/>
      </c>
      <c r="BP408" s="138" t="str">
        <f aca="false">IF($BX408&lt;&gt;Constants!$B$6,"",IF(AND($AT408,$AY408,$AW408),Constants!$B$22,0))</f>
        <v/>
      </c>
      <c r="BQ408" s="138" t="str">
        <f aca="false">IF($BX408&lt;&gt;Constants!$B$6,"",IF($AT408,($AI408-Constants!$B$24)*Constants!$B$23,0))</f>
        <v/>
      </c>
      <c r="BR408" s="138" t="str">
        <f aca="false">IF($BX408&lt;&gt;Constants!$B$6,"",IF($AS408,0,Constants!$B$12)+IF($AR408,0,Constants!$B$13)+IF($AH408,0,Constants!$B$14))</f>
        <v/>
      </c>
      <c r="BS408" s="139" t="str">
        <f aca="false">IF($BX408&lt;&gt;Constants!$B$6,"",Constants!$B$16+SUM($BN408:$BR408))</f>
        <v/>
      </c>
      <c r="BT408" s="138" t="str">
        <f aca="false">IF($BX408&lt;&gt;Constants!$B$6,"",$BN408)</f>
        <v/>
      </c>
      <c r="BU408" s="138" t="str">
        <f aca="false">IF($BX408&lt;&gt;Constants!$B$6,"",$BO408)</f>
        <v/>
      </c>
      <c r="BV408" s="140" t="str">
        <f aca="false">IF($BX408&lt;&gt;Constants!$B$6,"",IF($AT408,$AV408,""))</f>
        <v/>
      </c>
      <c r="BW408" s="135" t="str">
        <f aca="false">IF(ISBLANK($C408),"",IF(ISBLANK($D$7),$BW$5,IF(NOT(ISNUMBER($D$7)),$BW$6,"")))</f>
        <v/>
      </c>
      <c r="BX408" s="135" t="str">
        <f aca="false">IF(ISBLANK($C408),"",IF($BA408,Constants!$B$9,IF(COUNTA($E408:$AA408)=0,Constants!$B$8,IF(NOT($AG408),Constants!$B$7,IF(OR($BW408&lt;&gt;"",$BB408,$BM408),Constants!$B$10,Constants!$B$6)))))</f>
        <v/>
      </c>
      <c r="BY408" s="135" t="str">
        <f aca="false">IF(ISBLANK($C408),"",IF($BX408&lt;&gt;Constants!$B$6,$BX408,Constants!$B$11))</f>
        <v/>
      </c>
      <c r="BZ408" s="138" t="str">
        <f aca="false">IF($BX408&lt;&gt;Constants!$B$6,"",IF($BL408="-&gt;",$BS408,$BH408))</f>
        <v/>
      </c>
      <c r="CA408" s="138" t="str">
        <f aca="false">IF($BX408&lt;&gt;Constants!$B$6,"",IF($AF408,0,Constants!$B$15))</f>
        <v/>
      </c>
      <c r="CB408" s="138" t="str">
        <f aca="false">IF($BX408&lt;&gt;Constants!$B$6,"",((Constants!$B$25-$AZ408)-Constants!$B$25)/Constants!$B$26)</f>
        <v/>
      </c>
      <c r="CC408" s="138" t="str">
        <f aca="false">IF(ISBLANK($C408),"",IF($BX408&lt;&gt;Constants!$B$6,$BX408,SUM($BZ408:$CB408)))</f>
        <v/>
      </c>
      <c r="CD408" s="135" t="str">
        <f aca="false">IF(ISBLANK($C408),"",IF($BX408&lt;&gt;Constants!$B$6,$BX408,RANK($CC408,$CC$9:$CC$508,1)))</f>
        <v/>
      </c>
      <c r="CE408" s="138" t="str">
        <f aca="false">IF($BX408&lt;&gt;Constants!$B$6,"",IF($BL408="-&gt;",$BT408,$BI408))</f>
        <v/>
      </c>
      <c r="CF408" s="135" t="str">
        <f aca="false">IF(ISBLANK($C408),"",IF($BX408&lt;&gt;Constants!$B$6,$BX408,IF(ISNUMBER($CE408),RANK($CE408,$CE$9:$CE$508,1),COUNT($CE$9:$CE$508)+1)))</f>
        <v/>
      </c>
      <c r="CG408" s="138" t="str">
        <f aca="false">IF($BX408&lt;&gt;Constants!$B$6,"",IF($BL408="-&gt;",$BU408,$BJ408))</f>
        <v/>
      </c>
      <c r="CH408" s="135" t="str">
        <f aca="false">IF(ISBLANK($C408),"",IF($BX408&lt;&gt;Constants!$B$6,$BX408,IF(ISNUMBER($CG408),RANK($CG408,$CG$9:$CG$508,1),COUNT($CG$9:$CG$508)+1)))</f>
        <v/>
      </c>
      <c r="CI408" s="138" t="str">
        <f aca="false">IF($BX408&lt;&gt;Constants!$B$6,"",IF($BL408="-&gt;",$BV408,$BK408))</f>
        <v/>
      </c>
      <c r="CJ408" s="135" t="str">
        <f aca="false">IF(ISBLANK($C408),"",IF($BX408&lt;&gt;Constants!$B$6,$BX408,IF(ISNUMBER($CI408),RANK($CI408,$CI$9:$CI$508,1),COUNT($CI$9:$CI$508)+1)))</f>
        <v/>
      </c>
      <c r="CK408" s="138" t="str">
        <f aca="false">IF($BX408&lt;&gt;Constants!$B$6,"",$AI408)</f>
        <v/>
      </c>
      <c r="CL408" s="135" t="str">
        <f aca="false">IF(ISBLANK($C408),"",IF($BX408&lt;&gt;Constants!$B$6,$BX408,IF(ISNUMBER($CK408),RANK($CK408,$CK$9:$CK$508,1),COUNT($CK$9:$CK$508)+1)))</f>
        <v/>
      </c>
      <c r="CM408" s="135" t="str">
        <f aca="false">IF(ISBLANK($C408),"",IF($BX408&lt;&gt;Constants!$B$6,$BX408,COUNTIFS($CD$9:$CD$508,"&lt;"&amp;$CD408)+COUNTIFS($CD$9:$CD$508,$CD408,$CF$9:$CF$508,"&lt;"&amp;$CF408)+COUNTIFS($CD$9:$CD$508,$CD408,$CF$9:$CF$508,$CF408,$CH$9:$CH$508,"&lt;"&amp;$CH408)+COUNTIFS($CD$9:$CD$508,$CD408,$CF$9:$CF$508,$CF408,$CH$9:$CH$508,$CH408,$CJ$9:$CJ$508,"&lt;"&amp;$CJ408)+COUNTIFS($CD$9:$CD$508,$CD408,$CF$9:$CF$508,$CF408,$CH$9:$CH$508,$CH408,$CJ$9:$CJ$508,$CJ408,$CL$9:$CL$508,"&lt;"&amp;$CL408)+1))</f>
        <v/>
      </c>
      <c r="CN408" s="135" t="str">
        <f aca="false">IF(ISBLANK($C408),"",IF($BX408&lt;&gt;Constants!$B$6,$BX408,$CD408-$CM408))</f>
        <v/>
      </c>
      <c r="CO408" s="141"/>
      <c r="CP408" s="142"/>
      <c r="CQ408" s="143" t="str">
        <f aca="false">IF(ISBLANK($C408),"",IF($BX408=Constants!$B$10,$BW408,""))</f>
        <v/>
      </c>
      <c r="CR408" s="142" t="str">
        <f aca="false">IF(ISBLANK($C408),"",IF($BX408&lt;&gt;Constants!$B$6,"",IF($BL408="-&gt;",2,1)))</f>
        <v/>
      </c>
      <c r="CS408" s="144" t="str">
        <f aca="false">IF(ISBLANK($C408),"",IF($BX408&lt;&gt;Constants!$B$6,"",IF($BL408="-&gt;",$BN408,$BC408)))</f>
        <v/>
      </c>
      <c r="CT408" s="144" t="str">
        <f aca="false">IF(ISBLANK($C408),"",IF($BX408&lt;&gt;Constants!$B$6,"",IF($BL408="-&gt;",$BO408,$BD408)))</f>
        <v/>
      </c>
      <c r="CU408" s="144" t="str">
        <f aca="false">IF(ISBLANK($C408),"",IF($BX408&lt;&gt;Constants!$B$6,"",IF($BL408="-&gt;",$BP408+$BQ408,$BE408+$BF408)+$CB408))</f>
        <v/>
      </c>
      <c r="CV408" s="144" t="str">
        <f aca="false">IF(ISBLANK($C408),"",IF($BX408&lt;&gt;Constants!$B$6,"",IF($BL408="-&gt;",$BR408,$BG408)+$CA408))</f>
        <v/>
      </c>
      <c r="CW408" s="145" t="str">
        <f aca="false">IF(ISBLANK($C408),"",IF($BX408&lt;&gt;Constants!$B$6,$BX408,$CC408))</f>
        <v/>
      </c>
      <c r="CX408" s="146" t="str">
        <f aca="false">IF(ISBLANK($C408),"",$BY408)</f>
        <v/>
      </c>
      <c r="CY408" s="147" t="str">
        <f aca="false">IF(ISBLANK($C408),"",$CN408)</f>
        <v/>
      </c>
      <c r="CZ408" s="147" t="str">
        <f aca="false">IF(ISBLANK($C408),"",$CM408)</f>
        <v/>
      </c>
      <c r="DA408" s="148" t="str">
        <f aca="false">IF(ISBLANK($C408),"",IFERROR(_xlfn.SWITCH($CZ408,Constants!$B$9,COUNTA($C$9:$C$508)+2,Constants!$B$8,COUNTA($C$9:$C$508)+1,Constants!$B$7,COUNTA($C$9:$C$508)),$CZ408))</f>
        <v/>
      </c>
      <c r="DB408" s="9"/>
      <c r="DC408" s="149" t="n">
        <f aca="false">IF(OR(ISNUMBER($CZ408),$CZ408=Constants!$B$9,$CZ408=Constants!$B$7,$CZ408=Constants!$B$8),1,0)</f>
        <v>0</v>
      </c>
      <c r="DD408" s="149" t="n">
        <v>400</v>
      </c>
      <c r="DE408" s="149" t="str">
        <f aca="false">IF(ISBLANK($C408),"",IF(ISNUMBER($DA408),$DA408+ROW($B408)/1000,""))</f>
        <v/>
      </c>
      <c r="DF408" s="149" t="str">
        <f aca="false">IF(ISNUMBER($DE408),RANK($DE408,$DE$9:$DE$508,1),"")</f>
        <v/>
      </c>
      <c r="DG408" s="149" t="str">
        <f aca="false">IF(ISBLANK($C408),"",$B408)</f>
        <v/>
      </c>
      <c r="DH408" s="149" t="str">
        <f aca="false">IF(ISBLANK($C408),"",$C408)</f>
        <v/>
      </c>
      <c r="DI408" s="149" t="str">
        <f aca="false">IF(ISBLANK($C408),"",$D408)</f>
        <v/>
      </c>
      <c r="DJ408" s="150" t="str">
        <f aca="false">$CX408</f>
        <v/>
      </c>
      <c r="DK408" s="151" t="str">
        <f aca="false">$CW408</f>
        <v/>
      </c>
      <c r="DL408" s="149" t="str">
        <f aca="false">IF(ISBLANK($C408),"",$CZ408)</f>
        <v/>
      </c>
      <c r="DM408" s="152" t="str">
        <f aca="false">IF($DD408&gt;$DC$8,"",VLOOKUP($DD408,$DF$9:$DL$508,7,FALSE()))</f>
        <v/>
      </c>
      <c r="DN408" s="153" t="str">
        <f aca="false">IF($DD408&gt;$DC$8,"",VLOOKUP($DD408,$DF$9:$DL$508,2,FALSE()))</f>
        <v/>
      </c>
      <c r="DO408" s="153" t="str">
        <f aca="false">IF($DD408&gt;$DC$8,"",VLOOKUP($DD408,$DF$9:$DL$508,3,FALSE()))</f>
        <v/>
      </c>
      <c r="DP408" s="153" t="str">
        <f aca="false">IF($DD408&gt;$DC$8,"",VLOOKUP($DD408,$DF$9:$DL$508,4,FALSE()))</f>
        <v/>
      </c>
      <c r="DQ408" s="153" t="str">
        <f aca="false">IF($DD408&gt;$DC$8,"",VLOOKUP($DD408,$DF$9:$DL$508,5,FALSE()))</f>
        <v/>
      </c>
      <c r="DR408" s="154" t="str">
        <f aca="false">IF($DD408&gt;$DC$8,"",VLOOKUP($DD408,$DF$9:$DL$508,6,FALSE()))</f>
        <v/>
      </c>
      <c r="DS408" s="76"/>
    </row>
    <row r="409" customFormat="false" ht="15.75" hidden="false" customHeight="false" outlineLevel="0" collapsed="false">
      <c r="A409" s="9"/>
      <c r="B409" s="160"/>
      <c r="C409" s="161"/>
      <c r="D409" s="162"/>
      <c r="E409" s="180"/>
      <c r="F409" s="164"/>
      <c r="G409" s="165"/>
      <c r="H409" s="165"/>
      <c r="I409" s="181"/>
      <c r="J409" s="168"/>
      <c r="K409" s="128"/>
      <c r="L409" s="129"/>
      <c r="M409" s="130"/>
      <c r="N409" s="168"/>
      <c r="O409" s="168"/>
      <c r="P409" s="180"/>
      <c r="Q409" s="168"/>
      <c r="R409" s="168"/>
      <c r="S409" s="128"/>
      <c r="T409" s="130"/>
      <c r="U409" s="130"/>
      <c r="V409" s="168"/>
      <c r="W409" s="168"/>
      <c r="X409" s="180"/>
      <c r="Y409" s="168"/>
      <c r="Z409" s="169"/>
      <c r="AA409" s="168"/>
      <c r="AB409" s="134"/>
      <c r="AC409" s="135"/>
      <c r="AD409" s="135"/>
      <c r="AE409" s="135"/>
      <c r="AF409" s="135" t="str">
        <f aca="false">IF(ISBLANK($C409),"",IF(E409=Constants!$B$2,TRUE(),IF(E409=Constants!$B$3,FALSE(),TRUE())))</f>
        <v/>
      </c>
      <c r="AG409" s="135" t="str">
        <f aca="false">IF(ISBLANK($C409),"",IF(F409=Constants!$B$2,TRUE(),IF(F409=Constants!$B$3,FALSE(),TRUE())))</f>
        <v/>
      </c>
      <c r="AH409" s="135" t="str">
        <f aca="false">IF(ISBLANK($C409),"",IF(G409=Constants!$B$2,TRUE(),IF(G409=Constants!$B$3,FALSE(),TRUE())))</f>
        <v/>
      </c>
      <c r="AI409" s="135" t="str">
        <f aca="false">IF(ISBLANK($C409),"",IF(AND(ISNUMBER(H409),H409&gt;=0),H409,Constants!$B$24))</f>
        <v/>
      </c>
      <c r="AJ409" s="135" t="str">
        <f aca="false">IF(ISBLANK($C409),"",IF(I409=Constants!$B$2,TRUE(),IF(I409=Constants!$B$3,FALSE(),TRUE())))</f>
        <v/>
      </c>
      <c r="AK409" s="135" t="str">
        <f aca="false">IF(ISBLANK($C409),"",IF(J409=Constants!$B$2,TRUE(),IF(J409=Constants!$B$3,FALSE(),TRUE())))</f>
        <v/>
      </c>
      <c r="AL409" s="135" t="str">
        <f aca="false">IF(ISBLANK($C409),"",IF(K409=Constants!$B$4,TRUE(),IF(K409=Constants!$B$5,FALSE(),COUNTA(L409:P409)&gt;0)))</f>
        <v/>
      </c>
      <c r="AM409" s="136" t="str">
        <f aca="false">IF(ISBLANK($C409),"",IF(ISNUMBER(L409),IF(L409&gt;=0,L409,""),""))</f>
        <v/>
      </c>
      <c r="AN409" s="137" t="str">
        <f aca="false">IF(ISBLANK($C409),"",IF(ISNUMBER(M409),IF(M409&gt;=0,M409,""),""))</f>
        <v/>
      </c>
      <c r="AO409" s="137" t="str">
        <f aca="false">IF(ISBLANK($C409),"",IF(N409=Constants!$B$2,TRUE(),IF(N409=Constants!$B$3,FALSE(),TRUE())))</f>
        <v/>
      </c>
      <c r="AP409" s="135" t="str">
        <f aca="false">IF(ISBLANK($C409),"",IF(ISNUMBER(O409),IF(O409&gt;=0,O409,""),""))</f>
        <v/>
      </c>
      <c r="AQ409" s="135" t="str">
        <f aca="false">IF(ISBLANK($C409),"",IF(P409=Constants!$B$2,TRUE(),IF(P409=Constants!$B$3,FALSE(),FALSE())))</f>
        <v/>
      </c>
      <c r="AR409" s="135" t="str">
        <f aca="false">IF(ISBLANK($C409),"",IF(Q409=Constants!$B$2,TRUE(),IF(Q409=Constants!$B$3,FALSE(),TRUE())))</f>
        <v/>
      </c>
      <c r="AS409" s="135" t="str">
        <f aca="false">IF(ISBLANK($C409),"",IF(R409=Constants!$B$2,TRUE(),IF(R409=Constants!$B$3,FALSE(),TRUE())))</f>
        <v/>
      </c>
      <c r="AT409" s="135" t="str">
        <f aca="false">IF(ISBLANK($C409),"",IF(S409=Constants!$B$4,TRUE(),IF(S409=Constants!$B$5,FALSE(),COUNTA(T409:X409)&gt;0)))</f>
        <v/>
      </c>
      <c r="AU409" s="136" t="str">
        <f aca="false">IF(ISBLANK($C409),"",IF(ISNUMBER(T409),IF(T409&gt;=0,T409,""),""))</f>
        <v/>
      </c>
      <c r="AV409" s="137" t="str">
        <f aca="false">IF(ISBLANK($C409),"",IF(ISNUMBER(U409),IF(U409&gt;=0,U409,""),""))</f>
        <v/>
      </c>
      <c r="AW409" s="137" t="str">
        <f aca="false">IF(ISBLANK($C409),"",IF(V409=Constants!$B$2,TRUE(),IF(V409=Constants!$B$3,FALSE(),TRUE())))</f>
        <v/>
      </c>
      <c r="AX409" s="135" t="str">
        <f aca="false">IF(ISBLANK($C409),"",IF(ISNUMBER(W409),IF(W409&gt;=0,W409,""),""))</f>
        <v/>
      </c>
      <c r="AY409" s="135" t="str">
        <f aca="false">IF(ISBLANK($C409),"",IF(X409=Constants!$B$2,TRUE(),IF(X409=Constants!$B$3,FALSE(),FALSE())))</f>
        <v/>
      </c>
      <c r="AZ409" s="135" t="str">
        <f aca="false">IF(ISBLANK($C409),"",MIN(Constants!$B$25,MAX(0,IF(ISNUMBER(Y409),Y409*60,0)+IF(ISNUMBER(Z409),Z409,0))))</f>
        <v/>
      </c>
      <c r="BA409" s="135" t="str">
        <f aca="false">IF(ISBLANK($C409),"",IF(AA409=Constants!$B$2,TRUE(),IF(AA409=Constants!$B$3,FALSE(),FALSE())))</f>
        <v/>
      </c>
      <c r="BB409" s="134" t="str">
        <f aca="false">IF(ISBLANK($C409),"",AND($AL409,OR($AM409="",$AN409="",AND($AO409,$AP409=""))))</f>
        <v/>
      </c>
      <c r="BC409" s="137" t="str">
        <f aca="false">IF($BX409&lt;&gt;Constants!$B$6,"",IF($AL409,Constants!$B$17*$AN409+Constants!$B$18*IF($AO409,$AP409,Constants!$B$19),Constants!$B$20))</f>
        <v/>
      </c>
      <c r="BD409" s="138" t="str">
        <f aca="false">IF($BX409&lt;&gt;Constants!$B$6,"",Constants!$B$21*ABS($AD$9-IF($AL409,$AM409,0)))</f>
        <v/>
      </c>
      <c r="BE409" s="138" t="str">
        <f aca="false">IF($BX409&lt;&gt;Constants!$B$6,"",IF(AND($AL409,$AQ409,$AO409),Constants!$B$22,0))</f>
        <v/>
      </c>
      <c r="BF409" s="138" t="str">
        <f aca="false">IF($BX409&lt;&gt;Constants!$B$6,"",IF($AL409,($AI409-Constants!$B$24)*Constants!$B$23,0))</f>
        <v/>
      </c>
      <c r="BG409" s="138" t="str">
        <f aca="false">IF($BX409&lt;&gt;Constants!$B$6,"",IF($AK409,0,Constants!$B$12)+IF($AJ409,0,Constants!$B$13)+IF($AH409,0,Constants!$B$14))</f>
        <v/>
      </c>
      <c r="BH409" s="139" t="str">
        <f aca="false">IF($BX409&lt;&gt;Constants!$B$6,"",Constants!$B$16+SUM($BC409:$BG409))</f>
        <v/>
      </c>
      <c r="BI409" s="138" t="str">
        <f aca="false">IF($BX409&lt;&gt;Constants!$B$6,"",$BC409)</f>
        <v/>
      </c>
      <c r="BJ409" s="138" t="str">
        <f aca="false">IF($BX409&lt;&gt;Constants!$B$6,"",$BD409)</f>
        <v/>
      </c>
      <c r="BK409" s="140" t="str">
        <f aca="false">IF($BX409&lt;&gt;Constants!$B$6,"",IF($AL409,$AN409,""))</f>
        <v/>
      </c>
      <c r="BL409" s="135" t="str">
        <f aca="false">IF($BX409&lt;&gt;Constants!$B$6,"",IF(OR($BS409&lt;$BH409,AND($BS409=$BH409,OR($BT409&lt;$BI409,AND($BT409=$BI409,OR($BU409&lt;$BJ409,AND($BU409=$BJ409,AND(ISNUMBER($BV409),OR(NOT(ISNUMBER($BK409)),$BV409&lt;$BK409)))))))),"-&gt;","&lt;-"))</f>
        <v/>
      </c>
      <c r="BM409" s="134" t="str">
        <f aca="false">IF(ISBLANK($C409),"",AND($AT409,OR($AU409="",$AV409="",AND($AW409,$AX409=""))))</f>
        <v/>
      </c>
      <c r="BN409" s="137" t="str">
        <f aca="false">IF($BX409&lt;&gt;Constants!$B$6,"",IF($AT409,Constants!$B$17*$AV409+Constants!$B$18*IF($AW409,$AX409,Constants!$B$19),Constants!$B$20))</f>
        <v/>
      </c>
      <c r="BO409" s="138" t="str">
        <f aca="false">IF($BX409&lt;&gt;Constants!$B$6,"",Constants!$B$21*ABS($AD$9-IF($AT409,$AU409,0)))</f>
        <v/>
      </c>
      <c r="BP409" s="138" t="str">
        <f aca="false">IF($BX409&lt;&gt;Constants!$B$6,"",IF(AND($AT409,$AY409,$AW409),Constants!$B$22,0))</f>
        <v/>
      </c>
      <c r="BQ409" s="138" t="str">
        <f aca="false">IF($BX409&lt;&gt;Constants!$B$6,"",IF($AT409,($AI409-Constants!$B$24)*Constants!$B$23,0))</f>
        <v/>
      </c>
      <c r="BR409" s="138" t="str">
        <f aca="false">IF($BX409&lt;&gt;Constants!$B$6,"",IF($AS409,0,Constants!$B$12)+IF($AR409,0,Constants!$B$13)+IF($AH409,0,Constants!$B$14))</f>
        <v/>
      </c>
      <c r="BS409" s="139" t="str">
        <f aca="false">IF($BX409&lt;&gt;Constants!$B$6,"",Constants!$B$16+SUM($BN409:$BR409))</f>
        <v/>
      </c>
      <c r="BT409" s="138" t="str">
        <f aca="false">IF($BX409&lt;&gt;Constants!$B$6,"",$BN409)</f>
        <v/>
      </c>
      <c r="BU409" s="138" t="str">
        <f aca="false">IF($BX409&lt;&gt;Constants!$B$6,"",$BO409)</f>
        <v/>
      </c>
      <c r="BV409" s="140" t="str">
        <f aca="false">IF($BX409&lt;&gt;Constants!$B$6,"",IF($AT409,$AV409,""))</f>
        <v/>
      </c>
      <c r="BW409" s="135" t="str">
        <f aca="false">IF(ISBLANK($C409),"",IF(ISBLANK($D$7),$BW$5,IF(NOT(ISNUMBER($D$7)),$BW$6,"")))</f>
        <v/>
      </c>
      <c r="BX409" s="135" t="str">
        <f aca="false">IF(ISBLANK($C409),"",IF($BA409,Constants!$B$9,IF(COUNTA($E409:$AA409)=0,Constants!$B$8,IF(NOT($AG409),Constants!$B$7,IF(OR($BW409&lt;&gt;"",$BB409,$BM409),Constants!$B$10,Constants!$B$6)))))</f>
        <v/>
      </c>
      <c r="BY409" s="135" t="str">
        <f aca="false">IF(ISBLANK($C409),"",IF($BX409&lt;&gt;Constants!$B$6,$BX409,Constants!$B$11))</f>
        <v/>
      </c>
      <c r="BZ409" s="138" t="str">
        <f aca="false">IF($BX409&lt;&gt;Constants!$B$6,"",IF($BL409="-&gt;",$BS409,$BH409))</f>
        <v/>
      </c>
      <c r="CA409" s="138" t="str">
        <f aca="false">IF($BX409&lt;&gt;Constants!$B$6,"",IF($AF409,0,Constants!$B$15))</f>
        <v/>
      </c>
      <c r="CB409" s="138" t="str">
        <f aca="false">IF($BX409&lt;&gt;Constants!$B$6,"",((Constants!$B$25-$AZ409)-Constants!$B$25)/Constants!$B$26)</f>
        <v/>
      </c>
      <c r="CC409" s="138" t="str">
        <f aca="false">IF(ISBLANK($C409),"",IF($BX409&lt;&gt;Constants!$B$6,$BX409,SUM($BZ409:$CB409)))</f>
        <v/>
      </c>
      <c r="CD409" s="135" t="str">
        <f aca="false">IF(ISBLANK($C409),"",IF($BX409&lt;&gt;Constants!$B$6,$BX409,RANK($CC409,$CC$9:$CC$508,1)))</f>
        <v/>
      </c>
      <c r="CE409" s="138" t="str">
        <f aca="false">IF($BX409&lt;&gt;Constants!$B$6,"",IF($BL409="-&gt;",$BT409,$BI409))</f>
        <v/>
      </c>
      <c r="CF409" s="135" t="str">
        <f aca="false">IF(ISBLANK($C409),"",IF($BX409&lt;&gt;Constants!$B$6,$BX409,IF(ISNUMBER($CE409),RANK($CE409,$CE$9:$CE$508,1),COUNT($CE$9:$CE$508)+1)))</f>
        <v/>
      </c>
      <c r="CG409" s="138" t="str">
        <f aca="false">IF($BX409&lt;&gt;Constants!$B$6,"",IF($BL409="-&gt;",$BU409,$BJ409))</f>
        <v/>
      </c>
      <c r="CH409" s="135" t="str">
        <f aca="false">IF(ISBLANK($C409),"",IF($BX409&lt;&gt;Constants!$B$6,$BX409,IF(ISNUMBER($CG409),RANK($CG409,$CG$9:$CG$508,1),COUNT($CG$9:$CG$508)+1)))</f>
        <v/>
      </c>
      <c r="CI409" s="138" t="str">
        <f aca="false">IF($BX409&lt;&gt;Constants!$B$6,"",IF($BL409="-&gt;",$BV409,$BK409))</f>
        <v/>
      </c>
      <c r="CJ409" s="135" t="str">
        <f aca="false">IF(ISBLANK($C409),"",IF($BX409&lt;&gt;Constants!$B$6,$BX409,IF(ISNUMBER($CI409),RANK($CI409,$CI$9:$CI$508,1),COUNT($CI$9:$CI$508)+1)))</f>
        <v/>
      </c>
      <c r="CK409" s="138" t="str">
        <f aca="false">IF($BX409&lt;&gt;Constants!$B$6,"",$AI409)</f>
        <v/>
      </c>
      <c r="CL409" s="135" t="str">
        <f aca="false">IF(ISBLANK($C409),"",IF($BX409&lt;&gt;Constants!$B$6,$BX409,IF(ISNUMBER($CK409),RANK($CK409,$CK$9:$CK$508,1),COUNT($CK$9:$CK$508)+1)))</f>
        <v/>
      </c>
      <c r="CM409" s="135" t="str">
        <f aca="false">IF(ISBLANK($C409),"",IF($BX409&lt;&gt;Constants!$B$6,$BX409,COUNTIFS($CD$9:$CD$508,"&lt;"&amp;$CD409)+COUNTIFS($CD$9:$CD$508,$CD409,$CF$9:$CF$508,"&lt;"&amp;$CF409)+COUNTIFS($CD$9:$CD$508,$CD409,$CF$9:$CF$508,$CF409,$CH$9:$CH$508,"&lt;"&amp;$CH409)+COUNTIFS($CD$9:$CD$508,$CD409,$CF$9:$CF$508,$CF409,$CH$9:$CH$508,$CH409,$CJ$9:$CJ$508,"&lt;"&amp;$CJ409)+COUNTIFS($CD$9:$CD$508,$CD409,$CF$9:$CF$508,$CF409,$CH$9:$CH$508,$CH409,$CJ$9:$CJ$508,$CJ409,$CL$9:$CL$508,"&lt;"&amp;$CL409)+1))</f>
        <v/>
      </c>
      <c r="CN409" s="135" t="str">
        <f aca="false">IF(ISBLANK($C409),"",IF($BX409&lt;&gt;Constants!$B$6,$BX409,$CD409-$CM409))</f>
        <v/>
      </c>
      <c r="CO409" s="141"/>
      <c r="CP409" s="142"/>
      <c r="CQ409" s="143" t="str">
        <f aca="false">IF(ISBLANK($C409),"",IF($BX409=Constants!$B$10,$BW409,""))</f>
        <v/>
      </c>
      <c r="CR409" s="142" t="str">
        <f aca="false">IF(ISBLANK($C409),"",IF($BX409&lt;&gt;Constants!$B$6,"",IF($BL409="-&gt;",2,1)))</f>
        <v/>
      </c>
      <c r="CS409" s="144" t="str">
        <f aca="false">IF(ISBLANK($C409),"",IF($BX409&lt;&gt;Constants!$B$6,"",IF($BL409="-&gt;",$BN409,$BC409)))</f>
        <v/>
      </c>
      <c r="CT409" s="144" t="str">
        <f aca="false">IF(ISBLANK($C409),"",IF($BX409&lt;&gt;Constants!$B$6,"",IF($BL409="-&gt;",$BO409,$BD409)))</f>
        <v/>
      </c>
      <c r="CU409" s="144" t="str">
        <f aca="false">IF(ISBLANK($C409),"",IF($BX409&lt;&gt;Constants!$B$6,"",IF($BL409="-&gt;",$BP409+$BQ409,$BE409+$BF409)+$CB409))</f>
        <v/>
      </c>
      <c r="CV409" s="144" t="str">
        <f aca="false">IF(ISBLANK($C409),"",IF($BX409&lt;&gt;Constants!$B$6,"",IF($BL409="-&gt;",$BR409,$BG409)+$CA409))</f>
        <v/>
      </c>
      <c r="CW409" s="145" t="str">
        <f aca="false">IF(ISBLANK($C409),"",IF($BX409&lt;&gt;Constants!$B$6,$BX409,$CC409))</f>
        <v/>
      </c>
      <c r="CX409" s="146" t="str">
        <f aca="false">IF(ISBLANK($C409),"",$BY409)</f>
        <v/>
      </c>
      <c r="CY409" s="147" t="str">
        <f aca="false">IF(ISBLANK($C409),"",$CN409)</f>
        <v/>
      </c>
      <c r="CZ409" s="147" t="str">
        <f aca="false">IF(ISBLANK($C409),"",$CM409)</f>
        <v/>
      </c>
      <c r="DA409" s="148" t="str">
        <f aca="false">IF(ISBLANK($C409),"",IFERROR(_xlfn.SWITCH($CZ409,Constants!$B$9,COUNTA($C$9:$C$508)+2,Constants!$B$8,COUNTA($C$9:$C$508)+1,Constants!$B$7,COUNTA($C$9:$C$508)),$CZ409))</f>
        <v/>
      </c>
      <c r="DB409" s="9"/>
      <c r="DC409" s="149" t="n">
        <f aca="false">IF(OR(ISNUMBER($CZ409),$CZ409=Constants!$B$9,$CZ409=Constants!$B$7,$CZ409=Constants!$B$8),1,0)</f>
        <v>0</v>
      </c>
      <c r="DD409" s="149" t="n">
        <v>401</v>
      </c>
      <c r="DE409" s="149" t="str">
        <f aca="false">IF(ISBLANK($C409),"",IF(ISNUMBER($DA409),$DA409+ROW($B409)/1000,""))</f>
        <v/>
      </c>
      <c r="DF409" s="149" t="str">
        <f aca="false">IF(ISNUMBER($DE409),RANK($DE409,$DE$9:$DE$508,1),"")</f>
        <v/>
      </c>
      <c r="DG409" s="149" t="str">
        <f aca="false">IF(ISBLANK($C409),"",$B409)</f>
        <v/>
      </c>
      <c r="DH409" s="149" t="str">
        <f aca="false">IF(ISBLANK($C409),"",$C409)</f>
        <v/>
      </c>
      <c r="DI409" s="149" t="str">
        <f aca="false">IF(ISBLANK($C409),"",$D409)</f>
        <v/>
      </c>
      <c r="DJ409" s="150" t="str">
        <f aca="false">$CX409</f>
        <v/>
      </c>
      <c r="DK409" s="151" t="str">
        <f aca="false">$CW409</f>
        <v/>
      </c>
      <c r="DL409" s="149" t="str">
        <f aca="false">IF(ISBLANK($C409),"",$CZ409)</f>
        <v/>
      </c>
      <c r="DM409" s="152" t="str">
        <f aca="false">IF($DD409&gt;$DC$8,"",VLOOKUP($DD409,$DF$9:$DL$508,7,FALSE()))</f>
        <v/>
      </c>
      <c r="DN409" s="153" t="str">
        <f aca="false">IF($DD409&gt;$DC$8,"",VLOOKUP($DD409,$DF$9:$DL$508,2,FALSE()))</f>
        <v/>
      </c>
      <c r="DO409" s="153" t="str">
        <f aca="false">IF($DD409&gt;$DC$8,"",VLOOKUP($DD409,$DF$9:$DL$508,3,FALSE()))</f>
        <v/>
      </c>
      <c r="DP409" s="153" t="str">
        <f aca="false">IF($DD409&gt;$DC$8,"",VLOOKUP($DD409,$DF$9:$DL$508,4,FALSE()))</f>
        <v/>
      </c>
      <c r="DQ409" s="153" t="str">
        <f aca="false">IF($DD409&gt;$DC$8,"",VLOOKUP($DD409,$DF$9:$DL$508,5,FALSE()))</f>
        <v/>
      </c>
      <c r="DR409" s="154" t="str">
        <f aca="false">IF($DD409&gt;$DC$8,"",VLOOKUP($DD409,$DF$9:$DL$508,6,FALSE()))</f>
        <v/>
      </c>
      <c r="DS409" s="76"/>
    </row>
    <row r="410" customFormat="false" ht="15.75" hidden="false" customHeight="false" outlineLevel="0" collapsed="false">
      <c r="A410" s="9"/>
      <c r="B410" s="160"/>
      <c r="C410" s="161"/>
      <c r="D410" s="162"/>
      <c r="E410" s="180"/>
      <c r="F410" s="164"/>
      <c r="G410" s="165"/>
      <c r="H410" s="165"/>
      <c r="I410" s="181"/>
      <c r="J410" s="168"/>
      <c r="K410" s="128"/>
      <c r="L410" s="129"/>
      <c r="M410" s="130"/>
      <c r="N410" s="168"/>
      <c r="O410" s="168"/>
      <c r="P410" s="180"/>
      <c r="Q410" s="168"/>
      <c r="R410" s="168"/>
      <c r="S410" s="128"/>
      <c r="T410" s="130"/>
      <c r="U410" s="130"/>
      <c r="V410" s="168"/>
      <c r="W410" s="168"/>
      <c r="X410" s="180"/>
      <c r="Y410" s="168"/>
      <c r="Z410" s="169"/>
      <c r="AA410" s="168"/>
      <c r="AB410" s="134"/>
      <c r="AC410" s="135"/>
      <c r="AD410" s="135"/>
      <c r="AE410" s="135"/>
      <c r="AF410" s="135" t="str">
        <f aca="false">IF(ISBLANK($C410),"",IF(E410=Constants!$B$2,TRUE(),IF(E410=Constants!$B$3,FALSE(),TRUE())))</f>
        <v/>
      </c>
      <c r="AG410" s="135" t="str">
        <f aca="false">IF(ISBLANK($C410),"",IF(F410=Constants!$B$2,TRUE(),IF(F410=Constants!$B$3,FALSE(),TRUE())))</f>
        <v/>
      </c>
      <c r="AH410" s="135" t="str">
        <f aca="false">IF(ISBLANK($C410),"",IF(G410=Constants!$B$2,TRUE(),IF(G410=Constants!$B$3,FALSE(),TRUE())))</f>
        <v/>
      </c>
      <c r="AI410" s="135" t="str">
        <f aca="false">IF(ISBLANK($C410),"",IF(AND(ISNUMBER(H410),H410&gt;=0),H410,Constants!$B$24))</f>
        <v/>
      </c>
      <c r="AJ410" s="135" t="str">
        <f aca="false">IF(ISBLANK($C410),"",IF(I410=Constants!$B$2,TRUE(),IF(I410=Constants!$B$3,FALSE(),TRUE())))</f>
        <v/>
      </c>
      <c r="AK410" s="135" t="str">
        <f aca="false">IF(ISBLANK($C410),"",IF(J410=Constants!$B$2,TRUE(),IF(J410=Constants!$B$3,FALSE(),TRUE())))</f>
        <v/>
      </c>
      <c r="AL410" s="135" t="str">
        <f aca="false">IF(ISBLANK($C410),"",IF(K410=Constants!$B$4,TRUE(),IF(K410=Constants!$B$5,FALSE(),COUNTA(L410:P410)&gt;0)))</f>
        <v/>
      </c>
      <c r="AM410" s="136" t="str">
        <f aca="false">IF(ISBLANK($C410),"",IF(ISNUMBER(L410),IF(L410&gt;=0,L410,""),""))</f>
        <v/>
      </c>
      <c r="AN410" s="137" t="str">
        <f aca="false">IF(ISBLANK($C410),"",IF(ISNUMBER(M410),IF(M410&gt;=0,M410,""),""))</f>
        <v/>
      </c>
      <c r="AO410" s="137" t="str">
        <f aca="false">IF(ISBLANK($C410),"",IF(N410=Constants!$B$2,TRUE(),IF(N410=Constants!$B$3,FALSE(),TRUE())))</f>
        <v/>
      </c>
      <c r="AP410" s="135" t="str">
        <f aca="false">IF(ISBLANK($C410),"",IF(ISNUMBER(O410),IF(O410&gt;=0,O410,""),""))</f>
        <v/>
      </c>
      <c r="AQ410" s="135" t="str">
        <f aca="false">IF(ISBLANK($C410),"",IF(P410=Constants!$B$2,TRUE(),IF(P410=Constants!$B$3,FALSE(),FALSE())))</f>
        <v/>
      </c>
      <c r="AR410" s="135" t="str">
        <f aca="false">IF(ISBLANK($C410),"",IF(Q410=Constants!$B$2,TRUE(),IF(Q410=Constants!$B$3,FALSE(),TRUE())))</f>
        <v/>
      </c>
      <c r="AS410" s="135" t="str">
        <f aca="false">IF(ISBLANK($C410),"",IF(R410=Constants!$B$2,TRUE(),IF(R410=Constants!$B$3,FALSE(),TRUE())))</f>
        <v/>
      </c>
      <c r="AT410" s="135" t="str">
        <f aca="false">IF(ISBLANK($C410),"",IF(S410=Constants!$B$4,TRUE(),IF(S410=Constants!$B$5,FALSE(),COUNTA(T410:X410)&gt;0)))</f>
        <v/>
      </c>
      <c r="AU410" s="136" t="str">
        <f aca="false">IF(ISBLANK($C410),"",IF(ISNUMBER(T410),IF(T410&gt;=0,T410,""),""))</f>
        <v/>
      </c>
      <c r="AV410" s="137" t="str">
        <f aca="false">IF(ISBLANK($C410),"",IF(ISNUMBER(U410),IF(U410&gt;=0,U410,""),""))</f>
        <v/>
      </c>
      <c r="AW410" s="137" t="str">
        <f aca="false">IF(ISBLANK($C410),"",IF(V410=Constants!$B$2,TRUE(),IF(V410=Constants!$B$3,FALSE(),TRUE())))</f>
        <v/>
      </c>
      <c r="AX410" s="135" t="str">
        <f aca="false">IF(ISBLANK($C410),"",IF(ISNUMBER(W410),IF(W410&gt;=0,W410,""),""))</f>
        <v/>
      </c>
      <c r="AY410" s="135" t="str">
        <f aca="false">IF(ISBLANK($C410),"",IF(X410=Constants!$B$2,TRUE(),IF(X410=Constants!$B$3,FALSE(),FALSE())))</f>
        <v/>
      </c>
      <c r="AZ410" s="135" t="str">
        <f aca="false">IF(ISBLANK($C410),"",MIN(Constants!$B$25,MAX(0,IF(ISNUMBER(Y410),Y410*60,0)+IF(ISNUMBER(Z410),Z410,0))))</f>
        <v/>
      </c>
      <c r="BA410" s="135" t="str">
        <f aca="false">IF(ISBLANK($C410),"",IF(AA410=Constants!$B$2,TRUE(),IF(AA410=Constants!$B$3,FALSE(),FALSE())))</f>
        <v/>
      </c>
      <c r="BB410" s="134" t="str">
        <f aca="false">IF(ISBLANK($C410),"",AND($AL410,OR($AM410="",$AN410="",AND($AO410,$AP410=""))))</f>
        <v/>
      </c>
      <c r="BC410" s="137" t="str">
        <f aca="false">IF($BX410&lt;&gt;Constants!$B$6,"",IF($AL410,Constants!$B$17*$AN410+Constants!$B$18*IF($AO410,$AP410,Constants!$B$19),Constants!$B$20))</f>
        <v/>
      </c>
      <c r="BD410" s="138" t="str">
        <f aca="false">IF($BX410&lt;&gt;Constants!$B$6,"",Constants!$B$21*ABS($AD$9-IF($AL410,$AM410,0)))</f>
        <v/>
      </c>
      <c r="BE410" s="138" t="str">
        <f aca="false">IF($BX410&lt;&gt;Constants!$B$6,"",IF(AND($AL410,$AQ410,$AO410),Constants!$B$22,0))</f>
        <v/>
      </c>
      <c r="BF410" s="138" t="str">
        <f aca="false">IF($BX410&lt;&gt;Constants!$B$6,"",IF($AL410,($AI410-Constants!$B$24)*Constants!$B$23,0))</f>
        <v/>
      </c>
      <c r="BG410" s="138" t="str">
        <f aca="false">IF($BX410&lt;&gt;Constants!$B$6,"",IF($AK410,0,Constants!$B$12)+IF($AJ410,0,Constants!$B$13)+IF($AH410,0,Constants!$B$14))</f>
        <v/>
      </c>
      <c r="BH410" s="139" t="str">
        <f aca="false">IF($BX410&lt;&gt;Constants!$B$6,"",Constants!$B$16+SUM($BC410:$BG410))</f>
        <v/>
      </c>
      <c r="BI410" s="138" t="str">
        <f aca="false">IF($BX410&lt;&gt;Constants!$B$6,"",$BC410)</f>
        <v/>
      </c>
      <c r="BJ410" s="138" t="str">
        <f aca="false">IF($BX410&lt;&gt;Constants!$B$6,"",$BD410)</f>
        <v/>
      </c>
      <c r="BK410" s="140" t="str">
        <f aca="false">IF($BX410&lt;&gt;Constants!$B$6,"",IF($AL410,$AN410,""))</f>
        <v/>
      </c>
      <c r="BL410" s="135" t="str">
        <f aca="false">IF($BX410&lt;&gt;Constants!$B$6,"",IF(OR($BS410&lt;$BH410,AND($BS410=$BH410,OR($BT410&lt;$BI410,AND($BT410=$BI410,OR($BU410&lt;$BJ410,AND($BU410=$BJ410,AND(ISNUMBER($BV410),OR(NOT(ISNUMBER($BK410)),$BV410&lt;$BK410)))))))),"-&gt;","&lt;-"))</f>
        <v/>
      </c>
      <c r="BM410" s="134" t="str">
        <f aca="false">IF(ISBLANK($C410),"",AND($AT410,OR($AU410="",$AV410="",AND($AW410,$AX410=""))))</f>
        <v/>
      </c>
      <c r="BN410" s="137" t="str">
        <f aca="false">IF($BX410&lt;&gt;Constants!$B$6,"",IF($AT410,Constants!$B$17*$AV410+Constants!$B$18*IF($AW410,$AX410,Constants!$B$19),Constants!$B$20))</f>
        <v/>
      </c>
      <c r="BO410" s="138" t="str">
        <f aca="false">IF($BX410&lt;&gt;Constants!$B$6,"",Constants!$B$21*ABS($AD$9-IF($AT410,$AU410,0)))</f>
        <v/>
      </c>
      <c r="BP410" s="138" t="str">
        <f aca="false">IF($BX410&lt;&gt;Constants!$B$6,"",IF(AND($AT410,$AY410,$AW410),Constants!$B$22,0))</f>
        <v/>
      </c>
      <c r="BQ410" s="138" t="str">
        <f aca="false">IF($BX410&lt;&gt;Constants!$B$6,"",IF($AT410,($AI410-Constants!$B$24)*Constants!$B$23,0))</f>
        <v/>
      </c>
      <c r="BR410" s="138" t="str">
        <f aca="false">IF($BX410&lt;&gt;Constants!$B$6,"",IF($AS410,0,Constants!$B$12)+IF($AR410,0,Constants!$B$13)+IF($AH410,0,Constants!$B$14))</f>
        <v/>
      </c>
      <c r="BS410" s="139" t="str">
        <f aca="false">IF($BX410&lt;&gt;Constants!$B$6,"",Constants!$B$16+SUM($BN410:$BR410))</f>
        <v/>
      </c>
      <c r="BT410" s="138" t="str">
        <f aca="false">IF($BX410&lt;&gt;Constants!$B$6,"",$BN410)</f>
        <v/>
      </c>
      <c r="BU410" s="138" t="str">
        <f aca="false">IF($BX410&lt;&gt;Constants!$B$6,"",$BO410)</f>
        <v/>
      </c>
      <c r="BV410" s="140" t="str">
        <f aca="false">IF($BX410&lt;&gt;Constants!$B$6,"",IF($AT410,$AV410,""))</f>
        <v/>
      </c>
      <c r="BW410" s="135" t="str">
        <f aca="false">IF(ISBLANK($C410),"",IF(ISBLANK($D$7),$BW$5,IF(NOT(ISNUMBER($D$7)),$BW$6,"")))</f>
        <v/>
      </c>
      <c r="BX410" s="135" t="str">
        <f aca="false">IF(ISBLANK($C410),"",IF($BA410,Constants!$B$9,IF(COUNTA($E410:$AA410)=0,Constants!$B$8,IF(NOT($AG410),Constants!$B$7,IF(OR($BW410&lt;&gt;"",$BB410,$BM410),Constants!$B$10,Constants!$B$6)))))</f>
        <v/>
      </c>
      <c r="BY410" s="135" t="str">
        <f aca="false">IF(ISBLANK($C410),"",IF($BX410&lt;&gt;Constants!$B$6,$BX410,Constants!$B$11))</f>
        <v/>
      </c>
      <c r="BZ410" s="138" t="str">
        <f aca="false">IF($BX410&lt;&gt;Constants!$B$6,"",IF($BL410="-&gt;",$BS410,$BH410))</f>
        <v/>
      </c>
      <c r="CA410" s="138" t="str">
        <f aca="false">IF($BX410&lt;&gt;Constants!$B$6,"",IF($AF410,0,Constants!$B$15))</f>
        <v/>
      </c>
      <c r="CB410" s="138" t="str">
        <f aca="false">IF($BX410&lt;&gt;Constants!$B$6,"",((Constants!$B$25-$AZ410)-Constants!$B$25)/Constants!$B$26)</f>
        <v/>
      </c>
      <c r="CC410" s="138" t="str">
        <f aca="false">IF(ISBLANK($C410),"",IF($BX410&lt;&gt;Constants!$B$6,$BX410,SUM($BZ410:$CB410)))</f>
        <v/>
      </c>
      <c r="CD410" s="135" t="str">
        <f aca="false">IF(ISBLANK($C410),"",IF($BX410&lt;&gt;Constants!$B$6,$BX410,RANK($CC410,$CC$9:$CC$508,1)))</f>
        <v/>
      </c>
      <c r="CE410" s="138" t="str">
        <f aca="false">IF($BX410&lt;&gt;Constants!$B$6,"",IF($BL410="-&gt;",$BT410,$BI410))</f>
        <v/>
      </c>
      <c r="CF410" s="135" t="str">
        <f aca="false">IF(ISBLANK($C410),"",IF($BX410&lt;&gt;Constants!$B$6,$BX410,IF(ISNUMBER($CE410),RANK($CE410,$CE$9:$CE$508,1),COUNT($CE$9:$CE$508)+1)))</f>
        <v/>
      </c>
      <c r="CG410" s="138" t="str">
        <f aca="false">IF($BX410&lt;&gt;Constants!$B$6,"",IF($BL410="-&gt;",$BU410,$BJ410))</f>
        <v/>
      </c>
      <c r="CH410" s="135" t="str">
        <f aca="false">IF(ISBLANK($C410),"",IF($BX410&lt;&gt;Constants!$B$6,$BX410,IF(ISNUMBER($CG410),RANK($CG410,$CG$9:$CG$508,1),COUNT($CG$9:$CG$508)+1)))</f>
        <v/>
      </c>
      <c r="CI410" s="138" t="str">
        <f aca="false">IF($BX410&lt;&gt;Constants!$B$6,"",IF($BL410="-&gt;",$BV410,$BK410))</f>
        <v/>
      </c>
      <c r="CJ410" s="135" t="str">
        <f aca="false">IF(ISBLANK($C410),"",IF($BX410&lt;&gt;Constants!$B$6,$BX410,IF(ISNUMBER($CI410),RANK($CI410,$CI$9:$CI$508,1),COUNT($CI$9:$CI$508)+1)))</f>
        <v/>
      </c>
      <c r="CK410" s="138" t="str">
        <f aca="false">IF($BX410&lt;&gt;Constants!$B$6,"",$AI410)</f>
        <v/>
      </c>
      <c r="CL410" s="135" t="str">
        <f aca="false">IF(ISBLANK($C410),"",IF($BX410&lt;&gt;Constants!$B$6,$BX410,IF(ISNUMBER($CK410),RANK($CK410,$CK$9:$CK$508,1),COUNT($CK$9:$CK$508)+1)))</f>
        <v/>
      </c>
      <c r="CM410" s="135" t="str">
        <f aca="false">IF(ISBLANK($C410),"",IF($BX410&lt;&gt;Constants!$B$6,$BX410,COUNTIFS($CD$9:$CD$508,"&lt;"&amp;$CD410)+COUNTIFS($CD$9:$CD$508,$CD410,$CF$9:$CF$508,"&lt;"&amp;$CF410)+COUNTIFS($CD$9:$CD$508,$CD410,$CF$9:$CF$508,$CF410,$CH$9:$CH$508,"&lt;"&amp;$CH410)+COUNTIFS($CD$9:$CD$508,$CD410,$CF$9:$CF$508,$CF410,$CH$9:$CH$508,$CH410,$CJ$9:$CJ$508,"&lt;"&amp;$CJ410)+COUNTIFS($CD$9:$CD$508,$CD410,$CF$9:$CF$508,$CF410,$CH$9:$CH$508,$CH410,$CJ$9:$CJ$508,$CJ410,$CL$9:$CL$508,"&lt;"&amp;$CL410)+1))</f>
        <v/>
      </c>
      <c r="CN410" s="135" t="str">
        <f aca="false">IF(ISBLANK($C410),"",IF($BX410&lt;&gt;Constants!$B$6,$BX410,$CD410-$CM410))</f>
        <v/>
      </c>
      <c r="CO410" s="141"/>
      <c r="CP410" s="142"/>
      <c r="CQ410" s="143" t="str">
        <f aca="false">IF(ISBLANK($C410),"",IF($BX410=Constants!$B$10,$BW410,""))</f>
        <v/>
      </c>
      <c r="CR410" s="142" t="str">
        <f aca="false">IF(ISBLANK($C410),"",IF($BX410&lt;&gt;Constants!$B$6,"",IF($BL410="-&gt;",2,1)))</f>
        <v/>
      </c>
      <c r="CS410" s="144" t="str">
        <f aca="false">IF(ISBLANK($C410),"",IF($BX410&lt;&gt;Constants!$B$6,"",IF($BL410="-&gt;",$BN410,$BC410)))</f>
        <v/>
      </c>
      <c r="CT410" s="144" t="str">
        <f aca="false">IF(ISBLANK($C410),"",IF($BX410&lt;&gt;Constants!$B$6,"",IF($BL410="-&gt;",$BO410,$BD410)))</f>
        <v/>
      </c>
      <c r="CU410" s="144" t="str">
        <f aca="false">IF(ISBLANK($C410),"",IF($BX410&lt;&gt;Constants!$B$6,"",IF($BL410="-&gt;",$BP410+$BQ410,$BE410+$BF410)+$CB410))</f>
        <v/>
      </c>
      <c r="CV410" s="144" t="str">
        <f aca="false">IF(ISBLANK($C410),"",IF($BX410&lt;&gt;Constants!$B$6,"",IF($BL410="-&gt;",$BR410,$BG410)+$CA410))</f>
        <v/>
      </c>
      <c r="CW410" s="145" t="str">
        <f aca="false">IF(ISBLANK($C410),"",IF($BX410&lt;&gt;Constants!$B$6,$BX410,$CC410))</f>
        <v/>
      </c>
      <c r="CX410" s="146" t="str">
        <f aca="false">IF(ISBLANK($C410),"",$BY410)</f>
        <v/>
      </c>
      <c r="CY410" s="147" t="str">
        <f aca="false">IF(ISBLANK($C410),"",$CN410)</f>
        <v/>
      </c>
      <c r="CZ410" s="147" t="str">
        <f aca="false">IF(ISBLANK($C410),"",$CM410)</f>
        <v/>
      </c>
      <c r="DA410" s="148" t="str">
        <f aca="false">IF(ISBLANK($C410),"",IFERROR(_xlfn.SWITCH($CZ410,Constants!$B$9,COUNTA($C$9:$C$508)+2,Constants!$B$8,COUNTA($C$9:$C$508)+1,Constants!$B$7,COUNTA($C$9:$C$508)),$CZ410))</f>
        <v/>
      </c>
      <c r="DB410" s="9"/>
      <c r="DC410" s="149" t="n">
        <f aca="false">IF(OR(ISNUMBER($CZ410),$CZ410=Constants!$B$9,$CZ410=Constants!$B$7,$CZ410=Constants!$B$8),1,0)</f>
        <v>0</v>
      </c>
      <c r="DD410" s="149" t="n">
        <v>402</v>
      </c>
      <c r="DE410" s="149" t="str">
        <f aca="false">IF(ISBLANK($C410),"",IF(ISNUMBER($DA410),$DA410+ROW($B410)/1000,""))</f>
        <v/>
      </c>
      <c r="DF410" s="149" t="str">
        <f aca="false">IF(ISNUMBER($DE410),RANK($DE410,$DE$9:$DE$508,1),"")</f>
        <v/>
      </c>
      <c r="DG410" s="149" t="str">
        <f aca="false">IF(ISBLANK($C410),"",$B410)</f>
        <v/>
      </c>
      <c r="DH410" s="149" t="str">
        <f aca="false">IF(ISBLANK($C410),"",$C410)</f>
        <v/>
      </c>
      <c r="DI410" s="149" t="str">
        <f aca="false">IF(ISBLANK($C410),"",$D410)</f>
        <v/>
      </c>
      <c r="DJ410" s="150" t="str">
        <f aca="false">$CX410</f>
        <v/>
      </c>
      <c r="DK410" s="151" t="str">
        <f aca="false">$CW410</f>
        <v/>
      </c>
      <c r="DL410" s="149" t="str">
        <f aca="false">IF(ISBLANK($C410),"",$CZ410)</f>
        <v/>
      </c>
      <c r="DM410" s="152" t="str">
        <f aca="false">IF($DD410&gt;$DC$8,"",VLOOKUP($DD410,$DF$9:$DL$508,7,FALSE()))</f>
        <v/>
      </c>
      <c r="DN410" s="153" t="str">
        <f aca="false">IF($DD410&gt;$DC$8,"",VLOOKUP($DD410,$DF$9:$DL$508,2,FALSE()))</f>
        <v/>
      </c>
      <c r="DO410" s="153" t="str">
        <f aca="false">IF($DD410&gt;$DC$8,"",VLOOKUP($DD410,$DF$9:$DL$508,3,FALSE()))</f>
        <v/>
      </c>
      <c r="DP410" s="153" t="str">
        <f aca="false">IF($DD410&gt;$DC$8,"",VLOOKUP($DD410,$DF$9:$DL$508,4,FALSE()))</f>
        <v/>
      </c>
      <c r="DQ410" s="153" t="str">
        <f aca="false">IF($DD410&gt;$DC$8,"",VLOOKUP($DD410,$DF$9:$DL$508,5,FALSE()))</f>
        <v/>
      </c>
      <c r="DR410" s="154" t="str">
        <f aca="false">IF($DD410&gt;$DC$8,"",VLOOKUP($DD410,$DF$9:$DL$508,6,FALSE()))</f>
        <v/>
      </c>
      <c r="DS410" s="76"/>
    </row>
    <row r="411" customFormat="false" ht="15.75" hidden="false" customHeight="false" outlineLevel="0" collapsed="false">
      <c r="A411" s="9"/>
      <c r="B411" s="78"/>
      <c r="C411" s="79"/>
      <c r="D411" s="170"/>
      <c r="E411" s="178"/>
      <c r="F411" s="172"/>
      <c r="G411" s="173"/>
      <c r="H411" s="173"/>
      <c r="I411" s="179"/>
      <c r="J411" s="176"/>
      <c r="K411" s="86"/>
      <c r="L411" s="87"/>
      <c r="M411" s="88"/>
      <c r="N411" s="176"/>
      <c r="O411" s="176"/>
      <c r="P411" s="178"/>
      <c r="Q411" s="176"/>
      <c r="R411" s="176"/>
      <c r="S411" s="86"/>
      <c r="T411" s="88"/>
      <c r="U411" s="88"/>
      <c r="V411" s="176"/>
      <c r="W411" s="176"/>
      <c r="X411" s="178"/>
      <c r="Y411" s="176"/>
      <c r="Z411" s="177"/>
      <c r="AA411" s="176"/>
      <c r="AB411" s="92"/>
      <c r="AC411" s="93"/>
      <c r="AD411" s="93"/>
      <c r="AE411" s="93"/>
      <c r="AF411" s="93" t="str">
        <f aca="false">IF(ISBLANK($C411),"",IF(E411=Constants!$B$2,TRUE(),IF(E411=Constants!$B$3,FALSE(),TRUE())))</f>
        <v/>
      </c>
      <c r="AG411" s="93" t="str">
        <f aca="false">IF(ISBLANK($C411),"",IF(F411=Constants!$B$2,TRUE(),IF(F411=Constants!$B$3,FALSE(),TRUE())))</f>
        <v/>
      </c>
      <c r="AH411" s="93" t="str">
        <f aca="false">IF(ISBLANK($C411),"",IF(G411=Constants!$B$2,TRUE(),IF(G411=Constants!$B$3,FALSE(),TRUE())))</f>
        <v/>
      </c>
      <c r="AI411" s="93" t="str">
        <f aca="false">IF(ISBLANK($C411),"",IF(AND(ISNUMBER(H411),H411&gt;=0),H411,Constants!$B$24))</f>
        <v/>
      </c>
      <c r="AJ411" s="93" t="str">
        <f aca="false">IF(ISBLANK($C411),"",IF(I411=Constants!$B$2,TRUE(),IF(I411=Constants!$B$3,FALSE(),TRUE())))</f>
        <v/>
      </c>
      <c r="AK411" s="93" t="str">
        <f aca="false">IF(ISBLANK($C411),"",IF(J411=Constants!$B$2,TRUE(),IF(J411=Constants!$B$3,FALSE(),TRUE())))</f>
        <v/>
      </c>
      <c r="AL411" s="93" t="str">
        <f aca="false">IF(ISBLANK($C411),"",IF(K411=Constants!$B$4,TRUE(),IF(K411=Constants!$B$5,FALSE(),COUNTA(L411:P411)&gt;0)))</f>
        <v/>
      </c>
      <c r="AM411" s="95" t="str">
        <f aca="false">IF(ISBLANK($C411),"",IF(ISNUMBER(L411),IF(L411&gt;=0,L411,""),""))</f>
        <v/>
      </c>
      <c r="AN411" s="94" t="str">
        <f aca="false">IF(ISBLANK($C411),"",IF(ISNUMBER(M411),IF(M411&gt;=0,M411,""),""))</f>
        <v/>
      </c>
      <c r="AO411" s="94" t="str">
        <f aca="false">IF(ISBLANK($C411),"",IF(N411=Constants!$B$2,TRUE(),IF(N411=Constants!$B$3,FALSE(),TRUE())))</f>
        <v/>
      </c>
      <c r="AP411" s="93" t="str">
        <f aca="false">IF(ISBLANK($C411),"",IF(ISNUMBER(O411),IF(O411&gt;=0,O411,""),""))</f>
        <v/>
      </c>
      <c r="AQ411" s="93" t="str">
        <f aca="false">IF(ISBLANK($C411),"",IF(P411=Constants!$B$2,TRUE(),IF(P411=Constants!$B$3,FALSE(),FALSE())))</f>
        <v/>
      </c>
      <c r="AR411" s="93" t="str">
        <f aca="false">IF(ISBLANK($C411),"",IF(Q411=Constants!$B$2,TRUE(),IF(Q411=Constants!$B$3,FALSE(),TRUE())))</f>
        <v/>
      </c>
      <c r="AS411" s="93" t="str">
        <f aca="false">IF(ISBLANK($C411),"",IF(R411=Constants!$B$2,TRUE(),IF(R411=Constants!$B$3,FALSE(),TRUE())))</f>
        <v/>
      </c>
      <c r="AT411" s="93" t="str">
        <f aca="false">IF(ISBLANK($C411),"",IF(S411=Constants!$B$4,TRUE(),IF(S411=Constants!$B$5,FALSE(),COUNTA(T411:X411)&gt;0)))</f>
        <v/>
      </c>
      <c r="AU411" s="95" t="str">
        <f aca="false">IF(ISBLANK($C411),"",IF(ISNUMBER(T411),IF(T411&gt;=0,T411,""),""))</f>
        <v/>
      </c>
      <c r="AV411" s="94" t="str">
        <f aca="false">IF(ISBLANK($C411),"",IF(ISNUMBER(U411),IF(U411&gt;=0,U411,""),""))</f>
        <v/>
      </c>
      <c r="AW411" s="94" t="str">
        <f aca="false">IF(ISBLANK($C411),"",IF(V411=Constants!$B$2,TRUE(),IF(V411=Constants!$B$3,FALSE(),TRUE())))</f>
        <v/>
      </c>
      <c r="AX411" s="93" t="str">
        <f aca="false">IF(ISBLANK($C411),"",IF(ISNUMBER(W411),IF(W411&gt;=0,W411,""),""))</f>
        <v/>
      </c>
      <c r="AY411" s="93" t="str">
        <f aca="false">IF(ISBLANK($C411),"",IF(X411=Constants!$B$2,TRUE(),IF(X411=Constants!$B$3,FALSE(),FALSE())))</f>
        <v/>
      </c>
      <c r="AZ411" s="93" t="str">
        <f aca="false">IF(ISBLANK($C411),"",MIN(Constants!$B$25,MAX(0,IF(ISNUMBER(Y411),Y411*60,0)+IF(ISNUMBER(Z411),Z411,0))))</f>
        <v/>
      </c>
      <c r="BA411" s="93" t="str">
        <f aca="false">IF(ISBLANK($C411),"",IF(AA411=Constants!$B$2,TRUE(),IF(AA411=Constants!$B$3,FALSE(),FALSE())))</f>
        <v/>
      </c>
      <c r="BB411" s="92" t="str">
        <f aca="false">IF(ISBLANK($C411),"",AND($AL411,OR($AM411="",$AN411="",AND($AO411,$AP411=""))))</f>
        <v/>
      </c>
      <c r="BC411" s="94" t="str">
        <f aca="false">IF($BX411&lt;&gt;Constants!$B$6,"",IF($AL411,Constants!$B$17*$AN411+Constants!$B$18*IF($AO411,$AP411,Constants!$B$19),Constants!$B$20))</f>
        <v/>
      </c>
      <c r="BD411" s="97" t="str">
        <f aca="false">IF($BX411&lt;&gt;Constants!$B$6,"",Constants!$B$21*ABS($AD$9-IF($AL411,$AM411,0)))</f>
        <v/>
      </c>
      <c r="BE411" s="97" t="str">
        <f aca="false">IF($BX411&lt;&gt;Constants!$B$6,"",IF(AND($AL411,$AQ411,$AO411),Constants!$B$22,0))</f>
        <v/>
      </c>
      <c r="BF411" s="97" t="str">
        <f aca="false">IF($BX411&lt;&gt;Constants!$B$6,"",IF($AL411,($AI411-Constants!$B$24)*Constants!$B$23,0))</f>
        <v/>
      </c>
      <c r="BG411" s="97" t="str">
        <f aca="false">IF($BX411&lt;&gt;Constants!$B$6,"",IF($AK411,0,Constants!$B$12)+IF($AJ411,0,Constants!$B$13)+IF($AH411,0,Constants!$B$14))</f>
        <v/>
      </c>
      <c r="BH411" s="98" t="str">
        <f aca="false">IF($BX411&lt;&gt;Constants!$B$6,"",Constants!$B$16+SUM($BC411:$BG411))</f>
        <v/>
      </c>
      <c r="BI411" s="97" t="str">
        <f aca="false">IF($BX411&lt;&gt;Constants!$B$6,"",$BC411)</f>
        <v/>
      </c>
      <c r="BJ411" s="97" t="str">
        <f aca="false">IF($BX411&lt;&gt;Constants!$B$6,"",$BD411)</f>
        <v/>
      </c>
      <c r="BK411" s="99" t="str">
        <f aca="false">IF($BX411&lt;&gt;Constants!$B$6,"",IF($AL411,$AN411,""))</f>
        <v/>
      </c>
      <c r="BL411" s="93" t="str">
        <f aca="false">IF($BX411&lt;&gt;Constants!$B$6,"",IF(OR($BS411&lt;$BH411,AND($BS411=$BH411,OR($BT411&lt;$BI411,AND($BT411=$BI411,OR($BU411&lt;$BJ411,AND($BU411=$BJ411,AND(ISNUMBER($BV411),OR(NOT(ISNUMBER($BK411)),$BV411&lt;$BK411)))))))),"-&gt;","&lt;-"))</f>
        <v/>
      </c>
      <c r="BM411" s="92" t="str">
        <f aca="false">IF(ISBLANK($C411),"",AND($AT411,OR($AU411="",$AV411="",AND($AW411,$AX411=""))))</f>
        <v/>
      </c>
      <c r="BN411" s="94" t="str">
        <f aca="false">IF($BX411&lt;&gt;Constants!$B$6,"",IF($AT411,Constants!$B$17*$AV411+Constants!$B$18*IF($AW411,$AX411,Constants!$B$19),Constants!$B$20))</f>
        <v/>
      </c>
      <c r="BO411" s="97" t="str">
        <f aca="false">IF($BX411&lt;&gt;Constants!$B$6,"",Constants!$B$21*ABS($AD$9-IF($AT411,$AU411,0)))</f>
        <v/>
      </c>
      <c r="BP411" s="97" t="str">
        <f aca="false">IF($BX411&lt;&gt;Constants!$B$6,"",IF(AND($AT411,$AY411,$AW411),Constants!$B$22,0))</f>
        <v/>
      </c>
      <c r="BQ411" s="97" t="str">
        <f aca="false">IF($BX411&lt;&gt;Constants!$B$6,"",IF($AT411,($AI411-Constants!$B$24)*Constants!$B$23,0))</f>
        <v/>
      </c>
      <c r="BR411" s="97" t="str">
        <f aca="false">IF($BX411&lt;&gt;Constants!$B$6,"",IF($AS411,0,Constants!$B$12)+IF($AR411,0,Constants!$B$13)+IF($AH411,0,Constants!$B$14))</f>
        <v/>
      </c>
      <c r="BS411" s="98" t="str">
        <f aca="false">IF($BX411&lt;&gt;Constants!$B$6,"",Constants!$B$16+SUM($BN411:$BR411))</f>
        <v/>
      </c>
      <c r="BT411" s="97" t="str">
        <f aca="false">IF($BX411&lt;&gt;Constants!$B$6,"",$BN411)</f>
        <v/>
      </c>
      <c r="BU411" s="97" t="str">
        <f aca="false">IF($BX411&lt;&gt;Constants!$B$6,"",$BO411)</f>
        <v/>
      </c>
      <c r="BV411" s="99" t="str">
        <f aca="false">IF($BX411&lt;&gt;Constants!$B$6,"",IF($AT411,$AV411,""))</f>
        <v/>
      </c>
      <c r="BW411" s="93" t="str">
        <f aca="false">IF(ISBLANK($C411),"",IF(ISBLANK($D$7),$BW$5,IF(NOT(ISNUMBER($D$7)),$BW$6,"")))</f>
        <v/>
      </c>
      <c r="BX411" s="93" t="str">
        <f aca="false">IF(ISBLANK($C411),"",IF($BA411,Constants!$B$9,IF(COUNTA($E411:$AA411)=0,Constants!$B$8,IF(NOT($AG411),Constants!$B$7,IF(OR($BW411&lt;&gt;"",$BB411,$BM411),Constants!$B$10,Constants!$B$6)))))</f>
        <v/>
      </c>
      <c r="BY411" s="93" t="str">
        <f aca="false">IF(ISBLANK($C411),"",IF($BX411&lt;&gt;Constants!$B$6,$BX411,Constants!$B$11))</f>
        <v/>
      </c>
      <c r="BZ411" s="97" t="str">
        <f aca="false">IF($BX411&lt;&gt;Constants!$B$6,"",IF($BL411="-&gt;",$BS411,$BH411))</f>
        <v/>
      </c>
      <c r="CA411" s="97" t="str">
        <f aca="false">IF($BX411&lt;&gt;Constants!$B$6,"",IF($AF411,0,Constants!$B$15))</f>
        <v/>
      </c>
      <c r="CB411" s="97" t="str">
        <f aca="false">IF($BX411&lt;&gt;Constants!$B$6,"",((Constants!$B$25-$AZ411)-Constants!$B$25)/Constants!$B$26)</f>
        <v/>
      </c>
      <c r="CC411" s="97" t="str">
        <f aca="false">IF(ISBLANK($C411),"",IF($BX411&lt;&gt;Constants!$B$6,$BX411,SUM($BZ411:$CB411)))</f>
        <v/>
      </c>
      <c r="CD411" s="93" t="str">
        <f aca="false">IF(ISBLANK($C411),"",IF($BX411&lt;&gt;Constants!$B$6,$BX411,RANK($CC411,$CC$9:$CC$508,1)))</f>
        <v/>
      </c>
      <c r="CE411" s="97" t="str">
        <f aca="false">IF($BX411&lt;&gt;Constants!$B$6,"",IF($BL411="-&gt;",$BT411,$BI411))</f>
        <v/>
      </c>
      <c r="CF411" s="93" t="str">
        <f aca="false">IF(ISBLANK($C411),"",IF($BX411&lt;&gt;Constants!$B$6,$BX411,IF(ISNUMBER($CE411),RANK($CE411,$CE$9:$CE$508,1),COUNT($CE$9:$CE$508)+1)))</f>
        <v/>
      </c>
      <c r="CG411" s="97" t="str">
        <f aca="false">IF($BX411&lt;&gt;Constants!$B$6,"",IF($BL411="-&gt;",$BU411,$BJ411))</f>
        <v/>
      </c>
      <c r="CH411" s="93" t="str">
        <f aca="false">IF(ISBLANK($C411),"",IF($BX411&lt;&gt;Constants!$B$6,$BX411,IF(ISNUMBER($CG411),RANK($CG411,$CG$9:$CG$508,1),COUNT($CG$9:$CG$508)+1)))</f>
        <v/>
      </c>
      <c r="CI411" s="97" t="str">
        <f aca="false">IF($BX411&lt;&gt;Constants!$B$6,"",IF($BL411="-&gt;",$BV411,$BK411))</f>
        <v/>
      </c>
      <c r="CJ411" s="93" t="str">
        <f aca="false">IF(ISBLANK($C411),"",IF($BX411&lt;&gt;Constants!$B$6,$BX411,IF(ISNUMBER($CI411),RANK($CI411,$CI$9:$CI$508,1),COUNT($CI$9:$CI$508)+1)))</f>
        <v/>
      </c>
      <c r="CK411" s="97" t="str">
        <f aca="false">IF($BX411&lt;&gt;Constants!$B$6,"",$AI411)</f>
        <v/>
      </c>
      <c r="CL411" s="93" t="str">
        <f aca="false">IF(ISBLANK($C411),"",IF($BX411&lt;&gt;Constants!$B$6,$BX411,IF(ISNUMBER($CK411),RANK($CK411,$CK$9:$CK$508,1),COUNT($CK$9:$CK$508)+1)))</f>
        <v/>
      </c>
      <c r="CM411" s="93" t="str">
        <f aca="false">IF(ISBLANK($C411),"",IF($BX411&lt;&gt;Constants!$B$6,$BX411,COUNTIFS($CD$9:$CD$508,"&lt;"&amp;$CD411)+COUNTIFS($CD$9:$CD$508,$CD411,$CF$9:$CF$508,"&lt;"&amp;$CF411)+COUNTIFS($CD$9:$CD$508,$CD411,$CF$9:$CF$508,$CF411,$CH$9:$CH$508,"&lt;"&amp;$CH411)+COUNTIFS($CD$9:$CD$508,$CD411,$CF$9:$CF$508,$CF411,$CH$9:$CH$508,$CH411,$CJ$9:$CJ$508,"&lt;"&amp;$CJ411)+COUNTIFS($CD$9:$CD$508,$CD411,$CF$9:$CF$508,$CF411,$CH$9:$CH$508,$CH411,$CJ$9:$CJ$508,$CJ411,$CL$9:$CL$508,"&lt;"&amp;$CL411)+1))</f>
        <v/>
      </c>
      <c r="CN411" s="93" t="str">
        <f aca="false">IF(ISBLANK($C411),"",IF($BX411&lt;&gt;Constants!$B$6,$BX411,$CD411-$CM411))</f>
        <v/>
      </c>
      <c r="CO411" s="100"/>
      <c r="CP411" s="101"/>
      <c r="CQ411" s="102" t="str">
        <f aca="false">IF(ISBLANK($C411),"",IF($BX411=Constants!$B$10,$BW411,""))</f>
        <v/>
      </c>
      <c r="CR411" s="101" t="str">
        <f aca="false">IF(ISBLANK($C411),"",IF($BX411&lt;&gt;Constants!$B$6,"",IF($BL411="-&gt;",2,1)))</f>
        <v/>
      </c>
      <c r="CS411" s="103" t="str">
        <f aca="false">IF(ISBLANK($C411),"",IF($BX411&lt;&gt;Constants!$B$6,"",IF($BL411="-&gt;",$BN411,$BC411)))</f>
        <v/>
      </c>
      <c r="CT411" s="103" t="str">
        <f aca="false">IF(ISBLANK($C411),"",IF($BX411&lt;&gt;Constants!$B$6,"",IF($BL411="-&gt;",$BO411,$BD411)))</f>
        <v/>
      </c>
      <c r="CU411" s="103" t="str">
        <f aca="false">IF(ISBLANK($C411),"",IF($BX411&lt;&gt;Constants!$B$6,"",IF($BL411="-&gt;",$BP411+$BQ411,$BE411+$BF411)+$CB411))</f>
        <v/>
      </c>
      <c r="CV411" s="103" t="str">
        <f aca="false">IF(ISBLANK($C411),"",IF($BX411&lt;&gt;Constants!$B$6,"",IF($BL411="-&gt;",$BR411,$BG411)+$CA411))</f>
        <v/>
      </c>
      <c r="CW411" s="104" t="str">
        <f aca="false">IF(ISBLANK($C411),"",IF($BX411&lt;&gt;Constants!$B$6,$BX411,$CC411))</f>
        <v/>
      </c>
      <c r="CX411" s="105" t="str">
        <f aca="false">IF(ISBLANK($C411),"",$BY411)</f>
        <v/>
      </c>
      <c r="CY411" s="106" t="str">
        <f aca="false">IF(ISBLANK($C411),"",$CN411)</f>
        <v/>
      </c>
      <c r="CZ411" s="106" t="str">
        <f aca="false">IF(ISBLANK($C411),"",$CM411)</f>
        <v/>
      </c>
      <c r="DA411" s="107" t="str">
        <f aca="false">IF(ISBLANK($C411),"",IFERROR(_xlfn.SWITCH($CZ411,Constants!$B$9,COUNTA($C$9:$C$508)+2,Constants!$B$8,COUNTA($C$9:$C$508)+1,Constants!$B$7,COUNTA($C$9:$C$508)),$CZ411))</f>
        <v/>
      </c>
      <c r="DB411" s="9"/>
      <c r="DC411" s="108" t="n">
        <f aca="false">IF(OR(ISNUMBER($CZ411),$CZ411=Constants!$B$9,$CZ411=Constants!$B$7,$CZ411=Constants!$B$8),1,0)</f>
        <v>0</v>
      </c>
      <c r="DD411" s="108" t="n">
        <v>403</v>
      </c>
      <c r="DE411" s="108" t="str">
        <f aca="false">IF(ISBLANK($C411),"",IF(ISNUMBER($DA411),$DA411+ROW($B411)/1000,""))</f>
        <v/>
      </c>
      <c r="DF411" s="108" t="str">
        <f aca="false">IF(ISNUMBER($DE411),RANK($DE411,$DE$9:$DE$508,1),"")</f>
        <v/>
      </c>
      <c r="DG411" s="108" t="str">
        <f aca="false">IF(ISBLANK($C411),"",$B411)</f>
        <v/>
      </c>
      <c r="DH411" s="108" t="str">
        <f aca="false">IF(ISBLANK($C411),"",$C411)</f>
        <v/>
      </c>
      <c r="DI411" s="108" t="str">
        <f aca="false">IF(ISBLANK($C411),"",$D411)</f>
        <v/>
      </c>
      <c r="DJ411" s="109" t="str">
        <f aca="false">$CX411</f>
        <v/>
      </c>
      <c r="DK411" s="110" t="str">
        <f aca="false">$CW411</f>
        <v/>
      </c>
      <c r="DL411" s="108" t="str">
        <f aca="false">IF(ISBLANK($C411),"",$CZ411)</f>
        <v/>
      </c>
      <c r="DM411" s="111" t="str">
        <f aca="false">IF($DD411&gt;$DC$8,"",VLOOKUP($DD411,$DF$9:$DL$508,7,FALSE()))</f>
        <v/>
      </c>
      <c r="DN411" s="112" t="str">
        <f aca="false">IF($DD411&gt;$DC$8,"",VLOOKUP($DD411,$DF$9:$DL$508,2,FALSE()))</f>
        <v/>
      </c>
      <c r="DO411" s="112" t="str">
        <f aca="false">IF($DD411&gt;$DC$8,"",VLOOKUP($DD411,$DF$9:$DL$508,3,FALSE()))</f>
        <v/>
      </c>
      <c r="DP411" s="112" t="str">
        <f aca="false">IF($DD411&gt;$DC$8,"",VLOOKUP($DD411,$DF$9:$DL$508,4,FALSE()))</f>
        <v/>
      </c>
      <c r="DQ411" s="112" t="str">
        <f aca="false">IF($DD411&gt;$DC$8,"",VLOOKUP($DD411,$DF$9:$DL$508,5,FALSE()))</f>
        <v/>
      </c>
      <c r="DR411" s="113" t="str">
        <f aca="false">IF($DD411&gt;$DC$8,"",VLOOKUP($DD411,$DF$9:$DL$508,6,FALSE()))</f>
        <v/>
      </c>
      <c r="DS411" s="76"/>
    </row>
    <row r="412" customFormat="false" ht="15.75" hidden="false" customHeight="false" outlineLevel="0" collapsed="false">
      <c r="A412" s="9"/>
      <c r="B412" s="78"/>
      <c r="C412" s="79"/>
      <c r="D412" s="170"/>
      <c r="E412" s="178"/>
      <c r="F412" s="172"/>
      <c r="G412" s="173"/>
      <c r="H412" s="173"/>
      <c r="I412" s="179"/>
      <c r="J412" s="176"/>
      <c r="K412" s="86"/>
      <c r="L412" s="87"/>
      <c r="M412" s="88"/>
      <c r="N412" s="176"/>
      <c r="O412" s="176"/>
      <c r="P412" s="178"/>
      <c r="Q412" s="176"/>
      <c r="R412" s="176"/>
      <c r="S412" s="86"/>
      <c r="T412" s="88"/>
      <c r="U412" s="88"/>
      <c r="V412" s="176"/>
      <c r="W412" s="176"/>
      <c r="X412" s="178"/>
      <c r="Y412" s="176"/>
      <c r="Z412" s="177"/>
      <c r="AA412" s="176"/>
      <c r="AB412" s="92"/>
      <c r="AC412" s="93"/>
      <c r="AD412" s="93"/>
      <c r="AE412" s="93"/>
      <c r="AF412" s="93" t="str">
        <f aca="false">IF(ISBLANK($C412),"",IF(E412=Constants!$B$2,TRUE(),IF(E412=Constants!$B$3,FALSE(),TRUE())))</f>
        <v/>
      </c>
      <c r="AG412" s="93" t="str">
        <f aca="false">IF(ISBLANK($C412),"",IF(F412=Constants!$B$2,TRUE(),IF(F412=Constants!$B$3,FALSE(),TRUE())))</f>
        <v/>
      </c>
      <c r="AH412" s="93" t="str">
        <f aca="false">IF(ISBLANK($C412),"",IF(G412=Constants!$B$2,TRUE(),IF(G412=Constants!$B$3,FALSE(),TRUE())))</f>
        <v/>
      </c>
      <c r="AI412" s="93" t="str">
        <f aca="false">IF(ISBLANK($C412),"",IF(AND(ISNUMBER(H412),H412&gt;=0),H412,Constants!$B$24))</f>
        <v/>
      </c>
      <c r="AJ412" s="93" t="str">
        <f aca="false">IF(ISBLANK($C412),"",IF(I412=Constants!$B$2,TRUE(),IF(I412=Constants!$B$3,FALSE(),TRUE())))</f>
        <v/>
      </c>
      <c r="AK412" s="93" t="str">
        <f aca="false">IF(ISBLANK($C412),"",IF(J412=Constants!$B$2,TRUE(),IF(J412=Constants!$B$3,FALSE(),TRUE())))</f>
        <v/>
      </c>
      <c r="AL412" s="93" t="str">
        <f aca="false">IF(ISBLANK($C412),"",IF(K412=Constants!$B$4,TRUE(),IF(K412=Constants!$B$5,FALSE(),COUNTA(L412:P412)&gt;0)))</f>
        <v/>
      </c>
      <c r="AM412" s="95" t="str">
        <f aca="false">IF(ISBLANK($C412),"",IF(ISNUMBER(L412),IF(L412&gt;=0,L412,""),""))</f>
        <v/>
      </c>
      <c r="AN412" s="94" t="str">
        <f aca="false">IF(ISBLANK($C412),"",IF(ISNUMBER(M412),IF(M412&gt;=0,M412,""),""))</f>
        <v/>
      </c>
      <c r="AO412" s="94" t="str">
        <f aca="false">IF(ISBLANK($C412),"",IF(N412=Constants!$B$2,TRUE(),IF(N412=Constants!$B$3,FALSE(),TRUE())))</f>
        <v/>
      </c>
      <c r="AP412" s="93" t="str">
        <f aca="false">IF(ISBLANK($C412),"",IF(ISNUMBER(O412),IF(O412&gt;=0,O412,""),""))</f>
        <v/>
      </c>
      <c r="AQ412" s="93" t="str">
        <f aca="false">IF(ISBLANK($C412),"",IF(P412=Constants!$B$2,TRUE(),IF(P412=Constants!$B$3,FALSE(),FALSE())))</f>
        <v/>
      </c>
      <c r="AR412" s="93" t="str">
        <f aca="false">IF(ISBLANK($C412),"",IF(Q412=Constants!$B$2,TRUE(),IF(Q412=Constants!$B$3,FALSE(),TRUE())))</f>
        <v/>
      </c>
      <c r="AS412" s="93" t="str">
        <f aca="false">IF(ISBLANK($C412),"",IF(R412=Constants!$B$2,TRUE(),IF(R412=Constants!$B$3,FALSE(),TRUE())))</f>
        <v/>
      </c>
      <c r="AT412" s="93" t="str">
        <f aca="false">IF(ISBLANK($C412),"",IF(S412=Constants!$B$4,TRUE(),IF(S412=Constants!$B$5,FALSE(),COUNTA(T412:X412)&gt;0)))</f>
        <v/>
      </c>
      <c r="AU412" s="95" t="str">
        <f aca="false">IF(ISBLANK($C412),"",IF(ISNUMBER(T412),IF(T412&gt;=0,T412,""),""))</f>
        <v/>
      </c>
      <c r="AV412" s="94" t="str">
        <f aca="false">IF(ISBLANK($C412),"",IF(ISNUMBER(U412),IF(U412&gt;=0,U412,""),""))</f>
        <v/>
      </c>
      <c r="AW412" s="94" t="str">
        <f aca="false">IF(ISBLANK($C412),"",IF(V412=Constants!$B$2,TRUE(),IF(V412=Constants!$B$3,FALSE(),TRUE())))</f>
        <v/>
      </c>
      <c r="AX412" s="93" t="str">
        <f aca="false">IF(ISBLANK($C412),"",IF(ISNUMBER(W412),IF(W412&gt;=0,W412,""),""))</f>
        <v/>
      </c>
      <c r="AY412" s="93" t="str">
        <f aca="false">IF(ISBLANK($C412),"",IF(X412=Constants!$B$2,TRUE(),IF(X412=Constants!$B$3,FALSE(),FALSE())))</f>
        <v/>
      </c>
      <c r="AZ412" s="93" t="str">
        <f aca="false">IF(ISBLANK($C412),"",MIN(Constants!$B$25,MAX(0,IF(ISNUMBER(Y412),Y412*60,0)+IF(ISNUMBER(Z412),Z412,0))))</f>
        <v/>
      </c>
      <c r="BA412" s="93" t="str">
        <f aca="false">IF(ISBLANK($C412),"",IF(AA412=Constants!$B$2,TRUE(),IF(AA412=Constants!$B$3,FALSE(),FALSE())))</f>
        <v/>
      </c>
      <c r="BB412" s="92" t="str">
        <f aca="false">IF(ISBLANK($C412),"",AND($AL412,OR($AM412="",$AN412="",AND($AO412,$AP412=""))))</f>
        <v/>
      </c>
      <c r="BC412" s="94" t="str">
        <f aca="false">IF($BX412&lt;&gt;Constants!$B$6,"",IF($AL412,Constants!$B$17*$AN412+Constants!$B$18*IF($AO412,$AP412,Constants!$B$19),Constants!$B$20))</f>
        <v/>
      </c>
      <c r="BD412" s="97" t="str">
        <f aca="false">IF($BX412&lt;&gt;Constants!$B$6,"",Constants!$B$21*ABS($AD$9-IF($AL412,$AM412,0)))</f>
        <v/>
      </c>
      <c r="BE412" s="97" t="str">
        <f aca="false">IF($BX412&lt;&gt;Constants!$B$6,"",IF(AND($AL412,$AQ412,$AO412),Constants!$B$22,0))</f>
        <v/>
      </c>
      <c r="BF412" s="97" t="str">
        <f aca="false">IF($BX412&lt;&gt;Constants!$B$6,"",IF($AL412,($AI412-Constants!$B$24)*Constants!$B$23,0))</f>
        <v/>
      </c>
      <c r="BG412" s="97" t="str">
        <f aca="false">IF($BX412&lt;&gt;Constants!$B$6,"",IF($AK412,0,Constants!$B$12)+IF($AJ412,0,Constants!$B$13)+IF($AH412,0,Constants!$B$14))</f>
        <v/>
      </c>
      <c r="BH412" s="98" t="str">
        <f aca="false">IF($BX412&lt;&gt;Constants!$B$6,"",Constants!$B$16+SUM($BC412:$BG412))</f>
        <v/>
      </c>
      <c r="BI412" s="97" t="str">
        <f aca="false">IF($BX412&lt;&gt;Constants!$B$6,"",$BC412)</f>
        <v/>
      </c>
      <c r="BJ412" s="97" t="str">
        <f aca="false">IF($BX412&lt;&gt;Constants!$B$6,"",$BD412)</f>
        <v/>
      </c>
      <c r="BK412" s="99" t="str">
        <f aca="false">IF($BX412&lt;&gt;Constants!$B$6,"",IF($AL412,$AN412,""))</f>
        <v/>
      </c>
      <c r="BL412" s="93" t="str">
        <f aca="false">IF($BX412&lt;&gt;Constants!$B$6,"",IF(OR($BS412&lt;$BH412,AND($BS412=$BH412,OR($BT412&lt;$BI412,AND($BT412=$BI412,OR($BU412&lt;$BJ412,AND($BU412=$BJ412,AND(ISNUMBER($BV412),OR(NOT(ISNUMBER($BK412)),$BV412&lt;$BK412)))))))),"-&gt;","&lt;-"))</f>
        <v/>
      </c>
      <c r="BM412" s="92" t="str">
        <f aca="false">IF(ISBLANK($C412),"",AND($AT412,OR($AU412="",$AV412="",AND($AW412,$AX412=""))))</f>
        <v/>
      </c>
      <c r="BN412" s="94" t="str">
        <f aca="false">IF($BX412&lt;&gt;Constants!$B$6,"",IF($AT412,Constants!$B$17*$AV412+Constants!$B$18*IF($AW412,$AX412,Constants!$B$19),Constants!$B$20))</f>
        <v/>
      </c>
      <c r="BO412" s="97" t="str">
        <f aca="false">IF($BX412&lt;&gt;Constants!$B$6,"",Constants!$B$21*ABS($AD$9-IF($AT412,$AU412,0)))</f>
        <v/>
      </c>
      <c r="BP412" s="97" t="str">
        <f aca="false">IF($BX412&lt;&gt;Constants!$B$6,"",IF(AND($AT412,$AY412,$AW412),Constants!$B$22,0))</f>
        <v/>
      </c>
      <c r="BQ412" s="97" t="str">
        <f aca="false">IF($BX412&lt;&gt;Constants!$B$6,"",IF($AT412,($AI412-Constants!$B$24)*Constants!$B$23,0))</f>
        <v/>
      </c>
      <c r="BR412" s="97" t="str">
        <f aca="false">IF($BX412&lt;&gt;Constants!$B$6,"",IF($AS412,0,Constants!$B$12)+IF($AR412,0,Constants!$B$13)+IF($AH412,0,Constants!$B$14))</f>
        <v/>
      </c>
      <c r="BS412" s="98" t="str">
        <f aca="false">IF($BX412&lt;&gt;Constants!$B$6,"",Constants!$B$16+SUM($BN412:$BR412))</f>
        <v/>
      </c>
      <c r="BT412" s="97" t="str">
        <f aca="false">IF($BX412&lt;&gt;Constants!$B$6,"",$BN412)</f>
        <v/>
      </c>
      <c r="BU412" s="97" t="str">
        <f aca="false">IF($BX412&lt;&gt;Constants!$B$6,"",$BO412)</f>
        <v/>
      </c>
      <c r="BV412" s="99" t="str">
        <f aca="false">IF($BX412&lt;&gt;Constants!$B$6,"",IF($AT412,$AV412,""))</f>
        <v/>
      </c>
      <c r="BW412" s="93" t="str">
        <f aca="false">IF(ISBLANK($C412),"",IF(ISBLANK($D$7),$BW$5,IF(NOT(ISNUMBER($D$7)),$BW$6,"")))</f>
        <v/>
      </c>
      <c r="BX412" s="93" t="str">
        <f aca="false">IF(ISBLANK($C412),"",IF($BA412,Constants!$B$9,IF(COUNTA($E412:$AA412)=0,Constants!$B$8,IF(NOT($AG412),Constants!$B$7,IF(OR($BW412&lt;&gt;"",$BB412,$BM412),Constants!$B$10,Constants!$B$6)))))</f>
        <v/>
      </c>
      <c r="BY412" s="93" t="str">
        <f aca="false">IF(ISBLANK($C412),"",IF($BX412&lt;&gt;Constants!$B$6,$BX412,Constants!$B$11))</f>
        <v/>
      </c>
      <c r="BZ412" s="97" t="str">
        <f aca="false">IF($BX412&lt;&gt;Constants!$B$6,"",IF($BL412="-&gt;",$BS412,$BH412))</f>
        <v/>
      </c>
      <c r="CA412" s="97" t="str">
        <f aca="false">IF($BX412&lt;&gt;Constants!$B$6,"",IF($AF412,0,Constants!$B$15))</f>
        <v/>
      </c>
      <c r="CB412" s="97" t="str">
        <f aca="false">IF($BX412&lt;&gt;Constants!$B$6,"",((Constants!$B$25-$AZ412)-Constants!$B$25)/Constants!$B$26)</f>
        <v/>
      </c>
      <c r="CC412" s="97" t="str">
        <f aca="false">IF(ISBLANK($C412),"",IF($BX412&lt;&gt;Constants!$B$6,$BX412,SUM($BZ412:$CB412)))</f>
        <v/>
      </c>
      <c r="CD412" s="93" t="str">
        <f aca="false">IF(ISBLANK($C412),"",IF($BX412&lt;&gt;Constants!$B$6,$BX412,RANK($CC412,$CC$9:$CC$508,1)))</f>
        <v/>
      </c>
      <c r="CE412" s="97" t="str">
        <f aca="false">IF($BX412&lt;&gt;Constants!$B$6,"",IF($BL412="-&gt;",$BT412,$BI412))</f>
        <v/>
      </c>
      <c r="CF412" s="93" t="str">
        <f aca="false">IF(ISBLANK($C412),"",IF($BX412&lt;&gt;Constants!$B$6,$BX412,IF(ISNUMBER($CE412),RANK($CE412,$CE$9:$CE$508,1),COUNT($CE$9:$CE$508)+1)))</f>
        <v/>
      </c>
      <c r="CG412" s="97" t="str">
        <f aca="false">IF($BX412&lt;&gt;Constants!$B$6,"",IF($BL412="-&gt;",$BU412,$BJ412))</f>
        <v/>
      </c>
      <c r="CH412" s="93" t="str">
        <f aca="false">IF(ISBLANK($C412),"",IF($BX412&lt;&gt;Constants!$B$6,$BX412,IF(ISNUMBER($CG412),RANK($CG412,$CG$9:$CG$508,1),COUNT($CG$9:$CG$508)+1)))</f>
        <v/>
      </c>
      <c r="CI412" s="97" t="str">
        <f aca="false">IF($BX412&lt;&gt;Constants!$B$6,"",IF($BL412="-&gt;",$BV412,$BK412))</f>
        <v/>
      </c>
      <c r="CJ412" s="93" t="str">
        <f aca="false">IF(ISBLANK($C412),"",IF($BX412&lt;&gt;Constants!$B$6,$BX412,IF(ISNUMBER($CI412),RANK($CI412,$CI$9:$CI$508,1),COUNT($CI$9:$CI$508)+1)))</f>
        <v/>
      </c>
      <c r="CK412" s="97" t="str">
        <f aca="false">IF($BX412&lt;&gt;Constants!$B$6,"",$AI412)</f>
        <v/>
      </c>
      <c r="CL412" s="93" t="str">
        <f aca="false">IF(ISBLANK($C412),"",IF($BX412&lt;&gt;Constants!$B$6,$BX412,IF(ISNUMBER($CK412),RANK($CK412,$CK$9:$CK$508,1),COUNT($CK$9:$CK$508)+1)))</f>
        <v/>
      </c>
      <c r="CM412" s="93" t="str">
        <f aca="false">IF(ISBLANK($C412),"",IF($BX412&lt;&gt;Constants!$B$6,$BX412,COUNTIFS($CD$9:$CD$508,"&lt;"&amp;$CD412)+COUNTIFS($CD$9:$CD$508,$CD412,$CF$9:$CF$508,"&lt;"&amp;$CF412)+COUNTIFS($CD$9:$CD$508,$CD412,$CF$9:$CF$508,$CF412,$CH$9:$CH$508,"&lt;"&amp;$CH412)+COUNTIFS($CD$9:$CD$508,$CD412,$CF$9:$CF$508,$CF412,$CH$9:$CH$508,$CH412,$CJ$9:$CJ$508,"&lt;"&amp;$CJ412)+COUNTIFS($CD$9:$CD$508,$CD412,$CF$9:$CF$508,$CF412,$CH$9:$CH$508,$CH412,$CJ$9:$CJ$508,$CJ412,$CL$9:$CL$508,"&lt;"&amp;$CL412)+1))</f>
        <v/>
      </c>
      <c r="CN412" s="93" t="str">
        <f aca="false">IF(ISBLANK($C412),"",IF($BX412&lt;&gt;Constants!$B$6,$BX412,$CD412-$CM412))</f>
        <v/>
      </c>
      <c r="CO412" s="100"/>
      <c r="CP412" s="101"/>
      <c r="CQ412" s="102" t="str">
        <f aca="false">IF(ISBLANK($C412),"",IF($BX412=Constants!$B$10,$BW412,""))</f>
        <v/>
      </c>
      <c r="CR412" s="101" t="str">
        <f aca="false">IF(ISBLANK($C412),"",IF($BX412&lt;&gt;Constants!$B$6,"",IF($BL412="-&gt;",2,1)))</f>
        <v/>
      </c>
      <c r="CS412" s="103" t="str">
        <f aca="false">IF(ISBLANK($C412),"",IF($BX412&lt;&gt;Constants!$B$6,"",IF($BL412="-&gt;",$BN412,$BC412)))</f>
        <v/>
      </c>
      <c r="CT412" s="103" t="str">
        <f aca="false">IF(ISBLANK($C412),"",IF($BX412&lt;&gt;Constants!$B$6,"",IF($BL412="-&gt;",$BO412,$BD412)))</f>
        <v/>
      </c>
      <c r="CU412" s="103" t="str">
        <f aca="false">IF(ISBLANK($C412),"",IF($BX412&lt;&gt;Constants!$B$6,"",IF($BL412="-&gt;",$BP412+$BQ412,$BE412+$BF412)+$CB412))</f>
        <v/>
      </c>
      <c r="CV412" s="103" t="str">
        <f aca="false">IF(ISBLANK($C412),"",IF($BX412&lt;&gt;Constants!$B$6,"",IF($BL412="-&gt;",$BR412,$BG412)+$CA412))</f>
        <v/>
      </c>
      <c r="CW412" s="104" t="str">
        <f aca="false">IF(ISBLANK($C412),"",IF($BX412&lt;&gt;Constants!$B$6,$BX412,$CC412))</f>
        <v/>
      </c>
      <c r="CX412" s="105" t="str">
        <f aca="false">IF(ISBLANK($C412),"",$BY412)</f>
        <v/>
      </c>
      <c r="CY412" s="106" t="str">
        <f aca="false">IF(ISBLANK($C412),"",$CN412)</f>
        <v/>
      </c>
      <c r="CZ412" s="106" t="str">
        <f aca="false">IF(ISBLANK($C412),"",$CM412)</f>
        <v/>
      </c>
      <c r="DA412" s="107" t="str">
        <f aca="false">IF(ISBLANK($C412),"",IFERROR(_xlfn.SWITCH($CZ412,Constants!$B$9,COUNTA($C$9:$C$508)+2,Constants!$B$8,COUNTA($C$9:$C$508)+1,Constants!$B$7,COUNTA($C$9:$C$508)),$CZ412))</f>
        <v/>
      </c>
      <c r="DB412" s="9"/>
      <c r="DC412" s="108" t="n">
        <f aca="false">IF(OR(ISNUMBER($CZ412),$CZ412=Constants!$B$9,$CZ412=Constants!$B$7,$CZ412=Constants!$B$8),1,0)</f>
        <v>0</v>
      </c>
      <c r="DD412" s="108" t="n">
        <v>404</v>
      </c>
      <c r="DE412" s="108" t="str">
        <f aca="false">IF(ISBLANK($C412),"",IF(ISNUMBER($DA412),$DA412+ROW($B412)/1000,""))</f>
        <v/>
      </c>
      <c r="DF412" s="108" t="str">
        <f aca="false">IF(ISNUMBER($DE412),RANK($DE412,$DE$9:$DE$508,1),"")</f>
        <v/>
      </c>
      <c r="DG412" s="108" t="str">
        <f aca="false">IF(ISBLANK($C412),"",$B412)</f>
        <v/>
      </c>
      <c r="DH412" s="108" t="str">
        <f aca="false">IF(ISBLANK($C412),"",$C412)</f>
        <v/>
      </c>
      <c r="DI412" s="108" t="str">
        <f aca="false">IF(ISBLANK($C412),"",$D412)</f>
        <v/>
      </c>
      <c r="DJ412" s="109" t="str">
        <f aca="false">$CX412</f>
        <v/>
      </c>
      <c r="DK412" s="110" t="str">
        <f aca="false">$CW412</f>
        <v/>
      </c>
      <c r="DL412" s="108" t="str">
        <f aca="false">IF(ISBLANK($C412),"",$CZ412)</f>
        <v/>
      </c>
      <c r="DM412" s="111" t="str">
        <f aca="false">IF($DD412&gt;$DC$8,"",VLOOKUP($DD412,$DF$9:$DL$508,7,FALSE()))</f>
        <v/>
      </c>
      <c r="DN412" s="112" t="str">
        <f aca="false">IF($DD412&gt;$DC$8,"",VLOOKUP($DD412,$DF$9:$DL$508,2,FALSE()))</f>
        <v/>
      </c>
      <c r="DO412" s="112" t="str">
        <f aca="false">IF($DD412&gt;$DC$8,"",VLOOKUP($DD412,$DF$9:$DL$508,3,FALSE()))</f>
        <v/>
      </c>
      <c r="DP412" s="112" t="str">
        <f aca="false">IF($DD412&gt;$DC$8,"",VLOOKUP($DD412,$DF$9:$DL$508,4,FALSE()))</f>
        <v/>
      </c>
      <c r="DQ412" s="112" t="str">
        <f aca="false">IF($DD412&gt;$DC$8,"",VLOOKUP($DD412,$DF$9:$DL$508,5,FALSE()))</f>
        <v/>
      </c>
      <c r="DR412" s="113" t="str">
        <f aca="false">IF($DD412&gt;$DC$8,"",VLOOKUP($DD412,$DF$9:$DL$508,6,FALSE()))</f>
        <v/>
      </c>
      <c r="DS412" s="76"/>
    </row>
    <row r="413" customFormat="false" ht="15.75" hidden="false" customHeight="false" outlineLevel="0" collapsed="false">
      <c r="A413" s="9"/>
      <c r="B413" s="78"/>
      <c r="C413" s="79"/>
      <c r="D413" s="170"/>
      <c r="E413" s="178"/>
      <c r="F413" s="172"/>
      <c r="G413" s="173"/>
      <c r="H413" s="173"/>
      <c r="I413" s="179"/>
      <c r="J413" s="176"/>
      <c r="K413" s="86"/>
      <c r="L413" s="87"/>
      <c r="M413" s="88"/>
      <c r="N413" s="176"/>
      <c r="O413" s="176"/>
      <c r="P413" s="178"/>
      <c r="Q413" s="176"/>
      <c r="R413" s="176"/>
      <c r="S413" s="86"/>
      <c r="T413" s="88"/>
      <c r="U413" s="88"/>
      <c r="V413" s="176"/>
      <c r="W413" s="176"/>
      <c r="X413" s="178"/>
      <c r="Y413" s="176"/>
      <c r="Z413" s="177"/>
      <c r="AA413" s="176"/>
      <c r="AB413" s="92"/>
      <c r="AC413" s="93"/>
      <c r="AD413" s="93"/>
      <c r="AE413" s="93"/>
      <c r="AF413" s="93" t="str">
        <f aca="false">IF(ISBLANK($C413),"",IF(E413=Constants!$B$2,TRUE(),IF(E413=Constants!$B$3,FALSE(),TRUE())))</f>
        <v/>
      </c>
      <c r="AG413" s="93" t="str">
        <f aca="false">IF(ISBLANK($C413),"",IF(F413=Constants!$B$2,TRUE(),IF(F413=Constants!$B$3,FALSE(),TRUE())))</f>
        <v/>
      </c>
      <c r="AH413" s="93" t="str">
        <f aca="false">IF(ISBLANK($C413),"",IF(G413=Constants!$B$2,TRUE(),IF(G413=Constants!$B$3,FALSE(),TRUE())))</f>
        <v/>
      </c>
      <c r="AI413" s="93" t="str">
        <f aca="false">IF(ISBLANK($C413),"",IF(AND(ISNUMBER(H413),H413&gt;=0),H413,Constants!$B$24))</f>
        <v/>
      </c>
      <c r="AJ413" s="93" t="str">
        <f aca="false">IF(ISBLANK($C413),"",IF(I413=Constants!$B$2,TRUE(),IF(I413=Constants!$B$3,FALSE(),TRUE())))</f>
        <v/>
      </c>
      <c r="AK413" s="93" t="str">
        <f aca="false">IF(ISBLANK($C413),"",IF(J413=Constants!$B$2,TRUE(),IF(J413=Constants!$B$3,FALSE(),TRUE())))</f>
        <v/>
      </c>
      <c r="AL413" s="93" t="str">
        <f aca="false">IF(ISBLANK($C413),"",IF(K413=Constants!$B$4,TRUE(),IF(K413=Constants!$B$5,FALSE(),COUNTA(L413:P413)&gt;0)))</f>
        <v/>
      </c>
      <c r="AM413" s="95" t="str">
        <f aca="false">IF(ISBLANK($C413),"",IF(ISNUMBER(L413),IF(L413&gt;=0,L413,""),""))</f>
        <v/>
      </c>
      <c r="AN413" s="94" t="str">
        <f aca="false">IF(ISBLANK($C413),"",IF(ISNUMBER(M413),IF(M413&gt;=0,M413,""),""))</f>
        <v/>
      </c>
      <c r="AO413" s="94" t="str">
        <f aca="false">IF(ISBLANK($C413),"",IF(N413=Constants!$B$2,TRUE(),IF(N413=Constants!$B$3,FALSE(),TRUE())))</f>
        <v/>
      </c>
      <c r="AP413" s="93" t="str">
        <f aca="false">IF(ISBLANK($C413),"",IF(ISNUMBER(O413),IF(O413&gt;=0,O413,""),""))</f>
        <v/>
      </c>
      <c r="AQ413" s="93" t="str">
        <f aca="false">IF(ISBLANK($C413),"",IF(P413=Constants!$B$2,TRUE(),IF(P413=Constants!$B$3,FALSE(),FALSE())))</f>
        <v/>
      </c>
      <c r="AR413" s="93" t="str">
        <f aca="false">IF(ISBLANK($C413),"",IF(Q413=Constants!$B$2,TRUE(),IF(Q413=Constants!$B$3,FALSE(),TRUE())))</f>
        <v/>
      </c>
      <c r="AS413" s="93" t="str">
        <f aca="false">IF(ISBLANK($C413),"",IF(R413=Constants!$B$2,TRUE(),IF(R413=Constants!$B$3,FALSE(),TRUE())))</f>
        <v/>
      </c>
      <c r="AT413" s="93" t="str">
        <f aca="false">IF(ISBLANK($C413),"",IF(S413=Constants!$B$4,TRUE(),IF(S413=Constants!$B$5,FALSE(),COUNTA(T413:X413)&gt;0)))</f>
        <v/>
      </c>
      <c r="AU413" s="95" t="str">
        <f aca="false">IF(ISBLANK($C413),"",IF(ISNUMBER(T413),IF(T413&gt;=0,T413,""),""))</f>
        <v/>
      </c>
      <c r="AV413" s="94" t="str">
        <f aca="false">IF(ISBLANK($C413),"",IF(ISNUMBER(U413),IF(U413&gt;=0,U413,""),""))</f>
        <v/>
      </c>
      <c r="AW413" s="94" t="str">
        <f aca="false">IF(ISBLANK($C413),"",IF(V413=Constants!$B$2,TRUE(),IF(V413=Constants!$B$3,FALSE(),TRUE())))</f>
        <v/>
      </c>
      <c r="AX413" s="93" t="str">
        <f aca="false">IF(ISBLANK($C413),"",IF(ISNUMBER(W413),IF(W413&gt;=0,W413,""),""))</f>
        <v/>
      </c>
      <c r="AY413" s="93" t="str">
        <f aca="false">IF(ISBLANK($C413),"",IF(X413=Constants!$B$2,TRUE(),IF(X413=Constants!$B$3,FALSE(),FALSE())))</f>
        <v/>
      </c>
      <c r="AZ413" s="93" t="str">
        <f aca="false">IF(ISBLANK($C413),"",MIN(Constants!$B$25,MAX(0,IF(ISNUMBER(Y413),Y413*60,0)+IF(ISNUMBER(Z413),Z413,0))))</f>
        <v/>
      </c>
      <c r="BA413" s="93" t="str">
        <f aca="false">IF(ISBLANK($C413),"",IF(AA413=Constants!$B$2,TRUE(),IF(AA413=Constants!$B$3,FALSE(),FALSE())))</f>
        <v/>
      </c>
      <c r="BB413" s="92" t="str">
        <f aca="false">IF(ISBLANK($C413),"",AND($AL413,OR($AM413="",$AN413="",AND($AO413,$AP413=""))))</f>
        <v/>
      </c>
      <c r="BC413" s="94" t="str">
        <f aca="false">IF($BX413&lt;&gt;Constants!$B$6,"",IF($AL413,Constants!$B$17*$AN413+Constants!$B$18*IF($AO413,$AP413,Constants!$B$19),Constants!$B$20))</f>
        <v/>
      </c>
      <c r="BD413" s="97" t="str">
        <f aca="false">IF($BX413&lt;&gt;Constants!$B$6,"",Constants!$B$21*ABS($AD$9-IF($AL413,$AM413,0)))</f>
        <v/>
      </c>
      <c r="BE413" s="97" t="str">
        <f aca="false">IF($BX413&lt;&gt;Constants!$B$6,"",IF(AND($AL413,$AQ413,$AO413),Constants!$B$22,0))</f>
        <v/>
      </c>
      <c r="BF413" s="97" t="str">
        <f aca="false">IF($BX413&lt;&gt;Constants!$B$6,"",IF($AL413,($AI413-Constants!$B$24)*Constants!$B$23,0))</f>
        <v/>
      </c>
      <c r="BG413" s="97" t="str">
        <f aca="false">IF($BX413&lt;&gt;Constants!$B$6,"",IF($AK413,0,Constants!$B$12)+IF($AJ413,0,Constants!$B$13)+IF($AH413,0,Constants!$B$14))</f>
        <v/>
      </c>
      <c r="BH413" s="98" t="str">
        <f aca="false">IF($BX413&lt;&gt;Constants!$B$6,"",Constants!$B$16+SUM($BC413:$BG413))</f>
        <v/>
      </c>
      <c r="BI413" s="97" t="str">
        <f aca="false">IF($BX413&lt;&gt;Constants!$B$6,"",$BC413)</f>
        <v/>
      </c>
      <c r="BJ413" s="97" t="str">
        <f aca="false">IF($BX413&lt;&gt;Constants!$B$6,"",$BD413)</f>
        <v/>
      </c>
      <c r="BK413" s="99" t="str">
        <f aca="false">IF($BX413&lt;&gt;Constants!$B$6,"",IF($AL413,$AN413,""))</f>
        <v/>
      </c>
      <c r="BL413" s="93" t="str">
        <f aca="false">IF($BX413&lt;&gt;Constants!$B$6,"",IF(OR($BS413&lt;$BH413,AND($BS413=$BH413,OR($BT413&lt;$BI413,AND($BT413=$BI413,OR($BU413&lt;$BJ413,AND($BU413=$BJ413,AND(ISNUMBER($BV413),OR(NOT(ISNUMBER($BK413)),$BV413&lt;$BK413)))))))),"-&gt;","&lt;-"))</f>
        <v/>
      </c>
      <c r="BM413" s="92" t="str">
        <f aca="false">IF(ISBLANK($C413),"",AND($AT413,OR($AU413="",$AV413="",AND($AW413,$AX413=""))))</f>
        <v/>
      </c>
      <c r="BN413" s="94" t="str">
        <f aca="false">IF($BX413&lt;&gt;Constants!$B$6,"",IF($AT413,Constants!$B$17*$AV413+Constants!$B$18*IF($AW413,$AX413,Constants!$B$19),Constants!$B$20))</f>
        <v/>
      </c>
      <c r="BO413" s="97" t="str">
        <f aca="false">IF($BX413&lt;&gt;Constants!$B$6,"",Constants!$B$21*ABS($AD$9-IF($AT413,$AU413,0)))</f>
        <v/>
      </c>
      <c r="BP413" s="97" t="str">
        <f aca="false">IF($BX413&lt;&gt;Constants!$B$6,"",IF(AND($AT413,$AY413,$AW413),Constants!$B$22,0))</f>
        <v/>
      </c>
      <c r="BQ413" s="97" t="str">
        <f aca="false">IF($BX413&lt;&gt;Constants!$B$6,"",IF($AT413,($AI413-Constants!$B$24)*Constants!$B$23,0))</f>
        <v/>
      </c>
      <c r="BR413" s="97" t="str">
        <f aca="false">IF($BX413&lt;&gt;Constants!$B$6,"",IF($AS413,0,Constants!$B$12)+IF($AR413,0,Constants!$B$13)+IF($AH413,0,Constants!$B$14))</f>
        <v/>
      </c>
      <c r="BS413" s="98" t="str">
        <f aca="false">IF($BX413&lt;&gt;Constants!$B$6,"",Constants!$B$16+SUM($BN413:$BR413))</f>
        <v/>
      </c>
      <c r="BT413" s="97" t="str">
        <f aca="false">IF($BX413&lt;&gt;Constants!$B$6,"",$BN413)</f>
        <v/>
      </c>
      <c r="BU413" s="97" t="str">
        <f aca="false">IF($BX413&lt;&gt;Constants!$B$6,"",$BO413)</f>
        <v/>
      </c>
      <c r="BV413" s="99" t="str">
        <f aca="false">IF($BX413&lt;&gt;Constants!$B$6,"",IF($AT413,$AV413,""))</f>
        <v/>
      </c>
      <c r="BW413" s="93" t="str">
        <f aca="false">IF(ISBLANK($C413),"",IF(ISBLANK($D$7),$BW$5,IF(NOT(ISNUMBER($D$7)),$BW$6,"")))</f>
        <v/>
      </c>
      <c r="BX413" s="93" t="str">
        <f aca="false">IF(ISBLANK($C413),"",IF($BA413,Constants!$B$9,IF(COUNTA($E413:$AA413)=0,Constants!$B$8,IF(NOT($AG413),Constants!$B$7,IF(OR($BW413&lt;&gt;"",$BB413,$BM413),Constants!$B$10,Constants!$B$6)))))</f>
        <v/>
      </c>
      <c r="BY413" s="93" t="str">
        <f aca="false">IF(ISBLANK($C413),"",IF($BX413&lt;&gt;Constants!$B$6,$BX413,Constants!$B$11))</f>
        <v/>
      </c>
      <c r="BZ413" s="97" t="str">
        <f aca="false">IF($BX413&lt;&gt;Constants!$B$6,"",IF($BL413="-&gt;",$BS413,$BH413))</f>
        <v/>
      </c>
      <c r="CA413" s="97" t="str">
        <f aca="false">IF($BX413&lt;&gt;Constants!$B$6,"",IF($AF413,0,Constants!$B$15))</f>
        <v/>
      </c>
      <c r="CB413" s="97" t="str">
        <f aca="false">IF($BX413&lt;&gt;Constants!$B$6,"",((Constants!$B$25-$AZ413)-Constants!$B$25)/Constants!$B$26)</f>
        <v/>
      </c>
      <c r="CC413" s="97" t="str">
        <f aca="false">IF(ISBLANK($C413),"",IF($BX413&lt;&gt;Constants!$B$6,$BX413,SUM($BZ413:$CB413)))</f>
        <v/>
      </c>
      <c r="CD413" s="93" t="str">
        <f aca="false">IF(ISBLANK($C413),"",IF($BX413&lt;&gt;Constants!$B$6,$BX413,RANK($CC413,$CC$9:$CC$508,1)))</f>
        <v/>
      </c>
      <c r="CE413" s="97" t="str">
        <f aca="false">IF($BX413&lt;&gt;Constants!$B$6,"",IF($BL413="-&gt;",$BT413,$BI413))</f>
        <v/>
      </c>
      <c r="CF413" s="93" t="str">
        <f aca="false">IF(ISBLANK($C413),"",IF($BX413&lt;&gt;Constants!$B$6,$BX413,IF(ISNUMBER($CE413),RANK($CE413,$CE$9:$CE$508,1),COUNT($CE$9:$CE$508)+1)))</f>
        <v/>
      </c>
      <c r="CG413" s="97" t="str">
        <f aca="false">IF($BX413&lt;&gt;Constants!$B$6,"",IF($BL413="-&gt;",$BU413,$BJ413))</f>
        <v/>
      </c>
      <c r="CH413" s="93" t="str">
        <f aca="false">IF(ISBLANK($C413),"",IF($BX413&lt;&gt;Constants!$B$6,$BX413,IF(ISNUMBER($CG413),RANK($CG413,$CG$9:$CG$508,1),COUNT($CG$9:$CG$508)+1)))</f>
        <v/>
      </c>
      <c r="CI413" s="97" t="str">
        <f aca="false">IF($BX413&lt;&gt;Constants!$B$6,"",IF($BL413="-&gt;",$BV413,$BK413))</f>
        <v/>
      </c>
      <c r="CJ413" s="93" t="str">
        <f aca="false">IF(ISBLANK($C413),"",IF($BX413&lt;&gt;Constants!$B$6,$BX413,IF(ISNUMBER($CI413),RANK($CI413,$CI$9:$CI$508,1),COUNT($CI$9:$CI$508)+1)))</f>
        <v/>
      </c>
      <c r="CK413" s="97" t="str">
        <f aca="false">IF($BX413&lt;&gt;Constants!$B$6,"",$AI413)</f>
        <v/>
      </c>
      <c r="CL413" s="93" t="str">
        <f aca="false">IF(ISBLANK($C413),"",IF($BX413&lt;&gt;Constants!$B$6,$BX413,IF(ISNUMBER($CK413),RANK($CK413,$CK$9:$CK$508,1),COUNT($CK$9:$CK$508)+1)))</f>
        <v/>
      </c>
      <c r="CM413" s="93" t="str">
        <f aca="false">IF(ISBLANK($C413),"",IF($BX413&lt;&gt;Constants!$B$6,$BX413,COUNTIFS($CD$9:$CD$508,"&lt;"&amp;$CD413)+COUNTIFS($CD$9:$CD$508,$CD413,$CF$9:$CF$508,"&lt;"&amp;$CF413)+COUNTIFS($CD$9:$CD$508,$CD413,$CF$9:$CF$508,$CF413,$CH$9:$CH$508,"&lt;"&amp;$CH413)+COUNTIFS($CD$9:$CD$508,$CD413,$CF$9:$CF$508,$CF413,$CH$9:$CH$508,$CH413,$CJ$9:$CJ$508,"&lt;"&amp;$CJ413)+COUNTIFS($CD$9:$CD$508,$CD413,$CF$9:$CF$508,$CF413,$CH$9:$CH$508,$CH413,$CJ$9:$CJ$508,$CJ413,$CL$9:$CL$508,"&lt;"&amp;$CL413)+1))</f>
        <v/>
      </c>
      <c r="CN413" s="93" t="str">
        <f aca="false">IF(ISBLANK($C413),"",IF($BX413&lt;&gt;Constants!$B$6,$BX413,$CD413-$CM413))</f>
        <v/>
      </c>
      <c r="CO413" s="100"/>
      <c r="CP413" s="101"/>
      <c r="CQ413" s="102" t="str">
        <f aca="false">IF(ISBLANK($C413),"",IF($BX413=Constants!$B$10,$BW413,""))</f>
        <v/>
      </c>
      <c r="CR413" s="101" t="str">
        <f aca="false">IF(ISBLANK($C413),"",IF($BX413&lt;&gt;Constants!$B$6,"",IF($BL413="-&gt;",2,1)))</f>
        <v/>
      </c>
      <c r="CS413" s="103" t="str">
        <f aca="false">IF(ISBLANK($C413),"",IF($BX413&lt;&gt;Constants!$B$6,"",IF($BL413="-&gt;",$BN413,$BC413)))</f>
        <v/>
      </c>
      <c r="CT413" s="103" t="str">
        <f aca="false">IF(ISBLANK($C413),"",IF($BX413&lt;&gt;Constants!$B$6,"",IF($BL413="-&gt;",$BO413,$BD413)))</f>
        <v/>
      </c>
      <c r="CU413" s="103" t="str">
        <f aca="false">IF(ISBLANK($C413),"",IF($BX413&lt;&gt;Constants!$B$6,"",IF($BL413="-&gt;",$BP413+$BQ413,$BE413+$BF413)+$CB413))</f>
        <v/>
      </c>
      <c r="CV413" s="103" t="str">
        <f aca="false">IF(ISBLANK($C413),"",IF($BX413&lt;&gt;Constants!$B$6,"",IF($BL413="-&gt;",$BR413,$BG413)+$CA413))</f>
        <v/>
      </c>
      <c r="CW413" s="104" t="str">
        <f aca="false">IF(ISBLANK($C413),"",IF($BX413&lt;&gt;Constants!$B$6,$BX413,$CC413))</f>
        <v/>
      </c>
      <c r="CX413" s="105" t="str">
        <f aca="false">IF(ISBLANK($C413),"",$BY413)</f>
        <v/>
      </c>
      <c r="CY413" s="106" t="str">
        <f aca="false">IF(ISBLANK($C413),"",$CN413)</f>
        <v/>
      </c>
      <c r="CZ413" s="106" t="str">
        <f aca="false">IF(ISBLANK($C413),"",$CM413)</f>
        <v/>
      </c>
      <c r="DA413" s="107" t="str">
        <f aca="false">IF(ISBLANK($C413),"",IFERROR(_xlfn.SWITCH($CZ413,Constants!$B$9,COUNTA($C$9:$C$508)+2,Constants!$B$8,COUNTA($C$9:$C$508)+1,Constants!$B$7,COUNTA($C$9:$C$508)),$CZ413))</f>
        <v/>
      </c>
      <c r="DB413" s="9"/>
      <c r="DC413" s="108" t="n">
        <f aca="false">IF(OR(ISNUMBER($CZ413),$CZ413=Constants!$B$9,$CZ413=Constants!$B$7,$CZ413=Constants!$B$8),1,0)</f>
        <v>0</v>
      </c>
      <c r="DD413" s="108" t="n">
        <v>405</v>
      </c>
      <c r="DE413" s="108" t="str">
        <f aca="false">IF(ISBLANK($C413),"",IF(ISNUMBER($DA413),$DA413+ROW($B413)/1000,""))</f>
        <v/>
      </c>
      <c r="DF413" s="108" t="str">
        <f aca="false">IF(ISNUMBER($DE413),RANK($DE413,$DE$9:$DE$508,1),"")</f>
        <v/>
      </c>
      <c r="DG413" s="108" t="str">
        <f aca="false">IF(ISBLANK($C413),"",$B413)</f>
        <v/>
      </c>
      <c r="DH413" s="108" t="str">
        <f aca="false">IF(ISBLANK($C413),"",$C413)</f>
        <v/>
      </c>
      <c r="DI413" s="108" t="str">
        <f aca="false">IF(ISBLANK($C413),"",$D413)</f>
        <v/>
      </c>
      <c r="DJ413" s="109" t="str">
        <f aca="false">$CX413</f>
        <v/>
      </c>
      <c r="DK413" s="110" t="str">
        <f aca="false">$CW413</f>
        <v/>
      </c>
      <c r="DL413" s="108" t="str">
        <f aca="false">IF(ISBLANK($C413),"",$CZ413)</f>
        <v/>
      </c>
      <c r="DM413" s="111" t="str">
        <f aca="false">IF($DD413&gt;$DC$8,"",VLOOKUP($DD413,$DF$9:$DL$508,7,FALSE()))</f>
        <v/>
      </c>
      <c r="DN413" s="112" t="str">
        <f aca="false">IF($DD413&gt;$DC$8,"",VLOOKUP($DD413,$DF$9:$DL$508,2,FALSE()))</f>
        <v/>
      </c>
      <c r="DO413" s="112" t="str">
        <f aca="false">IF($DD413&gt;$DC$8,"",VLOOKUP($DD413,$DF$9:$DL$508,3,FALSE()))</f>
        <v/>
      </c>
      <c r="DP413" s="112" t="str">
        <f aca="false">IF($DD413&gt;$DC$8,"",VLOOKUP($DD413,$DF$9:$DL$508,4,FALSE()))</f>
        <v/>
      </c>
      <c r="DQ413" s="112" t="str">
        <f aca="false">IF($DD413&gt;$DC$8,"",VLOOKUP($DD413,$DF$9:$DL$508,5,FALSE()))</f>
        <v/>
      </c>
      <c r="DR413" s="113" t="str">
        <f aca="false">IF($DD413&gt;$DC$8,"",VLOOKUP($DD413,$DF$9:$DL$508,6,FALSE()))</f>
        <v/>
      </c>
      <c r="DS413" s="76"/>
    </row>
    <row r="414" customFormat="false" ht="15.75" hidden="false" customHeight="false" outlineLevel="0" collapsed="false">
      <c r="A414" s="9"/>
      <c r="B414" s="160"/>
      <c r="C414" s="161"/>
      <c r="D414" s="162"/>
      <c r="E414" s="180"/>
      <c r="F414" s="164"/>
      <c r="G414" s="165"/>
      <c r="H414" s="165"/>
      <c r="I414" s="181"/>
      <c r="J414" s="168"/>
      <c r="K414" s="128"/>
      <c r="L414" s="129"/>
      <c r="M414" s="130"/>
      <c r="N414" s="168"/>
      <c r="O414" s="168"/>
      <c r="P414" s="180"/>
      <c r="Q414" s="168"/>
      <c r="R414" s="168"/>
      <c r="S414" s="128"/>
      <c r="T414" s="130"/>
      <c r="U414" s="130"/>
      <c r="V414" s="168"/>
      <c r="W414" s="168"/>
      <c r="X414" s="180"/>
      <c r="Y414" s="168"/>
      <c r="Z414" s="169"/>
      <c r="AA414" s="168"/>
      <c r="AB414" s="134"/>
      <c r="AC414" s="135"/>
      <c r="AD414" s="135"/>
      <c r="AE414" s="135"/>
      <c r="AF414" s="135" t="str">
        <f aca="false">IF(ISBLANK($C414),"",IF(E414=Constants!$B$2,TRUE(),IF(E414=Constants!$B$3,FALSE(),TRUE())))</f>
        <v/>
      </c>
      <c r="AG414" s="135" t="str">
        <f aca="false">IF(ISBLANK($C414),"",IF(F414=Constants!$B$2,TRUE(),IF(F414=Constants!$B$3,FALSE(),TRUE())))</f>
        <v/>
      </c>
      <c r="AH414" s="135" t="str">
        <f aca="false">IF(ISBLANK($C414),"",IF(G414=Constants!$B$2,TRUE(),IF(G414=Constants!$B$3,FALSE(),TRUE())))</f>
        <v/>
      </c>
      <c r="AI414" s="135" t="str">
        <f aca="false">IF(ISBLANK($C414),"",IF(AND(ISNUMBER(H414),H414&gt;=0),H414,Constants!$B$24))</f>
        <v/>
      </c>
      <c r="AJ414" s="135" t="str">
        <f aca="false">IF(ISBLANK($C414),"",IF(I414=Constants!$B$2,TRUE(),IF(I414=Constants!$B$3,FALSE(),TRUE())))</f>
        <v/>
      </c>
      <c r="AK414" s="135" t="str">
        <f aca="false">IF(ISBLANK($C414),"",IF(J414=Constants!$B$2,TRUE(),IF(J414=Constants!$B$3,FALSE(),TRUE())))</f>
        <v/>
      </c>
      <c r="AL414" s="135" t="str">
        <f aca="false">IF(ISBLANK($C414),"",IF(K414=Constants!$B$4,TRUE(),IF(K414=Constants!$B$5,FALSE(),COUNTA(L414:P414)&gt;0)))</f>
        <v/>
      </c>
      <c r="AM414" s="136" t="str">
        <f aca="false">IF(ISBLANK($C414),"",IF(ISNUMBER(L414),IF(L414&gt;=0,L414,""),""))</f>
        <v/>
      </c>
      <c r="AN414" s="137" t="str">
        <f aca="false">IF(ISBLANK($C414),"",IF(ISNUMBER(M414),IF(M414&gt;=0,M414,""),""))</f>
        <v/>
      </c>
      <c r="AO414" s="137" t="str">
        <f aca="false">IF(ISBLANK($C414),"",IF(N414=Constants!$B$2,TRUE(),IF(N414=Constants!$B$3,FALSE(),TRUE())))</f>
        <v/>
      </c>
      <c r="AP414" s="135" t="str">
        <f aca="false">IF(ISBLANK($C414),"",IF(ISNUMBER(O414),IF(O414&gt;=0,O414,""),""))</f>
        <v/>
      </c>
      <c r="AQ414" s="135" t="str">
        <f aca="false">IF(ISBLANK($C414),"",IF(P414=Constants!$B$2,TRUE(),IF(P414=Constants!$B$3,FALSE(),FALSE())))</f>
        <v/>
      </c>
      <c r="AR414" s="135" t="str">
        <f aca="false">IF(ISBLANK($C414),"",IF(Q414=Constants!$B$2,TRUE(),IF(Q414=Constants!$B$3,FALSE(),TRUE())))</f>
        <v/>
      </c>
      <c r="AS414" s="135" t="str">
        <f aca="false">IF(ISBLANK($C414),"",IF(R414=Constants!$B$2,TRUE(),IF(R414=Constants!$B$3,FALSE(),TRUE())))</f>
        <v/>
      </c>
      <c r="AT414" s="135" t="str">
        <f aca="false">IF(ISBLANK($C414),"",IF(S414=Constants!$B$4,TRUE(),IF(S414=Constants!$B$5,FALSE(),COUNTA(T414:X414)&gt;0)))</f>
        <v/>
      </c>
      <c r="AU414" s="136" t="str">
        <f aca="false">IF(ISBLANK($C414),"",IF(ISNUMBER(T414),IF(T414&gt;=0,T414,""),""))</f>
        <v/>
      </c>
      <c r="AV414" s="137" t="str">
        <f aca="false">IF(ISBLANK($C414),"",IF(ISNUMBER(U414),IF(U414&gt;=0,U414,""),""))</f>
        <v/>
      </c>
      <c r="AW414" s="137" t="str">
        <f aca="false">IF(ISBLANK($C414),"",IF(V414=Constants!$B$2,TRUE(),IF(V414=Constants!$B$3,FALSE(),TRUE())))</f>
        <v/>
      </c>
      <c r="AX414" s="135" t="str">
        <f aca="false">IF(ISBLANK($C414),"",IF(ISNUMBER(W414),IF(W414&gt;=0,W414,""),""))</f>
        <v/>
      </c>
      <c r="AY414" s="135" t="str">
        <f aca="false">IF(ISBLANK($C414),"",IF(X414=Constants!$B$2,TRUE(),IF(X414=Constants!$B$3,FALSE(),FALSE())))</f>
        <v/>
      </c>
      <c r="AZ414" s="135" t="str">
        <f aca="false">IF(ISBLANK($C414),"",MIN(Constants!$B$25,MAX(0,IF(ISNUMBER(Y414),Y414*60,0)+IF(ISNUMBER(Z414),Z414,0))))</f>
        <v/>
      </c>
      <c r="BA414" s="135" t="str">
        <f aca="false">IF(ISBLANK($C414),"",IF(AA414=Constants!$B$2,TRUE(),IF(AA414=Constants!$B$3,FALSE(),FALSE())))</f>
        <v/>
      </c>
      <c r="BB414" s="134" t="str">
        <f aca="false">IF(ISBLANK($C414),"",AND($AL414,OR($AM414="",$AN414="",AND($AO414,$AP414=""))))</f>
        <v/>
      </c>
      <c r="BC414" s="137" t="str">
        <f aca="false">IF($BX414&lt;&gt;Constants!$B$6,"",IF($AL414,Constants!$B$17*$AN414+Constants!$B$18*IF($AO414,$AP414,Constants!$B$19),Constants!$B$20))</f>
        <v/>
      </c>
      <c r="BD414" s="138" t="str">
        <f aca="false">IF($BX414&lt;&gt;Constants!$B$6,"",Constants!$B$21*ABS($AD$9-IF($AL414,$AM414,0)))</f>
        <v/>
      </c>
      <c r="BE414" s="138" t="str">
        <f aca="false">IF($BX414&lt;&gt;Constants!$B$6,"",IF(AND($AL414,$AQ414,$AO414),Constants!$B$22,0))</f>
        <v/>
      </c>
      <c r="BF414" s="138" t="str">
        <f aca="false">IF($BX414&lt;&gt;Constants!$B$6,"",IF($AL414,($AI414-Constants!$B$24)*Constants!$B$23,0))</f>
        <v/>
      </c>
      <c r="BG414" s="138" t="str">
        <f aca="false">IF($BX414&lt;&gt;Constants!$B$6,"",IF($AK414,0,Constants!$B$12)+IF($AJ414,0,Constants!$B$13)+IF($AH414,0,Constants!$B$14))</f>
        <v/>
      </c>
      <c r="BH414" s="139" t="str">
        <f aca="false">IF($BX414&lt;&gt;Constants!$B$6,"",Constants!$B$16+SUM($BC414:$BG414))</f>
        <v/>
      </c>
      <c r="BI414" s="138" t="str">
        <f aca="false">IF($BX414&lt;&gt;Constants!$B$6,"",$BC414)</f>
        <v/>
      </c>
      <c r="BJ414" s="138" t="str">
        <f aca="false">IF($BX414&lt;&gt;Constants!$B$6,"",$BD414)</f>
        <v/>
      </c>
      <c r="BK414" s="140" t="str">
        <f aca="false">IF($BX414&lt;&gt;Constants!$B$6,"",IF($AL414,$AN414,""))</f>
        <v/>
      </c>
      <c r="BL414" s="135" t="str">
        <f aca="false">IF($BX414&lt;&gt;Constants!$B$6,"",IF(OR($BS414&lt;$BH414,AND($BS414=$BH414,OR($BT414&lt;$BI414,AND($BT414=$BI414,OR($BU414&lt;$BJ414,AND($BU414=$BJ414,AND(ISNUMBER($BV414),OR(NOT(ISNUMBER($BK414)),$BV414&lt;$BK414)))))))),"-&gt;","&lt;-"))</f>
        <v/>
      </c>
      <c r="BM414" s="134" t="str">
        <f aca="false">IF(ISBLANK($C414),"",AND($AT414,OR($AU414="",$AV414="",AND($AW414,$AX414=""))))</f>
        <v/>
      </c>
      <c r="BN414" s="137" t="str">
        <f aca="false">IF($BX414&lt;&gt;Constants!$B$6,"",IF($AT414,Constants!$B$17*$AV414+Constants!$B$18*IF($AW414,$AX414,Constants!$B$19),Constants!$B$20))</f>
        <v/>
      </c>
      <c r="BO414" s="138" t="str">
        <f aca="false">IF($BX414&lt;&gt;Constants!$B$6,"",Constants!$B$21*ABS($AD$9-IF($AT414,$AU414,0)))</f>
        <v/>
      </c>
      <c r="BP414" s="138" t="str">
        <f aca="false">IF($BX414&lt;&gt;Constants!$B$6,"",IF(AND($AT414,$AY414,$AW414),Constants!$B$22,0))</f>
        <v/>
      </c>
      <c r="BQ414" s="138" t="str">
        <f aca="false">IF($BX414&lt;&gt;Constants!$B$6,"",IF($AT414,($AI414-Constants!$B$24)*Constants!$B$23,0))</f>
        <v/>
      </c>
      <c r="BR414" s="138" t="str">
        <f aca="false">IF($BX414&lt;&gt;Constants!$B$6,"",IF($AS414,0,Constants!$B$12)+IF($AR414,0,Constants!$B$13)+IF($AH414,0,Constants!$B$14))</f>
        <v/>
      </c>
      <c r="BS414" s="139" t="str">
        <f aca="false">IF($BX414&lt;&gt;Constants!$B$6,"",Constants!$B$16+SUM($BN414:$BR414))</f>
        <v/>
      </c>
      <c r="BT414" s="138" t="str">
        <f aca="false">IF($BX414&lt;&gt;Constants!$B$6,"",$BN414)</f>
        <v/>
      </c>
      <c r="BU414" s="138" t="str">
        <f aca="false">IF($BX414&lt;&gt;Constants!$B$6,"",$BO414)</f>
        <v/>
      </c>
      <c r="BV414" s="140" t="str">
        <f aca="false">IF($BX414&lt;&gt;Constants!$B$6,"",IF($AT414,$AV414,""))</f>
        <v/>
      </c>
      <c r="BW414" s="135" t="str">
        <f aca="false">IF(ISBLANK($C414),"",IF(ISBLANK($D$7),$BW$5,IF(NOT(ISNUMBER($D$7)),$BW$6,"")))</f>
        <v/>
      </c>
      <c r="BX414" s="135" t="str">
        <f aca="false">IF(ISBLANK($C414),"",IF($BA414,Constants!$B$9,IF(COUNTA($E414:$AA414)=0,Constants!$B$8,IF(NOT($AG414),Constants!$B$7,IF(OR($BW414&lt;&gt;"",$BB414,$BM414),Constants!$B$10,Constants!$B$6)))))</f>
        <v/>
      </c>
      <c r="BY414" s="135" t="str">
        <f aca="false">IF(ISBLANK($C414),"",IF($BX414&lt;&gt;Constants!$B$6,$BX414,Constants!$B$11))</f>
        <v/>
      </c>
      <c r="BZ414" s="138" t="str">
        <f aca="false">IF($BX414&lt;&gt;Constants!$B$6,"",IF($BL414="-&gt;",$BS414,$BH414))</f>
        <v/>
      </c>
      <c r="CA414" s="138" t="str">
        <f aca="false">IF($BX414&lt;&gt;Constants!$B$6,"",IF($AF414,0,Constants!$B$15))</f>
        <v/>
      </c>
      <c r="CB414" s="138" t="str">
        <f aca="false">IF($BX414&lt;&gt;Constants!$B$6,"",((Constants!$B$25-$AZ414)-Constants!$B$25)/Constants!$B$26)</f>
        <v/>
      </c>
      <c r="CC414" s="138" t="str">
        <f aca="false">IF(ISBLANK($C414),"",IF($BX414&lt;&gt;Constants!$B$6,$BX414,SUM($BZ414:$CB414)))</f>
        <v/>
      </c>
      <c r="CD414" s="135" t="str">
        <f aca="false">IF(ISBLANK($C414),"",IF($BX414&lt;&gt;Constants!$B$6,$BX414,RANK($CC414,$CC$9:$CC$508,1)))</f>
        <v/>
      </c>
      <c r="CE414" s="138" t="str">
        <f aca="false">IF($BX414&lt;&gt;Constants!$B$6,"",IF($BL414="-&gt;",$BT414,$BI414))</f>
        <v/>
      </c>
      <c r="CF414" s="135" t="str">
        <f aca="false">IF(ISBLANK($C414),"",IF($BX414&lt;&gt;Constants!$B$6,$BX414,IF(ISNUMBER($CE414),RANK($CE414,$CE$9:$CE$508,1),COUNT($CE$9:$CE$508)+1)))</f>
        <v/>
      </c>
      <c r="CG414" s="138" t="str">
        <f aca="false">IF($BX414&lt;&gt;Constants!$B$6,"",IF($BL414="-&gt;",$BU414,$BJ414))</f>
        <v/>
      </c>
      <c r="CH414" s="135" t="str">
        <f aca="false">IF(ISBLANK($C414),"",IF($BX414&lt;&gt;Constants!$B$6,$BX414,IF(ISNUMBER($CG414),RANK($CG414,$CG$9:$CG$508,1),COUNT($CG$9:$CG$508)+1)))</f>
        <v/>
      </c>
      <c r="CI414" s="138" t="str">
        <f aca="false">IF($BX414&lt;&gt;Constants!$B$6,"",IF($BL414="-&gt;",$BV414,$BK414))</f>
        <v/>
      </c>
      <c r="CJ414" s="135" t="str">
        <f aca="false">IF(ISBLANK($C414),"",IF($BX414&lt;&gt;Constants!$B$6,$BX414,IF(ISNUMBER($CI414),RANK($CI414,$CI$9:$CI$508,1),COUNT($CI$9:$CI$508)+1)))</f>
        <v/>
      </c>
      <c r="CK414" s="138" t="str">
        <f aca="false">IF($BX414&lt;&gt;Constants!$B$6,"",$AI414)</f>
        <v/>
      </c>
      <c r="CL414" s="135" t="str">
        <f aca="false">IF(ISBLANK($C414),"",IF($BX414&lt;&gt;Constants!$B$6,$BX414,IF(ISNUMBER($CK414),RANK($CK414,$CK$9:$CK$508,1),COUNT($CK$9:$CK$508)+1)))</f>
        <v/>
      </c>
      <c r="CM414" s="135" t="str">
        <f aca="false">IF(ISBLANK($C414),"",IF($BX414&lt;&gt;Constants!$B$6,$BX414,COUNTIFS($CD$9:$CD$508,"&lt;"&amp;$CD414)+COUNTIFS($CD$9:$CD$508,$CD414,$CF$9:$CF$508,"&lt;"&amp;$CF414)+COUNTIFS($CD$9:$CD$508,$CD414,$CF$9:$CF$508,$CF414,$CH$9:$CH$508,"&lt;"&amp;$CH414)+COUNTIFS($CD$9:$CD$508,$CD414,$CF$9:$CF$508,$CF414,$CH$9:$CH$508,$CH414,$CJ$9:$CJ$508,"&lt;"&amp;$CJ414)+COUNTIFS($CD$9:$CD$508,$CD414,$CF$9:$CF$508,$CF414,$CH$9:$CH$508,$CH414,$CJ$9:$CJ$508,$CJ414,$CL$9:$CL$508,"&lt;"&amp;$CL414)+1))</f>
        <v/>
      </c>
      <c r="CN414" s="135" t="str">
        <f aca="false">IF(ISBLANK($C414),"",IF($BX414&lt;&gt;Constants!$B$6,$BX414,$CD414-$CM414))</f>
        <v/>
      </c>
      <c r="CO414" s="141"/>
      <c r="CP414" s="142"/>
      <c r="CQ414" s="143" t="str">
        <f aca="false">IF(ISBLANK($C414),"",IF($BX414=Constants!$B$10,$BW414,""))</f>
        <v/>
      </c>
      <c r="CR414" s="142" t="str">
        <f aca="false">IF(ISBLANK($C414),"",IF($BX414&lt;&gt;Constants!$B$6,"",IF($BL414="-&gt;",2,1)))</f>
        <v/>
      </c>
      <c r="CS414" s="144" t="str">
        <f aca="false">IF(ISBLANK($C414),"",IF($BX414&lt;&gt;Constants!$B$6,"",IF($BL414="-&gt;",$BN414,$BC414)))</f>
        <v/>
      </c>
      <c r="CT414" s="144" t="str">
        <f aca="false">IF(ISBLANK($C414),"",IF($BX414&lt;&gt;Constants!$B$6,"",IF($BL414="-&gt;",$BO414,$BD414)))</f>
        <v/>
      </c>
      <c r="CU414" s="144" t="str">
        <f aca="false">IF(ISBLANK($C414),"",IF($BX414&lt;&gt;Constants!$B$6,"",IF($BL414="-&gt;",$BP414+$BQ414,$BE414+$BF414)+$CB414))</f>
        <v/>
      </c>
      <c r="CV414" s="144" t="str">
        <f aca="false">IF(ISBLANK($C414),"",IF($BX414&lt;&gt;Constants!$B$6,"",IF($BL414="-&gt;",$BR414,$BG414)+$CA414))</f>
        <v/>
      </c>
      <c r="CW414" s="145" t="str">
        <f aca="false">IF(ISBLANK($C414),"",IF($BX414&lt;&gt;Constants!$B$6,$BX414,$CC414))</f>
        <v/>
      </c>
      <c r="CX414" s="146" t="str">
        <f aca="false">IF(ISBLANK($C414),"",$BY414)</f>
        <v/>
      </c>
      <c r="CY414" s="147" t="str">
        <f aca="false">IF(ISBLANK($C414),"",$CN414)</f>
        <v/>
      </c>
      <c r="CZ414" s="147" t="str">
        <f aca="false">IF(ISBLANK($C414),"",$CM414)</f>
        <v/>
      </c>
      <c r="DA414" s="148" t="str">
        <f aca="false">IF(ISBLANK($C414),"",IFERROR(_xlfn.SWITCH($CZ414,Constants!$B$9,COUNTA($C$9:$C$508)+2,Constants!$B$8,COUNTA($C$9:$C$508)+1,Constants!$B$7,COUNTA($C$9:$C$508)),$CZ414))</f>
        <v/>
      </c>
      <c r="DB414" s="9"/>
      <c r="DC414" s="149" t="n">
        <f aca="false">IF(OR(ISNUMBER($CZ414),$CZ414=Constants!$B$9,$CZ414=Constants!$B$7,$CZ414=Constants!$B$8),1,0)</f>
        <v>0</v>
      </c>
      <c r="DD414" s="149" t="n">
        <v>406</v>
      </c>
      <c r="DE414" s="149" t="str">
        <f aca="false">IF(ISBLANK($C414),"",IF(ISNUMBER($DA414),$DA414+ROW($B414)/1000,""))</f>
        <v/>
      </c>
      <c r="DF414" s="149" t="str">
        <f aca="false">IF(ISNUMBER($DE414),RANK($DE414,$DE$9:$DE$508,1),"")</f>
        <v/>
      </c>
      <c r="DG414" s="149" t="str">
        <f aca="false">IF(ISBLANK($C414),"",$B414)</f>
        <v/>
      </c>
      <c r="DH414" s="149" t="str">
        <f aca="false">IF(ISBLANK($C414),"",$C414)</f>
        <v/>
      </c>
      <c r="DI414" s="149" t="str">
        <f aca="false">IF(ISBLANK($C414),"",$D414)</f>
        <v/>
      </c>
      <c r="DJ414" s="150" t="str">
        <f aca="false">$CX414</f>
        <v/>
      </c>
      <c r="DK414" s="151" t="str">
        <f aca="false">$CW414</f>
        <v/>
      </c>
      <c r="DL414" s="149" t="str">
        <f aca="false">IF(ISBLANK($C414),"",$CZ414)</f>
        <v/>
      </c>
      <c r="DM414" s="152" t="str">
        <f aca="false">IF($DD414&gt;$DC$8,"",VLOOKUP($DD414,$DF$9:$DL$508,7,FALSE()))</f>
        <v/>
      </c>
      <c r="DN414" s="153" t="str">
        <f aca="false">IF($DD414&gt;$DC$8,"",VLOOKUP($DD414,$DF$9:$DL$508,2,FALSE()))</f>
        <v/>
      </c>
      <c r="DO414" s="153" t="str">
        <f aca="false">IF($DD414&gt;$DC$8,"",VLOOKUP($DD414,$DF$9:$DL$508,3,FALSE()))</f>
        <v/>
      </c>
      <c r="DP414" s="153" t="str">
        <f aca="false">IF($DD414&gt;$DC$8,"",VLOOKUP($DD414,$DF$9:$DL$508,4,FALSE()))</f>
        <v/>
      </c>
      <c r="DQ414" s="153" t="str">
        <f aca="false">IF($DD414&gt;$DC$8,"",VLOOKUP($DD414,$DF$9:$DL$508,5,FALSE()))</f>
        <v/>
      </c>
      <c r="DR414" s="154" t="str">
        <f aca="false">IF($DD414&gt;$DC$8,"",VLOOKUP($DD414,$DF$9:$DL$508,6,FALSE()))</f>
        <v/>
      </c>
      <c r="DS414" s="76"/>
    </row>
    <row r="415" customFormat="false" ht="15.75" hidden="false" customHeight="false" outlineLevel="0" collapsed="false">
      <c r="A415" s="9"/>
      <c r="B415" s="160"/>
      <c r="C415" s="161"/>
      <c r="D415" s="162"/>
      <c r="E415" s="180"/>
      <c r="F415" s="164"/>
      <c r="G415" s="165"/>
      <c r="H415" s="165"/>
      <c r="I415" s="181"/>
      <c r="J415" s="168"/>
      <c r="K415" s="128"/>
      <c r="L415" s="129"/>
      <c r="M415" s="130"/>
      <c r="N415" s="168"/>
      <c r="O415" s="168"/>
      <c r="P415" s="180"/>
      <c r="Q415" s="168"/>
      <c r="R415" s="168"/>
      <c r="S415" s="128"/>
      <c r="T415" s="130"/>
      <c r="U415" s="130"/>
      <c r="V415" s="168"/>
      <c r="W415" s="168"/>
      <c r="X415" s="180"/>
      <c r="Y415" s="168"/>
      <c r="Z415" s="169"/>
      <c r="AA415" s="168"/>
      <c r="AB415" s="134"/>
      <c r="AC415" s="135"/>
      <c r="AD415" s="135"/>
      <c r="AE415" s="135"/>
      <c r="AF415" s="135" t="str">
        <f aca="false">IF(ISBLANK($C415),"",IF(E415=Constants!$B$2,TRUE(),IF(E415=Constants!$B$3,FALSE(),TRUE())))</f>
        <v/>
      </c>
      <c r="AG415" s="135" t="str">
        <f aca="false">IF(ISBLANK($C415),"",IF(F415=Constants!$B$2,TRUE(),IF(F415=Constants!$B$3,FALSE(),TRUE())))</f>
        <v/>
      </c>
      <c r="AH415" s="135" t="str">
        <f aca="false">IF(ISBLANK($C415),"",IF(G415=Constants!$B$2,TRUE(),IF(G415=Constants!$B$3,FALSE(),TRUE())))</f>
        <v/>
      </c>
      <c r="AI415" s="135" t="str">
        <f aca="false">IF(ISBLANK($C415),"",IF(AND(ISNUMBER(H415),H415&gt;=0),H415,Constants!$B$24))</f>
        <v/>
      </c>
      <c r="AJ415" s="135" t="str">
        <f aca="false">IF(ISBLANK($C415),"",IF(I415=Constants!$B$2,TRUE(),IF(I415=Constants!$B$3,FALSE(),TRUE())))</f>
        <v/>
      </c>
      <c r="AK415" s="135" t="str">
        <f aca="false">IF(ISBLANK($C415),"",IF(J415=Constants!$B$2,TRUE(),IF(J415=Constants!$B$3,FALSE(),TRUE())))</f>
        <v/>
      </c>
      <c r="AL415" s="135" t="str">
        <f aca="false">IF(ISBLANK($C415),"",IF(K415=Constants!$B$4,TRUE(),IF(K415=Constants!$B$5,FALSE(),COUNTA(L415:P415)&gt;0)))</f>
        <v/>
      </c>
      <c r="AM415" s="136" t="str">
        <f aca="false">IF(ISBLANK($C415),"",IF(ISNUMBER(L415),IF(L415&gt;=0,L415,""),""))</f>
        <v/>
      </c>
      <c r="AN415" s="137" t="str">
        <f aca="false">IF(ISBLANK($C415),"",IF(ISNUMBER(M415),IF(M415&gt;=0,M415,""),""))</f>
        <v/>
      </c>
      <c r="AO415" s="137" t="str">
        <f aca="false">IF(ISBLANK($C415),"",IF(N415=Constants!$B$2,TRUE(),IF(N415=Constants!$B$3,FALSE(),TRUE())))</f>
        <v/>
      </c>
      <c r="AP415" s="135" t="str">
        <f aca="false">IF(ISBLANK($C415),"",IF(ISNUMBER(O415),IF(O415&gt;=0,O415,""),""))</f>
        <v/>
      </c>
      <c r="AQ415" s="135" t="str">
        <f aca="false">IF(ISBLANK($C415),"",IF(P415=Constants!$B$2,TRUE(),IF(P415=Constants!$B$3,FALSE(),FALSE())))</f>
        <v/>
      </c>
      <c r="AR415" s="135" t="str">
        <f aca="false">IF(ISBLANK($C415),"",IF(Q415=Constants!$B$2,TRUE(),IF(Q415=Constants!$B$3,FALSE(),TRUE())))</f>
        <v/>
      </c>
      <c r="AS415" s="135" t="str">
        <f aca="false">IF(ISBLANK($C415),"",IF(R415=Constants!$B$2,TRUE(),IF(R415=Constants!$B$3,FALSE(),TRUE())))</f>
        <v/>
      </c>
      <c r="AT415" s="135" t="str">
        <f aca="false">IF(ISBLANK($C415),"",IF(S415=Constants!$B$4,TRUE(),IF(S415=Constants!$B$5,FALSE(),COUNTA(T415:X415)&gt;0)))</f>
        <v/>
      </c>
      <c r="AU415" s="136" t="str">
        <f aca="false">IF(ISBLANK($C415),"",IF(ISNUMBER(T415),IF(T415&gt;=0,T415,""),""))</f>
        <v/>
      </c>
      <c r="AV415" s="137" t="str">
        <f aca="false">IF(ISBLANK($C415),"",IF(ISNUMBER(U415),IF(U415&gt;=0,U415,""),""))</f>
        <v/>
      </c>
      <c r="AW415" s="137" t="str">
        <f aca="false">IF(ISBLANK($C415),"",IF(V415=Constants!$B$2,TRUE(),IF(V415=Constants!$B$3,FALSE(),TRUE())))</f>
        <v/>
      </c>
      <c r="AX415" s="135" t="str">
        <f aca="false">IF(ISBLANK($C415),"",IF(ISNUMBER(W415),IF(W415&gt;=0,W415,""),""))</f>
        <v/>
      </c>
      <c r="AY415" s="135" t="str">
        <f aca="false">IF(ISBLANK($C415),"",IF(X415=Constants!$B$2,TRUE(),IF(X415=Constants!$B$3,FALSE(),FALSE())))</f>
        <v/>
      </c>
      <c r="AZ415" s="135" t="str">
        <f aca="false">IF(ISBLANK($C415),"",MIN(Constants!$B$25,MAX(0,IF(ISNUMBER(Y415),Y415*60,0)+IF(ISNUMBER(Z415),Z415,0))))</f>
        <v/>
      </c>
      <c r="BA415" s="135" t="str">
        <f aca="false">IF(ISBLANK($C415),"",IF(AA415=Constants!$B$2,TRUE(),IF(AA415=Constants!$B$3,FALSE(),FALSE())))</f>
        <v/>
      </c>
      <c r="BB415" s="134" t="str">
        <f aca="false">IF(ISBLANK($C415),"",AND($AL415,OR($AM415="",$AN415="",AND($AO415,$AP415=""))))</f>
        <v/>
      </c>
      <c r="BC415" s="137" t="str">
        <f aca="false">IF($BX415&lt;&gt;Constants!$B$6,"",IF($AL415,Constants!$B$17*$AN415+Constants!$B$18*IF($AO415,$AP415,Constants!$B$19),Constants!$B$20))</f>
        <v/>
      </c>
      <c r="BD415" s="138" t="str">
        <f aca="false">IF($BX415&lt;&gt;Constants!$B$6,"",Constants!$B$21*ABS($AD$9-IF($AL415,$AM415,0)))</f>
        <v/>
      </c>
      <c r="BE415" s="138" t="str">
        <f aca="false">IF($BX415&lt;&gt;Constants!$B$6,"",IF(AND($AL415,$AQ415,$AO415),Constants!$B$22,0))</f>
        <v/>
      </c>
      <c r="BF415" s="138" t="str">
        <f aca="false">IF($BX415&lt;&gt;Constants!$B$6,"",IF($AL415,($AI415-Constants!$B$24)*Constants!$B$23,0))</f>
        <v/>
      </c>
      <c r="BG415" s="138" t="str">
        <f aca="false">IF($BX415&lt;&gt;Constants!$B$6,"",IF($AK415,0,Constants!$B$12)+IF($AJ415,0,Constants!$B$13)+IF($AH415,0,Constants!$B$14))</f>
        <v/>
      </c>
      <c r="BH415" s="139" t="str">
        <f aca="false">IF($BX415&lt;&gt;Constants!$B$6,"",Constants!$B$16+SUM($BC415:$BG415))</f>
        <v/>
      </c>
      <c r="BI415" s="138" t="str">
        <f aca="false">IF($BX415&lt;&gt;Constants!$B$6,"",$BC415)</f>
        <v/>
      </c>
      <c r="BJ415" s="138" t="str">
        <f aca="false">IF($BX415&lt;&gt;Constants!$B$6,"",$BD415)</f>
        <v/>
      </c>
      <c r="BK415" s="140" t="str">
        <f aca="false">IF($BX415&lt;&gt;Constants!$B$6,"",IF($AL415,$AN415,""))</f>
        <v/>
      </c>
      <c r="BL415" s="135" t="str">
        <f aca="false">IF($BX415&lt;&gt;Constants!$B$6,"",IF(OR($BS415&lt;$BH415,AND($BS415=$BH415,OR($BT415&lt;$BI415,AND($BT415=$BI415,OR($BU415&lt;$BJ415,AND($BU415=$BJ415,AND(ISNUMBER($BV415),OR(NOT(ISNUMBER($BK415)),$BV415&lt;$BK415)))))))),"-&gt;","&lt;-"))</f>
        <v/>
      </c>
      <c r="BM415" s="134" t="str">
        <f aca="false">IF(ISBLANK($C415),"",AND($AT415,OR($AU415="",$AV415="",AND($AW415,$AX415=""))))</f>
        <v/>
      </c>
      <c r="BN415" s="137" t="str">
        <f aca="false">IF($BX415&lt;&gt;Constants!$B$6,"",IF($AT415,Constants!$B$17*$AV415+Constants!$B$18*IF($AW415,$AX415,Constants!$B$19),Constants!$B$20))</f>
        <v/>
      </c>
      <c r="BO415" s="138" t="str">
        <f aca="false">IF($BX415&lt;&gt;Constants!$B$6,"",Constants!$B$21*ABS($AD$9-IF($AT415,$AU415,0)))</f>
        <v/>
      </c>
      <c r="BP415" s="138" t="str">
        <f aca="false">IF($BX415&lt;&gt;Constants!$B$6,"",IF(AND($AT415,$AY415,$AW415),Constants!$B$22,0))</f>
        <v/>
      </c>
      <c r="BQ415" s="138" t="str">
        <f aca="false">IF($BX415&lt;&gt;Constants!$B$6,"",IF($AT415,($AI415-Constants!$B$24)*Constants!$B$23,0))</f>
        <v/>
      </c>
      <c r="BR415" s="138" t="str">
        <f aca="false">IF($BX415&lt;&gt;Constants!$B$6,"",IF($AS415,0,Constants!$B$12)+IF($AR415,0,Constants!$B$13)+IF($AH415,0,Constants!$B$14))</f>
        <v/>
      </c>
      <c r="BS415" s="139" t="str">
        <f aca="false">IF($BX415&lt;&gt;Constants!$B$6,"",Constants!$B$16+SUM($BN415:$BR415))</f>
        <v/>
      </c>
      <c r="BT415" s="138" t="str">
        <f aca="false">IF($BX415&lt;&gt;Constants!$B$6,"",$BN415)</f>
        <v/>
      </c>
      <c r="BU415" s="138" t="str">
        <f aca="false">IF($BX415&lt;&gt;Constants!$B$6,"",$BO415)</f>
        <v/>
      </c>
      <c r="BV415" s="140" t="str">
        <f aca="false">IF($BX415&lt;&gt;Constants!$B$6,"",IF($AT415,$AV415,""))</f>
        <v/>
      </c>
      <c r="BW415" s="135" t="str">
        <f aca="false">IF(ISBLANK($C415),"",IF(ISBLANK($D$7),$BW$5,IF(NOT(ISNUMBER($D$7)),$BW$6,"")))</f>
        <v/>
      </c>
      <c r="BX415" s="135" t="str">
        <f aca="false">IF(ISBLANK($C415),"",IF($BA415,Constants!$B$9,IF(COUNTA($E415:$AA415)=0,Constants!$B$8,IF(NOT($AG415),Constants!$B$7,IF(OR($BW415&lt;&gt;"",$BB415,$BM415),Constants!$B$10,Constants!$B$6)))))</f>
        <v/>
      </c>
      <c r="BY415" s="135" t="str">
        <f aca="false">IF(ISBLANK($C415),"",IF($BX415&lt;&gt;Constants!$B$6,$BX415,Constants!$B$11))</f>
        <v/>
      </c>
      <c r="BZ415" s="138" t="str">
        <f aca="false">IF($BX415&lt;&gt;Constants!$B$6,"",IF($BL415="-&gt;",$BS415,$BH415))</f>
        <v/>
      </c>
      <c r="CA415" s="138" t="str">
        <f aca="false">IF($BX415&lt;&gt;Constants!$B$6,"",IF($AF415,0,Constants!$B$15))</f>
        <v/>
      </c>
      <c r="CB415" s="138" t="str">
        <f aca="false">IF($BX415&lt;&gt;Constants!$B$6,"",((Constants!$B$25-$AZ415)-Constants!$B$25)/Constants!$B$26)</f>
        <v/>
      </c>
      <c r="CC415" s="138" t="str">
        <f aca="false">IF(ISBLANK($C415),"",IF($BX415&lt;&gt;Constants!$B$6,$BX415,SUM($BZ415:$CB415)))</f>
        <v/>
      </c>
      <c r="CD415" s="135" t="str">
        <f aca="false">IF(ISBLANK($C415),"",IF($BX415&lt;&gt;Constants!$B$6,$BX415,RANK($CC415,$CC$9:$CC$508,1)))</f>
        <v/>
      </c>
      <c r="CE415" s="138" t="str">
        <f aca="false">IF($BX415&lt;&gt;Constants!$B$6,"",IF($BL415="-&gt;",$BT415,$BI415))</f>
        <v/>
      </c>
      <c r="CF415" s="135" t="str">
        <f aca="false">IF(ISBLANK($C415),"",IF($BX415&lt;&gt;Constants!$B$6,$BX415,IF(ISNUMBER($CE415),RANK($CE415,$CE$9:$CE$508,1),COUNT($CE$9:$CE$508)+1)))</f>
        <v/>
      </c>
      <c r="CG415" s="138" t="str">
        <f aca="false">IF($BX415&lt;&gt;Constants!$B$6,"",IF($BL415="-&gt;",$BU415,$BJ415))</f>
        <v/>
      </c>
      <c r="CH415" s="135" t="str">
        <f aca="false">IF(ISBLANK($C415),"",IF($BX415&lt;&gt;Constants!$B$6,$BX415,IF(ISNUMBER($CG415),RANK($CG415,$CG$9:$CG$508,1),COUNT($CG$9:$CG$508)+1)))</f>
        <v/>
      </c>
      <c r="CI415" s="138" t="str">
        <f aca="false">IF($BX415&lt;&gt;Constants!$B$6,"",IF($BL415="-&gt;",$BV415,$BK415))</f>
        <v/>
      </c>
      <c r="CJ415" s="135" t="str">
        <f aca="false">IF(ISBLANK($C415),"",IF($BX415&lt;&gt;Constants!$B$6,$BX415,IF(ISNUMBER($CI415),RANK($CI415,$CI$9:$CI$508,1),COUNT($CI$9:$CI$508)+1)))</f>
        <v/>
      </c>
      <c r="CK415" s="138" t="str">
        <f aca="false">IF($BX415&lt;&gt;Constants!$B$6,"",$AI415)</f>
        <v/>
      </c>
      <c r="CL415" s="135" t="str">
        <f aca="false">IF(ISBLANK($C415),"",IF($BX415&lt;&gt;Constants!$B$6,$BX415,IF(ISNUMBER($CK415),RANK($CK415,$CK$9:$CK$508,1),COUNT($CK$9:$CK$508)+1)))</f>
        <v/>
      </c>
      <c r="CM415" s="135" t="str">
        <f aca="false">IF(ISBLANK($C415),"",IF($BX415&lt;&gt;Constants!$B$6,$BX415,COUNTIFS($CD$9:$CD$508,"&lt;"&amp;$CD415)+COUNTIFS($CD$9:$CD$508,$CD415,$CF$9:$CF$508,"&lt;"&amp;$CF415)+COUNTIFS($CD$9:$CD$508,$CD415,$CF$9:$CF$508,$CF415,$CH$9:$CH$508,"&lt;"&amp;$CH415)+COUNTIFS($CD$9:$CD$508,$CD415,$CF$9:$CF$508,$CF415,$CH$9:$CH$508,$CH415,$CJ$9:$CJ$508,"&lt;"&amp;$CJ415)+COUNTIFS($CD$9:$CD$508,$CD415,$CF$9:$CF$508,$CF415,$CH$9:$CH$508,$CH415,$CJ$9:$CJ$508,$CJ415,$CL$9:$CL$508,"&lt;"&amp;$CL415)+1))</f>
        <v/>
      </c>
      <c r="CN415" s="135" t="str">
        <f aca="false">IF(ISBLANK($C415),"",IF($BX415&lt;&gt;Constants!$B$6,$BX415,$CD415-$CM415))</f>
        <v/>
      </c>
      <c r="CO415" s="141"/>
      <c r="CP415" s="142"/>
      <c r="CQ415" s="143" t="str">
        <f aca="false">IF(ISBLANK($C415),"",IF($BX415=Constants!$B$10,$BW415,""))</f>
        <v/>
      </c>
      <c r="CR415" s="142" t="str">
        <f aca="false">IF(ISBLANK($C415),"",IF($BX415&lt;&gt;Constants!$B$6,"",IF($BL415="-&gt;",2,1)))</f>
        <v/>
      </c>
      <c r="CS415" s="144" t="str">
        <f aca="false">IF(ISBLANK($C415),"",IF($BX415&lt;&gt;Constants!$B$6,"",IF($BL415="-&gt;",$BN415,$BC415)))</f>
        <v/>
      </c>
      <c r="CT415" s="144" t="str">
        <f aca="false">IF(ISBLANK($C415),"",IF($BX415&lt;&gt;Constants!$B$6,"",IF($BL415="-&gt;",$BO415,$BD415)))</f>
        <v/>
      </c>
      <c r="CU415" s="144" t="str">
        <f aca="false">IF(ISBLANK($C415),"",IF($BX415&lt;&gt;Constants!$B$6,"",IF($BL415="-&gt;",$BP415+$BQ415,$BE415+$BF415)+$CB415))</f>
        <v/>
      </c>
      <c r="CV415" s="144" t="str">
        <f aca="false">IF(ISBLANK($C415),"",IF($BX415&lt;&gt;Constants!$B$6,"",IF($BL415="-&gt;",$BR415,$BG415)+$CA415))</f>
        <v/>
      </c>
      <c r="CW415" s="145" t="str">
        <f aca="false">IF(ISBLANK($C415),"",IF($BX415&lt;&gt;Constants!$B$6,$BX415,$CC415))</f>
        <v/>
      </c>
      <c r="CX415" s="146" t="str">
        <f aca="false">IF(ISBLANK($C415),"",$BY415)</f>
        <v/>
      </c>
      <c r="CY415" s="147" t="str">
        <f aca="false">IF(ISBLANK($C415),"",$CN415)</f>
        <v/>
      </c>
      <c r="CZ415" s="147" t="str">
        <f aca="false">IF(ISBLANK($C415),"",$CM415)</f>
        <v/>
      </c>
      <c r="DA415" s="148" t="str">
        <f aca="false">IF(ISBLANK($C415),"",IFERROR(_xlfn.SWITCH($CZ415,Constants!$B$9,COUNTA($C$9:$C$508)+2,Constants!$B$8,COUNTA($C$9:$C$508)+1,Constants!$B$7,COUNTA($C$9:$C$508)),$CZ415))</f>
        <v/>
      </c>
      <c r="DB415" s="9"/>
      <c r="DC415" s="149" t="n">
        <f aca="false">IF(OR(ISNUMBER($CZ415),$CZ415=Constants!$B$9,$CZ415=Constants!$B$7,$CZ415=Constants!$B$8),1,0)</f>
        <v>0</v>
      </c>
      <c r="DD415" s="149" t="n">
        <v>407</v>
      </c>
      <c r="DE415" s="149" t="str">
        <f aca="false">IF(ISBLANK($C415),"",IF(ISNUMBER($DA415),$DA415+ROW($B415)/1000,""))</f>
        <v/>
      </c>
      <c r="DF415" s="149" t="str">
        <f aca="false">IF(ISNUMBER($DE415),RANK($DE415,$DE$9:$DE$508,1),"")</f>
        <v/>
      </c>
      <c r="DG415" s="149" t="str">
        <f aca="false">IF(ISBLANK($C415),"",$B415)</f>
        <v/>
      </c>
      <c r="DH415" s="149" t="str">
        <f aca="false">IF(ISBLANK($C415),"",$C415)</f>
        <v/>
      </c>
      <c r="DI415" s="149" t="str">
        <f aca="false">IF(ISBLANK($C415),"",$D415)</f>
        <v/>
      </c>
      <c r="DJ415" s="150" t="str">
        <f aca="false">$CX415</f>
        <v/>
      </c>
      <c r="DK415" s="151" t="str">
        <f aca="false">$CW415</f>
        <v/>
      </c>
      <c r="DL415" s="149" t="str">
        <f aca="false">IF(ISBLANK($C415),"",$CZ415)</f>
        <v/>
      </c>
      <c r="DM415" s="152" t="str">
        <f aca="false">IF($DD415&gt;$DC$8,"",VLOOKUP($DD415,$DF$9:$DL$508,7,FALSE()))</f>
        <v/>
      </c>
      <c r="DN415" s="153" t="str">
        <f aca="false">IF($DD415&gt;$DC$8,"",VLOOKUP($DD415,$DF$9:$DL$508,2,FALSE()))</f>
        <v/>
      </c>
      <c r="DO415" s="153" t="str">
        <f aca="false">IF($DD415&gt;$DC$8,"",VLOOKUP($DD415,$DF$9:$DL$508,3,FALSE()))</f>
        <v/>
      </c>
      <c r="DP415" s="153" t="str">
        <f aca="false">IF($DD415&gt;$DC$8,"",VLOOKUP($DD415,$DF$9:$DL$508,4,FALSE()))</f>
        <v/>
      </c>
      <c r="DQ415" s="153" t="str">
        <f aca="false">IF($DD415&gt;$DC$8,"",VLOOKUP($DD415,$DF$9:$DL$508,5,FALSE()))</f>
        <v/>
      </c>
      <c r="DR415" s="154" t="str">
        <f aca="false">IF($DD415&gt;$DC$8,"",VLOOKUP($DD415,$DF$9:$DL$508,6,FALSE()))</f>
        <v/>
      </c>
      <c r="DS415" s="76"/>
    </row>
    <row r="416" customFormat="false" ht="15.75" hidden="false" customHeight="false" outlineLevel="0" collapsed="false">
      <c r="A416" s="9"/>
      <c r="B416" s="160"/>
      <c r="C416" s="161"/>
      <c r="D416" s="162"/>
      <c r="E416" s="180"/>
      <c r="F416" s="164"/>
      <c r="G416" s="165"/>
      <c r="H416" s="165"/>
      <c r="I416" s="181"/>
      <c r="J416" s="168"/>
      <c r="K416" s="128"/>
      <c r="L416" s="129"/>
      <c r="M416" s="130"/>
      <c r="N416" s="168"/>
      <c r="O416" s="168"/>
      <c r="P416" s="180"/>
      <c r="Q416" s="168"/>
      <c r="R416" s="168"/>
      <c r="S416" s="128"/>
      <c r="T416" s="130"/>
      <c r="U416" s="130"/>
      <c r="V416" s="168"/>
      <c r="W416" s="168"/>
      <c r="X416" s="180"/>
      <c r="Y416" s="168"/>
      <c r="Z416" s="169"/>
      <c r="AA416" s="168"/>
      <c r="AB416" s="134"/>
      <c r="AC416" s="135"/>
      <c r="AD416" s="135"/>
      <c r="AE416" s="135"/>
      <c r="AF416" s="135" t="str">
        <f aca="false">IF(ISBLANK($C416),"",IF(E416=Constants!$B$2,TRUE(),IF(E416=Constants!$B$3,FALSE(),TRUE())))</f>
        <v/>
      </c>
      <c r="AG416" s="135" t="str">
        <f aca="false">IF(ISBLANK($C416),"",IF(F416=Constants!$B$2,TRUE(),IF(F416=Constants!$B$3,FALSE(),TRUE())))</f>
        <v/>
      </c>
      <c r="AH416" s="135" t="str">
        <f aca="false">IF(ISBLANK($C416),"",IF(G416=Constants!$B$2,TRUE(),IF(G416=Constants!$B$3,FALSE(),TRUE())))</f>
        <v/>
      </c>
      <c r="AI416" s="135" t="str">
        <f aca="false">IF(ISBLANK($C416),"",IF(AND(ISNUMBER(H416),H416&gt;=0),H416,Constants!$B$24))</f>
        <v/>
      </c>
      <c r="AJ416" s="135" t="str">
        <f aca="false">IF(ISBLANK($C416),"",IF(I416=Constants!$B$2,TRUE(),IF(I416=Constants!$B$3,FALSE(),TRUE())))</f>
        <v/>
      </c>
      <c r="AK416" s="135" t="str">
        <f aca="false">IF(ISBLANK($C416),"",IF(J416=Constants!$B$2,TRUE(),IF(J416=Constants!$B$3,FALSE(),TRUE())))</f>
        <v/>
      </c>
      <c r="AL416" s="135" t="str">
        <f aca="false">IF(ISBLANK($C416),"",IF(K416=Constants!$B$4,TRUE(),IF(K416=Constants!$B$5,FALSE(),COUNTA(L416:P416)&gt;0)))</f>
        <v/>
      </c>
      <c r="AM416" s="136" t="str">
        <f aca="false">IF(ISBLANK($C416),"",IF(ISNUMBER(L416),IF(L416&gt;=0,L416,""),""))</f>
        <v/>
      </c>
      <c r="AN416" s="137" t="str">
        <f aca="false">IF(ISBLANK($C416),"",IF(ISNUMBER(M416),IF(M416&gt;=0,M416,""),""))</f>
        <v/>
      </c>
      <c r="AO416" s="137" t="str">
        <f aca="false">IF(ISBLANK($C416),"",IF(N416=Constants!$B$2,TRUE(),IF(N416=Constants!$B$3,FALSE(),TRUE())))</f>
        <v/>
      </c>
      <c r="AP416" s="135" t="str">
        <f aca="false">IF(ISBLANK($C416),"",IF(ISNUMBER(O416),IF(O416&gt;=0,O416,""),""))</f>
        <v/>
      </c>
      <c r="AQ416" s="135" t="str">
        <f aca="false">IF(ISBLANK($C416),"",IF(P416=Constants!$B$2,TRUE(),IF(P416=Constants!$B$3,FALSE(),FALSE())))</f>
        <v/>
      </c>
      <c r="AR416" s="135" t="str">
        <f aca="false">IF(ISBLANK($C416),"",IF(Q416=Constants!$B$2,TRUE(),IF(Q416=Constants!$B$3,FALSE(),TRUE())))</f>
        <v/>
      </c>
      <c r="AS416" s="135" t="str">
        <f aca="false">IF(ISBLANK($C416),"",IF(R416=Constants!$B$2,TRUE(),IF(R416=Constants!$B$3,FALSE(),TRUE())))</f>
        <v/>
      </c>
      <c r="AT416" s="135" t="str">
        <f aca="false">IF(ISBLANK($C416),"",IF(S416=Constants!$B$4,TRUE(),IF(S416=Constants!$B$5,FALSE(),COUNTA(T416:X416)&gt;0)))</f>
        <v/>
      </c>
      <c r="AU416" s="136" t="str">
        <f aca="false">IF(ISBLANK($C416),"",IF(ISNUMBER(T416),IF(T416&gt;=0,T416,""),""))</f>
        <v/>
      </c>
      <c r="AV416" s="137" t="str">
        <f aca="false">IF(ISBLANK($C416),"",IF(ISNUMBER(U416),IF(U416&gt;=0,U416,""),""))</f>
        <v/>
      </c>
      <c r="AW416" s="137" t="str">
        <f aca="false">IF(ISBLANK($C416),"",IF(V416=Constants!$B$2,TRUE(),IF(V416=Constants!$B$3,FALSE(),TRUE())))</f>
        <v/>
      </c>
      <c r="AX416" s="135" t="str">
        <f aca="false">IF(ISBLANK($C416),"",IF(ISNUMBER(W416),IF(W416&gt;=0,W416,""),""))</f>
        <v/>
      </c>
      <c r="AY416" s="135" t="str">
        <f aca="false">IF(ISBLANK($C416),"",IF(X416=Constants!$B$2,TRUE(),IF(X416=Constants!$B$3,FALSE(),FALSE())))</f>
        <v/>
      </c>
      <c r="AZ416" s="135" t="str">
        <f aca="false">IF(ISBLANK($C416),"",MIN(Constants!$B$25,MAX(0,IF(ISNUMBER(Y416),Y416*60,0)+IF(ISNUMBER(Z416),Z416,0))))</f>
        <v/>
      </c>
      <c r="BA416" s="135" t="str">
        <f aca="false">IF(ISBLANK($C416),"",IF(AA416=Constants!$B$2,TRUE(),IF(AA416=Constants!$B$3,FALSE(),FALSE())))</f>
        <v/>
      </c>
      <c r="BB416" s="134" t="str">
        <f aca="false">IF(ISBLANK($C416),"",AND($AL416,OR($AM416="",$AN416="",AND($AO416,$AP416=""))))</f>
        <v/>
      </c>
      <c r="BC416" s="137" t="str">
        <f aca="false">IF($BX416&lt;&gt;Constants!$B$6,"",IF($AL416,Constants!$B$17*$AN416+Constants!$B$18*IF($AO416,$AP416,Constants!$B$19),Constants!$B$20))</f>
        <v/>
      </c>
      <c r="BD416" s="138" t="str">
        <f aca="false">IF($BX416&lt;&gt;Constants!$B$6,"",Constants!$B$21*ABS($AD$9-IF($AL416,$AM416,0)))</f>
        <v/>
      </c>
      <c r="BE416" s="138" t="str">
        <f aca="false">IF($BX416&lt;&gt;Constants!$B$6,"",IF(AND($AL416,$AQ416,$AO416),Constants!$B$22,0))</f>
        <v/>
      </c>
      <c r="BF416" s="138" t="str">
        <f aca="false">IF($BX416&lt;&gt;Constants!$B$6,"",IF($AL416,($AI416-Constants!$B$24)*Constants!$B$23,0))</f>
        <v/>
      </c>
      <c r="BG416" s="138" t="str">
        <f aca="false">IF($BX416&lt;&gt;Constants!$B$6,"",IF($AK416,0,Constants!$B$12)+IF($AJ416,0,Constants!$B$13)+IF($AH416,0,Constants!$B$14))</f>
        <v/>
      </c>
      <c r="BH416" s="139" t="str">
        <f aca="false">IF($BX416&lt;&gt;Constants!$B$6,"",Constants!$B$16+SUM($BC416:$BG416))</f>
        <v/>
      </c>
      <c r="BI416" s="138" t="str">
        <f aca="false">IF($BX416&lt;&gt;Constants!$B$6,"",$BC416)</f>
        <v/>
      </c>
      <c r="BJ416" s="138" t="str">
        <f aca="false">IF($BX416&lt;&gt;Constants!$B$6,"",$BD416)</f>
        <v/>
      </c>
      <c r="BK416" s="140" t="str">
        <f aca="false">IF($BX416&lt;&gt;Constants!$B$6,"",IF($AL416,$AN416,""))</f>
        <v/>
      </c>
      <c r="BL416" s="135" t="str">
        <f aca="false">IF($BX416&lt;&gt;Constants!$B$6,"",IF(OR($BS416&lt;$BH416,AND($BS416=$BH416,OR($BT416&lt;$BI416,AND($BT416=$BI416,OR($BU416&lt;$BJ416,AND($BU416=$BJ416,AND(ISNUMBER($BV416),OR(NOT(ISNUMBER($BK416)),$BV416&lt;$BK416)))))))),"-&gt;","&lt;-"))</f>
        <v/>
      </c>
      <c r="BM416" s="134" t="str">
        <f aca="false">IF(ISBLANK($C416),"",AND($AT416,OR($AU416="",$AV416="",AND($AW416,$AX416=""))))</f>
        <v/>
      </c>
      <c r="BN416" s="137" t="str">
        <f aca="false">IF($BX416&lt;&gt;Constants!$B$6,"",IF($AT416,Constants!$B$17*$AV416+Constants!$B$18*IF($AW416,$AX416,Constants!$B$19),Constants!$B$20))</f>
        <v/>
      </c>
      <c r="BO416" s="138" t="str">
        <f aca="false">IF($BX416&lt;&gt;Constants!$B$6,"",Constants!$B$21*ABS($AD$9-IF($AT416,$AU416,0)))</f>
        <v/>
      </c>
      <c r="BP416" s="138" t="str">
        <f aca="false">IF($BX416&lt;&gt;Constants!$B$6,"",IF(AND($AT416,$AY416,$AW416),Constants!$B$22,0))</f>
        <v/>
      </c>
      <c r="BQ416" s="138" t="str">
        <f aca="false">IF($BX416&lt;&gt;Constants!$B$6,"",IF($AT416,($AI416-Constants!$B$24)*Constants!$B$23,0))</f>
        <v/>
      </c>
      <c r="BR416" s="138" t="str">
        <f aca="false">IF($BX416&lt;&gt;Constants!$B$6,"",IF($AS416,0,Constants!$B$12)+IF($AR416,0,Constants!$B$13)+IF($AH416,0,Constants!$B$14))</f>
        <v/>
      </c>
      <c r="BS416" s="139" t="str">
        <f aca="false">IF($BX416&lt;&gt;Constants!$B$6,"",Constants!$B$16+SUM($BN416:$BR416))</f>
        <v/>
      </c>
      <c r="BT416" s="138" t="str">
        <f aca="false">IF($BX416&lt;&gt;Constants!$B$6,"",$BN416)</f>
        <v/>
      </c>
      <c r="BU416" s="138" t="str">
        <f aca="false">IF($BX416&lt;&gt;Constants!$B$6,"",$BO416)</f>
        <v/>
      </c>
      <c r="BV416" s="140" t="str">
        <f aca="false">IF($BX416&lt;&gt;Constants!$B$6,"",IF($AT416,$AV416,""))</f>
        <v/>
      </c>
      <c r="BW416" s="135" t="str">
        <f aca="false">IF(ISBLANK($C416),"",IF(ISBLANK($D$7),$BW$5,IF(NOT(ISNUMBER($D$7)),$BW$6,"")))</f>
        <v/>
      </c>
      <c r="BX416" s="135" t="str">
        <f aca="false">IF(ISBLANK($C416),"",IF($BA416,Constants!$B$9,IF(COUNTA($E416:$AA416)=0,Constants!$B$8,IF(NOT($AG416),Constants!$B$7,IF(OR($BW416&lt;&gt;"",$BB416,$BM416),Constants!$B$10,Constants!$B$6)))))</f>
        <v/>
      </c>
      <c r="BY416" s="135" t="str">
        <f aca="false">IF(ISBLANK($C416),"",IF($BX416&lt;&gt;Constants!$B$6,$BX416,Constants!$B$11))</f>
        <v/>
      </c>
      <c r="BZ416" s="138" t="str">
        <f aca="false">IF($BX416&lt;&gt;Constants!$B$6,"",IF($BL416="-&gt;",$BS416,$BH416))</f>
        <v/>
      </c>
      <c r="CA416" s="138" t="str">
        <f aca="false">IF($BX416&lt;&gt;Constants!$B$6,"",IF($AF416,0,Constants!$B$15))</f>
        <v/>
      </c>
      <c r="CB416" s="138" t="str">
        <f aca="false">IF($BX416&lt;&gt;Constants!$B$6,"",((Constants!$B$25-$AZ416)-Constants!$B$25)/Constants!$B$26)</f>
        <v/>
      </c>
      <c r="CC416" s="138" t="str">
        <f aca="false">IF(ISBLANK($C416),"",IF($BX416&lt;&gt;Constants!$B$6,$BX416,SUM($BZ416:$CB416)))</f>
        <v/>
      </c>
      <c r="CD416" s="135" t="str">
        <f aca="false">IF(ISBLANK($C416),"",IF($BX416&lt;&gt;Constants!$B$6,$BX416,RANK($CC416,$CC$9:$CC$508,1)))</f>
        <v/>
      </c>
      <c r="CE416" s="138" t="str">
        <f aca="false">IF($BX416&lt;&gt;Constants!$B$6,"",IF($BL416="-&gt;",$BT416,$BI416))</f>
        <v/>
      </c>
      <c r="CF416" s="135" t="str">
        <f aca="false">IF(ISBLANK($C416),"",IF($BX416&lt;&gt;Constants!$B$6,$BX416,IF(ISNUMBER($CE416),RANK($CE416,$CE$9:$CE$508,1),COUNT($CE$9:$CE$508)+1)))</f>
        <v/>
      </c>
      <c r="CG416" s="138" t="str">
        <f aca="false">IF($BX416&lt;&gt;Constants!$B$6,"",IF($BL416="-&gt;",$BU416,$BJ416))</f>
        <v/>
      </c>
      <c r="CH416" s="135" t="str">
        <f aca="false">IF(ISBLANK($C416),"",IF($BX416&lt;&gt;Constants!$B$6,$BX416,IF(ISNUMBER($CG416),RANK($CG416,$CG$9:$CG$508,1),COUNT($CG$9:$CG$508)+1)))</f>
        <v/>
      </c>
      <c r="CI416" s="138" t="str">
        <f aca="false">IF($BX416&lt;&gt;Constants!$B$6,"",IF($BL416="-&gt;",$BV416,$BK416))</f>
        <v/>
      </c>
      <c r="CJ416" s="135" t="str">
        <f aca="false">IF(ISBLANK($C416),"",IF($BX416&lt;&gt;Constants!$B$6,$BX416,IF(ISNUMBER($CI416),RANK($CI416,$CI$9:$CI$508,1),COUNT($CI$9:$CI$508)+1)))</f>
        <v/>
      </c>
      <c r="CK416" s="138" t="str">
        <f aca="false">IF($BX416&lt;&gt;Constants!$B$6,"",$AI416)</f>
        <v/>
      </c>
      <c r="CL416" s="135" t="str">
        <f aca="false">IF(ISBLANK($C416),"",IF($BX416&lt;&gt;Constants!$B$6,$BX416,IF(ISNUMBER($CK416),RANK($CK416,$CK$9:$CK$508,1),COUNT($CK$9:$CK$508)+1)))</f>
        <v/>
      </c>
      <c r="CM416" s="135" t="str">
        <f aca="false">IF(ISBLANK($C416),"",IF($BX416&lt;&gt;Constants!$B$6,$BX416,COUNTIFS($CD$9:$CD$508,"&lt;"&amp;$CD416)+COUNTIFS($CD$9:$CD$508,$CD416,$CF$9:$CF$508,"&lt;"&amp;$CF416)+COUNTIFS($CD$9:$CD$508,$CD416,$CF$9:$CF$508,$CF416,$CH$9:$CH$508,"&lt;"&amp;$CH416)+COUNTIFS($CD$9:$CD$508,$CD416,$CF$9:$CF$508,$CF416,$CH$9:$CH$508,$CH416,$CJ$9:$CJ$508,"&lt;"&amp;$CJ416)+COUNTIFS($CD$9:$CD$508,$CD416,$CF$9:$CF$508,$CF416,$CH$9:$CH$508,$CH416,$CJ$9:$CJ$508,$CJ416,$CL$9:$CL$508,"&lt;"&amp;$CL416)+1))</f>
        <v/>
      </c>
      <c r="CN416" s="135" t="str">
        <f aca="false">IF(ISBLANK($C416),"",IF($BX416&lt;&gt;Constants!$B$6,$BX416,$CD416-$CM416))</f>
        <v/>
      </c>
      <c r="CO416" s="141"/>
      <c r="CP416" s="142"/>
      <c r="CQ416" s="143" t="str">
        <f aca="false">IF(ISBLANK($C416),"",IF($BX416=Constants!$B$10,$BW416,""))</f>
        <v/>
      </c>
      <c r="CR416" s="142" t="str">
        <f aca="false">IF(ISBLANK($C416),"",IF($BX416&lt;&gt;Constants!$B$6,"",IF($BL416="-&gt;",2,1)))</f>
        <v/>
      </c>
      <c r="CS416" s="144" t="str">
        <f aca="false">IF(ISBLANK($C416),"",IF($BX416&lt;&gt;Constants!$B$6,"",IF($BL416="-&gt;",$BN416,$BC416)))</f>
        <v/>
      </c>
      <c r="CT416" s="144" t="str">
        <f aca="false">IF(ISBLANK($C416),"",IF($BX416&lt;&gt;Constants!$B$6,"",IF($BL416="-&gt;",$BO416,$BD416)))</f>
        <v/>
      </c>
      <c r="CU416" s="144" t="str">
        <f aca="false">IF(ISBLANK($C416),"",IF($BX416&lt;&gt;Constants!$B$6,"",IF($BL416="-&gt;",$BP416+$BQ416,$BE416+$BF416)+$CB416))</f>
        <v/>
      </c>
      <c r="CV416" s="144" t="str">
        <f aca="false">IF(ISBLANK($C416),"",IF($BX416&lt;&gt;Constants!$B$6,"",IF($BL416="-&gt;",$BR416,$BG416)+$CA416))</f>
        <v/>
      </c>
      <c r="CW416" s="145" t="str">
        <f aca="false">IF(ISBLANK($C416),"",IF($BX416&lt;&gt;Constants!$B$6,$BX416,$CC416))</f>
        <v/>
      </c>
      <c r="CX416" s="146" t="str">
        <f aca="false">IF(ISBLANK($C416),"",$BY416)</f>
        <v/>
      </c>
      <c r="CY416" s="147" t="str">
        <f aca="false">IF(ISBLANK($C416),"",$CN416)</f>
        <v/>
      </c>
      <c r="CZ416" s="147" t="str">
        <f aca="false">IF(ISBLANK($C416),"",$CM416)</f>
        <v/>
      </c>
      <c r="DA416" s="148" t="str">
        <f aca="false">IF(ISBLANK($C416),"",IFERROR(_xlfn.SWITCH($CZ416,Constants!$B$9,COUNTA($C$9:$C$508)+2,Constants!$B$8,COUNTA($C$9:$C$508)+1,Constants!$B$7,COUNTA($C$9:$C$508)),$CZ416))</f>
        <v/>
      </c>
      <c r="DB416" s="9"/>
      <c r="DC416" s="149" t="n">
        <f aca="false">IF(OR(ISNUMBER($CZ416),$CZ416=Constants!$B$9,$CZ416=Constants!$B$7,$CZ416=Constants!$B$8),1,0)</f>
        <v>0</v>
      </c>
      <c r="DD416" s="149" t="n">
        <v>408</v>
      </c>
      <c r="DE416" s="149" t="str">
        <f aca="false">IF(ISBLANK($C416),"",IF(ISNUMBER($DA416),$DA416+ROW($B416)/1000,""))</f>
        <v/>
      </c>
      <c r="DF416" s="149" t="str">
        <f aca="false">IF(ISNUMBER($DE416),RANK($DE416,$DE$9:$DE$508,1),"")</f>
        <v/>
      </c>
      <c r="DG416" s="149" t="str">
        <f aca="false">IF(ISBLANK($C416),"",$B416)</f>
        <v/>
      </c>
      <c r="DH416" s="149" t="str">
        <f aca="false">IF(ISBLANK($C416),"",$C416)</f>
        <v/>
      </c>
      <c r="DI416" s="149" t="str">
        <f aca="false">IF(ISBLANK($C416),"",$D416)</f>
        <v/>
      </c>
      <c r="DJ416" s="150" t="str">
        <f aca="false">$CX416</f>
        <v/>
      </c>
      <c r="DK416" s="151" t="str">
        <f aca="false">$CW416</f>
        <v/>
      </c>
      <c r="DL416" s="149" t="str">
        <f aca="false">IF(ISBLANK($C416),"",$CZ416)</f>
        <v/>
      </c>
      <c r="DM416" s="152" t="str">
        <f aca="false">IF($DD416&gt;$DC$8,"",VLOOKUP($DD416,$DF$9:$DL$508,7,FALSE()))</f>
        <v/>
      </c>
      <c r="DN416" s="153" t="str">
        <f aca="false">IF($DD416&gt;$DC$8,"",VLOOKUP($DD416,$DF$9:$DL$508,2,FALSE()))</f>
        <v/>
      </c>
      <c r="DO416" s="153" t="str">
        <f aca="false">IF($DD416&gt;$DC$8,"",VLOOKUP($DD416,$DF$9:$DL$508,3,FALSE()))</f>
        <v/>
      </c>
      <c r="DP416" s="153" t="str">
        <f aca="false">IF($DD416&gt;$DC$8,"",VLOOKUP($DD416,$DF$9:$DL$508,4,FALSE()))</f>
        <v/>
      </c>
      <c r="DQ416" s="153" t="str">
        <f aca="false">IF($DD416&gt;$DC$8,"",VLOOKUP($DD416,$DF$9:$DL$508,5,FALSE()))</f>
        <v/>
      </c>
      <c r="DR416" s="154" t="str">
        <f aca="false">IF($DD416&gt;$DC$8,"",VLOOKUP($DD416,$DF$9:$DL$508,6,FALSE()))</f>
        <v/>
      </c>
      <c r="DS416" s="76"/>
    </row>
    <row r="417" customFormat="false" ht="15.75" hidden="false" customHeight="false" outlineLevel="0" collapsed="false">
      <c r="A417" s="9"/>
      <c r="B417" s="78"/>
      <c r="C417" s="79"/>
      <c r="D417" s="170"/>
      <c r="E417" s="178"/>
      <c r="F417" s="172"/>
      <c r="G417" s="173"/>
      <c r="H417" s="173"/>
      <c r="I417" s="179"/>
      <c r="J417" s="176"/>
      <c r="K417" s="86"/>
      <c r="L417" s="87"/>
      <c r="M417" s="88"/>
      <c r="N417" s="176"/>
      <c r="O417" s="176"/>
      <c r="P417" s="178"/>
      <c r="Q417" s="176"/>
      <c r="R417" s="176"/>
      <c r="S417" s="86"/>
      <c r="T417" s="88"/>
      <c r="U417" s="88"/>
      <c r="V417" s="176"/>
      <c r="W417" s="176"/>
      <c r="X417" s="178"/>
      <c r="Y417" s="176"/>
      <c r="Z417" s="177"/>
      <c r="AA417" s="176"/>
      <c r="AB417" s="92"/>
      <c r="AC417" s="93"/>
      <c r="AD417" s="93"/>
      <c r="AE417" s="93"/>
      <c r="AF417" s="93" t="str">
        <f aca="false">IF(ISBLANK($C417),"",IF(E417=Constants!$B$2,TRUE(),IF(E417=Constants!$B$3,FALSE(),TRUE())))</f>
        <v/>
      </c>
      <c r="AG417" s="93" t="str">
        <f aca="false">IF(ISBLANK($C417),"",IF(F417=Constants!$B$2,TRUE(),IF(F417=Constants!$B$3,FALSE(),TRUE())))</f>
        <v/>
      </c>
      <c r="AH417" s="93" t="str">
        <f aca="false">IF(ISBLANK($C417),"",IF(G417=Constants!$B$2,TRUE(),IF(G417=Constants!$B$3,FALSE(),TRUE())))</f>
        <v/>
      </c>
      <c r="AI417" s="93" t="str">
        <f aca="false">IF(ISBLANK($C417),"",IF(AND(ISNUMBER(H417),H417&gt;=0),H417,Constants!$B$24))</f>
        <v/>
      </c>
      <c r="AJ417" s="93" t="str">
        <f aca="false">IF(ISBLANK($C417),"",IF(I417=Constants!$B$2,TRUE(),IF(I417=Constants!$B$3,FALSE(),TRUE())))</f>
        <v/>
      </c>
      <c r="AK417" s="93" t="str">
        <f aca="false">IF(ISBLANK($C417),"",IF(J417=Constants!$B$2,TRUE(),IF(J417=Constants!$B$3,FALSE(),TRUE())))</f>
        <v/>
      </c>
      <c r="AL417" s="93" t="str">
        <f aca="false">IF(ISBLANK($C417),"",IF(K417=Constants!$B$4,TRUE(),IF(K417=Constants!$B$5,FALSE(),COUNTA(L417:P417)&gt;0)))</f>
        <v/>
      </c>
      <c r="AM417" s="95" t="str">
        <f aca="false">IF(ISBLANK($C417),"",IF(ISNUMBER(L417),IF(L417&gt;=0,L417,""),""))</f>
        <v/>
      </c>
      <c r="AN417" s="94" t="str">
        <f aca="false">IF(ISBLANK($C417),"",IF(ISNUMBER(M417),IF(M417&gt;=0,M417,""),""))</f>
        <v/>
      </c>
      <c r="AO417" s="94" t="str">
        <f aca="false">IF(ISBLANK($C417),"",IF(N417=Constants!$B$2,TRUE(),IF(N417=Constants!$B$3,FALSE(),TRUE())))</f>
        <v/>
      </c>
      <c r="AP417" s="93" t="str">
        <f aca="false">IF(ISBLANK($C417),"",IF(ISNUMBER(O417),IF(O417&gt;=0,O417,""),""))</f>
        <v/>
      </c>
      <c r="AQ417" s="93" t="str">
        <f aca="false">IF(ISBLANK($C417),"",IF(P417=Constants!$B$2,TRUE(),IF(P417=Constants!$B$3,FALSE(),FALSE())))</f>
        <v/>
      </c>
      <c r="AR417" s="93" t="str">
        <f aca="false">IF(ISBLANK($C417),"",IF(Q417=Constants!$B$2,TRUE(),IF(Q417=Constants!$B$3,FALSE(),TRUE())))</f>
        <v/>
      </c>
      <c r="AS417" s="93" t="str">
        <f aca="false">IF(ISBLANK($C417),"",IF(R417=Constants!$B$2,TRUE(),IF(R417=Constants!$B$3,FALSE(),TRUE())))</f>
        <v/>
      </c>
      <c r="AT417" s="93" t="str">
        <f aca="false">IF(ISBLANK($C417),"",IF(S417=Constants!$B$4,TRUE(),IF(S417=Constants!$B$5,FALSE(),COUNTA(T417:X417)&gt;0)))</f>
        <v/>
      </c>
      <c r="AU417" s="95" t="str">
        <f aca="false">IF(ISBLANK($C417),"",IF(ISNUMBER(T417),IF(T417&gt;=0,T417,""),""))</f>
        <v/>
      </c>
      <c r="AV417" s="94" t="str">
        <f aca="false">IF(ISBLANK($C417),"",IF(ISNUMBER(U417),IF(U417&gt;=0,U417,""),""))</f>
        <v/>
      </c>
      <c r="AW417" s="94" t="str">
        <f aca="false">IF(ISBLANK($C417),"",IF(V417=Constants!$B$2,TRUE(),IF(V417=Constants!$B$3,FALSE(),TRUE())))</f>
        <v/>
      </c>
      <c r="AX417" s="93" t="str">
        <f aca="false">IF(ISBLANK($C417),"",IF(ISNUMBER(W417),IF(W417&gt;=0,W417,""),""))</f>
        <v/>
      </c>
      <c r="AY417" s="93" t="str">
        <f aca="false">IF(ISBLANK($C417),"",IF(X417=Constants!$B$2,TRUE(),IF(X417=Constants!$B$3,FALSE(),FALSE())))</f>
        <v/>
      </c>
      <c r="AZ417" s="93" t="str">
        <f aca="false">IF(ISBLANK($C417),"",MIN(Constants!$B$25,MAX(0,IF(ISNUMBER(Y417),Y417*60,0)+IF(ISNUMBER(Z417),Z417,0))))</f>
        <v/>
      </c>
      <c r="BA417" s="93" t="str">
        <f aca="false">IF(ISBLANK($C417),"",IF(AA417=Constants!$B$2,TRUE(),IF(AA417=Constants!$B$3,FALSE(),FALSE())))</f>
        <v/>
      </c>
      <c r="BB417" s="92" t="str">
        <f aca="false">IF(ISBLANK($C417),"",AND($AL417,OR($AM417="",$AN417="",AND($AO417,$AP417=""))))</f>
        <v/>
      </c>
      <c r="BC417" s="94" t="str">
        <f aca="false">IF($BX417&lt;&gt;Constants!$B$6,"",IF($AL417,Constants!$B$17*$AN417+Constants!$B$18*IF($AO417,$AP417,Constants!$B$19),Constants!$B$20))</f>
        <v/>
      </c>
      <c r="BD417" s="97" t="str">
        <f aca="false">IF($BX417&lt;&gt;Constants!$B$6,"",Constants!$B$21*ABS($AD$9-IF($AL417,$AM417,0)))</f>
        <v/>
      </c>
      <c r="BE417" s="97" t="str">
        <f aca="false">IF($BX417&lt;&gt;Constants!$B$6,"",IF(AND($AL417,$AQ417,$AO417),Constants!$B$22,0))</f>
        <v/>
      </c>
      <c r="BF417" s="97" t="str">
        <f aca="false">IF($BX417&lt;&gt;Constants!$B$6,"",IF($AL417,($AI417-Constants!$B$24)*Constants!$B$23,0))</f>
        <v/>
      </c>
      <c r="BG417" s="97" t="str">
        <f aca="false">IF($BX417&lt;&gt;Constants!$B$6,"",IF($AK417,0,Constants!$B$12)+IF($AJ417,0,Constants!$B$13)+IF($AH417,0,Constants!$B$14))</f>
        <v/>
      </c>
      <c r="BH417" s="98" t="str">
        <f aca="false">IF($BX417&lt;&gt;Constants!$B$6,"",Constants!$B$16+SUM($BC417:$BG417))</f>
        <v/>
      </c>
      <c r="BI417" s="97" t="str">
        <f aca="false">IF($BX417&lt;&gt;Constants!$B$6,"",$BC417)</f>
        <v/>
      </c>
      <c r="BJ417" s="97" t="str">
        <f aca="false">IF($BX417&lt;&gt;Constants!$B$6,"",$BD417)</f>
        <v/>
      </c>
      <c r="BK417" s="99" t="str">
        <f aca="false">IF($BX417&lt;&gt;Constants!$B$6,"",IF($AL417,$AN417,""))</f>
        <v/>
      </c>
      <c r="BL417" s="93" t="str">
        <f aca="false">IF($BX417&lt;&gt;Constants!$B$6,"",IF(OR($BS417&lt;$BH417,AND($BS417=$BH417,OR($BT417&lt;$BI417,AND($BT417=$BI417,OR($BU417&lt;$BJ417,AND($BU417=$BJ417,AND(ISNUMBER($BV417),OR(NOT(ISNUMBER($BK417)),$BV417&lt;$BK417)))))))),"-&gt;","&lt;-"))</f>
        <v/>
      </c>
      <c r="BM417" s="92" t="str">
        <f aca="false">IF(ISBLANK($C417),"",AND($AT417,OR($AU417="",$AV417="",AND($AW417,$AX417=""))))</f>
        <v/>
      </c>
      <c r="BN417" s="94" t="str">
        <f aca="false">IF($BX417&lt;&gt;Constants!$B$6,"",IF($AT417,Constants!$B$17*$AV417+Constants!$B$18*IF($AW417,$AX417,Constants!$B$19),Constants!$B$20))</f>
        <v/>
      </c>
      <c r="BO417" s="97" t="str">
        <f aca="false">IF($BX417&lt;&gt;Constants!$B$6,"",Constants!$B$21*ABS($AD$9-IF($AT417,$AU417,0)))</f>
        <v/>
      </c>
      <c r="BP417" s="97" t="str">
        <f aca="false">IF($BX417&lt;&gt;Constants!$B$6,"",IF(AND($AT417,$AY417,$AW417),Constants!$B$22,0))</f>
        <v/>
      </c>
      <c r="BQ417" s="97" t="str">
        <f aca="false">IF($BX417&lt;&gt;Constants!$B$6,"",IF($AT417,($AI417-Constants!$B$24)*Constants!$B$23,0))</f>
        <v/>
      </c>
      <c r="BR417" s="97" t="str">
        <f aca="false">IF($BX417&lt;&gt;Constants!$B$6,"",IF($AS417,0,Constants!$B$12)+IF($AR417,0,Constants!$B$13)+IF($AH417,0,Constants!$B$14))</f>
        <v/>
      </c>
      <c r="BS417" s="98" t="str">
        <f aca="false">IF($BX417&lt;&gt;Constants!$B$6,"",Constants!$B$16+SUM($BN417:$BR417))</f>
        <v/>
      </c>
      <c r="BT417" s="97" t="str">
        <f aca="false">IF($BX417&lt;&gt;Constants!$B$6,"",$BN417)</f>
        <v/>
      </c>
      <c r="BU417" s="97" t="str">
        <f aca="false">IF($BX417&lt;&gt;Constants!$B$6,"",$BO417)</f>
        <v/>
      </c>
      <c r="BV417" s="99" t="str">
        <f aca="false">IF($BX417&lt;&gt;Constants!$B$6,"",IF($AT417,$AV417,""))</f>
        <v/>
      </c>
      <c r="BW417" s="93" t="str">
        <f aca="false">IF(ISBLANK($C417),"",IF(ISBLANK($D$7),$BW$5,IF(NOT(ISNUMBER($D$7)),$BW$6,"")))</f>
        <v/>
      </c>
      <c r="BX417" s="93" t="str">
        <f aca="false">IF(ISBLANK($C417),"",IF($BA417,Constants!$B$9,IF(COUNTA($E417:$AA417)=0,Constants!$B$8,IF(NOT($AG417),Constants!$B$7,IF(OR($BW417&lt;&gt;"",$BB417,$BM417),Constants!$B$10,Constants!$B$6)))))</f>
        <v/>
      </c>
      <c r="BY417" s="93" t="str">
        <f aca="false">IF(ISBLANK($C417),"",IF($BX417&lt;&gt;Constants!$B$6,$BX417,Constants!$B$11))</f>
        <v/>
      </c>
      <c r="BZ417" s="97" t="str">
        <f aca="false">IF($BX417&lt;&gt;Constants!$B$6,"",IF($BL417="-&gt;",$BS417,$BH417))</f>
        <v/>
      </c>
      <c r="CA417" s="97" t="str">
        <f aca="false">IF($BX417&lt;&gt;Constants!$B$6,"",IF($AF417,0,Constants!$B$15))</f>
        <v/>
      </c>
      <c r="CB417" s="97" t="str">
        <f aca="false">IF($BX417&lt;&gt;Constants!$B$6,"",((Constants!$B$25-$AZ417)-Constants!$B$25)/Constants!$B$26)</f>
        <v/>
      </c>
      <c r="CC417" s="97" t="str">
        <f aca="false">IF(ISBLANK($C417),"",IF($BX417&lt;&gt;Constants!$B$6,$BX417,SUM($BZ417:$CB417)))</f>
        <v/>
      </c>
      <c r="CD417" s="93" t="str">
        <f aca="false">IF(ISBLANK($C417),"",IF($BX417&lt;&gt;Constants!$B$6,$BX417,RANK($CC417,$CC$9:$CC$508,1)))</f>
        <v/>
      </c>
      <c r="CE417" s="97" t="str">
        <f aca="false">IF($BX417&lt;&gt;Constants!$B$6,"",IF($BL417="-&gt;",$BT417,$BI417))</f>
        <v/>
      </c>
      <c r="CF417" s="93" t="str">
        <f aca="false">IF(ISBLANK($C417),"",IF($BX417&lt;&gt;Constants!$B$6,$BX417,IF(ISNUMBER($CE417),RANK($CE417,$CE$9:$CE$508,1),COUNT($CE$9:$CE$508)+1)))</f>
        <v/>
      </c>
      <c r="CG417" s="97" t="str">
        <f aca="false">IF($BX417&lt;&gt;Constants!$B$6,"",IF($BL417="-&gt;",$BU417,$BJ417))</f>
        <v/>
      </c>
      <c r="CH417" s="93" t="str">
        <f aca="false">IF(ISBLANK($C417),"",IF($BX417&lt;&gt;Constants!$B$6,$BX417,IF(ISNUMBER($CG417),RANK($CG417,$CG$9:$CG$508,1),COUNT($CG$9:$CG$508)+1)))</f>
        <v/>
      </c>
      <c r="CI417" s="97" t="str">
        <f aca="false">IF($BX417&lt;&gt;Constants!$B$6,"",IF($BL417="-&gt;",$BV417,$BK417))</f>
        <v/>
      </c>
      <c r="CJ417" s="93" t="str">
        <f aca="false">IF(ISBLANK($C417),"",IF($BX417&lt;&gt;Constants!$B$6,$BX417,IF(ISNUMBER($CI417),RANK($CI417,$CI$9:$CI$508,1),COUNT($CI$9:$CI$508)+1)))</f>
        <v/>
      </c>
      <c r="CK417" s="97" t="str">
        <f aca="false">IF($BX417&lt;&gt;Constants!$B$6,"",$AI417)</f>
        <v/>
      </c>
      <c r="CL417" s="93" t="str">
        <f aca="false">IF(ISBLANK($C417),"",IF($BX417&lt;&gt;Constants!$B$6,$BX417,IF(ISNUMBER($CK417),RANK($CK417,$CK$9:$CK$508,1),COUNT($CK$9:$CK$508)+1)))</f>
        <v/>
      </c>
      <c r="CM417" s="93" t="str">
        <f aca="false">IF(ISBLANK($C417),"",IF($BX417&lt;&gt;Constants!$B$6,$BX417,COUNTIFS($CD$9:$CD$508,"&lt;"&amp;$CD417)+COUNTIFS($CD$9:$CD$508,$CD417,$CF$9:$CF$508,"&lt;"&amp;$CF417)+COUNTIFS($CD$9:$CD$508,$CD417,$CF$9:$CF$508,$CF417,$CH$9:$CH$508,"&lt;"&amp;$CH417)+COUNTIFS($CD$9:$CD$508,$CD417,$CF$9:$CF$508,$CF417,$CH$9:$CH$508,$CH417,$CJ$9:$CJ$508,"&lt;"&amp;$CJ417)+COUNTIFS($CD$9:$CD$508,$CD417,$CF$9:$CF$508,$CF417,$CH$9:$CH$508,$CH417,$CJ$9:$CJ$508,$CJ417,$CL$9:$CL$508,"&lt;"&amp;$CL417)+1))</f>
        <v/>
      </c>
      <c r="CN417" s="93" t="str">
        <f aca="false">IF(ISBLANK($C417),"",IF($BX417&lt;&gt;Constants!$B$6,$BX417,$CD417-$CM417))</f>
        <v/>
      </c>
      <c r="CO417" s="100"/>
      <c r="CP417" s="101"/>
      <c r="CQ417" s="102" t="str">
        <f aca="false">IF(ISBLANK($C417),"",IF($BX417=Constants!$B$10,$BW417,""))</f>
        <v/>
      </c>
      <c r="CR417" s="101" t="str">
        <f aca="false">IF(ISBLANK($C417),"",IF($BX417&lt;&gt;Constants!$B$6,"",IF($BL417="-&gt;",2,1)))</f>
        <v/>
      </c>
      <c r="CS417" s="103" t="str">
        <f aca="false">IF(ISBLANK($C417),"",IF($BX417&lt;&gt;Constants!$B$6,"",IF($BL417="-&gt;",$BN417,$BC417)))</f>
        <v/>
      </c>
      <c r="CT417" s="103" t="str">
        <f aca="false">IF(ISBLANK($C417),"",IF($BX417&lt;&gt;Constants!$B$6,"",IF($BL417="-&gt;",$BO417,$BD417)))</f>
        <v/>
      </c>
      <c r="CU417" s="103" t="str">
        <f aca="false">IF(ISBLANK($C417),"",IF($BX417&lt;&gt;Constants!$B$6,"",IF($BL417="-&gt;",$BP417+$BQ417,$BE417+$BF417)+$CB417))</f>
        <v/>
      </c>
      <c r="CV417" s="103" t="str">
        <f aca="false">IF(ISBLANK($C417),"",IF($BX417&lt;&gt;Constants!$B$6,"",IF($BL417="-&gt;",$BR417,$BG417)+$CA417))</f>
        <v/>
      </c>
      <c r="CW417" s="104" t="str">
        <f aca="false">IF(ISBLANK($C417),"",IF($BX417&lt;&gt;Constants!$B$6,$BX417,$CC417))</f>
        <v/>
      </c>
      <c r="CX417" s="105" t="str">
        <f aca="false">IF(ISBLANK($C417),"",$BY417)</f>
        <v/>
      </c>
      <c r="CY417" s="106" t="str">
        <f aca="false">IF(ISBLANK($C417),"",$CN417)</f>
        <v/>
      </c>
      <c r="CZ417" s="106" t="str">
        <f aca="false">IF(ISBLANK($C417),"",$CM417)</f>
        <v/>
      </c>
      <c r="DA417" s="107" t="str">
        <f aca="false">IF(ISBLANK($C417),"",IFERROR(_xlfn.SWITCH($CZ417,Constants!$B$9,COUNTA($C$9:$C$508)+2,Constants!$B$8,COUNTA($C$9:$C$508)+1,Constants!$B$7,COUNTA($C$9:$C$508)),$CZ417))</f>
        <v/>
      </c>
      <c r="DB417" s="9"/>
      <c r="DC417" s="108" t="n">
        <f aca="false">IF(OR(ISNUMBER($CZ417),$CZ417=Constants!$B$9,$CZ417=Constants!$B$7,$CZ417=Constants!$B$8),1,0)</f>
        <v>0</v>
      </c>
      <c r="DD417" s="108" t="n">
        <v>409</v>
      </c>
      <c r="DE417" s="108" t="str">
        <f aca="false">IF(ISBLANK($C417),"",IF(ISNUMBER($DA417),$DA417+ROW($B417)/1000,""))</f>
        <v/>
      </c>
      <c r="DF417" s="108" t="str">
        <f aca="false">IF(ISNUMBER($DE417),RANK($DE417,$DE$9:$DE$508,1),"")</f>
        <v/>
      </c>
      <c r="DG417" s="108" t="str">
        <f aca="false">IF(ISBLANK($C417),"",$B417)</f>
        <v/>
      </c>
      <c r="DH417" s="108" t="str">
        <f aca="false">IF(ISBLANK($C417),"",$C417)</f>
        <v/>
      </c>
      <c r="DI417" s="108" t="str">
        <f aca="false">IF(ISBLANK($C417),"",$D417)</f>
        <v/>
      </c>
      <c r="DJ417" s="109" t="str">
        <f aca="false">$CX417</f>
        <v/>
      </c>
      <c r="DK417" s="110" t="str">
        <f aca="false">$CW417</f>
        <v/>
      </c>
      <c r="DL417" s="108" t="str">
        <f aca="false">IF(ISBLANK($C417),"",$CZ417)</f>
        <v/>
      </c>
      <c r="DM417" s="111" t="str">
        <f aca="false">IF($DD417&gt;$DC$8,"",VLOOKUP($DD417,$DF$9:$DL$508,7,FALSE()))</f>
        <v/>
      </c>
      <c r="DN417" s="112" t="str">
        <f aca="false">IF($DD417&gt;$DC$8,"",VLOOKUP($DD417,$DF$9:$DL$508,2,FALSE()))</f>
        <v/>
      </c>
      <c r="DO417" s="112" t="str">
        <f aca="false">IF($DD417&gt;$DC$8,"",VLOOKUP($DD417,$DF$9:$DL$508,3,FALSE()))</f>
        <v/>
      </c>
      <c r="DP417" s="112" t="str">
        <f aca="false">IF($DD417&gt;$DC$8,"",VLOOKUP($DD417,$DF$9:$DL$508,4,FALSE()))</f>
        <v/>
      </c>
      <c r="DQ417" s="112" t="str">
        <f aca="false">IF($DD417&gt;$DC$8,"",VLOOKUP($DD417,$DF$9:$DL$508,5,FALSE()))</f>
        <v/>
      </c>
      <c r="DR417" s="113" t="str">
        <f aca="false">IF($DD417&gt;$DC$8,"",VLOOKUP($DD417,$DF$9:$DL$508,6,FALSE()))</f>
        <v/>
      </c>
      <c r="DS417" s="76"/>
    </row>
    <row r="418" customFormat="false" ht="15.75" hidden="false" customHeight="false" outlineLevel="0" collapsed="false">
      <c r="A418" s="9"/>
      <c r="B418" s="78"/>
      <c r="C418" s="79"/>
      <c r="D418" s="170"/>
      <c r="E418" s="178"/>
      <c r="F418" s="172"/>
      <c r="G418" s="173"/>
      <c r="H418" s="173"/>
      <c r="I418" s="179"/>
      <c r="J418" s="176"/>
      <c r="K418" s="86"/>
      <c r="L418" s="87"/>
      <c r="M418" s="88"/>
      <c r="N418" s="176"/>
      <c r="O418" s="176"/>
      <c r="P418" s="178"/>
      <c r="Q418" s="176"/>
      <c r="R418" s="176"/>
      <c r="S418" s="86"/>
      <c r="T418" s="88"/>
      <c r="U418" s="88"/>
      <c r="V418" s="176"/>
      <c r="W418" s="176"/>
      <c r="X418" s="178"/>
      <c r="Y418" s="176"/>
      <c r="Z418" s="177"/>
      <c r="AA418" s="176"/>
      <c r="AB418" s="92"/>
      <c r="AC418" s="93"/>
      <c r="AD418" s="93"/>
      <c r="AE418" s="93"/>
      <c r="AF418" s="93" t="str">
        <f aca="false">IF(ISBLANK($C418),"",IF(E418=Constants!$B$2,TRUE(),IF(E418=Constants!$B$3,FALSE(),TRUE())))</f>
        <v/>
      </c>
      <c r="AG418" s="93" t="str">
        <f aca="false">IF(ISBLANK($C418),"",IF(F418=Constants!$B$2,TRUE(),IF(F418=Constants!$B$3,FALSE(),TRUE())))</f>
        <v/>
      </c>
      <c r="AH418" s="93" t="str">
        <f aca="false">IF(ISBLANK($C418),"",IF(G418=Constants!$B$2,TRUE(),IF(G418=Constants!$B$3,FALSE(),TRUE())))</f>
        <v/>
      </c>
      <c r="AI418" s="93" t="str">
        <f aca="false">IF(ISBLANK($C418),"",IF(AND(ISNUMBER(H418),H418&gt;=0),H418,Constants!$B$24))</f>
        <v/>
      </c>
      <c r="AJ418" s="93" t="str">
        <f aca="false">IF(ISBLANK($C418),"",IF(I418=Constants!$B$2,TRUE(),IF(I418=Constants!$B$3,FALSE(),TRUE())))</f>
        <v/>
      </c>
      <c r="AK418" s="93" t="str">
        <f aca="false">IF(ISBLANK($C418),"",IF(J418=Constants!$B$2,TRUE(),IF(J418=Constants!$B$3,FALSE(),TRUE())))</f>
        <v/>
      </c>
      <c r="AL418" s="93" t="str">
        <f aca="false">IF(ISBLANK($C418),"",IF(K418=Constants!$B$4,TRUE(),IF(K418=Constants!$B$5,FALSE(),COUNTA(L418:P418)&gt;0)))</f>
        <v/>
      </c>
      <c r="AM418" s="95" t="str">
        <f aca="false">IF(ISBLANK($C418),"",IF(ISNUMBER(L418),IF(L418&gt;=0,L418,""),""))</f>
        <v/>
      </c>
      <c r="AN418" s="94" t="str">
        <f aca="false">IF(ISBLANK($C418),"",IF(ISNUMBER(M418),IF(M418&gt;=0,M418,""),""))</f>
        <v/>
      </c>
      <c r="AO418" s="94" t="str">
        <f aca="false">IF(ISBLANK($C418),"",IF(N418=Constants!$B$2,TRUE(),IF(N418=Constants!$B$3,FALSE(),TRUE())))</f>
        <v/>
      </c>
      <c r="AP418" s="93" t="str">
        <f aca="false">IF(ISBLANK($C418),"",IF(ISNUMBER(O418),IF(O418&gt;=0,O418,""),""))</f>
        <v/>
      </c>
      <c r="AQ418" s="93" t="str">
        <f aca="false">IF(ISBLANK($C418),"",IF(P418=Constants!$B$2,TRUE(),IF(P418=Constants!$B$3,FALSE(),FALSE())))</f>
        <v/>
      </c>
      <c r="AR418" s="93" t="str">
        <f aca="false">IF(ISBLANK($C418),"",IF(Q418=Constants!$B$2,TRUE(),IF(Q418=Constants!$B$3,FALSE(),TRUE())))</f>
        <v/>
      </c>
      <c r="AS418" s="93" t="str">
        <f aca="false">IF(ISBLANK($C418),"",IF(R418=Constants!$B$2,TRUE(),IF(R418=Constants!$B$3,FALSE(),TRUE())))</f>
        <v/>
      </c>
      <c r="AT418" s="93" t="str">
        <f aca="false">IF(ISBLANK($C418),"",IF(S418=Constants!$B$4,TRUE(),IF(S418=Constants!$B$5,FALSE(),COUNTA(T418:X418)&gt;0)))</f>
        <v/>
      </c>
      <c r="AU418" s="95" t="str">
        <f aca="false">IF(ISBLANK($C418),"",IF(ISNUMBER(T418),IF(T418&gt;=0,T418,""),""))</f>
        <v/>
      </c>
      <c r="AV418" s="94" t="str">
        <f aca="false">IF(ISBLANK($C418),"",IF(ISNUMBER(U418),IF(U418&gt;=0,U418,""),""))</f>
        <v/>
      </c>
      <c r="AW418" s="94" t="str">
        <f aca="false">IF(ISBLANK($C418),"",IF(V418=Constants!$B$2,TRUE(),IF(V418=Constants!$B$3,FALSE(),TRUE())))</f>
        <v/>
      </c>
      <c r="AX418" s="93" t="str">
        <f aca="false">IF(ISBLANK($C418),"",IF(ISNUMBER(W418),IF(W418&gt;=0,W418,""),""))</f>
        <v/>
      </c>
      <c r="AY418" s="93" t="str">
        <f aca="false">IF(ISBLANK($C418),"",IF(X418=Constants!$B$2,TRUE(),IF(X418=Constants!$B$3,FALSE(),FALSE())))</f>
        <v/>
      </c>
      <c r="AZ418" s="93" t="str">
        <f aca="false">IF(ISBLANK($C418),"",MIN(Constants!$B$25,MAX(0,IF(ISNUMBER(Y418),Y418*60,0)+IF(ISNUMBER(Z418),Z418,0))))</f>
        <v/>
      </c>
      <c r="BA418" s="93" t="str">
        <f aca="false">IF(ISBLANK($C418),"",IF(AA418=Constants!$B$2,TRUE(),IF(AA418=Constants!$B$3,FALSE(),FALSE())))</f>
        <v/>
      </c>
      <c r="BB418" s="92" t="str">
        <f aca="false">IF(ISBLANK($C418),"",AND($AL418,OR($AM418="",$AN418="",AND($AO418,$AP418=""))))</f>
        <v/>
      </c>
      <c r="BC418" s="94" t="str">
        <f aca="false">IF($BX418&lt;&gt;Constants!$B$6,"",IF($AL418,Constants!$B$17*$AN418+Constants!$B$18*IF($AO418,$AP418,Constants!$B$19),Constants!$B$20))</f>
        <v/>
      </c>
      <c r="BD418" s="97" t="str">
        <f aca="false">IF($BX418&lt;&gt;Constants!$B$6,"",Constants!$B$21*ABS($AD$9-IF($AL418,$AM418,0)))</f>
        <v/>
      </c>
      <c r="BE418" s="97" t="str">
        <f aca="false">IF($BX418&lt;&gt;Constants!$B$6,"",IF(AND($AL418,$AQ418,$AO418),Constants!$B$22,0))</f>
        <v/>
      </c>
      <c r="BF418" s="97" t="str">
        <f aca="false">IF($BX418&lt;&gt;Constants!$B$6,"",IF($AL418,($AI418-Constants!$B$24)*Constants!$B$23,0))</f>
        <v/>
      </c>
      <c r="BG418" s="97" t="str">
        <f aca="false">IF($BX418&lt;&gt;Constants!$B$6,"",IF($AK418,0,Constants!$B$12)+IF($AJ418,0,Constants!$B$13)+IF($AH418,0,Constants!$B$14))</f>
        <v/>
      </c>
      <c r="BH418" s="98" t="str">
        <f aca="false">IF($BX418&lt;&gt;Constants!$B$6,"",Constants!$B$16+SUM($BC418:$BG418))</f>
        <v/>
      </c>
      <c r="BI418" s="97" t="str">
        <f aca="false">IF($BX418&lt;&gt;Constants!$B$6,"",$BC418)</f>
        <v/>
      </c>
      <c r="BJ418" s="97" t="str">
        <f aca="false">IF($BX418&lt;&gt;Constants!$B$6,"",$BD418)</f>
        <v/>
      </c>
      <c r="BK418" s="99" t="str">
        <f aca="false">IF($BX418&lt;&gt;Constants!$B$6,"",IF($AL418,$AN418,""))</f>
        <v/>
      </c>
      <c r="BL418" s="93" t="str">
        <f aca="false">IF($BX418&lt;&gt;Constants!$B$6,"",IF(OR($BS418&lt;$BH418,AND($BS418=$BH418,OR($BT418&lt;$BI418,AND($BT418=$BI418,OR($BU418&lt;$BJ418,AND($BU418=$BJ418,AND(ISNUMBER($BV418),OR(NOT(ISNUMBER($BK418)),$BV418&lt;$BK418)))))))),"-&gt;","&lt;-"))</f>
        <v/>
      </c>
      <c r="BM418" s="92" t="str">
        <f aca="false">IF(ISBLANK($C418),"",AND($AT418,OR($AU418="",$AV418="",AND($AW418,$AX418=""))))</f>
        <v/>
      </c>
      <c r="BN418" s="94" t="str">
        <f aca="false">IF($BX418&lt;&gt;Constants!$B$6,"",IF($AT418,Constants!$B$17*$AV418+Constants!$B$18*IF($AW418,$AX418,Constants!$B$19),Constants!$B$20))</f>
        <v/>
      </c>
      <c r="BO418" s="97" t="str">
        <f aca="false">IF($BX418&lt;&gt;Constants!$B$6,"",Constants!$B$21*ABS($AD$9-IF($AT418,$AU418,0)))</f>
        <v/>
      </c>
      <c r="BP418" s="97" t="str">
        <f aca="false">IF($BX418&lt;&gt;Constants!$B$6,"",IF(AND($AT418,$AY418,$AW418),Constants!$B$22,0))</f>
        <v/>
      </c>
      <c r="BQ418" s="97" t="str">
        <f aca="false">IF($BX418&lt;&gt;Constants!$B$6,"",IF($AT418,($AI418-Constants!$B$24)*Constants!$B$23,0))</f>
        <v/>
      </c>
      <c r="BR418" s="97" t="str">
        <f aca="false">IF($BX418&lt;&gt;Constants!$B$6,"",IF($AS418,0,Constants!$B$12)+IF($AR418,0,Constants!$B$13)+IF($AH418,0,Constants!$B$14))</f>
        <v/>
      </c>
      <c r="BS418" s="98" t="str">
        <f aca="false">IF($BX418&lt;&gt;Constants!$B$6,"",Constants!$B$16+SUM($BN418:$BR418))</f>
        <v/>
      </c>
      <c r="BT418" s="97" t="str">
        <f aca="false">IF($BX418&lt;&gt;Constants!$B$6,"",$BN418)</f>
        <v/>
      </c>
      <c r="BU418" s="97" t="str">
        <f aca="false">IF($BX418&lt;&gt;Constants!$B$6,"",$BO418)</f>
        <v/>
      </c>
      <c r="BV418" s="99" t="str">
        <f aca="false">IF($BX418&lt;&gt;Constants!$B$6,"",IF($AT418,$AV418,""))</f>
        <v/>
      </c>
      <c r="BW418" s="93" t="str">
        <f aca="false">IF(ISBLANK($C418),"",IF(ISBLANK($D$7),$BW$5,IF(NOT(ISNUMBER($D$7)),$BW$6,"")))</f>
        <v/>
      </c>
      <c r="BX418" s="93" t="str">
        <f aca="false">IF(ISBLANK($C418),"",IF($BA418,Constants!$B$9,IF(COUNTA($E418:$AA418)=0,Constants!$B$8,IF(NOT($AG418),Constants!$B$7,IF(OR($BW418&lt;&gt;"",$BB418,$BM418),Constants!$B$10,Constants!$B$6)))))</f>
        <v/>
      </c>
      <c r="BY418" s="93" t="str">
        <f aca="false">IF(ISBLANK($C418),"",IF($BX418&lt;&gt;Constants!$B$6,$BX418,Constants!$B$11))</f>
        <v/>
      </c>
      <c r="BZ418" s="97" t="str">
        <f aca="false">IF($BX418&lt;&gt;Constants!$B$6,"",IF($BL418="-&gt;",$BS418,$BH418))</f>
        <v/>
      </c>
      <c r="CA418" s="97" t="str">
        <f aca="false">IF($BX418&lt;&gt;Constants!$B$6,"",IF($AF418,0,Constants!$B$15))</f>
        <v/>
      </c>
      <c r="CB418" s="97" t="str">
        <f aca="false">IF($BX418&lt;&gt;Constants!$B$6,"",((Constants!$B$25-$AZ418)-Constants!$B$25)/Constants!$B$26)</f>
        <v/>
      </c>
      <c r="CC418" s="97" t="str">
        <f aca="false">IF(ISBLANK($C418),"",IF($BX418&lt;&gt;Constants!$B$6,$BX418,SUM($BZ418:$CB418)))</f>
        <v/>
      </c>
      <c r="CD418" s="93" t="str">
        <f aca="false">IF(ISBLANK($C418),"",IF($BX418&lt;&gt;Constants!$B$6,$BX418,RANK($CC418,$CC$9:$CC$508,1)))</f>
        <v/>
      </c>
      <c r="CE418" s="97" t="str">
        <f aca="false">IF($BX418&lt;&gt;Constants!$B$6,"",IF($BL418="-&gt;",$BT418,$BI418))</f>
        <v/>
      </c>
      <c r="CF418" s="93" t="str">
        <f aca="false">IF(ISBLANK($C418),"",IF($BX418&lt;&gt;Constants!$B$6,$BX418,IF(ISNUMBER($CE418),RANK($CE418,$CE$9:$CE$508,1),COUNT($CE$9:$CE$508)+1)))</f>
        <v/>
      </c>
      <c r="CG418" s="97" t="str">
        <f aca="false">IF($BX418&lt;&gt;Constants!$B$6,"",IF($BL418="-&gt;",$BU418,$BJ418))</f>
        <v/>
      </c>
      <c r="CH418" s="93" t="str">
        <f aca="false">IF(ISBLANK($C418),"",IF($BX418&lt;&gt;Constants!$B$6,$BX418,IF(ISNUMBER($CG418),RANK($CG418,$CG$9:$CG$508,1),COUNT($CG$9:$CG$508)+1)))</f>
        <v/>
      </c>
      <c r="CI418" s="97" t="str">
        <f aca="false">IF($BX418&lt;&gt;Constants!$B$6,"",IF($BL418="-&gt;",$BV418,$BK418))</f>
        <v/>
      </c>
      <c r="CJ418" s="93" t="str">
        <f aca="false">IF(ISBLANK($C418),"",IF($BX418&lt;&gt;Constants!$B$6,$BX418,IF(ISNUMBER($CI418),RANK($CI418,$CI$9:$CI$508,1),COUNT($CI$9:$CI$508)+1)))</f>
        <v/>
      </c>
      <c r="CK418" s="97" t="str">
        <f aca="false">IF($BX418&lt;&gt;Constants!$B$6,"",$AI418)</f>
        <v/>
      </c>
      <c r="CL418" s="93" t="str">
        <f aca="false">IF(ISBLANK($C418),"",IF($BX418&lt;&gt;Constants!$B$6,$BX418,IF(ISNUMBER($CK418),RANK($CK418,$CK$9:$CK$508,1),COUNT($CK$9:$CK$508)+1)))</f>
        <v/>
      </c>
      <c r="CM418" s="93" t="str">
        <f aca="false">IF(ISBLANK($C418),"",IF($BX418&lt;&gt;Constants!$B$6,$BX418,COUNTIFS($CD$9:$CD$508,"&lt;"&amp;$CD418)+COUNTIFS($CD$9:$CD$508,$CD418,$CF$9:$CF$508,"&lt;"&amp;$CF418)+COUNTIFS($CD$9:$CD$508,$CD418,$CF$9:$CF$508,$CF418,$CH$9:$CH$508,"&lt;"&amp;$CH418)+COUNTIFS($CD$9:$CD$508,$CD418,$CF$9:$CF$508,$CF418,$CH$9:$CH$508,$CH418,$CJ$9:$CJ$508,"&lt;"&amp;$CJ418)+COUNTIFS($CD$9:$CD$508,$CD418,$CF$9:$CF$508,$CF418,$CH$9:$CH$508,$CH418,$CJ$9:$CJ$508,$CJ418,$CL$9:$CL$508,"&lt;"&amp;$CL418)+1))</f>
        <v/>
      </c>
      <c r="CN418" s="93" t="str">
        <f aca="false">IF(ISBLANK($C418),"",IF($BX418&lt;&gt;Constants!$B$6,$BX418,$CD418-$CM418))</f>
        <v/>
      </c>
      <c r="CO418" s="100"/>
      <c r="CP418" s="101"/>
      <c r="CQ418" s="102" t="str">
        <f aca="false">IF(ISBLANK($C418),"",IF($BX418=Constants!$B$10,$BW418,""))</f>
        <v/>
      </c>
      <c r="CR418" s="101" t="str">
        <f aca="false">IF(ISBLANK($C418),"",IF($BX418&lt;&gt;Constants!$B$6,"",IF($BL418="-&gt;",2,1)))</f>
        <v/>
      </c>
      <c r="CS418" s="103" t="str">
        <f aca="false">IF(ISBLANK($C418),"",IF($BX418&lt;&gt;Constants!$B$6,"",IF($BL418="-&gt;",$BN418,$BC418)))</f>
        <v/>
      </c>
      <c r="CT418" s="103" t="str">
        <f aca="false">IF(ISBLANK($C418),"",IF($BX418&lt;&gt;Constants!$B$6,"",IF($BL418="-&gt;",$BO418,$BD418)))</f>
        <v/>
      </c>
      <c r="CU418" s="103" t="str">
        <f aca="false">IF(ISBLANK($C418),"",IF($BX418&lt;&gt;Constants!$B$6,"",IF($BL418="-&gt;",$BP418+$BQ418,$BE418+$BF418)+$CB418))</f>
        <v/>
      </c>
      <c r="CV418" s="103" t="str">
        <f aca="false">IF(ISBLANK($C418),"",IF($BX418&lt;&gt;Constants!$B$6,"",IF($BL418="-&gt;",$BR418,$BG418)+$CA418))</f>
        <v/>
      </c>
      <c r="CW418" s="104" t="str">
        <f aca="false">IF(ISBLANK($C418),"",IF($BX418&lt;&gt;Constants!$B$6,$BX418,$CC418))</f>
        <v/>
      </c>
      <c r="CX418" s="105" t="str">
        <f aca="false">IF(ISBLANK($C418),"",$BY418)</f>
        <v/>
      </c>
      <c r="CY418" s="106" t="str">
        <f aca="false">IF(ISBLANK($C418),"",$CN418)</f>
        <v/>
      </c>
      <c r="CZ418" s="106" t="str">
        <f aca="false">IF(ISBLANK($C418),"",$CM418)</f>
        <v/>
      </c>
      <c r="DA418" s="107" t="str">
        <f aca="false">IF(ISBLANK($C418),"",IFERROR(_xlfn.SWITCH($CZ418,Constants!$B$9,COUNTA($C$9:$C$508)+2,Constants!$B$8,COUNTA($C$9:$C$508)+1,Constants!$B$7,COUNTA($C$9:$C$508)),$CZ418))</f>
        <v/>
      </c>
      <c r="DB418" s="9"/>
      <c r="DC418" s="108" t="n">
        <f aca="false">IF(OR(ISNUMBER($CZ418),$CZ418=Constants!$B$9,$CZ418=Constants!$B$7,$CZ418=Constants!$B$8),1,0)</f>
        <v>0</v>
      </c>
      <c r="DD418" s="108" t="n">
        <v>410</v>
      </c>
      <c r="DE418" s="108" t="str">
        <f aca="false">IF(ISBLANK($C418),"",IF(ISNUMBER($DA418),$DA418+ROW($B418)/1000,""))</f>
        <v/>
      </c>
      <c r="DF418" s="108" t="str">
        <f aca="false">IF(ISNUMBER($DE418),RANK($DE418,$DE$9:$DE$508,1),"")</f>
        <v/>
      </c>
      <c r="DG418" s="108" t="str">
        <f aca="false">IF(ISBLANK($C418),"",$B418)</f>
        <v/>
      </c>
      <c r="DH418" s="108" t="str">
        <f aca="false">IF(ISBLANK($C418),"",$C418)</f>
        <v/>
      </c>
      <c r="DI418" s="108" t="str">
        <f aca="false">IF(ISBLANK($C418),"",$D418)</f>
        <v/>
      </c>
      <c r="DJ418" s="109" t="str">
        <f aca="false">$CX418</f>
        <v/>
      </c>
      <c r="DK418" s="110" t="str">
        <f aca="false">$CW418</f>
        <v/>
      </c>
      <c r="DL418" s="108" t="str">
        <f aca="false">IF(ISBLANK($C418),"",$CZ418)</f>
        <v/>
      </c>
      <c r="DM418" s="111" t="str">
        <f aca="false">IF($DD418&gt;$DC$8,"",VLOOKUP($DD418,$DF$9:$DL$508,7,FALSE()))</f>
        <v/>
      </c>
      <c r="DN418" s="112" t="str">
        <f aca="false">IF($DD418&gt;$DC$8,"",VLOOKUP($DD418,$DF$9:$DL$508,2,FALSE()))</f>
        <v/>
      </c>
      <c r="DO418" s="112" t="str">
        <f aca="false">IF($DD418&gt;$DC$8,"",VLOOKUP($DD418,$DF$9:$DL$508,3,FALSE()))</f>
        <v/>
      </c>
      <c r="DP418" s="112" t="str">
        <f aca="false">IF($DD418&gt;$DC$8,"",VLOOKUP($DD418,$DF$9:$DL$508,4,FALSE()))</f>
        <v/>
      </c>
      <c r="DQ418" s="112" t="str">
        <f aca="false">IF($DD418&gt;$DC$8,"",VLOOKUP($DD418,$DF$9:$DL$508,5,FALSE()))</f>
        <v/>
      </c>
      <c r="DR418" s="113" t="str">
        <f aca="false">IF($DD418&gt;$DC$8,"",VLOOKUP($DD418,$DF$9:$DL$508,6,FALSE()))</f>
        <v/>
      </c>
      <c r="DS418" s="76"/>
    </row>
    <row r="419" customFormat="false" ht="15.75" hidden="false" customHeight="false" outlineLevel="0" collapsed="false">
      <c r="A419" s="9"/>
      <c r="B419" s="78"/>
      <c r="C419" s="79"/>
      <c r="D419" s="170"/>
      <c r="E419" s="178"/>
      <c r="F419" s="172"/>
      <c r="G419" s="173"/>
      <c r="H419" s="173"/>
      <c r="I419" s="179"/>
      <c r="J419" s="176"/>
      <c r="K419" s="86"/>
      <c r="L419" s="87"/>
      <c r="M419" s="88"/>
      <c r="N419" s="176"/>
      <c r="O419" s="176"/>
      <c r="P419" s="178"/>
      <c r="Q419" s="176"/>
      <c r="R419" s="176"/>
      <c r="S419" s="86"/>
      <c r="T419" s="88"/>
      <c r="U419" s="88"/>
      <c r="V419" s="176"/>
      <c r="W419" s="176"/>
      <c r="X419" s="178"/>
      <c r="Y419" s="176"/>
      <c r="Z419" s="177"/>
      <c r="AA419" s="176"/>
      <c r="AB419" s="92"/>
      <c r="AC419" s="93"/>
      <c r="AD419" s="93"/>
      <c r="AE419" s="93"/>
      <c r="AF419" s="93" t="str">
        <f aca="false">IF(ISBLANK($C419),"",IF(E419=Constants!$B$2,TRUE(),IF(E419=Constants!$B$3,FALSE(),TRUE())))</f>
        <v/>
      </c>
      <c r="AG419" s="93" t="str">
        <f aca="false">IF(ISBLANK($C419),"",IF(F419=Constants!$B$2,TRUE(),IF(F419=Constants!$B$3,FALSE(),TRUE())))</f>
        <v/>
      </c>
      <c r="AH419" s="93" t="str">
        <f aca="false">IF(ISBLANK($C419),"",IF(G419=Constants!$B$2,TRUE(),IF(G419=Constants!$B$3,FALSE(),TRUE())))</f>
        <v/>
      </c>
      <c r="AI419" s="93" t="str">
        <f aca="false">IF(ISBLANK($C419),"",IF(AND(ISNUMBER(H419),H419&gt;=0),H419,Constants!$B$24))</f>
        <v/>
      </c>
      <c r="AJ419" s="93" t="str">
        <f aca="false">IF(ISBLANK($C419),"",IF(I419=Constants!$B$2,TRUE(),IF(I419=Constants!$B$3,FALSE(),TRUE())))</f>
        <v/>
      </c>
      <c r="AK419" s="93" t="str">
        <f aca="false">IF(ISBLANK($C419),"",IF(J419=Constants!$B$2,TRUE(),IF(J419=Constants!$B$3,FALSE(),TRUE())))</f>
        <v/>
      </c>
      <c r="AL419" s="93" t="str">
        <f aca="false">IF(ISBLANK($C419),"",IF(K419=Constants!$B$4,TRUE(),IF(K419=Constants!$B$5,FALSE(),COUNTA(L419:P419)&gt;0)))</f>
        <v/>
      </c>
      <c r="AM419" s="95" t="str">
        <f aca="false">IF(ISBLANK($C419),"",IF(ISNUMBER(L419),IF(L419&gt;=0,L419,""),""))</f>
        <v/>
      </c>
      <c r="AN419" s="94" t="str">
        <f aca="false">IF(ISBLANK($C419),"",IF(ISNUMBER(M419),IF(M419&gt;=0,M419,""),""))</f>
        <v/>
      </c>
      <c r="AO419" s="94" t="str">
        <f aca="false">IF(ISBLANK($C419),"",IF(N419=Constants!$B$2,TRUE(),IF(N419=Constants!$B$3,FALSE(),TRUE())))</f>
        <v/>
      </c>
      <c r="AP419" s="93" t="str">
        <f aca="false">IF(ISBLANK($C419),"",IF(ISNUMBER(O419),IF(O419&gt;=0,O419,""),""))</f>
        <v/>
      </c>
      <c r="AQ419" s="93" t="str">
        <f aca="false">IF(ISBLANK($C419),"",IF(P419=Constants!$B$2,TRUE(),IF(P419=Constants!$B$3,FALSE(),FALSE())))</f>
        <v/>
      </c>
      <c r="AR419" s="93" t="str">
        <f aca="false">IF(ISBLANK($C419),"",IF(Q419=Constants!$B$2,TRUE(),IF(Q419=Constants!$B$3,FALSE(),TRUE())))</f>
        <v/>
      </c>
      <c r="AS419" s="93" t="str">
        <f aca="false">IF(ISBLANK($C419),"",IF(R419=Constants!$B$2,TRUE(),IF(R419=Constants!$B$3,FALSE(),TRUE())))</f>
        <v/>
      </c>
      <c r="AT419" s="93" t="str">
        <f aca="false">IF(ISBLANK($C419),"",IF(S419=Constants!$B$4,TRUE(),IF(S419=Constants!$B$5,FALSE(),COUNTA(T419:X419)&gt;0)))</f>
        <v/>
      </c>
      <c r="AU419" s="95" t="str">
        <f aca="false">IF(ISBLANK($C419),"",IF(ISNUMBER(T419),IF(T419&gt;=0,T419,""),""))</f>
        <v/>
      </c>
      <c r="AV419" s="94" t="str">
        <f aca="false">IF(ISBLANK($C419),"",IF(ISNUMBER(U419),IF(U419&gt;=0,U419,""),""))</f>
        <v/>
      </c>
      <c r="AW419" s="94" t="str">
        <f aca="false">IF(ISBLANK($C419),"",IF(V419=Constants!$B$2,TRUE(),IF(V419=Constants!$B$3,FALSE(),TRUE())))</f>
        <v/>
      </c>
      <c r="AX419" s="93" t="str">
        <f aca="false">IF(ISBLANK($C419),"",IF(ISNUMBER(W419),IF(W419&gt;=0,W419,""),""))</f>
        <v/>
      </c>
      <c r="AY419" s="93" t="str">
        <f aca="false">IF(ISBLANK($C419),"",IF(X419=Constants!$B$2,TRUE(),IF(X419=Constants!$B$3,FALSE(),FALSE())))</f>
        <v/>
      </c>
      <c r="AZ419" s="93" t="str">
        <f aca="false">IF(ISBLANK($C419),"",MIN(Constants!$B$25,MAX(0,IF(ISNUMBER(Y419),Y419*60,0)+IF(ISNUMBER(Z419),Z419,0))))</f>
        <v/>
      </c>
      <c r="BA419" s="93" t="str">
        <f aca="false">IF(ISBLANK($C419),"",IF(AA419=Constants!$B$2,TRUE(),IF(AA419=Constants!$B$3,FALSE(),FALSE())))</f>
        <v/>
      </c>
      <c r="BB419" s="92" t="str">
        <f aca="false">IF(ISBLANK($C419),"",AND($AL419,OR($AM419="",$AN419="",AND($AO419,$AP419=""))))</f>
        <v/>
      </c>
      <c r="BC419" s="94" t="str">
        <f aca="false">IF($BX419&lt;&gt;Constants!$B$6,"",IF($AL419,Constants!$B$17*$AN419+Constants!$B$18*IF($AO419,$AP419,Constants!$B$19),Constants!$B$20))</f>
        <v/>
      </c>
      <c r="BD419" s="97" t="str">
        <f aca="false">IF($BX419&lt;&gt;Constants!$B$6,"",Constants!$B$21*ABS($AD$9-IF($AL419,$AM419,0)))</f>
        <v/>
      </c>
      <c r="BE419" s="97" t="str">
        <f aca="false">IF($BX419&lt;&gt;Constants!$B$6,"",IF(AND($AL419,$AQ419,$AO419),Constants!$B$22,0))</f>
        <v/>
      </c>
      <c r="BF419" s="97" t="str">
        <f aca="false">IF($BX419&lt;&gt;Constants!$B$6,"",IF($AL419,($AI419-Constants!$B$24)*Constants!$B$23,0))</f>
        <v/>
      </c>
      <c r="BG419" s="97" t="str">
        <f aca="false">IF($BX419&lt;&gt;Constants!$B$6,"",IF($AK419,0,Constants!$B$12)+IF($AJ419,0,Constants!$B$13)+IF($AH419,0,Constants!$B$14))</f>
        <v/>
      </c>
      <c r="BH419" s="98" t="str">
        <f aca="false">IF($BX419&lt;&gt;Constants!$B$6,"",Constants!$B$16+SUM($BC419:$BG419))</f>
        <v/>
      </c>
      <c r="BI419" s="97" t="str">
        <f aca="false">IF($BX419&lt;&gt;Constants!$B$6,"",$BC419)</f>
        <v/>
      </c>
      <c r="BJ419" s="97" t="str">
        <f aca="false">IF($BX419&lt;&gt;Constants!$B$6,"",$BD419)</f>
        <v/>
      </c>
      <c r="BK419" s="99" t="str">
        <f aca="false">IF($BX419&lt;&gt;Constants!$B$6,"",IF($AL419,$AN419,""))</f>
        <v/>
      </c>
      <c r="BL419" s="93" t="str">
        <f aca="false">IF($BX419&lt;&gt;Constants!$B$6,"",IF(OR($BS419&lt;$BH419,AND($BS419=$BH419,OR($BT419&lt;$BI419,AND($BT419=$BI419,OR($BU419&lt;$BJ419,AND($BU419=$BJ419,AND(ISNUMBER($BV419),OR(NOT(ISNUMBER($BK419)),$BV419&lt;$BK419)))))))),"-&gt;","&lt;-"))</f>
        <v/>
      </c>
      <c r="BM419" s="92" t="str">
        <f aca="false">IF(ISBLANK($C419),"",AND($AT419,OR($AU419="",$AV419="",AND($AW419,$AX419=""))))</f>
        <v/>
      </c>
      <c r="BN419" s="94" t="str">
        <f aca="false">IF($BX419&lt;&gt;Constants!$B$6,"",IF($AT419,Constants!$B$17*$AV419+Constants!$B$18*IF($AW419,$AX419,Constants!$B$19),Constants!$B$20))</f>
        <v/>
      </c>
      <c r="BO419" s="97" t="str">
        <f aca="false">IF($BX419&lt;&gt;Constants!$B$6,"",Constants!$B$21*ABS($AD$9-IF($AT419,$AU419,0)))</f>
        <v/>
      </c>
      <c r="BP419" s="97" t="str">
        <f aca="false">IF($BX419&lt;&gt;Constants!$B$6,"",IF(AND($AT419,$AY419,$AW419),Constants!$B$22,0))</f>
        <v/>
      </c>
      <c r="BQ419" s="97" t="str">
        <f aca="false">IF($BX419&lt;&gt;Constants!$B$6,"",IF($AT419,($AI419-Constants!$B$24)*Constants!$B$23,0))</f>
        <v/>
      </c>
      <c r="BR419" s="97" t="str">
        <f aca="false">IF($BX419&lt;&gt;Constants!$B$6,"",IF($AS419,0,Constants!$B$12)+IF($AR419,0,Constants!$B$13)+IF($AH419,0,Constants!$B$14))</f>
        <v/>
      </c>
      <c r="BS419" s="98" t="str">
        <f aca="false">IF($BX419&lt;&gt;Constants!$B$6,"",Constants!$B$16+SUM($BN419:$BR419))</f>
        <v/>
      </c>
      <c r="BT419" s="97" t="str">
        <f aca="false">IF($BX419&lt;&gt;Constants!$B$6,"",$BN419)</f>
        <v/>
      </c>
      <c r="BU419" s="97" t="str">
        <f aca="false">IF($BX419&lt;&gt;Constants!$B$6,"",$BO419)</f>
        <v/>
      </c>
      <c r="BV419" s="99" t="str">
        <f aca="false">IF($BX419&lt;&gt;Constants!$B$6,"",IF($AT419,$AV419,""))</f>
        <v/>
      </c>
      <c r="BW419" s="93" t="str">
        <f aca="false">IF(ISBLANK($C419),"",IF(ISBLANK($D$7),$BW$5,IF(NOT(ISNUMBER($D$7)),$BW$6,"")))</f>
        <v/>
      </c>
      <c r="BX419" s="93" t="str">
        <f aca="false">IF(ISBLANK($C419),"",IF($BA419,Constants!$B$9,IF(COUNTA($E419:$AA419)=0,Constants!$B$8,IF(NOT($AG419),Constants!$B$7,IF(OR($BW419&lt;&gt;"",$BB419,$BM419),Constants!$B$10,Constants!$B$6)))))</f>
        <v/>
      </c>
      <c r="BY419" s="93" t="str">
        <f aca="false">IF(ISBLANK($C419),"",IF($BX419&lt;&gt;Constants!$B$6,$BX419,Constants!$B$11))</f>
        <v/>
      </c>
      <c r="BZ419" s="97" t="str">
        <f aca="false">IF($BX419&lt;&gt;Constants!$B$6,"",IF($BL419="-&gt;",$BS419,$BH419))</f>
        <v/>
      </c>
      <c r="CA419" s="97" t="str">
        <f aca="false">IF($BX419&lt;&gt;Constants!$B$6,"",IF($AF419,0,Constants!$B$15))</f>
        <v/>
      </c>
      <c r="CB419" s="97" t="str">
        <f aca="false">IF($BX419&lt;&gt;Constants!$B$6,"",((Constants!$B$25-$AZ419)-Constants!$B$25)/Constants!$B$26)</f>
        <v/>
      </c>
      <c r="CC419" s="97" t="str">
        <f aca="false">IF(ISBLANK($C419),"",IF($BX419&lt;&gt;Constants!$B$6,$BX419,SUM($BZ419:$CB419)))</f>
        <v/>
      </c>
      <c r="CD419" s="93" t="str">
        <f aca="false">IF(ISBLANK($C419),"",IF($BX419&lt;&gt;Constants!$B$6,$BX419,RANK($CC419,$CC$9:$CC$508,1)))</f>
        <v/>
      </c>
      <c r="CE419" s="97" t="str">
        <f aca="false">IF($BX419&lt;&gt;Constants!$B$6,"",IF($BL419="-&gt;",$BT419,$BI419))</f>
        <v/>
      </c>
      <c r="CF419" s="93" t="str">
        <f aca="false">IF(ISBLANK($C419),"",IF($BX419&lt;&gt;Constants!$B$6,$BX419,IF(ISNUMBER($CE419),RANK($CE419,$CE$9:$CE$508,1),COUNT($CE$9:$CE$508)+1)))</f>
        <v/>
      </c>
      <c r="CG419" s="97" t="str">
        <f aca="false">IF($BX419&lt;&gt;Constants!$B$6,"",IF($BL419="-&gt;",$BU419,$BJ419))</f>
        <v/>
      </c>
      <c r="CH419" s="93" t="str">
        <f aca="false">IF(ISBLANK($C419),"",IF($BX419&lt;&gt;Constants!$B$6,$BX419,IF(ISNUMBER($CG419),RANK($CG419,$CG$9:$CG$508,1),COUNT($CG$9:$CG$508)+1)))</f>
        <v/>
      </c>
      <c r="CI419" s="97" t="str">
        <f aca="false">IF($BX419&lt;&gt;Constants!$B$6,"",IF($BL419="-&gt;",$BV419,$BK419))</f>
        <v/>
      </c>
      <c r="CJ419" s="93" t="str">
        <f aca="false">IF(ISBLANK($C419),"",IF($BX419&lt;&gt;Constants!$B$6,$BX419,IF(ISNUMBER($CI419),RANK($CI419,$CI$9:$CI$508,1),COUNT($CI$9:$CI$508)+1)))</f>
        <v/>
      </c>
      <c r="CK419" s="97" t="str">
        <f aca="false">IF($BX419&lt;&gt;Constants!$B$6,"",$AI419)</f>
        <v/>
      </c>
      <c r="CL419" s="93" t="str">
        <f aca="false">IF(ISBLANK($C419),"",IF($BX419&lt;&gt;Constants!$B$6,$BX419,IF(ISNUMBER($CK419),RANK($CK419,$CK$9:$CK$508,1),COUNT($CK$9:$CK$508)+1)))</f>
        <v/>
      </c>
      <c r="CM419" s="93" t="str">
        <f aca="false">IF(ISBLANK($C419),"",IF($BX419&lt;&gt;Constants!$B$6,$BX419,COUNTIFS($CD$9:$CD$508,"&lt;"&amp;$CD419)+COUNTIFS($CD$9:$CD$508,$CD419,$CF$9:$CF$508,"&lt;"&amp;$CF419)+COUNTIFS($CD$9:$CD$508,$CD419,$CF$9:$CF$508,$CF419,$CH$9:$CH$508,"&lt;"&amp;$CH419)+COUNTIFS($CD$9:$CD$508,$CD419,$CF$9:$CF$508,$CF419,$CH$9:$CH$508,$CH419,$CJ$9:$CJ$508,"&lt;"&amp;$CJ419)+COUNTIFS($CD$9:$CD$508,$CD419,$CF$9:$CF$508,$CF419,$CH$9:$CH$508,$CH419,$CJ$9:$CJ$508,$CJ419,$CL$9:$CL$508,"&lt;"&amp;$CL419)+1))</f>
        <v/>
      </c>
      <c r="CN419" s="93" t="str">
        <f aca="false">IF(ISBLANK($C419),"",IF($BX419&lt;&gt;Constants!$B$6,$BX419,$CD419-$CM419))</f>
        <v/>
      </c>
      <c r="CO419" s="100"/>
      <c r="CP419" s="101"/>
      <c r="CQ419" s="102" t="str">
        <f aca="false">IF(ISBLANK($C419),"",IF($BX419=Constants!$B$10,$BW419,""))</f>
        <v/>
      </c>
      <c r="CR419" s="101" t="str">
        <f aca="false">IF(ISBLANK($C419),"",IF($BX419&lt;&gt;Constants!$B$6,"",IF($BL419="-&gt;",2,1)))</f>
        <v/>
      </c>
      <c r="CS419" s="103" t="str">
        <f aca="false">IF(ISBLANK($C419),"",IF($BX419&lt;&gt;Constants!$B$6,"",IF($BL419="-&gt;",$BN419,$BC419)))</f>
        <v/>
      </c>
      <c r="CT419" s="103" t="str">
        <f aca="false">IF(ISBLANK($C419),"",IF($BX419&lt;&gt;Constants!$B$6,"",IF($BL419="-&gt;",$BO419,$BD419)))</f>
        <v/>
      </c>
      <c r="CU419" s="103" t="str">
        <f aca="false">IF(ISBLANK($C419),"",IF($BX419&lt;&gt;Constants!$B$6,"",IF($BL419="-&gt;",$BP419+$BQ419,$BE419+$BF419)+$CB419))</f>
        <v/>
      </c>
      <c r="CV419" s="103" t="str">
        <f aca="false">IF(ISBLANK($C419),"",IF($BX419&lt;&gt;Constants!$B$6,"",IF($BL419="-&gt;",$BR419,$BG419)+$CA419))</f>
        <v/>
      </c>
      <c r="CW419" s="104" t="str">
        <f aca="false">IF(ISBLANK($C419),"",IF($BX419&lt;&gt;Constants!$B$6,$BX419,$CC419))</f>
        <v/>
      </c>
      <c r="CX419" s="105" t="str">
        <f aca="false">IF(ISBLANK($C419),"",$BY419)</f>
        <v/>
      </c>
      <c r="CY419" s="106" t="str">
        <f aca="false">IF(ISBLANK($C419),"",$CN419)</f>
        <v/>
      </c>
      <c r="CZ419" s="106" t="str">
        <f aca="false">IF(ISBLANK($C419),"",$CM419)</f>
        <v/>
      </c>
      <c r="DA419" s="107" t="str">
        <f aca="false">IF(ISBLANK($C419),"",IFERROR(_xlfn.SWITCH($CZ419,Constants!$B$9,COUNTA($C$9:$C$508)+2,Constants!$B$8,COUNTA($C$9:$C$508)+1,Constants!$B$7,COUNTA($C$9:$C$508)),$CZ419))</f>
        <v/>
      </c>
      <c r="DB419" s="9"/>
      <c r="DC419" s="108" t="n">
        <f aca="false">IF(OR(ISNUMBER($CZ419),$CZ419=Constants!$B$9,$CZ419=Constants!$B$7,$CZ419=Constants!$B$8),1,0)</f>
        <v>0</v>
      </c>
      <c r="DD419" s="108" t="n">
        <v>411</v>
      </c>
      <c r="DE419" s="108" t="str">
        <f aca="false">IF(ISBLANK($C419),"",IF(ISNUMBER($DA419),$DA419+ROW($B419)/1000,""))</f>
        <v/>
      </c>
      <c r="DF419" s="108" t="str">
        <f aca="false">IF(ISNUMBER($DE419),RANK($DE419,$DE$9:$DE$508,1),"")</f>
        <v/>
      </c>
      <c r="DG419" s="108" t="str">
        <f aca="false">IF(ISBLANK($C419),"",$B419)</f>
        <v/>
      </c>
      <c r="DH419" s="108" t="str">
        <f aca="false">IF(ISBLANK($C419),"",$C419)</f>
        <v/>
      </c>
      <c r="DI419" s="108" t="str">
        <f aca="false">IF(ISBLANK($C419),"",$D419)</f>
        <v/>
      </c>
      <c r="DJ419" s="109" t="str">
        <f aca="false">$CX419</f>
        <v/>
      </c>
      <c r="DK419" s="110" t="str">
        <f aca="false">$CW419</f>
        <v/>
      </c>
      <c r="DL419" s="108" t="str">
        <f aca="false">IF(ISBLANK($C419),"",$CZ419)</f>
        <v/>
      </c>
      <c r="DM419" s="111" t="str">
        <f aca="false">IF($DD419&gt;$DC$8,"",VLOOKUP($DD419,$DF$9:$DL$508,7,FALSE()))</f>
        <v/>
      </c>
      <c r="DN419" s="112" t="str">
        <f aca="false">IF($DD419&gt;$DC$8,"",VLOOKUP($DD419,$DF$9:$DL$508,2,FALSE()))</f>
        <v/>
      </c>
      <c r="DO419" s="112" t="str">
        <f aca="false">IF($DD419&gt;$DC$8,"",VLOOKUP($DD419,$DF$9:$DL$508,3,FALSE()))</f>
        <v/>
      </c>
      <c r="DP419" s="112" t="str">
        <f aca="false">IF($DD419&gt;$DC$8,"",VLOOKUP($DD419,$DF$9:$DL$508,4,FALSE()))</f>
        <v/>
      </c>
      <c r="DQ419" s="112" t="str">
        <f aca="false">IF($DD419&gt;$DC$8,"",VLOOKUP($DD419,$DF$9:$DL$508,5,FALSE()))</f>
        <v/>
      </c>
      <c r="DR419" s="113" t="str">
        <f aca="false">IF($DD419&gt;$DC$8,"",VLOOKUP($DD419,$DF$9:$DL$508,6,FALSE()))</f>
        <v/>
      </c>
      <c r="DS419" s="76"/>
    </row>
    <row r="420" customFormat="false" ht="15.75" hidden="false" customHeight="false" outlineLevel="0" collapsed="false">
      <c r="A420" s="9"/>
      <c r="B420" s="160"/>
      <c r="C420" s="161"/>
      <c r="D420" s="162"/>
      <c r="E420" s="180"/>
      <c r="F420" s="164"/>
      <c r="G420" s="165"/>
      <c r="H420" s="165"/>
      <c r="I420" s="181"/>
      <c r="J420" s="168"/>
      <c r="K420" s="128"/>
      <c r="L420" s="129"/>
      <c r="M420" s="130"/>
      <c r="N420" s="168"/>
      <c r="O420" s="168"/>
      <c r="P420" s="180"/>
      <c r="Q420" s="168"/>
      <c r="R420" s="168"/>
      <c r="S420" s="128"/>
      <c r="T420" s="130"/>
      <c r="U420" s="130"/>
      <c r="V420" s="168"/>
      <c r="W420" s="168"/>
      <c r="X420" s="180"/>
      <c r="Y420" s="168"/>
      <c r="Z420" s="169"/>
      <c r="AA420" s="168"/>
      <c r="AB420" s="134"/>
      <c r="AC420" s="135"/>
      <c r="AD420" s="135"/>
      <c r="AE420" s="135"/>
      <c r="AF420" s="135" t="str">
        <f aca="false">IF(ISBLANK($C420),"",IF(E420=Constants!$B$2,TRUE(),IF(E420=Constants!$B$3,FALSE(),TRUE())))</f>
        <v/>
      </c>
      <c r="AG420" s="135" t="str">
        <f aca="false">IF(ISBLANK($C420),"",IF(F420=Constants!$B$2,TRUE(),IF(F420=Constants!$B$3,FALSE(),TRUE())))</f>
        <v/>
      </c>
      <c r="AH420" s="135" t="str">
        <f aca="false">IF(ISBLANK($C420),"",IF(G420=Constants!$B$2,TRUE(),IF(G420=Constants!$B$3,FALSE(),TRUE())))</f>
        <v/>
      </c>
      <c r="AI420" s="135" t="str">
        <f aca="false">IF(ISBLANK($C420),"",IF(AND(ISNUMBER(H420),H420&gt;=0),H420,Constants!$B$24))</f>
        <v/>
      </c>
      <c r="AJ420" s="135" t="str">
        <f aca="false">IF(ISBLANK($C420),"",IF(I420=Constants!$B$2,TRUE(),IF(I420=Constants!$B$3,FALSE(),TRUE())))</f>
        <v/>
      </c>
      <c r="AK420" s="135" t="str">
        <f aca="false">IF(ISBLANK($C420),"",IF(J420=Constants!$B$2,TRUE(),IF(J420=Constants!$B$3,FALSE(),TRUE())))</f>
        <v/>
      </c>
      <c r="AL420" s="135" t="str">
        <f aca="false">IF(ISBLANK($C420),"",IF(K420=Constants!$B$4,TRUE(),IF(K420=Constants!$B$5,FALSE(),COUNTA(L420:P420)&gt;0)))</f>
        <v/>
      </c>
      <c r="AM420" s="136" t="str">
        <f aca="false">IF(ISBLANK($C420),"",IF(ISNUMBER(L420),IF(L420&gt;=0,L420,""),""))</f>
        <v/>
      </c>
      <c r="AN420" s="137" t="str">
        <f aca="false">IF(ISBLANK($C420),"",IF(ISNUMBER(M420),IF(M420&gt;=0,M420,""),""))</f>
        <v/>
      </c>
      <c r="AO420" s="137" t="str">
        <f aca="false">IF(ISBLANK($C420),"",IF(N420=Constants!$B$2,TRUE(),IF(N420=Constants!$B$3,FALSE(),TRUE())))</f>
        <v/>
      </c>
      <c r="AP420" s="135" t="str">
        <f aca="false">IF(ISBLANK($C420),"",IF(ISNUMBER(O420),IF(O420&gt;=0,O420,""),""))</f>
        <v/>
      </c>
      <c r="AQ420" s="135" t="str">
        <f aca="false">IF(ISBLANK($C420),"",IF(P420=Constants!$B$2,TRUE(),IF(P420=Constants!$B$3,FALSE(),FALSE())))</f>
        <v/>
      </c>
      <c r="AR420" s="135" t="str">
        <f aca="false">IF(ISBLANK($C420),"",IF(Q420=Constants!$B$2,TRUE(),IF(Q420=Constants!$B$3,FALSE(),TRUE())))</f>
        <v/>
      </c>
      <c r="AS420" s="135" t="str">
        <f aca="false">IF(ISBLANK($C420),"",IF(R420=Constants!$B$2,TRUE(),IF(R420=Constants!$B$3,FALSE(),TRUE())))</f>
        <v/>
      </c>
      <c r="AT420" s="135" t="str">
        <f aca="false">IF(ISBLANK($C420),"",IF(S420=Constants!$B$4,TRUE(),IF(S420=Constants!$B$5,FALSE(),COUNTA(T420:X420)&gt;0)))</f>
        <v/>
      </c>
      <c r="AU420" s="136" t="str">
        <f aca="false">IF(ISBLANK($C420),"",IF(ISNUMBER(T420),IF(T420&gt;=0,T420,""),""))</f>
        <v/>
      </c>
      <c r="AV420" s="137" t="str">
        <f aca="false">IF(ISBLANK($C420),"",IF(ISNUMBER(U420),IF(U420&gt;=0,U420,""),""))</f>
        <v/>
      </c>
      <c r="AW420" s="137" t="str">
        <f aca="false">IF(ISBLANK($C420),"",IF(V420=Constants!$B$2,TRUE(),IF(V420=Constants!$B$3,FALSE(),TRUE())))</f>
        <v/>
      </c>
      <c r="AX420" s="135" t="str">
        <f aca="false">IF(ISBLANK($C420),"",IF(ISNUMBER(W420),IF(W420&gt;=0,W420,""),""))</f>
        <v/>
      </c>
      <c r="AY420" s="135" t="str">
        <f aca="false">IF(ISBLANK($C420),"",IF(X420=Constants!$B$2,TRUE(),IF(X420=Constants!$B$3,FALSE(),FALSE())))</f>
        <v/>
      </c>
      <c r="AZ420" s="135" t="str">
        <f aca="false">IF(ISBLANK($C420),"",MIN(Constants!$B$25,MAX(0,IF(ISNUMBER(Y420),Y420*60,0)+IF(ISNUMBER(Z420),Z420,0))))</f>
        <v/>
      </c>
      <c r="BA420" s="135" t="str">
        <f aca="false">IF(ISBLANK($C420),"",IF(AA420=Constants!$B$2,TRUE(),IF(AA420=Constants!$B$3,FALSE(),FALSE())))</f>
        <v/>
      </c>
      <c r="BB420" s="134" t="str">
        <f aca="false">IF(ISBLANK($C420),"",AND($AL420,OR($AM420="",$AN420="",AND($AO420,$AP420=""))))</f>
        <v/>
      </c>
      <c r="BC420" s="137" t="str">
        <f aca="false">IF($BX420&lt;&gt;Constants!$B$6,"",IF($AL420,Constants!$B$17*$AN420+Constants!$B$18*IF($AO420,$AP420,Constants!$B$19),Constants!$B$20))</f>
        <v/>
      </c>
      <c r="BD420" s="138" t="str">
        <f aca="false">IF($BX420&lt;&gt;Constants!$B$6,"",Constants!$B$21*ABS($AD$9-IF($AL420,$AM420,0)))</f>
        <v/>
      </c>
      <c r="BE420" s="138" t="str">
        <f aca="false">IF($BX420&lt;&gt;Constants!$B$6,"",IF(AND($AL420,$AQ420,$AO420),Constants!$B$22,0))</f>
        <v/>
      </c>
      <c r="BF420" s="138" t="str">
        <f aca="false">IF($BX420&lt;&gt;Constants!$B$6,"",IF($AL420,($AI420-Constants!$B$24)*Constants!$B$23,0))</f>
        <v/>
      </c>
      <c r="BG420" s="138" t="str">
        <f aca="false">IF($BX420&lt;&gt;Constants!$B$6,"",IF($AK420,0,Constants!$B$12)+IF($AJ420,0,Constants!$B$13)+IF($AH420,0,Constants!$B$14))</f>
        <v/>
      </c>
      <c r="BH420" s="139" t="str">
        <f aca="false">IF($BX420&lt;&gt;Constants!$B$6,"",Constants!$B$16+SUM($BC420:$BG420))</f>
        <v/>
      </c>
      <c r="BI420" s="138" t="str">
        <f aca="false">IF($BX420&lt;&gt;Constants!$B$6,"",$BC420)</f>
        <v/>
      </c>
      <c r="BJ420" s="138" t="str">
        <f aca="false">IF($BX420&lt;&gt;Constants!$B$6,"",$BD420)</f>
        <v/>
      </c>
      <c r="BK420" s="140" t="str">
        <f aca="false">IF($BX420&lt;&gt;Constants!$B$6,"",IF($AL420,$AN420,""))</f>
        <v/>
      </c>
      <c r="BL420" s="135" t="str">
        <f aca="false">IF($BX420&lt;&gt;Constants!$B$6,"",IF(OR($BS420&lt;$BH420,AND($BS420=$BH420,OR($BT420&lt;$BI420,AND($BT420=$BI420,OR($BU420&lt;$BJ420,AND($BU420=$BJ420,AND(ISNUMBER($BV420),OR(NOT(ISNUMBER($BK420)),$BV420&lt;$BK420)))))))),"-&gt;","&lt;-"))</f>
        <v/>
      </c>
      <c r="BM420" s="134" t="str">
        <f aca="false">IF(ISBLANK($C420),"",AND($AT420,OR($AU420="",$AV420="",AND($AW420,$AX420=""))))</f>
        <v/>
      </c>
      <c r="BN420" s="137" t="str">
        <f aca="false">IF($BX420&lt;&gt;Constants!$B$6,"",IF($AT420,Constants!$B$17*$AV420+Constants!$B$18*IF($AW420,$AX420,Constants!$B$19),Constants!$B$20))</f>
        <v/>
      </c>
      <c r="BO420" s="138" t="str">
        <f aca="false">IF($BX420&lt;&gt;Constants!$B$6,"",Constants!$B$21*ABS($AD$9-IF($AT420,$AU420,0)))</f>
        <v/>
      </c>
      <c r="BP420" s="138" t="str">
        <f aca="false">IF($BX420&lt;&gt;Constants!$B$6,"",IF(AND($AT420,$AY420,$AW420),Constants!$B$22,0))</f>
        <v/>
      </c>
      <c r="BQ420" s="138" t="str">
        <f aca="false">IF($BX420&lt;&gt;Constants!$B$6,"",IF($AT420,($AI420-Constants!$B$24)*Constants!$B$23,0))</f>
        <v/>
      </c>
      <c r="BR420" s="138" t="str">
        <f aca="false">IF($BX420&lt;&gt;Constants!$B$6,"",IF($AS420,0,Constants!$B$12)+IF($AR420,0,Constants!$B$13)+IF($AH420,0,Constants!$B$14))</f>
        <v/>
      </c>
      <c r="BS420" s="139" t="str">
        <f aca="false">IF($BX420&lt;&gt;Constants!$B$6,"",Constants!$B$16+SUM($BN420:$BR420))</f>
        <v/>
      </c>
      <c r="BT420" s="138" t="str">
        <f aca="false">IF($BX420&lt;&gt;Constants!$B$6,"",$BN420)</f>
        <v/>
      </c>
      <c r="BU420" s="138" t="str">
        <f aca="false">IF($BX420&lt;&gt;Constants!$B$6,"",$BO420)</f>
        <v/>
      </c>
      <c r="BV420" s="140" t="str">
        <f aca="false">IF($BX420&lt;&gt;Constants!$B$6,"",IF($AT420,$AV420,""))</f>
        <v/>
      </c>
      <c r="BW420" s="135" t="str">
        <f aca="false">IF(ISBLANK($C420),"",IF(ISBLANK($D$7),$BW$5,IF(NOT(ISNUMBER($D$7)),$BW$6,"")))</f>
        <v/>
      </c>
      <c r="BX420" s="135" t="str">
        <f aca="false">IF(ISBLANK($C420),"",IF($BA420,Constants!$B$9,IF(COUNTA($E420:$AA420)=0,Constants!$B$8,IF(NOT($AG420),Constants!$B$7,IF(OR($BW420&lt;&gt;"",$BB420,$BM420),Constants!$B$10,Constants!$B$6)))))</f>
        <v/>
      </c>
      <c r="BY420" s="135" t="str">
        <f aca="false">IF(ISBLANK($C420),"",IF($BX420&lt;&gt;Constants!$B$6,$BX420,Constants!$B$11))</f>
        <v/>
      </c>
      <c r="BZ420" s="138" t="str">
        <f aca="false">IF($BX420&lt;&gt;Constants!$B$6,"",IF($BL420="-&gt;",$BS420,$BH420))</f>
        <v/>
      </c>
      <c r="CA420" s="138" t="str">
        <f aca="false">IF($BX420&lt;&gt;Constants!$B$6,"",IF($AF420,0,Constants!$B$15))</f>
        <v/>
      </c>
      <c r="CB420" s="138" t="str">
        <f aca="false">IF($BX420&lt;&gt;Constants!$B$6,"",((Constants!$B$25-$AZ420)-Constants!$B$25)/Constants!$B$26)</f>
        <v/>
      </c>
      <c r="CC420" s="138" t="str">
        <f aca="false">IF(ISBLANK($C420),"",IF($BX420&lt;&gt;Constants!$B$6,$BX420,SUM($BZ420:$CB420)))</f>
        <v/>
      </c>
      <c r="CD420" s="135" t="str">
        <f aca="false">IF(ISBLANK($C420),"",IF($BX420&lt;&gt;Constants!$B$6,$BX420,RANK($CC420,$CC$9:$CC$508,1)))</f>
        <v/>
      </c>
      <c r="CE420" s="138" t="str">
        <f aca="false">IF($BX420&lt;&gt;Constants!$B$6,"",IF($BL420="-&gt;",$BT420,$BI420))</f>
        <v/>
      </c>
      <c r="CF420" s="135" t="str">
        <f aca="false">IF(ISBLANK($C420),"",IF($BX420&lt;&gt;Constants!$B$6,$BX420,IF(ISNUMBER($CE420),RANK($CE420,$CE$9:$CE$508,1),COUNT($CE$9:$CE$508)+1)))</f>
        <v/>
      </c>
      <c r="CG420" s="138" t="str">
        <f aca="false">IF($BX420&lt;&gt;Constants!$B$6,"",IF($BL420="-&gt;",$BU420,$BJ420))</f>
        <v/>
      </c>
      <c r="CH420" s="135" t="str">
        <f aca="false">IF(ISBLANK($C420),"",IF($BX420&lt;&gt;Constants!$B$6,$BX420,IF(ISNUMBER($CG420),RANK($CG420,$CG$9:$CG$508,1),COUNT($CG$9:$CG$508)+1)))</f>
        <v/>
      </c>
      <c r="CI420" s="138" t="str">
        <f aca="false">IF($BX420&lt;&gt;Constants!$B$6,"",IF($BL420="-&gt;",$BV420,$BK420))</f>
        <v/>
      </c>
      <c r="CJ420" s="135" t="str">
        <f aca="false">IF(ISBLANK($C420),"",IF($BX420&lt;&gt;Constants!$B$6,$BX420,IF(ISNUMBER($CI420),RANK($CI420,$CI$9:$CI$508,1),COUNT($CI$9:$CI$508)+1)))</f>
        <v/>
      </c>
      <c r="CK420" s="138" t="str">
        <f aca="false">IF($BX420&lt;&gt;Constants!$B$6,"",$AI420)</f>
        <v/>
      </c>
      <c r="CL420" s="135" t="str">
        <f aca="false">IF(ISBLANK($C420),"",IF($BX420&lt;&gt;Constants!$B$6,$BX420,IF(ISNUMBER($CK420),RANK($CK420,$CK$9:$CK$508,1),COUNT($CK$9:$CK$508)+1)))</f>
        <v/>
      </c>
      <c r="CM420" s="135" t="str">
        <f aca="false">IF(ISBLANK($C420),"",IF($BX420&lt;&gt;Constants!$B$6,$BX420,COUNTIFS($CD$9:$CD$508,"&lt;"&amp;$CD420)+COUNTIFS($CD$9:$CD$508,$CD420,$CF$9:$CF$508,"&lt;"&amp;$CF420)+COUNTIFS($CD$9:$CD$508,$CD420,$CF$9:$CF$508,$CF420,$CH$9:$CH$508,"&lt;"&amp;$CH420)+COUNTIFS($CD$9:$CD$508,$CD420,$CF$9:$CF$508,$CF420,$CH$9:$CH$508,$CH420,$CJ$9:$CJ$508,"&lt;"&amp;$CJ420)+COUNTIFS($CD$9:$CD$508,$CD420,$CF$9:$CF$508,$CF420,$CH$9:$CH$508,$CH420,$CJ$9:$CJ$508,$CJ420,$CL$9:$CL$508,"&lt;"&amp;$CL420)+1))</f>
        <v/>
      </c>
      <c r="CN420" s="135" t="str">
        <f aca="false">IF(ISBLANK($C420),"",IF($BX420&lt;&gt;Constants!$B$6,$BX420,$CD420-$CM420))</f>
        <v/>
      </c>
      <c r="CO420" s="141"/>
      <c r="CP420" s="142"/>
      <c r="CQ420" s="143" t="str">
        <f aca="false">IF(ISBLANK($C420),"",IF($BX420=Constants!$B$10,$BW420,""))</f>
        <v/>
      </c>
      <c r="CR420" s="142" t="str">
        <f aca="false">IF(ISBLANK($C420),"",IF($BX420&lt;&gt;Constants!$B$6,"",IF($BL420="-&gt;",2,1)))</f>
        <v/>
      </c>
      <c r="CS420" s="144" t="str">
        <f aca="false">IF(ISBLANK($C420),"",IF($BX420&lt;&gt;Constants!$B$6,"",IF($BL420="-&gt;",$BN420,$BC420)))</f>
        <v/>
      </c>
      <c r="CT420" s="144" t="str">
        <f aca="false">IF(ISBLANK($C420),"",IF($BX420&lt;&gt;Constants!$B$6,"",IF($BL420="-&gt;",$BO420,$BD420)))</f>
        <v/>
      </c>
      <c r="CU420" s="144" t="str">
        <f aca="false">IF(ISBLANK($C420),"",IF($BX420&lt;&gt;Constants!$B$6,"",IF($BL420="-&gt;",$BP420+$BQ420,$BE420+$BF420)+$CB420))</f>
        <v/>
      </c>
      <c r="CV420" s="144" t="str">
        <f aca="false">IF(ISBLANK($C420),"",IF($BX420&lt;&gt;Constants!$B$6,"",IF($BL420="-&gt;",$BR420,$BG420)+$CA420))</f>
        <v/>
      </c>
      <c r="CW420" s="145" t="str">
        <f aca="false">IF(ISBLANK($C420),"",IF($BX420&lt;&gt;Constants!$B$6,$BX420,$CC420))</f>
        <v/>
      </c>
      <c r="CX420" s="146" t="str">
        <f aca="false">IF(ISBLANK($C420),"",$BY420)</f>
        <v/>
      </c>
      <c r="CY420" s="147" t="str">
        <f aca="false">IF(ISBLANK($C420),"",$CN420)</f>
        <v/>
      </c>
      <c r="CZ420" s="147" t="str">
        <f aca="false">IF(ISBLANK($C420),"",$CM420)</f>
        <v/>
      </c>
      <c r="DA420" s="148" t="str">
        <f aca="false">IF(ISBLANK($C420),"",IFERROR(_xlfn.SWITCH($CZ420,Constants!$B$9,COUNTA($C$9:$C$508)+2,Constants!$B$8,COUNTA($C$9:$C$508)+1,Constants!$B$7,COUNTA($C$9:$C$508)),$CZ420))</f>
        <v/>
      </c>
      <c r="DB420" s="9"/>
      <c r="DC420" s="149" t="n">
        <f aca="false">IF(OR(ISNUMBER($CZ420),$CZ420=Constants!$B$9,$CZ420=Constants!$B$7,$CZ420=Constants!$B$8),1,0)</f>
        <v>0</v>
      </c>
      <c r="DD420" s="149" t="n">
        <v>412</v>
      </c>
      <c r="DE420" s="149" t="str">
        <f aca="false">IF(ISBLANK($C420),"",IF(ISNUMBER($DA420),$DA420+ROW($B420)/1000,""))</f>
        <v/>
      </c>
      <c r="DF420" s="149" t="str">
        <f aca="false">IF(ISNUMBER($DE420),RANK($DE420,$DE$9:$DE$508,1),"")</f>
        <v/>
      </c>
      <c r="DG420" s="149" t="str">
        <f aca="false">IF(ISBLANK($C420),"",$B420)</f>
        <v/>
      </c>
      <c r="DH420" s="149" t="str">
        <f aca="false">IF(ISBLANK($C420),"",$C420)</f>
        <v/>
      </c>
      <c r="DI420" s="149" t="str">
        <f aca="false">IF(ISBLANK($C420),"",$D420)</f>
        <v/>
      </c>
      <c r="DJ420" s="150" t="str">
        <f aca="false">$CX420</f>
        <v/>
      </c>
      <c r="DK420" s="151" t="str">
        <f aca="false">$CW420</f>
        <v/>
      </c>
      <c r="DL420" s="149" t="str">
        <f aca="false">IF(ISBLANK($C420),"",$CZ420)</f>
        <v/>
      </c>
      <c r="DM420" s="152" t="str">
        <f aca="false">IF($DD420&gt;$DC$8,"",VLOOKUP($DD420,$DF$9:$DL$508,7,FALSE()))</f>
        <v/>
      </c>
      <c r="DN420" s="153" t="str">
        <f aca="false">IF($DD420&gt;$DC$8,"",VLOOKUP($DD420,$DF$9:$DL$508,2,FALSE()))</f>
        <v/>
      </c>
      <c r="DO420" s="153" t="str">
        <f aca="false">IF($DD420&gt;$DC$8,"",VLOOKUP($DD420,$DF$9:$DL$508,3,FALSE()))</f>
        <v/>
      </c>
      <c r="DP420" s="153" t="str">
        <f aca="false">IF($DD420&gt;$DC$8,"",VLOOKUP($DD420,$DF$9:$DL$508,4,FALSE()))</f>
        <v/>
      </c>
      <c r="DQ420" s="153" t="str">
        <f aca="false">IF($DD420&gt;$DC$8,"",VLOOKUP($DD420,$DF$9:$DL$508,5,FALSE()))</f>
        <v/>
      </c>
      <c r="DR420" s="154" t="str">
        <f aca="false">IF($DD420&gt;$DC$8,"",VLOOKUP($DD420,$DF$9:$DL$508,6,FALSE()))</f>
        <v/>
      </c>
      <c r="DS420" s="76"/>
    </row>
    <row r="421" customFormat="false" ht="15.75" hidden="false" customHeight="false" outlineLevel="0" collapsed="false">
      <c r="A421" s="9"/>
      <c r="B421" s="160"/>
      <c r="C421" s="161"/>
      <c r="D421" s="162"/>
      <c r="E421" s="180"/>
      <c r="F421" s="164"/>
      <c r="G421" s="165"/>
      <c r="H421" s="165"/>
      <c r="I421" s="181"/>
      <c r="J421" s="168"/>
      <c r="K421" s="128"/>
      <c r="L421" s="129"/>
      <c r="M421" s="130"/>
      <c r="N421" s="168"/>
      <c r="O421" s="168"/>
      <c r="P421" s="180"/>
      <c r="Q421" s="168"/>
      <c r="R421" s="168"/>
      <c r="S421" s="128"/>
      <c r="T421" s="130"/>
      <c r="U421" s="130"/>
      <c r="V421" s="168"/>
      <c r="W421" s="168"/>
      <c r="X421" s="180"/>
      <c r="Y421" s="168"/>
      <c r="Z421" s="169"/>
      <c r="AA421" s="168"/>
      <c r="AB421" s="134"/>
      <c r="AC421" s="135"/>
      <c r="AD421" s="135"/>
      <c r="AE421" s="135"/>
      <c r="AF421" s="135" t="str">
        <f aca="false">IF(ISBLANK($C421),"",IF(E421=Constants!$B$2,TRUE(),IF(E421=Constants!$B$3,FALSE(),TRUE())))</f>
        <v/>
      </c>
      <c r="AG421" s="135" t="str">
        <f aca="false">IF(ISBLANK($C421),"",IF(F421=Constants!$B$2,TRUE(),IF(F421=Constants!$B$3,FALSE(),TRUE())))</f>
        <v/>
      </c>
      <c r="AH421" s="135" t="str">
        <f aca="false">IF(ISBLANK($C421),"",IF(G421=Constants!$B$2,TRUE(),IF(G421=Constants!$B$3,FALSE(),TRUE())))</f>
        <v/>
      </c>
      <c r="AI421" s="135" t="str">
        <f aca="false">IF(ISBLANK($C421),"",IF(AND(ISNUMBER(H421),H421&gt;=0),H421,Constants!$B$24))</f>
        <v/>
      </c>
      <c r="AJ421" s="135" t="str">
        <f aca="false">IF(ISBLANK($C421),"",IF(I421=Constants!$B$2,TRUE(),IF(I421=Constants!$B$3,FALSE(),TRUE())))</f>
        <v/>
      </c>
      <c r="AK421" s="135" t="str">
        <f aca="false">IF(ISBLANK($C421),"",IF(J421=Constants!$B$2,TRUE(),IF(J421=Constants!$B$3,FALSE(),TRUE())))</f>
        <v/>
      </c>
      <c r="AL421" s="135" t="str">
        <f aca="false">IF(ISBLANK($C421),"",IF(K421=Constants!$B$4,TRUE(),IF(K421=Constants!$B$5,FALSE(),COUNTA(L421:P421)&gt;0)))</f>
        <v/>
      </c>
      <c r="AM421" s="136" t="str">
        <f aca="false">IF(ISBLANK($C421),"",IF(ISNUMBER(L421),IF(L421&gt;=0,L421,""),""))</f>
        <v/>
      </c>
      <c r="AN421" s="137" t="str">
        <f aca="false">IF(ISBLANK($C421),"",IF(ISNUMBER(M421),IF(M421&gt;=0,M421,""),""))</f>
        <v/>
      </c>
      <c r="AO421" s="137" t="str">
        <f aca="false">IF(ISBLANK($C421),"",IF(N421=Constants!$B$2,TRUE(),IF(N421=Constants!$B$3,FALSE(),TRUE())))</f>
        <v/>
      </c>
      <c r="AP421" s="135" t="str">
        <f aca="false">IF(ISBLANK($C421),"",IF(ISNUMBER(O421),IF(O421&gt;=0,O421,""),""))</f>
        <v/>
      </c>
      <c r="AQ421" s="135" t="str">
        <f aca="false">IF(ISBLANK($C421),"",IF(P421=Constants!$B$2,TRUE(),IF(P421=Constants!$B$3,FALSE(),FALSE())))</f>
        <v/>
      </c>
      <c r="AR421" s="135" t="str">
        <f aca="false">IF(ISBLANK($C421),"",IF(Q421=Constants!$B$2,TRUE(),IF(Q421=Constants!$B$3,FALSE(),TRUE())))</f>
        <v/>
      </c>
      <c r="AS421" s="135" t="str">
        <f aca="false">IF(ISBLANK($C421),"",IF(R421=Constants!$B$2,TRUE(),IF(R421=Constants!$B$3,FALSE(),TRUE())))</f>
        <v/>
      </c>
      <c r="AT421" s="135" t="str">
        <f aca="false">IF(ISBLANK($C421),"",IF(S421=Constants!$B$4,TRUE(),IF(S421=Constants!$B$5,FALSE(),COUNTA(T421:X421)&gt;0)))</f>
        <v/>
      </c>
      <c r="AU421" s="136" t="str">
        <f aca="false">IF(ISBLANK($C421),"",IF(ISNUMBER(T421),IF(T421&gt;=0,T421,""),""))</f>
        <v/>
      </c>
      <c r="AV421" s="137" t="str">
        <f aca="false">IF(ISBLANK($C421),"",IF(ISNUMBER(U421),IF(U421&gt;=0,U421,""),""))</f>
        <v/>
      </c>
      <c r="AW421" s="137" t="str">
        <f aca="false">IF(ISBLANK($C421),"",IF(V421=Constants!$B$2,TRUE(),IF(V421=Constants!$B$3,FALSE(),TRUE())))</f>
        <v/>
      </c>
      <c r="AX421" s="135" t="str">
        <f aca="false">IF(ISBLANK($C421),"",IF(ISNUMBER(W421),IF(W421&gt;=0,W421,""),""))</f>
        <v/>
      </c>
      <c r="AY421" s="135" t="str">
        <f aca="false">IF(ISBLANK($C421),"",IF(X421=Constants!$B$2,TRUE(),IF(X421=Constants!$B$3,FALSE(),FALSE())))</f>
        <v/>
      </c>
      <c r="AZ421" s="135" t="str">
        <f aca="false">IF(ISBLANK($C421),"",MIN(Constants!$B$25,MAX(0,IF(ISNUMBER(Y421),Y421*60,0)+IF(ISNUMBER(Z421),Z421,0))))</f>
        <v/>
      </c>
      <c r="BA421" s="135" t="str">
        <f aca="false">IF(ISBLANK($C421),"",IF(AA421=Constants!$B$2,TRUE(),IF(AA421=Constants!$B$3,FALSE(),FALSE())))</f>
        <v/>
      </c>
      <c r="BB421" s="134" t="str">
        <f aca="false">IF(ISBLANK($C421),"",AND($AL421,OR($AM421="",$AN421="",AND($AO421,$AP421=""))))</f>
        <v/>
      </c>
      <c r="BC421" s="137" t="str">
        <f aca="false">IF($BX421&lt;&gt;Constants!$B$6,"",IF($AL421,Constants!$B$17*$AN421+Constants!$B$18*IF($AO421,$AP421,Constants!$B$19),Constants!$B$20))</f>
        <v/>
      </c>
      <c r="BD421" s="138" t="str">
        <f aca="false">IF($BX421&lt;&gt;Constants!$B$6,"",Constants!$B$21*ABS($AD$9-IF($AL421,$AM421,0)))</f>
        <v/>
      </c>
      <c r="BE421" s="138" t="str">
        <f aca="false">IF($BX421&lt;&gt;Constants!$B$6,"",IF(AND($AL421,$AQ421,$AO421),Constants!$B$22,0))</f>
        <v/>
      </c>
      <c r="BF421" s="138" t="str">
        <f aca="false">IF($BX421&lt;&gt;Constants!$B$6,"",IF($AL421,($AI421-Constants!$B$24)*Constants!$B$23,0))</f>
        <v/>
      </c>
      <c r="BG421" s="138" t="str">
        <f aca="false">IF($BX421&lt;&gt;Constants!$B$6,"",IF($AK421,0,Constants!$B$12)+IF($AJ421,0,Constants!$B$13)+IF($AH421,0,Constants!$B$14))</f>
        <v/>
      </c>
      <c r="BH421" s="139" t="str">
        <f aca="false">IF($BX421&lt;&gt;Constants!$B$6,"",Constants!$B$16+SUM($BC421:$BG421))</f>
        <v/>
      </c>
      <c r="BI421" s="138" t="str">
        <f aca="false">IF($BX421&lt;&gt;Constants!$B$6,"",$BC421)</f>
        <v/>
      </c>
      <c r="BJ421" s="138" t="str">
        <f aca="false">IF($BX421&lt;&gt;Constants!$B$6,"",$BD421)</f>
        <v/>
      </c>
      <c r="BK421" s="140" t="str">
        <f aca="false">IF($BX421&lt;&gt;Constants!$B$6,"",IF($AL421,$AN421,""))</f>
        <v/>
      </c>
      <c r="BL421" s="135" t="str">
        <f aca="false">IF($BX421&lt;&gt;Constants!$B$6,"",IF(OR($BS421&lt;$BH421,AND($BS421=$BH421,OR($BT421&lt;$BI421,AND($BT421=$BI421,OR($BU421&lt;$BJ421,AND($BU421=$BJ421,AND(ISNUMBER($BV421),OR(NOT(ISNUMBER($BK421)),$BV421&lt;$BK421)))))))),"-&gt;","&lt;-"))</f>
        <v/>
      </c>
      <c r="BM421" s="134" t="str">
        <f aca="false">IF(ISBLANK($C421),"",AND($AT421,OR($AU421="",$AV421="",AND($AW421,$AX421=""))))</f>
        <v/>
      </c>
      <c r="BN421" s="137" t="str">
        <f aca="false">IF($BX421&lt;&gt;Constants!$B$6,"",IF($AT421,Constants!$B$17*$AV421+Constants!$B$18*IF($AW421,$AX421,Constants!$B$19),Constants!$B$20))</f>
        <v/>
      </c>
      <c r="BO421" s="138" t="str">
        <f aca="false">IF($BX421&lt;&gt;Constants!$B$6,"",Constants!$B$21*ABS($AD$9-IF($AT421,$AU421,0)))</f>
        <v/>
      </c>
      <c r="BP421" s="138" t="str">
        <f aca="false">IF($BX421&lt;&gt;Constants!$B$6,"",IF(AND($AT421,$AY421,$AW421),Constants!$B$22,0))</f>
        <v/>
      </c>
      <c r="BQ421" s="138" t="str">
        <f aca="false">IF($BX421&lt;&gt;Constants!$B$6,"",IF($AT421,($AI421-Constants!$B$24)*Constants!$B$23,0))</f>
        <v/>
      </c>
      <c r="BR421" s="138" t="str">
        <f aca="false">IF($BX421&lt;&gt;Constants!$B$6,"",IF($AS421,0,Constants!$B$12)+IF($AR421,0,Constants!$B$13)+IF($AH421,0,Constants!$B$14))</f>
        <v/>
      </c>
      <c r="BS421" s="139" t="str">
        <f aca="false">IF($BX421&lt;&gt;Constants!$B$6,"",Constants!$B$16+SUM($BN421:$BR421))</f>
        <v/>
      </c>
      <c r="BT421" s="138" t="str">
        <f aca="false">IF($BX421&lt;&gt;Constants!$B$6,"",$BN421)</f>
        <v/>
      </c>
      <c r="BU421" s="138" t="str">
        <f aca="false">IF($BX421&lt;&gt;Constants!$B$6,"",$BO421)</f>
        <v/>
      </c>
      <c r="BV421" s="140" t="str">
        <f aca="false">IF($BX421&lt;&gt;Constants!$B$6,"",IF($AT421,$AV421,""))</f>
        <v/>
      </c>
      <c r="BW421" s="135" t="str">
        <f aca="false">IF(ISBLANK($C421),"",IF(ISBLANK($D$7),$BW$5,IF(NOT(ISNUMBER($D$7)),$BW$6,"")))</f>
        <v/>
      </c>
      <c r="BX421" s="135" t="str">
        <f aca="false">IF(ISBLANK($C421),"",IF($BA421,Constants!$B$9,IF(COUNTA($E421:$AA421)=0,Constants!$B$8,IF(NOT($AG421),Constants!$B$7,IF(OR($BW421&lt;&gt;"",$BB421,$BM421),Constants!$B$10,Constants!$B$6)))))</f>
        <v/>
      </c>
      <c r="BY421" s="135" t="str">
        <f aca="false">IF(ISBLANK($C421),"",IF($BX421&lt;&gt;Constants!$B$6,$BX421,Constants!$B$11))</f>
        <v/>
      </c>
      <c r="BZ421" s="138" t="str">
        <f aca="false">IF($BX421&lt;&gt;Constants!$B$6,"",IF($BL421="-&gt;",$BS421,$BH421))</f>
        <v/>
      </c>
      <c r="CA421" s="138" t="str">
        <f aca="false">IF($BX421&lt;&gt;Constants!$B$6,"",IF($AF421,0,Constants!$B$15))</f>
        <v/>
      </c>
      <c r="CB421" s="138" t="str">
        <f aca="false">IF($BX421&lt;&gt;Constants!$B$6,"",((Constants!$B$25-$AZ421)-Constants!$B$25)/Constants!$B$26)</f>
        <v/>
      </c>
      <c r="CC421" s="138" t="str">
        <f aca="false">IF(ISBLANK($C421),"",IF($BX421&lt;&gt;Constants!$B$6,$BX421,SUM($BZ421:$CB421)))</f>
        <v/>
      </c>
      <c r="CD421" s="135" t="str">
        <f aca="false">IF(ISBLANK($C421),"",IF($BX421&lt;&gt;Constants!$B$6,$BX421,RANK($CC421,$CC$9:$CC$508,1)))</f>
        <v/>
      </c>
      <c r="CE421" s="138" t="str">
        <f aca="false">IF($BX421&lt;&gt;Constants!$B$6,"",IF($BL421="-&gt;",$BT421,$BI421))</f>
        <v/>
      </c>
      <c r="CF421" s="135" t="str">
        <f aca="false">IF(ISBLANK($C421),"",IF($BX421&lt;&gt;Constants!$B$6,$BX421,IF(ISNUMBER($CE421),RANK($CE421,$CE$9:$CE$508,1),COUNT($CE$9:$CE$508)+1)))</f>
        <v/>
      </c>
      <c r="CG421" s="138" t="str">
        <f aca="false">IF($BX421&lt;&gt;Constants!$B$6,"",IF($BL421="-&gt;",$BU421,$BJ421))</f>
        <v/>
      </c>
      <c r="CH421" s="135" t="str">
        <f aca="false">IF(ISBLANK($C421),"",IF($BX421&lt;&gt;Constants!$B$6,$BX421,IF(ISNUMBER($CG421),RANK($CG421,$CG$9:$CG$508,1),COUNT($CG$9:$CG$508)+1)))</f>
        <v/>
      </c>
      <c r="CI421" s="138" t="str">
        <f aca="false">IF($BX421&lt;&gt;Constants!$B$6,"",IF($BL421="-&gt;",$BV421,$BK421))</f>
        <v/>
      </c>
      <c r="CJ421" s="135" t="str">
        <f aca="false">IF(ISBLANK($C421),"",IF($BX421&lt;&gt;Constants!$B$6,$BX421,IF(ISNUMBER($CI421),RANK($CI421,$CI$9:$CI$508,1),COUNT($CI$9:$CI$508)+1)))</f>
        <v/>
      </c>
      <c r="CK421" s="138" t="str">
        <f aca="false">IF($BX421&lt;&gt;Constants!$B$6,"",$AI421)</f>
        <v/>
      </c>
      <c r="CL421" s="135" t="str">
        <f aca="false">IF(ISBLANK($C421),"",IF($BX421&lt;&gt;Constants!$B$6,$BX421,IF(ISNUMBER($CK421),RANK($CK421,$CK$9:$CK$508,1),COUNT($CK$9:$CK$508)+1)))</f>
        <v/>
      </c>
      <c r="CM421" s="135" t="str">
        <f aca="false">IF(ISBLANK($C421),"",IF($BX421&lt;&gt;Constants!$B$6,$BX421,COUNTIFS($CD$9:$CD$508,"&lt;"&amp;$CD421)+COUNTIFS($CD$9:$CD$508,$CD421,$CF$9:$CF$508,"&lt;"&amp;$CF421)+COUNTIFS($CD$9:$CD$508,$CD421,$CF$9:$CF$508,$CF421,$CH$9:$CH$508,"&lt;"&amp;$CH421)+COUNTIFS($CD$9:$CD$508,$CD421,$CF$9:$CF$508,$CF421,$CH$9:$CH$508,$CH421,$CJ$9:$CJ$508,"&lt;"&amp;$CJ421)+COUNTIFS($CD$9:$CD$508,$CD421,$CF$9:$CF$508,$CF421,$CH$9:$CH$508,$CH421,$CJ$9:$CJ$508,$CJ421,$CL$9:$CL$508,"&lt;"&amp;$CL421)+1))</f>
        <v/>
      </c>
      <c r="CN421" s="135" t="str">
        <f aca="false">IF(ISBLANK($C421),"",IF($BX421&lt;&gt;Constants!$B$6,$BX421,$CD421-$CM421))</f>
        <v/>
      </c>
      <c r="CO421" s="141"/>
      <c r="CP421" s="142"/>
      <c r="CQ421" s="143" t="str">
        <f aca="false">IF(ISBLANK($C421),"",IF($BX421=Constants!$B$10,$BW421,""))</f>
        <v/>
      </c>
      <c r="CR421" s="142" t="str">
        <f aca="false">IF(ISBLANK($C421),"",IF($BX421&lt;&gt;Constants!$B$6,"",IF($BL421="-&gt;",2,1)))</f>
        <v/>
      </c>
      <c r="CS421" s="144" t="str">
        <f aca="false">IF(ISBLANK($C421),"",IF($BX421&lt;&gt;Constants!$B$6,"",IF($BL421="-&gt;",$BN421,$BC421)))</f>
        <v/>
      </c>
      <c r="CT421" s="144" t="str">
        <f aca="false">IF(ISBLANK($C421),"",IF($BX421&lt;&gt;Constants!$B$6,"",IF($BL421="-&gt;",$BO421,$BD421)))</f>
        <v/>
      </c>
      <c r="CU421" s="144" t="str">
        <f aca="false">IF(ISBLANK($C421),"",IF($BX421&lt;&gt;Constants!$B$6,"",IF($BL421="-&gt;",$BP421+$BQ421,$BE421+$BF421)+$CB421))</f>
        <v/>
      </c>
      <c r="CV421" s="144" t="str">
        <f aca="false">IF(ISBLANK($C421),"",IF($BX421&lt;&gt;Constants!$B$6,"",IF($BL421="-&gt;",$BR421,$BG421)+$CA421))</f>
        <v/>
      </c>
      <c r="CW421" s="145" t="str">
        <f aca="false">IF(ISBLANK($C421),"",IF($BX421&lt;&gt;Constants!$B$6,$BX421,$CC421))</f>
        <v/>
      </c>
      <c r="CX421" s="146" t="str">
        <f aca="false">IF(ISBLANK($C421),"",$BY421)</f>
        <v/>
      </c>
      <c r="CY421" s="147" t="str">
        <f aca="false">IF(ISBLANK($C421),"",$CN421)</f>
        <v/>
      </c>
      <c r="CZ421" s="147" t="str">
        <f aca="false">IF(ISBLANK($C421),"",$CM421)</f>
        <v/>
      </c>
      <c r="DA421" s="148" t="str">
        <f aca="false">IF(ISBLANK($C421),"",IFERROR(_xlfn.SWITCH($CZ421,Constants!$B$9,COUNTA($C$9:$C$508)+2,Constants!$B$8,COUNTA($C$9:$C$508)+1,Constants!$B$7,COUNTA($C$9:$C$508)),$CZ421))</f>
        <v/>
      </c>
      <c r="DB421" s="9"/>
      <c r="DC421" s="149" t="n">
        <f aca="false">IF(OR(ISNUMBER($CZ421),$CZ421=Constants!$B$9,$CZ421=Constants!$B$7,$CZ421=Constants!$B$8),1,0)</f>
        <v>0</v>
      </c>
      <c r="DD421" s="149" t="n">
        <v>413</v>
      </c>
      <c r="DE421" s="149" t="str">
        <f aca="false">IF(ISBLANK($C421),"",IF(ISNUMBER($DA421),$DA421+ROW($B421)/1000,""))</f>
        <v/>
      </c>
      <c r="DF421" s="149" t="str">
        <f aca="false">IF(ISNUMBER($DE421),RANK($DE421,$DE$9:$DE$508,1),"")</f>
        <v/>
      </c>
      <c r="DG421" s="149" t="str">
        <f aca="false">IF(ISBLANK($C421),"",$B421)</f>
        <v/>
      </c>
      <c r="DH421" s="149" t="str">
        <f aca="false">IF(ISBLANK($C421),"",$C421)</f>
        <v/>
      </c>
      <c r="DI421" s="149" t="str">
        <f aca="false">IF(ISBLANK($C421),"",$D421)</f>
        <v/>
      </c>
      <c r="DJ421" s="150" t="str">
        <f aca="false">$CX421</f>
        <v/>
      </c>
      <c r="DK421" s="151" t="str">
        <f aca="false">$CW421</f>
        <v/>
      </c>
      <c r="DL421" s="149" t="str">
        <f aca="false">IF(ISBLANK($C421),"",$CZ421)</f>
        <v/>
      </c>
      <c r="DM421" s="152" t="str">
        <f aca="false">IF($DD421&gt;$DC$8,"",VLOOKUP($DD421,$DF$9:$DL$508,7,FALSE()))</f>
        <v/>
      </c>
      <c r="DN421" s="153" t="str">
        <f aca="false">IF($DD421&gt;$DC$8,"",VLOOKUP($DD421,$DF$9:$DL$508,2,FALSE()))</f>
        <v/>
      </c>
      <c r="DO421" s="153" t="str">
        <f aca="false">IF($DD421&gt;$DC$8,"",VLOOKUP($DD421,$DF$9:$DL$508,3,FALSE()))</f>
        <v/>
      </c>
      <c r="DP421" s="153" t="str">
        <f aca="false">IF($DD421&gt;$DC$8,"",VLOOKUP($DD421,$DF$9:$DL$508,4,FALSE()))</f>
        <v/>
      </c>
      <c r="DQ421" s="153" t="str">
        <f aca="false">IF($DD421&gt;$DC$8,"",VLOOKUP($DD421,$DF$9:$DL$508,5,FALSE()))</f>
        <v/>
      </c>
      <c r="DR421" s="154" t="str">
        <f aca="false">IF($DD421&gt;$DC$8,"",VLOOKUP($DD421,$DF$9:$DL$508,6,FALSE()))</f>
        <v/>
      </c>
      <c r="DS421" s="76"/>
    </row>
    <row r="422" customFormat="false" ht="15.75" hidden="false" customHeight="false" outlineLevel="0" collapsed="false">
      <c r="A422" s="9"/>
      <c r="B422" s="160"/>
      <c r="C422" s="161"/>
      <c r="D422" s="162"/>
      <c r="E422" s="180"/>
      <c r="F422" s="164"/>
      <c r="G422" s="165"/>
      <c r="H422" s="165"/>
      <c r="I422" s="181"/>
      <c r="J422" s="168"/>
      <c r="K422" s="128"/>
      <c r="L422" s="129"/>
      <c r="M422" s="130"/>
      <c r="N422" s="168"/>
      <c r="O422" s="168"/>
      <c r="P422" s="180"/>
      <c r="Q422" s="168"/>
      <c r="R422" s="168"/>
      <c r="S422" s="128"/>
      <c r="T422" s="130"/>
      <c r="U422" s="130"/>
      <c r="V422" s="168"/>
      <c r="W422" s="168"/>
      <c r="X422" s="180"/>
      <c r="Y422" s="168"/>
      <c r="Z422" s="169"/>
      <c r="AA422" s="168"/>
      <c r="AB422" s="134"/>
      <c r="AC422" s="135"/>
      <c r="AD422" s="135"/>
      <c r="AE422" s="135"/>
      <c r="AF422" s="135" t="str">
        <f aca="false">IF(ISBLANK($C422),"",IF(E422=Constants!$B$2,TRUE(),IF(E422=Constants!$B$3,FALSE(),TRUE())))</f>
        <v/>
      </c>
      <c r="AG422" s="135" t="str">
        <f aca="false">IF(ISBLANK($C422),"",IF(F422=Constants!$B$2,TRUE(),IF(F422=Constants!$B$3,FALSE(),TRUE())))</f>
        <v/>
      </c>
      <c r="AH422" s="135" t="str">
        <f aca="false">IF(ISBLANK($C422),"",IF(G422=Constants!$B$2,TRUE(),IF(G422=Constants!$B$3,FALSE(),TRUE())))</f>
        <v/>
      </c>
      <c r="AI422" s="135" t="str">
        <f aca="false">IF(ISBLANK($C422),"",IF(AND(ISNUMBER(H422),H422&gt;=0),H422,Constants!$B$24))</f>
        <v/>
      </c>
      <c r="AJ422" s="135" t="str">
        <f aca="false">IF(ISBLANK($C422),"",IF(I422=Constants!$B$2,TRUE(),IF(I422=Constants!$B$3,FALSE(),TRUE())))</f>
        <v/>
      </c>
      <c r="AK422" s="135" t="str">
        <f aca="false">IF(ISBLANK($C422),"",IF(J422=Constants!$B$2,TRUE(),IF(J422=Constants!$B$3,FALSE(),TRUE())))</f>
        <v/>
      </c>
      <c r="AL422" s="135" t="str">
        <f aca="false">IF(ISBLANK($C422),"",IF(K422=Constants!$B$4,TRUE(),IF(K422=Constants!$B$5,FALSE(),COUNTA(L422:P422)&gt;0)))</f>
        <v/>
      </c>
      <c r="AM422" s="136" t="str">
        <f aca="false">IF(ISBLANK($C422),"",IF(ISNUMBER(L422),IF(L422&gt;=0,L422,""),""))</f>
        <v/>
      </c>
      <c r="AN422" s="137" t="str">
        <f aca="false">IF(ISBLANK($C422),"",IF(ISNUMBER(M422),IF(M422&gt;=0,M422,""),""))</f>
        <v/>
      </c>
      <c r="AO422" s="137" t="str">
        <f aca="false">IF(ISBLANK($C422),"",IF(N422=Constants!$B$2,TRUE(),IF(N422=Constants!$B$3,FALSE(),TRUE())))</f>
        <v/>
      </c>
      <c r="AP422" s="135" t="str">
        <f aca="false">IF(ISBLANK($C422),"",IF(ISNUMBER(O422),IF(O422&gt;=0,O422,""),""))</f>
        <v/>
      </c>
      <c r="AQ422" s="135" t="str">
        <f aca="false">IF(ISBLANK($C422),"",IF(P422=Constants!$B$2,TRUE(),IF(P422=Constants!$B$3,FALSE(),FALSE())))</f>
        <v/>
      </c>
      <c r="AR422" s="135" t="str">
        <f aca="false">IF(ISBLANK($C422),"",IF(Q422=Constants!$B$2,TRUE(),IF(Q422=Constants!$B$3,FALSE(),TRUE())))</f>
        <v/>
      </c>
      <c r="AS422" s="135" t="str">
        <f aca="false">IF(ISBLANK($C422),"",IF(R422=Constants!$B$2,TRUE(),IF(R422=Constants!$B$3,FALSE(),TRUE())))</f>
        <v/>
      </c>
      <c r="AT422" s="135" t="str">
        <f aca="false">IF(ISBLANK($C422),"",IF(S422=Constants!$B$4,TRUE(),IF(S422=Constants!$B$5,FALSE(),COUNTA(T422:X422)&gt;0)))</f>
        <v/>
      </c>
      <c r="AU422" s="136" t="str">
        <f aca="false">IF(ISBLANK($C422),"",IF(ISNUMBER(T422),IF(T422&gt;=0,T422,""),""))</f>
        <v/>
      </c>
      <c r="AV422" s="137" t="str">
        <f aca="false">IF(ISBLANK($C422),"",IF(ISNUMBER(U422),IF(U422&gt;=0,U422,""),""))</f>
        <v/>
      </c>
      <c r="AW422" s="137" t="str">
        <f aca="false">IF(ISBLANK($C422),"",IF(V422=Constants!$B$2,TRUE(),IF(V422=Constants!$B$3,FALSE(),TRUE())))</f>
        <v/>
      </c>
      <c r="AX422" s="135" t="str">
        <f aca="false">IF(ISBLANK($C422),"",IF(ISNUMBER(W422),IF(W422&gt;=0,W422,""),""))</f>
        <v/>
      </c>
      <c r="AY422" s="135" t="str">
        <f aca="false">IF(ISBLANK($C422),"",IF(X422=Constants!$B$2,TRUE(),IF(X422=Constants!$B$3,FALSE(),FALSE())))</f>
        <v/>
      </c>
      <c r="AZ422" s="135" t="str">
        <f aca="false">IF(ISBLANK($C422),"",MIN(Constants!$B$25,MAX(0,IF(ISNUMBER(Y422),Y422*60,0)+IF(ISNUMBER(Z422),Z422,0))))</f>
        <v/>
      </c>
      <c r="BA422" s="135" t="str">
        <f aca="false">IF(ISBLANK($C422),"",IF(AA422=Constants!$B$2,TRUE(),IF(AA422=Constants!$B$3,FALSE(),FALSE())))</f>
        <v/>
      </c>
      <c r="BB422" s="134" t="str">
        <f aca="false">IF(ISBLANK($C422),"",AND($AL422,OR($AM422="",$AN422="",AND($AO422,$AP422=""))))</f>
        <v/>
      </c>
      <c r="BC422" s="137" t="str">
        <f aca="false">IF($BX422&lt;&gt;Constants!$B$6,"",IF($AL422,Constants!$B$17*$AN422+Constants!$B$18*IF($AO422,$AP422,Constants!$B$19),Constants!$B$20))</f>
        <v/>
      </c>
      <c r="BD422" s="138" t="str">
        <f aca="false">IF($BX422&lt;&gt;Constants!$B$6,"",Constants!$B$21*ABS($AD$9-IF($AL422,$AM422,0)))</f>
        <v/>
      </c>
      <c r="BE422" s="138" t="str">
        <f aca="false">IF($BX422&lt;&gt;Constants!$B$6,"",IF(AND($AL422,$AQ422,$AO422),Constants!$B$22,0))</f>
        <v/>
      </c>
      <c r="BF422" s="138" t="str">
        <f aca="false">IF($BX422&lt;&gt;Constants!$B$6,"",IF($AL422,($AI422-Constants!$B$24)*Constants!$B$23,0))</f>
        <v/>
      </c>
      <c r="BG422" s="138" t="str">
        <f aca="false">IF($BX422&lt;&gt;Constants!$B$6,"",IF($AK422,0,Constants!$B$12)+IF($AJ422,0,Constants!$B$13)+IF($AH422,0,Constants!$B$14))</f>
        <v/>
      </c>
      <c r="BH422" s="139" t="str">
        <f aca="false">IF($BX422&lt;&gt;Constants!$B$6,"",Constants!$B$16+SUM($BC422:$BG422))</f>
        <v/>
      </c>
      <c r="BI422" s="138" t="str">
        <f aca="false">IF($BX422&lt;&gt;Constants!$B$6,"",$BC422)</f>
        <v/>
      </c>
      <c r="BJ422" s="138" t="str">
        <f aca="false">IF($BX422&lt;&gt;Constants!$B$6,"",$BD422)</f>
        <v/>
      </c>
      <c r="BK422" s="140" t="str">
        <f aca="false">IF($BX422&lt;&gt;Constants!$B$6,"",IF($AL422,$AN422,""))</f>
        <v/>
      </c>
      <c r="BL422" s="135" t="str">
        <f aca="false">IF($BX422&lt;&gt;Constants!$B$6,"",IF(OR($BS422&lt;$BH422,AND($BS422=$BH422,OR($BT422&lt;$BI422,AND($BT422=$BI422,OR($BU422&lt;$BJ422,AND($BU422=$BJ422,AND(ISNUMBER($BV422),OR(NOT(ISNUMBER($BK422)),$BV422&lt;$BK422)))))))),"-&gt;","&lt;-"))</f>
        <v/>
      </c>
      <c r="BM422" s="134" t="str">
        <f aca="false">IF(ISBLANK($C422),"",AND($AT422,OR($AU422="",$AV422="",AND($AW422,$AX422=""))))</f>
        <v/>
      </c>
      <c r="BN422" s="137" t="str">
        <f aca="false">IF($BX422&lt;&gt;Constants!$B$6,"",IF($AT422,Constants!$B$17*$AV422+Constants!$B$18*IF($AW422,$AX422,Constants!$B$19),Constants!$B$20))</f>
        <v/>
      </c>
      <c r="BO422" s="138" t="str">
        <f aca="false">IF($BX422&lt;&gt;Constants!$B$6,"",Constants!$B$21*ABS($AD$9-IF($AT422,$AU422,0)))</f>
        <v/>
      </c>
      <c r="BP422" s="138" t="str">
        <f aca="false">IF($BX422&lt;&gt;Constants!$B$6,"",IF(AND($AT422,$AY422,$AW422),Constants!$B$22,0))</f>
        <v/>
      </c>
      <c r="BQ422" s="138" t="str">
        <f aca="false">IF($BX422&lt;&gt;Constants!$B$6,"",IF($AT422,($AI422-Constants!$B$24)*Constants!$B$23,0))</f>
        <v/>
      </c>
      <c r="BR422" s="138" t="str">
        <f aca="false">IF($BX422&lt;&gt;Constants!$B$6,"",IF($AS422,0,Constants!$B$12)+IF($AR422,0,Constants!$B$13)+IF($AH422,0,Constants!$B$14))</f>
        <v/>
      </c>
      <c r="BS422" s="139" t="str">
        <f aca="false">IF($BX422&lt;&gt;Constants!$B$6,"",Constants!$B$16+SUM($BN422:$BR422))</f>
        <v/>
      </c>
      <c r="BT422" s="138" t="str">
        <f aca="false">IF($BX422&lt;&gt;Constants!$B$6,"",$BN422)</f>
        <v/>
      </c>
      <c r="BU422" s="138" t="str">
        <f aca="false">IF($BX422&lt;&gt;Constants!$B$6,"",$BO422)</f>
        <v/>
      </c>
      <c r="BV422" s="140" t="str">
        <f aca="false">IF($BX422&lt;&gt;Constants!$B$6,"",IF($AT422,$AV422,""))</f>
        <v/>
      </c>
      <c r="BW422" s="135" t="str">
        <f aca="false">IF(ISBLANK($C422),"",IF(ISBLANK($D$7),$BW$5,IF(NOT(ISNUMBER($D$7)),$BW$6,"")))</f>
        <v/>
      </c>
      <c r="BX422" s="135" t="str">
        <f aca="false">IF(ISBLANK($C422),"",IF($BA422,Constants!$B$9,IF(COUNTA($E422:$AA422)=0,Constants!$B$8,IF(NOT($AG422),Constants!$B$7,IF(OR($BW422&lt;&gt;"",$BB422,$BM422),Constants!$B$10,Constants!$B$6)))))</f>
        <v/>
      </c>
      <c r="BY422" s="135" t="str">
        <f aca="false">IF(ISBLANK($C422),"",IF($BX422&lt;&gt;Constants!$B$6,$BX422,Constants!$B$11))</f>
        <v/>
      </c>
      <c r="BZ422" s="138" t="str">
        <f aca="false">IF($BX422&lt;&gt;Constants!$B$6,"",IF($BL422="-&gt;",$BS422,$BH422))</f>
        <v/>
      </c>
      <c r="CA422" s="138" t="str">
        <f aca="false">IF($BX422&lt;&gt;Constants!$B$6,"",IF($AF422,0,Constants!$B$15))</f>
        <v/>
      </c>
      <c r="CB422" s="138" t="str">
        <f aca="false">IF($BX422&lt;&gt;Constants!$B$6,"",((Constants!$B$25-$AZ422)-Constants!$B$25)/Constants!$B$26)</f>
        <v/>
      </c>
      <c r="CC422" s="138" t="str">
        <f aca="false">IF(ISBLANK($C422),"",IF($BX422&lt;&gt;Constants!$B$6,$BX422,SUM($BZ422:$CB422)))</f>
        <v/>
      </c>
      <c r="CD422" s="135" t="str">
        <f aca="false">IF(ISBLANK($C422),"",IF($BX422&lt;&gt;Constants!$B$6,$BX422,RANK($CC422,$CC$9:$CC$508,1)))</f>
        <v/>
      </c>
      <c r="CE422" s="138" t="str">
        <f aca="false">IF($BX422&lt;&gt;Constants!$B$6,"",IF($BL422="-&gt;",$BT422,$BI422))</f>
        <v/>
      </c>
      <c r="CF422" s="135" t="str">
        <f aca="false">IF(ISBLANK($C422),"",IF($BX422&lt;&gt;Constants!$B$6,$BX422,IF(ISNUMBER($CE422),RANK($CE422,$CE$9:$CE$508,1),COUNT($CE$9:$CE$508)+1)))</f>
        <v/>
      </c>
      <c r="CG422" s="138" t="str">
        <f aca="false">IF($BX422&lt;&gt;Constants!$B$6,"",IF($BL422="-&gt;",$BU422,$BJ422))</f>
        <v/>
      </c>
      <c r="CH422" s="135" t="str">
        <f aca="false">IF(ISBLANK($C422),"",IF($BX422&lt;&gt;Constants!$B$6,$BX422,IF(ISNUMBER($CG422),RANK($CG422,$CG$9:$CG$508,1),COUNT($CG$9:$CG$508)+1)))</f>
        <v/>
      </c>
      <c r="CI422" s="138" t="str">
        <f aca="false">IF($BX422&lt;&gt;Constants!$B$6,"",IF($BL422="-&gt;",$BV422,$BK422))</f>
        <v/>
      </c>
      <c r="CJ422" s="135" t="str">
        <f aca="false">IF(ISBLANK($C422),"",IF($BX422&lt;&gt;Constants!$B$6,$BX422,IF(ISNUMBER($CI422),RANK($CI422,$CI$9:$CI$508,1),COUNT($CI$9:$CI$508)+1)))</f>
        <v/>
      </c>
      <c r="CK422" s="138" t="str">
        <f aca="false">IF($BX422&lt;&gt;Constants!$B$6,"",$AI422)</f>
        <v/>
      </c>
      <c r="CL422" s="135" t="str">
        <f aca="false">IF(ISBLANK($C422),"",IF($BX422&lt;&gt;Constants!$B$6,$BX422,IF(ISNUMBER($CK422),RANK($CK422,$CK$9:$CK$508,1),COUNT($CK$9:$CK$508)+1)))</f>
        <v/>
      </c>
      <c r="CM422" s="135" t="str">
        <f aca="false">IF(ISBLANK($C422),"",IF($BX422&lt;&gt;Constants!$B$6,$BX422,COUNTIFS($CD$9:$CD$508,"&lt;"&amp;$CD422)+COUNTIFS($CD$9:$CD$508,$CD422,$CF$9:$CF$508,"&lt;"&amp;$CF422)+COUNTIFS($CD$9:$CD$508,$CD422,$CF$9:$CF$508,$CF422,$CH$9:$CH$508,"&lt;"&amp;$CH422)+COUNTIFS($CD$9:$CD$508,$CD422,$CF$9:$CF$508,$CF422,$CH$9:$CH$508,$CH422,$CJ$9:$CJ$508,"&lt;"&amp;$CJ422)+COUNTIFS($CD$9:$CD$508,$CD422,$CF$9:$CF$508,$CF422,$CH$9:$CH$508,$CH422,$CJ$9:$CJ$508,$CJ422,$CL$9:$CL$508,"&lt;"&amp;$CL422)+1))</f>
        <v/>
      </c>
      <c r="CN422" s="135" t="str">
        <f aca="false">IF(ISBLANK($C422),"",IF($BX422&lt;&gt;Constants!$B$6,$BX422,$CD422-$CM422))</f>
        <v/>
      </c>
      <c r="CO422" s="141"/>
      <c r="CP422" s="142"/>
      <c r="CQ422" s="143" t="str">
        <f aca="false">IF(ISBLANK($C422),"",IF($BX422=Constants!$B$10,$BW422,""))</f>
        <v/>
      </c>
      <c r="CR422" s="142" t="str">
        <f aca="false">IF(ISBLANK($C422),"",IF($BX422&lt;&gt;Constants!$B$6,"",IF($BL422="-&gt;",2,1)))</f>
        <v/>
      </c>
      <c r="CS422" s="144" t="str">
        <f aca="false">IF(ISBLANK($C422),"",IF($BX422&lt;&gt;Constants!$B$6,"",IF($BL422="-&gt;",$BN422,$BC422)))</f>
        <v/>
      </c>
      <c r="CT422" s="144" t="str">
        <f aca="false">IF(ISBLANK($C422),"",IF($BX422&lt;&gt;Constants!$B$6,"",IF($BL422="-&gt;",$BO422,$BD422)))</f>
        <v/>
      </c>
      <c r="CU422" s="144" t="str">
        <f aca="false">IF(ISBLANK($C422),"",IF($BX422&lt;&gt;Constants!$B$6,"",IF($BL422="-&gt;",$BP422+$BQ422,$BE422+$BF422)+$CB422))</f>
        <v/>
      </c>
      <c r="CV422" s="144" t="str">
        <f aca="false">IF(ISBLANK($C422),"",IF($BX422&lt;&gt;Constants!$B$6,"",IF($BL422="-&gt;",$BR422,$BG422)+$CA422))</f>
        <v/>
      </c>
      <c r="CW422" s="145" t="str">
        <f aca="false">IF(ISBLANK($C422),"",IF($BX422&lt;&gt;Constants!$B$6,$BX422,$CC422))</f>
        <v/>
      </c>
      <c r="CX422" s="146" t="str">
        <f aca="false">IF(ISBLANK($C422),"",$BY422)</f>
        <v/>
      </c>
      <c r="CY422" s="147" t="str">
        <f aca="false">IF(ISBLANK($C422),"",$CN422)</f>
        <v/>
      </c>
      <c r="CZ422" s="147" t="str">
        <f aca="false">IF(ISBLANK($C422),"",$CM422)</f>
        <v/>
      </c>
      <c r="DA422" s="148" t="str">
        <f aca="false">IF(ISBLANK($C422),"",IFERROR(_xlfn.SWITCH($CZ422,Constants!$B$9,COUNTA($C$9:$C$508)+2,Constants!$B$8,COUNTA($C$9:$C$508)+1,Constants!$B$7,COUNTA($C$9:$C$508)),$CZ422))</f>
        <v/>
      </c>
      <c r="DB422" s="9"/>
      <c r="DC422" s="149" t="n">
        <f aca="false">IF(OR(ISNUMBER($CZ422),$CZ422=Constants!$B$9,$CZ422=Constants!$B$7,$CZ422=Constants!$B$8),1,0)</f>
        <v>0</v>
      </c>
      <c r="DD422" s="149" t="n">
        <v>414</v>
      </c>
      <c r="DE422" s="149" t="str">
        <f aca="false">IF(ISBLANK($C422),"",IF(ISNUMBER($DA422),$DA422+ROW($B422)/1000,""))</f>
        <v/>
      </c>
      <c r="DF422" s="149" t="str">
        <f aca="false">IF(ISNUMBER($DE422),RANK($DE422,$DE$9:$DE$508,1),"")</f>
        <v/>
      </c>
      <c r="DG422" s="149" t="str">
        <f aca="false">IF(ISBLANK($C422),"",$B422)</f>
        <v/>
      </c>
      <c r="DH422" s="149" t="str">
        <f aca="false">IF(ISBLANK($C422),"",$C422)</f>
        <v/>
      </c>
      <c r="DI422" s="149" t="str">
        <f aca="false">IF(ISBLANK($C422),"",$D422)</f>
        <v/>
      </c>
      <c r="DJ422" s="150" t="str">
        <f aca="false">$CX422</f>
        <v/>
      </c>
      <c r="DK422" s="151" t="str">
        <f aca="false">$CW422</f>
        <v/>
      </c>
      <c r="DL422" s="149" t="str">
        <f aca="false">IF(ISBLANK($C422),"",$CZ422)</f>
        <v/>
      </c>
      <c r="DM422" s="152" t="str">
        <f aca="false">IF($DD422&gt;$DC$8,"",VLOOKUP($DD422,$DF$9:$DL$508,7,FALSE()))</f>
        <v/>
      </c>
      <c r="DN422" s="153" t="str">
        <f aca="false">IF($DD422&gt;$DC$8,"",VLOOKUP($DD422,$DF$9:$DL$508,2,FALSE()))</f>
        <v/>
      </c>
      <c r="DO422" s="153" t="str">
        <f aca="false">IF($DD422&gt;$DC$8,"",VLOOKUP($DD422,$DF$9:$DL$508,3,FALSE()))</f>
        <v/>
      </c>
      <c r="DP422" s="153" t="str">
        <f aca="false">IF($DD422&gt;$DC$8,"",VLOOKUP($DD422,$DF$9:$DL$508,4,FALSE()))</f>
        <v/>
      </c>
      <c r="DQ422" s="153" t="str">
        <f aca="false">IF($DD422&gt;$DC$8,"",VLOOKUP($DD422,$DF$9:$DL$508,5,FALSE()))</f>
        <v/>
      </c>
      <c r="DR422" s="154" t="str">
        <f aca="false">IF($DD422&gt;$DC$8,"",VLOOKUP($DD422,$DF$9:$DL$508,6,FALSE()))</f>
        <v/>
      </c>
      <c r="DS422" s="76"/>
    </row>
    <row r="423" customFormat="false" ht="15.75" hidden="false" customHeight="false" outlineLevel="0" collapsed="false">
      <c r="A423" s="9"/>
      <c r="B423" s="78"/>
      <c r="C423" s="79"/>
      <c r="D423" s="170"/>
      <c r="E423" s="178"/>
      <c r="F423" s="172"/>
      <c r="G423" s="173"/>
      <c r="H423" s="173"/>
      <c r="I423" s="179"/>
      <c r="J423" s="176"/>
      <c r="K423" s="86"/>
      <c r="L423" s="87"/>
      <c r="M423" s="88"/>
      <c r="N423" s="176"/>
      <c r="O423" s="176"/>
      <c r="P423" s="178"/>
      <c r="Q423" s="176"/>
      <c r="R423" s="176"/>
      <c r="S423" s="86"/>
      <c r="T423" s="88"/>
      <c r="U423" s="88"/>
      <c r="V423" s="176"/>
      <c r="W423" s="176"/>
      <c r="X423" s="178"/>
      <c r="Y423" s="176"/>
      <c r="Z423" s="177"/>
      <c r="AA423" s="176"/>
      <c r="AB423" s="92"/>
      <c r="AC423" s="93"/>
      <c r="AD423" s="93"/>
      <c r="AE423" s="93"/>
      <c r="AF423" s="93" t="str">
        <f aca="false">IF(ISBLANK($C423),"",IF(E423=Constants!$B$2,TRUE(),IF(E423=Constants!$B$3,FALSE(),TRUE())))</f>
        <v/>
      </c>
      <c r="AG423" s="93" t="str">
        <f aca="false">IF(ISBLANK($C423),"",IF(F423=Constants!$B$2,TRUE(),IF(F423=Constants!$B$3,FALSE(),TRUE())))</f>
        <v/>
      </c>
      <c r="AH423" s="93" t="str">
        <f aca="false">IF(ISBLANK($C423),"",IF(G423=Constants!$B$2,TRUE(),IF(G423=Constants!$B$3,FALSE(),TRUE())))</f>
        <v/>
      </c>
      <c r="AI423" s="93" t="str">
        <f aca="false">IF(ISBLANK($C423),"",IF(AND(ISNUMBER(H423),H423&gt;=0),H423,Constants!$B$24))</f>
        <v/>
      </c>
      <c r="AJ423" s="93" t="str">
        <f aca="false">IF(ISBLANK($C423),"",IF(I423=Constants!$B$2,TRUE(),IF(I423=Constants!$B$3,FALSE(),TRUE())))</f>
        <v/>
      </c>
      <c r="AK423" s="93" t="str">
        <f aca="false">IF(ISBLANK($C423),"",IF(J423=Constants!$B$2,TRUE(),IF(J423=Constants!$B$3,FALSE(),TRUE())))</f>
        <v/>
      </c>
      <c r="AL423" s="93" t="str">
        <f aca="false">IF(ISBLANK($C423),"",IF(K423=Constants!$B$4,TRUE(),IF(K423=Constants!$B$5,FALSE(),COUNTA(L423:P423)&gt;0)))</f>
        <v/>
      </c>
      <c r="AM423" s="95" t="str">
        <f aca="false">IF(ISBLANK($C423),"",IF(ISNUMBER(L423),IF(L423&gt;=0,L423,""),""))</f>
        <v/>
      </c>
      <c r="AN423" s="94" t="str">
        <f aca="false">IF(ISBLANK($C423),"",IF(ISNUMBER(M423),IF(M423&gt;=0,M423,""),""))</f>
        <v/>
      </c>
      <c r="AO423" s="94" t="str">
        <f aca="false">IF(ISBLANK($C423),"",IF(N423=Constants!$B$2,TRUE(),IF(N423=Constants!$B$3,FALSE(),TRUE())))</f>
        <v/>
      </c>
      <c r="AP423" s="93" t="str">
        <f aca="false">IF(ISBLANK($C423),"",IF(ISNUMBER(O423),IF(O423&gt;=0,O423,""),""))</f>
        <v/>
      </c>
      <c r="AQ423" s="93" t="str">
        <f aca="false">IF(ISBLANK($C423),"",IF(P423=Constants!$B$2,TRUE(),IF(P423=Constants!$B$3,FALSE(),FALSE())))</f>
        <v/>
      </c>
      <c r="AR423" s="93" t="str">
        <f aca="false">IF(ISBLANK($C423),"",IF(Q423=Constants!$B$2,TRUE(),IF(Q423=Constants!$B$3,FALSE(),TRUE())))</f>
        <v/>
      </c>
      <c r="AS423" s="93" t="str">
        <f aca="false">IF(ISBLANK($C423),"",IF(R423=Constants!$B$2,TRUE(),IF(R423=Constants!$B$3,FALSE(),TRUE())))</f>
        <v/>
      </c>
      <c r="AT423" s="93" t="str">
        <f aca="false">IF(ISBLANK($C423),"",IF(S423=Constants!$B$4,TRUE(),IF(S423=Constants!$B$5,FALSE(),COUNTA(T423:X423)&gt;0)))</f>
        <v/>
      </c>
      <c r="AU423" s="95" t="str">
        <f aca="false">IF(ISBLANK($C423),"",IF(ISNUMBER(T423),IF(T423&gt;=0,T423,""),""))</f>
        <v/>
      </c>
      <c r="AV423" s="94" t="str">
        <f aca="false">IF(ISBLANK($C423),"",IF(ISNUMBER(U423),IF(U423&gt;=0,U423,""),""))</f>
        <v/>
      </c>
      <c r="AW423" s="94" t="str">
        <f aca="false">IF(ISBLANK($C423),"",IF(V423=Constants!$B$2,TRUE(),IF(V423=Constants!$B$3,FALSE(),TRUE())))</f>
        <v/>
      </c>
      <c r="AX423" s="93" t="str">
        <f aca="false">IF(ISBLANK($C423),"",IF(ISNUMBER(W423),IF(W423&gt;=0,W423,""),""))</f>
        <v/>
      </c>
      <c r="AY423" s="93" t="str">
        <f aca="false">IF(ISBLANK($C423),"",IF(X423=Constants!$B$2,TRUE(),IF(X423=Constants!$B$3,FALSE(),FALSE())))</f>
        <v/>
      </c>
      <c r="AZ423" s="93" t="str">
        <f aca="false">IF(ISBLANK($C423),"",MIN(Constants!$B$25,MAX(0,IF(ISNUMBER(Y423),Y423*60,0)+IF(ISNUMBER(Z423),Z423,0))))</f>
        <v/>
      </c>
      <c r="BA423" s="93" t="str">
        <f aca="false">IF(ISBLANK($C423),"",IF(AA423=Constants!$B$2,TRUE(),IF(AA423=Constants!$B$3,FALSE(),FALSE())))</f>
        <v/>
      </c>
      <c r="BB423" s="92" t="str">
        <f aca="false">IF(ISBLANK($C423),"",AND($AL423,OR($AM423="",$AN423="",AND($AO423,$AP423=""))))</f>
        <v/>
      </c>
      <c r="BC423" s="94" t="str">
        <f aca="false">IF($BX423&lt;&gt;Constants!$B$6,"",IF($AL423,Constants!$B$17*$AN423+Constants!$B$18*IF($AO423,$AP423,Constants!$B$19),Constants!$B$20))</f>
        <v/>
      </c>
      <c r="BD423" s="97" t="str">
        <f aca="false">IF($BX423&lt;&gt;Constants!$B$6,"",Constants!$B$21*ABS($AD$9-IF($AL423,$AM423,0)))</f>
        <v/>
      </c>
      <c r="BE423" s="97" t="str">
        <f aca="false">IF($BX423&lt;&gt;Constants!$B$6,"",IF(AND($AL423,$AQ423,$AO423),Constants!$B$22,0))</f>
        <v/>
      </c>
      <c r="BF423" s="97" t="str">
        <f aca="false">IF($BX423&lt;&gt;Constants!$B$6,"",IF($AL423,($AI423-Constants!$B$24)*Constants!$B$23,0))</f>
        <v/>
      </c>
      <c r="BG423" s="97" t="str">
        <f aca="false">IF($BX423&lt;&gt;Constants!$B$6,"",IF($AK423,0,Constants!$B$12)+IF($AJ423,0,Constants!$B$13)+IF($AH423,0,Constants!$B$14))</f>
        <v/>
      </c>
      <c r="BH423" s="98" t="str">
        <f aca="false">IF($BX423&lt;&gt;Constants!$B$6,"",Constants!$B$16+SUM($BC423:$BG423))</f>
        <v/>
      </c>
      <c r="BI423" s="97" t="str">
        <f aca="false">IF($BX423&lt;&gt;Constants!$B$6,"",$BC423)</f>
        <v/>
      </c>
      <c r="BJ423" s="97" t="str">
        <f aca="false">IF($BX423&lt;&gt;Constants!$B$6,"",$BD423)</f>
        <v/>
      </c>
      <c r="BK423" s="99" t="str">
        <f aca="false">IF($BX423&lt;&gt;Constants!$B$6,"",IF($AL423,$AN423,""))</f>
        <v/>
      </c>
      <c r="BL423" s="93" t="str">
        <f aca="false">IF($BX423&lt;&gt;Constants!$B$6,"",IF(OR($BS423&lt;$BH423,AND($BS423=$BH423,OR($BT423&lt;$BI423,AND($BT423=$BI423,OR($BU423&lt;$BJ423,AND($BU423=$BJ423,AND(ISNUMBER($BV423),OR(NOT(ISNUMBER($BK423)),$BV423&lt;$BK423)))))))),"-&gt;","&lt;-"))</f>
        <v/>
      </c>
      <c r="BM423" s="92" t="str">
        <f aca="false">IF(ISBLANK($C423),"",AND($AT423,OR($AU423="",$AV423="",AND($AW423,$AX423=""))))</f>
        <v/>
      </c>
      <c r="BN423" s="94" t="str">
        <f aca="false">IF($BX423&lt;&gt;Constants!$B$6,"",IF($AT423,Constants!$B$17*$AV423+Constants!$B$18*IF($AW423,$AX423,Constants!$B$19),Constants!$B$20))</f>
        <v/>
      </c>
      <c r="BO423" s="97" t="str">
        <f aca="false">IF($BX423&lt;&gt;Constants!$B$6,"",Constants!$B$21*ABS($AD$9-IF($AT423,$AU423,0)))</f>
        <v/>
      </c>
      <c r="BP423" s="97" t="str">
        <f aca="false">IF($BX423&lt;&gt;Constants!$B$6,"",IF(AND($AT423,$AY423,$AW423),Constants!$B$22,0))</f>
        <v/>
      </c>
      <c r="BQ423" s="97" t="str">
        <f aca="false">IF($BX423&lt;&gt;Constants!$B$6,"",IF($AT423,($AI423-Constants!$B$24)*Constants!$B$23,0))</f>
        <v/>
      </c>
      <c r="BR423" s="97" t="str">
        <f aca="false">IF($BX423&lt;&gt;Constants!$B$6,"",IF($AS423,0,Constants!$B$12)+IF($AR423,0,Constants!$B$13)+IF($AH423,0,Constants!$B$14))</f>
        <v/>
      </c>
      <c r="BS423" s="98" t="str">
        <f aca="false">IF($BX423&lt;&gt;Constants!$B$6,"",Constants!$B$16+SUM($BN423:$BR423))</f>
        <v/>
      </c>
      <c r="BT423" s="97" t="str">
        <f aca="false">IF($BX423&lt;&gt;Constants!$B$6,"",$BN423)</f>
        <v/>
      </c>
      <c r="BU423" s="97" t="str">
        <f aca="false">IF($BX423&lt;&gt;Constants!$B$6,"",$BO423)</f>
        <v/>
      </c>
      <c r="BV423" s="99" t="str">
        <f aca="false">IF($BX423&lt;&gt;Constants!$B$6,"",IF($AT423,$AV423,""))</f>
        <v/>
      </c>
      <c r="BW423" s="93" t="str">
        <f aca="false">IF(ISBLANK($C423),"",IF(ISBLANK($D$7),$BW$5,IF(NOT(ISNUMBER($D$7)),$BW$6,"")))</f>
        <v/>
      </c>
      <c r="BX423" s="93" t="str">
        <f aca="false">IF(ISBLANK($C423),"",IF($BA423,Constants!$B$9,IF(COUNTA($E423:$AA423)=0,Constants!$B$8,IF(NOT($AG423),Constants!$B$7,IF(OR($BW423&lt;&gt;"",$BB423,$BM423),Constants!$B$10,Constants!$B$6)))))</f>
        <v/>
      </c>
      <c r="BY423" s="93" t="str">
        <f aca="false">IF(ISBLANK($C423),"",IF($BX423&lt;&gt;Constants!$B$6,$BX423,Constants!$B$11))</f>
        <v/>
      </c>
      <c r="BZ423" s="97" t="str">
        <f aca="false">IF($BX423&lt;&gt;Constants!$B$6,"",IF($BL423="-&gt;",$BS423,$BH423))</f>
        <v/>
      </c>
      <c r="CA423" s="97" t="str">
        <f aca="false">IF($BX423&lt;&gt;Constants!$B$6,"",IF($AF423,0,Constants!$B$15))</f>
        <v/>
      </c>
      <c r="CB423" s="97" t="str">
        <f aca="false">IF($BX423&lt;&gt;Constants!$B$6,"",((Constants!$B$25-$AZ423)-Constants!$B$25)/Constants!$B$26)</f>
        <v/>
      </c>
      <c r="CC423" s="97" t="str">
        <f aca="false">IF(ISBLANK($C423),"",IF($BX423&lt;&gt;Constants!$B$6,$BX423,SUM($BZ423:$CB423)))</f>
        <v/>
      </c>
      <c r="CD423" s="93" t="str">
        <f aca="false">IF(ISBLANK($C423),"",IF($BX423&lt;&gt;Constants!$B$6,$BX423,RANK($CC423,$CC$9:$CC$508,1)))</f>
        <v/>
      </c>
      <c r="CE423" s="97" t="str">
        <f aca="false">IF($BX423&lt;&gt;Constants!$B$6,"",IF($BL423="-&gt;",$BT423,$BI423))</f>
        <v/>
      </c>
      <c r="CF423" s="93" t="str">
        <f aca="false">IF(ISBLANK($C423),"",IF($BX423&lt;&gt;Constants!$B$6,$BX423,IF(ISNUMBER($CE423),RANK($CE423,$CE$9:$CE$508,1),COUNT($CE$9:$CE$508)+1)))</f>
        <v/>
      </c>
      <c r="CG423" s="97" t="str">
        <f aca="false">IF($BX423&lt;&gt;Constants!$B$6,"",IF($BL423="-&gt;",$BU423,$BJ423))</f>
        <v/>
      </c>
      <c r="CH423" s="93" t="str">
        <f aca="false">IF(ISBLANK($C423),"",IF($BX423&lt;&gt;Constants!$B$6,$BX423,IF(ISNUMBER($CG423),RANK($CG423,$CG$9:$CG$508,1),COUNT($CG$9:$CG$508)+1)))</f>
        <v/>
      </c>
      <c r="CI423" s="97" t="str">
        <f aca="false">IF($BX423&lt;&gt;Constants!$B$6,"",IF($BL423="-&gt;",$BV423,$BK423))</f>
        <v/>
      </c>
      <c r="CJ423" s="93" t="str">
        <f aca="false">IF(ISBLANK($C423),"",IF($BX423&lt;&gt;Constants!$B$6,$BX423,IF(ISNUMBER($CI423),RANK($CI423,$CI$9:$CI$508,1),COUNT($CI$9:$CI$508)+1)))</f>
        <v/>
      </c>
      <c r="CK423" s="97" t="str">
        <f aca="false">IF($BX423&lt;&gt;Constants!$B$6,"",$AI423)</f>
        <v/>
      </c>
      <c r="CL423" s="93" t="str">
        <f aca="false">IF(ISBLANK($C423),"",IF($BX423&lt;&gt;Constants!$B$6,$BX423,IF(ISNUMBER($CK423),RANK($CK423,$CK$9:$CK$508,1),COUNT($CK$9:$CK$508)+1)))</f>
        <v/>
      </c>
      <c r="CM423" s="93" t="str">
        <f aca="false">IF(ISBLANK($C423),"",IF($BX423&lt;&gt;Constants!$B$6,$BX423,COUNTIFS($CD$9:$CD$508,"&lt;"&amp;$CD423)+COUNTIFS($CD$9:$CD$508,$CD423,$CF$9:$CF$508,"&lt;"&amp;$CF423)+COUNTIFS($CD$9:$CD$508,$CD423,$CF$9:$CF$508,$CF423,$CH$9:$CH$508,"&lt;"&amp;$CH423)+COUNTIFS($CD$9:$CD$508,$CD423,$CF$9:$CF$508,$CF423,$CH$9:$CH$508,$CH423,$CJ$9:$CJ$508,"&lt;"&amp;$CJ423)+COUNTIFS($CD$9:$CD$508,$CD423,$CF$9:$CF$508,$CF423,$CH$9:$CH$508,$CH423,$CJ$9:$CJ$508,$CJ423,$CL$9:$CL$508,"&lt;"&amp;$CL423)+1))</f>
        <v/>
      </c>
      <c r="CN423" s="93" t="str">
        <f aca="false">IF(ISBLANK($C423),"",IF($BX423&lt;&gt;Constants!$B$6,$BX423,$CD423-$CM423))</f>
        <v/>
      </c>
      <c r="CO423" s="100"/>
      <c r="CP423" s="101"/>
      <c r="CQ423" s="102" t="str">
        <f aca="false">IF(ISBLANK($C423),"",IF($BX423=Constants!$B$10,$BW423,""))</f>
        <v/>
      </c>
      <c r="CR423" s="101" t="str">
        <f aca="false">IF(ISBLANK($C423),"",IF($BX423&lt;&gt;Constants!$B$6,"",IF($BL423="-&gt;",2,1)))</f>
        <v/>
      </c>
      <c r="CS423" s="103" t="str">
        <f aca="false">IF(ISBLANK($C423),"",IF($BX423&lt;&gt;Constants!$B$6,"",IF($BL423="-&gt;",$BN423,$BC423)))</f>
        <v/>
      </c>
      <c r="CT423" s="103" t="str">
        <f aca="false">IF(ISBLANK($C423),"",IF($BX423&lt;&gt;Constants!$B$6,"",IF($BL423="-&gt;",$BO423,$BD423)))</f>
        <v/>
      </c>
      <c r="CU423" s="103" t="str">
        <f aca="false">IF(ISBLANK($C423),"",IF($BX423&lt;&gt;Constants!$B$6,"",IF($BL423="-&gt;",$BP423+$BQ423,$BE423+$BF423)+$CB423))</f>
        <v/>
      </c>
      <c r="CV423" s="103" t="str">
        <f aca="false">IF(ISBLANK($C423),"",IF($BX423&lt;&gt;Constants!$B$6,"",IF($BL423="-&gt;",$BR423,$BG423)+$CA423))</f>
        <v/>
      </c>
      <c r="CW423" s="104" t="str">
        <f aca="false">IF(ISBLANK($C423),"",IF($BX423&lt;&gt;Constants!$B$6,$BX423,$CC423))</f>
        <v/>
      </c>
      <c r="CX423" s="105" t="str">
        <f aca="false">IF(ISBLANK($C423),"",$BY423)</f>
        <v/>
      </c>
      <c r="CY423" s="106" t="str">
        <f aca="false">IF(ISBLANK($C423),"",$CN423)</f>
        <v/>
      </c>
      <c r="CZ423" s="106" t="str">
        <f aca="false">IF(ISBLANK($C423),"",$CM423)</f>
        <v/>
      </c>
      <c r="DA423" s="107" t="str">
        <f aca="false">IF(ISBLANK($C423),"",IFERROR(_xlfn.SWITCH($CZ423,Constants!$B$9,COUNTA($C$9:$C$508)+2,Constants!$B$8,COUNTA($C$9:$C$508)+1,Constants!$B$7,COUNTA($C$9:$C$508)),$CZ423))</f>
        <v/>
      </c>
      <c r="DB423" s="9"/>
      <c r="DC423" s="108" t="n">
        <f aca="false">IF(OR(ISNUMBER($CZ423),$CZ423=Constants!$B$9,$CZ423=Constants!$B$7,$CZ423=Constants!$B$8),1,0)</f>
        <v>0</v>
      </c>
      <c r="DD423" s="108" t="n">
        <v>415</v>
      </c>
      <c r="DE423" s="108" t="str">
        <f aca="false">IF(ISBLANK($C423),"",IF(ISNUMBER($DA423),$DA423+ROW($B423)/1000,""))</f>
        <v/>
      </c>
      <c r="DF423" s="108" t="str">
        <f aca="false">IF(ISNUMBER($DE423),RANK($DE423,$DE$9:$DE$508,1),"")</f>
        <v/>
      </c>
      <c r="DG423" s="108" t="str">
        <f aca="false">IF(ISBLANK($C423),"",$B423)</f>
        <v/>
      </c>
      <c r="DH423" s="108" t="str">
        <f aca="false">IF(ISBLANK($C423),"",$C423)</f>
        <v/>
      </c>
      <c r="DI423" s="108" t="str">
        <f aca="false">IF(ISBLANK($C423),"",$D423)</f>
        <v/>
      </c>
      <c r="DJ423" s="109" t="str">
        <f aca="false">$CX423</f>
        <v/>
      </c>
      <c r="DK423" s="110" t="str">
        <f aca="false">$CW423</f>
        <v/>
      </c>
      <c r="DL423" s="108" t="str">
        <f aca="false">IF(ISBLANK($C423),"",$CZ423)</f>
        <v/>
      </c>
      <c r="DM423" s="111" t="str">
        <f aca="false">IF($DD423&gt;$DC$8,"",VLOOKUP($DD423,$DF$9:$DL$508,7,FALSE()))</f>
        <v/>
      </c>
      <c r="DN423" s="112" t="str">
        <f aca="false">IF($DD423&gt;$DC$8,"",VLOOKUP($DD423,$DF$9:$DL$508,2,FALSE()))</f>
        <v/>
      </c>
      <c r="DO423" s="112" t="str">
        <f aca="false">IF($DD423&gt;$DC$8,"",VLOOKUP($DD423,$DF$9:$DL$508,3,FALSE()))</f>
        <v/>
      </c>
      <c r="DP423" s="112" t="str">
        <f aca="false">IF($DD423&gt;$DC$8,"",VLOOKUP($DD423,$DF$9:$DL$508,4,FALSE()))</f>
        <v/>
      </c>
      <c r="DQ423" s="112" t="str">
        <f aca="false">IF($DD423&gt;$DC$8,"",VLOOKUP($DD423,$DF$9:$DL$508,5,FALSE()))</f>
        <v/>
      </c>
      <c r="DR423" s="113" t="str">
        <f aca="false">IF($DD423&gt;$DC$8,"",VLOOKUP($DD423,$DF$9:$DL$508,6,FALSE()))</f>
        <v/>
      </c>
      <c r="DS423" s="76"/>
    </row>
    <row r="424" customFormat="false" ht="15.75" hidden="false" customHeight="false" outlineLevel="0" collapsed="false">
      <c r="A424" s="9"/>
      <c r="B424" s="78"/>
      <c r="C424" s="79"/>
      <c r="D424" s="170"/>
      <c r="E424" s="178"/>
      <c r="F424" s="172"/>
      <c r="G424" s="173"/>
      <c r="H424" s="173"/>
      <c r="I424" s="179"/>
      <c r="J424" s="176"/>
      <c r="K424" s="86"/>
      <c r="L424" s="87"/>
      <c r="M424" s="88"/>
      <c r="N424" s="176"/>
      <c r="O424" s="176"/>
      <c r="P424" s="178"/>
      <c r="Q424" s="176"/>
      <c r="R424" s="176"/>
      <c r="S424" s="86"/>
      <c r="T424" s="88"/>
      <c r="U424" s="88"/>
      <c r="V424" s="176"/>
      <c r="W424" s="176"/>
      <c r="X424" s="178"/>
      <c r="Y424" s="176"/>
      <c r="Z424" s="177"/>
      <c r="AA424" s="176"/>
      <c r="AB424" s="92"/>
      <c r="AC424" s="93"/>
      <c r="AD424" s="93"/>
      <c r="AE424" s="93"/>
      <c r="AF424" s="93" t="str">
        <f aca="false">IF(ISBLANK($C424),"",IF(E424=Constants!$B$2,TRUE(),IF(E424=Constants!$B$3,FALSE(),TRUE())))</f>
        <v/>
      </c>
      <c r="AG424" s="93" t="str">
        <f aca="false">IF(ISBLANK($C424),"",IF(F424=Constants!$B$2,TRUE(),IF(F424=Constants!$B$3,FALSE(),TRUE())))</f>
        <v/>
      </c>
      <c r="AH424" s="93" t="str">
        <f aca="false">IF(ISBLANK($C424),"",IF(G424=Constants!$B$2,TRUE(),IF(G424=Constants!$B$3,FALSE(),TRUE())))</f>
        <v/>
      </c>
      <c r="AI424" s="93" t="str">
        <f aca="false">IF(ISBLANK($C424),"",IF(AND(ISNUMBER(H424),H424&gt;=0),H424,Constants!$B$24))</f>
        <v/>
      </c>
      <c r="AJ424" s="93" t="str">
        <f aca="false">IF(ISBLANK($C424),"",IF(I424=Constants!$B$2,TRUE(),IF(I424=Constants!$B$3,FALSE(),TRUE())))</f>
        <v/>
      </c>
      <c r="AK424" s="93" t="str">
        <f aca="false">IF(ISBLANK($C424),"",IF(J424=Constants!$B$2,TRUE(),IF(J424=Constants!$B$3,FALSE(),TRUE())))</f>
        <v/>
      </c>
      <c r="AL424" s="93" t="str">
        <f aca="false">IF(ISBLANK($C424),"",IF(K424=Constants!$B$4,TRUE(),IF(K424=Constants!$B$5,FALSE(),COUNTA(L424:P424)&gt;0)))</f>
        <v/>
      </c>
      <c r="AM424" s="95" t="str">
        <f aca="false">IF(ISBLANK($C424),"",IF(ISNUMBER(L424),IF(L424&gt;=0,L424,""),""))</f>
        <v/>
      </c>
      <c r="AN424" s="94" t="str">
        <f aca="false">IF(ISBLANK($C424),"",IF(ISNUMBER(M424),IF(M424&gt;=0,M424,""),""))</f>
        <v/>
      </c>
      <c r="AO424" s="94" t="str">
        <f aca="false">IF(ISBLANK($C424),"",IF(N424=Constants!$B$2,TRUE(),IF(N424=Constants!$B$3,FALSE(),TRUE())))</f>
        <v/>
      </c>
      <c r="AP424" s="93" t="str">
        <f aca="false">IF(ISBLANK($C424),"",IF(ISNUMBER(O424),IF(O424&gt;=0,O424,""),""))</f>
        <v/>
      </c>
      <c r="AQ424" s="93" t="str">
        <f aca="false">IF(ISBLANK($C424),"",IF(P424=Constants!$B$2,TRUE(),IF(P424=Constants!$B$3,FALSE(),FALSE())))</f>
        <v/>
      </c>
      <c r="AR424" s="93" t="str">
        <f aca="false">IF(ISBLANK($C424),"",IF(Q424=Constants!$B$2,TRUE(),IF(Q424=Constants!$B$3,FALSE(),TRUE())))</f>
        <v/>
      </c>
      <c r="AS424" s="93" t="str">
        <f aca="false">IF(ISBLANK($C424),"",IF(R424=Constants!$B$2,TRUE(),IF(R424=Constants!$B$3,FALSE(),TRUE())))</f>
        <v/>
      </c>
      <c r="AT424" s="93" t="str">
        <f aca="false">IF(ISBLANK($C424),"",IF(S424=Constants!$B$4,TRUE(),IF(S424=Constants!$B$5,FALSE(),COUNTA(T424:X424)&gt;0)))</f>
        <v/>
      </c>
      <c r="AU424" s="95" t="str">
        <f aca="false">IF(ISBLANK($C424),"",IF(ISNUMBER(T424),IF(T424&gt;=0,T424,""),""))</f>
        <v/>
      </c>
      <c r="AV424" s="94" t="str">
        <f aca="false">IF(ISBLANK($C424),"",IF(ISNUMBER(U424),IF(U424&gt;=0,U424,""),""))</f>
        <v/>
      </c>
      <c r="AW424" s="94" t="str">
        <f aca="false">IF(ISBLANK($C424),"",IF(V424=Constants!$B$2,TRUE(),IF(V424=Constants!$B$3,FALSE(),TRUE())))</f>
        <v/>
      </c>
      <c r="AX424" s="93" t="str">
        <f aca="false">IF(ISBLANK($C424),"",IF(ISNUMBER(W424),IF(W424&gt;=0,W424,""),""))</f>
        <v/>
      </c>
      <c r="AY424" s="93" t="str">
        <f aca="false">IF(ISBLANK($C424),"",IF(X424=Constants!$B$2,TRUE(),IF(X424=Constants!$B$3,FALSE(),FALSE())))</f>
        <v/>
      </c>
      <c r="AZ424" s="93" t="str">
        <f aca="false">IF(ISBLANK($C424),"",MIN(Constants!$B$25,MAX(0,IF(ISNUMBER(Y424),Y424*60,0)+IF(ISNUMBER(Z424),Z424,0))))</f>
        <v/>
      </c>
      <c r="BA424" s="93" t="str">
        <f aca="false">IF(ISBLANK($C424),"",IF(AA424=Constants!$B$2,TRUE(),IF(AA424=Constants!$B$3,FALSE(),FALSE())))</f>
        <v/>
      </c>
      <c r="BB424" s="92" t="str">
        <f aca="false">IF(ISBLANK($C424),"",AND($AL424,OR($AM424="",$AN424="",AND($AO424,$AP424=""))))</f>
        <v/>
      </c>
      <c r="BC424" s="94" t="str">
        <f aca="false">IF($BX424&lt;&gt;Constants!$B$6,"",IF($AL424,Constants!$B$17*$AN424+Constants!$B$18*IF($AO424,$AP424,Constants!$B$19),Constants!$B$20))</f>
        <v/>
      </c>
      <c r="BD424" s="97" t="str">
        <f aca="false">IF($BX424&lt;&gt;Constants!$B$6,"",Constants!$B$21*ABS($AD$9-IF($AL424,$AM424,0)))</f>
        <v/>
      </c>
      <c r="BE424" s="97" t="str">
        <f aca="false">IF($BX424&lt;&gt;Constants!$B$6,"",IF(AND($AL424,$AQ424,$AO424),Constants!$B$22,0))</f>
        <v/>
      </c>
      <c r="BF424" s="97" t="str">
        <f aca="false">IF($BX424&lt;&gt;Constants!$B$6,"",IF($AL424,($AI424-Constants!$B$24)*Constants!$B$23,0))</f>
        <v/>
      </c>
      <c r="BG424" s="97" t="str">
        <f aca="false">IF($BX424&lt;&gt;Constants!$B$6,"",IF($AK424,0,Constants!$B$12)+IF($AJ424,0,Constants!$B$13)+IF($AH424,0,Constants!$B$14))</f>
        <v/>
      </c>
      <c r="BH424" s="98" t="str">
        <f aca="false">IF($BX424&lt;&gt;Constants!$B$6,"",Constants!$B$16+SUM($BC424:$BG424))</f>
        <v/>
      </c>
      <c r="BI424" s="97" t="str">
        <f aca="false">IF($BX424&lt;&gt;Constants!$B$6,"",$BC424)</f>
        <v/>
      </c>
      <c r="BJ424" s="97" t="str">
        <f aca="false">IF($BX424&lt;&gt;Constants!$B$6,"",$BD424)</f>
        <v/>
      </c>
      <c r="BK424" s="99" t="str">
        <f aca="false">IF($BX424&lt;&gt;Constants!$B$6,"",IF($AL424,$AN424,""))</f>
        <v/>
      </c>
      <c r="BL424" s="93" t="str">
        <f aca="false">IF($BX424&lt;&gt;Constants!$B$6,"",IF(OR($BS424&lt;$BH424,AND($BS424=$BH424,OR($BT424&lt;$BI424,AND($BT424=$BI424,OR($BU424&lt;$BJ424,AND($BU424=$BJ424,AND(ISNUMBER($BV424),OR(NOT(ISNUMBER($BK424)),$BV424&lt;$BK424)))))))),"-&gt;","&lt;-"))</f>
        <v/>
      </c>
      <c r="BM424" s="92" t="str">
        <f aca="false">IF(ISBLANK($C424),"",AND($AT424,OR($AU424="",$AV424="",AND($AW424,$AX424=""))))</f>
        <v/>
      </c>
      <c r="BN424" s="94" t="str">
        <f aca="false">IF($BX424&lt;&gt;Constants!$B$6,"",IF($AT424,Constants!$B$17*$AV424+Constants!$B$18*IF($AW424,$AX424,Constants!$B$19),Constants!$B$20))</f>
        <v/>
      </c>
      <c r="BO424" s="97" t="str">
        <f aca="false">IF($BX424&lt;&gt;Constants!$B$6,"",Constants!$B$21*ABS($AD$9-IF($AT424,$AU424,0)))</f>
        <v/>
      </c>
      <c r="BP424" s="97" t="str">
        <f aca="false">IF($BX424&lt;&gt;Constants!$B$6,"",IF(AND($AT424,$AY424,$AW424),Constants!$B$22,0))</f>
        <v/>
      </c>
      <c r="BQ424" s="97" t="str">
        <f aca="false">IF($BX424&lt;&gt;Constants!$B$6,"",IF($AT424,($AI424-Constants!$B$24)*Constants!$B$23,0))</f>
        <v/>
      </c>
      <c r="BR424" s="97" t="str">
        <f aca="false">IF($BX424&lt;&gt;Constants!$B$6,"",IF($AS424,0,Constants!$B$12)+IF($AR424,0,Constants!$B$13)+IF($AH424,0,Constants!$B$14))</f>
        <v/>
      </c>
      <c r="BS424" s="98" t="str">
        <f aca="false">IF($BX424&lt;&gt;Constants!$B$6,"",Constants!$B$16+SUM($BN424:$BR424))</f>
        <v/>
      </c>
      <c r="BT424" s="97" t="str">
        <f aca="false">IF($BX424&lt;&gt;Constants!$B$6,"",$BN424)</f>
        <v/>
      </c>
      <c r="BU424" s="97" t="str">
        <f aca="false">IF($BX424&lt;&gt;Constants!$B$6,"",$BO424)</f>
        <v/>
      </c>
      <c r="BV424" s="99" t="str">
        <f aca="false">IF($BX424&lt;&gt;Constants!$B$6,"",IF($AT424,$AV424,""))</f>
        <v/>
      </c>
      <c r="BW424" s="93" t="str">
        <f aca="false">IF(ISBLANK($C424),"",IF(ISBLANK($D$7),$BW$5,IF(NOT(ISNUMBER($D$7)),$BW$6,"")))</f>
        <v/>
      </c>
      <c r="BX424" s="93" t="str">
        <f aca="false">IF(ISBLANK($C424),"",IF($BA424,Constants!$B$9,IF(COUNTA($E424:$AA424)=0,Constants!$B$8,IF(NOT($AG424),Constants!$B$7,IF(OR($BW424&lt;&gt;"",$BB424,$BM424),Constants!$B$10,Constants!$B$6)))))</f>
        <v/>
      </c>
      <c r="BY424" s="93" t="str">
        <f aca="false">IF(ISBLANK($C424),"",IF($BX424&lt;&gt;Constants!$B$6,$BX424,Constants!$B$11))</f>
        <v/>
      </c>
      <c r="BZ424" s="97" t="str">
        <f aca="false">IF($BX424&lt;&gt;Constants!$B$6,"",IF($BL424="-&gt;",$BS424,$BH424))</f>
        <v/>
      </c>
      <c r="CA424" s="97" t="str">
        <f aca="false">IF($BX424&lt;&gt;Constants!$B$6,"",IF($AF424,0,Constants!$B$15))</f>
        <v/>
      </c>
      <c r="CB424" s="97" t="str">
        <f aca="false">IF($BX424&lt;&gt;Constants!$B$6,"",((Constants!$B$25-$AZ424)-Constants!$B$25)/Constants!$B$26)</f>
        <v/>
      </c>
      <c r="CC424" s="97" t="str">
        <f aca="false">IF(ISBLANK($C424),"",IF($BX424&lt;&gt;Constants!$B$6,$BX424,SUM($BZ424:$CB424)))</f>
        <v/>
      </c>
      <c r="CD424" s="93" t="str">
        <f aca="false">IF(ISBLANK($C424),"",IF($BX424&lt;&gt;Constants!$B$6,$BX424,RANK($CC424,$CC$9:$CC$508,1)))</f>
        <v/>
      </c>
      <c r="CE424" s="97" t="str">
        <f aca="false">IF($BX424&lt;&gt;Constants!$B$6,"",IF($BL424="-&gt;",$BT424,$BI424))</f>
        <v/>
      </c>
      <c r="CF424" s="93" t="str">
        <f aca="false">IF(ISBLANK($C424),"",IF($BX424&lt;&gt;Constants!$B$6,$BX424,IF(ISNUMBER($CE424),RANK($CE424,$CE$9:$CE$508,1),COUNT($CE$9:$CE$508)+1)))</f>
        <v/>
      </c>
      <c r="CG424" s="97" t="str">
        <f aca="false">IF($BX424&lt;&gt;Constants!$B$6,"",IF($BL424="-&gt;",$BU424,$BJ424))</f>
        <v/>
      </c>
      <c r="CH424" s="93" t="str">
        <f aca="false">IF(ISBLANK($C424),"",IF($BX424&lt;&gt;Constants!$B$6,$BX424,IF(ISNUMBER($CG424),RANK($CG424,$CG$9:$CG$508,1),COUNT($CG$9:$CG$508)+1)))</f>
        <v/>
      </c>
      <c r="CI424" s="97" t="str">
        <f aca="false">IF($BX424&lt;&gt;Constants!$B$6,"",IF($BL424="-&gt;",$BV424,$BK424))</f>
        <v/>
      </c>
      <c r="CJ424" s="93" t="str">
        <f aca="false">IF(ISBLANK($C424),"",IF($BX424&lt;&gt;Constants!$B$6,$BX424,IF(ISNUMBER($CI424),RANK($CI424,$CI$9:$CI$508,1),COUNT($CI$9:$CI$508)+1)))</f>
        <v/>
      </c>
      <c r="CK424" s="97" t="str">
        <f aca="false">IF($BX424&lt;&gt;Constants!$B$6,"",$AI424)</f>
        <v/>
      </c>
      <c r="CL424" s="93" t="str">
        <f aca="false">IF(ISBLANK($C424),"",IF($BX424&lt;&gt;Constants!$B$6,$BX424,IF(ISNUMBER($CK424),RANK($CK424,$CK$9:$CK$508,1),COUNT($CK$9:$CK$508)+1)))</f>
        <v/>
      </c>
      <c r="CM424" s="93" t="str">
        <f aca="false">IF(ISBLANK($C424),"",IF($BX424&lt;&gt;Constants!$B$6,$BX424,COUNTIFS($CD$9:$CD$508,"&lt;"&amp;$CD424)+COUNTIFS($CD$9:$CD$508,$CD424,$CF$9:$CF$508,"&lt;"&amp;$CF424)+COUNTIFS($CD$9:$CD$508,$CD424,$CF$9:$CF$508,$CF424,$CH$9:$CH$508,"&lt;"&amp;$CH424)+COUNTIFS($CD$9:$CD$508,$CD424,$CF$9:$CF$508,$CF424,$CH$9:$CH$508,$CH424,$CJ$9:$CJ$508,"&lt;"&amp;$CJ424)+COUNTIFS($CD$9:$CD$508,$CD424,$CF$9:$CF$508,$CF424,$CH$9:$CH$508,$CH424,$CJ$9:$CJ$508,$CJ424,$CL$9:$CL$508,"&lt;"&amp;$CL424)+1))</f>
        <v/>
      </c>
      <c r="CN424" s="93" t="str">
        <f aca="false">IF(ISBLANK($C424),"",IF($BX424&lt;&gt;Constants!$B$6,$BX424,$CD424-$CM424))</f>
        <v/>
      </c>
      <c r="CO424" s="100"/>
      <c r="CP424" s="101"/>
      <c r="CQ424" s="102" t="str">
        <f aca="false">IF(ISBLANK($C424),"",IF($BX424=Constants!$B$10,$BW424,""))</f>
        <v/>
      </c>
      <c r="CR424" s="101" t="str">
        <f aca="false">IF(ISBLANK($C424),"",IF($BX424&lt;&gt;Constants!$B$6,"",IF($BL424="-&gt;",2,1)))</f>
        <v/>
      </c>
      <c r="CS424" s="103" t="str">
        <f aca="false">IF(ISBLANK($C424),"",IF($BX424&lt;&gt;Constants!$B$6,"",IF($BL424="-&gt;",$BN424,$BC424)))</f>
        <v/>
      </c>
      <c r="CT424" s="103" t="str">
        <f aca="false">IF(ISBLANK($C424),"",IF($BX424&lt;&gt;Constants!$B$6,"",IF($BL424="-&gt;",$BO424,$BD424)))</f>
        <v/>
      </c>
      <c r="CU424" s="103" t="str">
        <f aca="false">IF(ISBLANK($C424),"",IF($BX424&lt;&gt;Constants!$B$6,"",IF($BL424="-&gt;",$BP424+$BQ424,$BE424+$BF424)+$CB424))</f>
        <v/>
      </c>
      <c r="CV424" s="103" t="str">
        <f aca="false">IF(ISBLANK($C424),"",IF($BX424&lt;&gt;Constants!$B$6,"",IF($BL424="-&gt;",$BR424,$BG424)+$CA424))</f>
        <v/>
      </c>
      <c r="CW424" s="104" t="str">
        <f aca="false">IF(ISBLANK($C424),"",IF($BX424&lt;&gt;Constants!$B$6,$BX424,$CC424))</f>
        <v/>
      </c>
      <c r="CX424" s="105" t="str">
        <f aca="false">IF(ISBLANK($C424),"",$BY424)</f>
        <v/>
      </c>
      <c r="CY424" s="106" t="str">
        <f aca="false">IF(ISBLANK($C424),"",$CN424)</f>
        <v/>
      </c>
      <c r="CZ424" s="106" t="str">
        <f aca="false">IF(ISBLANK($C424),"",$CM424)</f>
        <v/>
      </c>
      <c r="DA424" s="107" t="str">
        <f aca="false">IF(ISBLANK($C424),"",IFERROR(_xlfn.SWITCH($CZ424,Constants!$B$9,COUNTA($C$9:$C$508)+2,Constants!$B$8,COUNTA($C$9:$C$508)+1,Constants!$B$7,COUNTA($C$9:$C$508)),$CZ424))</f>
        <v/>
      </c>
      <c r="DB424" s="9"/>
      <c r="DC424" s="108" t="n">
        <f aca="false">IF(OR(ISNUMBER($CZ424),$CZ424=Constants!$B$9,$CZ424=Constants!$B$7,$CZ424=Constants!$B$8),1,0)</f>
        <v>0</v>
      </c>
      <c r="DD424" s="108" t="n">
        <v>416</v>
      </c>
      <c r="DE424" s="108" t="str">
        <f aca="false">IF(ISBLANK($C424),"",IF(ISNUMBER($DA424),$DA424+ROW($B424)/1000,""))</f>
        <v/>
      </c>
      <c r="DF424" s="108" t="str">
        <f aca="false">IF(ISNUMBER($DE424),RANK($DE424,$DE$9:$DE$508,1),"")</f>
        <v/>
      </c>
      <c r="DG424" s="108" t="str">
        <f aca="false">IF(ISBLANK($C424),"",$B424)</f>
        <v/>
      </c>
      <c r="DH424" s="108" t="str">
        <f aca="false">IF(ISBLANK($C424),"",$C424)</f>
        <v/>
      </c>
      <c r="DI424" s="108" t="str">
        <f aca="false">IF(ISBLANK($C424),"",$D424)</f>
        <v/>
      </c>
      <c r="DJ424" s="109" t="str">
        <f aca="false">$CX424</f>
        <v/>
      </c>
      <c r="DK424" s="110" t="str">
        <f aca="false">$CW424</f>
        <v/>
      </c>
      <c r="DL424" s="108" t="str">
        <f aca="false">IF(ISBLANK($C424),"",$CZ424)</f>
        <v/>
      </c>
      <c r="DM424" s="111" t="str">
        <f aca="false">IF($DD424&gt;$DC$8,"",VLOOKUP($DD424,$DF$9:$DL$508,7,FALSE()))</f>
        <v/>
      </c>
      <c r="DN424" s="112" t="str">
        <f aca="false">IF($DD424&gt;$DC$8,"",VLOOKUP($DD424,$DF$9:$DL$508,2,FALSE()))</f>
        <v/>
      </c>
      <c r="DO424" s="112" t="str">
        <f aca="false">IF($DD424&gt;$DC$8,"",VLOOKUP($DD424,$DF$9:$DL$508,3,FALSE()))</f>
        <v/>
      </c>
      <c r="DP424" s="112" t="str">
        <f aca="false">IF($DD424&gt;$DC$8,"",VLOOKUP($DD424,$DF$9:$DL$508,4,FALSE()))</f>
        <v/>
      </c>
      <c r="DQ424" s="112" t="str">
        <f aca="false">IF($DD424&gt;$DC$8,"",VLOOKUP($DD424,$DF$9:$DL$508,5,FALSE()))</f>
        <v/>
      </c>
      <c r="DR424" s="113" t="str">
        <f aca="false">IF($DD424&gt;$DC$8,"",VLOOKUP($DD424,$DF$9:$DL$508,6,FALSE()))</f>
        <v/>
      </c>
      <c r="DS424" s="76"/>
    </row>
    <row r="425" customFormat="false" ht="15.75" hidden="false" customHeight="false" outlineLevel="0" collapsed="false">
      <c r="A425" s="9"/>
      <c r="B425" s="78"/>
      <c r="C425" s="79"/>
      <c r="D425" s="170"/>
      <c r="E425" s="178"/>
      <c r="F425" s="172"/>
      <c r="G425" s="173"/>
      <c r="H425" s="173"/>
      <c r="I425" s="179"/>
      <c r="J425" s="176"/>
      <c r="K425" s="86"/>
      <c r="L425" s="87"/>
      <c r="M425" s="88"/>
      <c r="N425" s="176"/>
      <c r="O425" s="176"/>
      <c r="P425" s="178"/>
      <c r="Q425" s="176"/>
      <c r="R425" s="176"/>
      <c r="S425" s="86"/>
      <c r="T425" s="88"/>
      <c r="U425" s="88"/>
      <c r="V425" s="176"/>
      <c r="W425" s="176"/>
      <c r="X425" s="178"/>
      <c r="Y425" s="176"/>
      <c r="Z425" s="177"/>
      <c r="AA425" s="176"/>
      <c r="AB425" s="92"/>
      <c r="AC425" s="93"/>
      <c r="AD425" s="93"/>
      <c r="AE425" s="93"/>
      <c r="AF425" s="93" t="str">
        <f aca="false">IF(ISBLANK($C425),"",IF(E425=Constants!$B$2,TRUE(),IF(E425=Constants!$B$3,FALSE(),TRUE())))</f>
        <v/>
      </c>
      <c r="AG425" s="93" t="str">
        <f aca="false">IF(ISBLANK($C425),"",IF(F425=Constants!$B$2,TRUE(),IF(F425=Constants!$B$3,FALSE(),TRUE())))</f>
        <v/>
      </c>
      <c r="AH425" s="93" t="str">
        <f aca="false">IF(ISBLANK($C425),"",IF(G425=Constants!$B$2,TRUE(),IF(G425=Constants!$B$3,FALSE(),TRUE())))</f>
        <v/>
      </c>
      <c r="AI425" s="93" t="str">
        <f aca="false">IF(ISBLANK($C425),"",IF(AND(ISNUMBER(H425),H425&gt;=0),H425,Constants!$B$24))</f>
        <v/>
      </c>
      <c r="AJ425" s="93" t="str">
        <f aca="false">IF(ISBLANK($C425),"",IF(I425=Constants!$B$2,TRUE(),IF(I425=Constants!$B$3,FALSE(),TRUE())))</f>
        <v/>
      </c>
      <c r="AK425" s="93" t="str">
        <f aca="false">IF(ISBLANK($C425),"",IF(J425=Constants!$B$2,TRUE(),IF(J425=Constants!$B$3,FALSE(),TRUE())))</f>
        <v/>
      </c>
      <c r="AL425" s="93" t="str">
        <f aca="false">IF(ISBLANK($C425),"",IF(K425=Constants!$B$4,TRUE(),IF(K425=Constants!$B$5,FALSE(),COUNTA(L425:P425)&gt;0)))</f>
        <v/>
      </c>
      <c r="AM425" s="95" t="str">
        <f aca="false">IF(ISBLANK($C425),"",IF(ISNUMBER(L425),IF(L425&gt;=0,L425,""),""))</f>
        <v/>
      </c>
      <c r="AN425" s="94" t="str">
        <f aca="false">IF(ISBLANK($C425),"",IF(ISNUMBER(M425),IF(M425&gt;=0,M425,""),""))</f>
        <v/>
      </c>
      <c r="AO425" s="94" t="str">
        <f aca="false">IF(ISBLANK($C425),"",IF(N425=Constants!$B$2,TRUE(),IF(N425=Constants!$B$3,FALSE(),TRUE())))</f>
        <v/>
      </c>
      <c r="AP425" s="93" t="str">
        <f aca="false">IF(ISBLANK($C425),"",IF(ISNUMBER(O425),IF(O425&gt;=0,O425,""),""))</f>
        <v/>
      </c>
      <c r="AQ425" s="93" t="str">
        <f aca="false">IF(ISBLANK($C425),"",IF(P425=Constants!$B$2,TRUE(),IF(P425=Constants!$B$3,FALSE(),FALSE())))</f>
        <v/>
      </c>
      <c r="AR425" s="93" t="str">
        <f aca="false">IF(ISBLANK($C425),"",IF(Q425=Constants!$B$2,TRUE(),IF(Q425=Constants!$B$3,FALSE(),TRUE())))</f>
        <v/>
      </c>
      <c r="AS425" s="93" t="str">
        <f aca="false">IF(ISBLANK($C425),"",IF(R425=Constants!$B$2,TRUE(),IF(R425=Constants!$B$3,FALSE(),TRUE())))</f>
        <v/>
      </c>
      <c r="AT425" s="93" t="str">
        <f aca="false">IF(ISBLANK($C425),"",IF(S425=Constants!$B$4,TRUE(),IF(S425=Constants!$B$5,FALSE(),COUNTA(T425:X425)&gt;0)))</f>
        <v/>
      </c>
      <c r="AU425" s="95" t="str">
        <f aca="false">IF(ISBLANK($C425),"",IF(ISNUMBER(T425),IF(T425&gt;=0,T425,""),""))</f>
        <v/>
      </c>
      <c r="AV425" s="94" t="str">
        <f aca="false">IF(ISBLANK($C425),"",IF(ISNUMBER(U425),IF(U425&gt;=0,U425,""),""))</f>
        <v/>
      </c>
      <c r="AW425" s="94" t="str">
        <f aca="false">IF(ISBLANK($C425),"",IF(V425=Constants!$B$2,TRUE(),IF(V425=Constants!$B$3,FALSE(),TRUE())))</f>
        <v/>
      </c>
      <c r="AX425" s="93" t="str">
        <f aca="false">IF(ISBLANK($C425),"",IF(ISNUMBER(W425),IF(W425&gt;=0,W425,""),""))</f>
        <v/>
      </c>
      <c r="AY425" s="93" t="str">
        <f aca="false">IF(ISBLANK($C425),"",IF(X425=Constants!$B$2,TRUE(),IF(X425=Constants!$B$3,FALSE(),FALSE())))</f>
        <v/>
      </c>
      <c r="AZ425" s="93" t="str">
        <f aca="false">IF(ISBLANK($C425),"",MIN(Constants!$B$25,MAX(0,IF(ISNUMBER(Y425),Y425*60,0)+IF(ISNUMBER(Z425),Z425,0))))</f>
        <v/>
      </c>
      <c r="BA425" s="93" t="str">
        <f aca="false">IF(ISBLANK($C425),"",IF(AA425=Constants!$B$2,TRUE(),IF(AA425=Constants!$B$3,FALSE(),FALSE())))</f>
        <v/>
      </c>
      <c r="BB425" s="92" t="str">
        <f aca="false">IF(ISBLANK($C425),"",AND($AL425,OR($AM425="",$AN425="",AND($AO425,$AP425=""))))</f>
        <v/>
      </c>
      <c r="BC425" s="94" t="str">
        <f aca="false">IF($BX425&lt;&gt;Constants!$B$6,"",IF($AL425,Constants!$B$17*$AN425+Constants!$B$18*IF($AO425,$AP425,Constants!$B$19),Constants!$B$20))</f>
        <v/>
      </c>
      <c r="BD425" s="97" t="str">
        <f aca="false">IF($BX425&lt;&gt;Constants!$B$6,"",Constants!$B$21*ABS($AD$9-IF($AL425,$AM425,0)))</f>
        <v/>
      </c>
      <c r="BE425" s="97" t="str">
        <f aca="false">IF($BX425&lt;&gt;Constants!$B$6,"",IF(AND($AL425,$AQ425,$AO425),Constants!$B$22,0))</f>
        <v/>
      </c>
      <c r="BF425" s="97" t="str">
        <f aca="false">IF($BX425&lt;&gt;Constants!$B$6,"",IF($AL425,($AI425-Constants!$B$24)*Constants!$B$23,0))</f>
        <v/>
      </c>
      <c r="BG425" s="97" t="str">
        <f aca="false">IF($BX425&lt;&gt;Constants!$B$6,"",IF($AK425,0,Constants!$B$12)+IF($AJ425,0,Constants!$B$13)+IF($AH425,0,Constants!$B$14))</f>
        <v/>
      </c>
      <c r="BH425" s="98" t="str">
        <f aca="false">IF($BX425&lt;&gt;Constants!$B$6,"",Constants!$B$16+SUM($BC425:$BG425))</f>
        <v/>
      </c>
      <c r="BI425" s="97" t="str">
        <f aca="false">IF($BX425&lt;&gt;Constants!$B$6,"",$BC425)</f>
        <v/>
      </c>
      <c r="BJ425" s="97" t="str">
        <f aca="false">IF($BX425&lt;&gt;Constants!$B$6,"",$BD425)</f>
        <v/>
      </c>
      <c r="BK425" s="99" t="str">
        <f aca="false">IF($BX425&lt;&gt;Constants!$B$6,"",IF($AL425,$AN425,""))</f>
        <v/>
      </c>
      <c r="BL425" s="93" t="str">
        <f aca="false">IF($BX425&lt;&gt;Constants!$B$6,"",IF(OR($BS425&lt;$BH425,AND($BS425=$BH425,OR($BT425&lt;$BI425,AND($BT425=$BI425,OR($BU425&lt;$BJ425,AND($BU425=$BJ425,AND(ISNUMBER($BV425),OR(NOT(ISNUMBER($BK425)),$BV425&lt;$BK425)))))))),"-&gt;","&lt;-"))</f>
        <v/>
      </c>
      <c r="BM425" s="92" t="str">
        <f aca="false">IF(ISBLANK($C425),"",AND($AT425,OR($AU425="",$AV425="",AND($AW425,$AX425=""))))</f>
        <v/>
      </c>
      <c r="BN425" s="94" t="str">
        <f aca="false">IF($BX425&lt;&gt;Constants!$B$6,"",IF($AT425,Constants!$B$17*$AV425+Constants!$B$18*IF($AW425,$AX425,Constants!$B$19),Constants!$B$20))</f>
        <v/>
      </c>
      <c r="BO425" s="97" t="str">
        <f aca="false">IF($BX425&lt;&gt;Constants!$B$6,"",Constants!$B$21*ABS($AD$9-IF($AT425,$AU425,0)))</f>
        <v/>
      </c>
      <c r="BP425" s="97" t="str">
        <f aca="false">IF($BX425&lt;&gt;Constants!$B$6,"",IF(AND($AT425,$AY425,$AW425),Constants!$B$22,0))</f>
        <v/>
      </c>
      <c r="BQ425" s="97" t="str">
        <f aca="false">IF($BX425&lt;&gt;Constants!$B$6,"",IF($AT425,($AI425-Constants!$B$24)*Constants!$B$23,0))</f>
        <v/>
      </c>
      <c r="BR425" s="97" t="str">
        <f aca="false">IF($BX425&lt;&gt;Constants!$B$6,"",IF($AS425,0,Constants!$B$12)+IF($AR425,0,Constants!$B$13)+IF($AH425,0,Constants!$B$14))</f>
        <v/>
      </c>
      <c r="BS425" s="98" t="str">
        <f aca="false">IF($BX425&lt;&gt;Constants!$B$6,"",Constants!$B$16+SUM($BN425:$BR425))</f>
        <v/>
      </c>
      <c r="BT425" s="97" t="str">
        <f aca="false">IF($BX425&lt;&gt;Constants!$B$6,"",$BN425)</f>
        <v/>
      </c>
      <c r="BU425" s="97" t="str">
        <f aca="false">IF($BX425&lt;&gt;Constants!$B$6,"",$BO425)</f>
        <v/>
      </c>
      <c r="BV425" s="99" t="str">
        <f aca="false">IF($BX425&lt;&gt;Constants!$B$6,"",IF($AT425,$AV425,""))</f>
        <v/>
      </c>
      <c r="BW425" s="93" t="str">
        <f aca="false">IF(ISBLANK($C425),"",IF(ISBLANK($D$7),$BW$5,IF(NOT(ISNUMBER($D$7)),$BW$6,"")))</f>
        <v/>
      </c>
      <c r="BX425" s="93" t="str">
        <f aca="false">IF(ISBLANK($C425),"",IF($BA425,Constants!$B$9,IF(COUNTA($E425:$AA425)=0,Constants!$B$8,IF(NOT($AG425),Constants!$B$7,IF(OR($BW425&lt;&gt;"",$BB425,$BM425),Constants!$B$10,Constants!$B$6)))))</f>
        <v/>
      </c>
      <c r="BY425" s="93" t="str">
        <f aca="false">IF(ISBLANK($C425),"",IF($BX425&lt;&gt;Constants!$B$6,$BX425,Constants!$B$11))</f>
        <v/>
      </c>
      <c r="BZ425" s="97" t="str">
        <f aca="false">IF($BX425&lt;&gt;Constants!$B$6,"",IF($BL425="-&gt;",$BS425,$BH425))</f>
        <v/>
      </c>
      <c r="CA425" s="97" t="str">
        <f aca="false">IF($BX425&lt;&gt;Constants!$B$6,"",IF($AF425,0,Constants!$B$15))</f>
        <v/>
      </c>
      <c r="CB425" s="97" t="str">
        <f aca="false">IF($BX425&lt;&gt;Constants!$B$6,"",((Constants!$B$25-$AZ425)-Constants!$B$25)/Constants!$B$26)</f>
        <v/>
      </c>
      <c r="CC425" s="97" t="str">
        <f aca="false">IF(ISBLANK($C425),"",IF($BX425&lt;&gt;Constants!$B$6,$BX425,SUM($BZ425:$CB425)))</f>
        <v/>
      </c>
      <c r="CD425" s="93" t="str">
        <f aca="false">IF(ISBLANK($C425),"",IF($BX425&lt;&gt;Constants!$B$6,$BX425,RANK($CC425,$CC$9:$CC$508,1)))</f>
        <v/>
      </c>
      <c r="CE425" s="97" t="str">
        <f aca="false">IF($BX425&lt;&gt;Constants!$B$6,"",IF($BL425="-&gt;",$BT425,$BI425))</f>
        <v/>
      </c>
      <c r="CF425" s="93" t="str">
        <f aca="false">IF(ISBLANK($C425),"",IF($BX425&lt;&gt;Constants!$B$6,$BX425,IF(ISNUMBER($CE425),RANK($CE425,$CE$9:$CE$508,1),COUNT($CE$9:$CE$508)+1)))</f>
        <v/>
      </c>
      <c r="CG425" s="97" t="str">
        <f aca="false">IF($BX425&lt;&gt;Constants!$B$6,"",IF($BL425="-&gt;",$BU425,$BJ425))</f>
        <v/>
      </c>
      <c r="CH425" s="93" t="str">
        <f aca="false">IF(ISBLANK($C425),"",IF($BX425&lt;&gt;Constants!$B$6,$BX425,IF(ISNUMBER($CG425),RANK($CG425,$CG$9:$CG$508,1),COUNT($CG$9:$CG$508)+1)))</f>
        <v/>
      </c>
      <c r="CI425" s="97" t="str">
        <f aca="false">IF($BX425&lt;&gt;Constants!$B$6,"",IF($BL425="-&gt;",$BV425,$BK425))</f>
        <v/>
      </c>
      <c r="CJ425" s="93" t="str">
        <f aca="false">IF(ISBLANK($C425),"",IF($BX425&lt;&gt;Constants!$B$6,$BX425,IF(ISNUMBER($CI425),RANK($CI425,$CI$9:$CI$508,1),COUNT($CI$9:$CI$508)+1)))</f>
        <v/>
      </c>
      <c r="CK425" s="97" t="str">
        <f aca="false">IF($BX425&lt;&gt;Constants!$B$6,"",$AI425)</f>
        <v/>
      </c>
      <c r="CL425" s="93" t="str">
        <f aca="false">IF(ISBLANK($C425),"",IF($BX425&lt;&gt;Constants!$B$6,$BX425,IF(ISNUMBER($CK425),RANK($CK425,$CK$9:$CK$508,1),COUNT($CK$9:$CK$508)+1)))</f>
        <v/>
      </c>
      <c r="CM425" s="93" t="str">
        <f aca="false">IF(ISBLANK($C425),"",IF($BX425&lt;&gt;Constants!$B$6,$BX425,COUNTIFS($CD$9:$CD$508,"&lt;"&amp;$CD425)+COUNTIFS($CD$9:$CD$508,$CD425,$CF$9:$CF$508,"&lt;"&amp;$CF425)+COUNTIFS($CD$9:$CD$508,$CD425,$CF$9:$CF$508,$CF425,$CH$9:$CH$508,"&lt;"&amp;$CH425)+COUNTIFS($CD$9:$CD$508,$CD425,$CF$9:$CF$508,$CF425,$CH$9:$CH$508,$CH425,$CJ$9:$CJ$508,"&lt;"&amp;$CJ425)+COUNTIFS($CD$9:$CD$508,$CD425,$CF$9:$CF$508,$CF425,$CH$9:$CH$508,$CH425,$CJ$9:$CJ$508,$CJ425,$CL$9:$CL$508,"&lt;"&amp;$CL425)+1))</f>
        <v/>
      </c>
      <c r="CN425" s="93" t="str">
        <f aca="false">IF(ISBLANK($C425),"",IF($BX425&lt;&gt;Constants!$B$6,$BX425,$CD425-$CM425))</f>
        <v/>
      </c>
      <c r="CO425" s="100"/>
      <c r="CP425" s="101"/>
      <c r="CQ425" s="102" t="str">
        <f aca="false">IF(ISBLANK($C425),"",IF($BX425=Constants!$B$10,$BW425,""))</f>
        <v/>
      </c>
      <c r="CR425" s="101" t="str">
        <f aca="false">IF(ISBLANK($C425),"",IF($BX425&lt;&gt;Constants!$B$6,"",IF($BL425="-&gt;",2,1)))</f>
        <v/>
      </c>
      <c r="CS425" s="103" t="str">
        <f aca="false">IF(ISBLANK($C425),"",IF($BX425&lt;&gt;Constants!$B$6,"",IF($BL425="-&gt;",$BN425,$BC425)))</f>
        <v/>
      </c>
      <c r="CT425" s="103" t="str">
        <f aca="false">IF(ISBLANK($C425),"",IF($BX425&lt;&gt;Constants!$B$6,"",IF($BL425="-&gt;",$BO425,$BD425)))</f>
        <v/>
      </c>
      <c r="CU425" s="103" t="str">
        <f aca="false">IF(ISBLANK($C425),"",IF($BX425&lt;&gt;Constants!$B$6,"",IF($BL425="-&gt;",$BP425+$BQ425,$BE425+$BF425)+$CB425))</f>
        <v/>
      </c>
      <c r="CV425" s="103" t="str">
        <f aca="false">IF(ISBLANK($C425),"",IF($BX425&lt;&gt;Constants!$B$6,"",IF($BL425="-&gt;",$BR425,$BG425)+$CA425))</f>
        <v/>
      </c>
      <c r="CW425" s="104" t="str">
        <f aca="false">IF(ISBLANK($C425),"",IF($BX425&lt;&gt;Constants!$B$6,$BX425,$CC425))</f>
        <v/>
      </c>
      <c r="CX425" s="105" t="str">
        <f aca="false">IF(ISBLANK($C425),"",$BY425)</f>
        <v/>
      </c>
      <c r="CY425" s="106" t="str">
        <f aca="false">IF(ISBLANK($C425),"",$CN425)</f>
        <v/>
      </c>
      <c r="CZ425" s="106" t="str">
        <f aca="false">IF(ISBLANK($C425),"",$CM425)</f>
        <v/>
      </c>
      <c r="DA425" s="107" t="str">
        <f aca="false">IF(ISBLANK($C425),"",IFERROR(_xlfn.SWITCH($CZ425,Constants!$B$9,COUNTA($C$9:$C$508)+2,Constants!$B$8,COUNTA($C$9:$C$508)+1,Constants!$B$7,COUNTA($C$9:$C$508)),$CZ425))</f>
        <v/>
      </c>
      <c r="DB425" s="9"/>
      <c r="DC425" s="108" t="n">
        <f aca="false">IF(OR(ISNUMBER($CZ425),$CZ425=Constants!$B$9,$CZ425=Constants!$B$7,$CZ425=Constants!$B$8),1,0)</f>
        <v>0</v>
      </c>
      <c r="DD425" s="108" t="n">
        <v>417</v>
      </c>
      <c r="DE425" s="108" t="str">
        <f aca="false">IF(ISBLANK($C425),"",IF(ISNUMBER($DA425),$DA425+ROW($B425)/1000,""))</f>
        <v/>
      </c>
      <c r="DF425" s="108" t="str">
        <f aca="false">IF(ISNUMBER($DE425),RANK($DE425,$DE$9:$DE$508,1),"")</f>
        <v/>
      </c>
      <c r="DG425" s="108" t="str">
        <f aca="false">IF(ISBLANK($C425),"",$B425)</f>
        <v/>
      </c>
      <c r="DH425" s="108" t="str">
        <f aca="false">IF(ISBLANK($C425),"",$C425)</f>
        <v/>
      </c>
      <c r="DI425" s="108" t="str">
        <f aca="false">IF(ISBLANK($C425),"",$D425)</f>
        <v/>
      </c>
      <c r="DJ425" s="109" t="str">
        <f aca="false">$CX425</f>
        <v/>
      </c>
      <c r="DK425" s="110" t="str">
        <f aca="false">$CW425</f>
        <v/>
      </c>
      <c r="DL425" s="108" t="str">
        <f aca="false">IF(ISBLANK($C425),"",$CZ425)</f>
        <v/>
      </c>
      <c r="DM425" s="111" t="str">
        <f aca="false">IF($DD425&gt;$DC$8,"",VLOOKUP($DD425,$DF$9:$DL$508,7,FALSE()))</f>
        <v/>
      </c>
      <c r="DN425" s="112" t="str">
        <f aca="false">IF($DD425&gt;$DC$8,"",VLOOKUP($DD425,$DF$9:$DL$508,2,FALSE()))</f>
        <v/>
      </c>
      <c r="DO425" s="112" t="str">
        <f aca="false">IF($DD425&gt;$DC$8,"",VLOOKUP($DD425,$DF$9:$DL$508,3,FALSE()))</f>
        <v/>
      </c>
      <c r="DP425" s="112" t="str">
        <f aca="false">IF($DD425&gt;$DC$8,"",VLOOKUP($DD425,$DF$9:$DL$508,4,FALSE()))</f>
        <v/>
      </c>
      <c r="DQ425" s="112" t="str">
        <f aca="false">IF($DD425&gt;$DC$8,"",VLOOKUP($DD425,$DF$9:$DL$508,5,FALSE()))</f>
        <v/>
      </c>
      <c r="DR425" s="113" t="str">
        <f aca="false">IF($DD425&gt;$DC$8,"",VLOOKUP($DD425,$DF$9:$DL$508,6,FALSE()))</f>
        <v/>
      </c>
      <c r="DS425" s="76"/>
    </row>
    <row r="426" customFormat="false" ht="15.75" hidden="false" customHeight="false" outlineLevel="0" collapsed="false">
      <c r="A426" s="9"/>
      <c r="B426" s="160"/>
      <c r="C426" s="161"/>
      <c r="D426" s="162"/>
      <c r="E426" s="180"/>
      <c r="F426" s="164"/>
      <c r="G426" s="165"/>
      <c r="H426" s="165"/>
      <c r="I426" s="181"/>
      <c r="J426" s="168"/>
      <c r="K426" s="128"/>
      <c r="L426" s="129"/>
      <c r="M426" s="130"/>
      <c r="N426" s="168"/>
      <c r="O426" s="168"/>
      <c r="P426" s="180"/>
      <c r="Q426" s="168"/>
      <c r="R426" s="168"/>
      <c r="S426" s="128"/>
      <c r="T426" s="130"/>
      <c r="U426" s="130"/>
      <c r="V426" s="168"/>
      <c r="W426" s="168"/>
      <c r="X426" s="180"/>
      <c r="Y426" s="168"/>
      <c r="Z426" s="169"/>
      <c r="AA426" s="168"/>
      <c r="AB426" s="134"/>
      <c r="AC426" s="135"/>
      <c r="AD426" s="135"/>
      <c r="AE426" s="135"/>
      <c r="AF426" s="135" t="str">
        <f aca="false">IF(ISBLANK($C426),"",IF(E426=Constants!$B$2,TRUE(),IF(E426=Constants!$B$3,FALSE(),TRUE())))</f>
        <v/>
      </c>
      <c r="AG426" s="135" t="str">
        <f aca="false">IF(ISBLANK($C426),"",IF(F426=Constants!$B$2,TRUE(),IF(F426=Constants!$B$3,FALSE(),TRUE())))</f>
        <v/>
      </c>
      <c r="AH426" s="135" t="str">
        <f aca="false">IF(ISBLANK($C426),"",IF(G426=Constants!$B$2,TRUE(),IF(G426=Constants!$B$3,FALSE(),TRUE())))</f>
        <v/>
      </c>
      <c r="AI426" s="135" t="str">
        <f aca="false">IF(ISBLANK($C426),"",IF(AND(ISNUMBER(H426),H426&gt;=0),H426,Constants!$B$24))</f>
        <v/>
      </c>
      <c r="AJ426" s="135" t="str">
        <f aca="false">IF(ISBLANK($C426),"",IF(I426=Constants!$B$2,TRUE(),IF(I426=Constants!$B$3,FALSE(),TRUE())))</f>
        <v/>
      </c>
      <c r="AK426" s="135" t="str">
        <f aca="false">IF(ISBLANK($C426),"",IF(J426=Constants!$B$2,TRUE(),IF(J426=Constants!$B$3,FALSE(),TRUE())))</f>
        <v/>
      </c>
      <c r="AL426" s="135" t="str">
        <f aca="false">IF(ISBLANK($C426),"",IF(K426=Constants!$B$4,TRUE(),IF(K426=Constants!$B$5,FALSE(),COUNTA(L426:P426)&gt;0)))</f>
        <v/>
      </c>
      <c r="AM426" s="136" t="str">
        <f aca="false">IF(ISBLANK($C426),"",IF(ISNUMBER(L426),IF(L426&gt;=0,L426,""),""))</f>
        <v/>
      </c>
      <c r="AN426" s="137" t="str">
        <f aca="false">IF(ISBLANK($C426),"",IF(ISNUMBER(M426),IF(M426&gt;=0,M426,""),""))</f>
        <v/>
      </c>
      <c r="AO426" s="137" t="str">
        <f aca="false">IF(ISBLANK($C426),"",IF(N426=Constants!$B$2,TRUE(),IF(N426=Constants!$B$3,FALSE(),TRUE())))</f>
        <v/>
      </c>
      <c r="AP426" s="135" t="str">
        <f aca="false">IF(ISBLANK($C426),"",IF(ISNUMBER(O426),IF(O426&gt;=0,O426,""),""))</f>
        <v/>
      </c>
      <c r="AQ426" s="135" t="str">
        <f aca="false">IF(ISBLANK($C426),"",IF(P426=Constants!$B$2,TRUE(),IF(P426=Constants!$B$3,FALSE(),FALSE())))</f>
        <v/>
      </c>
      <c r="AR426" s="135" t="str">
        <f aca="false">IF(ISBLANK($C426),"",IF(Q426=Constants!$B$2,TRUE(),IF(Q426=Constants!$B$3,FALSE(),TRUE())))</f>
        <v/>
      </c>
      <c r="AS426" s="135" t="str">
        <f aca="false">IF(ISBLANK($C426),"",IF(R426=Constants!$B$2,TRUE(),IF(R426=Constants!$B$3,FALSE(),TRUE())))</f>
        <v/>
      </c>
      <c r="AT426" s="135" t="str">
        <f aca="false">IF(ISBLANK($C426),"",IF(S426=Constants!$B$4,TRUE(),IF(S426=Constants!$B$5,FALSE(),COUNTA(T426:X426)&gt;0)))</f>
        <v/>
      </c>
      <c r="AU426" s="136" t="str">
        <f aca="false">IF(ISBLANK($C426),"",IF(ISNUMBER(T426),IF(T426&gt;=0,T426,""),""))</f>
        <v/>
      </c>
      <c r="AV426" s="137" t="str">
        <f aca="false">IF(ISBLANK($C426),"",IF(ISNUMBER(U426),IF(U426&gt;=0,U426,""),""))</f>
        <v/>
      </c>
      <c r="AW426" s="137" t="str">
        <f aca="false">IF(ISBLANK($C426),"",IF(V426=Constants!$B$2,TRUE(),IF(V426=Constants!$B$3,FALSE(),TRUE())))</f>
        <v/>
      </c>
      <c r="AX426" s="135" t="str">
        <f aca="false">IF(ISBLANK($C426),"",IF(ISNUMBER(W426),IF(W426&gt;=0,W426,""),""))</f>
        <v/>
      </c>
      <c r="AY426" s="135" t="str">
        <f aca="false">IF(ISBLANK($C426),"",IF(X426=Constants!$B$2,TRUE(),IF(X426=Constants!$B$3,FALSE(),FALSE())))</f>
        <v/>
      </c>
      <c r="AZ426" s="135" t="str">
        <f aca="false">IF(ISBLANK($C426),"",MIN(Constants!$B$25,MAX(0,IF(ISNUMBER(Y426),Y426*60,0)+IF(ISNUMBER(Z426),Z426,0))))</f>
        <v/>
      </c>
      <c r="BA426" s="135" t="str">
        <f aca="false">IF(ISBLANK($C426),"",IF(AA426=Constants!$B$2,TRUE(),IF(AA426=Constants!$B$3,FALSE(),FALSE())))</f>
        <v/>
      </c>
      <c r="BB426" s="134" t="str">
        <f aca="false">IF(ISBLANK($C426),"",AND($AL426,OR($AM426="",$AN426="",AND($AO426,$AP426=""))))</f>
        <v/>
      </c>
      <c r="BC426" s="137" t="str">
        <f aca="false">IF($BX426&lt;&gt;Constants!$B$6,"",IF($AL426,Constants!$B$17*$AN426+Constants!$B$18*IF($AO426,$AP426,Constants!$B$19),Constants!$B$20))</f>
        <v/>
      </c>
      <c r="BD426" s="138" t="str">
        <f aca="false">IF($BX426&lt;&gt;Constants!$B$6,"",Constants!$B$21*ABS($AD$9-IF($AL426,$AM426,0)))</f>
        <v/>
      </c>
      <c r="BE426" s="138" t="str">
        <f aca="false">IF($BX426&lt;&gt;Constants!$B$6,"",IF(AND($AL426,$AQ426,$AO426),Constants!$B$22,0))</f>
        <v/>
      </c>
      <c r="BF426" s="138" t="str">
        <f aca="false">IF($BX426&lt;&gt;Constants!$B$6,"",IF($AL426,($AI426-Constants!$B$24)*Constants!$B$23,0))</f>
        <v/>
      </c>
      <c r="BG426" s="138" t="str">
        <f aca="false">IF($BX426&lt;&gt;Constants!$B$6,"",IF($AK426,0,Constants!$B$12)+IF($AJ426,0,Constants!$B$13)+IF($AH426,0,Constants!$B$14))</f>
        <v/>
      </c>
      <c r="BH426" s="139" t="str">
        <f aca="false">IF($BX426&lt;&gt;Constants!$B$6,"",Constants!$B$16+SUM($BC426:$BG426))</f>
        <v/>
      </c>
      <c r="BI426" s="138" t="str">
        <f aca="false">IF($BX426&lt;&gt;Constants!$B$6,"",$BC426)</f>
        <v/>
      </c>
      <c r="BJ426" s="138" t="str">
        <f aca="false">IF($BX426&lt;&gt;Constants!$B$6,"",$BD426)</f>
        <v/>
      </c>
      <c r="BK426" s="140" t="str">
        <f aca="false">IF($BX426&lt;&gt;Constants!$B$6,"",IF($AL426,$AN426,""))</f>
        <v/>
      </c>
      <c r="BL426" s="135" t="str">
        <f aca="false">IF($BX426&lt;&gt;Constants!$B$6,"",IF(OR($BS426&lt;$BH426,AND($BS426=$BH426,OR($BT426&lt;$BI426,AND($BT426=$BI426,OR($BU426&lt;$BJ426,AND($BU426=$BJ426,AND(ISNUMBER($BV426),OR(NOT(ISNUMBER($BK426)),$BV426&lt;$BK426)))))))),"-&gt;","&lt;-"))</f>
        <v/>
      </c>
      <c r="BM426" s="134" t="str">
        <f aca="false">IF(ISBLANK($C426),"",AND($AT426,OR($AU426="",$AV426="",AND($AW426,$AX426=""))))</f>
        <v/>
      </c>
      <c r="BN426" s="137" t="str">
        <f aca="false">IF($BX426&lt;&gt;Constants!$B$6,"",IF($AT426,Constants!$B$17*$AV426+Constants!$B$18*IF($AW426,$AX426,Constants!$B$19),Constants!$B$20))</f>
        <v/>
      </c>
      <c r="BO426" s="138" t="str">
        <f aca="false">IF($BX426&lt;&gt;Constants!$B$6,"",Constants!$B$21*ABS($AD$9-IF($AT426,$AU426,0)))</f>
        <v/>
      </c>
      <c r="BP426" s="138" t="str">
        <f aca="false">IF($BX426&lt;&gt;Constants!$B$6,"",IF(AND($AT426,$AY426,$AW426),Constants!$B$22,0))</f>
        <v/>
      </c>
      <c r="BQ426" s="138" t="str">
        <f aca="false">IF($BX426&lt;&gt;Constants!$B$6,"",IF($AT426,($AI426-Constants!$B$24)*Constants!$B$23,0))</f>
        <v/>
      </c>
      <c r="BR426" s="138" t="str">
        <f aca="false">IF($BX426&lt;&gt;Constants!$B$6,"",IF($AS426,0,Constants!$B$12)+IF($AR426,0,Constants!$B$13)+IF($AH426,0,Constants!$B$14))</f>
        <v/>
      </c>
      <c r="BS426" s="139" t="str">
        <f aca="false">IF($BX426&lt;&gt;Constants!$B$6,"",Constants!$B$16+SUM($BN426:$BR426))</f>
        <v/>
      </c>
      <c r="BT426" s="138" t="str">
        <f aca="false">IF($BX426&lt;&gt;Constants!$B$6,"",$BN426)</f>
        <v/>
      </c>
      <c r="BU426" s="138" t="str">
        <f aca="false">IF($BX426&lt;&gt;Constants!$B$6,"",$BO426)</f>
        <v/>
      </c>
      <c r="BV426" s="140" t="str">
        <f aca="false">IF($BX426&lt;&gt;Constants!$B$6,"",IF($AT426,$AV426,""))</f>
        <v/>
      </c>
      <c r="BW426" s="135" t="str">
        <f aca="false">IF(ISBLANK($C426),"",IF(ISBLANK($D$7),$BW$5,IF(NOT(ISNUMBER($D$7)),$BW$6,"")))</f>
        <v/>
      </c>
      <c r="BX426" s="135" t="str">
        <f aca="false">IF(ISBLANK($C426),"",IF($BA426,Constants!$B$9,IF(COUNTA($E426:$AA426)=0,Constants!$B$8,IF(NOT($AG426),Constants!$B$7,IF(OR($BW426&lt;&gt;"",$BB426,$BM426),Constants!$B$10,Constants!$B$6)))))</f>
        <v/>
      </c>
      <c r="BY426" s="135" t="str">
        <f aca="false">IF(ISBLANK($C426),"",IF($BX426&lt;&gt;Constants!$B$6,$BX426,Constants!$B$11))</f>
        <v/>
      </c>
      <c r="BZ426" s="138" t="str">
        <f aca="false">IF($BX426&lt;&gt;Constants!$B$6,"",IF($BL426="-&gt;",$BS426,$BH426))</f>
        <v/>
      </c>
      <c r="CA426" s="138" t="str">
        <f aca="false">IF($BX426&lt;&gt;Constants!$B$6,"",IF($AF426,0,Constants!$B$15))</f>
        <v/>
      </c>
      <c r="CB426" s="138" t="str">
        <f aca="false">IF($BX426&lt;&gt;Constants!$B$6,"",((Constants!$B$25-$AZ426)-Constants!$B$25)/Constants!$B$26)</f>
        <v/>
      </c>
      <c r="CC426" s="138" t="str">
        <f aca="false">IF(ISBLANK($C426),"",IF($BX426&lt;&gt;Constants!$B$6,$BX426,SUM($BZ426:$CB426)))</f>
        <v/>
      </c>
      <c r="CD426" s="135" t="str">
        <f aca="false">IF(ISBLANK($C426),"",IF($BX426&lt;&gt;Constants!$B$6,$BX426,RANK($CC426,$CC$9:$CC$508,1)))</f>
        <v/>
      </c>
      <c r="CE426" s="138" t="str">
        <f aca="false">IF($BX426&lt;&gt;Constants!$B$6,"",IF($BL426="-&gt;",$BT426,$BI426))</f>
        <v/>
      </c>
      <c r="CF426" s="135" t="str">
        <f aca="false">IF(ISBLANK($C426),"",IF($BX426&lt;&gt;Constants!$B$6,$BX426,IF(ISNUMBER($CE426),RANK($CE426,$CE$9:$CE$508,1),COUNT($CE$9:$CE$508)+1)))</f>
        <v/>
      </c>
      <c r="CG426" s="138" t="str">
        <f aca="false">IF($BX426&lt;&gt;Constants!$B$6,"",IF($BL426="-&gt;",$BU426,$BJ426))</f>
        <v/>
      </c>
      <c r="CH426" s="135" t="str">
        <f aca="false">IF(ISBLANK($C426),"",IF($BX426&lt;&gt;Constants!$B$6,$BX426,IF(ISNUMBER($CG426),RANK($CG426,$CG$9:$CG$508,1),COUNT($CG$9:$CG$508)+1)))</f>
        <v/>
      </c>
      <c r="CI426" s="138" t="str">
        <f aca="false">IF($BX426&lt;&gt;Constants!$B$6,"",IF($BL426="-&gt;",$BV426,$BK426))</f>
        <v/>
      </c>
      <c r="CJ426" s="135" t="str">
        <f aca="false">IF(ISBLANK($C426),"",IF($BX426&lt;&gt;Constants!$B$6,$BX426,IF(ISNUMBER($CI426),RANK($CI426,$CI$9:$CI$508,1),COUNT($CI$9:$CI$508)+1)))</f>
        <v/>
      </c>
      <c r="CK426" s="138" t="str">
        <f aca="false">IF($BX426&lt;&gt;Constants!$B$6,"",$AI426)</f>
        <v/>
      </c>
      <c r="CL426" s="135" t="str">
        <f aca="false">IF(ISBLANK($C426),"",IF($BX426&lt;&gt;Constants!$B$6,$BX426,IF(ISNUMBER($CK426),RANK($CK426,$CK$9:$CK$508,1),COUNT($CK$9:$CK$508)+1)))</f>
        <v/>
      </c>
      <c r="CM426" s="135" t="str">
        <f aca="false">IF(ISBLANK($C426),"",IF($BX426&lt;&gt;Constants!$B$6,$BX426,COUNTIFS($CD$9:$CD$508,"&lt;"&amp;$CD426)+COUNTIFS($CD$9:$CD$508,$CD426,$CF$9:$CF$508,"&lt;"&amp;$CF426)+COUNTIFS($CD$9:$CD$508,$CD426,$CF$9:$CF$508,$CF426,$CH$9:$CH$508,"&lt;"&amp;$CH426)+COUNTIFS($CD$9:$CD$508,$CD426,$CF$9:$CF$508,$CF426,$CH$9:$CH$508,$CH426,$CJ$9:$CJ$508,"&lt;"&amp;$CJ426)+COUNTIFS($CD$9:$CD$508,$CD426,$CF$9:$CF$508,$CF426,$CH$9:$CH$508,$CH426,$CJ$9:$CJ$508,$CJ426,$CL$9:$CL$508,"&lt;"&amp;$CL426)+1))</f>
        <v/>
      </c>
      <c r="CN426" s="135" t="str">
        <f aca="false">IF(ISBLANK($C426),"",IF($BX426&lt;&gt;Constants!$B$6,$BX426,$CD426-$CM426))</f>
        <v/>
      </c>
      <c r="CO426" s="141"/>
      <c r="CP426" s="142"/>
      <c r="CQ426" s="143" t="str">
        <f aca="false">IF(ISBLANK($C426),"",IF($BX426=Constants!$B$10,$BW426,""))</f>
        <v/>
      </c>
      <c r="CR426" s="142" t="str">
        <f aca="false">IF(ISBLANK($C426),"",IF($BX426&lt;&gt;Constants!$B$6,"",IF($BL426="-&gt;",2,1)))</f>
        <v/>
      </c>
      <c r="CS426" s="144" t="str">
        <f aca="false">IF(ISBLANK($C426),"",IF($BX426&lt;&gt;Constants!$B$6,"",IF($BL426="-&gt;",$BN426,$BC426)))</f>
        <v/>
      </c>
      <c r="CT426" s="144" t="str">
        <f aca="false">IF(ISBLANK($C426),"",IF($BX426&lt;&gt;Constants!$B$6,"",IF($BL426="-&gt;",$BO426,$BD426)))</f>
        <v/>
      </c>
      <c r="CU426" s="144" t="str">
        <f aca="false">IF(ISBLANK($C426),"",IF($BX426&lt;&gt;Constants!$B$6,"",IF($BL426="-&gt;",$BP426+$BQ426,$BE426+$BF426)+$CB426))</f>
        <v/>
      </c>
      <c r="CV426" s="144" t="str">
        <f aca="false">IF(ISBLANK($C426),"",IF($BX426&lt;&gt;Constants!$B$6,"",IF($BL426="-&gt;",$BR426,$BG426)+$CA426))</f>
        <v/>
      </c>
      <c r="CW426" s="145" t="str">
        <f aca="false">IF(ISBLANK($C426),"",IF($BX426&lt;&gt;Constants!$B$6,$BX426,$CC426))</f>
        <v/>
      </c>
      <c r="CX426" s="146" t="str">
        <f aca="false">IF(ISBLANK($C426),"",$BY426)</f>
        <v/>
      </c>
      <c r="CY426" s="147" t="str">
        <f aca="false">IF(ISBLANK($C426),"",$CN426)</f>
        <v/>
      </c>
      <c r="CZ426" s="147" t="str">
        <f aca="false">IF(ISBLANK($C426),"",$CM426)</f>
        <v/>
      </c>
      <c r="DA426" s="148" t="str">
        <f aca="false">IF(ISBLANK($C426),"",IFERROR(_xlfn.SWITCH($CZ426,Constants!$B$9,COUNTA($C$9:$C$508)+2,Constants!$B$8,COUNTA($C$9:$C$508)+1,Constants!$B$7,COUNTA($C$9:$C$508)),$CZ426))</f>
        <v/>
      </c>
      <c r="DB426" s="9"/>
      <c r="DC426" s="149" t="n">
        <f aca="false">IF(OR(ISNUMBER($CZ426),$CZ426=Constants!$B$9,$CZ426=Constants!$B$7,$CZ426=Constants!$B$8),1,0)</f>
        <v>0</v>
      </c>
      <c r="DD426" s="149" t="n">
        <v>418</v>
      </c>
      <c r="DE426" s="149" t="str">
        <f aca="false">IF(ISBLANK($C426),"",IF(ISNUMBER($DA426),$DA426+ROW($B426)/1000,""))</f>
        <v/>
      </c>
      <c r="DF426" s="149" t="str">
        <f aca="false">IF(ISNUMBER($DE426),RANK($DE426,$DE$9:$DE$508,1),"")</f>
        <v/>
      </c>
      <c r="DG426" s="149" t="str">
        <f aca="false">IF(ISBLANK($C426),"",$B426)</f>
        <v/>
      </c>
      <c r="DH426" s="149" t="str">
        <f aca="false">IF(ISBLANK($C426),"",$C426)</f>
        <v/>
      </c>
      <c r="DI426" s="149" t="str">
        <f aca="false">IF(ISBLANK($C426),"",$D426)</f>
        <v/>
      </c>
      <c r="DJ426" s="150" t="str">
        <f aca="false">$CX426</f>
        <v/>
      </c>
      <c r="DK426" s="151" t="str">
        <f aca="false">$CW426</f>
        <v/>
      </c>
      <c r="DL426" s="149" t="str">
        <f aca="false">IF(ISBLANK($C426),"",$CZ426)</f>
        <v/>
      </c>
      <c r="DM426" s="152" t="str">
        <f aca="false">IF($DD426&gt;$DC$8,"",VLOOKUP($DD426,$DF$9:$DL$508,7,FALSE()))</f>
        <v/>
      </c>
      <c r="DN426" s="153" t="str">
        <f aca="false">IF($DD426&gt;$DC$8,"",VLOOKUP($DD426,$DF$9:$DL$508,2,FALSE()))</f>
        <v/>
      </c>
      <c r="DO426" s="153" t="str">
        <f aca="false">IF($DD426&gt;$DC$8,"",VLOOKUP($DD426,$DF$9:$DL$508,3,FALSE()))</f>
        <v/>
      </c>
      <c r="DP426" s="153" t="str">
        <f aca="false">IF($DD426&gt;$DC$8,"",VLOOKUP($DD426,$DF$9:$DL$508,4,FALSE()))</f>
        <v/>
      </c>
      <c r="DQ426" s="153" t="str">
        <f aca="false">IF($DD426&gt;$DC$8,"",VLOOKUP($DD426,$DF$9:$DL$508,5,FALSE()))</f>
        <v/>
      </c>
      <c r="DR426" s="154" t="str">
        <f aca="false">IF($DD426&gt;$DC$8,"",VLOOKUP($DD426,$DF$9:$DL$508,6,FALSE()))</f>
        <v/>
      </c>
      <c r="DS426" s="76"/>
    </row>
    <row r="427" customFormat="false" ht="15.75" hidden="false" customHeight="false" outlineLevel="0" collapsed="false">
      <c r="A427" s="9"/>
      <c r="B427" s="160"/>
      <c r="C427" s="161"/>
      <c r="D427" s="162"/>
      <c r="E427" s="180"/>
      <c r="F427" s="164"/>
      <c r="G427" s="165"/>
      <c r="H427" s="165"/>
      <c r="I427" s="181"/>
      <c r="J427" s="168"/>
      <c r="K427" s="128"/>
      <c r="L427" s="129"/>
      <c r="M427" s="130"/>
      <c r="N427" s="168"/>
      <c r="O427" s="168"/>
      <c r="P427" s="180"/>
      <c r="Q427" s="168"/>
      <c r="R427" s="168"/>
      <c r="S427" s="128"/>
      <c r="T427" s="130"/>
      <c r="U427" s="130"/>
      <c r="V427" s="168"/>
      <c r="W427" s="168"/>
      <c r="X427" s="180"/>
      <c r="Y427" s="168"/>
      <c r="Z427" s="169"/>
      <c r="AA427" s="168"/>
      <c r="AB427" s="134"/>
      <c r="AC427" s="135"/>
      <c r="AD427" s="135"/>
      <c r="AE427" s="135"/>
      <c r="AF427" s="135" t="str">
        <f aca="false">IF(ISBLANK($C427),"",IF(E427=Constants!$B$2,TRUE(),IF(E427=Constants!$B$3,FALSE(),TRUE())))</f>
        <v/>
      </c>
      <c r="AG427" s="135" t="str">
        <f aca="false">IF(ISBLANK($C427),"",IF(F427=Constants!$B$2,TRUE(),IF(F427=Constants!$B$3,FALSE(),TRUE())))</f>
        <v/>
      </c>
      <c r="AH427" s="135" t="str">
        <f aca="false">IF(ISBLANK($C427),"",IF(G427=Constants!$B$2,TRUE(),IF(G427=Constants!$B$3,FALSE(),TRUE())))</f>
        <v/>
      </c>
      <c r="AI427" s="135" t="str">
        <f aca="false">IF(ISBLANK($C427),"",IF(AND(ISNUMBER(H427),H427&gt;=0),H427,Constants!$B$24))</f>
        <v/>
      </c>
      <c r="AJ427" s="135" t="str">
        <f aca="false">IF(ISBLANK($C427),"",IF(I427=Constants!$B$2,TRUE(),IF(I427=Constants!$B$3,FALSE(),TRUE())))</f>
        <v/>
      </c>
      <c r="AK427" s="135" t="str">
        <f aca="false">IF(ISBLANK($C427),"",IF(J427=Constants!$B$2,TRUE(),IF(J427=Constants!$B$3,FALSE(),TRUE())))</f>
        <v/>
      </c>
      <c r="AL427" s="135" t="str">
        <f aca="false">IF(ISBLANK($C427),"",IF(K427=Constants!$B$4,TRUE(),IF(K427=Constants!$B$5,FALSE(),COUNTA(L427:P427)&gt;0)))</f>
        <v/>
      </c>
      <c r="AM427" s="136" t="str">
        <f aca="false">IF(ISBLANK($C427),"",IF(ISNUMBER(L427),IF(L427&gt;=0,L427,""),""))</f>
        <v/>
      </c>
      <c r="AN427" s="137" t="str">
        <f aca="false">IF(ISBLANK($C427),"",IF(ISNUMBER(M427),IF(M427&gt;=0,M427,""),""))</f>
        <v/>
      </c>
      <c r="AO427" s="137" t="str">
        <f aca="false">IF(ISBLANK($C427),"",IF(N427=Constants!$B$2,TRUE(),IF(N427=Constants!$B$3,FALSE(),TRUE())))</f>
        <v/>
      </c>
      <c r="AP427" s="135" t="str">
        <f aca="false">IF(ISBLANK($C427),"",IF(ISNUMBER(O427),IF(O427&gt;=0,O427,""),""))</f>
        <v/>
      </c>
      <c r="AQ427" s="135" t="str">
        <f aca="false">IF(ISBLANK($C427),"",IF(P427=Constants!$B$2,TRUE(),IF(P427=Constants!$B$3,FALSE(),FALSE())))</f>
        <v/>
      </c>
      <c r="AR427" s="135" t="str">
        <f aca="false">IF(ISBLANK($C427),"",IF(Q427=Constants!$B$2,TRUE(),IF(Q427=Constants!$B$3,FALSE(),TRUE())))</f>
        <v/>
      </c>
      <c r="AS427" s="135" t="str">
        <f aca="false">IF(ISBLANK($C427),"",IF(R427=Constants!$B$2,TRUE(),IF(R427=Constants!$B$3,FALSE(),TRUE())))</f>
        <v/>
      </c>
      <c r="AT427" s="135" t="str">
        <f aca="false">IF(ISBLANK($C427),"",IF(S427=Constants!$B$4,TRUE(),IF(S427=Constants!$B$5,FALSE(),COUNTA(T427:X427)&gt;0)))</f>
        <v/>
      </c>
      <c r="AU427" s="136" t="str">
        <f aca="false">IF(ISBLANK($C427),"",IF(ISNUMBER(T427),IF(T427&gt;=0,T427,""),""))</f>
        <v/>
      </c>
      <c r="AV427" s="137" t="str">
        <f aca="false">IF(ISBLANK($C427),"",IF(ISNUMBER(U427),IF(U427&gt;=0,U427,""),""))</f>
        <v/>
      </c>
      <c r="AW427" s="137" t="str">
        <f aca="false">IF(ISBLANK($C427),"",IF(V427=Constants!$B$2,TRUE(),IF(V427=Constants!$B$3,FALSE(),TRUE())))</f>
        <v/>
      </c>
      <c r="AX427" s="135" t="str">
        <f aca="false">IF(ISBLANK($C427),"",IF(ISNUMBER(W427),IF(W427&gt;=0,W427,""),""))</f>
        <v/>
      </c>
      <c r="AY427" s="135" t="str">
        <f aca="false">IF(ISBLANK($C427),"",IF(X427=Constants!$B$2,TRUE(),IF(X427=Constants!$B$3,FALSE(),FALSE())))</f>
        <v/>
      </c>
      <c r="AZ427" s="135" t="str">
        <f aca="false">IF(ISBLANK($C427),"",MIN(Constants!$B$25,MAX(0,IF(ISNUMBER(Y427),Y427*60,0)+IF(ISNUMBER(Z427),Z427,0))))</f>
        <v/>
      </c>
      <c r="BA427" s="135" t="str">
        <f aca="false">IF(ISBLANK($C427),"",IF(AA427=Constants!$B$2,TRUE(),IF(AA427=Constants!$B$3,FALSE(),FALSE())))</f>
        <v/>
      </c>
      <c r="BB427" s="134" t="str">
        <f aca="false">IF(ISBLANK($C427),"",AND($AL427,OR($AM427="",$AN427="",AND($AO427,$AP427=""))))</f>
        <v/>
      </c>
      <c r="BC427" s="137" t="str">
        <f aca="false">IF($BX427&lt;&gt;Constants!$B$6,"",IF($AL427,Constants!$B$17*$AN427+Constants!$B$18*IF($AO427,$AP427,Constants!$B$19),Constants!$B$20))</f>
        <v/>
      </c>
      <c r="BD427" s="138" t="str">
        <f aca="false">IF($BX427&lt;&gt;Constants!$B$6,"",Constants!$B$21*ABS($AD$9-IF($AL427,$AM427,0)))</f>
        <v/>
      </c>
      <c r="BE427" s="138" t="str">
        <f aca="false">IF($BX427&lt;&gt;Constants!$B$6,"",IF(AND($AL427,$AQ427,$AO427),Constants!$B$22,0))</f>
        <v/>
      </c>
      <c r="BF427" s="138" t="str">
        <f aca="false">IF($BX427&lt;&gt;Constants!$B$6,"",IF($AL427,($AI427-Constants!$B$24)*Constants!$B$23,0))</f>
        <v/>
      </c>
      <c r="BG427" s="138" t="str">
        <f aca="false">IF($BX427&lt;&gt;Constants!$B$6,"",IF($AK427,0,Constants!$B$12)+IF($AJ427,0,Constants!$B$13)+IF($AH427,0,Constants!$B$14))</f>
        <v/>
      </c>
      <c r="BH427" s="139" t="str">
        <f aca="false">IF($BX427&lt;&gt;Constants!$B$6,"",Constants!$B$16+SUM($BC427:$BG427))</f>
        <v/>
      </c>
      <c r="BI427" s="138" t="str">
        <f aca="false">IF($BX427&lt;&gt;Constants!$B$6,"",$BC427)</f>
        <v/>
      </c>
      <c r="BJ427" s="138" t="str">
        <f aca="false">IF($BX427&lt;&gt;Constants!$B$6,"",$BD427)</f>
        <v/>
      </c>
      <c r="BK427" s="140" t="str">
        <f aca="false">IF($BX427&lt;&gt;Constants!$B$6,"",IF($AL427,$AN427,""))</f>
        <v/>
      </c>
      <c r="BL427" s="135" t="str">
        <f aca="false">IF($BX427&lt;&gt;Constants!$B$6,"",IF(OR($BS427&lt;$BH427,AND($BS427=$BH427,OR($BT427&lt;$BI427,AND($BT427=$BI427,OR($BU427&lt;$BJ427,AND($BU427=$BJ427,AND(ISNUMBER($BV427),OR(NOT(ISNUMBER($BK427)),$BV427&lt;$BK427)))))))),"-&gt;","&lt;-"))</f>
        <v/>
      </c>
      <c r="BM427" s="134" t="str">
        <f aca="false">IF(ISBLANK($C427),"",AND($AT427,OR($AU427="",$AV427="",AND($AW427,$AX427=""))))</f>
        <v/>
      </c>
      <c r="BN427" s="137" t="str">
        <f aca="false">IF($BX427&lt;&gt;Constants!$B$6,"",IF($AT427,Constants!$B$17*$AV427+Constants!$B$18*IF($AW427,$AX427,Constants!$B$19),Constants!$B$20))</f>
        <v/>
      </c>
      <c r="BO427" s="138" t="str">
        <f aca="false">IF($BX427&lt;&gt;Constants!$B$6,"",Constants!$B$21*ABS($AD$9-IF($AT427,$AU427,0)))</f>
        <v/>
      </c>
      <c r="BP427" s="138" t="str">
        <f aca="false">IF($BX427&lt;&gt;Constants!$B$6,"",IF(AND($AT427,$AY427,$AW427),Constants!$B$22,0))</f>
        <v/>
      </c>
      <c r="BQ427" s="138" t="str">
        <f aca="false">IF($BX427&lt;&gt;Constants!$B$6,"",IF($AT427,($AI427-Constants!$B$24)*Constants!$B$23,0))</f>
        <v/>
      </c>
      <c r="BR427" s="138" t="str">
        <f aca="false">IF($BX427&lt;&gt;Constants!$B$6,"",IF($AS427,0,Constants!$B$12)+IF($AR427,0,Constants!$B$13)+IF($AH427,0,Constants!$B$14))</f>
        <v/>
      </c>
      <c r="BS427" s="139" t="str">
        <f aca="false">IF($BX427&lt;&gt;Constants!$B$6,"",Constants!$B$16+SUM($BN427:$BR427))</f>
        <v/>
      </c>
      <c r="BT427" s="138" t="str">
        <f aca="false">IF($BX427&lt;&gt;Constants!$B$6,"",$BN427)</f>
        <v/>
      </c>
      <c r="BU427" s="138" t="str">
        <f aca="false">IF($BX427&lt;&gt;Constants!$B$6,"",$BO427)</f>
        <v/>
      </c>
      <c r="BV427" s="140" t="str">
        <f aca="false">IF($BX427&lt;&gt;Constants!$B$6,"",IF($AT427,$AV427,""))</f>
        <v/>
      </c>
      <c r="BW427" s="135" t="str">
        <f aca="false">IF(ISBLANK($C427),"",IF(ISBLANK($D$7),$BW$5,IF(NOT(ISNUMBER($D$7)),$BW$6,"")))</f>
        <v/>
      </c>
      <c r="BX427" s="135" t="str">
        <f aca="false">IF(ISBLANK($C427),"",IF($BA427,Constants!$B$9,IF(COUNTA($E427:$AA427)=0,Constants!$B$8,IF(NOT($AG427),Constants!$B$7,IF(OR($BW427&lt;&gt;"",$BB427,$BM427),Constants!$B$10,Constants!$B$6)))))</f>
        <v/>
      </c>
      <c r="BY427" s="135" t="str">
        <f aca="false">IF(ISBLANK($C427),"",IF($BX427&lt;&gt;Constants!$B$6,$BX427,Constants!$B$11))</f>
        <v/>
      </c>
      <c r="BZ427" s="138" t="str">
        <f aca="false">IF($BX427&lt;&gt;Constants!$B$6,"",IF($BL427="-&gt;",$BS427,$BH427))</f>
        <v/>
      </c>
      <c r="CA427" s="138" t="str">
        <f aca="false">IF($BX427&lt;&gt;Constants!$B$6,"",IF($AF427,0,Constants!$B$15))</f>
        <v/>
      </c>
      <c r="CB427" s="138" t="str">
        <f aca="false">IF($BX427&lt;&gt;Constants!$B$6,"",((Constants!$B$25-$AZ427)-Constants!$B$25)/Constants!$B$26)</f>
        <v/>
      </c>
      <c r="CC427" s="138" t="str">
        <f aca="false">IF(ISBLANK($C427),"",IF($BX427&lt;&gt;Constants!$B$6,$BX427,SUM($BZ427:$CB427)))</f>
        <v/>
      </c>
      <c r="CD427" s="135" t="str">
        <f aca="false">IF(ISBLANK($C427),"",IF($BX427&lt;&gt;Constants!$B$6,$BX427,RANK($CC427,$CC$9:$CC$508,1)))</f>
        <v/>
      </c>
      <c r="CE427" s="138" t="str">
        <f aca="false">IF($BX427&lt;&gt;Constants!$B$6,"",IF($BL427="-&gt;",$BT427,$BI427))</f>
        <v/>
      </c>
      <c r="CF427" s="135" t="str">
        <f aca="false">IF(ISBLANK($C427),"",IF($BX427&lt;&gt;Constants!$B$6,$BX427,IF(ISNUMBER($CE427),RANK($CE427,$CE$9:$CE$508,1),COUNT($CE$9:$CE$508)+1)))</f>
        <v/>
      </c>
      <c r="CG427" s="138" t="str">
        <f aca="false">IF($BX427&lt;&gt;Constants!$B$6,"",IF($BL427="-&gt;",$BU427,$BJ427))</f>
        <v/>
      </c>
      <c r="CH427" s="135" t="str">
        <f aca="false">IF(ISBLANK($C427),"",IF($BX427&lt;&gt;Constants!$B$6,$BX427,IF(ISNUMBER($CG427),RANK($CG427,$CG$9:$CG$508,1),COUNT($CG$9:$CG$508)+1)))</f>
        <v/>
      </c>
      <c r="CI427" s="138" t="str">
        <f aca="false">IF($BX427&lt;&gt;Constants!$B$6,"",IF($BL427="-&gt;",$BV427,$BK427))</f>
        <v/>
      </c>
      <c r="CJ427" s="135" t="str">
        <f aca="false">IF(ISBLANK($C427),"",IF($BX427&lt;&gt;Constants!$B$6,$BX427,IF(ISNUMBER($CI427),RANK($CI427,$CI$9:$CI$508,1),COUNT($CI$9:$CI$508)+1)))</f>
        <v/>
      </c>
      <c r="CK427" s="138" t="str">
        <f aca="false">IF($BX427&lt;&gt;Constants!$B$6,"",$AI427)</f>
        <v/>
      </c>
      <c r="CL427" s="135" t="str">
        <f aca="false">IF(ISBLANK($C427),"",IF($BX427&lt;&gt;Constants!$B$6,$BX427,IF(ISNUMBER($CK427),RANK($CK427,$CK$9:$CK$508,1),COUNT($CK$9:$CK$508)+1)))</f>
        <v/>
      </c>
      <c r="CM427" s="135" t="str">
        <f aca="false">IF(ISBLANK($C427),"",IF($BX427&lt;&gt;Constants!$B$6,$BX427,COUNTIFS($CD$9:$CD$508,"&lt;"&amp;$CD427)+COUNTIFS($CD$9:$CD$508,$CD427,$CF$9:$CF$508,"&lt;"&amp;$CF427)+COUNTIFS($CD$9:$CD$508,$CD427,$CF$9:$CF$508,$CF427,$CH$9:$CH$508,"&lt;"&amp;$CH427)+COUNTIFS($CD$9:$CD$508,$CD427,$CF$9:$CF$508,$CF427,$CH$9:$CH$508,$CH427,$CJ$9:$CJ$508,"&lt;"&amp;$CJ427)+COUNTIFS($CD$9:$CD$508,$CD427,$CF$9:$CF$508,$CF427,$CH$9:$CH$508,$CH427,$CJ$9:$CJ$508,$CJ427,$CL$9:$CL$508,"&lt;"&amp;$CL427)+1))</f>
        <v/>
      </c>
      <c r="CN427" s="135" t="str">
        <f aca="false">IF(ISBLANK($C427),"",IF($BX427&lt;&gt;Constants!$B$6,$BX427,$CD427-$CM427))</f>
        <v/>
      </c>
      <c r="CO427" s="141"/>
      <c r="CP427" s="142"/>
      <c r="CQ427" s="143" t="str">
        <f aca="false">IF(ISBLANK($C427),"",IF($BX427=Constants!$B$10,$BW427,""))</f>
        <v/>
      </c>
      <c r="CR427" s="142" t="str">
        <f aca="false">IF(ISBLANK($C427),"",IF($BX427&lt;&gt;Constants!$B$6,"",IF($BL427="-&gt;",2,1)))</f>
        <v/>
      </c>
      <c r="CS427" s="144" t="str">
        <f aca="false">IF(ISBLANK($C427),"",IF($BX427&lt;&gt;Constants!$B$6,"",IF($BL427="-&gt;",$BN427,$BC427)))</f>
        <v/>
      </c>
      <c r="CT427" s="144" t="str">
        <f aca="false">IF(ISBLANK($C427),"",IF($BX427&lt;&gt;Constants!$B$6,"",IF($BL427="-&gt;",$BO427,$BD427)))</f>
        <v/>
      </c>
      <c r="CU427" s="144" t="str">
        <f aca="false">IF(ISBLANK($C427),"",IF($BX427&lt;&gt;Constants!$B$6,"",IF($BL427="-&gt;",$BP427+$BQ427,$BE427+$BF427)+$CB427))</f>
        <v/>
      </c>
      <c r="CV427" s="144" t="str">
        <f aca="false">IF(ISBLANK($C427),"",IF($BX427&lt;&gt;Constants!$B$6,"",IF($BL427="-&gt;",$BR427,$BG427)+$CA427))</f>
        <v/>
      </c>
      <c r="CW427" s="145" t="str">
        <f aca="false">IF(ISBLANK($C427),"",IF($BX427&lt;&gt;Constants!$B$6,$BX427,$CC427))</f>
        <v/>
      </c>
      <c r="CX427" s="146" t="str">
        <f aca="false">IF(ISBLANK($C427),"",$BY427)</f>
        <v/>
      </c>
      <c r="CY427" s="147" t="str">
        <f aca="false">IF(ISBLANK($C427),"",$CN427)</f>
        <v/>
      </c>
      <c r="CZ427" s="147" t="str">
        <f aca="false">IF(ISBLANK($C427),"",$CM427)</f>
        <v/>
      </c>
      <c r="DA427" s="148" t="str">
        <f aca="false">IF(ISBLANK($C427),"",IFERROR(_xlfn.SWITCH($CZ427,Constants!$B$9,COUNTA($C$9:$C$508)+2,Constants!$B$8,COUNTA($C$9:$C$508)+1,Constants!$B$7,COUNTA($C$9:$C$508)),$CZ427))</f>
        <v/>
      </c>
      <c r="DB427" s="9"/>
      <c r="DC427" s="149" t="n">
        <f aca="false">IF(OR(ISNUMBER($CZ427),$CZ427=Constants!$B$9,$CZ427=Constants!$B$7,$CZ427=Constants!$B$8),1,0)</f>
        <v>0</v>
      </c>
      <c r="DD427" s="149" t="n">
        <v>419</v>
      </c>
      <c r="DE427" s="149" t="str">
        <f aca="false">IF(ISBLANK($C427),"",IF(ISNUMBER($DA427),$DA427+ROW($B427)/1000,""))</f>
        <v/>
      </c>
      <c r="DF427" s="149" t="str">
        <f aca="false">IF(ISNUMBER($DE427),RANK($DE427,$DE$9:$DE$508,1),"")</f>
        <v/>
      </c>
      <c r="DG427" s="149" t="str">
        <f aca="false">IF(ISBLANK($C427),"",$B427)</f>
        <v/>
      </c>
      <c r="DH427" s="149" t="str">
        <f aca="false">IF(ISBLANK($C427),"",$C427)</f>
        <v/>
      </c>
      <c r="DI427" s="149" t="str">
        <f aca="false">IF(ISBLANK($C427),"",$D427)</f>
        <v/>
      </c>
      <c r="DJ427" s="150" t="str">
        <f aca="false">$CX427</f>
        <v/>
      </c>
      <c r="DK427" s="151" t="str">
        <f aca="false">$CW427</f>
        <v/>
      </c>
      <c r="DL427" s="149" t="str">
        <f aca="false">IF(ISBLANK($C427),"",$CZ427)</f>
        <v/>
      </c>
      <c r="DM427" s="152" t="str">
        <f aca="false">IF($DD427&gt;$DC$8,"",VLOOKUP($DD427,$DF$9:$DL$508,7,FALSE()))</f>
        <v/>
      </c>
      <c r="DN427" s="153" t="str">
        <f aca="false">IF($DD427&gt;$DC$8,"",VLOOKUP($DD427,$DF$9:$DL$508,2,FALSE()))</f>
        <v/>
      </c>
      <c r="DO427" s="153" t="str">
        <f aca="false">IF($DD427&gt;$DC$8,"",VLOOKUP($DD427,$DF$9:$DL$508,3,FALSE()))</f>
        <v/>
      </c>
      <c r="DP427" s="153" t="str">
        <f aca="false">IF($DD427&gt;$DC$8,"",VLOOKUP($DD427,$DF$9:$DL$508,4,FALSE()))</f>
        <v/>
      </c>
      <c r="DQ427" s="153" t="str">
        <f aca="false">IF($DD427&gt;$DC$8,"",VLOOKUP($DD427,$DF$9:$DL$508,5,FALSE()))</f>
        <v/>
      </c>
      <c r="DR427" s="154" t="str">
        <f aca="false">IF($DD427&gt;$DC$8,"",VLOOKUP($DD427,$DF$9:$DL$508,6,FALSE()))</f>
        <v/>
      </c>
      <c r="DS427" s="76"/>
    </row>
    <row r="428" customFormat="false" ht="15.75" hidden="false" customHeight="false" outlineLevel="0" collapsed="false">
      <c r="A428" s="9"/>
      <c r="B428" s="160"/>
      <c r="C428" s="161"/>
      <c r="D428" s="162"/>
      <c r="E428" s="180"/>
      <c r="F428" s="164"/>
      <c r="G428" s="165"/>
      <c r="H428" s="165"/>
      <c r="I428" s="181"/>
      <c r="J428" s="168"/>
      <c r="K428" s="128"/>
      <c r="L428" s="129"/>
      <c r="M428" s="130"/>
      <c r="N428" s="168"/>
      <c r="O428" s="168"/>
      <c r="P428" s="180"/>
      <c r="Q428" s="168"/>
      <c r="R428" s="168"/>
      <c r="S428" s="128"/>
      <c r="T428" s="130"/>
      <c r="U428" s="130"/>
      <c r="V428" s="168"/>
      <c r="W428" s="168"/>
      <c r="X428" s="180"/>
      <c r="Y428" s="168"/>
      <c r="Z428" s="169"/>
      <c r="AA428" s="168"/>
      <c r="AB428" s="134"/>
      <c r="AC428" s="135"/>
      <c r="AD428" s="135"/>
      <c r="AE428" s="135"/>
      <c r="AF428" s="135" t="str">
        <f aca="false">IF(ISBLANK($C428),"",IF(E428=Constants!$B$2,TRUE(),IF(E428=Constants!$B$3,FALSE(),TRUE())))</f>
        <v/>
      </c>
      <c r="AG428" s="135" t="str">
        <f aca="false">IF(ISBLANK($C428),"",IF(F428=Constants!$B$2,TRUE(),IF(F428=Constants!$B$3,FALSE(),TRUE())))</f>
        <v/>
      </c>
      <c r="AH428" s="135" t="str">
        <f aca="false">IF(ISBLANK($C428),"",IF(G428=Constants!$B$2,TRUE(),IF(G428=Constants!$B$3,FALSE(),TRUE())))</f>
        <v/>
      </c>
      <c r="AI428" s="135" t="str">
        <f aca="false">IF(ISBLANK($C428),"",IF(AND(ISNUMBER(H428),H428&gt;=0),H428,Constants!$B$24))</f>
        <v/>
      </c>
      <c r="AJ428" s="135" t="str">
        <f aca="false">IF(ISBLANK($C428),"",IF(I428=Constants!$B$2,TRUE(),IF(I428=Constants!$B$3,FALSE(),TRUE())))</f>
        <v/>
      </c>
      <c r="AK428" s="135" t="str">
        <f aca="false">IF(ISBLANK($C428),"",IF(J428=Constants!$B$2,TRUE(),IF(J428=Constants!$B$3,FALSE(),TRUE())))</f>
        <v/>
      </c>
      <c r="AL428" s="135" t="str">
        <f aca="false">IF(ISBLANK($C428),"",IF(K428=Constants!$B$4,TRUE(),IF(K428=Constants!$B$5,FALSE(),COUNTA(L428:P428)&gt;0)))</f>
        <v/>
      </c>
      <c r="AM428" s="136" t="str">
        <f aca="false">IF(ISBLANK($C428),"",IF(ISNUMBER(L428),IF(L428&gt;=0,L428,""),""))</f>
        <v/>
      </c>
      <c r="AN428" s="137" t="str">
        <f aca="false">IF(ISBLANK($C428),"",IF(ISNUMBER(M428),IF(M428&gt;=0,M428,""),""))</f>
        <v/>
      </c>
      <c r="AO428" s="137" t="str">
        <f aca="false">IF(ISBLANK($C428),"",IF(N428=Constants!$B$2,TRUE(),IF(N428=Constants!$B$3,FALSE(),TRUE())))</f>
        <v/>
      </c>
      <c r="AP428" s="135" t="str">
        <f aca="false">IF(ISBLANK($C428),"",IF(ISNUMBER(O428),IF(O428&gt;=0,O428,""),""))</f>
        <v/>
      </c>
      <c r="AQ428" s="135" t="str">
        <f aca="false">IF(ISBLANK($C428),"",IF(P428=Constants!$B$2,TRUE(),IF(P428=Constants!$B$3,FALSE(),FALSE())))</f>
        <v/>
      </c>
      <c r="AR428" s="135" t="str">
        <f aca="false">IF(ISBLANK($C428),"",IF(Q428=Constants!$B$2,TRUE(),IF(Q428=Constants!$B$3,FALSE(),TRUE())))</f>
        <v/>
      </c>
      <c r="AS428" s="135" t="str">
        <f aca="false">IF(ISBLANK($C428),"",IF(R428=Constants!$B$2,TRUE(),IF(R428=Constants!$B$3,FALSE(),TRUE())))</f>
        <v/>
      </c>
      <c r="AT428" s="135" t="str">
        <f aca="false">IF(ISBLANK($C428),"",IF(S428=Constants!$B$4,TRUE(),IF(S428=Constants!$B$5,FALSE(),COUNTA(T428:X428)&gt;0)))</f>
        <v/>
      </c>
      <c r="AU428" s="136" t="str">
        <f aca="false">IF(ISBLANK($C428),"",IF(ISNUMBER(T428),IF(T428&gt;=0,T428,""),""))</f>
        <v/>
      </c>
      <c r="AV428" s="137" t="str">
        <f aca="false">IF(ISBLANK($C428),"",IF(ISNUMBER(U428),IF(U428&gt;=0,U428,""),""))</f>
        <v/>
      </c>
      <c r="AW428" s="137" t="str">
        <f aca="false">IF(ISBLANK($C428),"",IF(V428=Constants!$B$2,TRUE(),IF(V428=Constants!$B$3,FALSE(),TRUE())))</f>
        <v/>
      </c>
      <c r="AX428" s="135" t="str">
        <f aca="false">IF(ISBLANK($C428),"",IF(ISNUMBER(W428),IF(W428&gt;=0,W428,""),""))</f>
        <v/>
      </c>
      <c r="AY428" s="135" t="str">
        <f aca="false">IF(ISBLANK($C428),"",IF(X428=Constants!$B$2,TRUE(),IF(X428=Constants!$B$3,FALSE(),FALSE())))</f>
        <v/>
      </c>
      <c r="AZ428" s="135" t="str">
        <f aca="false">IF(ISBLANK($C428),"",MIN(Constants!$B$25,MAX(0,IF(ISNUMBER(Y428),Y428*60,0)+IF(ISNUMBER(Z428),Z428,0))))</f>
        <v/>
      </c>
      <c r="BA428" s="135" t="str">
        <f aca="false">IF(ISBLANK($C428),"",IF(AA428=Constants!$B$2,TRUE(),IF(AA428=Constants!$B$3,FALSE(),FALSE())))</f>
        <v/>
      </c>
      <c r="BB428" s="134" t="str">
        <f aca="false">IF(ISBLANK($C428),"",AND($AL428,OR($AM428="",$AN428="",AND($AO428,$AP428=""))))</f>
        <v/>
      </c>
      <c r="BC428" s="137" t="str">
        <f aca="false">IF($BX428&lt;&gt;Constants!$B$6,"",IF($AL428,Constants!$B$17*$AN428+Constants!$B$18*IF($AO428,$AP428,Constants!$B$19),Constants!$B$20))</f>
        <v/>
      </c>
      <c r="BD428" s="138" t="str">
        <f aca="false">IF($BX428&lt;&gt;Constants!$B$6,"",Constants!$B$21*ABS($AD$9-IF($AL428,$AM428,0)))</f>
        <v/>
      </c>
      <c r="BE428" s="138" t="str">
        <f aca="false">IF($BX428&lt;&gt;Constants!$B$6,"",IF(AND($AL428,$AQ428,$AO428),Constants!$B$22,0))</f>
        <v/>
      </c>
      <c r="BF428" s="138" t="str">
        <f aca="false">IF($BX428&lt;&gt;Constants!$B$6,"",IF($AL428,($AI428-Constants!$B$24)*Constants!$B$23,0))</f>
        <v/>
      </c>
      <c r="BG428" s="138" t="str">
        <f aca="false">IF($BX428&lt;&gt;Constants!$B$6,"",IF($AK428,0,Constants!$B$12)+IF($AJ428,0,Constants!$B$13)+IF($AH428,0,Constants!$B$14))</f>
        <v/>
      </c>
      <c r="BH428" s="139" t="str">
        <f aca="false">IF($BX428&lt;&gt;Constants!$B$6,"",Constants!$B$16+SUM($BC428:$BG428))</f>
        <v/>
      </c>
      <c r="BI428" s="138" t="str">
        <f aca="false">IF($BX428&lt;&gt;Constants!$B$6,"",$BC428)</f>
        <v/>
      </c>
      <c r="BJ428" s="138" t="str">
        <f aca="false">IF($BX428&lt;&gt;Constants!$B$6,"",$BD428)</f>
        <v/>
      </c>
      <c r="BK428" s="140" t="str">
        <f aca="false">IF($BX428&lt;&gt;Constants!$B$6,"",IF($AL428,$AN428,""))</f>
        <v/>
      </c>
      <c r="BL428" s="135" t="str">
        <f aca="false">IF($BX428&lt;&gt;Constants!$B$6,"",IF(OR($BS428&lt;$BH428,AND($BS428=$BH428,OR($BT428&lt;$BI428,AND($BT428=$BI428,OR($BU428&lt;$BJ428,AND($BU428=$BJ428,AND(ISNUMBER($BV428),OR(NOT(ISNUMBER($BK428)),$BV428&lt;$BK428)))))))),"-&gt;","&lt;-"))</f>
        <v/>
      </c>
      <c r="BM428" s="134" t="str">
        <f aca="false">IF(ISBLANK($C428),"",AND($AT428,OR($AU428="",$AV428="",AND($AW428,$AX428=""))))</f>
        <v/>
      </c>
      <c r="BN428" s="137" t="str">
        <f aca="false">IF($BX428&lt;&gt;Constants!$B$6,"",IF($AT428,Constants!$B$17*$AV428+Constants!$B$18*IF($AW428,$AX428,Constants!$B$19),Constants!$B$20))</f>
        <v/>
      </c>
      <c r="BO428" s="138" t="str">
        <f aca="false">IF($BX428&lt;&gt;Constants!$B$6,"",Constants!$B$21*ABS($AD$9-IF($AT428,$AU428,0)))</f>
        <v/>
      </c>
      <c r="BP428" s="138" t="str">
        <f aca="false">IF($BX428&lt;&gt;Constants!$B$6,"",IF(AND($AT428,$AY428,$AW428),Constants!$B$22,0))</f>
        <v/>
      </c>
      <c r="BQ428" s="138" t="str">
        <f aca="false">IF($BX428&lt;&gt;Constants!$B$6,"",IF($AT428,($AI428-Constants!$B$24)*Constants!$B$23,0))</f>
        <v/>
      </c>
      <c r="BR428" s="138" t="str">
        <f aca="false">IF($BX428&lt;&gt;Constants!$B$6,"",IF($AS428,0,Constants!$B$12)+IF($AR428,0,Constants!$B$13)+IF($AH428,0,Constants!$B$14))</f>
        <v/>
      </c>
      <c r="BS428" s="139" t="str">
        <f aca="false">IF($BX428&lt;&gt;Constants!$B$6,"",Constants!$B$16+SUM($BN428:$BR428))</f>
        <v/>
      </c>
      <c r="BT428" s="138" t="str">
        <f aca="false">IF($BX428&lt;&gt;Constants!$B$6,"",$BN428)</f>
        <v/>
      </c>
      <c r="BU428" s="138" t="str">
        <f aca="false">IF($BX428&lt;&gt;Constants!$B$6,"",$BO428)</f>
        <v/>
      </c>
      <c r="BV428" s="140" t="str">
        <f aca="false">IF($BX428&lt;&gt;Constants!$B$6,"",IF($AT428,$AV428,""))</f>
        <v/>
      </c>
      <c r="BW428" s="135" t="str">
        <f aca="false">IF(ISBLANK($C428),"",IF(ISBLANK($D$7),$BW$5,IF(NOT(ISNUMBER($D$7)),$BW$6,"")))</f>
        <v/>
      </c>
      <c r="BX428" s="135" t="str">
        <f aca="false">IF(ISBLANK($C428),"",IF($BA428,Constants!$B$9,IF(COUNTA($E428:$AA428)=0,Constants!$B$8,IF(NOT($AG428),Constants!$B$7,IF(OR($BW428&lt;&gt;"",$BB428,$BM428),Constants!$B$10,Constants!$B$6)))))</f>
        <v/>
      </c>
      <c r="BY428" s="135" t="str">
        <f aca="false">IF(ISBLANK($C428),"",IF($BX428&lt;&gt;Constants!$B$6,$BX428,Constants!$B$11))</f>
        <v/>
      </c>
      <c r="BZ428" s="138" t="str">
        <f aca="false">IF($BX428&lt;&gt;Constants!$B$6,"",IF($BL428="-&gt;",$BS428,$BH428))</f>
        <v/>
      </c>
      <c r="CA428" s="138" t="str">
        <f aca="false">IF($BX428&lt;&gt;Constants!$B$6,"",IF($AF428,0,Constants!$B$15))</f>
        <v/>
      </c>
      <c r="CB428" s="138" t="str">
        <f aca="false">IF($BX428&lt;&gt;Constants!$B$6,"",((Constants!$B$25-$AZ428)-Constants!$B$25)/Constants!$B$26)</f>
        <v/>
      </c>
      <c r="CC428" s="138" t="str">
        <f aca="false">IF(ISBLANK($C428),"",IF($BX428&lt;&gt;Constants!$B$6,$BX428,SUM($BZ428:$CB428)))</f>
        <v/>
      </c>
      <c r="CD428" s="135" t="str">
        <f aca="false">IF(ISBLANK($C428),"",IF($BX428&lt;&gt;Constants!$B$6,$BX428,RANK($CC428,$CC$9:$CC$508,1)))</f>
        <v/>
      </c>
      <c r="CE428" s="138" t="str">
        <f aca="false">IF($BX428&lt;&gt;Constants!$B$6,"",IF($BL428="-&gt;",$BT428,$BI428))</f>
        <v/>
      </c>
      <c r="CF428" s="135" t="str">
        <f aca="false">IF(ISBLANK($C428),"",IF($BX428&lt;&gt;Constants!$B$6,$BX428,IF(ISNUMBER($CE428),RANK($CE428,$CE$9:$CE$508,1),COUNT($CE$9:$CE$508)+1)))</f>
        <v/>
      </c>
      <c r="CG428" s="138" t="str">
        <f aca="false">IF($BX428&lt;&gt;Constants!$B$6,"",IF($BL428="-&gt;",$BU428,$BJ428))</f>
        <v/>
      </c>
      <c r="CH428" s="135" t="str">
        <f aca="false">IF(ISBLANK($C428),"",IF($BX428&lt;&gt;Constants!$B$6,$BX428,IF(ISNUMBER($CG428),RANK($CG428,$CG$9:$CG$508,1),COUNT($CG$9:$CG$508)+1)))</f>
        <v/>
      </c>
      <c r="CI428" s="138" t="str">
        <f aca="false">IF($BX428&lt;&gt;Constants!$B$6,"",IF($BL428="-&gt;",$BV428,$BK428))</f>
        <v/>
      </c>
      <c r="CJ428" s="135" t="str">
        <f aca="false">IF(ISBLANK($C428),"",IF($BX428&lt;&gt;Constants!$B$6,$BX428,IF(ISNUMBER($CI428),RANK($CI428,$CI$9:$CI$508,1),COUNT($CI$9:$CI$508)+1)))</f>
        <v/>
      </c>
      <c r="CK428" s="138" t="str">
        <f aca="false">IF($BX428&lt;&gt;Constants!$B$6,"",$AI428)</f>
        <v/>
      </c>
      <c r="CL428" s="135" t="str">
        <f aca="false">IF(ISBLANK($C428),"",IF($BX428&lt;&gt;Constants!$B$6,$BX428,IF(ISNUMBER($CK428),RANK($CK428,$CK$9:$CK$508,1),COUNT($CK$9:$CK$508)+1)))</f>
        <v/>
      </c>
      <c r="CM428" s="135" t="str">
        <f aca="false">IF(ISBLANK($C428),"",IF($BX428&lt;&gt;Constants!$B$6,$BX428,COUNTIFS($CD$9:$CD$508,"&lt;"&amp;$CD428)+COUNTIFS($CD$9:$CD$508,$CD428,$CF$9:$CF$508,"&lt;"&amp;$CF428)+COUNTIFS($CD$9:$CD$508,$CD428,$CF$9:$CF$508,$CF428,$CH$9:$CH$508,"&lt;"&amp;$CH428)+COUNTIFS($CD$9:$CD$508,$CD428,$CF$9:$CF$508,$CF428,$CH$9:$CH$508,$CH428,$CJ$9:$CJ$508,"&lt;"&amp;$CJ428)+COUNTIFS($CD$9:$CD$508,$CD428,$CF$9:$CF$508,$CF428,$CH$9:$CH$508,$CH428,$CJ$9:$CJ$508,$CJ428,$CL$9:$CL$508,"&lt;"&amp;$CL428)+1))</f>
        <v/>
      </c>
      <c r="CN428" s="135" t="str">
        <f aca="false">IF(ISBLANK($C428),"",IF($BX428&lt;&gt;Constants!$B$6,$BX428,$CD428-$CM428))</f>
        <v/>
      </c>
      <c r="CO428" s="141"/>
      <c r="CP428" s="142"/>
      <c r="CQ428" s="143" t="str">
        <f aca="false">IF(ISBLANK($C428),"",IF($BX428=Constants!$B$10,$BW428,""))</f>
        <v/>
      </c>
      <c r="CR428" s="142" t="str">
        <f aca="false">IF(ISBLANK($C428),"",IF($BX428&lt;&gt;Constants!$B$6,"",IF($BL428="-&gt;",2,1)))</f>
        <v/>
      </c>
      <c r="CS428" s="144" t="str">
        <f aca="false">IF(ISBLANK($C428),"",IF($BX428&lt;&gt;Constants!$B$6,"",IF($BL428="-&gt;",$BN428,$BC428)))</f>
        <v/>
      </c>
      <c r="CT428" s="144" t="str">
        <f aca="false">IF(ISBLANK($C428),"",IF($BX428&lt;&gt;Constants!$B$6,"",IF($BL428="-&gt;",$BO428,$BD428)))</f>
        <v/>
      </c>
      <c r="CU428" s="144" t="str">
        <f aca="false">IF(ISBLANK($C428),"",IF($BX428&lt;&gt;Constants!$B$6,"",IF($BL428="-&gt;",$BP428+$BQ428,$BE428+$BF428)+$CB428))</f>
        <v/>
      </c>
      <c r="CV428" s="144" t="str">
        <f aca="false">IF(ISBLANK($C428),"",IF($BX428&lt;&gt;Constants!$B$6,"",IF($BL428="-&gt;",$BR428,$BG428)+$CA428))</f>
        <v/>
      </c>
      <c r="CW428" s="145" t="str">
        <f aca="false">IF(ISBLANK($C428),"",IF($BX428&lt;&gt;Constants!$B$6,$BX428,$CC428))</f>
        <v/>
      </c>
      <c r="CX428" s="146" t="str">
        <f aca="false">IF(ISBLANK($C428),"",$BY428)</f>
        <v/>
      </c>
      <c r="CY428" s="147" t="str">
        <f aca="false">IF(ISBLANK($C428),"",$CN428)</f>
        <v/>
      </c>
      <c r="CZ428" s="147" t="str">
        <f aca="false">IF(ISBLANK($C428),"",$CM428)</f>
        <v/>
      </c>
      <c r="DA428" s="148" t="str">
        <f aca="false">IF(ISBLANK($C428),"",IFERROR(_xlfn.SWITCH($CZ428,Constants!$B$9,COUNTA($C$9:$C$508)+2,Constants!$B$8,COUNTA($C$9:$C$508)+1,Constants!$B$7,COUNTA($C$9:$C$508)),$CZ428))</f>
        <v/>
      </c>
      <c r="DB428" s="9"/>
      <c r="DC428" s="149" t="n">
        <f aca="false">IF(OR(ISNUMBER($CZ428),$CZ428=Constants!$B$9,$CZ428=Constants!$B$7,$CZ428=Constants!$B$8),1,0)</f>
        <v>0</v>
      </c>
      <c r="DD428" s="149" t="n">
        <v>420</v>
      </c>
      <c r="DE428" s="149" t="str">
        <f aca="false">IF(ISBLANK($C428),"",IF(ISNUMBER($DA428),$DA428+ROW($B428)/1000,""))</f>
        <v/>
      </c>
      <c r="DF428" s="149" t="str">
        <f aca="false">IF(ISNUMBER($DE428),RANK($DE428,$DE$9:$DE$508,1),"")</f>
        <v/>
      </c>
      <c r="DG428" s="149" t="str">
        <f aca="false">IF(ISBLANK($C428),"",$B428)</f>
        <v/>
      </c>
      <c r="DH428" s="149" t="str">
        <f aca="false">IF(ISBLANK($C428),"",$C428)</f>
        <v/>
      </c>
      <c r="DI428" s="149" t="str">
        <f aca="false">IF(ISBLANK($C428),"",$D428)</f>
        <v/>
      </c>
      <c r="DJ428" s="150" t="str">
        <f aca="false">$CX428</f>
        <v/>
      </c>
      <c r="DK428" s="151" t="str">
        <f aca="false">$CW428</f>
        <v/>
      </c>
      <c r="DL428" s="149" t="str">
        <f aca="false">IF(ISBLANK($C428),"",$CZ428)</f>
        <v/>
      </c>
      <c r="DM428" s="152" t="str">
        <f aca="false">IF($DD428&gt;$DC$8,"",VLOOKUP($DD428,$DF$9:$DL$508,7,FALSE()))</f>
        <v/>
      </c>
      <c r="DN428" s="153" t="str">
        <f aca="false">IF($DD428&gt;$DC$8,"",VLOOKUP($DD428,$DF$9:$DL$508,2,FALSE()))</f>
        <v/>
      </c>
      <c r="DO428" s="153" t="str">
        <f aca="false">IF($DD428&gt;$DC$8,"",VLOOKUP($DD428,$DF$9:$DL$508,3,FALSE()))</f>
        <v/>
      </c>
      <c r="DP428" s="153" t="str">
        <f aca="false">IF($DD428&gt;$DC$8,"",VLOOKUP($DD428,$DF$9:$DL$508,4,FALSE()))</f>
        <v/>
      </c>
      <c r="DQ428" s="153" t="str">
        <f aca="false">IF($DD428&gt;$DC$8,"",VLOOKUP($DD428,$DF$9:$DL$508,5,FALSE()))</f>
        <v/>
      </c>
      <c r="DR428" s="154" t="str">
        <f aca="false">IF($DD428&gt;$DC$8,"",VLOOKUP($DD428,$DF$9:$DL$508,6,FALSE()))</f>
        <v/>
      </c>
      <c r="DS428" s="76"/>
    </row>
    <row r="429" customFormat="false" ht="15.75" hidden="false" customHeight="false" outlineLevel="0" collapsed="false">
      <c r="A429" s="9"/>
      <c r="B429" s="78"/>
      <c r="C429" s="79"/>
      <c r="D429" s="170"/>
      <c r="E429" s="178"/>
      <c r="F429" s="172"/>
      <c r="G429" s="173"/>
      <c r="H429" s="173"/>
      <c r="I429" s="179"/>
      <c r="J429" s="176"/>
      <c r="K429" s="86"/>
      <c r="L429" s="87"/>
      <c r="M429" s="88"/>
      <c r="N429" s="176"/>
      <c r="O429" s="176"/>
      <c r="P429" s="178"/>
      <c r="Q429" s="176"/>
      <c r="R429" s="176"/>
      <c r="S429" s="86"/>
      <c r="T429" s="88"/>
      <c r="U429" s="88"/>
      <c r="V429" s="176"/>
      <c r="W429" s="176"/>
      <c r="X429" s="178"/>
      <c r="Y429" s="176"/>
      <c r="Z429" s="177"/>
      <c r="AA429" s="176"/>
      <c r="AB429" s="92"/>
      <c r="AC429" s="93"/>
      <c r="AD429" s="93"/>
      <c r="AE429" s="93"/>
      <c r="AF429" s="93" t="str">
        <f aca="false">IF(ISBLANK($C429),"",IF(E429=Constants!$B$2,TRUE(),IF(E429=Constants!$B$3,FALSE(),TRUE())))</f>
        <v/>
      </c>
      <c r="AG429" s="93" t="str">
        <f aca="false">IF(ISBLANK($C429),"",IF(F429=Constants!$B$2,TRUE(),IF(F429=Constants!$B$3,FALSE(),TRUE())))</f>
        <v/>
      </c>
      <c r="AH429" s="93" t="str">
        <f aca="false">IF(ISBLANK($C429),"",IF(G429=Constants!$B$2,TRUE(),IF(G429=Constants!$B$3,FALSE(),TRUE())))</f>
        <v/>
      </c>
      <c r="AI429" s="93" t="str">
        <f aca="false">IF(ISBLANK($C429),"",IF(AND(ISNUMBER(H429),H429&gt;=0),H429,Constants!$B$24))</f>
        <v/>
      </c>
      <c r="AJ429" s="93" t="str">
        <f aca="false">IF(ISBLANK($C429),"",IF(I429=Constants!$B$2,TRUE(),IF(I429=Constants!$B$3,FALSE(),TRUE())))</f>
        <v/>
      </c>
      <c r="AK429" s="93" t="str">
        <f aca="false">IF(ISBLANK($C429),"",IF(J429=Constants!$B$2,TRUE(),IF(J429=Constants!$B$3,FALSE(),TRUE())))</f>
        <v/>
      </c>
      <c r="AL429" s="93" t="str">
        <f aca="false">IF(ISBLANK($C429),"",IF(K429=Constants!$B$4,TRUE(),IF(K429=Constants!$B$5,FALSE(),COUNTA(L429:P429)&gt;0)))</f>
        <v/>
      </c>
      <c r="AM429" s="95" t="str">
        <f aca="false">IF(ISBLANK($C429),"",IF(ISNUMBER(L429),IF(L429&gt;=0,L429,""),""))</f>
        <v/>
      </c>
      <c r="AN429" s="94" t="str">
        <f aca="false">IF(ISBLANK($C429),"",IF(ISNUMBER(M429),IF(M429&gt;=0,M429,""),""))</f>
        <v/>
      </c>
      <c r="AO429" s="94" t="str">
        <f aca="false">IF(ISBLANK($C429),"",IF(N429=Constants!$B$2,TRUE(),IF(N429=Constants!$B$3,FALSE(),TRUE())))</f>
        <v/>
      </c>
      <c r="AP429" s="93" t="str">
        <f aca="false">IF(ISBLANK($C429),"",IF(ISNUMBER(O429),IF(O429&gt;=0,O429,""),""))</f>
        <v/>
      </c>
      <c r="AQ429" s="93" t="str">
        <f aca="false">IF(ISBLANK($C429),"",IF(P429=Constants!$B$2,TRUE(),IF(P429=Constants!$B$3,FALSE(),FALSE())))</f>
        <v/>
      </c>
      <c r="AR429" s="93" t="str">
        <f aca="false">IF(ISBLANK($C429),"",IF(Q429=Constants!$B$2,TRUE(),IF(Q429=Constants!$B$3,FALSE(),TRUE())))</f>
        <v/>
      </c>
      <c r="AS429" s="93" t="str">
        <f aca="false">IF(ISBLANK($C429),"",IF(R429=Constants!$B$2,TRUE(),IF(R429=Constants!$B$3,FALSE(),TRUE())))</f>
        <v/>
      </c>
      <c r="AT429" s="93" t="str">
        <f aca="false">IF(ISBLANK($C429),"",IF(S429=Constants!$B$4,TRUE(),IF(S429=Constants!$B$5,FALSE(),COUNTA(T429:X429)&gt;0)))</f>
        <v/>
      </c>
      <c r="AU429" s="95" t="str">
        <f aca="false">IF(ISBLANK($C429),"",IF(ISNUMBER(T429),IF(T429&gt;=0,T429,""),""))</f>
        <v/>
      </c>
      <c r="AV429" s="94" t="str">
        <f aca="false">IF(ISBLANK($C429),"",IF(ISNUMBER(U429),IF(U429&gt;=0,U429,""),""))</f>
        <v/>
      </c>
      <c r="AW429" s="94" t="str">
        <f aca="false">IF(ISBLANK($C429),"",IF(V429=Constants!$B$2,TRUE(),IF(V429=Constants!$B$3,FALSE(),TRUE())))</f>
        <v/>
      </c>
      <c r="AX429" s="93" t="str">
        <f aca="false">IF(ISBLANK($C429),"",IF(ISNUMBER(W429),IF(W429&gt;=0,W429,""),""))</f>
        <v/>
      </c>
      <c r="AY429" s="93" t="str">
        <f aca="false">IF(ISBLANK($C429),"",IF(X429=Constants!$B$2,TRUE(),IF(X429=Constants!$B$3,FALSE(),FALSE())))</f>
        <v/>
      </c>
      <c r="AZ429" s="93" t="str">
        <f aca="false">IF(ISBLANK($C429),"",MIN(Constants!$B$25,MAX(0,IF(ISNUMBER(Y429),Y429*60,0)+IF(ISNUMBER(Z429),Z429,0))))</f>
        <v/>
      </c>
      <c r="BA429" s="93" t="str">
        <f aca="false">IF(ISBLANK($C429),"",IF(AA429=Constants!$B$2,TRUE(),IF(AA429=Constants!$B$3,FALSE(),FALSE())))</f>
        <v/>
      </c>
      <c r="BB429" s="92" t="str">
        <f aca="false">IF(ISBLANK($C429),"",AND($AL429,OR($AM429="",$AN429="",AND($AO429,$AP429=""))))</f>
        <v/>
      </c>
      <c r="BC429" s="94" t="str">
        <f aca="false">IF($BX429&lt;&gt;Constants!$B$6,"",IF($AL429,Constants!$B$17*$AN429+Constants!$B$18*IF($AO429,$AP429,Constants!$B$19),Constants!$B$20))</f>
        <v/>
      </c>
      <c r="BD429" s="97" t="str">
        <f aca="false">IF($BX429&lt;&gt;Constants!$B$6,"",Constants!$B$21*ABS($AD$9-IF($AL429,$AM429,0)))</f>
        <v/>
      </c>
      <c r="BE429" s="97" t="str">
        <f aca="false">IF($BX429&lt;&gt;Constants!$B$6,"",IF(AND($AL429,$AQ429,$AO429),Constants!$B$22,0))</f>
        <v/>
      </c>
      <c r="BF429" s="97" t="str">
        <f aca="false">IF($BX429&lt;&gt;Constants!$B$6,"",IF($AL429,($AI429-Constants!$B$24)*Constants!$B$23,0))</f>
        <v/>
      </c>
      <c r="BG429" s="97" t="str">
        <f aca="false">IF($BX429&lt;&gt;Constants!$B$6,"",IF($AK429,0,Constants!$B$12)+IF($AJ429,0,Constants!$B$13)+IF($AH429,0,Constants!$B$14))</f>
        <v/>
      </c>
      <c r="BH429" s="98" t="str">
        <f aca="false">IF($BX429&lt;&gt;Constants!$B$6,"",Constants!$B$16+SUM($BC429:$BG429))</f>
        <v/>
      </c>
      <c r="BI429" s="97" t="str">
        <f aca="false">IF($BX429&lt;&gt;Constants!$B$6,"",$BC429)</f>
        <v/>
      </c>
      <c r="BJ429" s="97" t="str">
        <f aca="false">IF($BX429&lt;&gt;Constants!$B$6,"",$BD429)</f>
        <v/>
      </c>
      <c r="BK429" s="99" t="str">
        <f aca="false">IF($BX429&lt;&gt;Constants!$B$6,"",IF($AL429,$AN429,""))</f>
        <v/>
      </c>
      <c r="BL429" s="93" t="str">
        <f aca="false">IF($BX429&lt;&gt;Constants!$B$6,"",IF(OR($BS429&lt;$BH429,AND($BS429=$BH429,OR($BT429&lt;$BI429,AND($BT429=$BI429,OR($BU429&lt;$BJ429,AND($BU429=$BJ429,AND(ISNUMBER($BV429),OR(NOT(ISNUMBER($BK429)),$BV429&lt;$BK429)))))))),"-&gt;","&lt;-"))</f>
        <v/>
      </c>
      <c r="BM429" s="92" t="str">
        <f aca="false">IF(ISBLANK($C429),"",AND($AT429,OR($AU429="",$AV429="",AND($AW429,$AX429=""))))</f>
        <v/>
      </c>
      <c r="BN429" s="94" t="str">
        <f aca="false">IF($BX429&lt;&gt;Constants!$B$6,"",IF($AT429,Constants!$B$17*$AV429+Constants!$B$18*IF($AW429,$AX429,Constants!$B$19),Constants!$B$20))</f>
        <v/>
      </c>
      <c r="BO429" s="97" t="str">
        <f aca="false">IF($BX429&lt;&gt;Constants!$B$6,"",Constants!$B$21*ABS($AD$9-IF($AT429,$AU429,0)))</f>
        <v/>
      </c>
      <c r="BP429" s="97" t="str">
        <f aca="false">IF($BX429&lt;&gt;Constants!$B$6,"",IF(AND($AT429,$AY429,$AW429),Constants!$B$22,0))</f>
        <v/>
      </c>
      <c r="BQ429" s="97" t="str">
        <f aca="false">IF($BX429&lt;&gt;Constants!$B$6,"",IF($AT429,($AI429-Constants!$B$24)*Constants!$B$23,0))</f>
        <v/>
      </c>
      <c r="BR429" s="97" t="str">
        <f aca="false">IF($BX429&lt;&gt;Constants!$B$6,"",IF($AS429,0,Constants!$B$12)+IF($AR429,0,Constants!$B$13)+IF($AH429,0,Constants!$B$14))</f>
        <v/>
      </c>
      <c r="BS429" s="98" t="str">
        <f aca="false">IF($BX429&lt;&gt;Constants!$B$6,"",Constants!$B$16+SUM($BN429:$BR429))</f>
        <v/>
      </c>
      <c r="BT429" s="97" t="str">
        <f aca="false">IF($BX429&lt;&gt;Constants!$B$6,"",$BN429)</f>
        <v/>
      </c>
      <c r="BU429" s="97" t="str">
        <f aca="false">IF($BX429&lt;&gt;Constants!$B$6,"",$BO429)</f>
        <v/>
      </c>
      <c r="BV429" s="99" t="str">
        <f aca="false">IF($BX429&lt;&gt;Constants!$B$6,"",IF($AT429,$AV429,""))</f>
        <v/>
      </c>
      <c r="BW429" s="93" t="str">
        <f aca="false">IF(ISBLANK($C429),"",IF(ISBLANK($D$7),$BW$5,IF(NOT(ISNUMBER($D$7)),$BW$6,"")))</f>
        <v/>
      </c>
      <c r="BX429" s="93" t="str">
        <f aca="false">IF(ISBLANK($C429),"",IF($BA429,Constants!$B$9,IF(COUNTA($E429:$AA429)=0,Constants!$B$8,IF(NOT($AG429),Constants!$B$7,IF(OR($BW429&lt;&gt;"",$BB429,$BM429),Constants!$B$10,Constants!$B$6)))))</f>
        <v/>
      </c>
      <c r="BY429" s="93" t="str">
        <f aca="false">IF(ISBLANK($C429),"",IF($BX429&lt;&gt;Constants!$B$6,$BX429,Constants!$B$11))</f>
        <v/>
      </c>
      <c r="BZ429" s="97" t="str">
        <f aca="false">IF($BX429&lt;&gt;Constants!$B$6,"",IF($BL429="-&gt;",$BS429,$BH429))</f>
        <v/>
      </c>
      <c r="CA429" s="97" t="str">
        <f aca="false">IF($BX429&lt;&gt;Constants!$B$6,"",IF($AF429,0,Constants!$B$15))</f>
        <v/>
      </c>
      <c r="CB429" s="97" t="str">
        <f aca="false">IF($BX429&lt;&gt;Constants!$B$6,"",((Constants!$B$25-$AZ429)-Constants!$B$25)/Constants!$B$26)</f>
        <v/>
      </c>
      <c r="CC429" s="97" t="str">
        <f aca="false">IF(ISBLANK($C429),"",IF($BX429&lt;&gt;Constants!$B$6,$BX429,SUM($BZ429:$CB429)))</f>
        <v/>
      </c>
      <c r="CD429" s="93" t="str">
        <f aca="false">IF(ISBLANK($C429),"",IF($BX429&lt;&gt;Constants!$B$6,$BX429,RANK($CC429,$CC$9:$CC$508,1)))</f>
        <v/>
      </c>
      <c r="CE429" s="97" t="str">
        <f aca="false">IF($BX429&lt;&gt;Constants!$B$6,"",IF($BL429="-&gt;",$BT429,$BI429))</f>
        <v/>
      </c>
      <c r="CF429" s="93" t="str">
        <f aca="false">IF(ISBLANK($C429),"",IF($BX429&lt;&gt;Constants!$B$6,$BX429,IF(ISNUMBER($CE429),RANK($CE429,$CE$9:$CE$508,1),COUNT($CE$9:$CE$508)+1)))</f>
        <v/>
      </c>
      <c r="CG429" s="97" t="str">
        <f aca="false">IF($BX429&lt;&gt;Constants!$B$6,"",IF($BL429="-&gt;",$BU429,$BJ429))</f>
        <v/>
      </c>
      <c r="CH429" s="93" t="str">
        <f aca="false">IF(ISBLANK($C429),"",IF($BX429&lt;&gt;Constants!$B$6,$BX429,IF(ISNUMBER($CG429),RANK($CG429,$CG$9:$CG$508,1),COUNT($CG$9:$CG$508)+1)))</f>
        <v/>
      </c>
      <c r="CI429" s="97" t="str">
        <f aca="false">IF($BX429&lt;&gt;Constants!$B$6,"",IF($BL429="-&gt;",$BV429,$BK429))</f>
        <v/>
      </c>
      <c r="CJ429" s="93" t="str">
        <f aca="false">IF(ISBLANK($C429),"",IF($BX429&lt;&gt;Constants!$B$6,$BX429,IF(ISNUMBER($CI429),RANK($CI429,$CI$9:$CI$508,1),COUNT($CI$9:$CI$508)+1)))</f>
        <v/>
      </c>
      <c r="CK429" s="97" t="str">
        <f aca="false">IF($BX429&lt;&gt;Constants!$B$6,"",$AI429)</f>
        <v/>
      </c>
      <c r="CL429" s="93" t="str">
        <f aca="false">IF(ISBLANK($C429),"",IF($BX429&lt;&gt;Constants!$B$6,$BX429,IF(ISNUMBER($CK429),RANK($CK429,$CK$9:$CK$508,1),COUNT($CK$9:$CK$508)+1)))</f>
        <v/>
      </c>
      <c r="CM429" s="93" t="str">
        <f aca="false">IF(ISBLANK($C429),"",IF($BX429&lt;&gt;Constants!$B$6,$BX429,COUNTIFS($CD$9:$CD$508,"&lt;"&amp;$CD429)+COUNTIFS($CD$9:$CD$508,$CD429,$CF$9:$CF$508,"&lt;"&amp;$CF429)+COUNTIFS($CD$9:$CD$508,$CD429,$CF$9:$CF$508,$CF429,$CH$9:$CH$508,"&lt;"&amp;$CH429)+COUNTIFS($CD$9:$CD$508,$CD429,$CF$9:$CF$508,$CF429,$CH$9:$CH$508,$CH429,$CJ$9:$CJ$508,"&lt;"&amp;$CJ429)+COUNTIFS($CD$9:$CD$508,$CD429,$CF$9:$CF$508,$CF429,$CH$9:$CH$508,$CH429,$CJ$9:$CJ$508,$CJ429,$CL$9:$CL$508,"&lt;"&amp;$CL429)+1))</f>
        <v/>
      </c>
      <c r="CN429" s="93" t="str">
        <f aca="false">IF(ISBLANK($C429),"",IF($BX429&lt;&gt;Constants!$B$6,$BX429,$CD429-$CM429))</f>
        <v/>
      </c>
      <c r="CO429" s="100"/>
      <c r="CP429" s="101"/>
      <c r="CQ429" s="102" t="str">
        <f aca="false">IF(ISBLANK($C429),"",IF($BX429=Constants!$B$10,$BW429,""))</f>
        <v/>
      </c>
      <c r="CR429" s="101" t="str">
        <f aca="false">IF(ISBLANK($C429),"",IF($BX429&lt;&gt;Constants!$B$6,"",IF($BL429="-&gt;",2,1)))</f>
        <v/>
      </c>
      <c r="CS429" s="103" t="str">
        <f aca="false">IF(ISBLANK($C429),"",IF($BX429&lt;&gt;Constants!$B$6,"",IF($BL429="-&gt;",$BN429,$BC429)))</f>
        <v/>
      </c>
      <c r="CT429" s="103" t="str">
        <f aca="false">IF(ISBLANK($C429),"",IF($BX429&lt;&gt;Constants!$B$6,"",IF($BL429="-&gt;",$BO429,$BD429)))</f>
        <v/>
      </c>
      <c r="CU429" s="103" t="str">
        <f aca="false">IF(ISBLANK($C429),"",IF($BX429&lt;&gt;Constants!$B$6,"",IF($BL429="-&gt;",$BP429+$BQ429,$BE429+$BF429)+$CB429))</f>
        <v/>
      </c>
      <c r="CV429" s="103" t="str">
        <f aca="false">IF(ISBLANK($C429),"",IF($BX429&lt;&gt;Constants!$B$6,"",IF($BL429="-&gt;",$BR429,$BG429)+$CA429))</f>
        <v/>
      </c>
      <c r="CW429" s="104" t="str">
        <f aca="false">IF(ISBLANK($C429),"",IF($BX429&lt;&gt;Constants!$B$6,$BX429,$CC429))</f>
        <v/>
      </c>
      <c r="CX429" s="105" t="str">
        <f aca="false">IF(ISBLANK($C429),"",$BY429)</f>
        <v/>
      </c>
      <c r="CY429" s="106" t="str">
        <f aca="false">IF(ISBLANK($C429),"",$CN429)</f>
        <v/>
      </c>
      <c r="CZ429" s="106" t="str">
        <f aca="false">IF(ISBLANK($C429),"",$CM429)</f>
        <v/>
      </c>
      <c r="DA429" s="107" t="str">
        <f aca="false">IF(ISBLANK($C429),"",IFERROR(_xlfn.SWITCH($CZ429,Constants!$B$9,COUNTA($C$9:$C$508)+2,Constants!$B$8,COUNTA($C$9:$C$508)+1,Constants!$B$7,COUNTA($C$9:$C$508)),$CZ429))</f>
        <v/>
      </c>
      <c r="DB429" s="9"/>
      <c r="DC429" s="108" t="n">
        <f aca="false">IF(OR(ISNUMBER($CZ429),$CZ429=Constants!$B$9,$CZ429=Constants!$B$7,$CZ429=Constants!$B$8),1,0)</f>
        <v>0</v>
      </c>
      <c r="DD429" s="108" t="n">
        <v>421</v>
      </c>
      <c r="DE429" s="108" t="str">
        <f aca="false">IF(ISBLANK($C429),"",IF(ISNUMBER($DA429),$DA429+ROW($B429)/1000,""))</f>
        <v/>
      </c>
      <c r="DF429" s="108" t="str">
        <f aca="false">IF(ISNUMBER($DE429),RANK($DE429,$DE$9:$DE$508,1),"")</f>
        <v/>
      </c>
      <c r="DG429" s="108" t="str">
        <f aca="false">IF(ISBLANK($C429),"",$B429)</f>
        <v/>
      </c>
      <c r="DH429" s="108" t="str">
        <f aca="false">IF(ISBLANK($C429),"",$C429)</f>
        <v/>
      </c>
      <c r="DI429" s="108" t="str">
        <f aca="false">IF(ISBLANK($C429),"",$D429)</f>
        <v/>
      </c>
      <c r="DJ429" s="109" t="str">
        <f aca="false">$CX429</f>
        <v/>
      </c>
      <c r="DK429" s="110" t="str">
        <f aca="false">$CW429</f>
        <v/>
      </c>
      <c r="DL429" s="108" t="str">
        <f aca="false">IF(ISBLANK($C429),"",$CZ429)</f>
        <v/>
      </c>
      <c r="DM429" s="111" t="str">
        <f aca="false">IF($DD429&gt;$DC$8,"",VLOOKUP($DD429,$DF$9:$DL$508,7,FALSE()))</f>
        <v/>
      </c>
      <c r="DN429" s="112" t="str">
        <f aca="false">IF($DD429&gt;$DC$8,"",VLOOKUP($DD429,$DF$9:$DL$508,2,FALSE()))</f>
        <v/>
      </c>
      <c r="DO429" s="112" t="str">
        <f aca="false">IF($DD429&gt;$DC$8,"",VLOOKUP($DD429,$DF$9:$DL$508,3,FALSE()))</f>
        <v/>
      </c>
      <c r="DP429" s="112" t="str">
        <f aca="false">IF($DD429&gt;$DC$8,"",VLOOKUP($DD429,$DF$9:$DL$508,4,FALSE()))</f>
        <v/>
      </c>
      <c r="DQ429" s="112" t="str">
        <f aca="false">IF($DD429&gt;$DC$8,"",VLOOKUP($DD429,$DF$9:$DL$508,5,FALSE()))</f>
        <v/>
      </c>
      <c r="DR429" s="113" t="str">
        <f aca="false">IF($DD429&gt;$DC$8,"",VLOOKUP($DD429,$DF$9:$DL$508,6,FALSE()))</f>
        <v/>
      </c>
      <c r="DS429" s="76"/>
    </row>
    <row r="430" customFormat="false" ht="15.75" hidden="false" customHeight="false" outlineLevel="0" collapsed="false">
      <c r="A430" s="9"/>
      <c r="B430" s="78"/>
      <c r="C430" s="79"/>
      <c r="D430" s="170"/>
      <c r="E430" s="178"/>
      <c r="F430" s="172"/>
      <c r="G430" s="173"/>
      <c r="H430" s="173"/>
      <c r="I430" s="179"/>
      <c r="J430" s="176"/>
      <c r="K430" s="86"/>
      <c r="L430" s="87"/>
      <c r="M430" s="88"/>
      <c r="N430" s="176"/>
      <c r="O430" s="176"/>
      <c r="P430" s="178"/>
      <c r="Q430" s="176"/>
      <c r="R430" s="176"/>
      <c r="S430" s="86"/>
      <c r="T430" s="88"/>
      <c r="U430" s="88"/>
      <c r="V430" s="176"/>
      <c r="W430" s="176"/>
      <c r="X430" s="178"/>
      <c r="Y430" s="176"/>
      <c r="Z430" s="177"/>
      <c r="AA430" s="176"/>
      <c r="AB430" s="92"/>
      <c r="AC430" s="93"/>
      <c r="AD430" s="93"/>
      <c r="AE430" s="93"/>
      <c r="AF430" s="93" t="str">
        <f aca="false">IF(ISBLANK($C430),"",IF(E430=Constants!$B$2,TRUE(),IF(E430=Constants!$B$3,FALSE(),TRUE())))</f>
        <v/>
      </c>
      <c r="AG430" s="93" t="str">
        <f aca="false">IF(ISBLANK($C430),"",IF(F430=Constants!$B$2,TRUE(),IF(F430=Constants!$B$3,FALSE(),TRUE())))</f>
        <v/>
      </c>
      <c r="AH430" s="93" t="str">
        <f aca="false">IF(ISBLANK($C430),"",IF(G430=Constants!$B$2,TRUE(),IF(G430=Constants!$B$3,FALSE(),TRUE())))</f>
        <v/>
      </c>
      <c r="AI430" s="93" t="str">
        <f aca="false">IF(ISBLANK($C430),"",IF(AND(ISNUMBER(H430),H430&gt;=0),H430,Constants!$B$24))</f>
        <v/>
      </c>
      <c r="AJ430" s="93" t="str">
        <f aca="false">IF(ISBLANK($C430),"",IF(I430=Constants!$B$2,TRUE(),IF(I430=Constants!$B$3,FALSE(),TRUE())))</f>
        <v/>
      </c>
      <c r="AK430" s="93" t="str">
        <f aca="false">IF(ISBLANK($C430),"",IF(J430=Constants!$B$2,TRUE(),IF(J430=Constants!$B$3,FALSE(),TRUE())))</f>
        <v/>
      </c>
      <c r="AL430" s="93" t="str">
        <f aca="false">IF(ISBLANK($C430),"",IF(K430=Constants!$B$4,TRUE(),IF(K430=Constants!$B$5,FALSE(),COUNTA(L430:P430)&gt;0)))</f>
        <v/>
      </c>
      <c r="AM430" s="95" t="str">
        <f aca="false">IF(ISBLANK($C430),"",IF(ISNUMBER(L430),IF(L430&gt;=0,L430,""),""))</f>
        <v/>
      </c>
      <c r="AN430" s="94" t="str">
        <f aca="false">IF(ISBLANK($C430),"",IF(ISNUMBER(M430),IF(M430&gt;=0,M430,""),""))</f>
        <v/>
      </c>
      <c r="AO430" s="94" t="str">
        <f aca="false">IF(ISBLANK($C430),"",IF(N430=Constants!$B$2,TRUE(),IF(N430=Constants!$B$3,FALSE(),TRUE())))</f>
        <v/>
      </c>
      <c r="AP430" s="93" t="str">
        <f aca="false">IF(ISBLANK($C430),"",IF(ISNUMBER(O430),IF(O430&gt;=0,O430,""),""))</f>
        <v/>
      </c>
      <c r="AQ430" s="93" t="str">
        <f aca="false">IF(ISBLANK($C430),"",IF(P430=Constants!$B$2,TRUE(),IF(P430=Constants!$B$3,FALSE(),FALSE())))</f>
        <v/>
      </c>
      <c r="AR430" s="93" t="str">
        <f aca="false">IF(ISBLANK($C430),"",IF(Q430=Constants!$B$2,TRUE(),IF(Q430=Constants!$B$3,FALSE(),TRUE())))</f>
        <v/>
      </c>
      <c r="AS430" s="93" t="str">
        <f aca="false">IF(ISBLANK($C430),"",IF(R430=Constants!$B$2,TRUE(),IF(R430=Constants!$B$3,FALSE(),TRUE())))</f>
        <v/>
      </c>
      <c r="AT430" s="93" t="str">
        <f aca="false">IF(ISBLANK($C430),"",IF(S430=Constants!$B$4,TRUE(),IF(S430=Constants!$B$5,FALSE(),COUNTA(T430:X430)&gt;0)))</f>
        <v/>
      </c>
      <c r="AU430" s="95" t="str">
        <f aca="false">IF(ISBLANK($C430),"",IF(ISNUMBER(T430),IF(T430&gt;=0,T430,""),""))</f>
        <v/>
      </c>
      <c r="AV430" s="94" t="str">
        <f aca="false">IF(ISBLANK($C430),"",IF(ISNUMBER(U430),IF(U430&gt;=0,U430,""),""))</f>
        <v/>
      </c>
      <c r="AW430" s="94" t="str">
        <f aca="false">IF(ISBLANK($C430),"",IF(V430=Constants!$B$2,TRUE(),IF(V430=Constants!$B$3,FALSE(),TRUE())))</f>
        <v/>
      </c>
      <c r="AX430" s="93" t="str">
        <f aca="false">IF(ISBLANK($C430),"",IF(ISNUMBER(W430),IF(W430&gt;=0,W430,""),""))</f>
        <v/>
      </c>
      <c r="AY430" s="93" t="str">
        <f aca="false">IF(ISBLANK($C430),"",IF(X430=Constants!$B$2,TRUE(),IF(X430=Constants!$B$3,FALSE(),FALSE())))</f>
        <v/>
      </c>
      <c r="AZ430" s="93" t="str">
        <f aca="false">IF(ISBLANK($C430),"",MIN(Constants!$B$25,MAX(0,IF(ISNUMBER(Y430),Y430*60,0)+IF(ISNUMBER(Z430),Z430,0))))</f>
        <v/>
      </c>
      <c r="BA430" s="93" t="str">
        <f aca="false">IF(ISBLANK($C430),"",IF(AA430=Constants!$B$2,TRUE(),IF(AA430=Constants!$B$3,FALSE(),FALSE())))</f>
        <v/>
      </c>
      <c r="BB430" s="92" t="str">
        <f aca="false">IF(ISBLANK($C430),"",AND($AL430,OR($AM430="",$AN430="",AND($AO430,$AP430=""))))</f>
        <v/>
      </c>
      <c r="BC430" s="94" t="str">
        <f aca="false">IF($BX430&lt;&gt;Constants!$B$6,"",IF($AL430,Constants!$B$17*$AN430+Constants!$B$18*IF($AO430,$AP430,Constants!$B$19),Constants!$B$20))</f>
        <v/>
      </c>
      <c r="BD430" s="97" t="str">
        <f aca="false">IF($BX430&lt;&gt;Constants!$B$6,"",Constants!$B$21*ABS($AD$9-IF($AL430,$AM430,0)))</f>
        <v/>
      </c>
      <c r="BE430" s="97" t="str">
        <f aca="false">IF($BX430&lt;&gt;Constants!$B$6,"",IF(AND($AL430,$AQ430,$AO430),Constants!$B$22,0))</f>
        <v/>
      </c>
      <c r="BF430" s="97" t="str">
        <f aca="false">IF($BX430&lt;&gt;Constants!$B$6,"",IF($AL430,($AI430-Constants!$B$24)*Constants!$B$23,0))</f>
        <v/>
      </c>
      <c r="BG430" s="97" t="str">
        <f aca="false">IF($BX430&lt;&gt;Constants!$B$6,"",IF($AK430,0,Constants!$B$12)+IF($AJ430,0,Constants!$B$13)+IF($AH430,0,Constants!$B$14))</f>
        <v/>
      </c>
      <c r="BH430" s="98" t="str">
        <f aca="false">IF($BX430&lt;&gt;Constants!$B$6,"",Constants!$B$16+SUM($BC430:$BG430))</f>
        <v/>
      </c>
      <c r="BI430" s="97" t="str">
        <f aca="false">IF($BX430&lt;&gt;Constants!$B$6,"",$BC430)</f>
        <v/>
      </c>
      <c r="BJ430" s="97" t="str">
        <f aca="false">IF($BX430&lt;&gt;Constants!$B$6,"",$BD430)</f>
        <v/>
      </c>
      <c r="BK430" s="99" t="str">
        <f aca="false">IF($BX430&lt;&gt;Constants!$B$6,"",IF($AL430,$AN430,""))</f>
        <v/>
      </c>
      <c r="BL430" s="93" t="str">
        <f aca="false">IF($BX430&lt;&gt;Constants!$B$6,"",IF(OR($BS430&lt;$BH430,AND($BS430=$BH430,OR($BT430&lt;$BI430,AND($BT430=$BI430,OR($BU430&lt;$BJ430,AND($BU430=$BJ430,AND(ISNUMBER($BV430),OR(NOT(ISNUMBER($BK430)),$BV430&lt;$BK430)))))))),"-&gt;","&lt;-"))</f>
        <v/>
      </c>
      <c r="BM430" s="92" t="str">
        <f aca="false">IF(ISBLANK($C430),"",AND($AT430,OR($AU430="",$AV430="",AND($AW430,$AX430=""))))</f>
        <v/>
      </c>
      <c r="BN430" s="94" t="str">
        <f aca="false">IF($BX430&lt;&gt;Constants!$B$6,"",IF($AT430,Constants!$B$17*$AV430+Constants!$B$18*IF($AW430,$AX430,Constants!$B$19),Constants!$B$20))</f>
        <v/>
      </c>
      <c r="BO430" s="97" t="str">
        <f aca="false">IF($BX430&lt;&gt;Constants!$B$6,"",Constants!$B$21*ABS($AD$9-IF($AT430,$AU430,0)))</f>
        <v/>
      </c>
      <c r="BP430" s="97" t="str">
        <f aca="false">IF($BX430&lt;&gt;Constants!$B$6,"",IF(AND($AT430,$AY430,$AW430),Constants!$B$22,0))</f>
        <v/>
      </c>
      <c r="BQ430" s="97" t="str">
        <f aca="false">IF($BX430&lt;&gt;Constants!$B$6,"",IF($AT430,($AI430-Constants!$B$24)*Constants!$B$23,0))</f>
        <v/>
      </c>
      <c r="BR430" s="97" t="str">
        <f aca="false">IF($BX430&lt;&gt;Constants!$B$6,"",IF($AS430,0,Constants!$B$12)+IF($AR430,0,Constants!$B$13)+IF($AH430,0,Constants!$B$14))</f>
        <v/>
      </c>
      <c r="BS430" s="98" t="str">
        <f aca="false">IF($BX430&lt;&gt;Constants!$B$6,"",Constants!$B$16+SUM($BN430:$BR430))</f>
        <v/>
      </c>
      <c r="BT430" s="97" t="str">
        <f aca="false">IF($BX430&lt;&gt;Constants!$B$6,"",$BN430)</f>
        <v/>
      </c>
      <c r="BU430" s="97" t="str">
        <f aca="false">IF($BX430&lt;&gt;Constants!$B$6,"",$BO430)</f>
        <v/>
      </c>
      <c r="BV430" s="99" t="str">
        <f aca="false">IF($BX430&lt;&gt;Constants!$B$6,"",IF($AT430,$AV430,""))</f>
        <v/>
      </c>
      <c r="BW430" s="93" t="str">
        <f aca="false">IF(ISBLANK($C430),"",IF(ISBLANK($D$7),$BW$5,IF(NOT(ISNUMBER($D$7)),$BW$6,"")))</f>
        <v/>
      </c>
      <c r="BX430" s="93" t="str">
        <f aca="false">IF(ISBLANK($C430),"",IF($BA430,Constants!$B$9,IF(COUNTA($E430:$AA430)=0,Constants!$B$8,IF(NOT($AG430),Constants!$B$7,IF(OR($BW430&lt;&gt;"",$BB430,$BM430),Constants!$B$10,Constants!$B$6)))))</f>
        <v/>
      </c>
      <c r="BY430" s="93" t="str">
        <f aca="false">IF(ISBLANK($C430),"",IF($BX430&lt;&gt;Constants!$B$6,$BX430,Constants!$B$11))</f>
        <v/>
      </c>
      <c r="BZ430" s="97" t="str">
        <f aca="false">IF($BX430&lt;&gt;Constants!$B$6,"",IF($BL430="-&gt;",$BS430,$BH430))</f>
        <v/>
      </c>
      <c r="CA430" s="97" t="str">
        <f aca="false">IF($BX430&lt;&gt;Constants!$B$6,"",IF($AF430,0,Constants!$B$15))</f>
        <v/>
      </c>
      <c r="CB430" s="97" t="str">
        <f aca="false">IF($BX430&lt;&gt;Constants!$B$6,"",((Constants!$B$25-$AZ430)-Constants!$B$25)/Constants!$B$26)</f>
        <v/>
      </c>
      <c r="CC430" s="97" t="str">
        <f aca="false">IF(ISBLANK($C430),"",IF($BX430&lt;&gt;Constants!$B$6,$BX430,SUM($BZ430:$CB430)))</f>
        <v/>
      </c>
      <c r="CD430" s="93" t="str">
        <f aca="false">IF(ISBLANK($C430),"",IF($BX430&lt;&gt;Constants!$B$6,$BX430,RANK($CC430,$CC$9:$CC$508,1)))</f>
        <v/>
      </c>
      <c r="CE430" s="97" t="str">
        <f aca="false">IF($BX430&lt;&gt;Constants!$B$6,"",IF($BL430="-&gt;",$BT430,$BI430))</f>
        <v/>
      </c>
      <c r="CF430" s="93" t="str">
        <f aca="false">IF(ISBLANK($C430),"",IF($BX430&lt;&gt;Constants!$B$6,$BX430,IF(ISNUMBER($CE430),RANK($CE430,$CE$9:$CE$508,1),COUNT($CE$9:$CE$508)+1)))</f>
        <v/>
      </c>
      <c r="CG430" s="97" t="str">
        <f aca="false">IF($BX430&lt;&gt;Constants!$B$6,"",IF($BL430="-&gt;",$BU430,$BJ430))</f>
        <v/>
      </c>
      <c r="CH430" s="93" t="str">
        <f aca="false">IF(ISBLANK($C430),"",IF($BX430&lt;&gt;Constants!$B$6,$BX430,IF(ISNUMBER($CG430),RANK($CG430,$CG$9:$CG$508,1),COUNT($CG$9:$CG$508)+1)))</f>
        <v/>
      </c>
      <c r="CI430" s="97" t="str">
        <f aca="false">IF($BX430&lt;&gt;Constants!$B$6,"",IF($BL430="-&gt;",$BV430,$BK430))</f>
        <v/>
      </c>
      <c r="CJ430" s="93" t="str">
        <f aca="false">IF(ISBLANK($C430),"",IF($BX430&lt;&gt;Constants!$B$6,$BX430,IF(ISNUMBER($CI430),RANK($CI430,$CI$9:$CI$508,1),COUNT($CI$9:$CI$508)+1)))</f>
        <v/>
      </c>
      <c r="CK430" s="97" t="str">
        <f aca="false">IF($BX430&lt;&gt;Constants!$B$6,"",$AI430)</f>
        <v/>
      </c>
      <c r="CL430" s="93" t="str">
        <f aca="false">IF(ISBLANK($C430),"",IF($BX430&lt;&gt;Constants!$B$6,$BX430,IF(ISNUMBER($CK430),RANK($CK430,$CK$9:$CK$508,1),COUNT($CK$9:$CK$508)+1)))</f>
        <v/>
      </c>
      <c r="CM430" s="93" t="str">
        <f aca="false">IF(ISBLANK($C430),"",IF($BX430&lt;&gt;Constants!$B$6,$BX430,COUNTIFS($CD$9:$CD$508,"&lt;"&amp;$CD430)+COUNTIFS($CD$9:$CD$508,$CD430,$CF$9:$CF$508,"&lt;"&amp;$CF430)+COUNTIFS($CD$9:$CD$508,$CD430,$CF$9:$CF$508,$CF430,$CH$9:$CH$508,"&lt;"&amp;$CH430)+COUNTIFS($CD$9:$CD$508,$CD430,$CF$9:$CF$508,$CF430,$CH$9:$CH$508,$CH430,$CJ$9:$CJ$508,"&lt;"&amp;$CJ430)+COUNTIFS($CD$9:$CD$508,$CD430,$CF$9:$CF$508,$CF430,$CH$9:$CH$508,$CH430,$CJ$9:$CJ$508,$CJ430,$CL$9:$CL$508,"&lt;"&amp;$CL430)+1))</f>
        <v/>
      </c>
      <c r="CN430" s="93" t="str">
        <f aca="false">IF(ISBLANK($C430),"",IF($BX430&lt;&gt;Constants!$B$6,$BX430,$CD430-$CM430))</f>
        <v/>
      </c>
      <c r="CO430" s="100"/>
      <c r="CP430" s="101"/>
      <c r="CQ430" s="102" t="str">
        <f aca="false">IF(ISBLANK($C430),"",IF($BX430=Constants!$B$10,$BW430,""))</f>
        <v/>
      </c>
      <c r="CR430" s="101" t="str">
        <f aca="false">IF(ISBLANK($C430),"",IF($BX430&lt;&gt;Constants!$B$6,"",IF($BL430="-&gt;",2,1)))</f>
        <v/>
      </c>
      <c r="CS430" s="103" t="str">
        <f aca="false">IF(ISBLANK($C430),"",IF($BX430&lt;&gt;Constants!$B$6,"",IF($BL430="-&gt;",$BN430,$BC430)))</f>
        <v/>
      </c>
      <c r="CT430" s="103" t="str">
        <f aca="false">IF(ISBLANK($C430),"",IF($BX430&lt;&gt;Constants!$B$6,"",IF($BL430="-&gt;",$BO430,$BD430)))</f>
        <v/>
      </c>
      <c r="CU430" s="103" t="str">
        <f aca="false">IF(ISBLANK($C430),"",IF($BX430&lt;&gt;Constants!$B$6,"",IF($BL430="-&gt;",$BP430+$BQ430,$BE430+$BF430)+$CB430))</f>
        <v/>
      </c>
      <c r="CV430" s="103" t="str">
        <f aca="false">IF(ISBLANK($C430),"",IF($BX430&lt;&gt;Constants!$B$6,"",IF($BL430="-&gt;",$BR430,$BG430)+$CA430))</f>
        <v/>
      </c>
      <c r="CW430" s="104" t="str">
        <f aca="false">IF(ISBLANK($C430),"",IF($BX430&lt;&gt;Constants!$B$6,$BX430,$CC430))</f>
        <v/>
      </c>
      <c r="CX430" s="105" t="str">
        <f aca="false">IF(ISBLANK($C430),"",$BY430)</f>
        <v/>
      </c>
      <c r="CY430" s="106" t="str">
        <f aca="false">IF(ISBLANK($C430),"",$CN430)</f>
        <v/>
      </c>
      <c r="CZ430" s="106" t="str">
        <f aca="false">IF(ISBLANK($C430),"",$CM430)</f>
        <v/>
      </c>
      <c r="DA430" s="107" t="str">
        <f aca="false">IF(ISBLANK($C430),"",IFERROR(_xlfn.SWITCH($CZ430,Constants!$B$9,COUNTA($C$9:$C$508)+2,Constants!$B$8,COUNTA($C$9:$C$508)+1,Constants!$B$7,COUNTA($C$9:$C$508)),$CZ430))</f>
        <v/>
      </c>
      <c r="DB430" s="9"/>
      <c r="DC430" s="108" t="n">
        <f aca="false">IF(OR(ISNUMBER($CZ430),$CZ430=Constants!$B$9,$CZ430=Constants!$B$7,$CZ430=Constants!$B$8),1,0)</f>
        <v>0</v>
      </c>
      <c r="DD430" s="108" t="n">
        <v>422</v>
      </c>
      <c r="DE430" s="108" t="str">
        <f aca="false">IF(ISBLANK($C430),"",IF(ISNUMBER($DA430),$DA430+ROW($B430)/1000,""))</f>
        <v/>
      </c>
      <c r="DF430" s="108" t="str">
        <f aca="false">IF(ISNUMBER($DE430),RANK($DE430,$DE$9:$DE$508,1),"")</f>
        <v/>
      </c>
      <c r="DG430" s="108" t="str">
        <f aca="false">IF(ISBLANK($C430),"",$B430)</f>
        <v/>
      </c>
      <c r="DH430" s="108" t="str">
        <f aca="false">IF(ISBLANK($C430),"",$C430)</f>
        <v/>
      </c>
      <c r="DI430" s="108" t="str">
        <f aca="false">IF(ISBLANK($C430),"",$D430)</f>
        <v/>
      </c>
      <c r="DJ430" s="109" t="str">
        <f aca="false">$CX430</f>
        <v/>
      </c>
      <c r="DK430" s="110" t="str">
        <f aca="false">$CW430</f>
        <v/>
      </c>
      <c r="DL430" s="108" t="str">
        <f aca="false">IF(ISBLANK($C430),"",$CZ430)</f>
        <v/>
      </c>
      <c r="DM430" s="111" t="str">
        <f aca="false">IF($DD430&gt;$DC$8,"",VLOOKUP($DD430,$DF$9:$DL$508,7,FALSE()))</f>
        <v/>
      </c>
      <c r="DN430" s="112" t="str">
        <f aca="false">IF($DD430&gt;$DC$8,"",VLOOKUP($DD430,$DF$9:$DL$508,2,FALSE()))</f>
        <v/>
      </c>
      <c r="DO430" s="112" t="str">
        <f aca="false">IF($DD430&gt;$DC$8,"",VLOOKUP($DD430,$DF$9:$DL$508,3,FALSE()))</f>
        <v/>
      </c>
      <c r="DP430" s="112" t="str">
        <f aca="false">IF($DD430&gt;$DC$8,"",VLOOKUP($DD430,$DF$9:$DL$508,4,FALSE()))</f>
        <v/>
      </c>
      <c r="DQ430" s="112" t="str">
        <f aca="false">IF($DD430&gt;$DC$8,"",VLOOKUP($DD430,$DF$9:$DL$508,5,FALSE()))</f>
        <v/>
      </c>
      <c r="DR430" s="113" t="str">
        <f aca="false">IF($DD430&gt;$DC$8,"",VLOOKUP($DD430,$DF$9:$DL$508,6,FALSE()))</f>
        <v/>
      </c>
      <c r="DS430" s="76"/>
    </row>
    <row r="431" customFormat="false" ht="15.75" hidden="false" customHeight="false" outlineLevel="0" collapsed="false">
      <c r="A431" s="9"/>
      <c r="B431" s="78"/>
      <c r="C431" s="79"/>
      <c r="D431" s="170"/>
      <c r="E431" s="178"/>
      <c r="F431" s="172"/>
      <c r="G431" s="173"/>
      <c r="H431" s="173"/>
      <c r="I431" s="179"/>
      <c r="J431" s="176"/>
      <c r="K431" s="86"/>
      <c r="L431" s="87"/>
      <c r="M431" s="88"/>
      <c r="N431" s="176"/>
      <c r="O431" s="176"/>
      <c r="P431" s="178"/>
      <c r="Q431" s="176"/>
      <c r="R431" s="176"/>
      <c r="S431" s="86"/>
      <c r="T431" s="88"/>
      <c r="U431" s="88"/>
      <c r="V431" s="176"/>
      <c r="W431" s="176"/>
      <c r="X431" s="178"/>
      <c r="Y431" s="176"/>
      <c r="Z431" s="177"/>
      <c r="AA431" s="176"/>
      <c r="AB431" s="92"/>
      <c r="AC431" s="93"/>
      <c r="AD431" s="93"/>
      <c r="AE431" s="93"/>
      <c r="AF431" s="93" t="str">
        <f aca="false">IF(ISBLANK($C431),"",IF(E431=Constants!$B$2,TRUE(),IF(E431=Constants!$B$3,FALSE(),TRUE())))</f>
        <v/>
      </c>
      <c r="AG431" s="93" t="str">
        <f aca="false">IF(ISBLANK($C431),"",IF(F431=Constants!$B$2,TRUE(),IF(F431=Constants!$B$3,FALSE(),TRUE())))</f>
        <v/>
      </c>
      <c r="AH431" s="93" t="str">
        <f aca="false">IF(ISBLANK($C431),"",IF(G431=Constants!$B$2,TRUE(),IF(G431=Constants!$B$3,FALSE(),TRUE())))</f>
        <v/>
      </c>
      <c r="AI431" s="93" t="str">
        <f aca="false">IF(ISBLANK($C431),"",IF(AND(ISNUMBER(H431),H431&gt;=0),H431,Constants!$B$24))</f>
        <v/>
      </c>
      <c r="AJ431" s="93" t="str">
        <f aca="false">IF(ISBLANK($C431),"",IF(I431=Constants!$B$2,TRUE(),IF(I431=Constants!$B$3,FALSE(),TRUE())))</f>
        <v/>
      </c>
      <c r="AK431" s="93" t="str">
        <f aca="false">IF(ISBLANK($C431),"",IF(J431=Constants!$B$2,TRUE(),IF(J431=Constants!$B$3,FALSE(),TRUE())))</f>
        <v/>
      </c>
      <c r="AL431" s="93" t="str">
        <f aca="false">IF(ISBLANK($C431),"",IF(K431=Constants!$B$4,TRUE(),IF(K431=Constants!$B$5,FALSE(),COUNTA(L431:P431)&gt;0)))</f>
        <v/>
      </c>
      <c r="AM431" s="95" t="str">
        <f aca="false">IF(ISBLANK($C431),"",IF(ISNUMBER(L431),IF(L431&gt;=0,L431,""),""))</f>
        <v/>
      </c>
      <c r="AN431" s="94" t="str">
        <f aca="false">IF(ISBLANK($C431),"",IF(ISNUMBER(M431),IF(M431&gt;=0,M431,""),""))</f>
        <v/>
      </c>
      <c r="AO431" s="94" t="str">
        <f aca="false">IF(ISBLANK($C431),"",IF(N431=Constants!$B$2,TRUE(),IF(N431=Constants!$B$3,FALSE(),TRUE())))</f>
        <v/>
      </c>
      <c r="AP431" s="93" t="str">
        <f aca="false">IF(ISBLANK($C431),"",IF(ISNUMBER(O431),IF(O431&gt;=0,O431,""),""))</f>
        <v/>
      </c>
      <c r="AQ431" s="93" t="str">
        <f aca="false">IF(ISBLANK($C431),"",IF(P431=Constants!$B$2,TRUE(),IF(P431=Constants!$B$3,FALSE(),FALSE())))</f>
        <v/>
      </c>
      <c r="AR431" s="93" t="str">
        <f aca="false">IF(ISBLANK($C431),"",IF(Q431=Constants!$B$2,TRUE(),IF(Q431=Constants!$B$3,FALSE(),TRUE())))</f>
        <v/>
      </c>
      <c r="AS431" s="93" t="str">
        <f aca="false">IF(ISBLANK($C431),"",IF(R431=Constants!$B$2,TRUE(),IF(R431=Constants!$B$3,FALSE(),TRUE())))</f>
        <v/>
      </c>
      <c r="AT431" s="93" t="str">
        <f aca="false">IF(ISBLANK($C431),"",IF(S431=Constants!$B$4,TRUE(),IF(S431=Constants!$B$5,FALSE(),COUNTA(T431:X431)&gt;0)))</f>
        <v/>
      </c>
      <c r="AU431" s="95" t="str">
        <f aca="false">IF(ISBLANK($C431),"",IF(ISNUMBER(T431),IF(T431&gt;=0,T431,""),""))</f>
        <v/>
      </c>
      <c r="AV431" s="94" t="str">
        <f aca="false">IF(ISBLANK($C431),"",IF(ISNUMBER(U431),IF(U431&gt;=0,U431,""),""))</f>
        <v/>
      </c>
      <c r="AW431" s="94" t="str">
        <f aca="false">IF(ISBLANK($C431),"",IF(V431=Constants!$B$2,TRUE(),IF(V431=Constants!$B$3,FALSE(),TRUE())))</f>
        <v/>
      </c>
      <c r="AX431" s="93" t="str">
        <f aca="false">IF(ISBLANK($C431),"",IF(ISNUMBER(W431),IF(W431&gt;=0,W431,""),""))</f>
        <v/>
      </c>
      <c r="AY431" s="93" t="str">
        <f aca="false">IF(ISBLANK($C431),"",IF(X431=Constants!$B$2,TRUE(),IF(X431=Constants!$B$3,FALSE(),FALSE())))</f>
        <v/>
      </c>
      <c r="AZ431" s="93" t="str">
        <f aca="false">IF(ISBLANK($C431),"",MIN(Constants!$B$25,MAX(0,IF(ISNUMBER(Y431),Y431*60,0)+IF(ISNUMBER(Z431),Z431,0))))</f>
        <v/>
      </c>
      <c r="BA431" s="93" t="str">
        <f aca="false">IF(ISBLANK($C431),"",IF(AA431=Constants!$B$2,TRUE(),IF(AA431=Constants!$B$3,FALSE(),FALSE())))</f>
        <v/>
      </c>
      <c r="BB431" s="92" t="str">
        <f aca="false">IF(ISBLANK($C431),"",AND($AL431,OR($AM431="",$AN431="",AND($AO431,$AP431=""))))</f>
        <v/>
      </c>
      <c r="BC431" s="94" t="str">
        <f aca="false">IF($BX431&lt;&gt;Constants!$B$6,"",IF($AL431,Constants!$B$17*$AN431+Constants!$B$18*IF($AO431,$AP431,Constants!$B$19),Constants!$B$20))</f>
        <v/>
      </c>
      <c r="BD431" s="97" t="str">
        <f aca="false">IF($BX431&lt;&gt;Constants!$B$6,"",Constants!$B$21*ABS($AD$9-IF($AL431,$AM431,0)))</f>
        <v/>
      </c>
      <c r="BE431" s="97" t="str">
        <f aca="false">IF($BX431&lt;&gt;Constants!$B$6,"",IF(AND($AL431,$AQ431,$AO431),Constants!$B$22,0))</f>
        <v/>
      </c>
      <c r="BF431" s="97" t="str">
        <f aca="false">IF($BX431&lt;&gt;Constants!$B$6,"",IF($AL431,($AI431-Constants!$B$24)*Constants!$B$23,0))</f>
        <v/>
      </c>
      <c r="BG431" s="97" t="str">
        <f aca="false">IF($BX431&lt;&gt;Constants!$B$6,"",IF($AK431,0,Constants!$B$12)+IF($AJ431,0,Constants!$B$13)+IF($AH431,0,Constants!$B$14))</f>
        <v/>
      </c>
      <c r="BH431" s="98" t="str">
        <f aca="false">IF($BX431&lt;&gt;Constants!$B$6,"",Constants!$B$16+SUM($BC431:$BG431))</f>
        <v/>
      </c>
      <c r="BI431" s="97" t="str">
        <f aca="false">IF($BX431&lt;&gt;Constants!$B$6,"",$BC431)</f>
        <v/>
      </c>
      <c r="BJ431" s="97" t="str">
        <f aca="false">IF($BX431&lt;&gt;Constants!$B$6,"",$BD431)</f>
        <v/>
      </c>
      <c r="BK431" s="99" t="str">
        <f aca="false">IF($BX431&lt;&gt;Constants!$B$6,"",IF($AL431,$AN431,""))</f>
        <v/>
      </c>
      <c r="BL431" s="93" t="str">
        <f aca="false">IF($BX431&lt;&gt;Constants!$B$6,"",IF(OR($BS431&lt;$BH431,AND($BS431=$BH431,OR($BT431&lt;$BI431,AND($BT431=$BI431,OR($BU431&lt;$BJ431,AND($BU431=$BJ431,AND(ISNUMBER($BV431),OR(NOT(ISNUMBER($BK431)),$BV431&lt;$BK431)))))))),"-&gt;","&lt;-"))</f>
        <v/>
      </c>
      <c r="BM431" s="92" t="str">
        <f aca="false">IF(ISBLANK($C431),"",AND($AT431,OR($AU431="",$AV431="",AND($AW431,$AX431=""))))</f>
        <v/>
      </c>
      <c r="BN431" s="94" t="str">
        <f aca="false">IF($BX431&lt;&gt;Constants!$B$6,"",IF($AT431,Constants!$B$17*$AV431+Constants!$B$18*IF($AW431,$AX431,Constants!$B$19),Constants!$B$20))</f>
        <v/>
      </c>
      <c r="BO431" s="97" t="str">
        <f aca="false">IF($BX431&lt;&gt;Constants!$B$6,"",Constants!$B$21*ABS($AD$9-IF($AT431,$AU431,0)))</f>
        <v/>
      </c>
      <c r="BP431" s="97" t="str">
        <f aca="false">IF($BX431&lt;&gt;Constants!$B$6,"",IF(AND($AT431,$AY431,$AW431),Constants!$B$22,0))</f>
        <v/>
      </c>
      <c r="BQ431" s="97" t="str">
        <f aca="false">IF($BX431&lt;&gt;Constants!$B$6,"",IF($AT431,($AI431-Constants!$B$24)*Constants!$B$23,0))</f>
        <v/>
      </c>
      <c r="BR431" s="97" t="str">
        <f aca="false">IF($BX431&lt;&gt;Constants!$B$6,"",IF($AS431,0,Constants!$B$12)+IF($AR431,0,Constants!$B$13)+IF($AH431,0,Constants!$B$14))</f>
        <v/>
      </c>
      <c r="BS431" s="98" t="str">
        <f aca="false">IF($BX431&lt;&gt;Constants!$B$6,"",Constants!$B$16+SUM($BN431:$BR431))</f>
        <v/>
      </c>
      <c r="BT431" s="97" t="str">
        <f aca="false">IF($BX431&lt;&gt;Constants!$B$6,"",$BN431)</f>
        <v/>
      </c>
      <c r="BU431" s="97" t="str">
        <f aca="false">IF($BX431&lt;&gt;Constants!$B$6,"",$BO431)</f>
        <v/>
      </c>
      <c r="BV431" s="99" t="str">
        <f aca="false">IF($BX431&lt;&gt;Constants!$B$6,"",IF($AT431,$AV431,""))</f>
        <v/>
      </c>
      <c r="BW431" s="93" t="str">
        <f aca="false">IF(ISBLANK($C431),"",IF(ISBLANK($D$7),$BW$5,IF(NOT(ISNUMBER($D$7)),$BW$6,"")))</f>
        <v/>
      </c>
      <c r="BX431" s="93" t="str">
        <f aca="false">IF(ISBLANK($C431),"",IF($BA431,Constants!$B$9,IF(COUNTA($E431:$AA431)=0,Constants!$B$8,IF(NOT($AG431),Constants!$B$7,IF(OR($BW431&lt;&gt;"",$BB431,$BM431),Constants!$B$10,Constants!$B$6)))))</f>
        <v/>
      </c>
      <c r="BY431" s="93" t="str">
        <f aca="false">IF(ISBLANK($C431),"",IF($BX431&lt;&gt;Constants!$B$6,$BX431,Constants!$B$11))</f>
        <v/>
      </c>
      <c r="BZ431" s="97" t="str">
        <f aca="false">IF($BX431&lt;&gt;Constants!$B$6,"",IF($BL431="-&gt;",$BS431,$BH431))</f>
        <v/>
      </c>
      <c r="CA431" s="97" t="str">
        <f aca="false">IF($BX431&lt;&gt;Constants!$B$6,"",IF($AF431,0,Constants!$B$15))</f>
        <v/>
      </c>
      <c r="CB431" s="97" t="str">
        <f aca="false">IF($BX431&lt;&gt;Constants!$B$6,"",((Constants!$B$25-$AZ431)-Constants!$B$25)/Constants!$B$26)</f>
        <v/>
      </c>
      <c r="CC431" s="97" t="str">
        <f aca="false">IF(ISBLANK($C431),"",IF($BX431&lt;&gt;Constants!$B$6,$BX431,SUM($BZ431:$CB431)))</f>
        <v/>
      </c>
      <c r="CD431" s="93" t="str">
        <f aca="false">IF(ISBLANK($C431),"",IF($BX431&lt;&gt;Constants!$B$6,$BX431,RANK($CC431,$CC$9:$CC$508,1)))</f>
        <v/>
      </c>
      <c r="CE431" s="97" t="str">
        <f aca="false">IF($BX431&lt;&gt;Constants!$B$6,"",IF($BL431="-&gt;",$BT431,$BI431))</f>
        <v/>
      </c>
      <c r="CF431" s="93" t="str">
        <f aca="false">IF(ISBLANK($C431),"",IF($BX431&lt;&gt;Constants!$B$6,$BX431,IF(ISNUMBER($CE431),RANK($CE431,$CE$9:$CE$508,1),COUNT($CE$9:$CE$508)+1)))</f>
        <v/>
      </c>
      <c r="CG431" s="97" t="str">
        <f aca="false">IF($BX431&lt;&gt;Constants!$B$6,"",IF($BL431="-&gt;",$BU431,$BJ431))</f>
        <v/>
      </c>
      <c r="CH431" s="93" t="str">
        <f aca="false">IF(ISBLANK($C431),"",IF($BX431&lt;&gt;Constants!$B$6,$BX431,IF(ISNUMBER($CG431),RANK($CG431,$CG$9:$CG$508,1),COUNT($CG$9:$CG$508)+1)))</f>
        <v/>
      </c>
      <c r="CI431" s="97" t="str">
        <f aca="false">IF($BX431&lt;&gt;Constants!$B$6,"",IF($BL431="-&gt;",$BV431,$BK431))</f>
        <v/>
      </c>
      <c r="CJ431" s="93" t="str">
        <f aca="false">IF(ISBLANK($C431),"",IF($BX431&lt;&gt;Constants!$B$6,$BX431,IF(ISNUMBER($CI431),RANK($CI431,$CI$9:$CI$508,1),COUNT($CI$9:$CI$508)+1)))</f>
        <v/>
      </c>
      <c r="CK431" s="97" t="str">
        <f aca="false">IF($BX431&lt;&gt;Constants!$B$6,"",$AI431)</f>
        <v/>
      </c>
      <c r="CL431" s="93" t="str">
        <f aca="false">IF(ISBLANK($C431),"",IF($BX431&lt;&gt;Constants!$B$6,$BX431,IF(ISNUMBER($CK431),RANK($CK431,$CK$9:$CK$508,1),COUNT($CK$9:$CK$508)+1)))</f>
        <v/>
      </c>
      <c r="CM431" s="93" t="str">
        <f aca="false">IF(ISBLANK($C431),"",IF($BX431&lt;&gt;Constants!$B$6,$BX431,COUNTIFS($CD$9:$CD$508,"&lt;"&amp;$CD431)+COUNTIFS($CD$9:$CD$508,$CD431,$CF$9:$CF$508,"&lt;"&amp;$CF431)+COUNTIFS($CD$9:$CD$508,$CD431,$CF$9:$CF$508,$CF431,$CH$9:$CH$508,"&lt;"&amp;$CH431)+COUNTIFS($CD$9:$CD$508,$CD431,$CF$9:$CF$508,$CF431,$CH$9:$CH$508,$CH431,$CJ$9:$CJ$508,"&lt;"&amp;$CJ431)+COUNTIFS($CD$9:$CD$508,$CD431,$CF$9:$CF$508,$CF431,$CH$9:$CH$508,$CH431,$CJ$9:$CJ$508,$CJ431,$CL$9:$CL$508,"&lt;"&amp;$CL431)+1))</f>
        <v/>
      </c>
      <c r="CN431" s="93" t="str">
        <f aca="false">IF(ISBLANK($C431),"",IF($BX431&lt;&gt;Constants!$B$6,$BX431,$CD431-$CM431))</f>
        <v/>
      </c>
      <c r="CO431" s="100"/>
      <c r="CP431" s="101"/>
      <c r="CQ431" s="102" t="str">
        <f aca="false">IF(ISBLANK($C431),"",IF($BX431=Constants!$B$10,$BW431,""))</f>
        <v/>
      </c>
      <c r="CR431" s="101" t="str">
        <f aca="false">IF(ISBLANK($C431),"",IF($BX431&lt;&gt;Constants!$B$6,"",IF($BL431="-&gt;",2,1)))</f>
        <v/>
      </c>
      <c r="CS431" s="103" t="str">
        <f aca="false">IF(ISBLANK($C431),"",IF($BX431&lt;&gt;Constants!$B$6,"",IF($BL431="-&gt;",$BN431,$BC431)))</f>
        <v/>
      </c>
      <c r="CT431" s="103" t="str">
        <f aca="false">IF(ISBLANK($C431),"",IF($BX431&lt;&gt;Constants!$B$6,"",IF($BL431="-&gt;",$BO431,$BD431)))</f>
        <v/>
      </c>
      <c r="CU431" s="103" t="str">
        <f aca="false">IF(ISBLANK($C431),"",IF($BX431&lt;&gt;Constants!$B$6,"",IF($BL431="-&gt;",$BP431+$BQ431,$BE431+$BF431)+$CB431))</f>
        <v/>
      </c>
      <c r="CV431" s="103" t="str">
        <f aca="false">IF(ISBLANK($C431),"",IF($BX431&lt;&gt;Constants!$B$6,"",IF($BL431="-&gt;",$BR431,$BG431)+$CA431))</f>
        <v/>
      </c>
      <c r="CW431" s="104" t="str">
        <f aca="false">IF(ISBLANK($C431),"",IF($BX431&lt;&gt;Constants!$B$6,$BX431,$CC431))</f>
        <v/>
      </c>
      <c r="CX431" s="105" t="str">
        <f aca="false">IF(ISBLANK($C431),"",$BY431)</f>
        <v/>
      </c>
      <c r="CY431" s="106" t="str">
        <f aca="false">IF(ISBLANK($C431),"",$CN431)</f>
        <v/>
      </c>
      <c r="CZ431" s="106" t="str">
        <f aca="false">IF(ISBLANK($C431),"",$CM431)</f>
        <v/>
      </c>
      <c r="DA431" s="107" t="str">
        <f aca="false">IF(ISBLANK($C431),"",IFERROR(_xlfn.SWITCH($CZ431,Constants!$B$9,COUNTA($C$9:$C$508)+2,Constants!$B$8,COUNTA($C$9:$C$508)+1,Constants!$B$7,COUNTA($C$9:$C$508)),$CZ431))</f>
        <v/>
      </c>
      <c r="DB431" s="9"/>
      <c r="DC431" s="108" t="n">
        <f aca="false">IF(OR(ISNUMBER($CZ431),$CZ431=Constants!$B$9,$CZ431=Constants!$B$7,$CZ431=Constants!$B$8),1,0)</f>
        <v>0</v>
      </c>
      <c r="DD431" s="108" t="n">
        <v>423</v>
      </c>
      <c r="DE431" s="108" t="str">
        <f aca="false">IF(ISBLANK($C431),"",IF(ISNUMBER($DA431),$DA431+ROW($B431)/1000,""))</f>
        <v/>
      </c>
      <c r="DF431" s="108" t="str">
        <f aca="false">IF(ISNUMBER($DE431),RANK($DE431,$DE$9:$DE$508,1),"")</f>
        <v/>
      </c>
      <c r="DG431" s="108" t="str">
        <f aca="false">IF(ISBLANK($C431),"",$B431)</f>
        <v/>
      </c>
      <c r="DH431" s="108" t="str">
        <f aca="false">IF(ISBLANK($C431),"",$C431)</f>
        <v/>
      </c>
      <c r="DI431" s="108" t="str">
        <f aca="false">IF(ISBLANK($C431),"",$D431)</f>
        <v/>
      </c>
      <c r="DJ431" s="109" t="str">
        <f aca="false">$CX431</f>
        <v/>
      </c>
      <c r="DK431" s="110" t="str">
        <f aca="false">$CW431</f>
        <v/>
      </c>
      <c r="DL431" s="108" t="str">
        <f aca="false">IF(ISBLANK($C431),"",$CZ431)</f>
        <v/>
      </c>
      <c r="DM431" s="111" t="str">
        <f aca="false">IF($DD431&gt;$DC$8,"",VLOOKUP($DD431,$DF$9:$DL$508,7,FALSE()))</f>
        <v/>
      </c>
      <c r="DN431" s="112" t="str">
        <f aca="false">IF($DD431&gt;$DC$8,"",VLOOKUP($DD431,$DF$9:$DL$508,2,FALSE()))</f>
        <v/>
      </c>
      <c r="DO431" s="112" t="str">
        <f aca="false">IF($DD431&gt;$DC$8,"",VLOOKUP($DD431,$DF$9:$DL$508,3,FALSE()))</f>
        <v/>
      </c>
      <c r="DP431" s="112" t="str">
        <f aca="false">IF($DD431&gt;$DC$8,"",VLOOKUP($DD431,$DF$9:$DL$508,4,FALSE()))</f>
        <v/>
      </c>
      <c r="DQ431" s="112" t="str">
        <f aca="false">IF($DD431&gt;$DC$8,"",VLOOKUP($DD431,$DF$9:$DL$508,5,FALSE()))</f>
        <v/>
      </c>
      <c r="DR431" s="113" t="str">
        <f aca="false">IF($DD431&gt;$DC$8,"",VLOOKUP($DD431,$DF$9:$DL$508,6,FALSE()))</f>
        <v/>
      </c>
      <c r="DS431" s="76"/>
    </row>
    <row r="432" customFormat="false" ht="15.75" hidden="false" customHeight="false" outlineLevel="0" collapsed="false">
      <c r="A432" s="9"/>
      <c r="B432" s="160"/>
      <c r="C432" s="161"/>
      <c r="D432" s="162"/>
      <c r="E432" s="180"/>
      <c r="F432" s="164"/>
      <c r="G432" s="165"/>
      <c r="H432" s="165"/>
      <c r="I432" s="181"/>
      <c r="J432" s="168"/>
      <c r="K432" s="128"/>
      <c r="L432" s="129"/>
      <c r="M432" s="130"/>
      <c r="N432" s="168"/>
      <c r="O432" s="168"/>
      <c r="P432" s="180"/>
      <c r="Q432" s="168"/>
      <c r="R432" s="168"/>
      <c r="S432" s="128"/>
      <c r="T432" s="130"/>
      <c r="U432" s="130"/>
      <c r="V432" s="168"/>
      <c r="W432" s="168"/>
      <c r="X432" s="180"/>
      <c r="Y432" s="168"/>
      <c r="Z432" s="169"/>
      <c r="AA432" s="168"/>
      <c r="AB432" s="134"/>
      <c r="AC432" s="135"/>
      <c r="AD432" s="135"/>
      <c r="AE432" s="135"/>
      <c r="AF432" s="135" t="str">
        <f aca="false">IF(ISBLANK($C432),"",IF(E432=Constants!$B$2,TRUE(),IF(E432=Constants!$B$3,FALSE(),TRUE())))</f>
        <v/>
      </c>
      <c r="AG432" s="135" t="str">
        <f aca="false">IF(ISBLANK($C432),"",IF(F432=Constants!$B$2,TRUE(),IF(F432=Constants!$B$3,FALSE(),TRUE())))</f>
        <v/>
      </c>
      <c r="AH432" s="135" t="str">
        <f aca="false">IF(ISBLANK($C432),"",IF(G432=Constants!$B$2,TRUE(),IF(G432=Constants!$B$3,FALSE(),TRUE())))</f>
        <v/>
      </c>
      <c r="AI432" s="135" t="str">
        <f aca="false">IF(ISBLANK($C432),"",IF(AND(ISNUMBER(H432),H432&gt;=0),H432,Constants!$B$24))</f>
        <v/>
      </c>
      <c r="AJ432" s="135" t="str">
        <f aca="false">IF(ISBLANK($C432),"",IF(I432=Constants!$B$2,TRUE(),IF(I432=Constants!$B$3,FALSE(),TRUE())))</f>
        <v/>
      </c>
      <c r="AK432" s="135" t="str">
        <f aca="false">IF(ISBLANK($C432),"",IF(J432=Constants!$B$2,TRUE(),IF(J432=Constants!$B$3,FALSE(),TRUE())))</f>
        <v/>
      </c>
      <c r="AL432" s="135" t="str">
        <f aca="false">IF(ISBLANK($C432),"",IF(K432=Constants!$B$4,TRUE(),IF(K432=Constants!$B$5,FALSE(),COUNTA(L432:P432)&gt;0)))</f>
        <v/>
      </c>
      <c r="AM432" s="136" t="str">
        <f aca="false">IF(ISBLANK($C432),"",IF(ISNUMBER(L432),IF(L432&gt;=0,L432,""),""))</f>
        <v/>
      </c>
      <c r="AN432" s="137" t="str">
        <f aca="false">IF(ISBLANK($C432),"",IF(ISNUMBER(M432),IF(M432&gt;=0,M432,""),""))</f>
        <v/>
      </c>
      <c r="AO432" s="137" t="str">
        <f aca="false">IF(ISBLANK($C432),"",IF(N432=Constants!$B$2,TRUE(),IF(N432=Constants!$B$3,FALSE(),TRUE())))</f>
        <v/>
      </c>
      <c r="AP432" s="135" t="str">
        <f aca="false">IF(ISBLANK($C432),"",IF(ISNUMBER(O432),IF(O432&gt;=0,O432,""),""))</f>
        <v/>
      </c>
      <c r="AQ432" s="135" t="str">
        <f aca="false">IF(ISBLANK($C432),"",IF(P432=Constants!$B$2,TRUE(),IF(P432=Constants!$B$3,FALSE(),FALSE())))</f>
        <v/>
      </c>
      <c r="AR432" s="135" t="str">
        <f aca="false">IF(ISBLANK($C432),"",IF(Q432=Constants!$B$2,TRUE(),IF(Q432=Constants!$B$3,FALSE(),TRUE())))</f>
        <v/>
      </c>
      <c r="AS432" s="135" t="str">
        <f aca="false">IF(ISBLANK($C432),"",IF(R432=Constants!$B$2,TRUE(),IF(R432=Constants!$B$3,FALSE(),TRUE())))</f>
        <v/>
      </c>
      <c r="AT432" s="135" t="str">
        <f aca="false">IF(ISBLANK($C432),"",IF(S432=Constants!$B$4,TRUE(),IF(S432=Constants!$B$5,FALSE(),COUNTA(T432:X432)&gt;0)))</f>
        <v/>
      </c>
      <c r="AU432" s="136" t="str">
        <f aca="false">IF(ISBLANK($C432),"",IF(ISNUMBER(T432),IF(T432&gt;=0,T432,""),""))</f>
        <v/>
      </c>
      <c r="AV432" s="137" t="str">
        <f aca="false">IF(ISBLANK($C432),"",IF(ISNUMBER(U432),IF(U432&gt;=0,U432,""),""))</f>
        <v/>
      </c>
      <c r="AW432" s="137" t="str">
        <f aca="false">IF(ISBLANK($C432),"",IF(V432=Constants!$B$2,TRUE(),IF(V432=Constants!$B$3,FALSE(),TRUE())))</f>
        <v/>
      </c>
      <c r="AX432" s="135" t="str">
        <f aca="false">IF(ISBLANK($C432),"",IF(ISNUMBER(W432),IF(W432&gt;=0,W432,""),""))</f>
        <v/>
      </c>
      <c r="AY432" s="135" t="str">
        <f aca="false">IF(ISBLANK($C432),"",IF(X432=Constants!$B$2,TRUE(),IF(X432=Constants!$B$3,FALSE(),FALSE())))</f>
        <v/>
      </c>
      <c r="AZ432" s="135" t="str">
        <f aca="false">IF(ISBLANK($C432),"",MIN(Constants!$B$25,MAX(0,IF(ISNUMBER(Y432),Y432*60,0)+IF(ISNUMBER(Z432),Z432,0))))</f>
        <v/>
      </c>
      <c r="BA432" s="135" t="str">
        <f aca="false">IF(ISBLANK($C432),"",IF(AA432=Constants!$B$2,TRUE(),IF(AA432=Constants!$B$3,FALSE(),FALSE())))</f>
        <v/>
      </c>
      <c r="BB432" s="134" t="str">
        <f aca="false">IF(ISBLANK($C432),"",AND($AL432,OR($AM432="",$AN432="",AND($AO432,$AP432=""))))</f>
        <v/>
      </c>
      <c r="BC432" s="137" t="str">
        <f aca="false">IF($BX432&lt;&gt;Constants!$B$6,"",IF($AL432,Constants!$B$17*$AN432+Constants!$B$18*IF($AO432,$AP432,Constants!$B$19),Constants!$B$20))</f>
        <v/>
      </c>
      <c r="BD432" s="138" t="str">
        <f aca="false">IF($BX432&lt;&gt;Constants!$B$6,"",Constants!$B$21*ABS($AD$9-IF($AL432,$AM432,0)))</f>
        <v/>
      </c>
      <c r="BE432" s="138" t="str">
        <f aca="false">IF($BX432&lt;&gt;Constants!$B$6,"",IF(AND($AL432,$AQ432,$AO432),Constants!$B$22,0))</f>
        <v/>
      </c>
      <c r="BF432" s="138" t="str">
        <f aca="false">IF($BX432&lt;&gt;Constants!$B$6,"",IF($AL432,($AI432-Constants!$B$24)*Constants!$B$23,0))</f>
        <v/>
      </c>
      <c r="BG432" s="138" t="str">
        <f aca="false">IF($BX432&lt;&gt;Constants!$B$6,"",IF($AK432,0,Constants!$B$12)+IF($AJ432,0,Constants!$B$13)+IF($AH432,0,Constants!$B$14))</f>
        <v/>
      </c>
      <c r="BH432" s="139" t="str">
        <f aca="false">IF($BX432&lt;&gt;Constants!$B$6,"",Constants!$B$16+SUM($BC432:$BG432))</f>
        <v/>
      </c>
      <c r="BI432" s="138" t="str">
        <f aca="false">IF($BX432&lt;&gt;Constants!$B$6,"",$BC432)</f>
        <v/>
      </c>
      <c r="BJ432" s="138" t="str">
        <f aca="false">IF($BX432&lt;&gt;Constants!$B$6,"",$BD432)</f>
        <v/>
      </c>
      <c r="BK432" s="140" t="str">
        <f aca="false">IF($BX432&lt;&gt;Constants!$B$6,"",IF($AL432,$AN432,""))</f>
        <v/>
      </c>
      <c r="BL432" s="135" t="str">
        <f aca="false">IF($BX432&lt;&gt;Constants!$B$6,"",IF(OR($BS432&lt;$BH432,AND($BS432=$BH432,OR($BT432&lt;$BI432,AND($BT432=$BI432,OR($BU432&lt;$BJ432,AND($BU432=$BJ432,AND(ISNUMBER($BV432),OR(NOT(ISNUMBER($BK432)),$BV432&lt;$BK432)))))))),"-&gt;","&lt;-"))</f>
        <v/>
      </c>
      <c r="BM432" s="134" t="str">
        <f aca="false">IF(ISBLANK($C432),"",AND($AT432,OR($AU432="",$AV432="",AND($AW432,$AX432=""))))</f>
        <v/>
      </c>
      <c r="BN432" s="137" t="str">
        <f aca="false">IF($BX432&lt;&gt;Constants!$B$6,"",IF($AT432,Constants!$B$17*$AV432+Constants!$B$18*IF($AW432,$AX432,Constants!$B$19),Constants!$B$20))</f>
        <v/>
      </c>
      <c r="BO432" s="138" t="str">
        <f aca="false">IF($BX432&lt;&gt;Constants!$B$6,"",Constants!$B$21*ABS($AD$9-IF($AT432,$AU432,0)))</f>
        <v/>
      </c>
      <c r="BP432" s="138" t="str">
        <f aca="false">IF($BX432&lt;&gt;Constants!$B$6,"",IF(AND($AT432,$AY432,$AW432),Constants!$B$22,0))</f>
        <v/>
      </c>
      <c r="BQ432" s="138" t="str">
        <f aca="false">IF($BX432&lt;&gt;Constants!$B$6,"",IF($AT432,($AI432-Constants!$B$24)*Constants!$B$23,0))</f>
        <v/>
      </c>
      <c r="BR432" s="138" t="str">
        <f aca="false">IF($BX432&lt;&gt;Constants!$B$6,"",IF($AS432,0,Constants!$B$12)+IF($AR432,0,Constants!$B$13)+IF($AH432,0,Constants!$B$14))</f>
        <v/>
      </c>
      <c r="BS432" s="139" t="str">
        <f aca="false">IF($BX432&lt;&gt;Constants!$B$6,"",Constants!$B$16+SUM($BN432:$BR432))</f>
        <v/>
      </c>
      <c r="BT432" s="138" t="str">
        <f aca="false">IF($BX432&lt;&gt;Constants!$B$6,"",$BN432)</f>
        <v/>
      </c>
      <c r="BU432" s="138" t="str">
        <f aca="false">IF($BX432&lt;&gt;Constants!$B$6,"",$BO432)</f>
        <v/>
      </c>
      <c r="BV432" s="140" t="str">
        <f aca="false">IF($BX432&lt;&gt;Constants!$B$6,"",IF($AT432,$AV432,""))</f>
        <v/>
      </c>
      <c r="BW432" s="135" t="str">
        <f aca="false">IF(ISBLANK($C432),"",IF(ISBLANK($D$7),$BW$5,IF(NOT(ISNUMBER($D$7)),$BW$6,"")))</f>
        <v/>
      </c>
      <c r="BX432" s="135" t="str">
        <f aca="false">IF(ISBLANK($C432),"",IF($BA432,Constants!$B$9,IF(COUNTA($E432:$AA432)=0,Constants!$B$8,IF(NOT($AG432),Constants!$B$7,IF(OR($BW432&lt;&gt;"",$BB432,$BM432),Constants!$B$10,Constants!$B$6)))))</f>
        <v/>
      </c>
      <c r="BY432" s="135" t="str">
        <f aca="false">IF(ISBLANK($C432),"",IF($BX432&lt;&gt;Constants!$B$6,$BX432,Constants!$B$11))</f>
        <v/>
      </c>
      <c r="BZ432" s="138" t="str">
        <f aca="false">IF($BX432&lt;&gt;Constants!$B$6,"",IF($BL432="-&gt;",$BS432,$BH432))</f>
        <v/>
      </c>
      <c r="CA432" s="138" t="str">
        <f aca="false">IF($BX432&lt;&gt;Constants!$B$6,"",IF($AF432,0,Constants!$B$15))</f>
        <v/>
      </c>
      <c r="CB432" s="138" t="str">
        <f aca="false">IF($BX432&lt;&gt;Constants!$B$6,"",((Constants!$B$25-$AZ432)-Constants!$B$25)/Constants!$B$26)</f>
        <v/>
      </c>
      <c r="CC432" s="138" t="str">
        <f aca="false">IF(ISBLANK($C432),"",IF($BX432&lt;&gt;Constants!$B$6,$BX432,SUM($BZ432:$CB432)))</f>
        <v/>
      </c>
      <c r="CD432" s="135" t="str">
        <f aca="false">IF(ISBLANK($C432),"",IF($BX432&lt;&gt;Constants!$B$6,$BX432,RANK($CC432,$CC$9:$CC$508,1)))</f>
        <v/>
      </c>
      <c r="CE432" s="138" t="str">
        <f aca="false">IF($BX432&lt;&gt;Constants!$B$6,"",IF($BL432="-&gt;",$BT432,$BI432))</f>
        <v/>
      </c>
      <c r="CF432" s="135" t="str">
        <f aca="false">IF(ISBLANK($C432),"",IF($BX432&lt;&gt;Constants!$B$6,$BX432,IF(ISNUMBER($CE432),RANK($CE432,$CE$9:$CE$508,1),COUNT($CE$9:$CE$508)+1)))</f>
        <v/>
      </c>
      <c r="CG432" s="138" t="str">
        <f aca="false">IF($BX432&lt;&gt;Constants!$B$6,"",IF($BL432="-&gt;",$BU432,$BJ432))</f>
        <v/>
      </c>
      <c r="CH432" s="135" t="str">
        <f aca="false">IF(ISBLANK($C432),"",IF($BX432&lt;&gt;Constants!$B$6,$BX432,IF(ISNUMBER($CG432),RANK($CG432,$CG$9:$CG$508,1),COUNT($CG$9:$CG$508)+1)))</f>
        <v/>
      </c>
      <c r="CI432" s="138" t="str">
        <f aca="false">IF($BX432&lt;&gt;Constants!$B$6,"",IF($BL432="-&gt;",$BV432,$BK432))</f>
        <v/>
      </c>
      <c r="CJ432" s="135" t="str">
        <f aca="false">IF(ISBLANK($C432),"",IF($BX432&lt;&gt;Constants!$B$6,$BX432,IF(ISNUMBER($CI432),RANK($CI432,$CI$9:$CI$508,1),COUNT($CI$9:$CI$508)+1)))</f>
        <v/>
      </c>
      <c r="CK432" s="138" t="str">
        <f aca="false">IF($BX432&lt;&gt;Constants!$B$6,"",$AI432)</f>
        <v/>
      </c>
      <c r="CL432" s="135" t="str">
        <f aca="false">IF(ISBLANK($C432),"",IF($BX432&lt;&gt;Constants!$B$6,$BX432,IF(ISNUMBER($CK432),RANK($CK432,$CK$9:$CK$508,1),COUNT($CK$9:$CK$508)+1)))</f>
        <v/>
      </c>
      <c r="CM432" s="135" t="str">
        <f aca="false">IF(ISBLANK($C432),"",IF($BX432&lt;&gt;Constants!$B$6,$BX432,COUNTIFS($CD$9:$CD$508,"&lt;"&amp;$CD432)+COUNTIFS($CD$9:$CD$508,$CD432,$CF$9:$CF$508,"&lt;"&amp;$CF432)+COUNTIFS($CD$9:$CD$508,$CD432,$CF$9:$CF$508,$CF432,$CH$9:$CH$508,"&lt;"&amp;$CH432)+COUNTIFS($CD$9:$CD$508,$CD432,$CF$9:$CF$508,$CF432,$CH$9:$CH$508,$CH432,$CJ$9:$CJ$508,"&lt;"&amp;$CJ432)+COUNTIFS($CD$9:$CD$508,$CD432,$CF$9:$CF$508,$CF432,$CH$9:$CH$508,$CH432,$CJ$9:$CJ$508,$CJ432,$CL$9:$CL$508,"&lt;"&amp;$CL432)+1))</f>
        <v/>
      </c>
      <c r="CN432" s="135" t="str">
        <f aca="false">IF(ISBLANK($C432),"",IF($BX432&lt;&gt;Constants!$B$6,$BX432,$CD432-$CM432))</f>
        <v/>
      </c>
      <c r="CO432" s="141"/>
      <c r="CP432" s="142"/>
      <c r="CQ432" s="143" t="str">
        <f aca="false">IF(ISBLANK($C432),"",IF($BX432=Constants!$B$10,$BW432,""))</f>
        <v/>
      </c>
      <c r="CR432" s="142" t="str">
        <f aca="false">IF(ISBLANK($C432),"",IF($BX432&lt;&gt;Constants!$B$6,"",IF($BL432="-&gt;",2,1)))</f>
        <v/>
      </c>
      <c r="CS432" s="144" t="str">
        <f aca="false">IF(ISBLANK($C432),"",IF($BX432&lt;&gt;Constants!$B$6,"",IF($BL432="-&gt;",$BN432,$BC432)))</f>
        <v/>
      </c>
      <c r="CT432" s="144" t="str">
        <f aca="false">IF(ISBLANK($C432),"",IF($BX432&lt;&gt;Constants!$B$6,"",IF($BL432="-&gt;",$BO432,$BD432)))</f>
        <v/>
      </c>
      <c r="CU432" s="144" t="str">
        <f aca="false">IF(ISBLANK($C432),"",IF($BX432&lt;&gt;Constants!$B$6,"",IF($BL432="-&gt;",$BP432+$BQ432,$BE432+$BF432)+$CB432))</f>
        <v/>
      </c>
      <c r="CV432" s="144" t="str">
        <f aca="false">IF(ISBLANK($C432),"",IF($BX432&lt;&gt;Constants!$B$6,"",IF($BL432="-&gt;",$BR432,$BG432)+$CA432))</f>
        <v/>
      </c>
      <c r="CW432" s="145" t="str">
        <f aca="false">IF(ISBLANK($C432),"",IF($BX432&lt;&gt;Constants!$B$6,$BX432,$CC432))</f>
        <v/>
      </c>
      <c r="CX432" s="146" t="str">
        <f aca="false">IF(ISBLANK($C432),"",$BY432)</f>
        <v/>
      </c>
      <c r="CY432" s="147" t="str">
        <f aca="false">IF(ISBLANK($C432),"",$CN432)</f>
        <v/>
      </c>
      <c r="CZ432" s="147" t="str">
        <f aca="false">IF(ISBLANK($C432),"",$CM432)</f>
        <v/>
      </c>
      <c r="DA432" s="148" t="str">
        <f aca="false">IF(ISBLANK($C432),"",IFERROR(_xlfn.SWITCH($CZ432,Constants!$B$9,COUNTA($C$9:$C$508)+2,Constants!$B$8,COUNTA($C$9:$C$508)+1,Constants!$B$7,COUNTA($C$9:$C$508)),$CZ432))</f>
        <v/>
      </c>
      <c r="DB432" s="9"/>
      <c r="DC432" s="149" t="n">
        <f aca="false">IF(OR(ISNUMBER($CZ432),$CZ432=Constants!$B$9,$CZ432=Constants!$B$7,$CZ432=Constants!$B$8),1,0)</f>
        <v>0</v>
      </c>
      <c r="DD432" s="149" t="n">
        <v>424</v>
      </c>
      <c r="DE432" s="149" t="str">
        <f aca="false">IF(ISBLANK($C432),"",IF(ISNUMBER($DA432),$DA432+ROW($B432)/1000,""))</f>
        <v/>
      </c>
      <c r="DF432" s="149" t="str">
        <f aca="false">IF(ISNUMBER($DE432),RANK($DE432,$DE$9:$DE$508,1),"")</f>
        <v/>
      </c>
      <c r="DG432" s="149" t="str">
        <f aca="false">IF(ISBLANK($C432),"",$B432)</f>
        <v/>
      </c>
      <c r="DH432" s="149" t="str">
        <f aca="false">IF(ISBLANK($C432),"",$C432)</f>
        <v/>
      </c>
      <c r="DI432" s="149" t="str">
        <f aca="false">IF(ISBLANK($C432),"",$D432)</f>
        <v/>
      </c>
      <c r="DJ432" s="150" t="str">
        <f aca="false">$CX432</f>
        <v/>
      </c>
      <c r="DK432" s="151" t="str">
        <f aca="false">$CW432</f>
        <v/>
      </c>
      <c r="DL432" s="149" t="str">
        <f aca="false">IF(ISBLANK($C432),"",$CZ432)</f>
        <v/>
      </c>
      <c r="DM432" s="152" t="str">
        <f aca="false">IF($DD432&gt;$DC$8,"",VLOOKUP($DD432,$DF$9:$DL$508,7,FALSE()))</f>
        <v/>
      </c>
      <c r="DN432" s="153" t="str">
        <f aca="false">IF($DD432&gt;$DC$8,"",VLOOKUP($DD432,$DF$9:$DL$508,2,FALSE()))</f>
        <v/>
      </c>
      <c r="DO432" s="153" t="str">
        <f aca="false">IF($DD432&gt;$DC$8,"",VLOOKUP($DD432,$DF$9:$DL$508,3,FALSE()))</f>
        <v/>
      </c>
      <c r="DP432" s="153" t="str">
        <f aca="false">IF($DD432&gt;$DC$8,"",VLOOKUP($DD432,$DF$9:$DL$508,4,FALSE()))</f>
        <v/>
      </c>
      <c r="DQ432" s="153" t="str">
        <f aca="false">IF($DD432&gt;$DC$8,"",VLOOKUP($DD432,$DF$9:$DL$508,5,FALSE()))</f>
        <v/>
      </c>
      <c r="DR432" s="154" t="str">
        <f aca="false">IF($DD432&gt;$DC$8,"",VLOOKUP($DD432,$DF$9:$DL$508,6,FALSE()))</f>
        <v/>
      </c>
      <c r="DS432" s="76"/>
    </row>
    <row r="433" customFormat="false" ht="15.75" hidden="false" customHeight="false" outlineLevel="0" collapsed="false">
      <c r="A433" s="9"/>
      <c r="B433" s="160"/>
      <c r="C433" s="161"/>
      <c r="D433" s="162"/>
      <c r="E433" s="180"/>
      <c r="F433" s="164"/>
      <c r="G433" s="165"/>
      <c r="H433" s="165"/>
      <c r="I433" s="181"/>
      <c r="J433" s="168"/>
      <c r="K433" s="128"/>
      <c r="L433" s="129"/>
      <c r="M433" s="130"/>
      <c r="N433" s="168"/>
      <c r="O433" s="168"/>
      <c r="P433" s="180"/>
      <c r="Q433" s="168"/>
      <c r="R433" s="168"/>
      <c r="S433" s="128"/>
      <c r="T433" s="130"/>
      <c r="U433" s="130"/>
      <c r="V433" s="168"/>
      <c r="W433" s="168"/>
      <c r="X433" s="180"/>
      <c r="Y433" s="168"/>
      <c r="Z433" s="169"/>
      <c r="AA433" s="168"/>
      <c r="AB433" s="134"/>
      <c r="AC433" s="135"/>
      <c r="AD433" s="135"/>
      <c r="AE433" s="135"/>
      <c r="AF433" s="135" t="str">
        <f aca="false">IF(ISBLANK($C433),"",IF(E433=Constants!$B$2,TRUE(),IF(E433=Constants!$B$3,FALSE(),TRUE())))</f>
        <v/>
      </c>
      <c r="AG433" s="135" t="str">
        <f aca="false">IF(ISBLANK($C433),"",IF(F433=Constants!$B$2,TRUE(),IF(F433=Constants!$B$3,FALSE(),TRUE())))</f>
        <v/>
      </c>
      <c r="AH433" s="135" t="str">
        <f aca="false">IF(ISBLANK($C433),"",IF(G433=Constants!$B$2,TRUE(),IF(G433=Constants!$B$3,FALSE(),TRUE())))</f>
        <v/>
      </c>
      <c r="AI433" s="135" t="str">
        <f aca="false">IF(ISBLANK($C433),"",IF(AND(ISNUMBER(H433),H433&gt;=0),H433,Constants!$B$24))</f>
        <v/>
      </c>
      <c r="AJ433" s="135" t="str">
        <f aca="false">IF(ISBLANK($C433),"",IF(I433=Constants!$B$2,TRUE(),IF(I433=Constants!$B$3,FALSE(),TRUE())))</f>
        <v/>
      </c>
      <c r="AK433" s="135" t="str">
        <f aca="false">IF(ISBLANK($C433),"",IF(J433=Constants!$B$2,TRUE(),IF(J433=Constants!$B$3,FALSE(),TRUE())))</f>
        <v/>
      </c>
      <c r="AL433" s="135" t="str">
        <f aca="false">IF(ISBLANK($C433),"",IF(K433=Constants!$B$4,TRUE(),IF(K433=Constants!$B$5,FALSE(),COUNTA(L433:P433)&gt;0)))</f>
        <v/>
      </c>
      <c r="AM433" s="136" t="str">
        <f aca="false">IF(ISBLANK($C433),"",IF(ISNUMBER(L433),IF(L433&gt;=0,L433,""),""))</f>
        <v/>
      </c>
      <c r="AN433" s="137" t="str">
        <f aca="false">IF(ISBLANK($C433),"",IF(ISNUMBER(M433),IF(M433&gt;=0,M433,""),""))</f>
        <v/>
      </c>
      <c r="AO433" s="137" t="str">
        <f aca="false">IF(ISBLANK($C433),"",IF(N433=Constants!$B$2,TRUE(),IF(N433=Constants!$B$3,FALSE(),TRUE())))</f>
        <v/>
      </c>
      <c r="AP433" s="135" t="str">
        <f aca="false">IF(ISBLANK($C433),"",IF(ISNUMBER(O433),IF(O433&gt;=0,O433,""),""))</f>
        <v/>
      </c>
      <c r="AQ433" s="135" t="str">
        <f aca="false">IF(ISBLANK($C433),"",IF(P433=Constants!$B$2,TRUE(),IF(P433=Constants!$B$3,FALSE(),FALSE())))</f>
        <v/>
      </c>
      <c r="AR433" s="135" t="str">
        <f aca="false">IF(ISBLANK($C433),"",IF(Q433=Constants!$B$2,TRUE(),IF(Q433=Constants!$B$3,FALSE(),TRUE())))</f>
        <v/>
      </c>
      <c r="AS433" s="135" t="str">
        <f aca="false">IF(ISBLANK($C433),"",IF(R433=Constants!$B$2,TRUE(),IF(R433=Constants!$B$3,FALSE(),TRUE())))</f>
        <v/>
      </c>
      <c r="AT433" s="135" t="str">
        <f aca="false">IF(ISBLANK($C433),"",IF(S433=Constants!$B$4,TRUE(),IF(S433=Constants!$B$5,FALSE(),COUNTA(T433:X433)&gt;0)))</f>
        <v/>
      </c>
      <c r="AU433" s="136" t="str">
        <f aca="false">IF(ISBLANK($C433),"",IF(ISNUMBER(T433),IF(T433&gt;=0,T433,""),""))</f>
        <v/>
      </c>
      <c r="AV433" s="137" t="str">
        <f aca="false">IF(ISBLANK($C433),"",IF(ISNUMBER(U433),IF(U433&gt;=0,U433,""),""))</f>
        <v/>
      </c>
      <c r="AW433" s="137" t="str">
        <f aca="false">IF(ISBLANK($C433),"",IF(V433=Constants!$B$2,TRUE(),IF(V433=Constants!$B$3,FALSE(),TRUE())))</f>
        <v/>
      </c>
      <c r="AX433" s="135" t="str">
        <f aca="false">IF(ISBLANK($C433),"",IF(ISNUMBER(W433),IF(W433&gt;=0,W433,""),""))</f>
        <v/>
      </c>
      <c r="AY433" s="135" t="str">
        <f aca="false">IF(ISBLANK($C433),"",IF(X433=Constants!$B$2,TRUE(),IF(X433=Constants!$B$3,FALSE(),FALSE())))</f>
        <v/>
      </c>
      <c r="AZ433" s="135" t="str">
        <f aca="false">IF(ISBLANK($C433),"",MIN(Constants!$B$25,MAX(0,IF(ISNUMBER(Y433),Y433*60,0)+IF(ISNUMBER(Z433),Z433,0))))</f>
        <v/>
      </c>
      <c r="BA433" s="135" t="str">
        <f aca="false">IF(ISBLANK($C433),"",IF(AA433=Constants!$B$2,TRUE(),IF(AA433=Constants!$B$3,FALSE(),FALSE())))</f>
        <v/>
      </c>
      <c r="BB433" s="134" t="str">
        <f aca="false">IF(ISBLANK($C433),"",AND($AL433,OR($AM433="",$AN433="",AND($AO433,$AP433=""))))</f>
        <v/>
      </c>
      <c r="BC433" s="137" t="str">
        <f aca="false">IF($BX433&lt;&gt;Constants!$B$6,"",IF($AL433,Constants!$B$17*$AN433+Constants!$B$18*IF($AO433,$AP433,Constants!$B$19),Constants!$B$20))</f>
        <v/>
      </c>
      <c r="BD433" s="138" t="str">
        <f aca="false">IF($BX433&lt;&gt;Constants!$B$6,"",Constants!$B$21*ABS($AD$9-IF($AL433,$AM433,0)))</f>
        <v/>
      </c>
      <c r="BE433" s="138" t="str">
        <f aca="false">IF($BX433&lt;&gt;Constants!$B$6,"",IF(AND($AL433,$AQ433,$AO433),Constants!$B$22,0))</f>
        <v/>
      </c>
      <c r="BF433" s="138" t="str">
        <f aca="false">IF($BX433&lt;&gt;Constants!$B$6,"",IF($AL433,($AI433-Constants!$B$24)*Constants!$B$23,0))</f>
        <v/>
      </c>
      <c r="BG433" s="138" t="str">
        <f aca="false">IF($BX433&lt;&gt;Constants!$B$6,"",IF($AK433,0,Constants!$B$12)+IF($AJ433,0,Constants!$B$13)+IF($AH433,0,Constants!$B$14))</f>
        <v/>
      </c>
      <c r="BH433" s="139" t="str">
        <f aca="false">IF($BX433&lt;&gt;Constants!$B$6,"",Constants!$B$16+SUM($BC433:$BG433))</f>
        <v/>
      </c>
      <c r="BI433" s="138" t="str">
        <f aca="false">IF($BX433&lt;&gt;Constants!$B$6,"",$BC433)</f>
        <v/>
      </c>
      <c r="BJ433" s="138" t="str">
        <f aca="false">IF($BX433&lt;&gt;Constants!$B$6,"",$BD433)</f>
        <v/>
      </c>
      <c r="BK433" s="140" t="str">
        <f aca="false">IF($BX433&lt;&gt;Constants!$B$6,"",IF($AL433,$AN433,""))</f>
        <v/>
      </c>
      <c r="BL433" s="135" t="str">
        <f aca="false">IF($BX433&lt;&gt;Constants!$B$6,"",IF(OR($BS433&lt;$BH433,AND($BS433=$BH433,OR($BT433&lt;$BI433,AND($BT433=$BI433,OR($BU433&lt;$BJ433,AND($BU433=$BJ433,AND(ISNUMBER($BV433),OR(NOT(ISNUMBER($BK433)),$BV433&lt;$BK433)))))))),"-&gt;","&lt;-"))</f>
        <v/>
      </c>
      <c r="BM433" s="134" t="str">
        <f aca="false">IF(ISBLANK($C433),"",AND($AT433,OR($AU433="",$AV433="",AND($AW433,$AX433=""))))</f>
        <v/>
      </c>
      <c r="BN433" s="137" t="str">
        <f aca="false">IF($BX433&lt;&gt;Constants!$B$6,"",IF($AT433,Constants!$B$17*$AV433+Constants!$B$18*IF($AW433,$AX433,Constants!$B$19),Constants!$B$20))</f>
        <v/>
      </c>
      <c r="BO433" s="138" t="str">
        <f aca="false">IF($BX433&lt;&gt;Constants!$B$6,"",Constants!$B$21*ABS($AD$9-IF($AT433,$AU433,0)))</f>
        <v/>
      </c>
      <c r="BP433" s="138" t="str">
        <f aca="false">IF($BX433&lt;&gt;Constants!$B$6,"",IF(AND($AT433,$AY433,$AW433),Constants!$B$22,0))</f>
        <v/>
      </c>
      <c r="BQ433" s="138" t="str">
        <f aca="false">IF($BX433&lt;&gt;Constants!$B$6,"",IF($AT433,($AI433-Constants!$B$24)*Constants!$B$23,0))</f>
        <v/>
      </c>
      <c r="BR433" s="138" t="str">
        <f aca="false">IF($BX433&lt;&gt;Constants!$B$6,"",IF($AS433,0,Constants!$B$12)+IF($AR433,0,Constants!$B$13)+IF($AH433,0,Constants!$B$14))</f>
        <v/>
      </c>
      <c r="BS433" s="139" t="str">
        <f aca="false">IF($BX433&lt;&gt;Constants!$B$6,"",Constants!$B$16+SUM($BN433:$BR433))</f>
        <v/>
      </c>
      <c r="BT433" s="138" t="str">
        <f aca="false">IF($BX433&lt;&gt;Constants!$B$6,"",$BN433)</f>
        <v/>
      </c>
      <c r="BU433" s="138" t="str">
        <f aca="false">IF($BX433&lt;&gt;Constants!$B$6,"",$BO433)</f>
        <v/>
      </c>
      <c r="BV433" s="140" t="str">
        <f aca="false">IF($BX433&lt;&gt;Constants!$B$6,"",IF($AT433,$AV433,""))</f>
        <v/>
      </c>
      <c r="BW433" s="135" t="str">
        <f aca="false">IF(ISBLANK($C433),"",IF(ISBLANK($D$7),$BW$5,IF(NOT(ISNUMBER($D$7)),$BW$6,"")))</f>
        <v/>
      </c>
      <c r="BX433" s="135" t="str">
        <f aca="false">IF(ISBLANK($C433),"",IF($BA433,Constants!$B$9,IF(COUNTA($E433:$AA433)=0,Constants!$B$8,IF(NOT($AG433),Constants!$B$7,IF(OR($BW433&lt;&gt;"",$BB433,$BM433),Constants!$B$10,Constants!$B$6)))))</f>
        <v/>
      </c>
      <c r="BY433" s="135" t="str">
        <f aca="false">IF(ISBLANK($C433),"",IF($BX433&lt;&gt;Constants!$B$6,$BX433,Constants!$B$11))</f>
        <v/>
      </c>
      <c r="BZ433" s="138" t="str">
        <f aca="false">IF($BX433&lt;&gt;Constants!$B$6,"",IF($BL433="-&gt;",$BS433,$BH433))</f>
        <v/>
      </c>
      <c r="CA433" s="138" t="str">
        <f aca="false">IF($BX433&lt;&gt;Constants!$B$6,"",IF($AF433,0,Constants!$B$15))</f>
        <v/>
      </c>
      <c r="CB433" s="138" t="str">
        <f aca="false">IF($BX433&lt;&gt;Constants!$B$6,"",((Constants!$B$25-$AZ433)-Constants!$B$25)/Constants!$B$26)</f>
        <v/>
      </c>
      <c r="CC433" s="138" t="str">
        <f aca="false">IF(ISBLANK($C433),"",IF($BX433&lt;&gt;Constants!$B$6,$BX433,SUM($BZ433:$CB433)))</f>
        <v/>
      </c>
      <c r="CD433" s="135" t="str">
        <f aca="false">IF(ISBLANK($C433),"",IF($BX433&lt;&gt;Constants!$B$6,$BX433,RANK($CC433,$CC$9:$CC$508,1)))</f>
        <v/>
      </c>
      <c r="CE433" s="138" t="str">
        <f aca="false">IF($BX433&lt;&gt;Constants!$B$6,"",IF($BL433="-&gt;",$BT433,$BI433))</f>
        <v/>
      </c>
      <c r="CF433" s="135" t="str">
        <f aca="false">IF(ISBLANK($C433),"",IF($BX433&lt;&gt;Constants!$B$6,$BX433,IF(ISNUMBER($CE433),RANK($CE433,$CE$9:$CE$508,1),COUNT($CE$9:$CE$508)+1)))</f>
        <v/>
      </c>
      <c r="CG433" s="138" t="str">
        <f aca="false">IF($BX433&lt;&gt;Constants!$B$6,"",IF($BL433="-&gt;",$BU433,$BJ433))</f>
        <v/>
      </c>
      <c r="CH433" s="135" t="str">
        <f aca="false">IF(ISBLANK($C433),"",IF($BX433&lt;&gt;Constants!$B$6,$BX433,IF(ISNUMBER($CG433),RANK($CG433,$CG$9:$CG$508,1),COUNT($CG$9:$CG$508)+1)))</f>
        <v/>
      </c>
      <c r="CI433" s="138" t="str">
        <f aca="false">IF($BX433&lt;&gt;Constants!$B$6,"",IF($BL433="-&gt;",$BV433,$BK433))</f>
        <v/>
      </c>
      <c r="CJ433" s="135" t="str">
        <f aca="false">IF(ISBLANK($C433),"",IF($BX433&lt;&gt;Constants!$B$6,$BX433,IF(ISNUMBER($CI433),RANK($CI433,$CI$9:$CI$508,1),COUNT($CI$9:$CI$508)+1)))</f>
        <v/>
      </c>
      <c r="CK433" s="138" t="str">
        <f aca="false">IF($BX433&lt;&gt;Constants!$B$6,"",$AI433)</f>
        <v/>
      </c>
      <c r="CL433" s="135" t="str">
        <f aca="false">IF(ISBLANK($C433),"",IF($BX433&lt;&gt;Constants!$B$6,$BX433,IF(ISNUMBER($CK433),RANK($CK433,$CK$9:$CK$508,1),COUNT($CK$9:$CK$508)+1)))</f>
        <v/>
      </c>
      <c r="CM433" s="135" t="str">
        <f aca="false">IF(ISBLANK($C433),"",IF($BX433&lt;&gt;Constants!$B$6,$BX433,COUNTIFS($CD$9:$CD$508,"&lt;"&amp;$CD433)+COUNTIFS($CD$9:$CD$508,$CD433,$CF$9:$CF$508,"&lt;"&amp;$CF433)+COUNTIFS($CD$9:$CD$508,$CD433,$CF$9:$CF$508,$CF433,$CH$9:$CH$508,"&lt;"&amp;$CH433)+COUNTIFS($CD$9:$CD$508,$CD433,$CF$9:$CF$508,$CF433,$CH$9:$CH$508,$CH433,$CJ$9:$CJ$508,"&lt;"&amp;$CJ433)+COUNTIFS($CD$9:$CD$508,$CD433,$CF$9:$CF$508,$CF433,$CH$9:$CH$508,$CH433,$CJ$9:$CJ$508,$CJ433,$CL$9:$CL$508,"&lt;"&amp;$CL433)+1))</f>
        <v/>
      </c>
      <c r="CN433" s="135" t="str">
        <f aca="false">IF(ISBLANK($C433),"",IF($BX433&lt;&gt;Constants!$B$6,$BX433,$CD433-$CM433))</f>
        <v/>
      </c>
      <c r="CO433" s="141"/>
      <c r="CP433" s="142"/>
      <c r="CQ433" s="143" t="str">
        <f aca="false">IF(ISBLANK($C433),"",IF($BX433=Constants!$B$10,$BW433,""))</f>
        <v/>
      </c>
      <c r="CR433" s="142" t="str">
        <f aca="false">IF(ISBLANK($C433),"",IF($BX433&lt;&gt;Constants!$B$6,"",IF($BL433="-&gt;",2,1)))</f>
        <v/>
      </c>
      <c r="CS433" s="144" t="str">
        <f aca="false">IF(ISBLANK($C433),"",IF($BX433&lt;&gt;Constants!$B$6,"",IF($BL433="-&gt;",$BN433,$BC433)))</f>
        <v/>
      </c>
      <c r="CT433" s="144" t="str">
        <f aca="false">IF(ISBLANK($C433),"",IF($BX433&lt;&gt;Constants!$B$6,"",IF($BL433="-&gt;",$BO433,$BD433)))</f>
        <v/>
      </c>
      <c r="CU433" s="144" t="str">
        <f aca="false">IF(ISBLANK($C433),"",IF($BX433&lt;&gt;Constants!$B$6,"",IF($BL433="-&gt;",$BP433+$BQ433,$BE433+$BF433)+$CB433))</f>
        <v/>
      </c>
      <c r="CV433" s="144" t="str">
        <f aca="false">IF(ISBLANK($C433),"",IF($BX433&lt;&gt;Constants!$B$6,"",IF($BL433="-&gt;",$BR433,$BG433)+$CA433))</f>
        <v/>
      </c>
      <c r="CW433" s="145" t="str">
        <f aca="false">IF(ISBLANK($C433),"",IF($BX433&lt;&gt;Constants!$B$6,$BX433,$CC433))</f>
        <v/>
      </c>
      <c r="CX433" s="146" t="str">
        <f aca="false">IF(ISBLANK($C433),"",$BY433)</f>
        <v/>
      </c>
      <c r="CY433" s="147" t="str">
        <f aca="false">IF(ISBLANK($C433),"",$CN433)</f>
        <v/>
      </c>
      <c r="CZ433" s="147" t="str">
        <f aca="false">IF(ISBLANK($C433),"",$CM433)</f>
        <v/>
      </c>
      <c r="DA433" s="148" t="str">
        <f aca="false">IF(ISBLANK($C433),"",IFERROR(_xlfn.SWITCH($CZ433,Constants!$B$9,COUNTA($C$9:$C$508)+2,Constants!$B$8,COUNTA($C$9:$C$508)+1,Constants!$B$7,COUNTA($C$9:$C$508)),$CZ433))</f>
        <v/>
      </c>
      <c r="DB433" s="9"/>
      <c r="DC433" s="149" t="n">
        <f aca="false">IF(OR(ISNUMBER($CZ433),$CZ433=Constants!$B$9,$CZ433=Constants!$B$7,$CZ433=Constants!$B$8),1,0)</f>
        <v>0</v>
      </c>
      <c r="DD433" s="149" t="n">
        <v>425</v>
      </c>
      <c r="DE433" s="149" t="str">
        <f aca="false">IF(ISBLANK($C433),"",IF(ISNUMBER($DA433),$DA433+ROW($B433)/1000,""))</f>
        <v/>
      </c>
      <c r="DF433" s="149" t="str">
        <f aca="false">IF(ISNUMBER($DE433),RANK($DE433,$DE$9:$DE$508,1),"")</f>
        <v/>
      </c>
      <c r="DG433" s="149" t="str">
        <f aca="false">IF(ISBLANK($C433),"",$B433)</f>
        <v/>
      </c>
      <c r="DH433" s="149" t="str">
        <f aca="false">IF(ISBLANK($C433),"",$C433)</f>
        <v/>
      </c>
      <c r="DI433" s="149" t="str">
        <f aca="false">IF(ISBLANK($C433),"",$D433)</f>
        <v/>
      </c>
      <c r="DJ433" s="150" t="str">
        <f aca="false">$CX433</f>
        <v/>
      </c>
      <c r="DK433" s="151" t="str">
        <f aca="false">$CW433</f>
        <v/>
      </c>
      <c r="DL433" s="149" t="str">
        <f aca="false">IF(ISBLANK($C433),"",$CZ433)</f>
        <v/>
      </c>
      <c r="DM433" s="152" t="str">
        <f aca="false">IF($DD433&gt;$DC$8,"",VLOOKUP($DD433,$DF$9:$DL$508,7,FALSE()))</f>
        <v/>
      </c>
      <c r="DN433" s="153" t="str">
        <f aca="false">IF($DD433&gt;$DC$8,"",VLOOKUP($DD433,$DF$9:$DL$508,2,FALSE()))</f>
        <v/>
      </c>
      <c r="DO433" s="153" t="str">
        <f aca="false">IF($DD433&gt;$DC$8,"",VLOOKUP($DD433,$DF$9:$DL$508,3,FALSE()))</f>
        <v/>
      </c>
      <c r="DP433" s="153" t="str">
        <f aca="false">IF($DD433&gt;$DC$8,"",VLOOKUP($DD433,$DF$9:$DL$508,4,FALSE()))</f>
        <v/>
      </c>
      <c r="DQ433" s="153" t="str">
        <f aca="false">IF($DD433&gt;$DC$8,"",VLOOKUP($DD433,$DF$9:$DL$508,5,FALSE()))</f>
        <v/>
      </c>
      <c r="DR433" s="154" t="str">
        <f aca="false">IF($DD433&gt;$DC$8,"",VLOOKUP($DD433,$DF$9:$DL$508,6,FALSE()))</f>
        <v/>
      </c>
      <c r="DS433" s="76"/>
    </row>
    <row r="434" customFormat="false" ht="15.75" hidden="false" customHeight="false" outlineLevel="0" collapsed="false">
      <c r="A434" s="9"/>
      <c r="B434" s="160"/>
      <c r="C434" s="161"/>
      <c r="D434" s="162"/>
      <c r="E434" s="180"/>
      <c r="F434" s="164"/>
      <c r="G434" s="165"/>
      <c r="H434" s="165"/>
      <c r="I434" s="181"/>
      <c r="J434" s="168"/>
      <c r="K434" s="128"/>
      <c r="L434" s="129"/>
      <c r="M434" s="130"/>
      <c r="N434" s="168"/>
      <c r="O434" s="168"/>
      <c r="P434" s="180"/>
      <c r="Q434" s="168"/>
      <c r="R434" s="168"/>
      <c r="S434" s="128"/>
      <c r="T434" s="130"/>
      <c r="U434" s="130"/>
      <c r="V434" s="168"/>
      <c r="W434" s="168"/>
      <c r="X434" s="180"/>
      <c r="Y434" s="168"/>
      <c r="Z434" s="169"/>
      <c r="AA434" s="168"/>
      <c r="AB434" s="134"/>
      <c r="AC434" s="135"/>
      <c r="AD434" s="135"/>
      <c r="AE434" s="135"/>
      <c r="AF434" s="135" t="str">
        <f aca="false">IF(ISBLANK($C434),"",IF(E434=Constants!$B$2,TRUE(),IF(E434=Constants!$B$3,FALSE(),TRUE())))</f>
        <v/>
      </c>
      <c r="AG434" s="135" t="str">
        <f aca="false">IF(ISBLANK($C434),"",IF(F434=Constants!$B$2,TRUE(),IF(F434=Constants!$B$3,FALSE(),TRUE())))</f>
        <v/>
      </c>
      <c r="AH434" s="135" t="str">
        <f aca="false">IF(ISBLANK($C434),"",IF(G434=Constants!$B$2,TRUE(),IF(G434=Constants!$B$3,FALSE(),TRUE())))</f>
        <v/>
      </c>
      <c r="AI434" s="135" t="str">
        <f aca="false">IF(ISBLANK($C434),"",IF(AND(ISNUMBER(H434),H434&gt;=0),H434,Constants!$B$24))</f>
        <v/>
      </c>
      <c r="AJ434" s="135" t="str">
        <f aca="false">IF(ISBLANK($C434),"",IF(I434=Constants!$B$2,TRUE(),IF(I434=Constants!$B$3,FALSE(),TRUE())))</f>
        <v/>
      </c>
      <c r="AK434" s="135" t="str">
        <f aca="false">IF(ISBLANK($C434),"",IF(J434=Constants!$B$2,TRUE(),IF(J434=Constants!$B$3,FALSE(),TRUE())))</f>
        <v/>
      </c>
      <c r="AL434" s="135" t="str">
        <f aca="false">IF(ISBLANK($C434),"",IF(K434=Constants!$B$4,TRUE(),IF(K434=Constants!$B$5,FALSE(),COUNTA(L434:P434)&gt;0)))</f>
        <v/>
      </c>
      <c r="AM434" s="136" t="str">
        <f aca="false">IF(ISBLANK($C434),"",IF(ISNUMBER(L434),IF(L434&gt;=0,L434,""),""))</f>
        <v/>
      </c>
      <c r="AN434" s="137" t="str">
        <f aca="false">IF(ISBLANK($C434),"",IF(ISNUMBER(M434),IF(M434&gt;=0,M434,""),""))</f>
        <v/>
      </c>
      <c r="AO434" s="137" t="str">
        <f aca="false">IF(ISBLANK($C434),"",IF(N434=Constants!$B$2,TRUE(),IF(N434=Constants!$B$3,FALSE(),TRUE())))</f>
        <v/>
      </c>
      <c r="AP434" s="135" t="str">
        <f aca="false">IF(ISBLANK($C434),"",IF(ISNUMBER(O434),IF(O434&gt;=0,O434,""),""))</f>
        <v/>
      </c>
      <c r="AQ434" s="135" t="str">
        <f aca="false">IF(ISBLANK($C434),"",IF(P434=Constants!$B$2,TRUE(),IF(P434=Constants!$B$3,FALSE(),FALSE())))</f>
        <v/>
      </c>
      <c r="AR434" s="135" t="str">
        <f aca="false">IF(ISBLANK($C434),"",IF(Q434=Constants!$B$2,TRUE(),IF(Q434=Constants!$B$3,FALSE(),TRUE())))</f>
        <v/>
      </c>
      <c r="AS434" s="135" t="str">
        <f aca="false">IF(ISBLANK($C434),"",IF(R434=Constants!$B$2,TRUE(),IF(R434=Constants!$B$3,FALSE(),TRUE())))</f>
        <v/>
      </c>
      <c r="AT434" s="135" t="str">
        <f aca="false">IF(ISBLANK($C434),"",IF(S434=Constants!$B$4,TRUE(),IF(S434=Constants!$B$5,FALSE(),COUNTA(T434:X434)&gt;0)))</f>
        <v/>
      </c>
      <c r="AU434" s="136" t="str">
        <f aca="false">IF(ISBLANK($C434),"",IF(ISNUMBER(T434),IF(T434&gt;=0,T434,""),""))</f>
        <v/>
      </c>
      <c r="AV434" s="137" t="str">
        <f aca="false">IF(ISBLANK($C434),"",IF(ISNUMBER(U434),IF(U434&gt;=0,U434,""),""))</f>
        <v/>
      </c>
      <c r="AW434" s="137" t="str">
        <f aca="false">IF(ISBLANK($C434),"",IF(V434=Constants!$B$2,TRUE(),IF(V434=Constants!$B$3,FALSE(),TRUE())))</f>
        <v/>
      </c>
      <c r="AX434" s="135" t="str">
        <f aca="false">IF(ISBLANK($C434),"",IF(ISNUMBER(W434),IF(W434&gt;=0,W434,""),""))</f>
        <v/>
      </c>
      <c r="AY434" s="135" t="str">
        <f aca="false">IF(ISBLANK($C434),"",IF(X434=Constants!$B$2,TRUE(),IF(X434=Constants!$B$3,FALSE(),FALSE())))</f>
        <v/>
      </c>
      <c r="AZ434" s="135" t="str">
        <f aca="false">IF(ISBLANK($C434),"",MIN(Constants!$B$25,MAX(0,IF(ISNUMBER(Y434),Y434*60,0)+IF(ISNUMBER(Z434),Z434,0))))</f>
        <v/>
      </c>
      <c r="BA434" s="135" t="str">
        <f aca="false">IF(ISBLANK($C434),"",IF(AA434=Constants!$B$2,TRUE(),IF(AA434=Constants!$B$3,FALSE(),FALSE())))</f>
        <v/>
      </c>
      <c r="BB434" s="134" t="str">
        <f aca="false">IF(ISBLANK($C434),"",AND($AL434,OR($AM434="",$AN434="",AND($AO434,$AP434=""))))</f>
        <v/>
      </c>
      <c r="BC434" s="137" t="str">
        <f aca="false">IF($BX434&lt;&gt;Constants!$B$6,"",IF($AL434,Constants!$B$17*$AN434+Constants!$B$18*IF($AO434,$AP434,Constants!$B$19),Constants!$B$20))</f>
        <v/>
      </c>
      <c r="BD434" s="138" t="str">
        <f aca="false">IF($BX434&lt;&gt;Constants!$B$6,"",Constants!$B$21*ABS($AD$9-IF($AL434,$AM434,0)))</f>
        <v/>
      </c>
      <c r="BE434" s="138" t="str">
        <f aca="false">IF($BX434&lt;&gt;Constants!$B$6,"",IF(AND($AL434,$AQ434,$AO434),Constants!$B$22,0))</f>
        <v/>
      </c>
      <c r="BF434" s="138" t="str">
        <f aca="false">IF($BX434&lt;&gt;Constants!$B$6,"",IF($AL434,($AI434-Constants!$B$24)*Constants!$B$23,0))</f>
        <v/>
      </c>
      <c r="BG434" s="138" t="str">
        <f aca="false">IF($BX434&lt;&gt;Constants!$B$6,"",IF($AK434,0,Constants!$B$12)+IF($AJ434,0,Constants!$B$13)+IF($AH434,0,Constants!$B$14))</f>
        <v/>
      </c>
      <c r="BH434" s="139" t="str">
        <f aca="false">IF($BX434&lt;&gt;Constants!$B$6,"",Constants!$B$16+SUM($BC434:$BG434))</f>
        <v/>
      </c>
      <c r="BI434" s="138" t="str">
        <f aca="false">IF($BX434&lt;&gt;Constants!$B$6,"",$BC434)</f>
        <v/>
      </c>
      <c r="BJ434" s="138" t="str">
        <f aca="false">IF($BX434&lt;&gt;Constants!$B$6,"",$BD434)</f>
        <v/>
      </c>
      <c r="BK434" s="140" t="str">
        <f aca="false">IF($BX434&lt;&gt;Constants!$B$6,"",IF($AL434,$AN434,""))</f>
        <v/>
      </c>
      <c r="BL434" s="135" t="str">
        <f aca="false">IF($BX434&lt;&gt;Constants!$B$6,"",IF(OR($BS434&lt;$BH434,AND($BS434=$BH434,OR($BT434&lt;$BI434,AND($BT434=$BI434,OR($BU434&lt;$BJ434,AND($BU434=$BJ434,AND(ISNUMBER($BV434),OR(NOT(ISNUMBER($BK434)),$BV434&lt;$BK434)))))))),"-&gt;","&lt;-"))</f>
        <v/>
      </c>
      <c r="BM434" s="134" t="str">
        <f aca="false">IF(ISBLANK($C434),"",AND($AT434,OR($AU434="",$AV434="",AND($AW434,$AX434=""))))</f>
        <v/>
      </c>
      <c r="BN434" s="137" t="str">
        <f aca="false">IF($BX434&lt;&gt;Constants!$B$6,"",IF($AT434,Constants!$B$17*$AV434+Constants!$B$18*IF($AW434,$AX434,Constants!$B$19),Constants!$B$20))</f>
        <v/>
      </c>
      <c r="BO434" s="138" t="str">
        <f aca="false">IF($BX434&lt;&gt;Constants!$B$6,"",Constants!$B$21*ABS($AD$9-IF($AT434,$AU434,0)))</f>
        <v/>
      </c>
      <c r="BP434" s="138" t="str">
        <f aca="false">IF($BX434&lt;&gt;Constants!$B$6,"",IF(AND($AT434,$AY434,$AW434),Constants!$B$22,0))</f>
        <v/>
      </c>
      <c r="BQ434" s="138" t="str">
        <f aca="false">IF($BX434&lt;&gt;Constants!$B$6,"",IF($AT434,($AI434-Constants!$B$24)*Constants!$B$23,0))</f>
        <v/>
      </c>
      <c r="BR434" s="138" t="str">
        <f aca="false">IF($BX434&lt;&gt;Constants!$B$6,"",IF($AS434,0,Constants!$B$12)+IF($AR434,0,Constants!$B$13)+IF($AH434,0,Constants!$B$14))</f>
        <v/>
      </c>
      <c r="BS434" s="139" t="str">
        <f aca="false">IF($BX434&lt;&gt;Constants!$B$6,"",Constants!$B$16+SUM($BN434:$BR434))</f>
        <v/>
      </c>
      <c r="BT434" s="138" t="str">
        <f aca="false">IF($BX434&lt;&gt;Constants!$B$6,"",$BN434)</f>
        <v/>
      </c>
      <c r="BU434" s="138" t="str">
        <f aca="false">IF($BX434&lt;&gt;Constants!$B$6,"",$BO434)</f>
        <v/>
      </c>
      <c r="BV434" s="140" t="str">
        <f aca="false">IF($BX434&lt;&gt;Constants!$B$6,"",IF($AT434,$AV434,""))</f>
        <v/>
      </c>
      <c r="BW434" s="135" t="str">
        <f aca="false">IF(ISBLANK($C434),"",IF(ISBLANK($D$7),$BW$5,IF(NOT(ISNUMBER($D$7)),$BW$6,"")))</f>
        <v/>
      </c>
      <c r="BX434" s="135" t="str">
        <f aca="false">IF(ISBLANK($C434),"",IF($BA434,Constants!$B$9,IF(COUNTA($E434:$AA434)=0,Constants!$B$8,IF(NOT($AG434),Constants!$B$7,IF(OR($BW434&lt;&gt;"",$BB434,$BM434),Constants!$B$10,Constants!$B$6)))))</f>
        <v/>
      </c>
      <c r="BY434" s="135" t="str">
        <f aca="false">IF(ISBLANK($C434),"",IF($BX434&lt;&gt;Constants!$B$6,$BX434,Constants!$B$11))</f>
        <v/>
      </c>
      <c r="BZ434" s="138" t="str">
        <f aca="false">IF($BX434&lt;&gt;Constants!$B$6,"",IF($BL434="-&gt;",$BS434,$BH434))</f>
        <v/>
      </c>
      <c r="CA434" s="138" t="str">
        <f aca="false">IF($BX434&lt;&gt;Constants!$B$6,"",IF($AF434,0,Constants!$B$15))</f>
        <v/>
      </c>
      <c r="CB434" s="138" t="str">
        <f aca="false">IF($BX434&lt;&gt;Constants!$B$6,"",((Constants!$B$25-$AZ434)-Constants!$B$25)/Constants!$B$26)</f>
        <v/>
      </c>
      <c r="CC434" s="138" t="str">
        <f aca="false">IF(ISBLANK($C434),"",IF($BX434&lt;&gt;Constants!$B$6,$BX434,SUM($BZ434:$CB434)))</f>
        <v/>
      </c>
      <c r="CD434" s="135" t="str">
        <f aca="false">IF(ISBLANK($C434),"",IF($BX434&lt;&gt;Constants!$B$6,$BX434,RANK($CC434,$CC$9:$CC$508,1)))</f>
        <v/>
      </c>
      <c r="CE434" s="138" t="str">
        <f aca="false">IF($BX434&lt;&gt;Constants!$B$6,"",IF($BL434="-&gt;",$BT434,$BI434))</f>
        <v/>
      </c>
      <c r="CF434" s="135" t="str">
        <f aca="false">IF(ISBLANK($C434),"",IF($BX434&lt;&gt;Constants!$B$6,$BX434,IF(ISNUMBER($CE434),RANK($CE434,$CE$9:$CE$508,1),COUNT($CE$9:$CE$508)+1)))</f>
        <v/>
      </c>
      <c r="CG434" s="138" t="str">
        <f aca="false">IF($BX434&lt;&gt;Constants!$B$6,"",IF($BL434="-&gt;",$BU434,$BJ434))</f>
        <v/>
      </c>
      <c r="CH434" s="135" t="str">
        <f aca="false">IF(ISBLANK($C434),"",IF($BX434&lt;&gt;Constants!$B$6,$BX434,IF(ISNUMBER($CG434),RANK($CG434,$CG$9:$CG$508,1),COUNT($CG$9:$CG$508)+1)))</f>
        <v/>
      </c>
      <c r="CI434" s="138" t="str">
        <f aca="false">IF($BX434&lt;&gt;Constants!$B$6,"",IF($BL434="-&gt;",$BV434,$BK434))</f>
        <v/>
      </c>
      <c r="CJ434" s="135" t="str">
        <f aca="false">IF(ISBLANK($C434),"",IF($BX434&lt;&gt;Constants!$B$6,$BX434,IF(ISNUMBER($CI434),RANK($CI434,$CI$9:$CI$508,1),COUNT($CI$9:$CI$508)+1)))</f>
        <v/>
      </c>
      <c r="CK434" s="138" t="str">
        <f aca="false">IF($BX434&lt;&gt;Constants!$B$6,"",$AI434)</f>
        <v/>
      </c>
      <c r="CL434" s="135" t="str">
        <f aca="false">IF(ISBLANK($C434),"",IF($BX434&lt;&gt;Constants!$B$6,$BX434,IF(ISNUMBER($CK434),RANK($CK434,$CK$9:$CK$508,1),COUNT($CK$9:$CK$508)+1)))</f>
        <v/>
      </c>
      <c r="CM434" s="135" t="str">
        <f aca="false">IF(ISBLANK($C434),"",IF($BX434&lt;&gt;Constants!$B$6,$BX434,COUNTIFS($CD$9:$CD$508,"&lt;"&amp;$CD434)+COUNTIFS($CD$9:$CD$508,$CD434,$CF$9:$CF$508,"&lt;"&amp;$CF434)+COUNTIFS($CD$9:$CD$508,$CD434,$CF$9:$CF$508,$CF434,$CH$9:$CH$508,"&lt;"&amp;$CH434)+COUNTIFS($CD$9:$CD$508,$CD434,$CF$9:$CF$508,$CF434,$CH$9:$CH$508,$CH434,$CJ$9:$CJ$508,"&lt;"&amp;$CJ434)+COUNTIFS($CD$9:$CD$508,$CD434,$CF$9:$CF$508,$CF434,$CH$9:$CH$508,$CH434,$CJ$9:$CJ$508,$CJ434,$CL$9:$CL$508,"&lt;"&amp;$CL434)+1))</f>
        <v/>
      </c>
      <c r="CN434" s="135" t="str">
        <f aca="false">IF(ISBLANK($C434),"",IF($BX434&lt;&gt;Constants!$B$6,$BX434,$CD434-$CM434))</f>
        <v/>
      </c>
      <c r="CO434" s="141"/>
      <c r="CP434" s="142"/>
      <c r="CQ434" s="143" t="str">
        <f aca="false">IF(ISBLANK($C434),"",IF($BX434=Constants!$B$10,$BW434,""))</f>
        <v/>
      </c>
      <c r="CR434" s="142" t="str">
        <f aca="false">IF(ISBLANK($C434),"",IF($BX434&lt;&gt;Constants!$B$6,"",IF($BL434="-&gt;",2,1)))</f>
        <v/>
      </c>
      <c r="CS434" s="144" t="str">
        <f aca="false">IF(ISBLANK($C434),"",IF($BX434&lt;&gt;Constants!$B$6,"",IF($BL434="-&gt;",$BN434,$BC434)))</f>
        <v/>
      </c>
      <c r="CT434" s="144" t="str">
        <f aca="false">IF(ISBLANK($C434),"",IF($BX434&lt;&gt;Constants!$B$6,"",IF($BL434="-&gt;",$BO434,$BD434)))</f>
        <v/>
      </c>
      <c r="CU434" s="144" t="str">
        <f aca="false">IF(ISBLANK($C434),"",IF($BX434&lt;&gt;Constants!$B$6,"",IF($BL434="-&gt;",$BP434+$BQ434,$BE434+$BF434)+$CB434))</f>
        <v/>
      </c>
      <c r="CV434" s="144" t="str">
        <f aca="false">IF(ISBLANK($C434),"",IF($BX434&lt;&gt;Constants!$B$6,"",IF($BL434="-&gt;",$BR434,$BG434)+$CA434))</f>
        <v/>
      </c>
      <c r="CW434" s="145" t="str">
        <f aca="false">IF(ISBLANK($C434),"",IF($BX434&lt;&gt;Constants!$B$6,$BX434,$CC434))</f>
        <v/>
      </c>
      <c r="CX434" s="146" t="str">
        <f aca="false">IF(ISBLANK($C434),"",$BY434)</f>
        <v/>
      </c>
      <c r="CY434" s="147" t="str">
        <f aca="false">IF(ISBLANK($C434),"",$CN434)</f>
        <v/>
      </c>
      <c r="CZ434" s="147" t="str">
        <f aca="false">IF(ISBLANK($C434),"",$CM434)</f>
        <v/>
      </c>
      <c r="DA434" s="148" t="str">
        <f aca="false">IF(ISBLANK($C434),"",IFERROR(_xlfn.SWITCH($CZ434,Constants!$B$9,COUNTA($C$9:$C$508)+2,Constants!$B$8,COUNTA($C$9:$C$508)+1,Constants!$B$7,COUNTA($C$9:$C$508)),$CZ434))</f>
        <v/>
      </c>
      <c r="DB434" s="9"/>
      <c r="DC434" s="149" t="n">
        <f aca="false">IF(OR(ISNUMBER($CZ434),$CZ434=Constants!$B$9,$CZ434=Constants!$B$7,$CZ434=Constants!$B$8),1,0)</f>
        <v>0</v>
      </c>
      <c r="DD434" s="149" t="n">
        <v>426</v>
      </c>
      <c r="DE434" s="149" t="str">
        <f aca="false">IF(ISBLANK($C434),"",IF(ISNUMBER($DA434),$DA434+ROW($B434)/1000,""))</f>
        <v/>
      </c>
      <c r="DF434" s="149" t="str">
        <f aca="false">IF(ISNUMBER($DE434),RANK($DE434,$DE$9:$DE$508,1),"")</f>
        <v/>
      </c>
      <c r="DG434" s="149" t="str">
        <f aca="false">IF(ISBLANK($C434),"",$B434)</f>
        <v/>
      </c>
      <c r="DH434" s="149" t="str">
        <f aca="false">IF(ISBLANK($C434),"",$C434)</f>
        <v/>
      </c>
      <c r="DI434" s="149" t="str">
        <f aca="false">IF(ISBLANK($C434),"",$D434)</f>
        <v/>
      </c>
      <c r="DJ434" s="150" t="str">
        <f aca="false">$CX434</f>
        <v/>
      </c>
      <c r="DK434" s="151" t="str">
        <f aca="false">$CW434</f>
        <v/>
      </c>
      <c r="DL434" s="149" t="str">
        <f aca="false">IF(ISBLANK($C434),"",$CZ434)</f>
        <v/>
      </c>
      <c r="DM434" s="152" t="str">
        <f aca="false">IF($DD434&gt;$DC$8,"",VLOOKUP($DD434,$DF$9:$DL$508,7,FALSE()))</f>
        <v/>
      </c>
      <c r="DN434" s="153" t="str">
        <f aca="false">IF($DD434&gt;$DC$8,"",VLOOKUP($DD434,$DF$9:$DL$508,2,FALSE()))</f>
        <v/>
      </c>
      <c r="DO434" s="153" t="str">
        <f aca="false">IF($DD434&gt;$DC$8,"",VLOOKUP($DD434,$DF$9:$DL$508,3,FALSE()))</f>
        <v/>
      </c>
      <c r="DP434" s="153" t="str">
        <f aca="false">IF($DD434&gt;$DC$8,"",VLOOKUP($DD434,$DF$9:$DL$508,4,FALSE()))</f>
        <v/>
      </c>
      <c r="DQ434" s="153" t="str">
        <f aca="false">IF($DD434&gt;$DC$8,"",VLOOKUP($DD434,$DF$9:$DL$508,5,FALSE()))</f>
        <v/>
      </c>
      <c r="DR434" s="154" t="str">
        <f aca="false">IF($DD434&gt;$DC$8,"",VLOOKUP($DD434,$DF$9:$DL$508,6,FALSE()))</f>
        <v/>
      </c>
      <c r="DS434" s="76"/>
    </row>
    <row r="435" customFormat="false" ht="15.75" hidden="false" customHeight="false" outlineLevel="0" collapsed="false">
      <c r="A435" s="9"/>
      <c r="B435" s="78"/>
      <c r="C435" s="79"/>
      <c r="D435" s="170"/>
      <c r="E435" s="178"/>
      <c r="F435" s="172"/>
      <c r="G435" s="173"/>
      <c r="H435" s="173"/>
      <c r="I435" s="179"/>
      <c r="J435" s="176"/>
      <c r="K435" s="86"/>
      <c r="L435" s="87"/>
      <c r="M435" s="88"/>
      <c r="N435" s="176"/>
      <c r="O435" s="176"/>
      <c r="P435" s="178"/>
      <c r="Q435" s="176"/>
      <c r="R435" s="176"/>
      <c r="S435" s="86"/>
      <c r="T435" s="88"/>
      <c r="U435" s="88"/>
      <c r="V435" s="176"/>
      <c r="W435" s="176"/>
      <c r="X435" s="178"/>
      <c r="Y435" s="176"/>
      <c r="Z435" s="177"/>
      <c r="AA435" s="176"/>
      <c r="AB435" s="92"/>
      <c r="AC435" s="93"/>
      <c r="AD435" s="93"/>
      <c r="AE435" s="93"/>
      <c r="AF435" s="93" t="str">
        <f aca="false">IF(ISBLANK($C435),"",IF(E435=Constants!$B$2,TRUE(),IF(E435=Constants!$B$3,FALSE(),TRUE())))</f>
        <v/>
      </c>
      <c r="AG435" s="93" t="str">
        <f aca="false">IF(ISBLANK($C435),"",IF(F435=Constants!$B$2,TRUE(),IF(F435=Constants!$B$3,FALSE(),TRUE())))</f>
        <v/>
      </c>
      <c r="AH435" s="93" t="str">
        <f aca="false">IF(ISBLANK($C435),"",IF(G435=Constants!$B$2,TRUE(),IF(G435=Constants!$B$3,FALSE(),TRUE())))</f>
        <v/>
      </c>
      <c r="AI435" s="93" t="str">
        <f aca="false">IF(ISBLANK($C435),"",IF(AND(ISNUMBER(H435),H435&gt;=0),H435,Constants!$B$24))</f>
        <v/>
      </c>
      <c r="AJ435" s="93" t="str">
        <f aca="false">IF(ISBLANK($C435),"",IF(I435=Constants!$B$2,TRUE(),IF(I435=Constants!$B$3,FALSE(),TRUE())))</f>
        <v/>
      </c>
      <c r="AK435" s="93" t="str">
        <f aca="false">IF(ISBLANK($C435),"",IF(J435=Constants!$B$2,TRUE(),IF(J435=Constants!$B$3,FALSE(),TRUE())))</f>
        <v/>
      </c>
      <c r="AL435" s="93" t="str">
        <f aca="false">IF(ISBLANK($C435),"",IF(K435=Constants!$B$4,TRUE(),IF(K435=Constants!$B$5,FALSE(),COUNTA(L435:P435)&gt;0)))</f>
        <v/>
      </c>
      <c r="AM435" s="95" t="str">
        <f aca="false">IF(ISBLANK($C435),"",IF(ISNUMBER(L435),IF(L435&gt;=0,L435,""),""))</f>
        <v/>
      </c>
      <c r="AN435" s="94" t="str">
        <f aca="false">IF(ISBLANK($C435),"",IF(ISNUMBER(M435),IF(M435&gt;=0,M435,""),""))</f>
        <v/>
      </c>
      <c r="AO435" s="94" t="str">
        <f aca="false">IF(ISBLANK($C435),"",IF(N435=Constants!$B$2,TRUE(),IF(N435=Constants!$B$3,FALSE(),TRUE())))</f>
        <v/>
      </c>
      <c r="AP435" s="93" t="str">
        <f aca="false">IF(ISBLANK($C435),"",IF(ISNUMBER(O435),IF(O435&gt;=0,O435,""),""))</f>
        <v/>
      </c>
      <c r="AQ435" s="93" t="str">
        <f aca="false">IF(ISBLANK($C435),"",IF(P435=Constants!$B$2,TRUE(),IF(P435=Constants!$B$3,FALSE(),FALSE())))</f>
        <v/>
      </c>
      <c r="AR435" s="93" t="str">
        <f aca="false">IF(ISBLANK($C435),"",IF(Q435=Constants!$B$2,TRUE(),IF(Q435=Constants!$B$3,FALSE(),TRUE())))</f>
        <v/>
      </c>
      <c r="AS435" s="93" t="str">
        <f aca="false">IF(ISBLANK($C435),"",IF(R435=Constants!$B$2,TRUE(),IF(R435=Constants!$B$3,FALSE(),TRUE())))</f>
        <v/>
      </c>
      <c r="AT435" s="93" t="str">
        <f aca="false">IF(ISBLANK($C435),"",IF(S435=Constants!$B$4,TRUE(),IF(S435=Constants!$B$5,FALSE(),COUNTA(T435:X435)&gt;0)))</f>
        <v/>
      </c>
      <c r="AU435" s="95" t="str">
        <f aca="false">IF(ISBLANK($C435),"",IF(ISNUMBER(T435),IF(T435&gt;=0,T435,""),""))</f>
        <v/>
      </c>
      <c r="AV435" s="94" t="str">
        <f aca="false">IF(ISBLANK($C435),"",IF(ISNUMBER(U435),IF(U435&gt;=0,U435,""),""))</f>
        <v/>
      </c>
      <c r="AW435" s="94" t="str">
        <f aca="false">IF(ISBLANK($C435),"",IF(V435=Constants!$B$2,TRUE(),IF(V435=Constants!$B$3,FALSE(),TRUE())))</f>
        <v/>
      </c>
      <c r="AX435" s="93" t="str">
        <f aca="false">IF(ISBLANK($C435),"",IF(ISNUMBER(W435),IF(W435&gt;=0,W435,""),""))</f>
        <v/>
      </c>
      <c r="AY435" s="93" t="str">
        <f aca="false">IF(ISBLANK($C435),"",IF(X435=Constants!$B$2,TRUE(),IF(X435=Constants!$B$3,FALSE(),FALSE())))</f>
        <v/>
      </c>
      <c r="AZ435" s="93" t="str">
        <f aca="false">IF(ISBLANK($C435),"",MIN(Constants!$B$25,MAX(0,IF(ISNUMBER(Y435),Y435*60,0)+IF(ISNUMBER(Z435),Z435,0))))</f>
        <v/>
      </c>
      <c r="BA435" s="93" t="str">
        <f aca="false">IF(ISBLANK($C435),"",IF(AA435=Constants!$B$2,TRUE(),IF(AA435=Constants!$B$3,FALSE(),FALSE())))</f>
        <v/>
      </c>
      <c r="BB435" s="92" t="str">
        <f aca="false">IF(ISBLANK($C435),"",AND($AL435,OR($AM435="",$AN435="",AND($AO435,$AP435=""))))</f>
        <v/>
      </c>
      <c r="BC435" s="94" t="str">
        <f aca="false">IF($BX435&lt;&gt;Constants!$B$6,"",IF($AL435,Constants!$B$17*$AN435+Constants!$B$18*IF($AO435,$AP435,Constants!$B$19),Constants!$B$20))</f>
        <v/>
      </c>
      <c r="BD435" s="97" t="str">
        <f aca="false">IF($BX435&lt;&gt;Constants!$B$6,"",Constants!$B$21*ABS($AD$9-IF($AL435,$AM435,0)))</f>
        <v/>
      </c>
      <c r="BE435" s="97" t="str">
        <f aca="false">IF($BX435&lt;&gt;Constants!$B$6,"",IF(AND($AL435,$AQ435,$AO435),Constants!$B$22,0))</f>
        <v/>
      </c>
      <c r="BF435" s="97" t="str">
        <f aca="false">IF($BX435&lt;&gt;Constants!$B$6,"",IF($AL435,($AI435-Constants!$B$24)*Constants!$B$23,0))</f>
        <v/>
      </c>
      <c r="BG435" s="97" t="str">
        <f aca="false">IF($BX435&lt;&gt;Constants!$B$6,"",IF($AK435,0,Constants!$B$12)+IF($AJ435,0,Constants!$B$13)+IF($AH435,0,Constants!$B$14))</f>
        <v/>
      </c>
      <c r="BH435" s="98" t="str">
        <f aca="false">IF($BX435&lt;&gt;Constants!$B$6,"",Constants!$B$16+SUM($BC435:$BG435))</f>
        <v/>
      </c>
      <c r="BI435" s="97" t="str">
        <f aca="false">IF($BX435&lt;&gt;Constants!$B$6,"",$BC435)</f>
        <v/>
      </c>
      <c r="BJ435" s="97" t="str">
        <f aca="false">IF($BX435&lt;&gt;Constants!$B$6,"",$BD435)</f>
        <v/>
      </c>
      <c r="BK435" s="99" t="str">
        <f aca="false">IF($BX435&lt;&gt;Constants!$B$6,"",IF($AL435,$AN435,""))</f>
        <v/>
      </c>
      <c r="BL435" s="93" t="str">
        <f aca="false">IF($BX435&lt;&gt;Constants!$B$6,"",IF(OR($BS435&lt;$BH435,AND($BS435=$BH435,OR($BT435&lt;$BI435,AND($BT435=$BI435,OR($BU435&lt;$BJ435,AND($BU435=$BJ435,AND(ISNUMBER($BV435),OR(NOT(ISNUMBER($BK435)),$BV435&lt;$BK435)))))))),"-&gt;","&lt;-"))</f>
        <v/>
      </c>
      <c r="BM435" s="92" t="str">
        <f aca="false">IF(ISBLANK($C435),"",AND($AT435,OR($AU435="",$AV435="",AND($AW435,$AX435=""))))</f>
        <v/>
      </c>
      <c r="BN435" s="94" t="str">
        <f aca="false">IF($BX435&lt;&gt;Constants!$B$6,"",IF($AT435,Constants!$B$17*$AV435+Constants!$B$18*IF($AW435,$AX435,Constants!$B$19),Constants!$B$20))</f>
        <v/>
      </c>
      <c r="BO435" s="97" t="str">
        <f aca="false">IF($BX435&lt;&gt;Constants!$B$6,"",Constants!$B$21*ABS($AD$9-IF($AT435,$AU435,0)))</f>
        <v/>
      </c>
      <c r="BP435" s="97" t="str">
        <f aca="false">IF($BX435&lt;&gt;Constants!$B$6,"",IF(AND($AT435,$AY435,$AW435),Constants!$B$22,0))</f>
        <v/>
      </c>
      <c r="BQ435" s="97" t="str">
        <f aca="false">IF($BX435&lt;&gt;Constants!$B$6,"",IF($AT435,($AI435-Constants!$B$24)*Constants!$B$23,0))</f>
        <v/>
      </c>
      <c r="BR435" s="97" t="str">
        <f aca="false">IF($BX435&lt;&gt;Constants!$B$6,"",IF($AS435,0,Constants!$B$12)+IF($AR435,0,Constants!$B$13)+IF($AH435,0,Constants!$B$14))</f>
        <v/>
      </c>
      <c r="BS435" s="98" t="str">
        <f aca="false">IF($BX435&lt;&gt;Constants!$B$6,"",Constants!$B$16+SUM($BN435:$BR435))</f>
        <v/>
      </c>
      <c r="BT435" s="97" t="str">
        <f aca="false">IF($BX435&lt;&gt;Constants!$B$6,"",$BN435)</f>
        <v/>
      </c>
      <c r="BU435" s="97" t="str">
        <f aca="false">IF($BX435&lt;&gt;Constants!$B$6,"",$BO435)</f>
        <v/>
      </c>
      <c r="BV435" s="99" t="str">
        <f aca="false">IF($BX435&lt;&gt;Constants!$B$6,"",IF($AT435,$AV435,""))</f>
        <v/>
      </c>
      <c r="BW435" s="93" t="str">
        <f aca="false">IF(ISBLANK($C435),"",IF(ISBLANK($D$7),$BW$5,IF(NOT(ISNUMBER($D$7)),$BW$6,"")))</f>
        <v/>
      </c>
      <c r="BX435" s="93" t="str">
        <f aca="false">IF(ISBLANK($C435),"",IF($BA435,Constants!$B$9,IF(COUNTA($E435:$AA435)=0,Constants!$B$8,IF(NOT($AG435),Constants!$B$7,IF(OR($BW435&lt;&gt;"",$BB435,$BM435),Constants!$B$10,Constants!$B$6)))))</f>
        <v/>
      </c>
      <c r="BY435" s="93" t="str">
        <f aca="false">IF(ISBLANK($C435),"",IF($BX435&lt;&gt;Constants!$B$6,$BX435,Constants!$B$11))</f>
        <v/>
      </c>
      <c r="BZ435" s="97" t="str">
        <f aca="false">IF($BX435&lt;&gt;Constants!$B$6,"",IF($BL435="-&gt;",$BS435,$BH435))</f>
        <v/>
      </c>
      <c r="CA435" s="97" t="str">
        <f aca="false">IF($BX435&lt;&gt;Constants!$B$6,"",IF($AF435,0,Constants!$B$15))</f>
        <v/>
      </c>
      <c r="CB435" s="97" t="str">
        <f aca="false">IF($BX435&lt;&gt;Constants!$B$6,"",((Constants!$B$25-$AZ435)-Constants!$B$25)/Constants!$B$26)</f>
        <v/>
      </c>
      <c r="CC435" s="97" t="str">
        <f aca="false">IF(ISBLANK($C435),"",IF($BX435&lt;&gt;Constants!$B$6,$BX435,SUM($BZ435:$CB435)))</f>
        <v/>
      </c>
      <c r="CD435" s="93" t="str">
        <f aca="false">IF(ISBLANK($C435),"",IF($BX435&lt;&gt;Constants!$B$6,$BX435,RANK($CC435,$CC$9:$CC$508,1)))</f>
        <v/>
      </c>
      <c r="CE435" s="97" t="str">
        <f aca="false">IF($BX435&lt;&gt;Constants!$B$6,"",IF($BL435="-&gt;",$BT435,$BI435))</f>
        <v/>
      </c>
      <c r="CF435" s="93" t="str">
        <f aca="false">IF(ISBLANK($C435),"",IF($BX435&lt;&gt;Constants!$B$6,$BX435,IF(ISNUMBER($CE435),RANK($CE435,$CE$9:$CE$508,1),COUNT($CE$9:$CE$508)+1)))</f>
        <v/>
      </c>
      <c r="CG435" s="97" t="str">
        <f aca="false">IF($BX435&lt;&gt;Constants!$B$6,"",IF($BL435="-&gt;",$BU435,$BJ435))</f>
        <v/>
      </c>
      <c r="CH435" s="93" t="str">
        <f aca="false">IF(ISBLANK($C435),"",IF($BX435&lt;&gt;Constants!$B$6,$BX435,IF(ISNUMBER($CG435),RANK($CG435,$CG$9:$CG$508,1),COUNT($CG$9:$CG$508)+1)))</f>
        <v/>
      </c>
      <c r="CI435" s="97" t="str">
        <f aca="false">IF($BX435&lt;&gt;Constants!$B$6,"",IF($BL435="-&gt;",$BV435,$BK435))</f>
        <v/>
      </c>
      <c r="CJ435" s="93" t="str">
        <f aca="false">IF(ISBLANK($C435),"",IF($BX435&lt;&gt;Constants!$B$6,$BX435,IF(ISNUMBER($CI435),RANK($CI435,$CI$9:$CI$508,1),COUNT($CI$9:$CI$508)+1)))</f>
        <v/>
      </c>
      <c r="CK435" s="97" t="str">
        <f aca="false">IF($BX435&lt;&gt;Constants!$B$6,"",$AI435)</f>
        <v/>
      </c>
      <c r="CL435" s="93" t="str">
        <f aca="false">IF(ISBLANK($C435),"",IF($BX435&lt;&gt;Constants!$B$6,$BX435,IF(ISNUMBER($CK435),RANK($CK435,$CK$9:$CK$508,1),COUNT($CK$9:$CK$508)+1)))</f>
        <v/>
      </c>
      <c r="CM435" s="93" t="str">
        <f aca="false">IF(ISBLANK($C435),"",IF($BX435&lt;&gt;Constants!$B$6,$BX435,COUNTIFS($CD$9:$CD$508,"&lt;"&amp;$CD435)+COUNTIFS($CD$9:$CD$508,$CD435,$CF$9:$CF$508,"&lt;"&amp;$CF435)+COUNTIFS($CD$9:$CD$508,$CD435,$CF$9:$CF$508,$CF435,$CH$9:$CH$508,"&lt;"&amp;$CH435)+COUNTIFS($CD$9:$CD$508,$CD435,$CF$9:$CF$508,$CF435,$CH$9:$CH$508,$CH435,$CJ$9:$CJ$508,"&lt;"&amp;$CJ435)+COUNTIFS($CD$9:$CD$508,$CD435,$CF$9:$CF$508,$CF435,$CH$9:$CH$508,$CH435,$CJ$9:$CJ$508,$CJ435,$CL$9:$CL$508,"&lt;"&amp;$CL435)+1))</f>
        <v/>
      </c>
      <c r="CN435" s="93" t="str">
        <f aca="false">IF(ISBLANK($C435),"",IF($BX435&lt;&gt;Constants!$B$6,$BX435,$CD435-$CM435))</f>
        <v/>
      </c>
      <c r="CO435" s="100"/>
      <c r="CP435" s="101"/>
      <c r="CQ435" s="102" t="str">
        <f aca="false">IF(ISBLANK($C435),"",IF($BX435=Constants!$B$10,$BW435,""))</f>
        <v/>
      </c>
      <c r="CR435" s="101" t="str">
        <f aca="false">IF(ISBLANK($C435),"",IF($BX435&lt;&gt;Constants!$B$6,"",IF($BL435="-&gt;",2,1)))</f>
        <v/>
      </c>
      <c r="CS435" s="103" t="str">
        <f aca="false">IF(ISBLANK($C435),"",IF($BX435&lt;&gt;Constants!$B$6,"",IF($BL435="-&gt;",$BN435,$BC435)))</f>
        <v/>
      </c>
      <c r="CT435" s="103" t="str">
        <f aca="false">IF(ISBLANK($C435),"",IF($BX435&lt;&gt;Constants!$B$6,"",IF($BL435="-&gt;",$BO435,$BD435)))</f>
        <v/>
      </c>
      <c r="CU435" s="103" t="str">
        <f aca="false">IF(ISBLANK($C435),"",IF($BX435&lt;&gt;Constants!$B$6,"",IF($BL435="-&gt;",$BP435+$BQ435,$BE435+$BF435)+$CB435))</f>
        <v/>
      </c>
      <c r="CV435" s="103" t="str">
        <f aca="false">IF(ISBLANK($C435),"",IF($BX435&lt;&gt;Constants!$B$6,"",IF($BL435="-&gt;",$BR435,$BG435)+$CA435))</f>
        <v/>
      </c>
      <c r="CW435" s="104" t="str">
        <f aca="false">IF(ISBLANK($C435),"",IF($BX435&lt;&gt;Constants!$B$6,$BX435,$CC435))</f>
        <v/>
      </c>
      <c r="CX435" s="105" t="str">
        <f aca="false">IF(ISBLANK($C435),"",$BY435)</f>
        <v/>
      </c>
      <c r="CY435" s="106" t="str">
        <f aca="false">IF(ISBLANK($C435),"",$CN435)</f>
        <v/>
      </c>
      <c r="CZ435" s="106" t="str">
        <f aca="false">IF(ISBLANK($C435),"",$CM435)</f>
        <v/>
      </c>
      <c r="DA435" s="107" t="str">
        <f aca="false">IF(ISBLANK($C435),"",IFERROR(_xlfn.SWITCH($CZ435,Constants!$B$9,COUNTA($C$9:$C$508)+2,Constants!$B$8,COUNTA($C$9:$C$508)+1,Constants!$B$7,COUNTA($C$9:$C$508)),$CZ435))</f>
        <v/>
      </c>
      <c r="DB435" s="9"/>
      <c r="DC435" s="108" t="n">
        <f aca="false">IF(OR(ISNUMBER($CZ435),$CZ435=Constants!$B$9,$CZ435=Constants!$B$7,$CZ435=Constants!$B$8),1,0)</f>
        <v>0</v>
      </c>
      <c r="DD435" s="108" t="n">
        <v>427</v>
      </c>
      <c r="DE435" s="108" t="str">
        <f aca="false">IF(ISBLANK($C435),"",IF(ISNUMBER($DA435),$DA435+ROW($B435)/1000,""))</f>
        <v/>
      </c>
      <c r="DF435" s="108" t="str">
        <f aca="false">IF(ISNUMBER($DE435),RANK($DE435,$DE$9:$DE$508,1),"")</f>
        <v/>
      </c>
      <c r="DG435" s="108" t="str">
        <f aca="false">IF(ISBLANK($C435),"",$B435)</f>
        <v/>
      </c>
      <c r="DH435" s="108" t="str">
        <f aca="false">IF(ISBLANK($C435),"",$C435)</f>
        <v/>
      </c>
      <c r="DI435" s="108" t="str">
        <f aca="false">IF(ISBLANK($C435),"",$D435)</f>
        <v/>
      </c>
      <c r="DJ435" s="109" t="str">
        <f aca="false">$CX435</f>
        <v/>
      </c>
      <c r="DK435" s="110" t="str">
        <f aca="false">$CW435</f>
        <v/>
      </c>
      <c r="DL435" s="108" t="str">
        <f aca="false">IF(ISBLANK($C435),"",$CZ435)</f>
        <v/>
      </c>
      <c r="DM435" s="111" t="str">
        <f aca="false">IF($DD435&gt;$DC$8,"",VLOOKUP($DD435,$DF$9:$DL$508,7,FALSE()))</f>
        <v/>
      </c>
      <c r="DN435" s="112" t="str">
        <f aca="false">IF($DD435&gt;$DC$8,"",VLOOKUP($DD435,$DF$9:$DL$508,2,FALSE()))</f>
        <v/>
      </c>
      <c r="DO435" s="112" t="str">
        <f aca="false">IF($DD435&gt;$DC$8,"",VLOOKUP($DD435,$DF$9:$DL$508,3,FALSE()))</f>
        <v/>
      </c>
      <c r="DP435" s="112" t="str">
        <f aca="false">IF($DD435&gt;$DC$8,"",VLOOKUP($DD435,$DF$9:$DL$508,4,FALSE()))</f>
        <v/>
      </c>
      <c r="DQ435" s="112" t="str">
        <f aca="false">IF($DD435&gt;$DC$8,"",VLOOKUP($DD435,$DF$9:$DL$508,5,FALSE()))</f>
        <v/>
      </c>
      <c r="DR435" s="113" t="str">
        <f aca="false">IF($DD435&gt;$DC$8,"",VLOOKUP($DD435,$DF$9:$DL$508,6,FALSE()))</f>
        <v/>
      </c>
      <c r="DS435" s="76"/>
    </row>
    <row r="436" customFormat="false" ht="15.75" hidden="false" customHeight="false" outlineLevel="0" collapsed="false">
      <c r="A436" s="9"/>
      <c r="B436" s="78"/>
      <c r="C436" s="79"/>
      <c r="D436" s="170"/>
      <c r="E436" s="178"/>
      <c r="F436" s="172"/>
      <c r="G436" s="173"/>
      <c r="H436" s="173"/>
      <c r="I436" s="179"/>
      <c r="J436" s="176"/>
      <c r="K436" s="86"/>
      <c r="L436" s="87"/>
      <c r="M436" s="88"/>
      <c r="N436" s="176"/>
      <c r="O436" s="176"/>
      <c r="P436" s="178"/>
      <c r="Q436" s="176"/>
      <c r="R436" s="176"/>
      <c r="S436" s="86"/>
      <c r="T436" s="88"/>
      <c r="U436" s="88"/>
      <c r="V436" s="176"/>
      <c r="W436" s="176"/>
      <c r="X436" s="178"/>
      <c r="Y436" s="176"/>
      <c r="Z436" s="177"/>
      <c r="AA436" s="176"/>
      <c r="AB436" s="92"/>
      <c r="AC436" s="93"/>
      <c r="AD436" s="93"/>
      <c r="AE436" s="93"/>
      <c r="AF436" s="93" t="str">
        <f aca="false">IF(ISBLANK($C436),"",IF(E436=Constants!$B$2,TRUE(),IF(E436=Constants!$B$3,FALSE(),TRUE())))</f>
        <v/>
      </c>
      <c r="AG436" s="93" t="str">
        <f aca="false">IF(ISBLANK($C436),"",IF(F436=Constants!$B$2,TRUE(),IF(F436=Constants!$B$3,FALSE(),TRUE())))</f>
        <v/>
      </c>
      <c r="AH436" s="93" t="str">
        <f aca="false">IF(ISBLANK($C436),"",IF(G436=Constants!$B$2,TRUE(),IF(G436=Constants!$B$3,FALSE(),TRUE())))</f>
        <v/>
      </c>
      <c r="AI436" s="93" t="str">
        <f aca="false">IF(ISBLANK($C436),"",IF(AND(ISNUMBER(H436),H436&gt;=0),H436,Constants!$B$24))</f>
        <v/>
      </c>
      <c r="AJ436" s="93" t="str">
        <f aca="false">IF(ISBLANK($C436),"",IF(I436=Constants!$B$2,TRUE(),IF(I436=Constants!$B$3,FALSE(),TRUE())))</f>
        <v/>
      </c>
      <c r="AK436" s="93" t="str">
        <f aca="false">IF(ISBLANK($C436),"",IF(J436=Constants!$B$2,TRUE(),IF(J436=Constants!$B$3,FALSE(),TRUE())))</f>
        <v/>
      </c>
      <c r="AL436" s="93" t="str">
        <f aca="false">IF(ISBLANK($C436),"",IF(K436=Constants!$B$4,TRUE(),IF(K436=Constants!$B$5,FALSE(),COUNTA(L436:P436)&gt;0)))</f>
        <v/>
      </c>
      <c r="AM436" s="95" t="str">
        <f aca="false">IF(ISBLANK($C436),"",IF(ISNUMBER(L436),IF(L436&gt;=0,L436,""),""))</f>
        <v/>
      </c>
      <c r="AN436" s="94" t="str">
        <f aca="false">IF(ISBLANK($C436),"",IF(ISNUMBER(M436),IF(M436&gt;=0,M436,""),""))</f>
        <v/>
      </c>
      <c r="AO436" s="94" t="str">
        <f aca="false">IF(ISBLANK($C436),"",IF(N436=Constants!$B$2,TRUE(),IF(N436=Constants!$B$3,FALSE(),TRUE())))</f>
        <v/>
      </c>
      <c r="AP436" s="93" t="str">
        <f aca="false">IF(ISBLANK($C436),"",IF(ISNUMBER(O436),IF(O436&gt;=0,O436,""),""))</f>
        <v/>
      </c>
      <c r="AQ436" s="93" t="str">
        <f aca="false">IF(ISBLANK($C436),"",IF(P436=Constants!$B$2,TRUE(),IF(P436=Constants!$B$3,FALSE(),FALSE())))</f>
        <v/>
      </c>
      <c r="AR436" s="93" t="str">
        <f aca="false">IF(ISBLANK($C436),"",IF(Q436=Constants!$B$2,TRUE(),IF(Q436=Constants!$B$3,FALSE(),TRUE())))</f>
        <v/>
      </c>
      <c r="AS436" s="93" t="str">
        <f aca="false">IF(ISBLANK($C436),"",IF(R436=Constants!$B$2,TRUE(),IF(R436=Constants!$B$3,FALSE(),TRUE())))</f>
        <v/>
      </c>
      <c r="AT436" s="93" t="str">
        <f aca="false">IF(ISBLANK($C436),"",IF(S436=Constants!$B$4,TRUE(),IF(S436=Constants!$B$5,FALSE(),COUNTA(T436:X436)&gt;0)))</f>
        <v/>
      </c>
      <c r="AU436" s="95" t="str">
        <f aca="false">IF(ISBLANK($C436),"",IF(ISNUMBER(T436),IF(T436&gt;=0,T436,""),""))</f>
        <v/>
      </c>
      <c r="AV436" s="94" t="str">
        <f aca="false">IF(ISBLANK($C436),"",IF(ISNUMBER(U436),IF(U436&gt;=0,U436,""),""))</f>
        <v/>
      </c>
      <c r="AW436" s="94" t="str">
        <f aca="false">IF(ISBLANK($C436),"",IF(V436=Constants!$B$2,TRUE(),IF(V436=Constants!$B$3,FALSE(),TRUE())))</f>
        <v/>
      </c>
      <c r="AX436" s="93" t="str">
        <f aca="false">IF(ISBLANK($C436),"",IF(ISNUMBER(W436),IF(W436&gt;=0,W436,""),""))</f>
        <v/>
      </c>
      <c r="AY436" s="93" t="str">
        <f aca="false">IF(ISBLANK($C436),"",IF(X436=Constants!$B$2,TRUE(),IF(X436=Constants!$B$3,FALSE(),FALSE())))</f>
        <v/>
      </c>
      <c r="AZ436" s="93" t="str">
        <f aca="false">IF(ISBLANK($C436),"",MIN(Constants!$B$25,MAX(0,IF(ISNUMBER(Y436),Y436*60,0)+IF(ISNUMBER(Z436),Z436,0))))</f>
        <v/>
      </c>
      <c r="BA436" s="93" t="str">
        <f aca="false">IF(ISBLANK($C436),"",IF(AA436=Constants!$B$2,TRUE(),IF(AA436=Constants!$B$3,FALSE(),FALSE())))</f>
        <v/>
      </c>
      <c r="BB436" s="92" t="str">
        <f aca="false">IF(ISBLANK($C436),"",AND($AL436,OR($AM436="",$AN436="",AND($AO436,$AP436=""))))</f>
        <v/>
      </c>
      <c r="BC436" s="94" t="str">
        <f aca="false">IF($BX436&lt;&gt;Constants!$B$6,"",IF($AL436,Constants!$B$17*$AN436+Constants!$B$18*IF($AO436,$AP436,Constants!$B$19),Constants!$B$20))</f>
        <v/>
      </c>
      <c r="BD436" s="97" t="str">
        <f aca="false">IF($BX436&lt;&gt;Constants!$B$6,"",Constants!$B$21*ABS($AD$9-IF($AL436,$AM436,0)))</f>
        <v/>
      </c>
      <c r="BE436" s="97" t="str">
        <f aca="false">IF($BX436&lt;&gt;Constants!$B$6,"",IF(AND($AL436,$AQ436,$AO436),Constants!$B$22,0))</f>
        <v/>
      </c>
      <c r="BF436" s="97" t="str">
        <f aca="false">IF($BX436&lt;&gt;Constants!$B$6,"",IF($AL436,($AI436-Constants!$B$24)*Constants!$B$23,0))</f>
        <v/>
      </c>
      <c r="BG436" s="97" t="str">
        <f aca="false">IF($BX436&lt;&gt;Constants!$B$6,"",IF($AK436,0,Constants!$B$12)+IF($AJ436,0,Constants!$B$13)+IF($AH436,0,Constants!$B$14))</f>
        <v/>
      </c>
      <c r="BH436" s="98" t="str">
        <f aca="false">IF($BX436&lt;&gt;Constants!$B$6,"",Constants!$B$16+SUM($BC436:$BG436))</f>
        <v/>
      </c>
      <c r="BI436" s="97" t="str">
        <f aca="false">IF($BX436&lt;&gt;Constants!$B$6,"",$BC436)</f>
        <v/>
      </c>
      <c r="BJ436" s="97" t="str">
        <f aca="false">IF($BX436&lt;&gt;Constants!$B$6,"",$BD436)</f>
        <v/>
      </c>
      <c r="BK436" s="99" t="str">
        <f aca="false">IF($BX436&lt;&gt;Constants!$B$6,"",IF($AL436,$AN436,""))</f>
        <v/>
      </c>
      <c r="BL436" s="93" t="str">
        <f aca="false">IF($BX436&lt;&gt;Constants!$B$6,"",IF(OR($BS436&lt;$BH436,AND($BS436=$BH436,OR($BT436&lt;$BI436,AND($BT436=$BI436,OR($BU436&lt;$BJ436,AND($BU436=$BJ436,AND(ISNUMBER($BV436),OR(NOT(ISNUMBER($BK436)),$BV436&lt;$BK436)))))))),"-&gt;","&lt;-"))</f>
        <v/>
      </c>
      <c r="BM436" s="92" t="str">
        <f aca="false">IF(ISBLANK($C436),"",AND($AT436,OR($AU436="",$AV436="",AND($AW436,$AX436=""))))</f>
        <v/>
      </c>
      <c r="BN436" s="94" t="str">
        <f aca="false">IF($BX436&lt;&gt;Constants!$B$6,"",IF($AT436,Constants!$B$17*$AV436+Constants!$B$18*IF($AW436,$AX436,Constants!$B$19),Constants!$B$20))</f>
        <v/>
      </c>
      <c r="BO436" s="97" t="str">
        <f aca="false">IF($BX436&lt;&gt;Constants!$B$6,"",Constants!$B$21*ABS($AD$9-IF($AT436,$AU436,0)))</f>
        <v/>
      </c>
      <c r="BP436" s="97" t="str">
        <f aca="false">IF($BX436&lt;&gt;Constants!$B$6,"",IF(AND($AT436,$AY436,$AW436),Constants!$B$22,0))</f>
        <v/>
      </c>
      <c r="BQ436" s="97" t="str">
        <f aca="false">IF($BX436&lt;&gt;Constants!$B$6,"",IF($AT436,($AI436-Constants!$B$24)*Constants!$B$23,0))</f>
        <v/>
      </c>
      <c r="BR436" s="97" t="str">
        <f aca="false">IF($BX436&lt;&gt;Constants!$B$6,"",IF($AS436,0,Constants!$B$12)+IF($AR436,0,Constants!$B$13)+IF($AH436,0,Constants!$B$14))</f>
        <v/>
      </c>
      <c r="BS436" s="98" t="str">
        <f aca="false">IF($BX436&lt;&gt;Constants!$B$6,"",Constants!$B$16+SUM($BN436:$BR436))</f>
        <v/>
      </c>
      <c r="BT436" s="97" t="str">
        <f aca="false">IF($BX436&lt;&gt;Constants!$B$6,"",$BN436)</f>
        <v/>
      </c>
      <c r="BU436" s="97" t="str">
        <f aca="false">IF($BX436&lt;&gt;Constants!$B$6,"",$BO436)</f>
        <v/>
      </c>
      <c r="BV436" s="99" t="str">
        <f aca="false">IF($BX436&lt;&gt;Constants!$B$6,"",IF($AT436,$AV436,""))</f>
        <v/>
      </c>
      <c r="BW436" s="93" t="str">
        <f aca="false">IF(ISBLANK($C436),"",IF(ISBLANK($D$7),$BW$5,IF(NOT(ISNUMBER($D$7)),$BW$6,"")))</f>
        <v/>
      </c>
      <c r="BX436" s="93" t="str">
        <f aca="false">IF(ISBLANK($C436),"",IF($BA436,Constants!$B$9,IF(COUNTA($E436:$AA436)=0,Constants!$B$8,IF(NOT($AG436),Constants!$B$7,IF(OR($BW436&lt;&gt;"",$BB436,$BM436),Constants!$B$10,Constants!$B$6)))))</f>
        <v/>
      </c>
      <c r="BY436" s="93" t="str">
        <f aca="false">IF(ISBLANK($C436),"",IF($BX436&lt;&gt;Constants!$B$6,$BX436,Constants!$B$11))</f>
        <v/>
      </c>
      <c r="BZ436" s="97" t="str">
        <f aca="false">IF($BX436&lt;&gt;Constants!$B$6,"",IF($BL436="-&gt;",$BS436,$BH436))</f>
        <v/>
      </c>
      <c r="CA436" s="97" t="str">
        <f aca="false">IF($BX436&lt;&gt;Constants!$B$6,"",IF($AF436,0,Constants!$B$15))</f>
        <v/>
      </c>
      <c r="CB436" s="97" t="str">
        <f aca="false">IF($BX436&lt;&gt;Constants!$B$6,"",((Constants!$B$25-$AZ436)-Constants!$B$25)/Constants!$B$26)</f>
        <v/>
      </c>
      <c r="CC436" s="97" t="str">
        <f aca="false">IF(ISBLANK($C436),"",IF($BX436&lt;&gt;Constants!$B$6,$BX436,SUM($BZ436:$CB436)))</f>
        <v/>
      </c>
      <c r="CD436" s="93" t="str">
        <f aca="false">IF(ISBLANK($C436),"",IF($BX436&lt;&gt;Constants!$B$6,$BX436,RANK($CC436,$CC$9:$CC$508,1)))</f>
        <v/>
      </c>
      <c r="CE436" s="97" t="str">
        <f aca="false">IF($BX436&lt;&gt;Constants!$B$6,"",IF($BL436="-&gt;",$BT436,$BI436))</f>
        <v/>
      </c>
      <c r="CF436" s="93" t="str">
        <f aca="false">IF(ISBLANK($C436),"",IF($BX436&lt;&gt;Constants!$B$6,$BX436,IF(ISNUMBER($CE436),RANK($CE436,$CE$9:$CE$508,1),COUNT($CE$9:$CE$508)+1)))</f>
        <v/>
      </c>
      <c r="CG436" s="97" t="str">
        <f aca="false">IF($BX436&lt;&gt;Constants!$B$6,"",IF($BL436="-&gt;",$BU436,$BJ436))</f>
        <v/>
      </c>
      <c r="CH436" s="93" t="str">
        <f aca="false">IF(ISBLANK($C436),"",IF($BX436&lt;&gt;Constants!$B$6,$BX436,IF(ISNUMBER($CG436),RANK($CG436,$CG$9:$CG$508,1),COUNT($CG$9:$CG$508)+1)))</f>
        <v/>
      </c>
      <c r="CI436" s="97" t="str">
        <f aca="false">IF($BX436&lt;&gt;Constants!$B$6,"",IF($BL436="-&gt;",$BV436,$BK436))</f>
        <v/>
      </c>
      <c r="CJ436" s="93" t="str">
        <f aca="false">IF(ISBLANK($C436),"",IF($BX436&lt;&gt;Constants!$B$6,$BX436,IF(ISNUMBER($CI436),RANK($CI436,$CI$9:$CI$508,1),COUNT($CI$9:$CI$508)+1)))</f>
        <v/>
      </c>
      <c r="CK436" s="97" t="str">
        <f aca="false">IF($BX436&lt;&gt;Constants!$B$6,"",$AI436)</f>
        <v/>
      </c>
      <c r="CL436" s="93" t="str">
        <f aca="false">IF(ISBLANK($C436),"",IF($BX436&lt;&gt;Constants!$B$6,$BX436,IF(ISNUMBER($CK436),RANK($CK436,$CK$9:$CK$508,1),COUNT($CK$9:$CK$508)+1)))</f>
        <v/>
      </c>
      <c r="CM436" s="93" t="str">
        <f aca="false">IF(ISBLANK($C436),"",IF($BX436&lt;&gt;Constants!$B$6,$BX436,COUNTIFS($CD$9:$CD$508,"&lt;"&amp;$CD436)+COUNTIFS($CD$9:$CD$508,$CD436,$CF$9:$CF$508,"&lt;"&amp;$CF436)+COUNTIFS($CD$9:$CD$508,$CD436,$CF$9:$CF$508,$CF436,$CH$9:$CH$508,"&lt;"&amp;$CH436)+COUNTIFS($CD$9:$CD$508,$CD436,$CF$9:$CF$508,$CF436,$CH$9:$CH$508,$CH436,$CJ$9:$CJ$508,"&lt;"&amp;$CJ436)+COUNTIFS($CD$9:$CD$508,$CD436,$CF$9:$CF$508,$CF436,$CH$9:$CH$508,$CH436,$CJ$9:$CJ$508,$CJ436,$CL$9:$CL$508,"&lt;"&amp;$CL436)+1))</f>
        <v/>
      </c>
      <c r="CN436" s="93" t="str">
        <f aca="false">IF(ISBLANK($C436),"",IF($BX436&lt;&gt;Constants!$B$6,$BX436,$CD436-$CM436))</f>
        <v/>
      </c>
      <c r="CO436" s="100"/>
      <c r="CP436" s="101"/>
      <c r="CQ436" s="102" t="str">
        <f aca="false">IF(ISBLANK($C436),"",IF($BX436=Constants!$B$10,$BW436,""))</f>
        <v/>
      </c>
      <c r="CR436" s="101" t="str">
        <f aca="false">IF(ISBLANK($C436),"",IF($BX436&lt;&gt;Constants!$B$6,"",IF($BL436="-&gt;",2,1)))</f>
        <v/>
      </c>
      <c r="CS436" s="103" t="str">
        <f aca="false">IF(ISBLANK($C436),"",IF($BX436&lt;&gt;Constants!$B$6,"",IF($BL436="-&gt;",$BN436,$BC436)))</f>
        <v/>
      </c>
      <c r="CT436" s="103" t="str">
        <f aca="false">IF(ISBLANK($C436),"",IF($BX436&lt;&gt;Constants!$B$6,"",IF($BL436="-&gt;",$BO436,$BD436)))</f>
        <v/>
      </c>
      <c r="CU436" s="103" t="str">
        <f aca="false">IF(ISBLANK($C436),"",IF($BX436&lt;&gt;Constants!$B$6,"",IF($BL436="-&gt;",$BP436+$BQ436,$BE436+$BF436)+$CB436))</f>
        <v/>
      </c>
      <c r="CV436" s="103" t="str">
        <f aca="false">IF(ISBLANK($C436),"",IF($BX436&lt;&gt;Constants!$B$6,"",IF($BL436="-&gt;",$BR436,$BG436)+$CA436))</f>
        <v/>
      </c>
      <c r="CW436" s="104" t="str">
        <f aca="false">IF(ISBLANK($C436),"",IF($BX436&lt;&gt;Constants!$B$6,$BX436,$CC436))</f>
        <v/>
      </c>
      <c r="CX436" s="105" t="str">
        <f aca="false">IF(ISBLANK($C436),"",$BY436)</f>
        <v/>
      </c>
      <c r="CY436" s="106" t="str">
        <f aca="false">IF(ISBLANK($C436),"",$CN436)</f>
        <v/>
      </c>
      <c r="CZ436" s="106" t="str">
        <f aca="false">IF(ISBLANK($C436),"",$CM436)</f>
        <v/>
      </c>
      <c r="DA436" s="107" t="str">
        <f aca="false">IF(ISBLANK($C436),"",IFERROR(_xlfn.SWITCH($CZ436,Constants!$B$9,COUNTA($C$9:$C$508)+2,Constants!$B$8,COUNTA($C$9:$C$508)+1,Constants!$B$7,COUNTA($C$9:$C$508)),$CZ436))</f>
        <v/>
      </c>
      <c r="DB436" s="9"/>
      <c r="DC436" s="108" t="n">
        <f aca="false">IF(OR(ISNUMBER($CZ436),$CZ436=Constants!$B$9,$CZ436=Constants!$B$7,$CZ436=Constants!$B$8),1,0)</f>
        <v>0</v>
      </c>
      <c r="DD436" s="108" t="n">
        <v>428</v>
      </c>
      <c r="DE436" s="108" t="str">
        <f aca="false">IF(ISBLANK($C436),"",IF(ISNUMBER($DA436),$DA436+ROW($B436)/1000,""))</f>
        <v/>
      </c>
      <c r="DF436" s="108" t="str">
        <f aca="false">IF(ISNUMBER($DE436),RANK($DE436,$DE$9:$DE$508,1),"")</f>
        <v/>
      </c>
      <c r="DG436" s="108" t="str">
        <f aca="false">IF(ISBLANK($C436),"",$B436)</f>
        <v/>
      </c>
      <c r="DH436" s="108" t="str">
        <f aca="false">IF(ISBLANK($C436),"",$C436)</f>
        <v/>
      </c>
      <c r="DI436" s="108" t="str">
        <f aca="false">IF(ISBLANK($C436),"",$D436)</f>
        <v/>
      </c>
      <c r="DJ436" s="109" t="str">
        <f aca="false">$CX436</f>
        <v/>
      </c>
      <c r="DK436" s="110" t="str">
        <f aca="false">$CW436</f>
        <v/>
      </c>
      <c r="DL436" s="108" t="str">
        <f aca="false">IF(ISBLANK($C436),"",$CZ436)</f>
        <v/>
      </c>
      <c r="DM436" s="111" t="str">
        <f aca="false">IF($DD436&gt;$DC$8,"",VLOOKUP($DD436,$DF$9:$DL$508,7,FALSE()))</f>
        <v/>
      </c>
      <c r="DN436" s="112" t="str">
        <f aca="false">IF($DD436&gt;$DC$8,"",VLOOKUP($DD436,$DF$9:$DL$508,2,FALSE()))</f>
        <v/>
      </c>
      <c r="DO436" s="112" t="str">
        <f aca="false">IF($DD436&gt;$DC$8,"",VLOOKUP($DD436,$DF$9:$DL$508,3,FALSE()))</f>
        <v/>
      </c>
      <c r="DP436" s="112" t="str">
        <f aca="false">IF($DD436&gt;$DC$8,"",VLOOKUP($DD436,$DF$9:$DL$508,4,FALSE()))</f>
        <v/>
      </c>
      <c r="DQ436" s="112" t="str">
        <f aca="false">IF($DD436&gt;$DC$8,"",VLOOKUP($DD436,$DF$9:$DL$508,5,FALSE()))</f>
        <v/>
      </c>
      <c r="DR436" s="113" t="str">
        <f aca="false">IF($DD436&gt;$DC$8,"",VLOOKUP($DD436,$DF$9:$DL$508,6,FALSE()))</f>
        <v/>
      </c>
      <c r="DS436" s="76"/>
    </row>
    <row r="437" customFormat="false" ht="15.75" hidden="false" customHeight="false" outlineLevel="0" collapsed="false">
      <c r="A437" s="9"/>
      <c r="B437" s="78"/>
      <c r="C437" s="79"/>
      <c r="D437" s="170"/>
      <c r="E437" s="178"/>
      <c r="F437" s="172"/>
      <c r="G437" s="173"/>
      <c r="H437" s="173"/>
      <c r="I437" s="179"/>
      <c r="J437" s="176"/>
      <c r="K437" s="86"/>
      <c r="L437" s="87"/>
      <c r="M437" s="88"/>
      <c r="N437" s="176"/>
      <c r="O437" s="176"/>
      <c r="P437" s="178"/>
      <c r="Q437" s="176"/>
      <c r="R437" s="176"/>
      <c r="S437" s="86"/>
      <c r="T437" s="88"/>
      <c r="U437" s="88"/>
      <c r="V437" s="176"/>
      <c r="W437" s="176"/>
      <c r="X437" s="178"/>
      <c r="Y437" s="176"/>
      <c r="Z437" s="177"/>
      <c r="AA437" s="176"/>
      <c r="AB437" s="92"/>
      <c r="AC437" s="93"/>
      <c r="AD437" s="93"/>
      <c r="AE437" s="93"/>
      <c r="AF437" s="93" t="str">
        <f aca="false">IF(ISBLANK($C437),"",IF(E437=Constants!$B$2,TRUE(),IF(E437=Constants!$B$3,FALSE(),TRUE())))</f>
        <v/>
      </c>
      <c r="AG437" s="93" t="str">
        <f aca="false">IF(ISBLANK($C437),"",IF(F437=Constants!$B$2,TRUE(),IF(F437=Constants!$B$3,FALSE(),TRUE())))</f>
        <v/>
      </c>
      <c r="AH437" s="93" t="str">
        <f aca="false">IF(ISBLANK($C437),"",IF(G437=Constants!$B$2,TRUE(),IF(G437=Constants!$B$3,FALSE(),TRUE())))</f>
        <v/>
      </c>
      <c r="AI437" s="93" t="str">
        <f aca="false">IF(ISBLANK($C437),"",IF(AND(ISNUMBER(H437),H437&gt;=0),H437,Constants!$B$24))</f>
        <v/>
      </c>
      <c r="AJ437" s="93" t="str">
        <f aca="false">IF(ISBLANK($C437),"",IF(I437=Constants!$B$2,TRUE(),IF(I437=Constants!$B$3,FALSE(),TRUE())))</f>
        <v/>
      </c>
      <c r="AK437" s="93" t="str">
        <f aca="false">IF(ISBLANK($C437),"",IF(J437=Constants!$B$2,TRUE(),IF(J437=Constants!$B$3,FALSE(),TRUE())))</f>
        <v/>
      </c>
      <c r="AL437" s="93" t="str">
        <f aca="false">IF(ISBLANK($C437),"",IF(K437=Constants!$B$4,TRUE(),IF(K437=Constants!$B$5,FALSE(),COUNTA(L437:P437)&gt;0)))</f>
        <v/>
      </c>
      <c r="AM437" s="95" t="str">
        <f aca="false">IF(ISBLANK($C437),"",IF(ISNUMBER(L437),IF(L437&gt;=0,L437,""),""))</f>
        <v/>
      </c>
      <c r="AN437" s="94" t="str">
        <f aca="false">IF(ISBLANK($C437),"",IF(ISNUMBER(M437),IF(M437&gt;=0,M437,""),""))</f>
        <v/>
      </c>
      <c r="AO437" s="94" t="str">
        <f aca="false">IF(ISBLANK($C437),"",IF(N437=Constants!$B$2,TRUE(),IF(N437=Constants!$B$3,FALSE(),TRUE())))</f>
        <v/>
      </c>
      <c r="AP437" s="93" t="str">
        <f aca="false">IF(ISBLANK($C437),"",IF(ISNUMBER(O437),IF(O437&gt;=0,O437,""),""))</f>
        <v/>
      </c>
      <c r="AQ437" s="93" t="str">
        <f aca="false">IF(ISBLANK($C437),"",IF(P437=Constants!$B$2,TRUE(),IF(P437=Constants!$B$3,FALSE(),FALSE())))</f>
        <v/>
      </c>
      <c r="AR437" s="93" t="str">
        <f aca="false">IF(ISBLANK($C437),"",IF(Q437=Constants!$B$2,TRUE(),IF(Q437=Constants!$B$3,FALSE(),TRUE())))</f>
        <v/>
      </c>
      <c r="AS437" s="93" t="str">
        <f aca="false">IF(ISBLANK($C437),"",IF(R437=Constants!$B$2,TRUE(),IF(R437=Constants!$B$3,FALSE(),TRUE())))</f>
        <v/>
      </c>
      <c r="AT437" s="93" t="str">
        <f aca="false">IF(ISBLANK($C437),"",IF(S437=Constants!$B$4,TRUE(),IF(S437=Constants!$B$5,FALSE(),COUNTA(T437:X437)&gt;0)))</f>
        <v/>
      </c>
      <c r="AU437" s="95" t="str">
        <f aca="false">IF(ISBLANK($C437),"",IF(ISNUMBER(T437),IF(T437&gt;=0,T437,""),""))</f>
        <v/>
      </c>
      <c r="AV437" s="94" t="str">
        <f aca="false">IF(ISBLANK($C437),"",IF(ISNUMBER(U437),IF(U437&gt;=0,U437,""),""))</f>
        <v/>
      </c>
      <c r="AW437" s="94" t="str">
        <f aca="false">IF(ISBLANK($C437),"",IF(V437=Constants!$B$2,TRUE(),IF(V437=Constants!$B$3,FALSE(),TRUE())))</f>
        <v/>
      </c>
      <c r="AX437" s="93" t="str">
        <f aca="false">IF(ISBLANK($C437),"",IF(ISNUMBER(W437),IF(W437&gt;=0,W437,""),""))</f>
        <v/>
      </c>
      <c r="AY437" s="93" t="str">
        <f aca="false">IF(ISBLANK($C437),"",IF(X437=Constants!$B$2,TRUE(),IF(X437=Constants!$B$3,FALSE(),FALSE())))</f>
        <v/>
      </c>
      <c r="AZ437" s="93" t="str">
        <f aca="false">IF(ISBLANK($C437),"",MIN(Constants!$B$25,MAX(0,IF(ISNUMBER(Y437),Y437*60,0)+IF(ISNUMBER(Z437),Z437,0))))</f>
        <v/>
      </c>
      <c r="BA437" s="93" t="str">
        <f aca="false">IF(ISBLANK($C437),"",IF(AA437=Constants!$B$2,TRUE(),IF(AA437=Constants!$B$3,FALSE(),FALSE())))</f>
        <v/>
      </c>
      <c r="BB437" s="92" t="str">
        <f aca="false">IF(ISBLANK($C437),"",AND($AL437,OR($AM437="",$AN437="",AND($AO437,$AP437=""))))</f>
        <v/>
      </c>
      <c r="BC437" s="94" t="str">
        <f aca="false">IF($BX437&lt;&gt;Constants!$B$6,"",IF($AL437,Constants!$B$17*$AN437+Constants!$B$18*IF($AO437,$AP437,Constants!$B$19),Constants!$B$20))</f>
        <v/>
      </c>
      <c r="BD437" s="97" t="str">
        <f aca="false">IF($BX437&lt;&gt;Constants!$B$6,"",Constants!$B$21*ABS($AD$9-IF($AL437,$AM437,0)))</f>
        <v/>
      </c>
      <c r="BE437" s="97" t="str">
        <f aca="false">IF($BX437&lt;&gt;Constants!$B$6,"",IF(AND($AL437,$AQ437,$AO437),Constants!$B$22,0))</f>
        <v/>
      </c>
      <c r="BF437" s="97" t="str">
        <f aca="false">IF($BX437&lt;&gt;Constants!$B$6,"",IF($AL437,($AI437-Constants!$B$24)*Constants!$B$23,0))</f>
        <v/>
      </c>
      <c r="BG437" s="97" t="str">
        <f aca="false">IF($BX437&lt;&gt;Constants!$B$6,"",IF($AK437,0,Constants!$B$12)+IF($AJ437,0,Constants!$B$13)+IF($AH437,0,Constants!$B$14))</f>
        <v/>
      </c>
      <c r="BH437" s="98" t="str">
        <f aca="false">IF($BX437&lt;&gt;Constants!$B$6,"",Constants!$B$16+SUM($BC437:$BG437))</f>
        <v/>
      </c>
      <c r="BI437" s="97" t="str">
        <f aca="false">IF($BX437&lt;&gt;Constants!$B$6,"",$BC437)</f>
        <v/>
      </c>
      <c r="BJ437" s="97" t="str">
        <f aca="false">IF($BX437&lt;&gt;Constants!$B$6,"",$BD437)</f>
        <v/>
      </c>
      <c r="BK437" s="99" t="str">
        <f aca="false">IF($BX437&lt;&gt;Constants!$B$6,"",IF($AL437,$AN437,""))</f>
        <v/>
      </c>
      <c r="BL437" s="93" t="str">
        <f aca="false">IF($BX437&lt;&gt;Constants!$B$6,"",IF(OR($BS437&lt;$BH437,AND($BS437=$BH437,OR($BT437&lt;$BI437,AND($BT437=$BI437,OR($BU437&lt;$BJ437,AND($BU437=$BJ437,AND(ISNUMBER($BV437),OR(NOT(ISNUMBER($BK437)),$BV437&lt;$BK437)))))))),"-&gt;","&lt;-"))</f>
        <v/>
      </c>
      <c r="BM437" s="92" t="str">
        <f aca="false">IF(ISBLANK($C437),"",AND($AT437,OR($AU437="",$AV437="",AND($AW437,$AX437=""))))</f>
        <v/>
      </c>
      <c r="BN437" s="94" t="str">
        <f aca="false">IF($BX437&lt;&gt;Constants!$B$6,"",IF($AT437,Constants!$B$17*$AV437+Constants!$B$18*IF($AW437,$AX437,Constants!$B$19),Constants!$B$20))</f>
        <v/>
      </c>
      <c r="BO437" s="97" t="str">
        <f aca="false">IF($BX437&lt;&gt;Constants!$B$6,"",Constants!$B$21*ABS($AD$9-IF($AT437,$AU437,0)))</f>
        <v/>
      </c>
      <c r="BP437" s="97" t="str">
        <f aca="false">IF($BX437&lt;&gt;Constants!$B$6,"",IF(AND($AT437,$AY437,$AW437),Constants!$B$22,0))</f>
        <v/>
      </c>
      <c r="BQ437" s="97" t="str">
        <f aca="false">IF($BX437&lt;&gt;Constants!$B$6,"",IF($AT437,($AI437-Constants!$B$24)*Constants!$B$23,0))</f>
        <v/>
      </c>
      <c r="BR437" s="97" t="str">
        <f aca="false">IF($BX437&lt;&gt;Constants!$B$6,"",IF($AS437,0,Constants!$B$12)+IF($AR437,0,Constants!$B$13)+IF($AH437,0,Constants!$B$14))</f>
        <v/>
      </c>
      <c r="BS437" s="98" t="str">
        <f aca="false">IF($BX437&lt;&gt;Constants!$B$6,"",Constants!$B$16+SUM($BN437:$BR437))</f>
        <v/>
      </c>
      <c r="BT437" s="97" t="str">
        <f aca="false">IF($BX437&lt;&gt;Constants!$B$6,"",$BN437)</f>
        <v/>
      </c>
      <c r="BU437" s="97" t="str">
        <f aca="false">IF($BX437&lt;&gt;Constants!$B$6,"",$BO437)</f>
        <v/>
      </c>
      <c r="BV437" s="99" t="str">
        <f aca="false">IF($BX437&lt;&gt;Constants!$B$6,"",IF($AT437,$AV437,""))</f>
        <v/>
      </c>
      <c r="BW437" s="93" t="str">
        <f aca="false">IF(ISBLANK($C437),"",IF(ISBLANK($D$7),$BW$5,IF(NOT(ISNUMBER($D$7)),$BW$6,"")))</f>
        <v/>
      </c>
      <c r="BX437" s="93" t="str">
        <f aca="false">IF(ISBLANK($C437),"",IF($BA437,Constants!$B$9,IF(COUNTA($E437:$AA437)=0,Constants!$B$8,IF(NOT($AG437),Constants!$B$7,IF(OR($BW437&lt;&gt;"",$BB437,$BM437),Constants!$B$10,Constants!$B$6)))))</f>
        <v/>
      </c>
      <c r="BY437" s="93" t="str">
        <f aca="false">IF(ISBLANK($C437),"",IF($BX437&lt;&gt;Constants!$B$6,$BX437,Constants!$B$11))</f>
        <v/>
      </c>
      <c r="BZ437" s="97" t="str">
        <f aca="false">IF($BX437&lt;&gt;Constants!$B$6,"",IF($BL437="-&gt;",$BS437,$BH437))</f>
        <v/>
      </c>
      <c r="CA437" s="97" t="str">
        <f aca="false">IF($BX437&lt;&gt;Constants!$B$6,"",IF($AF437,0,Constants!$B$15))</f>
        <v/>
      </c>
      <c r="CB437" s="97" t="str">
        <f aca="false">IF($BX437&lt;&gt;Constants!$B$6,"",((Constants!$B$25-$AZ437)-Constants!$B$25)/Constants!$B$26)</f>
        <v/>
      </c>
      <c r="CC437" s="97" t="str">
        <f aca="false">IF(ISBLANK($C437),"",IF($BX437&lt;&gt;Constants!$B$6,$BX437,SUM($BZ437:$CB437)))</f>
        <v/>
      </c>
      <c r="CD437" s="93" t="str">
        <f aca="false">IF(ISBLANK($C437),"",IF($BX437&lt;&gt;Constants!$B$6,$BX437,RANK($CC437,$CC$9:$CC$508,1)))</f>
        <v/>
      </c>
      <c r="CE437" s="97" t="str">
        <f aca="false">IF($BX437&lt;&gt;Constants!$B$6,"",IF($BL437="-&gt;",$BT437,$BI437))</f>
        <v/>
      </c>
      <c r="CF437" s="93" t="str">
        <f aca="false">IF(ISBLANK($C437),"",IF($BX437&lt;&gt;Constants!$B$6,$BX437,IF(ISNUMBER($CE437),RANK($CE437,$CE$9:$CE$508,1),COUNT($CE$9:$CE$508)+1)))</f>
        <v/>
      </c>
      <c r="CG437" s="97" t="str">
        <f aca="false">IF($BX437&lt;&gt;Constants!$B$6,"",IF($BL437="-&gt;",$BU437,$BJ437))</f>
        <v/>
      </c>
      <c r="CH437" s="93" t="str">
        <f aca="false">IF(ISBLANK($C437),"",IF($BX437&lt;&gt;Constants!$B$6,$BX437,IF(ISNUMBER($CG437),RANK($CG437,$CG$9:$CG$508,1),COUNT($CG$9:$CG$508)+1)))</f>
        <v/>
      </c>
      <c r="CI437" s="97" t="str">
        <f aca="false">IF($BX437&lt;&gt;Constants!$B$6,"",IF($BL437="-&gt;",$BV437,$BK437))</f>
        <v/>
      </c>
      <c r="CJ437" s="93" t="str">
        <f aca="false">IF(ISBLANK($C437),"",IF($BX437&lt;&gt;Constants!$B$6,$BX437,IF(ISNUMBER($CI437),RANK($CI437,$CI$9:$CI$508,1),COUNT($CI$9:$CI$508)+1)))</f>
        <v/>
      </c>
      <c r="CK437" s="97" t="str">
        <f aca="false">IF($BX437&lt;&gt;Constants!$B$6,"",$AI437)</f>
        <v/>
      </c>
      <c r="CL437" s="93" t="str">
        <f aca="false">IF(ISBLANK($C437),"",IF($BX437&lt;&gt;Constants!$B$6,$BX437,IF(ISNUMBER($CK437),RANK($CK437,$CK$9:$CK$508,1),COUNT($CK$9:$CK$508)+1)))</f>
        <v/>
      </c>
      <c r="CM437" s="93" t="str">
        <f aca="false">IF(ISBLANK($C437),"",IF($BX437&lt;&gt;Constants!$B$6,$BX437,COUNTIFS($CD$9:$CD$508,"&lt;"&amp;$CD437)+COUNTIFS($CD$9:$CD$508,$CD437,$CF$9:$CF$508,"&lt;"&amp;$CF437)+COUNTIFS($CD$9:$CD$508,$CD437,$CF$9:$CF$508,$CF437,$CH$9:$CH$508,"&lt;"&amp;$CH437)+COUNTIFS($CD$9:$CD$508,$CD437,$CF$9:$CF$508,$CF437,$CH$9:$CH$508,$CH437,$CJ$9:$CJ$508,"&lt;"&amp;$CJ437)+COUNTIFS($CD$9:$CD$508,$CD437,$CF$9:$CF$508,$CF437,$CH$9:$CH$508,$CH437,$CJ$9:$CJ$508,$CJ437,$CL$9:$CL$508,"&lt;"&amp;$CL437)+1))</f>
        <v/>
      </c>
      <c r="CN437" s="93" t="str">
        <f aca="false">IF(ISBLANK($C437),"",IF($BX437&lt;&gt;Constants!$B$6,$BX437,$CD437-$CM437))</f>
        <v/>
      </c>
      <c r="CO437" s="100"/>
      <c r="CP437" s="101"/>
      <c r="CQ437" s="102" t="str">
        <f aca="false">IF(ISBLANK($C437),"",IF($BX437=Constants!$B$10,$BW437,""))</f>
        <v/>
      </c>
      <c r="CR437" s="101" t="str">
        <f aca="false">IF(ISBLANK($C437),"",IF($BX437&lt;&gt;Constants!$B$6,"",IF($BL437="-&gt;",2,1)))</f>
        <v/>
      </c>
      <c r="CS437" s="103" t="str">
        <f aca="false">IF(ISBLANK($C437),"",IF($BX437&lt;&gt;Constants!$B$6,"",IF($BL437="-&gt;",$BN437,$BC437)))</f>
        <v/>
      </c>
      <c r="CT437" s="103" t="str">
        <f aca="false">IF(ISBLANK($C437),"",IF($BX437&lt;&gt;Constants!$B$6,"",IF($BL437="-&gt;",$BO437,$BD437)))</f>
        <v/>
      </c>
      <c r="CU437" s="103" t="str">
        <f aca="false">IF(ISBLANK($C437),"",IF($BX437&lt;&gt;Constants!$B$6,"",IF($BL437="-&gt;",$BP437+$BQ437,$BE437+$BF437)+$CB437))</f>
        <v/>
      </c>
      <c r="CV437" s="103" t="str">
        <f aca="false">IF(ISBLANK($C437),"",IF($BX437&lt;&gt;Constants!$B$6,"",IF($BL437="-&gt;",$BR437,$BG437)+$CA437))</f>
        <v/>
      </c>
      <c r="CW437" s="104" t="str">
        <f aca="false">IF(ISBLANK($C437),"",IF($BX437&lt;&gt;Constants!$B$6,$BX437,$CC437))</f>
        <v/>
      </c>
      <c r="CX437" s="105" t="str">
        <f aca="false">IF(ISBLANK($C437),"",$BY437)</f>
        <v/>
      </c>
      <c r="CY437" s="106" t="str">
        <f aca="false">IF(ISBLANK($C437),"",$CN437)</f>
        <v/>
      </c>
      <c r="CZ437" s="106" t="str">
        <f aca="false">IF(ISBLANK($C437),"",$CM437)</f>
        <v/>
      </c>
      <c r="DA437" s="107" t="str">
        <f aca="false">IF(ISBLANK($C437),"",IFERROR(_xlfn.SWITCH($CZ437,Constants!$B$9,COUNTA($C$9:$C$508)+2,Constants!$B$8,COUNTA($C$9:$C$508)+1,Constants!$B$7,COUNTA($C$9:$C$508)),$CZ437))</f>
        <v/>
      </c>
      <c r="DB437" s="9"/>
      <c r="DC437" s="108" t="n">
        <f aca="false">IF(OR(ISNUMBER($CZ437),$CZ437=Constants!$B$9,$CZ437=Constants!$B$7,$CZ437=Constants!$B$8),1,0)</f>
        <v>0</v>
      </c>
      <c r="DD437" s="108" t="n">
        <v>429</v>
      </c>
      <c r="DE437" s="108" t="str">
        <f aca="false">IF(ISBLANK($C437),"",IF(ISNUMBER($DA437),$DA437+ROW($B437)/1000,""))</f>
        <v/>
      </c>
      <c r="DF437" s="108" t="str">
        <f aca="false">IF(ISNUMBER($DE437),RANK($DE437,$DE$9:$DE$508,1),"")</f>
        <v/>
      </c>
      <c r="DG437" s="108" t="str">
        <f aca="false">IF(ISBLANK($C437),"",$B437)</f>
        <v/>
      </c>
      <c r="DH437" s="108" t="str">
        <f aca="false">IF(ISBLANK($C437),"",$C437)</f>
        <v/>
      </c>
      <c r="DI437" s="108" t="str">
        <f aca="false">IF(ISBLANK($C437),"",$D437)</f>
        <v/>
      </c>
      <c r="DJ437" s="109" t="str">
        <f aca="false">$CX437</f>
        <v/>
      </c>
      <c r="DK437" s="110" t="str">
        <f aca="false">$CW437</f>
        <v/>
      </c>
      <c r="DL437" s="108" t="str">
        <f aca="false">IF(ISBLANK($C437),"",$CZ437)</f>
        <v/>
      </c>
      <c r="DM437" s="111" t="str">
        <f aca="false">IF($DD437&gt;$DC$8,"",VLOOKUP($DD437,$DF$9:$DL$508,7,FALSE()))</f>
        <v/>
      </c>
      <c r="DN437" s="112" t="str">
        <f aca="false">IF($DD437&gt;$DC$8,"",VLOOKUP($DD437,$DF$9:$DL$508,2,FALSE()))</f>
        <v/>
      </c>
      <c r="DO437" s="112" t="str">
        <f aca="false">IF($DD437&gt;$DC$8,"",VLOOKUP($DD437,$DF$9:$DL$508,3,FALSE()))</f>
        <v/>
      </c>
      <c r="DP437" s="112" t="str">
        <f aca="false">IF($DD437&gt;$DC$8,"",VLOOKUP($DD437,$DF$9:$DL$508,4,FALSE()))</f>
        <v/>
      </c>
      <c r="DQ437" s="112" t="str">
        <f aca="false">IF($DD437&gt;$DC$8,"",VLOOKUP($DD437,$DF$9:$DL$508,5,FALSE()))</f>
        <v/>
      </c>
      <c r="DR437" s="113" t="str">
        <f aca="false">IF($DD437&gt;$DC$8,"",VLOOKUP($DD437,$DF$9:$DL$508,6,FALSE()))</f>
        <v/>
      </c>
      <c r="DS437" s="76"/>
    </row>
    <row r="438" customFormat="false" ht="15.75" hidden="false" customHeight="false" outlineLevel="0" collapsed="false">
      <c r="A438" s="9"/>
      <c r="B438" s="160"/>
      <c r="C438" s="161"/>
      <c r="D438" s="162"/>
      <c r="E438" s="180"/>
      <c r="F438" s="164"/>
      <c r="G438" s="165"/>
      <c r="H438" s="165"/>
      <c r="I438" s="181"/>
      <c r="J438" s="168"/>
      <c r="K438" s="128"/>
      <c r="L438" s="129"/>
      <c r="M438" s="130"/>
      <c r="N438" s="168"/>
      <c r="O438" s="168"/>
      <c r="P438" s="180"/>
      <c r="Q438" s="168"/>
      <c r="R438" s="168"/>
      <c r="S438" s="128"/>
      <c r="T438" s="130"/>
      <c r="U438" s="130"/>
      <c r="V438" s="168"/>
      <c r="W438" s="168"/>
      <c r="X438" s="180"/>
      <c r="Y438" s="168"/>
      <c r="Z438" s="169"/>
      <c r="AA438" s="168"/>
      <c r="AB438" s="134"/>
      <c r="AC438" s="135"/>
      <c r="AD438" s="135"/>
      <c r="AE438" s="135"/>
      <c r="AF438" s="135" t="str">
        <f aca="false">IF(ISBLANK($C438),"",IF(E438=Constants!$B$2,TRUE(),IF(E438=Constants!$B$3,FALSE(),TRUE())))</f>
        <v/>
      </c>
      <c r="AG438" s="135" t="str">
        <f aca="false">IF(ISBLANK($C438),"",IF(F438=Constants!$B$2,TRUE(),IF(F438=Constants!$B$3,FALSE(),TRUE())))</f>
        <v/>
      </c>
      <c r="AH438" s="135" t="str">
        <f aca="false">IF(ISBLANK($C438),"",IF(G438=Constants!$B$2,TRUE(),IF(G438=Constants!$B$3,FALSE(),TRUE())))</f>
        <v/>
      </c>
      <c r="AI438" s="135" t="str">
        <f aca="false">IF(ISBLANK($C438),"",IF(AND(ISNUMBER(H438),H438&gt;=0),H438,Constants!$B$24))</f>
        <v/>
      </c>
      <c r="AJ438" s="135" t="str">
        <f aca="false">IF(ISBLANK($C438),"",IF(I438=Constants!$B$2,TRUE(),IF(I438=Constants!$B$3,FALSE(),TRUE())))</f>
        <v/>
      </c>
      <c r="AK438" s="135" t="str">
        <f aca="false">IF(ISBLANK($C438),"",IF(J438=Constants!$B$2,TRUE(),IF(J438=Constants!$B$3,FALSE(),TRUE())))</f>
        <v/>
      </c>
      <c r="AL438" s="135" t="str">
        <f aca="false">IF(ISBLANK($C438),"",IF(K438=Constants!$B$4,TRUE(),IF(K438=Constants!$B$5,FALSE(),COUNTA(L438:P438)&gt;0)))</f>
        <v/>
      </c>
      <c r="AM438" s="136" t="str">
        <f aca="false">IF(ISBLANK($C438),"",IF(ISNUMBER(L438),IF(L438&gt;=0,L438,""),""))</f>
        <v/>
      </c>
      <c r="AN438" s="137" t="str">
        <f aca="false">IF(ISBLANK($C438),"",IF(ISNUMBER(M438),IF(M438&gt;=0,M438,""),""))</f>
        <v/>
      </c>
      <c r="AO438" s="137" t="str">
        <f aca="false">IF(ISBLANK($C438),"",IF(N438=Constants!$B$2,TRUE(),IF(N438=Constants!$B$3,FALSE(),TRUE())))</f>
        <v/>
      </c>
      <c r="AP438" s="135" t="str">
        <f aca="false">IF(ISBLANK($C438),"",IF(ISNUMBER(O438),IF(O438&gt;=0,O438,""),""))</f>
        <v/>
      </c>
      <c r="AQ438" s="135" t="str">
        <f aca="false">IF(ISBLANK($C438),"",IF(P438=Constants!$B$2,TRUE(),IF(P438=Constants!$B$3,FALSE(),FALSE())))</f>
        <v/>
      </c>
      <c r="AR438" s="135" t="str">
        <f aca="false">IF(ISBLANK($C438),"",IF(Q438=Constants!$B$2,TRUE(),IF(Q438=Constants!$B$3,FALSE(),TRUE())))</f>
        <v/>
      </c>
      <c r="AS438" s="135" t="str">
        <f aca="false">IF(ISBLANK($C438),"",IF(R438=Constants!$B$2,TRUE(),IF(R438=Constants!$B$3,FALSE(),TRUE())))</f>
        <v/>
      </c>
      <c r="AT438" s="135" t="str">
        <f aca="false">IF(ISBLANK($C438),"",IF(S438=Constants!$B$4,TRUE(),IF(S438=Constants!$B$5,FALSE(),COUNTA(T438:X438)&gt;0)))</f>
        <v/>
      </c>
      <c r="AU438" s="136" t="str">
        <f aca="false">IF(ISBLANK($C438),"",IF(ISNUMBER(T438),IF(T438&gt;=0,T438,""),""))</f>
        <v/>
      </c>
      <c r="AV438" s="137" t="str">
        <f aca="false">IF(ISBLANK($C438),"",IF(ISNUMBER(U438),IF(U438&gt;=0,U438,""),""))</f>
        <v/>
      </c>
      <c r="AW438" s="137" t="str">
        <f aca="false">IF(ISBLANK($C438),"",IF(V438=Constants!$B$2,TRUE(),IF(V438=Constants!$B$3,FALSE(),TRUE())))</f>
        <v/>
      </c>
      <c r="AX438" s="135" t="str">
        <f aca="false">IF(ISBLANK($C438),"",IF(ISNUMBER(W438),IF(W438&gt;=0,W438,""),""))</f>
        <v/>
      </c>
      <c r="AY438" s="135" t="str">
        <f aca="false">IF(ISBLANK($C438),"",IF(X438=Constants!$B$2,TRUE(),IF(X438=Constants!$B$3,FALSE(),FALSE())))</f>
        <v/>
      </c>
      <c r="AZ438" s="135" t="str">
        <f aca="false">IF(ISBLANK($C438),"",MIN(Constants!$B$25,MAX(0,IF(ISNUMBER(Y438),Y438*60,0)+IF(ISNUMBER(Z438),Z438,0))))</f>
        <v/>
      </c>
      <c r="BA438" s="135" t="str">
        <f aca="false">IF(ISBLANK($C438),"",IF(AA438=Constants!$B$2,TRUE(),IF(AA438=Constants!$B$3,FALSE(),FALSE())))</f>
        <v/>
      </c>
      <c r="BB438" s="134" t="str">
        <f aca="false">IF(ISBLANK($C438),"",AND($AL438,OR($AM438="",$AN438="",AND($AO438,$AP438=""))))</f>
        <v/>
      </c>
      <c r="BC438" s="137" t="str">
        <f aca="false">IF($BX438&lt;&gt;Constants!$B$6,"",IF($AL438,Constants!$B$17*$AN438+Constants!$B$18*IF($AO438,$AP438,Constants!$B$19),Constants!$B$20))</f>
        <v/>
      </c>
      <c r="BD438" s="138" t="str">
        <f aca="false">IF($BX438&lt;&gt;Constants!$B$6,"",Constants!$B$21*ABS($AD$9-IF($AL438,$AM438,0)))</f>
        <v/>
      </c>
      <c r="BE438" s="138" t="str">
        <f aca="false">IF($BX438&lt;&gt;Constants!$B$6,"",IF(AND($AL438,$AQ438,$AO438),Constants!$B$22,0))</f>
        <v/>
      </c>
      <c r="BF438" s="138" t="str">
        <f aca="false">IF($BX438&lt;&gt;Constants!$B$6,"",IF($AL438,($AI438-Constants!$B$24)*Constants!$B$23,0))</f>
        <v/>
      </c>
      <c r="BG438" s="138" t="str">
        <f aca="false">IF($BX438&lt;&gt;Constants!$B$6,"",IF($AK438,0,Constants!$B$12)+IF($AJ438,0,Constants!$B$13)+IF($AH438,0,Constants!$B$14))</f>
        <v/>
      </c>
      <c r="BH438" s="139" t="str">
        <f aca="false">IF($BX438&lt;&gt;Constants!$B$6,"",Constants!$B$16+SUM($BC438:$BG438))</f>
        <v/>
      </c>
      <c r="BI438" s="138" t="str">
        <f aca="false">IF($BX438&lt;&gt;Constants!$B$6,"",$BC438)</f>
        <v/>
      </c>
      <c r="BJ438" s="138" t="str">
        <f aca="false">IF($BX438&lt;&gt;Constants!$B$6,"",$BD438)</f>
        <v/>
      </c>
      <c r="BK438" s="140" t="str">
        <f aca="false">IF($BX438&lt;&gt;Constants!$B$6,"",IF($AL438,$AN438,""))</f>
        <v/>
      </c>
      <c r="BL438" s="135" t="str">
        <f aca="false">IF($BX438&lt;&gt;Constants!$B$6,"",IF(OR($BS438&lt;$BH438,AND($BS438=$BH438,OR($BT438&lt;$BI438,AND($BT438=$BI438,OR($BU438&lt;$BJ438,AND($BU438=$BJ438,AND(ISNUMBER($BV438),OR(NOT(ISNUMBER($BK438)),$BV438&lt;$BK438)))))))),"-&gt;","&lt;-"))</f>
        <v/>
      </c>
      <c r="BM438" s="134" t="str">
        <f aca="false">IF(ISBLANK($C438),"",AND($AT438,OR($AU438="",$AV438="",AND($AW438,$AX438=""))))</f>
        <v/>
      </c>
      <c r="BN438" s="137" t="str">
        <f aca="false">IF($BX438&lt;&gt;Constants!$B$6,"",IF($AT438,Constants!$B$17*$AV438+Constants!$B$18*IF($AW438,$AX438,Constants!$B$19),Constants!$B$20))</f>
        <v/>
      </c>
      <c r="BO438" s="138" t="str">
        <f aca="false">IF($BX438&lt;&gt;Constants!$B$6,"",Constants!$B$21*ABS($AD$9-IF($AT438,$AU438,0)))</f>
        <v/>
      </c>
      <c r="BP438" s="138" t="str">
        <f aca="false">IF($BX438&lt;&gt;Constants!$B$6,"",IF(AND($AT438,$AY438,$AW438),Constants!$B$22,0))</f>
        <v/>
      </c>
      <c r="BQ438" s="138" t="str">
        <f aca="false">IF($BX438&lt;&gt;Constants!$B$6,"",IF($AT438,($AI438-Constants!$B$24)*Constants!$B$23,0))</f>
        <v/>
      </c>
      <c r="BR438" s="138" t="str">
        <f aca="false">IF($BX438&lt;&gt;Constants!$B$6,"",IF($AS438,0,Constants!$B$12)+IF($AR438,0,Constants!$B$13)+IF($AH438,0,Constants!$B$14))</f>
        <v/>
      </c>
      <c r="BS438" s="139" t="str">
        <f aca="false">IF($BX438&lt;&gt;Constants!$B$6,"",Constants!$B$16+SUM($BN438:$BR438))</f>
        <v/>
      </c>
      <c r="BT438" s="138" t="str">
        <f aca="false">IF($BX438&lt;&gt;Constants!$B$6,"",$BN438)</f>
        <v/>
      </c>
      <c r="BU438" s="138" t="str">
        <f aca="false">IF($BX438&lt;&gt;Constants!$B$6,"",$BO438)</f>
        <v/>
      </c>
      <c r="BV438" s="140" t="str">
        <f aca="false">IF($BX438&lt;&gt;Constants!$B$6,"",IF($AT438,$AV438,""))</f>
        <v/>
      </c>
      <c r="BW438" s="135" t="str">
        <f aca="false">IF(ISBLANK($C438),"",IF(ISBLANK($D$7),$BW$5,IF(NOT(ISNUMBER($D$7)),$BW$6,"")))</f>
        <v/>
      </c>
      <c r="BX438" s="135" t="str">
        <f aca="false">IF(ISBLANK($C438),"",IF($BA438,Constants!$B$9,IF(COUNTA($E438:$AA438)=0,Constants!$B$8,IF(NOT($AG438),Constants!$B$7,IF(OR($BW438&lt;&gt;"",$BB438,$BM438),Constants!$B$10,Constants!$B$6)))))</f>
        <v/>
      </c>
      <c r="BY438" s="135" t="str">
        <f aca="false">IF(ISBLANK($C438),"",IF($BX438&lt;&gt;Constants!$B$6,$BX438,Constants!$B$11))</f>
        <v/>
      </c>
      <c r="BZ438" s="138" t="str">
        <f aca="false">IF($BX438&lt;&gt;Constants!$B$6,"",IF($BL438="-&gt;",$BS438,$BH438))</f>
        <v/>
      </c>
      <c r="CA438" s="138" t="str">
        <f aca="false">IF($BX438&lt;&gt;Constants!$B$6,"",IF($AF438,0,Constants!$B$15))</f>
        <v/>
      </c>
      <c r="CB438" s="138" t="str">
        <f aca="false">IF($BX438&lt;&gt;Constants!$B$6,"",((Constants!$B$25-$AZ438)-Constants!$B$25)/Constants!$B$26)</f>
        <v/>
      </c>
      <c r="CC438" s="138" t="str">
        <f aca="false">IF(ISBLANK($C438),"",IF($BX438&lt;&gt;Constants!$B$6,$BX438,SUM($BZ438:$CB438)))</f>
        <v/>
      </c>
      <c r="CD438" s="135" t="str">
        <f aca="false">IF(ISBLANK($C438),"",IF($BX438&lt;&gt;Constants!$B$6,$BX438,RANK($CC438,$CC$9:$CC$508,1)))</f>
        <v/>
      </c>
      <c r="CE438" s="138" t="str">
        <f aca="false">IF($BX438&lt;&gt;Constants!$B$6,"",IF($BL438="-&gt;",$BT438,$BI438))</f>
        <v/>
      </c>
      <c r="CF438" s="135" t="str">
        <f aca="false">IF(ISBLANK($C438),"",IF($BX438&lt;&gt;Constants!$B$6,$BX438,IF(ISNUMBER($CE438),RANK($CE438,$CE$9:$CE$508,1),COUNT($CE$9:$CE$508)+1)))</f>
        <v/>
      </c>
      <c r="CG438" s="138" t="str">
        <f aca="false">IF($BX438&lt;&gt;Constants!$B$6,"",IF($BL438="-&gt;",$BU438,$BJ438))</f>
        <v/>
      </c>
      <c r="CH438" s="135" t="str">
        <f aca="false">IF(ISBLANK($C438),"",IF($BX438&lt;&gt;Constants!$B$6,$BX438,IF(ISNUMBER($CG438),RANK($CG438,$CG$9:$CG$508,1),COUNT($CG$9:$CG$508)+1)))</f>
        <v/>
      </c>
      <c r="CI438" s="138" t="str">
        <f aca="false">IF($BX438&lt;&gt;Constants!$B$6,"",IF($BL438="-&gt;",$BV438,$BK438))</f>
        <v/>
      </c>
      <c r="CJ438" s="135" t="str">
        <f aca="false">IF(ISBLANK($C438),"",IF($BX438&lt;&gt;Constants!$B$6,$BX438,IF(ISNUMBER($CI438),RANK($CI438,$CI$9:$CI$508,1),COUNT($CI$9:$CI$508)+1)))</f>
        <v/>
      </c>
      <c r="CK438" s="138" t="str">
        <f aca="false">IF($BX438&lt;&gt;Constants!$B$6,"",$AI438)</f>
        <v/>
      </c>
      <c r="CL438" s="135" t="str">
        <f aca="false">IF(ISBLANK($C438),"",IF($BX438&lt;&gt;Constants!$B$6,$BX438,IF(ISNUMBER($CK438),RANK($CK438,$CK$9:$CK$508,1),COUNT($CK$9:$CK$508)+1)))</f>
        <v/>
      </c>
      <c r="CM438" s="135" t="str">
        <f aca="false">IF(ISBLANK($C438),"",IF($BX438&lt;&gt;Constants!$B$6,$BX438,COUNTIFS($CD$9:$CD$508,"&lt;"&amp;$CD438)+COUNTIFS($CD$9:$CD$508,$CD438,$CF$9:$CF$508,"&lt;"&amp;$CF438)+COUNTIFS($CD$9:$CD$508,$CD438,$CF$9:$CF$508,$CF438,$CH$9:$CH$508,"&lt;"&amp;$CH438)+COUNTIFS($CD$9:$CD$508,$CD438,$CF$9:$CF$508,$CF438,$CH$9:$CH$508,$CH438,$CJ$9:$CJ$508,"&lt;"&amp;$CJ438)+COUNTIFS($CD$9:$CD$508,$CD438,$CF$9:$CF$508,$CF438,$CH$9:$CH$508,$CH438,$CJ$9:$CJ$508,$CJ438,$CL$9:$CL$508,"&lt;"&amp;$CL438)+1))</f>
        <v/>
      </c>
      <c r="CN438" s="135" t="str">
        <f aca="false">IF(ISBLANK($C438),"",IF($BX438&lt;&gt;Constants!$B$6,$BX438,$CD438-$CM438))</f>
        <v/>
      </c>
      <c r="CO438" s="141"/>
      <c r="CP438" s="142"/>
      <c r="CQ438" s="143" t="str">
        <f aca="false">IF(ISBLANK($C438),"",IF($BX438=Constants!$B$10,$BW438,""))</f>
        <v/>
      </c>
      <c r="CR438" s="142" t="str">
        <f aca="false">IF(ISBLANK($C438),"",IF($BX438&lt;&gt;Constants!$B$6,"",IF($BL438="-&gt;",2,1)))</f>
        <v/>
      </c>
      <c r="CS438" s="144" t="str">
        <f aca="false">IF(ISBLANK($C438),"",IF($BX438&lt;&gt;Constants!$B$6,"",IF($BL438="-&gt;",$BN438,$BC438)))</f>
        <v/>
      </c>
      <c r="CT438" s="144" t="str">
        <f aca="false">IF(ISBLANK($C438),"",IF($BX438&lt;&gt;Constants!$B$6,"",IF($BL438="-&gt;",$BO438,$BD438)))</f>
        <v/>
      </c>
      <c r="CU438" s="144" t="str">
        <f aca="false">IF(ISBLANK($C438),"",IF($BX438&lt;&gt;Constants!$B$6,"",IF($BL438="-&gt;",$BP438+$BQ438,$BE438+$BF438)+$CB438))</f>
        <v/>
      </c>
      <c r="CV438" s="144" t="str">
        <f aca="false">IF(ISBLANK($C438),"",IF($BX438&lt;&gt;Constants!$B$6,"",IF($BL438="-&gt;",$BR438,$BG438)+$CA438))</f>
        <v/>
      </c>
      <c r="CW438" s="145" t="str">
        <f aca="false">IF(ISBLANK($C438),"",IF($BX438&lt;&gt;Constants!$B$6,$BX438,$CC438))</f>
        <v/>
      </c>
      <c r="CX438" s="146" t="str">
        <f aca="false">IF(ISBLANK($C438),"",$BY438)</f>
        <v/>
      </c>
      <c r="CY438" s="147" t="str">
        <f aca="false">IF(ISBLANK($C438),"",$CN438)</f>
        <v/>
      </c>
      <c r="CZ438" s="147" t="str">
        <f aca="false">IF(ISBLANK($C438),"",$CM438)</f>
        <v/>
      </c>
      <c r="DA438" s="148" t="str">
        <f aca="false">IF(ISBLANK($C438),"",IFERROR(_xlfn.SWITCH($CZ438,Constants!$B$9,COUNTA($C$9:$C$508)+2,Constants!$B$8,COUNTA($C$9:$C$508)+1,Constants!$B$7,COUNTA($C$9:$C$508)),$CZ438))</f>
        <v/>
      </c>
      <c r="DB438" s="9"/>
      <c r="DC438" s="149" t="n">
        <f aca="false">IF(OR(ISNUMBER($CZ438),$CZ438=Constants!$B$9,$CZ438=Constants!$B$7,$CZ438=Constants!$B$8),1,0)</f>
        <v>0</v>
      </c>
      <c r="DD438" s="149" t="n">
        <v>430</v>
      </c>
      <c r="DE438" s="149" t="str">
        <f aca="false">IF(ISBLANK($C438),"",IF(ISNUMBER($DA438),$DA438+ROW($B438)/1000,""))</f>
        <v/>
      </c>
      <c r="DF438" s="149" t="str">
        <f aca="false">IF(ISNUMBER($DE438),RANK($DE438,$DE$9:$DE$508,1),"")</f>
        <v/>
      </c>
      <c r="DG438" s="149" t="str">
        <f aca="false">IF(ISBLANK($C438),"",$B438)</f>
        <v/>
      </c>
      <c r="DH438" s="149" t="str">
        <f aca="false">IF(ISBLANK($C438),"",$C438)</f>
        <v/>
      </c>
      <c r="DI438" s="149" t="str">
        <f aca="false">IF(ISBLANK($C438),"",$D438)</f>
        <v/>
      </c>
      <c r="DJ438" s="150" t="str">
        <f aca="false">$CX438</f>
        <v/>
      </c>
      <c r="DK438" s="151" t="str">
        <f aca="false">$CW438</f>
        <v/>
      </c>
      <c r="DL438" s="149" t="str">
        <f aca="false">IF(ISBLANK($C438),"",$CZ438)</f>
        <v/>
      </c>
      <c r="DM438" s="152" t="str">
        <f aca="false">IF($DD438&gt;$DC$8,"",VLOOKUP($DD438,$DF$9:$DL$508,7,FALSE()))</f>
        <v/>
      </c>
      <c r="DN438" s="153" t="str">
        <f aca="false">IF($DD438&gt;$DC$8,"",VLOOKUP($DD438,$DF$9:$DL$508,2,FALSE()))</f>
        <v/>
      </c>
      <c r="DO438" s="153" t="str">
        <f aca="false">IF($DD438&gt;$DC$8,"",VLOOKUP($DD438,$DF$9:$DL$508,3,FALSE()))</f>
        <v/>
      </c>
      <c r="DP438" s="153" t="str">
        <f aca="false">IF($DD438&gt;$DC$8,"",VLOOKUP($DD438,$DF$9:$DL$508,4,FALSE()))</f>
        <v/>
      </c>
      <c r="DQ438" s="153" t="str">
        <f aca="false">IF($DD438&gt;$DC$8,"",VLOOKUP($DD438,$DF$9:$DL$508,5,FALSE()))</f>
        <v/>
      </c>
      <c r="DR438" s="154" t="str">
        <f aca="false">IF($DD438&gt;$DC$8,"",VLOOKUP($DD438,$DF$9:$DL$508,6,FALSE()))</f>
        <v/>
      </c>
      <c r="DS438" s="76"/>
    </row>
    <row r="439" customFormat="false" ht="15.75" hidden="false" customHeight="false" outlineLevel="0" collapsed="false">
      <c r="A439" s="9"/>
      <c r="B439" s="160"/>
      <c r="C439" s="161"/>
      <c r="D439" s="162"/>
      <c r="E439" s="180"/>
      <c r="F439" s="164"/>
      <c r="G439" s="165"/>
      <c r="H439" s="165"/>
      <c r="I439" s="181"/>
      <c r="J439" s="168"/>
      <c r="K439" s="128"/>
      <c r="L439" s="129"/>
      <c r="M439" s="130"/>
      <c r="N439" s="168"/>
      <c r="O439" s="168"/>
      <c r="P439" s="180"/>
      <c r="Q439" s="168"/>
      <c r="R439" s="168"/>
      <c r="S439" s="128"/>
      <c r="T439" s="130"/>
      <c r="U439" s="130"/>
      <c r="V439" s="168"/>
      <c r="W439" s="168"/>
      <c r="X439" s="180"/>
      <c r="Y439" s="168"/>
      <c r="Z439" s="169"/>
      <c r="AA439" s="168"/>
      <c r="AB439" s="134"/>
      <c r="AC439" s="135"/>
      <c r="AD439" s="135"/>
      <c r="AE439" s="135"/>
      <c r="AF439" s="135" t="str">
        <f aca="false">IF(ISBLANK($C439),"",IF(E439=Constants!$B$2,TRUE(),IF(E439=Constants!$B$3,FALSE(),TRUE())))</f>
        <v/>
      </c>
      <c r="AG439" s="135" t="str">
        <f aca="false">IF(ISBLANK($C439),"",IF(F439=Constants!$B$2,TRUE(),IF(F439=Constants!$B$3,FALSE(),TRUE())))</f>
        <v/>
      </c>
      <c r="AH439" s="135" t="str">
        <f aca="false">IF(ISBLANK($C439),"",IF(G439=Constants!$B$2,TRUE(),IF(G439=Constants!$B$3,FALSE(),TRUE())))</f>
        <v/>
      </c>
      <c r="AI439" s="135" t="str">
        <f aca="false">IF(ISBLANK($C439),"",IF(AND(ISNUMBER(H439),H439&gt;=0),H439,Constants!$B$24))</f>
        <v/>
      </c>
      <c r="AJ439" s="135" t="str">
        <f aca="false">IF(ISBLANK($C439),"",IF(I439=Constants!$B$2,TRUE(),IF(I439=Constants!$B$3,FALSE(),TRUE())))</f>
        <v/>
      </c>
      <c r="AK439" s="135" t="str">
        <f aca="false">IF(ISBLANK($C439),"",IF(J439=Constants!$B$2,TRUE(),IF(J439=Constants!$B$3,FALSE(),TRUE())))</f>
        <v/>
      </c>
      <c r="AL439" s="135" t="str">
        <f aca="false">IF(ISBLANK($C439),"",IF(K439=Constants!$B$4,TRUE(),IF(K439=Constants!$B$5,FALSE(),COUNTA(L439:P439)&gt;0)))</f>
        <v/>
      </c>
      <c r="AM439" s="136" t="str">
        <f aca="false">IF(ISBLANK($C439),"",IF(ISNUMBER(L439),IF(L439&gt;=0,L439,""),""))</f>
        <v/>
      </c>
      <c r="AN439" s="137" t="str">
        <f aca="false">IF(ISBLANK($C439),"",IF(ISNUMBER(M439),IF(M439&gt;=0,M439,""),""))</f>
        <v/>
      </c>
      <c r="AO439" s="137" t="str">
        <f aca="false">IF(ISBLANK($C439),"",IF(N439=Constants!$B$2,TRUE(),IF(N439=Constants!$B$3,FALSE(),TRUE())))</f>
        <v/>
      </c>
      <c r="AP439" s="135" t="str">
        <f aca="false">IF(ISBLANK($C439),"",IF(ISNUMBER(O439),IF(O439&gt;=0,O439,""),""))</f>
        <v/>
      </c>
      <c r="AQ439" s="135" t="str">
        <f aca="false">IF(ISBLANK($C439),"",IF(P439=Constants!$B$2,TRUE(),IF(P439=Constants!$B$3,FALSE(),FALSE())))</f>
        <v/>
      </c>
      <c r="AR439" s="135" t="str">
        <f aca="false">IF(ISBLANK($C439),"",IF(Q439=Constants!$B$2,TRUE(),IF(Q439=Constants!$B$3,FALSE(),TRUE())))</f>
        <v/>
      </c>
      <c r="AS439" s="135" t="str">
        <f aca="false">IF(ISBLANK($C439),"",IF(R439=Constants!$B$2,TRUE(),IF(R439=Constants!$B$3,FALSE(),TRUE())))</f>
        <v/>
      </c>
      <c r="AT439" s="135" t="str">
        <f aca="false">IF(ISBLANK($C439),"",IF(S439=Constants!$B$4,TRUE(),IF(S439=Constants!$B$5,FALSE(),COUNTA(T439:X439)&gt;0)))</f>
        <v/>
      </c>
      <c r="AU439" s="136" t="str">
        <f aca="false">IF(ISBLANK($C439),"",IF(ISNUMBER(T439),IF(T439&gt;=0,T439,""),""))</f>
        <v/>
      </c>
      <c r="AV439" s="137" t="str">
        <f aca="false">IF(ISBLANK($C439),"",IF(ISNUMBER(U439),IF(U439&gt;=0,U439,""),""))</f>
        <v/>
      </c>
      <c r="AW439" s="137" t="str">
        <f aca="false">IF(ISBLANK($C439),"",IF(V439=Constants!$B$2,TRUE(),IF(V439=Constants!$B$3,FALSE(),TRUE())))</f>
        <v/>
      </c>
      <c r="AX439" s="135" t="str">
        <f aca="false">IF(ISBLANK($C439),"",IF(ISNUMBER(W439),IF(W439&gt;=0,W439,""),""))</f>
        <v/>
      </c>
      <c r="AY439" s="135" t="str">
        <f aca="false">IF(ISBLANK($C439),"",IF(X439=Constants!$B$2,TRUE(),IF(X439=Constants!$B$3,FALSE(),FALSE())))</f>
        <v/>
      </c>
      <c r="AZ439" s="135" t="str">
        <f aca="false">IF(ISBLANK($C439),"",MIN(Constants!$B$25,MAX(0,IF(ISNUMBER(Y439),Y439*60,0)+IF(ISNUMBER(Z439),Z439,0))))</f>
        <v/>
      </c>
      <c r="BA439" s="135" t="str">
        <f aca="false">IF(ISBLANK($C439),"",IF(AA439=Constants!$B$2,TRUE(),IF(AA439=Constants!$B$3,FALSE(),FALSE())))</f>
        <v/>
      </c>
      <c r="BB439" s="134" t="str">
        <f aca="false">IF(ISBLANK($C439),"",AND($AL439,OR($AM439="",$AN439="",AND($AO439,$AP439=""))))</f>
        <v/>
      </c>
      <c r="BC439" s="137" t="str">
        <f aca="false">IF($BX439&lt;&gt;Constants!$B$6,"",IF($AL439,Constants!$B$17*$AN439+Constants!$B$18*IF($AO439,$AP439,Constants!$B$19),Constants!$B$20))</f>
        <v/>
      </c>
      <c r="BD439" s="138" t="str">
        <f aca="false">IF($BX439&lt;&gt;Constants!$B$6,"",Constants!$B$21*ABS($AD$9-IF($AL439,$AM439,0)))</f>
        <v/>
      </c>
      <c r="BE439" s="138" t="str">
        <f aca="false">IF($BX439&lt;&gt;Constants!$B$6,"",IF(AND($AL439,$AQ439,$AO439),Constants!$B$22,0))</f>
        <v/>
      </c>
      <c r="BF439" s="138" t="str">
        <f aca="false">IF($BX439&lt;&gt;Constants!$B$6,"",IF($AL439,($AI439-Constants!$B$24)*Constants!$B$23,0))</f>
        <v/>
      </c>
      <c r="BG439" s="138" t="str">
        <f aca="false">IF($BX439&lt;&gt;Constants!$B$6,"",IF($AK439,0,Constants!$B$12)+IF($AJ439,0,Constants!$B$13)+IF($AH439,0,Constants!$B$14))</f>
        <v/>
      </c>
      <c r="BH439" s="139" t="str">
        <f aca="false">IF($BX439&lt;&gt;Constants!$B$6,"",Constants!$B$16+SUM($BC439:$BG439))</f>
        <v/>
      </c>
      <c r="BI439" s="138" t="str">
        <f aca="false">IF($BX439&lt;&gt;Constants!$B$6,"",$BC439)</f>
        <v/>
      </c>
      <c r="BJ439" s="138" t="str">
        <f aca="false">IF($BX439&lt;&gt;Constants!$B$6,"",$BD439)</f>
        <v/>
      </c>
      <c r="BK439" s="140" t="str">
        <f aca="false">IF($BX439&lt;&gt;Constants!$B$6,"",IF($AL439,$AN439,""))</f>
        <v/>
      </c>
      <c r="BL439" s="135" t="str">
        <f aca="false">IF($BX439&lt;&gt;Constants!$B$6,"",IF(OR($BS439&lt;$BH439,AND($BS439=$BH439,OR($BT439&lt;$BI439,AND($BT439=$BI439,OR($BU439&lt;$BJ439,AND($BU439=$BJ439,AND(ISNUMBER($BV439),OR(NOT(ISNUMBER($BK439)),$BV439&lt;$BK439)))))))),"-&gt;","&lt;-"))</f>
        <v/>
      </c>
      <c r="BM439" s="134" t="str">
        <f aca="false">IF(ISBLANK($C439),"",AND($AT439,OR($AU439="",$AV439="",AND($AW439,$AX439=""))))</f>
        <v/>
      </c>
      <c r="BN439" s="137" t="str">
        <f aca="false">IF($BX439&lt;&gt;Constants!$B$6,"",IF($AT439,Constants!$B$17*$AV439+Constants!$B$18*IF($AW439,$AX439,Constants!$B$19),Constants!$B$20))</f>
        <v/>
      </c>
      <c r="BO439" s="138" t="str">
        <f aca="false">IF($BX439&lt;&gt;Constants!$B$6,"",Constants!$B$21*ABS($AD$9-IF($AT439,$AU439,0)))</f>
        <v/>
      </c>
      <c r="BP439" s="138" t="str">
        <f aca="false">IF($BX439&lt;&gt;Constants!$B$6,"",IF(AND($AT439,$AY439,$AW439),Constants!$B$22,0))</f>
        <v/>
      </c>
      <c r="BQ439" s="138" t="str">
        <f aca="false">IF($BX439&lt;&gt;Constants!$B$6,"",IF($AT439,($AI439-Constants!$B$24)*Constants!$B$23,0))</f>
        <v/>
      </c>
      <c r="BR439" s="138" t="str">
        <f aca="false">IF($BX439&lt;&gt;Constants!$B$6,"",IF($AS439,0,Constants!$B$12)+IF($AR439,0,Constants!$B$13)+IF($AH439,0,Constants!$B$14))</f>
        <v/>
      </c>
      <c r="BS439" s="139" t="str">
        <f aca="false">IF($BX439&lt;&gt;Constants!$B$6,"",Constants!$B$16+SUM($BN439:$BR439))</f>
        <v/>
      </c>
      <c r="BT439" s="138" t="str">
        <f aca="false">IF($BX439&lt;&gt;Constants!$B$6,"",$BN439)</f>
        <v/>
      </c>
      <c r="BU439" s="138" t="str">
        <f aca="false">IF($BX439&lt;&gt;Constants!$B$6,"",$BO439)</f>
        <v/>
      </c>
      <c r="BV439" s="140" t="str">
        <f aca="false">IF($BX439&lt;&gt;Constants!$B$6,"",IF($AT439,$AV439,""))</f>
        <v/>
      </c>
      <c r="BW439" s="135" t="str">
        <f aca="false">IF(ISBLANK($C439),"",IF(ISBLANK($D$7),$BW$5,IF(NOT(ISNUMBER($D$7)),$BW$6,"")))</f>
        <v/>
      </c>
      <c r="BX439" s="135" t="str">
        <f aca="false">IF(ISBLANK($C439),"",IF($BA439,Constants!$B$9,IF(COUNTA($E439:$AA439)=0,Constants!$B$8,IF(NOT($AG439),Constants!$B$7,IF(OR($BW439&lt;&gt;"",$BB439,$BM439),Constants!$B$10,Constants!$B$6)))))</f>
        <v/>
      </c>
      <c r="BY439" s="135" t="str">
        <f aca="false">IF(ISBLANK($C439),"",IF($BX439&lt;&gt;Constants!$B$6,$BX439,Constants!$B$11))</f>
        <v/>
      </c>
      <c r="BZ439" s="138" t="str">
        <f aca="false">IF($BX439&lt;&gt;Constants!$B$6,"",IF($BL439="-&gt;",$BS439,$BH439))</f>
        <v/>
      </c>
      <c r="CA439" s="138" t="str">
        <f aca="false">IF($BX439&lt;&gt;Constants!$B$6,"",IF($AF439,0,Constants!$B$15))</f>
        <v/>
      </c>
      <c r="CB439" s="138" t="str">
        <f aca="false">IF($BX439&lt;&gt;Constants!$B$6,"",((Constants!$B$25-$AZ439)-Constants!$B$25)/Constants!$B$26)</f>
        <v/>
      </c>
      <c r="CC439" s="138" t="str">
        <f aca="false">IF(ISBLANK($C439),"",IF($BX439&lt;&gt;Constants!$B$6,$BX439,SUM($BZ439:$CB439)))</f>
        <v/>
      </c>
      <c r="CD439" s="135" t="str">
        <f aca="false">IF(ISBLANK($C439),"",IF($BX439&lt;&gt;Constants!$B$6,$BX439,RANK($CC439,$CC$9:$CC$508,1)))</f>
        <v/>
      </c>
      <c r="CE439" s="138" t="str">
        <f aca="false">IF($BX439&lt;&gt;Constants!$B$6,"",IF($BL439="-&gt;",$BT439,$BI439))</f>
        <v/>
      </c>
      <c r="CF439" s="135" t="str">
        <f aca="false">IF(ISBLANK($C439),"",IF($BX439&lt;&gt;Constants!$B$6,$BX439,IF(ISNUMBER($CE439),RANK($CE439,$CE$9:$CE$508,1),COUNT($CE$9:$CE$508)+1)))</f>
        <v/>
      </c>
      <c r="CG439" s="138" t="str">
        <f aca="false">IF($BX439&lt;&gt;Constants!$B$6,"",IF($BL439="-&gt;",$BU439,$BJ439))</f>
        <v/>
      </c>
      <c r="CH439" s="135" t="str">
        <f aca="false">IF(ISBLANK($C439),"",IF($BX439&lt;&gt;Constants!$B$6,$BX439,IF(ISNUMBER($CG439),RANK($CG439,$CG$9:$CG$508,1),COUNT($CG$9:$CG$508)+1)))</f>
        <v/>
      </c>
      <c r="CI439" s="138" t="str">
        <f aca="false">IF($BX439&lt;&gt;Constants!$B$6,"",IF($BL439="-&gt;",$BV439,$BK439))</f>
        <v/>
      </c>
      <c r="CJ439" s="135" t="str">
        <f aca="false">IF(ISBLANK($C439),"",IF($BX439&lt;&gt;Constants!$B$6,$BX439,IF(ISNUMBER($CI439),RANK($CI439,$CI$9:$CI$508,1),COUNT($CI$9:$CI$508)+1)))</f>
        <v/>
      </c>
      <c r="CK439" s="138" t="str">
        <f aca="false">IF($BX439&lt;&gt;Constants!$B$6,"",$AI439)</f>
        <v/>
      </c>
      <c r="CL439" s="135" t="str">
        <f aca="false">IF(ISBLANK($C439),"",IF($BX439&lt;&gt;Constants!$B$6,$BX439,IF(ISNUMBER($CK439),RANK($CK439,$CK$9:$CK$508,1),COUNT($CK$9:$CK$508)+1)))</f>
        <v/>
      </c>
      <c r="CM439" s="135" t="str">
        <f aca="false">IF(ISBLANK($C439),"",IF($BX439&lt;&gt;Constants!$B$6,$BX439,COUNTIFS($CD$9:$CD$508,"&lt;"&amp;$CD439)+COUNTIFS($CD$9:$CD$508,$CD439,$CF$9:$CF$508,"&lt;"&amp;$CF439)+COUNTIFS($CD$9:$CD$508,$CD439,$CF$9:$CF$508,$CF439,$CH$9:$CH$508,"&lt;"&amp;$CH439)+COUNTIFS($CD$9:$CD$508,$CD439,$CF$9:$CF$508,$CF439,$CH$9:$CH$508,$CH439,$CJ$9:$CJ$508,"&lt;"&amp;$CJ439)+COUNTIFS($CD$9:$CD$508,$CD439,$CF$9:$CF$508,$CF439,$CH$9:$CH$508,$CH439,$CJ$9:$CJ$508,$CJ439,$CL$9:$CL$508,"&lt;"&amp;$CL439)+1))</f>
        <v/>
      </c>
      <c r="CN439" s="135" t="str">
        <f aca="false">IF(ISBLANK($C439),"",IF($BX439&lt;&gt;Constants!$B$6,$BX439,$CD439-$CM439))</f>
        <v/>
      </c>
      <c r="CO439" s="141"/>
      <c r="CP439" s="142"/>
      <c r="CQ439" s="143" t="str">
        <f aca="false">IF(ISBLANK($C439),"",IF($BX439=Constants!$B$10,$BW439,""))</f>
        <v/>
      </c>
      <c r="CR439" s="142" t="str">
        <f aca="false">IF(ISBLANK($C439),"",IF($BX439&lt;&gt;Constants!$B$6,"",IF($BL439="-&gt;",2,1)))</f>
        <v/>
      </c>
      <c r="CS439" s="144" t="str">
        <f aca="false">IF(ISBLANK($C439),"",IF($BX439&lt;&gt;Constants!$B$6,"",IF($BL439="-&gt;",$BN439,$BC439)))</f>
        <v/>
      </c>
      <c r="CT439" s="144" t="str">
        <f aca="false">IF(ISBLANK($C439),"",IF($BX439&lt;&gt;Constants!$B$6,"",IF($BL439="-&gt;",$BO439,$BD439)))</f>
        <v/>
      </c>
      <c r="CU439" s="144" t="str">
        <f aca="false">IF(ISBLANK($C439),"",IF($BX439&lt;&gt;Constants!$B$6,"",IF($BL439="-&gt;",$BP439+$BQ439,$BE439+$BF439)+$CB439))</f>
        <v/>
      </c>
      <c r="CV439" s="144" t="str">
        <f aca="false">IF(ISBLANK($C439),"",IF($BX439&lt;&gt;Constants!$B$6,"",IF($BL439="-&gt;",$BR439,$BG439)+$CA439))</f>
        <v/>
      </c>
      <c r="CW439" s="145" t="str">
        <f aca="false">IF(ISBLANK($C439),"",IF($BX439&lt;&gt;Constants!$B$6,$BX439,$CC439))</f>
        <v/>
      </c>
      <c r="CX439" s="146" t="str">
        <f aca="false">IF(ISBLANK($C439),"",$BY439)</f>
        <v/>
      </c>
      <c r="CY439" s="147" t="str">
        <f aca="false">IF(ISBLANK($C439),"",$CN439)</f>
        <v/>
      </c>
      <c r="CZ439" s="147" t="str">
        <f aca="false">IF(ISBLANK($C439),"",$CM439)</f>
        <v/>
      </c>
      <c r="DA439" s="148" t="str">
        <f aca="false">IF(ISBLANK($C439),"",IFERROR(_xlfn.SWITCH($CZ439,Constants!$B$9,COUNTA($C$9:$C$508)+2,Constants!$B$8,COUNTA($C$9:$C$508)+1,Constants!$B$7,COUNTA($C$9:$C$508)),$CZ439))</f>
        <v/>
      </c>
      <c r="DB439" s="9"/>
      <c r="DC439" s="149" t="n">
        <f aca="false">IF(OR(ISNUMBER($CZ439),$CZ439=Constants!$B$9,$CZ439=Constants!$B$7,$CZ439=Constants!$B$8),1,0)</f>
        <v>0</v>
      </c>
      <c r="DD439" s="149" t="n">
        <v>431</v>
      </c>
      <c r="DE439" s="149" t="str">
        <f aca="false">IF(ISBLANK($C439),"",IF(ISNUMBER($DA439),$DA439+ROW($B439)/1000,""))</f>
        <v/>
      </c>
      <c r="DF439" s="149" t="str">
        <f aca="false">IF(ISNUMBER($DE439),RANK($DE439,$DE$9:$DE$508,1),"")</f>
        <v/>
      </c>
      <c r="DG439" s="149" t="str">
        <f aca="false">IF(ISBLANK($C439),"",$B439)</f>
        <v/>
      </c>
      <c r="DH439" s="149" t="str">
        <f aca="false">IF(ISBLANK($C439),"",$C439)</f>
        <v/>
      </c>
      <c r="DI439" s="149" t="str">
        <f aca="false">IF(ISBLANK($C439),"",$D439)</f>
        <v/>
      </c>
      <c r="DJ439" s="150" t="str">
        <f aca="false">$CX439</f>
        <v/>
      </c>
      <c r="DK439" s="151" t="str">
        <f aca="false">$CW439</f>
        <v/>
      </c>
      <c r="DL439" s="149" t="str">
        <f aca="false">IF(ISBLANK($C439),"",$CZ439)</f>
        <v/>
      </c>
      <c r="DM439" s="152" t="str">
        <f aca="false">IF($DD439&gt;$DC$8,"",VLOOKUP($DD439,$DF$9:$DL$508,7,FALSE()))</f>
        <v/>
      </c>
      <c r="DN439" s="153" t="str">
        <f aca="false">IF($DD439&gt;$DC$8,"",VLOOKUP($DD439,$DF$9:$DL$508,2,FALSE()))</f>
        <v/>
      </c>
      <c r="DO439" s="153" t="str">
        <f aca="false">IF($DD439&gt;$DC$8,"",VLOOKUP($DD439,$DF$9:$DL$508,3,FALSE()))</f>
        <v/>
      </c>
      <c r="DP439" s="153" t="str">
        <f aca="false">IF($DD439&gt;$DC$8,"",VLOOKUP($DD439,$DF$9:$DL$508,4,FALSE()))</f>
        <v/>
      </c>
      <c r="DQ439" s="153" t="str">
        <f aca="false">IF($DD439&gt;$DC$8,"",VLOOKUP($DD439,$DF$9:$DL$508,5,FALSE()))</f>
        <v/>
      </c>
      <c r="DR439" s="154" t="str">
        <f aca="false">IF($DD439&gt;$DC$8,"",VLOOKUP($DD439,$DF$9:$DL$508,6,FALSE()))</f>
        <v/>
      </c>
      <c r="DS439" s="76"/>
    </row>
    <row r="440" customFormat="false" ht="15.75" hidden="false" customHeight="false" outlineLevel="0" collapsed="false">
      <c r="A440" s="9"/>
      <c r="B440" s="160"/>
      <c r="C440" s="161"/>
      <c r="D440" s="162"/>
      <c r="E440" s="180"/>
      <c r="F440" s="164"/>
      <c r="G440" s="165"/>
      <c r="H440" s="165"/>
      <c r="I440" s="181"/>
      <c r="J440" s="168"/>
      <c r="K440" s="128"/>
      <c r="L440" s="129"/>
      <c r="M440" s="130"/>
      <c r="N440" s="168"/>
      <c r="O440" s="168"/>
      <c r="P440" s="180"/>
      <c r="Q440" s="168"/>
      <c r="R440" s="168"/>
      <c r="S440" s="128"/>
      <c r="T440" s="130"/>
      <c r="U440" s="130"/>
      <c r="V440" s="168"/>
      <c r="W440" s="168"/>
      <c r="X440" s="180"/>
      <c r="Y440" s="168"/>
      <c r="Z440" s="169"/>
      <c r="AA440" s="168"/>
      <c r="AB440" s="134"/>
      <c r="AC440" s="135"/>
      <c r="AD440" s="135"/>
      <c r="AE440" s="135"/>
      <c r="AF440" s="135" t="str">
        <f aca="false">IF(ISBLANK($C440),"",IF(E440=Constants!$B$2,TRUE(),IF(E440=Constants!$B$3,FALSE(),TRUE())))</f>
        <v/>
      </c>
      <c r="AG440" s="135" t="str">
        <f aca="false">IF(ISBLANK($C440),"",IF(F440=Constants!$B$2,TRUE(),IF(F440=Constants!$B$3,FALSE(),TRUE())))</f>
        <v/>
      </c>
      <c r="AH440" s="135" t="str">
        <f aca="false">IF(ISBLANK($C440),"",IF(G440=Constants!$B$2,TRUE(),IF(G440=Constants!$B$3,FALSE(),TRUE())))</f>
        <v/>
      </c>
      <c r="AI440" s="135" t="str">
        <f aca="false">IF(ISBLANK($C440),"",IF(AND(ISNUMBER(H440),H440&gt;=0),H440,Constants!$B$24))</f>
        <v/>
      </c>
      <c r="AJ440" s="135" t="str">
        <f aca="false">IF(ISBLANK($C440),"",IF(I440=Constants!$B$2,TRUE(),IF(I440=Constants!$B$3,FALSE(),TRUE())))</f>
        <v/>
      </c>
      <c r="AK440" s="135" t="str">
        <f aca="false">IF(ISBLANK($C440),"",IF(J440=Constants!$B$2,TRUE(),IF(J440=Constants!$B$3,FALSE(),TRUE())))</f>
        <v/>
      </c>
      <c r="AL440" s="135" t="str">
        <f aca="false">IF(ISBLANK($C440),"",IF(K440=Constants!$B$4,TRUE(),IF(K440=Constants!$B$5,FALSE(),COUNTA(L440:P440)&gt;0)))</f>
        <v/>
      </c>
      <c r="AM440" s="136" t="str">
        <f aca="false">IF(ISBLANK($C440),"",IF(ISNUMBER(L440),IF(L440&gt;=0,L440,""),""))</f>
        <v/>
      </c>
      <c r="AN440" s="137" t="str">
        <f aca="false">IF(ISBLANK($C440),"",IF(ISNUMBER(M440),IF(M440&gt;=0,M440,""),""))</f>
        <v/>
      </c>
      <c r="AO440" s="137" t="str">
        <f aca="false">IF(ISBLANK($C440),"",IF(N440=Constants!$B$2,TRUE(),IF(N440=Constants!$B$3,FALSE(),TRUE())))</f>
        <v/>
      </c>
      <c r="AP440" s="135" t="str">
        <f aca="false">IF(ISBLANK($C440),"",IF(ISNUMBER(O440),IF(O440&gt;=0,O440,""),""))</f>
        <v/>
      </c>
      <c r="AQ440" s="135" t="str">
        <f aca="false">IF(ISBLANK($C440),"",IF(P440=Constants!$B$2,TRUE(),IF(P440=Constants!$B$3,FALSE(),FALSE())))</f>
        <v/>
      </c>
      <c r="AR440" s="135" t="str">
        <f aca="false">IF(ISBLANK($C440),"",IF(Q440=Constants!$B$2,TRUE(),IF(Q440=Constants!$B$3,FALSE(),TRUE())))</f>
        <v/>
      </c>
      <c r="AS440" s="135" t="str">
        <f aca="false">IF(ISBLANK($C440),"",IF(R440=Constants!$B$2,TRUE(),IF(R440=Constants!$B$3,FALSE(),TRUE())))</f>
        <v/>
      </c>
      <c r="AT440" s="135" t="str">
        <f aca="false">IF(ISBLANK($C440),"",IF(S440=Constants!$B$4,TRUE(),IF(S440=Constants!$B$5,FALSE(),COUNTA(T440:X440)&gt;0)))</f>
        <v/>
      </c>
      <c r="AU440" s="136" t="str">
        <f aca="false">IF(ISBLANK($C440),"",IF(ISNUMBER(T440),IF(T440&gt;=0,T440,""),""))</f>
        <v/>
      </c>
      <c r="AV440" s="137" t="str">
        <f aca="false">IF(ISBLANK($C440),"",IF(ISNUMBER(U440),IF(U440&gt;=0,U440,""),""))</f>
        <v/>
      </c>
      <c r="AW440" s="137" t="str">
        <f aca="false">IF(ISBLANK($C440),"",IF(V440=Constants!$B$2,TRUE(),IF(V440=Constants!$B$3,FALSE(),TRUE())))</f>
        <v/>
      </c>
      <c r="AX440" s="135" t="str">
        <f aca="false">IF(ISBLANK($C440),"",IF(ISNUMBER(W440),IF(W440&gt;=0,W440,""),""))</f>
        <v/>
      </c>
      <c r="AY440" s="135" t="str">
        <f aca="false">IF(ISBLANK($C440),"",IF(X440=Constants!$B$2,TRUE(),IF(X440=Constants!$B$3,FALSE(),FALSE())))</f>
        <v/>
      </c>
      <c r="AZ440" s="135" t="str">
        <f aca="false">IF(ISBLANK($C440),"",MIN(Constants!$B$25,MAX(0,IF(ISNUMBER(Y440),Y440*60,0)+IF(ISNUMBER(Z440),Z440,0))))</f>
        <v/>
      </c>
      <c r="BA440" s="135" t="str">
        <f aca="false">IF(ISBLANK($C440),"",IF(AA440=Constants!$B$2,TRUE(),IF(AA440=Constants!$B$3,FALSE(),FALSE())))</f>
        <v/>
      </c>
      <c r="BB440" s="134" t="str">
        <f aca="false">IF(ISBLANK($C440),"",AND($AL440,OR($AM440="",$AN440="",AND($AO440,$AP440=""))))</f>
        <v/>
      </c>
      <c r="BC440" s="137" t="str">
        <f aca="false">IF($BX440&lt;&gt;Constants!$B$6,"",IF($AL440,Constants!$B$17*$AN440+Constants!$B$18*IF($AO440,$AP440,Constants!$B$19),Constants!$B$20))</f>
        <v/>
      </c>
      <c r="BD440" s="138" t="str">
        <f aca="false">IF($BX440&lt;&gt;Constants!$B$6,"",Constants!$B$21*ABS($AD$9-IF($AL440,$AM440,0)))</f>
        <v/>
      </c>
      <c r="BE440" s="138" t="str">
        <f aca="false">IF($BX440&lt;&gt;Constants!$B$6,"",IF(AND($AL440,$AQ440,$AO440),Constants!$B$22,0))</f>
        <v/>
      </c>
      <c r="BF440" s="138" t="str">
        <f aca="false">IF($BX440&lt;&gt;Constants!$B$6,"",IF($AL440,($AI440-Constants!$B$24)*Constants!$B$23,0))</f>
        <v/>
      </c>
      <c r="BG440" s="138" t="str">
        <f aca="false">IF($BX440&lt;&gt;Constants!$B$6,"",IF($AK440,0,Constants!$B$12)+IF($AJ440,0,Constants!$B$13)+IF($AH440,0,Constants!$B$14))</f>
        <v/>
      </c>
      <c r="BH440" s="139" t="str">
        <f aca="false">IF($BX440&lt;&gt;Constants!$B$6,"",Constants!$B$16+SUM($BC440:$BG440))</f>
        <v/>
      </c>
      <c r="BI440" s="138" t="str">
        <f aca="false">IF($BX440&lt;&gt;Constants!$B$6,"",$BC440)</f>
        <v/>
      </c>
      <c r="BJ440" s="138" t="str">
        <f aca="false">IF($BX440&lt;&gt;Constants!$B$6,"",$BD440)</f>
        <v/>
      </c>
      <c r="BK440" s="140" t="str">
        <f aca="false">IF($BX440&lt;&gt;Constants!$B$6,"",IF($AL440,$AN440,""))</f>
        <v/>
      </c>
      <c r="BL440" s="135" t="str">
        <f aca="false">IF($BX440&lt;&gt;Constants!$B$6,"",IF(OR($BS440&lt;$BH440,AND($BS440=$BH440,OR($BT440&lt;$BI440,AND($BT440=$BI440,OR($BU440&lt;$BJ440,AND($BU440=$BJ440,AND(ISNUMBER($BV440),OR(NOT(ISNUMBER($BK440)),$BV440&lt;$BK440)))))))),"-&gt;","&lt;-"))</f>
        <v/>
      </c>
      <c r="BM440" s="134" t="str">
        <f aca="false">IF(ISBLANK($C440),"",AND($AT440,OR($AU440="",$AV440="",AND($AW440,$AX440=""))))</f>
        <v/>
      </c>
      <c r="BN440" s="137" t="str">
        <f aca="false">IF($BX440&lt;&gt;Constants!$B$6,"",IF($AT440,Constants!$B$17*$AV440+Constants!$B$18*IF($AW440,$AX440,Constants!$B$19),Constants!$B$20))</f>
        <v/>
      </c>
      <c r="BO440" s="138" t="str">
        <f aca="false">IF($BX440&lt;&gt;Constants!$B$6,"",Constants!$B$21*ABS($AD$9-IF($AT440,$AU440,0)))</f>
        <v/>
      </c>
      <c r="BP440" s="138" t="str">
        <f aca="false">IF($BX440&lt;&gt;Constants!$B$6,"",IF(AND($AT440,$AY440,$AW440),Constants!$B$22,0))</f>
        <v/>
      </c>
      <c r="BQ440" s="138" t="str">
        <f aca="false">IF($BX440&lt;&gt;Constants!$B$6,"",IF($AT440,($AI440-Constants!$B$24)*Constants!$B$23,0))</f>
        <v/>
      </c>
      <c r="BR440" s="138" t="str">
        <f aca="false">IF($BX440&lt;&gt;Constants!$B$6,"",IF($AS440,0,Constants!$B$12)+IF($AR440,0,Constants!$B$13)+IF($AH440,0,Constants!$B$14))</f>
        <v/>
      </c>
      <c r="BS440" s="139" t="str">
        <f aca="false">IF($BX440&lt;&gt;Constants!$B$6,"",Constants!$B$16+SUM($BN440:$BR440))</f>
        <v/>
      </c>
      <c r="BT440" s="138" t="str">
        <f aca="false">IF($BX440&lt;&gt;Constants!$B$6,"",$BN440)</f>
        <v/>
      </c>
      <c r="BU440" s="138" t="str">
        <f aca="false">IF($BX440&lt;&gt;Constants!$B$6,"",$BO440)</f>
        <v/>
      </c>
      <c r="BV440" s="140" t="str">
        <f aca="false">IF($BX440&lt;&gt;Constants!$B$6,"",IF($AT440,$AV440,""))</f>
        <v/>
      </c>
      <c r="BW440" s="135" t="str">
        <f aca="false">IF(ISBLANK($C440),"",IF(ISBLANK($D$7),$BW$5,IF(NOT(ISNUMBER($D$7)),$BW$6,"")))</f>
        <v/>
      </c>
      <c r="BX440" s="135" t="str">
        <f aca="false">IF(ISBLANK($C440),"",IF($BA440,Constants!$B$9,IF(COUNTA($E440:$AA440)=0,Constants!$B$8,IF(NOT($AG440),Constants!$B$7,IF(OR($BW440&lt;&gt;"",$BB440,$BM440),Constants!$B$10,Constants!$B$6)))))</f>
        <v/>
      </c>
      <c r="BY440" s="135" t="str">
        <f aca="false">IF(ISBLANK($C440),"",IF($BX440&lt;&gt;Constants!$B$6,$BX440,Constants!$B$11))</f>
        <v/>
      </c>
      <c r="BZ440" s="138" t="str">
        <f aca="false">IF($BX440&lt;&gt;Constants!$B$6,"",IF($BL440="-&gt;",$BS440,$BH440))</f>
        <v/>
      </c>
      <c r="CA440" s="138" t="str">
        <f aca="false">IF($BX440&lt;&gt;Constants!$B$6,"",IF($AF440,0,Constants!$B$15))</f>
        <v/>
      </c>
      <c r="CB440" s="138" t="str">
        <f aca="false">IF($BX440&lt;&gt;Constants!$B$6,"",((Constants!$B$25-$AZ440)-Constants!$B$25)/Constants!$B$26)</f>
        <v/>
      </c>
      <c r="CC440" s="138" t="str">
        <f aca="false">IF(ISBLANK($C440),"",IF($BX440&lt;&gt;Constants!$B$6,$BX440,SUM($BZ440:$CB440)))</f>
        <v/>
      </c>
      <c r="CD440" s="135" t="str">
        <f aca="false">IF(ISBLANK($C440),"",IF($BX440&lt;&gt;Constants!$B$6,$BX440,RANK($CC440,$CC$9:$CC$508,1)))</f>
        <v/>
      </c>
      <c r="CE440" s="138" t="str">
        <f aca="false">IF($BX440&lt;&gt;Constants!$B$6,"",IF($BL440="-&gt;",$BT440,$BI440))</f>
        <v/>
      </c>
      <c r="CF440" s="135" t="str">
        <f aca="false">IF(ISBLANK($C440),"",IF($BX440&lt;&gt;Constants!$B$6,$BX440,IF(ISNUMBER($CE440),RANK($CE440,$CE$9:$CE$508,1),COUNT($CE$9:$CE$508)+1)))</f>
        <v/>
      </c>
      <c r="CG440" s="138" t="str">
        <f aca="false">IF($BX440&lt;&gt;Constants!$B$6,"",IF($BL440="-&gt;",$BU440,$BJ440))</f>
        <v/>
      </c>
      <c r="CH440" s="135" t="str">
        <f aca="false">IF(ISBLANK($C440),"",IF($BX440&lt;&gt;Constants!$B$6,$BX440,IF(ISNUMBER($CG440),RANK($CG440,$CG$9:$CG$508,1),COUNT($CG$9:$CG$508)+1)))</f>
        <v/>
      </c>
      <c r="CI440" s="138" t="str">
        <f aca="false">IF($BX440&lt;&gt;Constants!$B$6,"",IF($BL440="-&gt;",$BV440,$BK440))</f>
        <v/>
      </c>
      <c r="CJ440" s="135" t="str">
        <f aca="false">IF(ISBLANK($C440),"",IF($BX440&lt;&gt;Constants!$B$6,$BX440,IF(ISNUMBER($CI440),RANK($CI440,$CI$9:$CI$508,1),COUNT($CI$9:$CI$508)+1)))</f>
        <v/>
      </c>
      <c r="CK440" s="138" t="str">
        <f aca="false">IF($BX440&lt;&gt;Constants!$B$6,"",$AI440)</f>
        <v/>
      </c>
      <c r="CL440" s="135" t="str">
        <f aca="false">IF(ISBLANK($C440),"",IF($BX440&lt;&gt;Constants!$B$6,$BX440,IF(ISNUMBER($CK440),RANK($CK440,$CK$9:$CK$508,1),COUNT($CK$9:$CK$508)+1)))</f>
        <v/>
      </c>
      <c r="CM440" s="135" t="str">
        <f aca="false">IF(ISBLANK($C440),"",IF($BX440&lt;&gt;Constants!$B$6,$BX440,COUNTIFS($CD$9:$CD$508,"&lt;"&amp;$CD440)+COUNTIFS($CD$9:$CD$508,$CD440,$CF$9:$CF$508,"&lt;"&amp;$CF440)+COUNTIFS($CD$9:$CD$508,$CD440,$CF$9:$CF$508,$CF440,$CH$9:$CH$508,"&lt;"&amp;$CH440)+COUNTIFS($CD$9:$CD$508,$CD440,$CF$9:$CF$508,$CF440,$CH$9:$CH$508,$CH440,$CJ$9:$CJ$508,"&lt;"&amp;$CJ440)+COUNTIFS($CD$9:$CD$508,$CD440,$CF$9:$CF$508,$CF440,$CH$9:$CH$508,$CH440,$CJ$9:$CJ$508,$CJ440,$CL$9:$CL$508,"&lt;"&amp;$CL440)+1))</f>
        <v/>
      </c>
      <c r="CN440" s="135" t="str">
        <f aca="false">IF(ISBLANK($C440),"",IF($BX440&lt;&gt;Constants!$B$6,$BX440,$CD440-$CM440))</f>
        <v/>
      </c>
      <c r="CO440" s="141"/>
      <c r="CP440" s="142"/>
      <c r="CQ440" s="143" t="str">
        <f aca="false">IF(ISBLANK($C440),"",IF($BX440=Constants!$B$10,$BW440,""))</f>
        <v/>
      </c>
      <c r="CR440" s="142" t="str">
        <f aca="false">IF(ISBLANK($C440),"",IF($BX440&lt;&gt;Constants!$B$6,"",IF($BL440="-&gt;",2,1)))</f>
        <v/>
      </c>
      <c r="CS440" s="144" t="str">
        <f aca="false">IF(ISBLANK($C440),"",IF($BX440&lt;&gt;Constants!$B$6,"",IF($BL440="-&gt;",$BN440,$BC440)))</f>
        <v/>
      </c>
      <c r="CT440" s="144" t="str">
        <f aca="false">IF(ISBLANK($C440),"",IF($BX440&lt;&gt;Constants!$B$6,"",IF($BL440="-&gt;",$BO440,$BD440)))</f>
        <v/>
      </c>
      <c r="CU440" s="144" t="str">
        <f aca="false">IF(ISBLANK($C440),"",IF($BX440&lt;&gt;Constants!$B$6,"",IF($BL440="-&gt;",$BP440+$BQ440,$BE440+$BF440)+$CB440))</f>
        <v/>
      </c>
      <c r="CV440" s="144" t="str">
        <f aca="false">IF(ISBLANK($C440),"",IF($BX440&lt;&gt;Constants!$B$6,"",IF($BL440="-&gt;",$BR440,$BG440)+$CA440))</f>
        <v/>
      </c>
      <c r="CW440" s="145" t="str">
        <f aca="false">IF(ISBLANK($C440),"",IF($BX440&lt;&gt;Constants!$B$6,$BX440,$CC440))</f>
        <v/>
      </c>
      <c r="CX440" s="146" t="str">
        <f aca="false">IF(ISBLANK($C440),"",$BY440)</f>
        <v/>
      </c>
      <c r="CY440" s="147" t="str">
        <f aca="false">IF(ISBLANK($C440),"",$CN440)</f>
        <v/>
      </c>
      <c r="CZ440" s="147" t="str">
        <f aca="false">IF(ISBLANK($C440),"",$CM440)</f>
        <v/>
      </c>
      <c r="DA440" s="148" t="str">
        <f aca="false">IF(ISBLANK($C440),"",IFERROR(_xlfn.SWITCH($CZ440,Constants!$B$9,COUNTA($C$9:$C$508)+2,Constants!$B$8,COUNTA($C$9:$C$508)+1,Constants!$B$7,COUNTA($C$9:$C$508)),$CZ440))</f>
        <v/>
      </c>
      <c r="DB440" s="9"/>
      <c r="DC440" s="149" t="n">
        <f aca="false">IF(OR(ISNUMBER($CZ440),$CZ440=Constants!$B$9,$CZ440=Constants!$B$7,$CZ440=Constants!$B$8),1,0)</f>
        <v>0</v>
      </c>
      <c r="DD440" s="149" t="n">
        <v>432</v>
      </c>
      <c r="DE440" s="149" t="str">
        <f aca="false">IF(ISBLANK($C440),"",IF(ISNUMBER($DA440),$DA440+ROW($B440)/1000,""))</f>
        <v/>
      </c>
      <c r="DF440" s="149" t="str">
        <f aca="false">IF(ISNUMBER($DE440),RANK($DE440,$DE$9:$DE$508,1),"")</f>
        <v/>
      </c>
      <c r="DG440" s="149" t="str">
        <f aca="false">IF(ISBLANK($C440),"",$B440)</f>
        <v/>
      </c>
      <c r="DH440" s="149" t="str">
        <f aca="false">IF(ISBLANK($C440),"",$C440)</f>
        <v/>
      </c>
      <c r="DI440" s="149" t="str">
        <f aca="false">IF(ISBLANK($C440),"",$D440)</f>
        <v/>
      </c>
      <c r="DJ440" s="150" t="str">
        <f aca="false">$CX440</f>
        <v/>
      </c>
      <c r="DK440" s="151" t="str">
        <f aca="false">$CW440</f>
        <v/>
      </c>
      <c r="DL440" s="149" t="str">
        <f aca="false">IF(ISBLANK($C440),"",$CZ440)</f>
        <v/>
      </c>
      <c r="DM440" s="152" t="str">
        <f aca="false">IF($DD440&gt;$DC$8,"",VLOOKUP($DD440,$DF$9:$DL$508,7,FALSE()))</f>
        <v/>
      </c>
      <c r="DN440" s="153" t="str">
        <f aca="false">IF($DD440&gt;$DC$8,"",VLOOKUP($DD440,$DF$9:$DL$508,2,FALSE()))</f>
        <v/>
      </c>
      <c r="DO440" s="153" t="str">
        <f aca="false">IF($DD440&gt;$DC$8,"",VLOOKUP($DD440,$DF$9:$DL$508,3,FALSE()))</f>
        <v/>
      </c>
      <c r="DP440" s="153" t="str">
        <f aca="false">IF($DD440&gt;$DC$8,"",VLOOKUP($DD440,$DF$9:$DL$508,4,FALSE()))</f>
        <v/>
      </c>
      <c r="DQ440" s="153" t="str">
        <f aca="false">IF($DD440&gt;$DC$8,"",VLOOKUP($DD440,$DF$9:$DL$508,5,FALSE()))</f>
        <v/>
      </c>
      <c r="DR440" s="154" t="str">
        <f aca="false">IF($DD440&gt;$DC$8,"",VLOOKUP($DD440,$DF$9:$DL$508,6,FALSE()))</f>
        <v/>
      </c>
      <c r="DS440" s="76"/>
    </row>
    <row r="441" customFormat="false" ht="15.75" hidden="false" customHeight="false" outlineLevel="0" collapsed="false">
      <c r="A441" s="9"/>
      <c r="B441" s="78"/>
      <c r="C441" s="79"/>
      <c r="D441" s="170"/>
      <c r="E441" s="178"/>
      <c r="F441" s="172"/>
      <c r="G441" s="173"/>
      <c r="H441" s="173"/>
      <c r="I441" s="179"/>
      <c r="J441" s="176"/>
      <c r="K441" s="86"/>
      <c r="L441" s="87"/>
      <c r="M441" s="88"/>
      <c r="N441" s="176"/>
      <c r="O441" s="176"/>
      <c r="P441" s="178"/>
      <c r="Q441" s="176"/>
      <c r="R441" s="176"/>
      <c r="S441" s="86"/>
      <c r="T441" s="88"/>
      <c r="U441" s="88"/>
      <c r="V441" s="176"/>
      <c r="W441" s="176"/>
      <c r="X441" s="178"/>
      <c r="Y441" s="176"/>
      <c r="Z441" s="177"/>
      <c r="AA441" s="176"/>
      <c r="AB441" s="92"/>
      <c r="AC441" s="93"/>
      <c r="AD441" s="93"/>
      <c r="AE441" s="93"/>
      <c r="AF441" s="93" t="str">
        <f aca="false">IF(ISBLANK($C441),"",IF(E441=Constants!$B$2,TRUE(),IF(E441=Constants!$B$3,FALSE(),TRUE())))</f>
        <v/>
      </c>
      <c r="AG441" s="93" t="str">
        <f aca="false">IF(ISBLANK($C441),"",IF(F441=Constants!$B$2,TRUE(),IF(F441=Constants!$B$3,FALSE(),TRUE())))</f>
        <v/>
      </c>
      <c r="AH441" s="93" t="str">
        <f aca="false">IF(ISBLANK($C441),"",IF(G441=Constants!$B$2,TRUE(),IF(G441=Constants!$B$3,FALSE(),TRUE())))</f>
        <v/>
      </c>
      <c r="AI441" s="93" t="str">
        <f aca="false">IF(ISBLANK($C441),"",IF(AND(ISNUMBER(H441),H441&gt;=0),H441,Constants!$B$24))</f>
        <v/>
      </c>
      <c r="AJ441" s="93" t="str">
        <f aca="false">IF(ISBLANK($C441),"",IF(I441=Constants!$B$2,TRUE(),IF(I441=Constants!$B$3,FALSE(),TRUE())))</f>
        <v/>
      </c>
      <c r="AK441" s="93" t="str">
        <f aca="false">IF(ISBLANK($C441),"",IF(J441=Constants!$B$2,TRUE(),IF(J441=Constants!$B$3,FALSE(),TRUE())))</f>
        <v/>
      </c>
      <c r="AL441" s="93" t="str">
        <f aca="false">IF(ISBLANK($C441),"",IF(K441=Constants!$B$4,TRUE(),IF(K441=Constants!$B$5,FALSE(),COUNTA(L441:P441)&gt;0)))</f>
        <v/>
      </c>
      <c r="AM441" s="95" t="str">
        <f aca="false">IF(ISBLANK($C441),"",IF(ISNUMBER(L441),IF(L441&gt;=0,L441,""),""))</f>
        <v/>
      </c>
      <c r="AN441" s="94" t="str">
        <f aca="false">IF(ISBLANK($C441),"",IF(ISNUMBER(M441),IF(M441&gt;=0,M441,""),""))</f>
        <v/>
      </c>
      <c r="AO441" s="94" t="str">
        <f aca="false">IF(ISBLANK($C441),"",IF(N441=Constants!$B$2,TRUE(),IF(N441=Constants!$B$3,FALSE(),TRUE())))</f>
        <v/>
      </c>
      <c r="AP441" s="93" t="str">
        <f aca="false">IF(ISBLANK($C441),"",IF(ISNUMBER(O441),IF(O441&gt;=0,O441,""),""))</f>
        <v/>
      </c>
      <c r="AQ441" s="93" t="str">
        <f aca="false">IF(ISBLANK($C441),"",IF(P441=Constants!$B$2,TRUE(),IF(P441=Constants!$B$3,FALSE(),FALSE())))</f>
        <v/>
      </c>
      <c r="AR441" s="93" t="str">
        <f aca="false">IF(ISBLANK($C441),"",IF(Q441=Constants!$B$2,TRUE(),IF(Q441=Constants!$B$3,FALSE(),TRUE())))</f>
        <v/>
      </c>
      <c r="AS441" s="93" t="str">
        <f aca="false">IF(ISBLANK($C441),"",IF(R441=Constants!$B$2,TRUE(),IF(R441=Constants!$B$3,FALSE(),TRUE())))</f>
        <v/>
      </c>
      <c r="AT441" s="93" t="str">
        <f aca="false">IF(ISBLANK($C441),"",IF(S441=Constants!$B$4,TRUE(),IF(S441=Constants!$B$5,FALSE(),COUNTA(T441:X441)&gt;0)))</f>
        <v/>
      </c>
      <c r="AU441" s="95" t="str">
        <f aca="false">IF(ISBLANK($C441),"",IF(ISNUMBER(T441),IF(T441&gt;=0,T441,""),""))</f>
        <v/>
      </c>
      <c r="AV441" s="94" t="str">
        <f aca="false">IF(ISBLANK($C441),"",IF(ISNUMBER(U441),IF(U441&gt;=0,U441,""),""))</f>
        <v/>
      </c>
      <c r="AW441" s="94" t="str">
        <f aca="false">IF(ISBLANK($C441),"",IF(V441=Constants!$B$2,TRUE(),IF(V441=Constants!$B$3,FALSE(),TRUE())))</f>
        <v/>
      </c>
      <c r="AX441" s="93" t="str">
        <f aca="false">IF(ISBLANK($C441),"",IF(ISNUMBER(W441),IF(W441&gt;=0,W441,""),""))</f>
        <v/>
      </c>
      <c r="AY441" s="93" t="str">
        <f aca="false">IF(ISBLANK($C441),"",IF(X441=Constants!$B$2,TRUE(),IF(X441=Constants!$B$3,FALSE(),FALSE())))</f>
        <v/>
      </c>
      <c r="AZ441" s="93" t="str">
        <f aca="false">IF(ISBLANK($C441),"",MIN(Constants!$B$25,MAX(0,IF(ISNUMBER(Y441),Y441*60,0)+IF(ISNUMBER(Z441),Z441,0))))</f>
        <v/>
      </c>
      <c r="BA441" s="93" t="str">
        <f aca="false">IF(ISBLANK($C441),"",IF(AA441=Constants!$B$2,TRUE(),IF(AA441=Constants!$B$3,FALSE(),FALSE())))</f>
        <v/>
      </c>
      <c r="BB441" s="92" t="str">
        <f aca="false">IF(ISBLANK($C441),"",AND($AL441,OR($AM441="",$AN441="",AND($AO441,$AP441=""))))</f>
        <v/>
      </c>
      <c r="BC441" s="94" t="str">
        <f aca="false">IF($BX441&lt;&gt;Constants!$B$6,"",IF($AL441,Constants!$B$17*$AN441+Constants!$B$18*IF($AO441,$AP441,Constants!$B$19),Constants!$B$20))</f>
        <v/>
      </c>
      <c r="BD441" s="97" t="str">
        <f aca="false">IF($BX441&lt;&gt;Constants!$B$6,"",Constants!$B$21*ABS($AD$9-IF($AL441,$AM441,0)))</f>
        <v/>
      </c>
      <c r="BE441" s="97" t="str">
        <f aca="false">IF($BX441&lt;&gt;Constants!$B$6,"",IF(AND($AL441,$AQ441,$AO441),Constants!$B$22,0))</f>
        <v/>
      </c>
      <c r="BF441" s="97" t="str">
        <f aca="false">IF($BX441&lt;&gt;Constants!$B$6,"",IF($AL441,($AI441-Constants!$B$24)*Constants!$B$23,0))</f>
        <v/>
      </c>
      <c r="BG441" s="97" t="str">
        <f aca="false">IF($BX441&lt;&gt;Constants!$B$6,"",IF($AK441,0,Constants!$B$12)+IF($AJ441,0,Constants!$B$13)+IF($AH441,0,Constants!$B$14))</f>
        <v/>
      </c>
      <c r="BH441" s="98" t="str">
        <f aca="false">IF($BX441&lt;&gt;Constants!$B$6,"",Constants!$B$16+SUM($BC441:$BG441))</f>
        <v/>
      </c>
      <c r="BI441" s="97" t="str">
        <f aca="false">IF($BX441&lt;&gt;Constants!$B$6,"",$BC441)</f>
        <v/>
      </c>
      <c r="BJ441" s="97" t="str">
        <f aca="false">IF($BX441&lt;&gt;Constants!$B$6,"",$BD441)</f>
        <v/>
      </c>
      <c r="BK441" s="99" t="str">
        <f aca="false">IF($BX441&lt;&gt;Constants!$B$6,"",IF($AL441,$AN441,""))</f>
        <v/>
      </c>
      <c r="BL441" s="93" t="str">
        <f aca="false">IF($BX441&lt;&gt;Constants!$B$6,"",IF(OR($BS441&lt;$BH441,AND($BS441=$BH441,OR($BT441&lt;$BI441,AND($BT441=$BI441,OR($BU441&lt;$BJ441,AND($BU441=$BJ441,AND(ISNUMBER($BV441),OR(NOT(ISNUMBER($BK441)),$BV441&lt;$BK441)))))))),"-&gt;","&lt;-"))</f>
        <v/>
      </c>
      <c r="BM441" s="92" t="str">
        <f aca="false">IF(ISBLANK($C441),"",AND($AT441,OR($AU441="",$AV441="",AND($AW441,$AX441=""))))</f>
        <v/>
      </c>
      <c r="BN441" s="94" t="str">
        <f aca="false">IF($BX441&lt;&gt;Constants!$B$6,"",IF($AT441,Constants!$B$17*$AV441+Constants!$B$18*IF($AW441,$AX441,Constants!$B$19),Constants!$B$20))</f>
        <v/>
      </c>
      <c r="BO441" s="97" t="str">
        <f aca="false">IF($BX441&lt;&gt;Constants!$B$6,"",Constants!$B$21*ABS($AD$9-IF($AT441,$AU441,0)))</f>
        <v/>
      </c>
      <c r="BP441" s="97" t="str">
        <f aca="false">IF($BX441&lt;&gt;Constants!$B$6,"",IF(AND($AT441,$AY441,$AW441),Constants!$B$22,0))</f>
        <v/>
      </c>
      <c r="BQ441" s="97" t="str">
        <f aca="false">IF($BX441&lt;&gt;Constants!$B$6,"",IF($AT441,($AI441-Constants!$B$24)*Constants!$B$23,0))</f>
        <v/>
      </c>
      <c r="BR441" s="97" t="str">
        <f aca="false">IF($BX441&lt;&gt;Constants!$B$6,"",IF($AS441,0,Constants!$B$12)+IF($AR441,0,Constants!$B$13)+IF($AH441,0,Constants!$B$14))</f>
        <v/>
      </c>
      <c r="BS441" s="98" t="str">
        <f aca="false">IF($BX441&lt;&gt;Constants!$B$6,"",Constants!$B$16+SUM($BN441:$BR441))</f>
        <v/>
      </c>
      <c r="BT441" s="97" t="str">
        <f aca="false">IF($BX441&lt;&gt;Constants!$B$6,"",$BN441)</f>
        <v/>
      </c>
      <c r="BU441" s="97" t="str">
        <f aca="false">IF($BX441&lt;&gt;Constants!$B$6,"",$BO441)</f>
        <v/>
      </c>
      <c r="BV441" s="99" t="str">
        <f aca="false">IF($BX441&lt;&gt;Constants!$B$6,"",IF($AT441,$AV441,""))</f>
        <v/>
      </c>
      <c r="BW441" s="93" t="str">
        <f aca="false">IF(ISBLANK($C441),"",IF(ISBLANK($D$7),$BW$5,IF(NOT(ISNUMBER($D$7)),$BW$6,"")))</f>
        <v/>
      </c>
      <c r="BX441" s="93" t="str">
        <f aca="false">IF(ISBLANK($C441),"",IF($BA441,Constants!$B$9,IF(COUNTA($E441:$AA441)=0,Constants!$B$8,IF(NOT($AG441),Constants!$B$7,IF(OR($BW441&lt;&gt;"",$BB441,$BM441),Constants!$B$10,Constants!$B$6)))))</f>
        <v/>
      </c>
      <c r="BY441" s="93" t="str">
        <f aca="false">IF(ISBLANK($C441),"",IF($BX441&lt;&gt;Constants!$B$6,$BX441,Constants!$B$11))</f>
        <v/>
      </c>
      <c r="BZ441" s="97" t="str">
        <f aca="false">IF($BX441&lt;&gt;Constants!$B$6,"",IF($BL441="-&gt;",$BS441,$BH441))</f>
        <v/>
      </c>
      <c r="CA441" s="97" t="str">
        <f aca="false">IF($BX441&lt;&gt;Constants!$B$6,"",IF($AF441,0,Constants!$B$15))</f>
        <v/>
      </c>
      <c r="CB441" s="97" t="str">
        <f aca="false">IF($BX441&lt;&gt;Constants!$B$6,"",((Constants!$B$25-$AZ441)-Constants!$B$25)/Constants!$B$26)</f>
        <v/>
      </c>
      <c r="CC441" s="97" t="str">
        <f aca="false">IF(ISBLANK($C441),"",IF($BX441&lt;&gt;Constants!$B$6,$BX441,SUM($BZ441:$CB441)))</f>
        <v/>
      </c>
      <c r="CD441" s="93" t="str">
        <f aca="false">IF(ISBLANK($C441),"",IF($BX441&lt;&gt;Constants!$B$6,$BX441,RANK($CC441,$CC$9:$CC$508,1)))</f>
        <v/>
      </c>
      <c r="CE441" s="97" t="str">
        <f aca="false">IF($BX441&lt;&gt;Constants!$B$6,"",IF($BL441="-&gt;",$BT441,$BI441))</f>
        <v/>
      </c>
      <c r="CF441" s="93" t="str">
        <f aca="false">IF(ISBLANK($C441),"",IF($BX441&lt;&gt;Constants!$B$6,$BX441,IF(ISNUMBER($CE441),RANK($CE441,$CE$9:$CE$508,1),COUNT($CE$9:$CE$508)+1)))</f>
        <v/>
      </c>
      <c r="CG441" s="97" t="str">
        <f aca="false">IF($BX441&lt;&gt;Constants!$B$6,"",IF($BL441="-&gt;",$BU441,$BJ441))</f>
        <v/>
      </c>
      <c r="CH441" s="93" t="str">
        <f aca="false">IF(ISBLANK($C441),"",IF($BX441&lt;&gt;Constants!$B$6,$BX441,IF(ISNUMBER($CG441),RANK($CG441,$CG$9:$CG$508,1),COUNT($CG$9:$CG$508)+1)))</f>
        <v/>
      </c>
      <c r="CI441" s="97" t="str">
        <f aca="false">IF($BX441&lt;&gt;Constants!$B$6,"",IF($BL441="-&gt;",$BV441,$BK441))</f>
        <v/>
      </c>
      <c r="CJ441" s="93" t="str">
        <f aca="false">IF(ISBLANK($C441),"",IF($BX441&lt;&gt;Constants!$B$6,$BX441,IF(ISNUMBER($CI441),RANK($CI441,$CI$9:$CI$508,1),COUNT($CI$9:$CI$508)+1)))</f>
        <v/>
      </c>
      <c r="CK441" s="97" t="str">
        <f aca="false">IF($BX441&lt;&gt;Constants!$B$6,"",$AI441)</f>
        <v/>
      </c>
      <c r="CL441" s="93" t="str">
        <f aca="false">IF(ISBLANK($C441),"",IF($BX441&lt;&gt;Constants!$B$6,$BX441,IF(ISNUMBER($CK441),RANK($CK441,$CK$9:$CK$508,1),COUNT($CK$9:$CK$508)+1)))</f>
        <v/>
      </c>
      <c r="CM441" s="93" t="str">
        <f aca="false">IF(ISBLANK($C441),"",IF($BX441&lt;&gt;Constants!$B$6,$BX441,COUNTIFS($CD$9:$CD$508,"&lt;"&amp;$CD441)+COUNTIFS($CD$9:$CD$508,$CD441,$CF$9:$CF$508,"&lt;"&amp;$CF441)+COUNTIFS($CD$9:$CD$508,$CD441,$CF$9:$CF$508,$CF441,$CH$9:$CH$508,"&lt;"&amp;$CH441)+COUNTIFS($CD$9:$CD$508,$CD441,$CF$9:$CF$508,$CF441,$CH$9:$CH$508,$CH441,$CJ$9:$CJ$508,"&lt;"&amp;$CJ441)+COUNTIFS($CD$9:$CD$508,$CD441,$CF$9:$CF$508,$CF441,$CH$9:$CH$508,$CH441,$CJ$9:$CJ$508,$CJ441,$CL$9:$CL$508,"&lt;"&amp;$CL441)+1))</f>
        <v/>
      </c>
      <c r="CN441" s="93" t="str">
        <f aca="false">IF(ISBLANK($C441),"",IF($BX441&lt;&gt;Constants!$B$6,$BX441,$CD441-$CM441))</f>
        <v/>
      </c>
      <c r="CO441" s="100"/>
      <c r="CP441" s="101"/>
      <c r="CQ441" s="102" t="str">
        <f aca="false">IF(ISBLANK($C441),"",IF($BX441=Constants!$B$10,$BW441,""))</f>
        <v/>
      </c>
      <c r="CR441" s="101" t="str">
        <f aca="false">IF(ISBLANK($C441),"",IF($BX441&lt;&gt;Constants!$B$6,"",IF($BL441="-&gt;",2,1)))</f>
        <v/>
      </c>
      <c r="CS441" s="103" t="str">
        <f aca="false">IF(ISBLANK($C441),"",IF($BX441&lt;&gt;Constants!$B$6,"",IF($BL441="-&gt;",$BN441,$BC441)))</f>
        <v/>
      </c>
      <c r="CT441" s="103" t="str">
        <f aca="false">IF(ISBLANK($C441),"",IF($BX441&lt;&gt;Constants!$B$6,"",IF($BL441="-&gt;",$BO441,$BD441)))</f>
        <v/>
      </c>
      <c r="CU441" s="103" t="str">
        <f aca="false">IF(ISBLANK($C441),"",IF($BX441&lt;&gt;Constants!$B$6,"",IF($BL441="-&gt;",$BP441+$BQ441,$BE441+$BF441)+$CB441))</f>
        <v/>
      </c>
      <c r="CV441" s="103" t="str">
        <f aca="false">IF(ISBLANK($C441),"",IF($BX441&lt;&gt;Constants!$B$6,"",IF($BL441="-&gt;",$BR441,$BG441)+$CA441))</f>
        <v/>
      </c>
      <c r="CW441" s="104" t="str">
        <f aca="false">IF(ISBLANK($C441),"",IF($BX441&lt;&gt;Constants!$B$6,$BX441,$CC441))</f>
        <v/>
      </c>
      <c r="CX441" s="105" t="str">
        <f aca="false">IF(ISBLANK($C441),"",$BY441)</f>
        <v/>
      </c>
      <c r="CY441" s="106" t="str">
        <f aca="false">IF(ISBLANK($C441),"",$CN441)</f>
        <v/>
      </c>
      <c r="CZ441" s="106" t="str">
        <f aca="false">IF(ISBLANK($C441),"",$CM441)</f>
        <v/>
      </c>
      <c r="DA441" s="107" t="str">
        <f aca="false">IF(ISBLANK($C441),"",IFERROR(_xlfn.SWITCH($CZ441,Constants!$B$9,COUNTA($C$9:$C$508)+2,Constants!$B$8,COUNTA($C$9:$C$508)+1,Constants!$B$7,COUNTA($C$9:$C$508)),$CZ441))</f>
        <v/>
      </c>
      <c r="DB441" s="9"/>
      <c r="DC441" s="108" t="n">
        <f aca="false">IF(OR(ISNUMBER($CZ441),$CZ441=Constants!$B$9,$CZ441=Constants!$B$7,$CZ441=Constants!$B$8),1,0)</f>
        <v>0</v>
      </c>
      <c r="DD441" s="108" t="n">
        <v>433</v>
      </c>
      <c r="DE441" s="108" t="str">
        <f aca="false">IF(ISBLANK($C441),"",IF(ISNUMBER($DA441),$DA441+ROW($B441)/1000,""))</f>
        <v/>
      </c>
      <c r="DF441" s="108" t="str">
        <f aca="false">IF(ISNUMBER($DE441),RANK($DE441,$DE$9:$DE$508,1),"")</f>
        <v/>
      </c>
      <c r="DG441" s="108" t="str">
        <f aca="false">IF(ISBLANK($C441),"",$B441)</f>
        <v/>
      </c>
      <c r="DH441" s="108" t="str">
        <f aca="false">IF(ISBLANK($C441),"",$C441)</f>
        <v/>
      </c>
      <c r="DI441" s="108" t="str">
        <f aca="false">IF(ISBLANK($C441),"",$D441)</f>
        <v/>
      </c>
      <c r="DJ441" s="109" t="str">
        <f aca="false">$CX441</f>
        <v/>
      </c>
      <c r="DK441" s="110" t="str">
        <f aca="false">$CW441</f>
        <v/>
      </c>
      <c r="DL441" s="108" t="str">
        <f aca="false">IF(ISBLANK($C441),"",$CZ441)</f>
        <v/>
      </c>
      <c r="DM441" s="111" t="str">
        <f aca="false">IF($DD441&gt;$DC$8,"",VLOOKUP($DD441,$DF$9:$DL$508,7,FALSE()))</f>
        <v/>
      </c>
      <c r="DN441" s="112" t="str">
        <f aca="false">IF($DD441&gt;$DC$8,"",VLOOKUP($DD441,$DF$9:$DL$508,2,FALSE()))</f>
        <v/>
      </c>
      <c r="DO441" s="112" t="str">
        <f aca="false">IF($DD441&gt;$DC$8,"",VLOOKUP($DD441,$DF$9:$DL$508,3,FALSE()))</f>
        <v/>
      </c>
      <c r="DP441" s="112" t="str">
        <f aca="false">IF($DD441&gt;$DC$8,"",VLOOKUP($DD441,$DF$9:$DL$508,4,FALSE()))</f>
        <v/>
      </c>
      <c r="DQ441" s="112" t="str">
        <f aca="false">IF($DD441&gt;$DC$8,"",VLOOKUP($DD441,$DF$9:$DL$508,5,FALSE()))</f>
        <v/>
      </c>
      <c r="DR441" s="113" t="str">
        <f aca="false">IF($DD441&gt;$DC$8,"",VLOOKUP($DD441,$DF$9:$DL$508,6,FALSE()))</f>
        <v/>
      </c>
      <c r="DS441" s="76"/>
    </row>
    <row r="442" customFormat="false" ht="15.75" hidden="false" customHeight="false" outlineLevel="0" collapsed="false">
      <c r="A442" s="9"/>
      <c r="B442" s="78"/>
      <c r="C442" s="79"/>
      <c r="D442" s="170"/>
      <c r="E442" s="178"/>
      <c r="F442" s="172"/>
      <c r="G442" s="173"/>
      <c r="H442" s="173"/>
      <c r="I442" s="179"/>
      <c r="J442" s="176"/>
      <c r="K442" s="86"/>
      <c r="L442" s="87"/>
      <c r="M442" s="88"/>
      <c r="N442" s="176"/>
      <c r="O442" s="176"/>
      <c r="P442" s="178"/>
      <c r="Q442" s="176"/>
      <c r="R442" s="176"/>
      <c r="S442" s="86"/>
      <c r="T442" s="88"/>
      <c r="U442" s="88"/>
      <c r="V442" s="176"/>
      <c r="W442" s="176"/>
      <c r="X442" s="178"/>
      <c r="Y442" s="176"/>
      <c r="Z442" s="177"/>
      <c r="AA442" s="176"/>
      <c r="AB442" s="92"/>
      <c r="AC442" s="93"/>
      <c r="AD442" s="93"/>
      <c r="AE442" s="93"/>
      <c r="AF442" s="93" t="str">
        <f aca="false">IF(ISBLANK($C442),"",IF(E442=Constants!$B$2,TRUE(),IF(E442=Constants!$B$3,FALSE(),TRUE())))</f>
        <v/>
      </c>
      <c r="AG442" s="93" t="str">
        <f aca="false">IF(ISBLANK($C442),"",IF(F442=Constants!$B$2,TRUE(),IF(F442=Constants!$B$3,FALSE(),TRUE())))</f>
        <v/>
      </c>
      <c r="AH442" s="93" t="str">
        <f aca="false">IF(ISBLANK($C442),"",IF(G442=Constants!$B$2,TRUE(),IF(G442=Constants!$B$3,FALSE(),TRUE())))</f>
        <v/>
      </c>
      <c r="AI442" s="93" t="str">
        <f aca="false">IF(ISBLANK($C442),"",IF(AND(ISNUMBER(H442),H442&gt;=0),H442,Constants!$B$24))</f>
        <v/>
      </c>
      <c r="AJ442" s="93" t="str">
        <f aca="false">IF(ISBLANK($C442),"",IF(I442=Constants!$B$2,TRUE(),IF(I442=Constants!$B$3,FALSE(),TRUE())))</f>
        <v/>
      </c>
      <c r="AK442" s="93" t="str">
        <f aca="false">IF(ISBLANK($C442),"",IF(J442=Constants!$B$2,TRUE(),IF(J442=Constants!$B$3,FALSE(),TRUE())))</f>
        <v/>
      </c>
      <c r="AL442" s="93" t="str">
        <f aca="false">IF(ISBLANK($C442),"",IF(K442=Constants!$B$4,TRUE(),IF(K442=Constants!$B$5,FALSE(),COUNTA(L442:P442)&gt;0)))</f>
        <v/>
      </c>
      <c r="AM442" s="95" t="str">
        <f aca="false">IF(ISBLANK($C442),"",IF(ISNUMBER(L442),IF(L442&gt;=0,L442,""),""))</f>
        <v/>
      </c>
      <c r="AN442" s="94" t="str">
        <f aca="false">IF(ISBLANK($C442),"",IF(ISNUMBER(M442),IF(M442&gt;=0,M442,""),""))</f>
        <v/>
      </c>
      <c r="AO442" s="94" t="str">
        <f aca="false">IF(ISBLANK($C442),"",IF(N442=Constants!$B$2,TRUE(),IF(N442=Constants!$B$3,FALSE(),TRUE())))</f>
        <v/>
      </c>
      <c r="AP442" s="93" t="str">
        <f aca="false">IF(ISBLANK($C442),"",IF(ISNUMBER(O442),IF(O442&gt;=0,O442,""),""))</f>
        <v/>
      </c>
      <c r="AQ442" s="93" t="str">
        <f aca="false">IF(ISBLANK($C442),"",IF(P442=Constants!$B$2,TRUE(),IF(P442=Constants!$B$3,FALSE(),FALSE())))</f>
        <v/>
      </c>
      <c r="AR442" s="93" t="str">
        <f aca="false">IF(ISBLANK($C442),"",IF(Q442=Constants!$B$2,TRUE(),IF(Q442=Constants!$B$3,FALSE(),TRUE())))</f>
        <v/>
      </c>
      <c r="AS442" s="93" t="str">
        <f aca="false">IF(ISBLANK($C442),"",IF(R442=Constants!$B$2,TRUE(),IF(R442=Constants!$B$3,FALSE(),TRUE())))</f>
        <v/>
      </c>
      <c r="AT442" s="93" t="str">
        <f aca="false">IF(ISBLANK($C442),"",IF(S442=Constants!$B$4,TRUE(),IF(S442=Constants!$B$5,FALSE(),COUNTA(T442:X442)&gt;0)))</f>
        <v/>
      </c>
      <c r="AU442" s="95" t="str">
        <f aca="false">IF(ISBLANK($C442),"",IF(ISNUMBER(T442),IF(T442&gt;=0,T442,""),""))</f>
        <v/>
      </c>
      <c r="AV442" s="94" t="str">
        <f aca="false">IF(ISBLANK($C442),"",IF(ISNUMBER(U442),IF(U442&gt;=0,U442,""),""))</f>
        <v/>
      </c>
      <c r="AW442" s="94" t="str">
        <f aca="false">IF(ISBLANK($C442),"",IF(V442=Constants!$B$2,TRUE(),IF(V442=Constants!$B$3,FALSE(),TRUE())))</f>
        <v/>
      </c>
      <c r="AX442" s="93" t="str">
        <f aca="false">IF(ISBLANK($C442),"",IF(ISNUMBER(W442),IF(W442&gt;=0,W442,""),""))</f>
        <v/>
      </c>
      <c r="AY442" s="93" t="str">
        <f aca="false">IF(ISBLANK($C442),"",IF(X442=Constants!$B$2,TRUE(),IF(X442=Constants!$B$3,FALSE(),FALSE())))</f>
        <v/>
      </c>
      <c r="AZ442" s="93" t="str">
        <f aca="false">IF(ISBLANK($C442),"",MIN(Constants!$B$25,MAX(0,IF(ISNUMBER(Y442),Y442*60,0)+IF(ISNUMBER(Z442),Z442,0))))</f>
        <v/>
      </c>
      <c r="BA442" s="93" t="str">
        <f aca="false">IF(ISBLANK($C442),"",IF(AA442=Constants!$B$2,TRUE(),IF(AA442=Constants!$B$3,FALSE(),FALSE())))</f>
        <v/>
      </c>
      <c r="BB442" s="92" t="str">
        <f aca="false">IF(ISBLANK($C442),"",AND($AL442,OR($AM442="",$AN442="",AND($AO442,$AP442=""))))</f>
        <v/>
      </c>
      <c r="BC442" s="94" t="str">
        <f aca="false">IF($BX442&lt;&gt;Constants!$B$6,"",IF($AL442,Constants!$B$17*$AN442+Constants!$B$18*IF($AO442,$AP442,Constants!$B$19),Constants!$B$20))</f>
        <v/>
      </c>
      <c r="BD442" s="97" t="str">
        <f aca="false">IF($BX442&lt;&gt;Constants!$B$6,"",Constants!$B$21*ABS($AD$9-IF($AL442,$AM442,0)))</f>
        <v/>
      </c>
      <c r="BE442" s="97" t="str">
        <f aca="false">IF($BX442&lt;&gt;Constants!$B$6,"",IF(AND($AL442,$AQ442,$AO442),Constants!$B$22,0))</f>
        <v/>
      </c>
      <c r="BF442" s="97" t="str">
        <f aca="false">IF($BX442&lt;&gt;Constants!$B$6,"",IF($AL442,($AI442-Constants!$B$24)*Constants!$B$23,0))</f>
        <v/>
      </c>
      <c r="BG442" s="97" t="str">
        <f aca="false">IF($BX442&lt;&gt;Constants!$B$6,"",IF($AK442,0,Constants!$B$12)+IF($AJ442,0,Constants!$B$13)+IF($AH442,0,Constants!$B$14))</f>
        <v/>
      </c>
      <c r="BH442" s="98" t="str">
        <f aca="false">IF($BX442&lt;&gt;Constants!$B$6,"",Constants!$B$16+SUM($BC442:$BG442))</f>
        <v/>
      </c>
      <c r="BI442" s="97" t="str">
        <f aca="false">IF($BX442&lt;&gt;Constants!$B$6,"",$BC442)</f>
        <v/>
      </c>
      <c r="BJ442" s="97" t="str">
        <f aca="false">IF($BX442&lt;&gt;Constants!$B$6,"",$BD442)</f>
        <v/>
      </c>
      <c r="BK442" s="99" t="str">
        <f aca="false">IF($BX442&lt;&gt;Constants!$B$6,"",IF($AL442,$AN442,""))</f>
        <v/>
      </c>
      <c r="BL442" s="93" t="str">
        <f aca="false">IF($BX442&lt;&gt;Constants!$B$6,"",IF(OR($BS442&lt;$BH442,AND($BS442=$BH442,OR($BT442&lt;$BI442,AND($BT442=$BI442,OR($BU442&lt;$BJ442,AND($BU442=$BJ442,AND(ISNUMBER($BV442),OR(NOT(ISNUMBER($BK442)),$BV442&lt;$BK442)))))))),"-&gt;","&lt;-"))</f>
        <v/>
      </c>
      <c r="BM442" s="92" t="str">
        <f aca="false">IF(ISBLANK($C442),"",AND($AT442,OR($AU442="",$AV442="",AND($AW442,$AX442=""))))</f>
        <v/>
      </c>
      <c r="BN442" s="94" t="str">
        <f aca="false">IF($BX442&lt;&gt;Constants!$B$6,"",IF($AT442,Constants!$B$17*$AV442+Constants!$B$18*IF($AW442,$AX442,Constants!$B$19),Constants!$B$20))</f>
        <v/>
      </c>
      <c r="BO442" s="97" t="str">
        <f aca="false">IF($BX442&lt;&gt;Constants!$B$6,"",Constants!$B$21*ABS($AD$9-IF($AT442,$AU442,0)))</f>
        <v/>
      </c>
      <c r="BP442" s="97" t="str">
        <f aca="false">IF($BX442&lt;&gt;Constants!$B$6,"",IF(AND($AT442,$AY442,$AW442),Constants!$B$22,0))</f>
        <v/>
      </c>
      <c r="BQ442" s="97" t="str">
        <f aca="false">IF($BX442&lt;&gt;Constants!$B$6,"",IF($AT442,($AI442-Constants!$B$24)*Constants!$B$23,0))</f>
        <v/>
      </c>
      <c r="BR442" s="97" t="str">
        <f aca="false">IF($BX442&lt;&gt;Constants!$B$6,"",IF($AS442,0,Constants!$B$12)+IF($AR442,0,Constants!$B$13)+IF($AH442,0,Constants!$B$14))</f>
        <v/>
      </c>
      <c r="BS442" s="98" t="str">
        <f aca="false">IF($BX442&lt;&gt;Constants!$B$6,"",Constants!$B$16+SUM($BN442:$BR442))</f>
        <v/>
      </c>
      <c r="BT442" s="97" t="str">
        <f aca="false">IF($BX442&lt;&gt;Constants!$B$6,"",$BN442)</f>
        <v/>
      </c>
      <c r="BU442" s="97" t="str">
        <f aca="false">IF($BX442&lt;&gt;Constants!$B$6,"",$BO442)</f>
        <v/>
      </c>
      <c r="BV442" s="99" t="str">
        <f aca="false">IF($BX442&lt;&gt;Constants!$B$6,"",IF($AT442,$AV442,""))</f>
        <v/>
      </c>
      <c r="BW442" s="93" t="str">
        <f aca="false">IF(ISBLANK($C442),"",IF(ISBLANK($D$7),$BW$5,IF(NOT(ISNUMBER($D$7)),$BW$6,"")))</f>
        <v/>
      </c>
      <c r="BX442" s="93" t="str">
        <f aca="false">IF(ISBLANK($C442),"",IF($BA442,Constants!$B$9,IF(COUNTA($E442:$AA442)=0,Constants!$B$8,IF(NOT($AG442),Constants!$B$7,IF(OR($BW442&lt;&gt;"",$BB442,$BM442),Constants!$B$10,Constants!$B$6)))))</f>
        <v/>
      </c>
      <c r="BY442" s="93" t="str">
        <f aca="false">IF(ISBLANK($C442),"",IF($BX442&lt;&gt;Constants!$B$6,$BX442,Constants!$B$11))</f>
        <v/>
      </c>
      <c r="BZ442" s="97" t="str">
        <f aca="false">IF($BX442&lt;&gt;Constants!$B$6,"",IF($BL442="-&gt;",$BS442,$BH442))</f>
        <v/>
      </c>
      <c r="CA442" s="97" t="str">
        <f aca="false">IF($BX442&lt;&gt;Constants!$B$6,"",IF($AF442,0,Constants!$B$15))</f>
        <v/>
      </c>
      <c r="CB442" s="97" t="str">
        <f aca="false">IF($BX442&lt;&gt;Constants!$B$6,"",((Constants!$B$25-$AZ442)-Constants!$B$25)/Constants!$B$26)</f>
        <v/>
      </c>
      <c r="CC442" s="97" t="str">
        <f aca="false">IF(ISBLANK($C442),"",IF($BX442&lt;&gt;Constants!$B$6,$BX442,SUM($BZ442:$CB442)))</f>
        <v/>
      </c>
      <c r="CD442" s="93" t="str">
        <f aca="false">IF(ISBLANK($C442),"",IF($BX442&lt;&gt;Constants!$B$6,$BX442,RANK($CC442,$CC$9:$CC$508,1)))</f>
        <v/>
      </c>
      <c r="CE442" s="97" t="str">
        <f aca="false">IF($BX442&lt;&gt;Constants!$B$6,"",IF($BL442="-&gt;",$BT442,$BI442))</f>
        <v/>
      </c>
      <c r="CF442" s="93" t="str">
        <f aca="false">IF(ISBLANK($C442),"",IF($BX442&lt;&gt;Constants!$B$6,$BX442,IF(ISNUMBER($CE442),RANK($CE442,$CE$9:$CE$508,1),COUNT($CE$9:$CE$508)+1)))</f>
        <v/>
      </c>
      <c r="CG442" s="97" t="str">
        <f aca="false">IF($BX442&lt;&gt;Constants!$B$6,"",IF($BL442="-&gt;",$BU442,$BJ442))</f>
        <v/>
      </c>
      <c r="CH442" s="93" t="str">
        <f aca="false">IF(ISBLANK($C442),"",IF($BX442&lt;&gt;Constants!$B$6,$BX442,IF(ISNUMBER($CG442),RANK($CG442,$CG$9:$CG$508,1),COUNT($CG$9:$CG$508)+1)))</f>
        <v/>
      </c>
      <c r="CI442" s="97" t="str">
        <f aca="false">IF($BX442&lt;&gt;Constants!$B$6,"",IF($BL442="-&gt;",$BV442,$BK442))</f>
        <v/>
      </c>
      <c r="CJ442" s="93" t="str">
        <f aca="false">IF(ISBLANK($C442),"",IF($BX442&lt;&gt;Constants!$B$6,$BX442,IF(ISNUMBER($CI442),RANK($CI442,$CI$9:$CI$508,1),COUNT($CI$9:$CI$508)+1)))</f>
        <v/>
      </c>
      <c r="CK442" s="97" t="str">
        <f aca="false">IF($BX442&lt;&gt;Constants!$B$6,"",$AI442)</f>
        <v/>
      </c>
      <c r="CL442" s="93" t="str">
        <f aca="false">IF(ISBLANK($C442),"",IF($BX442&lt;&gt;Constants!$B$6,$BX442,IF(ISNUMBER($CK442),RANK($CK442,$CK$9:$CK$508,1),COUNT($CK$9:$CK$508)+1)))</f>
        <v/>
      </c>
      <c r="CM442" s="93" t="str">
        <f aca="false">IF(ISBLANK($C442),"",IF($BX442&lt;&gt;Constants!$B$6,$BX442,COUNTIFS($CD$9:$CD$508,"&lt;"&amp;$CD442)+COUNTIFS($CD$9:$CD$508,$CD442,$CF$9:$CF$508,"&lt;"&amp;$CF442)+COUNTIFS($CD$9:$CD$508,$CD442,$CF$9:$CF$508,$CF442,$CH$9:$CH$508,"&lt;"&amp;$CH442)+COUNTIFS($CD$9:$CD$508,$CD442,$CF$9:$CF$508,$CF442,$CH$9:$CH$508,$CH442,$CJ$9:$CJ$508,"&lt;"&amp;$CJ442)+COUNTIFS($CD$9:$CD$508,$CD442,$CF$9:$CF$508,$CF442,$CH$9:$CH$508,$CH442,$CJ$9:$CJ$508,$CJ442,$CL$9:$CL$508,"&lt;"&amp;$CL442)+1))</f>
        <v/>
      </c>
      <c r="CN442" s="93" t="str">
        <f aca="false">IF(ISBLANK($C442),"",IF($BX442&lt;&gt;Constants!$B$6,$BX442,$CD442-$CM442))</f>
        <v/>
      </c>
      <c r="CO442" s="100"/>
      <c r="CP442" s="101"/>
      <c r="CQ442" s="102" t="str">
        <f aca="false">IF(ISBLANK($C442),"",IF($BX442=Constants!$B$10,$BW442,""))</f>
        <v/>
      </c>
      <c r="CR442" s="101" t="str">
        <f aca="false">IF(ISBLANK($C442),"",IF($BX442&lt;&gt;Constants!$B$6,"",IF($BL442="-&gt;",2,1)))</f>
        <v/>
      </c>
      <c r="CS442" s="103" t="str">
        <f aca="false">IF(ISBLANK($C442),"",IF($BX442&lt;&gt;Constants!$B$6,"",IF($BL442="-&gt;",$BN442,$BC442)))</f>
        <v/>
      </c>
      <c r="CT442" s="103" t="str">
        <f aca="false">IF(ISBLANK($C442),"",IF($BX442&lt;&gt;Constants!$B$6,"",IF($BL442="-&gt;",$BO442,$BD442)))</f>
        <v/>
      </c>
      <c r="CU442" s="103" t="str">
        <f aca="false">IF(ISBLANK($C442),"",IF($BX442&lt;&gt;Constants!$B$6,"",IF($BL442="-&gt;",$BP442+$BQ442,$BE442+$BF442)+$CB442))</f>
        <v/>
      </c>
      <c r="CV442" s="103" t="str">
        <f aca="false">IF(ISBLANK($C442),"",IF($BX442&lt;&gt;Constants!$B$6,"",IF($BL442="-&gt;",$BR442,$BG442)+$CA442))</f>
        <v/>
      </c>
      <c r="CW442" s="104" t="str">
        <f aca="false">IF(ISBLANK($C442),"",IF($BX442&lt;&gt;Constants!$B$6,$BX442,$CC442))</f>
        <v/>
      </c>
      <c r="CX442" s="105" t="str">
        <f aca="false">IF(ISBLANK($C442),"",$BY442)</f>
        <v/>
      </c>
      <c r="CY442" s="106" t="str">
        <f aca="false">IF(ISBLANK($C442),"",$CN442)</f>
        <v/>
      </c>
      <c r="CZ442" s="106" t="str">
        <f aca="false">IF(ISBLANK($C442),"",$CM442)</f>
        <v/>
      </c>
      <c r="DA442" s="107" t="str">
        <f aca="false">IF(ISBLANK($C442),"",IFERROR(_xlfn.SWITCH($CZ442,Constants!$B$9,COUNTA($C$9:$C$508)+2,Constants!$B$8,COUNTA($C$9:$C$508)+1,Constants!$B$7,COUNTA($C$9:$C$508)),$CZ442))</f>
        <v/>
      </c>
      <c r="DB442" s="9"/>
      <c r="DC442" s="108" t="n">
        <f aca="false">IF(OR(ISNUMBER($CZ442),$CZ442=Constants!$B$9,$CZ442=Constants!$B$7,$CZ442=Constants!$B$8),1,0)</f>
        <v>0</v>
      </c>
      <c r="DD442" s="108" t="n">
        <v>434</v>
      </c>
      <c r="DE442" s="108" t="str">
        <f aca="false">IF(ISBLANK($C442),"",IF(ISNUMBER($DA442),$DA442+ROW($B442)/1000,""))</f>
        <v/>
      </c>
      <c r="DF442" s="108" t="str">
        <f aca="false">IF(ISNUMBER($DE442),RANK($DE442,$DE$9:$DE$508,1),"")</f>
        <v/>
      </c>
      <c r="DG442" s="108" t="str">
        <f aca="false">IF(ISBLANK($C442),"",$B442)</f>
        <v/>
      </c>
      <c r="DH442" s="108" t="str">
        <f aca="false">IF(ISBLANK($C442),"",$C442)</f>
        <v/>
      </c>
      <c r="DI442" s="108" t="str">
        <f aca="false">IF(ISBLANK($C442),"",$D442)</f>
        <v/>
      </c>
      <c r="DJ442" s="109" t="str">
        <f aca="false">$CX442</f>
        <v/>
      </c>
      <c r="DK442" s="110" t="str">
        <f aca="false">$CW442</f>
        <v/>
      </c>
      <c r="DL442" s="108" t="str">
        <f aca="false">IF(ISBLANK($C442),"",$CZ442)</f>
        <v/>
      </c>
      <c r="DM442" s="111" t="str">
        <f aca="false">IF($DD442&gt;$DC$8,"",VLOOKUP($DD442,$DF$9:$DL$508,7,FALSE()))</f>
        <v/>
      </c>
      <c r="DN442" s="112" t="str">
        <f aca="false">IF($DD442&gt;$DC$8,"",VLOOKUP($DD442,$DF$9:$DL$508,2,FALSE()))</f>
        <v/>
      </c>
      <c r="DO442" s="112" t="str">
        <f aca="false">IF($DD442&gt;$DC$8,"",VLOOKUP($DD442,$DF$9:$DL$508,3,FALSE()))</f>
        <v/>
      </c>
      <c r="DP442" s="112" t="str">
        <f aca="false">IF($DD442&gt;$DC$8,"",VLOOKUP($DD442,$DF$9:$DL$508,4,FALSE()))</f>
        <v/>
      </c>
      <c r="DQ442" s="112" t="str">
        <f aca="false">IF($DD442&gt;$DC$8,"",VLOOKUP($DD442,$DF$9:$DL$508,5,FALSE()))</f>
        <v/>
      </c>
      <c r="DR442" s="113" t="str">
        <f aca="false">IF($DD442&gt;$DC$8,"",VLOOKUP($DD442,$DF$9:$DL$508,6,FALSE()))</f>
        <v/>
      </c>
      <c r="DS442" s="76"/>
    </row>
    <row r="443" customFormat="false" ht="15.75" hidden="false" customHeight="false" outlineLevel="0" collapsed="false">
      <c r="A443" s="9"/>
      <c r="B443" s="78"/>
      <c r="C443" s="79"/>
      <c r="D443" s="170"/>
      <c r="E443" s="178"/>
      <c r="F443" s="172"/>
      <c r="G443" s="173"/>
      <c r="H443" s="173"/>
      <c r="I443" s="179"/>
      <c r="J443" s="176"/>
      <c r="K443" s="86"/>
      <c r="L443" s="87"/>
      <c r="M443" s="88"/>
      <c r="N443" s="176"/>
      <c r="O443" s="176"/>
      <c r="P443" s="178"/>
      <c r="Q443" s="176"/>
      <c r="R443" s="176"/>
      <c r="S443" s="86"/>
      <c r="T443" s="88"/>
      <c r="U443" s="88"/>
      <c r="V443" s="176"/>
      <c r="W443" s="176"/>
      <c r="X443" s="178"/>
      <c r="Y443" s="176"/>
      <c r="Z443" s="177"/>
      <c r="AA443" s="176"/>
      <c r="AB443" s="92"/>
      <c r="AC443" s="93"/>
      <c r="AD443" s="93"/>
      <c r="AE443" s="93"/>
      <c r="AF443" s="93" t="str">
        <f aca="false">IF(ISBLANK($C443),"",IF(E443=Constants!$B$2,TRUE(),IF(E443=Constants!$B$3,FALSE(),TRUE())))</f>
        <v/>
      </c>
      <c r="AG443" s="93" t="str">
        <f aca="false">IF(ISBLANK($C443),"",IF(F443=Constants!$B$2,TRUE(),IF(F443=Constants!$B$3,FALSE(),TRUE())))</f>
        <v/>
      </c>
      <c r="AH443" s="93" t="str">
        <f aca="false">IF(ISBLANK($C443),"",IF(G443=Constants!$B$2,TRUE(),IF(G443=Constants!$B$3,FALSE(),TRUE())))</f>
        <v/>
      </c>
      <c r="AI443" s="93" t="str">
        <f aca="false">IF(ISBLANK($C443),"",IF(AND(ISNUMBER(H443),H443&gt;=0),H443,Constants!$B$24))</f>
        <v/>
      </c>
      <c r="AJ443" s="93" t="str">
        <f aca="false">IF(ISBLANK($C443),"",IF(I443=Constants!$B$2,TRUE(),IF(I443=Constants!$B$3,FALSE(),TRUE())))</f>
        <v/>
      </c>
      <c r="AK443" s="93" t="str">
        <f aca="false">IF(ISBLANK($C443),"",IF(J443=Constants!$B$2,TRUE(),IF(J443=Constants!$B$3,FALSE(),TRUE())))</f>
        <v/>
      </c>
      <c r="AL443" s="93" t="str">
        <f aca="false">IF(ISBLANK($C443),"",IF(K443=Constants!$B$4,TRUE(),IF(K443=Constants!$B$5,FALSE(),COUNTA(L443:P443)&gt;0)))</f>
        <v/>
      </c>
      <c r="AM443" s="95" t="str">
        <f aca="false">IF(ISBLANK($C443),"",IF(ISNUMBER(L443),IF(L443&gt;=0,L443,""),""))</f>
        <v/>
      </c>
      <c r="AN443" s="94" t="str">
        <f aca="false">IF(ISBLANK($C443),"",IF(ISNUMBER(M443),IF(M443&gt;=0,M443,""),""))</f>
        <v/>
      </c>
      <c r="AO443" s="94" t="str">
        <f aca="false">IF(ISBLANK($C443),"",IF(N443=Constants!$B$2,TRUE(),IF(N443=Constants!$B$3,FALSE(),TRUE())))</f>
        <v/>
      </c>
      <c r="AP443" s="93" t="str">
        <f aca="false">IF(ISBLANK($C443),"",IF(ISNUMBER(O443),IF(O443&gt;=0,O443,""),""))</f>
        <v/>
      </c>
      <c r="AQ443" s="93" t="str">
        <f aca="false">IF(ISBLANK($C443),"",IF(P443=Constants!$B$2,TRUE(),IF(P443=Constants!$B$3,FALSE(),FALSE())))</f>
        <v/>
      </c>
      <c r="AR443" s="93" t="str">
        <f aca="false">IF(ISBLANK($C443),"",IF(Q443=Constants!$B$2,TRUE(),IF(Q443=Constants!$B$3,FALSE(),TRUE())))</f>
        <v/>
      </c>
      <c r="AS443" s="93" t="str">
        <f aca="false">IF(ISBLANK($C443),"",IF(R443=Constants!$B$2,TRUE(),IF(R443=Constants!$B$3,FALSE(),TRUE())))</f>
        <v/>
      </c>
      <c r="AT443" s="93" t="str">
        <f aca="false">IF(ISBLANK($C443),"",IF(S443=Constants!$B$4,TRUE(),IF(S443=Constants!$B$5,FALSE(),COUNTA(T443:X443)&gt;0)))</f>
        <v/>
      </c>
      <c r="AU443" s="95" t="str">
        <f aca="false">IF(ISBLANK($C443),"",IF(ISNUMBER(T443),IF(T443&gt;=0,T443,""),""))</f>
        <v/>
      </c>
      <c r="AV443" s="94" t="str">
        <f aca="false">IF(ISBLANK($C443),"",IF(ISNUMBER(U443),IF(U443&gt;=0,U443,""),""))</f>
        <v/>
      </c>
      <c r="AW443" s="94" t="str">
        <f aca="false">IF(ISBLANK($C443),"",IF(V443=Constants!$B$2,TRUE(),IF(V443=Constants!$B$3,FALSE(),TRUE())))</f>
        <v/>
      </c>
      <c r="AX443" s="93" t="str">
        <f aca="false">IF(ISBLANK($C443),"",IF(ISNUMBER(W443),IF(W443&gt;=0,W443,""),""))</f>
        <v/>
      </c>
      <c r="AY443" s="93" t="str">
        <f aca="false">IF(ISBLANK($C443),"",IF(X443=Constants!$B$2,TRUE(),IF(X443=Constants!$B$3,FALSE(),FALSE())))</f>
        <v/>
      </c>
      <c r="AZ443" s="93" t="str">
        <f aca="false">IF(ISBLANK($C443),"",MIN(Constants!$B$25,MAX(0,IF(ISNUMBER(Y443),Y443*60,0)+IF(ISNUMBER(Z443),Z443,0))))</f>
        <v/>
      </c>
      <c r="BA443" s="93" t="str">
        <f aca="false">IF(ISBLANK($C443),"",IF(AA443=Constants!$B$2,TRUE(),IF(AA443=Constants!$B$3,FALSE(),FALSE())))</f>
        <v/>
      </c>
      <c r="BB443" s="92" t="str">
        <f aca="false">IF(ISBLANK($C443),"",AND($AL443,OR($AM443="",$AN443="",AND($AO443,$AP443=""))))</f>
        <v/>
      </c>
      <c r="BC443" s="94" t="str">
        <f aca="false">IF($BX443&lt;&gt;Constants!$B$6,"",IF($AL443,Constants!$B$17*$AN443+Constants!$B$18*IF($AO443,$AP443,Constants!$B$19),Constants!$B$20))</f>
        <v/>
      </c>
      <c r="BD443" s="97" t="str">
        <f aca="false">IF($BX443&lt;&gt;Constants!$B$6,"",Constants!$B$21*ABS($AD$9-IF($AL443,$AM443,0)))</f>
        <v/>
      </c>
      <c r="BE443" s="97" t="str">
        <f aca="false">IF($BX443&lt;&gt;Constants!$B$6,"",IF(AND($AL443,$AQ443,$AO443),Constants!$B$22,0))</f>
        <v/>
      </c>
      <c r="BF443" s="97" t="str">
        <f aca="false">IF($BX443&lt;&gt;Constants!$B$6,"",IF($AL443,($AI443-Constants!$B$24)*Constants!$B$23,0))</f>
        <v/>
      </c>
      <c r="BG443" s="97" t="str">
        <f aca="false">IF($BX443&lt;&gt;Constants!$B$6,"",IF($AK443,0,Constants!$B$12)+IF($AJ443,0,Constants!$B$13)+IF($AH443,0,Constants!$B$14))</f>
        <v/>
      </c>
      <c r="BH443" s="98" t="str">
        <f aca="false">IF($BX443&lt;&gt;Constants!$B$6,"",Constants!$B$16+SUM($BC443:$BG443))</f>
        <v/>
      </c>
      <c r="BI443" s="97" t="str">
        <f aca="false">IF($BX443&lt;&gt;Constants!$B$6,"",$BC443)</f>
        <v/>
      </c>
      <c r="BJ443" s="97" t="str">
        <f aca="false">IF($BX443&lt;&gt;Constants!$B$6,"",$BD443)</f>
        <v/>
      </c>
      <c r="BK443" s="99" t="str">
        <f aca="false">IF($BX443&lt;&gt;Constants!$B$6,"",IF($AL443,$AN443,""))</f>
        <v/>
      </c>
      <c r="BL443" s="93" t="str">
        <f aca="false">IF($BX443&lt;&gt;Constants!$B$6,"",IF(OR($BS443&lt;$BH443,AND($BS443=$BH443,OR($BT443&lt;$BI443,AND($BT443=$BI443,OR($BU443&lt;$BJ443,AND($BU443=$BJ443,AND(ISNUMBER($BV443),OR(NOT(ISNUMBER($BK443)),$BV443&lt;$BK443)))))))),"-&gt;","&lt;-"))</f>
        <v/>
      </c>
      <c r="BM443" s="92" t="str">
        <f aca="false">IF(ISBLANK($C443),"",AND($AT443,OR($AU443="",$AV443="",AND($AW443,$AX443=""))))</f>
        <v/>
      </c>
      <c r="BN443" s="94" t="str">
        <f aca="false">IF($BX443&lt;&gt;Constants!$B$6,"",IF($AT443,Constants!$B$17*$AV443+Constants!$B$18*IF($AW443,$AX443,Constants!$B$19),Constants!$B$20))</f>
        <v/>
      </c>
      <c r="BO443" s="97" t="str">
        <f aca="false">IF($BX443&lt;&gt;Constants!$B$6,"",Constants!$B$21*ABS($AD$9-IF($AT443,$AU443,0)))</f>
        <v/>
      </c>
      <c r="BP443" s="97" t="str">
        <f aca="false">IF($BX443&lt;&gt;Constants!$B$6,"",IF(AND($AT443,$AY443,$AW443),Constants!$B$22,0))</f>
        <v/>
      </c>
      <c r="BQ443" s="97" t="str">
        <f aca="false">IF($BX443&lt;&gt;Constants!$B$6,"",IF($AT443,($AI443-Constants!$B$24)*Constants!$B$23,0))</f>
        <v/>
      </c>
      <c r="BR443" s="97" t="str">
        <f aca="false">IF($BX443&lt;&gt;Constants!$B$6,"",IF($AS443,0,Constants!$B$12)+IF($AR443,0,Constants!$B$13)+IF($AH443,0,Constants!$B$14))</f>
        <v/>
      </c>
      <c r="BS443" s="98" t="str">
        <f aca="false">IF($BX443&lt;&gt;Constants!$B$6,"",Constants!$B$16+SUM($BN443:$BR443))</f>
        <v/>
      </c>
      <c r="BT443" s="97" t="str">
        <f aca="false">IF($BX443&lt;&gt;Constants!$B$6,"",$BN443)</f>
        <v/>
      </c>
      <c r="BU443" s="97" t="str">
        <f aca="false">IF($BX443&lt;&gt;Constants!$B$6,"",$BO443)</f>
        <v/>
      </c>
      <c r="BV443" s="99" t="str">
        <f aca="false">IF($BX443&lt;&gt;Constants!$B$6,"",IF($AT443,$AV443,""))</f>
        <v/>
      </c>
      <c r="BW443" s="93" t="str">
        <f aca="false">IF(ISBLANK($C443),"",IF(ISBLANK($D$7),$BW$5,IF(NOT(ISNUMBER($D$7)),$BW$6,"")))</f>
        <v/>
      </c>
      <c r="BX443" s="93" t="str">
        <f aca="false">IF(ISBLANK($C443),"",IF($BA443,Constants!$B$9,IF(COUNTA($E443:$AA443)=0,Constants!$B$8,IF(NOT($AG443),Constants!$B$7,IF(OR($BW443&lt;&gt;"",$BB443,$BM443),Constants!$B$10,Constants!$B$6)))))</f>
        <v/>
      </c>
      <c r="BY443" s="93" t="str">
        <f aca="false">IF(ISBLANK($C443),"",IF($BX443&lt;&gt;Constants!$B$6,$BX443,Constants!$B$11))</f>
        <v/>
      </c>
      <c r="BZ443" s="97" t="str">
        <f aca="false">IF($BX443&lt;&gt;Constants!$B$6,"",IF($BL443="-&gt;",$BS443,$BH443))</f>
        <v/>
      </c>
      <c r="CA443" s="97" t="str">
        <f aca="false">IF($BX443&lt;&gt;Constants!$B$6,"",IF($AF443,0,Constants!$B$15))</f>
        <v/>
      </c>
      <c r="CB443" s="97" t="str">
        <f aca="false">IF($BX443&lt;&gt;Constants!$B$6,"",((Constants!$B$25-$AZ443)-Constants!$B$25)/Constants!$B$26)</f>
        <v/>
      </c>
      <c r="CC443" s="97" t="str">
        <f aca="false">IF(ISBLANK($C443),"",IF($BX443&lt;&gt;Constants!$B$6,$BX443,SUM($BZ443:$CB443)))</f>
        <v/>
      </c>
      <c r="CD443" s="93" t="str">
        <f aca="false">IF(ISBLANK($C443),"",IF($BX443&lt;&gt;Constants!$B$6,$BX443,RANK($CC443,$CC$9:$CC$508,1)))</f>
        <v/>
      </c>
      <c r="CE443" s="97" t="str">
        <f aca="false">IF($BX443&lt;&gt;Constants!$B$6,"",IF($BL443="-&gt;",$BT443,$BI443))</f>
        <v/>
      </c>
      <c r="CF443" s="93" t="str">
        <f aca="false">IF(ISBLANK($C443),"",IF($BX443&lt;&gt;Constants!$B$6,$BX443,IF(ISNUMBER($CE443),RANK($CE443,$CE$9:$CE$508,1),COUNT($CE$9:$CE$508)+1)))</f>
        <v/>
      </c>
      <c r="CG443" s="97" t="str">
        <f aca="false">IF($BX443&lt;&gt;Constants!$B$6,"",IF($BL443="-&gt;",$BU443,$BJ443))</f>
        <v/>
      </c>
      <c r="CH443" s="93" t="str">
        <f aca="false">IF(ISBLANK($C443),"",IF($BX443&lt;&gt;Constants!$B$6,$BX443,IF(ISNUMBER($CG443),RANK($CG443,$CG$9:$CG$508,1),COUNT($CG$9:$CG$508)+1)))</f>
        <v/>
      </c>
      <c r="CI443" s="97" t="str">
        <f aca="false">IF($BX443&lt;&gt;Constants!$B$6,"",IF($BL443="-&gt;",$BV443,$BK443))</f>
        <v/>
      </c>
      <c r="CJ443" s="93" t="str">
        <f aca="false">IF(ISBLANK($C443),"",IF($BX443&lt;&gt;Constants!$B$6,$BX443,IF(ISNUMBER($CI443),RANK($CI443,$CI$9:$CI$508,1),COUNT($CI$9:$CI$508)+1)))</f>
        <v/>
      </c>
      <c r="CK443" s="97" t="str">
        <f aca="false">IF($BX443&lt;&gt;Constants!$B$6,"",$AI443)</f>
        <v/>
      </c>
      <c r="CL443" s="93" t="str">
        <f aca="false">IF(ISBLANK($C443),"",IF($BX443&lt;&gt;Constants!$B$6,$BX443,IF(ISNUMBER($CK443),RANK($CK443,$CK$9:$CK$508,1),COUNT($CK$9:$CK$508)+1)))</f>
        <v/>
      </c>
      <c r="CM443" s="93" t="str">
        <f aca="false">IF(ISBLANK($C443),"",IF($BX443&lt;&gt;Constants!$B$6,$BX443,COUNTIFS($CD$9:$CD$508,"&lt;"&amp;$CD443)+COUNTIFS($CD$9:$CD$508,$CD443,$CF$9:$CF$508,"&lt;"&amp;$CF443)+COUNTIFS($CD$9:$CD$508,$CD443,$CF$9:$CF$508,$CF443,$CH$9:$CH$508,"&lt;"&amp;$CH443)+COUNTIFS($CD$9:$CD$508,$CD443,$CF$9:$CF$508,$CF443,$CH$9:$CH$508,$CH443,$CJ$9:$CJ$508,"&lt;"&amp;$CJ443)+COUNTIFS($CD$9:$CD$508,$CD443,$CF$9:$CF$508,$CF443,$CH$9:$CH$508,$CH443,$CJ$9:$CJ$508,$CJ443,$CL$9:$CL$508,"&lt;"&amp;$CL443)+1))</f>
        <v/>
      </c>
      <c r="CN443" s="93" t="str">
        <f aca="false">IF(ISBLANK($C443),"",IF($BX443&lt;&gt;Constants!$B$6,$BX443,$CD443-$CM443))</f>
        <v/>
      </c>
      <c r="CO443" s="100"/>
      <c r="CP443" s="101"/>
      <c r="CQ443" s="102" t="str">
        <f aca="false">IF(ISBLANK($C443),"",IF($BX443=Constants!$B$10,$BW443,""))</f>
        <v/>
      </c>
      <c r="CR443" s="101" t="str">
        <f aca="false">IF(ISBLANK($C443),"",IF($BX443&lt;&gt;Constants!$B$6,"",IF($BL443="-&gt;",2,1)))</f>
        <v/>
      </c>
      <c r="CS443" s="103" t="str">
        <f aca="false">IF(ISBLANK($C443),"",IF($BX443&lt;&gt;Constants!$B$6,"",IF($BL443="-&gt;",$BN443,$BC443)))</f>
        <v/>
      </c>
      <c r="CT443" s="103" t="str">
        <f aca="false">IF(ISBLANK($C443),"",IF($BX443&lt;&gt;Constants!$B$6,"",IF($BL443="-&gt;",$BO443,$BD443)))</f>
        <v/>
      </c>
      <c r="CU443" s="103" t="str">
        <f aca="false">IF(ISBLANK($C443),"",IF($BX443&lt;&gt;Constants!$B$6,"",IF($BL443="-&gt;",$BP443+$BQ443,$BE443+$BF443)+$CB443))</f>
        <v/>
      </c>
      <c r="CV443" s="103" t="str">
        <f aca="false">IF(ISBLANK($C443),"",IF($BX443&lt;&gt;Constants!$B$6,"",IF($BL443="-&gt;",$BR443,$BG443)+$CA443))</f>
        <v/>
      </c>
      <c r="CW443" s="104" t="str">
        <f aca="false">IF(ISBLANK($C443),"",IF($BX443&lt;&gt;Constants!$B$6,$BX443,$CC443))</f>
        <v/>
      </c>
      <c r="CX443" s="105" t="str">
        <f aca="false">IF(ISBLANK($C443),"",$BY443)</f>
        <v/>
      </c>
      <c r="CY443" s="106" t="str">
        <f aca="false">IF(ISBLANK($C443),"",$CN443)</f>
        <v/>
      </c>
      <c r="CZ443" s="106" t="str">
        <f aca="false">IF(ISBLANK($C443),"",$CM443)</f>
        <v/>
      </c>
      <c r="DA443" s="107" t="str">
        <f aca="false">IF(ISBLANK($C443),"",IFERROR(_xlfn.SWITCH($CZ443,Constants!$B$9,COUNTA($C$9:$C$508)+2,Constants!$B$8,COUNTA($C$9:$C$508)+1,Constants!$B$7,COUNTA($C$9:$C$508)),$CZ443))</f>
        <v/>
      </c>
      <c r="DB443" s="9"/>
      <c r="DC443" s="108" t="n">
        <f aca="false">IF(OR(ISNUMBER($CZ443),$CZ443=Constants!$B$9,$CZ443=Constants!$B$7,$CZ443=Constants!$B$8),1,0)</f>
        <v>0</v>
      </c>
      <c r="DD443" s="108" t="n">
        <v>435</v>
      </c>
      <c r="DE443" s="108" t="str">
        <f aca="false">IF(ISBLANK($C443),"",IF(ISNUMBER($DA443),$DA443+ROW($B443)/1000,""))</f>
        <v/>
      </c>
      <c r="DF443" s="108" t="str">
        <f aca="false">IF(ISNUMBER($DE443),RANK($DE443,$DE$9:$DE$508,1),"")</f>
        <v/>
      </c>
      <c r="DG443" s="108" t="str">
        <f aca="false">IF(ISBLANK($C443),"",$B443)</f>
        <v/>
      </c>
      <c r="DH443" s="108" t="str">
        <f aca="false">IF(ISBLANK($C443),"",$C443)</f>
        <v/>
      </c>
      <c r="DI443" s="108" t="str">
        <f aca="false">IF(ISBLANK($C443),"",$D443)</f>
        <v/>
      </c>
      <c r="DJ443" s="109" t="str">
        <f aca="false">$CX443</f>
        <v/>
      </c>
      <c r="DK443" s="110" t="str">
        <f aca="false">$CW443</f>
        <v/>
      </c>
      <c r="DL443" s="108" t="str">
        <f aca="false">IF(ISBLANK($C443),"",$CZ443)</f>
        <v/>
      </c>
      <c r="DM443" s="111" t="str">
        <f aca="false">IF($DD443&gt;$DC$8,"",VLOOKUP($DD443,$DF$9:$DL$508,7,FALSE()))</f>
        <v/>
      </c>
      <c r="DN443" s="112" t="str">
        <f aca="false">IF($DD443&gt;$DC$8,"",VLOOKUP($DD443,$DF$9:$DL$508,2,FALSE()))</f>
        <v/>
      </c>
      <c r="DO443" s="112" t="str">
        <f aca="false">IF($DD443&gt;$DC$8,"",VLOOKUP($DD443,$DF$9:$DL$508,3,FALSE()))</f>
        <v/>
      </c>
      <c r="DP443" s="112" t="str">
        <f aca="false">IF($DD443&gt;$DC$8,"",VLOOKUP($DD443,$DF$9:$DL$508,4,FALSE()))</f>
        <v/>
      </c>
      <c r="DQ443" s="112" t="str">
        <f aca="false">IF($DD443&gt;$DC$8,"",VLOOKUP($DD443,$DF$9:$DL$508,5,FALSE()))</f>
        <v/>
      </c>
      <c r="DR443" s="113" t="str">
        <f aca="false">IF($DD443&gt;$DC$8,"",VLOOKUP($DD443,$DF$9:$DL$508,6,FALSE()))</f>
        <v/>
      </c>
      <c r="DS443" s="76"/>
    </row>
    <row r="444" customFormat="false" ht="15.75" hidden="false" customHeight="false" outlineLevel="0" collapsed="false">
      <c r="A444" s="9"/>
      <c r="B444" s="160"/>
      <c r="C444" s="161"/>
      <c r="D444" s="162"/>
      <c r="E444" s="180"/>
      <c r="F444" s="164"/>
      <c r="G444" s="165"/>
      <c r="H444" s="165"/>
      <c r="I444" s="181"/>
      <c r="J444" s="168"/>
      <c r="K444" s="128"/>
      <c r="L444" s="129"/>
      <c r="M444" s="130"/>
      <c r="N444" s="168"/>
      <c r="O444" s="168"/>
      <c r="P444" s="180"/>
      <c r="Q444" s="168"/>
      <c r="R444" s="168"/>
      <c r="S444" s="128"/>
      <c r="T444" s="130"/>
      <c r="U444" s="130"/>
      <c r="V444" s="168"/>
      <c r="W444" s="168"/>
      <c r="X444" s="180"/>
      <c r="Y444" s="168"/>
      <c r="Z444" s="169"/>
      <c r="AA444" s="168"/>
      <c r="AB444" s="134"/>
      <c r="AC444" s="135"/>
      <c r="AD444" s="135"/>
      <c r="AE444" s="135"/>
      <c r="AF444" s="135" t="str">
        <f aca="false">IF(ISBLANK($C444),"",IF(E444=Constants!$B$2,TRUE(),IF(E444=Constants!$B$3,FALSE(),TRUE())))</f>
        <v/>
      </c>
      <c r="AG444" s="135" t="str">
        <f aca="false">IF(ISBLANK($C444),"",IF(F444=Constants!$B$2,TRUE(),IF(F444=Constants!$B$3,FALSE(),TRUE())))</f>
        <v/>
      </c>
      <c r="AH444" s="135" t="str">
        <f aca="false">IF(ISBLANK($C444),"",IF(G444=Constants!$B$2,TRUE(),IF(G444=Constants!$B$3,FALSE(),TRUE())))</f>
        <v/>
      </c>
      <c r="AI444" s="135" t="str">
        <f aca="false">IF(ISBLANK($C444),"",IF(AND(ISNUMBER(H444),H444&gt;=0),H444,Constants!$B$24))</f>
        <v/>
      </c>
      <c r="AJ444" s="135" t="str">
        <f aca="false">IF(ISBLANK($C444),"",IF(I444=Constants!$B$2,TRUE(),IF(I444=Constants!$B$3,FALSE(),TRUE())))</f>
        <v/>
      </c>
      <c r="AK444" s="135" t="str">
        <f aca="false">IF(ISBLANK($C444),"",IF(J444=Constants!$B$2,TRUE(),IF(J444=Constants!$B$3,FALSE(),TRUE())))</f>
        <v/>
      </c>
      <c r="AL444" s="135" t="str">
        <f aca="false">IF(ISBLANK($C444),"",IF(K444=Constants!$B$4,TRUE(),IF(K444=Constants!$B$5,FALSE(),COUNTA(L444:P444)&gt;0)))</f>
        <v/>
      </c>
      <c r="AM444" s="136" t="str">
        <f aca="false">IF(ISBLANK($C444),"",IF(ISNUMBER(L444),IF(L444&gt;=0,L444,""),""))</f>
        <v/>
      </c>
      <c r="AN444" s="137" t="str">
        <f aca="false">IF(ISBLANK($C444),"",IF(ISNUMBER(M444),IF(M444&gt;=0,M444,""),""))</f>
        <v/>
      </c>
      <c r="AO444" s="137" t="str">
        <f aca="false">IF(ISBLANK($C444),"",IF(N444=Constants!$B$2,TRUE(),IF(N444=Constants!$B$3,FALSE(),TRUE())))</f>
        <v/>
      </c>
      <c r="AP444" s="135" t="str">
        <f aca="false">IF(ISBLANK($C444),"",IF(ISNUMBER(O444),IF(O444&gt;=0,O444,""),""))</f>
        <v/>
      </c>
      <c r="AQ444" s="135" t="str">
        <f aca="false">IF(ISBLANK($C444),"",IF(P444=Constants!$B$2,TRUE(),IF(P444=Constants!$B$3,FALSE(),FALSE())))</f>
        <v/>
      </c>
      <c r="AR444" s="135" t="str">
        <f aca="false">IF(ISBLANK($C444),"",IF(Q444=Constants!$B$2,TRUE(),IF(Q444=Constants!$B$3,FALSE(),TRUE())))</f>
        <v/>
      </c>
      <c r="AS444" s="135" t="str">
        <f aca="false">IF(ISBLANK($C444),"",IF(R444=Constants!$B$2,TRUE(),IF(R444=Constants!$B$3,FALSE(),TRUE())))</f>
        <v/>
      </c>
      <c r="AT444" s="135" t="str">
        <f aca="false">IF(ISBLANK($C444),"",IF(S444=Constants!$B$4,TRUE(),IF(S444=Constants!$B$5,FALSE(),COUNTA(T444:X444)&gt;0)))</f>
        <v/>
      </c>
      <c r="AU444" s="136" t="str">
        <f aca="false">IF(ISBLANK($C444),"",IF(ISNUMBER(T444),IF(T444&gt;=0,T444,""),""))</f>
        <v/>
      </c>
      <c r="AV444" s="137" t="str">
        <f aca="false">IF(ISBLANK($C444),"",IF(ISNUMBER(U444),IF(U444&gt;=0,U444,""),""))</f>
        <v/>
      </c>
      <c r="AW444" s="137" t="str">
        <f aca="false">IF(ISBLANK($C444),"",IF(V444=Constants!$B$2,TRUE(),IF(V444=Constants!$B$3,FALSE(),TRUE())))</f>
        <v/>
      </c>
      <c r="AX444" s="135" t="str">
        <f aca="false">IF(ISBLANK($C444),"",IF(ISNUMBER(W444),IF(W444&gt;=0,W444,""),""))</f>
        <v/>
      </c>
      <c r="AY444" s="135" t="str">
        <f aca="false">IF(ISBLANK($C444),"",IF(X444=Constants!$B$2,TRUE(),IF(X444=Constants!$B$3,FALSE(),FALSE())))</f>
        <v/>
      </c>
      <c r="AZ444" s="135" t="str">
        <f aca="false">IF(ISBLANK($C444),"",MIN(Constants!$B$25,MAX(0,IF(ISNUMBER(Y444),Y444*60,0)+IF(ISNUMBER(Z444),Z444,0))))</f>
        <v/>
      </c>
      <c r="BA444" s="135" t="str">
        <f aca="false">IF(ISBLANK($C444),"",IF(AA444=Constants!$B$2,TRUE(),IF(AA444=Constants!$B$3,FALSE(),FALSE())))</f>
        <v/>
      </c>
      <c r="BB444" s="134" t="str">
        <f aca="false">IF(ISBLANK($C444),"",AND($AL444,OR($AM444="",$AN444="",AND($AO444,$AP444=""))))</f>
        <v/>
      </c>
      <c r="BC444" s="137" t="str">
        <f aca="false">IF($BX444&lt;&gt;Constants!$B$6,"",IF($AL444,Constants!$B$17*$AN444+Constants!$B$18*IF($AO444,$AP444,Constants!$B$19),Constants!$B$20))</f>
        <v/>
      </c>
      <c r="BD444" s="138" t="str">
        <f aca="false">IF($BX444&lt;&gt;Constants!$B$6,"",Constants!$B$21*ABS($AD$9-IF($AL444,$AM444,0)))</f>
        <v/>
      </c>
      <c r="BE444" s="138" t="str">
        <f aca="false">IF($BX444&lt;&gt;Constants!$B$6,"",IF(AND($AL444,$AQ444,$AO444),Constants!$B$22,0))</f>
        <v/>
      </c>
      <c r="BF444" s="138" t="str">
        <f aca="false">IF($BX444&lt;&gt;Constants!$B$6,"",IF($AL444,($AI444-Constants!$B$24)*Constants!$B$23,0))</f>
        <v/>
      </c>
      <c r="BG444" s="138" t="str">
        <f aca="false">IF($BX444&lt;&gt;Constants!$B$6,"",IF($AK444,0,Constants!$B$12)+IF($AJ444,0,Constants!$B$13)+IF($AH444,0,Constants!$B$14))</f>
        <v/>
      </c>
      <c r="BH444" s="139" t="str">
        <f aca="false">IF($BX444&lt;&gt;Constants!$B$6,"",Constants!$B$16+SUM($BC444:$BG444))</f>
        <v/>
      </c>
      <c r="BI444" s="138" t="str">
        <f aca="false">IF($BX444&lt;&gt;Constants!$B$6,"",$BC444)</f>
        <v/>
      </c>
      <c r="BJ444" s="138" t="str">
        <f aca="false">IF($BX444&lt;&gt;Constants!$B$6,"",$BD444)</f>
        <v/>
      </c>
      <c r="BK444" s="140" t="str">
        <f aca="false">IF($BX444&lt;&gt;Constants!$B$6,"",IF($AL444,$AN444,""))</f>
        <v/>
      </c>
      <c r="BL444" s="135" t="str">
        <f aca="false">IF($BX444&lt;&gt;Constants!$B$6,"",IF(OR($BS444&lt;$BH444,AND($BS444=$BH444,OR($BT444&lt;$BI444,AND($BT444=$BI444,OR($BU444&lt;$BJ444,AND($BU444=$BJ444,AND(ISNUMBER($BV444),OR(NOT(ISNUMBER($BK444)),$BV444&lt;$BK444)))))))),"-&gt;","&lt;-"))</f>
        <v/>
      </c>
      <c r="BM444" s="134" t="str">
        <f aca="false">IF(ISBLANK($C444),"",AND($AT444,OR($AU444="",$AV444="",AND($AW444,$AX444=""))))</f>
        <v/>
      </c>
      <c r="BN444" s="137" t="str">
        <f aca="false">IF($BX444&lt;&gt;Constants!$B$6,"",IF($AT444,Constants!$B$17*$AV444+Constants!$B$18*IF($AW444,$AX444,Constants!$B$19),Constants!$B$20))</f>
        <v/>
      </c>
      <c r="BO444" s="138" t="str">
        <f aca="false">IF($BX444&lt;&gt;Constants!$B$6,"",Constants!$B$21*ABS($AD$9-IF($AT444,$AU444,0)))</f>
        <v/>
      </c>
      <c r="BP444" s="138" t="str">
        <f aca="false">IF($BX444&lt;&gt;Constants!$B$6,"",IF(AND($AT444,$AY444,$AW444),Constants!$B$22,0))</f>
        <v/>
      </c>
      <c r="BQ444" s="138" t="str">
        <f aca="false">IF($BX444&lt;&gt;Constants!$B$6,"",IF($AT444,($AI444-Constants!$B$24)*Constants!$B$23,0))</f>
        <v/>
      </c>
      <c r="BR444" s="138" t="str">
        <f aca="false">IF($BX444&lt;&gt;Constants!$B$6,"",IF($AS444,0,Constants!$B$12)+IF($AR444,0,Constants!$B$13)+IF($AH444,0,Constants!$B$14))</f>
        <v/>
      </c>
      <c r="BS444" s="139" t="str">
        <f aca="false">IF($BX444&lt;&gt;Constants!$B$6,"",Constants!$B$16+SUM($BN444:$BR444))</f>
        <v/>
      </c>
      <c r="BT444" s="138" t="str">
        <f aca="false">IF($BX444&lt;&gt;Constants!$B$6,"",$BN444)</f>
        <v/>
      </c>
      <c r="BU444" s="138" t="str">
        <f aca="false">IF($BX444&lt;&gt;Constants!$B$6,"",$BO444)</f>
        <v/>
      </c>
      <c r="BV444" s="140" t="str">
        <f aca="false">IF($BX444&lt;&gt;Constants!$B$6,"",IF($AT444,$AV444,""))</f>
        <v/>
      </c>
      <c r="BW444" s="135" t="str">
        <f aca="false">IF(ISBLANK($C444),"",IF(ISBLANK($D$7),$BW$5,IF(NOT(ISNUMBER($D$7)),$BW$6,"")))</f>
        <v/>
      </c>
      <c r="BX444" s="135" t="str">
        <f aca="false">IF(ISBLANK($C444),"",IF($BA444,Constants!$B$9,IF(COUNTA($E444:$AA444)=0,Constants!$B$8,IF(NOT($AG444),Constants!$B$7,IF(OR($BW444&lt;&gt;"",$BB444,$BM444),Constants!$B$10,Constants!$B$6)))))</f>
        <v/>
      </c>
      <c r="BY444" s="135" t="str">
        <f aca="false">IF(ISBLANK($C444),"",IF($BX444&lt;&gt;Constants!$B$6,$BX444,Constants!$B$11))</f>
        <v/>
      </c>
      <c r="BZ444" s="138" t="str">
        <f aca="false">IF($BX444&lt;&gt;Constants!$B$6,"",IF($BL444="-&gt;",$BS444,$BH444))</f>
        <v/>
      </c>
      <c r="CA444" s="138" t="str">
        <f aca="false">IF($BX444&lt;&gt;Constants!$B$6,"",IF($AF444,0,Constants!$B$15))</f>
        <v/>
      </c>
      <c r="CB444" s="138" t="str">
        <f aca="false">IF($BX444&lt;&gt;Constants!$B$6,"",((Constants!$B$25-$AZ444)-Constants!$B$25)/Constants!$B$26)</f>
        <v/>
      </c>
      <c r="CC444" s="138" t="str">
        <f aca="false">IF(ISBLANK($C444),"",IF($BX444&lt;&gt;Constants!$B$6,$BX444,SUM($BZ444:$CB444)))</f>
        <v/>
      </c>
      <c r="CD444" s="135" t="str">
        <f aca="false">IF(ISBLANK($C444),"",IF($BX444&lt;&gt;Constants!$B$6,$BX444,RANK($CC444,$CC$9:$CC$508,1)))</f>
        <v/>
      </c>
      <c r="CE444" s="138" t="str">
        <f aca="false">IF($BX444&lt;&gt;Constants!$B$6,"",IF($BL444="-&gt;",$BT444,$BI444))</f>
        <v/>
      </c>
      <c r="CF444" s="135" t="str">
        <f aca="false">IF(ISBLANK($C444),"",IF($BX444&lt;&gt;Constants!$B$6,$BX444,IF(ISNUMBER($CE444),RANK($CE444,$CE$9:$CE$508,1),COUNT($CE$9:$CE$508)+1)))</f>
        <v/>
      </c>
      <c r="CG444" s="138" t="str">
        <f aca="false">IF($BX444&lt;&gt;Constants!$B$6,"",IF($BL444="-&gt;",$BU444,$BJ444))</f>
        <v/>
      </c>
      <c r="CH444" s="135" t="str">
        <f aca="false">IF(ISBLANK($C444),"",IF($BX444&lt;&gt;Constants!$B$6,$BX444,IF(ISNUMBER($CG444),RANK($CG444,$CG$9:$CG$508,1),COUNT($CG$9:$CG$508)+1)))</f>
        <v/>
      </c>
      <c r="CI444" s="138" t="str">
        <f aca="false">IF($BX444&lt;&gt;Constants!$B$6,"",IF($BL444="-&gt;",$BV444,$BK444))</f>
        <v/>
      </c>
      <c r="CJ444" s="135" t="str">
        <f aca="false">IF(ISBLANK($C444),"",IF($BX444&lt;&gt;Constants!$B$6,$BX444,IF(ISNUMBER($CI444),RANK($CI444,$CI$9:$CI$508,1),COUNT($CI$9:$CI$508)+1)))</f>
        <v/>
      </c>
      <c r="CK444" s="138" t="str">
        <f aca="false">IF($BX444&lt;&gt;Constants!$B$6,"",$AI444)</f>
        <v/>
      </c>
      <c r="CL444" s="135" t="str">
        <f aca="false">IF(ISBLANK($C444),"",IF($BX444&lt;&gt;Constants!$B$6,$BX444,IF(ISNUMBER($CK444),RANK($CK444,$CK$9:$CK$508,1),COUNT($CK$9:$CK$508)+1)))</f>
        <v/>
      </c>
      <c r="CM444" s="135" t="str">
        <f aca="false">IF(ISBLANK($C444),"",IF($BX444&lt;&gt;Constants!$B$6,$BX444,COUNTIFS($CD$9:$CD$508,"&lt;"&amp;$CD444)+COUNTIFS($CD$9:$CD$508,$CD444,$CF$9:$CF$508,"&lt;"&amp;$CF444)+COUNTIFS($CD$9:$CD$508,$CD444,$CF$9:$CF$508,$CF444,$CH$9:$CH$508,"&lt;"&amp;$CH444)+COUNTIFS($CD$9:$CD$508,$CD444,$CF$9:$CF$508,$CF444,$CH$9:$CH$508,$CH444,$CJ$9:$CJ$508,"&lt;"&amp;$CJ444)+COUNTIFS($CD$9:$CD$508,$CD444,$CF$9:$CF$508,$CF444,$CH$9:$CH$508,$CH444,$CJ$9:$CJ$508,$CJ444,$CL$9:$CL$508,"&lt;"&amp;$CL444)+1))</f>
        <v/>
      </c>
      <c r="CN444" s="135" t="str">
        <f aca="false">IF(ISBLANK($C444),"",IF($BX444&lt;&gt;Constants!$B$6,$BX444,$CD444-$CM444))</f>
        <v/>
      </c>
      <c r="CO444" s="141"/>
      <c r="CP444" s="142"/>
      <c r="CQ444" s="143" t="str">
        <f aca="false">IF(ISBLANK($C444),"",IF($BX444=Constants!$B$10,$BW444,""))</f>
        <v/>
      </c>
      <c r="CR444" s="142" t="str">
        <f aca="false">IF(ISBLANK($C444),"",IF($BX444&lt;&gt;Constants!$B$6,"",IF($BL444="-&gt;",2,1)))</f>
        <v/>
      </c>
      <c r="CS444" s="144" t="str">
        <f aca="false">IF(ISBLANK($C444),"",IF($BX444&lt;&gt;Constants!$B$6,"",IF($BL444="-&gt;",$BN444,$BC444)))</f>
        <v/>
      </c>
      <c r="CT444" s="144" t="str">
        <f aca="false">IF(ISBLANK($C444),"",IF($BX444&lt;&gt;Constants!$B$6,"",IF($BL444="-&gt;",$BO444,$BD444)))</f>
        <v/>
      </c>
      <c r="CU444" s="144" t="str">
        <f aca="false">IF(ISBLANK($C444),"",IF($BX444&lt;&gt;Constants!$B$6,"",IF($BL444="-&gt;",$BP444+$BQ444,$BE444+$BF444)+$CB444))</f>
        <v/>
      </c>
      <c r="CV444" s="144" t="str">
        <f aca="false">IF(ISBLANK($C444),"",IF($BX444&lt;&gt;Constants!$B$6,"",IF($BL444="-&gt;",$BR444,$BG444)+$CA444))</f>
        <v/>
      </c>
      <c r="CW444" s="145" t="str">
        <f aca="false">IF(ISBLANK($C444),"",IF($BX444&lt;&gt;Constants!$B$6,$BX444,$CC444))</f>
        <v/>
      </c>
      <c r="CX444" s="146" t="str">
        <f aca="false">IF(ISBLANK($C444),"",$BY444)</f>
        <v/>
      </c>
      <c r="CY444" s="147" t="str">
        <f aca="false">IF(ISBLANK($C444),"",$CN444)</f>
        <v/>
      </c>
      <c r="CZ444" s="147" t="str">
        <f aca="false">IF(ISBLANK($C444),"",$CM444)</f>
        <v/>
      </c>
      <c r="DA444" s="148" t="str">
        <f aca="false">IF(ISBLANK($C444),"",IFERROR(_xlfn.SWITCH($CZ444,Constants!$B$9,COUNTA($C$9:$C$508)+2,Constants!$B$8,COUNTA($C$9:$C$508)+1,Constants!$B$7,COUNTA($C$9:$C$508)),$CZ444))</f>
        <v/>
      </c>
      <c r="DB444" s="9"/>
      <c r="DC444" s="149" t="n">
        <f aca="false">IF(OR(ISNUMBER($CZ444),$CZ444=Constants!$B$9,$CZ444=Constants!$B$7,$CZ444=Constants!$B$8),1,0)</f>
        <v>0</v>
      </c>
      <c r="DD444" s="149" t="n">
        <v>436</v>
      </c>
      <c r="DE444" s="149" t="str">
        <f aca="false">IF(ISBLANK($C444),"",IF(ISNUMBER($DA444),$DA444+ROW($B444)/1000,""))</f>
        <v/>
      </c>
      <c r="DF444" s="149" t="str">
        <f aca="false">IF(ISNUMBER($DE444),RANK($DE444,$DE$9:$DE$508,1),"")</f>
        <v/>
      </c>
      <c r="DG444" s="149" t="str">
        <f aca="false">IF(ISBLANK($C444),"",$B444)</f>
        <v/>
      </c>
      <c r="DH444" s="149" t="str">
        <f aca="false">IF(ISBLANK($C444),"",$C444)</f>
        <v/>
      </c>
      <c r="DI444" s="149" t="str">
        <f aca="false">IF(ISBLANK($C444),"",$D444)</f>
        <v/>
      </c>
      <c r="DJ444" s="150" t="str">
        <f aca="false">$CX444</f>
        <v/>
      </c>
      <c r="DK444" s="151" t="str">
        <f aca="false">$CW444</f>
        <v/>
      </c>
      <c r="DL444" s="149" t="str">
        <f aca="false">IF(ISBLANK($C444),"",$CZ444)</f>
        <v/>
      </c>
      <c r="DM444" s="152" t="str">
        <f aca="false">IF($DD444&gt;$DC$8,"",VLOOKUP($DD444,$DF$9:$DL$508,7,FALSE()))</f>
        <v/>
      </c>
      <c r="DN444" s="153" t="str">
        <f aca="false">IF($DD444&gt;$DC$8,"",VLOOKUP($DD444,$DF$9:$DL$508,2,FALSE()))</f>
        <v/>
      </c>
      <c r="DO444" s="153" t="str">
        <f aca="false">IF($DD444&gt;$DC$8,"",VLOOKUP($DD444,$DF$9:$DL$508,3,FALSE()))</f>
        <v/>
      </c>
      <c r="DP444" s="153" t="str">
        <f aca="false">IF($DD444&gt;$DC$8,"",VLOOKUP($DD444,$DF$9:$DL$508,4,FALSE()))</f>
        <v/>
      </c>
      <c r="DQ444" s="153" t="str">
        <f aca="false">IF($DD444&gt;$DC$8,"",VLOOKUP($DD444,$DF$9:$DL$508,5,FALSE()))</f>
        <v/>
      </c>
      <c r="DR444" s="154" t="str">
        <f aca="false">IF($DD444&gt;$DC$8,"",VLOOKUP($DD444,$DF$9:$DL$508,6,FALSE()))</f>
        <v/>
      </c>
      <c r="DS444" s="76"/>
    </row>
    <row r="445" customFormat="false" ht="15.75" hidden="false" customHeight="false" outlineLevel="0" collapsed="false">
      <c r="A445" s="9"/>
      <c r="B445" s="160"/>
      <c r="C445" s="161"/>
      <c r="D445" s="162"/>
      <c r="E445" s="180"/>
      <c r="F445" s="164"/>
      <c r="G445" s="165"/>
      <c r="H445" s="165"/>
      <c r="I445" s="181"/>
      <c r="J445" s="168"/>
      <c r="K445" s="128"/>
      <c r="L445" s="129"/>
      <c r="M445" s="130"/>
      <c r="N445" s="168"/>
      <c r="O445" s="168"/>
      <c r="P445" s="180"/>
      <c r="Q445" s="168"/>
      <c r="R445" s="168"/>
      <c r="S445" s="128"/>
      <c r="T445" s="130"/>
      <c r="U445" s="130"/>
      <c r="V445" s="168"/>
      <c r="W445" s="168"/>
      <c r="X445" s="180"/>
      <c r="Y445" s="168"/>
      <c r="Z445" s="169"/>
      <c r="AA445" s="168"/>
      <c r="AB445" s="134"/>
      <c r="AC445" s="135"/>
      <c r="AD445" s="135"/>
      <c r="AE445" s="135"/>
      <c r="AF445" s="135" t="str">
        <f aca="false">IF(ISBLANK($C445),"",IF(E445=Constants!$B$2,TRUE(),IF(E445=Constants!$B$3,FALSE(),TRUE())))</f>
        <v/>
      </c>
      <c r="AG445" s="135" t="str">
        <f aca="false">IF(ISBLANK($C445),"",IF(F445=Constants!$B$2,TRUE(),IF(F445=Constants!$B$3,FALSE(),TRUE())))</f>
        <v/>
      </c>
      <c r="AH445" s="135" t="str">
        <f aca="false">IF(ISBLANK($C445),"",IF(G445=Constants!$B$2,TRUE(),IF(G445=Constants!$B$3,FALSE(),TRUE())))</f>
        <v/>
      </c>
      <c r="AI445" s="135" t="str">
        <f aca="false">IF(ISBLANK($C445),"",IF(AND(ISNUMBER(H445),H445&gt;=0),H445,Constants!$B$24))</f>
        <v/>
      </c>
      <c r="AJ445" s="135" t="str">
        <f aca="false">IF(ISBLANK($C445),"",IF(I445=Constants!$B$2,TRUE(),IF(I445=Constants!$B$3,FALSE(),TRUE())))</f>
        <v/>
      </c>
      <c r="AK445" s="135" t="str">
        <f aca="false">IF(ISBLANK($C445),"",IF(J445=Constants!$B$2,TRUE(),IF(J445=Constants!$B$3,FALSE(),TRUE())))</f>
        <v/>
      </c>
      <c r="AL445" s="135" t="str">
        <f aca="false">IF(ISBLANK($C445),"",IF(K445=Constants!$B$4,TRUE(),IF(K445=Constants!$B$5,FALSE(),COUNTA(L445:P445)&gt;0)))</f>
        <v/>
      </c>
      <c r="AM445" s="136" t="str">
        <f aca="false">IF(ISBLANK($C445),"",IF(ISNUMBER(L445),IF(L445&gt;=0,L445,""),""))</f>
        <v/>
      </c>
      <c r="AN445" s="137" t="str">
        <f aca="false">IF(ISBLANK($C445),"",IF(ISNUMBER(M445),IF(M445&gt;=0,M445,""),""))</f>
        <v/>
      </c>
      <c r="AO445" s="137" t="str">
        <f aca="false">IF(ISBLANK($C445),"",IF(N445=Constants!$B$2,TRUE(),IF(N445=Constants!$B$3,FALSE(),TRUE())))</f>
        <v/>
      </c>
      <c r="AP445" s="135" t="str">
        <f aca="false">IF(ISBLANK($C445),"",IF(ISNUMBER(O445),IF(O445&gt;=0,O445,""),""))</f>
        <v/>
      </c>
      <c r="AQ445" s="135" t="str">
        <f aca="false">IF(ISBLANK($C445),"",IF(P445=Constants!$B$2,TRUE(),IF(P445=Constants!$B$3,FALSE(),FALSE())))</f>
        <v/>
      </c>
      <c r="AR445" s="135" t="str">
        <f aca="false">IF(ISBLANK($C445),"",IF(Q445=Constants!$B$2,TRUE(),IF(Q445=Constants!$B$3,FALSE(),TRUE())))</f>
        <v/>
      </c>
      <c r="AS445" s="135" t="str">
        <f aca="false">IF(ISBLANK($C445),"",IF(R445=Constants!$B$2,TRUE(),IF(R445=Constants!$B$3,FALSE(),TRUE())))</f>
        <v/>
      </c>
      <c r="AT445" s="135" t="str">
        <f aca="false">IF(ISBLANK($C445),"",IF(S445=Constants!$B$4,TRUE(),IF(S445=Constants!$B$5,FALSE(),COUNTA(T445:X445)&gt;0)))</f>
        <v/>
      </c>
      <c r="AU445" s="136" t="str">
        <f aca="false">IF(ISBLANK($C445),"",IF(ISNUMBER(T445),IF(T445&gt;=0,T445,""),""))</f>
        <v/>
      </c>
      <c r="AV445" s="137" t="str">
        <f aca="false">IF(ISBLANK($C445),"",IF(ISNUMBER(U445),IF(U445&gt;=0,U445,""),""))</f>
        <v/>
      </c>
      <c r="AW445" s="137" t="str">
        <f aca="false">IF(ISBLANK($C445),"",IF(V445=Constants!$B$2,TRUE(),IF(V445=Constants!$B$3,FALSE(),TRUE())))</f>
        <v/>
      </c>
      <c r="AX445" s="135" t="str">
        <f aca="false">IF(ISBLANK($C445),"",IF(ISNUMBER(W445),IF(W445&gt;=0,W445,""),""))</f>
        <v/>
      </c>
      <c r="AY445" s="135" t="str">
        <f aca="false">IF(ISBLANK($C445),"",IF(X445=Constants!$B$2,TRUE(),IF(X445=Constants!$B$3,FALSE(),FALSE())))</f>
        <v/>
      </c>
      <c r="AZ445" s="135" t="str">
        <f aca="false">IF(ISBLANK($C445),"",MIN(Constants!$B$25,MAX(0,IF(ISNUMBER(Y445),Y445*60,0)+IF(ISNUMBER(Z445),Z445,0))))</f>
        <v/>
      </c>
      <c r="BA445" s="135" t="str">
        <f aca="false">IF(ISBLANK($C445),"",IF(AA445=Constants!$B$2,TRUE(),IF(AA445=Constants!$B$3,FALSE(),FALSE())))</f>
        <v/>
      </c>
      <c r="BB445" s="134" t="str">
        <f aca="false">IF(ISBLANK($C445),"",AND($AL445,OR($AM445="",$AN445="",AND($AO445,$AP445=""))))</f>
        <v/>
      </c>
      <c r="BC445" s="137" t="str">
        <f aca="false">IF($BX445&lt;&gt;Constants!$B$6,"",IF($AL445,Constants!$B$17*$AN445+Constants!$B$18*IF($AO445,$AP445,Constants!$B$19),Constants!$B$20))</f>
        <v/>
      </c>
      <c r="BD445" s="138" t="str">
        <f aca="false">IF($BX445&lt;&gt;Constants!$B$6,"",Constants!$B$21*ABS($AD$9-IF($AL445,$AM445,0)))</f>
        <v/>
      </c>
      <c r="BE445" s="138" t="str">
        <f aca="false">IF($BX445&lt;&gt;Constants!$B$6,"",IF(AND($AL445,$AQ445,$AO445),Constants!$B$22,0))</f>
        <v/>
      </c>
      <c r="BF445" s="138" t="str">
        <f aca="false">IF($BX445&lt;&gt;Constants!$B$6,"",IF($AL445,($AI445-Constants!$B$24)*Constants!$B$23,0))</f>
        <v/>
      </c>
      <c r="BG445" s="138" t="str">
        <f aca="false">IF($BX445&lt;&gt;Constants!$B$6,"",IF($AK445,0,Constants!$B$12)+IF($AJ445,0,Constants!$B$13)+IF($AH445,0,Constants!$B$14))</f>
        <v/>
      </c>
      <c r="BH445" s="139" t="str">
        <f aca="false">IF($BX445&lt;&gt;Constants!$B$6,"",Constants!$B$16+SUM($BC445:$BG445))</f>
        <v/>
      </c>
      <c r="BI445" s="138" t="str">
        <f aca="false">IF($BX445&lt;&gt;Constants!$B$6,"",$BC445)</f>
        <v/>
      </c>
      <c r="BJ445" s="138" t="str">
        <f aca="false">IF($BX445&lt;&gt;Constants!$B$6,"",$BD445)</f>
        <v/>
      </c>
      <c r="BK445" s="140" t="str">
        <f aca="false">IF($BX445&lt;&gt;Constants!$B$6,"",IF($AL445,$AN445,""))</f>
        <v/>
      </c>
      <c r="BL445" s="135" t="str">
        <f aca="false">IF($BX445&lt;&gt;Constants!$B$6,"",IF(OR($BS445&lt;$BH445,AND($BS445=$BH445,OR($BT445&lt;$BI445,AND($BT445=$BI445,OR($BU445&lt;$BJ445,AND($BU445=$BJ445,AND(ISNUMBER($BV445),OR(NOT(ISNUMBER($BK445)),$BV445&lt;$BK445)))))))),"-&gt;","&lt;-"))</f>
        <v/>
      </c>
      <c r="BM445" s="134" t="str">
        <f aca="false">IF(ISBLANK($C445),"",AND($AT445,OR($AU445="",$AV445="",AND($AW445,$AX445=""))))</f>
        <v/>
      </c>
      <c r="BN445" s="137" t="str">
        <f aca="false">IF($BX445&lt;&gt;Constants!$B$6,"",IF($AT445,Constants!$B$17*$AV445+Constants!$B$18*IF($AW445,$AX445,Constants!$B$19),Constants!$B$20))</f>
        <v/>
      </c>
      <c r="BO445" s="138" t="str">
        <f aca="false">IF($BX445&lt;&gt;Constants!$B$6,"",Constants!$B$21*ABS($AD$9-IF($AT445,$AU445,0)))</f>
        <v/>
      </c>
      <c r="BP445" s="138" t="str">
        <f aca="false">IF($BX445&lt;&gt;Constants!$B$6,"",IF(AND($AT445,$AY445,$AW445),Constants!$B$22,0))</f>
        <v/>
      </c>
      <c r="BQ445" s="138" t="str">
        <f aca="false">IF($BX445&lt;&gt;Constants!$B$6,"",IF($AT445,($AI445-Constants!$B$24)*Constants!$B$23,0))</f>
        <v/>
      </c>
      <c r="BR445" s="138" t="str">
        <f aca="false">IF($BX445&lt;&gt;Constants!$B$6,"",IF($AS445,0,Constants!$B$12)+IF($AR445,0,Constants!$B$13)+IF($AH445,0,Constants!$B$14))</f>
        <v/>
      </c>
      <c r="BS445" s="139" t="str">
        <f aca="false">IF($BX445&lt;&gt;Constants!$B$6,"",Constants!$B$16+SUM($BN445:$BR445))</f>
        <v/>
      </c>
      <c r="BT445" s="138" t="str">
        <f aca="false">IF($BX445&lt;&gt;Constants!$B$6,"",$BN445)</f>
        <v/>
      </c>
      <c r="BU445" s="138" t="str">
        <f aca="false">IF($BX445&lt;&gt;Constants!$B$6,"",$BO445)</f>
        <v/>
      </c>
      <c r="BV445" s="140" t="str">
        <f aca="false">IF($BX445&lt;&gt;Constants!$B$6,"",IF($AT445,$AV445,""))</f>
        <v/>
      </c>
      <c r="BW445" s="135" t="str">
        <f aca="false">IF(ISBLANK($C445),"",IF(ISBLANK($D$7),$BW$5,IF(NOT(ISNUMBER($D$7)),$BW$6,"")))</f>
        <v/>
      </c>
      <c r="BX445" s="135" t="str">
        <f aca="false">IF(ISBLANK($C445),"",IF($BA445,Constants!$B$9,IF(COUNTA($E445:$AA445)=0,Constants!$B$8,IF(NOT($AG445),Constants!$B$7,IF(OR($BW445&lt;&gt;"",$BB445,$BM445),Constants!$B$10,Constants!$B$6)))))</f>
        <v/>
      </c>
      <c r="BY445" s="135" t="str">
        <f aca="false">IF(ISBLANK($C445),"",IF($BX445&lt;&gt;Constants!$B$6,$BX445,Constants!$B$11))</f>
        <v/>
      </c>
      <c r="BZ445" s="138" t="str">
        <f aca="false">IF($BX445&lt;&gt;Constants!$B$6,"",IF($BL445="-&gt;",$BS445,$BH445))</f>
        <v/>
      </c>
      <c r="CA445" s="138" t="str">
        <f aca="false">IF($BX445&lt;&gt;Constants!$B$6,"",IF($AF445,0,Constants!$B$15))</f>
        <v/>
      </c>
      <c r="CB445" s="138" t="str">
        <f aca="false">IF($BX445&lt;&gt;Constants!$B$6,"",((Constants!$B$25-$AZ445)-Constants!$B$25)/Constants!$B$26)</f>
        <v/>
      </c>
      <c r="CC445" s="138" t="str">
        <f aca="false">IF(ISBLANK($C445),"",IF($BX445&lt;&gt;Constants!$B$6,$BX445,SUM($BZ445:$CB445)))</f>
        <v/>
      </c>
      <c r="CD445" s="135" t="str">
        <f aca="false">IF(ISBLANK($C445),"",IF($BX445&lt;&gt;Constants!$B$6,$BX445,RANK($CC445,$CC$9:$CC$508,1)))</f>
        <v/>
      </c>
      <c r="CE445" s="138" t="str">
        <f aca="false">IF($BX445&lt;&gt;Constants!$B$6,"",IF($BL445="-&gt;",$BT445,$BI445))</f>
        <v/>
      </c>
      <c r="CF445" s="135" t="str">
        <f aca="false">IF(ISBLANK($C445),"",IF($BX445&lt;&gt;Constants!$B$6,$BX445,IF(ISNUMBER($CE445),RANK($CE445,$CE$9:$CE$508,1),COUNT($CE$9:$CE$508)+1)))</f>
        <v/>
      </c>
      <c r="CG445" s="138" t="str">
        <f aca="false">IF($BX445&lt;&gt;Constants!$B$6,"",IF($BL445="-&gt;",$BU445,$BJ445))</f>
        <v/>
      </c>
      <c r="CH445" s="135" t="str">
        <f aca="false">IF(ISBLANK($C445),"",IF($BX445&lt;&gt;Constants!$B$6,$BX445,IF(ISNUMBER($CG445),RANK($CG445,$CG$9:$CG$508,1),COUNT($CG$9:$CG$508)+1)))</f>
        <v/>
      </c>
      <c r="CI445" s="138" t="str">
        <f aca="false">IF($BX445&lt;&gt;Constants!$B$6,"",IF($BL445="-&gt;",$BV445,$BK445))</f>
        <v/>
      </c>
      <c r="CJ445" s="135" t="str">
        <f aca="false">IF(ISBLANK($C445),"",IF($BX445&lt;&gt;Constants!$B$6,$BX445,IF(ISNUMBER($CI445),RANK($CI445,$CI$9:$CI$508,1),COUNT($CI$9:$CI$508)+1)))</f>
        <v/>
      </c>
      <c r="CK445" s="138" t="str">
        <f aca="false">IF($BX445&lt;&gt;Constants!$B$6,"",$AI445)</f>
        <v/>
      </c>
      <c r="CL445" s="135" t="str">
        <f aca="false">IF(ISBLANK($C445),"",IF($BX445&lt;&gt;Constants!$B$6,$BX445,IF(ISNUMBER($CK445),RANK($CK445,$CK$9:$CK$508,1),COUNT($CK$9:$CK$508)+1)))</f>
        <v/>
      </c>
      <c r="CM445" s="135" t="str">
        <f aca="false">IF(ISBLANK($C445),"",IF($BX445&lt;&gt;Constants!$B$6,$BX445,COUNTIFS($CD$9:$CD$508,"&lt;"&amp;$CD445)+COUNTIFS($CD$9:$CD$508,$CD445,$CF$9:$CF$508,"&lt;"&amp;$CF445)+COUNTIFS($CD$9:$CD$508,$CD445,$CF$9:$CF$508,$CF445,$CH$9:$CH$508,"&lt;"&amp;$CH445)+COUNTIFS($CD$9:$CD$508,$CD445,$CF$9:$CF$508,$CF445,$CH$9:$CH$508,$CH445,$CJ$9:$CJ$508,"&lt;"&amp;$CJ445)+COUNTIFS($CD$9:$CD$508,$CD445,$CF$9:$CF$508,$CF445,$CH$9:$CH$508,$CH445,$CJ$9:$CJ$508,$CJ445,$CL$9:$CL$508,"&lt;"&amp;$CL445)+1))</f>
        <v/>
      </c>
      <c r="CN445" s="135" t="str">
        <f aca="false">IF(ISBLANK($C445),"",IF($BX445&lt;&gt;Constants!$B$6,$BX445,$CD445-$CM445))</f>
        <v/>
      </c>
      <c r="CO445" s="141"/>
      <c r="CP445" s="142"/>
      <c r="CQ445" s="143" t="str">
        <f aca="false">IF(ISBLANK($C445),"",IF($BX445=Constants!$B$10,$BW445,""))</f>
        <v/>
      </c>
      <c r="CR445" s="142" t="str">
        <f aca="false">IF(ISBLANK($C445),"",IF($BX445&lt;&gt;Constants!$B$6,"",IF($BL445="-&gt;",2,1)))</f>
        <v/>
      </c>
      <c r="CS445" s="144" t="str">
        <f aca="false">IF(ISBLANK($C445),"",IF($BX445&lt;&gt;Constants!$B$6,"",IF($BL445="-&gt;",$BN445,$BC445)))</f>
        <v/>
      </c>
      <c r="CT445" s="144" t="str">
        <f aca="false">IF(ISBLANK($C445),"",IF($BX445&lt;&gt;Constants!$B$6,"",IF($BL445="-&gt;",$BO445,$BD445)))</f>
        <v/>
      </c>
      <c r="CU445" s="144" t="str">
        <f aca="false">IF(ISBLANK($C445),"",IF($BX445&lt;&gt;Constants!$B$6,"",IF($BL445="-&gt;",$BP445+$BQ445,$BE445+$BF445)+$CB445))</f>
        <v/>
      </c>
      <c r="CV445" s="144" t="str">
        <f aca="false">IF(ISBLANK($C445),"",IF($BX445&lt;&gt;Constants!$B$6,"",IF($BL445="-&gt;",$BR445,$BG445)+$CA445))</f>
        <v/>
      </c>
      <c r="CW445" s="145" t="str">
        <f aca="false">IF(ISBLANK($C445),"",IF($BX445&lt;&gt;Constants!$B$6,$BX445,$CC445))</f>
        <v/>
      </c>
      <c r="CX445" s="146" t="str">
        <f aca="false">IF(ISBLANK($C445),"",$BY445)</f>
        <v/>
      </c>
      <c r="CY445" s="147" t="str">
        <f aca="false">IF(ISBLANK($C445),"",$CN445)</f>
        <v/>
      </c>
      <c r="CZ445" s="147" t="str">
        <f aca="false">IF(ISBLANK($C445),"",$CM445)</f>
        <v/>
      </c>
      <c r="DA445" s="148" t="str">
        <f aca="false">IF(ISBLANK($C445),"",IFERROR(_xlfn.SWITCH($CZ445,Constants!$B$9,COUNTA($C$9:$C$508)+2,Constants!$B$8,COUNTA($C$9:$C$508)+1,Constants!$B$7,COUNTA($C$9:$C$508)),$CZ445))</f>
        <v/>
      </c>
      <c r="DB445" s="9"/>
      <c r="DC445" s="149" t="n">
        <f aca="false">IF(OR(ISNUMBER($CZ445),$CZ445=Constants!$B$9,$CZ445=Constants!$B$7,$CZ445=Constants!$B$8),1,0)</f>
        <v>0</v>
      </c>
      <c r="DD445" s="149" t="n">
        <v>437</v>
      </c>
      <c r="DE445" s="149" t="str">
        <f aca="false">IF(ISBLANK($C445),"",IF(ISNUMBER($DA445),$DA445+ROW($B445)/1000,""))</f>
        <v/>
      </c>
      <c r="DF445" s="149" t="str">
        <f aca="false">IF(ISNUMBER($DE445),RANK($DE445,$DE$9:$DE$508,1),"")</f>
        <v/>
      </c>
      <c r="DG445" s="149" t="str">
        <f aca="false">IF(ISBLANK($C445),"",$B445)</f>
        <v/>
      </c>
      <c r="DH445" s="149" t="str">
        <f aca="false">IF(ISBLANK($C445),"",$C445)</f>
        <v/>
      </c>
      <c r="DI445" s="149" t="str">
        <f aca="false">IF(ISBLANK($C445),"",$D445)</f>
        <v/>
      </c>
      <c r="DJ445" s="150" t="str">
        <f aca="false">$CX445</f>
        <v/>
      </c>
      <c r="DK445" s="151" t="str">
        <f aca="false">$CW445</f>
        <v/>
      </c>
      <c r="DL445" s="149" t="str">
        <f aca="false">IF(ISBLANK($C445),"",$CZ445)</f>
        <v/>
      </c>
      <c r="DM445" s="152" t="str">
        <f aca="false">IF($DD445&gt;$DC$8,"",VLOOKUP($DD445,$DF$9:$DL$508,7,FALSE()))</f>
        <v/>
      </c>
      <c r="DN445" s="153" t="str">
        <f aca="false">IF($DD445&gt;$DC$8,"",VLOOKUP($DD445,$DF$9:$DL$508,2,FALSE()))</f>
        <v/>
      </c>
      <c r="DO445" s="153" t="str">
        <f aca="false">IF($DD445&gt;$DC$8,"",VLOOKUP($DD445,$DF$9:$DL$508,3,FALSE()))</f>
        <v/>
      </c>
      <c r="DP445" s="153" t="str">
        <f aca="false">IF($DD445&gt;$DC$8,"",VLOOKUP($DD445,$DF$9:$DL$508,4,FALSE()))</f>
        <v/>
      </c>
      <c r="DQ445" s="153" t="str">
        <f aca="false">IF($DD445&gt;$DC$8,"",VLOOKUP($DD445,$DF$9:$DL$508,5,FALSE()))</f>
        <v/>
      </c>
      <c r="DR445" s="154" t="str">
        <f aca="false">IF($DD445&gt;$DC$8,"",VLOOKUP($DD445,$DF$9:$DL$508,6,FALSE()))</f>
        <v/>
      </c>
      <c r="DS445" s="76"/>
    </row>
    <row r="446" customFormat="false" ht="15.75" hidden="false" customHeight="false" outlineLevel="0" collapsed="false">
      <c r="A446" s="9"/>
      <c r="B446" s="160"/>
      <c r="C446" s="161"/>
      <c r="D446" s="162"/>
      <c r="E446" s="180"/>
      <c r="F446" s="164"/>
      <c r="G446" s="165"/>
      <c r="H446" s="165"/>
      <c r="I446" s="181"/>
      <c r="J446" s="168"/>
      <c r="K446" s="128"/>
      <c r="L446" s="129"/>
      <c r="M446" s="130"/>
      <c r="N446" s="168"/>
      <c r="O446" s="168"/>
      <c r="P446" s="180"/>
      <c r="Q446" s="168"/>
      <c r="R446" s="168"/>
      <c r="S446" s="128"/>
      <c r="T446" s="130"/>
      <c r="U446" s="130"/>
      <c r="V446" s="168"/>
      <c r="W446" s="168"/>
      <c r="X446" s="180"/>
      <c r="Y446" s="168"/>
      <c r="Z446" s="169"/>
      <c r="AA446" s="168"/>
      <c r="AB446" s="134"/>
      <c r="AC446" s="135"/>
      <c r="AD446" s="135"/>
      <c r="AE446" s="135"/>
      <c r="AF446" s="135" t="str">
        <f aca="false">IF(ISBLANK($C446),"",IF(E446=Constants!$B$2,TRUE(),IF(E446=Constants!$B$3,FALSE(),TRUE())))</f>
        <v/>
      </c>
      <c r="AG446" s="135" t="str">
        <f aca="false">IF(ISBLANK($C446),"",IF(F446=Constants!$B$2,TRUE(),IF(F446=Constants!$B$3,FALSE(),TRUE())))</f>
        <v/>
      </c>
      <c r="AH446" s="135" t="str">
        <f aca="false">IF(ISBLANK($C446),"",IF(G446=Constants!$B$2,TRUE(),IF(G446=Constants!$B$3,FALSE(),TRUE())))</f>
        <v/>
      </c>
      <c r="AI446" s="135" t="str">
        <f aca="false">IF(ISBLANK($C446),"",IF(AND(ISNUMBER(H446),H446&gt;=0),H446,Constants!$B$24))</f>
        <v/>
      </c>
      <c r="AJ446" s="135" t="str">
        <f aca="false">IF(ISBLANK($C446),"",IF(I446=Constants!$B$2,TRUE(),IF(I446=Constants!$B$3,FALSE(),TRUE())))</f>
        <v/>
      </c>
      <c r="AK446" s="135" t="str">
        <f aca="false">IF(ISBLANK($C446),"",IF(J446=Constants!$B$2,TRUE(),IF(J446=Constants!$B$3,FALSE(),TRUE())))</f>
        <v/>
      </c>
      <c r="AL446" s="135" t="str">
        <f aca="false">IF(ISBLANK($C446),"",IF(K446=Constants!$B$4,TRUE(),IF(K446=Constants!$B$5,FALSE(),COUNTA(L446:P446)&gt;0)))</f>
        <v/>
      </c>
      <c r="AM446" s="136" t="str">
        <f aca="false">IF(ISBLANK($C446),"",IF(ISNUMBER(L446),IF(L446&gt;=0,L446,""),""))</f>
        <v/>
      </c>
      <c r="AN446" s="137" t="str">
        <f aca="false">IF(ISBLANK($C446),"",IF(ISNUMBER(M446),IF(M446&gt;=0,M446,""),""))</f>
        <v/>
      </c>
      <c r="AO446" s="137" t="str">
        <f aca="false">IF(ISBLANK($C446),"",IF(N446=Constants!$B$2,TRUE(),IF(N446=Constants!$B$3,FALSE(),TRUE())))</f>
        <v/>
      </c>
      <c r="AP446" s="135" t="str">
        <f aca="false">IF(ISBLANK($C446),"",IF(ISNUMBER(O446),IF(O446&gt;=0,O446,""),""))</f>
        <v/>
      </c>
      <c r="AQ446" s="135" t="str">
        <f aca="false">IF(ISBLANK($C446),"",IF(P446=Constants!$B$2,TRUE(),IF(P446=Constants!$B$3,FALSE(),FALSE())))</f>
        <v/>
      </c>
      <c r="AR446" s="135" t="str">
        <f aca="false">IF(ISBLANK($C446),"",IF(Q446=Constants!$B$2,TRUE(),IF(Q446=Constants!$B$3,FALSE(),TRUE())))</f>
        <v/>
      </c>
      <c r="AS446" s="135" t="str">
        <f aca="false">IF(ISBLANK($C446),"",IF(R446=Constants!$B$2,TRUE(),IF(R446=Constants!$B$3,FALSE(),TRUE())))</f>
        <v/>
      </c>
      <c r="AT446" s="135" t="str">
        <f aca="false">IF(ISBLANK($C446),"",IF(S446=Constants!$B$4,TRUE(),IF(S446=Constants!$B$5,FALSE(),COUNTA(T446:X446)&gt;0)))</f>
        <v/>
      </c>
      <c r="AU446" s="136" t="str">
        <f aca="false">IF(ISBLANK($C446),"",IF(ISNUMBER(T446),IF(T446&gt;=0,T446,""),""))</f>
        <v/>
      </c>
      <c r="AV446" s="137" t="str">
        <f aca="false">IF(ISBLANK($C446),"",IF(ISNUMBER(U446),IF(U446&gt;=0,U446,""),""))</f>
        <v/>
      </c>
      <c r="AW446" s="137" t="str">
        <f aca="false">IF(ISBLANK($C446),"",IF(V446=Constants!$B$2,TRUE(),IF(V446=Constants!$B$3,FALSE(),TRUE())))</f>
        <v/>
      </c>
      <c r="AX446" s="135" t="str">
        <f aca="false">IF(ISBLANK($C446),"",IF(ISNUMBER(W446),IF(W446&gt;=0,W446,""),""))</f>
        <v/>
      </c>
      <c r="AY446" s="135" t="str">
        <f aca="false">IF(ISBLANK($C446),"",IF(X446=Constants!$B$2,TRUE(),IF(X446=Constants!$B$3,FALSE(),FALSE())))</f>
        <v/>
      </c>
      <c r="AZ446" s="135" t="str">
        <f aca="false">IF(ISBLANK($C446),"",MIN(Constants!$B$25,MAX(0,IF(ISNUMBER(Y446),Y446*60,0)+IF(ISNUMBER(Z446),Z446,0))))</f>
        <v/>
      </c>
      <c r="BA446" s="135" t="str">
        <f aca="false">IF(ISBLANK($C446),"",IF(AA446=Constants!$B$2,TRUE(),IF(AA446=Constants!$B$3,FALSE(),FALSE())))</f>
        <v/>
      </c>
      <c r="BB446" s="134" t="str">
        <f aca="false">IF(ISBLANK($C446),"",AND($AL446,OR($AM446="",$AN446="",AND($AO446,$AP446=""))))</f>
        <v/>
      </c>
      <c r="BC446" s="137" t="str">
        <f aca="false">IF($BX446&lt;&gt;Constants!$B$6,"",IF($AL446,Constants!$B$17*$AN446+Constants!$B$18*IF($AO446,$AP446,Constants!$B$19),Constants!$B$20))</f>
        <v/>
      </c>
      <c r="BD446" s="138" t="str">
        <f aca="false">IF($BX446&lt;&gt;Constants!$B$6,"",Constants!$B$21*ABS($AD$9-IF($AL446,$AM446,0)))</f>
        <v/>
      </c>
      <c r="BE446" s="138" t="str">
        <f aca="false">IF($BX446&lt;&gt;Constants!$B$6,"",IF(AND($AL446,$AQ446,$AO446),Constants!$B$22,0))</f>
        <v/>
      </c>
      <c r="BF446" s="138" t="str">
        <f aca="false">IF($BX446&lt;&gt;Constants!$B$6,"",IF($AL446,($AI446-Constants!$B$24)*Constants!$B$23,0))</f>
        <v/>
      </c>
      <c r="BG446" s="138" t="str">
        <f aca="false">IF($BX446&lt;&gt;Constants!$B$6,"",IF($AK446,0,Constants!$B$12)+IF($AJ446,0,Constants!$B$13)+IF($AH446,0,Constants!$B$14))</f>
        <v/>
      </c>
      <c r="BH446" s="139" t="str">
        <f aca="false">IF($BX446&lt;&gt;Constants!$B$6,"",Constants!$B$16+SUM($BC446:$BG446))</f>
        <v/>
      </c>
      <c r="BI446" s="138" t="str">
        <f aca="false">IF($BX446&lt;&gt;Constants!$B$6,"",$BC446)</f>
        <v/>
      </c>
      <c r="BJ446" s="138" t="str">
        <f aca="false">IF($BX446&lt;&gt;Constants!$B$6,"",$BD446)</f>
        <v/>
      </c>
      <c r="BK446" s="140" t="str">
        <f aca="false">IF($BX446&lt;&gt;Constants!$B$6,"",IF($AL446,$AN446,""))</f>
        <v/>
      </c>
      <c r="BL446" s="135" t="str">
        <f aca="false">IF($BX446&lt;&gt;Constants!$B$6,"",IF(OR($BS446&lt;$BH446,AND($BS446=$BH446,OR($BT446&lt;$BI446,AND($BT446=$BI446,OR($BU446&lt;$BJ446,AND($BU446=$BJ446,AND(ISNUMBER($BV446),OR(NOT(ISNUMBER($BK446)),$BV446&lt;$BK446)))))))),"-&gt;","&lt;-"))</f>
        <v/>
      </c>
      <c r="BM446" s="134" t="str">
        <f aca="false">IF(ISBLANK($C446),"",AND($AT446,OR($AU446="",$AV446="",AND($AW446,$AX446=""))))</f>
        <v/>
      </c>
      <c r="BN446" s="137" t="str">
        <f aca="false">IF($BX446&lt;&gt;Constants!$B$6,"",IF($AT446,Constants!$B$17*$AV446+Constants!$B$18*IF($AW446,$AX446,Constants!$B$19),Constants!$B$20))</f>
        <v/>
      </c>
      <c r="BO446" s="138" t="str">
        <f aca="false">IF($BX446&lt;&gt;Constants!$B$6,"",Constants!$B$21*ABS($AD$9-IF($AT446,$AU446,0)))</f>
        <v/>
      </c>
      <c r="BP446" s="138" t="str">
        <f aca="false">IF($BX446&lt;&gt;Constants!$B$6,"",IF(AND($AT446,$AY446,$AW446),Constants!$B$22,0))</f>
        <v/>
      </c>
      <c r="BQ446" s="138" t="str">
        <f aca="false">IF($BX446&lt;&gt;Constants!$B$6,"",IF($AT446,($AI446-Constants!$B$24)*Constants!$B$23,0))</f>
        <v/>
      </c>
      <c r="BR446" s="138" t="str">
        <f aca="false">IF($BX446&lt;&gt;Constants!$B$6,"",IF($AS446,0,Constants!$B$12)+IF($AR446,0,Constants!$B$13)+IF($AH446,0,Constants!$B$14))</f>
        <v/>
      </c>
      <c r="BS446" s="139" t="str">
        <f aca="false">IF($BX446&lt;&gt;Constants!$B$6,"",Constants!$B$16+SUM($BN446:$BR446))</f>
        <v/>
      </c>
      <c r="BT446" s="138" t="str">
        <f aca="false">IF($BX446&lt;&gt;Constants!$B$6,"",$BN446)</f>
        <v/>
      </c>
      <c r="BU446" s="138" t="str">
        <f aca="false">IF($BX446&lt;&gt;Constants!$B$6,"",$BO446)</f>
        <v/>
      </c>
      <c r="BV446" s="140" t="str">
        <f aca="false">IF($BX446&lt;&gt;Constants!$B$6,"",IF($AT446,$AV446,""))</f>
        <v/>
      </c>
      <c r="BW446" s="135" t="str">
        <f aca="false">IF(ISBLANK($C446),"",IF(ISBLANK($D$7),$BW$5,IF(NOT(ISNUMBER($D$7)),$BW$6,"")))</f>
        <v/>
      </c>
      <c r="BX446" s="135" t="str">
        <f aca="false">IF(ISBLANK($C446),"",IF($BA446,Constants!$B$9,IF(COUNTA($E446:$AA446)=0,Constants!$B$8,IF(NOT($AG446),Constants!$B$7,IF(OR($BW446&lt;&gt;"",$BB446,$BM446),Constants!$B$10,Constants!$B$6)))))</f>
        <v/>
      </c>
      <c r="BY446" s="135" t="str">
        <f aca="false">IF(ISBLANK($C446),"",IF($BX446&lt;&gt;Constants!$B$6,$BX446,Constants!$B$11))</f>
        <v/>
      </c>
      <c r="BZ446" s="138" t="str">
        <f aca="false">IF($BX446&lt;&gt;Constants!$B$6,"",IF($BL446="-&gt;",$BS446,$BH446))</f>
        <v/>
      </c>
      <c r="CA446" s="138" t="str">
        <f aca="false">IF($BX446&lt;&gt;Constants!$B$6,"",IF($AF446,0,Constants!$B$15))</f>
        <v/>
      </c>
      <c r="CB446" s="138" t="str">
        <f aca="false">IF($BX446&lt;&gt;Constants!$B$6,"",((Constants!$B$25-$AZ446)-Constants!$B$25)/Constants!$B$26)</f>
        <v/>
      </c>
      <c r="CC446" s="138" t="str">
        <f aca="false">IF(ISBLANK($C446),"",IF($BX446&lt;&gt;Constants!$B$6,$BX446,SUM($BZ446:$CB446)))</f>
        <v/>
      </c>
      <c r="CD446" s="135" t="str">
        <f aca="false">IF(ISBLANK($C446),"",IF($BX446&lt;&gt;Constants!$B$6,$BX446,RANK($CC446,$CC$9:$CC$508,1)))</f>
        <v/>
      </c>
      <c r="CE446" s="138" t="str">
        <f aca="false">IF($BX446&lt;&gt;Constants!$B$6,"",IF($BL446="-&gt;",$BT446,$BI446))</f>
        <v/>
      </c>
      <c r="CF446" s="135" t="str">
        <f aca="false">IF(ISBLANK($C446),"",IF($BX446&lt;&gt;Constants!$B$6,$BX446,IF(ISNUMBER($CE446),RANK($CE446,$CE$9:$CE$508,1),COUNT($CE$9:$CE$508)+1)))</f>
        <v/>
      </c>
      <c r="CG446" s="138" t="str">
        <f aca="false">IF($BX446&lt;&gt;Constants!$B$6,"",IF($BL446="-&gt;",$BU446,$BJ446))</f>
        <v/>
      </c>
      <c r="CH446" s="135" t="str">
        <f aca="false">IF(ISBLANK($C446),"",IF($BX446&lt;&gt;Constants!$B$6,$BX446,IF(ISNUMBER($CG446),RANK($CG446,$CG$9:$CG$508,1),COUNT($CG$9:$CG$508)+1)))</f>
        <v/>
      </c>
      <c r="CI446" s="138" t="str">
        <f aca="false">IF($BX446&lt;&gt;Constants!$B$6,"",IF($BL446="-&gt;",$BV446,$BK446))</f>
        <v/>
      </c>
      <c r="CJ446" s="135" t="str">
        <f aca="false">IF(ISBLANK($C446),"",IF($BX446&lt;&gt;Constants!$B$6,$BX446,IF(ISNUMBER($CI446),RANK($CI446,$CI$9:$CI$508,1),COUNT($CI$9:$CI$508)+1)))</f>
        <v/>
      </c>
      <c r="CK446" s="138" t="str">
        <f aca="false">IF($BX446&lt;&gt;Constants!$B$6,"",$AI446)</f>
        <v/>
      </c>
      <c r="CL446" s="135" t="str">
        <f aca="false">IF(ISBLANK($C446),"",IF($BX446&lt;&gt;Constants!$B$6,$BX446,IF(ISNUMBER($CK446),RANK($CK446,$CK$9:$CK$508,1),COUNT($CK$9:$CK$508)+1)))</f>
        <v/>
      </c>
      <c r="CM446" s="135" t="str">
        <f aca="false">IF(ISBLANK($C446),"",IF($BX446&lt;&gt;Constants!$B$6,$BX446,COUNTIFS($CD$9:$CD$508,"&lt;"&amp;$CD446)+COUNTIFS($CD$9:$CD$508,$CD446,$CF$9:$CF$508,"&lt;"&amp;$CF446)+COUNTIFS($CD$9:$CD$508,$CD446,$CF$9:$CF$508,$CF446,$CH$9:$CH$508,"&lt;"&amp;$CH446)+COUNTIFS($CD$9:$CD$508,$CD446,$CF$9:$CF$508,$CF446,$CH$9:$CH$508,$CH446,$CJ$9:$CJ$508,"&lt;"&amp;$CJ446)+COUNTIFS($CD$9:$CD$508,$CD446,$CF$9:$CF$508,$CF446,$CH$9:$CH$508,$CH446,$CJ$9:$CJ$508,$CJ446,$CL$9:$CL$508,"&lt;"&amp;$CL446)+1))</f>
        <v/>
      </c>
      <c r="CN446" s="135" t="str">
        <f aca="false">IF(ISBLANK($C446),"",IF($BX446&lt;&gt;Constants!$B$6,$BX446,$CD446-$CM446))</f>
        <v/>
      </c>
      <c r="CO446" s="141"/>
      <c r="CP446" s="142"/>
      <c r="CQ446" s="143" t="str">
        <f aca="false">IF(ISBLANK($C446),"",IF($BX446=Constants!$B$10,$BW446,""))</f>
        <v/>
      </c>
      <c r="CR446" s="142" t="str">
        <f aca="false">IF(ISBLANK($C446),"",IF($BX446&lt;&gt;Constants!$B$6,"",IF($BL446="-&gt;",2,1)))</f>
        <v/>
      </c>
      <c r="CS446" s="144" t="str">
        <f aca="false">IF(ISBLANK($C446),"",IF($BX446&lt;&gt;Constants!$B$6,"",IF($BL446="-&gt;",$BN446,$BC446)))</f>
        <v/>
      </c>
      <c r="CT446" s="144" t="str">
        <f aca="false">IF(ISBLANK($C446),"",IF($BX446&lt;&gt;Constants!$B$6,"",IF($BL446="-&gt;",$BO446,$BD446)))</f>
        <v/>
      </c>
      <c r="CU446" s="144" t="str">
        <f aca="false">IF(ISBLANK($C446),"",IF($BX446&lt;&gt;Constants!$B$6,"",IF($BL446="-&gt;",$BP446+$BQ446,$BE446+$BF446)+$CB446))</f>
        <v/>
      </c>
      <c r="CV446" s="144" t="str">
        <f aca="false">IF(ISBLANK($C446),"",IF($BX446&lt;&gt;Constants!$B$6,"",IF($BL446="-&gt;",$BR446,$BG446)+$CA446))</f>
        <v/>
      </c>
      <c r="CW446" s="145" t="str">
        <f aca="false">IF(ISBLANK($C446),"",IF($BX446&lt;&gt;Constants!$B$6,$BX446,$CC446))</f>
        <v/>
      </c>
      <c r="CX446" s="146" t="str">
        <f aca="false">IF(ISBLANK($C446),"",$BY446)</f>
        <v/>
      </c>
      <c r="CY446" s="147" t="str">
        <f aca="false">IF(ISBLANK($C446),"",$CN446)</f>
        <v/>
      </c>
      <c r="CZ446" s="147" t="str">
        <f aca="false">IF(ISBLANK($C446),"",$CM446)</f>
        <v/>
      </c>
      <c r="DA446" s="148" t="str">
        <f aca="false">IF(ISBLANK($C446),"",IFERROR(_xlfn.SWITCH($CZ446,Constants!$B$9,COUNTA($C$9:$C$508)+2,Constants!$B$8,COUNTA($C$9:$C$508)+1,Constants!$B$7,COUNTA($C$9:$C$508)),$CZ446))</f>
        <v/>
      </c>
      <c r="DB446" s="9"/>
      <c r="DC446" s="149" t="n">
        <f aca="false">IF(OR(ISNUMBER($CZ446),$CZ446=Constants!$B$9,$CZ446=Constants!$B$7,$CZ446=Constants!$B$8),1,0)</f>
        <v>0</v>
      </c>
      <c r="DD446" s="149" t="n">
        <v>438</v>
      </c>
      <c r="DE446" s="149" t="str">
        <f aca="false">IF(ISBLANK($C446),"",IF(ISNUMBER($DA446),$DA446+ROW($B446)/1000,""))</f>
        <v/>
      </c>
      <c r="DF446" s="149" t="str">
        <f aca="false">IF(ISNUMBER($DE446),RANK($DE446,$DE$9:$DE$508,1),"")</f>
        <v/>
      </c>
      <c r="DG446" s="149" t="str">
        <f aca="false">IF(ISBLANK($C446),"",$B446)</f>
        <v/>
      </c>
      <c r="DH446" s="149" t="str">
        <f aca="false">IF(ISBLANK($C446),"",$C446)</f>
        <v/>
      </c>
      <c r="DI446" s="149" t="str">
        <f aca="false">IF(ISBLANK($C446),"",$D446)</f>
        <v/>
      </c>
      <c r="DJ446" s="150" t="str">
        <f aca="false">$CX446</f>
        <v/>
      </c>
      <c r="DK446" s="151" t="str">
        <f aca="false">$CW446</f>
        <v/>
      </c>
      <c r="DL446" s="149" t="str">
        <f aca="false">IF(ISBLANK($C446),"",$CZ446)</f>
        <v/>
      </c>
      <c r="DM446" s="152" t="str">
        <f aca="false">IF($DD446&gt;$DC$8,"",VLOOKUP($DD446,$DF$9:$DL$508,7,FALSE()))</f>
        <v/>
      </c>
      <c r="DN446" s="153" t="str">
        <f aca="false">IF($DD446&gt;$DC$8,"",VLOOKUP($DD446,$DF$9:$DL$508,2,FALSE()))</f>
        <v/>
      </c>
      <c r="DO446" s="153" t="str">
        <f aca="false">IF($DD446&gt;$DC$8,"",VLOOKUP($DD446,$DF$9:$DL$508,3,FALSE()))</f>
        <v/>
      </c>
      <c r="DP446" s="153" t="str">
        <f aca="false">IF($DD446&gt;$DC$8,"",VLOOKUP($DD446,$DF$9:$DL$508,4,FALSE()))</f>
        <v/>
      </c>
      <c r="DQ446" s="153" t="str">
        <f aca="false">IF($DD446&gt;$DC$8,"",VLOOKUP($DD446,$DF$9:$DL$508,5,FALSE()))</f>
        <v/>
      </c>
      <c r="DR446" s="154" t="str">
        <f aca="false">IF($DD446&gt;$DC$8,"",VLOOKUP($DD446,$DF$9:$DL$508,6,FALSE()))</f>
        <v/>
      </c>
      <c r="DS446" s="76"/>
    </row>
    <row r="447" customFormat="false" ht="15.75" hidden="false" customHeight="false" outlineLevel="0" collapsed="false">
      <c r="A447" s="9"/>
      <c r="B447" s="78"/>
      <c r="C447" s="79"/>
      <c r="D447" s="170"/>
      <c r="E447" s="178"/>
      <c r="F447" s="172"/>
      <c r="G447" s="173"/>
      <c r="H447" s="173"/>
      <c r="I447" s="179"/>
      <c r="J447" s="176"/>
      <c r="K447" s="86"/>
      <c r="L447" s="87"/>
      <c r="M447" s="88"/>
      <c r="N447" s="176"/>
      <c r="O447" s="176"/>
      <c r="P447" s="178"/>
      <c r="Q447" s="176"/>
      <c r="R447" s="176"/>
      <c r="S447" s="86"/>
      <c r="T447" s="88"/>
      <c r="U447" s="88"/>
      <c r="V447" s="176"/>
      <c r="W447" s="176"/>
      <c r="X447" s="178"/>
      <c r="Y447" s="176"/>
      <c r="Z447" s="177"/>
      <c r="AA447" s="176"/>
      <c r="AB447" s="92"/>
      <c r="AC447" s="93"/>
      <c r="AD447" s="93"/>
      <c r="AE447" s="93"/>
      <c r="AF447" s="93" t="str">
        <f aca="false">IF(ISBLANK($C447),"",IF(E447=Constants!$B$2,TRUE(),IF(E447=Constants!$B$3,FALSE(),TRUE())))</f>
        <v/>
      </c>
      <c r="AG447" s="93" t="str">
        <f aca="false">IF(ISBLANK($C447),"",IF(F447=Constants!$B$2,TRUE(),IF(F447=Constants!$B$3,FALSE(),TRUE())))</f>
        <v/>
      </c>
      <c r="AH447" s="93" t="str">
        <f aca="false">IF(ISBLANK($C447),"",IF(G447=Constants!$B$2,TRUE(),IF(G447=Constants!$B$3,FALSE(),TRUE())))</f>
        <v/>
      </c>
      <c r="AI447" s="93" t="str">
        <f aca="false">IF(ISBLANK($C447),"",IF(AND(ISNUMBER(H447),H447&gt;=0),H447,Constants!$B$24))</f>
        <v/>
      </c>
      <c r="AJ447" s="93" t="str">
        <f aca="false">IF(ISBLANK($C447),"",IF(I447=Constants!$B$2,TRUE(),IF(I447=Constants!$B$3,FALSE(),TRUE())))</f>
        <v/>
      </c>
      <c r="AK447" s="93" t="str">
        <f aca="false">IF(ISBLANK($C447),"",IF(J447=Constants!$B$2,TRUE(),IF(J447=Constants!$B$3,FALSE(),TRUE())))</f>
        <v/>
      </c>
      <c r="AL447" s="93" t="str">
        <f aca="false">IF(ISBLANK($C447),"",IF(K447=Constants!$B$4,TRUE(),IF(K447=Constants!$B$5,FALSE(),COUNTA(L447:P447)&gt;0)))</f>
        <v/>
      </c>
      <c r="AM447" s="95" t="str">
        <f aca="false">IF(ISBLANK($C447),"",IF(ISNUMBER(L447),IF(L447&gt;=0,L447,""),""))</f>
        <v/>
      </c>
      <c r="AN447" s="94" t="str">
        <f aca="false">IF(ISBLANK($C447),"",IF(ISNUMBER(M447),IF(M447&gt;=0,M447,""),""))</f>
        <v/>
      </c>
      <c r="AO447" s="94" t="str">
        <f aca="false">IF(ISBLANK($C447),"",IF(N447=Constants!$B$2,TRUE(),IF(N447=Constants!$B$3,FALSE(),TRUE())))</f>
        <v/>
      </c>
      <c r="AP447" s="93" t="str">
        <f aca="false">IF(ISBLANK($C447),"",IF(ISNUMBER(O447),IF(O447&gt;=0,O447,""),""))</f>
        <v/>
      </c>
      <c r="AQ447" s="93" t="str">
        <f aca="false">IF(ISBLANK($C447),"",IF(P447=Constants!$B$2,TRUE(),IF(P447=Constants!$B$3,FALSE(),FALSE())))</f>
        <v/>
      </c>
      <c r="AR447" s="93" t="str">
        <f aca="false">IF(ISBLANK($C447),"",IF(Q447=Constants!$B$2,TRUE(),IF(Q447=Constants!$B$3,FALSE(),TRUE())))</f>
        <v/>
      </c>
      <c r="AS447" s="93" t="str">
        <f aca="false">IF(ISBLANK($C447),"",IF(R447=Constants!$B$2,TRUE(),IF(R447=Constants!$B$3,FALSE(),TRUE())))</f>
        <v/>
      </c>
      <c r="AT447" s="93" t="str">
        <f aca="false">IF(ISBLANK($C447),"",IF(S447=Constants!$B$4,TRUE(),IF(S447=Constants!$B$5,FALSE(),COUNTA(T447:X447)&gt;0)))</f>
        <v/>
      </c>
      <c r="AU447" s="95" t="str">
        <f aca="false">IF(ISBLANK($C447),"",IF(ISNUMBER(T447),IF(T447&gt;=0,T447,""),""))</f>
        <v/>
      </c>
      <c r="AV447" s="94" t="str">
        <f aca="false">IF(ISBLANK($C447),"",IF(ISNUMBER(U447),IF(U447&gt;=0,U447,""),""))</f>
        <v/>
      </c>
      <c r="AW447" s="94" t="str">
        <f aca="false">IF(ISBLANK($C447),"",IF(V447=Constants!$B$2,TRUE(),IF(V447=Constants!$B$3,FALSE(),TRUE())))</f>
        <v/>
      </c>
      <c r="AX447" s="93" t="str">
        <f aca="false">IF(ISBLANK($C447),"",IF(ISNUMBER(W447),IF(W447&gt;=0,W447,""),""))</f>
        <v/>
      </c>
      <c r="AY447" s="93" t="str">
        <f aca="false">IF(ISBLANK($C447),"",IF(X447=Constants!$B$2,TRUE(),IF(X447=Constants!$B$3,FALSE(),FALSE())))</f>
        <v/>
      </c>
      <c r="AZ447" s="93" t="str">
        <f aca="false">IF(ISBLANK($C447),"",MIN(Constants!$B$25,MAX(0,IF(ISNUMBER(Y447),Y447*60,0)+IF(ISNUMBER(Z447),Z447,0))))</f>
        <v/>
      </c>
      <c r="BA447" s="93" t="str">
        <f aca="false">IF(ISBLANK($C447),"",IF(AA447=Constants!$B$2,TRUE(),IF(AA447=Constants!$B$3,FALSE(),FALSE())))</f>
        <v/>
      </c>
      <c r="BB447" s="92" t="str">
        <f aca="false">IF(ISBLANK($C447),"",AND($AL447,OR($AM447="",$AN447="",AND($AO447,$AP447=""))))</f>
        <v/>
      </c>
      <c r="BC447" s="94" t="str">
        <f aca="false">IF($BX447&lt;&gt;Constants!$B$6,"",IF($AL447,Constants!$B$17*$AN447+Constants!$B$18*IF($AO447,$AP447,Constants!$B$19),Constants!$B$20))</f>
        <v/>
      </c>
      <c r="BD447" s="97" t="str">
        <f aca="false">IF($BX447&lt;&gt;Constants!$B$6,"",Constants!$B$21*ABS($AD$9-IF($AL447,$AM447,0)))</f>
        <v/>
      </c>
      <c r="BE447" s="97" t="str">
        <f aca="false">IF($BX447&lt;&gt;Constants!$B$6,"",IF(AND($AL447,$AQ447,$AO447),Constants!$B$22,0))</f>
        <v/>
      </c>
      <c r="BF447" s="97" t="str">
        <f aca="false">IF($BX447&lt;&gt;Constants!$B$6,"",IF($AL447,($AI447-Constants!$B$24)*Constants!$B$23,0))</f>
        <v/>
      </c>
      <c r="BG447" s="97" t="str">
        <f aca="false">IF($BX447&lt;&gt;Constants!$B$6,"",IF($AK447,0,Constants!$B$12)+IF($AJ447,0,Constants!$B$13)+IF($AH447,0,Constants!$B$14))</f>
        <v/>
      </c>
      <c r="BH447" s="98" t="str">
        <f aca="false">IF($BX447&lt;&gt;Constants!$B$6,"",Constants!$B$16+SUM($BC447:$BG447))</f>
        <v/>
      </c>
      <c r="BI447" s="97" t="str">
        <f aca="false">IF($BX447&lt;&gt;Constants!$B$6,"",$BC447)</f>
        <v/>
      </c>
      <c r="BJ447" s="97" t="str">
        <f aca="false">IF($BX447&lt;&gt;Constants!$B$6,"",$BD447)</f>
        <v/>
      </c>
      <c r="BK447" s="99" t="str">
        <f aca="false">IF($BX447&lt;&gt;Constants!$B$6,"",IF($AL447,$AN447,""))</f>
        <v/>
      </c>
      <c r="BL447" s="93" t="str">
        <f aca="false">IF($BX447&lt;&gt;Constants!$B$6,"",IF(OR($BS447&lt;$BH447,AND($BS447=$BH447,OR($BT447&lt;$BI447,AND($BT447=$BI447,OR($BU447&lt;$BJ447,AND($BU447=$BJ447,AND(ISNUMBER($BV447),OR(NOT(ISNUMBER($BK447)),$BV447&lt;$BK447)))))))),"-&gt;","&lt;-"))</f>
        <v/>
      </c>
      <c r="BM447" s="92" t="str">
        <f aca="false">IF(ISBLANK($C447),"",AND($AT447,OR($AU447="",$AV447="",AND($AW447,$AX447=""))))</f>
        <v/>
      </c>
      <c r="BN447" s="94" t="str">
        <f aca="false">IF($BX447&lt;&gt;Constants!$B$6,"",IF($AT447,Constants!$B$17*$AV447+Constants!$B$18*IF($AW447,$AX447,Constants!$B$19),Constants!$B$20))</f>
        <v/>
      </c>
      <c r="BO447" s="97" t="str">
        <f aca="false">IF($BX447&lt;&gt;Constants!$B$6,"",Constants!$B$21*ABS($AD$9-IF($AT447,$AU447,0)))</f>
        <v/>
      </c>
      <c r="BP447" s="97" t="str">
        <f aca="false">IF($BX447&lt;&gt;Constants!$B$6,"",IF(AND($AT447,$AY447,$AW447),Constants!$B$22,0))</f>
        <v/>
      </c>
      <c r="BQ447" s="97" t="str">
        <f aca="false">IF($BX447&lt;&gt;Constants!$B$6,"",IF($AT447,($AI447-Constants!$B$24)*Constants!$B$23,0))</f>
        <v/>
      </c>
      <c r="BR447" s="97" t="str">
        <f aca="false">IF($BX447&lt;&gt;Constants!$B$6,"",IF($AS447,0,Constants!$B$12)+IF($AR447,0,Constants!$B$13)+IF($AH447,0,Constants!$B$14))</f>
        <v/>
      </c>
      <c r="BS447" s="98" t="str">
        <f aca="false">IF($BX447&lt;&gt;Constants!$B$6,"",Constants!$B$16+SUM($BN447:$BR447))</f>
        <v/>
      </c>
      <c r="BT447" s="97" t="str">
        <f aca="false">IF($BX447&lt;&gt;Constants!$B$6,"",$BN447)</f>
        <v/>
      </c>
      <c r="BU447" s="97" t="str">
        <f aca="false">IF($BX447&lt;&gt;Constants!$B$6,"",$BO447)</f>
        <v/>
      </c>
      <c r="BV447" s="99" t="str">
        <f aca="false">IF($BX447&lt;&gt;Constants!$B$6,"",IF($AT447,$AV447,""))</f>
        <v/>
      </c>
      <c r="BW447" s="93" t="str">
        <f aca="false">IF(ISBLANK($C447),"",IF(ISBLANK($D$7),$BW$5,IF(NOT(ISNUMBER($D$7)),$BW$6,"")))</f>
        <v/>
      </c>
      <c r="BX447" s="93" t="str">
        <f aca="false">IF(ISBLANK($C447),"",IF($BA447,Constants!$B$9,IF(COUNTA($E447:$AA447)=0,Constants!$B$8,IF(NOT($AG447),Constants!$B$7,IF(OR($BW447&lt;&gt;"",$BB447,$BM447),Constants!$B$10,Constants!$B$6)))))</f>
        <v/>
      </c>
      <c r="BY447" s="93" t="str">
        <f aca="false">IF(ISBLANK($C447),"",IF($BX447&lt;&gt;Constants!$B$6,$BX447,Constants!$B$11))</f>
        <v/>
      </c>
      <c r="BZ447" s="97" t="str">
        <f aca="false">IF($BX447&lt;&gt;Constants!$B$6,"",IF($BL447="-&gt;",$BS447,$BH447))</f>
        <v/>
      </c>
      <c r="CA447" s="97" t="str">
        <f aca="false">IF($BX447&lt;&gt;Constants!$B$6,"",IF($AF447,0,Constants!$B$15))</f>
        <v/>
      </c>
      <c r="CB447" s="97" t="str">
        <f aca="false">IF($BX447&lt;&gt;Constants!$B$6,"",((Constants!$B$25-$AZ447)-Constants!$B$25)/Constants!$B$26)</f>
        <v/>
      </c>
      <c r="CC447" s="97" t="str">
        <f aca="false">IF(ISBLANK($C447),"",IF($BX447&lt;&gt;Constants!$B$6,$BX447,SUM($BZ447:$CB447)))</f>
        <v/>
      </c>
      <c r="CD447" s="93" t="str">
        <f aca="false">IF(ISBLANK($C447),"",IF($BX447&lt;&gt;Constants!$B$6,$BX447,RANK($CC447,$CC$9:$CC$508,1)))</f>
        <v/>
      </c>
      <c r="CE447" s="97" t="str">
        <f aca="false">IF($BX447&lt;&gt;Constants!$B$6,"",IF($BL447="-&gt;",$BT447,$BI447))</f>
        <v/>
      </c>
      <c r="CF447" s="93" t="str">
        <f aca="false">IF(ISBLANK($C447),"",IF($BX447&lt;&gt;Constants!$B$6,$BX447,IF(ISNUMBER($CE447),RANK($CE447,$CE$9:$CE$508,1),COUNT($CE$9:$CE$508)+1)))</f>
        <v/>
      </c>
      <c r="CG447" s="97" t="str">
        <f aca="false">IF($BX447&lt;&gt;Constants!$B$6,"",IF($BL447="-&gt;",$BU447,$BJ447))</f>
        <v/>
      </c>
      <c r="CH447" s="93" t="str">
        <f aca="false">IF(ISBLANK($C447),"",IF($BX447&lt;&gt;Constants!$B$6,$BX447,IF(ISNUMBER($CG447),RANK($CG447,$CG$9:$CG$508,1),COUNT($CG$9:$CG$508)+1)))</f>
        <v/>
      </c>
      <c r="CI447" s="97" t="str">
        <f aca="false">IF($BX447&lt;&gt;Constants!$B$6,"",IF($BL447="-&gt;",$BV447,$BK447))</f>
        <v/>
      </c>
      <c r="CJ447" s="93" t="str">
        <f aca="false">IF(ISBLANK($C447),"",IF($BX447&lt;&gt;Constants!$B$6,$BX447,IF(ISNUMBER($CI447),RANK($CI447,$CI$9:$CI$508,1),COUNT($CI$9:$CI$508)+1)))</f>
        <v/>
      </c>
      <c r="CK447" s="97" t="str">
        <f aca="false">IF($BX447&lt;&gt;Constants!$B$6,"",$AI447)</f>
        <v/>
      </c>
      <c r="CL447" s="93" t="str">
        <f aca="false">IF(ISBLANK($C447),"",IF($BX447&lt;&gt;Constants!$B$6,$BX447,IF(ISNUMBER($CK447),RANK($CK447,$CK$9:$CK$508,1),COUNT($CK$9:$CK$508)+1)))</f>
        <v/>
      </c>
      <c r="CM447" s="93" t="str">
        <f aca="false">IF(ISBLANK($C447),"",IF($BX447&lt;&gt;Constants!$B$6,$BX447,COUNTIFS($CD$9:$CD$508,"&lt;"&amp;$CD447)+COUNTIFS($CD$9:$CD$508,$CD447,$CF$9:$CF$508,"&lt;"&amp;$CF447)+COUNTIFS($CD$9:$CD$508,$CD447,$CF$9:$CF$508,$CF447,$CH$9:$CH$508,"&lt;"&amp;$CH447)+COUNTIFS($CD$9:$CD$508,$CD447,$CF$9:$CF$508,$CF447,$CH$9:$CH$508,$CH447,$CJ$9:$CJ$508,"&lt;"&amp;$CJ447)+COUNTIFS($CD$9:$CD$508,$CD447,$CF$9:$CF$508,$CF447,$CH$9:$CH$508,$CH447,$CJ$9:$CJ$508,$CJ447,$CL$9:$CL$508,"&lt;"&amp;$CL447)+1))</f>
        <v/>
      </c>
      <c r="CN447" s="93" t="str">
        <f aca="false">IF(ISBLANK($C447),"",IF($BX447&lt;&gt;Constants!$B$6,$BX447,$CD447-$CM447))</f>
        <v/>
      </c>
      <c r="CO447" s="100"/>
      <c r="CP447" s="101"/>
      <c r="CQ447" s="102" t="str">
        <f aca="false">IF(ISBLANK($C447),"",IF($BX447=Constants!$B$10,$BW447,""))</f>
        <v/>
      </c>
      <c r="CR447" s="101" t="str">
        <f aca="false">IF(ISBLANK($C447),"",IF($BX447&lt;&gt;Constants!$B$6,"",IF($BL447="-&gt;",2,1)))</f>
        <v/>
      </c>
      <c r="CS447" s="103" t="str">
        <f aca="false">IF(ISBLANK($C447),"",IF($BX447&lt;&gt;Constants!$B$6,"",IF($BL447="-&gt;",$BN447,$BC447)))</f>
        <v/>
      </c>
      <c r="CT447" s="103" t="str">
        <f aca="false">IF(ISBLANK($C447),"",IF($BX447&lt;&gt;Constants!$B$6,"",IF($BL447="-&gt;",$BO447,$BD447)))</f>
        <v/>
      </c>
      <c r="CU447" s="103" t="str">
        <f aca="false">IF(ISBLANK($C447),"",IF($BX447&lt;&gt;Constants!$B$6,"",IF($BL447="-&gt;",$BP447+$BQ447,$BE447+$BF447)+$CB447))</f>
        <v/>
      </c>
      <c r="CV447" s="103" t="str">
        <f aca="false">IF(ISBLANK($C447),"",IF($BX447&lt;&gt;Constants!$B$6,"",IF($BL447="-&gt;",$BR447,$BG447)+$CA447))</f>
        <v/>
      </c>
      <c r="CW447" s="104" t="str">
        <f aca="false">IF(ISBLANK($C447),"",IF($BX447&lt;&gt;Constants!$B$6,$BX447,$CC447))</f>
        <v/>
      </c>
      <c r="CX447" s="105" t="str">
        <f aca="false">IF(ISBLANK($C447),"",$BY447)</f>
        <v/>
      </c>
      <c r="CY447" s="106" t="str">
        <f aca="false">IF(ISBLANK($C447),"",$CN447)</f>
        <v/>
      </c>
      <c r="CZ447" s="106" t="str">
        <f aca="false">IF(ISBLANK($C447),"",$CM447)</f>
        <v/>
      </c>
      <c r="DA447" s="107" t="str">
        <f aca="false">IF(ISBLANK($C447),"",IFERROR(_xlfn.SWITCH($CZ447,Constants!$B$9,COUNTA($C$9:$C$508)+2,Constants!$B$8,COUNTA($C$9:$C$508)+1,Constants!$B$7,COUNTA($C$9:$C$508)),$CZ447))</f>
        <v/>
      </c>
      <c r="DB447" s="9"/>
      <c r="DC447" s="108" t="n">
        <f aca="false">IF(OR(ISNUMBER($CZ447),$CZ447=Constants!$B$9,$CZ447=Constants!$B$7,$CZ447=Constants!$B$8),1,0)</f>
        <v>0</v>
      </c>
      <c r="DD447" s="108" t="n">
        <v>439</v>
      </c>
      <c r="DE447" s="108" t="str">
        <f aca="false">IF(ISBLANK($C447),"",IF(ISNUMBER($DA447),$DA447+ROW($B447)/1000,""))</f>
        <v/>
      </c>
      <c r="DF447" s="108" t="str">
        <f aca="false">IF(ISNUMBER($DE447),RANK($DE447,$DE$9:$DE$508,1),"")</f>
        <v/>
      </c>
      <c r="DG447" s="108" t="str">
        <f aca="false">IF(ISBLANK($C447),"",$B447)</f>
        <v/>
      </c>
      <c r="DH447" s="108" t="str">
        <f aca="false">IF(ISBLANK($C447),"",$C447)</f>
        <v/>
      </c>
      <c r="DI447" s="108" t="str">
        <f aca="false">IF(ISBLANK($C447),"",$D447)</f>
        <v/>
      </c>
      <c r="DJ447" s="109" t="str">
        <f aca="false">$CX447</f>
        <v/>
      </c>
      <c r="DK447" s="110" t="str">
        <f aca="false">$CW447</f>
        <v/>
      </c>
      <c r="DL447" s="108" t="str">
        <f aca="false">IF(ISBLANK($C447),"",$CZ447)</f>
        <v/>
      </c>
      <c r="DM447" s="111" t="str">
        <f aca="false">IF($DD447&gt;$DC$8,"",VLOOKUP($DD447,$DF$9:$DL$508,7,FALSE()))</f>
        <v/>
      </c>
      <c r="DN447" s="112" t="str">
        <f aca="false">IF($DD447&gt;$DC$8,"",VLOOKUP($DD447,$DF$9:$DL$508,2,FALSE()))</f>
        <v/>
      </c>
      <c r="DO447" s="112" t="str">
        <f aca="false">IF($DD447&gt;$DC$8,"",VLOOKUP($DD447,$DF$9:$DL$508,3,FALSE()))</f>
        <v/>
      </c>
      <c r="DP447" s="112" t="str">
        <f aca="false">IF($DD447&gt;$DC$8,"",VLOOKUP($DD447,$DF$9:$DL$508,4,FALSE()))</f>
        <v/>
      </c>
      <c r="DQ447" s="112" t="str">
        <f aca="false">IF($DD447&gt;$DC$8,"",VLOOKUP($DD447,$DF$9:$DL$508,5,FALSE()))</f>
        <v/>
      </c>
      <c r="DR447" s="113" t="str">
        <f aca="false">IF($DD447&gt;$DC$8,"",VLOOKUP($DD447,$DF$9:$DL$508,6,FALSE()))</f>
        <v/>
      </c>
      <c r="DS447" s="76"/>
    </row>
    <row r="448" customFormat="false" ht="15.75" hidden="false" customHeight="false" outlineLevel="0" collapsed="false">
      <c r="A448" s="9"/>
      <c r="B448" s="78"/>
      <c r="C448" s="79"/>
      <c r="D448" s="170"/>
      <c r="E448" s="178"/>
      <c r="F448" s="172"/>
      <c r="G448" s="173"/>
      <c r="H448" s="173"/>
      <c r="I448" s="179"/>
      <c r="J448" s="176"/>
      <c r="K448" s="86"/>
      <c r="L448" s="87"/>
      <c r="M448" s="88"/>
      <c r="N448" s="176"/>
      <c r="O448" s="176"/>
      <c r="P448" s="178"/>
      <c r="Q448" s="176"/>
      <c r="R448" s="176"/>
      <c r="S448" s="86"/>
      <c r="T448" s="88"/>
      <c r="U448" s="88"/>
      <c r="V448" s="176"/>
      <c r="W448" s="176"/>
      <c r="X448" s="178"/>
      <c r="Y448" s="176"/>
      <c r="Z448" s="177"/>
      <c r="AA448" s="176"/>
      <c r="AB448" s="92"/>
      <c r="AC448" s="93"/>
      <c r="AD448" s="93"/>
      <c r="AE448" s="93"/>
      <c r="AF448" s="93" t="str">
        <f aca="false">IF(ISBLANK($C448),"",IF(E448=Constants!$B$2,TRUE(),IF(E448=Constants!$B$3,FALSE(),TRUE())))</f>
        <v/>
      </c>
      <c r="AG448" s="93" t="str">
        <f aca="false">IF(ISBLANK($C448),"",IF(F448=Constants!$B$2,TRUE(),IF(F448=Constants!$B$3,FALSE(),TRUE())))</f>
        <v/>
      </c>
      <c r="AH448" s="93" t="str">
        <f aca="false">IF(ISBLANK($C448),"",IF(G448=Constants!$B$2,TRUE(),IF(G448=Constants!$B$3,FALSE(),TRUE())))</f>
        <v/>
      </c>
      <c r="AI448" s="93" t="str">
        <f aca="false">IF(ISBLANK($C448),"",IF(AND(ISNUMBER(H448),H448&gt;=0),H448,Constants!$B$24))</f>
        <v/>
      </c>
      <c r="AJ448" s="93" t="str">
        <f aca="false">IF(ISBLANK($C448),"",IF(I448=Constants!$B$2,TRUE(),IF(I448=Constants!$B$3,FALSE(),TRUE())))</f>
        <v/>
      </c>
      <c r="AK448" s="93" t="str">
        <f aca="false">IF(ISBLANK($C448),"",IF(J448=Constants!$B$2,TRUE(),IF(J448=Constants!$B$3,FALSE(),TRUE())))</f>
        <v/>
      </c>
      <c r="AL448" s="93" t="str">
        <f aca="false">IF(ISBLANK($C448),"",IF(K448=Constants!$B$4,TRUE(),IF(K448=Constants!$B$5,FALSE(),COUNTA(L448:P448)&gt;0)))</f>
        <v/>
      </c>
      <c r="AM448" s="95" t="str">
        <f aca="false">IF(ISBLANK($C448),"",IF(ISNUMBER(L448),IF(L448&gt;=0,L448,""),""))</f>
        <v/>
      </c>
      <c r="AN448" s="94" t="str">
        <f aca="false">IF(ISBLANK($C448),"",IF(ISNUMBER(M448),IF(M448&gt;=0,M448,""),""))</f>
        <v/>
      </c>
      <c r="AO448" s="94" t="str">
        <f aca="false">IF(ISBLANK($C448),"",IF(N448=Constants!$B$2,TRUE(),IF(N448=Constants!$B$3,FALSE(),TRUE())))</f>
        <v/>
      </c>
      <c r="AP448" s="93" t="str">
        <f aca="false">IF(ISBLANK($C448),"",IF(ISNUMBER(O448),IF(O448&gt;=0,O448,""),""))</f>
        <v/>
      </c>
      <c r="AQ448" s="93" t="str">
        <f aca="false">IF(ISBLANK($C448),"",IF(P448=Constants!$B$2,TRUE(),IF(P448=Constants!$B$3,FALSE(),FALSE())))</f>
        <v/>
      </c>
      <c r="AR448" s="93" t="str">
        <f aca="false">IF(ISBLANK($C448),"",IF(Q448=Constants!$B$2,TRUE(),IF(Q448=Constants!$B$3,FALSE(),TRUE())))</f>
        <v/>
      </c>
      <c r="AS448" s="93" t="str">
        <f aca="false">IF(ISBLANK($C448),"",IF(R448=Constants!$B$2,TRUE(),IF(R448=Constants!$B$3,FALSE(),TRUE())))</f>
        <v/>
      </c>
      <c r="AT448" s="93" t="str">
        <f aca="false">IF(ISBLANK($C448),"",IF(S448=Constants!$B$4,TRUE(),IF(S448=Constants!$B$5,FALSE(),COUNTA(T448:X448)&gt;0)))</f>
        <v/>
      </c>
      <c r="AU448" s="95" t="str">
        <f aca="false">IF(ISBLANK($C448),"",IF(ISNUMBER(T448),IF(T448&gt;=0,T448,""),""))</f>
        <v/>
      </c>
      <c r="AV448" s="94" t="str">
        <f aca="false">IF(ISBLANK($C448),"",IF(ISNUMBER(U448),IF(U448&gt;=0,U448,""),""))</f>
        <v/>
      </c>
      <c r="AW448" s="94" t="str">
        <f aca="false">IF(ISBLANK($C448),"",IF(V448=Constants!$B$2,TRUE(),IF(V448=Constants!$B$3,FALSE(),TRUE())))</f>
        <v/>
      </c>
      <c r="AX448" s="93" t="str">
        <f aca="false">IF(ISBLANK($C448),"",IF(ISNUMBER(W448),IF(W448&gt;=0,W448,""),""))</f>
        <v/>
      </c>
      <c r="AY448" s="93" t="str">
        <f aca="false">IF(ISBLANK($C448),"",IF(X448=Constants!$B$2,TRUE(),IF(X448=Constants!$B$3,FALSE(),FALSE())))</f>
        <v/>
      </c>
      <c r="AZ448" s="93" t="str">
        <f aca="false">IF(ISBLANK($C448),"",MIN(Constants!$B$25,MAX(0,IF(ISNUMBER(Y448),Y448*60,0)+IF(ISNUMBER(Z448),Z448,0))))</f>
        <v/>
      </c>
      <c r="BA448" s="93" t="str">
        <f aca="false">IF(ISBLANK($C448),"",IF(AA448=Constants!$B$2,TRUE(),IF(AA448=Constants!$B$3,FALSE(),FALSE())))</f>
        <v/>
      </c>
      <c r="BB448" s="92" t="str">
        <f aca="false">IF(ISBLANK($C448),"",AND($AL448,OR($AM448="",$AN448="",AND($AO448,$AP448=""))))</f>
        <v/>
      </c>
      <c r="BC448" s="94" t="str">
        <f aca="false">IF($BX448&lt;&gt;Constants!$B$6,"",IF($AL448,Constants!$B$17*$AN448+Constants!$B$18*IF($AO448,$AP448,Constants!$B$19),Constants!$B$20))</f>
        <v/>
      </c>
      <c r="BD448" s="97" t="str">
        <f aca="false">IF($BX448&lt;&gt;Constants!$B$6,"",Constants!$B$21*ABS($AD$9-IF($AL448,$AM448,0)))</f>
        <v/>
      </c>
      <c r="BE448" s="97" t="str">
        <f aca="false">IF($BX448&lt;&gt;Constants!$B$6,"",IF(AND($AL448,$AQ448,$AO448),Constants!$B$22,0))</f>
        <v/>
      </c>
      <c r="BF448" s="97" t="str">
        <f aca="false">IF($BX448&lt;&gt;Constants!$B$6,"",IF($AL448,($AI448-Constants!$B$24)*Constants!$B$23,0))</f>
        <v/>
      </c>
      <c r="BG448" s="97" t="str">
        <f aca="false">IF($BX448&lt;&gt;Constants!$B$6,"",IF($AK448,0,Constants!$B$12)+IF($AJ448,0,Constants!$B$13)+IF($AH448,0,Constants!$B$14))</f>
        <v/>
      </c>
      <c r="BH448" s="98" t="str">
        <f aca="false">IF($BX448&lt;&gt;Constants!$B$6,"",Constants!$B$16+SUM($BC448:$BG448))</f>
        <v/>
      </c>
      <c r="BI448" s="97" t="str">
        <f aca="false">IF($BX448&lt;&gt;Constants!$B$6,"",$BC448)</f>
        <v/>
      </c>
      <c r="BJ448" s="97" t="str">
        <f aca="false">IF($BX448&lt;&gt;Constants!$B$6,"",$BD448)</f>
        <v/>
      </c>
      <c r="BK448" s="99" t="str">
        <f aca="false">IF($BX448&lt;&gt;Constants!$B$6,"",IF($AL448,$AN448,""))</f>
        <v/>
      </c>
      <c r="BL448" s="93" t="str">
        <f aca="false">IF($BX448&lt;&gt;Constants!$B$6,"",IF(OR($BS448&lt;$BH448,AND($BS448=$BH448,OR($BT448&lt;$BI448,AND($BT448=$BI448,OR($BU448&lt;$BJ448,AND($BU448=$BJ448,AND(ISNUMBER($BV448),OR(NOT(ISNUMBER($BK448)),$BV448&lt;$BK448)))))))),"-&gt;","&lt;-"))</f>
        <v/>
      </c>
      <c r="BM448" s="92" t="str">
        <f aca="false">IF(ISBLANK($C448),"",AND($AT448,OR($AU448="",$AV448="",AND($AW448,$AX448=""))))</f>
        <v/>
      </c>
      <c r="BN448" s="94" t="str">
        <f aca="false">IF($BX448&lt;&gt;Constants!$B$6,"",IF($AT448,Constants!$B$17*$AV448+Constants!$B$18*IF($AW448,$AX448,Constants!$B$19),Constants!$B$20))</f>
        <v/>
      </c>
      <c r="BO448" s="97" t="str">
        <f aca="false">IF($BX448&lt;&gt;Constants!$B$6,"",Constants!$B$21*ABS($AD$9-IF($AT448,$AU448,0)))</f>
        <v/>
      </c>
      <c r="BP448" s="97" t="str">
        <f aca="false">IF($BX448&lt;&gt;Constants!$B$6,"",IF(AND($AT448,$AY448,$AW448),Constants!$B$22,0))</f>
        <v/>
      </c>
      <c r="BQ448" s="97" t="str">
        <f aca="false">IF($BX448&lt;&gt;Constants!$B$6,"",IF($AT448,($AI448-Constants!$B$24)*Constants!$B$23,0))</f>
        <v/>
      </c>
      <c r="BR448" s="97" t="str">
        <f aca="false">IF($BX448&lt;&gt;Constants!$B$6,"",IF($AS448,0,Constants!$B$12)+IF($AR448,0,Constants!$B$13)+IF($AH448,0,Constants!$B$14))</f>
        <v/>
      </c>
      <c r="BS448" s="98" t="str">
        <f aca="false">IF($BX448&lt;&gt;Constants!$B$6,"",Constants!$B$16+SUM($BN448:$BR448))</f>
        <v/>
      </c>
      <c r="BT448" s="97" t="str">
        <f aca="false">IF($BX448&lt;&gt;Constants!$B$6,"",$BN448)</f>
        <v/>
      </c>
      <c r="BU448" s="97" t="str">
        <f aca="false">IF($BX448&lt;&gt;Constants!$B$6,"",$BO448)</f>
        <v/>
      </c>
      <c r="BV448" s="99" t="str">
        <f aca="false">IF($BX448&lt;&gt;Constants!$B$6,"",IF($AT448,$AV448,""))</f>
        <v/>
      </c>
      <c r="BW448" s="93" t="str">
        <f aca="false">IF(ISBLANK($C448),"",IF(ISBLANK($D$7),$BW$5,IF(NOT(ISNUMBER($D$7)),$BW$6,"")))</f>
        <v/>
      </c>
      <c r="BX448" s="93" t="str">
        <f aca="false">IF(ISBLANK($C448),"",IF($BA448,Constants!$B$9,IF(COUNTA($E448:$AA448)=0,Constants!$B$8,IF(NOT($AG448),Constants!$B$7,IF(OR($BW448&lt;&gt;"",$BB448,$BM448),Constants!$B$10,Constants!$B$6)))))</f>
        <v/>
      </c>
      <c r="BY448" s="93" t="str">
        <f aca="false">IF(ISBLANK($C448),"",IF($BX448&lt;&gt;Constants!$B$6,$BX448,Constants!$B$11))</f>
        <v/>
      </c>
      <c r="BZ448" s="97" t="str">
        <f aca="false">IF($BX448&lt;&gt;Constants!$B$6,"",IF($BL448="-&gt;",$BS448,$BH448))</f>
        <v/>
      </c>
      <c r="CA448" s="97" t="str">
        <f aca="false">IF($BX448&lt;&gt;Constants!$B$6,"",IF($AF448,0,Constants!$B$15))</f>
        <v/>
      </c>
      <c r="CB448" s="97" t="str">
        <f aca="false">IF($BX448&lt;&gt;Constants!$B$6,"",((Constants!$B$25-$AZ448)-Constants!$B$25)/Constants!$B$26)</f>
        <v/>
      </c>
      <c r="CC448" s="97" t="str">
        <f aca="false">IF(ISBLANK($C448),"",IF($BX448&lt;&gt;Constants!$B$6,$BX448,SUM($BZ448:$CB448)))</f>
        <v/>
      </c>
      <c r="CD448" s="93" t="str">
        <f aca="false">IF(ISBLANK($C448),"",IF($BX448&lt;&gt;Constants!$B$6,$BX448,RANK($CC448,$CC$9:$CC$508,1)))</f>
        <v/>
      </c>
      <c r="CE448" s="97" t="str">
        <f aca="false">IF($BX448&lt;&gt;Constants!$B$6,"",IF($BL448="-&gt;",$BT448,$BI448))</f>
        <v/>
      </c>
      <c r="CF448" s="93" t="str">
        <f aca="false">IF(ISBLANK($C448),"",IF($BX448&lt;&gt;Constants!$B$6,$BX448,IF(ISNUMBER($CE448),RANK($CE448,$CE$9:$CE$508,1),COUNT($CE$9:$CE$508)+1)))</f>
        <v/>
      </c>
      <c r="CG448" s="97" t="str">
        <f aca="false">IF($BX448&lt;&gt;Constants!$B$6,"",IF($BL448="-&gt;",$BU448,$BJ448))</f>
        <v/>
      </c>
      <c r="CH448" s="93" t="str">
        <f aca="false">IF(ISBLANK($C448),"",IF($BX448&lt;&gt;Constants!$B$6,$BX448,IF(ISNUMBER($CG448),RANK($CG448,$CG$9:$CG$508,1),COUNT($CG$9:$CG$508)+1)))</f>
        <v/>
      </c>
      <c r="CI448" s="97" t="str">
        <f aca="false">IF($BX448&lt;&gt;Constants!$B$6,"",IF($BL448="-&gt;",$BV448,$BK448))</f>
        <v/>
      </c>
      <c r="CJ448" s="93" t="str">
        <f aca="false">IF(ISBLANK($C448),"",IF($BX448&lt;&gt;Constants!$B$6,$BX448,IF(ISNUMBER($CI448),RANK($CI448,$CI$9:$CI$508,1),COUNT($CI$9:$CI$508)+1)))</f>
        <v/>
      </c>
      <c r="CK448" s="97" t="str">
        <f aca="false">IF($BX448&lt;&gt;Constants!$B$6,"",$AI448)</f>
        <v/>
      </c>
      <c r="CL448" s="93" t="str">
        <f aca="false">IF(ISBLANK($C448),"",IF($BX448&lt;&gt;Constants!$B$6,$BX448,IF(ISNUMBER($CK448),RANK($CK448,$CK$9:$CK$508,1),COUNT($CK$9:$CK$508)+1)))</f>
        <v/>
      </c>
      <c r="CM448" s="93" t="str">
        <f aca="false">IF(ISBLANK($C448),"",IF($BX448&lt;&gt;Constants!$B$6,$BX448,COUNTIFS($CD$9:$CD$508,"&lt;"&amp;$CD448)+COUNTIFS($CD$9:$CD$508,$CD448,$CF$9:$CF$508,"&lt;"&amp;$CF448)+COUNTIFS($CD$9:$CD$508,$CD448,$CF$9:$CF$508,$CF448,$CH$9:$CH$508,"&lt;"&amp;$CH448)+COUNTIFS($CD$9:$CD$508,$CD448,$CF$9:$CF$508,$CF448,$CH$9:$CH$508,$CH448,$CJ$9:$CJ$508,"&lt;"&amp;$CJ448)+COUNTIFS($CD$9:$CD$508,$CD448,$CF$9:$CF$508,$CF448,$CH$9:$CH$508,$CH448,$CJ$9:$CJ$508,$CJ448,$CL$9:$CL$508,"&lt;"&amp;$CL448)+1))</f>
        <v/>
      </c>
      <c r="CN448" s="93" t="str">
        <f aca="false">IF(ISBLANK($C448),"",IF($BX448&lt;&gt;Constants!$B$6,$BX448,$CD448-$CM448))</f>
        <v/>
      </c>
      <c r="CO448" s="100"/>
      <c r="CP448" s="101"/>
      <c r="CQ448" s="102" t="str">
        <f aca="false">IF(ISBLANK($C448),"",IF($BX448=Constants!$B$10,$BW448,""))</f>
        <v/>
      </c>
      <c r="CR448" s="101" t="str">
        <f aca="false">IF(ISBLANK($C448),"",IF($BX448&lt;&gt;Constants!$B$6,"",IF($BL448="-&gt;",2,1)))</f>
        <v/>
      </c>
      <c r="CS448" s="103" t="str">
        <f aca="false">IF(ISBLANK($C448),"",IF($BX448&lt;&gt;Constants!$B$6,"",IF($BL448="-&gt;",$BN448,$BC448)))</f>
        <v/>
      </c>
      <c r="CT448" s="103" t="str">
        <f aca="false">IF(ISBLANK($C448),"",IF($BX448&lt;&gt;Constants!$B$6,"",IF($BL448="-&gt;",$BO448,$BD448)))</f>
        <v/>
      </c>
      <c r="CU448" s="103" t="str">
        <f aca="false">IF(ISBLANK($C448),"",IF($BX448&lt;&gt;Constants!$B$6,"",IF($BL448="-&gt;",$BP448+$BQ448,$BE448+$BF448)+$CB448))</f>
        <v/>
      </c>
      <c r="CV448" s="103" t="str">
        <f aca="false">IF(ISBLANK($C448),"",IF($BX448&lt;&gt;Constants!$B$6,"",IF($BL448="-&gt;",$BR448,$BG448)+$CA448))</f>
        <v/>
      </c>
      <c r="CW448" s="104" t="str">
        <f aca="false">IF(ISBLANK($C448),"",IF($BX448&lt;&gt;Constants!$B$6,$BX448,$CC448))</f>
        <v/>
      </c>
      <c r="CX448" s="105" t="str">
        <f aca="false">IF(ISBLANK($C448),"",$BY448)</f>
        <v/>
      </c>
      <c r="CY448" s="106" t="str">
        <f aca="false">IF(ISBLANK($C448),"",$CN448)</f>
        <v/>
      </c>
      <c r="CZ448" s="106" t="str">
        <f aca="false">IF(ISBLANK($C448),"",$CM448)</f>
        <v/>
      </c>
      <c r="DA448" s="107" t="str">
        <f aca="false">IF(ISBLANK($C448),"",IFERROR(_xlfn.SWITCH($CZ448,Constants!$B$9,COUNTA($C$9:$C$508)+2,Constants!$B$8,COUNTA($C$9:$C$508)+1,Constants!$B$7,COUNTA($C$9:$C$508)),$CZ448))</f>
        <v/>
      </c>
      <c r="DB448" s="9"/>
      <c r="DC448" s="108" t="n">
        <f aca="false">IF(OR(ISNUMBER($CZ448),$CZ448=Constants!$B$9,$CZ448=Constants!$B$7,$CZ448=Constants!$B$8),1,0)</f>
        <v>0</v>
      </c>
      <c r="DD448" s="108" t="n">
        <v>440</v>
      </c>
      <c r="DE448" s="108" t="str">
        <f aca="false">IF(ISBLANK($C448),"",IF(ISNUMBER($DA448),$DA448+ROW($B448)/1000,""))</f>
        <v/>
      </c>
      <c r="DF448" s="108" t="str">
        <f aca="false">IF(ISNUMBER($DE448),RANK($DE448,$DE$9:$DE$508,1),"")</f>
        <v/>
      </c>
      <c r="DG448" s="108" t="str">
        <f aca="false">IF(ISBLANK($C448),"",$B448)</f>
        <v/>
      </c>
      <c r="DH448" s="108" t="str">
        <f aca="false">IF(ISBLANK($C448),"",$C448)</f>
        <v/>
      </c>
      <c r="DI448" s="108" t="str">
        <f aca="false">IF(ISBLANK($C448),"",$D448)</f>
        <v/>
      </c>
      <c r="DJ448" s="109" t="str">
        <f aca="false">$CX448</f>
        <v/>
      </c>
      <c r="DK448" s="110" t="str">
        <f aca="false">$CW448</f>
        <v/>
      </c>
      <c r="DL448" s="108" t="str">
        <f aca="false">IF(ISBLANK($C448),"",$CZ448)</f>
        <v/>
      </c>
      <c r="DM448" s="111" t="str">
        <f aca="false">IF($DD448&gt;$DC$8,"",VLOOKUP($DD448,$DF$9:$DL$508,7,FALSE()))</f>
        <v/>
      </c>
      <c r="DN448" s="112" t="str">
        <f aca="false">IF($DD448&gt;$DC$8,"",VLOOKUP($DD448,$DF$9:$DL$508,2,FALSE()))</f>
        <v/>
      </c>
      <c r="DO448" s="112" t="str">
        <f aca="false">IF($DD448&gt;$DC$8,"",VLOOKUP($DD448,$DF$9:$DL$508,3,FALSE()))</f>
        <v/>
      </c>
      <c r="DP448" s="112" t="str">
        <f aca="false">IF($DD448&gt;$DC$8,"",VLOOKUP($DD448,$DF$9:$DL$508,4,FALSE()))</f>
        <v/>
      </c>
      <c r="DQ448" s="112" t="str">
        <f aca="false">IF($DD448&gt;$DC$8,"",VLOOKUP($DD448,$DF$9:$DL$508,5,FALSE()))</f>
        <v/>
      </c>
      <c r="DR448" s="113" t="str">
        <f aca="false">IF($DD448&gt;$DC$8,"",VLOOKUP($DD448,$DF$9:$DL$508,6,FALSE()))</f>
        <v/>
      </c>
      <c r="DS448" s="76"/>
    </row>
    <row r="449" customFormat="false" ht="15.75" hidden="false" customHeight="false" outlineLevel="0" collapsed="false">
      <c r="A449" s="9"/>
      <c r="B449" s="78"/>
      <c r="C449" s="79"/>
      <c r="D449" s="170"/>
      <c r="E449" s="178"/>
      <c r="F449" s="172"/>
      <c r="G449" s="173"/>
      <c r="H449" s="173"/>
      <c r="I449" s="179"/>
      <c r="J449" s="176"/>
      <c r="K449" s="86"/>
      <c r="L449" s="87"/>
      <c r="M449" s="88"/>
      <c r="N449" s="176"/>
      <c r="O449" s="176"/>
      <c r="P449" s="178"/>
      <c r="Q449" s="176"/>
      <c r="R449" s="176"/>
      <c r="S449" s="86"/>
      <c r="T449" s="88"/>
      <c r="U449" s="88"/>
      <c r="V449" s="176"/>
      <c r="W449" s="176"/>
      <c r="X449" s="178"/>
      <c r="Y449" s="176"/>
      <c r="Z449" s="177"/>
      <c r="AA449" s="176"/>
      <c r="AB449" s="92"/>
      <c r="AC449" s="93"/>
      <c r="AD449" s="93"/>
      <c r="AE449" s="93"/>
      <c r="AF449" s="93" t="str">
        <f aca="false">IF(ISBLANK($C449),"",IF(E449=Constants!$B$2,TRUE(),IF(E449=Constants!$B$3,FALSE(),TRUE())))</f>
        <v/>
      </c>
      <c r="AG449" s="93" t="str">
        <f aca="false">IF(ISBLANK($C449),"",IF(F449=Constants!$B$2,TRUE(),IF(F449=Constants!$B$3,FALSE(),TRUE())))</f>
        <v/>
      </c>
      <c r="AH449" s="93" t="str">
        <f aca="false">IF(ISBLANK($C449),"",IF(G449=Constants!$B$2,TRUE(),IF(G449=Constants!$B$3,FALSE(),TRUE())))</f>
        <v/>
      </c>
      <c r="AI449" s="93" t="str">
        <f aca="false">IF(ISBLANK($C449),"",IF(AND(ISNUMBER(H449),H449&gt;=0),H449,Constants!$B$24))</f>
        <v/>
      </c>
      <c r="AJ449" s="93" t="str">
        <f aca="false">IF(ISBLANK($C449),"",IF(I449=Constants!$B$2,TRUE(),IF(I449=Constants!$B$3,FALSE(),TRUE())))</f>
        <v/>
      </c>
      <c r="AK449" s="93" t="str">
        <f aca="false">IF(ISBLANK($C449),"",IF(J449=Constants!$B$2,TRUE(),IF(J449=Constants!$B$3,FALSE(),TRUE())))</f>
        <v/>
      </c>
      <c r="AL449" s="93" t="str">
        <f aca="false">IF(ISBLANK($C449),"",IF(K449=Constants!$B$4,TRUE(),IF(K449=Constants!$B$5,FALSE(),COUNTA(L449:P449)&gt;0)))</f>
        <v/>
      </c>
      <c r="AM449" s="95" t="str">
        <f aca="false">IF(ISBLANK($C449),"",IF(ISNUMBER(L449),IF(L449&gt;=0,L449,""),""))</f>
        <v/>
      </c>
      <c r="AN449" s="94" t="str">
        <f aca="false">IF(ISBLANK($C449),"",IF(ISNUMBER(M449),IF(M449&gt;=0,M449,""),""))</f>
        <v/>
      </c>
      <c r="AO449" s="94" t="str">
        <f aca="false">IF(ISBLANK($C449),"",IF(N449=Constants!$B$2,TRUE(),IF(N449=Constants!$B$3,FALSE(),TRUE())))</f>
        <v/>
      </c>
      <c r="AP449" s="93" t="str">
        <f aca="false">IF(ISBLANK($C449),"",IF(ISNUMBER(O449),IF(O449&gt;=0,O449,""),""))</f>
        <v/>
      </c>
      <c r="AQ449" s="93" t="str">
        <f aca="false">IF(ISBLANK($C449),"",IF(P449=Constants!$B$2,TRUE(),IF(P449=Constants!$B$3,FALSE(),FALSE())))</f>
        <v/>
      </c>
      <c r="AR449" s="93" t="str">
        <f aca="false">IF(ISBLANK($C449),"",IF(Q449=Constants!$B$2,TRUE(),IF(Q449=Constants!$B$3,FALSE(),TRUE())))</f>
        <v/>
      </c>
      <c r="AS449" s="93" t="str">
        <f aca="false">IF(ISBLANK($C449),"",IF(R449=Constants!$B$2,TRUE(),IF(R449=Constants!$B$3,FALSE(),TRUE())))</f>
        <v/>
      </c>
      <c r="AT449" s="93" t="str">
        <f aca="false">IF(ISBLANK($C449),"",IF(S449=Constants!$B$4,TRUE(),IF(S449=Constants!$B$5,FALSE(),COUNTA(T449:X449)&gt;0)))</f>
        <v/>
      </c>
      <c r="AU449" s="95" t="str">
        <f aca="false">IF(ISBLANK($C449),"",IF(ISNUMBER(T449),IF(T449&gt;=0,T449,""),""))</f>
        <v/>
      </c>
      <c r="AV449" s="94" t="str">
        <f aca="false">IF(ISBLANK($C449),"",IF(ISNUMBER(U449),IF(U449&gt;=0,U449,""),""))</f>
        <v/>
      </c>
      <c r="AW449" s="94" t="str">
        <f aca="false">IF(ISBLANK($C449),"",IF(V449=Constants!$B$2,TRUE(),IF(V449=Constants!$B$3,FALSE(),TRUE())))</f>
        <v/>
      </c>
      <c r="AX449" s="93" t="str">
        <f aca="false">IF(ISBLANK($C449),"",IF(ISNUMBER(W449),IF(W449&gt;=0,W449,""),""))</f>
        <v/>
      </c>
      <c r="AY449" s="93" t="str">
        <f aca="false">IF(ISBLANK($C449),"",IF(X449=Constants!$B$2,TRUE(),IF(X449=Constants!$B$3,FALSE(),FALSE())))</f>
        <v/>
      </c>
      <c r="AZ449" s="93" t="str">
        <f aca="false">IF(ISBLANK($C449),"",MIN(Constants!$B$25,MAX(0,IF(ISNUMBER(Y449),Y449*60,0)+IF(ISNUMBER(Z449),Z449,0))))</f>
        <v/>
      </c>
      <c r="BA449" s="93" t="str">
        <f aca="false">IF(ISBLANK($C449),"",IF(AA449=Constants!$B$2,TRUE(),IF(AA449=Constants!$B$3,FALSE(),FALSE())))</f>
        <v/>
      </c>
      <c r="BB449" s="92" t="str">
        <f aca="false">IF(ISBLANK($C449),"",AND($AL449,OR($AM449="",$AN449="",AND($AO449,$AP449=""))))</f>
        <v/>
      </c>
      <c r="BC449" s="94" t="str">
        <f aca="false">IF($BX449&lt;&gt;Constants!$B$6,"",IF($AL449,Constants!$B$17*$AN449+Constants!$B$18*IF($AO449,$AP449,Constants!$B$19),Constants!$B$20))</f>
        <v/>
      </c>
      <c r="BD449" s="97" t="str">
        <f aca="false">IF($BX449&lt;&gt;Constants!$B$6,"",Constants!$B$21*ABS($AD$9-IF($AL449,$AM449,0)))</f>
        <v/>
      </c>
      <c r="BE449" s="97" t="str">
        <f aca="false">IF($BX449&lt;&gt;Constants!$B$6,"",IF(AND($AL449,$AQ449,$AO449),Constants!$B$22,0))</f>
        <v/>
      </c>
      <c r="BF449" s="97" t="str">
        <f aca="false">IF($BX449&lt;&gt;Constants!$B$6,"",IF($AL449,($AI449-Constants!$B$24)*Constants!$B$23,0))</f>
        <v/>
      </c>
      <c r="BG449" s="97" t="str">
        <f aca="false">IF($BX449&lt;&gt;Constants!$B$6,"",IF($AK449,0,Constants!$B$12)+IF($AJ449,0,Constants!$B$13)+IF($AH449,0,Constants!$B$14))</f>
        <v/>
      </c>
      <c r="BH449" s="98" t="str">
        <f aca="false">IF($BX449&lt;&gt;Constants!$B$6,"",Constants!$B$16+SUM($BC449:$BG449))</f>
        <v/>
      </c>
      <c r="BI449" s="97" t="str">
        <f aca="false">IF($BX449&lt;&gt;Constants!$B$6,"",$BC449)</f>
        <v/>
      </c>
      <c r="BJ449" s="97" t="str">
        <f aca="false">IF($BX449&lt;&gt;Constants!$B$6,"",$BD449)</f>
        <v/>
      </c>
      <c r="BK449" s="99" t="str">
        <f aca="false">IF($BX449&lt;&gt;Constants!$B$6,"",IF($AL449,$AN449,""))</f>
        <v/>
      </c>
      <c r="BL449" s="93" t="str">
        <f aca="false">IF($BX449&lt;&gt;Constants!$B$6,"",IF(OR($BS449&lt;$BH449,AND($BS449=$BH449,OR($BT449&lt;$BI449,AND($BT449=$BI449,OR($BU449&lt;$BJ449,AND($BU449=$BJ449,AND(ISNUMBER($BV449),OR(NOT(ISNUMBER($BK449)),$BV449&lt;$BK449)))))))),"-&gt;","&lt;-"))</f>
        <v/>
      </c>
      <c r="BM449" s="92" t="str">
        <f aca="false">IF(ISBLANK($C449),"",AND($AT449,OR($AU449="",$AV449="",AND($AW449,$AX449=""))))</f>
        <v/>
      </c>
      <c r="BN449" s="94" t="str">
        <f aca="false">IF($BX449&lt;&gt;Constants!$B$6,"",IF($AT449,Constants!$B$17*$AV449+Constants!$B$18*IF($AW449,$AX449,Constants!$B$19),Constants!$B$20))</f>
        <v/>
      </c>
      <c r="BO449" s="97" t="str">
        <f aca="false">IF($BX449&lt;&gt;Constants!$B$6,"",Constants!$B$21*ABS($AD$9-IF($AT449,$AU449,0)))</f>
        <v/>
      </c>
      <c r="BP449" s="97" t="str">
        <f aca="false">IF($BX449&lt;&gt;Constants!$B$6,"",IF(AND($AT449,$AY449,$AW449),Constants!$B$22,0))</f>
        <v/>
      </c>
      <c r="BQ449" s="97" t="str">
        <f aca="false">IF($BX449&lt;&gt;Constants!$B$6,"",IF($AT449,($AI449-Constants!$B$24)*Constants!$B$23,0))</f>
        <v/>
      </c>
      <c r="BR449" s="97" t="str">
        <f aca="false">IF($BX449&lt;&gt;Constants!$B$6,"",IF($AS449,0,Constants!$B$12)+IF($AR449,0,Constants!$B$13)+IF($AH449,0,Constants!$B$14))</f>
        <v/>
      </c>
      <c r="BS449" s="98" t="str">
        <f aca="false">IF($BX449&lt;&gt;Constants!$B$6,"",Constants!$B$16+SUM($BN449:$BR449))</f>
        <v/>
      </c>
      <c r="BT449" s="97" t="str">
        <f aca="false">IF($BX449&lt;&gt;Constants!$B$6,"",$BN449)</f>
        <v/>
      </c>
      <c r="BU449" s="97" t="str">
        <f aca="false">IF($BX449&lt;&gt;Constants!$B$6,"",$BO449)</f>
        <v/>
      </c>
      <c r="BV449" s="99" t="str">
        <f aca="false">IF($BX449&lt;&gt;Constants!$B$6,"",IF($AT449,$AV449,""))</f>
        <v/>
      </c>
      <c r="BW449" s="93" t="str">
        <f aca="false">IF(ISBLANK($C449),"",IF(ISBLANK($D$7),$BW$5,IF(NOT(ISNUMBER($D$7)),$BW$6,"")))</f>
        <v/>
      </c>
      <c r="BX449" s="93" t="str">
        <f aca="false">IF(ISBLANK($C449),"",IF($BA449,Constants!$B$9,IF(COUNTA($E449:$AA449)=0,Constants!$B$8,IF(NOT($AG449),Constants!$B$7,IF(OR($BW449&lt;&gt;"",$BB449,$BM449),Constants!$B$10,Constants!$B$6)))))</f>
        <v/>
      </c>
      <c r="BY449" s="93" t="str">
        <f aca="false">IF(ISBLANK($C449),"",IF($BX449&lt;&gt;Constants!$B$6,$BX449,Constants!$B$11))</f>
        <v/>
      </c>
      <c r="BZ449" s="97" t="str">
        <f aca="false">IF($BX449&lt;&gt;Constants!$B$6,"",IF($BL449="-&gt;",$BS449,$BH449))</f>
        <v/>
      </c>
      <c r="CA449" s="97" t="str">
        <f aca="false">IF($BX449&lt;&gt;Constants!$B$6,"",IF($AF449,0,Constants!$B$15))</f>
        <v/>
      </c>
      <c r="CB449" s="97" t="str">
        <f aca="false">IF($BX449&lt;&gt;Constants!$B$6,"",((Constants!$B$25-$AZ449)-Constants!$B$25)/Constants!$B$26)</f>
        <v/>
      </c>
      <c r="CC449" s="97" t="str">
        <f aca="false">IF(ISBLANK($C449),"",IF($BX449&lt;&gt;Constants!$B$6,$BX449,SUM($BZ449:$CB449)))</f>
        <v/>
      </c>
      <c r="CD449" s="93" t="str">
        <f aca="false">IF(ISBLANK($C449),"",IF($BX449&lt;&gt;Constants!$B$6,$BX449,RANK($CC449,$CC$9:$CC$508,1)))</f>
        <v/>
      </c>
      <c r="CE449" s="97" t="str">
        <f aca="false">IF($BX449&lt;&gt;Constants!$B$6,"",IF($BL449="-&gt;",$BT449,$BI449))</f>
        <v/>
      </c>
      <c r="CF449" s="93" t="str">
        <f aca="false">IF(ISBLANK($C449),"",IF($BX449&lt;&gt;Constants!$B$6,$BX449,IF(ISNUMBER($CE449),RANK($CE449,$CE$9:$CE$508,1),COUNT($CE$9:$CE$508)+1)))</f>
        <v/>
      </c>
      <c r="CG449" s="97" t="str">
        <f aca="false">IF($BX449&lt;&gt;Constants!$B$6,"",IF($BL449="-&gt;",$BU449,$BJ449))</f>
        <v/>
      </c>
      <c r="CH449" s="93" t="str">
        <f aca="false">IF(ISBLANK($C449),"",IF($BX449&lt;&gt;Constants!$B$6,$BX449,IF(ISNUMBER($CG449),RANK($CG449,$CG$9:$CG$508,1),COUNT($CG$9:$CG$508)+1)))</f>
        <v/>
      </c>
      <c r="CI449" s="97" t="str">
        <f aca="false">IF($BX449&lt;&gt;Constants!$B$6,"",IF($BL449="-&gt;",$BV449,$BK449))</f>
        <v/>
      </c>
      <c r="CJ449" s="93" t="str">
        <f aca="false">IF(ISBLANK($C449),"",IF($BX449&lt;&gt;Constants!$B$6,$BX449,IF(ISNUMBER($CI449),RANK($CI449,$CI$9:$CI$508,1),COUNT($CI$9:$CI$508)+1)))</f>
        <v/>
      </c>
      <c r="CK449" s="97" t="str">
        <f aca="false">IF($BX449&lt;&gt;Constants!$B$6,"",$AI449)</f>
        <v/>
      </c>
      <c r="CL449" s="93" t="str">
        <f aca="false">IF(ISBLANK($C449),"",IF($BX449&lt;&gt;Constants!$B$6,$BX449,IF(ISNUMBER($CK449),RANK($CK449,$CK$9:$CK$508,1),COUNT($CK$9:$CK$508)+1)))</f>
        <v/>
      </c>
      <c r="CM449" s="93" t="str">
        <f aca="false">IF(ISBLANK($C449),"",IF($BX449&lt;&gt;Constants!$B$6,$BX449,COUNTIFS($CD$9:$CD$508,"&lt;"&amp;$CD449)+COUNTIFS($CD$9:$CD$508,$CD449,$CF$9:$CF$508,"&lt;"&amp;$CF449)+COUNTIFS($CD$9:$CD$508,$CD449,$CF$9:$CF$508,$CF449,$CH$9:$CH$508,"&lt;"&amp;$CH449)+COUNTIFS($CD$9:$CD$508,$CD449,$CF$9:$CF$508,$CF449,$CH$9:$CH$508,$CH449,$CJ$9:$CJ$508,"&lt;"&amp;$CJ449)+COUNTIFS($CD$9:$CD$508,$CD449,$CF$9:$CF$508,$CF449,$CH$9:$CH$508,$CH449,$CJ$9:$CJ$508,$CJ449,$CL$9:$CL$508,"&lt;"&amp;$CL449)+1))</f>
        <v/>
      </c>
      <c r="CN449" s="93" t="str">
        <f aca="false">IF(ISBLANK($C449),"",IF($BX449&lt;&gt;Constants!$B$6,$BX449,$CD449-$CM449))</f>
        <v/>
      </c>
      <c r="CO449" s="100"/>
      <c r="CP449" s="101"/>
      <c r="CQ449" s="102" t="str">
        <f aca="false">IF(ISBLANK($C449),"",IF($BX449=Constants!$B$10,$BW449,""))</f>
        <v/>
      </c>
      <c r="CR449" s="101" t="str">
        <f aca="false">IF(ISBLANK($C449),"",IF($BX449&lt;&gt;Constants!$B$6,"",IF($BL449="-&gt;",2,1)))</f>
        <v/>
      </c>
      <c r="CS449" s="103" t="str">
        <f aca="false">IF(ISBLANK($C449),"",IF($BX449&lt;&gt;Constants!$B$6,"",IF($BL449="-&gt;",$BN449,$BC449)))</f>
        <v/>
      </c>
      <c r="CT449" s="103" t="str">
        <f aca="false">IF(ISBLANK($C449),"",IF($BX449&lt;&gt;Constants!$B$6,"",IF($BL449="-&gt;",$BO449,$BD449)))</f>
        <v/>
      </c>
      <c r="CU449" s="103" t="str">
        <f aca="false">IF(ISBLANK($C449),"",IF($BX449&lt;&gt;Constants!$B$6,"",IF($BL449="-&gt;",$BP449+$BQ449,$BE449+$BF449)+$CB449))</f>
        <v/>
      </c>
      <c r="CV449" s="103" t="str">
        <f aca="false">IF(ISBLANK($C449),"",IF($BX449&lt;&gt;Constants!$B$6,"",IF($BL449="-&gt;",$BR449,$BG449)+$CA449))</f>
        <v/>
      </c>
      <c r="CW449" s="104" t="str">
        <f aca="false">IF(ISBLANK($C449),"",IF($BX449&lt;&gt;Constants!$B$6,$BX449,$CC449))</f>
        <v/>
      </c>
      <c r="CX449" s="105" t="str">
        <f aca="false">IF(ISBLANK($C449),"",$BY449)</f>
        <v/>
      </c>
      <c r="CY449" s="106" t="str">
        <f aca="false">IF(ISBLANK($C449),"",$CN449)</f>
        <v/>
      </c>
      <c r="CZ449" s="106" t="str">
        <f aca="false">IF(ISBLANK($C449),"",$CM449)</f>
        <v/>
      </c>
      <c r="DA449" s="107" t="str">
        <f aca="false">IF(ISBLANK($C449),"",IFERROR(_xlfn.SWITCH($CZ449,Constants!$B$9,COUNTA($C$9:$C$508)+2,Constants!$B$8,COUNTA($C$9:$C$508)+1,Constants!$B$7,COUNTA($C$9:$C$508)),$CZ449))</f>
        <v/>
      </c>
      <c r="DB449" s="9"/>
      <c r="DC449" s="108" t="n">
        <f aca="false">IF(OR(ISNUMBER($CZ449),$CZ449=Constants!$B$9,$CZ449=Constants!$B$7,$CZ449=Constants!$B$8),1,0)</f>
        <v>0</v>
      </c>
      <c r="DD449" s="108" t="n">
        <v>441</v>
      </c>
      <c r="DE449" s="108" t="str">
        <f aca="false">IF(ISBLANK($C449),"",IF(ISNUMBER($DA449),$DA449+ROW($B449)/1000,""))</f>
        <v/>
      </c>
      <c r="DF449" s="108" t="str">
        <f aca="false">IF(ISNUMBER($DE449),RANK($DE449,$DE$9:$DE$508,1),"")</f>
        <v/>
      </c>
      <c r="DG449" s="108" t="str">
        <f aca="false">IF(ISBLANK($C449),"",$B449)</f>
        <v/>
      </c>
      <c r="DH449" s="108" t="str">
        <f aca="false">IF(ISBLANK($C449),"",$C449)</f>
        <v/>
      </c>
      <c r="DI449" s="108" t="str">
        <f aca="false">IF(ISBLANK($C449),"",$D449)</f>
        <v/>
      </c>
      <c r="DJ449" s="109" t="str">
        <f aca="false">$CX449</f>
        <v/>
      </c>
      <c r="DK449" s="110" t="str">
        <f aca="false">$CW449</f>
        <v/>
      </c>
      <c r="DL449" s="108" t="str">
        <f aca="false">IF(ISBLANK($C449),"",$CZ449)</f>
        <v/>
      </c>
      <c r="DM449" s="111" t="str">
        <f aca="false">IF($DD449&gt;$DC$8,"",VLOOKUP($DD449,$DF$9:$DL$508,7,FALSE()))</f>
        <v/>
      </c>
      <c r="DN449" s="112" t="str">
        <f aca="false">IF($DD449&gt;$DC$8,"",VLOOKUP($DD449,$DF$9:$DL$508,2,FALSE()))</f>
        <v/>
      </c>
      <c r="DO449" s="112" t="str">
        <f aca="false">IF($DD449&gt;$DC$8,"",VLOOKUP($DD449,$DF$9:$DL$508,3,FALSE()))</f>
        <v/>
      </c>
      <c r="DP449" s="112" t="str">
        <f aca="false">IF($DD449&gt;$DC$8,"",VLOOKUP($DD449,$DF$9:$DL$508,4,FALSE()))</f>
        <v/>
      </c>
      <c r="DQ449" s="112" t="str">
        <f aca="false">IF($DD449&gt;$DC$8,"",VLOOKUP($DD449,$DF$9:$DL$508,5,FALSE()))</f>
        <v/>
      </c>
      <c r="DR449" s="113" t="str">
        <f aca="false">IF($DD449&gt;$DC$8,"",VLOOKUP($DD449,$DF$9:$DL$508,6,FALSE()))</f>
        <v/>
      </c>
      <c r="DS449" s="76"/>
    </row>
    <row r="450" customFormat="false" ht="15.75" hidden="false" customHeight="false" outlineLevel="0" collapsed="false">
      <c r="A450" s="9"/>
      <c r="B450" s="160"/>
      <c r="C450" s="161"/>
      <c r="D450" s="162"/>
      <c r="E450" s="180"/>
      <c r="F450" s="164"/>
      <c r="G450" s="165"/>
      <c r="H450" s="165"/>
      <c r="I450" s="181"/>
      <c r="J450" s="168"/>
      <c r="K450" s="128"/>
      <c r="L450" s="129"/>
      <c r="M450" s="130"/>
      <c r="N450" s="168"/>
      <c r="O450" s="168"/>
      <c r="P450" s="180"/>
      <c r="Q450" s="168"/>
      <c r="R450" s="168"/>
      <c r="S450" s="128"/>
      <c r="T450" s="130"/>
      <c r="U450" s="130"/>
      <c r="V450" s="168"/>
      <c r="W450" s="168"/>
      <c r="X450" s="180"/>
      <c r="Y450" s="168"/>
      <c r="Z450" s="169"/>
      <c r="AA450" s="168"/>
      <c r="AB450" s="134"/>
      <c r="AC450" s="135"/>
      <c r="AD450" s="135"/>
      <c r="AE450" s="135"/>
      <c r="AF450" s="135" t="str">
        <f aca="false">IF(ISBLANK($C450),"",IF(E450=Constants!$B$2,TRUE(),IF(E450=Constants!$B$3,FALSE(),TRUE())))</f>
        <v/>
      </c>
      <c r="AG450" s="135" t="str">
        <f aca="false">IF(ISBLANK($C450),"",IF(F450=Constants!$B$2,TRUE(),IF(F450=Constants!$B$3,FALSE(),TRUE())))</f>
        <v/>
      </c>
      <c r="AH450" s="135" t="str">
        <f aca="false">IF(ISBLANK($C450),"",IF(G450=Constants!$B$2,TRUE(),IF(G450=Constants!$B$3,FALSE(),TRUE())))</f>
        <v/>
      </c>
      <c r="AI450" s="135" t="str">
        <f aca="false">IF(ISBLANK($C450),"",IF(AND(ISNUMBER(H450),H450&gt;=0),H450,Constants!$B$24))</f>
        <v/>
      </c>
      <c r="AJ450" s="135" t="str">
        <f aca="false">IF(ISBLANK($C450),"",IF(I450=Constants!$B$2,TRUE(),IF(I450=Constants!$B$3,FALSE(),TRUE())))</f>
        <v/>
      </c>
      <c r="AK450" s="135" t="str">
        <f aca="false">IF(ISBLANK($C450),"",IF(J450=Constants!$B$2,TRUE(),IF(J450=Constants!$B$3,FALSE(),TRUE())))</f>
        <v/>
      </c>
      <c r="AL450" s="135" t="str">
        <f aca="false">IF(ISBLANK($C450),"",IF(K450=Constants!$B$4,TRUE(),IF(K450=Constants!$B$5,FALSE(),COUNTA(L450:P450)&gt;0)))</f>
        <v/>
      </c>
      <c r="AM450" s="136" t="str">
        <f aca="false">IF(ISBLANK($C450),"",IF(ISNUMBER(L450),IF(L450&gt;=0,L450,""),""))</f>
        <v/>
      </c>
      <c r="AN450" s="137" t="str">
        <f aca="false">IF(ISBLANK($C450),"",IF(ISNUMBER(M450),IF(M450&gt;=0,M450,""),""))</f>
        <v/>
      </c>
      <c r="AO450" s="137" t="str">
        <f aca="false">IF(ISBLANK($C450),"",IF(N450=Constants!$B$2,TRUE(),IF(N450=Constants!$B$3,FALSE(),TRUE())))</f>
        <v/>
      </c>
      <c r="AP450" s="135" t="str">
        <f aca="false">IF(ISBLANK($C450),"",IF(ISNUMBER(O450),IF(O450&gt;=0,O450,""),""))</f>
        <v/>
      </c>
      <c r="AQ450" s="135" t="str">
        <f aca="false">IF(ISBLANK($C450),"",IF(P450=Constants!$B$2,TRUE(),IF(P450=Constants!$B$3,FALSE(),FALSE())))</f>
        <v/>
      </c>
      <c r="AR450" s="135" t="str">
        <f aca="false">IF(ISBLANK($C450),"",IF(Q450=Constants!$B$2,TRUE(),IF(Q450=Constants!$B$3,FALSE(),TRUE())))</f>
        <v/>
      </c>
      <c r="AS450" s="135" t="str">
        <f aca="false">IF(ISBLANK($C450),"",IF(R450=Constants!$B$2,TRUE(),IF(R450=Constants!$B$3,FALSE(),TRUE())))</f>
        <v/>
      </c>
      <c r="AT450" s="135" t="str">
        <f aca="false">IF(ISBLANK($C450),"",IF(S450=Constants!$B$4,TRUE(),IF(S450=Constants!$B$5,FALSE(),COUNTA(T450:X450)&gt;0)))</f>
        <v/>
      </c>
      <c r="AU450" s="136" t="str">
        <f aca="false">IF(ISBLANK($C450),"",IF(ISNUMBER(T450),IF(T450&gt;=0,T450,""),""))</f>
        <v/>
      </c>
      <c r="AV450" s="137" t="str">
        <f aca="false">IF(ISBLANK($C450),"",IF(ISNUMBER(U450),IF(U450&gt;=0,U450,""),""))</f>
        <v/>
      </c>
      <c r="AW450" s="137" t="str">
        <f aca="false">IF(ISBLANK($C450),"",IF(V450=Constants!$B$2,TRUE(),IF(V450=Constants!$B$3,FALSE(),TRUE())))</f>
        <v/>
      </c>
      <c r="AX450" s="135" t="str">
        <f aca="false">IF(ISBLANK($C450),"",IF(ISNUMBER(W450),IF(W450&gt;=0,W450,""),""))</f>
        <v/>
      </c>
      <c r="AY450" s="135" t="str">
        <f aca="false">IF(ISBLANK($C450),"",IF(X450=Constants!$B$2,TRUE(),IF(X450=Constants!$B$3,FALSE(),FALSE())))</f>
        <v/>
      </c>
      <c r="AZ450" s="135" t="str">
        <f aca="false">IF(ISBLANK($C450),"",MIN(Constants!$B$25,MAX(0,IF(ISNUMBER(Y450),Y450*60,0)+IF(ISNUMBER(Z450),Z450,0))))</f>
        <v/>
      </c>
      <c r="BA450" s="135" t="str">
        <f aca="false">IF(ISBLANK($C450),"",IF(AA450=Constants!$B$2,TRUE(),IF(AA450=Constants!$B$3,FALSE(),FALSE())))</f>
        <v/>
      </c>
      <c r="BB450" s="134" t="str">
        <f aca="false">IF(ISBLANK($C450),"",AND($AL450,OR($AM450="",$AN450="",AND($AO450,$AP450=""))))</f>
        <v/>
      </c>
      <c r="BC450" s="137" t="str">
        <f aca="false">IF($BX450&lt;&gt;Constants!$B$6,"",IF($AL450,Constants!$B$17*$AN450+Constants!$B$18*IF($AO450,$AP450,Constants!$B$19),Constants!$B$20))</f>
        <v/>
      </c>
      <c r="BD450" s="138" t="str">
        <f aca="false">IF($BX450&lt;&gt;Constants!$B$6,"",Constants!$B$21*ABS($AD$9-IF($AL450,$AM450,0)))</f>
        <v/>
      </c>
      <c r="BE450" s="138" t="str">
        <f aca="false">IF($BX450&lt;&gt;Constants!$B$6,"",IF(AND($AL450,$AQ450,$AO450),Constants!$B$22,0))</f>
        <v/>
      </c>
      <c r="BF450" s="138" t="str">
        <f aca="false">IF($BX450&lt;&gt;Constants!$B$6,"",IF($AL450,($AI450-Constants!$B$24)*Constants!$B$23,0))</f>
        <v/>
      </c>
      <c r="BG450" s="138" t="str">
        <f aca="false">IF($BX450&lt;&gt;Constants!$B$6,"",IF($AK450,0,Constants!$B$12)+IF($AJ450,0,Constants!$B$13)+IF($AH450,0,Constants!$B$14))</f>
        <v/>
      </c>
      <c r="BH450" s="139" t="str">
        <f aca="false">IF($BX450&lt;&gt;Constants!$B$6,"",Constants!$B$16+SUM($BC450:$BG450))</f>
        <v/>
      </c>
      <c r="BI450" s="138" t="str">
        <f aca="false">IF($BX450&lt;&gt;Constants!$B$6,"",$BC450)</f>
        <v/>
      </c>
      <c r="BJ450" s="138" t="str">
        <f aca="false">IF($BX450&lt;&gt;Constants!$B$6,"",$BD450)</f>
        <v/>
      </c>
      <c r="BK450" s="140" t="str">
        <f aca="false">IF($BX450&lt;&gt;Constants!$B$6,"",IF($AL450,$AN450,""))</f>
        <v/>
      </c>
      <c r="BL450" s="135" t="str">
        <f aca="false">IF($BX450&lt;&gt;Constants!$B$6,"",IF(OR($BS450&lt;$BH450,AND($BS450=$BH450,OR($BT450&lt;$BI450,AND($BT450=$BI450,OR($BU450&lt;$BJ450,AND($BU450=$BJ450,AND(ISNUMBER($BV450),OR(NOT(ISNUMBER($BK450)),$BV450&lt;$BK450)))))))),"-&gt;","&lt;-"))</f>
        <v/>
      </c>
      <c r="BM450" s="134" t="str">
        <f aca="false">IF(ISBLANK($C450),"",AND($AT450,OR($AU450="",$AV450="",AND($AW450,$AX450=""))))</f>
        <v/>
      </c>
      <c r="BN450" s="137" t="str">
        <f aca="false">IF($BX450&lt;&gt;Constants!$B$6,"",IF($AT450,Constants!$B$17*$AV450+Constants!$B$18*IF($AW450,$AX450,Constants!$B$19),Constants!$B$20))</f>
        <v/>
      </c>
      <c r="BO450" s="138" t="str">
        <f aca="false">IF($BX450&lt;&gt;Constants!$B$6,"",Constants!$B$21*ABS($AD$9-IF($AT450,$AU450,0)))</f>
        <v/>
      </c>
      <c r="BP450" s="138" t="str">
        <f aca="false">IF($BX450&lt;&gt;Constants!$B$6,"",IF(AND($AT450,$AY450,$AW450),Constants!$B$22,0))</f>
        <v/>
      </c>
      <c r="BQ450" s="138" t="str">
        <f aca="false">IF($BX450&lt;&gt;Constants!$B$6,"",IF($AT450,($AI450-Constants!$B$24)*Constants!$B$23,0))</f>
        <v/>
      </c>
      <c r="BR450" s="138" t="str">
        <f aca="false">IF($BX450&lt;&gt;Constants!$B$6,"",IF($AS450,0,Constants!$B$12)+IF($AR450,0,Constants!$B$13)+IF($AH450,0,Constants!$B$14))</f>
        <v/>
      </c>
      <c r="BS450" s="139" t="str">
        <f aca="false">IF($BX450&lt;&gt;Constants!$B$6,"",Constants!$B$16+SUM($BN450:$BR450))</f>
        <v/>
      </c>
      <c r="BT450" s="138" t="str">
        <f aca="false">IF($BX450&lt;&gt;Constants!$B$6,"",$BN450)</f>
        <v/>
      </c>
      <c r="BU450" s="138" t="str">
        <f aca="false">IF($BX450&lt;&gt;Constants!$B$6,"",$BO450)</f>
        <v/>
      </c>
      <c r="BV450" s="140" t="str">
        <f aca="false">IF($BX450&lt;&gt;Constants!$B$6,"",IF($AT450,$AV450,""))</f>
        <v/>
      </c>
      <c r="BW450" s="135" t="str">
        <f aca="false">IF(ISBLANK($C450),"",IF(ISBLANK($D$7),$BW$5,IF(NOT(ISNUMBER($D$7)),$BW$6,"")))</f>
        <v/>
      </c>
      <c r="BX450" s="135" t="str">
        <f aca="false">IF(ISBLANK($C450),"",IF($BA450,Constants!$B$9,IF(COUNTA($E450:$AA450)=0,Constants!$B$8,IF(NOT($AG450),Constants!$B$7,IF(OR($BW450&lt;&gt;"",$BB450,$BM450),Constants!$B$10,Constants!$B$6)))))</f>
        <v/>
      </c>
      <c r="BY450" s="135" t="str">
        <f aca="false">IF(ISBLANK($C450),"",IF($BX450&lt;&gt;Constants!$B$6,$BX450,Constants!$B$11))</f>
        <v/>
      </c>
      <c r="BZ450" s="138" t="str">
        <f aca="false">IF($BX450&lt;&gt;Constants!$B$6,"",IF($BL450="-&gt;",$BS450,$BH450))</f>
        <v/>
      </c>
      <c r="CA450" s="138" t="str">
        <f aca="false">IF($BX450&lt;&gt;Constants!$B$6,"",IF($AF450,0,Constants!$B$15))</f>
        <v/>
      </c>
      <c r="CB450" s="138" t="str">
        <f aca="false">IF($BX450&lt;&gt;Constants!$B$6,"",((Constants!$B$25-$AZ450)-Constants!$B$25)/Constants!$B$26)</f>
        <v/>
      </c>
      <c r="CC450" s="138" t="str">
        <f aca="false">IF(ISBLANK($C450),"",IF($BX450&lt;&gt;Constants!$B$6,$BX450,SUM($BZ450:$CB450)))</f>
        <v/>
      </c>
      <c r="CD450" s="135" t="str">
        <f aca="false">IF(ISBLANK($C450),"",IF($BX450&lt;&gt;Constants!$B$6,$BX450,RANK($CC450,$CC$9:$CC$508,1)))</f>
        <v/>
      </c>
      <c r="CE450" s="138" t="str">
        <f aca="false">IF($BX450&lt;&gt;Constants!$B$6,"",IF($BL450="-&gt;",$BT450,$BI450))</f>
        <v/>
      </c>
      <c r="CF450" s="135" t="str">
        <f aca="false">IF(ISBLANK($C450),"",IF($BX450&lt;&gt;Constants!$B$6,$BX450,IF(ISNUMBER($CE450),RANK($CE450,$CE$9:$CE$508,1),COUNT($CE$9:$CE$508)+1)))</f>
        <v/>
      </c>
      <c r="CG450" s="138" t="str">
        <f aca="false">IF($BX450&lt;&gt;Constants!$B$6,"",IF($BL450="-&gt;",$BU450,$BJ450))</f>
        <v/>
      </c>
      <c r="CH450" s="135" t="str">
        <f aca="false">IF(ISBLANK($C450),"",IF($BX450&lt;&gt;Constants!$B$6,$BX450,IF(ISNUMBER($CG450),RANK($CG450,$CG$9:$CG$508,1),COUNT($CG$9:$CG$508)+1)))</f>
        <v/>
      </c>
      <c r="CI450" s="138" t="str">
        <f aca="false">IF($BX450&lt;&gt;Constants!$B$6,"",IF($BL450="-&gt;",$BV450,$BK450))</f>
        <v/>
      </c>
      <c r="CJ450" s="135" t="str">
        <f aca="false">IF(ISBLANK($C450),"",IF($BX450&lt;&gt;Constants!$B$6,$BX450,IF(ISNUMBER($CI450),RANK($CI450,$CI$9:$CI$508,1),COUNT($CI$9:$CI$508)+1)))</f>
        <v/>
      </c>
      <c r="CK450" s="138" t="str">
        <f aca="false">IF($BX450&lt;&gt;Constants!$B$6,"",$AI450)</f>
        <v/>
      </c>
      <c r="CL450" s="135" t="str">
        <f aca="false">IF(ISBLANK($C450),"",IF($BX450&lt;&gt;Constants!$B$6,$BX450,IF(ISNUMBER($CK450),RANK($CK450,$CK$9:$CK$508,1),COUNT($CK$9:$CK$508)+1)))</f>
        <v/>
      </c>
      <c r="CM450" s="135" t="str">
        <f aca="false">IF(ISBLANK($C450),"",IF($BX450&lt;&gt;Constants!$B$6,$BX450,COUNTIFS($CD$9:$CD$508,"&lt;"&amp;$CD450)+COUNTIFS($CD$9:$CD$508,$CD450,$CF$9:$CF$508,"&lt;"&amp;$CF450)+COUNTIFS($CD$9:$CD$508,$CD450,$CF$9:$CF$508,$CF450,$CH$9:$CH$508,"&lt;"&amp;$CH450)+COUNTIFS($CD$9:$CD$508,$CD450,$CF$9:$CF$508,$CF450,$CH$9:$CH$508,$CH450,$CJ$9:$CJ$508,"&lt;"&amp;$CJ450)+COUNTIFS($CD$9:$CD$508,$CD450,$CF$9:$CF$508,$CF450,$CH$9:$CH$508,$CH450,$CJ$9:$CJ$508,$CJ450,$CL$9:$CL$508,"&lt;"&amp;$CL450)+1))</f>
        <v/>
      </c>
      <c r="CN450" s="135" t="str">
        <f aca="false">IF(ISBLANK($C450),"",IF($BX450&lt;&gt;Constants!$B$6,$BX450,$CD450-$CM450))</f>
        <v/>
      </c>
      <c r="CO450" s="141"/>
      <c r="CP450" s="142"/>
      <c r="CQ450" s="143" t="str">
        <f aca="false">IF(ISBLANK($C450),"",IF($BX450=Constants!$B$10,$BW450,""))</f>
        <v/>
      </c>
      <c r="CR450" s="142" t="str">
        <f aca="false">IF(ISBLANK($C450),"",IF($BX450&lt;&gt;Constants!$B$6,"",IF($BL450="-&gt;",2,1)))</f>
        <v/>
      </c>
      <c r="CS450" s="144" t="str">
        <f aca="false">IF(ISBLANK($C450),"",IF($BX450&lt;&gt;Constants!$B$6,"",IF($BL450="-&gt;",$BN450,$BC450)))</f>
        <v/>
      </c>
      <c r="CT450" s="144" t="str">
        <f aca="false">IF(ISBLANK($C450),"",IF($BX450&lt;&gt;Constants!$B$6,"",IF($BL450="-&gt;",$BO450,$BD450)))</f>
        <v/>
      </c>
      <c r="CU450" s="144" t="str">
        <f aca="false">IF(ISBLANK($C450),"",IF($BX450&lt;&gt;Constants!$B$6,"",IF($BL450="-&gt;",$BP450+$BQ450,$BE450+$BF450)+$CB450))</f>
        <v/>
      </c>
      <c r="CV450" s="144" t="str">
        <f aca="false">IF(ISBLANK($C450),"",IF($BX450&lt;&gt;Constants!$B$6,"",IF($BL450="-&gt;",$BR450,$BG450)+$CA450))</f>
        <v/>
      </c>
      <c r="CW450" s="145" t="str">
        <f aca="false">IF(ISBLANK($C450),"",IF($BX450&lt;&gt;Constants!$B$6,$BX450,$CC450))</f>
        <v/>
      </c>
      <c r="CX450" s="146" t="str">
        <f aca="false">IF(ISBLANK($C450),"",$BY450)</f>
        <v/>
      </c>
      <c r="CY450" s="147" t="str">
        <f aca="false">IF(ISBLANK($C450),"",$CN450)</f>
        <v/>
      </c>
      <c r="CZ450" s="147" t="str">
        <f aca="false">IF(ISBLANK($C450),"",$CM450)</f>
        <v/>
      </c>
      <c r="DA450" s="148" t="str">
        <f aca="false">IF(ISBLANK($C450),"",IFERROR(_xlfn.SWITCH($CZ450,Constants!$B$9,COUNTA($C$9:$C$508)+2,Constants!$B$8,COUNTA($C$9:$C$508)+1,Constants!$B$7,COUNTA($C$9:$C$508)),$CZ450))</f>
        <v/>
      </c>
      <c r="DB450" s="9"/>
      <c r="DC450" s="149" t="n">
        <f aca="false">IF(OR(ISNUMBER($CZ450),$CZ450=Constants!$B$9,$CZ450=Constants!$B$7,$CZ450=Constants!$B$8),1,0)</f>
        <v>0</v>
      </c>
      <c r="DD450" s="149" t="n">
        <v>442</v>
      </c>
      <c r="DE450" s="149" t="str">
        <f aca="false">IF(ISBLANK($C450),"",IF(ISNUMBER($DA450),$DA450+ROW($B450)/1000,""))</f>
        <v/>
      </c>
      <c r="DF450" s="149" t="str">
        <f aca="false">IF(ISNUMBER($DE450),RANK($DE450,$DE$9:$DE$508,1),"")</f>
        <v/>
      </c>
      <c r="DG450" s="149" t="str">
        <f aca="false">IF(ISBLANK($C450),"",$B450)</f>
        <v/>
      </c>
      <c r="DH450" s="149" t="str">
        <f aca="false">IF(ISBLANK($C450),"",$C450)</f>
        <v/>
      </c>
      <c r="DI450" s="149" t="str">
        <f aca="false">IF(ISBLANK($C450),"",$D450)</f>
        <v/>
      </c>
      <c r="DJ450" s="150" t="str">
        <f aca="false">$CX450</f>
        <v/>
      </c>
      <c r="DK450" s="151" t="str">
        <f aca="false">$CW450</f>
        <v/>
      </c>
      <c r="DL450" s="149" t="str">
        <f aca="false">IF(ISBLANK($C450),"",$CZ450)</f>
        <v/>
      </c>
      <c r="DM450" s="152" t="str">
        <f aca="false">IF($DD450&gt;$DC$8,"",VLOOKUP($DD450,$DF$9:$DL$508,7,FALSE()))</f>
        <v/>
      </c>
      <c r="DN450" s="153" t="str">
        <f aca="false">IF($DD450&gt;$DC$8,"",VLOOKUP($DD450,$DF$9:$DL$508,2,FALSE()))</f>
        <v/>
      </c>
      <c r="DO450" s="153" t="str">
        <f aca="false">IF($DD450&gt;$DC$8,"",VLOOKUP($DD450,$DF$9:$DL$508,3,FALSE()))</f>
        <v/>
      </c>
      <c r="DP450" s="153" t="str">
        <f aca="false">IF($DD450&gt;$DC$8,"",VLOOKUP($DD450,$DF$9:$DL$508,4,FALSE()))</f>
        <v/>
      </c>
      <c r="DQ450" s="153" t="str">
        <f aca="false">IF($DD450&gt;$DC$8,"",VLOOKUP($DD450,$DF$9:$DL$508,5,FALSE()))</f>
        <v/>
      </c>
      <c r="DR450" s="154" t="str">
        <f aca="false">IF($DD450&gt;$DC$8,"",VLOOKUP($DD450,$DF$9:$DL$508,6,FALSE()))</f>
        <v/>
      </c>
      <c r="DS450" s="76"/>
    </row>
    <row r="451" customFormat="false" ht="15.75" hidden="false" customHeight="false" outlineLevel="0" collapsed="false">
      <c r="A451" s="9"/>
      <c r="B451" s="160"/>
      <c r="C451" s="161"/>
      <c r="D451" s="162"/>
      <c r="E451" s="180"/>
      <c r="F451" s="164"/>
      <c r="G451" s="165"/>
      <c r="H451" s="165"/>
      <c r="I451" s="181"/>
      <c r="J451" s="168"/>
      <c r="K451" s="128"/>
      <c r="L451" s="129"/>
      <c r="M451" s="130"/>
      <c r="N451" s="168"/>
      <c r="O451" s="168"/>
      <c r="P451" s="180"/>
      <c r="Q451" s="168"/>
      <c r="R451" s="168"/>
      <c r="S451" s="128"/>
      <c r="T451" s="130"/>
      <c r="U451" s="130"/>
      <c r="V451" s="168"/>
      <c r="W451" s="168"/>
      <c r="X451" s="180"/>
      <c r="Y451" s="168"/>
      <c r="Z451" s="169"/>
      <c r="AA451" s="168"/>
      <c r="AB451" s="134"/>
      <c r="AC451" s="135"/>
      <c r="AD451" s="135"/>
      <c r="AE451" s="135"/>
      <c r="AF451" s="135" t="str">
        <f aca="false">IF(ISBLANK($C451),"",IF(E451=Constants!$B$2,TRUE(),IF(E451=Constants!$B$3,FALSE(),TRUE())))</f>
        <v/>
      </c>
      <c r="AG451" s="135" t="str">
        <f aca="false">IF(ISBLANK($C451),"",IF(F451=Constants!$B$2,TRUE(),IF(F451=Constants!$B$3,FALSE(),TRUE())))</f>
        <v/>
      </c>
      <c r="AH451" s="135" t="str">
        <f aca="false">IF(ISBLANK($C451),"",IF(G451=Constants!$B$2,TRUE(),IF(G451=Constants!$B$3,FALSE(),TRUE())))</f>
        <v/>
      </c>
      <c r="AI451" s="135" t="str">
        <f aca="false">IF(ISBLANK($C451),"",IF(AND(ISNUMBER(H451),H451&gt;=0),H451,Constants!$B$24))</f>
        <v/>
      </c>
      <c r="AJ451" s="135" t="str">
        <f aca="false">IF(ISBLANK($C451),"",IF(I451=Constants!$B$2,TRUE(),IF(I451=Constants!$B$3,FALSE(),TRUE())))</f>
        <v/>
      </c>
      <c r="AK451" s="135" t="str">
        <f aca="false">IF(ISBLANK($C451),"",IF(J451=Constants!$B$2,TRUE(),IF(J451=Constants!$B$3,FALSE(),TRUE())))</f>
        <v/>
      </c>
      <c r="AL451" s="135" t="str">
        <f aca="false">IF(ISBLANK($C451),"",IF(K451=Constants!$B$4,TRUE(),IF(K451=Constants!$B$5,FALSE(),COUNTA(L451:P451)&gt;0)))</f>
        <v/>
      </c>
      <c r="AM451" s="136" t="str">
        <f aca="false">IF(ISBLANK($C451),"",IF(ISNUMBER(L451),IF(L451&gt;=0,L451,""),""))</f>
        <v/>
      </c>
      <c r="AN451" s="137" t="str">
        <f aca="false">IF(ISBLANK($C451),"",IF(ISNUMBER(M451),IF(M451&gt;=0,M451,""),""))</f>
        <v/>
      </c>
      <c r="AO451" s="137" t="str">
        <f aca="false">IF(ISBLANK($C451),"",IF(N451=Constants!$B$2,TRUE(),IF(N451=Constants!$B$3,FALSE(),TRUE())))</f>
        <v/>
      </c>
      <c r="AP451" s="135" t="str">
        <f aca="false">IF(ISBLANK($C451),"",IF(ISNUMBER(O451),IF(O451&gt;=0,O451,""),""))</f>
        <v/>
      </c>
      <c r="AQ451" s="135" t="str">
        <f aca="false">IF(ISBLANK($C451),"",IF(P451=Constants!$B$2,TRUE(),IF(P451=Constants!$B$3,FALSE(),FALSE())))</f>
        <v/>
      </c>
      <c r="AR451" s="135" t="str">
        <f aca="false">IF(ISBLANK($C451),"",IF(Q451=Constants!$B$2,TRUE(),IF(Q451=Constants!$B$3,FALSE(),TRUE())))</f>
        <v/>
      </c>
      <c r="AS451" s="135" t="str">
        <f aca="false">IF(ISBLANK($C451),"",IF(R451=Constants!$B$2,TRUE(),IF(R451=Constants!$B$3,FALSE(),TRUE())))</f>
        <v/>
      </c>
      <c r="AT451" s="135" t="str">
        <f aca="false">IF(ISBLANK($C451),"",IF(S451=Constants!$B$4,TRUE(),IF(S451=Constants!$B$5,FALSE(),COUNTA(T451:X451)&gt;0)))</f>
        <v/>
      </c>
      <c r="AU451" s="136" t="str">
        <f aca="false">IF(ISBLANK($C451),"",IF(ISNUMBER(T451),IF(T451&gt;=0,T451,""),""))</f>
        <v/>
      </c>
      <c r="AV451" s="137" t="str">
        <f aca="false">IF(ISBLANK($C451),"",IF(ISNUMBER(U451),IF(U451&gt;=0,U451,""),""))</f>
        <v/>
      </c>
      <c r="AW451" s="137" t="str">
        <f aca="false">IF(ISBLANK($C451),"",IF(V451=Constants!$B$2,TRUE(),IF(V451=Constants!$B$3,FALSE(),TRUE())))</f>
        <v/>
      </c>
      <c r="AX451" s="135" t="str">
        <f aca="false">IF(ISBLANK($C451),"",IF(ISNUMBER(W451),IF(W451&gt;=0,W451,""),""))</f>
        <v/>
      </c>
      <c r="AY451" s="135" t="str">
        <f aca="false">IF(ISBLANK($C451),"",IF(X451=Constants!$B$2,TRUE(),IF(X451=Constants!$B$3,FALSE(),FALSE())))</f>
        <v/>
      </c>
      <c r="AZ451" s="135" t="str">
        <f aca="false">IF(ISBLANK($C451),"",MIN(Constants!$B$25,MAX(0,IF(ISNUMBER(Y451),Y451*60,0)+IF(ISNUMBER(Z451),Z451,0))))</f>
        <v/>
      </c>
      <c r="BA451" s="135" t="str">
        <f aca="false">IF(ISBLANK($C451),"",IF(AA451=Constants!$B$2,TRUE(),IF(AA451=Constants!$B$3,FALSE(),FALSE())))</f>
        <v/>
      </c>
      <c r="BB451" s="134" t="str">
        <f aca="false">IF(ISBLANK($C451),"",AND($AL451,OR($AM451="",$AN451="",AND($AO451,$AP451=""))))</f>
        <v/>
      </c>
      <c r="BC451" s="137" t="str">
        <f aca="false">IF($BX451&lt;&gt;Constants!$B$6,"",IF($AL451,Constants!$B$17*$AN451+Constants!$B$18*IF($AO451,$AP451,Constants!$B$19),Constants!$B$20))</f>
        <v/>
      </c>
      <c r="BD451" s="138" t="str">
        <f aca="false">IF($BX451&lt;&gt;Constants!$B$6,"",Constants!$B$21*ABS($AD$9-IF($AL451,$AM451,0)))</f>
        <v/>
      </c>
      <c r="BE451" s="138" t="str">
        <f aca="false">IF($BX451&lt;&gt;Constants!$B$6,"",IF(AND($AL451,$AQ451,$AO451),Constants!$B$22,0))</f>
        <v/>
      </c>
      <c r="BF451" s="138" t="str">
        <f aca="false">IF($BX451&lt;&gt;Constants!$B$6,"",IF($AL451,($AI451-Constants!$B$24)*Constants!$B$23,0))</f>
        <v/>
      </c>
      <c r="BG451" s="138" t="str">
        <f aca="false">IF($BX451&lt;&gt;Constants!$B$6,"",IF($AK451,0,Constants!$B$12)+IF($AJ451,0,Constants!$B$13)+IF($AH451,0,Constants!$B$14))</f>
        <v/>
      </c>
      <c r="BH451" s="139" t="str">
        <f aca="false">IF($BX451&lt;&gt;Constants!$B$6,"",Constants!$B$16+SUM($BC451:$BG451))</f>
        <v/>
      </c>
      <c r="BI451" s="138" t="str">
        <f aca="false">IF($BX451&lt;&gt;Constants!$B$6,"",$BC451)</f>
        <v/>
      </c>
      <c r="BJ451" s="138" t="str">
        <f aca="false">IF($BX451&lt;&gt;Constants!$B$6,"",$BD451)</f>
        <v/>
      </c>
      <c r="BK451" s="140" t="str">
        <f aca="false">IF($BX451&lt;&gt;Constants!$B$6,"",IF($AL451,$AN451,""))</f>
        <v/>
      </c>
      <c r="BL451" s="135" t="str">
        <f aca="false">IF($BX451&lt;&gt;Constants!$B$6,"",IF(OR($BS451&lt;$BH451,AND($BS451=$BH451,OR($BT451&lt;$BI451,AND($BT451=$BI451,OR($BU451&lt;$BJ451,AND($BU451=$BJ451,AND(ISNUMBER($BV451),OR(NOT(ISNUMBER($BK451)),$BV451&lt;$BK451)))))))),"-&gt;","&lt;-"))</f>
        <v/>
      </c>
      <c r="BM451" s="134" t="str">
        <f aca="false">IF(ISBLANK($C451),"",AND($AT451,OR($AU451="",$AV451="",AND($AW451,$AX451=""))))</f>
        <v/>
      </c>
      <c r="BN451" s="137" t="str">
        <f aca="false">IF($BX451&lt;&gt;Constants!$B$6,"",IF($AT451,Constants!$B$17*$AV451+Constants!$B$18*IF($AW451,$AX451,Constants!$B$19),Constants!$B$20))</f>
        <v/>
      </c>
      <c r="BO451" s="138" t="str">
        <f aca="false">IF($BX451&lt;&gt;Constants!$B$6,"",Constants!$B$21*ABS($AD$9-IF($AT451,$AU451,0)))</f>
        <v/>
      </c>
      <c r="BP451" s="138" t="str">
        <f aca="false">IF($BX451&lt;&gt;Constants!$B$6,"",IF(AND($AT451,$AY451,$AW451),Constants!$B$22,0))</f>
        <v/>
      </c>
      <c r="BQ451" s="138" t="str">
        <f aca="false">IF($BX451&lt;&gt;Constants!$B$6,"",IF($AT451,($AI451-Constants!$B$24)*Constants!$B$23,0))</f>
        <v/>
      </c>
      <c r="BR451" s="138" t="str">
        <f aca="false">IF($BX451&lt;&gt;Constants!$B$6,"",IF($AS451,0,Constants!$B$12)+IF($AR451,0,Constants!$B$13)+IF($AH451,0,Constants!$B$14))</f>
        <v/>
      </c>
      <c r="BS451" s="139" t="str">
        <f aca="false">IF($BX451&lt;&gt;Constants!$B$6,"",Constants!$B$16+SUM($BN451:$BR451))</f>
        <v/>
      </c>
      <c r="BT451" s="138" t="str">
        <f aca="false">IF($BX451&lt;&gt;Constants!$B$6,"",$BN451)</f>
        <v/>
      </c>
      <c r="BU451" s="138" t="str">
        <f aca="false">IF($BX451&lt;&gt;Constants!$B$6,"",$BO451)</f>
        <v/>
      </c>
      <c r="BV451" s="140" t="str">
        <f aca="false">IF($BX451&lt;&gt;Constants!$B$6,"",IF($AT451,$AV451,""))</f>
        <v/>
      </c>
      <c r="BW451" s="135" t="str">
        <f aca="false">IF(ISBLANK($C451),"",IF(ISBLANK($D$7),$BW$5,IF(NOT(ISNUMBER($D$7)),$BW$6,"")))</f>
        <v/>
      </c>
      <c r="BX451" s="135" t="str">
        <f aca="false">IF(ISBLANK($C451),"",IF($BA451,Constants!$B$9,IF(COUNTA($E451:$AA451)=0,Constants!$B$8,IF(NOT($AG451),Constants!$B$7,IF(OR($BW451&lt;&gt;"",$BB451,$BM451),Constants!$B$10,Constants!$B$6)))))</f>
        <v/>
      </c>
      <c r="BY451" s="135" t="str">
        <f aca="false">IF(ISBLANK($C451),"",IF($BX451&lt;&gt;Constants!$B$6,$BX451,Constants!$B$11))</f>
        <v/>
      </c>
      <c r="BZ451" s="138" t="str">
        <f aca="false">IF($BX451&lt;&gt;Constants!$B$6,"",IF($BL451="-&gt;",$BS451,$BH451))</f>
        <v/>
      </c>
      <c r="CA451" s="138" t="str">
        <f aca="false">IF($BX451&lt;&gt;Constants!$B$6,"",IF($AF451,0,Constants!$B$15))</f>
        <v/>
      </c>
      <c r="CB451" s="138" t="str">
        <f aca="false">IF($BX451&lt;&gt;Constants!$B$6,"",((Constants!$B$25-$AZ451)-Constants!$B$25)/Constants!$B$26)</f>
        <v/>
      </c>
      <c r="CC451" s="138" t="str">
        <f aca="false">IF(ISBLANK($C451),"",IF($BX451&lt;&gt;Constants!$B$6,$BX451,SUM($BZ451:$CB451)))</f>
        <v/>
      </c>
      <c r="CD451" s="135" t="str">
        <f aca="false">IF(ISBLANK($C451),"",IF($BX451&lt;&gt;Constants!$B$6,$BX451,RANK($CC451,$CC$9:$CC$508,1)))</f>
        <v/>
      </c>
      <c r="CE451" s="138" t="str">
        <f aca="false">IF($BX451&lt;&gt;Constants!$B$6,"",IF($BL451="-&gt;",$BT451,$BI451))</f>
        <v/>
      </c>
      <c r="CF451" s="135" t="str">
        <f aca="false">IF(ISBLANK($C451),"",IF($BX451&lt;&gt;Constants!$B$6,$BX451,IF(ISNUMBER($CE451),RANK($CE451,$CE$9:$CE$508,1),COUNT($CE$9:$CE$508)+1)))</f>
        <v/>
      </c>
      <c r="CG451" s="138" t="str">
        <f aca="false">IF($BX451&lt;&gt;Constants!$B$6,"",IF($BL451="-&gt;",$BU451,$BJ451))</f>
        <v/>
      </c>
      <c r="CH451" s="135" t="str">
        <f aca="false">IF(ISBLANK($C451),"",IF($BX451&lt;&gt;Constants!$B$6,$BX451,IF(ISNUMBER($CG451),RANK($CG451,$CG$9:$CG$508,1),COUNT($CG$9:$CG$508)+1)))</f>
        <v/>
      </c>
      <c r="CI451" s="138" t="str">
        <f aca="false">IF($BX451&lt;&gt;Constants!$B$6,"",IF($BL451="-&gt;",$BV451,$BK451))</f>
        <v/>
      </c>
      <c r="CJ451" s="135" t="str">
        <f aca="false">IF(ISBLANK($C451),"",IF($BX451&lt;&gt;Constants!$B$6,$BX451,IF(ISNUMBER($CI451),RANK($CI451,$CI$9:$CI$508,1),COUNT($CI$9:$CI$508)+1)))</f>
        <v/>
      </c>
      <c r="CK451" s="138" t="str">
        <f aca="false">IF($BX451&lt;&gt;Constants!$B$6,"",$AI451)</f>
        <v/>
      </c>
      <c r="CL451" s="135" t="str">
        <f aca="false">IF(ISBLANK($C451),"",IF($BX451&lt;&gt;Constants!$B$6,$BX451,IF(ISNUMBER($CK451),RANK($CK451,$CK$9:$CK$508,1),COUNT($CK$9:$CK$508)+1)))</f>
        <v/>
      </c>
      <c r="CM451" s="135" t="str">
        <f aca="false">IF(ISBLANK($C451),"",IF($BX451&lt;&gt;Constants!$B$6,$BX451,COUNTIFS($CD$9:$CD$508,"&lt;"&amp;$CD451)+COUNTIFS($CD$9:$CD$508,$CD451,$CF$9:$CF$508,"&lt;"&amp;$CF451)+COUNTIFS($CD$9:$CD$508,$CD451,$CF$9:$CF$508,$CF451,$CH$9:$CH$508,"&lt;"&amp;$CH451)+COUNTIFS($CD$9:$CD$508,$CD451,$CF$9:$CF$508,$CF451,$CH$9:$CH$508,$CH451,$CJ$9:$CJ$508,"&lt;"&amp;$CJ451)+COUNTIFS($CD$9:$CD$508,$CD451,$CF$9:$CF$508,$CF451,$CH$9:$CH$508,$CH451,$CJ$9:$CJ$508,$CJ451,$CL$9:$CL$508,"&lt;"&amp;$CL451)+1))</f>
        <v/>
      </c>
      <c r="CN451" s="135" t="str">
        <f aca="false">IF(ISBLANK($C451),"",IF($BX451&lt;&gt;Constants!$B$6,$BX451,$CD451-$CM451))</f>
        <v/>
      </c>
      <c r="CO451" s="141"/>
      <c r="CP451" s="142"/>
      <c r="CQ451" s="143" t="str">
        <f aca="false">IF(ISBLANK($C451),"",IF($BX451=Constants!$B$10,$BW451,""))</f>
        <v/>
      </c>
      <c r="CR451" s="142" t="str">
        <f aca="false">IF(ISBLANK($C451),"",IF($BX451&lt;&gt;Constants!$B$6,"",IF($BL451="-&gt;",2,1)))</f>
        <v/>
      </c>
      <c r="CS451" s="144" t="str">
        <f aca="false">IF(ISBLANK($C451),"",IF($BX451&lt;&gt;Constants!$B$6,"",IF($BL451="-&gt;",$BN451,$BC451)))</f>
        <v/>
      </c>
      <c r="CT451" s="144" t="str">
        <f aca="false">IF(ISBLANK($C451),"",IF($BX451&lt;&gt;Constants!$B$6,"",IF($BL451="-&gt;",$BO451,$BD451)))</f>
        <v/>
      </c>
      <c r="CU451" s="144" t="str">
        <f aca="false">IF(ISBLANK($C451),"",IF($BX451&lt;&gt;Constants!$B$6,"",IF($BL451="-&gt;",$BP451+$BQ451,$BE451+$BF451)+$CB451))</f>
        <v/>
      </c>
      <c r="CV451" s="144" t="str">
        <f aca="false">IF(ISBLANK($C451),"",IF($BX451&lt;&gt;Constants!$B$6,"",IF($BL451="-&gt;",$BR451,$BG451)+$CA451))</f>
        <v/>
      </c>
      <c r="CW451" s="145" t="str">
        <f aca="false">IF(ISBLANK($C451),"",IF($BX451&lt;&gt;Constants!$B$6,$BX451,$CC451))</f>
        <v/>
      </c>
      <c r="CX451" s="146" t="str">
        <f aca="false">IF(ISBLANK($C451),"",$BY451)</f>
        <v/>
      </c>
      <c r="CY451" s="147" t="str">
        <f aca="false">IF(ISBLANK($C451),"",$CN451)</f>
        <v/>
      </c>
      <c r="CZ451" s="147" t="str">
        <f aca="false">IF(ISBLANK($C451),"",$CM451)</f>
        <v/>
      </c>
      <c r="DA451" s="148" t="str">
        <f aca="false">IF(ISBLANK($C451),"",IFERROR(_xlfn.SWITCH($CZ451,Constants!$B$9,COUNTA($C$9:$C$508)+2,Constants!$B$8,COUNTA($C$9:$C$508)+1,Constants!$B$7,COUNTA($C$9:$C$508)),$CZ451))</f>
        <v/>
      </c>
      <c r="DB451" s="9"/>
      <c r="DC451" s="149" t="n">
        <f aca="false">IF(OR(ISNUMBER($CZ451),$CZ451=Constants!$B$9,$CZ451=Constants!$B$7,$CZ451=Constants!$B$8),1,0)</f>
        <v>0</v>
      </c>
      <c r="DD451" s="149" t="n">
        <v>443</v>
      </c>
      <c r="DE451" s="149" t="str">
        <f aca="false">IF(ISBLANK($C451),"",IF(ISNUMBER($DA451),$DA451+ROW($B451)/1000,""))</f>
        <v/>
      </c>
      <c r="DF451" s="149" t="str">
        <f aca="false">IF(ISNUMBER($DE451),RANK($DE451,$DE$9:$DE$508,1),"")</f>
        <v/>
      </c>
      <c r="DG451" s="149" t="str">
        <f aca="false">IF(ISBLANK($C451),"",$B451)</f>
        <v/>
      </c>
      <c r="DH451" s="149" t="str">
        <f aca="false">IF(ISBLANK($C451),"",$C451)</f>
        <v/>
      </c>
      <c r="DI451" s="149" t="str">
        <f aca="false">IF(ISBLANK($C451),"",$D451)</f>
        <v/>
      </c>
      <c r="DJ451" s="150" t="str">
        <f aca="false">$CX451</f>
        <v/>
      </c>
      <c r="DK451" s="151" t="str">
        <f aca="false">$CW451</f>
        <v/>
      </c>
      <c r="DL451" s="149" t="str">
        <f aca="false">IF(ISBLANK($C451),"",$CZ451)</f>
        <v/>
      </c>
      <c r="DM451" s="152" t="str">
        <f aca="false">IF($DD451&gt;$DC$8,"",VLOOKUP($DD451,$DF$9:$DL$508,7,FALSE()))</f>
        <v/>
      </c>
      <c r="DN451" s="153" t="str">
        <f aca="false">IF($DD451&gt;$DC$8,"",VLOOKUP($DD451,$DF$9:$DL$508,2,FALSE()))</f>
        <v/>
      </c>
      <c r="DO451" s="153" t="str">
        <f aca="false">IF($DD451&gt;$DC$8,"",VLOOKUP($DD451,$DF$9:$DL$508,3,FALSE()))</f>
        <v/>
      </c>
      <c r="DP451" s="153" t="str">
        <f aca="false">IF($DD451&gt;$DC$8,"",VLOOKUP($DD451,$DF$9:$DL$508,4,FALSE()))</f>
        <v/>
      </c>
      <c r="DQ451" s="153" t="str">
        <f aca="false">IF($DD451&gt;$DC$8,"",VLOOKUP($DD451,$DF$9:$DL$508,5,FALSE()))</f>
        <v/>
      </c>
      <c r="DR451" s="154" t="str">
        <f aca="false">IF($DD451&gt;$DC$8,"",VLOOKUP($DD451,$DF$9:$DL$508,6,FALSE()))</f>
        <v/>
      </c>
      <c r="DS451" s="76"/>
    </row>
    <row r="452" customFormat="false" ht="15.75" hidden="false" customHeight="false" outlineLevel="0" collapsed="false">
      <c r="A452" s="9"/>
      <c r="B452" s="160"/>
      <c r="C452" s="161"/>
      <c r="D452" s="162"/>
      <c r="E452" s="180"/>
      <c r="F452" s="164"/>
      <c r="G452" s="165"/>
      <c r="H452" s="165"/>
      <c r="I452" s="181"/>
      <c r="J452" s="168"/>
      <c r="K452" s="128"/>
      <c r="L452" s="129"/>
      <c r="M452" s="130"/>
      <c r="N452" s="168"/>
      <c r="O452" s="168"/>
      <c r="P452" s="180"/>
      <c r="Q452" s="168"/>
      <c r="R452" s="168"/>
      <c r="S452" s="128"/>
      <c r="T452" s="130"/>
      <c r="U452" s="130"/>
      <c r="V452" s="168"/>
      <c r="W452" s="168"/>
      <c r="X452" s="180"/>
      <c r="Y452" s="168"/>
      <c r="Z452" s="169"/>
      <c r="AA452" s="168"/>
      <c r="AB452" s="134"/>
      <c r="AC452" s="135"/>
      <c r="AD452" s="135"/>
      <c r="AE452" s="135"/>
      <c r="AF452" s="135" t="str">
        <f aca="false">IF(ISBLANK($C452),"",IF(E452=Constants!$B$2,TRUE(),IF(E452=Constants!$B$3,FALSE(),TRUE())))</f>
        <v/>
      </c>
      <c r="AG452" s="135" t="str">
        <f aca="false">IF(ISBLANK($C452),"",IF(F452=Constants!$B$2,TRUE(),IF(F452=Constants!$B$3,FALSE(),TRUE())))</f>
        <v/>
      </c>
      <c r="AH452" s="135" t="str">
        <f aca="false">IF(ISBLANK($C452),"",IF(G452=Constants!$B$2,TRUE(),IF(G452=Constants!$B$3,FALSE(),TRUE())))</f>
        <v/>
      </c>
      <c r="AI452" s="135" t="str">
        <f aca="false">IF(ISBLANK($C452),"",IF(AND(ISNUMBER(H452),H452&gt;=0),H452,Constants!$B$24))</f>
        <v/>
      </c>
      <c r="AJ452" s="135" t="str">
        <f aca="false">IF(ISBLANK($C452),"",IF(I452=Constants!$B$2,TRUE(),IF(I452=Constants!$B$3,FALSE(),TRUE())))</f>
        <v/>
      </c>
      <c r="AK452" s="135" t="str">
        <f aca="false">IF(ISBLANK($C452),"",IF(J452=Constants!$B$2,TRUE(),IF(J452=Constants!$B$3,FALSE(),TRUE())))</f>
        <v/>
      </c>
      <c r="AL452" s="135" t="str">
        <f aca="false">IF(ISBLANK($C452),"",IF(K452=Constants!$B$4,TRUE(),IF(K452=Constants!$B$5,FALSE(),COUNTA(L452:P452)&gt;0)))</f>
        <v/>
      </c>
      <c r="AM452" s="136" t="str">
        <f aca="false">IF(ISBLANK($C452),"",IF(ISNUMBER(L452),IF(L452&gt;=0,L452,""),""))</f>
        <v/>
      </c>
      <c r="AN452" s="137" t="str">
        <f aca="false">IF(ISBLANK($C452),"",IF(ISNUMBER(M452),IF(M452&gt;=0,M452,""),""))</f>
        <v/>
      </c>
      <c r="AO452" s="137" t="str">
        <f aca="false">IF(ISBLANK($C452),"",IF(N452=Constants!$B$2,TRUE(),IF(N452=Constants!$B$3,FALSE(),TRUE())))</f>
        <v/>
      </c>
      <c r="AP452" s="135" t="str">
        <f aca="false">IF(ISBLANK($C452),"",IF(ISNUMBER(O452),IF(O452&gt;=0,O452,""),""))</f>
        <v/>
      </c>
      <c r="AQ452" s="135" t="str">
        <f aca="false">IF(ISBLANK($C452),"",IF(P452=Constants!$B$2,TRUE(),IF(P452=Constants!$B$3,FALSE(),FALSE())))</f>
        <v/>
      </c>
      <c r="AR452" s="135" t="str">
        <f aca="false">IF(ISBLANK($C452),"",IF(Q452=Constants!$B$2,TRUE(),IF(Q452=Constants!$B$3,FALSE(),TRUE())))</f>
        <v/>
      </c>
      <c r="AS452" s="135" t="str">
        <f aca="false">IF(ISBLANK($C452),"",IF(R452=Constants!$B$2,TRUE(),IF(R452=Constants!$B$3,FALSE(),TRUE())))</f>
        <v/>
      </c>
      <c r="AT452" s="135" t="str">
        <f aca="false">IF(ISBLANK($C452),"",IF(S452=Constants!$B$4,TRUE(),IF(S452=Constants!$B$5,FALSE(),COUNTA(T452:X452)&gt;0)))</f>
        <v/>
      </c>
      <c r="AU452" s="136" t="str">
        <f aca="false">IF(ISBLANK($C452),"",IF(ISNUMBER(T452),IF(T452&gt;=0,T452,""),""))</f>
        <v/>
      </c>
      <c r="AV452" s="137" t="str">
        <f aca="false">IF(ISBLANK($C452),"",IF(ISNUMBER(U452),IF(U452&gt;=0,U452,""),""))</f>
        <v/>
      </c>
      <c r="AW452" s="137" t="str">
        <f aca="false">IF(ISBLANK($C452),"",IF(V452=Constants!$B$2,TRUE(),IF(V452=Constants!$B$3,FALSE(),TRUE())))</f>
        <v/>
      </c>
      <c r="AX452" s="135" t="str">
        <f aca="false">IF(ISBLANK($C452),"",IF(ISNUMBER(W452),IF(W452&gt;=0,W452,""),""))</f>
        <v/>
      </c>
      <c r="AY452" s="135" t="str">
        <f aca="false">IF(ISBLANK($C452),"",IF(X452=Constants!$B$2,TRUE(),IF(X452=Constants!$B$3,FALSE(),FALSE())))</f>
        <v/>
      </c>
      <c r="AZ452" s="135" t="str">
        <f aca="false">IF(ISBLANK($C452),"",MIN(Constants!$B$25,MAX(0,IF(ISNUMBER(Y452),Y452*60,0)+IF(ISNUMBER(Z452),Z452,0))))</f>
        <v/>
      </c>
      <c r="BA452" s="135" t="str">
        <f aca="false">IF(ISBLANK($C452),"",IF(AA452=Constants!$B$2,TRUE(),IF(AA452=Constants!$B$3,FALSE(),FALSE())))</f>
        <v/>
      </c>
      <c r="BB452" s="134" t="str">
        <f aca="false">IF(ISBLANK($C452),"",AND($AL452,OR($AM452="",$AN452="",AND($AO452,$AP452=""))))</f>
        <v/>
      </c>
      <c r="BC452" s="137" t="str">
        <f aca="false">IF($BX452&lt;&gt;Constants!$B$6,"",IF($AL452,Constants!$B$17*$AN452+Constants!$B$18*IF($AO452,$AP452,Constants!$B$19),Constants!$B$20))</f>
        <v/>
      </c>
      <c r="BD452" s="138" t="str">
        <f aca="false">IF($BX452&lt;&gt;Constants!$B$6,"",Constants!$B$21*ABS($AD$9-IF($AL452,$AM452,0)))</f>
        <v/>
      </c>
      <c r="BE452" s="138" t="str">
        <f aca="false">IF($BX452&lt;&gt;Constants!$B$6,"",IF(AND($AL452,$AQ452,$AO452),Constants!$B$22,0))</f>
        <v/>
      </c>
      <c r="BF452" s="138" t="str">
        <f aca="false">IF($BX452&lt;&gt;Constants!$B$6,"",IF($AL452,($AI452-Constants!$B$24)*Constants!$B$23,0))</f>
        <v/>
      </c>
      <c r="BG452" s="138" t="str">
        <f aca="false">IF($BX452&lt;&gt;Constants!$B$6,"",IF($AK452,0,Constants!$B$12)+IF($AJ452,0,Constants!$B$13)+IF($AH452,0,Constants!$B$14))</f>
        <v/>
      </c>
      <c r="BH452" s="139" t="str">
        <f aca="false">IF($BX452&lt;&gt;Constants!$B$6,"",Constants!$B$16+SUM($BC452:$BG452))</f>
        <v/>
      </c>
      <c r="BI452" s="138" t="str">
        <f aca="false">IF($BX452&lt;&gt;Constants!$B$6,"",$BC452)</f>
        <v/>
      </c>
      <c r="BJ452" s="138" t="str">
        <f aca="false">IF($BX452&lt;&gt;Constants!$B$6,"",$BD452)</f>
        <v/>
      </c>
      <c r="BK452" s="140" t="str">
        <f aca="false">IF($BX452&lt;&gt;Constants!$B$6,"",IF($AL452,$AN452,""))</f>
        <v/>
      </c>
      <c r="BL452" s="135" t="str">
        <f aca="false">IF($BX452&lt;&gt;Constants!$B$6,"",IF(OR($BS452&lt;$BH452,AND($BS452=$BH452,OR($BT452&lt;$BI452,AND($BT452=$BI452,OR($BU452&lt;$BJ452,AND($BU452=$BJ452,AND(ISNUMBER($BV452),OR(NOT(ISNUMBER($BK452)),$BV452&lt;$BK452)))))))),"-&gt;","&lt;-"))</f>
        <v/>
      </c>
      <c r="BM452" s="134" t="str">
        <f aca="false">IF(ISBLANK($C452),"",AND($AT452,OR($AU452="",$AV452="",AND($AW452,$AX452=""))))</f>
        <v/>
      </c>
      <c r="BN452" s="137" t="str">
        <f aca="false">IF($BX452&lt;&gt;Constants!$B$6,"",IF($AT452,Constants!$B$17*$AV452+Constants!$B$18*IF($AW452,$AX452,Constants!$B$19),Constants!$B$20))</f>
        <v/>
      </c>
      <c r="BO452" s="138" t="str">
        <f aca="false">IF($BX452&lt;&gt;Constants!$B$6,"",Constants!$B$21*ABS($AD$9-IF($AT452,$AU452,0)))</f>
        <v/>
      </c>
      <c r="BP452" s="138" t="str">
        <f aca="false">IF($BX452&lt;&gt;Constants!$B$6,"",IF(AND($AT452,$AY452,$AW452),Constants!$B$22,0))</f>
        <v/>
      </c>
      <c r="BQ452" s="138" t="str">
        <f aca="false">IF($BX452&lt;&gt;Constants!$B$6,"",IF($AT452,($AI452-Constants!$B$24)*Constants!$B$23,0))</f>
        <v/>
      </c>
      <c r="BR452" s="138" t="str">
        <f aca="false">IF($BX452&lt;&gt;Constants!$B$6,"",IF($AS452,0,Constants!$B$12)+IF($AR452,0,Constants!$B$13)+IF($AH452,0,Constants!$B$14))</f>
        <v/>
      </c>
      <c r="BS452" s="139" t="str">
        <f aca="false">IF($BX452&lt;&gt;Constants!$B$6,"",Constants!$B$16+SUM($BN452:$BR452))</f>
        <v/>
      </c>
      <c r="BT452" s="138" t="str">
        <f aca="false">IF($BX452&lt;&gt;Constants!$B$6,"",$BN452)</f>
        <v/>
      </c>
      <c r="BU452" s="138" t="str">
        <f aca="false">IF($BX452&lt;&gt;Constants!$B$6,"",$BO452)</f>
        <v/>
      </c>
      <c r="BV452" s="140" t="str">
        <f aca="false">IF($BX452&lt;&gt;Constants!$B$6,"",IF($AT452,$AV452,""))</f>
        <v/>
      </c>
      <c r="BW452" s="135" t="str">
        <f aca="false">IF(ISBLANK($C452),"",IF(ISBLANK($D$7),$BW$5,IF(NOT(ISNUMBER($D$7)),$BW$6,"")))</f>
        <v/>
      </c>
      <c r="BX452" s="135" t="str">
        <f aca="false">IF(ISBLANK($C452),"",IF($BA452,Constants!$B$9,IF(COUNTA($E452:$AA452)=0,Constants!$B$8,IF(NOT($AG452),Constants!$B$7,IF(OR($BW452&lt;&gt;"",$BB452,$BM452),Constants!$B$10,Constants!$B$6)))))</f>
        <v/>
      </c>
      <c r="BY452" s="135" t="str">
        <f aca="false">IF(ISBLANK($C452),"",IF($BX452&lt;&gt;Constants!$B$6,$BX452,Constants!$B$11))</f>
        <v/>
      </c>
      <c r="BZ452" s="138" t="str">
        <f aca="false">IF($BX452&lt;&gt;Constants!$B$6,"",IF($BL452="-&gt;",$BS452,$BH452))</f>
        <v/>
      </c>
      <c r="CA452" s="138" t="str">
        <f aca="false">IF($BX452&lt;&gt;Constants!$B$6,"",IF($AF452,0,Constants!$B$15))</f>
        <v/>
      </c>
      <c r="CB452" s="138" t="str">
        <f aca="false">IF($BX452&lt;&gt;Constants!$B$6,"",((Constants!$B$25-$AZ452)-Constants!$B$25)/Constants!$B$26)</f>
        <v/>
      </c>
      <c r="CC452" s="138" t="str">
        <f aca="false">IF(ISBLANK($C452),"",IF($BX452&lt;&gt;Constants!$B$6,$BX452,SUM($BZ452:$CB452)))</f>
        <v/>
      </c>
      <c r="CD452" s="135" t="str">
        <f aca="false">IF(ISBLANK($C452),"",IF($BX452&lt;&gt;Constants!$B$6,$BX452,RANK($CC452,$CC$9:$CC$508,1)))</f>
        <v/>
      </c>
      <c r="CE452" s="138" t="str">
        <f aca="false">IF($BX452&lt;&gt;Constants!$B$6,"",IF($BL452="-&gt;",$BT452,$BI452))</f>
        <v/>
      </c>
      <c r="CF452" s="135" t="str">
        <f aca="false">IF(ISBLANK($C452),"",IF($BX452&lt;&gt;Constants!$B$6,$BX452,IF(ISNUMBER($CE452),RANK($CE452,$CE$9:$CE$508,1),COUNT($CE$9:$CE$508)+1)))</f>
        <v/>
      </c>
      <c r="CG452" s="138" t="str">
        <f aca="false">IF($BX452&lt;&gt;Constants!$B$6,"",IF($BL452="-&gt;",$BU452,$BJ452))</f>
        <v/>
      </c>
      <c r="CH452" s="135" t="str">
        <f aca="false">IF(ISBLANK($C452),"",IF($BX452&lt;&gt;Constants!$B$6,$BX452,IF(ISNUMBER($CG452),RANK($CG452,$CG$9:$CG$508,1),COUNT($CG$9:$CG$508)+1)))</f>
        <v/>
      </c>
      <c r="CI452" s="138" t="str">
        <f aca="false">IF($BX452&lt;&gt;Constants!$B$6,"",IF($BL452="-&gt;",$BV452,$BK452))</f>
        <v/>
      </c>
      <c r="CJ452" s="135" t="str">
        <f aca="false">IF(ISBLANK($C452),"",IF($BX452&lt;&gt;Constants!$B$6,$BX452,IF(ISNUMBER($CI452),RANK($CI452,$CI$9:$CI$508,1),COUNT($CI$9:$CI$508)+1)))</f>
        <v/>
      </c>
      <c r="CK452" s="138" t="str">
        <f aca="false">IF($BX452&lt;&gt;Constants!$B$6,"",$AI452)</f>
        <v/>
      </c>
      <c r="CL452" s="135" t="str">
        <f aca="false">IF(ISBLANK($C452),"",IF($BX452&lt;&gt;Constants!$B$6,$BX452,IF(ISNUMBER($CK452),RANK($CK452,$CK$9:$CK$508,1),COUNT($CK$9:$CK$508)+1)))</f>
        <v/>
      </c>
      <c r="CM452" s="135" t="str">
        <f aca="false">IF(ISBLANK($C452),"",IF($BX452&lt;&gt;Constants!$B$6,$BX452,COUNTIFS($CD$9:$CD$508,"&lt;"&amp;$CD452)+COUNTIFS($CD$9:$CD$508,$CD452,$CF$9:$CF$508,"&lt;"&amp;$CF452)+COUNTIFS($CD$9:$CD$508,$CD452,$CF$9:$CF$508,$CF452,$CH$9:$CH$508,"&lt;"&amp;$CH452)+COUNTIFS($CD$9:$CD$508,$CD452,$CF$9:$CF$508,$CF452,$CH$9:$CH$508,$CH452,$CJ$9:$CJ$508,"&lt;"&amp;$CJ452)+COUNTIFS($CD$9:$CD$508,$CD452,$CF$9:$CF$508,$CF452,$CH$9:$CH$508,$CH452,$CJ$9:$CJ$508,$CJ452,$CL$9:$CL$508,"&lt;"&amp;$CL452)+1))</f>
        <v/>
      </c>
      <c r="CN452" s="135" t="str">
        <f aca="false">IF(ISBLANK($C452),"",IF($BX452&lt;&gt;Constants!$B$6,$BX452,$CD452-$CM452))</f>
        <v/>
      </c>
      <c r="CO452" s="141"/>
      <c r="CP452" s="142"/>
      <c r="CQ452" s="143" t="str">
        <f aca="false">IF(ISBLANK($C452),"",IF($BX452=Constants!$B$10,$BW452,""))</f>
        <v/>
      </c>
      <c r="CR452" s="142" t="str">
        <f aca="false">IF(ISBLANK($C452),"",IF($BX452&lt;&gt;Constants!$B$6,"",IF($BL452="-&gt;",2,1)))</f>
        <v/>
      </c>
      <c r="CS452" s="144" t="str">
        <f aca="false">IF(ISBLANK($C452),"",IF($BX452&lt;&gt;Constants!$B$6,"",IF($BL452="-&gt;",$BN452,$BC452)))</f>
        <v/>
      </c>
      <c r="CT452" s="144" t="str">
        <f aca="false">IF(ISBLANK($C452),"",IF($BX452&lt;&gt;Constants!$B$6,"",IF($BL452="-&gt;",$BO452,$BD452)))</f>
        <v/>
      </c>
      <c r="CU452" s="144" t="str">
        <f aca="false">IF(ISBLANK($C452),"",IF($BX452&lt;&gt;Constants!$B$6,"",IF($BL452="-&gt;",$BP452+$BQ452,$BE452+$BF452)+$CB452))</f>
        <v/>
      </c>
      <c r="CV452" s="144" t="str">
        <f aca="false">IF(ISBLANK($C452),"",IF($BX452&lt;&gt;Constants!$B$6,"",IF($BL452="-&gt;",$BR452,$BG452)+$CA452))</f>
        <v/>
      </c>
      <c r="CW452" s="145" t="str">
        <f aca="false">IF(ISBLANK($C452),"",IF($BX452&lt;&gt;Constants!$B$6,$BX452,$CC452))</f>
        <v/>
      </c>
      <c r="CX452" s="146" t="str">
        <f aca="false">IF(ISBLANK($C452),"",$BY452)</f>
        <v/>
      </c>
      <c r="CY452" s="147" t="str">
        <f aca="false">IF(ISBLANK($C452),"",$CN452)</f>
        <v/>
      </c>
      <c r="CZ452" s="147" t="str">
        <f aca="false">IF(ISBLANK($C452),"",$CM452)</f>
        <v/>
      </c>
      <c r="DA452" s="148" t="str">
        <f aca="false">IF(ISBLANK($C452),"",IFERROR(_xlfn.SWITCH($CZ452,Constants!$B$9,COUNTA($C$9:$C$508)+2,Constants!$B$8,COUNTA($C$9:$C$508)+1,Constants!$B$7,COUNTA($C$9:$C$508)),$CZ452))</f>
        <v/>
      </c>
      <c r="DB452" s="9"/>
      <c r="DC452" s="149" t="n">
        <f aca="false">IF(OR(ISNUMBER($CZ452),$CZ452=Constants!$B$9,$CZ452=Constants!$B$7,$CZ452=Constants!$B$8),1,0)</f>
        <v>0</v>
      </c>
      <c r="DD452" s="149" t="n">
        <v>444</v>
      </c>
      <c r="DE452" s="149" t="str">
        <f aca="false">IF(ISBLANK($C452),"",IF(ISNUMBER($DA452),$DA452+ROW($B452)/1000,""))</f>
        <v/>
      </c>
      <c r="DF452" s="149" t="str">
        <f aca="false">IF(ISNUMBER($DE452),RANK($DE452,$DE$9:$DE$508,1),"")</f>
        <v/>
      </c>
      <c r="DG452" s="149" t="str">
        <f aca="false">IF(ISBLANK($C452),"",$B452)</f>
        <v/>
      </c>
      <c r="DH452" s="149" t="str">
        <f aca="false">IF(ISBLANK($C452),"",$C452)</f>
        <v/>
      </c>
      <c r="DI452" s="149" t="str">
        <f aca="false">IF(ISBLANK($C452),"",$D452)</f>
        <v/>
      </c>
      <c r="DJ452" s="150" t="str">
        <f aca="false">$CX452</f>
        <v/>
      </c>
      <c r="DK452" s="151" t="str">
        <f aca="false">$CW452</f>
        <v/>
      </c>
      <c r="DL452" s="149" t="str">
        <f aca="false">IF(ISBLANK($C452),"",$CZ452)</f>
        <v/>
      </c>
      <c r="DM452" s="152" t="str">
        <f aca="false">IF($DD452&gt;$DC$8,"",VLOOKUP($DD452,$DF$9:$DL$508,7,FALSE()))</f>
        <v/>
      </c>
      <c r="DN452" s="153" t="str">
        <f aca="false">IF($DD452&gt;$DC$8,"",VLOOKUP($DD452,$DF$9:$DL$508,2,FALSE()))</f>
        <v/>
      </c>
      <c r="DO452" s="153" t="str">
        <f aca="false">IF($DD452&gt;$DC$8,"",VLOOKUP($DD452,$DF$9:$DL$508,3,FALSE()))</f>
        <v/>
      </c>
      <c r="DP452" s="153" t="str">
        <f aca="false">IF($DD452&gt;$DC$8,"",VLOOKUP($DD452,$DF$9:$DL$508,4,FALSE()))</f>
        <v/>
      </c>
      <c r="DQ452" s="153" t="str">
        <f aca="false">IF($DD452&gt;$DC$8,"",VLOOKUP($DD452,$DF$9:$DL$508,5,FALSE()))</f>
        <v/>
      </c>
      <c r="DR452" s="154" t="str">
        <f aca="false">IF($DD452&gt;$DC$8,"",VLOOKUP($DD452,$DF$9:$DL$508,6,FALSE()))</f>
        <v/>
      </c>
      <c r="DS452" s="76"/>
    </row>
    <row r="453" customFormat="false" ht="15.75" hidden="false" customHeight="false" outlineLevel="0" collapsed="false">
      <c r="A453" s="9"/>
      <c r="B453" s="78"/>
      <c r="C453" s="79"/>
      <c r="D453" s="170"/>
      <c r="E453" s="178"/>
      <c r="F453" s="172"/>
      <c r="G453" s="173"/>
      <c r="H453" s="173"/>
      <c r="I453" s="179"/>
      <c r="J453" s="176"/>
      <c r="K453" s="86"/>
      <c r="L453" s="87"/>
      <c r="M453" s="88"/>
      <c r="N453" s="176"/>
      <c r="O453" s="176"/>
      <c r="P453" s="178"/>
      <c r="Q453" s="176"/>
      <c r="R453" s="176"/>
      <c r="S453" s="86"/>
      <c r="T453" s="88"/>
      <c r="U453" s="88"/>
      <c r="V453" s="176"/>
      <c r="W453" s="176"/>
      <c r="X453" s="178"/>
      <c r="Y453" s="176"/>
      <c r="Z453" s="177"/>
      <c r="AA453" s="176"/>
      <c r="AB453" s="92"/>
      <c r="AC453" s="93"/>
      <c r="AD453" s="93"/>
      <c r="AE453" s="93"/>
      <c r="AF453" s="93" t="str">
        <f aca="false">IF(ISBLANK($C453),"",IF(E453=Constants!$B$2,TRUE(),IF(E453=Constants!$B$3,FALSE(),TRUE())))</f>
        <v/>
      </c>
      <c r="AG453" s="93" t="str">
        <f aca="false">IF(ISBLANK($C453),"",IF(F453=Constants!$B$2,TRUE(),IF(F453=Constants!$B$3,FALSE(),TRUE())))</f>
        <v/>
      </c>
      <c r="AH453" s="93" t="str">
        <f aca="false">IF(ISBLANK($C453),"",IF(G453=Constants!$B$2,TRUE(),IF(G453=Constants!$B$3,FALSE(),TRUE())))</f>
        <v/>
      </c>
      <c r="AI453" s="93" t="str">
        <f aca="false">IF(ISBLANK($C453),"",IF(AND(ISNUMBER(H453),H453&gt;=0),H453,Constants!$B$24))</f>
        <v/>
      </c>
      <c r="AJ453" s="93" t="str">
        <f aca="false">IF(ISBLANK($C453),"",IF(I453=Constants!$B$2,TRUE(),IF(I453=Constants!$B$3,FALSE(),TRUE())))</f>
        <v/>
      </c>
      <c r="AK453" s="93" t="str">
        <f aca="false">IF(ISBLANK($C453),"",IF(J453=Constants!$B$2,TRUE(),IF(J453=Constants!$B$3,FALSE(),TRUE())))</f>
        <v/>
      </c>
      <c r="AL453" s="93" t="str">
        <f aca="false">IF(ISBLANK($C453),"",IF(K453=Constants!$B$4,TRUE(),IF(K453=Constants!$B$5,FALSE(),COUNTA(L453:P453)&gt;0)))</f>
        <v/>
      </c>
      <c r="AM453" s="95" t="str">
        <f aca="false">IF(ISBLANK($C453),"",IF(ISNUMBER(L453),IF(L453&gt;=0,L453,""),""))</f>
        <v/>
      </c>
      <c r="AN453" s="94" t="str">
        <f aca="false">IF(ISBLANK($C453),"",IF(ISNUMBER(M453),IF(M453&gt;=0,M453,""),""))</f>
        <v/>
      </c>
      <c r="AO453" s="94" t="str">
        <f aca="false">IF(ISBLANK($C453),"",IF(N453=Constants!$B$2,TRUE(),IF(N453=Constants!$B$3,FALSE(),TRUE())))</f>
        <v/>
      </c>
      <c r="AP453" s="93" t="str">
        <f aca="false">IF(ISBLANK($C453),"",IF(ISNUMBER(O453),IF(O453&gt;=0,O453,""),""))</f>
        <v/>
      </c>
      <c r="AQ453" s="93" t="str">
        <f aca="false">IF(ISBLANK($C453),"",IF(P453=Constants!$B$2,TRUE(),IF(P453=Constants!$B$3,FALSE(),FALSE())))</f>
        <v/>
      </c>
      <c r="AR453" s="93" t="str">
        <f aca="false">IF(ISBLANK($C453),"",IF(Q453=Constants!$B$2,TRUE(),IF(Q453=Constants!$B$3,FALSE(),TRUE())))</f>
        <v/>
      </c>
      <c r="AS453" s="93" t="str">
        <f aca="false">IF(ISBLANK($C453),"",IF(R453=Constants!$B$2,TRUE(),IF(R453=Constants!$B$3,FALSE(),TRUE())))</f>
        <v/>
      </c>
      <c r="AT453" s="93" t="str">
        <f aca="false">IF(ISBLANK($C453),"",IF(S453=Constants!$B$4,TRUE(),IF(S453=Constants!$B$5,FALSE(),COUNTA(T453:X453)&gt;0)))</f>
        <v/>
      </c>
      <c r="AU453" s="95" t="str">
        <f aca="false">IF(ISBLANK($C453),"",IF(ISNUMBER(T453),IF(T453&gt;=0,T453,""),""))</f>
        <v/>
      </c>
      <c r="AV453" s="94" t="str">
        <f aca="false">IF(ISBLANK($C453),"",IF(ISNUMBER(U453),IF(U453&gt;=0,U453,""),""))</f>
        <v/>
      </c>
      <c r="AW453" s="94" t="str">
        <f aca="false">IF(ISBLANK($C453),"",IF(V453=Constants!$B$2,TRUE(),IF(V453=Constants!$B$3,FALSE(),TRUE())))</f>
        <v/>
      </c>
      <c r="AX453" s="93" t="str">
        <f aca="false">IF(ISBLANK($C453),"",IF(ISNUMBER(W453),IF(W453&gt;=0,W453,""),""))</f>
        <v/>
      </c>
      <c r="AY453" s="93" t="str">
        <f aca="false">IF(ISBLANK($C453),"",IF(X453=Constants!$B$2,TRUE(),IF(X453=Constants!$B$3,FALSE(),FALSE())))</f>
        <v/>
      </c>
      <c r="AZ453" s="93" t="str">
        <f aca="false">IF(ISBLANK($C453),"",MIN(Constants!$B$25,MAX(0,IF(ISNUMBER(Y453),Y453*60,0)+IF(ISNUMBER(Z453),Z453,0))))</f>
        <v/>
      </c>
      <c r="BA453" s="93" t="str">
        <f aca="false">IF(ISBLANK($C453),"",IF(AA453=Constants!$B$2,TRUE(),IF(AA453=Constants!$B$3,FALSE(),FALSE())))</f>
        <v/>
      </c>
      <c r="BB453" s="92" t="str">
        <f aca="false">IF(ISBLANK($C453),"",AND($AL453,OR($AM453="",$AN453="",AND($AO453,$AP453=""))))</f>
        <v/>
      </c>
      <c r="BC453" s="94" t="str">
        <f aca="false">IF($BX453&lt;&gt;Constants!$B$6,"",IF($AL453,Constants!$B$17*$AN453+Constants!$B$18*IF($AO453,$AP453,Constants!$B$19),Constants!$B$20))</f>
        <v/>
      </c>
      <c r="BD453" s="97" t="str">
        <f aca="false">IF($BX453&lt;&gt;Constants!$B$6,"",Constants!$B$21*ABS($AD$9-IF($AL453,$AM453,0)))</f>
        <v/>
      </c>
      <c r="BE453" s="97" t="str">
        <f aca="false">IF($BX453&lt;&gt;Constants!$B$6,"",IF(AND($AL453,$AQ453,$AO453),Constants!$B$22,0))</f>
        <v/>
      </c>
      <c r="BF453" s="97" t="str">
        <f aca="false">IF($BX453&lt;&gt;Constants!$B$6,"",IF($AL453,($AI453-Constants!$B$24)*Constants!$B$23,0))</f>
        <v/>
      </c>
      <c r="BG453" s="97" t="str">
        <f aca="false">IF($BX453&lt;&gt;Constants!$B$6,"",IF($AK453,0,Constants!$B$12)+IF($AJ453,0,Constants!$B$13)+IF($AH453,0,Constants!$B$14))</f>
        <v/>
      </c>
      <c r="BH453" s="98" t="str">
        <f aca="false">IF($BX453&lt;&gt;Constants!$B$6,"",Constants!$B$16+SUM($BC453:$BG453))</f>
        <v/>
      </c>
      <c r="BI453" s="97" t="str">
        <f aca="false">IF($BX453&lt;&gt;Constants!$B$6,"",$BC453)</f>
        <v/>
      </c>
      <c r="BJ453" s="97" t="str">
        <f aca="false">IF($BX453&lt;&gt;Constants!$B$6,"",$BD453)</f>
        <v/>
      </c>
      <c r="BK453" s="99" t="str">
        <f aca="false">IF($BX453&lt;&gt;Constants!$B$6,"",IF($AL453,$AN453,""))</f>
        <v/>
      </c>
      <c r="BL453" s="93" t="str">
        <f aca="false">IF($BX453&lt;&gt;Constants!$B$6,"",IF(OR($BS453&lt;$BH453,AND($BS453=$BH453,OR($BT453&lt;$BI453,AND($BT453=$BI453,OR($BU453&lt;$BJ453,AND($BU453=$BJ453,AND(ISNUMBER($BV453),OR(NOT(ISNUMBER($BK453)),$BV453&lt;$BK453)))))))),"-&gt;","&lt;-"))</f>
        <v/>
      </c>
      <c r="BM453" s="92" t="str">
        <f aca="false">IF(ISBLANK($C453),"",AND($AT453,OR($AU453="",$AV453="",AND($AW453,$AX453=""))))</f>
        <v/>
      </c>
      <c r="BN453" s="94" t="str">
        <f aca="false">IF($BX453&lt;&gt;Constants!$B$6,"",IF($AT453,Constants!$B$17*$AV453+Constants!$B$18*IF($AW453,$AX453,Constants!$B$19),Constants!$B$20))</f>
        <v/>
      </c>
      <c r="BO453" s="97" t="str">
        <f aca="false">IF($BX453&lt;&gt;Constants!$B$6,"",Constants!$B$21*ABS($AD$9-IF($AT453,$AU453,0)))</f>
        <v/>
      </c>
      <c r="BP453" s="97" t="str">
        <f aca="false">IF($BX453&lt;&gt;Constants!$B$6,"",IF(AND($AT453,$AY453,$AW453),Constants!$B$22,0))</f>
        <v/>
      </c>
      <c r="BQ453" s="97" t="str">
        <f aca="false">IF($BX453&lt;&gt;Constants!$B$6,"",IF($AT453,($AI453-Constants!$B$24)*Constants!$B$23,0))</f>
        <v/>
      </c>
      <c r="BR453" s="97" t="str">
        <f aca="false">IF($BX453&lt;&gt;Constants!$B$6,"",IF($AS453,0,Constants!$B$12)+IF($AR453,0,Constants!$B$13)+IF($AH453,0,Constants!$B$14))</f>
        <v/>
      </c>
      <c r="BS453" s="98" t="str">
        <f aca="false">IF($BX453&lt;&gt;Constants!$B$6,"",Constants!$B$16+SUM($BN453:$BR453))</f>
        <v/>
      </c>
      <c r="BT453" s="97" t="str">
        <f aca="false">IF($BX453&lt;&gt;Constants!$B$6,"",$BN453)</f>
        <v/>
      </c>
      <c r="BU453" s="97" t="str">
        <f aca="false">IF($BX453&lt;&gt;Constants!$B$6,"",$BO453)</f>
        <v/>
      </c>
      <c r="BV453" s="99" t="str">
        <f aca="false">IF($BX453&lt;&gt;Constants!$B$6,"",IF($AT453,$AV453,""))</f>
        <v/>
      </c>
      <c r="BW453" s="93" t="str">
        <f aca="false">IF(ISBLANK($C453),"",IF(ISBLANK($D$7),$BW$5,IF(NOT(ISNUMBER($D$7)),$BW$6,"")))</f>
        <v/>
      </c>
      <c r="BX453" s="93" t="str">
        <f aca="false">IF(ISBLANK($C453),"",IF($BA453,Constants!$B$9,IF(COUNTA($E453:$AA453)=0,Constants!$B$8,IF(NOT($AG453),Constants!$B$7,IF(OR($BW453&lt;&gt;"",$BB453,$BM453),Constants!$B$10,Constants!$B$6)))))</f>
        <v/>
      </c>
      <c r="BY453" s="93" t="str">
        <f aca="false">IF(ISBLANK($C453),"",IF($BX453&lt;&gt;Constants!$B$6,$BX453,Constants!$B$11))</f>
        <v/>
      </c>
      <c r="BZ453" s="97" t="str">
        <f aca="false">IF($BX453&lt;&gt;Constants!$B$6,"",IF($BL453="-&gt;",$BS453,$BH453))</f>
        <v/>
      </c>
      <c r="CA453" s="97" t="str">
        <f aca="false">IF($BX453&lt;&gt;Constants!$B$6,"",IF($AF453,0,Constants!$B$15))</f>
        <v/>
      </c>
      <c r="CB453" s="97" t="str">
        <f aca="false">IF($BX453&lt;&gt;Constants!$B$6,"",((Constants!$B$25-$AZ453)-Constants!$B$25)/Constants!$B$26)</f>
        <v/>
      </c>
      <c r="CC453" s="97" t="str">
        <f aca="false">IF(ISBLANK($C453),"",IF($BX453&lt;&gt;Constants!$B$6,$BX453,SUM($BZ453:$CB453)))</f>
        <v/>
      </c>
      <c r="CD453" s="93" t="str">
        <f aca="false">IF(ISBLANK($C453),"",IF($BX453&lt;&gt;Constants!$B$6,$BX453,RANK($CC453,$CC$9:$CC$508,1)))</f>
        <v/>
      </c>
      <c r="CE453" s="97" t="str">
        <f aca="false">IF($BX453&lt;&gt;Constants!$B$6,"",IF($BL453="-&gt;",$BT453,$BI453))</f>
        <v/>
      </c>
      <c r="CF453" s="93" t="str">
        <f aca="false">IF(ISBLANK($C453),"",IF($BX453&lt;&gt;Constants!$B$6,$BX453,IF(ISNUMBER($CE453),RANK($CE453,$CE$9:$CE$508,1),COUNT($CE$9:$CE$508)+1)))</f>
        <v/>
      </c>
      <c r="CG453" s="97" t="str">
        <f aca="false">IF($BX453&lt;&gt;Constants!$B$6,"",IF($BL453="-&gt;",$BU453,$BJ453))</f>
        <v/>
      </c>
      <c r="CH453" s="93" t="str">
        <f aca="false">IF(ISBLANK($C453),"",IF($BX453&lt;&gt;Constants!$B$6,$BX453,IF(ISNUMBER($CG453),RANK($CG453,$CG$9:$CG$508,1),COUNT($CG$9:$CG$508)+1)))</f>
        <v/>
      </c>
      <c r="CI453" s="97" t="str">
        <f aca="false">IF($BX453&lt;&gt;Constants!$B$6,"",IF($BL453="-&gt;",$BV453,$BK453))</f>
        <v/>
      </c>
      <c r="CJ453" s="93" t="str">
        <f aca="false">IF(ISBLANK($C453),"",IF($BX453&lt;&gt;Constants!$B$6,$BX453,IF(ISNUMBER($CI453),RANK($CI453,$CI$9:$CI$508,1),COUNT($CI$9:$CI$508)+1)))</f>
        <v/>
      </c>
      <c r="CK453" s="97" t="str">
        <f aca="false">IF($BX453&lt;&gt;Constants!$B$6,"",$AI453)</f>
        <v/>
      </c>
      <c r="CL453" s="93" t="str">
        <f aca="false">IF(ISBLANK($C453),"",IF($BX453&lt;&gt;Constants!$B$6,$BX453,IF(ISNUMBER($CK453),RANK($CK453,$CK$9:$CK$508,1),COUNT($CK$9:$CK$508)+1)))</f>
        <v/>
      </c>
      <c r="CM453" s="93" t="str">
        <f aca="false">IF(ISBLANK($C453),"",IF($BX453&lt;&gt;Constants!$B$6,$BX453,COUNTIFS($CD$9:$CD$508,"&lt;"&amp;$CD453)+COUNTIFS($CD$9:$CD$508,$CD453,$CF$9:$CF$508,"&lt;"&amp;$CF453)+COUNTIFS($CD$9:$CD$508,$CD453,$CF$9:$CF$508,$CF453,$CH$9:$CH$508,"&lt;"&amp;$CH453)+COUNTIFS($CD$9:$CD$508,$CD453,$CF$9:$CF$508,$CF453,$CH$9:$CH$508,$CH453,$CJ$9:$CJ$508,"&lt;"&amp;$CJ453)+COUNTIFS($CD$9:$CD$508,$CD453,$CF$9:$CF$508,$CF453,$CH$9:$CH$508,$CH453,$CJ$9:$CJ$508,$CJ453,$CL$9:$CL$508,"&lt;"&amp;$CL453)+1))</f>
        <v/>
      </c>
      <c r="CN453" s="93" t="str">
        <f aca="false">IF(ISBLANK($C453),"",IF($BX453&lt;&gt;Constants!$B$6,$BX453,$CD453-$CM453))</f>
        <v/>
      </c>
      <c r="CO453" s="100"/>
      <c r="CP453" s="101"/>
      <c r="CQ453" s="102" t="str">
        <f aca="false">IF(ISBLANK($C453),"",IF($BX453=Constants!$B$10,$BW453,""))</f>
        <v/>
      </c>
      <c r="CR453" s="101" t="str">
        <f aca="false">IF(ISBLANK($C453),"",IF($BX453&lt;&gt;Constants!$B$6,"",IF($BL453="-&gt;",2,1)))</f>
        <v/>
      </c>
      <c r="CS453" s="103" t="str">
        <f aca="false">IF(ISBLANK($C453),"",IF($BX453&lt;&gt;Constants!$B$6,"",IF($BL453="-&gt;",$BN453,$BC453)))</f>
        <v/>
      </c>
      <c r="CT453" s="103" t="str">
        <f aca="false">IF(ISBLANK($C453),"",IF($BX453&lt;&gt;Constants!$B$6,"",IF($BL453="-&gt;",$BO453,$BD453)))</f>
        <v/>
      </c>
      <c r="CU453" s="103" t="str">
        <f aca="false">IF(ISBLANK($C453),"",IF($BX453&lt;&gt;Constants!$B$6,"",IF($BL453="-&gt;",$BP453+$BQ453,$BE453+$BF453)+$CB453))</f>
        <v/>
      </c>
      <c r="CV453" s="103" t="str">
        <f aca="false">IF(ISBLANK($C453),"",IF($BX453&lt;&gt;Constants!$B$6,"",IF($BL453="-&gt;",$BR453,$BG453)+$CA453))</f>
        <v/>
      </c>
      <c r="CW453" s="104" t="str">
        <f aca="false">IF(ISBLANK($C453),"",IF($BX453&lt;&gt;Constants!$B$6,$BX453,$CC453))</f>
        <v/>
      </c>
      <c r="CX453" s="105" t="str">
        <f aca="false">IF(ISBLANK($C453),"",$BY453)</f>
        <v/>
      </c>
      <c r="CY453" s="106" t="str">
        <f aca="false">IF(ISBLANK($C453),"",$CN453)</f>
        <v/>
      </c>
      <c r="CZ453" s="106" t="str">
        <f aca="false">IF(ISBLANK($C453),"",$CM453)</f>
        <v/>
      </c>
      <c r="DA453" s="107" t="str">
        <f aca="false">IF(ISBLANK($C453),"",IFERROR(_xlfn.SWITCH($CZ453,Constants!$B$9,COUNTA($C$9:$C$508)+2,Constants!$B$8,COUNTA($C$9:$C$508)+1,Constants!$B$7,COUNTA($C$9:$C$508)),$CZ453))</f>
        <v/>
      </c>
      <c r="DB453" s="9"/>
      <c r="DC453" s="108" t="n">
        <f aca="false">IF(OR(ISNUMBER($CZ453),$CZ453=Constants!$B$9,$CZ453=Constants!$B$7,$CZ453=Constants!$B$8),1,0)</f>
        <v>0</v>
      </c>
      <c r="DD453" s="108" t="n">
        <v>445</v>
      </c>
      <c r="DE453" s="108" t="str">
        <f aca="false">IF(ISBLANK($C453),"",IF(ISNUMBER($DA453),$DA453+ROW($B453)/1000,""))</f>
        <v/>
      </c>
      <c r="DF453" s="108" t="str">
        <f aca="false">IF(ISNUMBER($DE453),RANK($DE453,$DE$9:$DE$508,1),"")</f>
        <v/>
      </c>
      <c r="DG453" s="108" t="str">
        <f aca="false">IF(ISBLANK($C453),"",$B453)</f>
        <v/>
      </c>
      <c r="DH453" s="108" t="str">
        <f aca="false">IF(ISBLANK($C453),"",$C453)</f>
        <v/>
      </c>
      <c r="DI453" s="108" t="str">
        <f aca="false">IF(ISBLANK($C453),"",$D453)</f>
        <v/>
      </c>
      <c r="DJ453" s="109" t="str">
        <f aca="false">$CX453</f>
        <v/>
      </c>
      <c r="DK453" s="110" t="str">
        <f aca="false">$CW453</f>
        <v/>
      </c>
      <c r="DL453" s="108" t="str">
        <f aca="false">IF(ISBLANK($C453),"",$CZ453)</f>
        <v/>
      </c>
      <c r="DM453" s="111" t="str">
        <f aca="false">IF($DD453&gt;$DC$8,"",VLOOKUP($DD453,$DF$9:$DL$508,7,FALSE()))</f>
        <v/>
      </c>
      <c r="DN453" s="112" t="str">
        <f aca="false">IF($DD453&gt;$DC$8,"",VLOOKUP($DD453,$DF$9:$DL$508,2,FALSE()))</f>
        <v/>
      </c>
      <c r="DO453" s="112" t="str">
        <f aca="false">IF($DD453&gt;$DC$8,"",VLOOKUP($DD453,$DF$9:$DL$508,3,FALSE()))</f>
        <v/>
      </c>
      <c r="DP453" s="112" t="str">
        <f aca="false">IF($DD453&gt;$DC$8,"",VLOOKUP($DD453,$DF$9:$DL$508,4,FALSE()))</f>
        <v/>
      </c>
      <c r="DQ453" s="112" t="str">
        <f aca="false">IF($DD453&gt;$DC$8,"",VLOOKUP($DD453,$DF$9:$DL$508,5,FALSE()))</f>
        <v/>
      </c>
      <c r="DR453" s="113" t="str">
        <f aca="false">IF($DD453&gt;$DC$8,"",VLOOKUP($DD453,$DF$9:$DL$508,6,FALSE()))</f>
        <v/>
      </c>
      <c r="DS453" s="76"/>
    </row>
    <row r="454" customFormat="false" ht="15.75" hidden="false" customHeight="false" outlineLevel="0" collapsed="false">
      <c r="A454" s="9"/>
      <c r="B454" s="78"/>
      <c r="C454" s="79"/>
      <c r="D454" s="170"/>
      <c r="E454" s="178"/>
      <c r="F454" s="172"/>
      <c r="G454" s="173"/>
      <c r="H454" s="173"/>
      <c r="I454" s="179"/>
      <c r="J454" s="176"/>
      <c r="K454" s="86"/>
      <c r="L454" s="87"/>
      <c r="M454" s="88"/>
      <c r="N454" s="176"/>
      <c r="O454" s="176"/>
      <c r="P454" s="178"/>
      <c r="Q454" s="176"/>
      <c r="R454" s="176"/>
      <c r="S454" s="86"/>
      <c r="T454" s="88"/>
      <c r="U454" s="88"/>
      <c r="V454" s="176"/>
      <c r="W454" s="176"/>
      <c r="X454" s="178"/>
      <c r="Y454" s="176"/>
      <c r="Z454" s="177"/>
      <c r="AA454" s="176"/>
      <c r="AB454" s="92"/>
      <c r="AC454" s="93"/>
      <c r="AD454" s="93"/>
      <c r="AE454" s="93"/>
      <c r="AF454" s="93" t="str">
        <f aca="false">IF(ISBLANK($C454),"",IF(E454=Constants!$B$2,TRUE(),IF(E454=Constants!$B$3,FALSE(),TRUE())))</f>
        <v/>
      </c>
      <c r="AG454" s="93" t="str">
        <f aca="false">IF(ISBLANK($C454),"",IF(F454=Constants!$B$2,TRUE(),IF(F454=Constants!$B$3,FALSE(),TRUE())))</f>
        <v/>
      </c>
      <c r="AH454" s="93" t="str">
        <f aca="false">IF(ISBLANK($C454),"",IF(G454=Constants!$B$2,TRUE(),IF(G454=Constants!$B$3,FALSE(),TRUE())))</f>
        <v/>
      </c>
      <c r="AI454" s="93" t="str">
        <f aca="false">IF(ISBLANK($C454),"",IF(AND(ISNUMBER(H454),H454&gt;=0),H454,Constants!$B$24))</f>
        <v/>
      </c>
      <c r="AJ454" s="93" t="str">
        <f aca="false">IF(ISBLANK($C454),"",IF(I454=Constants!$B$2,TRUE(),IF(I454=Constants!$B$3,FALSE(),TRUE())))</f>
        <v/>
      </c>
      <c r="AK454" s="93" t="str">
        <f aca="false">IF(ISBLANK($C454),"",IF(J454=Constants!$B$2,TRUE(),IF(J454=Constants!$B$3,FALSE(),TRUE())))</f>
        <v/>
      </c>
      <c r="AL454" s="93" t="str">
        <f aca="false">IF(ISBLANK($C454),"",IF(K454=Constants!$B$4,TRUE(),IF(K454=Constants!$B$5,FALSE(),COUNTA(L454:P454)&gt;0)))</f>
        <v/>
      </c>
      <c r="AM454" s="95" t="str">
        <f aca="false">IF(ISBLANK($C454),"",IF(ISNUMBER(L454),IF(L454&gt;=0,L454,""),""))</f>
        <v/>
      </c>
      <c r="AN454" s="94" t="str">
        <f aca="false">IF(ISBLANK($C454),"",IF(ISNUMBER(M454),IF(M454&gt;=0,M454,""),""))</f>
        <v/>
      </c>
      <c r="AO454" s="94" t="str">
        <f aca="false">IF(ISBLANK($C454),"",IF(N454=Constants!$B$2,TRUE(),IF(N454=Constants!$B$3,FALSE(),TRUE())))</f>
        <v/>
      </c>
      <c r="AP454" s="93" t="str">
        <f aca="false">IF(ISBLANK($C454),"",IF(ISNUMBER(O454),IF(O454&gt;=0,O454,""),""))</f>
        <v/>
      </c>
      <c r="AQ454" s="93" t="str">
        <f aca="false">IF(ISBLANK($C454),"",IF(P454=Constants!$B$2,TRUE(),IF(P454=Constants!$B$3,FALSE(),FALSE())))</f>
        <v/>
      </c>
      <c r="AR454" s="93" t="str">
        <f aca="false">IF(ISBLANK($C454),"",IF(Q454=Constants!$B$2,TRUE(),IF(Q454=Constants!$B$3,FALSE(),TRUE())))</f>
        <v/>
      </c>
      <c r="AS454" s="93" t="str">
        <f aca="false">IF(ISBLANK($C454),"",IF(R454=Constants!$B$2,TRUE(),IF(R454=Constants!$B$3,FALSE(),TRUE())))</f>
        <v/>
      </c>
      <c r="AT454" s="93" t="str">
        <f aca="false">IF(ISBLANK($C454),"",IF(S454=Constants!$B$4,TRUE(),IF(S454=Constants!$B$5,FALSE(),COUNTA(T454:X454)&gt;0)))</f>
        <v/>
      </c>
      <c r="AU454" s="95" t="str">
        <f aca="false">IF(ISBLANK($C454),"",IF(ISNUMBER(T454),IF(T454&gt;=0,T454,""),""))</f>
        <v/>
      </c>
      <c r="AV454" s="94" t="str">
        <f aca="false">IF(ISBLANK($C454),"",IF(ISNUMBER(U454),IF(U454&gt;=0,U454,""),""))</f>
        <v/>
      </c>
      <c r="AW454" s="94" t="str">
        <f aca="false">IF(ISBLANK($C454),"",IF(V454=Constants!$B$2,TRUE(),IF(V454=Constants!$B$3,FALSE(),TRUE())))</f>
        <v/>
      </c>
      <c r="AX454" s="93" t="str">
        <f aca="false">IF(ISBLANK($C454),"",IF(ISNUMBER(W454),IF(W454&gt;=0,W454,""),""))</f>
        <v/>
      </c>
      <c r="AY454" s="93" t="str">
        <f aca="false">IF(ISBLANK($C454),"",IF(X454=Constants!$B$2,TRUE(),IF(X454=Constants!$B$3,FALSE(),FALSE())))</f>
        <v/>
      </c>
      <c r="AZ454" s="93" t="str">
        <f aca="false">IF(ISBLANK($C454),"",MIN(Constants!$B$25,MAX(0,IF(ISNUMBER(Y454),Y454*60,0)+IF(ISNUMBER(Z454),Z454,0))))</f>
        <v/>
      </c>
      <c r="BA454" s="93" t="str">
        <f aca="false">IF(ISBLANK($C454),"",IF(AA454=Constants!$B$2,TRUE(),IF(AA454=Constants!$B$3,FALSE(),FALSE())))</f>
        <v/>
      </c>
      <c r="BB454" s="92" t="str">
        <f aca="false">IF(ISBLANK($C454),"",AND($AL454,OR($AM454="",$AN454="",AND($AO454,$AP454=""))))</f>
        <v/>
      </c>
      <c r="BC454" s="94" t="str">
        <f aca="false">IF($BX454&lt;&gt;Constants!$B$6,"",IF($AL454,Constants!$B$17*$AN454+Constants!$B$18*IF($AO454,$AP454,Constants!$B$19),Constants!$B$20))</f>
        <v/>
      </c>
      <c r="BD454" s="97" t="str">
        <f aca="false">IF($BX454&lt;&gt;Constants!$B$6,"",Constants!$B$21*ABS($AD$9-IF($AL454,$AM454,0)))</f>
        <v/>
      </c>
      <c r="BE454" s="97" t="str">
        <f aca="false">IF($BX454&lt;&gt;Constants!$B$6,"",IF(AND($AL454,$AQ454,$AO454),Constants!$B$22,0))</f>
        <v/>
      </c>
      <c r="BF454" s="97" t="str">
        <f aca="false">IF($BX454&lt;&gt;Constants!$B$6,"",IF($AL454,($AI454-Constants!$B$24)*Constants!$B$23,0))</f>
        <v/>
      </c>
      <c r="BG454" s="97" t="str">
        <f aca="false">IF($BX454&lt;&gt;Constants!$B$6,"",IF($AK454,0,Constants!$B$12)+IF($AJ454,0,Constants!$B$13)+IF($AH454,0,Constants!$B$14))</f>
        <v/>
      </c>
      <c r="BH454" s="98" t="str">
        <f aca="false">IF($BX454&lt;&gt;Constants!$B$6,"",Constants!$B$16+SUM($BC454:$BG454))</f>
        <v/>
      </c>
      <c r="BI454" s="97" t="str">
        <f aca="false">IF($BX454&lt;&gt;Constants!$B$6,"",$BC454)</f>
        <v/>
      </c>
      <c r="BJ454" s="97" t="str">
        <f aca="false">IF($BX454&lt;&gt;Constants!$B$6,"",$BD454)</f>
        <v/>
      </c>
      <c r="BK454" s="99" t="str">
        <f aca="false">IF($BX454&lt;&gt;Constants!$B$6,"",IF($AL454,$AN454,""))</f>
        <v/>
      </c>
      <c r="BL454" s="93" t="str">
        <f aca="false">IF($BX454&lt;&gt;Constants!$B$6,"",IF(OR($BS454&lt;$BH454,AND($BS454=$BH454,OR($BT454&lt;$BI454,AND($BT454=$BI454,OR($BU454&lt;$BJ454,AND($BU454=$BJ454,AND(ISNUMBER($BV454),OR(NOT(ISNUMBER($BK454)),$BV454&lt;$BK454)))))))),"-&gt;","&lt;-"))</f>
        <v/>
      </c>
      <c r="BM454" s="92" t="str">
        <f aca="false">IF(ISBLANK($C454),"",AND($AT454,OR($AU454="",$AV454="",AND($AW454,$AX454=""))))</f>
        <v/>
      </c>
      <c r="BN454" s="94" t="str">
        <f aca="false">IF($BX454&lt;&gt;Constants!$B$6,"",IF($AT454,Constants!$B$17*$AV454+Constants!$B$18*IF($AW454,$AX454,Constants!$B$19),Constants!$B$20))</f>
        <v/>
      </c>
      <c r="BO454" s="97" t="str">
        <f aca="false">IF($BX454&lt;&gt;Constants!$B$6,"",Constants!$B$21*ABS($AD$9-IF($AT454,$AU454,0)))</f>
        <v/>
      </c>
      <c r="BP454" s="97" t="str">
        <f aca="false">IF($BX454&lt;&gt;Constants!$B$6,"",IF(AND($AT454,$AY454,$AW454),Constants!$B$22,0))</f>
        <v/>
      </c>
      <c r="BQ454" s="97" t="str">
        <f aca="false">IF($BX454&lt;&gt;Constants!$B$6,"",IF($AT454,($AI454-Constants!$B$24)*Constants!$B$23,0))</f>
        <v/>
      </c>
      <c r="BR454" s="97" t="str">
        <f aca="false">IF($BX454&lt;&gt;Constants!$B$6,"",IF($AS454,0,Constants!$B$12)+IF($AR454,0,Constants!$B$13)+IF($AH454,0,Constants!$B$14))</f>
        <v/>
      </c>
      <c r="BS454" s="98" t="str">
        <f aca="false">IF($BX454&lt;&gt;Constants!$B$6,"",Constants!$B$16+SUM($BN454:$BR454))</f>
        <v/>
      </c>
      <c r="BT454" s="97" t="str">
        <f aca="false">IF($BX454&lt;&gt;Constants!$B$6,"",$BN454)</f>
        <v/>
      </c>
      <c r="BU454" s="97" t="str">
        <f aca="false">IF($BX454&lt;&gt;Constants!$B$6,"",$BO454)</f>
        <v/>
      </c>
      <c r="BV454" s="99" t="str">
        <f aca="false">IF($BX454&lt;&gt;Constants!$B$6,"",IF($AT454,$AV454,""))</f>
        <v/>
      </c>
      <c r="BW454" s="93" t="str">
        <f aca="false">IF(ISBLANK($C454),"",IF(ISBLANK($D$7),$BW$5,IF(NOT(ISNUMBER($D$7)),$BW$6,"")))</f>
        <v/>
      </c>
      <c r="BX454" s="93" t="str">
        <f aca="false">IF(ISBLANK($C454),"",IF($BA454,Constants!$B$9,IF(COUNTA($E454:$AA454)=0,Constants!$B$8,IF(NOT($AG454),Constants!$B$7,IF(OR($BW454&lt;&gt;"",$BB454,$BM454),Constants!$B$10,Constants!$B$6)))))</f>
        <v/>
      </c>
      <c r="BY454" s="93" t="str">
        <f aca="false">IF(ISBLANK($C454),"",IF($BX454&lt;&gt;Constants!$B$6,$BX454,Constants!$B$11))</f>
        <v/>
      </c>
      <c r="BZ454" s="97" t="str">
        <f aca="false">IF($BX454&lt;&gt;Constants!$B$6,"",IF($BL454="-&gt;",$BS454,$BH454))</f>
        <v/>
      </c>
      <c r="CA454" s="97" t="str">
        <f aca="false">IF($BX454&lt;&gt;Constants!$B$6,"",IF($AF454,0,Constants!$B$15))</f>
        <v/>
      </c>
      <c r="CB454" s="97" t="str">
        <f aca="false">IF($BX454&lt;&gt;Constants!$B$6,"",((Constants!$B$25-$AZ454)-Constants!$B$25)/Constants!$B$26)</f>
        <v/>
      </c>
      <c r="CC454" s="97" t="str">
        <f aca="false">IF(ISBLANK($C454),"",IF($BX454&lt;&gt;Constants!$B$6,$BX454,SUM($BZ454:$CB454)))</f>
        <v/>
      </c>
      <c r="CD454" s="93" t="str">
        <f aca="false">IF(ISBLANK($C454),"",IF($BX454&lt;&gt;Constants!$B$6,$BX454,RANK($CC454,$CC$9:$CC$508,1)))</f>
        <v/>
      </c>
      <c r="CE454" s="97" t="str">
        <f aca="false">IF($BX454&lt;&gt;Constants!$B$6,"",IF($BL454="-&gt;",$BT454,$BI454))</f>
        <v/>
      </c>
      <c r="CF454" s="93" t="str">
        <f aca="false">IF(ISBLANK($C454),"",IF($BX454&lt;&gt;Constants!$B$6,$BX454,IF(ISNUMBER($CE454),RANK($CE454,$CE$9:$CE$508,1),COUNT($CE$9:$CE$508)+1)))</f>
        <v/>
      </c>
      <c r="CG454" s="97" t="str">
        <f aca="false">IF($BX454&lt;&gt;Constants!$B$6,"",IF($BL454="-&gt;",$BU454,$BJ454))</f>
        <v/>
      </c>
      <c r="CH454" s="93" t="str">
        <f aca="false">IF(ISBLANK($C454),"",IF($BX454&lt;&gt;Constants!$B$6,$BX454,IF(ISNUMBER($CG454),RANK($CG454,$CG$9:$CG$508,1),COUNT($CG$9:$CG$508)+1)))</f>
        <v/>
      </c>
      <c r="CI454" s="97" t="str">
        <f aca="false">IF($BX454&lt;&gt;Constants!$B$6,"",IF($BL454="-&gt;",$BV454,$BK454))</f>
        <v/>
      </c>
      <c r="CJ454" s="93" t="str">
        <f aca="false">IF(ISBLANK($C454),"",IF($BX454&lt;&gt;Constants!$B$6,$BX454,IF(ISNUMBER($CI454),RANK($CI454,$CI$9:$CI$508,1),COUNT($CI$9:$CI$508)+1)))</f>
        <v/>
      </c>
      <c r="CK454" s="97" t="str">
        <f aca="false">IF($BX454&lt;&gt;Constants!$B$6,"",$AI454)</f>
        <v/>
      </c>
      <c r="CL454" s="93" t="str">
        <f aca="false">IF(ISBLANK($C454),"",IF($BX454&lt;&gt;Constants!$B$6,$BX454,IF(ISNUMBER($CK454),RANK($CK454,$CK$9:$CK$508,1),COUNT($CK$9:$CK$508)+1)))</f>
        <v/>
      </c>
      <c r="CM454" s="93" t="str">
        <f aca="false">IF(ISBLANK($C454),"",IF($BX454&lt;&gt;Constants!$B$6,$BX454,COUNTIFS($CD$9:$CD$508,"&lt;"&amp;$CD454)+COUNTIFS($CD$9:$CD$508,$CD454,$CF$9:$CF$508,"&lt;"&amp;$CF454)+COUNTIFS($CD$9:$CD$508,$CD454,$CF$9:$CF$508,$CF454,$CH$9:$CH$508,"&lt;"&amp;$CH454)+COUNTIFS($CD$9:$CD$508,$CD454,$CF$9:$CF$508,$CF454,$CH$9:$CH$508,$CH454,$CJ$9:$CJ$508,"&lt;"&amp;$CJ454)+COUNTIFS($CD$9:$CD$508,$CD454,$CF$9:$CF$508,$CF454,$CH$9:$CH$508,$CH454,$CJ$9:$CJ$508,$CJ454,$CL$9:$CL$508,"&lt;"&amp;$CL454)+1))</f>
        <v/>
      </c>
      <c r="CN454" s="93" t="str">
        <f aca="false">IF(ISBLANK($C454),"",IF($BX454&lt;&gt;Constants!$B$6,$BX454,$CD454-$CM454))</f>
        <v/>
      </c>
      <c r="CO454" s="100"/>
      <c r="CP454" s="101"/>
      <c r="CQ454" s="102" t="str">
        <f aca="false">IF(ISBLANK($C454),"",IF($BX454=Constants!$B$10,$BW454,""))</f>
        <v/>
      </c>
      <c r="CR454" s="101" t="str">
        <f aca="false">IF(ISBLANK($C454),"",IF($BX454&lt;&gt;Constants!$B$6,"",IF($BL454="-&gt;",2,1)))</f>
        <v/>
      </c>
      <c r="CS454" s="103" t="str">
        <f aca="false">IF(ISBLANK($C454),"",IF($BX454&lt;&gt;Constants!$B$6,"",IF($BL454="-&gt;",$BN454,$BC454)))</f>
        <v/>
      </c>
      <c r="CT454" s="103" t="str">
        <f aca="false">IF(ISBLANK($C454),"",IF($BX454&lt;&gt;Constants!$B$6,"",IF($BL454="-&gt;",$BO454,$BD454)))</f>
        <v/>
      </c>
      <c r="CU454" s="103" t="str">
        <f aca="false">IF(ISBLANK($C454),"",IF($BX454&lt;&gt;Constants!$B$6,"",IF($BL454="-&gt;",$BP454+$BQ454,$BE454+$BF454)+$CB454))</f>
        <v/>
      </c>
      <c r="CV454" s="103" t="str">
        <f aca="false">IF(ISBLANK($C454),"",IF($BX454&lt;&gt;Constants!$B$6,"",IF($BL454="-&gt;",$BR454,$BG454)+$CA454))</f>
        <v/>
      </c>
      <c r="CW454" s="104" t="str">
        <f aca="false">IF(ISBLANK($C454),"",IF($BX454&lt;&gt;Constants!$B$6,$BX454,$CC454))</f>
        <v/>
      </c>
      <c r="CX454" s="105" t="str">
        <f aca="false">IF(ISBLANK($C454),"",$BY454)</f>
        <v/>
      </c>
      <c r="CY454" s="106" t="str">
        <f aca="false">IF(ISBLANK($C454),"",$CN454)</f>
        <v/>
      </c>
      <c r="CZ454" s="106" t="str">
        <f aca="false">IF(ISBLANK($C454),"",$CM454)</f>
        <v/>
      </c>
      <c r="DA454" s="107" t="str">
        <f aca="false">IF(ISBLANK($C454),"",IFERROR(_xlfn.SWITCH($CZ454,Constants!$B$9,COUNTA($C$9:$C$508)+2,Constants!$B$8,COUNTA($C$9:$C$508)+1,Constants!$B$7,COUNTA($C$9:$C$508)),$CZ454))</f>
        <v/>
      </c>
      <c r="DB454" s="9"/>
      <c r="DC454" s="108" t="n">
        <f aca="false">IF(OR(ISNUMBER($CZ454),$CZ454=Constants!$B$9,$CZ454=Constants!$B$7,$CZ454=Constants!$B$8),1,0)</f>
        <v>0</v>
      </c>
      <c r="DD454" s="108" t="n">
        <v>446</v>
      </c>
      <c r="DE454" s="108" t="str">
        <f aca="false">IF(ISBLANK($C454),"",IF(ISNUMBER($DA454),$DA454+ROW($B454)/1000,""))</f>
        <v/>
      </c>
      <c r="DF454" s="108" t="str">
        <f aca="false">IF(ISNUMBER($DE454),RANK($DE454,$DE$9:$DE$508,1),"")</f>
        <v/>
      </c>
      <c r="DG454" s="108" t="str">
        <f aca="false">IF(ISBLANK($C454),"",$B454)</f>
        <v/>
      </c>
      <c r="DH454" s="108" t="str">
        <f aca="false">IF(ISBLANK($C454),"",$C454)</f>
        <v/>
      </c>
      <c r="DI454" s="108" t="str">
        <f aca="false">IF(ISBLANK($C454),"",$D454)</f>
        <v/>
      </c>
      <c r="DJ454" s="109" t="str">
        <f aca="false">$CX454</f>
        <v/>
      </c>
      <c r="DK454" s="110" t="str">
        <f aca="false">$CW454</f>
        <v/>
      </c>
      <c r="DL454" s="108" t="str">
        <f aca="false">IF(ISBLANK($C454),"",$CZ454)</f>
        <v/>
      </c>
      <c r="DM454" s="111" t="str">
        <f aca="false">IF($DD454&gt;$DC$8,"",VLOOKUP($DD454,$DF$9:$DL$508,7,FALSE()))</f>
        <v/>
      </c>
      <c r="DN454" s="112" t="str">
        <f aca="false">IF($DD454&gt;$DC$8,"",VLOOKUP($DD454,$DF$9:$DL$508,2,FALSE()))</f>
        <v/>
      </c>
      <c r="DO454" s="112" t="str">
        <f aca="false">IF($DD454&gt;$DC$8,"",VLOOKUP($DD454,$DF$9:$DL$508,3,FALSE()))</f>
        <v/>
      </c>
      <c r="DP454" s="112" t="str">
        <f aca="false">IF($DD454&gt;$DC$8,"",VLOOKUP($DD454,$DF$9:$DL$508,4,FALSE()))</f>
        <v/>
      </c>
      <c r="DQ454" s="112" t="str">
        <f aca="false">IF($DD454&gt;$DC$8,"",VLOOKUP($DD454,$DF$9:$DL$508,5,FALSE()))</f>
        <v/>
      </c>
      <c r="DR454" s="113" t="str">
        <f aca="false">IF($DD454&gt;$DC$8,"",VLOOKUP($DD454,$DF$9:$DL$508,6,FALSE()))</f>
        <v/>
      </c>
      <c r="DS454" s="76"/>
    </row>
    <row r="455" customFormat="false" ht="15.75" hidden="false" customHeight="false" outlineLevel="0" collapsed="false">
      <c r="A455" s="9"/>
      <c r="B455" s="78"/>
      <c r="C455" s="79"/>
      <c r="D455" s="170"/>
      <c r="E455" s="178"/>
      <c r="F455" s="172"/>
      <c r="G455" s="173"/>
      <c r="H455" s="173"/>
      <c r="I455" s="179"/>
      <c r="J455" s="176"/>
      <c r="K455" s="86"/>
      <c r="L455" s="87"/>
      <c r="M455" s="88"/>
      <c r="N455" s="176"/>
      <c r="O455" s="176"/>
      <c r="P455" s="178"/>
      <c r="Q455" s="176"/>
      <c r="R455" s="176"/>
      <c r="S455" s="86"/>
      <c r="T455" s="88"/>
      <c r="U455" s="88"/>
      <c r="V455" s="176"/>
      <c r="W455" s="176"/>
      <c r="X455" s="178"/>
      <c r="Y455" s="176"/>
      <c r="Z455" s="177"/>
      <c r="AA455" s="176"/>
      <c r="AB455" s="92"/>
      <c r="AC455" s="93"/>
      <c r="AD455" s="93"/>
      <c r="AE455" s="93"/>
      <c r="AF455" s="93" t="str">
        <f aca="false">IF(ISBLANK($C455),"",IF(E455=Constants!$B$2,TRUE(),IF(E455=Constants!$B$3,FALSE(),TRUE())))</f>
        <v/>
      </c>
      <c r="AG455" s="93" t="str">
        <f aca="false">IF(ISBLANK($C455),"",IF(F455=Constants!$B$2,TRUE(),IF(F455=Constants!$B$3,FALSE(),TRUE())))</f>
        <v/>
      </c>
      <c r="AH455" s="93" t="str">
        <f aca="false">IF(ISBLANK($C455),"",IF(G455=Constants!$B$2,TRUE(),IF(G455=Constants!$B$3,FALSE(),TRUE())))</f>
        <v/>
      </c>
      <c r="AI455" s="93" t="str">
        <f aca="false">IF(ISBLANK($C455),"",IF(AND(ISNUMBER(H455),H455&gt;=0),H455,Constants!$B$24))</f>
        <v/>
      </c>
      <c r="AJ455" s="93" t="str">
        <f aca="false">IF(ISBLANK($C455),"",IF(I455=Constants!$B$2,TRUE(),IF(I455=Constants!$B$3,FALSE(),TRUE())))</f>
        <v/>
      </c>
      <c r="AK455" s="93" t="str">
        <f aca="false">IF(ISBLANK($C455),"",IF(J455=Constants!$B$2,TRUE(),IF(J455=Constants!$B$3,FALSE(),TRUE())))</f>
        <v/>
      </c>
      <c r="AL455" s="93" t="str">
        <f aca="false">IF(ISBLANK($C455),"",IF(K455=Constants!$B$4,TRUE(),IF(K455=Constants!$B$5,FALSE(),COUNTA(L455:P455)&gt;0)))</f>
        <v/>
      </c>
      <c r="AM455" s="95" t="str">
        <f aca="false">IF(ISBLANK($C455),"",IF(ISNUMBER(L455),IF(L455&gt;=0,L455,""),""))</f>
        <v/>
      </c>
      <c r="AN455" s="94" t="str">
        <f aca="false">IF(ISBLANK($C455),"",IF(ISNUMBER(M455),IF(M455&gt;=0,M455,""),""))</f>
        <v/>
      </c>
      <c r="AO455" s="94" t="str">
        <f aca="false">IF(ISBLANK($C455),"",IF(N455=Constants!$B$2,TRUE(),IF(N455=Constants!$B$3,FALSE(),TRUE())))</f>
        <v/>
      </c>
      <c r="AP455" s="93" t="str">
        <f aca="false">IF(ISBLANK($C455),"",IF(ISNUMBER(O455),IF(O455&gt;=0,O455,""),""))</f>
        <v/>
      </c>
      <c r="AQ455" s="93" t="str">
        <f aca="false">IF(ISBLANK($C455),"",IF(P455=Constants!$B$2,TRUE(),IF(P455=Constants!$B$3,FALSE(),FALSE())))</f>
        <v/>
      </c>
      <c r="AR455" s="93" t="str">
        <f aca="false">IF(ISBLANK($C455),"",IF(Q455=Constants!$B$2,TRUE(),IF(Q455=Constants!$B$3,FALSE(),TRUE())))</f>
        <v/>
      </c>
      <c r="AS455" s="93" t="str">
        <f aca="false">IF(ISBLANK($C455),"",IF(R455=Constants!$B$2,TRUE(),IF(R455=Constants!$B$3,FALSE(),TRUE())))</f>
        <v/>
      </c>
      <c r="AT455" s="93" t="str">
        <f aca="false">IF(ISBLANK($C455),"",IF(S455=Constants!$B$4,TRUE(),IF(S455=Constants!$B$5,FALSE(),COUNTA(T455:X455)&gt;0)))</f>
        <v/>
      </c>
      <c r="AU455" s="95" t="str">
        <f aca="false">IF(ISBLANK($C455),"",IF(ISNUMBER(T455),IF(T455&gt;=0,T455,""),""))</f>
        <v/>
      </c>
      <c r="AV455" s="94" t="str">
        <f aca="false">IF(ISBLANK($C455),"",IF(ISNUMBER(U455),IF(U455&gt;=0,U455,""),""))</f>
        <v/>
      </c>
      <c r="AW455" s="94" t="str">
        <f aca="false">IF(ISBLANK($C455),"",IF(V455=Constants!$B$2,TRUE(),IF(V455=Constants!$B$3,FALSE(),TRUE())))</f>
        <v/>
      </c>
      <c r="AX455" s="93" t="str">
        <f aca="false">IF(ISBLANK($C455),"",IF(ISNUMBER(W455),IF(W455&gt;=0,W455,""),""))</f>
        <v/>
      </c>
      <c r="AY455" s="93" t="str">
        <f aca="false">IF(ISBLANK($C455),"",IF(X455=Constants!$B$2,TRUE(),IF(X455=Constants!$B$3,FALSE(),FALSE())))</f>
        <v/>
      </c>
      <c r="AZ455" s="93" t="str">
        <f aca="false">IF(ISBLANK($C455),"",MIN(Constants!$B$25,MAX(0,IF(ISNUMBER(Y455),Y455*60,0)+IF(ISNUMBER(Z455),Z455,0))))</f>
        <v/>
      </c>
      <c r="BA455" s="93" t="str">
        <f aca="false">IF(ISBLANK($C455),"",IF(AA455=Constants!$B$2,TRUE(),IF(AA455=Constants!$B$3,FALSE(),FALSE())))</f>
        <v/>
      </c>
      <c r="BB455" s="92" t="str">
        <f aca="false">IF(ISBLANK($C455),"",AND($AL455,OR($AM455="",$AN455="",AND($AO455,$AP455=""))))</f>
        <v/>
      </c>
      <c r="BC455" s="94" t="str">
        <f aca="false">IF($BX455&lt;&gt;Constants!$B$6,"",IF($AL455,Constants!$B$17*$AN455+Constants!$B$18*IF($AO455,$AP455,Constants!$B$19),Constants!$B$20))</f>
        <v/>
      </c>
      <c r="BD455" s="97" t="str">
        <f aca="false">IF($BX455&lt;&gt;Constants!$B$6,"",Constants!$B$21*ABS($AD$9-IF($AL455,$AM455,0)))</f>
        <v/>
      </c>
      <c r="BE455" s="97" t="str">
        <f aca="false">IF($BX455&lt;&gt;Constants!$B$6,"",IF(AND($AL455,$AQ455,$AO455),Constants!$B$22,0))</f>
        <v/>
      </c>
      <c r="BF455" s="97" t="str">
        <f aca="false">IF($BX455&lt;&gt;Constants!$B$6,"",IF($AL455,($AI455-Constants!$B$24)*Constants!$B$23,0))</f>
        <v/>
      </c>
      <c r="BG455" s="97" t="str">
        <f aca="false">IF($BX455&lt;&gt;Constants!$B$6,"",IF($AK455,0,Constants!$B$12)+IF($AJ455,0,Constants!$B$13)+IF($AH455,0,Constants!$B$14))</f>
        <v/>
      </c>
      <c r="BH455" s="98" t="str">
        <f aca="false">IF($BX455&lt;&gt;Constants!$B$6,"",Constants!$B$16+SUM($BC455:$BG455))</f>
        <v/>
      </c>
      <c r="BI455" s="97" t="str">
        <f aca="false">IF($BX455&lt;&gt;Constants!$B$6,"",$BC455)</f>
        <v/>
      </c>
      <c r="BJ455" s="97" t="str">
        <f aca="false">IF($BX455&lt;&gt;Constants!$B$6,"",$BD455)</f>
        <v/>
      </c>
      <c r="BK455" s="99" t="str">
        <f aca="false">IF($BX455&lt;&gt;Constants!$B$6,"",IF($AL455,$AN455,""))</f>
        <v/>
      </c>
      <c r="BL455" s="93" t="str">
        <f aca="false">IF($BX455&lt;&gt;Constants!$B$6,"",IF(OR($BS455&lt;$BH455,AND($BS455=$BH455,OR($BT455&lt;$BI455,AND($BT455=$BI455,OR($BU455&lt;$BJ455,AND($BU455=$BJ455,AND(ISNUMBER($BV455),OR(NOT(ISNUMBER($BK455)),$BV455&lt;$BK455)))))))),"-&gt;","&lt;-"))</f>
        <v/>
      </c>
      <c r="BM455" s="92" t="str">
        <f aca="false">IF(ISBLANK($C455),"",AND($AT455,OR($AU455="",$AV455="",AND($AW455,$AX455=""))))</f>
        <v/>
      </c>
      <c r="BN455" s="94" t="str">
        <f aca="false">IF($BX455&lt;&gt;Constants!$B$6,"",IF($AT455,Constants!$B$17*$AV455+Constants!$B$18*IF($AW455,$AX455,Constants!$B$19),Constants!$B$20))</f>
        <v/>
      </c>
      <c r="BO455" s="97" t="str">
        <f aca="false">IF($BX455&lt;&gt;Constants!$B$6,"",Constants!$B$21*ABS($AD$9-IF($AT455,$AU455,0)))</f>
        <v/>
      </c>
      <c r="BP455" s="97" t="str">
        <f aca="false">IF($BX455&lt;&gt;Constants!$B$6,"",IF(AND($AT455,$AY455,$AW455),Constants!$B$22,0))</f>
        <v/>
      </c>
      <c r="BQ455" s="97" t="str">
        <f aca="false">IF($BX455&lt;&gt;Constants!$B$6,"",IF($AT455,($AI455-Constants!$B$24)*Constants!$B$23,0))</f>
        <v/>
      </c>
      <c r="BR455" s="97" t="str">
        <f aca="false">IF($BX455&lt;&gt;Constants!$B$6,"",IF($AS455,0,Constants!$B$12)+IF($AR455,0,Constants!$B$13)+IF($AH455,0,Constants!$B$14))</f>
        <v/>
      </c>
      <c r="BS455" s="98" t="str">
        <f aca="false">IF($BX455&lt;&gt;Constants!$B$6,"",Constants!$B$16+SUM($BN455:$BR455))</f>
        <v/>
      </c>
      <c r="BT455" s="97" t="str">
        <f aca="false">IF($BX455&lt;&gt;Constants!$B$6,"",$BN455)</f>
        <v/>
      </c>
      <c r="BU455" s="97" t="str">
        <f aca="false">IF($BX455&lt;&gt;Constants!$B$6,"",$BO455)</f>
        <v/>
      </c>
      <c r="BV455" s="99" t="str">
        <f aca="false">IF($BX455&lt;&gt;Constants!$B$6,"",IF($AT455,$AV455,""))</f>
        <v/>
      </c>
      <c r="BW455" s="93" t="str">
        <f aca="false">IF(ISBLANK($C455),"",IF(ISBLANK($D$7),$BW$5,IF(NOT(ISNUMBER($D$7)),$BW$6,"")))</f>
        <v/>
      </c>
      <c r="BX455" s="93" t="str">
        <f aca="false">IF(ISBLANK($C455),"",IF($BA455,Constants!$B$9,IF(COUNTA($E455:$AA455)=0,Constants!$B$8,IF(NOT($AG455),Constants!$B$7,IF(OR($BW455&lt;&gt;"",$BB455,$BM455),Constants!$B$10,Constants!$B$6)))))</f>
        <v/>
      </c>
      <c r="BY455" s="93" t="str">
        <f aca="false">IF(ISBLANK($C455),"",IF($BX455&lt;&gt;Constants!$B$6,$BX455,Constants!$B$11))</f>
        <v/>
      </c>
      <c r="BZ455" s="97" t="str">
        <f aca="false">IF($BX455&lt;&gt;Constants!$B$6,"",IF($BL455="-&gt;",$BS455,$BH455))</f>
        <v/>
      </c>
      <c r="CA455" s="97" t="str">
        <f aca="false">IF($BX455&lt;&gt;Constants!$B$6,"",IF($AF455,0,Constants!$B$15))</f>
        <v/>
      </c>
      <c r="CB455" s="97" t="str">
        <f aca="false">IF($BX455&lt;&gt;Constants!$B$6,"",((Constants!$B$25-$AZ455)-Constants!$B$25)/Constants!$B$26)</f>
        <v/>
      </c>
      <c r="CC455" s="97" t="str">
        <f aca="false">IF(ISBLANK($C455),"",IF($BX455&lt;&gt;Constants!$B$6,$BX455,SUM($BZ455:$CB455)))</f>
        <v/>
      </c>
      <c r="CD455" s="93" t="str">
        <f aca="false">IF(ISBLANK($C455),"",IF($BX455&lt;&gt;Constants!$B$6,$BX455,RANK($CC455,$CC$9:$CC$508,1)))</f>
        <v/>
      </c>
      <c r="CE455" s="97" t="str">
        <f aca="false">IF($BX455&lt;&gt;Constants!$B$6,"",IF($BL455="-&gt;",$BT455,$BI455))</f>
        <v/>
      </c>
      <c r="CF455" s="93" t="str">
        <f aca="false">IF(ISBLANK($C455),"",IF($BX455&lt;&gt;Constants!$B$6,$BX455,IF(ISNUMBER($CE455),RANK($CE455,$CE$9:$CE$508,1),COUNT($CE$9:$CE$508)+1)))</f>
        <v/>
      </c>
      <c r="CG455" s="97" t="str">
        <f aca="false">IF($BX455&lt;&gt;Constants!$B$6,"",IF($BL455="-&gt;",$BU455,$BJ455))</f>
        <v/>
      </c>
      <c r="CH455" s="93" t="str">
        <f aca="false">IF(ISBLANK($C455),"",IF($BX455&lt;&gt;Constants!$B$6,$BX455,IF(ISNUMBER($CG455),RANK($CG455,$CG$9:$CG$508,1),COUNT($CG$9:$CG$508)+1)))</f>
        <v/>
      </c>
      <c r="CI455" s="97" t="str">
        <f aca="false">IF($BX455&lt;&gt;Constants!$B$6,"",IF($BL455="-&gt;",$BV455,$BK455))</f>
        <v/>
      </c>
      <c r="CJ455" s="93" t="str">
        <f aca="false">IF(ISBLANK($C455),"",IF($BX455&lt;&gt;Constants!$B$6,$BX455,IF(ISNUMBER($CI455),RANK($CI455,$CI$9:$CI$508,1),COUNT($CI$9:$CI$508)+1)))</f>
        <v/>
      </c>
      <c r="CK455" s="97" t="str">
        <f aca="false">IF($BX455&lt;&gt;Constants!$B$6,"",$AI455)</f>
        <v/>
      </c>
      <c r="CL455" s="93" t="str">
        <f aca="false">IF(ISBLANK($C455),"",IF($BX455&lt;&gt;Constants!$B$6,$BX455,IF(ISNUMBER($CK455),RANK($CK455,$CK$9:$CK$508,1),COUNT($CK$9:$CK$508)+1)))</f>
        <v/>
      </c>
      <c r="CM455" s="93" t="str">
        <f aca="false">IF(ISBLANK($C455),"",IF($BX455&lt;&gt;Constants!$B$6,$BX455,COUNTIFS($CD$9:$CD$508,"&lt;"&amp;$CD455)+COUNTIFS($CD$9:$CD$508,$CD455,$CF$9:$CF$508,"&lt;"&amp;$CF455)+COUNTIFS($CD$9:$CD$508,$CD455,$CF$9:$CF$508,$CF455,$CH$9:$CH$508,"&lt;"&amp;$CH455)+COUNTIFS($CD$9:$CD$508,$CD455,$CF$9:$CF$508,$CF455,$CH$9:$CH$508,$CH455,$CJ$9:$CJ$508,"&lt;"&amp;$CJ455)+COUNTIFS($CD$9:$CD$508,$CD455,$CF$9:$CF$508,$CF455,$CH$9:$CH$508,$CH455,$CJ$9:$CJ$508,$CJ455,$CL$9:$CL$508,"&lt;"&amp;$CL455)+1))</f>
        <v/>
      </c>
      <c r="CN455" s="93" t="str">
        <f aca="false">IF(ISBLANK($C455),"",IF($BX455&lt;&gt;Constants!$B$6,$BX455,$CD455-$CM455))</f>
        <v/>
      </c>
      <c r="CO455" s="100"/>
      <c r="CP455" s="101"/>
      <c r="CQ455" s="102" t="str">
        <f aca="false">IF(ISBLANK($C455),"",IF($BX455=Constants!$B$10,$BW455,""))</f>
        <v/>
      </c>
      <c r="CR455" s="101" t="str">
        <f aca="false">IF(ISBLANK($C455),"",IF($BX455&lt;&gt;Constants!$B$6,"",IF($BL455="-&gt;",2,1)))</f>
        <v/>
      </c>
      <c r="CS455" s="103" t="str">
        <f aca="false">IF(ISBLANK($C455),"",IF($BX455&lt;&gt;Constants!$B$6,"",IF($BL455="-&gt;",$BN455,$BC455)))</f>
        <v/>
      </c>
      <c r="CT455" s="103" t="str">
        <f aca="false">IF(ISBLANK($C455),"",IF($BX455&lt;&gt;Constants!$B$6,"",IF($BL455="-&gt;",$BO455,$BD455)))</f>
        <v/>
      </c>
      <c r="CU455" s="103" t="str">
        <f aca="false">IF(ISBLANK($C455),"",IF($BX455&lt;&gt;Constants!$B$6,"",IF($BL455="-&gt;",$BP455+$BQ455,$BE455+$BF455)+$CB455))</f>
        <v/>
      </c>
      <c r="CV455" s="103" t="str">
        <f aca="false">IF(ISBLANK($C455),"",IF($BX455&lt;&gt;Constants!$B$6,"",IF($BL455="-&gt;",$BR455,$BG455)+$CA455))</f>
        <v/>
      </c>
      <c r="CW455" s="104" t="str">
        <f aca="false">IF(ISBLANK($C455),"",IF($BX455&lt;&gt;Constants!$B$6,$BX455,$CC455))</f>
        <v/>
      </c>
      <c r="CX455" s="105" t="str">
        <f aca="false">IF(ISBLANK($C455),"",$BY455)</f>
        <v/>
      </c>
      <c r="CY455" s="106" t="str">
        <f aca="false">IF(ISBLANK($C455),"",$CN455)</f>
        <v/>
      </c>
      <c r="CZ455" s="106" t="str">
        <f aca="false">IF(ISBLANK($C455),"",$CM455)</f>
        <v/>
      </c>
      <c r="DA455" s="107" t="str">
        <f aca="false">IF(ISBLANK($C455),"",IFERROR(_xlfn.SWITCH($CZ455,Constants!$B$9,COUNTA($C$9:$C$508)+2,Constants!$B$8,COUNTA($C$9:$C$508)+1,Constants!$B$7,COUNTA($C$9:$C$508)),$CZ455))</f>
        <v/>
      </c>
      <c r="DB455" s="9"/>
      <c r="DC455" s="108" t="n">
        <f aca="false">IF(OR(ISNUMBER($CZ455),$CZ455=Constants!$B$9,$CZ455=Constants!$B$7,$CZ455=Constants!$B$8),1,0)</f>
        <v>0</v>
      </c>
      <c r="DD455" s="108" t="n">
        <v>447</v>
      </c>
      <c r="DE455" s="108" t="str">
        <f aca="false">IF(ISBLANK($C455),"",IF(ISNUMBER($DA455),$DA455+ROW($B455)/1000,""))</f>
        <v/>
      </c>
      <c r="DF455" s="108" t="str">
        <f aca="false">IF(ISNUMBER($DE455),RANK($DE455,$DE$9:$DE$508,1),"")</f>
        <v/>
      </c>
      <c r="DG455" s="108" t="str">
        <f aca="false">IF(ISBLANK($C455),"",$B455)</f>
        <v/>
      </c>
      <c r="DH455" s="108" t="str">
        <f aca="false">IF(ISBLANK($C455),"",$C455)</f>
        <v/>
      </c>
      <c r="DI455" s="108" t="str">
        <f aca="false">IF(ISBLANK($C455),"",$D455)</f>
        <v/>
      </c>
      <c r="DJ455" s="109" t="str">
        <f aca="false">$CX455</f>
        <v/>
      </c>
      <c r="DK455" s="110" t="str">
        <f aca="false">$CW455</f>
        <v/>
      </c>
      <c r="DL455" s="108" t="str">
        <f aca="false">IF(ISBLANK($C455),"",$CZ455)</f>
        <v/>
      </c>
      <c r="DM455" s="111" t="str">
        <f aca="false">IF($DD455&gt;$DC$8,"",VLOOKUP($DD455,$DF$9:$DL$508,7,FALSE()))</f>
        <v/>
      </c>
      <c r="DN455" s="112" t="str">
        <f aca="false">IF($DD455&gt;$DC$8,"",VLOOKUP($DD455,$DF$9:$DL$508,2,FALSE()))</f>
        <v/>
      </c>
      <c r="DO455" s="112" t="str">
        <f aca="false">IF($DD455&gt;$DC$8,"",VLOOKUP($DD455,$DF$9:$DL$508,3,FALSE()))</f>
        <v/>
      </c>
      <c r="DP455" s="112" t="str">
        <f aca="false">IF($DD455&gt;$DC$8,"",VLOOKUP($DD455,$DF$9:$DL$508,4,FALSE()))</f>
        <v/>
      </c>
      <c r="DQ455" s="112" t="str">
        <f aca="false">IF($DD455&gt;$DC$8,"",VLOOKUP($DD455,$DF$9:$DL$508,5,FALSE()))</f>
        <v/>
      </c>
      <c r="DR455" s="113" t="str">
        <f aca="false">IF($DD455&gt;$DC$8,"",VLOOKUP($DD455,$DF$9:$DL$508,6,FALSE()))</f>
        <v/>
      </c>
      <c r="DS455" s="76"/>
    </row>
    <row r="456" customFormat="false" ht="15.75" hidden="false" customHeight="false" outlineLevel="0" collapsed="false">
      <c r="A456" s="9"/>
      <c r="B456" s="160"/>
      <c r="C456" s="161"/>
      <c r="D456" s="162"/>
      <c r="E456" s="180"/>
      <c r="F456" s="164"/>
      <c r="G456" s="165"/>
      <c r="H456" s="165"/>
      <c r="I456" s="181"/>
      <c r="J456" s="168"/>
      <c r="K456" s="128"/>
      <c r="L456" s="129"/>
      <c r="M456" s="130"/>
      <c r="N456" s="168"/>
      <c r="O456" s="168"/>
      <c r="P456" s="180"/>
      <c r="Q456" s="168"/>
      <c r="R456" s="168"/>
      <c r="S456" s="128"/>
      <c r="T456" s="130"/>
      <c r="U456" s="130"/>
      <c r="V456" s="168"/>
      <c r="W456" s="168"/>
      <c r="X456" s="180"/>
      <c r="Y456" s="168"/>
      <c r="Z456" s="169"/>
      <c r="AA456" s="168"/>
      <c r="AB456" s="134"/>
      <c r="AC456" s="135"/>
      <c r="AD456" s="135"/>
      <c r="AE456" s="135"/>
      <c r="AF456" s="135" t="str">
        <f aca="false">IF(ISBLANK($C456),"",IF(E456=Constants!$B$2,TRUE(),IF(E456=Constants!$B$3,FALSE(),TRUE())))</f>
        <v/>
      </c>
      <c r="AG456" s="135" t="str">
        <f aca="false">IF(ISBLANK($C456),"",IF(F456=Constants!$B$2,TRUE(),IF(F456=Constants!$B$3,FALSE(),TRUE())))</f>
        <v/>
      </c>
      <c r="AH456" s="135" t="str">
        <f aca="false">IF(ISBLANK($C456),"",IF(G456=Constants!$B$2,TRUE(),IF(G456=Constants!$B$3,FALSE(),TRUE())))</f>
        <v/>
      </c>
      <c r="AI456" s="135" t="str">
        <f aca="false">IF(ISBLANK($C456),"",IF(AND(ISNUMBER(H456),H456&gt;=0),H456,Constants!$B$24))</f>
        <v/>
      </c>
      <c r="AJ456" s="135" t="str">
        <f aca="false">IF(ISBLANK($C456),"",IF(I456=Constants!$B$2,TRUE(),IF(I456=Constants!$B$3,FALSE(),TRUE())))</f>
        <v/>
      </c>
      <c r="AK456" s="135" t="str">
        <f aca="false">IF(ISBLANK($C456),"",IF(J456=Constants!$B$2,TRUE(),IF(J456=Constants!$B$3,FALSE(),TRUE())))</f>
        <v/>
      </c>
      <c r="AL456" s="135" t="str">
        <f aca="false">IF(ISBLANK($C456),"",IF(K456=Constants!$B$4,TRUE(),IF(K456=Constants!$B$5,FALSE(),COUNTA(L456:P456)&gt;0)))</f>
        <v/>
      </c>
      <c r="AM456" s="136" t="str">
        <f aca="false">IF(ISBLANK($C456),"",IF(ISNUMBER(L456),IF(L456&gt;=0,L456,""),""))</f>
        <v/>
      </c>
      <c r="AN456" s="137" t="str">
        <f aca="false">IF(ISBLANK($C456),"",IF(ISNUMBER(M456),IF(M456&gt;=0,M456,""),""))</f>
        <v/>
      </c>
      <c r="AO456" s="137" t="str">
        <f aca="false">IF(ISBLANK($C456),"",IF(N456=Constants!$B$2,TRUE(),IF(N456=Constants!$B$3,FALSE(),TRUE())))</f>
        <v/>
      </c>
      <c r="AP456" s="135" t="str">
        <f aca="false">IF(ISBLANK($C456),"",IF(ISNUMBER(O456),IF(O456&gt;=0,O456,""),""))</f>
        <v/>
      </c>
      <c r="AQ456" s="135" t="str">
        <f aca="false">IF(ISBLANK($C456),"",IF(P456=Constants!$B$2,TRUE(),IF(P456=Constants!$B$3,FALSE(),FALSE())))</f>
        <v/>
      </c>
      <c r="AR456" s="135" t="str">
        <f aca="false">IF(ISBLANK($C456),"",IF(Q456=Constants!$B$2,TRUE(),IF(Q456=Constants!$B$3,FALSE(),TRUE())))</f>
        <v/>
      </c>
      <c r="AS456" s="135" t="str">
        <f aca="false">IF(ISBLANK($C456),"",IF(R456=Constants!$B$2,TRUE(),IF(R456=Constants!$B$3,FALSE(),TRUE())))</f>
        <v/>
      </c>
      <c r="AT456" s="135" t="str">
        <f aca="false">IF(ISBLANK($C456),"",IF(S456=Constants!$B$4,TRUE(),IF(S456=Constants!$B$5,FALSE(),COUNTA(T456:X456)&gt;0)))</f>
        <v/>
      </c>
      <c r="AU456" s="136" t="str">
        <f aca="false">IF(ISBLANK($C456),"",IF(ISNUMBER(T456),IF(T456&gt;=0,T456,""),""))</f>
        <v/>
      </c>
      <c r="AV456" s="137" t="str">
        <f aca="false">IF(ISBLANK($C456),"",IF(ISNUMBER(U456),IF(U456&gt;=0,U456,""),""))</f>
        <v/>
      </c>
      <c r="AW456" s="137" t="str">
        <f aca="false">IF(ISBLANK($C456),"",IF(V456=Constants!$B$2,TRUE(),IF(V456=Constants!$B$3,FALSE(),TRUE())))</f>
        <v/>
      </c>
      <c r="AX456" s="135" t="str">
        <f aca="false">IF(ISBLANK($C456),"",IF(ISNUMBER(W456),IF(W456&gt;=0,W456,""),""))</f>
        <v/>
      </c>
      <c r="AY456" s="135" t="str">
        <f aca="false">IF(ISBLANK($C456),"",IF(X456=Constants!$B$2,TRUE(),IF(X456=Constants!$B$3,FALSE(),FALSE())))</f>
        <v/>
      </c>
      <c r="AZ456" s="135" t="str">
        <f aca="false">IF(ISBLANK($C456),"",MIN(Constants!$B$25,MAX(0,IF(ISNUMBER(Y456),Y456*60,0)+IF(ISNUMBER(Z456),Z456,0))))</f>
        <v/>
      </c>
      <c r="BA456" s="135" t="str">
        <f aca="false">IF(ISBLANK($C456),"",IF(AA456=Constants!$B$2,TRUE(),IF(AA456=Constants!$B$3,FALSE(),FALSE())))</f>
        <v/>
      </c>
      <c r="BB456" s="134" t="str">
        <f aca="false">IF(ISBLANK($C456),"",AND($AL456,OR($AM456="",$AN456="",AND($AO456,$AP456=""))))</f>
        <v/>
      </c>
      <c r="BC456" s="137" t="str">
        <f aca="false">IF($BX456&lt;&gt;Constants!$B$6,"",IF($AL456,Constants!$B$17*$AN456+Constants!$B$18*IF($AO456,$AP456,Constants!$B$19),Constants!$B$20))</f>
        <v/>
      </c>
      <c r="BD456" s="138" t="str">
        <f aca="false">IF($BX456&lt;&gt;Constants!$B$6,"",Constants!$B$21*ABS($AD$9-IF($AL456,$AM456,0)))</f>
        <v/>
      </c>
      <c r="BE456" s="138" t="str">
        <f aca="false">IF($BX456&lt;&gt;Constants!$B$6,"",IF(AND($AL456,$AQ456,$AO456),Constants!$B$22,0))</f>
        <v/>
      </c>
      <c r="BF456" s="138" t="str">
        <f aca="false">IF($BX456&lt;&gt;Constants!$B$6,"",IF($AL456,($AI456-Constants!$B$24)*Constants!$B$23,0))</f>
        <v/>
      </c>
      <c r="BG456" s="138" t="str">
        <f aca="false">IF($BX456&lt;&gt;Constants!$B$6,"",IF($AK456,0,Constants!$B$12)+IF($AJ456,0,Constants!$B$13)+IF($AH456,0,Constants!$B$14))</f>
        <v/>
      </c>
      <c r="BH456" s="139" t="str">
        <f aca="false">IF($BX456&lt;&gt;Constants!$B$6,"",Constants!$B$16+SUM($BC456:$BG456))</f>
        <v/>
      </c>
      <c r="BI456" s="138" t="str">
        <f aca="false">IF($BX456&lt;&gt;Constants!$B$6,"",$BC456)</f>
        <v/>
      </c>
      <c r="BJ456" s="138" t="str">
        <f aca="false">IF($BX456&lt;&gt;Constants!$B$6,"",$BD456)</f>
        <v/>
      </c>
      <c r="BK456" s="140" t="str">
        <f aca="false">IF($BX456&lt;&gt;Constants!$B$6,"",IF($AL456,$AN456,""))</f>
        <v/>
      </c>
      <c r="BL456" s="135" t="str">
        <f aca="false">IF($BX456&lt;&gt;Constants!$B$6,"",IF(OR($BS456&lt;$BH456,AND($BS456=$BH456,OR($BT456&lt;$BI456,AND($BT456=$BI456,OR($BU456&lt;$BJ456,AND($BU456=$BJ456,AND(ISNUMBER($BV456),OR(NOT(ISNUMBER($BK456)),$BV456&lt;$BK456)))))))),"-&gt;","&lt;-"))</f>
        <v/>
      </c>
      <c r="BM456" s="134" t="str">
        <f aca="false">IF(ISBLANK($C456),"",AND($AT456,OR($AU456="",$AV456="",AND($AW456,$AX456=""))))</f>
        <v/>
      </c>
      <c r="BN456" s="137" t="str">
        <f aca="false">IF($BX456&lt;&gt;Constants!$B$6,"",IF($AT456,Constants!$B$17*$AV456+Constants!$B$18*IF($AW456,$AX456,Constants!$B$19),Constants!$B$20))</f>
        <v/>
      </c>
      <c r="BO456" s="138" t="str">
        <f aca="false">IF($BX456&lt;&gt;Constants!$B$6,"",Constants!$B$21*ABS($AD$9-IF($AT456,$AU456,0)))</f>
        <v/>
      </c>
      <c r="BP456" s="138" t="str">
        <f aca="false">IF($BX456&lt;&gt;Constants!$B$6,"",IF(AND($AT456,$AY456,$AW456),Constants!$B$22,0))</f>
        <v/>
      </c>
      <c r="BQ456" s="138" t="str">
        <f aca="false">IF($BX456&lt;&gt;Constants!$B$6,"",IF($AT456,($AI456-Constants!$B$24)*Constants!$B$23,0))</f>
        <v/>
      </c>
      <c r="BR456" s="138" t="str">
        <f aca="false">IF($BX456&lt;&gt;Constants!$B$6,"",IF($AS456,0,Constants!$B$12)+IF($AR456,0,Constants!$B$13)+IF($AH456,0,Constants!$B$14))</f>
        <v/>
      </c>
      <c r="BS456" s="139" t="str">
        <f aca="false">IF($BX456&lt;&gt;Constants!$B$6,"",Constants!$B$16+SUM($BN456:$BR456))</f>
        <v/>
      </c>
      <c r="BT456" s="138" t="str">
        <f aca="false">IF($BX456&lt;&gt;Constants!$B$6,"",$BN456)</f>
        <v/>
      </c>
      <c r="BU456" s="138" t="str">
        <f aca="false">IF($BX456&lt;&gt;Constants!$B$6,"",$BO456)</f>
        <v/>
      </c>
      <c r="BV456" s="140" t="str">
        <f aca="false">IF($BX456&lt;&gt;Constants!$B$6,"",IF($AT456,$AV456,""))</f>
        <v/>
      </c>
      <c r="BW456" s="135" t="str">
        <f aca="false">IF(ISBLANK($C456),"",IF(ISBLANK($D$7),$BW$5,IF(NOT(ISNUMBER($D$7)),$BW$6,"")))</f>
        <v/>
      </c>
      <c r="BX456" s="135" t="str">
        <f aca="false">IF(ISBLANK($C456),"",IF($BA456,Constants!$B$9,IF(COUNTA($E456:$AA456)=0,Constants!$B$8,IF(NOT($AG456),Constants!$B$7,IF(OR($BW456&lt;&gt;"",$BB456,$BM456),Constants!$B$10,Constants!$B$6)))))</f>
        <v/>
      </c>
      <c r="BY456" s="135" t="str">
        <f aca="false">IF(ISBLANK($C456),"",IF($BX456&lt;&gt;Constants!$B$6,$BX456,Constants!$B$11))</f>
        <v/>
      </c>
      <c r="BZ456" s="138" t="str">
        <f aca="false">IF($BX456&lt;&gt;Constants!$B$6,"",IF($BL456="-&gt;",$BS456,$BH456))</f>
        <v/>
      </c>
      <c r="CA456" s="138" t="str">
        <f aca="false">IF($BX456&lt;&gt;Constants!$B$6,"",IF($AF456,0,Constants!$B$15))</f>
        <v/>
      </c>
      <c r="CB456" s="138" t="str">
        <f aca="false">IF($BX456&lt;&gt;Constants!$B$6,"",((Constants!$B$25-$AZ456)-Constants!$B$25)/Constants!$B$26)</f>
        <v/>
      </c>
      <c r="CC456" s="138" t="str">
        <f aca="false">IF(ISBLANK($C456),"",IF($BX456&lt;&gt;Constants!$B$6,$BX456,SUM($BZ456:$CB456)))</f>
        <v/>
      </c>
      <c r="CD456" s="135" t="str">
        <f aca="false">IF(ISBLANK($C456),"",IF($BX456&lt;&gt;Constants!$B$6,$BX456,RANK($CC456,$CC$9:$CC$508,1)))</f>
        <v/>
      </c>
      <c r="CE456" s="138" t="str">
        <f aca="false">IF($BX456&lt;&gt;Constants!$B$6,"",IF($BL456="-&gt;",$BT456,$BI456))</f>
        <v/>
      </c>
      <c r="CF456" s="135" t="str">
        <f aca="false">IF(ISBLANK($C456),"",IF($BX456&lt;&gt;Constants!$B$6,$BX456,IF(ISNUMBER($CE456),RANK($CE456,$CE$9:$CE$508,1),COUNT($CE$9:$CE$508)+1)))</f>
        <v/>
      </c>
      <c r="CG456" s="138" t="str">
        <f aca="false">IF($BX456&lt;&gt;Constants!$B$6,"",IF($BL456="-&gt;",$BU456,$BJ456))</f>
        <v/>
      </c>
      <c r="CH456" s="135" t="str">
        <f aca="false">IF(ISBLANK($C456),"",IF($BX456&lt;&gt;Constants!$B$6,$BX456,IF(ISNUMBER($CG456),RANK($CG456,$CG$9:$CG$508,1),COUNT($CG$9:$CG$508)+1)))</f>
        <v/>
      </c>
      <c r="CI456" s="138" t="str">
        <f aca="false">IF($BX456&lt;&gt;Constants!$B$6,"",IF($BL456="-&gt;",$BV456,$BK456))</f>
        <v/>
      </c>
      <c r="CJ456" s="135" t="str">
        <f aca="false">IF(ISBLANK($C456),"",IF($BX456&lt;&gt;Constants!$B$6,$BX456,IF(ISNUMBER($CI456),RANK($CI456,$CI$9:$CI$508,1),COUNT($CI$9:$CI$508)+1)))</f>
        <v/>
      </c>
      <c r="CK456" s="138" t="str">
        <f aca="false">IF($BX456&lt;&gt;Constants!$B$6,"",$AI456)</f>
        <v/>
      </c>
      <c r="CL456" s="135" t="str">
        <f aca="false">IF(ISBLANK($C456),"",IF($BX456&lt;&gt;Constants!$B$6,$BX456,IF(ISNUMBER($CK456),RANK($CK456,$CK$9:$CK$508,1),COUNT($CK$9:$CK$508)+1)))</f>
        <v/>
      </c>
      <c r="CM456" s="135" t="str">
        <f aca="false">IF(ISBLANK($C456),"",IF($BX456&lt;&gt;Constants!$B$6,$BX456,COUNTIFS($CD$9:$CD$508,"&lt;"&amp;$CD456)+COUNTIFS($CD$9:$CD$508,$CD456,$CF$9:$CF$508,"&lt;"&amp;$CF456)+COUNTIFS($CD$9:$CD$508,$CD456,$CF$9:$CF$508,$CF456,$CH$9:$CH$508,"&lt;"&amp;$CH456)+COUNTIFS($CD$9:$CD$508,$CD456,$CF$9:$CF$508,$CF456,$CH$9:$CH$508,$CH456,$CJ$9:$CJ$508,"&lt;"&amp;$CJ456)+COUNTIFS($CD$9:$CD$508,$CD456,$CF$9:$CF$508,$CF456,$CH$9:$CH$508,$CH456,$CJ$9:$CJ$508,$CJ456,$CL$9:$CL$508,"&lt;"&amp;$CL456)+1))</f>
        <v/>
      </c>
      <c r="CN456" s="135" t="str">
        <f aca="false">IF(ISBLANK($C456),"",IF($BX456&lt;&gt;Constants!$B$6,$BX456,$CD456-$CM456))</f>
        <v/>
      </c>
      <c r="CO456" s="141"/>
      <c r="CP456" s="142"/>
      <c r="CQ456" s="143" t="str">
        <f aca="false">IF(ISBLANK($C456),"",IF($BX456=Constants!$B$10,$BW456,""))</f>
        <v/>
      </c>
      <c r="CR456" s="142" t="str">
        <f aca="false">IF(ISBLANK($C456),"",IF($BX456&lt;&gt;Constants!$B$6,"",IF($BL456="-&gt;",2,1)))</f>
        <v/>
      </c>
      <c r="CS456" s="144" t="str">
        <f aca="false">IF(ISBLANK($C456),"",IF($BX456&lt;&gt;Constants!$B$6,"",IF($BL456="-&gt;",$BN456,$BC456)))</f>
        <v/>
      </c>
      <c r="CT456" s="144" t="str">
        <f aca="false">IF(ISBLANK($C456),"",IF($BX456&lt;&gt;Constants!$B$6,"",IF($BL456="-&gt;",$BO456,$BD456)))</f>
        <v/>
      </c>
      <c r="CU456" s="144" t="str">
        <f aca="false">IF(ISBLANK($C456),"",IF($BX456&lt;&gt;Constants!$B$6,"",IF($BL456="-&gt;",$BP456+$BQ456,$BE456+$BF456)+$CB456))</f>
        <v/>
      </c>
      <c r="CV456" s="144" t="str">
        <f aca="false">IF(ISBLANK($C456),"",IF($BX456&lt;&gt;Constants!$B$6,"",IF($BL456="-&gt;",$BR456,$BG456)+$CA456))</f>
        <v/>
      </c>
      <c r="CW456" s="145" t="str">
        <f aca="false">IF(ISBLANK($C456),"",IF($BX456&lt;&gt;Constants!$B$6,$BX456,$CC456))</f>
        <v/>
      </c>
      <c r="CX456" s="146" t="str">
        <f aca="false">IF(ISBLANK($C456),"",$BY456)</f>
        <v/>
      </c>
      <c r="CY456" s="147" t="str">
        <f aca="false">IF(ISBLANK($C456),"",$CN456)</f>
        <v/>
      </c>
      <c r="CZ456" s="147" t="str">
        <f aca="false">IF(ISBLANK($C456),"",$CM456)</f>
        <v/>
      </c>
      <c r="DA456" s="148" t="str">
        <f aca="false">IF(ISBLANK($C456),"",IFERROR(_xlfn.SWITCH($CZ456,Constants!$B$9,COUNTA($C$9:$C$508)+2,Constants!$B$8,COUNTA($C$9:$C$508)+1,Constants!$B$7,COUNTA($C$9:$C$508)),$CZ456))</f>
        <v/>
      </c>
      <c r="DB456" s="9"/>
      <c r="DC456" s="149" t="n">
        <f aca="false">IF(OR(ISNUMBER($CZ456),$CZ456=Constants!$B$9,$CZ456=Constants!$B$7,$CZ456=Constants!$B$8),1,0)</f>
        <v>0</v>
      </c>
      <c r="DD456" s="149" t="n">
        <v>448</v>
      </c>
      <c r="DE456" s="149" t="str">
        <f aca="false">IF(ISBLANK($C456),"",IF(ISNUMBER($DA456),$DA456+ROW($B456)/1000,""))</f>
        <v/>
      </c>
      <c r="DF456" s="149" t="str">
        <f aca="false">IF(ISNUMBER($DE456),RANK($DE456,$DE$9:$DE$508,1),"")</f>
        <v/>
      </c>
      <c r="DG456" s="149" t="str">
        <f aca="false">IF(ISBLANK($C456),"",$B456)</f>
        <v/>
      </c>
      <c r="DH456" s="149" t="str">
        <f aca="false">IF(ISBLANK($C456),"",$C456)</f>
        <v/>
      </c>
      <c r="DI456" s="149" t="str">
        <f aca="false">IF(ISBLANK($C456),"",$D456)</f>
        <v/>
      </c>
      <c r="DJ456" s="150" t="str">
        <f aca="false">$CX456</f>
        <v/>
      </c>
      <c r="DK456" s="151" t="str">
        <f aca="false">$CW456</f>
        <v/>
      </c>
      <c r="DL456" s="149" t="str">
        <f aca="false">IF(ISBLANK($C456),"",$CZ456)</f>
        <v/>
      </c>
      <c r="DM456" s="152" t="str">
        <f aca="false">IF($DD456&gt;$DC$8,"",VLOOKUP($DD456,$DF$9:$DL$508,7,FALSE()))</f>
        <v/>
      </c>
      <c r="DN456" s="153" t="str">
        <f aca="false">IF($DD456&gt;$DC$8,"",VLOOKUP($DD456,$DF$9:$DL$508,2,FALSE()))</f>
        <v/>
      </c>
      <c r="DO456" s="153" t="str">
        <f aca="false">IF($DD456&gt;$DC$8,"",VLOOKUP($DD456,$DF$9:$DL$508,3,FALSE()))</f>
        <v/>
      </c>
      <c r="DP456" s="153" t="str">
        <f aca="false">IF($DD456&gt;$DC$8,"",VLOOKUP($DD456,$DF$9:$DL$508,4,FALSE()))</f>
        <v/>
      </c>
      <c r="DQ456" s="153" t="str">
        <f aca="false">IF($DD456&gt;$DC$8,"",VLOOKUP($DD456,$DF$9:$DL$508,5,FALSE()))</f>
        <v/>
      </c>
      <c r="DR456" s="154" t="str">
        <f aca="false">IF($DD456&gt;$DC$8,"",VLOOKUP($DD456,$DF$9:$DL$508,6,FALSE()))</f>
        <v/>
      </c>
      <c r="DS456" s="76"/>
    </row>
    <row r="457" customFormat="false" ht="15.75" hidden="false" customHeight="false" outlineLevel="0" collapsed="false">
      <c r="A457" s="9"/>
      <c r="B457" s="160"/>
      <c r="C457" s="161"/>
      <c r="D457" s="162"/>
      <c r="E457" s="180"/>
      <c r="F457" s="164"/>
      <c r="G457" s="165"/>
      <c r="H457" s="165"/>
      <c r="I457" s="181"/>
      <c r="J457" s="168"/>
      <c r="K457" s="128"/>
      <c r="L457" s="129"/>
      <c r="M457" s="130"/>
      <c r="N457" s="168"/>
      <c r="O457" s="168"/>
      <c r="P457" s="180"/>
      <c r="Q457" s="168"/>
      <c r="R457" s="168"/>
      <c r="S457" s="128"/>
      <c r="T457" s="130"/>
      <c r="U457" s="130"/>
      <c r="V457" s="168"/>
      <c r="W457" s="168"/>
      <c r="X457" s="180"/>
      <c r="Y457" s="168"/>
      <c r="Z457" s="169"/>
      <c r="AA457" s="168"/>
      <c r="AB457" s="134"/>
      <c r="AC457" s="135"/>
      <c r="AD457" s="135"/>
      <c r="AE457" s="135"/>
      <c r="AF457" s="135" t="str">
        <f aca="false">IF(ISBLANK($C457),"",IF(E457=Constants!$B$2,TRUE(),IF(E457=Constants!$B$3,FALSE(),TRUE())))</f>
        <v/>
      </c>
      <c r="AG457" s="135" t="str">
        <f aca="false">IF(ISBLANK($C457),"",IF(F457=Constants!$B$2,TRUE(),IF(F457=Constants!$B$3,FALSE(),TRUE())))</f>
        <v/>
      </c>
      <c r="AH457" s="135" t="str">
        <f aca="false">IF(ISBLANK($C457),"",IF(G457=Constants!$B$2,TRUE(),IF(G457=Constants!$B$3,FALSE(),TRUE())))</f>
        <v/>
      </c>
      <c r="AI457" s="135" t="str">
        <f aca="false">IF(ISBLANK($C457),"",IF(AND(ISNUMBER(H457),H457&gt;=0),H457,Constants!$B$24))</f>
        <v/>
      </c>
      <c r="AJ457" s="135" t="str">
        <f aca="false">IF(ISBLANK($C457),"",IF(I457=Constants!$B$2,TRUE(),IF(I457=Constants!$B$3,FALSE(),TRUE())))</f>
        <v/>
      </c>
      <c r="AK457" s="135" t="str">
        <f aca="false">IF(ISBLANK($C457),"",IF(J457=Constants!$B$2,TRUE(),IF(J457=Constants!$B$3,FALSE(),TRUE())))</f>
        <v/>
      </c>
      <c r="AL457" s="135" t="str">
        <f aca="false">IF(ISBLANK($C457),"",IF(K457=Constants!$B$4,TRUE(),IF(K457=Constants!$B$5,FALSE(),COUNTA(L457:P457)&gt;0)))</f>
        <v/>
      </c>
      <c r="AM457" s="136" t="str">
        <f aca="false">IF(ISBLANK($C457),"",IF(ISNUMBER(L457),IF(L457&gt;=0,L457,""),""))</f>
        <v/>
      </c>
      <c r="AN457" s="137" t="str">
        <f aca="false">IF(ISBLANK($C457),"",IF(ISNUMBER(M457),IF(M457&gt;=0,M457,""),""))</f>
        <v/>
      </c>
      <c r="AO457" s="137" t="str">
        <f aca="false">IF(ISBLANK($C457),"",IF(N457=Constants!$B$2,TRUE(),IF(N457=Constants!$B$3,FALSE(),TRUE())))</f>
        <v/>
      </c>
      <c r="AP457" s="135" t="str">
        <f aca="false">IF(ISBLANK($C457),"",IF(ISNUMBER(O457),IF(O457&gt;=0,O457,""),""))</f>
        <v/>
      </c>
      <c r="AQ457" s="135" t="str">
        <f aca="false">IF(ISBLANK($C457),"",IF(P457=Constants!$B$2,TRUE(),IF(P457=Constants!$B$3,FALSE(),FALSE())))</f>
        <v/>
      </c>
      <c r="AR457" s="135" t="str">
        <f aca="false">IF(ISBLANK($C457),"",IF(Q457=Constants!$B$2,TRUE(),IF(Q457=Constants!$B$3,FALSE(),TRUE())))</f>
        <v/>
      </c>
      <c r="AS457" s="135" t="str">
        <f aca="false">IF(ISBLANK($C457),"",IF(R457=Constants!$B$2,TRUE(),IF(R457=Constants!$B$3,FALSE(),TRUE())))</f>
        <v/>
      </c>
      <c r="AT457" s="135" t="str">
        <f aca="false">IF(ISBLANK($C457),"",IF(S457=Constants!$B$4,TRUE(),IF(S457=Constants!$B$5,FALSE(),COUNTA(T457:X457)&gt;0)))</f>
        <v/>
      </c>
      <c r="AU457" s="136" t="str">
        <f aca="false">IF(ISBLANK($C457),"",IF(ISNUMBER(T457),IF(T457&gt;=0,T457,""),""))</f>
        <v/>
      </c>
      <c r="AV457" s="137" t="str">
        <f aca="false">IF(ISBLANK($C457),"",IF(ISNUMBER(U457),IF(U457&gt;=0,U457,""),""))</f>
        <v/>
      </c>
      <c r="AW457" s="137" t="str">
        <f aca="false">IF(ISBLANK($C457),"",IF(V457=Constants!$B$2,TRUE(),IF(V457=Constants!$B$3,FALSE(),TRUE())))</f>
        <v/>
      </c>
      <c r="AX457" s="135" t="str">
        <f aca="false">IF(ISBLANK($C457),"",IF(ISNUMBER(W457),IF(W457&gt;=0,W457,""),""))</f>
        <v/>
      </c>
      <c r="AY457" s="135" t="str">
        <f aca="false">IF(ISBLANK($C457),"",IF(X457=Constants!$B$2,TRUE(),IF(X457=Constants!$B$3,FALSE(),FALSE())))</f>
        <v/>
      </c>
      <c r="AZ457" s="135" t="str">
        <f aca="false">IF(ISBLANK($C457),"",MIN(Constants!$B$25,MAX(0,IF(ISNUMBER(Y457),Y457*60,0)+IF(ISNUMBER(Z457),Z457,0))))</f>
        <v/>
      </c>
      <c r="BA457" s="135" t="str">
        <f aca="false">IF(ISBLANK($C457),"",IF(AA457=Constants!$B$2,TRUE(),IF(AA457=Constants!$B$3,FALSE(),FALSE())))</f>
        <v/>
      </c>
      <c r="BB457" s="134" t="str">
        <f aca="false">IF(ISBLANK($C457),"",AND($AL457,OR($AM457="",$AN457="",AND($AO457,$AP457=""))))</f>
        <v/>
      </c>
      <c r="BC457" s="137" t="str">
        <f aca="false">IF($BX457&lt;&gt;Constants!$B$6,"",IF($AL457,Constants!$B$17*$AN457+Constants!$B$18*IF($AO457,$AP457,Constants!$B$19),Constants!$B$20))</f>
        <v/>
      </c>
      <c r="BD457" s="138" t="str">
        <f aca="false">IF($BX457&lt;&gt;Constants!$B$6,"",Constants!$B$21*ABS($AD$9-IF($AL457,$AM457,0)))</f>
        <v/>
      </c>
      <c r="BE457" s="138" t="str">
        <f aca="false">IF($BX457&lt;&gt;Constants!$B$6,"",IF(AND($AL457,$AQ457,$AO457),Constants!$B$22,0))</f>
        <v/>
      </c>
      <c r="BF457" s="138" t="str">
        <f aca="false">IF($BX457&lt;&gt;Constants!$B$6,"",IF($AL457,($AI457-Constants!$B$24)*Constants!$B$23,0))</f>
        <v/>
      </c>
      <c r="BG457" s="138" t="str">
        <f aca="false">IF($BX457&lt;&gt;Constants!$B$6,"",IF($AK457,0,Constants!$B$12)+IF($AJ457,0,Constants!$B$13)+IF($AH457,0,Constants!$B$14))</f>
        <v/>
      </c>
      <c r="BH457" s="139" t="str">
        <f aca="false">IF($BX457&lt;&gt;Constants!$B$6,"",Constants!$B$16+SUM($BC457:$BG457))</f>
        <v/>
      </c>
      <c r="BI457" s="138" t="str">
        <f aca="false">IF($BX457&lt;&gt;Constants!$B$6,"",$BC457)</f>
        <v/>
      </c>
      <c r="BJ457" s="138" t="str">
        <f aca="false">IF($BX457&lt;&gt;Constants!$B$6,"",$BD457)</f>
        <v/>
      </c>
      <c r="BK457" s="140" t="str">
        <f aca="false">IF($BX457&lt;&gt;Constants!$B$6,"",IF($AL457,$AN457,""))</f>
        <v/>
      </c>
      <c r="BL457" s="135" t="str">
        <f aca="false">IF($BX457&lt;&gt;Constants!$B$6,"",IF(OR($BS457&lt;$BH457,AND($BS457=$BH457,OR($BT457&lt;$BI457,AND($BT457=$BI457,OR($BU457&lt;$BJ457,AND($BU457=$BJ457,AND(ISNUMBER($BV457),OR(NOT(ISNUMBER($BK457)),$BV457&lt;$BK457)))))))),"-&gt;","&lt;-"))</f>
        <v/>
      </c>
      <c r="BM457" s="134" t="str">
        <f aca="false">IF(ISBLANK($C457),"",AND($AT457,OR($AU457="",$AV457="",AND($AW457,$AX457=""))))</f>
        <v/>
      </c>
      <c r="BN457" s="137" t="str">
        <f aca="false">IF($BX457&lt;&gt;Constants!$B$6,"",IF($AT457,Constants!$B$17*$AV457+Constants!$B$18*IF($AW457,$AX457,Constants!$B$19),Constants!$B$20))</f>
        <v/>
      </c>
      <c r="BO457" s="138" t="str">
        <f aca="false">IF($BX457&lt;&gt;Constants!$B$6,"",Constants!$B$21*ABS($AD$9-IF($AT457,$AU457,0)))</f>
        <v/>
      </c>
      <c r="BP457" s="138" t="str">
        <f aca="false">IF($BX457&lt;&gt;Constants!$B$6,"",IF(AND($AT457,$AY457,$AW457),Constants!$B$22,0))</f>
        <v/>
      </c>
      <c r="BQ457" s="138" t="str">
        <f aca="false">IF($BX457&lt;&gt;Constants!$B$6,"",IF($AT457,($AI457-Constants!$B$24)*Constants!$B$23,0))</f>
        <v/>
      </c>
      <c r="BR457" s="138" t="str">
        <f aca="false">IF($BX457&lt;&gt;Constants!$B$6,"",IF($AS457,0,Constants!$B$12)+IF($AR457,0,Constants!$B$13)+IF($AH457,0,Constants!$B$14))</f>
        <v/>
      </c>
      <c r="BS457" s="139" t="str">
        <f aca="false">IF($BX457&lt;&gt;Constants!$B$6,"",Constants!$B$16+SUM($BN457:$BR457))</f>
        <v/>
      </c>
      <c r="BT457" s="138" t="str">
        <f aca="false">IF($BX457&lt;&gt;Constants!$B$6,"",$BN457)</f>
        <v/>
      </c>
      <c r="BU457" s="138" t="str">
        <f aca="false">IF($BX457&lt;&gt;Constants!$B$6,"",$BO457)</f>
        <v/>
      </c>
      <c r="BV457" s="140" t="str">
        <f aca="false">IF($BX457&lt;&gt;Constants!$B$6,"",IF($AT457,$AV457,""))</f>
        <v/>
      </c>
      <c r="BW457" s="135" t="str">
        <f aca="false">IF(ISBLANK($C457),"",IF(ISBLANK($D$7),$BW$5,IF(NOT(ISNUMBER($D$7)),$BW$6,"")))</f>
        <v/>
      </c>
      <c r="BX457" s="135" t="str">
        <f aca="false">IF(ISBLANK($C457),"",IF($BA457,Constants!$B$9,IF(COUNTA($E457:$AA457)=0,Constants!$B$8,IF(NOT($AG457),Constants!$B$7,IF(OR($BW457&lt;&gt;"",$BB457,$BM457),Constants!$B$10,Constants!$B$6)))))</f>
        <v/>
      </c>
      <c r="BY457" s="135" t="str">
        <f aca="false">IF(ISBLANK($C457),"",IF($BX457&lt;&gt;Constants!$B$6,$BX457,Constants!$B$11))</f>
        <v/>
      </c>
      <c r="BZ457" s="138" t="str">
        <f aca="false">IF($BX457&lt;&gt;Constants!$B$6,"",IF($BL457="-&gt;",$BS457,$BH457))</f>
        <v/>
      </c>
      <c r="CA457" s="138" t="str">
        <f aca="false">IF($BX457&lt;&gt;Constants!$B$6,"",IF($AF457,0,Constants!$B$15))</f>
        <v/>
      </c>
      <c r="CB457" s="138" t="str">
        <f aca="false">IF($BX457&lt;&gt;Constants!$B$6,"",((Constants!$B$25-$AZ457)-Constants!$B$25)/Constants!$B$26)</f>
        <v/>
      </c>
      <c r="CC457" s="138" t="str">
        <f aca="false">IF(ISBLANK($C457),"",IF($BX457&lt;&gt;Constants!$B$6,$BX457,SUM($BZ457:$CB457)))</f>
        <v/>
      </c>
      <c r="CD457" s="135" t="str">
        <f aca="false">IF(ISBLANK($C457),"",IF($BX457&lt;&gt;Constants!$B$6,$BX457,RANK($CC457,$CC$9:$CC$508,1)))</f>
        <v/>
      </c>
      <c r="CE457" s="138" t="str">
        <f aca="false">IF($BX457&lt;&gt;Constants!$B$6,"",IF($BL457="-&gt;",$BT457,$BI457))</f>
        <v/>
      </c>
      <c r="CF457" s="135" t="str">
        <f aca="false">IF(ISBLANK($C457),"",IF($BX457&lt;&gt;Constants!$B$6,$BX457,IF(ISNUMBER($CE457),RANK($CE457,$CE$9:$CE$508,1),COUNT($CE$9:$CE$508)+1)))</f>
        <v/>
      </c>
      <c r="CG457" s="138" t="str">
        <f aca="false">IF($BX457&lt;&gt;Constants!$B$6,"",IF($BL457="-&gt;",$BU457,$BJ457))</f>
        <v/>
      </c>
      <c r="CH457" s="135" t="str">
        <f aca="false">IF(ISBLANK($C457),"",IF($BX457&lt;&gt;Constants!$B$6,$BX457,IF(ISNUMBER($CG457),RANK($CG457,$CG$9:$CG$508,1),COUNT($CG$9:$CG$508)+1)))</f>
        <v/>
      </c>
      <c r="CI457" s="138" t="str">
        <f aca="false">IF($BX457&lt;&gt;Constants!$B$6,"",IF($BL457="-&gt;",$BV457,$BK457))</f>
        <v/>
      </c>
      <c r="CJ457" s="135" t="str">
        <f aca="false">IF(ISBLANK($C457),"",IF($BX457&lt;&gt;Constants!$B$6,$BX457,IF(ISNUMBER($CI457),RANK($CI457,$CI$9:$CI$508,1),COUNT($CI$9:$CI$508)+1)))</f>
        <v/>
      </c>
      <c r="CK457" s="138" t="str">
        <f aca="false">IF($BX457&lt;&gt;Constants!$B$6,"",$AI457)</f>
        <v/>
      </c>
      <c r="CL457" s="135" t="str">
        <f aca="false">IF(ISBLANK($C457),"",IF($BX457&lt;&gt;Constants!$B$6,$BX457,IF(ISNUMBER($CK457),RANK($CK457,$CK$9:$CK$508,1),COUNT($CK$9:$CK$508)+1)))</f>
        <v/>
      </c>
      <c r="CM457" s="135" t="str">
        <f aca="false">IF(ISBLANK($C457),"",IF($BX457&lt;&gt;Constants!$B$6,$BX457,COUNTIFS($CD$9:$CD$508,"&lt;"&amp;$CD457)+COUNTIFS($CD$9:$CD$508,$CD457,$CF$9:$CF$508,"&lt;"&amp;$CF457)+COUNTIFS($CD$9:$CD$508,$CD457,$CF$9:$CF$508,$CF457,$CH$9:$CH$508,"&lt;"&amp;$CH457)+COUNTIFS($CD$9:$CD$508,$CD457,$CF$9:$CF$508,$CF457,$CH$9:$CH$508,$CH457,$CJ$9:$CJ$508,"&lt;"&amp;$CJ457)+COUNTIFS($CD$9:$CD$508,$CD457,$CF$9:$CF$508,$CF457,$CH$9:$CH$508,$CH457,$CJ$9:$CJ$508,$CJ457,$CL$9:$CL$508,"&lt;"&amp;$CL457)+1))</f>
        <v/>
      </c>
      <c r="CN457" s="135" t="str">
        <f aca="false">IF(ISBLANK($C457),"",IF($BX457&lt;&gt;Constants!$B$6,$BX457,$CD457-$CM457))</f>
        <v/>
      </c>
      <c r="CO457" s="141"/>
      <c r="CP457" s="142"/>
      <c r="CQ457" s="143" t="str">
        <f aca="false">IF(ISBLANK($C457),"",IF($BX457=Constants!$B$10,$BW457,""))</f>
        <v/>
      </c>
      <c r="CR457" s="142" t="str">
        <f aca="false">IF(ISBLANK($C457),"",IF($BX457&lt;&gt;Constants!$B$6,"",IF($BL457="-&gt;",2,1)))</f>
        <v/>
      </c>
      <c r="CS457" s="144" t="str">
        <f aca="false">IF(ISBLANK($C457),"",IF($BX457&lt;&gt;Constants!$B$6,"",IF($BL457="-&gt;",$BN457,$BC457)))</f>
        <v/>
      </c>
      <c r="CT457" s="144" t="str">
        <f aca="false">IF(ISBLANK($C457),"",IF($BX457&lt;&gt;Constants!$B$6,"",IF($BL457="-&gt;",$BO457,$BD457)))</f>
        <v/>
      </c>
      <c r="CU457" s="144" t="str">
        <f aca="false">IF(ISBLANK($C457),"",IF($BX457&lt;&gt;Constants!$B$6,"",IF($BL457="-&gt;",$BP457+$BQ457,$BE457+$BF457)+$CB457))</f>
        <v/>
      </c>
      <c r="CV457" s="144" t="str">
        <f aca="false">IF(ISBLANK($C457),"",IF($BX457&lt;&gt;Constants!$B$6,"",IF($BL457="-&gt;",$BR457,$BG457)+$CA457))</f>
        <v/>
      </c>
      <c r="CW457" s="145" t="str">
        <f aca="false">IF(ISBLANK($C457),"",IF($BX457&lt;&gt;Constants!$B$6,$BX457,$CC457))</f>
        <v/>
      </c>
      <c r="CX457" s="146" t="str">
        <f aca="false">IF(ISBLANK($C457),"",$BY457)</f>
        <v/>
      </c>
      <c r="CY457" s="147" t="str">
        <f aca="false">IF(ISBLANK($C457),"",$CN457)</f>
        <v/>
      </c>
      <c r="CZ457" s="147" t="str">
        <f aca="false">IF(ISBLANK($C457),"",$CM457)</f>
        <v/>
      </c>
      <c r="DA457" s="148" t="str">
        <f aca="false">IF(ISBLANK($C457),"",IFERROR(_xlfn.SWITCH($CZ457,Constants!$B$9,COUNTA($C$9:$C$508)+2,Constants!$B$8,COUNTA($C$9:$C$508)+1,Constants!$B$7,COUNTA($C$9:$C$508)),$CZ457))</f>
        <v/>
      </c>
      <c r="DB457" s="9"/>
      <c r="DC457" s="149" t="n">
        <f aca="false">IF(OR(ISNUMBER($CZ457),$CZ457=Constants!$B$9,$CZ457=Constants!$B$7,$CZ457=Constants!$B$8),1,0)</f>
        <v>0</v>
      </c>
      <c r="DD457" s="149" t="n">
        <v>449</v>
      </c>
      <c r="DE457" s="149" t="str">
        <f aca="false">IF(ISBLANK($C457),"",IF(ISNUMBER($DA457),$DA457+ROW($B457)/1000,""))</f>
        <v/>
      </c>
      <c r="DF457" s="149" t="str">
        <f aca="false">IF(ISNUMBER($DE457),RANK($DE457,$DE$9:$DE$508,1),"")</f>
        <v/>
      </c>
      <c r="DG457" s="149" t="str">
        <f aca="false">IF(ISBLANK($C457),"",$B457)</f>
        <v/>
      </c>
      <c r="DH457" s="149" t="str">
        <f aca="false">IF(ISBLANK($C457),"",$C457)</f>
        <v/>
      </c>
      <c r="DI457" s="149" t="str">
        <f aca="false">IF(ISBLANK($C457),"",$D457)</f>
        <v/>
      </c>
      <c r="DJ457" s="150" t="str">
        <f aca="false">$CX457</f>
        <v/>
      </c>
      <c r="DK457" s="151" t="str">
        <f aca="false">$CW457</f>
        <v/>
      </c>
      <c r="DL457" s="149" t="str">
        <f aca="false">IF(ISBLANK($C457),"",$CZ457)</f>
        <v/>
      </c>
      <c r="DM457" s="152" t="str">
        <f aca="false">IF($DD457&gt;$DC$8,"",VLOOKUP($DD457,$DF$9:$DL$508,7,FALSE()))</f>
        <v/>
      </c>
      <c r="DN457" s="153" t="str">
        <f aca="false">IF($DD457&gt;$DC$8,"",VLOOKUP($DD457,$DF$9:$DL$508,2,FALSE()))</f>
        <v/>
      </c>
      <c r="DO457" s="153" t="str">
        <f aca="false">IF($DD457&gt;$DC$8,"",VLOOKUP($DD457,$DF$9:$DL$508,3,FALSE()))</f>
        <v/>
      </c>
      <c r="DP457" s="153" t="str">
        <f aca="false">IF($DD457&gt;$DC$8,"",VLOOKUP($DD457,$DF$9:$DL$508,4,FALSE()))</f>
        <v/>
      </c>
      <c r="DQ457" s="153" t="str">
        <f aca="false">IF($DD457&gt;$DC$8,"",VLOOKUP($DD457,$DF$9:$DL$508,5,FALSE()))</f>
        <v/>
      </c>
      <c r="DR457" s="154" t="str">
        <f aca="false">IF($DD457&gt;$DC$8,"",VLOOKUP($DD457,$DF$9:$DL$508,6,FALSE()))</f>
        <v/>
      </c>
      <c r="DS457" s="76"/>
    </row>
    <row r="458" customFormat="false" ht="15.75" hidden="false" customHeight="false" outlineLevel="0" collapsed="false">
      <c r="A458" s="9"/>
      <c r="B458" s="160"/>
      <c r="C458" s="161"/>
      <c r="D458" s="162"/>
      <c r="E458" s="180"/>
      <c r="F458" s="164"/>
      <c r="G458" s="165"/>
      <c r="H458" s="165"/>
      <c r="I458" s="181"/>
      <c r="J458" s="168"/>
      <c r="K458" s="128"/>
      <c r="L458" s="129"/>
      <c r="M458" s="130"/>
      <c r="N458" s="168"/>
      <c r="O458" s="168"/>
      <c r="P458" s="180"/>
      <c r="Q458" s="168"/>
      <c r="R458" s="168"/>
      <c r="S458" s="128"/>
      <c r="T458" s="130"/>
      <c r="U458" s="130"/>
      <c r="V458" s="168"/>
      <c r="W458" s="168"/>
      <c r="X458" s="180"/>
      <c r="Y458" s="168"/>
      <c r="Z458" s="169"/>
      <c r="AA458" s="168"/>
      <c r="AB458" s="134"/>
      <c r="AC458" s="135"/>
      <c r="AD458" s="135"/>
      <c r="AE458" s="135"/>
      <c r="AF458" s="135" t="str">
        <f aca="false">IF(ISBLANK($C458),"",IF(E458=Constants!$B$2,TRUE(),IF(E458=Constants!$B$3,FALSE(),TRUE())))</f>
        <v/>
      </c>
      <c r="AG458" s="135" t="str">
        <f aca="false">IF(ISBLANK($C458),"",IF(F458=Constants!$B$2,TRUE(),IF(F458=Constants!$B$3,FALSE(),TRUE())))</f>
        <v/>
      </c>
      <c r="AH458" s="135" t="str">
        <f aca="false">IF(ISBLANK($C458),"",IF(G458=Constants!$B$2,TRUE(),IF(G458=Constants!$B$3,FALSE(),TRUE())))</f>
        <v/>
      </c>
      <c r="AI458" s="135" t="str">
        <f aca="false">IF(ISBLANK($C458),"",IF(AND(ISNUMBER(H458),H458&gt;=0),H458,Constants!$B$24))</f>
        <v/>
      </c>
      <c r="AJ458" s="135" t="str">
        <f aca="false">IF(ISBLANK($C458),"",IF(I458=Constants!$B$2,TRUE(),IF(I458=Constants!$B$3,FALSE(),TRUE())))</f>
        <v/>
      </c>
      <c r="AK458" s="135" t="str">
        <f aca="false">IF(ISBLANK($C458),"",IF(J458=Constants!$B$2,TRUE(),IF(J458=Constants!$B$3,FALSE(),TRUE())))</f>
        <v/>
      </c>
      <c r="AL458" s="135" t="str">
        <f aca="false">IF(ISBLANK($C458),"",IF(K458=Constants!$B$4,TRUE(),IF(K458=Constants!$B$5,FALSE(),COUNTA(L458:P458)&gt;0)))</f>
        <v/>
      </c>
      <c r="AM458" s="136" t="str">
        <f aca="false">IF(ISBLANK($C458),"",IF(ISNUMBER(L458),IF(L458&gt;=0,L458,""),""))</f>
        <v/>
      </c>
      <c r="AN458" s="137" t="str">
        <f aca="false">IF(ISBLANK($C458),"",IF(ISNUMBER(M458),IF(M458&gt;=0,M458,""),""))</f>
        <v/>
      </c>
      <c r="AO458" s="137" t="str">
        <f aca="false">IF(ISBLANK($C458),"",IF(N458=Constants!$B$2,TRUE(),IF(N458=Constants!$B$3,FALSE(),TRUE())))</f>
        <v/>
      </c>
      <c r="AP458" s="135" t="str">
        <f aca="false">IF(ISBLANK($C458),"",IF(ISNUMBER(O458),IF(O458&gt;=0,O458,""),""))</f>
        <v/>
      </c>
      <c r="AQ458" s="135" t="str">
        <f aca="false">IF(ISBLANK($C458),"",IF(P458=Constants!$B$2,TRUE(),IF(P458=Constants!$B$3,FALSE(),FALSE())))</f>
        <v/>
      </c>
      <c r="AR458" s="135" t="str">
        <f aca="false">IF(ISBLANK($C458),"",IF(Q458=Constants!$B$2,TRUE(),IF(Q458=Constants!$B$3,FALSE(),TRUE())))</f>
        <v/>
      </c>
      <c r="AS458" s="135" t="str">
        <f aca="false">IF(ISBLANK($C458),"",IF(R458=Constants!$B$2,TRUE(),IF(R458=Constants!$B$3,FALSE(),TRUE())))</f>
        <v/>
      </c>
      <c r="AT458" s="135" t="str">
        <f aca="false">IF(ISBLANK($C458),"",IF(S458=Constants!$B$4,TRUE(),IF(S458=Constants!$B$5,FALSE(),COUNTA(T458:X458)&gt;0)))</f>
        <v/>
      </c>
      <c r="AU458" s="136" t="str">
        <f aca="false">IF(ISBLANK($C458),"",IF(ISNUMBER(T458),IF(T458&gt;=0,T458,""),""))</f>
        <v/>
      </c>
      <c r="AV458" s="137" t="str">
        <f aca="false">IF(ISBLANK($C458),"",IF(ISNUMBER(U458),IF(U458&gt;=0,U458,""),""))</f>
        <v/>
      </c>
      <c r="AW458" s="137" t="str">
        <f aca="false">IF(ISBLANK($C458),"",IF(V458=Constants!$B$2,TRUE(),IF(V458=Constants!$B$3,FALSE(),TRUE())))</f>
        <v/>
      </c>
      <c r="AX458" s="135" t="str">
        <f aca="false">IF(ISBLANK($C458),"",IF(ISNUMBER(W458),IF(W458&gt;=0,W458,""),""))</f>
        <v/>
      </c>
      <c r="AY458" s="135" t="str">
        <f aca="false">IF(ISBLANK($C458),"",IF(X458=Constants!$B$2,TRUE(),IF(X458=Constants!$B$3,FALSE(),FALSE())))</f>
        <v/>
      </c>
      <c r="AZ458" s="135" t="str">
        <f aca="false">IF(ISBLANK($C458),"",MIN(Constants!$B$25,MAX(0,IF(ISNUMBER(Y458),Y458*60,0)+IF(ISNUMBER(Z458),Z458,0))))</f>
        <v/>
      </c>
      <c r="BA458" s="135" t="str">
        <f aca="false">IF(ISBLANK($C458),"",IF(AA458=Constants!$B$2,TRUE(),IF(AA458=Constants!$B$3,FALSE(),FALSE())))</f>
        <v/>
      </c>
      <c r="BB458" s="134" t="str">
        <f aca="false">IF(ISBLANK($C458),"",AND($AL458,OR($AM458="",$AN458="",AND($AO458,$AP458=""))))</f>
        <v/>
      </c>
      <c r="BC458" s="137" t="str">
        <f aca="false">IF($BX458&lt;&gt;Constants!$B$6,"",IF($AL458,Constants!$B$17*$AN458+Constants!$B$18*IF($AO458,$AP458,Constants!$B$19),Constants!$B$20))</f>
        <v/>
      </c>
      <c r="BD458" s="138" t="str">
        <f aca="false">IF($BX458&lt;&gt;Constants!$B$6,"",Constants!$B$21*ABS($AD$9-IF($AL458,$AM458,0)))</f>
        <v/>
      </c>
      <c r="BE458" s="138" t="str">
        <f aca="false">IF($BX458&lt;&gt;Constants!$B$6,"",IF(AND($AL458,$AQ458,$AO458),Constants!$B$22,0))</f>
        <v/>
      </c>
      <c r="BF458" s="138" t="str">
        <f aca="false">IF($BX458&lt;&gt;Constants!$B$6,"",IF($AL458,($AI458-Constants!$B$24)*Constants!$B$23,0))</f>
        <v/>
      </c>
      <c r="BG458" s="138" t="str">
        <f aca="false">IF($BX458&lt;&gt;Constants!$B$6,"",IF($AK458,0,Constants!$B$12)+IF($AJ458,0,Constants!$B$13)+IF($AH458,0,Constants!$B$14))</f>
        <v/>
      </c>
      <c r="BH458" s="139" t="str">
        <f aca="false">IF($BX458&lt;&gt;Constants!$B$6,"",Constants!$B$16+SUM($BC458:$BG458))</f>
        <v/>
      </c>
      <c r="BI458" s="138" t="str">
        <f aca="false">IF($BX458&lt;&gt;Constants!$B$6,"",$BC458)</f>
        <v/>
      </c>
      <c r="BJ458" s="138" t="str">
        <f aca="false">IF($BX458&lt;&gt;Constants!$B$6,"",$BD458)</f>
        <v/>
      </c>
      <c r="BK458" s="140" t="str">
        <f aca="false">IF($BX458&lt;&gt;Constants!$B$6,"",IF($AL458,$AN458,""))</f>
        <v/>
      </c>
      <c r="BL458" s="135" t="str">
        <f aca="false">IF($BX458&lt;&gt;Constants!$B$6,"",IF(OR($BS458&lt;$BH458,AND($BS458=$BH458,OR($BT458&lt;$BI458,AND($BT458=$BI458,OR($BU458&lt;$BJ458,AND($BU458=$BJ458,AND(ISNUMBER($BV458),OR(NOT(ISNUMBER($BK458)),$BV458&lt;$BK458)))))))),"-&gt;","&lt;-"))</f>
        <v/>
      </c>
      <c r="BM458" s="134" t="str">
        <f aca="false">IF(ISBLANK($C458),"",AND($AT458,OR($AU458="",$AV458="",AND($AW458,$AX458=""))))</f>
        <v/>
      </c>
      <c r="BN458" s="137" t="str">
        <f aca="false">IF($BX458&lt;&gt;Constants!$B$6,"",IF($AT458,Constants!$B$17*$AV458+Constants!$B$18*IF($AW458,$AX458,Constants!$B$19),Constants!$B$20))</f>
        <v/>
      </c>
      <c r="BO458" s="138" t="str">
        <f aca="false">IF($BX458&lt;&gt;Constants!$B$6,"",Constants!$B$21*ABS($AD$9-IF($AT458,$AU458,0)))</f>
        <v/>
      </c>
      <c r="BP458" s="138" t="str">
        <f aca="false">IF($BX458&lt;&gt;Constants!$B$6,"",IF(AND($AT458,$AY458,$AW458),Constants!$B$22,0))</f>
        <v/>
      </c>
      <c r="BQ458" s="138" t="str">
        <f aca="false">IF($BX458&lt;&gt;Constants!$B$6,"",IF($AT458,($AI458-Constants!$B$24)*Constants!$B$23,0))</f>
        <v/>
      </c>
      <c r="BR458" s="138" t="str">
        <f aca="false">IF($BX458&lt;&gt;Constants!$B$6,"",IF($AS458,0,Constants!$B$12)+IF($AR458,0,Constants!$B$13)+IF($AH458,0,Constants!$B$14))</f>
        <v/>
      </c>
      <c r="BS458" s="139" t="str">
        <f aca="false">IF($BX458&lt;&gt;Constants!$B$6,"",Constants!$B$16+SUM($BN458:$BR458))</f>
        <v/>
      </c>
      <c r="BT458" s="138" t="str">
        <f aca="false">IF($BX458&lt;&gt;Constants!$B$6,"",$BN458)</f>
        <v/>
      </c>
      <c r="BU458" s="138" t="str">
        <f aca="false">IF($BX458&lt;&gt;Constants!$B$6,"",$BO458)</f>
        <v/>
      </c>
      <c r="BV458" s="140" t="str">
        <f aca="false">IF($BX458&lt;&gt;Constants!$B$6,"",IF($AT458,$AV458,""))</f>
        <v/>
      </c>
      <c r="BW458" s="135" t="str">
        <f aca="false">IF(ISBLANK($C458),"",IF(ISBLANK($D$7),$BW$5,IF(NOT(ISNUMBER($D$7)),$BW$6,"")))</f>
        <v/>
      </c>
      <c r="BX458" s="135" t="str">
        <f aca="false">IF(ISBLANK($C458),"",IF($BA458,Constants!$B$9,IF(COUNTA($E458:$AA458)=0,Constants!$B$8,IF(NOT($AG458),Constants!$B$7,IF(OR($BW458&lt;&gt;"",$BB458,$BM458),Constants!$B$10,Constants!$B$6)))))</f>
        <v/>
      </c>
      <c r="BY458" s="135" t="str">
        <f aca="false">IF(ISBLANK($C458),"",IF($BX458&lt;&gt;Constants!$B$6,$BX458,Constants!$B$11))</f>
        <v/>
      </c>
      <c r="BZ458" s="138" t="str">
        <f aca="false">IF($BX458&lt;&gt;Constants!$B$6,"",IF($BL458="-&gt;",$BS458,$BH458))</f>
        <v/>
      </c>
      <c r="CA458" s="138" t="str">
        <f aca="false">IF($BX458&lt;&gt;Constants!$B$6,"",IF($AF458,0,Constants!$B$15))</f>
        <v/>
      </c>
      <c r="CB458" s="138" t="str">
        <f aca="false">IF($BX458&lt;&gt;Constants!$B$6,"",((Constants!$B$25-$AZ458)-Constants!$B$25)/Constants!$B$26)</f>
        <v/>
      </c>
      <c r="CC458" s="138" t="str">
        <f aca="false">IF(ISBLANK($C458),"",IF($BX458&lt;&gt;Constants!$B$6,$BX458,SUM($BZ458:$CB458)))</f>
        <v/>
      </c>
      <c r="CD458" s="135" t="str">
        <f aca="false">IF(ISBLANK($C458),"",IF($BX458&lt;&gt;Constants!$B$6,$BX458,RANK($CC458,$CC$9:$CC$508,1)))</f>
        <v/>
      </c>
      <c r="CE458" s="138" t="str">
        <f aca="false">IF($BX458&lt;&gt;Constants!$B$6,"",IF($BL458="-&gt;",$BT458,$BI458))</f>
        <v/>
      </c>
      <c r="CF458" s="135" t="str">
        <f aca="false">IF(ISBLANK($C458),"",IF($BX458&lt;&gt;Constants!$B$6,$BX458,IF(ISNUMBER($CE458),RANK($CE458,$CE$9:$CE$508,1),COUNT($CE$9:$CE$508)+1)))</f>
        <v/>
      </c>
      <c r="CG458" s="138" t="str">
        <f aca="false">IF($BX458&lt;&gt;Constants!$B$6,"",IF($BL458="-&gt;",$BU458,$BJ458))</f>
        <v/>
      </c>
      <c r="CH458" s="135" t="str">
        <f aca="false">IF(ISBLANK($C458),"",IF($BX458&lt;&gt;Constants!$B$6,$BX458,IF(ISNUMBER($CG458),RANK($CG458,$CG$9:$CG$508,1),COUNT($CG$9:$CG$508)+1)))</f>
        <v/>
      </c>
      <c r="CI458" s="138" t="str">
        <f aca="false">IF($BX458&lt;&gt;Constants!$B$6,"",IF($BL458="-&gt;",$BV458,$BK458))</f>
        <v/>
      </c>
      <c r="CJ458" s="135" t="str">
        <f aca="false">IF(ISBLANK($C458),"",IF($BX458&lt;&gt;Constants!$B$6,$BX458,IF(ISNUMBER($CI458),RANK($CI458,$CI$9:$CI$508,1),COUNT($CI$9:$CI$508)+1)))</f>
        <v/>
      </c>
      <c r="CK458" s="138" t="str">
        <f aca="false">IF($BX458&lt;&gt;Constants!$B$6,"",$AI458)</f>
        <v/>
      </c>
      <c r="CL458" s="135" t="str">
        <f aca="false">IF(ISBLANK($C458),"",IF($BX458&lt;&gt;Constants!$B$6,$BX458,IF(ISNUMBER($CK458),RANK($CK458,$CK$9:$CK$508,1),COUNT($CK$9:$CK$508)+1)))</f>
        <v/>
      </c>
      <c r="CM458" s="135" t="str">
        <f aca="false">IF(ISBLANK($C458),"",IF($BX458&lt;&gt;Constants!$B$6,$BX458,COUNTIFS($CD$9:$CD$508,"&lt;"&amp;$CD458)+COUNTIFS($CD$9:$CD$508,$CD458,$CF$9:$CF$508,"&lt;"&amp;$CF458)+COUNTIFS($CD$9:$CD$508,$CD458,$CF$9:$CF$508,$CF458,$CH$9:$CH$508,"&lt;"&amp;$CH458)+COUNTIFS($CD$9:$CD$508,$CD458,$CF$9:$CF$508,$CF458,$CH$9:$CH$508,$CH458,$CJ$9:$CJ$508,"&lt;"&amp;$CJ458)+COUNTIFS($CD$9:$CD$508,$CD458,$CF$9:$CF$508,$CF458,$CH$9:$CH$508,$CH458,$CJ$9:$CJ$508,$CJ458,$CL$9:$CL$508,"&lt;"&amp;$CL458)+1))</f>
        <v/>
      </c>
      <c r="CN458" s="135" t="str">
        <f aca="false">IF(ISBLANK($C458),"",IF($BX458&lt;&gt;Constants!$B$6,$BX458,$CD458-$CM458))</f>
        <v/>
      </c>
      <c r="CO458" s="141"/>
      <c r="CP458" s="142"/>
      <c r="CQ458" s="143" t="str">
        <f aca="false">IF(ISBLANK($C458),"",IF($BX458=Constants!$B$10,$BW458,""))</f>
        <v/>
      </c>
      <c r="CR458" s="142" t="str">
        <f aca="false">IF(ISBLANK($C458),"",IF($BX458&lt;&gt;Constants!$B$6,"",IF($BL458="-&gt;",2,1)))</f>
        <v/>
      </c>
      <c r="CS458" s="144" t="str">
        <f aca="false">IF(ISBLANK($C458),"",IF($BX458&lt;&gt;Constants!$B$6,"",IF($BL458="-&gt;",$BN458,$BC458)))</f>
        <v/>
      </c>
      <c r="CT458" s="144" t="str">
        <f aca="false">IF(ISBLANK($C458),"",IF($BX458&lt;&gt;Constants!$B$6,"",IF($BL458="-&gt;",$BO458,$BD458)))</f>
        <v/>
      </c>
      <c r="CU458" s="144" t="str">
        <f aca="false">IF(ISBLANK($C458),"",IF($BX458&lt;&gt;Constants!$B$6,"",IF($BL458="-&gt;",$BP458+$BQ458,$BE458+$BF458)+$CB458))</f>
        <v/>
      </c>
      <c r="CV458" s="144" t="str">
        <f aca="false">IF(ISBLANK($C458),"",IF($BX458&lt;&gt;Constants!$B$6,"",IF($BL458="-&gt;",$BR458,$BG458)+$CA458))</f>
        <v/>
      </c>
      <c r="CW458" s="145" t="str">
        <f aca="false">IF(ISBLANK($C458),"",IF($BX458&lt;&gt;Constants!$B$6,$BX458,$CC458))</f>
        <v/>
      </c>
      <c r="CX458" s="146" t="str">
        <f aca="false">IF(ISBLANK($C458),"",$BY458)</f>
        <v/>
      </c>
      <c r="CY458" s="147" t="str">
        <f aca="false">IF(ISBLANK($C458),"",$CN458)</f>
        <v/>
      </c>
      <c r="CZ458" s="147" t="str">
        <f aca="false">IF(ISBLANK($C458),"",$CM458)</f>
        <v/>
      </c>
      <c r="DA458" s="148" t="str">
        <f aca="false">IF(ISBLANK($C458),"",IFERROR(_xlfn.SWITCH($CZ458,Constants!$B$9,COUNTA($C$9:$C$508)+2,Constants!$B$8,COUNTA($C$9:$C$508)+1,Constants!$B$7,COUNTA($C$9:$C$508)),$CZ458))</f>
        <v/>
      </c>
      <c r="DB458" s="9"/>
      <c r="DC458" s="149" t="n">
        <f aca="false">IF(OR(ISNUMBER($CZ458),$CZ458=Constants!$B$9,$CZ458=Constants!$B$7,$CZ458=Constants!$B$8),1,0)</f>
        <v>0</v>
      </c>
      <c r="DD458" s="149" t="n">
        <v>450</v>
      </c>
      <c r="DE458" s="149" t="str">
        <f aca="false">IF(ISBLANK($C458),"",IF(ISNUMBER($DA458),$DA458+ROW($B458)/1000,""))</f>
        <v/>
      </c>
      <c r="DF458" s="149" t="str">
        <f aca="false">IF(ISNUMBER($DE458),RANK($DE458,$DE$9:$DE$508,1),"")</f>
        <v/>
      </c>
      <c r="DG458" s="149" t="str">
        <f aca="false">IF(ISBLANK($C458),"",$B458)</f>
        <v/>
      </c>
      <c r="DH458" s="149" t="str">
        <f aca="false">IF(ISBLANK($C458),"",$C458)</f>
        <v/>
      </c>
      <c r="DI458" s="149" t="str">
        <f aca="false">IF(ISBLANK($C458),"",$D458)</f>
        <v/>
      </c>
      <c r="DJ458" s="150" t="str">
        <f aca="false">$CX458</f>
        <v/>
      </c>
      <c r="DK458" s="151" t="str">
        <f aca="false">$CW458</f>
        <v/>
      </c>
      <c r="DL458" s="149" t="str">
        <f aca="false">IF(ISBLANK($C458),"",$CZ458)</f>
        <v/>
      </c>
      <c r="DM458" s="152" t="str">
        <f aca="false">IF($DD458&gt;$DC$8,"",VLOOKUP($DD458,$DF$9:$DL$508,7,FALSE()))</f>
        <v/>
      </c>
      <c r="DN458" s="153" t="str">
        <f aca="false">IF($DD458&gt;$DC$8,"",VLOOKUP($DD458,$DF$9:$DL$508,2,FALSE()))</f>
        <v/>
      </c>
      <c r="DO458" s="153" t="str">
        <f aca="false">IF($DD458&gt;$DC$8,"",VLOOKUP($DD458,$DF$9:$DL$508,3,FALSE()))</f>
        <v/>
      </c>
      <c r="DP458" s="153" t="str">
        <f aca="false">IF($DD458&gt;$DC$8,"",VLOOKUP($DD458,$DF$9:$DL$508,4,FALSE()))</f>
        <v/>
      </c>
      <c r="DQ458" s="153" t="str">
        <f aca="false">IF($DD458&gt;$DC$8,"",VLOOKUP($DD458,$DF$9:$DL$508,5,FALSE()))</f>
        <v/>
      </c>
      <c r="DR458" s="154" t="str">
        <f aca="false">IF($DD458&gt;$DC$8,"",VLOOKUP($DD458,$DF$9:$DL$508,6,FALSE()))</f>
        <v/>
      </c>
      <c r="DS458" s="76"/>
    </row>
    <row r="459" customFormat="false" ht="15.75" hidden="false" customHeight="false" outlineLevel="0" collapsed="false">
      <c r="A459" s="9"/>
      <c r="B459" s="78"/>
      <c r="C459" s="79"/>
      <c r="D459" s="170"/>
      <c r="E459" s="178"/>
      <c r="F459" s="172"/>
      <c r="G459" s="173"/>
      <c r="H459" s="173"/>
      <c r="I459" s="179"/>
      <c r="J459" s="176"/>
      <c r="K459" s="86"/>
      <c r="L459" s="87"/>
      <c r="M459" s="88"/>
      <c r="N459" s="176"/>
      <c r="O459" s="176"/>
      <c r="P459" s="178"/>
      <c r="Q459" s="176"/>
      <c r="R459" s="176"/>
      <c r="S459" s="86"/>
      <c r="T459" s="88"/>
      <c r="U459" s="88"/>
      <c r="V459" s="176"/>
      <c r="W459" s="176"/>
      <c r="X459" s="178"/>
      <c r="Y459" s="176"/>
      <c r="Z459" s="177"/>
      <c r="AA459" s="176"/>
      <c r="AB459" s="92"/>
      <c r="AC459" s="93"/>
      <c r="AD459" s="93"/>
      <c r="AE459" s="93"/>
      <c r="AF459" s="93" t="str">
        <f aca="false">IF(ISBLANK($C459),"",IF(E459=Constants!$B$2,TRUE(),IF(E459=Constants!$B$3,FALSE(),TRUE())))</f>
        <v/>
      </c>
      <c r="AG459" s="93" t="str">
        <f aca="false">IF(ISBLANK($C459),"",IF(F459=Constants!$B$2,TRUE(),IF(F459=Constants!$B$3,FALSE(),TRUE())))</f>
        <v/>
      </c>
      <c r="AH459" s="93" t="str">
        <f aca="false">IF(ISBLANK($C459),"",IF(G459=Constants!$B$2,TRUE(),IF(G459=Constants!$B$3,FALSE(),TRUE())))</f>
        <v/>
      </c>
      <c r="AI459" s="93" t="str">
        <f aca="false">IF(ISBLANK($C459),"",IF(AND(ISNUMBER(H459),H459&gt;=0),H459,Constants!$B$24))</f>
        <v/>
      </c>
      <c r="AJ459" s="93" t="str">
        <f aca="false">IF(ISBLANK($C459),"",IF(I459=Constants!$B$2,TRUE(),IF(I459=Constants!$B$3,FALSE(),TRUE())))</f>
        <v/>
      </c>
      <c r="AK459" s="93" t="str">
        <f aca="false">IF(ISBLANK($C459),"",IF(J459=Constants!$B$2,TRUE(),IF(J459=Constants!$B$3,FALSE(),TRUE())))</f>
        <v/>
      </c>
      <c r="AL459" s="93" t="str">
        <f aca="false">IF(ISBLANK($C459),"",IF(K459=Constants!$B$4,TRUE(),IF(K459=Constants!$B$5,FALSE(),COUNTA(L459:P459)&gt;0)))</f>
        <v/>
      </c>
      <c r="AM459" s="95" t="str">
        <f aca="false">IF(ISBLANK($C459),"",IF(ISNUMBER(L459),IF(L459&gt;=0,L459,""),""))</f>
        <v/>
      </c>
      <c r="AN459" s="94" t="str">
        <f aca="false">IF(ISBLANK($C459),"",IF(ISNUMBER(M459),IF(M459&gt;=0,M459,""),""))</f>
        <v/>
      </c>
      <c r="AO459" s="94" t="str">
        <f aca="false">IF(ISBLANK($C459),"",IF(N459=Constants!$B$2,TRUE(),IF(N459=Constants!$B$3,FALSE(),TRUE())))</f>
        <v/>
      </c>
      <c r="AP459" s="93" t="str">
        <f aca="false">IF(ISBLANK($C459),"",IF(ISNUMBER(O459),IF(O459&gt;=0,O459,""),""))</f>
        <v/>
      </c>
      <c r="AQ459" s="93" t="str">
        <f aca="false">IF(ISBLANK($C459),"",IF(P459=Constants!$B$2,TRUE(),IF(P459=Constants!$B$3,FALSE(),FALSE())))</f>
        <v/>
      </c>
      <c r="AR459" s="93" t="str">
        <f aca="false">IF(ISBLANK($C459),"",IF(Q459=Constants!$B$2,TRUE(),IF(Q459=Constants!$B$3,FALSE(),TRUE())))</f>
        <v/>
      </c>
      <c r="AS459" s="93" t="str">
        <f aca="false">IF(ISBLANK($C459),"",IF(R459=Constants!$B$2,TRUE(),IF(R459=Constants!$B$3,FALSE(),TRUE())))</f>
        <v/>
      </c>
      <c r="AT459" s="93" t="str">
        <f aca="false">IF(ISBLANK($C459),"",IF(S459=Constants!$B$4,TRUE(),IF(S459=Constants!$B$5,FALSE(),COUNTA(T459:X459)&gt;0)))</f>
        <v/>
      </c>
      <c r="AU459" s="95" t="str">
        <f aca="false">IF(ISBLANK($C459),"",IF(ISNUMBER(T459),IF(T459&gt;=0,T459,""),""))</f>
        <v/>
      </c>
      <c r="AV459" s="94" t="str">
        <f aca="false">IF(ISBLANK($C459),"",IF(ISNUMBER(U459),IF(U459&gt;=0,U459,""),""))</f>
        <v/>
      </c>
      <c r="AW459" s="94" t="str">
        <f aca="false">IF(ISBLANK($C459),"",IF(V459=Constants!$B$2,TRUE(),IF(V459=Constants!$B$3,FALSE(),TRUE())))</f>
        <v/>
      </c>
      <c r="AX459" s="93" t="str">
        <f aca="false">IF(ISBLANK($C459),"",IF(ISNUMBER(W459),IF(W459&gt;=0,W459,""),""))</f>
        <v/>
      </c>
      <c r="AY459" s="93" t="str">
        <f aca="false">IF(ISBLANK($C459),"",IF(X459=Constants!$B$2,TRUE(),IF(X459=Constants!$B$3,FALSE(),FALSE())))</f>
        <v/>
      </c>
      <c r="AZ459" s="93" t="str">
        <f aca="false">IF(ISBLANK($C459),"",MIN(Constants!$B$25,MAX(0,IF(ISNUMBER(Y459),Y459*60,0)+IF(ISNUMBER(Z459),Z459,0))))</f>
        <v/>
      </c>
      <c r="BA459" s="93" t="str">
        <f aca="false">IF(ISBLANK($C459),"",IF(AA459=Constants!$B$2,TRUE(),IF(AA459=Constants!$B$3,FALSE(),FALSE())))</f>
        <v/>
      </c>
      <c r="BB459" s="92" t="str">
        <f aca="false">IF(ISBLANK($C459),"",AND($AL459,OR($AM459="",$AN459="",AND($AO459,$AP459=""))))</f>
        <v/>
      </c>
      <c r="BC459" s="94" t="str">
        <f aca="false">IF($BX459&lt;&gt;Constants!$B$6,"",IF($AL459,Constants!$B$17*$AN459+Constants!$B$18*IF($AO459,$AP459,Constants!$B$19),Constants!$B$20))</f>
        <v/>
      </c>
      <c r="BD459" s="97" t="str">
        <f aca="false">IF($BX459&lt;&gt;Constants!$B$6,"",Constants!$B$21*ABS($AD$9-IF($AL459,$AM459,0)))</f>
        <v/>
      </c>
      <c r="BE459" s="97" t="str">
        <f aca="false">IF($BX459&lt;&gt;Constants!$B$6,"",IF(AND($AL459,$AQ459,$AO459),Constants!$B$22,0))</f>
        <v/>
      </c>
      <c r="BF459" s="97" t="str">
        <f aca="false">IF($BX459&lt;&gt;Constants!$B$6,"",IF($AL459,($AI459-Constants!$B$24)*Constants!$B$23,0))</f>
        <v/>
      </c>
      <c r="BG459" s="97" t="str">
        <f aca="false">IF($BX459&lt;&gt;Constants!$B$6,"",IF($AK459,0,Constants!$B$12)+IF($AJ459,0,Constants!$B$13)+IF($AH459,0,Constants!$B$14))</f>
        <v/>
      </c>
      <c r="BH459" s="98" t="str">
        <f aca="false">IF($BX459&lt;&gt;Constants!$B$6,"",Constants!$B$16+SUM($BC459:$BG459))</f>
        <v/>
      </c>
      <c r="BI459" s="97" t="str">
        <f aca="false">IF($BX459&lt;&gt;Constants!$B$6,"",$BC459)</f>
        <v/>
      </c>
      <c r="BJ459" s="97" t="str">
        <f aca="false">IF($BX459&lt;&gt;Constants!$B$6,"",$BD459)</f>
        <v/>
      </c>
      <c r="BK459" s="99" t="str">
        <f aca="false">IF($BX459&lt;&gt;Constants!$B$6,"",IF($AL459,$AN459,""))</f>
        <v/>
      </c>
      <c r="BL459" s="93" t="str">
        <f aca="false">IF($BX459&lt;&gt;Constants!$B$6,"",IF(OR($BS459&lt;$BH459,AND($BS459=$BH459,OR($BT459&lt;$BI459,AND($BT459=$BI459,OR($BU459&lt;$BJ459,AND($BU459=$BJ459,AND(ISNUMBER($BV459),OR(NOT(ISNUMBER($BK459)),$BV459&lt;$BK459)))))))),"-&gt;","&lt;-"))</f>
        <v/>
      </c>
      <c r="BM459" s="92" t="str">
        <f aca="false">IF(ISBLANK($C459),"",AND($AT459,OR($AU459="",$AV459="",AND($AW459,$AX459=""))))</f>
        <v/>
      </c>
      <c r="BN459" s="94" t="str">
        <f aca="false">IF($BX459&lt;&gt;Constants!$B$6,"",IF($AT459,Constants!$B$17*$AV459+Constants!$B$18*IF($AW459,$AX459,Constants!$B$19),Constants!$B$20))</f>
        <v/>
      </c>
      <c r="BO459" s="97" t="str">
        <f aca="false">IF($BX459&lt;&gt;Constants!$B$6,"",Constants!$B$21*ABS($AD$9-IF($AT459,$AU459,0)))</f>
        <v/>
      </c>
      <c r="BP459" s="97" t="str">
        <f aca="false">IF($BX459&lt;&gt;Constants!$B$6,"",IF(AND($AT459,$AY459,$AW459),Constants!$B$22,0))</f>
        <v/>
      </c>
      <c r="BQ459" s="97" t="str">
        <f aca="false">IF($BX459&lt;&gt;Constants!$B$6,"",IF($AT459,($AI459-Constants!$B$24)*Constants!$B$23,0))</f>
        <v/>
      </c>
      <c r="BR459" s="97" t="str">
        <f aca="false">IF($BX459&lt;&gt;Constants!$B$6,"",IF($AS459,0,Constants!$B$12)+IF($AR459,0,Constants!$B$13)+IF($AH459,0,Constants!$B$14))</f>
        <v/>
      </c>
      <c r="BS459" s="98" t="str">
        <f aca="false">IF($BX459&lt;&gt;Constants!$B$6,"",Constants!$B$16+SUM($BN459:$BR459))</f>
        <v/>
      </c>
      <c r="BT459" s="97" t="str">
        <f aca="false">IF($BX459&lt;&gt;Constants!$B$6,"",$BN459)</f>
        <v/>
      </c>
      <c r="BU459" s="97" t="str">
        <f aca="false">IF($BX459&lt;&gt;Constants!$B$6,"",$BO459)</f>
        <v/>
      </c>
      <c r="BV459" s="99" t="str">
        <f aca="false">IF($BX459&lt;&gt;Constants!$B$6,"",IF($AT459,$AV459,""))</f>
        <v/>
      </c>
      <c r="BW459" s="93" t="str">
        <f aca="false">IF(ISBLANK($C459),"",IF(ISBLANK($D$7),$BW$5,IF(NOT(ISNUMBER($D$7)),$BW$6,"")))</f>
        <v/>
      </c>
      <c r="BX459" s="93" t="str">
        <f aca="false">IF(ISBLANK($C459),"",IF($BA459,Constants!$B$9,IF(COUNTA($E459:$AA459)=0,Constants!$B$8,IF(NOT($AG459),Constants!$B$7,IF(OR($BW459&lt;&gt;"",$BB459,$BM459),Constants!$B$10,Constants!$B$6)))))</f>
        <v/>
      </c>
      <c r="BY459" s="93" t="str">
        <f aca="false">IF(ISBLANK($C459),"",IF($BX459&lt;&gt;Constants!$B$6,$BX459,Constants!$B$11))</f>
        <v/>
      </c>
      <c r="BZ459" s="97" t="str">
        <f aca="false">IF($BX459&lt;&gt;Constants!$B$6,"",IF($BL459="-&gt;",$BS459,$BH459))</f>
        <v/>
      </c>
      <c r="CA459" s="97" t="str">
        <f aca="false">IF($BX459&lt;&gt;Constants!$B$6,"",IF($AF459,0,Constants!$B$15))</f>
        <v/>
      </c>
      <c r="CB459" s="97" t="str">
        <f aca="false">IF($BX459&lt;&gt;Constants!$B$6,"",((Constants!$B$25-$AZ459)-Constants!$B$25)/Constants!$B$26)</f>
        <v/>
      </c>
      <c r="CC459" s="97" t="str">
        <f aca="false">IF(ISBLANK($C459),"",IF($BX459&lt;&gt;Constants!$B$6,$BX459,SUM($BZ459:$CB459)))</f>
        <v/>
      </c>
      <c r="CD459" s="93" t="str">
        <f aca="false">IF(ISBLANK($C459),"",IF($BX459&lt;&gt;Constants!$B$6,$BX459,RANK($CC459,$CC$9:$CC$508,1)))</f>
        <v/>
      </c>
      <c r="CE459" s="97" t="str">
        <f aca="false">IF($BX459&lt;&gt;Constants!$B$6,"",IF($BL459="-&gt;",$BT459,$BI459))</f>
        <v/>
      </c>
      <c r="CF459" s="93" t="str">
        <f aca="false">IF(ISBLANK($C459),"",IF($BX459&lt;&gt;Constants!$B$6,$BX459,IF(ISNUMBER($CE459),RANK($CE459,$CE$9:$CE$508,1),COUNT($CE$9:$CE$508)+1)))</f>
        <v/>
      </c>
      <c r="CG459" s="97" t="str">
        <f aca="false">IF($BX459&lt;&gt;Constants!$B$6,"",IF($BL459="-&gt;",$BU459,$BJ459))</f>
        <v/>
      </c>
      <c r="CH459" s="93" t="str">
        <f aca="false">IF(ISBLANK($C459),"",IF($BX459&lt;&gt;Constants!$B$6,$BX459,IF(ISNUMBER($CG459),RANK($CG459,$CG$9:$CG$508,1),COUNT($CG$9:$CG$508)+1)))</f>
        <v/>
      </c>
      <c r="CI459" s="97" t="str">
        <f aca="false">IF($BX459&lt;&gt;Constants!$B$6,"",IF($BL459="-&gt;",$BV459,$BK459))</f>
        <v/>
      </c>
      <c r="CJ459" s="93" t="str">
        <f aca="false">IF(ISBLANK($C459),"",IF($BX459&lt;&gt;Constants!$B$6,$BX459,IF(ISNUMBER($CI459),RANK($CI459,$CI$9:$CI$508,1),COUNT($CI$9:$CI$508)+1)))</f>
        <v/>
      </c>
      <c r="CK459" s="97" t="str">
        <f aca="false">IF($BX459&lt;&gt;Constants!$B$6,"",$AI459)</f>
        <v/>
      </c>
      <c r="CL459" s="93" t="str">
        <f aca="false">IF(ISBLANK($C459),"",IF($BX459&lt;&gt;Constants!$B$6,$BX459,IF(ISNUMBER($CK459),RANK($CK459,$CK$9:$CK$508,1),COUNT($CK$9:$CK$508)+1)))</f>
        <v/>
      </c>
      <c r="CM459" s="93" t="str">
        <f aca="false">IF(ISBLANK($C459),"",IF($BX459&lt;&gt;Constants!$B$6,$BX459,COUNTIFS($CD$9:$CD$508,"&lt;"&amp;$CD459)+COUNTIFS($CD$9:$CD$508,$CD459,$CF$9:$CF$508,"&lt;"&amp;$CF459)+COUNTIFS($CD$9:$CD$508,$CD459,$CF$9:$CF$508,$CF459,$CH$9:$CH$508,"&lt;"&amp;$CH459)+COUNTIFS($CD$9:$CD$508,$CD459,$CF$9:$CF$508,$CF459,$CH$9:$CH$508,$CH459,$CJ$9:$CJ$508,"&lt;"&amp;$CJ459)+COUNTIFS($CD$9:$CD$508,$CD459,$CF$9:$CF$508,$CF459,$CH$9:$CH$508,$CH459,$CJ$9:$CJ$508,$CJ459,$CL$9:$CL$508,"&lt;"&amp;$CL459)+1))</f>
        <v/>
      </c>
      <c r="CN459" s="93" t="str">
        <f aca="false">IF(ISBLANK($C459),"",IF($BX459&lt;&gt;Constants!$B$6,$BX459,$CD459-$CM459))</f>
        <v/>
      </c>
      <c r="CO459" s="100"/>
      <c r="CP459" s="101"/>
      <c r="CQ459" s="102" t="str">
        <f aca="false">IF(ISBLANK($C459),"",IF($BX459=Constants!$B$10,$BW459,""))</f>
        <v/>
      </c>
      <c r="CR459" s="101" t="str">
        <f aca="false">IF(ISBLANK($C459),"",IF($BX459&lt;&gt;Constants!$B$6,"",IF($BL459="-&gt;",2,1)))</f>
        <v/>
      </c>
      <c r="CS459" s="103" t="str">
        <f aca="false">IF(ISBLANK($C459),"",IF($BX459&lt;&gt;Constants!$B$6,"",IF($BL459="-&gt;",$BN459,$BC459)))</f>
        <v/>
      </c>
      <c r="CT459" s="103" t="str">
        <f aca="false">IF(ISBLANK($C459),"",IF($BX459&lt;&gt;Constants!$B$6,"",IF($BL459="-&gt;",$BO459,$BD459)))</f>
        <v/>
      </c>
      <c r="CU459" s="103" t="str">
        <f aca="false">IF(ISBLANK($C459),"",IF($BX459&lt;&gt;Constants!$B$6,"",IF($BL459="-&gt;",$BP459+$BQ459,$BE459+$BF459)+$CB459))</f>
        <v/>
      </c>
      <c r="CV459" s="103" t="str">
        <f aca="false">IF(ISBLANK($C459),"",IF($BX459&lt;&gt;Constants!$B$6,"",IF($BL459="-&gt;",$BR459,$BG459)+$CA459))</f>
        <v/>
      </c>
      <c r="CW459" s="104" t="str">
        <f aca="false">IF(ISBLANK($C459),"",IF($BX459&lt;&gt;Constants!$B$6,$BX459,$CC459))</f>
        <v/>
      </c>
      <c r="CX459" s="105" t="str">
        <f aca="false">IF(ISBLANK($C459),"",$BY459)</f>
        <v/>
      </c>
      <c r="CY459" s="106" t="str">
        <f aca="false">IF(ISBLANK($C459),"",$CN459)</f>
        <v/>
      </c>
      <c r="CZ459" s="106" t="str">
        <f aca="false">IF(ISBLANK($C459),"",$CM459)</f>
        <v/>
      </c>
      <c r="DA459" s="107" t="str">
        <f aca="false">IF(ISBLANK($C459),"",IFERROR(_xlfn.SWITCH($CZ459,Constants!$B$9,COUNTA($C$9:$C$508)+2,Constants!$B$8,COUNTA($C$9:$C$508)+1,Constants!$B$7,COUNTA($C$9:$C$508)),$CZ459))</f>
        <v/>
      </c>
      <c r="DB459" s="9"/>
      <c r="DC459" s="108" t="n">
        <f aca="false">IF(OR(ISNUMBER($CZ459),$CZ459=Constants!$B$9,$CZ459=Constants!$B$7,$CZ459=Constants!$B$8),1,0)</f>
        <v>0</v>
      </c>
      <c r="DD459" s="108" t="n">
        <v>451</v>
      </c>
      <c r="DE459" s="108" t="str">
        <f aca="false">IF(ISBLANK($C459),"",IF(ISNUMBER($DA459),$DA459+ROW($B459)/1000,""))</f>
        <v/>
      </c>
      <c r="DF459" s="108" t="str">
        <f aca="false">IF(ISNUMBER($DE459),RANK($DE459,$DE$9:$DE$508,1),"")</f>
        <v/>
      </c>
      <c r="DG459" s="108" t="str">
        <f aca="false">IF(ISBLANK($C459),"",$B459)</f>
        <v/>
      </c>
      <c r="DH459" s="108" t="str">
        <f aca="false">IF(ISBLANK($C459),"",$C459)</f>
        <v/>
      </c>
      <c r="DI459" s="108" t="str">
        <f aca="false">IF(ISBLANK($C459),"",$D459)</f>
        <v/>
      </c>
      <c r="DJ459" s="109" t="str">
        <f aca="false">$CX459</f>
        <v/>
      </c>
      <c r="DK459" s="110" t="str">
        <f aca="false">$CW459</f>
        <v/>
      </c>
      <c r="DL459" s="108" t="str">
        <f aca="false">IF(ISBLANK($C459),"",$CZ459)</f>
        <v/>
      </c>
      <c r="DM459" s="111" t="str">
        <f aca="false">IF($DD459&gt;$DC$8,"",VLOOKUP($DD459,$DF$9:$DL$508,7,FALSE()))</f>
        <v/>
      </c>
      <c r="DN459" s="112" t="str">
        <f aca="false">IF($DD459&gt;$DC$8,"",VLOOKUP($DD459,$DF$9:$DL$508,2,FALSE()))</f>
        <v/>
      </c>
      <c r="DO459" s="112" t="str">
        <f aca="false">IF($DD459&gt;$DC$8,"",VLOOKUP($DD459,$DF$9:$DL$508,3,FALSE()))</f>
        <v/>
      </c>
      <c r="DP459" s="112" t="str">
        <f aca="false">IF($DD459&gt;$DC$8,"",VLOOKUP($DD459,$DF$9:$DL$508,4,FALSE()))</f>
        <v/>
      </c>
      <c r="DQ459" s="112" t="str">
        <f aca="false">IF($DD459&gt;$DC$8,"",VLOOKUP($DD459,$DF$9:$DL$508,5,FALSE()))</f>
        <v/>
      </c>
      <c r="DR459" s="113" t="str">
        <f aca="false">IF($DD459&gt;$DC$8,"",VLOOKUP($DD459,$DF$9:$DL$508,6,FALSE()))</f>
        <v/>
      </c>
      <c r="DS459" s="76"/>
    </row>
    <row r="460" customFormat="false" ht="15.75" hidden="false" customHeight="false" outlineLevel="0" collapsed="false">
      <c r="A460" s="9"/>
      <c r="B460" s="78"/>
      <c r="C460" s="79"/>
      <c r="D460" s="170"/>
      <c r="E460" s="178"/>
      <c r="F460" s="172"/>
      <c r="G460" s="173"/>
      <c r="H460" s="173"/>
      <c r="I460" s="179"/>
      <c r="J460" s="176"/>
      <c r="K460" s="86"/>
      <c r="L460" s="87"/>
      <c r="M460" s="88"/>
      <c r="N460" s="176"/>
      <c r="O460" s="176"/>
      <c r="P460" s="178"/>
      <c r="Q460" s="176"/>
      <c r="R460" s="176"/>
      <c r="S460" s="86"/>
      <c r="T460" s="88"/>
      <c r="U460" s="88"/>
      <c r="V460" s="176"/>
      <c r="W460" s="176"/>
      <c r="X460" s="178"/>
      <c r="Y460" s="176"/>
      <c r="Z460" s="177"/>
      <c r="AA460" s="176"/>
      <c r="AB460" s="92"/>
      <c r="AC460" s="93"/>
      <c r="AD460" s="93"/>
      <c r="AE460" s="93"/>
      <c r="AF460" s="93" t="str">
        <f aca="false">IF(ISBLANK($C460),"",IF(E460=Constants!$B$2,TRUE(),IF(E460=Constants!$B$3,FALSE(),TRUE())))</f>
        <v/>
      </c>
      <c r="AG460" s="93" t="str">
        <f aca="false">IF(ISBLANK($C460),"",IF(F460=Constants!$B$2,TRUE(),IF(F460=Constants!$B$3,FALSE(),TRUE())))</f>
        <v/>
      </c>
      <c r="AH460" s="93" t="str">
        <f aca="false">IF(ISBLANK($C460),"",IF(G460=Constants!$B$2,TRUE(),IF(G460=Constants!$B$3,FALSE(),TRUE())))</f>
        <v/>
      </c>
      <c r="AI460" s="93" t="str">
        <f aca="false">IF(ISBLANK($C460),"",IF(AND(ISNUMBER(H460),H460&gt;=0),H460,Constants!$B$24))</f>
        <v/>
      </c>
      <c r="AJ460" s="93" t="str">
        <f aca="false">IF(ISBLANK($C460),"",IF(I460=Constants!$B$2,TRUE(),IF(I460=Constants!$B$3,FALSE(),TRUE())))</f>
        <v/>
      </c>
      <c r="AK460" s="93" t="str">
        <f aca="false">IF(ISBLANK($C460),"",IF(J460=Constants!$B$2,TRUE(),IF(J460=Constants!$B$3,FALSE(),TRUE())))</f>
        <v/>
      </c>
      <c r="AL460" s="93" t="str">
        <f aca="false">IF(ISBLANK($C460),"",IF(K460=Constants!$B$4,TRUE(),IF(K460=Constants!$B$5,FALSE(),COUNTA(L460:P460)&gt;0)))</f>
        <v/>
      </c>
      <c r="AM460" s="95" t="str">
        <f aca="false">IF(ISBLANK($C460),"",IF(ISNUMBER(L460),IF(L460&gt;=0,L460,""),""))</f>
        <v/>
      </c>
      <c r="AN460" s="94" t="str">
        <f aca="false">IF(ISBLANK($C460),"",IF(ISNUMBER(M460),IF(M460&gt;=0,M460,""),""))</f>
        <v/>
      </c>
      <c r="AO460" s="94" t="str">
        <f aca="false">IF(ISBLANK($C460),"",IF(N460=Constants!$B$2,TRUE(),IF(N460=Constants!$B$3,FALSE(),TRUE())))</f>
        <v/>
      </c>
      <c r="AP460" s="93" t="str">
        <f aca="false">IF(ISBLANK($C460),"",IF(ISNUMBER(O460),IF(O460&gt;=0,O460,""),""))</f>
        <v/>
      </c>
      <c r="AQ460" s="93" t="str">
        <f aca="false">IF(ISBLANK($C460),"",IF(P460=Constants!$B$2,TRUE(),IF(P460=Constants!$B$3,FALSE(),FALSE())))</f>
        <v/>
      </c>
      <c r="AR460" s="93" t="str">
        <f aca="false">IF(ISBLANK($C460),"",IF(Q460=Constants!$B$2,TRUE(),IF(Q460=Constants!$B$3,FALSE(),TRUE())))</f>
        <v/>
      </c>
      <c r="AS460" s="93" t="str">
        <f aca="false">IF(ISBLANK($C460),"",IF(R460=Constants!$B$2,TRUE(),IF(R460=Constants!$B$3,FALSE(),TRUE())))</f>
        <v/>
      </c>
      <c r="AT460" s="93" t="str">
        <f aca="false">IF(ISBLANK($C460),"",IF(S460=Constants!$B$4,TRUE(),IF(S460=Constants!$B$5,FALSE(),COUNTA(T460:X460)&gt;0)))</f>
        <v/>
      </c>
      <c r="AU460" s="95" t="str">
        <f aca="false">IF(ISBLANK($C460),"",IF(ISNUMBER(T460),IF(T460&gt;=0,T460,""),""))</f>
        <v/>
      </c>
      <c r="AV460" s="94" t="str">
        <f aca="false">IF(ISBLANK($C460),"",IF(ISNUMBER(U460),IF(U460&gt;=0,U460,""),""))</f>
        <v/>
      </c>
      <c r="AW460" s="94" t="str">
        <f aca="false">IF(ISBLANK($C460),"",IF(V460=Constants!$B$2,TRUE(),IF(V460=Constants!$B$3,FALSE(),TRUE())))</f>
        <v/>
      </c>
      <c r="AX460" s="93" t="str">
        <f aca="false">IF(ISBLANK($C460),"",IF(ISNUMBER(W460),IF(W460&gt;=0,W460,""),""))</f>
        <v/>
      </c>
      <c r="AY460" s="93" t="str">
        <f aca="false">IF(ISBLANK($C460),"",IF(X460=Constants!$B$2,TRUE(),IF(X460=Constants!$B$3,FALSE(),FALSE())))</f>
        <v/>
      </c>
      <c r="AZ460" s="93" t="str">
        <f aca="false">IF(ISBLANK($C460),"",MIN(Constants!$B$25,MAX(0,IF(ISNUMBER(Y460),Y460*60,0)+IF(ISNUMBER(Z460),Z460,0))))</f>
        <v/>
      </c>
      <c r="BA460" s="93" t="str">
        <f aca="false">IF(ISBLANK($C460),"",IF(AA460=Constants!$B$2,TRUE(),IF(AA460=Constants!$B$3,FALSE(),FALSE())))</f>
        <v/>
      </c>
      <c r="BB460" s="92" t="str">
        <f aca="false">IF(ISBLANK($C460),"",AND($AL460,OR($AM460="",$AN460="",AND($AO460,$AP460=""))))</f>
        <v/>
      </c>
      <c r="BC460" s="94" t="str">
        <f aca="false">IF($BX460&lt;&gt;Constants!$B$6,"",IF($AL460,Constants!$B$17*$AN460+Constants!$B$18*IF($AO460,$AP460,Constants!$B$19),Constants!$B$20))</f>
        <v/>
      </c>
      <c r="BD460" s="97" t="str">
        <f aca="false">IF($BX460&lt;&gt;Constants!$B$6,"",Constants!$B$21*ABS($AD$9-IF($AL460,$AM460,0)))</f>
        <v/>
      </c>
      <c r="BE460" s="97" t="str">
        <f aca="false">IF($BX460&lt;&gt;Constants!$B$6,"",IF(AND($AL460,$AQ460,$AO460),Constants!$B$22,0))</f>
        <v/>
      </c>
      <c r="BF460" s="97" t="str">
        <f aca="false">IF($BX460&lt;&gt;Constants!$B$6,"",IF($AL460,($AI460-Constants!$B$24)*Constants!$B$23,0))</f>
        <v/>
      </c>
      <c r="BG460" s="97" t="str">
        <f aca="false">IF($BX460&lt;&gt;Constants!$B$6,"",IF($AK460,0,Constants!$B$12)+IF($AJ460,0,Constants!$B$13)+IF($AH460,0,Constants!$B$14))</f>
        <v/>
      </c>
      <c r="BH460" s="98" t="str">
        <f aca="false">IF($BX460&lt;&gt;Constants!$B$6,"",Constants!$B$16+SUM($BC460:$BG460))</f>
        <v/>
      </c>
      <c r="BI460" s="97" t="str">
        <f aca="false">IF($BX460&lt;&gt;Constants!$B$6,"",$BC460)</f>
        <v/>
      </c>
      <c r="BJ460" s="97" t="str">
        <f aca="false">IF($BX460&lt;&gt;Constants!$B$6,"",$BD460)</f>
        <v/>
      </c>
      <c r="BK460" s="99" t="str">
        <f aca="false">IF($BX460&lt;&gt;Constants!$B$6,"",IF($AL460,$AN460,""))</f>
        <v/>
      </c>
      <c r="BL460" s="93" t="str">
        <f aca="false">IF($BX460&lt;&gt;Constants!$B$6,"",IF(OR($BS460&lt;$BH460,AND($BS460=$BH460,OR($BT460&lt;$BI460,AND($BT460=$BI460,OR($BU460&lt;$BJ460,AND($BU460=$BJ460,AND(ISNUMBER($BV460),OR(NOT(ISNUMBER($BK460)),$BV460&lt;$BK460)))))))),"-&gt;","&lt;-"))</f>
        <v/>
      </c>
      <c r="BM460" s="92" t="str">
        <f aca="false">IF(ISBLANK($C460),"",AND($AT460,OR($AU460="",$AV460="",AND($AW460,$AX460=""))))</f>
        <v/>
      </c>
      <c r="BN460" s="94" t="str">
        <f aca="false">IF($BX460&lt;&gt;Constants!$B$6,"",IF($AT460,Constants!$B$17*$AV460+Constants!$B$18*IF($AW460,$AX460,Constants!$B$19),Constants!$B$20))</f>
        <v/>
      </c>
      <c r="BO460" s="97" t="str">
        <f aca="false">IF($BX460&lt;&gt;Constants!$B$6,"",Constants!$B$21*ABS($AD$9-IF($AT460,$AU460,0)))</f>
        <v/>
      </c>
      <c r="BP460" s="97" t="str">
        <f aca="false">IF($BX460&lt;&gt;Constants!$B$6,"",IF(AND($AT460,$AY460,$AW460),Constants!$B$22,0))</f>
        <v/>
      </c>
      <c r="BQ460" s="97" t="str">
        <f aca="false">IF($BX460&lt;&gt;Constants!$B$6,"",IF($AT460,($AI460-Constants!$B$24)*Constants!$B$23,0))</f>
        <v/>
      </c>
      <c r="BR460" s="97" t="str">
        <f aca="false">IF($BX460&lt;&gt;Constants!$B$6,"",IF($AS460,0,Constants!$B$12)+IF($AR460,0,Constants!$B$13)+IF($AH460,0,Constants!$B$14))</f>
        <v/>
      </c>
      <c r="BS460" s="98" t="str">
        <f aca="false">IF($BX460&lt;&gt;Constants!$B$6,"",Constants!$B$16+SUM($BN460:$BR460))</f>
        <v/>
      </c>
      <c r="BT460" s="97" t="str">
        <f aca="false">IF($BX460&lt;&gt;Constants!$B$6,"",$BN460)</f>
        <v/>
      </c>
      <c r="BU460" s="97" t="str">
        <f aca="false">IF($BX460&lt;&gt;Constants!$B$6,"",$BO460)</f>
        <v/>
      </c>
      <c r="BV460" s="99" t="str">
        <f aca="false">IF($BX460&lt;&gt;Constants!$B$6,"",IF($AT460,$AV460,""))</f>
        <v/>
      </c>
      <c r="BW460" s="93" t="str">
        <f aca="false">IF(ISBLANK($C460),"",IF(ISBLANK($D$7),$BW$5,IF(NOT(ISNUMBER($D$7)),$BW$6,"")))</f>
        <v/>
      </c>
      <c r="BX460" s="93" t="str">
        <f aca="false">IF(ISBLANK($C460),"",IF($BA460,Constants!$B$9,IF(COUNTA($E460:$AA460)=0,Constants!$B$8,IF(NOT($AG460),Constants!$B$7,IF(OR($BW460&lt;&gt;"",$BB460,$BM460),Constants!$B$10,Constants!$B$6)))))</f>
        <v/>
      </c>
      <c r="BY460" s="93" t="str">
        <f aca="false">IF(ISBLANK($C460),"",IF($BX460&lt;&gt;Constants!$B$6,$BX460,Constants!$B$11))</f>
        <v/>
      </c>
      <c r="BZ460" s="97" t="str">
        <f aca="false">IF($BX460&lt;&gt;Constants!$B$6,"",IF($BL460="-&gt;",$BS460,$BH460))</f>
        <v/>
      </c>
      <c r="CA460" s="97" t="str">
        <f aca="false">IF($BX460&lt;&gt;Constants!$B$6,"",IF($AF460,0,Constants!$B$15))</f>
        <v/>
      </c>
      <c r="CB460" s="97" t="str">
        <f aca="false">IF($BX460&lt;&gt;Constants!$B$6,"",((Constants!$B$25-$AZ460)-Constants!$B$25)/Constants!$B$26)</f>
        <v/>
      </c>
      <c r="CC460" s="97" t="str">
        <f aca="false">IF(ISBLANK($C460),"",IF($BX460&lt;&gt;Constants!$B$6,$BX460,SUM($BZ460:$CB460)))</f>
        <v/>
      </c>
      <c r="CD460" s="93" t="str">
        <f aca="false">IF(ISBLANK($C460),"",IF($BX460&lt;&gt;Constants!$B$6,$BX460,RANK($CC460,$CC$9:$CC$508,1)))</f>
        <v/>
      </c>
      <c r="CE460" s="97" t="str">
        <f aca="false">IF($BX460&lt;&gt;Constants!$B$6,"",IF($BL460="-&gt;",$BT460,$BI460))</f>
        <v/>
      </c>
      <c r="CF460" s="93" t="str">
        <f aca="false">IF(ISBLANK($C460),"",IF($BX460&lt;&gt;Constants!$B$6,$BX460,IF(ISNUMBER($CE460),RANK($CE460,$CE$9:$CE$508,1),COUNT($CE$9:$CE$508)+1)))</f>
        <v/>
      </c>
      <c r="CG460" s="97" t="str">
        <f aca="false">IF($BX460&lt;&gt;Constants!$B$6,"",IF($BL460="-&gt;",$BU460,$BJ460))</f>
        <v/>
      </c>
      <c r="CH460" s="93" t="str">
        <f aca="false">IF(ISBLANK($C460),"",IF($BX460&lt;&gt;Constants!$B$6,$BX460,IF(ISNUMBER($CG460),RANK($CG460,$CG$9:$CG$508,1),COUNT($CG$9:$CG$508)+1)))</f>
        <v/>
      </c>
      <c r="CI460" s="97" t="str">
        <f aca="false">IF($BX460&lt;&gt;Constants!$B$6,"",IF($BL460="-&gt;",$BV460,$BK460))</f>
        <v/>
      </c>
      <c r="CJ460" s="93" t="str">
        <f aca="false">IF(ISBLANK($C460),"",IF($BX460&lt;&gt;Constants!$B$6,$BX460,IF(ISNUMBER($CI460),RANK($CI460,$CI$9:$CI$508,1),COUNT($CI$9:$CI$508)+1)))</f>
        <v/>
      </c>
      <c r="CK460" s="97" t="str">
        <f aca="false">IF($BX460&lt;&gt;Constants!$B$6,"",$AI460)</f>
        <v/>
      </c>
      <c r="CL460" s="93" t="str">
        <f aca="false">IF(ISBLANK($C460),"",IF($BX460&lt;&gt;Constants!$B$6,$BX460,IF(ISNUMBER($CK460),RANK($CK460,$CK$9:$CK$508,1),COUNT($CK$9:$CK$508)+1)))</f>
        <v/>
      </c>
      <c r="CM460" s="93" t="str">
        <f aca="false">IF(ISBLANK($C460),"",IF($BX460&lt;&gt;Constants!$B$6,$BX460,COUNTIFS($CD$9:$CD$508,"&lt;"&amp;$CD460)+COUNTIFS($CD$9:$CD$508,$CD460,$CF$9:$CF$508,"&lt;"&amp;$CF460)+COUNTIFS($CD$9:$CD$508,$CD460,$CF$9:$CF$508,$CF460,$CH$9:$CH$508,"&lt;"&amp;$CH460)+COUNTIFS($CD$9:$CD$508,$CD460,$CF$9:$CF$508,$CF460,$CH$9:$CH$508,$CH460,$CJ$9:$CJ$508,"&lt;"&amp;$CJ460)+COUNTIFS($CD$9:$CD$508,$CD460,$CF$9:$CF$508,$CF460,$CH$9:$CH$508,$CH460,$CJ$9:$CJ$508,$CJ460,$CL$9:$CL$508,"&lt;"&amp;$CL460)+1))</f>
        <v/>
      </c>
      <c r="CN460" s="93" t="str">
        <f aca="false">IF(ISBLANK($C460),"",IF($BX460&lt;&gt;Constants!$B$6,$BX460,$CD460-$CM460))</f>
        <v/>
      </c>
      <c r="CO460" s="100"/>
      <c r="CP460" s="101"/>
      <c r="CQ460" s="102" t="str">
        <f aca="false">IF(ISBLANK($C460),"",IF($BX460=Constants!$B$10,$BW460,""))</f>
        <v/>
      </c>
      <c r="CR460" s="101" t="str">
        <f aca="false">IF(ISBLANK($C460),"",IF($BX460&lt;&gt;Constants!$B$6,"",IF($BL460="-&gt;",2,1)))</f>
        <v/>
      </c>
      <c r="CS460" s="103" t="str">
        <f aca="false">IF(ISBLANK($C460),"",IF($BX460&lt;&gt;Constants!$B$6,"",IF($BL460="-&gt;",$BN460,$BC460)))</f>
        <v/>
      </c>
      <c r="CT460" s="103" t="str">
        <f aca="false">IF(ISBLANK($C460),"",IF($BX460&lt;&gt;Constants!$B$6,"",IF($BL460="-&gt;",$BO460,$BD460)))</f>
        <v/>
      </c>
      <c r="CU460" s="103" t="str">
        <f aca="false">IF(ISBLANK($C460),"",IF($BX460&lt;&gt;Constants!$B$6,"",IF($BL460="-&gt;",$BP460+$BQ460,$BE460+$BF460)+$CB460))</f>
        <v/>
      </c>
      <c r="CV460" s="103" t="str">
        <f aca="false">IF(ISBLANK($C460),"",IF($BX460&lt;&gt;Constants!$B$6,"",IF($BL460="-&gt;",$BR460,$BG460)+$CA460))</f>
        <v/>
      </c>
      <c r="CW460" s="104" t="str">
        <f aca="false">IF(ISBLANK($C460),"",IF($BX460&lt;&gt;Constants!$B$6,$BX460,$CC460))</f>
        <v/>
      </c>
      <c r="CX460" s="105" t="str">
        <f aca="false">IF(ISBLANK($C460),"",$BY460)</f>
        <v/>
      </c>
      <c r="CY460" s="106" t="str">
        <f aca="false">IF(ISBLANK($C460),"",$CN460)</f>
        <v/>
      </c>
      <c r="CZ460" s="106" t="str">
        <f aca="false">IF(ISBLANK($C460),"",$CM460)</f>
        <v/>
      </c>
      <c r="DA460" s="107" t="str">
        <f aca="false">IF(ISBLANK($C460),"",IFERROR(_xlfn.SWITCH($CZ460,Constants!$B$9,COUNTA($C$9:$C$508)+2,Constants!$B$8,COUNTA($C$9:$C$508)+1,Constants!$B$7,COUNTA($C$9:$C$508)),$CZ460))</f>
        <v/>
      </c>
      <c r="DB460" s="9"/>
      <c r="DC460" s="108" t="n">
        <f aca="false">IF(OR(ISNUMBER($CZ460),$CZ460=Constants!$B$9,$CZ460=Constants!$B$7,$CZ460=Constants!$B$8),1,0)</f>
        <v>0</v>
      </c>
      <c r="DD460" s="108" t="n">
        <v>452</v>
      </c>
      <c r="DE460" s="108" t="str">
        <f aca="false">IF(ISBLANK($C460),"",IF(ISNUMBER($DA460),$DA460+ROW($B460)/1000,""))</f>
        <v/>
      </c>
      <c r="DF460" s="108" t="str">
        <f aca="false">IF(ISNUMBER($DE460),RANK($DE460,$DE$9:$DE$508,1),"")</f>
        <v/>
      </c>
      <c r="DG460" s="108" t="str">
        <f aca="false">IF(ISBLANK($C460),"",$B460)</f>
        <v/>
      </c>
      <c r="DH460" s="108" t="str">
        <f aca="false">IF(ISBLANK($C460),"",$C460)</f>
        <v/>
      </c>
      <c r="DI460" s="108" t="str">
        <f aca="false">IF(ISBLANK($C460),"",$D460)</f>
        <v/>
      </c>
      <c r="DJ460" s="109" t="str">
        <f aca="false">$CX460</f>
        <v/>
      </c>
      <c r="DK460" s="110" t="str">
        <f aca="false">$CW460</f>
        <v/>
      </c>
      <c r="DL460" s="108" t="str">
        <f aca="false">IF(ISBLANK($C460),"",$CZ460)</f>
        <v/>
      </c>
      <c r="DM460" s="111" t="str">
        <f aca="false">IF($DD460&gt;$DC$8,"",VLOOKUP($DD460,$DF$9:$DL$508,7,FALSE()))</f>
        <v/>
      </c>
      <c r="DN460" s="112" t="str">
        <f aca="false">IF($DD460&gt;$DC$8,"",VLOOKUP($DD460,$DF$9:$DL$508,2,FALSE()))</f>
        <v/>
      </c>
      <c r="DO460" s="112" t="str">
        <f aca="false">IF($DD460&gt;$DC$8,"",VLOOKUP($DD460,$DF$9:$DL$508,3,FALSE()))</f>
        <v/>
      </c>
      <c r="DP460" s="112" t="str">
        <f aca="false">IF($DD460&gt;$DC$8,"",VLOOKUP($DD460,$DF$9:$DL$508,4,FALSE()))</f>
        <v/>
      </c>
      <c r="DQ460" s="112" t="str">
        <f aca="false">IF($DD460&gt;$DC$8,"",VLOOKUP($DD460,$DF$9:$DL$508,5,FALSE()))</f>
        <v/>
      </c>
      <c r="DR460" s="113" t="str">
        <f aca="false">IF($DD460&gt;$DC$8,"",VLOOKUP($DD460,$DF$9:$DL$508,6,FALSE()))</f>
        <v/>
      </c>
      <c r="DS460" s="76"/>
    </row>
    <row r="461" customFormat="false" ht="15.75" hidden="false" customHeight="false" outlineLevel="0" collapsed="false">
      <c r="A461" s="9"/>
      <c r="B461" s="78"/>
      <c r="C461" s="79"/>
      <c r="D461" s="170"/>
      <c r="E461" s="178"/>
      <c r="F461" s="172"/>
      <c r="G461" s="173"/>
      <c r="H461" s="173"/>
      <c r="I461" s="179"/>
      <c r="J461" s="176"/>
      <c r="K461" s="86"/>
      <c r="L461" s="87"/>
      <c r="M461" s="88"/>
      <c r="N461" s="176"/>
      <c r="O461" s="176"/>
      <c r="P461" s="178"/>
      <c r="Q461" s="176"/>
      <c r="R461" s="176"/>
      <c r="S461" s="86"/>
      <c r="T461" s="88"/>
      <c r="U461" s="88"/>
      <c r="V461" s="176"/>
      <c r="W461" s="176"/>
      <c r="X461" s="178"/>
      <c r="Y461" s="176"/>
      <c r="Z461" s="177"/>
      <c r="AA461" s="176"/>
      <c r="AB461" s="92"/>
      <c r="AC461" s="93"/>
      <c r="AD461" s="93"/>
      <c r="AE461" s="93"/>
      <c r="AF461" s="93" t="str">
        <f aca="false">IF(ISBLANK($C461),"",IF(E461=Constants!$B$2,TRUE(),IF(E461=Constants!$B$3,FALSE(),TRUE())))</f>
        <v/>
      </c>
      <c r="AG461" s="93" t="str">
        <f aca="false">IF(ISBLANK($C461),"",IF(F461=Constants!$B$2,TRUE(),IF(F461=Constants!$B$3,FALSE(),TRUE())))</f>
        <v/>
      </c>
      <c r="AH461" s="93" t="str">
        <f aca="false">IF(ISBLANK($C461),"",IF(G461=Constants!$B$2,TRUE(),IF(G461=Constants!$B$3,FALSE(),TRUE())))</f>
        <v/>
      </c>
      <c r="AI461" s="93" t="str">
        <f aca="false">IF(ISBLANK($C461),"",IF(AND(ISNUMBER(H461),H461&gt;=0),H461,Constants!$B$24))</f>
        <v/>
      </c>
      <c r="AJ461" s="93" t="str">
        <f aca="false">IF(ISBLANK($C461),"",IF(I461=Constants!$B$2,TRUE(),IF(I461=Constants!$B$3,FALSE(),TRUE())))</f>
        <v/>
      </c>
      <c r="AK461" s="93" t="str">
        <f aca="false">IF(ISBLANK($C461),"",IF(J461=Constants!$B$2,TRUE(),IF(J461=Constants!$B$3,FALSE(),TRUE())))</f>
        <v/>
      </c>
      <c r="AL461" s="93" t="str">
        <f aca="false">IF(ISBLANK($C461),"",IF(K461=Constants!$B$4,TRUE(),IF(K461=Constants!$B$5,FALSE(),COUNTA(L461:P461)&gt;0)))</f>
        <v/>
      </c>
      <c r="AM461" s="95" t="str">
        <f aca="false">IF(ISBLANK($C461),"",IF(ISNUMBER(L461),IF(L461&gt;=0,L461,""),""))</f>
        <v/>
      </c>
      <c r="AN461" s="94" t="str">
        <f aca="false">IF(ISBLANK($C461),"",IF(ISNUMBER(M461),IF(M461&gt;=0,M461,""),""))</f>
        <v/>
      </c>
      <c r="AO461" s="94" t="str">
        <f aca="false">IF(ISBLANK($C461),"",IF(N461=Constants!$B$2,TRUE(),IF(N461=Constants!$B$3,FALSE(),TRUE())))</f>
        <v/>
      </c>
      <c r="AP461" s="93" t="str">
        <f aca="false">IF(ISBLANK($C461),"",IF(ISNUMBER(O461),IF(O461&gt;=0,O461,""),""))</f>
        <v/>
      </c>
      <c r="AQ461" s="93" t="str">
        <f aca="false">IF(ISBLANK($C461),"",IF(P461=Constants!$B$2,TRUE(),IF(P461=Constants!$B$3,FALSE(),FALSE())))</f>
        <v/>
      </c>
      <c r="AR461" s="93" t="str">
        <f aca="false">IF(ISBLANK($C461),"",IF(Q461=Constants!$B$2,TRUE(),IF(Q461=Constants!$B$3,FALSE(),TRUE())))</f>
        <v/>
      </c>
      <c r="AS461" s="93" t="str">
        <f aca="false">IF(ISBLANK($C461),"",IF(R461=Constants!$B$2,TRUE(),IF(R461=Constants!$B$3,FALSE(),TRUE())))</f>
        <v/>
      </c>
      <c r="AT461" s="93" t="str">
        <f aca="false">IF(ISBLANK($C461),"",IF(S461=Constants!$B$4,TRUE(),IF(S461=Constants!$B$5,FALSE(),COUNTA(T461:X461)&gt;0)))</f>
        <v/>
      </c>
      <c r="AU461" s="95" t="str">
        <f aca="false">IF(ISBLANK($C461),"",IF(ISNUMBER(T461),IF(T461&gt;=0,T461,""),""))</f>
        <v/>
      </c>
      <c r="AV461" s="94" t="str">
        <f aca="false">IF(ISBLANK($C461),"",IF(ISNUMBER(U461),IF(U461&gt;=0,U461,""),""))</f>
        <v/>
      </c>
      <c r="AW461" s="94" t="str">
        <f aca="false">IF(ISBLANK($C461),"",IF(V461=Constants!$B$2,TRUE(),IF(V461=Constants!$B$3,FALSE(),TRUE())))</f>
        <v/>
      </c>
      <c r="AX461" s="93" t="str">
        <f aca="false">IF(ISBLANK($C461),"",IF(ISNUMBER(W461),IF(W461&gt;=0,W461,""),""))</f>
        <v/>
      </c>
      <c r="AY461" s="93" t="str">
        <f aca="false">IF(ISBLANK($C461),"",IF(X461=Constants!$B$2,TRUE(),IF(X461=Constants!$B$3,FALSE(),FALSE())))</f>
        <v/>
      </c>
      <c r="AZ461" s="93" t="str">
        <f aca="false">IF(ISBLANK($C461),"",MIN(Constants!$B$25,MAX(0,IF(ISNUMBER(Y461),Y461*60,0)+IF(ISNUMBER(Z461),Z461,0))))</f>
        <v/>
      </c>
      <c r="BA461" s="93" t="str">
        <f aca="false">IF(ISBLANK($C461),"",IF(AA461=Constants!$B$2,TRUE(),IF(AA461=Constants!$B$3,FALSE(),FALSE())))</f>
        <v/>
      </c>
      <c r="BB461" s="92" t="str">
        <f aca="false">IF(ISBLANK($C461),"",AND($AL461,OR($AM461="",$AN461="",AND($AO461,$AP461=""))))</f>
        <v/>
      </c>
      <c r="BC461" s="94" t="str">
        <f aca="false">IF($BX461&lt;&gt;Constants!$B$6,"",IF($AL461,Constants!$B$17*$AN461+Constants!$B$18*IF($AO461,$AP461,Constants!$B$19),Constants!$B$20))</f>
        <v/>
      </c>
      <c r="BD461" s="97" t="str">
        <f aca="false">IF($BX461&lt;&gt;Constants!$B$6,"",Constants!$B$21*ABS($AD$9-IF($AL461,$AM461,0)))</f>
        <v/>
      </c>
      <c r="BE461" s="97" t="str">
        <f aca="false">IF($BX461&lt;&gt;Constants!$B$6,"",IF(AND($AL461,$AQ461,$AO461),Constants!$B$22,0))</f>
        <v/>
      </c>
      <c r="BF461" s="97" t="str">
        <f aca="false">IF($BX461&lt;&gt;Constants!$B$6,"",IF($AL461,($AI461-Constants!$B$24)*Constants!$B$23,0))</f>
        <v/>
      </c>
      <c r="BG461" s="97" t="str">
        <f aca="false">IF($BX461&lt;&gt;Constants!$B$6,"",IF($AK461,0,Constants!$B$12)+IF($AJ461,0,Constants!$B$13)+IF($AH461,0,Constants!$B$14))</f>
        <v/>
      </c>
      <c r="BH461" s="98" t="str">
        <f aca="false">IF($BX461&lt;&gt;Constants!$B$6,"",Constants!$B$16+SUM($BC461:$BG461))</f>
        <v/>
      </c>
      <c r="BI461" s="97" t="str">
        <f aca="false">IF($BX461&lt;&gt;Constants!$B$6,"",$BC461)</f>
        <v/>
      </c>
      <c r="BJ461" s="97" t="str">
        <f aca="false">IF($BX461&lt;&gt;Constants!$B$6,"",$BD461)</f>
        <v/>
      </c>
      <c r="BK461" s="99" t="str">
        <f aca="false">IF($BX461&lt;&gt;Constants!$B$6,"",IF($AL461,$AN461,""))</f>
        <v/>
      </c>
      <c r="BL461" s="93" t="str">
        <f aca="false">IF($BX461&lt;&gt;Constants!$B$6,"",IF(OR($BS461&lt;$BH461,AND($BS461=$BH461,OR($BT461&lt;$BI461,AND($BT461=$BI461,OR($BU461&lt;$BJ461,AND($BU461=$BJ461,AND(ISNUMBER($BV461),OR(NOT(ISNUMBER($BK461)),$BV461&lt;$BK461)))))))),"-&gt;","&lt;-"))</f>
        <v/>
      </c>
      <c r="BM461" s="92" t="str">
        <f aca="false">IF(ISBLANK($C461),"",AND($AT461,OR($AU461="",$AV461="",AND($AW461,$AX461=""))))</f>
        <v/>
      </c>
      <c r="BN461" s="94" t="str">
        <f aca="false">IF($BX461&lt;&gt;Constants!$B$6,"",IF($AT461,Constants!$B$17*$AV461+Constants!$B$18*IF($AW461,$AX461,Constants!$B$19),Constants!$B$20))</f>
        <v/>
      </c>
      <c r="BO461" s="97" t="str">
        <f aca="false">IF($BX461&lt;&gt;Constants!$B$6,"",Constants!$B$21*ABS($AD$9-IF($AT461,$AU461,0)))</f>
        <v/>
      </c>
      <c r="BP461" s="97" t="str">
        <f aca="false">IF($BX461&lt;&gt;Constants!$B$6,"",IF(AND($AT461,$AY461,$AW461),Constants!$B$22,0))</f>
        <v/>
      </c>
      <c r="BQ461" s="97" t="str">
        <f aca="false">IF($BX461&lt;&gt;Constants!$B$6,"",IF($AT461,($AI461-Constants!$B$24)*Constants!$B$23,0))</f>
        <v/>
      </c>
      <c r="BR461" s="97" t="str">
        <f aca="false">IF($BX461&lt;&gt;Constants!$B$6,"",IF($AS461,0,Constants!$B$12)+IF($AR461,0,Constants!$B$13)+IF($AH461,0,Constants!$B$14))</f>
        <v/>
      </c>
      <c r="BS461" s="98" t="str">
        <f aca="false">IF($BX461&lt;&gt;Constants!$B$6,"",Constants!$B$16+SUM($BN461:$BR461))</f>
        <v/>
      </c>
      <c r="BT461" s="97" t="str">
        <f aca="false">IF($BX461&lt;&gt;Constants!$B$6,"",$BN461)</f>
        <v/>
      </c>
      <c r="BU461" s="97" t="str">
        <f aca="false">IF($BX461&lt;&gt;Constants!$B$6,"",$BO461)</f>
        <v/>
      </c>
      <c r="BV461" s="99" t="str">
        <f aca="false">IF($BX461&lt;&gt;Constants!$B$6,"",IF($AT461,$AV461,""))</f>
        <v/>
      </c>
      <c r="BW461" s="93" t="str">
        <f aca="false">IF(ISBLANK($C461),"",IF(ISBLANK($D$7),$BW$5,IF(NOT(ISNUMBER($D$7)),$BW$6,"")))</f>
        <v/>
      </c>
      <c r="BX461" s="93" t="str">
        <f aca="false">IF(ISBLANK($C461),"",IF($BA461,Constants!$B$9,IF(COUNTA($E461:$AA461)=0,Constants!$B$8,IF(NOT($AG461),Constants!$B$7,IF(OR($BW461&lt;&gt;"",$BB461,$BM461),Constants!$B$10,Constants!$B$6)))))</f>
        <v/>
      </c>
      <c r="BY461" s="93" t="str">
        <f aca="false">IF(ISBLANK($C461),"",IF($BX461&lt;&gt;Constants!$B$6,$BX461,Constants!$B$11))</f>
        <v/>
      </c>
      <c r="BZ461" s="97" t="str">
        <f aca="false">IF($BX461&lt;&gt;Constants!$B$6,"",IF($BL461="-&gt;",$BS461,$BH461))</f>
        <v/>
      </c>
      <c r="CA461" s="97" t="str">
        <f aca="false">IF($BX461&lt;&gt;Constants!$B$6,"",IF($AF461,0,Constants!$B$15))</f>
        <v/>
      </c>
      <c r="CB461" s="97" t="str">
        <f aca="false">IF($BX461&lt;&gt;Constants!$B$6,"",((Constants!$B$25-$AZ461)-Constants!$B$25)/Constants!$B$26)</f>
        <v/>
      </c>
      <c r="CC461" s="97" t="str">
        <f aca="false">IF(ISBLANK($C461),"",IF($BX461&lt;&gt;Constants!$B$6,$BX461,SUM($BZ461:$CB461)))</f>
        <v/>
      </c>
      <c r="CD461" s="93" t="str">
        <f aca="false">IF(ISBLANK($C461),"",IF($BX461&lt;&gt;Constants!$B$6,$BX461,RANK($CC461,$CC$9:$CC$508,1)))</f>
        <v/>
      </c>
      <c r="CE461" s="97" t="str">
        <f aca="false">IF($BX461&lt;&gt;Constants!$B$6,"",IF($BL461="-&gt;",$BT461,$BI461))</f>
        <v/>
      </c>
      <c r="CF461" s="93" t="str">
        <f aca="false">IF(ISBLANK($C461),"",IF($BX461&lt;&gt;Constants!$B$6,$BX461,IF(ISNUMBER($CE461),RANK($CE461,$CE$9:$CE$508,1),COUNT($CE$9:$CE$508)+1)))</f>
        <v/>
      </c>
      <c r="CG461" s="97" t="str">
        <f aca="false">IF($BX461&lt;&gt;Constants!$B$6,"",IF($BL461="-&gt;",$BU461,$BJ461))</f>
        <v/>
      </c>
      <c r="CH461" s="93" t="str">
        <f aca="false">IF(ISBLANK($C461),"",IF($BX461&lt;&gt;Constants!$B$6,$BX461,IF(ISNUMBER($CG461),RANK($CG461,$CG$9:$CG$508,1),COUNT($CG$9:$CG$508)+1)))</f>
        <v/>
      </c>
      <c r="CI461" s="97" t="str">
        <f aca="false">IF($BX461&lt;&gt;Constants!$B$6,"",IF($BL461="-&gt;",$BV461,$BK461))</f>
        <v/>
      </c>
      <c r="CJ461" s="93" t="str">
        <f aca="false">IF(ISBLANK($C461),"",IF($BX461&lt;&gt;Constants!$B$6,$BX461,IF(ISNUMBER($CI461),RANK($CI461,$CI$9:$CI$508,1),COUNT($CI$9:$CI$508)+1)))</f>
        <v/>
      </c>
      <c r="CK461" s="97" t="str">
        <f aca="false">IF($BX461&lt;&gt;Constants!$B$6,"",$AI461)</f>
        <v/>
      </c>
      <c r="CL461" s="93" t="str">
        <f aca="false">IF(ISBLANK($C461),"",IF($BX461&lt;&gt;Constants!$B$6,$BX461,IF(ISNUMBER($CK461),RANK($CK461,$CK$9:$CK$508,1),COUNT($CK$9:$CK$508)+1)))</f>
        <v/>
      </c>
      <c r="CM461" s="93" t="str">
        <f aca="false">IF(ISBLANK($C461),"",IF($BX461&lt;&gt;Constants!$B$6,$BX461,COUNTIFS($CD$9:$CD$508,"&lt;"&amp;$CD461)+COUNTIFS($CD$9:$CD$508,$CD461,$CF$9:$CF$508,"&lt;"&amp;$CF461)+COUNTIFS($CD$9:$CD$508,$CD461,$CF$9:$CF$508,$CF461,$CH$9:$CH$508,"&lt;"&amp;$CH461)+COUNTIFS($CD$9:$CD$508,$CD461,$CF$9:$CF$508,$CF461,$CH$9:$CH$508,$CH461,$CJ$9:$CJ$508,"&lt;"&amp;$CJ461)+COUNTIFS($CD$9:$CD$508,$CD461,$CF$9:$CF$508,$CF461,$CH$9:$CH$508,$CH461,$CJ$9:$CJ$508,$CJ461,$CL$9:$CL$508,"&lt;"&amp;$CL461)+1))</f>
        <v/>
      </c>
      <c r="CN461" s="93" t="str">
        <f aca="false">IF(ISBLANK($C461),"",IF($BX461&lt;&gt;Constants!$B$6,$BX461,$CD461-$CM461))</f>
        <v/>
      </c>
      <c r="CO461" s="100"/>
      <c r="CP461" s="101"/>
      <c r="CQ461" s="102" t="str">
        <f aca="false">IF(ISBLANK($C461),"",IF($BX461=Constants!$B$10,$BW461,""))</f>
        <v/>
      </c>
      <c r="CR461" s="101" t="str">
        <f aca="false">IF(ISBLANK($C461),"",IF($BX461&lt;&gt;Constants!$B$6,"",IF($BL461="-&gt;",2,1)))</f>
        <v/>
      </c>
      <c r="CS461" s="103" t="str">
        <f aca="false">IF(ISBLANK($C461),"",IF($BX461&lt;&gt;Constants!$B$6,"",IF($BL461="-&gt;",$BN461,$BC461)))</f>
        <v/>
      </c>
      <c r="CT461" s="103" t="str">
        <f aca="false">IF(ISBLANK($C461),"",IF($BX461&lt;&gt;Constants!$B$6,"",IF($BL461="-&gt;",$BO461,$BD461)))</f>
        <v/>
      </c>
      <c r="CU461" s="103" t="str">
        <f aca="false">IF(ISBLANK($C461),"",IF($BX461&lt;&gt;Constants!$B$6,"",IF($BL461="-&gt;",$BP461+$BQ461,$BE461+$BF461)+$CB461))</f>
        <v/>
      </c>
      <c r="CV461" s="103" t="str">
        <f aca="false">IF(ISBLANK($C461),"",IF($BX461&lt;&gt;Constants!$B$6,"",IF($BL461="-&gt;",$BR461,$BG461)+$CA461))</f>
        <v/>
      </c>
      <c r="CW461" s="104" t="str">
        <f aca="false">IF(ISBLANK($C461),"",IF($BX461&lt;&gt;Constants!$B$6,$BX461,$CC461))</f>
        <v/>
      </c>
      <c r="CX461" s="105" t="str">
        <f aca="false">IF(ISBLANK($C461),"",$BY461)</f>
        <v/>
      </c>
      <c r="CY461" s="106" t="str">
        <f aca="false">IF(ISBLANK($C461),"",$CN461)</f>
        <v/>
      </c>
      <c r="CZ461" s="106" t="str">
        <f aca="false">IF(ISBLANK($C461),"",$CM461)</f>
        <v/>
      </c>
      <c r="DA461" s="107" t="str">
        <f aca="false">IF(ISBLANK($C461),"",IFERROR(_xlfn.SWITCH($CZ461,Constants!$B$9,COUNTA($C$9:$C$508)+2,Constants!$B$8,COUNTA($C$9:$C$508)+1,Constants!$B$7,COUNTA($C$9:$C$508)),$CZ461))</f>
        <v/>
      </c>
      <c r="DB461" s="9"/>
      <c r="DC461" s="108" t="n">
        <f aca="false">IF(OR(ISNUMBER($CZ461),$CZ461=Constants!$B$9,$CZ461=Constants!$B$7,$CZ461=Constants!$B$8),1,0)</f>
        <v>0</v>
      </c>
      <c r="DD461" s="108" t="n">
        <v>453</v>
      </c>
      <c r="DE461" s="108" t="str">
        <f aca="false">IF(ISBLANK($C461),"",IF(ISNUMBER($DA461),$DA461+ROW($B461)/1000,""))</f>
        <v/>
      </c>
      <c r="DF461" s="108" t="str">
        <f aca="false">IF(ISNUMBER($DE461),RANK($DE461,$DE$9:$DE$508,1),"")</f>
        <v/>
      </c>
      <c r="DG461" s="108" t="str">
        <f aca="false">IF(ISBLANK($C461),"",$B461)</f>
        <v/>
      </c>
      <c r="DH461" s="108" t="str">
        <f aca="false">IF(ISBLANK($C461),"",$C461)</f>
        <v/>
      </c>
      <c r="DI461" s="108" t="str">
        <f aca="false">IF(ISBLANK($C461),"",$D461)</f>
        <v/>
      </c>
      <c r="DJ461" s="109" t="str">
        <f aca="false">$CX461</f>
        <v/>
      </c>
      <c r="DK461" s="110" t="str">
        <f aca="false">$CW461</f>
        <v/>
      </c>
      <c r="DL461" s="108" t="str">
        <f aca="false">IF(ISBLANK($C461),"",$CZ461)</f>
        <v/>
      </c>
      <c r="DM461" s="111" t="str">
        <f aca="false">IF($DD461&gt;$DC$8,"",VLOOKUP($DD461,$DF$9:$DL$508,7,FALSE()))</f>
        <v/>
      </c>
      <c r="DN461" s="112" t="str">
        <f aca="false">IF($DD461&gt;$DC$8,"",VLOOKUP($DD461,$DF$9:$DL$508,2,FALSE()))</f>
        <v/>
      </c>
      <c r="DO461" s="112" t="str">
        <f aca="false">IF($DD461&gt;$DC$8,"",VLOOKUP($DD461,$DF$9:$DL$508,3,FALSE()))</f>
        <v/>
      </c>
      <c r="DP461" s="112" t="str">
        <f aca="false">IF($DD461&gt;$DC$8,"",VLOOKUP($DD461,$DF$9:$DL$508,4,FALSE()))</f>
        <v/>
      </c>
      <c r="DQ461" s="112" t="str">
        <f aca="false">IF($DD461&gt;$DC$8,"",VLOOKUP($DD461,$DF$9:$DL$508,5,FALSE()))</f>
        <v/>
      </c>
      <c r="DR461" s="113" t="str">
        <f aca="false">IF($DD461&gt;$DC$8,"",VLOOKUP($DD461,$DF$9:$DL$508,6,FALSE()))</f>
        <v/>
      </c>
      <c r="DS461" s="76"/>
    </row>
    <row r="462" customFormat="false" ht="15.75" hidden="false" customHeight="false" outlineLevel="0" collapsed="false">
      <c r="A462" s="9"/>
      <c r="B462" s="160"/>
      <c r="C462" s="161"/>
      <c r="D462" s="162"/>
      <c r="E462" s="180"/>
      <c r="F462" s="164"/>
      <c r="G462" s="165"/>
      <c r="H462" s="165"/>
      <c r="I462" s="181"/>
      <c r="J462" s="168"/>
      <c r="K462" s="128"/>
      <c r="L462" s="129"/>
      <c r="M462" s="130"/>
      <c r="N462" s="168"/>
      <c r="O462" s="168"/>
      <c r="P462" s="180"/>
      <c r="Q462" s="168"/>
      <c r="R462" s="168"/>
      <c r="S462" s="128"/>
      <c r="T462" s="130"/>
      <c r="U462" s="130"/>
      <c r="V462" s="168"/>
      <c r="W462" s="168"/>
      <c r="X462" s="180"/>
      <c r="Y462" s="168"/>
      <c r="Z462" s="169"/>
      <c r="AA462" s="168"/>
      <c r="AB462" s="134"/>
      <c r="AC462" s="135"/>
      <c r="AD462" s="135"/>
      <c r="AE462" s="135"/>
      <c r="AF462" s="135" t="str">
        <f aca="false">IF(ISBLANK($C462),"",IF(E462=Constants!$B$2,TRUE(),IF(E462=Constants!$B$3,FALSE(),TRUE())))</f>
        <v/>
      </c>
      <c r="AG462" s="135" t="str">
        <f aca="false">IF(ISBLANK($C462),"",IF(F462=Constants!$B$2,TRUE(),IF(F462=Constants!$B$3,FALSE(),TRUE())))</f>
        <v/>
      </c>
      <c r="AH462" s="135" t="str">
        <f aca="false">IF(ISBLANK($C462),"",IF(G462=Constants!$B$2,TRUE(),IF(G462=Constants!$B$3,FALSE(),TRUE())))</f>
        <v/>
      </c>
      <c r="AI462" s="135" t="str">
        <f aca="false">IF(ISBLANK($C462),"",IF(AND(ISNUMBER(H462),H462&gt;=0),H462,Constants!$B$24))</f>
        <v/>
      </c>
      <c r="AJ462" s="135" t="str">
        <f aca="false">IF(ISBLANK($C462),"",IF(I462=Constants!$B$2,TRUE(),IF(I462=Constants!$B$3,FALSE(),TRUE())))</f>
        <v/>
      </c>
      <c r="AK462" s="135" t="str">
        <f aca="false">IF(ISBLANK($C462),"",IF(J462=Constants!$B$2,TRUE(),IF(J462=Constants!$B$3,FALSE(),TRUE())))</f>
        <v/>
      </c>
      <c r="AL462" s="135" t="str">
        <f aca="false">IF(ISBLANK($C462),"",IF(K462=Constants!$B$4,TRUE(),IF(K462=Constants!$B$5,FALSE(),COUNTA(L462:P462)&gt;0)))</f>
        <v/>
      </c>
      <c r="AM462" s="136" t="str">
        <f aca="false">IF(ISBLANK($C462),"",IF(ISNUMBER(L462),IF(L462&gt;=0,L462,""),""))</f>
        <v/>
      </c>
      <c r="AN462" s="137" t="str">
        <f aca="false">IF(ISBLANK($C462),"",IF(ISNUMBER(M462),IF(M462&gt;=0,M462,""),""))</f>
        <v/>
      </c>
      <c r="AO462" s="137" t="str">
        <f aca="false">IF(ISBLANK($C462),"",IF(N462=Constants!$B$2,TRUE(),IF(N462=Constants!$B$3,FALSE(),TRUE())))</f>
        <v/>
      </c>
      <c r="AP462" s="135" t="str">
        <f aca="false">IF(ISBLANK($C462),"",IF(ISNUMBER(O462),IF(O462&gt;=0,O462,""),""))</f>
        <v/>
      </c>
      <c r="AQ462" s="135" t="str">
        <f aca="false">IF(ISBLANK($C462),"",IF(P462=Constants!$B$2,TRUE(),IF(P462=Constants!$B$3,FALSE(),FALSE())))</f>
        <v/>
      </c>
      <c r="AR462" s="135" t="str">
        <f aca="false">IF(ISBLANK($C462),"",IF(Q462=Constants!$B$2,TRUE(),IF(Q462=Constants!$B$3,FALSE(),TRUE())))</f>
        <v/>
      </c>
      <c r="AS462" s="135" t="str">
        <f aca="false">IF(ISBLANK($C462),"",IF(R462=Constants!$B$2,TRUE(),IF(R462=Constants!$B$3,FALSE(),TRUE())))</f>
        <v/>
      </c>
      <c r="AT462" s="135" t="str">
        <f aca="false">IF(ISBLANK($C462),"",IF(S462=Constants!$B$4,TRUE(),IF(S462=Constants!$B$5,FALSE(),COUNTA(T462:X462)&gt;0)))</f>
        <v/>
      </c>
      <c r="AU462" s="136" t="str">
        <f aca="false">IF(ISBLANK($C462),"",IF(ISNUMBER(T462),IF(T462&gt;=0,T462,""),""))</f>
        <v/>
      </c>
      <c r="AV462" s="137" t="str">
        <f aca="false">IF(ISBLANK($C462),"",IF(ISNUMBER(U462),IF(U462&gt;=0,U462,""),""))</f>
        <v/>
      </c>
      <c r="AW462" s="137" t="str">
        <f aca="false">IF(ISBLANK($C462),"",IF(V462=Constants!$B$2,TRUE(),IF(V462=Constants!$B$3,FALSE(),TRUE())))</f>
        <v/>
      </c>
      <c r="AX462" s="135" t="str">
        <f aca="false">IF(ISBLANK($C462),"",IF(ISNUMBER(W462),IF(W462&gt;=0,W462,""),""))</f>
        <v/>
      </c>
      <c r="AY462" s="135" t="str">
        <f aca="false">IF(ISBLANK($C462),"",IF(X462=Constants!$B$2,TRUE(),IF(X462=Constants!$B$3,FALSE(),FALSE())))</f>
        <v/>
      </c>
      <c r="AZ462" s="135" t="str">
        <f aca="false">IF(ISBLANK($C462),"",MIN(Constants!$B$25,MAX(0,IF(ISNUMBER(Y462),Y462*60,0)+IF(ISNUMBER(Z462),Z462,0))))</f>
        <v/>
      </c>
      <c r="BA462" s="135" t="str">
        <f aca="false">IF(ISBLANK($C462),"",IF(AA462=Constants!$B$2,TRUE(),IF(AA462=Constants!$B$3,FALSE(),FALSE())))</f>
        <v/>
      </c>
      <c r="BB462" s="134" t="str">
        <f aca="false">IF(ISBLANK($C462),"",AND($AL462,OR($AM462="",$AN462="",AND($AO462,$AP462=""))))</f>
        <v/>
      </c>
      <c r="BC462" s="137" t="str">
        <f aca="false">IF($BX462&lt;&gt;Constants!$B$6,"",IF($AL462,Constants!$B$17*$AN462+Constants!$B$18*IF($AO462,$AP462,Constants!$B$19),Constants!$B$20))</f>
        <v/>
      </c>
      <c r="BD462" s="138" t="str">
        <f aca="false">IF($BX462&lt;&gt;Constants!$B$6,"",Constants!$B$21*ABS($AD$9-IF($AL462,$AM462,0)))</f>
        <v/>
      </c>
      <c r="BE462" s="138" t="str">
        <f aca="false">IF($BX462&lt;&gt;Constants!$B$6,"",IF(AND($AL462,$AQ462,$AO462),Constants!$B$22,0))</f>
        <v/>
      </c>
      <c r="BF462" s="138" t="str">
        <f aca="false">IF($BX462&lt;&gt;Constants!$B$6,"",IF($AL462,($AI462-Constants!$B$24)*Constants!$B$23,0))</f>
        <v/>
      </c>
      <c r="BG462" s="138" t="str">
        <f aca="false">IF($BX462&lt;&gt;Constants!$B$6,"",IF($AK462,0,Constants!$B$12)+IF($AJ462,0,Constants!$B$13)+IF($AH462,0,Constants!$B$14))</f>
        <v/>
      </c>
      <c r="BH462" s="139" t="str">
        <f aca="false">IF($BX462&lt;&gt;Constants!$B$6,"",Constants!$B$16+SUM($BC462:$BG462))</f>
        <v/>
      </c>
      <c r="BI462" s="138" t="str">
        <f aca="false">IF($BX462&lt;&gt;Constants!$B$6,"",$BC462)</f>
        <v/>
      </c>
      <c r="BJ462" s="138" t="str">
        <f aca="false">IF($BX462&lt;&gt;Constants!$B$6,"",$BD462)</f>
        <v/>
      </c>
      <c r="BK462" s="140" t="str">
        <f aca="false">IF($BX462&lt;&gt;Constants!$B$6,"",IF($AL462,$AN462,""))</f>
        <v/>
      </c>
      <c r="BL462" s="135" t="str">
        <f aca="false">IF($BX462&lt;&gt;Constants!$B$6,"",IF(OR($BS462&lt;$BH462,AND($BS462=$BH462,OR($BT462&lt;$BI462,AND($BT462=$BI462,OR($BU462&lt;$BJ462,AND($BU462=$BJ462,AND(ISNUMBER($BV462),OR(NOT(ISNUMBER($BK462)),$BV462&lt;$BK462)))))))),"-&gt;","&lt;-"))</f>
        <v/>
      </c>
      <c r="BM462" s="134" t="str">
        <f aca="false">IF(ISBLANK($C462),"",AND($AT462,OR($AU462="",$AV462="",AND($AW462,$AX462=""))))</f>
        <v/>
      </c>
      <c r="BN462" s="137" t="str">
        <f aca="false">IF($BX462&lt;&gt;Constants!$B$6,"",IF($AT462,Constants!$B$17*$AV462+Constants!$B$18*IF($AW462,$AX462,Constants!$B$19),Constants!$B$20))</f>
        <v/>
      </c>
      <c r="BO462" s="138" t="str">
        <f aca="false">IF($BX462&lt;&gt;Constants!$B$6,"",Constants!$B$21*ABS($AD$9-IF($AT462,$AU462,0)))</f>
        <v/>
      </c>
      <c r="BP462" s="138" t="str">
        <f aca="false">IF($BX462&lt;&gt;Constants!$B$6,"",IF(AND($AT462,$AY462,$AW462),Constants!$B$22,0))</f>
        <v/>
      </c>
      <c r="BQ462" s="138" t="str">
        <f aca="false">IF($BX462&lt;&gt;Constants!$B$6,"",IF($AT462,($AI462-Constants!$B$24)*Constants!$B$23,0))</f>
        <v/>
      </c>
      <c r="BR462" s="138" t="str">
        <f aca="false">IF($BX462&lt;&gt;Constants!$B$6,"",IF($AS462,0,Constants!$B$12)+IF($AR462,0,Constants!$B$13)+IF($AH462,0,Constants!$B$14))</f>
        <v/>
      </c>
      <c r="BS462" s="139" t="str">
        <f aca="false">IF($BX462&lt;&gt;Constants!$B$6,"",Constants!$B$16+SUM($BN462:$BR462))</f>
        <v/>
      </c>
      <c r="BT462" s="138" t="str">
        <f aca="false">IF($BX462&lt;&gt;Constants!$B$6,"",$BN462)</f>
        <v/>
      </c>
      <c r="BU462" s="138" t="str">
        <f aca="false">IF($BX462&lt;&gt;Constants!$B$6,"",$BO462)</f>
        <v/>
      </c>
      <c r="BV462" s="140" t="str">
        <f aca="false">IF($BX462&lt;&gt;Constants!$B$6,"",IF($AT462,$AV462,""))</f>
        <v/>
      </c>
      <c r="BW462" s="135" t="str">
        <f aca="false">IF(ISBLANK($C462),"",IF(ISBLANK($D$7),$BW$5,IF(NOT(ISNUMBER($D$7)),$BW$6,"")))</f>
        <v/>
      </c>
      <c r="BX462" s="135" t="str">
        <f aca="false">IF(ISBLANK($C462),"",IF($BA462,Constants!$B$9,IF(COUNTA($E462:$AA462)=0,Constants!$B$8,IF(NOT($AG462),Constants!$B$7,IF(OR($BW462&lt;&gt;"",$BB462,$BM462),Constants!$B$10,Constants!$B$6)))))</f>
        <v/>
      </c>
      <c r="BY462" s="135" t="str">
        <f aca="false">IF(ISBLANK($C462),"",IF($BX462&lt;&gt;Constants!$B$6,$BX462,Constants!$B$11))</f>
        <v/>
      </c>
      <c r="BZ462" s="138" t="str">
        <f aca="false">IF($BX462&lt;&gt;Constants!$B$6,"",IF($BL462="-&gt;",$BS462,$BH462))</f>
        <v/>
      </c>
      <c r="CA462" s="138" t="str">
        <f aca="false">IF($BX462&lt;&gt;Constants!$B$6,"",IF($AF462,0,Constants!$B$15))</f>
        <v/>
      </c>
      <c r="CB462" s="138" t="str">
        <f aca="false">IF($BX462&lt;&gt;Constants!$B$6,"",((Constants!$B$25-$AZ462)-Constants!$B$25)/Constants!$B$26)</f>
        <v/>
      </c>
      <c r="CC462" s="138" t="str">
        <f aca="false">IF(ISBLANK($C462),"",IF($BX462&lt;&gt;Constants!$B$6,$BX462,SUM($BZ462:$CB462)))</f>
        <v/>
      </c>
      <c r="CD462" s="135" t="str">
        <f aca="false">IF(ISBLANK($C462),"",IF($BX462&lt;&gt;Constants!$B$6,$BX462,RANK($CC462,$CC$9:$CC$508,1)))</f>
        <v/>
      </c>
      <c r="CE462" s="138" t="str">
        <f aca="false">IF($BX462&lt;&gt;Constants!$B$6,"",IF($BL462="-&gt;",$BT462,$BI462))</f>
        <v/>
      </c>
      <c r="CF462" s="135" t="str">
        <f aca="false">IF(ISBLANK($C462),"",IF($BX462&lt;&gt;Constants!$B$6,$BX462,IF(ISNUMBER($CE462),RANK($CE462,$CE$9:$CE$508,1),COUNT($CE$9:$CE$508)+1)))</f>
        <v/>
      </c>
      <c r="CG462" s="138" t="str">
        <f aca="false">IF($BX462&lt;&gt;Constants!$B$6,"",IF($BL462="-&gt;",$BU462,$BJ462))</f>
        <v/>
      </c>
      <c r="CH462" s="135" t="str">
        <f aca="false">IF(ISBLANK($C462),"",IF($BX462&lt;&gt;Constants!$B$6,$BX462,IF(ISNUMBER($CG462),RANK($CG462,$CG$9:$CG$508,1),COUNT($CG$9:$CG$508)+1)))</f>
        <v/>
      </c>
      <c r="CI462" s="138" t="str">
        <f aca="false">IF($BX462&lt;&gt;Constants!$B$6,"",IF($BL462="-&gt;",$BV462,$BK462))</f>
        <v/>
      </c>
      <c r="CJ462" s="135" t="str">
        <f aca="false">IF(ISBLANK($C462),"",IF($BX462&lt;&gt;Constants!$B$6,$BX462,IF(ISNUMBER($CI462),RANK($CI462,$CI$9:$CI$508,1),COUNT($CI$9:$CI$508)+1)))</f>
        <v/>
      </c>
      <c r="CK462" s="138" t="str">
        <f aca="false">IF($BX462&lt;&gt;Constants!$B$6,"",$AI462)</f>
        <v/>
      </c>
      <c r="CL462" s="135" t="str">
        <f aca="false">IF(ISBLANK($C462),"",IF($BX462&lt;&gt;Constants!$B$6,$BX462,IF(ISNUMBER($CK462),RANK($CK462,$CK$9:$CK$508,1),COUNT($CK$9:$CK$508)+1)))</f>
        <v/>
      </c>
      <c r="CM462" s="135" t="str">
        <f aca="false">IF(ISBLANK($C462),"",IF($BX462&lt;&gt;Constants!$B$6,$BX462,COUNTIFS($CD$9:$CD$508,"&lt;"&amp;$CD462)+COUNTIFS($CD$9:$CD$508,$CD462,$CF$9:$CF$508,"&lt;"&amp;$CF462)+COUNTIFS($CD$9:$CD$508,$CD462,$CF$9:$CF$508,$CF462,$CH$9:$CH$508,"&lt;"&amp;$CH462)+COUNTIFS($CD$9:$CD$508,$CD462,$CF$9:$CF$508,$CF462,$CH$9:$CH$508,$CH462,$CJ$9:$CJ$508,"&lt;"&amp;$CJ462)+COUNTIFS($CD$9:$CD$508,$CD462,$CF$9:$CF$508,$CF462,$CH$9:$CH$508,$CH462,$CJ$9:$CJ$508,$CJ462,$CL$9:$CL$508,"&lt;"&amp;$CL462)+1))</f>
        <v/>
      </c>
      <c r="CN462" s="135" t="str">
        <f aca="false">IF(ISBLANK($C462),"",IF($BX462&lt;&gt;Constants!$B$6,$BX462,$CD462-$CM462))</f>
        <v/>
      </c>
      <c r="CO462" s="141"/>
      <c r="CP462" s="142"/>
      <c r="CQ462" s="143" t="str">
        <f aca="false">IF(ISBLANK($C462),"",IF($BX462=Constants!$B$10,$BW462,""))</f>
        <v/>
      </c>
      <c r="CR462" s="142" t="str">
        <f aca="false">IF(ISBLANK($C462),"",IF($BX462&lt;&gt;Constants!$B$6,"",IF($BL462="-&gt;",2,1)))</f>
        <v/>
      </c>
      <c r="CS462" s="144" t="str">
        <f aca="false">IF(ISBLANK($C462),"",IF($BX462&lt;&gt;Constants!$B$6,"",IF($BL462="-&gt;",$BN462,$BC462)))</f>
        <v/>
      </c>
      <c r="CT462" s="144" t="str">
        <f aca="false">IF(ISBLANK($C462),"",IF($BX462&lt;&gt;Constants!$B$6,"",IF($BL462="-&gt;",$BO462,$BD462)))</f>
        <v/>
      </c>
      <c r="CU462" s="144" t="str">
        <f aca="false">IF(ISBLANK($C462),"",IF($BX462&lt;&gt;Constants!$B$6,"",IF($BL462="-&gt;",$BP462+$BQ462,$BE462+$BF462)+$CB462))</f>
        <v/>
      </c>
      <c r="CV462" s="144" t="str">
        <f aca="false">IF(ISBLANK($C462),"",IF($BX462&lt;&gt;Constants!$B$6,"",IF($BL462="-&gt;",$BR462,$BG462)+$CA462))</f>
        <v/>
      </c>
      <c r="CW462" s="145" t="str">
        <f aca="false">IF(ISBLANK($C462),"",IF($BX462&lt;&gt;Constants!$B$6,$BX462,$CC462))</f>
        <v/>
      </c>
      <c r="CX462" s="146" t="str">
        <f aca="false">IF(ISBLANK($C462),"",$BY462)</f>
        <v/>
      </c>
      <c r="CY462" s="147" t="str">
        <f aca="false">IF(ISBLANK($C462),"",$CN462)</f>
        <v/>
      </c>
      <c r="CZ462" s="147" t="str">
        <f aca="false">IF(ISBLANK($C462),"",$CM462)</f>
        <v/>
      </c>
      <c r="DA462" s="148" t="str">
        <f aca="false">IF(ISBLANK($C462),"",IFERROR(_xlfn.SWITCH($CZ462,Constants!$B$9,COUNTA($C$9:$C$508)+2,Constants!$B$8,COUNTA($C$9:$C$508)+1,Constants!$B$7,COUNTA($C$9:$C$508)),$CZ462))</f>
        <v/>
      </c>
      <c r="DB462" s="9"/>
      <c r="DC462" s="149" t="n">
        <f aca="false">IF(OR(ISNUMBER($CZ462),$CZ462=Constants!$B$9,$CZ462=Constants!$B$7,$CZ462=Constants!$B$8),1,0)</f>
        <v>0</v>
      </c>
      <c r="DD462" s="149" t="n">
        <v>454</v>
      </c>
      <c r="DE462" s="149" t="str">
        <f aca="false">IF(ISBLANK($C462),"",IF(ISNUMBER($DA462),$DA462+ROW($B462)/1000,""))</f>
        <v/>
      </c>
      <c r="DF462" s="149" t="str">
        <f aca="false">IF(ISNUMBER($DE462),RANK($DE462,$DE$9:$DE$508,1),"")</f>
        <v/>
      </c>
      <c r="DG462" s="149" t="str">
        <f aca="false">IF(ISBLANK($C462),"",$B462)</f>
        <v/>
      </c>
      <c r="DH462" s="149" t="str">
        <f aca="false">IF(ISBLANK($C462),"",$C462)</f>
        <v/>
      </c>
      <c r="DI462" s="149" t="str">
        <f aca="false">IF(ISBLANK($C462),"",$D462)</f>
        <v/>
      </c>
      <c r="DJ462" s="150" t="str">
        <f aca="false">$CX462</f>
        <v/>
      </c>
      <c r="DK462" s="151" t="str">
        <f aca="false">$CW462</f>
        <v/>
      </c>
      <c r="DL462" s="149" t="str">
        <f aca="false">IF(ISBLANK($C462),"",$CZ462)</f>
        <v/>
      </c>
      <c r="DM462" s="152" t="str">
        <f aca="false">IF($DD462&gt;$DC$8,"",VLOOKUP($DD462,$DF$9:$DL$508,7,FALSE()))</f>
        <v/>
      </c>
      <c r="DN462" s="153" t="str">
        <f aca="false">IF($DD462&gt;$DC$8,"",VLOOKUP($DD462,$DF$9:$DL$508,2,FALSE()))</f>
        <v/>
      </c>
      <c r="DO462" s="153" t="str">
        <f aca="false">IF($DD462&gt;$DC$8,"",VLOOKUP($DD462,$DF$9:$DL$508,3,FALSE()))</f>
        <v/>
      </c>
      <c r="DP462" s="153" t="str">
        <f aca="false">IF($DD462&gt;$DC$8,"",VLOOKUP($DD462,$DF$9:$DL$508,4,FALSE()))</f>
        <v/>
      </c>
      <c r="DQ462" s="153" t="str">
        <f aca="false">IF($DD462&gt;$DC$8,"",VLOOKUP($DD462,$DF$9:$DL$508,5,FALSE()))</f>
        <v/>
      </c>
      <c r="DR462" s="154" t="str">
        <f aca="false">IF($DD462&gt;$DC$8,"",VLOOKUP($DD462,$DF$9:$DL$508,6,FALSE()))</f>
        <v/>
      </c>
      <c r="DS462" s="76"/>
    </row>
    <row r="463" customFormat="false" ht="15.75" hidden="false" customHeight="false" outlineLevel="0" collapsed="false">
      <c r="A463" s="9"/>
      <c r="B463" s="160"/>
      <c r="C463" s="161"/>
      <c r="D463" s="162"/>
      <c r="E463" s="180"/>
      <c r="F463" s="164"/>
      <c r="G463" s="165"/>
      <c r="H463" s="165"/>
      <c r="I463" s="181"/>
      <c r="J463" s="168"/>
      <c r="K463" s="128"/>
      <c r="L463" s="129"/>
      <c r="M463" s="130"/>
      <c r="N463" s="168"/>
      <c r="O463" s="168"/>
      <c r="P463" s="180"/>
      <c r="Q463" s="168"/>
      <c r="R463" s="168"/>
      <c r="S463" s="128"/>
      <c r="T463" s="130"/>
      <c r="U463" s="130"/>
      <c r="V463" s="168"/>
      <c r="W463" s="168"/>
      <c r="X463" s="180"/>
      <c r="Y463" s="168"/>
      <c r="Z463" s="169"/>
      <c r="AA463" s="168"/>
      <c r="AB463" s="134"/>
      <c r="AC463" s="135"/>
      <c r="AD463" s="135"/>
      <c r="AE463" s="135"/>
      <c r="AF463" s="135" t="str">
        <f aca="false">IF(ISBLANK($C463),"",IF(E463=Constants!$B$2,TRUE(),IF(E463=Constants!$B$3,FALSE(),TRUE())))</f>
        <v/>
      </c>
      <c r="AG463" s="135" t="str">
        <f aca="false">IF(ISBLANK($C463),"",IF(F463=Constants!$B$2,TRUE(),IF(F463=Constants!$B$3,FALSE(),TRUE())))</f>
        <v/>
      </c>
      <c r="AH463" s="135" t="str">
        <f aca="false">IF(ISBLANK($C463),"",IF(G463=Constants!$B$2,TRUE(),IF(G463=Constants!$B$3,FALSE(),TRUE())))</f>
        <v/>
      </c>
      <c r="AI463" s="135" t="str">
        <f aca="false">IF(ISBLANK($C463),"",IF(AND(ISNUMBER(H463),H463&gt;=0),H463,Constants!$B$24))</f>
        <v/>
      </c>
      <c r="AJ463" s="135" t="str">
        <f aca="false">IF(ISBLANK($C463),"",IF(I463=Constants!$B$2,TRUE(),IF(I463=Constants!$B$3,FALSE(),TRUE())))</f>
        <v/>
      </c>
      <c r="AK463" s="135" t="str">
        <f aca="false">IF(ISBLANK($C463),"",IF(J463=Constants!$B$2,TRUE(),IF(J463=Constants!$B$3,FALSE(),TRUE())))</f>
        <v/>
      </c>
      <c r="AL463" s="135" t="str">
        <f aca="false">IF(ISBLANK($C463),"",IF(K463=Constants!$B$4,TRUE(),IF(K463=Constants!$B$5,FALSE(),COUNTA(L463:P463)&gt;0)))</f>
        <v/>
      </c>
      <c r="AM463" s="136" t="str">
        <f aca="false">IF(ISBLANK($C463),"",IF(ISNUMBER(L463),IF(L463&gt;=0,L463,""),""))</f>
        <v/>
      </c>
      <c r="AN463" s="137" t="str">
        <f aca="false">IF(ISBLANK($C463),"",IF(ISNUMBER(M463),IF(M463&gt;=0,M463,""),""))</f>
        <v/>
      </c>
      <c r="AO463" s="137" t="str">
        <f aca="false">IF(ISBLANK($C463),"",IF(N463=Constants!$B$2,TRUE(),IF(N463=Constants!$B$3,FALSE(),TRUE())))</f>
        <v/>
      </c>
      <c r="AP463" s="135" t="str">
        <f aca="false">IF(ISBLANK($C463),"",IF(ISNUMBER(O463),IF(O463&gt;=0,O463,""),""))</f>
        <v/>
      </c>
      <c r="AQ463" s="135" t="str">
        <f aca="false">IF(ISBLANK($C463),"",IF(P463=Constants!$B$2,TRUE(),IF(P463=Constants!$B$3,FALSE(),FALSE())))</f>
        <v/>
      </c>
      <c r="AR463" s="135" t="str">
        <f aca="false">IF(ISBLANK($C463),"",IF(Q463=Constants!$B$2,TRUE(),IF(Q463=Constants!$B$3,FALSE(),TRUE())))</f>
        <v/>
      </c>
      <c r="AS463" s="135" t="str">
        <f aca="false">IF(ISBLANK($C463),"",IF(R463=Constants!$B$2,TRUE(),IF(R463=Constants!$B$3,FALSE(),TRUE())))</f>
        <v/>
      </c>
      <c r="AT463" s="135" t="str">
        <f aca="false">IF(ISBLANK($C463),"",IF(S463=Constants!$B$4,TRUE(),IF(S463=Constants!$B$5,FALSE(),COUNTA(T463:X463)&gt;0)))</f>
        <v/>
      </c>
      <c r="AU463" s="136" t="str">
        <f aca="false">IF(ISBLANK($C463),"",IF(ISNUMBER(T463),IF(T463&gt;=0,T463,""),""))</f>
        <v/>
      </c>
      <c r="AV463" s="137" t="str">
        <f aca="false">IF(ISBLANK($C463),"",IF(ISNUMBER(U463),IF(U463&gt;=0,U463,""),""))</f>
        <v/>
      </c>
      <c r="AW463" s="137" t="str">
        <f aca="false">IF(ISBLANK($C463),"",IF(V463=Constants!$B$2,TRUE(),IF(V463=Constants!$B$3,FALSE(),TRUE())))</f>
        <v/>
      </c>
      <c r="AX463" s="135" t="str">
        <f aca="false">IF(ISBLANK($C463),"",IF(ISNUMBER(W463),IF(W463&gt;=0,W463,""),""))</f>
        <v/>
      </c>
      <c r="AY463" s="135" t="str">
        <f aca="false">IF(ISBLANK($C463),"",IF(X463=Constants!$B$2,TRUE(),IF(X463=Constants!$B$3,FALSE(),FALSE())))</f>
        <v/>
      </c>
      <c r="AZ463" s="135" t="str">
        <f aca="false">IF(ISBLANK($C463),"",MIN(Constants!$B$25,MAX(0,IF(ISNUMBER(Y463),Y463*60,0)+IF(ISNUMBER(Z463),Z463,0))))</f>
        <v/>
      </c>
      <c r="BA463" s="135" t="str">
        <f aca="false">IF(ISBLANK($C463),"",IF(AA463=Constants!$B$2,TRUE(),IF(AA463=Constants!$B$3,FALSE(),FALSE())))</f>
        <v/>
      </c>
      <c r="BB463" s="134" t="str">
        <f aca="false">IF(ISBLANK($C463),"",AND($AL463,OR($AM463="",$AN463="",AND($AO463,$AP463=""))))</f>
        <v/>
      </c>
      <c r="BC463" s="137" t="str">
        <f aca="false">IF($BX463&lt;&gt;Constants!$B$6,"",IF($AL463,Constants!$B$17*$AN463+Constants!$B$18*IF($AO463,$AP463,Constants!$B$19),Constants!$B$20))</f>
        <v/>
      </c>
      <c r="BD463" s="138" t="str">
        <f aca="false">IF($BX463&lt;&gt;Constants!$B$6,"",Constants!$B$21*ABS($AD$9-IF($AL463,$AM463,0)))</f>
        <v/>
      </c>
      <c r="BE463" s="138" t="str">
        <f aca="false">IF($BX463&lt;&gt;Constants!$B$6,"",IF(AND($AL463,$AQ463,$AO463),Constants!$B$22,0))</f>
        <v/>
      </c>
      <c r="BF463" s="138" t="str">
        <f aca="false">IF($BX463&lt;&gt;Constants!$B$6,"",IF($AL463,($AI463-Constants!$B$24)*Constants!$B$23,0))</f>
        <v/>
      </c>
      <c r="BG463" s="138" t="str">
        <f aca="false">IF($BX463&lt;&gt;Constants!$B$6,"",IF($AK463,0,Constants!$B$12)+IF($AJ463,0,Constants!$B$13)+IF($AH463,0,Constants!$B$14))</f>
        <v/>
      </c>
      <c r="BH463" s="139" t="str">
        <f aca="false">IF($BX463&lt;&gt;Constants!$B$6,"",Constants!$B$16+SUM($BC463:$BG463))</f>
        <v/>
      </c>
      <c r="BI463" s="138" t="str">
        <f aca="false">IF($BX463&lt;&gt;Constants!$B$6,"",$BC463)</f>
        <v/>
      </c>
      <c r="BJ463" s="138" t="str">
        <f aca="false">IF($BX463&lt;&gt;Constants!$B$6,"",$BD463)</f>
        <v/>
      </c>
      <c r="BK463" s="140" t="str">
        <f aca="false">IF($BX463&lt;&gt;Constants!$B$6,"",IF($AL463,$AN463,""))</f>
        <v/>
      </c>
      <c r="BL463" s="135" t="str">
        <f aca="false">IF($BX463&lt;&gt;Constants!$B$6,"",IF(OR($BS463&lt;$BH463,AND($BS463=$BH463,OR($BT463&lt;$BI463,AND($BT463=$BI463,OR($BU463&lt;$BJ463,AND($BU463=$BJ463,AND(ISNUMBER($BV463),OR(NOT(ISNUMBER($BK463)),$BV463&lt;$BK463)))))))),"-&gt;","&lt;-"))</f>
        <v/>
      </c>
      <c r="BM463" s="134" t="str">
        <f aca="false">IF(ISBLANK($C463),"",AND($AT463,OR($AU463="",$AV463="",AND($AW463,$AX463=""))))</f>
        <v/>
      </c>
      <c r="BN463" s="137" t="str">
        <f aca="false">IF($BX463&lt;&gt;Constants!$B$6,"",IF($AT463,Constants!$B$17*$AV463+Constants!$B$18*IF($AW463,$AX463,Constants!$B$19),Constants!$B$20))</f>
        <v/>
      </c>
      <c r="BO463" s="138" t="str">
        <f aca="false">IF($BX463&lt;&gt;Constants!$B$6,"",Constants!$B$21*ABS($AD$9-IF($AT463,$AU463,0)))</f>
        <v/>
      </c>
      <c r="BP463" s="138" t="str">
        <f aca="false">IF($BX463&lt;&gt;Constants!$B$6,"",IF(AND($AT463,$AY463,$AW463),Constants!$B$22,0))</f>
        <v/>
      </c>
      <c r="BQ463" s="138" t="str">
        <f aca="false">IF($BX463&lt;&gt;Constants!$B$6,"",IF($AT463,($AI463-Constants!$B$24)*Constants!$B$23,0))</f>
        <v/>
      </c>
      <c r="BR463" s="138" t="str">
        <f aca="false">IF($BX463&lt;&gt;Constants!$B$6,"",IF($AS463,0,Constants!$B$12)+IF($AR463,0,Constants!$B$13)+IF($AH463,0,Constants!$B$14))</f>
        <v/>
      </c>
      <c r="BS463" s="139" t="str">
        <f aca="false">IF($BX463&lt;&gt;Constants!$B$6,"",Constants!$B$16+SUM($BN463:$BR463))</f>
        <v/>
      </c>
      <c r="BT463" s="138" t="str">
        <f aca="false">IF($BX463&lt;&gt;Constants!$B$6,"",$BN463)</f>
        <v/>
      </c>
      <c r="BU463" s="138" t="str">
        <f aca="false">IF($BX463&lt;&gt;Constants!$B$6,"",$BO463)</f>
        <v/>
      </c>
      <c r="BV463" s="140" t="str">
        <f aca="false">IF($BX463&lt;&gt;Constants!$B$6,"",IF($AT463,$AV463,""))</f>
        <v/>
      </c>
      <c r="BW463" s="135" t="str">
        <f aca="false">IF(ISBLANK($C463),"",IF(ISBLANK($D$7),$BW$5,IF(NOT(ISNUMBER($D$7)),$BW$6,"")))</f>
        <v/>
      </c>
      <c r="BX463" s="135" t="str">
        <f aca="false">IF(ISBLANK($C463),"",IF($BA463,Constants!$B$9,IF(COUNTA($E463:$AA463)=0,Constants!$B$8,IF(NOT($AG463),Constants!$B$7,IF(OR($BW463&lt;&gt;"",$BB463,$BM463),Constants!$B$10,Constants!$B$6)))))</f>
        <v/>
      </c>
      <c r="BY463" s="135" t="str">
        <f aca="false">IF(ISBLANK($C463),"",IF($BX463&lt;&gt;Constants!$B$6,$BX463,Constants!$B$11))</f>
        <v/>
      </c>
      <c r="BZ463" s="138" t="str">
        <f aca="false">IF($BX463&lt;&gt;Constants!$B$6,"",IF($BL463="-&gt;",$BS463,$BH463))</f>
        <v/>
      </c>
      <c r="CA463" s="138" t="str">
        <f aca="false">IF($BX463&lt;&gt;Constants!$B$6,"",IF($AF463,0,Constants!$B$15))</f>
        <v/>
      </c>
      <c r="CB463" s="138" t="str">
        <f aca="false">IF($BX463&lt;&gt;Constants!$B$6,"",((Constants!$B$25-$AZ463)-Constants!$B$25)/Constants!$B$26)</f>
        <v/>
      </c>
      <c r="CC463" s="138" t="str">
        <f aca="false">IF(ISBLANK($C463),"",IF($BX463&lt;&gt;Constants!$B$6,$BX463,SUM($BZ463:$CB463)))</f>
        <v/>
      </c>
      <c r="CD463" s="135" t="str">
        <f aca="false">IF(ISBLANK($C463),"",IF($BX463&lt;&gt;Constants!$B$6,$BX463,RANK($CC463,$CC$9:$CC$508,1)))</f>
        <v/>
      </c>
      <c r="CE463" s="138" t="str">
        <f aca="false">IF($BX463&lt;&gt;Constants!$B$6,"",IF($BL463="-&gt;",$BT463,$BI463))</f>
        <v/>
      </c>
      <c r="CF463" s="135" t="str">
        <f aca="false">IF(ISBLANK($C463),"",IF($BX463&lt;&gt;Constants!$B$6,$BX463,IF(ISNUMBER($CE463),RANK($CE463,$CE$9:$CE$508,1),COUNT($CE$9:$CE$508)+1)))</f>
        <v/>
      </c>
      <c r="CG463" s="138" t="str">
        <f aca="false">IF($BX463&lt;&gt;Constants!$B$6,"",IF($BL463="-&gt;",$BU463,$BJ463))</f>
        <v/>
      </c>
      <c r="CH463" s="135" t="str">
        <f aca="false">IF(ISBLANK($C463),"",IF($BX463&lt;&gt;Constants!$B$6,$BX463,IF(ISNUMBER($CG463),RANK($CG463,$CG$9:$CG$508,1),COUNT($CG$9:$CG$508)+1)))</f>
        <v/>
      </c>
      <c r="CI463" s="138" t="str">
        <f aca="false">IF($BX463&lt;&gt;Constants!$B$6,"",IF($BL463="-&gt;",$BV463,$BK463))</f>
        <v/>
      </c>
      <c r="CJ463" s="135" t="str">
        <f aca="false">IF(ISBLANK($C463),"",IF($BX463&lt;&gt;Constants!$B$6,$BX463,IF(ISNUMBER($CI463),RANK($CI463,$CI$9:$CI$508,1),COUNT($CI$9:$CI$508)+1)))</f>
        <v/>
      </c>
      <c r="CK463" s="138" t="str">
        <f aca="false">IF($BX463&lt;&gt;Constants!$B$6,"",$AI463)</f>
        <v/>
      </c>
      <c r="CL463" s="135" t="str">
        <f aca="false">IF(ISBLANK($C463),"",IF($BX463&lt;&gt;Constants!$B$6,$BX463,IF(ISNUMBER($CK463),RANK($CK463,$CK$9:$CK$508,1),COUNT($CK$9:$CK$508)+1)))</f>
        <v/>
      </c>
      <c r="CM463" s="135" t="str">
        <f aca="false">IF(ISBLANK($C463),"",IF($BX463&lt;&gt;Constants!$B$6,$BX463,COUNTIFS($CD$9:$CD$508,"&lt;"&amp;$CD463)+COUNTIFS($CD$9:$CD$508,$CD463,$CF$9:$CF$508,"&lt;"&amp;$CF463)+COUNTIFS($CD$9:$CD$508,$CD463,$CF$9:$CF$508,$CF463,$CH$9:$CH$508,"&lt;"&amp;$CH463)+COUNTIFS($CD$9:$CD$508,$CD463,$CF$9:$CF$508,$CF463,$CH$9:$CH$508,$CH463,$CJ$9:$CJ$508,"&lt;"&amp;$CJ463)+COUNTIFS($CD$9:$CD$508,$CD463,$CF$9:$CF$508,$CF463,$CH$9:$CH$508,$CH463,$CJ$9:$CJ$508,$CJ463,$CL$9:$CL$508,"&lt;"&amp;$CL463)+1))</f>
        <v/>
      </c>
      <c r="CN463" s="135" t="str">
        <f aca="false">IF(ISBLANK($C463),"",IF($BX463&lt;&gt;Constants!$B$6,$BX463,$CD463-$CM463))</f>
        <v/>
      </c>
      <c r="CO463" s="141"/>
      <c r="CP463" s="142"/>
      <c r="CQ463" s="143" t="str">
        <f aca="false">IF(ISBLANK($C463),"",IF($BX463=Constants!$B$10,$BW463,""))</f>
        <v/>
      </c>
      <c r="CR463" s="142" t="str">
        <f aca="false">IF(ISBLANK($C463),"",IF($BX463&lt;&gt;Constants!$B$6,"",IF($BL463="-&gt;",2,1)))</f>
        <v/>
      </c>
      <c r="CS463" s="144" t="str">
        <f aca="false">IF(ISBLANK($C463),"",IF($BX463&lt;&gt;Constants!$B$6,"",IF($BL463="-&gt;",$BN463,$BC463)))</f>
        <v/>
      </c>
      <c r="CT463" s="144" t="str">
        <f aca="false">IF(ISBLANK($C463),"",IF($BX463&lt;&gt;Constants!$B$6,"",IF($BL463="-&gt;",$BO463,$BD463)))</f>
        <v/>
      </c>
      <c r="CU463" s="144" t="str">
        <f aca="false">IF(ISBLANK($C463),"",IF($BX463&lt;&gt;Constants!$B$6,"",IF($BL463="-&gt;",$BP463+$BQ463,$BE463+$BF463)+$CB463))</f>
        <v/>
      </c>
      <c r="CV463" s="144" t="str">
        <f aca="false">IF(ISBLANK($C463),"",IF($BX463&lt;&gt;Constants!$B$6,"",IF($BL463="-&gt;",$BR463,$BG463)+$CA463))</f>
        <v/>
      </c>
      <c r="CW463" s="145" t="str">
        <f aca="false">IF(ISBLANK($C463),"",IF($BX463&lt;&gt;Constants!$B$6,$BX463,$CC463))</f>
        <v/>
      </c>
      <c r="CX463" s="146" t="str">
        <f aca="false">IF(ISBLANK($C463),"",$BY463)</f>
        <v/>
      </c>
      <c r="CY463" s="147" t="str">
        <f aca="false">IF(ISBLANK($C463),"",$CN463)</f>
        <v/>
      </c>
      <c r="CZ463" s="147" t="str">
        <f aca="false">IF(ISBLANK($C463),"",$CM463)</f>
        <v/>
      </c>
      <c r="DA463" s="148" t="str">
        <f aca="false">IF(ISBLANK($C463),"",IFERROR(_xlfn.SWITCH($CZ463,Constants!$B$9,COUNTA($C$9:$C$508)+2,Constants!$B$8,COUNTA($C$9:$C$508)+1,Constants!$B$7,COUNTA($C$9:$C$508)),$CZ463))</f>
        <v/>
      </c>
      <c r="DB463" s="9"/>
      <c r="DC463" s="149" t="n">
        <f aca="false">IF(OR(ISNUMBER($CZ463),$CZ463=Constants!$B$9,$CZ463=Constants!$B$7,$CZ463=Constants!$B$8),1,0)</f>
        <v>0</v>
      </c>
      <c r="DD463" s="149" t="n">
        <v>455</v>
      </c>
      <c r="DE463" s="149" t="str">
        <f aca="false">IF(ISBLANK($C463),"",IF(ISNUMBER($DA463),$DA463+ROW($B463)/1000,""))</f>
        <v/>
      </c>
      <c r="DF463" s="149" t="str">
        <f aca="false">IF(ISNUMBER($DE463),RANK($DE463,$DE$9:$DE$508,1),"")</f>
        <v/>
      </c>
      <c r="DG463" s="149" t="str">
        <f aca="false">IF(ISBLANK($C463),"",$B463)</f>
        <v/>
      </c>
      <c r="DH463" s="149" t="str">
        <f aca="false">IF(ISBLANK($C463),"",$C463)</f>
        <v/>
      </c>
      <c r="DI463" s="149" t="str">
        <f aca="false">IF(ISBLANK($C463),"",$D463)</f>
        <v/>
      </c>
      <c r="DJ463" s="150" t="str">
        <f aca="false">$CX463</f>
        <v/>
      </c>
      <c r="DK463" s="151" t="str">
        <f aca="false">$CW463</f>
        <v/>
      </c>
      <c r="DL463" s="149" t="str">
        <f aca="false">IF(ISBLANK($C463),"",$CZ463)</f>
        <v/>
      </c>
      <c r="DM463" s="152" t="str">
        <f aca="false">IF($DD463&gt;$DC$8,"",VLOOKUP($DD463,$DF$9:$DL$508,7,FALSE()))</f>
        <v/>
      </c>
      <c r="DN463" s="153" t="str">
        <f aca="false">IF($DD463&gt;$DC$8,"",VLOOKUP($DD463,$DF$9:$DL$508,2,FALSE()))</f>
        <v/>
      </c>
      <c r="DO463" s="153" t="str">
        <f aca="false">IF($DD463&gt;$DC$8,"",VLOOKUP($DD463,$DF$9:$DL$508,3,FALSE()))</f>
        <v/>
      </c>
      <c r="DP463" s="153" t="str">
        <f aca="false">IF($DD463&gt;$DC$8,"",VLOOKUP($DD463,$DF$9:$DL$508,4,FALSE()))</f>
        <v/>
      </c>
      <c r="DQ463" s="153" t="str">
        <f aca="false">IF($DD463&gt;$DC$8,"",VLOOKUP($DD463,$DF$9:$DL$508,5,FALSE()))</f>
        <v/>
      </c>
      <c r="DR463" s="154" t="str">
        <f aca="false">IF($DD463&gt;$DC$8,"",VLOOKUP($DD463,$DF$9:$DL$508,6,FALSE()))</f>
        <v/>
      </c>
      <c r="DS463" s="76"/>
    </row>
    <row r="464" customFormat="false" ht="15.75" hidden="false" customHeight="false" outlineLevel="0" collapsed="false">
      <c r="A464" s="9"/>
      <c r="B464" s="160"/>
      <c r="C464" s="161"/>
      <c r="D464" s="162"/>
      <c r="E464" s="180"/>
      <c r="F464" s="164"/>
      <c r="G464" s="165"/>
      <c r="H464" s="165"/>
      <c r="I464" s="181"/>
      <c r="J464" s="168"/>
      <c r="K464" s="128"/>
      <c r="L464" s="129"/>
      <c r="M464" s="130"/>
      <c r="N464" s="168"/>
      <c r="O464" s="168"/>
      <c r="P464" s="180"/>
      <c r="Q464" s="168"/>
      <c r="R464" s="168"/>
      <c r="S464" s="128"/>
      <c r="T464" s="130"/>
      <c r="U464" s="130"/>
      <c r="V464" s="168"/>
      <c r="W464" s="168"/>
      <c r="X464" s="180"/>
      <c r="Y464" s="168"/>
      <c r="Z464" s="169"/>
      <c r="AA464" s="168"/>
      <c r="AB464" s="134"/>
      <c r="AC464" s="135"/>
      <c r="AD464" s="135"/>
      <c r="AE464" s="135"/>
      <c r="AF464" s="135" t="str">
        <f aca="false">IF(ISBLANK($C464),"",IF(E464=Constants!$B$2,TRUE(),IF(E464=Constants!$B$3,FALSE(),TRUE())))</f>
        <v/>
      </c>
      <c r="AG464" s="135" t="str">
        <f aca="false">IF(ISBLANK($C464),"",IF(F464=Constants!$B$2,TRUE(),IF(F464=Constants!$B$3,FALSE(),TRUE())))</f>
        <v/>
      </c>
      <c r="AH464" s="135" t="str">
        <f aca="false">IF(ISBLANK($C464),"",IF(G464=Constants!$B$2,TRUE(),IF(G464=Constants!$B$3,FALSE(),TRUE())))</f>
        <v/>
      </c>
      <c r="AI464" s="135" t="str">
        <f aca="false">IF(ISBLANK($C464),"",IF(AND(ISNUMBER(H464),H464&gt;=0),H464,Constants!$B$24))</f>
        <v/>
      </c>
      <c r="AJ464" s="135" t="str">
        <f aca="false">IF(ISBLANK($C464),"",IF(I464=Constants!$B$2,TRUE(),IF(I464=Constants!$B$3,FALSE(),TRUE())))</f>
        <v/>
      </c>
      <c r="AK464" s="135" t="str">
        <f aca="false">IF(ISBLANK($C464),"",IF(J464=Constants!$B$2,TRUE(),IF(J464=Constants!$B$3,FALSE(),TRUE())))</f>
        <v/>
      </c>
      <c r="AL464" s="135" t="str">
        <f aca="false">IF(ISBLANK($C464),"",IF(K464=Constants!$B$4,TRUE(),IF(K464=Constants!$B$5,FALSE(),COUNTA(L464:P464)&gt;0)))</f>
        <v/>
      </c>
      <c r="AM464" s="136" t="str">
        <f aca="false">IF(ISBLANK($C464),"",IF(ISNUMBER(L464),IF(L464&gt;=0,L464,""),""))</f>
        <v/>
      </c>
      <c r="AN464" s="137" t="str">
        <f aca="false">IF(ISBLANK($C464),"",IF(ISNUMBER(M464),IF(M464&gt;=0,M464,""),""))</f>
        <v/>
      </c>
      <c r="AO464" s="137" t="str">
        <f aca="false">IF(ISBLANK($C464),"",IF(N464=Constants!$B$2,TRUE(),IF(N464=Constants!$B$3,FALSE(),TRUE())))</f>
        <v/>
      </c>
      <c r="AP464" s="135" t="str">
        <f aca="false">IF(ISBLANK($C464),"",IF(ISNUMBER(O464),IF(O464&gt;=0,O464,""),""))</f>
        <v/>
      </c>
      <c r="AQ464" s="135" t="str">
        <f aca="false">IF(ISBLANK($C464),"",IF(P464=Constants!$B$2,TRUE(),IF(P464=Constants!$B$3,FALSE(),FALSE())))</f>
        <v/>
      </c>
      <c r="AR464" s="135" t="str">
        <f aca="false">IF(ISBLANK($C464),"",IF(Q464=Constants!$B$2,TRUE(),IF(Q464=Constants!$B$3,FALSE(),TRUE())))</f>
        <v/>
      </c>
      <c r="AS464" s="135" t="str">
        <f aca="false">IF(ISBLANK($C464),"",IF(R464=Constants!$B$2,TRUE(),IF(R464=Constants!$B$3,FALSE(),TRUE())))</f>
        <v/>
      </c>
      <c r="AT464" s="135" t="str">
        <f aca="false">IF(ISBLANK($C464),"",IF(S464=Constants!$B$4,TRUE(),IF(S464=Constants!$B$5,FALSE(),COUNTA(T464:X464)&gt;0)))</f>
        <v/>
      </c>
      <c r="AU464" s="136" t="str">
        <f aca="false">IF(ISBLANK($C464),"",IF(ISNUMBER(T464),IF(T464&gt;=0,T464,""),""))</f>
        <v/>
      </c>
      <c r="AV464" s="137" t="str">
        <f aca="false">IF(ISBLANK($C464),"",IF(ISNUMBER(U464),IF(U464&gt;=0,U464,""),""))</f>
        <v/>
      </c>
      <c r="AW464" s="137" t="str">
        <f aca="false">IF(ISBLANK($C464),"",IF(V464=Constants!$B$2,TRUE(),IF(V464=Constants!$B$3,FALSE(),TRUE())))</f>
        <v/>
      </c>
      <c r="AX464" s="135" t="str">
        <f aca="false">IF(ISBLANK($C464),"",IF(ISNUMBER(W464),IF(W464&gt;=0,W464,""),""))</f>
        <v/>
      </c>
      <c r="AY464" s="135" t="str">
        <f aca="false">IF(ISBLANK($C464),"",IF(X464=Constants!$B$2,TRUE(),IF(X464=Constants!$B$3,FALSE(),FALSE())))</f>
        <v/>
      </c>
      <c r="AZ464" s="135" t="str">
        <f aca="false">IF(ISBLANK($C464),"",MIN(Constants!$B$25,MAX(0,IF(ISNUMBER(Y464),Y464*60,0)+IF(ISNUMBER(Z464),Z464,0))))</f>
        <v/>
      </c>
      <c r="BA464" s="135" t="str">
        <f aca="false">IF(ISBLANK($C464),"",IF(AA464=Constants!$B$2,TRUE(),IF(AA464=Constants!$B$3,FALSE(),FALSE())))</f>
        <v/>
      </c>
      <c r="BB464" s="134" t="str">
        <f aca="false">IF(ISBLANK($C464),"",AND($AL464,OR($AM464="",$AN464="",AND($AO464,$AP464=""))))</f>
        <v/>
      </c>
      <c r="BC464" s="137" t="str">
        <f aca="false">IF($BX464&lt;&gt;Constants!$B$6,"",IF($AL464,Constants!$B$17*$AN464+Constants!$B$18*IF($AO464,$AP464,Constants!$B$19),Constants!$B$20))</f>
        <v/>
      </c>
      <c r="BD464" s="138" t="str">
        <f aca="false">IF($BX464&lt;&gt;Constants!$B$6,"",Constants!$B$21*ABS($AD$9-IF($AL464,$AM464,0)))</f>
        <v/>
      </c>
      <c r="BE464" s="138" t="str">
        <f aca="false">IF($BX464&lt;&gt;Constants!$B$6,"",IF(AND($AL464,$AQ464,$AO464),Constants!$B$22,0))</f>
        <v/>
      </c>
      <c r="BF464" s="138" t="str">
        <f aca="false">IF($BX464&lt;&gt;Constants!$B$6,"",IF($AL464,($AI464-Constants!$B$24)*Constants!$B$23,0))</f>
        <v/>
      </c>
      <c r="BG464" s="138" t="str">
        <f aca="false">IF($BX464&lt;&gt;Constants!$B$6,"",IF($AK464,0,Constants!$B$12)+IF($AJ464,0,Constants!$B$13)+IF($AH464,0,Constants!$B$14))</f>
        <v/>
      </c>
      <c r="BH464" s="139" t="str">
        <f aca="false">IF($BX464&lt;&gt;Constants!$B$6,"",Constants!$B$16+SUM($BC464:$BG464))</f>
        <v/>
      </c>
      <c r="BI464" s="138" t="str">
        <f aca="false">IF($BX464&lt;&gt;Constants!$B$6,"",$BC464)</f>
        <v/>
      </c>
      <c r="BJ464" s="138" t="str">
        <f aca="false">IF($BX464&lt;&gt;Constants!$B$6,"",$BD464)</f>
        <v/>
      </c>
      <c r="BK464" s="140" t="str">
        <f aca="false">IF($BX464&lt;&gt;Constants!$B$6,"",IF($AL464,$AN464,""))</f>
        <v/>
      </c>
      <c r="BL464" s="135" t="str">
        <f aca="false">IF($BX464&lt;&gt;Constants!$B$6,"",IF(OR($BS464&lt;$BH464,AND($BS464=$BH464,OR($BT464&lt;$BI464,AND($BT464=$BI464,OR($BU464&lt;$BJ464,AND($BU464=$BJ464,AND(ISNUMBER($BV464),OR(NOT(ISNUMBER($BK464)),$BV464&lt;$BK464)))))))),"-&gt;","&lt;-"))</f>
        <v/>
      </c>
      <c r="BM464" s="134" t="str">
        <f aca="false">IF(ISBLANK($C464),"",AND($AT464,OR($AU464="",$AV464="",AND($AW464,$AX464=""))))</f>
        <v/>
      </c>
      <c r="BN464" s="137" t="str">
        <f aca="false">IF($BX464&lt;&gt;Constants!$B$6,"",IF($AT464,Constants!$B$17*$AV464+Constants!$B$18*IF($AW464,$AX464,Constants!$B$19),Constants!$B$20))</f>
        <v/>
      </c>
      <c r="BO464" s="138" t="str">
        <f aca="false">IF($BX464&lt;&gt;Constants!$B$6,"",Constants!$B$21*ABS($AD$9-IF($AT464,$AU464,0)))</f>
        <v/>
      </c>
      <c r="BP464" s="138" t="str">
        <f aca="false">IF($BX464&lt;&gt;Constants!$B$6,"",IF(AND($AT464,$AY464,$AW464),Constants!$B$22,0))</f>
        <v/>
      </c>
      <c r="BQ464" s="138" t="str">
        <f aca="false">IF($BX464&lt;&gt;Constants!$B$6,"",IF($AT464,($AI464-Constants!$B$24)*Constants!$B$23,0))</f>
        <v/>
      </c>
      <c r="BR464" s="138" t="str">
        <f aca="false">IF($BX464&lt;&gt;Constants!$B$6,"",IF($AS464,0,Constants!$B$12)+IF($AR464,0,Constants!$B$13)+IF($AH464,0,Constants!$B$14))</f>
        <v/>
      </c>
      <c r="BS464" s="139" t="str">
        <f aca="false">IF($BX464&lt;&gt;Constants!$B$6,"",Constants!$B$16+SUM($BN464:$BR464))</f>
        <v/>
      </c>
      <c r="BT464" s="138" t="str">
        <f aca="false">IF($BX464&lt;&gt;Constants!$B$6,"",$BN464)</f>
        <v/>
      </c>
      <c r="BU464" s="138" t="str">
        <f aca="false">IF($BX464&lt;&gt;Constants!$B$6,"",$BO464)</f>
        <v/>
      </c>
      <c r="BV464" s="140" t="str">
        <f aca="false">IF($BX464&lt;&gt;Constants!$B$6,"",IF($AT464,$AV464,""))</f>
        <v/>
      </c>
      <c r="BW464" s="135" t="str">
        <f aca="false">IF(ISBLANK($C464),"",IF(ISBLANK($D$7),$BW$5,IF(NOT(ISNUMBER($D$7)),$BW$6,"")))</f>
        <v/>
      </c>
      <c r="BX464" s="135" t="str">
        <f aca="false">IF(ISBLANK($C464),"",IF($BA464,Constants!$B$9,IF(COUNTA($E464:$AA464)=0,Constants!$B$8,IF(NOT($AG464),Constants!$B$7,IF(OR($BW464&lt;&gt;"",$BB464,$BM464),Constants!$B$10,Constants!$B$6)))))</f>
        <v/>
      </c>
      <c r="BY464" s="135" t="str">
        <f aca="false">IF(ISBLANK($C464),"",IF($BX464&lt;&gt;Constants!$B$6,$BX464,Constants!$B$11))</f>
        <v/>
      </c>
      <c r="BZ464" s="138" t="str">
        <f aca="false">IF($BX464&lt;&gt;Constants!$B$6,"",IF($BL464="-&gt;",$BS464,$BH464))</f>
        <v/>
      </c>
      <c r="CA464" s="138" t="str">
        <f aca="false">IF($BX464&lt;&gt;Constants!$B$6,"",IF($AF464,0,Constants!$B$15))</f>
        <v/>
      </c>
      <c r="CB464" s="138" t="str">
        <f aca="false">IF($BX464&lt;&gt;Constants!$B$6,"",((Constants!$B$25-$AZ464)-Constants!$B$25)/Constants!$B$26)</f>
        <v/>
      </c>
      <c r="CC464" s="138" t="str">
        <f aca="false">IF(ISBLANK($C464),"",IF($BX464&lt;&gt;Constants!$B$6,$BX464,SUM($BZ464:$CB464)))</f>
        <v/>
      </c>
      <c r="CD464" s="135" t="str">
        <f aca="false">IF(ISBLANK($C464),"",IF($BX464&lt;&gt;Constants!$B$6,$BX464,RANK($CC464,$CC$9:$CC$508,1)))</f>
        <v/>
      </c>
      <c r="CE464" s="138" t="str">
        <f aca="false">IF($BX464&lt;&gt;Constants!$B$6,"",IF($BL464="-&gt;",$BT464,$BI464))</f>
        <v/>
      </c>
      <c r="CF464" s="135" t="str">
        <f aca="false">IF(ISBLANK($C464),"",IF($BX464&lt;&gt;Constants!$B$6,$BX464,IF(ISNUMBER($CE464),RANK($CE464,$CE$9:$CE$508,1),COUNT($CE$9:$CE$508)+1)))</f>
        <v/>
      </c>
      <c r="CG464" s="138" t="str">
        <f aca="false">IF($BX464&lt;&gt;Constants!$B$6,"",IF($BL464="-&gt;",$BU464,$BJ464))</f>
        <v/>
      </c>
      <c r="CH464" s="135" t="str">
        <f aca="false">IF(ISBLANK($C464),"",IF($BX464&lt;&gt;Constants!$B$6,$BX464,IF(ISNUMBER($CG464),RANK($CG464,$CG$9:$CG$508,1),COUNT($CG$9:$CG$508)+1)))</f>
        <v/>
      </c>
      <c r="CI464" s="138" t="str">
        <f aca="false">IF($BX464&lt;&gt;Constants!$B$6,"",IF($BL464="-&gt;",$BV464,$BK464))</f>
        <v/>
      </c>
      <c r="CJ464" s="135" t="str">
        <f aca="false">IF(ISBLANK($C464),"",IF($BX464&lt;&gt;Constants!$B$6,$BX464,IF(ISNUMBER($CI464),RANK($CI464,$CI$9:$CI$508,1),COUNT($CI$9:$CI$508)+1)))</f>
        <v/>
      </c>
      <c r="CK464" s="138" t="str">
        <f aca="false">IF($BX464&lt;&gt;Constants!$B$6,"",$AI464)</f>
        <v/>
      </c>
      <c r="CL464" s="135" t="str">
        <f aca="false">IF(ISBLANK($C464),"",IF($BX464&lt;&gt;Constants!$B$6,$BX464,IF(ISNUMBER($CK464),RANK($CK464,$CK$9:$CK$508,1),COUNT($CK$9:$CK$508)+1)))</f>
        <v/>
      </c>
      <c r="CM464" s="135" t="str">
        <f aca="false">IF(ISBLANK($C464),"",IF($BX464&lt;&gt;Constants!$B$6,$BX464,COUNTIFS($CD$9:$CD$508,"&lt;"&amp;$CD464)+COUNTIFS($CD$9:$CD$508,$CD464,$CF$9:$CF$508,"&lt;"&amp;$CF464)+COUNTIFS($CD$9:$CD$508,$CD464,$CF$9:$CF$508,$CF464,$CH$9:$CH$508,"&lt;"&amp;$CH464)+COUNTIFS($CD$9:$CD$508,$CD464,$CF$9:$CF$508,$CF464,$CH$9:$CH$508,$CH464,$CJ$9:$CJ$508,"&lt;"&amp;$CJ464)+COUNTIFS($CD$9:$CD$508,$CD464,$CF$9:$CF$508,$CF464,$CH$9:$CH$508,$CH464,$CJ$9:$CJ$508,$CJ464,$CL$9:$CL$508,"&lt;"&amp;$CL464)+1))</f>
        <v/>
      </c>
      <c r="CN464" s="135" t="str">
        <f aca="false">IF(ISBLANK($C464),"",IF($BX464&lt;&gt;Constants!$B$6,$BX464,$CD464-$CM464))</f>
        <v/>
      </c>
      <c r="CO464" s="141"/>
      <c r="CP464" s="142"/>
      <c r="CQ464" s="143" t="str">
        <f aca="false">IF(ISBLANK($C464),"",IF($BX464=Constants!$B$10,$BW464,""))</f>
        <v/>
      </c>
      <c r="CR464" s="142" t="str">
        <f aca="false">IF(ISBLANK($C464),"",IF($BX464&lt;&gt;Constants!$B$6,"",IF($BL464="-&gt;",2,1)))</f>
        <v/>
      </c>
      <c r="CS464" s="144" t="str">
        <f aca="false">IF(ISBLANK($C464),"",IF($BX464&lt;&gt;Constants!$B$6,"",IF($BL464="-&gt;",$BN464,$BC464)))</f>
        <v/>
      </c>
      <c r="CT464" s="144" t="str">
        <f aca="false">IF(ISBLANK($C464),"",IF($BX464&lt;&gt;Constants!$B$6,"",IF($BL464="-&gt;",$BO464,$BD464)))</f>
        <v/>
      </c>
      <c r="CU464" s="144" t="str">
        <f aca="false">IF(ISBLANK($C464),"",IF($BX464&lt;&gt;Constants!$B$6,"",IF($BL464="-&gt;",$BP464+$BQ464,$BE464+$BF464)+$CB464))</f>
        <v/>
      </c>
      <c r="CV464" s="144" t="str">
        <f aca="false">IF(ISBLANK($C464),"",IF($BX464&lt;&gt;Constants!$B$6,"",IF($BL464="-&gt;",$BR464,$BG464)+$CA464))</f>
        <v/>
      </c>
      <c r="CW464" s="145" t="str">
        <f aca="false">IF(ISBLANK($C464),"",IF($BX464&lt;&gt;Constants!$B$6,$BX464,$CC464))</f>
        <v/>
      </c>
      <c r="CX464" s="146" t="str">
        <f aca="false">IF(ISBLANK($C464),"",$BY464)</f>
        <v/>
      </c>
      <c r="CY464" s="147" t="str">
        <f aca="false">IF(ISBLANK($C464),"",$CN464)</f>
        <v/>
      </c>
      <c r="CZ464" s="147" t="str">
        <f aca="false">IF(ISBLANK($C464),"",$CM464)</f>
        <v/>
      </c>
      <c r="DA464" s="148" t="str">
        <f aca="false">IF(ISBLANK($C464),"",IFERROR(_xlfn.SWITCH($CZ464,Constants!$B$9,COUNTA($C$9:$C$508)+2,Constants!$B$8,COUNTA($C$9:$C$508)+1,Constants!$B$7,COUNTA($C$9:$C$508)),$CZ464))</f>
        <v/>
      </c>
      <c r="DB464" s="9"/>
      <c r="DC464" s="149" t="n">
        <f aca="false">IF(OR(ISNUMBER($CZ464),$CZ464=Constants!$B$9,$CZ464=Constants!$B$7,$CZ464=Constants!$B$8),1,0)</f>
        <v>0</v>
      </c>
      <c r="DD464" s="149" t="n">
        <v>456</v>
      </c>
      <c r="DE464" s="149" t="str">
        <f aca="false">IF(ISBLANK($C464),"",IF(ISNUMBER($DA464),$DA464+ROW($B464)/1000,""))</f>
        <v/>
      </c>
      <c r="DF464" s="149" t="str">
        <f aca="false">IF(ISNUMBER($DE464),RANK($DE464,$DE$9:$DE$508,1),"")</f>
        <v/>
      </c>
      <c r="DG464" s="149" t="str">
        <f aca="false">IF(ISBLANK($C464),"",$B464)</f>
        <v/>
      </c>
      <c r="DH464" s="149" t="str">
        <f aca="false">IF(ISBLANK($C464),"",$C464)</f>
        <v/>
      </c>
      <c r="DI464" s="149" t="str">
        <f aca="false">IF(ISBLANK($C464),"",$D464)</f>
        <v/>
      </c>
      <c r="DJ464" s="150" t="str">
        <f aca="false">$CX464</f>
        <v/>
      </c>
      <c r="DK464" s="151" t="str">
        <f aca="false">$CW464</f>
        <v/>
      </c>
      <c r="DL464" s="149" t="str">
        <f aca="false">IF(ISBLANK($C464),"",$CZ464)</f>
        <v/>
      </c>
      <c r="DM464" s="152" t="str">
        <f aca="false">IF($DD464&gt;$DC$8,"",VLOOKUP($DD464,$DF$9:$DL$508,7,FALSE()))</f>
        <v/>
      </c>
      <c r="DN464" s="153" t="str">
        <f aca="false">IF($DD464&gt;$DC$8,"",VLOOKUP($DD464,$DF$9:$DL$508,2,FALSE()))</f>
        <v/>
      </c>
      <c r="DO464" s="153" t="str">
        <f aca="false">IF($DD464&gt;$DC$8,"",VLOOKUP($DD464,$DF$9:$DL$508,3,FALSE()))</f>
        <v/>
      </c>
      <c r="DP464" s="153" t="str">
        <f aca="false">IF($DD464&gt;$DC$8,"",VLOOKUP($DD464,$DF$9:$DL$508,4,FALSE()))</f>
        <v/>
      </c>
      <c r="DQ464" s="153" t="str">
        <f aca="false">IF($DD464&gt;$DC$8,"",VLOOKUP($DD464,$DF$9:$DL$508,5,FALSE()))</f>
        <v/>
      </c>
      <c r="DR464" s="154" t="str">
        <f aca="false">IF($DD464&gt;$DC$8,"",VLOOKUP($DD464,$DF$9:$DL$508,6,FALSE()))</f>
        <v/>
      </c>
      <c r="DS464" s="76"/>
    </row>
    <row r="465" customFormat="false" ht="15.75" hidden="false" customHeight="false" outlineLevel="0" collapsed="false">
      <c r="A465" s="9"/>
      <c r="B465" s="78"/>
      <c r="C465" s="79"/>
      <c r="D465" s="170"/>
      <c r="E465" s="178"/>
      <c r="F465" s="172"/>
      <c r="G465" s="173"/>
      <c r="H465" s="173"/>
      <c r="I465" s="179"/>
      <c r="J465" s="176"/>
      <c r="K465" s="86"/>
      <c r="L465" s="87"/>
      <c r="M465" s="88"/>
      <c r="N465" s="176"/>
      <c r="O465" s="176"/>
      <c r="P465" s="178"/>
      <c r="Q465" s="176"/>
      <c r="R465" s="176"/>
      <c r="S465" s="86"/>
      <c r="T465" s="88"/>
      <c r="U465" s="88"/>
      <c r="V465" s="176"/>
      <c r="W465" s="176"/>
      <c r="X465" s="178"/>
      <c r="Y465" s="176"/>
      <c r="Z465" s="177"/>
      <c r="AA465" s="176"/>
      <c r="AB465" s="92"/>
      <c r="AC465" s="93"/>
      <c r="AD465" s="93"/>
      <c r="AE465" s="93"/>
      <c r="AF465" s="93" t="str">
        <f aca="false">IF(ISBLANK($C465),"",IF(E465=Constants!$B$2,TRUE(),IF(E465=Constants!$B$3,FALSE(),TRUE())))</f>
        <v/>
      </c>
      <c r="AG465" s="93" t="str">
        <f aca="false">IF(ISBLANK($C465),"",IF(F465=Constants!$B$2,TRUE(),IF(F465=Constants!$B$3,FALSE(),TRUE())))</f>
        <v/>
      </c>
      <c r="AH465" s="93" t="str">
        <f aca="false">IF(ISBLANK($C465),"",IF(G465=Constants!$B$2,TRUE(),IF(G465=Constants!$B$3,FALSE(),TRUE())))</f>
        <v/>
      </c>
      <c r="AI465" s="93" t="str">
        <f aca="false">IF(ISBLANK($C465),"",IF(AND(ISNUMBER(H465),H465&gt;=0),H465,Constants!$B$24))</f>
        <v/>
      </c>
      <c r="AJ465" s="93" t="str">
        <f aca="false">IF(ISBLANK($C465),"",IF(I465=Constants!$B$2,TRUE(),IF(I465=Constants!$B$3,FALSE(),TRUE())))</f>
        <v/>
      </c>
      <c r="AK465" s="93" t="str">
        <f aca="false">IF(ISBLANK($C465),"",IF(J465=Constants!$B$2,TRUE(),IF(J465=Constants!$B$3,FALSE(),TRUE())))</f>
        <v/>
      </c>
      <c r="AL465" s="93" t="str">
        <f aca="false">IF(ISBLANK($C465),"",IF(K465=Constants!$B$4,TRUE(),IF(K465=Constants!$B$5,FALSE(),COUNTA(L465:P465)&gt;0)))</f>
        <v/>
      </c>
      <c r="AM465" s="95" t="str">
        <f aca="false">IF(ISBLANK($C465),"",IF(ISNUMBER(L465),IF(L465&gt;=0,L465,""),""))</f>
        <v/>
      </c>
      <c r="AN465" s="94" t="str">
        <f aca="false">IF(ISBLANK($C465),"",IF(ISNUMBER(M465),IF(M465&gt;=0,M465,""),""))</f>
        <v/>
      </c>
      <c r="AO465" s="94" t="str">
        <f aca="false">IF(ISBLANK($C465),"",IF(N465=Constants!$B$2,TRUE(),IF(N465=Constants!$B$3,FALSE(),TRUE())))</f>
        <v/>
      </c>
      <c r="AP465" s="93" t="str">
        <f aca="false">IF(ISBLANK($C465),"",IF(ISNUMBER(O465),IF(O465&gt;=0,O465,""),""))</f>
        <v/>
      </c>
      <c r="AQ465" s="93" t="str">
        <f aca="false">IF(ISBLANK($C465),"",IF(P465=Constants!$B$2,TRUE(),IF(P465=Constants!$B$3,FALSE(),FALSE())))</f>
        <v/>
      </c>
      <c r="AR465" s="93" t="str">
        <f aca="false">IF(ISBLANK($C465),"",IF(Q465=Constants!$B$2,TRUE(),IF(Q465=Constants!$B$3,FALSE(),TRUE())))</f>
        <v/>
      </c>
      <c r="AS465" s="93" t="str">
        <f aca="false">IF(ISBLANK($C465),"",IF(R465=Constants!$B$2,TRUE(),IF(R465=Constants!$B$3,FALSE(),TRUE())))</f>
        <v/>
      </c>
      <c r="AT465" s="93" t="str">
        <f aca="false">IF(ISBLANK($C465),"",IF(S465=Constants!$B$4,TRUE(),IF(S465=Constants!$B$5,FALSE(),COUNTA(T465:X465)&gt;0)))</f>
        <v/>
      </c>
      <c r="AU465" s="95" t="str">
        <f aca="false">IF(ISBLANK($C465),"",IF(ISNUMBER(T465),IF(T465&gt;=0,T465,""),""))</f>
        <v/>
      </c>
      <c r="AV465" s="94" t="str">
        <f aca="false">IF(ISBLANK($C465),"",IF(ISNUMBER(U465),IF(U465&gt;=0,U465,""),""))</f>
        <v/>
      </c>
      <c r="AW465" s="94" t="str">
        <f aca="false">IF(ISBLANK($C465),"",IF(V465=Constants!$B$2,TRUE(),IF(V465=Constants!$B$3,FALSE(),TRUE())))</f>
        <v/>
      </c>
      <c r="AX465" s="93" t="str">
        <f aca="false">IF(ISBLANK($C465),"",IF(ISNUMBER(W465),IF(W465&gt;=0,W465,""),""))</f>
        <v/>
      </c>
      <c r="AY465" s="93" t="str">
        <f aca="false">IF(ISBLANK($C465),"",IF(X465=Constants!$B$2,TRUE(),IF(X465=Constants!$B$3,FALSE(),FALSE())))</f>
        <v/>
      </c>
      <c r="AZ465" s="93" t="str">
        <f aca="false">IF(ISBLANK($C465),"",MIN(Constants!$B$25,MAX(0,IF(ISNUMBER(Y465),Y465*60,0)+IF(ISNUMBER(Z465),Z465,0))))</f>
        <v/>
      </c>
      <c r="BA465" s="93" t="str">
        <f aca="false">IF(ISBLANK($C465),"",IF(AA465=Constants!$B$2,TRUE(),IF(AA465=Constants!$B$3,FALSE(),FALSE())))</f>
        <v/>
      </c>
      <c r="BB465" s="92" t="str">
        <f aca="false">IF(ISBLANK($C465),"",AND($AL465,OR($AM465="",$AN465="",AND($AO465,$AP465=""))))</f>
        <v/>
      </c>
      <c r="BC465" s="94" t="str">
        <f aca="false">IF($BX465&lt;&gt;Constants!$B$6,"",IF($AL465,Constants!$B$17*$AN465+Constants!$B$18*IF($AO465,$AP465,Constants!$B$19),Constants!$B$20))</f>
        <v/>
      </c>
      <c r="BD465" s="97" t="str">
        <f aca="false">IF($BX465&lt;&gt;Constants!$B$6,"",Constants!$B$21*ABS($AD$9-IF($AL465,$AM465,0)))</f>
        <v/>
      </c>
      <c r="BE465" s="97" t="str">
        <f aca="false">IF($BX465&lt;&gt;Constants!$B$6,"",IF(AND($AL465,$AQ465,$AO465),Constants!$B$22,0))</f>
        <v/>
      </c>
      <c r="BF465" s="97" t="str">
        <f aca="false">IF($BX465&lt;&gt;Constants!$B$6,"",IF($AL465,($AI465-Constants!$B$24)*Constants!$B$23,0))</f>
        <v/>
      </c>
      <c r="BG465" s="97" t="str">
        <f aca="false">IF($BX465&lt;&gt;Constants!$B$6,"",IF($AK465,0,Constants!$B$12)+IF($AJ465,0,Constants!$B$13)+IF($AH465,0,Constants!$B$14))</f>
        <v/>
      </c>
      <c r="BH465" s="98" t="str">
        <f aca="false">IF($BX465&lt;&gt;Constants!$B$6,"",Constants!$B$16+SUM($BC465:$BG465))</f>
        <v/>
      </c>
      <c r="BI465" s="97" t="str">
        <f aca="false">IF($BX465&lt;&gt;Constants!$B$6,"",$BC465)</f>
        <v/>
      </c>
      <c r="BJ465" s="97" t="str">
        <f aca="false">IF($BX465&lt;&gt;Constants!$B$6,"",$BD465)</f>
        <v/>
      </c>
      <c r="BK465" s="99" t="str">
        <f aca="false">IF($BX465&lt;&gt;Constants!$B$6,"",IF($AL465,$AN465,""))</f>
        <v/>
      </c>
      <c r="BL465" s="93" t="str">
        <f aca="false">IF($BX465&lt;&gt;Constants!$B$6,"",IF(OR($BS465&lt;$BH465,AND($BS465=$BH465,OR($BT465&lt;$BI465,AND($BT465=$BI465,OR($BU465&lt;$BJ465,AND($BU465=$BJ465,AND(ISNUMBER($BV465),OR(NOT(ISNUMBER($BK465)),$BV465&lt;$BK465)))))))),"-&gt;","&lt;-"))</f>
        <v/>
      </c>
      <c r="BM465" s="92" t="str">
        <f aca="false">IF(ISBLANK($C465),"",AND($AT465,OR($AU465="",$AV465="",AND($AW465,$AX465=""))))</f>
        <v/>
      </c>
      <c r="BN465" s="94" t="str">
        <f aca="false">IF($BX465&lt;&gt;Constants!$B$6,"",IF($AT465,Constants!$B$17*$AV465+Constants!$B$18*IF($AW465,$AX465,Constants!$B$19),Constants!$B$20))</f>
        <v/>
      </c>
      <c r="BO465" s="97" t="str">
        <f aca="false">IF($BX465&lt;&gt;Constants!$B$6,"",Constants!$B$21*ABS($AD$9-IF($AT465,$AU465,0)))</f>
        <v/>
      </c>
      <c r="BP465" s="97" t="str">
        <f aca="false">IF($BX465&lt;&gt;Constants!$B$6,"",IF(AND($AT465,$AY465,$AW465),Constants!$B$22,0))</f>
        <v/>
      </c>
      <c r="BQ465" s="97" t="str">
        <f aca="false">IF($BX465&lt;&gt;Constants!$B$6,"",IF($AT465,($AI465-Constants!$B$24)*Constants!$B$23,0))</f>
        <v/>
      </c>
      <c r="BR465" s="97" t="str">
        <f aca="false">IF($BX465&lt;&gt;Constants!$B$6,"",IF($AS465,0,Constants!$B$12)+IF($AR465,0,Constants!$B$13)+IF($AH465,0,Constants!$B$14))</f>
        <v/>
      </c>
      <c r="BS465" s="98" t="str">
        <f aca="false">IF($BX465&lt;&gt;Constants!$B$6,"",Constants!$B$16+SUM($BN465:$BR465))</f>
        <v/>
      </c>
      <c r="BT465" s="97" t="str">
        <f aca="false">IF($BX465&lt;&gt;Constants!$B$6,"",$BN465)</f>
        <v/>
      </c>
      <c r="BU465" s="97" t="str">
        <f aca="false">IF($BX465&lt;&gt;Constants!$B$6,"",$BO465)</f>
        <v/>
      </c>
      <c r="BV465" s="99" t="str">
        <f aca="false">IF($BX465&lt;&gt;Constants!$B$6,"",IF($AT465,$AV465,""))</f>
        <v/>
      </c>
      <c r="BW465" s="93" t="str">
        <f aca="false">IF(ISBLANK($C465),"",IF(ISBLANK($D$7),$BW$5,IF(NOT(ISNUMBER($D$7)),$BW$6,"")))</f>
        <v/>
      </c>
      <c r="BX465" s="93" t="str">
        <f aca="false">IF(ISBLANK($C465),"",IF($BA465,Constants!$B$9,IF(COUNTA($E465:$AA465)=0,Constants!$B$8,IF(NOT($AG465),Constants!$B$7,IF(OR($BW465&lt;&gt;"",$BB465,$BM465),Constants!$B$10,Constants!$B$6)))))</f>
        <v/>
      </c>
      <c r="BY465" s="93" t="str">
        <f aca="false">IF(ISBLANK($C465),"",IF($BX465&lt;&gt;Constants!$B$6,$BX465,Constants!$B$11))</f>
        <v/>
      </c>
      <c r="BZ465" s="97" t="str">
        <f aca="false">IF($BX465&lt;&gt;Constants!$B$6,"",IF($BL465="-&gt;",$BS465,$BH465))</f>
        <v/>
      </c>
      <c r="CA465" s="97" t="str">
        <f aca="false">IF($BX465&lt;&gt;Constants!$B$6,"",IF($AF465,0,Constants!$B$15))</f>
        <v/>
      </c>
      <c r="CB465" s="97" t="str">
        <f aca="false">IF($BX465&lt;&gt;Constants!$B$6,"",((Constants!$B$25-$AZ465)-Constants!$B$25)/Constants!$B$26)</f>
        <v/>
      </c>
      <c r="CC465" s="97" t="str">
        <f aca="false">IF(ISBLANK($C465),"",IF($BX465&lt;&gt;Constants!$B$6,$BX465,SUM($BZ465:$CB465)))</f>
        <v/>
      </c>
      <c r="CD465" s="93" t="str">
        <f aca="false">IF(ISBLANK($C465),"",IF($BX465&lt;&gt;Constants!$B$6,$BX465,RANK($CC465,$CC$9:$CC$508,1)))</f>
        <v/>
      </c>
      <c r="CE465" s="97" t="str">
        <f aca="false">IF($BX465&lt;&gt;Constants!$B$6,"",IF($BL465="-&gt;",$BT465,$BI465))</f>
        <v/>
      </c>
      <c r="CF465" s="93" t="str">
        <f aca="false">IF(ISBLANK($C465),"",IF($BX465&lt;&gt;Constants!$B$6,$BX465,IF(ISNUMBER($CE465),RANK($CE465,$CE$9:$CE$508,1),COUNT($CE$9:$CE$508)+1)))</f>
        <v/>
      </c>
      <c r="CG465" s="97" t="str">
        <f aca="false">IF($BX465&lt;&gt;Constants!$B$6,"",IF($BL465="-&gt;",$BU465,$BJ465))</f>
        <v/>
      </c>
      <c r="CH465" s="93" t="str">
        <f aca="false">IF(ISBLANK($C465),"",IF($BX465&lt;&gt;Constants!$B$6,$BX465,IF(ISNUMBER($CG465),RANK($CG465,$CG$9:$CG$508,1),COUNT($CG$9:$CG$508)+1)))</f>
        <v/>
      </c>
      <c r="CI465" s="97" t="str">
        <f aca="false">IF($BX465&lt;&gt;Constants!$B$6,"",IF($BL465="-&gt;",$BV465,$BK465))</f>
        <v/>
      </c>
      <c r="CJ465" s="93" t="str">
        <f aca="false">IF(ISBLANK($C465),"",IF($BX465&lt;&gt;Constants!$B$6,$BX465,IF(ISNUMBER($CI465),RANK($CI465,$CI$9:$CI$508,1),COUNT($CI$9:$CI$508)+1)))</f>
        <v/>
      </c>
      <c r="CK465" s="97" t="str">
        <f aca="false">IF($BX465&lt;&gt;Constants!$B$6,"",$AI465)</f>
        <v/>
      </c>
      <c r="CL465" s="93" t="str">
        <f aca="false">IF(ISBLANK($C465),"",IF($BX465&lt;&gt;Constants!$B$6,$BX465,IF(ISNUMBER($CK465),RANK($CK465,$CK$9:$CK$508,1),COUNT($CK$9:$CK$508)+1)))</f>
        <v/>
      </c>
      <c r="CM465" s="93" t="str">
        <f aca="false">IF(ISBLANK($C465),"",IF($BX465&lt;&gt;Constants!$B$6,$BX465,COUNTIFS($CD$9:$CD$508,"&lt;"&amp;$CD465)+COUNTIFS($CD$9:$CD$508,$CD465,$CF$9:$CF$508,"&lt;"&amp;$CF465)+COUNTIFS($CD$9:$CD$508,$CD465,$CF$9:$CF$508,$CF465,$CH$9:$CH$508,"&lt;"&amp;$CH465)+COUNTIFS($CD$9:$CD$508,$CD465,$CF$9:$CF$508,$CF465,$CH$9:$CH$508,$CH465,$CJ$9:$CJ$508,"&lt;"&amp;$CJ465)+COUNTIFS($CD$9:$CD$508,$CD465,$CF$9:$CF$508,$CF465,$CH$9:$CH$508,$CH465,$CJ$9:$CJ$508,$CJ465,$CL$9:$CL$508,"&lt;"&amp;$CL465)+1))</f>
        <v/>
      </c>
      <c r="CN465" s="93" t="str">
        <f aca="false">IF(ISBLANK($C465),"",IF($BX465&lt;&gt;Constants!$B$6,$BX465,$CD465-$CM465))</f>
        <v/>
      </c>
      <c r="CO465" s="100"/>
      <c r="CP465" s="101"/>
      <c r="CQ465" s="102" t="str">
        <f aca="false">IF(ISBLANK($C465),"",IF($BX465=Constants!$B$10,$BW465,""))</f>
        <v/>
      </c>
      <c r="CR465" s="101" t="str">
        <f aca="false">IF(ISBLANK($C465),"",IF($BX465&lt;&gt;Constants!$B$6,"",IF($BL465="-&gt;",2,1)))</f>
        <v/>
      </c>
      <c r="CS465" s="103" t="str">
        <f aca="false">IF(ISBLANK($C465),"",IF($BX465&lt;&gt;Constants!$B$6,"",IF($BL465="-&gt;",$BN465,$BC465)))</f>
        <v/>
      </c>
      <c r="CT465" s="103" t="str">
        <f aca="false">IF(ISBLANK($C465),"",IF($BX465&lt;&gt;Constants!$B$6,"",IF($BL465="-&gt;",$BO465,$BD465)))</f>
        <v/>
      </c>
      <c r="CU465" s="103" t="str">
        <f aca="false">IF(ISBLANK($C465),"",IF($BX465&lt;&gt;Constants!$B$6,"",IF($BL465="-&gt;",$BP465+$BQ465,$BE465+$BF465)+$CB465))</f>
        <v/>
      </c>
      <c r="CV465" s="103" t="str">
        <f aca="false">IF(ISBLANK($C465),"",IF($BX465&lt;&gt;Constants!$B$6,"",IF($BL465="-&gt;",$BR465,$BG465)+$CA465))</f>
        <v/>
      </c>
      <c r="CW465" s="104" t="str">
        <f aca="false">IF(ISBLANK($C465),"",IF($BX465&lt;&gt;Constants!$B$6,$BX465,$CC465))</f>
        <v/>
      </c>
      <c r="CX465" s="105" t="str">
        <f aca="false">IF(ISBLANK($C465),"",$BY465)</f>
        <v/>
      </c>
      <c r="CY465" s="106" t="str">
        <f aca="false">IF(ISBLANK($C465),"",$CN465)</f>
        <v/>
      </c>
      <c r="CZ465" s="106" t="str">
        <f aca="false">IF(ISBLANK($C465),"",$CM465)</f>
        <v/>
      </c>
      <c r="DA465" s="107" t="str">
        <f aca="false">IF(ISBLANK($C465),"",IFERROR(_xlfn.SWITCH($CZ465,Constants!$B$9,COUNTA($C$9:$C$508)+2,Constants!$B$8,COUNTA($C$9:$C$508)+1,Constants!$B$7,COUNTA($C$9:$C$508)),$CZ465))</f>
        <v/>
      </c>
      <c r="DB465" s="9"/>
      <c r="DC465" s="108" t="n">
        <f aca="false">IF(OR(ISNUMBER($CZ465),$CZ465=Constants!$B$9,$CZ465=Constants!$B$7,$CZ465=Constants!$B$8),1,0)</f>
        <v>0</v>
      </c>
      <c r="DD465" s="108" t="n">
        <v>457</v>
      </c>
      <c r="DE465" s="108" t="str">
        <f aca="false">IF(ISBLANK($C465),"",IF(ISNUMBER($DA465),$DA465+ROW($B465)/1000,""))</f>
        <v/>
      </c>
      <c r="DF465" s="108" t="str">
        <f aca="false">IF(ISNUMBER($DE465),RANK($DE465,$DE$9:$DE$508,1),"")</f>
        <v/>
      </c>
      <c r="DG465" s="108" t="str">
        <f aca="false">IF(ISBLANK($C465),"",$B465)</f>
        <v/>
      </c>
      <c r="DH465" s="108" t="str">
        <f aca="false">IF(ISBLANK($C465),"",$C465)</f>
        <v/>
      </c>
      <c r="DI465" s="108" t="str">
        <f aca="false">IF(ISBLANK($C465),"",$D465)</f>
        <v/>
      </c>
      <c r="DJ465" s="109" t="str">
        <f aca="false">$CX465</f>
        <v/>
      </c>
      <c r="DK465" s="110" t="str">
        <f aca="false">$CW465</f>
        <v/>
      </c>
      <c r="DL465" s="108" t="str">
        <f aca="false">IF(ISBLANK($C465),"",$CZ465)</f>
        <v/>
      </c>
      <c r="DM465" s="111" t="str">
        <f aca="false">IF($DD465&gt;$DC$8,"",VLOOKUP($DD465,$DF$9:$DL$508,7,FALSE()))</f>
        <v/>
      </c>
      <c r="DN465" s="112" t="str">
        <f aca="false">IF($DD465&gt;$DC$8,"",VLOOKUP($DD465,$DF$9:$DL$508,2,FALSE()))</f>
        <v/>
      </c>
      <c r="DO465" s="112" t="str">
        <f aca="false">IF($DD465&gt;$DC$8,"",VLOOKUP($DD465,$DF$9:$DL$508,3,FALSE()))</f>
        <v/>
      </c>
      <c r="DP465" s="112" t="str">
        <f aca="false">IF($DD465&gt;$DC$8,"",VLOOKUP($DD465,$DF$9:$DL$508,4,FALSE()))</f>
        <v/>
      </c>
      <c r="DQ465" s="112" t="str">
        <f aca="false">IF($DD465&gt;$DC$8,"",VLOOKUP($DD465,$DF$9:$DL$508,5,FALSE()))</f>
        <v/>
      </c>
      <c r="DR465" s="113" t="str">
        <f aca="false">IF($DD465&gt;$DC$8,"",VLOOKUP($DD465,$DF$9:$DL$508,6,FALSE()))</f>
        <v/>
      </c>
      <c r="DS465" s="76"/>
    </row>
    <row r="466" customFormat="false" ht="15.75" hidden="false" customHeight="false" outlineLevel="0" collapsed="false">
      <c r="A466" s="9"/>
      <c r="B466" s="78"/>
      <c r="C466" s="79"/>
      <c r="D466" s="170"/>
      <c r="E466" s="178"/>
      <c r="F466" s="172"/>
      <c r="G466" s="173"/>
      <c r="H466" s="173"/>
      <c r="I466" s="179"/>
      <c r="J466" s="176"/>
      <c r="K466" s="86"/>
      <c r="L466" s="87"/>
      <c r="M466" s="88"/>
      <c r="N466" s="176"/>
      <c r="O466" s="176"/>
      <c r="P466" s="178"/>
      <c r="Q466" s="176"/>
      <c r="R466" s="176"/>
      <c r="S466" s="86"/>
      <c r="T466" s="88"/>
      <c r="U466" s="88"/>
      <c r="V466" s="176"/>
      <c r="W466" s="176"/>
      <c r="X466" s="178"/>
      <c r="Y466" s="176"/>
      <c r="Z466" s="177"/>
      <c r="AA466" s="176"/>
      <c r="AB466" s="92"/>
      <c r="AC466" s="93"/>
      <c r="AD466" s="93"/>
      <c r="AE466" s="93"/>
      <c r="AF466" s="93" t="str">
        <f aca="false">IF(ISBLANK($C466),"",IF(E466=Constants!$B$2,TRUE(),IF(E466=Constants!$B$3,FALSE(),TRUE())))</f>
        <v/>
      </c>
      <c r="AG466" s="93" t="str">
        <f aca="false">IF(ISBLANK($C466),"",IF(F466=Constants!$B$2,TRUE(),IF(F466=Constants!$B$3,FALSE(),TRUE())))</f>
        <v/>
      </c>
      <c r="AH466" s="93" t="str">
        <f aca="false">IF(ISBLANK($C466),"",IF(G466=Constants!$B$2,TRUE(),IF(G466=Constants!$B$3,FALSE(),TRUE())))</f>
        <v/>
      </c>
      <c r="AI466" s="93" t="str">
        <f aca="false">IF(ISBLANK($C466),"",IF(AND(ISNUMBER(H466),H466&gt;=0),H466,Constants!$B$24))</f>
        <v/>
      </c>
      <c r="AJ466" s="93" t="str">
        <f aca="false">IF(ISBLANK($C466),"",IF(I466=Constants!$B$2,TRUE(),IF(I466=Constants!$B$3,FALSE(),TRUE())))</f>
        <v/>
      </c>
      <c r="AK466" s="93" t="str">
        <f aca="false">IF(ISBLANK($C466),"",IF(J466=Constants!$B$2,TRUE(),IF(J466=Constants!$B$3,FALSE(),TRUE())))</f>
        <v/>
      </c>
      <c r="AL466" s="93" t="str">
        <f aca="false">IF(ISBLANK($C466),"",IF(K466=Constants!$B$4,TRUE(),IF(K466=Constants!$B$5,FALSE(),COUNTA(L466:P466)&gt;0)))</f>
        <v/>
      </c>
      <c r="AM466" s="95" t="str">
        <f aca="false">IF(ISBLANK($C466),"",IF(ISNUMBER(L466),IF(L466&gt;=0,L466,""),""))</f>
        <v/>
      </c>
      <c r="AN466" s="94" t="str">
        <f aca="false">IF(ISBLANK($C466),"",IF(ISNUMBER(M466),IF(M466&gt;=0,M466,""),""))</f>
        <v/>
      </c>
      <c r="AO466" s="94" t="str">
        <f aca="false">IF(ISBLANK($C466),"",IF(N466=Constants!$B$2,TRUE(),IF(N466=Constants!$B$3,FALSE(),TRUE())))</f>
        <v/>
      </c>
      <c r="AP466" s="93" t="str">
        <f aca="false">IF(ISBLANK($C466),"",IF(ISNUMBER(O466),IF(O466&gt;=0,O466,""),""))</f>
        <v/>
      </c>
      <c r="AQ466" s="93" t="str">
        <f aca="false">IF(ISBLANK($C466),"",IF(P466=Constants!$B$2,TRUE(),IF(P466=Constants!$B$3,FALSE(),FALSE())))</f>
        <v/>
      </c>
      <c r="AR466" s="93" t="str">
        <f aca="false">IF(ISBLANK($C466),"",IF(Q466=Constants!$B$2,TRUE(),IF(Q466=Constants!$B$3,FALSE(),TRUE())))</f>
        <v/>
      </c>
      <c r="AS466" s="93" t="str">
        <f aca="false">IF(ISBLANK($C466),"",IF(R466=Constants!$B$2,TRUE(),IF(R466=Constants!$B$3,FALSE(),TRUE())))</f>
        <v/>
      </c>
      <c r="AT466" s="93" t="str">
        <f aca="false">IF(ISBLANK($C466),"",IF(S466=Constants!$B$4,TRUE(),IF(S466=Constants!$B$5,FALSE(),COUNTA(T466:X466)&gt;0)))</f>
        <v/>
      </c>
      <c r="AU466" s="95" t="str">
        <f aca="false">IF(ISBLANK($C466),"",IF(ISNUMBER(T466),IF(T466&gt;=0,T466,""),""))</f>
        <v/>
      </c>
      <c r="AV466" s="94" t="str">
        <f aca="false">IF(ISBLANK($C466),"",IF(ISNUMBER(U466),IF(U466&gt;=0,U466,""),""))</f>
        <v/>
      </c>
      <c r="AW466" s="94" t="str">
        <f aca="false">IF(ISBLANK($C466),"",IF(V466=Constants!$B$2,TRUE(),IF(V466=Constants!$B$3,FALSE(),TRUE())))</f>
        <v/>
      </c>
      <c r="AX466" s="93" t="str">
        <f aca="false">IF(ISBLANK($C466),"",IF(ISNUMBER(W466),IF(W466&gt;=0,W466,""),""))</f>
        <v/>
      </c>
      <c r="AY466" s="93" t="str">
        <f aca="false">IF(ISBLANK($C466),"",IF(X466=Constants!$B$2,TRUE(),IF(X466=Constants!$B$3,FALSE(),FALSE())))</f>
        <v/>
      </c>
      <c r="AZ466" s="93" t="str">
        <f aca="false">IF(ISBLANK($C466),"",MIN(Constants!$B$25,MAX(0,IF(ISNUMBER(Y466),Y466*60,0)+IF(ISNUMBER(Z466),Z466,0))))</f>
        <v/>
      </c>
      <c r="BA466" s="93" t="str">
        <f aca="false">IF(ISBLANK($C466),"",IF(AA466=Constants!$B$2,TRUE(),IF(AA466=Constants!$B$3,FALSE(),FALSE())))</f>
        <v/>
      </c>
      <c r="BB466" s="92" t="str">
        <f aca="false">IF(ISBLANK($C466),"",AND($AL466,OR($AM466="",$AN466="",AND($AO466,$AP466=""))))</f>
        <v/>
      </c>
      <c r="BC466" s="94" t="str">
        <f aca="false">IF($BX466&lt;&gt;Constants!$B$6,"",IF($AL466,Constants!$B$17*$AN466+Constants!$B$18*IF($AO466,$AP466,Constants!$B$19),Constants!$B$20))</f>
        <v/>
      </c>
      <c r="BD466" s="97" t="str">
        <f aca="false">IF($BX466&lt;&gt;Constants!$B$6,"",Constants!$B$21*ABS($AD$9-IF($AL466,$AM466,0)))</f>
        <v/>
      </c>
      <c r="BE466" s="97" t="str">
        <f aca="false">IF($BX466&lt;&gt;Constants!$B$6,"",IF(AND($AL466,$AQ466,$AO466),Constants!$B$22,0))</f>
        <v/>
      </c>
      <c r="BF466" s="97" t="str">
        <f aca="false">IF($BX466&lt;&gt;Constants!$B$6,"",IF($AL466,($AI466-Constants!$B$24)*Constants!$B$23,0))</f>
        <v/>
      </c>
      <c r="BG466" s="97" t="str">
        <f aca="false">IF($BX466&lt;&gt;Constants!$B$6,"",IF($AK466,0,Constants!$B$12)+IF($AJ466,0,Constants!$B$13)+IF($AH466,0,Constants!$B$14))</f>
        <v/>
      </c>
      <c r="BH466" s="98" t="str">
        <f aca="false">IF($BX466&lt;&gt;Constants!$B$6,"",Constants!$B$16+SUM($BC466:$BG466))</f>
        <v/>
      </c>
      <c r="BI466" s="97" t="str">
        <f aca="false">IF($BX466&lt;&gt;Constants!$B$6,"",$BC466)</f>
        <v/>
      </c>
      <c r="BJ466" s="97" t="str">
        <f aca="false">IF($BX466&lt;&gt;Constants!$B$6,"",$BD466)</f>
        <v/>
      </c>
      <c r="BK466" s="99" t="str">
        <f aca="false">IF($BX466&lt;&gt;Constants!$B$6,"",IF($AL466,$AN466,""))</f>
        <v/>
      </c>
      <c r="BL466" s="93" t="str">
        <f aca="false">IF($BX466&lt;&gt;Constants!$B$6,"",IF(OR($BS466&lt;$BH466,AND($BS466=$BH466,OR($BT466&lt;$BI466,AND($BT466=$BI466,OR($BU466&lt;$BJ466,AND($BU466=$BJ466,AND(ISNUMBER($BV466),OR(NOT(ISNUMBER($BK466)),$BV466&lt;$BK466)))))))),"-&gt;","&lt;-"))</f>
        <v/>
      </c>
      <c r="BM466" s="92" t="str">
        <f aca="false">IF(ISBLANK($C466),"",AND($AT466,OR($AU466="",$AV466="",AND($AW466,$AX466=""))))</f>
        <v/>
      </c>
      <c r="BN466" s="94" t="str">
        <f aca="false">IF($BX466&lt;&gt;Constants!$B$6,"",IF($AT466,Constants!$B$17*$AV466+Constants!$B$18*IF($AW466,$AX466,Constants!$B$19),Constants!$B$20))</f>
        <v/>
      </c>
      <c r="BO466" s="97" t="str">
        <f aca="false">IF($BX466&lt;&gt;Constants!$B$6,"",Constants!$B$21*ABS($AD$9-IF($AT466,$AU466,0)))</f>
        <v/>
      </c>
      <c r="BP466" s="97" t="str">
        <f aca="false">IF($BX466&lt;&gt;Constants!$B$6,"",IF(AND($AT466,$AY466,$AW466),Constants!$B$22,0))</f>
        <v/>
      </c>
      <c r="BQ466" s="97" t="str">
        <f aca="false">IF($BX466&lt;&gt;Constants!$B$6,"",IF($AT466,($AI466-Constants!$B$24)*Constants!$B$23,0))</f>
        <v/>
      </c>
      <c r="BR466" s="97" t="str">
        <f aca="false">IF($BX466&lt;&gt;Constants!$B$6,"",IF($AS466,0,Constants!$B$12)+IF($AR466,0,Constants!$B$13)+IF($AH466,0,Constants!$B$14))</f>
        <v/>
      </c>
      <c r="BS466" s="98" t="str">
        <f aca="false">IF($BX466&lt;&gt;Constants!$B$6,"",Constants!$B$16+SUM($BN466:$BR466))</f>
        <v/>
      </c>
      <c r="BT466" s="97" t="str">
        <f aca="false">IF($BX466&lt;&gt;Constants!$B$6,"",$BN466)</f>
        <v/>
      </c>
      <c r="BU466" s="97" t="str">
        <f aca="false">IF($BX466&lt;&gt;Constants!$B$6,"",$BO466)</f>
        <v/>
      </c>
      <c r="BV466" s="99" t="str">
        <f aca="false">IF($BX466&lt;&gt;Constants!$B$6,"",IF($AT466,$AV466,""))</f>
        <v/>
      </c>
      <c r="BW466" s="93" t="str">
        <f aca="false">IF(ISBLANK($C466),"",IF(ISBLANK($D$7),$BW$5,IF(NOT(ISNUMBER($D$7)),$BW$6,"")))</f>
        <v/>
      </c>
      <c r="BX466" s="93" t="str">
        <f aca="false">IF(ISBLANK($C466),"",IF($BA466,Constants!$B$9,IF(COUNTA($E466:$AA466)=0,Constants!$B$8,IF(NOT($AG466),Constants!$B$7,IF(OR($BW466&lt;&gt;"",$BB466,$BM466),Constants!$B$10,Constants!$B$6)))))</f>
        <v/>
      </c>
      <c r="BY466" s="93" t="str">
        <f aca="false">IF(ISBLANK($C466),"",IF($BX466&lt;&gt;Constants!$B$6,$BX466,Constants!$B$11))</f>
        <v/>
      </c>
      <c r="BZ466" s="97" t="str">
        <f aca="false">IF($BX466&lt;&gt;Constants!$B$6,"",IF($BL466="-&gt;",$BS466,$BH466))</f>
        <v/>
      </c>
      <c r="CA466" s="97" t="str">
        <f aca="false">IF($BX466&lt;&gt;Constants!$B$6,"",IF($AF466,0,Constants!$B$15))</f>
        <v/>
      </c>
      <c r="CB466" s="97" t="str">
        <f aca="false">IF($BX466&lt;&gt;Constants!$B$6,"",((Constants!$B$25-$AZ466)-Constants!$B$25)/Constants!$B$26)</f>
        <v/>
      </c>
      <c r="CC466" s="97" t="str">
        <f aca="false">IF(ISBLANK($C466),"",IF($BX466&lt;&gt;Constants!$B$6,$BX466,SUM($BZ466:$CB466)))</f>
        <v/>
      </c>
      <c r="CD466" s="93" t="str">
        <f aca="false">IF(ISBLANK($C466),"",IF($BX466&lt;&gt;Constants!$B$6,$BX466,RANK($CC466,$CC$9:$CC$508,1)))</f>
        <v/>
      </c>
      <c r="CE466" s="97" t="str">
        <f aca="false">IF($BX466&lt;&gt;Constants!$B$6,"",IF($BL466="-&gt;",$BT466,$BI466))</f>
        <v/>
      </c>
      <c r="CF466" s="93" t="str">
        <f aca="false">IF(ISBLANK($C466),"",IF($BX466&lt;&gt;Constants!$B$6,$BX466,IF(ISNUMBER($CE466),RANK($CE466,$CE$9:$CE$508,1),COUNT($CE$9:$CE$508)+1)))</f>
        <v/>
      </c>
      <c r="CG466" s="97" t="str">
        <f aca="false">IF($BX466&lt;&gt;Constants!$B$6,"",IF($BL466="-&gt;",$BU466,$BJ466))</f>
        <v/>
      </c>
      <c r="CH466" s="93" t="str">
        <f aca="false">IF(ISBLANK($C466),"",IF($BX466&lt;&gt;Constants!$B$6,$BX466,IF(ISNUMBER($CG466),RANK($CG466,$CG$9:$CG$508,1),COUNT($CG$9:$CG$508)+1)))</f>
        <v/>
      </c>
      <c r="CI466" s="97" t="str">
        <f aca="false">IF($BX466&lt;&gt;Constants!$B$6,"",IF($BL466="-&gt;",$BV466,$BK466))</f>
        <v/>
      </c>
      <c r="CJ466" s="93" t="str">
        <f aca="false">IF(ISBLANK($C466),"",IF($BX466&lt;&gt;Constants!$B$6,$BX466,IF(ISNUMBER($CI466),RANK($CI466,$CI$9:$CI$508,1),COUNT($CI$9:$CI$508)+1)))</f>
        <v/>
      </c>
      <c r="CK466" s="97" t="str">
        <f aca="false">IF($BX466&lt;&gt;Constants!$B$6,"",$AI466)</f>
        <v/>
      </c>
      <c r="CL466" s="93" t="str">
        <f aca="false">IF(ISBLANK($C466),"",IF($BX466&lt;&gt;Constants!$B$6,$BX466,IF(ISNUMBER($CK466),RANK($CK466,$CK$9:$CK$508,1),COUNT($CK$9:$CK$508)+1)))</f>
        <v/>
      </c>
      <c r="CM466" s="93" t="str">
        <f aca="false">IF(ISBLANK($C466),"",IF($BX466&lt;&gt;Constants!$B$6,$BX466,COUNTIFS($CD$9:$CD$508,"&lt;"&amp;$CD466)+COUNTIFS($CD$9:$CD$508,$CD466,$CF$9:$CF$508,"&lt;"&amp;$CF466)+COUNTIFS($CD$9:$CD$508,$CD466,$CF$9:$CF$508,$CF466,$CH$9:$CH$508,"&lt;"&amp;$CH466)+COUNTIFS($CD$9:$CD$508,$CD466,$CF$9:$CF$508,$CF466,$CH$9:$CH$508,$CH466,$CJ$9:$CJ$508,"&lt;"&amp;$CJ466)+COUNTIFS($CD$9:$CD$508,$CD466,$CF$9:$CF$508,$CF466,$CH$9:$CH$508,$CH466,$CJ$9:$CJ$508,$CJ466,$CL$9:$CL$508,"&lt;"&amp;$CL466)+1))</f>
        <v/>
      </c>
      <c r="CN466" s="93" t="str">
        <f aca="false">IF(ISBLANK($C466),"",IF($BX466&lt;&gt;Constants!$B$6,$BX466,$CD466-$CM466))</f>
        <v/>
      </c>
      <c r="CO466" s="100"/>
      <c r="CP466" s="101"/>
      <c r="CQ466" s="102" t="str">
        <f aca="false">IF(ISBLANK($C466),"",IF($BX466=Constants!$B$10,$BW466,""))</f>
        <v/>
      </c>
      <c r="CR466" s="101" t="str">
        <f aca="false">IF(ISBLANK($C466),"",IF($BX466&lt;&gt;Constants!$B$6,"",IF($BL466="-&gt;",2,1)))</f>
        <v/>
      </c>
      <c r="CS466" s="103" t="str">
        <f aca="false">IF(ISBLANK($C466),"",IF($BX466&lt;&gt;Constants!$B$6,"",IF($BL466="-&gt;",$BN466,$BC466)))</f>
        <v/>
      </c>
      <c r="CT466" s="103" t="str">
        <f aca="false">IF(ISBLANK($C466),"",IF($BX466&lt;&gt;Constants!$B$6,"",IF($BL466="-&gt;",$BO466,$BD466)))</f>
        <v/>
      </c>
      <c r="CU466" s="103" t="str">
        <f aca="false">IF(ISBLANK($C466),"",IF($BX466&lt;&gt;Constants!$B$6,"",IF($BL466="-&gt;",$BP466+$BQ466,$BE466+$BF466)+$CB466))</f>
        <v/>
      </c>
      <c r="CV466" s="103" t="str">
        <f aca="false">IF(ISBLANK($C466),"",IF($BX466&lt;&gt;Constants!$B$6,"",IF($BL466="-&gt;",$BR466,$BG466)+$CA466))</f>
        <v/>
      </c>
      <c r="CW466" s="104" t="str">
        <f aca="false">IF(ISBLANK($C466),"",IF($BX466&lt;&gt;Constants!$B$6,$BX466,$CC466))</f>
        <v/>
      </c>
      <c r="CX466" s="105" t="str">
        <f aca="false">IF(ISBLANK($C466),"",$BY466)</f>
        <v/>
      </c>
      <c r="CY466" s="106" t="str">
        <f aca="false">IF(ISBLANK($C466),"",$CN466)</f>
        <v/>
      </c>
      <c r="CZ466" s="106" t="str">
        <f aca="false">IF(ISBLANK($C466),"",$CM466)</f>
        <v/>
      </c>
      <c r="DA466" s="107" t="str">
        <f aca="false">IF(ISBLANK($C466),"",IFERROR(_xlfn.SWITCH($CZ466,Constants!$B$9,COUNTA($C$9:$C$508)+2,Constants!$B$8,COUNTA($C$9:$C$508)+1,Constants!$B$7,COUNTA($C$9:$C$508)),$CZ466))</f>
        <v/>
      </c>
      <c r="DB466" s="9"/>
      <c r="DC466" s="108" t="n">
        <f aca="false">IF(OR(ISNUMBER($CZ466),$CZ466=Constants!$B$9,$CZ466=Constants!$B$7,$CZ466=Constants!$B$8),1,0)</f>
        <v>0</v>
      </c>
      <c r="DD466" s="108" t="n">
        <v>458</v>
      </c>
      <c r="DE466" s="108" t="str">
        <f aca="false">IF(ISBLANK($C466),"",IF(ISNUMBER($DA466),$DA466+ROW($B466)/1000,""))</f>
        <v/>
      </c>
      <c r="DF466" s="108" t="str">
        <f aca="false">IF(ISNUMBER($DE466),RANK($DE466,$DE$9:$DE$508,1),"")</f>
        <v/>
      </c>
      <c r="DG466" s="108" t="str">
        <f aca="false">IF(ISBLANK($C466),"",$B466)</f>
        <v/>
      </c>
      <c r="DH466" s="108" t="str">
        <f aca="false">IF(ISBLANK($C466),"",$C466)</f>
        <v/>
      </c>
      <c r="DI466" s="108" t="str">
        <f aca="false">IF(ISBLANK($C466),"",$D466)</f>
        <v/>
      </c>
      <c r="DJ466" s="109" t="str">
        <f aca="false">$CX466</f>
        <v/>
      </c>
      <c r="DK466" s="110" t="str">
        <f aca="false">$CW466</f>
        <v/>
      </c>
      <c r="DL466" s="108" t="str">
        <f aca="false">IF(ISBLANK($C466),"",$CZ466)</f>
        <v/>
      </c>
      <c r="DM466" s="111" t="str">
        <f aca="false">IF($DD466&gt;$DC$8,"",VLOOKUP($DD466,$DF$9:$DL$508,7,FALSE()))</f>
        <v/>
      </c>
      <c r="DN466" s="112" t="str">
        <f aca="false">IF($DD466&gt;$DC$8,"",VLOOKUP($DD466,$DF$9:$DL$508,2,FALSE()))</f>
        <v/>
      </c>
      <c r="DO466" s="112" t="str">
        <f aca="false">IF($DD466&gt;$DC$8,"",VLOOKUP($DD466,$DF$9:$DL$508,3,FALSE()))</f>
        <v/>
      </c>
      <c r="DP466" s="112" t="str">
        <f aca="false">IF($DD466&gt;$DC$8,"",VLOOKUP($DD466,$DF$9:$DL$508,4,FALSE()))</f>
        <v/>
      </c>
      <c r="DQ466" s="112" t="str">
        <f aca="false">IF($DD466&gt;$DC$8,"",VLOOKUP($DD466,$DF$9:$DL$508,5,FALSE()))</f>
        <v/>
      </c>
      <c r="DR466" s="113" t="str">
        <f aca="false">IF($DD466&gt;$DC$8,"",VLOOKUP($DD466,$DF$9:$DL$508,6,FALSE()))</f>
        <v/>
      </c>
      <c r="DS466" s="76"/>
    </row>
    <row r="467" customFormat="false" ht="15.75" hidden="false" customHeight="false" outlineLevel="0" collapsed="false">
      <c r="A467" s="9"/>
      <c r="B467" s="78"/>
      <c r="C467" s="79"/>
      <c r="D467" s="170"/>
      <c r="E467" s="178"/>
      <c r="F467" s="172"/>
      <c r="G467" s="173"/>
      <c r="H467" s="173"/>
      <c r="I467" s="179"/>
      <c r="J467" s="176"/>
      <c r="K467" s="86"/>
      <c r="L467" s="87"/>
      <c r="M467" s="88"/>
      <c r="N467" s="176"/>
      <c r="O467" s="176"/>
      <c r="P467" s="178"/>
      <c r="Q467" s="176"/>
      <c r="R467" s="176"/>
      <c r="S467" s="86"/>
      <c r="T467" s="88"/>
      <c r="U467" s="88"/>
      <c r="V467" s="176"/>
      <c r="W467" s="176"/>
      <c r="X467" s="178"/>
      <c r="Y467" s="176"/>
      <c r="Z467" s="177"/>
      <c r="AA467" s="176"/>
      <c r="AB467" s="92"/>
      <c r="AC467" s="93"/>
      <c r="AD467" s="93"/>
      <c r="AE467" s="93"/>
      <c r="AF467" s="93" t="str">
        <f aca="false">IF(ISBLANK($C467),"",IF(E467=Constants!$B$2,TRUE(),IF(E467=Constants!$B$3,FALSE(),TRUE())))</f>
        <v/>
      </c>
      <c r="AG467" s="93" t="str">
        <f aca="false">IF(ISBLANK($C467),"",IF(F467=Constants!$B$2,TRUE(),IF(F467=Constants!$B$3,FALSE(),TRUE())))</f>
        <v/>
      </c>
      <c r="AH467" s="93" t="str">
        <f aca="false">IF(ISBLANK($C467),"",IF(G467=Constants!$B$2,TRUE(),IF(G467=Constants!$B$3,FALSE(),TRUE())))</f>
        <v/>
      </c>
      <c r="AI467" s="93" t="str">
        <f aca="false">IF(ISBLANK($C467),"",IF(AND(ISNUMBER(H467),H467&gt;=0),H467,Constants!$B$24))</f>
        <v/>
      </c>
      <c r="AJ467" s="93" t="str">
        <f aca="false">IF(ISBLANK($C467),"",IF(I467=Constants!$B$2,TRUE(),IF(I467=Constants!$B$3,FALSE(),TRUE())))</f>
        <v/>
      </c>
      <c r="AK467" s="93" t="str">
        <f aca="false">IF(ISBLANK($C467),"",IF(J467=Constants!$B$2,TRUE(),IF(J467=Constants!$B$3,FALSE(),TRUE())))</f>
        <v/>
      </c>
      <c r="AL467" s="93" t="str">
        <f aca="false">IF(ISBLANK($C467),"",IF(K467=Constants!$B$4,TRUE(),IF(K467=Constants!$B$5,FALSE(),COUNTA(L467:P467)&gt;0)))</f>
        <v/>
      </c>
      <c r="AM467" s="95" t="str">
        <f aca="false">IF(ISBLANK($C467),"",IF(ISNUMBER(L467),IF(L467&gt;=0,L467,""),""))</f>
        <v/>
      </c>
      <c r="AN467" s="94" t="str">
        <f aca="false">IF(ISBLANK($C467),"",IF(ISNUMBER(M467),IF(M467&gt;=0,M467,""),""))</f>
        <v/>
      </c>
      <c r="AO467" s="94" t="str">
        <f aca="false">IF(ISBLANK($C467),"",IF(N467=Constants!$B$2,TRUE(),IF(N467=Constants!$B$3,FALSE(),TRUE())))</f>
        <v/>
      </c>
      <c r="AP467" s="93" t="str">
        <f aca="false">IF(ISBLANK($C467),"",IF(ISNUMBER(O467),IF(O467&gt;=0,O467,""),""))</f>
        <v/>
      </c>
      <c r="AQ467" s="93" t="str">
        <f aca="false">IF(ISBLANK($C467),"",IF(P467=Constants!$B$2,TRUE(),IF(P467=Constants!$B$3,FALSE(),FALSE())))</f>
        <v/>
      </c>
      <c r="AR467" s="93" t="str">
        <f aca="false">IF(ISBLANK($C467),"",IF(Q467=Constants!$B$2,TRUE(),IF(Q467=Constants!$B$3,FALSE(),TRUE())))</f>
        <v/>
      </c>
      <c r="AS467" s="93" t="str">
        <f aca="false">IF(ISBLANK($C467),"",IF(R467=Constants!$B$2,TRUE(),IF(R467=Constants!$B$3,FALSE(),TRUE())))</f>
        <v/>
      </c>
      <c r="AT467" s="93" t="str">
        <f aca="false">IF(ISBLANK($C467),"",IF(S467=Constants!$B$4,TRUE(),IF(S467=Constants!$B$5,FALSE(),COUNTA(T467:X467)&gt;0)))</f>
        <v/>
      </c>
      <c r="AU467" s="95" t="str">
        <f aca="false">IF(ISBLANK($C467),"",IF(ISNUMBER(T467),IF(T467&gt;=0,T467,""),""))</f>
        <v/>
      </c>
      <c r="AV467" s="94" t="str">
        <f aca="false">IF(ISBLANK($C467),"",IF(ISNUMBER(U467),IF(U467&gt;=0,U467,""),""))</f>
        <v/>
      </c>
      <c r="AW467" s="94" t="str">
        <f aca="false">IF(ISBLANK($C467),"",IF(V467=Constants!$B$2,TRUE(),IF(V467=Constants!$B$3,FALSE(),TRUE())))</f>
        <v/>
      </c>
      <c r="AX467" s="93" t="str">
        <f aca="false">IF(ISBLANK($C467),"",IF(ISNUMBER(W467),IF(W467&gt;=0,W467,""),""))</f>
        <v/>
      </c>
      <c r="AY467" s="93" t="str">
        <f aca="false">IF(ISBLANK($C467),"",IF(X467=Constants!$B$2,TRUE(),IF(X467=Constants!$B$3,FALSE(),FALSE())))</f>
        <v/>
      </c>
      <c r="AZ467" s="93" t="str">
        <f aca="false">IF(ISBLANK($C467),"",MIN(Constants!$B$25,MAX(0,IF(ISNUMBER(Y467),Y467*60,0)+IF(ISNUMBER(Z467),Z467,0))))</f>
        <v/>
      </c>
      <c r="BA467" s="93" t="str">
        <f aca="false">IF(ISBLANK($C467),"",IF(AA467=Constants!$B$2,TRUE(),IF(AA467=Constants!$B$3,FALSE(),FALSE())))</f>
        <v/>
      </c>
      <c r="BB467" s="92" t="str">
        <f aca="false">IF(ISBLANK($C467),"",AND($AL467,OR($AM467="",$AN467="",AND($AO467,$AP467=""))))</f>
        <v/>
      </c>
      <c r="BC467" s="94" t="str">
        <f aca="false">IF($BX467&lt;&gt;Constants!$B$6,"",IF($AL467,Constants!$B$17*$AN467+Constants!$B$18*IF($AO467,$AP467,Constants!$B$19),Constants!$B$20))</f>
        <v/>
      </c>
      <c r="BD467" s="97" t="str">
        <f aca="false">IF($BX467&lt;&gt;Constants!$B$6,"",Constants!$B$21*ABS($AD$9-IF($AL467,$AM467,0)))</f>
        <v/>
      </c>
      <c r="BE467" s="97" t="str">
        <f aca="false">IF($BX467&lt;&gt;Constants!$B$6,"",IF(AND($AL467,$AQ467,$AO467),Constants!$B$22,0))</f>
        <v/>
      </c>
      <c r="BF467" s="97" t="str">
        <f aca="false">IF($BX467&lt;&gt;Constants!$B$6,"",IF($AL467,($AI467-Constants!$B$24)*Constants!$B$23,0))</f>
        <v/>
      </c>
      <c r="BG467" s="97" t="str">
        <f aca="false">IF($BX467&lt;&gt;Constants!$B$6,"",IF($AK467,0,Constants!$B$12)+IF($AJ467,0,Constants!$B$13)+IF($AH467,0,Constants!$B$14))</f>
        <v/>
      </c>
      <c r="BH467" s="98" t="str">
        <f aca="false">IF($BX467&lt;&gt;Constants!$B$6,"",Constants!$B$16+SUM($BC467:$BG467))</f>
        <v/>
      </c>
      <c r="BI467" s="97" t="str">
        <f aca="false">IF($BX467&lt;&gt;Constants!$B$6,"",$BC467)</f>
        <v/>
      </c>
      <c r="BJ467" s="97" t="str">
        <f aca="false">IF($BX467&lt;&gt;Constants!$B$6,"",$BD467)</f>
        <v/>
      </c>
      <c r="BK467" s="99" t="str">
        <f aca="false">IF($BX467&lt;&gt;Constants!$B$6,"",IF($AL467,$AN467,""))</f>
        <v/>
      </c>
      <c r="BL467" s="93" t="str">
        <f aca="false">IF($BX467&lt;&gt;Constants!$B$6,"",IF(OR($BS467&lt;$BH467,AND($BS467=$BH467,OR($BT467&lt;$BI467,AND($BT467=$BI467,OR($BU467&lt;$BJ467,AND($BU467=$BJ467,AND(ISNUMBER($BV467),OR(NOT(ISNUMBER($BK467)),$BV467&lt;$BK467)))))))),"-&gt;","&lt;-"))</f>
        <v/>
      </c>
      <c r="BM467" s="92" t="str">
        <f aca="false">IF(ISBLANK($C467),"",AND($AT467,OR($AU467="",$AV467="",AND($AW467,$AX467=""))))</f>
        <v/>
      </c>
      <c r="BN467" s="94" t="str">
        <f aca="false">IF($BX467&lt;&gt;Constants!$B$6,"",IF($AT467,Constants!$B$17*$AV467+Constants!$B$18*IF($AW467,$AX467,Constants!$B$19),Constants!$B$20))</f>
        <v/>
      </c>
      <c r="BO467" s="97" t="str">
        <f aca="false">IF($BX467&lt;&gt;Constants!$B$6,"",Constants!$B$21*ABS($AD$9-IF($AT467,$AU467,0)))</f>
        <v/>
      </c>
      <c r="BP467" s="97" t="str">
        <f aca="false">IF($BX467&lt;&gt;Constants!$B$6,"",IF(AND($AT467,$AY467,$AW467),Constants!$B$22,0))</f>
        <v/>
      </c>
      <c r="BQ467" s="97" t="str">
        <f aca="false">IF($BX467&lt;&gt;Constants!$B$6,"",IF($AT467,($AI467-Constants!$B$24)*Constants!$B$23,0))</f>
        <v/>
      </c>
      <c r="BR467" s="97" t="str">
        <f aca="false">IF($BX467&lt;&gt;Constants!$B$6,"",IF($AS467,0,Constants!$B$12)+IF($AR467,0,Constants!$B$13)+IF($AH467,0,Constants!$B$14))</f>
        <v/>
      </c>
      <c r="BS467" s="98" t="str">
        <f aca="false">IF($BX467&lt;&gt;Constants!$B$6,"",Constants!$B$16+SUM($BN467:$BR467))</f>
        <v/>
      </c>
      <c r="BT467" s="97" t="str">
        <f aca="false">IF($BX467&lt;&gt;Constants!$B$6,"",$BN467)</f>
        <v/>
      </c>
      <c r="BU467" s="97" t="str">
        <f aca="false">IF($BX467&lt;&gt;Constants!$B$6,"",$BO467)</f>
        <v/>
      </c>
      <c r="BV467" s="99" t="str">
        <f aca="false">IF($BX467&lt;&gt;Constants!$B$6,"",IF($AT467,$AV467,""))</f>
        <v/>
      </c>
      <c r="BW467" s="93" t="str">
        <f aca="false">IF(ISBLANK($C467),"",IF(ISBLANK($D$7),$BW$5,IF(NOT(ISNUMBER($D$7)),$BW$6,"")))</f>
        <v/>
      </c>
      <c r="BX467" s="93" t="str">
        <f aca="false">IF(ISBLANK($C467),"",IF($BA467,Constants!$B$9,IF(COUNTA($E467:$AA467)=0,Constants!$B$8,IF(NOT($AG467),Constants!$B$7,IF(OR($BW467&lt;&gt;"",$BB467,$BM467),Constants!$B$10,Constants!$B$6)))))</f>
        <v/>
      </c>
      <c r="BY467" s="93" t="str">
        <f aca="false">IF(ISBLANK($C467),"",IF($BX467&lt;&gt;Constants!$B$6,$BX467,Constants!$B$11))</f>
        <v/>
      </c>
      <c r="BZ467" s="97" t="str">
        <f aca="false">IF($BX467&lt;&gt;Constants!$B$6,"",IF($BL467="-&gt;",$BS467,$BH467))</f>
        <v/>
      </c>
      <c r="CA467" s="97" t="str">
        <f aca="false">IF($BX467&lt;&gt;Constants!$B$6,"",IF($AF467,0,Constants!$B$15))</f>
        <v/>
      </c>
      <c r="CB467" s="97" t="str">
        <f aca="false">IF($BX467&lt;&gt;Constants!$B$6,"",((Constants!$B$25-$AZ467)-Constants!$B$25)/Constants!$B$26)</f>
        <v/>
      </c>
      <c r="CC467" s="97" t="str">
        <f aca="false">IF(ISBLANK($C467),"",IF($BX467&lt;&gt;Constants!$B$6,$BX467,SUM($BZ467:$CB467)))</f>
        <v/>
      </c>
      <c r="CD467" s="93" t="str">
        <f aca="false">IF(ISBLANK($C467),"",IF($BX467&lt;&gt;Constants!$B$6,$BX467,RANK($CC467,$CC$9:$CC$508,1)))</f>
        <v/>
      </c>
      <c r="CE467" s="97" t="str">
        <f aca="false">IF($BX467&lt;&gt;Constants!$B$6,"",IF($BL467="-&gt;",$BT467,$BI467))</f>
        <v/>
      </c>
      <c r="CF467" s="93" t="str">
        <f aca="false">IF(ISBLANK($C467),"",IF($BX467&lt;&gt;Constants!$B$6,$BX467,IF(ISNUMBER($CE467),RANK($CE467,$CE$9:$CE$508,1),COUNT($CE$9:$CE$508)+1)))</f>
        <v/>
      </c>
      <c r="CG467" s="97" t="str">
        <f aca="false">IF($BX467&lt;&gt;Constants!$B$6,"",IF($BL467="-&gt;",$BU467,$BJ467))</f>
        <v/>
      </c>
      <c r="CH467" s="93" t="str">
        <f aca="false">IF(ISBLANK($C467),"",IF($BX467&lt;&gt;Constants!$B$6,$BX467,IF(ISNUMBER($CG467),RANK($CG467,$CG$9:$CG$508,1),COUNT($CG$9:$CG$508)+1)))</f>
        <v/>
      </c>
      <c r="CI467" s="97" t="str">
        <f aca="false">IF($BX467&lt;&gt;Constants!$B$6,"",IF($BL467="-&gt;",$BV467,$BK467))</f>
        <v/>
      </c>
      <c r="CJ467" s="93" t="str">
        <f aca="false">IF(ISBLANK($C467),"",IF($BX467&lt;&gt;Constants!$B$6,$BX467,IF(ISNUMBER($CI467),RANK($CI467,$CI$9:$CI$508,1),COUNT($CI$9:$CI$508)+1)))</f>
        <v/>
      </c>
      <c r="CK467" s="97" t="str">
        <f aca="false">IF($BX467&lt;&gt;Constants!$B$6,"",$AI467)</f>
        <v/>
      </c>
      <c r="CL467" s="93" t="str">
        <f aca="false">IF(ISBLANK($C467),"",IF($BX467&lt;&gt;Constants!$B$6,$BX467,IF(ISNUMBER($CK467),RANK($CK467,$CK$9:$CK$508,1),COUNT($CK$9:$CK$508)+1)))</f>
        <v/>
      </c>
      <c r="CM467" s="93" t="str">
        <f aca="false">IF(ISBLANK($C467),"",IF($BX467&lt;&gt;Constants!$B$6,$BX467,COUNTIFS($CD$9:$CD$508,"&lt;"&amp;$CD467)+COUNTIFS($CD$9:$CD$508,$CD467,$CF$9:$CF$508,"&lt;"&amp;$CF467)+COUNTIFS($CD$9:$CD$508,$CD467,$CF$9:$CF$508,$CF467,$CH$9:$CH$508,"&lt;"&amp;$CH467)+COUNTIFS($CD$9:$CD$508,$CD467,$CF$9:$CF$508,$CF467,$CH$9:$CH$508,$CH467,$CJ$9:$CJ$508,"&lt;"&amp;$CJ467)+COUNTIFS($CD$9:$CD$508,$CD467,$CF$9:$CF$508,$CF467,$CH$9:$CH$508,$CH467,$CJ$9:$CJ$508,$CJ467,$CL$9:$CL$508,"&lt;"&amp;$CL467)+1))</f>
        <v/>
      </c>
      <c r="CN467" s="93" t="str">
        <f aca="false">IF(ISBLANK($C467),"",IF($BX467&lt;&gt;Constants!$B$6,$BX467,$CD467-$CM467))</f>
        <v/>
      </c>
      <c r="CO467" s="100"/>
      <c r="CP467" s="101"/>
      <c r="CQ467" s="102" t="str">
        <f aca="false">IF(ISBLANK($C467),"",IF($BX467=Constants!$B$10,$BW467,""))</f>
        <v/>
      </c>
      <c r="CR467" s="101" t="str">
        <f aca="false">IF(ISBLANK($C467),"",IF($BX467&lt;&gt;Constants!$B$6,"",IF($BL467="-&gt;",2,1)))</f>
        <v/>
      </c>
      <c r="CS467" s="103" t="str">
        <f aca="false">IF(ISBLANK($C467),"",IF($BX467&lt;&gt;Constants!$B$6,"",IF($BL467="-&gt;",$BN467,$BC467)))</f>
        <v/>
      </c>
      <c r="CT467" s="103" t="str">
        <f aca="false">IF(ISBLANK($C467),"",IF($BX467&lt;&gt;Constants!$B$6,"",IF($BL467="-&gt;",$BO467,$BD467)))</f>
        <v/>
      </c>
      <c r="CU467" s="103" t="str">
        <f aca="false">IF(ISBLANK($C467),"",IF($BX467&lt;&gt;Constants!$B$6,"",IF($BL467="-&gt;",$BP467+$BQ467,$BE467+$BF467)+$CB467))</f>
        <v/>
      </c>
      <c r="CV467" s="103" t="str">
        <f aca="false">IF(ISBLANK($C467),"",IF($BX467&lt;&gt;Constants!$B$6,"",IF($BL467="-&gt;",$BR467,$BG467)+$CA467))</f>
        <v/>
      </c>
      <c r="CW467" s="104" t="str">
        <f aca="false">IF(ISBLANK($C467),"",IF($BX467&lt;&gt;Constants!$B$6,$BX467,$CC467))</f>
        <v/>
      </c>
      <c r="CX467" s="105" t="str">
        <f aca="false">IF(ISBLANK($C467),"",$BY467)</f>
        <v/>
      </c>
      <c r="CY467" s="106" t="str">
        <f aca="false">IF(ISBLANK($C467),"",$CN467)</f>
        <v/>
      </c>
      <c r="CZ467" s="106" t="str">
        <f aca="false">IF(ISBLANK($C467),"",$CM467)</f>
        <v/>
      </c>
      <c r="DA467" s="107" t="str">
        <f aca="false">IF(ISBLANK($C467),"",IFERROR(_xlfn.SWITCH($CZ467,Constants!$B$9,COUNTA($C$9:$C$508)+2,Constants!$B$8,COUNTA($C$9:$C$508)+1,Constants!$B$7,COUNTA($C$9:$C$508)),$CZ467))</f>
        <v/>
      </c>
      <c r="DB467" s="9"/>
      <c r="DC467" s="108" t="n">
        <f aca="false">IF(OR(ISNUMBER($CZ467),$CZ467=Constants!$B$9,$CZ467=Constants!$B$7,$CZ467=Constants!$B$8),1,0)</f>
        <v>0</v>
      </c>
      <c r="DD467" s="108" t="n">
        <v>459</v>
      </c>
      <c r="DE467" s="108" t="str">
        <f aca="false">IF(ISBLANK($C467),"",IF(ISNUMBER($DA467),$DA467+ROW($B467)/1000,""))</f>
        <v/>
      </c>
      <c r="DF467" s="108" t="str">
        <f aca="false">IF(ISNUMBER($DE467),RANK($DE467,$DE$9:$DE$508,1),"")</f>
        <v/>
      </c>
      <c r="DG467" s="108" t="str">
        <f aca="false">IF(ISBLANK($C467),"",$B467)</f>
        <v/>
      </c>
      <c r="DH467" s="108" t="str">
        <f aca="false">IF(ISBLANK($C467),"",$C467)</f>
        <v/>
      </c>
      <c r="DI467" s="108" t="str">
        <f aca="false">IF(ISBLANK($C467),"",$D467)</f>
        <v/>
      </c>
      <c r="DJ467" s="109" t="str">
        <f aca="false">$CX467</f>
        <v/>
      </c>
      <c r="DK467" s="110" t="str">
        <f aca="false">$CW467</f>
        <v/>
      </c>
      <c r="DL467" s="108" t="str">
        <f aca="false">IF(ISBLANK($C467),"",$CZ467)</f>
        <v/>
      </c>
      <c r="DM467" s="111" t="str">
        <f aca="false">IF($DD467&gt;$DC$8,"",VLOOKUP($DD467,$DF$9:$DL$508,7,FALSE()))</f>
        <v/>
      </c>
      <c r="DN467" s="112" t="str">
        <f aca="false">IF($DD467&gt;$DC$8,"",VLOOKUP($DD467,$DF$9:$DL$508,2,FALSE()))</f>
        <v/>
      </c>
      <c r="DO467" s="112" t="str">
        <f aca="false">IF($DD467&gt;$DC$8,"",VLOOKUP($DD467,$DF$9:$DL$508,3,FALSE()))</f>
        <v/>
      </c>
      <c r="DP467" s="112" t="str">
        <f aca="false">IF($DD467&gt;$DC$8,"",VLOOKUP($DD467,$DF$9:$DL$508,4,FALSE()))</f>
        <v/>
      </c>
      <c r="DQ467" s="112" t="str">
        <f aca="false">IF($DD467&gt;$DC$8,"",VLOOKUP($DD467,$DF$9:$DL$508,5,FALSE()))</f>
        <v/>
      </c>
      <c r="DR467" s="113" t="str">
        <f aca="false">IF($DD467&gt;$DC$8,"",VLOOKUP($DD467,$DF$9:$DL$508,6,FALSE()))</f>
        <v/>
      </c>
      <c r="DS467" s="76"/>
    </row>
    <row r="468" customFormat="false" ht="15.75" hidden="false" customHeight="false" outlineLevel="0" collapsed="false">
      <c r="A468" s="9"/>
      <c r="B468" s="160"/>
      <c r="C468" s="161"/>
      <c r="D468" s="162"/>
      <c r="E468" s="180"/>
      <c r="F468" s="164"/>
      <c r="G468" s="165"/>
      <c r="H468" s="165"/>
      <c r="I468" s="181"/>
      <c r="J468" s="168"/>
      <c r="K468" s="128"/>
      <c r="L468" s="129"/>
      <c r="M468" s="130"/>
      <c r="N468" s="168"/>
      <c r="O468" s="168"/>
      <c r="P468" s="180"/>
      <c r="Q468" s="168"/>
      <c r="R468" s="168"/>
      <c r="S468" s="128"/>
      <c r="T468" s="130"/>
      <c r="U468" s="130"/>
      <c r="V468" s="168"/>
      <c r="W468" s="168"/>
      <c r="X468" s="180"/>
      <c r="Y468" s="168"/>
      <c r="Z468" s="169"/>
      <c r="AA468" s="168"/>
      <c r="AB468" s="134"/>
      <c r="AC468" s="135"/>
      <c r="AD468" s="135"/>
      <c r="AE468" s="135"/>
      <c r="AF468" s="135" t="str">
        <f aca="false">IF(ISBLANK($C468),"",IF(E468=Constants!$B$2,TRUE(),IF(E468=Constants!$B$3,FALSE(),TRUE())))</f>
        <v/>
      </c>
      <c r="AG468" s="135" t="str">
        <f aca="false">IF(ISBLANK($C468),"",IF(F468=Constants!$B$2,TRUE(),IF(F468=Constants!$B$3,FALSE(),TRUE())))</f>
        <v/>
      </c>
      <c r="AH468" s="135" t="str">
        <f aca="false">IF(ISBLANK($C468),"",IF(G468=Constants!$B$2,TRUE(),IF(G468=Constants!$B$3,FALSE(),TRUE())))</f>
        <v/>
      </c>
      <c r="AI468" s="135" t="str">
        <f aca="false">IF(ISBLANK($C468),"",IF(AND(ISNUMBER(H468),H468&gt;=0),H468,Constants!$B$24))</f>
        <v/>
      </c>
      <c r="AJ468" s="135" t="str">
        <f aca="false">IF(ISBLANK($C468),"",IF(I468=Constants!$B$2,TRUE(),IF(I468=Constants!$B$3,FALSE(),TRUE())))</f>
        <v/>
      </c>
      <c r="AK468" s="135" t="str">
        <f aca="false">IF(ISBLANK($C468),"",IF(J468=Constants!$B$2,TRUE(),IF(J468=Constants!$B$3,FALSE(),TRUE())))</f>
        <v/>
      </c>
      <c r="AL468" s="135" t="str">
        <f aca="false">IF(ISBLANK($C468),"",IF(K468=Constants!$B$4,TRUE(),IF(K468=Constants!$B$5,FALSE(),COUNTA(L468:P468)&gt;0)))</f>
        <v/>
      </c>
      <c r="AM468" s="136" t="str">
        <f aca="false">IF(ISBLANK($C468),"",IF(ISNUMBER(L468),IF(L468&gt;=0,L468,""),""))</f>
        <v/>
      </c>
      <c r="AN468" s="137" t="str">
        <f aca="false">IF(ISBLANK($C468),"",IF(ISNUMBER(M468),IF(M468&gt;=0,M468,""),""))</f>
        <v/>
      </c>
      <c r="AO468" s="137" t="str">
        <f aca="false">IF(ISBLANK($C468),"",IF(N468=Constants!$B$2,TRUE(),IF(N468=Constants!$B$3,FALSE(),TRUE())))</f>
        <v/>
      </c>
      <c r="AP468" s="135" t="str">
        <f aca="false">IF(ISBLANK($C468),"",IF(ISNUMBER(O468),IF(O468&gt;=0,O468,""),""))</f>
        <v/>
      </c>
      <c r="AQ468" s="135" t="str">
        <f aca="false">IF(ISBLANK($C468),"",IF(P468=Constants!$B$2,TRUE(),IF(P468=Constants!$B$3,FALSE(),FALSE())))</f>
        <v/>
      </c>
      <c r="AR468" s="135" t="str">
        <f aca="false">IF(ISBLANK($C468),"",IF(Q468=Constants!$B$2,TRUE(),IF(Q468=Constants!$B$3,FALSE(),TRUE())))</f>
        <v/>
      </c>
      <c r="AS468" s="135" t="str">
        <f aca="false">IF(ISBLANK($C468),"",IF(R468=Constants!$B$2,TRUE(),IF(R468=Constants!$B$3,FALSE(),TRUE())))</f>
        <v/>
      </c>
      <c r="AT468" s="135" t="str">
        <f aca="false">IF(ISBLANK($C468),"",IF(S468=Constants!$B$4,TRUE(),IF(S468=Constants!$B$5,FALSE(),COUNTA(T468:X468)&gt;0)))</f>
        <v/>
      </c>
      <c r="AU468" s="136" t="str">
        <f aca="false">IF(ISBLANK($C468),"",IF(ISNUMBER(T468),IF(T468&gt;=0,T468,""),""))</f>
        <v/>
      </c>
      <c r="AV468" s="137" t="str">
        <f aca="false">IF(ISBLANK($C468),"",IF(ISNUMBER(U468),IF(U468&gt;=0,U468,""),""))</f>
        <v/>
      </c>
      <c r="AW468" s="137" t="str">
        <f aca="false">IF(ISBLANK($C468),"",IF(V468=Constants!$B$2,TRUE(),IF(V468=Constants!$B$3,FALSE(),TRUE())))</f>
        <v/>
      </c>
      <c r="AX468" s="135" t="str">
        <f aca="false">IF(ISBLANK($C468),"",IF(ISNUMBER(W468),IF(W468&gt;=0,W468,""),""))</f>
        <v/>
      </c>
      <c r="AY468" s="135" t="str">
        <f aca="false">IF(ISBLANK($C468),"",IF(X468=Constants!$B$2,TRUE(),IF(X468=Constants!$B$3,FALSE(),FALSE())))</f>
        <v/>
      </c>
      <c r="AZ468" s="135" t="str">
        <f aca="false">IF(ISBLANK($C468),"",MIN(Constants!$B$25,MAX(0,IF(ISNUMBER(Y468),Y468*60,0)+IF(ISNUMBER(Z468),Z468,0))))</f>
        <v/>
      </c>
      <c r="BA468" s="135" t="str">
        <f aca="false">IF(ISBLANK($C468),"",IF(AA468=Constants!$B$2,TRUE(),IF(AA468=Constants!$B$3,FALSE(),FALSE())))</f>
        <v/>
      </c>
      <c r="BB468" s="134" t="str">
        <f aca="false">IF(ISBLANK($C468),"",AND($AL468,OR($AM468="",$AN468="",AND($AO468,$AP468=""))))</f>
        <v/>
      </c>
      <c r="BC468" s="137" t="str">
        <f aca="false">IF($BX468&lt;&gt;Constants!$B$6,"",IF($AL468,Constants!$B$17*$AN468+Constants!$B$18*IF($AO468,$AP468,Constants!$B$19),Constants!$B$20))</f>
        <v/>
      </c>
      <c r="BD468" s="138" t="str">
        <f aca="false">IF($BX468&lt;&gt;Constants!$B$6,"",Constants!$B$21*ABS($AD$9-IF($AL468,$AM468,0)))</f>
        <v/>
      </c>
      <c r="BE468" s="138" t="str">
        <f aca="false">IF($BX468&lt;&gt;Constants!$B$6,"",IF(AND($AL468,$AQ468,$AO468),Constants!$B$22,0))</f>
        <v/>
      </c>
      <c r="BF468" s="138" t="str">
        <f aca="false">IF($BX468&lt;&gt;Constants!$B$6,"",IF($AL468,($AI468-Constants!$B$24)*Constants!$B$23,0))</f>
        <v/>
      </c>
      <c r="BG468" s="138" t="str">
        <f aca="false">IF($BX468&lt;&gt;Constants!$B$6,"",IF($AK468,0,Constants!$B$12)+IF($AJ468,0,Constants!$B$13)+IF($AH468,0,Constants!$B$14))</f>
        <v/>
      </c>
      <c r="BH468" s="139" t="str">
        <f aca="false">IF($BX468&lt;&gt;Constants!$B$6,"",Constants!$B$16+SUM($BC468:$BG468))</f>
        <v/>
      </c>
      <c r="BI468" s="138" t="str">
        <f aca="false">IF($BX468&lt;&gt;Constants!$B$6,"",$BC468)</f>
        <v/>
      </c>
      <c r="BJ468" s="138" t="str">
        <f aca="false">IF($BX468&lt;&gt;Constants!$B$6,"",$BD468)</f>
        <v/>
      </c>
      <c r="BK468" s="140" t="str">
        <f aca="false">IF($BX468&lt;&gt;Constants!$B$6,"",IF($AL468,$AN468,""))</f>
        <v/>
      </c>
      <c r="BL468" s="135" t="str">
        <f aca="false">IF($BX468&lt;&gt;Constants!$B$6,"",IF(OR($BS468&lt;$BH468,AND($BS468=$BH468,OR($BT468&lt;$BI468,AND($BT468=$BI468,OR($BU468&lt;$BJ468,AND($BU468=$BJ468,AND(ISNUMBER($BV468),OR(NOT(ISNUMBER($BK468)),$BV468&lt;$BK468)))))))),"-&gt;","&lt;-"))</f>
        <v/>
      </c>
      <c r="BM468" s="134" t="str">
        <f aca="false">IF(ISBLANK($C468),"",AND($AT468,OR($AU468="",$AV468="",AND($AW468,$AX468=""))))</f>
        <v/>
      </c>
      <c r="BN468" s="137" t="str">
        <f aca="false">IF($BX468&lt;&gt;Constants!$B$6,"",IF($AT468,Constants!$B$17*$AV468+Constants!$B$18*IF($AW468,$AX468,Constants!$B$19),Constants!$B$20))</f>
        <v/>
      </c>
      <c r="BO468" s="138" t="str">
        <f aca="false">IF($BX468&lt;&gt;Constants!$B$6,"",Constants!$B$21*ABS($AD$9-IF($AT468,$AU468,0)))</f>
        <v/>
      </c>
      <c r="BP468" s="138" t="str">
        <f aca="false">IF($BX468&lt;&gt;Constants!$B$6,"",IF(AND($AT468,$AY468,$AW468),Constants!$B$22,0))</f>
        <v/>
      </c>
      <c r="BQ468" s="138" t="str">
        <f aca="false">IF($BX468&lt;&gt;Constants!$B$6,"",IF($AT468,($AI468-Constants!$B$24)*Constants!$B$23,0))</f>
        <v/>
      </c>
      <c r="BR468" s="138" t="str">
        <f aca="false">IF($BX468&lt;&gt;Constants!$B$6,"",IF($AS468,0,Constants!$B$12)+IF($AR468,0,Constants!$B$13)+IF($AH468,0,Constants!$B$14))</f>
        <v/>
      </c>
      <c r="BS468" s="139" t="str">
        <f aca="false">IF($BX468&lt;&gt;Constants!$B$6,"",Constants!$B$16+SUM($BN468:$BR468))</f>
        <v/>
      </c>
      <c r="BT468" s="138" t="str">
        <f aca="false">IF($BX468&lt;&gt;Constants!$B$6,"",$BN468)</f>
        <v/>
      </c>
      <c r="BU468" s="138" t="str">
        <f aca="false">IF($BX468&lt;&gt;Constants!$B$6,"",$BO468)</f>
        <v/>
      </c>
      <c r="BV468" s="140" t="str">
        <f aca="false">IF($BX468&lt;&gt;Constants!$B$6,"",IF($AT468,$AV468,""))</f>
        <v/>
      </c>
      <c r="BW468" s="135" t="str">
        <f aca="false">IF(ISBLANK($C468),"",IF(ISBLANK($D$7),$BW$5,IF(NOT(ISNUMBER($D$7)),$BW$6,"")))</f>
        <v/>
      </c>
      <c r="BX468" s="135" t="str">
        <f aca="false">IF(ISBLANK($C468),"",IF($BA468,Constants!$B$9,IF(COUNTA($E468:$AA468)=0,Constants!$B$8,IF(NOT($AG468),Constants!$B$7,IF(OR($BW468&lt;&gt;"",$BB468,$BM468),Constants!$B$10,Constants!$B$6)))))</f>
        <v/>
      </c>
      <c r="BY468" s="135" t="str">
        <f aca="false">IF(ISBLANK($C468),"",IF($BX468&lt;&gt;Constants!$B$6,$BX468,Constants!$B$11))</f>
        <v/>
      </c>
      <c r="BZ468" s="138" t="str">
        <f aca="false">IF($BX468&lt;&gt;Constants!$B$6,"",IF($BL468="-&gt;",$BS468,$BH468))</f>
        <v/>
      </c>
      <c r="CA468" s="138" t="str">
        <f aca="false">IF($BX468&lt;&gt;Constants!$B$6,"",IF($AF468,0,Constants!$B$15))</f>
        <v/>
      </c>
      <c r="CB468" s="138" t="str">
        <f aca="false">IF($BX468&lt;&gt;Constants!$B$6,"",((Constants!$B$25-$AZ468)-Constants!$B$25)/Constants!$B$26)</f>
        <v/>
      </c>
      <c r="CC468" s="138" t="str">
        <f aca="false">IF(ISBLANK($C468),"",IF($BX468&lt;&gt;Constants!$B$6,$BX468,SUM($BZ468:$CB468)))</f>
        <v/>
      </c>
      <c r="CD468" s="135" t="str">
        <f aca="false">IF(ISBLANK($C468),"",IF($BX468&lt;&gt;Constants!$B$6,$BX468,RANK($CC468,$CC$9:$CC$508,1)))</f>
        <v/>
      </c>
      <c r="CE468" s="138" t="str">
        <f aca="false">IF($BX468&lt;&gt;Constants!$B$6,"",IF($BL468="-&gt;",$BT468,$BI468))</f>
        <v/>
      </c>
      <c r="CF468" s="135" t="str">
        <f aca="false">IF(ISBLANK($C468),"",IF($BX468&lt;&gt;Constants!$B$6,$BX468,IF(ISNUMBER($CE468),RANK($CE468,$CE$9:$CE$508,1),COUNT($CE$9:$CE$508)+1)))</f>
        <v/>
      </c>
      <c r="CG468" s="138" t="str">
        <f aca="false">IF($BX468&lt;&gt;Constants!$B$6,"",IF($BL468="-&gt;",$BU468,$BJ468))</f>
        <v/>
      </c>
      <c r="CH468" s="135" t="str">
        <f aca="false">IF(ISBLANK($C468),"",IF($BX468&lt;&gt;Constants!$B$6,$BX468,IF(ISNUMBER($CG468),RANK($CG468,$CG$9:$CG$508,1),COUNT($CG$9:$CG$508)+1)))</f>
        <v/>
      </c>
      <c r="CI468" s="138" t="str">
        <f aca="false">IF($BX468&lt;&gt;Constants!$B$6,"",IF($BL468="-&gt;",$BV468,$BK468))</f>
        <v/>
      </c>
      <c r="CJ468" s="135" t="str">
        <f aca="false">IF(ISBLANK($C468),"",IF($BX468&lt;&gt;Constants!$B$6,$BX468,IF(ISNUMBER($CI468),RANK($CI468,$CI$9:$CI$508,1),COUNT($CI$9:$CI$508)+1)))</f>
        <v/>
      </c>
      <c r="CK468" s="138" t="str">
        <f aca="false">IF($BX468&lt;&gt;Constants!$B$6,"",$AI468)</f>
        <v/>
      </c>
      <c r="CL468" s="135" t="str">
        <f aca="false">IF(ISBLANK($C468),"",IF($BX468&lt;&gt;Constants!$B$6,$BX468,IF(ISNUMBER($CK468),RANK($CK468,$CK$9:$CK$508,1),COUNT($CK$9:$CK$508)+1)))</f>
        <v/>
      </c>
      <c r="CM468" s="135" t="str">
        <f aca="false">IF(ISBLANK($C468),"",IF($BX468&lt;&gt;Constants!$B$6,$BX468,COUNTIFS($CD$9:$CD$508,"&lt;"&amp;$CD468)+COUNTIFS($CD$9:$CD$508,$CD468,$CF$9:$CF$508,"&lt;"&amp;$CF468)+COUNTIFS($CD$9:$CD$508,$CD468,$CF$9:$CF$508,$CF468,$CH$9:$CH$508,"&lt;"&amp;$CH468)+COUNTIFS($CD$9:$CD$508,$CD468,$CF$9:$CF$508,$CF468,$CH$9:$CH$508,$CH468,$CJ$9:$CJ$508,"&lt;"&amp;$CJ468)+COUNTIFS($CD$9:$CD$508,$CD468,$CF$9:$CF$508,$CF468,$CH$9:$CH$508,$CH468,$CJ$9:$CJ$508,$CJ468,$CL$9:$CL$508,"&lt;"&amp;$CL468)+1))</f>
        <v/>
      </c>
      <c r="CN468" s="135" t="str">
        <f aca="false">IF(ISBLANK($C468),"",IF($BX468&lt;&gt;Constants!$B$6,$BX468,$CD468-$CM468))</f>
        <v/>
      </c>
      <c r="CO468" s="141"/>
      <c r="CP468" s="142"/>
      <c r="CQ468" s="143" t="str">
        <f aca="false">IF(ISBLANK($C468),"",IF($BX468=Constants!$B$10,$BW468,""))</f>
        <v/>
      </c>
      <c r="CR468" s="142" t="str">
        <f aca="false">IF(ISBLANK($C468),"",IF($BX468&lt;&gt;Constants!$B$6,"",IF($BL468="-&gt;",2,1)))</f>
        <v/>
      </c>
      <c r="CS468" s="144" t="str">
        <f aca="false">IF(ISBLANK($C468),"",IF($BX468&lt;&gt;Constants!$B$6,"",IF($BL468="-&gt;",$BN468,$BC468)))</f>
        <v/>
      </c>
      <c r="CT468" s="144" t="str">
        <f aca="false">IF(ISBLANK($C468),"",IF($BX468&lt;&gt;Constants!$B$6,"",IF($BL468="-&gt;",$BO468,$BD468)))</f>
        <v/>
      </c>
      <c r="CU468" s="144" t="str">
        <f aca="false">IF(ISBLANK($C468),"",IF($BX468&lt;&gt;Constants!$B$6,"",IF($BL468="-&gt;",$BP468+$BQ468,$BE468+$BF468)+$CB468))</f>
        <v/>
      </c>
      <c r="CV468" s="144" t="str">
        <f aca="false">IF(ISBLANK($C468),"",IF($BX468&lt;&gt;Constants!$B$6,"",IF($BL468="-&gt;",$BR468,$BG468)+$CA468))</f>
        <v/>
      </c>
      <c r="CW468" s="145" t="str">
        <f aca="false">IF(ISBLANK($C468),"",IF($BX468&lt;&gt;Constants!$B$6,$BX468,$CC468))</f>
        <v/>
      </c>
      <c r="CX468" s="146" t="str">
        <f aca="false">IF(ISBLANK($C468),"",$BY468)</f>
        <v/>
      </c>
      <c r="CY468" s="147" t="str">
        <f aca="false">IF(ISBLANK($C468),"",$CN468)</f>
        <v/>
      </c>
      <c r="CZ468" s="147" t="str">
        <f aca="false">IF(ISBLANK($C468),"",$CM468)</f>
        <v/>
      </c>
      <c r="DA468" s="148" t="str">
        <f aca="false">IF(ISBLANK($C468),"",IFERROR(_xlfn.SWITCH($CZ468,Constants!$B$9,COUNTA($C$9:$C$508)+2,Constants!$B$8,COUNTA($C$9:$C$508)+1,Constants!$B$7,COUNTA($C$9:$C$508)),$CZ468))</f>
        <v/>
      </c>
      <c r="DB468" s="9"/>
      <c r="DC468" s="149" t="n">
        <f aca="false">IF(OR(ISNUMBER($CZ468),$CZ468=Constants!$B$9,$CZ468=Constants!$B$7,$CZ468=Constants!$B$8),1,0)</f>
        <v>0</v>
      </c>
      <c r="DD468" s="149" t="n">
        <v>460</v>
      </c>
      <c r="DE468" s="149" t="str">
        <f aca="false">IF(ISBLANK($C468),"",IF(ISNUMBER($DA468),$DA468+ROW($B468)/1000,""))</f>
        <v/>
      </c>
      <c r="DF468" s="149" t="str">
        <f aca="false">IF(ISNUMBER($DE468),RANK($DE468,$DE$9:$DE$508,1),"")</f>
        <v/>
      </c>
      <c r="DG468" s="149" t="str">
        <f aca="false">IF(ISBLANK($C468),"",$B468)</f>
        <v/>
      </c>
      <c r="DH468" s="149" t="str">
        <f aca="false">IF(ISBLANK($C468),"",$C468)</f>
        <v/>
      </c>
      <c r="DI468" s="149" t="str">
        <f aca="false">IF(ISBLANK($C468),"",$D468)</f>
        <v/>
      </c>
      <c r="DJ468" s="150" t="str">
        <f aca="false">$CX468</f>
        <v/>
      </c>
      <c r="DK468" s="151" t="str">
        <f aca="false">$CW468</f>
        <v/>
      </c>
      <c r="DL468" s="149" t="str">
        <f aca="false">IF(ISBLANK($C468),"",$CZ468)</f>
        <v/>
      </c>
      <c r="DM468" s="152" t="str">
        <f aca="false">IF($DD468&gt;$DC$8,"",VLOOKUP($DD468,$DF$9:$DL$508,7,FALSE()))</f>
        <v/>
      </c>
      <c r="DN468" s="153" t="str">
        <f aca="false">IF($DD468&gt;$DC$8,"",VLOOKUP($DD468,$DF$9:$DL$508,2,FALSE()))</f>
        <v/>
      </c>
      <c r="DO468" s="153" t="str">
        <f aca="false">IF($DD468&gt;$DC$8,"",VLOOKUP($DD468,$DF$9:$DL$508,3,FALSE()))</f>
        <v/>
      </c>
      <c r="DP468" s="153" t="str">
        <f aca="false">IF($DD468&gt;$DC$8,"",VLOOKUP($DD468,$DF$9:$DL$508,4,FALSE()))</f>
        <v/>
      </c>
      <c r="DQ468" s="153" t="str">
        <f aca="false">IF($DD468&gt;$DC$8,"",VLOOKUP($DD468,$DF$9:$DL$508,5,FALSE()))</f>
        <v/>
      </c>
      <c r="DR468" s="154" t="str">
        <f aca="false">IF($DD468&gt;$DC$8,"",VLOOKUP($DD468,$DF$9:$DL$508,6,FALSE()))</f>
        <v/>
      </c>
      <c r="DS468" s="76"/>
    </row>
    <row r="469" customFormat="false" ht="15.75" hidden="false" customHeight="false" outlineLevel="0" collapsed="false">
      <c r="A469" s="9"/>
      <c r="B469" s="160"/>
      <c r="C469" s="161"/>
      <c r="D469" s="162"/>
      <c r="E469" s="180"/>
      <c r="F469" s="164"/>
      <c r="G469" s="165"/>
      <c r="H469" s="165"/>
      <c r="I469" s="181"/>
      <c r="J469" s="168"/>
      <c r="K469" s="128"/>
      <c r="L469" s="129"/>
      <c r="M469" s="130"/>
      <c r="N469" s="168"/>
      <c r="O469" s="168"/>
      <c r="P469" s="180"/>
      <c r="Q469" s="168"/>
      <c r="R469" s="168"/>
      <c r="S469" s="128"/>
      <c r="T469" s="130"/>
      <c r="U469" s="130"/>
      <c r="V469" s="168"/>
      <c r="W469" s="168"/>
      <c r="X469" s="180"/>
      <c r="Y469" s="168"/>
      <c r="Z469" s="169"/>
      <c r="AA469" s="168"/>
      <c r="AB469" s="134"/>
      <c r="AC469" s="135"/>
      <c r="AD469" s="135"/>
      <c r="AE469" s="135"/>
      <c r="AF469" s="135" t="str">
        <f aca="false">IF(ISBLANK($C469),"",IF(E469=Constants!$B$2,TRUE(),IF(E469=Constants!$B$3,FALSE(),TRUE())))</f>
        <v/>
      </c>
      <c r="AG469" s="135" t="str">
        <f aca="false">IF(ISBLANK($C469),"",IF(F469=Constants!$B$2,TRUE(),IF(F469=Constants!$B$3,FALSE(),TRUE())))</f>
        <v/>
      </c>
      <c r="AH469" s="135" t="str">
        <f aca="false">IF(ISBLANK($C469),"",IF(G469=Constants!$B$2,TRUE(),IF(G469=Constants!$B$3,FALSE(),TRUE())))</f>
        <v/>
      </c>
      <c r="AI469" s="135" t="str">
        <f aca="false">IF(ISBLANK($C469),"",IF(AND(ISNUMBER(H469),H469&gt;=0),H469,Constants!$B$24))</f>
        <v/>
      </c>
      <c r="AJ469" s="135" t="str">
        <f aca="false">IF(ISBLANK($C469),"",IF(I469=Constants!$B$2,TRUE(),IF(I469=Constants!$B$3,FALSE(),TRUE())))</f>
        <v/>
      </c>
      <c r="AK469" s="135" t="str">
        <f aca="false">IF(ISBLANK($C469),"",IF(J469=Constants!$B$2,TRUE(),IF(J469=Constants!$B$3,FALSE(),TRUE())))</f>
        <v/>
      </c>
      <c r="AL469" s="135" t="str">
        <f aca="false">IF(ISBLANK($C469),"",IF(K469=Constants!$B$4,TRUE(),IF(K469=Constants!$B$5,FALSE(),COUNTA(L469:P469)&gt;0)))</f>
        <v/>
      </c>
      <c r="AM469" s="136" t="str">
        <f aca="false">IF(ISBLANK($C469),"",IF(ISNUMBER(L469),IF(L469&gt;=0,L469,""),""))</f>
        <v/>
      </c>
      <c r="AN469" s="137" t="str">
        <f aca="false">IF(ISBLANK($C469),"",IF(ISNUMBER(M469),IF(M469&gt;=0,M469,""),""))</f>
        <v/>
      </c>
      <c r="AO469" s="137" t="str">
        <f aca="false">IF(ISBLANK($C469),"",IF(N469=Constants!$B$2,TRUE(),IF(N469=Constants!$B$3,FALSE(),TRUE())))</f>
        <v/>
      </c>
      <c r="AP469" s="135" t="str">
        <f aca="false">IF(ISBLANK($C469),"",IF(ISNUMBER(O469),IF(O469&gt;=0,O469,""),""))</f>
        <v/>
      </c>
      <c r="AQ469" s="135" t="str">
        <f aca="false">IF(ISBLANK($C469),"",IF(P469=Constants!$B$2,TRUE(),IF(P469=Constants!$B$3,FALSE(),FALSE())))</f>
        <v/>
      </c>
      <c r="AR469" s="135" t="str">
        <f aca="false">IF(ISBLANK($C469),"",IF(Q469=Constants!$B$2,TRUE(),IF(Q469=Constants!$B$3,FALSE(),TRUE())))</f>
        <v/>
      </c>
      <c r="AS469" s="135" t="str">
        <f aca="false">IF(ISBLANK($C469),"",IF(R469=Constants!$B$2,TRUE(),IF(R469=Constants!$B$3,FALSE(),TRUE())))</f>
        <v/>
      </c>
      <c r="AT469" s="135" t="str">
        <f aca="false">IF(ISBLANK($C469),"",IF(S469=Constants!$B$4,TRUE(),IF(S469=Constants!$B$5,FALSE(),COUNTA(T469:X469)&gt;0)))</f>
        <v/>
      </c>
      <c r="AU469" s="136" t="str">
        <f aca="false">IF(ISBLANK($C469),"",IF(ISNUMBER(T469),IF(T469&gt;=0,T469,""),""))</f>
        <v/>
      </c>
      <c r="AV469" s="137" t="str">
        <f aca="false">IF(ISBLANK($C469),"",IF(ISNUMBER(U469),IF(U469&gt;=0,U469,""),""))</f>
        <v/>
      </c>
      <c r="AW469" s="137" t="str">
        <f aca="false">IF(ISBLANK($C469),"",IF(V469=Constants!$B$2,TRUE(),IF(V469=Constants!$B$3,FALSE(),TRUE())))</f>
        <v/>
      </c>
      <c r="AX469" s="135" t="str">
        <f aca="false">IF(ISBLANK($C469),"",IF(ISNUMBER(W469),IF(W469&gt;=0,W469,""),""))</f>
        <v/>
      </c>
      <c r="AY469" s="135" t="str">
        <f aca="false">IF(ISBLANK($C469),"",IF(X469=Constants!$B$2,TRUE(),IF(X469=Constants!$B$3,FALSE(),FALSE())))</f>
        <v/>
      </c>
      <c r="AZ469" s="135" t="str">
        <f aca="false">IF(ISBLANK($C469),"",MIN(Constants!$B$25,MAX(0,IF(ISNUMBER(Y469),Y469*60,0)+IF(ISNUMBER(Z469),Z469,0))))</f>
        <v/>
      </c>
      <c r="BA469" s="135" t="str">
        <f aca="false">IF(ISBLANK($C469),"",IF(AA469=Constants!$B$2,TRUE(),IF(AA469=Constants!$B$3,FALSE(),FALSE())))</f>
        <v/>
      </c>
      <c r="BB469" s="134" t="str">
        <f aca="false">IF(ISBLANK($C469),"",AND($AL469,OR($AM469="",$AN469="",AND($AO469,$AP469=""))))</f>
        <v/>
      </c>
      <c r="BC469" s="137" t="str">
        <f aca="false">IF($BX469&lt;&gt;Constants!$B$6,"",IF($AL469,Constants!$B$17*$AN469+Constants!$B$18*IF($AO469,$AP469,Constants!$B$19),Constants!$B$20))</f>
        <v/>
      </c>
      <c r="BD469" s="138" t="str">
        <f aca="false">IF($BX469&lt;&gt;Constants!$B$6,"",Constants!$B$21*ABS($AD$9-IF($AL469,$AM469,0)))</f>
        <v/>
      </c>
      <c r="BE469" s="138" t="str">
        <f aca="false">IF($BX469&lt;&gt;Constants!$B$6,"",IF(AND($AL469,$AQ469,$AO469),Constants!$B$22,0))</f>
        <v/>
      </c>
      <c r="BF469" s="138" t="str">
        <f aca="false">IF($BX469&lt;&gt;Constants!$B$6,"",IF($AL469,($AI469-Constants!$B$24)*Constants!$B$23,0))</f>
        <v/>
      </c>
      <c r="BG469" s="138" t="str">
        <f aca="false">IF($BX469&lt;&gt;Constants!$B$6,"",IF($AK469,0,Constants!$B$12)+IF($AJ469,0,Constants!$B$13)+IF($AH469,0,Constants!$B$14))</f>
        <v/>
      </c>
      <c r="BH469" s="139" t="str">
        <f aca="false">IF($BX469&lt;&gt;Constants!$B$6,"",Constants!$B$16+SUM($BC469:$BG469))</f>
        <v/>
      </c>
      <c r="BI469" s="138" t="str">
        <f aca="false">IF($BX469&lt;&gt;Constants!$B$6,"",$BC469)</f>
        <v/>
      </c>
      <c r="BJ469" s="138" t="str">
        <f aca="false">IF($BX469&lt;&gt;Constants!$B$6,"",$BD469)</f>
        <v/>
      </c>
      <c r="BK469" s="140" t="str">
        <f aca="false">IF($BX469&lt;&gt;Constants!$B$6,"",IF($AL469,$AN469,""))</f>
        <v/>
      </c>
      <c r="BL469" s="135" t="str">
        <f aca="false">IF($BX469&lt;&gt;Constants!$B$6,"",IF(OR($BS469&lt;$BH469,AND($BS469=$BH469,OR($BT469&lt;$BI469,AND($BT469=$BI469,OR($BU469&lt;$BJ469,AND($BU469=$BJ469,AND(ISNUMBER($BV469),OR(NOT(ISNUMBER($BK469)),$BV469&lt;$BK469)))))))),"-&gt;","&lt;-"))</f>
        <v/>
      </c>
      <c r="BM469" s="134" t="str">
        <f aca="false">IF(ISBLANK($C469),"",AND($AT469,OR($AU469="",$AV469="",AND($AW469,$AX469=""))))</f>
        <v/>
      </c>
      <c r="BN469" s="137" t="str">
        <f aca="false">IF($BX469&lt;&gt;Constants!$B$6,"",IF($AT469,Constants!$B$17*$AV469+Constants!$B$18*IF($AW469,$AX469,Constants!$B$19),Constants!$B$20))</f>
        <v/>
      </c>
      <c r="BO469" s="138" t="str">
        <f aca="false">IF($BX469&lt;&gt;Constants!$B$6,"",Constants!$B$21*ABS($AD$9-IF($AT469,$AU469,0)))</f>
        <v/>
      </c>
      <c r="BP469" s="138" t="str">
        <f aca="false">IF($BX469&lt;&gt;Constants!$B$6,"",IF(AND($AT469,$AY469,$AW469),Constants!$B$22,0))</f>
        <v/>
      </c>
      <c r="BQ469" s="138" t="str">
        <f aca="false">IF($BX469&lt;&gt;Constants!$B$6,"",IF($AT469,($AI469-Constants!$B$24)*Constants!$B$23,0))</f>
        <v/>
      </c>
      <c r="BR469" s="138" t="str">
        <f aca="false">IF($BX469&lt;&gt;Constants!$B$6,"",IF($AS469,0,Constants!$B$12)+IF($AR469,0,Constants!$B$13)+IF($AH469,0,Constants!$B$14))</f>
        <v/>
      </c>
      <c r="BS469" s="139" t="str">
        <f aca="false">IF($BX469&lt;&gt;Constants!$B$6,"",Constants!$B$16+SUM($BN469:$BR469))</f>
        <v/>
      </c>
      <c r="BT469" s="138" t="str">
        <f aca="false">IF($BX469&lt;&gt;Constants!$B$6,"",$BN469)</f>
        <v/>
      </c>
      <c r="BU469" s="138" t="str">
        <f aca="false">IF($BX469&lt;&gt;Constants!$B$6,"",$BO469)</f>
        <v/>
      </c>
      <c r="BV469" s="140" t="str">
        <f aca="false">IF($BX469&lt;&gt;Constants!$B$6,"",IF($AT469,$AV469,""))</f>
        <v/>
      </c>
      <c r="BW469" s="135" t="str">
        <f aca="false">IF(ISBLANK($C469),"",IF(ISBLANK($D$7),$BW$5,IF(NOT(ISNUMBER($D$7)),$BW$6,"")))</f>
        <v/>
      </c>
      <c r="BX469" s="135" t="str">
        <f aca="false">IF(ISBLANK($C469),"",IF($BA469,Constants!$B$9,IF(COUNTA($E469:$AA469)=0,Constants!$B$8,IF(NOT($AG469),Constants!$B$7,IF(OR($BW469&lt;&gt;"",$BB469,$BM469),Constants!$B$10,Constants!$B$6)))))</f>
        <v/>
      </c>
      <c r="BY469" s="135" t="str">
        <f aca="false">IF(ISBLANK($C469),"",IF($BX469&lt;&gt;Constants!$B$6,$BX469,Constants!$B$11))</f>
        <v/>
      </c>
      <c r="BZ469" s="138" t="str">
        <f aca="false">IF($BX469&lt;&gt;Constants!$B$6,"",IF($BL469="-&gt;",$BS469,$BH469))</f>
        <v/>
      </c>
      <c r="CA469" s="138" t="str">
        <f aca="false">IF($BX469&lt;&gt;Constants!$B$6,"",IF($AF469,0,Constants!$B$15))</f>
        <v/>
      </c>
      <c r="CB469" s="138" t="str">
        <f aca="false">IF($BX469&lt;&gt;Constants!$B$6,"",((Constants!$B$25-$AZ469)-Constants!$B$25)/Constants!$B$26)</f>
        <v/>
      </c>
      <c r="CC469" s="138" t="str">
        <f aca="false">IF(ISBLANK($C469),"",IF($BX469&lt;&gt;Constants!$B$6,$BX469,SUM($BZ469:$CB469)))</f>
        <v/>
      </c>
      <c r="CD469" s="135" t="str">
        <f aca="false">IF(ISBLANK($C469),"",IF($BX469&lt;&gt;Constants!$B$6,$BX469,RANK($CC469,$CC$9:$CC$508,1)))</f>
        <v/>
      </c>
      <c r="CE469" s="138" t="str">
        <f aca="false">IF($BX469&lt;&gt;Constants!$B$6,"",IF($BL469="-&gt;",$BT469,$BI469))</f>
        <v/>
      </c>
      <c r="CF469" s="135" t="str">
        <f aca="false">IF(ISBLANK($C469),"",IF($BX469&lt;&gt;Constants!$B$6,$BX469,IF(ISNUMBER($CE469),RANK($CE469,$CE$9:$CE$508,1),COUNT($CE$9:$CE$508)+1)))</f>
        <v/>
      </c>
      <c r="CG469" s="138" t="str">
        <f aca="false">IF($BX469&lt;&gt;Constants!$B$6,"",IF($BL469="-&gt;",$BU469,$BJ469))</f>
        <v/>
      </c>
      <c r="CH469" s="135" t="str">
        <f aca="false">IF(ISBLANK($C469),"",IF($BX469&lt;&gt;Constants!$B$6,$BX469,IF(ISNUMBER($CG469),RANK($CG469,$CG$9:$CG$508,1),COUNT($CG$9:$CG$508)+1)))</f>
        <v/>
      </c>
      <c r="CI469" s="138" t="str">
        <f aca="false">IF($BX469&lt;&gt;Constants!$B$6,"",IF($BL469="-&gt;",$BV469,$BK469))</f>
        <v/>
      </c>
      <c r="CJ469" s="135" t="str">
        <f aca="false">IF(ISBLANK($C469),"",IF($BX469&lt;&gt;Constants!$B$6,$BX469,IF(ISNUMBER($CI469),RANK($CI469,$CI$9:$CI$508,1),COUNT($CI$9:$CI$508)+1)))</f>
        <v/>
      </c>
      <c r="CK469" s="138" t="str">
        <f aca="false">IF($BX469&lt;&gt;Constants!$B$6,"",$AI469)</f>
        <v/>
      </c>
      <c r="CL469" s="135" t="str">
        <f aca="false">IF(ISBLANK($C469),"",IF($BX469&lt;&gt;Constants!$B$6,$BX469,IF(ISNUMBER($CK469),RANK($CK469,$CK$9:$CK$508,1),COUNT($CK$9:$CK$508)+1)))</f>
        <v/>
      </c>
      <c r="CM469" s="135" t="str">
        <f aca="false">IF(ISBLANK($C469),"",IF($BX469&lt;&gt;Constants!$B$6,$BX469,COUNTIFS($CD$9:$CD$508,"&lt;"&amp;$CD469)+COUNTIFS($CD$9:$CD$508,$CD469,$CF$9:$CF$508,"&lt;"&amp;$CF469)+COUNTIFS($CD$9:$CD$508,$CD469,$CF$9:$CF$508,$CF469,$CH$9:$CH$508,"&lt;"&amp;$CH469)+COUNTIFS($CD$9:$CD$508,$CD469,$CF$9:$CF$508,$CF469,$CH$9:$CH$508,$CH469,$CJ$9:$CJ$508,"&lt;"&amp;$CJ469)+COUNTIFS($CD$9:$CD$508,$CD469,$CF$9:$CF$508,$CF469,$CH$9:$CH$508,$CH469,$CJ$9:$CJ$508,$CJ469,$CL$9:$CL$508,"&lt;"&amp;$CL469)+1))</f>
        <v/>
      </c>
      <c r="CN469" s="135" t="str">
        <f aca="false">IF(ISBLANK($C469),"",IF($BX469&lt;&gt;Constants!$B$6,$BX469,$CD469-$CM469))</f>
        <v/>
      </c>
      <c r="CO469" s="141"/>
      <c r="CP469" s="142"/>
      <c r="CQ469" s="143" t="str">
        <f aca="false">IF(ISBLANK($C469),"",IF($BX469=Constants!$B$10,$BW469,""))</f>
        <v/>
      </c>
      <c r="CR469" s="142" t="str">
        <f aca="false">IF(ISBLANK($C469),"",IF($BX469&lt;&gt;Constants!$B$6,"",IF($BL469="-&gt;",2,1)))</f>
        <v/>
      </c>
      <c r="CS469" s="144" t="str">
        <f aca="false">IF(ISBLANK($C469),"",IF($BX469&lt;&gt;Constants!$B$6,"",IF($BL469="-&gt;",$BN469,$BC469)))</f>
        <v/>
      </c>
      <c r="CT469" s="144" t="str">
        <f aca="false">IF(ISBLANK($C469),"",IF($BX469&lt;&gt;Constants!$B$6,"",IF($BL469="-&gt;",$BO469,$BD469)))</f>
        <v/>
      </c>
      <c r="CU469" s="144" t="str">
        <f aca="false">IF(ISBLANK($C469),"",IF($BX469&lt;&gt;Constants!$B$6,"",IF($BL469="-&gt;",$BP469+$BQ469,$BE469+$BF469)+$CB469))</f>
        <v/>
      </c>
      <c r="CV469" s="144" t="str">
        <f aca="false">IF(ISBLANK($C469),"",IF($BX469&lt;&gt;Constants!$B$6,"",IF($BL469="-&gt;",$BR469,$BG469)+$CA469))</f>
        <v/>
      </c>
      <c r="CW469" s="145" t="str">
        <f aca="false">IF(ISBLANK($C469),"",IF($BX469&lt;&gt;Constants!$B$6,$BX469,$CC469))</f>
        <v/>
      </c>
      <c r="CX469" s="146" t="str">
        <f aca="false">IF(ISBLANK($C469),"",$BY469)</f>
        <v/>
      </c>
      <c r="CY469" s="147" t="str">
        <f aca="false">IF(ISBLANK($C469),"",$CN469)</f>
        <v/>
      </c>
      <c r="CZ469" s="147" t="str">
        <f aca="false">IF(ISBLANK($C469),"",$CM469)</f>
        <v/>
      </c>
      <c r="DA469" s="148" t="str">
        <f aca="false">IF(ISBLANK($C469),"",IFERROR(_xlfn.SWITCH($CZ469,Constants!$B$9,COUNTA($C$9:$C$508)+2,Constants!$B$8,COUNTA($C$9:$C$508)+1,Constants!$B$7,COUNTA($C$9:$C$508)),$CZ469))</f>
        <v/>
      </c>
      <c r="DB469" s="9"/>
      <c r="DC469" s="149" t="n">
        <f aca="false">IF(OR(ISNUMBER($CZ469),$CZ469=Constants!$B$9,$CZ469=Constants!$B$7,$CZ469=Constants!$B$8),1,0)</f>
        <v>0</v>
      </c>
      <c r="DD469" s="149" t="n">
        <v>461</v>
      </c>
      <c r="DE469" s="149" t="str">
        <f aca="false">IF(ISBLANK($C469),"",IF(ISNUMBER($DA469),$DA469+ROW($B469)/1000,""))</f>
        <v/>
      </c>
      <c r="DF469" s="149" t="str">
        <f aca="false">IF(ISNUMBER($DE469),RANK($DE469,$DE$9:$DE$508,1),"")</f>
        <v/>
      </c>
      <c r="DG469" s="149" t="str">
        <f aca="false">IF(ISBLANK($C469),"",$B469)</f>
        <v/>
      </c>
      <c r="DH469" s="149" t="str">
        <f aca="false">IF(ISBLANK($C469),"",$C469)</f>
        <v/>
      </c>
      <c r="DI469" s="149" t="str">
        <f aca="false">IF(ISBLANK($C469),"",$D469)</f>
        <v/>
      </c>
      <c r="DJ469" s="150" t="str">
        <f aca="false">$CX469</f>
        <v/>
      </c>
      <c r="DK469" s="151" t="str">
        <f aca="false">$CW469</f>
        <v/>
      </c>
      <c r="DL469" s="149" t="str">
        <f aca="false">IF(ISBLANK($C469),"",$CZ469)</f>
        <v/>
      </c>
      <c r="DM469" s="152" t="str">
        <f aca="false">IF($DD469&gt;$DC$8,"",VLOOKUP($DD469,$DF$9:$DL$508,7,FALSE()))</f>
        <v/>
      </c>
      <c r="DN469" s="153" t="str">
        <f aca="false">IF($DD469&gt;$DC$8,"",VLOOKUP($DD469,$DF$9:$DL$508,2,FALSE()))</f>
        <v/>
      </c>
      <c r="DO469" s="153" t="str">
        <f aca="false">IF($DD469&gt;$DC$8,"",VLOOKUP($DD469,$DF$9:$DL$508,3,FALSE()))</f>
        <v/>
      </c>
      <c r="DP469" s="153" t="str">
        <f aca="false">IF($DD469&gt;$DC$8,"",VLOOKUP($DD469,$DF$9:$DL$508,4,FALSE()))</f>
        <v/>
      </c>
      <c r="DQ469" s="153" t="str">
        <f aca="false">IF($DD469&gt;$DC$8,"",VLOOKUP($DD469,$DF$9:$DL$508,5,FALSE()))</f>
        <v/>
      </c>
      <c r="DR469" s="154" t="str">
        <f aca="false">IF($DD469&gt;$DC$8,"",VLOOKUP($DD469,$DF$9:$DL$508,6,FALSE()))</f>
        <v/>
      </c>
      <c r="DS469" s="76"/>
    </row>
    <row r="470" customFormat="false" ht="15.75" hidden="false" customHeight="false" outlineLevel="0" collapsed="false">
      <c r="A470" s="9"/>
      <c r="B470" s="160"/>
      <c r="C470" s="161"/>
      <c r="D470" s="162"/>
      <c r="E470" s="180"/>
      <c r="F470" s="164"/>
      <c r="G470" s="165"/>
      <c r="H470" s="165"/>
      <c r="I470" s="181"/>
      <c r="J470" s="168"/>
      <c r="K470" s="128"/>
      <c r="L470" s="129"/>
      <c r="M470" s="130"/>
      <c r="N470" s="168"/>
      <c r="O470" s="168"/>
      <c r="P470" s="180"/>
      <c r="Q470" s="168"/>
      <c r="R470" s="168"/>
      <c r="S470" s="128"/>
      <c r="T470" s="130"/>
      <c r="U470" s="130"/>
      <c r="V470" s="168"/>
      <c r="W470" s="168"/>
      <c r="X470" s="180"/>
      <c r="Y470" s="168"/>
      <c r="Z470" s="169"/>
      <c r="AA470" s="168"/>
      <c r="AB470" s="134"/>
      <c r="AC470" s="135"/>
      <c r="AD470" s="135"/>
      <c r="AE470" s="135"/>
      <c r="AF470" s="135" t="str">
        <f aca="false">IF(ISBLANK($C470),"",IF(E470=Constants!$B$2,TRUE(),IF(E470=Constants!$B$3,FALSE(),TRUE())))</f>
        <v/>
      </c>
      <c r="AG470" s="135" t="str">
        <f aca="false">IF(ISBLANK($C470),"",IF(F470=Constants!$B$2,TRUE(),IF(F470=Constants!$B$3,FALSE(),TRUE())))</f>
        <v/>
      </c>
      <c r="AH470" s="135" t="str">
        <f aca="false">IF(ISBLANK($C470),"",IF(G470=Constants!$B$2,TRUE(),IF(G470=Constants!$B$3,FALSE(),TRUE())))</f>
        <v/>
      </c>
      <c r="AI470" s="135" t="str">
        <f aca="false">IF(ISBLANK($C470),"",IF(AND(ISNUMBER(H470),H470&gt;=0),H470,Constants!$B$24))</f>
        <v/>
      </c>
      <c r="AJ470" s="135" t="str">
        <f aca="false">IF(ISBLANK($C470),"",IF(I470=Constants!$B$2,TRUE(),IF(I470=Constants!$B$3,FALSE(),TRUE())))</f>
        <v/>
      </c>
      <c r="AK470" s="135" t="str">
        <f aca="false">IF(ISBLANK($C470),"",IF(J470=Constants!$B$2,TRUE(),IF(J470=Constants!$B$3,FALSE(),TRUE())))</f>
        <v/>
      </c>
      <c r="AL470" s="135" t="str">
        <f aca="false">IF(ISBLANK($C470),"",IF(K470=Constants!$B$4,TRUE(),IF(K470=Constants!$B$5,FALSE(),COUNTA(L470:P470)&gt;0)))</f>
        <v/>
      </c>
      <c r="AM470" s="136" t="str">
        <f aca="false">IF(ISBLANK($C470),"",IF(ISNUMBER(L470),IF(L470&gt;=0,L470,""),""))</f>
        <v/>
      </c>
      <c r="AN470" s="137" t="str">
        <f aca="false">IF(ISBLANK($C470),"",IF(ISNUMBER(M470),IF(M470&gt;=0,M470,""),""))</f>
        <v/>
      </c>
      <c r="AO470" s="137" t="str">
        <f aca="false">IF(ISBLANK($C470),"",IF(N470=Constants!$B$2,TRUE(),IF(N470=Constants!$B$3,FALSE(),TRUE())))</f>
        <v/>
      </c>
      <c r="AP470" s="135" t="str">
        <f aca="false">IF(ISBLANK($C470),"",IF(ISNUMBER(O470),IF(O470&gt;=0,O470,""),""))</f>
        <v/>
      </c>
      <c r="AQ470" s="135" t="str">
        <f aca="false">IF(ISBLANK($C470),"",IF(P470=Constants!$B$2,TRUE(),IF(P470=Constants!$B$3,FALSE(),FALSE())))</f>
        <v/>
      </c>
      <c r="AR470" s="135" t="str">
        <f aca="false">IF(ISBLANK($C470),"",IF(Q470=Constants!$B$2,TRUE(),IF(Q470=Constants!$B$3,FALSE(),TRUE())))</f>
        <v/>
      </c>
      <c r="AS470" s="135" t="str">
        <f aca="false">IF(ISBLANK($C470),"",IF(R470=Constants!$B$2,TRUE(),IF(R470=Constants!$B$3,FALSE(),TRUE())))</f>
        <v/>
      </c>
      <c r="AT470" s="135" t="str">
        <f aca="false">IF(ISBLANK($C470),"",IF(S470=Constants!$B$4,TRUE(),IF(S470=Constants!$B$5,FALSE(),COUNTA(T470:X470)&gt;0)))</f>
        <v/>
      </c>
      <c r="AU470" s="136" t="str">
        <f aca="false">IF(ISBLANK($C470),"",IF(ISNUMBER(T470),IF(T470&gt;=0,T470,""),""))</f>
        <v/>
      </c>
      <c r="AV470" s="137" t="str">
        <f aca="false">IF(ISBLANK($C470),"",IF(ISNUMBER(U470),IF(U470&gt;=0,U470,""),""))</f>
        <v/>
      </c>
      <c r="AW470" s="137" t="str">
        <f aca="false">IF(ISBLANK($C470),"",IF(V470=Constants!$B$2,TRUE(),IF(V470=Constants!$B$3,FALSE(),TRUE())))</f>
        <v/>
      </c>
      <c r="AX470" s="135" t="str">
        <f aca="false">IF(ISBLANK($C470),"",IF(ISNUMBER(W470),IF(W470&gt;=0,W470,""),""))</f>
        <v/>
      </c>
      <c r="AY470" s="135" t="str">
        <f aca="false">IF(ISBLANK($C470),"",IF(X470=Constants!$B$2,TRUE(),IF(X470=Constants!$B$3,FALSE(),FALSE())))</f>
        <v/>
      </c>
      <c r="AZ470" s="135" t="str">
        <f aca="false">IF(ISBLANK($C470),"",MIN(Constants!$B$25,MAX(0,IF(ISNUMBER(Y470),Y470*60,0)+IF(ISNUMBER(Z470),Z470,0))))</f>
        <v/>
      </c>
      <c r="BA470" s="135" t="str">
        <f aca="false">IF(ISBLANK($C470),"",IF(AA470=Constants!$B$2,TRUE(),IF(AA470=Constants!$B$3,FALSE(),FALSE())))</f>
        <v/>
      </c>
      <c r="BB470" s="134" t="str">
        <f aca="false">IF(ISBLANK($C470),"",AND($AL470,OR($AM470="",$AN470="",AND($AO470,$AP470=""))))</f>
        <v/>
      </c>
      <c r="BC470" s="137" t="str">
        <f aca="false">IF($BX470&lt;&gt;Constants!$B$6,"",IF($AL470,Constants!$B$17*$AN470+Constants!$B$18*IF($AO470,$AP470,Constants!$B$19),Constants!$B$20))</f>
        <v/>
      </c>
      <c r="BD470" s="138" t="str">
        <f aca="false">IF($BX470&lt;&gt;Constants!$B$6,"",Constants!$B$21*ABS($AD$9-IF($AL470,$AM470,0)))</f>
        <v/>
      </c>
      <c r="BE470" s="138" t="str">
        <f aca="false">IF($BX470&lt;&gt;Constants!$B$6,"",IF(AND($AL470,$AQ470,$AO470),Constants!$B$22,0))</f>
        <v/>
      </c>
      <c r="BF470" s="138" t="str">
        <f aca="false">IF($BX470&lt;&gt;Constants!$B$6,"",IF($AL470,($AI470-Constants!$B$24)*Constants!$B$23,0))</f>
        <v/>
      </c>
      <c r="BG470" s="138" t="str">
        <f aca="false">IF($BX470&lt;&gt;Constants!$B$6,"",IF($AK470,0,Constants!$B$12)+IF($AJ470,0,Constants!$B$13)+IF($AH470,0,Constants!$B$14))</f>
        <v/>
      </c>
      <c r="BH470" s="139" t="str">
        <f aca="false">IF($BX470&lt;&gt;Constants!$B$6,"",Constants!$B$16+SUM($BC470:$BG470))</f>
        <v/>
      </c>
      <c r="BI470" s="138" t="str">
        <f aca="false">IF($BX470&lt;&gt;Constants!$B$6,"",$BC470)</f>
        <v/>
      </c>
      <c r="BJ470" s="138" t="str">
        <f aca="false">IF($BX470&lt;&gt;Constants!$B$6,"",$BD470)</f>
        <v/>
      </c>
      <c r="BK470" s="140" t="str">
        <f aca="false">IF($BX470&lt;&gt;Constants!$B$6,"",IF($AL470,$AN470,""))</f>
        <v/>
      </c>
      <c r="BL470" s="135" t="str">
        <f aca="false">IF($BX470&lt;&gt;Constants!$B$6,"",IF(OR($BS470&lt;$BH470,AND($BS470=$BH470,OR($BT470&lt;$BI470,AND($BT470=$BI470,OR($BU470&lt;$BJ470,AND($BU470=$BJ470,AND(ISNUMBER($BV470),OR(NOT(ISNUMBER($BK470)),$BV470&lt;$BK470)))))))),"-&gt;","&lt;-"))</f>
        <v/>
      </c>
      <c r="BM470" s="134" t="str">
        <f aca="false">IF(ISBLANK($C470),"",AND($AT470,OR($AU470="",$AV470="",AND($AW470,$AX470=""))))</f>
        <v/>
      </c>
      <c r="BN470" s="137" t="str">
        <f aca="false">IF($BX470&lt;&gt;Constants!$B$6,"",IF($AT470,Constants!$B$17*$AV470+Constants!$B$18*IF($AW470,$AX470,Constants!$B$19),Constants!$B$20))</f>
        <v/>
      </c>
      <c r="BO470" s="138" t="str">
        <f aca="false">IF($BX470&lt;&gt;Constants!$B$6,"",Constants!$B$21*ABS($AD$9-IF($AT470,$AU470,0)))</f>
        <v/>
      </c>
      <c r="BP470" s="138" t="str">
        <f aca="false">IF($BX470&lt;&gt;Constants!$B$6,"",IF(AND($AT470,$AY470,$AW470),Constants!$B$22,0))</f>
        <v/>
      </c>
      <c r="BQ470" s="138" t="str">
        <f aca="false">IF($BX470&lt;&gt;Constants!$B$6,"",IF($AT470,($AI470-Constants!$B$24)*Constants!$B$23,0))</f>
        <v/>
      </c>
      <c r="BR470" s="138" t="str">
        <f aca="false">IF($BX470&lt;&gt;Constants!$B$6,"",IF($AS470,0,Constants!$B$12)+IF($AR470,0,Constants!$B$13)+IF($AH470,0,Constants!$B$14))</f>
        <v/>
      </c>
      <c r="BS470" s="139" t="str">
        <f aca="false">IF($BX470&lt;&gt;Constants!$B$6,"",Constants!$B$16+SUM($BN470:$BR470))</f>
        <v/>
      </c>
      <c r="BT470" s="138" t="str">
        <f aca="false">IF($BX470&lt;&gt;Constants!$B$6,"",$BN470)</f>
        <v/>
      </c>
      <c r="BU470" s="138" t="str">
        <f aca="false">IF($BX470&lt;&gt;Constants!$B$6,"",$BO470)</f>
        <v/>
      </c>
      <c r="BV470" s="140" t="str">
        <f aca="false">IF($BX470&lt;&gt;Constants!$B$6,"",IF($AT470,$AV470,""))</f>
        <v/>
      </c>
      <c r="BW470" s="135" t="str">
        <f aca="false">IF(ISBLANK($C470),"",IF(ISBLANK($D$7),$BW$5,IF(NOT(ISNUMBER($D$7)),$BW$6,"")))</f>
        <v/>
      </c>
      <c r="BX470" s="135" t="str">
        <f aca="false">IF(ISBLANK($C470),"",IF($BA470,Constants!$B$9,IF(COUNTA($E470:$AA470)=0,Constants!$B$8,IF(NOT($AG470),Constants!$B$7,IF(OR($BW470&lt;&gt;"",$BB470,$BM470),Constants!$B$10,Constants!$B$6)))))</f>
        <v/>
      </c>
      <c r="BY470" s="135" t="str">
        <f aca="false">IF(ISBLANK($C470),"",IF($BX470&lt;&gt;Constants!$B$6,$BX470,Constants!$B$11))</f>
        <v/>
      </c>
      <c r="BZ470" s="138" t="str">
        <f aca="false">IF($BX470&lt;&gt;Constants!$B$6,"",IF($BL470="-&gt;",$BS470,$BH470))</f>
        <v/>
      </c>
      <c r="CA470" s="138" t="str">
        <f aca="false">IF($BX470&lt;&gt;Constants!$B$6,"",IF($AF470,0,Constants!$B$15))</f>
        <v/>
      </c>
      <c r="CB470" s="138" t="str">
        <f aca="false">IF($BX470&lt;&gt;Constants!$B$6,"",((Constants!$B$25-$AZ470)-Constants!$B$25)/Constants!$B$26)</f>
        <v/>
      </c>
      <c r="CC470" s="138" t="str">
        <f aca="false">IF(ISBLANK($C470),"",IF($BX470&lt;&gt;Constants!$B$6,$BX470,SUM($BZ470:$CB470)))</f>
        <v/>
      </c>
      <c r="CD470" s="135" t="str">
        <f aca="false">IF(ISBLANK($C470),"",IF($BX470&lt;&gt;Constants!$B$6,$BX470,RANK($CC470,$CC$9:$CC$508,1)))</f>
        <v/>
      </c>
      <c r="CE470" s="138" t="str">
        <f aca="false">IF($BX470&lt;&gt;Constants!$B$6,"",IF($BL470="-&gt;",$BT470,$BI470))</f>
        <v/>
      </c>
      <c r="CF470" s="135" t="str">
        <f aca="false">IF(ISBLANK($C470),"",IF($BX470&lt;&gt;Constants!$B$6,$BX470,IF(ISNUMBER($CE470),RANK($CE470,$CE$9:$CE$508,1),COUNT($CE$9:$CE$508)+1)))</f>
        <v/>
      </c>
      <c r="CG470" s="138" t="str">
        <f aca="false">IF($BX470&lt;&gt;Constants!$B$6,"",IF($BL470="-&gt;",$BU470,$BJ470))</f>
        <v/>
      </c>
      <c r="CH470" s="135" t="str">
        <f aca="false">IF(ISBLANK($C470),"",IF($BX470&lt;&gt;Constants!$B$6,$BX470,IF(ISNUMBER($CG470),RANK($CG470,$CG$9:$CG$508,1),COUNT($CG$9:$CG$508)+1)))</f>
        <v/>
      </c>
      <c r="CI470" s="138" t="str">
        <f aca="false">IF($BX470&lt;&gt;Constants!$B$6,"",IF($BL470="-&gt;",$BV470,$BK470))</f>
        <v/>
      </c>
      <c r="CJ470" s="135" t="str">
        <f aca="false">IF(ISBLANK($C470),"",IF($BX470&lt;&gt;Constants!$B$6,$BX470,IF(ISNUMBER($CI470),RANK($CI470,$CI$9:$CI$508,1),COUNT($CI$9:$CI$508)+1)))</f>
        <v/>
      </c>
      <c r="CK470" s="138" t="str">
        <f aca="false">IF($BX470&lt;&gt;Constants!$B$6,"",$AI470)</f>
        <v/>
      </c>
      <c r="CL470" s="135" t="str">
        <f aca="false">IF(ISBLANK($C470),"",IF($BX470&lt;&gt;Constants!$B$6,$BX470,IF(ISNUMBER($CK470),RANK($CK470,$CK$9:$CK$508,1),COUNT($CK$9:$CK$508)+1)))</f>
        <v/>
      </c>
      <c r="CM470" s="135" t="str">
        <f aca="false">IF(ISBLANK($C470),"",IF($BX470&lt;&gt;Constants!$B$6,$BX470,COUNTIFS($CD$9:$CD$508,"&lt;"&amp;$CD470)+COUNTIFS($CD$9:$CD$508,$CD470,$CF$9:$CF$508,"&lt;"&amp;$CF470)+COUNTIFS($CD$9:$CD$508,$CD470,$CF$9:$CF$508,$CF470,$CH$9:$CH$508,"&lt;"&amp;$CH470)+COUNTIFS($CD$9:$CD$508,$CD470,$CF$9:$CF$508,$CF470,$CH$9:$CH$508,$CH470,$CJ$9:$CJ$508,"&lt;"&amp;$CJ470)+COUNTIFS($CD$9:$CD$508,$CD470,$CF$9:$CF$508,$CF470,$CH$9:$CH$508,$CH470,$CJ$9:$CJ$508,$CJ470,$CL$9:$CL$508,"&lt;"&amp;$CL470)+1))</f>
        <v/>
      </c>
      <c r="CN470" s="135" t="str">
        <f aca="false">IF(ISBLANK($C470),"",IF($BX470&lt;&gt;Constants!$B$6,$BX470,$CD470-$CM470))</f>
        <v/>
      </c>
      <c r="CO470" s="141"/>
      <c r="CP470" s="142"/>
      <c r="CQ470" s="143" t="str">
        <f aca="false">IF(ISBLANK($C470),"",IF($BX470=Constants!$B$10,$BW470,""))</f>
        <v/>
      </c>
      <c r="CR470" s="142" t="str">
        <f aca="false">IF(ISBLANK($C470),"",IF($BX470&lt;&gt;Constants!$B$6,"",IF($BL470="-&gt;",2,1)))</f>
        <v/>
      </c>
      <c r="CS470" s="144" t="str">
        <f aca="false">IF(ISBLANK($C470),"",IF($BX470&lt;&gt;Constants!$B$6,"",IF($BL470="-&gt;",$BN470,$BC470)))</f>
        <v/>
      </c>
      <c r="CT470" s="144" t="str">
        <f aca="false">IF(ISBLANK($C470),"",IF($BX470&lt;&gt;Constants!$B$6,"",IF($BL470="-&gt;",$BO470,$BD470)))</f>
        <v/>
      </c>
      <c r="CU470" s="144" t="str">
        <f aca="false">IF(ISBLANK($C470),"",IF($BX470&lt;&gt;Constants!$B$6,"",IF($BL470="-&gt;",$BP470+$BQ470,$BE470+$BF470)+$CB470))</f>
        <v/>
      </c>
      <c r="CV470" s="144" t="str">
        <f aca="false">IF(ISBLANK($C470),"",IF($BX470&lt;&gt;Constants!$B$6,"",IF($BL470="-&gt;",$BR470,$BG470)+$CA470))</f>
        <v/>
      </c>
      <c r="CW470" s="145" t="str">
        <f aca="false">IF(ISBLANK($C470),"",IF($BX470&lt;&gt;Constants!$B$6,$BX470,$CC470))</f>
        <v/>
      </c>
      <c r="CX470" s="146" t="str">
        <f aca="false">IF(ISBLANK($C470),"",$BY470)</f>
        <v/>
      </c>
      <c r="CY470" s="147" t="str">
        <f aca="false">IF(ISBLANK($C470),"",$CN470)</f>
        <v/>
      </c>
      <c r="CZ470" s="147" t="str">
        <f aca="false">IF(ISBLANK($C470),"",$CM470)</f>
        <v/>
      </c>
      <c r="DA470" s="148" t="str">
        <f aca="false">IF(ISBLANK($C470),"",IFERROR(_xlfn.SWITCH($CZ470,Constants!$B$9,COUNTA($C$9:$C$508)+2,Constants!$B$8,COUNTA($C$9:$C$508)+1,Constants!$B$7,COUNTA($C$9:$C$508)),$CZ470))</f>
        <v/>
      </c>
      <c r="DB470" s="9"/>
      <c r="DC470" s="149" t="n">
        <f aca="false">IF(OR(ISNUMBER($CZ470),$CZ470=Constants!$B$9,$CZ470=Constants!$B$7,$CZ470=Constants!$B$8),1,0)</f>
        <v>0</v>
      </c>
      <c r="DD470" s="149" t="n">
        <v>462</v>
      </c>
      <c r="DE470" s="149" t="str">
        <f aca="false">IF(ISBLANK($C470),"",IF(ISNUMBER($DA470),$DA470+ROW($B470)/1000,""))</f>
        <v/>
      </c>
      <c r="DF470" s="149" t="str">
        <f aca="false">IF(ISNUMBER($DE470),RANK($DE470,$DE$9:$DE$508,1),"")</f>
        <v/>
      </c>
      <c r="DG470" s="149" t="str">
        <f aca="false">IF(ISBLANK($C470),"",$B470)</f>
        <v/>
      </c>
      <c r="DH470" s="149" t="str">
        <f aca="false">IF(ISBLANK($C470),"",$C470)</f>
        <v/>
      </c>
      <c r="DI470" s="149" t="str">
        <f aca="false">IF(ISBLANK($C470),"",$D470)</f>
        <v/>
      </c>
      <c r="DJ470" s="150" t="str">
        <f aca="false">$CX470</f>
        <v/>
      </c>
      <c r="DK470" s="151" t="str">
        <f aca="false">$CW470</f>
        <v/>
      </c>
      <c r="DL470" s="149" t="str">
        <f aca="false">IF(ISBLANK($C470),"",$CZ470)</f>
        <v/>
      </c>
      <c r="DM470" s="152" t="str">
        <f aca="false">IF($DD470&gt;$DC$8,"",VLOOKUP($DD470,$DF$9:$DL$508,7,FALSE()))</f>
        <v/>
      </c>
      <c r="DN470" s="153" t="str">
        <f aca="false">IF($DD470&gt;$DC$8,"",VLOOKUP($DD470,$DF$9:$DL$508,2,FALSE()))</f>
        <v/>
      </c>
      <c r="DO470" s="153" t="str">
        <f aca="false">IF($DD470&gt;$DC$8,"",VLOOKUP($DD470,$DF$9:$DL$508,3,FALSE()))</f>
        <v/>
      </c>
      <c r="DP470" s="153" t="str">
        <f aca="false">IF($DD470&gt;$DC$8,"",VLOOKUP($DD470,$DF$9:$DL$508,4,FALSE()))</f>
        <v/>
      </c>
      <c r="DQ470" s="153" t="str">
        <f aca="false">IF($DD470&gt;$DC$8,"",VLOOKUP($DD470,$DF$9:$DL$508,5,FALSE()))</f>
        <v/>
      </c>
      <c r="DR470" s="154" t="str">
        <f aca="false">IF($DD470&gt;$DC$8,"",VLOOKUP($DD470,$DF$9:$DL$508,6,FALSE()))</f>
        <v/>
      </c>
      <c r="DS470" s="76"/>
    </row>
    <row r="471" customFormat="false" ht="15.75" hidden="false" customHeight="false" outlineLevel="0" collapsed="false">
      <c r="A471" s="9"/>
      <c r="B471" s="78"/>
      <c r="C471" s="79"/>
      <c r="D471" s="170"/>
      <c r="E471" s="178"/>
      <c r="F471" s="172"/>
      <c r="G471" s="173"/>
      <c r="H471" s="173"/>
      <c r="I471" s="179"/>
      <c r="J471" s="176"/>
      <c r="K471" s="86"/>
      <c r="L471" s="87"/>
      <c r="M471" s="88"/>
      <c r="N471" s="176"/>
      <c r="O471" s="176"/>
      <c r="P471" s="178"/>
      <c r="Q471" s="176"/>
      <c r="R471" s="176"/>
      <c r="S471" s="86"/>
      <c r="T471" s="88"/>
      <c r="U471" s="88"/>
      <c r="V471" s="176"/>
      <c r="W471" s="176"/>
      <c r="X471" s="178"/>
      <c r="Y471" s="176"/>
      <c r="Z471" s="177"/>
      <c r="AA471" s="176"/>
      <c r="AB471" s="92"/>
      <c r="AC471" s="93"/>
      <c r="AD471" s="93"/>
      <c r="AE471" s="93"/>
      <c r="AF471" s="93" t="str">
        <f aca="false">IF(ISBLANK($C471),"",IF(E471=Constants!$B$2,TRUE(),IF(E471=Constants!$B$3,FALSE(),TRUE())))</f>
        <v/>
      </c>
      <c r="AG471" s="93" t="str">
        <f aca="false">IF(ISBLANK($C471),"",IF(F471=Constants!$B$2,TRUE(),IF(F471=Constants!$B$3,FALSE(),TRUE())))</f>
        <v/>
      </c>
      <c r="AH471" s="93" t="str">
        <f aca="false">IF(ISBLANK($C471),"",IF(G471=Constants!$B$2,TRUE(),IF(G471=Constants!$B$3,FALSE(),TRUE())))</f>
        <v/>
      </c>
      <c r="AI471" s="93" t="str">
        <f aca="false">IF(ISBLANK($C471),"",IF(AND(ISNUMBER(H471),H471&gt;=0),H471,Constants!$B$24))</f>
        <v/>
      </c>
      <c r="AJ471" s="93" t="str">
        <f aca="false">IF(ISBLANK($C471),"",IF(I471=Constants!$B$2,TRUE(),IF(I471=Constants!$B$3,FALSE(),TRUE())))</f>
        <v/>
      </c>
      <c r="AK471" s="93" t="str">
        <f aca="false">IF(ISBLANK($C471),"",IF(J471=Constants!$B$2,TRUE(),IF(J471=Constants!$B$3,FALSE(),TRUE())))</f>
        <v/>
      </c>
      <c r="AL471" s="93" t="str">
        <f aca="false">IF(ISBLANK($C471),"",IF(K471=Constants!$B$4,TRUE(),IF(K471=Constants!$B$5,FALSE(),COUNTA(L471:P471)&gt;0)))</f>
        <v/>
      </c>
      <c r="AM471" s="95" t="str">
        <f aca="false">IF(ISBLANK($C471),"",IF(ISNUMBER(L471),IF(L471&gt;=0,L471,""),""))</f>
        <v/>
      </c>
      <c r="AN471" s="94" t="str">
        <f aca="false">IF(ISBLANK($C471),"",IF(ISNUMBER(M471),IF(M471&gt;=0,M471,""),""))</f>
        <v/>
      </c>
      <c r="AO471" s="94" t="str">
        <f aca="false">IF(ISBLANK($C471),"",IF(N471=Constants!$B$2,TRUE(),IF(N471=Constants!$B$3,FALSE(),TRUE())))</f>
        <v/>
      </c>
      <c r="AP471" s="93" t="str">
        <f aca="false">IF(ISBLANK($C471),"",IF(ISNUMBER(O471),IF(O471&gt;=0,O471,""),""))</f>
        <v/>
      </c>
      <c r="AQ471" s="93" t="str">
        <f aca="false">IF(ISBLANK($C471),"",IF(P471=Constants!$B$2,TRUE(),IF(P471=Constants!$B$3,FALSE(),FALSE())))</f>
        <v/>
      </c>
      <c r="AR471" s="93" t="str">
        <f aca="false">IF(ISBLANK($C471),"",IF(Q471=Constants!$B$2,TRUE(),IF(Q471=Constants!$B$3,FALSE(),TRUE())))</f>
        <v/>
      </c>
      <c r="AS471" s="93" t="str">
        <f aca="false">IF(ISBLANK($C471),"",IF(R471=Constants!$B$2,TRUE(),IF(R471=Constants!$B$3,FALSE(),TRUE())))</f>
        <v/>
      </c>
      <c r="AT471" s="93" t="str">
        <f aca="false">IF(ISBLANK($C471),"",IF(S471=Constants!$B$4,TRUE(),IF(S471=Constants!$B$5,FALSE(),COUNTA(T471:X471)&gt;0)))</f>
        <v/>
      </c>
      <c r="AU471" s="95" t="str">
        <f aca="false">IF(ISBLANK($C471),"",IF(ISNUMBER(T471),IF(T471&gt;=0,T471,""),""))</f>
        <v/>
      </c>
      <c r="AV471" s="94" t="str">
        <f aca="false">IF(ISBLANK($C471),"",IF(ISNUMBER(U471),IF(U471&gt;=0,U471,""),""))</f>
        <v/>
      </c>
      <c r="AW471" s="94" t="str">
        <f aca="false">IF(ISBLANK($C471),"",IF(V471=Constants!$B$2,TRUE(),IF(V471=Constants!$B$3,FALSE(),TRUE())))</f>
        <v/>
      </c>
      <c r="AX471" s="93" t="str">
        <f aca="false">IF(ISBLANK($C471),"",IF(ISNUMBER(W471),IF(W471&gt;=0,W471,""),""))</f>
        <v/>
      </c>
      <c r="AY471" s="93" t="str">
        <f aca="false">IF(ISBLANK($C471),"",IF(X471=Constants!$B$2,TRUE(),IF(X471=Constants!$B$3,FALSE(),FALSE())))</f>
        <v/>
      </c>
      <c r="AZ471" s="93" t="str">
        <f aca="false">IF(ISBLANK($C471),"",MIN(Constants!$B$25,MAX(0,IF(ISNUMBER(Y471),Y471*60,0)+IF(ISNUMBER(Z471),Z471,0))))</f>
        <v/>
      </c>
      <c r="BA471" s="93" t="str">
        <f aca="false">IF(ISBLANK($C471),"",IF(AA471=Constants!$B$2,TRUE(),IF(AA471=Constants!$B$3,FALSE(),FALSE())))</f>
        <v/>
      </c>
      <c r="BB471" s="92" t="str">
        <f aca="false">IF(ISBLANK($C471),"",AND($AL471,OR($AM471="",$AN471="",AND($AO471,$AP471=""))))</f>
        <v/>
      </c>
      <c r="BC471" s="94" t="str">
        <f aca="false">IF($BX471&lt;&gt;Constants!$B$6,"",IF($AL471,Constants!$B$17*$AN471+Constants!$B$18*IF($AO471,$AP471,Constants!$B$19),Constants!$B$20))</f>
        <v/>
      </c>
      <c r="BD471" s="97" t="str">
        <f aca="false">IF($BX471&lt;&gt;Constants!$B$6,"",Constants!$B$21*ABS($AD$9-IF($AL471,$AM471,0)))</f>
        <v/>
      </c>
      <c r="BE471" s="97" t="str">
        <f aca="false">IF($BX471&lt;&gt;Constants!$B$6,"",IF(AND($AL471,$AQ471,$AO471),Constants!$B$22,0))</f>
        <v/>
      </c>
      <c r="BF471" s="97" t="str">
        <f aca="false">IF($BX471&lt;&gt;Constants!$B$6,"",IF($AL471,($AI471-Constants!$B$24)*Constants!$B$23,0))</f>
        <v/>
      </c>
      <c r="BG471" s="97" t="str">
        <f aca="false">IF($BX471&lt;&gt;Constants!$B$6,"",IF($AK471,0,Constants!$B$12)+IF($AJ471,0,Constants!$B$13)+IF($AH471,0,Constants!$B$14))</f>
        <v/>
      </c>
      <c r="BH471" s="98" t="str">
        <f aca="false">IF($BX471&lt;&gt;Constants!$B$6,"",Constants!$B$16+SUM($BC471:$BG471))</f>
        <v/>
      </c>
      <c r="BI471" s="97" t="str">
        <f aca="false">IF($BX471&lt;&gt;Constants!$B$6,"",$BC471)</f>
        <v/>
      </c>
      <c r="BJ471" s="97" t="str">
        <f aca="false">IF($BX471&lt;&gt;Constants!$B$6,"",$BD471)</f>
        <v/>
      </c>
      <c r="BK471" s="99" t="str">
        <f aca="false">IF($BX471&lt;&gt;Constants!$B$6,"",IF($AL471,$AN471,""))</f>
        <v/>
      </c>
      <c r="BL471" s="93" t="str">
        <f aca="false">IF($BX471&lt;&gt;Constants!$B$6,"",IF(OR($BS471&lt;$BH471,AND($BS471=$BH471,OR($BT471&lt;$BI471,AND($BT471=$BI471,OR($BU471&lt;$BJ471,AND($BU471=$BJ471,AND(ISNUMBER($BV471),OR(NOT(ISNUMBER($BK471)),$BV471&lt;$BK471)))))))),"-&gt;","&lt;-"))</f>
        <v/>
      </c>
      <c r="BM471" s="92" t="str">
        <f aca="false">IF(ISBLANK($C471),"",AND($AT471,OR($AU471="",$AV471="",AND($AW471,$AX471=""))))</f>
        <v/>
      </c>
      <c r="BN471" s="94" t="str">
        <f aca="false">IF($BX471&lt;&gt;Constants!$B$6,"",IF($AT471,Constants!$B$17*$AV471+Constants!$B$18*IF($AW471,$AX471,Constants!$B$19),Constants!$B$20))</f>
        <v/>
      </c>
      <c r="BO471" s="97" t="str">
        <f aca="false">IF($BX471&lt;&gt;Constants!$B$6,"",Constants!$B$21*ABS($AD$9-IF($AT471,$AU471,0)))</f>
        <v/>
      </c>
      <c r="BP471" s="97" t="str">
        <f aca="false">IF($BX471&lt;&gt;Constants!$B$6,"",IF(AND($AT471,$AY471,$AW471),Constants!$B$22,0))</f>
        <v/>
      </c>
      <c r="BQ471" s="97" t="str">
        <f aca="false">IF($BX471&lt;&gt;Constants!$B$6,"",IF($AT471,($AI471-Constants!$B$24)*Constants!$B$23,0))</f>
        <v/>
      </c>
      <c r="BR471" s="97" t="str">
        <f aca="false">IF($BX471&lt;&gt;Constants!$B$6,"",IF($AS471,0,Constants!$B$12)+IF($AR471,0,Constants!$B$13)+IF($AH471,0,Constants!$B$14))</f>
        <v/>
      </c>
      <c r="BS471" s="98" t="str">
        <f aca="false">IF($BX471&lt;&gt;Constants!$B$6,"",Constants!$B$16+SUM($BN471:$BR471))</f>
        <v/>
      </c>
      <c r="BT471" s="97" t="str">
        <f aca="false">IF($BX471&lt;&gt;Constants!$B$6,"",$BN471)</f>
        <v/>
      </c>
      <c r="BU471" s="97" t="str">
        <f aca="false">IF($BX471&lt;&gt;Constants!$B$6,"",$BO471)</f>
        <v/>
      </c>
      <c r="BV471" s="99" t="str">
        <f aca="false">IF($BX471&lt;&gt;Constants!$B$6,"",IF($AT471,$AV471,""))</f>
        <v/>
      </c>
      <c r="BW471" s="93" t="str">
        <f aca="false">IF(ISBLANK($C471),"",IF(ISBLANK($D$7),$BW$5,IF(NOT(ISNUMBER($D$7)),$BW$6,"")))</f>
        <v/>
      </c>
      <c r="BX471" s="93" t="str">
        <f aca="false">IF(ISBLANK($C471),"",IF($BA471,Constants!$B$9,IF(COUNTA($E471:$AA471)=0,Constants!$B$8,IF(NOT($AG471),Constants!$B$7,IF(OR($BW471&lt;&gt;"",$BB471,$BM471),Constants!$B$10,Constants!$B$6)))))</f>
        <v/>
      </c>
      <c r="BY471" s="93" t="str">
        <f aca="false">IF(ISBLANK($C471),"",IF($BX471&lt;&gt;Constants!$B$6,$BX471,Constants!$B$11))</f>
        <v/>
      </c>
      <c r="BZ471" s="97" t="str">
        <f aca="false">IF($BX471&lt;&gt;Constants!$B$6,"",IF($BL471="-&gt;",$BS471,$BH471))</f>
        <v/>
      </c>
      <c r="CA471" s="97" t="str">
        <f aca="false">IF($BX471&lt;&gt;Constants!$B$6,"",IF($AF471,0,Constants!$B$15))</f>
        <v/>
      </c>
      <c r="CB471" s="97" t="str">
        <f aca="false">IF($BX471&lt;&gt;Constants!$B$6,"",((Constants!$B$25-$AZ471)-Constants!$B$25)/Constants!$B$26)</f>
        <v/>
      </c>
      <c r="CC471" s="97" t="str">
        <f aca="false">IF(ISBLANK($C471),"",IF($BX471&lt;&gt;Constants!$B$6,$BX471,SUM($BZ471:$CB471)))</f>
        <v/>
      </c>
      <c r="CD471" s="93" t="str">
        <f aca="false">IF(ISBLANK($C471),"",IF($BX471&lt;&gt;Constants!$B$6,$BX471,RANK($CC471,$CC$9:$CC$508,1)))</f>
        <v/>
      </c>
      <c r="CE471" s="97" t="str">
        <f aca="false">IF($BX471&lt;&gt;Constants!$B$6,"",IF($BL471="-&gt;",$BT471,$BI471))</f>
        <v/>
      </c>
      <c r="CF471" s="93" t="str">
        <f aca="false">IF(ISBLANK($C471),"",IF($BX471&lt;&gt;Constants!$B$6,$BX471,IF(ISNUMBER($CE471),RANK($CE471,$CE$9:$CE$508,1),COUNT($CE$9:$CE$508)+1)))</f>
        <v/>
      </c>
      <c r="CG471" s="97" t="str">
        <f aca="false">IF($BX471&lt;&gt;Constants!$B$6,"",IF($BL471="-&gt;",$BU471,$BJ471))</f>
        <v/>
      </c>
      <c r="CH471" s="93" t="str">
        <f aca="false">IF(ISBLANK($C471),"",IF($BX471&lt;&gt;Constants!$B$6,$BX471,IF(ISNUMBER($CG471),RANK($CG471,$CG$9:$CG$508,1),COUNT($CG$9:$CG$508)+1)))</f>
        <v/>
      </c>
      <c r="CI471" s="97" t="str">
        <f aca="false">IF($BX471&lt;&gt;Constants!$B$6,"",IF($BL471="-&gt;",$BV471,$BK471))</f>
        <v/>
      </c>
      <c r="CJ471" s="93" t="str">
        <f aca="false">IF(ISBLANK($C471),"",IF($BX471&lt;&gt;Constants!$B$6,$BX471,IF(ISNUMBER($CI471),RANK($CI471,$CI$9:$CI$508,1),COUNT($CI$9:$CI$508)+1)))</f>
        <v/>
      </c>
      <c r="CK471" s="97" t="str">
        <f aca="false">IF($BX471&lt;&gt;Constants!$B$6,"",$AI471)</f>
        <v/>
      </c>
      <c r="CL471" s="93" t="str">
        <f aca="false">IF(ISBLANK($C471),"",IF($BX471&lt;&gt;Constants!$B$6,$BX471,IF(ISNUMBER($CK471),RANK($CK471,$CK$9:$CK$508,1),COUNT($CK$9:$CK$508)+1)))</f>
        <v/>
      </c>
      <c r="CM471" s="93" t="str">
        <f aca="false">IF(ISBLANK($C471),"",IF($BX471&lt;&gt;Constants!$B$6,$BX471,COUNTIFS($CD$9:$CD$508,"&lt;"&amp;$CD471)+COUNTIFS($CD$9:$CD$508,$CD471,$CF$9:$CF$508,"&lt;"&amp;$CF471)+COUNTIFS($CD$9:$CD$508,$CD471,$CF$9:$CF$508,$CF471,$CH$9:$CH$508,"&lt;"&amp;$CH471)+COUNTIFS($CD$9:$CD$508,$CD471,$CF$9:$CF$508,$CF471,$CH$9:$CH$508,$CH471,$CJ$9:$CJ$508,"&lt;"&amp;$CJ471)+COUNTIFS($CD$9:$CD$508,$CD471,$CF$9:$CF$508,$CF471,$CH$9:$CH$508,$CH471,$CJ$9:$CJ$508,$CJ471,$CL$9:$CL$508,"&lt;"&amp;$CL471)+1))</f>
        <v/>
      </c>
      <c r="CN471" s="93" t="str">
        <f aca="false">IF(ISBLANK($C471),"",IF($BX471&lt;&gt;Constants!$B$6,$BX471,$CD471-$CM471))</f>
        <v/>
      </c>
      <c r="CO471" s="100"/>
      <c r="CP471" s="101"/>
      <c r="CQ471" s="102" t="str">
        <f aca="false">IF(ISBLANK($C471),"",IF($BX471=Constants!$B$10,$BW471,""))</f>
        <v/>
      </c>
      <c r="CR471" s="101" t="str">
        <f aca="false">IF(ISBLANK($C471),"",IF($BX471&lt;&gt;Constants!$B$6,"",IF($BL471="-&gt;",2,1)))</f>
        <v/>
      </c>
      <c r="CS471" s="103" t="str">
        <f aca="false">IF(ISBLANK($C471),"",IF($BX471&lt;&gt;Constants!$B$6,"",IF($BL471="-&gt;",$BN471,$BC471)))</f>
        <v/>
      </c>
      <c r="CT471" s="103" t="str">
        <f aca="false">IF(ISBLANK($C471),"",IF($BX471&lt;&gt;Constants!$B$6,"",IF($BL471="-&gt;",$BO471,$BD471)))</f>
        <v/>
      </c>
      <c r="CU471" s="103" t="str">
        <f aca="false">IF(ISBLANK($C471),"",IF($BX471&lt;&gt;Constants!$B$6,"",IF($BL471="-&gt;",$BP471+$BQ471,$BE471+$BF471)+$CB471))</f>
        <v/>
      </c>
      <c r="CV471" s="103" t="str">
        <f aca="false">IF(ISBLANK($C471),"",IF($BX471&lt;&gt;Constants!$B$6,"",IF($BL471="-&gt;",$BR471,$BG471)+$CA471))</f>
        <v/>
      </c>
      <c r="CW471" s="104" t="str">
        <f aca="false">IF(ISBLANK($C471),"",IF($BX471&lt;&gt;Constants!$B$6,$BX471,$CC471))</f>
        <v/>
      </c>
      <c r="CX471" s="105" t="str">
        <f aca="false">IF(ISBLANK($C471),"",$BY471)</f>
        <v/>
      </c>
      <c r="CY471" s="106" t="str">
        <f aca="false">IF(ISBLANK($C471),"",$CN471)</f>
        <v/>
      </c>
      <c r="CZ471" s="106" t="str">
        <f aca="false">IF(ISBLANK($C471),"",$CM471)</f>
        <v/>
      </c>
      <c r="DA471" s="107" t="str">
        <f aca="false">IF(ISBLANK($C471),"",IFERROR(_xlfn.SWITCH($CZ471,Constants!$B$9,COUNTA($C$9:$C$508)+2,Constants!$B$8,COUNTA($C$9:$C$508)+1,Constants!$B$7,COUNTA($C$9:$C$508)),$CZ471))</f>
        <v/>
      </c>
      <c r="DB471" s="9"/>
      <c r="DC471" s="108" t="n">
        <f aca="false">IF(OR(ISNUMBER($CZ471),$CZ471=Constants!$B$9,$CZ471=Constants!$B$7,$CZ471=Constants!$B$8),1,0)</f>
        <v>0</v>
      </c>
      <c r="DD471" s="108" t="n">
        <v>463</v>
      </c>
      <c r="DE471" s="108" t="str">
        <f aca="false">IF(ISBLANK($C471),"",IF(ISNUMBER($DA471),$DA471+ROW($B471)/1000,""))</f>
        <v/>
      </c>
      <c r="DF471" s="108" t="str">
        <f aca="false">IF(ISNUMBER($DE471),RANK($DE471,$DE$9:$DE$508,1),"")</f>
        <v/>
      </c>
      <c r="DG471" s="108" t="str">
        <f aca="false">IF(ISBLANK($C471),"",$B471)</f>
        <v/>
      </c>
      <c r="DH471" s="108" t="str">
        <f aca="false">IF(ISBLANK($C471),"",$C471)</f>
        <v/>
      </c>
      <c r="DI471" s="108" t="str">
        <f aca="false">IF(ISBLANK($C471),"",$D471)</f>
        <v/>
      </c>
      <c r="DJ471" s="109" t="str">
        <f aca="false">$CX471</f>
        <v/>
      </c>
      <c r="DK471" s="110" t="str">
        <f aca="false">$CW471</f>
        <v/>
      </c>
      <c r="DL471" s="108" t="str">
        <f aca="false">IF(ISBLANK($C471),"",$CZ471)</f>
        <v/>
      </c>
      <c r="DM471" s="111" t="str">
        <f aca="false">IF($DD471&gt;$DC$8,"",VLOOKUP($DD471,$DF$9:$DL$508,7,FALSE()))</f>
        <v/>
      </c>
      <c r="DN471" s="112" t="str">
        <f aca="false">IF($DD471&gt;$DC$8,"",VLOOKUP($DD471,$DF$9:$DL$508,2,FALSE()))</f>
        <v/>
      </c>
      <c r="DO471" s="112" t="str">
        <f aca="false">IF($DD471&gt;$DC$8,"",VLOOKUP($DD471,$DF$9:$DL$508,3,FALSE()))</f>
        <v/>
      </c>
      <c r="DP471" s="112" t="str">
        <f aca="false">IF($DD471&gt;$DC$8,"",VLOOKUP($DD471,$DF$9:$DL$508,4,FALSE()))</f>
        <v/>
      </c>
      <c r="DQ471" s="112" t="str">
        <f aca="false">IF($DD471&gt;$DC$8,"",VLOOKUP($DD471,$DF$9:$DL$508,5,FALSE()))</f>
        <v/>
      </c>
      <c r="DR471" s="113" t="str">
        <f aca="false">IF($DD471&gt;$DC$8,"",VLOOKUP($DD471,$DF$9:$DL$508,6,FALSE()))</f>
        <v/>
      </c>
      <c r="DS471" s="76"/>
    </row>
    <row r="472" customFormat="false" ht="15.75" hidden="false" customHeight="false" outlineLevel="0" collapsed="false">
      <c r="A472" s="9"/>
      <c r="B472" s="78"/>
      <c r="C472" s="79"/>
      <c r="D472" s="170"/>
      <c r="E472" s="178"/>
      <c r="F472" s="172"/>
      <c r="G472" s="173"/>
      <c r="H472" s="173"/>
      <c r="I472" s="179"/>
      <c r="J472" s="176"/>
      <c r="K472" s="86"/>
      <c r="L472" s="87"/>
      <c r="M472" s="88"/>
      <c r="N472" s="176"/>
      <c r="O472" s="176"/>
      <c r="P472" s="178"/>
      <c r="Q472" s="176"/>
      <c r="R472" s="176"/>
      <c r="S472" s="86"/>
      <c r="T472" s="88"/>
      <c r="U472" s="88"/>
      <c r="V472" s="176"/>
      <c r="W472" s="176"/>
      <c r="X472" s="178"/>
      <c r="Y472" s="176"/>
      <c r="Z472" s="177"/>
      <c r="AA472" s="176"/>
      <c r="AB472" s="92"/>
      <c r="AC472" s="93"/>
      <c r="AD472" s="93"/>
      <c r="AE472" s="93"/>
      <c r="AF472" s="93" t="str">
        <f aca="false">IF(ISBLANK($C472),"",IF(E472=Constants!$B$2,TRUE(),IF(E472=Constants!$B$3,FALSE(),TRUE())))</f>
        <v/>
      </c>
      <c r="AG472" s="93" t="str">
        <f aca="false">IF(ISBLANK($C472),"",IF(F472=Constants!$B$2,TRUE(),IF(F472=Constants!$B$3,FALSE(),TRUE())))</f>
        <v/>
      </c>
      <c r="AH472" s="93" t="str">
        <f aca="false">IF(ISBLANK($C472),"",IF(G472=Constants!$B$2,TRUE(),IF(G472=Constants!$B$3,FALSE(),TRUE())))</f>
        <v/>
      </c>
      <c r="AI472" s="93" t="str">
        <f aca="false">IF(ISBLANK($C472),"",IF(AND(ISNUMBER(H472),H472&gt;=0),H472,Constants!$B$24))</f>
        <v/>
      </c>
      <c r="AJ472" s="93" t="str">
        <f aca="false">IF(ISBLANK($C472),"",IF(I472=Constants!$B$2,TRUE(),IF(I472=Constants!$B$3,FALSE(),TRUE())))</f>
        <v/>
      </c>
      <c r="AK472" s="93" t="str">
        <f aca="false">IF(ISBLANK($C472),"",IF(J472=Constants!$B$2,TRUE(),IF(J472=Constants!$B$3,FALSE(),TRUE())))</f>
        <v/>
      </c>
      <c r="AL472" s="93" t="str">
        <f aca="false">IF(ISBLANK($C472),"",IF(K472=Constants!$B$4,TRUE(),IF(K472=Constants!$B$5,FALSE(),COUNTA(L472:P472)&gt;0)))</f>
        <v/>
      </c>
      <c r="AM472" s="95" t="str">
        <f aca="false">IF(ISBLANK($C472),"",IF(ISNUMBER(L472),IF(L472&gt;=0,L472,""),""))</f>
        <v/>
      </c>
      <c r="AN472" s="94" t="str">
        <f aca="false">IF(ISBLANK($C472),"",IF(ISNUMBER(M472),IF(M472&gt;=0,M472,""),""))</f>
        <v/>
      </c>
      <c r="AO472" s="94" t="str">
        <f aca="false">IF(ISBLANK($C472),"",IF(N472=Constants!$B$2,TRUE(),IF(N472=Constants!$B$3,FALSE(),TRUE())))</f>
        <v/>
      </c>
      <c r="AP472" s="93" t="str">
        <f aca="false">IF(ISBLANK($C472),"",IF(ISNUMBER(O472),IF(O472&gt;=0,O472,""),""))</f>
        <v/>
      </c>
      <c r="AQ472" s="93" t="str">
        <f aca="false">IF(ISBLANK($C472),"",IF(P472=Constants!$B$2,TRUE(),IF(P472=Constants!$B$3,FALSE(),FALSE())))</f>
        <v/>
      </c>
      <c r="AR472" s="93" t="str">
        <f aca="false">IF(ISBLANK($C472),"",IF(Q472=Constants!$B$2,TRUE(),IF(Q472=Constants!$B$3,FALSE(),TRUE())))</f>
        <v/>
      </c>
      <c r="AS472" s="93" t="str">
        <f aca="false">IF(ISBLANK($C472),"",IF(R472=Constants!$B$2,TRUE(),IF(R472=Constants!$B$3,FALSE(),TRUE())))</f>
        <v/>
      </c>
      <c r="AT472" s="93" t="str">
        <f aca="false">IF(ISBLANK($C472),"",IF(S472=Constants!$B$4,TRUE(),IF(S472=Constants!$B$5,FALSE(),COUNTA(T472:X472)&gt;0)))</f>
        <v/>
      </c>
      <c r="AU472" s="95" t="str">
        <f aca="false">IF(ISBLANK($C472),"",IF(ISNUMBER(T472),IF(T472&gt;=0,T472,""),""))</f>
        <v/>
      </c>
      <c r="AV472" s="94" t="str">
        <f aca="false">IF(ISBLANK($C472),"",IF(ISNUMBER(U472),IF(U472&gt;=0,U472,""),""))</f>
        <v/>
      </c>
      <c r="AW472" s="94" t="str">
        <f aca="false">IF(ISBLANK($C472),"",IF(V472=Constants!$B$2,TRUE(),IF(V472=Constants!$B$3,FALSE(),TRUE())))</f>
        <v/>
      </c>
      <c r="AX472" s="93" t="str">
        <f aca="false">IF(ISBLANK($C472),"",IF(ISNUMBER(W472),IF(W472&gt;=0,W472,""),""))</f>
        <v/>
      </c>
      <c r="AY472" s="93" t="str">
        <f aca="false">IF(ISBLANK($C472),"",IF(X472=Constants!$B$2,TRUE(),IF(X472=Constants!$B$3,FALSE(),FALSE())))</f>
        <v/>
      </c>
      <c r="AZ472" s="93" t="str">
        <f aca="false">IF(ISBLANK($C472),"",MIN(Constants!$B$25,MAX(0,IF(ISNUMBER(Y472),Y472*60,0)+IF(ISNUMBER(Z472),Z472,0))))</f>
        <v/>
      </c>
      <c r="BA472" s="93" t="str">
        <f aca="false">IF(ISBLANK($C472),"",IF(AA472=Constants!$B$2,TRUE(),IF(AA472=Constants!$B$3,FALSE(),FALSE())))</f>
        <v/>
      </c>
      <c r="BB472" s="92" t="str">
        <f aca="false">IF(ISBLANK($C472),"",AND($AL472,OR($AM472="",$AN472="",AND($AO472,$AP472=""))))</f>
        <v/>
      </c>
      <c r="BC472" s="94" t="str">
        <f aca="false">IF($BX472&lt;&gt;Constants!$B$6,"",IF($AL472,Constants!$B$17*$AN472+Constants!$B$18*IF($AO472,$AP472,Constants!$B$19),Constants!$B$20))</f>
        <v/>
      </c>
      <c r="BD472" s="97" t="str">
        <f aca="false">IF($BX472&lt;&gt;Constants!$B$6,"",Constants!$B$21*ABS($AD$9-IF($AL472,$AM472,0)))</f>
        <v/>
      </c>
      <c r="BE472" s="97" t="str">
        <f aca="false">IF($BX472&lt;&gt;Constants!$B$6,"",IF(AND($AL472,$AQ472,$AO472),Constants!$B$22,0))</f>
        <v/>
      </c>
      <c r="BF472" s="97" t="str">
        <f aca="false">IF($BX472&lt;&gt;Constants!$B$6,"",IF($AL472,($AI472-Constants!$B$24)*Constants!$B$23,0))</f>
        <v/>
      </c>
      <c r="BG472" s="97" t="str">
        <f aca="false">IF($BX472&lt;&gt;Constants!$B$6,"",IF($AK472,0,Constants!$B$12)+IF($AJ472,0,Constants!$B$13)+IF($AH472,0,Constants!$B$14))</f>
        <v/>
      </c>
      <c r="BH472" s="98" t="str">
        <f aca="false">IF($BX472&lt;&gt;Constants!$B$6,"",Constants!$B$16+SUM($BC472:$BG472))</f>
        <v/>
      </c>
      <c r="BI472" s="97" t="str">
        <f aca="false">IF($BX472&lt;&gt;Constants!$B$6,"",$BC472)</f>
        <v/>
      </c>
      <c r="BJ472" s="97" t="str">
        <f aca="false">IF($BX472&lt;&gt;Constants!$B$6,"",$BD472)</f>
        <v/>
      </c>
      <c r="BK472" s="99" t="str">
        <f aca="false">IF($BX472&lt;&gt;Constants!$B$6,"",IF($AL472,$AN472,""))</f>
        <v/>
      </c>
      <c r="BL472" s="93" t="str">
        <f aca="false">IF($BX472&lt;&gt;Constants!$B$6,"",IF(OR($BS472&lt;$BH472,AND($BS472=$BH472,OR($BT472&lt;$BI472,AND($BT472=$BI472,OR($BU472&lt;$BJ472,AND($BU472=$BJ472,AND(ISNUMBER($BV472),OR(NOT(ISNUMBER($BK472)),$BV472&lt;$BK472)))))))),"-&gt;","&lt;-"))</f>
        <v/>
      </c>
      <c r="BM472" s="92" t="str">
        <f aca="false">IF(ISBLANK($C472),"",AND($AT472,OR($AU472="",$AV472="",AND($AW472,$AX472=""))))</f>
        <v/>
      </c>
      <c r="BN472" s="94" t="str">
        <f aca="false">IF($BX472&lt;&gt;Constants!$B$6,"",IF($AT472,Constants!$B$17*$AV472+Constants!$B$18*IF($AW472,$AX472,Constants!$B$19),Constants!$B$20))</f>
        <v/>
      </c>
      <c r="BO472" s="97" t="str">
        <f aca="false">IF($BX472&lt;&gt;Constants!$B$6,"",Constants!$B$21*ABS($AD$9-IF($AT472,$AU472,0)))</f>
        <v/>
      </c>
      <c r="BP472" s="97" t="str">
        <f aca="false">IF($BX472&lt;&gt;Constants!$B$6,"",IF(AND($AT472,$AY472,$AW472),Constants!$B$22,0))</f>
        <v/>
      </c>
      <c r="BQ472" s="97" t="str">
        <f aca="false">IF($BX472&lt;&gt;Constants!$B$6,"",IF($AT472,($AI472-Constants!$B$24)*Constants!$B$23,0))</f>
        <v/>
      </c>
      <c r="BR472" s="97" t="str">
        <f aca="false">IF($BX472&lt;&gt;Constants!$B$6,"",IF($AS472,0,Constants!$B$12)+IF($AR472,0,Constants!$B$13)+IF($AH472,0,Constants!$B$14))</f>
        <v/>
      </c>
      <c r="BS472" s="98" t="str">
        <f aca="false">IF($BX472&lt;&gt;Constants!$B$6,"",Constants!$B$16+SUM($BN472:$BR472))</f>
        <v/>
      </c>
      <c r="BT472" s="97" t="str">
        <f aca="false">IF($BX472&lt;&gt;Constants!$B$6,"",$BN472)</f>
        <v/>
      </c>
      <c r="BU472" s="97" t="str">
        <f aca="false">IF($BX472&lt;&gt;Constants!$B$6,"",$BO472)</f>
        <v/>
      </c>
      <c r="BV472" s="99" t="str">
        <f aca="false">IF($BX472&lt;&gt;Constants!$B$6,"",IF($AT472,$AV472,""))</f>
        <v/>
      </c>
      <c r="BW472" s="93" t="str">
        <f aca="false">IF(ISBLANK($C472),"",IF(ISBLANK($D$7),$BW$5,IF(NOT(ISNUMBER($D$7)),$BW$6,"")))</f>
        <v/>
      </c>
      <c r="BX472" s="93" t="str">
        <f aca="false">IF(ISBLANK($C472),"",IF($BA472,Constants!$B$9,IF(COUNTA($E472:$AA472)=0,Constants!$B$8,IF(NOT($AG472),Constants!$B$7,IF(OR($BW472&lt;&gt;"",$BB472,$BM472),Constants!$B$10,Constants!$B$6)))))</f>
        <v/>
      </c>
      <c r="BY472" s="93" t="str">
        <f aca="false">IF(ISBLANK($C472),"",IF($BX472&lt;&gt;Constants!$B$6,$BX472,Constants!$B$11))</f>
        <v/>
      </c>
      <c r="BZ472" s="97" t="str">
        <f aca="false">IF($BX472&lt;&gt;Constants!$B$6,"",IF($BL472="-&gt;",$BS472,$BH472))</f>
        <v/>
      </c>
      <c r="CA472" s="97" t="str">
        <f aca="false">IF($BX472&lt;&gt;Constants!$B$6,"",IF($AF472,0,Constants!$B$15))</f>
        <v/>
      </c>
      <c r="CB472" s="97" t="str">
        <f aca="false">IF($BX472&lt;&gt;Constants!$B$6,"",((Constants!$B$25-$AZ472)-Constants!$B$25)/Constants!$B$26)</f>
        <v/>
      </c>
      <c r="CC472" s="97" t="str">
        <f aca="false">IF(ISBLANK($C472),"",IF($BX472&lt;&gt;Constants!$B$6,$BX472,SUM($BZ472:$CB472)))</f>
        <v/>
      </c>
      <c r="CD472" s="93" t="str">
        <f aca="false">IF(ISBLANK($C472),"",IF($BX472&lt;&gt;Constants!$B$6,$BX472,RANK($CC472,$CC$9:$CC$508,1)))</f>
        <v/>
      </c>
      <c r="CE472" s="97" t="str">
        <f aca="false">IF($BX472&lt;&gt;Constants!$B$6,"",IF($BL472="-&gt;",$BT472,$BI472))</f>
        <v/>
      </c>
      <c r="CF472" s="93" t="str">
        <f aca="false">IF(ISBLANK($C472),"",IF($BX472&lt;&gt;Constants!$B$6,$BX472,IF(ISNUMBER($CE472),RANK($CE472,$CE$9:$CE$508,1),COUNT($CE$9:$CE$508)+1)))</f>
        <v/>
      </c>
      <c r="CG472" s="97" t="str">
        <f aca="false">IF($BX472&lt;&gt;Constants!$B$6,"",IF($BL472="-&gt;",$BU472,$BJ472))</f>
        <v/>
      </c>
      <c r="CH472" s="93" t="str">
        <f aca="false">IF(ISBLANK($C472),"",IF($BX472&lt;&gt;Constants!$B$6,$BX472,IF(ISNUMBER($CG472),RANK($CG472,$CG$9:$CG$508,1),COUNT($CG$9:$CG$508)+1)))</f>
        <v/>
      </c>
      <c r="CI472" s="97" t="str">
        <f aca="false">IF($BX472&lt;&gt;Constants!$B$6,"",IF($BL472="-&gt;",$BV472,$BK472))</f>
        <v/>
      </c>
      <c r="CJ472" s="93" t="str">
        <f aca="false">IF(ISBLANK($C472),"",IF($BX472&lt;&gt;Constants!$B$6,$BX472,IF(ISNUMBER($CI472),RANK($CI472,$CI$9:$CI$508,1),COUNT($CI$9:$CI$508)+1)))</f>
        <v/>
      </c>
      <c r="CK472" s="97" t="str">
        <f aca="false">IF($BX472&lt;&gt;Constants!$B$6,"",$AI472)</f>
        <v/>
      </c>
      <c r="CL472" s="93" t="str">
        <f aca="false">IF(ISBLANK($C472),"",IF($BX472&lt;&gt;Constants!$B$6,$BX472,IF(ISNUMBER($CK472),RANK($CK472,$CK$9:$CK$508,1),COUNT($CK$9:$CK$508)+1)))</f>
        <v/>
      </c>
      <c r="CM472" s="93" t="str">
        <f aca="false">IF(ISBLANK($C472),"",IF($BX472&lt;&gt;Constants!$B$6,$BX472,COUNTIFS($CD$9:$CD$508,"&lt;"&amp;$CD472)+COUNTIFS($CD$9:$CD$508,$CD472,$CF$9:$CF$508,"&lt;"&amp;$CF472)+COUNTIFS($CD$9:$CD$508,$CD472,$CF$9:$CF$508,$CF472,$CH$9:$CH$508,"&lt;"&amp;$CH472)+COUNTIFS($CD$9:$CD$508,$CD472,$CF$9:$CF$508,$CF472,$CH$9:$CH$508,$CH472,$CJ$9:$CJ$508,"&lt;"&amp;$CJ472)+COUNTIFS($CD$9:$CD$508,$CD472,$CF$9:$CF$508,$CF472,$CH$9:$CH$508,$CH472,$CJ$9:$CJ$508,$CJ472,$CL$9:$CL$508,"&lt;"&amp;$CL472)+1))</f>
        <v/>
      </c>
      <c r="CN472" s="93" t="str">
        <f aca="false">IF(ISBLANK($C472),"",IF($BX472&lt;&gt;Constants!$B$6,$BX472,$CD472-$CM472))</f>
        <v/>
      </c>
      <c r="CO472" s="100"/>
      <c r="CP472" s="101"/>
      <c r="CQ472" s="102" t="str">
        <f aca="false">IF(ISBLANK($C472),"",IF($BX472=Constants!$B$10,$BW472,""))</f>
        <v/>
      </c>
      <c r="CR472" s="101" t="str">
        <f aca="false">IF(ISBLANK($C472),"",IF($BX472&lt;&gt;Constants!$B$6,"",IF($BL472="-&gt;",2,1)))</f>
        <v/>
      </c>
      <c r="CS472" s="103" t="str">
        <f aca="false">IF(ISBLANK($C472),"",IF($BX472&lt;&gt;Constants!$B$6,"",IF($BL472="-&gt;",$BN472,$BC472)))</f>
        <v/>
      </c>
      <c r="CT472" s="103" t="str">
        <f aca="false">IF(ISBLANK($C472),"",IF($BX472&lt;&gt;Constants!$B$6,"",IF($BL472="-&gt;",$BO472,$BD472)))</f>
        <v/>
      </c>
      <c r="CU472" s="103" t="str">
        <f aca="false">IF(ISBLANK($C472),"",IF($BX472&lt;&gt;Constants!$B$6,"",IF($BL472="-&gt;",$BP472+$BQ472,$BE472+$BF472)+$CB472))</f>
        <v/>
      </c>
      <c r="CV472" s="103" t="str">
        <f aca="false">IF(ISBLANK($C472),"",IF($BX472&lt;&gt;Constants!$B$6,"",IF($BL472="-&gt;",$BR472,$BG472)+$CA472))</f>
        <v/>
      </c>
      <c r="CW472" s="104" t="str">
        <f aca="false">IF(ISBLANK($C472),"",IF($BX472&lt;&gt;Constants!$B$6,$BX472,$CC472))</f>
        <v/>
      </c>
      <c r="CX472" s="105" t="str">
        <f aca="false">IF(ISBLANK($C472),"",$BY472)</f>
        <v/>
      </c>
      <c r="CY472" s="106" t="str">
        <f aca="false">IF(ISBLANK($C472),"",$CN472)</f>
        <v/>
      </c>
      <c r="CZ472" s="106" t="str">
        <f aca="false">IF(ISBLANK($C472),"",$CM472)</f>
        <v/>
      </c>
      <c r="DA472" s="107" t="str">
        <f aca="false">IF(ISBLANK($C472),"",IFERROR(_xlfn.SWITCH($CZ472,Constants!$B$9,COUNTA($C$9:$C$508)+2,Constants!$B$8,COUNTA($C$9:$C$508)+1,Constants!$B$7,COUNTA($C$9:$C$508)),$CZ472))</f>
        <v/>
      </c>
      <c r="DB472" s="9"/>
      <c r="DC472" s="108" t="n">
        <f aca="false">IF(OR(ISNUMBER($CZ472),$CZ472=Constants!$B$9,$CZ472=Constants!$B$7,$CZ472=Constants!$B$8),1,0)</f>
        <v>0</v>
      </c>
      <c r="DD472" s="108" t="n">
        <v>464</v>
      </c>
      <c r="DE472" s="108" t="str">
        <f aca="false">IF(ISBLANK($C472),"",IF(ISNUMBER($DA472),$DA472+ROW($B472)/1000,""))</f>
        <v/>
      </c>
      <c r="DF472" s="108" t="str">
        <f aca="false">IF(ISNUMBER($DE472),RANK($DE472,$DE$9:$DE$508,1),"")</f>
        <v/>
      </c>
      <c r="DG472" s="108" t="str">
        <f aca="false">IF(ISBLANK($C472),"",$B472)</f>
        <v/>
      </c>
      <c r="DH472" s="108" t="str">
        <f aca="false">IF(ISBLANK($C472),"",$C472)</f>
        <v/>
      </c>
      <c r="DI472" s="108" t="str">
        <f aca="false">IF(ISBLANK($C472),"",$D472)</f>
        <v/>
      </c>
      <c r="DJ472" s="109" t="str">
        <f aca="false">$CX472</f>
        <v/>
      </c>
      <c r="DK472" s="110" t="str">
        <f aca="false">$CW472</f>
        <v/>
      </c>
      <c r="DL472" s="108" t="str">
        <f aca="false">IF(ISBLANK($C472),"",$CZ472)</f>
        <v/>
      </c>
      <c r="DM472" s="111" t="str">
        <f aca="false">IF($DD472&gt;$DC$8,"",VLOOKUP($DD472,$DF$9:$DL$508,7,FALSE()))</f>
        <v/>
      </c>
      <c r="DN472" s="112" t="str">
        <f aca="false">IF($DD472&gt;$DC$8,"",VLOOKUP($DD472,$DF$9:$DL$508,2,FALSE()))</f>
        <v/>
      </c>
      <c r="DO472" s="112" t="str">
        <f aca="false">IF($DD472&gt;$DC$8,"",VLOOKUP($DD472,$DF$9:$DL$508,3,FALSE()))</f>
        <v/>
      </c>
      <c r="DP472" s="112" t="str">
        <f aca="false">IF($DD472&gt;$DC$8,"",VLOOKUP($DD472,$DF$9:$DL$508,4,FALSE()))</f>
        <v/>
      </c>
      <c r="DQ472" s="112" t="str">
        <f aca="false">IF($DD472&gt;$DC$8,"",VLOOKUP($DD472,$DF$9:$DL$508,5,FALSE()))</f>
        <v/>
      </c>
      <c r="DR472" s="113" t="str">
        <f aca="false">IF($DD472&gt;$DC$8,"",VLOOKUP($DD472,$DF$9:$DL$508,6,FALSE()))</f>
        <v/>
      </c>
      <c r="DS472" s="76"/>
    </row>
    <row r="473" customFormat="false" ht="15.75" hidden="false" customHeight="false" outlineLevel="0" collapsed="false">
      <c r="A473" s="9"/>
      <c r="B473" s="78"/>
      <c r="C473" s="79"/>
      <c r="D473" s="170"/>
      <c r="E473" s="178"/>
      <c r="F473" s="172"/>
      <c r="G473" s="173"/>
      <c r="H473" s="173"/>
      <c r="I473" s="179"/>
      <c r="J473" s="176"/>
      <c r="K473" s="86"/>
      <c r="L473" s="87"/>
      <c r="M473" s="88"/>
      <c r="N473" s="176"/>
      <c r="O473" s="176"/>
      <c r="P473" s="178"/>
      <c r="Q473" s="176"/>
      <c r="R473" s="176"/>
      <c r="S473" s="86"/>
      <c r="T473" s="88"/>
      <c r="U473" s="88"/>
      <c r="V473" s="176"/>
      <c r="W473" s="176"/>
      <c r="X473" s="178"/>
      <c r="Y473" s="176"/>
      <c r="Z473" s="177"/>
      <c r="AA473" s="176"/>
      <c r="AB473" s="92"/>
      <c r="AC473" s="93"/>
      <c r="AD473" s="93"/>
      <c r="AE473" s="93"/>
      <c r="AF473" s="93" t="str">
        <f aca="false">IF(ISBLANK($C473),"",IF(E473=Constants!$B$2,TRUE(),IF(E473=Constants!$B$3,FALSE(),TRUE())))</f>
        <v/>
      </c>
      <c r="AG473" s="93" t="str">
        <f aca="false">IF(ISBLANK($C473),"",IF(F473=Constants!$B$2,TRUE(),IF(F473=Constants!$B$3,FALSE(),TRUE())))</f>
        <v/>
      </c>
      <c r="AH473" s="93" t="str">
        <f aca="false">IF(ISBLANK($C473),"",IF(G473=Constants!$B$2,TRUE(),IF(G473=Constants!$B$3,FALSE(),TRUE())))</f>
        <v/>
      </c>
      <c r="AI473" s="93" t="str">
        <f aca="false">IF(ISBLANK($C473),"",IF(AND(ISNUMBER(H473),H473&gt;=0),H473,Constants!$B$24))</f>
        <v/>
      </c>
      <c r="AJ473" s="93" t="str">
        <f aca="false">IF(ISBLANK($C473),"",IF(I473=Constants!$B$2,TRUE(),IF(I473=Constants!$B$3,FALSE(),TRUE())))</f>
        <v/>
      </c>
      <c r="AK473" s="93" t="str">
        <f aca="false">IF(ISBLANK($C473),"",IF(J473=Constants!$B$2,TRUE(),IF(J473=Constants!$B$3,FALSE(),TRUE())))</f>
        <v/>
      </c>
      <c r="AL473" s="93" t="str">
        <f aca="false">IF(ISBLANK($C473),"",IF(K473=Constants!$B$4,TRUE(),IF(K473=Constants!$B$5,FALSE(),COUNTA(L473:P473)&gt;0)))</f>
        <v/>
      </c>
      <c r="AM473" s="95" t="str">
        <f aca="false">IF(ISBLANK($C473),"",IF(ISNUMBER(L473),IF(L473&gt;=0,L473,""),""))</f>
        <v/>
      </c>
      <c r="AN473" s="94" t="str">
        <f aca="false">IF(ISBLANK($C473),"",IF(ISNUMBER(M473),IF(M473&gt;=0,M473,""),""))</f>
        <v/>
      </c>
      <c r="AO473" s="94" t="str">
        <f aca="false">IF(ISBLANK($C473),"",IF(N473=Constants!$B$2,TRUE(),IF(N473=Constants!$B$3,FALSE(),TRUE())))</f>
        <v/>
      </c>
      <c r="AP473" s="93" t="str">
        <f aca="false">IF(ISBLANK($C473),"",IF(ISNUMBER(O473),IF(O473&gt;=0,O473,""),""))</f>
        <v/>
      </c>
      <c r="AQ473" s="93" t="str">
        <f aca="false">IF(ISBLANK($C473),"",IF(P473=Constants!$B$2,TRUE(),IF(P473=Constants!$B$3,FALSE(),FALSE())))</f>
        <v/>
      </c>
      <c r="AR473" s="93" t="str">
        <f aca="false">IF(ISBLANK($C473),"",IF(Q473=Constants!$B$2,TRUE(),IF(Q473=Constants!$B$3,FALSE(),TRUE())))</f>
        <v/>
      </c>
      <c r="AS473" s="93" t="str">
        <f aca="false">IF(ISBLANK($C473),"",IF(R473=Constants!$B$2,TRUE(),IF(R473=Constants!$B$3,FALSE(),TRUE())))</f>
        <v/>
      </c>
      <c r="AT473" s="93" t="str">
        <f aca="false">IF(ISBLANK($C473),"",IF(S473=Constants!$B$4,TRUE(),IF(S473=Constants!$B$5,FALSE(),COUNTA(T473:X473)&gt;0)))</f>
        <v/>
      </c>
      <c r="AU473" s="95" t="str">
        <f aca="false">IF(ISBLANK($C473),"",IF(ISNUMBER(T473),IF(T473&gt;=0,T473,""),""))</f>
        <v/>
      </c>
      <c r="AV473" s="94" t="str">
        <f aca="false">IF(ISBLANK($C473),"",IF(ISNUMBER(U473),IF(U473&gt;=0,U473,""),""))</f>
        <v/>
      </c>
      <c r="AW473" s="94" t="str">
        <f aca="false">IF(ISBLANK($C473),"",IF(V473=Constants!$B$2,TRUE(),IF(V473=Constants!$B$3,FALSE(),TRUE())))</f>
        <v/>
      </c>
      <c r="AX473" s="93" t="str">
        <f aca="false">IF(ISBLANK($C473),"",IF(ISNUMBER(W473),IF(W473&gt;=0,W473,""),""))</f>
        <v/>
      </c>
      <c r="AY473" s="93" t="str">
        <f aca="false">IF(ISBLANK($C473),"",IF(X473=Constants!$B$2,TRUE(),IF(X473=Constants!$B$3,FALSE(),FALSE())))</f>
        <v/>
      </c>
      <c r="AZ473" s="93" t="str">
        <f aca="false">IF(ISBLANK($C473),"",MIN(Constants!$B$25,MAX(0,IF(ISNUMBER(Y473),Y473*60,0)+IF(ISNUMBER(Z473),Z473,0))))</f>
        <v/>
      </c>
      <c r="BA473" s="93" t="str">
        <f aca="false">IF(ISBLANK($C473),"",IF(AA473=Constants!$B$2,TRUE(),IF(AA473=Constants!$B$3,FALSE(),FALSE())))</f>
        <v/>
      </c>
      <c r="BB473" s="92" t="str">
        <f aca="false">IF(ISBLANK($C473),"",AND($AL473,OR($AM473="",$AN473="",AND($AO473,$AP473=""))))</f>
        <v/>
      </c>
      <c r="BC473" s="94" t="str">
        <f aca="false">IF($BX473&lt;&gt;Constants!$B$6,"",IF($AL473,Constants!$B$17*$AN473+Constants!$B$18*IF($AO473,$AP473,Constants!$B$19),Constants!$B$20))</f>
        <v/>
      </c>
      <c r="BD473" s="97" t="str">
        <f aca="false">IF($BX473&lt;&gt;Constants!$B$6,"",Constants!$B$21*ABS($AD$9-IF($AL473,$AM473,0)))</f>
        <v/>
      </c>
      <c r="BE473" s="97" t="str">
        <f aca="false">IF($BX473&lt;&gt;Constants!$B$6,"",IF(AND($AL473,$AQ473,$AO473),Constants!$B$22,0))</f>
        <v/>
      </c>
      <c r="BF473" s="97" t="str">
        <f aca="false">IF($BX473&lt;&gt;Constants!$B$6,"",IF($AL473,($AI473-Constants!$B$24)*Constants!$B$23,0))</f>
        <v/>
      </c>
      <c r="BG473" s="97" t="str">
        <f aca="false">IF($BX473&lt;&gt;Constants!$B$6,"",IF($AK473,0,Constants!$B$12)+IF($AJ473,0,Constants!$B$13)+IF($AH473,0,Constants!$B$14))</f>
        <v/>
      </c>
      <c r="BH473" s="98" t="str">
        <f aca="false">IF($BX473&lt;&gt;Constants!$B$6,"",Constants!$B$16+SUM($BC473:$BG473))</f>
        <v/>
      </c>
      <c r="BI473" s="97" t="str">
        <f aca="false">IF($BX473&lt;&gt;Constants!$B$6,"",$BC473)</f>
        <v/>
      </c>
      <c r="BJ473" s="97" t="str">
        <f aca="false">IF($BX473&lt;&gt;Constants!$B$6,"",$BD473)</f>
        <v/>
      </c>
      <c r="BK473" s="99" t="str">
        <f aca="false">IF($BX473&lt;&gt;Constants!$B$6,"",IF($AL473,$AN473,""))</f>
        <v/>
      </c>
      <c r="BL473" s="93" t="str">
        <f aca="false">IF($BX473&lt;&gt;Constants!$B$6,"",IF(OR($BS473&lt;$BH473,AND($BS473=$BH473,OR($BT473&lt;$BI473,AND($BT473=$BI473,OR($BU473&lt;$BJ473,AND($BU473=$BJ473,AND(ISNUMBER($BV473),OR(NOT(ISNUMBER($BK473)),$BV473&lt;$BK473)))))))),"-&gt;","&lt;-"))</f>
        <v/>
      </c>
      <c r="BM473" s="92" t="str">
        <f aca="false">IF(ISBLANK($C473),"",AND($AT473,OR($AU473="",$AV473="",AND($AW473,$AX473=""))))</f>
        <v/>
      </c>
      <c r="BN473" s="94" t="str">
        <f aca="false">IF($BX473&lt;&gt;Constants!$B$6,"",IF($AT473,Constants!$B$17*$AV473+Constants!$B$18*IF($AW473,$AX473,Constants!$B$19),Constants!$B$20))</f>
        <v/>
      </c>
      <c r="BO473" s="97" t="str">
        <f aca="false">IF($BX473&lt;&gt;Constants!$B$6,"",Constants!$B$21*ABS($AD$9-IF($AT473,$AU473,0)))</f>
        <v/>
      </c>
      <c r="BP473" s="97" t="str">
        <f aca="false">IF($BX473&lt;&gt;Constants!$B$6,"",IF(AND($AT473,$AY473,$AW473),Constants!$B$22,0))</f>
        <v/>
      </c>
      <c r="BQ473" s="97" t="str">
        <f aca="false">IF($BX473&lt;&gt;Constants!$B$6,"",IF($AT473,($AI473-Constants!$B$24)*Constants!$B$23,0))</f>
        <v/>
      </c>
      <c r="BR473" s="97" t="str">
        <f aca="false">IF($BX473&lt;&gt;Constants!$B$6,"",IF($AS473,0,Constants!$B$12)+IF($AR473,0,Constants!$B$13)+IF($AH473,0,Constants!$B$14))</f>
        <v/>
      </c>
      <c r="BS473" s="98" t="str">
        <f aca="false">IF($BX473&lt;&gt;Constants!$B$6,"",Constants!$B$16+SUM($BN473:$BR473))</f>
        <v/>
      </c>
      <c r="BT473" s="97" t="str">
        <f aca="false">IF($BX473&lt;&gt;Constants!$B$6,"",$BN473)</f>
        <v/>
      </c>
      <c r="BU473" s="97" t="str">
        <f aca="false">IF($BX473&lt;&gt;Constants!$B$6,"",$BO473)</f>
        <v/>
      </c>
      <c r="BV473" s="99" t="str">
        <f aca="false">IF($BX473&lt;&gt;Constants!$B$6,"",IF($AT473,$AV473,""))</f>
        <v/>
      </c>
      <c r="BW473" s="93" t="str">
        <f aca="false">IF(ISBLANK($C473),"",IF(ISBLANK($D$7),$BW$5,IF(NOT(ISNUMBER($D$7)),$BW$6,"")))</f>
        <v/>
      </c>
      <c r="BX473" s="93" t="str">
        <f aca="false">IF(ISBLANK($C473),"",IF($BA473,Constants!$B$9,IF(COUNTA($E473:$AA473)=0,Constants!$B$8,IF(NOT($AG473),Constants!$B$7,IF(OR($BW473&lt;&gt;"",$BB473,$BM473),Constants!$B$10,Constants!$B$6)))))</f>
        <v/>
      </c>
      <c r="BY473" s="93" t="str">
        <f aca="false">IF(ISBLANK($C473),"",IF($BX473&lt;&gt;Constants!$B$6,$BX473,Constants!$B$11))</f>
        <v/>
      </c>
      <c r="BZ473" s="97" t="str">
        <f aca="false">IF($BX473&lt;&gt;Constants!$B$6,"",IF($BL473="-&gt;",$BS473,$BH473))</f>
        <v/>
      </c>
      <c r="CA473" s="97" t="str">
        <f aca="false">IF($BX473&lt;&gt;Constants!$B$6,"",IF($AF473,0,Constants!$B$15))</f>
        <v/>
      </c>
      <c r="CB473" s="97" t="str">
        <f aca="false">IF($BX473&lt;&gt;Constants!$B$6,"",((Constants!$B$25-$AZ473)-Constants!$B$25)/Constants!$B$26)</f>
        <v/>
      </c>
      <c r="CC473" s="97" t="str">
        <f aca="false">IF(ISBLANK($C473),"",IF($BX473&lt;&gt;Constants!$B$6,$BX473,SUM($BZ473:$CB473)))</f>
        <v/>
      </c>
      <c r="CD473" s="93" t="str">
        <f aca="false">IF(ISBLANK($C473),"",IF($BX473&lt;&gt;Constants!$B$6,$BX473,RANK($CC473,$CC$9:$CC$508,1)))</f>
        <v/>
      </c>
      <c r="CE473" s="97" t="str">
        <f aca="false">IF($BX473&lt;&gt;Constants!$B$6,"",IF($BL473="-&gt;",$BT473,$BI473))</f>
        <v/>
      </c>
      <c r="CF473" s="93" t="str">
        <f aca="false">IF(ISBLANK($C473),"",IF($BX473&lt;&gt;Constants!$B$6,$BX473,IF(ISNUMBER($CE473),RANK($CE473,$CE$9:$CE$508,1),COUNT($CE$9:$CE$508)+1)))</f>
        <v/>
      </c>
      <c r="CG473" s="97" t="str">
        <f aca="false">IF($BX473&lt;&gt;Constants!$B$6,"",IF($BL473="-&gt;",$BU473,$BJ473))</f>
        <v/>
      </c>
      <c r="CH473" s="93" t="str">
        <f aca="false">IF(ISBLANK($C473),"",IF($BX473&lt;&gt;Constants!$B$6,$BX473,IF(ISNUMBER($CG473),RANK($CG473,$CG$9:$CG$508,1),COUNT($CG$9:$CG$508)+1)))</f>
        <v/>
      </c>
      <c r="CI473" s="97" t="str">
        <f aca="false">IF($BX473&lt;&gt;Constants!$B$6,"",IF($BL473="-&gt;",$BV473,$BK473))</f>
        <v/>
      </c>
      <c r="CJ473" s="93" t="str">
        <f aca="false">IF(ISBLANK($C473),"",IF($BX473&lt;&gt;Constants!$B$6,$BX473,IF(ISNUMBER($CI473),RANK($CI473,$CI$9:$CI$508,1),COUNT($CI$9:$CI$508)+1)))</f>
        <v/>
      </c>
      <c r="CK473" s="97" t="str">
        <f aca="false">IF($BX473&lt;&gt;Constants!$B$6,"",$AI473)</f>
        <v/>
      </c>
      <c r="CL473" s="93" t="str">
        <f aca="false">IF(ISBLANK($C473),"",IF($BX473&lt;&gt;Constants!$B$6,$BX473,IF(ISNUMBER($CK473),RANK($CK473,$CK$9:$CK$508,1),COUNT($CK$9:$CK$508)+1)))</f>
        <v/>
      </c>
      <c r="CM473" s="93" t="str">
        <f aca="false">IF(ISBLANK($C473),"",IF($BX473&lt;&gt;Constants!$B$6,$BX473,COUNTIFS($CD$9:$CD$508,"&lt;"&amp;$CD473)+COUNTIFS($CD$9:$CD$508,$CD473,$CF$9:$CF$508,"&lt;"&amp;$CF473)+COUNTIFS($CD$9:$CD$508,$CD473,$CF$9:$CF$508,$CF473,$CH$9:$CH$508,"&lt;"&amp;$CH473)+COUNTIFS($CD$9:$CD$508,$CD473,$CF$9:$CF$508,$CF473,$CH$9:$CH$508,$CH473,$CJ$9:$CJ$508,"&lt;"&amp;$CJ473)+COUNTIFS($CD$9:$CD$508,$CD473,$CF$9:$CF$508,$CF473,$CH$9:$CH$508,$CH473,$CJ$9:$CJ$508,$CJ473,$CL$9:$CL$508,"&lt;"&amp;$CL473)+1))</f>
        <v/>
      </c>
      <c r="CN473" s="93" t="str">
        <f aca="false">IF(ISBLANK($C473),"",IF($BX473&lt;&gt;Constants!$B$6,$BX473,$CD473-$CM473))</f>
        <v/>
      </c>
      <c r="CO473" s="100"/>
      <c r="CP473" s="101"/>
      <c r="CQ473" s="102" t="str">
        <f aca="false">IF(ISBLANK($C473),"",IF($BX473=Constants!$B$10,$BW473,""))</f>
        <v/>
      </c>
      <c r="CR473" s="101" t="str">
        <f aca="false">IF(ISBLANK($C473),"",IF($BX473&lt;&gt;Constants!$B$6,"",IF($BL473="-&gt;",2,1)))</f>
        <v/>
      </c>
      <c r="CS473" s="103" t="str">
        <f aca="false">IF(ISBLANK($C473),"",IF($BX473&lt;&gt;Constants!$B$6,"",IF($BL473="-&gt;",$BN473,$BC473)))</f>
        <v/>
      </c>
      <c r="CT473" s="103" t="str">
        <f aca="false">IF(ISBLANK($C473),"",IF($BX473&lt;&gt;Constants!$B$6,"",IF($BL473="-&gt;",$BO473,$BD473)))</f>
        <v/>
      </c>
      <c r="CU473" s="103" t="str">
        <f aca="false">IF(ISBLANK($C473),"",IF($BX473&lt;&gt;Constants!$B$6,"",IF($BL473="-&gt;",$BP473+$BQ473,$BE473+$BF473)+$CB473))</f>
        <v/>
      </c>
      <c r="CV473" s="103" t="str">
        <f aca="false">IF(ISBLANK($C473),"",IF($BX473&lt;&gt;Constants!$B$6,"",IF($BL473="-&gt;",$BR473,$BG473)+$CA473))</f>
        <v/>
      </c>
      <c r="CW473" s="104" t="str">
        <f aca="false">IF(ISBLANK($C473),"",IF($BX473&lt;&gt;Constants!$B$6,$BX473,$CC473))</f>
        <v/>
      </c>
      <c r="CX473" s="105" t="str">
        <f aca="false">IF(ISBLANK($C473),"",$BY473)</f>
        <v/>
      </c>
      <c r="CY473" s="106" t="str">
        <f aca="false">IF(ISBLANK($C473),"",$CN473)</f>
        <v/>
      </c>
      <c r="CZ473" s="106" t="str">
        <f aca="false">IF(ISBLANK($C473),"",$CM473)</f>
        <v/>
      </c>
      <c r="DA473" s="107" t="str">
        <f aca="false">IF(ISBLANK($C473),"",IFERROR(_xlfn.SWITCH($CZ473,Constants!$B$9,COUNTA($C$9:$C$508)+2,Constants!$B$8,COUNTA($C$9:$C$508)+1,Constants!$B$7,COUNTA($C$9:$C$508)),$CZ473))</f>
        <v/>
      </c>
      <c r="DB473" s="9"/>
      <c r="DC473" s="108" t="n">
        <f aca="false">IF(OR(ISNUMBER($CZ473),$CZ473=Constants!$B$9,$CZ473=Constants!$B$7,$CZ473=Constants!$B$8),1,0)</f>
        <v>0</v>
      </c>
      <c r="DD473" s="108" t="n">
        <v>465</v>
      </c>
      <c r="DE473" s="108" t="str">
        <f aca="false">IF(ISBLANK($C473),"",IF(ISNUMBER($DA473),$DA473+ROW($B473)/1000,""))</f>
        <v/>
      </c>
      <c r="DF473" s="108" t="str">
        <f aca="false">IF(ISNUMBER($DE473),RANK($DE473,$DE$9:$DE$508,1),"")</f>
        <v/>
      </c>
      <c r="DG473" s="108" t="str">
        <f aca="false">IF(ISBLANK($C473),"",$B473)</f>
        <v/>
      </c>
      <c r="DH473" s="108" t="str">
        <f aca="false">IF(ISBLANK($C473),"",$C473)</f>
        <v/>
      </c>
      <c r="DI473" s="108" t="str">
        <f aca="false">IF(ISBLANK($C473),"",$D473)</f>
        <v/>
      </c>
      <c r="DJ473" s="109" t="str">
        <f aca="false">$CX473</f>
        <v/>
      </c>
      <c r="DK473" s="110" t="str">
        <f aca="false">$CW473</f>
        <v/>
      </c>
      <c r="DL473" s="108" t="str">
        <f aca="false">IF(ISBLANK($C473),"",$CZ473)</f>
        <v/>
      </c>
      <c r="DM473" s="111" t="str">
        <f aca="false">IF($DD473&gt;$DC$8,"",VLOOKUP($DD473,$DF$9:$DL$508,7,FALSE()))</f>
        <v/>
      </c>
      <c r="DN473" s="112" t="str">
        <f aca="false">IF($DD473&gt;$DC$8,"",VLOOKUP($DD473,$DF$9:$DL$508,2,FALSE()))</f>
        <v/>
      </c>
      <c r="DO473" s="112" t="str">
        <f aca="false">IF($DD473&gt;$DC$8,"",VLOOKUP($DD473,$DF$9:$DL$508,3,FALSE()))</f>
        <v/>
      </c>
      <c r="DP473" s="112" t="str">
        <f aca="false">IF($DD473&gt;$DC$8,"",VLOOKUP($DD473,$DF$9:$DL$508,4,FALSE()))</f>
        <v/>
      </c>
      <c r="DQ473" s="112" t="str">
        <f aca="false">IF($DD473&gt;$DC$8,"",VLOOKUP($DD473,$DF$9:$DL$508,5,FALSE()))</f>
        <v/>
      </c>
      <c r="DR473" s="113" t="str">
        <f aca="false">IF($DD473&gt;$DC$8,"",VLOOKUP($DD473,$DF$9:$DL$508,6,FALSE()))</f>
        <v/>
      </c>
      <c r="DS473" s="76"/>
    </row>
    <row r="474" customFormat="false" ht="15.75" hidden="false" customHeight="false" outlineLevel="0" collapsed="false">
      <c r="A474" s="9"/>
      <c r="B474" s="160"/>
      <c r="C474" s="161"/>
      <c r="D474" s="162"/>
      <c r="E474" s="180"/>
      <c r="F474" s="164"/>
      <c r="G474" s="165"/>
      <c r="H474" s="165"/>
      <c r="I474" s="181"/>
      <c r="J474" s="168"/>
      <c r="K474" s="128"/>
      <c r="L474" s="129"/>
      <c r="M474" s="130"/>
      <c r="N474" s="168"/>
      <c r="O474" s="168"/>
      <c r="P474" s="180"/>
      <c r="Q474" s="168"/>
      <c r="R474" s="168"/>
      <c r="S474" s="128"/>
      <c r="T474" s="130"/>
      <c r="U474" s="130"/>
      <c r="V474" s="168"/>
      <c r="W474" s="168"/>
      <c r="X474" s="180"/>
      <c r="Y474" s="168"/>
      <c r="Z474" s="169"/>
      <c r="AA474" s="168"/>
      <c r="AB474" s="134"/>
      <c r="AC474" s="135"/>
      <c r="AD474" s="135"/>
      <c r="AE474" s="135"/>
      <c r="AF474" s="135" t="str">
        <f aca="false">IF(ISBLANK($C474),"",IF(E474=Constants!$B$2,TRUE(),IF(E474=Constants!$B$3,FALSE(),TRUE())))</f>
        <v/>
      </c>
      <c r="AG474" s="135" t="str">
        <f aca="false">IF(ISBLANK($C474),"",IF(F474=Constants!$B$2,TRUE(),IF(F474=Constants!$B$3,FALSE(),TRUE())))</f>
        <v/>
      </c>
      <c r="AH474" s="135" t="str">
        <f aca="false">IF(ISBLANK($C474),"",IF(G474=Constants!$B$2,TRUE(),IF(G474=Constants!$B$3,FALSE(),TRUE())))</f>
        <v/>
      </c>
      <c r="AI474" s="135" t="str">
        <f aca="false">IF(ISBLANK($C474),"",IF(AND(ISNUMBER(H474),H474&gt;=0),H474,Constants!$B$24))</f>
        <v/>
      </c>
      <c r="AJ474" s="135" t="str">
        <f aca="false">IF(ISBLANK($C474),"",IF(I474=Constants!$B$2,TRUE(),IF(I474=Constants!$B$3,FALSE(),TRUE())))</f>
        <v/>
      </c>
      <c r="AK474" s="135" t="str">
        <f aca="false">IF(ISBLANK($C474),"",IF(J474=Constants!$B$2,TRUE(),IF(J474=Constants!$B$3,FALSE(),TRUE())))</f>
        <v/>
      </c>
      <c r="AL474" s="135" t="str">
        <f aca="false">IF(ISBLANK($C474),"",IF(K474=Constants!$B$4,TRUE(),IF(K474=Constants!$B$5,FALSE(),COUNTA(L474:P474)&gt;0)))</f>
        <v/>
      </c>
      <c r="AM474" s="136" t="str">
        <f aca="false">IF(ISBLANK($C474),"",IF(ISNUMBER(L474),IF(L474&gt;=0,L474,""),""))</f>
        <v/>
      </c>
      <c r="AN474" s="137" t="str">
        <f aca="false">IF(ISBLANK($C474),"",IF(ISNUMBER(M474),IF(M474&gt;=0,M474,""),""))</f>
        <v/>
      </c>
      <c r="AO474" s="137" t="str">
        <f aca="false">IF(ISBLANK($C474),"",IF(N474=Constants!$B$2,TRUE(),IF(N474=Constants!$B$3,FALSE(),TRUE())))</f>
        <v/>
      </c>
      <c r="AP474" s="135" t="str">
        <f aca="false">IF(ISBLANK($C474),"",IF(ISNUMBER(O474),IF(O474&gt;=0,O474,""),""))</f>
        <v/>
      </c>
      <c r="AQ474" s="135" t="str">
        <f aca="false">IF(ISBLANK($C474),"",IF(P474=Constants!$B$2,TRUE(),IF(P474=Constants!$B$3,FALSE(),FALSE())))</f>
        <v/>
      </c>
      <c r="AR474" s="135" t="str">
        <f aca="false">IF(ISBLANK($C474),"",IF(Q474=Constants!$B$2,TRUE(),IF(Q474=Constants!$B$3,FALSE(),TRUE())))</f>
        <v/>
      </c>
      <c r="AS474" s="135" t="str">
        <f aca="false">IF(ISBLANK($C474),"",IF(R474=Constants!$B$2,TRUE(),IF(R474=Constants!$B$3,FALSE(),TRUE())))</f>
        <v/>
      </c>
      <c r="AT474" s="135" t="str">
        <f aca="false">IF(ISBLANK($C474),"",IF(S474=Constants!$B$4,TRUE(),IF(S474=Constants!$B$5,FALSE(),COUNTA(T474:X474)&gt;0)))</f>
        <v/>
      </c>
      <c r="AU474" s="136" t="str">
        <f aca="false">IF(ISBLANK($C474),"",IF(ISNUMBER(T474),IF(T474&gt;=0,T474,""),""))</f>
        <v/>
      </c>
      <c r="AV474" s="137" t="str">
        <f aca="false">IF(ISBLANK($C474),"",IF(ISNUMBER(U474),IF(U474&gt;=0,U474,""),""))</f>
        <v/>
      </c>
      <c r="AW474" s="137" t="str">
        <f aca="false">IF(ISBLANK($C474),"",IF(V474=Constants!$B$2,TRUE(),IF(V474=Constants!$B$3,FALSE(),TRUE())))</f>
        <v/>
      </c>
      <c r="AX474" s="135" t="str">
        <f aca="false">IF(ISBLANK($C474),"",IF(ISNUMBER(W474),IF(W474&gt;=0,W474,""),""))</f>
        <v/>
      </c>
      <c r="AY474" s="135" t="str">
        <f aca="false">IF(ISBLANK($C474),"",IF(X474=Constants!$B$2,TRUE(),IF(X474=Constants!$B$3,FALSE(),FALSE())))</f>
        <v/>
      </c>
      <c r="AZ474" s="135" t="str">
        <f aca="false">IF(ISBLANK($C474),"",MIN(Constants!$B$25,MAX(0,IF(ISNUMBER(Y474),Y474*60,0)+IF(ISNUMBER(Z474),Z474,0))))</f>
        <v/>
      </c>
      <c r="BA474" s="135" t="str">
        <f aca="false">IF(ISBLANK($C474),"",IF(AA474=Constants!$B$2,TRUE(),IF(AA474=Constants!$B$3,FALSE(),FALSE())))</f>
        <v/>
      </c>
      <c r="BB474" s="134" t="str">
        <f aca="false">IF(ISBLANK($C474),"",AND($AL474,OR($AM474="",$AN474="",AND($AO474,$AP474=""))))</f>
        <v/>
      </c>
      <c r="BC474" s="137" t="str">
        <f aca="false">IF($BX474&lt;&gt;Constants!$B$6,"",IF($AL474,Constants!$B$17*$AN474+Constants!$B$18*IF($AO474,$AP474,Constants!$B$19),Constants!$B$20))</f>
        <v/>
      </c>
      <c r="BD474" s="138" t="str">
        <f aca="false">IF($BX474&lt;&gt;Constants!$B$6,"",Constants!$B$21*ABS($AD$9-IF($AL474,$AM474,0)))</f>
        <v/>
      </c>
      <c r="BE474" s="138" t="str">
        <f aca="false">IF($BX474&lt;&gt;Constants!$B$6,"",IF(AND($AL474,$AQ474,$AO474),Constants!$B$22,0))</f>
        <v/>
      </c>
      <c r="BF474" s="138" t="str">
        <f aca="false">IF($BX474&lt;&gt;Constants!$B$6,"",IF($AL474,($AI474-Constants!$B$24)*Constants!$B$23,0))</f>
        <v/>
      </c>
      <c r="BG474" s="138" t="str">
        <f aca="false">IF($BX474&lt;&gt;Constants!$B$6,"",IF($AK474,0,Constants!$B$12)+IF($AJ474,0,Constants!$B$13)+IF($AH474,0,Constants!$B$14))</f>
        <v/>
      </c>
      <c r="BH474" s="139" t="str">
        <f aca="false">IF($BX474&lt;&gt;Constants!$B$6,"",Constants!$B$16+SUM($BC474:$BG474))</f>
        <v/>
      </c>
      <c r="BI474" s="138" t="str">
        <f aca="false">IF($BX474&lt;&gt;Constants!$B$6,"",$BC474)</f>
        <v/>
      </c>
      <c r="BJ474" s="138" t="str">
        <f aca="false">IF($BX474&lt;&gt;Constants!$B$6,"",$BD474)</f>
        <v/>
      </c>
      <c r="BK474" s="140" t="str">
        <f aca="false">IF($BX474&lt;&gt;Constants!$B$6,"",IF($AL474,$AN474,""))</f>
        <v/>
      </c>
      <c r="BL474" s="135" t="str">
        <f aca="false">IF($BX474&lt;&gt;Constants!$B$6,"",IF(OR($BS474&lt;$BH474,AND($BS474=$BH474,OR($BT474&lt;$BI474,AND($BT474=$BI474,OR($BU474&lt;$BJ474,AND($BU474=$BJ474,AND(ISNUMBER($BV474),OR(NOT(ISNUMBER($BK474)),$BV474&lt;$BK474)))))))),"-&gt;","&lt;-"))</f>
        <v/>
      </c>
      <c r="BM474" s="134" t="str">
        <f aca="false">IF(ISBLANK($C474),"",AND($AT474,OR($AU474="",$AV474="",AND($AW474,$AX474=""))))</f>
        <v/>
      </c>
      <c r="BN474" s="137" t="str">
        <f aca="false">IF($BX474&lt;&gt;Constants!$B$6,"",IF($AT474,Constants!$B$17*$AV474+Constants!$B$18*IF($AW474,$AX474,Constants!$B$19),Constants!$B$20))</f>
        <v/>
      </c>
      <c r="BO474" s="138" t="str">
        <f aca="false">IF($BX474&lt;&gt;Constants!$B$6,"",Constants!$B$21*ABS($AD$9-IF($AT474,$AU474,0)))</f>
        <v/>
      </c>
      <c r="BP474" s="138" t="str">
        <f aca="false">IF($BX474&lt;&gt;Constants!$B$6,"",IF(AND($AT474,$AY474,$AW474),Constants!$B$22,0))</f>
        <v/>
      </c>
      <c r="BQ474" s="138" t="str">
        <f aca="false">IF($BX474&lt;&gt;Constants!$B$6,"",IF($AT474,($AI474-Constants!$B$24)*Constants!$B$23,0))</f>
        <v/>
      </c>
      <c r="BR474" s="138" t="str">
        <f aca="false">IF($BX474&lt;&gt;Constants!$B$6,"",IF($AS474,0,Constants!$B$12)+IF($AR474,0,Constants!$B$13)+IF($AH474,0,Constants!$B$14))</f>
        <v/>
      </c>
      <c r="BS474" s="139" t="str">
        <f aca="false">IF($BX474&lt;&gt;Constants!$B$6,"",Constants!$B$16+SUM($BN474:$BR474))</f>
        <v/>
      </c>
      <c r="BT474" s="138" t="str">
        <f aca="false">IF($BX474&lt;&gt;Constants!$B$6,"",$BN474)</f>
        <v/>
      </c>
      <c r="BU474" s="138" t="str">
        <f aca="false">IF($BX474&lt;&gt;Constants!$B$6,"",$BO474)</f>
        <v/>
      </c>
      <c r="BV474" s="140" t="str">
        <f aca="false">IF($BX474&lt;&gt;Constants!$B$6,"",IF($AT474,$AV474,""))</f>
        <v/>
      </c>
      <c r="BW474" s="135" t="str">
        <f aca="false">IF(ISBLANK($C474),"",IF(ISBLANK($D$7),$BW$5,IF(NOT(ISNUMBER($D$7)),$BW$6,"")))</f>
        <v/>
      </c>
      <c r="BX474" s="135" t="str">
        <f aca="false">IF(ISBLANK($C474),"",IF($BA474,Constants!$B$9,IF(COUNTA($E474:$AA474)=0,Constants!$B$8,IF(NOT($AG474),Constants!$B$7,IF(OR($BW474&lt;&gt;"",$BB474,$BM474),Constants!$B$10,Constants!$B$6)))))</f>
        <v/>
      </c>
      <c r="BY474" s="135" t="str">
        <f aca="false">IF(ISBLANK($C474),"",IF($BX474&lt;&gt;Constants!$B$6,$BX474,Constants!$B$11))</f>
        <v/>
      </c>
      <c r="BZ474" s="138" t="str">
        <f aca="false">IF($BX474&lt;&gt;Constants!$B$6,"",IF($BL474="-&gt;",$BS474,$BH474))</f>
        <v/>
      </c>
      <c r="CA474" s="138" t="str">
        <f aca="false">IF($BX474&lt;&gt;Constants!$B$6,"",IF($AF474,0,Constants!$B$15))</f>
        <v/>
      </c>
      <c r="CB474" s="138" t="str">
        <f aca="false">IF($BX474&lt;&gt;Constants!$B$6,"",((Constants!$B$25-$AZ474)-Constants!$B$25)/Constants!$B$26)</f>
        <v/>
      </c>
      <c r="CC474" s="138" t="str">
        <f aca="false">IF(ISBLANK($C474),"",IF($BX474&lt;&gt;Constants!$B$6,$BX474,SUM($BZ474:$CB474)))</f>
        <v/>
      </c>
      <c r="CD474" s="135" t="str">
        <f aca="false">IF(ISBLANK($C474),"",IF($BX474&lt;&gt;Constants!$B$6,$BX474,RANK($CC474,$CC$9:$CC$508,1)))</f>
        <v/>
      </c>
      <c r="CE474" s="138" t="str">
        <f aca="false">IF($BX474&lt;&gt;Constants!$B$6,"",IF($BL474="-&gt;",$BT474,$BI474))</f>
        <v/>
      </c>
      <c r="CF474" s="135" t="str">
        <f aca="false">IF(ISBLANK($C474),"",IF($BX474&lt;&gt;Constants!$B$6,$BX474,IF(ISNUMBER($CE474),RANK($CE474,$CE$9:$CE$508,1),COUNT($CE$9:$CE$508)+1)))</f>
        <v/>
      </c>
      <c r="CG474" s="138" t="str">
        <f aca="false">IF($BX474&lt;&gt;Constants!$B$6,"",IF($BL474="-&gt;",$BU474,$BJ474))</f>
        <v/>
      </c>
      <c r="CH474" s="135" t="str">
        <f aca="false">IF(ISBLANK($C474),"",IF($BX474&lt;&gt;Constants!$B$6,$BX474,IF(ISNUMBER($CG474),RANK($CG474,$CG$9:$CG$508,1),COUNT($CG$9:$CG$508)+1)))</f>
        <v/>
      </c>
      <c r="CI474" s="138" t="str">
        <f aca="false">IF($BX474&lt;&gt;Constants!$B$6,"",IF($BL474="-&gt;",$BV474,$BK474))</f>
        <v/>
      </c>
      <c r="CJ474" s="135" t="str">
        <f aca="false">IF(ISBLANK($C474),"",IF($BX474&lt;&gt;Constants!$B$6,$BX474,IF(ISNUMBER($CI474),RANK($CI474,$CI$9:$CI$508,1),COUNT($CI$9:$CI$508)+1)))</f>
        <v/>
      </c>
      <c r="CK474" s="138" t="str">
        <f aca="false">IF($BX474&lt;&gt;Constants!$B$6,"",$AI474)</f>
        <v/>
      </c>
      <c r="CL474" s="135" t="str">
        <f aca="false">IF(ISBLANK($C474),"",IF($BX474&lt;&gt;Constants!$B$6,$BX474,IF(ISNUMBER($CK474),RANK($CK474,$CK$9:$CK$508,1),COUNT($CK$9:$CK$508)+1)))</f>
        <v/>
      </c>
      <c r="CM474" s="135" t="str">
        <f aca="false">IF(ISBLANK($C474),"",IF($BX474&lt;&gt;Constants!$B$6,$BX474,COUNTIFS($CD$9:$CD$508,"&lt;"&amp;$CD474)+COUNTIFS($CD$9:$CD$508,$CD474,$CF$9:$CF$508,"&lt;"&amp;$CF474)+COUNTIFS($CD$9:$CD$508,$CD474,$CF$9:$CF$508,$CF474,$CH$9:$CH$508,"&lt;"&amp;$CH474)+COUNTIFS($CD$9:$CD$508,$CD474,$CF$9:$CF$508,$CF474,$CH$9:$CH$508,$CH474,$CJ$9:$CJ$508,"&lt;"&amp;$CJ474)+COUNTIFS($CD$9:$CD$508,$CD474,$CF$9:$CF$508,$CF474,$CH$9:$CH$508,$CH474,$CJ$9:$CJ$508,$CJ474,$CL$9:$CL$508,"&lt;"&amp;$CL474)+1))</f>
        <v/>
      </c>
      <c r="CN474" s="135" t="str">
        <f aca="false">IF(ISBLANK($C474),"",IF($BX474&lt;&gt;Constants!$B$6,$BX474,$CD474-$CM474))</f>
        <v/>
      </c>
      <c r="CO474" s="141"/>
      <c r="CP474" s="142"/>
      <c r="CQ474" s="143" t="str">
        <f aca="false">IF(ISBLANK($C474),"",IF($BX474=Constants!$B$10,$BW474,""))</f>
        <v/>
      </c>
      <c r="CR474" s="142" t="str">
        <f aca="false">IF(ISBLANK($C474),"",IF($BX474&lt;&gt;Constants!$B$6,"",IF($BL474="-&gt;",2,1)))</f>
        <v/>
      </c>
      <c r="CS474" s="144" t="str">
        <f aca="false">IF(ISBLANK($C474),"",IF($BX474&lt;&gt;Constants!$B$6,"",IF($BL474="-&gt;",$BN474,$BC474)))</f>
        <v/>
      </c>
      <c r="CT474" s="144" t="str">
        <f aca="false">IF(ISBLANK($C474),"",IF($BX474&lt;&gt;Constants!$B$6,"",IF($BL474="-&gt;",$BO474,$BD474)))</f>
        <v/>
      </c>
      <c r="CU474" s="144" t="str">
        <f aca="false">IF(ISBLANK($C474),"",IF($BX474&lt;&gt;Constants!$B$6,"",IF($BL474="-&gt;",$BP474+$BQ474,$BE474+$BF474)+$CB474))</f>
        <v/>
      </c>
      <c r="CV474" s="144" t="str">
        <f aca="false">IF(ISBLANK($C474),"",IF($BX474&lt;&gt;Constants!$B$6,"",IF($BL474="-&gt;",$BR474,$BG474)+$CA474))</f>
        <v/>
      </c>
      <c r="CW474" s="145" t="str">
        <f aca="false">IF(ISBLANK($C474),"",IF($BX474&lt;&gt;Constants!$B$6,$BX474,$CC474))</f>
        <v/>
      </c>
      <c r="CX474" s="146" t="str">
        <f aca="false">IF(ISBLANK($C474),"",$BY474)</f>
        <v/>
      </c>
      <c r="CY474" s="147" t="str">
        <f aca="false">IF(ISBLANK($C474),"",$CN474)</f>
        <v/>
      </c>
      <c r="CZ474" s="147" t="str">
        <f aca="false">IF(ISBLANK($C474),"",$CM474)</f>
        <v/>
      </c>
      <c r="DA474" s="148" t="str">
        <f aca="false">IF(ISBLANK($C474),"",IFERROR(_xlfn.SWITCH($CZ474,Constants!$B$9,COUNTA($C$9:$C$508)+2,Constants!$B$8,COUNTA($C$9:$C$508)+1,Constants!$B$7,COUNTA($C$9:$C$508)),$CZ474))</f>
        <v/>
      </c>
      <c r="DB474" s="9"/>
      <c r="DC474" s="149" t="n">
        <f aca="false">IF(OR(ISNUMBER($CZ474),$CZ474=Constants!$B$9,$CZ474=Constants!$B$7,$CZ474=Constants!$B$8),1,0)</f>
        <v>0</v>
      </c>
      <c r="DD474" s="149" t="n">
        <v>466</v>
      </c>
      <c r="DE474" s="149" t="str">
        <f aca="false">IF(ISBLANK($C474),"",IF(ISNUMBER($DA474),$DA474+ROW($B474)/1000,""))</f>
        <v/>
      </c>
      <c r="DF474" s="149" t="str">
        <f aca="false">IF(ISNUMBER($DE474),RANK($DE474,$DE$9:$DE$508,1),"")</f>
        <v/>
      </c>
      <c r="DG474" s="149" t="str">
        <f aca="false">IF(ISBLANK($C474),"",$B474)</f>
        <v/>
      </c>
      <c r="DH474" s="149" t="str">
        <f aca="false">IF(ISBLANK($C474),"",$C474)</f>
        <v/>
      </c>
      <c r="DI474" s="149" t="str">
        <f aca="false">IF(ISBLANK($C474),"",$D474)</f>
        <v/>
      </c>
      <c r="DJ474" s="150" t="str">
        <f aca="false">$CX474</f>
        <v/>
      </c>
      <c r="DK474" s="151" t="str">
        <f aca="false">$CW474</f>
        <v/>
      </c>
      <c r="DL474" s="149" t="str">
        <f aca="false">IF(ISBLANK($C474),"",$CZ474)</f>
        <v/>
      </c>
      <c r="DM474" s="152" t="str">
        <f aca="false">IF($DD474&gt;$DC$8,"",VLOOKUP($DD474,$DF$9:$DL$508,7,FALSE()))</f>
        <v/>
      </c>
      <c r="DN474" s="153" t="str">
        <f aca="false">IF($DD474&gt;$DC$8,"",VLOOKUP($DD474,$DF$9:$DL$508,2,FALSE()))</f>
        <v/>
      </c>
      <c r="DO474" s="153" t="str">
        <f aca="false">IF($DD474&gt;$DC$8,"",VLOOKUP($DD474,$DF$9:$DL$508,3,FALSE()))</f>
        <v/>
      </c>
      <c r="DP474" s="153" t="str">
        <f aca="false">IF($DD474&gt;$DC$8,"",VLOOKUP($DD474,$DF$9:$DL$508,4,FALSE()))</f>
        <v/>
      </c>
      <c r="DQ474" s="153" t="str">
        <f aca="false">IF($DD474&gt;$DC$8,"",VLOOKUP($DD474,$DF$9:$DL$508,5,FALSE()))</f>
        <v/>
      </c>
      <c r="DR474" s="154" t="str">
        <f aca="false">IF($DD474&gt;$DC$8,"",VLOOKUP($DD474,$DF$9:$DL$508,6,FALSE()))</f>
        <v/>
      </c>
      <c r="DS474" s="76"/>
    </row>
    <row r="475" customFormat="false" ht="15.75" hidden="false" customHeight="false" outlineLevel="0" collapsed="false">
      <c r="A475" s="9"/>
      <c r="B475" s="160"/>
      <c r="C475" s="161"/>
      <c r="D475" s="162"/>
      <c r="E475" s="180"/>
      <c r="F475" s="164"/>
      <c r="G475" s="165"/>
      <c r="H475" s="165"/>
      <c r="I475" s="181"/>
      <c r="J475" s="168"/>
      <c r="K475" s="128"/>
      <c r="L475" s="129"/>
      <c r="M475" s="130"/>
      <c r="N475" s="168"/>
      <c r="O475" s="168"/>
      <c r="P475" s="180"/>
      <c r="Q475" s="168"/>
      <c r="R475" s="168"/>
      <c r="S475" s="128"/>
      <c r="T475" s="130"/>
      <c r="U475" s="130"/>
      <c r="V475" s="168"/>
      <c r="W475" s="168"/>
      <c r="X475" s="180"/>
      <c r="Y475" s="168"/>
      <c r="Z475" s="169"/>
      <c r="AA475" s="168"/>
      <c r="AB475" s="134"/>
      <c r="AC475" s="135"/>
      <c r="AD475" s="135"/>
      <c r="AE475" s="135"/>
      <c r="AF475" s="135" t="str">
        <f aca="false">IF(ISBLANK($C475),"",IF(E475=Constants!$B$2,TRUE(),IF(E475=Constants!$B$3,FALSE(),TRUE())))</f>
        <v/>
      </c>
      <c r="AG475" s="135" t="str">
        <f aca="false">IF(ISBLANK($C475),"",IF(F475=Constants!$B$2,TRUE(),IF(F475=Constants!$B$3,FALSE(),TRUE())))</f>
        <v/>
      </c>
      <c r="AH475" s="135" t="str">
        <f aca="false">IF(ISBLANK($C475),"",IF(G475=Constants!$B$2,TRUE(),IF(G475=Constants!$B$3,FALSE(),TRUE())))</f>
        <v/>
      </c>
      <c r="AI475" s="135" t="str">
        <f aca="false">IF(ISBLANK($C475),"",IF(AND(ISNUMBER(H475),H475&gt;=0),H475,Constants!$B$24))</f>
        <v/>
      </c>
      <c r="AJ475" s="135" t="str">
        <f aca="false">IF(ISBLANK($C475),"",IF(I475=Constants!$B$2,TRUE(),IF(I475=Constants!$B$3,FALSE(),TRUE())))</f>
        <v/>
      </c>
      <c r="AK475" s="135" t="str">
        <f aca="false">IF(ISBLANK($C475),"",IF(J475=Constants!$B$2,TRUE(),IF(J475=Constants!$B$3,FALSE(),TRUE())))</f>
        <v/>
      </c>
      <c r="AL475" s="135" t="str">
        <f aca="false">IF(ISBLANK($C475),"",IF(K475=Constants!$B$4,TRUE(),IF(K475=Constants!$B$5,FALSE(),COUNTA(L475:P475)&gt;0)))</f>
        <v/>
      </c>
      <c r="AM475" s="136" t="str">
        <f aca="false">IF(ISBLANK($C475),"",IF(ISNUMBER(L475),IF(L475&gt;=0,L475,""),""))</f>
        <v/>
      </c>
      <c r="AN475" s="137" t="str">
        <f aca="false">IF(ISBLANK($C475),"",IF(ISNUMBER(M475),IF(M475&gt;=0,M475,""),""))</f>
        <v/>
      </c>
      <c r="AO475" s="137" t="str">
        <f aca="false">IF(ISBLANK($C475),"",IF(N475=Constants!$B$2,TRUE(),IF(N475=Constants!$B$3,FALSE(),TRUE())))</f>
        <v/>
      </c>
      <c r="AP475" s="135" t="str">
        <f aca="false">IF(ISBLANK($C475),"",IF(ISNUMBER(O475),IF(O475&gt;=0,O475,""),""))</f>
        <v/>
      </c>
      <c r="AQ475" s="135" t="str">
        <f aca="false">IF(ISBLANK($C475),"",IF(P475=Constants!$B$2,TRUE(),IF(P475=Constants!$B$3,FALSE(),FALSE())))</f>
        <v/>
      </c>
      <c r="AR475" s="135" t="str">
        <f aca="false">IF(ISBLANK($C475),"",IF(Q475=Constants!$B$2,TRUE(),IF(Q475=Constants!$B$3,FALSE(),TRUE())))</f>
        <v/>
      </c>
      <c r="AS475" s="135" t="str">
        <f aca="false">IF(ISBLANK($C475),"",IF(R475=Constants!$B$2,TRUE(),IF(R475=Constants!$B$3,FALSE(),TRUE())))</f>
        <v/>
      </c>
      <c r="AT475" s="135" t="str">
        <f aca="false">IF(ISBLANK($C475),"",IF(S475=Constants!$B$4,TRUE(),IF(S475=Constants!$B$5,FALSE(),COUNTA(T475:X475)&gt;0)))</f>
        <v/>
      </c>
      <c r="AU475" s="136" t="str">
        <f aca="false">IF(ISBLANK($C475),"",IF(ISNUMBER(T475),IF(T475&gt;=0,T475,""),""))</f>
        <v/>
      </c>
      <c r="AV475" s="137" t="str">
        <f aca="false">IF(ISBLANK($C475),"",IF(ISNUMBER(U475),IF(U475&gt;=0,U475,""),""))</f>
        <v/>
      </c>
      <c r="AW475" s="137" t="str">
        <f aca="false">IF(ISBLANK($C475),"",IF(V475=Constants!$B$2,TRUE(),IF(V475=Constants!$B$3,FALSE(),TRUE())))</f>
        <v/>
      </c>
      <c r="AX475" s="135" t="str">
        <f aca="false">IF(ISBLANK($C475),"",IF(ISNUMBER(W475),IF(W475&gt;=0,W475,""),""))</f>
        <v/>
      </c>
      <c r="AY475" s="135" t="str">
        <f aca="false">IF(ISBLANK($C475),"",IF(X475=Constants!$B$2,TRUE(),IF(X475=Constants!$B$3,FALSE(),FALSE())))</f>
        <v/>
      </c>
      <c r="AZ475" s="135" t="str">
        <f aca="false">IF(ISBLANK($C475),"",MIN(Constants!$B$25,MAX(0,IF(ISNUMBER(Y475),Y475*60,0)+IF(ISNUMBER(Z475),Z475,0))))</f>
        <v/>
      </c>
      <c r="BA475" s="135" t="str">
        <f aca="false">IF(ISBLANK($C475),"",IF(AA475=Constants!$B$2,TRUE(),IF(AA475=Constants!$B$3,FALSE(),FALSE())))</f>
        <v/>
      </c>
      <c r="BB475" s="134" t="str">
        <f aca="false">IF(ISBLANK($C475),"",AND($AL475,OR($AM475="",$AN475="",AND($AO475,$AP475=""))))</f>
        <v/>
      </c>
      <c r="BC475" s="137" t="str">
        <f aca="false">IF($BX475&lt;&gt;Constants!$B$6,"",IF($AL475,Constants!$B$17*$AN475+Constants!$B$18*IF($AO475,$AP475,Constants!$B$19),Constants!$B$20))</f>
        <v/>
      </c>
      <c r="BD475" s="138" t="str">
        <f aca="false">IF($BX475&lt;&gt;Constants!$B$6,"",Constants!$B$21*ABS($AD$9-IF($AL475,$AM475,0)))</f>
        <v/>
      </c>
      <c r="BE475" s="138" t="str">
        <f aca="false">IF($BX475&lt;&gt;Constants!$B$6,"",IF(AND($AL475,$AQ475,$AO475),Constants!$B$22,0))</f>
        <v/>
      </c>
      <c r="BF475" s="138" t="str">
        <f aca="false">IF($BX475&lt;&gt;Constants!$B$6,"",IF($AL475,($AI475-Constants!$B$24)*Constants!$B$23,0))</f>
        <v/>
      </c>
      <c r="BG475" s="138" t="str">
        <f aca="false">IF($BX475&lt;&gt;Constants!$B$6,"",IF($AK475,0,Constants!$B$12)+IF($AJ475,0,Constants!$B$13)+IF($AH475,0,Constants!$B$14))</f>
        <v/>
      </c>
      <c r="BH475" s="139" t="str">
        <f aca="false">IF($BX475&lt;&gt;Constants!$B$6,"",Constants!$B$16+SUM($BC475:$BG475))</f>
        <v/>
      </c>
      <c r="BI475" s="138" t="str">
        <f aca="false">IF($BX475&lt;&gt;Constants!$B$6,"",$BC475)</f>
        <v/>
      </c>
      <c r="BJ475" s="138" t="str">
        <f aca="false">IF($BX475&lt;&gt;Constants!$B$6,"",$BD475)</f>
        <v/>
      </c>
      <c r="BK475" s="140" t="str">
        <f aca="false">IF($BX475&lt;&gt;Constants!$B$6,"",IF($AL475,$AN475,""))</f>
        <v/>
      </c>
      <c r="BL475" s="135" t="str">
        <f aca="false">IF($BX475&lt;&gt;Constants!$B$6,"",IF(OR($BS475&lt;$BH475,AND($BS475=$BH475,OR($BT475&lt;$BI475,AND($BT475=$BI475,OR($BU475&lt;$BJ475,AND($BU475=$BJ475,AND(ISNUMBER($BV475),OR(NOT(ISNUMBER($BK475)),$BV475&lt;$BK475)))))))),"-&gt;","&lt;-"))</f>
        <v/>
      </c>
      <c r="BM475" s="134" t="str">
        <f aca="false">IF(ISBLANK($C475),"",AND($AT475,OR($AU475="",$AV475="",AND($AW475,$AX475=""))))</f>
        <v/>
      </c>
      <c r="BN475" s="137" t="str">
        <f aca="false">IF($BX475&lt;&gt;Constants!$B$6,"",IF($AT475,Constants!$B$17*$AV475+Constants!$B$18*IF($AW475,$AX475,Constants!$B$19),Constants!$B$20))</f>
        <v/>
      </c>
      <c r="BO475" s="138" t="str">
        <f aca="false">IF($BX475&lt;&gt;Constants!$B$6,"",Constants!$B$21*ABS($AD$9-IF($AT475,$AU475,0)))</f>
        <v/>
      </c>
      <c r="BP475" s="138" t="str">
        <f aca="false">IF($BX475&lt;&gt;Constants!$B$6,"",IF(AND($AT475,$AY475,$AW475),Constants!$B$22,0))</f>
        <v/>
      </c>
      <c r="BQ475" s="138" t="str">
        <f aca="false">IF($BX475&lt;&gt;Constants!$B$6,"",IF($AT475,($AI475-Constants!$B$24)*Constants!$B$23,0))</f>
        <v/>
      </c>
      <c r="BR475" s="138" t="str">
        <f aca="false">IF($BX475&lt;&gt;Constants!$B$6,"",IF($AS475,0,Constants!$B$12)+IF($AR475,0,Constants!$B$13)+IF($AH475,0,Constants!$B$14))</f>
        <v/>
      </c>
      <c r="BS475" s="139" t="str">
        <f aca="false">IF($BX475&lt;&gt;Constants!$B$6,"",Constants!$B$16+SUM($BN475:$BR475))</f>
        <v/>
      </c>
      <c r="BT475" s="138" t="str">
        <f aca="false">IF($BX475&lt;&gt;Constants!$B$6,"",$BN475)</f>
        <v/>
      </c>
      <c r="BU475" s="138" t="str">
        <f aca="false">IF($BX475&lt;&gt;Constants!$B$6,"",$BO475)</f>
        <v/>
      </c>
      <c r="BV475" s="140" t="str">
        <f aca="false">IF($BX475&lt;&gt;Constants!$B$6,"",IF($AT475,$AV475,""))</f>
        <v/>
      </c>
      <c r="BW475" s="135" t="str">
        <f aca="false">IF(ISBLANK($C475),"",IF(ISBLANK($D$7),$BW$5,IF(NOT(ISNUMBER($D$7)),$BW$6,"")))</f>
        <v/>
      </c>
      <c r="BX475" s="135" t="str">
        <f aca="false">IF(ISBLANK($C475),"",IF($BA475,Constants!$B$9,IF(COUNTA($E475:$AA475)=0,Constants!$B$8,IF(NOT($AG475),Constants!$B$7,IF(OR($BW475&lt;&gt;"",$BB475,$BM475),Constants!$B$10,Constants!$B$6)))))</f>
        <v/>
      </c>
      <c r="BY475" s="135" t="str">
        <f aca="false">IF(ISBLANK($C475),"",IF($BX475&lt;&gt;Constants!$B$6,$BX475,Constants!$B$11))</f>
        <v/>
      </c>
      <c r="BZ475" s="138" t="str">
        <f aca="false">IF($BX475&lt;&gt;Constants!$B$6,"",IF($BL475="-&gt;",$BS475,$BH475))</f>
        <v/>
      </c>
      <c r="CA475" s="138" t="str">
        <f aca="false">IF($BX475&lt;&gt;Constants!$B$6,"",IF($AF475,0,Constants!$B$15))</f>
        <v/>
      </c>
      <c r="CB475" s="138" t="str">
        <f aca="false">IF($BX475&lt;&gt;Constants!$B$6,"",((Constants!$B$25-$AZ475)-Constants!$B$25)/Constants!$B$26)</f>
        <v/>
      </c>
      <c r="CC475" s="138" t="str">
        <f aca="false">IF(ISBLANK($C475),"",IF($BX475&lt;&gt;Constants!$B$6,$BX475,SUM($BZ475:$CB475)))</f>
        <v/>
      </c>
      <c r="CD475" s="135" t="str">
        <f aca="false">IF(ISBLANK($C475),"",IF($BX475&lt;&gt;Constants!$B$6,$BX475,RANK($CC475,$CC$9:$CC$508,1)))</f>
        <v/>
      </c>
      <c r="CE475" s="138" t="str">
        <f aca="false">IF($BX475&lt;&gt;Constants!$B$6,"",IF($BL475="-&gt;",$BT475,$BI475))</f>
        <v/>
      </c>
      <c r="CF475" s="135" t="str">
        <f aca="false">IF(ISBLANK($C475),"",IF($BX475&lt;&gt;Constants!$B$6,$BX475,IF(ISNUMBER($CE475),RANK($CE475,$CE$9:$CE$508,1),COUNT($CE$9:$CE$508)+1)))</f>
        <v/>
      </c>
      <c r="CG475" s="138" t="str">
        <f aca="false">IF($BX475&lt;&gt;Constants!$B$6,"",IF($BL475="-&gt;",$BU475,$BJ475))</f>
        <v/>
      </c>
      <c r="CH475" s="135" t="str">
        <f aca="false">IF(ISBLANK($C475),"",IF($BX475&lt;&gt;Constants!$B$6,$BX475,IF(ISNUMBER($CG475),RANK($CG475,$CG$9:$CG$508,1),COUNT($CG$9:$CG$508)+1)))</f>
        <v/>
      </c>
      <c r="CI475" s="138" t="str">
        <f aca="false">IF($BX475&lt;&gt;Constants!$B$6,"",IF($BL475="-&gt;",$BV475,$BK475))</f>
        <v/>
      </c>
      <c r="CJ475" s="135" t="str">
        <f aca="false">IF(ISBLANK($C475),"",IF($BX475&lt;&gt;Constants!$B$6,$BX475,IF(ISNUMBER($CI475),RANK($CI475,$CI$9:$CI$508,1),COUNT($CI$9:$CI$508)+1)))</f>
        <v/>
      </c>
      <c r="CK475" s="138" t="str">
        <f aca="false">IF($BX475&lt;&gt;Constants!$B$6,"",$AI475)</f>
        <v/>
      </c>
      <c r="CL475" s="135" t="str">
        <f aca="false">IF(ISBLANK($C475),"",IF($BX475&lt;&gt;Constants!$B$6,$BX475,IF(ISNUMBER($CK475),RANK($CK475,$CK$9:$CK$508,1),COUNT($CK$9:$CK$508)+1)))</f>
        <v/>
      </c>
      <c r="CM475" s="135" t="str">
        <f aca="false">IF(ISBLANK($C475),"",IF($BX475&lt;&gt;Constants!$B$6,$BX475,COUNTIFS($CD$9:$CD$508,"&lt;"&amp;$CD475)+COUNTIFS($CD$9:$CD$508,$CD475,$CF$9:$CF$508,"&lt;"&amp;$CF475)+COUNTIFS($CD$9:$CD$508,$CD475,$CF$9:$CF$508,$CF475,$CH$9:$CH$508,"&lt;"&amp;$CH475)+COUNTIFS($CD$9:$CD$508,$CD475,$CF$9:$CF$508,$CF475,$CH$9:$CH$508,$CH475,$CJ$9:$CJ$508,"&lt;"&amp;$CJ475)+COUNTIFS($CD$9:$CD$508,$CD475,$CF$9:$CF$508,$CF475,$CH$9:$CH$508,$CH475,$CJ$9:$CJ$508,$CJ475,$CL$9:$CL$508,"&lt;"&amp;$CL475)+1))</f>
        <v/>
      </c>
      <c r="CN475" s="135" t="str">
        <f aca="false">IF(ISBLANK($C475),"",IF($BX475&lt;&gt;Constants!$B$6,$BX475,$CD475-$CM475))</f>
        <v/>
      </c>
      <c r="CO475" s="141"/>
      <c r="CP475" s="142"/>
      <c r="CQ475" s="143" t="str">
        <f aca="false">IF(ISBLANK($C475),"",IF($BX475=Constants!$B$10,$BW475,""))</f>
        <v/>
      </c>
      <c r="CR475" s="142" t="str">
        <f aca="false">IF(ISBLANK($C475),"",IF($BX475&lt;&gt;Constants!$B$6,"",IF($BL475="-&gt;",2,1)))</f>
        <v/>
      </c>
      <c r="CS475" s="144" t="str">
        <f aca="false">IF(ISBLANK($C475),"",IF($BX475&lt;&gt;Constants!$B$6,"",IF($BL475="-&gt;",$BN475,$BC475)))</f>
        <v/>
      </c>
      <c r="CT475" s="144" t="str">
        <f aca="false">IF(ISBLANK($C475),"",IF($BX475&lt;&gt;Constants!$B$6,"",IF($BL475="-&gt;",$BO475,$BD475)))</f>
        <v/>
      </c>
      <c r="CU475" s="144" t="str">
        <f aca="false">IF(ISBLANK($C475),"",IF($BX475&lt;&gt;Constants!$B$6,"",IF($BL475="-&gt;",$BP475+$BQ475,$BE475+$BF475)+$CB475))</f>
        <v/>
      </c>
      <c r="CV475" s="144" t="str">
        <f aca="false">IF(ISBLANK($C475),"",IF($BX475&lt;&gt;Constants!$B$6,"",IF($BL475="-&gt;",$BR475,$BG475)+$CA475))</f>
        <v/>
      </c>
      <c r="CW475" s="145" t="str">
        <f aca="false">IF(ISBLANK($C475),"",IF($BX475&lt;&gt;Constants!$B$6,$BX475,$CC475))</f>
        <v/>
      </c>
      <c r="CX475" s="146" t="str">
        <f aca="false">IF(ISBLANK($C475),"",$BY475)</f>
        <v/>
      </c>
      <c r="CY475" s="147" t="str">
        <f aca="false">IF(ISBLANK($C475),"",$CN475)</f>
        <v/>
      </c>
      <c r="CZ475" s="147" t="str">
        <f aca="false">IF(ISBLANK($C475),"",$CM475)</f>
        <v/>
      </c>
      <c r="DA475" s="148" t="str">
        <f aca="false">IF(ISBLANK($C475),"",IFERROR(_xlfn.SWITCH($CZ475,Constants!$B$9,COUNTA($C$9:$C$508)+2,Constants!$B$8,COUNTA($C$9:$C$508)+1,Constants!$B$7,COUNTA($C$9:$C$508)),$CZ475))</f>
        <v/>
      </c>
      <c r="DB475" s="9"/>
      <c r="DC475" s="149" t="n">
        <f aca="false">IF(OR(ISNUMBER($CZ475),$CZ475=Constants!$B$9,$CZ475=Constants!$B$7,$CZ475=Constants!$B$8),1,0)</f>
        <v>0</v>
      </c>
      <c r="DD475" s="149" t="n">
        <v>467</v>
      </c>
      <c r="DE475" s="149" t="str">
        <f aca="false">IF(ISBLANK($C475),"",IF(ISNUMBER($DA475),$DA475+ROW($B475)/1000,""))</f>
        <v/>
      </c>
      <c r="DF475" s="149" t="str">
        <f aca="false">IF(ISNUMBER($DE475),RANK($DE475,$DE$9:$DE$508,1),"")</f>
        <v/>
      </c>
      <c r="DG475" s="149" t="str">
        <f aca="false">IF(ISBLANK($C475),"",$B475)</f>
        <v/>
      </c>
      <c r="DH475" s="149" t="str">
        <f aca="false">IF(ISBLANK($C475),"",$C475)</f>
        <v/>
      </c>
      <c r="DI475" s="149" t="str">
        <f aca="false">IF(ISBLANK($C475),"",$D475)</f>
        <v/>
      </c>
      <c r="DJ475" s="150" t="str">
        <f aca="false">$CX475</f>
        <v/>
      </c>
      <c r="DK475" s="151" t="str">
        <f aca="false">$CW475</f>
        <v/>
      </c>
      <c r="DL475" s="149" t="str">
        <f aca="false">IF(ISBLANK($C475),"",$CZ475)</f>
        <v/>
      </c>
      <c r="DM475" s="152" t="str">
        <f aca="false">IF($DD475&gt;$DC$8,"",VLOOKUP($DD475,$DF$9:$DL$508,7,FALSE()))</f>
        <v/>
      </c>
      <c r="DN475" s="153" t="str">
        <f aca="false">IF($DD475&gt;$DC$8,"",VLOOKUP($DD475,$DF$9:$DL$508,2,FALSE()))</f>
        <v/>
      </c>
      <c r="DO475" s="153" t="str">
        <f aca="false">IF($DD475&gt;$DC$8,"",VLOOKUP($DD475,$DF$9:$DL$508,3,FALSE()))</f>
        <v/>
      </c>
      <c r="DP475" s="153" t="str">
        <f aca="false">IF($DD475&gt;$DC$8,"",VLOOKUP($DD475,$DF$9:$DL$508,4,FALSE()))</f>
        <v/>
      </c>
      <c r="DQ475" s="153" t="str">
        <f aca="false">IF($DD475&gt;$DC$8,"",VLOOKUP($DD475,$DF$9:$DL$508,5,FALSE()))</f>
        <v/>
      </c>
      <c r="DR475" s="154" t="str">
        <f aca="false">IF($DD475&gt;$DC$8,"",VLOOKUP($DD475,$DF$9:$DL$508,6,FALSE()))</f>
        <v/>
      </c>
      <c r="DS475" s="76"/>
    </row>
    <row r="476" customFormat="false" ht="15.75" hidden="false" customHeight="false" outlineLevel="0" collapsed="false">
      <c r="A476" s="9"/>
      <c r="B476" s="160"/>
      <c r="C476" s="161"/>
      <c r="D476" s="162"/>
      <c r="E476" s="180"/>
      <c r="F476" s="164"/>
      <c r="G476" s="165"/>
      <c r="H476" s="165"/>
      <c r="I476" s="181"/>
      <c r="J476" s="168"/>
      <c r="K476" s="128"/>
      <c r="L476" s="129"/>
      <c r="M476" s="130"/>
      <c r="N476" s="168"/>
      <c r="O476" s="168"/>
      <c r="P476" s="180"/>
      <c r="Q476" s="168"/>
      <c r="R476" s="168"/>
      <c r="S476" s="128"/>
      <c r="T476" s="130"/>
      <c r="U476" s="130"/>
      <c r="V476" s="168"/>
      <c r="W476" s="168"/>
      <c r="X476" s="180"/>
      <c r="Y476" s="168"/>
      <c r="Z476" s="169"/>
      <c r="AA476" s="168"/>
      <c r="AB476" s="134"/>
      <c r="AC476" s="135"/>
      <c r="AD476" s="135"/>
      <c r="AE476" s="135"/>
      <c r="AF476" s="135" t="str">
        <f aca="false">IF(ISBLANK($C476),"",IF(E476=Constants!$B$2,TRUE(),IF(E476=Constants!$B$3,FALSE(),TRUE())))</f>
        <v/>
      </c>
      <c r="AG476" s="135" t="str">
        <f aca="false">IF(ISBLANK($C476),"",IF(F476=Constants!$B$2,TRUE(),IF(F476=Constants!$B$3,FALSE(),TRUE())))</f>
        <v/>
      </c>
      <c r="AH476" s="135" t="str">
        <f aca="false">IF(ISBLANK($C476),"",IF(G476=Constants!$B$2,TRUE(),IF(G476=Constants!$B$3,FALSE(),TRUE())))</f>
        <v/>
      </c>
      <c r="AI476" s="135" t="str">
        <f aca="false">IF(ISBLANK($C476),"",IF(AND(ISNUMBER(H476),H476&gt;=0),H476,Constants!$B$24))</f>
        <v/>
      </c>
      <c r="AJ476" s="135" t="str">
        <f aca="false">IF(ISBLANK($C476),"",IF(I476=Constants!$B$2,TRUE(),IF(I476=Constants!$B$3,FALSE(),TRUE())))</f>
        <v/>
      </c>
      <c r="AK476" s="135" t="str">
        <f aca="false">IF(ISBLANK($C476),"",IF(J476=Constants!$B$2,TRUE(),IF(J476=Constants!$B$3,FALSE(),TRUE())))</f>
        <v/>
      </c>
      <c r="AL476" s="135" t="str">
        <f aca="false">IF(ISBLANK($C476),"",IF(K476=Constants!$B$4,TRUE(),IF(K476=Constants!$B$5,FALSE(),COUNTA(L476:P476)&gt;0)))</f>
        <v/>
      </c>
      <c r="AM476" s="136" t="str">
        <f aca="false">IF(ISBLANK($C476),"",IF(ISNUMBER(L476),IF(L476&gt;=0,L476,""),""))</f>
        <v/>
      </c>
      <c r="AN476" s="137" t="str">
        <f aca="false">IF(ISBLANK($C476),"",IF(ISNUMBER(M476),IF(M476&gt;=0,M476,""),""))</f>
        <v/>
      </c>
      <c r="AO476" s="137" t="str">
        <f aca="false">IF(ISBLANK($C476),"",IF(N476=Constants!$B$2,TRUE(),IF(N476=Constants!$B$3,FALSE(),TRUE())))</f>
        <v/>
      </c>
      <c r="AP476" s="135" t="str">
        <f aca="false">IF(ISBLANK($C476),"",IF(ISNUMBER(O476),IF(O476&gt;=0,O476,""),""))</f>
        <v/>
      </c>
      <c r="AQ476" s="135" t="str">
        <f aca="false">IF(ISBLANK($C476),"",IF(P476=Constants!$B$2,TRUE(),IF(P476=Constants!$B$3,FALSE(),FALSE())))</f>
        <v/>
      </c>
      <c r="AR476" s="135" t="str">
        <f aca="false">IF(ISBLANK($C476),"",IF(Q476=Constants!$B$2,TRUE(),IF(Q476=Constants!$B$3,FALSE(),TRUE())))</f>
        <v/>
      </c>
      <c r="AS476" s="135" t="str">
        <f aca="false">IF(ISBLANK($C476),"",IF(R476=Constants!$B$2,TRUE(),IF(R476=Constants!$B$3,FALSE(),TRUE())))</f>
        <v/>
      </c>
      <c r="AT476" s="135" t="str">
        <f aca="false">IF(ISBLANK($C476),"",IF(S476=Constants!$B$4,TRUE(),IF(S476=Constants!$B$5,FALSE(),COUNTA(T476:X476)&gt;0)))</f>
        <v/>
      </c>
      <c r="AU476" s="136" t="str">
        <f aca="false">IF(ISBLANK($C476),"",IF(ISNUMBER(T476),IF(T476&gt;=0,T476,""),""))</f>
        <v/>
      </c>
      <c r="AV476" s="137" t="str">
        <f aca="false">IF(ISBLANK($C476),"",IF(ISNUMBER(U476),IF(U476&gt;=0,U476,""),""))</f>
        <v/>
      </c>
      <c r="AW476" s="137" t="str">
        <f aca="false">IF(ISBLANK($C476),"",IF(V476=Constants!$B$2,TRUE(),IF(V476=Constants!$B$3,FALSE(),TRUE())))</f>
        <v/>
      </c>
      <c r="AX476" s="135" t="str">
        <f aca="false">IF(ISBLANK($C476),"",IF(ISNUMBER(W476),IF(W476&gt;=0,W476,""),""))</f>
        <v/>
      </c>
      <c r="AY476" s="135" t="str">
        <f aca="false">IF(ISBLANK($C476),"",IF(X476=Constants!$B$2,TRUE(),IF(X476=Constants!$B$3,FALSE(),FALSE())))</f>
        <v/>
      </c>
      <c r="AZ476" s="135" t="str">
        <f aca="false">IF(ISBLANK($C476),"",MIN(Constants!$B$25,MAX(0,IF(ISNUMBER(Y476),Y476*60,0)+IF(ISNUMBER(Z476),Z476,0))))</f>
        <v/>
      </c>
      <c r="BA476" s="135" t="str">
        <f aca="false">IF(ISBLANK($C476),"",IF(AA476=Constants!$B$2,TRUE(),IF(AA476=Constants!$B$3,FALSE(),FALSE())))</f>
        <v/>
      </c>
      <c r="BB476" s="134" t="str">
        <f aca="false">IF(ISBLANK($C476),"",AND($AL476,OR($AM476="",$AN476="",AND($AO476,$AP476=""))))</f>
        <v/>
      </c>
      <c r="BC476" s="137" t="str">
        <f aca="false">IF($BX476&lt;&gt;Constants!$B$6,"",IF($AL476,Constants!$B$17*$AN476+Constants!$B$18*IF($AO476,$AP476,Constants!$B$19),Constants!$B$20))</f>
        <v/>
      </c>
      <c r="BD476" s="138" t="str">
        <f aca="false">IF($BX476&lt;&gt;Constants!$B$6,"",Constants!$B$21*ABS($AD$9-IF($AL476,$AM476,0)))</f>
        <v/>
      </c>
      <c r="BE476" s="138" t="str">
        <f aca="false">IF($BX476&lt;&gt;Constants!$B$6,"",IF(AND($AL476,$AQ476,$AO476),Constants!$B$22,0))</f>
        <v/>
      </c>
      <c r="BF476" s="138" t="str">
        <f aca="false">IF($BX476&lt;&gt;Constants!$B$6,"",IF($AL476,($AI476-Constants!$B$24)*Constants!$B$23,0))</f>
        <v/>
      </c>
      <c r="BG476" s="138" t="str">
        <f aca="false">IF($BX476&lt;&gt;Constants!$B$6,"",IF($AK476,0,Constants!$B$12)+IF($AJ476,0,Constants!$B$13)+IF($AH476,0,Constants!$B$14))</f>
        <v/>
      </c>
      <c r="BH476" s="139" t="str">
        <f aca="false">IF($BX476&lt;&gt;Constants!$B$6,"",Constants!$B$16+SUM($BC476:$BG476))</f>
        <v/>
      </c>
      <c r="BI476" s="138" t="str">
        <f aca="false">IF($BX476&lt;&gt;Constants!$B$6,"",$BC476)</f>
        <v/>
      </c>
      <c r="BJ476" s="138" t="str">
        <f aca="false">IF($BX476&lt;&gt;Constants!$B$6,"",$BD476)</f>
        <v/>
      </c>
      <c r="BK476" s="140" t="str">
        <f aca="false">IF($BX476&lt;&gt;Constants!$B$6,"",IF($AL476,$AN476,""))</f>
        <v/>
      </c>
      <c r="BL476" s="135" t="str">
        <f aca="false">IF($BX476&lt;&gt;Constants!$B$6,"",IF(OR($BS476&lt;$BH476,AND($BS476=$BH476,OR($BT476&lt;$BI476,AND($BT476=$BI476,OR($BU476&lt;$BJ476,AND($BU476=$BJ476,AND(ISNUMBER($BV476),OR(NOT(ISNUMBER($BK476)),$BV476&lt;$BK476)))))))),"-&gt;","&lt;-"))</f>
        <v/>
      </c>
      <c r="BM476" s="134" t="str">
        <f aca="false">IF(ISBLANK($C476),"",AND($AT476,OR($AU476="",$AV476="",AND($AW476,$AX476=""))))</f>
        <v/>
      </c>
      <c r="BN476" s="137" t="str">
        <f aca="false">IF($BX476&lt;&gt;Constants!$B$6,"",IF($AT476,Constants!$B$17*$AV476+Constants!$B$18*IF($AW476,$AX476,Constants!$B$19),Constants!$B$20))</f>
        <v/>
      </c>
      <c r="BO476" s="138" t="str">
        <f aca="false">IF($BX476&lt;&gt;Constants!$B$6,"",Constants!$B$21*ABS($AD$9-IF($AT476,$AU476,0)))</f>
        <v/>
      </c>
      <c r="BP476" s="138" t="str">
        <f aca="false">IF($BX476&lt;&gt;Constants!$B$6,"",IF(AND($AT476,$AY476,$AW476),Constants!$B$22,0))</f>
        <v/>
      </c>
      <c r="BQ476" s="138" t="str">
        <f aca="false">IF($BX476&lt;&gt;Constants!$B$6,"",IF($AT476,($AI476-Constants!$B$24)*Constants!$B$23,0))</f>
        <v/>
      </c>
      <c r="BR476" s="138" t="str">
        <f aca="false">IF($BX476&lt;&gt;Constants!$B$6,"",IF($AS476,0,Constants!$B$12)+IF($AR476,0,Constants!$B$13)+IF($AH476,0,Constants!$B$14))</f>
        <v/>
      </c>
      <c r="BS476" s="139" t="str">
        <f aca="false">IF($BX476&lt;&gt;Constants!$B$6,"",Constants!$B$16+SUM($BN476:$BR476))</f>
        <v/>
      </c>
      <c r="BT476" s="138" t="str">
        <f aca="false">IF($BX476&lt;&gt;Constants!$B$6,"",$BN476)</f>
        <v/>
      </c>
      <c r="BU476" s="138" t="str">
        <f aca="false">IF($BX476&lt;&gt;Constants!$B$6,"",$BO476)</f>
        <v/>
      </c>
      <c r="BV476" s="140" t="str">
        <f aca="false">IF($BX476&lt;&gt;Constants!$B$6,"",IF($AT476,$AV476,""))</f>
        <v/>
      </c>
      <c r="BW476" s="135" t="str">
        <f aca="false">IF(ISBLANK($C476),"",IF(ISBLANK($D$7),$BW$5,IF(NOT(ISNUMBER($D$7)),$BW$6,"")))</f>
        <v/>
      </c>
      <c r="BX476" s="135" t="str">
        <f aca="false">IF(ISBLANK($C476),"",IF($BA476,Constants!$B$9,IF(COUNTA($E476:$AA476)=0,Constants!$B$8,IF(NOT($AG476),Constants!$B$7,IF(OR($BW476&lt;&gt;"",$BB476,$BM476),Constants!$B$10,Constants!$B$6)))))</f>
        <v/>
      </c>
      <c r="BY476" s="135" t="str">
        <f aca="false">IF(ISBLANK($C476),"",IF($BX476&lt;&gt;Constants!$B$6,$BX476,Constants!$B$11))</f>
        <v/>
      </c>
      <c r="BZ476" s="138" t="str">
        <f aca="false">IF($BX476&lt;&gt;Constants!$B$6,"",IF($BL476="-&gt;",$BS476,$BH476))</f>
        <v/>
      </c>
      <c r="CA476" s="138" t="str">
        <f aca="false">IF($BX476&lt;&gt;Constants!$B$6,"",IF($AF476,0,Constants!$B$15))</f>
        <v/>
      </c>
      <c r="CB476" s="138" t="str">
        <f aca="false">IF($BX476&lt;&gt;Constants!$B$6,"",((Constants!$B$25-$AZ476)-Constants!$B$25)/Constants!$B$26)</f>
        <v/>
      </c>
      <c r="CC476" s="138" t="str">
        <f aca="false">IF(ISBLANK($C476),"",IF($BX476&lt;&gt;Constants!$B$6,$BX476,SUM($BZ476:$CB476)))</f>
        <v/>
      </c>
      <c r="CD476" s="135" t="str">
        <f aca="false">IF(ISBLANK($C476),"",IF($BX476&lt;&gt;Constants!$B$6,$BX476,RANK($CC476,$CC$9:$CC$508,1)))</f>
        <v/>
      </c>
      <c r="CE476" s="138" t="str">
        <f aca="false">IF($BX476&lt;&gt;Constants!$B$6,"",IF($BL476="-&gt;",$BT476,$BI476))</f>
        <v/>
      </c>
      <c r="CF476" s="135" t="str">
        <f aca="false">IF(ISBLANK($C476),"",IF($BX476&lt;&gt;Constants!$B$6,$BX476,IF(ISNUMBER($CE476),RANK($CE476,$CE$9:$CE$508,1),COUNT($CE$9:$CE$508)+1)))</f>
        <v/>
      </c>
      <c r="CG476" s="138" t="str">
        <f aca="false">IF($BX476&lt;&gt;Constants!$B$6,"",IF($BL476="-&gt;",$BU476,$BJ476))</f>
        <v/>
      </c>
      <c r="CH476" s="135" t="str">
        <f aca="false">IF(ISBLANK($C476),"",IF($BX476&lt;&gt;Constants!$B$6,$BX476,IF(ISNUMBER($CG476),RANK($CG476,$CG$9:$CG$508,1),COUNT($CG$9:$CG$508)+1)))</f>
        <v/>
      </c>
      <c r="CI476" s="138" t="str">
        <f aca="false">IF($BX476&lt;&gt;Constants!$B$6,"",IF($BL476="-&gt;",$BV476,$BK476))</f>
        <v/>
      </c>
      <c r="CJ476" s="135" t="str">
        <f aca="false">IF(ISBLANK($C476),"",IF($BX476&lt;&gt;Constants!$B$6,$BX476,IF(ISNUMBER($CI476),RANK($CI476,$CI$9:$CI$508,1),COUNT($CI$9:$CI$508)+1)))</f>
        <v/>
      </c>
      <c r="CK476" s="138" t="str">
        <f aca="false">IF($BX476&lt;&gt;Constants!$B$6,"",$AI476)</f>
        <v/>
      </c>
      <c r="CL476" s="135" t="str">
        <f aca="false">IF(ISBLANK($C476),"",IF($BX476&lt;&gt;Constants!$B$6,$BX476,IF(ISNUMBER($CK476),RANK($CK476,$CK$9:$CK$508,1),COUNT($CK$9:$CK$508)+1)))</f>
        <v/>
      </c>
      <c r="CM476" s="135" t="str">
        <f aca="false">IF(ISBLANK($C476),"",IF($BX476&lt;&gt;Constants!$B$6,$BX476,COUNTIFS($CD$9:$CD$508,"&lt;"&amp;$CD476)+COUNTIFS($CD$9:$CD$508,$CD476,$CF$9:$CF$508,"&lt;"&amp;$CF476)+COUNTIFS($CD$9:$CD$508,$CD476,$CF$9:$CF$508,$CF476,$CH$9:$CH$508,"&lt;"&amp;$CH476)+COUNTIFS($CD$9:$CD$508,$CD476,$CF$9:$CF$508,$CF476,$CH$9:$CH$508,$CH476,$CJ$9:$CJ$508,"&lt;"&amp;$CJ476)+COUNTIFS($CD$9:$CD$508,$CD476,$CF$9:$CF$508,$CF476,$CH$9:$CH$508,$CH476,$CJ$9:$CJ$508,$CJ476,$CL$9:$CL$508,"&lt;"&amp;$CL476)+1))</f>
        <v/>
      </c>
      <c r="CN476" s="135" t="str">
        <f aca="false">IF(ISBLANK($C476),"",IF($BX476&lt;&gt;Constants!$B$6,$BX476,$CD476-$CM476))</f>
        <v/>
      </c>
      <c r="CO476" s="141"/>
      <c r="CP476" s="142"/>
      <c r="CQ476" s="143" t="str">
        <f aca="false">IF(ISBLANK($C476),"",IF($BX476=Constants!$B$10,$BW476,""))</f>
        <v/>
      </c>
      <c r="CR476" s="142" t="str">
        <f aca="false">IF(ISBLANK($C476),"",IF($BX476&lt;&gt;Constants!$B$6,"",IF($BL476="-&gt;",2,1)))</f>
        <v/>
      </c>
      <c r="CS476" s="144" t="str">
        <f aca="false">IF(ISBLANK($C476),"",IF($BX476&lt;&gt;Constants!$B$6,"",IF($BL476="-&gt;",$BN476,$BC476)))</f>
        <v/>
      </c>
      <c r="CT476" s="144" t="str">
        <f aca="false">IF(ISBLANK($C476),"",IF($BX476&lt;&gt;Constants!$B$6,"",IF($BL476="-&gt;",$BO476,$BD476)))</f>
        <v/>
      </c>
      <c r="CU476" s="144" t="str">
        <f aca="false">IF(ISBLANK($C476),"",IF($BX476&lt;&gt;Constants!$B$6,"",IF($BL476="-&gt;",$BP476+$BQ476,$BE476+$BF476)+$CB476))</f>
        <v/>
      </c>
      <c r="CV476" s="144" t="str">
        <f aca="false">IF(ISBLANK($C476),"",IF($BX476&lt;&gt;Constants!$B$6,"",IF($BL476="-&gt;",$BR476,$BG476)+$CA476))</f>
        <v/>
      </c>
      <c r="CW476" s="145" t="str">
        <f aca="false">IF(ISBLANK($C476),"",IF($BX476&lt;&gt;Constants!$B$6,$BX476,$CC476))</f>
        <v/>
      </c>
      <c r="CX476" s="146" t="str">
        <f aca="false">IF(ISBLANK($C476),"",$BY476)</f>
        <v/>
      </c>
      <c r="CY476" s="147" t="str">
        <f aca="false">IF(ISBLANK($C476),"",$CN476)</f>
        <v/>
      </c>
      <c r="CZ476" s="147" t="str">
        <f aca="false">IF(ISBLANK($C476),"",$CM476)</f>
        <v/>
      </c>
      <c r="DA476" s="148" t="str">
        <f aca="false">IF(ISBLANK($C476),"",IFERROR(_xlfn.SWITCH($CZ476,Constants!$B$9,COUNTA($C$9:$C$508)+2,Constants!$B$8,COUNTA($C$9:$C$508)+1,Constants!$B$7,COUNTA($C$9:$C$508)),$CZ476))</f>
        <v/>
      </c>
      <c r="DB476" s="9"/>
      <c r="DC476" s="149" t="n">
        <f aca="false">IF(OR(ISNUMBER($CZ476),$CZ476=Constants!$B$9,$CZ476=Constants!$B$7,$CZ476=Constants!$B$8),1,0)</f>
        <v>0</v>
      </c>
      <c r="DD476" s="149" t="n">
        <v>468</v>
      </c>
      <c r="DE476" s="149" t="str">
        <f aca="false">IF(ISBLANK($C476),"",IF(ISNUMBER($DA476),$DA476+ROW($B476)/1000,""))</f>
        <v/>
      </c>
      <c r="DF476" s="149" t="str">
        <f aca="false">IF(ISNUMBER($DE476),RANK($DE476,$DE$9:$DE$508,1),"")</f>
        <v/>
      </c>
      <c r="DG476" s="149" t="str">
        <f aca="false">IF(ISBLANK($C476),"",$B476)</f>
        <v/>
      </c>
      <c r="DH476" s="149" t="str">
        <f aca="false">IF(ISBLANK($C476),"",$C476)</f>
        <v/>
      </c>
      <c r="DI476" s="149" t="str">
        <f aca="false">IF(ISBLANK($C476),"",$D476)</f>
        <v/>
      </c>
      <c r="DJ476" s="150" t="str">
        <f aca="false">$CX476</f>
        <v/>
      </c>
      <c r="DK476" s="151" t="str">
        <f aca="false">$CW476</f>
        <v/>
      </c>
      <c r="DL476" s="149" t="str">
        <f aca="false">IF(ISBLANK($C476),"",$CZ476)</f>
        <v/>
      </c>
      <c r="DM476" s="152" t="str">
        <f aca="false">IF($DD476&gt;$DC$8,"",VLOOKUP($DD476,$DF$9:$DL$508,7,FALSE()))</f>
        <v/>
      </c>
      <c r="DN476" s="153" t="str">
        <f aca="false">IF($DD476&gt;$DC$8,"",VLOOKUP($DD476,$DF$9:$DL$508,2,FALSE()))</f>
        <v/>
      </c>
      <c r="DO476" s="153" t="str">
        <f aca="false">IF($DD476&gt;$DC$8,"",VLOOKUP($DD476,$DF$9:$DL$508,3,FALSE()))</f>
        <v/>
      </c>
      <c r="DP476" s="153" t="str">
        <f aca="false">IF($DD476&gt;$DC$8,"",VLOOKUP($DD476,$DF$9:$DL$508,4,FALSE()))</f>
        <v/>
      </c>
      <c r="DQ476" s="153" t="str">
        <f aca="false">IF($DD476&gt;$DC$8,"",VLOOKUP($DD476,$DF$9:$DL$508,5,FALSE()))</f>
        <v/>
      </c>
      <c r="DR476" s="154" t="str">
        <f aca="false">IF($DD476&gt;$DC$8,"",VLOOKUP($DD476,$DF$9:$DL$508,6,FALSE()))</f>
        <v/>
      </c>
      <c r="DS476" s="76"/>
    </row>
    <row r="477" customFormat="false" ht="15.75" hidden="false" customHeight="false" outlineLevel="0" collapsed="false">
      <c r="A477" s="9"/>
      <c r="B477" s="78"/>
      <c r="C477" s="79"/>
      <c r="D477" s="170"/>
      <c r="E477" s="178"/>
      <c r="F477" s="172"/>
      <c r="G477" s="173"/>
      <c r="H477" s="173"/>
      <c r="I477" s="179"/>
      <c r="J477" s="176"/>
      <c r="K477" s="86"/>
      <c r="L477" s="87"/>
      <c r="M477" s="88"/>
      <c r="N477" s="176"/>
      <c r="O477" s="176"/>
      <c r="P477" s="178"/>
      <c r="Q477" s="176"/>
      <c r="R477" s="176"/>
      <c r="S477" s="86"/>
      <c r="T477" s="88"/>
      <c r="U477" s="88"/>
      <c r="V477" s="176"/>
      <c r="W477" s="176"/>
      <c r="X477" s="178"/>
      <c r="Y477" s="176"/>
      <c r="Z477" s="177"/>
      <c r="AA477" s="176"/>
      <c r="AB477" s="92"/>
      <c r="AC477" s="93"/>
      <c r="AD477" s="93"/>
      <c r="AE477" s="93"/>
      <c r="AF477" s="93" t="str">
        <f aca="false">IF(ISBLANK($C477),"",IF(E477=Constants!$B$2,TRUE(),IF(E477=Constants!$B$3,FALSE(),TRUE())))</f>
        <v/>
      </c>
      <c r="AG477" s="93" t="str">
        <f aca="false">IF(ISBLANK($C477),"",IF(F477=Constants!$B$2,TRUE(),IF(F477=Constants!$B$3,FALSE(),TRUE())))</f>
        <v/>
      </c>
      <c r="AH477" s="93" t="str">
        <f aca="false">IF(ISBLANK($C477),"",IF(G477=Constants!$B$2,TRUE(),IF(G477=Constants!$B$3,FALSE(),TRUE())))</f>
        <v/>
      </c>
      <c r="AI477" s="93" t="str">
        <f aca="false">IF(ISBLANK($C477),"",IF(AND(ISNUMBER(H477),H477&gt;=0),H477,Constants!$B$24))</f>
        <v/>
      </c>
      <c r="AJ477" s="93" t="str">
        <f aca="false">IF(ISBLANK($C477),"",IF(I477=Constants!$B$2,TRUE(),IF(I477=Constants!$B$3,FALSE(),TRUE())))</f>
        <v/>
      </c>
      <c r="AK477" s="93" t="str">
        <f aca="false">IF(ISBLANK($C477),"",IF(J477=Constants!$B$2,TRUE(),IF(J477=Constants!$B$3,FALSE(),TRUE())))</f>
        <v/>
      </c>
      <c r="AL477" s="93" t="str">
        <f aca="false">IF(ISBLANK($C477),"",IF(K477=Constants!$B$4,TRUE(),IF(K477=Constants!$B$5,FALSE(),COUNTA(L477:P477)&gt;0)))</f>
        <v/>
      </c>
      <c r="AM477" s="95" t="str">
        <f aca="false">IF(ISBLANK($C477),"",IF(ISNUMBER(L477),IF(L477&gt;=0,L477,""),""))</f>
        <v/>
      </c>
      <c r="AN477" s="94" t="str">
        <f aca="false">IF(ISBLANK($C477),"",IF(ISNUMBER(M477),IF(M477&gt;=0,M477,""),""))</f>
        <v/>
      </c>
      <c r="AO477" s="94" t="str">
        <f aca="false">IF(ISBLANK($C477),"",IF(N477=Constants!$B$2,TRUE(),IF(N477=Constants!$B$3,FALSE(),TRUE())))</f>
        <v/>
      </c>
      <c r="AP477" s="93" t="str">
        <f aca="false">IF(ISBLANK($C477),"",IF(ISNUMBER(O477),IF(O477&gt;=0,O477,""),""))</f>
        <v/>
      </c>
      <c r="AQ477" s="93" t="str">
        <f aca="false">IF(ISBLANK($C477),"",IF(P477=Constants!$B$2,TRUE(),IF(P477=Constants!$B$3,FALSE(),FALSE())))</f>
        <v/>
      </c>
      <c r="AR477" s="93" t="str">
        <f aca="false">IF(ISBLANK($C477),"",IF(Q477=Constants!$B$2,TRUE(),IF(Q477=Constants!$B$3,FALSE(),TRUE())))</f>
        <v/>
      </c>
      <c r="AS477" s="93" t="str">
        <f aca="false">IF(ISBLANK($C477),"",IF(R477=Constants!$B$2,TRUE(),IF(R477=Constants!$B$3,FALSE(),TRUE())))</f>
        <v/>
      </c>
      <c r="AT477" s="93" t="str">
        <f aca="false">IF(ISBLANK($C477),"",IF(S477=Constants!$B$4,TRUE(),IF(S477=Constants!$B$5,FALSE(),COUNTA(T477:X477)&gt;0)))</f>
        <v/>
      </c>
      <c r="AU477" s="95" t="str">
        <f aca="false">IF(ISBLANK($C477),"",IF(ISNUMBER(T477),IF(T477&gt;=0,T477,""),""))</f>
        <v/>
      </c>
      <c r="AV477" s="94" t="str">
        <f aca="false">IF(ISBLANK($C477),"",IF(ISNUMBER(U477),IF(U477&gt;=0,U477,""),""))</f>
        <v/>
      </c>
      <c r="AW477" s="94" t="str">
        <f aca="false">IF(ISBLANK($C477),"",IF(V477=Constants!$B$2,TRUE(),IF(V477=Constants!$B$3,FALSE(),TRUE())))</f>
        <v/>
      </c>
      <c r="AX477" s="93" t="str">
        <f aca="false">IF(ISBLANK($C477),"",IF(ISNUMBER(W477),IF(W477&gt;=0,W477,""),""))</f>
        <v/>
      </c>
      <c r="AY477" s="93" t="str">
        <f aca="false">IF(ISBLANK($C477),"",IF(X477=Constants!$B$2,TRUE(),IF(X477=Constants!$B$3,FALSE(),FALSE())))</f>
        <v/>
      </c>
      <c r="AZ477" s="93" t="str">
        <f aca="false">IF(ISBLANK($C477),"",MIN(Constants!$B$25,MAX(0,IF(ISNUMBER(Y477),Y477*60,0)+IF(ISNUMBER(Z477),Z477,0))))</f>
        <v/>
      </c>
      <c r="BA477" s="93" t="str">
        <f aca="false">IF(ISBLANK($C477),"",IF(AA477=Constants!$B$2,TRUE(),IF(AA477=Constants!$B$3,FALSE(),FALSE())))</f>
        <v/>
      </c>
      <c r="BB477" s="92" t="str">
        <f aca="false">IF(ISBLANK($C477),"",AND($AL477,OR($AM477="",$AN477="",AND($AO477,$AP477=""))))</f>
        <v/>
      </c>
      <c r="BC477" s="94" t="str">
        <f aca="false">IF($BX477&lt;&gt;Constants!$B$6,"",IF($AL477,Constants!$B$17*$AN477+Constants!$B$18*IF($AO477,$AP477,Constants!$B$19),Constants!$B$20))</f>
        <v/>
      </c>
      <c r="BD477" s="97" t="str">
        <f aca="false">IF($BX477&lt;&gt;Constants!$B$6,"",Constants!$B$21*ABS($AD$9-IF($AL477,$AM477,0)))</f>
        <v/>
      </c>
      <c r="BE477" s="97" t="str">
        <f aca="false">IF($BX477&lt;&gt;Constants!$B$6,"",IF(AND($AL477,$AQ477,$AO477),Constants!$B$22,0))</f>
        <v/>
      </c>
      <c r="BF477" s="97" t="str">
        <f aca="false">IF($BX477&lt;&gt;Constants!$B$6,"",IF($AL477,($AI477-Constants!$B$24)*Constants!$B$23,0))</f>
        <v/>
      </c>
      <c r="BG477" s="97" t="str">
        <f aca="false">IF($BX477&lt;&gt;Constants!$B$6,"",IF($AK477,0,Constants!$B$12)+IF($AJ477,0,Constants!$B$13)+IF($AH477,0,Constants!$B$14))</f>
        <v/>
      </c>
      <c r="BH477" s="98" t="str">
        <f aca="false">IF($BX477&lt;&gt;Constants!$B$6,"",Constants!$B$16+SUM($BC477:$BG477))</f>
        <v/>
      </c>
      <c r="BI477" s="97" t="str">
        <f aca="false">IF($BX477&lt;&gt;Constants!$B$6,"",$BC477)</f>
        <v/>
      </c>
      <c r="BJ477" s="97" t="str">
        <f aca="false">IF($BX477&lt;&gt;Constants!$B$6,"",$BD477)</f>
        <v/>
      </c>
      <c r="BK477" s="99" t="str">
        <f aca="false">IF($BX477&lt;&gt;Constants!$B$6,"",IF($AL477,$AN477,""))</f>
        <v/>
      </c>
      <c r="BL477" s="93" t="str">
        <f aca="false">IF($BX477&lt;&gt;Constants!$B$6,"",IF(OR($BS477&lt;$BH477,AND($BS477=$BH477,OR($BT477&lt;$BI477,AND($BT477=$BI477,OR($BU477&lt;$BJ477,AND($BU477=$BJ477,AND(ISNUMBER($BV477),OR(NOT(ISNUMBER($BK477)),$BV477&lt;$BK477)))))))),"-&gt;","&lt;-"))</f>
        <v/>
      </c>
      <c r="BM477" s="92" t="str">
        <f aca="false">IF(ISBLANK($C477),"",AND($AT477,OR($AU477="",$AV477="",AND($AW477,$AX477=""))))</f>
        <v/>
      </c>
      <c r="BN477" s="94" t="str">
        <f aca="false">IF($BX477&lt;&gt;Constants!$B$6,"",IF($AT477,Constants!$B$17*$AV477+Constants!$B$18*IF($AW477,$AX477,Constants!$B$19),Constants!$B$20))</f>
        <v/>
      </c>
      <c r="BO477" s="97" t="str">
        <f aca="false">IF($BX477&lt;&gt;Constants!$B$6,"",Constants!$B$21*ABS($AD$9-IF($AT477,$AU477,0)))</f>
        <v/>
      </c>
      <c r="BP477" s="97" t="str">
        <f aca="false">IF($BX477&lt;&gt;Constants!$B$6,"",IF(AND($AT477,$AY477,$AW477),Constants!$B$22,0))</f>
        <v/>
      </c>
      <c r="BQ477" s="97" t="str">
        <f aca="false">IF($BX477&lt;&gt;Constants!$B$6,"",IF($AT477,($AI477-Constants!$B$24)*Constants!$B$23,0))</f>
        <v/>
      </c>
      <c r="BR477" s="97" t="str">
        <f aca="false">IF($BX477&lt;&gt;Constants!$B$6,"",IF($AS477,0,Constants!$B$12)+IF($AR477,0,Constants!$B$13)+IF($AH477,0,Constants!$B$14))</f>
        <v/>
      </c>
      <c r="BS477" s="98" t="str">
        <f aca="false">IF($BX477&lt;&gt;Constants!$B$6,"",Constants!$B$16+SUM($BN477:$BR477))</f>
        <v/>
      </c>
      <c r="BT477" s="97" t="str">
        <f aca="false">IF($BX477&lt;&gt;Constants!$B$6,"",$BN477)</f>
        <v/>
      </c>
      <c r="BU477" s="97" t="str">
        <f aca="false">IF($BX477&lt;&gt;Constants!$B$6,"",$BO477)</f>
        <v/>
      </c>
      <c r="BV477" s="99" t="str">
        <f aca="false">IF($BX477&lt;&gt;Constants!$B$6,"",IF($AT477,$AV477,""))</f>
        <v/>
      </c>
      <c r="BW477" s="93" t="str">
        <f aca="false">IF(ISBLANK($C477),"",IF(ISBLANK($D$7),$BW$5,IF(NOT(ISNUMBER($D$7)),$BW$6,"")))</f>
        <v/>
      </c>
      <c r="BX477" s="93" t="str">
        <f aca="false">IF(ISBLANK($C477),"",IF($BA477,Constants!$B$9,IF(COUNTA($E477:$AA477)=0,Constants!$B$8,IF(NOT($AG477),Constants!$B$7,IF(OR($BW477&lt;&gt;"",$BB477,$BM477),Constants!$B$10,Constants!$B$6)))))</f>
        <v/>
      </c>
      <c r="BY477" s="93" t="str">
        <f aca="false">IF(ISBLANK($C477),"",IF($BX477&lt;&gt;Constants!$B$6,$BX477,Constants!$B$11))</f>
        <v/>
      </c>
      <c r="BZ477" s="97" t="str">
        <f aca="false">IF($BX477&lt;&gt;Constants!$B$6,"",IF($BL477="-&gt;",$BS477,$BH477))</f>
        <v/>
      </c>
      <c r="CA477" s="97" t="str">
        <f aca="false">IF($BX477&lt;&gt;Constants!$B$6,"",IF($AF477,0,Constants!$B$15))</f>
        <v/>
      </c>
      <c r="CB477" s="97" t="str">
        <f aca="false">IF($BX477&lt;&gt;Constants!$B$6,"",((Constants!$B$25-$AZ477)-Constants!$B$25)/Constants!$B$26)</f>
        <v/>
      </c>
      <c r="CC477" s="97" t="str">
        <f aca="false">IF(ISBLANK($C477),"",IF($BX477&lt;&gt;Constants!$B$6,$BX477,SUM($BZ477:$CB477)))</f>
        <v/>
      </c>
      <c r="CD477" s="93" t="str">
        <f aca="false">IF(ISBLANK($C477),"",IF($BX477&lt;&gt;Constants!$B$6,$BX477,RANK($CC477,$CC$9:$CC$508,1)))</f>
        <v/>
      </c>
      <c r="CE477" s="97" t="str">
        <f aca="false">IF($BX477&lt;&gt;Constants!$B$6,"",IF($BL477="-&gt;",$BT477,$BI477))</f>
        <v/>
      </c>
      <c r="CF477" s="93" t="str">
        <f aca="false">IF(ISBLANK($C477),"",IF($BX477&lt;&gt;Constants!$B$6,$BX477,IF(ISNUMBER($CE477),RANK($CE477,$CE$9:$CE$508,1),COUNT($CE$9:$CE$508)+1)))</f>
        <v/>
      </c>
      <c r="CG477" s="97" t="str">
        <f aca="false">IF($BX477&lt;&gt;Constants!$B$6,"",IF($BL477="-&gt;",$BU477,$BJ477))</f>
        <v/>
      </c>
      <c r="CH477" s="93" t="str">
        <f aca="false">IF(ISBLANK($C477),"",IF($BX477&lt;&gt;Constants!$B$6,$BX477,IF(ISNUMBER($CG477),RANK($CG477,$CG$9:$CG$508,1),COUNT($CG$9:$CG$508)+1)))</f>
        <v/>
      </c>
      <c r="CI477" s="97" t="str">
        <f aca="false">IF($BX477&lt;&gt;Constants!$B$6,"",IF($BL477="-&gt;",$BV477,$BK477))</f>
        <v/>
      </c>
      <c r="CJ477" s="93" t="str">
        <f aca="false">IF(ISBLANK($C477),"",IF($BX477&lt;&gt;Constants!$B$6,$BX477,IF(ISNUMBER($CI477),RANK($CI477,$CI$9:$CI$508,1),COUNT($CI$9:$CI$508)+1)))</f>
        <v/>
      </c>
      <c r="CK477" s="97" t="str">
        <f aca="false">IF($BX477&lt;&gt;Constants!$B$6,"",$AI477)</f>
        <v/>
      </c>
      <c r="CL477" s="93" t="str">
        <f aca="false">IF(ISBLANK($C477),"",IF($BX477&lt;&gt;Constants!$B$6,$BX477,IF(ISNUMBER($CK477),RANK($CK477,$CK$9:$CK$508,1),COUNT($CK$9:$CK$508)+1)))</f>
        <v/>
      </c>
      <c r="CM477" s="93" t="str">
        <f aca="false">IF(ISBLANK($C477),"",IF($BX477&lt;&gt;Constants!$B$6,$BX477,COUNTIFS($CD$9:$CD$508,"&lt;"&amp;$CD477)+COUNTIFS($CD$9:$CD$508,$CD477,$CF$9:$CF$508,"&lt;"&amp;$CF477)+COUNTIFS($CD$9:$CD$508,$CD477,$CF$9:$CF$508,$CF477,$CH$9:$CH$508,"&lt;"&amp;$CH477)+COUNTIFS($CD$9:$CD$508,$CD477,$CF$9:$CF$508,$CF477,$CH$9:$CH$508,$CH477,$CJ$9:$CJ$508,"&lt;"&amp;$CJ477)+COUNTIFS($CD$9:$CD$508,$CD477,$CF$9:$CF$508,$CF477,$CH$9:$CH$508,$CH477,$CJ$9:$CJ$508,$CJ477,$CL$9:$CL$508,"&lt;"&amp;$CL477)+1))</f>
        <v/>
      </c>
      <c r="CN477" s="93" t="str">
        <f aca="false">IF(ISBLANK($C477),"",IF($BX477&lt;&gt;Constants!$B$6,$BX477,$CD477-$CM477))</f>
        <v/>
      </c>
      <c r="CO477" s="100"/>
      <c r="CP477" s="101"/>
      <c r="CQ477" s="102" t="str">
        <f aca="false">IF(ISBLANK($C477),"",IF($BX477=Constants!$B$10,$BW477,""))</f>
        <v/>
      </c>
      <c r="CR477" s="101" t="str">
        <f aca="false">IF(ISBLANK($C477),"",IF($BX477&lt;&gt;Constants!$B$6,"",IF($BL477="-&gt;",2,1)))</f>
        <v/>
      </c>
      <c r="CS477" s="103" t="str">
        <f aca="false">IF(ISBLANK($C477),"",IF($BX477&lt;&gt;Constants!$B$6,"",IF($BL477="-&gt;",$BN477,$BC477)))</f>
        <v/>
      </c>
      <c r="CT477" s="103" t="str">
        <f aca="false">IF(ISBLANK($C477),"",IF($BX477&lt;&gt;Constants!$B$6,"",IF($BL477="-&gt;",$BO477,$BD477)))</f>
        <v/>
      </c>
      <c r="CU477" s="103" t="str">
        <f aca="false">IF(ISBLANK($C477),"",IF($BX477&lt;&gt;Constants!$B$6,"",IF($BL477="-&gt;",$BP477+$BQ477,$BE477+$BF477)+$CB477))</f>
        <v/>
      </c>
      <c r="CV477" s="103" t="str">
        <f aca="false">IF(ISBLANK($C477),"",IF($BX477&lt;&gt;Constants!$B$6,"",IF($BL477="-&gt;",$BR477,$BG477)+$CA477))</f>
        <v/>
      </c>
      <c r="CW477" s="104" t="str">
        <f aca="false">IF(ISBLANK($C477),"",IF($BX477&lt;&gt;Constants!$B$6,$BX477,$CC477))</f>
        <v/>
      </c>
      <c r="CX477" s="105" t="str">
        <f aca="false">IF(ISBLANK($C477),"",$BY477)</f>
        <v/>
      </c>
      <c r="CY477" s="106" t="str">
        <f aca="false">IF(ISBLANK($C477),"",$CN477)</f>
        <v/>
      </c>
      <c r="CZ477" s="106" t="str">
        <f aca="false">IF(ISBLANK($C477),"",$CM477)</f>
        <v/>
      </c>
      <c r="DA477" s="107" t="str">
        <f aca="false">IF(ISBLANK($C477),"",IFERROR(_xlfn.SWITCH($CZ477,Constants!$B$9,COUNTA($C$9:$C$508)+2,Constants!$B$8,COUNTA($C$9:$C$508)+1,Constants!$B$7,COUNTA($C$9:$C$508)),$CZ477))</f>
        <v/>
      </c>
      <c r="DB477" s="9"/>
      <c r="DC477" s="108" t="n">
        <f aca="false">IF(OR(ISNUMBER($CZ477),$CZ477=Constants!$B$9,$CZ477=Constants!$B$7,$CZ477=Constants!$B$8),1,0)</f>
        <v>0</v>
      </c>
      <c r="DD477" s="108" t="n">
        <v>469</v>
      </c>
      <c r="DE477" s="108" t="str">
        <f aca="false">IF(ISBLANK($C477),"",IF(ISNUMBER($DA477),$DA477+ROW($B477)/1000,""))</f>
        <v/>
      </c>
      <c r="DF477" s="108" t="str">
        <f aca="false">IF(ISNUMBER($DE477),RANK($DE477,$DE$9:$DE$508,1),"")</f>
        <v/>
      </c>
      <c r="DG477" s="108" t="str">
        <f aca="false">IF(ISBLANK($C477),"",$B477)</f>
        <v/>
      </c>
      <c r="DH477" s="108" t="str">
        <f aca="false">IF(ISBLANK($C477),"",$C477)</f>
        <v/>
      </c>
      <c r="DI477" s="108" t="str">
        <f aca="false">IF(ISBLANK($C477),"",$D477)</f>
        <v/>
      </c>
      <c r="DJ477" s="109" t="str">
        <f aca="false">$CX477</f>
        <v/>
      </c>
      <c r="DK477" s="110" t="str">
        <f aca="false">$CW477</f>
        <v/>
      </c>
      <c r="DL477" s="108" t="str">
        <f aca="false">IF(ISBLANK($C477),"",$CZ477)</f>
        <v/>
      </c>
      <c r="DM477" s="111" t="str">
        <f aca="false">IF($DD477&gt;$DC$8,"",VLOOKUP($DD477,$DF$9:$DL$508,7,FALSE()))</f>
        <v/>
      </c>
      <c r="DN477" s="112" t="str">
        <f aca="false">IF($DD477&gt;$DC$8,"",VLOOKUP($DD477,$DF$9:$DL$508,2,FALSE()))</f>
        <v/>
      </c>
      <c r="DO477" s="112" t="str">
        <f aca="false">IF($DD477&gt;$DC$8,"",VLOOKUP($DD477,$DF$9:$DL$508,3,FALSE()))</f>
        <v/>
      </c>
      <c r="DP477" s="112" t="str">
        <f aca="false">IF($DD477&gt;$DC$8,"",VLOOKUP($DD477,$DF$9:$DL$508,4,FALSE()))</f>
        <v/>
      </c>
      <c r="DQ477" s="112" t="str">
        <f aca="false">IF($DD477&gt;$DC$8,"",VLOOKUP($DD477,$DF$9:$DL$508,5,FALSE()))</f>
        <v/>
      </c>
      <c r="DR477" s="113" t="str">
        <f aca="false">IF($DD477&gt;$DC$8,"",VLOOKUP($DD477,$DF$9:$DL$508,6,FALSE()))</f>
        <v/>
      </c>
      <c r="DS477" s="76"/>
    </row>
    <row r="478" customFormat="false" ht="15.75" hidden="false" customHeight="false" outlineLevel="0" collapsed="false">
      <c r="A478" s="9"/>
      <c r="B478" s="78"/>
      <c r="C478" s="79"/>
      <c r="D478" s="170"/>
      <c r="E478" s="178"/>
      <c r="F478" s="172"/>
      <c r="G478" s="173"/>
      <c r="H478" s="173"/>
      <c r="I478" s="179"/>
      <c r="J478" s="176"/>
      <c r="K478" s="86"/>
      <c r="L478" s="87"/>
      <c r="M478" s="88"/>
      <c r="N478" s="176"/>
      <c r="O478" s="176"/>
      <c r="P478" s="178"/>
      <c r="Q478" s="176"/>
      <c r="R478" s="176"/>
      <c r="S478" s="86"/>
      <c r="T478" s="88"/>
      <c r="U478" s="88"/>
      <c r="V478" s="176"/>
      <c r="W478" s="176"/>
      <c r="X478" s="178"/>
      <c r="Y478" s="176"/>
      <c r="Z478" s="177"/>
      <c r="AA478" s="176"/>
      <c r="AB478" s="92"/>
      <c r="AC478" s="93"/>
      <c r="AD478" s="93"/>
      <c r="AE478" s="93"/>
      <c r="AF478" s="93" t="str">
        <f aca="false">IF(ISBLANK($C478),"",IF(E478=Constants!$B$2,TRUE(),IF(E478=Constants!$B$3,FALSE(),TRUE())))</f>
        <v/>
      </c>
      <c r="AG478" s="93" t="str">
        <f aca="false">IF(ISBLANK($C478),"",IF(F478=Constants!$B$2,TRUE(),IF(F478=Constants!$B$3,FALSE(),TRUE())))</f>
        <v/>
      </c>
      <c r="AH478" s="93" t="str">
        <f aca="false">IF(ISBLANK($C478),"",IF(G478=Constants!$B$2,TRUE(),IF(G478=Constants!$B$3,FALSE(),TRUE())))</f>
        <v/>
      </c>
      <c r="AI478" s="93" t="str">
        <f aca="false">IF(ISBLANK($C478),"",IF(AND(ISNUMBER(H478),H478&gt;=0),H478,Constants!$B$24))</f>
        <v/>
      </c>
      <c r="AJ478" s="93" t="str">
        <f aca="false">IF(ISBLANK($C478),"",IF(I478=Constants!$B$2,TRUE(),IF(I478=Constants!$B$3,FALSE(),TRUE())))</f>
        <v/>
      </c>
      <c r="AK478" s="93" t="str">
        <f aca="false">IF(ISBLANK($C478),"",IF(J478=Constants!$B$2,TRUE(),IF(J478=Constants!$B$3,FALSE(),TRUE())))</f>
        <v/>
      </c>
      <c r="AL478" s="93" t="str">
        <f aca="false">IF(ISBLANK($C478),"",IF(K478=Constants!$B$4,TRUE(),IF(K478=Constants!$B$5,FALSE(),COUNTA(L478:P478)&gt;0)))</f>
        <v/>
      </c>
      <c r="AM478" s="95" t="str">
        <f aca="false">IF(ISBLANK($C478),"",IF(ISNUMBER(L478),IF(L478&gt;=0,L478,""),""))</f>
        <v/>
      </c>
      <c r="AN478" s="94" t="str">
        <f aca="false">IF(ISBLANK($C478),"",IF(ISNUMBER(M478),IF(M478&gt;=0,M478,""),""))</f>
        <v/>
      </c>
      <c r="AO478" s="94" t="str">
        <f aca="false">IF(ISBLANK($C478),"",IF(N478=Constants!$B$2,TRUE(),IF(N478=Constants!$B$3,FALSE(),TRUE())))</f>
        <v/>
      </c>
      <c r="AP478" s="93" t="str">
        <f aca="false">IF(ISBLANK($C478),"",IF(ISNUMBER(O478),IF(O478&gt;=0,O478,""),""))</f>
        <v/>
      </c>
      <c r="AQ478" s="93" t="str">
        <f aca="false">IF(ISBLANK($C478),"",IF(P478=Constants!$B$2,TRUE(),IF(P478=Constants!$B$3,FALSE(),FALSE())))</f>
        <v/>
      </c>
      <c r="AR478" s="93" t="str">
        <f aca="false">IF(ISBLANK($C478),"",IF(Q478=Constants!$B$2,TRUE(),IF(Q478=Constants!$B$3,FALSE(),TRUE())))</f>
        <v/>
      </c>
      <c r="AS478" s="93" t="str">
        <f aca="false">IF(ISBLANK($C478),"",IF(R478=Constants!$B$2,TRUE(),IF(R478=Constants!$B$3,FALSE(),TRUE())))</f>
        <v/>
      </c>
      <c r="AT478" s="93" t="str">
        <f aca="false">IF(ISBLANK($C478),"",IF(S478=Constants!$B$4,TRUE(),IF(S478=Constants!$B$5,FALSE(),COUNTA(T478:X478)&gt;0)))</f>
        <v/>
      </c>
      <c r="AU478" s="95" t="str">
        <f aca="false">IF(ISBLANK($C478),"",IF(ISNUMBER(T478),IF(T478&gt;=0,T478,""),""))</f>
        <v/>
      </c>
      <c r="AV478" s="94" t="str">
        <f aca="false">IF(ISBLANK($C478),"",IF(ISNUMBER(U478),IF(U478&gt;=0,U478,""),""))</f>
        <v/>
      </c>
      <c r="AW478" s="94" t="str">
        <f aca="false">IF(ISBLANK($C478),"",IF(V478=Constants!$B$2,TRUE(),IF(V478=Constants!$B$3,FALSE(),TRUE())))</f>
        <v/>
      </c>
      <c r="AX478" s="93" t="str">
        <f aca="false">IF(ISBLANK($C478),"",IF(ISNUMBER(W478),IF(W478&gt;=0,W478,""),""))</f>
        <v/>
      </c>
      <c r="AY478" s="93" t="str">
        <f aca="false">IF(ISBLANK($C478),"",IF(X478=Constants!$B$2,TRUE(),IF(X478=Constants!$B$3,FALSE(),FALSE())))</f>
        <v/>
      </c>
      <c r="AZ478" s="93" t="str">
        <f aca="false">IF(ISBLANK($C478),"",MIN(Constants!$B$25,MAX(0,IF(ISNUMBER(Y478),Y478*60,0)+IF(ISNUMBER(Z478),Z478,0))))</f>
        <v/>
      </c>
      <c r="BA478" s="93" t="str">
        <f aca="false">IF(ISBLANK($C478),"",IF(AA478=Constants!$B$2,TRUE(),IF(AA478=Constants!$B$3,FALSE(),FALSE())))</f>
        <v/>
      </c>
      <c r="BB478" s="92" t="str">
        <f aca="false">IF(ISBLANK($C478),"",AND($AL478,OR($AM478="",$AN478="",AND($AO478,$AP478=""))))</f>
        <v/>
      </c>
      <c r="BC478" s="94" t="str">
        <f aca="false">IF($BX478&lt;&gt;Constants!$B$6,"",IF($AL478,Constants!$B$17*$AN478+Constants!$B$18*IF($AO478,$AP478,Constants!$B$19),Constants!$B$20))</f>
        <v/>
      </c>
      <c r="BD478" s="97" t="str">
        <f aca="false">IF($BX478&lt;&gt;Constants!$B$6,"",Constants!$B$21*ABS($AD$9-IF($AL478,$AM478,0)))</f>
        <v/>
      </c>
      <c r="BE478" s="97" t="str">
        <f aca="false">IF($BX478&lt;&gt;Constants!$B$6,"",IF(AND($AL478,$AQ478,$AO478),Constants!$B$22,0))</f>
        <v/>
      </c>
      <c r="BF478" s="97" t="str">
        <f aca="false">IF($BX478&lt;&gt;Constants!$B$6,"",IF($AL478,($AI478-Constants!$B$24)*Constants!$B$23,0))</f>
        <v/>
      </c>
      <c r="BG478" s="97" t="str">
        <f aca="false">IF($BX478&lt;&gt;Constants!$B$6,"",IF($AK478,0,Constants!$B$12)+IF($AJ478,0,Constants!$B$13)+IF($AH478,0,Constants!$B$14))</f>
        <v/>
      </c>
      <c r="BH478" s="98" t="str">
        <f aca="false">IF($BX478&lt;&gt;Constants!$B$6,"",Constants!$B$16+SUM($BC478:$BG478))</f>
        <v/>
      </c>
      <c r="BI478" s="97" t="str">
        <f aca="false">IF($BX478&lt;&gt;Constants!$B$6,"",$BC478)</f>
        <v/>
      </c>
      <c r="BJ478" s="97" t="str">
        <f aca="false">IF($BX478&lt;&gt;Constants!$B$6,"",$BD478)</f>
        <v/>
      </c>
      <c r="BK478" s="99" t="str">
        <f aca="false">IF($BX478&lt;&gt;Constants!$B$6,"",IF($AL478,$AN478,""))</f>
        <v/>
      </c>
      <c r="BL478" s="93" t="str">
        <f aca="false">IF($BX478&lt;&gt;Constants!$B$6,"",IF(OR($BS478&lt;$BH478,AND($BS478=$BH478,OR($BT478&lt;$BI478,AND($BT478=$BI478,OR($BU478&lt;$BJ478,AND($BU478=$BJ478,AND(ISNUMBER($BV478),OR(NOT(ISNUMBER($BK478)),$BV478&lt;$BK478)))))))),"-&gt;","&lt;-"))</f>
        <v/>
      </c>
      <c r="BM478" s="92" t="str">
        <f aca="false">IF(ISBLANK($C478),"",AND($AT478,OR($AU478="",$AV478="",AND($AW478,$AX478=""))))</f>
        <v/>
      </c>
      <c r="BN478" s="94" t="str">
        <f aca="false">IF($BX478&lt;&gt;Constants!$B$6,"",IF($AT478,Constants!$B$17*$AV478+Constants!$B$18*IF($AW478,$AX478,Constants!$B$19),Constants!$B$20))</f>
        <v/>
      </c>
      <c r="BO478" s="97" t="str">
        <f aca="false">IF($BX478&lt;&gt;Constants!$B$6,"",Constants!$B$21*ABS($AD$9-IF($AT478,$AU478,0)))</f>
        <v/>
      </c>
      <c r="BP478" s="97" t="str">
        <f aca="false">IF($BX478&lt;&gt;Constants!$B$6,"",IF(AND($AT478,$AY478,$AW478),Constants!$B$22,0))</f>
        <v/>
      </c>
      <c r="BQ478" s="97" t="str">
        <f aca="false">IF($BX478&lt;&gt;Constants!$B$6,"",IF($AT478,($AI478-Constants!$B$24)*Constants!$B$23,0))</f>
        <v/>
      </c>
      <c r="BR478" s="97" t="str">
        <f aca="false">IF($BX478&lt;&gt;Constants!$B$6,"",IF($AS478,0,Constants!$B$12)+IF($AR478,0,Constants!$B$13)+IF($AH478,0,Constants!$B$14))</f>
        <v/>
      </c>
      <c r="BS478" s="98" t="str">
        <f aca="false">IF($BX478&lt;&gt;Constants!$B$6,"",Constants!$B$16+SUM($BN478:$BR478))</f>
        <v/>
      </c>
      <c r="BT478" s="97" t="str">
        <f aca="false">IF($BX478&lt;&gt;Constants!$B$6,"",$BN478)</f>
        <v/>
      </c>
      <c r="BU478" s="97" t="str">
        <f aca="false">IF($BX478&lt;&gt;Constants!$B$6,"",$BO478)</f>
        <v/>
      </c>
      <c r="BV478" s="99" t="str">
        <f aca="false">IF($BX478&lt;&gt;Constants!$B$6,"",IF($AT478,$AV478,""))</f>
        <v/>
      </c>
      <c r="BW478" s="93" t="str">
        <f aca="false">IF(ISBLANK($C478),"",IF(ISBLANK($D$7),$BW$5,IF(NOT(ISNUMBER($D$7)),$BW$6,"")))</f>
        <v/>
      </c>
      <c r="BX478" s="93" t="str">
        <f aca="false">IF(ISBLANK($C478),"",IF($BA478,Constants!$B$9,IF(COUNTA($E478:$AA478)=0,Constants!$B$8,IF(NOT($AG478),Constants!$B$7,IF(OR($BW478&lt;&gt;"",$BB478,$BM478),Constants!$B$10,Constants!$B$6)))))</f>
        <v/>
      </c>
      <c r="BY478" s="93" t="str">
        <f aca="false">IF(ISBLANK($C478),"",IF($BX478&lt;&gt;Constants!$B$6,$BX478,Constants!$B$11))</f>
        <v/>
      </c>
      <c r="BZ478" s="97" t="str">
        <f aca="false">IF($BX478&lt;&gt;Constants!$B$6,"",IF($BL478="-&gt;",$BS478,$BH478))</f>
        <v/>
      </c>
      <c r="CA478" s="97" t="str">
        <f aca="false">IF($BX478&lt;&gt;Constants!$B$6,"",IF($AF478,0,Constants!$B$15))</f>
        <v/>
      </c>
      <c r="CB478" s="97" t="str">
        <f aca="false">IF($BX478&lt;&gt;Constants!$B$6,"",((Constants!$B$25-$AZ478)-Constants!$B$25)/Constants!$B$26)</f>
        <v/>
      </c>
      <c r="CC478" s="97" t="str">
        <f aca="false">IF(ISBLANK($C478),"",IF($BX478&lt;&gt;Constants!$B$6,$BX478,SUM($BZ478:$CB478)))</f>
        <v/>
      </c>
      <c r="CD478" s="93" t="str">
        <f aca="false">IF(ISBLANK($C478),"",IF($BX478&lt;&gt;Constants!$B$6,$BX478,RANK($CC478,$CC$9:$CC$508,1)))</f>
        <v/>
      </c>
      <c r="CE478" s="97" t="str">
        <f aca="false">IF($BX478&lt;&gt;Constants!$B$6,"",IF($BL478="-&gt;",$BT478,$BI478))</f>
        <v/>
      </c>
      <c r="CF478" s="93" t="str">
        <f aca="false">IF(ISBLANK($C478),"",IF($BX478&lt;&gt;Constants!$B$6,$BX478,IF(ISNUMBER($CE478),RANK($CE478,$CE$9:$CE$508,1),COUNT($CE$9:$CE$508)+1)))</f>
        <v/>
      </c>
      <c r="CG478" s="97" t="str">
        <f aca="false">IF($BX478&lt;&gt;Constants!$B$6,"",IF($BL478="-&gt;",$BU478,$BJ478))</f>
        <v/>
      </c>
      <c r="CH478" s="93" t="str">
        <f aca="false">IF(ISBLANK($C478),"",IF($BX478&lt;&gt;Constants!$B$6,$BX478,IF(ISNUMBER($CG478),RANK($CG478,$CG$9:$CG$508,1),COUNT($CG$9:$CG$508)+1)))</f>
        <v/>
      </c>
      <c r="CI478" s="97" t="str">
        <f aca="false">IF($BX478&lt;&gt;Constants!$B$6,"",IF($BL478="-&gt;",$BV478,$BK478))</f>
        <v/>
      </c>
      <c r="CJ478" s="93" t="str">
        <f aca="false">IF(ISBLANK($C478),"",IF($BX478&lt;&gt;Constants!$B$6,$BX478,IF(ISNUMBER($CI478),RANK($CI478,$CI$9:$CI$508,1),COUNT($CI$9:$CI$508)+1)))</f>
        <v/>
      </c>
      <c r="CK478" s="97" t="str">
        <f aca="false">IF($BX478&lt;&gt;Constants!$B$6,"",$AI478)</f>
        <v/>
      </c>
      <c r="CL478" s="93" t="str">
        <f aca="false">IF(ISBLANK($C478),"",IF($BX478&lt;&gt;Constants!$B$6,$BX478,IF(ISNUMBER($CK478),RANK($CK478,$CK$9:$CK$508,1),COUNT($CK$9:$CK$508)+1)))</f>
        <v/>
      </c>
      <c r="CM478" s="93" t="str">
        <f aca="false">IF(ISBLANK($C478),"",IF($BX478&lt;&gt;Constants!$B$6,$BX478,COUNTIFS($CD$9:$CD$508,"&lt;"&amp;$CD478)+COUNTIFS($CD$9:$CD$508,$CD478,$CF$9:$CF$508,"&lt;"&amp;$CF478)+COUNTIFS($CD$9:$CD$508,$CD478,$CF$9:$CF$508,$CF478,$CH$9:$CH$508,"&lt;"&amp;$CH478)+COUNTIFS($CD$9:$CD$508,$CD478,$CF$9:$CF$508,$CF478,$CH$9:$CH$508,$CH478,$CJ$9:$CJ$508,"&lt;"&amp;$CJ478)+COUNTIFS($CD$9:$CD$508,$CD478,$CF$9:$CF$508,$CF478,$CH$9:$CH$508,$CH478,$CJ$9:$CJ$508,$CJ478,$CL$9:$CL$508,"&lt;"&amp;$CL478)+1))</f>
        <v/>
      </c>
      <c r="CN478" s="93" t="str">
        <f aca="false">IF(ISBLANK($C478),"",IF($BX478&lt;&gt;Constants!$B$6,$BX478,$CD478-$CM478))</f>
        <v/>
      </c>
      <c r="CO478" s="100"/>
      <c r="CP478" s="101"/>
      <c r="CQ478" s="102" t="str">
        <f aca="false">IF(ISBLANK($C478),"",IF($BX478=Constants!$B$10,$BW478,""))</f>
        <v/>
      </c>
      <c r="CR478" s="101" t="str">
        <f aca="false">IF(ISBLANK($C478),"",IF($BX478&lt;&gt;Constants!$B$6,"",IF($BL478="-&gt;",2,1)))</f>
        <v/>
      </c>
      <c r="CS478" s="103" t="str">
        <f aca="false">IF(ISBLANK($C478),"",IF($BX478&lt;&gt;Constants!$B$6,"",IF($BL478="-&gt;",$BN478,$BC478)))</f>
        <v/>
      </c>
      <c r="CT478" s="103" t="str">
        <f aca="false">IF(ISBLANK($C478),"",IF($BX478&lt;&gt;Constants!$B$6,"",IF($BL478="-&gt;",$BO478,$BD478)))</f>
        <v/>
      </c>
      <c r="CU478" s="103" t="str">
        <f aca="false">IF(ISBLANK($C478),"",IF($BX478&lt;&gt;Constants!$B$6,"",IF($BL478="-&gt;",$BP478+$BQ478,$BE478+$BF478)+$CB478))</f>
        <v/>
      </c>
      <c r="CV478" s="103" t="str">
        <f aca="false">IF(ISBLANK($C478),"",IF($BX478&lt;&gt;Constants!$B$6,"",IF($BL478="-&gt;",$BR478,$BG478)+$CA478))</f>
        <v/>
      </c>
      <c r="CW478" s="104" t="str">
        <f aca="false">IF(ISBLANK($C478),"",IF($BX478&lt;&gt;Constants!$B$6,$BX478,$CC478))</f>
        <v/>
      </c>
      <c r="CX478" s="105" t="str">
        <f aca="false">IF(ISBLANK($C478),"",$BY478)</f>
        <v/>
      </c>
      <c r="CY478" s="106" t="str">
        <f aca="false">IF(ISBLANK($C478),"",$CN478)</f>
        <v/>
      </c>
      <c r="CZ478" s="106" t="str">
        <f aca="false">IF(ISBLANK($C478),"",$CM478)</f>
        <v/>
      </c>
      <c r="DA478" s="107" t="str">
        <f aca="false">IF(ISBLANK($C478),"",IFERROR(_xlfn.SWITCH($CZ478,Constants!$B$9,COUNTA($C$9:$C$508)+2,Constants!$B$8,COUNTA($C$9:$C$508)+1,Constants!$B$7,COUNTA($C$9:$C$508)),$CZ478))</f>
        <v/>
      </c>
      <c r="DB478" s="9"/>
      <c r="DC478" s="108" t="n">
        <f aca="false">IF(OR(ISNUMBER($CZ478),$CZ478=Constants!$B$9,$CZ478=Constants!$B$7,$CZ478=Constants!$B$8),1,0)</f>
        <v>0</v>
      </c>
      <c r="DD478" s="108" t="n">
        <v>470</v>
      </c>
      <c r="DE478" s="108" t="str">
        <f aca="false">IF(ISBLANK($C478),"",IF(ISNUMBER($DA478),$DA478+ROW($B478)/1000,""))</f>
        <v/>
      </c>
      <c r="DF478" s="108" t="str">
        <f aca="false">IF(ISNUMBER($DE478),RANK($DE478,$DE$9:$DE$508,1),"")</f>
        <v/>
      </c>
      <c r="DG478" s="108" t="str">
        <f aca="false">IF(ISBLANK($C478),"",$B478)</f>
        <v/>
      </c>
      <c r="DH478" s="108" t="str">
        <f aca="false">IF(ISBLANK($C478),"",$C478)</f>
        <v/>
      </c>
      <c r="DI478" s="108" t="str">
        <f aca="false">IF(ISBLANK($C478),"",$D478)</f>
        <v/>
      </c>
      <c r="DJ478" s="109" t="str">
        <f aca="false">$CX478</f>
        <v/>
      </c>
      <c r="DK478" s="110" t="str">
        <f aca="false">$CW478</f>
        <v/>
      </c>
      <c r="DL478" s="108" t="str">
        <f aca="false">IF(ISBLANK($C478),"",$CZ478)</f>
        <v/>
      </c>
      <c r="DM478" s="111" t="str">
        <f aca="false">IF($DD478&gt;$DC$8,"",VLOOKUP($DD478,$DF$9:$DL$508,7,FALSE()))</f>
        <v/>
      </c>
      <c r="DN478" s="112" t="str">
        <f aca="false">IF($DD478&gt;$DC$8,"",VLOOKUP($DD478,$DF$9:$DL$508,2,FALSE()))</f>
        <v/>
      </c>
      <c r="DO478" s="112" t="str">
        <f aca="false">IF($DD478&gt;$DC$8,"",VLOOKUP($DD478,$DF$9:$DL$508,3,FALSE()))</f>
        <v/>
      </c>
      <c r="DP478" s="112" t="str">
        <f aca="false">IF($DD478&gt;$DC$8,"",VLOOKUP($DD478,$DF$9:$DL$508,4,FALSE()))</f>
        <v/>
      </c>
      <c r="DQ478" s="112" t="str">
        <f aca="false">IF($DD478&gt;$DC$8,"",VLOOKUP($DD478,$DF$9:$DL$508,5,FALSE()))</f>
        <v/>
      </c>
      <c r="DR478" s="113" t="str">
        <f aca="false">IF($DD478&gt;$DC$8,"",VLOOKUP($DD478,$DF$9:$DL$508,6,FALSE()))</f>
        <v/>
      </c>
      <c r="DS478" s="76"/>
    </row>
    <row r="479" customFormat="false" ht="15.75" hidden="false" customHeight="false" outlineLevel="0" collapsed="false">
      <c r="A479" s="9"/>
      <c r="B479" s="78"/>
      <c r="C479" s="79"/>
      <c r="D479" s="170"/>
      <c r="E479" s="178"/>
      <c r="F479" s="172"/>
      <c r="G479" s="173"/>
      <c r="H479" s="173"/>
      <c r="I479" s="179"/>
      <c r="J479" s="176"/>
      <c r="K479" s="86"/>
      <c r="L479" s="87"/>
      <c r="M479" s="88"/>
      <c r="N479" s="176"/>
      <c r="O479" s="176"/>
      <c r="P479" s="178"/>
      <c r="Q479" s="176"/>
      <c r="R479" s="176"/>
      <c r="S479" s="86"/>
      <c r="T479" s="88"/>
      <c r="U479" s="88"/>
      <c r="V479" s="176"/>
      <c r="W479" s="176"/>
      <c r="X479" s="178"/>
      <c r="Y479" s="176"/>
      <c r="Z479" s="177"/>
      <c r="AA479" s="176"/>
      <c r="AB479" s="92"/>
      <c r="AC479" s="93"/>
      <c r="AD479" s="93"/>
      <c r="AE479" s="93"/>
      <c r="AF479" s="93" t="str">
        <f aca="false">IF(ISBLANK($C479),"",IF(E479=Constants!$B$2,TRUE(),IF(E479=Constants!$B$3,FALSE(),TRUE())))</f>
        <v/>
      </c>
      <c r="AG479" s="93" t="str">
        <f aca="false">IF(ISBLANK($C479),"",IF(F479=Constants!$B$2,TRUE(),IF(F479=Constants!$B$3,FALSE(),TRUE())))</f>
        <v/>
      </c>
      <c r="AH479" s="93" t="str">
        <f aca="false">IF(ISBLANK($C479),"",IF(G479=Constants!$B$2,TRUE(),IF(G479=Constants!$B$3,FALSE(),TRUE())))</f>
        <v/>
      </c>
      <c r="AI479" s="93" t="str">
        <f aca="false">IF(ISBLANK($C479),"",IF(AND(ISNUMBER(H479),H479&gt;=0),H479,Constants!$B$24))</f>
        <v/>
      </c>
      <c r="AJ479" s="93" t="str">
        <f aca="false">IF(ISBLANK($C479),"",IF(I479=Constants!$B$2,TRUE(),IF(I479=Constants!$B$3,FALSE(),TRUE())))</f>
        <v/>
      </c>
      <c r="AK479" s="93" t="str">
        <f aca="false">IF(ISBLANK($C479),"",IF(J479=Constants!$B$2,TRUE(),IF(J479=Constants!$B$3,FALSE(),TRUE())))</f>
        <v/>
      </c>
      <c r="AL479" s="93" t="str">
        <f aca="false">IF(ISBLANK($C479),"",IF(K479=Constants!$B$4,TRUE(),IF(K479=Constants!$B$5,FALSE(),COUNTA(L479:P479)&gt;0)))</f>
        <v/>
      </c>
      <c r="AM479" s="95" t="str">
        <f aca="false">IF(ISBLANK($C479),"",IF(ISNUMBER(L479),IF(L479&gt;=0,L479,""),""))</f>
        <v/>
      </c>
      <c r="AN479" s="94" t="str">
        <f aca="false">IF(ISBLANK($C479),"",IF(ISNUMBER(M479),IF(M479&gt;=0,M479,""),""))</f>
        <v/>
      </c>
      <c r="AO479" s="94" t="str">
        <f aca="false">IF(ISBLANK($C479),"",IF(N479=Constants!$B$2,TRUE(),IF(N479=Constants!$B$3,FALSE(),TRUE())))</f>
        <v/>
      </c>
      <c r="AP479" s="93" t="str">
        <f aca="false">IF(ISBLANK($C479),"",IF(ISNUMBER(O479),IF(O479&gt;=0,O479,""),""))</f>
        <v/>
      </c>
      <c r="AQ479" s="93" t="str">
        <f aca="false">IF(ISBLANK($C479),"",IF(P479=Constants!$B$2,TRUE(),IF(P479=Constants!$B$3,FALSE(),FALSE())))</f>
        <v/>
      </c>
      <c r="AR479" s="93" t="str">
        <f aca="false">IF(ISBLANK($C479),"",IF(Q479=Constants!$B$2,TRUE(),IF(Q479=Constants!$B$3,FALSE(),TRUE())))</f>
        <v/>
      </c>
      <c r="AS479" s="93" t="str">
        <f aca="false">IF(ISBLANK($C479),"",IF(R479=Constants!$B$2,TRUE(),IF(R479=Constants!$B$3,FALSE(),TRUE())))</f>
        <v/>
      </c>
      <c r="AT479" s="93" t="str">
        <f aca="false">IF(ISBLANK($C479),"",IF(S479=Constants!$B$4,TRUE(),IF(S479=Constants!$B$5,FALSE(),COUNTA(T479:X479)&gt;0)))</f>
        <v/>
      </c>
      <c r="AU479" s="95" t="str">
        <f aca="false">IF(ISBLANK($C479),"",IF(ISNUMBER(T479),IF(T479&gt;=0,T479,""),""))</f>
        <v/>
      </c>
      <c r="AV479" s="94" t="str">
        <f aca="false">IF(ISBLANK($C479),"",IF(ISNUMBER(U479),IF(U479&gt;=0,U479,""),""))</f>
        <v/>
      </c>
      <c r="AW479" s="94" t="str">
        <f aca="false">IF(ISBLANK($C479),"",IF(V479=Constants!$B$2,TRUE(),IF(V479=Constants!$B$3,FALSE(),TRUE())))</f>
        <v/>
      </c>
      <c r="AX479" s="93" t="str">
        <f aca="false">IF(ISBLANK($C479),"",IF(ISNUMBER(W479),IF(W479&gt;=0,W479,""),""))</f>
        <v/>
      </c>
      <c r="AY479" s="93" t="str">
        <f aca="false">IF(ISBLANK($C479),"",IF(X479=Constants!$B$2,TRUE(),IF(X479=Constants!$B$3,FALSE(),FALSE())))</f>
        <v/>
      </c>
      <c r="AZ479" s="93" t="str">
        <f aca="false">IF(ISBLANK($C479),"",MIN(Constants!$B$25,MAX(0,IF(ISNUMBER(Y479),Y479*60,0)+IF(ISNUMBER(Z479),Z479,0))))</f>
        <v/>
      </c>
      <c r="BA479" s="93" t="str">
        <f aca="false">IF(ISBLANK($C479),"",IF(AA479=Constants!$B$2,TRUE(),IF(AA479=Constants!$B$3,FALSE(),FALSE())))</f>
        <v/>
      </c>
      <c r="BB479" s="92" t="str">
        <f aca="false">IF(ISBLANK($C479),"",AND($AL479,OR($AM479="",$AN479="",AND($AO479,$AP479=""))))</f>
        <v/>
      </c>
      <c r="BC479" s="94" t="str">
        <f aca="false">IF($BX479&lt;&gt;Constants!$B$6,"",IF($AL479,Constants!$B$17*$AN479+Constants!$B$18*IF($AO479,$AP479,Constants!$B$19),Constants!$B$20))</f>
        <v/>
      </c>
      <c r="BD479" s="97" t="str">
        <f aca="false">IF($BX479&lt;&gt;Constants!$B$6,"",Constants!$B$21*ABS($AD$9-IF($AL479,$AM479,0)))</f>
        <v/>
      </c>
      <c r="BE479" s="97" t="str">
        <f aca="false">IF($BX479&lt;&gt;Constants!$B$6,"",IF(AND($AL479,$AQ479,$AO479),Constants!$B$22,0))</f>
        <v/>
      </c>
      <c r="BF479" s="97" t="str">
        <f aca="false">IF($BX479&lt;&gt;Constants!$B$6,"",IF($AL479,($AI479-Constants!$B$24)*Constants!$B$23,0))</f>
        <v/>
      </c>
      <c r="BG479" s="97" t="str">
        <f aca="false">IF($BX479&lt;&gt;Constants!$B$6,"",IF($AK479,0,Constants!$B$12)+IF($AJ479,0,Constants!$B$13)+IF($AH479,0,Constants!$B$14))</f>
        <v/>
      </c>
      <c r="BH479" s="98" t="str">
        <f aca="false">IF($BX479&lt;&gt;Constants!$B$6,"",Constants!$B$16+SUM($BC479:$BG479))</f>
        <v/>
      </c>
      <c r="BI479" s="97" t="str">
        <f aca="false">IF($BX479&lt;&gt;Constants!$B$6,"",$BC479)</f>
        <v/>
      </c>
      <c r="BJ479" s="97" t="str">
        <f aca="false">IF($BX479&lt;&gt;Constants!$B$6,"",$BD479)</f>
        <v/>
      </c>
      <c r="BK479" s="99" t="str">
        <f aca="false">IF($BX479&lt;&gt;Constants!$B$6,"",IF($AL479,$AN479,""))</f>
        <v/>
      </c>
      <c r="BL479" s="93" t="str">
        <f aca="false">IF($BX479&lt;&gt;Constants!$B$6,"",IF(OR($BS479&lt;$BH479,AND($BS479=$BH479,OR($BT479&lt;$BI479,AND($BT479=$BI479,OR($BU479&lt;$BJ479,AND($BU479=$BJ479,AND(ISNUMBER($BV479),OR(NOT(ISNUMBER($BK479)),$BV479&lt;$BK479)))))))),"-&gt;","&lt;-"))</f>
        <v/>
      </c>
      <c r="BM479" s="92" t="str">
        <f aca="false">IF(ISBLANK($C479),"",AND($AT479,OR($AU479="",$AV479="",AND($AW479,$AX479=""))))</f>
        <v/>
      </c>
      <c r="BN479" s="94" t="str">
        <f aca="false">IF($BX479&lt;&gt;Constants!$B$6,"",IF($AT479,Constants!$B$17*$AV479+Constants!$B$18*IF($AW479,$AX479,Constants!$B$19),Constants!$B$20))</f>
        <v/>
      </c>
      <c r="BO479" s="97" t="str">
        <f aca="false">IF($BX479&lt;&gt;Constants!$B$6,"",Constants!$B$21*ABS($AD$9-IF($AT479,$AU479,0)))</f>
        <v/>
      </c>
      <c r="BP479" s="97" t="str">
        <f aca="false">IF($BX479&lt;&gt;Constants!$B$6,"",IF(AND($AT479,$AY479,$AW479),Constants!$B$22,0))</f>
        <v/>
      </c>
      <c r="BQ479" s="97" t="str">
        <f aca="false">IF($BX479&lt;&gt;Constants!$B$6,"",IF($AT479,($AI479-Constants!$B$24)*Constants!$B$23,0))</f>
        <v/>
      </c>
      <c r="BR479" s="97" t="str">
        <f aca="false">IF($BX479&lt;&gt;Constants!$B$6,"",IF($AS479,0,Constants!$B$12)+IF($AR479,0,Constants!$B$13)+IF($AH479,0,Constants!$B$14))</f>
        <v/>
      </c>
      <c r="BS479" s="98" t="str">
        <f aca="false">IF($BX479&lt;&gt;Constants!$B$6,"",Constants!$B$16+SUM($BN479:$BR479))</f>
        <v/>
      </c>
      <c r="BT479" s="97" t="str">
        <f aca="false">IF($BX479&lt;&gt;Constants!$B$6,"",$BN479)</f>
        <v/>
      </c>
      <c r="BU479" s="97" t="str">
        <f aca="false">IF($BX479&lt;&gt;Constants!$B$6,"",$BO479)</f>
        <v/>
      </c>
      <c r="BV479" s="99" t="str">
        <f aca="false">IF($BX479&lt;&gt;Constants!$B$6,"",IF($AT479,$AV479,""))</f>
        <v/>
      </c>
      <c r="BW479" s="93" t="str">
        <f aca="false">IF(ISBLANK($C479),"",IF(ISBLANK($D$7),$BW$5,IF(NOT(ISNUMBER($D$7)),$BW$6,"")))</f>
        <v/>
      </c>
      <c r="BX479" s="93" t="str">
        <f aca="false">IF(ISBLANK($C479),"",IF($BA479,Constants!$B$9,IF(COUNTA($E479:$AA479)=0,Constants!$B$8,IF(NOT($AG479),Constants!$B$7,IF(OR($BW479&lt;&gt;"",$BB479,$BM479),Constants!$B$10,Constants!$B$6)))))</f>
        <v/>
      </c>
      <c r="BY479" s="93" t="str">
        <f aca="false">IF(ISBLANK($C479),"",IF($BX479&lt;&gt;Constants!$B$6,$BX479,Constants!$B$11))</f>
        <v/>
      </c>
      <c r="BZ479" s="97" t="str">
        <f aca="false">IF($BX479&lt;&gt;Constants!$B$6,"",IF($BL479="-&gt;",$BS479,$BH479))</f>
        <v/>
      </c>
      <c r="CA479" s="97" t="str">
        <f aca="false">IF($BX479&lt;&gt;Constants!$B$6,"",IF($AF479,0,Constants!$B$15))</f>
        <v/>
      </c>
      <c r="CB479" s="97" t="str">
        <f aca="false">IF($BX479&lt;&gt;Constants!$B$6,"",((Constants!$B$25-$AZ479)-Constants!$B$25)/Constants!$B$26)</f>
        <v/>
      </c>
      <c r="CC479" s="97" t="str">
        <f aca="false">IF(ISBLANK($C479),"",IF($BX479&lt;&gt;Constants!$B$6,$BX479,SUM($BZ479:$CB479)))</f>
        <v/>
      </c>
      <c r="CD479" s="93" t="str">
        <f aca="false">IF(ISBLANK($C479),"",IF($BX479&lt;&gt;Constants!$B$6,$BX479,RANK($CC479,$CC$9:$CC$508,1)))</f>
        <v/>
      </c>
      <c r="CE479" s="97" t="str">
        <f aca="false">IF($BX479&lt;&gt;Constants!$B$6,"",IF($BL479="-&gt;",$BT479,$BI479))</f>
        <v/>
      </c>
      <c r="CF479" s="93" t="str">
        <f aca="false">IF(ISBLANK($C479),"",IF($BX479&lt;&gt;Constants!$B$6,$BX479,IF(ISNUMBER($CE479),RANK($CE479,$CE$9:$CE$508,1),COUNT($CE$9:$CE$508)+1)))</f>
        <v/>
      </c>
      <c r="CG479" s="97" t="str">
        <f aca="false">IF($BX479&lt;&gt;Constants!$B$6,"",IF($BL479="-&gt;",$BU479,$BJ479))</f>
        <v/>
      </c>
      <c r="CH479" s="93" t="str">
        <f aca="false">IF(ISBLANK($C479),"",IF($BX479&lt;&gt;Constants!$B$6,$BX479,IF(ISNUMBER($CG479),RANK($CG479,$CG$9:$CG$508,1),COUNT($CG$9:$CG$508)+1)))</f>
        <v/>
      </c>
      <c r="CI479" s="97" t="str">
        <f aca="false">IF($BX479&lt;&gt;Constants!$B$6,"",IF($BL479="-&gt;",$BV479,$BK479))</f>
        <v/>
      </c>
      <c r="CJ479" s="93" t="str">
        <f aca="false">IF(ISBLANK($C479),"",IF($BX479&lt;&gt;Constants!$B$6,$BX479,IF(ISNUMBER($CI479),RANK($CI479,$CI$9:$CI$508,1),COUNT($CI$9:$CI$508)+1)))</f>
        <v/>
      </c>
      <c r="CK479" s="97" t="str">
        <f aca="false">IF($BX479&lt;&gt;Constants!$B$6,"",$AI479)</f>
        <v/>
      </c>
      <c r="CL479" s="93" t="str">
        <f aca="false">IF(ISBLANK($C479),"",IF($BX479&lt;&gt;Constants!$B$6,$BX479,IF(ISNUMBER($CK479),RANK($CK479,$CK$9:$CK$508,1),COUNT($CK$9:$CK$508)+1)))</f>
        <v/>
      </c>
      <c r="CM479" s="93" t="str">
        <f aca="false">IF(ISBLANK($C479),"",IF($BX479&lt;&gt;Constants!$B$6,$BX479,COUNTIFS($CD$9:$CD$508,"&lt;"&amp;$CD479)+COUNTIFS($CD$9:$CD$508,$CD479,$CF$9:$CF$508,"&lt;"&amp;$CF479)+COUNTIFS($CD$9:$CD$508,$CD479,$CF$9:$CF$508,$CF479,$CH$9:$CH$508,"&lt;"&amp;$CH479)+COUNTIFS($CD$9:$CD$508,$CD479,$CF$9:$CF$508,$CF479,$CH$9:$CH$508,$CH479,$CJ$9:$CJ$508,"&lt;"&amp;$CJ479)+COUNTIFS($CD$9:$CD$508,$CD479,$CF$9:$CF$508,$CF479,$CH$9:$CH$508,$CH479,$CJ$9:$CJ$508,$CJ479,$CL$9:$CL$508,"&lt;"&amp;$CL479)+1))</f>
        <v/>
      </c>
      <c r="CN479" s="93" t="str">
        <f aca="false">IF(ISBLANK($C479),"",IF($BX479&lt;&gt;Constants!$B$6,$BX479,$CD479-$CM479))</f>
        <v/>
      </c>
      <c r="CO479" s="100"/>
      <c r="CP479" s="101"/>
      <c r="CQ479" s="102" t="str">
        <f aca="false">IF(ISBLANK($C479),"",IF($BX479=Constants!$B$10,$BW479,""))</f>
        <v/>
      </c>
      <c r="CR479" s="101" t="str">
        <f aca="false">IF(ISBLANK($C479),"",IF($BX479&lt;&gt;Constants!$B$6,"",IF($BL479="-&gt;",2,1)))</f>
        <v/>
      </c>
      <c r="CS479" s="103" t="str">
        <f aca="false">IF(ISBLANK($C479),"",IF($BX479&lt;&gt;Constants!$B$6,"",IF($BL479="-&gt;",$BN479,$BC479)))</f>
        <v/>
      </c>
      <c r="CT479" s="103" t="str">
        <f aca="false">IF(ISBLANK($C479),"",IF($BX479&lt;&gt;Constants!$B$6,"",IF($BL479="-&gt;",$BO479,$BD479)))</f>
        <v/>
      </c>
      <c r="CU479" s="103" t="str">
        <f aca="false">IF(ISBLANK($C479),"",IF($BX479&lt;&gt;Constants!$B$6,"",IF($BL479="-&gt;",$BP479+$BQ479,$BE479+$BF479)+$CB479))</f>
        <v/>
      </c>
      <c r="CV479" s="103" t="str">
        <f aca="false">IF(ISBLANK($C479),"",IF($BX479&lt;&gt;Constants!$B$6,"",IF($BL479="-&gt;",$BR479,$BG479)+$CA479))</f>
        <v/>
      </c>
      <c r="CW479" s="104" t="str">
        <f aca="false">IF(ISBLANK($C479),"",IF($BX479&lt;&gt;Constants!$B$6,$BX479,$CC479))</f>
        <v/>
      </c>
      <c r="CX479" s="105" t="str">
        <f aca="false">IF(ISBLANK($C479),"",$BY479)</f>
        <v/>
      </c>
      <c r="CY479" s="106" t="str">
        <f aca="false">IF(ISBLANK($C479),"",$CN479)</f>
        <v/>
      </c>
      <c r="CZ479" s="106" t="str">
        <f aca="false">IF(ISBLANK($C479),"",$CM479)</f>
        <v/>
      </c>
      <c r="DA479" s="107" t="str">
        <f aca="false">IF(ISBLANK($C479),"",IFERROR(_xlfn.SWITCH($CZ479,Constants!$B$9,COUNTA($C$9:$C$508)+2,Constants!$B$8,COUNTA($C$9:$C$508)+1,Constants!$B$7,COUNTA($C$9:$C$508)),$CZ479))</f>
        <v/>
      </c>
      <c r="DB479" s="9"/>
      <c r="DC479" s="108" t="n">
        <f aca="false">IF(OR(ISNUMBER($CZ479),$CZ479=Constants!$B$9,$CZ479=Constants!$B$7,$CZ479=Constants!$B$8),1,0)</f>
        <v>0</v>
      </c>
      <c r="DD479" s="108" t="n">
        <v>471</v>
      </c>
      <c r="DE479" s="108" t="str">
        <f aca="false">IF(ISBLANK($C479),"",IF(ISNUMBER($DA479),$DA479+ROW($B479)/1000,""))</f>
        <v/>
      </c>
      <c r="DF479" s="108" t="str">
        <f aca="false">IF(ISNUMBER($DE479),RANK($DE479,$DE$9:$DE$508,1),"")</f>
        <v/>
      </c>
      <c r="DG479" s="108" t="str">
        <f aca="false">IF(ISBLANK($C479),"",$B479)</f>
        <v/>
      </c>
      <c r="DH479" s="108" t="str">
        <f aca="false">IF(ISBLANK($C479),"",$C479)</f>
        <v/>
      </c>
      <c r="DI479" s="108" t="str">
        <f aca="false">IF(ISBLANK($C479),"",$D479)</f>
        <v/>
      </c>
      <c r="DJ479" s="109" t="str">
        <f aca="false">$CX479</f>
        <v/>
      </c>
      <c r="DK479" s="110" t="str">
        <f aca="false">$CW479</f>
        <v/>
      </c>
      <c r="DL479" s="108" t="str">
        <f aca="false">IF(ISBLANK($C479),"",$CZ479)</f>
        <v/>
      </c>
      <c r="DM479" s="111" t="str">
        <f aca="false">IF($DD479&gt;$DC$8,"",VLOOKUP($DD479,$DF$9:$DL$508,7,FALSE()))</f>
        <v/>
      </c>
      <c r="DN479" s="112" t="str">
        <f aca="false">IF($DD479&gt;$DC$8,"",VLOOKUP($DD479,$DF$9:$DL$508,2,FALSE()))</f>
        <v/>
      </c>
      <c r="DO479" s="112" t="str">
        <f aca="false">IF($DD479&gt;$DC$8,"",VLOOKUP($DD479,$DF$9:$DL$508,3,FALSE()))</f>
        <v/>
      </c>
      <c r="DP479" s="112" t="str">
        <f aca="false">IF($DD479&gt;$DC$8,"",VLOOKUP($DD479,$DF$9:$DL$508,4,FALSE()))</f>
        <v/>
      </c>
      <c r="DQ479" s="112" t="str">
        <f aca="false">IF($DD479&gt;$DC$8,"",VLOOKUP($DD479,$DF$9:$DL$508,5,FALSE()))</f>
        <v/>
      </c>
      <c r="DR479" s="113" t="str">
        <f aca="false">IF($DD479&gt;$DC$8,"",VLOOKUP($DD479,$DF$9:$DL$508,6,FALSE()))</f>
        <v/>
      </c>
      <c r="DS479" s="76"/>
    </row>
    <row r="480" customFormat="false" ht="15.75" hidden="false" customHeight="false" outlineLevel="0" collapsed="false">
      <c r="A480" s="9"/>
      <c r="B480" s="160"/>
      <c r="C480" s="161"/>
      <c r="D480" s="162"/>
      <c r="E480" s="180"/>
      <c r="F480" s="164"/>
      <c r="G480" s="165"/>
      <c r="H480" s="165"/>
      <c r="I480" s="181"/>
      <c r="J480" s="168"/>
      <c r="K480" s="128"/>
      <c r="L480" s="129"/>
      <c r="M480" s="130"/>
      <c r="N480" s="168"/>
      <c r="O480" s="168"/>
      <c r="P480" s="180"/>
      <c r="Q480" s="168"/>
      <c r="R480" s="168"/>
      <c r="S480" s="128"/>
      <c r="T480" s="130"/>
      <c r="U480" s="130"/>
      <c r="V480" s="168"/>
      <c r="W480" s="168"/>
      <c r="X480" s="180"/>
      <c r="Y480" s="168"/>
      <c r="Z480" s="169"/>
      <c r="AA480" s="168"/>
      <c r="AB480" s="134"/>
      <c r="AC480" s="135"/>
      <c r="AD480" s="135"/>
      <c r="AE480" s="135"/>
      <c r="AF480" s="135" t="str">
        <f aca="false">IF(ISBLANK($C480),"",IF(E480=Constants!$B$2,TRUE(),IF(E480=Constants!$B$3,FALSE(),TRUE())))</f>
        <v/>
      </c>
      <c r="AG480" s="135" t="str">
        <f aca="false">IF(ISBLANK($C480),"",IF(F480=Constants!$B$2,TRUE(),IF(F480=Constants!$B$3,FALSE(),TRUE())))</f>
        <v/>
      </c>
      <c r="AH480" s="135" t="str">
        <f aca="false">IF(ISBLANK($C480),"",IF(G480=Constants!$B$2,TRUE(),IF(G480=Constants!$B$3,FALSE(),TRUE())))</f>
        <v/>
      </c>
      <c r="AI480" s="135" t="str">
        <f aca="false">IF(ISBLANK($C480),"",IF(AND(ISNUMBER(H480),H480&gt;=0),H480,Constants!$B$24))</f>
        <v/>
      </c>
      <c r="AJ480" s="135" t="str">
        <f aca="false">IF(ISBLANK($C480),"",IF(I480=Constants!$B$2,TRUE(),IF(I480=Constants!$B$3,FALSE(),TRUE())))</f>
        <v/>
      </c>
      <c r="AK480" s="135" t="str">
        <f aca="false">IF(ISBLANK($C480),"",IF(J480=Constants!$B$2,TRUE(),IF(J480=Constants!$B$3,FALSE(),TRUE())))</f>
        <v/>
      </c>
      <c r="AL480" s="135" t="str">
        <f aca="false">IF(ISBLANK($C480),"",IF(K480=Constants!$B$4,TRUE(),IF(K480=Constants!$B$5,FALSE(),COUNTA(L480:P480)&gt;0)))</f>
        <v/>
      </c>
      <c r="AM480" s="136" t="str">
        <f aca="false">IF(ISBLANK($C480),"",IF(ISNUMBER(L480),IF(L480&gt;=0,L480,""),""))</f>
        <v/>
      </c>
      <c r="AN480" s="137" t="str">
        <f aca="false">IF(ISBLANK($C480),"",IF(ISNUMBER(M480),IF(M480&gt;=0,M480,""),""))</f>
        <v/>
      </c>
      <c r="AO480" s="137" t="str">
        <f aca="false">IF(ISBLANK($C480),"",IF(N480=Constants!$B$2,TRUE(),IF(N480=Constants!$B$3,FALSE(),TRUE())))</f>
        <v/>
      </c>
      <c r="AP480" s="135" t="str">
        <f aca="false">IF(ISBLANK($C480),"",IF(ISNUMBER(O480),IF(O480&gt;=0,O480,""),""))</f>
        <v/>
      </c>
      <c r="AQ480" s="135" t="str">
        <f aca="false">IF(ISBLANK($C480),"",IF(P480=Constants!$B$2,TRUE(),IF(P480=Constants!$B$3,FALSE(),FALSE())))</f>
        <v/>
      </c>
      <c r="AR480" s="135" t="str">
        <f aca="false">IF(ISBLANK($C480),"",IF(Q480=Constants!$B$2,TRUE(),IF(Q480=Constants!$B$3,FALSE(),TRUE())))</f>
        <v/>
      </c>
      <c r="AS480" s="135" t="str">
        <f aca="false">IF(ISBLANK($C480),"",IF(R480=Constants!$B$2,TRUE(),IF(R480=Constants!$B$3,FALSE(),TRUE())))</f>
        <v/>
      </c>
      <c r="AT480" s="135" t="str">
        <f aca="false">IF(ISBLANK($C480),"",IF(S480=Constants!$B$4,TRUE(),IF(S480=Constants!$B$5,FALSE(),COUNTA(T480:X480)&gt;0)))</f>
        <v/>
      </c>
      <c r="AU480" s="136" t="str">
        <f aca="false">IF(ISBLANK($C480),"",IF(ISNUMBER(T480),IF(T480&gt;=0,T480,""),""))</f>
        <v/>
      </c>
      <c r="AV480" s="137" t="str">
        <f aca="false">IF(ISBLANK($C480),"",IF(ISNUMBER(U480),IF(U480&gt;=0,U480,""),""))</f>
        <v/>
      </c>
      <c r="AW480" s="137" t="str">
        <f aca="false">IF(ISBLANK($C480),"",IF(V480=Constants!$B$2,TRUE(),IF(V480=Constants!$B$3,FALSE(),TRUE())))</f>
        <v/>
      </c>
      <c r="AX480" s="135" t="str">
        <f aca="false">IF(ISBLANK($C480),"",IF(ISNUMBER(W480),IF(W480&gt;=0,W480,""),""))</f>
        <v/>
      </c>
      <c r="AY480" s="135" t="str">
        <f aca="false">IF(ISBLANK($C480),"",IF(X480=Constants!$B$2,TRUE(),IF(X480=Constants!$B$3,FALSE(),FALSE())))</f>
        <v/>
      </c>
      <c r="AZ480" s="135" t="str">
        <f aca="false">IF(ISBLANK($C480),"",MIN(Constants!$B$25,MAX(0,IF(ISNUMBER(Y480),Y480*60,0)+IF(ISNUMBER(Z480),Z480,0))))</f>
        <v/>
      </c>
      <c r="BA480" s="135" t="str">
        <f aca="false">IF(ISBLANK($C480),"",IF(AA480=Constants!$B$2,TRUE(),IF(AA480=Constants!$B$3,FALSE(),FALSE())))</f>
        <v/>
      </c>
      <c r="BB480" s="134" t="str">
        <f aca="false">IF(ISBLANK($C480),"",AND($AL480,OR($AM480="",$AN480="",AND($AO480,$AP480=""))))</f>
        <v/>
      </c>
      <c r="BC480" s="137" t="str">
        <f aca="false">IF($BX480&lt;&gt;Constants!$B$6,"",IF($AL480,Constants!$B$17*$AN480+Constants!$B$18*IF($AO480,$AP480,Constants!$B$19),Constants!$B$20))</f>
        <v/>
      </c>
      <c r="BD480" s="138" t="str">
        <f aca="false">IF($BX480&lt;&gt;Constants!$B$6,"",Constants!$B$21*ABS($AD$9-IF($AL480,$AM480,0)))</f>
        <v/>
      </c>
      <c r="BE480" s="138" t="str">
        <f aca="false">IF($BX480&lt;&gt;Constants!$B$6,"",IF(AND($AL480,$AQ480,$AO480),Constants!$B$22,0))</f>
        <v/>
      </c>
      <c r="BF480" s="138" t="str">
        <f aca="false">IF($BX480&lt;&gt;Constants!$B$6,"",IF($AL480,($AI480-Constants!$B$24)*Constants!$B$23,0))</f>
        <v/>
      </c>
      <c r="BG480" s="138" t="str">
        <f aca="false">IF($BX480&lt;&gt;Constants!$B$6,"",IF($AK480,0,Constants!$B$12)+IF($AJ480,0,Constants!$B$13)+IF($AH480,0,Constants!$B$14))</f>
        <v/>
      </c>
      <c r="BH480" s="139" t="str">
        <f aca="false">IF($BX480&lt;&gt;Constants!$B$6,"",Constants!$B$16+SUM($BC480:$BG480))</f>
        <v/>
      </c>
      <c r="BI480" s="138" t="str">
        <f aca="false">IF($BX480&lt;&gt;Constants!$B$6,"",$BC480)</f>
        <v/>
      </c>
      <c r="BJ480" s="138" t="str">
        <f aca="false">IF($BX480&lt;&gt;Constants!$B$6,"",$BD480)</f>
        <v/>
      </c>
      <c r="BK480" s="140" t="str">
        <f aca="false">IF($BX480&lt;&gt;Constants!$B$6,"",IF($AL480,$AN480,""))</f>
        <v/>
      </c>
      <c r="BL480" s="135" t="str">
        <f aca="false">IF($BX480&lt;&gt;Constants!$B$6,"",IF(OR($BS480&lt;$BH480,AND($BS480=$BH480,OR($BT480&lt;$BI480,AND($BT480=$BI480,OR($BU480&lt;$BJ480,AND($BU480=$BJ480,AND(ISNUMBER($BV480),OR(NOT(ISNUMBER($BK480)),$BV480&lt;$BK480)))))))),"-&gt;","&lt;-"))</f>
        <v/>
      </c>
      <c r="BM480" s="134" t="str">
        <f aca="false">IF(ISBLANK($C480),"",AND($AT480,OR($AU480="",$AV480="",AND($AW480,$AX480=""))))</f>
        <v/>
      </c>
      <c r="BN480" s="137" t="str">
        <f aca="false">IF($BX480&lt;&gt;Constants!$B$6,"",IF($AT480,Constants!$B$17*$AV480+Constants!$B$18*IF($AW480,$AX480,Constants!$B$19),Constants!$B$20))</f>
        <v/>
      </c>
      <c r="BO480" s="138" t="str">
        <f aca="false">IF($BX480&lt;&gt;Constants!$B$6,"",Constants!$B$21*ABS($AD$9-IF($AT480,$AU480,0)))</f>
        <v/>
      </c>
      <c r="BP480" s="138" t="str">
        <f aca="false">IF($BX480&lt;&gt;Constants!$B$6,"",IF(AND($AT480,$AY480,$AW480),Constants!$B$22,0))</f>
        <v/>
      </c>
      <c r="BQ480" s="138" t="str">
        <f aca="false">IF($BX480&lt;&gt;Constants!$B$6,"",IF($AT480,($AI480-Constants!$B$24)*Constants!$B$23,0))</f>
        <v/>
      </c>
      <c r="BR480" s="138" t="str">
        <f aca="false">IF($BX480&lt;&gt;Constants!$B$6,"",IF($AS480,0,Constants!$B$12)+IF($AR480,0,Constants!$B$13)+IF($AH480,0,Constants!$B$14))</f>
        <v/>
      </c>
      <c r="BS480" s="139" t="str">
        <f aca="false">IF($BX480&lt;&gt;Constants!$B$6,"",Constants!$B$16+SUM($BN480:$BR480))</f>
        <v/>
      </c>
      <c r="BT480" s="138" t="str">
        <f aca="false">IF($BX480&lt;&gt;Constants!$B$6,"",$BN480)</f>
        <v/>
      </c>
      <c r="BU480" s="138" t="str">
        <f aca="false">IF($BX480&lt;&gt;Constants!$B$6,"",$BO480)</f>
        <v/>
      </c>
      <c r="BV480" s="140" t="str">
        <f aca="false">IF($BX480&lt;&gt;Constants!$B$6,"",IF($AT480,$AV480,""))</f>
        <v/>
      </c>
      <c r="BW480" s="135" t="str">
        <f aca="false">IF(ISBLANK($C480),"",IF(ISBLANK($D$7),$BW$5,IF(NOT(ISNUMBER($D$7)),$BW$6,"")))</f>
        <v/>
      </c>
      <c r="BX480" s="135" t="str">
        <f aca="false">IF(ISBLANK($C480),"",IF($BA480,Constants!$B$9,IF(COUNTA($E480:$AA480)=0,Constants!$B$8,IF(NOT($AG480),Constants!$B$7,IF(OR($BW480&lt;&gt;"",$BB480,$BM480),Constants!$B$10,Constants!$B$6)))))</f>
        <v/>
      </c>
      <c r="BY480" s="135" t="str">
        <f aca="false">IF(ISBLANK($C480),"",IF($BX480&lt;&gt;Constants!$B$6,$BX480,Constants!$B$11))</f>
        <v/>
      </c>
      <c r="BZ480" s="138" t="str">
        <f aca="false">IF($BX480&lt;&gt;Constants!$B$6,"",IF($BL480="-&gt;",$BS480,$BH480))</f>
        <v/>
      </c>
      <c r="CA480" s="138" t="str">
        <f aca="false">IF($BX480&lt;&gt;Constants!$B$6,"",IF($AF480,0,Constants!$B$15))</f>
        <v/>
      </c>
      <c r="CB480" s="138" t="str">
        <f aca="false">IF($BX480&lt;&gt;Constants!$B$6,"",((Constants!$B$25-$AZ480)-Constants!$B$25)/Constants!$B$26)</f>
        <v/>
      </c>
      <c r="CC480" s="138" t="str">
        <f aca="false">IF(ISBLANK($C480),"",IF($BX480&lt;&gt;Constants!$B$6,$BX480,SUM($BZ480:$CB480)))</f>
        <v/>
      </c>
      <c r="CD480" s="135" t="str">
        <f aca="false">IF(ISBLANK($C480),"",IF($BX480&lt;&gt;Constants!$B$6,$BX480,RANK($CC480,$CC$9:$CC$508,1)))</f>
        <v/>
      </c>
      <c r="CE480" s="138" t="str">
        <f aca="false">IF($BX480&lt;&gt;Constants!$B$6,"",IF($BL480="-&gt;",$BT480,$BI480))</f>
        <v/>
      </c>
      <c r="CF480" s="135" t="str">
        <f aca="false">IF(ISBLANK($C480),"",IF($BX480&lt;&gt;Constants!$B$6,$BX480,IF(ISNUMBER($CE480),RANK($CE480,$CE$9:$CE$508,1),COUNT($CE$9:$CE$508)+1)))</f>
        <v/>
      </c>
      <c r="CG480" s="138" t="str">
        <f aca="false">IF($BX480&lt;&gt;Constants!$B$6,"",IF($BL480="-&gt;",$BU480,$BJ480))</f>
        <v/>
      </c>
      <c r="CH480" s="135" t="str">
        <f aca="false">IF(ISBLANK($C480),"",IF($BX480&lt;&gt;Constants!$B$6,$BX480,IF(ISNUMBER($CG480),RANK($CG480,$CG$9:$CG$508,1),COUNT($CG$9:$CG$508)+1)))</f>
        <v/>
      </c>
      <c r="CI480" s="138" t="str">
        <f aca="false">IF($BX480&lt;&gt;Constants!$B$6,"",IF($BL480="-&gt;",$BV480,$BK480))</f>
        <v/>
      </c>
      <c r="CJ480" s="135" t="str">
        <f aca="false">IF(ISBLANK($C480),"",IF($BX480&lt;&gt;Constants!$B$6,$BX480,IF(ISNUMBER($CI480),RANK($CI480,$CI$9:$CI$508,1),COUNT($CI$9:$CI$508)+1)))</f>
        <v/>
      </c>
      <c r="CK480" s="138" t="str">
        <f aca="false">IF($BX480&lt;&gt;Constants!$B$6,"",$AI480)</f>
        <v/>
      </c>
      <c r="CL480" s="135" t="str">
        <f aca="false">IF(ISBLANK($C480),"",IF($BX480&lt;&gt;Constants!$B$6,$BX480,IF(ISNUMBER($CK480),RANK($CK480,$CK$9:$CK$508,1),COUNT($CK$9:$CK$508)+1)))</f>
        <v/>
      </c>
      <c r="CM480" s="135" t="str">
        <f aca="false">IF(ISBLANK($C480),"",IF($BX480&lt;&gt;Constants!$B$6,$BX480,COUNTIFS($CD$9:$CD$508,"&lt;"&amp;$CD480)+COUNTIFS($CD$9:$CD$508,$CD480,$CF$9:$CF$508,"&lt;"&amp;$CF480)+COUNTIFS($CD$9:$CD$508,$CD480,$CF$9:$CF$508,$CF480,$CH$9:$CH$508,"&lt;"&amp;$CH480)+COUNTIFS($CD$9:$CD$508,$CD480,$CF$9:$CF$508,$CF480,$CH$9:$CH$508,$CH480,$CJ$9:$CJ$508,"&lt;"&amp;$CJ480)+COUNTIFS($CD$9:$CD$508,$CD480,$CF$9:$CF$508,$CF480,$CH$9:$CH$508,$CH480,$CJ$9:$CJ$508,$CJ480,$CL$9:$CL$508,"&lt;"&amp;$CL480)+1))</f>
        <v/>
      </c>
      <c r="CN480" s="135" t="str">
        <f aca="false">IF(ISBLANK($C480),"",IF($BX480&lt;&gt;Constants!$B$6,$BX480,$CD480-$CM480))</f>
        <v/>
      </c>
      <c r="CO480" s="141"/>
      <c r="CP480" s="142"/>
      <c r="CQ480" s="143" t="str">
        <f aca="false">IF(ISBLANK($C480),"",IF($BX480=Constants!$B$10,$BW480,""))</f>
        <v/>
      </c>
      <c r="CR480" s="142" t="str">
        <f aca="false">IF(ISBLANK($C480),"",IF($BX480&lt;&gt;Constants!$B$6,"",IF($BL480="-&gt;",2,1)))</f>
        <v/>
      </c>
      <c r="CS480" s="144" t="str">
        <f aca="false">IF(ISBLANK($C480),"",IF($BX480&lt;&gt;Constants!$B$6,"",IF($BL480="-&gt;",$BN480,$BC480)))</f>
        <v/>
      </c>
      <c r="CT480" s="144" t="str">
        <f aca="false">IF(ISBLANK($C480),"",IF($BX480&lt;&gt;Constants!$B$6,"",IF($BL480="-&gt;",$BO480,$BD480)))</f>
        <v/>
      </c>
      <c r="CU480" s="144" t="str">
        <f aca="false">IF(ISBLANK($C480),"",IF($BX480&lt;&gt;Constants!$B$6,"",IF($BL480="-&gt;",$BP480+$BQ480,$BE480+$BF480)+$CB480))</f>
        <v/>
      </c>
      <c r="CV480" s="144" t="str">
        <f aca="false">IF(ISBLANK($C480),"",IF($BX480&lt;&gt;Constants!$B$6,"",IF($BL480="-&gt;",$BR480,$BG480)+$CA480))</f>
        <v/>
      </c>
      <c r="CW480" s="145" t="str">
        <f aca="false">IF(ISBLANK($C480),"",IF($BX480&lt;&gt;Constants!$B$6,$BX480,$CC480))</f>
        <v/>
      </c>
      <c r="CX480" s="146" t="str">
        <f aca="false">IF(ISBLANK($C480),"",$BY480)</f>
        <v/>
      </c>
      <c r="CY480" s="147" t="str">
        <f aca="false">IF(ISBLANK($C480),"",$CN480)</f>
        <v/>
      </c>
      <c r="CZ480" s="147" t="str">
        <f aca="false">IF(ISBLANK($C480),"",$CM480)</f>
        <v/>
      </c>
      <c r="DA480" s="148" t="str">
        <f aca="false">IF(ISBLANK($C480),"",IFERROR(_xlfn.SWITCH($CZ480,Constants!$B$9,COUNTA($C$9:$C$508)+2,Constants!$B$8,COUNTA($C$9:$C$508)+1,Constants!$B$7,COUNTA($C$9:$C$508)),$CZ480))</f>
        <v/>
      </c>
      <c r="DB480" s="9"/>
      <c r="DC480" s="149" t="n">
        <f aca="false">IF(OR(ISNUMBER($CZ480),$CZ480=Constants!$B$9,$CZ480=Constants!$B$7,$CZ480=Constants!$B$8),1,0)</f>
        <v>0</v>
      </c>
      <c r="DD480" s="149" t="n">
        <v>472</v>
      </c>
      <c r="DE480" s="149" t="str">
        <f aca="false">IF(ISBLANK($C480),"",IF(ISNUMBER($DA480),$DA480+ROW($B480)/1000,""))</f>
        <v/>
      </c>
      <c r="DF480" s="149" t="str">
        <f aca="false">IF(ISNUMBER($DE480),RANK($DE480,$DE$9:$DE$508,1),"")</f>
        <v/>
      </c>
      <c r="DG480" s="149" t="str">
        <f aca="false">IF(ISBLANK($C480),"",$B480)</f>
        <v/>
      </c>
      <c r="DH480" s="149" t="str">
        <f aca="false">IF(ISBLANK($C480),"",$C480)</f>
        <v/>
      </c>
      <c r="DI480" s="149" t="str">
        <f aca="false">IF(ISBLANK($C480),"",$D480)</f>
        <v/>
      </c>
      <c r="DJ480" s="150" t="str">
        <f aca="false">$CX480</f>
        <v/>
      </c>
      <c r="DK480" s="151" t="str">
        <f aca="false">$CW480</f>
        <v/>
      </c>
      <c r="DL480" s="149" t="str">
        <f aca="false">IF(ISBLANK($C480),"",$CZ480)</f>
        <v/>
      </c>
      <c r="DM480" s="152" t="str">
        <f aca="false">IF($DD480&gt;$DC$8,"",VLOOKUP($DD480,$DF$9:$DL$508,7,FALSE()))</f>
        <v/>
      </c>
      <c r="DN480" s="153" t="str">
        <f aca="false">IF($DD480&gt;$DC$8,"",VLOOKUP($DD480,$DF$9:$DL$508,2,FALSE()))</f>
        <v/>
      </c>
      <c r="DO480" s="153" t="str">
        <f aca="false">IF($DD480&gt;$DC$8,"",VLOOKUP($DD480,$DF$9:$DL$508,3,FALSE()))</f>
        <v/>
      </c>
      <c r="DP480" s="153" t="str">
        <f aca="false">IF($DD480&gt;$DC$8,"",VLOOKUP($DD480,$DF$9:$DL$508,4,FALSE()))</f>
        <v/>
      </c>
      <c r="DQ480" s="153" t="str">
        <f aca="false">IF($DD480&gt;$DC$8,"",VLOOKUP($DD480,$DF$9:$DL$508,5,FALSE()))</f>
        <v/>
      </c>
      <c r="DR480" s="154" t="str">
        <f aca="false">IF($DD480&gt;$DC$8,"",VLOOKUP($DD480,$DF$9:$DL$508,6,FALSE()))</f>
        <v/>
      </c>
      <c r="DS480" s="76"/>
    </row>
    <row r="481" customFormat="false" ht="15.75" hidden="false" customHeight="false" outlineLevel="0" collapsed="false">
      <c r="A481" s="9"/>
      <c r="B481" s="160"/>
      <c r="C481" s="161"/>
      <c r="D481" s="162"/>
      <c r="E481" s="180"/>
      <c r="F481" s="164"/>
      <c r="G481" s="165"/>
      <c r="H481" s="165"/>
      <c r="I481" s="181"/>
      <c r="J481" s="168"/>
      <c r="K481" s="128"/>
      <c r="L481" s="129"/>
      <c r="M481" s="130"/>
      <c r="N481" s="168"/>
      <c r="O481" s="168"/>
      <c r="P481" s="180"/>
      <c r="Q481" s="168"/>
      <c r="R481" s="168"/>
      <c r="S481" s="128"/>
      <c r="T481" s="130"/>
      <c r="U481" s="130"/>
      <c r="V481" s="168"/>
      <c r="W481" s="168"/>
      <c r="X481" s="180"/>
      <c r="Y481" s="168"/>
      <c r="Z481" s="169"/>
      <c r="AA481" s="168"/>
      <c r="AB481" s="134"/>
      <c r="AC481" s="135"/>
      <c r="AD481" s="135"/>
      <c r="AE481" s="135"/>
      <c r="AF481" s="135" t="str">
        <f aca="false">IF(ISBLANK($C481),"",IF(E481=Constants!$B$2,TRUE(),IF(E481=Constants!$B$3,FALSE(),TRUE())))</f>
        <v/>
      </c>
      <c r="AG481" s="135" t="str">
        <f aca="false">IF(ISBLANK($C481),"",IF(F481=Constants!$B$2,TRUE(),IF(F481=Constants!$B$3,FALSE(),TRUE())))</f>
        <v/>
      </c>
      <c r="AH481" s="135" t="str">
        <f aca="false">IF(ISBLANK($C481),"",IF(G481=Constants!$B$2,TRUE(),IF(G481=Constants!$B$3,FALSE(),TRUE())))</f>
        <v/>
      </c>
      <c r="AI481" s="135" t="str">
        <f aca="false">IF(ISBLANK($C481),"",IF(AND(ISNUMBER(H481),H481&gt;=0),H481,Constants!$B$24))</f>
        <v/>
      </c>
      <c r="AJ481" s="135" t="str">
        <f aca="false">IF(ISBLANK($C481),"",IF(I481=Constants!$B$2,TRUE(),IF(I481=Constants!$B$3,FALSE(),TRUE())))</f>
        <v/>
      </c>
      <c r="AK481" s="135" t="str">
        <f aca="false">IF(ISBLANK($C481),"",IF(J481=Constants!$B$2,TRUE(),IF(J481=Constants!$B$3,FALSE(),TRUE())))</f>
        <v/>
      </c>
      <c r="AL481" s="135" t="str">
        <f aca="false">IF(ISBLANK($C481),"",IF(K481=Constants!$B$4,TRUE(),IF(K481=Constants!$B$5,FALSE(),COUNTA(L481:P481)&gt;0)))</f>
        <v/>
      </c>
      <c r="AM481" s="136" t="str">
        <f aca="false">IF(ISBLANK($C481),"",IF(ISNUMBER(L481),IF(L481&gt;=0,L481,""),""))</f>
        <v/>
      </c>
      <c r="AN481" s="137" t="str">
        <f aca="false">IF(ISBLANK($C481),"",IF(ISNUMBER(M481),IF(M481&gt;=0,M481,""),""))</f>
        <v/>
      </c>
      <c r="AO481" s="137" t="str">
        <f aca="false">IF(ISBLANK($C481),"",IF(N481=Constants!$B$2,TRUE(),IF(N481=Constants!$B$3,FALSE(),TRUE())))</f>
        <v/>
      </c>
      <c r="AP481" s="135" t="str">
        <f aca="false">IF(ISBLANK($C481),"",IF(ISNUMBER(O481),IF(O481&gt;=0,O481,""),""))</f>
        <v/>
      </c>
      <c r="AQ481" s="135" t="str">
        <f aca="false">IF(ISBLANK($C481),"",IF(P481=Constants!$B$2,TRUE(),IF(P481=Constants!$B$3,FALSE(),FALSE())))</f>
        <v/>
      </c>
      <c r="AR481" s="135" t="str">
        <f aca="false">IF(ISBLANK($C481),"",IF(Q481=Constants!$B$2,TRUE(),IF(Q481=Constants!$B$3,FALSE(),TRUE())))</f>
        <v/>
      </c>
      <c r="AS481" s="135" t="str">
        <f aca="false">IF(ISBLANK($C481),"",IF(R481=Constants!$B$2,TRUE(),IF(R481=Constants!$B$3,FALSE(),TRUE())))</f>
        <v/>
      </c>
      <c r="AT481" s="135" t="str">
        <f aca="false">IF(ISBLANK($C481),"",IF(S481=Constants!$B$4,TRUE(),IF(S481=Constants!$B$5,FALSE(),COUNTA(T481:X481)&gt;0)))</f>
        <v/>
      </c>
      <c r="AU481" s="136" t="str">
        <f aca="false">IF(ISBLANK($C481),"",IF(ISNUMBER(T481),IF(T481&gt;=0,T481,""),""))</f>
        <v/>
      </c>
      <c r="AV481" s="137" t="str">
        <f aca="false">IF(ISBLANK($C481),"",IF(ISNUMBER(U481),IF(U481&gt;=0,U481,""),""))</f>
        <v/>
      </c>
      <c r="AW481" s="137" t="str">
        <f aca="false">IF(ISBLANK($C481),"",IF(V481=Constants!$B$2,TRUE(),IF(V481=Constants!$B$3,FALSE(),TRUE())))</f>
        <v/>
      </c>
      <c r="AX481" s="135" t="str">
        <f aca="false">IF(ISBLANK($C481),"",IF(ISNUMBER(W481),IF(W481&gt;=0,W481,""),""))</f>
        <v/>
      </c>
      <c r="AY481" s="135" t="str">
        <f aca="false">IF(ISBLANK($C481),"",IF(X481=Constants!$B$2,TRUE(),IF(X481=Constants!$B$3,FALSE(),FALSE())))</f>
        <v/>
      </c>
      <c r="AZ481" s="135" t="str">
        <f aca="false">IF(ISBLANK($C481),"",MIN(Constants!$B$25,MAX(0,IF(ISNUMBER(Y481),Y481*60,0)+IF(ISNUMBER(Z481),Z481,0))))</f>
        <v/>
      </c>
      <c r="BA481" s="135" t="str">
        <f aca="false">IF(ISBLANK($C481),"",IF(AA481=Constants!$B$2,TRUE(),IF(AA481=Constants!$B$3,FALSE(),FALSE())))</f>
        <v/>
      </c>
      <c r="BB481" s="134" t="str">
        <f aca="false">IF(ISBLANK($C481),"",AND($AL481,OR($AM481="",$AN481="",AND($AO481,$AP481=""))))</f>
        <v/>
      </c>
      <c r="BC481" s="137" t="str">
        <f aca="false">IF($BX481&lt;&gt;Constants!$B$6,"",IF($AL481,Constants!$B$17*$AN481+Constants!$B$18*IF($AO481,$AP481,Constants!$B$19),Constants!$B$20))</f>
        <v/>
      </c>
      <c r="BD481" s="138" t="str">
        <f aca="false">IF($BX481&lt;&gt;Constants!$B$6,"",Constants!$B$21*ABS($AD$9-IF($AL481,$AM481,0)))</f>
        <v/>
      </c>
      <c r="BE481" s="138" t="str">
        <f aca="false">IF($BX481&lt;&gt;Constants!$B$6,"",IF(AND($AL481,$AQ481,$AO481),Constants!$B$22,0))</f>
        <v/>
      </c>
      <c r="BF481" s="138" t="str">
        <f aca="false">IF($BX481&lt;&gt;Constants!$B$6,"",IF($AL481,($AI481-Constants!$B$24)*Constants!$B$23,0))</f>
        <v/>
      </c>
      <c r="BG481" s="138" t="str">
        <f aca="false">IF($BX481&lt;&gt;Constants!$B$6,"",IF($AK481,0,Constants!$B$12)+IF($AJ481,0,Constants!$B$13)+IF($AH481,0,Constants!$B$14))</f>
        <v/>
      </c>
      <c r="BH481" s="139" t="str">
        <f aca="false">IF($BX481&lt;&gt;Constants!$B$6,"",Constants!$B$16+SUM($BC481:$BG481))</f>
        <v/>
      </c>
      <c r="BI481" s="138" t="str">
        <f aca="false">IF($BX481&lt;&gt;Constants!$B$6,"",$BC481)</f>
        <v/>
      </c>
      <c r="BJ481" s="138" t="str">
        <f aca="false">IF($BX481&lt;&gt;Constants!$B$6,"",$BD481)</f>
        <v/>
      </c>
      <c r="BK481" s="140" t="str">
        <f aca="false">IF($BX481&lt;&gt;Constants!$B$6,"",IF($AL481,$AN481,""))</f>
        <v/>
      </c>
      <c r="BL481" s="135" t="str">
        <f aca="false">IF($BX481&lt;&gt;Constants!$B$6,"",IF(OR($BS481&lt;$BH481,AND($BS481=$BH481,OR($BT481&lt;$BI481,AND($BT481=$BI481,OR($BU481&lt;$BJ481,AND($BU481=$BJ481,AND(ISNUMBER($BV481),OR(NOT(ISNUMBER($BK481)),$BV481&lt;$BK481)))))))),"-&gt;","&lt;-"))</f>
        <v/>
      </c>
      <c r="BM481" s="134" t="str">
        <f aca="false">IF(ISBLANK($C481),"",AND($AT481,OR($AU481="",$AV481="",AND($AW481,$AX481=""))))</f>
        <v/>
      </c>
      <c r="BN481" s="137" t="str">
        <f aca="false">IF($BX481&lt;&gt;Constants!$B$6,"",IF($AT481,Constants!$B$17*$AV481+Constants!$B$18*IF($AW481,$AX481,Constants!$B$19),Constants!$B$20))</f>
        <v/>
      </c>
      <c r="BO481" s="138" t="str">
        <f aca="false">IF($BX481&lt;&gt;Constants!$B$6,"",Constants!$B$21*ABS($AD$9-IF($AT481,$AU481,0)))</f>
        <v/>
      </c>
      <c r="BP481" s="138" t="str">
        <f aca="false">IF($BX481&lt;&gt;Constants!$B$6,"",IF(AND($AT481,$AY481,$AW481),Constants!$B$22,0))</f>
        <v/>
      </c>
      <c r="BQ481" s="138" t="str">
        <f aca="false">IF($BX481&lt;&gt;Constants!$B$6,"",IF($AT481,($AI481-Constants!$B$24)*Constants!$B$23,0))</f>
        <v/>
      </c>
      <c r="BR481" s="138" t="str">
        <f aca="false">IF($BX481&lt;&gt;Constants!$B$6,"",IF($AS481,0,Constants!$B$12)+IF($AR481,0,Constants!$B$13)+IF($AH481,0,Constants!$B$14))</f>
        <v/>
      </c>
      <c r="BS481" s="139" t="str">
        <f aca="false">IF($BX481&lt;&gt;Constants!$B$6,"",Constants!$B$16+SUM($BN481:$BR481))</f>
        <v/>
      </c>
      <c r="BT481" s="138" t="str">
        <f aca="false">IF($BX481&lt;&gt;Constants!$B$6,"",$BN481)</f>
        <v/>
      </c>
      <c r="BU481" s="138" t="str">
        <f aca="false">IF($BX481&lt;&gt;Constants!$B$6,"",$BO481)</f>
        <v/>
      </c>
      <c r="BV481" s="140" t="str">
        <f aca="false">IF($BX481&lt;&gt;Constants!$B$6,"",IF($AT481,$AV481,""))</f>
        <v/>
      </c>
      <c r="BW481" s="135" t="str">
        <f aca="false">IF(ISBLANK($C481),"",IF(ISBLANK($D$7),$BW$5,IF(NOT(ISNUMBER($D$7)),$BW$6,"")))</f>
        <v/>
      </c>
      <c r="BX481" s="135" t="str">
        <f aca="false">IF(ISBLANK($C481),"",IF($BA481,Constants!$B$9,IF(COUNTA($E481:$AA481)=0,Constants!$B$8,IF(NOT($AG481),Constants!$B$7,IF(OR($BW481&lt;&gt;"",$BB481,$BM481),Constants!$B$10,Constants!$B$6)))))</f>
        <v/>
      </c>
      <c r="BY481" s="135" t="str">
        <f aca="false">IF(ISBLANK($C481),"",IF($BX481&lt;&gt;Constants!$B$6,$BX481,Constants!$B$11))</f>
        <v/>
      </c>
      <c r="BZ481" s="138" t="str">
        <f aca="false">IF($BX481&lt;&gt;Constants!$B$6,"",IF($BL481="-&gt;",$BS481,$BH481))</f>
        <v/>
      </c>
      <c r="CA481" s="138" t="str">
        <f aca="false">IF($BX481&lt;&gt;Constants!$B$6,"",IF($AF481,0,Constants!$B$15))</f>
        <v/>
      </c>
      <c r="CB481" s="138" t="str">
        <f aca="false">IF($BX481&lt;&gt;Constants!$B$6,"",((Constants!$B$25-$AZ481)-Constants!$B$25)/Constants!$B$26)</f>
        <v/>
      </c>
      <c r="CC481" s="138" t="str">
        <f aca="false">IF(ISBLANK($C481),"",IF($BX481&lt;&gt;Constants!$B$6,$BX481,SUM($BZ481:$CB481)))</f>
        <v/>
      </c>
      <c r="CD481" s="135" t="str">
        <f aca="false">IF(ISBLANK($C481),"",IF($BX481&lt;&gt;Constants!$B$6,$BX481,RANK($CC481,$CC$9:$CC$508,1)))</f>
        <v/>
      </c>
      <c r="CE481" s="138" t="str">
        <f aca="false">IF($BX481&lt;&gt;Constants!$B$6,"",IF($BL481="-&gt;",$BT481,$BI481))</f>
        <v/>
      </c>
      <c r="CF481" s="135" t="str">
        <f aca="false">IF(ISBLANK($C481),"",IF($BX481&lt;&gt;Constants!$B$6,$BX481,IF(ISNUMBER($CE481),RANK($CE481,$CE$9:$CE$508,1),COUNT($CE$9:$CE$508)+1)))</f>
        <v/>
      </c>
      <c r="CG481" s="138" t="str">
        <f aca="false">IF($BX481&lt;&gt;Constants!$B$6,"",IF($BL481="-&gt;",$BU481,$BJ481))</f>
        <v/>
      </c>
      <c r="CH481" s="135" t="str">
        <f aca="false">IF(ISBLANK($C481),"",IF($BX481&lt;&gt;Constants!$B$6,$BX481,IF(ISNUMBER($CG481),RANK($CG481,$CG$9:$CG$508,1),COUNT($CG$9:$CG$508)+1)))</f>
        <v/>
      </c>
      <c r="CI481" s="138" t="str">
        <f aca="false">IF($BX481&lt;&gt;Constants!$B$6,"",IF($BL481="-&gt;",$BV481,$BK481))</f>
        <v/>
      </c>
      <c r="CJ481" s="135" t="str">
        <f aca="false">IF(ISBLANK($C481),"",IF($BX481&lt;&gt;Constants!$B$6,$BX481,IF(ISNUMBER($CI481),RANK($CI481,$CI$9:$CI$508,1),COUNT($CI$9:$CI$508)+1)))</f>
        <v/>
      </c>
      <c r="CK481" s="138" t="str">
        <f aca="false">IF($BX481&lt;&gt;Constants!$B$6,"",$AI481)</f>
        <v/>
      </c>
      <c r="CL481" s="135" t="str">
        <f aca="false">IF(ISBLANK($C481),"",IF($BX481&lt;&gt;Constants!$B$6,$BX481,IF(ISNUMBER($CK481),RANK($CK481,$CK$9:$CK$508,1),COUNT($CK$9:$CK$508)+1)))</f>
        <v/>
      </c>
      <c r="CM481" s="135" t="str">
        <f aca="false">IF(ISBLANK($C481),"",IF($BX481&lt;&gt;Constants!$B$6,$BX481,COUNTIFS($CD$9:$CD$508,"&lt;"&amp;$CD481)+COUNTIFS($CD$9:$CD$508,$CD481,$CF$9:$CF$508,"&lt;"&amp;$CF481)+COUNTIFS($CD$9:$CD$508,$CD481,$CF$9:$CF$508,$CF481,$CH$9:$CH$508,"&lt;"&amp;$CH481)+COUNTIFS($CD$9:$CD$508,$CD481,$CF$9:$CF$508,$CF481,$CH$9:$CH$508,$CH481,$CJ$9:$CJ$508,"&lt;"&amp;$CJ481)+COUNTIFS($CD$9:$CD$508,$CD481,$CF$9:$CF$508,$CF481,$CH$9:$CH$508,$CH481,$CJ$9:$CJ$508,$CJ481,$CL$9:$CL$508,"&lt;"&amp;$CL481)+1))</f>
        <v/>
      </c>
      <c r="CN481" s="135" t="str">
        <f aca="false">IF(ISBLANK($C481),"",IF($BX481&lt;&gt;Constants!$B$6,$BX481,$CD481-$CM481))</f>
        <v/>
      </c>
      <c r="CO481" s="141"/>
      <c r="CP481" s="142"/>
      <c r="CQ481" s="143" t="str">
        <f aca="false">IF(ISBLANK($C481),"",IF($BX481=Constants!$B$10,$BW481,""))</f>
        <v/>
      </c>
      <c r="CR481" s="142" t="str">
        <f aca="false">IF(ISBLANK($C481),"",IF($BX481&lt;&gt;Constants!$B$6,"",IF($BL481="-&gt;",2,1)))</f>
        <v/>
      </c>
      <c r="CS481" s="144" t="str">
        <f aca="false">IF(ISBLANK($C481),"",IF($BX481&lt;&gt;Constants!$B$6,"",IF($BL481="-&gt;",$BN481,$BC481)))</f>
        <v/>
      </c>
      <c r="CT481" s="144" t="str">
        <f aca="false">IF(ISBLANK($C481),"",IF($BX481&lt;&gt;Constants!$B$6,"",IF($BL481="-&gt;",$BO481,$BD481)))</f>
        <v/>
      </c>
      <c r="CU481" s="144" t="str">
        <f aca="false">IF(ISBLANK($C481),"",IF($BX481&lt;&gt;Constants!$B$6,"",IF($BL481="-&gt;",$BP481+$BQ481,$BE481+$BF481)+$CB481))</f>
        <v/>
      </c>
      <c r="CV481" s="144" t="str">
        <f aca="false">IF(ISBLANK($C481),"",IF($BX481&lt;&gt;Constants!$B$6,"",IF($BL481="-&gt;",$BR481,$BG481)+$CA481))</f>
        <v/>
      </c>
      <c r="CW481" s="145" t="str">
        <f aca="false">IF(ISBLANK($C481),"",IF($BX481&lt;&gt;Constants!$B$6,$BX481,$CC481))</f>
        <v/>
      </c>
      <c r="CX481" s="146" t="str">
        <f aca="false">IF(ISBLANK($C481),"",$BY481)</f>
        <v/>
      </c>
      <c r="CY481" s="147" t="str">
        <f aca="false">IF(ISBLANK($C481),"",$CN481)</f>
        <v/>
      </c>
      <c r="CZ481" s="147" t="str">
        <f aca="false">IF(ISBLANK($C481),"",$CM481)</f>
        <v/>
      </c>
      <c r="DA481" s="148" t="str">
        <f aca="false">IF(ISBLANK($C481),"",IFERROR(_xlfn.SWITCH($CZ481,Constants!$B$9,COUNTA($C$9:$C$508)+2,Constants!$B$8,COUNTA($C$9:$C$508)+1,Constants!$B$7,COUNTA($C$9:$C$508)),$CZ481))</f>
        <v/>
      </c>
      <c r="DB481" s="9"/>
      <c r="DC481" s="149" t="n">
        <f aca="false">IF(OR(ISNUMBER($CZ481),$CZ481=Constants!$B$9,$CZ481=Constants!$B$7,$CZ481=Constants!$B$8),1,0)</f>
        <v>0</v>
      </c>
      <c r="DD481" s="149" t="n">
        <v>473</v>
      </c>
      <c r="DE481" s="149" t="str">
        <f aca="false">IF(ISBLANK($C481),"",IF(ISNUMBER($DA481),$DA481+ROW($B481)/1000,""))</f>
        <v/>
      </c>
      <c r="DF481" s="149" t="str">
        <f aca="false">IF(ISNUMBER($DE481),RANK($DE481,$DE$9:$DE$508,1),"")</f>
        <v/>
      </c>
      <c r="DG481" s="149" t="str">
        <f aca="false">IF(ISBLANK($C481),"",$B481)</f>
        <v/>
      </c>
      <c r="DH481" s="149" t="str">
        <f aca="false">IF(ISBLANK($C481),"",$C481)</f>
        <v/>
      </c>
      <c r="DI481" s="149" t="str">
        <f aca="false">IF(ISBLANK($C481),"",$D481)</f>
        <v/>
      </c>
      <c r="DJ481" s="150" t="str">
        <f aca="false">$CX481</f>
        <v/>
      </c>
      <c r="DK481" s="151" t="str">
        <f aca="false">$CW481</f>
        <v/>
      </c>
      <c r="DL481" s="149" t="str">
        <f aca="false">IF(ISBLANK($C481),"",$CZ481)</f>
        <v/>
      </c>
      <c r="DM481" s="152" t="str">
        <f aca="false">IF($DD481&gt;$DC$8,"",VLOOKUP($DD481,$DF$9:$DL$508,7,FALSE()))</f>
        <v/>
      </c>
      <c r="DN481" s="153" t="str">
        <f aca="false">IF($DD481&gt;$DC$8,"",VLOOKUP($DD481,$DF$9:$DL$508,2,FALSE()))</f>
        <v/>
      </c>
      <c r="DO481" s="153" t="str">
        <f aca="false">IF($DD481&gt;$DC$8,"",VLOOKUP($DD481,$DF$9:$DL$508,3,FALSE()))</f>
        <v/>
      </c>
      <c r="DP481" s="153" t="str">
        <f aca="false">IF($DD481&gt;$DC$8,"",VLOOKUP($DD481,$DF$9:$DL$508,4,FALSE()))</f>
        <v/>
      </c>
      <c r="DQ481" s="153" t="str">
        <f aca="false">IF($DD481&gt;$DC$8,"",VLOOKUP($DD481,$DF$9:$DL$508,5,FALSE()))</f>
        <v/>
      </c>
      <c r="DR481" s="154" t="str">
        <f aca="false">IF($DD481&gt;$DC$8,"",VLOOKUP($DD481,$DF$9:$DL$508,6,FALSE()))</f>
        <v/>
      </c>
      <c r="DS481" s="76"/>
    </row>
    <row r="482" customFormat="false" ht="15.75" hidden="false" customHeight="false" outlineLevel="0" collapsed="false">
      <c r="A482" s="9"/>
      <c r="B482" s="160"/>
      <c r="C482" s="161"/>
      <c r="D482" s="162"/>
      <c r="E482" s="180"/>
      <c r="F482" s="164"/>
      <c r="G482" s="165"/>
      <c r="H482" s="165"/>
      <c r="I482" s="181"/>
      <c r="J482" s="168"/>
      <c r="K482" s="128"/>
      <c r="L482" s="129"/>
      <c r="M482" s="130"/>
      <c r="N482" s="168"/>
      <c r="O482" s="168"/>
      <c r="P482" s="180"/>
      <c r="Q482" s="168"/>
      <c r="R482" s="168"/>
      <c r="S482" s="128"/>
      <c r="T482" s="130"/>
      <c r="U482" s="130"/>
      <c r="V482" s="168"/>
      <c r="W482" s="168"/>
      <c r="X482" s="180"/>
      <c r="Y482" s="168"/>
      <c r="Z482" s="169"/>
      <c r="AA482" s="168"/>
      <c r="AB482" s="134"/>
      <c r="AC482" s="135"/>
      <c r="AD482" s="135"/>
      <c r="AE482" s="135"/>
      <c r="AF482" s="135" t="str">
        <f aca="false">IF(ISBLANK($C482),"",IF(E482=Constants!$B$2,TRUE(),IF(E482=Constants!$B$3,FALSE(),TRUE())))</f>
        <v/>
      </c>
      <c r="AG482" s="135" t="str">
        <f aca="false">IF(ISBLANK($C482),"",IF(F482=Constants!$B$2,TRUE(),IF(F482=Constants!$B$3,FALSE(),TRUE())))</f>
        <v/>
      </c>
      <c r="AH482" s="135" t="str">
        <f aca="false">IF(ISBLANK($C482),"",IF(G482=Constants!$B$2,TRUE(),IF(G482=Constants!$B$3,FALSE(),TRUE())))</f>
        <v/>
      </c>
      <c r="AI482" s="135" t="str">
        <f aca="false">IF(ISBLANK($C482),"",IF(AND(ISNUMBER(H482),H482&gt;=0),H482,Constants!$B$24))</f>
        <v/>
      </c>
      <c r="AJ482" s="135" t="str">
        <f aca="false">IF(ISBLANK($C482),"",IF(I482=Constants!$B$2,TRUE(),IF(I482=Constants!$B$3,FALSE(),TRUE())))</f>
        <v/>
      </c>
      <c r="AK482" s="135" t="str">
        <f aca="false">IF(ISBLANK($C482),"",IF(J482=Constants!$B$2,TRUE(),IF(J482=Constants!$B$3,FALSE(),TRUE())))</f>
        <v/>
      </c>
      <c r="AL482" s="135" t="str">
        <f aca="false">IF(ISBLANK($C482),"",IF(K482=Constants!$B$4,TRUE(),IF(K482=Constants!$B$5,FALSE(),COUNTA(L482:P482)&gt;0)))</f>
        <v/>
      </c>
      <c r="AM482" s="136" t="str">
        <f aca="false">IF(ISBLANK($C482),"",IF(ISNUMBER(L482),IF(L482&gt;=0,L482,""),""))</f>
        <v/>
      </c>
      <c r="AN482" s="137" t="str">
        <f aca="false">IF(ISBLANK($C482),"",IF(ISNUMBER(M482),IF(M482&gt;=0,M482,""),""))</f>
        <v/>
      </c>
      <c r="AO482" s="137" t="str">
        <f aca="false">IF(ISBLANK($C482),"",IF(N482=Constants!$B$2,TRUE(),IF(N482=Constants!$B$3,FALSE(),TRUE())))</f>
        <v/>
      </c>
      <c r="AP482" s="135" t="str">
        <f aca="false">IF(ISBLANK($C482),"",IF(ISNUMBER(O482),IF(O482&gt;=0,O482,""),""))</f>
        <v/>
      </c>
      <c r="AQ482" s="135" t="str">
        <f aca="false">IF(ISBLANK($C482),"",IF(P482=Constants!$B$2,TRUE(),IF(P482=Constants!$B$3,FALSE(),FALSE())))</f>
        <v/>
      </c>
      <c r="AR482" s="135" t="str">
        <f aca="false">IF(ISBLANK($C482),"",IF(Q482=Constants!$B$2,TRUE(),IF(Q482=Constants!$B$3,FALSE(),TRUE())))</f>
        <v/>
      </c>
      <c r="AS482" s="135" t="str">
        <f aca="false">IF(ISBLANK($C482),"",IF(R482=Constants!$B$2,TRUE(),IF(R482=Constants!$B$3,FALSE(),TRUE())))</f>
        <v/>
      </c>
      <c r="AT482" s="135" t="str">
        <f aca="false">IF(ISBLANK($C482),"",IF(S482=Constants!$B$4,TRUE(),IF(S482=Constants!$B$5,FALSE(),COUNTA(T482:X482)&gt;0)))</f>
        <v/>
      </c>
      <c r="AU482" s="136" t="str">
        <f aca="false">IF(ISBLANK($C482),"",IF(ISNUMBER(T482),IF(T482&gt;=0,T482,""),""))</f>
        <v/>
      </c>
      <c r="AV482" s="137" t="str">
        <f aca="false">IF(ISBLANK($C482),"",IF(ISNUMBER(U482),IF(U482&gt;=0,U482,""),""))</f>
        <v/>
      </c>
      <c r="AW482" s="137" t="str">
        <f aca="false">IF(ISBLANK($C482),"",IF(V482=Constants!$B$2,TRUE(),IF(V482=Constants!$B$3,FALSE(),TRUE())))</f>
        <v/>
      </c>
      <c r="AX482" s="135" t="str">
        <f aca="false">IF(ISBLANK($C482),"",IF(ISNUMBER(W482),IF(W482&gt;=0,W482,""),""))</f>
        <v/>
      </c>
      <c r="AY482" s="135" t="str">
        <f aca="false">IF(ISBLANK($C482),"",IF(X482=Constants!$B$2,TRUE(),IF(X482=Constants!$B$3,FALSE(),FALSE())))</f>
        <v/>
      </c>
      <c r="AZ482" s="135" t="str">
        <f aca="false">IF(ISBLANK($C482),"",MIN(Constants!$B$25,MAX(0,IF(ISNUMBER(Y482),Y482*60,0)+IF(ISNUMBER(Z482),Z482,0))))</f>
        <v/>
      </c>
      <c r="BA482" s="135" t="str">
        <f aca="false">IF(ISBLANK($C482),"",IF(AA482=Constants!$B$2,TRUE(),IF(AA482=Constants!$B$3,FALSE(),FALSE())))</f>
        <v/>
      </c>
      <c r="BB482" s="134" t="str">
        <f aca="false">IF(ISBLANK($C482),"",AND($AL482,OR($AM482="",$AN482="",AND($AO482,$AP482=""))))</f>
        <v/>
      </c>
      <c r="BC482" s="137" t="str">
        <f aca="false">IF($BX482&lt;&gt;Constants!$B$6,"",IF($AL482,Constants!$B$17*$AN482+Constants!$B$18*IF($AO482,$AP482,Constants!$B$19),Constants!$B$20))</f>
        <v/>
      </c>
      <c r="BD482" s="138" t="str">
        <f aca="false">IF($BX482&lt;&gt;Constants!$B$6,"",Constants!$B$21*ABS($AD$9-IF($AL482,$AM482,0)))</f>
        <v/>
      </c>
      <c r="BE482" s="138" t="str">
        <f aca="false">IF($BX482&lt;&gt;Constants!$B$6,"",IF(AND($AL482,$AQ482,$AO482),Constants!$B$22,0))</f>
        <v/>
      </c>
      <c r="BF482" s="138" t="str">
        <f aca="false">IF($BX482&lt;&gt;Constants!$B$6,"",IF($AL482,($AI482-Constants!$B$24)*Constants!$B$23,0))</f>
        <v/>
      </c>
      <c r="BG482" s="138" t="str">
        <f aca="false">IF($BX482&lt;&gt;Constants!$B$6,"",IF($AK482,0,Constants!$B$12)+IF($AJ482,0,Constants!$B$13)+IF($AH482,0,Constants!$B$14))</f>
        <v/>
      </c>
      <c r="BH482" s="139" t="str">
        <f aca="false">IF($BX482&lt;&gt;Constants!$B$6,"",Constants!$B$16+SUM($BC482:$BG482))</f>
        <v/>
      </c>
      <c r="BI482" s="138" t="str">
        <f aca="false">IF($BX482&lt;&gt;Constants!$B$6,"",$BC482)</f>
        <v/>
      </c>
      <c r="BJ482" s="138" t="str">
        <f aca="false">IF($BX482&lt;&gt;Constants!$B$6,"",$BD482)</f>
        <v/>
      </c>
      <c r="BK482" s="140" t="str">
        <f aca="false">IF($BX482&lt;&gt;Constants!$B$6,"",IF($AL482,$AN482,""))</f>
        <v/>
      </c>
      <c r="BL482" s="135" t="str">
        <f aca="false">IF($BX482&lt;&gt;Constants!$B$6,"",IF(OR($BS482&lt;$BH482,AND($BS482=$BH482,OR($BT482&lt;$BI482,AND($BT482=$BI482,OR($BU482&lt;$BJ482,AND($BU482=$BJ482,AND(ISNUMBER($BV482),OR(NOT(ISNUMBER($BK482)),$BV482&lt;$BK482)))))))),"-&gt;","&lt;-"))</f>
        <v/>
      </c>
      <c r="BM482" s="134" t="str">
        <f aca="false">IF(ISBLANK($C482),"",AND($AT482,OR($AU482="",$AV482="",AND($AW482,$AX482=""))))</f>
        <v/>
      </c>
      <c r="BN482" s="137" t="str">
        <f aca="false">IF($BX482&lt;&gt;Constants!$B$6,"",IF($AT482,Constants!$B$17*$AV482+Constants!$B$18*IF($AW482,$AX482,Constants!$B$19),Constants!$B$20))</f>
        <v/>
      </c>
      <c r="BO482" s="138" t="str">
        <f aca="false">IF($BX482&lt;&gt;Constants!$B$6,"",Constants!$B$21*ABS($AD$9-IF($AT482,$AU482,0)))</f>
        <v/>
      </c>
      <c r="BP482" s="138" t="str">
        <f aca="false">IF($BX482&lt;&gt;Constants!$B$6,"",IF(AND($AT482,$AY482,$AW482),Constants!$B$22,0))</f>
        <v/>
      </c>
      <c r="BQ482" s="138" t="str">
        <f aca="false">IF($BX482&lt;&gt;Constants!$B$6,"",IF($AT482,($AI482-Constants!$B$24)*Constants!$B$23,0))</f>
        <v/>
      </c>
      <c r="BR482" s="138" t="str">
        <f aca="false">IF($BX482&lt;&gt;Constants!$B$6,"",IF($AS482,0,Constants!$B$12)+IF($AR482,0,Constants!$B$13)+IF($AH482,0,Constants!$B$14))</f>
        <v/>
      </c>
      <c r="BS482" s="139" t="str">
        <f aca="false">IF($BX482&lt;&gt;Constants!$B$6,"",Constants!$B$16+SUM($BN482:$BR482))</f>
        <v/>
      </c>
      <c r="BT482" s="138" t="str">
        <f aca="false">IF($BX482&lt;&gt;Constants!$B$6,"",$BN482)</f>
        <v/>
      </c>
      <c r="BU482" s="138" t="str">
        <f aca="false">IF($BX482&lt;&gt;Constants!$B$6,"",$BO482)</f>
        <v/>
      </c>
      <c r="BV482" s="140" t="str">
        <f aca="false">IF($BX482&lt;&gt;Constants!$B$6,"",IF($AT482,$AV482,""))</f>
        <v/>
      </c>
      <c r="BW482" s="135" t="str">
        <f aca="false">IF(ISBLANK($C482),"",IF(ISBLANK($D$7),$BW$5,IF(NOT(ISNUMBER($D$7)),$BW$6,"")))</f>
        <v/>
      </c>
      <c r="BX482" s="135" t="str">
        <f aca="false">IF(ISBLANK($C482),"",IF($BA482,Constants!$B$9,IF(COUNTA($E482:$AA482)=0,Constants!$B$8,IF(NOT($AG482),Constants!$B$7,IF(OR($BW482&lt;&gt;"",$BB482,$BM482),Constants!$B$10,Constants!$B$6)))))</f>
        <v/>
      </c>
      <c r="BY482" s="135" t="str">
        <f aca="false">IF(ISBLANK($C482),"",IF($BX482&lt;&gt;Constants!$B$6,$BX482,Constants!$B$11))</f>
        <v/>
      </c>
      <c r="BZ482" s="138" t="str">
        <f aca="false">IF($BX482&lt;&gt;Constants!$B$6,"",IF($BL482="-&gt;",$BS482,$BH482))</f>
        <v/>
      </c>
      <c r="CA482" s="138" t="str">
        <f aca="false">IF($BX482&lt;&gt;Constants!$B$6,"",IF($AF482,0,Constants!$B$15))</f>
        <v/>
      </c>
      <c r="CB482" s="138" t="str">
        <f aca="false">IF($BX482&lt;&gt;Constants!$B$6,"",((Constants!$B$25-$AZ482)-Constants!$B$25)/Constants!$B$26)</f>
        <v/>
      </c>
      <c r="CC482" s="138" t="str">
        <f aca="false">IF(ISBLANK($C482),"",IF($BX482&lt;&gt;Constants!$B$6,$BX482,SUM($BZ482:$CB482)))</f>
        <v/>
      </c>
      <c r="CD482" s="135" t="str">
        <f aca="false">IF(ISBLANK($C482),"",IF($BX482&lt;&gt;Constants!$B$6,$BX482,RANK($CC482,$CC$9:$CC$508,1)))</f>
        <v/>
      </c>
      <c r="CE482" s="138" t="str">
        <f aca="false">IF($BX482&lt;&gt;Constants!$B$6,"",IF($BL482="-&gt;",$BT482,$BI482))</f>
        <v/>
      </c>
      <c r="CF482" s="135" t="str">
        <f aca="false">IF(ISBLANK($C482),"",IF($BX482&lt;&gt;Constants!$B$6,$BX482,IF(ISNUMBER($CE482),RANK($CE482,$CE$9:$CE$508,1),COUNT($CE$9:$CE$508)+1)))</f>
        <v/>
      </c>
      <c r="CG482" s="138" t="str">
        <f aca="false">IF($BX482&lt;&gt;Constants!$B$6,"",IF($BL482="-&gt;",$BU482,$BJ482))</f>
        <v/>
      </c>
      <c r="CH482" s="135" t="str">
        <f aca="false">IF(ISBLANK($C482),"",IF($BX482&lt;&gt;Constants!$B$6,$BX482,IF(ISNUMBER($CG482),RANK($CG482,$CG$9:$CG$508,1),COUNT($CG$9:$CG$508)+1)))</f>
        <v/>
      </c>
      <c r="CI482" s="138" t="str">
        <f aca="false">IF($BX482&lt;&gt;Constants!$B$6,"",IF($BL482="-&gt;",$BV482,$BK482))</f>
        <v/>
      </c>
      <c r="CJ482" s="135" t="str">
        <f aca="false">IF(ISBLANK($C482),"",IF($BX482&lt;&gt;Constants!$B$6,$BX482,IF(ISNUMBER($CI482),RANK($CI482,$CI$9:$CI$508,1),COUNT($CI$9:$CI$508)+1)))</f>
        <v/>
      </c>
      <c r="CK482" s="138" t="str">
        <f aca="false">IF($BX482&lt;&gt;Constants!$B$6,"",$AI482)</f>
        <v/>
      </c>
      <c r="CL482" s="135" t="str">
        <f aca="false">IF(ISBLANK($C482),"",IF($BX482&lt;&gt;Constants!$B$6,$BX482,IF(ISNUMBER($CK482),RANK($CK482,$CK$9:$CK$508,1),COUNT($CK$9:$CK$508)+1)))</f>
        <v/>
      </c>
      <c r="CM482" s="135" t="str">
        <f aca="false">IF(ISBLANK($C482),"",IF($BX482&lt;&gt;Constants!$B$6,$BX482,COUNTIFS($CD$9:$CD$508,"&lt;"&amp;$CD482)+COUNTIFS($CD$9:$CD$508,$CD482,$CF$9:$CF$508,"&lt;"&amp;$CF482)+COUNTIFS($CD$9:$CD$508,$CD482,$CF$9:$CF$508,$CF482,$CH$9:$CH$508,"&lt;"&amp;$CH482)+COUNTIFS($CD$9:$CD$508,$CD482,$CF$9:$CF$508,$CF482,$CH$9:$CH$508,$CH482,$CJ$9:$CJ$508,"&lt;"&amp;$CJ482)+COUNTIFS($CD$9:$CD$508,$CD482,$CF$9:$CF$508,$CF482,$CH$9:$CH$508,$CH482,$CJ$9:$CJ$508,$CJ482,$CL$9:$CL$508,"&lt;"&amp;$CL482)+1))</f>
        <v/>
      </c>
      <c r="CN482" s="135" t="str">
        <f aca="false">IF(ISBLANK($C482),"",IF($BX482&lt;&gt;Constants!$B$6,$BX482,$CD482-$CM482))</f>
        <v/>
      </c>
      <c r="CO482" s="141"/>
      <c r="CP482" s="142"/>
      <c r="CQ482" s="143" t="str">
        <f aca="false">IF(ISBLANK($C482),"",IF($BX482=Constants!$B$10,$BW482,""))</f>
        <v/>
      </c>
      <c r="CR482" s="142" t="str">
        <f aca="false">IF(ISBLANK($C482),"",IF($BX482&lt;&gt;Constants!$B$6,"",IF($BL482="-&gt;",2,1)))</f>
        <v/>
      </c>
      <c r="CS482" s="144" t="str">
        <f aca="false">IF(ISBLANK($C482),"",IF($BX482&lt;&gt;Constants!$B$6,"",IF($BL482="-&gt;",$BN482,$BC482)))</f>
        <v/>
      </c>
      <c r="CT482" s="144" t="str">
        <f aca="false">IF(ISBLANK($C482),"",IF($BX482&lt;&gt;Constants!$B$6,"",IF($BL482="-&gt;",$BO482,$BD482)))</f>
        <v/>
      </c>
      <c r="CU482" s="144" t="str">
        <f aca="false">IF(ISBLANK($C482),"",IF($BX482&lt;&gt;Constants!$B$6,"",IF($BL482="-&gt;",$BP482+$BQ482,$BE482+$BF482)+$CB482))</f>
        <v/>
      </c>
      <c r="CV482" s="144" t="str">
        <f aca="false">IF(ISBLANK($C482),"",IF($BX482&lt;&gt;Constants!$B$6,"",IF($BL482="-&gt;",$BR482,$BG482)+$CA482))</f>
        <v/>
      </c>
      <c r="CW482" s="145" t="str">
        <f aca="false">IF(ISBLANK($C482),"",IF($BX482&lt;&gt;Constants!$B$6,$BX482,$CC482))</f>
        <v/>
      </c>
      <c r="CX482" s="146" t="str">
        <f aca="false">IF(ISBLANK($C482),"",$BY482)</f>
        <v/>
      </c>
      <c r="CY482" s="147" t="str">
        <f aca="false">IF(ISBLANK($C482),"",$CN482)</f>
        <v/>
      </c>
      <c r="CZ482" s="147" t="str">
        <f aca="false">IF(ISBLANK($C482),"",$CM482)</f>
        <v/>
      </c>
      <c r="DA482" s="148" t="str">
        <f aca="false">IF(ISBLANK($C482),"",IFERROR(_xlfn.SWITCH($CZ482,Constants!$B$9,COUNTA($C$9:$C$508)+2,Constants!$B$8,COUNTA($C$9:$C$508)+1,Constants!$B$7,COUNTA($C$9:$C$508)),$CZ482))</f>
        <v/>
      </c>
      <c r="DB482" s="9"/>
      <c r="DC482" s="149" t="n">
        <f aca="false">IF(OR(ISNUMBER($CZ482),$CZ482=Constants!$B$9,$CZ482=Constants!$B$7,$CZ482=Constants!$B$8),1,0)</f>
        <v>0</v>
      </c>
      <c r="DD482" s="149" t="n">
        <v>474</v>
      </c>
      <c r="DE482" s="149" t="str">
        <f aca="false">IF(ISBLANK($C482),"",IF(ISNUMBER($DA482),$DA482+ROW($B482)/1000,""))</f>
        <v/>
      </c>
      <c r="DF482" s="149" t="str">
        <f aca="false">IF(ISNUMBER($DE482),RANK($DE482,$DE$9:$DE$508,1),"")</f>
        <v/>
      </c>
      <c r="DG482" s="149" t="str">
        <f aca="false">IF(ISBLANK($C482),"",$B482)</f>
        <v/>
      </c>
      <c r="DH482" s="149" t="str">
        <f aca="false">IF(ISBLANK($C482),"",$C482)</f>
        <v/>
      </c>
      <c r="DI482" s="149" t="str">
        <f aca="false">IF(ISBLANK($C482),"",$D482)</f>
        <v/>
      </c>
      <c r="DJ482" s="150" t="str">
        <f aca="false">$CX482</f>
        <v/>
      </c>
      <c r="DK482" s="151" t="str">
        <f aca="false">$CW482</f>
        <v/>
      </c>
      <c r="DL482" s="149" t="str">
        <f aca="false">IF(ISBLANK($C482),"",$CZ482)</f>
        <v/>
      </c>
      <c r="DM482" s="152" t="str">
        <f aca="false">IF($DD482&gt;$DC$8,"",VLOOKUP($DD482,$DF$9:$DL$508,7,FALSE()))</f>
        <v/>
      </c>
      <c r="DN482" s="153" t="str">
        <f aca="false">IF($DD482&gt;$DC$8,"",VLOOKUP($DD482,$DF$9:$DL$508,2,FALSE()))</f>
        <v/>
      </c>
      <c r="DO482" s="153" t="str">
        <f aca="false">IF($DD482&gt;$DC$8,"",VLOOKUP($DD482,$DF$9:$DL$508,3,FALSE()))</f>
        <v/>
      </c>
      <c r="DP482" s="153" t="str">
        <f aca="false">IF($DD482&gt;$DC$8,"",VLOOKUP($DD482,$DF$9:$DL$508,4,FALSE()))</f>
        <v/>
      </c>
      <c r="DQ482" s="153" t="str">
        <f aca="false">IF($DD482&gt;$DC$8,"",VLOOKUP($DD482,$DF$9:$DL$508,5,FALSE()))</f>
        <v/>
      </c>
      <c r="DR482" s="154" t="str">
        <f aca="false">IF($DD482&gt;$DC$8,"",VLOOKUP($DD482,$DF$9:$DL$508,6,FALSE()))</f>
        <v/>
      </c>
      <c r="DS482" s="76"/>
    </row>
    <row r="483" customFormat="false" ht="15.75" hidden="false" customHeight="false" outlineLevel="0" collapsed="false">
      <c r="A483" s="9"/>
      <c r="B483" s="78"/>
      <c r="C483" s="79"/>
      <c r="D483" s="170"/>
      <c r="E483" s="178"/>
      <c r="F483" s="172"/>
      <c r="G483" s="173"/>
      <c r="H483" s="173"/>
      <c r="I483" s="179"/>
      <c r="J483" s="176"/>
      <c r="K483" s="86"/>
      <c r="L483" s="87"/>
      <c r="M483" s="88"/>
      <c r="N483" s="176"/>
      <c r="O483" s="176"/>
      <c r="P483" s="178"/>
      <c r="Q483" s="176"/>
      <c r="R483" s="176"/>
      <c r="S483" s="86"/>
      <c r="T483" s="88"/>
      <c r="U483" s="88"/>
      <c r="V483" s="176"/>
      <c r="W483" s="176"/>
      <c r="X483" s="178"/>
      <c r="Y483" s="176"/>
      <c r="Z483" s="177"/>
      <c r="AA483" s="176"/>
      <c r="AB483" s="92"/>
      <c r="AC483" s="93"/>
      <c r="AD483" s="93"/>
      <c r="AE483" s="93"/>
      <c r="AF483" s="93" t="str">
        <f aca="false">IF(ISBLANK($C483),"",IF(E483=Constants!$B$2,TRUE(),IF(E483=Constants!$B$3,FALSE(),TRUE())))</f>
        <v/>
      </c>
      <c r="AG483" s="93" t="str">
        <f aca="false">IF(ISBLANK($C483),"",IF(F483=Constants!$B$2,TRUE(),IF(F483=Constants!$B$3,FALSE(),TRUE())))</f>
        <v/>
      </c>
      <c r="AH483" s="93" t="str">
        <f aca="false">IF(ISBLANK($C483),"",IF(G483=Constants!$B$2,TRUE(),IF(G483=Constants!$B$3,FALSE(),TRUE())))</f>
        <v/>
      </c>
      <c r="AI483" s="93" t="str">
        <f aca="false">IF(ISBLANK($C483),"",IF(AND(ISNUMBER(H483),H483&gt;=0),H483,Constants!$B$24))</f>
        <v/>
      </c>
      <c r="AJ483" s="93" t="str">
        <f aca="false">IF(ISBLANK($C483),"",IF(I483=Constants!$B$2,TRUE(),IF(I483=Constants!$B$3,FALSE(),TRUE())))</f>
        <v/>
      </c>
      <c r="AK483" s="93" t="str">
        <f aca="false">IF(ISBLANK($C483),"",IF(J483=Constants!$B$2,TRUE(),IF(J483=Constants!$B$3,FALSE(),TRUE())))</f>
        <v/>
      </c>
      <c r="AL483" s="93" t="str">
        <f aca="false">IF(ISBLANK($C483),"",IF(K483=Constants!$B$4,TRUE(),IF(K483=Constants!$B$5,FALSE(),COUNTA(L483:P483)&gt;0)))</f>
        <v/>
      </c>
      <c r="AM483" s="95" t="str">
        <f aca="false">IF(ISBLANK($C483),"",IF(ISNUMBER(L483),IF(L483&gt;=0,L483,""),""))</f>
        <v/>
      </c>
      <c r="AN483" s="94" t="str">
        <f aca="false">IF(ISBLANK($C483),"",IF(ISNUMBER(M483),IF(M483&gt;=0,M483,""),""))</f>
        <v/>
      </c>
      <c r="AO483" s="94" t="str">
        <f aca="false">IF(ISBLANK($C483),"",IF(N483=Constants!$B$2,TRUE(),IF(N483=Constants!$B$3,FALSE(),TRUE())))</f>
        <v/>
      </c>
      <c r="AP483" s="93" t="str">
        <f aca="false">IF(ISBLANK($C483),"",IF(ISNUMBER(O483),IF(O483&gt;=0,O483,""),""))</f>
        <v/>
      </c>
      <c r="AQ483" s="93" t="str">
        <f aca="false">IF(ISBLANK($C483),"",IF(P483=Constants!$B$2,TRUE(),IF(P483=Constants!$B$3,FALSE(),FALSE())))</f>
        <v/>
      </c>
      <c r="AR483" s="93" t="str">
        <f aca="false">IF(ISBLANK($C483),"",IF(Q483=Constants!$B$2,TRUE(),IF(Q483=Constants!$B$3,FALSE(),TRUE())))</f>
        <v/>
      </c>
      <c r="AS483" s="93" t="str">
        <f aca="false">IF(ISBLANK($C483),"",IF(R483=Constants!$B$2,TRUE(),IF(R483=Constants!$B$3,FALSE(),TRUE())))</f>
        <v/>
      </c>
      <c r="AT483" s="93" t="str">
        <f aca="false">IF(ISBLANK($C483),"",IF(S483=Constants!$B$4,TRUE(),IF(S483=Constants!$B$5,FALSE(),COUNTA(T483:X483)&gt;0)))</f>
        <v/>
      </c>
      <c r="AU483" s="95" t="str">
        <f aca="false">IF(ISBLANK($C483),"",IF(ISNUMBER(T483),IF(T483&gt;=0,T483,""),""))</f>
        <v/>
      </c>
      <c r="AV483" s="94" t="str">
        <f aca="false">IF(ISBLANK($C483),"",IF(ISNUMBER(U483),IF(U483&gt;=0,U483,""),""))</f>
        <v/>
      </c>
      <c r="AW483" s="94" t="str">
        <f aca="false">IF(ISBLANK($C483),"",IF(V483=Constants!$B$2,TRUE(),IF(V483=Constants!$B$3,FALSE(),TRUE())))</f>
        <v/>
      </c>
      <c r="AX483" s="93" t="str">
        <f aca="false">IF(ISBLANK($C483),"",IF(ISNUMBER(W483),IF(W483&gt;=0,W483,""),""))</f>
        <v/>
      </c>
      <c r="AY483" s="93" t="str">
        <f aca="false">IF(ISBLANK($C483),"",IF(X483=Constants!$B$2,TRUE(),IF(X483=Constants!$B$3,FALSE(),FALSE())))</f>
        <v/>
      </c>
      <c r="AZ483" s="93" t="str">
        <f aca="false">IF(ISBLANK($C483),"",MIN(Constants!$B$25,MAX(0,IF(ISNUMBER(Y483),Y483*60,0)+IF(ISNUMBER(Z483),Z483,0))))</f>
        <v/>
      </c>
      <c r="BA483" s="93" t="str">
        <f aca="false">IF(ISBLANK($C483),"",IF(AA483=Constants!$B$2,TRUE(),IF(AA483=Constants!$B$3,FALSE(),FALSE())))</f>
        <v/>
      </c>
      <c r="BB483" s="92" t="str">
        <f aca="false">IF(ISBLANK($C483),"",AND($AL483,OR($AM483="",$AN483="",AND($AO483,$AP483=""))))</f>
        <v/>
      </c>
      <c r="BC483" s="94" t="str">
        <f aca="false">IF($BX483&lt;&gt;Constants!$B$6,"",IF($AL483,Constants!$B$17*$AN483+Constants!$B$18*IF($AO483,$AP483,Constants!$B$19),Constants!$B$20))</f>
        <v/>
      </c>
      <c r="BD483" s="97" t="str">
        <f aca="false">IF($BX483&lt;&gt;Constants!$B$6,"",Constants!$B$21*ABS($AD$9-IF($AL483,$AM483,0)))</f>
        <v/>
      </c>
      <c r="BE483" s="97" t="str">
        <f aca="false">IF($BX483&lt;&gt;Constants!$B$6,"",IF(AND($AL483,$AQ483,$AO483),Constants!$B$22,0))</f>
        <v/>
      </c>
      <c r="BF483" s="97" t="str">
        <f aca="false">IF($BX483&lt;&gt;Constants!$B$6,"",IF($AL483,($AI483-Constants!$B$24)*Constants!$B$23,0))</f>
        <v/>
      </c>
      <c r="BG483" s="97" t="str">
        <f aca="false">IF($BX483&lt;&gt;Constants!$B$6,"",IF($AK483,0,Constants!$B$12)+IF($AJ483,0,Constants!$B$13)+IF($AH483,0,Constants!$B$14))</f>
        <v/>
      </c>
      <c r="BH483" s="98" t="str">
        <f aca="false">IF($BX483&lt;&gt;Constants!$B$6,"",Constants!$B$16+SUM($BC483:$BG483))</f>
        <v/>
      </c>
      <c r="BI483" s="97" t="str">
        <f aca="false">IF($BX483&lt;&gt;Constants!$B$6,"",$BC483)</f>
        <v/>
      </c>
      <c r="BJ483" s="97" t="str">
        <f aca="false">IF($BX483&lt;&gt;Constants!$B$6,"",$BD483)</f>
        <v/>
      </c>
      <c r="BK483" s="99" t="str">
        <f aca="false">IF($BX483&lt;&gt;Constants!$B$6,"",IF($AL483,$AN483,""))</f>
        <v/>
      </c>
      <c r="BL483" s="93" t="str">
        <f aca="false">IF($BX483&lt;&gt;Constants!$B$6,"",IF(OR($BS483&lt;$BH483,AND($BS483=$BH483,OR($BT483&lt;$BI483,AND($BT483=$BI483,OR($BU483&lt;$BJ483,AND($BU483=$BJ483,AND(ISNUMBER($BV483),OR(NOT(ISNUMBER($BK483)),$BV483&lt;$BK483)))))))),"-&gt;","&lt;-"))</f>
        <v/>
      </c>
      <c r="BM483" s="92" t="str">
        <f aca="false">IF(ISBLANK($C483),"",AND($AT483,OR($AU483="",$AV483="",AND($AW483,$AX483=""))))</f>
        <v/>
      </c>
      <c r="BN483" s="94" t="str">
        <f aca="false">IF($BX483&lt;&gt;Constants!$B$6,"",IF($AT483,Constants!$B$17*$AV483+Constants!$B$18*IF($AW483,$AX483,Constants!$B$19),Constants!$B$20))</f>
        <v/>
      </c>
      <c r="BO483" s="97" t="str">
        <f aca="false">IF($BX483&lt;&gt;Constants!$B$6,"",Constants!$B$21*ABS($AD$9-IF($AT483,$AU483,0)))</f>
        <v/>
      </c>
      <c r="BP483" s="97" t="str">
        <f aca="false">IF($BX483&lt;&gt;Constants!$B$6,"",IF(AND($AT483,$AY483,$AW483),Constants!$B$22,0))</f>
        <v/>
      </c>
      <c r="BQ483" s="97" t="str">
        <f aca="false">IF($BX483&lt;&gt;Constants!$B$6,"",IF($AT483,($AI483-Constants!$B$24)*Constants!$B$23,0))</f>
        <v/>
      </c>
      <c r="BR483" s="97" t="str">
        <f aca="false">IF($BX483&lt;&gt;Constants!$B$6,"",IF($AS483,0,Constants!$B$12)+IF($AR483,0,Constants!$B$13)+IF($AH483,0,Constants!$B$14))</f>
        <v/>
      </c>
      <c r="BS483" s="98" t="str">
        <f aca="false">IF($BX483&lt;&gt;Constants!$B$6,"",Constants!$B$16+SUM($BN483:$BR483))</f>
        <v/>
      </c>
      <c r="BT483" s="97" t="str">
        <f aca="false">IF($BX483&lt;&gt;Constants!$B$6,"",$BN483)</f>
        <v/>
      </c>
      <c r="BU483" s="97" t="str">
        <f aca="false">IF($BX483&lt;&gt;Constants!$B$6,"",$BO483)</f>
        <v/>
      </c>
      <c r="BV483" s="99" t="str">
        <f aca="false">IF($BX483&lt;&gt;Constants!$B$6,"",IF($AT483,$AV483,""))</f>
        <v/>
      </c>
      <c r="BW483" s="93" t="str">
        <f aca="false">IF(ISBLANK($C483),"",IF(ISBLANK($D$7),$BW$5,IF(NOT(ISNUMBER($D$7)),$BW$6,"")))</f>
        <v/>
      </c>
      <c r="BX483" s="93" t="str">
        <f aca="false">IF(ISBLANK($C483),"",IF($BA483,Constants!$B$9,IF(COUNTA($E483:$AA483)=0,Constants!$B$8,IF(NOT($AG483),Constants!$B$7,IF(OR($BW483&lt;&gt;"",$BB483,$BM483),Constants!$B$10,Constants!$B$6)))))</f>
        <v/>
      </c>
      <c r="BY483" s="93" t="str">
        <f aca="false">IF(ISBLANK($C483),"",IF($BX483&lt;&gt;Constants!$B$6,$BX483,Constants!$B$11))</f>
        <v/>
      </c>
      <c r="BZ483" s="97" t="str">
        <f aca="false">IF($BX483&lt;&gt;Constants!$B$6,"",IF($BL483="-&gt;",$BS483,$BH483))</f>
        <v/>
      </c>
      <c r="CA483" s="97" t="str">
        <f aca="false">IF($BX483&lt;&gt;Constants!$B$6,"",IF($AF483,0,Constants!$B$15))</f>
        <v/>
      </c>
      <c r="CB483" s="97" t="str">
        <f aca="false">IF($BX483&lt;&gt;Constants!$B$6,"",((Constants!$B$25-$AZ483)-Constants!$B$25)/Constants!$B$26)</f>
        <v/>
      </c>
      <c r="CC483" s="97" t="str">
        <f aca="false">IF(ISBLANK($C483),"",IF($BX483&lt;&gt;Constants!$B$6,$BX483,SUM($BZ483:$CB483)))</f>
        <v/>
      </c>
      <c r="CD483" s="93" t="str">
        <f aca="false">IF(ISBLANK($C483),"",IF($BX483&lt;&gt;Constants!$B$6,$BX483,RANK($CC483,$CC$9:$CC$508,1)))</f>
        <v/>
      </c>
      <c r="CE483" s="97" t="str">
        <f aca="false">IF($BX483&lt;&gt;Constants!$B$6,"",IF($BL483="-&gt;",$BT483,$BI483))</f>
        <v/>
      </c>
      <c r="CF483" s="93" t="str">
        <f aca="false">IF(ISBLANK($C483),"",IF($BX483&lt;&gt;Constants!$B$6,$BX483,IF(ISNUMBER($CE483),RANK($CE483,$CE$9:$CE$508,1),COUNT($CE$9:$CE$508)+1)))</f>
        <v/>
      </c>
      <c r="CG483" s="97" t="str">
        <f aca="false">IF($BX483&lt;&gt;Constants!$B$6,"",IF($BL483="-&gt;",$BU483,$BJ483))</f>
        <v/>
      </c>
      <c r="CH483" s="93" t="str">
        <f aca="false">IF(ISBLANK($C483),"",IF($BX483&lt;&gt;Constants!$B$6,$BX483,IF(ISNUMBER($CG483),RANK($CG483,$CG$9:$CG$508,1),COUNT($CG$9:$CG$508)+1)))</f>
        <v/>
      </c>
      <c r="CI483" s="97" t="str">
        <f aca="false">IF($BX483&lt;&gt;Constants!$B$6,"",IF($BL483="-&gt;",$BV483,$BK483))</f>
        <v/>
      </c>
      <c r="CJ483" s="93" t="str">
        <f aca="false">IF(ISBLANK($C483),"",IF($BX483&lt;&gt;Constants!$B$6,$BX483,IF(ISNUMBER($CI483),RANK($CI483,$CI$9:$CI$508,1),COUNT($CI$9:$CI$508)+1)))</f>
        <v/>
      </c>
      <c r="CK483" s="97" t="str">
        <f aca="false">IF($BX483&lt;&gt;Constants!$B$6,"",$AI483)</f>
        <v/>
      </c>
      <c r="CL483" s="93" t="str">
        <f aca="false">IF(ISBLANK($C483),"",IF($BX483&lt;&gt;Constants!$B$6,$BX483,IF(ISNUMBER($CK483),RANK($CK483,$CK$9:$CK$508,1),COUNT($CK$9:$CK$508)+1)))</f>
        <v/>
      </c>
      <c r="CM483" s="93" t="str">
        <f aca="false">IF(ISBLANK($C483),"",IF($BX483&lt;&gt;Constants!$B$6,$BX483,COUNTIFS($CD$9:$CD$508,"&lt;"&amp;$CD483)+COUNTIFS($CD$9:$CD$508,$CD483,$CF$9:$CF$508,"&lt;"&amp;$CF483)+COUNTIFS($CD$9:$CD$508,$CD483,$CF$9:$CF$508,$CF483,$CH$9:$CH$508,"&lt;"&amp;$CH483)+COUNTIFS($CD$9:$CD$508,$CD483,$CF$9:$CF$508,$CF483,$CH$9:$CH$508,$CH483,$CJ$9:$CJ$508,"&lt;"&amp;$CJ483)+COUNTIFS($CD$9:$CD$508,$CD483,$CF$9:$CF$508,$CF483,$CH$9:$CH$508,$CH483,$CJ$9:$CJ$508,$CJ483,$CL$9:$CL$508,"&lt;"&amp;$CL483)+1))</f>
        <v/>
      </c>
      <c r="CN483" s="93" t="str">
        <f aca="false">IF(ISBLANK($C483),"",IF($BX483&lt;&gt;Constants!$B$6,$BX483,$CD483-$CM483))</f>
        <v/>
      </c>
      <c r="CO483" s="100"/>
      <c r="CP483" s="101"/>
      <c r="CQ483" s="102" t="str">
        <f aca="false">IF(ISBLANK($C483),"",IF($BX483=Constants!$B$10,$BW483,""))</f>
        <v/>
      </c>
      <c r="CR483" s="101" t="str">
        <f aca="false">IF(ISBLANK($C483),"",IF($BX483&lt;&gt;Constants!$B$6,"",IF($BL483="-&gt;",2,1)))</f>
        <v/>
      </c>
      <c r="CS483" s="103" t="str">
        <f aca="false">IF(ISBLANK($C483),"",IF($BX483&lt;&gt;Constants!$B$6,"",IF($BL483="-&gt;",$BN483,$BC483)))</f>
        <v/>
      </c>
      <c r="CT483" s="103" t="str">
        <f aca="false">IF(ISBLANK($C483),"",IF($BX483&lt;&gt;Constants!$B$6,"",IF($BL483="-&gt;",$BO483,$BD483)))</f>
        <v/>
      </c>
      <c r="CU483" s="103" t="str">
        <f aca="false">IF(ISBLANK($C483),"",IF($BX483&lt;&gt;Constants!$B$6,"",IF($BL483="-&gt;",$BP483+$BQ483,$BE483+$BF483)+$CB483))</f>
        <v/>
      </c>
      <c r="CV483" s="103" t="str">
        <f aca="false">IF(ISBLANK($C483),"",IF($BX483&lt;&gt;Constants!$B$6,"",IF($BL483="-&gt;",$BR483,$BG483)+$CA483))</f>
        <v/>
      </c>
      <c r="CW483" s="104" t="str">
        <f aca="false">IF(ISBLANK($C483),"",IF($BX483&lt;&gt;Constants!$B$6,$BX483,$CC483))</f>
        <v/>
      </c>
      <c r="CX483" s="105" t="str">
        <f aca="false">IF(ISBLANK($C483),"",$BY483)</f>
        <v/>
      </c>
      <c r="CY483" s="106" t="str">
        <f aca="false">IF(ISBLANK($C483),"",$CN483)</f>
        <v/>
      </c>
      <c r="CZ483" s="106" t="str">
        <f aca="false">IF(ISBLANK($C483),"",$CM483)</f>
        <v/>
      </c>
      <c r="DA483" s="107" t="str">
        <f aca="false">IF(ISBLANK($C483),"",IFERROR(_xlfn.SWITCH($CZ483,Constants!$B$9,COUNTA($C$9:$C$508)+2,Constants!$B$8,COUNTA($C$9:$C$508)+1,Constants!$B$7,COUNTA($C$9:$C$508)),$CZ483))</f>
        <v/>
      </c>
      <c r="DB483" s="9"/>
      <c r="DC483" s="108" t="n">
        <f aca="false">IF(OR(ISNUMBER($CZ483),$CZ483=Constants!$B$9,$CZ483=Constants!$B$7,$CZ483=Constants!$B$8),1,0)</f>
        <v>0</v>
      </c>
      <c r="DD483" s="108" t="n">
        <v>475</v>
      </c>
      <c r="DE483" s="108" t="str">
        <f aca="false">IF(ISBLANK($C483),"",IF(ISNUMBER($DA483),$DA483+ROW($B483)/1000,""))</f>
        <v/>
      </c>
      <c r="DF483" s="108" t="str">
        <f aca="false">IF(ISNUMBER($DE483),RANK($DE483,$DE$9:$DE$508,1),"")</f>
        <v/>
      </c>
      <c r="DG483" s="108" t="str">
        <f aca="false">IF(ISBLANK($C483),"",$B483)</f>
        <v/>
      </c>
      <c r="DH483" s="108" t="str">
        <f aca="false">IF(ISBLANK($C483),"",$C483)</f>
        <v/>
      </c>
      <c r="DI483" s="108" t="str">
        <f aca="false">IF(ISBLANK($C483),"",$D483)</f>
        <v/>
      </c>
      <c r="DJ483" s="109" t="str">
        <f aca="false">$CX483</f>
        <v/>
      </c>
      <c r="DK483" s="110" t="str">
        <f aca="false">$CW483</f>
        <v/>
      </c>
      <c r="DL483" s="108" t="str">
        <f aca="false">IF(ISBLANK($C483),"",$CZ483)</f>
        <v/>
      </c>
      <c r="DM483" s="111" t="str">
        <f aca="false">IF($DD483&gt;$DC$8,"",VLOOKUP($DD483,$DF$9:$DL$508,7,FALSE()))</f>
        <v/>
      </c>
      <c r="DN483" s="112" t="str">
        <f aca="false">IF($DD483&gt;$DC$8,"",VLOOKUP($DD483,$DF$9:$DL$508,2,FALSE()))</f>
        <v/>
      </c>
      <c r="DO483" s="112" t="str">
        <f aca="false">IF($DD483&gt;$DC$8,"",VLOOKUP($DD483,$DF$9:$DL$508,3,FALSE()))</f>
        <v/>
      </c>
      <c r="DP483" s="112" t="str">
        <f aca="false">IF($DD483&gt;$DC$8,"",VLOOKUP($DD483,$DF$9:$DL$508,4,FALSE()))</f>
        <v/>
      </c>
      <c r="DQ483" s="112" t="str">
        <f aca="false">IF($DD483&gt;$DC$8,"",VLOOKUP($DD483,$DF$9:$DL$508,5,FALSE()))</f>
        <v/>
      </c>
      <c r="DR483" s="113" t="str">
        <f aca="false">IF($DD483&gt;$DC$8,"",VLOOKUP($DD483,$DF$9:$DL$508,6,FALSE()))</f>
        <v/>
      </c>
      <c r="DS483" s="76"/>
    </row>
    <row r="484" customFormat="false" ht="15.75" hidden="false" customHeight="false" outlineLevel="0" collapsed="false">
      <c r="A484" s="9"/>
      <c r="B484" s="78"/>
      <c r="C484" s="79"/>
      <c r="D484" s="170"/>
      <c r="E484" s="178"/>
      <c r="F484" s="172"/>
      <c r="G484" s="173"/>
      <c r="H484" s="173"/>
      <c r="I484" s="179"/>
      <c r="J484" s="176"/>
      <c r="K484" s="86"/>
      <c r="L484" s="87"/>
      <c r="M484" s="88"/>
      <c r="N484" s="176"/>
      <c r="O484" s="176"/>
      <c r="P484" s="178"/>
      <c r="Q484" s="176"/>
      <c r="R484" s="176"/>
      <c r="S484" s="86"/>
      <c r="T484" s="88"/>
      <c r="U484" s="88"/>
      <c r="V484" s="176"/>
      <c r="W484" s="176"/>
      <c r="X484" s="178"/>
      <c r="Y484" s="176"/>
      <c r="Z484" s="177"/>
      <c r="AA484" s="176"/>
      <c r="AB484" s="92"/>
      <c r="AC484" s="93"/>
      <c r="AD484" s="93"/>
      <c r="AE484" s="93"/>
      <c r="AF484" s="93" t="str">
        <f aca="false">IF(ISBLANK($C484),"",IF(E484=Constants!$B$2,TRUE(),IF(E484=Constants!$B$3,FALSE(),TRUE())))</f>
        <v/>
      </c>
      <c r="AG484" s="93" t="str">
        <f aca="false">IF(ISBLANK($C484),"",IF(F484=Constants!$B$2,TRUE(),IF(F484=Constants!$B$3,FALSE(),TRUE())))</f>
        <v/>
      </c>
      <c r="AH484" s="93" t="str">
        <f aca="false">IF(ISBLANK($C484),"",IF(G484=Constants!$B$2,TRUE(),IF(G484=Constants!$B$3,FALSE(),TRUE())))</f>
        <v/>
      </c>
      <c r="AI484" s="93" t="str">
        <f aca="false">IF(ISBLANK($C484),"",IF(AND(ISNUMBER(H484),H484&gt;=0),H484,Constants!$B$24))</f>
        <v/>
      </c>
      <c r="AJ484" s="93" t="str">
        <f aca="false">IF(ISBLANK($C484),"",IF(I484=Constants!$B$2,TRUE(),IF(I484=Constants!$B$3,FALSE(),TRUE())))</f>
        <v/>
      </c>
      <c r="AK484" s="93" t="str">
        <f aca="false">IF(ISBLANK($C484),"",IF(J484=Constants!$B$2,TRUE(),IF(J484=Constants!$B$3,FALSE(),TRUE())))</f>
        <v/>
      </c>
      <c r="AL484" s="93" t="str">
        <f aca="false">IF(ISBLANK($C484),"",IF(K484=Constants!$B$4,TRUE(),IF(K484=Constants!$B$5,FALSE(),COUNTA(L484:P484)&gt;0)))</f>
        <v/>
      </c>
      <c r="AM484" s="95" t="str">
        <f aca="false">IF(ISBLANK($C484),"",IF(ISNUMBER(L484),IF(L484&gt;=0,L484,""),""))</f>
        <v/>
      </c>
      <c r="AN484" s="94" t="str">
        <f aca="false">IF(ISBLANK($C484),"",IF(ISNUMBER(M484),IF(M484&gt;=0,M484,""),""))</f>
        <v/>
      </c>
      <c r="AO484" s="94" t="str">
        <f aca="false">IF(ISBLANK($C484),"",IF(N484=Constants!$B$2,TRUE(),IF(N484=Constants!$B$3,FALSE(),TRUE())))</f>
        <v/>
      </c>
      <c r="AP484" s="93" t="str">
        <f aca="false">IF(ISBLANK($C484),"",IF(ISNUMBER(O484),IF(O484&gt;=0,O484,""),""))</f>
        <v/>
      </c>
      <c r="AQ484" s="93" t="str">
        <f aca="false">IF(ISBLANK($C484),"",IF(P484=Constants!$B$2,TRUE(),IF(P484=Constants!$B$3,FALSE(),FALSE())))</f>
        <v/>
      </c>
      <c r="AR484" s="93" t="str">
        <f aca="false">IF(ISBLANK($C484),"",IF(Q484=Constants!$B$2,TRUE(),IF(Q484=Constants!$B$3,FALSE(),TRUE())))</f>
        <v/>
      </c>
      <c r="AS484" s="93" t="str">
        <f aca="false">IF(ISBLANK($C484),"",IF(R484=Constants!$B$2,TRUE(),IF(R484=Constants!$B$3,FALSE(),TRUE())))</f>
        <v/>
      </c>
      <c r="AT484" s="93" t="str">
        <f aca="false">IF(ISBLANK($C484),"",IF(S484=Constants!$B$4,TRUE(),IF(S484=Constants!$B$5,FALSE(),COUNTA(T484:X484)&gt;0)))</f>
        <v/>
      </c>
      <c r="AU484" s="95" t="str">
        <f aca="false">IF(ISBLANK($C484),"",IF(ISNUMBER(T484),IF(T484&gt;=0,T484,""),""))</f>
        <v/>
      </c>
      <c r="AV484" s="94" t="str">
        <f aca="false">IF(ISBLANK($C484),"",IF(ISNUMBER(U484),IF(U484&gt;=0,U484,""),""))</f>
        <v/>
      </c>
      <c r="AW484" s="94" t="str">
        <f aca="false">IF(ISBLANK($C484),"",IF(V484=Constants!$B$2,TRUE(),IF(V484=Constants!$B$3,FALSE(),TRUE())))</f>
        <v/>
      </c>
      <c r="AX484" s="93" t="str">
        <f aca="false">IF(ISBLANK($C484),"",IF(ISNUMBER(W484),IF(W484&gt;=0,W484,""),""))</f>
        <v/>
      </c>
      <c r="AY484" s="93" t="str">
        <f aca="false">IF(ISBLANK($C484),"",IF(X484=Constants!$B$2,TRUE(),IF(X484=Constants!$B$3,FALSE(),FALSE())))</f>
        <v/>
      </c>
      <c r="AZ484" s="93" t="str">
        <f aca="false">IF(ISBLANK($C484),"",MIN(Constants!$B$25,MAX(0,IF(ISNUMBER(Y484),Y484*60,0)+IF(ISNUMBER(Z484),Z484,0))))</f>
        <v/>
      </c>
      <c r="BA484" s="93" t="str">
        <f aca="false">IF(ISBLANK($C484),"",IF(AA484=Constants!$B$2,TRUE(),IF(AA484=Constants!$B$3,FALSE(),FALSE())))</f>
        <v/>
      </c>
      <c r="BB484" s="92" t="str">
        <f aca="false">IF(ISBLANK($C484),"",AND($AL484,OR($AM484="",$AN484="",AND($AO484,$AP484=""))))</f>
        <v/>
      </c>
      <c r="BC484" s="94" t="str">
        <f aca="false">IF($BX484&lt;&gt;Constants!$B$6,"",IF($AL484,Constants!$B$17*$AN484+Constants!$B$18*IF($AO484,$AP484,Constants!$B$19),Constants!$B$20))</f>
        <v/>
      </c>
      <c r="BD484" s="97" t="str">
        <f aca="false">IF($BX484&lt;&gt;Constants!$B$6,"",Constants!$B$21*ABS($AD$9-IF($AL484,$AM484,0)))</f>
        <v/>
      </c>
      <c r="BE484" s="97" t="str">
        <f aca="false">IF($BX484&lt;&gt;Constants!$B$6,"",IF(AND($AL484,$AQ484,$AO484),Constants!$B$22,0))</f>
        <v/>
      </c>
      <c r="BF484" s="97" t="str">
        <f aca="false">IF($BX484&lt;&gt;Constants!$B$6,"",IF($AL484,($AI484-Constants!$B$24)*Constants!$B$23,0))</f>
        <v/>
      </c>
      <c r="BG484" s="97" t="str">
        <f aca="false">IF($BX484&lt;&gt;Constants!$B$6,"",IF($AK484,0,Constants!$B$12)+IF($AJ484,0,Constants!$B$13)+IF($AH484,0,Constants!$B$14))</f>
        <v/>
      </c>
      <c r="BH484" s="98" t="str">
        <f aca="false">IF($BX484&lt;&gt;Constants!$B$6,"",Constants!$B$16+SUM($BC484:$BG484))</f>
        <v/>
      </c>
      <c r="BI484" s="97" t="str">
        <f aca="false">IF($BX484&lt;&gt;Constants!$B$6,"",$BC484)</f>
        <v/>
      </c>
      <c r="BJ484" s="97" t="str">
        <f aca="false">IF($BX484&lt;&gt;Constants!$B$6,"",$BD484)</f>
        <v/>
      </c>
      <c r="BK484" s="99" t="str">
        <f aca="false">IF($BX484&lt;&gt;Constants!$B$6,"",IF($AL484,$AN484,""))</f>
        <v/>
      </c>
      <c r="BL484" s="93" t="str">
        <f aca="false">IF($BX484&lt;&gt;Constants!$B$6,"",IF(OR($BS484&lt;$BH484,AND($BS484=$BH484,OR($BT484&lt;$BI484,AND($BT484=$BI484,OR($BU484&lt;$BJ484,AND($BU484=$BJ484,AND(ISNUMBER($BV484),OR(NOT(ISNUMBER($BK484)),$BV484&lt;$BK484)))))))),"-&gt;","&lt;-"))</f>
        <v/>
      </c>
      <c r="BM484" s="92" t="str">
        <f aca="false">IF(ISBLANK($C484),"",AND($AT484,OR($AU484="",$AV484="",AND($AW484,$AX484=""))))</f>
        <v/>
      </c>
      <c r="BN484" s="94" t="str">
        <f aca="false">IF($BX484&lt;&gt;Constants!$B$6,"",IF($AT484,Constants!$B$17*$AV484+Constants!$B$18*IF($AW484,$AX484,Constants!$B$19),Constants!$B$20))</f>
        <v/>
      </c>
      <c r="BO484" s="97" t="str">
        <f aca="false">IF($BX484&lt;&gt;Constants!$B$6,"",Constants!$B$21*ABS($AD$9-IF($AT484,$AU484,0)))</f>
        <v/>
      </c>
      <c r="BP484" s="97" t="str">
        <f aca="false">IF($BX484&lt;&gt;Constants!$B$6,"",IF(AND($AT484,$AY484,$AW484),Constants!$B$22,0))</f>
        <v/>
      </c>
      <c r="BQ484" s="97" t="str">
        <f aca="false">IF($BX484&lt;&gt;Constants!$B$6,"",IF($AT484,($AI484-Constants!$B$24)*Constants!$B$23,0))</f>
        <v/>
      </c>
      <c r="BR484" s="97" t="str">
        <f aca="false">IF($BX484&lt;&gt;Constants!$B$6,"",IF($AS484,0,Constants!$B$12)+IF($AR484,0,Constants!$B$13)+IF($AH484,0,Constants!$B$14))</f>
        <v/>
      </c>
      <c r="BS484" s="98" t="str">
        <f aca="false">IF($BX484&lt;&gt;Constants!$B$6,"",Constants!$B$16+SUM($BN484:$BR484))</f>
        <v/>
      </c>
      <c r="BT484" s="97" t="str">
        <f aca="false">IF($BX484&lt;&gt;Constants!$B$6,"",$BN484)</f>
        <v/>
      </c>
      <c r="BU484" s="97" t="str">
        <f aca="false">IF($BX484&lt;&gt;Constants!$B$6,"",$BO484)</f>
        <v/>
      </c>
      <c r="BV484" s="99" t="str">
        <f aca="false">IF($BX484&lt;&gt;Constants!$B$6,"",IF($AT484,$AV484,""))</f>
        <v/>
      </c>
      <c r="BW484" s="93" t="str">
        <f aca="false">IF(ISBLANK($C484),"",IF(ISBLANK($D$7),$BW$5,IF(NOT(ISNUMBER($D$7)),$BW$6,"")))</f>
        <v/>
      </c>
      <c r="BX484" s="93" t="str">
        <f aca="false">IF(ISBLANK($C484),"",IF($BA484,Constants!$B$9,IF(COUNTA($E484:$AA484)=0,Constants!$B$8,IF(NOT($AG484),Constants!$B$7,IF(OR($BW484&lt;&gt;"",$BB484,$BM484),Constants!$B$10,Constants!$B$6)))))</f>
        <v/>
      </c>
      <c r="BY484" s="93" t="str">
        <f aca="false">IF(ISBLANK($C484),"",IF($BX484&lt;&gt;Constants!$B$6,$BX484,Constants!$B$11))</f>
        <v/>
      </c>
      <c r="BZ484" s="97" t="str">
        <f aca="false">IF($BX484&lt;&gt;Constants!$B$6,"",IF($BL484="-&gt;",$BS484,$BH484))</f>
        <v/>
      </c>
      <c r="CA484" s="97" t="str">
        <f aca="false">IF($BX484&lt;&gt;Constants!$B$6,"",IF($AF484,0,Constants!$B$15))</f>
        <v/>
      </c>
      <c r="CB484" s="97" t="str">
        <f aca="false">IF($BX484&lt;&gt;Constants!$B$6,"",((Constants!$B$25-$AZ484)-Constants!$B$25)/Constants!$B$26)</f>
        <v/>
      </c>
      <c r="CC484" s="97" t="str">
        <f aca="false">IF(ISBLANK($C484),"",IF($BX484&lt;&gt;Constants!$B$6,$BX484,SUM($BZ484:$CB484)))</f>
        <v/>
      </c>
      <c r="CD484" s="93" t="str">
        <f aca="false">IF(ISBLANK($C484),"",IF($BX484&lt;&gt;Constants!$B$6,$BX484,RANK($CC484,$CC$9:$CC$508,1)))</f>
        <v/>
      </c>
      <c r="CE484" s="97" t="str">
        <f aca="false">IF($BX484&lt;&gt;Constants!$B$6,"",IF($BL484="-&gt;",$BT484,$BI484))</f>
        <v/>
      </c>
      <c r="CF484" s="93" t="str">
        <f aca="false">IF(ISBLANK($C484),"",IF($BX484&lt;&gt;Constants!$B$6,$BX484,IF(ISNUMBER($CE484),RANK($CE484,$CE$9:$CE$508,1),COUNT($CE$9:$CE$508)+1)))</f>
        <v/>
      </c>
      <c r="CG484" s="97" t="str">
        <f aca="false">IF($BX484&lt;&gt;Constants!$B$6,"",IF($BL484="-&gt;",$BU484,$BJ484))</f>
        <v/>
      </c>
      <c r="CH484" s="93" t="str">
        <f aca="false">IF(ISBLANK($C484),"",IF($BX484&lt;&gt;Constants!$B$6,$BX484,IF(ISNUMBER($CG484),RANK($CG484,$CG$9:$CG$508,1),COUNT($CG$9:$CG$508)+1)))</f>
        <v/>
      </c>
      <c r="CI484" s="97" t="str">
        <f aca="false">IF($BX484&lt;&gt;Constants!$B$6,"",IF($BL484="-&gt;",$BV484,$BK484))</f>
        <v/>
      </c>
      <c r="CJ484" s="93" t="str">
        <f aca="false">IF(ISBLANK($C484),"",IF($BX484&lt;&gt;Constants!$B$6,$BX484,IF(ISNUMBER($CI484),RANK($CI484,$CI$9:$CI$508,1),COUNT($CI$9:$CI$508)+1)))</f>
        <v/>
      </c>
      <c r="CK484" s="97" t="str">
        <f aca="false">IF($BX484&lt;&gt;Constants!$B$6,"",$AI484)</f>
        <v/>
      </c>
      <c r="CL484" s="93" t="str">
        <f aca="false">IF(ISBLANK($C484),"",IF($BX484&lt;&gt;Constants!$B$6,$BX484,IF(ISNUMBER($CK484),RANK($CK484,$CK$9:$CK$508,1),COUNT($CK$9:$CK$508)+1)))</f>
        <v/>
      </c>
      <c r="CM484" s="93" t="str">
        <f aca="false">IF(ISBLANK($C484),"",IF($BX484&lt;&gt;Constants!$B$6,$BX484,COUNTIFS($CD$9:$CD$508,"&lt;"&amp;$CD484)+COUNTIFS($CD$9:$CD$508,$CD484,$CF$9:$CF$508,"&lt;"&amp;$CF484)+COUNTIFS($CD$9:$CD$508,$CD484,$CF$9:$CF$508,$CF484,$CH$9:$CH$508,"&lt;"&amp;$CH484)+COUNTIFS($CD$9:$CD$508,$CD484,$CF$9:$CF$508,$CF484,$CH$9:$CH$508,$CH484,$CJ$9:$CJ$508,"&lt;"&amp;$CJ484)+COUNTIFS($CD$9:$CD$508,$CD484,$CF$9:$CF$508,$CF484,$CH$9:$CH$508,$CH484,$CJ$9:$CJ$508,$CJ484,$CL$9:$CL$508,"&lt;"&amp;$CL484)+1))</f>
        <v/>
      </c>
      <c r="CN484" s="93" t="str">
        <f aca="false">IF(ISBLANK($C484),"",IF($BX484&lt;&gt;Constants!$B$6,$BX484,$CD484-$CM484))</f>
        <v/>
      </c>
      <c r="CO484" s="100"/>
      <c r="CP484" s="101"/>
      <c r="CQ484" s="102" t="str">
        <f aca="false">IF(ISBLANK($C484),"",IF($BX484=Constants!$B$10,$BW484,""))</f>
        <v/>
      </c>
      <c r="CR484" s="101" t="str">
        <f aca="false">IF(ISBLANK($C484),"",IF($BX484&lt;&gt;Constants!$B$6,"",IF($BL484="-&gt;",2,1)))</f>
        <v/>
      </c>
      <c r="CS484" s="103" t="str">
        <f aca="false">IF(ISBLANK($C484),"",IF($BX484&lt;&gt;Constants!$B$6,"",IF($BL484="-&gt;",$BN484,$BC484)))</f>
        <v/>
      </c>
      <c r="CT484" s="103" t="str">
        <f aca="false">IF(ISBLANK($C484),"",IF($BX484&lt;&gt;Constants!$B$6,"",IF($BL484="-&gt;",$BO484,$BD484)))</f>
        <v/>
      </c>
      <c r="CU484" s="103" t="str">
        <f aca="false">IF(ISBLANK($C484),"",IF($BX484&lt;&gt;Constants!$B$6,"",IF($BL484="-&gt;",$BP484+$BQ484,$BE484+$BF484)+$CB484))</f>
        <v/>
      </c>
      <c r="CV484" s="103" t="str">
        <f aca="false">IF(ISBLANK($C484),"",IF($BX484&lt;&gt;Constants!$B$6,"",IF($BL484="-&gt;",$BR484,$BG484)+$CA484))</f>
        <v/>
      </c>
      <c r="CW484" s="104" t="str">
        <f aca="false">IF(ISBLANK($C484),"",IF($BX484&lt;&gt;Constants!$B$6,$BX484,$CC484))</f>
        <v/>
      </c>
      <c r="CX484" s="105" t="str">
        <f aca="false">IF(ISBLANK($C484),"",$BY484)</f>
        <v/>
      </c>
      <c r="CY484" s="106" t="str">
        <f aca="false">IF(ISBLANK($C484),"",$CN484)</f>
        <v/>
      </c>
      <c r="CZ484" s="106" t="str">
        <f aca="false">IF(ISBLANK($C484),"",$CM484)</f>
        <v/>
      </c>
      <c r="DA484" s="107" t="str">
        <f aca="false">IF(ISBLANK($C484),"",IFERROR(_xlfn.SWITCH($CZ484,Constants!$B$9,COUNTA($C$9:$C$508)+2,Constants!$B$8,COUNTA($C$9:$C$508)+1,Constants!$B$7,COUNTA($C$9:$C$508)),$CZ484))</f>
        <v/>
      </c>
      <c r="DB484" s="9"/>
      <c r="DC484" s="108" t="n">
        <f aca="false">IF(OR(ISNUMBER($CZ484),$CZ484=Constants!$B$9,$CZ484=Constants!$B$7,$CZ484=Constants!$B$8),1,0)</f>
        <v>0</v>
      </c>
      <c r="DD484" s="108" t="n">
        <v>476</v>
      </c>
      <c r="DE484" s="108" t="str">
        <f aca="false">IF(ISBLANK($C484),"",IF(ISNUMBER($DA484),$DA484+ROW($B484)/1000,""))</f>
        <v/>
      </c>
      <c r="DF484" s="108" t="str">
        <f aca="false">IF(ISNUMBER($DE484),RANK($DE484,$DE$9:$DE$508,1),"")</f>
        <v/>
      </c>
      <c r="DG484" s="108" t="str">
        <f aca="false">IF(ISBLANK($C484),"",$B484)</f>
        <v/>
      </c>
      <c r="DH484" s="108" t="str">
        <f aca="false">IF(ISBLANK($C484),"",$C484)</f>
        <v/>
      </c>
      <c r="DI484" s="108" t="str">
        <f aca="false">IF(ISBLANK($C484),"",$D484)</f>
        <v/>
      </c>
      <c r="DJ484" s="109" t="str">
        <f aca="false">$CX484</f>
        <v/>
      </c>
      <c r="DK484" s="110" t="str">
        <f aca="false">$CW484</f>
        <v/>
      </c>
      <c r="DL484" s="108" t="str">
        <f aca="false">IF(ISBLANK($C484),"",$CZ484)</f>
        <v/>
      </c>
      <c r="DM484" s="111" t="str">
        <f aca="false">IF($DD484&gt;$DC$8,"",VLOOKUP($DD484,$DF$9:$DL$508,7,FALSE()))</f>
        <v/>
      </c>
      <c r="DN484" s="112" t="str">
        <f aca="false">IF($DD484&gt;$DC$8,"",VLOOKUP($DD484,$DF$9:$DL$508,2,FALSE()))</f>
        <v/>
      </c>
      <c r="DO484" s="112" t="str">
        <f aca="false">IF($DD484&gt;$DC$8,"",VLOOKUP($DD484,$DF$9:$DL$508,3,FALSE()))</f>
        <v/>
      </c>
      <c r="DP484" s="112" t="str">
        <f aca="false">IF($DD484&gt;$DC$8,"",VLOOKUP($DD484,$DF$9:$DL$508,4,FALSE()))</f>
        <v/>
      </c>
      <c r="DQ484" s="112" t="str">
        <f aca="false">IF($DD484&gt;$DC$8,"",VLOOKUP($DD484,$DF$9:$DL$508,5,FALSE()))</f>
        <v/>
      </c>
      <c r="DR484" s="113" t="str">
        <f aca="false">IF($DD484&gt;$DC$8,"",VLOOKUP($DD484,$DF$9:$DL$508,6,FALSE()))</f>
        <v/>
      </c>
      <c r="DS484" s="76"/>
    </row>
    <row r="485" customFormat="false" ht="15.75" hidden="false" customHeight="false" outlineLevel="0" collapsed="false">
      <c r="A485" s="9"/>
      <c r="B485" s="78"/>
      <c r="C485" s="79"/>
      <c r="D485" s="170"/>
      <c r="E485" s="178"/>
      <c r="F485" s="172"/>
      <c r="G485" s="173"/>
      <c r="H485" s="173"/>
      <c r="I485" s="179"/>
      <c r="J485" s="176"/>
      <c r="K485" s="86"/>
      <c r="L485" s="87"/>
      <c r="M485" s="88"/>
      <c r="N485" s="176"/>
      <c r="O485" s="176"/>
      <c r="P485" s="178"/>
      <c r="Q485" s="176"/>
      <c r="R485" s="176"/>
      <c r="S485" s="86"/>
      <c r="T485" s="88"/>
      <c r="U485" s="88"/>
      <c r="V485" s="176"/>
      <c r="W485" s="176"/>
      <c r="X485" s="178"/>
      <c r="Y485" s="176"/>
      <c r="Z485" s="177"/>
      <c r="AA485" s="176"/>
      <c r="AB485" s="92"/>
      <c r="AC485" s="93"/>
      <c r="AD485" s="93"/>
      <c r="AE485" s="93"/>
      <c r="AF485" s="93" t="str">
        <f aca="false">IF(ISBLANK($C485),"",IF(E485=Constants!$B$2,TRUE(),IF(E485=Constants!$B$3,FALSE(),TRUE())))</f>
        <v/>
      </c>
      <c r="AG485" s="93" t="str">
        <f aca="false">IF(ISBLANK($C485),"",IF(F485=Constants!$B$2,TRUE(),IF(F485=Constants!$B$3,FALSE(),TRUE())))</f>
        <v/>
      </c>
      <c r="AH485" s="93" t="str">
        <f aca="false">IF(ISBLANK($C485),"",IF(G485=Constants!$B$2,TRUE(),IF(G485=Constants!$B$3,FALSE(),TRUE())))</f>
        <v/>
      </c>
      <c r="AI485" s="93" t="str">
        <f aca="false">IF(ISBLANK($C485),"",IF(AND(ISNUMBER(H485),H485&gt;=0),H485,Constants!$B$24))</f>
        <v/>
      </c>
      <c r="AJ485" s="93" t="str">
        <f aca="false">IF(ISBLANK($C485),"",IF(I485=Constants!$B$2,TRUE(),IF(I485=Constants!$B$3,FALSE(),TRUE())))</f>
        <v/>
      </c>
      <c r="AK485" s="93" t="str">
        <f aca="false">IF(ISBLANK($C485),"",IF(J485=Constants!$B$2,TRUE(),IF(J485=Constants!$B$3,FALSE(),TRUE())))</f>
        <v/>
      </c>
      <c r="AL485" s="93" t="str">
        <f aca="false">IF(ISBLANK($C485),"",IF(K485=Constants!$B$4,TRUE(),IF(K485=Constants!$B$5,FALSE(),COUNTA(L485:P485)&gt;0)))</f>
        <v/>
      </c>
      <c r="AM485" s="95" t="str">
        <f aca="false">IF(ISBLANK($C485),"",IF(ISNUMBER(L485),IF(L485&gt;=0,L485,""),""))</f>
        <v/>
      </c>
      <c r="AN485" s="94" t="str">
        <f aca="false">IF(ISBLANK($C485),"",IF(ISNUMBER(M485),IF(M485&gt;=0,M485,""),""))</f>
        <v/>
      </c>
      <c r="AO485" s="94" t="str">
        <f aca="false">IF(ISBLANK($C485),"",IF(N485=Constants!$B$2,TRUE(),IF(N485=Constants!$B$3,FALSE(),TRUE())))</f>
        <v/>
      </c>
      <c r="AP485" s="93" t="str">
        <f aca="false">IF(ISBLANK($C485),"",IF(ISNUMBER(O485),IF(O485&gt;=0,O485,""),""))</f>
        <v/>
      </c>
      <c r="AQ485" s="93" t="str">
        <f aca="false">IF(ISBLANK($C485),"",IF(P485=Constants!$B$2,TRUE(),IF(P485=Constants!$B$3,FALSE(),FALSE())))</f>
        <v/>
      </c>
      <c r="AR485" s="93" t="str">
        <f aca="false">IF(ISBLANK($C485),"",IF(Q485=Constants!$B$2,TRUE(),IF(Q485=Constants!$B$3,FALSE(),TRUE())))</f>
        <v/>
      </c>
      <c r="AS485" s="93" t="str">
        <f aca="false">IF(ISBLANK($C485),"",IF(R485=Constants!$B$2,TRUE(),IF(R485=Constants!$B$3,FALSE(),TRUE())))</f>
        <v/>
      </c>
      <c r="AT485" s="93" t="str">
        <f aca="false">IF(ISBLANK($C485),"",IF(S485=Constants!$B$4,TRUE(),IF(S485=Constants!$B$5,FALSE(),COUNTA(T485:X485)&gt;0)))</f>
        <v/>
      </c>
      <c r="AU485" s="95" t="str">
        <f aca="false">IF(ISBLANK($C485),"",IF(ISNUMBER(T485),IF(T485&gt;=0,T485,""),""))</f>
        <v/>
      </c>
      <c r="AV485" s="94" t="str">
        <f aca="false">IF(ISBLANK($C485),"",IF(ISNUMBER(U485),IF(U485&gt;=0,U485,""),""))</f>
        <v/>
      </c>
      <c r="AW485" s="94" t="str">
        <f aca="false">IF(ISBLANK($C485),"",IF(V485=Constants!$B$2,TRUE(),IF(V485=Constants!$B$3,FALSE(),TRUE())))</f>
        <v/>
      </c>
      <c r="AX485" s="93" t="str">
        <f aca="false">IF(ISBLANK($C485),"",IF(ISNUMBER(W485),IF(W485&gt;=0,W485,""),""))</f>
        <v/>
      </c>
      <c r="AY485" s="93" t="str">
        <f aca="false">IF(ISBLANK($C485),"",IF(X485=Constants!$B$2,TRUE(),IF(X485=Constants!$B$3,FALSE(),FALSE())))</f>
        <v/>
      </c>
      <c r="AZ485" s="93" t="str">
        <f aca="false">IF(ISBLANK($C485),"",MIN(Constants!$B$25,MAX(0,IF(ISNUMBER(Y485),Y485*60,0)+IF(ISNUMBER(Z485),Z485,0))))</f>
        <v/>
      </c>
      <c r="BA485" s="93" t="str">
        <f aca="false">IF(ISBLANK($C485),"",IF(AA485=Constants!$B$2,TRUE(),IF(AA485=Constants!$B$3,FALSE(),FALSE())))</f>
        <v/>
      </c>
      <c r="BB485" s="92" t="str">
        <f aca="false">IF(ISBLANK($C485),"",AND($AL485,OR($AM485="",$AN485="",AND($AO485,$AP485=""))))</f>
        <v/>
      </c>
      <c r="BC485" s="94" t="str">
        <f aca="false">IF($BX485&lt;&gt;Constants!$B$6,"",IF($AL485,Constants!$B$17*$AN485+Constants!$B$18*IF($AO485,$AP485,Constants!$B$19),Constants!$B$20))</f>
        <v/>
      </c>
      <c r="BD485" s="97" t="str">
        <f aca="false">IF($BX485&lt;&gt;Constants!$B$6,"",Constants!$B$21*ABS($AD$9-IF($AL485,$AM485,0)))</f>
        <v/>
      </c>
      <c r="BE485" s="97" t="str">
        <f aca="false">IF($BX485&lt;&gt;Constants!$B$6,"",IF(AND($AL485,$AQ485,$AO485),Constants!$B$22,0))</f>
        <v/>
      </c>
      <c r="BF485" s="97" t="str">
        <f aca="false">IF($BX485&lt;&gt;Constants!$B$6,"",IF($AL485,($AI485-Constants!$B$24)*Constants!$B$23,0))</f>
        <v/>
      </c>
      <c r="BG485" s="97" t="str">
        <f aca="false">IF($BX485&lt;&gt;Constants!$B$6,"",IF($AK485,0,Constants!$B$12)+IF($AJ485,0,Constants!$B$13)+IF($AH485,0,Constants!$B$14))</f>
        <v/>
      </c>
      <c r="BH485" s="98" t="str">
        <f aca="false">IF($BX485&lt;&gt;Constants!$B$6,"",Constants!$B$16+SUM($BC485:$BG485))</f>
        <v/>
      </c>
      <c r="BI485" s="97" t="str">
        <f aca="false">IF($BX485&lt;&gt;Constants!$B$6,"",$BC485)</f>
        <v/>
      </c>
      <c r="BJ485" s="97" t="str">
        <f aca="false">IF($BX485&lt;&gt;Constants!$B$6,"",$BD485)</f>
        <v/>
      </c>
      <c r="BK485" s="99" t="str">
        <f aca="false">IF($BX485&lt;&gt;Constants!$B$6,"",IF($AL485,$AN485,""))</f>
        <v/>
      </c>
      <c r="BL485" s="93" t="str">
        <f aca="false">IF($BX485&lt;&gt;Constants!$B$6,"",IF(OR($BS485&lt;$BH485,AND($BS485=$BH485,OR($BT485&lt;$BI485,AND($BT485=$BI485,OR($BU485&lt;$BJ485,AND($BU485=$BJ485,AND(ISNUMBER($BV485),OR(NOT(ISNUMBER($BK485)),$BV485&lt;$BK485)))))))),"-&gt;","&lt;-"))</f>
        <v/>
      </c>
      <c r="BM485" s="92" t="str">
        <f aca="false">IF(ISBLANK($C485),"",AND($AT485,OR($AU485="",$AV485="",AND($AW485,$AX485=""))))</f>
        <v/>
      </c>
      <c r="BN485" s="94" t="str">
        <f aca="false">IF($BX485&lt;&gt;Constants!$B$6,"",IF($AT485,Constants!$B$17*$AV485+Constants!$B$18*IF($AW485,$AX485,Constants!$B$19),Constants!$B$20))</f>
        <v/>
      </c>
      <c r="BO485" s="97" t="str">
        <f aca="false">IF($BX485&lt;&gt;Constants!$B$6,"",Constants!$B$21*ABS($AD$9-IF($AT485,$AU485,0)))</f>
        <v/>
      </c>
      <c r="BP485" s="97" t="str">
        <f aca="false">IF($BX485&lt;&gt;Constants!$B$6,"",IF(AND($AT485,$AY485,$AW485),Constants!$B$22,0))</f>
        <v/>
      </c>
      <c r="BQ485" s="97" t="str">
        <f aca="false">IF($BX485&lt;&gt;Constants!$B$6,"",IF($AT485,($AI485-Constants!$B$24)*Constants!$B$23,0))</f>
        <v/>
      </c>
      <c r="BR485" s="97" t="str">
        <f aca="false">IF($BX485&lt;&gt;Constants!$B$6,"",IF($AS485,0,Constants!$B$12)+IF($AR485,0,Constants!$B$13)+IF($AH485,0,Constants!$B$14))</f>
        <v/>
      </c>
      <c r="BS485" s="98" t="str">
        <f aca="false">IF($BX485&lt;&gt;Constants!$B$6,"",Constants!$B$16+SUM($BN485:$BR485))</f>
        <v/>
      </c>
      <c r="BT485" s="97" t="str">
        <f aca="false">IF($BX485&lt;&gt;Constants!$B$6,"",$BN485)</f>
        <v/>
      </c>
      <c r="BU485" s="97" t="str">
        <f aca="false">IF($BX485&lt;&gt;Constants!$B$6,"",$BO485)</f>
        <v/>
      </c>
      <c r="BV485" s="99" t="str">
        <f aca="false">IF($BX485&lt;&gt;Constants!$B$6,"",IF($AT485,$AV485,""))</f>
        <v/>
      </c>
      <c r="BW485" s="93" t="str">
        <f aca="false">IF(ISBLANK($C485),"",IF(ISBLANK($D$7),$BW$5,IF(NOT(ISNUMBER($D$7)),$BW$6,"")))</f>
        <v/>
      </c>
      <c r="BX485" s="93" t="str">
        <f aca="false">IF(ISBLANK($C485),"",IF($BA485,Constants!$B$9,IF(COUNTA($E485:$AA485)=0,Constants!$B$8,IF(NOT($AG485),Constants!$B$7,IF(OR($BW485&lt;&gt;"",$BB485,$BM485),Constants!$B$10,Constants!$B$6)))))</f>
        <v/>
      </c>
      <c r="BY485" s="93" t="str">
        <f aca="false">IF(ISBLANK($C485),"",IF($BX485&lt;&gt;Constants!$B$6,$BX485,Constants!$B$11))</f>
        <v/>
      </c>
      <c r="BZ485" s="97" t="str">
        <f aca="false">IF($BX485&lt;&gt;Constants!$B$6,"",IF($BL485="-&gt;",$BS485,$BH485))</f>
        <v/>
      </c>
      <c r="CA485" s="97" t="str">
        <f aca="false">IF($BX485&lt;&gt;Constants!$B$6,"",IF($AF485,0,Constants!$B$15))</f>
        <v/>
      </c>
      <c r="CB485" s="97" t="str">
        <f aca="false">IF($BX485&lt;&gt;Constants!$B$6,"",((Constants!$B$25-$AZ485)-Constants!$B$25)/Constants!$B$26)</f>
        <v/>
      </c>
      <c r="CC485" s="97" t="str">
        <f aca="false">IF(ISBLANK($C485),"",IF($BX485&lt;&gt;Constants!$B$6,$BX485,SUM($BZ485:$CB485)))</f>
        <v/>
      </c>
      <c r="CD485" s="93" t="str">
        <f aca="false">IF(ISBLANK($C485),"",IF($BX485&lt;&gt;Constants!$B$6,$BX485,RANK($CC485,$CC$9:$CC$508,1)))</f>
        <v/>
      </c>
      <c r="CE485" s="97" t="str">
        <f aca="false">IF($BX485&lt;&gt;Constants!$B$6,"",IF($BL485="-&gt;",$BT485,$BI485))</f>
        <v/>
      </c>
      <c r="CF485" s="93" t="str">
        <f aca="false">IF(ISBLANK($C485),"",IF($BX485&lt;&gt;Constants!$B$6,$BX485,IF(ISNUMBER($CE485),RANK($CE485,$CE$9:$CE$508,1),COUNT($CE$9:$CE$508)+1)))</f>
        <v/>
      </c>
      <c r="CG485" s="97" t="str">
        <f aca="false">IF($BX485&lt;&gt;Constants!$B$6,"",IF($BL485="-&gt;",$BU485,$BJ485))</f>
        <v/>
      </c>
      <c r="CH485" s="93" t="str">
        <f aca="false">IF(ISBLANK($C485),"",IF($BX485&lt;&gt;Constants!$B$6,$BX485,IF(ISNUMBER($CG485),RANK($CG485,$CG$9:$CG$508,1),COUNT($CG$9:$CG$508)+1)))</f>
        <v/>
      </c>
      <c r="CI485" s="97" t="str">
        <f aca="false">IF($BX485&lt;&gt;Constants!$B$6,"",IF($BL485="-&gt;",$BV485,$BK485))</f>
        <v/>
      </c>
      <c r="CJ485" s="93" t="str">
        <f aca="false">IF(ISBLANK($C485),"",IF($BX485&lt;&gt;Constants!$B$6,$BX485,IF(ISNUMBER($CI485),RANK($CI485,$CI$9:$CI$508,1),COUNT($CI$9:$CI$508)+1)))</f>
        <v/>
      </c>
      <c r="CK485" s="97" t="str">
        <f aca="false">IF($BX485&lt;&gt;Constants!$B$6,"",$AI485)</f>
        <v/>
      </c>
      <c r="CL485" s="93" t="str">
        <f aca="false">IF(ISBLANK($C485),"",IF($BX485&lt;&gt;Constants!$B$6,$BX485,IF(ISNUMBER($CK485),RANK($CK485,$CK$9:$CK$508,1),COUNT($CK$9:$CK$508)+1)))</f>
        <v/>
      </c>
      <c r="CM485" s="93" t="str">
        <f aca="false">IF(ISBLANK($C485),"",IF($BX485&lt;&gt;Constants!$B$6,$BX485,COUNTIFS($CD$9:$CD$508,"&lt;"&amp;$CD485)+COUNTIFS($CD$9:$CD$508,$CD485,$CF$9:$CF$508,"&lt;"&amp;$CF485)+COUNTIFS($CD$9:$CD$508,$CD485,$CF$9:$CF$508,$CF485,$CH$9:$CH$508,"&lt;"&amp;$CH485)+COUNTIFS($CD$9:$CD$508,$CD485,$CF$9:$CF$508,$CF485,$CH$9:$CH$508,$CH485,$CJ$9:$CJ$508,"&lt;"&amp;$CJ485)+COUNTIFS($CD$9:$CD$508,$CD485,$CF$9:$CF$508,$CF485,$CH$9:$CH$508,$CH485,$CJ$9:$CJ$508,$CJ485,$CL$9:$CL$508,"&lt;"&amp;$CL485)+1))</f>
        <v/>
      </c>
      <c r="CN485" s="93" t="str">
        <f aca="false">IF(ISBLANK($C485),"",IF($BX485&lt;&gt;Constants!$B$6,$BX485,$CD485-$CM485))</f>
        <v/>
      </c>
      <c r="CO485" s="100"/>
      <c r="CP485" s="101"/>
      <c r="CQ485" s="102" t="str">
        <f aca="false">IF(ISBLANK($C485),"",IF($BX485=Constants!$B$10,$BW485,""))</f>
        <v/>
      </c>
      <c r="CR485" s="101" t="str">
        <f aca="false">IF(ISBLANK($C485),"",IF($BX485&lt;&gt;Constants!$B$6,"",IF($BL485="-&gt;",2,1)))</f>
        <v/>
      </c>
      <c r="CS485" s="103" t="str">
        <f aca="false">IF(ISBLANK($C485),"",IF($BX485&lt;&gt;Constants!$B$6,"",IF($BL485="-&gt;",$BN485,$BC485)))</f>
        <v/>
      </c>
      <c r="CT485" s="103" t="str">
        <f aca="false">IF(ISBLANK($C485),"",IF($BX485&lt;&gt;Constants!$B$6,"",IF($BL485="-&gt;",$BO485,$BD485)))</f>
        <v/>
      </c>
      <c r="CU485" s="103" t="str">
        <f aca="false">IF(ISBLANK($C485),"",IF($BX485&lt;&gt;Constants!$B$6,"",IF($BL485="-&gt;",$BP485+$BQ485,$BE485+$BF485)+$CB485))</f>
        <v/>
      </c>
      <c r="CV485" s="103" t="str">
        <f aca="false">IF(ISBLANK($C485),"",IF($BX485&lt;&gt;Constants!$B$6,"",IF($BL485="-&gt;",$BR485,$BG485)+$CA485))</f>
        <v/>
      </c>
      <c r="CW485" s="104" t="str">
        <f aca="false">IF(ISBLANK($C485),"",IF($BX485&lt;&gt;Constants!$B$6,$BX485,$CC485))</f>
        <v/>
      </c>
      <c r="CX485" s="105" t="str">
        <f aca="false">IF(ISBLANK($C485),"",$BY485)</f>
        <v/>
      </c>
      <c r="CY485" s="106" t="str">
        <f aca="false">IF(ISBLANK($C485),"",$CN485)</f>
        <v/>
      </c>
      <c r="CZ485" s="106" t="str">
        <f aca="false">IF(ISBLANK($C485),"",$CM485)</f>
        <v/>
      </c>
      <c r="DA485" s="107" t="str">
        <f aca="false">IF(ISBLANK($C485),"",IFERROR(_xlfn.SWITCH($CZ485,Constants!$B$9,COUNTA($C$9:$C$508)+2,Constants!$B$8,COUNTA($C$9:$C$508)+1,Constants!$B$7,COUNTA($C$9:$C$508)),$CZ485))</f>
        <v/>
      </c>
      <c r="DB485" s="9"/>
      <c r="DC485" s="108" t="n">
        <f aca="false">IF(OR(ISNUMBER($CZ485),$CZ485=Constants!$B$9,$CZ485=Constants!$B$7,$CZ485=Constants!$B$8),1,0)</f>
        <v>0</v>
      </c>
      <c r="DD485" s="108" t="n">
        <v>477</v>
      </c>
      <c r="DE485" s="108" t="str">
        <f aca="false">IF(ISBLANK($C485),"",IF(ISNUMBER($DA485),$DA485+ROW($B485)/1000,""))</f>
        <v/>
      </c>
      <c r="DF485" s="108" t="str">
        <f aca="false">IF(ISNUMBER($DE485),RANK($DE485,$DE$9:$DE$508,1),"")</f>
        <v/>
      </c>
      <c r="DG485" s="108" t="str">
        <f aca="false">IF(ISBLANK($C485),"",$B485)</f>
        <v/>
      </c>
      <c r="DH485" s="108" t="str">
        <f aca="false">IF(ISBLANK($C485),"",$C485)</f>
        <v/>
      </c>
      <c r="DI485" s="108" t="str">
        <f aca="false">IF(ISBLANK($C485),"",$D485)</f>
        <v/>
      </c>
      <c r="DJ485" s="109" t="str">
        <f aca="false">$CX485</f>
        <v/>
      </c>
      <c r="DK485" s="110" t="str">
        <f aca="false">$CW485</f>
        <v/>
      </c>
      <c r="DL485" s="108" t="str">
        <f aca="false">IF(ISBLANK($C485),"",$CZ485)</f>
        <v/>
      </c>
      <c r="DM485" s="111" t="str">
        <f aca="false">IF($DD485&gt;$DC$8,"",VLOOKUP($DD485,$DF$9:$DL$508,7,FALSE()))</f>
        <v/>
      </c>
      <c r="DN485" s="112" t="str">
        <f aca="false">IF($DD485&gt;$DC$8,"",VLOOKUP($DD485,$DF$9:$DL$508,2,FALSE()))</f>
        <v/>
      </c>
      <c r="DO485" s="112" t="str">
        <f aca="false">IF($DD485&gt;$DC$8,"",VLOOKUP($DD485,$DF$9:$DL$508,3,FALSE()))</f>
        <v/>
      </c>
      <c r="DP485" s="112" t="str">
        <f aca="false">IF($DD485&gt;$DC$8,"",VLOOKUP($DD485,$DF$9:$DL$508,4,FALSE()))</f>
        <v/>
      </c>
      <c r="DQ485" s="112" t="str">
        <f aca="false">IF($DD485&gt;$DC$8,"",VLOOKUP($DD485,$DF$9:$DL$508,5,FALSE()))</f>
        <v/>
      </c>
      <c r="DR485" s="113" t="str">
        <f aca="false">IF($DD485&gt;$DC$8,"",VLOOKUP($DD485,$DF$9:$DL$508,6,FALSE()))</f>
        <v/>
      </c>
      <c r="DS485" s="76"/>
    </row>
    <row r="486" customFormat="false" ht="15.75" hidden="false" customHeight="false" outlineLevel="0" collapsed="false">
      <c r="A486" s="9"/>
      <c r="B486" s="160"/>
      <c r="C486" s="161"/>
      <c r="D486" s="162"/>
      <c r="E486" s="180"/>
      <c r="F486" s="164"/>
      <c r="G486" s="165"/>
      <c r="H486" s="165"/>
      <c r="I486" s="181"/>
      <c r="J486" s="168"/>
      <c r="K486" s="128"/>
      <c r="L486" s="129"/>
      <c r="M486" s="130"/>
      <c r="N486" s="168"/>
      <c r="O486" s="168"/>
      <c r="P486" s="180"/>
      <c r="Q486" s="168"/>
      <c r="R486" s="168"/>
      <c r="S486" s="128"/>
      <c r="T486" s="130"/>
      <c r="U486" s="130"/>
      <c r="V486" s="168"/>
      <c r="W486" s="168"/>
      <c r="X486" s="180"/>
      <c r="Y486" s="168"/>
      <c r="Z486" s="169"/>
      <c r="AA486" s="168"/>
      <c r="AB486" s="134"/>
      <c r="AC486" s="135"/>
      <c r="AD486" s="135"/>
      <c r="AE486" s="135"/>
      <c r="AF486" s="135" t="str">
        <f aca="false">IF(ISBLANK($C486),"",IF(E486=Constants!$B$2,TRUE(),IF(E486=Constants!$B$3,FALSE(),TRUE())))</f>
        <v/>
      </c>
      <c r="AG486" s="135" t="str">
        <f aca="false">IF(ISBLANK($C486),"",IF(F486=Constants!$B$2,TRUE(),IF(F486=Constants!$B$3,FALSE(),TRUE())))</f>
        <v/>
      </c>
      <c r="AH486" s="135" t="str">
        <f aca="false">IF(ISBLANK($C486),"",IF(G486=Constants!$B$2,TRUE(),IF(G486=Constants!$B$3,FALSE(),TRUE())))</f>
        <v/>
      </c>
      <c r="AI486" s="135" t="str">
        <f aca="false">IF(ISBLANK($C486),"",IF(AND(ISNUMBER(H486),H486&gt;=0),H486,Constants!$B$24))</f>
        <v/>
      </c>
      <c r="AJ486" s="135" t="str">
        <f aca="false">IF(ISBLANK($C486),"",IF(I486=Constants!$B$2,TRUE(),IF(I486=Constants!$B$3,FALSE(),TRUE())))</f>
        <v/>
      </c>
      <c r="AK486" s="135" t="str">
        <f aca="false">IF(ISBLANK($C486),"",IF(J486=Constants!$B$2,TRUE(),IF(J486=Constants!$B$3,FALSE(),TRUE())))</f>
        <v/>
      </c>
      <c r="AL486" s="135" t="str">
        <f aca="false">IF(ISBLANK($C486),"",IF(K486=Constants!$B$4,TRUE(),IF(K486=Constants!$B$5,FALSE(),COUNTA(L486:P486)&gt;0)))</f>
        <v/>
      </c>
      <c r="AM486" s="136" t="str">
        <f aca="false">IF(ISBLANK($C486),"",IF(ISNUMBER(L486),IF(L486&gt;=0,L486,""),""))</f>
        <v/>
      </c>
      <c r="AN486" s="137" t="str">
        <f aca="false">IF(ISBLANK($C486),"",IF(ISNUMBER(M486),IF(M486&gt;=0,M486,""),""))</f>
        <v/>
      </c>
      <c r="AO486" s="137" t="str">
        <f aca="false">IF(ISBLANK($C486),"",IF(N486=Constants!$B$2,TRUE(),IF(N486=Constants!$B$3,FALSE(),TRUE())))</f>
        <v/>
      </c>
      <c r="AP486" s="135" t="str">
        <f aca="false">IF(ISBLANK($C486),"",IF(ISNUMBER(O486),IF(O486&gt;=0,O486,""),""))</f>
        <v/>
      </c>
      <c r="AQ486" s="135" t="str">
        <f aca="false">IF(ISBLANK($C486),"",IF(P486=Constants!$B$2,TRUE(),IF(P486=Constants!$B$3,FALSE(),FALSE())))</f>
        <v/>
      </c>
      <c r="AR486" s="135" t="str">
        <f aca="false">IF(ISBLANK($C486),"",IF(Q486=Constants!$B$2,TRUE(),IF(Q486=Constants!$B$3,FALSE(),TRUE())))</f>
        <v/>
      </c>
      <c r="AS486" s="135" t="str">
        <f aca="false">IF(ISBLANK($C486),"",IF(R486=Constants!$B$2,TRUE(),IF(R486=Constants!$B$3,FALSE(),TRUE())))</f>
        <v/>
      </c>
      <c r="AT486" s="135" t="str">
        <f aca="false">IF(ISBLANK($C486),"",IF(S486=Constants!$B$4,TRUE(),IF(S486=Constants!$B$5,FALSE(),COUNTA(T486:X486)&gt;0)))</f>
        <v/>
      </c>
      <c r="AU486" s="136" t="str">
        <f aca="false">IF(ISBLANK($C486),"",IF(ISNUMBER(T486),IF(T486&gt;=0,T486,""),""))</f>
        <v/>
      </c>
      <c r="AV486" s="137" t="str">
        <f aca="false">IF(ISBLANK($C486),"",IF(ISNUMBER(U486),IF(U486&gt;=0,U486,""),""))</f>
        <v/>
      </c>
      <c r="AW486" s="137" t="str">
        <f aca="false">IF(ISBLANK($C486),"",IF(V486=Constants!$B$2,TRUE(),IF(V486=Constants!$B$3,FALSE(),TRUE())))</f>
        <v/>
      </c>
      <c r="AX486" s="135" t="str">
        <f aca="false">IF(ISBLANK($C486),"",IF(ISNUMBER(W486),IF(W486&gt;=0,W486,""),""))</f>
        <v/>
      </c>
      <c r="AY486" s="135" t="str">
        <f aca="false">IF(ISBLANK($C486),"",IF(X486=Constants!$B$2,TRUE(),IF(X486=Constants!$B$3,FALSE(),FALSE())))</f>
        <v/>
      </c>
      <c r="AZ486" s="135" t="str">
        <f aca="false">IF(ISBLANK($C486),"",MIN(Constants!$B$25,MAX(0,IF(ISNUMBER(Y486),Y486*60,0)+IF(ISNUMBER(Z486),Z486,0))))</f>
        <v/>
      </c>
      <c r="BA486" s="135" t="str">
        <f aca="false">IF(ISBLANK($C486),"",IF(AA486=Constants!$B$2,TRUE(),IF(AA486=Constants!$B$3,FALSE(),FALSE())))</f>
        <v/>
      </c>
      <c r="BB486" s="134" t="str">
        <f aca="false">IF(ISBLANK($C486),"",AND($AL486,OR($AM486="",$AN486="",AND($AO486,$AP486=""))))</f>
        <v/>
      </c>
      <c r="BC486" s="137" t="str">
        <f aca="false">IF($BX486&lt;&gt;Constants!$B$6,"",IF($AL486,Constants!$B$17*$AN486+Constants!$B$18*IF($AO486,$AP486,Constants!$B$19),Constants!$B$20))</f>
        <v/>
      </c>
      <c r="BD486" s="138" t="str">
        <f aca="false">IF($BX486&lt;&gt;Constants!$B$6,"",Constants!$B$21*ABS($AD$9-IF($AL486,$AM486,0)))</f>
        <v/>
      </c>
      <c r="BE486" s="138" t="str">
        <f aca="false">IF($BX486&lt;&gt;Constants!$B$6,"",IF(AND($AL486,$AQ486,$AO486),Constants!$B$22,0))</f>
        <v/>
      </c>
      <c r="BF486" s="138" t="str">
        <f aca="false">IF($BX486&lt;&gt;Constants!$B$6,"",IF($AL486,($AI486-Constants!$B$24)*Constants!$B$23,0))</f>
        <v/>
      </c>
      <c r="BG486" s="138" t="str">
        <f aca="false">IF($BX486&lt;&gt;Constants!$B$6,"",IF($AK486,0,Constants!$B$12)+IF($AJ486,0,Constants!$B$13)+IF($AH486,0,Constants!$B$14))</f>
        <v/>
      </c>
      <c r="BH486" s="139" t="str">
        <f aca="false">IF($BX486&lt;&gt;Constants!$B$6,"",Constants!$B$16+SUM($BC486:$BG486))</f>
        <v/>
      </c>
      <c r="BI486" s="138" t="str">
        <f aca="false">IF($BX486&lt;&gt;Constants!$B$6,"",$BC486)</f>
        <v/>
      </c>
      <c r="BJ486" s="138" t="str">
        <f aca="false">IF($BX486&lt;&gt;Constants!$B$6,"",$BD486)</f>
        <v/>
      </c>
      <c r="BK486" s="140" t="str">
        <f aca="false">IF($BX486&lt;&gt;Constants!$B$6,"",IF($AL486,$AN486,""))</f>
        <v/>
      </c>
      <c r="BL486" s="135" t="str">
        <f aca="false">IF($BX486&lt;&gt;Constants!$B$6,"",IF(OR($BS486&lt;$BH486,AND($BS486=$BH486,OR($BT486&lt;$BI486,AND($BT486=$BI486,OR($BU486&lt;$BJ486,AND($BU486=$BJ486,AND(ISNUMBER($BV486),OR(NOT(ISNUMBER($BK486)),$BV486&lt;$BK486)))))))),"-&gt;","&lt;-"))</f>
        <v/>
      </c>
      <c r="BM486" s="134" t="str">
        <f aca="false">IF(ISBLANK($C486),"",AND($AT486,OR($AU486="",$AV486="",AND($AW486,$AX486=""))))</f>
        <v/>
      </c>
      <c r="BN486" s="137" t="str">
        <f aca="false">IF($BX486&lt;&gt;Constants!$B$6,"",IF($AT486,Constants!$B$17*$AV486+Constants!$B$18*IF($AW486,$AX486,Constants!$B$19),Constants!$B$20))</f>
        <v/>
      </c>
      <c r="BO486" s="138" t="str">
        <f aca="false">IF($BX486&lt;&gt;Constants!$B$6,"",Constants!$B$21*ABS($AD$9-IF($AT486,$AU486,0)))</f>
        <v/>
      </c>
      <c r="BP486" s="138" t="str">
        <f aca="false">IF($BX486&lt;&gt;Constants!$B$6,"",IF(AND($AT486,$AY486,$AW486),Constants!$B$22,0))</f>
        <v/>
      </c>
      <c r="BQ486" s="138" t="str">
        <f aca="false">IF($BX486&lt;&gt;Constants!$B$6,"",IF($AT486,($AI486-Constants!$B$24)*Constants!$B$23,0))</f>
        <v/>
      </c>
      <c r="BR486" s="138" t="str">
        <f aca="false">IF($BX486&lt;&gt;Constants!$B$6,"",IF($AS486,0,Constants!$B$12)+IF($AR486,0,Constants!$B$13)+IF($AH486,0,Constants!$B$14))</f>
        <v/>
      </c>
      <c r="BS486" s="139" t="str">
        <f aca="false">IF($BX486&lt;&gt;Constants!$B$6,"",Constants!$B$16+SUM($BN486:$BR486))</f>
        <v/>
      </c>
      <c r="BT486" s="138" t="str">
        <f aca="false">IF($BX486&lt;&gt;Constants!$B$6,"",$BN486)</f>
        <v/>
      </c>
      <c r="BU486" s="138" t="str">
        <f aca="false">IF($BX486&lt;&gt;Constants!$B$6,"",$BO486)</f>
        <v/>
      </c>
      <c r="BV486" s="140" t="str">
        <f aca="false">IF($BX486&lt;&gt;Constants!$B$6,"",IF($AT486,$AV486,""))</f>
        <v/>
      </c>
      <c r="BW486" s="135" t="str">
        <f aca="false">IF(ISBLANK($C486),"",IF(ISBLANK($D$7),$BW$5,IF(NOT(ISNUMBER($D$7)),$BW$6,"")))</f>
        <v/>
      </c>
      <c r="BX486" s="135" t="str">
        <f aca="false">IF(ISBLANK($C486),"",IF($BA486,Constants!$B$9,IF(COUNTA($E486:$AA486)=0,Constants!$B$8,IF(NOT($AG486),Constants!$B$7,IF(OR($BW486&lt;&gt;"",$BB486,$BM486),Constants!$B$10,Constants!$B$6)))))</f>
        <v/>
      </c>
      <c r="BY486" s="135" t="str">
        <f aca="false">IF(ISBLANK($C486),"",IF($BX486&lt;&gt;Constants!$B$6,$BX486,Constants!$B$11))</f>
        <v/>
      </c>
      <c r="BZ486" s="138" t="str">
        <f aca="false">IF($BX486&lt;&gt;Constants!$B$6,"",IF($BL486="-&gt;",$BS486,$BH486))</f>
        <v/>
      </c>
      <c r="CA486" s="138" t="str">
        <f aca="false">IF($BX486&lt;&gt;Constants!$B$6,"",IF($AF486,0,Constants!$B$15))</f>
        <v/>
      </c>
      <c r="CB486" s="138" t="str">
        <f aca="false">IF($BX486&lt;&gt;Constants!$B$6,"",((Constants!$B$25-$AZ486)-Constants!$B$25)/Constants!$B$26)</f>
        <v/>
      </c>
      <c r="CC486" s="138" t="str">
        <f aca="false">IF(ISBLANK($C486),"",IF($BX486&lt;&gt;Constants!$B$6,$BX486,SUM($BZ486:$CB486)))</f>
        <v/>
      </c>
      <c r="CD486" s="135" t="str">
        <f aca="false">IF(ISBLANK($C486),"",IF($BX486&lt;&gt;Constants!$B$6,$BX486,RANK($CC486,$CC$9:$CC$508,1)))</f>
        <v/>
      </c>
      <c r="CE486" s="138" t="str">
        <f aca="false">IF($BX486&lt;&gt;Constants!$B$6,"",IF($BL486="-&gt;",$BT486,$BI486))</f>
        <v/>
      </c>
      <c r="CF486" s="135" t="str">
        <f aca="false">IF(ISBLANK($C486),"",IF($BX486&lt;&gt;Constants!$B$6,$BX486,IF(ISNUMBER($CE486),RANK($CE486,$CE$9:$CE$508,1),COUNT($CE$9:$CE$508)+1)))</f>
        <v/>
      </c>
      <c r="CG486" s="138" t="str">
        <f aca="false">IF($BX486&lt;&gt;Constants!$B$6,"",IF($BL486="-&gt;",$BU486,$BJ486))</f>
        <v/>
      </c>
      <c r="CH486" s="135" t="str">
        <f aca="false">IF(ISBLANK($C486),"",IF($BX486&lt;&gt;Constants!$B$6,$BX486,IF(ISNUMBER($CG486),RANK($CG486,$CG$9:$CG$508,1),COUNT($CG$9:$CG$508)+1)))</f>
        <v/>
      </c>
      <c r="CI486" s="138" t="str">
        <f aca="false">IF($BX486&lt;&gt;Constants!$B$6,"",IF($BL486="-&gt;",$BV486,$BK486))</f>
        <v/>
      </c>
      <c r="CJ486" s="135" t="str">
        <f aca="false">IF(ISBLANK($C486),"",IF($BX486&lt;&gt;Constants!$B$6,$BX486,IF(ISNUMBER($CI486),RANK($CI486,$CI$9:$CI$508,1),COUNT($CI$9:$CI$508)+1)))</f>
        <v/>
      </c>
      <c r="CK486" s="138" t="str">
        <f aca="false">IF($BX486&lt;&gt;Constants!$B$6,"",$AI486)</f>
        <v/>
      </c>
      <c r="CL486" s="135" t="str">
        <f aca="false">IF(ISBLANK($C486),"",IF($BX486&lt;&gt;Constants!$B$6,$BX486,IF(ISNUMBER($CK486),RANK($CK486,$CK$9:$CK$508,1),COUNT($CK$9:$CK$508)+1)))</f>
        <v/>
      </c>
      <c r="CM486" s="135" t="str">
        <f aca="false">IF(ISBLANK($C486),"",IF($BX486&lt;&gt;Constants!$B$6,$BX486,COUNTIFS($CD$9:$CD$508,"&lt;"&amp;$CD486)+COUNTIFS($CD$9:$CD$508,$CD486,$CF$9:$CF$508,"&lt;"&amp;$CF486)+COUNTIFS($CD$9:$CD$508,$CD486,$CF$9:$CF$508,$CF486,$CH$9:$CH$508,"&lt;"&amp;$CH486)+COUNTIFS($CD$9:$CD$508,$CD486,$CF$9:$CF$508,$CF486,$CH$9:$CH$508,$CH486,$CJ$9:$CJ$508,"&lt;"&amp;$CJ486)+COUNTIFS($CD$9:$CD$508,$CD486,$CF$9:$CF$508,$CF486,$CH$9:$CH$508,$CH486,$CJ$9:$CJ$508,$CJ486,$CL$9:$CL$508,"&lt;"&amp;$CL486)+1))</f>
        <v/>
      </c>
      <c r="CN486" s="135" t="str">
        <f aca="false">IF(ISBLANK($C486),"",IF($BX486&lt;&gt;Constants!$B$6,$BX486,$CD486-$CM486))</f>
        <v/>
      </c>
      <c r="CO486" s="141"/>
      <c r="CP486" s="142"/>
      <c r="CQ486" s="143" t="str">
        <f aca="false">IF(ISBLANK($C486),"",IF($BX486=Constants!$B$10,$BW486,""))</f>
        <v/>
      </c>
      <c r="CR486" s="142" t="str">
        <f aca="false">IF(ISBLANK($C486),"",IF($BX486&lt;&gt;Constants!$B$6,"",IF($BL486="-&gt;",2,1)))</f>
        <v/>
      </c>
      <c r="CS486" s="144" t="str">
        <f aca="false">IF(ISBLANK($C486),"",IF($BX486&lt;&gt;Constants!$B$6,"",IF($BL486="-&gt;",$BN486,$BC486)))</f>
        <v/>
      </c>
      <c r="CT486" s="144" t="str">
        <f aca="false">IF(ISBLANK($C486),"",IF($BX486&lt;&gt;Constants!$B$6,"",IF($BL486="-&gt;",$BO486,$BD486)))</f>
        <v/>
      </c>
      <c r="CU486" s="144" t="str">
        <f aca="false">IF(ISBLANK($C486),"",IF($BX486&lt;&gt;Constants!$B$6,"",IF($BL486="-&gt;",$BP486+$BQ486,$BE486+$BF486)+$CB486))</f>
        <v/>
      </c>
      <c r="CV486" s="144" t="str">
        <f aca="false">IF(ISBLANK($C486),"",IF($BX486&lt;&gt;Constants!$B$6,"",IF($BL486="-&gt;",$BR486,$BG486)+$CA486))</f>
        <v/>
      </c>
      <c r="CW486" s="145" t="str">
        <f aca="false">IF(ISBLANK($C486),"",IF($BX486&lt;&gt;Constants!$B$6,$BX486,$CC486))</f>
        <v/>
      </c>
      <c r="CX486" s="146" t="str">
        <f aca="false">IF(ISBLANK($C486),"",$BY486)</f>
        <v/>
      </c>
      <c r="CY486" s="147" t="str">
        <f aca="false">IF(ISBLANK($C486),"",$CN486)</f>
        <v/>
      </c>
      <c r="CZ486" s="147" t="str">
        <f aca="false">IF(ISBLANK($C486),"",$CM486)</f>
        <v/>
      </c>
      <c r="DA486" s="148" t="str">
        <f aca="false">IF(ISBLANK($C486),"",IFERROR(_xlfn.SWITCH($CZ486,Constants!$B$9,COUNTA($C$9:$C$508)+2,Constants!$B$8,COUNTA($C$9:$C$508)+1,Constants!$B$7,COUNTA($C$9:$C$508)),$CZ486))</f>
        <v/>
      </c>
      <c r="DB486" s="9"/>
      <c r="DC486" s="149" t="n">
        <f aca="false">IF(OR(ISNUMBER($CZ486),$CZ486=Constants!$B$9,$CZ486=Constants!$B$7,$CZ486=Constants!$B$8),1,0)</f>
        <v>0</v>
      </c>
      <c r="DD486" s="149" t="n">
        <v>478</v>
      </c>
      <c r="DE486" s="149" t="str">
        <f aca="false">IF(ISBLANK($C486),"",IF(ISNUMBER($DA486),$DA486+ROW($B486)/1000,""))</f>
        <v/>
      </c>
      <c r="DF486" s="149" t="str">
        <f aca="false">IF(ISNUMBER($DE486),RANK($DE486,$DE$9:$DE$508,1),"")</f>
        <v/>
      </c>
      <c r="DG486" s="149" t="str">
        <f aca="false">IF(ISBLANK($C486),"",$B486)</f>
        <v/>
      </c>
      <c r="DH486" s="149" t="str">
        <f aca="false">IF(ISBLANK($C486),"",$C486)</f>
        <v/>
      </c>
      <c r="DI486" s="149" t="str">
        <f aca="false">IF(ISBLANK($C486),"",$D486)</f>
        <v/>
      </c>
      <c r="DJ486" s="150" t="str">
        <f aca="false">$CX486</f>
        <v/>
      </c>
      <c r="DK486" s="151" t="str">
        <f aca="false">$CW486</f>
        <v/>
      </c>
      <c r="DL486" s="149" t="str">
        <f aca="false">IF(ISBLANK($C486),"",$CZ486)</f>
        <v/>
      </c>
      <c r="DM486" s="152" t="str">
        <f aca="false">IF($DD486&gt;$DC$8,"",VLOOKUP($DD486,$DF$9:$DL$508,7,FALSE()))</f>
        <v/>
      </c>
      <c r="DN486" s="153" t="str">
        <f aca="false">IF($DD486&gt;$DC$8,"",VLOOKUP($DD486,$DF$9:$DL$508,2,FALSE()))</f>
        <v/>
      </c>
      <c r="DO486" s="153" t="str">
        <f aca="false">IF($DD486&gt;$DC$8,"",VLOOKUP($DD486,$DF$9:$DL$508,3,FALSE()))</f>
        <v/>
      </c>
      <c r="DP486" s="153" t="str">
        <f aca="false">IF($DD486&gt;$DC$8,"",VLOOKUP($DD486,$DF$9:$DL$508,4,FALSE()))</f>
        <v/>
      </c>
      <c r="DQ486" s="153" t="str">
        <f aca="false">IF($DD486&gt;$DC$8,"",VLOOKUP($DD486,$DF$9:$DL$508,5,FALSE()))</f>
        <v/>
      </c>
      <c r="DR486" s="154" t="str">
        <f aca="false">IF($DD486&gt;$DC$8,"",VLOOKUP($DD486,$DF$9:$DL$508,6,FALSE()))</f>
        <v/>
      </c>
      <c r="DS486" s="76"/>
    </row>
    <row r="487" customFormat="false" ht="15.75" hidden="false" customHeight="false" outlineLevel="0" collapsed="false">
      <c r="A487" s="9"/>
      <c r="B487" s="160"/>
      <c r="C487" s="161"/>
      <c r="D487" s="162"/>
      <c r="E487" s="180"/>
      <c r="F487" s="164"/>
      <c r="G487" s="165"/>
      <c r="H487" s="165"/>
      <c r="I487" s="181"/>
      <c r="J487" s="168"/>
      <c r="K487" s="128"/>
      <c r="L487" s="129"/>
      <c r="M487" s="130"/>
      <c r="N487" s="168"/>
      <c r="O487" s="168"/>
      <c r="P487" s="180"/>
      <c r="Q487" s="168"/>
      <c r="R487" s="168"/>
      <c r="S487" s="128"/>
      <c r="T487" s="130"/>
      <c r="U487" s="130"/>
      <c r="V487" s="168"/>
      <c r="W487" s="168"/>
      <c r="X487" s="180"/>
      <c r="Y487" s="168"/>
      <c r="Z487" s="169"/>
      <c r="AA487" s="168"/>
      <c r="AB487" s="134"/>
      <c r="AC487" s="135"/>
      <c r="AD487" s="135"/>
      <c r="AE487" s="135"/>
      <c r="AF487" s="135" t="str">
        <f aca="false">IF(ISBLANK($C487),"",IF(E487=Constants!$B$2,TRUE(),IF(E487=Constants!$B$3,FALSE(),TRUE())))</f>
        <v/>
      </c>
      <c r="AG487" s="135" t="str">
        <f aca="false">IF(ISBLANK($C487),"",IF(F487=Constants!$B$2,TRUE(),IF(F487=Constants!$B$3,FALSE(),TRUE())))</f>
        <v/>
      </c>
      <c r="AH487" s="135" t="str">
        <f aca="false">IF(ISBLANK($C487),"",IF(G487=Constants!$B$2,TRUE(),IF(G487=Constants!$B$3,FALSE(),TRUE())))</f>
        <v/>
      </c>
      <c r="AI487" s="135" t="str">
        <f aca="false">IF(ISBLANK($C487),"",IF(AND(ISNUMBER(H487),H487&gt;=0),H487,Constants!$B$24))</f>
        <v/>
      </c>
      <c r="AJ487" s="135" t="str">
        <f aca="false">IF(ISBLANK($C487),"",IF(I487=Constants!$B$2,TRUE(),IF(I487=Constants!$B$3,FALSE(),TRUE())))</f>
        <v/>
      </c>
      <c r="AK487" s="135" t="str">
        <f aca="false">IF(ISBLANK($C487),"",IF(J487=Constants!$B$2,TRUE(),IF(J487=Constants!$B$3,FALSE(),TRUE())))</f>
        <v/>
      </c>
      <c r="AL487" s="135" t="str">
        <f aca="false">IF(ISBLANK($C487),"",IF(K487=Constants!$B$4,TRUE(),IF(K487=Constants!$B$5,FALSE(),COUNTA(L487:P487)&gt;0)))</f>
        <v/>
      </c>
      <c r="AM487" s="136" t="str">
        <f aca="false">IF(ISBLANK($C487),"",IF(ISNUMBER(L487),IF(L487&gt;=0,L487,""),""))</f>
        <v/>
      </c>
      <c r="AN487" s="137" t="str">
        <f aca="false">IF(ISBLANK($C487),"",IF(ISNUMBER(M487),IF(M487&gt;=0,M487,""),""))</f>
        <v/>
      </c>
      <c r="AO487" s="137" t="str">
        <f aca="false">IF(ISBLANK($C487),"",IF(N487=Constants!$B$2,TRUE(),IF(N487=Constants!$B$3,FALSE(),TRUE())))</f>
        <v/>
      </c>
      <c r="AP487" s="135" t="str">
        <f aca="false">IF(ISBLANK($C487),"",IF(ISNUMBER(O487),IF(O487&gt;=0,O487,""),""))</f>
        <v/>
      </c>
      <c r="AQ487" s="135" t="str">
        <f aca="false">IF(ISBLANK($C487),"",IF(P487=Constants!$B$2,TRUE(),IF(P487=Constants!$B$3,FALSE(),FALSE())))</f>
        <v/>
      </c>
      <c r="AR487" s="135" t="str">
        <f aca="false">IF(ISBLANK($C487),"",IF(Q487=Constants!$B$2,TRUE(),IF(Q487=Constants!$B$3,FALSE(),TRUE())))</f>
        <v/>
      </c>
      <c r="AS487" s="135" t="str">
        <f aca="false">IF(ISBLANK($C487),"",IF(R487=Constants!$B$2,TRUE(),IF(R487=Constants!$B$3,FALSE(),TRUE())))</f>
        <v/>
      </c>
      <c r="AT487" s="135" t="str">
        <f aca="false">IF(ISBLANK($C487),"",IF(S487=Constants!$B$4,TRUE(),IF(S487=Constants!$B$5,FALSE(),COUNTA(T487:X487)&gt;0)))</f>
        <v/>
      </c>
      <c r="AU487" s="136" t="str">
        <f aca="false">IF(ISBLANK($C487),"",IF(ISNUMBER(T487),IF(T487&gt;=0,T487,""),""))</f>
        <v/>
      </c>
      <c r="AV487" s="137" t="str">
        <f aca="false">IF(ISBLANK($C487),"",IF(ISNUMBER(U487),IF(U487&gt;=0,U487,""),""))</f>
        <v/>
      </c>
      <c r="AW487" s="137" t="str">
        <f aca="false">IF(ISBLANK($C487),"",IF(V487=Constants!$B$2,TRUE(),IF(V487=Constants!$B$3,FALSE(),TRUE())))</f>
        <v/>
      </c>
      <c r="AX487" s="135" t="str">
        <f aca="false">IF(ISBLANK($C487),"",IF(ISNUMBER(W487),IF(W487&gt;=0,W487,""),""))</f>
        <v/>
      </c>
      <c r="AY487" s="135" t="str">
        <f aca="false">IF(ISBLANK($C487),"",IF(X487=Constants!$B$2,TRUE(),IF(X487=Constants!$B$3,FALSE(),FALSE())))</f>
        <v/>
      </c>
      <c r="AZ487" s="135" t="str">
        <f aca="false">IF(ISBLANK($C487),"",MIN(Constants!$B$25,MAX(0,IF(ISNUMBER(Y487),Y487*60,0)+IF(ISNUMBER(Z487),Z487,0))))</f>
        <v/>
      </c>
      <c r="BA487" s="135" t="str">
        <f aca="false">IF(ISBLANK($C487),"",IF(AA487=Constants!$B$2,TRUE(),IF(AA487=Constants!$B$3,FALSE(),FALSE())))</f>
        <v/>
      </c>
      <c r="BB487" s="134" t="str">
        <f aca="false">IF(ISBLANK($C487),"",AND($AL487,OR($AM487="",$AN487="",AND($AO487,$AP487=""))))</f>
        <v/>
      </c>
      <c r="BC487" s="137" t="str">
        <f aca="false">IF($BX487&lt;&gt;Constants!$B$6,"",IF($AL487,Constants!$B$17*$AN487+Constants!$B$18*IF($AO487,$AP487,Constants!$B$19),Constants!$B$20))</f>
        <v/>
      </c>
      <c r="BD487" s="138" t="str">
        <f aca="false">IF($BX487&lt;&gt;Constants!$B$6,"",Constants!$B$21*ABS($AD$9-IF($AL487,$AM487,0)))</f>
        <v/>
      </c>
      <c r="BE487" s="138" t="str">
        <f aca="false">IF($BX487&lt;&gt;Constants!$B$6,"",IF(AND($AL487,$AQ487,$AO487),Constants!$B$22,0))</f>
        <v/>
      </c>
      <c r="BF487" s="138" t="str">
        <f aca="false">IF($BX487&lt;&gt;Constants!$B$6,"",IF($AL487,($AI487-Constants!$B$24)*Constants!$B$23,0))</f>
        <v/>
      </c>
      <c r="BG487" s="138" t="str">
        <f aca="false">IF($BX487&lt;&gt;Constants!$B$6,"",IF($AK487,0,Constants!$B$12)+IF($AJ487,0,Constants!$B$13)+IF($AH487,0,Constants!$B$14))</f>
        <v/>
      </c>
      <c r="BH487" s="139" t="str">
        <f aca="false">IF($BX487&lt;&gt;Constants!$B$6,"",Constants!$B$16+SUM($BC487:$BG487))</f>
        <v/>
      </c>
      <c r="BI487" s="138" t="str">
        <f aca="false">IF($BX487&lt;&gt;Constants!$B$6,"",$BC487)</f>
        <v/>
      </c>
      <c r="BJ487" s="138" t="str">
        <f aca="false">IF($BX487&lt;&gt;Constants!$B$6,"",$BD487)</f>
        <v/>
      </c>
      <c r="BK487" s="140" t="str">
        <f aca="false">IF($BX487&lt;&gt;Constants!$B$6,"",IF($AL487,$AN487,""))</f>
        <v/>
      </c>
      <c r="BL487" s="135" t="str">
        <f aca="false">IF($BX487&lt;&gt;Constants!$B$6,"",IF(OR($BS487&lt;$BH487,AND($BS487=$BH487,OR($BT487&lt;$BI487,AND($BT487=$BI487,OR($BU487&lt;$BJ487,AND($BU487=$BJ487,AND(ISNUMBER($BV487),OR(NOT(ISNUMBER($BK487)),$BV487&lt;$BK487)))))))),"-&gt;","&lt;-"))</f>
        <v/>
      </c>
      <c r="BM487" s="134" t="str">
        <f aca="false">IF(ISBLANK($C487),"",AND($AT487,OR($AU487="",$AV487="",AND($AW487,$AX487=""))))</f>
        <v/>
      </c>
      <c r="BN487" s="137" t="str">
        <f aca="false">IF($BX487&lt;&gt;Constants!$B$6,"",IF($AT487,Constants!$B$17*$AV487+Constants!$B$18*IF($AW487,$AX487,Constants!$B$19),Constants!$B$20))</f>
        <v/>
      </c>
      <c r="BO487" s="138" t="str">
        <f aca="false">IF($BX487&lt;&gt;Constants!$B$6,"",Constants!$B$21*ABS($AD$9-IF($AT487,$AU487,0)))</f>
        <v/>
      </c>
      <c r="BP487" s="138" t="str">
        <f aca="false">IF($BX487&lt;&gt;Constants!$B$6,"",IF(AND($AT487,$AY487,$AW487),Constants!$B$22,0))</f>
        <v/>
      </c>
      <c r="BQ487" s="138" t="str">
        <f aca="false">IF($BX487&lt;&gt;Constants!$B$6,"",IF($AT487,($AI487-Constants!$B$24)*Constants!$B$23,0))</f>
        <v/>
      </c>
      <c r="BR487" s="138" t="str">
        <f aca="false">IF($BX487&lt;&gt;Constants!$B$6,"",IF($AS487,0,Constants!$B$12)+IF($AR487,0,Constants!$B$13)+IF($AH487,0,Constants!$B$14))</f>
        <v/>
      </c>
      <c r="BS487" s="139" t="str">
        <f aca="false">IF($BX487&lt;&gt;Constants!$B$6,"",Constants!$B$16+SUM($BN487:$BR487))</f>
        <v/>
      </c>
      <c r="BT487" s="138" t="str">
        <f aca="false">IF($BX487&lt;&gt;Constants!$B$6,"",$BN487)</f>
        <v/>
      </c>
      <c r="BU487" s="138" t="str">
        <f aca="false">IF($BX487&lt;&gt;Constants!$B$6,"",$BO487)</f>
        <v/>
      </c>
      <c r="BV487" s="140" t="str">
        <f aca="false">IF($BX487&lt;&gt;Constants!$B$6,"",IF($AT487,$AV487,""))</f>
        <v/>
      </c>
      <c r="BW487" s="135" t="str">
        <f aca="false">IF(ISBLANK($C487),"",IF(ISBLANK($D$7),$BW$5,IF(NOT(ISNUMBER($D$7)),$BW$6,"")))</f>
        <v/>
      </c>
      <c r="BX487" s="135" t="str">
        <f aca="false">IF(ISBLANK($C487),"",IF($BA487,Constants!$B$9,IF(COUNTA($E487:$AA487)=0,Constants!$B$8,IF(NOT($AG487),Constants!$B$7,IF(OR($BW487&lt;&gt;"",$BB487,$BM487),Constants!$B$10,Constants!$B$6)))))</f>
        <v/>
      </c>
      <c r="BY487" s="135" t="str">
        <f aca="false">IF(ISBLANK($C487),"",IF($BX487&lt;&gt;Constants!$B$6,$BX487,Constants!$B$11))</f>
        <v/>
      </c>
      <c r="BZ487" s="138" t="str">
        <f aca="false">IF($BX487&lt;&gt;Constants!$B$6,"",IF($BL487="-&gt;",$BS487,$BH487))</f>
        <v/>
      </c>
      <c r="CA487" s="138" t="str">
        <f aca="false">IF($BX487&lt;&gt;Constants!$B$6,"",IF($AF487,0,Constants!$B$15))</f>
        <v/>
      </c>
      <c r="CB487" s="138" t="str">
        <f aca="false">IF($BX487&lt;&gt;Constants!$B$6,"",((Constants!$B$25-$AZ487)-Constants!$B$25)/Constants!$B$26)</f>
        <v/>
      </c>
      <c r="CC487" s="138" t="str">
        <f aca="false">IF(ISBLANK($C487),"",IF($BX487&lt;&gt;Constants!$B$6,$BX487,SUM($BZ487:$CB487)))</f>
        <v/>
      </c>
      <c r="CD487" s="135" t="str">
        <f aca="false">IF(ISBLANK($C487),"",IF($BX487&lt;&gt;Constants!$B$6,$BX487,RANK($CC487,$CC$9:$CC$508,1)))</f>
        <v/>
      </c>
      <c r="CE487" s="138" t="str">
        <f aca="false">IF($BX487&lt;&gt;Constants!$B$6,"",IF($BL487="-&gt;",$BT487,$BI487))</f>
        <v/>
      </c>
      <c r="CF487" s="135" t="str">
        <f aca="false">IF(ISBLANK($C487),"",IF($BX487&lt;&gt;Constants!$B$6,$BX487,IF(ISNUMBER($CE487),RANK($CE487,$CE$9:$CE$508,1),COUNT($CE$9:$CE$508)+1)))</f>
        <v/>
      </c>
      <c r="CG487" s="138" t="str">
        <f aca="false">IF($BX487&lt;&gt;Constants!$B$6,"",IF($BL487="-&gt;",$BU487,$BJ487))</f>
        <v/>
      </c>
      <c r="CH487" s="135" t="str">
        <f aca="false">IF(ISBLANK($C487),"",IF($BX487&lt;&gt;Constants!$B$6,$BX487,IF(ISNUMBER($CG487),RANK($CG487,$CG$9:$CG$508,1),COUNT($CG$9:$CG$508)+1)))</f>
        <v/>
      </c>
      <c r="CI487" s="138" t="str">
        <f aca="false">IF($BX487&lt;&gt;Constants!$B$6,"",IF($BL487="-&gt;",$BV487,$BK487))</f>
        <v/>
      </c>
      <c r="CJ487" s="135" t="str">
        <f aca="false">IF(ISBLANK($C487),"",IF($BX487&lt;&gt;Constants!$B$6,$BX487,IF(ISNUMBER($CI487),RANK($CI487,$CI$9:$CI$508,1),COUNT($CI$9:$CI$508)+1)))</f>
        <v/>
      </c>
      <c r="CK487" s="138" t="str">
        <f aca="false">IF($BX487&lt;&gt;Constants!$B$6,"",$AI487)</f>
        <v/>
      </c>
      <c r="CL487" s="135" t="str">
        <f aca="false">IF(ISBLANK($C487),"",IF($BX487&lt;&gt;Constants!$B$6,$BX487,IF(ISNUMBER($CK487),RANK($CK487,$CK$9:$CK$508,1),COUNT($CK$9:$CK$508)+1)))</f>
        <v/>
      </c>
      <c r="CM487" s="135" t="str">
        <f aca="false">IF(ISBLANK($C487),"",IF($BX487&lt;&gt;Constants!$B$6,$BX487,COUNTIFS($CD$9:$CD$508,"&lt;"&amp;$CD487)+COUNTIFS($CD$9:$CD$508,$CD487,$CF$9:$CF$508,"&lt;"&amp;$CF487)+COUNTIFS($CD$9:$CD$508,$CD487,$CF$9:$CF$508,$CF487,$CH$9:$CH$508,"&lt;"&amp;$CH487)+COUNTIFS($CD$9:$CD$508,$CD487,$CF$9:$CF$508,$CF487,$CH$9:$CH$508,$CH487,$CJ$9:$CJ$508,"&lt;"&amp;$CJ487)+COUNTIFS($CD$9:$CD$508,$CD487,$CF$9:$CF$508,$CF487,$CH$9:$CH$508,$CH487,$CJ$9:$CJ$508,$CJ487,$CL$9:$CL$508,"&lt;"&amp;$CL487)+1))</f>
        <v/>
      </c>
      <c r="CN487" s="135" t="str">
        <f aca="false">IF(ISBLANK($C487),"",IF($BX487&lt;&gt;Constants!$B$6,$BX487,$CD487-$CM487))</f>
        <v/>
      </c>
      <c r="CO487" s="141"/>
      <c r="CP487" s="142"/>
      <c r="CQ487" s="143" t="str">
        <f aca="false">IF(ISBLANK($C487),"",IF($BX487=Constants!$B$10,$BW487,""))</f>
        <v/>
      </c>
      <c r="CR487" s="142" t="str">
        <f aca="false">IF(ISBLANK($C487),"",IF($BX487&lt;&gt;Constants!$B$6,"",IF($BL487="-&gt;",2,1)))</f>
        <v/>
      </c>
      <c r="CS487" s="144" t="str">
        <f aca="false">IF(ISBLANK($C487),"",IF($BX487&lt;&gt;Constants!$B$6,"",IF($BL487="-&gt;",$BN487,$BC487)))</f>
        <v/>
      </c>
      <c r="CT487" s="144" t="str">
        <f aca="false">IF(ISBLANK($C487),"",IF($BX487&lt;&gt;Constants!$B$6,"",IF($BL487="-&gt;",$BO487,$BD487)))</f>
        <v/>
      </c>
      <c r="CU487" s="144" t="str">
        <f aca="false">IF(ISBLANK($C487),"",IF($BX487&lt;&gt;Constants!$B$6,"",IF($BL487="-&gt;",$BP487+$BQ487,$BE487+$BF487)+$CB487))</f>
        <v/>
      </c>
      <c r="CV487" s="144" t="str">
        <f aca="false">IF(ISBLANK($C487),"",IF($BX487&lt;&gt;Constants!$B$6,"",IF($BL487="-&gt;",$BR487,$BG487)+$CA487))</f>
        <v/>
      </c>
      <c r="CW487" s="145" t="str">
        <f aca="false">IF(ISBLANK($C487),"",IF($BX487&lt;&gt;Constants!$B$6,$BX487,$CC487))</f>
        <v/>
      </c>
      <c r="CX487" s="146" t="str">
        <f aca="false">IF(ISBLANK($C487),"",$BY487)</f>
        <v/>
      </c>
      <c r="CY487" s="147" t="str">
        <f aca="false">IF(ISBLANK($C487),"",$CN487)</f>
        <v/>
      </c>
      <c r="CZ487" s="147" t="str">
        <f aca="false">IF(ISBLANK($C487),"",$CM487)</f>
        <v/>
      </c>
      <c r="DA487" s="148" t="str">
        <f aca="false">IF(ISBLANK($C487),"",IFERROR(_xlfn.SWITCH($CZ487,Constants!$B$9,COUNTA($C$9:$C$508)+2,Constants!$B$8,COUNTA($C$9:$C$508)+1,Constants!$B$7,COUNTA($C$9:$C$508)),$CZ487))</f>
        <v/>
      </c>
      <c r="DB487" s="9"/>
      <c r="DC487" s="149" t="n">
        <f aca="false">IF(OR(ISNUMBER($CZ487),$CZ487=Constants!$B$9,$CZ487=Constants!$B$7,$CZ487=Constants!$B$8),1,0)</f>
        <v>0</v>
      </c>
      <c r="DD487" s="149" t="n">
        <v>479</v>
      </c>
      <c r="DE487" s="149" t="str">
        <f aca="false">IF(ISBLANK($C487),"",IF(ISNUMBER($DA487),$DA487+ROW($B487)/1000,""))</f>
        <v/>
      </c>
      <c r="DF487" s="149" t="str">
        <f aca="false">IF(ISNUMBER($DE487),RANK($DE487,$DE$9:$DE$508,1),"")</f>
        <v/>
      </c>
      <c r="DG487" s="149" t="str">
        <f aca="false">IF(ISBLANK($C487),"",$B487)</f>
        <v/>
      </c>
      <c r="DH487" s="149" t="str">
        <f aca="false">IF(ISBLANK($C487),"",$C487)</f>
        <v/>
      </c>
      <c r="DI487" s="149" t="str">
        <f aca="false">IF(ISBLANK($C487),"",$D487)</f>
        <v/>
      </c>
      <c r="DJ487" s="150" t="str">
        <f aca="false">$CX487</f>
        <v/>
      </c>
      <c r="DK487" s="151" t="str">
        <f aca="false">$CW487</f>
        <v/>
      </c>
      <c r="DL487" s="149" t="str">
        <f aca="false">IF(ISBLANK($C487),"",$CZ487)</f>
        <v/>
      </c>
      <c r="DM487" s="152" t="str">
        <f aca="false">IF($DD487&gt;$DC$8,"",VLOOKUP($DD487,$DF$9:$DL$508,7,FALSE()))</f>
        <v/>
      </c>
      <c r="DN487" s="153" t="str">
        <f aca="false">IF($DD487&gt;$DC$8,"",VLOOKUP($DD487,$DF$9:$DL$508,2,FALSE()))</f>
        <v/>
      </c>
      <c r="DO487" s="153" t="str">
        <f aca="false">IF($DD487&gt;$DC$8,"",VLOOKUP($DD487,$DF$9:$DL$508,3,FALSE()))</f>
        <v/>
      </c>
      <c r="DP487" s="153" t="str">
        <f aca="false">IF($DD487&gt;$DC$8,"",VLOOKUP($DD487,$DF$9:$DL$508,4,FALSE()))</f>
        <v/>
      </c>
      <c r="DQ487" s="153" t="str">
        <f aca="false">IF($DD487&gt;$DC$8,"",VLOOKUP($DD487,$DF$9:$DL$508,5,FALSE()))</f>
        <v/>
      </c>
      <c r="DR487" s="154" t="str">
        <f aca="false">IF($DD487&gt;$DC$8,"",VLOOKUP($DD487,$DF$9:$DL$508,6,FALSE()))</f>
        <v/>
      </c>
      <c r="DS487" s="76"/>
    </row>
    <row r="488" customFormat="false" ht="15.75" hidden="false" customHeight="false" outlineLevel="0" collapsed="false">
      <c r="A488" s="9"/>
      <c r="B488" s="160"/>
      <c r="C488" s="161"/>
      <c r="D488" s="162"/>
      <c r="E488" s="180"/>
      <c r="F488" s="164"/>
      <c r="G488" s="165"/>
      <c r="H488" s="165"/>
      <c r="I488" s="181"/>
      <c r="J488" s="168"/>
      <c r="K488" s="128"/>
      <c r="L488" s="129"/>
      <c r="M488" s="130"/>
      <c r="N488" s="168"/>
      <c r="O488" s="168"/>
      <c r="P488" s="180"/>
      <c r="Q488" s="168"/>
      <c r="R488" s="168"/>
      <c r="S488" s="128"/>
      <c r="T488" s="130"/>
      <c r="U488" s="130"/>
      <c r="V488" s="168"/>
      <c r="W488" s="168"/>
      <c r="X488" s="180"/>
      <c r="Y488" s="168"/>
      <c r="Z488" s="169"/>
      <c r="AA488" s="168"/>
      <c r="AB488" s="134"/>
      <c r="AC488" s="135"/>
      <c r="AD488" s="135"/>
      <c r="AE488" s="135"/>
      <c r="AF488" s="135" t="str">
        <f aca="false">IF(ISBLANK($C488),"",IF(E488=Constants!$B$2,TRUE(),IF(E488=Constants!$B$3,FALSE(),TRUE())))</f>
        <v/>
      </c>
      <c r="AG488" s="135" t="str">
        <f aca="false">IF(ISBLANK($C488),"",IF(F488=Constants!$B$2,TRUE(),IF(F488=Constants!$B$3,FALSE(),TRUE())))</f>
        <v/>
      </c>
      <c r="AH488" s="135" t="str">
        <f aca="false">IF(ISBLANK($C488),"",IF(G488=Constants!$B$2,TRUE(),IF(G488=Constants!$B$3,FALSE(),TRUE())))</f>
        <v/>
      </c>
      <c r="AI488" s="135" t="str">
        <f aca="false">IF(ISBLANK($C488),"",IF(AND(ISNUMBER(H488),H488&gt;=0),H488,Constants!$B$24))</f>
        <v/>
      </c>
      <c r="AJ488" s="135" t="str">
        <f aca="false">IF(ISBLANK($C488),"",IF(I488=Constants!$B$2,TRUE(),IF(I488=Constants!$B$3,FALSE(),TRUE())))</f>
        <v/>
      </c>
      <c r="AK488" s="135" t="str">
        <f aca="false">IF(ISBLANK($C488),"",IF(J488=Constants!$B$2,TRUE(),IF(J488=Constants!$B$3,FALSE(),TRUE())))</f>
        <v/>
      </c>
      <c r="AL488" s="135" t="str">
        <f aca="false">IF(ISBLANK($C488),"",IF(K488=Constants!$B$4,TRUE(),IF(K488=Constants!$B$5,FALSE(),COUNTA(L488:P488)&gt;0)))</f>
        <v/>
      </c>
      <c r="AM488" s="136" t="str">
        <f aca="false">IF(ISBLANK($C488),"",IF(ISNUMBER(L488),IF(L488&gt;=0,L488,""),""))</f>
        <v/>
      </c>
      <c r="AN488" s="137" t="str">
        <f aca="false">IF(ISBLANK($C488),"",IF(ISNUMBER(M488),IF(M488&gt;=0,M488,""),""))</f>
        <v/>
      </c>
      <c r="AO488" s="137" t="str">
        <f aca="false">IF(ISBLANK($C488),"",IF(N488=Constants!$B$2,TRUE(),IF(N488=Constants!$B$3,FALSE(),TRUE())))</f>
        <v/>
      </c>
      <c r="AP488" s="135" t="str">
        <f aca="false">IF(ISBLANK($C488),"",IF(ISNUMBER(O488),IF(O488&gt;=0,O488,""),""))</f>
        <v/>
      </c>
      <c r="AQ488" s="135" t="str">
        <f aca="false">IF(ISBLANK($C488),"",IF(P488=Constants!$B$2,TRUE(),IF(P488=Constants!$B$3,FALSE(),FALSE())))</f>
        <v/>
      </c>
      <c r="AR488" s="135" t="str">
        <f aca="false">IF(ISBLANK($C488),"",IF(Q488=Constants!$B$2,TRUE(),IF(Q488=Constants!$B$3,FALSE(),TRUE())))</f>
        <v/>
      </c>
      <c r="AS488" s="135" t="str">
        <f aca="false">IF(ISBLANK($C488),"",IF(R488=Constants!$B$2,TRUE(),IF(R488=Constants!$B$3,FALSE(),TRUE())))</f>
        <v/>
      </c>
      <c r="AT488" s="135" t="str">
        <f aca="false">IF(ISBLANK($C488),"",IF(S488=Constants!$B$4,TRUE(),IF(S488=Constants!$B$5,FALSE(),COUNTA(T488:X488)&gt;0)))</f>
        <v/>
      </c>
      <c r="AU488" s="136" t="str">
        <f aca="false">IF(ISBLANK($C488),"",IF(ISNUMBER(T488),IF(T488&gt;=0,T488,""),""))</f>
        <v/>
      </c>
      <c r="AV488" s="137" t="str">
        <f aca="false">IF(ISBLANK($C488),"",IF(ISNUMBER(U488),IF(U488&gt;=0,U488,""),""))</f>
        <v/>
      </c>
      <c r="AW488" s="137" t="str">
        <f aca="false">IF(ISBLANK($C488),"",IF(V488=Constants!$B$2,TRUE(),IF(V488=Constants!$B$3,FALSE(),TRUE())))</f>
        <v/>
      </c>
      <c r="AX488" s="135" t="str">
        <f aca="false">IF(ISBLANK($C488),"",IF(ISNUMBER(W488),IF(W488&gt;=0,W488,""),""))</f>
        <v/>
      </c>
      <c r="AY488" s="135" t="str">
        <f aca="false">IF(ISBLANK($C488),"",IF(X488=Constants!$B$2,TRUE(),IF(X488=Constants!$B$3,FALSE(),FALSE())))</f>
        <v/>
      </c>
      <c r="AZ488" s="135" t="str">
        <f aca="false">IF(ISBLANK($C488),"",MIN(Constants!$B$25,MAX(0,IF(ISNUMBER(Y488),Y488*60,0)+IF(ISNUMBER(Z488),Z488,0))))</f>
        <v/>
      </c>
      <c r="BA488" s="135" t="str">
        <f aca="false">IF(ISBLANK($C488),"",IF(AA488=Constants!$B$2,TRUE(),IF(AA488=Constants!$B$3,FALSE(),FALSE())))</f>
        <v/>
      </c>
      <c r="BB488" s="134" t="str">
        <f aca="false">IF(ISBLANK($C488),"",AND($AL488,OR($AM488="",$AN488="",AND($AO488,$AP488=""))))</f>
        <v/>
      </c>
      <c r="BC488" s="137" t="str">
        <f aca="false">IF($BX488&lt;&gt;Constants!$B$6,"",IF($AL488,Constants!$B$17*$AN488+Constants!$B$18*IF($AO488,$AP488,Constants!$B$19),Constants!$B$20))</f>
        <v/>
      </c>
      <c r="BD488" s="138" t="str">
        <f aca="false">IF($BX488&lt;&gt;Constants!$B$6,"",Constants!$B$21*ABS($AD$9-IF($AL488,$AM488,0)))</f>
        <v/>
      </c>
      <c r="BE488" s="138" t="str">
        <f aca="false">IF($BX488&lt;&gt;Constants!$B$6,"",IF(AND($AL488,$AQ488,$AO488),Constants!$B$22,0))</f>
        <v/>
      </c>
      <c r="BF488" s="138" t="str">
        <f aca="false">IF($BX488&lt;&gt;Constants!$B$6,"",IF($AL488,($AI488-Constants!$B$24)*Constants!$B$23,0))</f>
        <v/>
      </c>
      <c r="BG488" s="138" t="str">
        <f aca="false">IF($BX488&lt;&gt;Constants!$B$6,"",IF($AK488,0,Constants!$B$12)+IF($AJ488,0,Constants!$B$13)+IF($AH488,0,Constants!$B$14))</f>
        <v/>
      </c>
      <c r="BH488" s="139" t="str">
        <f aca="false">IF($BX488&lt;&gt;Constants!$B$6,"",Constants!$B$16+SUM($BC488:$BG488))</f>
        <v/>
      </c>
      <c r="BI488" s="138" t="str">
        <f aca="false">IF($BX488&lt;&gt;Constants!$B$6,"",$BC488)</f>
        <v/>
      </c>
      <c r="BJ488" s="138" t="str">
        <f aca="false">IF($BX488&lt;&gt;Constants!$B$6,"",$BD488)</f>
        <v/>
      </c>
      <c r="BK488" s="140" t="str">
        <f aca="false">IF($BX488&lt;&gt;Constants!$B$6,"",IF($AL488,$AN488,""))</f>
        <v/>
      </c>
      <c r="BL488" s="135" t="str">
        <f aca="false">IF($BX488&lt;&gt;Constants!$B$6,"",IF(OR($BS488&lt;$BH488,AND($BS488=$BH488,OR($BT488&lt;$BI488,AND($BT488=$BI488,OR($BU488&lt;$BJ488,AND($BU488=$BJ488,AND(ISNUMBER($BV488),OR(NOT(ISNUMBER($BK488)),$BV488&lt;$BK488)))))))),"-&gt;","&lt;-"))</f>
        <v/>
      </c>
      <c r="BM488" s="134" t="str">
        <f aca="false">IF(ISBLANK($C488),"",AND($AT488,OR($AU488="",$AV488="",AND($AW488,$AX488=""))))</f>
        <v/>
      </c>
      <c r="BN488" s="137" t="str">
        <f aca="false">IF($BX488&lt;&gt;Constants!$B$6,"",IF($AT488,Constants!$B$17*$AV488+Constants!$B$18*IF($AW488,$AX488,Constants!$B$19),Constants!$B$20))</f>
        <v/>
      </c>
      <c r="BO488" s="138" t="str">
        <f aca="false">IF($BX488&lt;&gt;Constants!$B$6,"",Constants!$B$21*ABS($AD$9-IF($AT488,$AU488,0)))</f>
        <v/>
      </c>
      <c r="BP488" s="138" t="str">
        <f aca="false">IF($BX488&lt;&gt;Constants!$B$6,"",IF(AND($AT488,$AY488,$AW488),Constants!$B$22,0))</f>
        <v/>
      </c>
      <c r="BQ488" s="138" t="str">
        <f aca="false">IF($BX488&lt;&gt;Constants!$B$6,"",IF($AT488,($AI488-Constants!$B$24)*Constants!$B$23,0))</f>
        <v/>
      </c>
      <c r="BR488" s="138" t="str">
        <f aca="false">IF($BX488&lt;&gt;Constants!$B$6,"",IF($AS488,0,Constants!$B$12)+IF($AR488,0,Constants!$B$13)+IF($AH488,0,Constants!$B$14))</f>
        <v/>
      </c>
      <c r="BS488" s="139" t="str">
        <f aca="false">IF($BX488&lt;&gt;Constants!$B$6,"",Constants!$B$16+SUM($BN488:$BR488))</f>
        <v/>
      </c>
      <c r="BT488" s="138" t="str">
        <f aca="false">IF($BX488&lt;&gt;Constants!$B$6,"",$BN488)</f>
        <v/>
      </c>
      <c r="BU488" s="138" t="str">
        <f aca="false">IF($BX488&lt;&gt;Constants!$B$6,"",$BO488)</f>
        <v/>
      </c>
      <c r="BV488" s="140" t="str">
        <f aca="false">IF($BX488&lt;&gt;Constants!$B$6,"",IF($AT488,$AV488,""))</f>
        <v/>
      </c>
      <c r="BW488" s="135" t="str">
        <f aca="false">IF(ISBLANK($C488),"",IF(ISBLANK($D$7),$BW$5,IF(NOT(ISNUMBER($D$7)),$BW$6,"")))</f>
        <v/>
      </c>
      <c r="BX488" s="135" t="str">
        <f aca="false">IF(ISBLANK($C488),"",IF($BA488,Constants!$B$9,IF(COUNTA($E488:$AA488)=0,Constants!$B$8,IF(NOT($AG488),Constants!$B$7,IF(OR($BW488&lt;&gt;"",$BB488,$BM488),Constants!$B$10,Constants!$B$6)))))</f>
        <v/>
      </c>
      <c r="BY488" s="135" t="str">
        <f aca="false">IF(ISBLANK($C488),"",IF($BX488&lt;&gt;Constants!$B$6,$BX488,Constants!$B$11))</f>
        <v/>
      </c>
      <c r="BZ488" s="138" t="str">
        <f aca="false">IF($BX488&lt;&gt;Constants!$B$6,"",IF($BL488="-&gt;",$BS488,$BH488))</f>
        <v/>
      </c>
      <c r="CA488" s="138" t="str">
        <f aca="false">IF($BX488&lt;&gt;Constants!$B$6,"",IF($AF488,0,Constants!$B$15))</f>
        <v/>
      </c>
      <c r="CB488" s="138" t="str">
        <f aca="false">IF($BX488&lt;&gt;Constants!$B$6,"",((Constants!$B$25-$AZ488)-Constants!$B$25)/Constants!$B$26)</f>
        <v/>
      </c>
      <c r="CC488" s="138" t="str">
        <f aca="false">IF(ISBLANK($C488),"",IF($BX488&lt;&gt;Constants!$B$6,$BX488,SUM($BZ488:$CB488)))</f>
        <v/>
      </c>
      <c r="CD488" s="135" t="str">
        <f aca="false">IF(ISBLANK($C488),"",IF($BX488&lt;&gt;Constants!$B$6,$BX488,RANK($CC488,$CC$9:$CC$508,1)))</f>
        <v/>
      </c>
      <c r="CE488" s="138" t="str">
        <f aca="false">IF($BX488&lt;&gt;Constants!$B$6,"",IF($BL488="-&gt;",$BT488,$BI488))</f>
        <v/>
      </c>
      <c r="CF488" s="135" t="str">
        <f aca="false">IF(ISBLANK($C488),"",IF($BX488&lt;&gt;Constants!$B$6,$BX488,IF(ISNUMBER($CE488),RANK($CE488,$CE$9:$CE$508,1),COUNT($CE$9:$CE$508)+1)))</f>
        <v/>
      </c>
      <c r="CG488" s="138" t="str">
        <f aca="false">IF($BX488&lt;&gt;Constants!$B$6,"",IF($BL488="-&gt;",$BU488,$BJ488))</f>
        <v/>
      </c>
      <c r="CH488" s="135" t="str">
        <f aca="false">IF(ISBLANK($C488),"",IF($BX488&lt;&gt;Constants!$B$6,$BX488,IF(ISNUMBER($CG488),RANK($CG488,$CG$9:$CG$508,1),COUNT($CG$9:$CG$508)+1)))</f>
        <v/>
      </c>
      <c r="CI488" s="138" t="str">
        <f aca="false">IF($BX488&lt;&gt;Constants!$B$6,"",IF($BL488="-&gt;",$BV488,$BK488))</f>
        <v/>
      </c>
      <c r="CJ488" s="135" t="str">
        <f aca="false">IF(ISBLANK($C488),"",IF($BX488&lt;&gt;Constants!$B$6,$BX488,IF(ISNUMBER($CI488),RANK($CI488,$CI$9:$CI$508,1),COUNT($CI$9:$CI$508)+1)))</f>
        <v/>
      </c>
      <c r="CK488" s="138" t="str">
        <f aca="false">IF($BX488&lt;&gt;Constants!$B$6,"",$AI488)</f>
        <v/>
      </c>
      <c r="CL488" s="135" t="str">
        <f aca="false">IF(ISBLANK($C488),"",IF($BX488&lt;&gt;Constants!$B$6,$BX488,IF(ISNUMBER($CK488),RANK($CK488,$CK$9:$CK$508,1),COUNT($CK$9:$CK$508)+1)))</f>
        <v/>
      </c>
      <c r="CM488" s="135" t="str">
        <f aca="false">IF(ISBLANK($C488),"",IF($BX488&lt;&gt;Constants!$B$6,$BX488,COUNTIFS($CD$9:$CD$508,"&lt;"&amp;$CD488)+COUNTIFS($CD$9:$CD$508,$CD488,$CF$9:$CF$508,"&lt;"&amp;$CF488)+COUNTIFS($CD$9:$CD$508,$CD488,$CF$9:$CF$508,$CF488,$CH$9:$CH$508,"&lt;"&amp;$CH488)+COUNTIFS($CD$9:$CD$508,$CD488,$CF$9:$CF$508,$CF488,$CH$9:$CH$508,$CH488,$CJ$9:$CJ$508,"&lt;"&amp;$CJ488)+COUNTIFS($CD$9:$CD$508,$CD488,$CF$9:$CF$508,$CF488,$CH$9:$CH$508,$CH488,$CJ$9:$CJ$508,$CJ488,$CL$9:$CL$508,"&lt;"&amp;$CL488)+1))</f>
        <v/>
      </c>
      <c r="CN488" s="135" t="str">
        <f aca="false">IF(ISBLANK($C488),"",IF($BX488&lt;&gt;Constants!$B$6,$BX488,$CD488-$CM488))</f>
        <v/>
      </c>
      <c r="CO488" s="141"/>
      <c r="CP488" s="142"/>
      <c r="CQ488" s="143" t="str">
        <f aca="false">IF(ISBLANK($C488),"",IF($BX488=Constants!$B$10,$BW488,""))</f>
        <v/>
      </c>
      <c r="CR488" s="142" t="str">
        <f aca="false">IF(ISBLANK($C488),"",IF($BX488&lt;&gt;Constants!$B$6,"",IF($BL488="-&gt;",2,1)))</f>
        <v/>
      </c>
      <c r="CS488" s="144" t="str">
        <f aca="false">IF(ISBLANK($C488),"",IF($BX488&lt;&gt;Constants!$B$6,"",IF($BL488="-&gt;",$BN488,$BC488)))</f>
        <v/>
      </c>
      <c r="CT488" s="144" t="str">
        <f aca="false">IF(ISBLANK($C488),"",IF($BX488&lt;&gt;Constants!$B$6,"",IF($BL488="-&gt;",$BO488,$BD488)))</f>
        <v/>
      </c>
      <c r="CU488" s="144" t="str">
        <f aca="false">IF(ISBLANK($C488),"",IF($BX488&lt;&gt;Constants!$B$6,"",IF($BL488="-&gt;",$BP488+$BQ488,$BE488+$BF488)+$CB488))</f>
        <v/>
      </c>
      <c r="CV488" s="144" t="str">
        <f aca="false">IF(ISBLANK($C488),"",IF($BX488&lt;&gt;Constants!$B$6,"",IF($BL488="-&gt;",$BR488,$BG488)+$CA488))</f>
        <v/>
      </c>
      <c r="CW488" s="145" t="str">
        <f aca="false">IF(ISBLANK($C488),"",IF($BX488&lt;&gt;Constants!$B$6,$BX488,$CC488))</f>
        <v/>
      </c>
      <c r="CX488" s="146" t="str">
        <f aca="false">IF(ISBLANK($C488),"",$BY488)</f>
        <v/>
      </c>
      <c r="CY488" s="147" t="str">
        <f aca="false">IF(ISBLANK($C488),"",$CN488)</f>
        <v/>
      </c>
      <c r="CZ488" s="147" t="str">
        <f aca="false">IF(ISBLANK($C488),"",$CM488)</f>
        <v/>
      </c>
      <c r="DA488" s="148" t="str">
        <f aca="false">IF(ISBLANK($C488),"",IFERROR(_xlfn.SWITCH($CZ488,Constants!$B$9,COUNTA($C$9:$C$508)+2,Constants!$B$8,COUNTA($C$9:$C$508)+1,Constants!$B$7,COUNTA($C$9:$C$508)),$CZ488))</f>
        <v/>
      </c>
      <c r="DB488" s="9"/>
      <c r="DC488" s="149" t="n">
        <f aca="false">IF(OR(ISNUMBER($CZ488),$CZ488=Constants!$B$9,$CZ488=Constants!$B$7,$CZ488=Constants!$B$8),1,0)</f>
        <v>0</v>
      </c>
      <c r="DD488" s="149" t="n">
        <v>480</v>
      </c>
      <c r="DE488" s="149" t="str">
        <f aca="false">IF(ISBLANK($C488),"",IF(ISNUMBER($DA488),$DA488+ROW($B488)/1000,""))</f>
        <v/>
      </c>
      <c r="DF488" s="149" t="str">
        <f aca="false">IF(ISNUMBER($DE488),RANK($DE488,$DE$9:$DE$508,1),"")</f>
        <v/>
      </c>
      <c r="DG488" s="149" t="str">
        <f aca="false">IF(ISBLANK($C488),"",$B488)</f>
        <v/>
      </c>
      <c r="DH488" s="149" t="str">
        <f aca="false">IF(ISBLANK($C488),"",$C488)</f>
        <v/>
      </c>
      <c r="DI488" s="149" t="str">
        <f aca="false">IF(ISBLANK($C488),"",$D488)</f>
        <v/>
      </c>
      <c r="DJ488" s="150" t="str">
        <f aca="false">$CX488</f>
        <v/>
      </c>
      <c r="DK488" s="151" t="str">
        <f aca="false">$CW488</f>
        <v/>
      </c>
      <c r="DL488" s="149" t="str">
        <f aca="false">IF(ISBLANK($C488),"",$CZ488)</f>
        <v/>
      </c>
      <c r="DM488" s="152" t="str">
        <f aca="false">IF($DD488&gt;$DC$8,"",VLOOKUP($DD488,$DF$9:$DL$508,7,FALSE()))</f>
        <v/>
      </c>
      <c r="DN488" s="153" t="str">
        <f aca="false">IF($DD488&gt;$DC$8,"",VLOOKUP($DD488,$DF$9:$DL$508,2,FALSE()))</f>
        <v/>
      </c>
      <c r="DO488" s="153" t="str">
        <f aca="false">IF($DD488&gt;$DC$8,"",VLOOKUP($DD488,$DF$9:$DL$508,3,FALSE()))</f>
        <v/>
      </c>
      <c r="DP488" s="153" t="str">
        <f aca="false">IF($DD488&gt;$DC$8,"",VLOOKUP($DD488,$DF$9:$DL$508,4,FALSE()))</f>
        <v/>
      </c>
      <c r="DQ488" s="153" t="str">
        <f aca="false">IF($DD488&gt;$DC$8,"",VLOOKUP($DD488,$DF$9:$DL$508,5,FALSE()))</f>
        <v/>
      </c>
      <c r="DR488" s="154" t="str">
        <f aca="false">IF($DD488&gt;$DC$8,"",VLOOKUP($DD488,$DF$9:$DL$508,6,FALSE()))</f>
        <v/>
      </c>
      <c r="DS488" s="76"/>
    </row>
    <row r="489" customFormat="false" ht="15.75" hidden="false" customHeight="false" outlineLevel="0" collapsed="false">
      <c r="A489" s="9"/>
      <c r="B489" s="78"/>
      <c r="C489" s="79"/>
      <c r="D489" s="170"/>
      <c r="E489" s="178"/>
      <c r="F489" s="172"/>
      <c r="G489" s="173"/>
      <c r="H489" s="173"/>
      <c r="I489" s="179"/>
      <c r="J489" s="176"/>
      <c r="K489" s="86"/>
      <c r="L489" s="87"/>
      <c r="M489" s="88"/>
      <c r="N489" s="176"/>
      <c r="O489" s="176"/>
      <c r="P489" s="178"/>
      <c r="Q489" s="176"/>
      <c r="R489" s="176"/>
      <c r="S489" s="86"/>
      <c r="T489" s="88"/>
      <c r="U489" s="88"/>
      <c r="V489" s="176"/>
      <c r="W489" s="176"/>
      <c r="X489" s="178"/>
      <c r="Y489" s="176"/>
      <c r="Z489" s="177"/>
      <c r="AA489" s="176"/>
      <c r="AB489" s="92"/>
      <c r="AC489" s="93"/>
      <c r="AD489" s="93"/>
      <c r="AE489" s="93"/>
      <c r="AF489" s="93" t="str">
        <f aca="false">IF(ISBLANK($C489),"",IF(E489=Constants!$B$2,TRUE(),IF(E489=Constants!$B$3,FALSE(),TRUE())))</f>
        <v/>
      </c>
      <c r="AG489" s="93" t="str">
        <f aca="false">IF(ISBLANK($C489),"",IF(F489=Constants!$B$2,TRUE(),IF(F489=Constants!$B$3,FALSE(),TRUE())))</f>
        <v/>
      </c>
      <c r="AH489" s="93" t="str">
        <f aca="false">IF(ISBLANK($C489),"",IF(G489=Constants!$B$2,TRUE(),IF(G489=Constants!$B$3,FALSE(),TRUE())))</f>
        <v/>
      </c>
      <c r="AI489" s="93" t="str">
        <f aca="false">IF(ISBLANK($C489),"",IF(AND(ISNUMBER(H489),H489&gt;=0),H489,Constants!$B$24))</f>
        <v/>
      </c>
      <c r="AJ489" s="93" t="str">
        <f aca="false">IF(ISBLANK($C489),"",IF(I489=Constants!$B$2,TRUE(),IF(I489=Constants!$B$3,FALSE(),TRUE())))</f>
        <v/>
      </c>
      <c r="AK489" s="93" t="str">
        <f aca="false">IF(ISBLANK($C489),"",IF(J489=Constants!$B$2,TRUE(),IF(J489=Constants!$B$3,FALSE(),TRUE())))</f>
        <v/>
      </c>
      <c r="AL489" s="93" t="str">
        <f aca="false">IF(ISBLANK($C489),"",IF(K489=Constants!$B$4,TRUE(),IF(K489=Constants!$B$5,FALSE(),COUNTA(L489:P489)&gt;0)))</f>
        <v/>
      </c>
      <c r="AM489" s="95" t="str">
        <f aca="false">IF(ISBLANK($C489),"",IF(ISNUMBER(L489),IF(L489&gt;=0,L489,""),""))</f>
        <v/>
      </c>
      <c r="AN489" s="94" t="str">
        <f aca="false">IF(ISBLANK($C489),"",IF(ISNUMBER(M489),IF(M489&gt;=0,M489,""),""))</f>
        <v/>
      </c>
      <c r="AO489" s="94" t="str">
        <f aca="false">IF(ISBLANK($C489),"",IF(N489=Constants!$B$2,TRUE(),IF(N489=Constants!$B$3,FALSE(),TRUE())))</f>
        <v/>
      </c>
      <c r="AP489" s="93" t="str">
        <f aca="false">IF(ISBLANK($C489),"",IF(ISNUMBER(O489),IF(O489&gt;=0,O489,""),""))</f>
        <v/>
      </c>
      <c r="AQ489" s="93" t="str">
        <f aca="false">IF(ISBLANK($C489),"",IF(P489=Constants!$B$2,TRUE(),IF(P489=Constants!$B$3,FALSE(),FALSE())))</f>
        <v/>
      </c>
      <c r="AR489" s="93" t="str">
        <f aca="false">IF(ISBLANK($C489),"",IF(Q489=Constants!$B$2,TRUE(),IF(Q489=Constants!$B$3,FALSE(),TRUE())))</f>
        <v/>
      </c>
      <c r="AS489" s="93" t="str">
        <f aca="false">IF(ISBLANK($C489),"",IF(R489=Constants!$B$2,TRUE(),IF(R489=Constants!$B$3,FALSE(),TRUE())))</f>
        <v/>
      </c>
      <c r="AT489" s="93" t="str">
        <f aca="false">IF(ISBLANK($C489),"",IF(S489=Constants!$B$4,TRUE(),IF(S489=Constants!$B$5,FALSE(),COUNTA(T489:X489)&gt;0)))</f>
        <v/>
      </c>
      <c r="AU489" s="95" t="str">
        <f aca="false">IF(ISBLANK($C489),"",IF(ISNUMBER(T489),IF(T489&gt;=0,T489,""),""))</f>
        <v/>
      </c>
      <c r="AV489" s="94" t="str">
        <f aca="false">IF(ISBLANK($C489),"",IF(ISNUMBER(U489),IF(U489&gt;=0,U489,""),""))</f>
        <v/>
      </c>
      <c r="AW489" s="94" t="str">
        <f aca="false">IF(ISBLANK($C489),"",IF(V489=Constants!$B$2,TRUE(),IF(V489=Constants!$B$3,FALSE(),TRUE())))</f>
        <v/>
      </c>
      <c r="AX489" s="93" t="str">
        <f aca="false">IF(ISBLANK($C489),"",IF(ISNUMBER(W489),IF(W489&gt;=0,W489,""),""))</f>
        <v/>
      </c>
      <c r="AY489" s="93" t="str">
        <f aca="false">IF(ISBLANK($C489),"",IF(X489=Constants!$B$2,TRUE(),IF(X489=Constants!$B$3,FALSE(),FALSE())))</f>
        <v/>
      </c>
      <c r="AZ489" s="93" t="str">
        <f aca="false">IF(ISBLANK($C489),"",MIN(Constants!$B$25,MAX(0,IF(ISNUMBER(Y489),Y489*60,0)+IF(ISNUMBER(Z489),Z489,0))))</f>
        <v/>
      </c>
      <c r="BA489" s="93" t="str">
        <f aca="false">IF(ISBLANK($C489),"",IF(AA489=Constants!$B$2,TRUE(),IF(AA489=Constants!$B$3,FALSE(),FALSE())))</f>
        <v/>
      </c>
      <c r="BB489" s="92" t="str">
        <f aca="false">IF(ISBLANK($C489),"",AND($AL489,OR($AM489="",$AN489="",AND($AO489,$AP489=""))))</f>
        <v/>
      </c>
      <c r="BC489" s="94" t="str">
        <f aca="false">IF($BX489&lt;&gt;Constants!$B$6,"",IF($AL489,Constants!$B$17*$AN489+Constants!$B$18*IF($AO489,$AP489,Constants!$B$19),Constants!$B$20))</f>
        <v/>
      </c>
      <c r="BD489" s="97" t="str">
        <f aca="false">IF($BX489&lt;&gt;Constants!$B$6,"",Constants!$B$21*ABS($AD$9-IF($AL489,$AM489,0)))</f>
        <v/>
      </c>
      <c r="BE489" s="97" t="str">
        <f aca="false">IF($BX489&lt;&gt;Constants!$B$6,"",IF(AND($AL489,$AQ489,$AO489),Constants!$B$22,0))</f>
        <v/>
      </c>
      <c r="BF489" s="97" t="str">
        <f aca="false">IF($BX489&lt;&gt;Constants!$B$6,"",IF($AL489,($AI489-Constants!$B$24)*Constants!$B$23,0))</f>
        <v/>
      </c>
      <c r="BG489" s="97" t="str">
        <f aca="false">IF($BX489&lt;&gt;Constants!$B$6,"",IF($AK489,0,Constants!$B$12)+IF($AJ489,0,Constants!$B$13)+IF($AH489,0,Constants!$B$14))</f>
        <v/>
      </c>
      <c r="BH489" s="98" t="str">
        <f aca="false">IF($BX489&lt;&gt;Constants!$B$6,"",Constants!$B$16+SUM($BC489:$BG489))</f>
        <v/>
      </c>
      <c r="BI489" s="97" t="str">
        <f aca="false">IF($BX489&lt;&gt;Constants!$B$6,"",$BC489)</f>
        <v/>
      </c>
      <c r="BJ489" s="97" t="str">
        <f aca="false">IF($BX489&lt;&gt;Constants!$B$6,"",$BD489)</f>
        <v/>
      </c>
      <c r="BK489" s="99" t="str">
        <f aca="false">IF($BX489&lt;&gt;Constants!$B$6,"",IF($AL489,$AN489,""))</f>
        <v/>
      </c>
      <c r="BL489" s="93" t="str">
        <f aca="false">IF($BX489&lt;&gt;Constants!$B$6,"",IF(OR($BS489&lt;$BH489,AND($BS489=$BH489,OR($BT489&lt;$BI489,AND($BT489=$BI489,OR($BU489&lt;$BJ489,AND($BU489=$BJ489,AND(ISNUMBER($BV489),OR(NOT(ISNUMBER($BK489)),$BV489&lt;$BK489)))))))),"-&gt;","&lt;-"))</f>
        <v/>
      </c>
      <c r="BM489" s="92" t="str">
        <f aca="false">IF(ISBLANK($C489),"",AND($AT489,OR($AU489="",$AV489="",AND($AW489,$AX489=""))))</f>
        <v/>
      </c>
      <c r="BN489" s="94" t="str">
        <f aca="false">IF($BX489&lt;&gt;Constants!$B$6,"",IF($AT489,Constants!$B$17*$AV489+Constants!$B$18*IF($AW489,$AX489,Constants!$B$19),Constants!$B$20))</f>
        <v/>
      </c>
      <c r="BO489" s="97" t="str">
        <f aca="false">IF($BX489&lt;&gt;Constants!$B$6,"",Constants!$B$21*ABS($AD$9-IF($AT489,$AU489,0)))</f>
        <v/>
      </c>
      <c r="BP489" s="97" t="str">
        <f aca="false">IF($BX489&lt;&gt;Constants!$B$6,"",IF(AND($AT489,$AY489,$AW489),Constants!$B$22,0))</f>
        <v/>
      </c>
      <c r="BQ489" s="97" t="str">
        <f aca="false">IF($BX489&lt;&gt;Constants!$B$6,"",IF($AT489,($AI489-Constants!$B$24)*Constants!$B$23,0))</f>
        <v/>
      </c>
      <c r="BR489" s="97" t="str">
        <f aca="false">IF($BX489&lt;&gt;Constants!$B$6,"",IF($AS489,0,Constants!$B$12)+IF($AR489,0,Constants!$B$13)+IF($AH489,0,Constants!$B$14))</f>
        <v/>
      </c>
      <c r="BS489" s="98" t="str">
        <f aca="false">IF($BX489&lt;&gt;Constants!$B$6,"",Constants!$B$16+SUM($BN489:$BR489))</f>
        <v/>
      </c>
      <c r="BT489" s="97" t="str">
        <f aca="false">IF($BX489&lt;&gt;Constants!$B$6,"",$BN489)</f>
        <v/>
      </c>
      <c r="BU489" s="97" t="str">
        <f aca="false">IF($BX489&lt;&gt;Constants!$B$6,"",$BO489)</f>
        <v/>
      </c>
      <c r="BV489" s="99" t="str">
        <f aca="false">IF($BX489&lt;&gt;Constants!$B$6,"",IF($AT489,$AV489,""))</f>
        <v/>
      </c>
      <c r="BW489" s="93" t="str">
        <f aca="false">IF(ISBLANK($C489),"",IF(ISBLANK($D$7),$BW$5,IF(NOT(ISNUMBER($D$7)),$BW$6,"")))</f>
        <v/>
      </c>
      <c r="BX489" s="93" t="str">
        <f aca="false">IF(ISBLANK($C489),"",IF($BA489,Constants!$B$9,IF(COUNTA($E489:$AA489)=0,Constants!$B$8,IF(NOT($AG489),Constants!$B$7,IF(OR($BW489&lt;&gt;"",$BB489,$BM489),Constants!$B$10,Constants!$B$6)))))</f>
        <v/>
      </c>
      <c r="BY489" s="93" t="str">
        <f aca="false">IF(ISBLANK($C489),"",IF($BX489&lt;&gt;Constants!$B$6,$BX489,Constants!$B$11))</f>
        <v/>
      </c>
      <c r="BZ489" s="97" t="str">
        <f aca="false">IF($BX489&lt;&gt;Constants!$B$6,"",IF($BL489="-&gt;",$BS489,$BH489))</f>
        <v/>
      </c>
      <c r="CA489" s="97" t="str">
        <f aca="false">IF($BX489&lt;&gt;Constants!$B$6,"",IF($AF489,0,Constants!$B$15))</f>
        <v/>
      </c>
      <c r="CB489" s="97" t="str">
        <f aca="false">IF($BX489&lt;&gt;Constants!$B$6,"",((Constants!$B$25-$AZ489)-Constants!$B$25)/Constants!$B$26)</f>
        <v/>
      </c>
      <c r="CC489" s="97" t="str">
        <f aca="false">IF(ISBLANK($C489),"",IF($BX489&lt;&gt;Constants!$B$6,$BX489,SUM($BZ489:$CB489)))</f>
        <v/>
      </c>
      <c r="CD489" s="93" t="str">
        <f aca="false">IF(ISBLANK($C489),"",IF($BX489&lt;&gt;Constants!$B$6,$BX489,RANK($CC489,$CC$9:$CC$508,1)))</f>
        <v/>
      </c>
      <c r="CE489" s="97" t="str">
        <f aca="false">IF($BX489&lt;&gt;Constants!$B$6,"",IF($BL489="-&gt;",$BT489,$BI489))</f>
        <v/>
      </c>
      <c r="CF489" s="93" t="str">
        <f aca="false">IF(ISBLANK($C489),"",IF($BX489&lt;&gt;Constants!$B$6,$BX489,IF(ISNUMBER($CE489),RANK($CE489,$CE$9:$CE$508,1),COUNT($CE$9:$CE$508)+1)))</f>
        <v/>
      </c>
      <c r="CG489" s="97" t="str">
        <f aca="false">IF($BX489&lt;&gt;Constants!$B$6,"",IF($BL489="-&gt;",$BU489,$BJ489))</f>
        <v/>
      </c>
      <c r="CH489" s="93" t="str">
        <f aca="false">IF(ISBLANK($C489),"",IF($BX489&lt;&gt;Constants!$B$6,$BX489,IF(ISNUMBER($CG489),RANK($CG489,$CG$9:$CG$508,1),COUNT($CG$9:$CG$508)+1)))</f>
        <v/>
      </c>
      <c r="CI489" s="97" t="str">
        <f aca="false">IF($BX489&lt;&gt;Constants!$B$6,"",IF($BL489="-&gt;",$BV489,$BK489))</f>
        <v/>
      </c>
      <c r="CJ489" s="93" t="str">
        <f aca="false">IF(ISBLANK($C489),"",IF($BX489&lt;&gt;Constants!$B$6,$BX489,IF(ISNUMBER($CI489),RANK($CI489,$CI$9:$CI$508,1),COUNT($CI$9:$CI$508)+1)))</f>
        <v/>
      </c>
      <c r="CK489" s="97" t="str">
        <f aca="false">IF($BX489&lt;&gt;Constants!$B$6,"",$AI489)</f>
        <v/>
      </c>
      <c r="CL489" s="93" t="str">
        <f aca="false">IF(ISBLANK($C489),"",IF($BX489&lt;&gt;Constants!$B$6,$BX489,IF(ISNUMBER($CK489),RANK($CK489,$CK$9:$CK$508,1),COUNT($CK$9:$CK$508)+1)))</f>
        <v/>
      </c>
      <c r="CM489" s="93" t="str">
        <f aca="false">IF(ISBLANK($C489),"",IF($BX489&lt;&gt;Constants!$B$6,$BX489,COUNTIFS($CD$9:$CD$508,"&lt;"&amp;$CD489)+COUNTIFS($CD$9:$CD$508,$CD489,$CF$9:$CF$508,"&lt;"&amp;$CF489)+COUNTIFS($CD$9:$CD$508,$CD489,$CF$9:$CF$508,$CF489,$CH$9:$CH$508,"&lt;"&amp;$CH489)+COUNTIFS($CD$9:$CD$508,$CD489,$CF$9:$CF$508,$CF489,$CH$9:$CH$508,$CH489,$CJ$9:$CJ$508,"&lt;"&amp;$CJ489)+COUNTIFS($CD$9:$CD$508,$CD489,$CF$9:$CF$508,$CF489,$CH$9:$CH$508,$CH489,$CJ$9:$CJ$508,$CJ489,$CL$9:$CL$508,"&lt;"&amp;$CL489)+1))</f>
        <v/>
      </c>
      <c r="CN489" s="93" t="str">
        <f aca="false">IF(ISBLANK($C489),"",IF($BX489&lt;&gt;Constants!$B$6,$BX489,$CD489-$CM489))</f>
        <v/>
      </c>
      <c r="CO489" s="100"/>
      <c r="CP489" s="101"/>
      <c r="CQ489" s="102" t="str">
        <f aca="false">IF(ISBLANK($C489),"",IF($BX489=Constants!$B$10,$BW489,""))</f>
        <v/>
      </c>
      <c r="CR489" s="101" t="str">
        <f aca="false">IF(ISBLANK($C489),"",IF($BX489&lt;&gt;Constants!$B$6,"",IF($BL489="-&gt;",2,1)))</f>
        <v/>
      </c>
      <c r="CS489" s="103" t="str">
        <f aca="false">IF(ISBLANK($C489),"",IF($BX489&lt;&gt;Constants!$B$6,"",IF($BL489="-&gt;",$BN489,$BC489)))</f>
        <v/>
      </c>
      <c r="CT489" s="103" t="str">
        <f aca="false">IF(ISBLANK($C489),"",IF($BX489&lt;&gt;Constants!$B$6,"",IF($BL489="-&gt;",$BO489,$BD489)))</f>
        <v/>
      </c>
      <c r="CU489" s="103" t="str">
        <f aca="false">IF(ISBLANK($C489),"",IF($BX489&lt;&gt;Constants!$B$6,"",IF($BL489="-&gt;",$BP489+$BQ489,$BE489+$BF489)+$CB489))</f>
        <v/>
      </c>
      <c r="CV489" s="103" t="str">
        <f aca="false">IF(ISBLANK($C489),"",IF($BX489&lt;&gt;Constants!$B$6,"",IF($BL489="-&gt;",$BR489,$BG489)+$CA489))</f>
        <v/>
      </c>
      <c r="CW489" s="104" t="str">
        <f aca="false">IF(ISBLANK($C489),"",IF($BX489&lt;&gt;Constants!$B$6,$BX489,$CC489))</f>
        <v/>
      </c>
      <c r="CX489" s="105" t="str">
        <f aca="false">IF(ISBLANK($C489),"",$BY489)</f>
        <v/>
      </c>
      <c r="CY489" s="106" t="str">
        <f aca="false">IF(ISBLANK($C489),"",$CN489)</f>
        <v/>
      </c>
      <c r="CZ489" s="106" t="str">
        <f aca="false">IF(ISBLANK($C489),"",$CM489)</f>
        <v/>
      </c>
      <c r="DA489" s="107" t="str">
        <f aca="false">IF(ISBLANK($C489),"",IFERROR(_xlfn.SWITCH($CZ489,Constants!$B$9,COUNTA($C$9:$C$508)+2,Constants!$B$8,COUNTA($C$9:$C$508)+1,Constants!$B$7,COUNTA($C$9:$C$508)),$CZ489))</f>
        <v/>
      </c>
      <c r="DB489" s="9"/>
      <c r="DC489" s="108" t="n">
        <f aca="false">IF(OR(ISNUMBER($CZ489),$CZ489=Constants!$B$9,$CZ489=Constants!$B$7,$CZ489=Constants!$B$8),1,0)</f>
        <v>0</v>
      </c>
      <c r="DD489" s="108" t="n">
        <v>481</v>
      </c>
      <c r="DE489" s="108" t="str">
        <f aca="false">IF(ISBLANK($C489),"",IF(ISNUMBER($DA489),$DA489+ROW($B489)/1000,""))</f>
        <v/>
      </c>
      <c r="DF489" s="108" t="str">
        <f aca="false">IF(ISNUMBER($DE489),RANK($DE489,$DE$9:$DE$508,1),"")</f>
        <v/>
      </c>
      <c r="DG489" s="108" t="str">
        <f aca="false">IF(ISBLANK($C489),"",$B489)</f>
        <v/>
      </c>
      <c r="DH489" s="108" t="str">
        <f aca="false">IF(ISBLANK($C489),"",$C489)</f>
        <v/>
      </c>
      <c r="DI489" s="108" t="str">
        <f aca="false">IF(ISBLANK($C489),"",$D489)</f>
        <v/>
      </c>
      <c r="DJ489" s="109" t="str">
        <f aca="false">$CX489</f>
        <v/>
      </c>
      <c r="DK489" s="110" t="str">
        <f aca="false">$CW489</f>
        <v/>
      </c>
      <c r="DL489" s="108" t="str">
        <f aca="false">IF(ISBLANK($C489),"",$CZ489)</f>
        <v/>
      </c>
      <c r="DM489" s="111" t="str">
        <f aca="false">IF($DD489&gt;$DC$8,"",VLOOKUP($DD489,$DF$9:$DL$508,7,FALSE()))</f>
        <v/>
      </c>
      <c r="DN489" s="112" t="str">
        <f aca="false">IF($DD489&gt;$DC$8,"",VLOOKUP($DD489,$DF$9:$DL$508,2,FALSE()))</f>
        <v/>
      </c>
      <c r="DO489" s="112" t="str">
        <f aca="false">IF($DD489&gt;$DC$8,"",VLOOKUP($DD489,$DF$9:$DL$508,3,FALSE()))</f>
        <v/>
      </c>
      <c r="DP489" s="112" t="str">
        <f aca="false">IF($DD489&gt;$DC$8,"",VLOOKUP($DD489,$DF$9:$DL$508,4,FALSE()))</f>
        <v/>
      </c>
      <c r="DQ489" s="112" t="str">
        <f aca="false">IF($DD489&gt;$DC$8,"",VLOOKUP($DD489,$DF$9:$DL$508,5,FALSE()))</f>
        <v/>
      </c>
      <c r="DR489" s="113" t="str">
        <f aca="false">IF($DD489&gt;$DC$8,"",VLOOKUP($DD489,$DF$9:$DL$508,6,FALSE()))</f>
        <v/>
      </c>
      <c r="DS489" s="76"/>
    </row>
    <row r="490" customFormat="false" ht="15.75" hidden="false" customHeight="false" outlineLevel="0" collapsed="false">
      <c r="A490" s="9"/>
      <c r="B490" s="78"/>
      <c r="C490" s="79"/>
      <c r="D490" s="170"/>
      <c r="E490" s="178"/>
      <c r="F490" s="172"/>
      <c r="G490" s="173"/>
      <c r="H490" s="173"/>
      <c r="I490" s="179"/>
      <c r="J490" s="176"/>
      <c r="K490" s="86"/>
      <c r="L490" s="87"/>
      <c r="M490" s="88"/>
      <c r="N490" s="176"/>
      <c r="O490" s="176"/>
      <c r="P490" s="178"/>
      <c r="Q490" s="176"/>
      <c r="R490" s="176"/>
      <c r="S490" s="86"/>
      <c r="T490" s="88"/>
      <c r="U490" s="88"/>
      <c r="V490" s="176"/>
      <c r="W490" s="176"/>
      <c r="X490" s="178"/>
      <c r="Y490" s="176"/>
      <c r="Z490" s="177"/>
      <c r="AA490" s="176"/>
      <c r="AB490" s="92"/>
      <c r="AC490" s="93"/>
      <c r="AD490" s="93"/>
      <c r="AE490" s="93"/>
      <c r="AF490" s="93" t="str">
        <f aca="false">IF(ISBLANK($C490),"",IF(E490=Constants!$B$2,TRUE(),IF(E490=Constants!$B$3,FALSE(),TRUE())))</f>
        <v/>
      </c>
      <c r="AG490" s="93" t="str">
        <f aca="false">IF(ISBLANK($C490),"",IF(F490=Constants!$B$2,TRUE(),IF(F490=Constants!$B$3,FALSE(),TRUE())))</f>
        <v/>
      </c>
      <c r="AH490" s="93" t="str">
        <f aca="false">IF(ISBLANK($C490),"",IF(G490=Constants!$B$2,TRUE(),IF(G490=Constants!$B$3,FALSE(),TRUE())))</f>
        <v/>
      </c>
      <c r="AI490" s="93" t="str">
        <f aca="false">IF(ISBLANK($C490),"",IF(AND(ISNUMBER(H490),H490&gt;=0),H490,Constants!$B$24))</f>
        <v/>
      </c>
      <c r="AJ490" s="93" t="str">
        <f aca="false">IF(ISBLANK($C490),"",IF(I490=Constants!$B$2,TRUE(),IF(I490=Constants!$B$3,FALSE(),TRUE())))</f>
        <v/>
      </c>
      <c r="AK490" s="93" t="str">
        <f aca="false">IF(ISBLANK($C490),"",IF(J490=Constants!$B$2,TRUE(),IF(J490=Constants!$B$3,FALSE(),TRUE())))</f>
        <v/>
      </c>
      <c r="AL490" s="93" t="str">
        <f aca="false">IF(ISBLANK($C490),"",IF(K490=Constants!$B$4,TRUE(),IF(K490=Constants!$B$5,FALSE(),COUNTA(L490:P490)&gt;0)))</f>
        <v/>
      </c>
      <c r="AM490" s="95" t="str">
        <f aca="false">IF(ISBLANK($C490),"",IF(ISNUMBER(L490),IF(L490&gt;=0,L490,""),""))</f>
        <v/>
      </c>
      <c r="AN490" s="94" t="str">
        <f aca="false">IF(ISBLANK($C490),"",IF(ISNUMBER(M490),IF(M490&gt;=0,M490,""),""))</f>
        <v/>
      </c>
      <c r="AO490" s="94" t="str">
        <f aca="false">IF(ISBLANK($C490),"",IF(N490=Constants!$B$2,TRUE(),IF(N490=Constants!$B$3,FALSE(),TRUE())))</f>
        <v/>
      </c>
      <c r="AP490" s="93" t="str">
        <f aca="false">IF(ISBLANK($C490),"",IF(ISNUMBER(O490),IF(O490&gt;=0,O490,""),""))</f>
        <v/>
      </c>
      <c r="AQ490" s="93" t="str">
        <f aca="false">IF(ISBLANK($C490),"",IF(P490=Constants!$B$2,TRUE(),IF(P490=Constants!$B$3,FALSE(),FALSE())))</f>
        <v/>
      </c>
      <c r="AR490" s="93" t="str">
        <f aca="false">IF(ISBLANK($C490),"",IF(Q490=Constants!$B$2,TRUE(),IF(Q490=Constants!$B$3,FALSE(),TRUE())))</f>
        <v/>
      </c>
      <c r="AS490" s="93" t="str">
        <f aca="false">IF(ISBLANK($C490),"",IF(R490=Constants!$B$2,TRUE(),IF(R490=Constants!$B$3,FALSE(),TRUE())))</f>
        <v/>
      </c>
      <c r="AT490" s="93" t="str">
        <f aca="false">IF(ISBLANK($C490),"",IF(S490=Constants!$B$4,TRUE(),IF(S490=Constants!$B$5,FALSE(),COUNTA(T490:X490)&gt;0)))</f>
        <v/>
      </c>
      <c r="AU490" s="95" t="str">
        <f aca="false">IF(ISBLANK($C490),"",IF(ISNUMBER(T490),IF(T490&gt;=0,T490,""),""))</f>
        <v/>
      </c>
      <c r="AV490" s="94" t="str">
        <f aca="false">IF(ISBLANK($C490),"",IF(ISNUMBER(U490),IF(U490&gt;=0,U490,""),""))</f>
        <v/>
      </c>
      <c r="AW490" s="94" t="str">
        <f aca="false">IF(ISBLANK($C490),"",IF(V490=Constants!$B$2,TRUE(),IF(V490=Constants!$B$3,FALSE(),TRUE())))</f>
        <v/>
      </c>
      <c r="AX490" s="93" t="str">
        <f aca="false">IF(ISBLANK($C490),"",IF(ISNUMBER(W490),IF(W490&gt;=0,W490,""),""))</f>
        <v/>
      </c>
      <c r="AY490" s="93" t="str">
        <f aca="false">IF(ISBLANK($C490),"",IF(X490=Constants!$B$2,TRUE(),IF(X490=Constants!$B$3,FALSE(),FALSE())))</f>
        <v/>
      </c>
      <c r="AZ490" s="93" t="str">
        <f aca="false">IF(ISBLANK($C490),"",MIN(Constants!$B$25,MAX(0,IF(ISNUMBER(Y490),Y490*60,0)+IF(ISNUMBER(Z490),Z490,0))))</f>
        <v/>
      </c>
      <c r="BA490" s="93" t="str">
        <f aca="false">IF(ISBLANK($C490),"",IF(AA490=Constants!$B$2,TRUE(),IF(AA490=Constants!$B$3,FALSE(),FALSE())))</f>
        <v/>
      </c>
      <c r="BB490" s="92" t="str">
        <f aca="false">IF(ISBLANK($C490),"",AND($AL490,OR($AM490="",$AN490="",AND($AO490,$AP490=""))))</f>
        <v/>
      </c>
      <c r="BC490" s="94" t="str">
        <f aca="false">IF($BX490&lt;&gt;Constants!$B$6,"",IF($AL490,Constants!$B$17*$AN490+Constants!$B$18*IF($AO490,$AP490,Constants!$B$19),Constants!$B$20))</f>
        <v/>
      </c>
      <c r="BD490" s="97" t="str">
        <f aca="false">IF($BX490&lt;&gt;Constants!$B$6,"",Constants!$B$21*ABS($AD$9-IF($AL490,$AM490,0)))</f>
        <v/>
      </c>
      <c r="BE490" s="97" t="str">
        <f aca="false">IF($BX490&lt;&gt;Constants!$B$6,"",IF(AND($AL490,$AQ490,$AO490),Constants!$B$22,0))</f>
        <v/>
      </c>
      <c r="BF490" s="97" t="str">
        <f aca="false">IF($BX490&lt;&gt;Constants!$B$6,"",IF($AL490,($AI490-Constants!$B$24)*Constants!$B$23,0))</f>
        <v/>
      </c>
      <c r="BG490" s="97" t="str">
        <f aca="false">IF($BX490&lt;&gt;Constants!$B$6,"",IF($AK490,0,Constants!$B$12)+IF($AJ490,0,Constants!$B$13)+IF($AH490,0,Constants!$B$14))</f>
        <v/>
      </c>
      <c r="BH490" s="98" t="str">
        <f aca="false">IF($BX490&lt;&gt;Constants!$B$6,"",Constants!$B$16+SUM($BC490:$BG490))</f>
        <v/>
      </c>
      <c r="BI490" s="97" t="str">
        <f aca="false">IF($BX490&lt;&gt;Constants!$B$6,"",$BC490)</f>
        <v/>
      </c>
      <c r="BJ490" s="97" t="str">
        <f aca="false">IF($BX490&lt;&gt;Constants!$B$6,"",$BD490)</f>
        <v/>
      </c>
      <c r="BK490" s="99" t="str">
        <f aca="false">IF($BX490&lt;&gt;Constants!$B$6,"",IF($AL490,$AN490,""))</f>
        <v/>
      </c>
      <c r="BL490" s="93" t="str">
        <f aca="false">IF($BX490&lt;&gt;Constants!$B$6,"",IF(OR($BS490&lt;$BH490,AND($BS490=$BH490,OR($BT490&lt;$BI490,AND($BT490=$BI490,OR($BU490&lt;$BJ490,AND($BU490=$BJ490,AND(ISNUMBER($BV490),OR(NOT(ISNUMBER($BK490)),$BV490&lt;$BK490)))))))),"-&gt;","&lt;-"))</f>
        <v/>
      </c>
      <c r="BM490" s="92" t="str">
        <f aca="false">IF(ISBLANK($C490),"",AND($AT490,OR($AU490="",$AV490="",AND($AW490,$AX490=""))))</f>
        <v/>
      </c>
      <c r="BN490" s="94" t="str">
        <f aca="false">IF($BX490&lt;&gt;Constants!$B$6,"",IF($AT490,Constants!$B$17*$AV490+Constants!$B$18*IF($AW490,$AX490,Constants!$B$19),Constants!$B$20))</f>
        <v/>
      </c>
      <c r="BO490" s="97" t="str">
        <f aca="false">IF($BX490&lt;&gt;Constants!$B$6,"",Constants!$B$21*ABS($AD$9-IF($AT490,$AU490,0)))</f>
        <v/>
      </c>
      <c r="BP490" s="97" t="str">
        <f aca="false">IF($BX490&lt;&gt;Constants!$B$6,"",IF(AND($AT490,$AY490,$AW490),Constants!$B$22,0))</f>
        <v/>
      </c>
      <c r="BQ490" s="97" t="str">
        <f aca="false">IF($BX490&lt;&gt;Constants!$B$6,"",IF($AT490,($AI490-Constants!$B$24)*Constants!$B$23,0))</f>
        <v/>
      </c>
      <c r="BR490" s="97" t="str">
        <f aca="false">IF($BX490&lt;&gt;Constants!$B$6,"",IF($AS490,0,Constants!$B$12)+IF($AR490,0,Constants!$B$13)+IF($AH490,0,Constants!$B$14))</f>
        <v/>
      </c>
      <c r="BS490" s="98" t="str">
        <f aca="false">IF($BX490&lt;&gt;Constants!$B$6,"",Constants!$B$16+SUM($BN490:$BR490))</f>
        <v/>
      </c>
      <c r="BT490" s="97" t="str">
        <f aca="false">IF($BX490&lt;&gt;Constants!$B$6,"",$BN490)</f>
        <v/>
      </c>
      <c r="BU490" s="97" t="str">
        <f aca="false">IF($BX490&lt;&gt;Constants!$B$6,"",$BO490)</f>
        <v/>
      </c>
      <c r="BV490" s="99" t="str">
        <f aca="false">IF($BX490&lt;&gt;Constants!$B$6,"",IF($AT490,$AV490,""))</f>
        <v/>
      </c>
      <c r="BW490" s="93" t="str">
        <f aca="false">IF(ISBLANK($C490),"",IF(ISBLANK($D$7),$BW$5,IF(NOT(ISNUMBER($D$7)),$BW$6,"")))</f>
        <v/>
      </c>
      <c r="BX490" s="93" t="str">
        <f aca="false">IF(ISBLANK($C490),"",IF($BA490,Constants!$B$9,IF(COUNTA($E490:$AA490)=0,Constants!$B$8,IF(NOT($AG490),Constants!$B$7,IF(OR($BW490&lt;&gt;"",$BB490,$BM490),Constants!$B$10,Constants!$B$6)))))</f>
        <v/>
      </c>
      <c r="BY490" s="93" t="str">
        <f aca="false">IF(ISBLANK($C490),"",IF($BX490&lt;&gt;Constants!$B$6,$BX490,Constants!$B$11))</f>
        <v/>
      </c>
      <c r="BZ490" s="97" t="str">
        <f aca="false">IF($BX490&lt;&gt;Constants!$B$6,"",IF($BL490="-&gt;",$BS490,$BH490))</f>
        <v/>
      </c>
      <c r="CA490" s="97" t="str">
        <f aca="false">IF($BX490&lt;&gt;Constants!$B$6,"",IF($AF490,0,Constants!$B$15))</f>
        <v/>
      </c>
      <c r="CB490" s="97" t="str">
        <f aca="false">IF($BX490&lt;&gt;Constants!$B$6,"",((Constants!$B$25-$AZ490)-Constants!$B$25)/Constants!$B$26)</f>
        <v/>
      </c>
      <c r="CC490" s="97" t="str">
        <f aca="false">IF(ISBLANK($C490),"",IF($BX490&lt;&gt;Constants!$B$6,$BX490,SUM($BZ490:$CB490)))</f>
        <v/>
      </c>
      <c r="CD490" s="93" t="str">
        <f aca="false">IF(ISBLANK($C490),"",IF($BX490&lt;&gt;Constants!$B$6,$BX490,RANK($CC490,$CC$9:$CC$508,1)))</f>
        <v/>
      </c>
      <c r="CE490" s="97" t="str">
        <f aca="false">IF($BX490&lt;&gt;Constants!$B$6,"",IF($BL490="-&gt;",$BT490,$BI490))</f>
        <v/>
      </c>
      <c r="CF490" s="93" t="str">
        <f aca="false">IF(ISBLANK($C490),"",IF($BX490&lt;&gt;Constants!$B$6,$BX490,IF(ISNUMBER($CE490),RANK($CE490,$CE$9:$CE$508,1),COUNT($CE$9:$CE$508)+1)))</f>
        <v/>
      </c>
      <c r="CG490" s="97" t="str">
        <f aca="false">IF($BX490&lt;&gt;Constants!$B$6,"",IF($BL490="-&gt;",$BU490,$BJ490))</f>
        <v/>
      </c>
      <c r="CH490" s="93" t="str">
        <f aca="false">IF(ISBLANK($C490),"",IF($BX490&lt;&gt;Constants!$B$6,$BX490,IF(ISNUMBER($CG490),RANK($CG490,$CG$9:$CG$508,1),COUNT($CG$9:$CG$508)+1)))</f>
        <v/>
      </c>
      <c r="CI490" s="97" t="str">
        <f aca="false">IF($BX490&lt;&gt;Constants!$B$6,"",IF($BL490="-&gt;",$BV490,$BK490))</f>
        <v/>
      </c>
      <c r="CJ490" s="93" t="str">
        <f aca="false">IF(ISBLANK($C490),"",IF($BX490&lt;&gt;Constants!$B$6,$BX490,IF(ISNUMBER($CI490),RANK($CI490,$CI$9:$CI$508,1),COUNT($CI$9:$CI$508)+1)))</f>
        <v/>
      </c>
      <c r="CK490" s="97" t="str">
        <f aca="false">IF($BX490&lt;&gt;Constants!$B$6,"",$AI490)</f>
        <v/>
      </c>
      <c r="CL490" s="93" t="str">
        <f aca="false">IF(ISBLANK($C490),"",IF($BX490&lt;&gt;Constants!$B$6,$BX490,IF(ISNUMBER($CK490),RANK($CK490,$CK$9:$CK$508,1),COUNT($CK$9:$CK$508)+1)))</f>
        <v/>
      </c>
      <c r="CM490" s="93" t="str">
        <f aca="false">IF(ISBLANK($C490),"",IF($BX490&lt;&gt;Constants!$B$6,$BX490,COUNTIFS($CD$9:$CD$508,"&lt;"&amp;$CD490)+COUNTIFS($CD$9:$CD$508,$CD490,$CF$9:$CF$508,"&lt;"&amp;$CF490)+COUNTIFS($CD$9:$CD$508,$CD490,$CF$9:$CF$508,$CF490,$CH$9:$CH$508,"&lt;"&amp;$CH490)+COUNTIFS($CD$9:$CD$508,$CD490,$CF$9:$CF$508,$CF490,$CH$9:$CH$508,$CH490,$CJ$9:$CJ$508,"&lt;"&amp;$CJ490)+COUNTIFS($CD$9:$CD$508,$CD490,$CF$9:$CF$508,$CF490,$CH$9:$CH$508,$CH490,$CJ$9:$CJ$508,$CJ490,$CL$9:$CL$508,"&lt;"&amp;$CL490)+1))</f>
        <v/>
      </c>
      <c r="CN490" s="93" t="str">
        <f aca="false">IF(ISBLANK($C490),"",IF($BX490&lt;&gt;Constants!$B$6,$BX490,$CD490-$CM490))</f>
        <v/>
      </c>
      <c r="CO490" s="100"/>
      <c r="CP490" s="101"/>
      <c r="CQ490" s="102" t="str">
        <f aca="false">IF(ISBLANK($C490),"",IF($BX490=Constants!$B$10,$BW490,""))</f>
        <v/>
      </c>
      <c r="CR490" s="101" t="str">
        <f aca="false">IF(ISBLANK($C490),"",IF($BX490&lt;&gt;Constants!$B$6,"",IF($BL490="-&gt;",2,1)))</f>
        <v/>
      </c>
      <c r="CS490" s="103" t="str">
        <f aca="false">IF(ISBLANK($C490),"",IF($BX490&lt;&gt;Constants!$B$6,"",IF($BL490="-&gt;",$BN490,$BC490)))</f>
        <v/>
      </c>
      <c r="CT490" s="103" t="str">
        <f aca="false">IF(ISBLANK($C490),"",IF($BX490&lt;&gt;Constants!$B$6,"",IF($BL490="-&gt;",$BO490,$BD490)))</f>
        <v/>
      </c>
      <c r="CU490" s="103" t="str">
        <f aca="false">IF(ISBLANK($C490),"",IF($BX490&lt;&gt;Constants!$B$6,"",IF($BL490="-&gt;",$BP490+$BQ490,$BE490+$BF490)+$CB490))</f>
        <v/>
      </c>
      <c r="CV490" s="103" t="str">
        <f aca="false">IF(ISBLANK($C490),"",IF($BX490&lt;&gt;Constants!$B$6,"",IF($BL490="-&gt;",$BR490,$BG490)+$CA490))</f>
        <v/>
      </c>
      <c r="CW490" s="104" t="str">
        <f aca="false">IF(ISBLANK($C490),"",IF($BX490&lt;&gt;Constants!$B$6,$BX490,$CC490))</f>
        <v/>
      </c>
      <c r="CX490" s="105" t="str">
        <f aca="false">IF(ISBLANK($C490),"",$BY490)</f>
        <v/>
      </c>
      <c r="CY490" s="106" t="str">
        <f aca="false">IF(ISBLANK($C490),"",$CN490)</f>
        <v/>
      </c>
      <c r="CZ490" s="106" t="str">
        <f aca="false">IF(ISBLANK($C490),"",$CM490)</f>
        <v/>
      </c>
      <c r="DA490" s="107" t="str">
        <f aca="false">IF(ISBLANK($C490),"",IFERROR(_xlfn.SWITCH($CZ490,Constants!$B$9,COUNTA($C$9:$C$508)+2,Constants!$B$8,COUNTA($C$9:$C$508)+1,Constants!$B$7,COUNTA($C$9:$C$508)),$CZ490))</f>
        <v/>
      </c>
      <c r="DB490" s="9"/>
      <c r="DC490" s="108" t="n">
        <f aca="false">IF(OR(ISNUMBER($CZ490),$CZ490=Constants!$B$9,$CZ490=Constants!$B$7,$CZ490=Constants!$B$8),1,0)</f>
        <v>0</v>
      </c>
      <c r="DD490" s="108" t="n">
        <v>482</v>
      </c>
      <c r="DE490" s="108" t="str">
        <f aca="false">IF(ISBLANK($C490),"",IF(ISNUMBER($DA490),$DA490+ROW($B490)/1000,""))</f>
        <v/>
      </c>
      <c r="DF490" s="108" t="str">
        <f aca="false">IF(ISNUMBER($DE490),RANK($DE490,$DE$9:$DE$508,1),"")</f>
        <v/>
      </c>
      <c r="DG490" s="108" t="str">
        <f aca="false">IF(ISBLANK($C490),"",$B490)</f>
        <v/>
      </c>
      <c r="DH490" s="108" t="str">
        <f aca="false">IF(ISBLANK($C490),"",$C490)</f>
        <v/>
      </c>
      <c r="DI490" s="108" t="str">
        <f aca="false">IF(ISBLANK($C490),"",$D490)</f>
        <v/>
      </c>
      <c r="DJ490" s="109" t="str">
        <f aca="false">$CX490</f>
        <v/>
      </c>
      <c r="DK490" s="110" t="str">
        <f aca="false">$CW490</f>
        <v/>
      </c>
      <c r="DL490" s="108" t="str">
        <f aca="false">IF(ISBLANK($C490),"",$CZ490)</f>
        <v/>
      </c>
      <c r="DM490" s="111" t="str">
        <f aca="false">IF($DD490&gt;$DC$8,"",VLOOKUP($DD490,$DF$9:$DL$508,7,FALSE()))</f>
        <v/>
      </c>
      <c r="DN490" s="112" t="str">
        <f aca="false">IF($DD490&gt;$DC$8,"",VLOOKUP($DD490,$DF$9:$DL$508,2,FALSE()))</f>
        <v/>
      </c>
      <c r="DO490" s="112" t="str">
        <f aca="false">IF($DD490&gt;$DC$8,"",VLOOKUP($DD490,$DF$9:$DL$508,3,FALSE()))</f>
        <v/>
      </c>
      <c r="DP490" s="112" t="str">
        <f aca="false">IF($DD490&gt;$DC$8,"",VLOOKUP($DD490,$DF$9:$DL$508,4,FALSE()))</f>
        <v/>
      </c>
      <c r="DQ490" s="112" t="str">
        <f aca="false">IF($DD490&gt;$DC$8,"",VLOOKUP($DD490,$DF$9:$DL$508,5,FALSE()))</f>
        <v/>
      </c>
      <c r="DR490" s="113" t="str">
        <f aca="false">IF($DD490&gt;$DC$8,"",VLOOKUP($DD490,$DF$9:$DL$508,6,FALSE()))</f>
        <v/>
      </c>
      <c r="DS490" s="76"/>
    </row>
    <row r="491" customFormat="false" ht="15.75" hidden="false" customHeight="false" outlineLevel="0" collapsed="false">
      <c r="A491" s="9"/>
      <c r="B491" s="78"/>
      <c r="C491" s="79"/>
      <c r="D491" s="170"/>
      <c r="E491" s="178"/>
      <c r="F491" s="172"/>
      <c r="G491" s="173"/>
      <c r="H491" s="173"/>
      <c r="I491" s="179"/>
      <c r="J491" s="176"/>
      <c r="K491" s="86"/>
      <c r="L491" s="87"/>
      <c r="M491" s="88"/>
      <c r="N491" s="176"/>
      <c r="O491" s="176"/>
      <c r="P491" s="178"/>
      <c r="Q491" s="176"/>
      <c r="R491" s="176"/>
      <c r="S491" s="86"/>
      <c r="T491" s="88"/>
      <c r="U491" s="88"/>
      <c r="V491" s="176"/>
      <c r="W491" s="176"/>
      <c r="X491" s="178"/>
      <c r="Y491" s="176"/>
      <c r="Z491" s="177"/>
      <c r="AA491" s="176"/>
      <c r="AB491" s="92"/>
      <c r="AC491" s="93"/>
      <c r="AD491" s="93"/>
      <c r="AE491" s="93"/>
      <c r="AF491" s="93" t="str">
        <f aca="false">IF(ISBLANK($C491),"",IF(E491=Constants!$B$2,TRUE(),IF(E491=Constants!$B$3,FALSE(),TRUE())))</f>
        <v/>
      </c>
      <c r="AG491" s="93" t="str">
        <f aca="false">IF(ISBLANK($C491),"",IF(F491=Constants!$B$2,TRUE(),IF(F491=Constants!$B$3,FALSE(),TRUE())))</f>
        <v/>
      </c>
      <c r="AH491" s="93" t="str">
        <f aca="false">IF(ISBLANK($C491),"",IF(G491=Constants!$B$2,TRUE(),IF(G491=Constants!$B$3,FALSE(),TRUE())))</f>
        <v/>
      </c>
      <c r="AI491" s="93" t="str">
        <f aca="false">IF(ISBLANK($C491),"",IF(AND(ISNUMBER(H491),H491&gt;=0),H491,Constants!$B$24))</f>
        <v/>
      </c>
      <c r="AJ491" s="93" t="str">
        <f aca="false">IF(ISBLANK($C491),"",IF(I491=Constants!$B$2,TRUE(),IF(I491=Constants!$B$3,FALSE(),TRUE())))</f>
        <v/>
      </c>
      <c r="AK491" s="93" t="str">
        <f aca="false">IF(ISBLANK($C491),"",IF(J491=Constants!$B$2,TRUE(),IF(J491=Constants!$B$3,FALSE(),TRUE())))</f>
        <v/>
      </c>
      <c r="AL491" s="93" t="str">
        <f aca="false">IF(ISBLANK($C491),"",IF(K491=Constants!$B$4,TRUE(),IF(K491=Constants!$B$5,FALSE(),COUNTA(L491:P491)&gt;0)))</f>
        <v/>
      </c>
      <c r="AM491" s="95" t="str">
        <f aca="false">IF(ISBLANK($C491),"",IF(ISNUMBER(L491),IF(L491&gt;=0,L491,""),""))</f>
        <v/>
      </c>
      <c r="AN491" s="94" t="str">
        <f aca="false">IF(ISBLANK($C491),"",IF(ISNUMBER(M491),IF(M491&gt;=0,M491,""),""))</f>
        <v/>
      </c>
      <c r="AO491" s="94" t="str">
        <f aca="false">IF(ISBLANK($C491),"",IF(N491=Constants!$B$2,TRUE(),IF(N491=Constants!$B$3,FALSE(),TRUE())))</f>
        <v/>
      </c>
      <c r="AP491" s="93" t="str">
        <f aca="false">IF(ISBLANK($C491),"",IF(ISNUMBER(O491),IF(O491&gt;=0,O491,""),""))</f>
        <v/>
      </c>
      <c r="AQ491" s="93" t="str">
        <f aca="false">IF(ISBLANK($C491),"",IF(P491=Constants!$B$2,TRUE(),IF(P491=Constants!$B$3,FALSE(),FALSE())))</f>
        <v/>
      </c>
      <c r="AR491" s="93" t="str">
        <f aca="false">IF(ISBLANK($C491),"",IF(Q491=Constants!$B$2,TRUE(),IF(Q491=Constants!$B$3,FALSE(),TRUE())))</f>
        <v/>
      </c>
      <c r="AS491" s="93" t="str">
        <f aca="false">IF(ISBLANK($C491),"",IF(R491=Constants!$B$2,TRUE(),IF(R491=Constants!$B$3,FALSE(),TRUE())))</f>
        <v/>
      </c>
      <c r="AT491" s="93" t="str">
        <f aca="false">IF(ISBLANK($C491),"",IF(S491=Constants!$B$4,TRUE(),IF(S491=Constants!$B$5,FALSE(),COUNTA(T491:X491)&gt;0)))</f>
        <v/>
      </c>
      <c r="AU491" s="95" t="str">
        <f aca="false">IF(ISBLANK($C491),"",IF(ISNUMBER(T491),IF(T491&gt;=0,T491,""),""))</f>
        <v/>
      </c>
      <c r="AV491" s="94" t="str">
        <f aca="false">IF(ISBLANK($C491),"",IF(ISNUMBER(U491),IF(U491&gt;=0,U491,""),""))</f>
        <v/>
      </c>
      <c r="AW491" s="94" t="str">
        <f aca="false">IF(ISBLANK($C491),"",IF(V491=Constants!$B$2,TRUE(),IF(V491=Constants!$B$3,FALSE(),TRUE())))</f>
        <v/>
      </c>
      <c r="AX491" s="93" t="str">
        <f aca="false">IF(ISBLANK($C491),"",IF(ISNUMBER(W491),IF(W491&gt;=0,W491,""),""))</f>
        <v/>
      </c>
      <c r="AY491" s="93" t="str">
        <f aca="false">IF(ISBLANK($C491),"",IF(X491=Constants!$B$2,TRUE(),IF(X491=Constants!$B$3,FALSE(),FALSE())))</f>
        <v/>
      </c>
      <c r="AZ491" s="93" t="str">
        <f aca="false">IF(ISBLANK($C491),"",MIN(Constants!$B$25,MAX(0,IF(ISNUMBER(Y491),Y491*60,0)+IF(ISNUMBER(Z491),Z491,0))))</f>
        <v/>
      </c>
      <c r="BA491" s="93" t="str">
        <f aca="false">IF(ISBLANK($C491),"",IF(AA491=Constants!$B$2,TRUE(),IF(AA491=Constants!$B$3,FALSE(),FALSE())))</f>
        <v/>
      </c>
      <c r="BB491" s="92" t="str">
        <f aca="false">IF(ISBLANK($C491),"",AND($AL491,OR($AM491="",$AN491="",AND($AO491,$AP491=""))))</f>
        <v/>
      </c>
      <c r="BC491" s="94" t="str">
        <f aca="false">IF($BX491&lt;&gt;Constants!$B$6,"",IF($AL491,Constants!$B$17*$AN491+Constants!$B$18*IF($AO491,$AP491,Constants!$B$19),Constants!$B$20))</f>
        <v/>
      </c>
      <c r="BD491" s="97" t="str">
        <f aca="false">IF($BX491&lt;&gt;Constants!$B$6,"",Constants!$B$21*ABS($AD$9-IF($AL491,$AM491,0)))</f>
        <v/>
      </c>
      <c r="BE491" s="97" t="str">
        <f aca="false">IF($BX491&lt;&gt;Constants!$B$6,"",IF(AND($AL491,$AQ491,$AO491),Constants!$B$22,0))</f>
        <v/>
      </c>
      <c r="BF491" s="97" t="str">
        <f aca="false">IF($BX491&lt;&gt;Constants!$B$6,"",IF($AL491,($AI491-Constants!$B$24)*Constants!$B$23,0))</f>
        <v/>
      </c>
      <c r="BG491" s="97" t="str">
        <f aca="false">IF($BX491&lt;&gt;Constants!$B$6,"",IF($AK491,0,Constants!$B$12)+IF($AJ491,0,Constants!$B$13)+IF($AH491,0,Constants!$B$14))</f>
        <v/>
      </c>
      <c r="BH491" s="98" t="str">
        <f aca="false">IF($BX491&lt;&gt;Constants!$B$6,"",Constants!$B$16+SUM($BC491:$BG491))</f>
        <v/>
      </c>
      <c r="BI491" s="97" t="str">
        <f aca="false">IF($BX491&lt;&gt;Constants!$B$6,"",$BC491)</f>
        <v/>
      </c>
      <c r="BJ491" s="97" t="str">
        <f aca="false">IF($BX491&lt;&gt;Constants!$B$6,"",$BD491)</f>
        <v/>
      </c>
      <c r="BK491" s="99" t="str">
        <f aca="false">IF($BX491&lt;&gt;Constants!$B$6,"",IF($AL491,$AN491,""))</f>
        <v/>
      </c>
      <c r="BL491" s="93" t="str">
        <f aca="false">IF($BX491&lt;&gt;Constants!$B$6,"",IF(OR($BS491&lt;$BH491,AND($BS491=$BH491,OR($BT491&lt;$BI491,AND($BT491=$BI491,OR($BU491&lt;$BJ491,AND($BU491=$BJ491,AND(ISNUMBER($BV491),OR(NOT(ISNUMBER($BK491)),$BV491&lt;$BK491)))))))),"-&gt;","&lt;-"))</f>
        <v/>
      </c>
      <c r="BM491" s="92" t="str">
        <f aca="false">IF(ISBLANK($C491),"",AND($AT491,OR($AU491="",$AV491="",AND($AW491,$AX491=""))))</f>
        <v/>
      </c>
      <c r="BN491" s="94" t="str">
        <f aca="false">IF($BX491&lt;&gt;Constants!$B$6,"",IF($AT491,Constants!$B$17*$AV491+Constants!$B$18*IF($AW491,$AX491,Constants!$B$19),Constants!$B$20))</f>
        <v/>
      </c>
      <c r="BO491" s="97" t="str">
        <f aca="false">IF($BX491&lt;&gt;Constants!$B$6,"",Constants!$B$21*ABS($AD$9-IF($AT491,$AU491,0)))</f>
        <v/>
      </c>
      <c r="BP491" s="97" t="str">
        <f aca="false">IF($BX491&lt;&gt;Constants!$B$6,"",IF(AND($AT491,$AY491,$AW491),Constants!$B$22,0))</f>
        <v/>
      </c>
      <c r="BQ491" s="97" t="str">
        <f aca="false">IF($BX491&lt;&gt;Constants!$B$6,"",IF($AT491,($AI491-Constants!$B$24)*Constants!$B$23,0))</f>
        <v/>
      </c>
      <c r="BR491" s="97" t="str">
        <f aca="false">IF($BX491&lt;&gt;Constants!$B$6,"",IF($AS491,0,Constants!$B$12)+IF($AR491,0,Constants!$B$13)+IF($AH491,0,Constants!$B$14))</f>
        <v/>
      </c>
      <c r="BS491" s="98" t="str">
        <f aca="false">IF($BX491&lt;&gt;Constants!$B$6,"",Constants!$B$16+SUM($BN491:$BR491))</f>
        <v/>
      </c>
      <c r="BT491" s="97" t="str">
        <f aca="false">IF($BX491&lt;&gt;Constants!$B$6,"",$BN491)</f>
        <v/>
      </c>
      <c r="BU491" s="97" t="str">
        <f aca="false">IF($BX491&lt;&gt;Constants!$B$6,"",$BO491)</f>
        <v/>
      </c>
      <c r="BV491" s="99" t="str">
        <f aca="false">IF($BX491&lt;&gt;Constants!$B$6,"",IF($AT491,$AV491,""))</f>
        <v/>
      </c>
      <c r="BW491" s="93" t="str">
        <f aca="false">IF(ISBLANK($C491),"",IF(ISBLANK($D$7),$BW$5,IF(NOT(ISNUMBER($D$7)),$BW$6,"")))</f>
        <v/>
      </c>
      <c r="BX491" s="93" t="str">
        <f aca="false">IF(ISBLANK($C491),"",IF($BA491,Constants!$B$9,IF(COUNTA($E491:$AA491)=0,Constants!$B$8,IF(NOT($AG491),Constants!$B$7,IF(OR($BW491&lt;&gt;"",$BB491,$BM491),Constants!$B$10,Constants!$B$6)))))</f>
        <v/>
      </c>
      <c r="BY491" s="93" t="str">
        <f aca="false">IF(ISBLANK($C491),"",IF($BX491&lt;&gt;Constants!$B$6,$BX491,Constants!$B$11))</f>
        <v/>
      </c>
      <c r="BZ491" s="97" t="str">
        <f aca="false">IF($BX491&lt;&gt;Constants!$B$6,"",IF($BL491="-&gt;",$BS491,$BH491))</f>
        <v/>
      </c>
      <c r="CA491" s="97" t="str">
        <f aca="false">IF($BX491&lt;&gt;Constants!$B$6,"",IF($AF491,0,Constants!$B$15))</f>
        <v/>
      </c>
      <c r="CB491" s="97" t="str">
        <f aca="false">IF($BX491&lt;&gt;Constants!$B$6,"",((Constants!$B$25-$AZ491)-Constants!$B$25)/Constants!$B$26)</f>
        <v/>
      </c>
      <c r="CC491" s="97" t="str">
        <f aca="false">IF(ISBLANK($C491),"",IF($BX491&lt;&gt;Constants!$B$6,$BX491,SUM($BZ491:$CB491)))</f>
        <v/>
      </c>
      <c r="CD491" s="93" t="str">
        <f aca="false">IF(ISBLANK($C491),"",IF($BX491&lt;&gt;Constants!$B$6,$BX491,RANK($CC491,$CC$9:$CC$508,1)))</f>
        <v/>
      </c>
      <c r="CE491" s="97" t="str">
        <f aca="false">IF($BX491&lt;&gt;Constants!$B$6,"",IF($BL491="-&gt;",$BT491,$BI491))</f>
        <v/>
      </c>
      <c r="CF491" s="93" t="str">
        <f aca="false">IF(ISBLANK($C491),"",IF($BX491&lt;&gt;Constants!$B$6,$BX491,IF(ISNUMBER($CE491),RANK($CE491,$CE$9:$CE$508,1),COUNT($CE$9:$CE$508)+1)))</f>
        <v/>
      </c>
      <c r="CG491" s="97" t="str">
        <f aca="false">IF($BX491&lt;&gt;Constants!$B$6,"",IF($BL491="-&gt;",$BU491,$BJ491))</f>
        <v/>
      </c>
      <c r="CH491" s="93" t="str">
        <f aca="false">IF(ISBLANK($C491),"",IF($BX491&lt;&gt;Constants!$B$6,$BX491,IF(ISNUMBER($CG491),RANK($CG491,$CG$9:$CG$508,1),COUNT($CG$9:$CG$508)+1)))</f>
        <v/>
      </c>
      <c r="CI491" s="97" t="str">
        <f aca="false">IF($BX491&lt;&gt;Constants!$B$6,"",IF($BL491="-&gt;",$BV491,$BK491))</f>
        <v/>
      </c>
      <c r="CJ491" s="93" t="str">
        <f aca="false">IF(ISBLANK($C491),"",IF($BX491&lt;&gt;Constants!$B$6,$BX491,IF(ISNUMBER($CI491),RANK($CI491,$CI$9:$CI$508,1),COUNT($CI$9:$CI$508)+1)))</f>
        <v/>
      </c>
      <c r="CK491" s="97" t="str">
        <f aca="false">IF($BX491&lt;&gt;Constants!$B$6,"",$AI491)</f>
        <v/>
      </c>
      <c r="CL491" s="93" t="str">
        <f aca="false">IF(ISBLANK($C491),"",IF($BX491&lt;&gt;Constants!$B$6,$BX491,IF(ISNUMBER($CK491),RANK($CK491,$CK$9:$CK$508,1),COUNT($CK$9:$CK$508)+1)))</f>
        <v/>
      </c>
      <c r="CM491" s="93" t="str">
        <f aca="false">IF(ISBLANK($C491),"",IF($BX491&lt;&gt;Constants!$B$6,$BX491,COUNTIFS($CD$9:$CD$508,"&lt;"&amp;$CD491)+COUNTIFS($CD$9:$CD$508,$CD491,$CF$9:$CF$508,"&lt;"&amp;$CF491)+COUNTIFS($CD$9:$CD$508,$CD491,$CF$9:$CF$508,$CF491,$CH$9:$CH$508,"&lt;"&amp;$CH491)+COUNTIFS($CD$9:$CD$508,$CD491,$CF$9:$CF$508,$CF491,$CH$9:$CH$508,$CH491,$CJ$9:$CJ$508,"&lt;"&amp;$CJ491)+COUNTIFS($CD$9:$CD$508,$CD491,$CF$9:$CF$508,$CF491,$CH$9:$CH$508,$CH491,$CJ$9:$CJ$508,$CJ491,$CL$9:$CL$508,"&lt;"&amp;$CL491)+1))</f>
        <v/>
      </c>
      <c r="CN491" s="93" t="str">
        <f aca="false">IF(ISBLANK($C491),"",IF($BX491&lt;&gt;Constants!$B$6,$BX491,$CD491-$CM491))</f>
        <v/>
      </c>
      <c r="CO491" s="100"/>
      <c r="CP491" s="101"/>
      <c r="CQ491" s="102" t="str">
        <f aca="false">IF(ISBLANK($C491),"",IF($BX491=Constants!$B$10,$BW491,""))</f>
        <v/>
      </c>
      <c r="CR491" s="101" t="str">
        <f aca="false">IF(ISBLANK($C491),"",IF($BX491&lt;&gt;Constants!$B$6,"",IF($BL491="-&gt;",2,1)))</f>
        <v/>
      </c>
      <c r="CS491" s="103" t="str">
        <f aca="false">IF(ISBLANK($C491),"",IF($BX491&lt;&gt;Constants!$B$6,"",IF($BL491="-&gt;",$BN491,$BC491)))</f>
        <v/>
      </c>
      <c r="CT491" s="103" t="str">
        <f aca="false">IF(ISBLANK($C491),"",IF($BX491&lt;&gt;Constants!$B$6,"",IF($BL491="-&gt;",$BO491,$BD491)))</f>
        <v/>
      </c>
      <c r="CU491" s="103" t="str">
        <f aca="false">IF(ISBLANK($C491),"",IF($BX491&lt;&gt;Constants!$B$6,"",IF($BL491="-&gt;",$BP491+$BQ491,$BE491+$BF491)+$CB491))</f>
        <v/>
      </c>
      <c r="CV491" s="103" t="str">
        <f aca="false">IF(ISBLANK($C491),"",IF($BX491&lt;&gt;Constants!$B$6,"",IF($BL491="-&gt;",$BR491,$BG491)+$CA491))</f>
        <v/>
      </c>
      <c r="CW491" s="104" t="str">
        <f aca="false">IF(ISBLANK($C491),"",IF($BX491&lt;&gt;Constants!$B$6,$BX491,$CC491))</f>
        <v/>
      </c>
      <c r="CX491" s="105" t="str">
        <f aca="false">IF(ISBLANK($C491),"",$BY491)</f>
        <v/>
      </c>
      <c r="CY491" s="106" t="str">
        <f aca="false">IF(ISBLANK($C491),"",$CN491)</f>
        <v/>
      </c>
      <c r="CZ491" s="106" t="str">
        <f aca="false">IF(ISBLANK($C491),"",$CM491)</f>
        <v/>
      </c>
      <c r="DA491" s="107" t="str">
        <f aca="false">IF(ISBLANK($C491),"",IFERROR(_xlfn.SWITCH($CZ491,Constants!$B$9,COUNTA($C$9:$C$508)+2,Constants!$B$8,COUNTA($C$9:$C$508)+1,Constants!$B$7,COUNTA($C$9:$C$508)),$CZ491))</f>
        <v/>
      </c>
      <c r="DB491" s="9"/>
      <c r="DC491" s="108" t="n">
        <f aca="false">IF(OR(ISNUMBER($CZ491),$CZ491=Constants!$B$9,$CZ491=Constants!$B$7,$CZ491=Constants!$B$8),1,0)</f>
        <v>0</v>
      </c>
      <c r="DD491" s="108" t="n">
        <v>483</v>
      </c>
      <c r="DE491" s="108" t="str">
        <f aca="false">IF(ISBLANK($C491),"",IF(ISNUMBER($DA491),$DA491+ROW($B491)/1000,""))</f>
        <v/>
      </c>
      <c r="DF491" s="108" t="str">
        <f aca="false">IF(ISNUMBER($DE491),RANK($DE491,$DE$9:$DE$508,1),"")</f>
        <v/>
      </c>
      <c r="DG491" s="108" t="str">
        <f aca="false">IF(ISBLANK($C491),"",$B491)</f>
        <v/>
      </c>
      <c r="DH491" s="108" t="str">
        <f aca="false">IF(ISBLANK($C491),"",$C491)</f>
        <v/>
      </c>
      <c r="DI491" s="108" t="str">
        <f aca="false">IF(ISBLANK($C491),"",$D491)</f>
        <v/>
      </c>
      <c r="DJ491" s="109" t="str">
        <f aca="false">$CX491</f>
        <v/>
      </c>
      <c r="DK491" s="110" t="str">
        <f aca="false">$CW491</f>
        <v/>
      </c>
      <c r="DL491" s="108" t="str">
        <f aca="false">IF(ISBLANK($C491),"",$CZ491)</f>
        <v/>
      </c>
      <c r="DM491" s="111" t="str">
        <f aca="false">IF($DD491&gt;$DC$8,"",VLOOKUP($DD491,$DF$9:$DL$508,7,FALSE()))</f>
        <v/>
      </c>
      <c r="DN491" s="112" t="str">
        <f aca="false">IF($DD491&gt;$DC$8,"",VLOOKUP($DD491,$DF$9:$DL$508,2,FALSE()))</f>
        <v/>
      </c>
      <c r="DO491" s="112" t="str">
        <f aca="false">IF($DD491&gt;$DC$8,"",VLOOKUP($DD491,$DF$9:$DL$508,3,FALSE()))</f>
        <v/>
      </c>
      <c r="DP491" s="112" t="str">
        <f aca="false">IF($DD491&gt;$DC$8,"",VLOOKUP($DD491,$DF$9:$DL$508,4,FALSE()))</f>
        <v/>
      </c>
      <c r="DQ491" s="112" t="str">
        <f aca="false">IF($DD491&gt;$DC$8,"",VLOOKUP($DD491,$DF$9:$DL$508,5,FALSE()))</f>
        <v/>
      </c>
      <c r="DR491" s="113" t="str">
        <f aca="false">IF($DD491&gt;$DC$8,"",VLOOKUP($DD491,$DF$9:$DL$508,6,FALSE()))</f>
        <v/>
      </c>
      <c r="DS491" s="76"/>
    </row>
    <row r="492" customFormat="false" ht="15.75" hidden="false" customHeight="false" outlineLevel="0" collapsed="false">
      <c r="A492" s="9"/>
      <c r="B492" s="160"/>
      <c r="C492" s="161"/>
      <c r="D492" s="162"/>
      <c r="E492" s="180"/>
      <c r="F492" s="164"/>
      <c r="G492" s="165"/>
      <c r="H492" s="165"/>
      <c r="I492" s="181"/>
      <c r="J492" s="168"/>
      <c r="K492" s="128"/>
      <c r="L492" s="129"/>
      <c r="M492" s="130"/>
      <c r="N492" s="168"/>
      <c r="O492" s="168"/>
      <c r="P492" s="180"/>
      <c r="Q492" s="168"/>
      <c r="R492" s="168"/>
      <c r="S492" s="128"/>
      <c r="T492" s="130"/>
      <c r="U492" s="130"/>
      <c r="V492" s="168"/>
      <c r="W492" s="168"/>
      <c r="X492" s="180"/>
      <c r="Y492" s="168"/>
      <c r="Z492" s="169"/>
      <c r="AA492" s="168"/>
      <c r="AB492" s="134"/>
      <c r="AC492" s="135"/>
      <c r="AD492" s="135"/>
      <c r="AE492" s="135"/>
      <c r="AF492" s="135" t="str">
        <f aca="false">IF(ISBLANK($C492),"",IF(E492=Constants!$B$2,TRUE(),IF(E492=Constants!$B$3,FALSE(),TRUE())))</f>
        <v/>
      </c>
      <c r="AG492" s="135" t="str">
        <f aca="false">IF(ISBLANK($C492),"",IF(F492=Constants!$B$2,TRUE(),IF(F492=Constants!$B$3,FALSE(),TRUE())))</f>
        <v/>
      </c>
      <c r="AH492" s="135" t="str">
        <f aca="false">IF(ISBLANK($C492),"",IF(G492=Constants!$B$2,TRUE(),IF(G492=Constants!$B$3,FALSE(),TRUE())))</f>
        <v/>
      </c>
      <c r="AI492" s="135" t="str">
        <f aca="false">IF(ISBLANK($C492),"",IF(AND(ISNUMBER(H492),H492&gt;=0),H492,Constants!$B$24))</f>
        <v/>
      </c>
      <c r="AJ492" s="135" t="str">
        <f aca="false">IF(ISBLANK($C492),"",IF(I492=Constants!$B$2,TRUE(),IF(I492=Constants!$B$3,FALSE(),TRUE())))</f>
        <v/>
      </c>
      <c r="AK492" s="135" t="str">
        <f aca="false">IF(ISBLANK($C492),"",IF(J492=Constants!$B$2,TRUE(),IF(J492=Constants!$B$3,FALSE(),TRUE())))</f>
        <v/>
      </c>
      <c r="AL492" s="135" t="str">
        <f aca="false">IF(ISBLANK($C492),"",IF(K492=Constants!$B$4,TRUE(),IF(K492=Constants!$B$5,FALSE(),COUNTA(L492:P492)&gt;0)))</f>
        <v/>
      </c>
      <c r="AM492" s="136" t="str">
        <f aca="false">IF(ISBLANK($C492),"",IF(ISNUMBER(L492),IF(L492&gt;=0,L492,""),""))</f>
        <v/>
      </c>
      <c r="AN492" s="137" t="str">
        <f aca="false">IF(ISBLANK($C492),"",IF(ISNUMBER(M492),IF(M492&gt;=0,M492,""),""))</f>
        <v/>
      </c>
      <c r="AO492" s="137" t="str">
        <f aca="false">IF(ISBLANK($C492),"",IF(N492=Constants!$B$2,TRUE(),IF(N492=Constants!$B$3,FALSE(),TRUE())))</f>
        <v/>
      </c>
      <c r="AP492" s="135" t="str">
        <f aca="false">IF(ISBLANK($C492),"",IF(ISNUMBER(O492),IF(O492&gt;=0,O492,""),""))</f>
        <v/>
      </c>
      <c r="AQ492" s="135" t="str">
        <f aca="false">IF(ISBLANK($C492),"",IF(P492=Constants!$B$2,TRUE(),IF(P492=Constants!$B$3,FALSE(),FALSE())))</f>
        <v/>
      </c>
      <c r="AR492" s="135" t="str">
        <f aca="false">IF(ISBLANK($C492),"",IF(Q492=Constants!$B$2,TRUE(),IF(Q492=Constants!$B$3,FALSE(),TRUE())))</f>
        <v/>
      </c>
      <c r="AS492" s="135" t="str">
        <f aca="false">IF(ISBLANK($C492),"",IF(R492=Constants!$B$2,TRUE(),IF(R492=Constants!$B$3,FALSE(),TRUE())))</f>
        <v/>
      </c>
      <c r="AT492" s="135" t="str">
        <f aca="false">IF(ISBLANK($C492),"",IF(S492=Constants!$B$4,TRUE(),IF(S492=Constants!$B$5,FALSE(),COUNTA(T492:X492)&gt;0)))</f>
        <v/>
      </c>
      <c r="AU492" s="136" t="str">
        <f aca="false">IF(ISBLANK($C492),"",IF(ISNUMBER(T492),IF(T492&gt;=0,T492,""),""))</f>
        <v/>
      </c>
      <c r="AV492" s="137" t="str">
        <f aca="false">IF(ISBLANK($C492),"",IF(ISNUMBER(U492),IF(U492&gt;=0,U492,""),""))</f>
        <v/>
      </c>
      <c r="AW492" s="137" t="str">
        <f aca="false">IF(ISBLANK($C492),"",IF(V492=Constants!$B$2,TRUE(),IF(V492=Constants!$B$3,FALSE(),TRUE())))</f>
        <v/>
      </c>
      <c r="AX492" s="135" t="str">
        <f aca="false">IF(ISBLANK($C492),"",IF(ISNUMBER(W492),IF(W492&gt;=0,W492,""),""))</f>
        <v/>
      </c>
      <c r="AY492" s="135" t="str">
        <f aca="false">IF(ISBLANK($C492),"",IF(X492=Constants!$B$2,TRUE(),IF(X492=Constants!$B$3,FALSE(),FALSE())))</f>
        <v/>
      </c>
      <c r="AZ492" s="135" t="str">
        <f aca="false">IF(ISBLANK($C492),"",MIN(Constants!$B$25,MAX(0,IF(ISNUMBER(Y492),Y492*60,0)+IF(ISNUMBER(Z492),Z492,0))))</f>
        <v/>
      </c>
      <c r="BA492" s="135" t="str">
        <f aca="false">IF(ISBLANK($C492),"",IF(AA492=Constants!$B$2,TRUE(),IF(AA492=Constants!$B$3,FALSE(),FALSE())))</f>
        <v/>
      </c>
      <c r="BB492" s="134" t="str">
        <f aca="false">IF(ISBLANK($C492),"",AND($AL492,OR($AM492="",$AN492="",AND($AO492,$AP492=""))))</f>
        <v/>
      </c>
      <c r="BC492" s="137" t="str">
        <f aca="false">IF($BX492&lt;&gt;Constants!$B$6,"",IF($AL492,Constants!$B$17*$AN492+Constants!$B$18*IF($AO492,$AP492,Constants!$B$19),Constants!$B$20))</f>
        <v/>
      </c>
      <c r="BD492" s="138" t="str">
        <f aca="false">IF($BX492&lt;&gt;Constants!$B$6,"",Constants!$B$21*ABS($AD$9-IF($AL492,$AM492,0)))</f>
        <v/>
      </c>
      <c r="BE492" s="138" t="str">
        <f aca="false">IF($BX492&lt;&gt;Constants!$B$6,"",IF(AND($AL492,$AQ492,$AO492),Constants!$B$22,0))</f>
        <v/>
      </c>
      <c r="BF492" s="138" t="str">
        <f aca="false">IF($BX492&lt;&gt;Constants!$B$6,"",IF($AL492,($AI492-Constants!$B$24)*Constants!$B$23,0))</f>
        <v/>
      </c>
      <c r="BG492" s="138" t="str">
        <f aca="false">IF($BX492&lt;&gt;Constants!$B$6,"",IF($AK492,0,Constants!$B$12)+IF($AJ492,0,Constants!$B$13)+IF($AH492,0,Constants!$B$14))</f>
        <v/>
      </c>
      <c r="BH492" s="139" t="str">
        <f aca="false">IF($BX492&lt;&gt;Constants!$B$6,"",Constants!$B$16+SUM($BC492:$BG492))</f>
        <v/>
      </c>
      <c r="BI492" s="138" t="str">
        <f aca="false">IF($BX492&lt;&gt;Constants!$B$6,"",$BC492)</f>
        <v/>
      </c>
      <c r="BJ492" s="138" t="str">
        <f aca="false">IF($BX492&lt;&gt;Constants!$B$6,"",$BD492)</f>
        <v/>
      </c>
      <c r="BK492" s="140" t="str">
        <f aca="false">IF($BX492&lt;&gt;Constants!$B$6,"",IF($AL492,$AN492,""))</f>
        <v/>
      </c>
      <c r="BL492" s="135" t="str">
        <f aca="false">IF($BX492&lt;&gt;Constants!$B$6,"",IF(OR($BS492&lt;$BH492,AND($BS492=$BH492,OR($BT492&lt;$BI492,AND($BT492=$BI492,OR($BU492&lt;$BJ492,AND($BU492=$BJ492,AND(ISNUMBER($BV492),OR(NOT(ISNUMBER($BK492)),$BV492&lt;$BK492)))))))),"-&gt;","&lt;-"))</f>
        <v/>
      </c>
      <c r="BM492" s="134" t="str">
        <f aca="false">IF(ISBLANK($C492),"",AND($AT492,OR($AU492="",$AV492="",AND($AW492,$AX492=""))))</f>
        <v/>
      </c>
      <c r="BN492" s="137" t="str">
        <f aca="false">IF($BX492&lt;&gt;Constants!$B$6,"",IF($AT492,Constants!$B$17*$AV492+Constants!$B$18*IF($AW492,$AX492,Constants!$B$19),Constants!$B$20))</f>
        <v/>
      </c>
      <c r="BO492" s="138" t="str">
        <f aca="false">IF($BX492&lt;&gt;Constants!$B$6,"",Constants!$B$21*ABS($AD$9-IF($AT492,$AU492,0)))</f>
        <v/>
      </c>
      <c r="BP492" s="138" t="str">
        <f aca="false">IF($BX492&lt;&gt;Constants!$B$6,"",IF(AND($AT492,$AY492,$AW492),Constants!$B$22,0))</f>
        <v/>
      </c>
      <c r="BQ492" s="138" t="str">
        <f aca="false">IF($BX492&lt;&gt;Constants!$B$6,"",IF($AT492,($AI492-Constants!$B$24)*Constants!$B$23,0))</f>
        <v/>
      </c>
      <c r="BR492" s="138" t="str">
        <f aca="false">IF($BX492&lt;&gt;Constants!$B$6,"",IF($AS492,0,Constants!$B$12)+IF($AR492,0,Constants!$B$13)+IF($AH492,0,Constants!$B$14))</f>
        <v/>
      </c>
      <c r="BS492" s="139" t="str">
        <f aca="false">IF($BX492&lt;&gt;Constants!$B$6,"",Constants!$B$16+SUM($BN492:$BR492))</f>
        <v/>
      </c>
      <c r="BT492" s="138" t="str">
        <f aca="false">IF($BX492&lt;&gt;Constants!$B$6,"",$BN492)</f>
        <v/>
      </c>
      <c r="BU492" s="138" t="str">
        <f aca="false">IF($BX492&lt;&gt;Constants!$B$6,"",$BO492)</f>
        <v/>
      </c>
      <c r="BV492" s="140" t="str">
        <f aca="false">IF($BX492&lt;&gt;Constants!$B$6,"",IF($AT492,$AV492,""))</f>
        <v/>
      </c>
      <c r="BW492" s="135" t="str">
        <f aca="false">IF(ISBLANK($C492),"",IF(ISBLANK($D$7),$BW$5,IF(NOT(ISNUMBER($D$7)),$BW$6,"")))</f>
        <v/>
      </c>
      <c r="BX492" s="135" t="str">
        <f aca="false">IF(ISBLANK($C492),"",IF($BA492,Constants!$B$9,IF(COUNTA($E492:$AA492)=0,Constants!$B$8,IF(NOT($AG492),Constants!$B$7,IF(OR($BW492&lt;&gt;"",$BB492,$BM492),Constants!$B$10,Constants!$B$6)))))</f>
        <v/>
      </c>
      <c r="BY492" s="135" t="str">
        <f aca="false">IF(ISBLANK($C492),"",IF($BX492&lt;&gt;Constants!$B$6,$BX492,Constants!$B$11))</f>
        <v/>
      </c>
      <c r="BZ492" s="138" t="str">
        <f aca="false">IF($BX492&lt;&gt;Constants!$B$6,"",IF($BL492="-&gt;",$BS492,$BH492))</f>
        <v/>
      </c>
      <c r="CA492" s="138" t="str">
        <f aca="false">IF($BX492&lt;&gt;Constants!$B$6,"",IF($AF492,0,Constants!$B$15))</f>
        <v/>
      </c>
      <c r="CB492" s="138" t="str">
        <f aca="false">IF($BX492&lt;&gt;Constants!$B$6,"",((Constants!$B$25-$AZ492)-Constants!$B$25)/Constants!$B$26)</f>
        <v/>
      </c>
      <c r="CC492" s="138" t="str">
        <f aca="false">IF(ISBLANK($C492),"",IF($BX492&lt;&gt;Constants!$B$6,$BX492,SUM($BZ492:$CB492)))</f>
        <v/>
      </c>
      <c r="CD492" s="135" t="str">
        <f aca="false">IF(ISBLANK($C492),"",IF($BX492&lt;&gt;Constants!$B$6,$BX492,RANK($CC492,$CC$9:$CC$508,1)))</f>
        <v/>
      </c>
      <c r="CE492" s="138" t="str">
        <f aca="false">IF($BX492&lt;&gt;Constants!$B$6,"",IF($BL492="-&gt;",$BT492,$BI492))</f>
        <v/>
      </c>
      <c r="CF492" s="135" t="str">
        <f aca="false">IF(ISBLANK($C492),"",IF($BX492&lt;&gt;Constants!$B$6,$BX492,IF(ISNUMBER($CE492),RANK($CE492,$CE$9:$CE$508,1),COUNT($CE$9:$CE$508)+1)))</f>
        <v/>
      </c>
      <c r="CG492" s="138" t="str">
        <f aca="false">IF($BX492&lt;&gt;Constants!$B$6,"",IF($BL492="-&gt;",$BU492,$BJ492))</f>
        <v/>
      </c>
      <c r="CH492" s="135" t="str">
        <f aca="false">IF(ISBLANK($C492),"",IF($BX492&lt;&gt;Constants!$B$6,$BX492,IF(ISNUMBER($CG492),RANK($CG492,$CG$9:$CG$508,1),COUNT($CG$9:$CG$508)+1)))</f>
        <v/>
      </c>
      <c r="CI492" s="138" t="str">
        <f aca="false">IF($BX492&lt;&gt;Constants!$B$6,"",IF($BL492="-&gt;",$BV492,$BK492))</f>
        <v/>
      </c>
      <c r="CJ492" s="135" t="str">
        <f aca="false">IF(ISBLANK($C492),"",IF($BX492&lt;&gt;Constants!$B$6,$BX492,IF(ISNUMBER($CI492),RANK($CI492,$CI$9:$CI$508,1),COUNT($CI$9:$CI$508)+1)))</f>
        <v/>
      </c>
      <c r="CK492" s="138" t="str">
        <f aca="false">IF($BX492&lt;&gt;Constants!$B$6,"",$AI492)</f>
        <v/>
      </c>
      <c r="CL492" s="135" t="str">
        <f aca="false">IF(ISBLANK($C492),"",IF($BX492&lt;&gt;Constants!$B$6,$BX492,IF(ISNUMBER($CK492),RANK($CK492,$CK$9:$CK$508,1),COUNT($CK$9:$CK$508)+1)))</f>
        <v/>
      </c>
      <c r="CM492" s="135" t="str">
        <f aca="false">IF(ISBLANK($C492),"",IF($BX492&lt;&gt;Constants!$B$6,$BX492,COUNTIFS($CD$9:$CD$508,"&lt;"&amp;$CD492)+COUNTIFS($CD$9:$CD$508,$CD492,$CF$9:$CF$508,"&lt;"&amp;$CF492)+COUNTIFS($CD$9:$CD$508,$CD492,$CF$9:$CF$508,$CF492,$CH$9:$CH$508,"&lt;"&amp;$CH492)+COUNTIFS($CD$9:$CD$508,$CD492,$CF$9:$CF$508,$CF492,$CH$9:$CH$508,$CH492,$CJ$9:$CJ$508,"&lt;"&amp;$CJ492)+COUNTIFS($CD$9:$CD$508,$CD492,$CF$9:$CF$508,$CF492,$CH$9:$CH$508,$CH492,$CJ$9:$CJ$508,$CJ492,$CL$9:$CL$508,"&lt;"&amp;$CL492)+1))</f>
        <v/>
      </c>
      <c r="CN492" s="135" t="str">
        <f aca="false">IF(ISBLANK($C492),"",IF($BX492&lt;&gt;Constants!$B$6,$BX492,$CD492-$CM492))</f>
        <v/>
      </c>
      <c r="CO492" s="141"/>
      <c r="CP492" s="142"/>
      <c r="CQ492" s="143" t="str">
        <f aca="false">IF(ISBLANK($C492),"",IF($BX492=Constants!$B$10,$BW492,""))</f>
        <v/>
      </c>
      <c r="CR492" s="142" t="str">
        <f aca="false">IF(ISBLANK($C492),"",IF($BX492&lt;&gt;Constants!$B$6,"",IF($BL492="-&gt;",2,1)))</f>
        <v/>
      </c>
      <c r="CS492" s="144" t="str">
        <f aca="false">IF(ISBLANK($C492),"",IF($BX492&lt;&gt;Constants!$B$6,"",IF($BL492="-&gt;",$BN492,$BC492)))</f>
        <v/>
      </c>
      <c r="CT492" s="144" t="str">
        <f aca="false">IF(ISBLANK($C492),"",IF($BX492&lt;&gt;Constants!$B$6,"",IF($BL492="-&gt;",$BO492,$BD492)))</f>
        <v/>
      </c>
      <c r="CU492" s="144" t="str">
        <f aca="false">IF(ISBLANK($C492),"",IF($BX492&lt;&gt;Constants!$B$6,"",IF($BL492="-&gt;",$BP492+$BQ492,$BE492+$BF492)+$CB492))</f>
        <v/>
      </c>
      <c r="CV492" s="144" t="str">
        <f aca="false">IF(ISBLANK($C492),"",IF($BX492&lt;&gt;Constants!$B$6,"",IF($BL492="-&gt;",$BR492,$BG492)+$CA492))</f>
        <v/>
      </c>
      <c r="CW492" s="145" t="str">
        <f aca="false">IF(ISBLANK($C492),"",IF($BX492&lt;&gt;Constants!$B$6,$BX492,$CC492))</f>
        <v/>
      </c>
      <c r="CX492" s="146" t="str">
        <f aca="false">IF(ISBLANK($C492),"",$BY492)</f>
        <v/>
      </c>
      <c r="CY492" s="147" t="str">
        <f aca="false">IF(ISBLANK($C492),"",$CN492)</f>
        <v/>
      </c>
      <c r="CZ492" s="147" t="str">
        <f aca="false">IF(ISBLANK($C492),"",$CM492)</f>
        <v/>
      </c>
      <c r="DA492" s="148" t="str">
        <f aca="false">IF(ISBLANK($C492),"",IFERROR(_xlfn.SWITCH($CZ492,Constants!$B$9,COUNTA($C$9:$C$508)+2,Constants!$B$8,COUNTA($C$9:$C$508)+1,Constants!$B$7,COUNTA($C$9:$C$508)),$CZ492))</f>
        <v/>
      </c>
      <c r="DB492" s="9"/>
      <c r="DC492" s="149" t="n">
        <f aca="false">IF(OR(ISNUMBER($CZ492),$CZ492=Constants!$B$9,$CZ492=Constants!$B$7,$CZ492=Constants!$B$8),1,0)</f>
        <v>0</v>
      </c>
      <c r="DD492" s="149" t="n">
        <v>484</v>
      </c>
      <c r="DE492" s="149" t="str">
        <f aca="false">IF(ISBLANK($C492),"",IF(ISNUMBER($DA492),$DA492+ROW($B492)/1000,""))</f>
        <v/>
      </c>
      <c r="DF492" s="149" t="str">
        <f aca="false">IF(ISNUMBER($DE492),RANK($DE492,$DE$9:$DE$508,1),"")</f>
        <v/>
      </c>
      <c r="DG492" s="149" t="str">
        <f aca="false">IF(ISBLANK($C492),"",$B492)</f>
        <v/>
      </c>
      <c r="DH492" s="149" t="str">
        <f aca="false">IF(ISBLANK($C492),"",$C492)</f>
        <v/>
      </c>
      <c r="DI492" s="149" t="str">
        <f aca="false">IF(ISBLANK($C492),"",$D492)</f>
        <v/>
      </c>
      <c r="DJ492" s="150" t="str">
        <f aca="false">$CX492</f>
        <v/>
      </c>
      <c r="DK492" s="151" t="str">
        <f aca="false">$CW492</f>
        <v/>
      </c>
      <c r="DL492" s="149" t="str">
        <f aca="false">IF(ISBLANK($C492),"",$CZ492)</f>
        <v/>
      </c>
      <c r="DM492" s="152" t="str">
        <f aca="false">IF($DD492&gt;$DC$8,"",VLOOKUP($DD492,$DF$9:$DL$508,7,FALSE()))</f>
        <v/>
      </c>
      <c r="DN492" s="153" t="str">
        <f aca="false">IF($DD492&gt;$DC$8,"",VLOOKUP($DD492,$DF$9:$DL$508,2,FALSE()))</f>
        <v/>
      </c>
      <c r="DO492" s="153" t="str">
        <f aca="false">IF($DD492&gt;$DC$8,"",VLOOKUP($DD492,$DF$9:$DL$508,3,FALSE()))</f>
        <v/>
      </c>
      <c r="DP492" s="153" t="str">
        <f aca="false">IF($DD492&gt;$DC$8,"",VLOOKUP($DD492,$DF$9:$DL$508,4,FALSE()))</f>
        <v/>
      </c>
      <c r="DQ492" s="153" t="str">
        <f aca="false">IF($DD492&gt;$DC$8,"",VLOOKUP($DD492,$DF$9:$DL$508,5,FALSE()))</f>
        <v/>
      </c>
      <c r="DR492" s="154" t="str">
        <f aca="false">IF($DD492&gt;$DC$8,"",VLOOKUP($DD492,$DF$9:$DL$508,6,FALSE()))</f>
        <v/>
      </c>
      <c r="DS492" s="76"/>
    </row>
    <row r="493" customFormat="false" ht="15.75" hidden="false" customHeight="false" outlineLevel="0" collapsed="false">
      <c r="A493" s="9"/>
      <c r="B493" s="160"/>
      <c r="C493" s="161"/>
      <c r="D493" s="162"/>
      <c r="E493" s="180"/>
      <c r="F493" s="164"/>
      <c r="G493" s="165"/>
      <c r="H493" s="165"/>
      <c r="I493" s="181"/>
      <c r="J493" s="168"/>
      <c r="K493" s="128"/>
      <c r="L493" s="129"/>
      <c r="M493" s="130"/>
      <c r="N493" s="168"/>
      <c r="O493" s="168"/>
      <c r="P493" s="180"/>
      <c r="Q493" s="168"/>
      <c r="R493" s="168"/>
      <c r="S493" s="128"/>
      <c r="T493" s="130"/>
      <c r="U493" s="130"/>
      <c r="V493" s="168"/>
      <c r="W493" s="168"/>
      <c r="X493" s="180"/>
      <c r="Y493" s="168"/>
      <c r="Z493" s="169"/>
      <c r="AA493" s="168"/>
      <c r="AB493" s="134"/>
      <c r="AC493" s="135"/>
      <c r="AD493" s="135"/>
      <c r="AE493" s="135"/>
      <c r="AF493" s="135" t="str">
        <f aca="false">IF(ISBLANK($C493),"",IF(E493=Constants!$B$2,TRUE(),IF(E493=Constants!$B$3,FALSE(),TRUE())))</f>
        <v/>
      </c>
      <c r="AG493" s="135" t="str">
        <f aca="false">IF(ISBLANK($C493),"",IF(F493=Constants!$B$2,TRUE(),IF(F493=Constants!$B$3,FALSE(),TRUE())))</f>
        <v/>
      </c>
      <c r="AH493" s="135" t="str">
        <f aca="false">IF(ISBLANK($C493),"",IF(G493=Constants!$B$2,TRUE(),IF(G493=Constants!$B$3,FALSE(),TRUE())))</f>
        <v/>
      </c>
      <c r="AI493" s="135" t="str">
        <f aca="false">IF(ISBLANK($C493),"",IF(AND(ISNUMBER(H493),H493&gt;=0),H493,Constants!$B$24))</f>
        <v/>
      </c>
      <c r="AJ493" s="135" t="str">
        <f aca="false">IF(ISBLANK($C493),"",IF(I493=Constants!$B$2,TRUE(),IF(I493=Constants!$B$3,FALSE(),TRUE())))</f>
        <v/>
      </c>
      <c r="AK493" s="135" t="str">
        <f aca="false">IF(ISBLANK($C493),"",IF(J493=Constants!$B$2,TRUE(),IF(J493=Constants!$B$3,FALSE(),TRUE())))</f>
        <v/>
      </c>
      <c r="AL493" s="135" t="str">
        <f aca="false">IF(ISBLANK($C493),"",IF(K493=Constants!$B$4,TRUE(),IF(K493=Constants!$B$5,FALSE(),COUNTA(L493:P493)&gt;0)))</f>
        <v/>
      </c>
      <c r="AM493" s="136" t="str">
        <f aca="false">IF(ISBLANK($C493),"",IF(ISNUMBER(L493),IF(L493&gt;=0,L493,""),""))</f>
        <v/>
      </c>
      <c r="AN493" s="137" t="str">
        <f aca="false">IF(ISBLANK($C493),"",IF(ISNUMBER(M493),IF(M493&gt;=0,M493,""),""))</f>
        <v/>
      </c>
      <c r="AO493" s="137" t="str">
        <f aca="false">IF(ISBLANK($C493),"",IF(N493=Constants!$B$2,TRUE(),IF(N493=Constants!$B$3,FALSE(),TRUE())))</f>
        <v/>
      </c>
      <c r="AP493" s="135" t="str">
        <f aca="false">IF(ISBLANK($C493),"",IF(ISNUMBER(O493),IF(O493&gt;=0,O493,""),""))</f>
        <v/>
      </c>
      <c r="AQ493" s="135" t="str">
        <f aca="false">IF(ISBLANK($C493),"",IF(P493=Constants!$B$2,TRUE(),IF(P493=Constants!$B$3,FALSE(),FALSE())))</f>
        <v/>
      </c>
      <c r="AR493" s="135" t="str">
        <f aca="false">IF(ISBLANK($C493),"",IF(Q493=Constants!$B$2,TRUE(),IF(Q493=Constants!$B$3,FALSE(),TRUE())))</f>
        <v/>
      </c>
      <c r="AS493" s="135" t="str">
        <f aca="false">IF(ISBLANK($C493),"",IF(R493=Constants!$B$2,TRUE(),IF(R493=Constants!$B$3,FALSE(),TRUE())))</f>
        <v/>
      </c>
      <c r="AT493" s="135" t="str">
        <f aca="false">IF(ISBLANK($C493),"",IF(S493=Constants!$B$4,TRUE(),IF(S493=Constants!$B$5,FALSE(),COUNTA(T493:X493)&gt;0)))</f>
        <v/>
      </c>
      <c r="AU493" s="136" t="str">
        <f aca="false">IF(ISBLANK($C493),"",IF(ISNUMBER(T493),IF(T493&gt;=0,T493,""),""))</f>
        <v/>
      </c>
      <c r="AV493" s="137" t="str">
        <f aca="false">IF(ISBLANK($C493),"",IF(ISNUMBER(U493),IF(U493&gt;=0,U493,""),""))</f>
        <v/>
      </c>
      <c r="AW493" s="137" t="str">
        <f aca="false">IF(ISBLANK($C493),"",IF(V493=Constants!$B$2,TRUE(),IF(V493=Constants!$B$3,FALSE(),TRUE())))</f>
        <v/>
      </c>
      <c r="AX493" s="135" t="str">
        <f aca="false">IF(ISBLANK($C493),"",IF(ISNUMBER(W493),IF(W493&gt;=0,W493,""),""))</f>
        <v/>
      </c>
      <c r="AY493" s="135" t="str">
        <f aca="false">IF(ISBLANK($C493),"",IF(X493=Constants!$B$2,TRUE(),IF(X493=Constants!$B$3,FALSE(),FALSE())))</f>
        <v/>
      </c>
      <c r="AZ493" s="135" t="str">
        <f aca="false">IF(ISBLANK($C493),"",MIN(Constants!$B$25,MAX(0,IF(ISNUMBER(Y493),Y493*60,0)+IF(ISNUMBER(Z493),Z493,0))))</f>
        <v/>
      </c>
      <c r="BA493" s="135" t="str">
        <f aca="false">IF(ISBLANK($C493),"",IF(AA493=Constants!$B$2,TRUE(),IF(AA493=Constants!$B$3,FALSE(),FALSE())))</f>
        <v/>
      </c>
      <c r="BB493" s="134" t="str">
        <f aca="false">IF(ISBLANK($C493),"",AND($AL493,OR($AM493="",$AN493="",AND($AO493,$AP493=""))))</f>
        <v/>
      </c>
      <c r="BC493" s="137" t="str">
        <f aca="false">IF($BX493&lt;&gt;Constants!$B$6,"",IF($AL493,Constants!$B$17*$AN493+Constants!$B$18*IF($AO493,$AP493,Constants!$B$19),Constants!$B$20))</f>
        <v/>
      </c>
      <c r="BD493" s="138" t="str">
        <f aca="false">IF($BX493&lt;&gt;Constants!$B$6,"",Constants!$B$21*ABS($AD$9-IF($AL493,$AM493,0)))</f>
        <v/>
      </c>
      <c r="BE493" s="138" t="str">
        <f aca="false">IF($BX493&lt;&gt;Constants!$B$6,"",IF(AND($AL493,$AQ493,$AO493),Constants!$B$22,0))</f>
        <v/>
      </c>
      <c r="BF493" s="138" t="str">
        <f aca="false">IF($BX493&lt;&gt;Constants!$B$6,"",IF($AL493,($AI493-Constants!$B$24)*Constants!$B$23,0))</f>
        <v/>
      </c>
      <c r="BG493" s="138" t="str">
        <f aca="false">IF($BX493&lt;&gt;Constants!$B$6,"",IF($AK493,0,Constants!$B$12)+IF($AJ493,0,Constants!$B$13)+IF($AH493,0,Constants!$B$14))</f>
        <v/>
      </c>
      <c r="BH493" s="139" t="str">
        <f aca="false">IF($BX493&lt;&gt;Constants!$B$6,"",Constants!$B$16+SUM($BC493:$BG493))</f>
        <v/>
      </c>
      <c r="BI493" s="138" t="str">
        <f aca="false">IF($BX493&lt;&gt;Constants!$B$6,"",$BC493)</f>
        <v/>
      </c>
      <c r="BJ493" s="138" t="str">
        <f aca="false">IF($BX493&lt;&gt;Constants!$B$6,"",$BD493)</f>
        <v/>
      </c>
      <c r="BK493" s="140" t="str">
        <f aca="false">IF($BX493&lt;&gt;Constants!$B$6,"",IF($AL493,$AN493,""))</f>
        <v/>
      </c>
      <c r="BL493" s="135" t="str">
        <f aca="false">IF($BX493&lt;&gt;Constants!$B$6,"",IF(OR($BS493&lt;$BH493,AND($BS493=$BH493,OR($BT493&lt;$BI493,AND($BT493=$BI493,OR($BU493&lt;$BJ493,AND($BU493=$BJ493,AND(ISNUMBER($BV493),OR(NOT(ISNUMBER($BK493)),$BV493&lt;$BK493)))))))),"-&gt;","&lt;-"))</f>
        <v/>
      </c>
      <c r="BM493" s="134" t="str">
        <f aca="false">IF(ISBLANK($C493),"",AND($AT493,OR($AU493="",$AV493="",AND($AW493,$AX493=""))))</f>
        <v/>
      </c>
      <c r="BN493" s="137" t="str">
        <f aca="false">IF($BX493&lt;&gt;Constants!$B$6,"",IF($AT493,Constants!$B$17*$AV493+Constants!$B$18*IF($AW493,$AX493,Constants!$B$19),Constants!$B$20))</f>
        <v/>
      </c>
      <c r="BO493" s="138" t="str">
        <f aca="false">IF($BX493&lt;&gt;Constants!$B$6,"",Constants!$B$21*ABS($AD$9-IF($AT493,$AU493,0)))</f>
        <v/>
      </c>
      <c r="BP493" s="138" t="str">
        <f aca="false">IF($BX493&lt;&gt;Constants!$B$6,"",IF(AND($AT493,$AY493,$AW493),Constants!$B$22,0))</f>
        <v/>
      </c>
      <c r="BQ493" s="138" t="str">
        <f aca="false">IF($BX493&lt;&gt;Constants!$B$6,"",IF($AT493,($AI493-Constants!$B$24)*Constants!$B$23,0))</f>
        <v/>
      </c>
      <c r="BR493" s="138" t="str">
        <f aca="false">IF($BX493&lt;&gt;Constants!$B$6,"",IF($AS493,0,Constants!$B$12)+IF($AR493,0,Constants!$B$13)+IF($AH493,0,Constants!$B$14))</f>
        <v/>
      </c>
      <c r="BS493" s="139" t="str">
        <f aca="false">IF($BX493&lt;&gt;Constants!$B$6,"",Constants!$B$16+SUM($BN493:$BR493))</f>
        <v/>
      </c>
      <c r="BT493" s="138" t="str">
        <f aca="false">IF($BX493&lt;&gt;Constants!$B$6,"",$BN493)</f>
        <v/>
      </c>
      <c r="BU493" s="138" t="str">
        <f aca="false">IF($BX493&lt;&gt;Constants!$B$6,"",$BO493)</f>
        <v/>
      </c>
      <c r="BV493" s="140" t="str">
        <f aca="false">IF($BX493&lt;&gt;Constants!$B$6,"",IF($AT493,$AV493,""))</f>
        <v/>
      </c>
      <c r="BW493" s="135" t="str">
        <f aca="false">IF(ISBLANK($C493),"",IF(ISBLANK($D$7),$BW$5,IF(NOT(ISNUMBER($D$7)),$BW$6,"")))</f>
        <v/>
      </c>
      <c r="BX493" s="135" t="str">
        <f aca="false">IF(ISBLANK($C493),"",IF($BA493,Constants!$B$9,IF(COUNTA($E493:$AA493)=0,Constants!$B$8,IF(NOT($AG493),Constants!$B$7,IF(OR($BW493&lt;&gt;"",$BB493,$BM493),Constants!$B$10,Constants!$B$6)))))</f>
        <v/>
      </c>
      <c r="BY493" s="135" t="str">
        <f aca="false">IF(ISBLANK($C493),"",IF($BX493&lt;&gt;Constants!$B$6,$BX493,Constants!$B$11))</f>
        <v/>
      </c>
      <c r="BZ493" s="138" t="str">
        <f aca="false">IF($BX493&lt;&gt;Constants!$B$6,"",IF($BL493="-&gt;",$BS493,$BH493))</f>
        <v/>
      </c>
      <c r="CA493" s="138" t="str">
        <f aca="false">IF($BX493&lt;&gt;Constants!$B$6,"",IF($AF493,0,Constants!$B$15))</f>
        <v/>
      </c>
      <c r="CB493" s="138" t="str">
        <f aca="false">IF($BX493&lt;&gt;Constants!$B$6,"",((Constants!$B$25-$AZ493)-Constants!$B$25)/Constants!$B$26)</f>
        <v/>
      </c>
      <c r="CC493" s="138" t="str">
        <f aca="false">IF(ISBLANK($C493),"",IF($BX493&lt;&gt;Constants!$B$6,$BX493,SUM($BZ493:$CB493)))</f>
        <v/>
      </c>
      <c r="CD493" s="135" t="str">
        <f aca="false">IF(ISBLANK($C493),"",IF($BX493&lt;&gt;Constants!$B$6,$BX493,RANK($CC493,$CC$9:$CC$508,1)))</f>
        <v/>
      </c>
      <c r="CE493" s="138" t="str">
        <f aca="false">IF($BX493&lt;&gt;Constants!$B$6,"",IF($BL493="-&gt;",$BT493,$BI493))</f>
        <v/>
      </c>
      <c r="CF493" s="135" t="str">
        <f aca="false">IF(ISBLANK($C493),"",IF($BX493&lt;&gt;Constants!$B$6,$BX493,IF(ISNUMBER($CE493),RANK($CE493,$CE$9:$CE$508,1),COUNT($CE$9:$CE$508)+1)))</f>
        <v/>
      </c>
      <c r="CG493" s="138" t="str">
        <f aca="false">IF($BX493&lt;&gt;Constants!$B$6,"",IF($BL493="-&gt;",$BU493,$BJ493))</f>
        <v/>
      </c>
      <c r="CH493" s="135" t="str">
        <f aca="false">IF(ISBLANK($C493),"",IF($BX493&lt;&gt;Constants!$B$6,$BX493,IF(ISNUMBER($CG493),RANK($CG493,$CG$9:$CG$508,1),COUNT($CG$9:$CG$508)+1)))</f>
        <v/>
      </c>
      <c r="CI493" s="138" t="str">
        <f aca="false">IF($BX493&lt;&gt;Constants!$B$6,"",IF($BL493="-&gt;",$BV493,$BK493))</f>
        <v/>
      </c>
      <c r="CJ493" s="135" t="str">
        <f aca="false">IF(ISBLANK($C493),"",IF($BX493&lt;&gt;Constants!$B$6,$BX493,IF(ISNUMBER($CI493),RANK($CI493,$CI$9:$CI$508,1),COUNT($CI$9:$CI$508)+1)))</f>
        <v/>
      </c>
      <c r="CK493" s="138" t="str">
        <f aca="false">IF($BX493&lt;&gt;Constants!$B$6,"",$AI493)</f>
        <v/>
      </c>
      <c r="CL493" s="135" t="str">
        <f aca="false">IF(ISBLANK($C493),"",IF($BX493&lt;&gt;Constants!$B$6,$BX493,IF(ISNUMBER($CK493),RANK($CK493,$CK$9:$CK$508,1),COUNT($CK$9:$CK$508)+1)))</f>
        <v/>
      </c>
      <c r="CM493" s="135" t="str">
        <f aca="false">IF(ISBLANK($C493),"",IF($BX493&lt;&gt;Constants!$B$6,$BX493,COUNTIFS($CD$9:$CD$508,"&lt;"&amp;$CD493)+COUNTIFS($CD$9:$CD$508,$CD493,$CF$9:$CF$508,"&lt;"&amp;$CF493)+COUNTIFS($CD$9:$CD$508,$CD493,$CF$9:$CF$508,$CF493,$CH$9:$CH$508,"&lt;"&amp;$CH493)+COUNTIFS($CD$9:$CD$508,$CD493,$CF$9:$CF$508,$CF493,$CH$9:$CH$508,$CH493,$CJ$9:$CJ$508,"&lt;"&amp;$CJ493)+COUNTIFS($CD$9:$CD$508,$CD493,$CF$9:$CF$508,$CF493,$CH$9:$CH$508,$CH493,$CJ$9:$CJ$508,$CJ493,$CL$9:$CL$508,"&lt;"&amp;$CL493)+1))</f>
        <v/>
      </c>
      <c r="CN493" s="135" t="str">
        <f aca="false">IF(ISBLANK($C493),"",IF($BX493&lt;&gt;Constants!$B$6,$BX493,$CD493-$CM493))</f>
        <v/>
      </c>
      <c r="CO493" s="141"/>
      <c r="CP493" s="142"/>
      <c r="CQ493" s="143" t="str">
        <f aca="false">IF(ISBLANK($C493),"",IF($BX493=Constants!$B$10,$BW493,""))</f>
        <v/>
      </c>
      <c r="CR493" s="142" t="str">
        <f aca="false">IF(ISBLANK($C493),"",IF($BX493&lt;&gt;Constants!$B$6,"",IF($BL493="-&gt;",2,1)))</f>
        <v/>
      </c>
      <c r="CS493" s="144" t="str">
        <f aca="false">IF(ISBLANK($C493),"",IF($BX493&lt;&gt;Constants!$B$6,"",IF($BL493="-&gt;",$BN493,$BC493)))</f>
        <v/>
      </c>
      <c r="CT493" s="144" t="str">
        <f aca="false">IF(ISBLANK($C493),"",IF($BX493&lt;&gt;Constants!$B$6,"",IF($BL493="-&gt;",$BO493,$BD493)))</f>
        <v/>
      </c>
      <c r="CU493" s="144" t="str">
        <f aca="false">IF(ISBLANK($C493),"",IF($BX493&lt;&gt;Constants!$B$6,"",IF($BL493="-&gt;",$BP493+$BQ493,$BE493+$BF493)+$CB493))</f>
        <v/>
      </c>
      <c r="CV493" s="144" t="str">
        <f aca="false">IF(ISBLANK($C493),"",IF($BX493&lt;&gt;Constants!$B$6,"",IF($BL493="-&gt;",$BR493,$BG493)+$CA493))</f>
        <v/>
      </c>
      <c r="CW493" s="145" t="str">
        <f aca="false">IF(ISBLANK($C493),"",IF($BX493&lt;&gt;Constants!$B$6,$BX493,$CC493))</f>
        <v/>
      </c>
      <c r="CX493" s="146" t="str">
        <f aca="false">IF(ISBLANK($C493),"",$BY493)</f>
        <v/>
      </c>
      <c r="CY493" s="147" t="str">
        <f aca="false">IF(ISBLANK($C493),"",$CN493)</f>
        <v/>
      </c>
      <c r="CZ493" s="147" t="str">
        <f aca="false">IF(ISBLANK($C493),"",$CM493)</f>
        <v/>
      </c>
      <c r="DA493" s="148" t="str">
        <f aca="false">IF(ISBLANK($C493),"",IFERROR(_xlfn.SWITCH($CZ493,Constants!$B$9,COUNTA($C$9:$C$508)+2,Constants!$B$8,COUNTA($C$9:$C$508)+1,Constants!$B$7,COUNTA($C$9:$C$508)),$CZ493))</f>
        <v/>
      </c>
      <c r="DB493" s="9"/>
      <c r="DC493" s="149" t="n">
        <f aca="false">IF(OR(ISNUMBER($CZ493),$CZ493=Constants!$B$9,$CZ493=Constants!$B$7,$CZ493=Constants!$B$8),1,0)</f>
        <v>0</v>
      </c>
      <c r="DD493" s="149" t="n">
        <v>485</v>
      </c>
      <c r="DE493" s="149" t="str">
        <f aca="false">IF(ISBLANK($C493),"",IF(ISNUMBER($DA493),$DA493+ROW($B493)/1000,""))</f>
        <v/>
      </c>
      <c r="DF493" s="149" t="str">
        <f aca="false">IF(ISNUMBER($DE493),RANK($DE493,$DE$9:$DE$508,1),"")</f>
        <v/>
      </c>
      <c r="DG493" s="149" t="str">
        <f aca="false">IF(ISBLANK($C493),"",$B493)</f>
        <v/>
      </c>
      <c r="DH493" s="149" t="str">
        <f aca="false">IF(ISBLANK($C493),"",$C493)</f>
        <v/>
      </c>
      <c r="DI493" s="149" t="str">
        <f aca="false">IF(ISBLANK($C493),"",$D493)</f>
        <v/>
      </c>
      <c r="DJ493" s="150" t="str">
        <f aca="false">$CX493</f>
        <v/>
      </c>
      <c r="DK493" s="151" t="str">
        <f aca="false">$CW493</f>
        <v/>
      </c>
      <c r="DL493" s="149" t="str">
        <f aca="false">IF(ISBLANK($C493),"",$CZ493)</f>
        <v/>
      </c>
      <c r="DM493" s="152" t="str">
        <f aca="false">IF($DD493&gt;$DC$8,"",VLOOKUP($DD493,$DF$9:$DL$508,7,FALSE()))</f>
        <v/>
      </c>
      <c r="DN493" s="153" t="str">
        <f aca="false">IF($DD493&gt;$DC$8,"",VLOOKUP($DD493,$DF$9:$DL$508,2,FALSE()))</f>
        <v/>
      </c>
      <c r="DO493" s="153" t="str">
        <f aca="false">IF($DD493&gt;$DC$8,"",VLOOKUP($DD493,$DF$9:$DL$508,3,FALSE()))</f>
        <v/>
      </c>
      <c r="DP493" s="153" t="str">
        <f aca="false">IF($DD493&gt;$DC$8,"",VLOOKUP($DD493,$DF$9:$DL$508,4,FALSE()))</f>
        <v/>
      </c>
      <c r="DQ493" s="153" t="str">
        <f aca="false">IF($DD493&gt;$DC$8,"",VLOOKUP($DD493,$DF$9:$DL$508,5,FALSE()))</f>
        <v/>
      </c>
      <c r="DR493" s="154" t="str">
        <f aca="false">IF($DD493&gt;$DC$8,"",VLOOKUP($DD493,$DF$9:$DL$508,6,FALSE()))</f>
        <v/>
      </c>
      <c r="DS493" s="76"/>
    </row>
    <row r="494" customFormat="false" ht="15.75" hidden="false" customHeight="false" outlineLevel="0" collapsed="false">
      <c r="A494" s="9"/>
      <c r="B494" s="160"/>
      <c r="C494" s="161"/>
      <c r="D494" s="162"/>
      <c r="E494" s="180"/>
      <c r="F494" s="164"/>
      <c r="G494" s="165"/>
      <c r="H494" s="165"/>
      <c r="I494" s="181"/>
      <c r="J494" s="168"/>
      <c r="K494" s="128"/>
      <c r="L494" s="129"/>
      <c r="M494" s="130"/>
      <c r="N494" s="168"/>
      <c r="O494" s="168"/>
      <c r="P494" s="180"/>
      <c r="Q494" s="168"/>
      <c r="R494" s="168"/>
      <c r="S494" s="128"/>
      <c r="T494" s="130"/>
      <c r="U494" s="130"/>
      <c r="V494" s="168"/>
      <c r="W494" s="168"/>
      <c r="X494" s="180"/>
      <c r="Y494" s="168"/>
      <c r="Z494" s="169"/>
      <c r="AA494" s="168"/>
      <c r="AB494" s="134"/>
      <c r="AC494" s="135"/>
      <c r="AD494" s="135"/>
      <c r="AE494" s="135"/>
      <c r="AF494" s="135" t="str">
        <f aca="false">IF(ISBLANK($C494),"",IF(E494=Constants!$B$2,TRUE(),IF(E494=Constants!$B$3,FALSE(),TRUE())))</f>
        <v/>
      </c>
      <c r="AG494" s="135" t="str">
        <f aca="false">IF(ISBLANK($C494),"",IF(F494=Constants!$B$2,TRUE(),IF(F494=Constants!$B$3,FALSE(),TRUE())))</f>
        <v/>
      </c>
      <c r="AH494" s="135" t="str">
        <f aca="false">IF(ISBLANK($C494),"",IF(G494=Constants!$B$2,TRUE(),IF(G494=Constants!$B$3,FALSE(),TRUE())))</f>
        <v/>
      </c>
      <c r="AI494" s="135" t="str">
        <f aca="false">IF(ISBLANK($C494),"",IF(AND(ISNUMBER(H494),H494&gt;=0),H494,Constants!$B$24))</f>
        <v/>
      </c>
      <c r="AJ494" s="135" t="str">
        <f aca="false">IF(ISBLANK($C494),"",IF(I494=Constants!$B$2,TRUE(),IF(I494=Constants!$B$3,FALSE(),TRUE())))</f>
        <v/>
      </c>
      <c r="AK494" s="135" t="str">
        <f aca="false">IF(ISBLANK($C494),"",IF(J494=Constants!$B$2,TRUE(),IF(J494=Constants!$B$3,FALSE(),TRUE())))</f>
        <v/>
      </c>
      <c r="AL494" s="135" t="str">
        <f aca="false">IF(ISBLANK($C494),"",IF(K494=Constants!$B$4,TRUE(),IF(K494=Constants!$B$5,FALSE(),COUNTA(L494:P494)&gt;0)))</f>
        <v/>
      </c>
      <c r="AM494" s="136" t="str">
        <f aca="false">IF(ISBLANK($C494),"",IF(ISNUMBER(L494),IF(L494&gt;=0,L494,""),""))</f>
        <v/>
      </c>
      <c r="AN494" s="137" t="str">
        <f aca="false">IF(ISBLANK($C494),"",IF(ISNUMBER(M494),IF(M494&gt;=0,M494,""),""))</f>
        <v/>
      </c>
      <c r="AO494" s="137" t="str">
        <f aca="false">IF(ISBLANK($C494),"",IF(N494=Constants!$B$2,TRUE(),IF(N494=Constants!$B$3,FALSE(),TRUE())))</f>
        <v/>
      </c>
      <c r="AP494" s="135" t="str">
        <f aca="false">IF(ISBLANK($C494),"",IF(ISNUMBER(O494),IF(O494&gt;=0,O494,""),""))</f>
        <v/>
      </c>
      <c r="AQ494" s="135" t="str">
        <f aca="false">IF(ISBLANK($C494),"",IF(P494=Constants!$B$2,TRUE(),IF(P494=Constants!$B$3,FALSE(),FALSE())))</f>
        <v/>
      </c>
      <c r="AR494" s="135" t="str">
        <f aca="false">IF(ISBLANK($C494),"",IF(Q494=Constants!$B$2,TRUE(),IF(Q494=Constants!$B$3,FALSE(),TRUE())))</f>
        <v/>
      </c>
      <c r="AS494" s="135" t="str">
        <f aca="false">IF(ISBLANK($C494),"",IF(R494=Constants!$B$2,TRUE(),IF(R494=Constants!$B$3,FALSE(),TRUE())))</f>
        <v/>
      </c>
      <c r="AT494" s="135" t="str">
        <f aca="false">IF(ISBLANK($C494),"",IF(S494=Constants!$B$4,TRUE(),IF(S494=Constants!$B$5,FALSE(),COUNTA(T494:X494)&gt;0)))</f>
        <v/>
      </c>
      <c r="AU494" s="136" t="str">
        <f aca="false">IF(ISBLANK($C494),"",IF(ISNUMBER(T494),IF(T494&gt;=0,T494,""),""))</f>
        <v/>
      </c>
      <c r="AV494" s="137" t="str">
        <f aca="false">IF(ISBLANK($C494),"",IF(ISNUMBER(U494),IF(U494&gt;=0,U494,""),""))</f>
        <v/>
      </c>
      <c r="AW494" s="137" t="str">
        <f aca="false">IF(ISBLANK($C494),"",IF(V494=Constants!$B$2,TRUE(),IF(V494=Constants!$B$3,FALSE(),TRUE())))</f>
        <v/>
      </c>
      <c r="AX494" s="135" t="str">
        <f aca="false">IF(ISBLANK($C494),"",IF(ISNUMBER(W494),IF(W494&gt;=0,W494,""),""))</f>
        <v/>
      </c>
      <c r="AY494" s="135" t="str">
        <f aca="false">IF(ISBLANK($C494),"",IF(X494=Constants!$B$2,TRUE(),IF(X494=Constants!$B$3,FALSE(),FALSE())))</f>
        <v/>
      </c>
      <c r="AZ494" s="135" t="str">
        <f aca="false">IF(ISBLANK($C494),"",MIN(Constants!$B$25,MAX(0,IF(ISNUMBER(Y494),Y494*60,0)+IF(ISNUMBER(Z494),Z494,0))))</f>
        <v/>
      </c>
      <c r="BA494" s="135" t="str">
        <f aca="false">IF(ISBLANK($C494),"",IF(AA494=Constants!$B$2,TRUE(),IF(AA494=Constants!$B$3,FALSE(),FALSE())))</f>
        <v/>
      </c>
      <c r="BB494" s="134" t="str">
        <f aca="false">IF(ISBLANK($C494),"",AND($AL494,OR($AM494="",$AN494="",AND($AO494,$AP494=""))))</f>
        <v/>
      </c>
      <c r="BC494" s="137" t="str">
        <f aca="false">IF($BX494&lt;&gt;Constants!$B$6,"",IF($AL494,Constants!$B$17*$AN494+Constants!$B$18*IF($AO494,$AP494,Constants!$B$19),Constants!$B$20))</f>
        <v/>
      </c>
      <c r="BD494" s="138" t="str">
        <f aca="false">IF($BX494&lt;&gt;Constants!$B$6,"",Constants!$B$21*ABS($AD$9-IF($AL494,$AM494,0)))</f>
        <v/>
      </c>
      <c r="BE494" s="138" t="str">
        <f aca="false">IF($BX494&lt;&gt;Constants!$B$6,"",IF(AND($AL494,$AQ494,$AO494),Constants!$B$22,0))</f>
        <v/>
      </c>
      <c r="BF494" s="138" t="str">
        <f aca="false">IF($BX494&lt;&gt;Constants!$B$6,"",IF($AL494,($AI494-Constants!$B$24)*Constants!$B$23,0))</f>
        <v/>
      </c>
      <c r="BG494" s="138" t="str">
        <f aca="false">IF($BX494&lt;&gt;Constants!$B$6,"",IF($AK494,0,Constants!$B$12)+IF($AJ494,0,Constants!$B$13)+IF($AH494,0,Constants!$B$14))</f>
        <v/>
      </c>
      <c r="BH494" s="139" t="str">
        <f aca="false">IF($BX494&lt;&gt;Constants!$B$6,"",Constants!$B$16+SUM($BC494:$BG494))</f>
        <v/>
      </c>
      <c r="BI494" s="138" t="str">
        <f aca="false">IF($BX494&lt;&gt;Constants!$B$6,"",$BC494)</f>
        <v/>
      </c>
      <c r="BJ494" s="138" t="str">
        <f aca="false">IF($BX494&lt;&gt;Constants!$B$6,"",$BD494)</f>
        <v/>
      </c>
      <c r="BK494" s="140" t="str">
        <f aca="false">IF($BX494&lt;&gt;Constants!$B$6,"",IF($AL494,$AN494,""))</f>
        <v/>
      </c>
      <c r="BL494" s="135" t="str">
        <f aca="false">IF($BX494&lt;&gt;Constants!$B$6,"",IF(OR($BS494&lt;$BH494,AND($BS494=$BH494,OR($BT494&lt;$BI494,AND($BT494=$BI494,OR($BU494&lt;$BJ494,AND($BU494=$BJ494,AND(ISNUMBER($BV494),OR(NOT(ISNUMBER($BK494)),$BV494&lt;$BK494)))))))),"-&gt;","&lt;-"))</f>
        <v/>
      </c>
      <c r="BM494" s="134" t="str">
        <f aca="false">IF(ISBLANK($C494),"",AND($AT494,OR($AU494="",$AV494="",AND($AW494,$AX494=""))))</f>
        <v/>
      </c>
      <c r="BN494" s="137" t="str">
        <f aca="false">IF($BX494&lt;&gt;Constants!$B$6,"",IF($AT494,Constants!$B$17*$AV494+Constants!$B$18*IF($AW494,$AX494,Constants!$B$19),Constants!$B$20))</f>
        <v/>
      </c>
      <c r="BO494" s="138" t="str">
        <f aca="false">IF($BX494&lt;&gt;Constants!$B$6,"",Constants!$B$21*ABS($AD$9-IF($AT494,$AU494,0)))</f>
        <v/>
      </c>
      <c r="BP494" s="138" t="str">
        <f aca="false">IF($BX494&lt;&gt;Constants!$B$6,"",IF(AND($AT494,$AY494,$AW494),Constants!$B$22,0))</f>
        <v/>
      </c>
      <c r="BQ494" s="138" t="str">
        <f aca="false">IF($BX494&lt;&gt;Constants!$B$6,"",IF($AT494,($AI494-Constants!$B$24)*Constants!$B$23,0))</f>
        <v/>
      </c>
      <c r="BR494" s="138" t="str">
        <f aca="false">IF($BX494&lt;&gt;Constants!$B$6,"",IF($AS494,0,Constants!$B$12)+IF($AR494,0,Constants!$B$13)+IF($AH494,0,Constants!$B$14))</f>
        <v/>
      </c>
      <c r="BS494" s="139" t="str">
        <f aca="false">IF($BX494&lt;&gt;Constants!$B$6,"",Constants!$B$16+SUM($BN494:$BR494))</f>
        <v/>
      </c>
      <c r="BT494" s="138" t="str">
        <f aca="false">IF($BX494&lt;&gt;Constants!$B$6,"",$BN494)</f>
        <v/>
      </c>
      <c r="BU494" s="138" t="str">
        <f aca="false">IF($BX494&lt;&gt;Constants!$B$6,"",$BO494)</f>
        <v/>
      </c>
      <c r="BV494" s="140" t="str">
        <f aca="false">IF($BX494&lt;&gt;Constants!$B$6,"",IF($AT494,$AV494,""))</f>
        <v/>
      </c>
      <c r="BW494" s="135" t="str">
        <f aca="false">IF(ISBLANK($C494),"",IF(ISBLANK($D$7),$BW$5,IF(NOT(ISNUMBER($D$7)),$BW$6,"")))</f>
        <v/>
      </c>
      <c r="BX494" s="135" t="str">
        <f aca="false">IF(ISBLANK($C494),"",IF($BA494,Constants!$B$9,IF(COUNTA($E494:$AA494)=0,Constants!$B$8,IF(NOT($AG494),Constants!$B$7,IF(OR($BW494&lt;&gt;"",$BB494,$BM494),Constants!$B$10,Constants!$B$6)))))</f>
        <v/>
      </c>
      <c r="BY494" s="135" t="str">
        <f aca="false">IF(ISBLANK($C494),"",IF($BX494&lt;&gt;Constants!$B$6,$BX494,Constants!$B$11))</f>
        <v/>
      </c>
      <c r="BZ494" s="138" t="str">
        <f aca="false">IF($BX494&lt;&gt;Constants!$B$6,"",IF($BL494="-&gt;",$BS494,$BH494))</f>
        <v/>
      </c>
      <c r="CA494" s="138" t="str">
        <f aca="false">IF($BX494&lt;&gt;Constants!$B$6,"",IF($AF494,0,Constants!$B$15))</f>
        <v/>
      </c>
      <c r="CB494" s="138" t="str">
        <f aca="false">IF($BX494&lt;&gt;Constants!$B$6,"",((Constants!$B$25-$AZ494)-Constants!$B$25)/Constants!$B$26)</f>
        <v/>
      </c>
      <c r="CC494" s="138" t="str">
        <f aca="false">IF(ISBLANK($C494),"",IF($BX494&lt;&gt;Constants!$B$6,$BX494,SUM($BZ494:$CB494)))</f>
        <v/>
      </c>
      <c r="CD494" s="135" t="str">
        <f aca="false">IF(ISBLANK($C494),"",IF($BX494&lt;&gt;Constants!$B$6,$BX494,RANK($CC494,$CC$9:$CC$508,1)))</f>
        <v/>
      </c>
      <c r="CE494" s="138" t="str">
        <f aca="false">IF($BX494&lt;&gt;Constants!$B$6,"",IF($BL494="-&gt;",$BT494,$BI494))</f>
        <v/>
      </c>
      <c r="CF494" s="135" t="str">
        <f aca="false">IF(ISBLANK($C494),"",IF($BX494&lt;&gt;Constants!$B$6,$BX494,IF(ISNUMBER($CE494),RANK($CE494,$CE$9:$CE$508,1),COUNT($CE$9:$CE$508)+1)))</f>
        <v/>
      </c>
      <c r="CG494" s="138" t="str">
        <f aca="false">IF($BX494&lt;&gt;Constants!$B$6,"",IF($BL494="-&gt;",$BU494,$BJ494))</f>
        <v/>
      </c>
      <c r="CH494" s="135" t="str">
        <f aca="false">IF(ISBLANK($C494),"",IF($BX494&lt;&gt;Constants!$B$6,$BX494,IF(ISNUMBER($CG494),RANK($CG494,$CG$9:$CG$508,1),COUNT($CG$9:$CG$508)+1)))</f>
        <v/>
      </c>
      <c r="CI494" s="138" t="str">
        <f aca="false">IF($BX494&lt;&gt;Constants!$B$6,"",IF($BL494="-&gt;",$BV494,$BK494))</f>
        <v/>
      </c>
      <c r="CJ494" s="135" t="str">
        <f aca="false">IF(ISBLANK($C494),"",IF($BX494&lt;&gt;Constants!$B$6,$BX494,IF(ISNUMBER($CI494),RANK($CI494,$CI$9:$CI$508,1),COUNT($CI$9:$CI$508)+1)))</f>
        <v/>
      </c>
      <c r="CK494" s="138" t="str">
        <f aca="false">IF($BX494&lt;&gt;Constants!$B$6,"",$AI494)</f>
        <v/>
      </c>
      <c r="CL494" s="135" t="str">
        <f aca="false">IF(ISBLANK($C494),"",IF($BX494&lt;&gt;Constants!$B$6,$BX494,IF(ISNUMBER($CK494),RANK($CK494,$CK$9:$CK$508,1),COUNT($CK$9:$CK$508)+1)))</f>
        <v/>
      </c>
      <c r="CM494" s="135" t="str">
        <f aca="false">IF(ISBLANK($C494),"",IF($BX494&lt;&gt;Constants!$B$6,$BX494,COUNTIFS($CD$9:$CD$508,"&lt;"&amp;$CD494)+COUNTIFS($CD$9:$CD$508,$CD494,$CF$9:$CF$508,"&lt;"&amp;$CF494)+COUNTIFS($CD$9:$CD$508,$CD494,$CF$9:$CF$508,$CF494,$CH$9:$CH$508,"&lt;"&amp;$CH494)+COUNTIFS($CD$9:$CD$508,$CD494,$CF$9:$CF$508,$CF494,$CH$9:$CH$508,$CH494,$CJ$9:$CJ$508,"&lt;"&amp;$CJ494)+COUNTIFS($CD$9:$CD$508,$CD494,$CF$9:$CF$508,$CF494,$CH$9:$CH$508,$CH494,$CJ$9:$CJ$508,$CJ494,$CL$9:$CL$508,"&lt;"&amp;$CL494)+1))</f>
        <v/>
      </c>
      <c r="CN494" s="135" t="str">
        <f aca="false">IF(ISBLANK($C494),"",IF($BX494&lt;&gt;Constants!$B$6,$BX494,$CD494-$CM494))</f>
        <v/>
      </c>
      <c r="CO494" s="141"/>
      <c r="CP494" s="142"/>
      <c r="CQ494" s="143" t="str">
        <f aca="false">IF(ISBLANK($C494),"",IF($BX494=Constants!$B$10,$BW494,""))</f>
        <v/>
      </c>
      <c r="CR494" s="142" t="str">
        <f aca="false">IF(ISBLANK($C494),"",IF($BX494&lt;&gt;Constants!$B$6,"",IF($BL494="-&gt;",2,1)))</f>
        <v/>
      </c>
      <c r="CS494" s="144" t="str">
        <f aca="false">IF(ISBLANK($C494),"",IF($BX494&lt;&gt;Constants!$B$6,"",IF($BL494="-&gt;",$BN494,$BC494)))</f>
        <v/>
      </c>
      <c r="CT494" s="144" t="str">
        <f aca="false">IF(ISBLANK($C494),"",IF($BX494&lt;&gt;Constants!$B$6,"",IF($BL494="-&gt;",$BO494,$BD494)))</f>
        <v/>
      </c>
      <c r="CU494" s="144" t="str">
        <f aca="false">IF(ISBLANK($C494),"",IF($BX494&lt;&gt;Constants!$B$6,"",IF($BL494="-&gt;",$BP494+$BQ494,$BE494+$BF494)+$CB494))</f>
        <v/>
      </c>
      <c r="CV494" s="144" t="str">
        <f aca="false">IF(ISBLANK($C494),"",IF($BX494&lt;&gt;Constants!$B$6,"",IF($BL494="-&gt;",$BR494,$BG494)+$CA494))</f>
        <v/>
      </c>
      <c r="CW494" s="145" t="str">
        <f aca="false">IF(ISBLANK($C494),"",IF($BX494&lt;&gt;Constants!$B$6,$BX494,$CC494))</f>
        <v/>
      </c>
      <c r="CX494" s="146" t="str">
        <f aca="false">IF(ISBLANK($C494),"",$BY494)</f>
        <v/>
      </c>
      <c r="CY494" s="147" t="str">
        <f aca="false">IF(ISBLANK($C494),"",$CN494)</f>
        <v/>
      </c>
      <c r="CZ494" s="147" t="str">
        <f aca="false">IF(ISBLANK($C494),"",$CM494)</f>
        <v/>
      </c>
      <c r="DA494" s="148" t="str">
        <f aca="false">IF(ISBLANK($C494),"",IFERROR(_xlfn.SWITCH($CZ494,Constants!$B$9,COUNTA($C$9:$C$508)+2,Constants!$B$8,COUNTA($C$9:$C$508)+1,Constants!$B$7,COUNTA($C$9:$C$508)),$CZ494))</f>
        <v/>
      </c>
      <c r="DB494" s="9"/>
      <c r="DC494" s="149" t="n">
        <f aca="false">IF(OR(ISNUMBER($CZ494),$CZ494=Constants!$B$9,$CZ494=Constants!$B$7,$CZ494=Constants!$B$8),1,0)</f>
        <v>0</v>
      </c>
      <c r="DD494" s="149" t="n">
        <v>486</v>
      </c>
      <c r="DE494" s="149" t="str">
        <f aca="false">IF(ISBLANK($C494),"",IF(ISNUMBER($DA494),$DA494+ROW($B494)/1000,""))</f>
        <v/>
      </c>
      <c r="DF494" s="149" t="str">
        <f aca="false">IF(ISNUMBER($DE494),RANK($DE494,$DE$9:$DE$508,1),"")</f>
        <v/>
      </c>
      <c r="DG494" s="149" t="str">
        <f aca="false">IF(ISBLANK($C494),"",$B494)</f>
        <v/>
      </c>
      <c r="DH494" s="149" t="str">
        <f aca="false">IF(ISBLANK($C494),"",$C494)</f>
        <v/>
      </c>
      <c r="DI494" s="149" t="str">
        <f aca="false">IF(ISBLANK($C494),"",$D494)</f>
        <v/>
      </c>
      <c r="DJ494" s="150" t="str">
        <f aca="false">$CX494</f>
        <v/>
      </c>
      <c r="DK494" s="151" t="str">
        <f aca="false">$CW494</f>
        <v/>
      </c>
      <c r="DL494" s="149" t="str">
        <f aca="false">IF(ISBLANK($C494),"",$CZ494)</f>
        <v/>
      </c>
      <c r="DM494" s="152" t="str">
        <f aca="false">IF($DD494&gt;$DC$8,"",VLOOKUP($DD494,$DF$9:$DL$508,7,FALSE()))</f>
        <v/>
      </c>
      <c r="DN494" s="153" t="str">
        <f aca="false">IF($DD494&gt;$DC$8,"",VLOOKUP($DD494,$DF$9:$DL$508,2,FALSE()))</f>
        <v/>
      </c>
      <c r="DO494" s="153" t="str">
        <f aca="false">IF($DD494&gt;$DC$8,"",VLOOKUP($DD494,$DF$9:$DL$508,3,FALSE()))</f>
        <v/>
      </c>
      <c r="DP494" s="153" t="str">
        <f aca="false">IF($DD494&gt;$DC$8,"",VLOOKUP($DD494,$DF$9:$DL$508,4,FALSE()))</f>
        <v/>
      </c>
      <c r="DQ494" s="153" t="str">
        <f aca="false">IF($DD494&gt;$DC$8,"",VLOOKUP($DD494,$DF$9:$DL$508,5,FALSE()))</f>
        <v/>
      </c>
      <c r="DR494" s="154" t="str">
        <f aca="false">IF($DD494&gt;$DC$8,"",VLOOKUP($DD494,$DF$9:$DL$508,6,FALSE()))</f>
        <v/>
      </c>
      <c r="DS494" s="76"/>
    </row>
    <row r="495" customFormat="false" ht="15.75" hidden="false" customHeight="false" outlineLevel="0" collapsed="false">
      <c r="A495" s="9"/>
      <c r="B495" s="78"/>
      <c r="C495" s="79"/>
      <c r="D495" s="170"/>
      <c r="E495" s="178"/>
      <c r="F495" s="172"/>
      <c r="G495" s="173"/>
      <c r="H495" s="173"/>
      <c r="I495" s="179"/>
      <c r="J495" s="176"/>
      <c r="K495" s="86"/>
      <c r="L495" s="87"/>
      <c r="M495" s="88"/>
      <c r="N495" s="176"/>
      <c r="O495" s="176"/>
      <c r="P495" s="178"/>
      <c r="Q495" s="176"/>
      <c r="R495" s="176"/>
      <c r="S495" s="86"/>
      <c r="T495" s="88"/>
      <c r="U495" s="88"/>
      <c r="V495" s="176"/>
      <c r="W495" s="176"/>
      <c r="X495" s="178"/>
      <c r="Y495" s="176"/>
      <c r="Z495" s="177"/>
      <c r="AA495" s="176"/>
      <c r="AB495" s="92"/>
      <c r="AC495" s="93"/>
      <c r="AD495" s="93"/>
      <c r="AE495" s="93"/>
      <c r="AF495" s="93" t="str">
        <f aca="false">IF(ISBLANK($C495),"",IF(E495=Constants!$B$2,TRUE(),IF(E495=Constants!$B$3,FALSE(),TRUE())))</f>
        <v/>
      </c>
      <c r="AG495" s="93" t="str">
        <f aca="false">IF(ISBLANK($C495),"",IF(F495=Constants!$B$2,TRUE(),IF(F495=Constants!$B$3,FALSE(),TRUE())))</f>
        <v/>
      </c>
      <c r="AH495" s="93" t="str">
        <f aca="false">IF(ISBLANK($C495),"",IF(G495=Constants!$B$2,TRUE(),IF(G495=Constants!$B$3,FALSE(),TRUE())))</f>
        <v/>
      </c>
      <c r="AI495" s="93" t="str">
        <f aca="false">IF(ISBLANK($C495),"",IF(AND(ISNUMBER(H495),H495&gt;=0),H495,Constants!$B$24))</f>
        <v/>
      </c>
      <c r="AJ495" s="93" t="str">
        <f aca="false">IF(ISBLANK($C495),"",IF(I495=Constants!$B$2,TRUE(),IF(I495=Constants!$B$3,FALSE(),TRUE())))</f>
        <v/>
      </c>
      <c r="AK495" s="93" t="str">
        <f aca="false">IF(ISBLANK($C495),"",IF(J495=Constants!$B$2,TRUE(),IF(J495=Constants!$B$3,FALSE(),TRUE())))</f>
        <v/>
      </c>
      <c r="AL495" s="93" t="str">
        <f aca="false">IF(ISBLANK($C495),"",IF(K495=Constants!$B$4,TRUE(),IF(K495=Constants!$B$5,FALSE(),COUNTA(L495:P495)&gt;0)))</f>
        <v/>
      </c>
      <c r="AM495" s="95" t="str">
        <f aca="false">IF(ISBLANK($C495),"",IF(ISNUMBER(L495),IF(L495&gt;=0,L495,""),""))</f>
        <v/>
      </c>
      <c r="AN495" s="94" t="str">
        <f aca="false">IF(ISBLANK($C495),"",IF(ISNUMBER(M495),IF(M495&gt;=0,M495,""),""))</f>
        <v/>
      </c>
      <c r="AO495" s="94" t="str">
        <f aca="false">IF(ISBLANK($C495),"",IF(N495=Constants!$B$2,TRUE(),IF(N495=Constants!$B$3,FALSE(),TRUE())))</f>
        <v/>
      </c>
      <c r="AP495" s="93" t="str">
        <f aca="false">IF(ISBLANK($C495),"",IF(ISNUMBER(O495),IF(O495&gt;=0,O495,""),""))</f>
        <v/>
      </c>
      <c r="AQ495" s="93" t="str">
        <f aca="false">IF(ISBLANK($C495),"",IF(P495=Constants!$B$2,TRUE(),IF(P495=Constants!$B$3,FALSE(),FALSE())))</f>
        <v/>
      </c>
      <c r="AR495" s="93" t="str">
        <f aca="false">IF(ISBLANK($C495),"",IF(Q495=Constants!$B$2,TRUE(),IF(Q495=Constants!$B$3,FALSE(),TRUE())))</f>
        <v/>
      </c>
      <c r="AS495" s="93" t="str">
        <f aca="false">IF(ISBLANK($C495),"",IF(R495=Constants!$B$2,TRUE(),IF(R495=Constants!$B$3,FALSE(),TRUE())))</f>
        <v/>
      </c>
      <c r="AT495" s="93" t="str">
        <f aca="false">IF(ISBLANK($C495),"",IF(S495=Constants!$B$4,TRUE(),IF(S495=Constants!$B$5,FALSE(),COUNTA(T495:X495)&gt;0)))</f>
        <v/>
      </c>
      <c r="AU495" s="95" t="str">
        <f aca="false">IF(ISBLANK($C495),"",IF(ISNUMBER(T495),IF(T495&gt;=0,T495,""),""))</f>
        <v/>
      </c>
      <c r="AV495" s="94" t="str">
        <f aca="false">IF(ISBLANK($C495),"",IF(ISNUMBER(U495),IF(U495&gt;=0,U495,""),""))</f>
        <v/>
      </c>
      <c r="AW495" s="94" t="str">
        <f aca="false">IF(ISBLANK($C495),"",IF(V495=Constants!$B$2,TRUE(),IF(V495=Constants!$B$3,FALSE(),TRUE())))</f>
        <v/>
      </c>
      <c r="AX495" s="93" t="str">
        <f aca="false">IF(ISBLANK($C495),"",IF(ISNUMBER(W495),IF(W495&gt;=0,W495,""),""))</f>
        <v/>
      </c>
      <c r="AY495" s="93" t="str">
        <f aca="false">IF(ISBLANK($C495),"",IF(X495=Constants!$B$2,TRUE(),IF(X495=Constants!$B$3,FALSE(),FALSE())))</f>
        <v/>
      </c>
      <c r="AZ495" s="93" t="str">
        <f aca="false">IF(ISBLANK($C495),"",MIN(Constants!$B$25,MAX(0,IF(ISNUMBER(Y495),Y495*60,0)+IF(ISNUMBER(Z495),Z495,0))))</f>
        <v/>
      </c>
      <c r="BA495" s="93" t="str">
        <f aca="false">IF(ISBLANK($C495),"",IF(AA495=Constants!$B$2,TRUE(),IF(AA495=Constants!$B$3,FALSE(),FALSE())))</f>
        <v/>
      </c>
      <c r="BB495" s="92" t="str">
        <f aca="false">IF(ISBLANK($C495),"",AND($AL495,OR($AM495="",$AN495="",AND($AO495,$AP495=""))))</f>
        <v/>
      </c>
      <c r="BC495" s="94" t="str">
        <f aca="false">IF($BX495&lt;&gt;Constants!$B$6,"",IF($AL495,Constants!$B$17*$AN495+Constants!$B$18*IF($AO495,$AP495,Constants!$B$19),Constants!$B$20))</f>
        <v/>
      </c>
      <c r="BD495" s="97" t="str">
        <f aca="false">IF($BX495&lt;&gt;Constants!$B$6,"",Constants!$B$21*ABS($AD$9-IF($AL495,$AM495,0)))</f>
        <v/>
      </c>
      <c r="BE495" s="97" t="str">
        <f aca="false">IF($BX495&lt;&gt;Constants!$B$6,"",IF(AND($AL495,$AQ495,$AO495),Constants!$B$22,0))</f>
        <v/>
      </c>
      <c r="BF495" s="97" t="str">
        <f aca="false">IF($BX495&lt;&gt;Constants!$B$6,"",IF($AL495,($AI495-Constants!$B$24)*Constants!$B$23,0))</f>
        <v/>
      </c>
      <c r="BG495" s="97" t="str">
        <f aca="false">IF($BX495&lt;&gt;Constants!$B$6,"",IF($AK495,0,Constants!$B$12)+IF($AJ495,0,Constants!$B$13)+IF($AH495,0,Constants!$B$14))</f>
        <v/>
      </c>
      <c r="BH495" s="98" t="str">
        <f aca="false">IF($BX495&lt;&gt;Constants!$B$6,"",Constants!$B$16+SUM($BC495:$BG495))</f>
        <v/>
      </c>
      <c r="BI495" s="97" t="str">
        <f aca="false">IF($BX495&lt;&gt;Constants!$B$6,"",$BC495)</f>
        <v/>
      </c>
      <c r="BJ495" s="97" t="str">
        <f aca="false">IF($BX495&lt;&gt;Constants!$B$6,"",$BD495)</f>
        <v/>
      </c>
      <c r="BK495" s="99" t="str">
        <f aca="false">IF($BX495&lt;&gt;Constants!$B$6,"",IF($AL495,$AN495,""))</f>
        <v/>
      </c>
      <c r="BL495" s="93" t="str">
        <f aca="false">IF($BX495&lt;&gt;Constants!$B$6,"",IF(OR($BS495&lt;$BH495,AND($BS495=$BH495,OR($BT495&lt;$BI495,AND($BT495=$BI495,OR($BU495&lt;$BJ495,AND($BU495=$BJ495,AND(ISNUMBER($BV495),OR(NOT(ISNUMBER($BK495)),$BV495&lt;$BK495)))))))),"-&gt;","&lt;-"))</f>
        <v/>
      </c>
      <c r="BM495" s="92" t="str">
        <f aca="false">IF(ISBLANK($C495),"",AND($AT495,OR($AU495="",$AV495="",AND($AW495,$AX495=""))))</f>
        <v/>
      </c>
      <c r="BN495" s="94" t="str">
        <f aca="false">IF($BX495&lt;&gt;Constants!$B$6,"",IF($AT495,Constants!$B$17*$AV495+Constants!$B$18*IF($AW495,$AX495,Constants!$B$19),Constants!$B$20))</f>
        <v/>
      </c>
      <c r="BO495" s="97" t="str">
        <f aca="false">IF($BX495&lt;&gt;Constants!$B$6,"",Constants!$B$21*ABS($AD$9-IF($AT495,$AU495,0)))</f>
        <v/>
      </c>
      <c r="BP495" s="97" t="str">
        <f aca="false">IF($BX495&lt;&gt;Constants!$B$6,"",IF(AND($AT495,$AY495,$AW495),Constants!$B$22,0))</f>
        <v/>
      </c>
      <c r="BQ495" s="97" t="str">
        <f aca="false">IF($BX495&lt;&gt;Constants!$B$6,"",IF($AT495,($AI495-Constants!$B$24)*Constants!$B$23,0))</f>
        <v/>
      </c>
      <c r="BR495" s="97" t="str">
        <f aca="false">IF($BX495&lt;&gt;Constants!$B$6,"",IF($AS495,0,Constants!$B$12)+IF($AR495,0,Constants!$B$13)+IF($AH495,0,Constants!$B$14))</f>
        <v/>
      </c>
      <c r="BS495" s="98" t="str">
        <f aca="false">IF($BX495&lt;&gt;Constants!$B$6,"",Constants!$B$16+SUM($BN495:$BR495))</f>
        <v/>
      </c>
      <c r="BT495" s="97" t="str">
        <f aca="false">IF($BX495&lt;&gt;Constants!$B$6,"",$BN495)</f>
        <v/>
      </c>
      <c r="BU495" s="97" t="str">
        <f aca="false">IF($BX495&lt;&gt;Constants!$B$6,"",$BO495)</f>
        <v/>
      </c>
      <c r="BV495" s="99" t="str">
        <f aca="false">IF($BX495&lt;&gt;Constants!$B$6,"",IF($AT495,$AV495,""))</f>
        <v/>
      </c>
      <c r="BW495" s="93" t="str">
        <f aca="false">IF(ISBLANK($C495),"",IF(ISBLANK($D$7),$BW$5,IF(NOT(ISNUMBER($D$7)),$BW$6,"")))</f>
        <v/>
      </c>
      <c r="BX495" s="93" t="str">
        <f aca="false">IF(ISBLANK($C495),"",IF($BA495,Constants!$B$9,IF(COUNTA($E495:$AA495)=0,Constants!$B$8,IF(NOT($AG495),Constants!$B$7,IF(OR($BW495&lt;&gt;"",$BB495,$BM495),Constants!$B$10,Constants!$B$6)))))</f>
        <v/>
      </c>
      <c r="BY495" s="93" t="str">
        <f aca="false">IF(ISBLANK($C495),"",IF($BX495&lt;&gt;Constants!$B$6,$BX495,Constants!$B$11))</f>
        <v/>
      </c>
      <c r="BZ495" s="97" t="str">
        <f aca="false">IF($BX495&lt;&gt;Constants!$B$6,"",IF($BL495="-&gt;",$BS495,$BH495))</f>
        <v/>
      </c>
      <c r="CA495" s="97" t="str">
        <f aca="false">IF($BX495&lt;&gt;Constants!$B$6,"",IF($AF495,0,Constants!$B$15))</f>
        <v/>
      </c>
      <c r="CB495" s="97" t="str">
        <f aca="false">IF($BX495&lt;&gt;Constants!$B$6,"",((Constants!$B$25-$AZ495)-Constants!$B$25)/Constants!$B$26)</f>
        <v/>
      </c>
      <c r="CC495" s="97" t="str">
        <f aca="false">IF(ISBLANK($C495),"",IF($BX495&lt;&gt;Constants!$B$6,$BX495,SUM($BZ495:$CB495)))</f>
        <v/>
      </c>
      <c r="CD495" s="93" t="str">
        <f aca="false">IF(ISBLANK($C495),"",IF($BX495&lt;&gt;Constants!$B$6,$BX495,RANK($CC495,$CC$9:$CC$508,1)))</f>
        <v/>
      </c>
      <c r="CE495" s="97" t="str">
        <f aca="false">IF($BX495&lt;&gt;Constants!$B$6,"",IF($BL495="-&gt;",$BT495,$BI495))</f>
        <v/>
      </c>
      <c r="CF495" s="93" t="str">
        <f aca="false">IF(ISBLANK($C495),"",IF($BX495&lt;&gt;Constants!$B$6,$BX495,IF(ISNUMBER($CE495),RANK($CE495,$CE$9:$CE$508,1),COUNT($CE$9:$CE$508)+1)))</f>
        <v/>
      </c>
      <c r="CG495" s="97" t="str">
        <f aca="false">IF($BX495&lt;&gt;Constants!$B$6,"",IF($BL495="-&gt;",$BU495,$BJ495))</f>
        <v/>
      </c>
      <c r="CH495" s="93" t="str">
        <f aca="false">IF(ISBLANK($C495),"",IF($BX495&lt;&gt;Constants!$B$6,$BX495,IF(ISNUMBER($CG495),RANK($CG495,$CG$9:$CG$508,1),COUNT($CG$9:$CG$508)+1)))</f>
        <v/>
      </c>
      <c r="CI495" s="97" t="str">
        <f aca="false">IF($BX495&lt;&gt;Constants!$B$6,"",IF($BL495="-&gt;",$BV495,$BK495))</f>
        <v/>
      </c>
      <c r="CJ495" s="93" t="str">
        <f aca="false">IF(ISBLANK($C495),"",IF($BX495&lt;&gt;Constants!$B$6,$BX495,IF(ISNUMBER($CI495),RANK($CI495,$CI$9:$CI$508,1),COUNT($CI$9:$CI$508)+1)))</f>
        <v/>
      </c>
      <c r="CK495" s="97" t="str">
        <f aca="false">IF($BX495&lt;&gt;Constants!$B$6,"",$AI495)</f>
        <v/>
      </c>
      <c r="CL495" s="93" t="str">
        <f aca="false">IF(ISBLANK($C495),"",IF($BX495&lt;&gt;Constants!$B$6,$BX495,IF(ISNUMBER($CK495),RANK($CK495,$CK$9:$CK$508,1),COUNT($CK$9:$CK$508)+1)))</f>
        <v/>
      </c>
      <c r="CM495" s="93" t="str">
        <f aca="false">IF(ISBLANK($C495),"",IF($BX495&lt;&gt;Constants!$B$6,$BX495,COUNTIFS($CD$9:$CD$508,"&lt;"&amp;$CD495)+COUNTIFS($CD$9:$CD$508,$CD495,$CF$9:$CF$508,"&lt;"&amp;$CF495)+COUNTIFS($CD$9:$CD$508,$CD495,$CF$9:$CF$508,$CF495,$CH$9:$CH$508,"&lt;"&amp;$CH495)+COUNTIFS($CD$9:$CD$508,$CD495,$CF$9:$CF$508,$CF495,$CH$9:$CH$508,$CH495,$CJ$9:$CJ$508,"&lt;"&amp;$CJ495)+COUNTIFS($CD$9:$CD$508,$CD495,$CF$9:$CF$508,$CF495,$CH$9:$CH$508,$CH495,$CJ$9:$CJ$508,$CJ495,$CL$9:$CL$508,"&lt;"&amp;$CL495)+1))</f>
        <v/>
      </c>
      <c r="CN495" s="93" t="str">
        <f aca="false">IF(ISBLANK($C495),"",IF($BX495&lt;&gt;Constants!$B$6,$BX495,$CD495-$CM495))</f>
        <v/>
      </c>
      <c r="CO495" s="100"/>
      <c r="CP495" s="101"/>
      <c r="CQ495" s="102" t="str">
        <f aca="false">IF(ISBLANK($C495),"",IF($BX495=Constants!$B$10,$BW495,""))</f>
        <v/>
      </c>
      <c r="CR495" s="101" t="str">
        <f aca="false">IF(ISBLANK($C495),"",IF($BX495&lt;&gt;Constants!$B$6,"",IF($BL495="-&gt;",2,1)))</f>
        <v/>
      </c>
      <c r="CS495" s="103" t="str">
        <f aca="false">IF(ISBLANK($C495),"",IF($BX495&lt;&gt;Constants!$B$6,"",IF($BL495="-&gt;",$BN495,$BC495)))</f>
        <v/>
      </c>
      <c r="CT495" s="103" t="str">
        <f aca="false">IF(ISBLANK($C495),"",IF($BX495&lt;&gt;Constants!$B$6,"",IF($BL495="-&gt;",$BO495,$BD495)))</f>
        <v/>
      </c>
      <c r="CU495" s="103" t="str">
        <f aca="false">IF(ISBLANK($C495),"",IF($BX495&lt;&gt;Constants!$B$6,"",IF($BL495="-&gt;",$BP495+$BQ495,$BE495+$BF495)+$CB495))</f>
        <v/>
      </c>
      <c r="CV495" s="103" t="str">
        <f aca="false">IF(ISBLANK($C495),"",IF($BX495&lt;&gt;Constants!$B$6,"",IF($BL495="-&gt;",$BR495,$BG495)+$CA495))</f>
        <v/>
      </c>
      <c r="CW495" s="104" t="str">
        <f aca="false">IF(ISBLANK($C495),"",IF($BX495&lt;&gt;Constants!$B$6,$BX495,$CC495))</f>
        <v/>
      </c>
      <c r="CX495" s="105" t="str">
        <f aca="false">IF(ISBLANK($C495),"",$BY495)</f>
        <v/>
      </c>
      <c r="CY495" s="106" t="str">
        <f aca="false">IF(ISBLANK($C495),"",$CN495)</f>
        <v/>
      </c>
      <c r="CZ495" s="106" t="str">
        <f aca="false">IF(ISBLANK($C495),"",$CM495)</f>
        <v/>
      </c>
      <c r="DA495" s="107" t="str">
        <f aca="false">IF(ISBLANK($C495),"",IFERROR(_xlfn.SWITCH($CZ495,Constants!$B$9,COUNTA($C$9:$C$508)+2,Constants!$B$8,COUNTA($C$9:$C$508)+1,Constants!$B$7,COUNTA($C$9:$C$508)),$CZ495))</f>
        <v/>
      </c>
      <c r="DB495" s="9"/>
      <c r="DC495" s="108" t="n">
        <f aca="false">IF(OR(ISNUMBER($CZ495),$CZ495=Constants!$B$9,$CZ495=Constants!$B$7,$CZ495=Constants!$B$8),1,0)</f>
        <v>0</v>
      </c>
      <c r="DD495" s="108" t="n">
        <v>487</v>
      </c>
      <c r="DE495" s="108" t="str">
        <f aca="false">IF(ISBLANK($C495),"",IF(ISNUMBER($DA495),$DA495+ROW($B495)/1000,""))</f>
        <v/>
      </c>
      <c r="DF495" s="108" t="str">
        <f aca="false">IF(ISNUMBER($DE495),RANK($DE495,$DE$9:$DE$508,1),"")</f>
        <v/>
      </c>
      <c r="DG495" s="108" t="str">
        <f aca="false">IF(ISBLANK($C495),"",$B495)</f>
        <v/>
      </c>
      <c r="DH495" s="108" t="str">
        <f aca="false">IF(ISBLANK($C495),"",$C495)</f>
        <v/>
      </c>
      <c r="DI495" s="108" t="str">
        <f aca="false">IF(ISBLANK($C495),"",$D495)</f>
        <v/>
      </c>
      <c r="DJ495" s="109" t="str">
        <f aca="false">$CX495</f>
        <v/>
      </c>
      <c r="DK495" s="110" t="str">
        <f aca="false">$CW495</f>
        <v/>
      </c>
      <c r="DL495" s="108" t="str">
        <f aca="false">IF(ISBLANK($C495),"",$CZ495)</f>
        <v/>
      </c>
      <c r="DM495" s="111" t="str">
        <f aca="false">IF($DD495&gt;$DC$8,"",VLOOKUP($DD495,$DF$9:$DL$508,7,FALSE()))</f>
        <v/>
      </c>
      <c r="DN495" s="112" t="str">
        <f aca="false">IF($DD495&gt;$DC$8,"",VLOOKUP($DD495,$DF$9:$DL$508,2,FALSE()))</f>
        <v/>
      </c>
      <c r="DO495" s="112" t="str">
        <f aca="false">IF($DD495&gt;$DC$8,"",VLOOKUP($DD495,$DF$9:$DL$508,3,FALSE()))</f>
        <v/>
      </c>
      <c r="DP495" s="112" t="str">
        <f aca="false">IF($DD495&gt;$DC$8,"",VLOOKUP($DD495,$DF$9:$DL$508,4,FALSE()))</f>
        <v/>
      </c>
      <c r="DQ495" s="112" t="str">
        <f aca="false">IF($DD495&gt;$DC$8,"",VLOOKUP($DD495,$DF$9:$DL$508,5,FALSE()))</f>
        <v/>
      </c>
      <c r="DR495" s="113" t="str">
        <f aca="false">IF($DD495&gt;$DC$8,"",VLOOKUP($DD495,$DF$9:$DL$508,6,FALSE()))</f>
        <v/>
      </c>
      <c r="DS495" s="76"/>
    </row>
    <row r="496" customFormat="false" ht="15.75" hidden="false" customHeight="false" outlineLevel="0" collapsed="false">
      <c r="A496" s="9"/>
      <c r="B496" s="78"/>
      <c r="C496" s="79"/>
      <c r="D496" s="170"/>
      <c r="E496" s="178"/>
      <c r="F496" s="172"/>
      <c r="G496" s="173"/>
      <c r="H496" s="173"/>
      <c r="I496" s="179"/>
      <c r="J496" s="176"/>
      <c r="K496" s="86"/>
      <c r="L496" s="87"/>
      <c r="M496" s="88"/>
      <c r="N496" s="176"/>
      <c r="O496" s="176"/>
      <c r="P496" s="178"/>
      <c r="Q496" s="176"/>
      <c r="R496" s="176"/>
      <c r="S496" s="86"/>
      <c r="T496" s="88"/>
      <c r="U496" s="88"/>
      <c r="V496" s="176"/>
      <c r="W496" s="176"/>
      <c r="X496" s="178"/>
      <c r="Y496" s="176"/>
      <c r="Z496" s="177"/>
      <c r="AA496" s="176"/>
      <c r="AB496" s="92"/>
      <c r="AC496" s="93"/>
      <c r="AD496" s="93"/>
      <c r="AE496" s="93"/>
      <c r="AF496" s="93" t="str">
        <f aca="false">IF(ISBLANK($C496),"",IF(E496=Constants!$B$2,TRUE(),IF(E496=Constants!$B$3,FALSE(),TRUE())))</f>
        <v/>
      </c>
      <c r="AG496" s="93" t="str">
        <f aca="false">IF(ISBLANK($C496),"",IF(F496=Constants!$B$2,TRUE(),IF(F496=Constants!$B$3,FALSE(),TRUE())))</f>
        <v/>
      </c>
      <c r="AH496" s="93" t="str">
        <f aca="false">IF(ISBLANK($C496),"",IF(G496=Constants!$B$2,TRUE(),IF(G496=Constants!$B$3,FALSE(),TRUE())))</f>
        <v/>
      </c>
      <c r="AI496" s="93" t="str">
        <f aca="false">IF(ISBLANK($C496),"",IF(AND(ISNUMBER(H496),H496&gt;=0),H496,Constants!$B$24))</f>
        <v/>
      </c>
      <c r="AJ496" s="93" t="str">
        <f aca="false">IF(ISBLANK($C496),"",IF(I496=Constants!$B$2,TRUE(),IF(I496=Constants!$B$3,FALSE(),TRUE())))</f>
        <v/>
      </c>
      <c r="AK496" s="93" t="str">
        <f aca="false">IF(ISBLANK($C496),"",IF(J496=Constants!$B$2,TRUE(),IF(J496=Constants!$B$3,FALSE(),TRUE())))</f>
        <v/>
      </c>
      <c r="AL496" s="93" t="str">
        <f aca="false">IF(ISBLANK($C496),"",IF(K496=Constants!$B$4,TRUE(),IF(K496=Constants!$B$5,FALSE(),COUNTA(L496:P496)&gt;0)))</f>
        <v/>
      </c>
      <c r="AM496" s="95" t="str">
        <f aca="false">IF(ISBLANK($C496),"",IF(ISNUMBER(L496),IF(L496&gt;=0,L496,""),""))</f>
        <v/>
      </c>
      <c r="AN496" s="94" t="str">
        <f aca="false">IF(ISBLANK($C496),"",IF(ISNUMBER(M496),IF(M496&gt;=0,M496,""),""))</f>
        <v/>
      </c>
      <c r="AO496" s="94" t="str">
        <f aca="false">IF(ISBLANK($C496),"",IF(N496=Constants!$B$2,TRUE(),IF(N496=Constants!$B$3,FALSE(),TRUE())))</f>
        <v/>
      </c>
      <c r="AP496" s="93" t="str">
        <f aca="false">IF(ISBLANK($C496),"",IF(ISNUMBER(O496),IF(O496&gt;=0,O496,""),""))</f>
        <v/>
      </c>
      <c r="AQ496" s="93" t="str">
        <f aca="false">IF(ISBLANK($C496),"",IF(P496=Constants!$B$2,TRUE(),IF(P496=Constants!$B$3,FALSE(),FALSE())))</f>
        <v/>
      </c>
      <c r="AR496" s="93" t="str">
        <f aca="false">IF(ISBLANK($C496),"",IF(Q496=Constants!$B$2,TRUE(),IF(Q496=Constants!$B$3,FALSE(),TRUE())))</f>
        <v/>
      </c>
      <c r="AS496" s="93" t="str">
        <f aca="false">IF(ISBLANK($C496),"",IF(R496=Constants!$B$2,TRUE(),IF(R496=Constants!$B$3,FALSE(),TRUE())))</f>
        <v/>
      </c>
      <c r="AT496" s="93" t="str">
        <f aca="false">IF(ISBLANK($C496),"",IF(S496=Constants!$B$4,TRUE(),IF(S496=Constants!$B$5,FALSE(),COUNTA(T496:X496)&gt;0)))</f>
        <v/>
      </c>
      <c r="AU496" s="95" t="str">
        <f aca="false">IF(ISBLANK($C496),"",IF(ISNUMBER(T496),IF(T496&gt;=0,T496,""),""))</f>
        <v/>
      </c>
      <c r="AV496" s="94" t="str">
        <f aca="false">IF(ISBLANK($C496),"",IF(ISNUMBER(U496),IF(U496&gt;=0,U496,""),""))</f>
        <v/>
      </c>
      <c r="AW496" s="94" t="str">
        <f aca="false">IF(ISBLANK($C496),"",IF(V496=Constants!$B$2,TRUE(),IF(V496=Constants!$B$3,FALSE(),TRUE())))</f>
        <v/>
      </c>
      <c r="AX496" s="93" t="str">
        <f aca="false">IF(ISBLANK($C496),"",IF(ISNUMBER(W496),IF(W496&gt;=0,W496,""),""))</f>
        <v/>
      </c>
      <c r="AY496" s="93" t="str">
        <f aca="false">IF(ISBLANK($C496),"",IF(X496=Constants!$B$2,TRUE(),IF(X496=Constants!$B$3,FALSE(),FALSE())))</f>
        <v/>
      </c>
      <c r="AZ496" s="93" t="str">
        <f aca="false">IF(ISBLANK($C496),"",MIN(Constants!$B$25,MAX(0,IF(ISNUMBER(Y496),Y496*60,0)+IF(ISNUMBER(Z496),Z496,0))))</f>
        <v/>
      </c>
      <c r="BA496" s="93" t="str">
        <f aca="false">IF(ISBLANK($C496),"",IF(AA496=Constants!$B$2,TRUE(),IF(AA496=Constants!$B$3,FALSE(),FALSE())))</f>
        <v/>
      </c>
      <c r="BB496" s="92" t="str">
        <f aca="false">IF(ISBLANK($C496),"",AND($AL496,OR($AM496="",$AN496="",AND($AO496,$AP496=""))))</f>
        <v/>
      </c>
      <c r="BC496" s="94" t="str">
        <f aca="false">IF($BX496&lt;&gt;Constants!$B$6,"",IF($AL496,Constants!$B$17*$AN496+Constants!$B$18*IF($AO496,$AP496,Constants!$B$19),Constants!$B$20))</f>
        <v/>
      </c>
      <c r="BD496" s="97" t="str">
        <f aca="false">IF($BX496&lt;&gt;Constants!$B$6,"",Constants!$B$21*ABS($AD$9-IF($AL496,$AM496,0)))</f>
        <v/>
      </c>
      <c r="BE496" s="97" t="str">
        <f aca="false">IF($BX496&lt;&gt;Constants!$B$6,"",IF(AND($AL496,$AQ496,$AO496),Constants!$B$22,0))</f>
        <v/>
      </c>
      <c r="BF496" s="97" t="str">
        <f aca="false">IF($BX496&lt;&gt;Constants!$B$6,"",IF($AL496,($AI496-Constants!$B$24)*Constants!$B$23,0))</f>
        <v/>
      </c>
      <c r="BG496" s="97" t="str">
        <f aca="false">IF($BX496&lt;&gt;Constants!$B$6,"",IF($AK496,0,Constants!$B$12)+IF($AJ496,0,Constants!$B$13)+IF($AH496,0,Constants!$B$14))</f>
        <v/>
      </c>
      <c r="BH496" s="98" t="str">
        <f aca="false">IF($BX496&lt;&gt;Constants!$B$6,"",Constants!$B$16+SUM($BC496:$BG496))</f>
        <v/>
      </c>
      <c r="BI496" s="97" t="str">
        <f aca="false">IF($BX496&lt;&gt;Constants!$B$6,"",$BC496)</f>
        <v/>
      </c>
      <c r="BJ496" s="97" t="str">
        <f aca="false">IF($BX496&lt;&gt;Constants!$B$6,"",$BD496)</f>
        <v/>
      </c>
      <c r="BK496" s="99" t="str">
        <f aca="false">IF($BX496&lt;&gt;Constants!$B$6,"",IF($AL496,$AN496,""))</f>
        <v/>
      </c>
      <c r="BL496" s="93" t="str">
        <f aca="false">IF($BX496&lt;&gt;Constants!$B$6,"",IF(OR($BS496&lt;$BH496,AND($BS496=$BH496,OR($BT496&lt;$BI496,AND($BT496=$BI496,OR($BU496&lt;$BJ496,AND($BU496=$BJ496,AND(ISNUMBER($BV496),OR(NOT(ISNUMBER($BK496)),$BV496&lt;$BK496)))))))),"-&gt;","&lt;-"))</f>
        <v/>
      </c>
      <c r="BM496" s="92" t="str">
        <f aca="false">IF(ISBLANK($C496),"",AND($AT496,OR($AU496="",$AV496="",AND($AW496,$AX496=""))))</f>
        <v/>
      </c>
      <c r="BN496" s="94" t="str">
        <f aca="false">IF($BX496&lt;&gt;Constants!$B$6,"",IF($AT496,Constants!$B$17*$AV496+Constants!$B$18*IF($AW496,$AX496,Constants!$B$19),Constants!$B$20))</f>
        <v/>
      </c>
      <c r="BO496" s="97" t="str">
        <f aca="false">IF($BX496&lt;&gt;Constants!$B$6,"",Constants!$B$21*ABS($AD$9-IF($AT496,$AU496,0)))</f>
        <v/>
      </c>
      <c r="BP496" s="97" t="str">
        <f aca="false">IF($BX496&lt;&gt;Constants!$B$6,"",IF(AND($AT496,$AY496,$AW496),Constants!$B$22,0))</f>
        <v/>
      </c>
      <c r="BQ496" s="97" t="str">
        <f aca="false">IF($BX496&lt;&gt;Constants!$B$6,"",IF($AT496,($AI496-Constants!$B$24)*Constants!$B$23,0))</f>
        <v/>
      </c>
      <c r="BR496" s="97" t="str">
        <f aca="false">IF($BX496&lt;&gt;Constants!$B$6,"",IF($AS496,0,Constants!$B$12)+IF($AR496,0,Constants!$B$13)+IF($AH496,0,Constants!$B$14))</f>
        <v/>
      </c>
      <c r="BS496" s="98" t="str">
        <f aca="false">IF($BX496&lt;&gt;Constants!$B$6,"",Constants!$B$16+SUM($BN496:$BR496))</f>
        <v/>
      </c>
      <c r="BT496" s="97" t="str">
        <f aca="false">IF($BX496&lt;&gt;Constants!$B$6,"",$BN496)</f>
        <v/>
      </c>
      <c r="BU496" s="97" t="str">
        <f aca="false">IF($BX496&lt;&gt;Constants!$B$6,"",$BO496)</f>
        <v/>
      </c>
      <c r="BV496" s="99" t="str">
        <f aca="false">IF($BX496&lt;&gt;Constants!$B$6,"",IF($AT496,$AV496,""))</f>
        <v/>
      </c>
      <c r="BW496" s="93" t="str">
        <f aca="false">IF(ISBLANK($C496),"",IF(ISBLANK($D$7),$BW$5,IF(NOT(ISNUMBER($D$7)),$BW$6,"")))</f>
        <v/>
      </c>
      <c r="BX496" s="93" t="str">
        <f aca="false">IF(ISBLANK($C496),"",IF($BA496,Constants!$B$9,IF(COUNTA($E496:$AA496)=0,Constants!$B$8,IF(NOT($AG496),Constants!$B$7,IF(OR($BW496&lt;&gt;"",$BB496,$BM496),Constants!$B$10,Constants!$B$6)))))</f>
        <v/>
      </c>
      <c r="BY496" s="93" t="str">
        <f aca="false">IF(ISBLANK($C496),"",IF($BX496&lt;&gt;Constants!$B$6,$BX496,Constants!$B$11))</f>
        <v/>
      </c>
      <c r="BZ496" s="97" t="str">
        <f aca="false">IF($BX496&lt;&gt;Constants!$B$6,"",IF($BL496="-&gt;",$BS496,$BH496))</f>
        <v/>
      </c>
      <c r="CA496" s="97" t="str">
        <f aca="false">IF($BX496&lt;&gt;Constants!$B$6,"",IF($AF496,0,Constants!$B$15))</f>
        <v/>
      </c>
      <c r="CB496" s="97" t="str">
        <f aca="false">IF($BX496&lt;&gt;Constants!$B$6,"",((Constants!$B$25-$AZ496)-Constants!$B$25)/Constants!$B$26)</f>
        <v/>
      </c>
      <c r="CC496" s="97" t="str">
        <f aca="false">IF(ISBLANK($C496),"",IF($BX496&lt;&gt;Constants!$B$6,$BX496,SUM($BZ496:$CB496)))</f>
        <v/>
      </c>
      <c r="CD496" s="93" t="str">
        <f aca="false">IF(ISBLANK($C496),"",IF($BX496&lt;&gt;Constants!$B$6,$BX496,RANK($CC496,$CC$9:$CC$508,1)))</f>
        <v/>
      </c>
      <c r="CE496" s="97" t="str">
        <f aca="false">IF($BX496&lt;&gt;Constants!$B$6,"",IF($BL496="-&gt;",$BT496,$BI496))</f>
        <v/>
      </c>
      <c r="CF496" s="93" t="str">
        <f aca="false">IF(ISBLANK($C496),"",IF($BX496&lt;&gt;Constants!$B$6,$BX496,IF(ISNUMBER($CE496),RANK($CE496,$CE$9:$CE$508,1),COUNT($CE$9:$CE$508)+1)))</f>
        <v/>
      </c>
      <c r="CG496" s="97" t="str">
        <f aca="false">IF($BX496&lt;&gt;Constants!$B$6,"",IF($BL496="-&gt;",$BU496,$BJ496))</f>
        <v/>
      </c>
      <c r="CH496" s="93" t="str">
        <f aca="false">IF(ISBLANK($C496),"",IF($BX496&lt;&gt;Constants!$B$6,$BX496,IF(ISNUMBER($CG496),RANK($CG496,$CG$9:$CG$508,1),COUNT($CG$9:$CG$508)+1)))</f>
        <v/>
      </c>
      <c r="CI496" s="97" t="str">
        <f aca="false">IF($BX496&lt;&gt;Constants!$B$6,"",IF($BL496="-&gt;",$BV496,$BK496))</f>
        <v/>
      </c>
      <c r="CJ496" s="93" t="str">
        <f aca="false">IF(ISBLANK($C496),"",IF($BX496&lt;&gt;Constants!$B$6,$BX496,IF(ISNUMBER($CI496),RANK($CI496,$CI$9:$CI$508,1),COUNT($CI$9:$CI$508)+1)))</f>
        <v/>
      </c>
      <c r="CK496" s="97" t="str">
        <f aca="false">IF($BX496&lt;&gt;Constants!$B$6,"",$AI496)</f>
        <v/>
      </c>
      <c r="CL496" s="93" t="str">
        <f aca="false">IF(ISBLANK($C496),"",IF($BX496&lt;&gt;Constants!$B$6,$BX496,IF(ISNUMBER($CK496),RANK($CK496,$CK$9:$CK$508,1),COUNT($CK$9:$CK$508)+1)))</f>
        <v/>
      </c>
      <c r="CM496" s="93" t="str">
        <f aca="false">IF(ISBLANK($C496),"",IF($BX496&lt;&gt;Constants!$B$6,$BX496,COUNTIFS($CD$9:$CD$508,"&lt;"&amp;$CD496)+COUNTIFS($CD$9:$CD$508,$CD496,$CF$9:$CF$508,"&lt;"&amp;$CF496)+COUNTIFS($CD$9:$CD$508,$CD496,$CF$9:$CF$508,$CF496,$CH$9:$CH$508,"&lt;"&amp;$CH496)+COUNTIFS($CD$9:$CD$508,$CD496,$CF$9:$CF$508,$CF496,$CH$9:$CH$508,$CH496,$CJ$9:$CJ$508,"&lt;"&amp;$CJ496)+COUNTIFS($CD$9:$CD$508,$CD496,$CF$9:$CF$508,$CF496,$CH$9:$CH$508,$CH496,$CJ$9:$CJ$508,$CJ496,$CL$9:$CL$508,"&lt;"&amp;$CL496)+1))</f>
        <v/>
      </c>
      <c r="CN496" s="93" t="str">
        <f aca="false">IF(ISBLANK($C496),"",IF($BX496&lt;&gt;Constants!$B$6,$BX496,$CD496-$CM496))</f>
        <v/>
      </c>
      <c r="CO496" s="100"/>
      <c r="CP496" s="101"/>
      <c r="CQ496" s="102" t="str">
        <f aca="false">IF(ISBLANK($C496),"",IF($BX496=Constants!$B$10,$BW496,""))</f>
        <v/>
      </c>
      <c r="CR496" s="101" t="str">
        <f aca="false">IF(ISBLANK($C496),"",IF($BX496&lt;&gt;Constants!$B$6,"",IF($BL496="-&gt;",2,1)))</f>
        <v/>
      </c>
      <c r="CS496" s="103" t="str">
        <f aca="false">IF(ISBLANK($C496),"",IF($BX496&lt;&gt;Constants!$B$6,"",IF($BL496="-&gt;",$BN496,$BC496)))</f>
        <v/>
      </c>
      <c r="CT496" s="103" t="str">
        <f aca="false">IF(ISBLANK($C496),"",IF($BX496&lt;&gt;Constants!$B$6,"",IF($BL496="-&gt;",$BO496,$BD496)))</f>
        <v/>
      </c>
      <c r="CU496" s="103" t="str">
        <f aca="false">IF(ISBLANK($C496),"",IF($BX496&lt;&gt;Constants!$B$6,"",IF($BL496="-&gt;",$BP496+$BQ496,$BE496+$BF496)+$CB496))</f>
        <v/>
      </c>
      <c r="CV496" s="103" t="str">
        <f aca="false">IF(ISBLANK($C496),"",IF($BX496&lt;&gt;Constants!$B$6,"",IF($BL496="-&gt;",$BR496,$BG496)+$CA496))</f>
        <v/>
      </c>
      <c r="CW496" s="104" t="str">
        <f aca="false">IF(ISBLANK($C496),"",IF($BX496&lt;&gt;Constants!$B$6,$BX496,$CC496))</f>
        <v/>
      </c>
      <c r="CX496" s="105" t="str">
        <f aca="false">IF(ISBLANK($C496),"",$BY496)</f>
        <v/>
      </c>
      <c r="CY496" s="106" t="str">
        <f aca="false">IF(ISBLANK($C496),"",$CN496)</f>
        <v/>
      </c>
      <c r="CZ496" s="106" t="str">
        <f aca="false">IF(ISBLANK($C496),"",$CM496)</f>
        <v/>
      </c>
      <c r="DA496" s="107" t="str">
        <f aca="false">IF(ISBLANK($C496),"",IFERROR(_xlfn.SWITCH($CZ496,Constants!$B$9,COUNTA($C$9:$C$508)+2,Constants!$B$8,COUNTA($C$9:$C$508)+1,Constants!$B$7,COUNTA($C$9:$C$508)),$CZ496))</f>
        <v/>
      </c>
      <c r="DB496" s="9"/>
      <c r="DC496" s="108" t="n">
        <f aca="false">IF(OR(ISNUMBER($CZ496),$CZ496=Constants!$B$9,$CZ496=Constants!$B$7,$CZ496=Constants!$B$8),1,0)</f>
        <v>0</v>
      </c>
      <c r="DD496" s="108" t="n">
        <v>488</v>
      </c>
      <c r="DE496" s="108" t="str">
        <f aca="false">IF(ISBLANK($C496),"",IF(ISNUMBER($DA496),$DA496+ROW($B496)/1000,""))</f>
        <v/>
      </c>
      <c r="DF496" s="108" t="str">
        <f aca="false">IF(ISNUMBER($DE496),RANK($DE496,$DE$9:$DE$508,1),"")</f>
        <v/>
      </c>
      <c r="DG496" s="108" t="str">
        <f aca="false">IF(ISBLANK($C496),"",$B496)</f>
        <v/>
      </c>
      <c r="DH496" s="108" t="str">
        <f aca="false">IF(ISBLANK($C496),"",$C496)</f>
        <v/>
      </c>
      <c r="DI496" s="108" t="str">
        <f aca="false">IF(ISBLANK($C496),"",$D496)</f>
        <v/>
      </c>
      <c r="DJ496" s="109" t="str">
        <f aca="false">$CX496</f>
        <v/>
      </c>
      <c r="DK496" s="110" t="str">
        <f aca="false">$CW496</f>
        <v/>
      </c>
      <c r="DL496" s="108" t="str">
        <f aca="false">IF(ISBLANK($C496),"",$CZ496)</f>
        <v/>
      </c>
      <c r="DM496" s="111" t="str">
        <f aca="false">IF($DD496&gt;$DC$8,"",VLOOKUP($DD496,$DF$9:$DL$508,7,FALSE()))</f>
        <v/>
      </c>
      <c r="DN496" s="112" t="str">
        <f aca="false">IF($DD496&gt;$DC$8,"",VLOOKUP($DD496,$DF$9:$DL$508,2,FALSE()))</f>
        <v/>
      </c>
      <c r="DO496" s="112" t="str">
        <f aca="false">IF($DD496&gt;$DC$8,"",VLOOKUP($DD496,$DF$9:$DL$508,3,FALSE()))</f>
        <v/>
      </c>
      <c r="DP496" s="112" t="str">
        <f aca="false">IF($DD496&gt;$DC$8,"",VLOOKUP($DD496,$DF$9:$DL$508,4,FALSE()))</f>
        <v/>
      </c>
      <c r="DQ496" s="112" t="str">
        <f aca="false">IF($DD496&gt;$DC$8,"",VLOOKUP($DD496,$DF$9:$DL$508,5,FALSE()))</f>
        <v/>
      </c>
      <c r="DR496" s="113" t="str">
        <f aca="false">IF($DD496&gt;$DC$8,"",VLOOKUP($DD496,$DF$9:$DL$508,6,FALSE()))</f>
        <v/>
      </c>
      <c r="DS496" s="76"/>
    </row>
    <row r="497" customFormat="false" ht="15.75" hidden="false" customHeight="false" outlineLevel="0" collapsed="false">
      <c r="A497" s="9"/>
      <c r="B497" s="78"/>
      <c r="C497" s="79"/>
      <c r="D497" s="170"/>
      <c r="E497" s="178"/>
      <c r="F497" s="172"/>
      <c r="G497" s="173"/>
      <c r="H497" s="173"/>
      <c r="I497" s="179"/>
      <c r="J497" s="176"/>
      <c r="K497" s="86"/>
      <c r="L497" s="87"/>
      <c r="M497" s="88"/>
      <c r="N497" s="176"/>
      <c r="O497" s="176"/>
      <c r="P497" s="178"/>
      <c r="Q497" s="176"/>
      <c r="R497" s="176"/>
      <c r="S497" s="86"/>
      <c r="T497" s="88"/>
      <c r="U497" s="88"/>
      <c r="V497" s="176"/>
      <c r="W497" s="176"/>
      <c r="X497" s="178"/>
      <c r="Y497" s="176"/>
      <c r="Z497" s="177"/>
      <c r="AA497" s="176"/>
      <c r="AB497" s="92"/>
      <c r="AC497" s="93"/>
      <c r="AD497" s="93"/>
      <c r="AE497" s="93"/>
      <c r="AF497" s="93" t="str">
        <f aca="false">IF(ISBLANK($C497),"",IF(E497=Constants!$B$2,TRUE(),IF(E497=Constants!$B$3,FALSE(),TRUE())))</f>
        <v/>
      </c>
      <c r="AG497" s="93" t="str">
        <f aca="false">IF(ISBLANK($C497),"",IF(F497=Constants!$B$2,TRUE(),IF(F497=Constants!$B$3,FALSE(),TRUE())))</f>
        <v/>
      </c>
      <c r="AH497" s="93" t="str">
        <f aca="false">IF(ISBLANK($C497),"",IF(G497=Constants!$B$2,TRUE(),IF(G497=Constants!$B$3,FALSE(),TRUE())))</f>
        <v/>
      </c>
      <c r="AI497" s="93" t="str">
        <f aca="false">IF(ISBLANK($C497),"",IF(AND(ISNUMBER(H497),H497&gt;=0),H497,Constants!$B$24))</f>
        <v/>
      </c>
      <c r="AJ497" s="93" t="str">
        <f aca="false">IF(ISBLANK($C497),"",IF(I497=Constants!$B$2,TRUE(),IF(I497=Constants!$B$3,FALSE(),TRUE())))</f>
        <v/>
      </c>
      <c r="AK497" s="93" t="str">
        <f aca="false">IF(ISBLANK($C497),"",IF(J497=Constants!$B$2,TRUE(),IF(J497=Constants!$B$3,FALSE(),TRUE())))</f>
        <v/>
      </c>
      <c r="AL497" s="93" t="str">
        <f aca="false">IF(ISBLANK($C497),"",IF(K497=Constants!$B$4,TRUE(),IF(K497=Constants!$B$5,FALSE(),COUNTA(L497:P497)&gt;0)))</f>
        <v/>
      </c>
      <c r="AM497" s="95" t="str">
        <f aca="false">IF(ISBLANK($C497),"",IF(ISNUMBER(L497),IF(L497&gt;=0,L497,""),""))</f>
        <v/>
      </c>
      <c r="AN497" s="94" t="str">
        <f aca="false">IF(ISBLANK($C497),"",IF(ISNUMBER(M497),IF(M497&gt;=0,M497,""),""))</f>
        <v/>
      </c>
      <c r="AO497" s="94" t="str">
        <f aca="false">IF(ISBLANK($C497),"",IF(N497=Constants!$B$2,TRUE(),IF(N497=Constants!$B$3,FALSE(),TRUE())))</f>
        <v/>
      </c>
      <c r="AP497" s="93" t="str">
        <f aca="false">IF(ISBLANK($C497),"",IF(ISNUMBER(O497),IF(O497&gt;=0,O497,""),""))</f>
        <v/>
      </c>
      <c r="AQ497" s="93" t="str">
        <f aca="false">IF(ISBLANK($C497),"",IF(P497=Constants!$B$2,TRUE(),IF(P497=Constants!$B$3,FALSE(),FALSE())))</f>
        <v/>
      </c>
      <c r="AR497" s="93" t="str">
        <f aca="false">IF(ISBLANK($C497),"",IF(Q497=Constants!$B$2,TRUE(),IF(Q497=Constants!$B$3,FALSE(),TRUE())))</f>
        <v/>
      </c>
      <c r="AS497" s="93" t="str">
        <f aca="false">IF(ISBLANK($C497),"",IF(R497=Constants!$B$2,TRUE(),IF(R497=Constants!$B$3,FALSE(),TRUE())))</f>
        <v/>
      </c>
      <c r="AT497" s="93" t="str">
        <f aca="false">IF(ISBLANK($C497),"",IF(S497=Constants!$B$4,TRUE(),IF(S497=Constants!$B$5,FALSE(),COUNTA(T497:X497)&gt;0)))</f>
        <v/>
      </c>
      <c r="AU497" s="95" t="str">
        <f aca="false">IF(ISBLANK($C497),"",IF(ISNUMBER(T497),IF(T497&gt;=0,T497,""),""))</f>
        <v/>
      </c>
      <c r="AV497" s="94" t="str">
        <f aca="false">IF(ISBLANK($C497),"",IF(ISNUMBER(U497),IF(U497&gt;=0,U497,""),""))</f>
        <v/>
      </c>
      <c r="AW497" s="94" t="str">
        <f aca="false">IF(ISBLANK($C497),"",IF(V497=Constants!$B$2,TRUE(),IF(V497=Constants!$B$3,FALSE(),TRUE())))</f>
        <v/>
      </c>
      <c r="AX497" s="93" t="str">
        <f aca="false">IF(ISBLANK($C497),"",IF(ISNUMBER(W497),IF(W497&gt;=0,W497,""),""))</f>
        <v/>
      </c>
      <c r="AY497" s="93" t="str">
        <f aca="false">IF(ISBLANK($C497),"",IF(X497=Constants!$B$2,TRUE(),IF(X497=Constants!$B$3,FALSE(),FALSE())))</f>
        <v/>
      </c>
      <c r="AZ497" s="93" t="str">
        <f aca="false">IF(ISBLANK($C497),"",MIN(Constants!$B$25,MAX(0,IF(ISNUMBER(Y497),Y497*60,0)+IF(ISNUMBER(Z497),Z497,0))))</f>
        <v/>
      </c>
      <c r="BA497" s="93" t="str">
        <f aca="false">IF(ISBLANK($C497),"",IF(AA497=Constants!$B$2,TRUE(),IF(AA497=Constants!$B$3,FALSE(),FALSE())))</f>
        <v/>
      </c>
      <c r="BB497" s="92" t="str">
        <f aca="false">IF(ISBLANK($C497),"",AND($AL497,OR($AM497="",$AN497="",AND($AO497,$AP497=""))))</f>
        <v/>
      </c>
      <c r="BC497" s="94" t="str">
        <f aca="false">IF($BX497&lt;&gt;Constants!$B$6,"",IF($AL497,Constants!$B$17*$AN497+Constants!$B$18*IF($AO497,$AP497,Constants!$B$19),Constants!$B$20))</f>
        <v/>
      </c>
      <c r="BD497" s="97" t="str">
        <f aca="false">IF($BX497&lt;&gt;Constants!$B$6,"",Constants!$B$21*ABS($AD$9-IF($AL497,$AM497,0)))</f>
        <v/>
      </c>
      <c r="BE497" s="97" t="str">
        <f aca="false">IF($BX497&lt;&gt;Constants!$B$6,"",IF(AND($AL497,$AQ497,$AO497),Constants!$B$22,0))</f>
        <v/>
      </c>
      <c r="BF497" s="97" t="str">
        <f aca="false">IF($BX497&lt;&gt;Constants!$B$6,"",IF($AL497,($AI497-Constants!$B$24)*Constants!$B$23,0))</f>
        <v/>
      </c>
      <c r="BG497" s="97" t="str">
        <f aca="false">IF($BX497&lt;&gt;Constants!$B$6,"",IF($AK497,0,Constants!$B$12)+IF($AJ497,0,Constants!$B$13)+IF($AH497,0,Constants!$B$14))</f>
        <v/>
      </c>
      <c r="BH497" s="98" t="str">
        <f aca="false">IF($BX497&lt;&gt;Constants!$B$6,"",Constants!$B$16+SUM($BC497:$BG497))</f>
        <v/>
      </c>
      <c r="BI497" s="97" t="str">
        <f aca="false">IF($BX497&lt;&gt;Constants!$B$6,"",$BC497)</f>
        <v/>
      </c>
      <c r="BJ497" s="97" t="str">
        <f aca="false">IF($BX497&lt;&gt;Constants!$B$6,"",$BD497)</f>
        <v/>
      </c>
      <c r="BK497" s="99" t="str">
        <f aca="false">IF($BX497&lt;&gt;Constants!$B$6,"",IF($AL497,$AN497,""))</f>
        <v/>
      </c>
      <c r="BL497" s="93" t="str">
        <f aca="false">IF($BX497&lt;&gt;Constants!$B$6,"",IF(OR($BS497&lt;$BH497,AND($BS497=$BH497,OR($BT497&lt;$BI497,AND($BT497=$BI497,OR($BU497&lt;$BJ497,AND($BU497=$BJ497,AND(ISNUMBER($BV497),OR(NOT(ISNUMBER($BK497)),$BV497&lt;$BK497)))))))),"-&gt;","&lt;-"))</f>
        <v/>
      </c>
      <c r="BM497" s="92" t="str">
        <f aca="false">IF(ISBLANK($C497),"",AND($AT497,OR($AU497="",$AV497="",AND($AW497,$AX497=""))))</f>
        <v/>
      </c>
      <c r="BN497" s="94" t="str">
        <f aca="false">IF($BX497&lt;&gt;Constants!$B$6,"",IF($AT497,Constants!$B$17*$AV497+Constants!$B$18*IF($AW497,$AX497,Constants!$B$19),Constants!$B$20))</f>
        <v/>
      </c>
      <c r="BO497" s="97" t="str">
        <f aca="false">IF($BX497&lt;&gt;Constants!$B$6,"",Constants!$B$21*ABS($AD$9-IF($AT497,$AU497,0)))</f>
        <v/>
      </c>
      <c r="BP497" s="97" t="str">
        <f aca="false">IF($BX497&lt;&gt;Constants!$B$6,"",IF(AND($AT497,$AY497,$AW497),Constants!$B$22,0))</f>
        <v/>
      </c>
      <c r="BQ497" s="97" t="str">
        <f aca="false">IF($BX497&lt;&gt;Constants!$B$6,"",IF($AT497,($AI497-Constants!$B$24)*Constants!$B$23,0))</f>
        <v/>
      </c>
      <c r="BR497" s="97" t="str">
        <f aca="false">IF($BX497&lt;&gt;Constants!$B$6,"",IF($AS497,0,Constants!$B$12)+IF($AR497,0,Constants!$B$13)+IF($AH497,0,Constants!$B$14))</f>
        <v/>
      </c>
      <c r="BS497" s="98" t="str">
        <f aca="false">IF($BX497&lt;&gt;Constants!$B$6,"",Constants!$B$16+SUM($BN497:$BR497))</f>
        <v/>
      </c>
      <c r="BT497" s="97" t="str">
        <f aca="false">IF($BX497&lt;&gt;Constants!$B$6,"",$BN497)</f>
        <v/>
      </c>
      <c r="BU497" s="97" t="str">
        <f aca="false">IF($BX497&lt;&gt;Constants!$B$6,"",$BO497)</f>
        <v/>
      </c>
      <c r="BV497" s="99" t="str">
        <f aca="false">IF($BX497&lt;&gt;Constants!$B$6,"",IF($AT497,$AV497,""))</f>
        <v/>
      </c>
      <c r="BW497" s="93" t="str">
        <f aca="false">IF(ISBLANK($C497),"",IF(ISBLANK($D$7),$BW$5,IF(NOT(ISNUMBER($D$7)),$BW$6,"")))</f>
        <v/>
      </c>
      <c r="BX497" s="93" t="str">
        <f aca="false">IF(ISBLANK($C497),"",IF($BA497,Constants!$B$9,IF(COUNTA($E497:$AA497)=0,Constants!$B$8,IF(NOT($AG497),Constants!$B$7,IF(OR($BW497&lt;&gt;"",$BB497,$BM497),Constants!$B$10,Constants!$B$6)))))</f>
        <v/>
      </c>
      <c r="BY497" s="93" t="str">
        <f aca="false">IF(ISBLANK($C497),"",IF($BX497&lt;&gt;Constants!$B$6,$BX497,Constants!$B$11))</f>
        <v/>
      </c>
      <c r="BZ497" s="97" t="str">
        <f aca="false">IF($BX497&lt;&gt;Constants!$B$6,"",IF($BL497="-&gt;",$BS497,$BH497))</f>
        <v/>
      </c>
      <c r="CA497" s="97" t="str">
        <f aca="false">IF($BX497&lt;&gt;Constants!$B$6,"",IF($AF497,0,Constants!$B$15))</f>
        <v/>
      </c>
      <c r="CB497" s="97" t="str">
        <f aca="false">IF($BX497&lt;&gt;Constants!$B$6,"",((Constants!$B$25-$AZ497)-Constants!$B$25)/Constants!$B$26)</f>
        <v/>
      </c>
      <c r="CC497" s="97" t="str">
        <f aca="false">IF(ISBLANK($C497),"",IF($BX497&lt;&gt;Constants!$B$6,$BX497,SUM($BZ497:$CB497)))</f>
        <v/>
      </c>
      <c r="CD497" s="93" t="str">
        <f aca="false">IF(ISBLANK($C497),"",IF($BX497&lt;&gt;Constants!$B$6,$BX497,RANK($CC497,$CC$9:$CC$508,1)))</f>
        <v/>
      </c>
      <c r="CE497" s="97" t="str">
        <f aca="false">IF($BX497&lt;&gt;Constants!$B$6,"",IF($BL497="-&gt;",$BT497,$BI497))</f>
        <v/>
      </c>
      <c r="CF497" s="93" t="str">
        <f aca="false">IF(ISBLANK($C497),"",IF($BX497&lt;&gt;Constants!$B$6,$BX497,IF(ISNUMBER($CE497),RANK($CE497,$CE$9:$CE$508,1),COUNT($CE$9:$CE$508)+1)))</f>
        <v/>
      </c>
      <c r="CG497" s="97" t="str">
        <f aca="false">IF($BX497&lt;&gt;Constants!$B$6,"",IF($BL497="-&gt;",$BU497,$BJ497))</f>
        <v/>
      </c>
      <c r="CH497" s="93" t="str">
        <f aca="false">IF(ISBLANK($C497),"",IF($BX497&lt;&gt;Constants!$B$6,$BX497,IF(ISNUMBER($CG497),RANK($CG497,$CG$9:$CG$508,1),COUNT($CG$9:$CG$508)+1)))</f>
        <v/>
      </c>
      <c r="CI497" s="97" t="str">
        <f aca="false">IF($BX497&lt;&gt;Constants!$B$6,"",IF($BL497="-&gt;",$BV497,$BK497))</f>
        <v/>
      </c>
      <c r="CJ497" s="93" t="str">
        <f aca="false">IF(ISBLANK($C497),"",IF($BX497&lt;&gt;Constants!$B$6,$BX497,IF(ISNUMBER($CI497),RANK($CI497,$CI$9:$CI$508,1),COUNT($CI$9:$CI$508)+1)))</f>
        <v/>
      </c>
      <c r="CK497" s="97" t="str">
        <f aca="false">IF($BX497&lt;&gt;Constants!$B$6,"",$AI497)</f>
        <v/>
      </c>
      <c r="CL497" s="93" t="str">
        <f aca="false">IF(ISBLANK($C497),"",IF($BX497&lt;&gt;Constants!$B$6,$BX497,IF(ISNUMBER($CK497),RANK($CK497,$CK$9:$CK$508,1),COUNT($CK$9:$CK$508)+1)))</f>
        <v/>
      </c>
      <c r="CM497" s="93" t="str">
        <f aca="false">IF(ISBLANK($C497),"",IF($BX497&lt;&gt;Constants!$B$6,$BX497,COUNTIFS($CD$9:$CD$508,"&lt;"&amp;$CD497)+COUNTIFS($CD$9:$CD$508,$CD497,$CF$9:$CF$508,"&lt;"&amp;$CF497)+COUNTIFS($CD$9:$CD$508,$CD497,$CF$9:$CF$508,$CF497,$CH$9:$CH$508,"&lt;"&amp;$CH497)+COUNTIFS($CD$9:$CD$508,$CD497,$CF$9:$CF$508,$CF497,$CH$9:$CH$508,$CH497,$CJ$9:$CJ$508,"&lt;"&amp;$CJ497)+COUNTIFS($CD$9:$CD$508,$CD497,$CF$9:$CF$508,$CF497,$CH$9:$CH$508,$CH497,$CJ$9:$CJ$508,$CJ497,$CL$9:$CL$508,"&lt;"&amp;$CL497)+1))</f>
        <v/>
      </c>
      <c r="CN497" s="93" t="str">
        <f aca="false">IF(ISBLANK($C497),"",IF($BX497&lt;&gt;Constants!$B$6,$BX497,$CD497-$CM497))</f>
        <v/>
      </c>
      <c r="CO497" s="100"/>
      <c r="CP497" s="101"/>
      <c r="CQ497" s="102" t="str">
        <f aca="false">IF(ISBLANK($C497),"",IF($BX497=Constants!$B$10,$BW497,""))</f>
        <v/>
      </c>
      <c r="CR497" s="101" t="str">
        <f aca="false">IF(ISBLANK($C497),"",IF($BX497&lt;&gt;Constants!$B$6,"",IF($BL497="-&gt;",2,1)))</f>
        <v/>
      </c>
      <c r="CS497" s="103" t="str">
        <f aca="false">IF(ISBLANK($C497),"",IF($BX497&lt;&gt;Constants!$B$6,"",IF($BL497="-&gt;",$BN497,$BC497)))</f>
        <v/>
      </c>
      <c r="CT497" s="103" t="str">
        <f aca="false">IF(ISBLANK($C497),"",IF($BX497&lt;&gt;Constants!$B$6,"",IF($BL497="-&gt;",$BO497,$BD497)))</f>
        <v/>
      </c>
      <c r="CU497" s="103" t="str">
        <f aca="false">IF(ISBLANK($C497),"",IF($BX497&lt;&gt;Constants!$B$6,"",IF($BL497="-&gt;",$BP497+$BQ497,$BE497+$BF497)+$CB497))</f>
        <v/>
      </c>
      <c r="CV497" s="103" t="str">
        <f aca="false">IF(ISBLANK($C497),"",IF($BX497&lt;&gt;Constants!$B$6,"",IF($BL497="-&gt;",$BR497,$BG497)+$CA497))</f>
        <v/>
      </c>
      <c r="CW497" s="104" t="str">
        <f aca="false">IF(ISBLANK($C497),"",IF($BX497&lt;&gt;Constants!$B$6,$BX497,$CC497))</f>
        <v/>
      </c>
      <c r="CX497" s="105" t="str">
        <f aca="false">IF(ISBLANK($C497),"",$BY497)</f>
        <v/>
      </c>
      <c r="CY497" s="106" t="str">
        <f aca="false">IF(ISBLANK($C497),"",$CN497)</f>
        <v/>
      </c>
      <c r="CZ497" s="106" t="str">
        <f aca="false">IF(ISBLANK($C497),"",$CM497)</f>
        <v/>
      </c>
      <c r="DA497" s="107" t="str">
        <f aca="false">IF(ISBLANK($C497),"",IFERROR(_xlfn.SWITCH($CZ497,Constants!$B$9,COUNTA($C$9:$C$508)+2,Constants!$B$8,COUNTA($C$9:$C$508)+1,Constants!$B$7,COUNTA($C$9:$C$508)),$CZ497))</f>
        <v/>
      </c>
      <c r="DB497" s="9"/>
      <c r="DC497" s="108" t="n">
        <f aca="false">IF(OR(ISNUMBER($CZ497),$CZ497=Constants!$B$9,$CZ497=Constants!$B$7,$CZ497=Constants!$B$8),1,0)</f>
        <v>0</v>
      </c>
      <c r="DD497" s="108" t="n">
        <v>489</v>
      </c>
      <c r="DE497" s="108" t="str">
        <f aca="false">IF(ISBLANK($C497),"",IF(ISNUMBER($DA497),$DA497+ROW($B497)/1000,""))</f>
        <v/>
      </c>
      <c r="DF497" s="108" t="str">
        <f aca="false">IF(ISNUMBER($DE497),RANK($DE497,$DE$9:$DE$508,1),"")</f>
        <v/>
      </c>
      <c r="DG497" s="108" t="str">
        <f aca="false">IF(ISBLANK($C497),"",$B497)</f>
        <v/>
      </c>
      <c r="DH497" s="108" t="str">
        <f aca="false">IF(ISBLANK($C497),"",$C497)</f>
        <v/>
      </c>
      <c r="DI497" s="108" t="str">
        <f aca="false">IF(ISBLANK($C497),"",$D497)</f>
        <v/>
      </c>
      <c r="DJ497" s="109" t="str">
        <f aca="false">$CX497</f>
        <v/>
      </c>
      <c r="DK497" s="110" t="str">
        <f aca="false">$CW497</f>
        <v/>
      </c>
      <c r="DL497" s="108" t="str">
        <f aca="false">IF(ISBLANK($C497),"",$CZ497)</f>
        <v/>
      </c>
      <c r="DM497" s="111" t="str">
        <f aca="false">IF($DD497&gt;$DC$8,"",VLOOKUP($DD497,$DF$9:$DL$508,7,FALSE()))</f>
        <v/>
      </c>
      <c r="DN497" s="112" t="str">
        <f aca="false">IF($DD497&gt;$DC$8,"",VLOOKUP($DD497,$DF$9:$DL$508,2,FALSE()))</f>
        <v/>
      </c>
      <c r="DO497" s="112" t="str">
        <f aca="false">IF($DD497&gt;$DC$8,"",VLOOKUP($DD497,$DF$9:$DL$508,3,FALSE()))</f>
        <v/>
      </c>
      <c r="DP497" s="112" t="str">
        <f aca="false">IF($DD497&gt;$DC$8,"",VLOOKUP($DD497,$DF$9:$DL$508,4,FALSE()))</f>
        <v/>
      </c>
      <c r="DQ497" s="112" t="str">
        <f aca="false">IF($DD497&gt;$DC$8,"",VLOOKUP($DD497,$DF$9:$DL$508,5,FALSE()))</f>
        <v/>
      </c>
      <c r="DR497" s="113" t="str">
        <f aca="false">IF($DD497&gt;$DC$8,"",VLOOKUP($DD497,$DF$9:$DL$508,6,FALSE()))</f>
        <v/>
      </c>
      <c r="DS497" s="76"/>
    </row>
    <row r="498" customFormat="false" ht="15.75" hidden="false" customHeight="false" outlineLevel="0" collapsed="false">
      <c r="A498" s="9"/>
      <c r="B498" s="160"/>
      <c r="C498" s="161"/>
      <c r="D498" s="162"/>
      <c r="E498" s="180"/>
      <c r="F498" s="164"/>
      <c r="G498" s="165"/>
      <c r="H498" s="165"/>
      <c r="I498" s="181"/>
      <c r="J498" s="168"/>
      <c r="K498" s="128"/>
      <c r="L498" s="129"/>
      <c r="M498" s="130"/>
      <c r="N498" s="168"/>
      <c r="O498" s="168"/>
      <c r="P498" s="180"/>
      <c r="Q498" s="168"/>
      <c r="R498" s="168"/>
      <c r="S498" s="128"/>
      <c r="T498" s="130"/>
      <c r="U498" s="130"/>
      <c r="V498" s="168"/>
      <c r="W498" s="168"/>
      <c r="X498" s="180"/>
      <c r="Y498" s="168"/>
      <c r="Z498" s="169"/>
      <c r="AA498" s="168"/>
      <c r="AB498" s="134"/>
      <c r="AC498" s="135"/>
      <c r="AD498" s="135"/>
      <c r="AE498" s="135"/>
      <c r="AF498" s="135" t="str">
        <f aca="false">IF(ISBLANK($C498),"",IF(E498=Constants!$B$2,TRUE(),IF(E498=Constants!$B$3,FALSE(),TRUE())))</f>
        <v/>
      </c>
      <c r="AG498" s="135" t="str">
        <f aca="false">IF(ISBLANK($C498),"",IF(F498=Constants!$B$2,TRUE(),IF(F498=Constants!$B$3,FALSE(),TRUE())))</f>
        <v/>
      </c>
      <c r="AH498" s="135" t="str">
        <f aca="false">IF(ISBLANK($C498),"",IF(G498=Constants!$B$2,TRUE(),IF(G498=Constants!$B$3,FALSE(),TRUE())))</f>
        <v/>
      </c>
      <c r="AI498" s="135" t="str">
        <f aca="false">IF(ISBLANK($C498),"",IF(AND(ISNUMBER(H498),H498&gt;=0),H498,Constants!$B$24))</f>
        <v/>
      </c>
      <c r="AJ498" s="135" t="str">
        <f aca="false">IF(ISBLANK($C498),"",IF(I498=Constants!$B$2,TRUE(),IF(I498=Constants!$B$3,FALSE(),TRUE())))</f>
        <v/>
      </c>
      <c r="AK498" s="135" t="str">
        <f aca="false">IF(ISBLANK($C498),"",IF(J498=Constants!$B$2,TRUE(),IF(J498=Constants!$B$3,FALSE(),TRUE())))</f>
        <v/>
      </c>
      <c r="AL498" s="135" t="str">
        <f aca="false">IF(ISBLANK($C498),"",IF(K498=Constants!$B$4,TRUE(),IF(K498=Constants!$B$5,FALSE(),COUNTA(L498:P498)&gt;0)))</f>
        <v/>
      </c>
      <c r="AM498" s="136" t="str">
        <f aca="false">IF(ISBLANK($C498),"",IF(ISNUMBER(L498),IF(L498&gt;=0,L498,""),""))</f>
        <v/>
      </c>
      <c r="AN498" s="137" t="str">
        <f aca="false">IF(ISBLANK($C498),"",IF(ISNUMBER(M498),IF(M498&gt;=0,M498,""),""))</f>
        <v/>
      </c>
      <c r="AO498" s="137" t="str">
        <f aca="false">IF(ISBLANK($C498),"",IF(N498=Constants!$B$2,TRUE(),IF(N498=Constants!$B$3,FALSE(),TRUE())))</f>
        <v/>
      </c>
      <c r="AP498" s="135" t="str">
        <f aca="false">IF(ISBLANK($C498),"",IF(ISNUMBER(O498),IF(O498&gt;=0,O498,""),""))</f>
        <v/>
      </c>
      <c r="AQ498" s="135" t="str">
        <f aca="false">IF(ISBLANK($C498),"",IF(P498=Constants!$B$2,TRUE(),IF(P498=Constants!$B$3,FALSE(),FALSE())))</f>
        <v/>
      </c>
      <c r="AR498" s="135" t="str">
        <f aca="false">IF(ISBLANK($C498),"",IF(Q498=Constants!$B$2,TRUE(),IF(Q498=Constants!$B$3,FALSE(),TRUE())))</f>
        <v/>
      </c>
      <c r="AS498" s="135" t="str">
        <f aca="false">IF(ISBLANK($C498),"",IF(R498=Constants!$B$2,TRUE(),IF(R498=Constants!$B$3,FALSE(),TRUE())))</f>
        <v/>
      </c>
      <c r="AT498" s="135" t="str">
        <f aca="false">IF(ISBLANK($C498),"",IF(S498=Constants!$B$4,TRUE(),IF(S498=Constants!$B$5,FALSE(),COUNTA(T498:X498)&gt;0)))</f>
        <v/>
      </c>
      <c r="AU498" s="136" t="str">
        <f aca="false">IF(ISBLANK($C498),"",IF(ISNUMBER(T498),IF(T498&gt;=0,T498,""),""))</f>
        <v/>
      </c>
      <c r="AV498" s="137" t="str">
        <f aca="false">IF(ISBLANK($C498),"",IF(ISNUMBER(U498),IF(U498&gt;=0,U498,""),""))</f>
        <v/>
      </c>
      <c r="AW498" s="137" t="str">
        <f aca="false">IF(ISBLANK($C498),"",IF(V498=Constants!$B$2,TRUE(),IF(V498=Constants!$B$3,FALSE(),TRUE())))</f>
        <v/>
      </c>
      <c r="AX498" s="135" t="str">
        <f aca="false">IF(ISBLANK($C498),"",IF(ISNUMBER(W498),IF(W498&gt;=0,W498,""),""))</f>
        <v/>
      </c>
      <c r="AY498" s="135" t="str">
        <f aca="false">IF(ISBLANK($C498),"",IF(X498=Constants!$B$2,TRUE(),IF(X498=Constants!$B$3,FALSE(),FALSE())))</f>
        <v/>
      </c>
      <c r="AZ498" s="135" t="str">
        <f aca="false">IF(ISBLANK($C498),"",MIN(Constants!$B$25,MAX(0,IF(ISNUMBER(Y498),Y498*60,0)+IF(ISNUMBER(Z498),Z498,0))))</f>
        <v/>
      </c>
      <c r="BA498" s="135" t="str">
        <f aca="false">IF(ISBLANK($C498),"",IF(AA498=Constants!$B$2,TRUE(),IF(AA498=Constants!$B$3,FALSE(),FALSE())))</f>
        <v/>
      </c>
      <c r="BB498" s="134" t="str">
        <f aca="false">IF(ISBLANK($C498),"",AND($AL498,OR($AM498="",$AN498="",AND($AO498,$AP498=""))))</f>
        <v/>
      </c>
      <c r="BC498" s="137" t="str">
        <f aca="false">IF($BX498&lt;&gt;Constants!$B$6,"",IF($AL498,Constants!$B$17*$AN498+Constants!$B$18*IF($AO498,$AP498,Constants!$B$19),Constants!$B$20))</f>
        <v/>
      </c>
      <c r="BD498" s="138" t="str">
        <f aca="false">IF($BX498&lt;&gt;Constants!$B$6,"",Constants!$B$21*ABS($AD$9-IF($AL498,$AM498,0)))</f>
        <v/>
      </c>
      <c r="BE498" s="138" t="str">
        <f aca="false">IF($BX498&lt;&gt;Constants!$B$6,"",IF(AND($AL498,$AQ498,$AO498),Constants!$B$22,0))</f>
        <v/>
      </c>
      <c r="BF498" s="138" t="str">
        <f aca="false">IF($BX498&lt;&gt;Constants!$B$6,"",IF($AL498,($AI498-Constants!$B$24)*Constants!$B$23,0))</f>
        <v/>
      </c>
      <c r="BG498" s="138" t="str">
        <f aca="false">IF($BX498&lt;&gt;Constants!$B$6,"",IF($AK498,0,Constants!$B$12)+IF($AJ498,0,Constants!$B$13)+IF($AH498,0,Constants!$B$14))</f>
        <v/>
      </c>
      <c r="BH498" s="139" t="str">
        <f aca="false">IF($BX498&lt;&gt;Constants!$B$6,"",Constants!$B$16+SUM($BC498:$BG498))</f>
        <v/>
      </c>
      <c r="BI498" s="138" t="str">
        <f aca="false">IF($BX498&lt;&gt;Constants!$B$6,"",$BC498)</f>
        <v/>
      </c>
      <c r="BJ498" s="138" t="str">
        <f aca="false">IF($BX498&lt;&gt;Constants!$B$6,"",$BD498)</f>
        <v/>
      </c>
      <c r="BK498" s="140" t="str">
        <f aca="false">IF($BX498&lt;&gt;Constants!$B$6,"",IF($AL498,$AN498,""))</f>
        <v/>
      </c>
      <c r="BL498" s="135" t="str">
        <f aca="false">IF($BX498&lt;&gt;Constants!$B$6,"",IF(OR($BS498&lt;$BH498,AND($BS498=$BH498,OR($BT498&lt;$BI498,AND($BT498=$BI498,OR($BU498&lt;$BJ498,AND($BU498=$BJ498,AND(ISNUMBER($BV498),OR(NOT(ISNUMBER($BK498)),$BV498&lt;$BK498)))))))),"-&gt;","&lt;-"))</f>
        <v/>
      </c>
      <c r="BM498" s="134" t="str">
        <f aca="false">IF(ISBLANK($C498),"",AND($AT498,OR($AU498="",$AV498="",AND($AW498,$AX498=""))))</f>
        <v/>
      </c>
      <c r="BN498" s="137" t="str">
        <f aca="false">IF($BX498&lt;&gt;Constants!$B$6,"",IF($AT498,Constants!$B$17*$AV498+Constants!$B$18*IF($AW498,$AX498,Constants!$B$19),Constants!$B$20))</f>
        <v/>
      </c>
      <c r="BO498" s="138" t="str">
        <f aca="false">IF($BX498&lt;&gt;Constants!$B$6,"",Constants!$B$21*ABS($AD$9-IF($AT498,$AU498,0)))</f>
        <v/>
      </c>
      <c r="BP498" s="138" t="str">
        <f aca="false">IF($BX498&lt;&gt;Constants!$B$6,"",IF(AND($AT498,$AY498,$AW498),Constants!$B$22,0))</f>
        <v/>
      </c>
      <c r="BQ498" s="138" t="str">
        <f aca="false">IF($BX498&lt;&gt;Constants!$B$6,"",IF($AT498,($AI498-Constants!$B$24)*Constants!$B$23,0))</f>
        <v/>
      </c>
      <c r="BR498" s="138" t="str">
        <f aca="false">IF($BX498&lt;&gt;Constants!$B$6,"",IF($AS498,0,Constants!$B$12)+IF($AR498,0,Constants!$B$13)+IF($AH498,0,Constants!$B$14))</f>
        <v/>
      </c>
      <c r="BS498" s="139" t="str">
        <f aca="false">IF($BX498&lt;&gt;Constants!$B$6,"",Constants!$B$16+SUM($BN498:$BR498))</f>
        <v/>
      </c>
      <c r="BT498" s="138" t="str">
        <f aca="false">IF($BX498&lt;&gt;Constants!$B$6,"",$BN498)</f>
        <v/>
      </c>
      <c r="BU498" s="138" t="str">
        <f aca="false">IF($BX498&lt;&gt;Constants!$B$6,"",$BO498)</f>
        <v/>
      </c>
      <c r="BV498" s="140" t="str">
        <f aca="false">IF($BX498&lt;&gt;Constants!$B$6,"",IF($AT498,$AV498,""))</f>
        <v/>
      </c>
      <c r="BW498" s="135" t="str">
        <f aca="false">IF(ISBLANK($C498),"",IF(ISBLANK($D$7),$BW$5,IF(NOT(ISNUMBER($D$7)),$BW$6,"")))</f>
        <v/>
      </c>
      <c r="BX498" s="135" t="str">
        <f aca="false">IF(ISBLANK($C498),"",IF($BA498,Constants!$B$9,IF(COUNTA($E498:$AA498)=0,Constants!$B$8,IF(NOT($AG498),Constants!$B$7,IF(OR($BW498&lt;&gt;"",$BB498,$BM498),Constants!$B$10,Constants!$B$6)))))</f>
        <v/>
      </c>
      <c r="BY498" s="135" t="str">
        <f aca="false">IF(ISBLANK($C498),"",IF($BX498&lt;&gt;Constants!$B$6,$BX498,Constants!$B$11))</f>
        <v/>
      </c>
      <c r="BZ498" s="138" t="str">
        <f aca="false">IF($BX498&lt;&gt;Constants!$B$6,"",IF($BL498="-&gt;",$BS498,$BH498))</f>
        <v/>
      </c>
      <c r="CA498" s="138" t="str">
        <f aca="false">IF($BX498&lt;&gt;Constants!$B$6,"",IF($AF498,0,Constants!$B$15))</f>
        <v/>
      </c>
      <c r="CB498" s="138" t="str">
        <f aca="false">IF($BX498&lt;&gt;Constants!$B$6,"",((Constants!$B$25-$AZ498)-Constants!$B$25)/Constants!$B$26)</f>
        <v/>
      </c>
      <c r="CC498" s="138" t="str">
        <f aca="false">IF(ISBLANK($C498),"",IF($BX498&lt;&gt;Constants!$B$6,$BX498,SUM($BZ498:$CB498)))</f>
        <v/>
      </c>
      <c r="CD498" s="135" t="str">
        <f aca="false">IF(ISBLANK($C498),"",IF($BX498&lt;&gt;Constants!$B$6,$BX498,RANK($CC498,$CC$9:$CC$508,1)))</f>
        <v/>
      </c>
      <c r="CE498" s="138" t="str">
        <f aca="false">IF($BX498&lt;&gt;Constants!$B$6,"",IF($BL498="-&gt;",$BT498,$BI498))</f>
        <v/>
      </c>
      <c r="CF498" s="135" t="str">
        <f aca="false">IF(ISBLANK($C498),"",IF($BX498&lt;&gt;Constants!$B$6,$BX498,IF(ISNUMBER($CE498),RANK($CE498,$CE$9:$CE$508,1),COUNT($CE$9:$CE$508)+1)))</f>
        <v/>
      </c>
      <c r="CG498" s="138" t="str">
        <f aca="false">IF($BX498&lt;&gt;Constants!$B$6,"",IF($BL498="-&gt;",$BU498,$BJ498))</f>
        <v/>
      </c>
      <c r="CH498" s="135" t="str">
        <f aca="false">IF(ISBLANK($C498),"",IF($BX498&lt;&gt;Constants!$B$6,$BX498,IF(ISNUMBER($CG498),RANK($CG498,$CG$9:$CG$508,1),COUNT($CG$9:$CG$508)+1)))</f>
        <v/>
      </c>
      <c r="CI498" s="138" t="str">
        <f aca="false">IF($BX498&lt;&gt;Constants!$B$6,"",IF($BL498="-&gt;",$BV498,$BK498))</f>
        <v/>
      </c>
      <c r="CJ498" s="135" t="str">
        <f aca="false">IF(ISBLANK($C498),"",IF($BX498&lt;&gt;Constants!$B$6,$BX498,IF(ISNUMBER($CI498),RANK($CI498,$CI$9:$CI$508,1),COUNT($CI$9:$CI$508)+1)))</f>
        <v/>
      </c>
      <c r="CK498" s="138" t="str">
        <f aca="false">IF($BX498&lt;&gt;Constants!$B$6,"",$AI498)</f>
        <v/>
      </c>
      <c r="CL498" s="135" t="str">
        <f aca="false">IF(ISBLANK($C498),"",IF($BX498&lt;&gt;Constants!$B$6,$BX498,IF(ISNUMBER($CK498),RANK($CK498,$CK$9:$CK$508,1),COUNT($CK$9:$CK$508)+1)))</f>
        <v/>
      </c>
      <c r="CM498" s="135" t="str">
        <f aca="false">IF(ISBLANK($C498),"",IF($BX498&lt;&gt;Constants!$B$6,$BX498,COUNTIFS($CD$9:$CD$508,"&lt;"&amp;$CD498)+COUNTIFS($CD$9:$CD$508,$CD498,$CF$9:$CF$508,"&lt;"&amp;$CF498)+COUNTIFS($CD$9:$CD$508,$CD498,$CF$9:$CF$508,$CF498,$CH$9:$CH$508,"&lt;"&amp;$CH498)+COUNTIFS($CD$9:$CD$508,$CD498,$CF$9:$CF$508,$CF498,$CH$9:$CH$508,$CH498,$CJ$9:$CJ$508,"&lt;"&amp;$CJ498)+COUNTIFS($CD$9:$CD$508,$CD498,$CF$9:$CF$508,$CF498,$CH$9:$CH$508,$CH498,$CJ$9:$CJ$508,$CJ498,$CL$9:$CL$508,"&lt;"&amp;$CL498)+1))</f>
        <v/>
      </c>
      <c r="CN498" s="135" t="str">
        <f aca="false">IF(ISBLANK($C498),"",IF($BX498&lt;&gt;Constants!$B$6,$BX498,$CD498-$CM498))</f>
        <v/>
      </c>
      <c r="CO498" s="141"/>
      <c r="CP498" s="142"/>
      <c r="CQ498" s="143" t="str">
        <f aca="false">IF(ISBLANK($C498),"",IF($BX498=Constants!$B$10,$BW498,""))</f>
        <v/>
      </c>
      <c r="CR498" s="142" t="str">
        <f aca="false">IF(ISBLANK($C498),"",IF($BX498&lt;&gt;Constants!$B$6,"",IF($BL498="-&gt;",2,1)))</f>
        <v/>
      </c>
      <c r="CS498" s="144" t="str">
        <f aca="false">IF(ISBLANK($C498),"",IF($BX498&lt;&gt;Constants!$B$6,"",IF($BL498="-&gt;",$BN498,$BC498)))</f>
        <v/>
      </c>
      <c r="CT498" s="144" t="str">
        <f aca="false">IF(ISBLANK($C498),"",IF($BX498&lt;&gt;Constants!$B$6,"",IF($BL498="-&gt;",$BO498,$BD498)))</f>
        <v/>
      </c>
      <c r="CU498" s="144" t="str">
        <f aca="false">IF(ISBLANK($C498),"",IF($BX498&lt;&gt;Constants!$B$6,"",IF($BL498="-&gt;",$BP498+$BQ498,$BE498+$BF498)+$CB498))</f>
        <v/>
      </c>
      <c r="CV498" s="144" t="str">
        <f aca="false">IF(ISBLANK($C498),"",IF($BX498&lt;&gt;Constants!$B$6,"",IF($BL498="-&gt;",$BR498,$BG498)+$CA498))</f>
        <v/>
      </c>
      <c r="CW498" s="145" t="str">
        <f aca="false">IF(ISBLANK($C498),"",IF($BX498&lt;&gt;Constants!$B$6,$BX498,$CC498))</f>
        <v/>
      </c>
      <c r="CX498" s="146" t="str">
        <f aca="false">IF(ISBLANK($C498),"",$BY498)</f>
        <v/>
      </c>
      <c r="CY498" s="147" t="str">
        <f aca="false">IF(ISBLANK($C498),"",$CN498)</f>
        <v/>
      </c>
      <c r="CZ498" s="147" t="str">
        <f aca="false">IF(ISBLANK($C498),"",$CM498)</f>
        <v/>
      </c>
      <c r="DA498" s="148" t="str">
        <f aca="false">IF(ISBLANK($C498),"",IFERROR(_xlfn.SWITCH($CZ498,Constants!$B$9,COUNTA($C$9:$C$508)+2,Constants!$B$8,COUNTA($C$9:$C$508)+1,Constants!$B$7,COUNTA($C$9:$C$508)),$CZ498))</f>
        <v/>
      </c>
      <c r="DB498" s="9"/>
      <c r="DC498" s="149" t="n">
        <f aca="false">IF(OR(ISNUMBER($CZ498),$CZ498=Constants!$B$9,$CZ498=Constants!$B$7,$CZ498=Constants!$B$8),1,0)</f>
        <v>0</v>
      </c>
      <c r="DD498" s="149" t="n">
        <v>490</v>
      </c>
      <c r="DE498" s="149" t="str">
        <f aca="false">IF(ISBLANK($C498),"",IF(ISNUMBER($DA498),$DA498+ROW($B498)/1000,""))</f>
        <v/>
      </c>
      <c r="DF498" s="149" t="str">
        <f aca="false">IF(ISNUMBER($DE498),RANK($DE498,$DE$9:$DE$508,1),"")</f>
        <v/>
      </c>
      <c r="DG498" s="149" t="str">
        <f aca="false">IF(ISBLANK($C498),"",$B498)</f>
        <v/>
      </c>
      <c r="DH498" s="149" t="str">
        <f aca="false">IF(ISBLANK($C498),"",$C498)</f>
        <v/>
      </c>
      <c r="DI498" s="149" t="str">
        <f aca="false">IF(ISBLANK($C498),"",$D498)</f>
        <v/>
      </c>
      <c r="DJ498" s="150" t="str">
        <f aca="false">$CX498</f>
        <v/>
      </c>
      <c r="DK498" s="151" t="str">
        <f aca="false">$CW498</f>
        <v/>
      </c>
      <c r="DL498" s="149" t="str">
        <f aca="false">IF(ISBLANK($C498),"",$CZ498)</f>
        <v/>
      </c>
      <c r="DM498" s="152" t="str">
        <f aca="false">IF($DD498&gt;$DC$8,"",VLOOKUP($DD498,$DF$9:$DL$508,7,FALSE()))</f>
        <v/>
      </c>
      <c r="DN498" s="153" t="str">
        <f aca="false">IF($DD498&gt;$DC$8,"",VLOOKUP($DD498,$DF$9:$DL$508,2,FALSE()))</f>
        <v/>
      </c>
      <c r="DO498" s="153" t="str">
        <f aca="false">IF($DD498&gt;$DC$8,"",VLOOKUP($DD498,$DF$9:$DL$508,3,FALSE()))</f>
        <v/>
      </c>
      <c r="DP498" s="153" t="str">
        <f aca="false">IF($DD498&gt;$DC$8,"",VLOOKUP($DD498,$DF$9:$DL$508,4,FALSE()))</f>
        <v/>
      </c>
      <c r="DQ498" s="153" t="str">
        <f aca="false">IF($DD498&gt;$DC$8,"",VLOOKUP($DD498,$DF$9:$DL$508,5,FALSE()))</f>
        <v/>
      </c>
      <c r="DR498" s="154" t="str">
        <f aca="false">IF($DD498&gt;$DC$8,"",VLOOKUP($DD498,$DF$9:$DL$508,6,FALSE()))</f>
        <v/>
      </c>
      <c r="DS498" s="76"/>
    </row>
    <row r="499" customFormat="false" ht="15.75" hidden="false" customHeight="false" outlineLevel="0" collapsed="false">
      <c r="A499" s="9"/>
      <c r="B499" s="160"/>
      <c r="C499" s="161"/>
      <c r="D499" s="162"/>
      <c r="E499" s="180"/>
      <c r="F499" s="164"/>
      <c r="G499" s="165"/>
      <c r="H499" s="165"/>
      <c r="I499" s="181"/>
      <c r="J499" s="168"/>
      <c r="K499" s="128"/>
      <c r="L499" s="129"/>
      <c r="M499" s="130"/>
      <c r="N499" s="168"/>
      <c r="O499" s="168"/>
      <c r="P499" s="180"/>
      <c r="Q499" s="168"/>
      <c r="R499" s="168"/>
      <c r="S499" s="128"/>
      <c r="T499" s="130"/>
      <c r="U499" s="130"/>
      <c r="V499" s="168"/>
      <c r="W499" s="168"/>
      <c r="X499" s="180"/>
      <c r="Y499" s="168"/>
      <c r="Z499" s="169"/>
      <c r="AA499" s="168"/>
      <c r="AB499" s="134"/>
      <c r="AC499" s="135"/>
      <c r="AD499" s="135"/>
      <c r="AE499" s="135"/>
      <c r="AF499" s="135" t="str">
        <f aca="false">IF(ISBLANK($C499),"",IF(E499=Constants!$B$2,TRUE(),IF(E499=Constants!$B$3,FALSE(),TRUE())))</f>
        <v/>
      </c>
      <c r="AG499" s="135" t="str">
        <f aca="false">IF(ISBLANK($C499),"",IF(F499=Constants!$B$2,TRUE(),IF(F499=Constants!$B$3,FALSE(),TRUE())))</f>
        <v/>
      </c>
      <c r="AH499" s="135" t="str">
        <f aca="false">IF(ISBLANK($C499),"",IF(G499=Constants!$B$2,TRUE(),IF(G499=Constants!$B$3,FALSE(),TRUE())))</f>
        <v/>
      </c>
      <c r="AI499" s="135" t="str">
        <f aca="false">IF(ISBLANK($C499),"",IF(AND(ISNUMBER(H499),H499&gt;=0),H499,Constants!$B$24))</f>
        <v/>
      </c>
      <c r="AJ499" s="135" t="str">
        <f aca="false">IF(ISBLANK($C499),"",IF(I499=Constants!$B$2,TRUE(),IF(I499=Constants!$B$3,FALSE(),TRUE())))</f>
        <v/>
      </c>
      <c r="AK499" s="135" t="str">
        <f aca="false">IF(ISBLANK($C499),"",IF(J499=Constants!$B$2,TRUE(),IF(J499=Constants!$B$3,FALSE(),TRUE())))</f>
        <v/>
      </c>
      <c r="AL499" s="135" t="str">
        <f aca="false">IF(ISBLANK($C499),"",IF(K499=Constants!$B$4,TRUE(),IF(K499=Constants!$B$5,FALSE(),COUNTA(L499:P499)&gt;0)))</f>
        <v/>
      </c>
      <c r="AM499" s="136" t="str">
        <f aca="false">IF(ISBLANK($C499),"",IF(ISNUMBER(L499),IF(L499&gt;=0,L499,""),""))</f>
        <v/>
      </c>
      <c r="AN499" s="137" t="str">
        <f aca="false">IF(ISBLANK($C499),"",IF(ISNUMBER(M499),IF(M499&gt;=0,M499,""),""))</f>
        <v/>
      </c>
      <c r="AO499" s="137" t="str">
        <f aca="false">IF(ISBLANK($C499),"",IF(N499=Constants!$B$2,TRUE(),IF(N499=Constants!$B$3,FALSE(),TRUE())))</f>
        <v/>
      </c>
      <c r="AP499" s="135" t="str">
        <f aca="false">IF(ISBLANK($C499),"",IF(ISNUMBER(O499),IF(O499&gt;=0,O499,""),""))</f>
        <v/>
      </c>
      <c r="AQ499" s="135" t="str">
        <f aca="false">IF(ISBLANK($C499),"",IF(P499=Constants!$B$2,TRUE(),IF(P499=Constants!$B$3,FALSE(),FALSE())))</f>
        <v/>
      </c>
      <c r="AR499" s="135" t="str">
        <f aca="false">IF(ISBLANK($C499),"",IF(Q499=Constants!$B$2,TRUE(),IF(Q499=Constants!$B$3,FALSE(),TRUE())))</f>
        <v/>
      </c>
      <c r="AS499" s="135" t="str">
        <f aca="false">IF(ISBLANK($C499),"",IF(R499=Constants!$B$2,TRUE(),IF(R499=Constants!$B$3,FALSE(),TRUE())))</f>
        <v/>
      </c>
      <c r="AT499" s="135" t="str">
        <f aca="false">IF(ISBLANK($C499),"",IF(S499=Constants!$B$4,TRUE(),IF(S499=Constants!$B$5,FALSE(),COUNTA(T499:X499)&gt;0)))</f>
        <v/>
      </c>
      <c r="AU499" s="136" t="str">
        <f aca="false">IF(ISBLANK($C499),"",IF(ISNUMBER(T499),IF(T499&gt;=0,T499,""),""))</f>
        <v/>
      </c>
      <c r="AV499" s="137" t="str">
        <f aca="false">IF(ISBLANK($C499),"",IF(ISNUMBER(U499),IF(U499&gt;=0,U499,""),""))</f>
        <v/>
      </c>
      <c r="AW499" s="137" t="str">
        <f aca="false">IF(ISBLANK($C499),"",IF(V499=Constants!$B$2,TRUE(),IF(V499=Constants!$B$3,FALSE(),TRUE())))</f>
        <v/>
      </c>
      <c r="AX499" s="135" t="str">
        <f aca="false">IF(ISBLANK($C499),"",IF(ISNUMBER(W499),IF(W499&gt;=0,W499,""),""))</f>
        <v/>
      </c>
      <c r="AY499" s="135" t="str">
        <f aca="false">IF(ISBLANK($C499),"",IF(X499=Constants!$B$2,TRUE(),IF(X499=Constants!$B$3,FALSE(),FALSE())))</f>
        <v/>
      </c>
      <c r="AZ499" s="135" t="str">
        <f aca="false">IF(ISBLANK($C499),"",MIN(Constants!$B$25,MAX(0,IF(ISNUMBER(Y499),Y499*60,0)+IF(ISNUMBER(Z499),Z499,0))))</f>
        <v/>
      </c>
      <c r="BA499" s="135" t="str">
        <f aca="false">IF(ISBLANK($C499),"",IF(AA499=Constants!$B$2,TRUE(),IF(AA499=Constants!$B$3,FALSE(),FALSE())))</f>
        <v/>
      </c>
      <c r="BB499" s="134" t="str">
        <f aca="false">IF(ISBLANK($C499),"",AND($AL499,OR($AM499="",$AN499="",AND($AO499,$AP499=""))))</f>
        <v/>
      </c>
      <c r="BC499" s="137" t="str">
        <f aca="false">IF($BX499&lt;&gt;Constants!$B$6,"",IF($AL499,Constants!$B$17*$AN499+Constants!$B$18*IF($AO499,$AP499,Constants!$B$19),Constants!$B$20))</f>
        <v/>
      </c>
      <c r="BD499" s="138" t="str">
        <f aca="false">IF($BX499&lt;&gt;Constants!$B$6,"",Constants!$B$21*ABS($AD$9-IF($AL499,$AM499,0)))</f>
        <v/>
      </c>
      <c r="BE499" s="138" t="str">
        <f aca="false">IF($BX499&lt;&gt;Constants!$B$6,"",IF(AND($AL499,$AQ499,$AO499),Constants!$B$22,0))</f>
        <v/>
      </c>
      <c r="BF499" s="138" t="str">
        <f aca="false">IF($BX499&lt;&gt;Constants!$B$6,"",IF($AL499,($AI499-Constants!$B$24)*Constants!$B$23,0))</f>
        <v/>
      </c>
      <c r="BG499" s="138" t="str">
        <f aca="false">IF($BX499&lt;&gt;Constants!$B$6,"",IF($AK499,0,Constants!$B$12)+IF($AJ499,0,Constants!$B$13)+IF($AH499,0,Constants!$B$14))</f>
        <v/>
      </c>
      <c r="BH499" s="139" t="str">
        <f aca="false">IF($BX499&lt;&gt;Constants!$B$6,"",Constants!$B$16+SUM($BC499:$BG499))</f>
        <v/>
      </c>
      <c r="BI499" s="138" t="str">
        <f aca="false">IF($BX499&lt;&gt;Constants!$B$6,"",$BC499)</f>
        <v/>
      </c>
      <c r="BJ499" s="138" t="str">
        <f aca="false">IF($BX499&lt;&gt;Constants!$B$6,"",$BD499)</f>
        <v/>
      </c>
      <c r="BK499" s="140" t="str">
        <f aca="false">IF($BX499&lt;&gt;Constants!$B$6,"",IF($AL499,$AN499,""))</f>
        <v/>
      </c>
      <c r="BL499" s="135" t="str">
        <f aca="false">IF($BX499&lt;&gt;Constants!$B$6,"",IF(OR($BS499&lt;$BH499,AND($BS499=$BH499,OR($BT499&lt;$BI499,AND($BT499=$BI499,OR($BU499&lt;$BJ499,AND($BU499=$BJ499,AND(ISNUMBER($BV499),OR(NOT(ISNUMBER($BK499)),$BV499&lt;$BK499)))))))),"-&gt;","&lt;-"))</f>
        <v/>
      </c>
      <c r="BM499" s="134" t="str">
        <f aca="false">IF(ISBLANK($C499),"",AND($AT499,OR($AU499="",$AV499="",AND($AW499,$AX499=""))))</f>
        <v/>
      </c>
      <c r="BN499" s="137" t="str">
        <f aca="false">IF($BX499&lt;&gt;Constants!$B$6,"",IF($AT499,Constants!$B$17*$AV499+Constants!$B$18*IF($AW499,$AX499,Constants!$B$19),Constants!$B$20))</f>
        <v/>
      </c>
      <c r="BO499" s="138" t="str">
        <f aca="false">IF($BX499&lt;&gt;Constants!$B$6,"",Constants!$B$21*ABS($AD$9-IF($AT499,$AU499,0)))</f>
        <v/>
      </c>
      <c r="BP499" s="138" t="str">
        <f aca="false">IF($BX499&lt;&gt;Constants!$B$6,"",IF(AND($AT499,$AY499,$AW499),Constants!$B$22,0))</f>
        <v/>
      </c>
      <c r="BQ499" s="138" t="str">
        <f aca="false">IF($BX499&lt;&gt;Constants!$B$6,"",IF($AT499,($AI499-Constants!$B$24)*Constants!$B$23,0))</f>
        <v/>
      </c>
      <c r="BR499" s="138" t="str">
        <f aca="false">IF($BX499&lt;&gt;Constants!$B$6,"",IF($AS499,0,Constants!$B$12)+IF($AR499,0,Constants!$B$13)+IF($AH499,0,Constants!$B$14))</f>
        <v/>
      </c>
      <c r="BS499" s="139" t="str">
        <f aca="false">IF($BX499&lt;&gt;Constants!$B$6,"",Constants!$B$16+SUM($BN499:$BR499))</f>
        <v/>
      </c>
      <c r="BT499" s="138" t="str">
        <f aca="false">IF($BX499&lt;&gt;Constants!$B$6,"",$BN499)</f>
        <v/>
      </c>
      <c r="BU499" s="138" t="str">
        <f aca="false">IF($BX499&lt;&gt;Constants!$B$6,"",$BO499)</f>
        <v/>
      </c>
      <c r="BV499" s="140" t="str">
        <f aca="false">IF($BX499&lt;&gt;Constants!$B$6,"",IF($AT499,$AV499,""))</f>
        <v/>
      </c>
      <c r="BW499" s="135" t="str">
        <f aca="false">IF(ISBLANK($C499),"",IF(ISBLANK($D$7),$BW$5,IF(NOT(ISNUMBER($D$7)),$BW$6,"")))</f>
        <v/>
      </c>
      <c r="BX499" s="135" t="str">
        <f aca="false">IF(ISBLANK($C499),"",IF($BA499,Constants!$B$9,IF(COUNTA($E499:$AA499)=0,Constants!$B$8,IF(NOT($AG499),Constants!$B$7,IF(OR($BW499&lt;&gt;"",$BB499,$BM499),Constants!$B$10,Constants!$B$6)))))</f>
        <v/>
      </c>
      <c r="BY499" s="135" t="str">
        <f aca="false">IF(ISBLANK($C499),"",IF($BX499&lt;&gt;Constants!$B$6,$BX499,Constants!$B$11))</f>
        <v/>
      </c>
      <c r="BZ499" s="138" t="str">
        <f aca="false">IF($BX499&lt;&gt;Constants!$B$6,"",IF($BL499="-&gt;",$BS499,$BH499))</f>
        <v/>
      </c>
      <c r="CA499" s="138" t="str">
        <f aca="false">IF($BX499&lt;&gt;Constants!$B$6,"",IF($AF499,0,Constants!$B$15))</f>
        <v/>
      </c>
      <c r="CB499" s="138" t="str">
        <f aca="false">IF($BX499&lt;&gt;Constants!$B$6,"",((Constants!$B$25-$AZ499)-Constants!$B$25)/Constants!$B$26)</f>
        <v/>
      </c>
      <c r="CC499" s="138" t="str">
        <f aca="false">IF(ISBLANK($C499),"",IF($BX499&lt;&gt;Constants!$B$6,$BX499,SUM($BZ499:$CB499)))</f>
        <v/>
      </c>
      <c r="CD499" s="135" t="str">
        <f aca="false">IF(ISBLANK($C499),"",IF($BX499&lt;&gt;Constants!$B$6,$BX499,RANK($CC499,$CC$9:$CC$508,1)))</f>
        <v/>
      </c>
      <c r="CE499" s="138" t="str">
        <f aca="false">IF($BX499&lt;&gt;Constants!$B$6,"",IF($BL499="-&gt;",$BT499,$BI499))</f>
        <v/>
      </c>
      <c r="CF499" s="135" t="str">
        <f aca="false">IF(ISBLANK($C499),"",IF($BX499&lt;&gt;Constants!$B$6,$BX499,IF(ISNUMBER($CE499),RANK($CE499,$CE$9:$CE$508,1),COUNT($CE$9:$CE$508)+1)))</f>
        <v/>
      </c>
      <c r="CG499" s="138" t="str">
        <f aca="false">IF($BX499&lt;&gt;Constants!$B$6,"",IF($BL499="-&gt;",$BU499,$BJ499))</f>
        <v/>
      </c>
      <c r="CH499" s="135" t="str">
        <f aca="false">IF(ISBLANK($C499),"",IF($BX499&lt;&gt;Constants!$B$6,$BX499,IF(ISNUMBER($CG499),RANK($CG499,$CG$9:$CG$508,1),COUNT($CG$9:$CG$508)+1)))</f>
        <v/>
      </c>
      <c r="CI499" s="138" t="str">
        <f aca="false">IF($BX499&lt;&gt;Constants!$B$6,"",IF($BL499="-&gt;",$BV499,$BK499))</f>
        <v/>
      </c>
      <c r="CJ499" s="135" t="str">
        <f aca="false">IF(ISBLANK($C499),"",IF($BX499&lt;&gt;Constants!$B$6,$BX499,IF(ISNUMBER($CI499),RANK($CI499,$CI$9:$CI$508,1),COUNT($CI$9:$CI$508)+1)))</f>
        <v/>
      </c>
      <c r="CK499" s="138" t="str">
        <f aca="false">IF($BX499&lt;&gt;Constants!$B$6,"",$AI499)</f>
        <v/>
      </c>
      <c r="CL499" s="135" t="str">
        <f aca="false">IF(ISBLANK($C499),"",IF($BX499&lt;&gt;Constants!$B$6,$BX499,IF(ISNUMBER($CK499),RANK($CK499,$CK$9:$CK$508,1),COUNT($CK$9:$CK$508)+1)))</f>
        <v/>
      </c>
      <c r="CM499" s="135" t="str">
        <f aca="false">IF(ISBLANK($C499),"",IF($BX499&lt;&gt;Constants!$B$6,$BX499,COUNTIFS($CD$9:$CD$508,"&lt;"&amp;$CD499)+COUNTIFS($CD$9:$CD$508,$CD499,$CF$9:$CF$508,"&lt;"&amp;$CF499)+COUNTIFS($CD$9:$CD$508,$CD499,$CF$9:$CF$508,$CF499,$CH$9:$CH$508,"&lt;"&amp;$CH499)+COUNTIFS($CD$9:$CD$508,$CD499,$CF$9:$CF$508,$CF499,$CH$9:$CH$508,$CH499,$CJ$9:$CJ$508,"&lt;"&amp;$CJ499)+COUNTIFS($CD$9:$CD$508,$CD499,$CF$9:$CF$508,$CF499,$CH$9:$CH$508,$CH499,$CJ$9:$CJ$508,$CJ499,$CL$9:$CL$508,"&lt;"&amp;$CL499)+1))</f>
        <v/>
      </c>
      <c r="CN499" s="135" t="str">
        <f aca="false">IF(ISBLANK($C499),"",IF($BX499&lt;&gt;Constants!$B$6,$BX499,$CD499-$CM499))</f>
        <v/>
      </c>
      <c r="CO499" s="141"/>
      <c r="CP499" s="142"/>
      <c r="CQ499" s="143" t="str">
        <f aca="false">IF(ISBLANK($C499),"",IF($BX499=Constants!$B$10,$BW499,""))</f>
        <v/>
      </c>
      <c r="CR499" s="142" t="str">
        <f aca="false">IF(ISBLANK($C499),"",IF($BX499&lt;&gt;Constants!$B$6,"",IF($BL499="-&gt;",2,1)))</f>
        <v/>
      </c>
      <c r="CS499" s="144" t="str">
        <f aca="false">IF(ISBLANK($C499),"",IF($BX499&lt;&gt;Constants!$B$6,"",IF($BL499="-&gt;",$BN499,$BC499)))</f>
        <v/>
      </c>
      <c r="CT499" s="144" t="str">
        <f aca="false">IF(ISBLANK($C499),"",IF($BX499&lt;&gt;Constants!$B$6,"",IF($BL499="-&gt;",$BO499,$BD499)))</f>
        <v/>
      </c>
      <c r="CU499" s="144" t="str">
        <f aca="false">IF(ISBLANK($C499),"",IF($BX499&lt;&gt;Constants!$B$6,"",IF($BL499="-&gt;",$BP499+$BQ499,$BE499+$BF499)+$CB499))</f>
        <v/>
      </c>
      <c r="CV499" s="144" t="str">
        <f aca="false">IF(ISBLANK($C499),"",IF($BX499&lt;&gt;Constants!$B$6,"",IF($BL499="-&gt;",$BR499,$BG499)+$CA499))</f>
        <v/>
      </c>
      <c r="CW499" s="145" t="str">
        <f aca="false">IF(ISBLANK($C499),"",IF($BX499&lt;&gt;Constants!$B$6,$BX499,$CC499))</f>
        <v/>
      </c>
      <c r="CX499" s="146" t="str">
        <f aca="false">IF(ISBLANK($C499),"",$BY499)</f>
        <v/>
      </c>
      <c r="CY499" s="147" t="str">
        <f aca="false">IF(ISBLANK($C499),"",$CN499)</f>
        <v/>
      </c>
      <c r="CZ499" s="147" t="str">
        <f aca="false">IF(ISBLANK($C499),"",$CM499)</f>
        <v/>
      </c>
      <c r="DA499" s="148" t="str">
        <f aca="false">IF(ISBLANK($C499),"",IFERROR(_xlfn.SWITCH($CZ499,Constants!$B$9,COUNTA($C$9:$C$508)+2,Constants!$B$8,COUNTA($C$9:$C$508)+1,Constants!$B$7,COUNTA($C$9:$C$508)),$CZ499))</f>
        <v/>
      </c>
      <c r="DB499" s="9"/>
      <c r="DC499" s="149" t="n">
        <f aca="false">IF(OR(ISNUMBER($CZ499),$CZ499=Constants!$B$9,$CZ499=Constants!$B$7,$CZ499=Constants!$B$8),1,0)</f>
        <v>0</v>
      </c>
      <c r="DD499" s="149" t="n">
        <v>491</v>
      </c>
      <c r="DE499" s="149" t="str">
        <f aca="false">IF(ISBLANK($C499),"",IF(ISNUMBER($DA499),$DA499+ROW($B499)/1000,""))</f>
        <v/>
      </c>
      <c r="DF499" s="149" t="str">
        <f aca="false">IF(ISNUMBER($DE499),RANK($DE499,$DE$9:$DE$508,1),"")</f>
        <v/>
      </c>
      <c r="DG499" s="149" t="str">
        <f aca="false">IF(ISBLANK($C499),"",$B499)</f>
        <v/>
      </c>
      <c r="DH499" s="149" t="str">
        <f aca="false">IF(ISBLANK($C499),"",$C499)</f>
        <v/>
      </c>
      <c r="DI499" s="149" t="str">
        <f aca="false">IF(ISBLANK($C499),"",$D499)</f>
        <v/>
      </c>
      <c r="DJ499" s="150" t="str">
        <f aca="false">$CX499</f>
        <v/>
      </c>
      <c r="DK499" s="151" t="str">
        <f aca="false">$CW499</f>
        <v/>
      </c>
      <c r="DL499" s="149" t="str">
        <f aca="false">IF(ISBLANK($C499),"",$CZ499)</f>
        <v/>
      </c>
      <c r="DM499" s="152" t="str">
        <f aca="false">IF($DD499&gt;$DC$8,"",VLOOKUP($DD499,$DF$9:$DL$508,7,FALSE()))</f>
        <v/>
      </c>
      <c r="DN499" s="153" t="str">
        <f aca="false">IF($DD499&gt;$DC$8,"",VLOOKUP($DD499,$DF$9:$DL$508,2,FALSE()))</f>
        <v/>
      </c>
      <c r="DO499" s="153" t="str">
        <f aca="false">IF($DD499&gt;$DC$8,"",VLOOKUP($DD499,$DF$9:$DL$508,3,FALSE()))</f>
        <v/>
      </c>
      <c r="DP499" s="153" t="str">
        <f aca="false">IF($DD499&gt;$DC$8,"",VLOOKUP($DD499,$DF$9:$DL$508,4,FALSE()))</f>
        <v/>
      </c>
      <c r="DQ499" s="153" t="str">
        <f aca="false">IF($DD499&gt;$DC$8,"",VLOOKUP($DD499,$DF$9:$DL$508,5,FALSE()))</f>
        <v/>
      </c>
      <c r="DR499" s="154" t="str">
        <f aca="false">IF($DD499&gt;$DC$8,"",VLOOKUP($DD499,$DF$9:$DL$508,6,FALSE()))</f>
        <v/>
      </c>
      <c r="DS499" s="76"/>
    </row>
    <row r="500" customFormat="false" ht="15.75" hidden="false" customHeight="false" outlineLevel="0" collapsed="false">
      <c r="A500" s="9"/>
      <c r="B500" s="160"/>
      <c r="C500" s="161"/>
      <c r="D500" s="162"/>
      <c r="E500" s="180"/>
      <c r="F500" s="164"/>
      <c r="G500" s="165"/>
      <c r="H500" s="165"/>
      <c r="I500" s="181"/>
      <c r="J500" s="168"/>
      <c r="K500" s="128"/>
      <c r="L500" s="129"/>
      <c r="M500" s="130"/>
      <c r="N500" s="168"/>
      <c r="O500" s="168"/>
      <c r="P500" s="180"/>
      <c r="Q500" s="168"/>
      <c r="R500" s="168"/>
      <c r="S500" s="128"/>
      <c r="T500" s="130"/>
      <c r="U500" s="130"/>
      <c r="V500" s="168"/>
      <c r="W500" s="168"/>
      <c r="X500" s="180"/>
      <c r="Y500" s="168"/>
      <c r="Z500" s="169"/>
      <c r="AA500" s="168"/>
      <c r="AB500" s="134"/>
      <c r="AC500" s="135"/>
      <c r="AD500" s="135"/>
      <c r="AE500" s="135"/>
      <c r="AF500" s="135" t="str">
        <f aca="false">IF(ISBLANK($C500),"",IF(E500=Constants!$B$2,TRUE(),IF(E500=Constants!$B$3,FALSE(),TRUE())))</f>
        <v/>
      </c>
      <c r="AG500" s="135" t="str">
        <f aca="false">IF(ISBLANK($C500),"",IF(F500=Constants!$B$2,TRUE(),IF(F500=Constants!$B$3,FALSE(),TRUE())))</f>
        <v/>
      </c>
      <c r="AH500" s="135" t="str">
        <f aca="false">IF(ISBLANK($C500),"",IF(G500=Constants!$B$2,TRUE(),IF(G500=Constants!$B$3,FALSE(),TRUE())))</f>
        <v/>
      </c>
      <c r="AI500" s="135" t="str">
        <f aca="false">IF(ISBLANK($C500),"",IF(AND(ISNUMBER(H500),H500&gt;=0),H500,Constants!$B$24))</f>
        <v/>
      </c>
      <c r="AJ500" s="135" t="str">
        <f aca="false">IF(ISBLANK($C500),"",IF(I500=Constants!$B$2,TRUE(),IF(I500=Constants!$B$3,FALSE(),TRUE())))</f>
        <v/>
      </c>
      <c r="AK500" s="135" t="str">
        <f aca="false">IF(ISBLANK($C500),"",IF(J500=Constants!$B$2,TRUE(),IF(J500=Constants!$B$3,FALSE(),TRUE())))</f>
        <v/>
      </c>
      <c r="AL500" s="135" t="str">
        <f aca="false">IF(ISBLANK($C500),"",IF(K500=Constants!$B$4,TRUE(),IF(K500=Constants!$B$5,FALSE(),COUNTA(L500:P500)&gt;0)))</f>
        <v/>
      </c>
      <c r="AM500" s="136" t="str">
        <f aca="false">IF(ISBLANK($C500),"",IF(ISNUMBER(L500),IF(L500&gt;=0,L500,""),""))</f>
        <v/>
      </c>
      <c r="AN500" s="137" t="str">
        <f aca="false">IF(ISBLANK($C500),"",IF(ISNUMBER(M500),IF(M500&gt;=0,M500,""),""))</f>
        <v/>
      </c>
      <c r="AO500" s="137" t="str">
        <f aca="false">IF(ISBLANK($C500),"",IF(N500=Constants!$B$2,TRUE(),IF(N500=Constants!$B$3,FALSE(),TRUE())))</f>
        <v/>
      </c>
      <c r="AP500" s="135" t="str">
        <f aca="false">IF(ISBLANK($C500),"",IF(ISNUMBER(O500),IF(O500&gt;=0,O500,""),""))</f>
        <v/>
      </c>
      <c r="AQ500" s="135" t="str">
        <f aca="false">IF(ISBLANK($C500),"",IF(P500=Constants!$B$2,TRUE(),IF(P500=Constants!$B$3,FALSE(),FALSE())))</f>
        <v/>
      </c>
      <c r="AR500" s="135" t="str">
        <f aca="false">IF(ISBLANK($C500),"",IF(Q500=Constants!$B$2,TRUE(),IF(Q500=Constants!$B$3,FALSE(),TRUE())))</f>
        <v/>
      </c>
      <c r="AS500" s="135" t="str">
        <f aca="false">IF(ISBLANK($C500),"",IF(R500=Constants!$B$2,TRUE(),IF(R500=Constants!$B$3,FALSE(),TRUE())))</f>
        <v/>
      </c>
      <c r="AT500" s="135" t="str">
        <f aca="false">IF(ISBLANK($C500),"",IF(S500=Constants!$B$4,TRUE(),IF(S500=Constants!$B$5,FALSE(),COUNTA(T500:X500)&gt;0)))</f>
        <v/>
      </c>
      <c r="AU500" s="136" t="str">
        <f aca="false">IF(ISBLANK($C500),"",IF(ISNUMBER(T500),IF(T500&gt;=0,T500,""),""))</f>
        <v/>
      </c>
      <c r="AV500" s="137" t="str">
        <f aca="false">IF(ISBLANK($C500),"",IF(ISNUMBER(U500),IF(U500&gt;=0,U500,""),""))</f>
        <v/>
      </c>
      <c r="AW500" s="137" t="str">
        <f aca="false">IF(ISBLANK($C500),"",IF(V500=Constants!$B$2,TRUE(),IF(V500=Constants!$B$3,FALSE(),TRUE())))</f>
        <v/>
      </c>
      <c r="AX500" s="135" t="str">
        <f aca="false">IF(ISBLANK($C500),"",IF(ISNUMBER(W500),IF(W500&gt;=0,W500,""),""))</f>
        <v/>
      </c>
      <c r="AY500" s="135" t="str">
        <f aca="false">IF(ISBLANK($C500),"",IF(X500=Constants!$B$2,TRUE(),IF(X500=Constants!$B$3,FALSE(),FALSE())))</f>
        <v/>
      </c>
      <c r="AZ500" s="135" t="str">
        <f aca="false">IF(ISBLANK($C500),"",MIN(Constants!$B$25,MAX(0,IF(ISNUMBER(Y500),Y500*60,0)+IF(ISNUMBER(Z500),Z500,0))))</f>
        <v/>
      </c>
      <c r="BA500" s="135" t="str">
        <f aca="false">IF(ISBLANK($C500),"",IF(AA500=Constants!$B$2,TRUE(),IF(AA500=Constants!$B$3,FALSE(),FALSE())))</f>
        <v/>
      </c>
      <c r="BB500" s="134" t="str">
        <f aca="false">IF(ISBLANK($C500),"",AND($AL500,OR($AM500="",$AN500="",AND($AO500,$AP500=""))))</f>
        <v/>
      </c>
      <c r="BC500" s="137" t="str">
        <f aca="false">IF($BX500&lt;&gt;Constants!$B$6,"",IF($AL500,Constants!$B$17*$AN500+Constants!$B$18*IF($AO500,$AP500,Constants!$B$19),Constants!$B$20))</f>
        <v/>
      </c>
      <c r="BD500" s="138" t="str">
        <f aca="false">IF($BX500&lt;&gt;Constants!$B$6,"",Constants!$B$21*ABS($AD$9-IF($AL500,$AM500,0)))</f>
        <v/>
      </c>
      <c r="BE500" s="138" t="str">
        <f aca="false">IF($BX500&lt;&gt;Constants!$B$6,"",IF(AND($AL500,$AQ500,$AO500),Constants!$B$22,0))</f>
        <v/>
      </c>
      <c r="BF500" s="138" t="str">
        <f aca="false">IF($BX500&lt;&gt;Constants!$B$6,"",IF($AL500,($AI500-Constants!$B$24)*Constants!$B$23,0))</f>
        <v/>
      </c>
      <c r="BG500" s="138" t="str">
        <f aca="false">IF($BX500&lt;&gt;Constants!$B$6,"",IF($AK500,0,Constants!$B$12)+IF($AJ500,0,Constants!$B$13)+IF($AH500,0,Constants!$B$14))</f>
        <v/>
      </c>
      <c r="BH500" s="139" t="str">
        <f aca="false">IF($BX500&lt;&gt;Constants!$B$6,"",Constants!$B$16+SUM($BC500:$BG500))</f>
        <v/>
      </c>
      <c r="BI500" s="138" t="str">
        <f aca="false">IF($BX500&lt;&gt;Constants!$B$6,"",$BC500)</f>
        <v/>
      </c>
      <c r="BJ500" s="138" t="str">
        <f aca="false">IF($BX500&lt;&gt;Constants!$B$6,"",$BD500)</f>
        <v/>
      </c>
      <c r="BK500" s="140" t="str">
        <f aca="false">IF($BX500&lt;&gt;Constants!$B$6,"",IF($AL500,$AN500,""))</f>
        <v/>
      </c>
      <c r="BL500" s="135" t="str">
        <f aca="false">IF($BX500&lt;&gt;Constants!$B$6,"",IF(OR($BS500&lt;$BH500,AND($BS500=$BH500,OR($BT500&lt;$BI500,AND($BT500=$BI500,OR($BU500&lt;$BJ500,AND($BU500=$BJ500,AND(ISNUMBER($BV500),OR(NOT(ISNUMBER($BK500)),$BV500&lt;$BK500)))))))),"-&gt;","&lt;-"))</f>
        <v/>
      </c>
      <c r="BM500" s="134" t="str">
        <f aca="false">IF(ISBLANK($C500),"",AND($AT500,OR($AU500="",$AV500="",AND($AW500,$AX500=""))))</f>
        <v/>
      </c>
      <c r="BN500" s="137" t="str">
        <f aca="false">IF($BX500&lt;&gt;Constants!$B$6,"",IF($AT500,Constants!$B$17*$AV500+Constants!$B$18*IF($AW500,$AX500,Constants!$B$19),Constants!$B$20))</f>
        <v/>
      </c>
      <c r="BO500" s="138" t="str">
        <f aca="false">IF($BX500&lt;&gt;Constants!$B$6,"",Constants!$B$21*ABS($AD$9-IF($AT500,$AU500,0)))</f>
        <v/>
      </c>
      <c r="BP500" s="138" t="str">
        <f aca="false">IF($BX500&lt;&gt;Constants!$B$6,"",IF(AND($AT500,$AY500,$AW500),Constants!$B$22,0))</f>
        <v/>
      </c>
      <c r="BQ500" s="138" t="str">
        <f aca="false">IF($BX500&lt;&gt;Constants!$B$6,"",IF($AT500,($AI500-Constants!$B$24)*Constants!$B$23,0))</f>
        <v/>
      </c>
      <c r="BR500" s="138" t="str">
        <f aca="false">IF($BX500&lt;&gt;Constants!$B$6,"",IF($AS500,0,Constants!$B$12)+IF($AR500,0,Constants!$B$13)+IF($AH500,0,Constants!$B$14))</f>
        <v/>
      </c>
      <c r="BS500" s="139" t="str">
        <f aca="false">IF($BX500&lt;&gt;Constants!$B$6,"",Constants!$B$16+SUM($BN500:$BR500))</f>
        <v/>
      </c>
      <c r="BT500" s="138" t="str">
        <f aca="false">IF($BX500&lt;&gt;Constants!$B$6,"",$BN500)</f>
        <v/>
      </c>
      <c r="BU500" s="138" t="str">
        <f aca="false">IF($BX500&lt;&gt;Constants!$B$6,"",$BO500)</f>
        <v/>
      </c>
      <c r="BV500" s="140" t="str">
        <f aca="false">IF($BX500&lt;&gt;Constants!$B$6,"",IF($AT500,$AV500,""))</f>
        <v/>
      </c>
      <c r="BW500" s="135" t="str">
        <f aca="false">IF(ISBLANK($C500),"",IF(ISBLANK($D$7),$BW$5,IF(NOT(ISNUMBER($D$7)),$BW$6,"")))</f>
        <v/>
      </c>
      <c r="BX500" s="135" t="str">
        <f aca="false">IF(ISBLANK($C500),"",IF($BA500,Constants!$B$9,IF(COUNTA($E500:$AA500)=0,Constants!$B$8,IF(NOT($AG500),Constants!$B$7,IF(OR($BW500&lt;&gt;"",$BB500,$BM500),Constants!$B$10,Constants!$B$6)))))</f>
        <v/>
      </c>
      <c r="BY500" s="135" t="str">
        <f aca="false">IF(ISBLANK($C500),"",IF($BX500&lt;&gt;Constants!$B$6,$BX500,Constants!$B$11))</f>
        <v/>
      </c>
      <c r="BZ500" s="138" t="str">
        <f aca="false">IF($BX500&lt;&gt;Constants!$B$6,"",IF($BL500="-&gt;",$BS500,$BH500))</f>
        <v/>
      </c>
      <c r="CA500" s="138" t="str">
        <f aca="false">IF($BX500&lt;&gt;Constants!$B$6,"",IF($AF500,0,Constants!$B$15))</f>
        <v/>
      </c>
      <c r="CB500" s="138" t="str">
        <f aca="false">IF($BX500&lt;&gt;Constants!$B$6,"",((Constants!$B$25-$AZ500)-Constants!$B$25)/Constants!$B$26)</f>
        <v/>
      </c>
      <c r="CC500" s="138" t="str">
        <f aca="false">IF(ISBLANK($C500),"",IF($BX500&lt;&gt;Constants!$B$6,$BX500,SUM($BZ500:$CB500)))</f>
        <v/>
      </c>
      <c r="CD500" s="135" t="str">
        <f aca="false">IF(ISBLANK($C500),"",IF($BX500&lt;&gt;Constants!$B$6,$BX500,RANK($CC500,$CC$9:$CC$508,1)))</f>
        <v/>
      </c>
      <c r="CE500" s="138" t="str">
        <f aca="false">IF($BX500&lt;&gt;Constants!$B$6,"",IF($BL500="-&gt;",$BT500,$BI500))</f>
        <v/>
      </c>
      <c r="CF500" s="135" t="str">
        <f aca="false">IF(ISBLANK($C500),"",IF($BX500&lt;&gt;Constants!$B$6,$BX500,IF(ISNUMBER($CE500),RANK($CE500,$CE$9:$CE$508,1),COUNT($CE$9:$CE$508)+1)))</f>
        <v/>
      </c>
      <c r="CG500" s="138" t="str">
        <f aca="false">IF($BX500&lt;&gt;Constants!$B$6,"",IF($BL500="-&gt;",$BU500,$BJ500))</f>
        <v/>
      </c>
      <c r="CH500" s="135" t="str">
        <f aca="false">IF(ISBLANK($C500),"",IF($BX500&lt;&gt;Constants!$B$6,$BX500,IF(ISNUMBER($CG500),RANK($CG500,$CG$9:$CG$508,1),COUNT($CG$9:$CG$508)+1)))</f>
        <v/>
      </c>
      <c r="CI500" s="138" t="str">
        <f aca="false">IF($BX500&lt;&gt;Constants!$B$6,"",IF($BL500="-&gt;",$BV500,$BK500))</f>
        <v/>
      </c>
      <c r="CJ500" s="135" t="str">
        <f aca="false">IF(ISBLANK($C500),"",IF($BX500&lt;&gt;Constants!$B$6,$BX500,IF(ISNUMBER($CI500),RANK($CI500,$CI$9:$CI$508,1),COUNT($CI$9:$CI$508)+1)))</f>
        <v/>
      </c>
      <c r="CK500" s="138" t="str">
        <f aca="false">IF($BX500&lt;&gt;Constants!$B$6,"",$AI500)</f>
        <v/>
      </c>
      <c r="CL500" s="135" t="str">
        <f aca="false">IF(ISBLANK($C500),"",IF($BX500&lt;&gt;Constants!$B$6,$BX500,IF(ISNUMBER($CK500),RANK($CK500,$CK$9:$CK$508,1),COUNT($CK$9:$CK$508)+1)))</f>
        <v/>
      </c>
      <c r="CM500" s="135" t="str">
        <f aca="false">IF(ISBLANK($C500),"",IF($BX500&lt;&gt;Constants!$B$6,$BX500,COUNTIFS($CD$9:$CD$508,"&lt;"&amp;$CD500)+COUNTIFS($CD$9:$CD$508,$CD500,$CF$9:$CF$508,"&lt;"&amp;$CF500)+COUNTIFS($CD$9:$CD$508,$CD500,$CF$9:$CF$508,$CF500,$CH$9:$CH$508,"&lt;"&amp;$CH500)+COUNTIFS($CD$9:$CD$508,$CD500,$CF$9:$CF$508,$CF500,$CH$9:$CH$508,$CH500,$CJ$9:$CJ$508,"&lt;"&amp;$CJ500)+COUNTIFS($CD$9:$CD$508,$CD500,$CF$9:$CF$508,$CF500,$CH$9:$CH$508,$CH500,$CJ$9:$CJ$508,$CJ500,$CL$9:$CL$508,"&lt;"&amp;$CL500)+1))</f>
        <v/>
      </c>
      <c r="CN500" s="135" t="str">
        <f aca="false">IF(ISBLANK($C500),"",IF($BX500&lt;&gt;Constants!$B$6,$BX500,$CD500-$CM500))</f>
        <v/>
      </c>
      <c r="CO500" s="141"/>
      <c r="CP500" s="142"/>
      <c r="CQ500" s="143" t="str">
        <f aca="false">IF(ISBLANK($C500),"",IF($BX500=Constants!$B$10,$BW500,""))</f>
        <v/>
      </c>
      <c r="CR500" s="142" t="str">
        <f aca="false">IF(ISBLANK($C500),"",IF($BX500&lt;&gt;Constants!$B$6,"",IF($BL500="-&gt;",2,1)))</f>
        <v/>
      </c>
      <c r="CS500" s="144" t="str">
        <f aca="false">IF(ISBLANK($C500),"",IF($BX500&lt;&gt;Constants!$B$6,"",IF($BL500="-&gt;",$BN500,$BC500)))</f>
        <v/>
      </c>
      <c r="CT500" s="144" t="str">
        <f aca="false">IF(ISBLANK($C500),"",IF($BX500&lt;&gt;Constants!$B$6,"",IF($BL500="-&gt;",$BO500,$BD500)))</f>
        <v/>
      </c>
      <c r="CU500" s="144" t="str">
        <f aca="false">IF(ISBLANK($C500),"",IF($BX500&lt;&gt;Constants!$B$6,"",IF($BL500="-&gt;",$BP500+$BQ500,$BE500+$BF500)+$CB500))</f>
        <v/>
      </c>
      <c r="CV500" s="144" t="str">
        <f aca="false">IF(ISBLANK($C500),"",IF($BX500&lt;&gt;Constants!$B$6,"",IF($BL500="-&gt;",$BR500,$BG500)+$CA500))</f>
        <v/>
      </c>
      <c r="CW500" s="145" t="str">
        <f aca="false">IF(ISBLANK($C500),"",IF($BX500&lt;&gt;Constants!$B$6,$BX500,$CC500))</f>
        <v/>
      </c>
      <c r="CX500" s="146" t="str">
        <f aca="false">IF(ISBLANK($C500),"",$BY500)</f>
        <v/>
      </c>
      <c r="CY500" s="147" t="str">
        <f aca="false">IF(ISBLANK($C500),"",$CN500)</f>
        <v/>
      </c>
      <c r="CZ500" s="147" t="str">
        <f aca="false">IF(ISBLANK($C500),"",$CM500)</f>
        <v/>
      </c>
      <c r="DA500" s="148" t="str">
        <f aca="false">IF(ISBLANK($C500),"",IFERROR(_xlfn.SWITCH($CZ500,Constants!$B$9,COUNTA($C$9:$C$508)+2,Constants!$B$8,COUNTA($C$9:$C$508)+1,Constants!$B$7,COUNTA($C$9:$C$508)),$CZ500))</f>
        <v/>
      </c>
      <c r="DB500" s="9"/>
      <c r="DC500" s="149" t="n">
        <f aca="false">IF(OR(ISNUMBER($CZ500),$CZ500=Constants!$B$9,$CZ500=Constants!$B$7,$CZ500=Constants!$B$8),1,0)</f>
        <v>0</v>
      </c>
      <c r="DD500" s="149" t="n">
        <v>492</v>
      </c>
      <c r="DE500" s="149" t="str">
        <f aca="false">IF(ISBLANK($C500),"",IF(ISNUMBER($DA500),$DA500+ROW($B500)/1000,""))</f>
        <v/>
      </c>
      <c r="DF500" s="149" t="str">
        <f aca="false">IF(ISNUMBER($DE500),RANK($DE500,$DE$9:$DE$508,1),"")</f>
        <v/>
      </c>
      <c r="DG500" s="149" t="str">
        <f aca="false">IF(ISBLANK($C500),"",$B500)</f>
        <v/>
      </c>
      <c r="DH500" s="149" t="str">
        <f aca="false">IF(ISBLANK($C500),"",$C500)</f>
        <v/>
      </c>
      <c r="DI500" s="149" t="str">
        <f aca="false">IF(ISBLANK($C500),"",$D500)</f>
        <v/>
      </c>
      <c r="DJ500" s="150" t="str">
        <f aca="false">$CX500</f>
        <v/>
      </c>
      <c r="DK500" s="151" t="str">
        <f aca="false">$CW500</f>
        <v/>
      </c>
      <c r="DL500" s="149" t="str">
        <f aca="false">IF(ISBLANK($C500),"",$CZ500)</f>
        <v/>
      </c>
      <c r="DM500" s="152" t="str">
        <f aca="false">IF($DD500&gt;$DC$8,"",VLOOKUP($DD500,$DF$9:$DL$508,7,FALSE()))</f>
        <v/>
      </c>
      <c r="DN500" s="153" t="str">
        <f aca="false">IF($DD500&gt;$DC$8,"",VLOOKUP($DD500,$DF$9:$DL$508,2,FALSE()))</f>
        <v/>
      </c>
      <c r="DO500" s="153" t="str">
        <f aca="false">IF($DD500&gt;$DC$8,"",VLOOKUP($DD500,$DF$9:$DL$508,3,FALSE()))</f>
        <v/>
      </c>
      <c r="DP500" s="153" t="str">
        <f aca="false">IF($DD500&gt;$DC$8,"",VLOOKUP($DD500,$DF$9:$DL$508,4,FALSE()))</f>
        <v/>
      </c>
      <c r="DQ500" s="153" t="str">
        <f aca="false">IF($DD500&gt;$DC$8,"",VLOOKUP($DD500,$DF$9:$DL$508,5,FALSE()))</f>
        <v/>
      </c>
      <c r="DR500" s="154" t="str">
        <f aca="false">IF($DD500&gt;$DC$8,"",VLOOKUP($DD500,$DF$9:$DL$508,6,FALSE()))</f>
        <v/>
      </c>
      <c r="DS500" s="76"/>
    </row>
    <row r="501" customFormat="false" ht="15.75" hidden="false" customHeight="false" outlineLevel="0" collapsed="false">
      <c r="A501" s="9"/>
      <c r="B501" s="78"/>
      <c r="C501" s="79"/>
      <c r="D501" s="170"/>
      <c r="E501" s="178"/>
      <c r="F501" s="172"/>
      <c r="G501" s="173"/>
      <c r="H501" s="173"/>
      <c r="I501" s="179"/>
      <c r="J501" s="176"/>
      <c r="K501" s="86"/>
      <c r="L501" s="87"/>
      <c r="M501" s="88"/>
      <c r="N501" s="176"/>
      <c r="O501" s="176"/>
      <c r="P501" s="178"/>
      <c r="Q501" s="176"/>
      <c r="R501" s="176"/>
      <c r="S501" s="86"/>
      <c r="T501" s="88"/>
      <c r="U501" s="88"/>
      <c r="V501" s="176"/>
      <c r="W501" s="176"/>
      <c r="X501" s="178"/>
      <c r="Y501" s="176"/>
      <c r="Z501" s="177"/>
      <c r="AA501" s="176"/>
      <c r="AB501" s="92"/>
      <c r="AC501" s="93"/>
      <c r="AD501" s="93"/>
      <c r="AE501" s="93"/>
      <c r="AF501" s="93" t="str">
        <f aca="false">IF(ISBLANK($C501),"",IF(E501=Constants!$B$2,TRUE(),IF(E501=Constants!$B$3,FALSE(),TRUE())))</f>
        <v/>
      </c>
      <c r="AG501" s="93" t="str">
        <f aca="false">IF(ISBLANK($C501),"",IF(F501=Constants!$B$2,TRUE(),IF(F501=Constants!$B$3,FALSE(),TRUE())))</f>
        <v/>
      </c>
      <c r="AH501" s="93" t="str">
        <f aca="false">IF(ISBLANK($C501),"",IF(G501=Constants!$B$2,TRUE(),IF(G501=Constants!$B$3,FALSE(),TRUE())))</f>
        <v/>
      </c>
      <c r="AI501" s="93" t="str">
        <f aca="false">IF(ISBLANK($C501),"",IF(AND(ISNUMBER(H501),H501&gt;=0),H501,Constants!$B$24))</f>
        <v/>
      </c>
      <c r="AJ501" s="93" t="str">
        <f aca="false">IF(ISBLANK($C501),"",IF(I501=Constants!$B$2,TRUE(),IF(I501=Constants!$B$3,FALSE(),TRUE())))</f>
        <v/>
      </c>
      <c r="AK501" s="93" t="str">
        <f aca="false">IF(ISBLANK($C501),"",IF(J501=Constants!$B$2,TRUE(),IF(J501=Constants!$B$3,FALSE(),TRUE())))</f>
        <v/>
      </c>
      <c r="AL501" s="93" t="str">
        <f aca="false">IF(ISBLANK($C501),"",IF(K501=Constants!$B$4,TRUE(),IF(K501=Constants!$B$5,FALSE(),COUNTA(L501:P501)&gt;0)))</f>
        <v/>
      </c>
      <c r="AM501" s="95" t="str">
        <f aca="false">IF(ISBLANK($C501),"",IF(ISNUMBER(L501),IF(L501&gt;=0,L501,""),""))</f>
        <v/>
      </c>
      <c r="AN501" s="94" t="str">
        <f aca="false">IF(ISBLANK($C501),"",IF(ISNUMBER(M501),IF(M501&gt;=0,M501,""),""))</f>
        <v/>
      </c>
      <c r="AO501" s="94" t="str">
        <f aca="false">IF(ISBLANK($C501),"",IF(N501=Constants!$B$2,TRUE(),IF(N501=Constants!$B$3,FALSE(),TRUE())))</f>
        <v/>
      </c>
      <c r="AP501" s="93" t="str">
        <f aca="false">IF(ISBLANK($C501),"",IF(ISNUMBER(O501),IF(O501&gt;=0,O501,""),""))</f>
        <v/>
      </c>
      <c r="AQ501" s="93" t="str">
        <f aca="false">IF(ISBLANK($C501),"",IF(P501=Constants!$B$2,TRUE(),IF(P501=Constants!$B$3,FALSE(),FALSE())))</f>
        <v/>
      </c>
      <c r="AR501" s="93" t="str">
        <f aca="false">IF(ISBLANK($C501),"",IF(Q501=Constants!$B$2,TRUE(),IF(Q501=Constants!$B$3,FALSE(),TRUE())))</f>
        <v/>
      </c>
      <c r="AS501" s="93" t="str">
        <f aca="false">IF(ISBLANK($C501),"",IF(R501=Constants!$B$2,TRUE(),IF(R501=Constants!$B$3,FALSE(),TRUE())))</f>
        <v/>
      </c>
      <c r="AT501" s="93" t="str">
        <f aca="false">IF(ISBLANK($C501),"",IF(S501=Constants!$B$4,TRUE(),IF(S501=Constants!$B$5,FALSE(),COUNTA(T501:X501)&gt;0)))</f>
        <v/>
      </c>
      <c r="AU501" s="95" t="str">
        <f aca="false">IF(ISBLANK($C501),"",IF(ISNUMBER(T501),IF(T501&gt;=0,T501,""),""))</f>
        <v/>
      </c>
      <c r="AV501" s="94" t="str">
        <f aca="false">IF(ISBLANK($C501),"",IF(ISNUMBER(U501),IF(U501&gt;=0,U501,""),""))</f>
        <v/>
      </c>
      <c r="AW501" s="94" t="str">
        <f aca="false">IF(ISBLANK($C501),"",IF(V501=Constants!$B$2,TRUE(),IF(V501=Constants!$B$3,FALSE(),TRUE())))</f>
        <v/>
      </c>
      <c r="AX501" s="93" t="str">
        <f aca="false">IF(ISBLANK($C501),"",IF(ISNUMBER(W501),IF(W501&gt;=0,W501,""),""))</f>
        <v/>
      </c>
      <c r="AY501" s="93" t="str">
        <f aca="false">IF(ISBLANK($C501),"",IF(X501=Constants!$B$2,TRUE(),IF(X501=Constants!$B$3,FALSE(),FALSE())))</f>
        <v/>
      </c>
      <c r="AZ501" s="93" t="str">
        <f aca="false">IF(ISBLANK($C501),"",MIN(Constants!$B$25,MAX(0,IF(ISNUMBER(Y501),Y501*60,0)+IF(ISNUMBER(Z501),Z501,0))))</f>
        <v/>
      </c>
      <c r="BA501" s="93" t="str">
        <f aca="false">IF(ISBLANK($C501),"",IF(AA501=Constants!$B$2,TRUE(),IF(AA501=Constants!$B$3,FALSE(),FALSE())))</f>
        <v/>
      </c>
      <c r="BB501" s="92" t="str">
        <f aca="false">IF(ISBLANK($C501),"",AND($AL501,OR($AM501="",$AN501="",AND($AO501,$AP501=""))))</f>
        <v/>
      </c>
      <c r="BC501" s="94" t="str">
        <f aca="false">IF($BX501&lt;&gt;Constants!$B$6,"",IF($AL501,Constants!$B$17*$AN501+Constants!$B$18*IF($AO501,$AP501,Constants!$B$19),Constants!$B$20))</f>
        <v/>
      </c>
      <c r="BD501" s="97" t="str">
        <f aca="false">IF($BX501&lt;&gt;Constants!$B$6,"",Constants!$B$21*ABS($AD$9-IF($AL501,$AM501,0)))</f>
        <v/>
      </c>
      <c r="BE501" s="97" t="str">
        <f aca="false">IF($BX501&lt;&gt;Constants!$B$6,"",IF(AND($AL501,$AQ501,$AO501),Constants!$B$22,0))</f>
        <v/>
      </c>
      <c r="BF501" s="97" t="str">
        <f aca="false">IF($BX501&lt;&gt;Constants!$B$6,"",IF($AL501,($AI501-Constants!$B$24)*Constants!$B$23,0))</f>
        <v/>
      </c>
      <c r="BG501" s="97" t="str">
        <f aca="false">IF($BX501&lt;&gt;Constants!$B$6,"",IF($AK501,0,Constants!$B$12)+IF($AJ501,0,Constants!$B$13)+IF($AH501,0,Constants!$B$14))</f>
        <v/>
      </c>
      <c r="BH501" s="98" t="str">
        <f aca="false">IF($BX501&lt;&gt;Constants!$B$6,"",Constants!$B$16+SUM($BC501:$BG501))</f>
        <v/>
      </c>
      <c r="BI501" s="97" t="str">
        <f aca="false">IF($BX501&lt;&gt;Constants!$B$6,"",$BC501)</f>
        <v/>
      </c>
      <c r="BJ501" s="97" t="str">
        <f aca="false">IF($BX501&lt;&gt;Constants!$B$6,"",$BD501)</f>
        <v/>
      </c>
      <c r="BK501" s="99" t="str">
        <f aca="false">IF($BX501&lt;&gt;Constants!$B$6,"",IF($AL501,$AN501,""))</f>
        <v/>
      </c>
      <c r="BL501" s="93" t="str">
        <f aca="false">IF($BX501&lt;&gt;Constants!$B$6,"",IF(OR($BS501&lt;$BH501,AND($BS501=$BH501,OR($BT501&lt;$BI501,AND($BT501=$BI501,OR($BU501&lt;$BJ501,AND($BU501=$BJ501,AND(ISNUMBER($BV501),OR(NOT(ISNUMBER($BK501)),$BV501&lt;$BK501)))))))),"-&gt;","&lt;-"))</f>
        <v/>
      </c>
      <c r="BM501" s="92" t="str">
        <f aca="false">IF(ISBLANK($C501),"",AND($AT501,OR($AU501="",$AV501="",AND($AW501,$AX501=""))))</f>
        <v/>
      </c>
      <c r="BN501" s="94" t="str">
        <f aca="false">IF($BX501&lt;&gt;Constants!$B$6,"",IF($AT501,Constants!$B$17*$AV501+Constants!$B$18*IF($AW501,$AX501,Constants!$B$19),Constants!$B$20))</f>
        <v/>
      </c>
      <c r="BO501" s="97" t="str">
        <f aca="false">IF($BX501&lt;&gt;Constants!$B$6,"",Constants!$B$21*ABS($AD$9-IF($AT501,$AU501,0)))</f>
        <v/>
      </c>
      <c r="BP501" s="97" t="str">
        <f aca="false">IF($BX501&lt;&gt;Constants!$B$6,"",IF(AND($AT501,$AY501,$AW501),Constants!$B$22,0))</f>
        <v/>
      </c>
      <c r="BQ501" s="97" t="str">
        <f aca="false">IF($BX501&lt;&gt;Constants!$B$6,"",IF($AT501,($AI501-Constants!$B$24)*Constants!$B$23,0))</f>
        <v/>
      </c>
      <c r="BR501" s="97" t="str">
        <f aca="false">IF($BX501&lt;&gt;Constants!$B$6,"",IF($AS501,0,Constants!$B$12)+IF($AR501,0,Constants!$B$13)+IF($AH501,0,Constants!$B$14))</f>
        <v/>
      </c>
      <c r="BS501" s="98" t="str">
        <f aca="false">IF($BX501&lt;&gt;Constants!$B$6,"",Constants!$B$16+SUM($BN501:$BR501))</f>
        <v/>
      </c>
      <c r="BT501" s="97" t="str">
        <f aca="false">IF($BX501&lt;&gt;Constants!$B$6,"",$BN501)</f>
        <v/>
      </c>
      <c r="BU501" s="97" t="str">
        <f aca="false">IF($BX501&lt;&gt;Constants!$B$6,"",$BO501)</f>
        <v/>
      </c>
      <c r="BV501" s="99" t="str">
        <f aca="false">IF($BX501&lt;&gt;Constants!$B$6,"",IF($AT501,$AV501,""))</f>
        <v/>
      </c>
      <c r="BW501" s="93" t="str">
        <f aca="false">IF(ISBLANK($C501),"",IF(ISBLANK($D$7),$BW$5,IF(NOT(ISNUMBER($D$7)),$BW$6,"")))</f>
        <v/>
      </c>
      <c r="BX501" s="93" t="str">
        <f aca="false">IF(ISBLANK($C501),"",IF($BA501,Constants!$B$9,IF(COUNTA($E501:$AA501)=0,Constants!$B$8,IF(NOT($AG501),Constants!$B$7,IF(OR($BW501&lt;&gt;"",$BB501,$BM501),Constants!$B$10,Constants!$B$6)))))</f>
        <v/>
      </c>
      <c r="BY501" s="93" t="str">
        <f aca="false">IF(ISBLANK($C501),"",IF($BX501&lt;&gt;Constants!$B$6,$BX501,Constants!$B$11))</f>
        <v/>
      </c>
      <c r="BZ501" s="97" t="str">
        <f aca="false">IF($BX501&lt;&gt;Constants!$B$6,"",IF($BL501="-&gt;",$BS501,$BH501))</f>
        <v/>
      </c>
      <c r="CA501" s="97" t="str">
        <f aca="false">IF($BX501&lt;&gt;Constants!$B$6,"",IF($AF501,0,Constants!$B$15))</f>
        <v/>
      </c>
      <c r="CB501" s="97" t="str">
        <f aca="false">IF($BX501&lt;&gt;Constants!$B$6,"",((Constants!$B$25-$AZ501)-Constants!$B$25)/Constants!$B$26)</f>
        <v/>
      </c>
      <c r="CC501" s="97" t="str">
        <f aca="false">IF(ISBLANK($C501),"",IF($BX501&lt;&gt;Constants!$B$6,$BX501,SUM($BZ501:$CB501)))</f>
        <v/>
      </c>
      <c r="CD501" s="93" t="str">
        <f aca="false">IF(ISBLANK($C501),"",IF($BX501&lt;&gt;Constants!$B$6,$BX501,RANK($CC501,$CC$9:$CC$508,1)))</f>
        <v/>
      </c>
      <c r="CE501" s="97" t="str">
        <f aca="false">IF($BX501&lt;&gt;Constants!$B$6,"",IF($BL501="-&gt;",$BT501,$BI501))</f>
        <v/>
      </c>
      <c r="CF501" s="93" t="str">
        <f aca="false">IF(ISBLANK($C501),"",IF($BX501&lt;&gt;Constants!$B$6,$BX501,IF(ISNUMBER($CE501),RANK($CE501,$CE$9:$CE$508,1),COUNT($CE$9:$CE$508)+1)))</f>
        <v/>
      </c>
      <c r="CG501" s="97" t="str">
        <f aca="false">IF($BX501&lt;&gt;Constants!$B$6,"",IF($BL501="-&gt;",$BU501,$BJ501))</f>
        <v/>
      </c>
      <c r="CH501" s="93" t="str">
        <f aca="false">IF(ISBLANK($C501),"",IF($BX501&lt;&gt;Constants!$B$6,$BX501,IF(ISNUMBER($CG501),RANK($CG501,$CG$9:$CG$508,1),COUNT($CG$9:$CG$508)+1)))</f>
        <v/>
      </c>
      <c r="CI501" s="97" t="str">
        <f aca="false">IF($BX501&lt;&gt;Constants!$B$6,"",IF($BL501="-&gt;",$BV501,$BK501))</f>
        <v/>
      </c>
      <c r="CJ501" s="93" t="str">
        <f aca="false">IF(ISBLANK($C501),"",IF($BX501&lt;&gt;Constants!$B$6,$BX501,IF(ISNUMBER($CI501),RANK($CI501,$CI$9:$CI$508,1),COUNT($CI$9:$CI$508)+1)))</f>
        <v/>
      </c>
      <c r="CK501" s="97" t="str">
        <f aca="false">IF($BX501&lt;&gt;Constants!$B$6,"",$AI501)</f>
        <v/>
      </c>
      <c r="CL501" s="93" t="str">
        <f aca="false">IF(ISBLANK($C501),"",IF($BX501&lt;&gt;Constants!$B$6,$BX501,IF(ISNUMBER($CK501),RANK($CK501,$CK$9:$CK$508,1),COUNT($CK$9:$CK$508)+1)))</f>
        <v/>
      </c>
      <c r="CM501" s="93" t="str">
        <f aca="false">IF(ISBLANK($C501),"",IF($BX501&lt;&gt;Constants!$B$6,$BX501,COUNTIFS($CD$9:$CD$508,"&lt;"&amp;$CD501)+COUNTIFS($CD$9:$CD$508,$CD501,$CF$9:$CF$508,"&lt;"&amp;$CF501)+COUNTIFS($CD$9:$CD$508,$CD501,$CF$9:$CF$508,$CF501,$CH$9:$CH$508,"&lt;"&amp;$CH501)+COUNTIFS($CD$9:$CD$508,$CD501,$CF$9:$CF$508,$CF501,$CH$9:$CH$508,$CH501,$CJ$9:$CJ$508,"&lt;"&amp;$CJ501)+COUNTIFS($CD$9:$CD$508,$CD501,$CF$9:$CF$508,$CF501,$CH$9:$CH$508,$CH501,$CJ$9:$CJ$508,$CJ501,$CL$9:$CL$508,"&lt;"&amp;$CL501)+1))</f>
        <v/>
      </c>
      <c r="CN501" s="93" t="str">
        <f aca="false">IF(ISBLANK($C501),"",IF($BX501&lt;&gt;Constants!$B$6,$BX501,$CD501-$CM501))</f>
        <v/>
      </c>
      <c r="CO501" s="100"/>
      <c r="CP501" s="101"/>
      <c r="CQ501" s="102" t="str">
        <f aca="false">IF(ISBLANK($C501),"",IF($BX501=Constants!$B$10,$BW501,""))</f>
        <v/>
      </c>
      <c r="CR501" s="101" t="str">
        <f aca="false">IF(ISBLANK($C501),"",IF($BX501&lt;&gt;Constants!$B$6,"",IF($BL501="-&gt;",2,1)))</f>
        <v/>
      </c>
      <c r="CS501" s="103" t="str">
        <f aca="false">IF(ISBLANK($C501),"",IF($BX501&lt;&gt;Constants!$B$6,"",IF($BL501="-&gt;",$BN501,$BC501)))</f>
        <v/>
      </c>
      <c r="CT501" s="103" t="str">
        <f aca="false">IF(ISBLANK($C501),"",IF($BX501&lt;&gt;Constants!$B$6,"",IF($BL501="-&gt;",$BO501,$BD501)))</f>
        <v/>
      </c>
      <c r="CU501" s="103" t="str">
        <f aca="false">IF(ISBLANK($C501),"",IF($BX501&lt;&gt;Constants!$B$6,"",IF($BL501="-&gt;",$BP501+$BQ501,$BE501+$BF501)+$CB501))</f>
        <v/>
      </c>
      <c r="CV501" s="103" t="str">
        <f aca="false">IF(ISBLANK($C501),"",IF($BX501&lt;&gt;Constants!$B$6,"",IF($BL501="-&gt;",$BR501,$BG501)+$CA501))</f>
        <v/>
      </c>
      <c r="CW501" s="104" t="str">
        <f aca="false">IF(ISBLANK($C501),"",IF($BX501&lt;&gt;Constants!$B$6,$BX501,$CC501))</f>
        <v/>
      </c>
      <c r="CX501" s="105" t="str">
        <f aca="false">IF(ISBLANK($C501),"",$BY501)</f>
        <v/>
      </c>
      <c r="CY501" s="106" t="str">
        <f aca="false">IF(ISBLANK($C501),"",$CN501)</f>
        <v/>
      </c>
      <c r="CZ501" s="106" t="str">
        <f aca="false">IF(ISBLANK($C501),"",$CM501)</f>
        <v/>
      </c>
      <c r="DA501" s="107" t="str">
        <f aca="false">IF(ISBLANK($C501),"",IFERROR(_xlfn.SWITCH($CZ501,Constants!$B$9,COUNTA($C$9:$C$508)+2,Constants!$B$8,COUNTA($C$9:$C$508)+1,Constants!$B$7,COUNTA($C$9:$C$508)),$CZ501))</f>
        <v/>
      </c>
      <c r="DB501" s="9"/>
      <c r="DC501" s="108" t="n">
        <f aca="false">IF(OR(ISNUMBER($CZ501),$CZ501=Constants!$B$9,$CZ501=Constants!$B$7,$CZ501=Constants!$B$8),1,0)</f>
        <v>0</v>
      </c>
      <c r="DD501" s="108" t="n">
        <v>493</v>
      </c>
      <c r="DE501" s="108" t="str">
        <f aca="false">IF(ISBLANK($C501),"",IF(ISNUMBER($DA501),$DA501+ROW($B501)/1000,""))</f>
        <v/>
      </c>
      <c r="DF501" s="108" t="str">
        <f aca="false">IF(ISNUMBER($DE501),RANK($DE501,$DE$9:$DE$508,1),"")</f>
        <v/>
      </c>
      <c r="DG501" s="108" t="str">
        <f aca="false">IF(ISBLANK($C501),"",$B501)</f>
        <v/>
      </c>
      <c r="DH501" s="108" t="str">
        <f aca="false">IF(ISBLANK($C501),"",$C501)</f>
        <v/>
      </c>
      <c r="DI501" s="108" t="str">
        <f aca="false">IF(ISBLANK($C501),"",$D501)</f>
        <v/>
      </c>
      <c r="DJ501" s="109" t="str">
        <f aca="false">$CX501</f>
        <v/>
      </c>
      <c r="DK501" s="110" t="str">
        <f aca="false">$CW501</f>
        <v/>
      </c>
      <c r="DL501" s="108" t="str">
        <f aca="false">IF(ISBLANK($C501),"",$CZ501)</f>
        <v/>
      </c>
      <c r="DM501" s="111" t="str">
        <f aca="false">IF($DD501&gt;$DC$8,"",VLOOKUP($DD501,$DF$9:$DL$508,7,FALSE()))</f>
        <v/>
      </c>
      <c r="DN501" s="112" t="str">
        <f aca="false">IF($DD501&gt;$DC$8,"",VLOOKUP($DD501,$DF$9:$DL$508,2,FALSE()))</f>
        <v/>
      </c>
      <c r="DO501" s="112" t="str">
        <f aca="false">IF($DD501&gt;$DC$8,"",VLOOKUP($DD501,$DF$9:$DL$508,3,FALSE()))</f>
        <v/>
      </c>
      <c r="DP501" s="112" t="str">
        <f aca="false">IF($DD501&gt;$DC$8,"",VLOOKUP($DD501,$DF$9:$DL$508,4,FALSE()))</f>
        <v/>
      </c>
      <c r="DQ501" s="112" t="str">
        <f aca="false">IF($DD501&gt;$DC$8,"",VLOOKUP($DD501,$DF$9:$DL$508,5,FALSE()))</f>
        <v/>
      </c>
      <c r="DR501" s="113" t="str">
        <f aca="false">IF($DD501&gt;$DC$8,"",VLOOKUP($DD501,$DF$9:$DL$508,6,FALSE()))</f>
        <v/>
      </c>
      <c r="DS501" s="76"/>
    </row>
    <row r="502" customFormat="false" ht="15.75" hidden="false" customHeight="false" outlineLevel="0" collapsed="false">
      <c r="A502" s="9"/>
      <c r="B502" s="78"/>
      <c r="C502" s="79"/>
      <c r="D502" s="170"/>
      <c r="E502" s="178"/>
      <c r="F502" s="172"/>
      <c r="G502" s="173"/>
      <c r="H502" s="173"/>
      <c r="I502" s="179"/>
      <c r="J502" s="176"/>
      <c r="K502" s="86"/>
      <c r="L502" s="87"/>
      <c r="M502" s="88"/>
      <c r="N502" s="176"/>
      <c r="O502" s="176"/>
      <c r="P502" s="178"/>
      <c r="Q502" s="176"/>
      <c r="R502" s="176"/>
      <c r="S502" s="86"/>
      <c r="T502" s="88"/>
      <c r="U502" s="88"/>
      <c r="V502" s="176"/>
      <c r="W502" s="176"/>
      <c r="X502" s="178"/>
      <c r="Y502" s="176"/>
      <c r="Z502" s="177"/>
      <c r="AA502" s="176"/>
      <c r="AB502" s="92"/>
      <c r="AC502" s="93"/>
      <c r="AD502" s="93"/>
      <c r="AE502" s="93"/>
      <c r="AF502" s="93" t="str">
        <f aca="false">IF(ISBLANK($C502),"",IF(E502=Constants!$B$2,TRUE(),IF(E502=Constants!$B$3,FALSE(),TRUE())))</f>
        <v/>
      </c>
      <c r="AG502" s="93" t="str">
        <f aca="false">IF(ISBLANK($C502),"",IF(F502=Constants!$B$2,TRUE(),IF(F502=Constants!$B$3,FALSE(),TRUE())))</f>
        <v/>
      </c>
      <c r="AH502" s="93" t="str">
        <f aca="false">IF(ISBLANK($C502),"",IF(G502=Constants!$B$2,TRUE(),IF(G502=Constants!$B$3,FALSE(),TRUE())))</f>
        <v/>
      </c>
      <c r="AI502" s="93" t="str">
        <f aca="false">IF(ISBLANK($C502),"",IF(AND(ISNUMBER(H502),H502&gt;=0),H502,Constants!$B$24))</f>
        <v/>
      </c>
      <c r="AJ502" s="93" t="str">
        <f aca="false">IF(ISBLANK($C502),"",IF(I502=Constants!$B$2,TRUE(),IF(I502=Constants!$B$3,FALSE(),TRUE())))</f>
        <v/>
      </c>
      <c r="AK502" s="93" t="str">
        <f aca="false">IF(ISBLANK($C502),"",IF(J502=Constants!$B$2,TRUE(),IF(J502=Constants!$B$3,FALSE(),TRUE())))</f>
        <v/>
      </c>
      <c r="AL502" s="93" t="str">
        <f aca="false">IF(ISBLANK($C502),"",IF(K502=Constants!$B$4,TRUE(),IF(K502=Constants!$B$5,FALSE(),COUNTA(L502:P502)&gt;0)))</f>
        <v/>
      </c>
      <c r="AM502" s="95" t="str">
        <f aca="false">IF(ISBLANK($C502),"",IF(ISNUMBER(L502),IF(L502&gt;=0,L502,""),""))</f>
        <v/>
      </c>
      <c r="AN502" s="94" t="str">
        <f aca="false">IF(ISBLANK($C502),"",IF(ISNUMBER(M502),IF(M502&gt;=0,M502,""),""))</f>
        <v/>
      </c>
      <c r="AO502" s="94" t="str">
        <f aca="false">IF(ISBLANK($C502),"",IF(N502=Constants!$B$2,TRUE(),IF(N502=Constants!$B$3,FALSE(),TRUE())))</f>
        <v/>
      </c>
      <c r="AP502" s="93" t="str">
        <f aca="false">IF(ISBLANK($C502),"",IF(ISNUMBER(O502),IF(O502&gt;=0,O502,""),""))</f>
        <v/>
      </c>
      <c r="AQ502" s="93" t="str">
        <f aca="false">IF(ISBLANK($C502),"",IF(P502=Constants!$B$2,TRUE(),IF(P502=Constants!$B$3,FALSE(),FALSE())))</f>
        <v/>
      </c>
      <c r="AR502" s="93" t="str">
        <f aca="false">IF(ISBLANK($C502),"",IF(Q502=Constants!$B$2,TRUE(),IF(Q502=Constants!$B$3,FALSE(),TRUE())))</f>
        <v/>
      </c>
      <c r="AS502" s="93" t="str">
        <f aca="false">IF(ISBLANK($C502),"",IF(R502=Constants!$B$2,TRUE(),IF(R502=Constants!$B$3,FALSE(),TRUE())))</f>
        <v/>
      </c>
      <c r="AT502" s="93" t="str">
        <f aca="false">IF(ISBLANK($C502),"",IF(S502=Constants!$B$4,TRUE(),IF(S502=Constants!$B$5,FALSE(),COUNTA(T502:X502)&gt;0)))</f>
        <v/>
      </c>
      <c r="AU502" s="95" t="str">
        <f aca="false">IF(ISBLANK($C502),"",IF(ISNUMBER(T502),IF(T502&gt;=0,T502,""),""))</f>
        <v/>
      </c>
      <c r="AV502" s="94" t="str">
        <f aca="false">IF(ISBLANK($C502),"",IF(ISNUMBER(U502),IF(U502&gt;=0,U502,""),""))</f>
        <v/>
      </c>
      <c r="AW502" s="94" t="str">
        <f aca="false">IF(ISBLANK($C502),"",IF(V502=Constants!$B$2,TRUE(),IF(V502=Constants!$B$3,FALSE(),TRUE())))</f>
        <v/>
      </c>
      <c r="AX502" s="93" t="str">
        <f aca="false">IF(ISBLANK($C502),"",IF(ISNUMBER(W502),IF(W502&gt;=0,W502,""),""))</f>
        <v/>
      </c>
      <c r="AY502" s="93" t="str">
        <f aca="false">IF(ISBLANK($C502),"",IF(X502=Constants!$B$2,TRUE(),IF(X502=Constants!$B$3,FALSE(),FALSE())))</f>
        <v/>
      </c>
      <c r="AZ502" s="93" t="str">
        <f aca="false">IF(ISBLANK($C502),"",MIN(Constants!$B$25,MAX(0,IF(ISNUMBER(Y502),Y502*60,0)+IF(ISNUMBER(Z502),Z502,0))))</f>
        <v/>
      </c>
      <c r="BA502" s="93" t="str">
        <f aca="false">IF(ISBLANK($C502),"",IF(AA502=Constants!$B$2,TRUE(),IF(AA502=Constants!$B$3,FALSE(),FALSE())))</f>
        <v/>
      </c>
      <c r="BB502" s="92" t="str">
        <f aca="false">IF(ISBLANK($C502),"",AND($AL502,OR($AM502="",$AN502="",AND($AO502,$AP502=""))))</f>
        <v/>
      </c>
      <c r="BC502" s="94" t="str">
        <f aca="false">IF($BX502&lt;&gt;Constants!$B$6,"",IF($AL502,Constants!$B$17*$AN502+Constants!$B$18*IF($AO502,$AP502,Constants!$B$19),Constants!$B$20))</f>
        <v/>
      </c>
      <c r="BD502" s="97" t="str">
        <f aca="false">IF($BX502&lt;&gt;Constants!$B$6,"",Constants!$B$21*ABS($AD$9-IF($AL502,$AM502,0)))</f>
        <v/>
      </c>
      <c r="BE502" s="97" t="str">
        <f aca="false">IF($BX502&lt;&gt;Constants!$B$6,"",IF(AND($AL502,$AQ502,$AO502),Constants!$B$22,0))</f>
        <v/>
      </c>
      <c r="BF502" s="97" t="str">
        <f aca="false">IF($BX502&lt;&gt;Constants!$B$6,"",IF($AL502,($AI502-Constants!$B$24)*Constants!$B$23,0))</f>
        <v/>
      </c>
      <c r="BG502" s="97" t="str">
        <f aca="false">IF($BX502&lt;&gt;Constants!$B$6,"",IF($AK502,0,Constants!$B$12)+IF($AJ502,0,Constants!$B$13)+IF($AH502,0,Constants!$B$14))</f>
        <v/>
      </c>
      <c r="BH502" s="98" t="str">
        <f aca="false">IF($BX502&lt;&gt;Constants!$B$6,"",Constants!$B$16+SUM($BC502:$BG502))</f>
        <v/>
      </c>
      <c r="BI502" s="97" t="str">
        <f aca="false">IF($BX502&lt;&gt;Constants!$B$6,"",$BC502)</f>
        <v/>
      </c>
      <c r="BJ502" s="97" t="str">
        <f aca="false">IF($BX502&lt;&gt;Constants!$B$6,"",$BD502)</f>
        <v/>
      </c>
      <c r="BK502" s="99" t="str">
        <f aca="false">IF($BX502&lt;&gt;Constants!$B$6,"",IF($AL502,$AN502,""))</f>
        <v/>
      </c>
      <c r="BL502" s="93" t="str">
        <f aca="false">IF($BX502&lt;&gt;Constants!$B$6,"",IF(OR($BS502&lt;$BH502,AND($BS502=$BH502,OR($BT502&lt;$BI502,AND($BT502=$BI502,OR($BU502&lt;$BJ502,AND($BU502=$BJ502,AND(ISNUMBER($BV502),OR(NOT(ISNUMBER($BK502)),$BV502&lt;$BK502)))))))),"-&gt;","&lt;-"))</f>
        <v/>
      </c>
      <c r="BM502" s="92" t="str">
        <f aca="false">IF(ISBLANK($C502),"",AND($AT502,OR($AU502="",$AV502="",AND($AW502,$AX502=""))))</f>
        <v/>
      </c>
      <c r="BN502" s="94" t="str">
        <f aca="false">IF($BX502&lt;&gt;Constants!$B$6,"",IF($AT502,Constants!$B$17*$AV502+Constants!$B$18*IF($AW502,$AX502,Constants!$B$19),Constants!$B$20))</f>
        <v/>
      </c>
      <c r="BO502" s="97" t="str">
        <f aca="false">IF($BX502&lt;&gt;Constants!$B$6,"",Constants!$B$21*ABS($AD$9-IF($AT502,$AU502,0)))</f>
        <v/>
      </c>
      <c r="BP502" s="97" t="str">
        <f aca="false">IF($BX502&lt;&gt;Constants!$B$6,"",IF(AND($AT502,$AY502,$AW502),Constants!$B$22,0))</f>
        <v/>
      </c>
      <c r="BQ502" s="97" t="str">
        <f aca="false">IF($BX502&lt;&gt;Constants!$B$6,"",IF($AT502,($AI502-Constants!$B$24)*Constants!$B$23,0))</f>
        <v/>
      </c>
      <c r="BR502" s="97" t="str">
        <f aca="false">IF($BX502&lt;&gt;Constants!$B$6,"",IF($AS502,0,Constants!$B$12)+IF($AR502,0,Constants!$B$13)+IF($AH502,0,Constants!$B$14))</f>
        <v/>
      </c>
      <c r="BS502" s="98" t="str">
        <f aca="false">IF($BX502&lt;&gt;Constants!$B$6,"",Constants!$B$16+SUM($BN502:$BR502))</f>
        <v/>
      </c>
      <c r="BT502" s="97" t="str">
        <f aca="false">IF($BX502&lt;&gt;Constants!$B$6,"",$BN502)</f>
        <v/>
      </c>
      <c r="BU502" s="97" t="str">
        <f aca="false">IF($BX502&lt;&gt;Constants!$B$6,"",$BO502)</f>
        <v/>
      </c>
      <c r="BV502" s="99" t="str">
        <f aca="false">IF($BX502&lt;&gt;Constants!$B$6,"",IF($AT502,$AV502,""))</f>
        <v/>
      </c>
      <c r="BW502" s="93" t="str">
        <f aca="false">IF(ISBLANK($C502),"",IF(ISBLANK($D$7),$BW$5,IF(NOT(ISNUMBER($D$7)),$BW$6,"")))</f>
        <v/>
      </c>
      <c r="BX502" s="93" t="str">
        <f aca="false">IF(ISBLANK($C502),"",IF($BA502,Constants!$B$9,IF(COUNTA($E502:$AA502)=0,Constants!$B$8,IF(NOT($AG502),Constants!$B$7,IF(OR($BW502&lt;&gt;"",$BB502,$BM502),Constants!$B$10,Constants!$B$6)))))</f>
        <v/>
      </c>
      <c r="BY502" s="93" t="str">
        <f aca="false">IF(ISBLANK($C502),"",IF($BX502&lt;&gt;Constants!$B$6,$BX502,Constants!$B$11))</f>
        <v/>
      </c>
      <c r="BZ502" s="97" t="str">
        <f aca="false">IF($BX502&lt;&gt;Constants!$B$6,"",IF($BL502="-&gt;",$BS502,$BH502))</f>
        <v/>
      </c>
      <c r="CA502" s="97" t="str">
        <f aca="false">IF($BX502&lt;&gt;Constants!$B$6,"",IF($AF502,0,Constants!$B$15))</f>
        <v/>
      </c>
      <c r="CB502" s="97" t="str">
        <f aca="false">IF($BX502&lt;&gt;Constants!$B$6,"",((Constants!$B$25-$AZ502)-Constants!$B$25)/Constants!$B$26)</f>
        <v/>
      </c>
      <c r="CC502" s="97" t="str">
        <f aca="false">IF(ISBLANK($C502),"",IF($BX502&lt;&gt;Constants!$B$6,$BX502,SUM($BZ502:$CB502)))</f>
        <v/>
      </c>
      <c r="CD502" s="93" t="str">
        <f aca="false">IF(ISBLANK($C502),"",IF($BX502&lt;&gt;Constants!$B$6,$BX502,RANK($CC502,$CC$9:$CC$508,1)))</f>
        <v/>
      </c>
      <c r="CE502" s="97" t="str">
        <f aca="false">IF($BX502&lt;&gt;Constants!$B$6,"",IF($BL502="-&gt;",$BT502,$BI502))</f>
        <v/>
      </c>
      <c r="CF502" s="93" t="str">
        <f aca="false">IF(ISBLANK($C502),"",IF($BX502&lt;&gt;Constants!$B$6,$BX502,IF(ISNUMBER($CE502),RANK($CE502,$CE$9:$CE$508,1),COUNT($CE$9:$CE$508)+1)))</f>
        <v/>
      </c>
      <c r="CG502" s="97" t="str">
        <f aca="false">IF($BX502&lt;&gt;Constants!$B$6,"",IF($BL502="-&gt;",$BU502,$BJ502))</f>
        <v/>
      </c>
      <c r="CH502" s="93" t="str">
        <f aca="false">IF(ISBLANK($C502),"",IF($BX502&lt;&gt;Constants!$B$6,$BX502,IF(ISNUMBER($CG502),RANK($CG502,$CG$9:$CG$508,1),COUNT($CG$9:$CG$508)+1)))</f>
        <v/>
      </c>
      <c r="CI502" s="97" t="str">
        <f aca="false">IF($BX502&lt;&gt;Constants!$B$6,"",IF($BL502="-&gt;",$BV502,$BK502))</f>
        <v/>
      </c>
      <c r="CJ502" s="93" t="str">
        <f aca="false">IF(ISBLANK($C502),"",IF($BX502&lt;&gt;Constants!$B$6,$BX502,IF(ISNUMBER($CI502),RANK($CI502,$CI$9:$CI$508,1),COUNT($CI$9:$CI$508)+1)))</f>
        <v/>
      </c>
      <c r="CK502" s="97" t="str">
        <f aca="false">IF($BX502&lt;&gt;Constants!$B$6,"",$AI502)</f>
        <v/>
      </c>
      <c r="CL502" s="93" t="str">
        <f aca="false">IF(ISBLANK($C502),"",IF($BX502&lt;&gt;Constants!$B$6,$BX502,IF(ISNUMBER($CK502),RANK($CK502,$CK$9:$CK$508,1),COUNT($CK$9:$CK$508)+1)))</f>
        <v/>
      </c>
      <c r="CM502" s="93" t="str">
        <f aca="false">IF(ISBLANK($C502),"",IF($BX502&lt;&gt;Constants!$B$6,$BX502,COUNTIFS($CD$9:$CD$508,"&lt;"&amp;$CD502)+COUNTIFS($CD$9:$CD$508,$CD502,$CF$9:$CF$508,"&lt;"&amp;$CF502)+COUNTIFS($CD$9:$CD$508,$CD502,$CF$9:$CF$508,$CF502,$CH$9:$CH$508,"&lt;"&amp;$CH502)+COUNTIFS($CD$9:$CD$508,$CD502,$CF$9:$CF$508,$CF502,$CH$9:$CH$508,$CH502,$CJ$9:$CJ$508,"&lt;"&amp;$CJ502)+COUNTIFS($CD$9:$CD$508,$CD502,$CF$9:$CF$508,$CF502,$CH$9:$CH$508,$CH502,$CJ$9:$CJ$508,$CJ502,$CL$9:$CL$508,"&lt;"&amp;$CL502)+1))</f>
        <v/>
      </c>
      <c r="CN502" s="93" t="str">
        <f aca="false">IF(ISBLANK($C502),"",IF($BX502&lt;&gt;Constants!$B$6,$BX502,$CD502-$CM502))</f>
        <v/>
      </c>
      <c r="CO502" s="100"/>
      <c r="CP502" s="101"/>
      <c r="CQ502" s="102" t="str">
        <f aca="false">IF(ISBLANK($C502),"",IF($BX502=Constants!$B$10,$BW502,""))</f>
        <v/>
      </c>
      <c r="CR502" s="101" t="str">
        <f aca="false">IF(ISBLANK($C502),"",IF($BX502&lt;&gt;Constants!$B$6,"",IF($BL502="-&gt;",2,1)))</f>
        <v/>
      </c>
      <c r="CS502" s="103" t="str">
        <f aca="false">IF(ISBLANK($C502),"",IF($BX502&lt;&gt;Constants!$B$6,"",IF($BL502="-&gt;",$BN502,$BC502)))</f>
        <v/>
      </c>
      <c r="CT502" s="103" t="str">
        <f aca="false">IF(ISBLANK($C502),"",IF($BX502&lt;&gt;Constants!$B$6,"",IF($BL502="-&gt;",$BO502,$BD502)))</f>
        <v/>
      </c>
      <c r="CU502" s="103" t="str">
        <f aca="false">IF(ISBLANK($C502),"",IF($BX502&lt;&gt;Constants!$B$6,"",IF($BL502="-&gt;",$BP502+$BQ502,$BE502+$BF502)+$CB502))</f>
        <v/>
      </c>
      <c r="CV502" s="103" t="str">
        <f aca="false">IF(ISBLANK($C502),"",IF($BX502&lt;&gt;Constants!$B$6,"",IF($BL502="-&gt;",$BR502,$BG502)+$CA502))</f>
        <v/>
      </c>
      <c r="CW502" s="104" t="str">
        <f aca="false">IF(ISBLANK($C502),"",IF($BX502&lt;&gt;Constants!$B$6,$BX502,$CC502))</f>
        <v/>
      </c>
      <c r="CX502" s="105" t="str">
        <f aca="false">IF(ISBLANK($C502),"",$BY502)</f>
        <v/>
      </c>
      <c r="CY502" s="106" t="str">
        <f aca="false">IF(ISBLANK($C502),"",$CN502)</f>
        <v/>
      </c>
      <c r="CZ502" s="106" t="str">
        <f aca="false">IF(ISBLANK($C502),"",$CM502)</f>
        <v/>
      </c>
      <c r="DA502" s="107" t="str">
        <f aca="false">IF(ISBLANK($C502),"",IFERROR(_xlfn.SWITCH($CZ502,Constants!$B$9,COUNTA($C$9:$C$508)+2,Constants!$B$8,COUNTA($C$9:$C$508)+1,Constants!$B$7,COUNTA($C$9:$C$508)),$CZ502))</f>
        <v/>
      </c>
      <c r="DB502" s="9"/>
      <c r="DC502" s="108" t="n">
        <f aca="false">IF(OR(ISNUMBER($CZ502),$CZ502=Constants!$B$9,$CZ502=Constants!$B$7,$CZ502=Constants!$B$8),1,0)</f>
        <v>0</v>
      </c>
      <c r="DD502" s="108" t="n">
        <v>494</v>
      </c>
      <c r="DE502" s="108" t="str">
        <f aca="false">IF(ISBLANK($C502),"",IF(ISNUMBER($DA502),$DA502+ROW($B502)/1000,""))</f>
        <v/>
      </c>
      <c r="DF502" s="108" t="str">
        <f aca="false">IF(ISNUMBER($DE502),RANK($DE502,$DE$9:$DE$508,1),"")</f>
        <v/>
      </c>
      <c r="DG502" s="108" t="str">
        <f aca="false">IF(ISBLANK($C502),"",$B502)</f>
        <v/>
      </c>
      <c r="DH502" s="108" t="str">
        <f aca="false">IF(ISBLANK($C502),"",$C502)</f>
        <v/>
      </c>
      <c r="DI502" s="108" t="str">
        <f aca="false">IF(ISBLANK($C502),"",$D502)</f>
        <v/>
      </c>
      <c r="DJ502" s="109" t="str">
        <f aca="false">$CX502</f>
        <v/>
      </c>
      <c r="DK502" s="110" t="str">
        <f aca="false">$CW502</f>
        <v/>
      </c>
      <c r="DL502" s="108" t="str">
        <f aca="false">IF(ISBLANK($C502),"",$CZ502)</f>
        <v/>
      </c>
      <c r="DM502" s="111" t="str">
        <f aca="false">IF($DD502&gt;$DC$8,"",VLOOKUP($DD502,$DF$9:$DL$508,7,FALSE()))</f>
        <v/>
      </c>
      <c r="DN502" s="112" t="str">
        <f aca="false">IF($DD502&gt;$DC$8,"",VLOOKUP($DD502,$DF$9:$DL$508,2,FALSE()))</f>
        <v/>
      </c>
      <c r="DO502" s="112" t="str">
        <f aca="false">IF($DD502&gt;$DC$8,"",VLOOKUP($DD502,$DF$9:$DL$508,3,FALSE()))</f>
        <v/>
      </c>
      <c r="DP502" s="112" t="str">
        <f aca="false">IF($DD502&gt;$DC$8,"",VLOOKUP($DD502,$DF$9:$DL$508,4,FALSE()))</f>
        <v/>
      </c>
      <c r="DQ502" s="112" t="str">
        <f aca="false">IF($DD502&gt;$DC$8,"",VLOOKUP($DD502,$DF$9:$DL$508,5,FALSE()))</f>
        <v/>
      </c>
      <c r="DR502" s="113" t="str">
        <f aca="false">IF($DD502&gt;$DC$8,"",VLOOKUP($DD502,$DF$9:$DL$508,6,FALSE()))</f>
        <v/>
      </c>
      <c r="DS502" s="76"/>
    </row>
    <row r="503" customFormat="false" ht="15.75" hidden="false" customHeight="false" outlineLevel="0" collapsed="false">
      <c r="A503" s="9"/>
      <c r="B503" s="78"/>
      <c r="C503" s="79"/>
      <c r="D503" s="170"/>
      <c r="E503" s="178"/>
      <c r="F503" s="172"/>
      <c r="G503" s="173"/>
      <c r="H503" s="173"/>
      <c r="I503" s="179"/>
      <c r="J503" s="176"/>
      <c r="K503" s="86"/>
      <c r="L503" s="87"/>
      <c r="M503" s="88"/>
      <c r="N503" s="176"/>
      <c r="O503" s="176"/>
      <c r="P503" s="178"/>
      <c r="Q503" s="176"/>
      <c r="R503" s="176"/>
      <c r="S503" s="86"/>
      <c r="T503" s="88"/>
      <c r="U503" s="88"/>
      <c r="V503" s="176"/>
      <c r="W503" s="176"/>
      <c r="X503" s="178"/>
      <c r="Y503" s="176"/>
      <c r="Z503" s="177"/>
      <c r="AA503" s="176"/>
      <c r="AB503" s="92"/>
      <c r="AC503" s="93"/>
      <c r="AD503" s="93"/>
      <c r="AE503" s="93"/>
      <c r="AF503" s="93" t="str">
        <f aca="false">IF(ISBLANK($C503),"",IF(E503=Constants!$B$2,TRUE(),IF(E503=Constants!$B$3,FALSE(),TRUE())))</f>
        <v/>
      </c>
      <c r="AG503" s="93" t="str">
        <f aca="false">IF(ISBLANK($C503),"",IF(F503=Constants!$B$2,TRUE(),IF(F503=Constants!$B$3,FALSE(),TRUE())))</f>
        <v/>
      </c>
      <c r="AH503" s="93" t="str">
        <f aca="false">IF(ISBLANK($C503),"",IF(G503=Constants!$B$2,TRUE(),IF(G503=Constants!$B$3,FALSE(),TRUE())))</f>
        <v/>
      </c>
      <c r="AI503" s="93" t="str">
        <f aca="false">IF(ISBLANK($C503),"",IF(AND(ISNUMBER(H503),H503&gt;=0),H503,Constants!$B$24))</f>
        <v/>
      </c>
      <c r="AJ503" s="93" t="str">
        <f aca="false">IF(ISBLANK($C503),"",IF(I503=Constants!$B$2,TRUE(),IF(I503=Constants!$B$3,FALSE(),TRUE())))</f>
        <v/>
      </c>
      <c r="AK503" s="93" t="str">
        <f aca="false">IF(ISBLANK($C503),"",IF(J503=Constants!$B$2,TRUE(),IF(J503=Constants!$B$3,FALSE(),TRUE())))</f>
        <v/>
      </c>
      <c r="AL503" s="93" t="str">
        <f aca="false">IF(ISBLANK($C503),"",IF(K503=Constants!$B$4,TRUE(),IF(K503=Constants!$B$5,FALSE(),COUNTA(L503:P503)&gt;0)))</f>
        <v/>
      </c>
      <c r="AM503" s="95" t="str">
        <f aca="false">IF(ISBLANK($C503),"",IF(ISNUMBER(L503),IF(L503&gt;=0,L503,""),""))</f>
        <v/>
      </c>
      <c r="AN503" s="94" t="str">
        <f aca="false">IF(ISBLANK($C503),"",IF(ISNUMBER(M503),IF(M503&gt;=0,M503,""),""))</f>
        <v/>
      </c>
      <c r="AO503" s="94" t="str">
        <f aca="false">IF(ISBLANK($C503),"",IF(N503=Constants!$B$2,TRUE(),IF(N503=Constants!$B$3,FALSE(),TRUE())))</f>
        <v/>
      </c>
      <c r="AP503" s="93" t="str">
        <f aca="false">IF(ISBLANK($C503),"",IF(ISNUMBER(O503),IF(O503&gt;=0,O503,""),""))</f>
        <v/>
      </c>
      <c r="AQ503" s="93" t="str">
        <f aca="false">IF(ISBLANK($C503),"",IF(P503=Constants!$B$2,TRUE(),IF(P503=Constants!$B$3,FALSE(),FALSE())))</f>
        <v/>
      </c>
      <c r="AR503" s="93" t="str">
        <f aca="false">IF(ISBLANK($C503),"",IF(Q503=Constants!$B$2,TRUE(),IF(Q503=Constants!$B$3,FALSE(),TRUE())))</f>
        <v/>
      </c>
      <c r="AS503" s="93" t="str">
        <f aca="false">IF(ISBLANK($C503),"",IF(R503=Constants!$B$2,TRUE(),IF(R503=Constants!$B$3,FALSE(),TRUE())))</f>
        <v/>
      </c>
      <c r="AT503" s="93" t="str">
        <f aca="false">IF(ISBLANK($C503),"",IF(S503=Constants!$B$4,TRUE(),IF(S503=Constants!$B$5,FALSE(),COUNTA(T503:X503)&gt;0)))</f>
        <v/>
      </c>
      <c r="AU503" s="95" t="str">
        <f aca="false">IF(ISBLANK($C503),"",IF(ISNUMBER(T503),IF(T503&gt;=0,T503,""),""))</f>
        <v/>
      </c>
      <c r="AV503" s="94" t="str">
        <f aca="false">IF(ISBLANK($C503),"",IF(ISNUMBER(U503),IF(U503&gt;=0,U503,""),""))</f>
        <v/>
      </c>
      <c r="AW503" s="94" t="str">
        <f aca="false">IF(ISBLANK($C503),"",IF(V503=Constants!$B$2,TRUE(),IF(V503=Constants!$B$3,FALSE(),TRUE())))</f>
        <v/>
      </c>
      <c r="AX503" s="93" t="str">
        <f aca="false">IF(ISBLANK($C503),"",IF(ISNUMBER(W503),IF(W503&gt;=0,W503,""),""))</f>
        <v/>
      </c>
      <c r="AY503" s="93" t="str">
        <f aca="false">IF(ISBLANK($C503),"",IF(X503=Constants!$B$2,TRUE(),IF(X503=Constants!$B$3,FALSE(),FALSE())))</f>
        <v/>
      </c>
      <c r="AZ503" s="93" t="str">
        <f aca="false">IF(ISBLANK($C503),"",MIN(Constants!$B$25,MAX(0,IF(ISNUMBER(Y503),Y503*60,0)+IF(ISNUMBER(Z503),Z503,0))))</f>
        <v/>
      </c>
      <c r="BA503" s="93" t="str">
        <f aca="false">IF(ISBLANK($C503),"",IF(AA503=Constants!$B$2,TRUE(),IF(AA503=Constants!$B$3,FALSE(),FALSE())))</f>
        <v/>
      </c>
      <c r="BB503" s="92" t="str">
        <f aca="false">IF(ISBLANK($C503),"",AND($AL503,OR($AM503="",$AN503="",AND($AO503,$AP503=""))))</f>
        <v/>
      </c>
      <c r="BC503" s="94" t="str">
        <f aca="false">IF($BX503&lt;&gt;Constants!$B$6,"",IF($AL503,Constants!$B$17*$AN503+Constants!$B$18*IF($AO503,$AP503,Constants!$B$19),Constants!$B$20))</f>
        <v/>
      </c>
      <c r="BD503" s="97" t="str">
        <f aca="false">IF($BX503&lt;&gt;Constants!$B$6,"",Constants!$B$21*ABS($AD$9-IF($AL503,$AM503,0)))</f>
        <v/>
      </c>
      <c r="BE503" s="97" t="str">
        <f aca="false">IF($BX503&lt;&gt;Constants!$B$6,"",IF(AND($AL503,$AQ503,$AO503),Constants!$B$22,0))</f>
        <v/>
      </c>
      <c r="BF503" s="97" t="str">
        <f aca="false">IF($BX503&lt;&gt;Constants!$B$6,"",IF($AL503,($AI503-Constants!$B$24)*Constants!$B$23,0))</f>
        <v/>
      </c>
      <c r="BG503" s="97" t="str">
        <f aca="false">IF($BX503&lt;&gt;Constants!$B$6,"",IF($AK503,0,Constants!$B$12)+IF($AJ503,0,Constants!$B$13)+IF($AH503,0,Constants!$B$14))</f>
        <v/>
      </c>
      <c r="BH503" s="98" t="str">
        <f aca="false">IF($BX503&lt;&gt;Constants!$B$6,"",Constants!$B$16+SUM($BC503:$BG503))</f>
        <v/>
      </c>
      <c r="BI503" s="97" t="str">
        <f aca="false">IF($BX503&lt;&gt;Constants!$B$6,"",$BC503)</f>
        <v/>
      </c>
      <c r="BJ503" s="97" t="str">
        <f aca="false">IF($BX503&lt;&gt;Constants!$B$6,"",$BD503)</f>
        <v/>
      </c>
      <c r="BK503" s="99" t="str">
        <f aca="false">IF($BX503&lt;&gt;Constants!$B$6,"",IF($AL503,$AN503,""))</f>
        <v/>
      </c>
      <c r="BL503" s="93" t="str">
        <f aca="false">IF($BX503&lt;&gt;Constants!$B$6,"",IF(OR($BS503&lt;$BH503,AND($BS503=$BH503,OR($BT503&lt;$BI503,AND($BT503=$BI503,OR($BU503&lt;$BJ503,AND($BU503=$BJ503,AND(ISNUMBER($BV503),OR(NOT(ISNUMBER($BK503)),$BV503&lt;$BK503)))))))),"-&gt;","&lt;-"))</f>
        <v/>
      </c>
      <c r="BM503" s="92" t="str">
        <f aca="false">IF(ISBLANK($C503),"",AND($AT503,OR($AU503="",$AV503="",AND($AW503,$AX503=""))))</f>
        <v/>
      </c>
      <c r="BN503" s="94" t="str">
        <f aca="false">IF($BX503&lt;&gt;Constants!$B$6,"",IF($AT503,Constants!$B$17*$AV503+Constants!$B$18*IF($AW503,$AX503,Constants!$B$19),Constants!$B$20))</f>
        <v/>
      </c>
      <c r="BO503" s="97" t="str">
        <f aca="false">IF($BX503&lt;&gt;Constants!$B$6,"",Constants!$B$21*ABS($AD$9-IF($AT503,$AU503,0)))</f>
        <v/>
      </c>
      <c r="BP503" s="97" t="str">
        <f aca="false">IF($BX503&lt;&gt;Constants!$B$6,"",IF(AND($AT503,$AY503,$AW503),Constants!$B$22,0))</f>
        <v/>
      </c>
      <c r="BQ503" s="97" t="str">
        <f aca="false">IF($BX503&lt;&gt;Constants!$B$6,"",IF($AT503,($AI503-Constants!$B$24)*Constants!$B$23,0))</f>
        <v/>
      </c>
      <c r="BR503" s="97" t="str">
        <f aca="false">IF($BX503&lt;&gt;Constants!$B$6,"",IF($AS503,0,Constants!$B$12)+IF($AR503,0,Constants!$B$13)+IF($AH503,0,Constants!$B$14))</f>
        <v/>
      </c>
      <c r="BS503" s="98" t="str">
        <f aca="false">IF($BX503&lt;&gt;Constants!$B$6,"",Constants!$B$16+SUM($BN503:$BR503))</f>
        <v/>
      </c>
      <c r="BT503" s="97" t="str">
        <f aca="false">IF($BX503&lt;&gt;Constants!$B$6,"",$BN503)</f>
        <v/>
      </c>
      <c r="BU503" s="97" t="str">
        <f aca="false">IF($BX503&lt;&gt;Constants!$B$6,"",$BO503)</f>
        <v/>
      </c>
      <c r="BV503" s="99" t="str">
        <f aca="false">IF($BX503&lt;&gt;Constants!$B$6,"",IF($AT503,$AV503,""))</f>
        <v/>
      </c>
      <c r="BW503" s="93" t="str">
        <f aca="false">IF(ISBLANK($C503),"",IF(ISBLANK($D$7),$BW$5,IF(NOT(ISNUMBER($D$7)),$BW$6,"")))</f>
        <v/>
      </c>
      <c r="BX503" s="93" t="str">
        <f aca="false">IF(ISBLANK($C503),"",IF($BA503,Constants!$B$9,IF(COUNTA($E503:$AA503)=0,Constants!$B$8,IF(NOT($AG503),Constants!$B$7,IF(OR($BW503&lt;&gt;"",$BB503,$BM503),Constants!$B$10,Constants!$B$6)))))</f>
        <v/>
      </c>
      <c r="BY503" s="93" t="str">
        <f aca="false">IF(ISBLANK($C503),"",IF($BX503&lt;&gt;Constants!$B$6,$BX503,Constants!$B$11))</f>
        <v/>
      </c>
      <c r="BZ503" s="97" t="str">
        <f aca="false">IF($BX503&lt;&gt;Constants!$B$6,"",IF($BL503="-&gt;",$BS503,$BH503))</f>
        <v/>
      </c>
      <c r="CA503" s="97" t="str">
        <f aca="false">IF($BX503&lt;&gt;Constants!$B$6,"",IF($AF503,0,Constants!$B$15))</f>
        <v/>
      </c>
      <c r="CB503" s="97" t="str">
        <f aca="false">IF($BX503&lt;&gt;Constants!$B$6,"",((Constants!$B$25-$AZ503)-Constants!$B$25)/Constants!$B$26)</f>
        <v/>
      </c>
      <c r="CC503" s="97" t="str">
        <f aca="false">IF(ISBLANK($C503),"",IF($BX503&lt;&gt;Constants!$B$6,$BX503,SUM($BZ503:$CB503)))</f>
        <v/>
      </c>
      <c r="CD503" s="93" t="str">
        <f aca="false">IF(ISBLANK($C503),"",IF($BX503&lt;&gt;Constants!$B$6,$BX503,RANK($CC503,$CC$9:$CC$508,1)))</f>
        <v/>
      </c>
      <c r="CE503" s="97" t="str">
        <f aca="false">IF($BX503&lt;&gt;Constants!$B$6,"",IF($BL503="-&gt;",$BT503,$BI503))</f>
        <v/>
      </c>
      <c r="CF503" s="93" t="str">
        <f aca="false">IF(ISBLANK($C503),"",IF($BX503&lt;&gt;Constants!$B$6,$BX503,IF(ISNUMBER($CE503),RANK($CE503,$CE$9:$CE$508,1),COUNT($CE$9:$CE$508)+1)))</f>
        <v/>
      </c>
      <c r="CG503" s="97" t="str">
        <f aca="false">IF($BX503&lt;&gt;Constants!$B$6,"",IF($BL503="-&gt;",$BU503,$BJ503))</f>
        <v/>
      </c>
      <c r="CH503" s="93" t="str">
        <f aca="false">IF(ISBLANK($C503),"",IF($BX503&lt;&gt;Constants!$B$6,$BX503,IF(ISNUMBER($CG503),RANK($CG503,$CG$9:$CG$508,1),COUNT($CG$9:$CG$508)+1)))</f>
        <v/>
      </c>
      <c r="CI503" s="97" t="str">
        <f aca="false">IF($BX503&lt;&gt;Constants!$B$6,"",IF($BL503="-&gt;",$BV503,$BK503))</f>
        <v/>
      </c>
      <c r="CJ503" s="93" t="str">
        <f aca="false">IF(ISBLANK($C503),"",IF($BX503&lt;&gt;Constants!$B$6,$BX503,IF(ISNUMBER($CI503),RANK($CI503,$CI$9:$CI$508,1),COUNT($CI$9:$CI$508)+1)))</f>
        <v/>
      </c>
      <c r="CK503" s="97" t="str">
        <f aca="false">IF($BX503&lt;&gt;Constants!$B$6,"",$AI503)</f>
        <v/>
      </c>
      <c r="CL503" s="93" t="str">
        <f aca="false">IF(ISBLANK($C503),"",IF($BX503&lt;&gt;Constants!$B$6,$BX503,IF(ISNUMBER($CK503),RANK($CK503,$CK$9:$CK$508,1),COUNT($CK$9:$CK$508)+1)))</f>
        <v/>
      </c>
      <c r="CM503" s="93" t="str">
        <f aca="false">IF(ISBLANK($C503),"",IF($BX503&lt;&gt;Constants!$B$6,$BX503,COUNTIFS($CD$9:$CD$508,"&lt;"&amp;$CD503)+COUNTIFS($CD$9:$CD$508,$CD503,$CF$9:$CF$508,"&lt;"&amp;$CF503)+COUNTIFS($CD$9:$CD$508,$CD503,$CF$9:$CF$508,$CF503,$CH$9:$CH$508,"&lt;"&amp;$CH503)+COUNTIFS($CD$9:$CD$508,$CD503,$CF$9:$CF$508,$CF503,$CH$9:$CH$508,$CH503,$CJ$9:$CJ$508,"&lt;"&amp;$CJ503)+COUNTIFS($CD$9:$CD$508,$CD503,$CF$9:$CF$508,$CF503,$CH$9:$CH$508,$CH503,$CJ$9:$CJ$508,$CJ503,$CL$9:$CL$508,"&lt;"&amp;$CL503)+1))</f>
        <v/>
      </c>
      <c r="CN503" s="93" t="str">
        <f aca="false">IF(ISBLANK($C503),"",IF($BX503&lt;&gt;Constants!$B$6,$BX503,$CD503-$CM503))</f>
        <v/>
      </c>
      <c r="CO503" s="100"/>
      <c r="CP503" s="101"/>
      <c r="CQ503" s="102" t="str">
        <f aca="false">IF(ISBLANK($C503),"",IF($BX503=Constants!$B$10,$BW503,""))</f>
        <v/>
      </c>
      <c r="CR503" s="101" t="str">
        <f aca="false">IF(ISBLANK($C503),"",IF($BX503&lt;&gt;Constants!$B$6,"",IF($BL503="-&gt;",2,1)))</f>
        <v/>
      </c>
      <c r="CS503" s="103" t="str">
        <f aca="false">IF(ISBLANK($C503),"",IF($BX503&lt;&gt;Constants!$B$6,"",IF($BL503="-&gt;",$BN503,$BC503)))</f>
        <v/>
      </c>
      <c r="CT503" s="103" t="str">
        <f aca="false">IF(ISBLANK($C503),"",IF($BX503&lt;&gt;Constants!$B$6,"",IF($BL503="-&gt;",$BO503,$BD503)))</f>
        <v/>
      </c>
      <c r="CU503" s="103" t="str">
        <f aca="false">IF(ISBLANK($C503),"",IF($BX503&lt;&gt;Constants!$B$6,"",IF($BL503="-&gt;",$BP503+$BQ503,$BE503+$BF503)+$CB503))</f>
        <v/>
      </c>
      <c r="CV503" s="103" t="str">
        <f aca="false">IF(ISBLANK($C503),"",IF($BX503&lt;&gt;Constants!$B$6,"",IF($BL503="-&gt;",$BR503,$BG503)+$CA503))</f>
        <v/>
      </c>
      <c r="CW503" s="104" t="str">
        <f aca="false">IF(ISBLANK($C503),"",IF($BX503&lt;&gt;Constants!$B$6,$BX503,$CC503))</f>
        <v/>
      </c>
      <c r="CX503" s="105" t="str">
        <f aca="false">IF(ISBLANK($C503),"",$BY503)</f>
        <v/>
      </c>
      <c r="CY503" s="106" t="str">
        <f aca="false">IF(ISBLANK($C503),"",$CN503)</f>
        <v/>
      </c>
      <c r="CZ503" s="106" t="str">
        <f aca="false">IF(ISBLANK($C503),"",$CM503)</f>
        <v/>
      </c>
      <c r="DA503" s="107" t="str">
        <f aca="false">IF(ISBLANK($C503),"",IFERROR(_xlfn.SWITCH($CZ503,Constants!$B$9,COUNTA($C$9:$C$508)+2,Constants!$B$8,COUNTA($C$9:$C$508)+1,Constants!$B$7,COUNTA($C$9:$C$508)),$CZ503))</f>
        <v/>
      </c>
      <c r="DB503" s="9"/>
      <c r="DC503" s="108" t="n">
        <f aca="false">IF(OR(ISNUMBER($CZ503),$CZ503=Constants!$B$9,$CZ503=Constants!$B$7,$CZ503=Constants!$B$8),1,0)</f>
        <v>0</v>
      </c>
      <c r="DD503" s="108" t="n">
        <v>495</v>
      </c>
      <c r="DE503" s="108" t="str">
        <f aca="false">IF(ISBLANK($C503),"",IF(ISNUMBER($DA503),$DA503+ROW($B503)/1000,""))</f>
        <v/>
      </c>
      <c r="DF503" s="108" t="str">
        <f aca="false">IF(ISNUMBER($DE503),RANK($DE503,$DE$9:$DE$508,1),"")</f>
        <v/>
      </c>
      <c r="DG503" s="108" t="str">
        <f aca="false">IF(ISBLANK($C503),"",$B503)</f>
        <v/>
      </c>
      <c r="DH503" s="108" t="str">
        <f aca="false">IF(ISBLANK($C503),"",$C503)</f>
        <v/>
      </c>
      <c r="DI503" s="108" t="str">
        <f aca="false">IF(ISBLANK($C503),"",$D503)</f>
        <v/>
      </c>
      <c r="DJ503" s="109" t="str">
        <f aca="false">$CX503</f>
        <v/>
      </c>
      <c r="DK503" s="110" t="str">
        <f aca="false">$CW503</f>
        <v/>
      </c>
      <c r="DL503" s="108" t="str">
        <f aca="false">IF(ISBLANK($C503),"",$CZ503)</f>
        <v/>
      </c>
      <c r="DM503" s="111" t="str">
        <f aca="false">IF($DD503&gt;$DC$8,"",VLOOKUP($DD503,$DF$9:$DL$508,7,FALSE()))</f>
        <v/>
      </c>
      <c r="DN503" s="112" t="str">
        <f aca="false">IF($DD503&gt;$DC$8,"",VLOOKUP($DD503,$DF$9:$DL$508,2,FALSE()))</f>
        <v/>
      </c>
      <c r="DO503" s="112" t="str">
        <f aca="false">IF($DD503&gt;$DC$8,"",VLOOKUP($DD503,$DF$9:$DL$508,3,FALSE()))</f>
        <v/>
      </c>
      <c r="DP503" s="112" t="str">
        <f aca="false">IF($DD503&gt;$DC$8,"",VLOOKUP($DD503,$DF$9:$DL$508,4,FALSE()))</f>
        <v/>
      </c>
      <c r="DQ503" s="112" t="str">
        <f aca="false">IF($DD503&gt;$DC$8,"",VLOOKUP($DD503,$DF$9:$DL$508,5,FALSE()))</f>
        <v/>
      </c>
      <c r="DR503" s="113" t="str">
        <f aca="false">IF($DD503&gt;$DC$8,"",VLOOKUP($DD503,$DF$9:$DL$508,6,FALSE()))</f>
        <v/>
      </c>
      <c r="DS503" s="76"/>
    </row>
    <row r="504" customFormat="false" ht="15.75" hidden="false" customHeight="false" outlineLevel="0" collapsed="false">
      <c r="A504" s="9"/>
      <c r="B504" s="160"/>
      <c r="C504" s="161"/>
      <c r="D504" s="162"/>
      <c r="E504" s="180"/>
      <c r="F504" s="164"/>
      <c r="G504" s="165"/>
      <c r="H504" s="165"/>
      <c r="I504" s="181"/>
      <c r="J504" s="168"/>
      <c r="K504" s="128"/>
      <c r="L504" s="129"/>
      <c r="M504" s="130"/>
      <c r="N504" s="168"/>
      <c r="O504" s="168"/>
      <c r="P504" s="180"/>
      <c r="Q504" s="168"/>
      <c r="R504" s="168"/>
      <c r="S504" s="128"/>
      <c r="T504" s="130"/>
      <c r="U504" s="130"/>
      <c r="V504" s="168"/>
      <c r="W504" s="168"/>
      <c r="X504" s="180"/>
      <c r="Y504" s="168"/>
      <c r="Z504" s="169"/>
      <c r="AA504" s="168"/>
      <c r="AB504" s="134"/>
      <c r="AC504" s="135"/>
      <c r="AD504" s="135"/>
      <c r="AE504" s="135"/>
      <c r="AF504" s="135" t="str">
        <f aca="false">IF(ISBLANK($C504),"",IF(E504=Constants!$B$2,TRUE(),IF(E504=Constants!$B$3,FALSE(),TRUE())))</f>
        <v/>
      </c>
      <c r="AG504" s="135" t="str">
        <f aca="false">IF(ISBLANK($C504),"",IF(F504=Constants!$B$2,TRUE(),IF(F504=Constants!$B$3,FALSE(),TRUE())))</f>
        <v/>
      </c>
      <c r="AH504" s="135" t="str">
        <f aca="false">IF(ISBLANK($C504),"",IF(G504=Constants!$B$2,TRUE(),IF(G504=Constants!$B$3,FALSE(),TRUE())))</f>
        <v/>
      </c>
      <c r="AI504" s="135" t="str">
        <f aca="false">IF(ISBLANK($C504),"",IF(AND(ISNUMBER(H504),H504&gt;=0),H504,Constants!$B$24))</f>
        <v/>
      </c>
      <c r="AJ504" s="135" t="str">
        <f aca="false">IF(ISBLANK($C504),"",IF(I504=Constants!$B$2,TRUE(),IF(I504=Constants!$B$3,FALSE(),TRUE())))</f>
        <v/>
      </c>
      <c r="AK504" s="135" t="str">
        <f aca="false">IF(ISBLANK($C504),"",IF(J504=Constants!$B$2,TRUE(),IF(J504=Constants!$B$3,FALSE(),TRUE())))</f>
        <v/>
      </c>
      <c r="AL504" s="135" t="str">
        <f aca="false">IF(ISBLANK($C504),"",IF(K504=Constants!$B$4,TRUE(),IF(K504=Constants!$B$5,FALSE(),COUNTA(L504:P504)&gt;0)))</f>
        <v/>
      </c>
      <c r="AM504" s="136" t="str">
        <f aca="false">IF(ISBLANK($C504),"",IF(ISNUMBER(L504),IF(L504&gt;=0,L504,""),""))</f>
        <v/>
      </c>
      <c r="AN504" s="137" t="str">
        <f aca="false">IF(ISBLANK($C504),"",IF(ISNUMBER(M504),IF(M504&gt;=0,M504,""),""))</f>
        <v/>
      </c>
      <c r="AO504" s="137" t="str">
        <f aca="false">IF(ISBLANK($C504),"",IF(N504=Constants!$B$2,TRUE(),IF(N504=Constants!$B$3,FALSE(),TRUE())))</f>
        <v/>
      </c>
      <c r="AP504" s="135" t="str">
        <f aca="false">IF(ISBLANK($C504),"",IF(ISNUMBER(O504),IF(O504&gt;=0,O504,""),""))</f>
        <v/>
      </c>
      <c r="AQ504" s="135" t="str">
        <f aca="false">IF(ISBLANK($C504),"",IF(P504=Constants!$B$2,TRUE(),IF(P504=Constants!$B$3,FALSE(),FALSE())))</f>
        <v/>
      </c>
      <c r="AR504" s="135" t="str">
        <f aca="false">IF(ISBLANK($C504),"",IF(Q504=Constants!$B$2,TRUE(),IF(Q504=Constants!$B$3,FALSE(),TRUE())))</f>
        <v/>
      </c>
      <c r="AS504" s="135" t="str">
        <f aca="false">IF(ISBLANK($C504),"",IF(R504=Constants!$B$2,TRUE(),IF(R504=Constants!$B$3,FALSE(),TRUE())))</f>
        <v/>
      </c>
      <c r="AT504" s="135" t="str">
        <f aca="false">IF(ISBLANK($C504),"",IF(S504=Constants!$B$4,TRUE(),IF(S504=Constants!$B$5,FALSE(),COUNTA(T504:X504)&gt;0)))</f>
        <v/>
      </c>
      <c r="AU504" s="136" t="str">
        <f aca="false">IF(ISBLANK($C504),"",IF(ISNUMBER(T504),IF(T504&gt;=0,T504,""),""))</f>
        <v/>
      </c>
      <c r="AV504" s="137" t="str">
        <f aca="false">IF(ISBLANK($C504),"",IF(ISNUMBER(U504),IF(U504&gt;=0,U504,""),""))</f>
        <v/>
      </c>
      <c r="AW504" s="137" t="str">
        <f aca="false">IF(ISBLANK($C504),"",IF(V504=Constants!$B$2,TRUE(),IF(V504=Constants!$B$3,FALSE(),TRUE())))</f>
        <v/>
      </c>
      <c r="AX504" s="135" t="str">
        <f aca="false">IF(ISBLANK($C504),"",IF(ISNUMBER(W504),IF(W504&gt;=0,W504,""),""))</f>
        <v/>
      </c>
      <c r="AY504" s="135" t="str">
        <f aca="false">IF(ISBLANK($C504),"",IF(X504=Constants!$B$2,TRUE(),IF(X504=Constants!$B$3,FALSE(),FALSE())))</f>
        <v/>
      </c>
      <c r="AZ504" s="135" t="str">
        <f aca="false">IF(ISBLANK($C504),"",MIN(Constants!$B$25,MAX(0,IF(ISNUMBER(Y504),Y504*60,0)+IF(ISNUMBER(Z504),Z504,0))))</f>
        <v/>
      </c>
      <c r="BA504" s="135" t="str">
        <f aca="false">IF(ISBLANK($C504),"",IF(AA504=Constants!$B$2,TRUE(),IF(AA504=Constants!$B$3,FALSE(),FALSE())))</f>
        <v/>
      </c>
      <c r="BB504" s="134" t="str">
        <f aca="false">IF(ISBLANK($C504),"",AND($AL504,OR($AM504="",$AN504="",AND($AO504,$AP504=""))))</f>
        <v/>
      </c>
      <c r="BC504" s="137" t="str">
        <f aca="false">IF($BX504&lt;&gt;Constants!$B$6,"",IF($AL504,Constants!$B$17*$AN504+Constants!$B$18*IF($AO504,$AP504,Constants!$B$19),Constants!$B$20))</f>
        <v/>
      </c>
      <c r="BD504" s="138" t="str">
        <f aca="false">IF($BX504&lt;&gt;Constants!$B$6,"",Constants!$B$21*ABS($AD$9-IF($AL504,$AM504,0)))</f>
        <v/>
      </c>
      <c r="BE504" s="138" t="str">
        <f aca="false">IF($BX504&lt;&gt;Constants!$B$6,"",IF(AND($AL504,$AQ504,$AO504),Constants!$B$22,0))</f>
        <v/>
      </c>
      <c r="BF504" s="138" t="str">
        <f aca="false">IF($BX504&lt;&gt;Constants!$B$6,"",IF($AL504,($AI504-Constants!$B$24)*Constants!$B$23,0))</f>
        <v/>
      </c>
      <c r="BG504" s="138" t="str">
        <f aca="false">IF($BX504&lt;&gt;Constants!$B$6,"",IF($AK504,0,Constants!$B$12)+IF($AJ504,0,Constants!$B$13)+IF($AH504,0,Constants!$B$14))</f>
        <v/>
      </c>
      <c r="BH504" s="139" t="str">
        <f aca="false">IF($BX504&lt;&gt;Constants!$B$6,"",Constants!$B$16+SUM($BC504:$BG504))</f>
        <v/>
      </c>
      <c r="BI504" s="138" t="str">
        <f aca="false">IF($BX504&lt;&gt;Constants!$B$6,"",$BC504)</f>
        <v/>
      </c>
      <c r="BJ504" s="138" t="str">
        <f aca="false">IF($BX504&lt;&gt;Constants!$B$6,"",$BD504)</f>
        <v/>
      </c>
      <c r="BK504" s="140" t="str">
        <f aca="false">IF($BX504&lt;&gt;Constants!$B$6,"",IF($AL504,$AN504,""))</f>
        <v/>
      </c>
      <c r="BL504" s="135" t="str">
        <f aca="false">IF($BX504&lt;&gt;Constants!$B$6,"",IF(OR($BS504&lt;$BH504,AND($BS504=$BH504,OR($BT504&lt;$BI504,AND($BT504=$BI504,OR($BU504&lt;$BJ504,AND($BU504=$BJ504,AND(ISNUMBER($BV504),OR(NOT(ISNUMBER($BK504)),$BV504&lt;$BK504)))))))),"-&gt;","&lt;-"))</f>
        <v/>
      </c>
      <c r="BM504" s="134" t="str">
        <f aca="false">IF(ISBLANK($C504),"",AND($AT504,OR($AU504="",$AV504="",AND($AW504,$AX504=""))))</f>
        <v/>
      </c>
      <c r="BN504" s="137" t="str">
        <f aca="false">IF($BX504&lt;&gt;Constants!$B$6,"",IF($AT504,Constants!$B$17*$AV504+Constants!$B$18*IF($AW504,$AX504,Constants!$B$19),Constants!$B$20))</f>
        <v/>
      </c>
      <c r="BO504" s="138" t="str">
        <f aca="false">IF($BX504&lt;&gt;Constants!$B$6,"",Constants!$B$21*ABS($AD$9-IF($AT504,$AU504,0)))</f>
        <v/>
      </c>
      <c r="BP504" s="138" t="str">
        <f aca="false">IF($BX504&lt;&gt;Constants!$B$6,"",IF(AND($AT504,$AY504,$AW504),Constants!$B$22,0))</f>
        <v/>
      </c>
      <c r="BQ504" s="138" t="str">
        <f aca="false">IF($BX504&lt;&gt;Constants!$B$6,"",IF($AT504,($AI504-Constants!$B$24)*Constants!$B$23,0))</f>
        <v/>
      </c>
      <c r="BR504" s="138" t="str">
        <f aca="false">IF($BX504&lt;&gt;Constants!$B$6,"",IF($AS504,0,Constants!$B$12)+IF($AR504,0,Constants!$B$13)+IF($AH504,0,Constants!$B$14))</f>
        <v/>
      </c>
      <c r="BS504" s="139" t="str">
        <f aca="false">IF($BX504&lt;&gt;Constants!$B$6,"",Constants!$B$16+SUM($BN504:$BR504))</f>
        <v/>
      </c>
      <c r="BT504" s="138" t="str">
        <f aca="false">IF($BX504&lt;&gt;Constants!$B$6,"",$BN504)</f>
        <v/>
      </c>
      <c r="BU504" s="138" t="str">
        <f aca="false">IF($BX504&lt;&gt;Constants!$B$6,"",$BO504)</f>
        <v/>
      </c>
      <c r="BV504" s="140" t="str">
        <f aca="false">IF($BX504&lt;&gt;Constants!$B$6,"",IF($AT504,$AV504,""))</f>
        <v/>
      </c>
      <c r="BW504" s="135" t="str">
        <f aca="false">IF(ISBLANK($C504),"",IF(ISBLANK($D$7),$BW$5,IF(NOT(ISNUMBER($D$7)),$BW$6,"")))</f>
        <v/>
      </c>
      <c r="BX504" s="135" t="str">
        <f aca="false">IF(ISBLANK($C504),"",IF($BA504,Constants!$B$9,IF(COUNTA($E504:$AA504)=0,Constants!$B$8,IF(NOT($AG504),Constants!$B$7,IF(OR($BW504&lt;&gt;"",$BB504,$BM504),Constants!$B$10,Constants!$B$6)))))</f>
        <v/>
      </c>
      <c r="BY504" s="135" t="str">
        <f aca="false">IF(ISBLANK($C504),"",IF($BX504&lt;&gt;Constants!$B$6,$BX504,Constants!$B$11))</f>
        <v/>
      </c>
      <c r="BZ504" s="138" t="str">
        <f aca="false">IF($BX504&lt;&gt;Constants!$B$6,"",IF($BL504="-&gt;",$BS504,$BH504))</f>
        <v/>
      </c>
      <c r="CA504" s="138" t="str">
        <f aca="false">IF($BX504&lt;&gt;Constants!$B$6,"",IF($AF504,0,Constants!$B$15))</f>
        <v/>
      </c>
      <c r="CB504" s="138" t="str">
        <f aca="false">IF($BX504&lt;&gt;Constants!$B$6,"",((Constants!$B$25-$AZ504)-Constants!$B$25)/Constants!$B$26)</f>
        <v/>
      </c>
      <c r="CC504" s="138" t="str">
        <f aca="false">IF(ISBLANK($C504),"",IF($BX504&lt;&gt;Constants!$B$6,$BX504,SUM($BZ504:$CB504)))</f>
        <v/>
      </c>
      <c r="CD504" s="135" t="str">
        <f aca="false">IF(ISBLANK($C504),"",IF($BX504&lt;&gt;Constants!$B$6,$BX504,RANK($CC504,$CC$9:$CC$508,1)))</f>
        <v/>
      </c>
      <c r="CE504" s="138" t="str">
        <f aca="false">IF($BX504&lt;&gt;Constants!$B$6,"",IF($BL504="-&gt;",$BT504,$BI504))</f>
        <v/>
      </c>
      <c r="CF504" s="135" t="str">
        <f aca="false">IF(ISBLANK($C504),"",IF($BX504&lt;&gt;Constants!$B$6,$BX504,IF(ISNUMBER($CE504),RANK($CE504,$CE$9:$CE$508,1),COUNT($CE$9:$CE$508)+1)))</f>
        <v/>
      </c>
      <c r="CG504" s="138" t="str">
        <f aca="false">IF($BX504&lt;&gt;Constants!$B$6,"",IF($BL504="-&gt;",$BU504,$BJ504))</f>
        <v/>
      </c>
      <c r="CH504" s="135" t="str">
        <f aca="false">IF(ISBLANK($C504),"",IF($BX504&lt;&gt;Constants!$B$6,$BX504,IF(ISNUMBER($CG504),RANK($CG504,$CG$9:$CG$508,1),COUNT($CG$9:$CG$508)+1)))</f>
        <v/>
      </c>
      <c r="CI504" s="138" t="str">
        <f aca="false">IF($BX504&lt;&gt;Constants!$B$6,"",IF($BL504="-&gt;",$BV504,$BK504))</f>
        <v/>
      </c>
      <c r="CJ504" s="135" t="str">
        <f aca="false">IF(ISBLANK($C504),"",IF($BX504&lt;&gt;Constants!$B$6,$BX504,IF(ISNUMBER($CI504),RANK($CI504,$CI$9:$CI$508,1),COUNT($CI$9:$CI$508)+1)))</f>
        <v/>
      </c>
      <c r="CK504" s="138" t="str">
        <f aca="false">IF($BX504&lt;&gt;Constants!$B$6,"",$AI504)</f>
        <v/>
      </c>
      <c r="CL504" s="135" t="str">
        <f aca="false">IF(ISBLANK($C504),"",IF($BX504&lt;&gt;Constants!$B$6,$BX504,IF(ISNUMBER($CK504),RANK($CK504,$CK$9:$CK$508,1),COUNT($CK$9:$CK$508)+1)))</f>
        <v/>
      </c>
      <c r="CM504" s="135" t="str">
        <f aca="false">IF(ISBLANK($C504),"",IF($BX504&lt;&gt;Constants!$B$6,$BX504,COUNTIFS($CD$9:$CD$508,"&lt;"&amp;$CD504)+COUNTIFS($CD$9:$CD$508,$CD504,$CF$9:$CF$508,"&lt;"&amp;$CF504)+COUNTIFS($CD$9:$CD$508,$CD504,$CF$9:$CF$508,$CF504,$CH$9:$CH$508,"&lt;"&amp;$CH504)+COUNTIFS($CD$9:$CD$508,$CD504,$CF$9:$CF$508,$CF504,$CH$9:$CH$508,$CH504,$CJ$9:$CJ$508,"&lt;"&amp;$CJ504)+COUNTIFS($CD$9:$CD$508,$CD504,$CF$9:$CF$508,$CF504,$CH$9:$CH$508,$CH504,$CJ$9:$CJ$508,$CJ504,$CL$9:$CL$508,"&lt;"&amp;$CL504)+1))</f>
        <v/>
      </c>
      <c r="CN504" s="135" t="str">
        <f aca="false">IF(ISBLANK($C504),"",IF($BX504&lt;&gt;Constants!$B$6,$BX504,$CD504-$CM504))</f>
        <v/>
      </c>
      <c r="CO504" s="141"/>
      <c r="CP504" s="142"/>
      <c r="CQ504" s="143" t="str">
        <f aca="false">IF(ISBLANK($C504),"",IF($BX504=Constants!$B$10,$BW504,""))</f>
        <v/>
      </c>
      <c r="CR504" s="142" t="str">
        <f aca="false">IF(ISBLANK($C504),"",IF($BX504&lt;&gt;Constants!$B$6,"",IF($BL504="-&gt;",2,1)))</f>
        <v/>
      </c>
      <c r="CS504" s="144" t="str">
        <f aca="false">IF(ISBLANK($C504),"",IF($BX504&lt;&gt;Constants!$B$6,"",IF($BL504="-&gt;",$BN504,$BC504)))</f>
        <v/>
      </c>
      <c r="CT504" s="144" t="str">
        <f aca="false">IF(ISBLANK($C504),"",IF($BX504&lt;&gt;Constants!$B$6,"",IF($BL504="-&gt;",$BO504,$BD504)))</f>
        <v/>
      </c>
      <c r="CU504" s="144" t="str">
        <f aca="false">IF(ISBLANK($C504),"",IF($BX504&lt;&gt;Constants!$B$6,"",IF($BL504="-&gt;",$BP504+$BQ504,$BE504+$BF504)+$CB504))</f>
        <v/>
      </c>
      <c r="CV504" s="144" t="str">
        <f aca="false">IF(ISBLANK($C504),"",IF($BX504&lt;&gt;Constants!$B$6,"",IF($BL504="-&gt;",$BR504,$BG504)+$CA504))</f>
        <v/>
      </c>
      <c r="CW504" s="145" t="str">
        <f aca="false">IF(ISBLANK($C504),"",IF($BX504&lt;&gt;Constants!$B$6,$BX504,$CC504))</f>
        <v/>
      </c>
      <c r="CX504" s="146" t="str">
        <f aca="false">IF(ISBLANK($C504),"",$BY504)</f>
        <v/>
      </c>
      <c r="CY504" s="147" t="str">
        <f aca="false">IF(ISBLANK($C504),"",$CN504)</f>
        <v/>
      </c>
      <c r="CZ504" s="147" t="str">
        <f aca="false">IF(ISBLANK($C504),"",$CM504)</f>
        <v/>
      </c>
      <c r="DA504" s="148" t="str">
        <f aca="false">IF(ISBLANK($C504),"",IFERROR(_xlfn.SWITCH($CZ504,Constants!$B$9,COUNTA($C$9:$C$508)+2,Constants!$B$8,COUNTA($C$9:$C$508)+1,Constants!$B$7,COUNTA($C$9:$C$508)),$CZ504))</f>
        <v/>
      </c>
      <c r="DB504" s="9"/>
      <c r="DC504" s="149" t="n">
        <f aca="false">IF(OR(ISNUMBER($CZ504),$CZ504=Constants!$B$9,$CZ504=Constants!$B$7,$CZ504=Constants!$B$8),1,0)</f>
        <v>0</v>
      </c>
      <c r="DD504" s="149" t="n">
        <v>496</v>
      </c>
      <c r="DE504" s="149" t="str">
        <f aca="false">IF(ISBLANK($C504),"",IF(ISNUMBER($DA504),$DA504+ROW($B504)/1000,""))</f>
        <v/>
      </c>
      <c r="DF504" s="149" t="str">
        <f aca="false">IF(ISNUMBER($DE504),RANK($DE504,$DE$9:$DE$508,1),"")</f>
        <v/>
      </c>
      <c r="DG504" s="149" t="str">
        <f aca="false">IF(ISBLANK($C504),"",$B504)</f>
        <v/>
      </c>
      <c r="DH504" s="149" t="str">
        <f aca="false">IF(ISBLANK($C504),"",$C504)</f>
        <v/>
      </c>
      <c r="DI504" s="149" t="str">
        <f aca="false">IF(ISBLANK($C504),"",$D504)</f>
        <v/>
      </c>
      <c r="DJ504" s="150" t="str">
        <f aca="false">$CX504</f>
        <v/>
      </c>
      <c r="DK504" s="151" t="str">
        <f aca="false">$CW504</f>
        <v/>
      </c>
      <c r="DL504" s="149" t="str">
        <f aca="false">IF(ISBLANK($C504),"",$CZ504)</f>
        <v/>
      </c>
      <c r="DM504" s="152" t="str">
        <f aca="false">IF($DD504&gt;$DC$8,"",VLOOKUP($DD504,$DF$9:$DL$508,7,FALSE()))</f>
        <v/>
      </c>
      <c r="DN504" s="153" t="str">
        <f aca="false">IF($DD504&gt;$DC$8,"",VLOOKUP($DD504,$DF$9:$DL$508,2,FALSE()))</f>
        <v/>
      </c>
      <c r="DO504" s="153" t="str">
        <f aca="false">IF($DD504&gt;$DC$8,"",VLOOKUP($DD504,$DF$9:$DL$508,3,FALSE()))</f>
        <v/>
      </c>
      <c r="DP504" s="153" t="str">
        <f aca="false">IF($DD504&gt;$DC$8,"",VLOOKUP($DD504,$DF$9:$DL$508,4,FALSE()))</f>
        <v/>
      </c>
      <c r="DQ504" s="153" t="str">
        <f aca="false">IF($DD504&gt;$DC$8,"",VLOOKUP($DD504,$DF$9:$DL$508,5,FALSE()))</f>
        <v/>
      </c>
      <c r="DR504" s="154" t="str">
        <f aca="false">IF($DD504&gt;$DC$8,"",VLOOKUP($DD504,$DF$9:$DL$508,6,FALSE()))</f>
        <v/>
      </c>
      <c r="DS504" s="76"/>
    </row>
    <row r="505" customFormat="false" ht="15.75" hidden="false" customHeight="false" outlineLevel="0" collapsed="false">
      <c r="A505" s="9"/>
      <c r="B505" s="160"/>
      <c r="C505" s="161"/>
      <c r="D505" s="162"/>
      <c r="E505" s="180"/>
      <c r="F505" s="164"/>
      <c r="G505" s="165"/>
      <c r="H505" s="165"/>
      <c r="I505" s="181"/>
      <c r="J505" s="168"/>
      <c r="K505" s="128"/>
      <c r="L505" s="129"/>
      <c r="M505" s="130"/>
      <c r="N505" s="168"/>
      <c r="O505" s="168"/>
      <c r="P505" s="180"/>
      <c r="Q505" s="168"/>
      <c r="R505" s="168"/>
      <c r="S505" s="128"/>
      <c r="T505" s="130"/>
      <c r="U505" s="130"/>
      <c r="V505" s="168"/>
      <c r="W505" s="168"/>
      <c r="X505" s="180"/>
      <c r="Y505" s="168"/>
      <c r="Z505" s="169"/>
      <c r="AA505" s="168"/>
      <c r="AB505" s="134"/>
      <c r="AC505" s="135"/>
      <c r="AD505" s="135"/>
      <c r="AE505" s="135"/>
      <c r="AF505" s="135" t="str">
        <f aca="false">IF(ISBLANK($C505),"",IF(E505=Constants!$B$2,TRUE(),IF(E505=Constants!$B$3,FALSE(),TRUE())))</f>
        <v/>
      </c>
      <c r="AG505" s="135" t="str">
        <f aca="false">IF(ISBLANK($C505),"",IF(F505=Constants!$B$2,TRUE(),IF(F505=Constants!$B$3,FALSE(),TRUE())))</f>
        <v/>
      </c>
      <c r="AH505" s="135" t="str">
        <f aca="false">IF(ISBLANK($C505),"",IF(G505=Constants!$B$2,TRUE(),IF(G505=Constants!$B$3,FALSE(),TRUE())))</f>
        <v/>
      </c>
      <c r="AI505" s="135" t="str">
        <f aca="false">IF(ISBLANK($C505),"",IF(AND(ISNUMBER(H505),H505&gt;=0),H505,Constants!$B$24))</f>
        <v/>
      </c>
      <c r="AJ505" s="135" t="str">
        <f aca="false">IF(ISBLANK($C505),"",IF(I505=Constants!$B$2,TRUE(),IF(I505=Constants!$B$3,FALSE(),TRUE())))</f>
        <v/>
      </c>
      <c r="AK505" s="135" t="str">
        <f aca="false">IF(ISBLANK($C505),"",IF(J505=Constants!$B$2,TRUE(),IF(J505=Constants!$B$3,FALSE(),TRUE())))</f>
        <v/>
      </c>
      <c r="AL505" s="135" t="str">
        <f aca="false">IF(ISBLANK($C505),"",IF(K505=Constants!$B$4,TRUE(),IF(K505=Constants!$B$5,FALSE(),COUNTA(L505:P505)&gt;0)))</f>
        <v/>
      </c>
      <c r="AM505" s="136" t="str">
        <f aca="false">IF(ISBLANK($C505),"",IF(ISNUMBER(L505),IF(L505&gt;=0,L505,""),""))</f>
        <v/>
      </c>
      <c r="AN505" s="137" t="str">
        <f aca="false">IF(ISBLANK($C505),"",IF(ISNUMBER(M505),IF(M505&gt;=0,M505,""),""))</f>
        <v/>
      </c>
      <c r="AO505" s="137" t="str">
        <f aca="false">IF(ISBLANK($C505),"",IF(N505=Constants!$B$2,TRUE(),IF(N505=Constants!$B$3,FALSE(),TRUE())))</f>
        <v/>
      </c>
      <c r="AP505" s="135" t="str">
        <f aca="false">IF(ISBLANK($C505),"",IF(ISNUMBER(O505),IF(O505&gt;=0,O505,""),""))</f>
        <v/>
      </c>
      <c r="AQ505" s="135" t="str">
        <f aca="false">IF(ISBLANK($C505),"",IF(P505=Constants!$B$2,TRUE(),IF(P505=Constants!$B$3,FALSE(),FALSE())))</f>
        <v/>
      </c>
      <c r="AR505" s="135" t="str">
        <f aca="false">IF(ISBLANK($C505),"",IF(Q505=Constants!$B$2,TRUE(),IF(Q505=Constants!$B$3,FALSE(),TRUE())))</f>
        <v/>
      </c>
      <c r="AS505" s="135" t="str">
        <f aca="false">IF(ISBLANK($C505),"",IF(R505=Constants!$B$2,TRUE(),IF(R505=Constants!$B$3,FALSE(),TRUE())))</f>
        <v/>
      </c>
      <c r="AT505" s="135" t="str">
        <f aca="false">IF(ISBLANK($C505),"",IF(S505=Constants!$B$4,TRUE(),IF(S505=Constants!$B$5,FALSE(),COUNTA(T505:X505)&gt;0)))</f>
        <v/>
      </c>
      <c r="AU505" s="136" t="str">
        <f aca="false">IF(ISBLANK($C505),"",IF(ISNUMBER(T505),IF(T505&gt;=0,T505,""),""))</f>
        <v/>
      </c>
      <c r="AV505" s="137" t="str">
        <f aca="false">IF(ISBLANK($C505),"",IF(ISNUMBER(U505),IF(U505&gt;=0,U505,""),""))</f>
        <v/>
      </c>
      <c r="AW505" s="137" t="str">
        <f aca="false">IF(ISBLANK($C505),"",IF(V505=Constants!$B$2,TRUE(),IF(V505=Constants!$B$3,FALSE(),TRUE())))</f>
        <v/>
      </c>
      <c r="AX505" s="135" t="str">
        <f aca="false">IF(ISBLANK($C505),"",IF(ISNUMBER(W505),IF(W505&gt;=0,W505,""),""))</f>
        <v/>
      </c>
      <c r="AY505" s="135" t="str">
        <f aca="false">IF(ISBLANK($C505),"",IF(X505=Constants!$B$2,TRUE(),IF(X505=Constants!$B$3,FALSE(),FALSE())))</f>
        <v/>
      </c>
      <c r="AZ505" s="135" t="str">
        <f aca="false">IF(ISBLANK($C505),"",MIN(Constants!$B$25,MAX(0,IF(ISNUMBER(Y505),Y505*60,0)+IF(ISNUMBER(Z505),Z505,0))))</f>
        <v/>
      </c>
      <c r="BA505" s="135" t="str">
        <f aca="false">IF(ISBLANK($C505),"",IF(AA505=Constants!$B$2,TRUE(),IF(AA505=Constants!$B$3,FALSE(),FALSE())))</f>
        <v/>
      </c>
      <c r="BB505" s="134" t="str">
        <f aca="false">IF(ISBLANK($C505),"",AND($AL505,OR($AM505="",$AN505="",AND($AO505,$AP505=""))))</f>
        <v/>
      </c>
      <c r="BC505" s="137" t="str">
        <f aca="false">IF($BX505&lt;&gt;Constants!$B$6,"",IF($AL505,Constants!$B$17*$AN505+Constants!$B$18*IF($AO505,$AP505,Constants!$B$19),Constants!$B$20))</f>
        <v/>
      </c>
      <c r="BD505" s="138" t="str">
        <f aca="false">IF($BX505&lt;&gt;Constants!$B$6,"",Constants!$B$21*ABS($AD$9-IF($AL505,$AM505,0)))</f>
        <v/>
      </c>
      <c r="BE505" s="138" t="str">
        <f aca="false">IF($BX505&lt;&gt;Constants!$B$6,"",IF(AND($AL505,$AQ505,$AO505),Constants!$B$22,0))</f>
        <v/>
      </c>
      <c r="BF505" s="138" t="str">
        <f aca="false">IF($BX505&lt;&gt;Constants!$B$6,"",IF($AL505,($AI505-Constants!$B$24)*Constants!$B$23,0))</f>
        <v/>
      </c>
      <c r="BG505" s="138" t="str">
        <f aca="false">IF($BX505&lt;&gt;Constants!$B$6,"",IF($AK505,0,Constants!$B$12)+IF($AJ505,0,Constants!$B$13)+IF($AH505,0,Constants!$B$14))</f>
        <v/>
      </c>
      <c r="BH505" s="139" t="str">
        <f aca="false">IF($BX505&lt;&gt;Constants!$B$6,"",Constants!$B$16+SUM($BC505:$BG505))</f>
        <v/>
      </c>
      <c r="BI505" s="138" t="str">
        <f aca="false">IF($BX505&lt;&gt;Constants!$B$6,"",$BC505)</f>
        <v/>
      </c>
      <c r="BJ505" s="138" t="str">
        <f aca="false">IF($BX505&lt;&gt;Constants!$B$6,"",$BD505)</f>
        <v/>
      </c>
      <c r="BK505" s="140" t="str">
        <f aca="false">IF($BX505&lt;&gt;Constants!$B$6,"",IF($AL505,$AN505,""))</f>
        <v/>
      </c>
      <c r="BL505" s="135" t="str">
        <f aca="false">IF($BX505&lt;&gt;Constants!$B$6,"",IF(OR($BS505&lt;$BH505,AND($BS505=$BH505,OR($BT505&lt;$BI505,AND($BT505=$BI505,OR($BU505&lt;$BJ505,AND($BU505=$BJ505,AND(ISNUMBER($BV505),OR(NOT(ISNUMBER($BK505)),$BV505&lt;$BK505)))))))),"-&gt;","&lt;-"))</f>
        <v/>
      </c>
      <c r="BM505" s="134" t="str">
        <f aca="false">IF(ISBLANK($C505),"",AND($AT505,OR($AU505="",$AV505="",AND($AW505,$AX505=""))))</f>
        <v/>
      </c>
      <c r="BN505" s="137" t="str">
        <f aca="false">IF($BX505&lt;&gt;Constants!$B$6,"",IF($AT505,Constants!$B$17*$AV505+Constants!$B$18*IF($AW505,$AX505,Constants!$B$19),Constants!$B$20))</f>
        <v/>
      </c>
      <c r="BO505" s="138" t="str">
        <f aca="false">IF($BX505&lt;&gt;Constants!$B$6,"",Constants!$B$21*ABS($AD$9-IF($AT505,$AU505,0)))</f>
        <v/>
      </c>
      <c r="BP505" s="138" t="str">
        <f aca="false">IF($BX505&lt;&gt;Constants!$B$6,"",IF(AND($AT505,$AY505,$AW505),Constants!$B$22,0))</f>
        <v/>
      </c>
      <c r="BQ505" s="138" t="str">
        <f aca="false">IF($BX505&lt;&gt;Constants!$B$6,"",IF($AT505,($AI505-Constants!$B$24)*Constants!$B$23,0))</f>
        <v/>
      </c>
      <c r="BR505" s="138" t="str">
        <f aca="false">IF($BX505&lt;&gt;Constants!$B$6,"",IF($AS505,0,Constants!$B$12)+IF($AR505,0,Constants!$B$13)+IF($AH505,0,Constants!$B$14))</f>
        <v/>
      </c>
      <c r="BS505" s="139" t="str">
        <f aca="false">IF($BX505&lt;&gt;Constants!$B$6,"",Constants!$B$16+SUM($BN505:$BR505))</f>
        <v/>
      </c>
      <c r="BT505" s="138" t="str">
        <f aca="false">IF($BX505&lt;&gt;Constants!$B$6,"",$BN505)</f>
        <v/>
      </c>
      <c r="BU505" s="138" t="str">
        <f aca="false">IF($BX505&lt;&gt;Constants!$B$6,"",$BO505)</f>
        <v/>
      </c>
      <c r="BV505" s="140" t="str">
        <f aca="false">IF($BX505&lt;&gt;Constants!$B$6,"",IF($AT505,$AV505,""))</f>
        <v/>
      </c>
      <c r="BW505" s="135" t="str">
        <f aca="false">IF(ISBLANK($C505),"",IF(ISBLANK($D$7),$BW$5,IF(NOT(ISNUMBER($D$7)),$BW$6,"")))</f>
        <v/>
      </c>
      <c r="BX505" s="135" t="str">
        <f aca="false">IF(ISBLANK($C505),"",IF($BA505,Constants!$B$9,IF(COUNTA($E505:$AA505)=0,Constants!$B$8,IF(NOT($AG505),Constants!$B$7,IF(OR($BW505&lt;&gt;"",$BB505,$BM505),Constants!$B$10,Constants!$B$6)))))</f>
        <v/>
      </c>
      <c r="BY505" s="135" t="str">
        <f aca="false">IF(ISBLANK($C505),"",IF($BX505&lt;&gt;Constants!$B$6,$BX505,Constants!$B$11))</f>
        <v/>
      </c>
      <c r="BZ505" s="138" t="str">
        <f aca="false">IF($BX505&lt;&gt;Constants!$B$6,"",IF($BL505="-&gt;",$BS505,$BH505))</f>
        <v/>
      </c>
      <c r="CA505" s="138" t="str">
        <f aca="false">IF($BX505&lt;&gt;Constants!$B$6,"",IF($AF505,0,Constants!$B$15))</f>
        <v/>
      </c>
      <c r="CB505" s="138" t="str">
        <f aca="false">IF($BX505&lt;&gt;Constants!$B$6,"",((Constants!$B$25-$AZ505)-Constants!$B$25)/Constants!$B$26)</f>
        <v/>
      </c>
      <c r="CC505" s="138" t="str">
        <f aca="false">IF(ISBLANK($C505),"",IF($BX505&lt;&gt;Constants!$B$6,$BX505,SUM($BZ505:$CB505)))</f>
        <v/>
      </c>
      <c r="CD505" s="135" t="str">
        <f aca="false">IF(ISBLANK($C505),"",IF($BX505&lt;&gt;Constants!$B$6,$BX505,RANK($CC505,$CC$9:$CC$508,1)))</f>
        <v/>
      </c>
      <c r="CE505" s="138" t="str">
        <f aca="false">IF($BX505&lt;&gt;Constants!$B$6,"",IF($BL505="-&gt;",$BT505,$BI505))</f>
        <v/>
      </c>
      <c r="CF505" s="135" t="str">
        <f aca="false">IF(ISBLANK($C505),"",IF($BX505&lt;&gt;Constants!$B$6,$BX505,IF(ISNUMBER($CE505),RANK($CE505,$CE$9:$CE$508,1),COUNT($CE$9:$CE$508)+1)))</f>
        <v/>
      </c>
      <c r="CG505" s="138" t="str">
        <f aca="false">IF($BX505&lt;&gt;Constants!$B$6,"",IF($BL505="-&gt;",$BU505,$BJ505))</f>
        <v/>
      </c>
      <c r="CH505" s="135" t="str">
        <f aca="false">IF(ISBLANK($C505),"",IF($BX505&lt;&gt;Constants!$B$6,$BX505,IF(ISNUMBER($CG505),RANK($CG505,$CG$9:$CG$508,1),COUNT($CG$9:$CG$508)+1)))</f>
        <v/>
      </c>
      <c r="CI505" s="138" t="str">
        <f aca="false">IF($BX505&lt;&gt;Constants!$B$6,"",IF($BL505="-&gt;",$BV505,$BK505))</f>
        <v/>
      </c>
      <c r="CJ505" s="135" t="str">
        <f aca="false">IF(ISBLANK($C505),"",IF($BX505&lt;&gt;Constants!$B$6,$BX505,IF(ISNUMBER($CI505),RANK($CI505,$CI$9:$CI$508,1),COUNT($CI$9:$CI$508)+1)))</f>
        <v/>
      </c>
      <c r="CK505" s="138" t="str">
        <f aca="false">IF($BX505&lt;&gt;Constants!$B$6,"",$AI505)</f>
        <v/>
      </c>
      <c r="CL505" s="135" t="str">
        <f aca="false">IF(ISBLANK($C505),"",IF($BX505&lt;&gt;Constants!$B$6,$BX505,IF(ISNUMBER($CK505),RANK($CK505,$CK$9:$CK$508,1),COUNT($CK$9:$CK$508)+1)))</f>
        <v/>
      </c>
      <c r="CM505" s="135" t="str">
        <f aca="false">IF(ISBLANK($C505),"",IF($BX505&lt;&gt;Constants!$B$6,$BX505,COUNTIFS($CD$9:$CD$508,"&lt;"&amp;$CD505)+COUNTIFS($CD$9:$CD$508,$CD505,$CF$9:$CF$508,"&lt;"&amp;$CF505)+COUNTIFS($CD$9:$CD$508,$CD505,$CF$9:$CF$508,$CF505,$CH$9:$CH$508,"&lt;"&amp;$CH505)+COUNTIFS($CD$9:$CD$508,$CD505,$CF$9:$CF$508,$CF505,$CH$9:$CH$508,$CH505,$CJ$9:$CJ$508,"&lt;"&amp;$CJ505)+COUNTIFS($CD$9:$CD$508,$CD505,$CF$9:$CF$508,$CF505,$CH$9:$CH$508,$CH505,$CJ$9:$CJ$508,$CJ505,$CL$9:$CL$508,"&lt;"&amp;$CL505)+1))</f>
        <v/>
      </c>
      <c r="CN505" s="135" t="str">
        <f aca="false">IF(ISBLANK($C505),"",IF($BX505&lt;&gt;Constants!$B$6,$BX505,$CD505-$CM505))</f>
        <v/>
      </c>
      <c r="CO505" s="141"/>
      <c r="CP505" s="142"/>
      <c r="CQ505" s="143" t="str">
        <f aca="false">IF(ISBLANK($C505),"",IF($BX505=Constants!$B$10,$BW505,""))</f>
        <v/>
      </c>
      <c r="CR505" s="142" t="str">
        <f aca="false">IF(ISBLANK($C505),"",IF($BX505&lt;&gt;Constants!$B$6,"",IF($BL505="-&gt;",2,1)))</f>
        <v/>
      </c>
      <c r="CS505" s="144" t="str">
        <f aca="false">IF(ISBLANK($C505),"",IF($BX505&lt;&gt;Constants!$B$6,"",IF($BL505="-&gt;",$BN505,$BC505)))</f>
        <v/>
      </c>
      <c r="CT505" s="144" t="str">
        <f aca="false">IF(ISBLANK($C505),"",IF($BX505&lt;&gt;Constants!$B$6,"",IF($BL505="-&gt;",$BO505,$BD505)))</f>
        <v/>
      </c>
      <c r="CU505" s="144" t="str">
        <f aca="false">IF(ISBLANK($C505),"",IF($BX505&lt;&gt;Constants!$B$6,"",IF($BL505="-&gt;",$BP505+$BQ505,$BE505+$BF505)+$CB505))</f>
        <v/>
      </c>
      <c r="CV505" s="144" t="str">
        <f aca="false">IF(ISBLANK($C505),"",IF($BX505&lt;&gt;Constants!$B$6,"",IF($BL505="-&gt;",$BR505,$BG505)+$CA505))</f>
        <v/>
      </c>
      <c r="CW505" s="145" t="str">
        <f aca="false">IF(ISBLANK($C505),"",IF($BX505&lt;&gt;Constants!$B$6,$BX505,$CC505))</f>
        <v/>
      </c>
      <c r="CX505" s="146" t="str">
        <f aca="false">IF(ISBLANK($C505),"",$BY505)</f>
        <v/>
      </c>
      <c r="CY505" s="147" t="str">
        <f aca="false">IF(ISBLANK($C505),"",$CN505)</f>
        <v/>
      </c>
      <c r="CZ505" s="147" t="str">
        <f aca="false">IF(ISBLANK($C505),"",$CM505)</f>
        <v/>
      </c>
      <c r="DA505" s="148" t="str">
        <f aca="false">IF(ISBLANK($C505),"",IFERROR(_xlfn.SWITCH($CZ505,Constants!$B$9,COUNTA($C$9:$C$508)+2,Constants!$B$8,COUNTA($C$9:$C$508)+1,Constants!$B$7,COUNTA($C$9:$C$508)),$CZ505))</f>
        <v/>
      </c>
      <c r="DB505" s="9"/>
      <c r="DC505" s="149" t="n">
        <f aca="false">IF(OR(ISNUMBER($CZ505),$CZ505=Constants!$B$9,$CZ505=Constants!$B$7,$CZ505=Constants!$B$8),1,0)</f>
        <v>0</v>
      </c>
      <c r="DD505" s="149" t="n">
        <v>497</v>
      </c>
      <c r="DE505" s="149" t="str">
        <f aca="false">IF(ISBLANK($C505),"",IF(ISNUMBER($DA505),$DA505+ROW($B505)/1000,""))</f>
        <v/>
      </c>
      <c r="DF505" s="149" t="str">
        <f aca="false">IF(ISNUMBER($DE505),RANK($DE505,$DE$9:$DE$508,1),"")</f>
        <v/>
      </c>
      <c r="DG505" s="149" t="str">
        <f aca="false">IF(ISBLANK($C505),"",$B505)</f>
        <v/>
      </c>
      <c r="DH505" s="149" t="str">
        <f aca="false">IF(ISBLANK($C505),"",$C505)</f>
        <v/>
      </c>
      <c r="DI505" s="149" t="str">
        <f aca="false">IF(ISBLANK($C505),"",$D505)</f>
        <v/>
      </c>
      <c r="DJ505" s="150" t="str">
        <f aca="false">$CX505</f>
        <v/>
      </c>
      <c r="DK505" s="151" t="str">
        <f aca="false">$CW505</f>
        <v/>
      </c>
      <c r="DL505" s="149" t="str">
        <f aca="false">IF(ISBLANK($C505),"",$CZ505)</f>
        <v/>
      </c>
      <c r="DM505" s="152" t="str">
        <f aca="false">IF($DD505&gt;$DC$8,"",VLOOKUP($DD505,$DF$9:$DL$508,7,FALSE()))</f>
        <v/>
      </c>
      <c r="DN505" s="153" t="str">
        <f aca="false">IF($DD505&gt;$DC$8,"",VLOOKUP($DD505,$DF$9:$DL$508,2,FALSE()))</f>
        <v/>
      </c>
      <c r="DO505" s="153" t="str">
        <f aca="false">IF($DD505&gt;$DC$8,"",VLOOKUP($DD505,$DF$9:$DL$508,3,FALSE()))</f>
        <v/>
      </c>
      <c r="DP505" s="153" t="str">
        <f aca="false">IF($DD505&gt;$DC$8,"",VLOOKUP($DD505,$DF$9:$DL$508,4,FALSE()))</f>
        <v/>
      </c>
      <c r="DQ505" s="153" t="str">
        <f aca="false">IF($DD505&gt;$DC$8,"",VLOOKUP($DD505,$DF$9:$DL$508,5,FALSE()))</f>
        <v/>
      </c>
      <c r="DR505" s="154" t="str">
        <f aca="false">IF($DD505&gt;$DC$8,"",VLOOKUP($DD505,$DF$9:$DL$508,6,FALSE()))</f>
        <v/>
      </c>
      <c r="DS505" s="76"/>
    </row>
    <row r="506" customFormat="false" ht="15.75" hidden="false" customHeight="false" outlineLevel="0" collapsed="false">
      <c r="A506" s="9"/>
      <c r="B506" s="160"/>
      <c r="C506" s="161"/>
      <c r="D506" s="162"/>
      <c r="E506" s="180"/>
      <c r="F506" s="164"/>
      <c r="G506" s="165"/>
      <c r="H506" s="165"/>
      <c r="I506" s="181"/>
      <c r="J506" s="168"/>
      <c r="K506" s="128"/>
      <c r="L506" s="129"/>
      <c r="M506" s="130"/>
      <c r="N506" s="168"/>
      <c r="O506" s="168"/>
      <c r="P506" s="180"/>
      <c r="Q506" s="168"/>
      <c r="R506" s="168"/>
      <c r="S506" s="128"/>
      <c r="T506" s="130"/>
      <c r="U506" s="130"/>
      <c r="V506" s="168"/>
      <c r="W506" s="168"/>
      <c r="X506" s="180"/>
      <c r="Y506" s="168"/>
      <c r="Z506" s="169"/>
      <c r="AA506" s="168"/>
      <c r="AB506" s="134"/>
      <c r="AC506" s="135"/>
      <c r="AD506" s="135"/>
      <c r="AE506" s="135"/>
      <c r="AF506" s="135" t="str">
        <f aca="false">IF(ISBLANK($C506),"",IF(E506=Constants!$B$2,TRUE(),IF(E506=Constants!$B$3,FALSE(),TRUE())))</f>
        <v/>
      </c>
      <c r="AG506" s="135" t="str">
        <f aca="false">IF(ISBLANK($C506),"",IF(F506=Constants!$B$2,TRUE(),IF(F506=Constants!$B$3,FALSE(),TRUE())))</f>
        <v/>
      </c>
      <c r="AH506" s="135" t="str">
        <f aca="false">IF(ISBLANK($C506),"",IF(G506=Constants!$B$2,TRUE(),IF(G506=Constants!$B$3,FALSE(),TRUE())))</f>
        <v/>
      </c>
      <c r="AI506" s="135" t="str">
        <f aca="false">IF(ISBLANK($C506),"",IF(AND(ISNUMBER(H506),H506&gt;=0),H506,Constants!$B$24))</f>
        <v/>
      </c>
      <c r="AJ506" s="135" t="str">
        <f aca="false">IF(ISBLANK($C506),"",IF(I506=Constants!$B$2,TRUE(),IF(I506=Constants!$B$3,FALSE(),TRUE())))</f>
        <v/>
      </c>
      <c r="AK506" s="135" t="str">
        <f aca="false">IF(ISBLANK($C506),"",IF(J506=Constants!$B$2,TRUE(),IF(J506=Constants!$B$3,FALSE(),TRUE())))</f>
        <v/>
      </c>
      <c r="AL506" s="135" t="str">
        <f aca="false">IF(ISBLANK($C506),"",IF(K506=Constants!$B$4,TRUE(),IF(K506=Constants!$B$5,FALSE(),COUNTA(L506:P506)&gt;0)))</f>
        <v/>
      </c>
      <c r="AM506" s="136" t="str">
        <f aca="false">IF(ISBLANK($C506),"",IF(ISNUMBER(L506),IF(L506&gt;=0,L506,""),""))</f>
        <v/>
      </c>
      <c r="AN506" s="137" t="str">
        <f aca="false">IF(ISBLANK($C506),"",IF(ISNUMBER(M506),IF(M506&gt;=0,M506,""),""))</f>
        <v/>
      </c>
      <c r="AO506" s="137" t="str">
        <f aca="false">IF(ISBLANK($C506),"",IF(N506=Constants!$B$2,TRUE(),IF(N506=Constants!$B$3,FALSE(),TRUE())))</f>
        <v/>
      </c>
      <c r="AP506" s="135" t="str">
        <f aca="false">IF(ISBLANK($C506),"",IF(ISNUMBER(O506),IF(O506&gt;=0,O506,""),""))</f>
        <v/>
      </c>
      <c r="AQ506" s="135" t="str">
        <f aca="false">IF(ISBLANK($C506),"",IF(P506=Constants!$B$2,TRUE(),IF(P506=Constants!$B$3,FALSE(),FALSE())))</f>
        <v/>
      </c>
      <c r="AR506" s="135" t="str">
        <f aca="false">IF(ISBLANK($C506),"",IF(Q506=Constants!$B$2,TRUE(),IF(Q506=Constants!$B$3,FALSE(),TRUE())))</f>
        <v/>
      </c>
      <c r="AS506" s="135" t="str">
        <f aca="false">IF(ISBLANK($C506),"",IF(R506=Constants!$B$2,TRUE(),IF(R506=Constants!$B$3,FALSE(),TRUE())))</f>
        <v/>
      </c>
      <c r="AT506" s="135" t="str">
        <f aca="false">IF(ISBLANK($C506),"",IF(S506=Constants!$B$4,TRUE(),IF(S506=Constants!$B$5,FALSE(),COUNTA(T506:X506)&gt;0)))</f>
        <v/>
      </c>
      <c r="AU506" s="136" t="str">
        <f aca="false">IF(ISBLANK($C506),"",IF(ISNUMBER(T506),IF(T506&gt;=0,T506,""),""))</f>
        <v/>
      </c>
      <c r="AV506" s="137" t="str">
        <f aca="false">IF(ISBLANK($C506),"",IF(ISNUMBER(U506),IF(U506&gt;=0,U506,""),""))</f>
        <v/>
      </c>
      <c r="AW506" s="137" t="str">
        <f aca="false">IF(ISBLANK($C506),"",IF(V506=Constants!$B$2,TRUE(),IF(V506=Constants!$B$3,FALSE(),TRUE())))</f>
        <v/>
      </c>
      <c r="AX506" s="135" t="str">
        <f aca="false">IF(ISBLANK($C506),"",IF(ISNUMBER(W506),IF(W506&gt;=0,W506,""),""))</f>
        <v/>
      </c>
      <c r="AY506" s="135" t="str">
        <f aca="false">IF(ISBLANK($C506),"",IF(X506=Constants!$B$2,TRUE(),IF(X506=Constants!$B$3,FALSE(),FALSE())))</f>
        <v/>
      </c>
      <c r="AZ506" s="135" t="str">
        <f aca="false">IF(ISBLANK($C506),"",MIN(Constants!$B$25,MAX(0,IF(ISNUMBER(Y506),Y506*60,0)+IF(ISNUMBER(Z506),Z506,0))))</f>
        <v/>
      </c>
      <c r="BA506" s="135" t="str">
        <f aca="false">IF(ISBLANK($C506),"",IF(AA506=Constants!$B$2,TRUE(),IF(AA506=Constants!$B$3,FALSE(),FALSE())))</f>
        <v/>
      </c>
      <c r="BB506" s="134" t="str">
        <f aca="false">IF(ISBLANK($C506),"",AND($AL506,OR($AM506="",$AN506="",AND($AO506,$AP506=""))))</f>
        <v/>
      </c>
      <c r="BC506" s="137" t="str">
        <f aca="false">IF($BX506&lt;&gt;Constants!$B$6,"",IF($AL506,Constants!$B$17*$AN506+Constants!$B$18*IF($AO506,$AP506,Constants!$B$19),Constants!$B$20))</f>
        <v/>
      </c>
      <c r="BD506" s="138" t="str">
        <f aca="false">IF($BX506&lt;&gt;Constants!$B$6,"",Constants!$B$21*ABS($AD$9-IF($AL506,$AM506,0)))</f>
        <v/>
      </c>
      <c r="BE506" s="138" t="str">
        <f aca="false">IF($BX506&lt;&gt;Constants!$B$6,"",IF(AND($AL506,$AQ506,$AO506),Constants!$B$22,0))</f>
        <v/>
      </c>
      <c r="BF506" s="138" t="str">
        <f aca="false">IF($BX506&lt;&gt;Constants!$B$6,"",IF($AL506,($AI506-Constants!$B$24)*Constants!$B$23,0))</f>
        <v/>
      </c>
      <c r="BG506" s="138" t="str">
        <f aca="false">IF($BX506&lt;&gt;Constants!$B$6,"",IF($AK506,0,Constants!$B$12)+IF($AJ506,0,Constants!$B$13)+IF($AH506,0,Constants!$B$14))</f>
        <v/>
      </c>
      <c r="BH506" s="139" t="str">
        <f aca="false">IF($BX506&lt;&gt;Constants!$B$6,"",Constants!$B$16+SUM($BC506:$BG506))</f>
        <v/>
      </c>
      <c r="BI506" s="138" t="str">
        <f aca="false">IF($BX506&lt;&gt;Constants!$B$6,"",$BC506)</f>
        <v/>
      </c>
      <c r="BJ506" s="138" t="str">
        <f aca="false">IF($BX506&lt;&gt;Constants!$B$6,"",$BD506)</f>
        <v/>
      </c>
      <c r="BK506" s="140" t="str">
        <f aca="false">IF($BX506&lt;&gt;Constants!$B$6,"",IF($AL506,$AN506,""))</f>
        <v/>
      </c>
      <c r="BL506" s="135" t="str">
        <f aca="false">IF($BX506&lt;&gt;Constants!$B$6,"",IF(OR($BS506&lt;$BH506,AND($BS506=$BH506,OR($BT506&lt;$BI506,AND($BT506=$BI506,OR($BU506&lt;$BJ506,AND($BU506=$BJ506,AND(ISNUMBER($BV506),OR(NOT(ISNUMBER($BK506)),$BV506&lt;$BK506)))))))),"-&gt;","&lt;-"))</f>
        <v/>
      </c>
      <c r="BM506" s="134" t="str">
        <f aca="false">IF(ISBLANK($C506),"",AND($AT506,OR($AU506="",$AV506="",AND($AW506,$AX506=""))))</f>
        <v/>
      </c>
      <c r="BN506" s="137" t="str">
        <f aca="false">IF($BX506&lt;&gt;Constants!$B$6,"",IF($AT506,Constants!$B$17*$AV506+Constants!$B$18*IF($AW506,$AX506,Constants!$B$19),Constants!$B$20))</f>
        <v/>
      </c>
      <c r="BO506" s="138" t="str">
        <f aca="false">IF($BX506&lt;&gt;Constants!$B$6,"",Constants!$B$21*ABS($AD$9-IF($AT506,$AU506,0)))</f>
        <v/>
      </c>
      <c r="BP506" s="138" t="str">
        <f aca="false">IF($BX506&lt;&gt;Constants!$B$6,"",IF(AND($AT506,$AY506,$AW506),Constants!$B$22,0))</f>
        <v/>
      </c>
      <c r="BQ506" s="138" t="str">
        <f aca="false">IF($BX506&lt;&gt;Constants!$B$6,"",IF($AT506,($AI506-Constants!$B$24)*Constants!$B$23,0))</f>
        <v/>
      </c>
      <c r="BR506" s="138" t="str">
        <f aca="false">IF($BX506&lt;&gt;Constants!$B$6,"",IF($AS506,0,Constants!$B$12)+IF($AR506,0,Constants!$B$13)+IF($AH506,0,Constants!$B$14))</f>
        <v/>
      </c>
      <c r="BS506" s="139" t="str">
        <f aca="false">IF($BX506&lt;&gt;Constants!$B$6,"",Constants!$B$16+SUM($BN506:$BR506))</f>
        <v/>
      </c>
      <c r="BT506" s="138" t="str">
        <f aca="false">IF($BX506&lt;&gt;Constants!$B$6,"",$BN506)</f>
        <v/>
      </c>
      <c r="BU506" s="138" t="str">
        <f aca="false">IF($BX506&lt;&gt;Constants!$B$6,"",$BO506)</f>
        <v/>
      </c>
      <c r="BV506" s="140" t="str">
        <f aca="false">IF($BX506&lt;&gt;Constants!$B$6,"",IF($AT506,$AV506,""))</f>
        <v/>
      </c>
      <c r="BW506" s="135" t="str">
        <f aca="false">IF(ISBLANK($C506),"",IF(ISBLANK($D$7),$BW$5,IF(NOT(ISNUMBER($D$7)),$BW$6,"")))</f>
        <v/>
      </c>
      <c r="BX506" s="135" t="str">
        <f aca="false">IF(ISBLANK($C506),"",IF($BA506,Constants!$B$9,IF(COUNTA($E506:$AA506)=0,Constants!$B$8,IF(NOT($AG506),Constants!$B$7,IF(OR($BW506&lt;&gt;"",$BB506,$BM506),Constants!$B$10,Constants!$B$6)))))</f>
        <v/>
      </c>
      <c r="BY506" s="135" t="str">
        <f aca="false">IF(ISBLANK($C506),"",IF($BX506&lt;&gt;Constants!$B$6,$BX506,Constants!$B$11))</f>
        <v/>
      </c>
      <c r="BZ506" s="138" t="str">
        <f aca="false">IF($BX506&lt;&gt;Constants!$B$6,"",IF($BL506="-&gt;",$BS506,$BH506))</f>
        <v/>
      </c>
      <c r="CA506" s="138" t="str">
        <f aca="false">IF($BX506&lt;&gt;Constants!$B$6,"",IF($AF506,0,Constants!$B$15))</f>
        <v/>
      </c>
      <c r="CB506" s="138" t="str">
        <f aca="false">IF($BX506&lt;&gt;Constants!$B$6,"",((Constants!$B$25-$AZ506)-Constants!$B$25)/Constants!$B$26)</f>
        <v/>
      </c>
      <c r="CC506" s="138" t="str">
        <f aca="false">IF(ISBLANK($C506),"",IF($BX506&lt;&gt;Constants!$B$6,$BX506,SUM($BZ506:$CB506)))</f>
        <v/>
      </c>
      <c r="CD506" s="135" t="str">
        <f aca="false">IF(ISBLANK($C506),"",IF($BX506&lt;&gt;Constants!$B$6,$BX506,RANK($CC506,$CC$9:$CC$508,1)))</f>
        <v/>
      </c>
      <c r="CE506" s="138" t="str">
        <f aca="false">IF($BX506&lt;&gt;Constants!$B$6,"",IF($BL506="-&gt;",$BT506,$BI506))</f>
        <v/>
      </c>
      <c r="CF506" s="135" t="str">
        <f aca="false">IF(ISBLANK($C506),"",IF($BX506&lt;&gt;Constants!$B$6,$BX506,IF(ISNUMBER($CE506),RANK($CE506,$CE$9:$CE$508,1),COUNT($CE$9:$CE$508)+1)))</f>
        <v/>
      </c>
      <c r="CG506" s="138" t="str">
        <f aca="false">IF($BX506&lt;&gt;Constants!$B$6,"",IF($BL506="-&gt;",$BU506,$BJ506))</f>
        <v/>
      </c>
      <c r="CH506" s="135" t="str">
        <f aca="false">IF(ISBLANK($C506),"",IF($BX506&lt;&gt;Constants!$B$6,$BX506,IF(ISNUMBER($CG506),RANK($CG506,$CG$9:$CG$508,1),COUNT($CG$9:$CG$508)+1)))</f>
        <v/>
      </c>
      <c r="CI506" s="138" t="str">
        <f aca="false">IF($BX506&lt;&gt;Constants!$B$6,"",IF($BL506="-&gt;",$BV506,$BK506))</f>
        <v/>
      </c>
      <c r="CJ506" s="135" t="str">
        <f aca="false">IF(ISBLANK($C506),"",IF($BX506&lt;&gt;Constants!$B$6,$BX506,IF(ISNUMBER($CI506),RANK($CI506,$CI$9:$CI$508,1),COUNT($CI$9:$CI$508)+1)))</f>
        <v/>
      </c>
      <c r="CK506" s="138" t="str">
        <f aca="false">IF($BX506&lt;&gt;Constants!$B$6,"",$AI506)</f>
        <v/>
      </c>
      <c r="CL506" s="135" t="str">
        <f aca="false">IF(ISBLANK($C506),"",IF($BX506&lt;&gt;Constants!$B$6,$BX506,IF(ISNUMBER($CK506),RANK($CK506,$CK$9:$CK$508,1),COUNT($CK$9:$CK$508)+1)))</f>
        <v/>
      </c>
      <c r="CM506" s="135" t="str">
        <f aca="false">IF(ISBLANK($C506),"",IF($BX506&lt;&gt;Constants!$B$6,$BX506,COUNTIFS($CD$9:$CD$508,"&lt;"&amp;$CD506)+COUNTIFS($CD$9:$CD$508,$CD506,$CF$9:$CF$508,"&lt;"&amp;$CF506)+COUNTIFS($CD$9:$CD$508,$CD506,$CF$9:$CF$508,$CF506,$CH$9:$CH$508,"&lt;"&amp;$CH506)+COUNTIFS($CD$9:$CD$508,$CD506,$CF$9:$CF$508,$CF506,$CH$9:$CH$508,$CH506,$CJ$9:$CJ$508,"&lt;"&amp;$CJ506)+COUNTIFS($CD$9:$CD$508,$CD506,$CF$9:$CF$508,$CF506,$CH$9:$CH$508,$CH506,$CJ$9:$CJ$508,$CJ506,$CL$9:$CL$508,"&lt;"&amp;$CL506)+1))</f>
        <v/>
      </c>
      <c r="CN506" s="135" t="str">
        <f aca="false">IF(ISBLANK($C506),"",IF($BX506&lt;&gt;Constants!$B$6,$BX506,$CD506-$CM506))</f>
        <v/>
      </c>
      <c r="CO506" s="141"/>
      <c r="CP506" s="142"/>
      <c r="CQ506" s="143" t="str">
        <f aca="false">IF(ISBLANK($C506),"",IF($BX506=Constants!$B$10,$BW506,""))</f>
        <v/>
      </c>
      <c r="CR506" s="142" t="str">
        <f aca="false">IF(ISBLANK($C506),"",IF($BX506&lt;&gt;Constants!$B$6,"",IF($BL506="-&gt;",2,1)))</f>
        <v/>
      </c>
      <c r="CS506" s="144" t="str">
        <f aca="false">IF(ISBLANK($C506),"",IF($BX506&lt;&gt;Constants!$B$6,"",IF($BL506="-&gt;",$BN506,$BC506)))</f>
        <v/>
      </c>
      <c r="CT506" s="144" t="str">
        <f aca="false">IF(ISBLANK($C506),"",IF($BX506&lt;&gt;Constants!$B$6,"",IF($BL506="-&gt;",$BO506,$BD506)))</f>
        <v/>
      </c>
      <c r="CU506" s="144" t="str">
        <f aca="false">IF(ISBLANK($C506),"",IF($BX506&lt;&gt;Constants!$B$6,"",IF($BL506="-&gt;",$BP506+$BQ506,$BE506+$BF506)+$CB506))</f>
        <v/>
      </c>
      <c r="CV506" s="144" t="str">
        <f aca="false">IF(ISBLANK($C506),"",IF($BX506&lt;&gt;Constants!$B$6,"",IF($BL506="-&gt;",$BR506,$BG506)+$CA506))</f>
        <v/>
      </c>
      <c r="CW506" s="145" t="str">
        <f aca="false">IF(ISBLANK($C506),"",IF($BX506&lt;&gt;Constants!$B$6,$BX506,$CC506))</f>
        <v/>
      </c>
      <c r="CX506" s="146" t="str">
        <f aca="false">IF(ISBLANK($C506),"",$BY506)</f>
        <v/>
      </c>
      <c r="CY506" s="147" t="str">
        <f aca="false">IF(ISBLANK($C506),"",$CN506)</f>
        <v/>
      </c>
      <c r="CZ506" s="147" t="str">
        <f aca="false">IF(ISBLANK($C506),"",$CM506)</f>
        <v/>
      </c>
      <c r="DA506" s="148" t="str">
        <f aca="false">IF(ISBLANK($C506),"",IFERROR(_xlfn.SWITCH($CZ506,Constants!$B$9,COUNTA($C$9:$C$508)+2,Constants!$B$8,COUNTA($C$9:$C$508)+1,Constants!$B$7,COUNTA($C$9:$C$508)),$CZ506))</f>
        <v/>
      </c>
      <c r="DB506" s="9"/>
      <c r="DC506" s="149" t="n">
        <f aca="false">IF(OR(ISNUMBER($CZ506),$CZ506=Constants!$B$9,$CZ506=Constants!$B$7,$CZ506=Constants!$B$8),1,0)</f>
        <v>0</v>
      </c>
      <c r="DD506" s="149" t="n">
        <v>498</v>
      </c>
      <c r="DE506" s="149" t="str">
        <f aca="false">IF(ISBLANK($C506),"",IF(ISNUMBER($DA506),$DA506+ROW($B506)/1000,""))</f>
        <v/>
      </c>
      <c r="DF506" s="149" t="str">
        <f aca="false">IF(ISNUMBER($DE506),RANK($DE506,$DE$9:$DE$508,1),"")</f>
        <v/>
      </c>
      <c r="DG506" s="149" t="str">
        <f aca="false">IF(ISBLANK($C506),"",$B506)</f>
        <v/>
      </c>
      <c r="DH506" s="149" t="str">
        <f aca="false">IF(ISBLANK($C506),"",$C506)</f>
        <v/>
      </c>
      <c r="DI506" s="149" t="str">
        <f aca="false">IF(ISBLANK($C506),"",$D506)</f>
        <v/>
      </c>
      <c r="DJ506" s="150" t="str">
        <f aca="false">$CX506</f>
        <v/>
      </c>
      <c r="DK506" s="151" t="str">
        <f aca="false">$CW506</f>
        <v/>
      </c>
      <c r="DL506" s="149" t="str">
        <f aca="false">IF(ISBLANK($C506),"",$CZ506)</f>
        <v/>
      </c>
      <c r="DM506" s="152" t="str">
        <f aca="false">IF($DD506&gt;$DC$8,"",VLOOKUP($DD506,$DF$9:$DL$508,7,FALSE()))</f>
        <v/>
      </c>
      <c r="DN506" s="153" t="str">
        <f aca="false">IF($DD506&gt;$DC$8,"",VLOOKUP($DD506,$DF$9:$DL$508,2,FALSE()))</f>
        <v/>
      </c>
      <c r="DO506" s="153" t="str">
        <f aca="false">IF($DD506&gt;$DC$8,"",VLOOKUP($DD506,$DF$9:$DL$508,3,FALSE()))</f>
        <v/>
      </c>
      <c r="DP506" s="153" t="str">
        <f aca="false">IF($DD506&gt;$DC$8,"",VLOOKUP($DD506,$DF$9:$DL$508,4,FALSE()))</f>
        <v/>
      </c>
      <c r="DQ506" s="153" t="str">
        <f aca="false">IF($DD506&gt;$DC$8,"",VLOOKUP($DD506,$DF$9:$DL$508,5,FALSE()))</f>
        <v/>
      </c>
      <c r="DR506" s="154" t="str">
        <f aca="false">IF($DD506&gt;$DC$8,"",VLOOKUP($DD506,$DF$9:$DL$508,6,FALSE()))</f>
        <v/>
      </c>
      <c r="DS506" s="76"/>
    </row>
    <row r="507" customFormat="false" ht="15.75" hidden="false" customHeight="false" outlineLevel="0" collapsed="false">
      <c r="A507" s="9"/>
      <c r="B507" s="78"/>
      <c r="C507" s="79"/>
      <c r="D507" s="170"/>
      <c r="E507" s="178"/>
      <c r="F507" s="172"/>
      <c r="G507" s="173"/>
      <c r="H507" s="173"/>
      <c r="I507" s="179"/>
      <c r="J507" s="176"/>
      <c r="K507" s="86"/>
      <c r="L507" s="87"/>
      <c r="M507" s="88"/>
      <c r="N507" s="176"/>
      <c r="O507" s="176"/>
      <c r="P507" s="178"/>
      <c r="Q507" s="176"/>
      <c r="R507" s="176"/>
      <c r="S507" s="86"/>
      <c r="T507" s="88"/>
      <c r="U507" s="88"/>
      <c r="V507" s="176"/>
      <c r="W507" s="176"/>
      <c r="X507" s="178"/>
      <c r="Y507" s="176"/>
      <c r="Z507" s="177"/>
      <c r="AA507" s="176"/>
      <c r="AB507" s="92"/>
      <c r="AC507" s="93"/>
      <c r="AD507" s="93"/>
      <c r="AE507" s="93"/>
      <c r="AF507" s="93" t="str">
        <f aca="false">IF(ISBLANK($C507),"",IF(E507=Constants!$B$2,TRUE(),IF(E507=Constants!$B$3,FALSE(),TRUE())))</f>
        <v/>
      </c>
      <c r="AG507" s="93" t="str">
        <f aca="false">IF(ISBLANK($C507),"",IF(F507=Constants!$B$2,TRUE(),IF(F507=Constants!$B$3,FALSE(),TRUE())))</f>
        <v/>
      </c>
      <c r="AH507" s="93" t="str">
        <f aca="false">IF(ISBLANK($C507),"",IF(G507=Constants!$B$2,TRUE(),IF(G507=Constants!$B$3,FALSE(),TRUE())))</f>
        <v/>
      </c>
      <c r="AI507" s="93" t="str">
        <f aca="false">IF(ISBLANK($C507),"",IF(AND(ISNUMBER(H507),H507&gt;=0),H507,Constants!$B$24))</f>
        <v/>
      </c>
      <c r="AJ507" s="93" t="str">
        <f aca="false">IF(ISBLANK($C507),"",IF(I507=Constants!$B$2,TRUE(),IF(I507=Constants!$B$3,FALSE(),TRUE())))</f>
        <v/>
      </c>
      <c r="AK507" s="93" t="str">
        <f aca="false">IF(ISBLANK($C507),"",IF(J507=Constants!$B$2,TRUE(),IF(J507=Constants!$B$3,FALSE(),TRUE())))</f>
        <v/>
      </c>
      <c r="AL507" s="93" t="str">
        <f aca="false">IF(ISBLANK($C507),"",IF(K507=Constants!$B$4,TRUE(),IF(K507=Constants!$B$5,FALSE(),COUNTA(L507:P507)&gt;0)))</f>
        <v/>
      </c>
      <c r="AM507" s="95" t="str">
        <f aca="false">IF(ISBLANK($C507),"",IF(ISNUMBER(L507),IF(L507&gt;=0,L507,""),""))</f>
        <v/>
      </c>
      <c r="AN507" s="94" t="str">
        <f aca="false">IF(ISBLANK($C507),"",IF(ISNUMBER(M507),IF(M507&gt;=0,M507,""),""))</f>
        <v/>
      </c>
      <c r="AO507" s="94" t="str">
        <f aca="false">IF(ISBLANK($C507),"",IF(N507=Constants!$B$2,TRUE(),IF(N507=Constants!$B$3,FALSE(),TRUE())))</f>
        <v/>
      </c>
      <c r="AP507" s="93" t="str">
        <f aca="false">IF(ISBLANK($C507),"",IF(ISNUMBER(O507),IF(O507&gt;=0,O507,""),""))</f>
        <v/>
      </c>
      <c r="AQ507" s="93" t="str">
        <f aca="false">IF(ISBLANK($C507),"",IF(P507=Constants!$B$2,TRUE(),IF(P507=Constants!$B$3,FALSE(),FALSE())))</f>
        <v/>
      </c>
      <c r="AR507" s="93" t="str">
        <f aca="false">IF(ISBLANK($C507),"",IF(Q507=Constants!$B$2,TRUE(),IF(Q507=Constants!$B$3,FALSE(),TRUE())))</f>
        <v/>
      </c>
      <c r="AS507" s="93" t="str">
        <f aca="false">IF(ISBLANK($C507),"",IF(R507=Constants!$B$2,TRUE(),IF(R507=Constants!$B$3,FALSE(),TRUE())))</f>
        <v/>
      </c>
      <c r="AT507" s="93" t="str">
        <f aca="false">IF(ISBLANK($C507),"",IF(S507=Constants!$B$4,TRUE(),IF(S507=Constants!$B$5,FALSE(),COUNTA(T507:X507)&gt;0)))</f>
        <v/>
      </c>
      <c r="AU507" s="95" t="str">
        <f aca="false">IF(ISBLANK($C507),"",IF(ISNUMBER(T507),IF(T507&gt;=0,T507,""),""))</f>
        <v/>
      </c>
      <c r="AV507" s="94" t="str">
        <f aca="false">IF(ISBLANK($C507),"",IF(ISNUMBER(U507),IF(U507&gt;=0,U507,""),""))</f>
        <v/>
      </c>
      <c r="AW507" s="94" t="str">
        <f aca="false">IF(ISBLANK($C507),"",IF(V507=Constants!$B$2,TRUE(),IF(V507=Constants!$B$3,FALSE(),TRUE())))</f>
        <v/>
      </c>
      <c r="AX507" s="93" t="str">
        <f aca="false">IF(ISBLANK($C507),"",IF(ISNUMBER(W507),IF(W507&gt;=0,W507,""),""))</f>
        <v/>
      </c>
      <c r="AY507" s="93" t="str">
        <f aca="false">IF(ISBLANK($C507),"",IF(X507=Constants!$B$2,TRUE(),IF(X507=Constants!$B$3,FALSE(),FALSE())))</f>
        <v/>
      </c>
      <c r="AZ507" s="93" t="str">
        <f aca="false">IF(ISBLANK($C507),"",MIN(Constants!$B$25,MAX(0,IF(ISNUMBER(Y507),Y507*60,0)+IF(ISNUMBER(Z507),Z507,0))))</f>
        <v/>
      </c>
      <c r="BA507" s="93" t="str">
        <f aca="false">IF(ISBLANK($C507),"",IF(AA507=Constants!$B$2,TRUE(),IF(AA507=Constants!$B$3,FALSE(),FALSE())))</f>
        <v/>
      </c>
      <c r="BB507" s="92" t="str">
        <f aca="false">IF(ISBLANK($C507),"",AND($AL507,OR($AM507="",$AN507="",AND($AO507,$AP507=""))))</f>
        <v/>
      </c>
      <c r="BC507" s="94" t="str">
        <f aca="false">IF($BX507&lt;&gt;Constants!$B$6,"",IF($AL507,Constants!$B$17*$AN507+Constants!$B$18*IF($AO507,$AP507,Constants!$B$19),Constants!$B$20))</f>
        <v/>
      </c>
      <c r="BD507" s="97" t="str">
        <f aca="false">IF($BX507&lt;&gt;Constants!$B$6,"",Constants!$B$21*ABS($AD$9-IF($AL507,$AM507,0)))</f>
        <v/>
      </c>
      <c r="BE507" s="97" t="str">
        <f aca="false">IF($BX507&lt;&gt;Constants!$B$6,"",IF(AND($AL507,$AQ507,$AO507),Constants!$B$22,0))</f>
        <v/>
      </c>
      <c r="BF507" s="97" t="str">
        <f aca="false">IF($BX507&lt;&gt;Constants!$B$6,"",IF($AL507,($AI507-Constants!$B$24)*Constants!$B$23,0))</f>
        <v/>
      </c>
      <c r="BG507" s="97" t="str">
        <f aca="false">IF($BX507&lt;&gt;Constants!$B$6,"",IF($AK507,0,Constants!$B$12)+IF($AJ507,0,Constants!$B$13)+IF($AH507,0,Constants!$B$14))</f>
        <v/>
      </c>
      <c r="BH507" s="98" t="str">
        <f aca="false">IF($BX507&lt;&gt;Constants!$B$6,"",Constants!$B$16+SUM($BC507:$BG507))</f>
        <v/>
      </c>
      <c r="BI507" s="97" t="str">
        <f aca="false">IF($BX507&lt;&gt;Constants!$B$6,"",$BC507)</f>
        <v/>
      </c>
      <c r="BJ507" s="97" t="str">
        <f aca="false">IF($BX507&lt;&gt;Constants!$B$6,"",$BD507)</f>
        <v/>
      </c>
      <c r="BK507" s="99" t="str">
        <f aca="false">IF($BX507&lt;&gt;Constants!$B$6,"",IF($AL507,$AN507,""))</f>
        <v/>
      </c>
      <c r="BL507" s="93" t="str">
        <f aca="false">IF($BX507&lt;&gt;Constants!$B$6,"",IF(OR($BS507&lt;$BH507,AND($BS507=$BH507,OR($BT507&lt;$BI507,AND($BT507=$BI507,OR($BU507&lt;$BJ507,AND($BU507=$BJ507,AND(ISNUMBER($BV507),OR(NOT(ISNUMBER($BK507)),$BV507&lt;$BK507)))))))),"-&gt;","&lt;-"))</f>
        <v/>
      </c>
      <c r="BM507" s="92" t="str">
        <f aca="false">IF(ISBLANK($C507),"",AND($AT507,OR($AU507="",$AV507="",AND($AW507,$AX507=""))))</f>
        <v/>
      </c>
      <c r="BN507" s="94" t="str">
        <f aca="false">IF($BX507&lt;&gt;Constants!$B$6,"",IF($AT507,Constants!$B$17*$AV507+Constants!$B$18*IF($AW507,$AX507,Constants!$B$19),Constants!$B$20))</f>
        <v/>
      </c>
      <c r="BO507" s="97" t="str">
        <f aca="false">IF($BX507&lt;&gt;Constants!$B$6,"",Constants!$B$21*ABS($AD$9-IF($AT507,$AU507,0)))</f>
        <v/>
      </c>
      <c r="BP507" s="97" t="str">
        <f aca="false">IF($BX507&lt;&gt;Constants!$B$6,"",IF(AND($AT507,$AY507,$AW507),Constants!$B$22,0))</f>
        <v/>
      </c>
      <c r="BQ507" s="97" t="str">
        <f aca="false">IF($BX507&lt;&gt;Constants!$B$6,"",IF($AT507,($AI507-Constants!$B$24)*Constants!$B$23,0))</f>
        <v/>
      </c>
      <c r="BR507" s="97" t="str">
        <f aca="false">IF($BX507&lt;&gt;Constants!$B$6,"",IF($AS507,0,Constants!$B$12)+IF($AR507,0,Constants!$B$13)+IF($AH507,0,Constants!$B$14))</f>
        <v/>
      </c>
      <c r="BS507" s="98" t="str">
        <f aca="false">IF($BX507&lt;&gt;Constants!$B$6,"",Constants!$B$16+SUM($BN507:$BR507))</f>
        <v/>
      </c>
      <c r="BT507" s="97" t="str">
        <f aca="false">IF($BX507&lt;&gt;Constants!$B$6,"",$BN507)</f>
        <v/>
      </c>
      <c r="BU507" s="97" t="str">
        <f aca="false">IF($BX507&lt;&gt;Constants!$B$6,"",$BO507)</f>
        <v/>
      </c>
      <c r="BV507" s="99" t="str">
        <f aca="false">IF($BX507&lt;&gt;Constants!$B$6,"",IF($AT507,$AV507,""))</f>
        <v/>
      </c>
      <c r="BW507" s="93" t="str">
        <f aca="false">IF(ISBLANK($C507),"",IF(ISBLANK($D$7),$BW$5,IF(NOT(ISNUMBER($D$7)),$BW$6,"")))</f>
        <v/>
      </c>
      <c r="BX507" s="93" t="str">
        <f aca="false">IF(ISBLANK($C507),"",IF($BA507,Constants!$B$9,IF(COUNTA($E507:$AA507)=0,Constants!$B$8,IF(NOT($AG507),Constants!$B$7,IF(OR($BW507&lt;&gt;"",$BB507,$BM507),Constants!$B$10,Constants!$B$6)))))</f>
        <v/>
      </c>
      <c r="BY507" s="93" t="str">
        <f aca="false">IF(ISBLANK($C507),"",IF($BX507&lt;&gt;Constants!$B$6,$BX507,Constants!$B$11))</f>
        <v/>
      </c>
      <c r="BZ507" s="97" t="str">
        <f aca="false">IF($BX507&lt;&gt;Constants!$B$6,"",IF($BL507="-&gt;",$BS507,$BH507))</f>
        <v/>
      </c>
      <c r="CA507" s="97" t="str">
        <f aca="false">IF($BX507&lt;&gt;Constants!$B$6,"",IF($AF507,0,Constants!$B$15))</f>
        <v/>
      </c>
      <c r="CB507" s="97" t="str">
        <f aca="false">IF($BX507&lt;&gt;Constants!$B$6,"",((Constants!$B$25-$AZ507)-Constants!$B$25)/Constants!$B$26)</f>
        <v/>
      </c>
      <c r="CC507" s="97" t="str">
        <f aca="false">IF(ISBLANK($C507),"",IF($BX507&lt;&gt;Constants!$B$6,$BX507,SUM($BZ507:$CB507)))</f>
        <v/>
      </c>
      <c r="CD507" s="93" t="str">
        <f aca="false">IF(ISBLANK($C507),"",IF($BX507&lt;&gt;Constants!$B$6,$BX507,RANK($CC507,$CC$9:$CC$508,1)))</f>
        <v/>
      </c>
      <c r="CE507" s="97" t="str">
        <f aca="false">IF($BX507&lt;&gt;Constants!$B$6,"",IF($BL507="-&gt;",$BT507,$BI507))</f>
        <v/>
      </c>
      <c r="CF507" s="93" t="str">
        <f aca="false">IF(ISBLANK($C507),"",IF($BX507&lt;&gt;Constants!$B$6,$BX507,IF(ISNUMBER($CE507),RANK($CE507,$CE$9:$CE$508,1),COUNT($CE$9:$CE$508)+1)))</f>
        <v/>
      </c>
      <c r="CG507" s="97" t="str">
        <f aca="false">IF($BX507&lt;&gt;Constants!$B$6,"",IF($BL507="-&gt;",$BU507,$BJ507))</f>
        <v/>
      </c>
      <c r="CH507" s="93" t="str">
        <f aca="false">IF(ISBLANK($C507),"",IF($BX507&lt;&gt;Constants!$B$6,$BX507,IF(ISNUMBER($CG507),RANK($CG507,$CG$9:$CG$508,1),COUNT($CG$9:$CG$508)+1)))</f>
        <v/>
      </c>
      <c r="CI507" s="97" t="str">
        <f aca="false">IF($BX507&lt;&gt;Constants!$B$6,"",IF($BL507="-&gt;",$BV507,$BK507))</f>
        <v/>
      </c>
      <c r="CJ507" s="93" t="str">
        <f aca="false">IF(ISBLANK($C507),"",IF($BX507&lt;&gt;Constants!$B$6,$BX507,IF(ISNUMBER($CI507),RANK($CI507,$CI$9:$CI$508,1),COUNT($CI$9:$CI$508)+1)))</f>
        <v/>
      </c>
      <c r="CK507" s="97" t="str">
        <f aca="false">IF($BX507&lt;&gt;Constants!$B$6,"",$AI507)</f>
        <v/>
      </c>
      <c r="CL507" s="93" t="str">
        <f aca="false">IF(ISBLANK($C507),"",IF($BX507&lt;&gt;Constants!$B$6,$BX507,IF(ISNUMBER($CK507),RANK($CK507,$CK$9:$CK$508,1),COUNT($CK$9:$CK$508)+1)))</f>
        <v/>
      </c>
      <c r="CM507" s="93" t="str">
        <f aca="false">IF(ISBLANK($C507),"",IF($BX507&lt;&gt;Constants!$B$6,$BX507,COUNTIFS($CD$9:$CD$508,"&lt;"&amp;$CD507)+COUNTIFS($CD$9:$CD$508,$CD507,$CF$9:$CF$508,"&lt;"&amp;$CF507)+COUNTIFS($CD$9:$CD$508,$CD507,$CF$9:$CF$508,$CF507,$CH$9:$CH$508,"&lt;"&amp;$CH507)+COUNTIFS($CD$9:$CD$508,$CD507,$CF$9:$CF$508,$CF507,$CH$9:$CH$508,$CH507,$CJ$9:$CJ$508,"&lt;"&amp;$CJ507)+COUNTIFS($CD$9:$CD$508,$CD507,$CF$9:$CF$508,$CF507,$CH$9:$CH$508,$CH507,$CJ$9:$CJ$508,$CJ507,$CL$9:$CL$508,"&lt;"&amp;$CL507)+1))</f>
        <v/>
      </c>
      <c r="CN507" s="93" t="str">
        <f aca="false">IF(ISBLANK($C507),"",IF($BX507&lt;&gt;Constants!$B$6,$BX507,$CD507-$CM507))</f>
        <v/>
      </c>
      <c r="CO507" s="100"/>
      <c r="CP507" s="101"/>
      <c r="CQ507" s="102" t="str">
        <f aca="false">IF(ISBLANK($C507),"",IF($BX507=Constants!$B$10,$BW507,""))</f>
        <v/>
      </c>
      <c r="CR507" s="101" t="str">
        <f aca="false">IF(ISBLANK($C507),"",IF($BX507&lt;&gt;Constants!$B$6,"",IF($BL507="-&gt;",2,1)))</f>
        <v/>
      </c>
      <c r="CS507" s="103" t="str">
        <f aca="false">IF(ISBLANK($C507),"",IF($BX507&lt;&gt;Constants!$B$6,"",IF($BL507="-&gt;",$BN507,$BC507)))</f>
        <v/>
      </c>
      <c r="CT507" s="103" t="str">
        <f aca="false">IF(ISBLANK($C507),"",IF($BX507&lt;&gt;Constants!$B$6,"",IF($BL507="-&gt;",$BO507,$BD507)))</f>
        <v/>
      </c>
      <c r="CU507" s="103" t="str">
        <f aca="false">IF(ISBLANK($C507),"",IF($BX507&lt;&gt;Constants!$B$6,"",IF($BL507="-&gt;",$BP507+$BQ507,$BE507+$BF507)+$CB507))</f>
        <v/>
      </c>
      <c r="CV507" s="103" t="str">
        <f aca="false">IF(ISBLANK($C507),"",IF($BX507&lt;&gt;Constants!$B$6,"",IF($BL507="-&gt;",$BR507,$BG507)+$CA507))</f>
        <v/>
      </c>
      <c r="CW507" s="104" t="str">
        <f aca="false">IF(ISBLANK($C507),"",IF($BX507&lt;&gt;Constants!$B$6,$BX507,$CC507))</f>
        <v/>
      </c>
      <c r="CX507" s="105" t="str">
        <f aca="false">IF(ISBLANK($C507),"",$BY507)</f>
        <v/>
      </c>
      <c r="CY507" s="106" t="str">
        <f aca="false">IF(ISBLANK($C507),"",$CN507)</f>
        <v/>
      </c>
      <c r="CZ507" s="106" t="str">
        <f aca="false">IF(ISBLANK($C507),"",$CM507)</f>
        <v/>
      </c>
      <c r="DA507" s="107" t="str">
        <f aca="false">IF(ISBLANK($C507),"",IFERROR(_xlfn.SWITCH($CZ507,Constants!$B$9,COUNTA($C$9:$C$508)+2,Constants!$B$8,COUNTA($C$9:$C$508)+1,Constants!$B$7,COUNTA($C$9:$C$508)),$CZ507))</f>
        <v/>
      </c>
      <c r="DB507" s="9"/>
      <c r="DC507" s="108" t="n">
        <f aca="false">IF(OR(ISNUMBER($CZ507),$CZ507=Constants!$B$9,$CZ507=Constants!$B$7,$CZ507=Constants!$B$8),1,0)</f>
        <v>0</v>
      </c>
      <c r="DD507" s="108" t="n">
        <v>499</v>
      </c>
      <c r="DE507" s="108" t="str">
        <f aca="false">IF(ISBLANK($C507),"",IF(ISNUMBER($DA507),$DA507+ROW($B507)/1000,""))</f>
        <v/>
      </c>
      <c r="DF507" s="108" t="str">
        <f aca="false">IF(ISNUMBER($DE507),RANK($DE507,$DE$9:$DE$508,1),"")</f>
        <v/>
      </c>
      <c r="DG507" s="108" t="str">
        <f aca="false">IF(ISBLANK($C507),"",$B507)</f>
        <v/>
      </c>
      <c r="DH507" s="108" t="str">
        <f aca="false">IF(ISBLANK($C507),"",$C507)</f>
        <v/>
      </c>
      <c r="DI507" s="108" t="str">
        <f aca="false">IF(ISBLANK($C507),"",$D507)</f>
        <v/>
      </c>
      <c r="DJ507" s="109" t="str">
        <f aca="false">$CX507</f>
        <v/>
      </c>
      <c r="DK507" s="110" t="str">
        <f aca="false">$CW507</f>
        <v/>
      </c>
      <c r="DL507" s="108" t="str">
        <f aca="false">IF(ISBLANK($C507),"",$CZ507)</f>
        <v/>
      </c>
      <c r="DM507" s="111" t="str">
        <f aca="false">IF($DD507&gt;$DC$8,"",VLOOKUP($DD507,$DF$9:$DL$508,7,FALSE()))</f>
        <v/>
      </c>
      <c r="DN507" s="112" t="str">
        <f aca="false">IF($DD507&gt;$DC$8,"",VLOOKUP($DD507,$DF$9:$DL$508,2,FALSE()))</f>
        <v/>
      </c>
      <c r="DO507" s="112" t="str">
        <f aca="false">IF($DD507&gt;$DC$8,"",VLOOKUP($DD507,$DF$9:$DL$508,3,FALSE()))</f>
        <v/>
      </c>
      <c r="DP507" s="112" t="str">
        <f aca="false">IF($DD507&gt;$DC$8,"",VLOOKUP($DD507,$DF$9:$DL$508,4,FALSE()))</f>
        <v/>
      </c>
      <c r="DQ507" s="112" t="str">
        <f aca="false">IF($DD507&gt;$DC$8,"",VLOOKUP($DD507,$DF$9:$DL$508,5,FALSE()))</f>
        <v/>
      </c>
      <c r="DR507" s="113" t="str">
        <f aca="false">IF($DD507&gt;$DC$8,"",VLOOKUP($DD507,$DF$9:$DL$508,6,FALSE()))</f>
        <v/>
      </c>
      <c r="DS507" s="76"/>
    </row>
    <row r="508" customFormat="false" ht="15.75" hidden="false" customHeight="false" outlineLevel="0" collapsed="false">
      <c r="A508" s="9"/>
      <c r="B508" s="78"/>
      <c r="C508" s="79"/>
      <c r="D508" s="170"/>
      <c r="E508" s="178"/>
      <c r="F508" s="172"/>
      <c r="G508" s="173"/>
      <c r="H508" s="173"/>
      <c r="I508" s="179"/>
      <c r="J508" s="176"/>
      <c r="K508" s="86"/>
      <c r="L508" s="87"/>
      <c r="M508" s="88"/>
      <c r="N508" s="176"/>
      <c r="O508" s="176"/>
      <c r="P508" s="178"/>
      <c r="Q508" s="176"/>
      <c r="R508" s="176"/>
      <c r="S508" s="86"/>
      <c r="T508" s="88"/>
      <c r="U508" s="88"/>
      <c r="V508" s="176"/>
      <c r="W508" s="176"/>
      <c r="X508" s="178"/>
      <c r="Y508" s="176"/>
      <c r="Z508" s="177"/>
      <c r="AA508" s="176"/>
      <c r="AB508" s="92"/>
      <c r="AC508" s="93"/>
      <c r="AD508" s="93"/>
      <c r="AE508" s="93"/>
      <c r="AF508" s="93" t="str">
        <f aca="false">IF(ISBLANK($C508),"",IF(E508=Constants!$B$2,TRUE(),IF(E508=Constants!$B$3,FALSE(),TRUE())))</f>
        <v/>
      </c>
      <c r="AG508" s="93" t="str">
        <f aca="false">IF(ISBLANK($C508),"",IF(F508=Constants!$B$2,TRUE(),IF(F508=Constants!$B$3,FALSE(),TRUE())))</f>
        <v/>
      </c>
      <c r="AH508" s="93" t="str">
        <f aca="false">IF(ISBLANK($C508),"",IF(G508=Constants!$B$2,TRUE(),IF(G508=Constants!$B$3,FALSE(),TRUE())))</f>
        <v/>
      </c>
      <c r="AI508" s="93" t="str">
        <f aca="false">IF(ISBLANK($C508),"",IF(AND(ISNUMBER(H508),H508&gt;=0),H508,Constants!$B$24))</f>
        <v/>
      </c>
      <c r="AJ508" s="93" t="str">
        <f aca="false">IF(ISBLANK($C508),"",IF(I508=Constants!$B$2,TRUE(),IF(I508=Constants!$B$3,FALSE(),TRUE())))</f>
        <v/>
      </c>
      <c r="AK508" s="93" t="str">
        <f aca="false">IF(ISBLANK($C508),"",IF(J508=Constants!$B$2,TRUE(),IF(J508=Constants!$B$3,FALSE(),TRUE())))</f>
        <v/>
      </c>
      <c r="AL508" s="93" t="str">
        <f aca="false">IF(ISBLANK($C508),"",IF(K508=Constants!$B$4,TRUE(),IF(K508=Constants!$B$5,FALSE(),COUNTA(L508:P508)&gt;0)))</f>
        <v/>
      </c>
      <c r="AM508" s="95" t="str">
        <f aca="false">IF(ISBLANK($C508),"",IF(ISNUMBER(L508),IF(L508&gt;=0,L508,""),""))</f>
        <v/>
      </c>
      <c r="AN508" s="94" t="str">
        <f aca="false">IF(ISBLANK($C508),"",IF(ISNUMBER(M508),IF(M508&gt;=0,M508,""),""))</f>
        <v/>
      </c>
      <c r="AO508" s="94" t="str">
        <f aca="false">IF(ISBLANK($C508),"",IF(N508=Constants!$B$2,TRUE(),IF(N508=Constants!$B$3,FALSE(),TRUE())))</f>
        <v/>
      </c>
      <c r="AP508" s="93" t="str">
        <f aca="false">IF(ISBLANK($C508),"",IF(ISNUMBER(O508),IF(O508&gt;=0,O508,""),""))</f>
        <v/>
      </c>
      <c r="AQ508" s="93" t="str">
        <f aca="false">IF(ISBLANK($C508),"",IF(P508=Constants!$B$2,TRUE(),IF(P508=Constants!$B$3,FALSE(),FALSE())))</f>
        <v/>
      </c>
      <c r="AR508" s="93" t="str">
        <f aca="false">IF(ISBLANK($C508),"",IF(Q508=Constants!$B$2,TRUE(),IF(Q508=Constants!$B$3,FALSE(),TRUE())))</f>
        <v/>
      </c>
      <c r="AS508" s="93" t="str">
        <f aca="false">IF(ISBLANK($C508),"",IF(R508=Constants!$B$2,TRUE(),IF(R508=Constants!$B$3,FALSE(),TRUE())))</f>
        <v/>
      </c>
      <c r="AT508" s="93" t="str">
        <f aca="false">IF(ISBLANK($C508),"",IF(S508=Constants!$B$4,TRUE(),IF(S508=Constants!$B$5,FALSE(),COUNTA(T508:X508)&gt;0)))</f>
        <v/>
      </c>
      <c r="AU508" s="95" t="str">
        <f aca="false">IF(ISBLANK($C508),"",IF(ISNUMBER(T508),IF(T508&gt;=0,T508,""),""))</f>
        <v/>
      </c>
      <c r="AV508" s="94" t="str">
        <f aca="false">IF(ISBLANK($C508),"",IF(ISNUMBER(U508),IF(U508&gt;=0,U508,""),""))</f>
        <v/>
      </c>
      <c r="AW508" s="94" t="str">
        <f aca="false">IF(ISBLANK($C508),"",IF(V508=Constants!$B$2,TRUE(),IF(V508=Constants!$B$3,FALSE(),TRUE())))</f>
        <v/>
      </c>
      <c r="AX508" s="93" t="str">
        <f aca="false">IF(ISBLANK($C508),"",IF(ISNUMBER(W508),IF(W508&gt;=0,W508,""),""))</f>
        <v/>
      </c>
      <c r="AY508" s="93" t="str">
        <f aca="false">IF(ISBLANK($C508),"",IF(X508=Constants!$B$2,TRUE(),IF(X508=Constants!$B$3,FALSE(),FALSE())))</f>
        <v/>
      </c>
      <c r="AZ508" s="93" t="str">
        <f aca="false">IF(ISBLANK($C508),"",MIN(Constants!$B$25,MAX(0,IF(ISNUMBER(Y508),Y508*60,0)+IF(ISNUMBER(Z508),Z508,0))))</f>
        <v/>
      </c>
      <c r="BA508" s="93" t="str">
        <f aca="false">IF(ISBLANK($C508),"",IF(AA508=Constants!$B$2,TRUE(),IF(AA508=Constants!$B$3,FALSE(),FALSE())))</f>
        <v/>
      </c>
      <c r="BB508" s="92" t="str">
        <f aca="false">IF(ISBLANK($C508),"",AND($AL508,OR($AM508="",$AN508="",AND($AO508,$AP508=""))))</f>
        <v/>
      </c>
      <c r="BC508" s="94" t="str">
        <f aca="false">IF($BX508&lt;&gt;Constants!$B$6,"",IF($AL508,Constants!$B$17*$AN508+Constants!$B$18*IF($AO508,$AP508,Constants!$B$19),Constants!$B$20))</f>
        <v/>
      </c>
      <c r="BD508" s="97" t="str">
        <f aca="false">IF($BX508&lt;&gt;Constants!$B$6,"",Constants!$B$21*ABS($AD$9-IF($AL508,$AM508,0)))</f>
        <v/>
      </c>
      <c r="BE508" s="97" t="str">
        <f aca="false">IF($BX508&lt;&gt;Constants!$B$6,"",IF(AND($AL508,$AQ508,$AO508),Constants!$B$22,0))</f>
        <v/>
      </c>
      <c r="BF508" s="97" t="str">
        <f aca="false">IF($BX508&lt;&gt;Constants!$B$6,"",IF($AL508,($AI508-Constants!$B$24)*Constants!$B$23,0))</f>
        <v/>
      </c>
      <c r="BG508" s="97" t="str">
        <f aca="false">IF($BX508&lt;&gt;Constants!$B$6,"",IF($AK508,0,Constants!$B$12)+IF($AJ508,0,Constants!$B$13)+IF($AH508,0,Constants!$B$14))</f>
        <v/>
      </c>
      <c r="BH508" s="98" t="str">
        <f aca="false">IF($BX508&lt;&gt;Constants!$B$6,"",Constants!$B$16+SUM($BC508:$BG508))</f>
        <v/>
      </c>
      <c r="BI508" s="97" t="str">
        <f aca="false">IF($BX508&lt;&gt;Constants!$B$6,"",$BC508)</f>
        <v/>
      </c>
      <c r="BJ508" s="97" t="str">
        <f aca="false">IF($BX508&lt;&gt;Constants!$B$6,"",$BD508)</f>
        <v/>
      </c>
      <c r="BK508" s="99" t="str">
        <f aca="false">IF($BX508&lt;&gt;Constants!$B$6,"",IF($AL508,$AN508,""))</f>
        <v/>
      </c>
      <c r="BL508" s="93" t="str">
        <f aca="false">IF($BX508&lt;&gt;Constants!$B$6,"",IF(OR($BS508&lt;$BH508,AND($BS508=$BH508,OR($BT508&lt;$BI508,AND($BT508=$BI508,OR($BU508&lt;$BJ508,AND($BU508=$BJ508,AND(ISNUMBER($BV508),OR(NOT(ISNUMBER($BK508)),$BV508&lt;$BK508)))))))),"-&gt;","&lt;-"))</f>
        <v/>
      </c>
      <c r="BM508" s="92" t="str">
        <f aca="false">IF(ISBLANK($C508),"",AND($AT508,OR($AU508="",$AV508="",AND($AW508,$AX508=""))))</f>
        <v/>
      </c>
      <c r="BN508" s="94" t="str">
        <f aca="false">IF($BX508&lt;&gt;Constants!$B$6,"",IF($AT508,Constants!$B$17*$AV508+Constants!$B$18*IF($AW508,$AX508,Constants!$B$19),Constants!$B$20))</f>
        <v/>
      </c>
      <c r="BO508" s="97" t="str">
        <f aca="false">IF($BX508&lt;&gt;Constants!$B$6,"",Constants!$B$21*ABS($AD$9-IF($AT508,$AU508,0)))</f>
        <v/>
      </c>
      <c r="BP508" s="97" t="str">
        <f aca="false">IF($BX508&lt;&gt;Constants!$B$6,"",IF(AND($AT508,$AY508,$AW508),Constants!$B$22,0))</f>
        <v/>
      </c>
      <c r="BQ508" s="97" t="str">
        <f aca="false">IF($BX508&lt;&gt;Constants!$B$6,"",IF($AT508,($AI508-Constants!$B$24)*Constants!$B$23,0))</f>
        <v/>
      </c>
      <c r="BR508" s="97" t="str">
        <f aca="false">IF($BX508&lt;&gt;Constants!$B$6,"",IF($AS508,0,Constants!$B$12)+IF($AR508,0,Constants!$B$13)+IF($AH508,0,Constants!$B$14))</f>
        <v/>
      </c>
      <c r="BS508" s="98" t="str">
        <f aca="false">IF($BX508&lt;&gt;Constants!$B$6,"",Constants!$B$16+SUM($BN508:$BR508))</f>
        <v/>
      </c>
      <c r="BT508" s="97" t="str">
        <f aca="false">IF($BX508&lt;&gt;Constants!$B$6,"",$BN508)</f>
        <v/>
      </c>
      <c r="BU508" s="97" t="str">
        <f aca="false">IF($BX508&lt;&gt;Constants!$B$6,"",$BO508)</f>
        <v/>
      </c>
      <c r="BV508" s="99" t="str">
        <f aca="false">IF($BX508&lt;&gt;Constants!$B$6,"",IF($AT508,$AV508,""))</f>
        <v/>
      </c>
      <c r="BW508" s="93" t="str">
        <f aca="false">IF(ISBLANK($C508),"",IF(ISBLANK($D$7),$BW$5,IF(NOT(ISNUMBER($D$7)),$BW$6,"")))</f>
        <v/>
      </c>
      <c r="BX508" s="93" t="str">
        <f aca="false">IF(ISBLANK($C508),"",IF($BA508,Constants!$B$9,IF(COUNTA($E508:$AA508)=0,Constants!$B$8,IF(NOT($AG508),Constants!$B$7,IF(OR($BW508&lt;&gt;"",$BB508,$BM508),Constants!$B$10,Constants!$B$6)))))</f>
        <v/>
      </c>
      <c r="BY508" s="93" t="str">
        <f aca="false">IF(ISBLANK($C508),"",IF($BX508&lt;&gt;Constants!$B$6,$BX508,Constants!$B$11))</f>
        <v/>
      </c>
      <c r="BZ508" s="97" t="str">
        <f aca="false">IF($BX508&lt;&gt;Constants!$B$6,"",IF($BL508="-&gt;",$BS508,$BH508))</f>
        <v/>
      </c>
      <c r="CA508" s="97" t="str">
        <f aca="false">IF($BX508&lt;&gt;Constants!$B$6,"",IF($AF508,0,Constants!$B$15))</f>
        <v/>
      </c>
      <c r="CB508" s="97" t="str">
        <f aca="false">IF($BX508&lt;&gt;Constants!$B$6,"",((Constants!$B$25-$AZ508)-Constants!$B$25)/Constants!$B$26)</f>
        <v/>
      </c>
      <c r="CC508" s="97" t="str">
        <f aca="false">IF(ISBLANK($C508),"",IF($BX508&lt;&gt;Constants!$B$6,$BX508,SUM($BZ508:$CB508)))</f>
        <v/>
      </c>
      <c r="CD508" s="93" t="str">
        <f aca="false">IF(ISBLANK($C508),"",IF($BX508&lt;&gt;Constants!$B$6,$BX508,RANK($CC508,$CC$9:$CC$508,1)))</f>
        <v/>
      </c>
      <c r="CE508" s="97" t="str">
        <f aca="false">IF($BX508&lt;&gt;Constants!$B$6,"",IF($BL508="-&gt;",$BT508,$BI508))</f>
        <v/>
      </c>
      <c r="CF508" s="93" t="str">
        <f aca="false">IF(ISBLANK($C508),"",IF($BX508&lt;&gt;Constants!$B$6,$BX508,IF(ISNUMBER($CE508),RANK($CE508,$CE$9:$CE$508,1),COUNT($CE$9:$CE$508)+1)))</f>
        <v/>
      </c>
      <c r="CG508" s="97" t="str">
        <f aca="false">IF($BX508&lt;&gt;Constants!$B$6,"",IF($BL508="-&gt;",$BU508,$BJ508))</f>
        <v/>
      </c>
      <c r="CH508" s="93" t="str">
        <f aca="false">IF(ISBLANK($C508),"",IF($BX508&lt;&gt;Constants!$B$6,$BX508,IF(ISNUMBER($CG508),RANK($CG508,$CG$9:$CG$508,1),COUNT($CG$9:$CG$508)+1)))</f>
        <v/>
      </c>
      <c r="CI508" s="97" t="str">
        <f aca="false">IF($BX508&lt;&gt;Constants!$B$6,"",IF($BL508="-&gt;",$BV508,$BK508))</f>
        <v/>
      </c>
      <c r="CJ508" s="93" t="str">
        <f aca="false">IF(ISBLANK($C508),"",IF($BX508&lt;&gt;Constants!$B$6,$BX508,IF(ISNUMBER($CI508),RANK($CI508,$CI$9:$CI$508,1),COUNT($CI$9:$CI$508)+1)))</f>
        <v/>
      </c>
      <c r="CK508" s="97" t="str">
        <f aca="false">IF($BX508&lt;&gt;Constants!$B$6,"",$AI508)</f>
        <v/>
      </c>
      <c r="CL508" s="93" t="str">
        <f aca="false">IF(ISBLANK($C508),"",IF($BX508&lt;&gt;Constants!$B$6,$BX508,IF(ISNUMBER($CK508),RANK($CK508,$CK$9:$CK$508,1),COUNT($CK$9:$CK$508)+1)))</f>
        <v/>
      </c>
      <c r="CM508" s="93" t="str">
        <f aca="false">IF(ISBLANK($C508),"",IF($BX508&lt;&gt;Constants!$B$6,$BX508,COUNTIFS($CD$9:$CD$508,"&lt;"&amp;$CD508)+COUNTIFS($CD$9:$CD$508,$CD508,$CF$9:$CF$508,"&lt;"&amp;$CF508)+COUNTIFS($CD$9:$CD$508,$CD508,$CF$9:$CF$508,$CF508,$CH$9:$CH$508,"&lt;"&amp;$CH508)+COUNTIFS($CD$9:$CD$508,$CD508,$CF$9:$CF$508,$CF508,$CH$9:$CH$508,$CH508,$CJ$9:$CJ$508,"&lt;"&amp;$CJ508)+COUNTIFS($CD$9:$CD$508,$CD508,$CF$9:$CF$508,$CF508,$CH$9:$CH$508,$CH508,$CJ$9:$CJ$508,$CJ508,$CL$9:$CL$508,"&lt;"&amp;$CL508)+1))</f>
        <v/>
      </c>
      <c r="CN508" s="93" t="str">
        <f aca="false">IF(ISBLANK($C508),"",IF($BX508&lt;&gt;Constants!$B$6,$BX508,$CD508-$CM508))</f>
        <v/>
      </c>
      <c r="CO508" s="100"/>
      <c r="CP508" s="101"/>
      <c r="CQ508" s="102" t="str">
        <f aca="false">IF(ISBLANK($C508),"",IF($BX508=Constants!$B$10,$BW508,""))</f>
        <v/>
      </c>
      <c r="CR508" s="101" t="str">
        <f aca="false">IF(ISBLANK($C508),"",IF($BX508&lt;&gt;Constants!$B$6,"",IF($BL508="-&gt;",2,1)))</f>
        <v/>
      </c>
      <c r="CS508" s="103" t="str">
        <f aca="false">IF(ISBLANK($C508),"",IF($BX508&lt;&gt;Constants!$B$6,"",IF($BL508="-&gt;",$BN508,$BC508)))</f>
        <v/>
      </c>
      <c r="CT508" s="103" t="str">
        <f aca="false">IF(ISBLANK($C508),"",IF($BX508&lt;&gt;Constants!$B$6,"",IF($BL508="-&gt;",$BO508,$BD508)))</f>
        <v/>
      </c>
      <c r="CU508" s="103" t="str">
        <f aca="false">IF(ISBLANK($C508),"",IF($BX508&lt;&gt;Constants!$B$6,"",IF($BL508="-&gt;",$BP508+$BQ508,$BE508+$BF508)+$CB508))</f>
        <v/>
      </c>
      <c r="CV508" s="103" t="str">
        <f aca="false">IF(ISBLANK($C508),"",IF($BX508&lt;&gt;Constants!$B$6,"",IF($BL508="-&gt;",$BR508,$BG508)+$CA508))</f>
        <v/>
      </c>
      <c r="CW508" s="104" t="str">
        <f aca="false">IF(ISBLANK($C508),"",IF($BX508&lt;&gt;Constants!$B$6,$BX508,$CC508))</f>
        <v/>
      </c>
      <c r="CX508" s="105" t="str">
        <f aca="false">IF(ISBLANK($C508),"",$BY508)</f>
        <v/>
      </c>
      <c r="CY508" s="106" t="str">
        <f aca="false">IF(ISBLANK($C508),"",$CN508)</f>
        <v/>
      </c>
      <c r="CZ508" s="106" t="str">
        <f aca="false">IF(ISBLANK($C508),"",$CM508)</f>
        <v/>
      </c>
      <c r="DA508" s="107" t="str">
        <f aca="false">IF(ISBLANK($C508),"",IFERROR(_xlfn.SWITCH($CZ508,Constants!$B$9,COUNTA($C$9:$C$508)+2,Constants!$B$8,COUNTA($C$9:$C$508)+1,Constants!$B$7,COUNTA($C$9:$C$508)),$CZ508))</f>
        <v/>
      </c>
      <c r="DB508" s="9"/>
      <c r="DC508" s="108" t="n">
        <f aca="false">IF(OR(ISNUMBER($CZ508),$CZ508=Constants!$B$9,$CZ508=Constants!$B$7,$CZ508=Constants!$B$8),1,0)</f>
        <v>0</v>
      </c>
      <c r="DD508" s="108" t="n">
        <v>500</v>
      </c>
      <c r="DE508" s="108" t="str">
        <f aca="false">IF(ISBLANK($C508),"",IF(ISNUMBER($DA508),$DA508+ROW($B508)/1000,""))</f>
        <v/>
      </c>
      <c r="DF508" s="108" t="str">
        <f aca="false">IF(ISNUMBER($DE508),RANK($DE508,$DE$9:$DE$508,1),"")</f>
        <v/>
      </c>
      <c r="DG508" s="108" t="str">
        <f aca="false">IF(ISBLANK($C508),"",$B508)</f>
        <v/>
      </c>
      <c r="DH508" s="108" t="str">
        <f aca="false">IF(ISBLANK($C508),"",$C508)</f>
        <v/>
      </c>
      <c r="DI508" s="108" t="str">
        <f aca="false">IF(ISBLANK($C508),"",$D508)</f>
        <v/>
      </c>
      <c r="DJ508" s="109" t="str">
        <f aca="false">$CX508</f>
        <v/>
      </c>
      <c r="DK508" s="110" t="str">
        <f aca="false">$CW508</f>
        <v/>
      </c>
      <c r="DL508" s="108" t="str">
        <f aca="false">IF(ISBLANK($C508),"",$CZ508)</f>
        <v/>
      </c>
      <c r="DM508" s="111" t="str">
        <f aca="false">IF($DD508&gt;$DC$8,"",VLOOKUP($DD508,$DF$9:$DL$508,7,FALSE()))</f>
        <v/>
      </c>
      <c r="DN508" s="112" t="str">
        <f aca="false">IF($DD508&gt;$DC$8,"",VLOOKUP($DD508,$DF$9:$DL$508,2,FALSE()))</f>
        <v/>
      </c>
      <c r="DO508" s="112" t="str">
        <f aca="false">IF($DD508&gt;$DC$8,"",VLOOKUP($DD508,$DF$9:$DL$508,3,FALSE()))</f>
        <v/>
      </c>
      <c r="DP508" s="112" t="str">
        <f aca="false">IF($DD508&gt;$DC$8,"",VLOOKUP($DD508,$DF$9:$DL$508,4,FALSE()))</f>
        <v/>
      </c>
      <c r="DQ508" s="112" t="str">
        <f aca="false">IF($DD508&gt;$DC$8,"",VLOOKUP($DD508,$DF$9:$DL$508,5,FALSE()))</f>
        <v/>
      </c>
      <c r="DR508" s="113" t="str">
        <f aca="false">IF($DD508&gt;$DC$8,"",VLOOKUP($DD508,$DF$9:$DL$508,6,FALSE()))</f>
        <v/>
      </c>
      <c r="DS508" s="76"/>
    </row>
    <row r="1048576" customFormat="false" ht="12.8" hidden="false" customHeight="true" outlineLevel="0" collapsed="false"/>
  </sheetData>
  <mergeCells count="114">
    <mergeCell ref="B2:D3"/>
    <mergeCell ref="F2:H2"/>
    <mergeCell ref="I2:X2"/>
    <mergeCell ref="Y2:Z7"/>
    <mergeCell ref="AA2:AA8"/>
    <mergeCell ref="AB2:AB6"/>
    <mergeCell ref="AF2:AI2"/>
    <mergeCell ref="AJ2:AQ2"/>
    <mergeCell ref="AR2:AY2"/>
    <mergeCell ref="CO2:CO6"/>
    <mergeCell ref="CR2:CV2"/>
    <mergeCell ref="DE2:DE8"/>
    <mergeCell ref="DF2:DF8"/>
    <mergeCell ref="DG2:DG8"/>
    <mergeCell ref="DH2:DH8"/>
    <mergeCell ref="DI2:DI8"/>
    <mergeCell ref="DJ2:DJ8"/>
    <mergeCell ref="DK2:DK8"/>
    <mergeCell ref="DL2:DL8"/>
    <mergeCell ref="DM2:DR2"/>
    <mergeCell ref="E3:E8"/>
    <mergeCell ref="F3:F8"/>
    <mergeCell ref="G3:G8"/>
    <mergeCell ref="H3:H8"/>
    <mergeCell ref="I3:P3"/>
    <mergeCell ref="Q3:X3"/>
    <mergeCell ref="AC3:AC8"/>
    <mergeCell ref="AD3:AD8"/>
    <mergeCell ref="AE3:AE8"/>
    <mergeCell ref="AF3:AF8"/>
    <mergeCell ref="AG3:AG8"/>
    <mergeCell ref="AH3:AH8"/>
    <mergeCell ref="AI3:AI8"/>
    <mergeCell ref="AJ3:AJ8"/>
    <mergeCell ref="AK3:AK8"/>
    <mergeCell ref="AL3:AL8"/>
    <mergeCell ref="AM3:AM8"/>
    <mergeCell ref="AN3:AN8"/>
    <mergeCell ref="AO3:AO8"/>
    <mergeCell ref="AP3:AP8"/>
    <mergeCell ref="AQ3:AQ8"/>
    <mergeCell ref="AR3:AR8"/>
    <mergeCell ref="AS3:AS8"/>
    <mergeCell ref="AT3:AT8"/>
    <mergeCell ref="AU3:AU8"/>
    <mergeCell ref="AV3:AV8"/>
    <mergeCell ref="AW3:AW8"/>
    <mergeCell ref="AX3:AX8"/>
    <mergeCell ref="AY3:AY8"/>
    <mergeCell ref="AZ3:AZ8"/>
    <mergeCell ref="BA3:BA8"/>
    <mergeCell ref="BB3:BK3"/>
    <mergeCell ref="BL3:BL8"/>
    <mergeCell ref="BM3:BV3"/>
    <mergeCell ref="BY3:CC3"/>
    <mergeCell ref="CP3:CP8"/>
    <mergeCell ref="CR3:CR8"/>
    <mergeCell ref="CS3:CS8"/>
    <mergeCell ref="CT3:CT8"/>
    <mergeCell ref="CU3:CU8"/>
    <mergeCell ref="CV3:CV8"/>
    <mergeCell ref="CW3:CW8"/>
    <mergeCell ref="CX3:CX8"/>
    <mergeCell ref="CY3:CY8"/>
    <mergeCell ref="CZ3:CZ8"/>
    <mergeCell ref="DA3:DA8"/>
    <mergeCell ref="DB3:DB8"/>
    <mergeCell ref="DM3:DM8"/>
    <mergeCell ref="DN3:DN8"/>
    <mergeCell ref="DO3:DO8"/>
    <mergeCell ref="DP3:DP8"/>
    <mergeCell ref="DQ3:DQ8"/>
    <mergeCell ref="DR3:DR8"/>
    <mergeCell ref="B4:D4"/>
    <mergeCell ref="I4:I8"/>
    <mergeCell ref="J4:J8"/>
    <mergeCell ref="K4:K8"/>
    <mergeCell ref="L4:L8"/>
    <mergeCell ref="M4:M8"/>
    <mergeCell ref="N4:N8"/>
    <mergeCell ref="O4:O8"/>
    <mergeCell ref="P4:P8"/>
    <mergeCell ref="Q4:Q8"/>
    <mergeCell ref="R4:R8"/>
    <mergeCell ref="S4:S8"/>
    <mergeCell ref="T4:T8"/>
    <mergeCell ref="U4:U8"/>
    <mergeCell ref="V4:V8"/>
    <mergeCell ref="W4:W8"/>
    <mergeCell ref="X4:X8"/>
    <mergeCell ref="BB4:BB8"/>
    <mergeCell ref="BC4:BC8"/>
    <mergeCell ref="BD4:BD8"/>
    <mergeCell ref="BE4:BE8"/>
    <mergeCell ref="BF4:BF8"/>
    <mergeCell ref="BG4:BG8"/>
    <mergeCell ref="BH4:BH8"/>
    <mergeCell ref="BI4:BI8"/>
    <mergeCell ref="BJ4:BJ8"/>
    <mergeCell ref="BK4:BK8"/>
    <mergeCell ref="BM4:BM8"/>
    <mergeCell ref="BN4:BN8"/>
    <mergeCell ref="BO4:BO8"/>
    <mergeCell ref="BP4:BP8"/>
    <mergeCell ref="BQ4:BQ8"/>
    <mergeCell ref="BR4:BR8"/>
    <mergeCell ref="BS4:BS8"/>
    <mergeCell ref="BT4:BT8"/>
    <mergeCell ref="BU4:BU8"/>
    <mergeCell ref="BV4:BV8"/>
    <mergeCell ref="B5:D5"/>
    <mergeCell ref="B6:D6"/>
    <mergeCell ref="B7:C7"/>
    <mergeCell ref="CE7:CL7"/>
  </mergeCells>
  <conditionalFormatting sqref="B4:D4">
    <cfRule type="containsText" priority="2" operator="containsText" aboveAverage="0" equalAverage="0" bottom="0" percent="0" rank="0" text="download" dxfId="0">
      <formula>NOT(ISERROR(SEARCH("download",B4)))</formula>
    </cfRule>
  </conditionalFormatting>
  <conditionalFormatting sqref="P9:P508 X9:X508">
    <cfRule type="expression" priority="3" aboveAverage="0" equalAverage="0" bottom="0" percent="0" rank="0" text="" dxfId="1">
      <formula>AND(P9="T",N9="F")</formula>
    </cfRule>
  </conditionalFormatting>
  <conditionalFormatting sqref="AA9:AA508">
    <cfRule type="cellIs" priority="4" operator="equal" aboveAverage="0" equalAverage="0" bottom="0" percent="0" rank="0" text="" dxfId="2">
      <formula>"T"</formula>
    </cfRule>
  </conditionalFormatting>
  <conditionalFormatting sqref="D7">
    <cfRule type="expression" priority="5" aboveAverage="0" equalAverage="0" bottom="0" percent="0" rank="0" text="" dxfId="2">
      <formula>LEN(TRIM(D7))=0</formula>
    </cfRule>
  </conditionalFormatting>
  <conditionalFormatting sqref="CQ9:CQ508">
    <cfRule type="expression" priority="6" aboveAverage="0" equalAverage="0" bottom="0" percent="0" rank="0" text="" dxfId="3">
      <formula>LEN(TRIM(CQ9))&gt;0</formula>
    </cfRule>
  </conditionalFormatting>
  <conditionalFormatting sqref="E9:G508 I9:J508 N9:N508 Q9:R508 V9:V508">
    <cfRule type="cellIs" priority="7" operator="equal" aboveAverage="0" equalAverage="0" bottom="0" percent="0" rank="0" text="" dxfId="2">
      <formula>"F"</formula>
    </cfRule>
  </conditionalFormatting>
  <conditionalFormatting sqref="K9:K508 S9:S508">
    <cfRule type="cellIs" priority="8" operator="equal" aboveAverage="0" equalAverage="0" bottom="0" percent="0" rank="0" text="" dxfId="2">
      <formula>"Failed"</formula>
    </cfRule>
  </conditionalFormatting>
  <conditionalFormatting sqref="P9:P508 X9:X508">
    <cfRule type="cellIs" priority="9" operator="equal" aboveAverage="0" equalAverage="0" bottom="0" percent="0" rank="0" text="" dxfId="4">
      <formula>"T"</formula>
    </cfRule>
  </conditionalFormatting>
  <conditionalFormatting sqref="L9:M508">
    <cfRule type="expression" priority="10" aboveAverage="0" equalAverage="0" bottom="0" percent="0" rank="0" text="" dxfId="1">
      <formula>AND($BX9="ERR",$BB9=TRUE(),AM9="")</formula>
    </cfRule>
  </conditionalFormatting>
  <conditionalFormatting sqref="O9:O508">
    <cfRule type="expression" priority="11" aboveAverage="0" equalAverage="0" bottom="0" percent="0" rank="0" text="" dxfId="1">
      <formula>AND($BX9="ERR",$BB9=TRUE(),AND($AO9,AP9=""))</formula>
    </cfRule>
  </conditionalFormatting>
  <conditionalFormatting sqref="T9:U508">
    <cfRule type="expression" priority="12" aboveAverage="0" equalAverage="0" bottom="0" percent="0" rank="0" text="" dxfId="1">
      <formula>AND($BX9="ERR",$BM9=TRUE(),AU9="")</formula>
    </cfRule>
  </conditionalFormatting>
  <conditionalFormatting sqref="W9:W508">
    <cfRule type="expression" priority="13" aboveAverage="0" equalAverage="0" bottom="0" percent="0" rank="0" text="" dxfId="1">
      <formula>AND($BX9="ERR",$BM9=TRUE(),AND($AW9,AX9=""))</formula>
    </cfRule>
  </conditionalFormatting>
  <dataValidations count="6">
    <dataValidation allowBlank="true" errorStyle="stop" operator="greaterThanOrEqual" showDropDown="true" showErrorMessage="true" showInputMessage="false" sqref="H9:H508 L9:M508 O9:O508 T9:U508 W9:W508" type="decimal">
      <formula1>0</formula1>
      <formula2>0</formula2>
    </dataValidation>
    <dataValidation allowBlank="true" errorStyle="stop" operator="between" prompt="True (T)/False (F)" showDropDown="false" showErrorMessage="true" showInputMessage="true" sqref="E9:G508 I9:J508 N9:N508 P9:R508 V9:V508 X9:X508 AA9:AA508" type="list">
      <formula1>"T,F"</formula1>
      <formula2>0</formula2>
    </dataValidation>
    <dataValidation allowBlank="true" errorStyle="stop" operator="between" prompt="Successful / Failed" showDropDown="false" showErrorMessage="true" showInputMessage="true" sqref="K9:K508 S9:S508" type="list">
      <formula1>"Successful,Failed"</formula1>
      <formula2>0</formula2>
    </dataValidation>
    <dataValidation allowBlank="true" errorStyle="stop" operator="between" prompt="Nationals only: leave blank otherwise" showDropDown="true" showErrorMessage="false" showInputMessage="true" sqref="Y9:Y508" type="custom">
      <formula1>AND(Y10&gt;=0,Y10&lt;=8)</formula1>
      <formula2>0</formula2>
    </dataValidation>
    <dataValidation allowBlank="true" errorStyle="stop" operator="between" prompt="Nationals only: leave blank otherwise" showDropDown="true" showErrorMessage="false" showInputMessage="true" sqref="Z9:Z508" type="custom">
      <formula1>OR(AND(Z10=0,Y10&lt;=8),AND(Z10&gt;0,Z10&lt;60,Y10&lt;8))</formula1>
      <formula2>0</formula2>
    </dataValidation>
    <dataValidation allowBlank="true" errorStyle="stop" operator="between" prompt="Target Time must be a number between 10 and 20 seconds at any 0.5s interval." showDropDown="true" showErrorMessage="true" showInputMessage="true" sqref="D7" type="custom">
      <formula1>IF(ISBLANK($D$8), "", IF(NOT(ISNUMBER($D$8)),   0, IF($D$8&lt;Constants!$B$27,   0, IF($D$8&gt;Constants!$B$28,   0,   MOD($D$8,Constants!$B$29)=0 ))))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1" sqref="C9:H9 B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74.84"/>
  </cols>
  <sheetData>
    <row r="1" customFormat="false" ht="15.75" hidden="false" customHeight="false" outlineLevel="0" collapsed="false">
      <c r="A1" s="182" t="s">
        <v>87</v>
      </c>
      <c r="B1" s="182" t="s">
        <v>88</v>
      </c>
    </row>
    <row r="2" customFormat="false" ht="15.75" hidden="false" customHeight="false" outlineLevel="0" collapsed="false">
      <c r="A2" s="182" t="b">
        <f aca="false">TRUE()</f>
        <v>1</v>
      </c>
      <c r="B2" s="182" t="s">
        <v>89</v>
      </c>
    </row>
    <row r="3" customFormat="false" ht="15.75" hidden="false" customHeight="false" outlineLevel="0" collapsed="false">
      <c r="A3" s="182" t="b">
        <f aca="false">FALSE()</f>
        <v>0</v>
      </c>
      <c r="B3" s="182" t="s">
        <v>90</v>
      </c>
    </row>
    <row r="4" customFormat="false" ht="15.75" hidden="false" customHeight="false" outlineLevel="0" collapsed="false">
      <c r="A4" s="182" t="s">
        <v>91</v>
      </c>
      <c r="B4" s="182" t="s">
        <v>92</v>
      </c>
    </row>
    <row r="5" customFormat="false" ht="15.75" hidden="false" customHeight="false" outlineLevel="0" collapsed="false">
      <c r="A5" s="182" t="s">
        <v>93</v>
      </c>
      <c r="B5" s="182" t="s">
        <v>94</v>
      </c>
    </row>
    <row r="6" customFormat="false" ht="15.75" hidden="false" customHeight="false" outlineLevel="0" collapsed="false">
      <c r="A6" s="182" t="s">
        <v>95</v>
      </c>
      <c r="B6" s="182" t="s">
        <v>96</v>
      </c>
    </row>
    <row r="7" customFormat="false" ht="15.75" hidden="false" customHeight="false" outlineLevel="0" collapsed="false">
      <c r="A7" s="182" t="s">
        <v>97</v>
      </c>
      <c r="B7" s="182" t="s">
        <v>98</v>
      </c>
    </row>
    <row r="8" customFormat="false" ht="15.75" hidden="false" customHeight="false" outlineLevel="0" collapsed="false">
      <c r="A8" s="182" t="s">
        <v>99</v>
      </c>
      <c r="B8" s="182" t="s">
        <v>100</v>
      </c>
    </row>
    <row r="9" customFormat="false" ht="15.75" hidden="false" customHeight="false" outlineLevel="0" collapsed="false">
      <c r="A9" s="182" t="s">
        <v>101</v>
      </c>
      <c r="B9" s="182" t="s">
        <v>102</v>
      </c>
    </row>
    <row r="10" customFormat="false" ht="15.75" hidden="false" customHeight="false" outlineLevel="0" collapsed="false">
      <c r="A10" s="182" t="s">
        <v>103</v>
      </c>
      <c r="B10" s="182" t="s">
        <v>104</v>
      </c>
    </row>
    <row r="11" customFormat="false" ht="15.75" hidden="false" customHeight="false" outlineLevel="0" collapsed="false">
      <c r="A11" s="182" t="s">
        <v>105</v>
      </c>
      <c r="B11" s="182" t="n">
        <v>1</v>
      </c>
    </row>
    <row r="12" customFormat="false" ht="15.75" hidden="false" customHeight="false" outlineLevel="0" collapsed="false">
      <c r="A12" s="182" t="s">
        <v>106</v>
      </c>
      <c r="B12" s="182" t="n">
        <v>150</v>
      </c>
    </row>
    <row r="13" customFormat="false" ht="15.75" hidden="false" customHeight="false" outlineLevel="0" collapsed="false">
      <c r="A13" s="182" t="s">
        <v>107</v>
      </c>
      <c r="B13" s="182" t="n">
        <v>300</v>
      </c>
    </row>
    <row r="14" customFormat="false" ht="15.75" hidden="false" customHeight="false" outlineLevel="0" collapsed="false">
      <c r="A14" s="182" t="s">
        <v>108</v>
      </c>
      <c r="B14" s="182" t="n">
        <v>50</v>
      </c>
    </row>
    <row r="15" customFormat="false" ht="15.75" hidden="false" customHeight="false" outlineLevel="0" collapsed="false">
      <c r="A15" s="182" t="s">
        <v>109</v>
      </c>
      <c r="B15" s="182" t="n">
        <v>5000</v>
      </c>
    </row>
    <row r="16" customFormat="false" ht="15.75" hidden="false" customHeight="false" outlineLevel="0" collapsed="false">
      <c r="A16" s="182" t="s">
        <v>110</v>
      </c>
      <c r="B16" s="182" t="n">
        <v>100</v>
      </c>
    </row>
    <row r="17" customFormat="false" ht="15.75" hidden="false" customHeight="false" outlineLevel="0" collapsed="false">
      <c r="A17" s="182" t="s">
        <v>111</v>
      </c>
      <c r="B17" s="182" t="n">
        <v>2</v>
      </c>
    </row>
    <row r="18" customFormat="false" ht="15.75" hidden="false" customHeight="false" outlineLevel="0" collapsed="false">
      <c r="A18" s="182" t="s">
        <v>112</v>
      </c>
      <c r="B18" s="182" t="n">
        <v>1</v>
      </c>
    </row>
    <row r="19" customFormat="false" ht="15.75" hidden="false" customHeight="false" outlineLevel="0" collapsed="false">
      <c r="A19" s="182" t="s">
        <v>113</v>
      </c>
      <c r="B19" s="182" t="n">
        <v>400</v>
      </c>
    </row>
    <row r="20" customFormat="false" ht="15.75" hidden="false" customHeight="false" outlineLevel="0" collapsed="false">
      <c r="A20" s="182" t="s">
        <v>114</v>
      </c>
      <c r="B20" s="182" t="n">
        <v>2500</v>
      </c>
    </row>
    <row r="21" customFormat="false" ht="15.75" hidden="false" customHeight="false" outlineLevel="0" collapsed="false">
      <c r="A21" s="182" t="s">
        <v>115</v>
      </c>
      <c r="B21" s="182" t="n">
        <v>0.5</v>
      </c>
    </row>
    <row r="22" customFormat="false" ht="15.75" hidden="false" customHeight="false" outlineLevel="0" collapsed="false">
      <c r="A22" s="182" t="s">
        <v>54</v>
      </c>
      <c r="B22" s="182" t="n">
        <v>-20</v>
      </c>
    </row>
    <row r="23" customFormat="false" ht="15.75" hidden="false" customHeight="false" outlineLevel="0" collapsed="false">
      <c r="A23" s="182" t="s">
        <v>116</v>
      </c>
      <c r="B23" s="182" t="n">
        <v>1.5</v>
      </c>
    </row>
    <row r="24" customFormat="false" ht="15.75" hidden="false" customHeight="false" outlineLevel="0" collapsed="false">
      <c r="A24" s="182" t="s">
        <v>117</v>
      </c>
      <c r="B24" s="182" t="n">
        <v>35</v>
      </c>
    </row>
    <row r="25" customFormat="false" ht="15.75" hidden="false" customHeight="false" outlineLevel="0" collapsed="false">
      <c r="A25" s="182" t="s">
        <v>118</v>
      </c>
      <c r="B25" s="182" t="n">
        <f aca="false">8*60</f>
        <v>480</v>
      </c>
    </row>
    <row r="26" customFormat="false" ht="15.75" hidden="false" customHeight="false" outlineLevel="0" collapsed="false">
      <c r="A26" s="182" t="s">
        <v>119</v>
      </c>
      <c r="B26" s="182" t="n">
        <v>30</v>
      </c>
    </row>
    <row r="27" customFormat="false" ht="15.75" hidden="false" customHeight="false" outlineLevel="0" collapsed="false">
      <c r="A27" s="182" t="s">
        <v>120</v>
      </c>
      <c r="B27" s="182" t="n">
        <v>10</v>
      </c>
    </row>
    <row r="28" customFormat="false" ht="15.75" hidden="false" customHeight="false" outlineLevel="0" collapsed="false">
      <c r="A28" s="182" t="s">
        <v>121</v>
      </c>
      <c r="B28" s="182" t="n">
        <v>20</v>
      </c>
    </row>
    <row r="29" customFormat="false" ht="15.75" hidden="false" customHeight="false" outlineLevel="0" collapsed="false">
      <c r="A29" s="182" t="s">
        <v>122</v>
      </c>
      <c r="B29" s="182" t="n">
        <v>0.5</v>
      </c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9:H9 A1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83" t="s">
        <v>34</v>
      </c>
      <c r="B1" s="183" t="s">
        <v>35</v>
      </c>
      <c r="C1" s="183" t="s">
        <v>36</v>
      </c>
      <c r="D1" s="183" t="s">
        <v>72</v>
      </c>
      <c r="E1" s="183" t="s">
        <v>29</v>
      </c>
      <c r="F1" s="183" t="s">
        <v>31</v>
      </c>
      <c r="G1" s="183" t="s">
        <v>30</v>
      </c>
      <c r="H1" s="183" t="s">
        <v>33</v>
      </c>
      <c r="I1" s="183" t="s">
        <v>32</v>
      </c>
    </row>
    <row r="2" customFormat="false" ht="15.75" hidden="false" customHeight="false" outlineLevel="0" collapsed="false">
      <c r="A2" s="184" t="n">
        <f aca="false">ExportRaw!$F2</f>
        <v>0</v>
      </c>
      <c r="B2" s="184" t="n">
        <f aca="false">ExportRaw!$C2</f>
        <v>0</v>
      </c>
      <c r="C2" s="184" t="n">
        <f aca="false">ExportRaw!$G2</f>
        <v>0</v>
      </c>
      <c r="D2" s="184" t="str">
        <f aca="false">ExportRaw!$E2</f>
        <v/>
      </c>
      <c r="E2" s="185" t="str">
        <f aca="false">ExportRaw!$D2</f>
        <v/>
      </c>
      <c r="F2" s="184" t="str">
        <f aca="false">ExportRaw!$H2</f>
        <v/>
      </c>
      <c r="G2" s="186" t="str">
        <f aca="false">ExportRaw!$I2</f>
        <v/>
      </c>
      <c r="H2" s="184" t="str">
        <f aca="false">ExportRaw!$A2</f>
        <v/>
      </c>
      <c r="I2" s="184" t="str">
        <f aca="false">ExportRaw!$B2</f>
        <v/>
      </c>
    </row>
    <row r="3" customFormat="false" ht="15.75" hidden="false" customHeight="false" outlineLevel="0" collapsed="false">
      <c r="A3" s="184" t="n">
        <f aca="false">ExportRaw!$F3</f>
        <v>0</v>
      </c>
      <c r="B3" s="184" t="n">
        <f aca="false">ExportRaw!$C3</f>
        <v>0</v>
      </c>
      <c r="C3" s="184" t="n">
        <f aca="false">ExportRaw!$G3</f>
        <v>0</v>
      </c>
      <c r="D3" s="184" t="str">
        <f aca="false">ExportRaw!$E3</f>
        <v/>
      </c>
      <c r="E3" s="185" t="str">
        <f aca="false">ExportRaw!$D3</f>
        <v/>
      </c>
      <c r="F3" s="184" t="str">
        <f aca="false">ExportRaw!$H3</f>
        <v/>
      </c>
      <c r="G3" s="186" t="str">
        <f aca="false">ExportRaw!$I3</f>
        <v/>
      </c>
      <c r="H3" s="184" t="str">
        <f aca="false">ExportRaw!$A3</f>
        <v/>
      </c>
      <c r="I3" s="184" t="str">
        <f aca="false">ExportRaw!$B3</f>
        <v/>
      </c>
    </row>
    <row r="4" customFormat="false" ht="15.75" hidden="false" customHeight="false" outlineLevel="0" collapsed="false">
      <c r="A4" s="184" t="n">
        <f aca="false">ExportRaw!$F4</f>
        <v>0</v>
      </c>
      <c r="B4" s="184" t="n">
        <f aca="false">ExportRaw!$C4</f>
        <v>0</v>
      </c>
      <c r="C4" s="184" t="n">
        <f aca="false">ExportRaw!$G4</f>
        <v>0</v>
      </c>
      <c r="D4" s="184" t="str">
        <f aca="false">ExportRaw!$E4</f>
        <v/>
      </c>
      <c r="E4" s="185" t="str">
        <f aca="false">ExportRaw!$D4</f>
        <v/>
      </c>
      <c r="F4" s="184" t="str">
        <f aca="false">ExportRaw!$H4</f>
        <v/>
      </c>
      <c r="G4" s="186" t="str">
        <f aca="false">ExportRaw!$I4</f>
        <v/>
      </c>
      <c r="H4" s="184" t="str">
        <f aca="false">ExportRaw!$A4</f>
        <v/>
      </c>
      <c r="I4" s="184" t="str">
        <f aca="false">ExportRaw!$B4</f>
        <v/>
      </c>
    </row>
    <row r="5" customFormat="false" ht="15.75" hidden="false" customHeight="false" outlineLevel="0" collapsed="false">
      <c r="A5" s="184" t="n">
        <f aca="false">ExportRaw!$F5</f>
        <v>0</v>
      </c>
      <c r="B5" s="184" t="n">
        <f aca="false">ExportRaw!$C5</f>
        <v>0</v>
      </c>
      <c r="C5" s="184" t="n">
        <f aca="false">ExportRaw!$G5</f>
        <v>0</v>
      </c>
      <c r="D5" s="184" t="str">
        <f aca="false">ExportRaw!$E5</f>
        <v/>
      </c>
      <c r="E5" s="185" t="str">
        <f aca="false">ExportRaw!$D5</f>
        <v/>
      </c>
      <c r="F5" s="184" t="str">
        <f aca="false">ExportRaw!$H5</f>
        <v/>
      </c>
      <c r="G5" s="186" t="str">
        <f aca="false">ExportRaw!$I5</f>
        <v/>
      </c>
      <c r="H5" s="184" t="str">
        <f aca="false">ExportRaw!$A5</f>
        <v/>
      </c>
      <c r="I5" s="184" t="str">
        <f aca="false">ExportRaw!$B5</f>
        <v/>
      </c>
    </row>
    <row r="6" customFormat="false" ht="15.75" hidden="false" customHeight="false" outlineLevel="0" collapsed="false">
      <c r="A6" s="184" t="n">
        <f aca="false">ExportRaw!$F6</f>
        <v>0</v>
      </c>
      <c r="B6" s="184" t="n">
        <f aca="false">ExportRaw!$C6</f>
        <v>0</v>
      </c>
      <c r="C6" s="184" t="n">
        <f aca="false">ExportRaw!$G6</f>
        <v>0</v>
      </c>
      <c r="D6" s="184" t="str">
        <f aca="false">ExportRaw!$E6</f>
        <v/>
      </c>
      <c r="E6" s="185" t="str">
        <f aca="false">ExportRaw!$D6</f>
        <v/>
      </c>
      <c r="F6" s="184" t="str">
        <f aca="false">ExportRaw!$H6</f>
        <v/>
      </c>
      <c r="G6" s="186" t="str">
        <f aca="false">ExportRaw!$I6</f>
        <v/>
      </c>
      <c r="H6" s="184" t="str">
        <f aca="false">ExportRaw!$A6</f>
        <v/>
      </c>
      <c r="I6" s="184" t="str">
        <f aca="false">ExportRaw!$B6</f>
        <v/>
      </c>
    </row>
    <row r="7" customFormat="false" ht="15.75" hidden="false" customHeight="false" outlineLevel="0" collapsed="false">
      <c r="A7" s="184" t="n">
        <f aca="false">ExportRaw!$F7</f>
        <v>0</v>
      </c>
      <c r="B7" s="184" t="n">
        <f aca="false">ExportRaw!$C7</f>
        <v>0</v>
      </c>
      <c r="C7" s="184" t="n">
        <f aca="false">ExportRaw!$G7</f>
        <v>0</v>
      </c>
      <c r="D7" s="184" t="str">
        <f aca="false">ExportRaw!$E7</f>
        <v/>
      </c>
      <c r="E7" s="185" t="str">
        <f aca="false">ExportRaw!$D7</f>
        <v/>
      </c>
      <c r="F7" s="184" t="str">
        <f aca="false">ExportRaw!$H7</f>
        <v/>
      </c>
      <c r="G7" s="186" t="str">
        <f aca="false">ExportRaw!$I7</f>
        <v/>
      </c>
      <c r="H7" s="184" t="str">
        <f aca="false">ExportRaw!$A7</f>
        <v/>
      </c>
      <c r="I7" s="184" t="str">
        <f aca="false">ExportRaw!$B7</f>
        <v/>
      </c>
    </row>
    <row r="8" customFormat="false" ht="15.75" hidden="false" customHeight="false" outlineLevel="0" collapsed="false">
      <c r="A8" s="184" t="n">
        <f aca="false">ExportRaw!$F8</f>
        <v>0</v>
      </c>
      <c r="B8" s="184" t="n">
        <f aca="false">ExportRaw!$C8</f>
        <v>0</v>
      </c>
      <c r="C8" s="184" t="n">
        <f aca="false">ExportRaw!$G8</f>
        <v>0</v>
      </c>
      <c r="D8" s="184" t="str">
        <f aca="false">ExportRaw!$E8</f>
        <v/>
      </c>
      <c r="E8" s="185" t="str">
        <f aca="false">ExportRaw!$D8</f>
        <v/>
      </c>
      <c r="F8" s="184" t="str">
        <f aca="false">ExportRaw!$H8</f>
        <v/>
      </c>
      <c r="G8" s="186" t="str">
        <f aca="false">ExportRaw!$I8</f>
        <v/>
      </c>
      <c r="H8" s="184" t="str">
        <f aca="false">ExportRaw!$A8</f>
        <v/>
      </c>
      <c r="I8" s="184" t="str">
        <f aca="false">ExportRaw!$B8</f>
        <v/>
      </c>
    </row>
    <row r="9" customFormat="false" ht="15.75" hidden="false" customHeight="false" outlineLevel="0" collapsed="false">
      <c r="A9" s="184" t="n">
        <f aca="false">ExportRaw!$F9</f>
        <v>0</v>
      </c>
      <c r="B9" s="184" t="n">
        <f aca="false">ExportRaw!$C9</f>
        <v>0</v>
      </c>
      <c r="C9" s="184" t="n">
        <f aca="false">ExportRaw!$G9</f>
        <v>0</v>
      </c>
      <c r="D9" s="184" t="str">
        <f aca="false">ExportRaw!$E9</f>
        <v/>
      </c>
      <c r="E9" s="185" t="str">
        <f aca="false">ExportRaw!$D9</f>
        <v/>
      </c>
      <c r="F9" s="184" t="str">
        <f aca="false">ExportRaw!$H9</f>
        <v/>
      </c>
      <c r="G9" s="186" t="str">
        <f aca="false">ExportRaw!$I9</f>
        <v/>
      </c>
      <c r="H9" s="184" t="str">
        <f aca="false">ExportRaw!$A9</f>
        <v/>
      </c>
      <c r="I9" s="184" t="str">
        <f aca="false">ExportRaw!$B9</f>
        <v/>
      </c>
    </row>
    <row r="10" customFormat="false" ht="15.75" hidden="false" customHeight="false" outlineLevel="0" collapsed="false">
      <c r="A10" s="184" t="n">
        <f aca="false">ExportRaw!$F10</f>
        <v>0</v>
      </c>
      <c r="B10" s="184" t="n">
        <f aca="false">ExportRaw!$C10</f>
        <v>0</v>
      </c>
      <c r="C10" s="184" t="n">
        <f aca="false">ExportRaw!$G10</f>
        <v>0</v>
      </c>
      <c r="D10" s="184" t="str">
        <f aca="false">ExportRaw!$E10</f>
        <v/>
      </c>
      <c r="E10" s="185" t="str">
        <f aca="false">ExportRaw!$D10</f>
        <v/>
      </c>
      <c r="F10" s="184" t="str">
        <f aca="false">ExportRaw!$H10</f>
        <v/>
      </c>
      <c r="G10" s="186" t="str">
        <f aca="false">ExportRaw!$I10</f>
        <v/>
      </c>
      <c r="H10" s="184" t="str">
        <f aca="false">ExportRaw!$A10</f>
        <v/>
      </c>
      <c r="I10" s="184" t="str">
        <f aca="false">ExportRaw!$B10</f>
        <v/>
      </c>
    </row>
    <row r="11" customFormat="false" ht="15.75" hidden="false" customHeight="false" outlineLevel="0" collapsed="false">
      <c r="A11" s="184" t="n">
        <f aca="false">ExportRaw!$F11</f>
        <v>0</v>
      </c>
      <c r="B11" s="184" t="n">
        <f aca="false">ExportRaw!$C11</f>
        <v>0</v>
      </c>
      <c r="C11" s="184" t="n">
        <f aca="false">ExportRaw!$G11</f>
        <v>0</v>
      </c>
      <c r="D11" s="184" t="str">
        <f aca="false">ExportRaw!$E11</f>
        <v/>
      </c>
      <c r="E11" s="185" t="str">
        <f aca="false">ExportRaw!$D11</f>
        <v/>
      </c>
      <c r="F11" s="184" t="str">
        <f aca="false">ExportRaw!$H11</f>
        <v/>
      </c>
      <c r="G11" s="186" t="str">
        <f aca="false">ExportRaw!$I11</f>
        <v/>
      </c>
      <c r="H11" s="184" t="str">
        <f aca="false">ExportRaw!$A11</f>
        <v/>
      </c>
      <c r="I11" s="184" t="str">
        <f aca="false">ExportRaw!$B11</f>
        <v/>
      </c>
    </row>
    <row r="12" customFormat="false" ht="15.75" hidden="false" customHeight="false" outlineLevel="0" collapsed="false">
      <c r="A12" s="184" t="n">
        <f aca="false">ExportRaw!$F12</f>
        <v>0</v>
      </c>
      <c r="B12" s="184" t="n">
        <f aca="false">ExportRaw!$C12</f>
        <v>0</v>
      </c>
      <c r="C12" s="184" t="n">
        <f aca="false">ExportRaw!$G12</f>
        <v>0</v>
      </c>
      <c r="D12" s="184" t="str">
        <f aca="false">ExportRaw!$E12</f>
        <v/>
      </c>
      <c r="E12" s="185" t="str">
        <f aca="false">ExportRaw!$D12</f>
        <v/>
      </c>
      <c r="F12" s="184" t="str">
        <f aca="false">ExportRaw!$H12</f>
        <v/>
      </c>
      <c r="G12" s="186" t="str">
        <f aca="false">ExportRaw!$I12</f>
        <v/>
      </c>
      <c r="H12" s="184" t="str">
        <f aca="false">ExportRaw!$A12</f>
        <v/>
      </c>
      <c r="I12" s="184" t="str">
        <f aca="false">ExportRaw!$B12</f>
        <v/>
      </c>
    </row>
    <row r="13" customFormat="false" ht="15.75" hidden="false" customHeight="false" outlineLevel="0" collapsed="false">
      <c r="A13" s="184" t="n">
        <f aca="false">ExportRaw!$F13</f>
        <v>0</v>
      </c>
      <c r="B13" s="184" t="n">
        <f aca="false">ExportRaw!$C13</f>
        <v>0</v>
      </c>
      <c r="C13" s="184" t="n">
        <f aca="false">ExportRaw!$G13</f>
        <v>0</v>
      </c>
      <c r="D13" s="184" t="str">
        <f aca="false">ExportRaw!$E13</f>
        <v/>
      </c>
      <c r="E13" s="185" t="str">
        <f aca="false">ExportRaw!$D13</f>
        <v/>
      </c>
      <c r="F13" s="184" t="str">
        <f aca="false">ExportRaw!$H13</f>
        <v/>
      </c>
      <c r="G13" s="186" t="str">
        <f aca="false">ExportRaw!$I13</f>
        <v/>
      </c>
      <c r="H13" s="184" t="str">
        <f aca="false">ExportRaw!$A13</f>
        <v/>
      </c>
      <c r="I13" s="184" t="str">
        <f aca="false">ExportRaw!$B13</f>
        <v/>
      </c>
    </row>
    <row r="14" customFormat="false" ht="15.75" hidden="false" customHeight="false" outlineLevel="0" collapsed="false">
      <c r="A14" s="184" t="n">
        <f aca="false">ExportRaw!$F14</f>
        <v>0</v>
      </c>
      <c r="B14" s="184" t="n">
        <f aca="false">ExportRaw!$C14</f>
        <v>0</v>
      </c>
      <c r="C14" s="184" t="n">
        <f aca="false">ExportRaw!$G14</f>
        <v>0</v>
      </c>
      <c r="D14" s="184" t="str">
        <f aca="false">ExportRaw!$E14</f>
        <v/>
      </c>
      <c r="E14" s="185" t="str">
        <f aca="false">ExportRaw!$D14</f>
        <v/>
      </c>
      <c r="F14" s="184" t="str">
        <f aca="false">ExportRaw!$H14</f>
        <v/>
      </c>
      <c r="G14" s="186" t="str">
        <f aca="false">ExportRaw!$I14</f>
        <v/>
      </c>
      <c r="H14" s="184" t="str">
        <f aca="false">ExportRaw!$A14</f>
        <v/>
      </c>
      <c r="I14" s="184" t="str">
        <f aca="false">ExportRaw!$B14</f>
        <v/>
      </c>
    </row>
    <row r="15" customFormat="false" ht="15.75" hidden="false" customHeight="false" outlineLevel="0" collapsed="false">
      <c r="A15" s="184" t="n">
        <f aca="false">ExportRaw!$F15</f>
        <v>0</v>
      </c>
      <c r="B15" s="184" t="n">
        <f aca="false">ExportRaw!$C15</f>
        <v>0</v>
      </c>
      <c r="C15" s="184" t="n">
        <f aca="false">ExportRaw!$G15</f>
        <v>0</v>
      </c>
      <c r="D15" s="184" t="str">
        <f aca="false">ExportRaw!$E15</f>
        <v/>
      </c>
      <c r="E15" s="185" t="str">
        <f aca="false">ExportRaw!$D15</f>
        <v/>
      </c>
      <c r="F15" s="184" t="str">
        <f aca="false">ExportRaw!$H15</f>
        <v/>
      </c>
      <c r="G15" s="186" t="str">
        <f aca="false">ExportRaw!$I15</f>
        <v/>
      </c>
      <c r="H15" s="184" t="str">
        <f aca="false">ExportRaw!$A15</f>
        <v/>
      </c>
      <c r="I15" s="184" t="str">
        <f aca="false">ExportRaw!$B15</f>
        <v/>
      </c>
    </row>
    <row r="16" customFormat="false" ht="15.75" hidden="false" customHeight="false" outlineLevel="0" collapsed="false">
      <c r="A16" s="184" t="n">
        <f aca="false">ExportRaw!$F16</f>
        <v>0</v>
      </c>
      <c r="B16" s="184" t="n">
        <f aca="false">ExportRaw!$C16</f>
        <v>0</v>
      </c>
      <c r="C16" s="184" t="n">
        <f aca="false">ExportRaw!$G16</f>
        <v>0</v>
      </c>
      <c r="D16" s="184" t="str">
        <f aca="false">ExportRaw!$E16</f>
        <v/>
      </c>
      <c r="E16" s="185" t="str">
        <f aca="false">ExportRaw!$D16</f>
        <v/>
      </c>
      <c r="F16" s="184" t="str">
        <f aca="false">ExportRaw!$H16</f>
        <v/>
      </c>
      <c r="G16" s="186" t="str">
        <f aca="false">ExportRaw!$I16</f>
        <v/>
      </c>
      <c r="H16" s="184" t="str">
        <f aca="false">ExportRaw!$A16</f>
        <v/>
      </c>
      <c r="I16" s="184" t="str">
        <f aca="false">ExportRaw!$B16</f>
        <v/>
      </c>
    </row>
    <row r="17" customFormat="false" ht="15.75" hidden="false" customHeight="false" outlineLevel="0" collapsed="false">
      <c r="A17" s="184" t="n">
        <f aca="false">ExportRaw!$F17</f>
        <v>0</v>
      </c>
      <c r="B17" s="184" t="n">
        <f aca="false">ExportRaw!$C17</f>
        <v>0</v>
      </c>
      <c r="C17" s="184" t="n">
        <f aca="false">ExportRaw!$G17</f>
        <v>0</v>
      </c>
      <c r="D17" s="184" t="str">
        <f aca="false">ExportRaw!$E17</f>
        <v/>
      </c>
      <c r="E17" s="185" t="str">
        <f aca="false">ExportRaw!$D17</f>
        <v/>
      </c>
      <c r="F17" s="184" t="str">
        <f aca="false">ExportRaw!$H17</f>
        <v/>
      </c>
      <c r="G17" s="186" t="str">
        <f aca="false">ExportRaw!$I17</f>
        <v/>
      </c>
      <c r="H17" s="184" t="str">
        <f aca="false">ExportRaw!$A17</f>
        <v/>
      </c>
      <c r="I17" s="184" t="str">
        <f aca="false">ExportRaw!$B17</f>
        <v/>
      </c>
    </row>
    <row r="18" customFormat="false" ht="15.75" hidden="false" customHeight="false" outlineLevel="0" collapsed="false">
      <c r="A18" s="184" t="n">
        <f aca="false">ExportRaw!$F18</f>
        <v>0</v>
      </c>
      <c r="B18" s="184" t="n">
        <f aca="false">ExportRaw!$C18</f>
        <v>0</v>
      </c>
      <c r="C18" s="184" t="n">
        <f aca="false">ExportRaw!$G18</f>
        <v>0</v>
      </c>
      <c r="D18" s="184" t="str">
        <f aca="false">ExportRaw!$E18</f>
        <v/>
      </c>
      <c r="E18" s="185" t="str">
        <f aca="false">ExportRaw!$D18</f>
        <v/>
      </c>
      <c r="F18" s="184" t="str">
        <f aca="false">ExportRaw!$H18</f>
        <v/>
      </c>
      <c r="G18" s="186" t="str">
        <f aca="false">ExportRaw!$I18</f>
        <v/>
      </c>
      <c r="H18" s="184" t="str">
        <f aca="false">ExportRaw!$A18</f>
        <v/>
      </c>
      <c r="I18" s="184" t="str">
        <f aca="false">ExportRaw!$B18</f>
        <v/>
      </c>
    </row>
    <row r="19" customFormat="false" ht="15.75" hidden="false" customHeight="false" outlineLevel="0" collapsed="false">
      <c r="A19" s="184" t="n">
        <f aca="false">ExportRaw!$F19</f>
        <v>0</v>
      </c>
      <c r="B19" s="184" t="n">
        <f aca="false">ExportRaw!$C19</f>
        <v>0</v>
      </c>
      <c r="C19" s="184" t="n">
        <f aca="false">ExportRaw!$G19</f>
        <v>0</v>
      </c>
      <c r="D19" s="184" t="str">
        <f aca="false">ExportRaw!$E19</f>
        <v/>
      </c>
      <c r="E19" s="185" t="str">
        <f aca="false">ExportRaw!$D19</f>
        <v/>
      </c>
      <c r="F19" s="184" t="str">
        <f aca="false">ExportRaw!$H19</f>
        <v/>
      </c>
      <c r="G19" s="186" t="str">
        <f aca="false">ExportRaw!$I19</f>
        <v/>
      </c>
      <c r="H19" s="184" t="str">
        <f aca="false">ExportRaw!$A19</f>
        <v/>
      </c>
      <c r="I19" s="184" t="str">
        <f aca="false">ExportRaw!$B19</f>
        <v/>
      </c>
    </row>
    <row r="20" customFormat="false" ht="15.75" hidden="false" customHeight="false" outlineLevel="0" collapsed="false">
      <c r="A20" s="184" t="n">
        <f aca="false">ExportRaw!$F20</f>
        <v>0</v>
      </c>
      <c r="B20" s="184" t="n">
        <f aca="false">ExportRaw!$C20</f>
        <v>0</v>
      </c>
      <c r="C20" s="184" t="n">
        <f aca="false">ExportRaw!$G20</f>
        <v>0</v>
      </c>
      <c r="D20" s="184" t="str">
        <f aca="false">ExportRaw!$E20</f>
        <v/>
      </c>
      <c r="E20" s="185" t="str">
        <f aca="false">ExportRaw!$D20</f>
        <v/>
      </c>
      <c r="F20" s="184" t="str">
        <f aca="false">ExportRaw!$H20</f>
        <v/>
      </c>
      <c r="G20" s="186" t="str">
        <f aca="false">ExportRaw!$I20</f>
        <v/>
      </c>
      <c r="H20" s="184" t="str">
        <f aca="false">ExportRaw!$A20</f>
        <v/>
      </c>
      <c r="I20" s="184" t="str">
        <f aca="false">ExportRaw!$B20</f>
        <v/>
      </c>
    </row>
    <row r="21" customFormat="false" ht="15.75" hidden="false" customHeight="false" outlineLevel="0" collapsed="false">
      <c r="A21" s="184" t="n">
        <f aca="false">ExportRaw!$F21</f>
        <v>0</v>
      </c>
      <c r="B21" s="184" t="n">
        <f aca="false">ExportRaw!$C21</f>
        <v>0</v>
      </c>
      <c r="C21" s="184" t="n">
        <f aca="false">ExportRaw!$G21</f>
        <v>0</v>
      </c>
      <c r="D21" s="184" t="str">
        <f aca="false">ExportRaw!$E21</f>
        <v/>
      </c>
      <c r="E21" s="185" t="str">
        <f aca="false">ExportRaw!$D21</f>
        <v/>
      </c>
      <c r="F21" s="184" t="str">
        <f aca="false">ExportRaw!$H21</f>
        <v/>
      </c>
      <c r="G21" s="186" t="str">
        <f aca="false">ExportRaw!$I21</f>
        <v/>
      </c>
      <c r="H21" s="184" t="str">
        <f aca="false">ExportRaw!$A21</f>
        <v/>
      </c>
      <c r="I21" s="184" t="str">
        <f aca="false">ExportRaw!$B21</f>
        <v/>
      </c>
    </row>
    <row r="22" customFormat="false" ht="15.75" hidden="false" customHeight="false" outlineLevel="0" collapsed="false">
      <c r="A22" s="184" t="n">
        <f aca="false">ExportRaw!$F22</f>
        <v>0</v>
      </c>
      <c r="B22" s="184" t="n">
        <f aca="false">ExportRaw!$C22</f>
        <v>0</v>
      </c>
      <c r="C22" s="184" t="n">
        <f aca="false">ExportRaw!$G22</f>
        <v>0</v>
      </c>
      <c r="D22" s="184" t="str">
        <f aca="false">ExportRaw!$E22</f>
        <v/>
      </c>
      <c r="E22" s="185" t="str">
        <f aca="false">ExportRaw!$D22</f>
        <v/>
      </c>
      <c r="F22" s="184" t="str">
        <f aca="false">ExportRaw!$H22</f>
        <v/>
      </c>
      <c r="G22" s="186" t="str">
        <f aca="false">ExportRaw!$I22</f>
        <v/>
      </c>
      <c r="H22" s="184" t="str">
        <f aca="false">ExportRaw!$A22</f>
        <v/>
      </c>
      <c r="I22" s="184" t="str">
        <f aca="false">ExportRaw!$B22</f>
        <v/>
      </c>
    </row>
    <row r="23" customFormat="false" ht="15.75" hidden="false" customHeight="false" outlineLevel="0" collapsed="false">
      <c r="A23" s="184" t="n">
        <f aca="false">ExportRaw!$F23</f>
        <v>0</v>
      </c>
      <c r="B23" s="184" t="n">
        <f aca="false">ExportRaw!$C23</f>
        <v>0</v>
      </c>
      <c r="C23" s="184" t="n">
        <f aca="false">ExportRaw!$G23</f>
        <v>0</v>
      </c>
      <c r="D23" s="184" t="str">
        <f aca="false">ExportRaw!$E23</f>
        <v/>
      </c>
      <c r="E23" s="185" t="str">
        <f aca="false">ExportRaw!$D23</f>
        <v/>
      </c>
      <c r="F23" s="184" t="str">
        <f aca="false">ExportRaw!$H23</f>
        <v/>
      </c>
      <c r="G23" s="186" t="str">
        <f aca="false">ExportRaw!$I23</f>
        <v/>
      </c>
      <c r="H23" s="184" t="str">
        <f aca="false">ExportRaw!$A23</f>
        <v/>
      </c>
      <c r="I23" s="184" t="str">
        <f aca="false">ExportRaw!$B23</f>
        <v/>
      </c>
    </row>
    <row r="24" customFormat="false" ht="15.75" hidden="false" customHeight="false" outlineLevel="0" collapsed="false">
      <c r="A24" s="184" t="n">
        <f aca="false">ExportRaw!$F24</f>
        <v>0</v>
      </c>
      <c r="B24" s="184" t="n">
        <f aca="false">ExportRaw!$C24</f>
        <v>0</v>
      </c>
      <c r="C24" s="184" t="n">
        <f aca="false">ExportRaw!$G24</f>
        <v>0</v>
      </c>
      <c r="D24" s="184" t="str">
        <f aca="false">ExportRaw!$E24</f>
        <v/>
      </c>
      <c r="E24" s="185" t="str">
        <f aca="false">ExportRaw!$D24</f>
        <v/>
      </c>
      <c r="F24" s="184" t="str">
        <f aca="false">ExportRaw!$H24</f>
        <v/>
      </c>
      <c r="G24" s="186" t="str">
        <f aca="false">ExportRaw!$I24</f>
        <v/>
      </c>
      <c r="H24" s="184" t="str">
        <f aca="false">ExportRaw!$A24</f>
        <v/>
      </c>
      <c r="I24" s="184" t="str">
        <f aca="false">ExportRaw!$B24</f>
        <v/>
      </c>
    </row>
    <row r="25" customFormat="false" ht="15.75" hidden="false" customHeight="false" outlineLevel="0" collapsed="false">
      <c r="A25" s="184" t="n">
        <f aca="false">ExportRaw!$F25</f>
        <v>0</v>
      </c>
      <c r="B25" s="184" t="n">
        <f aca="false">ExportRaw!$C25</f>
        <v>0</v>
      </c>
      <c r="C25" s="184" t="n">
        <f aca="false">ExportRaw!$G25</f>
        <v>0</v>
      </c>
      <c r="D25" s="184" t="str">
        <f aca="false">ExportRaw!$E25</f>
        <v/>
      </c>
      <c r="E25" s="185" t="str">
        <f aca="false">ExportRaw!$D25</f>
        <v/>
      </c>
      <c r="F25" s="184" t="str">
        <f aca="false">ExportRaw!$H25</f>
        <v/>
      </c>
      <c r="G25" s="186" t="str">
        <f aca="false">ExportRaw!$I25</f>
        <v/>
      </c>
      <c r="H25" s="184" t="str">
        <f aca="false">ExportRaw!$A25</f>
        <v/>
      </c>
      <c r="I25" s="184" t="str">
        <f aca="false">ExportRaw!$B25</f>
        <v/>
      </c>
    </row>
    <row r="26" customFormat="false" ht="15.75" hidden="false" customHeight="false" outlineLevel="0" collapsed="false">
      <c r="A26" s="184" t="n">
        <f aca="false">ExportRaw!$F26</f>
        <v>0</v>
      </c>
      <c r="B26" s="184" t="n">
        <f aca="false">ExportRaw!$C26</f>
        <v>0</v>
      </c>
      <c r="C26" s="184" t="n">
        <f aca="false">ExportRaw!$G26</f>
        <v>0</v>
      </c>
      <c r="D26" s="184" t="str">
        <f aca="false">ExportRaw!$E26</f>
        <v/>
      </c>
      <c r="E26" s="185" t="str">
        <f aca="false">ExportRaw!$D26</f>
        <v/>
      </c>
      <c r="F26" s="184" t="str">
        <f aca="false">ExportRaw!$H26</f>
        <v/>
      </c>
      <c r="G26" s="186" t="str">
        <f aca="false">ExportRaw!$I26</f>
        <v/>
      </c>
      <c r="H26" s="184" t="str">
        <f aca="false">ExportRaw!$A26</f>
        <v/>
      </c>
      <c r="I26" s="184" t="str">
        <f aca="false">ExportRaw!$B26</f>
        <v/>
      </c>
    </row>
    <row r="27" customFormat="false" ht="15.75" hidden="false" customHeight="false" outlineLevel="0" collapsed="false">
      <c r="A27" s="184" t="n">
        <f aca="false">ExportRaw!$F27</f>
        <v>0</v>
      </c>
      <c r="B27" s="184" t="n">
        <f aca="false">ExportRaw!$C27</f>
        <v>0</v>
      </c>
      <c r="C27" s="184" t="n">
        <f aca="false">ExportRaw!$G27</f>
        <v>0</v>
      </c>
      <c r="D27" s="184" t="str">
        <f aca="false">ExportRaw!$E27</f>
        <v/>
      </c>
      <c r="E27" s="185" t="str">
        <f aca="false">ExportRaw!$D27</f>
        <v/>
      </c>
      <c r="F27" s="184" t="str">
        <f aca="false">ExportRaw!$H27</f>
        <v/>
      </c>
      <c r="G27" s="186" t="str">
        <f aca="false">ExportRaw!$I27</f>
        <v/>
      </c>
      <c r="H27" s="184" t="str">
        <f aca="false">ExportRaw!$A27</f>
        <v/>
      </c>
      <c r="I27" s="184" t="str">
        <f aca="false">ExportRaw!$B27</f>
        <v/>
      </c>
    </row>
    <row r="28" customFormat="false" ht="15.75" hidden="false" customHeight="false" outlineLevel="0" collapsed="false">
      <c r="A28" s="184" t="n">
        <f aca="false">ExportRaw!$F28</f>
        <v>0</v>
      </c>
      <c r="B28" s="184" t="n">
        <f aca="false">ExportRaw!$C28</f>
        <v>0</v>
      </c>
      <c r="C28" s="184" t="n">
        <f aca="false">ExportRaw!$G28</f>
        <v>0</v>
      </c>
      <c r="D28" s="184" t="str">
        <f aca="false">ExportRaw!$E28</f>
        <v/>
      </c>
      <c r="E28" s="185" t="str">
        <f aca="false">ExportRaw!$D28</f>
        <v/>
      </c>
      <c r="F28" s="184" t="str">
        <f aca="false">ExportRaw!$H28</f>
        <v/>
      </c>
      <c r="G28" s="186" t="str">
        <f aca="false">ExportRaw!$I28</f>
        <v/>
      </c>
      <c r="H28" s="184" t="str">
        <f aca="false">ExportRaw!$A28</f>
        <v/>
      </c>
      <c r="I28" s="184" t="str">
        <f aca="false">ExportRaw!$B28</f>
        <v/>
      </c>
    </row>
    <row r="29" customFormat="false" ht="15.75" hidden="false" customHeight="false" outlineLevel="0" collapsed="false">
      <c r="A29" s="184" t="n">
        <f aca="false">ExportRaw!$F29</f>
        <v>0</v>
      </c>
      <c r="B29" s="184" t="n">
        <f aca="false">ExportRaw!$C29</f>
        <v>0</v>
      </c>
      <c r="C29" s="184" t="n">
        <f aca="false">ExportRaw!$G29</f>
        <v>0</v>
      </c>
      <c r="D29" s="184" t="str">
        <f aca="false">ExportRaw!$E29</f>
        <v/>
      </c>
      <c r="E29" s="185" t="str">
        <f aca="false">ExportRaw!$D29</f>
        <v/>
      </c>
      <c r="F29" s="184" t="str">
        <f aca="false">ExportRaw!$H29</f>
        <v/>
      </c>
      <c r="G29" s="186" t="str">
        <f aca="false">ExportRaw!$I29</f>
        <v/>
      </c>
      <c r="H29" s="184" t="str">
        <f aca="false">ExportRaw!$A29</f>
        <v/>
      </c>
      <c r="I29" s="184" t="str">
        <f aca="false">ExportRaw!$B29</f>
        <v/>
      </c>
    </row>
    <row r="30" customFormat="false" ht="15.75" hidden="false" customHeight="false" outlineLevel="0" collapsed="false">
      <c r="A30" s="184" t="n">
        <f aca="false">ExportRaw!$F30</f>
        <v>0</v>
      </c>
      <c r="B30" s="184" t="n">
        <f aca="false">ExportRaw!$C30</f>
        <v>0</v>
      </c>
      <c r="C30" s="184" t="n">
        <f aca="false">ExportRaw!$G30</f>
        <v>0</v>
      </c>
      <c r="D30" s="184" t="str">
        <f aca="false">ExportRaw!$E30</f>
        <v/>
      </c>
      <c r="E30" s="185" t="str">
        <f aca="false">ExportRaw!$D30</f>
        <v/>
      </c>
      <c r="F30" s="184" t="str">
        <f aca="false">ExportRaw!$H30</f>
        <v/>
      </c>
      <c r="G30" s="186" t="str">
        <f aca="false">ExportRaw!$I30</f>
        <v/>
      </c>
      <c r="H30" s="184" t="str">
        <f aca="false">ExportRaw!$A30</f>
        <v/>
      </c>
      <c r="I30" s="184" t="str">
        <f aca="false">ExportRaw!$B30</f>
        <v/>
      </c>
    </row>
    <row r="31" customFormat="false" ht="15.75" hidden="false" customHeight="false" outlineLevel="0" collapsed="false">
      <c r="A31" s="184" t="n">
        <f aca="false">ExportRaw!$F31</f>
        <v>0</v>
      </c>
      <c r="B31" s="184" t="n">
        <f aca="false">ExportRaw!$C31</f>
        <v>0</v>
      </c>
      <c r="C31" s="184" t="n">
        <f aca="false">ExportRaw!$G31</f>
        <v>0</v>
      </c>
      <c r="D31" s="184" t="str">
        <f aca="false">ExportRaw!$E31</f>
        <v/>
      </c>
      <c r="E31" s="185" t="str">
        <f aca="false">ExportRaw!$D31</f>
        <v/>
      </c>
      <c r="F31" s="184" t="str">
        <f aca="false">ExportRaw!$H31</f>
        <v/>
      </c>
      <c r="G31" s="186" t="str">
        <f aca="false">ExportRaw!$I31</f>
        <v/>
      </c>
      <c r="H31" s="184" t="str">
        <f aca="false">ExportRaw!$A31</f>
        <v/>
      </c>
      <c r="I31" s="184" t="str">
        <f aca="false">ExportRaw!$B31</f>
        <v/>
      </c>
    </row>
    <row r="32" customFormat="false" ht="15.75" hidden="false" customHeight="false" outlineLevel="0" collapsed="false">
      <c r="A32" s="184" t="n">
        <f aca="false">ExportRaw!$F32</f>
        <v>0</v>
      </c>
      <c r="B32" s="184" t="n">
        <f aca="false">ExportRaw!$C32</f>
        <v>0</v>
      </c>
      <c r="C32" s="184" t="n">
        <f aca="false">ExportRaw!$G32</f>
        <v>0</v>
      </c>
      <c r="D32" s="184" t="str">
        <f aca="false">ExportRaw!$E32</f>
        <v/>
      </c>
      <c r="E32" s="185" t="str">
        <f aca="false">ExportRaw!$D32</f>
        <v/>
      </c>
      <c r="F32" s="184" t="str">
        <f aca="false">ExportRaw!$H32</f>
        <v/>
      </c>
      <c r="G32" s="186" t="str">
        <f aca="false">ExportRaw!$I32</f>
        <v/>
      </c>
      <c r="H32" s="184" t="str">
        <f aca="false">ExportRaw!$A32</f>
        <v/>
      </c>
      <c r="I32" s="184" t="str">
        <f aca="false">ExportRaw!$B32</f>
        <v/>
      </c>
    </row>
    <row r="33" customFormat="false" ht="15.75" hidden="false" customHeight="false" outlineLevel="0" collapsed="false">
      <c r="A33" s="184" t="n">
        <f aca="false">ExportRaw!$F33</f>
        <v>0</v>
      </c>
      <c r="B33" s="184" t="n">
        <f aca="false">ExportRaw!$C33</f>
        <v>0</v>
      </c>
      <c r="C33" s="184" t="n">
        <f aca="false">ExportRaw!$G33</f>
        <v>0</v>
      </c>
      <c r="D33" s="184" t="str">
        <f aca="false">ExportRaw!$E33</f>
        <v/>
      </c>
      <c r="E33" s="185" t="str">
        <f aca="false">ExportRaw!$D33</f>
        <v/>
      </c>
      <c r="F33" s="184" t="str">
        <f aca="false">ExportRaw!$H33</f>
        <v/>
      </c>
      <c r="G33" s="186" t="str">
        <f aca="false">ExportRaw!$I33</f>
        <v/>
      </c>
      <c r="H33" s="184" t="str">
        <f aca="false">ExportRaw!$A33</f>
        <v/>
      </c>
      <c r="I33" s="184" t="str">
        <f aca="false">ExportRaw!$B33</f>
        <v/>
      </c>
    </row>
    <row r="34" customFormat="false" ht="15.75" hidden="false" customHeight="false" outlineLevel="0" collapsed="false">
      <c r="A34" s="184" t="n">
        <f aca="false">ExportRaw!$F34</f>
        <v>0</v>
      </c>
      <c r="B34" s="184" t="n">
        <f aca="false">ExportRaw!$C34</f>
        <v>0</v>
      </c>
      <c r="C34" s="184" t="n">
        <f aca="false">ExportRaw!$G34</f>
        <v>0</v>
      </c>
      <c r="D34" s="184" t="str">
        <f aca="false">ExportRaw!$E34</f>
        <v/>
      </c>
      <c r="E34" s="185" t="str">
        <f aca="false">ExportRaw!$D34</f>
        <v/>
      </c>
      <c r="F34" s="184" t="str">
        <f aca="false">ExportRaw!$H34</f>
        <v/>
      </c>
      <c r="G34" s="186" t="str">
        <f aca="false">ExportRaw!$I34</f>
        <v/>
      </c>
      <c r="H34" s="184" t="str">
        <f aca="false">ExportRaw!$A34</f>
        <v/>
      </c>
      <c r="I34" s="184" t="str">
        <f aca="false">ExportRaw!$B34</f>
        <v/>
      </c>
    </row>
    <row r="35" customFormat="false" ht="15.75" hidden="false" customHeight="false" outlineLevel="0" collapsed="false">
      <c r="A35" s="184" t="n">
        <f aca="false">ExportRaw!$F35</f>
        <v>0</v>
      </c>
      <c r="B35" s="184" t="n">
        <f aca="false">ExportRaw!$C35</f>
        <v>0</v>
      </c>
      <c r="C35" s="184" t="n">
        <f aca="false">ExportRaw!$G35</f>
        <v>0</v>
      </c>
      <c r="D35" s="184" t="str">
        <f aca="false">ExportRaw!$E35</f>
        <v/>
      </c>
      <c r="E35" s="185" t="str">
        <f aca="false">ExportRaw!$D35</f>
        <v/>
      </c>
      <c r="F35" s="184" t="str">
        <f aca="false">ExportRaw!$H35</f>
        <v/>
      </c>
      <c r="G35" s="186" t="str">
        <f aca="false">ExportRaw!$I35</f>
        <v/>
      </c>
      <c r="H35" s="184" t="str">
        <f aca="false">ExportRaw!$A35</f>
        <v/>
      </c>
      <c r="I35" s="184" t="str">
        <f aca="false">ExportRaw!$B35</f>
        <v/>
      </c>
    </row>
    <row r="36" customFormat="false" ht="15.75" hidden="false" customHeight="false" outlineLevel="0" collapsed="false">
      <c r="A36" s="184" t="n">
        <f aca="false">ExportRaw!$F36</f>
        <v>0</v>
      </c>
      <c r="B36" s="184" t="n">
        <f aca="false">ExportRaw!$C36</f>
        <v>0</v>
      </c>
      <c r="C36" s="184" t="n">
        <f aca="false">ExportRaw!$G36</f>
        <v>0</v>
      </c>
      <c r="D36" s="184" t="str">
        <f aca="false">ExportRaw!$E36</f>
        <v/>
      </c>
      <c r="E36" s="185" t="str">
        <f aca="false">ExportRaw!$D36</f>
        <v/>
      </c>
      <c r="F36" s="184" t="str">
        <f aca="false">ExportRaw!$H36</f>
        <v/>
      </c>
      <c r="G36" s="186" t="str">
        <f aca="false">ExportRaw!$I36</f>
        <v/>
      </c>
      <c r="H36" s="184" t="str">
        <f aca="false">ExportRaw!$A36</f>
        <v/>
      </c>
      <c r="I36" s="184" t="str">
        <f aca="false">ExportRaw!$B36</f>
        <v/>
      </c>
    </row>
    <row r="37" customFormat="false" ht="15.75" hidden="false" customHeight="false" outlineLevel="0" collapsed="false">
      <c r="A37" s="184" t="n">
        <f aca="false">ExportRaw!$F37</f>
        <v>0</v>
      </c>
      <c r="B37" s="184" t="n">
        <f aca="false">ExportRaw!$C37</f>
        <v>0</v>
      </c>
      <c r="C37" s="184" t="n">
        <f aca="false">ExportRaw!$G37</f>
        <v>0</v>
      </c>
      <c r="D37" s="184" t="str">
        <f aca="false">ExportRaw!$E37</f>
        <v/>
      </c>
      <c r="E37" s="185" t="str">
        <f aca="false">ExportRaw!$D37</f>
        <v/>
      </c>
      <c r="F37" s="184" t="str">
        <f aca="false">ExportRaw!$H37</f>
        <v/>
      </c>
      <c r="G37" s="186" t="str">
        <f aca="false">ExportRaw!$I37</f>
        <v/>
      </c>
      <c r="H37" s="184" t="str">
        <f aca="false">ExportRaw!$A37</f>
        <v/>
      </c>
      <c r="I37" s="184" t="str">
        <f aca="false">ExportRaw!$B37</f>
        <v/>
      </c>
    </row>
    <row r="38" customFormat="false" ht="15.75" hidden="false" customHeight="false" outlineLevel="0" collapsed="false">
      <c r="A38" s="184" t="n">
        <f aca="false">ExportRaw!$F38</f>
        <v>0</v>
      </c>
      <c r="B38" s="184" t="n">
        <f aca="false">ExportRaw!$C38</f>
        <v>0</v>
      </c>
      <c r="C38" s="184" t="n">
        <f aca="false">ExportRaw!$G38</f>
        <v>0</v>
      </c>
      <c r="D38" s="184" t="str">
        <f aca="false">ExportRaw!$E38</f>
        <v/>
      </c>
      <c r="E38" s="185" t="str">
        <f aca="false">ExportRaw!$D38</f>
        <v/>
      </c>
      <c r="F38" s="184" t="str">
        <f aca="false">ExportRaw!$H38</f>
        <v/>
      </c>
      <c r="G38" s="186" t="str">
        <f aca="false">ExportRaw!$I38</f>
        <v/>
      </c>
      <c r="H38" s="184" t="str">
        <f aca="false">ExportRaw!$A38</f>
        <v/>
      </c>
      <c r="I38" s="184" t="str">
        <f aca="false">ExportRaw!$B38</f>
        <v/>
      </c>
    </row>
    <row r="39" customFormat="false" ht="15.75" hidden="false" customHeight="false" outlineLevel="0" collapsed="false">
      <c r="A39" s="184" t="n">
        <f aca="false">ExportRaw!$F39</f>
        <v>0</v>
      </c>
      <c r="B39" s="184" t="n">
        <f aca="false">ExportRaw!$C39</f>
        <v>0</v>
      </c>
      <c r="C39" s="184" t="n">
        <f aca="false">ExportRaw!$G39</f>
        <v>0</v>
      </c>
      <c r="D39" s="184" t="str">
        <f aca="false">ExportRaw!$E39</f>
        <v/>
      </c>
      <c r="E39" s="185" t="str">
        <f aca="false">ExportRaw!$D39</f>
        <v/>
      </c>
      <c r="F39" s="184" t="str">
        <f aca="false">ExportRaw!$H39</f>
        <v/>
      </c>
      <c r="G39" s="186" t="str">
        <f aca="false">ExportRaw!$I39</f>
        <v/>
      </c>
      <c r="H39" s="184" t="str">
        <f aca="false">ExportRaw!$A39</f>
        <v/>
      </c>
      <c r="I39" s="184" t="str">
        <f aca="false">ExportRaw!$B39</f>
        <v/>
      </c>
    </row>
    <row r="40" customFormat="false" ht="15.75" hidden="false" customHeight="false" outlineLevel="0" collapsed="false">
      <c r="A40" s="184" t="n">
        <f aca="false">ExportRaw!$F40</f>
        <v>0</v>
      </c>
      <c r="B40" s="184" t="n">
        <f aca="false">ExportRaw!$C40</f>
        <v>0</v>
      </c>
      <c r="C40" s="184" t="n">
        <f aca="false">ExportRaw!$G40</f>
        <v>0</v>
      </c>
      <c r="D40" s="184" t="str">
        <f aca="false">ExportRaw!$E40</f>
        <v/>
      </c>
      <c r="E40" s="185" t="str">
        <f aca="false">ExportRaw!$D40</f>
        <v/>
      </c>
      <c r="F40" s="184" t="str">
        <f aca="false">ExportRaw!$H40</f>
        <v/>
      </c>
      <c r="G40" s="186" t="str">
        <f aca="false">ExportRaw!$I40</f>
        <v/>
      </c>
      <c r="H40" s="184" t="str">
        <f aca="false">ExportRaw!$A40</f>
        <v/>
      </c>
      <c r="I40" s="184" t="str">
        <f aca="false">ExportRaw!$B40</f>
        <v/>
      </c>
    </row>
    <row r="41" customFormat="false" ht="15.75" hidden="false" customHeight="false" outlineLevel="0" collapsed="false">
      <c r="A41" s="184" t="n">
        <f aca="false">ExportRaw!$F41</f>
        <v>0</v>
      </c>
      <c r="B41" s="184" t="n">
        <f aca="false">ExportRaw!$C41</f>
        <v>0</v>
      </c>
      <c r="C41" s="184" t="n">
        <f aca="false">ExportRaw!$G41</f>
        <v>0</v>
      </c>
      <c r="D41" s="184" t="str">
        <f aca="false">ExportRaw!$E41</f>
        <v/>
      </c>
      <c r="E41" s="185" t="str">
        <f aca="false">ExportRaw!$D41</f>
        <v/>
      </c>
      <c r="F41" s="184" t="str">
        <f aca="false">ExportRaw!$H41</f>
        <v/>
      </c>
      <c r="G41" s="186" t="str">
        <f aca="false">ExportRaw!$I41</f>
        <v/>
      </c>
      <c r="H41" s="184" t="str">
        <f aca="false">ExportRaw!$A41</f>
        <v/>
      </c>
      <c r="I41" s="184" t="str">
        <f aca="false">ExportRaw!$B41</f>
        <v/>
      </c>
    </row>
    <row r="42" customFormat="false" ht="15.75" hidden="false" customHeight="false" outlineLevel="0" collapsed="false">
      <c r="A42" s="184" t="n">
        <f aca="false">ExportRaw!$F42</f>
        <v>0</v>
      </c>
      <c r="B42" s="184" t="n">
        <f aca="false">ExportRaw!$C42</f>
        <v>0</v>
      </c>
      <c r="C42" s="184" t="n">
        <f aca="false">ExportRaw!$G42</f>
        <v>0</v>
      </c>
      <c r="D42" s="184" t="str">
        <f aca="false">ExportRaw!$E42</f>
        <v/>
      </c>
      <c r="E42" s="185" t="str">
        <f aca="false">ExportRaw!$D42</f>
        <v/>
      </c>
      <c r="F42" s="184" t="str">
        <f aca="false">ExportRaw!$H42</f>
        <v/>
      </c>
      <c r="G42" s="186" t="str">
        <f aca="false">ExportRaw!$I42</f>
        <v/>
      </c>
      <c r="H42" s="184" t="str">
        <f aca="false">ExportRaw!$A42</f>
        <v/>
      </c>
      <c r="I42" s="184" t="str">
        <f aca="false">ExportRaw!$B42</f>
        <v/>
      </c>
    </row>
    <row r="43" customFormat="false" ht="15.75" hidden="false" customHeight="false" outlineLevel="0" collapsed="false">
      <c r="A43" s="184" t="n">
        <f aca="false">ExportRaw!$F43</f>
        <v>0</v>
      </c>
      <c r="B43" s="184" t="n">
        <f aca="false">ExportRaw!$C43</f>
        <v>0</v>
      </c>
      <c r="C43" s="184" t="n">
        <f aca="false">ExportRaw!$G43</f>
        <v>0</v>
      </c>
      <c r="D43" s="184" t="str">
        <f aca="false">ExportRaw!$E43</f>
        <v/>
      </c>
      <c r="E43" s="185" t="str">
        <f aca="false">ExportRaw!$D43</f>
        <v/>
      </c>
      <c r="F43" s="184" t="str">
        <f aca="false">ExportRaw!$H43</f>
        <v/>
      </c>
      <c r="G43" s="186" t="str">
        <f aca="false">ExportRaw!$I43</f>
        <v/>
      </c>
      <c r="H43" s="184" t="str">
        <f aca="false">ExportRaw!$A43</f>
        <v/>
      </c>
      <c r="I43" s="184" t="str">
        <f aca="false">ExportRaw!$B43</f>
        <v/>
      </c>
    </row>
    <row r="44" customFormat="false" ht="15.75" hidden="false" customHeight="false" outlineLevel="0" collapsed="false">
      <c r="A44" s="184" t="n">
        <f aca="false">ExportRaw!$F44</f>
        <v>0</v>
      </c>
      <c r="B44" s="184" t="n">
        <f aca="false">ExportRaw!$C44</f>
        <v>0</v>
      </c>
      <c r="C44" s="184" t="n">
        <f aca="false">ExportRaw!$G44</f>
        <v>0</v>
      </c>
      <c r="D44" s="184" t="str">
        <f aca="false">ExportRaw!$E44</f>
        <v/>
      </c>
      <c r="E44" s="185" t="str">
        <f aca="false">ExportRaw!$D44</f>
        <v/>
      </c>
      <c r="F44" s="184" t="str">
        <f aca="false">ExportRaw!$H44</f>
        <v/>
      </c>
      <c r="G44" s="186" t="str">
        <f aca="false">ExportRaw!$I44</f>
        <v/>
      </c>
      <c r="H44" s="184" t="str">
        <f aca="false">ExportRaw!$A44</f>
        <v/>
      </c>
      <c r="I44" s="184" t="str">
        <f aca="false">ExportRaw!$B44</f>
        <v/>
      </c>
    </row>
    <row r="45" customFormat="false" ht="15.75" hidden="false" customHeight="false" outlineLevel="0" collapsed="false">
      <c r="A45" s="184" t="n">
        <f aca="false">ExportRaw!$F45</f>
        <v>0</v>
      </c>
      <c r="B45" s="184" t="n">
        <f aca="false">ExportRaw!$C45</f>
        <v>0</v>
      </c>
      <c r="C45" s="184" t="n">
        <f aca="false">ExportRaw!$G45</f>
        <v>0</v>
      </c>
      <c r="D45" s="184" t="str">
        <f aca="false">ExportRaw!$E45</f>
        <v/>
      </c>
      <c r="E45" s="185" t="str">
        <f aca="false">ExportRaw!$D45</f>
        <v/>
      </c>
      <c r="F45" s="184" t="str">
        <f aca="false">ExportRaw!$H45</f>
        <v/>
      </c>
      <c r="G45" s="186" t="str">
        <f aca="false">ExportRaw!$I45</f>
        <v/>
      </c>
      <c r="H45" s="184" t="str">
        <f aca="false">ExportRaw!$A45</f>
        <v/>
      </c>
      <c r="I45" s="184" t="str">
        <f aca="false">ExportRaw!$B45</f>
        <v/>
      </c>
    </row>
    <row r="46" customFormat="false" ht="15.75" hidden="false" customHeight="false" outlineLevel="0" collapsed="false">
      <c r="A46" s="184" t="n">
        <f aca="false">ExportRaw!$F46</f>
        <v>0</v>
      </c>
      <c r="B46" s="184" t="n">
        <f aca="false">ExportRaw!$C46</f>
        <v>0</v>
      </c>
      <c r="C46" s="184" t="n">
        <f aca="false">ExportRaw!$G46</f>
        <v>0</v>
      </c>
      <c r="D46" s="184" t="str">
        <f aca="false">ExportRaw!$E46</f>
        <v/>
      </c>
      <c r="E46" s="185" t="str">
        <f aca="false">ExportRaw!$D46</f>
        <v/>
      </c>
      <c r="F46" s="184" t="str">
        <f aca="false">ExportRaw!$H46</f>
        <v/>
      </c>
      <c r="G46" s="186" t="str">
        <f aca="false">ExportRaw!$I46</f>
        <v/>
      </c>
      <c r="H46" s="184" t="str">
        <f aca="false">ExportRaw!$A46</f>
        <v/>
      </c>
      <c r="I46" s="184" t="str">
        <f aca="false">ExportRaw!$B46</f>
        <v/>
      </c>
    </row>
    <row r="47" customFormat="false" ht="15.75" hidden="false" customHeight="false" outlineLevel="0" collapsed="false">
      <c r="A47" s="184" t="n">
        <f aca="false">ExportRaw!$F47</f>
        <v>0</v>
      </c>
      <c r="B47" s="184" t="n">
        <f aca="false">ExportRaw!$C47</f>
        <v>0</v>
      </c>
      <c r="C47" s="184" t="n">
        <f aca="false">ExportRaw!$G47</f>
        <v>0</v>
      </c>
      <c r="D47" s="184" t="str">
        <f aca="false">ExportRaw!$E47</f>
        <v/>
      </c>
      <c r="E47" s="185" t="str">
        <f aca="false">ExportRaw!$D47</f>
        <v/>
      </c>
      <c r="F47" s="184" t="str">
        <f aca="false">ExportRaw!$H47</f>
        <v/>
      </c>
      <c r="G47" s="186" t="str">
        <f aca="false">ExportRaw!$I47</f>
        <v/>
      </c>
      <c r="H47" s="184" t="str">
        <f aca="false">ExportRaw!$A47</f>
        <v/>
      </c>
      <c r="I47" s="184" t="str">
        <f aca="false">ExportRaw!$B47</f>
        <v/>
      </c>
    </row>
    <row r="48" customFormat="false" ht="15.75" hidden="false" customHeight="false" outlineLevel="0" collapsed="false">
      <c r="A48" s="184" t="n">
        <f aca="false">ExportRaw!$F48</f>
        <v>0</v>
      </c>
      <c r="B48" s="184" t="n">
        <f aca="false">ExportRaw!$C48</f>
        <v>0</v>
      </c>
      <c r="C48" s="184" t="n">
        <f aca="false">ExportRaw!$G48</f>
        <v>0</v>
      </c>
      <c r="D48" s="184" t="str">
        <f aca="false">ExportRaw!$E48</f>
        <v/>
      </c>
      <c r="E48" s="185" t="str">
        <f aca="false">ExportRaw!$D48</f>
        <v/>
      </c>
      <c r="F48" s="184" t="str">
        <f aca="false">ExportRaw!$H48</f>
        <v/>
      </c>
      <c r="G48" s="186" t="str">
        <f aca="false">ExportRaw!$I48</f>
        <v/>
      </c>
      <c r="H48" s="184" t="str">
        <f aca="false">ExportRaw!$A48</f>
        <v/>
      </c>
      <c r="I48" s="184" t="str">
        <f aca="false">ExportRaw!$B48</f>
        <v/>
      </c>
    </row>
    <row r="49" customFormat="false" ht="15.75" hidden="false" customHeight="false" outlineLevel="0" collapsed="false">
      <c r="A49" s="184" t="n">
        <f aca="false">ExportRaw!$F49</f>
        <v>0</v>
      </c>
      <c r="B49" s="184" t="n">
        <f aca="false">ExportRaw!$C49</f>
        <v>0</v>
      </c>
      <c r="C49" s="184" t="n">
        <f aca="false">ExportRaw!$G49</f>
        <v>0</v>
      </c>
      <c r="D49" s="184" t="str">
        <f aca="false">ExportRaw!$E49</f>
        <v/>
      </c>
      <c r="E49" s="185" t="str">
        <f aca="false">ExportRaw!$D49</f>
        <v/>
      </c>
      <c r="F49" s="184" t="str">
        <f aca="false">ExportRaw!$H49</f>
        <v/>
      </c>
      <c r="G49" s="186" t="str">
        <f aca="false">ExportRaw!$I49</f>
        <v/>
      </c>
      <c r="H49" s="184" t="str">
        <f aca="false">ExportRaw!$A49</f>
        <v/>
      </c>
      <c r="I49" s="184" t="str">
        <f aca="false">ExportRaw!$B49</f>
        <v/>
      </c>
    </row>
    <row r="50" customFormat="false" ht="15.75" hidden="false" customHeight="false" outlineLevel="0" collapsed="false">
      <c r="A50" s="184" t="n">
        <f aca="false">ExportRaw!$F50</f>
        <v>0</v>
      </c>
      <c r="B50" s="184" t="n">
        <f aca="false">ExportRaw!$C50</f>
        <v>0</v>
      </c>
      <c r="C50" s="184" t="n">
        <f aca="false">ExportRaw!$G50</f>
        <v>0</v>
      </c>
      <c r="D50" s="184" t="str">
        <f aca="false">ExportRaw!$E50</f>
        <v/>
      </c>
      <c r="E50" s="185" t="str">
        <f aca="false">ExportRaw!$D50</f>
        <v/>
      </c>
      <c r="F50" s="184" t="str">
        <f aca="false">ExportRaw!$H50</f>
        <v/>
      </c>
      <c r="G50" s="186" t="str">
        <f aca="false">ExportRaw!$I50</f>
        <v/>
      </c>
      <c r="H50" s="184" t="str">
        <f aca="false">ExportRaw!$A50</f>
        <v/>
      </c>
      <c r="I50" s="184" t="str">
        <f aca="false">ExportRaw!$B50</f>
        <v/>
      </c>
    </row>
    <row r="51" customFormat="false" ht="15.75" hidden="false" customHeight="false" outlineLevel="0" collapsed="false">
      <c r="A51" s="184" t="n">
        <f aca="false">ExportRaw!$F51</f>
        <v>0</v>
      </c>
      <c r="B51" s="184" t="n">
        <f aca="false">ExportRaw!$C51</f>
        <v>0</v>
      </c>
      <c r="C51" s="184" t="n">
        <f aca="false">ExportRaw!$G51</f>
        <v>0</v>
      </c>
      <c r="D51" s="184" t="str">
        <f aca="false">ExportRaw!$E51</f>
        <v/>
      </c>
      <c r="E51" s="185" t="str">
        <f aca="false">ExportRaw!$D51</f>
        <v/>
      </c>
      <c r="F51" s="184" t="str">
        <f aca="false">ExportRaw!$H51</f>
        <v/>
      </c>
      <c r="G51" s="186" t="str">
        <f aca="false">ExportRaw!$I51</f>
        <v/>
      </c>
      <c r="H51" s="184" t="str">
        <f aca="false">ExportRaw!$A51</f>
        <v/>
      </c>
      <c r="I51" s="184" t="str">
        <f aca="false">ExportRaw!$B51</f>
        <v/>
      </c>
    </row>
    <row r="52" customFormat="false" ht="15.75" hidden="false" customHeight="false" outlineLevel="0" collapsed="false">
      <c r="A52" s="184" t="n">
        <f aca="false">ExportRaw!$F52</f>
        <v>0</v>
      </c>
      <c r="B52" s="184" t="n">
        <f aca="false">ExportRaw!$C52</f>
        <v>0</v>
      </c>
      <c r="C52" s="184" t="n">
        <f aca="false">ExportRaw!$G52</f>
        <v>0</v>
      </c>
      <c r="D52" s="184" t="str">
        <f aca="false">ExportRaw!$E52</f>
        <v/>
      </c>
      <c r="E52" s="185" t="str">
        <f aca="false">ExportRaw!$D52</f>
        <v/>
      </c>
      <c r="F52" s="184" t="str">
        <f aca="false">ExportRaw!$H52</f>
        <v/>
      </c>
      <c r="G52" s="186" t="str">
        <f aca="false">ExportRaw!$I52</f>
        <v/>
      </c>
      <c r="H52" s="184" t="str">
        <f aca="false">ExportRaw!$A52</f>
        <v/>
      </c>
      <c r="I52" s="184" t="str">
        <f aca="false">ExportRaw!$B52</f>
        <v/>
      </c>
    </row>
    <row r="53" customFormat="false" ht="15.75" hidden="false" customHeight="false" outlineLevel="0" collapsed="false">
      <c r="A53" s="184" t="n">
        <f aca="false">ExportRaw!$F53</f>
        <v>0</v>
      </c>
      <c r="B53" s="184" t="n">
        <f aca="false">ExportRaw!$C53</f>
        <v>0</v>
      </c>
      <c r="C53" s="184" t="n">
        <f aca="false">ExportRaw!$G53</f>
        <v>0</v>
      </c>
      <c r="D53" s="184" t="str">
        <f aca="false">ExportRaw!$E53</f>
        <v/>
      </c>
      <c r="E53" s="185" t="str">
        <f aca="false">ExportRaw!$D53</f>
        <v/>
      </c>
      <c r="F53" s="184" t="str">
        <f aca="false">ExportRaw!$H53</f>
        <v/>
      </c>
      <c r="G53" s="186" t="str">
        <f aca="false">ExportRaw!$I53</f>
        <v/>
      </c>
      <c r="H53" s="184" t="str">
        <f aca="false">ExportRaw!$A53</f>
        <v/>
      </c>
      <c r="I53" s="184" t="str">
        <f aca="false">ExportRaw!$B53</f>
        <v/>
      </c>
    </row>
    <row r="54" customFormat="false" ht="15.75" hidden="false" customHeight="false" outlineLevel="0" collapsed="false">
      <c r="A54" s="184" t="n">
        <f aca="false">ExportRaw!$F54</f>
        <v>0</v>
      </c>
      <c r="B54" s="184" t="n">
        <f aca="false">ExportRaw!$C54</f>
        <v>0</v>
      </c>
      <c r="C54" s="184" t="n">
        <f aca="false">ExportRaw!$G54</f>
        <v>0</v>
      </c>
      <c r="D54" s="184" t="str">
        <f aca="false">ExportRaw!$E54</f>
        <v/>
      </c>
      <c r="E54" s="185" t="str">
        <f aca="false">ExportRaw!$D54</f>
        <v/>
      </c>
      <c r="F54" s="184" t="str">
        <f aca="false">ExportRaw!$H54</f>
        <v/>
      </c>
      <c r="G54" s="186" t="str">
        <f aca="false">ExportRaw!$I54</f>
        <v/>
      </c>
      <c r="H54" s="184" t="str">
        <f aca="false">ExportRaw!$A54</f>
        <v/>
      </c>
      <c r="I54" s="184" t="str">
        <f aca="false">ExportRaw!$B54</f>
        <v/>
      </c>
    </row>
    <row r="55" customFormat="false" ht="15.75" hidden="false" customHeight="false" outlineLevel="0" collapsed="false">
      <c r="A55" s="184" t="n">
        <f aca="false">ExportRaw!$F55</f>
        <v>0</v>
      </c>
      <c r="B55" s="184" t="n">
        <f aca="false">ExportRaw!$C55</f>
        <v>0</v>
      </c>
      <c r="C55" s="184" t="n">
        <f aca="false">ExportRaw!$G55</f>
        <v>0</v>
      </c>
      <c r="D55" s="184" t="str">
        <f aca="false">ExportRaw!$E55</f>
        <v/>
      </c>
      <c r="E55" s="185" t="str">
        <f aca="false">ExportRaw!$D55</f>
        <v/>
      </c>
      <c r="F55" s="184" t="str">
        <f aca="false">ExportRaw!$H55</f>
        <v/>
      </c>
      <c r="G55" s="186" t="str">
        <f aca="false">ExportRaw!$I55</f>
        <v/>
      </c>
      <c r="H55" s="184" t="str">
        <f aca="false">ExportRaw!$A55</f>
        <v/>
      </c>
      <c r="I55" s="184" t="str">
        <f aca="false">ExportRaw!$B55</f>
        <v/>
      </c>
    </row>
    <row r="56" customFormat="false" ht="15.75" hidden="false" customHeight="false" outlineLevel="0" collapsed="false">
      <c r="A56" s="184" t="n">
        <f aca="false">ExportRaw!$F56</f>
        <v>0</v>
      </c>
      <c r="B56" s="184" t="n">
        <f aca="false">ExportRaw!$C56</f>
        <v>0</v>
      </c>
      <c r="C56" s="184" t="n">
        <f aca="false">ExportRaw!$G56</f>
        <v>0</v>
      </c>
      <c r="D56" s="184" t="str">
        <f aca="false">ExportRaw!$E56</f>
        <v/>
      </c>
      <c r="E56" s="185" t="str">
        <f aca="false">ExportRaw!$D56</f>
        <v/>
      </c>
      <c r="F56" s="184" t="str">
        <f aca="false">ExportRaw!$H56</f>
        <v/>
      </c>
      <c r="G56" s="186" t="str">
        <f aca="false">ExportRaw!$I56</f>
        <v/>
      </c>
      <c r="H56" s="184" t="str">
        <f aca="false">ExportRaw!$A56</f>
        <v/>
      </c>
      <c r="I56" s="184" t="str">
        <f aca="false">ExportRaw!$B56</f>
        <v/>
      </c>
    </row>
    <row r="57" customFormat="false" ht="15.75" hidden="false" customHeight="false" outlineLevel="0" collapsed="false">
      <c r="A57" s="184" t="n">
        <f aca="false">ExportRaw!$F57</f>
        <v>0</v>
      </c>
      <c r="B57" s="184" t="n">
        <f aca="false">ExportRaw!$C57</f>
        <v>0</v>
      </c>
      <c r="C57" s="184" t="n">
        <f aca="false">ExportRaw!$G57</f>
        <v>0</v>
      </c>
      <c r="D57" s="184" t="str">
        <f aca="false">ExportRaw!$E57</f>
        <v/>
      </c>
      <c r="E57" s="185" t="str">
        <f aca="false">ExportRaw!$D57</f>
        <v/>
      </c>
      <c r="F57" s="184" t="str">
        <f aca="false">ExportRaw!$H57</f>
        <v/>
      </c>
      <c r="G57" s="186" t="str">
        <f aca="false">ExportRaw!$I57</f>
        <v/>
      </c>
      <c r="H57" s="184" t="str">
        <f aca="false">ExportRaw!$A57</f>
        <v/>
      </c>
      <c r="I57" s="184" t="str">
        <f aca="false">ExportRaw!$B57</f>
        <v/>
      </c>
    </row>
    <row r="58" customFormat="false" ht="15.75" hidden="false" customHeight="false" outlineLevel="0" collapsed="false">
      <c r="A58" s="184" t="n">
        <f aca="false">ExportRaw!$F58</f>
        <v>0</v>
      </c>
      <c r="B58" s="184" t="n">
        <f aca="false">ExportRaw!$C58</f>
        <v>0</v>
      </c>
      <c r="C58" s="184" t="n">
        <f aca="false">ExportRaw!$G58</f>
        <v>0</v>
      </c>
      <c r="D58" s="184" t="str">
        <f aca="false">ExportRaw!$E58</f>
        <v/>
      </c>
      <c r="E58" s="185" t="str">
        <f aca="false">ExportRaw!$D58</f>
        <v/>
      </c>
      <c r="F58" s="184" t="str">
        <f aca="false">ExportRaw!$H58</f>
        <v/>
      </c>
      <c r="G58" s="186" t="str">
        <f aca="false">ExportRaw!$I58</f>
        <v/>
      </c>
      <c r="H58" s="184" t="str">
        <f aca="false">ExportRaw!$A58</f>
        <v/>
      </c>
      <c r="I58" s="184" t="str">
        <f aca="false">ExportRaw!$B58</f>
        <v/>
      </c>
    </row>
    <row r="59" customFormat="false" ht="15.75" hidden="false" customHeight="false" outlineLevel="0" collapsed="false">
      <c r="A59" s="184" t="n">
        <f aca="false">ExportRaw!$F59</f>
        <v>0</v>
      </c>
      <c r="B59" s="184" t="n">
        <f aca="false">ExportRaw!$C59</f>
        <v>0</v>
      </c>
      <c r="C59" s="184" t="n">
        <f aca="false">ExportRaw!$G59</f>
        <v>0</v>
      </c>
      <c r="D59" s="184" t="str">
        <f aca="false">ExportRaw!$E59</f>
        <v/>
      </c>
      <c r="E59" s="185" t="str">
        <f aca="false">ExportRaw!$D59</f>
        <v/>
      </c>
      <c r="F59" s="184" t="str">
        <f aca="false">ExportRaw!$H59</f>
        <v/>
      </c>
      <c r="G59" s="186" t="str">
        <f aca="false">ExportRaw!$I59</f>
        <v/>
      </c>
      <c r="H59" s="184" t="str">
        <f aca="false">ExportRaw!$A59</f>
        <v/>
      </c>
      <c r="I59" s="184" t="str">
        <f aca="false">ExportRaw!$B59</f>
        <v/>
      </c>
    </row>
    <row r="60" customFormat="false" ht="15.75" hidden="false" customHeight="false" outlineLevel="0" collapsed="false">
      <c r="A60" s="184" t="n">
        <f aca="false">ExportRaw!$F60</f>
        <v>0</v>
      </c>
      <c r="B60" s="184" t="n">
        <f aca="false">ExportRaw!$C60</f>
        <v>0</v>
      </c>
      <c r="C60" s="184" t="n">
        <f aca="false">ExportRaw!$G60</f>
        <v>0</v>
      </c>
      <c r="D60" s="184" t="str">
        <f aca="false">ExportRaw!$E60</f>
        <v/>
      </c>
      <c r="E60" s="185" t="str">
        <f aca="false">ExportRaw!$D60</f>
        <v/>
      </c>
      <c r="F60" s="184" t="str">
        <f aca="false">ExportRaw!$H60</f>
        <v/>
      </c>
      <c r="G60" s="186" t="str">
        <f aca="false">ExportRaw!$I60</f>
        <v/>
      </c>
      <c r="H60" s="184" t="str">
        <f aca="false">ExportRaw!$A60</f>
        <v/>
      </c>
      <c r="I60" s="184" t="str">
        <f aca="false">ExportRaw!$B60</f>
        <v/>
      </c>
    </row>
    <row r="61" customFormat="false" ht="15.75" hidden="false" customHeight="false" outlineLevel="0" collapsed="false">
      <c r="A61" s="184" t="n">
        <f aca="false">ExportRaw!$F61</f>
        <v>0</v>
      </c>
      <c r="B61" s="184" t="n">
        <f aca="false">ExportRaw!$C61</f>
        <v>0</v>
      </c>
      <c r="C61" s="184" t="n">
        <f aca="false">ExportRaw!$G61</f>
        <v>0</v>
      </c>
      <c r="D61" s="184" t="str">
        <f aca="false">ExportRaw!$E61</f>
        <v/>
      </c>
      <c r="E61" s="185" t="str">
        <f aca="false">ExportRaw!$D61</f>
        <v/>
      </c>
      <c r="F61" s="184" t="str">
        <f aca="false">ExportRaw!$H61</f>
        <v/>
      </c>
      <c r="G61" s="186" t="str">
        <f aca="false">ExportRaw!$I61</f>
        <v/>
      </c>
      <c r="H61" s="184" t="str">
        <f aca="false">ExportRaw!$A61</f>
        <v/>
      </c>
      <c r="I61" s="184" t="str">
        <f aca="false">ExportRaw!$B61</f>
        <v/>
      </c>
    </row>
    <row r="62" customFormat="false" ht="15.75" hidden="false" customHeight="false" outlineLevel="0" collapsed="false">
      <c r="A62" s="184" t="n">
        <f aca="false">ExportRaw!$F62</f>
        <v>0</v>
      </c>
      <c r="B62" s="184" t="n">
        <f aca="false">ExportRaw!$C62</f>
        <v>0</v>
      </c>
      <c r="C62" s="184" t="n">
        <f aca="false">ExportRaw!$G62</f>
        <v>0</v>
      </c>
      <c r="D62" s="184" t="str">
        <f aca="false">ExportRaw!$E62</f>
        <v/>
      </c>
      <c r="E62" s="185" t="str">
        <f aca="false">ExportRaw!$D62</f>
        <v/>
      </c>
      <c r="F62" s="184" t="str">
        <f aca="false">ExportRaw!$H62</f>
        <v/>
      </c>
      <c r="G62" s="186" t="str">
        <f aca="false">ExportRaw!$I62</f>
        <v/>
      </c>
      <c r="H62" s="184" t="str">
        <f aca="false">ExportRaw!$A62</f>
        <v/>
      </c>
      <c r="I62" s="184" t="str">
        <f aca="false">ExportRaw!$B62</f>
        <v/>
      </c>
    </row>
    <row r="63" customFormat="false" ht="15.75" hidden="false" customHeight="false" outlineLevel="0" collapsed="false">
      <c r="A63" s="184" t="n">
        <f aca="false">ExportRaw!$F63</f>
        <v>0</v>
      </c>
      <c r="B63" s="184" t="n">
        <f aca="false">ExportRaw!$C63</f>
        <v>0</v>
      </c>
      <c r="C63" s="184" t="n">
        <f aca="false">ExportRaw!$G63</f>
        <v>0</v>
      </c>
      <c r="D63" s="184" t="str">
        <f aca="false">ExportRaw!$E63</f>
        <v/>
      </c>
      <c r="E63" s="185" t="str">
        <f aca="false">ExportRaw!$D63</f>
        <v/>
      </c>
      <c r="F63" s="184" t="str">
        <f aca="false">ExportRaw!$H63</f>
        <v/>
      </c>
      <c r="G63" s="186" t="str">
        <f aca="false">ExportRaw!$I63</f>
        <v/>
      </c>
      <c r="H63" s="184" t="str">
        <f aca="false">ExportRaw!$A63</f>
        <v/>
      </c>
      <c r="I63" s="184" t="str">
        <f aca="false">ExportRaw!$B63</f>
        <v/>
      </c>
    </row>
    <row r="64" customFormat="false" ht="15.75" hidden="false" customHeight="false" outlineLevel="0" collapsed="false">
      <c r="A64" s="184" t="n">
        <f aca="false">ExportRaw!$F64</f>
        <v>0</v>
      </c>
      <c r="B64" s="184" t="n">
        <f aca="false">ExportRaw!$C64</f>
        <v>0</v>
      </c>
      <c r="C64" s="184" t="n">
        <f aca="false">ExportRaw!$G64</f>
        <v>0</v>
      </c>
      <c r="D64" s="184" t="str">
        <f aca="false">ExportRaw!$E64</f>
        <v/>
      </c>
      <c r="E64" s="185" t="str">
        <f aca="false">ExportRaw!$D64</f>
        <v/>
      </c>
      <c r="F64" s="184" t="str">
        <f aca="false">ExportRaw!$H64</f>
        <v/>
      </c>
      <c r="G64" s="186" t="str">
        <f aca="false">ExportRaw!$I64</f>
        <v/>
      </c>
      <c r="H64" s="184" t="str">
        <f aca="false">ExportRaw!$A64</f>
        <v/>
      </c>
      <c r="I64" s="184" t="str">
        <f aca="false">ExportRaw!$B64</f>
        <v/>
      </c>
    </row>
    <row r="65" customFormat="false" ht="15.75" hidden="false" customHeight="false" outlineLevel="0" collapsed="false">
      <c r="A65" s="184" t="n">
        <f aca="false">ExportRaw!$F65</f>
        <v>0</v>
      </c>
      <c r="B65" s="184" t="n">
        <f aca="false">ExportRaw!$C65</f>
        <v>0</v>
      </c>
      <c r="C65" s="184" t="n">
        <f aca="false">ExportRaw!$G65</f>
        <v>0</v>
      </c>
      <c r="D65" s="184" t="str">
        <f aca="false">ExportRaw!$E65</f>
        <v/>
      </c>
      <c r="E65" s="185" t="str">
        <f aca="false">ExportRaw!$D65</f>
        <v/>
      </c>
      <c r="F65" s="184" t="str">
        <f aca="false">ExportRaw!$H65</f>
        <v/>
      </c>
      <c r="G65" s="186" t="str">
        <f aca="false">ExportRaw!$I65</f>
        <v/>
      </c>
      <c r="H65" s="184" t="str">
        <f aca="false">ExportRaw!$A65</f>
        <v/>
      </c>
      <c r="I65" s="184" t="str">
        <f aca="false">ExportRaw!$B65</f>
        <v/>
      </c>
    </row>
    <row r="66" customFormat="false" ht="15.75" hidden="false" customHeight="false" outlineLevel="0" collapsed="false">
      <c r="A66" s="184" t="n">
        <f aca="false">ExportRaw!$F66</f>
        <v>0</v>
      </c>
      <c r="B66" s="184" t="n">
        <f aca="false">ExportRaw!$C66</f>
        <v>0</v>
      </c>
      <c r="C66" s="184" t="n">
        <f aca="false">ExportRaw!$G66</f>
        <v>0</v>
      </c>
      <c r="D66" s="184" t="str">
        <f aca="false">ExportRaw!$E66</f>
        <v/>
      </c>
      <c r="E66" s="185" t="str">
        <f aca="false">ExportRaw!$D66</f>
        <v/>
      </c>
      <c r="F66" s="184" t="str">
        <f aca="false">ExportRaw!$H66</f>
        <v/>
      </c>
      <c r="G66" s="186" t="str">
        <f aca="false">ExportRaw!$I66</f>
        <v/>
      </c>
      <c r="H66" s="184" t="str">
        <f aca="false">ExportRaw!$A66</f>
        <v/>
      </c>
      <c r="I66" s="184" t="str">
        <f aca="false">ExportRaw!$B66</f>
        <v/>
      </c>
    </row>
    <row r="67" customFormat="false" ht="15.75" hidden="false" customHeight="false" outlineLevel="0" collapsed="false">
      <c r="A67" s="184" t="n">
        <f aca="false">ExportRaw!$F67</f>
        <v>0</v>
      </c>
      <c r="B67" s="184" t="n">
        <f aca="false">ExportRaw!$C67</f>
        <v>0</v>
      </c>
      <c r="C67" s="184" t="n">
        <f aca="false">ExportRaw!$G67</f>
        <v>0</v>
      </c>
      <c r="D67" s="184" t="str">
        <f aca="false">ExportRaw!$E67</f>
        <v/>
      </c>
      <c r="E67" s="185" t="str">
        <f aca="false">ExportRaw!$D67</f>
        <v/>
      </c>
      <c r="F67" s="184" t="str">
        <f aca="false">ExportRaw!$H67</f>
        <v/>
      </c>
      <c r="G67" s="186" t="str">
        <f aca="false">ExportRaw!$I67</f>
        <v/>
      </c>
      <c r="H67" s="184" t="str">
        <f aca="false">ExportRaw!$A67</f>
        <v/>
      </c>
      <c r="I67" s="184" t="str">
        <f aca="false">ExportRaw!$B67</f>
        <v/>
      </c>
    </row>
    <row r="68" customFormat="false" ht="15.75" hidden="false" customHeight="false" outlineLevel="0" collapsed="false">
      <c r="A68" s="184" t="n">
        <f aca="false">ExportRaw!$F68</f>
        <v>0</v>
      </c>
      <c r="B68" s="184" t="n">
        <f aca="false">ExportRaw!$C68</f>
        <v>0</v>
      </c>
      <c r="C68" s="184" t="n">
        <f aca="false">ExportRaw!$G68</f>
        <v>0</v>
      </c>
      <c r="D68" s="184" t="str">
        <f aca="false">ExportRaw!$E68</f>
        <v/>
      </c>
      <c r="E68" s="185" t="str">
        <f aca="false">ExportRaw!$D68</f>
        <v/>
      </c>
      <c r="F68" s="184" t="str">
        <f aca="false">ExportRaw!$H68</f>
        <v/>
      </c>
      <c r="G68" s="186" t="str">
        <f aca="false">ExportRaw!$I68</f>
        <v/>
      </c>
      <c r="H68" s="184" t="str">
        <f aca="false">ExportRaw!$A68</f>
        <v/>
      </c>
      <c r="I68" s="184" t="str">
        <f aca="false">ExportRaw!$B68</f>
        <v/>
      </c>
    </row>
    <row r="69" customFormat="false" ht="15.75" hidden="false" customHeight="false" outlineLevel="0" collapsed="false">
      <c r="A69" s="184" t="n">
        <f aca="false">ExportRaw!$F69</f>
        <v>0</v>
      </c>
      <c r="B69" s="184" t="n">
        <f aca="false">ExportRaw!$C69</f>
        <v>0</v>
      </c>
      <c r="C69" s="184" t="n">
        <f aca="false">ExportRaw!$G69</f>
        <v>0</v>
      </c>
      <c r="D69" s="184" t="str">
        <f aca="false">ExportRaw!$E69</f>
        <v/>
      </c>
      <c r="E69" s="185" t="str">
        <f aca="false">ExportRaw!$D69</f>
        <v/>
      </c>
      <c r="F69" s="184" t="str">
        <f aca="false">ExportRaw!$H69</f>
        <v/>
      </c>
      <c r="G69" s="186" t="str">
        <f aca="false">ExportRaw!$I69</f>
        <v/>
      </c>
      <c r="H69" s="184" t="str">
        <f aca="false">ExportRaw!$A69</f>
        <v/>
      </c>
      <c r="I69" s="184" t="str">
        <f aca="false">ExportRaw!$B69</f>
        <v/>
      </c>
    </row>
    <row r="70" customFormat="false" ht="15.75" hidden="false" customHeight="false" outlineLevel="0" collapsed="false">
      <c r="A70" s="184" t="n">
        <f aca="false">ExportRaw!$F70</f>
        <v>0</v>
      </c>
      <c r="B70" s="184" t="n">
        <f aca="false">ExportRaw!$C70</f>
        <v>0</v>
      </c>
      <c r="C70" s="184" t="n">
        <f aca="false">ExportRaw!$G70</f>
        <v>0</v>
      </c>
      <c r="D70" s="184" t="str">
        <f aca="false">ExportRaw!$E70</f>
        <v/>
      </c>
      <c r="E70" s="185" t="str">
        <f aca="false">ExportRaw!$D70</f>
        <v/>
      </c>
      <c r="F70" s="184" t="str">
        <f aca="false">ExportRaw!$H70</f>
        <v/>
      </c>
      <c r="G70" s="186" t="str">
        <f aca="false">ExportRaw!$I70</f>
        <v/>
      </c>
      <c r="H70" s="184" t="str">
        <f aca="false">ExportRaw!$A70</f>
        <v/>
      </c>
      <c r="I70" s="184" t="str">
        <f aca="false">ExportRaw!$B70</f>
        <v/>
      </c>
    </row>
    <row r="71" customFormat="false" ht="15.75" hidden="false" customHeight="false" outlineLevel="0" collapsed="false">
      <c r="A71" s="184" t="n">
        <f aca="false">ExportRaw!$F71</f>
        <v>0</v>
      </c>
      <c r="B71" s="184" t="n">
        <f aca="false">ExportRaw!$C71</f>
        <v>0</v>
      </c>
      <c r="C71" s="184" t="n">
        <f aca="false">ExportRaw!$G71</f>
        <v>0</v>
      </c>
      <c r="D71" s="184" t="str">
        <f aca="false">ExportRaw!$E71</f>
        <v/>
      </c>
      <c r="E71" s="185" t="str">
        <f aca="false">ExportRaw!$D71</f>
        <v/>
      </c>
      <c r="F71" s="184" t="str">
        <f aca="false">ExportRaw!$H71</f>
        <v/>
      </c>
      <c r="G71" s="186" t="str">
        <f aca="false">ExportRaw!$I71</f>
        <v/>
      </c>
      <c r="H71" s="184" t="str">
        <f aca="false">ExportRaw!$A71</f>
        <v/>
      </c>
      <c r="I71" s="184" t="str">
        <f aca="false">ExportRaw!$B71</f>
        <v/>
      </c>
    </row>
    <row r="72" customFormat="false" ht="15.75" hidden="false" customHeight="false" outlineLevel="0" collapsed="false">
      <c r="A72" s="184" t="n">
        <f aca="false">ExportRaw!$F72</f>
        <v>0</v>
      </c>
      <c r="B72" s="184" t="n">
        <f aca="false">ExportRaw!$C72</f>
        <v>0</v>
      </c>
      <c r="C72" s="184" t="n">
        <f aca="false">ExportRaw!$G72</f>
        <v>0</v>
      </c>
      <c r="D72" s="184" t="str">
        <f aca="false">ExportRaw!$E72</f>
        <v/>
      </c>
      <c r="E72" s="185" t="str">
        <f aca="false">ExportRaw!$D72</f>
        <v/>
      </c>
      <c r="F72" s="184" t="str">
        <f aca="false">ExportRaw!$H72</f>
        <v/>
      </c>
      <c r="G72" s="186" t="str">
        <f aca="false">ExportRaw!$I72</f>
        <v/>
      </c>
      <c r="H72" s="184" t="str">
        <f aca="false">ExportRaw!$A72</f>
        <v/>
      </c>
      <c r="I72" s="184" t="str">
        <f aca="false">ExportRaw!$B72</f>
        <v/>
      </c>
    </row>
    <row r="73" customFormat="false" ht="15.75" hidden="false" customHeight="false" outlineLevel="0" collapsed="false">
      <c r="A73" s="184" t="n">
        <f aca="false">ExportRaw!$F73</f>
        <v>0</v>
      </c>
      <c r="B73" s="184" t="n">
        <f aca="false">ExportRaw!$C73</f>
        <v>0</v>
      </c>
      <c r="C73" s="184" t="n">
        <f aca="false">ExportRaw!$G73</f>
        <v>0</v>
      </c>
      <c r="D73" s="184" t="str">
        <f aca="false">ExportRaw!$E73</f>
        <v/>
      </c>
      <c r="E73" s="185" t="str">
        <f aca="false">ExportRaw!$D73</f>
        <v/>
      </c>
      <c r="F73" s="184" t="str">
        <f aca="false">ExportRaw!$H73</f>
        <v/>
      </c>
      <c r="G73" s="186" t="str">
        <f aca="false">ExportRaw!$I73</f>
        <v/>
      </c>
      <c r="H73" s="184" t="str">
        <f aca="false">ExportRaw!$A73</f>
        <v/>
      </c>
      <c r="I73" s="184" t="str">
        <f aca="false">ExportRaw!$B73</f>
        <v/>
      </c>
    </row>
    <row r="74" customFormat="false" ht="15.75" hidden="false" customHeight="false" outlineLevel="0" collapsed="false">
      <c r="A74" s="184" t="n">
        <f aca="false">ExportRaw!$F74</f>
        <v>0</v>
      </c>
      <c r="B74" s="184" t="n">
        <f aca="false">ExportRaw!$C74</f>
        <v>0</v>
      </c>
      <c r="C74" s="184" t="n">
        <f aca="false">ExportRaw!$G74</f>
        <v>0</v>
      </c>
      <c r="D74" s="184" t="str">
        <f aca="false">ExportRaw!$E74</f>
        <v/>
      </c>
      <c r="E74" s="185" t="str">
        <f aca="false">ExportRaw!$D74</f>
        <v/>
      </c>
      <c r="F74" s="184" t="str">
        <f aca="false">ExportRaw!$H74</f>
        <v/>
      </c>
      <c r="G74" s="186" t="str">
        <f aca="false">ExportRaw!$I74</f>
        <v/>
      </c>
      <c r="H74" s="184" t="str">
        <f aca="false">ExportRaw!$A74</f>
        <v/>
      </c>
      <c r="I74" s="184" t="str">
        <f aca="false">ExportRaw!$B74</f>
        <v/>
      </c>
    </row>
    <row r="75" customFormat="false" ht="15.75" hidden="false" customHeight="false" outlineLevel="0" collapsed="false">
      <c r="A75" s="184" t="n">
        <f aca="false">ExportRaw!$F75</f>
        <v>0</v>
      </c>
      <c r="B75" s="184" t="n">
        <f aca="false">ExportRaw!$C75</f>
        <v>0</v>
      </c>
      <c r="C75" s="184" t="n">
        <f aca="false">ExportRaw!$G75</f>
        <v>0</v>
      </c>
      <c r="D75" s="184" t="str">
        <f aca="false">ExportRaw!$E75</f>
        <v/>
      </c>
      <c r="E75" s="185" t="str">
        <f aca="false">ExportRaw!$D75</f>
        <v/>
      </c>
      <c r="F75" s="184" t="str">
        <f aca="false">ExportRaw!$H75</f>
        <v/>
      </c>
      <c r="G75" s="186" t="str">
        <f aca="false">ExportRaw!$I75</f>
        <v/>
      </c>
      <c r="H75" s="184" t="str">
        <f aca="false">ExportRaw!$A75</f>
        <v/>
      </c>
      <c r="I75" s="184" t="str">
        <f aca="false">ExportRaw!$B75</f>
        <v/>
      </c>
    </row>
    <row r="76" customFormat="false" ht="15.75" hidden="false" customHeight="false" outlineLevel="0" collapsed="false">
      <c r="A76" s="184" t="n">
        <f aca="false">ExportRaw!$F76</f>
        <v>0</v>
      </c>
      <c r="B76" s="184" t="n">
        <f aca="false">ExportRaw!$C76</f>
        <v>0</v>
      </c>
      <c r="C76" s="184" t="n">
        <f aca="false">ExportRaw!$G76</f>
        <v>0</v>
      </c>
      <c r="D76" s="184" t="str">
        <f aca="false">ExportRaw!$E76</f>
        <v/>
      </c>
      <c r="E76" s="185" t="str">
        <f aca="false">ExportRaw!$D76</f>
        <v/>
      </c>
      <c r="F76" s="184" t="str">
        <f aca="false">ExportRaw!$H76</f>
        <v/>
      </c>
      <c r="G76" s="186" t="str">
        <f aca="false">ExportRaw!$I76</f>
        <v/>
      </c>
      <c r="H76" s="184" t="str">
        <f aca="false">ExportRaw!$A76</f>
        <v/>
      </c>
      <c r="I76" s="184" t="str">
        <f aca="false">ExportRaw!$B76</f>
        <v/>
      </c>
    </row>
    <row r="77" customFormat="false" ht="15.75" hidden="false" customHeight="false" outlineLevel="0" collapsed="false">
      <c r="A77" s="184" t="n">
        <f aca="false">ExportRaw!$F77</f>
        <v>0</v>
      </c>
      <c r="B77" s="184" t="n">
        <f aca="false">ExportRaw!$C77</f>
        <v>0</v>
      </c>
      <c r="C77" s="184" t="n">
        <f aca="false">ExportRaw!$G77</f>
        <v>0</v>
      </c>
      <c r="D77" s="184" t="str">
        <f aca="false">ExportRaw!$E77</f>
        <v/>
      </c>
      <c r="E77" s="185" t="str">
        <f aca="false">ExportRaw!$D77</f>
        <v/>
      </c>
      <c r="F77" s="184" t="str">
        <f aca="false">ExportRaw!$H77</f>
        <v/>
      </c>
      <c r="G77" s="186" t="str">
        <f aca="false">ExportRaw!$I77</f>
        <v/>
      </c>
      <c r="H77" s="184" t="str">
        <f aca="false">ExportRaw!$A77</f>
        <v/>
      </c>
      <c r="I77" s="184" t="str">
        <f aca="false">ExportRaw!$B77</f>
        <v/>
      </c>
    </row>
    <row r="78" customFormat="false" ht="15.75" hidden="false" customHeight="false" outlineLevel="0" collapsed="false">
      <c r="A78" s="184" t="n">
        <f aca="false">ExportRaw!$F78</f>
        <v>0</v>
      </c>
      <c r="B78" s="184" t="n">
        <f aca="false">ExportRaw!$C78</f>
        <v>0</v>
      </c>
      <c r="C78" s="184" t="n">
        <f aca="false">ExportRaw!$G78</f>
        <v>0</v>
      </c>
      <c r="D78" s="184" t="str">
        <f aca="false">ExportRaw!$E78</f>
        <v/>
      </c>
      <c r="E78" s="185" t="str">
        <f aca="false">ExportRaw!$D78</f>
        <v/>
      </c>
      <c r="F78" s="184" t="str">
        <f aca="false">ExportRaw!$H78</f>
        <v/>
      </c>
      <c r="G78" s="186" t="str">
        <f aca="false">ExportRaw!$I78</f>
        <v/>
      </c>
      <c r="H78" s="184" t="str">
        <f aca="false">ExportRaw!$A78</f>
        <v/>
      </c>
      <c r="I78" s="184" t="str">
        <f aca="false">ExportRaw!$B78</f>
        <v/>
      </c>
    </row>
    <row r="79" customFormat="false" ht="15.75" hidden="false" customHeight="false" outlineLevel="0" collapsed="false">
      <c r="A79" s="184" t="n">
        <f aca="false">ExportRaw!$F79</f>
        <v>0</v>
      </c>
      <c r="B79" s="184" t="n">
        <f aca="false">ExportRaw!$C79</f>
        <v>0</v>
      </c>
      <c r="C79" s="184" t="n">
        <f aca="false">ExportRaw!$G79</f>
        <v>0</v>
      </c>
      <c r="D79" s="184" t="str">
        <f aca="false">ExportRaw!$E79</f>
        <v/>
      </c>
      <c r="E79" s="185" t="str">
        <f aca="false">ExportRaw!$D79</f>
        <v/>
      </c>
      <c r="F79" s="184" t="str">
        <f aca="false">ExportRaw!$H79</f>
        <v/>
      </c>
      <c r="G79" s="186" t="str">
        <f aca="false">ExportRaw!$I79</f>
        <v/>
      </c>
      <c r="H79" s="184" t="str">
        <f aca="false">ExportRaw!$A79</f>
        <v/>
      </c>
      <c r="I79" s="184" t="str">
        <f aca="false">ExportRaw!$B79</f>
        <v/>
      </c>
    </row>
    <row r="80" customFormat="false" ht="15.75" hidden="false" customHeight="false" outlineLevel="0" collapsed="false">
      <c r="A80" s="184" t="n">
        <f aca="false">ExportRaw!$F80</f>
        <v>0</v>
      </c>
      <c r="B80" s="184" t="n">
        <f aca="false">ExportRaw!$C80</f>
        <v>0</v>
      </c>
      <c r="C80" s="184" t="n">
        <f aca="false">ExportRaw!$G80</f>
        <v>0</v>
      </c>
      <c r="D80" s="184" t="str">
        <f aca="false">ExportRaw!$E80</f>
        <v/>
      </c>
      <c r="E80" s="185" t="str">
        <f aca="false">ExportRaw!$D80</f>
        <v/>
      </c>
      <c r="F80" s="184" t="str">
        <f aca="false">ExportRaw!$H80</f>
        <v/>
      </c>
      <c r="G80" s="186" t="str">
        <f aca="false">ExportRaw!$I80</f>
        <v/>
      </c>
      <c r="H80" s="184" t="str">
        <f aca="false">ExportRaw!$A80</f>
        <v/>
      </c>
      <c r="I80" s="184" t="str">
        <f aca="false">ExportRaw!$B80</f>
        <v/>
      </c>
    </row>
    <row r="81" customFormat="false" ht="15.75" hidden="false" customHeight="false" outlineLevel="0" collapsed="false">
      <c r="A81" s="184" t="n">
        <f aca="false">ExportRaw!$F81</f>
        <v>0</v>
      </c>
      <c r="B81" s="184" t="n">
        <f aca="false">ExportRaw!$C81</f>
        <v>0</v>
      </c>
      <c r="C81" s="184" t="n">
        <f aca="false">ExportRaw!$G81</f>
        <v>0</v>
      </c>
      <c r="D81" s="184" t="str">
        <f aca="false">ExportRaw!$E81</f>
        <v/>
      </c>
      <c r="E81" s="185" t="str">
        <f aca="false">ExportRaw!$D81</f>
        <v/>
      </c>
      <c r="F81" s="184" t="str">
        <f aca="false">ExportRaw!$H81</f>
        <v/>
      </c>
      <c r="G81" s="186" t="str">
        <f aca="false">ExportRaw!$I81</f>
        <v/>
      </c>
      <c r="H81" s="184" t="str">
        <f aca="false">ExportRaw!$A81</f>
        <v/>
      </c>
      <c r="I81" s="184" t="str">
        <f aca="false">ExportRaw!$B81</f>
        <v/>
      </c>
    </row>
    <row r="82" customFormat="false" ht="15.75" hidden="false" customHeight="false" outlineLevel="0" collapsed="false">
      <c r="A82" s="184" t="n">
        <f aca="false">ExportRaw!$F82</f>
        <v>0</v>
      </c>
      <c r="B82" s="184" t="n">
        <f aca="false">ExportRaw!$C82</f>
        <v>0</v>
      </c>
      <c r="C82" s="184" t="n">
        <f aca="false">ExportRaw!$G82</f>
        <v>0</v>
      </c>
      <c r="D82" s="184" t="str">
        <f aca="false">ExportRaw!$E82</f>
        <v/>
      </c>
      <c r="E82" s="185" t="str">
        <f aca="false">ExportRaw!$D82</f>
        <v/>
      </c>
      <c r="F82" s="184" t="str">
        <f aca="false">ExportRaw!$H82</f>
        <v/>
      </c>
      <c r="G82" s="186" t="str">
        <f aca="false">ExportRaw!$I82</f>
        <v/>
      </c>
      <c r="H82" s="184" t="str">
        <f aca="false">ExportRaw!$A82</f>
        <v/>
      </c>
      <c r="I82" s="184" t="str">
        <f aca="false">ExportRaw!$B82</f>
        <v/>
      </c>
    </row>
    <row r="83" customFormat="false" ht="15.75" hidden="false" customHeight="false" outlineLevel="0" collapsed="false">
      <c r="A83" s="184" t="n">
        <f aca="false">ExportRaw!$F83</f>
        <v>0</v>
      </c>
      <c r="B83" s="184" t="n">
        <f aca="false">ExportRaw!$C83</f>
        <v>0</v>
      </c>
      <c r="C83" s="184" t="n">
        <f aca="false">ExportRaw!$G83</f>
        <v>0</v>
      </c>
      <c r="D83" s="184" t="str">
        <f aca="false">ExportRaw!$E83</f>
        <v/>
      </c>
      <c r="E83" s="185" t="str">
        <f aca="false">ExportRaw!$D83</f>
        <v/>
      </c>
      <c r="F83" s="184" t="str">
        <f aca="false">ExportRaw!$H83</f>
        <v/>
      </c>
      <c r="G83" s="186" t="str">
        <f aca="false">ExportRaw!$I83</f>
        <v/>
      </c>
      <c r="H83" s="184" t="str">
        <f aca="false">ExportRaw!$A83</f>
        <v/>
      </c>
      <c r="I83" s="184" t="str">
        <f aca="false">ExportRaw!$B83</f>
        <v/>
      </c>
    </row>
    <row r="84" customFormat="false" ht="15.75" hidden="false" customHeight="false" outlineLevel="0" collapsed="false">
      <c r="A84" s="184" t="n">
        <f aca="false">ExportRaw!$F84</f>
        <v>0</v>
      </c>
      <c r="B84" s="184" t="n">
        <f aca="false">ExportRaw!$C84</f>
        <v>0</v>
      </c>
      <c r="C84" s="184" t="n">
        <f aca="false">ExportRaw!$G84</f>
        <v>0</v>
      </c>
      <c r="D84" s="184" t="str">
        <f aca="false">ExportRaw!$E84</f>
        <v/>
      </c>
      <c r="E84" s="185" t="str">
        <f aca="false">ExportRaw!$D84</f>
        <v/>
      </c>
      <c r="F84" s="184" t="str">
        <f aca="false">ExportRaw!$H84</f>
        <v/>
      </c>
      <c r="G84" s="186" t="str">
        <f aca="false">ExportRaw!$I84</f>
        <v/>
      </c>
      <c r="H84" s="184" t="str">
        <f aca="false">ExportRaw!$A84</f>
        <v/>
      </c>
      <c r="I84" s="184" t="str">
        <f aca="false">ExportRaw!$B84</f>
        <v/>
      </c>
    </row>
    <row r="85" customFormat="false" ht="15.75" hidden="false" customHeight="false" outlineLevel="0" collapsed="false">
      <c r="A85" s="184" t="n">
        <f aca="false">ExportRaw!$F85</f>
        <v>0</v>
      </c>
      <c r="B85" s="184" t="n">
        <f aca="false">ExportRaw!$C85</f>
        <v>0</v>
      </c>
      <c r="C85" s="184" t="n">
        <f aca="false">ExportRaw!$G85</f>
        <v>0</v>
      </c>
      <c r="D85" s="184" t="str">
        <f aca="false">ExportRaw!$E85</f>
        <v/>
      </c>
      <c r="E85" s="185" t="str">
        <f aca="false">ExportRaw!$D85</f>
        <v/>
      </c>
      <c r="F85" s="184" t="str">
        <f aca="false">ExportRaw!$H85</f>
        <v/>
      </c>
      <c r="G85" s="186" t="str">
        <f aca="false">ExportRaw!$I85</f>
        <v/>
      </c>
      <c r="H85" s="184" t="str">
        <f aca="false">ExportRaw!$A85</f>
        <v/>
      </c>
      <c r="I85" s="184" t="str">
        <f aca="false">ExportRaw!$B85</f>
        <v/>
      </c>
    </row>
    <row r="86" customFormat="false" ht="15.75" hidden="false" customHeight="false" outlineLevel="0" collapsed="false">
      <c r="A86" s="184" t="n">
        <f aca="false">ExportRaw!$F86</f>
        <v>0</v>
      </c>
      <c r="B86" s="184" t="n">
        <f aca="false">ExportRaw!$C86</f>
        <v>0</v>
      </c>
      <c r="C86" s="184" t="n">
        <f aca="false">ExportRaw!$G86</f>
        <v>0</v>
      </c>
      <c r="D86" s="184" t="str">
        <f aca="false">ExportRaw!$E86</f>
        <v/>
      </c>
      <c r="E86" s="185" t="str">
        <f aca="false">ExportRaw!$D86</f>
        <v/>
      </c>
      <c r="F86" s="184" t="str">
        <f aca="false">ExportRaw!$H86</f>
        <v/>
      </c>
      <c r="G86" s="186" t="str">
        <f aca="false">ExportRaw!$I86</f>
        <v/>
      </c>
      <c r="H86" s="184" t="str">
        <f aca="false">ExportRaw!$A86</f>
        <v/>
      </c>
      <c r="I86" s="184" t="str">
        <f aca="false">ExportRaw!$B86</f>
        <v/>
      </c>
    </row>
    <row r="87" customFormat="false" ht="15.75" hidden="false" customHeight="false" outlineLevel="0" collapsed="false">
      <c r="A87" s="184" t="n">
        <f aca="false">ExportRaw!$F87</f>
        <v>0</v>
      </c>
      <c r="B87" s="184" t="n">
        <f aca="false">ExportRaw!$C87</f>
        <v>0</v>
      </c>
      <c r="C87" s="184" t="n">
        <f aca="false">ExportRaw!$G87</f>
        <v>0</v>
      </c>
      <c r="D87" s="184" t="str">
        <f aca="false">ExportRaw!$E87</f>
        <v/>
      </c>
      <c r="E87" s="185" t="str">
        <f aca="false">ExportRaw!$D87</f>
        <v/>
      </c>
      <c r="F87" s="184" t="str">
        <f aca="false">ExportRaw!$H87</f>
        <v/>
      </c>
      <c r="G87" s="186" t="str">
        <f aca="false">ExportRaw!$I87</f>
        <v/>
      </c>
      <c r="H87" s="184" t="str">
        <f aca="false">ExportRaw!$A87</f>
        <v/>
      </c>
      <c r="I87" s="184" t="str">
        <f aca="false">ExportRaw!$B87</f>
        <v/>
      </c>
    </row>
    <row r="88" customFormat="false" ht="15.75" hidden="false" customHeight="false" outlineLevel="0" collapsed="false">
      <c r="A88" s="184" t="n">
        <f aca="false">ExportRaw!$F88</f>
        <v>0</v>
      </c>
      <c r="B88" s="184" t="n">
        <f aca="false">ExportRaw!$C88</f>
        <v>0</v>
      </c>
      <c r="C88" s="184" t="n">
        <f aca="false">ExportRaw!$G88</f>
        <v>0</v>
      </c>
      <c r="D88" s="184" t="str">
        <f aca="false">ExportRaw!$E88</f>
        <v/>
      </c>
      <c r="E88" s="185" t="str">
        <f aca="false">ExportRaw!$D88</f>
        <v/>
      </c>
      <c r="F88" s="184" t="str">
        <f aca="false">ExportRaw!$H88</f>
        <v/>
      </c>
      <c r="G88" s="186" t="str">
        <f aca="false">ExportRaw!$I88</f>
        <v/>
      </c>
      <c r="H88" s="184" t="str">
        <f aca="false">ExportRaw!$A88</f>
        <v/>
      </c>
      <c r="I88" s="184" t="str">
        <f aca="false">ExportRaw!$B88</f>
        <v/>
      </c>
    </row>
    <row r="89" customFormat="false" ht="15.75" hidden="false" customHeight="false" outlineLevel="0" collapsed="false">
      <c r="A89" s="184" t="n">
        <f aca="false">ExportRaw!$F89</f>
        <v>0</v>
      </c>
      <c r="B89" s="184" t="n">
        <f aca="false">ExportRaw!$C89</f>
        <v>0</v>
      </c>
      <c r="C89" s="184" t="n">
        <f aca="false">ExportRaw!$G89</f>
        <v>0</v>
      </c>
      <c r="D89" s="184" t="str">
        <f aca="false">ExportRaw!$E89</f>
        <v/>
      </c>
      <c r="E89" s="185" t="str">
        <f aca="false">ExportRaw!$D89</f>
        <v/>
      </c>
      <c r="F89" s="184" t="str">
        <f aca="false">ExportRaw!$H89</f>
        <v/>
      </c>
      <c r="G89" s="186" t="str">
        <f aca="false">ExportRaw!$I89</f>
        <v/>
      </c>
      <c r="H89" s="184" t="str">
        <f aca="false">ExportRaw!$A89</f>
        <v/>
      </c>
      <c r="I89" s="184" t="str">
        <f aca="false">ExportRaw!$B89</f>
        <v/>
      </c>
    </row>
    <row r="90" customFormat="false" ht="15.75" hidden="false" customHeight="false" outlineLevel="0" collapsed="false">
      <c r="A90" s="184" t="n">
        <f aca="false">ExportRaw!$F90</f>
        <v>0</v>
      </c>
      <c r="B90" s="184" t="n">
        <f aca="false">ExportRaw!$C90</f>
        <v>0</v>
      </c>
      <c r="C90" s="184" t="n">
        <f aca="false">ExportRaw!$G90</f>
        <v>0</v>
      </c>
      <c r="D90" s="184" t="str">
        <f aca="false">ExportRaw!$E90</f>
        <v/>
      </c>
      <c r="E90" s="185" t="str">
        <f aca="false">ExportRaw!$D90</f>
        <v/>
      </c>
      <c r="F90" s="184" t="str">
        <f aca="false">ExportRaw!$H90</f>
        <v/>
      </c>
      <c r="G90" s="186" t="str">
        <f aca="false">ExportRaw!$I90</f>
        <v/>
      </c>
      <c r="H90" s="184" t="str">
        <f aca="false">ExportRaw!$A90</f>
        <v/>
      </c>
      <c r="I90" s="184" t="str">
        <f aca="false">ExportRaw!$B90</f>
        <v/>
      </c>
    </row>
    <row r="91" customFormat="false" ht="15.75" hidden="false" customHeight="false" outlineLevel="0" collapsed="false">
      <c r="A91" s="184" t="n">
        <f aca="false">ExportRaw!$F91</f>
        <v>0</v>
      </c>
      <c r="B91" s="184" t="n">
        <f aca="false">ExportRaw!$C91</f>
        <v>0</v>
      </c>
      <c r="C91" s="184" t="n">
        <f aca="false">ExportRaw!$G91</f>
        <v>0</v>
      </c>
      <c r="D91" s="184" t="str">
        <f aca="false">ExportRaw!$E91</f>
        <v/>
      </c>
      <c r="E91" s="185" t="str">
        <f aca="false">ExportRaw!$D91</f>
        <v/>
      </c>
      <c r="F91" s="184" t="str">
        <f aca="false">ExportRaw!$H91</f>
        <v/>
      </c>
      <c r="G91" s="186" t="str">
        <f aca="false">ExportRaw!$I91</f>
        <v/>
      </c>
      <c r="H91" s="184" t="str">
        <f aca="false">ExportRaw!$A91</f>
        <v/>
      </c>
      <c r="I91" s="184" t="str">
        <f aca="false">ExportRaw!$B91</f>
        <v/>
      </c>
    </row>
    <row r="92" customFormat="false" ht="15.75" hidden="false" customHeight="false" outlineLevel="0" collapsed="false">
      <c r="A92" s="184" t="n">
        <f aca="false">ExportRaw!$F92</f>
        <v>0</v>
      </c>
      <c r="B92" s="184" t="n">
        <f aca="false">ExportRaw!$C92</f>
        <v>0</v>
      </c>
      <c r="C92" s="184" t="n">
        <f aca="false">ExportRaw!$G92</f>
        <v>0</v>
      </c>
      <c r="D92" s="184" t="str">
        <f aca="false">ExportRaw!$E92</f>
        <v/>
      </c>
      <c r="E92" s="185" t="str">
        <f aca="false">ExportRaw!$D92</f>
        <v/>
      </c>
      <c r="F92" s="184" t="str">
        <f aca="false">ExportRaw!$H92</f>
        <v/>
      </c>
      <c r="G92" s="186" t="str">
        <f aca="false">ExportRaw!$I92</f>
        <v/>
      </c>
      <c r="H92" s="184" t="str">
        <f aca="false">ExportRaw!$A92</f>
        <v/>
      </c>
      <c r="I92" s="184" t="str">
        <f aca="false">ExportRaw!$B92</f>
        <v/>
      </c>
    </row>
    <row r="93" customFormat="false" ht="15.75" hidden="false" customHeight="false" outlineLevel="0" collapsed="false">
      <c r="A93" s="184" t="n">
        <f aca="false">ExportRaw!$F93</f>
        <v>0</v>
      </c>
      <c r="B93" s="184" t="n">
        <f aca="false">ExportRaw!$C93</f>
        <v>0</v>
      </c>
      <c r="C93" s="184" t="n">
        <f aca="false">ExportRaw!$G93</f>
        <v>0</v>
      </c>
      <c r="D93" s="184" t="str">
        <f aca="false">ExportRaw!$E93</f>
        <v/>
      </c>
      <c r="E93" s="185" t="str">
        <f aca="false">ExportRaw!$D93</f>
        <v/>
      </c>
      <c r="F93" s="184" t="str">
        <f aca="false">ExportRaw!$H93</f>
        <v/>
      </c>
      <c r="G93" s="186" t="str">
        <f aca="false">ExportRaw!$I93</f>
        <v/>
      </c>
      <c r="H93" s="184" t="str">
        <f aca="false">ExportRaw!$A93</f>
        <v/>
      </c>
      <c r="I93" s="184" t="str">
        <f aca="false">ExportRaw!$B93</f>
        <v/>
      </c>
    </row>
    <row r="94" customFormat="false" ht="15.75" hidden="false" customHeight="false" outlineLevel="0" collapsed="false">
      <c r="A94" s="184" t="n">
        <f aca="false">ExportRaw!$F94</f>
        <v>0</v>
      </c>
      <c r="B94" s="184" t="n">
        <f aca="false">ExportRaw!$C94</f>
        <v>0</v>
      </c>
      <c r="C94" s="184" t="n">
        <f aca="false">ExportRaw!$G94</f>
        <v>0</v>
      </c>
      <c r="D94" s="184" t="str">
        <f aca="false">ExportRaw!$E94</f>
        <v/>
      </c>
      <c r="E94" s="185" t="str">
        <f aca="false">ExportRaw!$D94</f>
        <v/>
      </c>
      <c r="F94" s="184" t="str">
        <f aca="false">ExportRaw!$H94</f>
        <v/>
      </c>
      <c r="G94" s="186" t="str">
        <f aca="false">ExportRaw!$I94</f>
        <v/>
      </c>
      <c r="H94" s="184" t="str">
        <f aca="false">ExportRaw!$A94</f>
        <v/>
      </c>
      <c r="I94" s="184" t="str">
        <f aca="false">ExportRaw!$B94</f>
        <v/>
      </c>
    </row>
    <row r="95" customFormat="false" ht="15.75" hidden="false" customHeight="false" outlineLevel="0" collapsed="false">
      <c r="A95" s="184" t="n">
        <f aca="false">ExportRaw!$F95</f>
        <v>0</v>
      </c>
      <c r="B95" s="184" t="n">
        <f aca="false">ExportRaw!$C95</f>
        <v>0</v>
      </c>
      <c r="C95" s="184" t="n">
        <f aca="false">ExportRaw!$G95</f>
        <v>0</v>
      </c>
      <c r="D95" s="184" t="str">
        <f aca="false">ExportRaw!$E95</f>
        <v/>
      </c>
      <c r="E95" s="185" t="str">
        <f aca="false">ExportRaw!$D95</f>
        <v/>
      </c>
      <c r="F95" s="184" t="str">
        <f aca="false">ExportRaw!$H95</f>
        <v/>
      </c>
      <c r="G95" s="186" t="str">
        <f aca="false">ExportRaw!$I95</f>
        <v/>
      </c>
      <c r="H95" s="184" t="str">
        <f aca="false">ExportRaw!$A95</f>
        <v/>
      </c>
      <c r="I95" s="184" t="str">
        <f aca="false">ExportRaw!$B95</f>
        <v/>
      </c>
    </row>
    <row r="96" customFormat="false" ht="15.75" hidden="false" customHeight="false" outlineLevel="0" collapsed="false">
      <c r="A96" s="184" t="n">
        <f aca="false">ExportRaw!$F96</f>
        <v>0</v>
      </c>
      <c r="B96" s="184" t="n">
        <f aca="false">ExportRaw!$C96</f>
        <v>0</v>
      </c>
      <c r="C96" s="184" t="n">
        <f aca="false">ExportRaw!$G96</f>
        <v>0</v>
      </c>
      <c r="D96" s="184" t="str">
        <f aca="false">ExportRaw!$E96</f>
        <v/>
      </c>
      <c r="E96" s="185" t="str">
        <f aca="false">ExportRaw!$D96</f>
        <v/>
      </c>
      <c r="F96" s="184" t="str">
        <f aca="false">ExportRaw!$H96</f>
        <v/>
      </c>
      <c r="G96" s="186" t="str">
        <f aca="false">ExportRaw!$I96</f>
        <v/>
      </c>
      <c r="H96" s="184" t="str">
        <f aca="false">ExportRaw!$A96</f>
        <v/>
      </c>
      <c r="I96" s="184" t="str">
        <f aca="false">ExportRaw!$B96</f>
        <v/>
      </c>
    </row>
    <row r="97" customFormat="false" ht="15.75" hidden="false" customHeight="false" outlineLevel="0" collapsed="false">
      <c r="A97" s="184" t="n">
        <f aca="false">ExportRaw!$F97</f>
        <v>0</v>
      </c>
      <c r="B97" s="184" t="n">
        <f aca="false">ExportRaw!$C97</f>
        <v>0</v>
      </c>
      <c r="C97" s="184" t="n">
        <f aca="false">ExportRaw!$G97</f>
        <v>0</v>
      </c>
      <c r="D97" s="184" t="str">
        <f aca="false">ExportRaw!$E97</f>
        <v/>
      </c>
      <c r="E97" s="185" t="str">
        <f aca="false">ExportRaw!$D97</f>
        <v/>
      </c>
      <c r="F97" s="184" t="str">
        <f aca="false">ExportRaw!$H97</f>
        <v/>
      </c>
      <c r="G97" s="186" t="str">
        <f aca="false">ExportRaw!$I97</f>
        <v/>
      </c>
      <c r="H97" s="184" t="str">
        <f aca="false">ExportRaw!$A97</f>
        <v/>
      </c>
      <c r="I97" s="184" t="str">
        <f aca="false">ExportRaw!$B97</f>
        <v/>
      </c>
    </row>
    <row r="98" customFormat="false" ht="15.75" hidden="false" customHeight="false" outlineLevel="0" collapsed="false">
      <c r="A98" s="184" t="n">
        <f aca="false">ExportRaw!$F98</f>
        <v>0</v>
      </c>
      <c r="B98" s="184" t="n">
        <f aca="false">ExportRaw!$C98</f>
        <v>0</v>
      </c>
      <c r="C98" s="184" t="n">
        <f aca="false">ExportRaw!$G98</f>
        <v>0</v>
      </c>
      <c r="D98" s="184" t="str">
        <f aca="false">ExportRaw!$E98</f>
        <v/>
      </c>
      <c r="E98" s="185" t="str">
        <f aca="false">ExportRaw!$D98</f>
        <v/>
      </c>
      <c r="F98" s="184" t="str">
        <f aca="false">ExportRaw!$H98</f>
        <v/>
      </c>
      <c r="G98" s="186" t="str">
        <f aca="false">ExportRaw!$I98</f>
        <v/>
      </c>
      <c r="H98" s="184" t="str">
        <f aca="false">ExportRaw!$A98</f>
        <v/>
      </c>
      <c r="I98" s="184" t="str">
        <f aca="false">ExportRaw!$B98</f>
        <v/>
      </c>
    </row>
    <row r="99" customFormat="false" ht="15.75" hidden="false" customHeight="false" outlineLevel="0" collapsed="false">
      <c r="A99" s="184" t="n">
        <f aca="false">ExportRaw!$F99</f>
        <v>0</v>
      </c>
      <c r="B99" s="184" t="n">
        <f aca="false">ExportRaw!$C99</f>
        <v>0</v>
      </c>
      <c r="C99" s="184" t="n">
        <f aca="false">ExportRaw!$G99</f>
        <v>0</v>
      </c>
      <c r="D99" s="184" t="str">
        <f aca="false">ExportRaw!$E99</f>
        <v/>
      </c>
      <c r="E99" s="185" t="str">
        <f aca="false">ExportRaw!$D99</f>
        <v/>
      </c>
      <c r="F99" s="184" t="str">
        <f aca="false">ExportRaw!$H99</f>
        <v/>
      </c>
      <c r="G99" s="186" t="str">
        <f aca="false">ExportRaw!$I99</f>
        <v/>
      </c>
      <c r="H99" s="184" t="str">
        <f aca="false">ExportRaw!$A99</f>
        <v/>
      </c>
      <c r="I99" s="184" t="str">
        <f aca="false">ExportRaw!$B99</f>
        <v/>
      </c>
    </row>
    <row r="100" customFormat="false" ht="15.75" hidden="false" customHeight="false" outlineLevel="0" collapsed="false">
      <c r="A100" s="184" t="n">
        <f aca="false">ExportRaw!$F100</f>
        <v>0</v>
      </c>
      <c r="B100" s="184" t="n">
        <f aca="false">ExportRaw!$C100</f>
        <v>0</v>
      </c>
      <c r="C100" s="184" t="n">
        <f aca="false">ExportRaw!$G100</f>
        <v>0</v>
      </c>
      <c r="D100" s="184" t="str">
        <f aca="false">ExportRaw!$E100</f>
        <v/>
      </c>
      <c r="E100" s="185" t="str">
        <f aca="false">ExportRaw!$D100</f>
        <v/>
      </c>
      <c r="F100" s="184" t="str">
        <f aca="false">ExportRaw!$H100</f>
        <v/>
      </c>
      <c r="G100" s="186" t="str">
        <f aca="false">ExportRaw!$I100</f>
        <v/>
      </c>
      <c r="H100" s="184" t="str">
        <f aca="false">ExportRaw!$A100</f>
        <v/>
      </c>
      <c r="I100" s="184" t="str">
        <f aca="false">ExportRaw!$B100</f>
        <v/>
      </c>
    </row>
    <row r="101" customFormat="false" ht="15.75" hidden="false" customHeight="false" outlineLevel="0" collapsed="false">
      <c r="A101" s="184" t="n">
        <f aca="false">ExportRaw!$F101</f>
        <v>0</v>
      </c>
      <c r="B101" s="184" t="n">
        <f aca="false">ExportRaw!$C101</f>
        <v>0</v>
      </c>
      <c r="C101" s="184" t="n">
        <f aca="false">ExportRaw!$G101</f>
        <v>0</v>
      </c>
      <c r="D101" s="184" t="str">
        <f aca="false">ExportRaw!$E101</f>
        <v/>
      </c>
      <c r="E101" s="185" t="str">
        <f aca="false">ExportRaw!$D101</f>
        <v/>
      </c>
      <c r="F101" s="184" t="str">
        <f aca="false">ExportRaw!$H101</f>
        <v/>
      </c>
      <c r="G101" s="186" t="str">
        <f aca="false">ExportRaw!$I101</f>
        <v/>
      </c>
      <c r="H101" s="184" t="str">
        <f aca="false">ExportRaw!$A101</f>
        <v/>
      </c>
      <c r="I101" s="184" t="str">
        <f aca="false">ExportRaw!$B101</f>
        <v/>
      </c>
    </row>
    <row r="102" customFormat="false" ht="15.75" hidden="false" customHeight="false" outlineLevel="0" collapsed="false">
      <c r="A102" s="184" t="n">
        <f aca="false">ExportRaw!$F102</f>
        <v>0</v>
      </c>
      <c r="B102" s="184" t="n">
        <f aca="false">ExportRaw!$C102</f>
        <v>0</v>
      </c>
      <c r="C102" s="184" t="n">
        <f aca="false">ExportRaw!$G102</f>
        <v>0</v>
      </c>
      <c r="D102" s="184" t="str">
        <f aca="false">ExportRaw!$E102</f>
        <v/>
      </c>
      <c r="E102" s="185" t="str">
        <f aca="false">ExportRaw!$D102</f>
        <v/>
      </c>
      <c r="F102" s="184" t="str">
        <f aca="false">ExportRaw!$H102</f>
        <v/>
      </c>
      <c r="G102" s="186" t="str">
        <f aca="false">ExportRaw!$I102</f>
        <v/>
      </c>
      <c r="H102" s="184" t="str">
        <f aca="false">ExportRaw!$A102</f>
        <v/>
      </c>
      <c r="I102" s="184" t="str">
        <f aca="false">ExportRaw!$B102</f>
        <v/>
      </c>
    </row>
    <row r="103" customFormat="false" ht="15.75" hidden="false" customHeight="false" outlineLevel="0" collapsed="false">
      <c r="A103" s="184" t="n">
        <f aca="false">ExportRaw!$F103</f>
        <v>0</v>
      </c>
      <c r="B103" s="184" t="n">
        <f aca="false">ExportRaw!$C103</f>
        <v>0</v>
      </c>
      <c r="C103" s="184" t="n">
        <f aca="false">ExportRaw!$G103</f>
        <v>0</v>
      </c>
      <c r="D103" s="184" t="str">
        <f aca="false">ExportRaw!$E103</f>
        <v/>
      </c>
      <c r="E103" s="185" t="str">
        <f aca="false">ExportRaw!$D103</f>
        <v/>
      </c>
      <c r="F103" s="184" t="str">
        <f aca="false">ExportRaw!$H103</f>
        <v/>
      </c>
      <c r="G103" s="186" t="str">
        <f aca="false">ExportRaw!$I103</f>
        <v/>
      </c>
      <c r="H103" s="184" t="str">
        <f aca="false">ExportRaw!$A103</f>
        <v/>
      </c>
      <c r="I103" s="184" t="str">
        <f aca="false">ExportRaw!$B103</f>
        <v/>
      </c>
    </row>
    <row r="104" customFormat="false" ht="15.75" hidden="false" customHeight="false" outlineLevel="0" collapsed="false">
      <c r="A104" s="184" t="n">
        <f aca="false">ExportRaw!$F104</f>
        <v>0</v>
      </c>
      <c r="B104" s="184" t="n">
        <f aca="false">ExportRaw!$C104</f>
        <v>0</v>
      </c>
      <c r="C104" s="184" t="n">
        <f aca="false">ExportRaw!$G104</f>
        <v>0</v>
      </c>
      <c r="D104" s="184" t="str">
        <f aca="false">ExportRaw!$E104</f>
        <v/>
      </c>
      <c r="E104" s="185" t="str">
        <f aca="false">ExportRaw!$D104</f>
        <v/>
      </c>
      <c r="F104" s="184" t="str">
        <f aca="false">ExportRaw!$H104</f>
        <v/>
      </c>
      <c r="G104" s="186" t="str">
        <f aca="false">ExportRaw!$I104</f>
        <v/>
      </c>
      <c r="H104" s="184" t="str">
        <f aca="false">ExportRaw!$A104</f>
        <v/>
      </c>
      <c r="I104" s="184" t="str">
        <f aca="false">ExportRaw!$B104</f>
        <v/>
      </c>
    </row>
    <row r="105" customFormat="false" ht="15.75" hidden="false" customHeight="false" outlineLevel="0" collapsed="false">
      <c r="A105" s="184" t="n">
        <f aca="false">ExportRaw!$F105</f>
        <v>0</v>
      </c>
      <c r="B105" s="184" t="n">
        <f aca="false">ExportRaw!$C105</f>
        <v>0</v>
      </c>
      <c r="C105" s="184" t="n">
        <f aca="false">ExportRaw!$G105</f>
        <v>0</v>
      </c>
      <c r="D105" s="184" t="str">
        <f aca="false">ExportRaw!$E105</f>
        <v/>
      </c>
      <c r="E105" s="185" t="str">
        <f aca="false">ExportRaw!$D105</f>
        <v/>
      </c>
      <c r="F105" s="184" t="str">
        <f aca="false">ExportRaw!$H105</f>
        <v/>
      </c>
      <c r="G105" s="186" t="str">
        <f aca="false">ExportRaw!$I105</f>
        <v/>
      </c>
      <c r="H105" s="184" t="str">
        <f aca="false">ExportRaw!$A105</f>
        <v/>
      </c>
      <c r="I105" s="184" t="str">
        <f aca="false">ExportRaw!$B105</f>
        <v/>
      </c>
    </row>
    <row r="106" customFormat="false" ht="15.75" hidden="false" customHeight="false" outlineLevel="0" collapsed="false">
      <c r="A106" s="184" t="n">
        <f aca="false">ExportRaw!$F106</f>
        <v>0</v>
      </c>
      <c r="B106" s="184" t="n">
        <f aca="false">ExportRaw!$C106</f>
        <v>0</v>
      </c>
      <c r="C106" s="184" t="n">
        <f aca="false">ExportRaw!$G106</f>
        <v>0</v>
      </c>
      <c r="D106" s="184" t="str">
        <f aca="false">ExportRaw!$E106</f>
        <v/>
      </c>
      <c r="E106" s="185" t="str">
        <f aca="false">ExportRaw!$D106</f>
        <v/>
      </c>
      <c r="F106" s="184" t="str">
        <f aca="false">ExportRaw!$H106</f>
        <v/>
      </c>
      <c r="G106" s="186" t="str">
        <f aca="false">ExportRaw!$I106</f>
        <v/>
      </c>
      <c r="H106" s="184" t="str">
        <f aca="false">ExportRaw!$A106</f>
        <v/>
      </c>
      <c r="I106" s="184" t="str">
        <f aca="false">ExportRaw!$B106</f>
        <v/>
      </c>
    </row>
    <row r="107" customFormat="false" ht="15.75" hidden="false" customHeight="false" outlineLevel="0" collapsed="false">
      <c r="A107" s="184" t="n">
        <f aca="false">ExportRaw!$F107</f>
        <v>0</v>
      </c>
      <c r="B107" s="184" t="n">
        <f aca="false">ExportRaw!$C107</f>
        <v>0</v>
      </c>
      <c r="C107" s="184" t="n">
        <f aca="false">ExportRaw!$G107</f>
        <v>0</v>
      </c>
      <c r="D107" s="184" t="str">
        <f aca="false">ExportRaw!$E107</f>
        <v/>
      </c>
      <c r="E107" s="185" t="str">
        <f aca="false">ExportRaw!$D107</f>
        <v/>
      </c>
      <c r="F107" s="184" t="str">
        <f aca="false">ExportRaw!$H107</f>
        <v/>
      </c>
      <c r="G107" s="186" t="str">
        <f aca="false">ExportRaw!$I107</f>
        <v/>
      </c>
      <c r="H107" s="184" t="str">
        <f aca="false">ExportRaw!$A107</f>
        <v/>
      </c>
      <c r="I107" s="184" t="str">
        <f aca="false">ExportRaw!$B107</f>
        <v/>
      </c>
    </row>
    <row r="108" customFormat="false" ht="15.75" hidden="false" customHeight="false" outlineLevel="0" collapsed="false">
      <c r="A108" s="184" t="n">
        <f aca="false">ExportRaw!$F108</f>
        <v>0</v>
      </c>
      <c r="B108" s="184" t="n">
        <f aca="false">ExportRaw!$C108</f>
        <v>0</v>
      </c>
      <c r="C108" s="184" t="n">
        <f aca="false">ExportRaw!$G108</f>
        <v>0</v>
      </c>
      <c r="D108" s="184" t="str">
        <f aca="false">ExportRaw!$E108</f>
        <v/>
      </c>
      <c r="E108" s="185" t="str">
        <f aca="false">ExportRaw!$D108</f>
        <v/>
      </c>
      <c r="F108" s="184" t="str">
        <f aca="false">ExportRaw!$H108</f>
        <v/>
      </c>
      <c r="G108" s="186" t="str">
        <f aca="false">ExportRaw!$I108</f>
        <v/>
      </c>
      <c r="H108" s="184" t="str">
        <f aca="false">ExportRaw!$A108</f>
        <v/>
      </c>
      <c r="I108" s="184" t="str">
        <f aca="false">ExportRaw!$B108</f>
        <v/>
      </c>
    </row>
    <row r="109" customFormat="false" ht="15.75" hidden="false" customHeight="false" outlineLevel="0" collapsed="false">
      <c r="A109" s="184" t="n">
        <f aca="false">ExportRaw!$F109</f>
        <v>0</v>
      </c>
      <c r="B109" s="184" t="n">
        <f aca="false">ExportRaw!$C109</f>
        <v>0</v>
      </c>
      <c r="C109" s="184" t="n">
        <f aca="false">ExportRaw!$G109</f>
        <v>0</v>
      </c>
      <c r="D109" s="184" t="str">
        <f aca="false">ExportRaw!$E109</f>
        <v/>
      </c>
      <c r="E109" s="185" t="str">
        <f aca="false">ExportRaw!$D109</f>
        <v/>
      </c>
      <c r="F109" s="184" t="str">
        <f aca="false">ExportRaw!$H109</f>
        <v/>
      </c>
      <c r="G109" s="186" t="str">
        <f aca="false">ExportRaw!$I109</f>
        <v/>
      </c>
      <c r="H109" s="184" t="str">
        <f aca="false">ExportRaw!$A109</f>
        <v/>
      </c>
      <c r="I109" s="184" t="str">
        <f aca="false">ExportRaw!$B109</f>
        <v/>
      </c>
    </row>
    <row r="110" customFormat="false" ht="15.75" hidden="false" customHeight="false" outlineLevel="0" collapsed="false">
      <c r="A110" s="184" t="n">
        <f aca="false">ExportRaw!$F110</f>
        <v>0</v>
      </c>
      <c r="B110" s="184" t="n">
        <f aca="false">ExportRaw!$C110</f>
        <v>0</v>
      </c>
      <c r="C110" s="184" t="n">
        <f aca="false">ExportRaw!$G110</f>
        <v>0</v>
      </c>
      <c r="D110" s="184" t="str">
        <f aca="false">ExportRaw!$E110</f>
        <v/>
      </c>
      <c r="E110" s="185" t="str">
        <f aca="false">ExportRaw!$D110</f>
        <v/>
      </c>
      <c r="F110" s="184" t="str">
        <f aca="false">ExportRaw!$H110</f>
        <v/>
      </c>
      <c r="G110" s="186" t="str">
        <f aca="false">ExportRaw!$I110</f>
        <v/>
      </c>
      <c r="H110" s="184" t="str">
        <f aca="false">ExportRaw!$A110</f>
        <v/>
      </c>
      <c r="I110" s="184" t="str">
        <f aca="false">ExportRaw!$B110</f>
        <v/>
      </c>
    </row>
    <row r="111" customFormat="false" ht="15.75" hidden="false" customHeight="false" outlineLevel="0" collapsed="false">
      <c r="A111" s="184" t="n">
        <f aca="false">ExportRaw!$F111</f>
        <v>0</v>
      </c>
      <c r="B111" s="184" t="n">
        <f aca="false">ExportRaw!$C111</f>
        <v>0</v>
      </c>
      <c r="C111" s="184" t="n">
        <f aca="false">ExportRaw!$G111</f>
        <v>0</v>
      </c>
      <c r="D111" s="184" t="str">
        <f aca="false">ExportRaw!$E111</f>
        <v/>
      </c>
      <c r="E111" s="185" t="str">
        <f aca="false">ExportRaw!$D111</f>
        <v/>
      </c>
      <c r="F111" s="184" t="str">
        <f aca="false">ExportRaw!$H111</f>
        <v/>
      </c>
      <c r="G111" s="186" t="str">
        <f aca="false">ExportRaw!$I111</f>
        <v/>
      </c>
      <c r="H111" s="184" t="str">
        <f aca="false">ExportRaw!$A111</f>
        <v/>
      </c>
      <c r="I111" s="184" t="str">
        <f aca="false">ExportRaw!$B111</f>
        <v/>
      </c>
    </row>
    <row r="112" customFormat="false" ht="15.75" hidden="false" customHeight="false" outlineLevel="0" collapsed="false">
      <c r="A112" s="184" t="n">
        <f aca="false">ExportRaw!$F112</f>
        <v>0</v>
      </c>
      <c r="B112" s="184" t="n">
        <f aca="false">ExportRaw!$C112</f>
        <v>0</v>
      </c>
      <c r="C112" s="184" t="n">
        <f aca="false">ExportRaw!$G112</f>
        <v>0</v>
      </c>
      <c r="D112" s="184" t="str">
        <f aca="false">ExportRaw!$E112</f>
        <v/>
      </c>
      <c r="E112" s="185" t="str">
        <f aca="false">ExportRaw!$D112</f>
        <v/>
      </c>
      <c r="F112" s="184" t="str">
        <f aca="false">ExportRaw!$H112</f>
        <v/>
      </c>
      <c r="G112" s="186" t="str">
        <f aca="false">ExportRaw!$I112</f>
        <v/>
      </c>
      <c r="H112" s="184" t="str">
        <f aca="false">ExportRaw!$A112</f>
        <v/>
      </c>
      <c r="I112" s="184" t="str">
        <f aca="false">ExportRaw!$B112</f>
        <v/>
      </c>
    </row>
    <row r="113" customFormat="false" ht="15.75" hidden="false" customHeight="false" outlineLevel="0" collapsed="false">
      <c r="A113" s="184" t="n">
        <f aca="false">ExportRaw!$F113</f>
        <v>0</v>
      </c>
      <c r="B113" s="184" t="n">
        <f aca="false">ExportRaw!$C113</f>
        <v>0</v>
      </c>
      <c r="C113" s="184" t="n">
        <f aca="false">ExportRaw!$G113</f>
        <v>0</v>
      </c>
      <c r="D113" s="184" t="str">
        <f aca="false">ExportRaw!$E113</f>
        <v/>
      </c>
      <c r="E113" s="185" t="str">
        <f aca="false">ExportRaw!$D113</f>
        <v/>
      </c>
      <c r="F113" s="184" t="str">
        <f aca="false">ExportRaw!$H113</f>
        <v/>
      </c>
      <c r="G113" s="186" t="str">
        <f aca="false">ExportRaw!$I113</f>
        <v/>
      </c>
      <c r="H113" s="184" t="str">
        <f aca="false">ExportRaw!$A113</f>
        <v/>
      </c>
      <c r="I113" s="184" t="str">
        <f aca="false">ExportRaw!$B113</f>
        <v/>
      </c>
    </row>
    <row r="114" customFormat="false" ht="15.75" hidden="false" customHeight="false" outlineLevel="0" collapsed="false">
      <c r="A114" s="184" t="n">
        <f aca="false">ExportRaw!$F114</f>
        <v>0</v>
      </c>
      <c r="B114" s="184" t="n">
        <f aca="false">ExportRaw!$C114</f>
        <v>0</v>
      </c>
      <c r="C114" s="184" t="n">
        <f aca="false">ExportRaw!$G114</f>
        <v>0</v>
      </c>
      <c r="D114" s="184" t="str">
        <f aca="false">ExportRaw!$E114</f>
        <v/>
      </c>
      <c r="E114" s="185" t="str">
        <f aca="false">ExportRaw!$D114</f>
        <v/>
      </c>
      <c r="F114" s="184" t="str">
        <f aca="false">ExportRaw!$H114</f>
        <v/>
      </c>
      <c r="G114" s="186" t="str">
        <f aca="false">ExportRaw!$I114</f>
        <v/>
      </c>
      <c r="H114" s="184" t="str">
        <f aca="false">ExportRaw!$A114</f>
        <v/>
      </c>
      <c r="I114" s="184" t="str">
        <f aca="false">ExportRaw!$B114</f>
        <v/>
      </c>
    </row>
    <row r="115" customFormat="false" ht="15.75" hidden="false" customHeight="false" outlineLevel="0" collapsed="false">
      <c r="A115" s="184" t="n">
        <f aca="false">ExportRaw!$F115</f>
        <v>0</v>
      </c>
      <c r="B115" s="184" t="n">
        <f aca="false">ExportRaw!$C115</f>
        <v>0</v>
      </c>
      <c r="C115" s="184" t="n">
        <f aca="false">ExportRaw!$G115</f>
        <v>0</v>
      </c>
      <c r="D115" s="184" t="str">
        <f aca="false">ExportRaw!$E115</f>
        <v/>
      </c>
      <c r="E115" s="185" t="str">
        <f aca="false">ExportRaw!$D115</f>
        <v/>
      </c>
      <c r="F115" s="184" t="str">
        <f aca="false">ExportRaw!$H115</f>
        <v/>
      </c>
      <c r="G115" s="186" t="str">
        <f aca="false">ExportRaw!$I115</f>
        <v/>
      </c>
      <c r="H115" s="184" t="str">
        <f aca="false">ExportRaw!$A115</f>
        <v/>
      </c>
      <c r="I115" s="184" t="str">
        <f aca="false">ExportRaw!$B115</f>
        <v/>
      </c>
    </row>
    <row r="116" customFormat="false" ht="15.75" hidden="false" customHeight="false" outlineLevel="0" collapsed="false">
      <c r="A116" s="184" t="n">
        <f aca="false">ExportRaw!$F116</f>
        <v>0</v>
      </c>
      <c r="B116" s="184" t="n">
        <f aca="false">ExportRaw!$C116</f>
        <v>0</v>
      </c>
      <c r="C116" s="184" t="n">
        <f aca="false">ExportRaw!$G116</f>
        <v>0</v>
      </c>
      <c r="D116" s="184" t="str">
        <f aca="false">ExportRaw!$E116</f>
        <v/>
      </c>
      <c r="E116" s="185" t="str">
        <f aca="false">ExportRaw!$D116</f>
        <v/>
      </c>
      <c r="F116" s="184" t="str">
        <f aca="false">ExportRaw!$H116</f>
        <v/>
      </c>
      <c r="G116" s="186" t="str">
        <f aca="false">ExportRaw!$I116</f>
        <v/>
      </c>
      <c r="H116" s="184" t="str">
        <f aca="false">ExportRaw!$A116</f>
        <v/>
      </c>
      <c r="I116" s="184" t="str">
        <f aca="false">ExportRaw!$B116</f>
        <v/>
      </c>
    </row>
    <row r="117" customFormat="false" ht="15.75" hidden="false" customHeight="false" outlineLevel="0" collapsed="false">
      <c r="A117" s="184" t="n">
        <f aca="false">ExportRaw!$F117</f>
        <v>0</v>
      </c>
      <c r="B117" s="184" t="n">
        <f aca="false">ExportRaw!$C117</f>
        <v>0</v>
      </c>
      <c r="C117" s="184" t="n">
        <f aca="false">ExportRaw!$G117</f>
        <v>0</v>
      </c>
      <c r="D117" s="184" t="str">
        <f aca="false">ExportRaw!$E117</f>
        <v/>
      </c>
      <c r="E117" s="185" t="str">
        <f aca="false">ExportRaw!$D117</f>
        <v/>
      </c>
      <c r="F117" s="184" t="str">
        <f aca="false">ExportRaw!$H117</f>
        <v/>
      </c>
      <c r="G117" s="186" t="str">
        <f aca="false">ExportRaw!$I117</f>
        <v/>
      </c>
      <c r="H117" s="184" t="str">
        <f aca="false">ExportRaw!$A117</f>
        <v/>
      </c>
      <c r="I117" s="184" t="str">
        <f aca="false">ExportRaw!$B117</f>
        <v/>
      </c>
    </row>
    <row r="118" customFormat="false" ht="15.75" hidden="false" customHeight="false" outlineLevel="0" collapsed="false">
      <c r="A118" s="184" t="n">
        <f aca="false">ExportRaw!$F118</f>
        <v>0</v>
      </c>
      <c r="B118" s="184" t="n">
        <f aca="false">ExportRaw!$C118</f>
        <v>0</v>
      </c>
      <c r="C118" s="184" t="n">
        <f aca="false">ExportRaw!$G118</f>
        <v>0</v>
      </c>
      <c r="D118" s="184" t="str">
        <f aca="false">ExportRaw!$E118</f>
        <v/>
      </c>
      <c r="E118" s="185" t="str">
        <f aca="false">ExportRaw!$D118</f>
        <v/>
      </c>
      <c r="F118" s="184" t="str">
        <f aca="false">ExportRaw!$H118</f>
        <v/>
      </c>
      <c r="G118" s="186" t="str">
        <f aca="false">ExportRaw!$I118</f>
        <v/>
      </c>
      <c r="H118" s="184" t="str">
        <f aca="false">ExportRaw!$A118</f>
        <v/>
      </c>
      <c r="I118" s="184" t="str">
        <f aca="false">ExportRaw!$B118</f>
        <v/>
      </c>
    </row>
    <row r="119" customFormat="false" ht="15.75" hidden="false" customHeight="false" outlineLevel="0" collapsed="false">
      <c r="A119" s="184" t="n">
        <f aca="false">ExportRaw!$F119</f>
        <v>0</v>
      </c>
      <c r="B119" s="184" t="n">
        <f aca="false">ExportRaw!$C119</f>
        <v>0</v>
      </c>
      <c r="C119" s="184" t="n">
        <f aca="false">ExportRaw!$G119</f>
        <v>0</v>
      </c>
      <c r="D119" s="184" t="str">
        <f aca="false">ExportRaw!$E119</f>
        <v/>
      </c>
      <c r="E119" s="185" t="str">
        <f aca="false">ExportRaw!$D119</f>
        <v/>
      </c>
      <c r="F119" s="184" t="str">
        <f aca="false">ExportRaw!$H119</f>
        <v/>
      </c>
      <c r="G119" s="186" t="str">
        <f aca="false">ExportRaw!$I119</f>
        <v/>
      </c>
      <c r="H119" s="184" t="str">
        <f aca="false">ExportRaw!$A119</f>
        <v/>
      </c>
      <c r="I119" s="184" t="str">
        <f aca="false">ExportRaw!$B119</f>
        <v/>
      </c>
    </row>
    <row r="120" customFormat="false" ht="15.75" hidden="false" customHeight="false" outlineLevel="0" collapsed="false">
      <c r="A120" s="184" t="n">
        <f aca="false">ExportRaw!$F120</f>
        <v>0</v>
      </c>
      <c r="B120" s="184" t="n">
        <f aca="false">ExportRaw!$C120</f>
        <v>0</v>
      </c>
      <c r="C120" s="184" t="n">
        <f aca="false">ExportRaw!$G120</f>
        <v>0</v>
      </c>
      <c r="D120" s="184" t="str">
        <f aca="false">ExportRaw!$E120</f>
        <v/>
      </c>
      <c r="E120" s="185" t="str">
        <f aca="false">ExportRaw!$D120</f>
        <v/>
      </c>
      <c r="F120" s="184" t="str">
        <f aca="false">ExportRaw!$H120</f>
        <v/>
      </c>
      <c r="G120" s="186" t="str">
        <f aca="false">ExportRaw!$I120</f>
        <v/>
      </c>
      <c r="H120" s="184" t="str">
        <f aca="false">ExportRaw!$A120</f>
        <v/>
      </c>
      <c r="I120" s="184" t="str">
        <f aca="false">ExportRaw!$B120</f>
        <v/>
      </c>
    </row>
    <row r="121" customFormat="false" ht="15.75" hidden="false" customHeight="false" outlineLevel="0" collapsed="false">
      <c r="A121" s="184" t="n">
        <f aca="false">ExportRaw!$F121</f>
        <v>0</v>
      </c>
      <c r="B121" s="184" t="n">
        <f aca="false">ExportRaw!$C121</f>
        <v>0</v>
      </c>
      <c r="C121" s="184" t="n">
        <f aca="false">ExportRaw!$G121</f>
        <v>0</v>
      </c>
      <c r="D121" s="184" t="str">
        <f aca="false">ExportRaw!$E121</f>
        <v/>
      </c>
      <c r="E121" s="185" t="str">
        <f aca="false">ExportRaw!$D121</f>
        <v/>
      </c>
      <c r="F121" s="184" t="str">
        <f aca="false">ExportRaw!$H121</f>
        <v/>
      </c>
      <c r="G121" s="186" t="str">
        <f aca="false">ExportRaw!$I121</f>
        <v/>
      </c>
      <c r="H121" s="184" t="str">
        <f aca="false">ExportRaw!$A121</f>
        <v/>
      </c>
      <c r="I121" s="184" t="str">
        <f aca="false">ExportRaw!$B121</f>
        <v/>
      </c>
    </row>
    <row r="122" customFormat="false" ht="15.75" hidden="false" customHeight="false" outlineLevel="0" collapsed="false">
      <c r="A122" s="184" t="n">
        <f aca="false">ExportRaw!$F122</f>
        <v>0</v>
      </c>
      <c r="B122" s="184" t="n">
        <f aca="false">ExportRaw!$C122</f>
        <v>0</v>
      </c>
      <c r="C122" s="184" t="n">
        <f aca="false">ExportRaw!$G122</f>
        <v>0</v>
      </c>
      <c r="D122" s="184" t="str">
        <f aca="false">ExportRaw!$E122</f>
        <v/>
      </c>
      <c r="E122" s="185" t="str">
        <f aca="false">ExportRaw!$D122</f>
        <v/>
      </c>
      <c r="F122" s="184" t="str">
        <f aca="false">ExportRaw!$H122</f>
        <v/>
      </c>
      <c r="G122" s="186" t="str">
        <f aca="false">ExportRaw!$I122</f>
        <v/>
      </c>
      <c r="H122" s="184" t="str">
        <f aca="false">ExportRaw!$A122</f>
        <v/>
      </c>
      <c r="I122" s="184" t="str">
        <f aca="false">ExportRaw!$B122</f>
        <v/>
      </c>
    </row>
    <row r="123" customFormat="false" ht="15.75" hidden="false" customHeight="false" outlineLevel="0" collapsed="false">
      <c r="A123" s="184" t="n">
        <f aca="false">ExportRaw!$F123</f>
        <v>0</v>
      </c>
      <c r="B123" s="184" t="n">
        <f aca="false">ExportRaw!$C123</f>
        <v>0</v>
      </c>
      <c r="C123" s="184" t="n">
        <f aca="false">ExportRaw!$G123</f>
        <v>0</v>
      </c>
      <c r="D123" s="184" t="str">
        <f aca="false">ExportRaw!$E123</f>
        <v/>
      </c>
      <c r="E123" s="185" t="str">
        <f aca="false">ExportRaw!$D123</f>
        <v/>
      </c>
      <c r="F123" s="184" t="str">
        <f aca="false">ExportRaw!$H123</f>
        <v/>
      </c>
      <c r="G123" s="186" t="str">
        <f aca="false">ExportRaw!$I123</f>
        <v/>
      </c>
      <c r="H123" s="184" t="str">
        <f aca="false">ExportRaw!$A123</f>
        <v/>
      </c>
      <c r="I123" s="184" t="str">
        <f aca="false">ExportRaw!$B123</f>
        <v/>
      </c>
    </row>
    <row r="124" customFormat="false" ht="15.75" hidden="false" customHeight="false" outlineLevel="0" collapsed="false">
      <c r="A124" s="184" t="n">
        <f aca="false">ExportRaw!$F124</f>
        <v>0</v>
      </c>
      <c r="B124" s="184" t="n">
        <f aca="false">ExportRaw!$C124</f>
        <v>0</v>
      </c>
      <c r="C124" s="184" t="n">
        <f aca="false">ExportRaw!$G124</f>
        <v>0</v>
      </c>
      <c r="D124" s="184" t="str">
        <f aca="false">ExportRaw!$E124</f>
        <v/>
      </c>
      <c r="E124" s="185" t="str">
        <f aca="false">ExportRaw!$D124</f>
        <v/>
      </c>
      <c r="F124" s="184" t="str">
        <f aca="false">ExportRaw!$H124</f>
        <v/>
      </c>
      <c r="G124" s="186" t="str">
        <f aca="false">ExportRaw!$I124</f>
        <v/>
      </c>
      <c r="H124" s="184" t="str">
        <f aca="false">ExportRaw!$A124</f>
        <v/>
      </c>
      <c r="I124" s="184" t="str">
        <f aca="false">ExportRaw!$B124</f>
        <v/>
      </c>
    </row>
    <row r="125" customFormat="false" ht="15.75" hidden="false" customHeight="false" outlineLevel="0" collapsed="false">
      <c r="A125" s="184" t="n">
        <f aca="false">ExportRaw!$F125</f>
        <v>0</v>
      </c>
      <c r="B125" s="184" t="n">
        <f aca="false">ExportRaw!$C125</f>
        <v>0</v>
      </c>
      <c r="C125" s="184" t="n">
        <f aca="false">ExportRaw!$G125</f>
        <v>0</v>
      </c>
      <c r="D125" s="184" t="str">
        <f aca="false">ExportRaw!$E125</f>
        <v/>
      </c>
      <c r="E125" s="185" t="str">
        <f aca="false">ExportRaw!$D125</f>
        <v/>
      </c>
      <c r="F125" s="184" t="str">
        <f aca="false">ExportRaw!$H125</f>
        <v/>
      </c>
      <c r="G125" s="186" t="str">
        <f aca="false">ExportRaw!$I125</f>
        <v/>
      </c>
      <c r="H125" s="184" t="str">
        <f aca="false">ExportRaw!$A125</f>
        <v/>
      </c>
      <c r="I125" s="184" t="str">
        <f aca="false">ExportRaw!$B125</f>
        <v/>
      </c>
    </row>
    <row r="126" customFormat="false" ht="15.75" hidden="false" customHeight="false" outlineLevel="0" collapsed="false">
      <c r="A126" s="184" t="n">
        <f aca="false">ExportRaw!$F126</f>
        <v>0</v>
      </c>
      <c r="B126" s="184" t="n">
        <f aca="false">ExportRaw!$C126</f>
        <v>0</v>
      </c>
      <c r="C126" s="184" t="n">
        <f aca="false">ExportRaw!$G126</f>
        <v>0</v>
      </c>
      <c r="D126" s="184" t="str">
        <f aca="false">ExportRaw!$E126</f>
        <v/>
      </c>
      <c r="E126" s="185" t="str">
        <f aca="false">ExportRaw!$D126</f>
        <v/>
      </c>
      <c r="F126" s="184" t="str">
        <f aca="false">ExportRaw!$H126</f>
        <v/>
      </c>
      <c r="G126" s="186" t="str">
        <f aca="false">ExportRaw!$I126</f>
        <v/>
      </c>
      <c r="H126" s="184" t="str">
        <f aca="false">ExportRaw!$A126</f>
        <v/>
      </c>
      <c r="I126" s="184" t="str">
        <f aca="false">ExportRaw!$B126</f>
        <v/>
      </c>
    </row>
    <row r="127" customFormat="false" ht="15.75" hidden="false" customHeight="false" outlineLevel="0" collapsed="false">
      <c r="A127" s="184" t="n">
        <f aca="false">ExportRaw!$F127</f>
        <v>0</v>
      </c>
      <c r="B127" s="184" t="n">
        <f aca="false">ExportRaw!$C127</f>
        <v>0</v>
      </c>
      <c r="C127" s="184" t="n">
        <f aca="false">ExportRaw!$G127</f>
        <v>0</v>
      </c>
      <c r="D127" s="184" t="str">
        <f aca="false">ExportRaw!$E127</f>
        <v/>
      </c>
      <c r="E127" s="185" t="str">
        <f aca="false">ExportRaw!$D127</f>
        <v/>
      </c>
      <c r="F127" s="184" t="str">
        <f aca="false">ExportRaw!$H127</f>
        <v/>
      </c>
      <c r="G127" s="186" t="str">
        <f aca="false">ExportRaw!$I127</f>
        <v/>
      </c>
      <c r="H127" s="184" t="str">
        <f aca="false">ExportRaw!$A127</f>
        <v/>
      </c>
      <c r="I127" s="184" t="str">
        <f aca="false">ExportRaw!$B127</f>
        <v/>
      </c>
    </row>
    <row r="128" customFormat="false" ht="15.75" hidden="false" customHeight="false" outlineLevel="0" collapsed="false">
      <c r="A128" s="184" t="n">
        <f aca="false">ExportRaw!$F128</f>
        <v>0</v>
      </c>
      <c r="B128" s="184" t="n">
        <f aca="false">ExportRaw!$C128</f>
        <v>0</v>
      </c>
      <c r="C128" s="184" t="n">
        <f aca="false">ExportRaw!$G128</f>
        <v>0</v>
      </c>
      <c r="D128" s="184" t="str">
        <f aca="false">ExportRaw!$E128</f>
        <v/>
      </c>
      <c r="E128" s="185" t="str">
        <f aca="false">ExportRaw!$D128</f>
        <v/>
      </c>
      <c r="F128" s="184" t="str">
        <f aca="false">ExportRaw!$H128</f>
        <v/>
      </c>
      <c r="G128" s="186" t="str">
        <f aca="false">ExportRaw!$I128</f>
        <v/>
      </c>
      <c r="H128" s="184" t="str">
        <f aca="false">ExportRaw!$A128</f>
        <v/>
      </c>
      <c r="I128" s="184" t="str">
        <f aca="false">ExportRaw!$B128</f>
        <v/>
      </c>
    </row>
    <row r="129" customFormat="false" ht="15.75" hidden="false" customHeight="false" outlineLevel="0" collapsed="false">
      <c r="A129" s="184" t="n">
        <f aca="false">ExportRaw!$F129</f>
        <v>0</v>
      </c>
      <c r="B129" s="184" t="n">
        <f aca="false">ExportRaw!$C129</f>
        <v>0</v>
      </c>
      <c r="C129" s="184" t="n">
        <f aca="false">ExportRaw!$G129</f>
        <v>0</v>
      </c>
      <c r="D129" s="184" t="str">
        <f aca="false">ExportRaw!$E129</f>
        <v/>
      </c>
      <c r="E129" s="185" t="str">
        <f aca="false">ExportRaw!$D129</f>
        <v/>
      </c>
      <c r="F129" s="184" t="str">
        <f aca="false">ExportRaw!$H129</f>
        <v/>
      </c>
      <c r="G129" s="186" t="str">
        <f aca="false">ExportRaw!$I129</f>
        <v/>
      </c>
      <c r="H129" s="184" t="str">
        <f aca="false">ExportRaw!$A129</f>
        <v/>
      </c>
      <c r="I129" s="184" t="str">
        <f aca="false">ExportRaw!$B129</f>
        <v/>
      </c>
    </row>
    <row r="130" customFormat="false" ht="15.75" hidden="false" customHeight="false" outlineLevel="0" collapsed="false">
      <c r="A130" s="184" t="n">
        <f aca="false">ExportRaw!$F130</f>
        <v>0</v>
      </c>
      <c r="B130" s="184" t="n">
        <f aca="false">ExportRaw!$C130</f>
        <v>0</v>
      </c>
      <c r="C130" s="184" t="n">
        <f aca="false">ExportRaw!$G130</f>
        <v>0</v>
      </c>
      <c r="D130" s="184" t="str">
        <f aca="false">ExportRaw!$E130</f>
        <v/>
      </c>
      <c r="E130" s="185" t="str">
        <f aca="false">ExportRaw!$D130</f>
        <v/>
      </c>
      <c r="F130" s="184" t="str">
        <f aca="false">ExportRaw!$H130</f>
        <v/>
      </c>
      <c r="G130" s="186" t="str">
        <f aca="false">ExportRaw!$I130</f>
        <v/>
      </c>
      <c r="H130" s="184" t="str">
        <f aca="false">ExportRaw!$A130</f>
        <v/>
      </c>
      <c r="I130" s="184" t="str">
        <f aca="false">ExportRaw!$B130</f>
        <v/>
      </c>
    </row>
    <row r="131" customFormat="false" ht="15.75" hidden="false" customHeight="false" outlineLevel="0" collapsed="false">
      <c r="A131" s="184" t="n">
        <f aca="false">ExportRaw!$F131</f>
        <v>0</v>
      </c>
      <c r="B131" s="184" t="n">
        <f aca="false">ExportRaw!$C131</f>
        <v>0</v>
      </c>
      <c r="C131" s="184" t="n">
        <f aca="false">ExportRaw!$G131</f>
        <v>0</v>
      </c>
      <c r="D131" s="184" t="str">
        <f aca="false">ExportRaw!$E131</f>
        <v/>
      </c>
      <c r="E131" s="185" t="str">
        <f aca="false">ExportRaw!$D131</f>
        <v/>
      </c>
      <c r="F131" s="184" t="str">
        <f aca="false">ExportRaw!$H131</f>
        <v/>
      </c>
      <c r="G131" s="186" t="str">
        <f aca="false">ExportRaw!$I131</f>
        <v/>
      </c>
      <c r="H131" s="184" t="str">
        <f aca="false">ExportRaw!$A131</f>
        <v/>
      </c>
      <c r="I131" s="184" t="str">
        <f aca="false">ExportRaw!$B131</f>
        <v/>
      </c>
    </row>
    <row r="132" customFormat="false" ht="15.75" hidden="false" customHeight="false" outlineLevel="0" collapsed="false">
      <c r="A132" s="184" t="n">
        <f aca="false">ExportRaw!$F132</f>
        <v>0</v>
      </c>
      <c r="B132" s="184" t="n">
        <f aca="false">ExportRaw!$C132</f>
        <v>0</v>
      </c>
      <c r="C132" s="184" t="n">
        <f aca="false">ExportRaw!$G132</f>
        <v>0</v>
      </c>
      <c r="D132" s="184" t="str">
        <f aca="false">ExportRaw!$E132</f>
        <v/>
      </c>
      <c r="E132" s="185" t="str">
        <f aca="false">ExportRaw!$D132</f>
        <v/>
      </c>
      <c r="F132" s="184" t="str">
        <f aca="false">ExportRaw!$H132</f>
        <v/>
      </c>
      <c r="G132" s="186" t="str">
        <f aca="false">ExportRaw!$I132</f>
        <v/>
      </c>
      <c r="H132" s="184" t="str">
        <f aca="false">ExportRaw!$A132</f>
        <v/>
      </c>
      <c r="I132" s="184" t="str">
        <f aca="false">ExportRaw!$B132</f>
        <v/>
      </c>
    </row>
    <row r="133" customFormat="false" ht="15.75" hidden="false" customHeight="false" outlineLevel="0" collapsed="false">
      <c r="A133" s="184" t="n">
        <f aca="false">ExportRaw!$F133</f>
        <v>0</v>
      </c>
      <c r="B133" s="184" t="n">
        <f aca="false">ExportRaw!$C133</f>
        <v>0</v>
      </c>
      <c r="C133" s="184" t="n">
        <f aca="false">ExportRaw!$G133</f>
        <v>0</v>
      </c>
      <c r="D133" s="184" t="str">
        <f aca="false">ExportRaw!$E133</f>
        <v/>
      </c>
      <c r="E133" s="185" t="str">
        <f aca="false">ExportRaw!$D133</f>
        <v/>
      </c>
      <c r="F133" s="184" t="str">
        <f aca="false">ExportRaw!$H133</f>
        <v/>
      </c>
      <c r="G133" s="186" t="str">
        <f aca="false">ExportRaw!$I133</f>
        <v/>
      </c>
      <c r="H133" s="184" t="str">
        <f aca="false">ExportRaw!$A133</f>
        <v/>
      </c>
      <c r="I133" s="184" t="str">
        <f aca="false">ExportRaw!$B133</f>
        <v/>
      </c>
    </row>
    <row r="134" customFormat="false" ht="15.75" hidden="false" customHeight="false" outlineLevel="0" collapsed="false">
      <c r="A134" s="184" t="n">
        <f aca="false">ExportRaw!$F134</f>
        <v>0</v>
      </c>
      <c r="B134" s="184" t="n">
        <f aca="false">ExportRaw!$C134</f>
        <v>0</v>
      </c>
      <c r="C134" s="184" t="n">
        <f aca="false">ExportRaw!$G134</f>
        <v>0</v>
      </c>
      <c r="D134" s="184" t="str">
        <f aca="false">ExportRaw!$E134</f>
        <v/>
      </c>
      <c r="E134" s="185" t="str">
        <f aca="false">ExportRaw!$D134</f>
        <v/>
      </c>
      <c r="F134" s="184" t="str">
        <f aca="false">ExportRaw!$H134</f>
        <v/>
      </c>
      <c r="G134" s="186" t="str">
        <f aca="false">ExportRaw!$I134</f>
        <v/>
      </c>
      <c r="H134" s="184" t="str">
        <f aca="false">ExportRaw!$A134</f>
        <v/>
      </c>
      <c r="I134" s="184" t="str">
        <f aca="false">ExportRaw!$B134</f>
        <v/>
      </c>
    </row>
    <row r="135" customFormat="false" ht="15.75" hidden="false" customHeight="false" outlineLevel="0" collapsed="false">
      <c r="A135" s="184" t="n">
        <f aca="false">ExportRaw!$F135</f>
        <v>0</v>
      </c>
      <c r="B135" s="184" t="n">
        <f aca="false">ExportRaw!$C135</f>
        <v>0</v>
      </c>
      <c r="C135" s="184" t="n">
        <f aca="false">ExportRaw!$G135</f>
        <v>0</v>
      </c>
      <c r="D135" s="184" t="str">
        <f aca="false">ExportRaw!$E135</f>
        <v/>
      </c>
      <c r="E135" s="185" t="str">
        <f aca="false">ExportRaw!$D135</f>
        <v/>
      </c>
      <c r="F135" s="184" t="str">
        <f aca="false">ExportRaw!$H135</f>
        <v/>
      </c>
      <c r="G135" s="186" t="str">
        <f aca="false">ExportRaw!$I135</f>
        <v/>
      </c>
      <c r="H135" s="184" t="str">
        <f aca="false">ExportRaw!$A135</f>
        <v/>
      </c>
      <c r="I135" s="184" t="str">
        <f aca="false">ExportRaw!$B135</f>
        <v/>
      </c>
    </row>
    <row r="136" customFormat="false" ht="15.75" hidden="false" customHeight="false" outlineLevel="0" collapsed="false">
      <c r="A136" s="184" t="n">
        <f aca="false">ExportRaw!$F136</f>
        <v>0</v>
      </c>
      <c r="B136" s="184" t="n">
        <f aca="false">ExportRaw!$C136</f>
        <v>0</v>
      </c>
      <c r="C136" s="184" t="n">
        <f aca="false">ExportRaw!$G136</f>
        <v>0</v>
      </c>
      <c r="D136" s="184" t="str">
        <f aca="false">ExportRaw!$E136</f>
        <v/>
      </c>
      <c r="E136" s="185" t="str">
        <f aca="false">ExportRaw!$D136</f>
        <v/>
      </c>
      <c r="F136" s="184" t="str">
        <f aca="false">ExportRaw!$H136</f>
        <v/>
      </c>
      <c r="G136" s="186" t="str">
        <f aca="false">ExportRaw!$I136</f>
        <v/>
      </c>
      <c r="H136" s="184" t="str">
        <f aca="false">ExportRaw!$A136</f>
        <v/>
      </c>
      <c r="I136" s="184" t="str">
        <f aca="false">ExportRaw!$B136</f>
        <v/>
      </c>
    </row>
    <row r="137" customFormat="false" ht="15.75" hidden="false" customHeight="false" outlineLevel="0" collapsed="false">
      <c r="A137" s="184" t="n">
        <f aca="false">ExportRaw!$F137</f>
        <v>0</v>
      </c>
      <c r="B137" s="184" t="n">
        <f aca="false">ExportRaw!$C137</f>
        <v>0</v>
      </c>
      <c r="C137" s="184" t="n">
        <f aca="false">ExportRaw!$G137</f>
        <v>0</v>
      </c>
      <c r="D137" s="184" t="str">
        <f aca="false">ExportRaw!$E137</f>
        <v/>
      </c>
      <c r="E137" s="185" t="str">
        <f aca="false">ExportRaw!$D137</f>
        <v/>
      </c>
      <c r="F137" s="184" t="str">
        <f aca="false">ExportRaw!$H137</f>
        <v/>
      </c>
      <c r="G137" s="186" t="str">
        <f aca="false">ExportRaw!$I137</f>
        <v/>
      </c>
      <c r="H137" s="184" t="str">
        <f aca="false">ExportRaw!$A137</f>
        <v/>
      </c>
      <c r="I137" s="184" t="str">
        <f aca="false">ExportRaw!$B137</f>
        <v/>
      </c>
    </row>
    <row r="138" customFormat="false" ht="15.75" hidden="false" customHeight="false" outlineLevel="0" collapsed="false">
      <c r="A138" s="184" t="n">
        <f aca="false">ExportRaw!$F138</f>
        <v>0</v>
      </c>
      <c r="B138" s="184" t="n">
        <f aca="false">ExportRaw!$C138</f>
        <v>0</v>
      </c>
      <c r="C138" s="184" t="n">
        <f aca="false">ExportRaw!$G138</f>
        <v>0</v>
      </c>
      <c r="D138" s="184" t="str">
        <f aca="false">ExportRaw!$E138</f>
        <v/>
      </c>
      <c r="E138" s="185" t="str">
        <f aca="false">ExportRaw!$D138</f>
        <v/>
      </c>
      <c r="F138" s="184" t="str">
        <f aca="false">ExportRaw!$H138</f>
        <v/>
      </c>
      <c r="G138" s="186" t="str">
        <f aca="false">ExportRaw!$I138</f>
        <v/>
      </c>
      <c r="H138" s="184" t="str">
        <f aca="false">ExportRaw!$A138</f>
        <v/>
      </c>
      <c r="I138" s="184" t="str">
        <f aca="false">ExportRaw!$B138</f>
        <v/>
      </c>
    </row>
    <row r="139" customFormat="false" ht="15.75" hidden="false" customHeight="false" outlineLevel="0" collapsed="false">
      <c r="A139" s="184" t="n">
        <f aca="false">ExportRaw!$F139</f>
        <v>0</v>
      </c>
      <c r="B139" s="184" t="n">
        <f aca="false">ExportRaw!$C139</f>
        <v>0</v>
      </c>
      <c r="C139" s="184" t="n">
        <f aca="false">ExportRaw!$G139</f>
        <v>0</v>
      </c>
      <c r="D139" s="184" t="str">
        <f aca="false">ExportRaw!$E139</f>
        <v/>
      </c>
      <c r="E139" s="185" t="str">
        <f aca="false">ExportRaw!$D139</f>
        <v/>
      </c>
      <c r="F139" s="184" t="str">
        <f aca="false">ExportRaw!$H139</f>
        <v/>
      </c>
      <c r="G139" s="186" t="str">
        <f aca="false">ExportRaw!$I139</f>
        <v/>
      </c>
      <c r="H139" s="184" t="str">
        <f aca="false">ExportRaw!$A139</f>
        <v/>
      </c>
      <c r="I139" s="184" t="str">
        <f aca="false">ExportRaw!$B139</f>
        <v/>
      </c>
    </row>
    <row r="140" customFormat="false" ht="15.75" hidden="false" customHeight="false" outlineLevel="0" collapsed="false">
      <c r="A140" s="184" t="n">
        <f aca="false">ExportRaw!$F140</f>
        <v>0</v>
      </c>
      <c r="B140" s="184" t="n">
        <f aca="false">ExportRaw!$C140</f>
        <v>0</v>
      </c>
      <c r="C140" s="184" t="n">
        <f aca="false">ExportRaw!$G140</f>
        <v>0</v>
      </c>
      <c r="D140" s="184" t="str">
        <f aca="false">ExportRaw!$E140</f>
        <v/>
      </c>
      <c r="E140" s="185" t="str">
        <f aca="false">ExportRaw!$D140</f>
        <v/>
      </c>
      <c r="F140" s="184" t="str">
        <f aca="false">ExportRaw!$H140</f>
        <v/>
      </c>
      <c r="G140" s="186" t="str">
        <f aca="false">ExportRaw!$I140</f>
        <v/>
      </c>
      <c r="H140" s="184" t="str">
        <f aca="false">ExportRaw!$A140</f>
        <v/>
      </c>
      <c r="I140" s="184" t="str">
        <f aca="false">ExportRaw!$B140</f>
        <v/>
      </c>
    </row>
    <row r="141" customFormat="false" ht="15.75" hidden="false" customHeight="false" outlineLevel="0" collapsed="false">
      <c r="A141" s="184" t="n">
        <f aca="false">ExportRaw!$F141</f>
        <v>0</v>
      </c>
      <c r="B141" s="184" t="n">
        <f aca="false">ExportRaw!$C141</f>
        <v>0</v>
      </c>
      <c r="C141" s="184" t="n">
        <f aca="false">ExportRaw!$G141</f>
        <v>0</v>
      </c>
      <c r="D141" s="184" t="str">
        <f aca="false">ExportRaw!$E141</f>
        <v/>
      </c>
      <c r="E141" s="185" t="str">
        <f aca="false">ExportRaw!$D141</f>
        <v/>
      </c>
      <c r="F141" s="184" t="str">
        <f aca="false">ExportRaw!$H141</f>
        <v/>
      </c>
      <c r="G141" s="186" t="str">
        <f aca="false">ExportRaw!$I141</f>
        <v/>
      </c>
      <c r="H141" s="184" t="str">
        <f aca="false">ExportRaw!$A141</f>
        <v/>
      </c>
      <c r="I141" s="184" t="str">
        <f aca="false">ExportRaw!$B141</f>
        <v/>
      </c>
    </row>
    <row r="142" customFormat="false" ht="15.75" hidden="false" customHeight="false" outlineLevel="0" collapsed="false">
      <c r="A142" s="184" t="n">
        <f aca="false">ExportRaw!$F142</f>
        <v>0</v>
      </c>
      <c r="B142" s="184" t="n">
        <f aca="false">ExportRaw!$C142</f>
        <v>0</v>
      </c>
      <c r="C142" s="184" t="n">
        <f aca="false">ExportRaw!$G142</f>
        <v>0</v>
      </c>
      <c r="D142" s="184" t="str">
        <f aca="false">ExportRaw!$E142</f>
        <v/>
      </c>
      <c r="E142" s="185" t="str">
        <f aca="false">ExportRaw!$D142</f>
        <v/>
      </c>
      <c r="F142" s="184" t="str">
        <f aca="false">ExportRaw!$H142</f>
        <v/>
      </c>
      <c r="G142" s="186" t="str">
        <f aca="false">ExportRaw!$I142</f>
        <v/>
      </c>
      <c r="H142" s="184" t="str">
        <f aca="false">ExportRaw!$A142</f>
        <v/>
      </c>
      <c r="I142" s="184" t="str">
        <f aca="false">ExportRaw!$B142</f>
        <v/>
      </c>
    </row>
    <row r="143" customFormat="false" ht="15.75" hidden="false" customHeight="false" outlineLevel="0" collapsed="false">
      <c r="A143" s="184" t="n">
        <f aca="false">ExportRaw!$F143</f>
        <v>0</v>
      </c>
      <c r="B143" s="184" t="n">
        <f aca="false">ExportRaw!$C143</f>
        <v>0</v>
      </c>
      <c r="C143" s="184" t="n">
        <f aca="false">ExportRaw!$G143</f>
        <v>0</v>
      </c>
      <c r="D143" s="184" t="str">
        <f aca="false">ExportRaw!$E143</f>
        <v/>
      </c>
      <c r="E143" s="185" t="str">
        <f aca="false">ExportRaw!$D143</f>
        <v/>
      </c>
      <c r="F143" s="184" t="str">
        <f aca="false">ExportRaw!$H143</f>
        <v/>
      </c>
      <c r="G143" s="186" t="str">
        <f aca="false">ExportRaw!$I143</f>
        <v/>
      </c>
      <c r="H143" s="184" t="str">
        <f aca="false">ExportRaw!$A143</f>
        <v/>
      </c>
      <c r="I143" s="184" t="str">
        <f aca="false">ExportRaw!$B143</f>
        <v/>
      </c>
    </row>
    <row r="144" customFormat="false" ht="15.75" hidden="false" customHeight="false" outlineLevel="0" collapsed="false">
      <c r="A144" s="184" t="n">
        <f aca="false">ExportRaw!$F144</f>
        <v>0</v>
      </c>
      <c r="B144" s="184" t="n">
        <f aca="false">ExportRaw!$C144</f>
        <v>0</v>
      </c>
      <c r="C144" s="184" t="n">
        <f aca="false">ExportRaw!$G144</f>
        <v>0</v>
      </c>
      <c r="D144" s="184" t="str">
        <f aca="false">ExportRaw!$E144</f>
        <v/>
      </c>
      <c r="E144" s="185" t="str">
        <f aca="false">ExportRaw!$D144</f>
        <v/>
      </c>
      <c r="F144" s="184" t="str">
        <f aca="false">ExportRaw!$H144</f>
        <v/>
      </c>
      <c r="G144" s="186" t="str">
        <f aca="false">ExportRaw!$I144</f>
        <v/>
      </c>
      <c r="H144" s="184" t="str">
        <f aca="false">ExportRaw!$A144</f>
        <v/>
      </c>
      <c r="I144" s="184" t="str">
        <f aca="false">ExportRaw!$B144</f>
        <v/>
      </c>
    </row>
    <row r="145" customFormat="false" ht="15.75" hidden="false" customHeight="false" outlineLevel="0" collapsed="false">
      <c r="A145" s="184" t="n">
        <f aca="false">ExportRaw!$F145</f>
        <v>0</v>
      </c>
      <c r="B145" s="184" t="n">
        <f aca="false">ExportRaw!$C145</f>
        <v>0</v>
      </c>
      <c r="C145" s="184" t="n">
        <f aca="false">ExportRaw!$G145</f>
        <v>0</v>
      </c>
      <c r="D145" s="184" t="str">
        <f aca="false">ExportRaw!$E145</f>
        <v/>
      </c>
      <c r="E145" s="185" t="str">
        <f aca="false">ExportRaw!$D145</f>
        <v/>
      </c>
      <c r="F145" s="184" t="str">
        <f aca="false">ExportRaw!$H145</f>
        <v/>
      </c>
      <c r="G145" s="186" t="str">
        <f aca="false">ExportRaw!$I145</f>
        <v/>
      </c>
      <c r="H145" s="184" t="str">
        <f aca="false">ExportRaw!$A145</f>
        <v/>
      </c>
      <c r="I145" s="184" t="str">
        <f aca="false">ExportRaw!$B145</f>
        <v/>
      </c>
    </row>
    <row r="146" customFormat="false" ht="15.75" hidden="false" customHeight="false" outlineLevel="0" collapsed="false">
      <c r="A146" s="184" t="n">
        <f aca="false">ExportRaw!$F146</f>
        <v>0</v>
      </c>
      <c r="B146" s="184" t="n">
        <f aca="false">ExportRaw!$C146</f>
        <v>0</v>
      </c>
      <c r="C146" s="184" t="n">
        <f aca="false">ExportRaw!$G146</f>
        <v>0</v>
      </c>
      <c r="D146" s="184" t="str">
        <f aca="false">ExportRaw!$E146</f>
        <v/>
      </c>
      <c r="E146" s="185" t="str">
        <f aca="false">ExportRaw!$D146</f>
        <v/>
      </c>
      <c r="F146" s="184" t="str">
        <f aca="false">ExportRaw!$H146</f>
        <v/>
      </c>
      <c r="G146" s="186" t="str">
        <f aca="false">ExportRaw!$I146</f>
        <v/>
      </c>
      <c r="H146" s="184" t="str">
        <f aca="false">ExportRaw!$A146</f>
        <v/>
      </c>
      <c r="I146" s="184" t="str">
        <f aca="false">ExportRaw!$B146</f>
        <v/>
      </c>
    </row>
    <row r="147" customFormat="false" ht="15.75" hidden="false" customHeight="false" outlineLevel="0" collapsed="false">
      <c r="A147" s="184" t="n">
        <f aca="false">ExportRaw!$F147</f>
        <v>0</v>
      </c>
      <c r="B147" s="184" t="n">
        <f aca="false">ExportRaw!$C147</f>
        <v>0</v>
      </c>
      <c r="C147" s="184" t="n">
        <f aca="false">ExportRaw!$G147</f>
        <v>0</v>
      </c>
      <c r="D147" s="184" t="str">
        <f aca="false">ExportRaw!$E147</f>
        <v/>
      </c>
      <c r="E147" s="185" t="str">
        <f aca="false">ExportRaw!$D147</f>
        <v/>
      </c>
      <c r="F147" s="184" t="str">
        <f aca="false">ExportRaw!$H147</f>
        <v/>
      </c>
      <c r="G147" s="186" t="str">
        <f aca="false">ExportRaw!$I147</f>
        <v/>
      </c>
      <c r="H147" s="184" t="str">
        <f aca="false">ExportRaw!$A147</f>
        <v/>
      </c>
      <c r="I147" s="184" t="str">
        <f aca="false">ExportRaw!$B147</f>
        <v/>
      </c>
    </row>
    <row r="148" customFormat="false" ht="15.75" hidden="false" customHeight="false" outlineLevel="0" collapsed="false">
      <c r="A148" s="184" t="n">
        <f aca="false">ExportRaw!$F148</f>
        <v>0</v>
      </c>
      <c r="B148" s="184" t="n">
        <f aca="false">ExportRaw!$C148</f>
        <v>0</v>
      </c>
      <c r="C148" s="184" t="n">
        <f aca="false">ExportRaw!$G148</f>
        <v>0</v>
      </c>
      <c r="D148" s="184" t="str">
        <f aca="false">ExportRaw!$E148</f>
        <v/>
      </c>
      <c r="E148" s="185" t="str">
        <f aca="false">ExportRaw!$D148</f>
        <v/>
      </c>
      <c r="F148" s="184" t="str">
        <f aca="false">ExportRaw!$H148</f>
        <v/>
      </c>
      <c r="G148" s="186" t="str">
        <f aca="false">ExportRaw!$I148</f>
        <v/>
      </c>
      <c r="H148" s="184" t="str">
        <f aca="false">ExportRaw!$A148</f>
        <v/>
      </c>
      <c r="I148" s="184" t="str">
        <f aca="false">ExportRaw!$B148</f>
        <v/>
      </c>
    </row>
    <row r="149" customFormat="false" ht="15.75" hidden="false" customHeight="false" outlineLevel="0" collapsed="false">
      <c r="A149" s="184" t="n">
        <f aca="false">ExportRaw!$F149</f>
        <v>0</v>
      </c>
      <c r="B149" s="184" t="n">
        <f aca="false">ExportRaw!$C149</f>
        <v>0</v>
      </c>
      <c r="C149" s="184" t="n">
        <f aca="false">ExportRaw!$G149</f>
        <v>0</v>
      </c>
      <c r="D149" s="184" t="str">
        <f aca="false">ExportRaw!$E149</f>
        <v/>
      </c>
      <c r="E149" s="185" t="str">
        <f aca="false">ExportRaw!$D149</f>
        <v/>
      </c>
      <c r="F149" s="184" t="str">
        <f aca="false">ExportRaw!$H149</f>
        <v/>
      </c>
      <c r="G149" s="186" t="str">
        <f aca="false">ExportRaw!$I149</f>
        <v/>
      </c>
      <c r="H149" s="184" t="str">
        <f aca="false">ExportRaw!$A149</f>
        <v/>
      </c>
      <c r="I149" s="184" t="str">
        <f aca="false">ExportRaw!$B149</f>
        <v/>
      </c>
    </row>
    <row r="150" customFormat="false" ht="15.75" hidden="false" customHeight="false" outlineLevel="0" collapsed="false">
      <c r="A150" s="184" t="n">
        <f aca="false">ExportRaw!$F150</f>
        <v>0</v>
      </c>
      <c r="B150" s="184" t="n">
        <f aca="false">ExportRaw!$C150</f>
        <v>0</v>
      </c>
      <c r="C150" s="184" t="n">
        <f aca="false">ExportRaw!$G150</f>
        <v>0</v>
      </c>
      <c r="D150" s="184" t="str">
        <f aca="false">ExportRaw!$E150</f>
        <v/>
      </c>
      <c r="E150" s="185" t="str">
        <f aca="false">ExportRaw!$D150</f>
        <v/>
      </c>
      <c r="F150" s="184" t="str">
        <f aca="false">ExportRaw!$H150</f>
        <v/>
      </c>
      <c r="G150" s="186" t="str">
        <f aca="false">ExportRaw!$I150</f>
        <v/>
      </c>
      <c r="H150" s="184" t="str">
        <f aca="false">ExportRaw!$A150</f>
        <v/>
      </c>
      <c r="I150" s="184" t="str">
        <f aca="false">ExportRaw!$B150</f>
        <v/>
      </c>
    </row>
    <row r="151" customFormat="false" ht="15.75" hidden="false" customHeight="false" outlineLevel="0" collapsed="false">
      <c r="A151" s="184" t="n">
        <f aca="false">ExportRaw!$F151</f>
        <v>0</v>
      </c>
      <c r="B151" s="184" t="n">
        <f aca="false">ExportRaw!$C151</f>
        <v>0</v>
      </c>
      <c r="C151" s="184" t="n">
        <f aca="false">ExportRaw!$G151</f>
        <v>0</v>
      </c>
      <c r="D151" s="184" t="str">
        <f aca="false">ExportRaw!$E151</f>
        <v/>
      </c>
      <c r="E151" s="185" t="str">
        <f aca="false">ExportRaw!$D151</f>
        <v/>
      </c>
      <c r="F151" s="184" t="str">
        <f aca="false">ExportRaw!$H151</f>
        <v/>
      </c>
      <c r="G151" s="186" t="str">
        <f aca="false">ExportRaw!$I151</f>
        <v/>
      </c>
      <c r="H151" s="184" t="str">
        <f aca="false">ExportRaw!$A151</f>
        <v/>
      </c>
      <c r="I151" s="184" t="str">
        <f aca="false">ExportRaw!$B151</f>
        <v/>
      </c>
    </row>
    <row r="152" customFormat="false" ht="15.75" hidden="false" customHeight="false" outlineLevel="0" collapsed="false">
      <c r="A152" s="184" t="n">
        <f aca="false">ExportRaw!$F152</f>
        <v>0</v>
      </c>
      <c r="B152" s="184" t="n">
        <f aca="false">ExportRaw!$C152</f>
        <v>0</v>
      </c>
      <c r="C152" s="184" t="n">
        <f aca="false">ExportRaw!$G152</f>
        <v>0</v>
      </c>
      <c r="D152" s="184" t="str">
        <f aca="false">ExportRaw!$E152</f>
        <v/>
      </c>
      <c r="E152" s="185" t="str">
        <f aca="false">ExportRaw!$D152</f>
        <v/>
      </c>
      <c r="F152" s="184" t="str">
        <f aca="false">ExportRaw!$H152</f>
        <v/>
      </c>
      <c r="G152" s="186" t="str">
        <f aca="false">ExportRaw!$I152</f>
        <v/>
      </c>
      <c r="H152" s="184" t="str">
        <f aca="false">ExportRaw!$A152</f>
        <v/>
      </c>
      <c r="I152" s="184" t="str">
        <f aca="false">ExportRaw!$B152</f>
        <v/>
      </c>
    </row>
    <row r="153" customFormat="false" ht="15.75" hidden="false" customHeight="false" outlineLevel="0" collapsed="false">
      <c r="A153" s="184" t="n">
        <f aca="false">ExportRaw!$F153</f>
        <v>0</v>
      </c>
      <c r="B153" s="184" t="n">
        <f aca="false">ExportRaw!$C153</f>
        <v>0</v>
      </c>
      <c r="C153" s="184" t="n">
        <f aca="false">ExportRaw!$G153</f>
        <v>0</v>
      </c>
      <c r="D153" s="184" t="str">
        <f aca="false">ExportRaw!$E153</f>
        <v/>
      </c>
      <c r="E153" s="185" t="str">
        <f aca="false">ExportRaw!$D153</f>
        <v/>
      </c>
      <c r="F153" s="184" t="str">
        <f aca="false">ExportRaw!$H153</f>
        <v/>
      </c>
      <c r="G153" s="186" t="str">
        <f aca="false">ExportRaw!$I153</f>
        <v/>
      </c>
      <c r="H153" s="184" t="str">
        <f aca="false">ExportRaw!$A153</f>
        <v/>
      </c>
      <c r="I153" s="184" t="str">
        <f aca="false">ExportRaw!$B153</f>
        <v/>
      </c>
    </row>
    <row r="154" customFormat="false" ht="15.75" hidden="false" customHeight="false" outlineLevel="0" collapsed="false">
      <c r="A154" s="184" t="n">
        <f aca="false">ExportRaw!$F154</f>
        <v>0</v>
      </c>
      <c r="B154" s="184" t="n">
        <f aca="false">ExportRaw!$C154</f>
        <v>0</v>
      </c>
      <c r="C154" s="184" t="n">
        <f aca="false">ExportRaw!$G154</f>
        <v>0</v>
      </c>
      <c r="D154" s="184" t="str">
        <f aca="false">ExportRaw!$E154</f>
        <v/>
      </c>
      <c r="E154" s="185" t="str">
        <f aca="false">ExportRaw!$D154</f>
        <v/>
      </c>
      <c r="F154" s="184" t="str">
        <f aca="false">ExportRaw!$H154</f>
        <v/>
      </c>
      <c r="G154" s="186" t="str">
        <f aca="false">ExportRaw!$I154</f>
        <v/>
      </c>
      <c r="H154" s="184" t="str">
        <f aca="false">ExportRaw!$A154</f>
        <v/>
      </c>
      <c r="I154" s="184" t="str">
        <f aca="false">ExportRaw!$B154</f>
        <v/>
      </c>
    </row>
    <row r="155" customFormat="false" ht="15.75" hidden="false" customHeight="false" outlineLevel="0" collapsed="false">
      <c r="A155" s="184" t="n">
        <f aca="false">ExportRaw!$F155</f>
        <v>0</v>
      </c>
      <c r="B155" s="184" t="n">
        <f aca="false">ExportRaw!$C155</f>
        <v>0</v>
      </c>
      <c r="C155" s="184" t="n">
        <f aca="false">ExportRaw!$G155</f>
        <v>0</v>
      </c>
      <c r="D155" s="184" t="str">
        <f aca="false">ExportRaw!$E155</f>
        <v/>
      </c>
      <c r="E155" s="185" t="str">
        <f aca="false">ExportRaw!$D155</f>
        <v/>
      </c>
      <c r="F155" s="184" t="str">
        <f aca="false">ExportRaw!$H155</f>
        <v/>
      </c>
      <c r="G155" s="186" t="str">
        <f aca="false">ExportRaw!$I155</f>
        <v/>
      </c>
      <c r="H155" s="184" t="str">
        <f aca="false">ExportRaw!$A155</f>
        <v/>
      </c>
      <c r="I155" s="184" t="str">
        <f aca="false">ExportRaw!$B155</f>
        <v/>
      </c>
    </row>
    <row r="156" customFormat="false" ht="15.75" hidden="false" customHeight="false" outlineLevel="0" collapsed="false">
      <c r="A156" s="184" t="n">
        <f aca="false">ExportRaw!$F156</f>
        <v>0</v>
      </c>
      <c r="B156" s="184" t="n">
        <f aca="false">ExportRaw!$C156</f>
        <v>0</v>
      </c>
      <c r="C156" s="184" t="n">
        <f aca="false">ExportRaw!$G156</f>
        <v>0</v>
      </c>
      <c r="D156" s="184" t="str">
        <f aca="false">ExportRaw!$E156</f>
        <v/>
      </c>
      <c r="E156" s="185" t="str">
        <f aca="false">ExportRaw!$D156</f>
        <v/>
      </c>
      <c r="F156" s="184" t="str">
        <f aca="false">ExportRaw!$H156</f>
        <v/>
      </c>
      <c r="G156" s="186" t="str">
        <f aca="false">ExportRaw!$I156</f>
        <v/>
      </c>
      <c r="H156" s="184" t="str">
        <f aca="false">ExportRaw!$A156</f>
        <v/>
      </c>
      <c r="I156" s="184" t="str">
        <f aca="false">ExportRaw!$B156</f>
        <v/>
      </c>
    </row>
    <row r="157" customFormat="false" ht="15.75" hidden="false" customHeight="false" outlineLevel="0" collapsed="false">
      <c r="A157" s="184" t="n">
        <f aca="false">ExportRaw!$F157</f>
        <v>0</v>
      </c>
      <c r="B157" s="184" t="n">
        <f aca="false">ExportRaw!$C157</f>
        <v>0</v>
      </c>
      <c r="C157" s="184" t="n">
        <f aca="false">ExportRaw!$G157</f>
        <v>0</v>
      </c>
      <c r="D157" s="184" t="str">
        <f aca="false">ExportRaw!$E157</f>
        <v/>
      </c>
      <c r="E157" s="185" t="str">
        <f aca="false">ExportRaw!$D157</f>
        <v/>
      </c>
      <c r="F157" s="184" t="str">
        <f aca="false">ExportRaw!$H157</f>
        <v/>
      </c>
      <c r="G157" s="186" t="str">
        <f aca="false">ExportRaw!$I157</f>
        <v/>
      </c>
      <c r="H157" s="184" t="str">
        <f aca="false">ExportRaw!$A157</f>
        <v/>
      </c>
      <c r="I157" s="184" t="str">
        <f aca="false">ExportRaw!$B157</f>
        <v/>
      </c>
    </row>
    <row r="158" customFormat="false" ht="15.75" hidden="false" customHeight="false" outlineLevel="0" collapsed="false">
      <c r="A158" s="184" t="n">
        <f aca="false">ExportRaw!$F158</f>
        <v>0</v>
      </c>
      <c r="B158" s="184" t="n">
        <f aca="false">ExportRaw!$C158</f>
        <v>0</v>
      </c>
      <c r="C158" s="184" t="n">
        <f aca="false">ExportRaw!$G158</f>
        <v>0</v>
      </c>
      <c r="D158" s="184" t="str">
        <f aca="false">ExportRaw!$E158</f>
        <v/>
      </c>
      <c r="E158" s="185" t="str">
        <f aca="false">ExportRaw!$D158</f>
        <v/>
      </c>
      <c r="F158" s="184" t="str">
        <f aca="false">ExportRaw!$H158</f>
        <v/>
      </c>
      <c r="G158" s="186" t="str">
        <f aca="false">ExportRaw!$I158</f>
        <v/>
      </c>
      <c r="H158" s="184" t="str">
        <f aca="false">ExportRaw!$A158</f>
        <v/>
      </c>
      <c r="I158" s="184" t="str">
        <f aca="false">ExportRaw!$B158</f>
        <v/>
      </c>
    </row>
    <row r="159" customFormat="false" ht="15.75" hidden="false" customHeight="false" outlineLevel="0" collapsed="false">
      <c r="A159" s="184" t="n">
        <f aca="false">ExportRaw!$F159</f>
        <v>0</v>
      </c>
      <c r="B159" s="184" t="n">
        <f aca="false">ExportRaw!$C159</f>
        <v>0</v>
      </c>
      <c r="C159" s="184" t="n">
        <f aca="false">ExportRaw!$G159</f>
        <v>0</v>
      </c>
      <c r="D159" s="184" t="str">
        <f aca="false">ExportRaw!$E159</f>
        <v/>
      </c>
      <c r="E159" s="185" t="str">
        <f aca="false">ExportRaw!$D159</f>
        <v/>
      </c>
      <c r="F159" s="184" t="str">
        <f aca="false">ExportRaw!$H159</f>
        <v/>
      </c>
      <c r="G159" s="186" t="str">
        <f aca="false">ExportRaw!$I159</f>
        <v/>
      </c>
      <c r="H159" s="184" t="str">
        <f aca="false">ExportRaw!$A159</f>
        <v/>
      </c>
      <c r="I159" s="184" t="str">
        <f aca="false">ExportRaw!$B159</f>
        <v/>
      </c>
    </row>
    <row r="160" customFormat="false" ht="15.75" hidden="false" customHeight="false" outlineLevel="0" collapsed="false">
      <c r="A160" s="184" t="n">
        <f aca="false">ExportRaw!$F160</f>
        <v>0</v>
      </c>
      <c r="B160" s="184" t="n">
        <f aca="false">ExportRaw!$C160</f>
        <v>0</v>
      </c>
      <c r="C160" s="184" t="n">
        <f aca="false">ExportRaw!$G160</f>
        <v>0</v>
      </c>
      <c r="D160" s="184" t="str">
        <f aca="false">ExportRaw!$E160</f>
        <v/>
      </c>
      <c r="E160" s="185" t="str">
        <f aca="false">ExportRaw!$D160</f>
        <v/>
      </c>
      <c r="F160" s="184" t="str">
        <f aca="false">ExportRaw!$H160</f>
        <v/>
      </c>
      <c r="G160" s="186" t="str">
        <f aca="false">ExportRaw!$I160</f>
        <v/>
      </c>
      <c r="H160" s="184" t="str">
        <f aca="false">ExportRaw!$A160</f>
        <v/>
      </c>
      <c r="I160" s="184" t="str">
        <f aca="false">ExportRaw!$B160</f>
        <v/>
      </c>
    </row>
    <row r="161" customFormat="false" ht="15.75" hidden="false" customHeight="false" outlineLevel="0" collapsed="false">
      <c r="A161" s="184" t="n">
        <f aca="false">ExportRaw!$F161</f>
        <v>0</v>
      </c>
      <c r="B161" s="184" t="n">
        <f aca="false">ExportRaw!$C161</f>
        <v>0</v>
      </c>
      <c r="C161" s="184" t="n">
        <f aca="false">ExportRaw!$G161</f>
        <v>0</v>
      </c>
      <c r="D161" s="184" t="str">
        <f aca="false">ExportRaw!$E161</f>
        <v/>
      </c>
      <c r="E161" s="185" t="str">
        <f aca="false">ExportRaw!$D161</f>
        <v/>
      </c>
      <c r="F161" s="184" t="str">
        <f aca="false">ExportRaw!$H161</f>
        <v/>
      </c>
      <c r="G161" s="186" t="str">
        <f aca="false">ExportRaw!$I161</f>
        <v/>
      </c>
      <c r="H161" s="184" t="str">
        <f aca="false">ExportRaw!$A161</f>
        <v/>
      </c>
      <c r="I161" s="184" t="str">
        <f aca="false">ExportRaw!$B161</f>
        <v/>
      </c>
    </row>
    <row r="162" customFormat="false" ht="15.75" hidden="false" customHeight="false" outlineLevel="0" collapsed="false">
      <c r="A162" s="184" t="n">
        <f aca="false">ExportRaw!$F162</f>
        <v>0</v>
      </c>
      <c r="B162" s="184" t="n">
        <f aca="false">ExportRaw!$C162</f>
        <v>0</v>
      </c>
      <c r="C162" s="184" t="n">
        <f aca="false">ExportRaw!$G162</f>
        <v>0</v>
      </c>
      <c r="D162" s="184" t="str">
        <f aca="false">ExportRaw!$E162</f>
        <v/>
      </c>
      <c r="E162" s="185" t="str">
        <f aca="false">ExportRaw!$D162</f>
        <v/>
      </c>
      <c r="F162" s="184" t="str">
        <f aca="false">ExportRaw!$H162</f>
        <v/>
      </c>
      <c r="G162" s="186" t="str">
        <f aca="false">ExportRaw!$I162</f>
        <v/>
      </c>
      <c r="H162" s="184" t="str">
        <f aca="false">ExportRaw!$A162</f>
        <v/>
      </c>
      <c r="I162" s="184" t="str">
        <f aca="false">ExportRaw!$B162</f>
        <v/>
      </c>
    </row>
    <row r="163" customFormat="false" ht="15.75" hidden="false" customHeight="false" outlineLevel="0" collapsed="false">
      <c r="A163" s="184" t="n">
        <f aca="false">ExportRaw!$F163</f>
        <v>0</v>
      </c>
      <c r="B163" s="184" t="n">
        <f aca="false">ExportRaw!$C163</f>
        <v>0</v>
      </c>
      <c r="C163" s="184" t="n">
        <f aca="false">ExportRaw!$G163</f>
        <v>0</v>
      </c>
      <c r="D163" s="184" t="str">
        <f aca="false">ExportRaw!$E163</f>
        <v/>
      </c>
      <c r="E163" s="185" t="str">
        <f aca="false">ExportRaw!$D163</f>
        <v/>
      </c>
      <c r="F163" s="184" t="str">
        <f aca="false">ExportRaw!$H163</f>
        <v/>
      </c>
      <c r="G163" s="186" t="str">
        <f aca="false">ExportRaw!$I163</f>
        <v/>
      </c>
      <c r="H163" s="184" t="str">
        <f aca="false">ExportRaw!$A163</f>
        <v/>
      </c>
      <c r="I163" s="184" t="str">
        <f aca="false">ExportRaw!$B163</f>
        <v/>
      </c>
    </row>
    <row r="164" customFormat="false" ht="15.75" hidden="false" customHeight="false" outlineLevel="0" collapsed="false">
      <c r="A164" s="184" t="n">
        <f aca="false">ExportRaw!$F164</f>
        <v>0</v>
      </c>
      <c r="B164" s="184" t="n">
        <f aca="false">ExportRaw!$C164</f>
        <v>0</v>
      </c>
      <c r="C164" s="184" t="n">
        <f aca="false">ExportRaw!$G164</f>
        <v>0</v>
      </c>
      <c r="D164" s="184" t="str">
        <f aca="false">ExportRaw!$E164</f>
        <v/>
      </c>
      <c r="E164" s="185" t="str">
        <f aca="false">ExportRaw!$D164</f>
        <v/>
      </c>
      <c r="F164" s="184" t="str">
        <f aca="false">ExportRaw!$H164</f>
        <v/>
      </c>
      <c r="G164" s="186" t="str">
        <f aca="false">ExportRaw!$I164</f>
        <v/>
      </c>
      <c r="H164" s="184" t="str">
        <f aca="false">ExportRaw!$A164</f>
        <v/>
      </c>
      <c r="I164" s="184" t="str">
        <f aca="false">ExportRaw!$B164</f>
        <v/>
      </c>
    </row>
    <row r="165" customFormat="false" ht="15.75" hidden="false" customHeight="false" outlineLevel="0" collapsed="false">
      <c r="A165" s="184" t="n">
        <f aca="false">ExportRaw!$F165</f>
        <v>0</v>
      </c>
      <c r="B165" s="184" t="n">
        <f aca="false">ExportRaw!$C165</f>
        <v>0</v>
      </c>
      <c r="C165" s="184" t="n">
        <f aca="false">ExportRaw!$G165</f>
        <v>0</v>
      </c>
      <c r="D165" s="184" t="str">
        <f aca="false">ExportRaw!$E165</f>
        <v/>
      </c>
      <c r="E165" s="185" t="str">
        <f aca="false">ExportRaw!$D165</f>
        <v/>
      </c>
      <c r="F165" s="184" t="str">
        <f aca="false">ExportRaw!$H165</f>
        <v/>
      </c>
      <c r="G165" s="186" t="str">
        <f aca="false">ExportRaw!$I165</f>
        <v/>
      </c>
      <c r="H165" s="184" t="str">
        <f aca="false">ExportRaw!$A165</f>
        <v/>
      </c>
      <c r="I165" s="184" t="str">
        <f aca="false">ExportRaw!$B165</f>
        <v/>
      </c>
    </row>
    <row r="166" customFormat="false" ht="15.75" hidden="false" customHeight="false" outlineLevel="0" collapsed="false">
      <c r="A166" s="184" t="n">
        <f aca="false">ExportRaw!$F166</f>
        <v>0</v>
      </c>
      <c r="B166" s="184" t="n">
        <f aca="false">ExportRaw!$C166</f>
        <v>0</v>
      </c>
      <c r="C166" s="184" t="n">
        <f aca="false">ExportRaw!$G166</f>
        <v>0</v>
      </c>
      <c r="D166" s="184" t="str">
        <f aca="false">ExportRaw!$E166</f>
        <v/>
      </c>
      <c r="E166" s="185" t="str">
        <f aca="false">ExportRaw!$D166</f>
        <v/>
      </c>
      <c r="F166" s="184" t="str">
        <f aca="false">ExportRaw!$H166</f>
        <v/>
      </c>
      <c r="G166" s="186" t="str">
        <f aca="false">ExportRaw!$I166</f>
        <v/>
      </c>
      <c r="H166" s="184" t="str">
        <f aca="false">ExportRaw!$A166</f>
        <v/>
      </c>
      <c r="I166" s="184" t="str">
        <f aca="false">ExportRaw!$B166</f>
        <v/>
      </c>
    </row>
    <row r="167" customFormat="false" ht="15.75" hidden="false" customHeight="false" outlineLevel="0" collapsed="false">
      <c r="A167" s="184" t="n">
        <f aca="false">ExportRaw!$F167</f>
        <v>0</v>
      </c>
      <c r="B167" s="184" t="n">
        <f aca="false">ExportRaw!$C167</f>
        <v>0</v>
      </c>
      <c r="C167" s="184" t="n">
        <f aca="false">ExportRaw!$G167</f>
        <v>0</v>
      </c>
      <c r="D167" s="184" t="str">
        <f aca="false">ExportRaw!$E167</f>
        <v/>
      </c>
      <c r="E167" s="185" t="str">
        <f aca="false">ExportRaw!$D167</f>
        <v/>
      </c>
      <c r="F167" s="184" t="str">
        <f aca="false">ExportRaw!$H167</f>
        <v/>
      </c>
      <c r="G167" s="186" t="str">
        <f aca="false">ExportRaw!$I167</f>
        <v/>
      </c>
      <c r="H167" s="184" t="str">
        <f aca="false">ExportRaw!$A167</f>
        <v/>
      </c>
      <c r="I167" s="184" t="str">
        <f aca="false">ExportRaw!$B167</f>
        <v/>
      </c>
    </row>
    <row r="168" customFormat="false" ht="15.75" hidden="false" customHeight="false" outlineLevel="0" collapsed="false">
      <c r="A168" s="184" t="n">
        <f aca="false">ExportRaw!$F168</f>
        <v>0</v>
      </c>
      <c r="B168" s="184" t="n">
        <f aca="false">ExportRaw!$C168</f>
        <v>0</v>
      </c>
      <c r="C168" s="184" t="n">
        <f aca="false">ExportRaw!$G168</f>
        <v>0</v>
      </c>
      <c r="D168" s="184" t="str">
        <f aca="false">ExportRaw!$E168</f>
        <v/>
      </c>
      <c r="E168" s="185" t="str">
        <f aca="false">ExportRaw!$D168</f>
        <v/>
      </c>
      <c r="F168" s="184" t="str">
        <f aca="false">ExportRaw!$H168</f>
        <v/>
      </c>
      <c r="G168" s="186" t="str">
        <f aca="false">ExportRaw!$I168</f>
        <v/>
      </c>
      <c r="H168" s="184" t="str">
        <f aca="false">ExportRaw!$A168</f>
        <v/>
      </c>
      <c r="I168" s="184" t="str">
        <f aca="false">ExportRaw!$B168</f>
        <v/>
      </c>
    </row>
    <row r="169" customFormat="false" ht="15.75" hidden="false" customHeight="false" outlineLevel="0" collapsed="false">
      <c r="A169" s="184" t="n">
        <f aca="false">ExportRaw!$F169</f>
        <v>0</v>
      </c>
      <c r="B169" s="184" t="n">
        <f aca="false">ExportRaw!$C169</f>
        <v>0</v>
      </c>
      <c r="C169" s="184" t="n">
        <f aca="false">ExportRaw!$G169</f>
        <v>0</v>
      </c>
      <c r="D169" s="184" t="str">
        <f aca="false">ExportRaw!$E169</f>
        <v/>
      </c>
      <c r="E169" s="185" t="str">
        <f aca="false">ExportRaw!$D169</f>
        <v/>
      </c>
      <c r="F169" s="184" t="str">
        <f aca="false">ExportRaw!$H169</f>
        <v/>
      </c>
      <c r="G169" s="186" t="str">
        <f aca="false">ExportRaw!$I169</f>
        <v/>
      </c>
      <c r="H169" s="184" t="str">
        <f aca="false">ExportRaw!$A169</f>
        <v/>
      </c>
      <c r="I169" s="184" t="str">
        <f aca="false">ExportRaw!$B169</f>
        <v/>
      </c>
    </row>
    <row r="170" customFormat="false" ht="15.75" hidden="false" customHeight="false" outlineLevel="0" collapsed="false">
      <c r="A170" s="184" t="n">
        <f aca="false">ExportRaw!$F170</f>
        <v>0</v>
      </c>
      <c r="B170" s="184" t="n">
        <f aca="false">ExportRaw!$C170</f>
        <v>0</v>
      </c>
      <c r="C170" s="184" t="n">
        <f aca="false">ExportRaw!$G170</f>
        <v>0</v>
      </c>
      <c r="D170" s="184" t="str">
        <f aca="false">ExportRaw!$E170</f>
        <v/>
      </c>
      <c r="E170" s="185" t="str">
        <f aca="false">ExportRaw!$D170</f>
        <v/>
      </c>
      <c r="F170" s="184" t="str">
        <f aca="false">ExportRaw!$H170</f>
        <v/>
      </c>
      <c r="G170" s="186" t="str">
        <f aca="false">ExportRaw!$I170</f>
        <v/>
      </c>
      <c r="H170" s="184" t="str">
        <f aca="false">ExportRaw!$A170</f>
        <v/>
      </c>
      <c r="I170" s="184" t="str">
        <f aca="false">ExportRaw!$B170</f>
        <v/>
      </c>
    </row>
    <row r="171" customFormat="false" ht="15.75" hidden="false" customHeight="false" outlineLevel="0" collapsed="false">
      <c r="A171" s="184" t="n">
        <f aca="false">ExportRaw!$F171</f>
        <v>0</v>
      </c>
      <c r="B171" s="184" t="n">
        <f aca="false">ExportRaw!$C171</f>
        <v>0</v>
      </c>
      <c r="C171" s="184" t="n">
        <f aca="false">ExportRaw!$G171</f>
        <v>0</v>
      </c>
      <c r="D171" s="184" t="str">
        <f aca="false">ExportRaw!$E171</f>
        <v/>
      </c>
      <c r="E171" s="185" t="str">
        <f aca="false">ExportRaw!$D171</f>
        <v/>
      </c>
      <c r="F171" s="184" t="str">
        <f aca="false">ExportRaw!$H171</f>
        <v/>
      </c>
      <c r="G171" s="186" t="str">
        <f aca="false">ExportRaw!$I171</f>
        <v/>
      </c>
      <c r="H171" s="184" t="str">
        <f aca="false">ExportRaw!$A171</f>
        <v/>
      </c>
      <c r="I171" s="184" t="str">
        <f aca="false">ExportRaw!$B171</f>
        <v/>
      </c>
    </row>
    <row r="172" customFormat="false" ht="15.75" hidden="false" customHeight="false" outlineLevel="0" collapsed="false">
      <c r="A172" s="184" t="n">
        <f aca="false">ExportRaw!$F172</f>
        <v>0</v>
      </c>
      <c r="B172" s="184" t="n">
        <f aca="false">ExportRaw!$C172</f>
        <v>0</v>
      </c>
      <c r="C172" s="184" t="n">
        <f aca="false">ExportRaw!$G172</f>
        <v>0</v>
      </c>
      <c r="D172" s="184" t="str">
        <f aca="false">ExportRaw!$E172</f>
        <v/>
      </c>
      <c r="E172" s="185" t="str">
        <f aca="false">ExportRaw!$D172</f>
        <v/>
      </c>
      <c r="F172" s="184" t="str">
        <f aca="false">ExportRaw!$H172</f>
        <v/>
      </c>
      <c r="G172" s="186" t="str">
        <f aca="false">ExportRaw!$I172</f>
        <v/>
      </c>
      <c r="H172" s="184" t="str">
        <f aca="false">ExportRaw!$A172</f>
        <v/>
      </c>
      <c r="I172" s="184" t="str">
        <f aca="false">ExportRaw!$B172</f>
        <v/>
      </c>
    </row>
    <row r="173" customFormat="false" ht="15.75" hidden="false" customHeight="false" outlineLevel="0" collapsed="false">
      <c r="A173" s="184" t="n">
        <f aca="false">ExportRaw!$F173</f>
        <v>0</v>
      </c>
      <c r="B173" s="184" t="n">
        <f aca="false">ExportRaw!$C173</f>
        <v>0</v>
      </c>
      <c r="C173" s="184" t="n">
        <f aca="false">ExportRaw!$G173</f>
        <v>0</v>
      </c>
      <c r="D173" s="184" t="str">
        <f aca="false">ExportRaw!$E173</f>
        <v/>
      </c>
      <c r="E173" s="185" t="str">
        <f aca="false">ExportRaw!$D173</f>
        <v/>
      </c>
      <c r="F173" s="184" t="str">
        <f aca="false">ExportRaw!$H173</f>
        <v/>
      </c>
      <c r="G173" s="186" t="str">
        <f aca="false">ExportRaw!$I173</f>
        <v/>
      </c>
      <c r="H173" s="184" t="str">
        <f aca="false">ExportRaw!$A173</f>
        <v/>
      </c>
      <c r="I173" s="184" t="str">
        <f aca="false">ExportRaw!$B173</f>
        <v/>
      </c>
    </row>
    <row r="174" customFormat="false" ht="15.75" hidden="false" customHeight="false" outlineLevel="0" collapsed="false">
      <c r="A174" s="184" t="n">
        <f aca="false">ExportRaw!$F174</f>
        <v>0</v>
      </c>
      <c r="B174" s="184" t="n">
        <f aca="false">ExportRaw!$C174</f>
        <v>0</v>
      </c>
      <c r="C174" s="184" t="n">
        <f aca="false">ExportRaw!$G174</f>
        <v>0</v>
      </c>
      <c r="D174" s="184" t="str">
        <f aca="false">ExportRaw!$E174</f>
        <v/>
      </c>
      <c r="E174" s="185" t="str">
        <f aca="false">ExportRaw!$D174</f>
        <v/>
      </c>
      <c r="F174" s="184" t="str">
        <f aca="false">ExportRaw!$H174</f>
        <v/>
      </c>
      <c r="G174" s="186" t="str">
        <f aca="false">ExportRaw!$I174</f>
        <v/>
      </c>
      <c r="H174" s="184" t="str">
        <f aca="false">ExportRaw!$A174</f>
        <v/>
      </c>
      <c r="I174" s="184" t="str">
        <f aca="false">ExportRaw!$B174</f>
        <v/>
      </c>
    </row>
    <row r="175" customFormat="false" ht="15.75" hidden="false" customHeight="false" outlineLevel="0" collapsed="false">
      <c r="A175" s="184" t="n">
        <f aca="false">ExportRaw!$F175</f>
        <v>0</v>
      </c>
      <c r="B175" s="184" t="n">
        <f aca="false">ExportRaw!$C175</f>
        <v>0</v>
      </c>
      <c r="C175" s="184" t="n">
        <f aca="false">ExportRaw!$G175</f>
        <v>0</v>
      </c>
      <c r="D175" s="184" t="str">
        <f aca="false">ExportRaw!$E175</f>
        <v/>
      </c>
      <c r="E175" s="185" t="str">
        <f aca="false">ExportRaw!$D175</f>
        <v/>
      </c>
      <c r="F175" s="184" t="str">
        <f aca="false">ExportRaw!$H175</f>
        <v/>
      </c>
      <c r="G175" s="186" t="str">
        <f aca="false">ExportRaw!$I175</f>
        <v/>
      </c>
      <c r="H175" s="184" t="str">
        <f aca="false">ExportRaw!$A175</f>
        <v/>
      </c>
      <c r="I175" s="184" t="str">
        <f aca="false">ExportRaw!$B175</f>
        <v/>
      </c>
    </row>
    <row r="176" customFormat="false" ht="15.75" hidden="false" customHeight="false" outlineLevel="0" collapsed="false">
      <c r="A176" s="184" t="n">
        <f aca="false">ExportRaw!$F176</f>
        <v>0</v>
      </c>
      <c r="B176" s="184" t="n">
        <f aca="false">ExportRaw!$C176</f>
        <v>0</v>
      </c>
      <c r="C176" s="184" t="n">
        <f aca="false">ExportRaw!$G176</f>
        <v>0</v>
      </c>
      <c r="D176" s="184" t="str">
        <f aca="false">ExportRaw!$E176</f>
        <v/>
      </c>
      <c r="E176" s="185" t="str">
        <f aca="false">ExportRaw!$D176</f>
        <v/>
      </c>
      <c r="F176" s="184" t="str">
        <f aca="false">ExportRaw!$H176</f>
        <v/>
      </c>
      <c r="G176" s="186" t="str">
        <f aca="false">ExportRaw!$I176</f>
        <v/>
      </c>
      <c r="H176" s="184" t="str">
        <f aca="false">ExportRaw!$A176</f>
        <v/>
      </c>
      <c r="I176" s="184" t="str">
        <f aca="false">ExportRaw!$B176</f>
        <v/>
      </c>
    </row>
    <row r="177" customFormat="false" ht="15.75" hidden="false" customHeight="false" outlineLevel="0" collapsed="false">
      <c r="A177" s="184" t="n">
        <f aca="false">ExportRaw!$F177</f>
        <v>0</v>
      </c>
      <c r="B177" s="184" t="n">
        <f aca="false">ExportRaw!$C177</f>
        <v>0</v>
      </c>
      <c r="C177" s="184" t="n">
        <f aca="false">ExportRaw!$G177</f>
        <v>0</v>
      </c>
      <c r="D177" s="184" t="str">
        <f aca="false">ExportRaw!$E177</f>
        <v/>
      </c>
      <c r="E177" s="185" t="str">
        <f aca="false">ExportRaw!$D177</f>
        <v/>
      </c>
      <c r="F177" s="184" t="str">
        <f aca="false">ExportRaw!$H177</f>
        <v/>
      </c>
      <c r="G177" s="186" t="str">
        <f aca="false">ExportRaw!$I177</f>
        <v/>
      </c>
      <c r="H177" s="184" t="str">
        <f aca="false">ExportRaw!$A177</f>
        <v/>
      </c>
      <c r="I177" s="184" t="str">
        <f aca="false">ExportRaw!$B177</f>
        <v/>
      </c>
    </row>
    <row r="178" customFormat="false" ht="15.75" hidden="false" customHeight="false" outlineLevel="0" collapsed="false">
      <c r="A178" s="184" t="n">
        <f aca="false">ExportRaw!$F178</f>
        <v>0</v>
      </c>
      <c r="B178" s="184" t="n">
        <f aca="false">ExportRaw!$C178</f>
        <v>0</v>
      </c>
      <c r="C178" s="184" t="n">
        <f aca="false">ExportRaw!$G178</f>
        <v>0</v>
      </c>
      <c r="D178" s="184" t="str">
        <f aca="false">ExportRaw!$E178</f>
        <v/>
      </c>
      <c r="E178" s="185" t="str">
        <f aca="false">ExportRaw!$D178</f>
        <v/>
      </c>
      <c r="F178" s="184" t="str">
        <f aca="false">ExportRaw!$H178</f>
        <v/>
      </c>
      <c r="G178" s="186" t="str">
        <f aca="false">ExportRaw!$I178</f>
        <v/>
      </c>
      <c r="H178" s="184" t="str">
        <f aca="false">ExportRaw!$A178</f>
        <v/>
      </c>
      <c r="I178" s="184" t="str">
        <f aca="false">ExportRaw!$B178</f>
        <v/>
      </c>
    </row>
    <row r="179" customFormat="false" ht="15.75" hidden="false" customHeight="false" outlineLevel="0" collapsed="false">
      <c r="A179" s="184" t="n">
        <f aca="false">ExportRaw!$F179</f>
        <v>0</v>
      </c>
      <c r="B179" s="184" t="n">
        <f aca="false">ExportRaw!$C179</f>
        <v>0</v>
      </c>
      <c r="C179" s="184" t="n">
        <f aca="false">ExportRaw!$G179</f>
        <v>0</v>
      </c>
      <c r="D179" s="184" t="str">
        <f aca="false">ExportRaw!$E179</f>
        <v/>
      </c>
      <c r="E179" s="185" t="str">
        <f aca="false">ExportRaw!$D179</f>
        <v/>
      </c>
      <c r="F179" s="184" t="str">
        <f aca="false">ExportRaw!$H179</f>
        <v/>
      </c>
      <c r="G179" s="186" t="str">
        <f aca="false">ExportRaw!$I179</f>
        <v/>
      </c>
      <c r="H179" s="184" t="str">
        <f aca="false">ExportRaw!$A179</f>
        <v/>
      </c>
      <c r="I179" s="184" t="str">
        <f aca="false">ExportRaw!$B179</f>
        <v/>
      </c>
    </row>
    <row r="180" customFormat="false" ht="15.75" hidden="false" customHeight="false" outlineLevel="0" collapsed="false">
      <c r="A180" s="184" t="n">
        <f aca="false">ExportRaw!$F180</f>
        <v>0</v>
      </c>
      <c r="B180" s="184" t="n">
        <f aca="false">ExportRaw!$C180</f>
        <v>0</v>
      </c>
      <c r="C180" s="184" t="n">
        <f aca="false">ExportRaw!$G180</f>
        <v>0</v>
      </c>
      <c r="D180" s="184" t="str">
        <f aca="false">ExportRaw!$E180</f>
        <v/>
      </c>
      <c r="E180" s="185" t="str">
        <f aca="false">ExportRaw!$D180</f>
        <v/>
      </c>
      <c r="F180" s="184" t="str">
        <f aca="false">ExportRaw!$H180</f>
        <v/>
      </c>
      <c r="G180" s="186" t="str">
        <f aca="false">ExportRaw!$I180</f>
        <v/>
      </c>
      <c r="H180" s="184" t="str">
        <f aca="false">ExportRaw!$A180</f>
        <v/>
      </c>
      <c r="I180" s="184" t="str">
        <f aca="false">ExportRaw!$B180</f>
        <v/>
      </c>
    </row>
    <row r="181" customFormat="false" ht="15.75" hidden="false" customHeight="false" outlineLevel="0" collapsed="false">
      <c r="A181" s="184" t="n">
        <f aca="false">ExportRaw!$F181</f>
        <v>0</v>
      </c>
      <c r="B181" s="184" t="n">
        <f aca="false">ExportRaw!$C181</f>
        <v>0</v>
      </c>
      <c r="C181" s="184" t="n">
        <f aca="false">ExportRaw!$G181</f>
        <v>0</v>
      </c>
      <c r="D181" s="184" t="str">
        <f aca="false">ExportRaw!$E181</f>
        <v/>
      </c>
      <c r="E181" s="185" t="str">
        <f aca="false">ExportRaw!$D181</f>
        <v/>
      </c>
      <c r="F181" s="184" t="str">
        <f aca="false">ExportRaw!$H181</f>
        <v/>
      </c>
      <c r="G181" s="186" t="str">
        <f aca="false">ExportRaw!$I181</f>
        <v/>
      </c>
      <c r="H181" s="184" t="str">
        <f aca="false">ExportRaw!$A181</f>
        <v/>
      </c>
      <c r="I181" s="184" t="str">
        <f aca="false">ExportRaw!$B181</f>
        <v/>
      </c>
    </row>
    <row r="182" customFormat="false" ht="15.75" hidden="false" customHeight="false" outlineLevel="0" collapsed="false">
      <c r="A182" s="184" t="n">
        <f aca="false">ExportRaw!$F182</f>
        <v>0</v>
      </c>
      <c r="B182" s="184" t="n">
        <f aca="false">ExportRaw!$C182</f>
        <v>0</v>
      </c>
      <c r="C182" s="184" t="n">
        <f aca="false">ExportRaw!$G182</f>
        <v>0</v>
      </c>
      <c r="D182" s="184" t="str">
        <f aca="false">ExportRaw!$E182</f>
        <v/>
      </c>
      <c r="E182" s="185" t="str">
        <f aca="false">ExportRaw!$D182</f>
        <v/>
      </c>
      <c r="F182" s="184" t="str">
        <f aca="false">ExportRaw!$H182</f>
        <v/>
      </c>
      <c r="G182" s="186" t="str">
        <f aca="false">ExportRaw!$I182</f>
        <v/>
      </c>
      <c r="H182" s="184" t="str">
        <f aca="false">ExportRaw!$A182</f>
        <v/>
      </c>
      <c r="I182" s="184" t="str">
        <f aca="false">ExportRaw!$B182</f>
        <v/>
      </c>
    </row>
    <row r="183" customFormat="false" ht="15.75" hidden="false" customHeight="false" outlineLevel="0" collapsed="false">
      <c r="A183" s="184" t="n">
        <f aca="false">ExportRaw!$F183</f>
        <v>0</v>
      </c>
      <c r="B183" s="184" t="n">
        <f aca="false">ExportRaw!$C183</f>
        <v>0</v>
      </c>
      <c r="C183" s="184" t="n">
        <f aca="false">ExportRaw!$G183</f>
        <v>0</v>
      </c>
      <c r="D183" s="184" t="str">
        <f aca="false">ExportRaw!$E183</f>
        <v/>
      </c>
      <c r="E183" s="185" t="str">
        <f aca="false">ExportRaw!$D183</f>
        <v/>
      </c>
      <c r="F183" s="184" t="str">
        <f aca="false">ExportRaw!$H183</f>
        <v/>
      </c>
      <c r="G183" s="186" t="str">
        <f aca="false">ExportRaw!$I183</f>
        <v/>
      </c>
      <c r="H183" s="184" t="str">
        <f aca="false">ExportRaw!$A183</f>
        <v/>
      </c>
      <c r="I183" s="184" t="str">
        <f aca="false">ExportRaw!$B183</f>
        <v/>
      </c>
    </row>
    <row r="184" customFormat="false" ht="15.75" hidden="false" customHeight="false" outlineLevel="0" collapsed="false">
      <c r="A184" s="184" t="n">
        <f aca="false">ExportRaw!$F184</f>
        <v>0</v>
      </c>
      <c r="B184" s="184" t="n">
        <f aca="false">ExportRaw!$C184</f>
        <v>0</v>
      </c>
      <c r="C184" s="184" t="n">
        <f aca="false">ExportRaw!$G184</f>
        <v>0</v>
      </c>
      <c r="D184" s="184" t="str">
        <f aca="false">ExportRaw!$E184</f>
        <v/>
      </c>
      <c r="E184" s="185" t="str">
        <f aca="false">ExportRaw!$D184</f>
        <v/>
      </c>
      <c r="F184" s="184" t="str">
        <f aca="false">ExportRaw!$H184</f>
        <v/>
      </c>
      <c r="G184" s="186" t="str">
        <f aca="false">ExportRaw!$I184</f>
        <v/>
      </c>
      <c r="H184" s="184" t="str">
        <f aca="false">ExportRaw!$A184</f>
        <v/>
      </c>
      <c r="I184" s="184" t="str">
        <f aca="false">ExportRaw!$B184</f>
        <v/>
      </c>
    </row>
    <row r="185" customFormat="false" ht="15.75" hidden="false" customHeight="false" outlineLevel="0" collapsed="false">
      <c r="A185" s="184" t="n">
        <f aca="false">ExportRaw!$F185</f>
        <v>0</v>
      </c>
      <c r="B185" s="184" t="n">
        <f aca="false">ExportRaw!$C185</f>
        <v>0</v>
      </c>
      <c r="C185" s="184" t="n">
        <f aca="false">ExportRaw!$G185</f>
        <v>0</v>
      </c>
      <c r="D185" s="184" t="str">
        <f aca="false">ExportRaw!$E185</f>
        <v/>
      </c>
      <c r="E185" s="185" t="str">
        <f aca="false">ExportRaw!$D185</f>
        <v/>
      </c>
      <c r="F185" s="184" t="str">
        <f aca="false">ExportRaw!$H185</f>
        <v/>
      </c>
      <c r="G185" s="186" t="str">
        <f aca="false">ExportRaw!$I185</f>
        <v/>
      </c>
      <c r="H185" s="184" t="str">
        <f aca="false">ExportRaw!$A185</f>
        <v/>
      </c>
      <c r="I185" s="184" t="str">
        <f aca="false">ExportRaw!$B185</f>
        <v/>
      </c>
    </row>
    <row r="186" customFormat="false" ht="15.75" hidden="false" customHeight="false" outlineLevel="0" collapsed="false">
      <c r="A186" s="184" t="n">
        <f aca="false">ExportRaw!$F186</f>
        <v>0</v>
      </c>
      <c r="B186" s="184" t="n">
        <f aca="false">ExportRaw!$C186</f>
        <v>0</v>
      </c>
      <c r="C186" s="184" t="n">
        <f aca="false">ExportRaw!$G186</f>
        <v>0</v>
      </c>
      <c r="D186" s="184" t="str">
        <f aca="false">ExportRaw!$E186</f>
        <v/>
      </c>
      <c r="E186" s="185" t="str">
        <f aca="false">ExportRaw!$D186</f>
        <v/>
      </c>
      <c r="F186" s="184" t="str">
        <f aca="false">ExportRaw!$H186</f>
        <v/>
      </c>
      <c r="G186" s="186" t="str">
        <f aca="false">ExportRaw!$I186</f>
        <v/>
      </c>
      <c r="H186" s="184" t="str">
        <f aca="false">ExportRaw!$A186</f>
        <v/>
      </c>
      <c r="I186" s="184" t="str">
        <f aca="false">ExportRaw!$B186</f>
        <v/>
      </c>
    </row>
    <row r="187" customFormat="false" ht="15.75" hidden="false" customHeight="false" outlineLevel="0" collapsed="false">
      <c r="A187" s="184" t="n">
        <f aca="false">ExportRaw!$F187</f>
        <v>0</v>
      </c>
      <c r="B187" s="184" t="n">
        <f aca="false">ExportRaw!$C187</f>
        <v>0</v>
      </c>
      <c r="C187" s="184" t="n">
        <f aca="false">ExportRaw!$G187</f>
        <v>0</v>
      </c>
      <c r="D187" s="184" t="str">
        <f aca="false">ExportRaw!$E187</f>
        <v/>
      </c>
      <c r="E187" s="185" t="str">
        <f aca="false">ExportRaw!$D187</f>
        <v/>
      </c>
      <c r="F187" s="184" t="str">
        <f aca="false">ExportRaw!$H187</f>
        <v/>
      </c>
      <c r="G187" s="186" t="str">
        <f aca="false">ExportRaw!$I187</f>
        <v/>
      </c>
      <c r="H187" s="184" t="str">
        <f aca="false">ExportRaw!$A187</f>
        <v/>
      </c>
      <c r="I187" s="184" t="str">
        <f aca="false">ExportRaw!$B187</f>
        <v/>
      </c>
    </row>
    <row r="188" customFormat="false" ht="15.75" hidden="false" customHeight="false" outlineLevel="0" collapsed="false">
      <c r="A188" s="184" t="n">
        <f aca="false">ExportRaw!$F188</f>
        <v>0</v>
      </c>
      <c r="B188" s="184" t="n">
        <f aca="false">ExportRaw!$C188</f>
        <v>0</v>
      </c>
      <c r="C188" s="184" t="n">
        <f aca="false">ExportRaw!$G188</f>
        <v>0</v>
      </c>
      <c r="D188" s="184" t="str">
        <f aca="false">ExportRaw!$E188</f>
        <v/>
      </c>
      <c r="E188" s="185" t="str">
        <f aca="false">ExportRaw!$D188</f>
        <v/>
      </c>
      <c r="F188" s="184" t="str">
        <f aca="false">ExportRaw!$H188</f>
        <v/>
      </c>
      <c r="G188" s="186" t="str">
        <f aca="false">ExportRaw!$I188</f>
        <v/>
      </c>
      <c r="H188" s="184" t="str">
        <f aca="false">ExportRaw!$A188</f>
        <v/>
      </c>
      <c r="I188" s="184" t="str">
        <f aca="false">ExportRaw!$B188</f>
        <v/>
      </c>
    </row>
    <row r="189" customFormat="false" ht="15.75" hidden="false" customHeight="false" outlineLevel="0" collapsed="false">
      <c r="A189" s="184" t="n">
        <f aca="false">ExportRaw!$F189</f>
        <v>0</v>
      </c>
      <c r="B189" s="184" t="n">
        <f aca="false">ExportRaw!$C189</f>
        <v>0</v>
      </c>
      <c r="C189" s="184" t="n">
        <f aca="false">ExportRaw!$G189</f>
        <v>0</v>
      </c>
      <c r="D189" s="184" t="str">
        <f aca="false">ExportRaw!$E189</f>
        <v/>
      </c>
      <c r="E189" s="185" t="str">
        <f aca="false">ExportRaw!$D189</f>
        <v/>
      </c>
      <c r="F189" s="184" t="str">
        <f aca="false">ExportRaw!$H189</f>
        <v/>
      </c>
      <c r="G189" s="186" t="str">
        <f aca="false">ExportRaw!$I189</f>
        <v/>
      </c>
      <c r="H189" s="184" t="str">
        <f aca="false">ExportRaw!$A189</f>
        <v/>
      </c>
      <c r="I189" s="184" t="str">
        <f aca="false">ExportRaw!$B189</f>
        <v/>
      </c>
    </row>
    <row r="190" customFormat="false" ht="15.75" hidden="false" customHeight="false" outlineLevel="0" collapsed="false">
      <c r="A190" s="184" t="n">
        <f aca="false">ExportRaw!$F190</f>
        <v>0</v>
      </c>
      <c r="B190" s="184" t="n">
        <f aca="false">ExportRaw!$C190</f>
        <v>0</v>
      </c>
      <c r="C190" s="184" t="n">
        <f aca="false">ExportRaw!$G190</f>
        <v>0</v>
      </c>
      <c r="D190" s="184" t="str">
        <f aca="false">ExportRaw!$E190</f>
        <v/>
      </c>
      <c r="E190" s="185" t="str">
        <f aca="false">ExportRaw!$D190</f>
        <v/>
      </c>
      <c r="F190" s="184" t="str">
        <f aca="false">ExportRaw!$H190</f>
        <v/>
      </c>
      <c r="G190" s="186" t="str">
        <f aca="false">ExportRaw!$I190</f>
        <v/>
      </c>
      <c r="H190" s="184" t="str">
        <f aca="false">ExportRaw!$A190</f>
        <v/>
      </c>
      <c r="I190" s="184" t="str">
        <f aca="false">ExportRaw!$B190</f>
        <v/>
      </c>
    </row>
    <row r="191" customFormat="false" ht="15.75" hidden="false" customHeight="false" outlineLevel="0" collapsed="false">
      <c r="A191" s="184" t="n">
        <f aca="false">ExportRaw!$F191</f>
        <v>0</v>
      </c>
      <c r="B191" s="184" t="n">
        <f aca="false">ExportRaw!$C191</f>
        <v>0</v>
      </c>
      <c r="C191" s="184" t="n">
        <f aca="false">ExportRaw!$G191</f>
        <v>0</v>
      </c>
      <c r="D191" s="184" t="str">
        <f aca="false">ExportRaw!$E191</f>
        <v/>
      </c>
      <c r="E191" s="185" t="str">
        <f aca="false">ExportRaw!$D191</f>
        <v/>
      </c>
      <c r="F191" s="184" t="str">
        <f aca="false">ExportRaw!$H191</f>
        <v/>
      </c>
      <c r="G191" s="186" t="str">
        <f aca="false">ExportRaw!$I191</f>
        <v/>
      </c>
      <c r="H191" s="184" t="str">
        <f aca="false">ExportRaw!$A191</f>
        <v/>
      </c>
      <c r="I191" s="184" t="str">
        <f aca="false">ExportRaw!$B191</f>
        <v/>
      </c>
    </row>
    <row r="192" customFormat="false" ht="15.75" hidden="false" customHeight="false" outlineLevel="0" collapsed="false">
      <c r="A192" s="184" t="n">
        <f aca="false">ExportRaw!$F192</f>
        <v>0</v>
      </c>
      <c r="B192" s="184" t="n">
        <f aca="false">ExportRaw!$C192</f>
        <v>0</v>
      </c>
      <c r="C192" s="184" t="n">
        <f aca="false">ExportRaw!$G192</f>
        <v>0</v>
      </c>
      <c r="D192" s="184" t="str">
        <f aca="false">ExportRaw!$E192</f>
        <v/>
      </c>
      <c r="E192" s="185" t="str">
        <f aca="false">ExportRaw!$D192</f>
        <v/>
      </c>
      <c r="F192" s="184" t="str">
        <f aca="false">ExportRaw!$H192</f>
        <v/>
      </c>
      <c r="G192" s="186" t="str">
        <f aca="false">ExportRaw!$I192</f>
        <v/>
      </c>
      <c r="H192" s="184" t="str">
        <f aca="false">ExportRaw!$A192</f>
        <v/>
      </c>
      <c r="I192" s="184" t="str">
        <f aca="false">ExportRaw!$B192</f>
        <v/>
      </c>
    </row>
    <row r="193" customFormat="false" ht="15.75" hidden="false" customHeight="false" outlineLevel="0" collapsed="false">
      <c r="A193" s="184" t="n">
        <f aca="false">ExportRaw!$F193</f>
        <v>0</v>
      </c>
      <c r="B193" s="184" t="n">
        <f aca="false">ExportRaw!$C193</f>
        <v>0</v>
      </c>
      <c r="C193" s="184" t="n">
        <f aca="false">ExportRaw!$G193</f>
        <v>0</v>
      </c>
      <c r="D193" s="184" t="str">
        <f aca="false">ExportRaw!$E193</f>
        <v/>
      </c>
      <c r="E193" s="185" t="str">
        <f aca="false">ExportRaw!$D193</f>
        <v/>
      </c>
      <c r="F193" s="184" t="str">
        <f aca="false">ExportRaw!$H193</f>
        <v/>
      </c>
      <c r="G193" s="186" t="str">
        <f aca="false">ExportRaw!$I193</f>
        <v/>
      </c>
      <c r="H193" s="184" t="str">
        <f aca="false">ExportRaw!$A193</f>
        <v/>
      </c>
      <c r="I193" s="184" t="str">
        <f aca="false">ExportRaw!$B193</f>
        <v/>
      </c>
    </row>
    <row r="194" customFormat="false" ht="15.75" hidden="false" customHeight="false" outlineLevel="0" collapsed="false">
      <c r="A194" s="184" t="n">
        <f aca="false">ExportRaw!$F194</f>
        <v>0</v>
      </c>
      <c r="B194" s="184" t="n">
        <f aca="false">ExportRaw!$C194</f>
        <v>0</v>
      </c>
      <c r="C194" s="184" t="n">
        <f aca="false">ExportRaw!$G194</f>
        <v>0</v>
      </c>
      <c r="D194" s="184" t="str">
        <f aca="false">ExportRaw!$E194</f>
        <v/>
      </c>
      <c r="E194" s="185" t="str">
        <f aca="false">ExportRaw!$D194</f>
        <v/>
      </c>
      <c r="F194" s="184" t="str">
        <f aca="false">ExportRaw!$H194</f>
        <v/>
      </c>
      <c r="G194" s="186" t="str">
        <f aca="false">ExportRaw!$I194</f>
        <v/>
      </c>
      <c r="H194" s="184" t="str">
        <f aca="false">ExportRaw!$A194</f>
        <v/>
      </c>
      <c r="I194" s="184" t="str">
        <f aca="false">ExportRaw!$B194</f>
        <v/>
      </c>
    </row>
    <row r="195" customFormat="false" ht="15.75" hidden="false" customHeight="false" outlineLevel="0" collapsed="false">
      <c r="A195" s="184" t="n">
        <f aca="false">ExportRaw!$F195</f>
        <v>0</v>
      </c>
      <c r="B195" s="184" t="n">
        <f aca="false">ExportRaw!$C195</f>
        <v>0</v>
      </c>
      <c r="C195" s="184" t="n">
        <f aca="false">ExportRaw!$G195</f>
        <v>0</v>
      </c>
      <c r="D195" s="184" t="str">
        <f aca="false">ExportRaw!$E195</f>
        <v/>
      </c>
      <c r="E195" s="185" t="str">
        <f aca="false">ExportRaw!$D195</f>
        <v/>
      </c>
      <c r="F195" s="184" t="str">
        <f aca="false">ExportRaw!$H195</f>
        <v/>
      </c>
      <c r="G195" s="186" t="str">
        <f aca="false">ExportRaw!$I195</f>
        <v/>
      </c>
      <c r="H195" s="184" t="str">
        <f aca="false">ExportRaw!$A195</f>
        <v/>
      </c>
      <c r="I195" s="184" t="str">
        <f aca="false">ExportRaw!$B195</f>
        <v/>
      </c>
    </row>
    <row r="196" customFormat="false" ht="15.75" hidden="false" customHeight="false" outlineLevel="0" collapsed="false">
      <c r="A196" s="184" t="n">
        <f aca="false">ExportRaw!$F196</f>
        <v>0</v>
      </c>
      <c r="B196" s="184" t="n">
        <f aca="false">ExportRaw!$C196</f>
        <v>0</v>
      </c>
      <c r="C196" s="184" t="n">
        <f aca="false">ExportRaw!$G196</f>
        <v>0</v>
      </c>
      <c r="D196" s="184" t="str">
        <f aca="false">ExportRaw!$E196</f>
        <v/>
      </c>
      <c r="E196" s="185" t="str">
        <f aca="false">ExportRaw!$D196</f>
        <v/>
      </c>
      <c r="F196" s="184" t="str">
        <f aca="false">ExportRaw!$H196</f>
        <v/>
      </c>
      <c r="G196" s="186" t="str">
        <f aca="false">ExportRaw!$I196</f>
        <v/>
      </c>
      <c r="H196" s="184" t="str">
        <f aca="false">ExportRaw!$A196</f>
        <v/>
      </c>
      <c r="I196" s="184" t="str">
        <f aca="false">ExportRaw!$B196</f>
        <v/>
      </c>
    </row>
    <row r="197" customFormat="false" ht="15.75" hidden="false" customHeight="false" outlineLevel="0" collapsed="false">
      <c r="A197" s="184" t="n">
        <f aca="false">ExportRaw!$F197</f>
        <v>0</v>
      </c>
      <c r="B197" s="184" t="n">
        <f aca="false">ExportRaw!$C197</f>
        <v>0</v>
      </c>
      <c r="C197" s="184" t="n">
        <f aca="false">ExportRaw!$G197</f>
        <v>0</v>
      </c>
      <c r="D197" s="184" t="str">
        <f aca="false">ExportRaw!$E197</f>
        <v/>
      </c>
      <c r="E197" s="185" t="str">
        <f aca="false">ExportRaw!$D197</f>
        <v/>
      </c>
      <c r="F197" s="184" t="str">
        <f aca="false">ExportRaw!$H197</f>
        <v/>
      </c>
      <c r="G197" s="186" t="str">
        <f aca="false">ExportRaw!$I197</f>
        <v/>
      </c>
      <c r="H197" s="184" t="str">
        <f aca="false">ExportRaw!$A197</f>
        <v/>
      </c>
      <c r="I197" s="184" t="str">
        <f aca="false">ExportRaw!$B197</f>
        <v/>
      </c>
    </row>
    <row r="198" customFormat="false" ht="15.75" hidden="false" customHeight="false" outlineLevel="0" collapsed="false">
      <c r="A198" s="184" t="n">
        <f aca="false">ExportRaw!$F198</f>
        <v>0</v>
      </c>
      <c r="B198" s="184" t="n">
        <f aca="false">ExportRaw!$C198</f>
        <v>0</v>
      </c>
      <c r="C198" s="184" t="n">
        <f aca="false">ExportRaw!$G198</f>
        <v>0</v>
      </c>
      <c r="D198" s="184" t="str">
        <f aca="false">ExportRaw!$E198</f>
        <v/>
      </c>
      <c r="E198" s="185" t="str">
        <f aca="false">ExportRaw!$D198</f>
        <v/>
      </c>
      <c r="F198" s="184" t="str">
        <f aca="false">ExportRaw!$H198</f>
        <v/>
      </c>
      <c r="G198" s="186" t="str">
        <f aca="false">ExportRaw!$I198</f>
        <v/>
      </c>
      <c r="H198" s="184" t="str">
        <f aca="false">ExportRaw!$A198</f>
        <v/>
      </c>
      <c r="I198" s="184" t="str">
        <f aca="false">ExportRaw!$B198</f>
        <v/>
      </c>
    </row>
    <row r="199" customFormat="false" ht="15.75" hidden="false" customHeight="false" outlineLevel="0" collapsed="false">
      <c r="A199" s="184" t="n">
        <f aca="false">ExportRaw!$F199</f>
        <v>0</v>
      </c>
      <c r="B199" s="184" t="n">
        <f aca="false">ExportRaw!$C199</f>
        <v>0</v>
      </c>
      <c r="C199" s="184" t="n">
        <f aca="false">ExportRaw!$G199</f>
        <v>0</v>
      </c>
      <c r="D199" s="184" t="str">
        <f aca="false">ExportRaw!$E199</f>
        <v/>
      </c>
      <c r="E199" s="185" t="str">
        <f aca="false">ExportRaw!$D199</f>
        <v/>
      </c>
      <c r="F199" s="184" t="str">
        <f aca="false">ExportRaw!$H199</f>
        <v/>
      </c>
      <c r="G199" s="186" t="str">
        <f aca="false">ExportRaw!$I199</f>
        <v/>
      </c>
      <c r="H199" s="184" t="str">
        <f aca="false">ExportRaw!$A199</f>
        <v/>
      </c>
      <c r="I199" s="184" t="str">
        <f aca="false">ExportRaw!$B199</f>
        <v/>
      </c>
    </row>
    <row r="200" customFormat="false" ht="15.75" hidden="false" customHeight="false" outlineLevel="0" collapsed="false">
      <c r="A200" s="184" t="n">
        <f aca="false">ExportRaw!$F200</f>
        <v>0</v>
      </c>
      <c r="B200" s="184" t="n">
        <f aca="false">ExportRaw!$C200</f>
        <v>0</v>
      </c>
      <c r="C200" s="184" t="n">
        <f aca="false">ExportRaw!$G200</f>
        <v>0</v>
      </c>
      <c r="D200" s="184" t="str">
        <f aca="false">ExportRaw!$E200</f>
        <v/>
      </c>
      <c r="E200" s="185" t="str">
        <f aca="false">ExportRaw!$D200</f>
        <v/>
      </c>
      <c r="F200" s="184" t="str">
        <f aca="false">ExportRaw!$H200</f>
        <v/>
      </c>
      <c r="G200" s="186" t="str">
        <f aca="false">ExportRaw!$I200</f>
        <v/>
      </c>
      <c r="H200" s="184" t="str">
        <f aca="false">ExportRaw!$A200</f>
        <v/>
      </c>
      <c r="I200" s="184" t="str">
        <f aca="false">ExportRaw!$B200</f>
        <v/>
      </c>
    </row>
    <row r="201" customFormat="false" ht="15.75" hidden="false" customHeight="false" outlineLevel="0" collapsed="false">
      <c r="A201" s="184" t="n">
        <f aca="false">ExportRaw!$F201</f>
        <v>0</v>
      </c>
      <c r="B201" s="184" t="n">
        <f aca="false">ExportRaw!$C201</f>
        <v>0</v>
      </c>
      <c r="C201" s="184" t="n">
        <f aca="false">ExportRaw!$G201</f>
        <v>0</v>
      </c>
      <c r="D201" s="184" t="str">
        <f aca="false">ExportRaw!$E201</f>
        <v/>
      </c>
      <c r="E201" s="185" t="str">
        <f aca="false">ExportRaw!$D201</f>
        <v/>
      </c>
      <c r="F201" s="184" t="str">
        <f aca="false">ExportRaw!$H201</f>
        <v/>
      </c>
      <c r="G201" s="186" t="str">
        <f aca="false">ExportRaw!$I201</f>
        <v/>
      </c>
      <c r="H201" s="184" t="str">
        <f aca="false">ExportRaw!$A201</f>
        <v/>
      </c>
      <c r="I201" s="184" t="str">
        <f aca="false">ExportRaw!$B201</f>
        <v/>
      </c>
    </row>
    <row r="202" customFormat="false" ht="15.75" hidden="false" customHeight="false" outlineLevel="0" collapsed="false">
      <c r="A202" s="184" t="n">
        <f aca="false">ExportRaw!$F202</f>
        <v>0</v>
      </c>
      <c r="B202" s="184" t="n">
        <f aca="false">ExportRaw!$C202</f>
        <v>0</v>
      </c>
      <c r="C202" s="184" t="n">
        <f aca="false">ExportRaw!$G202</f>
        <v>0</v>
      </c>
      <c r="D202" s="184" t="str">
        <f aca="false">ExportRaw!$E202</f>
        <v/>
      </c>
      <c r="E202" s="185" t="str">
        <f aca="false">ExportRaw!$D202</f>
        <v/>
      </c>
      <c r="F202" s="184" t="str">
        <f aca="false">ExportRaw!$H202</f>
        <v/>
      </c>
      <c r="G202" s="186" t="str">
        <f aca="false">ExportRaw!$I202</f>
        <v/>
      </c>
      <c r="H202" s="184" t="str">
        <f aca="false">ExportRaw!$A202</f>
        <v/>
      </c>
      <c r="I202" s="184" t="str">
        <f aca="false">ExportRaw!$B202</f>
        <v/>
      </c>
    </row>
    <row r="203" customFormat="false" ht="15.75" hidden="false" customHeight="false" outlineLevel="0" collapsed="false">
      <c r="A203" s="184" t="n">
        <f aca="false">ExportRaw!$F203</f>
        <v>0</v>
      </c>
      <c r="B203" s="184" t="n">
        <f aca="false">ExportRaw!$C203</f>
        <v>0</v>
      </c>
      <c r="C203" s="184" t="n">
        <f aca="false">ExportRaw!$G203</f>
        <v>0</v>
      </c>
      <c r="D203" s="184" t="str">
        <f aca="false">ExportRaw!$E203</f>
        <v/>
      </c>
      <c r="E203" s="185" t="str">
        <f aca="false">ExportRaw!$D203</f>
        <v/>
      </c>
      <c r="F203" s="184" t="str">
        <f aca="false">ExportRaw!$H203</f>
        <v/>
      </c>
      <c r="G203" s="186" t="str">
        <f aca="false">ExportRaw!$I203</f>
        <v/>
      </c>
      <c r="H203" s="184" t="str">
        <f aca="false">ExportRaw!$A203</f>
        <v/>
      </c>
      <c r="I203" s="184" t="str">
        <f aca="false">ExportRaw!$B203</f>
        <v/>
      </c>
    </row>
    <row r="204" customFormat="false" ht="15.75" hidden="false" customHeight="false" outlineLevel="0" collapsed="false">
      <c r="A204" s="184" t="n">
        <f aca="false">ExportRaw!$F204</f>
        <v>0</v>
      </c>
      <c r="B204" s="184" t="n">
        <f aca="false">ExportRaw!$C204</f>
        <v>0</v>
      </c>
      <c r="C204" s="184" t="n">
        <f aca="false">ExportRaw!$G204</f>
        <v>0</v>
      </c>
      <c r="D204" s="184" t="str">
        <f aca="false">ExportRaw!$E204</f>
        <v/>
      </c>
      <c r="E204" s="185" t="str">
        <f aca="false">ExportRaw!$D204</f>
        <v/>
      </c>
      <c r="F204" s="184" t="str">
        <f aca="false">ExportRaw!$H204</f>
        <v/>
      </c>
      <c r="G204" s="186" t="str">
        <f aca="false">ExportRaw!$I204</f>
        <v/>
      </c>
      <c r="H204" s="184" t="str">
        <f aca="false">ExportRaw!$A204</f>
        <v/>
      </c>
      <c r="I204" s="184" t="str">
        <f aca="false">ExportRaw!$B204</f>
        <v/>
      </c>
    </row>
    <row r="205" customFormat="false" ht="15.75" hidden="false" customHeight="false" outlineLevel="0" collapsed="false">
      <c r="A205" s="184" t="n">
        <f aca="false">ExportRaw!$F205</f>
        <v>0</v>
      </c>
      <c r="B205" s="184" t="n">
        <f aca="false">ExportRaw!$C205</f>
        <v>0</v>
      </c>
      <c r="C205" s="184" t="n">
        <f aca="false">ExportRaw!$G205</f>
        <v>0</v>
      </c>
      <c r="D205" s="184" t="str">
        <f aca="false">ExportRaw!$E205</f>
        <v/>
      </c>
      <c r="E205" s="185" t="str">
        <f aca="false">ExportRaw!$D205</f>
        <v/>
      </c>
      <c r="F205" s="184" t="str">
        <f aca="false">ExportRaw!$H205</f>
        <v/>
      </c>
      <c r="G205" s="186" t="str">
        <f aca="false">ExportRaw!$I205</f>
        <v/>
      </c>
      <c r="H205" s="184" t="str">
        <f aca="false">ExportRaw!$A205</f>
        <v/>
      </c>
      <c r="I205" s="184" t="str">
        <f aca="false">ExportRaw!$B205</f>
        <v/>
      </c>
    </row>
    <row r="206" customFormat="false" ht="15.75" hidden="false" customHeight="false" outlineLevel="0" collapsed="false">
      <c r="A206" s="184" t="n">
        <f aca="false">ExportRaw!$F206</f>
        <v>0</v>
      </c>
      <c r="B206" s="184" t="n">
        <f aca="false">ExportRaw!$C206</f>
        <v>0</v>
      </c>
      <c r="C206" s="184" t="n">
        <f aca="false">ExportRaw!$G206</f>
        <v>0</v>
      </c>
      <c r="D206" s="184" t="str">
        <f aca="false">ExportRaw!$E206</f>
        <v/>
      </c>
      <c r="E206" s="185" t="str">
        <f aca="false">ExportRaw!$D206</f>
        <v/>
      </c>
      <c r="F206" s="184" t="str">
        <f aca="false">ExportRaw!$H206</f>
        <v/>
      </c>
      <c r="G206" s="186" t="str">
        <f aca="false">ExportRaw!$I206</f>
        <v/>
      </c>
      <c r="H206" s="184" t="str">
        <f aca="false">ExportRaw!$A206</f>
        <v/>
      </c>
      <c r="I206" s="184" t="str">
        <f aca="false">ExportRaw!$B206</f>
        <v/>
      </c>
    </row>
    <row r="207" customFormat="false" ht="15.75" hidden="false" customHeight="false" outlineLevel="0" collapsed="false">
      <c r="A207" s="184" t="n">
        <f aca="false">ExportRaw!$F207</f>
        <v>0</v>
      </c>
      <c r="B207" s="184" t="n">
        <f aca="false">ExportRaw!$C207</f>
        <v>0</v>
      </c>
      <c r="C207" s="184" t="n">
        <f aca="false">ExportRaw!$G207</f>
        <v>0</v>
      </c>
      <c r="D207" s="184" t="str">
        <f aca="false">ExportRaw!$E207</f>
        <v/>
      </c>
      <c r="E207" s="185" t="str">
        <f aca="false">ExportRaw!$D207</f>
        <v/>
      </c>
      <c r="F207" s="184" t="str">
        <f aca="false">ExportRaw!$H207</f>
        <v/>
      </c>
      <c r="G207" s="186" t="str">
        <f aca="false">ExportRaw!$I207</f>
        <v/>
      </c>
      <c r="H207" s="184" t="str">
        <f aca="false">ExportRaw!$A207</f>
        <v/>
      </c>
      <c r="I207" s="184" t="str">
        <f aca="false">ExportRaw!$B207</f>
        <v/>
      </c>
    </row>
    <row r="208" customFormat="false" ht="15.75" hidden="false" customHeight="false" outlineLevel="0" collapsed="false">
      <c r="A208" s="184" t="n">
        <f aca="false">ExportRaw!$F208</f>
        <v>0</v>
      </c>
      <c r="B208" s="184" t="n">
        <f aca="false">ExportRaw!$C208</f>
        <v>0</v>
      </c>
      <c r="C208" s="184" t="n">
        <f aca="false">ExportRaw!$G208</f>
        <v>0</v>
      </c>
      <c r="D208" s="184" t="str">
        <f aca="false">ExportRaw!$E208</f>
        <v/>
      </c>
      <c r="E208" s="185" t="str">
        <f aca="false">ExportRaw!$D208</f>
        <v/>
      </c>
      <c r="F208" s="184" t="str">
        <f aca="false">ExportRaw!$H208</f>
        <v/>
      </c>
      <c r="G208" s="186" t="str">
        <f aca="false">ExportRaw!$I208</f>
        <v/>
      </c>
      <c r="H208" s="184" t="str">
        <f aca="false">ExportRaw!$A208</f>
        <v/>
      </c>
      <c r="I208" s="184" t="str">
        <f aca="false">ExportRaw!$B208</f>
        <v/>
      </c>
    </row>
    <row r="209" customFormat="false" ht="15.75" hidden="false" customHeight="false" outlineLevel="0" collapsed="false">
      <c r="A209" s="184" t="n">
        <f aca="false">ExportRaw!$F209</f>
        <v>0</v>
      </c>
      <c r="B209" s="184" t="n">
        <f aca="false">ExportRaw!$C209</f>
        <v>0</v>
      </c>
      <c r="C209" s="184" t="n">
        <f aca="false">ExportRaw!$G209</f>
        <v>0</v>
      </c>
      <c r="D209" s="184" t="str">
        <f aca="false">ExportRaw!$E209</f>
        <v/>
      </c>
      <c r="E209" s="185" t="str">
        <f aca="false">ExportRaw!$D209</f>
        <v/>
      </c>
      <c r="F209" s="184" t="str">
        <f aca="false">ExportRaw!$H209</f>
        <v/>
      </c>
      <c r="G209" s="186" t="str">
        <f aca="false">ExportRaw!$I209</f>
        <v/>
      </c>
      <c r="H209" s="184" t="str">
        <f aca="false">ExportRaw!$A209</f>
        <v/>
      </c>
      <c r="I209" s="184" t="str">
        <f aca="false">ExportRaw!$B209</f>
        <v/>
      </c>
    </row>
    <row r="210" customFormat="false" ht="15.75" hidden="false" customHeight="false" outlineLevel="0" collapsed="false">
      <c r="A210" s="184" t="n">
        <f aca="false">ExportRaw!$F210</f>
        <v>0</v>
      </c>
      <c r="B210" s="184" t="n">
        <f aca="false">ExportRaw!$C210</f>
        <v>0</v>
      </c>
      <c r="C210" s="184" t="n">
        <f aca="false">ExportRaw!$G210</f>
        <v>0</v>
      </c>
      <c r="D210" s="184" t="str">
        <f aca="false">ExportRaw!$E210</f>
        <v/>
      </c>
      <c r="E210" s="185" t="str">
        <f aca="false">ExportRaw!$D210</f>
        <v/>
      </c>
      <c r="F210" s="184" t="str">
        <f aca="false">ExportRaw!$H210</f>
        <v/>
      </c>
      <c r="G210" s="186" t="str">
        <f aca="false">ExportRaw!$I210</f>
        <v/>
      </c>
      <c r="H210" s="184" t="str">
        <f aca="false">ExportRaw!$A210</f>
        <v/>
      </c>
      <c r="I210" s="184" t="str">
        <f aca="false">ExportRaw!$B210</f>
        <v/>
      </c>
    </row>
    <row r="211" customFormat="false" ht="15.75" hidden="false" customHeight="false" outlineLevel="0" collapsed="false">
      <c r="A211" s="184" t="n">
        <f aca="false">ExportRaw!$F211</f>
        <v>0</v>
      </c>
      <c r="B211" s="184" t="n">
        <f aca="false">ExportRaw!$C211</f>
        <v>0</v>
      </c>
      <c r="C211" s="184" t="n">
        <f aca="false">ExportRaw!$G211</f>
        <v>0</v>
      </c>
      <c r="D211" s="184" t="str">
        <f aca="false">ExportRaw!$E211</f>
        <v/>
      </c>
      <c r="E211" s="185" t="str">
        <f aca="false">ExportRaw!$D211</f>
        <v/>
      </c>
      <c r="F211" s="184" t="str">
        <f aca="false">ExportRaw!$H211</f>
        <v/>
      </c>
      <c r="G211" s="186" t="str">
        <f aca="false">ExportRaw!$I211</f>
        <v/>
      </c>
      <c r="H211" s="184" t="str">
        <f aca="false">ExportRaw!$A211</f>
        <v/>
      </c>
      <c r="I211" s="184" t="str">
        <f aca="false">ExportRaw!$B211</f>
        <v/>
      </c>
    </row>
    <row r="212" customFormat="false" ht="15.75" hidden="false" customHeight="false" outlineLevel="0" collapsed="false">
      <c r="A212" s="184" t="n">
        <f aca="false">ExportRaw!$F212</f>
        <v>0</v>
      </c>
      <c r="B212" s="184" t="n">
        <f aca="false">ExportRaw!$C212</f>
        <v>0</v>
      </c>
      <c r="C212" s="184" t="n">
        <f aca="false">ExportRaw!$G212</f>
        <v>0</v>
      </c>
      <c r="D212" s="184" t="str">
        <f aca="false">ExportRaw!$E212</f>
        <v/>
      </c>
      <c r="E212" s="185" t="str">
        <f aca="false">ExportRaw!$D212</f>
        <v/>
      </c>
      <c r="F212" s="184" t="str">
        <f aca="false">ExportRaw!$H212</f>
        <v/>
      </c>
      <c r="G212" s="186" t="str">
        <f aca="false">ExportRaw!$I212</f>
        <v/>
      </c>
      <c r="H212" s="184" t="str">
        <f aca="false">ExportRaw!$A212</f>
        <v/>
      </c>
      <c r="I212" s="184" t="str">
        <f aca="false">ExportRaw!$B212</f>
        <v/>
      </c>
    </row>
    <row r="213" customFormat="false" ht="15.75" hidden="false" customHeight="false" outlineLevel="0" collapsed="false">
      <c r="A213" s="184" t="n">
        <f aca="false">ExportRaw!$F213</f>
        <v>0</v>
      </c>
      <c r="B213" s="184" t="n">
        <f aca="false">ExportRaw!$C213</f>
        <v>0</v>
      </c>
      <c r="C213" s="184" t="n">
        <f aca="false">ExportRaw!$G213</f>
        <v>0</v>
      </c>
      <c r="D213" s="184" t="str">
        <f aca="false">ExportRaw!$E213</f>
        <v/>
      </c>
      <c r="E213" s="185" t="str">
        <f aca="false">ExportRaw!$D213</f>
        <v/>
      </c>
      <c r="F213" s="184" t="str">
        <f aca="false">ExportRaw!$H213</f>
        <v/>
      </c>
      <c r="G213" s="186" t="str">
        <f aca="false">ExportRaw!$I213</f>
        <v/>
      </c>
      <c r="H213" s="184" t="str">
        <f aca="false">ExportRaw!$A213</f>
        <v/>
      </c>
      <c r="I213" s="184" t="str">
        <f aca="false">ExportRaw!$B213</f>
        <v/>
      </c>
    </row>
    <row r="214" customFormat="false" ht="15.75" hidden="false" customHeight="false" outlineLevel="0" collapsed="false">
      <c r="A214" s="184" t="n">
        <f aca="false">ExportRaw!$F214</f>
        <v>0</v>
      </c>
      <c r="B214" s="184" t="n">
        <f aca="false">ExportRaw!$C214</f>
        <v>0</v>
      </c>
      <c r="C214" s="184" t="n">
        <f aca="false">ExportRaw!$G214</f>
        <v>0</v>
      </c>
      <c r="D214" s="184" t="str">
        <f aca="false">ExportRaw!$E214</f>
        <v/>
      </c>
      <c r="E214" s="185" t="str">
        <f aca="false">ExportRaw!$D214</f>
        <v/>
      </c>
      <c r="F214" s="184" t="str">
        <f aca="false">ExportRaw!$H214</f>
        <v/>
      </c>
      <c r="G214" s="186" t="str">
        <f aca="false">ExportRaw!$I214</f>
        <v/>
      </c>
      <c r="H214" s="184" t="str">
        <f aca="false">ExportRaw!$A214</f>
        <v/>
      </c>
      <c r="I214" s="184" t="str">
        <f aca="false">ExportRaw!$B214</f>
        <v/>
      </c>
    </row>
    <row r="215" customFormat="false" ht="15.75" hidden="false" customHeight="false" outlineLevel="0" collapsed="false">
      <c r="A215" s="184" t="n">
        <f aca="false">ExportRaw!$F215</f>
        <v>0</v>
      </c>
      <c r="B215" s="184" t="n">
        <f aca="false">ExportRaw!$C215</f>
        <v>0</v>
      </c>
      <c r="C215" s="184" t="n">
        <f aca="false">ExportRaw!$G215</f>
        <v>0</v>
      </c>
      <c r="D215" s="184" t="str">
        <f aca="false">ExportRaw!$E215</f>
        <v/>
      </c>
      <c r="E215" s="185" t="str">
        <f aca="false">ExportRaw!$D215</f>
        <v/>
      </c>
      <c r="F215" s="184" t="str">
        <f aca="false">ExportRaw!$H215</f>
        <v/>
      </c>
      <c r="G215" s="186" t="str">
        <f aca="false">ExportRaw!$I215</f>
        <v/>
      </c>
      <c r="H215" s="184" t="str">
        <f aca="false">ExportRaw!$A215</f>
        <v/>
      </c>
      <c r="I215" s="184" t="str">
        <f aca="false">ExportRaw!$B215</f>
        <v/>
      </c>
    </row>
    <row r="216" customFormat="false" ht="15.75" hidden="false" customHeight="false" outlineLevel="0" collapsed="false">
      <c r="A216" s="184" t="n">
        <f aca="false">ExportRaw!$F216</f>
        <v>0</v>
      </c>
      <c r="B216" s="184" t="n">
        <f aca="false">ExportRaw!$C216</f>
        <v>0</v>
      </c>
      <c r="C216" s="184" t="n">
        <f aca="false">ExportRaw!$G216</f>
        <v>0</v>
      </c>
      <c r="D216" s="184" t="str">
        <f aca="false">ExportRaw!$E216</f>
        <v/>
      </c>
      <c r="E216" s="185" t="str">
        <f aca="false">ExportRaw!$D216</f>
        <v/>
      </c>
      <c r="F216" s="184" t="str">
        <f aca="false">ExportRaw!$H216</f>
        <v/>
      </c>
      <c r="G216" s="186" t="str">
        <f aca="false">ExportRaw!$I216</f>
        <v/>
      </c>
      <c r="H216" s="184" t="str">
        <f aca="false">ExportRaw!$A216</f>
        <v/>
      </c>
      <c r="I216" s="184" t="str">
        <f aca="false">ExportRaw!$B216</f>
        <v/>
      </c>
    </row>
    <row r="217" customFormat="false" ht="15.75" hidden="false" customHeight="false" outlineLevel="0" collapsed="false">
      <c r="A217" s="184" t="n">
        <f aca="false">ExportRaw!$F217</f>
        <v>0</v>
      </c>
      <c r="B217" s="184" t="n">
        <f aca="false">ExportRaw!$C217</f>
        <v>0</v>
      </c>
      <c r="C217" s="184" t="n">
        <f aca="false">ExportRaw!$G217</f>
        <v>0</v>
      </c>
      <c r="D217" s="184" t="str">
        <f aca="false">ExportRaw!$E217</f>
        <v/>
      </c>
      <c r="E217" s="185" t="str">
        <f aca="false">ExportRaw!$D217</f>
        <v/>
      </c>
      <c r="F217" s="184" t="str">
        <f aca="false">ExportRaw!$H217</f>
        <v/>
      </c>
      <c r="G217" s="186" t="str">
        <f aca="false">ExportRaw!$I217</f>
        <v/>
      </c>
      <c r="H217" s="184" t="str">
        <f aca="false">ExportRaw!$A217</f>
        <v/>
      </c>
      <c r="I217" s="184" t="str">
        <f aca="false">ExportRaw!$B217</f>
        <v/>
      </c>
    </row>
    <row r="218" customFormat="false" ht="15.75" hidden="false" customHeight="false" outlineLevel="0" collapsed="false">
      <c r="A218" s="184" t="n">
        <f aca="false">ExportRaw!$F218</f>
        <v>0</v>
      </c>
      <c r="B218" s="184" t="n">
        <f aca="false">ExportRaw!$C218</f>
        <v>0</v>
      </c>
      <c r="C218" s="184" t="n">
        <f aca="false">ExportRaw!$G218</f>
        <v>0</v>
      </c>
      <c r="D218" s="184" t="str">
        <f aca="false">ExportRaw!$E218</f>
        <v/>
      </c>
      <c r="E218" s="185" t="str">
        <f aca="false">ExportRaw!$D218</f>
        <v/>
      </c>
      <c r="F218" s="184" t="str">
        <f aca="false">ExportRaw!$H218</f>
        <v/>
      </c>
      <c r="G218" s="186" t="str">
        <f aca="false">ExportRaw!$I218</f>
        <v/>
      </c>
      <c r="H218" s="184" t="str">
        <f aca="false">ExportRaw!$A218</f>
        <v/>
      </c>
      <c r="I218" s="184" t="str">
        <f aca="false">ExportRaw!$B218</f>
        <v/>
      </c>
    </row>
    <row r="219" customFormat="false" ht="15.75" hidden="false" customHeight="false" outlineLevel="0" collapsed="false">
      <c r="A219" s="184" t="n">
        <f aca="false">ExportRaw!$F219</f>
        <v>0</v>
      </c>
      <c r="B219" s="184" t="n">
        <f aca="false">ExportRaw!$C219</f>
        <v>0</v>
      </c>
      <c r="C219" s="184" t="n">
        <f aca="false">ExportRaw!$G219</f>
        <v>0</v>
      </c>
      <c r="D219" s="184" t="str">
        <f aca="false">ExportRaw!$E219</f>
        <v/>
      </c>
      <c r="E219" s="185" t="str">
        <f aca="false">ExportRaw!$D219</f>
        <v/>
      </c>
      <c r="F219" s="184" t="str">
        <f aca="false">ExportRaw!$H219</f>
        <v/>
      </c>
      <c r="G219" s="186" t="str">
        <f aca="false">ExportRaw!$I219</f>
        <v/>
      </c>
      <c r="H219" s="184" t="str">
        <f aca="false">ExportRaw!$A219</f>
        <v/>
      </c>
      <c r="I219" s="184" t="str">
        <f aca="false">ExportRaw!$B219</f>
        <v/>
      </c>
    </row>
    <row r="220" customFormat="false" ht="15.75" hidden="false" customHeight="false" outlineLevel="0" collapsed="false">
      <c r="A220" s="184" t="n">
        <f aca="false">ExportRaw!$F220</f>
        <v>0</v>
      </c>
      <c r="B220" s="184" t="n">
        <f aca="false">ExportRaw!$C220</f>
        <v>0</v>
      </c>
      <c r="C220" s="184" t="n">
        <f aca="false">ExportRaw!$G220</f>
        <v>0</v>
      </c>
      <c r="D220" s="184" t="str">
        <f aca="false">ExportRaw!$E220</f>
        <v/>
      </c>
      <c r="E220" s="185" t="str">
        <f aca="false">ExportRaw!$D220</f>
        <v/>
      </c>
      <c r="F220" s="184" t="str">
        <f aca="false">ExportRaw!$H220</f>
        <v/>
      </c>
      <c r="G220" s="186" t="str">
        <f aca="false">ExportRaw!$I220</f>
        <v/>
      </c>
      <c r="H220" s="184" t="str">
        <f aca="false">ExportRaw!$A220</f>
        <v/>
      </c>
      <c r="I220" s="184" t="str">
        <f aca="false">ExportRaw!$B220</f>
        <v/>
      </c>
    </row>
    <row r="221" customFormat="false" ht="15.75" hidden="false" customHeight="false" outlineLevel="0" collapsed="false">
      <c r="A221" s="184" t="n">
        <f aca="false">ExportRaw!$F221</f>
        <v>0</v>
      </c>
      <c r="B221" s="184" t="n">
        <f aca="false">ExportRaw!$C221</f>
        <v>0</v>
      </c>
      <c r="C221" s="184" t="n">
        <f aca="false">ExportRaw!$G221</f>
        <v>0</v>
      </c>
      <c r="D221" s="184" t="str">
        <f aca="false">ExportRaw!$E221</f>
        <v/>
      </c>
      <c r="E221" s="185" t="str">
        <f aca="false">ExportRaw!$D221</f>
        <v/>
      </c>
      <c r="F221" s="184" t="str">
        <f aca="false">ExportRaw!$H221</f>
        <v/>
      </c>
      <c r="G221" s="186" t="str">
        <f aca="false">ExportRaw!$I221</f>
        <v/>
      </c>
      <c r="H221" s="184" t="str">
        <f aca="false">ExportRaw!$A221</f>
        <v/>
      </c>
      <c r="I221" s="184" t="str">
        <f aca="false">ExportRaw!$B221</f>
        <v/>
      </c>
    </row>
    <row r="222" customFormat="false" ht="15.75" hidden="false" customHeight="false" outlineLevel="0" collapsed="false">
      <c r="A222" s="184" t="n">
        <f aca="false">ExportRaw!$F222</f>
        <v>0</v>
      </c>
      <c r="B222" s="184" t="n">
        <f aca="false">ExportRaw!$C222</f>
        <v>0</v>
      </c>
      <c r="C222" s="184" t="n">
        <f aca="false">ExportRaw!$G222</f>
        <v>0</v>
      </c>
      <c r="D222" s="184" t="str">
        <f aca="false">ExportRaw!$E222</f>
        <v/>
      </c>
      <c r="E222" s="185" t="str">
        <f aca="false">ExportRaw!$D222</f>
        <v/>
      </c>
      <c r="F222" s="184" t="str">
        <f aca="false">ExportRaw!$H222</f>
        <v/>
      </c>
      <c r="G222" s="186" t="str">
        <f aca="false">ExportRaw!$I222</f>
        <v/>
      </c>
      <c r="H222" s="184" t="str">
        <f aca="false">ExportRaw!$A222</f>
        <v/>
      </c>
      <c r="I222" s="184" t="str">
        <f aca="false">ExportRaw!$B222</f>
        <v/>
      </c>
    </row>
    <row r="223" customFormat="false" ht="15.75" hidden="false" customHeight="false" outlineLevel="0" collapsed="false">
      <c r="A223" s="184" t="n">
        <f aca="false">ExportRaw!$F223</f>
        <v>0</v>
      </c>
      <c r="B223" s="184" t="n">
        <f aca="false">ExportRaw!$C223</f>
        <v>0</v>
      </c>
      <c r="C223" s="184" t="n">
        <f aca="false">ExportRaw!$G223</f>
        <v>0</v>
      </c>
      <c r="D223" s="184" t="str">
        <f aca="false">ExportRaw!$E223</f>
        <v/>
      </c>
      <c r="E223" s="185" t="str">
        <f aca="false">ExportRaw!$D223</f>
        <v/>
      </c>
      <c r="F223" s="184" t="str">
        <f aca="false">ExportRaw!$H223</f>
        <v/>
      </c>
      <c r="G223" s="186" t="str">
        <f aca="false">ExportRaw!$I223</f>
        <v/>
      </c>
      <c r="H223" s="184" t="str">
        <f aca="false">ExportRaw!$A223</f>
        <v/>
      </c>
      <c r="I223" s="184" t="str">
        <f aca="false">ExportRaw!$B223</f>
        <v/>
      </c>
    </row>
    <row r="224" customFormat="false" ht="15.75" hidden="false" customHeight="false" outlineLevel="0" collapsed="false">
      <c r="A224" s="184" t="n">
        <f aca="false">ExportRaw!$F224</f>
        <v>0</v>
      </c>
      <c r="B224" s="184" t="n">
        <f aca="false">ExportRaw!$C224</f>
        <v>0</v>
      </c>
      <c r="C224" s="184" t="n">
        <f aca="false">ExportRaw!$G224</f>
        <v>0</v>
      </c>
      <c r="D224" s="184" t="str">
        <f aca="false">ExportRaw!$E224</f>
        <v/>
      </c>
      <c r="E224" s="185" t="str">
        <f aca="false">ExportRaw!$D224</f>
        <v/>
      </c>
      <c r="F224" s="184" t="str">
        <f aca="false">ExportRaw!$H224</f>
        <v/>
      </c>
      <c r="G224" s="186" t="str">
        <f aca="false">ExportRaw!$I224</f>
        <v/>
      </c>
      <c r="H224" s="184" t="str">
        <f aca="false">ExportRaw!$A224</f>
        <v/>
      </c>
      <c r="I224" s="184" t="str">
        <f aca="false">ExportRaw!$B224</f>
        <v/>
      </c>
    </row>
    <row r="225" customFormat="false" ht="15.75" hidden="false" customHeight="false" outlineLevel="0" collapsed="false">
      <c r="A225" s="184" t="n">
        <f aca="false">ExportRaw!$F225</f>
        <v>0</v>
      </c>
      <c r="B225" s="184" t="n">
        <f aca="false">ExportRaw!$C225</f>
        <v>0</v>
      </c>
      <c r="C225" s="184" t="n">
        <f aca="false">ExportRaw!$G225</f>
        <v>0</v>
      </c>
      <c r="D225" s="184" t="str">
        <f aca="false">ExportRaw!$E225</f>
        <v/>
      </c>
      <c r="E225" s="185" t="str">
        <f aca="false">ExportRaw!$D225</f>
        <v/>
      </c>
      <c r="F225" s="184" t="str">
        <f aca="false">ExportRaw!$H225</f>
        <v/>
      </c>
      <c r="G225" s="186" t="str">
        <f aca="false">ExportRaw!$I225</f>
        <v/>
      </c>
      <c r="H225" s="184" t="str">
        <f aca="false">ExportRaw!$A225</f>
        <v/>
      </c>
      <c r="I225" s="184" t="str">
        <f aca="false">ExportRaw!$B225</f>
        <v/>
      </c>
    </row>
    <row r="226" customFormat="false" ht="15.75" hidden="false" customHeight="false" outlineLevel="0" collapsed="false">
      <c r="A226" s="184" t="n">
        <f aca="false">ExportRaw!$F226</f>
        <v>0</v>
      </c>
      <c r="B226" s="184" t="n">
        <f aca="false">ExportRaw!$C226</f>
        <v>0</v>
      </c>
      <c r="C226" s="184" t="n">
        <f aca="false">ExportRaw!$G226</f>
        <v>0</v>
      </c>
      <c r="D226" s="184" t="str">
        <f aca="false">ExportRaw!$E226</f>
        <v/>
      </c>
      <c r="E226" s="185" t="str">
        <f aca="false">ExportRaw!$D226</f>
        <v/>
      </c>
      <c r="F226" s="184" t="str">
        <f aca="false">ExportRaw!$H226</f>
        <v/>
      </c>
      <c r="G226" s="186" t="str">
        <f aca="false">ExportRaw!$I226</f>
        <v/>
      </c>
      <c r="H226" s="184" t="str">
        <f aca="false">ExportRaw!$A226</f>
        <v/>
      </c>
      <c r="I226" s="184" t="str">
        <f aca="false">ExportRaw!$B226</f>
        <v/>
      </c>
    </row>
    <row r="227" customFormat="false" ht="15.75" hidden="false" customHeight="false" outlineLevel="0" collapsed="false">
      <c r="A227" s="184" t="n">
        <f aca="false">ExportRaw!$F227</f>
        <v>0</v>
      </c>
      <c r="B227" s="184" t="n">
        <f aca="false">ExportRaw!$C227</f>
        <v>0</v>
      </c>
      <c r="C227" s="184" t="n">
        <f aca="false">ExportRaw!$G227</f>
        <v>0</v>
      </c>
      <c r="D227" s="184" t="str">
        <f aca="false">ExportRaw!$E227</f>
        <v/>
      </c>
      <c r="E227" s="185" t="str">
        <f aca="false">ExportRaw!$D227</f>
        <v/>
      </c>
      <c r="F227" s="184" t="str">
        <f aca="false">ExportRaw!$H227</f>
        <v/>
      </c>
      <c r="G227" s="186" t="str">
        <f aca="false">ExportRaw!$I227</f>
        <v/>
      </c>
      <c r="H227" s="184" t="str">
        <f aca="false">ExportRaw!$A227</f>
        <v/>
      </c>
      <c r="I227" s="184" t="str">
        <f aca="false">ExportRaw!$B227</f>
        <v/>
      </c>
    </row>
    <row r="228" customFormat="false" ht="15.75" hidden="false" customHeight="false" outlineLevel="0" collapsed="false">
      <c r="A228" s="184" t="n">
        <f aca="false">ExportRaw!$F228</f>
        <v>0</v>
      </c>
      <c r="B228" s="184" t="n">
        <f aca="false">ExportRaw!$C228</f>
        <v>0</v>
      </c>
      <c r="C228" s="184" t="n">
        <f aca="false">ExportRaw!$G228</f>
        <v>0</v>
      </c>
      <c r="D228" s="184" t="str">
        <f aca="false">ExportRaw!$E228</f>
        <v/>
      </c>
      <c r="E228" s="185" t="str">
        <f aca="false">ExportRaw!$D228</f>
        <v/>
      </c>
      <c r="F228" s="184" t="str">
        <f aca="false">ExportRaw!$H228</f>
        <v/>
      </c>
      <c r="G228" s="186" t="str">
        <f aca="false">ExportRaw!$I228</f>
        <v/>
      </c>
      <c r="H228" s="184" t="str">
        <f aca="false">ExportRaw!$A228</f>
        <v/>
      </c>
      <c r="I228" s="184" t="str">
        <f aca="false">ExportRaw!$B228</f>
        <v/>
      </c>
    </row>
    <row r="229" customFormat="false" ht="15.75" hidden="false" customHeight="false" outlineLevel="0" collapsed="false">
      <c r="A229" s="184" t="n">
        <f aca="false">ExportRaw!$F229</f>
        <v>0</v>
      </c>
      <c r="B229" s="184" t="n">
        <f aca="false">ExportRaw!$C229</f>
        <v>0</v>
      </c>
      <c r="C229" s="184" t="n">
        <f aca="false">ExportRaw!$G229</f>
        <v>0</v>
      </c>
      <c r="D229" s="184" t="str">
        <f aca="false">ExportRaw!$E229</f>
        <v/>
      </c>
      <c r="E229" s="185" t="str">
        <f aca="false">ExportRaw!$D229</f>
        <v/>
      </c>
      <c r="F229" s="184" t="str">
        <f aca="false">ExportRaw!$H229</f>
        <v/>
      </c>
      <c r="G229" s="186" t="str">
        <f aca="false">ExportRaw!$I229</f>
        <v/>
      </c>
      <c r="H229" s="184" t="str">
        <f aca="false">ExportRaw!$A229</f>
        <v/>
      </c>
      <c r="I229" s="184" t="str">
        <f aca="false">ExportRaw!$B229</f>
        <v/>
      </c>
    </row>
    <row r="230" customFormat="false" ht="15.75" hidden="false" customHeight="false" outlineLevel="0" collapsed="false">
      <c r="A230" s="184" t="n">
        <f aca="false">ExportRaw!$F230</f>
        <v>0</v>
      </c>
      <c r="B230" s="184" t="n">
        <f aca="false">ExportRaw!$C230</f>
        <v>0</v>
      </c>
      <c r="C230" s="184" t="n">
        <f aca="false">ExportRaw!$G230</f>
        <v>0</v>
      </c>
      <c r="D230" s="184" t="str">
        <f aca="false">ExportRaw!$E230</f>
        <v/>
      </c>
      <c r="E230" s="185" t="str">
        <f aca="false">ExportRaw!$D230</f>
        <v/>
      </c>
      <c r="F230" s="184" t="str">
        <f aca="false">ExportRaw!$H230</f>
        <v/>
      </c>
      <c r="G230" s="186" t="str">
        <f aca="false">ExportRaw!$I230</f>
        <v/>
      </c>
      <c r="H230" s="184" t="str">
        <f aca="false">ExportRaw!$A230</f>
        <v/>
      </c>
      <c r="I230" s="184" t="str">
        <f aca="false">ExportRaw!$B230</f>
        <v/>
      </c>
    </row>
    <row r="231" customFormat="false" ht="15.75" hidden="false" customHeight="false" outlineLevel="0" collapsed="false">
      <c r="A231" s="184" t="n">
        <f aca="false">ExportRaw!$F231</f>
        <v>0</v>
      </c>
      <c r="B231" s="184" t="n">
        <f aca="false">ExportRaw!$C231</f>
        <v>0</v>
      </c>
      <c r="C231" s="184" t="n">
        <f aca="false">ExportRaw!$G231</f>
        <v>0</v>
      </c>
      <c r="D231" s="184" t="str">
        <f aca="false">ExportRaw!$E231</f>
        <v/>
      </c>
      <c r="E231" s="185" t="str">
        <f aca="false">ExportRaw!$D231</f>
        <v/>
      </c>
      <c r="F231" s="184" t="str">
        <f aca="false">ExportRaw!$H231</f>
        <v/>
      </c>
      <c r="G231" s="186" t="str">
        <f aca="false">ExportRaw!$I231</f>
        <v/>
      </c>
      <c r="H231" s="184" t="str">
        <f aca="false">ExportRaw!$A231</f>
        <v/>
      </c>
      <c r="I231" s="184" t="str">
        <f aca="false">ExportRaw!$B231</f>
        <v/>
      </c>
    </row>
    <row r="232" customFormat="false" ht="15.75" hidden="false" customHeight="false" outlineLevel="0" collapsed="false">
      <c r="A232" s="184" t="n">
        <f aca="false">ExportRaw!$F232</f>
        <v>0</v>
      </c>
      <c r="B232" s="184" t="n">
        <f aca="false">ExportRaw!$C232</f>
        <v>0</v>
      </c>
      <c r="C232" s="184" t="n">
        <f aca="false">ExportRaw!$G232</f>
        <v>0</v>
      </c>
      <c r="D232" s="184" t="str">
        <f aca="false">ExportRaw!$E232</f>
        <v/>
      </c>
      <c r="E232" s="185" t="str">
        <f aca="false">ExportRaw!$D232</f>
        <v/>
      </c>
      <c r="F232" s="184" t="str">
        <f aca="false">ExportRaw!$H232</f>
        <v/>
      </c>
      <c r="G232" s="186" t="str">
        <f aca="false">ExportRaw!$I232</f>
        <v/>
      </c>
      <c r="H232" s="184" t="str">
        <f aca="false">ExportRaw!$A232</f>
        <v/>
      </c>
      <c r="I232" s="184" t="str">
        <f aca="false">ExportRaw!$B232</f>
        <v/>
      </c>
    </row>
    <row r="233" customFormat="false" ht="15.75" hidden="false" customHeight="false" outlineLevel="0" collapsed="false">
      <c r="A233" s="184" t="n">
        <f aca="false">ExportRaw!$F233</f>
        <v>0</v>
      </c>
      <c r="B233" s="184" t="n">
        <f aca="false">ExportRaw!$C233</f>
        <v>0</v>
      </c>
      <c r="C233" s="184" t="n">
        <f aca="false">ExportRaw!$G233</f>
        <v>0</v>
      </c>
      <c r="D233" s="184" t="str">
        <f aca="false">ExportRaw!$E233</f>
        <v/>
      </c>
      <c r="E233" s="185" t="str">
        <f aca="false">ExportRaw!$D233</f>
        <v/>
      </c>
      <c r="F233" s="184" t="str">
        <f aca="false">ExportRaw!$H233</f>
        <v/>
      </c>
      <c r="G233" s="186" t="str">
        <f aca="false">ExportRaw!$I233</f>
        <v/>
      </c>
      <c r="H233" s="184" t="str">
        <f aca="false">ExportRaw!$A233</f>
        <v/>
      </c>
      <c r="I233" s="184" t="str">
        <f aca="false">ExportRaw!$B233</f>
        <v/>
      </c>
    </row>
    <row r="234" customFormat="false" ht="15.75" hidden="false" customHeight="false" outlineLevel="0" collapsed="false">
      <c r="A234" s="184" t="n">
        <f aca="false">ExportRaw!$F234</f>
        <v>0</v>
      </c>
      <c r="B234" s="184" t="n">
        <f aca="false">ExportRaw!$C234</f>
        <v>0</v>
      </c>
      <c r="C234" s="184" t="n">
        <f aca="false">ExportRaw!$G234</f>
        <v>0</v>
      </c>
      <c r="D234" s="184" t="str">
        <f aca="false">ExportRaw!$E234</f>
        <v/>
      </c>
      <c r="E234" s="185" t="str">
        <f aca="false">ExportRaw!$D234</f>
        <v/>
      </c>
      <c r="F234" s="184" t="str">
        <f aca="false">ExportRaw!$H234</f>
        <v/>
      </c>
      <c r="G234" s="186" t="str">
        <f aca="false">ExportRaw!$I234</f>
        <v/>
      </c>
      <c r="H234" s="184" t="str">
        <f aca="false">ExportRaw!$A234</f>
        <v/>
      </c>
      <c r="I234" s="184" t="str">
        <f aca="false">ExportRaw!$B234</f>
        <v/>
      </c>
    </row>
    <row r="235" customFormat="false" ht="15.75" hidden="false" customHeight="false" outlineLevel="0" collapsed="false">
      <c r="A235" s="184" t="n">
        <f aca="false">ExportRaw!$F235</f>
        <v>0</v>
      </c>
      <c r="B235" s="184" t="n">
        <f aca="false">ExportRaw!$C235</f>
        <v>0</v>
      </c>
      <c r="C235" s="184" t="n">
        <f aca="false">ExportRaw!$G235</f>
        <v>0</v>
      </c>
      <c r="D235" s="184" t="str">
        <f aca="false">ExportRaw!$E235</f>
        <v/>
      </c>
      <c r="E235" s="185" t="str">
        <f aca="false">ExportRaw!$D235</f>
        <v/>
      </c>
      <c r="F235" s="184" t="str">
        <f aca="false">ExportRaw!$H235</f>
        <v/>
      </c>
      <c r="G235" s="186" t="str">
        <f aca="false">ExportRaw!$I235</f>
        <v/>
      </c>
      <c r="H235" s="184" t="str">
        <f aca="false">ExportRaw!$A235</f>
        <v/>
      </c>
      <c r="I235" s="184" t="str">
        <f aca="false">ExportRaw!$B235</f>
        <v/>
      </c>
    </row>
    <row r="236" customFormat="false" ht="15.75" hidden="false" customHeight="false" outlineLevel="0" collapsed="false">
      <c r="A236" s="184" t="n">
        <f aca="false">ExportRaw!$F236</f>
        <v>0</v>
      </c>
      <c r="B236" s="184" t="n">
        <f aca="false">ExportRaw!$C236</f>
        <v>0</v>
      </c>
      <c r="C236" s="184" t="n">
        <f aca="false">ExportRaw!$G236</f>
        <v>0</v>
      </c>
      <c r="D236" s="184" t="str">
        <f aca="false">ExportRaw!$E236</f>
        <v/>
      </c>
      <c r="E236" s="185" t="str">
        <f aca="false">ExportRaw!$D236</f>
        <v/>
      </c>
      <c r="F236" s="184" t="str">
        <f aca="false">ExportRaw!$H236</f>
        <v/>
      </c>
      <c r="G236" s="186" t="str">
        <f aca="false">ExportRaw!$I236</f>
        <v/>
      </c>
      <c r="H236" s="184" t="str">
        <f aca="false">ExportRaw!$A236</f>
        <v/>
      </c>
      <c r="I236" s="184" t="str">
        <f aca="false">ExportRaw!$B236</f>
        <v/>
      </c>
    </row>
    <row r="237" customFormat="false" ht="15.75" hidden="false" customHeight="false" outlineLevel="0" collapsed="false">
      <c r="A237" s="184" t="n">
        <f aca="false">ExportRaw!$F237</f>
        <v>0</v>
      </c>
      <c r="B237" s="184" t="n">
        <f aca="false">ExportRaw!$C237</f>
        <v>0</v>
      </c>
      <c r="C237" s="184" t="n">
        <f aca="false">ExportRaw!$G237</f>
        <v>0</v>
      </c>
      <c r="D237" s="184" t="str">
        <f aca="false">ExportRaw!$E237</f>
        <v/>
      </c>
      <c r="E237" s="185" t="str">
        <f aca="false">ExportRaw!$D237</f>
        <v/>
      </c>
      <c r="F237" s="184" t="str">
        <f aca="false">ExportRaw!$H237</f>
        <v/>
      </c>
      <c r="G237" s="186" t="str">
        <f aca="false">ExportRaw!$I237</f>
        <v/>
      </c>
      <c r="H237" s="184" t="str">
        <f aca="false">ExportRaw!$A237</f>
        <v/>
      </c>
      <c r="I237" s="184" t="str">
        <f aca="false">ExportRaw!$B237</f>
        <v/>
      </c>
    </row>
    <row r="238" customFormat="false" ht="15.75" hidden="false" customHeight="false" outlineLevel="0" collapsed="false">
      <c r="A238" s="184" t="n">
        <f aca="false">ExportRaw!$F238</f>
        <v>0</v>
      </c>
      <c r="B238" s="184" t="n">
        <f aca="false">ExportRaw!$C238</f>
        <v>0</v>
      </c>
      <c r="C238" s="184" t="n">
        <f aca="false">ExportRaw!$G238</f>
        <v>0</v>
      </c>
      <c r="D238" s="184" t="str">
        <f aca="false">ExportRaw!$E238</f>
        <v/>
      </c>
      <c r="E238" s="185" t="str">
        <f aca="false">ExportRaw!$D238</f>
        <v/>
      </c>
      <c r="F238" s="184" t="str">
        <f aca="false">ExportRaw!$H238</f>
        <v/>
      </c>
      <c r="G238" s="186" t="str">
        <f aca="false">ExportRaw!$I238</f>
        <v/>
      </c>
      <c r="H238" s="184" t="str">
        <f aca="false">ExportRaw!$A238</f>
        <v/>
      </c>
      <c r="I238" s="184" t="str">
        <f aca="false">ExportRaw!$B238</f>
        <v/>
      </c>
    </row>
    <row r="239" customFormat="false" ht="15.75" hidden="false" customHeight="false" outlineLevel="0" collapsed="false">
      <c r="A239" s="184" t="n">
        <f aca="false">ExportRaw!$F239</f>
        <v>0</v>
      </c>
      <c r="B239" s="184" t="n">
        <f aca="false">ExportRaw!$C239</f>
        <v>0</v>
      </c>
      <c r="C239" s="184" t="n">
        <f aca="false">ExportRaw!$G239</f>
        <v>0</v>
      </c>
      <c r="D239" s="184" t="str">
        <f aca="false">ExportRaw!$E239</f>
        <v/>
      </c>
      <c r="E239" s="185" t="str">
        <f aca="false">ExportRaw!$D239</f>
        <v/>
      </c>
      <c r="F239" s="184" t="str">
        <f aca="false">ExportRaw!$H239</f>
        <v/>
      </c>
      <c r="G239" s="186" t="str">
        <f aca="false">ExportRaw!$I239</f>
        <v/>
      </c>
      <c r="H239" s="184" t="str">
        <f aca="false">ExportRaw!$A239</f>
        <v/>
      </c>
      <c r="I239" s="184" t="str">
        <f aca="false">ExportRaw!$B239</f>
        <v/>
      </c>
    </row>
    <row r="240" customFormat="false" ht="15.75" hidden="false" customHeight="false" outlineLevel="0" collapsed="false">
      <c r="A240" s="184" t="n">
        <f aca="false">ExportRaw!$F240</f>
        <v>0</v>
      </c>
      <c r="B240" s="184" t="n">
        <f aca="false">ExportRaw!$C240</f>
        <v>0</v>
      </c>
      <c r="C240" s="184" t="n">
        <f aca="false">ExportRaw!$G240</f>
        <v>0</v>
      </c>
      <c r="D240" s="184" t="str">
        <f aca="false">ExportRaw!$E240</f>
        <v/>
      </c>
      <c r="E240" s="185" t="str">
        <f aca="false">ExportRaw!$D240</f>
        <v/>
      </c>
      <c r="F240" s="184" t="str">
        <f aca="false">ExportRaw!$H240</f>
        <v/>
      </c>
      <c r="G240" s="186" t="str">
        <f aca="false">ExportRaw!$I240</f>
        <v/>
      </c>
      <c r="H240" s="184" t="str">
        <f aca="false">ExportRaw!$A240</f>
        <v/>
      </c>
      <c r="I240" s="184" t="str">
        <f aca="false">ExportRaw!$B240</f>
        <v/>
      </c>
    </row>
    <row r="241" customFormat="false" ht="15.75" hidden="false" customHeight="false" outlineLevel="0" collapsed="false">
      <c r="A241" s="184" t="n">
        <f aca="false">ExportRaw!$F241</f>
        <v>0</v>
      </c>
      <c r="B241" s="184" t="n">
        <f aca="false">ExportRaw!$C241</f>
        <v>0</v>
      </c>
      <c r="C241" s="184" t="n">
        <f aca="false">ExportRaw!$G241</f>
        <v>0</v>
      </c>
      <c r="D241" s="184" t="str">
        <f aca="false">ExportRaw!$E241</f>
        <v/>
      </c>
      <c r="E241" s="185" t="str">
        <f aca="false">ExportRaw!$D241</f>
        <v/>
      </c>
      <c r="F241" s="184" t="str">
        <f aca="false">ExportRaw!$H241</f>
        <v/>
      </c>
      <c r="G241" s="186" t="str">
        <f aca="false">ExportRaw!$I241</f>
        <v/>
      </c>
      <c r="H241" s="184" t="str">
        <f aca="false">ExportRaw!$A241</f>
        <v/>
      </c>
      <c r="I241" s="184" t="str">
        <f aca="false">ExportRaw!$B241</f>
        <v/>
      </c>
    </row>
    <row r="242" customFormat="false" ht="15.75" hidden="false" customHeight="false" outlineLevel="0" collapsed="false">
      <c r="A242" s="184" t="n">
        <f aca="false">ExportRaw!$F242</f>
        <v>0</v>
      </c>
      <c r="B242" s="184" t="n">
        <f aca="false">ExportRaw!$C242</f>
        <v>0</v>
      </c>
      <c r="C242" s="184" t="n">
        <f aca="false">ExportRaw!$G242</f>
        <v>0</v>
      </c>
      <c r="D242" s="184" t="str">
        <f aca="false">ExportRaw!$E242</f>
        <v/>
      </c>
      <c r="E242" s="185" t="str">
        <f aca="false">ExportRaw!$D242</f>
        <v/>
      </c>
      <c r="F242" s="184" t="str">
        <f aca="false">ExportRaw!$H242</f>
        <v/>
      </c>
      <c r="G242" s="186" t="str">
        <f aca="false">ExportRaw!$I242</f>
        <v/>
      </c>
      <c r="H242" s="184" t="str">
        <f aca="false">ExportRaw!$A242</f>
        <v/>
      </c>
      <c r="I242" s="184" t="str">
        <f aca="false">ExportRaw!$B242</f>
        <v/>
      </c>
    </row>
    <row r="243" customFormat="false" ht="15.75" hidden="false" customHeight="false" outlineLevel="0" collapsed="false">
      <c r="A243" s="184" t="n">
        <f aca="false">ExportRaw!$F243</f>
        <v>0</v>
      </c>
      <c r="B243" s="184" t="n">
        <f aca="false">ExportRaw!$C243</f>
        <v>0</v>
      </c>
      <c r="C243" s="184" t="n">
        <f aca="false">ExportRaw!$G243</f>
        <v>0</v>
      </c>
      <c r="D243" s="184" t="str">
        <f aca="false">ExportRaw!$E243</f>
        <v/>
      </c>
      <c r="E243" s="185" t="str">
        <f aca="false">ExportRaw!$D243</f>
        <v/>
      </c>
      <c r="F243" s="184" t="str">
        <f aca="false">ExportRaw!$H243</f>
        <v/>
      </c>
      <c r="G243" s="186" t="str">
        <f aca="false">ExportRaw!$I243</f>
        <v/>
      </c>
      <c r="H243" s="184" t="str">
        <f aca="false">ExportRaw!$A243</f>
        <v/>
      </c>
      <c r="I243" s="184" t="str">
        <f aca="false">ExportRaw!$B243</f>
        <v/>
      </c>
    </row>
    <row r="244" customFormat="false" ht="15.75" hidden="false" customHeight="false" outlineLevel="0" collapsed="false">
      <c r="A244" s="184" t="n">
        <f aca="false">ExportRaw!$F244</f>
        <v>0</v>
      </c>
      <c r="B244" s="184" t="n">
        <f aca="false">ExportRaw!$C244</f>
        <v>0</v>
      </c>
      <c r="C244" s="184" t="n">
        <f aca="false">ExportRaw!$G244</f>
        <v>0</v>
      </c>
      <c r="D244" s="184" t="str">
        <f aca="false">ExportRaw!$E244</f>
        <v/>
      </c>
      <c r="E244" s="185" t="str">
        <f aca="false">ExportRaw!$D244</f>
        <v/>
      </c>
      <c r="F244" s="184" t="str">
        <f aca="false">ExportRaw!$H244</f>
        <v/>
      </c>
      <c r="G244" s="186" t="str">
        <f aca="false">ExportRaw!$I244</f>
        <v/>
      </c>
      <c r="H244" s="184" t="str">
        <f aca="false">ExportRaw!$A244</f>
        <v/>
      </c>
      <c r="I244" s="184" t="str">
        <f aca="false">ExportRaw!$B244</f>
        <v/>
      </c>
    </row>
    <row r="245" customFormat="false" ht="15.75" hidden="false" customHeight="false" outlineLevel="0" collapsed="false">
      <c r="A245" s="184" t="n">
        <f aca="false">ExportRaw!$F245</f>
        <v>0</v>
      </c>
      <c r="B245" s="184" t="n">
        <f aca="false">ExportRaw!$C245</f>
        <v>0</v>
      </c>
      <c r="C245" s="184" t="n">
        <f aca="false">ExportRaw!$G245</f>
        <v>0</v>
      </c>
      <c r="D245" s="184" t="str">
        <f aca="false">ExportRaw!$E245</f>
        <v/>
      </c>
      <c r="E245" s="185" t="str">
        <f aca="false">ExportRaw!$D245</f>
        <v/>
      </c>
      <c r="F245" s="184" t="str">
        <f aca="false">ExportRaw!$H245</f>
        <v/>
      </c>
      <c r="G245" s="186" t="str">
        <f aca="false">ExportRaw!$I245</f>
        <v/>
      </c>
      <c r="H245" s="184" t="str">
        <f aca="false">ExportRaw!$A245</f>
        <v/>
      </c>
      <c r="I245" s="184" t="str">
        <f aca="false">ExportRaw!$B245</f>
        <v/>
      </c>
    </row>
    <row r="246" customFormat="false" ht="15.75" hidden="false" customHeight="false" outlineLevel="0" collapsed="false">
      <c r="A246" s="184" t="n">
        <f aca="false">ExportRaw!$F246</f>
        <v>0</v>
      </c>
      <c r="B246" s="184" t="n">
        <f aca="false">ExportRaw!$C246</f>
        <v>0</v>
      </c>
      <c r="C246" s="184" t="n">
        <f aca="false">ExportRaw!$G246</f>
        <v>0</v>
      </c>
      <c r="D246" s="184" t="str">
        <f aca="false">ExportRaw!$E246</f>
        <v/>
      </c>
      <c r="E246" s="185" t="str">
        <f aca="false">ExportRaw!$D246</f>
        <v/>
      </c>
      <c r="F246" s="184" t="str">
        <f aca="false">ExportRaw!$H246</f>
        <v/>
      </c>
      <c r="G246" s="186" t="str">
        <f aca="false">ExportRaw!$I246</f>
        <v/>
      </c>
      <c r="H246" s="184" t="str">
        <f aca="false">ExportRaw!$A246</f>
        <v/>
      </c>
      <c r="I246" s="184" t="str">
        <f aca="false">ExportRaw!$B246</f>
        <v/>
      </c>
    </row>
    <row r="247" customFormat="false" ht="15.75" hidden="false" customHeight="false" outlineLevel="0" collapsed="false">
      <c r="A247" s="184" t="n">
        <f aca="false">ExportRaw!$F247</f>
        <v>0</v>
      </c>
      <c r="B247" s="184" t="n">
        <f aca="false">ExportRaw!$C247</f>
        <v>0</v>
      </c>
      <c r="C247" s="184" t="n">
        <f aca="false">ExportRaw!$G247</f>
        <v>0</v>
      </c>
      <c r="D247" s="184" t="str">
        <f aca="false">ExportRaw!$E247</f>
        <v/>
      </c>
      <c r="E247" s="185" t="str">
        <f aca="false">ExportRaw!$D247</f>
        <v/>
      </c>
      <c r="F247" s="184" t="str">
        <f aca="false">ExportRaw!$H247</f>
        <v/>
      </c>
      <c r="G247" s="186" t="str">
        <f aca="false">ExportRaw!$I247</f>
        <v/>
      </c>
      <c r="H247" s="184" t="str">
        <f aca="false">ExportRaw!$A247</f>
        <v/>
      </c>
      <c r="I247" s="184" t="str">
        <f aca="false">ExportRaw!$B247</f>
        <v/>
      </c>
    </row>
    <row r="248" customFormat="false" ht="15.75" hidden="false" customHeight="false" outlineLevel="0" collapsed="false">
      <c r="A248" s="184" t="n">
        <f aca="false">ExportRaw!$F248</f>
        <v>0</v>
      </c>
      <c r="B248" s="184" t="n">
        <f aca="false">ExportRaw!$C248</f>
        <v>0</v>
      </c>
      <c r="C248" s="184" t="n">
        <f aca="false">ExportRaw!$G248</f>
        <v>0</v>
      </c>
      <c r="D248" s="184" t="str">
        <f aca="false">ExportRaw!$E248</f>
        <v/>
      </c>
      <c r="E248" s="185" t="str">
        <f aca="false">ExportRaw!$D248</f>
        <v/>
      </c>
      <c r="F248" s="184" t="str">
        <f aca="false">ExportRaw!$H248</f>
        <v/>
      </c>
      <c r="G248" s="186" t="str">
        <f aca="false">ExportRaw!$I248</f>
        <v/>
      </c>
      <c r="H248" s="184" t="str">
        <f aca="false">ExportRaw!$A248</f>
        <v/>
      </c>
      <c r="I248" s="184" t="str">
        <f aca="false">ExportRaw!$B248</f>
        <v/>
      </c>
    </row>
    <row r="249" customFormat="false" ht="15.75" hidden="false" customHeight="false" outlineLevel="0" collapsed="false">
      <c r="A249" s="184" t="n">
        <f aca="false">ExportRaw!$F249</f>
        <v>0</v>
      </c>
      <c r="B249" s="184" t="n">
        <f aca="false">ExportRaw!$C249</f>
        <v>0</v>
      </c>
      <c r="C249" s="184" t="n">
        <f aca="false">ExportRaw!$G249</f>
        <v>0</v>
      </c>
      <c r="D249" s="184" t="str">
        <f aca="false">ExportRaw!$E249</f>
        <v/>
      </c>
      <c r="E249" s="185" t="str">
        <f aca="false">ExportRaw!$D249</f>
        <v/>
      </c>
      <c r="F249" s="184" t="str">
        <f aca="false">ExportRaw!$H249</f>
        <v/>
      </c>
      <c r="G249" s="186" t="str">
        <f aca="false">ExportRaw!$I249</f>
        <v/>
      </c>
      <c r="H249" s="184" t="str">
        <f aca="false">ExportRaw!$A249</f>
        <v/>
      </c>
      <c r="I249" s="184" t="str">
        <f aca="false">ExportRaw!$B249</f>
        <v/>
      </c>
    </row>
    <row r="250" customFormat="false" ht="15.75" hidden="false" customHeight="false" outlineLevel="0" collapsed="false">
      <c r="A250" s="184" t="n">
        <f aca="false">ExportRaw!$F250</f>
        <v>0</v>
      </c>
      <c r="B250" s="184" t="n">
        <f aca="false">ExportRaw!$C250</f>
        <v>0</v>
      </c>
      <c r="C250" s="184" t="n">
        <f aca="false">ExportRaw!$G250</f>
        <v>0</v>
      </c>
      <c r="D250" s="184" t="str">
        <f aca="false">ExportRaw!$E250</f>
        <v/>
      </c>
      <c r="E250" s="185" t="str">
        <f aca="false">ExportRaw!$D250</f>
        <v/>
      </c>
      <c r="F250" s="184" t="str">
        <f aca="false">ExportRaw!$H250</f>
        <v/>
      </c>
      <c r="G250" s="186" t="str">
        <f aca="false">ExportRaw!$I250</f>
        <v/>
      </c>
      <c r="H250" s="184" t="str">
        <f aca="false">ExportRaw!$A250</f>
        <v/>
      </c>
      <c r="I250" s="184" t="str">
        <f aca="false">ExportRaw!$B250</f>
        <v/>
      </c>
    </row>
    <row r="251" customFormat="false" ht="15.75" hidden="false" customHeight="false" outlineLevel="0" collapsed="false">
      <c r="A251" s="184" t="n">
        <f aca="false">ExportRaw!$F251</f>
        <v>0</v>
      </c>
      <c r="B251" s="184" t="n">
        <f aca="false">ExportRaw!$C251</f>
        <v>0</v>
      </c>
      <c r="C251" s="184" t="n">
        <f aca="false">ExportRaw!$G251</f>
        <v>0</v>
      </c>
      <c r="D251" s="184" t="str">
        <f aca="false">ExportRaw!$E251</f>
        <v/>
      </c>
      <c r="E251" s="185" t="str">
        <f aca="false">ExportRaw!$D251</f>
        <v/>
      </c>
      <c r="F251" s="184" t="str">
        <f aca="false">ExportRaw!$H251</f>
        <v/>
      </c>
      <c r="G251" s="186" t="str">
        <f aca="false">ExportRaw!$I251</f>
        <v/>
      </c>
      <c r="H251" s="184" t="str">
        <f aca="false">ExportRaw!$A251</f>
        <v/>
      </c>
      <c r="I251" s="184" t="str">
        <f aca="false">ExportRaw!$B251</f>
        <v/>
      </c>
    </row>
    <row r="252" customFormat="false" ht="15.75" hidden="false" customHeight="false" outlineLevel="0" collapsed="false">
      <c r="A252" s="184" t="n">
        <f aca="false">ExportRaw!$F252</f>
        <v>0</v>
      </c>
      <c r="B252" s="184" t="n">
        <f aca="false">ExportRaw!$C252</f>
        <v>0</v>
      </c>
      <c r="C252" s="184" t="n">
        <f aca="false">ExportRaw!$G252</f>
        <v>0</v>
      </c>
      <c r="D252" s="184" t="str">
        <f aca="false">ExportRaw!$E252</f>
        <v/>
      </c>
      <c r="E252" s="185" t="str">
        <f aca="false">ExportRaw!$D252</f>
        <v/>
      </c>
      <c r="F252" s="184" t="str">
        <f aca="false">ExportRaw!$H252</f>
        <v/>
      </c>
      <c r="G252" s="186" t="str">
        <f aca="false">ExportRaw!$I252</f>
        <v/>
      </c>
      <c r="H252" s="184" t="str">
        <f aca="false">ExportRaw!$A252</f>
        <v/>
      </c>
      <c r="I252" s="184" t="str">
        <f aca="false">ExportRaw!$B252</f>
        <v/>
      </c>
    </row>
    <row r="253" customFormat="false" ht="15.75" hidden="false" customHeight="false" outlineLevel="0" collapsed="false">
      <c r="A253" s="184" t="n">
        <f aca="false">ExportRaw!$F253</f>
        <v>0</v>
      </c>
      <c r="B253" s="184" t="n">
        <f aca="false">ExportRaw!$C253</f>
        <v>0</v>
      </c>
      <c r="C253" s="184" t="n">
        <f aca="false">ExportRaw!$G253</f>
        <v>0</v>
      </c>
      <c r="D253" s="184" t="str">
        <f aca="false">ExportRaw!$E253</f>
        <v/>
      </c>
      <c r="E253" s="185" t="str">
        <f aca="false">ExportRaw!$D253</f>
        <v/>
      </c>
      <c r="F253" s="184" t="str">
        <f aca="false">ExportRaw!$H253</f>
        <v/>
      </c>
      <c r="G253" s="186" t="str">
        <f aca="false">ExportRaw!$I253</f>
        <v/>
      </c>
      <c r="H253" s="184" t="str">
        <f aca="false">ExportRaw!$A253</f>
        <v/>
      </c>
      <c r="I253" s="184" t="str">
        <f aca="false">ExportRaw!$B253</f>
        <v/>
      </c>
    </row>
    <row r="254" customFormat="false" ht="15.75" hidden="false" customHeight="false" outlineLevel="0" collapsed="false">
      <c r="A254" s="184" t="n">
        <f aca="false">ExportRaw!$F254</f>
        <v>0</v>
      </c>
      <c r="B254" s="184" t="n">
        <f aca="false">ExportRaw!$C254</f>
        <v>0</v>
      </c>
      <c r="C254" s="184" t="n">
        <f aca="false">ExportRaw!$G254</f>
        <v>0</v>
      </c>
      <c r="D254" s="184" t="str">
        <f aca="false">ExportRaw!$E254</f>
        <v/>
      </c>
      <c r="E254" s="185" t="str">
        <f aca="false">ExportRaw!$D254</f>
        <v/>
      </c>
      <c r="F254" s="184" t="str">
        <f aca="false">ExportRaw!$H254</f>
        <v/>
      </c>
      <c r="G254" s="186" t="str">
        <f aca="false">ExportRaw!$I254</f>
        <v/>
      </c>
      <c r="H254" s="184" t="str">
        <f aca="false">ExportRaw!$A254</f>
        <v/>
      </c>
      <c r="I254" s="184" t="str">
        <f aca="false">ExportRaw!$B254</f>
        <v/>
      </c>
    </row>
    <row r="255" customFormat="false" ht="15.75" hidden="false" customHeight="false" outlineLevel="0" collapsed="false">
      <c r="A255" s="184" t="n">
        <f aca="false">ExportRaw!$F255</f>
        <v>0</v>
      </c>
      <c r="B255" s="184" t="n">
        <f aca="false">ExportRaw!$C255</f>
        <v>0</v>
      </c>
      <c r="C255" s="184" t="n">
        <f aca="false">ExportRaw!$G255</f>
        <v>0</v>
      </c>
      <c r="D255" s="184" t="str">
        <f aca="false">ExportRaw!$E255</f>
        <v/>
      </c>
      <c r="E255" s="185" t="str">
        <f aca="false">ExportRaw!$D255</f>
        <v/>
      </c>
      <c r="F255" s="184" t="str">
        <f aca="false">ExportRaw!$H255</f>
        <v/>
      </c>
      <c r="G255" s="186" t="str">
        <f aca="false">ExportRaw!$I255</f>
        <v/>
      </c>
      <c r="H255" s="184" t="str">
        <f aca="false">ExportRaw!$A255</f>
        <v/>
      </c>
      <c r="I255" s="184" t="str">
        <f aca="false">ExportRaw!$B255</f>
        <v/>
      </c>
    </row>
    <row r="256" customFormat="false" ht="15.75" hidden="false" customHeight="false" outlineLevel="0" collapsed="false">
      <c r="A256" s="184" t="n">
        <f aca="false">ExportRaw!$F256</f>
        <v>0</v>
      </c>
      <c r="B256" s="184" t="n">
        <f aca="false">ExportRaw!$C256</f>
        <v>0</v>
      </c>
      <c r="C256" s="184" t="n">
        <f aca="false">ExportRaw!$G256</f>
        <v>0</v>
      </c>
      <c r="D256" s="184" t="str">
        <f aca="false">ExportRaw!$E256</f>
        <v/>
      </c>
      <c r="E256" s="185" t="str">
        <f aca="false">ExportRaw!$D256</f>
        <v/>
      </c>
      <c r="F256" s="184" t="str">
        <f aca="false">ExportRaw!$H256</f>
        <v/>
      </c>
      <c r="G256" s="186" t="str">
        <f aca="false">ExportRaw!$I256</f>
        <v/>
      </c>
      <c r="H256" s="184" t="str">
        <f aca="false">ExportRaw!$A256</f>
        <v/>
      </c>
      <c r="I256" s="184" t="str">
        <f aca="false">ExportRaw!$B256</f>
        <v/>
      </c>
    </row>
    <row r="257" customFormat="false" ht="15.75" hidden="false" customHeight="false" outlineLevel="0" collapsed="false">
      <c r="A257" s="184" t="n">
        <f aca="false">ExportRaw!$F257</f>
        <v>0</v>
      </c>
      <c r="B257" s="184" t="n">
        <f aca="false">ExportRaw!$C257</f>
        <v>0</v>
      </c>
      <c r="C257" s="184" t="n">
        <f aca="false">ExportRaw!$G257</f>
        <v>0</v>
      </c>
      <c r="D257" s="184" t="str">
        <f aca="false">ExportRaw!$E257</f>
        <v/>
      </c>
      <c r="E257" s="185" t="str">
        <f aca="false">ExportRaw!$D257</f>
        <v/>
      </c>
      <c r="F257" s="184" t="str">
        <f aca="false">ExportRaw!$H257</f>
        <v/>
      </c>
      <c r="G257" s="186" t="str">
        <f aca="false">ExportRaw!$I257</f>
        <v/>
      </c>
      <c r="H257" s="184" t="str">
        <f aca="false">ExportRaw!$A257</f>
        <v/>
      </c>
      <c r="I257" s="184" t="str">
        <f aca="false">ExportRaw!$B257</f>
        <v/>
      </c>
    </row>
    <row r="258" customFormat="false" ht="15.75" hidden="false" customHeight="false" outlineLevel="0" collapsed="false">
      <c r="A258" s="184" t="n">
        <f aca="false">ExportRaw!$F258</f>
        <v>0</v>
      </c>
      <c r="B258" s="184" t="n">
        <f aca="false">ExportRaw!$C258</f>
        <v>0</v>
      </c>
      <c r="C258" s="184" t="n">
        <f aca="false">ExportRaw!$G258</f>
        <v>0</v>
      </c>
      <c r="D258" s="184" t="str">
        <f aca="false">ExportRaw!$E258</f>
        <v/>
      </c>
      <c r="E258" s="185" t="str">
        <f aca="false">ExportRaw!$D258</f>
        <v/>
      </c>
      <c r="F258" s="184" t="str">
        <f aca="false">ExportRaw!$H258</f>
        <v/>
      </c>
      <c r="G258" s="186" t="str">
        <f aca="false">ExportRaw!$I258</f>
        <v/>
      </c>
      <c r="H258" s="184" t="str">
        <f aca="false">ExportRaw!$A258</f>
        <v/>
      </c>
      <c r="I258" s="184" t="str">
        <f aca="false">ExportRaw!$B258</f>
        <v/>
      </c>
    </row>
    <row r="259" customFormat="false" ht="15.75" hidden="false" customHeight="false" outlineLevel="0" collapsed="false">
      <c r="A259" s="184" t="n">
        <f aca="false">ExportRaw!$F259</f>
        <v>0</v>
      </c>
      <c r="B259" s="184" t="n">
        <f aca="false">ExportRaw!$C259</f>
        <v>0</v>
      </c>
      <c r="C259" s="184" t="n">
        <f aca="false">ExportRaw!$G259</f>
        <v>0</v>
      </c>
      <c r="D259" s="184" t="str">
        <f aca="false">ExportRaw!$E259</f>
        <v/>
      </c>
      <c r="E259" s="185" t="str">
        <f aca="false">ExportRaw!$D259</f>
        <v/>
      </c>
      <c r="F259" s="184" t="str">
        <f aca="false">ExportRaw!$H259</f>
        <v/>
      </c>
      <c r="G259" s="186" t="str">
        <f aca="false">ExportRaw!$I259</f>
        <v/>
      </c>
      <c r="H259" s="184" t="str">
        <f aca="false">ExportRaw!$A259</f>
        <v/>
      </c>
      <c r="I259" s="184" t="str">
        <f aca="false">ExportRaw!$B259</f>
        <v/>
      </c>
    </row>
    <row r="260" customFormat="false" ht="15.75" hidden="false" customHeight="false" outlineLevel="0" collapsed="false">
      <c r="A260" s="184" t="n">
        <f aca="false">ExportRaw!$F260</f>
        <v>0</v>
      </c>
      <c r="B260" s="184" t="n">
        <f aca="false">ExportRaw!$C260</f>
        <v>0</v>
      </c>
      <c r="C260" s="184" t="n">
        <f aca="false">ExportRaw!$G260</f>
        <v>0</v>
      </c>
      <c r="D260" s="184" t="str">
        <f aca="false">ExportRaw!$E260</f>
        <v/>
      </c>
      <c r="E260" s="185" t="str">
        <f aca="false">ExportRaw!$D260</f>
        <v/>
      </c>
      <c r="F260" s="184" t="str">
        <f aca="false">ExportRaw!$H260</f>
        <v/>
      </c>
      <c r="G260" s="186" t="str">
        <f aca="false">ExportRaw!$I260</f>
        <v/>
      </c>
      <c r="H260" s="184" t="str">
        <f aca="false">ExportRaw!$A260</f>
        <v/>
      </c>
      <c r="I260" s="184" t="str">
        <f aca="false">ExportRaw!$B260</f>
        <v/>
      </c>
    </row>
    <row r="261" customFormat="false" ht="15.75" hidden="false" customHeight="false" outlineLevel="0" collapsed="false">
      <c r="A261" s="184" t="n">
        <f aca="false">ExportRaw!$F261</f>
        <v>0</v>
      </c>
      <c r="B261" s="184" t="n">
        <f aca="false">ExportRaw!$C261</f>
        <v>0</v>
      </c>
      <c r="C261" s="184" t="n">
        <f aca="false">ExportRaw!$G261</f>
        <v>0</v>
      </c>
      <c r="D261" s="184" t="str">
        <f aca="false">ExportRaw!$E261</f>
        <v/>
      </c>
      <c r="E261" s="185" t="str">
        <f aca="false">ExportRaw!$D261</f>
        <v/>
      </c>
      <c r="F261" s="184" t="str">
        <f aca="false">ExportRaw!$H261</f>
        <v/>
      </c>
      <c r="G261" s="186" t="str">
        <f aca="false">ExportRaw!$I261</f>
        <v/>
      </c>
      <c r="H261" s="184" t="str">
        <f aca="false">ExportRaw!$A261</f>
        <v/>
      </c>
      <c r="I261" s="184" t="str">
        <f aca="false">ExportRaw!$B261</f>
        <v/>
      </c>
    </row>
    <row r="262" customFormat="false" ht="15.75" hidden="false" customHeight="false" outlineLevel="0" collapsed="false">
      <c r="A262" s="184" t="n">
        <f aca="false">ExportRaw!$F262</f>
        <v>0</v>
      </c>
      <c r="B262" s="184" t="n">
        <f aca="false">ExportRaw!$C262</f>
        <v>0</v>
      </c>
      <c r="C262" s="184" t="n">
        <f aca="false">ExportRaw!$G262</f>
        <v>0</v>
      </c>
      <c r="D262" s="184" t="str">
        <f aca="false">ExportRaw!$E262</f>
        <v/>
      </c>
      <c r="E262" s="185" t="str">
        <f aca="false">ExportRaw!$D262</f>
        <v/>
      </c>
      <c r="F262" s="184" t="str">
        <f aca="false">ExportRaw!$H262</f>
        <v/>
      </c>
      <c r="G262" s="186" t="str">
        <f aca="false">ExportRaw!$I262</f>
        <v/>
      </c>
      <c r="H262" s="184" t="str">
        <f aca="false">ExportRaw!$A262</f>
        <v/>
      </c>
      <c r="I262" s="184" t="str">
        <f aca="false">ExportRaw!$B262</f>
        <v/>
      </c>
    </row>
    <row r="263" customFormat="false" ht="15.75" hidden="false" customHeight="false" outlineLevel="0" collapsed="false">
      <c r="A263" s="184" t="n">
        <f aca="false">ExportRaw!$F263</f>
        <v>0</v>
      </c>
      <c r="B263" s="184" t="n">
        <f aca="false">ExportRaw!$C263</f>
        <v>0</v>
      </c>
      <c r="C263" s="184" t="n">
        <f aca="false">ExportRaw!$G263</f>
        <v>0</v>
      </c>
      <c r="D263" s="184" t="str">
        <f aca="false">ExportRaw!$E263</f>
        <v/>
      </c>
      <c r="E263" s="185" t="str">
        <f aca="false">ExportRaw!$D263</f>
        <v/>
      </c>
      <c r="F263" s="184" t="str">
        <f aca="false">ExportRaw!$H263</f>
        <v/>
      </c>
      <c r="G263" s="186" t="str">
        <f aca="false">ExportRaw!$I263</f>
        <v/>
      </c>
      <c r="H263" s="184" t="str">
        <f aca="false">ExportRaw!$A263</f>
        <v/>
      </c>
      <c r="I263" s="184" t="str">
        <f aca="false">ExportRaw!$B263</f>
        <v/>
      </c>
    </row>
    <row r="264" customFormat="false" ht="15.75" hidden="false" customHeight="false" outlineLevel="0" collapsed="false">
      <c r="A264" s="184" t="n">
        <f aca="false">ExportRaw!$F264</f>
        <v>0</v>
      </c>
      <c r="B264" s="184" t="n">
        <f aca="false">ExportRaw!$C264</f>
        <v>0</v>
      </c>
      <c r="C264" s="184" t="n">
        <f aca="false">ExportRaw!$G264</f>
        <v>0</v>
      </c>
      <c r="D264" s="184" t="str">
        <f aca="false">ExportRaw!$E264</f>
        <v/>
      </c>
      <c r="E264" s="185" t="str">
        <f aca="false">ExportRaw!$D264</f>
        <v/>
      </c>
      <c r="F264" s="184" t="str">
        <f aca="false">ExportRaw!$H264</f>
        <v/>
      </c>
      <c r="G264" s="186" t="str">
        <f aca="false">ExportRaw!$I264</f>
        <v/>
      </c>
      <c r="H264" s="184" t="str">
        <f aca="false">ExportRaw!$A264</f>
        <v/>
      </c>
      <c r="I264" s="184" t="str">
        <f aca="false">ExportRaw!$B264</f>
        <v/>
      </c>
    </row>
    <row r="265" customFormat="false" ht="15.75" hidden="false" customHeight="false" outlineLevel="0" collapsed="false">
      <c r="A265" s="184" t="n">
        <f aca="false">ExportRaw!$F265</f>
        <v>0</v>
      </c>
      <c r="B265" s="184" t="n">
        <f aca="false">ExportRaw!$C265</f>
        <v>0</v>
      </c>
      <c r="C265" s="184" t="n">
        <f aca="false">ExportRaw!$G265</f>
        <v>0</v>
      </c>
      <c r="D265" s="184" t="str">
        <f aca="false">ExportRaw!$E265</f>
        <v/>
      </c>
      <c r="E265" s="185" t="str">
        <f aca="false">ExportRaw!$D265</f>
        <v/>
      </c>
      <c r="F265" s="184" t="str">
        <f aca="false">ExportRaw!$H265</f>
        <v/>
      </c>
      <c r="G265" s="186" t="str">
        <f aca="false">ExportRaw!$I265</f>
        <v/>
      </c>
      <c r="H265" s="184" t="str">
        <f aca="false">ExportRaw!$A265</f>
        <v/>
      </c>
      <c r="I265" s="184" t="str">
        <f aca="false">ExportRaw!$B265</f>
        <v/>
      </c>
    </row>
    <row r="266" customFormat="false" ht="15.75" hidden="false" customHeight="false" outlineLevel="0" collapsed="false">
      <c r="A266" s="184" t="n">
        <f aca="false">ExportRaw!$F266</f>
        <v>0</v>
      </c>
      <c r="B266" s="184" t="n">
        <f aca="false">ExportRaw!$C266</f>
        <v>0</v>
      </c>
      <c r="C266" s="184" t="n">
        <f aca="false">ExportRaw!$G266</f>
        <v>0</v>
      </c>
      <c r="D266" s="184" t="str">
        <f aca="false">ExportRaw!$E266</f>
        <v/>
      </c>
      <c r="E266" s="185" t="str">
        <f aca="false">ExportRaw!$D266</f>
        <v/>
      </c>
      <c r="F266" s="184" t="str">
        <f aca="false">ExportRaw!$H266</f>
        <v/>
      </c>
      <c r="G266" s="186" t="str">
        <f aca="false">ExportRaw!$I266</f>
        <v/>
      </c>
      <c r="H266" s="184" t="str">
        <f aca="false">ExportRaw!$A266</f>
        <v/>
      </c>
      <c r="I266" s="184" t="str">
        <f aca="false">ExportRaw!$B266</f>
        <v/>
      </c>
    </row>
    <row r="267" customFormat="false" ht="15.75" hidden="false" customHeight="false" outlineLevel="0" collapsed="false">
      <c r="A267" s="184" t="n">
        <f aca="false">ExportRaw!$F267</f>
        <v>0</v>
      </c>
      <c r="B267" s="184" t="n">
        <f aca="false">ExportRaw!$C267</f>
        <v>0</v>
      </c>
      <c r="C267" s="184" t="n">
        <f aca="false">ExportRaw!$G267</f>
        <v>0</v>
      </c>
      <c r="D267" s="184" t="str">
        <f aca="false">ExportRaw!$E267</f>
        <v/>
      </c>
      <c r="E267" s="185" t="str">
        <f aca="false">ExportRaw!$D267</f>
        <v/>
      </c>
      <c r="F267" s="184" t="str">
        <f aca="false">ExportRaw!$H267</f>
        <v/>
      </c>
      <c r="G267" s="186" t="str">
        <f aca="false">ExportRaw!$I267</f>
        <v/>
      </c>
      <c r="H267" s="184" t="str">
        <f aca="false">ExportRaw!$A267</f>
        <v/>
      </c>
      <c r="I267" s="184" t="str">
        <f aca="false">ExportRaw!$B267</f>
        <v/>
      </c>
    </row>
    <row r="268" customFormat="false" ht="15.75" hidden="false" customHeight="false" outlineLevel="0" collapsed="false">
      <c r="A268" s="184" t="n">
        <f aca="false">ExportRaw!$F268</f>
        <v>0</v>
      </c>
      <c r="B268" s="184" t="n">
        <f aca="false">ExportRaw!$C268</f>
        <v>0</v>
      </c>
      <c r="C268" s="184" t="n">
        <f aca="false">ExportRaw!$G268</f>
        <v>0</v>
      </c>
      <c r="D268" s="184" t="str">
        <f aca="false">ExportRaw!$E268</f>
        <v/>
      </c>
      <c r="E268" s="185" t="str">
        <f aca="false">ExportRaw!$D268</f>
        <v/>
      </c>
      <c r="F268" s="184" t="str">
        <f aca="false">ExportRaw!$H268</f>
        <v/>
      </c>
      <c r="G268" s="186" t="str">
        <f aca="false">ExportRaw!$I268</f>
        <v/>
      </c>
      <c r="H268" s="184" t="str">
        <f aca="false">ExportRaw!$A268</f>
        <v/>
      </c>
      <c r="I268" s="184" t="str">
        <f aca="false">ExportRaw!$B268</f>
        <v/>
      </c>
    </row>
    <row r="269" customFormat="false" ht="15.75" hidden="false" customHeight="false" outlineLevel="0" collapsed="false">
      <c r="A269" s="184" t="n">
        <f aca="false">ExportRaw!$F269</f>
        <v>0</v>
      </c>
      <c r="B269" s="184" t="n">
        <f aca="false">ExportRaw!$C269</f>
        <v>0</v>
      </c>
      <c r="C269" s="184" t="n">
        <f aca="false">ExportRaw!$G269</f>
        <v>0</v>
      </c>
      <c r="D269" s="184" t="str">
        <f aca="false">ExportRaw!$E269</f>
        <v/>
      </c>
      <c r="E269" s="185" t="str">
        <f aca="false">ExportRaw!$D269</f>
        <v/>
      </c>
      <c r="F269" s="184" t="str">
        <f aca="false">ExportRaw!$H269</f>
        <v/>
      </c>
      <c r="G269" s="186" t="str">
        <f aca="false">ExportRaw!$I269</f>
        <v/>
      </c>
      <c r="H269" s="184" t="str">
        <f aca="false">ExportRaw!$A269</f>
        <v/>
      </c>
      <c r="I269" s="184" t="str">
        <f aca="false">ExportRaw!$B269</f>
        <v/>
      </c>
    </row>
    <row r="270" customFormat="false" ht="15.75" hidden="false" customHeight="false" outlineLevel="0" collapsed="false">
      <c r="A270" s="184" t="n">
        <f aca="false">ExportRaw!$F270</f>
        <v>0</v>
      </c>
      <c r="B270" s="184" t="n">
        <f aca="false">ExportRaw!$C270</f>
        <v>0</v>
      </c>
      <c r="C270" s="184" t="n">
        <f aca="false">ExportRaw!$G270</f>
        <v>0</v>
      </c>
      <c r="D270" s="184" t="str">
        <f aca="false">ExportRaw!$E270</f>
        <v/>
      </c>
      <c r="E270" s="185" t="str">
        <f aca="false">ExportRaw!$D270</f>
        <v/>
      </c>
      <c r="F270" s="184" t="str">
        <f aca="false">ExportRaw!$H270</f>
        <v/>
      </c>
      <c r="G270" s="186" t="str">
        <f aca="false">ExportRaw!$I270</f>
        <v/>
      </c>
      <c r="H270" s="184" t="str">
        <f aca="false">ExportRaw!$A270</f>
        <v/>
      </c>
      <c r="I270" s="184" t="str">
        <f aca="false">ExportRaw!$B270</f>
        <v/>
      </c>
    </row>
    <row r="271" customFormat="false" ht="15.75" hidden="false" customHeight="false" outlineLevel="0" collapsed="false">
      <c r="A271" s="184" t="n">
        <f aca="false">ExportRaw!$F271</f>
        <v>0</v>
      </c>
      <c r="B271" s="184" t="n">
        <f aca="false">ExportRaw!$C271</f>
        <v>0</v>
      </c>
      <c r="C271" s="184" t="n">
        <f aca="false">ExportRaw!$G271</f>
        <v>0</v>
      </c>
      <c r="D271" s="184" t="str">
        <f aca="false">ExportRaw!$E271</f>
        <v/>
      </c>
      <c r="E271" s="185" t="str">
        <f aca="false">ExportRaw!$D271</f>
        <v/>
      </c>
      <c r="F271" s="184" t="str">
        <f aca="false">ExportRaw!$H271</f>
        <v/>
      </c>
      <c r="G271" s="186" t="str">
        <f aca="false">ExportRaw!$I271</f>
        <v/>
      </c>
      <c r="H271" s="184" t="str">
        <f aca="false">ExportRaw!$A271</f>
        <v/>
      </c>
      <c r="I271" s="184" t="str">
        <f aca="false">ExportRaw!$B271</f>
        <v/>
      </c>
    </row>
    <row r="272" customFormat="false" ht="15.75" hidden="false" customHeight="false" outlineLevel="0" collapsed="false">
      <c r="A272" s="184" t="n">
        <f aca="false">ExportRaw!$F272</f>
        <v>0</v>
      </c>
      <c r="B272" s="184" t="n">
        <f aca="false">ExportRaw!$C272</f>
        <v>0</v>
      </c>
      <c r="C272" s="184" t="n">
        <f aca="false">ExportRaw!$G272</f>
        <v>0</v>
      </c>
      <c r="D272" s="184" t="str">
        <f aca="false">ExportRaw!$E272</f>
        <v/>
      </c>
      <c r="E272" s="185" t="str">
        <f aca="false">ExportRaw!$D272</f>
        <v/>
      </c>
      <c r="F272" s="184" t="str">
        <f aca="false">ExportRaw!$H272</f>
        <v/>
      </c>
      <c r="G272" s="186" t="str">
        <f aca="false">ExportRaw!$I272</f>
        <v/>
      </c>
      <c r="H272" s="184" t="str">
        <f aca="false">ExportRaw!$A272</f>
        <v/>
      </c>
      <c r="I272" s="184" t="str">
        <f aca="false">ExportRaw!$B272</f>
        <v/>
      </c>
    </row>
    <row r="273" customFormat="false" ht="15.75" hidden="false" customHeight="false" outlineLevel="0" collapsed="false">
      <c r="A273" s="184" t="n">
        <f aca="false">ExportRaw!$F273</f>
        <v>0</v>
      </c>
      <c r="B273" s="184" t="n">
        <f aca="false">ExportRaw!$C273</f>
        <v>0</v>
      </c>
      <c r="C273" s="184" t="n">
        <f aca="false">ExportRaw!$G273</f>
        <v>0</v>
      </c>
      <c r="D273" s="184" t="str">
        <f aca="false">ExportRaw!$E273</f>
        <v/>
      </c>
      <c r="E273" s="185" t="str">
        <f aca="false">ExportRaw!$D273</f>
        <v/>
      </c>
      <c r="F273" s="184" t="str">
        <f aca="false">ExportRaw!$H273</f>
        <v/>
      </c>
      <c r="G273" s="186" t="str">
        <f aca="false">ExportRaw!$I273</f>
        <v/>
      </c>
      <c r="H273" s="184" t="str">
        <f aca="false">ExportRaw!$A273</f>
        <v/>
      </c>
      <c r="I273" s="184" t="str">
        <f aca="false">ExportRaw!$B273</f>
        <v/>
      </c>
    </row>
    <row r="274" customFormat="false" ht="15.75" hidden="false" customHeight="false" outlineLevel="0" collapsed="false">
      <c r="A274" s="184" t="n">
        <f aca="false">ExportRaw!$F274</f>
        <v>0</v>
      </c>
      <c r="B274" s="184" t="n">
        <f aca="false">ExportRaw!$C274</f>
        <v>0</v>
      </c>
      <c r="C274" s="184" t="n">
        <f aca="false">ExportRaw!$G274</f>
        <v>0</v>
      </c>
      <c r="D274" s="184" t="str">
        <f aca="false">ExportRaw!$E274</f>
        <v/>
      </c>
      <c r="E274" s="185" t="str">
        <f aca="false">ExportRaw!$D274</f>
        <v/>
      </c>
      <c r="F274" s="184" t="str">
        <f aca="false">ExportRaw!$H274</f>
        <v/>
      </c>
      <c r="G274" s="186" t="str">
        <f aca="false">ExportRaw!$I274</f>
        <v/>
      </c>
      <c r="H274" s="184" t="str">
        <f aca="false">ExportRaw!$A274</f>
        <v/>
      </c>
      <c r="I274" s="184" t="str">
        <f aca="false">ExportRaw!$B274</f>
        <v/>
      </c>
    </row>
    <row r="275" customFormat="false" ht="15.75" hidden="false" customHeight="false" outlineLevel="0" collapsed="false">
      <c r="A275" s="184" t="n">
        <f aca="false">ExportRaw!$F275</f>
        <v>0</v>
      </c>
      <c r="B275" s="184" t="n">
        <f aca="false">ExportRaw!$C275</f>
        <v>0</v>
      </c>
      <c r="C275" s="184" t="n">
        <f aca="false">ExportRaw!$G275</f>
        <v>0</v>
      </c>
      <c r="D275" s="184" t="str">
        <f aca="false">ExportRaw!$E275</f>
        <v/>
      </c>
      <c r="E275" s="185" t="str">
        <f aca="false">ExportRaw!$D275</f>
        <v/>
      </c>
      <c r="F275" s="184" t="str">
        <f aca="false">ExportRaw!$H275</f>
        <v/>
      </c>
      <c r="G275" s="186" t="str">
        <f aca="false">ExportRaw!$I275</f>
        <v/>
      </c>
      <c r="H275" s="184" t="str">
        <f aca="false">ExportRaw!$A275</f>
        <v/>
      </c>
      <c r="I275" s="184" t="str">
        <f aca="false">ExportRaw!$B275</f>
        <v/>
      </c>
    </row>
    <row r="276" customFormat="false" ht="15.75" hidden="false" customHeight="false" outlineLevel="0" collapsed="false">
      <c r="A276" s="184" t="n">
        <f aca="false">ExportRaw!$F276</f>
        <v>0</v>
      </c>
      <c r="B276" s="184" t="n">
        <f aca="false">ExportRaw!$C276</f>
        <v>0</v>
      </c>
      <c r="C276" s="184" t="n">
        <f aca="false">ExportRaw!$G276</f>
        <v>0</v>
      </c>
      <c r="D276" s="184" t="str">
        <f aca="false">ExportRaw!$E276</f>
        <v/>
      </c>
      <c r="E276" s="185" t="str">
        <f aca="false">ExportRaw!$D276</f>
        <v/>
      </c>
      <c r="F276" s="184" t="str">
        <f aca="false">ExportRaw!$H276</f>
        <v/>
      </c>
      <c r="G276" s="186" t="str">
        <f aca="false">ExportRaw!$I276</f>
        <v/>
      </c>
      <c r="H276" s="184" t="str">
        <f aca="false">ExportRaw!$A276</f>
        <v/>
      </c>
      <c r="I276" s="184" t="str">
        <f aca="false">ExportRaw!$B276</f>
        <v/>
      </c>
    </row>
    <row r="277" customFormat="false" ht="15.75" hidden="false" customHeight="false" outlineLevel="0" collapsed="false">
      <c r="A277" s="184" t="n">
        <f aca="false">ExportRaw!$F277</f>
        <v>0</v>
      </c>
      <c r="B277" s="184" t="n">
        <f aca="false">ExportRaw!$C277</f>
        <v>0</v>
      </c>
      <c r="C277" s="184" t="n">
        <f aca="false">ExportRaw!$G277</f>
        <v>0</v>
      </c>
      <c r="D277" s="184" t="str">
        <f aca="false">ExportRaw!$E277</f>
        <v/>
      </c>
      <c r="E277" s="185" t="str">
        <f aca="false">ExportRaw!$D277</f>
        <v/>
      </c>
      <c r="F277" s="184" t="str">
        <f aca="false">ExportRaw!$H277</f>
        <v/>
      </c>
      <c r="G277" s="186" t="str">
        <f aca="false">ExportRaw!$I277</f>
        <v/>
      </c>
      <c r="H277" s="184" t="str">
        <f aca="false">ExportRaw!$A277</f>
        <v/>
      </c>
      <c r="I277" s="184" t="str">
        <f aca="false">ExportRaw!$B277</f>
        <v/>
      </c>
    </row>
    <row r="278" customFormat="false" ht="15.75" hidden="false" customHeight="false" outlineLevel="0" collapsed="false">
      <c r="A278" s="184" t="n">
        <f aca="false">ExportRaw!$F278</f>
        <v>0</v>
      </c>
      <c r="B278" s="184" t="n">
        <f aca="false">ExportRaw!$C278</f>
        <v>0</v>
      </c>
      <c r="C278" s="184" t="n">
        <f aca="false">ExportRaw!$G278</f>
        <v>0</v>
      </c>
      <c r="D278" s="184" t="str">
        <f aca="false">ExportRaw!$E278</f>
        <v/>
      </c>
      <c r="E278" s="185" t="str">
        <f aca="false">ExportRaw!$D278</f>
        <v/>
      </c>
      <c r="F278" s="184" t="str">
        <f aca="false">ExportRaw!$H278</f>
        <v/>
      </c>
      <c r="G278" s="186" t="str">
        <f aca="false">ExportRaw!$I278</f>
        <v/>
      </c>
      <c r="H278" s="184" t="str">
        <f aca="false">ExportRaw!$A278</f>
        <v/>
      </c>
      <c r="I278" s="184" t="str">
        <f aca="false">ExportRaw!$B278</f>
        <v/>
      </c>
    </row>
    <row r="279" customFormat="false" ht="15.75" hidden="false" customHeight="false" outlineLevel="0" collapsed="false">
      <c r="A279" s="184" t="n">
        <f aca="false">ExportRaw!$F279</f>
        <v>0</v>
      </c>
      <c r="B279" s="184" t="n">
        <f aca="false">ExportRaw!$C279</f>
        <v>0</v>
      </c>
      <c r="C279" s="184" t="n">
        <f aca="false">ExportRaw!$G279</f>
        <v>0</v>
      </c>
      <c r="D279" s="184" t="str">
        <f aca="false">ExportRaw!$E279</f>
        <v/>
      </c>
      <c r="E279" s="185" t="str">
        <f aca="false">ExportRaw!$D279</f>
        <v/>
      </c>
      <c r="F279" s="184" t="str">
        <f aca="false">ExportRaw!$H279</f>
        <v/>
      </c>
      <c r="G279" s="186" t="str">
        <f aca="false">ExportRaw!$I279</f>
        <v/>
      </c>
      <c r="H279" s="184" t="str">
        <f aca="false">ExportRaw!$A279</f>
        <v/>
      </c>
      <c r="I279" s="184" t="str">
        <f aca="false">ExportRaw!$B279</f>
        <v/>
      </c>
    </row>
    <row r="280" customFormat="false" ht="15.75" hidden="false" customHeight="false" outlineLevel="0" collapsed="false">
      <c r="A280" s="184" t="n">
        <f aca="false">ExportRaw!$F280</f>
        <v>0</v>
      </c>
      <c r="B280" s="184" t="n">
        <f aca="false">ExportRaw!$C280</f>
        <v>0</v>
      </c>
      <c r="C280" s="184" t="n">
        <f aca="false">ExportRaw!$G280</f>
        <v>0</v>
      </c>
      <c r="D280" s="184" t="str">
        <f aca="false">ExportRaw!$E280</f>
        <v/>
      </c>
      <c r="E280" s="185" t="str">
        <f aca="false">ExportRaw!$D280</f>
        <v/>
      </c>
      <c r="F280" s="184" t="str">
        <f aca="false">ExportRaw!$H280</f>
        <v/>
      </c>
      <c r="G280" s="186" t="str">
        <f aca="false">ExportRaw!$I280</f>
        <v/>
      </c>
      <c r="H280" s="184" t="str">
        <f aca="false">ExportRaw!$A280</f>
        <v/>
      </c>
      <c r="I280" s="184" t="str">
        <f aca="false">ExportRaw!$B280</f>
        <v/>
      </c>
    </row>
    <row r="281" customFormat="false" ht="15.75" hidden="false" customHeight="false" outlineLevel="0" collapsed="false">
      <c r="A281" s="184" t="n">
        <f aca="false">ExportRaw!$F281</f>
        <v>0</v>
      </c>
      <c r="B281" s="184" t="n">
        <f aca="false">ExportRaw!$C281</f>
        <v>0</v>
      </c>
      <c r="C281" s="184" t="n">
        <f aca="false">ExportRaw!$G281</f>
        <v>0</v>
      </c>
      <c r="D281" s="184" t="str">
        <f aca="false">ExportRaw!$E281</f>
        <v/>
      </c>
      <c r="E281" s="185" t="str">
        <f aca="false">ExportRaw!$D281</f>
        <v/>
      </c>
      <c r="F281" s="184" t="str">
        <f aca="false">ExportRaw!$H281</f>
        <v/>
      </c>
      <c r="G281" s="186" t="str">
        <f aca="false">ExportRaw!$I281</f>
        <v/>
      </c>
      <c r="H281" s="184" t="str">
        <f aca="false">ExportRaw!$A281</f>
        <v/>
      </c>
      <c r="I281" s="184" t="str">
        <f aca="false">ExportRaw!$B281</f>
        <v/>
      </c>
    </row>
    <row r="282" customFormat="false" ht="15.75" hidden="false" customHeight="false" outlineLevel="0" collapsed="false">
      <c r="A282" s="184" t="n">
        <f aca="false">ExportRaw!$F282</f>
        <v>0</v>
      </c>
      <c r="B282" s="184" t="n">
        <f aca="false">ExportRaw!$C282</f>
        <v>0</v>
      </c>
      <c r="C282" s="184" t="n">
        <f aca="false">ExportRaw!$G282</f>
        <v>0</v>
      </c>
      <c r="D282" s="184" t="str">
        <f aca="false">ExportRaw!$E282</f>
        <v/>
      </c>
      <c r="E282" s="185" t="str">
        <f aca="false">ExportRaw!$D282</f>
        <v/>
      </c>
      <c r="F282" s="184" t="str">
        <f aca="false">ExportRaw!$H282</f>
        <v/>
      </c>
      <c r="G282" s="186" t="str">
        <f aca="false">ExportRaw!$I282</f>
        <v/>
      </c>
      <c r="H282" s="184" t="str">
        <f aca="false">ExportRaw!$A282</f>
        <v/>
      </c>
      <c r="I282" s="184" t="str">
        <f aca="false">ExportRaw!$B282</f>
        <v/>
      </c>
    </row>
    <row r="283" customFormat="false" ht="15.75" hidden="false" customHeight="false" outlineLevel="0" collapsed="false">
      <c r="A283" s="184" t="n">
        <f aca="false">ExportRaw!$F283</f>
        <v>0</v>
      </c>
      <c r="B283" s="184" t="n">
        <f aca="false">ExportRaw!$C283</f>
        <v>0</v>
      </c>
      <c r="C283" s="184" t="n">
        <f aca="false">ExportRaw!$G283</f>
        <v>0</v>
      </c>
      <c r="D283" s="184" t="str">
        <f aca="false">ExportRaw!$E283</f>
        <v/>
      </c>
      <c r="E283" s="185" t="str">
        <f aca="false">ExportRaw!$D283</f>
        <v/>
      </c>
      <c r="F283" s="184" t="str">
        <f aca="false">ExportRaw!$H283</f>
        <v/>
      </c>
      <c r="G283" s="186" t="str">
        <f aca="false">ExportRaw!$I283</f>
        <v/>
      </c>
      <c r="H283" s="184" t="str">
        <f aca="false">ExportRaw!$A283</f>
        <v/>
      </c>
      <c r="I283" s="184" t="str">
        <f aca="false">ExportRaw!$B283</f>
        <v/>
      </c>
    </row>
    <row r="284" customFormat="false" ht="15.75" hidden="false" customHeight="false" outlineLevel="0" collapsed="false">
      <c r="A284" s="184" t="n">
        <f aca="false">ExportRaw!$F284</f>
        <v>0</v>
      </c>
      <c r="B284" s="184" t="n">
        <f aca="false">ExportRaw!$C284</f>
        <v>0</v>
      </c>
      <c r="C284" s="184" t="n">
        <f aca="false">ExportRaw!$G284</f>
        <v>0</v>
      </c>
      <c r="D284" s="184" t="str">
        <f aca="false">ExportRaw!$E284</f>
        <v/>
      </c>
      <c r="E284" s="185" t="str">
        <f aca="false">ExportRaw!$D284</f>
        <v/>
      </c>
      <c r="F284" s="184" t="str">
        <f aca="false">ExportRaw!$H284</f>
        <v/>
      </c>
      <c r="G284" s="186" t="str">
        <f aca="false">ExportRaw!$I284</f>
        <v/>
      </c>
      <c r="H284" s="184" t="str">
        <f aca="false">ExportRaw!$A284</f>
        <v/>
      </c>
      <c r="I284" s="184" t="str">
        <f aca="false">ExportRaw!$B284</f>
        <v/>
      </c>
    </row>
    <row r="285" customFormat="false" ht="15.75" hidden="false" customHeight="false" outlineLevel="0" collapsed="false">
      <c r="A285" s="184" t="n">
        <f aca="false">ExportRaw!$F285</f>
        <v>0</v>
      </c>
      <c r="B285" s="184" t="n">
        <f aca="false">ExportRaw!$C285</f>
        <v>0</v>
      </c>
      <c r="C285" s="184" t="n">
        <f aca="false">ExportRaw!$G285</f>
        <v>0</v>
      </c>
      <c r="D285" s="184" t="str">
        <f aca="false">ExportRaw!$E285</f>
        <v/>
      </c>
      <c r="E285" s="185" t="str">
        <f aca="false">ExportRaw!$D285</f>
        <v/>
      </c>
      <c r="F285" s="184" t="str">
        <f aca="false">ExportRaw!$H285</f>
        <v/>
      </c>
      <c r="G285" s="186" t="str">
        <f aca="false">ExportRaw!$I285</f>
        <v/>
      </c>
      <c r="H285" s="184" t="str">
        <f aca="false">ExportRaw!$A285</f>
        <v/>
      </c>
      <c r="I285" s="184" t="str">
        <f aca="false">ExportRaw!$B285</f>
        <v/>
      </c>
    </row>
    <row r="286" customFormat="false" ht="15.75" hidden="false" customHeight="false" outlineLevel="0" collapsed="false">
      <c r="A286" s="184" t="n">
        <f aca="false">ExportRaw!$F286</f>
        <v>0</v>
      </c>
      <c r="B286" s="184" t="n">
        <f aca="false">ExportRaw!$C286</f>
        <v>0</v>
      </c>
      <c r="C286" s="184" t="n">
        <f aca="false">ExportRaw!$G286</f>
        <v>0</v>
      </c>
      <c r="D286" s="184" t="str">
        <f aca="false">ExportRaw!$E286</f>
        <v/>
      </c>
      <c r="E286" s="185" t="str">
        <f aca="false">ExportRaw!$D286</f>
        <v/>
      </c>
      <c r="F286" s="184" t="str">
        <f aca="false">ExportRaw!$H286</f>
        <v/>
      </c>
      <c r="G286" s="186" t="str">
        <f aca="false">ExportRaw!$I286</f>
        <v/>
      </c>
      <c r="H286" s="184" t="str">
        <f aca="false">ExportRaw!$A286</f>
        <v/>
      </c>
      <c r="I286" s="184" t="str">
        <f aca="false">ExportRaw!$B286</f>
        <v/>
      </c>
    </row>
    <row r="287" customFormat="false" ht="15.75" hidden="false" customHeight="false" outlineLevel="0" collapsed="false">
      <c r="A287" s="184" t="n">
        <f aca="false">ExportRaw!$F287</f>
        <v>0</v>
      </c>
      <c r="B287" s="184" t="n">
        <f aca="false">ExportRaw!$C287</f>
        <v>0</v>
      </c>
      <c r="C287" s="184" t="n">
        <f aca="false">ExportRaw!$G287</f>
        <v>0</v>
      </c>
      <c r="D287" s="184" t="str">
        <f aca="false">ExportRaw!$E287</f>
        <v/>
      </c>
      <c r="E287" s="185" t="str">
        <f aca="false">ExportRaw!$D287</f>
        <v/>
      </c>
      <c r="F287" s="184" t="str">
        <f aca="false">ExportRaw!$H287</f>
        <v/>
      </c>
      <c r="G287" s="186" t="str">
        <f aca="false">ExportRaw!$I287</f>
        <v/>
      </c>
      <c r="H287" s="184" t="str">
        <f aca="false">ExportRaw!$A287</f>
        <v/>
      </c>
      <c r="I287" s="184" t="str">
        <f aca="false">ExportRaw!$B287</f>
        <v/>
      </c>
    </row>
    <row r="288" customFormat="false" ht="15.75" hidden="false" customHeight="false" outlineLevel="0" collapsed="false">
      <c r="A288" s="184" t="n">
        <f aca="false">ExportRaw!$F288</f>
        <v>0</v>
      </c>
      <c r="B288" s="184" t="n">
        <f aca="false">ExportRaw!$C288</f>
        <v>0</v>
      </c>
      <c r="C288" s="184" t="n">
        <f aca="false">ExportRaw!$G288</f>
        <v>0</v>
      </c>
      <c r="D288" s="184" t="str">
        <f aca="false">ExportRaw!$E288</f>
        <v/>
      </c>
      <c r="E288" s="185" t="str">
        <f aca="false">ExportRaw!$D288</f>
        <v/>
      </c>
      <c r="F288" s="184" t="str">
        <f aca="false">ExportRaw!$H288</f>
        <v/>
      </c>
      <c r="G288" s="186" t="str">
        <f aca="false">ExportRaw!$I288</f>
        <v/>
      </c>
      <c r="H288" s="184" t="str">
        <f aca="false">ExportRaw!$A288</f>
        <v/>
      </c>
      <c r="I288" s="184" t="str">
        <f aca="false">ExportRaw!$B288</f>
        <v/>
      </c>
    </row>
    <row r="289" customFormat="false" ht="15.75" hidden="false" customHeight="false" outlineLevel="0" collapsed="false">
      <c r="A289" s="184" t="n">
        <f aca="false">ExportRaw!$F289</f>
        <v>0</v>
      </c>
      <c r="B289" s="184" t="n">
        <f aca="false">ExportRaw!$C289</f>
        <v>0</v>
      </c>
      <c r="C289" s="184" t="n">
        <f aca="false">ExportRaw!$G289</f>
        <v>0</v>
      </c>
      <c r="D289" s="184" t="str">
        <f aca="false">ExportRaw!$E289</f>
        <v/>
      </c>
      <c r="E289" s="185" t="str">
        <f aca="false">ExportRaw!$D289</f>
        <v/>
      </c>
      <c r="F289" s="184" t="str">
        <f aca="false">ExportRaw!$H289</f>
        <v/>
      </c>
      <c r="G289" s="186" t="str">
        <f aca="false">ExportRaw!$I289</f>
        <v/>
      </c>
      <c r="H289" s="184" t="str">
        <f aca="false">ExportRaw!$A289</f>
        <v/>
      </c>
      <c r="I289" s="184" t="str">
        <f aca="false">ExportRaw!$B289</f>
        <v/>
      </c>
    </row>
    <row r="290" customFormat="false" ht="15.75" hidden="false" customHeight="false" outlineLevel="0" collapsed="false">
      <c r="A290" s="184" t="n">
        <f aca="false">ExportRaw!$F290</f>
        <v>0</v>
      </c>
      <c r="B290" s="184" t="n">
        <f aca="false">ExportRaw!$C290</f>
        <v>0</v>
      </c>
      <c r="C290" s="184" t="n">
        <f aca="false">ExportRaw!$G290</f>
        <v>0</v>
      </c>
      <c r="D290" s="184" t="str">
        <f aca="false">ExportRaw!$E290</f>
        <v/>
      </c>
      <c r="E290" s="185" t="str">
        <f aca="false">ExportRaw!$D290</f>
        <v/>
      </c>
      <c r="F290" s="184" t="str">
        <f aca="false">ExportRaw!$H290</f>
        <v/>
      </c>
      <c r="G290" s="186" t="str">
        <f aca="false">ExportRaw!$I290</f>
        <v/>
      </c>
      <c r="H290" s="184" t="str">
        <f aca="false">ExportRaw!$A290</f>
        <v/>
      </c>
      <c r="I290" s="184" t="str">
        <f aca="false">ExportRaw!$B290</f>
        <v/>
      </c>
    </row>
    <row r="291" customFormat="false" ht="15.75" hidden="false" customHeight="false" outlineLevel="0" collapsed="false">
      <c r="A291" s="184" t="n">
        <f aca="false">ExportRaw!$F291</f>
        <v>0</v>
      </c>
      <c r="B291" s="184" t="n">
        <f aca="false">ExportRaw!$C291</f>
        <v>0</v>
      </c>
      <c r="C291" s="184" t="n">
        <f aca="false">ExportRaw!$G291</f>
        <v>0</v>
      </c>
      <c r="D291" s="184" t="str">
        <f aca="false">ExportRaw!$E291</f>
        <v/>
      </c>
      <c r="E291" s="185" t="str">
        <f aca="false">ExportRaw!$D291</f>
        <v/>
      </c>
      <c r="F291" s="184" t="str">
        <f aca="false">ExportRaw!$H291</f>
        <v/>
      </c>
      <c r="G291" s="186" t="str">
        <f aca="false">ExportRaw!$I291</f>
        <v/>
      </c>
      <c r="H291" s="184" t="str">
        <f aca="false">ExportRaw!$A291</f>
        <v/>
      </c>
      <c r="I291" s="184" t="str">
        <f aca="false">ExportRaw!$B291</f>
        <v/>
      </c>
    </row>
    <row r="292" customFormat="false" ht="15.75" hidden="false" customHeight="false" outlineLevel="0" collapsed="false">
      <c r="A292" s="184" t="n">
        <f aca="false">ExportRaw!$F292</f>
        <v>0</v>
      </c>
      <c r="B292" s="184" t="n">
        <f aca="false">ExportRaw!$C292</f>
        <v>0</v>
      </c>
      <c r="C292" s="184" t="n">
        <f aca="false">ExportRaw!$G292</f>
        <v>0</v>
      </c>
      <c r="D292" s="184" t="str">
        <f aca="false">ExportRaw!$E292</f>
        <v/>
      </c>
      <c r="E292" s="185" t="str">
        <f aca="false">ExportRaw!$D292</f>
        <v/>
      </c>
      <c r="F292" s="184" t="str">
        <f aca="false">ExportRaw!$H292</f>
        <v/>
      </c>
      <c r="G292" s="186" t="str">
        <f aca="false">ExportRaw!$I292</f>
        <v/>
      </c>
      <c r="H292" s="184" t="str">
        <f aca="false">ExportRaw!$A292</f>
        <v/>
      </c>
      <c r="I292" s="184" t="str">
        <f aca="false">ExportRaw!$B292</f>
        <v/>
      </c>
    </row>
    <row r="293" customFormat="false" ht="15.75" hidden="false" customHeight="false" outlineLevel="0" collapsed="false">
      <c r="A293" s="184" t="n">
        <f aca="false">ExportRaw!$F293</f>
        <v>0</v>
      </c>
      <c r="B293" s="184" t="n">
        <f aca="false">ExportRaw!$C293</f>
        <v>0</v>
      </c>
      <c r="C293" s="184" t="n">
        <f aca="false">ExportRaw!$G293</f>
        <v>0</v>
      </c>
      <c r="D293" s="184" t="str">
        <f aca="false">ExportRaw!$E293</f>
        <v/>
      </c>
      <c r="E293" s="185" t="str">
        <f aca="false">ExportRaw!$D293</f>
        <v/>
      </c>
      <c r="F293" s="184" t="str">
        <f aca="false">ExportRaw!$H293</f>
        <v/>
      </c>
      <c r="G293" s="186" t="str">
        <f aca="false">ExportRaw!$I293</f>
        <v/>
      </c>
      <c r="H293" s="184" t="str">
        <f aca="false">ExportRaw!$A293</f>
        <v/>
      </c>
      <c r="I293" s="184" t="str">
        <f aca="false">ExportRaw!$B293</f>
        <v/>
      </c>
    </row>
    <row r="294" customFormat="false" ht="15.75" hidden="false" customHeight="false" outlineLevel="0" collapsed="false">
      <c r="A294" s="184" t="n">
        <f aca="false">ExportRaw!$F294</f>
        <v>0</v>
      </c>
      <c r="B294" s="184" t="n">
        <f aca="false">ExportRaw!$C294</f>
        <v>0</v>
      </c>
      <c r="C294" s="184" t="n">
        <f aca="false">ExportRaw!$G294</f>
        <v>0</v>
      </c>
      <c r="D294" s="184" t="str">
        <f aca="false">ExportRaw!$E294</f>
        <v/>
      </c>
      <c r="E294" s="185" t="str">
        <f aca="false">ExportRaw!$D294</f>
        <v/>
      </c>
      <c r="F294" s="184" t="str">
        <f aca="false">ExportRaw!$H294</f>
        <v/>
      </c>
      <c r="G294" s="186" t="str">
        <f aca="false">ExportRaw!$I294</f>
        <v/>
      </c>
      <c r="H294" s="184" t="str">
        <f aca="false">ExportRaw!$A294</f>
        <v/>
      </c>
      <c r="I294" s="184" t="str">
        <f aca="false">ExportRaw!$B294</f>
        <v/>
      </c>
    </row>
    <row r="295" customFormat="false" ht="15.75" hidden="false" customHeight="false" outlineLevel="0" collapsed="false">
      <c r="A295" s="184" t="n">
        <f aca="false">ExportRaw!$F295</f>
        <v>0</v>
      </c>
      <c r="B295" s="184" t="n">
        <f aca="false">ExportRaw!$C295</f>
        <v>0</v>
      </c>
      <c r="C295" s="184" t="n">
        <f aca="false">ExportRaw!$G295</f>
        <v>0</v>
      </c>
      <c r="D295" s="184" t="str">
        <f aca="false">ExportRaw!$E295</f>
        <v/>
      </c>
      <c r="E295" s="185" t="str">
        <f aca="false">ExportRaw!$D295</f>
        <v/>
      </c>
      <c r="F295" s="184" t="str">
        <f aca="false">ExportRaw!$H295</f>
        <v/>
      </c>
      <c r="G295" s="186" t="str">
        <f aca="false">ExportRaw!$I295</f>
        <v/>
      </c>
      <c r="H295" s="184" t="str">
        <f aca="false">ExportRaw!$A295</f>
        <v/>
      </c>
      <c r="I295" s="184" t="str">
        <f aca="false">ExportRaw!$B295</f>
        <v/>
      </c>
    </row>
    <row r="296" customFormat="false" ht="15.75" hidden="false" customHeight="false" outlineLevel="0" collapsed="false">
      <c r="A296" s="184" t="n">
        <f aca="false">ExportRaw!$F296</f>
        <v>0</v>
      </c>
      <c r="B296" s="184" t="n">
        <f aca="false">ExportRaw!$C296</f>
        <v>0</v>
      </c>
      <c r="C296" s="184" t="n">
        <f aca="false">ExportRaw!$G296</f>
        <v>0</v>
      </c>
      <c r="D296" s="184" t="str">
        <f aca="false">ExportRaw!$E296</f>
        <v/>
      </c>
      <c r="E296" s="185" t="str">
        <f aca="false">ExportRaw!$D296</f>
        <v/>
      </c>
      <c r="F296" s="184" t="str">
        <f aca="false">ExportRaw!$H296</f>
        <v/>
      </c>
      <c r="G296" s="186" t="str">
        <f aca="false">ExportRaw!$I296</f>
        <v/>
      </c>
      <c r="H296" s="184" t="str">
        <f aca="false">ExportRaw!$A296</f>
        <v/>
      </c>
      <c r="I296" s="184" t="str">
        <f aca="false">ExportRaw!$B296</f>
        <v/>
      </c>
    </row>
    <row r="297" customFormat="false" ht="15.75" hidden="false" customHeight="false" outlineLevel="0" collapsed="false">
      <c r="A297" s="184" t="n">
        <f aca="false">ExportRaw!$F297</f>
        <v>0</v>
      </c>
      <c r="B297" s="184" t="n">
        <f aca="false">ExportRaw!$C297</f>
        <v>0</v>
      </c>
      <c r="C297" s="184" t="n">
        <f aca="false">ExportRaw!$G297</f>
        <v>0</v>
      </c>
      <c r="D297" s="184" t="str">
        <f aca="false">ExportRaw!$E297</f>
        <v/>
      </c>
      <c r="E297" s="185" t="str">
        <f aca="false">ExportRaw!$D297</f>
        <v/>
      </c>
      <c r="F297" s="184" t="str">
        <f aca="false">ExportRaw!$H297</f>
        <v/>
      </c>
      <c r="G297" s="186" t="str">
        <f aca="false">ExportRaw!$I297</f>
        <v/>
      </c>
      <c r="H297" s="184" t="str">
        <f aca="false">ExportRaw!$A297</f>
        <v/>
      </c>
      <c r="I297" s="184" t="str">
        <f aca="false">ExportRaw!$B297</f>
        <v/>
      </c>
    </row>
    <row r="298" customFormat="false" ht="15.75" hidden="false" customHeight="false" outlineLevel="0" collapsed="false">
      <c r="A298" s="184" t="n">
        <f aca="false">ExportRaw!$F298</f>
        <v>0</v>
      </c>
      <c r="B298" s="184" t="n">
        <f aca="false">ExportRaw!$C298</f>
        <v>0</v>
      </c>
      <c r="C298" s="184" t="n">
        <f aca="false">ExportRaw!$G298</f>
        <v>0</v>
      </c>
      <c r="D298" s="184" t="str">
        <f aca="false">ExportRaw!$E298</f>
        <v/>
      </c>
      <c r="E298" s="185" t="str">
        <f aca="false">ExportRaw!$D298</f>
        <v/>
      </c>
      <c r="F298" s="184" t="str">
        <f aca="false">ExportRaw!$H298</f>
        <v/>
      </c>
      <c r="G298" s="186" t="str">
        <f aca="false">ExportRaw!$I298</f>
        <v/>
      </c>
      <c r="H298" s="184" t="str">
        <f aca="false">ExportRaw!$A298</f>
        <v/>
      </c>
      <c r="I298" s="184" t="str">
        <f aca="false">ExportRaw!$B298</f>
        <v/>
      </c>
    </row>
    <row r="299" customFormat="false" ht="15.75" hidden="false" customHeight="false" outlineLevel="0" collapsed="false">
      <c r="A299" s="184" t="n">
        <f aca="false">ExportRaw!$F299</f>
        <v>0</v>
      </c>
      <c r="B299" s="184" t="n">
        <f aca="false">ExportRaw!$C299</f>
        <v>0</v>
      </c>
      <c r="C299" s="184" t="n">
        <f aca="false">ExportRaw!$G299</f>
        <v>0</v>
      </c>
      <c r="D299" s="184" t="str">
        <f aca="false">ExportRaw!$E299</f>
        <v/>
      </c>
      <c r="E299" s="185" t="str">
        <f aca="false">ExportRaw!$D299</f>
        <v/>
      </c>
      <c r="F299" s="184" t="str">
        <f aca="false">ExportRaw!$H299</f>
        <v/>
      </c>
      <c r="G299" s="186" t="str">
        <f aca="false">ExportRaw!$I299</f>
        <v/>
      </c>
      <c r="H299" s="184" t="str">
        <f aca="false">ExportRaw!$A299</f>
        <v/>
      </c>
      <c r="I299" s="184" t="str">
        <f aca="false">ExportRaw!$B299</f>
        <v/>
      </c>
    </row>
    <row r="300" customFormat="false" ht="15.75" hidden="false" customHeight="false" outlineLevel="0" collapsed="false">
      <c r="A300" s="184" t="n">
        <f aca="false">ExportRaw!$F300</f>
        <v>0</v>
      </c>
      <c r="B300" s="184" t="n">
        <f aca="false">ExportRaw!$C300</f>
        <v>0</v>
      </c>
      <c r="C300" s="184" t="n">
        <f aca="false">ExportRaw!$G300</f>
        <v>0</v>
      </c>
      <c r="D300" s="184" t="str">
        <f aca="false">ExportRaw!$E300</f>
        <v/>
      </c>
      <c r="E300" s="185" t="str">
        <f aca="false">ExportRaw!$D300</f>
        <v/>
      </c>
      <c r="F300" s="184" t="str">
        <f aca="false">ExportRaw!$H300</f>
        <v/>
      </c>
      <c r="G300" s="186" t="str">
        <f aca="false">ExportRaw!$I300</f>
        <v/>
      </c>
      <c r="H300" s="184" t="str">
        <f aca="false">ExportRaw!$A300</f>
        <v/>
      </c>
      <c r="I300" s="184" t="str">
        <f aca="false">ExportRaw!$B300</f>
        <v/>
      </c>
    </row>
    <row r="301" customFormat="false" ht="15.75" hidden="false" customHeight="false" outlineLevel="0" collapsed="false">
      <c r="A301" s="184" t="n">
        <f aca="false">ExportRaw!$F301</f>
        <v>0</v>
      </c>
      <c r="B301" s="184" t="n">
        <f aca="false">ExportRaw!$C301</f>
        <v>0</v>
      </c>
      <c r="C301" s="184" t="n">
        <f aca="false">ExportRaw!$G301</f>
        <v>0</v>
      </c>
      <c r="D301" s="184" t="str">
        <f aca="false">ExportRaw!$E301</f>
        <v/>
      </c>
      <c r="E301" s="185" t="str">
        <f aca="false">ExportRaw!$D301</f>
        <v/>
      </c>
      <c r="F301" s="184" t="str">
        <f aca="false">ExportRaw!$H301</f>
        <v/>
      </c>
      <c r="G301" s="186" t="str">
        <f aca="false">ExportRaw!$I301</f>
        <v/>
      </c>
      <c r="H301" s="184" t="str">
        <f aca="false">ExportRaw!$A301</f>
        <v/>
      </c>
      <c r="I301" s="184" t="str">
        <f aca="false">ExportRaw!$B301</f>
        <v/>
      </c>
    </row>
    <row r="302" customFormat="false" ht="15.75" hidden="false" customHeight="false" outlineLevel="0" collapsed="false">
      <c r="A302" s="184" t="n">
        <f aca="false">ExportRaw!$F302</f>
        <v>0</v>
      </c>
      <c r="B302" s="184" t="n">
        <f aca="false">ExportRaw!$C302</f>
        <v>0</v>
      </c>
      <c r="C302" s="184" t="n">
        <f aca="false">ExportRaw!$G302</f>
        <v>0</v>
      </c>
      <c r="D302" s="184" t="str">
        <f aca="false">ExportRaw!$E302</f>
        <v/>
      </c>
      <c r="E302" s="185" t="str">
        <f aca="false">ExportRaw!$D302</f>
        <v/>
      </c>
      <c r="F302" s="184" t="str">
        <f aca="false">ExportRaw!$H302</f>
        <v/>
      </c>
      <c r="G302" s="186" t="str">
        <f aca="false">ExportRaw!$I302</f>
        <v/>
      </c>
      <c r="H302" s="184" t="str">
        <f aca="false">ExportRaw!$A302</f>
        <v/>
      </c>
      <c r="I302" s="184" t="str">
        <f aca="false">ExportRaw!$B302</f>
        <v/>
      </c>
    </row>
    <row r="303" customFormat="false" ht="15.75" hidden="false" customHeight="false" outlineLevel="0" collapsed="false">
      <c r="A303" s="184" t="n">
        <f aca="false">ExportRaw!$F303</f>
        <v>0</v>
      </c>
      <c r="B303" s="184" t="n">
        <f aca="false">ExportRaw!$C303</f>
        <v>0</v>
      </c>
      <c r="C303" s="184" t="n">
        <f aca="false">ExportRaw!$G303</f>
        <v>0</v>
      </c>
      <c r="D303" s="184" t="str">
        <f aca="false">ExportRaw!$E303</f>
        <v/>
      </c>
      <c r="E303" s="185" t="str">
        <f aca="false">ExportRaw!$D303</f>
        <v/>
      </c>
      <c r="F303" s="184" t="str">
        <f aca="false">ExportRaw!$H303</f>
        <v/>
      </c>
      <c r="G303" s="186" t="str">
        <f aca="false">ExportRaw!$I303</f>
        <v/>
      </c>
      <c r="H303" s="184" t="str">
        <f aca="false">ExportRaw!$A303</f>
        <v/>
      </c>
      <c r="I303" s="184" t="str">
        <f aca="false">ExportRaw!$B303</f>
        <v/>
      </c>
    </row>
    <row r="304" customFormat="false" ht="15.75" hidden="false" customHeight="false" outlineLevel="0" collapsed="false">
      <c r="A304" s="184" t="n">
        <f aca="false">ExportRaw!$F304</f>
        <v>0</v>
      </c>
      <c r="B304" s="184" t="n">
        <f aca="false">ExportRaw!$C304</f>
        <v>0</v>
      </c>
      <c r="C304" s="184" t="n">
        <f aca="false">ExportRaw!$G304</f>
        <v>0</v>
      </c>
      <c r="D304" s="184" t="str">
        <f aca="false">ExportRaw!$E304</f>
        <v/>
      </c>
      <c r="E304" s="185" t="str">
        <f aca="false">ExportRaw!$D304</f>
        <v/>
      </c>
      <c r="F304" s="184" t="str">
        <f aca="false">ExportRaw!$H304</f>
        <v/>
      </c>
      <c r="G304" s="186" t="str">
        <f aca="false">ExportRaw!$I304</f>
        <v/>
      </c>
      <c r="H304" s="184" t="str">
        <f aca="false">ExportRaw!$A304</f>
        <v/>
      </c>
      <c r="I304" s="184" t="str">
        <f aca="false">ExportRaw!$B304</f>
        <v/>
      </c>
    </row>
    <row r="305" customFormat="false" ht="15.75" hidden="false" customHeight="false" outlineLevel="0" collapsed="false">
      <c r="A305" s="184" t="n">
        <f aca="false">ExportRaw!$F305</f>
        <v>0</v>
      </c>
      <c r="B305" s="184" t="n">
        <f aca="false">ExportRaw!$C305</f>
        <v>0</v>
      </c>
      <c r="C305" s="184" t="n">
        <f aca="false">ExportRaw!$G305</f>
        <v>0</v>
      </c>
      <c r="D305" s="184" t="str">
        <f aca="false">ExportRaw!$E305</f>
        <v/>
      </c>
      <c r="E305" s="185" t="str">
        <f aca="false">ExportRaw!$D305</f>
        <v/>
      </c>
      <c r="F305" s="184" t="str">
        <f aca="false">ExportRaw!$H305</f>
        <v/>
      </c>
      <c r="G305" s="186" t="str">
        <f aca="false">ExportRaw!$I305</f>
        <v/>
      </c>
      <c r="H305" s="184" t="str">
        <f aca="false">ExportRaw!$A305</f>
        <v/>
      </c>
      <c r="I305" s="184" t="str">
        <f aca="false">ExportRaw!$B305</f>
        <v/>
      </c>
    </row>
    <row r="306" customFormat="false" ht="15.75" hidden="false" customHeight="false" outlineLevel="0" collapsed="false">
      <c r="A306" s="184" t="n">
        <f aca="false">ExportRaw!$F306</f>
        <v>0</v>
      </c>
      <c r="B306" s="184" t="n">
        <f aca="false">ExportRaw!$C306</f>
        <v>0</v>
      </c>
      <c r="C306" s="184" t="n">
        <f aca="false">ExportRaw!$G306</f>
        <v>0</v>
      </c>
      <c r="D306" s="184" t="str">
        <f aca="false">ExportRaw!$E306</f>
        <v/>
      </c>
      <c r="E306" s="185" t="str">
        <f aca="false">ExportRaw!$D306</f>
        <v/>
      </c>
      <c r="F306" s="184" t="str">
        <f aca="false">ExportRaw!$H306</f>
        <v/>
      </c>
      <c r="G306" s="186" t="str">
        <f aca="false">ExportRaw!$I306</f>
        <v/>
      </c>
      <c r="H306" s="184" t="str">
        <f aca="false">ExportRaw!$A306</f>
        <v/>
      </c>
      <c r="I306" s="184" t="str">
        <f aca="false">ExportRaw!$B306</f>
        <v/>
      </c>
    </row>
    <row r="307" customFormat="false" ht="15.75" hidden="false" customHeight="false" outlineLevel="0" collapsed="false">
      <c r="A307" s="184" t="n">
        <f aca="false">ExportRaw!$F307</f>
        <v>0</v>
      </c>
      <c r="B307" s="184" t="n">
        <f aca="false">ExportRaw!$C307</f>
        <v>0</v>
      </c>
      <c r="C307" s="184" t="n">
        <f aca="false">ExportRaw!$G307</f>
        <v>0</v>
      </c>
      <c r="D307" s="184" t="str">
        <f aca="false">ExportRaw!$E307</f>
        <v/>
      </c>
      <c r="E307" s="185" t="str">
        <f aca="false">ExportRaw!$D307</f>
        <v/>
      </c>
      <c r="F307" s="184" t="str">
        <f aca="false">ExportRaw!$H307</f>
        <v/>
      </c>
      <c r="G307" s="186" t="str">
        <f aca="false">ExportRaw!$I307</f>
        <v/>
      </c>
      <c r="H307" s="184" t="str">
        <f aca="false">ExportRaw!$A307</f>
        <v/>
      </c>
      <c r="I307" s="184" t="str">
        <f aca="false">ExportRaw!$B307</f>
        <v/>
      </c>
    </row>
    <row r="308" customFormat="false" ht="15.75" hidden="false" customHeight="false" outlineLevel="0" collapsed="false">
      <c r="A308" s="184" t="n">
        <f aca="false">ExportRaw!$F308</f>
        <v>0</v>
      </c>
      <c r="B308" s="184" t="n">
        <f aca="false">ExportRaw!$C308</f>
        <v>0</v>
      </c>
      <c r="C308" s="184" t="n">
        <f aca="false">ExportRaw!$G308</f>
        <v>0</v>
      </c>
      <c r="D308" s="184" t="str">
        <f aca="false">ExportRaw!$E308</f>
        <v/>
      </c>
      <c r="E308" s="185" t="str">
        <f aca="false">ExportRaw!$D308</f>
        <v/>
      </c>
      <c r="F308" s="184" t="str">
        <f aca="false">ExportRaw!$H308</f>
        <v/>
      </c>
      <c r="G308" s="186" t="str">
        <f aca="false">ExportRaw!$I308</f>
        <v/>
      </c>
      <c r="H308" s="184" t="str">
        <f aca="false">ExportRaw!$A308</f>
        <v/>
      </c>
      <c r="I308" s="184" t="str">
        <f aca="false">ExportRaw!$B308</f>
        <v/>
      </c>
    </row>
    <row r="309" customFormat="false" ht="15.75" hidden="false" customHeight="false" outlineLevel="0" collapsed="false">
      <c r="A309" s="184" t="n">
        <f aca="false">ExportRaw!$F309</f>
        <v>0</v>
      </c>
      <c r="B309" s="184" t="n">
        <f aca="false">ExportRaw!$C309</f>
        <v>0</v>
      </c>
      <c r="C309" s="184" t="n">
        <f aca="false">ExportRaw!$G309</f>
        <v>0</v>
      </c>
      <c r="D309" s="184" t="str">
        <f aca="false">ExportRaw!$E309</f>
        <v/>
      </c>
      <c r="E309" s="185" t="str">
        <f aca="false">ExportRaw!$D309</f>
        <v/>
      </c>
      <c r="F309" s="184" t="str">
        <f aca="false">ExportRaw!$H309</f>
        <v/>
      </c>
      <c r="G309" s="186" t="str">
        <f aca="false">ExportRaw!$I309</f>
        <v/>
      </c>
      <c r="H309" s="184" t="str">
        <f aca="false">ExportRaw!$A309</f>
        <v/>
      </c>
      <c r="I309" s="184" t="str">
        <f aca="false">ExportRaw!$B309</f>
        <v/>
      </c>
    </row>
    <row r="310" customFormat="false" ht="15.75" hidden="false" customHeight="false" outlineLevel="0" collapsed="false">
      <c r="A310" s="184" t="n">
        <f aca="false">ExportRaw!$F310</f>
        <v>0</v>
      </c>
      <c r="B310" s="184" t="n">
        <f aca="false">ExportRaw!$C310</f>
        <v>0</v>
      </c>
      <c r="C310" s="184" t="n">
        <f aca="false">ExportRaw!$G310</f>
        <v>0</v>
      </c>
      <c r="D310" s="184" t="str">
        <f aca="false">ExportRaw!$E310</f>
        <v/>
      </c>
      <c r="E310" s="185" t="str">
        <f aca="false">ExportRaw!$D310</f>
        <v/>
      </c>
      <c r="F310" s="184" t="str">
        <f aca="false">ExportRaw!$H310</f>
        <v/>
      </c>
      <c r="G310" s="186" t="str">
        <f aca="false">ExportRaw!$I310</f>
        <v/>
      </c>
      <c r="H310" s="184" t="str">
        <f aca="false">ExportRaw!$A310</f>
        <v/>
      </c>
      <c r="I310" s="184" t="str">
        <f aca="false">ExportRaw!$B310</f>
        <v/>
      </c>
    </row>
    <row r="311" customFormat="false" ht="15.75" hidden="false" customHeight="false" outlineLevel="0" collapsed="false">
      <c r="A311" s="184" t="n">
        <f aca="false">ExportRaw!$F311</f>
        <v>0</v>
      </c>
      <c r="B311" s="184" t="n">
        <f aca="false">ExportRaw!$C311</f>
        <v>0</v>
      </c>
      <c r="C311" s="184" t="n">
        <f aca="false">ExportRaw!$G311</f>
        <v>0</v>
      </c>
      <c r="D311" s="184" t="str">
        <f aca="false">ExportRaw!$E311</f>
        <v/>
      </c>
      <c r="E311" s="185" t="str">
        <f aca="false">ExportRaw!$D311</f>
        <v/>
      </c>
      <c r="F311" s="184" t="str">
        <f aca="false">ExportRaw!$H311</f>
        <v/>
      </c>
      <c r="G311" s="186" t="str">
        <f aca="false">ExportRaw!$I311</f>
        <v/>
      </c>
      <c r="H311" s="184" t="str">
        <f aca="false">ExportRaw!$A311</f>
        <v/>
      </c>
      <c r="I311" s="184" t="str">
        <f aca="false">ExportRaw!$B311</f>
        <v/>
      </c>
    </row>
    <row r="312" customFormat="false" ht="15.75" hidden="false" customHeight="false" outlineLevel="0" collapsed="false">
      <c r="A312" s="184" t="n">
        <f aca="false">ExportRaw!$F312</f>
        <v>0</v>
      </c>
      <c r="B312" s="184" t="n">
        <f aca="false">ExportRaw!$C312</f>
        <v>0</v>
      </c>
      <c r="C312" s="184" t="n">
        <f aca="false">ExportRaw!$G312</f>
        <v>0</v>
      </c>
      <c r="D312" s="184" t="str">
        <f aca="false">ExportRaw!$E312</f>
        <v/>
      </c>
      <c r="E312" s="185" t="str">
        <f aca="false">ExportRaw!$D312</f>
        <v/>
      </c>
      <c r="F312" s="184" t="str">
        <f aca="false">ExportRaw!$H312</f>
        <v/>
      </c>
      <c r="G312" s="186" t="str">
        <f aca="false">ExportRaw!$I312</f>
        <v/>
      </c>
      <c r="H312" s="184" t="str">
        <f aca="false">ExportRaw!$A312</f>
        <v/>
      </c>
      <c r="I312" s="184" t="str">
        <f aca="false">ExportRaw!$B312</f>
        <v/>
      </c>
    </row>
    <row r="313" customFormat="false" ht="15.75" hidden="false" customHeight="false" outlineLevel="0" collapsed="false">
      <c r="A313" s="184" t="n">
        <f aca="false">ExportRaw!$F313</f>
        <v>0</v>
      </c>
      <c r="B313" s="184" t="n">
        <f aca="false">ExportRaw!$C313</f>
        <v>0</v>
      </c>
      <c r="C313" s="184" t="n">
        <f aca="false">ExportRaw!$G313</f>
        <v>0</v>
      </c>
      <c r="D313" s="184" t="str">
        <f aca="false">ExportRaw!$E313</f>
        <v/>
      </c>
      <c r="E313" s="185" t="str">
        <f aca="false">ExportRaw!$D313</f>
        <v/>
      </c>
      <c r="F313" s="184" t="str">
        <f aca="false">ExportRaw!$H313</f>
        <v/>
      </c>
      <c r="G313" s="186" t="str">
        <f aca="false">ExportRaw!$I313</f>
        <v/>
      </c>
      <c r="H313" s="184" t="str">
        <f aca="false">ExportRaw!$A313</f>
        <v/>
      </c>
      <c r="I313" s="184" t="str">
        <f aca="false">ExportRaw!$B313</f>
        <v/>
      </c>
    </row>
    <row r="314" customFormat="false" ht="15.75" hidden="false" customHeight="false" outlineLevel="0" collapsed="false">
      <c r="A314" s="184" t="n">
        <f aca="false">ExportRaw!$F314</f>
        <v>0</v>
      </c>
      <c r="B314" s="184" t="n">
        <f aca="false">ExportRaw!$C314</f>
        <v>0</v>
      </c>
      <c r="C314" s="184" t="n">
        <f aca="false">ExportRaw!$G314</f>
        <v>0</v>
      </c>
      <c r="D314" s="184" t="str">
        <f aca="false">ExportRaw!$E314</f>
        <v/>
      </c>
      <c r="E314" s="185" t="str">
        <f aca="false">ExportRaw!$D314</f>
        <v/>
      </c>
      <c r="F314" s="184" t="str">
        <f aca="false">ExportRaw!$H314</f>
        <v/>
      </c>
      <c r="G314" s="186" t="str">
        <f aca="false">ExportRaw!$I314</f>
        <v/>
      </c>
      <c r="H314" s="184" t="str">
        <f aca="false">ExportRaw!$A314</f>
        <v/>
      </c>
      <c r="I314" s="184" t="str">
        <f aca="false">ExportRaw!$B314</f>
        <v/>
      </c>
    </row>
    <row r="315" customFormat="false" ht="15.75" hidden="false" customHeight="false" outlineLevel="0" collapsed="false">
      <c r="A315" s="184" t="n">
        <f aca="false">ExportRaw!$F315</f>
        <v>0</v>
      </c>
      <c r="B315" s="184" t="n">
        <f aca="false">ExportRaw!$C315</f>
        <v>0</v>
      </c>
      <c r="C315" s="184" t="n">
        <f aca="false">ExportRaw!$G315</f>
        <v>0</v>
      </c>
      <c r="D315" s="184" t="str">
        <f aca="false">ExportRaw!$E315</f>
        <v/>
      </c>
      <c r="E315" s="185" t="str">
        <f aca="false">ExportRaw!$D315</f>
        <v/>
      </c>
      <c r="F315" s="184" t="str">
        <f aca="false">ExportRaw!$H315</f>
        <v/>
      </c>
      <c r="G315" s="186" t="str">
        <f aca="false">ExportRaw!$I315</f>
        <v/>
      </c>
      <c r="H315" s="184" t="str">
        <f aca="false">ExportRaw!$A315</f>
        <v/>
      </c>
      <c r="I315" s="184" t="str">
        <f aca="false">ExportRaw!$B315</f>
        <v/>
      </c>
    </row>
    <row r="316" customFormat="false" ht="15.75" hidden="false" customHeight="false" outlineLevel="0" collapsed="false">
      <c r="A316" s="184" t="n">
        <f aca="false">ExportRaw!$F316</f>
        <v>0</v>
      </c>
      <c r="B316" s="184" t="n">
        <f aca="false">ExportRaw!$C316</f>
        <v>0</v>
      </c>
      <c r="C316" s="184" t="n">
        <f aca="false">ExportRaw!$G316</f>
        <v>0</v>
      </c>
      <c r="D316" s="184" t="str">
        <f aca="false">ExportRaw!$E316</f>
        <v/>
      </c>
      <c r="E316" s="185" t="str">
        <f aca="false">ExportRaw!$D316</f>
        <v/>
      </c>
      <c r="F316" s="184" t="str">
        <f aca="false">ExportRaw!$H316</f>
        <v/>
      </c>
      <c r="G316" s="186" t="str">
        <f aca="false">ExportRaw!$I316</f>
        <v/>
      </c>
      <c r="H316" s="184" t="str">
        <f aca="false">ExportRaw!$A316</f>
        <v/>
      </c>
      <c r="I316" s="184" t="str">
        <f aca="false">ExportRaw!$B316</f>
        <v/>
      </c>
    </row>
    <row r="317" customFormat="false" ht="15.75" hidden="false" customHeight="false" outlineLevel="0" collapsed="false">
      <c r="A317" s="184" t="n">
        <f aca="false">ExportRaw!$F317</f>
        <v>0</v>
      </c>
      <c r="B317" s="184" t="n">
        <f aca="false">ExportRaw!$C317</f>
        <v>0</v>
      </c>
      <c r="C317" s="184" t="n">
        <f aca="false">ExportRaw!$G317</f>
        <v>0</v>
      </c>
      <c r="D317" s="184" t="str">
        <f aca="false">ExportRaw!$E317</f>
        <v/>
      </c>
      <c r="E317" s="185" t="str">
        <f aca="false">ExportRaw!$D317</f>
        <v/>
      </c>
      <c r="F317" s="184" t="str">
        <f aca="false">ExportRaw!$H317</f>
        <v/>
      </c>
      <c r="G317" s="186" t="str">
        <f aca="false">ExportRaw!$I317</f>
        <v/>
      </c>
      <c r="H317" s="184" t="str">
        <f aca="false">ExportRaw!$A317</f>
        <v/>
      </c>
      <c r="I317" s="184" t="str">
        <f aca="false">ExportRaw!$B317</f>
        <v/>
      </c>
    </row>
    <row r="318" customFormat="false" ht="15.75" hidden="false" customHeight="false" outlineLevel="0" collapsed="false">
      <c r="A318" s="184" t="n">
        <f aca="false">ExportRaw!$F318</f>
        <v>0</v>
      </c>
      <c r="B318" s="184" t="n">
        <f aca="false">ExportRaw!$C318</f>
        <v>0</v>
      </c>
      <c r="C318" s="184" t="n">
        <f aca="false">ExportRaw!$G318</f>
        <v>0</v>
      </c>
      <c r="D318" s="184" t="str">
        <f aca="false">ExportRaw!$E318</f>
        <v/>
      </c>
      <c r="E318" s="185" t="str">
        <f aca="false">ExportRaw!$D318</f>
        <v/>
      </c>
      <c r="F318" s="184" t="str">
        <f aca="false">ExportRaw!$H318</f>
        <v/>
      </c>
      <c r="G318" s="186" t="str">
        <f aca="false">ExportRaw!$I318</f>
        <v/>
      </c>
      <c r="H318" s="184" t="str">
        <f aca="false">ExportRaw!$A318</f>
        <v/>
      </c>
      <c r="I318" s="184" t="str">
        <f aca="false">ExportRaw!$B318</f>
        <v/>
      </c>
    </row>
    <row r="319" customFormat="false" ht="15.75" hidden="false" customHeight="false" outlineLevel="0" collapsed="false">
      <c r="A319" s="184" t="n">
        <f aca="false">ExportRaw!$F319</f>
        <v>0</v>
      </c>
      <c r="B319" s="184" t="n">
        <f aca="false">ExportRaw!$C319</f>
        <v>0</v>
      </c>
      <c r="C319" s="184" t="n">
        <f aca="false">ExportRaw!$G319</f>
        <v>0</v>
      </c>
      <c r="D319" s="184" t="str">
        <f aca="false">ExportRaw!$E319</f>
        <v/>
      </c>
      <c r="E319" s="185" t="str">
        <f aca="false">ExportRaw!$D319</f>
        <v/>
      </c>
      <c r="F319" s="184" t="str">
        <f aca="false">ExportRaw!$H319</f>
        <v/>
      </c>
      <c r="G319" s="186" t="str">
        <f aca="false">ExportRaw!$I319</f>
        <v/>
      </c>
      <c r="H319" s="184" t="str">
        <f aca="false">ExportRaw!$A319</f>
        <v/>
      </c>
      <c r="I319" s="184" t="str">
        <f aca="false">ExportRaw!$B319</f>
        <v/>
      </c>
    </row>
    <row r="320" customFormat="false" ht="15.75" hidden="false" customHeight="false" outlineLevel="0" collapsed="false">
      <c r="A320" s="184" t="n">
        <f aca="false">ExportRaw!$F320</f>
        <v>0</v>
      </c>
      <c r="B320" s="184" t="n">
        <f aca="false">ExportRaw!$C320</f>
        <v>0</v>
      </c>
      <c r="C320" s="184" t="n">
        <f aca="false">ExportRaw!$G320</f>
        <v>0</v>
      </c>
      <c r="D320" s="184" t="str">
        <f aca="false">ExportRaw!$E320</f>
        <v/>
      </c>
      <c r="E320" s="185" t="str">
        <f aca="false">ExportRaw!$D320</f>
        <v/>
      </c>
      <c r="F320" s="184" t="str">
        <f aca="false">ExportRaw!$H320</f>
        <v/>
      </c>
      <c r="G320" s="186" t="str">
        <f aca="false">ExportRaw!$I320</f>
        <v/>
      </c>
      <c r="H320" s="184" t="str">
        <f aca="false">ExportRaw!$A320</f>
        <v/>
      </c>
      <c r="I320" s="184" t="str">
        <f aca="false">ExportRaw!$B320</f>
        <v/>
      </c>
    </row>
    <row r="321" customFormat="false" ht="15.75" hidden="false" customHeight="false" outlineLevel="0" collapsed="false">
      <c r="A321" s="184" t="n">
        <f aca="false">ExportRaw!$F321</f>
        <v>0</v>
      </c>
      <c r="B321" s="184" t="n">
        <f aca="false">ExportRaw!$C321</f>
        <v>0</v>
      </c>
      <c r="C321" s="184" t="n">
        <f aca="false">ExportRaw!$G321</f>
        <v>0</v>
      </c>
      <c r="D321" s="184" t="str">
        <f aca="false">ExportRaw!$E321</f>
        <v/>
      </c>
      <c r="E321" s="185" t="str">
        <f aca="false">ExportRaw!$D321</f>
        <v/>
      </c>
      <c r="F321" s="184" t="str">
        <f aca="false">ExportRaw!$H321</f>
        <v/>
      </c>
      <c r="G321" s="186" t="str">
        <f aca="false">ExportRaw!$I321</f>
        <v/>
      </c>
      <c r="H321" s="184" t="str">
        <f aca="false">ExportRaw!$A321</f>
        <v/>
      </c>
      <c r="I321" s="184" t="str">
        <f aca="false">ExportRaw!$B321</f>
        <v/>
      </c>
    </row>
    <row r="322" customFormat="false" ht="15.75" hidden="false" customHeight="false" outlineLevel="0" collapsed="false">
      <c r="A322" s="184" t="n">
        <f aca="false">ExportRaw!$F322</f>
        <v>0</v>
      </c>
      <c r="B322" s="184" t="n">
        <f aca="false">ExportRaw!$C322</f>
        <v>0</v>
      </c>
      <c r="C322" s="184" t="n">
        <f aca="false">ExportRaw!$G322</f>
        <v>0</v>
      </c>
      <c r="D322" s="184" t="str">
        <f aca="false">ExportRaw!$E322</f>
        <v/>
      </c>
      <c r="E322" s="185" t="str">
        <f aca="false">ExportRaw!$D322</f>
        <v/>
      </c>
      <c r="F322" s="184" t="str">
        <f aca="false">ExportRaw!$H322</f>
        <v/>
      </c>
      <c r="G322" s="186" t="str">
        <f aca="false">ExportRaw!$I322</f>
        <v/>
      </c>
      <c r="H322" s="184" t="str">
        <f aca="false">ExportRaw!$A322</f>
        <v/>
      </c>
      <c r="I322" s="184" t="str">
        <f aca="false">ExportRaw!$B322</f>
        <v/>
      </c>
    </row>
    <row r="323" customFormat="false" ht="15.75" hidden="false" customHeight="false" outlineLevel="0" collapsed="false">
      <c r="A323" s="184" t="n">
        <f aca="false">ExportRaw!$F323</f>
        <v>0</v>
      </c>
      <c r="B323" s="184" t="n">
        <f aca="false">ExportRaw!$C323</f>
        <v>0</v>
      </c>
      <c r="C323" s="184" t="n">
        <f aca="false">ExportRaw!$G323</f>
        <v>0</v>
      </c>
      <c r="D323" s="184" t="str">
        <f aca="false">ExportRaw!$E323</f>
        <v/>
      </c>
      <c r="E323" s="185" t="str">
        <f aca="false">ExportRaw!$D323</f>
        <v/>
      </c>
      <c r="F323" s="184" t="str">
        <f aca="false">ExportRaw!$H323</f>
        <v/>
      </c>
      <c r="G323" s="186" t="str">
        <f aca="false">ExportRaw!$I323</f>
        <v/>
      </c>
      <c r="H323" s="184" t="str">
        <f aca="false">ExportRaw!$A323</f>
        <v/>
      </c>
      <c r="I323" s="184" t="str">
        <f aca="false">ExportRaw!$B323</f>
        <v/>
      </c>
    </row>
    <row r="324" customFormat="false" ht="15.75" hidden="false" customHeight="false" outlineLevel="0" collapsed="false">
      <c r="A324" s="184" t="n">
        <f aca="false">ExportRaw!$F324</f>
        <v>0</v>
      </c>
      <c r="B324" s="184" t="n">
        <f aca="false">ExportRaw!$C324</f>
        <v>0</v>
      </c>
      <c r="C324" s="184" t="n">
        <f aca="false">ExportRaw!$G324</f>
        <v>0</v>
      </c>
      <c r="D324" s="184" t="str">
        <f aca="false">ExportRaw!$E324</f>
        <v/>
      </c>
      <c r="E324" s="185" t="str">
        <f aca="false">ExportRaw!$D324</f>
        <v/>
      </c>
      <c r="F324" s="184" t="str">
        <f aca="false">ExportRaw!$H324</f>
        <v/>
      </c>
      <c r="G324" s="186" t="str">
        <f aca="false">ExportRaw!$I324</f>
        <v/>
      </c>
      <c r="H324" s="184" t="str">
        <f aca="false">ExportRaw!$A324</f>
        <v/>
      </c>
      <c r="I324" s="184" t="str">
        <f aca="false">ExportRaw!$B324</f>
        <v/>
      </c>
    </row>
    <row r="325" customFormat="false" ht="15.75" hidden="false" customHeight="false" outlineLevel="0" collapsed="false">
      <c r="A325" s="184" t="n">
        <f aca="false">ExportRaw!$F325</f>
        <v>0</v>
      </c>
      <c r="B325" s="184" t="n">
        <f aca="false">ExportRaw!$C325</f>
        <v>0</v>
      </c>
      <c r="C325" s="184" t="n">
        <f aca="false">ExportRaw!$G325</f>
        <v>0</v>
      </c>
      <c r="D325" s="184" t="str">
        <f aca="false">ExportRaw!$E325</f>
        <v/>
      </c>
      <c r="E325" s="185" t="str">
        <f aca="false">ExportRaw!$D325</f>
        <v/>
      </c>
      <c r="F325" s="184" t="str">
        <f aca="false">ExportRaw!$H325</f>
        <v/>
      </c>
      <c r="G325" s="186" t="str">
        <f aca="false">ExportRaw!$I325</f>
        <v/>
      </c>
      <c r="H325" s="184" t="str">
        <f aca="false">ExportRaw!$A325</f>
        <v/>
      </c>
      <c r="I325" s="184" t="str">
        <f aca="false">ExportRaw!$B325</f>
        <v/>
      </c>
    </row>
    <row r="326" customFormat="false" ht="15.75" hidden="false" customHeight="false" outlineLevel="0" collapsed="false">
      <c r="A326" s="184" t="n">
        <f aca="false">ExportRaw!$F326</f>
        <v>0</v>
      </c>
      <c r="B326" s="184" t="n">
        <f aca="false">ExportRaw!$C326</f>
        <v>0</v>
      </c>
      <c r="C326" s="184" t="n">
        <f aca="false">ExportRaw!$G326</f>
        <v>0</v>
      </c>
      <c r="D326" s="184" t="str">
        <f aca="false">ExportRaw!$E326</f>
        <v/>
      </c>
      <c r="E326" s="185" t="str">
        <f aca="false">ExportRaw!$D326</f>
        <v/>
      </c>
      <c r="F326" s="184" t="str">
        <f aca="false">ExportRaw!$H326</f>
        <v/>
      </c>
      <c r="G326" s="186" t="str">
        <f aca="false">ExportRaw!$I326</f>
        <v/>
      </c>
      <c r="H326" s="184" t="str">
        <f aca="false">ExportRaw!$A326</f>
        <v/>
      </c>
      <c r="I326" s="184" t="str">
        <f aca="false">ExportRaw!$B326</f>
        <v/>
      </c>
    </row>
    <row r="327" customFormat="false" ht="15.75" hidden="false" customHeight="false" outlineLevel="0" collapsed="false">
      <c r="A327" s="184" t="n">
        <f aca="false">ExportRaw!$F327</f>
        <v>0</v>
      </c>
      <c r="B327" s="184" t="n">
        <f aca="false">ExportRaw!$C327</f>
        <v>0</v>
      </c>
      <c r="C327" s="184" t="n">
        <f aca="false">ExportRaw!$G327</f>
        <v>0</v>
      </c>
      <c r="D327" s="184" t="str">
        <f aca="false">ExportRaw!$E327</f>
        <v/>
      </c>
      <c r="E327" s="185" t="str">
        <f aca="false">ExportRaw!$D327</f>
        <v/>
      </c>
      <c r="F327" s="184" t="str">
        <f aca="false">ExportRaw!$H327</f>
        <v/>
      </c>
      <c r="G327" s="186" t="str">
        <f aca="false">ExportRaw!$I327</f>
        <v/>
      </c>
      <c r="H327" s="184" t="str">
        <f aca="false">ExportRaw!$A327</f>
        <v/>
      </c>
      <c r="I327" s="184" t="str">
        <f aca="false">ExportRaw!$B327</f>
        <v/>
      </c>
    </row>
    <row r="328" customFormat="false" ht="15.75" hidden="false" customHeight="false" outlineLevel="0" collapsed="false">
      <c r="A328" s="184" t="n">
        <f aca="false">ExportRaw!$F328</f>
        <v>0</v>
      </c>
      <c r="B328" s="184" t="n">
        <f aca="false">ExportRaw!$C328</f>
        <v>0</v>
      </c>
      <c r="C328" s="184" t="n">
        <f aca="false">ExportRaw!$G328</f>
        <v>0</v>
      </c>
      <c r="D328" s="184" t="str">
        <f aca="false">ExportRaw!$E328</f>
        <v/>
      </c>
      <c r="E328" s="185" t="str">
        <f aca="false">ExportRaw!$D328</f>
        <v/>
      </c>
      <c r="F328" s="184" t="str">
        <f aca="false">ExportRaw!$H328</f>
        <v/>
      </c>
      <c r="G328" s="186" t="str">
        <f aca="false">ExportRaw!$I328</f>
        <v/>
      </c>
      <c r="H328" s="184" t="str">
        <f aca="false">ExportRaw!$A328</f>
        <v/>
      </c>
      <c r="I328" s="184" t="str">
        <f aca="false">ExportRaw!$B328</f>
        <v/>
      </c>
    </row>
    <row r="329" customFormat="false" ht="15.75" hidden="false" customHeight="false" outlineLevel="0" collapsed="false">
      <c r="A329" s="184" t="n">
        <f aca="false">ExportRaw!$F329</f>
        <v>0</v>
      </c>
      <c r="B329" s="184" t="n">
        <f aca="false">ExportRaw!$C329</f>
        <v>0</v>
      </c>
      <c r="C329" s="184" t="n">
        <f aca="false">ExportRaw!$G329</f>
        <v>0</v>
      </c>
      <c r="D329" s="184" t="str">
        <f aca="false">ExportRaw!$E329</f>
        <v/>
      </c>
      <c r="E329" s="185" t="str">
        <f aca="false">ExportRaw!$D329</f>
        <v/>
      </c>
      <c r="F329" s="184" t="str">
        <f aca="false">ExportRaw!$H329</f>
        <v/>
      </c>
      <c r="G329" s="186" t="str">
        <f aca="false">ExportRaw!$I329</f>
        <v/>
      </c>
      <c r="H329" s="184" t="str">
        <f aca="false">ExportRaw!$A329</f>
        <v/>
      </c>
      <c r="I329" s="184" t="str">
        <f aca="false">ExportRaw!$B329</f>
        <v/>
      </c>
    </row>
    <row r="330" customFormat="false" ht="15.75" hidden="false" customHeight="false" outlineLevel="0" collapsed="false">
      <c r="A330" s="184" t="n">
        <f aca="false">ExportRaw!$F330</f>
        <v>0</v>
      </c>
      <c r="B330" s="184" t="n">
        <f aca="false">ExportRaw!$C330</f>
        <v>0</v>
      </c>
      <c r="C330" s="184" t="n">
        <f aca="false">ExportRaw!$G330</f>
        <v>0</v>
      </c>
      <c r="D330" s="184" t="str">
        <f aca="false">ExportRaw!$E330</f>
        <v/>
      </c>
      <c r="E330" s="185" t="str">
        <f aca="false">ExportRaw!$D330</f>
        <v/>
      </c>
      <c r="F330" s="184" t="str">
        <f aca="false">ExportRaw!$H330</f>
        <v/>
      </c>
      <c r="G330" s="186" t="str">
        <f aca="false">ExportRaw!$I330</f>
        <v/>
      </c>
      <c r="H330" s="184" t="str">
        <f aca="false">ExportRaw!$A330</f>
        <v/>
      </c>
      <c r="I330" s="184" t="str">
        <f aca="false">ExportRaw!$B330</f>
        <v/>
      </c>
    </row>
    <row r="331" customFormat="false" ht="15.75" hidden="false" customHeight="false" outlineLevel="0" collapsed="false">
      <c r="A331" s="184" t="n">
        <f aca="false">ExportRaw!$F331</f>
        <v>0</v>
      </c>
      <c r="B331" s="184" t="n">
        <f aca="false">ExportRaw!$C331</f>
        <v>0</v>
      </c>
      <c r="C331" s="184" t="n">
        <f aca="false">ExportRaw!$G331</f>
        <v>0</v>
      </c>
      <c r="D331" s="184" t="str">
        <f aca="false">ExportRaw!$E331</f>
        <v/>
      </c>
      <c r="E331" s="185" t="str">
        <f aca="false">ExportRaw!$D331</f>
        <v/>
      </c>
      <c r="F331" s="184" t="str">
        <f aca="false">ExportRaw!$H331</f>
        <v/>
      </c>
      <c r="G331" s="186" t="str">
        <f aca="false">ExportRaw!$I331</f>
        <v/>
      </c>
      <c r="H331" s="184" t="str">
        <f aca="false">ExportRaw!$A331</f>
        <v/>
      </c>
      <c r="I331" s="184" t="str">
        <f aca="false">ExportRaw!$B331</f>
        <v/>
      </c>
    </row>
    <row r="332" customFormat="false" ht="15.75" hidden="false" customHeight="false" outlineLevel="0" collapsed="false">
      <c r="A332" s="184" t="n">
        <f aca="false">ExportRaw!$F332</f>
        <v>0</v>
      </c>
      <c r="B332" s="184" t="n">
        <f aca="false">ExportRaw!$C332</f>
        <v>0</v>
      </c>
      <c r="C332" s="184" t="n">
        <f aca="false">ExportRaw!$G332</f>
        <v>0</v>
      </c>
      <c r="D332" s="184" t="str">
        <f aca="false">ExportRaw!$E332</f>
        <v/>
      </c>
      <c r="E332" s="185" t="str">
        <f aca="false">ExportRaw!$D332</f>
        <v/>
      </c>
      <c r="F332" s="184" t="str">
        <f aca="false">ExportRaw!$H332</f>
        <v/>
      </c>
      <c r="G332" s="186" t="str">
        <f aca="false">ExportRaw!$I332</f>
        <v/>
      </c>
      <c r="H332" s="184" t="str">
        <f aca="false">ExportRaw!$A332</f>
        <v/>
      </c>
      <c r="I332" s="184" t="str">
        <f aca="false">ExportRaw!$B332</f>
        <v/>
      </c>
    </row>
    <row r="333" customFormat="false" ht="15.75" hidden="false" customHeight="false" outlineLevel="0" collapsed="false">
      <c r="A333" s="184" t="n">
        <f aca="false">ExportRaw!$F333</f>
        <v>0</v>
      </c>
      <c r="B333" s="184" t="n">
        <f aca="false">ExportRaw!$C333</f>
        <v>0</v>
      </c>
      <c r="C333" s="184" t="n">
        <f aca="false">ExportRaw!$G333</f>
        <v>0</v>
      </c>
      <c r="D333" s="184" t="str">
        <f aca="false">ExportRaw!$E333</f>
        <v/>
      </c>
      <c r="E333" s="185" t="str">
        <f aca="false">ExportRaw!$D333</f>
        <v/>
      </c>
      <c r="F333" s="184" t="str">
        <f aca="false">ExportRaw!$H333</f>
        <v/>
      </c>
      <c r="G333" s="186" t="str">
        <f aca="false">ExportRaw!$I333</f>
        <v/>
      </c>
      <c r="H333" s="184" t="str">
        <f aca="false">ExportRaw!$A333</f>
        <v/>
      </c>
      <c r="I333" s="184" t="str">
        <f aca="false">ExportRaw!$B333</f>
        <v/>
      </c>
    </row>
    <row r="334" customFormat="false" ht="15.75" hidden="false" customHeight="false" outlineLevel="0" collapsed="false">
      <c r="A334" s="184" t="n">
        <f aca="false">ExportRaw!$F334</f>
        <v>0</v>
      </c>
      <c r="B334" s="184" t="n">
        <f aca="false">ExportRaw!$C334</f>
        <v>0</v>
      </c>
      <c r="C334" s="184" t="n">
        <f aca="false">ExportRaw!$G334</f>
        <v>0</v>
      </c>
      <c r="D334" s="184" t="str">
        <f aca="false">ExportRaw!$E334</f>
        <v/>
      </c>
      <c r="E334" s="185" t="str">
        <f aca="false">ExportRaw!$D334</f>
        <v/>
      </c>
      <c r="F334" s="184" t="str">
        <f aca="false">ExportRaw!$H334</f>
        <v/>
      </c>
      <c r="G334" s="186" t="str">
        <f aca="false">ExportRaw!$I334</f>
        <v/>
      </c>
      <c r="H334" s="184" t="str">
        <f aca="false">ExportRaw!$A334</f>
        <v/>
      </c>
      <c r="I334" s="184" t="str">
        <f aca="false">ExportRaw!$B334</f>
        <v/>
      </c>
    </row>
    <row r="335" customFormat="false" ht="15.75" hidden="false" customHeight="false" outlineLevel="0" collapsed="false">
      <c r="A335" s="184" t="n">
        <f aca="false">ExportRaw!$F335</f>
        <v>0</v>
      </c>
      <c r="B335" s="184" t="n">
        <f aca="false">ExportRaw!$C335</f>
        <v>0</v>
      </c>
      <c r="C335" s="184" t="n">
        <f aca="false">ExportRaw!$G335</f>
        <v>0</v>
      </c>
      <c r="D335" s="184" t="str">
        <f aca="false">ExportRaw!$E335</f>
        <v/>
      </c>
      <c r="E335" s="185" t="str">
        <f aca="false">ExportRaw!$D335</f>
        <v/>
      </c>
      <c r="F335" s="184" t="str">
        <f aca="false">ExportRaw!$H335</f>
        <v/>
      </c>
      <c r="G335" s="186" t="str">
        <f aca="false">ExportRaw!$I335</f>
        <v/>
      </c>
      <c r="H335" s="184" t="str">
        <f aca="false">ExportRaw!$A335</f>
        <v/>
      </c>
      <c r="I335" s="184" t="str">
        <f aca="false">ExportRaw!$B335</f>
        <v/>
      </c>
    </row>
    <row r="336" customFormat="false" ht="15.75" hidden="false" customHeight="false" outlineLevel="0" collapsed="false">
      <c r="A336" s="184" t="n">
        <f aca="false">ExportRaw!$F336</f>
        <v>0</v>
      </c>
      <c r="B336" s="184" t="n">
        <f aca="false">ExportRaw!$C336</f>
        <v>0</v>
      </c>
      <c r="C336" s="184" t="n">
        <f aca="false">ExportRaw!$G336</f>
        <v>0</v>
      </c>
      <c r="D336" s="184" t="str">
        <f aca="false">ExportRaw!$E336</f>
        <v/>
      </c>
      <c r="E336" s="185" t="str">
        <f aca="false">ExportRaw!$D336</f>
        <v/>
      </c>
      <c r="F336" s="184" t="str">
        <f aca="false">ExportRaw!$H336</f>
        <v/>
      </c>
      <c r="G336" s="186" t="str">
        <f aca="false">ExportRaw!$I336</f>
        <v/>
      </c>
      <c r="H336" s="184" t="str">
        <f aca="false">ExportRaw!$A336</f>
        <v/>
      </c>
      <c r="I336" s="184" t="str">
        <f aca="false">ExportRaw!$B336</f>
        <v/>
      </c>
    </row>
    <row r="337" customFormat="false" ht="15.75" hidden="false" customHeight="false" outlineLevel="0" collapsed="false">
      <c r="A337" s="184" t="n">
        <f aca="false">ExportRaw!$F337</f>
        <v>0</v>
      </c>
      <c r="B337" s="184" t="n">
        <f aca="false">ExportRaw!$C337</f>
        <v>0</v>
      </c>
      <c r="C337" s="184" t="n">
        <f aca="false">ExportRaw!$G337</f>
        <v>0</v>
      </c>
      <c r="D337" s="184" t="str">
        <f aca="false">ExportRaw!$E337</f>
        <v/>
      </c>
      <c r="E337" s="185" t="str">
        <f aca="false">ExportRaw!$D337</f>
        <v/>
      </c>
      <c r="F337" s="184" t="str">
        <f aca="false">ExportRaw!$H337</f>
        <v/>
      </c>
      <c r="G337" s="186" t="str">
        <f aca="false">ExportRaw!$I337</f>
        <v/>
      </c>
      <c r="H337" s="184" t="str">
        <f aca="false">ExportRaw!$A337</f>
        <v/>
      </c>
      <c r="I337" s="184" t="str">
        <f aca="false">ExportRaw!$B337</f>
        <v/>
      </c>
    </row>
    <row r="338" customFormat="false" ht="15.75" hidden="false" customHeight="false" outlineLevel="0" collapsed="false">
      <c r="A338" s="184" t="n">
        <f aca="false">ExportRaw!$F338</f>
        <v>0</v>
      </c>
      <c r="B338" s="184" t="n">
        <f aca="false">ExportRaw!$C338</f>
        <v>0</v>
      </c>
      <c r="C338" s="184" t="n">
        <f aca="false">ExportRaw!$G338</f>
        <v>0</v>
      </c>
      <c r="D338" s="184" t="str">
        <f aca="false">ExportRaw!$E338</f>
        <v/>
      </c>
      <c r="E338" s="185" t="str">
        <f aca="false">ExportRaw!$D338</f>
        <v/>
      </c>
      <c r="F338" s="184" t="str">
        <f aca="false">ExportRaw!$H338</f>
        <v/>
      </c>
      <c r="G338" s="186" t="str">
        <f aca="false">ExportRaw!$I338</f>
        <v/>
      </c>
      <c r="H338" s="184" t="str">
        <f aca="false">ExportRaw!$A338</f>
        <v/>
      </c>
      <c r="I338" s="184" t="str">
        <f aca="false">ExportRaw!$B338</f>
        <v/>
      </c>
    </row>
    <row r="339" customFormat="false" ht="15.75" hidden="false" customHeight="false" outlineLevel="0" collapsed="false">
      <c r="A339" s="184" t="n">
        <f aca="false">ExportRaw!$F339</f>
        <v>0</v>
      </c>
      <c r="B339" s="184" t="n">
        <f aca="false">ExportRaw!$C339</f>
        <v>0</v>
      </c>
      <c r="C339" s="184" t="n">
        <f aca="false">ExportRaw!$G339</f>
        <v>0</v>
      </c>
      <c r="D339" s="184" t="str">
        <f aca="false">ExportRaw!$E339</f>
        <v/>
      </c>
      <c r="E339" s="185" t="str">
        <f aca="false">ExportRaw!$D339</f>
        <v/>
      </c>
      <c r="F339" s="184" t="str">
        <f aca="false">ExportRaw!$H339</f>
        <v/>
      </c>
      <c r="G339" s="186" t="str">
        <f aca="false">ExportRaw!$I339</f>
        <v/>
      </c>
      <c r="H339" s="184" t="str">
        <f aca="false">ExportRaw!$A339</f>
        <v/>
      </c>
      <c r="I339" s="184" t="str">
        <f aca="false">ExportRaw!$B339</f>
        <v/>
      </c>
    </row>
    <row r="340" customFormat="false" ht="15.75" hidden="false" customHeight="false" outlineLevel="0" collapsed="false">
      <c r="A340" s="184" t="n">
        <f aca="false">ExportRaw!$F340</f>
        <v>0</v>
      </c>
      <c r="B340" s="184" t="n">
        <f aca="false">ExportRaw!$C340</f>
        <v>0</v>
      </c>
      <c r="C340" s="184" t="n">
        <f aca="false">ExportRaw!$G340</f>
        <v>0</v>
      </c>
      <c r="D340" s="184" t="str">
        <f aca="false">ExportRaw!$E340</f>
        <v/>
      </c>
      <c r="E340" s="185" t="str">
        <f aca="false">ExportRaw!$D340</f>
        <v/>
      </c>
      <c r="F340" s="184" t="str">
        <f aca="false">ExportRaw!$H340</f>
        <v/>
      </c>
      <c r="G340" s="186" t="str">
        <f aca="false">ExportRaw!$I340</f>
        <v/>
      </c>
      <c r="H340" s="184" t="str">
        <f aca="false">ExportRaw!$A340</f>
        <v/>
      </c>
      <c r="I340" s="184" t="str">
        <f aca="false">ExportRaw!$B340</f>
        <v/>
      </c>
    </row>
    <row r="341" customFormat="false" ht="15.75" hidden="false" customHeight="false" outlineLevel="0" collapsed="false">
      <c r="A341" s="184" t="n">
        <f aca="false">ExportRaw!$F341</f>
        <v>0</v>
      </c>
      <c r="B341" s="184" t="n">
        <f aca="false">ExportRaw!$C341</f>
        <v>0</v>
      </c>
      <c r="C341" s="184" t="n">
        <f aca="false">ExportRaw!$G341</f>
        <v>0</v>
      </c>
      <c r="D341" s="184" t="str">
        <f aca="false">ExportRaw!$E341</f>
        <v/>
      </c>
      <c r="E341" s="185" t="str">
        <f aca="false">ExportRaw!$D341</f>
        <v/>
      </c>
      <c r="F341" s="184" t="str">
        <f aca="false">ExportRaw!$H341</f>
        <v/>
      </c>
      <c r="G341" s="186" t="str">
        <f aca="false">ExportRaw!$I341</f>
        <v/>
      </c>
      <c r="H341" s="184" t="str">
        <f aca="false">ExportRaw!$A341</f>
        <v/>
      </c>
      <c r="I341" s="184" t="str">
        <f aca="false">ExportRaw!$B341</f>
        <v/>
      </c>
    </row>
    <row r="342" customFormat="false" ht="15.75" hidden="false" customHeight="false" outlineLevel="0" collapsed="false">
      <c r="A342" s="184" t="n">
        <f aca="false">ExportRaw!$F342</f>
        <v>0</v>
      </c>
      <c r="B342" s="184" t="n">
        <f aca="false">ExportRaw!$C342</f>
        <v>0</v>
      </c>
      <c r="C342" s="184" t="n">
        <f aca="false">ExportRaw!$G342</f>
        <v>0</v>
      </c>
      <c r="D342" s="184" t="str">
        <f aca="false">ExportRaw!$E342</f>
        <v/>
      </c>
      <c r="E342" s="185" t="str">
        <f aca="false">ExportRaw!$D342</f>
        <v/>
      </c>
      <c r="F342" s="184" t="str">
        <f aca="false">ExportRaw!$H342</f>
        <v/>
      </c>
      <c r="G342" s="186" t="str">
        <f aca="false">ExportRaw!$I342</f>
        <v/>
      </c>
      <c r="H342" s="184" t="str">
        <f aca="false">ExportRaw!$A342</f>
        <v/>
      </c>
      <c r="I342" s="184" t="str">
        <f aca="false">ExportRaw!$B342</f>
        <v/>
      </c>
    </row>
    <row r="343" customFormat="false" ht="15.75" hidden="false" customHeight="false" outlineLevel="0" collapsed="false">
      <c r="A343" s="184" t="n">
        <f aca="false">ExportRaw!$F343</f>
        <v>0</v>
      </c>
      <c r="B343" s="184" t="n">
        <f aca="false">ExportRaw!$C343</f>
        <v>0</v>
      </c>
      <c r="C343" s="184" t="n">
        <f aca="false">ExportRaw!$G343</f>
        <v>0</v>
      </c>
      <c r="D343" s="184" t="str">
        <f aca="false">ExportRaw!$E343</f>
        <v/>
      </c>
      <c r="E343" s="185" t="str">
        <f aca="false">ExportRaw!$D343</f>
        <v/>
      </c>
      <c r="F343" s="184" t="str">
        <f aca="false">ExportRaw!$H343</f>
        <v/>
      </c>
      <c r="G343" s="186" t="str">
        <f aca="false">ExportRaw!$I343</f>
        <v/>
      </c>
      <c r="H343" s="184" t="str">
        <f aca="false">ExportRaw!$A343</f>
        <v/>
      </c>
      <c r="I343" s="184" t="str">
        <f aca="false">ExportRaw!$B343</f>
        <v/>
      </c>
    </row>
    <row r="344" customFormat="false" ht="15.75" hidden="false" customHeight="false" outlineLevel="0" collapsed="false">
      <c r="A344" s="184" t="n">
        <f aca="false">ExportRaw!$F344</f>
        <v>0</v>
      </c>
      <c r="B344" s="184" t="n">
        <f aca="false">ExportRaw!$C344</f>
        <v>0</v>
      </c>
      <c r="C344" s="184" t="n">
        <f aca="false">ExportRaw!$G344</f>
        <v>0</v>
      </c>
      <c r="D344" s="184" t="str">
        <f aca="false">ExportRaw!$E344</f>
        <v/>
      </c>
      <c r="E344" s="185" t="str">
        <f aca="false">ExportRaw!$D344</f>
        <v/>
      </c>
      <c r="F344" s="184" t="str">
        <f aca="false">ExportRaw!$H344</f>
        <v/>
      </c>
      <c r="G344" s="186" t="str">
        <f aca="false">ExportRaw!$I344</f>
        <v/>
      </c>
      <c r="H344" s="184" t="str">
        <f aca="false">ExportRaw!$A344</f>
        <v/>
      </c>
      <c r="I344" s="184" t="str">
        <f aca="false">ExportRaw!$B344</f>
        <v/>
      </c>
    </row>
    <row r="345" customFormat="false" ht="15.75" hidden="false" customHeight="false" outlineLevel="0" collapsed="false">
      <c r="A345" s="184" t="n">
        <f aca="false">ExportRaw!$F345</f>
        <v>0</v>
      </c>
      <c r="B345" s="184" t="n">
        <f aca="false">ExportRaw!$C345</f>
        <v>0</v>
      </c>
      <c r="C345" s="184" t="n">
        <f aca="false">ExportRaw!$G345</f>
        <v>0</v>
      </c>
      <c r="D345" s="184" t="str">
        <f aca="false">ExportRaw!$E345</f>
        <v/>
      </c>
      <c r="E345" s="185" t="str">
        <f aca="false">ExportRaw!$D345</f>
        <v/>
      </c>
      <c r="F345" s="184" t="str">
        <f aca="false">ExportRaw!$H345</f>
        <v/>
      </c>
      <c r="G345" s="186" t="str">
        <f aca="false">ExportRaw!$I345</f>
        <v/>
      </c>
      <c r="H345" s="184" t="str">
        <f aca="false">ExportRaw!$A345</f>
        <v/>
      </c>
      <c r="I345" s="184" t="str">
        <f aca="false">ExportRaw!$B345</f>
        <v/>
      </c>
    </row>
    <row r="346" customFormat="false" ht="15.75" hidden="false" customHeight="false" outlineLevel="0" collapsed="false">
      <c r="A346" s="184" t="n">
        <f aca="false">ExportRaw!$F346</f>
        <v>0</v>
      </c>
      <c r="B346" s="184" t="n">
        <f aca="false">ExportRaw!$C346</f>
        <v>0</v>
      </c>
      <c r="C346" s="184" t="n">
        <f aca="false">ExportRaw!$G346</f>
        <v>0</v>
      </c>
      <c r="D346" s="184" t="str">
        <f aca="false">ExportRaw!$E346</f>
        <v/>
      </c>
      <c r="E346" s="185" t="str">
        <f aca="false">ExportRaw!$D346</f>
        <v/>
      </c>
      <c r="F346" s="184" t="str">
        <f aca="false">ExportRaw!$H346</f>
        <v/>
      </c>
      <c r="G346" s="186" t="str">
        <f aca="false">ExportRaw!$I346</f>
        <v/>
      </c>
      <c r="H346" s="184" t="str">
        <f aca="false">ExportRaw!$A346</f>
        <v/>
      </c>
      <c r="I346" s="184" t="str">
        <f aca="false">ExportRaw!$B346</f>
        <v/>
      </c>
    </row>
    <row r="347" customFormat="false" ht="15.75" hidden="false" customHeight="false" outlineLevel="0" collapsed="false">
      <c r="A347" s="184" t="n">
        <f aca="false">ExportRaw!$F347</f>
        <v>0</v>
      </c>
      <c r="B347" s="184" t="n">
        <f aca="false">ExportRaw!$C347</f>
        <v>0</v>
      </c>
      <c r="C347" s="184" t="n">
        <f aca="false">ExportRaw!$G347</f>
        <v>0</v>
      </c>
      <c r="D347" s="184" t="str">
        <f aca="false">ExportRaw!$E347</f>
        <v/>
      </c>
      <c r="E347" s="185" t="str">
        <f aca="false">ExportRaw!$D347</f>
        <v/>
      </c>
      <c r="F347" s="184" t="str">
        <f aca="false">ExportRaw!$H347</f>
        <v/>
      </c>
      <c r="G347" s="186" t="str">
        <f aca="false">ExportRaw!$I347</f>
        <v/>
      </c>
      <c r="H347" s="184" t="str">
        <f aca="false">ExportRaw!$A347</f>
        <v/>
      </c>
      <c r="I347" s="184" t="str">
        <f aca="false">ExportRaw!$B347</f>
        <v/>
      </c>
    </row>
    <row r="348" customFormat="false" ht="15.75" hidden="false" customHeight="false" outlineLevel="0" collapsed="false">
      <c r="A348" s="184" t="n">
        <f aca="false">ExportRaw!$F348</f>
        <v>0</v>
      </c>
      <c r="B348" s="184" t="n">
        <f aca="false">ExportRaw!$C348</f>
        <v>0</v>
      </c>
      <c r="C348" s="184" t="n">
        <f aca="false">ExportRaw!$G348</f>
        <v>0</v>
      </c>
      <c r="D348" s="184" t="str">
        <f aca="false">ExportRaw!$E348</f>
        <v/>
      </c>
      <c r="E348" s="185" t="str">
        <f aca="false">ExportRaw!$D348</f>
        <v/>
      </c>
      <c r="F348" s="184" t="str">
        <f aca="false">ExportRaw!$H348</f>
        <v/>
      </c>
      <c r="G348" s="186" t="str">
        <f aca="false">ExportRaw!$I348</f>
        <v/>
      </c>
      <c r="H348" s="184" t="str">
        <f aca="false">ExportRaw!$A348</f>
        <v/>
      </c>
      <c r="I348" s="184" t="str">
        <f aca="false">ExportRaw!$B348</f>
        <v/>
      </c>
    </row>
    <row r="349" customFormat="false" ht="15.75" hidden="false" customHeight="false" outlineLevel="0" collapsed="false">
      <c r="A349" s="184" t="n">
        <f aca="false">ExportRaw!$F349</f>
        <v>0</v>
      </c>
      <c r="B349" s="184" t="n">
        <f aca="false">ExportRaw!$C349</f>
        <v>0</v>
      </c>
      <c r="C349" s="184" t="n">
        <f aca="false">ExportRaw!$G349</f>
        <v>0</v>
      </c>
      <c r="D349" s="184" t="str">
        <f aca="false">ExportRaw!$E349</f>
        <v/>
      </c>
      <c r="E349" s="185" t="str">
        <f aca="false">ExportRaw!$D349</f>
        <v/>
      </c>
      <c r="F349" s="184" t="str">
        <f aca="false">ExportRaw!$H349</f>
        <v/>
      </c>
      <c r="G349" s="186" t="str">
        <f aca="false">ExportRaw!$I349</f>
        <v/>
      </c>
      <c r="H349" s="184" t="str">
        <f aca="false">ExportRaw!$A349</f>
        <v/>
      </c>
      <c r="I349" s="184" t="str">
        <f aca="false">ExportRaw!$B349</f>
        <v/>
      </c>
    </row>
    <row r="350" customFormat="false" ht="15.75" hidden="false" customHeight="false" outlineLevel="0" collapsed="false">
      <c r="A350" s="184" t="n">
        <f aca="false">ExportRaw!$F350</f>
        <v>0</v>
      </c>
      <c r="B350" s="184" t="n">
        <f aca="false">ExportRaw!$C350</f>
        <v>0</v>
      </c>
      <c r="C350" s="184" t="n">
        <f aca="false">ExportRaw!$G350</f>
        <v>0</v>
      </c>
      <c r="D350" s="184" t="str">
        <f aca="false">ExportRaw!$E350</f>
        <v/>
      </c>
      <c r="E350" s="185" t="str">
        <f aca="false">ExportRaw!$D350</f>
        <v/>
      </c>
      <c r="F350" s="184" t="str">
        <f aca="false">ExportRaw!$H350</f>
        <v/>
      </c>
      <c r="G350" s="186" t="str">
        <f aca="false">ExportRaw!$I350</f>
        <v/>
      </c>
      <c r="H350" s="184" t="str">
        <f aca="false">ExportRaw!$A350</f>
        <v/>
      </c>
      <c r="I350" s="184" t="str">
        <f aca="false">ExportRaw!$B350</f>
        <v/>
      </c>
    </row>
    <row r="351" customFormat="false" ht="15.75" hidden="false" customHeight="false" outlineLevel="0" collapsed="false">
      <c r="A351" s="184" t="n">
        <f aca="false">ExportRaw!$F351</f>
        <v>0</v>
      </c>
      <c r="B351" s="184" t="n">
        <f aca="false">ExportRaw!$C351</f>
        <v>0</v>
      </c>
      <c r="C351" s="184" t="n">
        <f aca="false">ExportRaw!$G351</f>
        <v>0</v>
      </c>
      <c r="D351" s="184" t="str">
        <f aca="false">ExportRaw!$E351</f>
        <v/>
      </c>
      <c r="E351" s="185" t="str">
        <f aca="false">ExportRaw!$D351</f>
        <v/>
      </c>
      <c r="F351" s="184" t="str">
        <f aca="false">ExportRaw!$H351</f>
        <v/>
      </c>
      <c r="G351" s="186" t="str">
        <f aca="false">ExportRaw!$I351</f>
        <v/>
      </c>
      <c r="H351" s="184" t="str">
        <f aca="false">ExportRaw!$A351</f>
        <v/>
      </c>
      <c r="I351" s="184" t="str">
        <f aca="false">ExportRaw!$B351</f>
        <v/>
      </c>
    </row>
    <row r="352" customFormat="false" ht="15.75" hidden="false" customHeight="false" outlineLevel="0" collapsed="false">
      <c r="A352" s="184" t="n">
        <f aca="false">ExportRaw!$F352</f>
        <v>0</v>
      </c>
      <c r="B352" s="184" t="n">
        <f aca="false">ExportRaw!$C352</f>
        <v>0</v>
      </c>
      <c r="C352" s="184" t="n">
        <f aca="false">ExportRaw!$G352</f>
        <v>0</v>
      </c>
      <c r="D352" s="184" t="str">
        <f aca="false">ExportRaw!$E352</f>
        <v/>
      </c>
      <c r="E352" s="185" t="str">
        <f aca="false">ExportRaw!$D352</f>
        <v/>
      </c>
      <c r="F352" s="184" t="str">
        <f aca="false">ExportRaw!$H352</f>
        <v/>
      </c>
      <c r="G352" s="186" t="str">
        <f aca="false">ExportRaw!$I352</f>
        <v/>
      </c>
      <c r="H352" s="184" t="str">
        <f aca="false">ExportRaw!$A352</f>
        <v/>
      </c>
      <c r="I352" s="184" t="str">
        <f aca="false">ExportRaw!$B352</f>
        <v/>
      </c>
    </row>
    <row r="353" customFormat="false" ht="15.75" hidden="false" customHeight="false" outlineLevel="0" collapsed="false">
      <c r="A353" s="184" t="n">
        <f aca="false">ExportRaw!$F353</f>
        <v>0</v>
      </c>
      <c r="B353" s="184" t="n">
        <f aca="false">ExportRaw!$C353</f>
        <v>0</v>
      </c>
      <c r="C353" s="184" t="n">
        <f aca="false">ExportRaw!$G353</f>
        <v>0</v>
      </c>
      <c r="D353" s="184" t="str">
        <f aca="false">ExportRaw!$E353</f>
        <v/>
      </c>
      <c r="E353" s="185" t="str">
        <f aca="false">ExportRaw!$D353</f>
        <v/>
      </c>
      <c r="F353" s="184" t="str">
        <f aca="false">ExportRaw!$H353</f>
        <v/>
      </c>
      <c r="G353" s="186" t="str">
        <f aca="false">ExportRaw!$I353</f>
        <v/>
      </c>
      <c r="H353" s="184" t="str">
        <f aca="false">ExportRaw!$A353</f>
        <v/>
      </c>
      <c r="I353" s="184" t="str">
        <f aca="false">ExportRaw!$B353</f>
        <v/>
      </c>
    </row>
    <row r="354" customFormat="false" ht="15.75" hidden="false" customHeight="false" outlineLevel="0" collapsed="false">
      <c r="A354" s="184" t="n">
        <f aca="false">ExportRaw!$F354</f>
        <v>0</v>
      </c>
      <c r="B354" s="184" t="n">
        <f aca="false">ExportRaw!$C354</f>
        <v>0</v>
      </c>
      <c r="C354" s="184" t="n">
        <f aca="false">ExportRaw!$G354</f>
        <v>0</v>
      </c>
      <c r="D354" s="184" t="str">
        <f aca="false">ExportRaw!$E354</f>
        <v/>
      </c>
      <c r="E354" s="185" t="str">
        <f aca="false">ExportRaw!$D354</f>
        <v/>
      </c>
      <c r="F354" s="184" t="str">
        <f aca="false">ExportRaw!$H354</f>
        <v/>
      </c>
      <c r="G354" s="186" t="str">
        <f aca="false">ExportRaw!$I354</f>
        <v/>
      </c>
      <c r="H354" s="184" t="str">
        <f aca="false">ExportRaw!$A354</f>
        <v/>
      </c>
      <c r="I354" s="184" t="str">
        <f aca="false">ExportRaw!$B354</f>
        <v/>
      </c>
    </row>
    <row r="355" customFormat="false" ht="15.75" hidden="false" customHeight="false" outlineLevel="0" collapsed="false">
      <c r="A355" s="184" t="n">
        <f aca="false">ExportRaw!$F355</f>
        <v>0</v>
      </c>
      <c r="B355" s="184" t="n">
        <f aca="false">ExportRaw!$C355</f>
        <v>0</v>
      </c>
      <c r="C355" s="184" t="n">
        <f aca="false">ExportRaw!$G355</f>
        <v>0</v>
      </c>
      <c r="D355" s="184" t="str">
        <f aca="false">ExportRaw!$E355</f>
        <v/>
      </c>
      <c r="E355" s="185" t="str">
        <f aca="false">ExportRaw!$D355</f>
        <v/>
      </c>
      <c r="F355" s="184" t="str">
        <f aca="false">ExportRaw!$H355</f>
        <v/>
      </c>
      <c r="G355" s="186" t="str">
        <f aca="false">ExportRaw!$I355</f>
        <v/>
      </c>
      <c r="H355" s="184" t="str">
        <f aca="false">ExportRaw!$A355</f>
        <v/>
      </c>
      <c r="I355" s="184" t="str">
        <f aca="false">ExportRaw!$B355</f>
        <v/>
      </c>
    </row>
    <row r="356" customFormat="false" ht="15.75" hidden="false" customHeight="false" outlineLevel="0" collapsed="false">
      <c r="A356" s="184" t="n">
        <f aca="false">ExportRaw!$F356</f>
        <v>0</v>
      </c>
      <c r="B356" s="184" t="n">
        <f aca="false">ExportRaw!$C356</f>
        <v>0</v>
      </c>
      <c r="C356" s="184" t="n">
        <f aca="false">ExportRaw!$G356</f>
        <v>0</v>
      </c>
      <c r="D356" s="184" t="str">
        <f aca="false">ExportRaw!$E356</f>
        <v/>
      </c>
      <c r="E356" s="185" t="str">
        <f aca="false">ExportRaw!$D356</f>
        <v/>
      </c>
      <c r="F356" s="184" t="str">
        <f aca="false">ExportRaw!$H356</f>
        <v/>
      </c>
      <c r="G356" s="186" t="str">
        <f aca="false">ExportRaw!$I356</f>
        <v/>
      </c>
      <c r="H356" s="184" t="str">
        <f aca="false">ExportRaw!$A356</f>
        <v/>
      </c>
      <c r="I356" s="184" t="str">
        <f aca="false">ExportRaw!$B356</f>
        <v/>
      </c>
    </row>
    <row r="357" customFormat="false" ht="15.75" hidden="false" customHeight="false" outlineLevel="0" collapsed="false">
      <c r="A357" s="184" t="n">
        <f aca="false">ExportRaw!$F357</f>
        <v>0</v>
      </c>
      <c r="B357" s="184" t="n">
        <f aca="false">ExportRaw!$C357</f>
        <v>0</v>
      </c>
      <c r="C357" s="184" t="n">
        <f aca="false">ExportRaw!$G357</f>
        <v>0</v>
      </c>
      <c r="D357" s="184" t="str">
        <f aca="false">ExportRaw!$E357</f>
        <v/>
      </c>
      <c r="E357" s="185" t="str">
        <f aca="false">ExportRaw!$D357</f>
        <v/>
      </c>
      <c r="F357" s="184" t="str">
        <f aca="false">ExportRaw!$H357</f>
        <v/>
      </c>
      <c r="G357" s="186" t="str">
        <f aca="false">ExportRaw!$I357</f>
        <v/>
      </c>
      <c r="H357" s="184" t="str">
        <f aca="false">ExportRaw!$A357</f>
        <v/>
      </c>
      <c r="I357" s="184" t="str">
        <f aca="false">ExportRaw!$B357</f>
        <v/>
      </c>
    </row>
    <row r="358" customFormat="false" ht="15.75" hidden="false" customHeight="false" outlineLevel="0" collapsed="false">
      <c r="A358" s="184" t="n">
        <f aca="false">ExportRaw!$F358</f>
        <v>0</v>
      </c>
      <c r="B358" s="184" t="n">
        <f aca="false">ExportRaw!$C358</f>
        <v>0</v>
      </c>
      <c r="C358" s="184" t="n">
        <f aca="false">ExportRaw!$G358</f>
        <v>0</v>
      </c>
      <c r="D358" s="184" t="str">
        <f aca="false">ExportRaw!$E358</f>
        <v/>
      </c>
      <c r="E358" s="185" t="str">
        <f aca="false">ExportRaw!$D358</f>
        <v/>
      </c>
      <c r="F358" s="184" t="str">
        <f aca="false">ExportRaw!$H358</f>
        <v/>
      </c>
      <c r="G358" s="186" t="str">
        <f aca="false">ExportRaw!$I358</f>
        <v/>
      </c>
      <c r="H358" s="184" t="str">
        <f aca="false">ExportRaw!$A358</f>
        <v/>
      </c>
      <c r="I358" s="184" t="str">
        <f aca="false">ExportRaw!$B358</f>
        <v/>
      </c>
    </row>
    <row r="359" customFormat="false" ht="15.75" hidden="false" customHeight="false" outlineLevel="0" collapsed="false">
      <c r="A359" s="184" t="n">
        <f aca="false">ExportRaw!$F359</f>
        <v>0</v>
      </c>
      <c r="B359" s="184" t="n">
        <f aca="false">ExportRaw!$C359</f>
        <v>0</v>
      </c>
      <c r="C359" s="184" t="n">
        <f aca="false">ExportRaw!$G359</f>
        <v>0</v>
      </c>
      <c r="D359" s="184" t="str">
        <f aca="false">ExportRaw!$E359</f>
        <v/>
      </c>
      <c r="E359" s="185" t="str">
        <f aca="false">ExportRaw!$D359</f>
        <v/>
      </c>
      <c r="F359" s="184" t="str">
        <f aca="false">ExportRaw!$H359</f>
        <v/>
      </c>
      <c r="G359" s="186" t="str">
        <f aca="false">ExportRaw!$I359</f>
        <v/>
      </c>
      <c r="H359" s="184" t="str">
        <f aca="false">ExportRaw!$A359</f>
        <v/>
      </c>
      <c r="I359" s="184" t="str">
        <f aca="false">ExportRaw!$B359</f>
        <v/>
      </c>
    </row>
    <row r="360" customFormat="false" ht="15.75" hidden="false" customHeight="false" outlineLevel="0" collapsed="false">
      <c r="A360" s="184" t="n">
        <f aca="false">ExportRaw!$F360</f>
        <v>0</v>
      </c>
      <c r="B360" s="184" t="n">
        <f aca="false">ExportRaw!$C360</f>
        <v>0</v>
      </c>
      <c r="C360" s="184" t="n">
        <f aca="false">ExportRaw!$G360</f>
        <v>0</v>
      </c>
      <c r="D360" s="184" t="str">
        <f aca="false">ExportRaw!$E360</f>
        <v/>
      </c>
      <c r="E360" s="185" t="str">
        <f aca="false">ExportRaw!$D360</f>
        <v/>
      </c>
      <c r="F360" s="184" t="str">
        <f aca="false">ExportRaw!$H360</f>
        <v/>
      </c>
      <c r="G360" s="186" t="str">
        <f aca="false">ExportRaw!$I360</f>
        <v/>
      </c>
      <c r="H360" s="184" t="str">
        <f aca="false">ExportRaw!$A360</f>
        <v/>
      </c>
      <c r="I360" s="184" t="str">
        <f aca="false">ExportRaw!$B360</f>
        <v/>
      </c>
    </row>
    <row r="361" customFormat="false" ht="15.75" hidden="false" customHeight="false" outlineLevel="0" collapsed="false">
      <c r="A361" s="184" t="n">
        <f aca="false">ExportRaw!$F361</f>
        <v>0</v>
      </c>
      <c r="B361" s="184" t="n">
        <f aca="false">ExportRaw!$C361</f>
        <v>0</v>
      </c>
      <c r="C361" s="184" t="n">
        <f aca="false">ExportRaw!$G361</f>
        <v>0</v>
      </c>
      <c r="D361" s="184" t="str">
        <f aca="false">ExportRaw!$E361</f>
        <v/>
      </c>
      <c r="E361" s="185" t="str">
        <f aca="false">ExportRaw!$D361</f>
        <v/>
      </c>
      <c r="F361" s="184" t="str">
        <f aca="false">ExportRaw!$H361</f>
        <v/>
      </c>
      <c r="G361" s="186" t="str">
        <f aca="false">ExportRaw!$I361</f>
        <v/>
      </c>
      <c r="H361" s="184" t="str">
        <f aca="false">ExportRaw!$A361</f>
        <v/>
      </c>
      <c r="I361" s="184" t="str">
        <f aca="false">ExportRaw!$B361</f>
        <v/>
      </c>
    </row>
    <row r="362" customFormat="false" ht="15.75" hidden="false" customHeight="false" outlineLevel="0" collapsed="false">
      <c r="A362" s="184" t="n">
        <f aca="false">ExportRaw!$F362</f>
        <v>0</v>
      </c>
      <c r="B362" s="184" t="n">
        <f aca="false">ExportRaw!$C362</f>
        <v>0</v>
      </c>
      <c r="C362" s="184" t="n">
        <f aca="false">ExportRaw!$G362</f>
        <v>0</v>
      </c>
      <c r="D362" s="184" t="str">
        <f aca="false">ExportRaw!$E362</f>
        <v/>
      </c>
      <c r="E362" s="185" t="str">
        <f aca="false">ExportRaw!$D362</f>
        <v/>
      </c>
      <c r="F362" s="184" t="str">
        <f aca="false">ExportRaw!$H362</f>
        <v/>
      </c>
      <c r="G362" s="186" t="str">
        <f aca="false">ExportRaw!$I362</f>
        <v/>
      </c>
      <c r="H362" s="184" t="str">
        <f aca="false">ExportRaw!$A362</f>
        <v/>
      </c>
      <c r="I362" s="184" t="str">
        <f aca="false">ExportRaw!$B362</f>
        <v/>
      </c>
    </row>
    <row r="363" customFormat="false" ht="15.75" hidden="false" customHeight="false" outlineLevel="0" collapsed="false">
      <c r="A363" s="184" t="n">
        <f aca="false">ExportRaw!$F363</f>
        <v>0</v>
      </c>
      <c r="B363" s="184" t="n">
        <f aca="false">ExportRaw!$C363</f>
        <v>0</v>
      </c>
      <c r="C363" s="184" t="n">
        <f aca="false">ExportRaw!$G363</f>
        <v>0</v>
      </c>
      <c r="D363" s="184" t="str">
        <f aca="false">ExportRaw!$E363</f>
        <v/>
      </c>
      <c r="E363" s="185" t="str">
        <f aca="false">ExportRaw!$D363</f>
        <v/>
      </c>
      <c r="F363" s="184" t="str">
        <f aca="false">ExportRaw!$H363</f>
        <v/>
      </c>
      <c r="G363" s="186" t="str">
        <f aca="false">ExportRaw!$I363</f>
        <v/>
      </c>
      <c r="H363" s="184" t="str">
        <f aca="false">ExportRaw!$A363</f>
        <v/>
      </c>
      <c r="I363" s="184" t="str">
        <f aca="false">ExportRaw!$B363</f>
        <v/>
      </c>
    </row>
    <row r="364" customFormat="false" ht="15.75" hidden="false" customHeight="false" outlineLevel="0" collapsed="false">
      <c r="A364" s="184" t="n">
        <f aca="false">ExportRaw!$F364</f>
        <v>0</v>
      </c>
      <c r="B364" s="184" t="n">
        <f aca="false">ExportRaw!$C364</f>
        <v>0</v>
      </c>
      <c r="C364" s="184" t="n">
        <f aca="false">ExportRaw!$G364</f>
        <v>0</v>
      </c>
      <c r="D364" s="184" t="str">
        <f aca="false">ExportRaw!$E364</f>
        <v/>
      </c>
      <c r="E364" s="185" t="str">
        <f aca="false">ExportRaw!$D364</f>
        <v/>
      </c>
      <c r="F364" s="184" t="str">
        <f aca="false">ExportRaw!$H364</f>
        <v/>
      </c>
      <c r="G364" s="186" t="str">
        <f aca="false">ExportRaw!$I364</f>
        <v/>
      </c>
      <c r="H364" s="184" t="str">
        <f aca="false">ExportRaw!$A364</f>
        <v/>
      </c>
      <c r="I364" s="184" t="str">
        <f aca="false">ExportRaw!$B364</f>
        <v/>
      </c>
    </row>
    <row r="365" customFormat="false" ht="15.75" hidden="false" customHeight="false" outlineLevel="0" collapsed="false">
      <c r="A365" s="184" t="n">
        <f aca="false">ExportRaw!$F365</f>
        <v>0</v>
      </c>
      <c r="B365" s="184" t="n">
        <f aca="false">ExportRaw!$C365</f>
        <v>0</v>
      </c>
      <c r="C365" s="184" t="n">
        <f aca="false">ExportRaw!$G365</f>
        <v>0</v>
      </c>
      <c r="D365" s="184" t="str">
        <f aca="false">ExportRaw!$E365</f>
        <v/>
      </c>
      <c r="E365" s="185" t="str">
        <f aca="false">ExportRaw!$D365</f>
        <v/>
      </c>
      <c r="F365" s="184" t="str">
        <f aca="false">ExportRaw!$H365</f>
        <v/>
      </c>
      <c r="G365" s="186" t="str">
        <f aca="false">ExportRaw!$I365</f>
        <v/>
      </c>
      <c r="H365" s="184" t="str">
        <f aca="false">ExportRaw!$A365</f>
        <v/>
      </c>
      <c r="I365" s="184" t="str">
        <f aca="false">ExportRaw!$B365</f>
        <v/>
      </c>
    </row>
    <row r="366" customFormat="false" ht="15.75" hidden="false" customHeight="false" outlineLevel="0" collapsed="false">
      <c r="A366" s="184" t="n">
        <f aca="false">ExportRaw!$F366</f>
        <v>0</v>
      </c>
      <c r="B366" s="184" t="n">
        <f aca="false">ExportRaw!$C366</f>
        <v>0</v>
      </c>
      <c r="C366" s="184" t="n">
        <f aca="false">ExportRaw!$G366</f>
        <v>0</v>
      </c>
      <c r="D366" s="184" t="str">
        <f aca="false">ExportRaw!$E366</f>
        <v/>
      </c>
      <c r="E366" s="185" t="str">
        <f aca="false">ExportRaw!$D366</f>
        <v/>
      </c>
      <c r="F366" s="184" t="str">
        <f aca="false">ExportRaw!$H366</f>
        <v/>
      </c>
      <c r="G366" s="186" t="str">
        <f aca="false">ExportRaw!$I366</f>
        <v/>
      </c>
      <c r="H366" s="184" t="str">
        <f aca="false">ExportRaw!$A366</f>
        <v/>
      </c>
      <c r="I366" s="184" t="str">
        <f aca="false">ExportRaw!$B366</f>
        <v/>
      </c>
    </row>
    <row r="367" customFormat="false" ht="15.75" hidden="false" customHeight="false" outlineLevel="0" collapsed="false">
      <c r="A367" s="184" t="n">
        <f aca="false">ExportRaw!$F367</f>
        <v>0</v>
      </c>
      <c r="B367" s="184" t="n">
        <f aca="false">ExportRaw!$C367</f>
        <v>0</v>
      </c>
      <c r="C367" s="184" t="n">
        <f aca="false">ExportRaw!$G367</f>
        <v>0</v>
      </c>
      <c r="D367" s="184" t="str">
        <f aca="false">ExportRaw!$E367</f>
        <v/>
      </c>
      <c r="E367" s="185" t="str">
        <f aca="false">ExportRaw!$D367</f>
        <v/>
      </c>
      <c r="F367" s="184" t="str">
        <f aca="false">ExportRaw!$H367</f>
        <v/>
      </c>
      <c r="G367" s="186" t="str">
        <f aca="false">ExportRaw!$I367</f>
        <v/>
      </c>
      <c r="H367" s="184" t="str">
        <f aca="false">ExportRaw!$A367</f>
        <v/>
      </c>
      <c r="I367" s="184" t="str">
        <f aca="false">ExportRaw!$B367</f>
        <v/>
      </c>
    </row>
    <row r="368" customFormat="false" ht="15.75" hidden="false" customHeight="false" outlineLevel="0" collapsed="false">
      <c r="A368" s="184" t="n">
        <f aca="false">ExportRaw!$F368</f>
        <v>0</v>
      </c>
      <c r="B368" s="184" t="n">
        <f aca="false">ExportRaw!$C368</f>
        <v>0</v>
      </c>
      <c r="C368" s="184" t="n">
        <f aca="false">ExportRaw!$G368</f>
        <v>0</v>
      </c>
      <c r="D368" s="184" t="str">
        <f aca="false">ExportRaw!$E368</f>
        <v/>
      </c>
      <c r="E368" s="185" t="str">
        <f aca="false">ExportRaw!$D368</f>
        <v/>
      </c>
      <c r="F368" s="184" t="str">
        <f aca="false">ExportRaw!$H368</f>
        <v/>
      </c>
      <c r="G368" s="186" t="str">
        <f aca="false">ExportRaw!$I368</f>
        <v/>
      </c>
      <c r="H368" s="184" t="str">
        <f aca="false">ExportRaw!$A368</f>
        <v/>
      </c>
      <c r="I368" s="184" t="str">
        <f aca="false">ExportRaw!$B368</f>
        <v/>
      </c>
    </row>
    <row r="369" customFormat="false" ht="15.75" hidden="false" customHeight="false" outlineLevel="0" collapsed="false">
      <c r="A369" s="184" t="n">
        <f aca="false">ExportRaw!$F369</f>
        <v>0</v>
      </c>
      <c r="B369" s="184" t="n">
        <f aca="false">ExportRaw!$C369</f>
        <v>0</v>
      </c>
      <c r="C369" s="184" t="n">
        <f aca="false">ExportRaw!$G369</f>
        <v>0</v>
      </c>
      <c r="D369" s="184" t="str">
        <f aca="false">ExportRaw!$E369</f>
        <v/>
      </c>
      <c r="E369" s="185" t="str">
        <f aca="false">ExportRaw!$D369</f>
        <v/>
      </c>
      <c r="F369" s="184" t="str">
        <f aca="false">ExportRaw!$H369</f>
        <v/>
      </c>
      <c r="G369" s="186" t="str">
        <f aca="false">ExportRaw!$I369</f>
        <v/>
      </c>
      <c r="H369" s="184" t="str">
        <f aca="false">ExportRaw!$A369</f>
        <v/>
      </c>
      <c r="I369" s="184" t="str">
        <f aca="false">ExportRaw!$B369</f>
        <v/>
      </c>
    </row>
    <row r="370" customFormat="false" ht="15.75" hidden="false" customHeight="false" outlineLevel="0" collapsed="false">
      <c r="A370" s="184" t="n">
        <f aca="false">ExportRaw!$F370</f>
        <v>0</v>
      </c>
      <c r="B370" s="184" t="n">
        <f aca="false">ExportRaw!$C370</f>
        <v>0</v>
      </c>
      <c r="C370" s="184" t="n">
        <f aca="false">ExportRaw!$G370</f>
        <v>0</v>
      </c>
      <c r="D370" s="184" t="str">
        <f aca="false">ExportRaw!$E370</f>
        <v/>
      </c>
      <c r="E370" s="185" t="str">
        <f aca="false">ExportRaw!$D370</f>
        <v/>
      </c>
      <c r="F370" s="184" t="str">
        <f aca="false">ExportRaw!$H370</f>
        <v/>
      </c>
      <c r="G370" s="186" t="str">
        <f aca="false">ExportRaw!$I370</f>
        <v/>
      </c>
      <c r="H370" s="184" t="str">
        <f aca="false">ExportRaw!$A370</f>
        <v/>
      </c>
      <c r="I370" s="184" t="str">
        <f aca="false">ExportRaw!$B370</f>
        <v/>
      </c>
    </row>
    <row r="371" customFormat="false" ht="15.75" hidden="false" customHeight="false" outlineLevel="0" collapsed="false">
      <c r="A371" s="184" t="n">
        <f aca="false">ExportRaw!$F371</f>
        <v>0</v>
      </c>
      <c r="B371" s="184" t="n">
        <f aca="false">ExportRaw!$C371</f>
        <v>0</v>
      </c>
      <c r="C371" s="184" t="n">
        <f aca="false">ExportRaw!$G371</f>
        <v>0</v>
      </c>
      <c r="D371" s="184" t="str">
        <f aca="false">ExportRaw!$E371</f>
        <v/>
      </c>
      <c r="E371" s="185" t="str">
        <f aca="false">ExportRaw!$D371</f>
        <v/>
      </c>
      <c r="F371" s="184" t="str">
        <f aca="false">ExportRaw!$H371</f>
        <v/>
      </c>
      <c r="G371" s="186" t="str">
        <f aca="false">ExportRaw!$I371</f>
        <v/>
      </c>
      <c r="H371" s="184" t="str">
        <f aca="false">ExportRaw!$A371</f>
        <v/>
      </c>
      <c r="I371" s="184" t="str">
        <f aca="false">ExportRaw!$B371</f>
        <v/>
      </c>
    </row>
    <row r="372" customFormat="false" ht="15.75" hidden="false" customHeight="false" outlineLevel="0" collapsed="false">
      <c r="A372" s="184" t="n">
        <f aca="false">ExportRaw!$F372</f>
        <v>0</v>
      </c>
      <c r="B372" s="184" t="n">
        <f aca="false">ExportRaw!$C372</f>
        <v>0</v>
      </c>
      <c r="C372" s="184" t="n">
        <f aca="false">ExportRaw!$G372</f>
        <v>0</v>
      </c>
      <c r="D372" s="184" t="str">
        <f aca="false">ExportRaw!$E372</f>
        <v/>
      </c>
      <c r="E372" s="185" t="str">
        <f aca="false">ExportRaw!$D372</f>
        <v/>
      </c>
      <c r="F372" s="184" t="str">
        <f aca="false">ExportRaw!$H372</f>
        <v/>
      </c>
      <c r="G372" s="186" t="str">
        <f aca="false">ExportRaw!$I372</f>
        <v/>
      </c>
      <c r="H372" s="184" t="str">
        <f aca="false">ExportRaw!$A372</f>
        <v/>
      </c>
      <c r="I372" s="184" t="str">
        <f aca="false">ExportRaw!$B372</f>
        <v/>
      </c>
    </row>
    <row r="373" customFormat="false" ht="15.75" hidden="false" customHeight="false" outlineLevel="0" collapsed="false">
      <c r="A373" s="184" t="n">
        <f aca="false">ExportRaw!$F373</f>
        <v>0</v>
      </c>
      <c r="B373" s="184" t="n">
        <f aca="false">ExportRaw!$C373</f>
        <v>0</v>
      </c>
      <c r="C373" s="184" t="n">
        <f aca="false">ExportRaw!$G373</f>
        <v>0</v>
      </c>
      <c r="D373" s="184" t="str">
        <f aca="false">ExportRaw!$E373</f>
        <v/>
      </c>
      <c r="E373" s="185" t="str">
        <f aca="false">ExportRaw!$D373</f>
        <v/>
      </c>
      <c r="F373" s="184" t="str">
        <f aca="false">ExportRaw!$H373</f>
        <v/>
      </c>
      <c r="G373" s="186" t="str">
        <f aca="false">ExportRaw!$I373</f>
        <v/>
      </c>
      <c r="H373" s="184" t="str">
        <f aca="false">ExportRaw!$A373</f>
        <v/>
      </c>
      <c r="I373" s="184" t="str">
        <f aca="false">ExportRaw!$B373</f>
        <v/>
      </c>
    </row>
    <row r="374" customFormat="false" ht="15.75" hidden="false" customHeight="false" outlineLevel="0" collapsed="false">
      <c r="A374" s="184" t="n">
        <f aca="false">ExportRaw!$F374</f>
        <v>0</v>
      </c>
      <c r="B374" s="184" t="n">
        <f aca="false">ExportRaw!$C374</f>
        <v>0</v>
      </c>
      <c r="C374" s="184" t="n">
        <f aca="false">ExportRaw!$G374</f>
        <v>0</v>
      </c>
      <c r="D374" s="184" t="str">
        <f aca="false">ExportRaw!$E374</f>
        <v/>
      </c>
      <c r="E374" s="185" t="str">
        <f aca="false">ExportRaw!$D374</f>
        <v/>
      </c>
      <c r="F374" s="184" t="str">
        <f aca="false">ExportRaw!$H374</f>
        <v/>
      </c>
      <c r="G374" s="186" t="str">
        <f aca="false">ExportRaw!$I374</f>
        <v/>
      </c>
      <c r="H374" s="184" t="str">
        <f aca="false">ExportRaw!$A374</f>
        <v/>
      </c>
      <c r="I374" s="184" t="str">
        <f aca="false">ExportRaw!$B374</f>
        <v/>
      </c>
    </row>
    <row r="375" customFormat="false" ht="15.75" hidden="false" customHeight="false" outlineLevel="0" collapsed="false">
      <c r="A375" s="184" t="n">
        <f aca="false">ExportRaw!$F375</f>
        <v>0</v>
      </c>
      <c r="B375" s="184" t="n">
        <f aca="false">ExportRaw!$C375</f>
        <v>0</v>
      </c>
      <c r="C375" s="184" t="n">
        <f aca="false">ExportRaw!$G375</f>
        <v>0</v>
      </c>
      <c r="D375" s="184" t="str">
        <f aca="false">ExportRaw!$E375</f>
        <v/>
      </c>
      <c r="E375" s="185" t="str">
        <f aca="false">ExportRaw!$D375</f>
        <v/>
      </c>
      <c r="F375" s="184" t="str">
        <f aca="false">ExportRaw!$H375</f>
        <v/>
      </c>
      <c r="G375" s="186" t="str">
        <f aca="false">ExportRaw!$I375</f>
        <v/>
      </c>
      <c r="H375" s="184" t="str">
        <f aca="false">ExportRaw!$A375</f>
        <v/>
      </c>
      <c r="I375" s="184" t="str">
        <f aca="false">ExportRaw!$B375</f>
        <v/>
      </c>
    </row>
    <row r="376" customFormat="false" ht="15.75" hidden="false" customHeight="false" outlineLevel="0" collapsed="false">
      <c r="A376" s="184" t="n">
        <f aca="false">ExportRaw!$F376</f>
        <v>0</v>
      </c>
      <c r="B376" s="184" t="n">
        <f aca="false">ExportRaw!$C376</f>
        <v>0</v>
      </c>
      <c r="C376" s="184" t="n">
        <f aca="false">ExportRaw!$G376</f>
        <v>0</v>
      </c>
      <c r="D376" s="184" t="str">
        <f aca="false">ExportRaw!$E376</f>
        <v/>
      </c>
      <c r="E376" s="185" t="str">
        <f aca="false">ExportRaw!$D376</f>
        <v/>
      </c>
      <c r="F376" s="184" t="str">
        <f aca="false">ExportRaw!$H376</f>
        <v/>
      </c>
      <c r="G376" s="186" t="str">
        <f aca="false">ExportRaw!$I376</f>
        <v/>
      </c>
      <c r="H376" s="184" t="str">
        <f aca="false">ExportRaw!$A376</f>
        <v/>
      </c>
      <c r="I376" s="184" t="str">
        <f aca="false">ExportRaw!$B376</f>
        <v/>
      </c>
    </row>
    <row r="377" customFormat="false" ht="15.75" hidden="false" customHeight="false" outlineLevel="0" collapsed="false">
      <c r="A377" s="184" t="n">
        <f aca="false">ExportRaw!$F377</f>
        <v>0</v>
      </c>
      <c r="B377" s="184" t="n">
        <f aca="false">ExportRaw!$C377</f>
        <v>0</v>
      </c>
      <c r="C377" s="184" t="n">
        <f aca="false">ExportRaw!$G377</f>
        <v>0</v>
      </c>
      <c r="D377" s="184" t="str">
        <f aca="false">ExportRaw!$E377</f>
        <v/>
      </c>
      <c r="E377" s="185" t="str">
        <f aca="false">ExportRaw!$D377</f>
        <v/>
      </c>
      <c r="F377" s="184" t="str">
        <f aca="false">ExportRaw!$H377</f>
        <v/>
      </c>
      <c r="G377" s="186" t="str">
        <f aca="false">ExportRaw!$I377</f>
        <v/>
      </c>
      <c r="H377" s="184" t="str">
        <f aca="false">ExportRaw!$A377</f>
        <v/>
      </c>
      <c r="I377" s="184" t="str">
        <f aca="false">ExportRaw!$B377</f>
        <v/>
      </c>
    </row>
    <row r="378" customFormat="false" ht="15.75" hidden="false" customHeight="false" outlineLevel="0" collapsed="false">
      <c r="A378" s="184" t="n">
        <f aca="false">ExportRaw!$F378</f>
        <v>0</v>
      </c>
      <c r="B378" s="184" t="n">
        <f aca="false">ExportRaw!$C378</f>
        <v>0</v>
      </c>
      <c r="C378" s="184" t="n">
        <f aca="false">ExportRaw!$G378</f>
        <v>0</v>
      </c>
      <c r="D378" s="184" t="str">
        <f aca="false">ExportRaw!$E378</f>
        <v/>
      </c>
      <c r="E378" s="185" t="str">
        <f aca="false">ExportRaw!$D378</f>
        <v/>
      </c>
      <c r="F378" s="184" t="str">
        <f aca="false">ExportRaw!$H378</f>
        <v/>
      </c>
      <c r="G378" s="186" t="str">
        <f aca="false">ExportRaw!$I378</f>
        <v/>
      </c>
      <c r="H378" s="184" t="str">
        <f aca="false">ExportRaw!$A378</f>
        <v/>
      </c>
      <c r="I378" s="184" t="str">
        <f aca="false">ExportRaw!$B378</f>
        <v/>
      </c>
    </row>
    <row r="379" customFormat="false" ht="15.75" hidden="false" customHeight="false" outlineLevel="0" collapsed="false">
      <c r="A379" s="184" t="n">
        <f aca="false">ExportRaw!$F379</f>
        <v>0</v>
      </c>
      <c r="B379" s="184" t="n">
        <f aca="false">ExportRaw!$C379</f>
        <v>0</v>
      </c>
      <c r="C379" s="184" t="n">
        <f aca="false">ExportRaw!$G379</f>
        <v>0</v>
      </c>
      <c r="D379" s="184" t="str">
        <f aca="false">ExportRaw!$E379</f>
        <v/>
      </c>
      <c r="E379" s="185" t="str">
        <f aca="false">ExportRaw!$D379</f>
        <v/>
      </c>
      <c r="F379" s="184" t="str">
        <f aca="false">ExportRaw!$H379</f>
        <v/>
      </c>
      <c r="G379" s="186" t="str">
        <f aca="false">ExportRaw!$I379</f>
        <v/>
      </c>
      <c r="H379" s="184" t="str">
        <f aca="false">ExportRaw!$A379</f>
        <v/>
      </c>
      <c r="I379" s="184" t="str">
        <f aca="false">ExportRaw!$B379</f>
        <v/>
      </c>
    </row>
    <row r="380" customFormat="false" ht="15.75" hidden="false" customHeight="false" outlineLevel="0" collapsed="false">
      <c r="A380" s="184" t="n">
        <f aca="false">ExportRaw!$F380</f>
        <v>0</v>
      </c>
      <c r="B380" s="184" t="n">
        <f aca="false">ExportRaw!$C380</f>
        <v>0</v>
      </c>
      <c r="C380" s="184" t="n">
        <f aca="false">ExportRaw!$G380</f>
        <v>0</v>
      </c>
      <c r="D380" s="184" t="str">
        <f aca="false">ExportRaw!$E380</f>
        <v/>
      </c>
      <c r="E380" s="185" t="str">
        <f aca="false">ExportRaw!$D380</f>
        <v/>
      </c>
      <c r="F380" s="184" t="str">
        <f aca="false">ExportRaw!$H380</f>
        <v/>
      </c>
      <c r="G380" s="186" t="str">
        <f aca="false">ExportRaw!$I380</f>
        <v/>
      </c>
      <c r="H380" s="184" t="str">
        <f aca="false">ExportRaw!$A380</f>
        <v/>
      </c>
      <c r="I380" s="184" t="str">
        <f aca="false">ExportRaw!$B380</f>
        <v/>
      </c>
    </row>
    <row r="381" customFormat="false" ht="15.75" hidden="false" customHeight="false" outlineLevel="0" collapsed="false">
      <c r="A381" s="184" t="n">
        <f aca="false">ExportRaw!$F381</f>
        <v>0</v>
      </c>
      <c r="B381" s="184" t="n">
        <f aca="false">ExportRaw!$C381</f>
        <v>0</v>
      </c>
      <c r="C381" s="184" t="n">
        <f aca="false">ExportRaw!$G381</f>
        <v>0</v>
      </c>
      <c r="D381" s="184" t="str">
        <f aca="false">ExportRaw!$E381</f>
        <v/>
      </c>
      <c r="E381" s="185" t="str">
        <f aca="false">ExportRaw!$D381</f>
        <v/>
      </c>
      <c r="F381" s="184" t="str">
        <f aca="false">ExportRaw!$H381</f>
        <v/>
      </c>
      <c r="G381" s="186" t="str">
        <f aca="false">ExportRaw!$I381</f>
        <v/>
      </c>
      <c r="H381" s="184" t="str">
        <f aca="false">ExportRaw!$A381</f>
        <v/>
      </c>
      <c r="I381" s="184" t="str">
        <f aca="false">ExportRaw!$B381</f>
        <v/>
      </c>
    </row>
    <row r="382" customFormat="false" ht="15.75" hidden="false" customHeight="false" outlineLevel="0" collapsed="false">
      <c r="A382" s="184" t="n">
        <f aca="false">ExportRaw!$F382</f>
        <v>0</v>
      </c>
      <c r="B382" s="184" t="n">
        <f aca="false">ExportRaw!$C382</f>
        <v>0</v>
      </c>
      <c r="C382" s="184" t="n">
        <f aca="false">ExportRaw!$G382</f>
        <v>0</v>
      </c>
      <c r="D382" s="184" t="str">
        <f aca="false">ExportRaw!$E382</f>
        <v/>
      </c>
      <c r="E382" s="185" t="str">
        <f aca="false">ExportRaw!$D382</f>
        <v/>
      </c>
      <c r="F382" s="184" t="str">
        <f aca="false">ExportRaw!$H382</f>
        <v/>
      </c>
      <c r="G382" s="186" t="str">
        <f aca="false">ExportRaw!$I382</f>
        <v/>
      </c>
      <c r="H382" s="184" t="str">
        <f aca="false">ExportRaw!$A382</f>
        <v/>
      </c>
      <c r="I382" s="184" t="str">
        <f aca="false">ExportRaw!$B382</f>
        <v/>
      </c>
    </row>
    <row r="383" customFormat="false" ht="15.75" hidden="false" customHeight="false" outlineLevel="0" collapsed="false">
      <c r="A383" s="184" t="n">
        <f aca="false">ExportRaw!$F383</f>
        <v>0</v>
      </c>
      <c r="B383" s="184" t="n">
        <f aca="false">ExportRaw!$C383</f>
        <v>0</v>
      </c>
      <c r="C383" s="184" t="n">
        <f aca="false">ExportRaw!$G383</f>
        <v>0</v>
      </c>
      <c r="D383" s="184" t="str">
        <f aca="false">ExportRaw!$E383</f>
        <v/>
      </c>
      <c r="E383" s="185" t="str">
        <f aca="false">ExportRaw!$D383</f>
        <v/>
      </c>
      <c r="F383" s="184" t="str">
        <f aca="false">ExportRaw!$H383</f>
        <v/>
      </c>
      <c r="G383" s="186" t="str">
        <f aca="false">ExportRaw!$I383</f>
        <v/>
      </c>
      <c r="H383" s="184" t="str">
        <f aca="false">ExportRaw!$A383</f>
        <v/>
      </c>
      <c r="I383" s="184" t="str">
        <f aca="false">ExportRaw!$B383</f>
        <v/>
      </c>
    </row>
    <row r="384" customFormat="false" ht="15.75" hidden="false" customHeight="false" outlineLevel="0" collapsed="false">
      <c r="A384" s="184" t="n">
        <f aca="false">ExportRaw!$F384</f>
        <v>0</v>
      </c>
      <c r="B384" s="184" t="n">
        <f aca="false">ExportRaw!$C384</f>
        <v>0</v>
      </c>
      <c r="C384" s="184" t="n">
        <f aca="false">ExportRaw!$G384</f>
        <v>0</v>
      </c>
      <c r="D384" s="184" t="str">
        <f aca="false">ExportRaw!$E384</f>
        <v/>
      </c>
      <c r="E384" s="185" t="str">
        <f aca="false">ExportRaw!$D384</f>
        <v/>
      </c>
      <c r="F384" s="184" t="str">
        <f aca="false">ExportRaw!$H384</f>
        <v/>
      </c>
      <c r="G384" s="186" t="str">
        <f aca="false">ExportRaw!$I384</f>
        <v/>
      </c>
      <c r="H384" s="184" t="str">
        <f aca="false">ExportRaw!$A384</f>
        <v/>
      </c>
      <c r="I384" s="184" t="str">
        <f aca="false">ExportRaw!$B384</f>
        <v/>
      </c>
    </row>
    <row r="385" customFormat="false" ht="15.75" hidden="false" customHeight="false" outlineLevel="0" collapsed="false">
      <c r="A385" s="184" t="n">
        <f aca="false">ExportRaw!$F385</f>
        <v>0</v>
      </c>
      <c r="B385" s="184" t="n">
        <f aca="false">ExportRaw!$C385</f>
        <v>0</v>
      </c>
      <c r="C385" s="184" t="n">
        <f aca="false">ExportRaw!$G385</f>
        <v>0</v>
      </c>
      <c r="D385" s="184" t="str">
        <f aca="false">ExportRaw!$E385</f>
        <v/>
      </c>
      <c r="E385" s="185" t="str">
        <f aca="false">ExportRaw!$D385</f>
        <v/>
      </c>
      <c r="F385" s="184" t="str">
        <f aca="false">ExportRaw!$H385</f>
        <v/>
      </c>
      <c r="G385" s="186" t="str">
        <f aca="false">ExportRaw!$I385</f>
        <v/>
      </c>
      <c r="H385" s="184" t="str">
        <f aca="false">ExportRaw!$A385</f>
        <v/>
      </c>
      <c r="I385" s="184" t="str">
        <f aca="false">ExportRaw!$B385</f>
        <v/>
      </c>
    </row>
    <row r="386" customFormat="false" ht="15.75" hidden="false" customHeight="false" outlineLevel="0" collapsed="false">
      <c r="A386" s="184" t="n">
        <f aca="false">ExportRaw!$F386</f>
        <v>0</v>
      </c>
      <c r="B386" s="184" t="n">
        <f aca="false">ExportRaw!$C386</f>
        <v>0</v>
      </c>
      <c r="C386" s="184" t="n">
        <f aca="false">ExportRaw!$G386</f>
        <v>0</v>
      </c>
      <c r="D386" s="184" t="str">
        <f aca="false">ExportRaw!$E386</f>
        <v/>
      </c>
      <c r="E386" s="185" t="str">
        <f aca="false">ExportRaw!$D386</f>
        <v/>
      </c>
      <c r="F386" s="184" t="str">
        <f aca="false">ExportRaw!$H386</f>
        <v/>
      </c>
      <c r="G386" s="186" t="str">
        <f aca="false">ExportRaw!$I386</f>
        <v/>
      </c>
      <c r="H386" s="184" t="str">
        <f aca="false">ExportRaw!$A386</f>
        <v/>
      </c>
      <c r="I386" s="184" t="str">
        <f aca="false">ExportRaw!$B386</f>
        <v/>
      </c>
    </row>
    <row r="387" customFormat="false" ht="15.75" hidden="false" customHeight="false" outlineLevel="0" collapsed="false">
      <c r="A387" s="184" t="n">
        <f aca="false">ExportRaw!$F387</f>
        <v>0</v>
      </c>
      <c r="B387" s="184" t="n">
        <f aca="false">ExportRaw!$C387</f>
        <v>0</v>
      </c>
      <c r="C387" s="184" t="n">
        <f aca="false">ExportRaw!$G387</f>
        <v>0</v>
      </c>
      <c r="D387" s="184" t="str">
        <f aca="false">ExportRaw!$E387</f>
        <v/>
      </c>
      <c r="E387" s="185" t="str">
        <f aca="false">ExportRaw!$D387</f>
        <v/>
      </c>
      <c r="F387" s="184" t="str">
        <f aca="false">ExportRaw!$H387</f>
        <v/>
      </c>
      <c r="G387" s="186" t="str">
        <f aca="false">ExportRaw!$I387</f>
        <v/>
      </c>
      <c r="H387" s="184" t="str">
        <f aca="false">ExportRaw!$A387</f>
        <v/>
      </c>
      <c r="I387" s="184" t="str">
        <f aca="false">ExportRaw!$B387</f>
        <v/>
      </c>
    </row>
    <row r="388" customFormat="false" ht="15.75" hidden="false" customHeight="false" outlineLevel="0" collapsed="false">
      <c r="A388" s="184" t="n">
        <f aca="false">ExportRaw!$F388</f>
        <v>0</v>
      </c>
      <c r="B388" s="184" t="n">
        <f aca="false">ExportRaw!$C388</f>
        <v>0</v>
      </c>
      <c r="C388" s="184" t="n">
        <f aca="false">ExportRaw!$G388</f>
        <v>0</v>
      </c>
      <c r="D388" s="184" t="str">
        <f aca="false">ExportRaw!$E388</f>
        <v/>
      </c>
      <c r="E388" s="185" t="str">
        <f aca="false">ExportRaw!$D388</f>
        <v/>
      </c>
      <c r="F388" s="184" t="str">
        <f aca="false">ExportRaw!$H388</f>
        <v/>
      </c>
      <c r="G388" s="186" t="str">
        <f aca="false">ExportRaw!$I388</f>
        <v/>
      </c>
      <c r="H388" s="184" t="str">
        <f aca="false">ExportRaw!$A388</f>
        <v/>
      </c>
      <c r="I388" s="184" t="str">
        <f aca="false">ExportRaw!$B388</f>
        <v/>
      </c>
    </row>
    <row r="389" customFormat="false" ht="15.75" hidden="false" customHeight="false" outlineLevel="0" collapsed="false">
      <c r="A389" s="184" t="n">
        <f aca="false">ExportRaw!$F389</f>
        <v>0</v>
      </c>
      <c r="B389" s="184" t="n">
        <f aca="false">ExportRaw!$C389</f>
        <v>0</v>
      </c>
      <c r="C389" s="184" t="n">
        <f aca="false">ExportRaw!$G389</f>
        <v>0</v>
      </c>
      <c r="D389" s="184" t="str">
        <f aca="false">ExportRaw!$E389</f>
        <v/>
      </c>
      <c r="E389" s="185" t="str">
        <f aca="false">ExportRaw!$D389</f>
        <v/>
      </c>
      <c r="F389" s="184" t="str">
        <f aca="false">ExportRaw!$H389</f>
        <v/>
      </c>
      <c r="G389" s="186" t="str">
        <f aca="false">ExportRaw!$I389</f>
        <v/>
      </c>
      <c r="H389" s="184" t="str">
        <f aca="false">ExportRaw!$A389</f>
        <v/>
      </c>
      <c r="I389" s="184" t="str">
        <f aca="false">ExportRaw!$B389</f>
        <v/>
      </c>
    </row>
    <row r="390" customFormat="false" ht="15.75" hidden="false" customHeight="false" outlineLevel="0" collapsed="false">
      <c r="A390" s="184" t="n">
        <f aca="false">ExportRaw!$F390</f>
        <v>0</v>
      </c>
      <c r="B390" s="184" t="n">
        <f aca="false">ExportRaw!$C390</f>
        <v>0</v>
      </c>
      <c r="C390" s="184" t="n">
        <f aca="false">ExportRaw!$G390</f>
        <v>0</v>
      </c>
      <c r="D390" s="184" t="str">
        <f aca="false">ExportRaw!$E390</f>
        <v/>
      </c>
      <c r="E390" s="185" t="str">
        <f aca="false">ExportRaw!$D390</f>
        <v/>
      </c>
      <c r="F390" s="184" t="str">
        <f aca="false">ExportRaw!$H390</f>
        <v/>
      </c>
      <c r="G390" s="186" t="str">
        <f aca="false">ExportRaw!$I390</f>
        <v/>
      </c>
      <c r="H390" s="184" t="str">
        <f aca="false">ExportRaw!$A390</f>
        <v/>
      </c>
      <c r="I390" s="184" t="str">
        <f aca="false">ExportRaw!$B390</f>
        <v/>
      </c>
    </row>
    <row r="391" customFormat="false" ht="15.75" hidden="false" customHeight="false" outlineLevel="0" collapsed="false">
      <c r="A391" s="184" t="n">
        <f aca="false">ExportRaw!$F391</f>
        <v>0</v>
      </c>
      <c r="B391" s="184" t="n">
        <f aca="false">ExportRaw!$C391</f>
        <v>0</v>
      </c>
      <c r="C391" s="184" t="n">
        <f aca="false">ExportRaw!$G391</f>
        <v>0</v>
      </c>
      <c r="D391" s="184" t="str">
        <f aca="false">ExportRaw!$E391</f>
        <v/>
      </c>
      <c r="E391" s="185" t="str">
        <f aca="false">ExportRaw!$D391</f>
        <v/>
      </c>
      <c r="F391" s="184" t="str">
        <f aca="false">ExportRaw!$H391</f>
        <v/>
      </c>
      <c r="G391" s="186" t="str">
        <f aca="false">ExportRaw!$I391</f>
        <v/>
      </c>
      <c r="H391" s="184" t="str">
        <f aca="false">ExportRaw!$A391</f>
        <v/>
      </c>
      <c r="I391" s="184" t="str">
        <f aca="false">ExportRaw!$B391</f>
        <v/>
      </c>
    </row>
    <row r="392" customFormat="false" ht="15.75" hidden="false" customHeight="false" outlineLevel="0" collapsed="false">
      <c r="A392" s="184" t="n">
        <f aca="false">ExportRaw!$F392</f>
        <v>0</v>
      </c>
      <c r="B392" s="184" t="n">
        <f aca="false">ExportRaw!$C392</f>
        <v>0</v>
      </c>
      <c r="C392" s="184" t="n">
        <f aca="false">ExportRaw!$G392</f>
        <v>0</v>
      </c>
      <c r="D392" s="184" t="str">
        <f aca="false">ExportRaw!$E392</f>
        <v/>
      </c>
      <c r="E392" s="185" t="str">
        <f aca="false">ExportRaw!$D392</f>
        <v/>
      </c>
      <c r="F392" s="184" t="str">
        <f aca="false">ExportRaw!$H392</f>
        <v/>
      </c>
      <c r="G392" s="186" t="str">
        <f aca="false">ExportRaw!$I392</f>
        <v/>
      </c>
      <c r="H392" s="184" t="str">
        <f aca="false">ExportRaw!$A392</f>
        <v/>
      </c>
      <c r="I392" s="184" t="str">
        <f aca="false">ExportRaw!$B392</f>
        <v/>
      </c>
    </row>
    <row r="393" customFormat="false" ht="15.75" hidden="false" customHeight="false" outlineLevel="0" collapsed="false">
      <c r="A393" s="184" t="n">
        <f aca="false">ExportRaw!$F393</f>
        <v>0</v>
      </c>
      <c r="B393" s="184" t="n">
        <f aca="false">ExportRaw!$C393</f>
        <v>0</v>
      </c>
      <c r="C393" s="184" t="n">
        <f aca="false">ExportRaw!$G393</f>
        <v>0</v>
      </c>
      <c r="D393" s="184" t="str">
        <f aca="false">ExportRaw!$E393</f>
        <v/>
      </c>
      <c r="E393" s="185" t="str">
        <f aca="false">ExportRaw!$D393</f>
        <v/>
      </c>
      <c r="F393" s="184" t="str">
        <f aca="false">ExportRaw!$H393</f>
        <v/>
      </c>
      <c r="G393" s="186" t="str">
        <f aca="false">ExportRaw!$I393</f>
        <v/>
      </c>
      <c r="H393" s="184" t="str">
        <f aca="false">ExportRaw!$A393</f>
        <v/>
      </c>
      <c r="I393" s="184" t="str">
        <f aca="false">ExportRaw!$B393</f>
        <v/>
      </c>
    </row>
    <row r="394" customFormat="false" ht="15.75" hidden="false" customHeight="false" outlineLevel="0" collapsed="false">
      <c r="A394" s="184" t="n">
        <f aca="false">ExportRaw!$F394</f>
        <v>0</v>
      </c>
      <c r="B394" s="184" t="n">
        <f aca="false">ExportRaw!$C394</f>
        <v>0</v>
      </c>
      <c r="C394" s="184" t="n">
        <f aca="false">ExportRaw!$G394</f>
        <v>0</v>
      </c>
      <c r="D394" s="184" t="str">
        <f aca="false">ExportRaw!$E394</f>
        <v/>
      </c>
      <c r="E394" s="185" t="str">
        <f aca="false">ExportRaw!$D394</f>
        <v/>
      </c>
      <c r="F394" s="184" t="str">
        <f aca="false">ExportRaw!$H394</f>
        <v/>
      </c>
      <c r="G394" s="186" t="str">
        <f aca="false">ExportRaw!$I394</f>
        <v/>
      </c>
      <c r="H394" s="184" t="str">
        <f aca="false">ExportRaw!$A394</f>
        <v/>
      </c>
      <c r="I394" s="184" t="str">
        <f aca="false">ExportRaw!$B394</f>
        <v/>
      </c>
    </row>
    <row r="395" customFormat="false" ht="15.75" hidden="false" customHeight="false" outlineLevel="0" collapsed="false">
      <c r="A395" s="184" t="n">
        <f aca="false">ExportRaw!$F395</f>
        <v>0</v>
      </c>
      <c r="B395" s="184" t="n">
        <f aca="false">ExportRaw!$C395</f>
        <v>0</v>
      </c>
      <c r="C395" s="184" t="n">
        <f aca="false">ExportRaw!$G395</f>
        <v>0</v>
      </c>
      <c r="D395" s="184" t="str">
        <f aca="false">ExportRaw!$E395</f>
        <v/>
      </c>
      <c r="E395" s="185" t="str">
        <f aca="false">ExportRaw!$D395</f>
        <v/>
      </c>
      <c r="F395" s="184" t="str">
        <f aca="false">ExportRaw!$H395</f>
        <v/>
      </c>
      <c r="G395" s="186" t="str">
        <f aca="false">ExportRaw!$I395</f>
        <v/>
      </c>
      <c r="H395" s="184" t="str">
        <f aca="false">ExportRaw!$A395</f>
        <v/>
      </c>
      <c r="I395" s="184" t="str">
        <f aca="false">ExportRaw!$B395</f>
        <v/>
      </c>
    </row>
    <row r="396" customFormat="false" ht="15.75" hidden="false" customHeight="false" outlineLevel="0" collapsed="false">
      <c r="A396" s="184" t="n">
        <f aca="false">ExportRaw!$F396</f>
        <v>0</v>
      </c>
      <c r="B396" s="184" t="n">
        <f aca="false">ExportRaw!$C396</f>
        <v>0</v>
      </c>
      <c r="C396" s="184" t="n">
        <f aca="false">ExportRaw!$G396</f>
        <v>0</v>
      </c>
      <c r="D396" s="184" t="str">
        <f aca="false">ExportRaw!$E396</f>
        <v/>
      </c>
      <c r="E396" s="185" t="str">
        <f aca="false">ExportRaw!$D396</f>
        <v/>
      </c>
      <c r="F396" s="184" t="str">
        <f aca="false">ExportRaw!$H396</f>
        <v/>
      </c>
      <c r="G396" s="186" t="str">
        <f aca="false">ExportRaw!$I396</f>
        <v/>
      </c>
      <c r="H396" s="184" t="str">
        <f aca="false">ExportRaw!$A396</f>
        <v/>
      </c>
      <c r="I396" s="184" t="str">
        <f aca="false">ExportRaw!$B396</f>
        <v/>
      </c>
    </row>
    <row r="397" customFormat="false" ht="15.75" hidden="false" customHeight="false" outlineLevel="0" collapsed="false">
      <c r="A397" s="184" t="n">
        <f aca="false">ExportRaw!$F397</f>
        <v>0</v>
      </c>
      <c r="B397" s="184" t="n">
        <f aca="false">ExportRaw!$C397</f>
        <v>0</v>
      </c>
      <c r="C397" s="184" t="n">
        <f aca="false">ExportRaw!$G397</f>
        <v>0</v>
      </c>
      <c r="D397" s="184" t="str">
        <f aca="false">ExportRaw!$E397</f>
        <v/>
      </c>
      <c r="E397" s="185" t="str">
        <f aca="false">ExportRaw!$D397</f>
        <v/>
      </c>
      <c r="F397" s="184" t="str">
        <f aca="false">ExportRaw!$H397</f>
        <v/>
      </c>
      <c r="G397" s="186" t="str">
        <f aca="false">ExportRaw!$I397</f>
        <v/>
      </c>
      <c r="H397" s="184" t="str">
        <f aca="false">ExportRaw!$A397</f>
        <v/>
      </c>
      <c r="I397" s="184" t="str">
        <f aca="false">ExportRaw!$B397</f>
        <v/>
      </c>
    </row>
    <row r="398" customFormat="false" ht="15.75" hidden="false" customHeight="false" outlineLevel="0" collapsed="false">
      <c r="A398" s="184" t="n">
        <f aca="false">ExportRaw!$F398</f>
        <v>0</v>
      </c>
      <c r="B398" s="184" t="n">
        <f aca="false">ExportRaw!$C398</f>
        <v>0</v>
      </c>
      <c r="C398" s="184" t="n">
        <f aca="false">ExportRaw!$G398</f>
        <v>0</v>
      </c>
      <c r="D398" s="184" t="str">
        <f aca="false">ExportRaw!$E398</f>
        <v/>
      </c>
      <c r="E398" s="185" t="str">
        <f aca="false">ExportRaw!$D398</f>
        <v/>
      </c>
      <c r="F398" s="184" t="str">
        <f aca="false">ExportRaw!$H398</f>
        <v/>
      </c>
      <c r="G398" s="186" t="str">
        <f aca="false">ExportRaw!$I398</f>
        <v/>
      </c>
      <c r="H398" s="184" t="str">
        <f aca="false">ExportRaw!$A398</f>
        <v/>
      </c>
      <c r="I398" s="184" t="str">
        <f aca="false">ExportRaw!$B398</f>
        <v/>
      </c>
    </row>
    <row r="399" customFormat="false" ht="15.75" hidden="false" customHeight="false" outlineLevel="0" collapsed="false">
      <c r="A399" s="184" t="n">
        <f aca="false">ExportRaw!$F399</f>
        <v>0</v>
      </c>
      <c r="B399" s="184" t="n">
        <f aca="false">ExportRaw!$C399</f>
        <v>0</v>
      </c>
      <c r="C399" s="184" t="n">
        <f aca="false">ExportRaw!$G399</f>
        <v>0</v>
      </c>
      <c r="D399" s="184" t="str">
        <f aca="false">ExportRaw!$E399</f>
        <v/>
      </c>
      <c r="E399" s="185" t="str">
        <f aca="false">ExportRaw!$D399</f>
        <v/>
      </c>
      <c r="F399" s="184" t="str">
        <f aca="false">ExportRaw!$H399</f>
        <v/>
      </c>
      <c r="G399" s="186" t="str">
        <f aca="false">ExportRaw!$I399</f>
        <v/>
      </c>
      <c r="H399" s="184" t="str">
        <f aca="false">ExportRaw!$A399</f>
        <v/>
      </c>
      <c r="I399" s="184" t="str">
        <f aca="false">ExportRaw!$B399</f>
        <v/>
      </c>
    </row>
    <row r="400" customFormat="false" ht="15.75" hidden="false" customHeight="false" outlineLevel="0" collapsed="false">
      <c r="A400" s="184" t="n">
        <f aca="false">ExportRaw!$F400</f>
        <v>0</v>
      </c>
      <c r="B400" s="184" t="n">
        <f aca="false">ExportRaw!$C400</f>
        <v>0</v>
      </c>
      <c r="C400" s="184" t="n">
        <f aca="false">ExportRaw!$G400</f>
        <v>0</v>
      </c>
      <c r="D400" s="184" t="str">
        <f aca="false">ExportRaw!$E400</f>
        <v/>
      </c>
      <c r="E400" s="185" t="str">
        <f aca="false">ExportRaw!$D400</f>
        <v/>
      </c>
      <c r="F400" s="184" t="str">
        <f aca="false">ExportRaw!$H400</f>
        <v/>
      </c>
      <c r="G400" s="186" t="str">
        <f aca="false">ExportRaw!$I400</f>
        <v/>
      </c>
      <c r="H400" s="184" t="str">
        <f aca="false">ExportRaw!$A400</f>
        <v/>
      </c>
      <c r="I400" s="184" t="str">
        <f aca="false">ExportRaw!$B400</f>
        <v/>
      </c>
    </row>
    <row r="401" customFormat="false" ht="15.75" hidden="false" customHeight="false" outlineLevel="0" collapsed="false">
      <c r="A401" s="184" t="n">
        <f aca="false">ExportRaw!$F401</f>
        <v>0</v>
      </c>
      <c r="B401" s="184" t="n">
        <f aca="false">ExportRaw!$C401</f>
        <v>0</v>
      </c>
      <c r="C401" s="184" t="n">
        <f aca="false">ExportRaw!$G401</f>
        <v>0</v>
      </c>
      <c r="D401" s="184" t="str">
        <f aca="false">ExportRaw!$E401</f>
        <v/>
      </c>
      <c r="E401" s="185" t="str">
        <f aca="false">ExportRaw!$D401</f>
        <v/>
      </c>
      <c r="F401" s="184" t="str">
        <f aca="false">ExportRaw!$H401</f>
        <v/>
      </c>
      <c r="G401" s="186" t="str">
        <f aca="false">ExportRaw!$I401</f>
        <v/>
      </c>
      <c r="H401" s="184" t="str">
        <f aca="false">ExportRaw!$A401</f>
        <v/>
      </c>
      <c r="I401" s="184" t="str">
        <f aca="false">ExportRaw!$B401</f>
        <v/>
      </c>
    </row>
    <row r="402" customFormat="false" ht="15.75" hidden="false" customHeight="false" outlineLevel="0" collapsed="false">
      <c r="A402" s="184" t="n">
        <f aca="false">ExportRaw!$F402</f>
        <v>0</v>
      </c>
      <c r="B402" s="184" t="n">
        <f aca="false">ExportRaw!$C402</f>
        <v>0</v>
      </c>
      <c r="C402" s="184" t="n">
        <f aca="false">ExportRaw!$G402</f>
        <v>0</v>
      </c>
      <c r="D402" s="184" t="str">
        <f aca="false">ExportRaw!$E402</f>
        <v/>
      </c>
      <c r="E402" s="185" t="str">
        <f aca="false">ExportRaw!$D402</f>
        <v/>
      </c>
      <c r="F402" s="184" t="str">
        <f aca="false">ExportRaw!$H402</f>
        <v/>
      </c>
      <c r="G402" s="186" t="str">
        <f aca="false">ExportRaw!$I402</f>
        <v/>
      </c>
      <c r="H402" s="184" t="str">
        <f aca="false">ExportRaw!$A402</f>
        <v/>
      </c>
      <c r="I402" s="184" t="str">
        <f aca="false">ExportRaw!$B402</f>
        <v/>
      </c>
    </row>
    <row r="403" customFormat="false" ht="15.75" hidden="false" customHeight="false" outlineLevel="0" collapsed="false">
      <c r="A403" s="184" t="n">
        <f aca="false">ExportRaw!$F403</f>
        <v>0</v>
      </c>
      <c r="B403" s="184" t="n">
        <f aca="false">ExportRaw!$C403</f>
        <v>0</v>
      </c>
      <c r="C403" s="184" t="n">
        <f aca="false">ExportRaw!$G403</f>
        <v>0</v>
      </c>
      <c r="D403" s="184" t="str">
        <f aca="false">ExportRaw!$E403</f>
        <v/>
      </c>
      <c r="E403" s="185" t="str">
        <f aca="false">ExportRaw!$D403</f>
        <v/>
      </c>
      <c r="F403" s="184" t="str">
        <f aca="false">ExportRaw!$H403</f>
        <v/>
      </c>
      <c r="G403" s="186" t="str">
        <f aca="false">ExportRaw!$I403</f>
        <v/>
      </c>
      <c r="H403" s="184" t="str">
        <f aca="false">ExportRaw!$A403</f>
        <v/>
      </c>
      <c r="I403" s="184" t="str">
        <f aca="false">ExportRaw!$B403</f>
        <v/>
      </c>
    </row>
    <row r="404" customFormat="false" ht="15.75" hidden="false" customHeight="false" outlineLevel="0" collapsed="false">
      <c r="A404" s="184" t="n">
        <f aca="false">ExportRaw!$F404</f>
        <v>0</v>
      </c>
      <c r="B404" s="184" t="n">
        <f aca="false">ExportRaw!$C404</f>
        <v>0</v>
      </c>
      <c r="C404" s="184" t="n">
        <f aca="false">ExportRaw!$G404</f>
        <v>0</v>
      </c>
      <c r="D404" s="184" t="str">
        <f aca="false">ExportRaw!$E404</f>
        <v/>
      </c>
      <c r="E404" s="185" t="str">
        <f aca="false">ExportRaw!$D404</f>
        <v/>
      </c>
      <c r="F404" s="184" t="str">
        <f aca="false">ExportRaw!$H404</f>
        <v/>
      </c>
      <c r="G404" s="186" t="str">
        <f aca="false">ExportRaw!$I404</f>
        <v/>
      </c>
      <c r="H404" s="184" t="str">
        <f aca="false">ExportRaw!$A404</f>
        <v/>
      </c>
      <c r="I404" s="184" t="str">
        <f aca="false">ExportRaw!$B404</f>
        <v/>
      </c>
    </row>
    <row r="405" customFormat="false" ht="15.75" hidden="false" customHeight="false" outlineLevel="0" collapsed="false">
      <c r="A405" s="184" t="n">
        <f aca="false">ExportRaw!$F405</f>
        <v>0</v>
      </c>
      <c r="B405" s="184" t="n">
        <f aca="false">ExportRaw!$C405</f>
        <v>0</v>
      </c>
      <c r="C405" s="184" t="n">
        <f aca="false">ExportRaw!$G405</f>
        <v>0</v>
      </c>
      <c r="D405" s="184" t="str">
        <f aca="false">ExportRaw!$E405</f>
        <v/>
      </c>
      <c r="E405" s="185" t="str">
        <f aca="false">ExportRaw!$D405</f>
        <v/>
      </c>
      <c r="F405" s="184" t="str">
        <f aca="false">ExportRaw!$H405</f>
        <v/>
      </c>
      <c r="G405" s="186" t="str">
        <f aca="false">ExportRaw!$I405</f>
        <v/>
      </c>
      <c r="H405" s="184" t="str">
        <f aca="false">ExportRaw!$A405</f>
        <v/>
      </c>
      <c r="I405" s="184" t="str">
        <f aca="false">ExportRaw!$B405</f>
        <v/>
      </c>
    </row>
    <row r="406" customFormat="false" ht="15.75" hidden="false" customHeight="false" outlineLevel="0" collapsed="false">
      <c r="A406" s="184" t="n">
        <f aca="false">ExportRaw!$F406</f>
        <v>0</v>
      </c>
      <c r="B406" s="184" t="n">
        <f aca="false">ExportRaw!$C406</f>
        <v>0</v>
      </c>
      <c r="C406" s="184" t="n">
        <f aca="false">ExportRaw!$G406</f>
        <v>0</v>
      </c>
      <c r="D406" s="184" t="str">
        <f aca="false">ExportRaw!$E406</f>
        <v/>
      </c>
      <c r="E406" s="185" t="str">
        <f aca="false">ExportRaw!$D406</f>
        <v/>
      </c>
      <c r="F406" s="184" t="str">
        <f aca="false">ExportRaw!$H406</f>
        <v/>
      </c>
      <c r="G406" s="186" t="str">
        <f aca="false">ExportRaw!$I406</f>
        <v/>
      </c>
      <c r="H406" s="184" t="str">
        <f aca="false">ExportRaw!$A406</f>
        <v/>
      </c>
      <c r="I406" s="184" t="str">
        <f aca="false">ExportRaw!$B406</f>
        <v/>
      </c>
    </row>
    <row r="407" customFormat="false" ht="15.75" hidden="false" customHeight="false" outlineLevel="0" collapsed="false">
      <c r="A407" s="184" t="n">
        <f aca="false">ExportRaw!$F407</f>
        <v>0</v>
      </c>
      <c r="B407" s="184" t="n">
        <f aca="false">ExportRaw!$C407</f>
        <v>0</v>
      </c>
      <c r="C407" s="184" t="n">
        <f aca="false">ExportRaw!$G407</f>
        <v>0</v>
      </c>
      <c r="D407" s="184" t="str">
        <f aca="false">ExportRaw!$E407</f>
        <v/>
      </c>
      <c r="E407" s="185" t="str">
        <f aca="false">ExportRaw!$D407</f>
        <v/>
      </c>
      <c r="F407" s="184" t="str">
        <f aca="false">ExportRaw!$H407</f>
        <v/>
      </c>
      <c r="G407" s="186" t="str">
        <f aca="false">ExportRaw!$I407</f>
        <v/>
      </c>
      <c r="H407" s="184" t="str">
        <f aca="false">ExportRaw!$A407</f>
        <v/>
      </c>
      <c r="I407" s="184" t="str">
        <f aca="false">ExportRaw!$B407</f>
        <v/>
      </c>
    </row>
    <row r="408" customFormat="false" ht="15.75" hidden="false" customHeight="false" outlineLevel="0" collapsed="false">
      <c r="A408" s="184" t="n">
        <f aca="false">ExportRaw!$F408</f>
        <v>0</v>
      </c>
      <c r="B408" s="184" t="n">
        <f aca="false">ExportRaw!$C408</f>
        <v>0</v>
      </c>
      <c r="C408" s="184" t="n">
        <f aca="false">ExportRaw!$G408</f>
        <v>0</v>
      </c>
      <c r="D408" s="184" t="str">
        <f aca="false">ExportRaw!$E408</f>
        <v/>
      </c>
      <c r="E408" s="185" t="str">
        <f aca="false">ExportRaw!$D408</f>
        <v/>
      </c>
      <c r="F408" s="184" t="str">
        <f aca="false">ExportRaw!$H408</f>
        <v/>
      </c>
      <c r="G408" s="186" t="str">
        <f aca="false">ExportRaw!$I408</f>
        <v/>
      </c>
      <c r="H408" s="184" t="str">
        <f aca="false">ExportRaw!$A408</f>
        <v/>
      </c>
      <c r="I408" s="184" t="str">
        <f aca="false">ExportRaw!$B408</f>
        <v/>
      </c>
    </row>
    <row r="409" customFormat="false" ht="15.75" hidden="false" customHeight="false" outlineLevel="0" collapsed="false">
      <c r="A409" s="184" t="n">
        <f aca="false">ExportRaw!$F409</f>
        <v>0</v>
      </c>
      <c r="B409" s="184" t="n">
        <f aca="false">ExportRaw!$C409</f>
        <v>0</v>
      </c>
      <c r="C409" s="184" t="n">
        <f aca="false">ExportRaw!$G409</f>
        <v>0</v>
      </c>
      <c r="D409" s="184" t="str">
        <f aca="false">ExportRaw!$E409</f>
        <v/>
      </c>
      <c r="E409" s="185" t="str">
        <f aca="false">ExportRaw!$D409</f>
        <v/>
      </c>
      <c r="F409" s="184" t="str">
        <f aca="false">ExportRaw!$H409</f>
        <v/>
      </c>
      <c r="G409" s="186" t="str">
        <f aca="false">ExportRaw!$I409</f>
        <v/>
      </c>
      <c r="H409" s="184" t="str">
        <f aca="false">ExportRaw!$A409</f>
        <v/>
      </c>
      <c r="I409" s="184" t="str">
        <f aca="false">ExportRaw!$B409</f>
        <v/>
      </c>
    </row>
    <row r="410" customFormat="false" ht="15.75" hidden="false" customHeight="false" outlineLevel="0" collapsed="false">
      <c r="A410" s="184" t="n">
        <f aca="false">ExportRaw!$F410</f>
        <v>0</v>
      </c>
      <c r="B410" s="184" t="n">
        <f aca="false">ExportRaw!$C410</f>
        <v>0</v>
      </c>
      <c r="C410" s="184" t="n">
        <f aca="false">ExportRaw!$G410</f>
        <v>0</v>
      </c>
      <c r="D410" s="184" t="str">
        <f aca="false">ExportRaw!$E410</f>
        <v/>
      </c>
      <c r="E410" s="185" t="str">
        <f aca="false">ExportRaw!$D410</f>
        <v/>
      </c>
      <c r="F410" s="184" t="str">
        <f aca="false">ExportRaw!$H410</f>
        <v/>
      </c>
      <c r="G410" s="186" t="str">
        <f aca="false">ExportRaw!$I410</f>
        <v/>
      </c>
      <c r="H410" s="184" t="str">
        <f aca="false">ExportRaw!$A410</f>
        <v/>
      </c>
      <c r="I410" s="184" t="str">
        <f aca="false">ExportRaw!$B410</f>
        <v/>
      </c>
    </row>
    <row r="411" customFormat="false" ht="15.75" hidden="false" customHeight="false" outlineLevel="0" collapsed="false">
      <c r="A411" s="184" t="n">
        <f aca="false">ExportRaw!$F411</f>
        <v>0</v>
      </c>
      <c r="B411" s="184" t="n">
        <f aca="false">ExportRaw!$C411</f>
        <v>0</v>
      </c>
      <c r="C411" s="184" t="n">
        <f aca="false">ExportRaw!$G411</f>
        <v>0</v>
      </c>
      <c r="D411" s="184" t="str">
        <f aca="false">ExportRaw!$E411</f>
        <v/>
      </c>
      <c r="E411" s="185" t="str">
        <f aca="false">ExportRaw!$D411</f>
        <v/>
      </c>
      <c r="F411" s="184" t="str">
        <f aca="false">ExportRaw!$H411</f>
        <v/>
      </c>
      <c r="G411" s="186" t="str">
        <f aca="false">ExportRaw!$I411</f>
        <v/>
      </c>
      <c r="H411" s="184" t="str">
        <f aca="false">ExportRaw!$A411</f>
        <v/>
      </c>
      <c r="I411" s="184" t="str">
        <f aca="false">ExportRaw!$B411</f>
        <v/>
      </c>
    </row>
    <row r="412" customFormat="false" ht="15.75" hidden="false" customHeight="false" outlineLevel="0" collapsed="false">
      <c r="A412" s="184" t="n">
        <f aca="false">ExportRaw!$F412</f>
        <v>0</v>
      </c>
      <c r="B412" s="184" t="n">
        <f aca="false">ExportRaw!$C412</f>
        <v>0</v>
      </c>
      <c r="C412" s="184" t="n">
        <f aca="false">ExportRaw!$G412</f>
        <v>0</v>
      </c>
      <c r="D412" s="184" t="str">
        <f aca="false">ExportRaw!$E412</f>
        <v/>
      </c>
      <c r="E412" s="185" t="str">
        <f aca="false">ExportRaw!$D412</f>
        <v/>
      </c>
      <c r="F412" s="184" t="str">
        <f aca="false">ExportRaw!$H412</f>
        <v/>
      </c>
      <c r="G412" s="186" t="str">
        <f aca="false">ExportRaw!$I412</f>
        <v/>
      </c>
      <c r="H412" s="184" t="str">
        <f aca="false">ExportRaw!$A412</f>
        <v/>
      </c>
      <c r="I412" s="184" t="str">
        <f aca="false">ExportRaw!$B412</f>
        <v/>
      </c>
    </row>
    <row r="413" customFormat="false" ht="15.75" hidden="false" customHeight="false" outlineLevel="0" collapsed="false">
      <c r="A413" s="184" t="n">
        <f aca="false">ExportRaw!$F413</f>
        <v>0</v>
      </c>
      <c r="B413" s="184" t="n">
        <f aca="false">ExportRaw!$C413</f>
        <v>0</v>
      </c>
      <c r="C413" s="184" t="n">
        <f aca="false">ExportRaw!$G413</f>
        <v>0</v>
      </c>
      <c r="D413" s="184" t="str">
        <f aca="false">ExportRaw!$E413</f>
        <v/>
      </c>
      <c r="E413" s="185" t="str">
        <f aca="false">ExportRaw!$D413</f>
        <v/>
      </c>
      <c r="F413" s="184" t="str">
        <f aca="false">ExportRaw!$H413</f>
        <v/>
      </c>
      <c r="G413" s="186" t="str">
        <f aca="false">ExportRaw!$I413</f>
        <v/>
      </c>
      <c r="H413" s="184" t="str">
        <f aca="false">ExportRaw!$A413</f>
        <v/>
      </c>
      <c r="I413" s="184" t="str">
        <f aca="false">ExportRaw!$B413</f>
        <v/>
      </c>
    </row>
    <row r="414" customFormat="false" ht="15.75" hidden="false" customHeight="false" outlineLevel="0" collapsed="false">
      <c r="A414" s="184" t="n">
        <f aca="false">ExportRaw!$F414</f>
        <v>0</v>
      </c>
      <c r="B414" s="184" t="n">
        <f aca="false">ExportRaw!$C414</f>
        <v>0</v>
      </c>
      <c r="C414" s="184" t="n">
        <f aca="false">ExportRaw!$G414</f>
        <v>0</v>
      </c>
      <c r="D414" s="184" t="str">
        <f aca="false">ExportRaw!$E414</f>
        <v/>
      </c>
      <c r="E414" s="185" t="str">
        <f aca="false">ExportRaw!$D414</f>
        <v/>
      </c>
      <c r="F414" s="184" t="str">
        <f aca="false">ExportRaw!$H414</f>
        <v/>
      </c>
      <c r="G414" s="186" t="str">
        <f aca="false">ExportRaw!$I414</f>
        <v/>
      </c>
      <c r="H414" s="184" t="str">
        <f aca="false">ExportRaw!$A414</f>
        <v/>
      </c>
      <c r="I414" s="184" t="str">
        <f aca="false">ExportRaw!$B414</f>
        <v/>
      </c>
    </row>
    <row r="415" customFormat="false" ht="15.75" hidden="false" customHeight="false" outlineLevel="0" collapsed="false">
      <c r="A415" s="184" t="n">
        <f aca="false">ExportRaw!$F415</f>
        <v>0</v>
      </c>
      <c r="B415" s="184" t="n">
        <f aca="false">ExportRaw!$C415</f>
        <v>0</v>
      </c>
      <c r="C415" s="184" t="n">
        <f aca="false">ExportRaw!$G415</f>
        <v>0</v>
      </c>
      <c r="D415" s="184" t="str">
        <f aca="false">ExportRaw!$E415</f>
        <v/>
      </c>
      <c r="E415" s="185" t="str">
        <f aca="false">ExportRaw!$D415</f>
        <v/>
      </c>
      <c r="F415" s="184" t="str">
        <f aca="false">ExportRaw!$H415</f>
        <v/>
      </c>
      <c r="G415" s="186" t="str">
        <f aca="false">ExportRaw!$I415</f>
        <v/>
      </c>
      <c r="H415" s="184" t="str">
        <f aca="false">ExportRaw!$A415</f>
        <v/>
      </c>
      <c r="I415" s="184" t="str">
        <f aca="false">ExportRaw!$B415</f>
        <v/>
      </c>
    </row>
    <row r="416" customFormat="false" ht="15.75" hidden="false" customHeight="false" outlineLevel="0" collapsed="false">
      <c r="A416" s="184" t="n">
        <f aca="false">ExportRaw!$F416</f>
        <v>0</v>
      </c>
      <c r="B416" s="184" t="n">
        <f aca="false">ExportRaw!$C416</f>
        <v>0</v>
      </c>
      <c r="C416" s="184" t="n">
        <f aca="false">ExportRaw!$G416</f>
        <v>0</v>
      </c>
      <c r="D416" s="184" t="str">
        <f aca="false">ExportRaw!$E416</f>
        <v/>
      </c>
      <c r="E416" s="185" t="str">
        <f aca="false">ExportRaw!$D416</f>
        <v/>
      </c>
      <c r="F416" s="184" t="str">
        <f aca="false">ExportRaw!$H416</f>
        <v/>
      </c>
      <c r="G416" s="186" t="str">
        <f aca="false">ExportRaw!$I416</f>
        <v/>
      </c>
      <c r="H416" s="184" t="str">
        <f aca="false">ExportRaw!$A416</f>
        <v/>
      </c>
      <c r="I416" s="184" t="str">
        <f aca="false">ExportRaw!$B416</f>
        <v/>
      </c>
    </row>
    <row r="417" customFormat="false" ht="15.75" hidden="false" customHeight="false" outlineLevel="0" collapsed="false">
      <c r="A417" s="184" t="n">
        <f aca="false">ExportRaw!$F417</f>
        <v>0</v>
      </c>
      <c r="B417" s="184" t="n">
        <f aca="false">ExportRaw!$C417</f>
        <v>0</v>
      </c>
      <c r="C417" s="184" t="n">
        <f aca="false">ExportRaw!$G417</f>
        <v>0</v>
      </c>
      <c r="D417" s="184" t="str">
        <f aca="false">ExportRaw!$E417</f>
        <v/>
      </c>
      <c r="E417" s="185" t="str">
        <f aca="false">ExportRaw!$D417</f>
        <v/>
      </c>
      <c r="F417" s="184" t="str">
        <f aca="false">ExportRaw!$H417</f>
        <v/>
      </c>
      <c r="G417" s="186" t="str">
        <f aca="false">ExportRaw!$I417</f>
        <v/>
      </c>
      <c r="H417" s="184" t="str">
        <f aca="false">ExportRaw!$A417</f>
        <v/>
      </c>
      <c r="I417" s="184" t="str">
        <f aca="false">ExportRaw!$B417</f>
        <v/>
      </c>
    </row>
    <row r="418" customFormat="false" ht="15.75" hidden="false" customHeight="false" outlineLevel="0" collapsed="false">
      <c r="A418" s="184" t="n">
        <f aca="false">ExportRaw!$F418</f>
        <v>0</v>
      </c>
      <c r="B418" s="184" t="n">
        <f aca="false">ExportRaw!$C418</f>
        <v>0</v>
      </c>
      <c r="C418" s="184" t="n">
        <f aca="false">ExportRaw!$G418</f>
        <v>0</v>
      </c>
      <c r="D418" s="184" t="str">
        <f aca="false">ExportRaw!$E418</f>
        <v/>
      </c>
      <c r="E418" s="185" t="str">
        <f aca="false">ExportRaw!$D418</f>
        <v/>
      </c>
      <c r="F418" s="184" t="str">
        <f aca="false">ExportRaw!$H418</f>
        <v/>
      </c>
      <c r="G418" s="186" t="str">
        <f aca="false">ExportRaw!$I418</f>
        <v/>
      </c>
      <c r="H418" s="184" t="str">
        <f aca="false">ExportRaw!$A418</f>
        <v/>
      </c>
      <c r="I418" s="184" t="str">
        <f aca="false">ExportRaw!$B418</f>
        <v/>
      </c>
    </row>
    <row r="419" customFormat="false" ht="15.75" hidden="false" customHeight="false" outlineLevel="0" collapsed="false">
      <c r="A419" s="184" t="n">
        <f aca="false">ExportRaw!$F419</f>
        <v>0</v>
      </c>
      <c r="B419" s="184" t="n">
        <f aca="false">ExportRaw!$C419</f>
        <v>0</v>
      </c>
      <c r="C419" s="184" t="n">
        <f aca="false">ExportRaw!$G419</f>
        <v>0</v>
      </c>
      <c r="D419" s="184" t="str">
        <f aca="false">ExportRaw!$E419</f>
        <v/>
      </c>
      <c r="E419" s="185" t="str">
        <f aca="false">ExportRaw!$D419</f>
        <v/>
      </c>
      <c r="F419" s="184" t="str">
        <f aca="false">ExportRaw!$H419</f>
        <v/>
      </c>
      <c r="G419" s="186" t="str">
        <f aca="false">ExportRaw!$I419</f>
        <v/>
      </c>
      <c r="H419" s="184" t="str">
        <f aca="false">ExportRaw!$A419</f>
        <v/>
      </c>
      <c r="I419" s="184" t="str">
        <f aca="false">ExportRaw!$B419</f>
        <v/>
      </c>
    </row>
    <row r="420" customFormat="false" ht="15.75" hidden="false" customHeight="false" outlineLevel="0" collapsed="false">
      <c r="A420" s="184" t="n">
        <f aca="false">ExportRaw!$F420</f>
        <v>0</v>
      </c>
      <c r="B420" s="184" t="n">
        <f aca="false">ExportRaw!$C420</f>
        <v>0</v>
      </c>
      <c r="C420" s="184" t="n">
        <f aca="false">ExportRaw!$G420</f>
        <v>0</v>
      </c>
      <c r="D420" s="184" t="str">
        <f aca="false">ExportRaw!$E420</f>
        <v/>
      </c>
      <c r="E420" s="185" t="str">
        <f aca="false">ExportRaw!$D420</f>
        <v/>
      </c>
      <c r="F420" s="184" t="str">
        <f aca="false">ExportRaw!$H420</f>
        <v/>
      </c>
      <c r="G420" s="186" t="str">
        <f aca="false">ExportRaw!$I420</f>
        <v/>
      </c>
      <c r="H420" s="184" t="str">
        <f aca="false">ExportRaw!$A420</f>
        <v/>
      </c>
      <c r="I420" s="184" t="str">
        <f aca="false">ExportRaw!$B420</f>
        <v/>
      </c>
    </row>
    <row r="421" customFormat="false" ht="15.75" hidden="false" customHeight="false" outlineLevel="0" collapsed="false">
      <c r="A421" s="184" t="n">
        <f aca="false">ExportRaw!$F421</f>
        <v>0</v>
      </c>
      <c r="B421" s="184" t="n">
        <f aca="false">ExportRaw!$C421</f>
        <v>0</v>
      </c>
      <c r="C421" s="184" t="n">
        <f aca="false">ExportRaw!$G421</f>
        <v>0</v>
      </c>
      <c r="D421" s="184" t="str">
        <f aca="false">ExportRaw!$E421</f>
        <v/>
      </c>
      <c r="E421" s="185" t="str">
        <f aca="false">ExportRaw!$D421</f>
        <v/>
      </c>
      <c r="F421" s="184" t="str">
        <f aca="false">ExportRaw!$H421</f>
        <v/>
      </c>
      <c r="G421" s="186" t="str">
        <f aca="false">ExportRaw!$I421</f>
        <v/>
      </c>
      <c r="H421" s="184" t="str">
        <f aca="false">ExportRaw!$A421</f>
        <v/>
      </c>
      <c r="I421" s="184" t="str">
        <f aca="false">ExportRaw!$B421</f>
        <v/>
      </c>
    </row>
    <row r="422" customFormat="false" ht="15.75" hidden="false" customHeight="false" outlineLevel="0" collapsed="false">
      <c r="A422" s="184" t="n">
        <f aca="false">ExportRaw!$F422</f>
        <v>0</v>
      </c>
      <c r="B422" s="184" t="n">
        <f aca="false">ExportRaw!$C422</f>
        <v>0</v>
      </c>
      <c r="C422" s="184" t="n">
        <f aca="false">ExportRaw!$G422</f>
        <v>0</v>
      </c>
      <c r="D422" s="184" t="str">
        <f aca="false">ExportRaw!$E422</f>
        <v/>
      </c>
      <c r="E422" s="185" t="str">
        <f aca="false">ExportRaw!$D422</f>
        <v/>
      </c>
      <c r="F422" s="184" t="str">
        <f aca="false">ExportRaw!$H422</f>
        <v/>
      </c>
      <c r="G422" s="186" t="str">
        <f aca="false">ExportRaw!$I422</f>
        <v/>
      </c>
      <c r="H422" s="184" t="str">
        <f aca="false">ExportRaw!$A422</f>
        <v/>
      </c>
      <c r="I422" s="184" t="str">
        <f aca="false">ExportRaw!$B422</f>
        <v/>
      </c>
    </row>
    <row r="423" customFormat="false" ht="15.75" hidden="false" customHeight="false" outlineLevel="0" collapsed="false">
      <c r="A423" s="184" t="n">
        <f aca="false">ExportRaw!$F423</f>
        <v>0</v>
      </c>
      <c r="B423" s="184" t="n">
        <f aca="false">ExportRaw!$C423</f>
        <v>0</v>
      </c>
      <c r="C423" s="184" t="n">
        <f aca="false">ExportRaw!$G423</f>
        <v>0</v>
      </c>
      <c r="D423" s="184" t="str">
        <f aca="false">ExportRaw!$E423</f>
        <v/>
      </c>
      <c r="E423" s="185" t="str">
        <f aca="false">ExportRaw!$D423</f>
        <v/>
      </c>
      <c r="F423" s="184" t="str">
        <f aca="false">ExportRaw!$H423</f>
        <v/>
      </c>
      <c r="G423" s="186" t="str">
        <f aca="false">ExportRaw!$I423</f>
        <v/>
      </c>
      <c r="H423" s="184" t="str">
        <f aca="false">ExportRaw!$A423</f>
        <v/>
      </c>
      <c r="I423" s="184" t="str">
        <f aca="false">ExportRaw!$B423</f>
        <v/>
      </c>
    </row>
    <row r="424" customFormat="false" ht="15.75" hidden="false" customHeight="false" outlineLevel="0" collapsed="false">
      <c r="A424" s="184" t="n">
        <f aca="false">ExportRaw!$F424</f>
        <v>0</v>
      </c>
      <c r="B424" s="184" t="n">
        <f aca="false">ExportRaw!$C424</f>
        <v>0</v>
      </c>
      <c r="C424" s="184" t="n">
        <f aca="false">ExportRaw!$G424</f>
        <v>0</v>
      </c>
      <c r="D424" s="184" t="str">
        <f aca="false">ExportRaw!$E424</f>
        <v/>
      </c>
      <c r="E424" s="185" t="str">
        <f aca="false">ExportRaw!$D424</f>
        <v/>
      </c>
      <c r="F424" s="184" t="str">
        <f aca="false">ExportRaw!$H424</f>
        <v/>
      </c>
      <c r="G424" s="186" t="str">
        <f aca="false">ExportRaw!$I424</f>
        <v/>
      </c>
      <c r="H424" s="184" t="str">
        <f aca="false">ExportRaw!$A424</f>
        <v/>
      </c>
      <c r="I424" s="184" t="str">
        <f aca="false">ExportRaw!$B424</f>
        <v/>
      </c>
    </row>
    <row r="425" customFormat="false" ht="15.75" hidden="false" customHeight="false" outlineLevel="0" collapsed="false">
      <c r="A425" s="184" t="n">
        <f aca="false">ExportRaw!$F425</f>
        <v>0</v>
      </c>
      <c r="B425" s="184" t="n">
        <f aca="false">ExportRaw!$C425</f>
        <v>0</v>
      </c>
      <c r="C425" s="184" t="n">
        <f aca="false">ExportRaw!$G425</f>
        <v>0</v>
      </c>
      <c r="D425" s="184" t="str">
        <f aca="false">ExportRaw!$E425</f>
        <v/>
      </c>
      <c r="E425" s="185" t="str">
        <f aca="false">ExportRaw!$D425</f>
        <v/>
      </c>
      <c r="F425" s="184" t="str">
        <f aca="false">ExportRaw!$H425</f>
        <v/>
      </c>
      <c r="G425" s="186" t="str">
        <f aca="false">ExportRaw!$I425</f>
        <v/>
      </c>
      <c r="H425" s="184" t="str">
        <f aca="false">ExportRaw!$A425</f>
        <v/>
      </c>
      <c r="I425" s="184" t="str">
        <f aca="false">ExportRaw!$B425</f>
        <v/>
      </c>
    </row>
    <row r="426" customFormat="false" ht="15.75" hidden="false" customHeight="false" outlineLevel="0" collapsed="false">
      <c r="A426" s="184" t="n">
        <f aca="false">ExportRaw!$F426</f>
        <v>0</v>
      </c>
      <c r="B426" s="184" t="n">
        <f aca="false">ExportRaw!$C426</f>
        <v>0</v>
      </c>
      <c r="C426" s="184" t="n">
        <f aca="false">ExportRaw!$G426</f>
        <v>0</v>
      </c>
      <c r="D426" s="184" t="str">
        <f aca="false">ExportRaw!$E426</f>
        <v/>
      </c>
      <c r="E426" s="185" t="str">
        <f aca="false">ExportRaw!$D426</f>
        <v/>
      </c>
      <c r="F426" s="184" t="str">
        <f aca="false">ExportRaw!$H426</f>
        <v/>
      </c>
      <c r="G426" s="186" t="str">
        <f aca="false">ExportRaw!$I426</f>
        <v/>
      </c>
      <c r="H426" s="184" t="str">
        <f aca="false">ExportRaw!$A426</f>
        <v/>
      </c>
      <c r="I426" s="184" t="str">
        <f aca="false">ExportRaw!$B426</f>
        <v/>
      </c>
    </row>
    <row r="427" customFormat="false" ht="15.75" hidden="false" customHeight="false" outlineLevel="0" collapsed="false">
      <c r="A427" s="184" t="n">
        <f aca="false">ExportRaw!$F427</f>
        <v>0</v>
      </c>
      <c r="B427" s="184" t="n">
        <f aca="false">ExportRaw!$C427</f>
        <v>0</v>
      </c>
      <c r="C427" s="184" t="n">
        <f aca="false">ExportRaw!$G427</f>
        <v>0</v>
      </c>
      <c r="D427" s="184" t="str">
        <f aca="false">ExportRaw!$E427</f>
        <v/>
      </c>
      <c r="E427" s="185" t="str">
        <f aca="false">ExportRaw!$D427</f>
        <v/>
      </c>
      <c r="F427" s="184" t="str">
        <f aca="false">ExportRaw!$H427</f>
        <v/>
      </c>
      <c r="G427" s="186" t="str">
        <f aca="false">ExportRaw!$I427</f>
        <v/>
      </c>
      <c r="H427" s="184" t="str">
        <f aca="false">ExportRaw!$A427</f>
        <v/>
      </c>
      <c r="I427" s="184" t="str">
        <f aca="false">ExportRaw!$B427</f>
        <v/>
      </c>
    </row>
    <row r="428" customFormat="false" ht="15.75" hidden="false" customHeight="false" outlineLevel="0" collapsed="false">
      <c r="A428" s="184" t="n">
        <f aca="false">ExportRaw!$F428</f>
        <v>0</v>
      </c>
      <c r="B428" s="184" t="n">
        <f aca="false">ExportRaw!$C428</f>
        <v>0</v>
      </c>
      <c r="C428" s="184" t="n">
        <f aca="false">ExportRaw!$G428</f>
        <v>0</v>
      </c>
      <c r="D428" s="184" t="str">
        <f aca="false">ExportRaw!$E428</f>
        <v/>
      </c>
      <c r="E428" s="185" t="str">
        <f aca="false">ExportRaw!$D428</f>
        <v/>
      </c>
      <c r="F428" s="184" t="str">
        <f aca="false">ExportRaw!$H428</f>
        <v/>
      </c>
      <c r="G428" s="186" t="str">
        <f aca="false">ExportRaw!$I428</f>
        <v/>
      </c>
      <c r="H428" s="184" t="str">
        <f aca="false">ExportRaw!$A428</f>
        <v/>
      </c>
      <c r="I428" s="184" t="str">
        <f aca="false">ExportRaw!$B428</f>
        <v/>
      </c>
    </row>
    <row r="429" customFormat="false" ht="15.75" hidden="false" customHeight="false" outlineLevel="0" collapsed="false">
      <c r="A429" s="184" t="n">
        <f aca="false">ExportRaw!$F429</f>
        <v>0</v>
      </c>
      <c r="B429" s="184" t="n">
        <f aca="false">ExportRaw!$C429</f>
        <v>0</v>
      </c>
      <c r="C429" s="184" t="n">
        <f aca="false">ExportRaw!$G429</f>
        <v>0</v>
      </c>
      <c r="D429" s="184" t="str">
        <f aca="false">ExportRaw!$E429</f>
        <v/>
      </c>
      <c r="E429" s="185" t="str">
        <f aca="false">ExportRaw!$D429</f>
        <v/>
      </c>
      <c r="F429" s="184" t="str">
        <f aca="false">ExportRaw!$H429</f>
        <v/>
      </c>
      <c r="G429" s="186" t="str">
        <f aca="false">ExportRaw!$I429</f>
        <v/>
      </c>
      <c r="H429" s="184" t="str">
        <f aca="false">ExportRaw!$A429</f>
        <v/>
      </c>
      <c r="I429" s="184" t="str">
        <f aca="false">ExportRaw!$B429</f>
        <v/>
      </c>
    </row>
    <row r="430" customFormat="false" ht="15.75" hidden="false" customHeight="false" outlineLevel="0" collapsed="false">
      <c r="A430" s="184" t="n">
        <f aca="false">ExportRaw!$F430</f>
        <v>0</v>
      </c>
      <c r="B430" s="184" t="n">
        <f aca="false">ExportRaw!$C430</f>
        <v>0</v>
      </c>
      <c r="C430" s="184" t="n">
        <f aca="false">ExportRaw!$G430</f>
        <v>0</v>
      </c>
      <c r="D430" s="184" t="str">
        <f aca="false">ExportRaw!$E430</f>
        <v/>
      </c>
      <c r="E430" s="185" t="str">
        <f aca="false">ExportRaw!$D430</f>
        <v/>
      </c>
      <c r="F430" s="184" t="str">
        <f aca="false">ExportRaw!$H430</f>
        <v/>
      </c>
      <c r="G430" s="186" t="str">
        <f aca="false">ExportRaw!$I430</f>
        <v/>
      </c>
      <c r="H430" s="184" t="str">
        <f aca="false">ExportRaw!$A430</f>
        <v/>
      </c>
      <c r="I430" s="184" t="str">
        <f aca="false">ExportRaw!$B430</f>
        <v/>
      </c>
    </row>
    <row r="431" customFormat="false" ht="15.75" hidden="false" customHeight="false" outlineLevel="0" collapsed="false">
      <c r="A431" s="184" t="n">
        <f aca="false">ExportRaw!$F431</f>
        <v>0</v>
      </c>
      <c r="B431" s="184" t="n">
        <f aca="false">ExportRaw!$C431</f>
        <v>0</v>
      </c>
      <c r="C431" s="184" t="n">
        <f aca="false">ExportRaw!$G431</f>
        <v>0</v>
      </c>
      <c r="D431" s="184" t="str">
        <f aca="false">ExportRaw!$E431</f>
        <v/>
      </c>
      <c r="E431" s="185" t="str">
        <f aca="false">ExportRaw!$D431</f>
        <v/>
      </c>
      <c r="F431" s="184" t="str">
        <f aca="false">ExportRaw!$H431</f>
        <v/>
      </c>
      <c r="G431" s="186" t="str">
        <f aca="false">ExportRaw!$I431</f>
        <v/>
      </c>
      <c r="H431" s="184" t="str">
        <f aca="false">ExportRaw!$A431</f>
        <v/>
      </c>
      <c r="I431" s="184" t="str">
        <f aca="false">ExportRaw!$B431</f>
        <v/>
      </c>
    </row>
    <row r="432" customFormat="false" ht="15.75" hidden="false" customHeight="false" outlineLevel="0" collapsed="false">
      <c r="A432" s="184" t="n">
        <f aca="false">ExportRaw!$F432</f>
        <v>0</v>
      </c>
      <c r="B432" s="184" t="n">
        <f aca="false">ExportRaw!$C432</f>
        <v>0</v>
      </c>
      <c r="C432" s="184" t="n">
        <f aca="false">ExportRaw!$G432</f>
        <v>0</v>
      </c>
      <c r="D432" s="184" t="str">
        <f aca="false">ExportRaw!$E432</f>
        <v/>
      </c>
      <c r="E432" s="185" t="str">
        <f aca="false">ExportRaw!$D432</f>
        <v/>
      </c>
      <c r="F432" s="184" t="str">
        <f aca="false">ExportRaw!$H432</f>
        <v/>
      </c>
      <c r="G432" s="186" t="str">
        <f aca="false">ExportRaw!$I432</f>
        <v/>
      </c>
      <c r="H432" s="184" t="str">
        <f aca="false">ExportRaw!$A432</f>
        <v/>
      </c>
      <c r="I432" s="184" t="str">
        <f aca="false">ExportRaw!$B432</f>
        <v/>
      </c>
    </row>
    <row r="433" customFormat="false" ht="15.75" hidden="false" customHeight="false" outlineLevel="0" collapsed="false">
      <c r="A433" s="184" t="n">
        <f aca="false">ExportRaw!$F433</f>
        <v>0</v>
      </c>
      <c r="B433" s="184" t="n">
        <f aca="false">ExportRaw!$C433</f>
        <v>0</v>
      </c>
      <c r="C433" s="184" t="n">
        <f aca="false">ExportRaw!$G433</f>
        <v>0</v>
      </c>
      <c r="D433" s="184" t="str">
        <f aca="false">ExportRaw!$E433</f>
        <v/>
      </c>
      <c r="E433" s="185" t="str">
        <f aca="false">ExportRaw!$D433</f>
        <v/>
      </c>
      <c r="F433" s="184" t="str">
        <f aca="false">ExportRaw!$H433</f>
        <v/>
      </c>
      <c r="G433" s="186" t="str">
        <f aca="false">ExportRaw!$I433</f>
        <v/>
      </c>
      <c r="H433" s="184" t="str">
        <f aca="false">ExportRaw!$A433</f>
        <v/>
      </c>
      <c r="I433" s="184" t="str">
        <f aca="false">ExportRaw!$B433</f>
        <v/>
      </c>
    </row>
    <row r="434" customFormat="false" ht="15.75" hidden="false" customHeight="false" outlineLevel="0" collapsed="false">
      <c r="A434" s="184" t="n">
        <f aca="false">ExportRaw!$F434</f>
        <v>0</v>
      </c>
      <c r="B434" s="184" t="n">
        <f aca="false">ExportRaw!$C434</f>
        <v>0</v>
      </c>
      <c r="C434" s="184" t="n">
        <f aca="false">ExportRaw!$G434</f>
        <v>0</v>
      </c>
      <c r="D434" s="184" t="str">
        <f aca="false">ExportRaw!$E434</f>
        <v/>
      </c>
      <c r="E434" s="185" t="str">
        <f aca="false">ExportRaw!$D434</f>
        <v/>
      </c>
      <c r="F434" s="184" t="str">
        <f aca="false">ExportRaw!$H434</f>
        <v/>
      </c>
      <c r="G434" s="186" t="str">
        <f aca="false">ExportRaw!$I434</f>
        <v/>
      </c>
      <c r="H434" s="184" t="str">
        <f aca="false">ExportRaw!$A434</f>
        <v/>
      </c>
      <c r="I434" s="184" t="str">
        <f aca="false">ExportRaw!$B434</f>
        <v/>
      </c>
    </row>
    <row r="435" customFormat="false" ht="15.75" hidden="false" customHeight="false" outlineLevel="0" collapsed="false">
      <c r="A435" s="184" t="n">
        <f aca="false">ExportRaw!$F435</f>
        <v>0</v>
      </c>
      <c r="B435" s="184" t="n">
        <f aca="false">ExportRaw!$C435</f>
        <v>0</v>
      </c>
      <c r="C435" s="184" t="n">
        <f aca="false">ExportRaw!$G435</f>
        <v>0</v>
      </c>
      <c r="D435" s="184" t="str">
        <f aca="false">ExportRaw!$E435</f>
        <v/>
      </c>
      <c r="E435" s="185" t="str">
        <f aca="false">ExportRaw!$D435</f>
        <v/>
      </c>
      <c r="F435" s="184" t="str">
        <f aca="false">ExportRaw!$H435</f>
        <v/>
      </c>
      <c r="G435" s="186" t="str">
        <f aca="false">ExportRaw!$I435</f>
        <v/>
      </c>
      <c r="H435" s="184" t="str">
        <f aca="false">ExportRaw!$A435</f>
        <v/>
      </c>
      <c r="I435" s="184" t="str">
        <f aca="false">ExportRaw!$B435</f>
        <v/>
      </c>
    </row>
    <row r="436" customFormat="false" ht="15.75" hidden="false" customHeight="false" outlineLevel="0" collapsed="false">
      <c r="A436" s="184" t="n">
        <f aca="false">ExportRaw!$F436</f>
        <v>0</v>
      </c>
      <c r="B436" s="184" t="n">
        <f aca="false">ExportRaw!$C436</f>
        <v>0</v>
      </c>
      <c r="C436" s="184" t="n">
        <f aca="false">ExportRaw!$G436</f>
        <v>0</v>
      </c>
      <c r="D436" s="184" t="str">
        <f aca="false">ExportRaw!$E436</f>
        <v/>
      </c>
      <c r="E436" s="185" t="str">
        <f aca="false">ExportRaw!$D436</f>
        <v/>
      </c>
      <c r="F436" s="184" t="str">
        <f aca="false">ExportRaw!$H436</f>
        <v/>
      </c>
      <c r="G436" s="186" t="str">
        <f aca="false">ExportRaw!$I436</f>
        <v/>
      </c>
      <c r="H436" s="184" t="str">
        <f aca="false">ExportRaw!$A436</f>
        <v/>
      </c>
      <c r="I436" s="184" t="str">
        <f aca="false">ExportRaw!$B436</f>
        <v/>
      </c>
    </row>
    <row r="437" customFormat="false" ht="15.75" hidden="false" customHeight="false" outlineLevel="0" collapsed="false">
      <c r="A437" s="184" t="n">
        <f aca="false">ExportRaw!$F437</f>
        <v>0</v>
      </c>
      <c r="B437" s="184" t="n">
        <f aca="false">ExportRaw!$C437</f>
        <v>0</v>
      </c>
      <c r="C437" s="184" t="n">
        <f aca="false">ExportRaw!$G437</f>
        <v>0</v>
      </c>
      <c r="D437" s="184" t="str">
        <f aca="false">ExportRaw!$E437</f>
        <v/>
      </c>
      <c r="E437" s="185" t="str">
        <f aca="false">ExportRaw!$D437</f>
        <v/>
      </c>
      <c r="F437" s="184" t="str">
        <f aca="false">ExportRaw!$H437</f>
        <v/>
      </c>
      <c r="G437" s="186" t="str">
        <f aca="false">ExportRaw!$I437</f>
        <v/>
      </c>
      <c r="H437" s="184" t="str">
        <f aca="false">ExportRaw!$A437</f>
        <v/>
      </c>
      <c r="I437" s="184" t="str">
        <f aca="false">ExportRaw!$B437</f>
        <v/>
      </c>
    </row>
    <row r="438" customFormat="false" ht="15.75" hidden="false" customHeight="false" outlineLevel="0" collapsed="false">
      <c r="A438" s="184" t="n">
        <f aca="false">ExportRaw!$F438</f>
        <v>0</v>
      </c>
      <c r="B438" s="184" t="n">
        <f aca="false">ExportRaw!$C438</f>
        <v>0</v>
      </c>
      <c r="C438" s="184" t="n">
        <f aca="false">ExportRaw!$G438</f>
        <v>0</v>
      </c>
      <c r="D438" s="184" t="str">
        <f aca="false">ExportRaw!$E438</f>
        <v/>
      </c>
      <c r="E438" s="185" t="str">
        <f aca="false">ExportRaw!$D438</f>
        <v/>
      </c>
      <c r="F438" s="184" t="str">
        <f aca="false">ExportRaw!$H438</f>
        <v/>
      </c>
      <c r="G438" s="186" t="str">
        <f aca="false">ExportRaw!$I438</f>
        <v/>
      </c>
      <c r="H438" s="184" t="str">
        <f aca="false">ExportRaw!$A438</f>
        <v/>
      </c>
      <c r="I438" s="184" t="str">
        <f aca="false">ExportRaw!$B438</f>
        <v/>
      </c>
    </row>
    <row r="439" customFormat="false" ht="15.75" hidden="false" customHeight="false" outlineLevel="0" collapsed="false">
      <c r="A439" s="184" t="n">
        <f aca="false">ExportRaw!$F439</f>
        <v>0</v>
      </c>
      <c r="B439" s="184" t="n">
        <f aca="false">ExportRaw!$C439</f>
        <v>0</v>
      </c>
      <c r="C439" s="184" t="n">
        <f aca="false">ExportRaw!$G439</f>
        <v>0</v>
      </c>
      <c r="D439" s="184" t="str">
        <f aca="false">ExportRaw!$E439</f>
        <v/>
      </c>
      <c r="E439" s="185" t="str">
        <f aca="false">ExportRaw!$D439</f>
        <v/>
      </c>
      <c r="F439" s="184" t="str">
        <f aca="false">ExportRaw!$H439</f>
        <v/>
      </c>
      <c r="G439" s="186" t="str">
        <f aca="false">ExportRaw!$I439</f>
        <v/>
      </c>
      <c r="H439" s="184" t="str">
        <f aca="false">ExportRaw!$A439</f>
        <v/>
      </c>
      <c r="I439" s="184" t="str">
        <f aca="false">ExportRaw!$B439</f>
        <v/>
      </c>
    </row>
    <row r="440" customFormat="false" ht="15.75" hidden="false" customHeight="false" outlineLevel="0" collapsed="false">
      <c r="A440" s="184" t="n">
        <f aca="false">ExportRaw!$F440</f>
        <v>0</v>
      </c>
      <c r="B440" s="184" t="n">
        <f aca="false">ExportRaw!$C440</f>
        <v>0</v>
      </c>
      <c r="C440" s="184" t="n">
        <f aca="false">ExportRaw!$G440</f>
        <v>0</v>
      </c>
      <c r="D440" s="184" t="str">
        <f aca="false">ExportRaw!$E440</f>
        <v/>
      </c>
      <c r="E440" s="185" t="str">
        <f aca="false">ExportRaw!$D440</f>
        <v/>
      </c>
      <c r="F440" s="184" t="str">
        <f aca="false">ExportRaw!$H440</f>
        <v/>
      </c>
      <c r="G440" s="186" t="str">
        <f aca="false">ExportRaw!$I440</f>
        <v/>
      </c>
      <c r="H440" s="184" t="str">
        <f aca="false">ExportRaw!$A440</f>
        <v/>
      </c>
      <c r="I440" s="184" t="str">
        <f aca="false">ExportRaw!$B440</f>
        <v/>
      </c>
    </row>
    <row r="441" customFormat="false" ht="15.75" hidden="false" customHeight="false" outlineLevel="0" collapsed="false">
      <c r="A441" s="184" t="n">
        <f aca="false">ExportRaw!$F441</f>
        <v>0</v>
      </c>
      <c r="B441" s="184" t="n">
        <f aca="false">ExportRaw!$C441</f>
        <v>0</v>
      </c>
      <c r="C441" s="184" t="n">
        <f aca="false">ExportRaw!$G441</f>
        <v>0</v>
      </c>
      <c r="D441" s="184" t="str">
        <f aca="false">ExportRaw!$E441</f>
        <v/>
      </c>
      <c r="E441" s="185" t="str">
        <f aca="false">ExportRaw!$D441</f>
        <v/>
      </c>
      <c r="F441" s="184" t="str">
        <f aca="false">ExportRaw!$H441</f>
        <v/>
      </c>
      <c r="G441" s="186" t="str">
        <f aca="false">ExportRaw!$I441</f>
        <v/>
      </c>
      <c r="H441" s="184" t="str">
        <f aca="false">ExportRaw!$A441</f>
        <v/>
      </c>
      <c r="I441" s="184" t="str">
        <f aca="false">ExportRaw!$B441</f>
        <v/>
      </c>
    </row>
    <row r="442" customFormat="false" ht="15.75" hidden="false" customHeight="false" outlineLevel="0" collapsed="false">
      <c r="A442" s="184" t="n">
        <f aca="false">ExportRaw!$F442</f>
        <v>0</v>
      </c>
      <c r="B442" s="184" t="n">
        <f aca="false">ExportRaw!$C442</f>
        <v>0</v>
      </c>
      <c r="C442" s="184" t="n">
        <f aca="false">ExportRaw!$G442</f>
        <v>0</v>
      </c>
      <c r="D442" s="184" t="str">
        <f aca="false">ExportRaw!$E442</f>
        <v/>
      </c>
      <c r="E442" s="185" t="str">
        <f aca="false">ExportRaw!$D442</f>
        <v/>
      </c>
      <c r="F442" s="184" t="str">
        <f aca="false">ExportRaw!$H442</f>
        <v/>
      </c>
      <c r="G442" s="186" t="str">
        <f aca="false">ExportRaw!$I442</f>
        <v/>
      </c>
      <c r="H442" s="184" t="str">
        <f aca="false">ExportRaw!$A442</f>
        <v/>
      </c>
      <c r="I442" s="184" t="str">
        <f aca="false">ExportRaw!$B442</f>
        <v/>
      </c>
    </row>
    <row r="443" customFormat="false" ht="15.75" hidden="false" customHeight="false" outlineLevel="0" collapsed="false">
      <c r="A443" s="184" t="n">
        <f aca="false">ExportRaw!$F443</f>
        <v>0</v>
      </c>
      <c r="B443" s="184" t="n">
        <f aca="false">ExportRaw!$C443</f>
        <v>0</v>
      </c>
      <c r="C443" s="184" t="n">
        <f aca="false">ExportRaw!$G443</f>
        <v>0</v>
      </c>
      <c r="D443" s="184" t="str">
        <f aca="false">ExportRaw!$E443</f>
        <v/>
      </c>
      <c r="E443" s="185" t="str">
        <f aca="false">ExportRaw!$D443</f>
        <v/>
      </c>
      <c r="F443" s="184" t="str">
        <f aca="false">ExportRaw!$H443</f>
        <v/>
      </c>
      <c r="G443" s="186" t="str">
        <f aca="false">ExportRaw!$I443</f>
        <v/>
      </c>
      <c r="H443" s="184" t="str">
        <f aca="false">ExportRaw!$A443</f>
        <v/>
      </c>
      <c r="I443" s="184" t="str">
        <f aca="false">ExportRaw!$B443</f>
        <v/>
      </c>
    </row>
    <row r="444" customFormat="false" ht="15.75" hidden="false" customHeight="false" outlineLevel="0" collapsed="false">
      <c r="A444" s="184" t="n">
        <f aca="false">ExportRaw!$F444</f>
        <v>0</v>
      </c>
      <c r="B444" s="184" t="n">
        <f aca="false">ExportRaw!$C444</f>
        <v>0</v>
      </c>
      <c r="C444" s="184" t="n">
        <f aca="false">ExportRaw!$G444</f>
        <v>0</v>
      </c>
      <c r="D444" s="184" t="str">
        <f aca="false">ExportRaw!$E444</f>
        <v/>
      </c>
      <c r="E444" s="185" t="str">
        <f aca="false">ExportRaw!$D444</f>
        <v/>
      </c>
      <c r="F444" s="184" t="str">
        <f aca="false">ExportRaw!$H444</f>
        <v/>
      </c>
      <c r="G444" s="186" t="str">
        <f aca="false">ExportRaw!$I444</f>
        <v/>
      </c>
      <c r="H444" s="184" t="str">
        <f aca="false">ExportRaw!$A444</f>
        <v/>
      </c>
      <c r="I444" s="184" t="str">
        <f aca="false">ExportRaw!$B444</f>
        <v/>
      </c>
    </row>
    <row r="445" customFormat="false" ht="15.75" hidden="false" customHeight="false" outlineLevel="0" collapsed="false">
      <c r="A445" s="184" t="n">
        <f aca="false">ExportRaw!$F445</f>
        <v>0</v>
      </c>
      <c r="B445" s="184" t="n">
        <f aca="false">ExportRaw!$C445</f>
        <v>0</v>
      </c>
      <c r="C445" s="184" t="n">
        <f aca="false">ExportRaw!$G445</f>
        <v>0</v>
      </c>
      <c r="D445" s="184" t="str">
        <f aca="false">ExportRaw!$E445</f>
        <v/>
      </c>
      <c r="E445" s="185" t="str">
        <f aca="false">ExportRaw!$D445</f>
        <v/>
      </c>
      <c r="F445" s="184" t="str">
        <f aca="false">ExportRaw!$H445</f>
        <v/>
      </c>
      <c r="G445" s="186" t="str">
        <f aca="false">ExportRaw!$I445</f>
        <v/>
      </c>
      <c r="H445" s="184" t="str">
        <f aca="false">ExportRaw!$A445</f>
        <v/>
      </c>
      <c r="I445" s="184" t="str">
        <f aca="false">ExportRaw!$B445</f>
        <v/>
      </c>
    </row>
    <row r="446" customFormat="false" ht="15.75" hidden="false" customHeight="false" outlineLevel="0" collapsed="false">
      <c r="A446" s="184" t="n">
        <f aca="false">ExportRaw!$F446</f>
        <v>0</v>
      </c>
      <c r="B446" s="184" t="n">
        <f aca="false">ExportRaw!$C446</f>
        <v>0</v>
      </c>
      <c r="C446" s="184" t="n">
        <f aca="false">ExportRaw!$G446</f>
        <v>0</v>
      </c>
      <c r="D446" s="184" t="str">
        <f aca="false">ExportRaw!$E446</f>
        <v/>
      </c>
      <c r="E446" s="185" t="str">
        <f aca="false">ExportRaw!$D446</f>
        <v/>
      </c>
      <c r="F446" s="184" t="str">
        <f aca="false">ExportRaw!$H446</f>
        <v/>
      </c>
      <c r="G446" s="186" t="str">
        <f aca="false">ExportRaw!$I446</f>
        <v/>
      </c>
      <c r="H446" s="184" t="str">
        <f aca="false">ExportRaw!$A446</f>
        <v/>
      </c>
      <c r="I446" s="184" t="str">
        <f aca="false">ExportRaw!$B446</f>
        <v/>
      </c>
    </row>
    <row r="447" customFormat="false" ht="15.75" hidden="false" customHeight="false" outlineLevel="0" collapsed="false">
      <c r="A447" s="184" t="n">
        <f aca="false">ExportRaw!$F447</f>
        <v>0</v>
      </c>
      <c r="B447" s="184" t="n">
        <f aca="false">ExportRaw!$C447</f>
        <v>0</v>
      </c>
      <c r="C447" s="184" t="n">
        <f aca="false">ExportRaw!$G447</f>
        <v>0</v>
      </c>
      <c r="D447" s="184" t="str">
        <f aca="false">ExportRaw!$E447</f>
        <v/>
      </c>
      <c r="E447" s="185" t="str">
        <f aca="false">ExportRaw!$D447</f>
        <v/>
      </c>
      <c r="F447" s="184" t="str">
        <f aca="false">ExportRaw!$H447</f>
        <v/>
      </c>
      <c r="G447" s="186" t="str">
        <f aca="false">ExportRaw!$I447</f>
        <v/>
      </c>
      <c r="H447" s="184" t="str">
        <f aca="false">ExportRaw!$A447</f>
        <v/>
      </c>
      <c r="I447" s="184" t="str">
        <f aca="false">ExportRaw!$B447</f>
        <v/>
      </c>
    </row>
    <row r="448" customFormat="false" ht="15.75" hidden="false" customHeight="false" outlineLevel="0" collapsed="false">
      <c r="A448" s="184" t="n">
        <f aca="false">ExportRaw!$F448</f>
        <v>0</v>
      </c>
      <c r="B448" s="184" t="n">
        <f aca="false">ExportRaw!$C448</f>
        <v>0</v>
      </c>
      <c r="C448" s="184" t="n">
        <f aca="false">ExportRaw!$G448</f>
        <v>0</v>
      </c>
      <c r="D448" s="184" t="str">
        <f aca="false">ExportRaw!$E448</f>
        <v/>
      </c>
      <c r="E448" s="185" t="str">
        <f aca="false">ExportRaw!$D448</f>
        <v/>
      </c>
      <c r="F448" s="184" t="str">
        <f aca="false">ExportRaw!$H448</f>
        <v/>
      </c>
      <c r="G448" s="186" t="str">
        <f aca="false">ExportRaw!$I448</f>
        <v/>
      </c>
      <c r="H448" s="184" t="str">
        <f aca="false">ExportRaw!$A448</f>
        <v/>
      </c>
      <c r="I448" s="184" t="str">
        <f aca="false">ExportRaw!$B448</f>
        <v/>
      </c>
    </row>
    <row r="449" customFormat="false" ht="15.75" hidden="false" customHeight="false" outlineLevel="0" collapsed="false">
      <c r="A449" s="184" t="n">
        <f aca="false">ExportRaw!$F449</f>
        <v>0</v>
      </c>
      <c r="B449" s="184" t="n">
        <f aca="false">ExportRaw!$C449</f>
        <v>0</v>
      </c>
      <c r="C449" s="184" t="n">
        <f aca="false">ExportRaw!$G449</f>
        <v>0</v>
      </c>
      <c r="D449" s="184" t="str">
        <f aca="false">ExportRaw!$E449</f>
        <v/>
      </c>
      <c r="E449" s="185" t="str">
        <f aca="false">ExportRaw!$D449</f>
        <v/>
      </c>
      <c r="F449" s="184" t="str">
        <f aca="false">ExportRaw!$H449</f>
        <v/>
      </c>
      <c r="G449" s="186" t="str">
        <f aca="false">ExportRaw!$I449</f>
        <v/>
      </c>
      <c r="H449" s="184" t="str">
        <f aca="false">ExportRaw!$A449</f>
        <v/>
      </c>
      <c r="I449" s="184" t="str">
        <f aca="false">ExportRaw!$B449</f>
        <v/>
      </c>
    </row>
    <row r="450" customFormat="false" ht="15.75" hidden="false" customHeight="false" outlineLevel="0" collapsed="false">
      <c r="A450" s="184" t="n">
        <f aca="false">ExportRaw!$F450</f>
        <v>0</v>
      </c>
      <c r="B450" s="184" t="n">
        <f aca="false">ExportRaw!$C450</f>
        <v>0</v>
      </c>
      <c r="C450" s="184" t="n">
        <f aca="false">ExportRaw!$G450</f>
        <v>0</v>
      </c>
      <c r="D450" s="184" t="str">
        <f aca="false">ExportRaw!$E450</f>
        <v/>
      </c>
      <c r="E450" s="185" t="str">
        <f aca="false">ExportRaw!$D450</f>
        <v/>
      </c>
      <c r="F450" s="184" t="str">
        <f aca="false">ExportRaw!$H450</f>
        <v/>
      </c>
      <c r="G450" s="186" t="str">
        <f aca="false">ExportRaw!$I450</f>
        <v/>
      </c>
      <c r="H450" s="184" t="str">
        <f aca="false">ExportRaw!$A450</f>
        <v/>
      </c>
      <c r="I450" s="184" t="str">
        <f aca="false">ExportRaw!$B450</f>
        <v/>
      </c>
    </row>
    <row r="451" customFormat="false" ht="15.75" hidden="false" customHeight="false" outlineLevel="0" collapsed="false">
      <c r="A451" s="184" t="n">
        <f aca="false">ExportRaw!$F451</f>
        <v>0</v>
      </c>
      <c r="B451" s="184" t="n">
        <f aca="false">ExportRaw!$C451</f>
        <v>0</v>
      </c>
      <c r="C451" s="184" t="n">
        <f aca="false">ExportRaw!$G451</f>
        <v>0</v>
      </c>
      <c r="D451" s="184" t="str">
        <f aca="false">ExportRaw!$E451</f>
        <v/>
      </c>
      <c r="E451" s="185" t="str">
        <f aca="false">ExportRaw!$D451</f>
        <v/>
      </c>
      <c r="F451" s="184" t="str">
        <f aca="false">ExportRaw!$H451</f>
        <v/>
      </c>
      <c r="G451" s="186" t="str">
        <f aca="false">ExportRaw!$I451</f>
        <v/>
      </c>
      <c r="H451" s="184" t="str">
        <f aca="false">ExportRaw!$A451</f>
        <v/>
      </c>
      <c r="I451" s="184" t="str">
        <f aca="false">ExportRaw!$B451</f>
        <v/>
      </c>
    </row>
    <row r="452" customFormat="false" ht="15.75" hidden="false" customHeight="false" outlineLevel="0" collapsed="false">
      <c r="A452" s="184" t="n">
        <f aca="false">ExportRaw!$F452</f>
        <v>0</v>
      </c>
      <c r="B452" s="184" t="n">
        <f aca="false">ExportRaw!$C452</f>
        <v>0</v>
      </c>
      <c r="C452" s="184" t="n">
        <f aca="false">ExportRaw!$G452</f>
        <v>0</v>
      </c>
      <c r="D452" s="184" t="str">
        <f aca="false">ExportRaw!$E452</f>
        <v/>
      </c>
      <c r="E452" s="185" t="str">
        <f aca="false">ExportRaw!$D452</f>
        <v/>
      </c>
      <c r="F452" s="184" t="str">
        <f aca="false">ExportRaw!$H452</f>
        <v/>
      </c>
      <c r="G452" s="186" t="str">
        <f aca="false">ExportRaw!$I452</f>
        <v/>
      </c>
      <c r="H452" s="184" t="str">
        <f aca="false">ExportRaw!$A452</f>
        <v/>
      </c>
      <c r="I452" s="184" t="str">
        <f aca="false">ExportRaw!$B452</f>
        <v/>
      </c>
    </row>
    <row r="453" customFormat="false" ht="15.75" hidden="false" customHeight="false" outlineLevel="0" collapsed="false">
      <c r="A453" s="184" t="n">
        <f aca="false">ExportRaw!$F453</f>
        <v>0</v>
      </c>
      <c r="B453" s="184" t="n">
        <f aca="false">ExportRaw!$C453</f>
        <v>0</v>
      </c>
      <c r="C453" s="184" t="n">
        <f aca="false">ExportRaw!$G453</f>
        <v>0</v>
      </c>
      <c r="D453" s="184" t="str">
        <f aca="false">ExportRaw!$E453</f>
        <v/>
      </c>
      <c r="E453" s="185" t="str">
        <f aca="false">ExportRaw!$D453</f>
        <v/>
      </c>
      <c r="F453" s="184" t="str">
        <f aca="false">ExportRaw!$H453</f>
        <v/>
      </c>
      <c r="G453" s="186" t="str">
        <f aca="false">ExportRaw!$I453</f>
        <v/>
      </c>
      <c r="H453" s="184" t="str">
        <f aca="false">ExportRaw!$A453</f>
        <v/>
      </c>
      <c r="I453" s="184" t="str">
        <f aca="false">ExportRaw!$B453</f>
        <v/>
      </c>
    </row>
    <row r="454" customFormat="false" ht="15.75" hidden="false" customHeight="false" outlineLevel="0" collapsed="false">
      <c r="A454" s="184" t="n">
        <f aca="false">ExportRaw!$F454</f>
        <v>0</v>
      </c>
      <c r="B454" s="184" t="n">
        <f aca="false">ExportRaw!$C454</f>
        <v>0</v>
      </c>
      <c r="C454" s="184" t="n">
        <f aca="false">ExportRaw!$G454</f>
        <v>0</v>
      </c>
      <c r="D454" s="184" t="str">
        <f aca="false">ExportRaw!$E454</f>
        <v/>
      </c>
      <c r="E454" s="185" t="str">
        <f aca="false">ExportRaw!$D454</f>
        <v/>
      </c>
      <c r="F454" s="184" t="str">
        <f aca="false">ExportRaw!$H454</f>
        <v/>
      </c>
      <c r="G454" s="186" t="str">
        <f aca="false">ExportRaw!$I454</f>
        <v/>
      </c>
      <c r="H454" s="184" t="str">
        <f aca="false">ExportRaw!$A454</f>
        <v/>
      </c>
      <c r="I454" s="184" t="str">
        <f aca="false">ExportRaw!$B454</f>
        <v/>
      </c>
    </row>
    <row r="455" customFormat="false" ht="15.75" hidden="false" customHeight="false" outlineLevel="0" collapsed="false">
      <c r="A455" s="184" t="n">
        <f aca="false">ExportRaw!$F455</f>
        <v>0</v>
      </c>
      <c r="B455" s="184" t="n">
        <f aca="false">ExportRaw!$C455</f>
        <v>0</v>
      </c>
      <c r="C455" s="184" t="n">
        <f aca="false">ExportRaw!$G455</f>
        <v>0</v>
      </c>
      <c r="D455" s="184" t="str">
        <f aca="false">ExportRaw!$E455</f>
        <v/>
      </c>
      <c r="E455" s="185" t="str">
        <f aca="false">ExportRaw!$D455</f>
        <v/>
      </c>
      <c r="F455" s="184" t="str">
        <f aca="false">ExportRaw!$H455</f>
        <v/>
      </c>
      <c r="G455" s="186" t="str">
        <f aca="false">ExportRaw!$I455</f>
        <v/>
      </c>
      <c r="H455" s="184" t="str">
        <f aca="false">ExportRaw!$A455</f>
        <v/>
      </c>
      <c r="I455" s="184" t="str">
        <f aca="false">ExportRaw!$B455</f>
        <v/>
      </c>
    </row>
    <row r="456" customFormat="false" ht="15.75" hidden="false" customHeight="false" outlineLevel="0" collapsed="false">
      <c r="A456" s="184" t="n">
        <f aca="false">ExportRaw!$F456</f>
        <v>0</v>
      </c>
      <c r="B456" s="184" t="n">
        <f aca="false">ExportRaw!$C456</f>
        <v>0</v>
      </c>
      <c r="C456" s="184" t="n">
        <f aca="false">ExportRaw!$G456</f>
        <v>0</v>
      </c>
      <c r="D456" s="184" t="str">
        <f aca="false">ExportRaw!$E456</f>
        <v/>
      </c>
      <c r="E456" s="185" t="str">
        <f aca="false">ExportRaw!$D456</f>
        <v/>
      </c>
      <c r="F456" s="184" t="str">
        <f aca="false">ExportRaw!$H456</f>
        <v/>
      </c>
      <c r="G456" s="186" t="str">
        <f aca="false">ExportRaw!$I456</f>
        <v/>
      </c>
      <c r="H456" s="184" t="str">
        <f aca="false">ExportRaw!$A456</f>
        <v/>
      </c>
      <c r="I456" s="184" t="str">
        <f aca="false">ExportRaw!$B456</f>
        <v/>
      </c>
    </row>
    <row r="457" customFormat="false" ht="15.75" hidden="false" customHeight="false" outlineLevel="0" collapsed="false">
      <c r="A457" s="184" t="n">
        <f aca="false">ExportRaw!$F457</f>
        <v>0</v>
      </c>
      <c r="B457" s="184" t="n">
        <f aca="false">ExportRaw!$C457</f>
        <v>0</v>
      </c>
      <c r="C457" s="184" t="n">
        <f aca="false">ExportRaw!$G457</f>
        <v>0</v>
      </c>
      <c r="D457" s="184" t="str">
        <f aca="false">ExportRaw!$E457</f>
        <v/>
      </c>
      <c r="E457" s="185" t="str">
        <f aca="false">ExportRaw!$D457</f>
        <v/>
      </c>
      <c r="F457" s="184" t="str">
        <f aca="false">ExportRaw!$H457</f>
        <v/>
      </c>
      <c r="G457" s="186" t="str">
        <f aca="false">ExportRaw!$I457</f>
        <v/>
      </c>
      <c r="H457" s="184" t="str">
        <f aca="false">ExportRaw!$A457</f>
        <v/>
      </c>
      <c r="I457" s="184" t="str">
        <f aca="false">ExportRaw!$B457</f>
        <v/>
      </c>
    </row>
    <row r="458" customFormat="false" ht="15.75" hidden="false" customHeight="false" outlineLevel="0" collapsed="false">
      <c r="A458" s="184" t="n">
        <f aca="false">ExportRaw!$F458</f>
        <v>0</v>
      </c>
      <c r="B458" s="184" t="n">
        <f aca="false">ExportRaw!$C458</f>
        <v>0</v>
      </c>
      <c r="C458" s="184" t="n">
        <f aca="false">ExportRaw!$G458</f>
        <v>0</v>
      </c>
      <c r="D458" s="184" t="str">
        <f aca="false">ExportRaw!$E458</f>
        <v/>
      </c>
      <c r="E458" s="185" t="str">
        <f aca="false">ExportRaw!$D458</f>
        <v/>
      </c>
      <c r="F458" s="184" t="str">
        <f aca="false">ExportRaw!$H458</f>
        <v/>
      </c>
      <c r="G458" s="186" t="str">
        <f aca="false">ExportRaw!$I458</f>
        <v/>
      </c>
      <c r="H458" s="184" t="str">
        <f aca="false">ExportRaw!$A458</f>
        <v/>
      </c>
      <c r="I458" s="184" t="str">
        <f aca="false">ExportRaw!$B458</f>
        <v/>
      </c>
    </row>
    <row r="459" customFormat="false" ht="15.75" hidden="false" customHeight="false" outlineLevel="0" collapsed="false">
      <c r="A459" s="184" t="n">
        <f aca="false">ExportRaw!$F459</f>
        <v>0</v>
      </c>
      <c r="B459" s="184" t="n">
        <f aca="false">ExportRaw!$C459</f>
        <v>0</v>
      </c>
      <c r="C459" s="184" t="n">
        <f aca="false">ExportRaw!$G459</f>
        <v>0</v>
      </c>
      <c r="D459" s="184" t="str">
        <f aca="false">ExportRaw!$E459</f>
        <v/>
      </c>
      <c r="E459" s="185" t="str">
        <f aca="false">ExportRaw!$D459</f>
        <v/>
      </c>
      <c r="F459" s="184" t="str">
        <f aca="false">ExportRaw!$H459</f>
        <v/>
      </c>
      <c r="G459" s="186" t="str">
        <f aca="false">ExportRaw!$I459</f>
        <v/>
      </c>
      <c r="H459" s="184" t="str">
        <f aca="false">ExportRaw!$A459</f>
        <v/>
      </c>
      <c r="I459" s="184" t="str">
        <f aca="false">ExportRaw!$B459</f>
        <v/>
      </c>
    </row>
    <row r="460" customFormat="false" ht="15.75" hidden="false" customHeight="false" outlineLevel="0" collapsed="false">
      <c r="A460" s="184" t="n">
        <f aca="false">ExportRaw!$F460</f>
        <v>0</v>
      </c>
      <c r="B460" s="184" t="n">
        <f aca="false">ExportRaw!$C460</f>
        <v>0</v>
      </c>
      <c r="C460" s="184" t="n">
        <f aca="false">ExportRaw!$G460</f>
        <v>0</v>
      </c>
      <c r="D460" s="184" t="str">
        <f aca="false">ExportRaw!$E460</f>
        <v/>
      </c>
      <c r="E460" s="185" t="str">
        <f aca="false">ExportRaw!$D460</f>
        <v/>
      </c>
      <c r="F460" s="184" t="str">
        <f aca="false">ExportRaw!$H460</f>
        <v/>
      </c>
      <c r="G460" s="186" t="str">
        <f aca="false">ExportRaw!$I460</f>
        <v/>
      </c>
      <c r="H460" s="184" t="str">
        <f aca="false">ExportRaw!$A460</f>
        <v/>
      </c>
      <c r="I460" s="184" t="str">
        <f aca="false">ExportRaw!$B460</f>
        <v/>
      </c>
    </row>
    <row r="461" customFormat="false" ht="15.75" hidden="false" customHeight="false" outlineLevel="0" collapsed="false">
      <c r="A461" s="184" t="n">
        <f aca="false">ExportRaw!$F461</f>
        <v>0</v>
      </c>
      <c r="B461" s="184" t="n">
        <f aca="false">ExportRaw!$C461</f>
        <v>0</v>
      </c>
      <c r="C461" s="184" t="n">
        <f aca="false">ExportRaw!$G461</f>
        <v>0</v>
      </c>
      <c r="D461" s="184" t="str">
        <f aca="false">ExportRaw!$E461</f>
        <v/>
      </c>
      <c r="E461" s="185" t="str">
        <f aca="false">ExportRaw!$D461</f>
        <v/>
      </c>
      <c r="F461" s="184" t="str">
        <f aca="false">ExportRaw!$H461</f>
        <v/>
      </c>
      <c r="G461" s="186" t="str">
        <f aca="false">ExportRaw!$I461</f>
        <v/>
      </c>
      <c r="H461" s="184" t="str">
        <f aca="false">ExportRaw!$A461</f>
        <v/>
      </c>
      <c r="I461" s="184" t="str">
        <f aca="false">ExportRaw!$B461</f>
        <v/>
      </c>
    </row>
    <row r="462" customFormat="false" ht="15.75" hidden="false" customHeight="false" outlineLevel="0" collapsed="false">
      <c r="A462" s="184" t="n">
        <f aca="false">ExportRaw!$F462</f>
        <v>0</v>
      </c>
      <c r="B462" s="184" t="n">
        <f aca="false">ExportRaw!$C462</f>
        <v>0</v>
      </c>
      <c r="C462" s="184" t="n">
        <f aca="false">ExportRaw!$G462</f>
        <v>0</v>
      </c>
      <c r="D462" s="184" t="str">
        <f aca="false">ExportRaw!$E462</f>
        <v/>
      </c>
      <c r="E462" s="185" t="str">
        <f aca="false">ExportRaw!$D462</f>
        <v/>
      </c>
      <c r="F462" s="184" t="str">
        <f aca="false">ExportRaw!$H462</f>
        <v/>
      </c>
      <c r="G462" s="186" t="str">
        <f aca="false">ExportRaw!$I462</f>
        <v/>
      </c>
      <c r="H462" s="184" t="str">
        <f aca="false">ExportRaw!$A462</f>
        <v/>
      </c>
      <c r="I462" s="184" t="str">
        <f aca="false">ExportRaw!$B462</f>
        <v/>
      </c>
    </row>
    <row r="463" customFormat="false" ht="15.75" hidden="false" customHeight="false" outlineLevel="0" collapsed="false">
      <c r="A463" s="184" t="n">
        <f aca="false">ExportRaw!$F463</f>
        <v>0</v>
      </c>
      <c r="B463" s="184" t="n">
        <f aca="false">ExportRaw!$C463</f>
        <v>0</v>
      </c>
      <c r="C463" s="184" t="n">
        <f aca="false">ExportRaw!$G463</f>
        <v>0</v>
      </c>
      <c r="D463" s="184" t="str">
        <f aca="false">ExportRaw!$E463</f>
        <v/>
      </c>
      <c r="E463" s="185" t="str">
        <f aca="false">ExportRaw!$D463</f>
        <v/>
      </c>
      <c r="F463" s="184" t="str">
        <f aca="false">ExportRaw!$H463</f>
        <v/>
      </c>
      <c r="G463" s="186" t="str">
        <f aca="false">ExportRaw!$I463</f>
        <v/>
      </c>
      <c r="H463" s="184" t="str">
        <f aca="false">ExportRaw!$A463</f>
        <v/>
      </c>
      <c r="I463" s="184" t="str">
        <f aca="false">ExportRaw!$B463</f>
        <v/>
      </c>
    </row>
    <row r="464" customFormat="false" ht="15.75" hidden="false" customHeight="false" outlineLevel="0" collapsed="false">
      <c r="A464" s="184" t="n">
        <f aca="false">ExportRaw!$F464</f>
        <v>0</v>
      </c>
      <c r="B464" s="184" t="n">
        <f aca="false">ExportRaw!$C464</f>
        <v>0</v>
      </c>
      <c r="C464" s="184" t="n">
        <f aca="false">ExportRaw!$G464</f>
        <v>0</v>
      </c>
      <c r="D464" s="184" t="str">
        <f aca="false">ExportRaw!$E464</f>
        <v/>
      </c>
      <c r="E464" s="185" t="str">
        <f aca="false">ExportRaw!$D464</f>
        <v/>
      </c>
      <c r="F464" s="184" t="str">
        <f aca="false">ExportRaw!$H464</f>
        <v/>
      </c>
      <c r="G464" s="186" t="str">
        <f aca="false">ExportRaw!$I464</f>
        <v/>
      </c>
      <c r="H464" s="184" t="str">
        <f aca="false">ExportRaw!$A464</f>
        <v/>
      </c>
      <c r="I464" s="184" t="str">
        <f aca="false">ExportRaw!$B464</f>
        <v/>
      </c>
    </row>
    <row r="465" customFormat="false" ht="15.75" hidden="false" customHeight="false" outlineLevel="0" collapsed="false">
      <c r="A465" s="184" t="n">
        <f aca="false">ExportRaw!$F465</f>
        <v>0</v>
      </c>
      <c r="B465" s="184" t="n">
        <f aca="false">ExportRaw!$C465</f>
        <v>0</v>
      </c>
      <c r="C465" s="184" t="n">
        <f aca="false">ExportRaw!$G465</f>
        <v>0</v>
      </c>
      <c r="D465" s="184" t="str">
        <f aca="false">ExportRaw!$E465</f>
        <v/>
      </c>
      <c r="E465" s="185" t="str">
        <f aca="false">ExportRaw!$D465</f>
        <v/>
      </c>
      <c r="F465" s="184" t="str">
        <f aca="false">ExportRaw!$H465</f>
        <v/>
      </c>
      <c r="G465" s="186" t="str">
        <f aca="false">ExportRaw!$I465</f>
        <v/>
      </c>
      <c r="H465" s="184" t="str">
        <f aca="false">ExportRaw!$A465</f>
        <v/>
      </c>
      <c r="I465" s="184" t="str">
        <f aca="false">ExportRaw!$B465</f>
        <v/>
      </c>
    </row>
    <row r="466" customFormat="false" ht="15.75" hidden="false" customHeight="false" outlineLevel="0" collapsed="false">
      <c r="A466" s="184" t="n">
        <f aca="false">ExportRaw!$F466</f>
        <v>0</v>
      </c>
      <c r="B466" s="184" t="n">
        <f aca="false">ExportRaw!$C466</f>
        <v>0</v>
      </c>
      <c r="C466" s="184" t="n">
        <f aca="false">ExportRaw!$G466</f>
        <v>0</v>
      </c>
      <c r="D466" s="184" t="str">
        <f aca="false">ExportRaw!$E466</f>
        <v/>
      </c>
      <c r="E466" s="185" t="str">
        <f aca="false">ExportRaw!$D466</f>
        <v/>
      </c>
      <c r="F466" s="184" t="str">
        <f aca="false">ExportRaw!$H466</f>
        <v/>
      </c>
      <c r="G466" s="186" t="str">
        <f aca="false">ExportRaw!$I466</f>
        <v/>
      </c>
      <c r="H466" s="184" t="str">
        <f aca="false">ExportRaw!$A466</f>
        <v/>
      </c>
      <c r="I466" s="184" t="str">
        <f aca="false">ExportRaw!$B466</f>
        <v/>
      </c>
    </row>
    <row r="467" customFormat="false" ht="15.75" hidden="false" customHeight="false" outlineLevel="0" collapsed="false">
      <c r="A467" s="184" t="n">
        <f aca="false">ExportRaw!$F467</f>
        <v>0</v>
      </c>
      <c r="B467" s="184" t="n">
        <f aca="false">ExportRaw!$C467</f>
        <v>0</v>
      </c>
      <c r="C467" s="184" t="n">
        <f aca="false">ExportRaw!$G467</f>
        <v>0</v>
      </c>
      <c r="D467" s="184" t="str">
        <f aca="false">ExportRaw!$E467</f>
        <v/>
      </c>
      <c r="E467" s="185" t="str">
        <f aca="false">ExportRaw!$D467</f>
        <v/>
      </c>
      <c r="F467" s="184" t="str">
        <f aca="false">ExportRaw!$H467</f>
        <v/>
      </c>
      <c r="G467" s="186" t="str">
        <f aca="false">ExportRaw!$I467</f>
        <v/>
      </c>
      <c r="H467" s="184" t="str">
        <f aca="false">ExportRaw!$A467</f>
        <v/>
      </c>
      <c r="I467" s="184" t="str">
        <f aca="false">ExportRaw!$B467</f>
        <v/>
      </c>
    </row>
    <row r="468" customFormat="false" ht="15.75" hidden="false" customHeight="false" outlineLevel="0" collapsed="false">
      <c r="A468" s="184" t="n">
        <f aca="false">ExportRaw!$F468</f>
        <v>0</v>
      </c>
      <c r="B468" s="184" t="n">
        <f aca="false">ExportRaw!$C468</f>
        <v>0</v>
      </c>
      <c r="C468" s="184" t="n">
        <f aca="false">ExportRaw!$G468</f>
        <v>0</v>
      </c>
      <c r="D468" s="184" t="str">
        <f aca="false">ExportRaw!$E468</f>
        <v/>
      </c>
      <c r="E468" s="185" t="str">
        <f aca="false">ExportRaw!$D468</f>
        <v/>
      </c>
      <c r="F468" s="184" t="str">
        <f aca="false">ExportRaw!$H468</f>
        <v/>
      </c>
      <c r="G468" s="186" t="str">
        <f aca="false">ExportRaw!$I468</f>
        <v/>
      </c>
      <c r="H468" s="184" t="str">
        <f aca="false">ExportRaw!$A468</f>
        <v/>
      </c>
      <c r="I468" s="184" t="str">
        <f aca="false">ExportRaw!$B468</f>
        <v/>
      </c>
    </row>
    <row r="469" customFormat="false" ht="15.75" hidden="false" customHeight="false" outlineLevel="0" collapsed="false">
      <c r="A469" s="184" t="n">
        <f aca="false">ExportRaw!$F469</f>
        <v>0</v>
      </c>
      <c r="B469" s="184" t="n">
        <f aca="false">ExportRaw!$C469</f>
        <v>0</v>
      </c>
      <c r="C469" s="184" t="n">
        <f aca="false">ExportRaw!$G469</f>
        <v>0</v>
      </c>
      <c r="D469" s="184" t="str">
        <f aca="false">ExportRaw!$E469</f>
        <v/>
      </c>
      <c r="E469" s="185" t="str">
        <f aca="false">ExportRaw!$D469</f>
        <v/>
      </c>
      <c r="F469" s="184" t="str">
        <f aca="false">ExportRaw!$H469</f>
        <v/>
      </c>
      <c r="G469" s="186" t="str">
        <f aca="false">ExportRaw!$I469</f>
        <v/>
      </c>
      <c r="H469" s="184" t="str">
        <f aca="false">ExportRaw!$A469</f>
        <v/>
      </c>
      <c r="I469" s="184" t="str">
        <f aca="false">ExportRaw!$B469</f>
        <v/>
      </c>
    </row>
    <row r="470" customFormat="false" ht="15.75" hidden="false" customHeight="false" outlineLevel="0" collapsed="false">
      <c r="A470" s="184" t="n">
        <f aca="false">ExportRaw!$F470</f>
        <v>0</v>
      </c>
      <c r="B470" s="184" t="n">
        <f aca="false">ExportRaw!$C470</f>
        <v>0</v>
      </c>
      <c r="C470" s="184" t="n">
        <f aca="false">ExportRaw!$G470</f>
        <v>0</v>
      </c>
      <c r="D470" s="184" t="str">
        <f aca="false">ExportRaw!$E470</f>
        <v/>
      </c>
      <c r="E470" s="185" t="str">
        <f aca="false">ExportRaw!$D470</f>
        <v/>
      </c>
      <c r="F470" s="184" t="str">
        <f aca="false">ExportRaw!$H470</f>
        <v/>
      </c>
      <c r="G470" s="186" t="str">
        <f aca="false">ExportRaw!$I470</f>
        <v/>
      </c>
      <c r="H470" s="184" t="str">
        <f aca="false">ExportRaw!$A470</f>
        <v/>
      </c>
      <c r="I470" s="184" t="str">
        <f aca="false">ExportRaw!$B470</f>
        <v/>
      </c>
    </row>
    <row r="471" customFormat="false" ht="15.75" hidden="false" customHeight="false" outlineLevel="0" collapsed="false">
      <c r="A471" s="184" t="n">
        <f aca="false">ExportRaw!$F471</f>
        <v>0</v>
      </c>
      <c r="B471" s="184" t="n">
        <f aca="false">ExportRaw!$C471</f>
        <v>0</v>
      </c>
      <c r="C471" s="184" t="n">
        <f aca="false">ExportRaw!$G471</f>
        <v>0</v>
      </c>
      <c r="D471" s="184" t="str">
        <f aca="false">ExportRaw!$E471</f>
        <v/>
      </c>
      <c r="E471" s="185" t="str">
        <f aca="false">ExportRaw!$D471</f>
        <v/>
      </c>
      <c r="F471" s="184" t="str">
        <f aca="false">ExportRaw!$H471</f>
        <v/>
      </c>
      <c r="G471" s="186" t="str">
        <f aca="false">ExportRaw!$I471</f>
        <v/>
      </c>
      <c r="H471" s="184" t="str">
        <f aca="false">ExportRaw!$A471</f>
        <v/>
      </c>
      <c r="I471" s="184" t="str">
        <f aca="false">ExportRaw!$B471</f>
        <v/>
      </c>
    </row>
    <row r="472" customFormat="false" ht="15.75" hidden="false" customHeight="false" outlineLevel="0" collapsed="false">
      <c r="A472" s="184" t="n">
        <f aca="false">ExportRaw!$F472</f>
        <v>0</v>
      </c>
      <c r="B472" s="184" t="n">
        <f aca="false">ExportRaw!$C472</f>
        <v>0</v>
      </c>
      <c r="C472" s="184" t="n">
        <f aca="false">ExportRaw!$G472</f>
        <v>0</v>
      </c>
      <c r="D472" s="184" t="str">
        <f aca="false">ExportRaw!$E472</f>
        <v/>
      </c>
      <c r="E472" s="185" t="str">
        <f aca="false">ExportRaw!$D472</f>
        <v/>
      </c>
      <c r="F472" s="184" t="str">
        <f aca="false">ExportRaw!$H472</f>
        <v/>
      </c>
      <c r="G472" s="186" t="str">
        <f aca="false">ExportRaw!$I472</f>
        <v/>
      </c>
      <c r="H472" s="184" t="str">
        <f aca="false">ExportRaw!$A472</f>
        <v/>
      </c>
      <c r="I472" s="184" t="str">
        <f aca="false">ExportRaw!$B472</f>
        <v/>
      </c>
    </row>
    <row r="473" customFormat="false" ht="15.75" hidden="false" customHeight="false" outlineLevel="0" collapsed="false">
      <c r="A473" s="184" t="n">
        <f aca="false">ExportRaw!$F473</f>
        <v>0</v>
      </c>
      <c r="B473" s="184" t="n">
        <f aca="false">ExportRaw!$C473</f>
        <v>0</v>
      </c>
      <c r="C473" s="184" t="n">
        <f aca="false">ExportRaw!$G473</f>
        <v>0</v>
      </c>
      <c r="D473" s="184" t="str">
        <f aca="false">ExportRaw!$E473</f>
        <v/>
      </c>
      <c r="E473" s="185" t="str">
        <f aca="false">ExportRaw!$D473</f>
        <v/>
      </c>
      <c r="F473" s="184" t="str">
        <f aca="false">ExportRaw!$H473</f>
        <v/>
      </c>
      <c r="G473" s="186" t="str">
        <f aca="false">ExportRaw!$I473</f>
        <v/>
      </c>
      <c r="H473" s="184" t="str">
        <f aca="false">ExportRaw!$A473</f>
        <v/>
      </c>
      <c r="I473" s="184" t="str">
        <f aca="false">ExportRaw!$B473</f>
        <v/>
      </c>
    </row>
    <row r="474" customFormat="false" ht="15.75" hidden="false" customHeight="false" outlineLevel="0" collapsed="false">
      <c r="A474" s="184" t="n">
        <f aca="false">ExportRaw!$F474</f>
        <v>0</v>
      </c>
      <c r="B474" s="184" t="n">
        <f aca="false">ExportRaw!$C474</f>
        <v>0</v>
      </c>
      <c r="C474" s="184" t="n">
        <f aca="false">ExportRaw!$G474</f>
        <v>0</v>
      </c>
      <c r="D474" s="184" t="str">
        <f aca="false">ExportRaw!$E474</f>
        <v/>
      </c>
      <c r="E474" s="185" t="str">
        <f aca="false">ExportRaw!$D474</f>
        <v/>
      </c>
      <c r="F474" s="184" t="str">
        <f aca="false">ExportRaw!$H474</f>
        <v/>
      </c>
      <c r="G474" s="186" t="str">
        <f aca="false">ExportRaw!$I474</f>
        <v/>
      </c>
      <c r="H474" s="184" t="str">
        <f aca="false">ExportRaw!$A474</f>
        <v/>
      </c>
      <c r="I474" s="184" t="str">
        <f aca="false">ExportRaw!$B474</f>
        <v/>
      </c>
    </row>
    <row r="475" customFormat="false" ht="15.75" hidden="false" customHeight="false" outlineLevel="0" collapsed="false">
      <c r="A475" s="184" t="n">
        <f aca="false">ExportRaw!$F475</f>
        <v>0</v>
      </c>
      <c r="B475" s="184" t="n">
        <f aca="false">ExportRaw!$C475</f>
        <v>0</v>
      </c>
      <c r="C475" s="184" t="n">
        <f aca="false">ExportRaw!$G475</f>
        <v>0</v>
      </c>
      <c r="D475" s="184" t="str">
        <f aca="false">ExportRaw!$E475</f>
        <v/>
      </c>
      <c r="E475" s="185" t="str">
        <f aca="false">ExportRaw!$D475</f>
        <v/>
      </c>
      <c r="F475" s="184" t="str">
        <f aca="false">ExportRaw!$H475</f>
        <v/>
      </c>
      <c r="G475" s="186" t="str">
        <f aca="false">ExportRaw!$I475</f>
        <v/>
      </c>
      <c r="H475" s="184" t="str">
        <f aca="false">ExportRaw!$A475</f>
        <v/>
      </c>
      <c r="I475" s="184" t="str">
        <f aca="false">ExportRaw!$B475</f>
        <v/>
      </c>
    </row>
    <row r="476" customFormat="false" ht="15.75" hidden="false" customHeight="false" outlineLevel="0" collapsed="false">
      <c r="A476" s="184" t="n">
        <f aca="false">ExportRaw!$F476</f>
        <v>0</v>
      </c>
      <c r="B476" s="184" t="n">
        <f aca="false">ExportRaw!$C476</f>
        <v>0</v>
      </c>
      <c r="C476" s="184" t="n">
        <f aca="false">ExportRaw!$G476</f>
        <v>0</v>
      </c>
      <c r="D476" s="184" t="str">
        <f aca="false">ExportRaw!$E476</f>
        <v/>
      </c>
      <c r="E476" s="185" t="str">
        <f aca="false">ExportRaw!$D476</f>
        <v/>
      </c>
      <c r="F476" s="184" t="str">
        <f aca="false">ExportRaw!$H476</f>
        <v/>
      </c>
      <c r="G476" s="186" t="str">
        <f aca="false">ExportRaw!$I476</f>
        <v/>
      </c>
      <c r="H476" s="184" t="str">
        <f aca="false">ExportRaw!$A476</f>
        <v/>
      </c>
      <c r="I476" s="184" t="str">
        <f aca="false">ExportRaw!$B476</f>
        <v/>
      </c>
    </row>
    <row r="477" customFormat="false" ht="15.75" hidden="false" customHeight="false" outlineLevel="0" collapsed="false">
      <c r="A477" s="184" t="n">
        <f aca="false">ExportRaw!$F477</f>
        <v>0</v>
      </c>
      <c r="B477" s="184" t="n">
        <f aca="false">ExportRaw!$C477</f>
        <v>0</v>
      </c>
      <c r="C477" s="184" t="n">
        <f aca="false">ExportRaw!$G477</f>
        <v>0</v>
      </c>
      <c r="D477" s="184" t="str">
        <f aca="false">ExportRaw!$E477</f>
        <v/>
      </c>
      <c r="E477" s="185" t="str">
        <f aca="false">ExportRaw!$D477</f>
        <v/>
      </c>
      <c r="F477" s="184" t="str">
        <f aca="false">ExportRaw!$H477</f>
        <v/>
      </c>
      <c r="G477" s="186" t="str">
        <f aca="false">ExportRaw!$I477</f>
        <v/>
      </c>
      <c r="H477" s="184" t="str">
        <f aca="false">ExportRaw!$A477</f>
        <v/>
      </c>
      <c r="I477" s="184" t="str">
        <f aca="false">ExportRaw!$B477</f>
        <v/>
      </c>
    </row>
    <row r="478" customFormat="false" ht="15.75" hidden="false" customHeight="false" outlineLevel="0" collapsed="false">
      <c r="A478" s="184" t="n">
        <f aca="false">ExportRaw!$F478</f>
        <v>0</v>
      </c>
      <c r="B478" s="184" t="n">
        <f aca="false">ExportRaw!$C478</f>
        <v>0</v>
      </c>
      <c r="C478" s="184" t="n">
        <f aca="false">ExportRaw!$G478</f>
        <v>0</v>
      </c>
      <c r="D478" s="184" t="str">
        <f aca="false">ExportRaw!$E478</f>
        <v/>
      </c>
      <c r="E478" s="185" t="str">
        <f aca="false">ExportRaw!$D478</f>
        <v/>
      </c>
      <c r="F478" s="184" t="str">
        <f aca="false">ExportRaw!$H478</f>
        <v/>
      </c>
      <c r="G478" s="186" t="str">
        <f aca="false">ExportRaw!$I478</f>
        <v/>
      </c>
      <c r="H478" s="184" t="str">
        <f aca="false">ExportRaw!$A478</f>
        <v/>
      </c>
      <c r="I478" s="184" t="str">
        <f aca="false">ExportRaw!$B478</f>
        <v/>
      </c>
    </row>
    <row r="479" customFormat="false" ht="15.75" hidden="false" customHeight="false" outlineLevel="0" collapsed="false">
      <c r="A479" s="184" t="n">
        <f aca="false">ExportRaw!$F479</f>
        <v>0</v>
      </c>
      <c r="B479" s="184" t="n">
        <f aca="false">ExportRaw!$C479</f>
        <v>0</v>
      </c>
      <c r="C479" s="184" t="n">
        <f aca="false">ExportRaw!$G479</f>
        <v>0</v>
      </c>
      <c r="D479" s="184" t="str">
        <f aca="false">ExportRaw!$E479</f>
        <v/>
      </c>
      <c r="E479" s="185" t="str">
        <f aca="false">ExportRaw!$D479</f>
        <v/>
      </c>
      <c r="F479" s="184" t="str">
        <f aca="false">ExportRaw!$H479</f>
        <v/>
      </c>
      <c r="G479" s="186" t="str">
        <f aca="false">ExportRaw!$I479</f>
        <v/>
      </c>
      <c r="H479" s="184" t="str">
        <f aca="false">ExportRaw!$A479</f>
        <v/>
      </c>
      <c r="I479" s="184" t="str">
        <f aca="false">ExportRaw!$B479</f>
        <v/>
      </c>
    </row>
    <row r="480" customFormat="false" ht="15.75" hidden="false" customHeight="false" outlineLevel="0" collapsed="false">
      <c r="A480" s="184" t="n">
        <f aca="false">ExportRaw!$F480</f>
        <v>0</v>
      </c>
      <c r="B480" s="184" t="n">
        <f aca="false">ExportRaw!$C480</f>
        <v>0</v>
      </c>
      <c r="C480" s="184" t="n">
        <f aca="false">ExportRaw!$G480</f>
        <v>0</v>
      </c>
      <c r="D480" s="184" t="str">
        <f aca="false">ExportRaw!$E480</f>
        <v/>
      </c>
      <c r="E480" s="185" t="str">
        <f aca="false">ExportRaw!$D480</f>
        <v/>
      </c>
      <c r="F480" s="184" t="str">
        <f aca="false">ExportRaw!$H480</f>
        <v/>
      </c>
      <c r="G480" s="186" t="str">
        <f aca="false">ExportRaw!$I480</f>
        <v/>
      </c>
      <c r="H480" s="184" t="str">
        <f aca="false">ExportRaw!$A480</f>
        <v/>
      </c>
      <c r="I480" s="184" t="str">
        <f aca="false">ExportRaw!$B480</f>
        <v/>
      </c>
    </row>
    <row r="481" customFormat="false" ht="15.75" hidden="false" customHeight="false" outlineLevel="0" collapsed="false">
      <c r="A481" s="184" t="n">
        <f aca="false">ExportRaw!$F481</f>
        <v>0</v>
      </c>
      <c r="B481" s="184" t="n">
        <f aca="false">ExportRaw!$C481</f>
        <v>0</v>
      </c>
      <c r="C481" s="184" t="n">
        <f aca="false">ExportRaw!$G481</f>
        <v>0</v>
      </c>
      <c r="D481" s="184" t="str">
        <f aca="false">ExportRaw!$E481</f>
        <v/>
      </c>
      <c r="E481" s="185" t="str">
        <f aca="false">ExportRaw!$D481</f>
        <v/>
      </c>
      <c r="F481" s="184" t="str">
        <f aca="false">ExportRaw!$H481</f>
        <v/>
      </c>
      <c r="G481" s="186" t="str">
        <f aca="false">ExportRaw!$I481</f>
        <v/>
      </c>
      <c r="H481" s="184" t="str">
        <f aca="false">ExportRaw!$A481</f>
        <v/>
      </c>
      <c r="I481" s="184" t="str">
        <f aca="false">ExportRaw!$B481</f>
        <v/>
      </c>
    </row>
    <row r="482" customFormat="false" ht="15.75" hidden="false" customHeight="false" outlineLevel="0" collapsed="false">
      <c r="A482" s="184" t="n">
        <f aca="false">ExportRaw!$F482</f>
        <v>0</v>
      </c>
      <c r="B482" s="184" t="n">
        <f aca="false">ExportRaw!$C482</f>
        <v>0</v>
      </c>
      <c r="C482" s="184" t="n">
        <f aca="false">ExportRaw!$G482</f>
        <v>0</v>
      </c>
      <c r="D482" s="184" t="str">
        <f aca="false">ExportRaw!$E482</f>
        <v/>
      </c>
      <c r="E482" s="185" t="str">
        <f aca="false">ExportRaw!$D482</f>
        <v/>
      </c>
      <c r="F482" s="184" t="str">
        <f aca="false">ExportRaw!$H482</f>
        <v/>
      </c>
      <c r="G482" s="186" t="str">
        <f aca="false">ExportRaw!$I482</f>
        <v/>
      </c>
      <c r="H482" s="184" t="str">
        <f aca="false">ExportRaw!$A482</f>
        <v/>
      </c>
      <c r="I482" s="184" t="str">
        <f aca="false">ExportRaw!$B482</f>
        <v/>
      </c>
    </row>
    <row r="483" customFormat="false" ht="15.75" hidden="false" customHeight="false" outlineLevel="0" collapsed="false">
      <c r="A483" s="184" t="n">
        <f aca="false">ExportRaw!$F483</f>
        <v>0</v>
      </c>
      <c r="B483" s="184" t="n">
        <f aca="false">ExportRaw!$C483</f>
        <v>0</v>
      </c>
      <c r="C483" s="184" t="n">
        <f aca="false">ExportRaw!$G483</f>
        <v>0</v>
      </c>
      <c r="D483" s="184" t="str">
        <f aca="false">ExportRaw!$E483</f>
        <v/>
      </c>
      <c r="E483" s="185" t="str">
        <f aca="false">ExportRaw!$D483</f>
        <v/>
      </c>
      <c r="F483" s="184" t="str">
        <f aca="false">ExportRaw!$H483</f>
        <v/>
      </c>
      <c r="G483" s="186" t="str">
        <f aca="false">ExportRaw!$I483</f>
        <v/>
      </c>
      <c r="H483" s="184" t="str">
        <f aca="false">ExportRaw!$A483</f>
        <v/>
      </c>
      <c r="I483" s="184" t="str">
        <f aca="false">ExportRaw!$B483</f>
        <v/>
      </c>
    </row>
    <row r="484" customFormat="false" ht="15.75" hidden="false" customHeight="false" outlineLevel="0" collapsed="false">
      <c r="A484" s="184" t="n">
        <f aca="false">ExportRaw!$F484</f>
        <v>0</v>
      </c>
      <c r="B484" s="184" t="n">
        <f aca="false">ExportRaw!$C484</f>
        <v>0</v>
      </c>
      <c r="C484" s="184" t="n">
        <f aca="false">ExportRaw!$G484</f>
        <v>0</v>
      </c>
      <c r="D484" s="184" t="str">
        <f aca="false">ExportRaw!$E484</f>
        <v/>
      </c>
      <c r="E484" s="185" t="str">
        <f aca="false">ExportRaw!$D484</f>
        <v/>
      </c>
      <c r="F484" s="184" t="str">
        <f aca="false">ExportRaw!$H484</f>
        <v/>
      </c>
      <c r="G484" s="186" t="str">
        <f aca="false">ExportRaw!$I484</f>
        <v/>
      </c>
      <c r="H484" s="184" t="str">
        <f aca="false">ExportRaw!$A484</f>
        <v/>
      </c>
      <c r="I484" s="184" t="str">
        <f aca="false">ExportRaw!$B484</f>
        <v/>
      </c>
    </row>
    <row r="485" customFormat="false" ht="15.75" hidden="false" customHeight="false" outlineLevel="0" collapsed="false">
      <c r="A485" s="184" t="n">
        <f aca="false">ExportRaw!$F485</f>
        <v>0</v>
      </c>
      <c r="B485" s="184" t="n">
        <f aca="false">ExportRaw!$C485</f>
        <v>0</v>
      </c>
      <c r="C485" s="184" t="n">
        <f aca="false">ExportRaw!$G485</f>
        <v>0</v>
      </c>
      <c r="D485" s="184" t="str">
        <f aca="false">ExportRaw!$E485</f>
        <v/>
      </c>
      <c r="E485" s="185" t="str">
        <f aca="false">ExportRaw!$D485</f>
        <v/>
      </c>
      <c r="F485" s="184" t="str">
        <f aca="false">ExportRaw!$H485</f>
        <v/>
      </c>
      <c r="G485" s="186" t="str">
        <f aca="false">ExportRaw!$I485</f>
        <v/>
      </c>
      <c r="H485" s="184" t="str">
        <f aca="false">ExportRaw!$A485</f>
        <v/>
      </c>
      <c r="I485" s="184" t="str">
        <f aca="false">ExportRaw!$B485</f>
        <v/>
      </c>
    </row>
    <row r="486" customFormat="false" ht="15.75" hidden="false" customHeight="false" outlineLevel="0" collapsed="false">
      <c r="A486" s="184" t="n">
        <f aca="false">ExportRaw!$F486</f>
        <v>0</v>
      </c>
      <c r="B486" s="184" t="n">
        <f aca="false">ExportRaw!$C486</f>
        <v>0</v>
      </c>
      <c r="C486" s="184" t="n">
        <f aca="false">ExportRaw!$G486</f>
        <v>0</v>
      </c>
      <c r="D486" s="184" t="str">
        <f aca="false">ExportRaw!$E486</f>
        <v/>
      </c>
      <c r="E486" s="185" t="str">
        <f aca="false">ExportRaw!$D486</f>
        <v/>
      </c>
      <c r="F486" s="184" t="str">
        <f aca="false">ExportRaw!$H486</f>
        <v/>
      </c>
      <c r="G486" s="186" t="str">
        <f aca="false">ExportRaw!$I486</f>
        <v/>
      </c>
      <c r="H486" s="184" t="str">
        <f aca="false">ExportRaw!$A486</f>
        <v/>
      </c>
      <c r="I486" s="184" t="str">
        <f aca="false">ExportRaw!$B486</f>
        <v/>
      </c>
    </row>
    <row r="487" customFormat="false" ht="15.75" hidden="false" customHeight="false" outlineLevel="0" collapsed="false">
      <c r="A487" s="184" t="n">
        <f aca="false">ExportRaw!$F487</f>
        <v>0</v>
      </c>
      <c r="B487" s="184" t="n">
        <f aca="false">ExportRaw!$C487</f>
        <v>0</v>
      </c>
      <c r="C487" s="184" t="n">
        <f aca="false">ExportRaw!$G487</f>
        <v>0</v>
      </c>
      <c r="D487" s="184" t="str">
        <f aca="false">ExportRaw!$E487</f>
        <v/>
      </c>
      <c r="E487" s="185" t="str">
        <f aca="false">ExportRaw!$D487</f>
        <v/>
      </c>
      <c r="F487" s="184" t="str">
        <f aca="false">ExportRaw!$H487</f>
        <v/>
      </c>
      <c r="G487" s="186" t="str">
        <f aca="false">ExportRaw!$I487</f>
        <v/>
      </c>
      <c r="H487" s="184" t="str">
        <f aca="false">ExportRaw!$A487</f>
        <v/>
      </c>
      <c r="I487" s="184" t="str">
        <f aca="false">ExportRaw!$B487</f>
        <v/>
      </c>
    </row>
    <row r="488" customFormat="false" ht="15.75" hidden="false" customHeight="false" outlineLevel="0" collapsed="false">
      <c r="A488" s="184" t="n">
        <f aca="false">ExportRaw!$F488</f>
        <v>0</v>
      </c>
      <c r="B488" s="184" t="n">
        <f aca="false">ExportRaw!$C488</f>
        <v>0</v>
      </c>
      <c r="C488" s="184" t="n">
        <f aca="false">ExportRaw!$G488</f>
        <v>0</v>
      </c>
      <c r="D488" s="184" t="str">
        <f aca="false">ExportRaw!$E488</f>
        <v/>
      </c>
      <c r="E488" s="185" t="str">
        <f aca="false">ExportRaw!$D488</f>
        <v/>
      </c>
      <c r="F488" s="184" t="str">
        <f aca="false">ExportRaw!$H488</f>
        <v/>
      </c>
      <c r="G488" s="186" t="str">
        <f aca="false">ExportRaw!$I488</f>
        <v/>
      </c>
      <c r="H488" s="184" t="str">
        <f aca="false">ExportRaw!$A488</f>
        <v/>
      </c>
      <c r="I488" s="184" t="str">
        <f aca="false">ExportRaw!$B488</f>
        <v/>
      </c>
    </row>
    <row r="489" customFormat="false" ht="15.75" hidden="false" customHeight="false" outlineLevel="0" collapsed="false">
      <c r="A489" s="184" t="n">
        <f aca="false">ExportRaw!$F489</f>
        <v>0</v>
      </c>
      <c r="B489" s="184" t="n">
        <f aca="false">ExportRaw!$C489</f>
        <v>0</v>
      </c>
      <c r="C489" s="184" t="n">
        <f aca="false">ExportRaw!$G489</f>
        <v>0</v>
      </c>
      <c r="D489" s="184" t="str">
        <f aca="false">ExportRaw!$E489</f>
        <v/>
      </c>
      <c r="E489" s="185" t="str">
        <f aca="false">ExportRaw!$D489</f>
        <v/>
      </c>
      <c r="F489" s="184" t="str">
        <f aca="false">ExportRaw!$H489</f>
        <v/>
      </c>
      <c r="G489" s="186" t="str">
        <f aca="false">ExportRaw!$I489</f>
        <v/>
      </c>
      <c r="H489" s="184" t="str">
        <f aca="false">ExportRaw!$A489</f>
        <v/>
      </c>
      <c r="I489" s="184" t="str">
        <f aca="false">ExportRaw!$B489</f>
        <v/>
      </c>
    </row>
    <row r="490" customFormat="false" ht="15.75" hidden="false" customHeight="false" outlineLevel="0" collapsed="false">
      <c r="A490" s="184" t="n">
        <f aca="false">ExportRaw!$F490</f>
        <v>0</v>
      </c>
      <c r="B490" s="184" t="n">
        <f aca="false">ExportRaw!$C490</f>
        <v>0</v>
      </c>
      <c r="C490" s="184" t="n">
        <f aca="false">ExportRaw!$G490</f>
        <v>0</v>
      </c>
      <c r="D490" s="184" t="str">
        <f aca="false">ExportRaw!$E490</f>
        <v/>
      </c>
      <c r="E490" s="185" t="str">
        <f aca="false">ExportRaw!$D490</f>
        <v/>
      </c>
      <c r="F490" s="184" t="str">
        <f aca="false">ExportRaw!$H490</f>
        <v/>
      </c>
      <c r="G490" s="186" t="str">
        <f aca="false">ExportRaw!$I490</f>
        <v/>
      </c>
      <c r="H490" s="184" t="str">
        <f aca="false">ExportRaw!$A490</f>
        <v/>
      </c>
      <c r="I490" s="184" t="str">
        <f aca="false">ExportRaw!$B490</f>
        <v/>
      </c>
    </row>
    <row r="491" customFormat="false" ht="15.75" hidden="false" customHeight="false" outlineLevel="0" collapsed="false">
      <c r="A491" s="184" t="n">
        <f aca="false">ExportRaw!$F491</f>
        <v>0</v>
      </c>
      <c r="B491" s="184" t="n">
        <f aca="false">ExportRaw!$C491</f>
        <v>0</v>
      </c>
      <c r="C491" s="184" t="n">
        <f aca="false">ExportRaw!$G491</f>
        <v>0</v>
      </c>
      <c r="D491" s="184" t="str">
        <f aca="false">ExportRaw!$E491</f>
        <v/>
      </c>
      <c r="E491" s="185" t="str">
        <f aca="false">ExportRaw!$D491</f>
        <v/>
      </c>
      <c r="F491" s="184" t="str">
        <f aca="false">ExportRaw!$H491</f>
        <v/>
      </c>
      <c r="G491" s="186" t="str">
        <f aca="false">ExportRaw!$I491</f>
        <v/>
      </c>
      <c r="H491" s="184" t="str">
        <f aca="false">ExportRaw!$A491</f>
        <v/>
      </c>
      <c r="I491" s="184" t="str">
        <f aca="false">ExportRaw!$B491</f>
        <v/>
      </c>
    </row>
    <row r="492" customFormat="false" ht="15.75" hidden="false" customHeight="false" outlineLevel="0" collapsed="false">
      <c r="A492" s="184" t="n">
        <f aca="false">ExportRaw!$F492</f>
        <v>0</v>
      </c>
      <c r="B492" s="184" t="n">
        <f aca="false">ExportRaw!$C492</f>
        <v>0</v>
      </c>
      <c r="C492" s="184" t="n">
        <f aca="false">ExportRaw!$G492</f>
        <v>0</v>
      </c>
      <c r="D492" s="184" t="str">
        <f aca="false">ExportRaw!$E492</f>
        <v/>
      </c>
      <c r="E492" s="185" t="str">
        <f aca="false">ExportRaw!$D492</f>
        <v/>
      </c>
      <c r="F492" s="184" t="str">
        <f aca="false">ExportRaw!$H492</f>
        <v/>
      </c>
      <c r="G492" s="186" t="str">
        <f aca="false">ExportRaw!$I492</f>
        <v/>
      </c>
      <c r="H492" s="184" t="str">
        <f aca="false">ExportRaw!$A492</f>
        <v/>
      </c>
      <c r="I492" s="184" t="str">
        <f aca="false">ExportRaw!$B492</f>
        <v/>
      </c>
    </row>
    <row r="493" customFormat="false" ht="15.75" hidden="false" customHeight="false" outlineLevel="0" collapsed="false">
      <c r="A493" s="184" t="n">
        <f aca="false">ExportRaw!$F493</f>
        <v>0</v>
      </c>
      <c r="B493" s="184" t="n">
        <f aca="false">ExportRaw!$C493</f>
        <v>0</v>
      </c>
      <c r="C493" s="184" t="n">
        <f aca="false">ExportRaw!$G493</f>
        <v>0</v>
      </c>
      <c r="D493" s="184" t="str">
        <f aca="false">ExportRaw!$E493</f>
        <v/>
      </c>
      <c r="E493" s="185" t="str">
        <f aca="false">ExportRaw!$D493</f>
        <v/>
      </c>
      <c r="F493" s="184" t="str">
        <f aca="false">ExportRaw!$H493</f>
        <v/>
      </c>
      <c r="G493" s="186" t="str">
        <f aca="false">ExportRaw!$I493</f>
        <v/>
      </c>
      <c r="H493" s="184" t="str">
        <f aca="false">ExportRaw!$A493</f>
        <v/>
      </c>
      <c r="I493" s="184" t="str">
        <f aca="false">ExportRaw!$B493</f>
        <v/>
      </c>
    </row>
    <row r="494" customFormat="false" ht="15.75" hidden="false" customHeight="false" outlineLevel="0" collapsed="false">
      <c r="A494" s="184" t="n">
        <f aca="false">ExportRaw!$F494</f>
        <v>0</v>
      </c>
      <c r="B494" s="184" t="n">
        <f aca="false">ExportRaw!$C494</f>
        <v>0</v>
      </c>
      <c r="C494" s="184" t="n">
        <f aca="false">ExportRaw!$G494</f>
        <v>0</v>
      </c>
      <c r="D494" s="184" t="str">
        <f aca="false">ExportRaw!$E494</f>
        <v/>
      </c>
      <c r="E494" s="185" t="str">
        <f aca="false">ExportRaw!$D494</f>
        <v/>
      </c>
      <c r="F494" s="184" t="str">
        <f aca="false">ExportRaw!$H494</f>
        <v/>
      </c>
      <c r="G494" s="186" t="str">
        <f aca="false">ExportRaw!$I494</f>
        <v/>
      </c>
      <c r="H494" s="184" t="str">
        <f aca="false">ExportRaw!$A494</f>
        <v/>
      </c>
      <c r="I494" s="184" t="str">
        <f aca="false">ExportRaw!$B494</f>
        <v/>
      </c>
    </row>
    <row r="495" customFormat="false" ht="15.75" hidden="false" customHeight="false" outlineLevel="0" collapsed="false">
      <c r="A495" s="184" t="n">
        <f aca="false">ExportRaw!$F495</f>
        <v>0</v>
      </c>
      <c r="B495" s="184" t="n">
        <f aca="false">ExportRaw!$C495</f>
        <v>0</v>
      </c>
      <c r="C495" s="184" t="n">
        <f aca="false">ExportRaw!$G495</f>
        <v>0</v>
      </c>
      <c r="D495" s="184" t="str">
        <f aca="false">ExportRaw!$E495</f>
        <v/>
      </c>
      <c r="E495" s="185" t="str">
        <f aca="false">ExportRaw!$D495</f>
        <v/>
      </c>
      <c r="F495" s="184" t="str">
        <f aca="false">ExportRaw!$H495</f>
        <v/>
      </c>
      <c r="G495" s="186" t="str">
        <f aca="false">ExportRaw!$I495</f>
        <v/>
      </c>
      <c r="H495" s="184" t="str">
        <f aca="false">ExportRaw!$A495</f>
        <v/>
      </c>
      <c r="I495" s="184" t="str">
        <f aca="false">ExportRaw!$B495</f>
        <v/>
      </c>
    </row>
    <row r="496" customFormat="false" ht="15.75" hidden="false" customHeight="false" outlineLevel="0" collapsed="false">
      <c r="A496" s="184" t="n">
        <f aca="false">ExportRaw!$F496</f>
        <v>0</v>
      </c>
      <c r="B496" s="184" t="n">
        <f aca="false">ExportRaw!$C496</f>
        <v>0</v>
      </c>
      <c r="C496" s="184" t="n">
        <f aca="false">ExportRaw!$G496</f>
        <v>0</v>
      </c>
      <c r="D496" s="184" t="str">
        <f aca="false">ExportRaw!$E496</f>
        <v/>
      </c>
      <c r="E496" s="185" t="str">
        <f aca="false">ExportRaw!$D496</f>
        <v/>
      </c>
      <c r="F496" s="184" t="str">
        <f aca="false">ExportRaw!$H496</f>
        <v/>
      </c>
      <c r="G496" s="186" t="str">
        <f aca="false">ExportRaw!$I496</f>
        <v/>
      </c>
      <c r="H496" s="184" t="str">
        <f aca="false">ExportRaw!$A496</f>
        <v/>
      </c>
      <c r="I496" s="184" t="str">
        <f aca="false">ExportRaw!$B496</f>
        <v/>
      </c>
    </row>
    <row r="497" customFormat="false" ht="15.75" hidden="false" customHeight="false" outlineLevel="0" collapsed="false">
      <c r="A497" s="184" t="n">
        <f aca="false">ExportRaw!$F497</f>
        <v>0</v>
      </c>
      <c r="B497" s="184" t="n">
        <f aca="false">ExportRaw!$C497</f>
        <v>0</v>
      </c>
      <c r="C497" s="184" t="n">
        <f aca="false">ExportRaw!$G497</f>
        <v>0</v>
      </c>
      <c r="D497" s="184" t="str">
        <f aca="false">ExportRaw!$E497</f>
        <v/>
      </c>
      <c r="E497" s="185" t="str">
        <f aca="false">ExportRaw!$D497</f>
        <v/>
      </c>
      <c r="F497" s="184" t="str">
        <f aca="false">ExportRaw!$H497</f>
        <v/>
      </c>
      <c r="G497" s="186" t="str">
        <f aca="false">ExportRaw!$I497</f>
        <v/>
      </c>
      <c r="H497" s="184" t="str">
        <f aca="false">ExportRaw!$A497</f>
        <v/>
      </c>
      <c r="I497" s="184" t="str">
        <f aca="false">ExportRaw!$B497</f>
        <v/>
      </c>
    </row>
    <row r="498" customFormat="false" ht="15.75" hidden="false" customHeight="false" outlineLevel="0" collapsed="false">
      <c r="A498" s="184" t="n">
        <f aca="false">ExportRaw!$F498</f>
        <v>0</v>
      </c>
      <c r="B498" s="184" t="n">
        <f aca="false">ExportRaw!$C498</f>
        <v>0</v>
      </c>
      <c r="C498" s="184" t="n">
        <f aca="false">ExportRaw!$G498</f>
        <v>0</v>
      </c>
      <c r="D498" s="184" t="str">
        <f aca="false">ExportRaw!$E498</f>
        <v/>
      </c>
      <c r="E498" s="185" t="str">
        <f aca="false">ExportRaw!$D498</f>
        <v/>
      </c>
      <c r="F498" s="184" t="str">
        <f aca="false">ExportRaw!$H498</f>
        <v/>
      </c>
      <c r="G498" s="186" t="str">
        <f aca="false">ExportRaw!$I498</f>
        <v/>
      </c>
      <c r="H498" s="184" t="str">
        <f aca="false">ExportRaw!$A498</f>
        <v/>
      </c>
      <c r="I498" s="184" t="str">
        <f aca="false">ExportRaw!$B498</f>
        <v/>
      </c>
    </row>
    <row r="499" customFormat="false" ht="15.75" hidden="false" customHeight="false" outlineLevel="0" collapsed="false">
      <c r="A499" s="184" t="n">
        <f aca="false">ExportRaw!$F499</f>
        <v>0</v>
      </c>
      <c r="B499" s="184" t="n">
        <f aca="false">ExportRaw!$C499</f>
        <v>0</v>
      </c>
      <c r="C499" s="184" t="n">
        <f aca="false">ExportRaw!$G499</f>
        <v>0</v>
      </c>
      <c r="D499" s="184" t="str">
        <f aca="false">ExportRaw!$E499</f>
        <v/>
      </c>
      <c r="E499" s="185" t="str">
        <f aca="false">ExportRaw!$D499</f>
        <v/>
      </c>
      <c r="F499" s="184" t="str">
        <f aca="false">ExportRaw!$H499</f>
        <v/>
      </c>
      <c r="G499" s="186" t="str">
        <f aca="false">ExportRaw!$I499</f>
        <v/>
      </c>
      <c r="H499" s="184" t="str">
        <f aca="false">ExportRaw!$A499</f>
        <v/>
      </c>
      <c r="I499" s="184" t="str">
        <f aca="false">ExportRaw!$B499</f>
        <v/>
      </c>
    </row>
    <row r="500" customFormat="false" ht="15.75" hidden="false" customHeight="false" outlineLevel="0" collapsed="false">
      <c r="A500" s="184" t="n">
        <f aca="false">ExportRaw!$F500</f>
        <v>0</v>
      </c>
      <c r="B500" s="184" t="n">
        <f aca="false">ExportRaw!$C500</f>
        <v>0</v>
      </c>
      <c r="C500" s="184" t="n">
        <f aca="false">ExportRaw!$G500</f>
        <v>0</v>
      </c>
      <c r="D500" s="184" t="str">
        <f aca="false">ExportRaw!$E500</f>
        <v/>
      </c>
      <c r="E500" s="185" t="str">
        <f aca="false">ExportRaw!$D500</f>
        <v/>
      </c>
      <c r="F500" s="184" t="str">
        <f aca="false">ExportRaw!$H500</f>
        <v/>
      </c>
      <c r="G500" s="186" t="str">
        <f aca="false">ExportRaw!$I500</f>
        <v/>
      </c>
      <c r="H500" s="184" t="str">
        <f aca="false">ExportRaw!$A500</f>
        <v/>
      </c>
      <c r="I500" s="184" t="str">
        <f aca="false">ExportRaw!$B500</f>
        <v/>
      </c>
    </row>
    <row r="501" customFormat="false" ht="15.75" hidden="false" customHeight="false" outlineLevel="0" collapsed="false">
      <c r="A501" s="184" t="n">
        <f aca="false">ExportRaw!$F501</f>
        <v>0</v>
      </c>
      <c r="B501" s="184" t="n">
        <f aca="false">ExportRaw!$C501</f>
        <v>0</v>
      </c>
      <c r="C501" s="184" t="n">
        <f aca="false">ExportRaw!$G501</f>
        <v>0</v>
      </c>
      <c r="D501" s="184" t="str">
        <f aca="false">ExportRaw!$E501</f>
        <v/>
      </c>
      <c r="E501" s="185" t="str">
        <f aca="false">ExportRaw!$D501</f>
        <v/>
      </c>
      <c r="F501" s="184" t="str">
        <f aca="false">ExportRaw!$H501</f>
        <v/>
      </c>
      <c r="G501" s="186" t="str">
        <f aca="false">ExportRaw!$I501</f>
        <v/>
      </c>
      <c r="H501" s="184" t="str">
        <f aca="false">ExportRaw!$A501</f>
        <v/>
      </c>
      <c r="I501" s="184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C9:H9 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83" t="s">
        <v>123</v>
      </c>
      <c r="B1" s="183" t="s">
        <v>124</v>
      </c>
      <c r="C1" s="183" t="s">
        <v>125</v>
      </c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customFormat="false" ht="15.75" hidden="false" customHeight="false" outlineLevel="0" collapsed="false">
      <c r="A2" s="187" t="n">
        <v>46291</v>
      </c>
      <c r="B2" s="184" t="s">
        <v>126</v>
      </c>
      <c r="C2" s="184" t="s">
        <v>127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9:H9 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84" t="str">
        <f aca="false">IFERROR(__xludf.dummyfunction("importrange(""https://docs.google.com/spreadsheets/d/1YGauecgVr6IitrGDDrOCoTXY8ruNxlmFhmS5Oas2JUg/edit?gid=0#gid=0"",""Sheet1!A1:G18"")"),"Helicopter|B/C")</f>
        <v>Helicopter|B/C</v>
      </c>
      <c r="B1" s="188" t="str">
        <f aca="false">IFERROR(__xludf.dummyfunction("""COMPUTED_VALUE"""),"Helicopter")</f>
        <v>Helicopter</v>
      </c>
      <c r="C1" s="184" t="str">
        <f aca="false">IFERROR(__xludf.dummyfunction("""COMPUTED_VALUE"""),"B/C")</f>
        <v>B/C</v>
      </c>
      <c r="D1" s="184" t="str">
        <f aca="false">IFERROR(__xludf.dummyfunction("""COMPUTED_VALUE"""),"0.6.1")</f>
        <v>0.6.1</v>
      </c>
      <c r="E1" s="189" t="n">
        <f aca="false">IFERROR(__xludf.dummyfunction("""COMPUTED_VALUE"""),46077)</f>
        <v>46077</v>
      </c>
      <c r="F1" s="184"/>
      <c r="G1" s="184" t="str">
        <f aca="false">IFERROR(__xludf.dummyfunction("""COMPUTED_VALUE"""),"Ready")</f>
        <v>Ready</v>
      </c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</row>
    <row r="2" customFormat="false" ht="15.75" hidden="false" customHeight="false" outlineLevel="0" collapsed="false">
      <c r="A2" s="184" t="str">
        <f aca="false">IFERROR(__xludf.dummyfunction("""COMPUTED_VALUE"""),"Mission Possible|B")</f>
        <v>Mission Possible|B</v>
      </c>
      <c r="B2" s="184" t="str">
        <f aca="false">IFERROR(__xludf.dummyfunction("""COMPUTED_VALUE"""),"Mission Possible")</f>
        <v>Mission Possible</v>
      </c>
      <c r="C2" s="184" t="str">
        <f aca="false">IFERROR(__xludf.dummyfunction("""COMPUTED_VALUE"""),"B")</f>
        <v>B</v>
      </c>
      <c r="D2" s="184" t="str">
        <f aca="false">IFERROR(__xludf.dummyfunction("""COMPUTED_VALUE"""),"0.5.1")</f>
        <v>0.5.1</v>
      </c>
      <c r="E2" s="189" t="n">
        <f aca="false">IFERROR(__xludf.dummyfunction("""COMPUTED_VALUE"""),46077)</f>
        <v>46077</v>
      </c>
      <c r="F2" s="184"/>
      <c r="G2" s="184" t="str">
        <f aca="false">IFERROR(__xludf.dummyfunction("""COMPUTED_VALUE"""),"Ready")</f>
        <v>Ready</v>
      </c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</row>
    <row r="3" customFormat="false" ht="15.75" hidden="false" customHeight="false" outlineLevel="0" collapsed="false">
      <c r="A3" s="184" t="str">
        <f aca="false">IFERROR(__xludf.dummyfunction("""COMPUTED_VALUE"""),"Scrambler|B")</f>
        <v>Scrambler|B</v>
      </c>
      <c r="B3" s="184" t="str">
        <f aca="false">IFERROR(__xludf.dummyfunction("""COMPUTED_VALUE"""),"Scrambler")</f>
        <v>Scrambler</v>
      </c>
      <c r="C3" s="184" t="str">
        <f aca="false">IFERROR(__xludf.dummyfunction("""COMPUTED_VALUE"""),"B")</f>
        <v>B</v>
      </c>
      <c r="D3" s="184" t="str">
        <f aca="false">IFERROR(__xludf.dummyfunction("""COMPUTED_VALUE"""),"0.4.1")</f>
        <v>0.4.1</v>
      </c>
      <c r="E3" s="189" t="n">
        <f aca="false">IFERROR(__xludf.dummyfunction("""COMPUTED_VALUE"""),46077)</f>
        <v>46077</v>
      </c>
      <c r="F3" s="184"/>
      <c r="G3" s="184" t="str">
        <f aca="false">IFERROR(__xludf.dummyfunction("""COMPUTED_VALUE"""),"Ready")</f>
        <v>Ready</v>
      </c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customFormat="false" ht="15.75" hidden="false" customHeight="false" outlineLevel="0" collapsed="false">
      <c r="A4" s="184" t="str">
        <f aca="false">IFERROR(__xludf.dummyfunction("""COMPUTED_VALUE"""),"Bungee Drop|C")</f>
        <v>Bungee Drop|C</v>
      </c>
      <c r="B4" s="184" t="str">
        <f aca="false">IFERROR(__xludf.dummyfunction("""COMPUTED_VALUE"""),"Bungee Drop")</f>
        <v>Bungee Drop</v>
      </c>
      <c r="C4" s="184" t="str">
        <f aca="false">IFERROR(__xludf.dummyfunction("""COMPUTED_VALUE"""),"C")</f>
        <v>C</v>
      </c>
      <c r="D4" s="184" t="str">
        <f aca="false">IFERROR(__xludf.dummyfunction("""COMPUTED_VALUE"""),"0.4.3")</f>
        <v>0.4.3</v>
      </c>
      <c r="E4" s="189" t="n">
        <f aca="false">IFERROR(__xludf.dummyfunction("""COMPUTED_VALUE"""),46077)</f>
        <v>46077</v>
      </c>
      <c r="F4" s="184"/>
      <c r="G4" s="184" t="str">
        <f aca="false">IFERROR(__xludf.dummyfunction("""COMPUTED_VALUE"""),"Ready")</f>
        <v>Ready</v>
      </c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</row>
    <row r="5" customFormat="false" ht="15.75" hidden="false" customHeight="false" outlineLevel="0" collapsed="false">
      <c r="A5" s="184" t="str">
        <f aca="false">IFERROR(__xludf.dummyfunction("""COMPUTED_VALUE"""),"Electric Vehicle|C")</f>
        <v>Electric Vehicle|C</v>
      </c>
      <c r="B5" s="184" t="str">
        <f aca="false">IFERROR(__xludf.dummyfunction("""COMPUTED_VALUE"""),"Electric Vehicle")</f>
        <v>Electric Vehicle</v>
      </c>
      <c r="C5" s="184" t="str">
        <f aca="false">IFERROR(__xludf.dummyfunction("""COMPUTED_VALUE"""),"C")</f>
        <v>C</v>
      </c>
      <c r="D5" s="184" t="str">
        <f aca="false">IFERROR(__xludf.dummyfunction("""COMPUTED_VALUE"""),"0.8.0")</f>
        <v>0.8.0</v>
      </c>
      <c r="E5" s="189" t="n">
        <f aca="false">IFERROR(__xludf.dummyfunction("""COMPUTED_VALUE"""),46047)</f>
        <v>46047</v>
      </c>
      <c r="F5" s="184"/>
      <c r="G5" s="184" t="str">
        <f aca="false">IFERROR(__xludf.dummyfunction("""COMPUTED_VALUE"""),"Ready")</f>
        <v>Ready</v>
      </c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 customFormat="false" ht="15.75" hidden="false" customHeight="false" outlineLevel="0" collapsed="false">
      <c r="A6" s="184" t="str">
        <f aca="false">IFERROR(__xludf.dummyfunction("""COMPUTED_VALUE"""),"Robot Tour|C")</f>
        <v>Robot Tour|C</v>
      </c>
      <c r="B6" s="184" t="str">
        <f aca="false">IFERROR(__xludf.dummyfunction("""COMPUTED_VALUE"""),"Robot Tour")</f>
        <v>Robot Tour</v>
      </c>
      <c r="C6" s="184" t="str">
        <f aca="false">IFERROR(__xludf.dummyfunction("""COMPUTED_VALUE"""),"C")</f>
        <v>C</v>
      </c>
      <c r="D6" s="184" t="str">
        <f aca="false">IFERROR(__xludf.dummyfunction("""COMPUTED_VALUE"""),"0.6.0")</f>
        <v>0.6.0</v>
      </c>
      <c r="E6" s="189" t="n">
        <f aca="false">IFERROR(__xludf.dummyfunction("""COMPUTED_VALUE"""),46077)</f>
        <v>46077</v>
      </c>
      <c r="F6" s="184"/>
      <c r="G6" s="184" t="str">
        <f aca="false">IFERROR(__xludf.dummyfunction("""COMPUTED_VALUE"""),"Ready")</f>
        <v>Ready</v>
      </c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</row>
    <row r="7" customFormat="false" ht="15.75" hidden="false" customHeight="false" outlineLevel="0" collapsed="false">
      <c r="A7" s="184" t="str">
        <f aca="false">IFERROR(__xludf.dummyfunction("""COMPUTED_VALUE"""),"Hovercraft|B/C")</f>
        <v>Hovercraft|B/C</v>
      </c>
      <c r="B7" s="184" t="str">
        <f aca="false">IFERROR(__xludf.dummyfunction("""COMPUTED_VALUE"""),"Hovercraft")</f>
        <v>Hovercraft</v>
      </c>
      <c r="C7" s="184" t="str">
        <f aca="false">IFERROR(__xludf.dummyfunction("""COMPUTED_VALUE"""),"B/C")</f>
        <v>B/C</v>
      </c>
      <c r="D7" s="184" t="str">
        <f aca="false">IFERROR(__xludf.dummyfunction("""COMPUTED_VALUE"""),"0.5.3")</f>
        <v>0.5.3</v>
      </c>
      <c r="E7" s="189" t="n">
        <f aca="false">IFERROR(__xludf.dummyfunction("""COMPUTED_VALUE"""),46055)</f>
        <v>46055</v>
      </c>
      <c r="F7" s="184"/>
      <c r="G7" s="184" t="str">
        <f aca="false">IFERROR(__xludf.dummyfunction("""COMPUTED_VALUE"""),"Ready")</f>
        <v>Ready</v>
      </c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</row>
    <row r="8" customFormat="false" ht="15.75" hidden="false" customHeight="false" outlineLevel="0" collapsed="false">
      <c r="A8" s="184" t="str">
        <f aca="false">IFERROR(__xludf.dummyfunction("""COMPUTED_VALUE"""),"Boomilever|B/C")</f>
        <v>Boomilever|B/C</v>
      </c>
      <c r="B8" s="184" t="str">
        <f aca="false">IFERROR(__xludf.dummyfunction("""COMPUTED_VALUE"""),"Boomilever")</f>
        <v>Boomilever</v>
      </c>
      <c r="C8" s="184" t="str">
        <f aca="false">IFERROR(__xludf.dummyfunction("""COMPUTED_VALUE"""),"B/C")</f>
        <v>B/C</v>
      </c>
      <c r="D8" s="184" t="str">
        <f aca="false">IFERROR(__xludf.dummyfunction("""COMPUTED_VALUE"""),"0.3.0")</f>
        <v>0.3.0</v>
      </c>
      <c r="E8" s="189" t="n">
        <f aca="false">IFERROR(__xludf.dummyfunction("""COMPUTED_VALUE"""),46077)</f>
        <v>46077</v>
      </c>
      <c r="F8" s="184"/>
      <c r="G8" s="184" t="str">
        <f aca="false">IFERROR(__xludf.dummyfunction("""COMPUTED_VALUE"""),"Ready")</f>
        <v>Ready</v>
      </c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</row>
    <row r="9" customFormat="false" ht="15.75" hidden="false" customHeight="false" outlineLevel="0" collapsed="false">
      <c r="A9" s="184" t="str">
        <f aca="false">IFERROR(__xludf.dummyfunction("""COMPUTED_VALUE"""),"Machines|B/C")</f>
        <v>Machines|B/C</v>
      </c>
      <c r="B9" s="184" t="str">
        <f aca="false">IFERROR(__xludf.dummyfunction("""COMPUTED_VALUE"""),"Machines")</f>
        <v>Machines</v>
      </c>
      <c r="C9" s="184" t="str">
        <f aca="false">IFERROR(__xludf.dummyfunction("""COMPUTED_VALUE"""),"B/C")</f>
        <v>B/C</v>
      </c>
      <c r="D9" s="184" t="str">
        <f aca="false">IFERROR(__xludf.dummyfunction("""COMPUTED_VALUE"""),"0.4.0")</f>
        <v>0.4.0</v>
      </c>
      <c r="E9" s="189" t="n">
        <f aca="false">IFERROR(__xludf.dummyfunction("""COMPUTED_VALUE"""),45996)</f>
        <v>45996</v>
      </c>
      <c r="F9" s="184"/>
      <c r="G9" s="184" t="str">
        <f aca="false">IFERROR(__xludf.dummyfunction("""COMPUTED_VALUE"""),"Ready")</f>
        <v>Ready</v>
      </c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</row>
    <row r="10" customFormat="false" ht="15.75" hidden="false" customHeight="false" outlineLevel="0" collapsed="false">
      <c r="A10" s="184" t="str">
        <f aca="false">IFERROR(__xludf.dummyfunction("""COMPUTED_VALUE"""),"Engineering CAD|C")</f>
        <v>Engineering CAD|C</v>
      </c>
      <c r="B10" s="184" t="str">
        <f aca="false">IFERROR(__xludf.dummyfunction("""COMPUTED_VALUE"""),"Engineering CAD")</f>
        <v>Engineering CAD</v>
      </c>
      <c r="C10" s="184" t="str">
        <f aca="false">IFERROR(__xludf.dummyfunction("""COMPUTED_VALUE"""),"C")</f>
        <v>C</v>
      </c>
      <c r="D10" s="184" t="str">
        <f aca="false">IFERROR(__xludf.dummyfunction("""COMPUTED_VALUE"""),"1.0.0")</f>
        <v>1.0.0</v>
      </c>
      <c r="E10" s="189" t="n">
        <f aca="false">IFERROR(__xludf.dummyfunction("""COMPUTED_VALUE"""),46095)</f>
        <v>46095</v>
      </c>
      <c r="F10" s="184"/>
      <c r="G10" s="184" t="str">
        <f aca="false">IFERROR(__xludf.dummyfunction("""COMPUTED_VALUE"""),"Ready")</f>
        <v>Ready</v>
      </c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</row>
    <row r="11" customFormat="false" ht="15.75" hidden="false" customHeight="false" outlineLevel="0" collapsed="false">
      <c r="A11" s="184"/>
      <c r="B11" s="184"/>
      <c r="C11" s="184"/>
      <c r="D11" s="184"/>
      <c r="E11" s="189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</row>
    <row r="12" customFormat="false" ht="15.75" hidden="false" customHeight="false" outlineLevel="0" collapsed="false">
      <c r="A12" s="184"/>
      <c r="B12" s="184"/>
      <c r="C12" s="184"/>
      <c r="D12" s="184"/>
      <c r="E12" s="189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</row>
    <row r="13" customFormat="false" ht="15.75" hidden="false" customHeight="false" outlineLevel="0" collapsed="false">
      <c r="A13" s="184"/>
      <c r="B13" s="184"/>
      <c r="C13" s="184"/>
      <c r="D13" s="184"/>
      <c r="E13" s="189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</row>
    <row r="14" customFormat="false" ht="15.75" hidden="false" customHeight="false" outlineLevel="0" collapsed="false">
      <c r="A14" s="184"/>
      <c r="B14" s="184"/>
      <c r="C14" s="184"/>
      <c r="D14" s="184"/>
      <c r="E14" s="189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</row>
    <row r="15" customFormat="false" ht="15.75" hidden="false" customHeight="false" outlineLevel="0" collapsed="false">
      <c r="A15" s="184"/>
      <c r="B15" s="184"/>
      <c r="C15" s="184"/>
      <c r="D15" s="184"/>
      <c r="E15" s="189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</row>
    <row r="16" customFormat="false" ht="15.75" hidden="false" customHeight="false" outlineLevel="0" collapsed="false">
      <c r="A16" s="184"/>
      <c r="B16" s="184"/>
      <c r="C16" s="184"/>
      <c r="D16" s="184"/>
      <c r="E16" s="189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</row>
    <row r="17" customFormat="false" ht="15.75" hidden="false" customHeight="false" outlineLevel="0" collapsed="false">
      <c r="A17" s="184"/>
      <c r="B17" s="184"/>
      <c r="C17" s="184"/>
      <c r="D17" s="184"/>
      <c r="E17" s="189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</row>
    <row r="18" customFormat="false" ht="15.75" hidden="false" customHeight="false" outlineLevel="0" collapsed="false">
      <c r="A18" s="184"/>
      <c r="B18" s="184"/>
      <c r="C18" s="184"/>
      <c r="D18" s="184"/>
      <c r="E18" s="189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</row>
    <row r="19" customFormat="false" ht="15.75" hidden="false" customHeight="false" outlineLevel="0" collapsed="false">
      <c r="A19" s="184"/>
      <c r="B19" s="184"/>
      <c r="C19" s="184"/>
      <c r="D19" s="184"/>
      <c r="E19" s="189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</row>
    <row r="20" customFormat="false" ht="15.75" hidden="false" customHeight="false" outlineLevel="0" collapsed="false">
      <c r="A20" s="184"/>
      <c r="B20" s="184"/>
      <c r="C20" s="184"/>
      <c r="D20" s="184"/>
      <c r="E20" s="189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</row>
    <row r="21" customFormat="false" ht="15.75" hidden="false" customHeight="false" outlineLevel="0" collapsed="false">
      <c r="A21" s="184" t="str">
        <f aca="false">IF(ISBLANK(B21),"",B21&amp;"|"&amp;C21)</f>
        <v/>
      </c>
      <c r="B21" s="184"/>
      <c r="C21" s="184"/>
      <c r="D21" s="184"/>
      <c r="E21" s="189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</row>
    <row r="22" customFormat="false" ht="15.75" hidden="false" customHeight="false" outlineLevel="0" collapsed="false">
      <c r="A22" s="184" t="str">
        <f aca="false">IF(ISBLANK(B22),"",B22&amp;"|"&amp;C22)</f>
        <v/>
      </c>
      <c r="B22" s="184"/>
      <c r="C22" s="184"/>
      <c r="D22" s="184"/>
      <c r="E22" s="189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</row>
    <row r="23" customFormat="false" ht="15.75" hidden="false" customHeight="false" outlineLevel="0" collapsed="false">
      <c r="A23" s="184" t="str">
        <f aca="false">IF(ISBLANK(B23),"",B23&amp;"|"&amp;C23)</f>
        <v/>
      </c>
      <c r="B23" s="184"/>
      <c r="C23" s="184"/>
      <c r="D23" s="184"/>
      <c r="E23" s="189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</row>
    <row r="24" customFormat="false" ht="15.75" hidden="false" customHeight="false" outlineLevel="0" collapsed="false">
      <c r="A24" s="184" t="str">
        <f aca="false">IF(ISBLANK(B24),"",B24&amp;"|"&amp;C24)</f>
        <v/>
      </c>
      <c r="B24" s="184"/>
      <c r="C24" s="184"/>
      <c r="D24" s="184"/>
      <c r="E24" s="189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</row>
    <row r="25" customFormat="false" ht="15.75" hidden="false" customHeight="false" outlineLevel="0" collapsed="false">
      <c r="A25" s="184" t="str">
        <f aca="false">IF(ISBLANK(B25),"",B25&amp;"|"&amp;C25)</f>
        <v/>
      </c>
      <c r="B25" s="184"/>
      <c r="C25" s="184"/>
      <c r="D25" s="184"/>
      <c r="E25" s="189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</row>
    <row r="26" customFormat="false" ht="15.75" hidden="false" customHeight="false" outlineLevel="0" collapsed="false">
      <c r="A26" s="184" t="str">
        <f aca="false">IF(ISBLANK(B26),"",B26&amp;"|"&amp;C26)</f>
        <v/>
      </c>
      <c r="B26" s="184"/>
      <c r="C26" s="184"/>
      <c r="D26" s="184"/>
      <c r="E26" s="189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</row>
    <row r="27" customFormat="false" ht="15.75" hidden="false" customHeight="false" outlineLevel="0" collapsed="false">
      <c r="A27" s="184" t="str">
        <f aca="false">IF(ISBLANK(B27),"",B27&amp;"|"&amp;C27)</f>
        <v/>
      </c>
      <c r="B27" s="184"/>
      <c r="C27" s="184"/>
      <c r="D27" s="184"/>
      <c r="E27" s="189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</row>
    <row r="28" customFormat="false" ht="15.75" hidden="false" customHeight="false" outlineLevel="0" collapsed="false">
      <c r="A28" s="184" t="str">
        <f aca="false">IF(ISBLANK(B28),"",B28&amp;"|"&amp;C28)</f>
        <v/>
      </c>
      <c r="B28" s="184"/>
      <c r="C28" s="184"/>
      <c r="D28" s="184"/>
      <c r="E28" s="189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</row>
    <row r="29" customFormat="false" ht="15.75" hidden="false" customHeight="false" outlineLevel="0" collapsed="false">
      <c r="A29" s="184" t="str">
        <f aca="false">IF(ISBLANK(B29),"",B29&amp;"|"&amp;C29)</f>
        <v/>
      </c>
      <c r="B29" s="184"/>
      <c r="C29" s="184"/>
      <c r="D29" s="184"/>
      <c r="E29" s="189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</row>
    <row r="30" customFormat="false" ht="15.75" hidden="false" customHeight="false" outlineLevel="0" collapsed="false">
      <c r="A30" s="184" t="str">
        <f aca="false">IF(ISBLANK(B30),"",B30&amp;"|"&amp;C30)</f>
        <v/>
      </c>
      <c r="B30" s="184"/>
      <c r="C30" s="184"/>
      <c r="D30" s="184"/>
      <c r="E30" s="189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</row>
    <row r="31" customFormat="false" ht="15.75" hidden="false" customHeight="false" outlineLevel="0" collapsed="false">
      <c r="A31" s="184" t="str">
        <f aca="false">IF(ISBLANK(B31),"",B31&amp;"|"&amp;C31)</f>
        <v/>
      </c>
      <c r="B31" s="184"/>
      <c r="C31" s="184"/>
      <c r="D31" s="184"/>
      <c r="E31" s="189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</row>
    <row r="32" customFormat="false" ht="15.75" hidden="false" customHeight="false" outlineLevel="0" collapsed="false">
      <c r="A32" s="184" t="str">
        <f aca="false">IF(ISBLANK(B32),"",B32&amp;"|"&amp;C32)</f>
        <v/>
      </c>
      <c r="B32" s="184"/>
      <c r="C32" s="184"/>
      <c r="D32" s="184"/>
      <c r="E32" s="189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</row>
    <row r="33" customFormat="false" ht="15.75" hidden="false" customHeight="false" outlineLevel="0" collapsed="false">
      <c r="A33" s="184" t="str">
        <f aca="false">IF(ISBLANK(B33),"",B33&amp;"|"&amp;C33)</f>
        <v/>
      </c>
      <c r="B33" s="184"/>
      <c r="C33" s="184"/>
      <c r="D33" s="184"/>
      <c r="E33" s="189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</row>
    <row r="34" customFormat="false" ht="15.75" hidden="false" customHeight="false" outlineLevel="0" collapsed="false">
      <c r="A34" s="184" t="str">
        <f aca="false">IF(ISBLANK(B34),"",B34&amp;"|"&amp;C34)</f>
        <v/>
      </c>
      <c r="B34" s="184"/>
      <c r="C34" s="184"/>
      <c r="D34" s="184"/>
      <c r="E34" s="189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</row>
    <row r="35" customFormat="false" ht="15.75" hidden="false" customHeight="false" outlineLevel="0" collapsed="false">
      <c r="A35" s="184" t="str">
        <f aca="false">IF(ISBLANK(B35),"",B35&amp;"|"&amp;C35)</f>
        <v/>
      </c>
      <c r="B35" s="184"/>
      <c r="C35" s="184"/>
      <c r="D35" s="184"/>
      <c r="E35" s="189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</row>
    <row r="36" customFormat="false" ht="15.75" hidden="false" customHeight="false" outlineLevel="0" collapsed="false">
      <c r="A36" s="184" t="str">
        <f aca="false">IF(ISBLANK(B36),"",B36&amp;"|"&amp;C36)</f>
        <v/>
      </c>
      <c r="B36" s="184"/>
      <c r="C36" s="184"/>
      <c r="D36" s="184"/>
      <c r="E36" s="189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</row>
    <row r="37" customFormat="false" ht="15.75" hidden="false" customHeight="false" outlineLevel="0" collapsed="false">
      <c r="A37" s="184" t="str">
        <f aca="false">IF(ISBLANK(B37),"",B37&amp;"|"&amp;C37)</f>
        <v/>
      </c>
      <c r="B37" s="184"/>
      <c r="C37" s="184"/>
      <c r="D37" s="184"/>
      <c r="E37" s="189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</row>
    <row r="38" customFormat="false" ht="15.75" hidden="false" customHeight="false" outlineLevel="0" collapsed="false">
      <c r="A38" s="184" t="str">
        <f aca="false">IF(ISBLANK(B38),"",B38&amp;"|"&amp;C38)</f>
        <v/>
      </c>
      <c r="B38" s="184"/>
      <c r="C38" s="184"/>
      <c r="D38" s="184"/>
      <c r="E38" s="189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</row>
    <row r="39" customFormat="false" ht="15.75" hidden="false" customHeight="false" outlineLevel="0" collapsed="false">
      <c r="A39" s="184" t="str">
        <f aca="false">IF(ISBLANK(B39),"",B39&amp;"|"&amp;C39)</f>
        <v/>
      </c>
      <c r="B39" s="184"/>
      <c r="C39" s="184"/>
      <c r="D39" s="184"/>
      <c r="E39" s="189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</row>
    <row r="40" customFormat="false" ht="15.75" hidden="false" customHeight="false" outlineLevel="0" collapsed="false">
      <c r="A40" s="184" t="str">
        <f aca="false">IF(ISBLANK(B40),"",B40&amp;"|"&amp;C40)</f>
        <v/>
      </c>
      <c r="B40" s="184"/>
      <c r="C40" s="184"/>
      <c r="D40" s="184"/>
      <c r="E40" s="189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</row>
    <row r="41" customFormat="false" ht="15.75" hidden="false" customHeight="false" outlineLevel="0" collapsed="false">
      <c r="A41" s="184" t="str">
        <f aca="false">IF(ISBLANK(B41),"",B41&amp;"|"&amp;C41)</f>
        <v/>
      </c>
      <c r="B41" s="184"/>
      <c r="C41" s="184"/>
      <c r="D41" s="184"/>
      <c r="E41" s="189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</row>
    <row r="42" customFormat="false" ht="15.75" hidden="false" customHeight="false" outlineLevel="0" collapsed="false">
      <c r="A42" s="184" t="str">
        <f aca="false">IF(ISBLANK(B42),"",B42&amp;"|"&amp;C42)</f>
        <v/>
      </c>
      <c r="B42" s="184"/>
      <c r="C42" s="184"/>
      <c r="D42" s="184"/>
      <c r="E42" s="189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</row>
    <row r="43" customFormat="false" ht="15.75" hidden="false" customHeight="false" outlineLevel="0" collapsed="false">
      <c r="A43" s="184" t="str">
        <f aca="false">IF(ISBLANK(B43),"",B43&amp;"|"&amp;C43)</f>
        <v/>
      </c>
      <c r="B43" s="184"/>
      <c r="C43" s="184"/>
      <c r="D43" s="184"/>
      <c r="E43" s="189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</row>
    <row r="44" customFormat="false" ht="15.75" hidden="false" customHeight="false" outlineLevel="0" collapsed="false">
      <c r="A44" s="184" t="str">
        <f aca="false">IF(ISBLANK(B44),"",B44&amp;"|"&amp;C44)</f>
        <v/>
      </c>
      <c r="B44" s="184"/>
      <c r="C44" s="184"/>
      <c r="D44" s="184"/>
      <c r="E44" s="189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</row>
    <row r="45" customFormat="false" ht="15.75" hidden="false" customHeight="false" outlineLevel="0" collapsed="false">
      <c r="A45" s="184" t="str">
        <f aca="false">IF(ISBLANK(B45),"",B45&amp;"|"&amp;C45)</f>
        <v/>
      </c>
      <c r="B45" s="184"/>
      <c r="C45" s="184"/>
      <c r="D45" s="184"/>
      <c r="E45" s="189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</row>
    <row r="46" customFormat="false" ht="15.75" hidden="false" customHeight="false" outlineLevel="0" collapsed="false">
      <c r="A46" s="184" t="str">
        <f aca="false">IF(ISBLANK(B46),"",B46&amp;"|"&amp;C46)</f>
        <v/>
      </c>
      <c r="B46" s="184"/>
      <c r="C46" s="184"/>
      <c r="D46" s="184"/>
      <c r="E46" s="189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</row>
    <row r="47" customFormat="false" ht="15.75" hidden="false" customHeight="false" outlineLevel="0" collapsed="false">
      <c r="A47" s="184" t="str">
        <f aca="false">IF(ISBLANK(B47),"",B47&amp;"|"&amp;C47)</f>
        <v/>
      </c>
      <c r="B47" s="184"/>
      <c r="C47" s="184"/>
      <c r="D47" s="184"/>
      <c r="E47" s="189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</row>
    <row r="48" customFormat="false" ht="15.75" hidden="false" customHeight="false" outlineLevel="0" collapsed="false">
      <c r="A48" s="184" t="str">
        <f aca="false">IF(ISBLANK(B48),"",B48&amp;"|"&amp;C48)</f>
        <v/>
      </c>
      <c r="B48" s="184"/>
      <c r="C48" s="184"/>
      <c r="D48" s="184"/>
      <c r="E48" s="189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</row>
    <row r="49" customFormat="false" ht="15.75" hidden="false" customHeight="false" outlineLevel="0" collapsed="false">
      <c r="A49" s="184" t="str">
        <f aca="false">IF(ISBLANK(B49),"",B49&amp;"|"&amp;C49)</f>
        <v/>
      </c>
      <c r="B49" s="184"/>
      <c r="C49" s="184"/>
      <c r="D49" s="184"/>
      <c r="E49" s="189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</row>
    <row r="50" customFormat="false" ht="15.75" hidden="false" customHeight="false" outlineLevel="0" collapsed="false">
      <c r="A50" s="184" t="str">
        <f aca="false">IF(ISBLANK(B50),"",B50&amp;"|"&amp;C50)</f>
        <v/>
      </c>
      <c r="B50" s="184"/>
      <c r="C50" s="184"/>
      <c r="D50" s="184"/>
      <c r="E50" s="189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</row>
    <row r="51" customFormat="false" ht="15.75" hidden="false" customHeight="false" outlineLevel="0" collapsed="false">
      <c r="A51" s="184" t="str">
        <f aca="false">IF(ISBLANK(B51),"",B51&amp;"|"&amp;C51)</f>
        <v/>
      </c>
      <c r="B51" s="184"/>
      <c r="C51" s="184"/>
      <c r="D51" s="184"/>
      <c r="E51" s="189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</row>
    <row r="52" customFormat="false" ht="15.75" hidden="false" customHeight="false" outlineLevel="0" collapsed="false">
      <c r="A52" s="184" t="str">
        <f aca="false">IF(ISBLANK(B52),"",B52&amp;"|"&amp;C52)</f>
        <v/>
      </c>
      <c r="B52" s="184"/>
      <c r="C52" s="184"/>
      <c r="D52" s="184"/>
      <c r="E52" s="189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</row>
    <row r="53" customFormat="false" ht="15.75" hidden="false" customHeight="false" outlineLevel="0" collapsed="false">
      <c r="A53" s="184" t="str">
        <f aca="false">IF(ISBLANK(B53),"",B53&amp;"|"&amp;C53)</f>
        <v/>
      </c>
      <c r="B53" s="184"/>
      <c r="C53" s="184"/>
      <c r="D53" s="184"/>
      <c r="E53" s="189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</row>
    <row r="54" customFormat="false" ht="15.75" hidden="false" customHeight="false" outlineLevel="0" collapsed="false">
      <c r="A54" s="184" t="str">
        <f aca="false">IF(ISBLANK(B54),"",B54&amp;"|"&amp;C54)</f>
        <v/>
      </c>
      <c r="B54" s="184"/>
      <c r="C54" s="184"/>
      <c r="D54" s="184"/>
      <c r="E54" s="189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</row>
    <row r="55" customFormat="false" ht="15.75" hidden="false" customHeight="false" outlineLevel="0" collapsed="false">
      <c r="A55" s="184" t="str">
        <f aca="false">IF(ISBLANK(B55),"",B55&amp;"|"&amp;C55)</f>
        <v/>
      </c>
      <c r="B55" s="184"/>
      <c r="C55" s="184"/>
      <c r="D55" s="184"/>
      <c r="E55" s="189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</row>
    <row r="56" customFormat="false" ht="15.75" hidden="false" customHeight="false" outlineLevel="0" collapsed="false">
      <c r="A56" s="184" t="str">
        <f aca="false">IF(ISBLANK(B56),"",B56&amp;"|"&amp;C56)</f>
        <v/>
      </c>
      <c r="B56" s="184"/>
      <c r="C56" s="184"/>
      <c r="D56" s="184"/>
      <c r="E56" s="189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</row>
    <row r="57" customFormat="false" ht="15.75" hidden="false" customHeight="false" outlineLevel="0" collapsed="false">
      <c r="A57" s="184" t="str">
        <f aca="false">IF(ISBLANK(B57),"",B57&amp;"|"&amp;C57)</f>
        <v/>
      </c>
      <c r="B57" s="184"/>
      <c r="C57" s="184"/>
      <c r="D57" s="184"/>
      <c r="E57" s="189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</row>
    <row r="58" customFormat="false" ht="15.75" hidden="false" customHeight="false" outlineLevel="0" collapsed="false">
      <c r="A58" s="184" t="str">
        <f aca="false">IF(ISBLANK(B58),"",B58&amp;"|"&amp;C58)</f>
        <v/>
      </c>
      <c r="B58" s="184"/>
      <c r="C58" s="184"/>
      <c r="D58" s="184"/>
      <c r="E58" s="189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</row>
    <row r="59" customFormat="false" ht="15.75" hidden="false" customHeight="false" outlineLevel="0" collapsed="false">
      <c r="A59" s="184" t="str">
        <f aca="false">IF(ISBLANK(B59),"",B59&amp;"|"&amp;C59)</f>
        <v/>
      </c>
      <c r="B59" s="184"/>
      <c r="C59" s="184"/>
      <c r="D59" s="184"/>
      <c r="E59" s="189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</row>
    <row r="60" customFormat="false" ht="15.75" hidden="false" customHeight="false" outlineLevel="0" collapsed="false">
      <c r="A60" s="184" t="str">
        <f aca="false">IF(ISBLANK(B60),"",B60&amp;"|"&amp;C60)</f>
        <v/>
      </c>
      <c r="B60" s="184"/>
      <c r="C60" s="184"/>
      <c r="D60" s="184"/>
      <c r="E60" s="189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</row>
    <row r="61" customFormat="false" ht="15.75" hidden="false" customHeight="false" outlineLevel="0" collapsed="false">
      <c r="A61" s="184" t="str">
        <f aca="false">IF(ISBLANK(B61),"",B61&amp;"|"&amp;C61)</f>
        <v/>
      </c>
      <c r="B61" s="184"/>
      <c r="C61" s="184"/>
      <c r="D61" s="184"/>
      <c r="E61" s="189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</row>
    <row r="62" customFormat="false" ht="15.75" hidden="false" customHeight="false" outlineLevel="0" collapsed="false">
      <c r="A62" s="184" t="str">
        <f aca="false">IF(ISBLANK(B62),"",B62&amp;"|"&amp;C62)</f>
        <v/>
      </c>
      <c r="B62" s="184"/>
      <c r="C62" s="184"/>
      <c r="D62" s="184"/>
      <c r="E62" s="189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</row>
    <row r="63" customFormat="false" ht="15.75" hidden="false" customHeight="false" outlineLevel="0" collapsed="false">
      <c r="A63" s="184" t="str">
        <f aca="false">IF(ISBLANK(B63),"",B63&amp;"|"&amp;C63)</f>
        <v/>
      </c>
      <c r="B63" s="184"/>
      <c r="C63" s="184"/>
      <c r="D63" s="184"/>
      <c r="E63" s="189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</row>
    <row r="64" customFormat="false" ht="15.75" hidden="false" customHeight="false" outlineLevel="0" collapsed="false">
      <c r="A64" s="184" t="str">
        <f aca="false">IF(ISBLANK(B64),"",B64&amp;"|"&amp;C64)</f>
        <v/>
      </c>
      <c r="B64" s="184"/>
      <c r="C64" s="184"/>
      <c r="D64" s="184"/>
      <c r="E64" s="189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</row>
    <row r="65" customFormat="false" ht="15.75" hidden="false" customHeight="false" outlineLevel="0" collapsed="false">
      <c r="A65" s="184" t="str">
        <f aca="false">IF(ISBLANK(B65),"",B65&amp;"|"&amp;C65)</f>
        <v/>
      </c>
      <c r="B65" s="184"/>
      <c r="C65" s="184"/>
      <c r="D65" s="184"/>
      <c r="E65" s="189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</row>
    <row r="66" customFormat="false" ht="15.75" hidden="false" customHeight="false" outlineLevel="0" collapsed="false">
      <c r="A66" s="184" t="str">
        <f aca="false">IF(ISBLANK(B66),"",B66&amp;"|"&amp;C66)</f>
        <v/>
      </c>
      <c r="B66" s="184"/>
      <c r="C66" s="184"/>
      <c r="D66" s="184"/>
      <c r="E66" s="189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</row>
    <row r="67" customFormat="false" ht="15.75" hidden="false" customHeight="false" outlineLevel="0" collapsed="false">
      <c r="A67" s="184" t="str">
        <f aca="false">IF(ISBLANK(B67),"",B67&amp;"|"&amp;C67)</f>
        <v/>
      </c>
      <c r="B67" s="184"/>
      <c r="C67" s="184"/>
      <c r="D67" s="184"/>
      <c r="E67" s="189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</row>
    <row r="68" customFormat="false" ht="15.75" hidden="false" customHeight="false" outlineLevel="0" collapsed="false">
      <c r="A68" s="184" t="str">
        <f aca="false">IF(ISBLANK(B68),"",B68&amp;"|"&amp;C68)</f>
        <v/>
      </c>
      <c r="B68" s="184"/>
      <c r="C68" s="184"/>
      <c r="D68" s="184"/>
      <c r="E68" s="189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</row>
    <row r="69" customFormat="false" ht="15.75" hidden="false" customHeight="false" outlineLevel="0" collapsed="false">
      <c r="A69" s="184" t="str">
        <f aca="false">IF(ISBLANK(B69),"",B69&amp;"|"&amp;C69)</f>
        <v/>
      </c>
      <c r="B69" s="184"/>
      <c r="C69" s="184"/>
      <c r="D69" s="184"/>
      <c r="E69" s="189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</row>
    <row r="70" customFormat="false" ht="15.75" hidden="false" customHeight="false" outlineLevel="0" collapsed="false">
      <c r="A70" s="184" t="str">
        <f aca="false">IF(ISBLANK(B70),"",B70&amp;"|"&amp;C70)</f>
        <v/>
      </c>
      <c r="B70" s="184"/>
      <c r="C70" s="184"/>
      <c r="D70" s="184"/>
      <c r="E70" s="189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</row>
    <row r="71" customFormat="false" ht="15.75" hidden="false" customHeight="false" outlineLevel="0" collapsed="false">
      <c r="A71" s="184" t="str">
        <f aca="false">IF(ISBLANK(B71),"",B71&amp;"|"&amp;C71)</f>
        <v/>
      </c>
      <c r="B71" s="184"/>
      <c r="C71" s="184"/>
      <c r="D71" s="184"/>
      <c r="E71" s="189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</row>
    <row r="72" customFormat="false" ht="15.75" hidden="false" customHeight="false" outlineLevel="0" collapsed="false">
      <c r="A72" s="184" t="str">
        <f aca="false">IF(ISBLANK(B72),"",B72&amp;"|"&amp;C72)</f>
        <v/>
      </c>
      <c r="B72" s="184"/>
      <c r="C72" s="184"/>
      <c r="D72" s="184"/>
      <c r="E72" s="189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</row>
    <row r="73" customFormat="false" ht="15.75" hidden="false" customHeight="false" outlineLevel="0" collapsed="false">
      <c r="A73" s="184" t="str">
        <f aca="false">IF(ISBLANK(B73),"",B73&amp;"|"&amp;C73)</f>
        <v/>
      </c>
      <c r="B73" s="184"/>
      <c r="C73" s="184"/>
      <c r="D73" s="184"/>
      <c r="E73" s="189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</row>
    <row r="74" customFormat="false" ht="15.75" hidden="false" customHeight="false" outlineLevel="0" collapsed="false">
      <c r="A74" s="184" t="str">
        <f aca="false">IF(ISBLANK(B74),"",B74&amp;"|"&amp;C74)</f>
        <v/>
      </c>
      <c r="B74" s="184"/>
      <c r="C74" s="184"/>
      <c r="D74" s="184"/>
      <c r="E74" s="189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</row>
    <row r="75" customFormat="false" ht="15.75" hidden="false" customHeight="false" outlineLevel="0" collapsed="false">
      <c r="A75" s="184" t="str">
        <f aca="false">IF(ISBLANK(B75),"",B75&amp;"|"&amp;C75)</f>
        <v/>
      </c>
      <c r="B75" s="184"/>
      <c r="C75" s="184"/>
      <c r="D75" s="184"/>
      <c r="E75" s="189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</row>
    <row r="76" customFormat="false" ht="15.75" hidden="false" customHeight="false" outlineLevel="0" collapsed="false">
      <c r="A76" s="184" t="str">
        <f aca="false">IF(ISBLANK(B76),"",B76&amp;"|"&amp;C76)</f>
        <v/>
      </c>
      <c r="B76" s="184"/>
      <c r="C76" s="184"/>
      <c r="D76" s="184"/>
      <c r="E76" s="189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</row>
    <row r="77" customFormat="false" ht="15.75" hidden="false" customHeight="false" outlineLevel="0" collapsed="false">
      <c r="A77" s="184" t="str">
        <f aca="false">IF(ISBLANK(B77),"",B77&amp;"|"&amp;C77)</f>
        <v/>
      </c>
      <c r="B77" s="184"/>
      <c r="C77" s="184"/>
      <c r="D77" s="184"/>
      <c r="E77" s="189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</row>
    <row r="78" customFormat="false" ht="15.75" hidden="false" customHeight="false" outlineLevel="0" collapsed="false">
      <c r="A78" s="184" t="str">
        <f aca="false">IF(ISBLANK(B78),"",B78&amp;"|"&amp;C78)</f>
        <v/>
      </c>
      <c r="B78" s="184"/>
      <c r="C78" s="184"/>
      <c r="D78" s="184"/>
      <c r="E78" s="189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</row>
    <row r="79" customFormat="false" ht="15.75" hidden="false" customHeight="false" outlineLevel="0" collapsed="false">
      <c r="A79" s="184" t="str">
        <f aca="false">IF(ISBLANK(B79),"",B79&amp;"|"&amp;C79)</f>
        <v/>
      </c>
      <c r="B79" s="184"/>
      <c r="C79" s="184"/>
      <c r="D79" s="184"/>
      <c r="E79" s="189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</row>
    <row r="80" customFormat="false" ht="15.75" hidden="false" customHeight="false" outlineLevel="0" collapsed="false">
      <c r="A80" s="184" t="str">
        <f aca="false">IF(ISBLANK(B80),"",B80&amp;"|"&amp;C80)</f>
        <v/>
      </c>
      <c r="B80" s="184"/>
      <c r="C80" s="184"/>
      <c r="D80" s="184"/>
      <c r="E80" s="189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</row>
    <row r="81" customFormat="false" ht="15.75" hidden="false" customHeight="false" outlineLevel="0" collapsed="false">
      <c r="A81" s="184" t="str">
        <f aca="false">IF(ISBLANK(B81),"",B81&amp;"|"&amp;C81)</f>
        <v/>
      </c>
      <c r="B81" s="184"/>
      <c r="C81" s="184"/>
      <c r="D81" s="184"/>
      <c r="E81" s="189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</row>
    <row r="82" customFormat="false" ht="15.75" hidden="false" customHeight="false" outlineLevel="0" collapsed="false">
      <c r="A82" s="184" t="str">
        <f aca="false">IF(ISBLANK(B82),"",B82&amp;"|"&amp;C82)</f>
        <v/>
      </c>
      <c r="B82" s="184"/>
      <c r="C82" s="184"/>
      <c r="D82" s="184"/>
      <c r="E82" s="189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</row>
    <row r="83" customFormat="false" ht="15.75" hidden="false" customHeight="false" outlineLevel="0" collapsed="false">
      <c r="A83" s="184" t="str">
        <f aca="false">IF(ISBLANK(B83),"",B83&amp;"|"&amp;C83)</f>
        <v/>
      </c>
      <c r="B83" s="184"/>
      <c r="C83" s="184"/>
      <c r="D83" s="184"/>
      <c r="E83" s="189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</row>
    <row r="84" customFormat="false" ht="15.75" hidden="false" customHeight="false" outlineLevel="0" collapsed="false">
      <c r="A84" s="184" t="str">
        <f aca="false">IF(ISBLANK(B84),"",B84&amp;"|"&amp;C84)</f>
        <v/>
      </c>
      <c r="B84" s="184"/>
      <c r="C84" s="184"/>
      <c r="D84" s="184"/>
      <c r="E84" s="189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</row>
    <row r="85" customFormat="false" ht="15.75" hidden="false" customHeight="false" outlineLevel="0" collapsed="false">
      <c r="A85" s="184" t="str">
        <f aca="false">IF(ISBLANK(B85),"",B85&amp;"|"&amp;C85)</f>
        <v/>
      </c>
      <c r="B85" s="184"/>
      <c r="C85" s="184"/>
      <c r="D85" s="184"/>
      <c r="E85" s="189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</row>
    <row r="86" customFormat="false" ht="15.75" hidden="false" customHeight="false" outlineLevel="0" collapsed="false">
      <c r="A86" s="184" t="str">
        <f aca="false">IF(ISBLANK(B86),"",B86&amp;"|"&amp;C86)</f>
        <v/>
      </c>
      <c r="B86" s="184"/>
      <c r="C86" s="184"/>
      <c r="D86" s="184"/>
      <c r="E86" s="189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</row>
    <row r="87" customFormat="false" ht="15.75" hidden="false" customHeight="false" outlineLevel="0" collapsed="false">
      <c r="A87" s="184" t="str">
        <f aca="false">IF(ISBLANK(B87),"",B87&amp;"|"&amp;C87)</f>
        <v/>
      </c>
      <c r="B87" s="184"/>
      <c r="C87" s="184"/>
      <c r="D87" s="184"/>
      <c r="E87" s="189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</row>
    <row r="88" customFormat="false" ht="15.75" hidden="false" customHeight="false" outlineLevel="0" collapsed="false">
      <c r="A88" s="184" t="str">
        <f aca="false">IF(ISBLANK(B88),"",B88&amp;"|"&amp;C88)</f>
        <v/>
      </c>
      <c r="B88" s="184"/>
      <c r="C88" s="184"/>
      <c r="D88" s="184"/>
      <c r="E88" s="189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</row>
    <row r="89" customFormat="false" ht="15.75" hidden="false" customHeight="false" outlineLevel="0" collapsed="false">
      <c r="A89" s="184" t="str">
        <f aca="false">IF(ISBLANK(B89),"",B89&amp;"|"&amp;C89)</f>
        <v/>
      </c>
      <c r="B89" s="184"/>
      <c r="C89" s="184"/>
      <c r="D89" s="184"/>
      <c r="E89" s="189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</row>
    <row r="90" customFormat="false" ht="15.75" hidden="false" customHeight="false" outlineLevel="0" collapsed="false">
      <c r="A90" s="184" t="str">
        <f aca="false">IF(ISBLANK(B90),"",B90&amp;"|"&amp;C90)</f>
        <v/>
      </c>
      <c r="B90" s="184"/>
      <c r="C90" s="184"/>
      <c r="D90" s="184"/>
      <c r="E90" s="189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</row>
    <row r="91" customFormat="false" ht="15.75" hidden="false" customHeight="false" outlineLevel="0" collapsed="false">
      <c r="A91" s="184" t="str">
        <f aca="false">IF(ISBLANK(B91),"",B91&amp;"|"&amp;C91)</f>
        <v/>
      </c>
      <c r="B91" s="184"/>
      <c r="C91" s="184"/>
      <c r="D91" s="184"/>
      <c r="E91" s="189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</row>
    <row r="92" customFormat="false" ht="15.75" hidden="false" customHeight="false" outlineLevel="0" collapsed="false">
      <c r="A92" s="184" t="str">
        <f aca="false">IF(ISBLANK(B92),"",B92&amp;"|"&amp;C92)</f>
        <v/>
      </c>
      <c r="B92" s="184"/>
      <c r="C92" s="184"/>
      <c r="D92" s="184"/>
      <c r="E92" s="189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</row>
    <row r="93" customFormat="false" ht="15.75" hidden="false" customHeight="false" outlineLevel="0" collapsed="false">
      <c r="A93" s="184" t="str">
        <f aca="false">IF(ISBLANK(B93),"",B93&amp;"|"&amp;C93)</f>
        <v/>
      </c>
      <c r="B93" s="184"/>
      <c r="C93" s="184"/>
      <c r="D93" s="184"/>
      <c r="E93" s="189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</row>
    <row r="94" customFormat="false" ht="15.75" hidden="false" customHeight="false" outlineLevel="0" collapsed="false">
      <c r="A94" s="184" t="str">
        <f aca="false">IF(ISBLANK(B94),"",B94&amp;"|"&amp;C94)</f>
        <v/>
      </c>
      <c r="B94" s="184"/>
      <c r="C94" s="184"/>
      <c r="D94" s="184"/>
      <c r="E94" s="189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</row>
    <row r="95" customFormat="false" ht="15.75" hidden="false" customHeight="false" outlineLevel="0" collapsed="false">
      <c r="A95" s="184" t="str">
        <f aca="false">IF(ISBLANK(B95),"",B95&amp;"|"&amp;C95)</f>
        <v/>
      </c>
      <c r="B95" s="184"/>
      <c r="C95" s="184"/>
      <c r="D95" s="184"/>
      <c r="E95" s="189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</row>
    <row r="96" customFormat="false" ht="15.75" hidden="false" customHeight="false" outlineLevel="0" collapsed="false">
      <c r="A96" s="184" t="str">
        <f aca="false">IF(ISBLANK(B96),"",B96&amp;"|"&amp;C96)</f>
        <v/>
      </c>
      <c r="B96" s="184"/>
      <c r="C96" s="184"/>
      <c r="D96" s="184"/>
      <c r="E96" s="189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</row>
    <row r="97" customFormat="false" ht="15.75" hidden="false" customHeight="false" outlineLevel="0" collapsed="false">
      <c r="A97" s="184" t="str">
        <f aca="false">IF(ISBLANK(B97),"",B97&amp;"|"&amp;C97)</f>
        <v/>
      </c>
      <c r="B97" s="184"/>
      <c r="C97" s="184"/>
      <c r="D97" s="184"/>
      <c r="E97" s="189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</row>
    <row r="98" customFormat="false" ht="15.75" hidden="false" customHeight="false" outlineLevel="0" collapsed="false">
      <c r="A98" s="184" t="str">
        <f aca="false">IF(ISBLANK(B98),"",B98&amp;"|"&amp;C98)</f>
        <v/>
      </c>
      <c r="B98" s="184"/>
      <c r="C98" s="184"/>
      <c r="D98" s="184"/>
      <c r="E98" s="189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</row>
    <row r="99" customFormat="false" ht="15.75" hidden="false" customHeight="false" outlineLevel="0" collapsed="false">
      <c r="A99" s="184" t="str">
        <f aca="false">IF(ISBLANK(B99),"",B99&amp;"|"&amp;C99)</f>
        <v/>
      </c>
      <c r="B99" s="184"/>
      <c r="C99" s="184"/>
      <c r="D99" s="184"/>
      <c r="E99" s="189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</row>
    <row r="100" customFormat="false" ht="15.75" hidden="false" customHeight="false" outlineLevel="0" collapsed="false">
      <c r="A100" s="184" t="str">
        <f aca="false">IF(ISBLANK(B100),"",B100&amp;"|"&amp;C100)</f>
        <v/>
      </c>
      <c r="B100" s="184"/>
      <c r="C100" s="184"/>
      <c r="D100" s="184"/>
      <c r="E100" s="189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</row>
    <row r="101" customFormat="false" ht="15.75" hidden="false" customHeight="false" outlineLevel="0" collapsed="false">
      <c r="A101" s="184" t="str">
        <f aca="false">IF(ISBLANK(B101),"",B101&amp;"|"&amp;C101)</f>
        <v/>
      </c>
      <c r="B101" s="184"/>
      <c r="C101" s="184"/>
      <c r="D101" s="184"/>
      <c r="E101" s="189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</row>
    <row r="102" customFormat="false" ht="15.75" hidden="false" customHeight="false" outlineLevel="0" collapsed="false">
      <c r="A102" s="184" t="str">
        <f aca="false">IF(ISBLANK(B102),"",B102&amp;"|"&amp;C102)</f>
        <v/>
      </c>
      <c r="B102" s="184"/>
      <c r="C102" s="184"/>
      <c r="D102" s="184"/>
      <c r="E102" s="189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</row>
    <row r="103" customFormat="false" ht="15.75" hidden="false" customHeight="false" outlineLevel="0" collapsed="false">
      <c r="A103" s="184" t="str">
        <f aca="false">IF(ISBLANK(B103),"",B103&amp;"|"&amp;C103)</f>
        <v/>
      </c>
      <c r="B103" s="184"/>
      <c r="C103" s="184"/>
      <c r="D103" s="184"/>
      <c r="E103" s="189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</row>
    <row r="104" customFormat="false" ht="15.75" hidden="false" customHeight="false" outlineLevel="0" collapsed="false">
      <c r="A104" s="184" t="str">
        <f aca="false">IF(ISBLANK(B104),"",B104&amp;"|"&amp;C104)</f>
        <v/>
      </c>
      <c r="B104" s="184"/>
      <c r="C104" s="184"/>
      <c r="D104" s="184"/>
      <c r="E104" s="189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</row>
    <row r="105" customFormat="false" ht="15.75" hidden="false" customHeight="false" outlineLevel="0" collapsed="false">
      <c r="A105" s="184" t="str">
        <f aca="false">IF(ISBLANK(B105),"",B105&amp;"|"&amp;C105)</f>
        <v/>
      </c>
      <c r="B105" s="184"/>
      <c r="C105" s="184"/>
      <c r="D105" s="184"/>
      <c r="E105" s="189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</row>
    <row r="106" customFormat="false" ht="15.75" hidden="false" customHeight="false" outlineLevel="0" collapsed="false">
      <c r="A106" s="184" t="str">
        <f aca="false">IF(ISBLANK(B106),"",B106&amp;"|"&amp;C106)</f>
        <v/>
      </c>
      <c r="B106" s="184"/>
      <c r="C106" s="184"/>
      <c r="D106" s="184"/>
      <c r="E106" s="189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</row>
    <row r="107" customFormat="false" ht="15.75" hidden="false" customHeight="false" outlineLevel="0" collapsed="false">
      <c r="A107" s="184" t="str">
        <f aca="false">IF(ISBLANK(B107),"",B107&amp;"|"&amp;C107)</f>
        <v/>
      </c>
      <c r="B107" s="184"/>
      <c r="C107" s="184"/>
      <c r="D107" s="184"/>
      <c r="E107" s="189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</row>
    <row r="108" customFormat="false" ht="15.75" hidden="false" customHeight="false" outlineLevel="0" collapsed="false">
      <c r="A108" s="184" t="str">
        <f aca="false">IF(ISBLANK(B108),"",B108&amp;"|"&amp;C108)</f>
        <v/>
      </c>
      <c r="B108" s="184"/>
      <c r="C108" s="184"/>
      <c r="D108" s="184"/>
      <c r="E108" s="189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</row>
    <row r="109" customFormat="false" ht="15.75" hidden="false" customHeight="false" outlineLevel="0" collapsed="false">
      <c r="A109" s="184" t="str">
        <f aca="false">IF(ISBLANK(B109),"",B109&amp;"|"&amp;C109)</f>
        <v/>
      </c>
      <c r="B109" s="184"/>
      <c r="C109" s="184"/>
      <c r="D109" s="184"/>
      <c r="E109" s="189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</row>
    <row r="110" customFormat="false" ht="15.75" hidden="false" customHeight="false" outlineLevel="0" collapsed="false">
      <c r="A110" s="184" t="str">
        <f aca="false">IF(ISBLANK(B110),"",B110&amp;"|"&amp;C110)</f>
        <v/>
      </c>
      <c r="B110" s="184"/>
      <c r="C110" s="184"/>
      <c r="D110" s="184"/>
      <c r="E110" s="189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</row>
    <row r="111" customFormat="false" ht="15.75" hidden="false" customHeight="false" outlineLevel="0" collapsed="false">
      <c r="A111" s="184" t="str">
        <f aca="false">IF(ISBLANK(B111),"",B111&amp;"|"&amp;C111)</f>
        <v/>
      </c>
      <c r="B111" s="184"/>
      <c r="C111" s="184"/>
      <c r="D111" s="184"/>
      <c r="E111" s="189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</row>
    <row r="112" customFormat="false" ht="15.75" hidden="false" customHeight="false" outlineLevel="0" collapsed="false">
      <c r="A112" s="184" t="str">
        <f aca="false">IF(ISBLANK(B112),"",B112&amp;"|"&amp;C112)</f>
        <v/>
      </c>
      <c r="B112" s="184"/>
      <c r="C112" s="184"/>
      <c r="D112" s="184"/>
      <c r="E112" s="189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</row>
    <row r="113" customFormat="false" ht="15.75" hidden="false" customHeight="false" outlineLevel="0" collapsed="false">
      <c r="A113" s="184" t="str">
        <f aca="false">IF(ISBLANK(B113),"",B113&amp;"|"&amp;C113)</f>
        <v/>
      </c>
      <c r="B113" s="184"/>
      <c r="C113" s="184"/>
      <c r="D113" s="184"/>
      <c r="E113" s="189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</row>
    <row r="114" customFormat="false" ht="15.75" hidden="false" customHeight="false" outlineLevel="0" collapsed="false">
      <c r="A114" s="184" t="str">
        <f aca="false">IF(ISBLANK(B114),"",B114&amp;"|"&amp;C114)</f>
        <v/>
      </c>
      <c r="B114" s="184"/>
      <c r="C114" s="184"/>
      <c r="D114" s="184"/>
      <c r="E114" s="189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</row>
    <row r="115" customFormat="false" ht="15.75" hidden="false" customHeight="false" outlineLevel="0" collapsed="false">
      <c r="A115" s="184" t="str">
        <f aca="false">IF(ISBLANK(B115),"",B115&amp;"|"&amp;C115)</f>
        <v/>
      </c>
      <c r="B115" s="184"/>
      <c r="C115" s="184"/>
      <c r="D115" s="184"/>
      <c r="E115" s="189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</row>
    <row r="116" customFormat="false" ht="15.75" hidden="false" customHeight="false" outlineLevel="0" collapsed="false">
      <c r="A116" s="184" t="str">
        <f aca="false">IF(ISBLANK(B116),"",B116&amp;"|"&amp;C116)</f>
        <v/>
      </c>
      <c r="B116" s="184"/>
      <c r="C116" s="184"/>
      <c r="D116" s="184"/>
      <c r="E116" s="189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</row>
    <row r="117" customFormat="false" ht="15.75" hidden="false" customHeight="false" outlineLevel="0" collapsed="false">
      <c r="A117" s="184" t="str">
        <f aca="false">IF(ISBLANK(B117),"",B117&amp;"|"&amp;C117)</f>
        <v/>
      </c>
      <c r="B117" s="184"/>
      <c r="C117" s="184"/>
      <c r="D117" s="184"/>
      <c r="E117" s="189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</row>
    <row r="118" customFormat="false" ht="15.75" hidden="false" customHeight="false" outlineLevel="0" collapsed="false">
      <c r="A118" s="184" t="str">
        <f aca="false">IF(ISBLANK(B118),"",B118&amp;"|"&amp;C118)</f>
        <v/>
      </c>
      <c r="B118" s="184"/>
      <c r="C118" s="184"/>
      <c r="D118" s="184"/>
      <c r="E118" s="189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</row>
    <row r="119" customFormat="false" ht="15.75" hidden="false" customHeight="false" outlineLevel="0" collapsed="false">
      <c r="A119" s="184" t="str">
        <f aca="false">IF(ISBLANK(B119),"",B119&amp;"|"&amp;C119)</f>
        <v/>
      </c>
      <c r="B119" s="184"/>
      <c r="C119" s="184"/>
      <c r="D119" s="184"/>
      <c r="E119" s="189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</row>
    <row r="120" customFormat="false" ht="15.75" hidden="false" customHeight="false" outlineLevel="0" collapsed="false">
      <c r="A120" s="184" t="str">
        <f aca="false">IF(ISBLANK(B120),"",B120&amp;"|"&amp;C120)</f>
        <v/>
      </c>
      <c r="B120" s="184"/>
      <c r="C120" s="184"/>
      <c r="D120" s="184"/>
      <c r="E120" s="189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</row>
    <row r="121" customFormat="false" ht="15.75" hidden="false" customHeight="false" outlineLevel="0" collapsed="false">
      <c r="A121" s="184" t="str">
        <f aca="false">IF(ISBLANK(B121),"",B121&amp;"|"&amp;C121)</f>
        <v/>
      </c>
      <c r="B121" s="184"/>
      <c r="C121" s="184"/>
      <c r="D121" s="184"/>
      <c r="E121" s="189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</row>
    <row r="122" customFormat="false" ht="15.75" hidden="false" customHeight="false" outlineLevel="0" collapsed="false">
      <c r="A122" s="184" t="str">
        <f aca="false">IF(ISBLANK(B122),"",B122&amp;"|"&amp;C122)</f>
        <v/>
      </c>
      <c r="B122" s="184"/>
      <c r="C122" s="184"/>
      <c r="D122" s="184"/>
      <c r="E122" s="189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</row>
    <row r="123" customFormat="false" ht="15.75" hidden="false" customHeight="false" outlineLevel="0" collapsed="false">
      <c r="A123" s="184" t="str">
        <f aca="false">IF(ISBLANK(B123),"",B123&amp;"|"&amp;C123)</f>
        <v/>
      </c>
      <c r="B123" s="184"/>
      <c r="C123" s="184"/>
      <c r="D123" s="184"/>
      <c r="E123" s="189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</row>
    <row r="124" customFormat="false" ht="15.75" hidden="false" customHeight="false" outlineLevel="0" collapsed="false">
      <c r="A124" s="184" t="str">
        <f aca="false">IF(ISBLANK(B124),"",B124&amp;"|"&amp;C124)</f>
        <v/>
      </c>
      <c r="B124" s="184"/>
      <c r="C124" s="184"/>
      <c r="D124" s="184"/>
      <c r="E124" s="189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</row>
    <row r="125" customFormat="false" ht="15.75" hidden="false" customHeight="false" outlineLevel="0" collapsed="false">
      <c r="A125" s="184" t="str">
        <f aca="false">IF(ISBLANK(B125),"",B125&amp;"|"&amp;C125)</f>
        <v/>
      </c>
      <c r="B125" s="184"/>
      <c r="C125" s="184"/>
      <c r="D125" s="184"/>
      <c r="E125" s="189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</row>
    <row r="126" customFormat="false" ht="15.75" hidden="false" customHeight="false" outlineLevel="0" collapsed="false">
      <c r="A126" s="184" t="str">
        <f aca="false">IF(ISBLANK(B126),"",B126&amp;"|"&amp;C126)</f>
        <v/>
      </c>
      <c r="B126" s="184"/>
      <c r="C126" s="184"/>
      <c r="D126" s="184"/>
      <c r="E126" s="189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</row>
    <row r="127" customFormat="false" ht="15.75" hidden="false" customHeight="false" outlineLevel="0" collapsed="false">
      <c r="A127" s="184" t="str">
        <f aca="false">IF(ISBLANK(B127),"",B127&amp;"|"&amp;C127)</f>
        <v/>
      </c>
      <c r="B127" s="184"/>
      <c r="C127" s="184"/>
      <c r="D127" s="184"/>
      <c r="E127" s="189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</row>
    <row r="128" customFormat="false" ht="15.75" hidden="false" customHeight="false" outlineLevel="0" collapsed="false">
      <c r="A128" s="184" t="str">
        <f aca="false">IF(ISBLANK(B128),"",B128&amp;"|"&amp;C128)</f>
        <v/>
      </c>
      <c r="B128" s="184"/>
      <c r="C128" s="184"/>
      <c r="D128" s="184"/>
      <c r="E128" s="189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</row>
    <row r="129" customFormat="false" ht="15.75" hidden="false" customHeight="false" outlineLevel="0" collapsed="false">
      <c r="A129" s="184" t="str">
        <f aca="false">IF(ISBLANK(B129),"",B129&amp;"|"&amp;C129)</f>
        <v/>
      </c>
      <c r="B129" s="184"/>
      <c r="C129" s="184"/>
      <c r="D129" s="184"/>
      <c r="E129" s="189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</row>
    <row r="130" customFormat="false" ht="15.75" hidden="false" customHeight="false" outlineLevel="0" collapsed="false">
      <c r="A130" s="184" t="str">
        <f aca="false">IF(ISBLANK(B130),"",B130&amp;"|"&amp;C130)</f>
        <v/>
      </c>
      <c r="B130" s="184"/>
      <c r="C130" s="184"/>
      <c r="D130" s="184"/>
      <c r="E130" s="189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</row>
    <row r="131" customFormat="false" ht="15.75" hidden="false" customHeight="false" outlineLevel="0" collapsed="false">
      <c r="A131" s="184" t="str">
        <f aca="false">IF(ISBLANK(B131),"",B131&amp;"|"&amp;C131)</f>
        <v/>
      </c>
      <c r="B131" s="184"/>
      <c r="C131" s="184"/>
      <c r="D131" s="184"/>
      <c r="E131" s="189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</row>
    <row r="132" customFormat="false" ht="15.75" hidden="false" customHeight="false" outlineLevel="0" collapsed="false">
      <c r="A132" s="184" t="str">
        <f aca="false">IF(ISBLANK(B132),"",B132&amp;"|"&amp;C132)</f>
        <v/>
      </c>
      <c r="B132" s="184"/>
      <c r="C132" s="184"/>
      <c r="D132" s="184"/>
      <c r="E132" s="189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</row>
    <row r="133" customFormat="false" ht="15.75" hidden="false" customHeight="false" outlineLevel="0" collapsed="false">
      <c r="A133" s="184" t="str">
        <f aca="false">IF(ISBLANK(B133),"",B133&amp;"|"&amp;C133)</f>
        <v/>
      </c>
      <c r="B133" s="184"/>
      <c r="C133" s="184"/>
      <c r="D133" s="184"/>
      <c r="E133" s="189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</row>
    <row r="134" customFormat="false" ht="15.75" hidden="false" customHeight="false" outlineLevel="0" collapsed="false">
      <c r="A134" s="184" t="str">
        <f aca="false">IF(ISBLANK(B134),"",B134&amp;"|"&amp;C134)</f>
        <v/>
      </c>
      <c r="B134" s="184"/>
      <c r="C134" s="184"/>
      <c r="D134" s="184"/>
      <c r="E134" s="189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</row>
    <row r="135" customFormat="false" ht="15.75" hidden="false" customHeight="false" outlineLevel="0" collapsed="false">
      <c r="A135" s="184" t="str">
        <f aca="false">IF(ISBLANK(B135),"",B135&amp;"|"&amp;C135)</f>
        <v/>
      </c>
      <c r="B135" s="184"/>
      <c r="C135" s="184"/>
      <c r="D135" s="184"/>
      <c r="E135" s="189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</row>
    <row r="136" customFormat="false" ht="15.75" hidden="false" customHeight="false" outlineLevel="0" collapsed="false">
      <c r="A136" s="184" t="str">
        <f aca="false">IF(ISBLANK(B136),"",B136&amp;"|"&amp;C136)</f>
        <v/>
      </c>
      <c r="B136" s="184"/>
      <c r="C136" s="184"/>
      <c r="D136" s="184"/>
      <c r="E136" s="189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</row>
    <row r="137" customFormat="false" ht="15.75" hidden="false" customHeight="false" outlineLevel="0" collapsed="false">
      <c r="A137" s="184" t="str">
        <f aca="false">IF(ISBLANK(B137),"",B137&amp;"|"&amp;C137)</f>
        <v/>
      </c>
      <c r="B137" s="184"/>
      <c r="C137" s="184"/>
      <c r="D137" s="184"/>
      <c r="E137" s="189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</row>
    <row r="138" customFormat="false" ht="15.75" hidden="false" customHeight="false" outlineLevel="0" collapsed="false">
      <c r="A138" s="184" t="str">
        <f aca="false">IF(ISBLANK(B138),"",B138&amp;"|"&amp;C138)</f>
        <v/>
      </c>
      <c r="B138" s="184"/>
      <c r="C138" s="184"/>
      <c r="D138" s="184"/>
      <c r="E138" s="189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</row>
    <row r="139" customFormat="false" ht="15.75" hidden="false" customHeight="false" outlineLevel="0" collapsed="false">
      <c r="A139" s="184" t="str">
        <f aca="false">IF(ISBLANK(B139),"",B139&amp;"|"&amp;C139)</f>
        <v/>
      </c>
      <c r="B139" s="184"/>
      <c r="C139" s="184"/>
      <c r="D139" s="184"/>
      <c r="E139" s="189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</row>
    <row r="140" customFormat="false" ht="15.75" hidden="false" customHeight="false" outlineLevel="0" collapsed="false">
      <c r="A140" s="184" t="str">
        <f aca="false">IF(ISBLANK(B140),"",B140&amp;"|"&amp;C140)</f>
        <v/>
      </c>
      <c r="B140" s="184"/>
      <c r="C140" s="184"/>
      <c r="D140" s="184"/>
      <c r="E140" s="189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</row>
    <row r="141" customFormat="false" ht="15.75" hidden="false" customHeight="false" outlineLevel="0" collapsed="false">
      <c r="A141" s="184" t="str">
        <f aca="false">IF(ISBLANK(B141),"",B141&amp;"|"&amp;C141)</f>
        <v/>
      </c>
      <c r="B141" s="184"/>
      <c r="C141" s="184"/>
      <c r="D141" s="184"/>
      <c r="E141" s="189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</row>
    <row r="142" customFormat="false" ht="15.75" hidden="false" customHeight="false" outlineLevel="0" collapsed="false">
      <c r="A142" s="184" t="str">
        <f aca="false">IF(ISBLANK(B142),"",B142&amp;"|"&amp;C142)</f>
        <v/>
      </c>
      <c r="B142" s="184"/>
      <c r="C142" s="184"/>
      <c r="D142" s="184"/>
      <c r="E142" s="189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</row>
    <row r="143" customFormat="false" ht="15.75" hidden="false" customHeight="false" outlineLevel="0" collapsed="false">
      <c r="A143" s="184" t="str">
        <f aca="false">IF(ISBLANK(B143),"",B143&amp;"|"&amp;C143)</f>
        <v/>
      </c>
      <c r="B143" s="184"/>
      <c r="C143" s="184"/>
      <c r="D143" s="184"/>
      <c r="E143" s="189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</row>
    <row r="144" customFormat="false" ht="15.75" hidden="false" customHeight="false" outlineLevel="0" collapsed="false">
      <c r="A144" s="184" t="str">
        <f aca="false">IF(ISBLANK(B144),"",B144&amp;"|"&amp;C144)</f>
        <v/>
      </c>
      <c r="B144" s="184"/>
      <c r="C144" s="184"/>
      <c r="D144" s="184"/>
      <c r="E144" s="189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</row>
    <row r="145" customFormat="false" ht="15.75" hidden="false" customHeight="false" outlineLevel="0" collapsed="false">
      <c r="A145" s="184" t="str">
        <f aca="false">IF(ISBLANK(B145),"",B145&amp;"|"&amp;C145)</f>
        <v/>
      </c>
      <c r="B145" s="184"/>
      <c r="C145" s="184"/>
      <c r="D145" s="184"/>
      <c r="E145" s="189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</row>
    <row r="146" customFormat="false" ht="15.75" hidden="false" customHeight="false" outlineLevel="0" collapsed="false">
      <c r="A146" s="184" t="str">
        <f aca="false">IF(ISBLANK(B146),"",B146&amp;"|"&amp;C146)</f>
        <v/>
      </c>
      <c r="B146" s="184"/>
      <c r="C146" s="184"/>
      <c r="D146" s="184"/>
      <c r="E146" s="189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</row>
    <row r="147" customFormat="false" ht="15.75" hidden="false" customHeight="false" outlineLevel="0" collapsed="false">
      <c r="A147" s="184" t="str">
        <f aca="false">IF(ISBLANK(B147),"",B147&amp;"|"&amp;C147)</f>
        <v/>
      </c>
      <c r="B147" s="184"/>
      <c r="C147" s="184"/>
      <c r="D147" s="184"/>
      <c r="E147" s="189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</row>
    <row r="148" customFormat="false" ht="15.75" hidden="false" customHeight="false" outlineLevel="0" collapsed="false">
      <c r="A148" s="184" t="str">
        <f aca="false">IF(ISBLANK(B148),"",B148&amp;"|"&amp;C148)</f>
        <v/>
      </c>
      <c r="B148" s="184"/>
      <c r="C148" s="184"/>
      <c r="D148" s="184"/>
      <c r="E148" s="189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</row>
    <row r="149" customFormat="false" ht="15.75" hidden="false" customHeight="false" outlineLevel="0" collapsed="false">
      <c r="A149" s="184" t="str">
        <f aca="false">IF(ISBLANK(B149),"",B149&amp;"|"&amp;C149)</f>
        <v/>
      </c>
      <c r="B149" s="184"/>
      <c r="C149" s="184"/>
      <c r="D149" s="184"/>
      <c r="E149" s="189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</row>
    <row r="150" customFormat="false" ht="15.75" hidden="false" customHeight="false" outlineLevel="0" collapsed="false">
      <c r="A150" s="184" t="str">
        <f aca="false">IF(ISBLANK(B150),"",B150&amp;"|"&amp;C150)</f>
        <v/>
      </c>
      <c r="B150" s="184"/>
      <c r="C150" s="184"/>
      <c r="D150" s="184"/>
      <c r="E150" s="189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</row>
    <row r="151" customFormat="false" ht="15.75" hidden="false" customHeight="false" outlineLevel="0" collapsed="false">
      <c r="A151" s="184" t="str">
        <f aca="false">IF(ISBLANK(B151),"",B151&amp;"|"&amp;C151)</f>
        <v/>
      </c>
      <c r="B151" s="184"/>
      <c r="C151" s="184"/>
      <c r="D151" s="184"/>
      <c r="E151" s="189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</row>
    <row r="152" customFormat="false" ht="15.75" hidden="false" customHeight="false" outlineLevel="0" collapsed="false">
      <c r="A152" s="184" t="str">
        <f aca="false">IF(ISBLANK(B152),"",B152&amp;"|"&amp;C152)</f>
        <v/>
      </c>
      <c r="B152" s="184"/>
      <c r="C152" s="184"/>
      <c r="D152" s="184"/>
      <c r="E152" s="189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</row>
    <row r="153" customFormat="false" ht="15.75" hidden="false" customHeight="false" outlineLevel="0" collapsed="false">
      <c r="A153" s="184" t="str">
        <f aca="false">IF(ISBLANK(B153),"",B153&amp;"|"&amp;C153)</f>
        <v/>
      </c>
      <c r="B153" s="184"/>
      <c r="C153" s="184"/>
      <c r="D153" s="184"/>
      <c r="E153" s="189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</row>
    <row r="154" customFormat="false" ht="15.75" hidden="false" customHeight="false" outlineLevel="0" collapsed="false">
      <c r="A154" s="184" t="str">
        <f aca="false">IF(ISBLANK(B154),"",B154&amp;"|"&amp;C154)</f>
        <v/>
      </c>
      <c r="B154" s="184"/>
      <c r="C154" s="184"/>
      <c r="D154" s="184"/>
      <c r="E154" s="189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</row>
    <row r="155" customFormat="false" ht="15.75" hidden="false" customHeight="false" outlineLevel="0" collapsed="false">
      <c r="A155" s="184" t="str">
        <f aca="false">IF(ISBLANK(B155),"",B155&amp;"|"&amp;C155)</f>
        <v/>
      </c>
      <c r="B155" s="184"/>
      <c r="C155" s="184"/>
      <c r="D155" s="184"/>
      <c r="E155" s="189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</row>
    <row r="156" customFormat="false" ht="15.75" hidden="false" customHeight="false" outlineLevel="0" collapsed="false">
      <c r="A156" s="184" t="str">
        <f aca="false">IF(ISBLANK(B156),"",B156&amp;"|"&amp;C156)</f>
        <v/>
      </c>
      <c r="B156" s="184"/>
      <c r="C156" s="184"/>
      <c r="D156" s="184"/>
      <c r="E156" s="189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</row>
    <row r="157" customFormat="false" ht="15.75" hidden="false" customHeight="false" outlineLevel="0" collapsed="false">
      <c r="A157" s="184" t="str">
        <f aca="false">IF(ISBLANK(B157),"",B157&amp;"|"&amp;C157)</f>
        <v/>
      </c>
      <c r="B157" s="184"/>
      <c r="C157" s="184"/>
      <c r="D157" s="184"/>
      <c r="E157" s="189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</row>
    <row r="158" customFormat="false" ht="15.75" hidden="false" customHeight="false" outlineLevel="0" collapsed="false">
      <c r="A158" s="184" t="str">
        <f aca="false">IF(ISBLANK(B158),"",B158&amp;"|"&amp;C158)</f>
        <v/>
      </c>
      <c r="B158" s="184"/>
      <c r="C158" s="184"/>
      <c r="D158" s="184"/>
      <c r="E158" s="189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</row>
    <row r="159" customFormat="false" ht="15.75" hidden="false" customHeight="false" outlineLevel="0" collapsed="false">
      <c r="A159" s="184" t="str">
        <f aca="false">IF(ISBLANK(B159),"",B159&amp;"|"&amp;C159)</f>
        <v/>
      </c>
      <c r="B159" s="184"/>
      <c r="C159" s="184"/>
      <c r="D159" s="184"/>
      <c r="E159" s="189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</row>
    <row r="160" customFormat="false" ht="15.75" hidden="false" customHeight="false" outlineLevel="0" collapsed="false">
      <c r="A160" s="184" t="str">
        <f aca="false">IF(ISBLANK(B160),"",B160&amp;"|"&amp;C160)</f>
        <v/>
      </c>
      <c r="B160" s="184"/>
      <c r="C160" s="184"/>
      <c r="D160" s="184"/>
      <c r="E160" s="189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</row>
    <row r="161" customFormat="false" ht="15.75" hidden="false" customHeight="false" outlineLevel="0" collapsed="false">
      <c r="A161" s="184" t="str">
        <f aca="false">IF(ISBLANK(B161),"",B161&amp;"|"&amp;C161)</f>
        <v/>
      </c>
      <c r="B161" s="184"/>
      <c r="C161" s="184"/>
      <c r="D161" s="184"/>
      <c r="E161" s="189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</row>
    <row r="162" customFormat="false" ht="15.75" hidden="false" customHeight="false" outlineLevel="0" collapsed="false">
      <c r="A162" s="184" t="str">
        <f aca="false">IF(ISBLANK(B162),"",B162&amp;"|"&amp;C162)</f>
        <v/>
      </c>
      <c r="B162" s="184"/>
      <c r="C162" s="184"/>
      <c r="D162" s="184"/>
      <c r="E162" s="189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</row>
    <row r="163" customFormat="false" ht="15.75" hidden="false" customHeight="false" outlineLevel="0" collapsed="false">
      <c r="A163" s="184" t="str">
        <f aca="false">IF(ISBLANK(B163),"",B163&amp;"|"&amp;C163)</f>
        <v/>
      </c>
      <c r="B163" s="184"/>
      <c r="C163" s="184"/>
      <c r="D163" s="184"/>
      <c r="E163" s="189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</row>
    <row r="164" customFormat="false" ht="15.75" hidden="false" customHeight="false" outlineLevel="0" collapsed="false">
      <c r="A164" s="184" t="str">
        <f aca="false">IF(ISBLANK(B164),"",B164&amp;"|"&amp;C164)</f>
        <v/>
      </c>
      <c r="B164" s="184"/>
      <c r="C164" s="184"/>
      <c r="D164" s="184"/>
      <c r="E164" s="189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</row>
    <row r="165" customFormat="false" ht="15.75" hidden="false" customHeight="false" outlineLevel="0" collapsed="false">
      <c r="A165" s="184" t="str">
        <f aca="false">IF(ISBLANK(B165),"",B165&amp;"|"&amp;C165)</f>
        <v/>
      </c>
      <c r="B165" s="184"/>
      <c r="C165" s="184"/>
      <c r="D165" s="184"/>
      <c r="E165" s="189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</row>
    <row r="166" customFormat="false" ht="15.75" hidden="false" customHeight="false" outlineLevel="0" collapsed="false">
      <c r="A166" s="184" t="str">
        <f aca="false">IF(ISBLANK(B166),"",B166&amp;"|"&amp;C166)</f>
        <v/>
      </c>
      <c r="B166" s="184"/>
      <c r="C166" s="184"/>
      <c r="D166" s="184"/>
      <c r="E166" s="189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</row>
    <row r="167" customFormat="false" ht="15.75" hidden="false" customHeight="false" outlineLevel="0" collapsed="false">
      <c r="A167" s="184" t="str">
        <f aca="false">IF(ISBLANK(B167),"",B167&amp;"|"&amp;C167)</f>
        <v/>
      </c>
      <c r="B167" s="184"/>
      <c r="C167" s="184"/>
      <c r="D167" s="184"/>
      <c r="E167" s="189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</row>
    <row r="168" customFormat="false" ht="15.75" hidden="false" customHeight="false" outlineLevel="0" collapsed="false">
      <c r="A168" s="184" t="str">
        <f aca="false">IF(ISBLANK(B168),"",B168&amp;"|"&amp;C168)</f>
        <v/>
      </c>
      <c r="B168" s="184"/>
      <c r="C168" s="184"/>
      <c r="D168" s="184"/>
      <c r="E168" s="189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</row>
    <row r="169" customFormat="false" ht="15.75" hidden="false" customHeight="false" outlineLevel="0" collapsed="false">
      <c r="A169" s="184" t="str">
        <f aca="false">IF(ISBLANK(B169),"",B169&amp;"|"&amp;C169)</f>
        <v/>
      </c>
      <c r="B169" s="184"/>
      <c r="C169" s="184"/>
      <c r="D169" s="184"/>
      <c r="E169" s="189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</row>
    <row r="170" customFormat="false" ht="15.75" hidden="false" customHeight="false" outlineLevel="0" collapsed="false">
      <c r="A170" s="184" t="str">
        <f aca="false">IF(ISBLANK(B170),"",B170&amp;"|"&amp;C170)</f>
        <v/>
      </c>
      <c r="B170" s="184"/>
      <c r="C170" s="184"/>
      <c r="D170" s="184"/>
      <c r="E170" s="189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</row>
    <row r="171" customFormat="false" ht="15.75" hidden="false" customHeight="false" outlineLevel="0" collapsed="false">
      <c r="A171" s="184" t="str">
        <f aca="false">IF(ISBLANK(B171),"",B171&amp;"|"&amp;C171)</f>
        <v/>
      </c>
      <c r="B171" s="184"/>
      <c r="C171" s="184"/>
      <c r="D171" s="184"/>
      <c r="E171" s="189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</row>
    <row r="172" customFormat="false" ht="15.75" hidden="false" customHeight="false" outlineLevel="0" collapsed="false">
      <c r="A172" s="184" t="str">
        <f aca="false">IF(ISBLANK(B172),"",B172&amp;"|"&amp;C172)</f>
        <v/>
      </c>
      <c r="B172" s="184"/>
      <c r="C172" s="184"/>
      <c r="D172" s="184"/>
      <c r="E172" s="189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</row>
    <row r="173" customFormat="false" ht="15.75" hidden="false" customHeight="false" outlineLevel="0" collapsed="false">
      <c r="A173" s="184" t="str">
        <f aca="false">IF(ISBLANK(B173),"",B173&amp;"|"&amp;C173)</f>
        <v/>
      </c>
      <c r="B173" s="184"/>
      <c r="C173" s="184"/>
      <c r="D173" s="184"/>
      <c r="E173" s="189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</row>
    <row r="174" customFormat="false" ht="15.75" hidden="false" customHeight="false" outlineLevel="0" collapsed="false">
      <c r="A174" s="184" t="str">
        <f aca="false">IF(ISBLANK(B174),"",B174&amp;"|"&amp;C174)</f>
        <v/>
      </c>
      <c r="B174" s="184"/>
      <c r="C174" s="184"/>
      <c r="D174" s="184"/>
      <c r="E174" s="189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</row>
    <row r="175" customFormat="false" ht="15.75" hidden="false" customHeight="false" outlineLevel="0" collapsed="false">
      <c r="A175" s="184" t="str">
        <f aca="false">IF(ISBLANK(B175),"",B175&amp;"|"&amp;C175)</f>
        <v/>
      </c>
      <c r="B175" s="184"/>
      <c r="C175" s="184"/>
      <c r="D175" s="184"/>
      <c r="E175" s="189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</row>
    <row r="176" customFormat="false" ht="15.75" hidden="false" customHeight="false" outlineLevel="0" collapsed="false">
      <c r="A176" s="184" t="str">
        <f aca="false">IF(ISBLANK(B176),"",B176&amp;"|"&amp;C176)</f>
        <v/>
      </c>
      <c r="B176" s="184"/>
      <c r="C176" s="184"/>
      <c r="D176" s="184"/>
      <c r="E176" s="189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</row>
    <row r="177" customFormat="false" ht="15.75" hidden="false" customHeight="false" outlineLevel="0" collapsed="false">
      <c r="A177" s="184" t="str">
        <f aca="false">IF(ISBLANK(B177),"",B177&amp;"|"&amp;C177)</f>
        <v/>
      </c>
      <c r="B177" s="184"/>
      <c r="C177" s="184"/>
      <c r="D177" s="184"/>
      <c r="E177" s="189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</row>
    <row r="178" customFormat="false" ht="15.75" hidden="false" customHeight="false" outlineLevel="0" collapsed="false">
      <c r="A178" s="184" t="str">
        <f aca="false">IF(ISBLANK(B178),"",B178&amp;"|"&amp;C178)</f>
        <v/>
      </c>
      <c r="B178" s="184"/>
      <c r="C178" s="184"/>
      <c r="D178" s="184"/>
      <c r="E178" s="189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</row>
    <row r="179" customFormat="false" ht="15.75" hidden="false" customHeight="false" outlineLevel="0" collapsed="false">
      <c r="A179" s="184" t="str">
        <f aca="false">IF(ISBLANK(B179),"",B179&amp;"|"&amp;C179)</f>
        <v/>
      </c>
      <c r="B179" s="184"/>
      <c r="C179" s="184"/>
      <c r="D179" s="184"/>
      <c r="E179" s="189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</row>
    <row r="180" customFormat="false" ht="15.75" hidden="false" customHeight="false" outlineLevel="0" collapsed="false">
      <c r="A180" s="184" t="str">
        <f aca="false">IF(ISBLANK(B180),"",B180&amp;"|"&amp;C180)</f>
        <v/>
      </c>
      <c r="B180" s="184"/>
      <c r="C180" s="184"/>
      <c r="D180" s="184"/>
      <c r="E180" s="189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</row>
    <row r="181" customFormat="false" ht="15.75" hidden="false" customHeight="false" outlineLevel="0" collapsed="false">
      <c r="A181" s="184" t="str">
        <f aca="false">IF(ISBLANK(B181),"",B181&amp;"|"&amp;C181)</f>
        <v/>
      </c>
      <c r="B181" s="184"/>
      <c r="C181" s="184"/>
      <c r="D181" s="184"/>
      <c r="E181" s="189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</row>
    <row r="182" customFormat="false" ht="15.75" hidden="false" customHeight="false" outlineLevel="0" collapsed="false">
      <c r="A182" s="184" t="str">
        <f aca="false">IF(ISBLANK(B182),"",B182&amp;"|"&amp;C182)</f>
        <v/>
      </c>
      <c r="B182" s="184"/>
      <c r="C182" s="184"/>
      <c r="D182" s="184"/>
      <c r="E182" s="189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</row>
    <row r="183" customFormat="false" ht="15.75" hidden="false" customHeight="false" outlineLevel="0" collapsed="false">
      <c r="A183" s="184" t="str">
        <f aca="false">IF(ISBLANK(B183),"",B183&amp;"|"&amp;C183)</f>
        <v/>
      </c>
      <c r="B183" s="184"/>
      <c r="C183" s="184"/>
      <c r="D183" s="184"/>
      <c r="E183" s="189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</row>
    <row r="184" customFormat="false" ht="15.75" hidden="false" customHeight="false" outlineLevel="0" collapsed="false">
      <c r="A184" s="184" t="str">
        <f aca="false">IF(ISBLANK(B184),"",B184&amp;"|"&amp;C184)</f>
        <v/>
      </c>
      <c r="B184" s="184"/>
      <c r="C184" s="184"/>
      <c r="D184" s="184"/>
      <c r="E184" s="189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</row>
    <row r="185" customFormat="false" ht="15.75" hidden="false" customHeight="false" outlineLevel="0" collapsed="false">
      <c r="A185" s="184" t="str">
        <f aca="false">IF(ISBLANK(B185),"",B185&amp;"|"&amp;C185)</f>
        <v/>
      </c>
      <c r="B185" s="184"/>
      <c r="C185" s="184"/>
      <c r="D185" s="184"/>
      <c r="E185" s="189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</row>
    <row r="186" customFormat="false" ht="15.75" hidden="false" customHeight="false" outlineLevel="0" collapsed="false">
      <c r="A186" s="184" t="str">
        <f aca="false">IF(ISBLANK(B186),"",B186&amp;"|"&amp;C186)</f>
        <v/>
      </c>
      <c r="B186" s="184"/>
      <c r="C186" s="184"/>
      <c r="D186" s="184"/>
      <c r="E186" s="189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</row>
    <row r="187" customFormat="false" ht="15.75" hidden="false" customHeight="false" outlineLevel="0" collapsed="false">
      <c r="A187" s="184" t="str">
        <f aca="false">IF(ISBLANK(B187),"",B187&amp;"|"&amp;C187)</f>
        <v/>
      </c>
      <c r="B187" s="184"/>
      <c r="C187" s="184"/>
      <c r="D187" s="184"/>
      <c r="E187" s="189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</row>
    <row r="188" customFormat="false" ht="15.75" hidden="false" customHeight="false" outlineLevel="0" collapsed="false">
      <c r="A188" s="184" t="str">
        <f aca="false">IF(ISBLANK(B188),"",B188&amp;"|"&amp;C188)</f>
        <v/>
      </c>
      <c r="B188" s="184"/>
      <c r="C188" s="184"/>
      <c r="D188" s="184"/>
      <c r="E188" s="189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</row>
    <row r="189" customFormat="false" ht="15.75" hidden="false" customHeight="false" outlineLevel="0" collapsed="false">
      <c r="A189" s="184" t="str">
        <f aca="false">IF(ISBLANK(B189),"",B189&amp;"|"&amp;C189)</f>
        <v/>
      </c>
      <c r="B189" s="184"/>
      <c r="C189" s="184"/>
      <c r="D189" s="184"/>
      <c r="E189" s="189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</row>
    <row r="190" customFormat="false" ht="15.75" hidden="false" customHeight="false" outlineLevel="0" collapsed="false">
      <c r="A190" s="184" t="str">
        <f aca="false">IF(ISBLANK(B190),"",B190&amp;"|"&amp;C190)</f>
        <v/>
      </c>
      <c r="B190" s="184"/>
      <c r="C190" s="184"/>
      <c r="D190" s="184"/>
      <c r="E190" s="189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</row>
    <row r="191" customFormat="false" ht="15.75" hidden="false" customHeight="false" outlineLevel="0" collapsed="false">
      <c r="A191" s="184" t="str">
        <f aca="false">IF(ISBLANK(B191),"",B191&amp;"|"&amp;C191)</f>
        <v/>
      </c>
      <c r="B191" s="184"/>
      <c r="C191" s="184"/>
      <c r="D191" s="184"/>
      <c r="E191" s="189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</row>
    <row r="192" customFormat="false" ht="15.75" hidden="false" customHeight="false" outlineLevel="0" collapsed="false">
      <c r="A192" s="184" t="str">
        <f aca="false">IF(ISBLANK(B192),"",B192&amp;"|"&amp;C192)</f>
        <v/>
      </c>
      <c r="B192" s="184"/>
      <c r="C192" s="184"/>
      <c r="D192" s="184"/>
      <c r="E192" s="189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</row>
    <row r="193" customFormat="false" ht="15.75" hidden="false" customHeight="false" outlineLevel="0" collapsed="false">
      <c r="A193" s="184" t="str">
        <f aca="false">IF(ISBLANK(B193),"",B193&amp;"|"&amp;C193)</f>
        <v/>
      </c>
      <c r="B193" s="184"/>
      <c r="C193" s="184"/>
      <c r="D193" s="184"/>
      <c r="E193" s="189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</row>
    <row r="194" customFormat="false" ht="15.75" hidden="false" customHeight="false" outlineLevel="0" collapsed="false">
      <c r="A194" s="184" t="str">
        <f aca="false">IF(ISBLANK(B194),"",B194&amp;"|"&amp;C194)</f>
        <v/>
      </c>
      <c r="B194" s="184"/>
      <c r="C194" s="184"/>
      <c r="D194" s="184"/>
      <c r="E194" s="189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</row>
    <row r="195" customFormat="false" ht="15.75" hidden="false" customHeight="false" outlineLevel="0" collapsed="false">
      <c r="A195" s="184" t="str">
        <f aca="false">IF(ISBLANK(B195),"",B195&amp;"|"&amp;C195)</f>
        <v/>
      </c>
      <c r="B195" s="184"/>
      <c r="C195" s="184"/>
      <c r="D195" s="184"/>
      <c r="E195" s="189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</row>
    <row r="196" customFormat="false" ht="15.75" hidden="false" customHeight="false" outlineLevel="0" collapsed="false">
      <c r="A196" s="184" t="str">
        <f aca="false">IF(ISBLANK(B196),"",B196&amp;"|"&amp;C196)</f>
        <v/>
      </c>
      <c r="B196" s="184"/>
      <c r="C196" s="184"/>
      <c r="D196" s="184"/>
      <c r="E196" s="189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</row>
    <row r="197" customFormat="false" ht="15.75" hidden="false" customHeight="false" outlineLevel="0" collapsed="false">
      <c r="A197" s="184" t="str">
        <f aca="false">IF(ISBLANK(B197),"",B197&amp;"|"&amp;C197)</f>
        <v/>
      </c>
      <c r="B197" s="184"/>
      <c r="C197" s="184"/>
      <c r="D197" s="184"/>
      <c r="E197" s="189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</row>
    <row r="198" customFormat="false" ht="15.75" hidden="false" customHeight="false" outlineLevel="0" collapsed="false">
      <c r="A198" s="184" t="str">
        <f aca="false">IF(ISBLANK(B198),"",B198&amp;"|"&amp;C198)</f>
        <v/>
      </c>
      <c r="B198" s="184"/>
      <c r="C198" s="184"/>
      <c r="D198" s="184"/>
      <c r="E198" s="189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</row>
    <row r="199" customFormat="false" ht="15.75" hidden="false" customHeight="false" outlineLevel="0" collapsed="false">
      <c r="A199" s="184" t="str">
        <f aca="false">IF(ISBLANK(B199),"",B199&amp;"|"&amp;C199)</f>
        <v/>
      </c>
      <c r="B199" s="184"/>
      <c r="C199" s="184"/>
      <c r="D199" s="184"/>
      <c r="E199" s="189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</row>
    <row r="200" customFormat="false" ht="15.75" hidden="false" customHeight="false" outlineLevel="0" collapsed="false">
      <c r="A200" s="184" t="str">
        <f aca="false">IF(ISBLANK(B200),"",B200&amp;"|"&amp;C200)</f>
        <v/>
      </c>
      <c r="B200" s="184"/>
      <c r="C200" s="184"/>
      <c r="D200" s="184"/>
      <c r="E200" s="189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</row>
    <row r="201" customFormat="false" ht="15.75" hidden="false" customHeight="false" outlineLevel="0" collapsed="false">
      <c r="A201" s="184" t="str">
        <f aca="false">IF(ISBLANK(B201),"",B201&amp;"|"&amp;C201)</f>
        <v/>
      </c>
      <c r="B201" s="184"/>
      <c r="C201" s="184"/>
      <c r="D201" s="184"/>
      <c r="E201" s="189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</row>
    <row r="202" customFormat="false" ht="15.75" hidden="false" customHeight="false" outlineLevel="0" collapsed="false">
      <c r="A202" s="184" t="str">
        <f aca="false">IF(ISBLANK(B202),"",B202&amp;"|"&amp;C202)</f>
        <v/>
      </c>
      <c r="B202" s="184"/>
      <c r="C202" s="184"/>
      <c r="D202" s="184"/>
      <c r="E202" s="189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</row>
    <row r="203" customFormat="false" ht="15.75" hidden="false" customHeight="false" outlineLevel="0" collapsed="false">
      <c r="A203" s="184" t="str">
        <f aca="false">IF(ISBLANK(B203),"",B203&amp;"|"&amp;C203)</f>
        <v/>
      </c>
      <c r="B203" s="184"/>
      <c r="C203" s="184"/>
      <c r="D203" s="184"/>
      <c r="E203" s="189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</row>
    <row r="204" customFormat="false" ht="15.75" hidden="false" customHeight="false" outlineLevel="0" collapsed="false">
      <c r="A204" s="184" t="str">
        <f aca="false">IF(ISBLANK(B204),"",B204&amp;"|"&amp;C204)</f>
        <v/>
      </c>
      <c r="B204" s="184"/>
      <c r="C204" s="184"/>
      <c r="D204" s="184"/>
      <c r="E204" s="189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</row>
    <row r="205" customFormat="false" ht="15.75" hidden="false" customHeight="false" outlineLevel="0" collapsed="false">
      <c r="A205" s="184" t="str">
        <f aca="false">IF(ISBLANK(B205),"",B205&amp;"|"&amp;C205)</f>
        <v/>
      </c>
      <c r="B205" s="184"/>
      <c r="C205" s="184"/>
      <c r="D205" s="184"/>
      <c r="E205" s="189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</row>
    <row r="206" customFormat="false" ht="15.75" hidden="false" customHeight="false" outlineLevel="0" collapsed="false">
      <c r="A206" s="184" t="str">
        <f aca="false">IF(ISBLANK(B206),"",B206&amp;"|"&amp;C206)</f>
        <v/>
      </c>
      <c r="B206" s="184"/>
      <c r="C206" s="184"/>
      <c r="D206" s="184"/>
      <c r="E206" s="189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</row>
    <row r="207" customFormat="false" ht="15.75" hidden="false" customHeight="false" outlineLevel="0" collapsed="false">
      <c r="A207" s="184" t="str">
        <f aca="false">IF(ISBLANK(B207),"",B207&amp;"|"&amp;C207)</f>
        <v/>
      </c>
      <c r="B207" s="184"/>
      <c r="C207" s="184"/>
      <c r="D207" s="184"/>
      <c r="E207" s="189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</row>
    <row r="208" customFormat="false" ht="15.75" hidden="false" customHeight="false" outlineLevel="0" collapsed="false">
      <c r="A208" s="184" t="str">
        <f aca="false">IF(ISBLANK(B208),"",B208&amp;"|"&amp;C208)</f>
        <v/>
      </c>
      <c r="B208" s="184"/>
      <c r="C208" s="184"/>
      <c r="D208" s="184"/>
      <c r="E208" s="189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</row>
    <row r="209" customFormat="false" ht="15.75" hidden="false" customHeight="false" outlineLevel="0" collapsed="false">
      <c r="A209" s="184" t="str">
        <f aca="false">IF(ISBLANK(B209),"",B209&amp;"|"&amp;C209)</f>
        <v/>
      </c>
      <c r="B209" s="184"/>
      <c r="C209" s="184"/>
      <c r="D209" s="184"/>
      <c r="E209" s="189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</row>
    <row r="210" customFormat="false" ht="15.75" hidden="false" customHeight="false" outlineLevel="0" collapsed="false">
      <c r="A210" s="184" t="str">
        <f aca="false">IF(ISBLANK(B210),"",B210&amp;"|"&amp;C210)</f>
        <v/>
      </c>
      <c r="B210" s="184"/>
      <c r="C210" s="184"/>
      <c r="D210" s="184"/>
      <c r="E210" s="189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</row>
    <row r="211" customFormat="false" ht="15.75" hidden="false" customHeight="false" outlineLevel="0" collapsed="false">
      <c r="A211" s="184" t="str">
        <f aca="false">IF(ISBLANK(B211),"",B211&amp;"|"&amp;C211)</f>
        <v/>
      </c>
      <c r="B211" s="184"/>
      <c r="C211" s="184"/>
      <c r="D211" s="184"/>
      <c r="E211" s="189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</row>
    <row r="212" customFormat="false" ht="15.75" hidden="false" customHeight="false" outlineLevel="0" collapsed="false">
      <c r="A212" s="184" t="str">
        <f aca="false">IF(ISBLANK(B212),"",B212&amp;"|"&amp;C212)</f>
        <v/>
      </c>
      <c r="B212" s="184"/>
      <c r="C212" s="184"/>
      <c r="D212" s="184"/>
      <c r="E212" s="189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</row>
    <row r="213" customFormat="false" ht="15.75" hidden="false" customHeight="false" outlineLevel="0" collapsed="false">
      <c r="A213" s="184" t="str">
        <f aca="false">IF(ISBLANK(B213),"",B213&amp;"|"&amp;C213)</f>
        <v/>
      </c>
      <c r="B213" s="184"/>
      <c r="C213" s="184"/>
      <c r="D213" s="184"/>
      <c r="E213" s="189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</row>
    <row r="214" customFormat="false" ht="15.75" hidden="false" customHeight="false" outlineLevel="0" collapsed="false">
      <c r="A214" s="184" t="str">
        <f aca="false">IF(ISBLANK(B214),"",B214&amp;"|"&amp;C214)</f>
        <v/>
      </c>
      <c r="B214" s="184"/>
      <c r="C214" s="184"/>
      <c r="D214" s="184"/>
      <c r="E214" s="189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</row>
    <row r="215" customFormat="false" ht="15.75" hidden="false" customHeight="false" outlineLevel="0" collapsed="false">
      <c r="A215" s="184" t="str">
        <f aca="false">IF(ISBLANK(B215),"",B215&amp;"|"&amp;C215)</f>
        <v/>
      </c>
      <c r="B215" s="184"/>
      <c r="C215" s="184"/>
      <c r="D215" s="184"/>
      <c r="E215" s="189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</row>
    <row r="216" customFormat="false" ht="15.75" hidden="false" customHeight="false" outlineLevel="0" collapsed="false">
      <c r="A216" s="184" t="str">
        <f aca="false">IF(ISBLANK(B216),"",B216&amp;"|"&amp;C216)</f>
        <v/>
      </c>
      <c r="B216" s="184"/>
      <c r="C216" s="184"/>
      <c r="D216" s="184"/>
      <c r="E216" s="189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</row>
    <row r="217" customFormat="false" ht="15.75" hidden="false" customHeight="false" outlineLevel="0" collapsed="false">
      <c r="A217" s="184" t="str">
        <f aca="false">IF(ISBLANK(B217),"",B217&amp;"|"&amp;C217)</f>
        <v/>
      </c>
      <c r="B217" s="184"/>
      <c r="C217" s="184"/>
      <c r="D217" s="184"/>
      <c r="E217" s="189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</row>
    <row r="218" customFormat="false" ht="15.75" hidden="false" customHeight="false" outlineLevel="0" collapsed="false">
      <c r="A218" s="184" t="str">
        <f aca="false">IF(ISBLANK(B218),"",B218&amp;"|"&amp;C218)</f>
        <v/>
      </c>
      <c r="B218" s="184"/>
      <c r="C218" s="184"/>
      <c r="D218" s="184"/>
      <c r="E218" s="189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</row>
    <row r="219" customFormat="false" ht="15.75" hidden="false" customHeight="false" outlineLevel="0" collapsed="false">
      <c r="A219" s="184" t="str">
        <f aca="false">IF(ISBLANK(B219),"",B219&amp;"|"&amp;C219)</f>
        <v/>
      </c>
      <c r="B219" s="184"/>
      <c r="C219" s="184"/>
      <c r="D219" s="184"/>
      <c r="E219" s="189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</row>
    <row r="220" customFormat="false" ht="15.75" hidden="false" customHeight="false" outlineLevel="0" collapsed="false">
      <c r="A220" s="184" t="str">
        <f aca="false">IF(ISBLANK(B220),"",B220&amp;"|"&amp;C220)</f>
        <v/>
      </c>
      <c r="B220" s="184"/>
      <c r="C220" s="184"/>
      <c r="D220" s="184"/>
      <c r="E220" s="189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</row>
    <row r="221" customFormat="false" ht="15.75" hidden="false" customHeight="false" outlineLevel="0" collapsed="false">
      <c r="A221" s="184" t="str">
        <f aca="false">IF(ISBLANK(B221),"",B221&amp;"|"&amp;C221)</f>
        <v/>
      </c>
      <c r="B221" s="184"/>
      <c r="C221" s="184"/>
      <c r="D221" s="184"/>
      <c r="E221" s="189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</row>
    <row r="222" customFormat="false" ht="15.75" hidden="false" customHeight="false" outlineLevel="0" collapsed="false">
      <c r="A222" s="184" t="str">
        <f aca="false">IF(ISBLANK(B222),"",B222&amp;"|"&amp;C222)</f>
        <v/>
      </c>
      <c r="B222" s="184"/>
      <c r="C222" s="184"/>
      <c r="D222" s="184"/>
      <c r="E222" s="189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</row>
    <row r="223" customFormat="false" ht="15.75" hidden="false" customHeight="false" outlineLevel="0" collapsed="false">
      <c r="A223" s="184" t="str">
        <f aca="false">IF(ISBLANK(B223),"",B223&amp;"|"&amp;C223)</f>
        <v/>
      </c>
      <c r="B223" s="184"/>
      <c r="C223" s="184"/>
      <c r="D223" s="184"/>
      <c r="E223" s="189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</row>
    <row r="224" customFormat="false" ht="15.75" hidden="false" customHeight="false" outlineLevel="0" collapsed="false">
      <c r="A224" s="184" t="str">
        <f aca="false">IF(ISBLANK(B224),"",B224&amp;"|"&amp;C224)</f>
        <v/>
      </c>
      <c r="B224" s="184"/>
      <c r="C224" s="184"/>
      <c r="D224" s="184"/>
      <c r="E224" s="189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</row>
    <row r="225" customFormat="false" ht="15.75" hidden="false" customHeight="false" outlineLevel="0" collapsed="false">
      <c r="A225" s="184" t="str">
        <f aca="false">IF(ISBLANK(B225),"",B225&amp;"|"&amp;C225)</f>
        <v/>
      </c>
      <c r="B225" s="184"/>
      <c r="C225" s="184"/>
      <c r="D225" s="184"/>
      <c r="E225" s="189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</row>
    <row r="226" customFormat="false" ht="15.75" hidden="false" customHeight="false" outlineLevel="0" collapsed="false">
      <c r="A226" s="184" t="str">
        <f aca="false">IF(ISBLANK(B226),"",B226&amp;"|"&amp;C226)</f>
        <v/>
      </c>
      <c r="B226" s="184"/>
      <c r="C226" s="184"/>
      <c r="D226" s="184"/>
      <c r="E226" s="189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</row>
    <row r="227" customFormat="false" ht="15.75" hidden="false" customHeight="false" outlineLevel="0" collapsed="false">
      <c r="A227" s="184" t="str">
        <f aca="false">IF(ISBLANK(B227),"",B227&amp;"|"&amp;C227)</f>
        <v/>
      </c>
      <c r="B227" s="184"/>
      <c r="C227" s="184"/>
      <c r="D227" s="184"/>
      <c r="E227" s="189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</row>
    <row r="228" customFormat="false" ht="15.75" hidden="false" customHeight="false" outlineLevel="0" collapsed="false">
      <c r="A228" s="184" t="str">
        <f aca="false">IF(ISBLANK(B228),"",B228&amp;"|"&amp;C228)</f>
        <v/>
      </c>
      <c r="B228" s="184"/>
      <c r="C228" s="184"/>
      <c r="D228" s="184"/>
      <c r="E228" s="189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</row>
    <row r="229" customFormat="false" ht="15.75" hidden="false" customHeight="false" outlineLevel="0" collapsed="false">
      <c r="A229" s="184" t="str">
        <f aca="false">IF(ISBLANK(B229),"",B229&amp;"|"&amp;C229)</f>
        <v/>
      </c>
      <c r="B229" s="184"/>
      <c r="C229" s="184"/>
      <c r="D229" s="184"/>
      <c r="E229" s="189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</row>
    <row r="230" customFormat="false" ht="15.75" hidden="false" customHeight="false" outlineLevel="0" collapsed="false">
      <c r="A230" s="184" t="str">
        <f aca="false">IF(ISBLANK(B230),"",B230&amp;"|"&amp;C230)</f>
        <v/>
      </c>
      <c r="B230" s="184"/>
      <c r="C230" s="184"/>
      <c r="D230" s="184"/>
      <c r="E230" s="189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</row>
    <row r="231" customFormat="false" ht="15.75" hidden="false" customHeight="false" outlineLevel="0" collapsed="false">
      <c r="A231" s="184" t="str">
        <f aca="false">IF(ISBLANK(B231),"",B231&amp;"|"&amp;C231)</f>
        <v/>
      </c>
      <c r="B231" s="184"/>
      <c r="C231" s="184"/>
      <c r="D231" s="184"/>
      <c r="E231" s="189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</row>
    <row r="232" customFormat="false" ht="15.75" hidden="false" customHeight="false" outlineLevel="0" collapsed="false">
      <c r="A232" s="184" t="str">
        <f aca="false">IF(ISBLANK(B232),"",B232&amp;"|"&amp;C232)</f>
        <v/>
      </c>
      <c r="B232" s="184"/>
      <c r="C232" s="184"/>
      <c r="D232" s="184"/>
      <c r="E232" s="189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</row>
    <row r="233" customFormat="false" ht="15.75" hidden="false" customHeight="false" outlineLevel="0" collapsed="false">
      <c r="A233" s="184" t="str">
        <f aca="false">IF(ISBLANK(B233),"",B233&amp;"|"&amp;C233)</f>
        <v/>
      </c>
      <c r="B233" s="184"/>
      <c r="C233" s="184"/>
      <c r="D233" s="184"/>
      <c r="E233" s="189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</row>
    <row r="234" customFormat="false" ht="15.75" hidden="false" customHeight="false" outlineLevel="0" collapsed="false">
      <c r="A234" s="184" t="str">
        <f aca="false">IF(ISBLANK(B234),"",B234&amp;"|"&amp;C234)</f>
        <v/>
      </c>
      <c r="B234" s="184"/>
      <c r="C234" s="184"/>
      <c r="D234" s="184"/>
      <c r="E234" s="189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</row>
    <row r="235" customFormat="false" ht="15.75" hidden="false" customHeight="false" outlineLevel="0" collapsed="false">
      <c r="A235" s="184" t="str">
        <f aca="false">IF(ISBLANK(B235),"",B235&amp;"|"&amp;C235)</f>
        <v/>
      </c>
      <c r="B235" s="184"/>
      <c r="C235" s="184"/>
      <c r="D235" s="184"/>
      <c r="E235" s="189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</row>
    <row r="236" customFormat="false" ht="15.75" hidden="false" customHeight="false" outlineLevel="0" collapsed="false">
      <c r="A236" s="184" t="str">
        <f aca="false">IF(ISBLANK(B236),"",B236&amp;"|"&amp;C236)</f>
        <v/>
      </c>
      <c r="B236" s="184"/>
      <c r="C236" s="184"/>
      <c r="D236" s="184"/>
      <c r="E236" s="189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</row>
    <row r="237" customFormat="false" ht="15.75" hidden="false" customHeight="false" outlineLevel="0" collapsed="false">
      <c r="A237" s="184" t="str">
        <f aca="false">IF(ISBLANK(B237),"",B237&amp;"|"&amp;C237)</f>
        <v/>
      </c>
      <c r="B237" s="184"/>
      <c r="C237" s="184"/>
      <c r="D237" s="184"/>
      <c r="E237" s="189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</row>
    <row r="238" customFormat="false" ht="15.75" hidden="false" customHeight="false" outlineLevel="0" collapsed="false">
      <c r="A238" s="184" t="str">
        <f aca="false">IF(ISBLANK(B238),"",B238&amp;"|"&amp;C238)</f>
        <v/>
      </c>
      <c r="B238" s="184"/>
      <c r="C238" s="184"/>
      <c r="D238" s="184"/>
      <c r="E238" s="189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</row>
    <row r="239" customFormat="false" ht="15.75" hidden="false" customHeight="false" outlineLevel="0" collapsed="false">
      <c r="A239" s="184" t="str">
        <f aca="false">IF(ISBLANK(B239),"",B239&amp;"|"&amp;C239)</f>
        <v/>
      </c>
      <c r="B239" s="184"/>
      <c r="C239" s="184"/>
      <c r="D239" s="184"/>
      <c r="E239" s="189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</row>
    <row r="240" customFormat="false" ht="15.75" hidden="false" customHeight="false" outlineLevel="0" collapsed="false">
      <c r="A240" s="184" t="str">
        <f aca="false">IF(ISBLANK(B240),"",B240&amp;"|"&amp;C240)</f>
        <v/>
      </c>
      <c r="B240" s="184"/>
      <c r="C240" s="184"/>
      <c r="D240" s="184"/>
      <c r="E240" s="189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</row>
    <row r="241" customFormat="false" ht="15.75" hidden="false" customHeight="false" outlineLevel="0" collapsed="false">
      <c r="A241" s="184" t="str">
        <f aca="false">IF(ISBLANK(B241),"",B241&amp;"|"&amp;C241)</f>
        <v/>
      </c>
      <c r="B241" s="184"/>
      <c r="C241" s="184"/>
      <c r="D241" s="184"/>
      <c r="E241" s="189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</row>
    <row r="242" customFormat="false" ht="15.75" hidden="false" customHeight="false" outlineLevel="0" collapsed="false">
      <c r="A242" s="184" t="str">
        <f aca="false">IF(ISBLANK(B242),"",B242&amp;"|"&amp;C242)</f>
        <v/>
      </c>
      <c r="B242" s="184"/>
      <c r="C242" s="184"/>
      <c r="D242" s="184"/>
      <c r="E242" s="189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</row>
    <row r="243" customFormat="false" ht="15.75" hidden="false" customHeight="false" outlineLevel="0" collapsed="false">
      <c r="A243" s="184" t="str">
        <f aca="false">IF(ISBLANK(B243),"",B243&amp;"|"&amp;C243)</f>
        <v/>
      </c>
      <c r="B243" s="184"/>
      <c r="C243" s="184"/>
      <c r="D243" s="184"/>
      <c r="E243" s="189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</row>
    <row r="244" customFormat="false" ht="15.75" hidden="false" customHeight="false" outlineLevel="0" collapsed="false">
      <c r="A244" s="184" t="str">
        <f aca="false">IF(ISBLANK(B244),"",B244&amp;"|"&amp;C244)</f>
        <v/>
      </c>
      <c r="B244" s="184"/>
      <c r="C244" s="184"/>
      <c r="D244" s="184"/>
      <c r="E244" s="189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</row>
    <row r="245" customFormat="false" ht="15.75" hidden="false" customHeight="false" outlineLevel="0" collapsed="false">
      <c r="A245" s="184" t="str">
        <f aca="false">IF(ISBLANK(B245),"",B245&amp;"|"&amp;C245)</f>
        <v/>
      </c>
      <c r="B245" s="184"/>
      <c r="C245" s="184"/>
      <c r="D245" s="184"/>
      <c r="E245" s="189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</row>
    <row r="246" customFormat="false" ht="15.75" hidden="false" customHeight="false" outlineLevel="0" collapsed="false">
      <c r="A246" s="184" t="str">
        <f aca="false">IF(ISBLANK(B246),"",B246&amp;"|"&amp;C246)</f>
        <v/>
      </c>
      <c r="B246" s="184"/>
      <c r="C246" s="184"/>
      <c r="D246" s="184"/>
      <c r="E246" s="189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</row>
    <row r="247" customFormat="false" ht="15.75" hidden="false" customHeight="false" outlineLevel="0" collapsed="false">
      <c r="A247" s="184" t="str">
        <f aca="false">IF(ISBLANK(B247),"",B247&amp;"|"&amp;C247)</f>
        <v/>
      </c>
      <c r="B247" s="184"/>
      <c r="C247" s="184"/>
      <c r="D247" s="184"/>
      <c r="E247" s="189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</row>
    <row r="248" customFormat="false" ht="15.75" hidden="false" customHeight="false" outlineLevel="0" collapsed="false">
      <c r="A248" s="184" t="str">
        <f aca="false">IF(ISBLANK(B248),"",B248&amp;"|"&amp;C248)</f>
        <v/>
      </c>
      <c r="B248" s="184"/>
      <c r="C248" s="184"/>
      <c r="D248" s="184"/>
      <c r="E248" s="189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</row>
    <row r="249" customFormat="false" ht="15.75" hidden="false" customHeight="false" outlineLevel="0" collapsed="false">
      <c r="A249" s="184" t="str">
        <f aca="false">IF(ISBLANK(B249),"",B249&amp;"|"&amp;C249)</f>
        <v/>
      </c>
      <c r="B249" s="184"/>
      <c r="C249" s="184"/>
      <c r="D249" s="184"/>
      <c r="E249" s="189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</row>
    <row r="250" customFormat="false" ht="15.75" hidden="false" customHeight="false" outlineLevel="0" collapsed="false">
      <c r="A250" s="184" t="str">
        <f aca="false">IF(ISBLANK(B250),"",B250&amp;"|"&amp;C250)</f>
        <v/>
      </c>
      <c r="B250" s="184"/>
      <c r="C250" s="184"/>
      <c r="D250" s="184"/>
      <c r="E250" s="189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</row>
    <row r="251" customFormat="false" ht="15.75" hidden="false" customHeight="false" outlineLevel="0" collapsed="false">
      <c r="A251" s="184" t="str">
        <f aca="false">IF(ISBLANK(B251),"",B251&amp;"|"&amp;C251)</f>
        <v/>
      </c>
      <c r="B251" s="184"/>
      <c r="C251" s="184"/>
      <c r="D251" s="184"/>
      <c r="E251" s="189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</row>
    <row r="252" customFormat="false" ht="15.75" hidden="false" customHeight="false" outlineLevel="0" collapsed="false">
      <c r="A252" s="184" t="str">
        <f aca="false">IF(ISBLANK(B252),"",B252&amp;"|"&amp;C252)</f>
        <v/>
      </c>
      <c r="B252" s="184"/>
      <c r="C252" s="184"/>
      <c r="D252" s="184"/>
      <c r="E252" s="189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</row>
    <row r="253" customFormat="false" ht="15.75" hidden="false" customHeight="false" outlineLevel="0" collapsed="false">
      <c r="A253" s="184" t="str">
        <f aca="false">IF(ISBLANK(B253),"",B253&amp;"|"&amp;C253)</f>
        <v/>
      </c>
      <c r="B253" s="184"/>
      <c r="C253" s="184"/>
      <c r="D253" s="184"/>
      <c r="E253" s="189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</row>
    <row r="254" customFormat="false" ht="15.75" hidden="false" customHeight="false" outlineLevel="0" collapsed="false">
      <c r="A254" s="184" t="str">
        <f aca="false">IF(ISBLANK(B254),"",B254&amp;"|"&amp;C254)</f>
        <v/>
      </c>
      <c r="B254" s="184"/>
      <c r="C254" s="184"/>
      <c r="D254" s="184"/>
      <c r="E254" s="189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</row>
    <row r="255" customFormat="false" ht="15.75" hidden="false" customHeight="false" outlineLevel="0" collapsed="false">
      <c r="A255" s="184" t="str">
        <f aca="false">IF(ISBLANK(B255),"",B255&amp;"|"&amp;C255)</f>
        <v/>
      </c>
      <c r="B255" s="184"/>
      <c r="C255" s="184"/>
      <c r="D255" s="184"/>
      <c r="E255" s="189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</row>
    <row r="256" customFormat="false" ht="15.75" hidden="false" customHeight="false" outlineLevel="0" collapsed="false">
      <c r="A256" s="184" t="str">
        <f aca="false">IF(ISBLANK(B256),"",B256&amp;"|"&amp;C256)</f>
        <v/>
      </c>
      <c r="B256" s="184"/>
      <c r="C256" s="184"/>
      <c r="D256" s="184"/>
      <c r="E256" s="189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</row>
    <row r="257" customFormat="false" ht="15.75" hidden="false" customHeight="false" outlineLevel="0" collapsed="false">
      <c r="A257" s="184" t="str">
        <f aca="false">IF(ISBLANK(B257),"",B257&amp;"|"&amp;C257)</f>
        <v/>
      </c>
      <c r="B257" s="184"/>
      <c r="C257" s="184"/>
      <c r="D257" s="184"/>
      <c r="E257" s="189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</row>
    <row r="258" customFormat="false" ht="15.75" hidden="false" customHeight="false" outlineLevel="0" collapsed="false">
      <c r="A258" s="184" t="str">
        <f aca="false">IF(ISBLANK(B258),"",B258&amp;"|"&amp;C258)</f>
        <v/>
      </c>
      <c r="B258" s="184"/>
      <c r="C258" s="184"/>
      <c r="D258" s="184"/>
      <c r="E258" s="189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</row>
    <row r="259" customFormat="false" ht="15.75" hidden="false" customHeight="false" outlineLevel="0" collapsed="false">
      <c r="A259" s="184" t="str">
        <f aca="false">IF(ISBLANK(B259),"",B259&amp;"|"&amp;C259)</f>
        <v/>
      </c>
      <c r="B259" s="184"/>
      <c r="C259" s="184"/>
      <c r="D259" s="184"/>
      <c r="E259" s="189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</row>
    <row r="260" customFormat="false" ht="15.75" hidden="false" customHeight="false" outlineLevel="0" collapsed="false">
      <c r="A260" s="184" t="str">
        <f aca="false">IF(ISBLANK(B260),"",B260&amp;"|"&amp;C260)</f>
        <v/>
      </c>
      <c r="B260" s="184"/>
      <c r="C260" s="184"/>
      <c r="D260" s="184"/>
      <c r="E260" s="189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</row>
    <row r="261" customFormat="false" ht="15.75" hidden="false" customHeight="false" outlineLevel="0" collapsed="false">
      <c r="A261" s="184" t="str">
        <f aca="false">IF(ISBLANK(B261),"",B261&amp;"|"&amp;C261)</f>
        <v/>
      </c>
      <c r="B261" s="184"/>
      <c r="C261" s="184"/>
      <c r="D261" s="184"/>
      <c r="E261" s="189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</row>
    <row r="262" customFormat="false" ht="15.75" hidden="false" customHeight="false" outlineLevel="0" collapsed="false">
      <c r="A262" s="184" t="str">
        <f aca="false">IF(ISBLANK(B262),"",B262&amp;"|"&amp;C262)</f>
        <v/>
      </c>
      <c r="B262" s="184"/>
      <c r="C262" s="184"/>
      <c r="D262" s="184"/>
      <c r="E262" s="189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</row>
    <row r="263" customFormat="false" ht="15.75" hidden="false" customHeight="false" outlineLevel="0" collapsed="false">
      <c r="A263" s="184" t="str">
        <f aca="false">IF(ISBLANK(B263),"",B263&amp;"|"&amp;C263)</f>
        <v/>
      </c>
      <c r="B263" s="184"/>
      <c r="C263" s="184"/>
      <c r="D263" s="184"/>
      <c r="E263" s="189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</row>
    <row r="264" customFormat="false" ht="15.75" hidden="false" customHeight="false" outlineLevel="0" collapsed="false">
      <c r="A264" s="184" t="str">
        <f aca="false">IF(ISBLANK(B264),"",B264&amp;"|"&amp;C264)</f>
        <v/>
      </c>
      <c r="B264" s="184"/>
      <c r="C264" s="184"/>
      <c r="D264" s="184"/>
      <c r="E264" s="189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</row>
    <row r="265" customFormat="false" ht="15.75" hidden="false" customHeight="false" outlineLevel="0" collapsed="false">
      <c r="A265" s="184" t="str">
        <f aca="false">IF(ISBLANK(B265),"",B265&amp;"|"&amp;C265)</f>
        <v/>
      </c>
      <c r="B265" s="184"/>
      <c r="C265" s="184"/>
      <c r="D265" s="184"/>
      <c r="E265" s="189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</row>
    <row r="266" customFormat="false" ht="15.75" hidden="false" customHeight="false" outlineLevel="0" collapsed="false">
      <c r="A266" s="184" t="str">
        <f aca="false">IF(ISBLANK(B266),"",B266&amp;"|"&amp;C266)</f>
        <v/>
      </c>
      <c r="B266" s="184"/>
      <c r="C266" s="184"/>
      <c r="D266" s="184"/>
      <c r="E266" s="189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</row>
    <row r="267" customFormat="false" ht="15.75" hidden="false" customHeight="false" outlineLevel="0" collapsed="false">
      <c r="A267" s="184" t="str">
        <f aca="false">IF(ISBLANK(B267),"",B267&amp;"|"&amp;C267)</f>
        <v/>
      </c>
      <c r="B267" s="184"/>
      <c r="C267" s="184"/>
      <c r="D267" s="184"/>
      <c r="E267" s="189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</row>
    <row r="268" customFormat="false" ht="15.75" hidden="false" customHeight="false" outlineLevel="0" collapsed="false">
      <c r="A268" s="184" t="str">
        <f aca="false">IF(ISBLANK(B268),"",B268&amp;"|"&amp;C268)</f>
        <v/>
      </c>
      <c r="B268" s="184"/>
      <c r="C268" s="184"/>
      <c r="D268" s="184"/>
      <c r="E268" s="189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</row>
    <row r="269" customFormat="false" ht="15.75" hidden="false" customHeight="false" outlineLevel="0" collapsed="false">
      <c r="A269" s="184" t="str">
        <f aca="false">IF(ISBLANK(B269),"",B269&amp;"|"&amp;C269)</f>
        <v/>
      </c>
      <c r="B269" s="184"/>
      <c r="C269" s="184"/>
      <c r="D269" s="184"/>
      <c r="E269" s="189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</row>
    <row r="270" customFormat="false" ht="15.75" hidden="false" customHeight="false" outlineLevel="0" collapsed="false">
      <c r="A270" s="184" t="str">
        <f aca="false">IF(ISBLANK(B270),"",B270&amp;"|"&amp;C270)</f>
        <v/>
      </c>
      <c r="B270" s="184"/>
      <c r="C270" s="184"/>
      <c r="D270" s="184"/>
      <c r="E270" s="189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</row>
    <row r="271" customFormat="false" ht="15.75" hidden="false" customHeight="false" outlineLevel="0" collapsed="false">
      <c r="A271" s="184" t="str">
        <f aca="false">IF(ISBLANK(B271),"",B271&amp;"|"&amp;C271)</f>
        <v/>
      </c>
      <c r="B271" s="184"/>
      <c r="C271" s="184"/>
      <c r="D271" s="184"/>
      <c r="E271" s="189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</row>
    <row r="272" customFormat="false" ht="15.75" hidden="false" customHeight="false" outlineLevel="0" collapsed="false">
      <c r="A272" s="184" t="str">
        <f aca="false">IF(ISBLANK(B272),"",B272&amp;"|"&amp;C272)</f>
        <v/>
      </c>
      <c r="B272" s="184"/>
      <c r="C272" s="184"/>
      <c r="D272" s="184"/>
      <c r="E272" s="189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</row>
    <row r="273" customFormat="false" ht="15.75" hidden="false" customHeight="false" outlineLevel="0" collapsed="false">
      <c r="A273" s="184" t="str">
        <f aca="false">IF(ISBLANK(B273),"",B273&amp;"|"&amp;C273)</f>
        <v/>
      </c>
      <c r="B273" s="184"/>
      <c r="C273" s="184"/>
      <c r="D273" s="184"/>
      <c r="E273" s="189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</row>
    <row r="274" customFormat="false" ht="15.75" hidden="false" customHeight="false" outlineLevel="0" collapsed="false">
      <c r="A274" s="184" t="str">
        <f aca="false">IF(ISBLANK(B274),"",B274&amp;"|"&amp;C274)</f>
        <v/>
      </c>
      <c r="B274" s="184"/>
      <c r="C274" s="184"/>
      <c r="D274" s="184"/>
      <c r="E274" s="189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</row>
    <row r="275" customFormat="false" ht="15.75" hidden="false" customHeight="false" outlineLevel="0" collapsed="false">
      <c r="A275" s="184" t="str">
        <f aca="false">IF(ISBLANK(B275),"",B275&amp;"|"&amp;C275)</f>
        <v/>
      </c>
      <c r="B275" s="184"/>
      <c r="C275" s="184"/>
      <c r="D275" s="184"/>
      <c r="E275" s="189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</row>
    <row r="276" customFormat="false" ht="15.75" hidden="false" customHeight="false" outlineLevel="0" collapsed="false">
      <c r="A276" s="184" t="str">
        <f aca="false">IF(ISBLANK(B276),"",B276&amp;"|"&amp;C276)</f>
        <v/>
      </c>
      <c r="B276" s="184"/>
      <c r="C276" s="184"/>
      <c r="D276" s="184"/>
      <c r="E276" s="189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</row>
    <row r="277" customFormat="false" ht="15.75" hidden="false" customHeight="false" outlineLevel="0" collapsed="false">
      <c r="A277" s="184" t="str">
        <f aca="false">IF(ISBLANK(B277),"",B277&amp;"|"&amp;C277)</f>
        <v/>
      </c>
      <c r="B277" s="184"/>
      <c r="C277" s="184"/>
      <c r="D277" s="184"/>
      <c r="E277" s="189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</row>
    <row r="278" customFormat="false" ht="15.75" hidden="false" customHeight="false" outlineLevel="0" collapsed="false">
      <c r="A278" s="184" t="str">
        <f aca="false">IF(ISBLANK(B278),"",B278&amp;"|"&amp;C278)</f>
        <v/>
      </c>
      <c r="B278" s="184"/>
      <c r="C278" s="184"/>
      <c r="D278" s="184"/>
      <c r="E278" s="189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</row>
    <row r="279" customFormat="false" ht="15.75" hidden="false" customHeight="false" outlineLevel="0" collapsed="false">
      <c r="A279" s="184" t="str">
        <f aca="false">IF(ISBLANK(B279),"",B279&amp;"|"&amp;C279)</f>
        <v/>
      </c>
      <c r="B279" s="184"/>
      <c r="C279" s="184"/>
      <c r="D279" s="184"/>
      <c r="E279" s="189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</row>
    <row r="280" customFormat="false" ht="15.75" hidden="false" customHeight="false" outlineLevel="0" collapsed="false">
      <c r="A280" s="184" t="str">
        <f aca="false">IF(ISBLANK(B280),"",B280&amp;"|"&amp;C280)</f>
        <v/>
      </c>
      <c r="B280" s="184"/>
      <c r="C280" s="184"/>
      <c r="D280" s="184"/>
      <c r="E280" s="189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</row>
    <row r="281" customFormat="false" ht="15.75" hidden="false" customHeight="false" outlineLevel="0" collapsed="false">
      <c r="A281" s="184" t="str">
        <f aca="false">IF(ISBLANK(B281),"",B281&amp;"|"&amp;C281)</f>
        <v/>
      </c>
      <c r="B281" s="184"/>
      <c r="C281" s="184"/>
      <c r="D281" s="184"/>
      <c r="E281" s="189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</row>
    <row r="282" customFormat="false" ht="15.75" hidden="false" customHeight="false" outlineLevel="0" collapsed="false">
      <c r="A282" s="184" t="str">
        <f aca="false">IF(ISBLANK(B282),"",B282&amp;"|"&amp;C282)</f>
        <v/>
      </c>
      <c r="B282" s="184"/>
      <c r="C282" s="184"/>
      <c r="D282" s="184"/>
      <c r="E282" s="189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</row>
    <row r="283" customFormat="false" ht="15.75" hidden="false" customHeight="false" outlineLevel="0" collapsed="false">
      <c r="A283" s="184" t="str">
        <f aca="false">IF(ISBLANK(B283),"",B283&amp;"|"&amp;C283)</f>
        <v/>
      </c>
      <c r="B283" s="184"/>
      <c r="C283" s="184"/>
      <c r="D283" s="184"/>
      <c r="E283" s="189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</row>
    <row r="284" customFormat="false" ht="15.75" hidden="false" customHeight="false" outlineLevel="0" collapsed="false">
      <c r="A284" s="184" t="str">
        <f aca="false">IF(ISBLANK(B284),"",B284&amp;"|"&amp;C284)</f>
        <v/>
      </c>
      <c r="B284" s="184"/>
      <c r="C284" s="184"/>
      <c r="D284" s="184"/>
      <c r="E284" s="189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</row>
    <row r="285" customFormat="false" ht="15.75" hidden="false" customHeight="false" outlineLevel="0" collapsed="false">
      <c r="A285" s="184" t="str">
        <f aca="false">IF(ISBLANK(B285),"",B285&amp;"|"&amp;C285)</f>
        <v/>
      </c>
      <c r="B285" s="184"/>
      <c r="C285" s="184"/>
      <c r="D285" s="184"/>
      <c r="E285" s="189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</row>
    <row r="286" customFormat="false" ht="15.75" hidden="false" customHeight="false" outlineLevel="0" collapsed="false">
      <c r="A286" s="184" t="str">
        <f aca="false">IF(ISBLANK(B286),"",B286&amp;"|"&amp;C286)</f>
        <v/>
      </c>
      <c r="B286" s="184"/>
      <c r="C286" s="184"/>
      <c r="D286" s="184"/>
      <c r="E286" s="189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</row>
    <row r="287" customFormat="false" ht="15.75" hidden="false" customHeight="false" outlineLevel="0" collapsed="false">
      <c r="A287" s="184" t="str">
        <f aca="false">IF(ISBLANK(B287),"",B287&amp;"|"&amp;C287)</f>
        <v/>
      </c>
      <c r="B287" s="184"/>
      <c r="C287" s="184"/>
      <c r="D287" s="184"/>
      <c r="E287" s="189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</row>
    <row r="288" customFormat="false" ht="15.75" hidden="false" customHeight="false" outlineLevel="0" collapsed="false">
      <c r="A288" s="184" t="str">
        <f aca="false">IF(ISBLANK(B288),"",B288&amp;"|"&amp;C288)</f>
        <v/>
      </c>
      <c r="B288" s="184"/>
      <c r="C288" s="184"/>
      <c r="D288" s="184"/>
      <c r="E288" s="189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</row>
    <row r="289" customFormat="false" ht="15.75" hidden="false" customHeight="false" outlineLevel="0" collapsed="false">
      <c r="A289" s="184" t="str">
        <f aca="false">IF(ISBLANK(B289),"",B289&amp;"|"&amp;C289)</f>
        <v/>
      </c>
      <c r="B289" s="184"/>
      <c r="C289" s="184"/>
      <c r="D289" s="184"/>
      <c r="E289" s="189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</row>
    <row r="290" customFormat="false" ht="15.75" hidden="false" customHeight="false" outlineLevel="0" collapsed="false">
      <c r="A290" s="184" t="str">
        <f aca="false">IF(ISBLANK(B290),"",B290&amp;"|"&amp;C290)</f>
        <v/>
      </c>
      <c r="B290" s="184"/>
      <c r="C290" s="184"/>
      <c r="D290" s="184"/>
      <c r="E290" s="189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</row>
    <row r="291" customFormat="false" ht="15.75" hidden="false" customHeight="false" outlineLevel="0" collapsed="false">
      <c r="A291" s="184" t="str">
        <f aca="false">IF(ISBLANK(B291),"",B291&amp;"|"&amp;C291)</f>
        <v/>
      </c>
      <c r="B291" s="184"/>
      <c r="C291" s="184"/>
      <c r="D291" s="184"/>
      <c r="E291" s="189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</row>
    <row r="292" customFormat="false" ht="15.75" hidden="false" customHeight="false" outlineLevel="0" collapsed="false">
      <c r="A292" s="184" t="str">
        <f aca="false">IF(ISBLANK(B292),"",B292&amp;"|"&amp;C292)</f>
        <v/>
      </c>
      <c r="B292" s="184"/>
      <c r="C292" s="184"/>
      <c r="D292" s="184"/>
      <c r="E292" s="189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</row>
    <row r="293" customFormat="false" ht="15.75" hidden="false" customHeight="false" outlineLevel="0" collapsed="false">
      <c r="A293" s="184" t="str">
        <f aca="false">IF(ISBLANK(B293),"",B293&amp;"|"&amp;C293)</f>
        <v/>
      </c>
      <c r="B293" s="184"/>
      <c r="C293" s="184"/>
      <c r="D293" s="184"/>
      <c r="E293" s="189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</row>
    <row r="294" customFormat="false" ht="15.75" hidden="false" customHeight="false" outlineLevel="0" collapsed="false">
      <c r="A294" s="184" t="str">
        <f aca="false">IF(ISBLANK(B294),"",B294&amp;"|"&amp;C294)</f>
        <v/>
      </c>
      <c r="B294" s="184"/>
      <c r="C294" s="184"/>
      <c r="D294" s="184"/>
      <c r="E294" s="189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</row>
    <row r="295" customFormat="false" ht="15.75" hidden="false" customHeight="false" outlineLevel="0" collapsed="false">
      <c r="A295" s="184" t="str">
        <f aca="false">IF(ISBLANK(B295),"",B295&amp;"|"&amp;C295)</f>
        <v/>
      </c>
      <c r="B295" s="184"/>
      <c r="C295" s="184"/>
      <c r="D295" s="184"/>
      <c r="E295" s="189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</row>
    <row r="296" customFormat="false" ht="15.75" hidden="false" customHeight="false" outlineLevel="0" collapsed="false">
      <c r="A296" s="184" t="str">
        <f aca="false">IF(ISBLANK(B296),"",B296&amp;"|"&amp;C296)</f>
        <v/>
      </c>
      <c r="B296" s="184"/>
      <c r="C296" s="184"/>
      <c r="D296" s="184"/>
      <c r="E296" s="189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</row>
    <row r="297" customFormat="false" ht="15.75" hidden="false" customHeight="false" outlineLevel="0" collapsed="false">
      <c r="A297" s="184" t="str">
        <f aca="false">IF(ISBLANK(B297),"",B297&amp;"|"&amp;C297)</f>
        <v/>
      </c>
      <c r="B297" s="184"/>
      <c r="C297" s="184"/>
      <c r="D297" s="184"/>
      <c r="E297" s="189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</row>
    <row r="298" customFormat="false" ht="15.75" hidden="false" customHeight="false" outlineLevel="0" collapsed="false">
      <c r="A298" s="184" t="str">
        <f aca="false">IF(ISBLANK(B298),"",B298&amp;"|"&amp;C298)</f>
        <v/>
      </c>
      <c r="B298" s="184"/>
      <c r="C298" s="184"/>
      <c r="D298" s="184"/>
      <c r="E298" s="189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</row>
    <row r="299" customFormat="false" ht="15.75" hidden="false" customHeight="false" outlineLevel="0" collapsed="false">
      <c r="A299" s="184" t="str">
        <f aca="false">IF(ISBLANK(B299),"",B299&amp;"|"&amp;C299)</f>
        <v/>
      </c>
      <c r="B299" s="184"/>
      <c r="C299" s="184"/>
      <c r="D299" s="184"/>
      <c r="E299" s="189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</row>
    <row r="300" customFormat="false" ht="15.75" hidden="false" customHeight="false" outlineLevel="0" collapsed="false">
      <c r="A300" s="184" t="str">
        <f aca="false">IF(ISBLANK(B300),"",B300&amp;"|"&amp;C300)</f>
        <v/>
      </c>
      <c r="B300" s="184"/>
      <c r="C300" s="184"/>
      <c r="D300" s="184"/>
      <c r="E300" s="189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</row>
    <row r="301" customFormat="false" ht="15.75" hidden="false" customHeight="false" outlineLevel="0" collapsed="false">
      <c r="A301" s="184" t="str">
        <f aca="false">IF(ISBLANK(B301),"",B301&amp;"|"&amp;C301)</f>
        <v/>
      </c>
      <c r="B301" s="184"/>
      <c r="C301" s="184"/>
      <c r="D301" s="184"/>
      <c r="E301" s="189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</row>
    <row r="302" customFormat="false" ht="15.75" hidden="false" customHeight="false" outlineLevel="0" collapsed="false">
      <c r="A302" s="184" t="str">
        <f aca="false">IF(ISBLANK(B302),"",B302&amp;"|"&amp;C302)</f>
        <v/>
      </c>
      <c r="B302" s="184"/>
      <c r="C302" s="184"/>
      <c r="D302" s="184"/>
      <c r="E302" s="189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</row>
    <row r="303" customFormat="false" ht="15.75" hidden="false" customHeight="false" outlineLevel="0" collapsed="false">
      <c r="A303" s="184" t="str">
        <f aca="false">IF(ISBLANK(B303),"",B303&amp;"|"&amp;C303)</f>
        <v/>
      </c>
      <c r="B303" s="184"/>
      <c r="C303" s="184"/>
      <c r="D303" s="184"/>
      <c r="E303" s="189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</row>
    <row r="304" customFormat="false" ht="15.75" hidden="false" customHeight="false" outlineLevel="0" collapsed="false">
      <c r="A304" s="184" t="str">
        <f aca="false">IF(ISBLANK(B304),"",B304&amp;"|"&amp;C304)</f>
        <v/>
      </c>
      <c r="B304" s="184"/>
      <c r="C304" s="184"/>
      <c r="D304" s="184"/>
      <c r="E304" s="189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</row>
    <row r="305" customFormat="false" ht="15.75" hidden="false" customHeight="false" outlineLevel="0" collapsed="false">
      <c r="A305" s="184" t="str">
        <f aca="false">IF(ISBLANK(B305),"",B305&amp;"|"&amp;C305)</f>
        <v/>
      </c>
      <c r="B305" s="184"/>
      <c r="C305" s="184"/>
      <c r="D305" s="184"/>
      <c r="E305" s="189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</row>
    <row r="306" customFormat="false" ht="15.75" hidden="false" customHeight="false" outlineLevel="0" collapsed="false">
      <c r="A306" s="184" t="str">
        <f aca="false">IF(ISBLANK(B306),"",B306&amp;"|"&amp;C306)</f>
        <v/>
      </c>
      <c r="B306" s="184"/>
      <c r="C306" s="184"/>
      <c r="D306" s="184"/>
      <c r="E306" s="189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</row>
    <row r="307" customFormat="false" ht="15.75" hidden="false" customHeight="false" outlineLevel="0" collapsed="false">
      <c r="A307" s="184" t="str">
        <f aca="false">IF(ISBLANK(B307),"",B307&amp;"|"&amp;C307)</f>
        <v/>
      </c>
      <c r="B307" s="184"/>
      <c r="C307" s="184"/>
      <c r="D307" s="184"/>
      <c r="E307" s="189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</row>
    <row r="308" customFormat="false" ht="15.75" hidden="false" customHeight="false" outlineLevel="0" collapsed="false">
      <c r="A308" s="184" t="str">
        <f aca="false">IF(ISBLANK(B308),"",B308&amp;"|"&amp;C308)</f>
        <v/>
      </c>
      <c r="B308" s="184"/>
      <c r="C308" s="184"/>
      <c r="D308" s="184"/>
      <c r="E308" s="189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</row>
    <row r="309" customFormat="false" ht="15.75" hidden="false" customHeight="false" outlineLevel="0" collapsed="false">
      <c r="A309" s="184" t="str">
        <f aca="false">IF(ISBLANK(B309),"",B309&amp;"|"&amp;C309)</f>
        <v/>
      </c>
      <c r="B309" s="184"/>
      <c r="C309" s="184"/>
      <c r="D309" s="184"/>
      <c r="E309" s="189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</row>
    <row r="310" customFormat="false" ht="15.75" hidden="false" customHeight="false" outlineLevel="0" collapsed="false">
      <c r="A310" s="184" t="str">
        <f aca="false">IF(ISBLANK(B310),"",B310&amp;"|"&amp;C310)</f>
        <v/>
      </c>
      <c r="B310" s="184"/>
      <c r="C310" s="184"/>
      <c r="D310" s="184"/>
      <c r="E310" s="189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</row>
    <row r="311" customFormat="false" ht="15.75" hidden="false" customHeight="false" outlineLevel="0" collapsed="false">
      <c r="A311" s="184" t="str">
        <f aca="false">IF(ISBLANK(B311),"",B311&amp;"|"&amp;C311)</f>
        <v/>
      </c>
      <c r="B311" s="184"/>
      <c r="C311" s="184"/>
      <c r="D311" s="184"/>
      <c r="E311" s="189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</row>
    <row r="312" customFormat="false" ht="15.75" hidden="false" customHeight="false" outlineLevel="0" collapsed="false">
      <c r="A312" s="184" t="str">
        <f aca="false">IF(ISBLANK(B312),"",B312&amp;"|"&amp;C312)</f>
        <v/>
      </c>
      <c r="B312" s="184"/>
      <c r="C312" s="184"/>
      <c r="D312" s="184"/>
      <c r="E312" s="189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</row>
    <row r="313" customFormat="false" ht="15.75" hidden="false" customHeight="false" outlineLevel="0" collapsed="false">
      <c r="A313" s="184" t="str">
        <f aca="false">IF(ISBLANK(B313),"",B313&amp;"|"&amp;C313)</f>
        <v/>
      </c>
      <c r="B313" s="184"/>
      <c r="C313" s="184"/>
      <c r="D313" s="184"/>
      <c r="E313" s="189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</row>
    <row r="314" customFormat="false" ht="15.75" hidden="false" customHeight="false" outlineLevel="0" collapsed="false">
      <c r="A314" s="184" t="str">
        <f aca="false">IF(ISBLANK(B314),"",B314&amp;"|"&amp;C314)</f>
        <v/>
      </c>
      <c r="B314" s="184"/>
      <c r="C314" s="184"/>
      <c r="D314" s="184"/>
      <c r="E314" s="189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</row>
    <row r="315" customFormat="false" ht="15.75" hidden="false" customHeight="false" outlineLevel="0" collapsed="false">
      <c r="A315" s="184" t="str">
        <f aca="false">IF(ISBLANK(B315),"",B315&amp;"|"&amp;C315)</f>
        <v/>
      </c>
      <c r="B315" s="184"/>
      <c r="C315" s="184"/>
      <c r="D315" s="184"/>
      <c r="E315" s="189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</row>
    <row r="316" customFormat="false" ht="15.75" hidden="false" customHeight="false" outlineLevel="0" collapsed="false">
      <c r="A316" s="184" t="str">
        <f aca="false">IF(ISBLANK(B316),"",B316&amp;"|"&amp;C316)</f>
        <v/>
      </c>
      <c r="B316" s="184"/>
      <c r="C316" s="184"/>
      <c r="D316" s="184"/>
      <c r="E316" s="189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</row>
    <row r="317" customFormat="false" ht="15.75" hidden="false" customHeight="false" outlineLevel="0" collapsed="false">
      <c r="A317" s="184" t="str">
        <f aca="false">IF(ISBLANK(B317),"",B317&amp;"|"&amp;C317)</f>
        <v/>
      </c>
      <c r="B317" s="184"/>
      <c r="C317" s="184"/>
      <c r="D317" s="184"/>
      <c r="E317" s="189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</row>
    <row r="318" customFormat="false" ht="15.75" hidden="false" customHeight="false" outlineLevel="0" collapsed="false">
      <c r="A318" s="184" t="str">
        <f aca="false">IF(ISBLANK(B318),"",B318&amp;"|"&amp;C318)</f>
        <v/>
      </c>
      <c r="B318" s="184"/>
      <c r="C318" s="184"/>
      <c r="D318" s="184"/>
      <c r="E318" s="189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</row>
    <row r="319" customFormat="false" ht="15.75" hidden="false" customHeight="false" outlineLevel="0" collapsed="false">
      <c r="A319" s="184" t="str">
        <f aca="false">IF(ISBLANK(B319),"",B319&amp;"|"&amp;C319)</f>
        <v/>
      </c>
      <c r="B319" s="184"/>
      <c r="C319" s="184"/>
      <c r="D319" s="184"/>
      <c r="E319" s="189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</row>
    <row r="320" customFormat="false" ht="15.75" hidden="false" customHeight="false" outlineLevel="0" collapsed="false">
      <c r="A320" s="184" t="str">
        <f aca="false">IF(ISBLANK(B320),"",B320&amp;"|"&amp;C320)</f>
        <v/>
      </c>
      <c r="B320" s="184"/>
      <c r="C320" s="184"/>
      <c r="D320" s="184"/>
      <c r="E320" s="189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</row>
    <row r="321" customFormat="false" ht="15.75" hidden="false" customHeight="false" outlineLevel="0" collapsed="false">
      <c r="A321" s="184" t="str">
        <f aca="false">IF(ISBLANK(B321),"",B321&amp;"|"&amp;C321)</f>
        <v/>
      </c>
      <c r="B321" s="184"/>
      <c r="C321" s="184"/>
      <c r="D321" s="184"/>
      <c r="E321" s="189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</row>
    <row r="322" customFormat="false" ht="15.75" hidden="false" customHeight="false" outlineLevel="0" collapsed="false">
      <c r="A322" s="184" t="str">
        <f aca="false">IF(ISBLANK(B322),"",B322&amp;"|"&amp;C322)</f>
        <v/>
      </c>
      <c r="B322" s="184"/>
      <c r="C322" s="184"/>
      <c r="D322" s="184"/>
      <c r="E322" s="189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</row>
    <row r="323" customFormat="false" ht="15.75" hidden="false" customHeight="false" outlineLevel="0" collapsed="false">
      <c r="A323" s="184" t="str">
        <f aca="false">IF(ISBLANK(B323),"",B323&amp;"|"&amp;C323)</f>
        <v/>
      </c>
      <c r="B323" s="184"/>
      <c r="C323" s="184"/>
      <c r="D323" s="184"/>
      <c r="E323" s="189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</row>
    <row r="324" customFormat="false" ht="15.75" hidden="false" customHeight="false" outlineLevel="0" collapsed="false">
      <c r="A324" s="184" t="str">
        <f aca="false">IF(ISBLANK(B324),"",B324&amp;"|"&amp;C324)</f>
        <v/>
      </c>
      <c r="B324" s="184"/>
      <c r="C324" s="184"/>
      <c r="D324" s="184"/>
      <c r="E324" s="189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</row>
    <row r="325" customFormat="false" ht="15.75" hidden="false" customHeight="false" outlineLevel="0" collapsed="false">
      <c r="A325" s="184" t="str">
        <f aca="false">IF(ISBLANK(B325),"",B325&amp;"|"&amp;C325)</f>
        <v/>
      </c>
      <c r="B325" s="184"/>
      <c r="C325" s="184"/>
      <c r="D325" s="184"/>
      <c r="E325" s="189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</row>
    <row r="326" customFormat="false" ht="15.75" hidden="false" customHeight="false" outlineLevel="0" collapsed="false">
      <c r="A326" s="184" t="str">
        <f aca="false">IF(ISBLANK(B326),"",B326&amp;"|"&amp;C326)</f>
        <v/>
      </c>
      <c r="B326" s="184"/>
      <c r="C326" s="184"/>
      <c r="D326" s="184"/>
      <c r="E326" s="189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</row>
    <row r="327" customFormat="false" ht="15.75" hidden="false" customHeight="false" outlineLevel="0" collapsed="false">
      <c r="A327" s="184" t="str">
        <f aca="false">IF(ISBLANK(B327),"",B327&amp;"|"&amp;C327)</f>
        <v/>
      </c>
      <c r="B327" s="184"/>
      <c r="C327" s="184"/>
      <c r="D327" s="184"/>
      <c r="E327" s="189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</row>
    <row r="328" customFormat="false" ht="15.75" hidden="false" customHeight="false" outlineLevel="0" collapsed="false">
      <c r="A328" s="184" t="str">
        <f aca="false">IF(ISBLANK(B328),"",B328&amp;"|"&amp;C328)</f>
        <v/>
      </c>
      <c r="B328" s="184"/>
      <c r="C328" s="184"/>
      <c r="D328" s="184"/>
      <c r="E328" s="189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</row>
    <row r="329" customFormat="false" ht="15.75" hidden="false" customHeight="false" outlineLevel="0" collapsed="false">
      <c r="A329" s="184" t="str">
        <f aca="false">IF(ISBLANK(B329),"",B329&amp;"|"&amp;C329)</f>
        <v/>
      </c>
      <c r="B329" s="184"/>
      <c r="C329" s="184"/>
      <c r="D329" s="184"/>
      <c r="E329" s="189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</row>
    <row r="330" customFormat="false" ht="15.75" hidden="false" customHeight="false" outlineLevel="0" collapsed="false">
      <c r="A330" s="184" t="str">
        <f aca="false">IF(ISBLANK(B330),"",B330&amp;"|"&amp;C330)</f>
        <v/>
      </c>
      <c r="B330" s="184"/>
      <c r="C330" s="184"/>
      <c r="D330" s="184"/>
      <c r="E330" s="189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</row>
    <row r="331" customFormat="false" ht="15.75" hidden="false" customHeight="false" outlineLevel="0" collapsed="false">
      <c r="A331" s="184" t="str">
        <f aca="false">IF(ISBLANK(B331),"",B331&amp;"|"&amp;C331)</f>
        <v/>
      </c>
      <c r="B331" s="184"/>
      <c r="C331" s="184"/>
      <c r="D331" s="184"/>
      <c r="E331" s="189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</row>
    <row r="332" customFormat="false" ht="15.75" hidden="false" customHeight="false" outlineLevel="0" collapsed="false">
      <c r="A332" s="184" t="str">
        <f aca="false">IF(ISBLANK(B332),"",B332&amp;"|"&amp;C332)</f>
        <v/>
      </c>
      <c r="B332" s="184"/>
      <c r="C332" s="184"/>
      <c r="D332" s="184"/>
      <c r="E332" s="189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</row>
    <row r="333" customFormat="false" ht="15.75" hidden="false" customHeight="false" outlineLevel="0" collapsed="false">
      <c r="A333" s="184" t="str">
        <f aca="false">IF(ISBLANK(B333),"",B333&amp;"|"&amp;C333)</f>
        <v/>
      </c>
      <c r="B333" s="184"/>
      <c r="C333" s="184"/>
      <c r="D333" s="184"/>
      <c r="E333" s="189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</row>
    <row r="334" customFormat="false" ht="15.75" hidden="false" customHeight="false" outlineLevel="0" collapsed="false">
      <c r="A334" s="184" t="str">
        <f aca="false">IF(ISBLANK(B334),"",B334&amp;"|"&amp;C334)</f>
        <v/>
      </c>
      <c r="B334" s="184"/>
      <c r="C334" s="184"/>
      <c r="D334" s="184"/>
      <c r="E334" s="189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</row>
    <row r="335" customFormat="false" ht="15.75" hidden="false" customHeight="false" outlineLevel="0" collapsed="false">
      <c r="A335" s="184" t="str">
        <f aca="false">IF(ISBLANK(B335),"",B335&amp;"|"&amp;C335)</f>
        <v/>
      </c>
      <c r="B335" s="184"/>
      <c r="C335" s="184"/>
      <c r="D335" s="184"/>
      <c r="E335" s="189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</row>
    <row r="336" customFormat="false" ht="15.75" hidden="false" customHeight="false" outlineLevel="0" collapsed="false">
      <c r="A336" s="184" t="str">
        <f aca="false">IF(ISBLANK(B336),"",B336&amp;"|"&amp;C336)</f>
        <v/>
      </c>
      <c r="B336" s="184"/>
      <c r="C336" s="184"/>
      <c r="D336" s="184"/>
      <c r="E336" s="189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</row>
    <row r="337" customFormat="false" ht="15.75" hidden="false" customHeight="false" outlineLevel="0" collapsed="false">
      <c r="A337" s="184" t="str">
        <f aca="false">IF(ISBLANK(B337),"",B337&amp;"|"&amp;C337)</f>
        <v/>
      </c>
      <c r="B337" s="184"/>
      <c r="C337" s="184"/>
      <c r="D337" s="184"/>
      <c r="E337" s="189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</row>
    <row r="338" customFormat="false" ht="15.75" hidden="false" customHeight="false" outlineLevel="0" collapsed="false">
      <c r="A338" s="184" t="str">
        <f aca="false">IF(ISBLANK(B338),"",B338&amp;"|"&amp;C338)</f>
        <v/>
      </c>
      <c r="B338" s="184"/>
      <c r="C338" s="184"/>
      <c r="D338" s="184"/>
      <c r="E338" s="189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</row>
    <row r="339" customFormat="false" ht="15.75" hidden="false" customHeight="false" outlineLevel="0" collapsed="false">
      <c r="A339" s="184" t="str">
        <f aca="false">IF(ISBLANK(B339),"",B339&amp;"|"&amp;C339)</f>
        <v/>
      </c>
      <c r="B339" s="184"/>
      <c r="C339" s="184"/>
      <c r="D339" s="184"/>
      <c r="E339" s="189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</row>
    <row r="340" customFormat="false" ht="15.75" hidden="false" customHeight="false" outlineLevel="0" collapsed="false">
      <c r="A340" s="184" t="str">
        <f aca="false">IF(ISBLANK(B340),"",B340&amp;"|"&amp;C340)</f>
        <v/>
      </c>
      <c r="B340" s="184"/>
      <c r="C340" s="184"/>
      <c r="D340" s="184"/>
      <c r="E340" s="189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</row>
    <row r="341" customFormat="false" ht="15.75" hidden="false" customHeight="false" outlineLevel="0" collapsed="false">
      <c r="A341" s="184" t="str">
        <f aca="false">IF(ISBLANK(B341),"",B341&amp;"|"&amp;C341)</f>
        <v/>
      </c>
      <c r="B341" s="184"/>
      <c r="C341" s="184"/>
      <c r="D341" s="184"/>
      <c r="E341" s="189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</row>
    <row r="342" customFormat="false" ht="15.75" hidden="false" customHeight="false" outlineLevel="0" collapsed="false">
      <c r="A342" s="184" t="str">
        <f aca="false">IF(ISBLANK(B342),"",B342&amp;"|"&amp;C342)</f>
        <v/>
      </c>
      <c r="B342" s="184"/>
      <c r="C342" s="184"/>
      <c r="D342" s="184"/>
      <c r="E342" s="189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</row>
    <row r="343" customFormat="false" ht="15.75" hidden="false" customHeight="false" outlineLevel="0" collapsed="false">
      <c r="A343" s="184" t="str">
        <f aca="false">IF(ISBLANK(B343),"",B343&amp;"|"&amp;C343)</f>
        <v/>
      </c>
      <c r="B343" s="184"/>
      <c r="C343" s="184"/>
      <c r="D343" s="184"/>
      <c r="E343" s="189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</row>
    <row r="344" customFormat="false" ht="15.75" hidden="false" customHeight="false" outlineLevel="0" collapsed="false">
      <c r="A344" s="184" t="str">
        <f aca="false">IF(ISBLANK(B344),"",B344&amp;"|"&amp;C344)</f>
        <v/>
      </c>
      <c r="B344" s="184"/>
      <c r="C344" s="184"/>
      <c r="D344" s="184"/>
      <c r="E344" s="189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</row>
    <row r="345" customFormat="false" ht="15.75" hidden="false" customHeight="false" outlineLevel="0" collapsed="false">
      <c r="A345" s="184" t="str">
        <f aca="false">IF(ISBLANK(B345),"",B345&amp;"|"&amp;C345)</f>
        <v/>
      </c>
      <c r="B345" s="184"/>
      <c r="C345" s="184"/>
      <c r="D345" s="184"/>
      <c r="E345" s="189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</row>
    <row r="346" customFormat="false" ht="15.75" hidden="false" customHeight="false" outlineLevel="0" collapsed="false">
      <c r="A346" s="184" t="str">
        <f aca="false">IF(ISBLANK(B346),"",B346&amp;"|"&amp;C346)</f>
        <v/>
      </c>
      <c r="B346" s="184"/>
      <c r="C346" s="184"/>
      <c r="D346" s="184"/>
      <c r="E346" s="189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</row>
    <row r="347" customFormat="false" ht="15.75" hidden="false" customHeight="false" outlineLevel="0" collapsed="false">
      <c r="A347" s="184" t="str">
        <f aca="false">IF(ISBLANK(B347),"",B347&amp;"|"&amp;C347)</f>
        <v/>
      </c>
      <c r="B347" s="184"/>
      <c r="C347" s="184"/>
      <c r="D347" s="184"/>
      <c r="E347" s="189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</row>
    <row r="348" customFormat="false" ht="15.75" hidden="false" customHeight="false" outlineLevel="0" collapsed="false">
      <c r="A348" s="184" t="str">
        <f aca="false">IF(ISBLANK(B348),"",B348&amp;"|"&amp;C348)</f>
        <v/>
      </c>
      <c r="B348" s="184"/>
      <c r="C348" s="184"/>
      <c r="D348" s="184"/>
      <c r="E348" s="189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</row>
    <row r="349" customFormat="false" ht="15.75" hidden="false" customHeight="false" outlineLevel="0" collapsed="false">
      <c r="A349" s="184" t="str">
        <f aca="false">IF(ISBLANK(B349),"",B349&amp;"|"&amp;C349)</f>
        <v/>
      </c>
      <c r="B349" s="184"/>
      <c r="C349" s="184"/>
      <c r="D349" s="184"/>
      <c r="E349" s="189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</row>
    <row r="350" customFormat="false" ht="15.75" hidden="false" customHeight="false" outlineLevel="0" collapsed="false">
      <c r="A350" s="184" t="str">
        <f aca="false">IF(ISBLANK(B350),"",B350&amp;"|"&amp;C350)</f>
        <v/>
      </c>
      <c r="B350" s="184"/>
      <c r="C350" s="184"/>
      <c r="D350" s="184"/>
      <c r="E350" s="189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</row>
    <row r="351" customFormat="false" ht="15.75" hidden="false" customHeight="false" outlineLevel="0" collapsed="false">
      <c r="A351" s="184" t="str">
        <f aca="false">IF(ISBLANK(B351),"",B351&amp;"|"&amp;C351)</f>
        <v/>
      </c>
      <c r="B351" s="184"/>
      <c r="C351" s="184"/>
      <c r="D351" s="184"/>
      <c r="E351" s="189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</row>
    <row r="352" customFormat="false" ht="15.75" hidden="false" customHeight="false" outlineLevel="0" collapsed="false">
      <c r="A352" s="184" t="str">
        <f aca="false">IF(ISBLANK(B352),"",B352&amp;"|"&amp;C352)</f>
        <v/>
      </c>
      <c r="B352" s="184"/>
      <c r="C352" s="184"/>
      <c r="D352" s="184"/>
      <c r="E352" s="189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</row>
    <row r="353" customFormat="false" ht="15.75" hidden="false" customHeight="false" outlineLevel="0" collapsed="false">
      <c r="A353" s="184" t="str">
        <f aca="false">IF(ISBLANK(B353),"",B353&amp;"|"&amp;C353)</f>
        <v/>
      </c>
      <c r="B353" s="184"/>
      <c r="C353" s="184"/>
      <c r="D353" s="184"/>
      <c r="E353" s="189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</row>
    <row r="354" customFormat="false" ht="15.75" hidden="false" customHeight="false" outlineLevel="0" collapsed="false">
      <c r="A354" s="184" t="str">
        <f aca="false">IF(ISBLANK(B354),"",B354&amp;"|"&amp;C354)</f>
        <v/>
      </c>
      <c r="B354" s="184"/>
      <c r="C354" s="184"/>
      <c r="D354" s="184"/>
      <c r="E354" s="189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</row>
    <row r="355" customFormat="false" ht="15.75" hidden="false" customHeight="false" outlineLevel="0" collapsed="false">
      <c r="A355" s="184" t="str">
        <f aca="false">IF(ISBLANK(B355),"",B355&amp;"|"&amp;C355)</f>
        <v/>
      </c>
      <c r="B355" s="184"/>
      <c r="C355" s="184"/>
      <c r="D355" s="184"/>
      <c r="E355" s="189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</row>
    <row r="356" customFormat="false" ht="15.75" hidden="false" customHeight="false" outlineLevel="0" collapsed="false">
      <c r="A356" s="184" t="str">
        <f aca="false">IF(ISBLANK(B356),"",B356&amp;"|"&amp;C356)</f>
        <v/>
      </c>
      <c r="B356" s="184"/>
      <c r="C356" s="184"/>
      <c r="D356" s="184"/>
      <c r="E356" s="189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</row>
    <row r="357" customFormat="false" ht="15.75" hidden="false" customHeight="false" outlineLevel="0" collapsed="false">
      <c r="A357" s="184" t="str">
        <f aca="false">IF(ISBLANK(B357),"",B357&amp;"|"&amp;C357)</f>
        <v/>
      </c>
      <c r="B357" s="184"/>
      <c r="C357" s="184"/>
      <c r="D357" s="184"/>
      <c r="E357" s="189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</row>
    <row r="358" customFormat="false" ht="15.75" hidden="false" customHeight="false" outlineLevel="0" collapsed="false">
      <c r="A358" s="184" t="str">
        <f aca="false">IF(ISBLANK(B358),"",B358&amp;"|"&amp;C358)</f>
        <v/>
      </c>
      <c r="B358" s="184"/>
      <c r="C358" s="184"/>
      <c r="D358" s="184"/>
      <c r="E358" s="189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</row>
    <row r="359" customFormat="false" ht="15.75" hidden="false" customHeight="false" outlineLevel="0" collapsed="false">
      <c r="A359" s="184" t="str">
        <f aca="false">IF(ISBLANK(B359),"",B359&amp;"|"&amp;C359)</f>
        <v/>
      </c>
      <c r="B359" s="184"/>
      <c r="C359" s="184"/>
      <c r="D359" s="184"/>
      <c r="E359" s="189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</row>
    <row r="360" customFormat="false" ht="15.75" hidden="false" customHeight="false" outlineLevel="0" collapsed="false">
      <c r="A360" s="184" t="str">
        <f aca="false">IF(ISBLANK(B360),"",B360&amp;"|"&amp;C360)</f>
        <v/>
      </c>
      <c r="B360" s="184"/>
      <c r="C360" s="184"/>
      <c r="D360" s="184"/>
      <c r="E360" s="189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</row>
    <row r="361" customFormat="false" ht="15.75" hidden="false" customHeight="false" outlineLevel="0" collapsed="false">
      <c r="A361" s="184" t="str">
        <f aca="false">IF(ISBLANK(B361),"",B361&amp;"|"&amp;C361)</f>
        <v/>
      </c>
      <c r="B361" s="184"/>
      <c r="C361" s="184"/>
      <c r="D361" s="184"/>
      <c r="E361" s="189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</row>
    <row r="362" customFormat="false" ht="15.75" hidden="false" customHeight="false" outlineLevel="0" collapsed="false">
      <c r="A362" s="184" t="str">
        <f aca="false">IF(ISBLANK(B362),"",B362&amp;"|"&amp;C362)</f>
        <v/>
      </c>
      <c r="B362" s="184"/>
      <c r="C362" s="184"/>
      <c r="D362" s="184"/>
      <c r="E362" s="189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</row>
    <row r="363" customFormat="false" ht="15.75" hidden="false" customHeight="false" outlineLevel="0" collapsed="false">
      <c r="A363" s="184" t="str">
        <f aca="false">IF(ISBLANK(B363),"",B363&amp;"|"&amp;C363)</f>
        <v/>
      </c>
      <c r="B363" s="184"/>
      <c r="C363" s="184"/>
      <c r="D363" s="184"/>
      <c r="E363" s="189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</row>
    <row r="364" customFormat="false" ht="15.75" hidden="false" customHeight="false" outlineLevel="0" collapsed="false">
      <c r="A364" s="184" t="str">
        <f aca="false">IF(ISBLANK(B364),"",B364&amp;"|"&amp;C364)</f>
        <v/>
      </c>
      <c r="B364" s="184"/>
      <c r="C364" s="184"/>
      <c r="D364" s="184"/>
      <c r="E364" s="189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</row>
    <row r="365" customFormat="false" ht="15.75" hidden="false" customHeight="false" outlineLevel="0" collapsed="false">
      <c r="A365" s="184" t="str">
        <f aca="false">IF(ISBLANK(B365),"",B365&amp;"|"&amp;C365)</f>
        <v/>
      </c>
      <c r="B365" s="184"/>
      <c r="C365" s="184"/>
      <c r="D365" s="184"/>
      <c r="E365" s="189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</row>
    <row r="366" customFormat="false" ht="15.75" hidden="false" customHeight="false" outlineLevel="0" collapsed="false">
      <c r="A366" s="184" t="str">
        <f aca="false">IF(ISBLANK(B366),"",B366&amp;"|"&amp;C366)</f>
        <v/>
      </c>
      <c r="B366" s="184"/>
      <c r="C366" s="184"/>
      <c r="D366" s="184"/>
      <c r="E366" s="189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</row>
    <row r="367" customFormat="false" ht="15.75" hidden="false" customHeight="false" outlineLevel="0" collapsed="false">
      <c r="A367" s="184" t="str">
        <f aca="false">IF(ISBLANK(B367),"",B367&amp;"|"&amp;C367)</f>
        <v/>
      </c>
      <c r="B367" s="184"/>
      <c r="C367" s="184"/>
      <c r="D367" s="184"/>
      <c r="E367" s="189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</row>
    <row r="368" customFormat="false" ht="15.75" hidden="false" customHeight="false" outlineLevel="0" collapsed="false">
      <c r="A368" s="184" t="str">
        <f aca="false">IF(ISBLANK(B368),"",B368&amp;"|"&amp;C368)</f>
        <v/>
      </c>
      <c r="B368" s="184"/>
      <c r="C368" s="184"/>
      <c r="D368" s="184"/>
      <c r="E368" s="189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</row>
    <row r="369" customFormat="false" ht="15.75" hidden="false" customHeight="false" outlineLevel="0" collapsed="false">
      <c r="A369" s="184" t="str">
        <f aca="false">IF(ISBLANK(B369),"",B369&amp;"|"&amp;C369)</f>
        <v/>
      </c>
      <c r="B369" s="184"/>
      <c r="C369" s="184"/>
      <c r="D369" s="184"/>
      <c r="E369" s="189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</row>
    <row r="370" customFormat="false" ht="15.75" hidden="false" customHeight="false" outlineLevel="0" collapsed="false">
      <c r="A370" s="184" t="str">
        <f aca="false">IF(ISBLANK(B370),"",B370&amp;"|"&amp;C370)</f>
        <v/>
      </c>
      <c r="B370" s="184"/>
      <c r="C370" s="184"/>
      <c r="D370" s="184"/>
      <c r="E370" s="189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</row>
    <row r="371" customFormat="false" ht="15.75" hidden="false" customHeight="false" outlineLevel="0" collapsed="false">
      <c r="A371" s="184" t="str">
        <f aca="false">IF(ISBLANK(B371),"",B371&amp;"|"&amp;C371)</f>
        <v/>
      </c>
      <c r="B371" s="184"/>
      <c r="C371" s="184"/>
      <c r="D371" s="184"/>
      <c r="E371" s="189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</row>
    <row r="372" customFormat="false" ht="15.75" hidden="false" customHeight="false" outlineLevel="0" collapsed="false">
      <c r="A372" s="184" t="str">
        <f aca="false">IF(ISBLANK(B372),"",B372&amp;"|"&amp;C372)</f>
        <v/>
      </c>
      <c r="B372" s="184"/>
      <c r="C372" s="184"/>
      <c r="D372" s="184"/>
      <c r="E372" s="189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</row>
    <row r="373" customFormat="false" ht="15.75" hidden="false" customHeight="false" outlineLevel="0" collapsed="false">
      <c r="A373" s="184" t="str">
        <f aca="false">IF(ISBLANK(B373),"",B373&amp;"|"&amp;C373)</f>
        <v/>
      </c>
      <c r="B373" s="184"/>
      <c r="C373" s="184"/>
      <c r="D373" s="184"/>
      <c r="E373" s="189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</row>
    <row r="374" customFormat="false" ht="15.75" hidden="false" customHeight="false" outlineLevel="0" collapsed="false">
      <c r="A374" s="184" t="str">
        <f aca="false">IF(ISBLANK(B374),"",B374&amp;"|"&amp;C374)</f>
        <v/>
      </c>
      <c r="B374" s="184"/>
      <c r="C374" s="184"/>
      <c r="D374" s="184"/>
      <c r="E374" s="189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</row>
    <row r="375" customFormat="false" ht="15.75" hidden="false" customHeight="false" outlineLevel="0" collapsed="false">
      <c r="A375" s="184" t="str">
        <f aca="false">IF(ISBLANK(B375),"",B375&amp;"|"&amp;C375)</f>
        <v/>
      </c>
      <c r="B375" s="184"/>
      <c r="C375" s="184"/>
      <c r="D375" s="184"/>
      <c r="E375" s="189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</row>
    <row r="376" customFormat="false" ht="15.75" hidden="false" customHeight="false" outlineLevel="0" collapsed="false">
      <c r="A376" s="184" t="str">
        <f aca="false">IF(ISBLANK(B376),"",B376&amp;"|"&amp;C376)</f>
        <v/>
      </c>
      <c r="B376" s="184"/>
      <c r="C376" s="184"/>
      <c r="D376" s="184"/>
      <c r="E376" s="189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</row>
    <row r="377" customFormat="false" ht="15.75" hidden="false" customHeight="false" outlineLevel="0" collapsed="false">
      <c r="A377" s="184" t="str">
        <f aca="false">IF(ISBLANK(B377),"",B377&amp;"|"&amp;C377)</f>
        <v/>
      </c>
      <c r="B377" s="184"/>
      <c r="C377" s="184"/>
      <c r="D377" s="184"/>
      <c r="E377" s="189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</row>
    <row r="378" customFormat="false" ht="15.75" hidden="false" customHeight="false" outlineLevel="0" collapsed="false">
      <c r="A378" s="184" t="str">
        <f aca="false">IF(ISBLANK(B378),"",B378&amp;"|"&amp;C378)</f>
        <v/>
      </c>
      <c r="B378" s="184"/>
      <c r="C378" s="184"/>
      <c r="D378" s="184"/>
      <c r="E378" s="189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</row>
    <row r="379" customFormat="false" ht="15.75" hidden="false" customHeight="false" outlineLevel="0" collapsed="false">
      <c r="A379" s="184" t="str">
        <f aca="false">IF(ISBLANK(B379),"",B379&amp;"|"&amp;C379)</f>
        <v/>
      </c>
      <c r="B379" s="184"/>
      <c r="C379" s="184"/>
      <c r="D379" s="184"/>
      <c r="E379" s="189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</row>
    <row r="380" customFormat="false" ht="15.75" hidden="false" customHeight="false" outlineLevel="0" collapsed="false">
      <c r="A380" s="184" t="str">
        <f aca="false">IF(ISBLANK(B380),"",B380&amp;"|"&amp;C380)</f>
        <v/>
      </c>
      <c r="B380" s="184"/>
      <c r="C380" s="184"/>
      <c r="D380" s="184"/>
      <c r="E380" s="189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</row>
    <row r="381" customFormat="false" ht="15.75" hidden="false" customHeight="false" outlineLevel="0" collapsed="false">
      <c r="A381" s="184" t="str">
        <f aca="false">IF(ISBLANK(B381),"",B381&amp;"|"&amp;C381)</f>
        <v/>
      </c>
      <c r="B381" s="184"/>
      <c r="C381" s="184"/>
      <c r="D381" s="184"/>
      <c r="E381" s="189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</row>
    <row r="382" customFormat="false" ht="15.75" hidden="false" customHeight="false" outlineLevel="0" collapsed="false">
      <c r="A382" s="184" t="str">
        <f aca="false">IF(ISBLANK(B382),"",B382&amp;"|"&amp;C382)</f>
        <v/>
      </c>
      <c r="B382" s="184"/>
      <c r="C382" s="184"/>
      <c r="D382" s="184"/>
      <c r="E382" s="189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</row>
    <row r="383" customFormat="false" ht="15.75" hidden="false" customHeight="false" outlineLevel="0" collapsed="false">
      <c r="A383" s="184" t="str">
        <f aca="false">IF(ISBLANK(B383),"",B383&amp;"|"&amp;C383)</f>
        <v/>
      </c>
      <c r="B383" s="184"/>
      <c r="C383" s="184"/>
      <c r="D383" s="184"/>
      <c r="E383" s="189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</row>
    <row r="384" customFormat="false" ht="15.75" hidden="false" customHeight="false" outlineLevel="0" collapsed="false">
      <c r="A384" s="184" t="str">
        <f aca="false">IF(ISBLANK(B384),"",B384&amp;"|"&amp;C384)</f>
        <v/>
      </c>
      <c r="B384" s="184"/>
      <c r="C384" s="184"/>
      <c r="D384" s="184"/>
      <c r="E384" s="189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</row>
    <row r="385" customFormat="false" ht="15.75" hidden="false" customHeight="false" outlineLevel="0" collapsed="false">
      <c r="A385" s="184" t="str">
        <f aca="false">IF(ISBLANK(B385),"",B385&amp;"|"&amp;C385)</f>
        <v/>
      </c>
      <c r="B385" s="184"/>
      <c r="C385" s="184"/>
      <c r="D385" s="184"/>
      <c r="E385" s="189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</row>
    <row r="386" customFormat="false" ht="15.75" hidden="false" customHeight="false" outlineLevel="0" collapsed="false">
      <c r="A386" s="184" t="str">
        <f aca="false">IF(ISBLANK(B386),"",B386&amp;"|"&amp;C386)</f>
        <v/>
      </c>
      <c r="B386" s="184"/>
      <c r="C386" s="184"/>
      <c r="D386" s="184"/>
      <c r="E386" s="189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</row>
    <row r="387" customFormat="false" ht="15.75" hidden="false" customHeight="false" outlineLevel="0" collapsed="false">
      <c r="A387" s="184" t="str">
        <f aca="false">IF(ISBLANK(B387),"",B387&amp;"|"&amp;C387)</f>
        <v/>
      </c>
      <c r="B387" s="184"/>
      <c r="C387" s="184"/>
      <c r="D387" s="184"/>
      <c r="E387" s="189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</row>
    <row r="388" customFormat="false" ht="15.75" hidden="false" customHeight="false" outlineLevel="0" collapsed="false">
      <c r="A388" s="184" t="str">
        <f aca="false">IF(ISBLANK(B388),"",B388&amp;"|"&amp;C388)</f>
        <v/>
      </c>
      <c r="B388" s="184"/>
      <c r="C388" s="184"/>
      <c r="D388" s="184"/>
      <c r="E388" s="189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</row>
    <row r="389" customFormat="false" ht="15.75" hidden="false" customHeight="false" outlineLevel="0" collapsed="false">
      <c r="A389" s="184" t="str">
        <f aca="false">IF(ISBLANK(B389),"",B389&amp;"|"&amp;C389)</f>
        <v/>
      </c>
      <c r="B389" s="184"/>
      <c r="C389" s="184"/>
      <c r="D389" s="184"/>
      <c r="E389" s="189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</row>
    <row r="390" customFormat="false" ht="15.75" hidden="false" customHeight="false" outlineLevel="0" collapsed="false">
      <c r="A390" s="184" t="str">
        <f aca="false">IF(ISBLANK(B390),"",B390&amp;"|"&amp;C390)</f>
        <v/>
      </c>
      <c r="B390" s="184"/>
      <c r="C390" s="184"/>
      <c r="D390" s="184"/>
      <c r="E390" s="189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</row>
    <row r="391" customFormat="false" ht="15.75" hidden="false" customHeight="false" outlineLevel="0" collapsed="false">
      <c r="A391" s="184" t="str">
        <f aca="false">IF(ISBLANK(B391),"",B391&amp;"|"&amp;C391)</f>
        <v/>
      </c>
      <c r="B391" s="184"/>
      <c r="C391" s="184"/>
      <c r="D391" s="184"/>
      <c r="E391" s="189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</row>
    <row r="392" customFormat="false" ht="15.75" hidden="false" customHeight="false" outlineLevel="0" collapsed="false">
      <c r="A392" s="184" t="str">
        <f aca="false">IF(ISBLANK(B392),"",B392&amp;"|"&amp;C392)</f>
        <v/>
      </c>
      <c r="B392" s="184"/>
      <c r="C392" s="184"/>
      <c r="D392" s="184"/>
      <c r="E392" s="189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</row>
    <row r="393" customFormat="false" ht="15.75" hidden="false" customHeight="false" outlineLevel="0" collapsed="false">
      <c r="A393" s="184" t="str">
        <f aca="false">IF(ISBLANK(B393),"",B393&amp;"|"&amp;C393)</f>
        <v/>
      </c>
      <c r="B393" s="184"/>
      <c r="C393" s="184"/>
      <c r="D393" s="184"/>
      <c r="E393" s="189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</row>
    <row r="394" customFormat="false" ht="15.75" hidden="false" customHeight="false" outlineLevel="0" collapsed="false">
      <c r="A394" s="184" t="str">
        <f aca="false">IF(ISBLANK(B394),"",B394&amp;"|"&amp;C394)</f>
        <v/>
      </c>
      <c r="B394" s="184"/>
      <c r="C394" s="184"/>
      <c r="D394" s="184"/>
      <c r="E394" s="189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</row>
    <row r="395" customFormat="false" ht="15.75" hidden="false" customHeight="false" outlineLevel="0" collapsed="false">
      <c r="A395" s="184" t="str">
        <f aca="false">IF(ISBLANK(B395),"",B395&amp;"|"&amp;C395)</f>
        <v/>
      </c>
      <c r="B395" s="184"/>
      <c r="C395" s="184"/>
      <c r="D395" s="184"/>
      <c r="E395" s="189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</row>
    <row r="396" customFormat="false" ht="15.75" hidden="false" customHeight="false" outlineLevel="0" collapsed="false">
      <c r="A396" s="184" t="str">
        <f aca="false">IF(ISBLANK(B396),"",B396&amp;"|"&amp;C396)</f>
        <v/>
      </c>
      <c r="B396" s="184"/>
      <c r="C396" s="184"/>
      <c r="D396" s="184"/>
      <c r="E396" s="189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</row>
    <row r="397" customFormat="false" ht="15.75" hidden="false" customHeight="false" outlineLevel="0" collapsed="false">
      <c r="A397" s="184" t="str">
        <f aca="false">IF(ISBLANK(B397),"",B397&amp;"|"&amp;C397)</f>
        <v/>
      </c>
      <c r="B397" s="184"/>
      <c r="C397" s="184"/>
      <c r="D397" s="184"/>
      <c r="E397" s="189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</row>
    <row r="398" customFormat="false" ht="15.75" hidden="false" customHeight="false" outlineLevel="0" collapsed="false">
      <c r="A398" s="184" t="str">
        <f aca="false">IF(ISBLANK(B398),"",B398&amp;"|"&amp;C398)</f>
        <v/>
      </c>
      <c r="B398" s="184"/>
      <c r="C398" s="184"/>
      <c r="D398" s="184"/>
      <c r="E398" s="189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</row>
    <row r="399" customFormat="false" ht="15.75" hidden="false" customHeight="false" outlineLevel="0" collapsed="false">
      <c r="A399" s="184" t="str">
        <f aca="false">IF(ISBLANK(B399),"",B399&amp;"|"&amp;C399)</f>
        <v/>
      </c>
      <c r="B399" s="184"/>
      <c r="C399" s="184"/>
      <c r="D399" s="184"/>
      <c r="E399" s="189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</row>
    <row r="400" customFormat="false" ht="15.75" hidden="false" customHeight="false" outlineLevel="0" collapsed="false">
      <c r="A400" s="184" t="str">
        <f aca="false">IF(ISBLANK(B400),"",B400&amp;"|"&amp;C400)</f>
        <v/>
      </c>
      <c r="B400" s="184"/>
      <c r="C400" s="184"/>
      <c r="D400" s="184"/>
      <c r="E400" s="189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</row>
    <row r="401" customFormat="false" ht="15.75" hidden="false" customHeight="false" outlineLevel="0" collapsed="false">
      <c r="A401" s="184" t="str">
        <f aca="false">IF(ISBLANK(B401),"",B401&amp;"|"&amp;C401)</f>
        <v/>
      </c>
      <c r="B401" s="184"/>
      <c r="C401" s="184"/>
      <c r="D401" s="184"/>
      <c r="E401" s="189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</row>
    <row r="402" customFormat="false" ht="15.75" hidden="false" customHeight="false" outlineLevel="0" collapsed="false">
      <c r="A402" s="184" t="str">
        <f aca="false">IF(ISBLANK(B402),"",B402&amp;"|"&amp;C402)</f>
        <v/>
      </c>
      <c r="B402" s="184"/>
      <c r="C402" s="184"/>
      <c r="D402" s="184"/>
      <c r="E402" s="189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</row>
    <row r="403" customFormat="false" ht="15.75" hidden="false" customHeight="false" outlineLevel="0" collapsed="false">
      <c r="A403" s="184" t="str">
        <f aca="false">IF(ISBLANK(B403),"",B403&amp;"|"&amp;C403)</f>
        <v/>
      </c>
      <c r="B403" s="184"/>
      <c r="C403" s="184"/>
      <c r="D403" s="184"/>
      <c r="E403" s="189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</row>
    <row r="404" customFormat="false" ht="15.75" hidden="false" customHeight="false" outlineLevel="0" collapsed="false">
      <c r="A404" s="184" t="str">
        <f aca="false">IF(ISBLANK(B404),"",B404&amp;"|"&amp;C404)</f>
        <v/>
      </c>
      <c r="B404" s="184"/>
      <c r="C404" s="184"/>
      <c r="D404" s="184"/>
      <c r="E404" s="189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</row>
    <row r="405" customFormat="false" ht="15.75" hidden="false" customHeight="false" outlineLevel="0" collapsed="false">
      <c r="A405" s="184" t="str">
        <f aca="false">IF(ISBLANK(B405),"",B405&amp;"|"&amp;C405)</f>
        <v/>
      </c>
      <c r="B405" s="184"/>
      <c r="C405" s="184"/>
      <c r="D405" s="184"/>
      <c r="E405" s="189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</row>
    <row r="406" customFormat="false" ht="15.75" hidden="false" customHeight="false" outlineLevel="0" collapsed="false">
      <c r="A406" s="184" t="str">
        <f aca="false">IF(ISBLANK(B406),"",B406&amp;"|"&amp;C406)</f>
        <v/>
      </c>
      <c r="B406" s="184"/>
      <c r="C406" s="184"/>
      <c r="D406" s="184"/>
      <c r="E406" s="189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</row>
    <row r="407" customFormat="false" ht="15.75" hidden="false" customHeight="false" outlineLevel="0" collapsed="false">
      <c r="A407" s="184" t="str">
        <f aca="false">IF(ISBLANK(B407),"",B407&amp;"|"&amp;C407)</f>
        <v/>
      </c>
      <c r="B407" s="184"/>
      <c r="C407" s="184"/>
      <c r="D407" s="184"/>
      <c r="E407" s="189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</row>
    <row r="408" customFormat="false" ht="15.75" hidden="false" customHeight="false" outlineLevel="0" collapsed="false">
      <c r="A408" s="184" t="str">
        <f aca="false">IF(ISBLANK(B408),"",B408&amp;"|"&amp;C408)</f>
        <v/>
      </c>
      <c r="B408" s="184"/>
      <c r="C408" s="184"/>
      <c r="D408" s="184"/>
      <c r="E408" s="189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</row>
    <row r="409" customFormat="false" ht="15.75" hidden="false" customHeight="false" outlineLevel="0" collapsed="false">
      <c r="A409" s="184" t="str">
        <f aca="false">IF(ISBLANK(B409),"",B409&amp;"|"&amp;C409)</f>
        <v/>
      </c>
      <c r="B409" s="184"/>
      <c r="C409" s="184"/>
      <c r="D409" s="184"/>
      <c r="E409" s="189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</row>
    <row r="410" customFormat="false" ht="15.75" hidden="false" customHeight="false" outlineLevel="0" collapsed="false">
      <c r="A410" s="184" t="str">
        <f aca="false">IF(ISBLANK(B410),"",B410&amp;"|"&amp;C410)</f>
        <v/>
      </c>
      <c r="B410" s="184"/>
      <c r="C410" s="184"/>
      <c r="D410" s="184"/>
      <c r="E410" s="189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</row>
    <row r="411" customFormat="false" ht="15.75" hidden="false" customHeight="false" outlineLevel="0" collapsed="false">
      <c r="A411" s="184" t="str">
        <f aca="false">IF(ISBLANK(B411),"",B411&amp;"|"&amp;C411)</f>
        <v/>
      </c>
      <c r="B411" s="184"/>
      <c r="C411" s="184"/>
      <c r="D411" s="184"/>
      <c r="E411" s="189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</row>
    <row r="412" customFormat="false" ht="15.75" hidden="false" customHeight="false" outlineLevel="0" collapsed="false">
      <c r="A412" s="184" t="str">
        <f aca="false">IF(ISBLANK(B412),"",B412&amp;"|"&amp;C412)</f>
        <v/>
      </c>
      <c r="B412" s="184"/>
      <c r="C412" s="184"/>
      <c r="D412" s="184"/>
      <c r="E412" s="189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</row>
    <row r="413" customFormat="false" ht="15.75" hidden="false" customHeight="false" outlineLevel="0" collapsed="false">
      <c r="A413" s="184" t="str">
        <f aca="false">IF(ISBLANK(B413),"",B413&amp;"|"&amp;C413)</f>
        <v/>
      </c>
      <c r="B413" s="184"/>
      <c r="C413" s="184"/>
      <c r="D413" s="184"/>
      <c r="E413" s="189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</row>
    <row r="414" customFormat="false" ht="15.75" hidden="false" customHeight="false" outlineLevel="0" collapsed="false">
      <c r="A414" s="184" t="str">
        <f aca="false">IF(ISBLANK(B414),"",B414&amp;"|"&amp;C414)</f>
        <v/>
      </c>
      <c r="B414" s="184"/>
      <c r="C414" s="184"/>
      <c r="D414" s="184"/>
      <c r="E414" s="189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</row>
    <row r="415" customFormat="false" ht="15.75" hidden="false" customHeight="false" outlineLevel="0" collapsed="false">
      <c r="A415" s="184" t="str">
        <f aca="false">IF(ISBLANK(B415),"",B415&amp;"|"&amp;C415)</f>
        <v/>
      </c>
      <c r="B415" s="184"/>
      <c r="C415" s="184"/>
      <c r="D415" s="184"/>
      <c r="E415" s="189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</row>
    <row r="416" customFormat="false" ht="15.75" hidden="false" customHeight="false" outlineLevel="0" collapsed="false">
      <c r="A416" s="184" t="str">
        <f aca="false">IF(ISBLANK(B416),"",B416&amp;"|"&amp;C416)</f>
        <v/>
      </c>
      <c r="B416" s="184"/>
      <c r="C416" s="184"/>
      <c r="D416" s="184"/>
      <c r="E416" s="189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</row>
    <row r="417" customFormat="false" ht="15.75" hidden="false" customHeight="false" outlineLevel="0" collapsed="false">
      <c r="A417" s="184" t="str">
        <f aca="false">IF(ISBLANK(B417),"",B417&amp;"|"&amp;C417)</f>
        <v/>
      </c>
      <c r="B417" s="184"/>
      <c r="C417" s="184"/>
      <c r="D417" s="184"/>
      <c r="E417" s="189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</row>
    <row r="418" customFormat="false" ht="15.75" hidden="false" customHeight="false" outlineLevel="0" collapsed="false">
      <c r="A418" s="184" t="str">
        <f aca="false">IF(ISBLANK(B418),"",B418&amp;"|"&amp;C418)</f>
        <v/>
      </c>
      <c r="B418" s="184"/>
      <c r="C418" s="184"/>
      <c r="D418" s="184"/>
      <c r="E418" s="189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</row>
    <row r="419" customFormat="false" ht="15.75" hidden="false" customHeight="false" outlineLevel="0" collapsed="false">
      <c r="A419" s="184" t="str">
        <f aca="false">IF(ISBLANK(B419),"",B419&amp;"|"&amp;C419)</f>
        <v/>
      </c>
      <c r="B419" s="184"/>
      <c r="C419" s="184"/>
      <c r="D419" s="184"/>
      <c r="E419" s="189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</row>
    <row r="420" customFormat="false" ht="15.75" hidden="false" customHeight="false" outlineLevel="0" collapsed="false">
      <c r="A420" s="184" t="str">
        <f aca="false">IF(ISBLANK(B420),"",B420&amp;"|"&amp;C420)</f>
        <v/>
      </c>
      <c r="B420" s="184"/>
      <c r="C420" s="184"/>
      <c r="D420" s="184"/>
      <c r="E420" s="189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</row>
    <row r="421" customFormat="false" ht="15.75" hidden="false" customHeight="false" outlineLevel="0" collapsed="false">
      <c r="A421" s="184" t="str">
        <f aca="false">IF(ISBLANK(B421),"",B421&amp;"|"&amp;C421)</f>
        <v/>
      </c>
      <c r="B421" s="184"/>
      <c r="C421" s="184"/>
      <c r="D421" s="184"/>
      <c r="E421" s="189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</row>
    <row r="422" customFormat="false" ht="15.75" hidden="false" customHeight="false" outlineLevel="0" collapsed="false">
      <c r="A422" s="184" t="str">
        <f aca="false">IF(ISBLANK(B422),"",B422&amp;"|"&amp;C422)</f>
        <v/>
      </c>
      <c r="B422" s="184"/>
      <c r="C422" s="184"/>
      <c r="D422" s="184"/>
      <c r="E422" s="189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</row>
    <row r="423" customFormat="false" ht="15.75" hidden="false" customHeight="false" outlineLevel="0" collapsed="false">
      <c r="A423" s="184" t="str">
        <f aca="false">IF(ISBLANK(B423),"",B423&amp;"|"&amp;C423)</f>
        <v/>
      </c>
      <c r="B423" s="184"/>
      <c r="C423" s="184"/>
      <c r="D423" s="184"/>
      <c r="E423" s="189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</row>
    <row r="424" customFormat="false" ht="15.75" hidden="false" customHeight="false" outlineLevel="0" collapsed="false">
      <c r="A424" s="184" t="str">
        <f aca="false">IF(ISBLANK(B424),"",B424&amp;"|"&amp;C424)</f>
        <v/>
      </c>
      <c r="B424" s="184"/>
      <c r="C424" s="184"/>
      <c r="D424" s="184"/>
      <c r="E424" s="189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</row>
    <row r="425" customFormat="false" ht="15.75" hidden="false" customHeight="false" outlineLevel="0" collapsed="false">
      <c r="A425" s="184" t="str">
        <f aca="false">IF(ISBLANK(B425),"",B425&amp;"|"&amp;C425)</f>
        <v/>
      </c>
      <c r="B425" s="184"/>
      <c r="C425" s="184"/>
      <c r="D425" s="184"/>
      <c r="E425" s="189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</row>
    <row r="426" customFormat="false" ht="15.75" hidden="false" customHeight="false" outlineLevel="0" collapsed="false">
      <c r="A426" s="184" t="str">
        <f aca="false">IF(ISBLANK(B426),"",B426&amp;"|"&amp;C426)</f>
        <v/>
      </c>
      <c r="B426" s="184"/>
      <c r="C426" s="184"/>
      <c r="D426" s="184"/>
      <c r="E426" s="189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</row>
    <row r="427" customFormat="false" ht="15.75" hidden="false" customHeight="false" outlineLevel="0" collapsed="false">
      <c r="A427" s="184" t="str">
        <f aca="false">IF(ISBLANK(B427),"",B427&amp;"|"&amp;C427)</f>
        <v/>
      </c>
      <c r="B427" s="184"/>
      <c r="C427" s="184"/>
      <c r="D427" s="184"/>
      <c r="E427" s="189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</row>
    <row r="428" customFormat="false" ht="15.75" hidden="false" customHeight="false" outlineLevel="0" collapsed="false">
      <c r="A428" s="184" t="str">
        <f aca="false">IF(ISBLANK(B428),"",B428&amp;"|"&amp;C428)</f>
        <v/>
      </c>
      <c r="B428" s="184"/>
      <c r="C428" s="184"/>
      <c r="D428" s="184"/>
      <c r="E428" s="189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</row>
    <row r="429" customFormat="false" ht="15.75" hidden="false" customHeight="false" outlineLevel="0" collapsed="false">
      <c r="A429" s="184" t="str">
        <f aca="false">IF(ISBLANK(B429),"",B429&amp;"|"&amp;C429)</f>
        <v/>
      </c>
      <c r="B429" s="184"/>
      <c r="C429" s="184"/>
      <c r="D429" s="184"/>
      <c r="E429" s="189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</row>
    <row r="430" customFormat="false" ht="15.75" hidden="false" customHeight="false" outlineLevel="0" collapsed="false">
      <c r="A430" s="184" t="str">
        <f aca="false">IF(ISBLANK(B430),"",B430&amp;"|"&amp;C430)</f>
        <v/>
      </c>
      <c r="B430" s="184"/>
      <c r="C430" s="184"/>
      <c r="D430" s="184"/>
      <c r="E430" s="189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</row>
    <row r="431" customFormat="false" ht="15.75" hidden="false" customHeight="false" outlineLevel="0" collapsed="false">
      <c r="A431" s="184" t="str">
        <f aca="false">IF(ISBLANK(B431),"",B431&amp;"|"&amp;C431)</f>
        <v/>
      </c>
      <c r="B431" s="184"/>
      <c r="C431" s="184"/>
      <c r="D431" s="184"/>
      <c r="E431" s="189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</row>
    <row r="432" customFormat="false" ht="15.75" hidden="false" customHeight="false" outlineLevel="0" collapsed="false">
      <c r="A432" s="184" t="str">
        <f aca="false">IF(ISBLANK(B432),"",B432&amp;"|"&amp;C432)</f>
        <v/>
      </c>
      <c r="B432" s="184"/>
      <c r="C432" s="184"/>
      <c r="D432" s="184"/>
      <c r="E432" s="189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</row>
    <row r="433" customFormat="false" ht="15.75" hidden="false" customHeight="false" outlineLevel="0" collapsed="false">
      <c r="A433" s="184" t="str">
        <f aca="false">IF(ISBLANK(B433),"",B433&amp;"|"&amp;C433)</f>
        <v/>
      </c>
      <c r="B433" s="184"/>
      <c r="C433" s="184"/>
      <c r="D433" s="184"/>
      <c r="E433" s="189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</row>
    <row r="434" customFormat="false" ht="15.75" hidden="false" customHeight="false" outlineLevel="0" collapsed="false">
      <c r="A434" s="184" t="str">
        <f aca="false">IF(ISBLANK(B434),"",B434&amp;"|"&amp;C434)</f>
        <v/>
      </c>
      <c r="B434" s="184"/>
      <c r="C434" s="184"/>
      <c r="D434" s="184"/>
      <c r="E434" s="189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</row>
    <row r="435" customFormat="false" ht="15.75" hidden="false" customHeight="false" outlineLevel="0" collapsed="false">
      <c r="A435" s="184" t="str">
        <f aca="false">IF(ISBLANK(B435),"",B435&amp;"|"&amp;C435)</f>
        <v/>
      </c>
      <c r="B435" s="184"/>
      <c r="C435" s="184"/>
      <c r="D435" s="184"/>
      <c r="E435" s="189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</row>
    <row r="436" customFormat="false" ht="15.75" hidden="false" customHeight="false" outlineLevel="0" collapsed="false">
      <c r="A436" s="184" t="str">
        <f aca="false">IF(ISBLANK(B436),"",B436&amp;"|"&amp;C436)</f>
        <v/>
      </c>
      <c r="B436" s="184"/>
      <c r="C436" s="184"/>
      <c r="D436" s="184"/>
      <c r="E436" s="189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</row>
    <row r="437" customFormat="false" ht="15.75" hidden="false" customHeight="false" outlineLevel="0" collapsed="false">
      <c r="A437" s="184" t="str">
        <f aca="false">IF(ISBLANK(B437),"",B437&amp;"|"&amp;C437)</f>
        <v/>
      </c>
      <c r="B437" s="184"/>
      <c r="C437" s="184"/>
      <c r="D437" s="184"/>
      <c r="E437" s="189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</row>
    <row r="438" customFormat="false" ht="15.75" hidden="false" customHeight="false" outlineLevel="0" collapsed="false">
      <c r="A438" s="184" t="str">
        <f aca="false">IF(ISBLANK(B438),"",B438&amp;"|"&amp;C438)</f>
        <v/>
      </c>
      <c r="B438" s="184"/>
      <c r="C438" s="184"/>
      <c r="D438" s="184"/>
      <c r="E438" s="189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</row>
    <row r="439" customFormat="false" ht="15.75" hidden="false" customHeight="false" outlineLevel="0" collapsed="false">
      <c r="A439" s="184" t="str">
        <f aca="false">IF(ISBLANK(B439),"",B439&amp;"|"&amp;C439)</f>
        <v/>
      </c>
      <c r="B439" s="184"/>
      <c r="C439" s="184"/>
      <c r="D439" s="184"/>
      <c r="E439" s="189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</row>
    <row r="440" customFormat="false" ht="15.75" hidden="false" customHeight="false" outlineLevel="0" collapsed="false">
      <c r="A440" s="184" t="str">
        <f aca="false">IF(ISBLANK(B440),"",B440&amp;"|"&amp;C440)</f>
        <v/>
      </c>
      <c r="B440" s="184"/>
      <c r="C440" s="184"/>
      <c r="D440" s="184"/>
      <c r="E440" s="189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</row>
    <row r="441" customFormat="false" ht="15.75" hidden="false" customHeight="false" outlineLevel="0" collapsed="false">
      <c r="A441" s="184" t="str">
        <f aca="false">IF(ISBLANK(B441),"",B441&amp;"|"&amp;C441)</f>
        <v/>
      </c>
      <c r="B441" s="184"/>
      <c r="C441" s="184"/>
      <c r="D441" s="184"/>
      <c r="E441" s="189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</row>
    <row r="442" customFormat="false" ht="15.75" hidden="false" customHeight="false" outlineLevel="0" collapsed="false">
      <c r="A442" s="184" t="str">
        <f aca="false">IF(ISBLANK(B442),"",B442&amp;"|"&amp;C442)</f>
        <v/>
      </c>
      <c r="B442" s="184"/>
      <c r="C442" s="184"/>
      <c r="D442" s="184"/>
      <c r="E442" s="189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</row>
    <row r="443" customFormat="false" ht="15.75" hidden="false" customHeight="false" outlineLevel="0" collapsed="false">
      <c r="A443" s="184" t="str">
        <f aca="false">IF(ISBLANK(B443),"",B443&amp;"|"&amp;C443)</f>
        <v/>
      </c>
      <c r="B443" s="184"/>
      <c r="C443" s="184"/>
      <c r="D443" s="184"/>
      <c r="E443" s="189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</row>
    <row r="444" customFormat="false" ht="15.75" hidden="false" customHeight="false" outlineLevel="0" collapsed="false">
      <c r="A444" s="184" t="str">
        <f aca="false">IF(ISBLANK(B444),"",B444&amp;"|"&amp;C444)</f>
        <v/>
      </c>
      <c r="B444" s="184"/>
      <c r="C444" s="184"/>
      <c r="D444" s="184"/>
      <c r="E444" s="189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</row>
    <row r="445" customFormat="false" ht="15.75" hidden="false" customHeight="false" outlineLevel="0" collapsed="false">
      <c r="A445" s="184" t="str">
        <f aca="false">IF(ISBLANK(B445),"",B445&amp;"|"&amp;C445)</f>
        <v/>
      </c>
      <c r="B445" s="184"/>
      <c r="C445" s="184"/>
      <c r="D445" s="184"/>
      <c r="E445" s="189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</row>
    <row r="446" customFormat="false" ht="15.75" hidden="false" customHeight="false" outlineLevel="0" collapsed="false">
      <c r="A446" s="184" t="str">
        <f aca="false">IF(ISBLANK(B446),"",B446&amp;"|"&amp;C446)</f>
        <v/>
      </c>
      <c r="B446" s="184"/>
      <c r="C446" s="184"/>
      <c r="D446" s="184"/>
      <c r="E446" s="189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</row>
    <row r="447" customFormat="false" ht="15.75" hidden="false" customHeight="false" outlineLevel="0" collapsed="false">
      <c r="A447" s="184" t="str">
        <f aca="false">IF(ISBLANK(B447),"",B447&amp;"|"&amp;C447)</f>
        <v/>
      </c>
      <c r="B447" s="184"/>
      <c r="C447" s="184"/>
      <c r="D447" s="184"/>
      <c r="E447" s="189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</row>
    <row r="448" customFormat="false" ht="15.75" hidden="false" customHeight="false" outlineLevel="0" collapsed="false">
      <c r="A448" s="184" t="str">
        <f aca="false">IF(ISBLANK(B448),"",B448&amp;"|"&amp;C448)</f>
        <v/>
      </c>
      <c r="B448" s="184"/>
      <c r="C448" s="184"/>
      <c r="D448" s="184"/>
      <c r="E448" s="189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</row>
    <row r="449" customFormat="false" ht="15.75" hidden="false" customHeight="false" outlineLevel="0" collapsed="false">
      <c r="A449" s="184" t="str">
        <f aca="false">IF(ISBLANK(B449),"",B449&amp;"|"&amp;C449)</f>
        <v/>
      </c>
      <c r="B449" s="184"/>
      <c r="C449" s="184"/>
      <c r="D449" s="184"/>
      <c r="E449" s="189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</row>
    <row r="450" customFormat="false" ht="15.75" hidden="false" customHeight="false" outlineLevel="0" collapsed="false">
      <c r="A450" s="184" t="str">
        <f aca="false">IF(ISBLANK(B450),"",B450&amp;"|"&amp;C450)</f>
        <v/>
      </c>
      <c r="B450" s="184"/>
      <c r="C450" s="184"/>
      <c r="D450" s="184"/>
      <c r="E450" s="189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</row>
    <row r="451" customFormat="false" ht="15.75" hidden="false" customHeight="false" outlineLevel="0" collapsed="false">
      <c r="A451" s="184" t="str">
        <f aca="false">IF(ISBLANK(B451),"",B451&amp;"|"&amp;C451)</f>
        <v/>
      </c>
      <c r="B451" s="184"/>
      <c r="C451" s="184"/>
      <c r="D451" s="184"/>
      <c r="E451" s="189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</row>
    <row r="452" customFormat="false" ht="15.75" hidden="false" customHeight="false" outlineLevel="0" collapsed="false">
      <c r="A452" s="184" t="str">
        <f aca="false">IF(ISBLANK(B452),"",B452&amp;"|"&amp;C452)</f>
        <v/>
      </c>
      <c r="B452" s="184"/>
      <c r="C452" s="184"/>
      <c r="D452" s="184"/>
      <c r="E452" s="189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</row>
    <row r="453" customFormat="false" ht="15.75" hidden="false" customHeight="false" outlineLevel="0" collapsed="false">
      <c r="A453" s="184" t="str">
        <f aca="false">IF(ISBLANK(B453),"",B453&amp;"|"&amp;C453)</f>
        <v/>
      </c>
      <c r="B453" s="184"/>
      <c r="C453" s="184"/>
      <c r="D453" s="184"/>
      <c r="E453" s="189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</row>
    <row r="454" customFormat="false" ht="15.75" hidden="false" customHeight="false" outlineLevel="0" collapsed="false">
      <c r="A454" s="184" t="str">
        <f aca="false">IF(ISBLANK(B454),"",B454&amp;"|"&amp;C454)</f>
        <v/>
      </c>
      <c r="B454" s="184"/>
      <c r="C454" s="184"/>
      <c r="D454" s="184"/>
      <c r="E454" s="189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</row>
    <row r="455" customFormat="false" ht="15.75" hidden="false" customHeight="false" outlineLevel="0" collapsed="false">
      <c r="A455" s="184" t="str">
        <f aca="false">IF(ISBLANK(B455),"",B455&amp;"|"&amp;C455)</f>
        <v/>
      </c>
      <c r="B455" s="184"/>
      <c r="C455" s="184"/>
      <c r="D455" s="184"/>
      <c r="E455" s="189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</row>
    <row r="456" customFormat="false" ht="15.75" hidden="false" customHeight="false" outlineLevel="0" collapsed="false">
      <c r="A456" s="184" t="str">
        <f aca="false">IF(ISBLANK(B456),"",B456&amp;"|"&amp;C456)</f>
        <v/>
      </c>
      <c r="B456" s="184"/>
      <c r="C456" s="184"/>
      <c r="D456" s="184"/>
      <c r="E456" s="189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</row>
    <row r="457" customFormat="false" ht="15.75" hidden="false" customHeight="false" outlineLevel="0" collapsed="false">
      <c r="A457" s="184" t="str">
        <f aca="false">IF(ISBLANK(B457),"",B457&amp;"|"&amp;C457)</f>
        <v/>
      </c>
      <c r="B457" s="184"/>
      <c r="C457" s="184"/>
      <c r="D457" s="184"/>
      <c r="E457" s="189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</row>
    <row r="458" customFormat="false" ht="15.75" hidden="false" customHeight="false" outlineLevel="0" collapsed="false">
      <c r="A458" s="184" t="str">
        <f aca="false">IF(ISBLANK(B458),"",B458&amp;"|"&amp;C458)</f>
        <v/>
      </c>
      <c r="B458" s="184"/>
      <c r="C458" s="184"/>
      <c r="D458" s="184"/>
      <c r="E458" s="189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</row>
    <row r="459" customFormat="false" ht="15.75" hidden="false" customHeight="false" outlineLevel="0" collapsed="false">
      <c r="A459" s="184" t="str">
        <f aca="false">IF(ISBLANK(B459),"",B459&amp;"|"&amp;C459)</f>
        <v/>
      </c>
      <c r="B459" s="184"/>
      <c r="C459" s="184"/>
      <c r="D459" s="184"/>
      <c r="E459" s="189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</row>
    <row r="460" customFormat="false" ht="15.75" hidden="false" customHeight="false" outlineLevel="0" collapsed="false">
      <c r="A460" s="184" t="str">
        <f aca="false">IF(ISBLANK(B460),"",B460&amp;"|"&amp;C460)</f>
        <v/>
      </c>
      <c r="B460" s="184"/>
      <c r="C460" s="184"/>
      <c r="D460" s="184"/>
      <c r="E460" s="189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</row>
    <row r="461" customFormat="false" ht="15.75" hidden="false" customHeight="false" outlineLevel="0" collapsed="false">
      <c r="A461" s="184" t="str">
        <f aca="false">IF(ISBLANK(B461),"",B461&amp;"|"&amp;C461)</f>
        <v/>
      </c>
      <c r="B461" s="184"/>
      <c r="C461" s="184"/>
      <c r="D461" s="184"/>
      <c r="E461" s="189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</row>
    <row r="462" customFormat="false" ht="15.75" hidden="false" customHeight="false" outlineLevel="0" collapsed="false">
      <c r="A462" s="184" t="str">
        <f aca="false">IF(ISBLANK(B462),"",B462&amp;"|"&amp;C462)</f>
        <v/>
      </c>
      <c r="B462" s="184"/>
      <c r="C462" s="184"/>
      <c r="D462" s="184"/>
      <c r="E462" s="189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</row>
    <row r="463" customFormat="false" ht="15.75" hidden="false" customHeight="false" outlineLevel="0" collapsed="false">
      <c r="A463" s="184" t="str">
        <f aca="false">IF(ISBLANK(B463),"",B463&amp;"|"&amp;C463)</f>
        <v/>
      </c>
      <c r="B463" s="184"/>
      <c r="C463" s="184"/>
      <c r="D463" s="184"/>
      <c r="E463" s="189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</row>
    <row r="464" customFormat="false" ht="15.75" hidden="false" customHeight="false" outlineLevel="0" collapsed="false">
      <c r="A464" s="184" t="str">
        <f aca="false">IF(ISBLANK(B464),"",B464&amp;"|"&amp;C464)</f>
        <v/>
      </c>
      <c r="B464" s="184"/>
      <c r="C464" s="184"/>
      <c r="D464" s="184"/>
      <c r="E464" s="189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</row>
    <row r="465" customFormat="false" ht="15.75" hidden="false" customHeight="false" outlineLevel="0" collapsed="false">
      <c r="A465" s="184" t="str">
        <f aca="false">IF(ISBLANK(B465),"",B465&amp;"|"&amp;C465)</f>
        <v/>
      </c>
      <c r="B465" s="184"/>
      <c r="C465" s="184"/>
      <c r="D465" s="184"/>
      <c r="E465" s="189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</row>
    <row r="466" customFormat="false" ht="15.75" hidden="false" customHeight="false" outlineLevel="0" collapsed="false">
      <c r="A466" s="184" t="str">
        <f aca="false">IF(ISBLANK(B466),"",B466&amp;"|"&amp;C466)</f>
        <v/>
      </c>
      <c r="B466" s="184"/>
      <c r="C466" s="184"/>
      <c r="D466" s="184"/>
      <c r="E466" s="189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</row>
    <row r="467" customFormat="false" ht="15.75" hidden="false" customHeight="false" outlineLevel="0" collapsed="false">
      <c r="A467" s="184" t="str">
        <f aca="false">IF(ISBLANK(B467),"",B467&amp;"|"&amp;C467)</f>
        <v/>
      </c>
      <c r="B467" s="184"/>
      <c r="C467" s="184"/>
      <c r="D467" s="184"/>
      <c r="E467" s="189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</row>
    <row r="468" customFormat="false" ht="15.75" hidden="false" customHeight="false" outlineLevel="0" collapsed="false">
      <c r="A468" s="184" t="str">
        <f aca="false">IF(ISBLANK(B468),"",B468&amp;"|"&amp;C468)</f>
        <v/>
      </c>
      <c r="B468" s="184"/>
      <c r="C468" s="184"/>
      <c r="D468" s="184"/>
      <c r="E468" s="189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</row>
    <row r="469" customFormat="false" ht="15.75" hidden="false" customHeight="false" outlineLevel="0" collapsed="false">
      <c r="A469" s="184" t="str">
        <f aca="false">IF(ISBLANK(B469),"",B469&amp;"|"&amp;C469)</f>
        <v/>
      </c>
      <c r="B469" s="184"/>
      <c r="C469" s="184"/>
      <c r="D469" s="184"/>
      <c r="E469" s="189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</row>
    <row r="470" customFormat="false" ht="15.75" hidden="false" customHeight="false" outlineLevel="0" collapsed="false">
      <c r="A470" s="184" t="str">
        <f aca="false">IF(ISBLANK(B470),"",B470&amp;"|"&amp;C470)</f>
        <v/>
      </c>
      <c r="B470" s="184"/>
      <c r="C470" s="184"/>
      <c r="D470" s="184"/>
      <c r="E470" s="189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</row>
    <row r="471" customFormat="false" ht="15.75" hidden="false" customHeight="false" outlineLevel="0" collapsed="false">
      <c r="A471" s="184" t="str">
        <f aca="false">IF(ISBLANK(B471),"",B471&amp;"|"&amp;C471)</f>
        <v/>
      </c>
      <c r="B471" s="184"/>
      <c r="C471" s="184"/>
      <c r="D471" s="184"/>
      <c r="E471" s="189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</row>
    <row r="472" customFormat="false" ht="15.75" hidden="false" customHeight="false" outlineLevel="0" collapsed="false">
      <c r="A472" s="184" t="str">
        <f aca="false">IF(ISBLANK(B472),"",B472&amp;"|"&amp;C472)</f>
        <v/>
      </c>
      <c r="B472" s="184"/>
      <c r="C472" s="184"/>
      <c r="D472" s="184"/>
      <c r="E472" s="189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</row>
    <row r="473" customFormat="false" ht="15.75" hidden="false" customHeight="false" outlineLevel="0" collapsed="false">
      <c r="A473" s="184" t="str">
        <f aca="false">IF(ISBLANK(B473),"",B473&amp;"|"&amp;C473)</f>
        <v/>
      </c>
      <c r="B473" s="184"/>
      <c r="C473" s="184"/>
      <c r="D473" s="184"/>
      <c r="E473" s="189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</row>
    <row r="474" customFormat="false" ht="15.75" hidden="false" customHeight="false" outlineLevel="0" collapsed="false">
      <c r="A474" s="184" t="str">
        <f aca="false">IF(ISBLANK(B474),"",B474&amp;"|"&amp;C474)</f>
        <v/>
      </c>
      <c r="B474" s="184"/>
      <c r="C474" s="184"/>
      <c r="D474" s="184"/>
      <c r="E474" s="189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</row>
    <row r="475" customFormat="false" ht="15.75" hidden="false" customHeight="false" outlineLevel="0" collapsed="false">
      <c r="A475" s="184" t="str">
        <f aca="false">IF(ISBLANK(B475),"",B475&amp;"|"&amp;C475)</f>
        <v/>
      </c>
      <c r="B475" s="184"/>
      <c r="C475" s="184"/>
      <c r="D475" s="184"/>
      <c r="E475" s="189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</row>
    <row r="476" customFormat="false" ht="15.75" hidden="false" customHeight="false" outlineLevel="0" collapsed="false">
      <c r="A476" s="184" t="str">
        <f aca="false">IF(ISBLANK(B476),"",B476&amp;"|"&amp;C476)</f>
        <v/>
      </c>
      <c r="B476" s="184"/>
      <c r="C476" s="184"/>
      <c r="D476" s="184"/>
      <c r="E476" s="189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</row>
    <row r="477" customFormat="false" ht="15.75" hidden="false" customHeight="false" outlineLevel="0" collapsed="false">
      <c r="A477" s="184" t="str">
        <f aca="false">IF(ISBLANK(B477),"",B477&amp;"|"&amp;C477)</f>
        <v/>
      </c>
      <c r="B477" s="184"/>
      <c r="C477" s="184"/>
      <c r="D477" s="184"/>
      <c r="E477" s="189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</row>
    <row r="478" customFormat="false" ht="15.75" hidden="false" customHeight="false" outlineLevel="0" collapsed="false">
      <c r="A478" s="184" t="str">
        <f aca="false">IF(ISBLANK(B478),"",B478&amp;"|"&amp;C478)</f>
        <v/>
      </c>
      <c r="B478" s="184"/>
      <c r="C478" s="184"/>
      <c r="D478" s="184"/>
      <c r="E478" s="189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</row>
    <row r="479" customFormat="false" ht="15.75" hidden="false" customHeight="false" outlineLevel="0" collapsed="false">
      <c r="A479" s="184" t="str">
        <f aca="false">IF(ISBLANK(B479),"",B479&amp;"|"&amp;C479)</f>
        <v/>
      </c>
      <c r="B479" s="184"/>
      <c r="C479" s="184"/>
      <c r="D479" s="184"/>
      <c r="E479" s="189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</row>
    <row r="480" customFormat="false" ht="15.75" hidden="false" customHeight="false" outlineLevel="0" collapsed="false">
      <c r="A480" s="184" t="str">
        <f aca="false">IF(ISBLANK(B480),"",B480&amp;"|"&amp;C480)</f>
        <v/>
      </c>
      <c r="B480" s="184"/>
      <c r="C480" s="184"/>
      <c r="D480" s="184"/>
      <c r="E480" s="189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</row>
    <row r="481" customFormat="false" ht="15.75" hidden="false" customHeight="false" outlineLevel="0" collapsed="false">
      <c r="A481" s="184" t="str">
        <f aca="false">IF(ISBLANK(B481),"",B481&amp;"|"&amp;C481)</f>
        <v/>
      </c>
      <c r="B481" s="184"/>
      <c r="C481" s="184"/>
      <c r="D481" s="184"/>
      <c r="E481" s="189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</row>
    <row r="482" customFormat="false" ht="15.75" hidden="false" customHeight="false" outlineLevel="0" collapsed="false">
      <c r="A482" s="184" t="str">
        <f aca="false">IF(ISBLANK(B482),"",B482&amp;"|"&amp;C482)</f>
        <v/>
      </c>
      <c r="B482" s="184"/>
      <c r="C482" s="184"/>
      <c r="D482" s="184"/>
      <c r="E482" s="189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</row>
    <row r="483" customFormat="false" ht="15.75" hidden="false" customHeight="false" outlineLevel="0" collapsed="false">
      <c r="A483" s="184" t="str">
        <f aca="false">IF(ISBLANK(B483),"",B483&amp;"|"&amp;C483)</f>
        <v/>
      </c>
      <c r="B483" s="184"/>
      <c r="C483" s="184"/>
      <c r="D483" s="184"/>
      <c r="E483" s="189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</row>
    <row r="484" customFormat="false" ht="15.75" hidden="false" customHeight="false" outlineLevel="0" collapsed="false">
      <c r="A484" s="184" t="str">
        <f aca="false">IF(ISBLANK(B484),"",B484&amp;"|"&amp;C484)</f>
        <v/>
      </c>
      <c r="B484" s="184"/>
      <c r="C484" s="184"/>
      <c r="D484" s="184"/>
      <c r="E484" s="189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</row>
    <row r="485" customFormat="false" ht="15.75" hidden="false" customHeight="false" outlineLevel="0" collapsed="false">
      <c r="A485" s="184" t="str">
        <f aca="false">IF(ISBLANK(B485),"",B485&amp;"|"&amp;C485)</f>
        <v/>
      </c>
      <c r="B485" s="184"/>
      <c r="C485" s="184"/>
      <c r="D485" s="184"/>
      <c r="E485" s="189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</row>
    <row r="486" customFormat="false" ht="15.75" hidden="false" customHeight="false" outlineLevel="0" collapsed="false">
      <c r="A486" s="184" t="str">
        <f aca="false">IF(ISBLANK(B486),"",B486&amp;"|"&amp;C486)</f>
        <v/>
      </c>
      <c r="B486" s="184"/>
      <c r="C486" s="184"/>
      <c r="D486" s="184"/>
      <c r="E486" s="189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</row>
    <row r="487" customFormat="false" ht="15.75" hidden="false" customHeight="false" outlineLevel="0" collapsed="false">
      <c r="A487" s="184" t="str">
        <f aca="false">IF(ISBLANK(B487),"",B487&amp;"|"&amp;C487)</f>
        <v/>
      </c>
      <c r="B487" s="184"/>
      <c r="C487" s="184"/>
      <c r="D487" s="184"/>
      <c r="E487" s="189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</row>
    <row r="488" customFormat="false" ht="15.75" hidden="false" customHeight="false" outlineLevel="0" collapsed="false">
      <c r="A488" s="184" t="str">
        <f aca="false">IF(ISBLANK(B488),"",B488&amp;"|"&amp;C488)</f>
        <v/>
      </c>
      <c r="B488" s="184"/>
      <c r="C488" s="184"/>
      <c r="D488" s="184"/>
      <c r="E488" s="189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</row>
    <row r="489" customFormat="false" ht="15.75" hidden="false" customHeight="false" outlineLevel="0" collapsed="false">
      <c r="A489" s="184" t="str">
        <f aca="false">IF(ISBLANK(B489),"",B489&amp;"|"&amp;C489)</f>
        <v/>
      </c>
      <c r="B489" s="184"/>
      <c r="C489" s="184"/>
      <c r="D489" s="184"/>
      <c r="E489" s="189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</row>
    <row r="490" customFormat="false" ht="15.75" hidden="false" customHeight="false" outlineLevel="0" collapsed="false">
      <c r="A490" s="184" t="str">
        <f aca="false">IF(ISBLANK(B490),"",B490&amp;"|"&amp;C490)</f>
        <v/>
      </c>
      <c r="B490" s="184"/>
      <c r="C490" s="184"/>
      <c r="D490" s="184"/>
      <c r="E490" s="189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</row>
    <row r="491" customFormat="false" ht="15.75" hidden="false" customHeight="false" outlineLevel="0" collapsed="false">
      <c r="A491" s="184" t="str">
        <f aca="false">IF(ISBLANK(B491),"",B491&amp;"|"&amp;C491)</f>
        <v/>
      </c>
      <c r="B491" s="184"/>
      <c r="C491" s="184"/>
      <c r="D491" s="184"/>
      <c r="E491" s="189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</row>
    <row r="492" customFormat="false" ht="15.75" hidden="false" customHeight="false" outlineLevel="0" collapsed="false">
      <c r="A492" s="184" t="str">
        <f aca="false">IF(ISBLANK(B492),"",B492&amp;"|"&amp;C492)</f>
        <v/>
      </c>
      <c r="B492" s="184"/>
      <c r="C492" s="184"/>
      <c r="D492" s="184"/>
      <c r="E492" s="189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</row>
    <row r="493" customFormat="false" ht="15.75" hidden="false" customHeight="false" outlineLevel="0" collapsed="false">
      <c r="A493" s="184" t="str">
        <f aca="false">IF(ISBLANK(B493),"",B493&amp;"|"&amp;C493)</f>
        <v/>
      </c>
      <c r="B493" s="184"/>
      <c r="C493" s="184"/>
      <c r="D493" s="184"/>
      <c r="E493" s="189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</row>
    <row r="494" customFormat="false" ht="15.75" hidden="false" customHeight="false" outlineLevel="0" collapsed="false">
      <c r="A494" s="184" t="str">
        <f aca="false">IF(ISBLANK(B494),"",B494&amp;"|"&amp;C494)</f>
        <v/>
      </c>
      <c r="B494" s="184"/>
      <c r="C494" s="184"/>
      <c r="D494" s="184"/>
      <c r="E494" s="189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</row>
    <row r="495" customFormat="false" ht="15.75" hidden="false" customHeight="false" outlineLevel="0" collapsed="false">
      <c r="A495" s="184" t="str">
        <f aca="false">IF(ISBLANK(B495),"",B495&amp;"|"&amp;C495)</f>
        <v/>
      </c>
      <c r="B495" s="184"/>
      <c r="C495" s="184"/>
      <c r="D495" s="184"/>
      <c r="E495" s="189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</row>
    <row r="496" customFormat="false" ht="15.75" hidden="false" customHeight="false" outlineLevel="0" collapsed="false">
      <c r="A496" s="184" t="str">
        <f aca="false">IF(ISBLANK(B496),"",B496&amp;"|"&amp;C496)</f>
        <v/>
      </c>
      <c r="B496" s="184"/>
      <c r="C496" s="184"/>
      <c r="D496" s="184"/>
      <c r="E496" s="189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</row>
    <row r="497" customFormat="false" ht="15.75" hidden="false" customHeight="false" outlineLevel="0" collapsed="false">
      <c r="A497" s="184" t="str">
        <f aca="false">IF(ISBLANK(B497),"",B497&amp;"|"&amp;C497)</f>
        <v/>
      </c>
      <c r="B497" s="184"/>
      <c r="C497" s="184"/>
      <c r="D497" s="184"/>
      <c r="E497" s="189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</row>
    <row r="498" customFormat="false" ht="15.75" hidden="false" customHeight="false" outlineLevel="0" collapsed="false">
      <c r="A498" s="184" t="str">
        <f aca="false">IF(ISBLANK(B498),"",B498&amp;"|"&amp;C498)</f>
        <v/>
      </c>
      <c r="B498" s="184"/>
      <c r="C498" s="184"/>
      <c r="D498" s="184"/>
      <c r="E498" s="189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</row>
    <row r="499" customFormat="false" ht="15.75" hidden="false" customHeight="false" outlineLevel="0" collapsed="false">
      <c r="A499" s="184" t="str">
        <f aca="false">IF(ISBLANK(B499),"",B499&amp;"|"&amp;C499)</f>
        <v/>
      </c>
      <c r="B499" s="184"/>
      <c r="C499" s="184"/>
      <c r="D499" s="184"/>
      <c r="E499" s="189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</row>
    <row r="500" customFormat="false" ht="15.75" hidden="false" customHeight="false" outlineLevel="0" collapsed="false">
      <c r="A500" s="184" t="str">
        <f aca="false">IF(ISBLANK(B500),"",B500&amp;"|"&amp;C500)</f>
        <v/>
      </c>
      <c r="B500" s="184"/>
      <c r="C500" s="184"/>
      <c r="D500" s="184"/>
      <c r="E500" s="189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</row>
    <row r="501" customFormat="false" ht="15.75" hidden="false" customHeight="false" outlineLevel="0" collapsed="false">
      <c r="A501" s="184" t="str">
        <f aca="false">IF(ISBLANK(B501),"",B501&amp;"|"&amp;C501)</f>
        <v/>
      </c>
      <c r="B501" s="184"/>
      <c r="C501" s="184"/>
      <c r="D501" s="184"/>
      <c r="E501" s="189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</row>
    <row r="502" customFormat="false" ht="15.75" hidden="false" customHeight="false" outlineLevel="0" collapsed="false">
      <c r="A502" s="184" t="str">
        <f aca="false">IF(ISBLANK(B502),"",B502&amp;"|"&amp;C502)</f>
        <v/>
      </c>
      <c r="B502" s="184"/>
      <c r="C502" s="184"/>
      <c r="D502" s="184"/>
      <c r="E502" s="189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</row>
    <row r="503" customFormat="false" ht="15.75" hidden="false" customHeight="false" outlineLevel="0" collapsed="false">
      <c r="A503" s="184" t="str">
        <f aca="false">IF(ISBLANK(B503),"",B503&amp;"|"&amp;C503)</f>
        <v/>
      </c>
      <c r="B503" s="184"/>
      <c r="C503" s="184"/>
      <c r="D503" s="184"/>
      <c r="E503" s="189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</row>
    <row r="504" customFormat="false" ht="15.75" hidden="false" customHeight="false" outlineLevel="0" collapsed="false">
      <c r="A504" s="184" t="str">
        <f aca="false">IF(ISBLANK(B504),"",B504&amp;"|"&amp;C504)</f>
        <v/>
      </c>
      <c r="B504" s="184"/>
      <c r="C504" s="184"/>
      <c r="D504" s="184"/>
      <c r="E504" s="189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</row>
    <row r="505" customFormat="false" ht="15.75" hidden="false" customHeight="false" outlineLevel="0" collapsed="false">
      <c r="A505" s="184" t="str">
        <f aca="false">IF(ISBLANK(B505),"",B505&amp;"|"&amp;C505)</f>
        <v/>
      </c>
      <c r="B505" s="184"/>
      <c r="C505" s="184"/>
      <c r="D505" s="184"/>
      <c r="E505" s="189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</row>
    <row r="506" customFormat="false" ht="15.75" hidden="false" customHeight="false" outlineLevel="0" collapsed="false">
      <c r="A506" s="184" t="str">
        <f aca="false">IF(ISBLANK(B506),"",B506&amp;"|"&amp;C506)</f>
        <v/>
      </c>
      <c r="B506" s="184"/>
      <c r="C506" s="184"/>
      <c r="D506" s="184"/>
      <c r="E506" s="189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</row>
    <row r="507" customFormat="false" ht="15.75" hidden="false" customHeight="false" outlineLevel="0" collapsed="false">
      <c r="A507" s="184" t="str">
        <f aca="false">IF(ISBLANK(B507),"",B507&amp;"|"&amp;C507)</f>
        <v/>
      </c>
      <c r="B507" s="184"/>
      <c r="C507" s="184"/>
      <c r="D507" s="184"/>
      <c r="E507" s="189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</row>
    <row r="508" customFormat="false" ht="15.75" hidden="false" customHeight="false" outlineLevel="0" collapsed="false">
      <c r="A508" s="184" t="str">
        <f aca="false">IF(ISBLANK(B508),"",B508&amp;"|"&amp;C508)</f>
        <v/>
      </c>
      <c r="B508" s="184"/>
      <c r="C508" s="184"/>
      <c r="D508" s="184"/>
      <c r="E508" s="189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</row>
    <row r="509" customFormat="false" ht="15.75" hidden="false" customHeight="false" outlineLevel="0" collapsed="false">
      <c r="A509" s="184" t="str">
        <f aca="false">IF(ISBLANK(B509),"",B509&amp;"|"&amp;C509)</f>
        <v/>
      </c>
      <c r="B509" s="184"/>
      <c r="C509" s="184"/>
      <c r="D509" s="184"/>
      <c r="E509" s="189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</row>
    <row r="510" customFormat="false" ht="15.75" hidden="false" customHeight="false" outlineLevel="0" collapsed="false">
      <c r="A510" s="184" t="str">
        <f aca="false">IF(ISBLANK(B510),"",B510&amp;"|"&amp;C510)</f>
        <v/>
      </c>
      <c r="B510" s="184"/>
      <c r="C510" s="184"/>
      <c r="D510" s="184"/>
      <c r="E510" s="189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</row>
    <row r="511" customFormat="false" ht="15.75" hidden="false" customHeight="false" outlineLevel="0" collapsed="false">
      <c r="A511" s="184" t="str">
        <f aca="false">IF(ISBLANK(B511),"",B511&amp;"|"&amp;C511)</f>
        <v/>
      </c>
      <c r="B511" s="184"/>
      <c r="C511" s="184"/>
      <c r="D511" s="184"/>
      <c r="E511" s="189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</row>
    <row r="512" customFormat="false" ht="15.75" hidden="false" customHeight="false" outlineLevel="0" collapsed="false">
      <c r="A512" s="184" t="str">
        <f aca="false">IF(ISBLANK(B512),"",B512&amp;"|"&amp;C512)</f>
        <v/>
      </c>
      <c r="B512" s="184"/>
      <c r="C512" s="184"/>
      <c r="D512" s="184"/>
      <c r="E512" s="189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</row>
    <row r="513" customFormat="false" ht="15.75" hidden="false" customHeight="false" outlineLevel="0" collapsed="false">
      <c r="A513" s="184" t="str">
        <f aca="false">IF(ISBLANK(B513),"",B513&amp;"|"&amp;C513)</f>
        <v/>
      </c>
      <c r="B513" s="184"/>
      <c r="C513" s="184"/>
      <c r="D513" s="184"/>
      <c r="E513" s="189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</row>
    <row r="514" customFormat="false" ht="15.75" hidden="false" customHeight="false" outlineLevel="0" collapsed="false">
      <c r="A514" s="184" t="str">
        <f aca="false">IF(ISBLANK(B514),"",B514&amp;"|"&amp;C514)</f>
        <v/>
      </c>
      <c r="B514" s="184"/>
      <c r="C514" s="184"/>
      <c r="D514" s="184"/>
      <c r="E514" s="189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</row>
    <row r="515" customFormat="false" ht="15.75" hidden="false" customHeight="false" outlineLevel="0" collapsed="false">
      <c r="A515" s="184" t="str">
        <f aca="false">IF(ISBLANK(B515),"",B515&amp;"|"&amp;C515)</f>
        <v/>
      </c>
      <c r="B515" s="184"/>
      <c r="C515" s="184"/>
      <c r="D515" s="184"/>
      <c r="E515" s="189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</row>
    <row r="516" customFormat="false" ht="15.75" hidden="false" customHeight="false" outlineLevel="0" collapsed="false">
      <c r="A516" s="184" t="str">
        <f aca="false">IF(ISBLANK(B516),"",B516&amp;"|"&amp;C516)</f>
        <v/>
      </c>
      <c r="B516" s="184"/>
      <c r="C516" s="184"/>
      <c r="D516" s="184"/>
      <c r="E516" s="189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</row>
    <row r="517" customFormat="false" ht="15.75" hidden="false" customHeight="false" outlineLevel="0" collapsed="false">
      <c r="A517" s="184" t="str">
        <f aca="false">IF(ISBLANK(B517),"",B517&amp;"|"&amp;C517)</f>
        <v/>
      </c>
      <c r="B517" s="184"/>
      <c r="C517" s="184"/>
      <c r="D517" s="184"/>
      <c r="E517" s="189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</row>
    <row r="518" customFormat="false" ht="15.75" hidden="false" customHeight="false" outlineLevel="0" collapsed="false">
      <c r="A518" s="184" t="str">
        <f aca="false">IF(ISBLANK(B518),"",B518&amp;"|"&amp;C518)</f>
        <v/>
      </c>
      <c r="B518" s="184"/>
      <c r="C518" s="184"/>
      <c r="D518" s="184"/>
      <c r="E518" s="189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</row>
    <row r="519" customFormat="false" ht="15.75" hidden="false" customHeight="false" outlineLevel="0" collapsed="false">
      <c r="A519" s="184" t="str">
        <f aca="false">IF(ISBLANK(B519),"",B519&amp;"|"&amp;C519)</f>
        <v/>
      </c>
      <c r="B519" s="184"/>
      <c r="C519" s="184"/>
      <c r="D519" s="184"/>
      <c r="E519" s="189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</row>
    <row r="520" customFormat="false" ht="15.75" hidden="false" customHeight="false" outlineLevel="0" collapsed="false">
      <c r="A520" s="184" t="str">
        <f aca="false">IF(ISBLANK(B520),"",B520&amp;"|"&amp;C520)</f>
        <v/>
      </c>
      <c r="B520" s="184"/>
      <c r="C520" s="184"/>
      <c r="D520" s="184"/>
      <c r="E520" s="189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</row>
    <row r="521" customFormat="false" ht="15.75" hidden="false" customHeight="false" outlineLevel="0" collapsed="false">
      <c r="A521" s="184" t="str">
        <f aca="false">IF(ISBLANK(B521),"",B521&amp;"|"&amp;C521)</f>
        <v/>
      </c>
      <c r="B521" s="184"/>
      <c r="C521" s="184"/>
      <c r="D521" s="184"/>
      <c r="E521" s="189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</row>
    <row r="522" customFormat="false" ht="15.75" hidden="false" customHeight="false" outlineLevel="0" collapsed="false">
      <c r="A522" s="184" t="str">
        <f aca="false">IF(ISBLANK(B522),"",B522&amp;"|"&amp;C522)</f>
        <v/>
      </c>
      <c r="B522" s="184"/>
      <c r="C522" s="184"/>
      <c r="D522" s="184"/>
      <c r="E522" s="189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</row>
    <row r="523" customFormat="false" ht="15.75" hidden="false" customHeight="false" outlineLevel="0" collapsed="false">
      <c r="A523" s="184" t="str">
        <f aca="false">IF(ISBLANK(B523),"",B523&amp;"|"&amp;C523)</f>
        <v/>
      </c>
      <c r="B523" s="184"/>
      <c r="C523" s="184"/>
      <c r="D523" s="184"/>
      <c r="E523" s="189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</row>
    <row r="524" customFormat="false" ht="15.75" hidden="false" customHeight="false" outlineLevel="0" collapsed="false">
      <c r="A524" s="184" t="str">
        <f aca="false">IF(ISBLANK(B524),"",B524&amp;"|"&amp;C524)</f>
        <v/>
      </c>
      <c r="B524" s="184"/>
      <c r="C524" s="184"/>
      <c r="D524" s="184"/>
      <c r="E524" s="189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</row>
    <row r="525" customFormat="false" ht="15.75" hidden="false" customHeight="false" outlineLevel="0" collapsed="false">
      <c r="A525" s="184" t="str">
        <f aca="false">IF(ISBLANK(B525),"",B525&amp;"|"&amp;C525)</f>
        <v/>
      </c>
      <c r="B525" s="184"/>
      <c r="C525" s="184"/>
      <c r="D525" s="184"/>
      <c r="E525" s="189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</row>
    <row r="526" customFormat="false" ht="15.75" hidden="false" customHeight="false" outlineLevel="0" collapsed="false">
      <c r="A526" s="184" t="str">
        <f aca="false">IF(ISBLANK(B526),"",B526&amp;"|"&amp;C526)</f>
        <v/>
      </c>
      <c r="B526" s="184"/>
      <c r="C526" s="184"/>
      <c r="D526" s="184"/>
      <c r="E526" s="189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</row>
    <row r="527" customFormat="false" ht="15.75" hidden="false" customHeight="false" outlineLevel="0" collapsed="false">
      <c r="A527" s="184" t="str">
        <f aca="false">IF(ISBLANK(B527),"",B527&amp;"|"&amp;C527)</f>
        <v/>
      </c>
      <c r="B527" s="184"/>
      <c r="C527" s="184"/>
      <c r="D527" s="184"/>
      <c r="E527" s="189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</row>
    <row r="528" customFormat="false" ht="15.75" hidden="false" customHeight="false" outlineLevel="0" collapsed="false">
      <c r="A528" s="184" t="str">
        <f aca="false">IF(ISBLANK(B528),"",B528&amp;"|"&amp;C528)</f>
        <v/>
      </c>
      <c r="B528" s="184"/>
      <c r="C528" s="184"/>
      <c r="D528" s="184"/>
      <c r="E528" s="189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</row>
    <row r="529" customFormat="false" ht="15.75" hidden="false" customHeight="false" outlineLevel="0" collapsed="false">
      <c r="A529" s="184" t="str">
        <f aca="false">IF(ISBLANK(B529),"",B529&amp;"|"&amp;C529)</f>
        <v/>
      </c>
      <c r="B529" s="184"/>
      <c r="C529" s="184"/>
      <c r="D529" s="184"/>
      <c r="E529" s="189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</row>
    <row r="530" customFormat="false" ht="15.75" hidden="false" customHeight="false" outlineLevel="0" collapsed="false">
      <c r="A530" s="184" t="str">
        <f aca="false">IF(ISBLANK(B530),"",B530&amp;"|"&amp;C530)</f>
        <v/>
      </c>
      <c r="B530" s="184"/>
      <c r="C530" s="184"/>
      <c r="D530" s="184"/>
      <c r="E530" s="189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</row>
    <row r="531" customFormat="false" ht="15.75" hidden="false" customHeight="false" outlineLevel="0" collapsed="false">
      <c r="A531" s="184" t="str">
        <f aca="false">IF(ISBLANK(B531),"",B531&amp;"|"&amp;C531)</f>
        <v/>
      </c>
      <c r="B531" s="184"/>
      <c r="C531" s="184"/>
      <c r="D531" s="184"/>
      <c r="E531" s="189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</row>
    <row r="532" customFormat="false" ht="15.75" hidden="false" customHeight="false" outlineLevel="0" collapsed="false">
      <c r="A532" s="184" t="str">
        <f aca="false">IF(ISBLANK(B532),"",B532&amp;"|"&amp;C532)</f>
        <v/>
      </c>
      <c r="B532" s="184"/>
      <c r="C532" s="184"/>
      <c r="D532" s="184"/>
      <c r="E532" s="189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</row>
    <row r="533" customFormat="false" ht="15.75" hidden="false" customHeight="false" outlineLevel="0" collapsed="false">
      <c r="A533" s="184" t="str">
        <f aca="false">IF(ISBLANK(B533),"",B533&amp;"|"&amp;C533)</f>
        <v/>
      </c>
      <c r="B533" s="184"/>
      <c r="C533" s="184"/>
      <c r="D533" s="184"/>
      <c r="E533" s="189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</row>
    <row r="534" customFormat="false" ht="15.75" hidden="false" customHeight="false" outlineLevel="0" collapsed="false">
      <c r="A534" s="184" t="str">
        <f aca="false">IF(ISBLANK(B534),"",B534&amp;"|"&amp;C534)</f>
        <v/>
      </c>
      <c r="B534" s="184"/>
      <c r="C534" s="184"/>
      <c r="D534" s="184"/>
      <c r="E534" s="189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</row>
    <row r="535" customFormat="false" ht="15.75" hidden="false" customHeight="false" outlineLevel="0" collapsed="false">
      <c r="A535" s="184" t="str">
        <f aca="false">IF(ISBLANK(B535),"",B535&amp;"|"&amp;C535)</f>
        <v/>
      </c>
      <c r="B535" s="184"/>
      <c r="C535" s="184"/>
      <c r="D535" s="184"/>
      <c r="E535" s="189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</row>
    <row r="536" customFormat="false" ht="15.75" hidden="false" customHeight="false" outlineLevel="0" collapsed="false">
      <c r="A536" s="184" t="str">
        <f aca="false">IF(ISBLANK(B536),"",B536&amp;"|"&amp;C536)</f>
        <v/>
      </c>
      <c r="B536" s="184"/>
      <c r="C536" s="184"/>
      <c r="D536" s="184"/>
      <c r="E536" s="189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</row>
    <row r="537" customFormat="false" ht="15.75" hidden="false" customHeight="false" outlineLevel="0" collapsed="false">
      <c r="A537" s="184" t="str">
        <f aca="false">IF(ISBLANK(B537),"",B537&amp;"|"&amp;C537)</f>
        <v/>
      </c>
      <c r="B537" s="184"/>
      <c r="C537" s="184"/>
      <c r="D537" s="184"/>
      <c r="E537" s="189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</row>
    <row r="538" customFormat="false" ht="15.75" hidden="false" customHeight="false" outlineLevel="0" collapsed="false">
      <c r="A538" s="184" t="str">
        <f aca="false">IF(ISBLANK(B538),"",B538&amp;"|"&amp;C538)</f>
        <v/>
      </c>
      <c r="B538" s="184"/>
      <c r="C538" s="184"/>
      <c r="D538" s="184"/>
      <c r="E538" s="189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</row>
    <row r="539" customFormat="false" ht="15.75" hidden="false" customHeight="false" outlineLevel="0" collapsed="false">
      <c r="A539" s="184" t="str">
        <f aca="false">IF(ISBLANK(B539),"",B539&amp;"|"&amp;C539)</f>
        <v/>
      </c>
      <c r="B539" s="184"/>
      <c r="C539" s="184"/>
      <c r="D539" s="184"/>
      <c r="E539" s="189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</row>
    <row r="540" customFormat="false" ht="15.75" hidden="false" customHeight="false" outlineLevel="0" collapsed="false">
      <c r="A540" s="184" t="str">
        <f aca="false">IF(ISBLANK(B540),"",B540&amp;"|"&amp;C540)</f>
        <v/>
      </c>
      <c r="B540" s="184"/>
      <c r="C540" s="184"/>
      <c r="D540" s="184"/>
      <c r="E540" s="189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</row>
    <row r="541" customFormat="false" ht="15.75" hidden="false" customHeight="false" outlineLevel="0" collapsed="false">
      <c r="A541" s="184" t="str">
        <f aca="false">IF(ISBLANK(B541),"",B541&amp;"|"&amp;C541)</f>
        <v/>
      </c>
      <c r="B541" s="184"/>
      <c r="C541" s="184"/>
      <c r="D541" s="184"/>
      <c r="E541" s="189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</row>
    <row r="542" customFormat="false" ht="15.75" hidden="false" customHeight="false" outlineLevel="0" collapsed="false">
      <c r="A542" s="184" t="str">
        <f aca="false">IF(ISBLANK(B542),"",B542&amp;"|"&amp;C542)</f>
        <v/>
      </c>
      <c r="B542" s="184"/>
      <c r="C542" s="184"/>
      <c r="D542" s="184"/>
      <c r="E542" s="189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</row>
    <row r="543" customFormat="false" ht="15.75" hidden="false" customHeight="false" outlineLevel="0" collapsed="false">
      <c r="A543" s="184" t="str">
        <f aca="false">IF(ISBLANK(B543),"",B543&amp;"|"&amp;C543)</f>
        <v/>
      </c>
      <c r="B543" s="184"/>
      <c r="C543" s="184"/>
      <c r="D543" s="184"/>
      <c r="E543" s="189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</row>
    <row r="544" customFormat="false" ht="15.75" hidden="false" customHeight="false" outlineLevel="0" collapsed="false">
      <c r="A544" s="184" t="str">
        <f aca="false">IF(ISBLANK(B544),"",B544&amp;"|"&amp;C544)</f>
        <v/>
      </c>
      <c r="B544" s="184"/>
      <c r="C544" s="184"/>
      <c r="D544" s="184"/>
      <c r="E544" s="189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</row>
    <row r="545" customFormat="false" ht="15.75" hidden="false" customHeight="false" outlineLevel="0" collapsed="false">
      <c r="A545" s="184" t="str">
        <f aca="false">IF(ISBLANK(B545),"",B545&amp;"|"&amp;C545)</f>
        <v/>
      </c>
      <c r="B545" s="184"/>
      <c r="C545" s="184"/>
      <c r="D545" s="184"/>
      <c r="E545" s="189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</row>
    <row r="546" customFormat="false" ht="15.75" hidden="false" customHeight="false" outlineLevel="0" collapsed="false">
      <c r="A546" s="184" t="str">
        <f aca="false">IF(ISBLANK(B546),"",B546&amp;"|"&amp;C546)</f>
        <v/>
      </c>
      <c r="B546" s="184"/>
      <c r="C546" s="184"/>
      <c r="D546" s="184"/>
      <c r="E546" s="189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</row>
    <row r="547" customFormat="false" ht="15.75" hidden="false" customHeight="false" outlineLevel="0" collapsed="false">
      <c r="A547" s="184" t="str">
        <f aca="false">IF(ISBLANK(B547),"",B547&amp;"|"&amp;C547)</f>
        <v/>
      </c>
      <c r="B547" s="184"/>
      <c r="C547" s="184"/>
      <c r="D547" s="184"/>
      <c r="E547" s="189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</row>
    <row r="548" customFormat="false" ht="15.75" hidden="false" customHeight="false" outlineLevel="0" collapsed="false">
      <c r="A548" s="184" t="str">
        <f aca="false">IF(ISBLANK(B548),"",B548&amp;"|"&amp;C548)</f>
        <v/>
      </c>
      <c r="B548" s="184"/>
      <c r="C548" s="184"/>
      <c r="D548" s="184"/>
      <c r="E548" s="189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</row>
    <row r="549" customFormat="false" ht="15.75" hidden="false" customHeight="false" outlineLevel="0" collapsed="false">
      <c r="A549" s="184" t="str">
        <f aca="false">IF(ISBLANK(B549),"",B549&amp;"|"&amp;C549)</f>
        <v/>
      </c>
      <c r="B549" s="184"/>
      <c r="C549" s="184"/>
      <c r="D549" s="184"/>
      <c r="E549" s="189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</row>
    <row r="550" customFormat="false" ht="15.75" hidden="false" customHeight="false" outlineLevel="0" collapsed="false">
      <c r="A550" s="184" t="str">
        <f aca="false">IF(ISBLANK(B550),"",B550&amp;"|"&amp;C550)</f>
        <v/>
      </c>
      <c r="B550" s="184"/>
      <c r="C550" s="184"/>
      <c r="D550" s="184"/>
      <c r="E550" s="189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</row>
    <row r="551" customFormat="false" ht="15.75" hidden="false" customHeight="false" outlineLevel="0" collapsed="false">
      <c r="A551" s="184" t="str">
        <f aca="false">IF(ISBLANK(B551),"",B551&amp;"|"&amp;C551)</f>
        <v/>
      </c>
      <c r="B551" s="184"/>
      <c r="C551" s="184"/>
      <c r="D551" s="184"/>
      <c r="E551" s="189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</row>
    <row r="552" customFormat="false" ht="15.75" hidden="false" customHeight="false" outlineLevel="0" collapsed="false">
      <c r="A552" s="184" t="str">
        <f aca="false">IF(ISBLANK(B552),"",B552&amp;"|"&amp;C552)</f>
        <v/>
      </c>
      <c r="B552" s="184"/>
      <c r="C552" s="184"/>
      <c r="D552" s="184"/>
      <c r="E552" s="189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</row>
    <row r="553" customFormat="false" ht="15.75" hidden="false" customHeight="false" outlineLevel="0" collapsed="false">
      <c r="A553" s="184" t="str">
        <f aca="false">IF(ISBLANK(B553),"",B553&amp;"|"&amp;C553)</f>
        <v/>
      </c>
      <c r="B553" s="184"/>
      <c r="C553" s="184"/>
      <c r="D553" s="184"/>
      <c r="E553" s="189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</row>
    <row r="554" customFormat="false" ht="15.75" hidden="false" customHeight="false" outlineLevel="0" collapsed="false">
      <c r="A554" s="184" t="str">
        <f aca="false">IF(ISBLANK(B554),"",B554&amp;"|"&amp;C554)</f>
        <v/>
      </c>
      <c r="B554" s="184"/>
      <c r="C554" s="184"/>
      <c r="D554" s="184"/>
      <c r="E554" s="189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</row>
    <row r="555" customFormat="false" ht="15.75" hidden="false" customHeight="false" outlineLevel="0" collapsed="false">
      <c r="A555" s="184" t="str">
        <f aca="false">IF(ISBLANK(B555),"",B555&amp;"|"&amp;C555)</f>
        <v/>
      </c>
      <c r="B555" s="184"/>
      <c r="C555" s="184"/>
      <c r="D555" s="184"/>
      <c r="E555" s="189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</row>
    <row r="556" customFormat="false" ht="15.75" hidden="false" customHeight="false" outlineLevel="0" collapsed="false">
      <c r="A556" s="184" t="str">
        <f aca="false">IF(ISBLANK(B556),"",B556&amp;"|"&amp;C556)</f>
        <v/>
      </c>
      <c r="B556" s="184"/>
      <c r="C556" s="184"/>
      <c r="D556" s="184"/>
      <c r="E556" s="189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</row>
    <row r="557" customFormat="false" ht="15.75" hidden="false" customHeight="false" outlineLevel="0" collapsed="false">
      <c r="A557" s="184" t="str">
        <f aca="false">IF(ISBLANK(B557),"",B557&amp;"|"&amp;C557)</f>
        <v/>
      </c>
      <c r="B557" s="184"/>
      <c r="C557" s="184"/>
      <c r="D557" s="184"/>
      <c r="E557" s="189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</row>
    <row r="558" customFormat="false" ht="15.75" hidden="false" customHeight="false" outlineLevel="0" collapsed="false">
      <c r="A558" s="184" t="str">
        <f aca="false">IF(ISBLANK(B558),"",B558&amp;"|"&amp;C558)</f>
        <v/>
      </c>
      <c r="B558" s="184"/>
      <c r="C558" s="184"/>
      <c r="D558" s="184"/>
      <c r="E558" s="189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</row>
    <row r="559" customFormat="false" ht="15.75" hidden="false" customHeight="false" outlineLevel="0" collapsed="false">
      <c r="A559" s="184" t="str">
        <f aca="false">IF(ISBLANK(B559),"",B559&amp;"|"&amp;C559)</f>
        <v/>
      </c>
      <c r="B559" s="184"/>
      <c r="C559" s="184"/>
      <c r="D559" s="184"/>
      <c r="E559" s="189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</row>
    <row r="560" customFormat="false" ht="15.75" hidden="false" customHeight="false" outlineLevel="0" collapsed="false">
      <c r="A560" s="184" t="str">
        <f aca="false">IF(ISBLANK(B560),"",B560&amp;"|"&amp;C560)</f>
        <v/>
      </c>
      <c r="B560" s="184"/>
      <c r="C560" s="184"/>
      <c r="D560" s="184"/>
      <c r="E560" s="189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</row>
    <row r="561" customFormat="false" ht="15.75" hidden="false" customHeight="false" outlineLevel="0" collapsed="false">
      <c r="A561" s="184" t="str">
        <f aca="false">IF(ISBLANK(B561),"",B561&amp;"|"&amp;C561)</f>
        <v/>
      </c>
      <c r="B561" s="184"/>
      <c r="C561" s="184"/>
      <c r="D561" s="184"/>
      <c r="E561" s="189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</row>
    <row r="562" customFormat="false" ht="15.75" hidden="false" customHeight="false" outlineLevel="0" collapsed="false">
      <c r="A562" s="184" t="str">
        <f aca="false">IF(ISBLANK(B562),"",B562&amp;"|"&amp;C562)</f>
        <v/>
      </c>
      <c r="B562" s="184"/>
      <c r="C562" s="184"/>
      <c r="D562" s="184"/>
      <c r="E562" s="189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</row>
    <row r="563" customFormat="false" ht="15.75" hidden="false" customHeight="false" outlineLevel="0" collapsed="false">
      <c r="A563" s="184" t="str">
        <f aca="false">IF(ISBLANK(B563),"",B563&amp;"|"&amp;C563)</f>
        <v/>
      </c>
      <c r="B563" s="184"/>
      <c r="C563" s="184"/>
      <c r="D563" s="184"/>
      <c r="E563" s="189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</row>
    <row r="564" customFormat="false" ht="15.75" hidden="false" customHeight="false" outlineLevel="0" collapsed="false">
      <c r="A564" s="184" t="str">
        <f aca="false">IF(ISBLANK(B564),"",B564&amp;"|"&amp;C564)</f>
        <v/>
      </c>
      <c r="B564" s="184"/>
      <c r="C564" s="184"/>
      <c r="D564" s="184"/>
      <c r="E564" s="189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</row>
    <row r="565" customFormat="false" ht="15.75" hidden="false" customHeight="false" outlineLevel="0" collapsed="false">
      <c r="A565" s="184" t="str">
        <f aca="false">IF(ISBLANK(B565),"",B565&amp;"|"&amp;C565)</f>
        <v/>
      </c>
      <c r="B565" s="184"/>
      <c r="C565" s="184"/>
      <c r="D565" s="184"/>
      <c r="E565" s="189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</row>
    <row r="566" customFormat="false" ht="15.75" hidden="false" customHeight="false" outlineLevel="0" collapsed="false">
      <c r="A566" s="184" t="str">
        <f aca="false">IF(ISBLANK(B566),"",B566&amp;"|"&amp;C566)</f>
        <v/>
      </c>
      <c r="B566" s="184"/>
      <c r="C566" s="184"/>
      <c r="D566" s="184"/>
      <c r="E566" s="189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</row>
    <row r="567" customFormat="false" ht="15.75" hidden="false" customHeight="false" outlineLevel="0" collapsed="false">
      <c r="A567" s="184" t="str">
        <f aca="false">IF(ISBLANK(B567),"",B567&amp;"|"&amp;C567)</f>
        <v/>
      </c>
      <c r="B567" s="184"/>
      <c r="C567" s="184"/>
      <c r="D567" s="184"/>
      <c r="E567" s="189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</row>
    <row r="568" customFormat="false" ht="15.75" hidden="false" customHeight="false" outlineLevel="0" collapsed="false">
      <c r="A568" s="184" t="str">
        <f aca="false">IF(ISBLANK(B568),"",B568&amp;"|"&amp;C568)</f>
        <v/>
      </c>
      <c r="B568" s="184"/>
      <c r="C568" s="184"/>
      <c r="D568" s="184"/>
      <c r="E568" s="189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</row>
    <row r="569" customFormat="false" ht="15.75" hidden="false" customHeight="false" outlineLevel="0" collapsed="false">
      <c r="A569" s="184" t="str">
        <f aca="false">IF(ISBLANK(B569),"",B569&amp;"|"&amp;C569)</f>
        <v/>
      </c>
      <c r="B569" s="184"/>
      <c r="C569" s="184"/>
      <c r="D569" s="184"/>
      <c r="E569" s="189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</row>
    <row r="570" customFormat="false" ht="15.75" hidden="false" customHeight="false" outlineLevel="0" collapsed="false">
      <c r="A570" s="184" t="str">
        <f aca="false">IF(ISBLANK(B570),"",B570&amp;"|"&amp;C570)</f>
        <v/>
      </c>
      <c r="B570" s="184"/>
      <c r="C570" s="184"/>
      <c r="D570" s="184"/>
      <c r="E570" s="189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</row>
    <row r="571" customFormat="false" ht="15.75" hidden="false" customHeight="false" outlineLevel="0" collapsed="false">
      <c r="A571" s="184" t="str">
        <f aca="false">IF(ISBLANK(B571),"",B571&amp;"|"&amp;C571)</f>
        <v/>
      </c>
      <c r="B571" s="184"/>
      <c r="C571" s="184"/>
      <c r="D571" s="184"/>
      <c r="E571" s="189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</row>
    <row r="572" customFormat="false" ht="15.75" hidden="false" customHeight="false" outlineLevel="0" collapsed="false">
      <c r="A572" s="184" t="str">
        <f aca="false">IF(ISBLANK(B572),"",B572&amp;"|"&amp;C572)</f>
        <v/>
      </c>
      <c r="B572" s="184"/>
      <c r="C572" s="184"/>
      <c r="D572" s="184"/>
      <c r="E572" s="189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</row>
    <row r="573" customFormat="false" ht="15.75" hidden="false" customHeight="false" outlineLevel="0" collapsed="false">
      <c r="A573" s="184" t="str">
        <f aca="false">IF(ISBLANK(B573),"",B573&amp;"|"&amp;C573)</f>
        <v/>
      </c>
      <c r="B573" s="184"/>
      <c r="C573" s="184"/>
      <c r="D573" s="184"/>
      <c r="E573" s="189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</row>
    <row r="574" customFormat="false" ht="15.75" hidden="false" customHeight="false" outlineLevel="0" collapsed="false">
      <c r="A574" s="184" t="str">
        <f aca="false">IF(ISBLANK(B574),"",B574&amp;"|"&amp;C574)</f>
        <v/>
      </c>
      <c r="B574" s="184"/>
      <c r="C574" s="184"/>
      <c r="D574" s="184"/>
      <c r="E574" s="189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</row>
    <row r="575" customFormat="false" ht="15.75" hidden="false" customHeight="false" outlineLevel="0" collapsed="false">
      <c r="A575" s="184" t="str">
        <f aca="false">IF(ISBLANK(B575),"",B575&amp;"|"&amp;C575)</f>
        <v/>
      </c>
      <c r="B575" s="184"/>
      <c r="C575" s="184"/>
      <c r="D575" s="184"/>
      <c r="E575" s="189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</row>
    <row r="576" customFormat="false" ht="15.75" hidden="false" customHeight="false" outlineLevel="0" collapsed="false">
      <c r="A576" s="184" t="str">
        <f aca="false">IF(ISBLANK(B576),"",B576&amp;"|"&amp;C576)</f>
        <v/>
      </c>
      <c r="B576" s="184"/>
      <c r="C576" s="184"/>
      <c r="D576" s="184"/>
      <c r="E576" s="189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</row>
    <row r="577" customFormat="false" ht="15.75" hidden="false" customHeight="false" outlineLevel="0" collapsed="false">
      <c r="A577" s="184" t="str">
        <f aca="false">IF(ISBLANK(B577),"",B577&amp;"|"&amp;C577)</f>
        <v/>
      </c>
      <c r="B577" s="184"/>
      <c r="C577" s="184"/>
      <c r="D577" s="184"/>
      <c r="E577" s="189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</row>
    <row r="578" customFormat="false" ht="15.75" hidden="false" customHeight="false" outlineLevel="0" collapsed="false">
      <c r="A578" s="184" t="str">
        <f aca="false">IF(ISBLANK(B578),"",B578&amp;"|"&amp;C578)</f>
        <v/>
      </c>
      <c r="B578" s="184"/>
      <c r="C578" s="184"/>
      <c r="D578" s="184"/>
      <c r="E578" s="189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</row>
    <row r="579" customFormat="false" ht="15.75" hidden="false" customHeight="false" outlineLevel="0" collapsed="false">
      <c r="A579" s="184" t="str">
        <f aca="false">IF(ISBLANK(B579),"",B579&amp;"|"&amp;C579)</f>
        <v/>
      </c>
      <c r="B579" s="184"/>
      <c r="C579" s="184"/>
      <c r="D579" s="184"/>
      <c r="E579" s="189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</row>
    <row r="580" customFormat="false" ht="15.75" hidden="false" customHeight="false" outlineLevel="0" collapsed="false">
      <c r="A580" s="184" t="str">
        <f aca="false">IF(ISBLANK(B580),"",B580&amp;"|"&amp;C580)</f>
        <v/>
      </c>
      <c r="B580" s="184"/>
      <c r="C580" s="184"/>
      <c r="D580" s="184"/>
      <c r="E580" s="189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</row>
    <row r="581" customFormat="false" ht="15.75" hidden="false" customHeight="false" outlineLevel="0" collapsed="false">
      <c r="A581" s="184" t="str">
        <f aca="false">IF(ISBLANK(B581),"",B581&amp;"|"&amp;C581)</f>
        <v/>
      </c>
      <c r="B581" s="184"/>
      <c r="C581" s="184"/>
      <c r="D581" s="184"/>
      <c r="E581" s="189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</row>
    <row r="582" customFormat="false" ht="15.75" hidden="false" customHeight="false" outlineLevel="0" collapsed="false">
      <c r="A582" s="184" t="str">
        <f aca="false">IF(ISBLANK(B582),"",B582&amp;"|"&amp;C582)</f>
        <v/>
      </c>
      <c r="B582" s="184"/>
      <c r="C582" s="184"/>
      <c r="D582" s="184"/>
      <c r="E582" s="189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</row>
    <row r="583" customFormat="false" ht="15.75" hidden="false" customHeight="false" outlineLevel="0" collapsed="false">
      <c r="A583" s="184" t="str">
        <f aca="false">IF(ISBLANK(B583),"",B583&amp;"|"&amp;C583)</f>
        <v/>
      </c>
      <c r="B583" s="184"/>
      <c r="C583" s="184"/>
      <c r="D583" s="184"/>
      <c r="E583" s="189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</row>
    <row r="584" customFormat="false" ht="15.75" hidden="false" customHeight="false" outlineLevel="0" collapsed="false">
      <c r="A584" s="184" t="str">
        <f aca="false">IF(ISBLANK(B584),"",B584&amp;"|"&amp;C584)</f>
        <v/>
      </c>
      <c r="B584" s="184"/>
      <c r="C584" s="184"/>
      <c r="D584" s="184"/>
      <c r="E584" s="189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</row>
    <row r="585" customFormat="false" ht="15.75" hidden="false" customHeight="false" outlineLevel="0" collapsed="false">
      <c r="A585" s="184" t="str">
        <f aca="false">IF(ISBLANK(B585),"",B585&amp;"|"&amp;C585)</f>
        <v/>
      </c>
      <c r="B585" s="184"/>
      <c r="C585" s="184"/>
      <c r="D585" s="184"/>
      <c r="E585" s="189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</row>
    <row r="586" customFormat="false" ht="15.75" hidden="false" customHeight="false" outlineLevel="0" collapsed="false">
      <c r="A586" s="184" t="str">
        <f aca="false">IF(ISBLANK(B586),"",B586&amp;"|"&amp;C586)</f>
        <v/>
      </c>
      <c r="B586" s="184"/>
      <c r="C586" s="184"/>
      <c r="D586" s="184"/>
      <c r="E586" s="189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</row>
    <row r="587" customFormat="false" ht="15.75" hidden="false" customHeight="false" outlineLevel="0" collapsed="false">
      <c r="A587" s="184" t="str">
        <f aca="false">IF(ISBLANK(B587),"",B587&amp;"|"&amp;C587)</f>
        <v/>
      </c>
      <c r="B587" s="184"/>
      <c r="C587" s="184"/>
      <c r="D587" s="184"/>
      <c r="E587" s="189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</row>
    <row r="588" customFormat="false" ht="15.75" hidden="false" customHeight="false" outlineLevel="0" collapsed="false">
      <c r="A588" s="184" t="str">
        <f aca="false">IF(ISBLANK(B588),"",B588&amp;"|"&amp;C588)</f>
        <v/>
      </c>
      <c r="B588" s="184"/>
      <c r="C588" s="184"/>
      <c r="D588" s="184"/>
      <c r="E588" s="189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</row>
    <row r="589" customFormat="false" ht="15.75" hidden="false" customHeight="false" outlineLevel="0" collapsed="false">
      <c r="A589" s="184" t="str">
        <f aca="false">IF(ISBLANK(B589),"",B589&amp;"|"&amp;C589)</f>
        <v/>
      </c>
      <c r="B589" s="184"/>
      <c r="C589" s="184"/>
      <c r="D589" s="184"/>
      <c r="E589" s="189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</row>
    <row r="590" customFormat="false" ht="15.75" hidden="false" customHeight="false" outlineLevel="0" collapsed="false">
      <c r="A590" s="184" t="str">
        <f aca="false">IF(ISBLANK(B590),"",B590&amp;"|"&amp;C590)</f>
        <v/>
      </c>
      <c r="B590" s="184"/>
      <c r="C590" s="184"/>
      <c r="D590" s="184"/>
      <c r="E590" s="189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</row>
    <row r="591" customFormat="false" ht="15.75" hidden="false" customHeight="false" outlineLevel="0" collapsed="false">
      <c r="A591" s="184" t="str">
        <f aca="false">IF(ISBLANK(B591),"",B591&amp;"|"&amp;C591)</f>
        <v/>
      </c>
      <c r="B591" s="184"/>
      <c r="C591" s="184"/>
      <c r="D591" s="184"/>
      <c r="E591" s="189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</row>
    <row r="592" customFormat="false" ht="15.75" hidden="false" customHeight="false" outlineLevel="0" collapsed="false">
      <c r="A592" s="184" t="str">
        <f aca="false">IF(ISBLANK(B592),"",B592&amp;"|"&amp;C592)</f>
        <v/>
      </c>
      <c r="B592" s="184"/>
      <c r="C592" s="184"/>
      <c r="D592" s="184"/>
      <c r="E592" s="189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</row>
    <row r="593" customFormat="false" ht="15.75" hidden="false" customHeight="false" outlineLevel="0" collapsed="false">
      <c r="A593" s="184" t="str">
        <f aca="false">IF(ISBLANK(B593),"",B593&amp;"|"&amp;C593)</f>
        <v/>
      </c>
      <c r="B593" s="184"/>
      <c r="C593" s="184"/>
      <c r="D593" s="184"/>
      <c r="E593" s="189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</row>
    <row r="594" customFormat="false" ht="15.75" hidden="false" customHeight="false" outlineLevel="0" collapsed="false">
      <c r="A594" s="184" t="str">
        <f aca="false">IF(ISBLANK(B594),"",B594&amp;"|"&amp;C594)</f>
        <v/>
      </c>
      <c r="B594" s="184"/>
      <c r="C594" s="184"/>
      <c r="D594" s="184"/>
      <c r="E594" s="189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</row>
    <row r="595" customFormat="false" ht="15.75" hidden="false" customHeight="false" outlineLevel="0" collapsed="false">
      <c r="A595" s="184" t="str">
        <f aca="false">IF(ISBLANK(B595),"",B595&amp;"|"&amp;C595)</f>
        <v/>
      </c>
      <c r="B595" s="184"/>
      <c r="C595" s="184"/>
      <c r="D595" s="184"/>
      <c r="E595" s="189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</row>
    <row r="596" customFormat="false" ht="15.75" hidden="false" customHeight="false" outlineLevel="0" collapsed="false">
      <c r="A596" s="184" t="str">
        <f aca="false">IF(ISBLANK(B596),"",B596&amp;"|"&amp;C596)</f>
        <v/>
      </c>
      <c r="B596" s="184"/>
      <c r="C596" s="184"/>
      <c r="D596" s="184"/>
      <c r="E596" s="189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</row>
    <row r="597" customFormat="false" ht="15.75" hidden="false" customHeight="false" outlineLevel="0" collapsed="false">
      <c r="A597" s="184" t="str">
        <f aca="false">IF(ISBLANK(B597),"",B597&amp;"|"&amp;C597)</f>
        <v/>
      </c>
      <c r="B597" s="184"/>
      <c r="C597" s="184"/>
      <c r="D597" s="184"/>
      <c r="E597" s="189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</row>
    <row r="598" customFormat="false" ht="15.75" hidden="false" customHeight="false" outlineLevel="0" collapsed="false">
      <c r="A598" s="184" t="str">
        <f aca="false">IF(ISBLANK(B598),"",B598&amp;"|"&amp;C598)</f>
        <v/>
      </c>
      <c r="B598" s="184"/>
      <c r="C598" s="184"/>
      <c r="D598" s="184"/>
      <c r="E598" s="189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</row>
    <row r="599" customFormat="false" ht="15.75" hidden="false" customHeight="false" outlineLevel="0" collapsed="false">
      <c r="A599" s="184" t="str">
        <f aca="false">IF(ISBLANK(B599),"",B599&amp;"|"&amp;C599)</f>
        <v/>
      </c>
      <c r="B599" s="184"/>
      <c r="C599" s="184"/>
      <c r="D599" s="184"/>
      <c r="E599" s="189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</row>
    <row r="600" customFormat="false" ht="15.75" hidden="false" customHeight="false" outlineLevel="0" collapsed="false">
      <c r="A600" s="184" t="str">
        <f aca="false">IF(ISBLANK(B600),"",B600&amp;"|"&amp;C600)</f>
        <v/>
      </c>
      <c r="B600" s="184"/>
      <c r="C600" s="184"/>
      <c r="D600" s="184"/>
      <c r="E600" s="189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</row>
    <row r="601" customFormat="false" ht="15.75" hidden="false" customHeight="false" outlineLevel="0" collapsed="false">
      <c r="A601" s="184" t="str">
        <f aca="false">IF(ISBLANK(B601),"",B601&amp;"|"&amp;C601)</f>
        <v/>
      </c>
      <c r="B601" s="184"/>
      <c r="C601" s="184"/>
      <c r="D601" s="184"/>
      <c r="E601" s="189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</row>
    <row r="602" customFormat="false" ht="15.75" hidden="false" customHeight="false" outlineLevel="0" collapsed="false">
      <c r="A602" s="184" t="str">
        <f aca="false">IF(ISBLANK(B602),"",B602&amp;"|"&amp;C602)</f>
        <v/>
      </c>
      <c r="B602" s="184"/>
      <c r="C602" s="184"/>
      <c r="D602" s="184"/>
      <c r="E602" s="189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</row>
    <row r="603" customFormat="false" ht="15.75" hidden="false" customHeight="false" outlineLevel="0" collapsed="false">
      <c r="A603" s="184" t="str">
        <f aca="false">IF(ISBLANK(B603),"",B603&amp;"|"&amp;C603)</f>
        <v/>
      </c>
      <c r="B603" s="184"/>
      <c r="C603" s="184"/>
      <c r="D603" s="184"/>
      <c r="E603" s="189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</row>
    <row r="604" customFormat="false" ht="15.75" hidden="false" customHeight="false" outlineLevel="0" collapsed="false">
      <c r="A604" s="184" t="str">
        <f aca="false">IF(ISBLANK(B604),"",B604&amp;"|"&amp;C604)</f>
        <v/>
      </c>
      <c r="B604" s="184"/>
      <c r="C604" s="184"/>
      <c r="D604" s="184"/>
      <c r="E604" s="189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</row>
    <row r="605" customFormat="false" ht="15.75" hidden="false" customHeight="false" outlineLevel="0" collapsed="false">
      <c r="A605" s="184" t="str">
        <f aca="false">IF(ISBLANK(B605),"",B605&amp;"|"&amp;C605)</f>
        <v/>
      </c>
      <c r="B605" s="184"/>
      <c r="C605" s="184"/>
      <c r="D605" s="184"/>
      <c r="E605" s="189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</row>
    <row r="606" customFormat="false" ht="15.75" hidden="false" customHeight="false" outlineLevel="0" collapsed="false">
      <c r="A606" s="184" t="str">
        <f aca="false">IF(ISBLANK(B606),"",B606&amp;"|"&amp;C606)</f>
        <v/>
      </c>
      <c r="B606" s="184"/>
      <c r="C606" s="184"/>
      <c r="D606" s="184"/>
      <c r="E606" s="189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</row>
    <row r="607" customFormat="false" ht="15.75" hidden="false" customHeight="false" outlineLevel="0" collapsed="false">
      <c r="A607" s="184" t="str">
        <f aca="false">IF(ISBLANK(B607),"",B607&amp;"|"&amp;C607)</f>
        <v/>
      </c>
      <c r="B607" s="184"/>
      <c r="C607" s="184"/>
      <c r="D607" s="184"/>
      <c r="E607" s="189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</row>
    <row r="608" customFormat="false" ht="15.75" hidden="false" customHeight="false" outlineLevel="0" collapsed="false">
      <c r="A608" s="184" t="str">
        <f aca="false">IF(ISBLANK(B608),"",B608&amp;"|"&amp;C608)</f>
        <v/>
      </c>
      <c r="B608" s="184"/>
      <c r="C608" s="184"/>
      <c r="D608" s="184"/>
      <c r="E608" s="189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</row>
    <row r="609" customFormat="false" ht="15.75" hidden="false" customHeight="false" outlineLevel="0" collapsed="false">
      <c r="A609" s="184" t="str">
        <f aca="false">IF(ISBLANK(B609),"",B609&amp;"|"&amp;C609)</f>
        <v/>
      </c>
      <c r="B609" s="184"/>
      <c r="C609" s="184"/>
      <c r="D609" s="184"/>
      <c r="E609" s="189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</row>
    <row r="610" customFormat="false" ht="15.75" hidden="false" customHeight="false" outlineLevel="0" collapsed="false">
      <c r="A610" s="184" t="str">
        <f aca="false">IF(ISBLANK(B610),"",B610&amp;"|"&amp;C610)</f>
        <v/>
      </c>
      <c r="B610" s="184"/>
      <c r="C610" s="184"/>
      <c r="D610" s="184"/>
      <c r="E610" s="189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</row>
    <row r="611" customFormat="false" ht="15.75" hidden="false" customHeight="false" outlineLevel="0" collapsed="false">
      <c r="A611" s="184" t="str">
        <f aca="false">IF(ISBLANK(B611),"",B611&amp;"|"&amp;C611)</f>
        <v/>
      </c>
      <c r="B611" s="184"/>
      <c r="C611" s="184"/>
      <c r="D611" s="184"/>
      <c r="E611" s="189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</row>
    <row r="612" customFormat="false" ht="15.75" hidden="false" customHeight="false" outlineLevel="0" collapsed="false">
      <c r="A612" s="184" t="str">
        <f aca="false">IF(ISBLANK(B612),"",B612&amp;"|"&amp;C612)</f>
        <v/>
      </c>
      <c r="B612" s="184"/>
      <c r="C612" s="184"/>
      <c r="D612" s="184"/>
      <c r="E612" s="189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</row>
    <row r="613" customFormat="false" ht="15.75" hidden="false" customHeight="false" outlineLevel="0" collapsed="false">
      <c r="A613" s="184" t="str">
        <f aca="false">IF(ISBLANK(B613),"",B613&amp;"|"&amp;C613)</f>
        <v/>
      </c>
      <c r="B613" s="184"/>
      <c r="C613" s="184"/>
      <c r="D613" s="184"/>
      <c r="E613" s="189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</row>
    <row r="614" customFormat="false" ht="15.75" hidden="false" customHeight="false" outlineLevel="0" collapsed="false">
      <c r="A614" s="184" t="str">
        <f aca="false">IF(ISBLANK(B614),"",B614&amp;"|"&amp;C614)</f>
        <v/>
      </c>
      <c r="B614" s="184"/>
      <c r="C614" s="184"/>
      <c r="D614" s="184"/>
      <c r="E614" s="189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</row>
    <row r="615" customFormat="false" ht="15.75" hidden="false" customHeight="false" outlineLevel="0" collapsed="false">
      <c r="A615" s="184" t="str">
        <f aca="false">IF(ISBLANK(B615),"",B615&amp;"|"&amp;C615)</f>
        <v/>
      </c>
      <c r="B615" s="184"/>
      <c r="C615" s="184"/>
      <c r="D615" s="184"/>
      <c r="E615" s="189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</row>
    <row r="616" customFormat="false" ht="15.75" hidden="false" customHeight="false" outlineLevel="0" collapsed="false">
      <c r="A616" s="184" t="str">
        <f aca="false">IF(ISBLANK(B616),"",B616&amp;"|"&amp;C616)</f>
        <v/>
      </c>
      <c r="B616" s="184"/>
      <c r="C616" s="184"/>
      <c r="D616" s="184"/>
      <c r="E616" s="189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</row>
    <row r="617" customFormat="false" ht="15.75" hidden="false" customHeight="false" outlineLevel="0" collapsed="false">
      <c r="A617" s="184" t="str">
        <f aca="false">IF(ISBLANK(B617),"",B617&amp;"|"&amp;C617)</f>
        <v/>
      </c>
      <c r="B617" s="184"/>
      <c r="C617" s="184"/>
      <c r="D617" s="184"/>
      <c r="E617" s="189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</row>
    <row r="618" customFormat="false" ht="15.75" hidden="false" customHeight="false" outlineLevel="0" collapsed="false">
      <c r="A618" s="184" t="str">
        <f aca="false">IF(ISBLANK(B618),"",B618&amp;"|"&amp;C618)</f>
        <v/>
      </c>
      <c r="B618" s="184"/>
      <c r="C618" s="184"/>
      <c r="D618" s="184"/>
      <c r="E618" s="189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</row>
    <row r="619" customFormat="false" ht="15.75" hidden="false" customHeight="false" outlineLevel="0" collapsed="false">
      <c r="A619" s="184" t="str">
        <f aca="false">IF(ISBLANK(B619),"",B619&amp;"|"&amp;C619)</f>
        <v/>
      </c>
      <c r="B619" s="184"/>
      <c r="C619" s="184"/>
      <c r="D619" s="184"/>
      <c r="E619" s="189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</row>
    <row r="620" customFormat="false" ht="15.75" hidden="false" customHeight="false" outlineLevel="0" collapsed="false">
      <c r="A620" s="184" t="str">
        <f aca="false">IF(ISBLANK(B620),"",B620&amp;"|"&amp;C620)</f>
        <v/>
      </c>
      <c r="B620" s="184"/>
      <c r="C620" s="184"/>
      <c r="D620" s="184"/>
      <c r="E620" s="189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</row>
    <row r="621" customFormat="false" ht="15.75" hidden="false" customHeight="false" outlineLevel="0" collapsed="false">
      <c r="A621" s="184" t="str">
        <f aca="false">IF(ISBLANK(B621),"",B621&amp;"|"&amp;C621)</f>
        <v/>
      </c>
      <c r="B621" s="184"/>
      <c r="C621" s="184"/>
      <c r="D621" s="184"/>
      <c r="E621" s="189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</row>
    <row r="622" customFormat="false" ht="15.75" hidden="false" customHeight="false" outlineLevel="0" collapsed="false">
      <c r="A622" s="184" t="str">
        <f aca="false">IF(ISBLANK(B622),"",B622&amp;"|"&amp;C622)</f>
        <v/>
      </c>
      <c r="B622" s="184"/>
      <c r="C622" s="184"/>
      <c r="D622" s="184"/>
      <c r="E622" s="189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</row>
    <row r="623" customFormat="false" ht="15.75" hidden="false" customHeight="false" outlineLevel="0" collapsed="false">
      <c r="A623" s="184" t="str">
        <f aca="false">IF(ISBLANK(B623),"",B623&amp;"|"&amp;C623)</f>
        <v/>
      </c>
      <c r="B623" s="184"/>
      <c r="C623" s="184"/>
      <c r="D623" s="184"/>
      <c r="E623" s="189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</row>
    <row r="624" customFormat="false" ht="15.75" hidden="false" customHeight="false" outlineLevel="0" collapsed="false">
      <c r="A624" s="184" t="str">
        <f aca="false">IF(ISBLANK(B624),"",B624&amp;"|"&amp;C624)</f>
        <v/>
      </c>
      <c r="B624" s="184"/>
      <c r="C624" s="184"/>
      <c r="D624" s="184"/>
      <c r="E624" s="189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</row>
    <row r="625" customFormat="false" ht="15.75" hidden="false" customHeight="false" outlineLevel="0" collapsed="false">
      <c r="A625" s="184" t="str">
        <f aca="false">IF(ISBLANK(B625),"",B625&amp;"|"&amp;C625)</f>
        <v/>
      </c>
      <c r="B625" s="184"/>
      <c r="C625" s="184"/>
      <c r="D625" s="184"/>
      <c r="E625" s="189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</row>
    <row r="626" customFormat="false" ht="15.75" hidden="false" customHeight="false" outlineLevel="0" collapsed="false">
      <c r="A626" s="184" t="str">
        <f aca="false">IF(ISBLANK(B626),"",B626&amp;"|"&amp;C626)</f>
        <v/>
      </c>
      <c r="B626" s="184"/>
      <c r="C626" s="184"/>
      <c r="D626" s="184"/>
      <c r="E626" s="189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</row>
    <row r="627" customFormat="false" ht="15.75" hidden="false" customHeight="false" outlineLevel="0" collapsed="false">
      <c r="A627" s="184" t="str">
        <f aca="false">IF(ISBLANK(B627),"",B627&amp;"|"&amp;C627)</f>
        <v/>
      </c>
      <c r="B627" s="184"/>
      <c r="C627" s="184"/>
      <c r="D627" s="184"/>
      <c r="E627" s="189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</row>
    <row r="628" customFormat="false" ht="15.75" hidden="false" customHeight="false" outlineLevel="0" collapsed="false">
      <c r="A628" s="184" t="str">
        <f aca="false">IF(ISBLANK(B628),"",B628&amp;"|"&amp;C628)</f>
        <v/>
      </c>
      <c r="B628" s="184"/>
      <c r="C628" s="184"/>
      <c r="D628" s="184"/>
      <c r="E628" s="189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</row>
    <row r="629" customFormat="false" ht="15.75" hidden="false" customHeight="false" outlineLevel="0" collapsed="false">
      <c r="A629" s="184" t="str">
        <f aca="false">IF(ISBLANK(B629),"",B629&amp;"|"&amp;C629)</f>
        <v/>
      </c>
      <c r="B629" s="184"/>
      <c r="C629" s="184"/>
      <c r="D629" s="184"/>
      <c r="E629" s="189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</row>
    <row r="630" customFormat="false" ht="15.75" hidden="false" customHeight="false" outlineLevel="0" collapsed="false">
      <c r="A630" s="184" t="str">
        <f aca="false">IF(ISBLANK(B630),"",B630&amp;"|"&amp;C630)</f>
        <v/>
      </c>
      <c r="B630" s="184"/>
      <c r="C630" s="184"/>
      <c r="D630" s="184"/>
      <c r="E630" s="189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</row>
    <row r="631" customFormat="false" ht="15.75" hidden="false" customHeight="false" outlineLevel="0" collapsed="false">
      <c r="A631" s="184" t="str">
        <f aca="false">IF(ISBLANK(B631),"",B631&amp;"|"&amp;C631)</f>
        <v/>
      </c>
      <c r="B631" s="184"/>
      <c r="C631" s="184"/>
      <c r="D631" s="184"/>
      <c r="E631" s="189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</row>
    <row r="632" customFormat="false" ht="15.75" hidden="false" customHeight="false" outlineLevel="0" collapsed="false">
      <c r="A632" s="184" t="str">
        <f aca="false">IF(ISBLANK(B632),"",B632&amp;"|"&amp;C632)</f>
        <v/>
      </c>
      <c r="B632" s="184"/>
      <c r="C632" s="184"/>
      <c r="D632" s="184"/>
      <c r="E632" s="189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</row>
    <row r="633" customFormat="false" ht="15.75" hidden="false" customHeight="false" outlineLevel="0" collapsed="false">
      <c r="A633" s="184" t="str">
        <f aca="false">IF(ISBLANK(B633),"",B633&amp;"|"&amp;C633)</f>
        <v/>
      </c>
      <c r="B633" s="184"/>
      <c r="C633" s="184"/>
      <c r="D633" s="184"/>
      <c r="E633" s="189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</row>
    <row r="634" customFormat="false" ht="15.75" hidden="false" customHeight="false" outlineLevel="0" collapsed="false">
      <c r="A634" s="184" t="str">
        <f aca="false">IF(ISBLANK(B634),"",B634&amp;"|"&amp;C634)</f>
        <v/>
      </c>
      <c r="B634" s="184"/>
      <c r="C634" s="184"/>
      <c r="D634" s="184"/>
      <c r="E634" s="189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</row>
    <row r="635" customFormat="false" ht="15.75" hidden="false" customHeight="false" outlineLevel="0" collapsed="false">
      <c r="A635" s="184" t="str">
        <f aca="false">IF(ISBLANK(B635),"",B635&amp;"|"&amp;C635)</f>
        <v/>
      </c>
      <c r="B635" s="184"/>
      <c r="C635" s="184"/>
      <c r="D635" s="184"/>
      <c r="E635" s="189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</row>
    <row r="636" customFormat="false" ht="15.75" hidden="false" customHeight="false" outlineLevel="0" collapsed="false">
      <c r="A636" s="184" t="str">
        <f aca="false">IF(ISBLANK(B636),"",B636&amp;"|"&amp;C636)</f>
        <v/>
      </c>
      <c r="B636" s="184"/>
      <c r="C636" s="184"/>
      <c r="D636" s="184"/>
      <c r="E636" s="189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</row>
    <row r="637" customFormat="false" ht="15.75" hidden="false" customHeight="false" outlineLevel="0" collapsed="false">
      <c r="A637" s="184" t="str">
        <f aca="false">IF(ISBLANK(B637),"",B637&amp;"|"&amp;C637)</f>
        <v/>
      </c>
      <c r="B637" s="184"/>
      <c r="C637" s="184"/>
      <c r="D637" s="184"/>
      <c r="E637" s="189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</row>
    <row r="638" customFormat="false" ht="15.75" hidden="false" customHeight="false" outlineLevel="0" collapsed="false">
      <c r="A638" s="184" t="str">
        <f aca="false">IF(ISBLANK(B638),"",B638&amp;"|"&amp;C638)</f>
        <v/>
      </c>
      <c r="B638" s="184"/>
      <c r="C638" s="184"/>
      <c r="D638" s="184"/>
      <c r="E638" s="189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</row>
    <row r="639" customFormat="false" ht="15.75" hidden="false" customHeight="false" outlineLevel="0" collapsed="false">
      <c r="A639" s="184" t="str">
        <f aca="false">IF(ISBLANK(B639),"",B639&amp;"|"&amp;C639)</f>
        <v/>
      </c>
      <c r="B639" s="184"/>
      <c r="C639" s="184"/>
      <c r="D639" s="184"/>
      <c r="E639" s="189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</row>
    <row r="640" customFormat="false" ht="15.75" hidden="false" customHeight="false" outlineLevel="0" collapsed="false">
      <c r="A640" s="184" t="str">
        <f aca="false">IF(ISBLANK(B640),"",B640&amp;"|"&amp;C640)</f>
        <v/>
      </c>
      <c r="B640" s="184"/>
      <c r="C640" s="184"/>
      <c r="D640" s="184"/>
      <c r="E640" s="189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</row>
    <row r="641" customFormat="false" ht="15.75" hidden="false" customHeight="false" outlineLevel="0" collapsed="false">
      <c r="A641" s="184" t="str">
        <f aca="false">IF(ISBLANK(B641),"",B641&amp;"|"&amp;C641)</f>
        <v/>
      </c>
      <c r="B641" s="184"/>
      <c r="C641" s="184"/>
      <c r="D641" s="184"/>
      <c r="E641" s="189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</row>
    <row r="642" customFormat="false" ht="15.75" hidden="false" customHeight="false" outlineLevel="0" collapsed="false">
      <c r="A642" s="184" t="str">
        <f aca="false">IF(ISBLANK(B642),"",B642&amp;"|"&amp;C642)</f>
        <v/>
      </c>
      <c r="B642" s="184"/>
      <c r="C642" s="184"/>
      <c r="D642" s="184"/>
      <c r="E642" s="189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</row>
    <row r="643" customFormat="false" ht="15.75" hidden="false" customHeight="false" outlineLevel="0" collapsed="false">
      <c r="A643" s="184" t="str">
        <f aca="false">IF(ISBLANK(B643),"",B643&amp;"|"&amp;C643)</f>
        <v/>
      </c>
      <c r="B643" s="184"/>
      <c r="C643" s="184"/>
      <c r="D643" s="184"/>
      <c r="E643" s="189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</row>
    <row r="644" customFormat="false" ht="15.75" hidden="false" customHeight="false" outlineLevel="0" collapsed="false">
      <c r="A644" s="184" t="str">
        <f aca="false">IF(ISBLANK(B644),"",B644&amp;"|"&amp;C644)</f>
        <v/>
      </c>
      <c r="B644" s="184"/>
      <c r="C644" s="184"/>
      <c r="D644" s="184"/>
      <c r="E644" s="189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</row>
    <row r="645" customFormat="false" ht="15.75" hidden="false" customHeight="false" outlineLevel="0" collapsed="false">
      <c r="A645" s="184" t="str">
        <f aca="false">IF(ISBLANK(B645),"",B645&amp;"|"&amp;C645)</f>
        <v/>
      </c>
      <c r="B645" s="184"/>
      <c r="C645" s="184"/>
      <c r="D645" s="184"/>
      <c r="E645" s="189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</row>
    <row r="646" customFormat="false" ht="15.75" hidden="false" customHeight="false" outlineLevel="0" collapsed="false">
      <c r="A646" s="184" t="str">
        <f aca="false">IF(ISBLANK(B646),"",B646&amp;"|"&amp;C646)</f>
        <v/>
      </c>
      <c r="B646" s="184"/>
      <c r="C646" s="184"/>
      <c r="D646" s="184"/>
      <c r="E646" s="189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</row>
    <row r="647" customFormat="false" ht="15.75" hidden="false" customHeight="false" outlineLevel="0" collapsed="false">
      <c r="A647" s="184" t="str">
        <f aca="false">IF(ISBLANK(B647),"",B647&amp;"|"&amp;C647)</f>
        <v/>
      </c>
      <c r="B647" s="184"/>
      <c r="C647" s="184"/>
      <c r="D647" s="184"/>
      <c r="E647" s="189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</row>
    <row r="648" customFormat="false" ht="15.75" hidden="false" customHeight="false" outlineLevel="0" collapsed="false">
      <c r="A648" s="184" t="str">
        <f aca="false">IF(ISBLANK(B648),"",B648&amp;"|"&amp;C648)</f>
        <v/>
      </c>
      <c r="B648" s="184"/>
      <c r="C648" s="184"/>
      <c r="D648" s="184"/>
      <c r="E648" s="189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</row>
    <row r="649" customFormat="false" ht="15.75" hidden="false" customHeight="false" outlineLevel="0" collapsed="false">
      <c r="A649" s="184" t="str">
        <f aca="false">IF(ISBLANK(B649),"",B649&amp;"|"&amp;C649)</f>
        <v/>
      </c>
      <c r="B649" s="184"/>
      <c r="C649" s="184"/>
      <c r="D649" s="184"/>
      <c r="E649" s="189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</row>
    <row r="650" customFormat="false" ht="15.75" hidden="false" customHeight="false" outlineLevel="0" collapsed="false">
      <c r="A650" s="184" t="str">
        <f aca="false">IF(ISBLANK(B650),"",B650&amp;"|"&amp;C650)</f>
        <v/>
      </c>
      <c r="B650" s="184"/>
      <c r="C650" s="184"/>
      <c r="D650" s="184"/>
      <c r="E650" s="189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</row>
    <row r="651" customFormat="false" ht="15.75" hidden="false" customHeight="false" outlineLevel="0" collapsed="false">
      <c r="A651" s="184" t="str">
        <f aca="false">IF(ISBLANK(B651),"",B651&amp;"|"&amp;C651)</f>
        <v/>
      </c>
      <c r="B651" s="184"/>
      <c r="C651" s="184"/>
      <c r="D651" s="184"/>
      <c r="E651" s="189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</row>
    <row r="652" customFormat="false" ht="15.75" hidden="false" customHeight="false" outlineLevel="0" collapsed="false">
      <c r="A652" s="184" t="str">
        <f aca="false">IF(ISBLANK(B652),"",B652&amp;"|"&amp;C652)</f>
        <v/>
      </c>
      <c r="B652" s="184"/>
      <c r="C652" s="184"/>
      <c r="D652" s="184"/>
      <c r="E652" s="189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</row>
    <row r="653" customFormat="false" ht="15.75" hidden="false" customHeight="false" outlineLevel="0" collapsed="false">
      <c r="A653" s="184" t="str">
        <f aca="false">IF(ISBLANK(B653),"",B653&amp;"|"&amp;C653)</f>
        <v/>
      </c>
      <c r="B653" s="184"/>
      <c r="C653" s="184"/>
      <c r="D653" s="184"/>
      <c r="E653" s="189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</row>
    <row r="654" customFormat="false" ht="15.75" hidden="false" customHeight="false" outlineLevel="0" collapsed="false">
      <c r="A654" s="184" t="str">
        <f aca="false">IF(ISBLANK(B654),"",B654&amp;"|"&amp;C654)</f>
        <v/>
      </c>
      <c r="B654" s="184"/>
      <c r="C654" s="184"/>
      <c r="D654" s="184"/>
      <c r="E654" s="189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</row>
    <row r="655" customFormat="false" ht="15.75" hidden="false" customHeight="false" outlineLevel="0" collapsed="false">
      <c r="A655" s="184" t="str">
        <f aca="false">IF(ISBLANK(B655),"",B655&amp;"|"&amp;C655)</f>
        <v/>
      </c>
      <c r="B655" s="184"/>
      <c r="C655" s="184"/>
      <c r="D655" s="184"/>
      <c r="E655" s="189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</row>
    <row r="656" customFormat="false" ht="15.75" hidden="false" customHeight="false" outlineLevel="0" collapsed="false">
      <c r="A656" s="184" t="str">
        <f aca="false">IF(ISBLANK(B656),"",B656&amp;"|"&amp;C656)</f>
        <v/>
      </c>
      <c r="B656" s="184"/>
      <c r="C656" s="184"/>
      <c r="D656" s="184"/>
      <c r="E656" s="189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</row>
    <row r="657" customFormat="false" ht="15.75" hidden="false" customHeight="false" outlineLevel="0" collapsed="false">
      <c r="A657" s="184" t="str">
        <f aca="false">IF(ISBLANK(B657),"",B657&amp;"|"&amp;C657)</f>
        <v/>
      </c>
      <c r="B657" s="184"/>
      <c r="C657" s="184"/>
      <c r="D657" s="184"/>
      <c r="E657" s="189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</row>
    <row r="658" customFormat="false" ht="15.75" hidden="false" customHeight="false" outlineLevel="0" collapsed="false">
      <c r="A658" s="184" t="str">
        <f aca="false">IF(ISBLANK(B658),"",B658&amp;"|"&amp;C658)</f>
        <v/>
      </c>
      <c r="B658" s="184"/>
      <c r="C658" s="184"/>
      <c r="D658" s="184"/>
      <c r="E658" s="189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</row>
    <row r="659" customFormat="false" ht="15.75" hidden="false" customHeight="false" outlineLevel="0" collapsed="false">
      <c r="A659" s="184" t="str">
        <f aca="false">IF(ISBLANK(B659),"",B659&amp;"|"&amp;C659)</f>
        <v/>
      </c>
      <c r="B659" s="184"/>
      <c r="C659" s="184"/>
      <c r="D659" s="184"/>
      <c r="E659" s="189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</row>
    <row r="660" customFormat="false" ht="15.75" hidden="false" customHeight="false" outlineLevel="0" collapsed="false">
      <c r="A660" s="184" t="str">
        <f aca="false">IF(ISBLANK(B660),"",B660&amp;"|"&amp;C660)</f>
        <v/>
      </c>
      <c r="B660" s="184"/>
      <c r="C660" s="184"/>
      <c r="D660" s="184"/>
      <c r="E660" s="189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</row>
    <row r="661" customFormat="false" ht="15.75" hidden="false" customHeight="false" outlineLevel="0" collapsed="false">
      <c r="A661" s="184" t="str">
        <f aca="false">IF(ISBLANK(B661),"",B661&amp;"|"&amp;C661)</f>
        <v/>
      </c>
      <c r="B661" s="184"/>
      <c r="C661" s="184"/>
      <c r="D661" s="184"/>
      <c r="E661" s="189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</row>
    <row r="662" customFormat="false" ht="15.75" hidden="false" customHeight="false" outlineLevel="0" collapsed="false">
      <c r="A662" s="184" t="str">
        <f aca="false">IF(ISBLANK(B662),"",B662&amp;"|"&amp;C662)</f>
        <v/>
      </c>
      <c r="B662" s="184"/>
      <c r="C662" s="184"/>
      <c r="D662" s="184"/>
      <c r="E662" s="189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</row>
    <row r="663" customFormat="false" ht="15.75" hidden="false" customHeight="false" outlineLevel="0" collapsed="false">
      <c r="A663" s="184" t="str">
        <f aca="false">IF(ISBLANK(B663),"",B663&amp;"|"&amp;C663)</f>
        <v/>
      </c>
      <c r="B663" s="184"/>
      <c r="C663" s="184"/>
      <c r="D663" s="184"/>
      <c r="E663" s="189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</row>
    <row r="664" customFormat="false" ht="15.75" hidden="false" customHeight="false" outlineLevel="0" collapsed="false">
      <c r="A664" s="184" t="str">
        <f aca="false">IF(ISBLANK(B664),"",B664&amp;"|"&amp;C664)</f>
        <v/>
      </c>
      <c r="B664" s="184"/>
      <c r="C664" s="184"/>
      <c r="D664" s="184"/>
      <c r="E664" s="189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</row>
    <row r="665" customFormat="false" ht="15.75" hidden="false" customHeight="false" outlineLevel="0" collapsed="false">
      <c r="A665" s="184" t="str">
        <f aca="false">IF(ISBLANK(B665),"",B665&amp;"|"&amp;C665)</f>
        <v/>
      </c>
      <c r="B665" s="184"/>
      <c r="C665" s="184"/>
      <c r="D665" s="184"/>
      <c r="E665" s="189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</row>
    <row r="666" customFormat="false" ht="15.75" hidden="false" customHeight="false" outlineLevel="0" collapsed="false">
      <c r="A666" s="184" t="str">
        <f aca="false">IF(ISBLANK(B666),"",B666&amp;"|"&amp;C666)</f>
        <v/>
      </c>
      <c r="B666" s="184"/>
      <c r="C666" s="184"/>
      <c r="D666" s="184"/>
      <c r="E666" s="189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</row>
    <row r="667" customFormat="false" ht="15.75" hidden="false" customHeight="false" outlineLevel="0" collapsed="false">
      <c r="A667" s="184" t="str">
        <f aca="false">IF(ISBLANK(B667),"",B667&amp;"|"&amp;C667)</f>
        <v/>
      </c>
      <c r="B667" s="184"/>
      <c r="C667" s="184"/>
      <c r="D667" s="184"/>
      <c r="E667" s="189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</row>
    <row r="668" customFormat="false" ht="15.75" hidden="false" customHeight="false" outlineLevel="0" collapsed="false">
      <c r="A668" s="184" t="str">
        <f aca="false">IF(ISBLANK(B668),"",B668&amp;"|"&amp;C668)</f>
        <v/>
      </c>
      <c r="B668" s="184"/>
      <c r="C668" s="184"/>
      <c r="D668" s="184"/>
      <c r="E668" s="189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</row>
    <row r="669" customFormat="false" ht="15.75" hidden="false" customHeight="false" outlineLevel="0" collapsed="false">
      <c r="A669" s="184" t="str">
        <f aca="false">IF(ISBLANK(B669),"",B669&amp;"|"&amp;C669)</f>
        <v/>
      </c>
      <c r="B669" s="184"/>
      <c r="C669" s="184"/>
      <c r="D669" s="184"/>
      <c r="E669" s="189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</row>
    <row r="670" customFormat="false" ht="15.75" hidden="false" customHeight="false" outlineLevel="0" collapsed="false">
      <c r="A670" s="184" t="str">
        <f aca="false">IF(ISBLANK(B670),"",B670&amp;"|"&amp;C670)</f>
        <v/>
      </c>
      <c r="B670" s="184"/>
      <c r="C670" s="184"/>
      <c r="D670" s="184"/>
      <c r="E670" s="189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</row>
    <row r="671" customFormat="false" ht="15.75" hidden="false" customHeight="false" outlineLevel="0" collapsed="false">
      <c r="A671" s="184" t="str">
        <f aca="false">IF(ISBLANK(B671),"",B671&amp;"|"&amp;C671)</f>
        <v/>
      </c>
      <c r="B671" s="184"/>
      <c r="C671" s="184"/>
      <c r="D671" s="184"/>
      <c r="E671" s="189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</row>
    <row r="672" customFormat="false" ht="15.75" hidden="false" customHeight="false" outlineLevel="0" collapsed="false">
      <c r="A672" s="184" t="str">
        <f aca="false">IF(ISBLANK(B672),"",B672&amp;"|"&amp;C672)</f>
        <v/>
      </c>
      <c r="B672" s="184"/>
      <c r="C672" s="184"/>
      <c r="D672" s="184"/>
      <c r="E672" s="189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</row>
    <row r="673" customFormat="false" ht="15.75" hidden="false" customHeight="false" outlineLevel="0" collapsed="false">
      <c r="A673" s="184" t="str">
        <f aca="false">IF(ISBLANK(B673),"",B673&amp;"|"&amp;C673)</f>
        <v/>
      </c>
      <c r="B673" s="184"/>
      <c r="C673" s="184"/>
      <c r="D673" s="184"/>
      <c r="E673" s="189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</row>
    <row r="674" customFormat="false" ht="15.75" hidden="false" customHeight="false" outlineLevel="0" collapsed="false">
      <c r="A674" s="184" t="str">
        <f aca="false">IF(ISBLANK(B674),"",B674&amp;"|"&amp;C674)</f>
        <v/>
      </c>
      <c r="B674" s="184"/>
      <c r="C674" s="184"/>
      <c r="D674" s="184"/>
      <c r="E674" s="189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</row>
    <row r="675" customFormat="false" ht="15.75" hidden="false" customHeight="false" outlineLevel="0" collapsed="false">
      <c r="A675" s="184" t="str">
        <f aca="false">IF(ISBLANK(B675),"",B675&amp;"|"&amp;C675)</f>
        <v/>
      </c>
      <c r="B675" s="184"/>
      <c r="C675" s="184"/>
      <c r="D675" s="184"/>
      <c r="E675" s="189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</row>
    <row r="676" customFormat="false" ht="15.75" hidden="false" customHeight="false" outlineLevel="0" collapsed="false">
      <c r="A676" s="184" t="str">
        <f aca="false">IF(ISBLANK(B676),"",B676&amp;"|"&amp;C676)</f>
        <v/>
      </c>
      <c r="B676" s="184"/>
      <c r="C676" s="184"/>
      <c r="D676" s="184"/>
      <c r="E676" s="189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</row>
    <row r="677" customFormat="false" ht="15.75" hidden="false" customHeight="false" outlineLevel="0" collapsed="false">
      <c r="A677" s="184" t="str">
        <f aca="false">IF(ISBLANK(B677),"",B677&amp;"|"&amp;C677)</f>
        <v/>
      </c>
      <c r="B677" s="184"/>
      <c r="C677" s="184"/>
      <c r="D677" s="184"/>
      <c r="E677" s="189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</row>
    <row r="678" customFormat="false" ht="15.75" hidden="false" customHeight="false" outlineLevel="0" collapsed="false">
      <c r="A678" s="184" t="str">
        <f aca="false">IF(ISBLANK(B678),"",B678&amp;"|"&amp;C678)</f>
        <v/>
      </c>
      <c r="B678" s="184"/>
      <c r="C678" s="184"/>
      <c r="D678" s="184"/>
      <c r="E678" s="189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</row>
    <row r="679" customFormat="false" ht="15.75" hidden="false" customHeight="false" outlineLevel="0" collapsed="false">
      <c r="A679" s="184" t="str">
        <f aca="false">IF(ISBLANK(B679),"",B679&amp;"|"&amp;C679)</f>
        <v/>
      </c>
      <c r="B679" s="184"/>
      <c r="C679" s="184"/>
      <c r="D679" s="184"/>
      <c r="E679" s="189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</row>
    <row r="680" customFormat="false" ht="15.75" hidden="false" customHeight="false" outlineLevel="0" collapsed="false">
      <c r="A680" s="184" t="str">
        <f aca="false">IF(ISBLANK(B680),"",B680&amp;"|"&amp;C680)</f>
        <v/>
      </c>
      <c r="B680" s="184"/>
      <c r="C680" s="184"/>
      <c r="D680" s="184"/>
      <c r="E680" s="189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</row>
    <row r="681" customFormat="false" ht="15.75" hidden="false" customHeight="false" outlineLevel="0" collapsed="false">
      <c r="A681" s="184" t="str">
        <f aca="false">IF(ISBLANK(B681),"",B681&amp;"|"&amp;C681)</f>
        <v/>
      </c>
      <c r="B681" s="184"/>
      <c r="C681" s="184"/>
      <c r="D681" s="184"/>
      <c r="E681" s="189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</row>
    <row r="682" customFormat="false" ht="15.75" hidden="false" customHeight="false" outlineLevel="0" collapsed="false">
      <c r="A682" s="184" t="str">
        <f aca="false">IF(ISBLANK(B682),"",B682&amp;"|"&amp;C682)</f>
        <v/>
      </c>
      <c r="B682" s="184"/>
      <c r="C682" s="184"/>
      <c r="D682" s="184"/>
      <c r="E682" s="189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</row>
    <row r="683" customFormat="false" ht="15.75" hidden="false" customHeight="false" outlineLevel="0" collapsed="false">
      <c r="A683" s="184" t="str">
        <f aca="false">IF(ISBLANK(B683),"",B683&amp;"|"&amp;C683)</f>
        <v/>
      </c>
      <c r="B683" s="184"/>
      <c r="C683" s="184"/>
      <c r="D683" s="184"/>
      <c r="E683" s="189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</row>
    <row r="684" customFormat="false" ht="15.75" hidden="false" customHeight="false" outlineLevel="0" collapsed="false">
      <c r="A684" s="184" t="str">
        <f aca="false">IF(ISBLANK(B684),"",B684&amp;"|"&amp;C684)</f>
        <v/>
      </c>
      <c r="B684" s="184"/>
      <c r="C684" s="184"/>
      <c r="D684" s="184"/>
      <c r="E684" s="189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</row>
    <row r="685" customFormat="false" ht="15.75" hidden="false" customHeight="false" outlineLevel="0" collapsed="false">
      <c r="A685" s="184" t="str">
        <f aca="false">IF(ISBLANK(B685),"",B685&amp;"|"&amp;C685)</f>
        <v/>
      </c>
      <c r="B685" s="184"/>
      <c r="C685" s="184"/>
      <c r="D685" s="184"/>
      <c r="E685" s="189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</row>
    <row r="686" customFormat="false" ht="15.75" hidden="false" customHeight="false" outlineLevel="0" collapsed="false">
      <c r="A686" s="184" t="str">
        <f aca="false">IF(ISBLANK(B686),"",B686&amp;"|"&amp;C686)</f>
        <v/>
      </c>
      <c r="B686" s="184"/>
      <c r="C686" s="184"/>
      <c r="D686" s="184"/>
      <c r="E686" s="189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</row>
    <row r="687" customFormat="false" ht="15.75" hidden="false" customHeight="false" outlineLevel="0" collapsed="false">
      <c r="A687" s="184" t="str">
        <f aca="false">IF(ISBLANK(B687),"",B687&amp;"|"&amp;C687)</f>
        <v/>
      </c>
      <c r="B687" s="184"/>
      <c r="C687" s="184"/>
      <c r="D687" s="184"/>
      <c r="E687" s="189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</row>
    <row r="688" customFormat="false" ht="15.75" hidden="false" customHeight="false" outlineLevel="0" collapsed="false">
      <c r="A688" s="184" t="str">
        <f aca="false">IF(ISBLANK(B688),"",B688&amp;"|"&amp;C688)</f>
        <v/>
      </c>
      <c r="B688" s="184"/>
      <c r="C688" s="184"/>
      <c r="D688" s="184"/>
      <c r="E688" s="189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</row>
    <row r="689" customFormat="false" ht="15.75" hidden="false" customHeight="false" outlineLevel="0" collapsed="false">
      <c r="A689" s="184" t="str">
        <f aca="false">IF(ISBLANK(B689),"",B689&amp;"|"&amp;C689)</f>
        <v/>
      </c>
      <c r="B689" s="184"/>
      <c r="C689" s="184"/>
      <c r="D689" s="184"/>
      <c r="E689" s="189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</row>
    <row r="690" customFormat="false" ht="15.75" hidden="false" customHeight="false" outlineLevel="0" collapsed="false">
      <c r="A690" s="184" t="str">
        <f aca="false">IF(ISBLANK(B690),"",B690&amp;"|"&amp;C690)</f>
        <v/>
      </c>
      <c r="B690" s="184"/>
      <c r="C690" s="184"/>
      <c r="D690" s="184"/>
      <c r="E690" s="189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</row>
    <row r="691" customFormat="false" ht="15.75" hidden="false" customHeight="false" outlineLevel="0" collapsed="false">
      <c r="A691" s="184" t="str">
        <f aca="false">IF(ISBLANK(B691),"",B691&amp;"|"&amp;C691)</f>
        <v/>
      </c>
      <c r="B691" s="184"/>
      <c r="C691" s="184"/>
      <c r="D691" s="184"/>
      <c r="E691" s="189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</row>
    <row r="692" customFormat="false" ht="15.75" hidden="false" customHeight="false" outlineLevel="0" collapsed="false">
      <c r="A692" s="184" t="str">
        <f aca="false">IF(ISBLANK(B692),"",B692&amp;"|"&amp;C692)</f>
        <v/>
      </c>
      <c r="B692" s="184"/>
      <c r="C692" s="184"/>
      <c r="D692" s="184"/>
      <c r="E692" s="189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</row>
    <row r="693" customFormat="false" ht="15.75" hidden="false" customHeight="false" outlineLevel="0" collapsed="false">
      <c r="A693" s="184" t="str">
        <f aca="false">IF(ISBLANK(B693),"",B693&amp;"|"&amp;C693)</f>
        <v/>
      </c>
      <c r="B693" s="184"/>
      <c r="C693" s="184"/>
      <c r="D693" s="184"/>
      <c r="E693" s="189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</row>
    <row r="694" customFormat="false" ht="15.75" hidden="false" customHeight="false" outlineLevel="0" collapsed="false">
      <c r="A694" s="184" t="str">
        <f aca="false">IF(ISBLANK(B694),"",B694&amp;"|"&amp;C694)</f>
        <v/>
      </c>
      <c r="B694" s="184"/>
      <c r="C694" s="184"/>
      <c r="D694" s="184"/>
      <c r="E694" s="189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</row>
    <row r="695" customFormat="false" ht="15.75" hidden="false" customHeight="false" outlineLevel="0" collapsed="false">
      <c r="A695" s="184" t="str">
        <f aca="false">IF(ISBLANK(B695),"",B695&amp;"|"&amp;C695)</f>
        <v/>
      </c>
      <c r="B695" s="184"/>
      <c r="C695" s="184"/>
      <c r="D695" s="184"/>
      <c r="E695" s="189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</row>
    <row r="696" customFormat="false" ht="15.75" hidden="false" customHeight="false" outlineLevel="0" collapsed="false">
      <c r="A696" s="184" t="str">
        <f aca="false">IF(ISBLANK(B696),"",B696&amp;"|"&amp;C696)</f>
        <v/>
      </c>
      <c r="B696" s="184"/>
      <c r="C696" s="184"/>
      <c r="D696" s="184"/>
      <c r="E696" s="189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</row>
    <row r="697" customFormat="false" ht="15.75" hidden="false" customHeight="false" outlineLevel="0" collapsed="false">
      <c r="A697" s="184" t="str">
        <f aca="false">IF(ISBLANK(B697),"",B697&amp;"|"&amp;C697)</f>
        <v/>
      </c>
      <c r="B697" s="184"/>
      <c r="C697" s="184"/>
      <c r="D697" s="184"/>
      <c r="E697" s="189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</row>
    <row r="698" customFormat="false" ht="15.75" hidden="false" customHeight="false" outlineLevel="0" collapsed="false">
      <c r="A698" s="184" t="str">
        <f aca="false">IF(ISBLANK(B698),"",B698&amp;"|"&amp;C698)</f>
        <v/>
      </c>
      <c r="B698" s="184"/>
      <c r="C698" s="184"/>
      <c r="D698" s="184"/>
      <c r="E698" s="189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</row>
    <row r="699" customFormat="false" ht="15.75" hidden="false" customHeight="false" outlineLevel="0" collapsed="false">
      <c r="A699" s="184" t="str">
        <f aca="false">IF(ISBLANK(B699),"",B699&amp;"|"&amp;C699)</f>
        <v/>
      </c>
      <c r="B699" s="184"/>
      <c r="C699" s="184"/>
      <c r="D699" s="184"/>
      <c r="E699" s="189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</row>
    <row r="700" customFormat="false" ht="15.75" hidden="false" customHeight="false" outlineLevel="0" collapsed="false">
      <c r="A700" s="184" t="str">
        <f aca="false">IF(ISBLANK(B700),"",B700&amp;"|"&amp;C700)</f>
        <v/>
      </c>
      <c r="B700" s="184"/>
      <c r="C700" s="184"/>
      <c r="D700" s="184"/>
      <c r="E700" s="189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</row>
    <row r="701" customFormat="false" ht="15.75" hidden="false" customHeight="false" outlineLevel="0" collapsed="false">
      <c r="A701" s="184" t="str">
        <f aca="false">IF(ISBLANK(B701),"",B701&amp;"|"&amp;C701)</f>
        <v/>
      </c>
      <c r="B701" s="184"/>
      <c r="C701" s="184"/>
      <c r="D701" s="184"/>
      <c r="E701" s="189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</row>
    <row r="702" customFormat="false" ht="15.75" hidden="false" customHeight="false" outlineLevel="0" collapsed="false">
      <c r="A702" s="184" t="str">
        <f aca="false">IF(ISBLANK(B702),"",B702&amp;"|"&amp;C702)</f>
        <v/>
      </c>
      <c r="B702" s="184"/>
      <c r="C702" s="184"/>
      <c r="D702" s="184"/>
      <c r="E702" s="189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</row>
    <row r="703" customFormat="false" ht="15.75" hidden="false" customHeight="false" outlineLevel="0" collapsed="false">
      <c r="A703" s="184" t="str">
        <f aca="false">IF(ISBLANK(B703),"",B703&amp;"|"&amp;C703)</f>
        <v/>
      </c>
      <c r="B703" s="184"/>
      <c r="C703" s="184"/>
      <c r="D703" s="184"/>
      <c r="E703" s="189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</row>
    <row r="704" customFormat="false" ht="15.75" hidden="false" customHeight="false" outlineLevel="0" collapsed="false">
      <c r="A704" s="184" t="str">
        <f aca="false">IF(ISBLANK(B704),"",B704&amp;"|"&amp;C704)</f>
        <v/>
      </c>
      <c r="B704" s="184"/>
      <c r="C704" s="184"/>
      <c r="D704" s="184"/>
      <c r="E704" s="189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</row>
    <row r="705" customFormat="false" ht="15.75" hidden="false" customHeight="false" outlineLevel="0" collapsed="false">
      <c r="A705" s="184" t="str">
        <f aca="false">IF(ISBLANK(B705),"",B705&amp;"|"&amp;C705)</f>
        <v/>
      </c>
      <c r="B705" s="184"/>
      <c r="C705" s="184"/>
      <c r="D705" s="184"/>
      <c r="E705" s="189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</row>
    <row r="706" customFormat="false" ht="15.75" hidden="false" customHeight="false" outlineLevel="0" collapsed="false">
      <c r="A706" s="184" t="str">
        <f aca="false">IF(ISBLANK(B706),"",B706&amp;"|"&amp;C706)</f>
        <v/>
      </c>
      <c r="B706" s="184"/>
      <c r="C706" s="184"/>
      <c r="D706" s="184"/>
      <c r="E706" s="189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</row>
    <row r="707" customFormat="false" ht="15.75" hidden="false" customHeight="false" outlineLevel="0" collapsed="false">
      <c r="A707" s="184" t="str">
        <f aca="false">IF(ISBLANK(B707),"",B707&amp;"|"&amp;C707)</f>
        <v/>
      </c>
      <c r="B707" s="184"/>
      <c r="C707" s="184"/>
      <c r="D707" s="184"/>
      <c r="E707" s="189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</row>
    <row r="708" customFormat="false" ht="15.75" hidden="false" customHeight="false" outlineLevel="0" collapsed="false">
      <c r="A708" s="184" t="str">
        <f aca="false">IF(ISBLANK(B708),"",B708&amp;"|"&amp;C708)</f>
        <v/>
      </c>
      <c r="B708" s="184"/>
      <c r="C708" s="184"/>
      <c r="D708" s="184"/>
      <c r="E708" s="189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</row>
    <row r="709" customFormat="false" ht="15.75" hidden="false" customHeight="false" outlineLevel="0" collapsed="false">
      <c r="A709" s="184" t="str">
        <f aca="false">IF(ISBLANK(B709),"",B709&amp;"|"&amp;C709)</f>
        <v/>
      </c>
      <c r="B709" s="184"/>
      <c r="C709" s="184"/>
      <c r="D709" s="184"/>
      <c r="E709" s="189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</row>
    <row r="710" customFormat="false" ht="15.75" hidden="false" customHeight="false" outlineLevel="0" collapsed="false">
      <c r="A710" s="184" t="str">
        <f aca="false">IF(ISBLANK(B710),"",B710&amp;"|"&amp;C710)</f>
        <v/>
      </c>
      <c r="B710" s="184"/>
      <c r="C710" s="184"/>
      <c r="D710" s="184"/>
      <c r="E710" s="189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</row>
    <row r="711" customFormat="false" ht="15.75" hidden="false" customHeight="false" outlineLevel="0" collapsed="false">
      <c r="A711" s="184" t="str">
        <f aca="false">IF(ISBLANK(B711),"",B711&amp;"|"&amp;C711)</f>
        <v/>
      </c>
      <c r="B711" s="184"/>
      <c r="C711" s="184"/>
      <c r="D711" s="184"/>
      <c r="E711" s="189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</row>
    <row r="712" customFormat="false" ht="15.75" hidden="false" customHeight="false" outlineLevel="0" collapsed="false">
      <c r="A712" s="184" t="str">
        <f aca="false">IF(ISBLANK(B712),"",B712&amp;"|"&amp;C712)</f>
        <v/>
      </c>
      <c r="B712" s="184"/>
      <c r="C712" s="184"/>
      <c r="D712" s="184"/>
      <c r="E712" s="189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</row>
    <row r="713" customFormat="false" ht="15.75" hidden="false" customHeight="false" outlineLevel="0" collapsed="false">
      <c r="A713" s="184" t="str">
        <f aca="false">IF(ISBLANK(B713),"",B713&amp;"|"&amp;C713)</f>
        <v/>
      </c>
      <c r="B713" s="184"/>
      <c r="C713" s="184"/>
      <c r="D713" s="184"/>
      <c r="E713" s="189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</row>
    <row r="714" customFormat="false" ht="15.75" hidden="false" customHeight="false" outlineLevel="0" collapsed="false">
      <c r="A714" s="184" t="str">
        <f aca="false">IF(ISBLANK(B714),"",B714&amp;"|"&amp;C714)</f>
        <v/>
      </c>
      <c r="B714" s="184"/>
      <c r="C714" s="184"/>
      <c r="D714" s="184"/>
      <c r="E714" s="189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</row>
    <row r="715" customFormat="false" ht="15.75" hidden="false" customHeight="false" outlineLevel="0" collapsed="false">
      <c r="A715" s="184" t="str">
        <f aca="false">IF(ISBLANK(B715),"",B715&amp;"|"&amp;C715)</f>
        <v/>
      </c>
      <c r="B715" s="184"/>
      <c r="C715" s="184"/>
      <c r="D715" s="184"/>
      <c r="E715" s="189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</row>
    <row r="716" customFormat="false" ht="15.75" hidden="false" customHeight="false" outlineLevel="0" collapsed="false">
      <c r="A716" s="184" t="str">
        <f aca="false">IF(ISBLANK(B716),"",B716&amp;"|"&amp;C716)</f>
        <v/>
      </c>
      <c r="B716" s="184"/>
      <c r="C716" s="184"/>
      <c r="D716" s="184"/>
      <c r="E716" s="189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</row>
    <row r="717" customFormat="false" ht="15.75" hidden="false" customHeight="false" outlineLevel="0" collapsed="false">
      <c r="A717" s="184" t="str">
        <f aca="false">IF(ISBLANK(B717),"",B717&amp;"|"&amp;C717)</f>
        <v/>
      </c>
      <c r="B717" s="184"/>
      <c r="C717" s="184"/>
      <c r="D717" s="184"/>
      <c r="E717" s="189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</row>
    <row r="718" customFormat="false" ht="15.75" hidden="false" customHeight="false" outlineLevel="0" collapsed="false">
      <c r="A718" s="184" t="str">
        <f aca="false">IF(ISBLANK(B718),"",B718&amp;"|"&amp;C718)</f>
        <v/>
      </c>
      <c r="B718" s="184"/>
      <c r="C718" s="184"/>
      <c r="D718" s="184"/>
      <c r="E718" s="189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</row>
    <row r="719" customFormat="false" ht="15.75" hidden="false" customHeight="false" outlineLevel="0" collapsed="false">
      <c r="A719" s="184" t="str">
        <f aca="false">IF(ISBLANK(B719),"",B719&amp;"|"&amp;C719)</f>
        <v/>
      </c>
      <c r="B719" s="184"/>
      <c r="C719" s="184"/>
      <c r="D719" s="184"/>
      <c r="E719" s="189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</row>
    <row r="720" customFormat="false" ht="15.75" hidden="false" customHeight="false" outlineLevel="0" collapsed="false">
      <c r="A720" s="184" t="str">
        <f aca="false">IF(ISBLANK(B720),"",B720&amp;"|"&amp;C720)</f>
        <v/>
      </c>
      <c r="B720" s="184"/>
      <c r="C720" s="184"/>
      <c r="D720" s="184"/>
      <c r="E720" s="189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</row>
    <row r="721" customFormat="false" ht="15.75" hidden="false" customHeight="false" outlineLevel="0" collapsed="false">
      <c r="A721" s="184" t="str">
        <f aca="false">IF(ISBLANK(B721),"",B721&amp;"|"&amp;C721)</f>
        <v/>
      </c>
      <c r="B721" s="184"/>
      <c r="C721" s="184"/>
      <c r="D721" s="184"/>
      <c r="E721" s="189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</row>
    <row r="722" customFormat="false" ht="15.75" hidden="false" customHeight="false" outlineLevel="0" collapsed="false">
      <c r="A722" s="184" t="str">
        <f aca="false">IF(ISBLANK(B722),"",B722&amp;"|"&amp;C722)</f>
        <v/>
      </c>
      <c r="B722" s="184"/>
      <c r="C722" s="184"/>
      <c r="D722" s="184"/>
      <c r="E722" s="189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</row>
    <row r="723" customFormat="false" ht="15.75" hidden="false" customHeight="false" outlineLevel="0" collapsed="false">
      <c r="A723" s="184" t="str">
        <f aca="false">IF(ISBLANK(B723),"",B723&amp;"|"&amp;C723)</f>
        <v/>
      </c>
      <c r="B723" s="184"/>
      <c r="C723" s="184"/>
      <c r="D723" s="184"/>
      <c r="E723" s="189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</row>
    <row r="724" customFormat="false" ht="15.75" hidden="false" customHeight="false" outlineLevel="0" collapsed="false">
      <c r="A724" s="184" t="str">
        <f aca="false">IF(ISBLANK(B724),"",B724&amp;"|"&amp;C724)</f>
        <v/>
      </c>
      <c r="B724" s="184"/>
      <c r="C724" s="184"/>
      <c r="D724" s="184"/>
      <c r="E724" s="189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</row>
    <row r="725" customFormat="false" ht="15.75" hidden="false" customHeight="false" outlineLevel="0" collapsed="false">
      <c r="A725" s="184" t="str">
        <f aca="false">IF(ISBLANK(B725),"",B725&amp;"|"&amp;C725)</f>
        <v/>
      </c>
      <c r="B725" s="184"/>
      <c r="C725" s="184"/>
      <c r="D725" s="184"/>
      <c r="E725" s="189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</row>
    <row r="726" customFormat="false" ht="15.75" hidden="false" customHeight="false" outlineLevel="0" collapsed="false">
      <c r="A726" s="184" t="str">
        <f aca="false">IF(ISBLANK(B726),"",B726&amp;"|"&amp;C726)</f>
        <v/>
      </c>
      <c r="B726" s="184"/>
      <c r="C726" s="184"/>
      <c r="D726" s="184"/>
      <c r="E726" s="189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</row>
    <row r="727" customFormat="false" ht="15.75" hidden="false" customHeight="false" outlineLevel="0" collapsed="false">
      <c r="A727" s="184" t="str">
        <f aca="false">IF(ISBLANK(B727),"",B727&amp;"|"&amp;C727)</f>
        <v/>
      </c>
      <c r="B727" s="184"/>
      <c r="C727" s="184"/>
      <c r="D727" s="184"/>
      <c r="E727" s="189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</row>
    <row r="728" customFormat="false" ht="15.75" hidden="false" customHeight="false" outlineLevel="0" collapsed="false">
      <c r="A728" s="184" t="str">
        <f aca="false">IF(ISBLANK(B728),"",B728&amp;"|"&amp;C728)</f>
        <v/>
      </c>
      <c r="B728" s="184"/>
      <c r="C728" s="184"/>
      <c r="D728" s="184"/>
      <c r="E728" s="189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</row>
    <row r="729" customFormat="false" ht="15.75" hidden="false" customHeight="false" outlineLevel="0" collapsed="false">
      <c r="A729" s="184" t="str">
        <f aca="false">IF(ISBLANK(B729),"",B729&amp;"|"&amp;C729)</f>
        <v/>
      </c>
      <c r="B729" s="184"/>
      <c r="C729" s="184"/>
      <c r="D729" s="184"/>
      <c r="E729" s="189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</row>
    <row r="730" customFormat="false" ht="15.75" hidden="false" customHeight="false" outlineLevel="0" collapsed="false">
      <c r="A730" s="184" t="str">
        <f aca="false">IF(ISBLANK(B730),"",B730&amp;"|"&amp;C730)</f>
        <v/>
      </c>
      <c r="B730" s="184"/>
      <c r="C730" s="184"/>
      <c r="D730" s="184"/>
      <c r="E730" s="189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</row>
    <row r="731" customFormat="false" ht="15.75" hidden="false" customHeight="false" outlineLevel="0" collapsed="false">
      <c r="A731" s="184" t="str">
        <f aca="false">IF(ISBLANK(B731),"",B731&amp;"|"&amp;C731)</f>
        <v/>
      </c>
      <c r="B731" s="184"/>
      <c r="C731" s="184"/>
      <c r="D731" s="184"/>
      <c r="E731" s="189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</row>
    <row r="732" customFormat="false" ht="15.75" hidden="false" customHeight="false" outlineLevel="0" collapsed="false">
      <c r="A732" s="184" t="str">
        <f aca="false">IF(ISBLANK(B732),"",B732&amp;"|"&amp;C732)</f>
        <v/>
      </c>
      <c r="B732" s="184"/>
      <c r="C732" s="184"/>
      <c r="D732" s="184"/>
      <c r="E732" s="189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</row>
    <row r="733" customFormat="false" ht="15.75" hidden="false" customHeight="false" outlineLevel="0" collapsed="false">
      <c r="A733" s="184" t="str">
        <f aca="false">IF(ISBLANK(B733),"",B733&amp;"|"&amp;C733)</f>
        <v/>
      </c>
      <c r="B733" s="184"/>
      <c r="C733" s="184"/>
      <c r="D733" s="184"/>
      <c r="E733" s="189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</row>
    <row r="734" customFormat="false" ht="15.75" hidden="false" customHeight="false" outlineLevel="0" collapsed="false">
      <c r="A734" s="184" t="str">
        <f aca="false">IF(ISBLANK(B734),"",B734&amp;"|"&amp;C734)</f>
        <v/>
      </c>
      <c r="B734" s="184"/>
      <c r="C734" s="184"/>
      <c r="D734" s="184"/>
      <c r="E734" s="189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</row>
    <row r="735" customFormat="false" ht="15.75" hidden="false" customHeight="false" outlineLevel="0" collapsed="false">
      <c r="A735" s="184" t="str">
        <f aca="false">IF(ISBLANK(B735),"",B735&amp;"|"&amp;C735)</f>
        <v/>
      </c>
      <c r="B735" s="184"/>
      <c r="C735" s="184"/>
      <c r="D735" s="184"/>
      <c r="E735" s="189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</row>
    <row r="736" customFormat="false" ht="15.75" hidden="false" customHeight="false" outlineLevel="0" collapsed="false">
      <c r="A736" s="184" t="str">
        <f aca="false">IF(ISBLANK(B736),"",B736&amp;"|"&amp;C736)</f>
        <v/>
      </c>
      <c r="B736" s="184"/>
      <c r="C736" s="184"/>
      <c r="D736" s="184"/>
      <c r="E736" s="189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</row>
    <row r="737" customFormat="false" ht="15.75" hidden="false" customHeight="false" outlineLevel="0" collapsed="false">
      <c r="A737" s="184" t="str">
        <f aca="false">IF(ISBLANK(B737),"",B737&amp;"|"&amp;C737)</f>
        <v/>
      </c>
      <c r="B737" s="184"/>
      <c r="C737" s="184"/>
      <c r="D737" s="184"/>
      <c r="E737" s="189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</row>
    <row r="738" customFormat="false" ht="15.75" hidden="false" customHeight="false" outlineLevel="0" collapsed="false">
      <c r="A738" s="184" t="str">
        <f aca="false">IF(ISBLANK(B738),"",B738&amp;"|"&amp;C738)</f>
        <v/>
      </c>
      <c r="B738" s="184"/>
      <c r="C738" s="184"/>
      <c r="D738" s="184"/>
      <c r="E738" s="189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</row>
    <row r="739" customFormat="false" ht="15.75" hidden="false" customHeight="false" outlineLevel="0" collapsed="false">
      <c r="A739" s="184" t="str">
        <f aca="false">IF(ISBLANK(B739),"",B739&amp;"|"&amp;C739)</f>
        <v/>
      </c>
      <c r="B739" s="184"/>
      <c r="C739" s="184"/>
      <c r="D739" s="184"/>
      <c r="E739" s="189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</row>
    <row r="740" customFormat="false" ht="15.75" hidden="false" customHeight="false" outlineLevel="0" collapsed="false">
      <c r="A740" s="184" t="str">
        <f aca="false">IF(ISBLANK(B740),"",B740&amp;"|"&amp;C740)</f>
        <v/>
      </c>
      <c r="B740" s="184"/>
      <c r="C740" s="184"/>
      <c r="D740" s="184"/>
      <c r="E740" s="189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</row>
    <row r="741" customFormat="false" ht="15.75" hidden="false" customHeight="false" outlineLevel="0" collapsed="false">
      <c r="A741" s="184" t="str">
        <f aca="false">IF(ISBLANK(B741),"",B741&amp;"|"&amp;C741)</f>
        <v/>
      </c>
      <c r="B741" s="184"/>
      <c r="C741" s="184"/>
      <c r="D741" s="184"/>
      <c r="E741" s="189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</row>
    <row r="742" customFormat="false" ht="15.75" hidden="false" customHeight="false" outlineLevel="0" collapsed="false">
      <c r="A742" s="184" t="str">
        <f aca="false">IF(ISBLANK(B742),"",B742&amp;"|"&amp;C742)</f>
        <v/>
      </c>
      <c r="B742" s="184"/>
      <c r="C742" s="184"/>
      <c r="D742" s="184"/>
      <c r="E742" s="189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</row>
    <row r="743" customFormat="false" ht="15.75" hidden="false" customHeight="false" outlineLevel="0" collapsed="false">
      <c r="A743" s="184" t="str">
        <f aca="false">IF(ISBLANK(B743),"",B743&amp;"|"&amp;C743)</f>
        <v/>
      </c>
      <c r="B743" s="184"/>
      <c r="C743" s="184"/>
      <c r="D743" s="184"/>
      <c r="E743" s="189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</row>
    <row r="744" customFormat="false" ht="15.75" hidden="false" customHeight="false" outlineLevel="0" collapsed="false">
      <c r="A744" s="184" t="str">
        <f aca="false">IF(ISBLANK(B744),"",B744&amp;"|"&amp;C744)</f>
        <v/>
      </c>
      <c r="B744" s="184"/>
      <c r="C744" s="184"/>
      <c r="D744" s="184"/>
      <c r="E744" s="189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</row>
    <row r="745" customFormat="false" ht="15.75" hidden="false" customHeight="false" outlineLevel="0" collapsed="false">
      <c r="A745" s="184" t="str">
        <f aca="false">IF(ISBLANK(B745),"",B745&amp;"|"&amp;C745)</f>
        <v/>
      </c>
      <c r="B745" s="184"/>
      <c r="C745" s="184"/>
      <c r="D745" s="184"/>
      <c r="E745" s="189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</row>
    <row r="746" customFormat="false" ht="15.75" hidden="false" customHeight="false" outlineLevel="0" collapsed="false">
      <c r="A746" s="184" t="str">
        <f aca="false">IF(ISBLANK(B746),"",B746&amp;"|"&amp;C746)</f>
        <v/>
      </c>
      <c r="B746" s="184"/>
      <c r="C746" s="184"/>
      <c r="D746" s="184"/>
      <c r="E746" s="189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</row>
    <row r="747" customFormat="false" ht="15.75" hidden="false" customHeight="false" outlineLevel="0" collapsed="false">
      <c r="A747" s="184" t="str">
        <f aca="false">IF(ISBLANK(B747),"",B747&amp;"|"&amp;C747)</f>
        <v/>
      </c>
      <c r="B747" s="184"/>
      <c r="C747" s="184"/>
      <c r="D747" s="184"/>
      <c r="E747" s="189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</row>
    <row r="748" customFormat="false" ht="15.75" hidden="false" customHeight="false" outlineLevel="0" collapsed="false">
      <c r="A748" s="184" t="str">
        <f aca="false">IF(ISBLANK(B748),"",B748&amp;"|"&amp;C748)</f>
        <v/>
      </c>
      <c r="B748" s="184"/>
      <c r="C748" s="184"/>
      <c r="D748" s="184"/>
      <c r="E748" s="189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</row>
    <row r="749" customFormat="false" ht="15.75" hidden="false" customHeight="false" outlineLevel="0" collapsed="false">
      <c r="A749" s="184" t="str">
        <f aca="false">IF(ISBLANK(B749),"",B749&amp;"|"&amp;C749)</f>
        <v/>
      </c>
      <c r="B749" s="184"/>
      <c r="C749" s="184"/>
      <c r="D749" s="184"/>
      <c r="E749" s="189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</row>
    <row r="750" customFormat="false" ht="15.75" hidden="false" customHeight="false" outlineLevel="0" collapsed="false">
      <c r="A750" s="184" t="str">
        <f aca="false">IF(ISBLANK(B750),"",B750&amp;"|"&amp;C750)</f>
        <v/>
      </c>
      <c r="B750" s="184"/>
      <c r="C750" s="184"/>
      <c r="D750" s="184"/>
      <c r="E750" s="189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</row>
    <row r="751" customFormat="false" ht="15.75" hidden="false" customHeight="false" outlineLevel="0" collapsed="false">
      <c r="A751" s="184" t="str">
        <f aca="false">IF(ISBLANK(B751),"",B751&amp;"|"&amp;C751)</f>
        <v/>
      </c>
      <c r="B751" s="184"/>
      <c r="C751" s="184"/>
      <c r="D751" s="184"/>
      <c r="E751" s="189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</row>
    <row r="752" customFormat="false" ht="15.75" hidden="false" customHeight="false" outlineLevel="0" collapsed="false">
      <c r="A752" s="184" t="str">
        <f aca="false">IF(ISBLANK(B752),"",B752&amp;"|"&amp;C752)</f>
        <v/>
      </c>
      <c r="B752" s="184"/>
      <c r="C752" s="184"/>
      <c r="D752" s="184"/>
      <c r="E752" s="189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</row>
    <row r="753" customFormat="false" ht="15.75" hidden="false" customHeight="false" outlineLevel="0" collapsed="false">
      <c r="A753" s="184" t="str">
        <f aca="false">IF(ISBLANK(B753),"",B753&amp;"|"&amp;C753)</f>
        <v/>
      </c>
      <c r="B753" s="184"/>
      <c r="C753" s="184"/>
      <c r="D753" s="184"/>
      <c r="E753" s="189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</row>
    <row r="754" customFormat="false" ht="15.75" hidden="false" customHeight="false" outlineLevel="0" collapsed="false">
      <c r="A754" s="184" t="str">
        <f aca="false">IF(ISBLANK(B754),"",B754&amp;"|"&amp;C754)</f>
        <v/>
      </c>
      <c r="B754" s="184"/>
      <c r="C754" s="184"/>
      <c r="D754" s="184"/>
      <c r="E754" s="189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</row>
    <row r="755" customFormat="false" ht="15.75" hidden="false" customHeight="false" outlineLevel="0" collapsed="false">
      <c r="A755" s="184" t="str">
        <f aca="false">IF(ISBLANK(B755),"",B755&amp;"|"&amp;C755)</f>
        <v/>
      </c>
      <c r="B755" s="184"/>
      <c r="C755" s="184"/>
      <c r="D755" s="184"/>
      <c r="E755" s="189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</row>
    <row r="756" customFormat="false" ht="15.75" hidden="false" customHeight="false" outlineLevel="0" collapsed="false">
      <c r="A756" s="184" t="str">
        <f aca="false">IF(ISBLANK(B756),"",B756&amp;"|"&amp;C756)</f>
        <v/>
      </c>
      <c r="B756" s="184"/>
      <c r="C756" s="184"/>
      <c r="D756" s="184"/>
      <c r="E756" s="189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</row>
    <row r="757" customFormat="false" ht="15.75" hidden="false" customHeight="false" outlineLevel="0" collapsed="false">
      <c r="A757" s="184" t="str">
        <f aca="false">IF(ISBLANK(B757),"",B757&amp;"|"&amp;C757)</f>
        <v/>
      </c>
      <c r="B757" s="184"/>
      <c r="C757" s="184"/>
      <c r="D757" s="184"/>
      <c r="E757" s="189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</row>
    <row r="758" customFormat="false" ht="15.75" hidden="false" customHeight="false" outlineLevel="0" collapsed="false">
      <c r="A758" s="184" t="str">
        <f aca="false">IF(ISBLANK(B758),"",B758&amp;"|"&amp;C758)</f>
        <v/>
      </c>
      <c r="B758" s="184"/>
      <c r="C758" s="184"/>
      <c r="D758" s="184"/>
      <c r="E758" s="189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</row>
    <row r="759" customFormat="false" ht="15.75" hidden="false" customHeight="false" outlineLevel="0" collapsed="false">
      <c r="A759" s="184" t="str">
        <f aca="false">IF(ISBLANK(B759),"",B759&amp;"|"&amp;C759)</f>
        <v/>
      </c>
      <c r="B759" s="184"/>
      <c r="C759" s="184"/>
      <c r="D759" s="184"/>
      <c r="E759" s="189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</row>
    <row r="760" customFormat="false" ht="15.75" hidden="false" customHeight="false" outlineLevel="0" collapsed="false">
      <c r="A760" s="184" t="str">
        <f aca="false">IF(ISBLANK(B760),"",B760&amp;"|"&amp;C760)</f>
        <v/>
      </c>
      <c r="B760" s="184"/>
      <c r="C760" s="184"/>
      <c r="D760" s="184"/>
      <c r="E760" s="189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</row>
    <row r="761" customFormat="false" ht="15.75" hidden="false" customHeight="false" outlineLevel="0" collapsed="false">
      <c r="A761" s="184" t="str">
        <f aca="false">IF(ISBLANK(B761),"",B761&amp;"|"&amp;C761)</f>
        <v/>
      </c>
      <c r="B761" s="184"/>
      <c r="C761" s="184"/>
      <c r="D761" s="184"/>
      <c r="E761" s="189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</row>
    <row r="762" customFormat="false" ht="15.75" hidden="false" customHeight="false" outlineLevel="0" collapsed="false">
      <c r="A762" s="184" t="str">
        <f aca="false">IF(ISBLANK(B762),"",B762&amp;"|"&amp;C762)</f>
        <v/>
      </c>
      <c r="B762" s="184"/>
      <c r="C762" s="184"/>
      <c r="D762" s="184"/>
      <c r="E762" s="189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</row>
    <row r="763" customFormat="false" ht="15.75" hidden="false" customHeight="false" outlineLevel="0" collapsed="false">
      <c r="A763" s="184" t="str">
        <f aca="false">IF(ISBLANK(B763),"",B763&amp;"|"&amp;C763)</f>
        <v/>
      </c>
      <c r="B763" s="184"/>
      <c r="C763" s="184"/>
      <c r="D763" s="184"/>
      <c r="E763" s="189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</row>
    <row r="764" customFormat="false" ht="15.75" hidden="false" customHeight="false" outlineLevel="0" collapsed="false">
      <c r="A764" s="184" t="str">
        <f aca="false">IF(ISBLANK(B764),"",B764&amp;"|"&amp;C764)</f>
        <v/>
      </c>
      <c r="B764" s="184"/>
      <c r="C764" s="184"/>
      <c r="D764" s="184"/>
      <c r="E764" s="189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</row>
    <row r="765" customFormat="false" ht="15.75" hidden="false" customHeight="false" outlineLevel="0" collapsed="false">
      <c r="A765" s="184" t="str">
        <f aca="false">IF(ISBLANK(B765),"",B765&amp;"|"&amp;C765)</f>
        <v/>
      </c>
      <c r="B765" s="184"/>
      <c r="C765" s="184"/>
      <c r="D765" s="184"/>
      <c r="E765" s="189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</row>
    <row r="766" customFormat="false" ht="15.75" hidden="false" customHeight="false" outlineLevel="0" collapsed="false">
      <c r="A766" s="184" t="str">
        <f aca="false">IF(ISBLANK(B766),"",B766&amp;"|"&amp;C766)</f>
        <v/>
      </c>
      <c r="B766" s="184"/>
      <c r="C766" s="184"/>
      <c r="D766" s="184"/>
      <c r="E766" s="189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</row>
    <row r="767" customFormat="false" ht="15.75" hidden="false" customHeight="false" outlineLevel="0" collapsed="false">
      <c r="A767" s="184" t="str">
        <f aca="false">IF(ISBLANK(B767),"",B767&amp;"|"&amp;C767)</f>
        <v/>
      </c>
      <c r="B767" s="184"/>
      <c r="C767" s="184"/>
      <c r="D767" s="184"/>
      <c r="E767" s="189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</row>
    <row r="768" customFormat="false" ht="15.75" hidden="false" customHeight="false" outlineLevel="0" collapsed="false">
      <c r="A768" s="184" t="str">
        <f aca="false">IF(ISBLANK(B768),"",B768&amp;"|"&amp;C768)</f>
        <v/>
      </c>
      <c r="B768" s="184"/>
      <c r="C768" s="184"/>
      <c r="D768" s="184"/>
      <c r="E768" s="189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</row>
    <row r="769" customFormat="false" ht="15.75" hidden="false" customHeight="false" outlineLevel="0" collapsed="false">
      <c r="A769" s="184" t="str">
        <f aca="false">IF(ISBLANK(B769),"",B769&amp;"|"&amp;C769)</f>
        <v/>
      </c>
      <c r="B769" s="184"/>
      <c r="C769" s="184"/>
      <c r="D769" s="184"/>
      <c r="E769" s="189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</row>
    <row r="770" customFormat="false" ht="15.75" hidden="false" customHeight="false" outlineLevel="0" collapsed="false">
      <c r="A770" s="184" t="str">
        <f aca="false">IF(ISBLANK(B770),"",B770&amp;"|"&amp;C770)</f>
        <v/>
      </c>
      <c r="B770" s="184"/>
      <c r="C770" s="184"/>
      <c r="D770" s="184"/>
      <c r="E770" s="189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</row>
    <row r="771" customFormat="false" ht="15.75" hidden="false" customHeight="false" outlineLevel="0" collapsed="false">
      <c r="A771" s="184" t="str">
        <f aca="false">IF(ISBLANK(B771),"",B771&amp;"|"&amp;C771)</f>
        <v/>
      </c>
      <c r="B771" s="184"/>
      <c r="C771" s="184"/>
      <c r="D771" s="184"/>
      <c r="E771" s="189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</row>
    <row r="772" customFormat="false" ht="15.75" hidden="false" customHeight="false" outlineLevel="0" collapsed="false">
      <c r="A772" s="184" t="str">
        <f aca="false">IF(ISBLANK(B772),"",B772&amp;"|"&amp;C772)</f>
        <v/>
      </c>
      <c r="B772" s="184"/>
      <c r="C772" s="184"/>
      <c r="D772" s="184"/>
      <c r="E772" s="189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</row>
    <row r="773" customFormat="false" ht="15.75" hidden="false" customHeight="false" outlineLevel="0" collapsed="false">
      <c r="A773" s="184" t="str">
        <f aca="false">IF(ISBLANK(B773),"",B773&amp;"|"&amp;C773)</f>
        <v/>
      </c>
      <c r="B773" s="184"/>
      <c r="C773" s="184"/>
      <c r="D773" s="184"/>
      <c r="E773" s="189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</row>
    <row r="774" customFormat="false" ht="15.75" hidden="false" customHeight="false" outlineLevel="0" collapsed="false">
      <c r="A774" s="184" t="str">
        <f aca="false">IF(ISBLANK(B774),"",B774&amp;"|"&amp;C774)</f>
        <v/>
      </c>
      <c r="B774" s="184"/>
      <c r="C774" s="184"/>
      <c r="D774" s="184"/>
      <c r="E774" s="189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</row>
    <row r="775" customFormat="false" ht="15.75" hidden="false" customHeight="false" outlineLevel="0" collapsed="false">
      <c r="A775" s="184" t="str">
        <f aca="false">IF(ISBLANK(B775),"",B775&amp;"|"&amp;C775)</f>
        <v/>
      </c>
      <c r="B775" s="184"/>
      <c r="C775" s="184"/>
      <c r="D775" s="184"/>
      <c r="E775" s="189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</row>
    <row r="776" customFormat="false" ht="15.75" hidden="false" customHeight="false" outlineLevel="0" collapsed="false">
      <c r="A776" s="184" t="str">
        <f aca="false">IF(ISBLANK(B776),"",B776&amp;"|"&amp;C776)</f>
        <v/>
      </c>
      <c r="B776" s="184"/>
      <c r="C776" s="184"/>
      <c r="D776" s="184"/>
      <c r="E776" s="189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</row>
    <row r="777" customFormat="false" ht="15.75" hidden="false" customHeight="false" outlineLevel="0" collapsed="false">
      <c r="A777" s="184" t="str">
        <f aca="false">IF(ISBLANK(B777),"",B777&amp;"|"&amp;C777)</f>
        <v/>
      </c>
      <c r="B777" s="184"/>
      <c r="C777" s="184"/>
      <c r="D777" s="184"/>
      <c r="E777" s="189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</row>
    <row r="778" customFormat="false" ht="15.75" hidden="false" customHeight="false" outlineLevel="0" collapsed="false">
      <c r="A778" s="184" t="str">
        <f aca="false">IF(ISBLANK(B778),"",B778&amp;"|"&amp;C778)</f>
        <v/>
      </c>
      <c r="B778" s="184"/>
      <c r="C778" s="184"/>
      <c r="D778" s="184"/>
      <c r="E778" s="189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</row>
    <row r="779" customFormat="false" ht="15.75" hidden="false" customHeight="false" outlineLevel="0" collapsed="false">
      <c r="A779" s="184" t="str">
        <f aca="false">IF(ISBLANK(B779),"",B779&amp;"|"&amp;C779)</f>
        <v/>
      </c>
      <c r="B779" s="184"/>
      <c r="C779" s="184"/>
      <c r="D779" s="184"/>
      <c r="E779" s="189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</row>
    <row r="780" customFormat="false" ht="15.75" hidden="false" customHeight="false" outlineLevel="0" collapsed="false">
      <c r="A780" s="184" t="str">
        <f aca="false">IF(ISBLANK(B780),"",B780&amp;"|"&amp;C780)</f>
        <v/>
      </c>
      <c r="B780" s="184"/>
      <c r="C780" s="184"/>
      <c r="D780" s="184"/>
      <c r="E780" s="189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</row>
    <row r="781" customFormat="false" ht="15.75" hidden="false" customHeight="false" outlineLevel="0" collapsed="false">
      <c r="A781" s="184" t="str">
        <f aca="false">IF(ISBLANK(B781),"",B781&amp;"|"&amp;C781)</f>
        <v/>
      </c>
      <c r="B781" s="184"/>
      <c r="C781" s="184"/>
      <c r="D781" s="184"/>
      <c r="E781" s="189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</row>
    <row r="782" customFormat="false" ht="15.75" hidden="false" customHeight="false" outlineLevel="0" collapsed="false">
      <c r="A782" s="184" t="str">
        <f aca="false">IF(ISBLANK(B782),"",B782&amp;"|"&amp;C782)</f>
        <v/>
      </c>
      <c r="B782" s="184"/>
      <c r="C782" s="184"/>
      <c r="D782" s="184"/>
      <c r="E782" s="189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</row>
    <row r="783" customFormat="false" ht="15.75" hidden="false" customHeight="false" outlineLevel="0" collapsed="false">
      <c r="A783" s="184" t="str">
        <f aca="false">IF(ISBLANK(B783),"",B783&amp;"|"&amp;C783)</f>
        <v/>
      </c>
      <c r="B783" s="184"/>
      <c r="C783" s="184"/>
      <c r="D783" s="184"/>
      <c r="E783" s="189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</row>
    <row r="784" customFormat="false" ht="15.75" hidden="false" customHeight="false" outlineLevel="0" collapsed="false">
      <c r="A784" s="184" t="str">
        <f aca="false">IF(ISBLANK(B784),"",B784&amp;"|"&amp;C784)</f>
        <v/>
      </c>
      <c r="B784" s="184"/>
      <c r="C784" s="184"/>
      <c r="D784" s="184"/>
      <c r="E784" s="189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</row>
    <row r="785" customFormat="false" ht="15.75" hidden="false" customHeight="false" outlineLevel="0" collapsed="false">
      <c r="A785" s="184" t="str">
        <f aca="false">IF(ISBLANK(B785),"",B785&amp;"|"&amp;C785)</f>
        <v/>
      </c>
      <c r="B785" s="184"/>
      <c r="C785" s="184"/>
      <c r="D785" s="184"/>
      <c r="E785" s="189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</row>
    <row r="786" customFormat="false" ht="15.75" hidden="false" customHeight="false" outlineLevel="0" collapsed="false">
      <c r="A786" s="184" t="str">
        <f aca="false">IF(ISBLANK(B786),"",B786&amp;"|"&amp;C786)</f>
        <v/>
      </c>
      <c r="B786" s="184"/>
      <c r="C786" s="184"/>
      <c r="D786" s="184"/>
      <c r="E786" s="189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</row>
    <row r="787" customFormat="false" ht="15.75" hidden="false" customHeight="false" outlineLevel="0" collapsed="false">
      <c r="A787" s="184" t="str">
        <f aca="false">IF(ISBLANK(B787),"",B787&amp;"|"&amp;C787)</f>
        <v/>
      </c>
      <c r="B787" s="184"/>
      <c r="C787" s="184"/>
      <c r="D787" s="184"/>
      <c r="E787" s="189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</row>
    <row r="788" customFormat="false" ht="15.75" hidden="false" customHeight="false" outlineLevel="0" collapsed="false">
      <c r="A788" s="184" t="str">
        <f aca="false">IF(ISBLANK(B788),"",B788&amp;"|"&amp;C788)</f>
        <v/>
      </c>
      <c r="B788" s="184"/>
      <c r="C788" s="184"/>
      <c r="D788" s="184"/>
      <c r="E788" s="189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</row>
    <row r="789" customFormat="false" ht="15.75" hidden="false" customHeight="false" outlineLevel="0" collapsed="false">
      <c r="A789" s="184" t="str">
        <f aca="false">IF(ISBLANK(B789),"",B789&amp;"|"&amp;C789)</f>
        <v/>
      </c>
      <c r="B789" s="184"/>
      <c r="C789" s="184"/>
      <c r="D789" s="184"/>
      <c r="E789" s="189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</row>
    <row r="790" customFormat="false" ht="15.75" hidden="false" customHeight="false" outlineLevel="0" collapsed="false">
      <c r="A790" s="184" t="str">
        <f aca="false">IF(ISBLANK(B790),"",B790&amp;"|"&amp;C790)</f>
        <v/>
      </c>
      <c r="B790" s="184"/>
      <c r="C790" s="184"/>
      <c r="D790" s="184"/>
      <c r="E790" s="189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</row>
    <row r="791" customFormat="false" ht="15.75" hidden="false" customHeight="false" outlineLevel="0" collapsed="false">
      <c r="A791" s="184" t="str">
        <f aca="false">IF(ISBLANK(B791),"",B791&amp;"|"&amp;C791)</f>
        <v/>
      </c>
      <c r="B791" s="184"/>
      <c r="C791" s="184"/>
      <c r="D791" s="184"/>
      <c r="E791" s="189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</row>
    <row r="792" customFormat="false" ht="15.75" hidden="false" customHeight="false" outlineLevel="0" collapsed="false">
      <c r="A792" s="184" t="str">
        <f aca="false">IF(ISBLANK(B792),"",B792&amp;"|"&amp;C792)</f>
        <v/>
      </c>
      <c r="B792" s="184"/>
      <c r="C792" s="184"/>
      <c r="D792" s="184"/>
      <c r="E792" s="189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</row>
    <row r="793" customFormat="false" ht="15.75" hidden="false" customHeight="false" outlineLevel="0" collapsed="false">
      <c r="A793" s="184" t="str">
        <f aca="false">IF(ISBLANK(B793),"",B793&amp;"|"&amp;C793)</f>
        <v/>
      </c>
      <c r="B793" s="184"/>
      <c r="C793" s="184"/>
      <c r="D793" s="184"/>
      <c r="E793" s="189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</row>
    <row r="794" customFormat="false" ht="15.75" hidden="false" customHeight="false" outlineLevel="0" collapsed="false">
      <c r="A794" s="184" t="str">
        <f aca="false">IF(ISBLANK(B794),"",B794&amp;"|"&amp;C794)</f>
        <v/>
      </c>
      <c r="B794" s="184"/>
      <c r="C794" s="184"/>
      <c r="D794" s="184"/>
      <c r="E794" s="189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  <c r="AA794" s="184"/>
    </row>
    <row r="795" customFormat="false" ht="15.75" hidden="false" customHeight="false" outlineLevel="0" collapsed="false">
      <c r="A795" s="184" t="str">
        <f aca="false">IF(ISBLANK(B795),"",B795&amp;"|"&amp;C795)</f>
        <v/>
      </c>
      <c r="B795" s="184"/>
      <c r="C795" s="184"/>
      <c r="D795" s="184"/>
      <c r="E795" s="189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  <c r="AA795" s="184"/>
    </row>
    <row r="796" customFormat="false" ht="15.75" hidden="false" customHeight="false" outlineLevel="0" collapsed="false">
      <c r="A796" s="184" t="str">
        <f aca="false">IF(ISBLANK(B796),"",B796&amp;"|"&amp;C796)</f>
        <v/>
      </c>
      <c r="B796" s="184"/>
      <c r="C796" s="184"/>
      <c r="D796" s="184"/>
      <c r="E796" s="189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  <c r="AA796" s="184"/>
    </row>
    <row r="797" customFormat="false" ht="15.75" hidden="false" customHeight="false" outlineLevel="0" collapsed="false">
      <c r="A797" s="184" t="str">
        <f aca="false">IF(ISBLANK(B797),"",B797&amp;"|"&amp;C797)</f>
        <v/>
      </c>
      <c r="B797" s="184"/>
      <c r="C797" s="184"/>
      <c r="D797" s="184"/>
      <c r="E797" s="189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  <c r="AA797" s="184"/>
    </row>
    <row r="798" customFormat="false" ht="15.75" hidden="false" customHeight="false" outlineLevel="0" collapsed="false">
      <c r="A798" s="184" t="str">
        <f aca="false">IF(ISBLANK(B798),"",B798&amp;"|"&amp;C798)</f>
        <v/>
      </c>
      <c r="B798" s="184"/>
      <c r="C798" s="184"/>
      <c r="D798" s="184"/>
      <c r="E798" s="189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  <c r="AA798" s="184"/>
    </row>
    <row r="799" customFormat="false" ht="15.75" hidden="false" customHeight="false" outlineLevel="0" collapsed="false">
      <c r="A799" s="184" t="str">
        <f aca="false">IF(ISBLANK(B799),"",B799&amp;"|"&amp;C799)</f>
        <v/>
      </c>
      <c r="B799" s="184"/>
      <c r="C799" s="184"/>
      <c r="D799" s="184"/>
      <c r="E799" s="189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  <c r="AA799" s="184"/>
    </row>
    <row r="800" customFormat="false" ht="15.75" hidden="false" customHeight="false" outlineLevel="0" collapsed="false">
      <c r="A800" s="184" t="str">
        <f aca="false">IF(ISBLANK(B800),"",B800&amp;"|"&amp;C800)</f>
        <v/>
      </c>
      <c r="B800" s="184"/>
      <c r="C800" s="184"/>
      <c r="D800" s="184"/>
      <c r="E800" s="189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  <c r="AA800" s="184"/>
    </row>
    <row r="801" customFormat="false" ht="15.75" hidden="false" customHeight="false" outlineLevel="0" collapsed="false">
      <c r="A801" s="184" t="str">
        <f aca="false">IF(ISBLANK(B801),"",B801&amp;"|"&amp;C801)</f>
        <v/>
      </c>
      <c r="B801" s="184"/>
      <c r="C801" s="184"/>
      <c r="D801" s="184"/>
      <c r="E801" s="189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  <c r="AA801" s="184"/>
    </row>
    <row r="802" customFormat="false" ht="15.75" hidden="false" customHeight="false" outlineLevel="0" collapsed="false">
      <c r="A802" s="184" t="str">
        <f aca="false">IF(ISBLANK(B802),"",B802&amp;"|"&amp;C802)</f>
        <v/>
      </c>
      <c r="B802" s="184"/>
      <c r="C802" s="184"/>
      <c r="D802" s="184"/>
      <c r="E802" s="189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  <c r="AA802" s="184"/>
    </row>
    <row r="803" customFormat="false" ht="15.75" hidden="false" customHeight="false" outlineLevel="0" collapsed="false">
      <c r="A803" s="184" t="str">
        <f aca="false">IF(ISBLANK(B803),"",B803&amp;"|"&amp;C803)</f>
        <v/>
      </c>
      <c r="B803" s="184"/>
      <c r="C803" s="184"/>
      <c r="D803" s="184"/>
      <c r="E803" s="189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  <c r="AA803" s="184"/>
    </row>
    <row r="804" customFormat="false" ht="15.75" hidden="false" customHeight="false" outlineLevel="0" collapsed="false">
      <c r="A804" s="184" t="str">
        <f aca="false">IF(ISBLANK(B804),"",B804&amp;"|"&amp;C804)</f>
        <v/>
      </c>
      <c r="B804" s="184"/>
      <c r="C804" s="184"/>
      <c r="D804" s="184"/>
      <c r="E804" s="189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  <c r="AA804" s="184"/>
    </row>
    <row r="805" customFormat="false" ht="15.75" hidden="false" customHeight="false" outlineLevel="0" collapsed="false">
      <c r="A805" s="184" t="str">
        <f aca="false">IF(ISBLANK(B805),"",B805&amp;"|"&amp;C805)</f>
        <v/>
      </c>
      <c r="B805" s="184"/>
      <c r="C805" s="184"/>
      <c r="D805" s="184"/>
      <c r="E805" s="189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  <c r="AA805" s="184"/>
    </row>
    <row r="806" customFormat="false" ht="15.75" hidden="false" customHeight="false" outlineLevel="0" collapsed="false">
      <c r="A806" s="184" t="str">
        <f aca="false">IF(ISBLANK(B806),"",B806&amp;"|"&amp;C806)</f>
        <v/>
      </c>
      <c r="B806" s="184"/>
      <c r="C806" s="184"/>
      <c r="D806" s="184"/>
      <c r="E806" s="189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  <c r="AA806" s="184"/>
    </row>
    <row r="807" customFormat="false" ht="15.75" hidden="false" customHeight="false" outlineLevel="0" collapsed="false">
      <c r="A807" s="184" t="str">
        <f aca="false">IF(ISBLANK(B807),"",B807&amp;"|"&amp;C807)</f>
        <v/>
      </c>
      <c r="B807" s="184"/>
      <c r="C807" s="184"/>
      <c r="D807" s="184"/>
      <c r="E807" s="189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  <c r="AA807" s="184"/>
    </row>
    <row r="808" customFormat="false" ht="15.75" hidden="false" customHeight="false" outlineLevel="0" collapsed="false">
      <c r="A808" s="184" t="str">
        <f aca="false">IF(ISBLANK(B808),"",B808&amp;"|"&amp;C808)</f>
        <v/>
      </c>
      <c r="B808" s="184"/>
      <c r="C808" s="184"/>
      <c r="D808" s="184"/>
      <c r="E808" s="189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  <c r="AA808" s="184"/>
    </row>
    <row r="809" customFormat="false" ht="15.75" hidden="false" customHeight="false" outlineLevel="0" collapsed="false">
      <c r="A809" s="184" t="str">
        <f aca="false">IF(ISBLANK(B809),"",B809&amp;"|"&amp;C809)</f>
        <v/>
      </c>
      <c r="B809" s="184"/>
      <c r="C809" s="184"/>
      <c r="D809" s="184"/>
      <c r="E809" s="189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  <c r="AA809" s="184"/>
    </row>
    <row r="810" customFormat="false" ht="15.75" hidden="false" customHeight="false" outlineLevel="0" collapsed="false">
      <c r="A810" s="184" t="str">
        <f aca="false">IF(ISBLANK(B810),"",B810&amp;"|"&amp;C810)</f>
        <v/>
      </c>
      <c r="B810" s="184"/>
      <c r="C810" s="184"/>
      <c r="D810" s="184"/>
      <c r="E810" s="189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  <c r="AA810" s="184"/>
    </row>
    <row r="811" customFormat="false" ht="15.75" hidden="false" customHeight="false" outlineLevel="0" collapsed="false">
      <c r="A811" s="184" t="str">
        <f aca="false">IF(ISBLANK(B811),"",B811&amp;"|"&amp;C811)</f>
        <v/>
      </c>
      <c r="B811" s="184"/>
      <c r="C811" s="184"/>
      <c r="D811" s="184"/>
      <c r="E811" s="189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  <c r="AA811" s="184"/>
    </row>
    <row r="812" customFormat="false" ht="15.75" hidden="false" customHeight="false" outlineLevel="0" collapsed="false">
      <c r="A812" s="184" t="str">
        <f aca="false">IF(ISBLANK(B812),"",B812&amp;"|"&amp;C812)</f>
        <v/>
      </c>
      <c r="B812" s="184"/>
      <c r="C812" s="184"/>
      <c r="D812" s="184"/>
      <c r="E812" s="189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  <c r="AA812" s="184"/>
    </row>
    <row r="813" customFormat="false" ht="15.75" hidden="false" customHeight="false" outlineLevel="0" collapsed="false">
      <c r="A813" s="184" t="str">
        <f aca="false">IF(ISBLANK(B813),"",B813&amp;"|"&amp;C813)</f>
        <v/>
      </c>
      <c r="B813" s="184"/>
      <c r="C813" s="184"/>
      <c r="D813" s="184"/>
      <c r="E813" s="189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  <c r="AA813" s="184"/>
    </row>
    <row r="814" customFormat="false" ht="15.75" hidden="false" customHeight="false" outlineLevel="0" collapsed="false">
      <c r="A814" s="184" t="str">
        <f aca="false">IF(ISBLANK(B814),"",B814&amp;"|"&amp;C814)</f>
        <v/>
      </c>
      <c r="B814" s="184"/>
      <c r="C814" s="184"/>
      <c r="D814" s="184"/>
      <c r="E814" s="189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  <c r="AA814" s="184"/>
    </row>
    <row r="815" customFormat="false" ht="15.75" hidden="false" customHeight="false" outlineLevel="0" collapsed="false">
      <c r="A815" s="184" t="str">
        <f aca="false">IF(ISBLANK(B815),"",B815&amp;"|"&amp;C815)</f>
        <v/>
      </c>
      <c r="B815" s="184"/>
      <c r="C815" s="184"/>
      <c r="D815" s="184"/>
      <c r="E815" s="189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  <c r="AA815" s="184"/>
    </row>
    <row r="816" customFormat="false" ht="15.75" hidden="false" customHeight="false" outlineLevel="0" collapsed="false">
      <c r="A816" s="184" t="str">
        <f aca="false">IF(ISBLANK(B816),"",B816&amp;"|"&amp;C816)</f>
        <v/>
      </c>
      <c r="B816" s="184"/>
      <c r="C816" s="184"/>
      <c r="D816" s="184"/>
      <c r="E816" s="189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  <c r="AA816" s="184"/>
    </row>
    <row r="817" customFormat="false" ht="15.75" hidden="false" customHeight="false" outlineLevel="0" collapsed="false">
      <c r="A817" s="184" t="str">
        <f aca="false">IF(ISBLANK(B817),"",B817&amp;"|"&amp;C817)</f>
        <v/>
      </c>
      <c r="B817" s="184"/>
      <c r="C817" s="184"/>
      <c r="D817" s="184"/>
      <c r="E817" s="189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  <c r="AA817" s="184"/>
    </row>
    <row r="818" customFormat="false" ht="15.75" hidden="false" customHeight="false" outlineLevel="0" collapsed="false">
      <c r="A818" s="184" t="str">
        <f aca="false">IF(ISBLANK(B818),"",B818&amp;"|"&amp;C818)</f>
        <v/>
      </c>
      <c r="B818" s="184"/>
      <c r="C818" s="184"/>
      <c r="D818" s="184"/>
      <c r="E818" s="189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  <c r="AA818" s="184"/>
    </row>
    <row r="819" customFormat="false" ht="15.75" hidden="false" customHeight="false" outlineLevel="0" collapsed="false">
      <c r="A819" s="184" t="str">
        <f aca="false">IF(ISBLANK(B819),"",B819&amp;"|"&amp;C819)</f>
        <v/>
      </c>
      <c r="B819" s="184"/>
      <c r="C819" s="184"/>
      <c r="D819" s="184"/>
      <c r="E819" s="189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  <c r="AA819" s="184"/>
    </row>
    <row r="820" customFormat="false" ht="15.75" hidden="false" customHeight="false" outlineLevel="0" collapsed="false">
      <c r="A820" s="184" t="str">
        <f aca="false">IF(ISBLANK(B820),"",B820&amp;"|"&amp;C820)</f>
        <v/>
      </c>
      <c r="B820" s="184"/>
      <c r="C820" s="184"/>
      <c r="D820" s="184"/>
      <c r="E820" s="189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  <c r="AA820" s="184"/>
    </row>
    <row r="821" customFormat="false" ht="15.75" hidden="false" customHeight="false" outlineLevel="0" collapsed="false">
      <c r="A821" s="184" t="str">
        <f aca="false">IF(ISBLANK(B821),"",B821&amp;"|"&amp;C821)</f>
        <v/>
      </c>
      <c r="B821" s="184"/>
      <c r="C821" s="184"/>
      <c r="D821" s="184"/>
      <c r="E821" s="189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  <c r="AA821" s="184"/>
    </row>
    <row r="822" customFormat="false" ht="15.75" hidden="false" customHeight="false" outlineLevel="0" collapsed="false">
      <c r="A822" s="184" t="str">
        <f aca="false">IF(ISBLANK(B822),"",B822&amp;"|"&amp;C822)</f>
        <v/>
      </c>
      <c r="B822" s="184"/>
      <c r="C822" s="184"/>
      <c r="D822" s="184"/>
      <c r="E822" s="189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  <c r="AA822" s="184"/>
    </row>
    <row r="823" customFormat="false" ht="15.75" hidden="false" customHeight="false" outlineLevel="0" collapsed="false">
      <c r="A823" s="184" t="str">
        <f aca="false">IF(ISBLANK(B823),"",B823&amp;"|"&amp;C823)</f>
        <v/>
      </c>
      <c r="B823" s="184"/>
      <c r="C823" s="184"/>
      <c r="D823" s="184"/>
      <c r="E823" s="189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  <c r="AA823" s="184"/>
    </row>
    <row r="824" customFormat="false" ht="15.75" hidden="false" customHeight="false" outlineLevel="0" collapsed="false">
      <c r="A824" s="184" t="str">
        <f aca="false">IF(ISBLANK(B824),"",B824&amp;"|"&amp;C824)</f>
        <v/>
      </c>
      <c r="B824" s="184"/>
      <c r="C824" s="184"/>
      <c r="D824" s="184"/>
      <c r="E824" s="189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  <c r="AA824" s="184"/>
    </row>
    <row r="825" customFormat="false" ht="15.75" hidden="false" customHeight="false" outlineLevel="0" collapsed="false">
      <c r="A825" s="184" t="str">
        <f aca="false">IF(ISBLANK(B825),"",B825&amp;"|"&amp;C825)</f>
        <v/>
      </c>
      <c r="B825" s="184"/>
      <c r="C825" s="184"/>
      <c r="D825" s="184"/>
      <c r="E825" s="189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  <c r="AA825" s="184"/>
    </row>
    <row r="826" customFormat="false" ht="15.75" hidden="false" customHeight="false" outlineLevel="0" collapsed="false">
      <c r="A826" s="184" t="str">
        <f aca="false">IF(ISBLANK(B826),"",B826&amp;"|"&amp;C826)</f>
        <v/>
      </c>
      <c r="B826" s="184"/>
      <c r="C826" s="184"/>
      <c r="D826" s="184"/>
      <c r="E826" s="189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  <c r="AA826" s="184"/>
    </row>
    <row r="827" customFormat="false" ht="15.75" hidden="false" customHeight="false" outlineLevel="0" collapsed="false">
      <c r="A827" s="184" t="str">
        <f aca="false">IF(ISBLANK(B827),"",B827&amp;"|"&amp;C827)</f>
        <v/>
      </c>
      <c r="B827" s="184"/>
      <c r="C827" s="184"/>
      <c r="D827" s="184"/>
      <c r="E827" s="189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  <c r="AA827" s="184"/>
    </row>
    <row r="828" customFormat="false" ht="15.75" hidden="false" customHeight="false" outlineLevel="0" collapsed="false">
      <c r="A828" s="184" t="str">
        <f aca="false">IF(ISBLANK(B828),"",B828&amp;"|"&amp;C828)</f>
        <v/>
      </c>
      <c r="B828" s="184"/>
      <c r="C828" s="184"/>
      <c r="D828" s="184"/>
      <c r="E828" s="189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  <c r="AA828" s="184"/>
    </row>
    <row r="829" customFormat="false" ht="15.75" hidden="false" customHeight="false" outlineLevel="0" collapsed="false">
      <c r="A829" s="184" t="str">
        <f aca="false">IF(ISBLANK(B829),"",B829&amp;"|"&amp;C829)</f>
        <v/>
      </c>
      <c r="B829" s="184"/>
      <c r="C829" s="184"/>
      <c r="D829" s="184"/>
      <c r="E829" s="189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  <c r="AA829" s="184"/>
    </row>
    <row r="830" customFormat="false" ht="15.75" hidden="false" customHeight="false" outlineLevel="0" collapsed="false">
      <c r="A830" s="184" t="str">
        <f aca="false">IF(ISBLANK(B830),"",B830&amp;"|"&amp;C830)</f>
        <v/>
      </c>
      <c r="B830" s="184"/>
      <c r="C830" s="184"/>
      <c r="D830" s="184"/>
      <c r="E830" s="189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  <c r="AA830" s="184"/>
    </row>
    <row r="831" customFormat="false" ht="15.75" hidden="false" customHeight="false" outlineLevel="0" collapsed="false">
      <c r="A831" s="184" t="str">
        <f aca="false">IF(ISBLANK(B831),"",B831&amp;"|"&amp;C831)</f>
        <v/>
      </c>
      <c r="B831" s="184"/>
      <c r="C831" s="184"/>
      <c r="D831" s="184"/>
      <c r="E831" s="189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  <c r="AA831" s="184"/>
    </row>
    <row r="832" customFormat="false" ht="15.75" hidden="false" customHeight="false" outlineLevel="0" collapsed="false">
      <c r="A832" s="184" t="str">
        <f aca="false">IF(ISBLANK(B832),"",B832&amp;"|"&amp;C832)</f>
        <v/>
      </c>
      <c r="B832" s="184"/>
      <c r="C832" s="184"/>
      <c r="D832" s="184"/>
      <c r="E832" s="189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  <c r="AA832" s="184"/>
    </row>
    <row r="833" customFormat="false" ht="15.75" hidden="false" customHeight="false" outlineLevel="0" collapsed="false">
      <c r="A833" s="184" t="str">
        <f aca="false">IF(ISBLANK(B833),"",B833&amp;"|"&amp;C833)</f>
        <v/>
      </c>
      <c r="B833" s="184"/>
      <c r="C833" s="184"/>
      <c r="D833" s="184"/>
      <c r="E833" s="189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  <c r="AA833" s="184"/>
    </row>
    <row r="834" customFormat="false" ht="15.75" hidden="false" customHeight="false" outlineLevel="0" collapsed="false">
      <c r="A834" s="184" t="str">
        <f aca="false">IF(ISBLANK(B834),"",B834&amp;"|"&amp;C834)</f>
        <v/>
      </c>
      <c r="B834" s="184"/>
      <c r="C834" s="184"/>
      <c r="D834" s="184"/>
      <c r="E834" s="189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  <c r="AA834" s="184"/>
    </row>
    <row r="835" customFormat="false" ht="15.75" hidden="false" customHeight="false" outlineLevel="0" collapsed="false">
      <c r="A835" s="184" t="str">
        <f aca="false">IF(ISBLANK(B835),"",B835&amp;"|"&amp;C835)</f>
        <v/>
      </c>
      <c r="B835" s="184"/>
      <c r="C835" s="184"/>
      <c r="D835" s="184"/>
      <c r="E835" s="189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  <c r="AA835" s="184"/>
    </row>
    <row r="836" customFormat="false" ht="15.75" hidden="false" customHeight="false" outlineLevel="0" collapsed="false">
      <c r="A836" s="184" t="str">
        <f aca="false">IF(ISBLANK(B836),"",B836&amp;"|"&amp;C836)</f>
        <v/>
      </c>
      <c r="B836" s="184"/>
      <c r="C836" s="184"/>
      <c r="D836" s="184"/>
      <c r="E836" s="189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  <c r="AA836" s="184"/>
    </row>
    <row r="837" customFormat="false" ht="15.75" hidden="false" customHeight="false" outlineLevel="0" collapsed="false">
      <c r="A837" s="184" t="str">
        <f aca="false">IF(ISBLANK(B837),"",B837&amp;"|"&amp;C837)</f>
        <v/>
      </c>
      <c r="B837" s="184"/>
      <c r="C837" s="184"/>
      <c r="D837" s="184"/>
      <c r="E837" s="189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  <c r="AA837" s="184"/>
    </row>
    <row r="838" customFormat="false" ht="15.75" hidden="false" customHeight="false" outlineLevel="0" collapsed="false">
      <c r="A838" s="184" t="str">
        <f aca="false">IF(ISBLANK(B838),"",B838&amp;"|"&amp;C838)</f>
        <v/>
      </c>
      <c r="B838" s="184"/>
      <c r="C838" s="184"/>
      <c r="D838" s="184"/>
      <c r="E838" s="189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  <c r="AA838" s="184"/>
    </row>
    <row r="839" customFormat="false" ht="15.75" hidden="false" customHeight="false" outlineLevel="0" collapsed="false">
      <c r="A839" s="184" t="str">
        <f aca="false">IF(ISBLANK(B839),"",B839&amp;"|"&amp;C839)</f>
        <v/>
      </c>
      <c r="B839" s="184"/>
      <c r="C839" s="184"/>
      <c r="D839" s="184"/>
      <c r="E839" s="189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  <c r="AA839" s="184"/>
    </row>
    <row r="840" customFormat="false" ht="15.75" hidden="false" customHeight="false" outlineLevel="0" collapsed="false">
      <c r="A840" s="184" t="str">
        <f aca="false">IF(ISBLANK(B840),"",B840&amp;"|"&amp;C840)</f>
        <v/>
      </c>
      <c r="B840" s="184"/>
      <c r="C840" s="184"/>
      <c r="D840" s="184"/>
      <c r="E840" s="189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  <c r="AA840" s="184"/>
    </row>
    <row r="841" customFormat="false" ht="15.75" hidden="false" customHeight="false" outlineLevel="0" collapsed="false">
      <c r="A841" s="184" t="str">
        <f aca="false">IF(ISBLANK(B841),"",B841&amp;"|"&amp;C841)</f>
        <v/>
      </c>
      <c r="B841" s="184"/>
      <c r="C841" s="184"/>
      <c r="D841" s="184"/>
      <c r="E841" s="189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  <c r="AA841" s="184"/>
    </row>
    <row r="842" customFormat="false" ht="15.75" hidden="false" customHeight="false" outlineLevel="0" collapsed="false">
      <c r="A842" s="184" t="str">
        <f aca="false">IF(ISBLANK(B842),"",B842&amp;"|"&amp;C842)</f>
        <v/>
      </c>
      <c r="B842" s="184"/>
      <c r="C842" s="184"/>
      <c r="D842" s="184"/>
      <c r="E842" s="189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  <c r="AA842" s="184"/>
    </row>
    <row r="843" customFormat="false" ht="15.75" hidden="false" customHeight="false" outlineLevel="0" collapsed="false">
      <c r="A843" s="184" t="str">
        <f aca="false">IF(ISBLANK(B843),"",B843&amp;"|"&amp;C843)</f>
        <v/>
      </c>
      <c r="B843" s="184"/>
      <c r="C843" s="184"/>
      <c r="D843" s="184"/>
      <c r="E843" s="189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  <c r="AA843" s="184"/>
    </row>
    <row r="844" customFormat="false" ht="15.75" hidden="false" customHeight="false" outlineLevel="0" collapsed="false">
      <c r="A844" s="184" t="str">
        <f aca="false">IF(ISBLANK(B844),"",B844&amp;"|"&amp;C844)</f>
        <v/>
      </c>
      <c r="B844" s="184"/>
      <c r="C844" s="184"/>
      <c r="D844" s="184"/>
      <c r="E844" s="189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  <c r="AA844" s="184"/>
    </row>
    <row r="845" customFormat="false" ht="15.75" hidden="false" customHeight="false" outlineLevel="0" collapsed="false">
      <c r="A845" s="184" t="str">
        <f aca="false">IF(ISBLANK(B845),"",B845&amp;"|"&amp;C845)</f>
        <v/>
      </c>
      <c r="B845" s="184"/>
      <c r="C845" s="184"/>
      <c r="D845" s="184"/>
      <c r="E845" s="189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  <c r="AA845" s="184"/>
    </row>
    <row r="846" customFormat="false" ht="15.75" hidden="false" customHeight="false" outlineLevel="0" collapsed="false">
      <c r="A846" s="184" t="str">
        <f aca="false">IF(ISBLANK(B846),"",B846&amp;"|"&amp;C846)</f>
        <v/>
      </c>
      <c r="B846" s="184"/>
      <c r="C846" s="184"/>
      <c r="D846" s="184"/>
      <c r="E846" s="189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  <c r="AA846" s="184"/>
    </row>
    <row r="847" customFormat="false" ht="15.75" hidden="false" customHeight="false" outlineLevel="0" collapsed="false">
      <c r="A847" s="184" t="str">
        <f aca="false">IF(ISBLANK(B847),"",B847&amp;"|"&amp;C847)</f>
        <v/>
      </c>
      <c r="B847" s="184"/>
      <c r="C847" s="184"/>
      <c r="D847" s="184"/>
      <c r="E847" s="189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  <c r="AA847" s="184"/>
    </row>
    <row r="848" customFormat="false" ht="15.75" hidden="false" customHeight="false" outlineLevel="0" collapsed="false">
      <c r="A848" s="184" t="str">
        <f aca="false">IF(ISBLANK(B848),"",B848&amp;"|"&amp;C848)</f>
        <v/>
      </c>
      <c r="B848" s="184"/>
      <c r="C848" s="184"/>
      <c r="D848" s="184"/>
      <c r="E848" s="189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  <c r="AA848" s="184"/>
    </row>
    <row r="849" customFormat="false" ht="15.75" hidden="false" customHeight="false" outlineLevel="0" collapsed="false">
      <c r="A849" s="184" t="str">
        <f aca="false">IF(ISBLANK(B849),"",B849&amp;"|"&amp;C849)</f>
        <v/>
      </c>
      <c r="B849" s="184"/>
      <c r="C849" s="184"/>
      <c r="D849" s="184"/>
      <c r="E849" s="189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  <c r="AA849" s="184"/>
    </row>
    <row r="850" customFormat="false" ht="15.75" hidden="false" customHeight="false" outlineLevel="0" collapsed="false">
      <c r="A850" s="184" t="str">
        <f aca="false">IF(ISBLANK(B850),"",B850&amp;"|"&amp;C850)</f>
        <v/>
      </c>
      <c r="B850" s="184"/>
      <c r="C850" s="184"/>
      <c r="D850" s="184"/>
      <c r="E850" s="189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  <c r="AA850" s="184"/>
    </row>
    <row r="851" customFormat="false" ht="15.75" hidden="false" customHeight="false" outlineLevel="0" collapsed="false">
      <c r="A851" s="184" t="str">
        <f aca="false">IF(ISBLANK(B851),"",B851&amp;"|"&amp;C851)</f>
        <v/>
      </c>
      <c r="B851" s="184"/>
      <c r="C851" s="184"/>
      <c r="D851" s="184"/>
      <c r="E851" s="189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  <c r="AA851" s="184"/>
    </row>
    <row r="852" customFormat="false" ht="15.75" hidden="false" customHeight="false" outlineLevel="0" collapsed="false">
      <c r="A852" s="184" t="str">
        <f aca="false">IF(ISBLANK(B852),"",B852&amp;"|"&amp;C852)</f>
        <v/>
      </c>
      <c r="B852" s="184"/>
      <c r="C852" s="184"/>
      <c r="D852" s="184"/>
      <c r="E852" s="189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  <c r="AA852" s="184"/>
    </row>
    <row r="853" customFormat="false" ht="15.75" hidden="false" customHeight="false" outlineLevel="0" collapsed="false">
      <c r="A853" s="184" t="str">
        <f aca="false">IF(ISBLANK(B853),"",B853&amp;"|"&amp;C853)</f>
        <v/>
      </c>
      <c r="B853" s="184"/>
      <c r="C853" s="184"/>
      <c r="D853" s="184"/>
      <c r="E853" s="189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  <c r="AA853" s="184"/>
    </row>
    <row r="854" customFormat="false" ht="15.75" hidden="false" customHeight="false" outlineLevel="0" collapsed="false">
      <c r="A854" s="184" t="str">
        <f aca="false">IF(ISBLANK(B854),"",B854&amp;"|"&amp;C854)</f>
        <v/>
      </c>
      <c r="B854" s="184"/>
      <c r="C854" s="184"/>
      <c r="D854" s="184"/>
      <c r="E854" s="189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  <c r="AA854" s="184"/>
    </row>
    <row r="855" customFormat="false" ht="15.75" hidden="false" customHeight="false" outlineLevel="0" collapsed="false">
      <c r="A855" s="184" t="str">
        <f aca="false">IF(ISBLANK(B855),"",B855&amp;"|"&amp;C855)</f>
        <v/>
      </c>
      <c r="B855" s="184"/>
      <c r="C855" s="184"/>
      <c r="D855" s="184"/>
      <c r="E855" s="189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  <c r="AA855" s="184"/>
    </row>
    <row r="856" customFormat="false" ht="15.75" hidden="false" customHeight="false" outlineLevel="0" collapsed="false">
      <c r="A856" s="184" t="str">
        <f aca="false">IF(ISBLANK(B856),"",B856&amp;"|"&amp;C856)</f>
        <v/>
      </c>
      <c r="B856" s="184"/>
      <c r="C856" s="184"/>
      <c r="D856" s="184"/>
      <c r="E856" s="189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  <c r="AA856" s="184"/>
    </row>
    <row r="857" customFormat="false" ht="15.75" hidden="false" customHeight="false" outlineLevel="0" collapsed="false">
      <c r="A857" s="184" t="str">
        <f aca="false">IF(ISBLANK(B857),"",B857&amp;"|"&amp;C857)</f>
        <v/>
      </c>
      <c r="B857" s="184"/>
      <c r="C857" s="184"/>
      <c r="D857" s="184"/>
      <c r="E857" s="189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  <c r="AA857" s="184"/>
    </row>
    <row r="858" customFormat="false" ht="15.75" hidden="false" customHeight="false" outlineLevel="0" collapsed="false">
      <c r="A858" s="184" t="str">
        <f aca="false">IF(ISBLANK(B858),"",B858&amp;"|"&amp;C858)</f>
        <v/>
      </c>
      <c r="B858" s="184"/>
      <c r="C858" s="184"/>
      <c r="D858" s="184"/>
      <c r="E858" s="189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  <c r="AA858" s="184"/>
    </row>
    <row r="859" customFormat="false" ht="15.75" hidden="false" customHeight="false" outlineLevel="0" collapsed="false">
      <c r="A859" s="184" t="str">
        <f aca="false">IF(ISBLANK(B859),"",B859&amp;"|"&amp;C859)</f>
        <v/>
      </c>
      <c r="B859" s="184"/>
      <c r="C859" s="184"/>
      <c r="D859" s="184"/>
      <c r="E859" s="189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  <c r="AA859" s="184"/>
    </row>
    <row r="860" customFormat="false" ht="15.75" hidden="false" customHeight="false" outlineLevel="0" collapsed="false">
      <c r="A860" s="184" t="str">
        <f aca="false">IF(ISBLANK(B860),"",B860&amp;"|"&amp;C860)</f>
        <v/>
      </c>
      <c r="B860" s="184"/>
      <c r="C860" s="184"/>
      <c r="D860" s="184"/>
      <c r="E860" s="189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  <c r="AA860" s="184"/>
    </row>
    <row r="861" customFormat="false" ht="15.75" hidden="false" customHeight="false" outlineLevel="0" collapsed="false">
      <c r="A861" s="184" t="str">
        <f aca="false">IF(ISBLANK(B861),"",B861&amp;"|"&amp;C861)</f>
        <v/>
      </c>
      <c r="B861" s="184"/>
      <c r="C861" s="184"/>
      <c r="D861" s="184"/>
      <c r="E861" s="189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  <c r="AA861" s="184"/>
    </row>
    <row r="862" customFormat="false" ht="15.75" hidden="false" customHeight="false" outlineLevel="0" collapsed="false">
      <c r="A862" s="184" t="str">
        <f aca="false">IF(ISBLANK(B862),"",B862&amp;"|"&amp;C862)</f>
        <v/>
      </c>
      <c r="B862" s="184"/>
      <c r="C862" s="184"/>
      <c r="D862" s="184"/>
      <c r="E862" s="189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  <c r="AA862" s="184"/>
    </row>
    <row r="863" customFormat="false" ht="15.75" hidden="false" customHeight="false" outlineLevel="0" collapsed="false">
      <c r="A863" s="184" t="str">
        <f aca="false">IF(ISBLANK(B863),"",B863&amp;"|"&amp;C863)</f>
        <v/>
      </c>
      <c r="B863" s="184"/>
      <c r="C863" s="184"/>
      <c r="D863" s="184"/>
      <c r="E863" s="189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  <c r="AA863" s="184"/>
    </row>
    <row r="864" customFormat="false" ht="15.75" hidden="false" customHeight="false" outlineLevel="0" collapsed="false">
      <c r="A864" s="184" t="str">
        <f aca="false">IF(ISBLANK(B864),"",B864&amp;"|"&amp;C864)</f>
        <v/>
      </c>
      <c r="B864" s="184"/>
      <c r="C864" s="184"/>
      <c r="D864" s="184"/>
      <c r="E864" s="189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  <c r="AA864" s="184"/>
    </row>
    <row r="865" customFormat="false" ht="15.75" hidden="false" customHeight="false" outlineLevel="0" collapsed="false">
      <c r="A865" s="184" t="str">
        <f aca="false">IF(ISBLANK(B865),"",B865&amp;"|"&amp;C865)</f>
        <v/>
      </c>
      <c r="B865" s="184"/>
      <c r="C865" s="184"/>
      <c r="D865" s="184"/>
      <c r="E865" s="189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  <c r="AA865" s="184"/>
    </row>
    <row r="866" customFormat="false" ht="15.75" hidden="false" customHeight="false" outlineLevel="0" collapsed="false">
      <c r="A866" s="184" t="str">
        <f aca="false">IF(ISBLANK(B866),"",B866&amp;"|"&amp;C866)</f>
        <v/>
      </c>
      <c r="B866" s="184"/>
      <c r="C866" s="184"/>
      <c r="D866" s="184"/>
      <c r="E866" s="189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  <c r="AA866" s="184"/>
    </row>
    <row r="867" customFormat="false" ht="15.75" hidden="false" customHeight="false" outlineLevel="0" collapsed="false">
      <c r="A867" s="184" t="str">
        <f aca="false">IF(ISBLANK(B867),"",B867&amp;"|"&amp;C867)</f>
        <v/>
      </c>
      <c r="B867" s="184"/>
      <c r="C867" s="184"/>
      <c r="D867" s="184"/>
      <c r="E867" s="189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  <c r="AA867" s="184"/>
    </row>
    <row r="868" customFormat="false" ht="15.75" hidden="false" customHeight="false" outlineLevel="0" collapsed="false">
      <c r="A868" s="184" t="str">
        <f aca="false">IF(ISBLANK(B868),"",B868&amp;"|"&amp;C868)</f>
        <v/>
      </c>
      <c r="B868" s="184"/>
      <c r="C868" s="184"/>
      <c r="D868" s="184"/>
      <c r="E868" s="189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  <c r="AA868" s="184"/>
    </row>
    <row r="869" customFormat="false" ht="15.75" hidden="false" customHeight="false" outlineLevel="0" collapsed="false">
      <c r="A869" s="184" t="str">
        <f aca="false">IF(ISBLANK(B869),"",B869&amp;"|"&amp;C869)</f>
        <v/>
      </c>
      <c r="B869" s="184"/>
      <c r="C869" s="184"/>
      <c r="D869" s="184"/>
      <c r="E869" s="189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  <c r="AA869" s="184"/>
    </row>
    <row r="870" customFormat="false" ht="15.75" hidden="false" customHeight="false" outlineLevel="0" collapsed="false">
      <c r="A870" s="184" t="str">
        <f aca="false">IF(ISBLANK(B870),"",B870&amp;"|"&amp;C870)</f>
        <v/>
      </c>
      <c r="B870" s="184"/>
      <c r="C870" s="184"/>
      <c r="D870" s="184"/>
      <c r="E870" s="189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  <c r="AA870" s="184"/>
    </row>
    <row r="871" customFormat="false" ht="15.75" hidden="false" customHeight="false" outlineLevel="0" collapsed="false">
      <c r="A871" s="184" t="str">
        <f aca="false">IF(ISBLANK(B871),"",B871&amp;"|"&amp;C871)</f>
        <v/>
      </c>
      <c r="B871" s="184"/>
      <c r="C871" s="184"/>
      <c r="D871" s="184"/>
      <c r="E871" s="189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  <c r="AA871" s="184"/>
    </row>
    <row r="872" customFormat="false" ht="15.75" hidden="false" customHeight="false" outlineLevel="0" collapsed="false">
      <c r="A872" s="184" t="str">
        <f aca="false">IF(ISBLANK(B872),"",B872&amp;"|"&amp;C872)</f>
        <v/>
      </c>
      <c r="B872" s="184"/>
      <c r="C872" s="184"/>
      <c r="D872" s="184"/>
      <c r="E872" s="189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  <c r="AA872" s="184"/>
    </row>
    <row r="873" customFormat="false" ht="15.75" hidden="false" customHeight="false" outlineLevel="0" collapsed="false">
      <c r="A873" s="184" t="str">
        <f aca="false">IF(ISBLANK(B873),"",B873&amp;"|"&amp;C873)</f>
        <v/>
      </c>
      <c r="B873" s="184"/>
      <c r="C873" s="184"/>
      <c r="D873" s="184"/>
      <c r="E873" s="189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  <c r="AA873" s="184"/>
    </row>
    <row r="874" customFormat="false" ht="15.75" hidden="false" customHeight="false" outlineLevel="0" collapsed="false">
      <c r="A874" s="184" t="str">
        <f aca="false">IF(ISBLANK(B874),"",B874&amp;"|"&amp;C874)</f>
        <v/>
      </c>
      <c r="B874" s="184"/>
      <c r="C874" s="184"/>
      <c r="D874" s="184"/>
      <c r="E874" s="189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  <c r="AA874" s="184"/>
    </row>
    <row r="875" customFormat="false" ht="15.75" hidden="false" customHeight="false" outlineLevel="0" collapsed="false">
      <c r="A875" s="184" t="str">
        <f aca="false">IF(ISBLANK(B875),"",B875&amp;"|"&amp;C875)</f>
        <v/>
      </c>
      <c r="B875" s="184"/>
      <c r="C875" s="184"/>
      <c r="D875" s="184"/>
      <c r="E875" s="189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  <c r="AA875" s="184"/>
    </row>
    <row r="876" customFormat="false" ht="15.75" hidden="false" customHeight="false" outlineLevel="0" collapsed="false">
      <c r="A876" s="184" t="str">
        <f aca="false">IF(ISBLANK(B876),"",B876&amp;"|"&amp;C876)</f>
        <v/>
      </c>
      <c r="B876" s="184"/>
      <c r="C876" s="184"/>
      <c r="D876" s="184"/>
      <c r="E876" s="189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  <c r="AA876" s="184"/>
    </row>
    <row r="877" customFormat="false" ht="15.75" hidden="false" customHeight="false" outlineLevel="0" collapsed="false">
      <c r="A877" s="184" t="str">
        <f aca="false">IF(ISBLANK(B877),"",B877&amp;"|"&amp;C877)</f>
        <v/>
      </c>
      <c r="B877" s="184"/>
      <c r="C877" s="184"/>
      <c r="D877" s="184"/>
      <c r="E877" s="189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  <c r="AA877" s="184"/>
    </row>
    <row r="878" customFormat="false" ht="15.75" hidden="false" customHeight="false" outlineLevel="0" collapsed="false">
      <c r="A878" s="184" t="str">
        <f aca="false">IF(ISBLANK(B878),"",B878&amp;"|"&amp;C878)</f>
        <v/>
      </c>
      <c r="B878" s="184"/>
      <c r="C878" s="184"/>
      <c r="D878" s="184"/>
      <c r="E878" s="189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  <c r="AA878" s="184"/>
    </row>
    <row r="879" customFormat="false" ht="15.75" hidden="false" customHeight="false" outlineLevel="0" collapsed="false">
      <c r="A879" s="184" t="str">
        <f aca="false">IF(ISBLANK(B879),"",B879&amp;"|"&amp;C879)</f>
        <v/>
      </c>
      <c r="B879" s="184"/>
      <c r="C879" s="184"/>
      <c r="D879" s="184"/>
      <c r="E879" s="189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  <c r="AA879" s="184"/>
    </row>
    <row r="880" customFormat="false" ht="15.75" hidden="false" customHeight="false" outlineLevel="0" collapsed="false">
      <c r="A880" s="184" t="str">
        <f aca="false">IF(ISBLANK(B880),"",B880&amp;"|"&amp;C880)</f>
        <v/>
      </c>
      <c r="B880" s="184"/>
      <c r="C880" s="184"/>
      <c r="D880" s="184"/>
      <c r="E880" s="189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  <c r="AA880" s="184"/>
    </row>
    <row r="881" customFormat="false" ht="15.75" hidden="false" customHeight="false" outlineLevel="0" collapsed="false">
      <c r="A881" s="184" t="str">
        <f aca="false">IF(ISBLANK(B881),"",B881&amp;"|"&amp;C881)</f>
        <v/>
      </c>
      <c r="B881" s="184"/>
      <c r="C881" s="184"/>
      <c r="D881" s="184"/>
      <c r="E881" s="189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  <c r="AA881" s="184"/>
    </row>
    <row r="882" customFormat="false" ht="15.75" hidden="false" customHeight="false" outlineLevel="0" collapsed="false">
      <c r="A882" s="184" t="str">
        <f aca="false">IF(ISBLANK(B882),"",B882&amp;"|"&amp;C882)</f>
        <v/>
      </c>
      <c r="B882" s="184"/>
      <c r="C882" s="184"/>
      <c r="D882" s="184"/>
      <c r="E882" s="189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  <c r="AA882" s="184"/>
    </row>
    <row r="883" customFormat="false" ht="15.75" hidden="false" customHeight="false" outlineLevel="0" collapsed="false">
      <c r="A883" s="184" t="str">
        <f aca="false">IF(ISBLANK(B883),"",B883&amp;"|"&amp;C883)</f>
        <v/>
      </c>
      <c r="B883" s="184"/>
      <c r="C883" s="184"/>
      <c r="D883" s="184"/>
      <c r="E883" s="189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  <c r="AA883" s="184"/>
    </row>
    <row r="884" customFormat="false" ht="15.75" hidden="false" customHeight="false" outlineLevel="0" collapsed="false">
      <c r="A884" s="184" t="str">
        <f aca="false">IF(ISBLANK(B884),"",B884&amp;"|"&amp;C884)</f>
        <v/>
      </c>
      <c r="B884" s="184"/>
      <c r="C884" s="184"/>
      <c r="D884" s="184"/>
      <c r="E884" s="189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  <c r="AA884" s="184"/>
    </row>
    <row r="885" customFormat="false" ht="15.75" hidden="false" customHeight="false" outlineLevel="0" collapsed="false">
      <c r="A885" s="184" t="str">
        <f aca="false">IF(ISBLANK(B885),"",B885&amp;"|"&amp;C885)</f>
        <v/>
      </c>
      <c r="B885" s="184"/>
      <c r="C885" s="184"/>
      <c r="D885" s="184"/>
      <c r="E885" s="189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  <c r="AA885" s="184"/>
    </row>
    <row r="886" customFormat="false" ht="15.75" hidden="false" customHeight="false" outlineLevel="0" collapsed="false">
      <c r="A886" s="184" t="str">
        <f aca="false">IF(ISBLANK(B886),"",B886&amp;"|"&amp;C886)</f>
        <v/>
      </c>
      <c r="B886" s="184"/>
      <c r="C886" s="184"/>
      <c r="D886" s="184"/>
      <c r="E886" s="189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  <c r="AA886" s="184"/>
    </row>
    <row r="887" customFormat="false" ht="15.75" hidden="false" customHeight="false" outlineLevel="0" collapsed="false">
      <c r="A887" s="184" t="str">
        <f aca="false">IF(ISBLANK(B887),"",B887&amp;"|"&amp;C887)</f>
        <v/>
      </c>
      <c r="B887" s="184"/>
      <c r="C887" s="184"/>
      <c r="D887" s="184"/>
      <c r="E887" s="189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  <c r="AA887" s="184"/>
    </row>
    <row r="888" customFormat="false" ht="15.75" hidden="false" customHeight="false" outlineLevel="0" collapsed="false">
      <c r="A888" s="184" t="str">
        <f aca="false">IF(ISBLANK(B888),"",B888&amp;"|"&amp;C888)</f>
        <v/>
      </c>
      <c r="B888" s="184"/>
      <c r="C888" s="184"/>
      <c r="D888" s="184"/>
      <c r="E888" s="189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  <c r="AA888" s="184"/>
    </row>
    <row r="889" customFormat="false" ht="15.75" hidden="false" customHeight="false" outlineLevel="0" collapsed="false">
      <c r="A889" s="184" t="str">
        <f aca="false">IF(ISBLANK(B889),"",B889&amp;"|"&amp;C889)</f>
        <v/>
      </c>
      <c r="B889" s="184"/>
      <c r="C889" s="184"/>
      <c r="D889" s="184"/>
      <c r="E889" s="189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  <c r="AA889" s="184"/>
    </row>
    <row r="890" customFormat="false" ht="15.75" hidden="false" customHeight="false" outlineLevel="0" collapsed="false">
      <c r="A890" s="184" t="str">
        <f aca="false">IF(ISBLANK(B890),"",B890&amp;"|"&amp;C890)</f>
        <v/>
      </c>
      <c r="B890" s="184"/>
      <c r="C890" s="184"/>
      <c r="D890" s="184"/>
      <c r="E890" s="189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  <c r="AA890" s="184"/>
    </row>
    <row r="891" customFormat="false" ht="15.75" hidden="false" customHeight="false" outlineLevel="0" collapsed="false">
      <c r="A891" s="184" t="str">
        <f aca="false">IF(ISBLANK(B891),"",B891&amp;"|"&amp;C891)</f>
        <v/>
      </c>
      <c r="B891" s="184"/>
      <c r="C891" s="184"/>
      <c r="D891" s="184"/>
      <c r="E891" s="189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  <c r="AA891" s="184"/>
    </row>
    <row r="892" customFormat="false" ht="15.75" hidden="false" customHeight="false" outlineLevel="0" collapsed="false">
      <c r="A892" s="184" t="str">
        <f aca="false">IF(ISBLANK(B892),"",B892&amp;"|"&amp;C892)</f>
        <v/>
      </c>
      <c r="B892" s="184"/>
      <c r="C892" s="184"/>
      <c r="D892" s="184"/>
      <c r="E892" s="189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  <c r="AA892" s="184"/>
    </row>
    <row r="893" customFormat="false" ht="15.75" hidden="false" customHeight="false" outlineLevel="0" collapsed="false">
      <c r="A893" s="184" t="str">
        <f aca="false">IF(ISBLANK(B893),"",B893&amp;"|"&amp;C893)</f>
        <v/>
      </c>
      <c r="B893" s="184"/>
      <c r="C893" s="184"/>
      <c r="D893" s="184"/>
      <c r="E893" s="189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  <c r="AA893" s="184"/>
    </row>
    <row r="894" customFormat="false" ht="15.75" hidden="false" customHeight="false" outlineLevel="0" collapsed="false">
      <c r="A894" s="184" t="str">
        <f aca="false">IF(ISBLANK(B894),"",B894&amp;"|"&amp;C894)</f>
        <v/>
      </c>
      <c r="B894" s="184"/>
      <c r="C894" s="184"/>
      <c r="D894" s="184"/>
      <c r="E894" s="189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  <c r="AA894" s="184"/>
    </row>
    <row r="895" customFormat="false" ht="15.75" hidden="false" customHeight="false" outlineLevel="0" collapsed="false">
      <c r="A895" s="184" t="str">
        <f aca="false">IF(ISBLANK(B895),"",B895&amp;"|"&amp;C895)</f>
        <v/>
      </c>
      <c r="B895" s="184"/>
      <c r="C895" s="184"/>
      <c r="D895" s="184"/>
      <c r="E895" s="189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  <c r="AA895" s="184"/>
    </row>
    <row r="896" customFormat="false" ht="15.75" hidden="false" customHeight="false" outlineLevel="0" collapsed="false">
      <c r="A896" s="184" t="str">
        <f aca="false">IF(ISBLANK(B896),"",B896&amp;"|"&amp;C896)</f>
        <v/>
      </c>
      <c r="B896" s="184"/>
      <c r="C896" s="184"/>
      <c r="D896" s="184"/>
      <c r="E896" s="189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  <c r="AA896" s="184"/>
    </row>
    <row r="897" customFormat="false" ht="15.75" hidden="false" customHeight="false" outlineLevel="0" collapsed="false">
      <c r="A897" s="184" t="str">
        <f aca="false">IF(ISBLANK(B897),"",B897&amp;"|"&amp;C897)</f>
        <v/>
      </c>
      <c r="B897" s="184"/>
      <c r="C897" s="184"/>
      <c r="D897" s="184"/>
      <c r="E897" s="189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  <c r="AA897" s="184"/>
    </row>
    <row r="898" customFormat="false" ht="15.75" hidden="false" customHeight="false" outlineLevel="0" collapsed="false">
      <c r="A898" s="184" t="str">
        <f aca="false">IF(ISBLANK(B898),"",B898&amp;"|"&amp;C898)</f>
        <v/>
      </c>
      <c r="B898" s="184"/>
      <c r="C898" s="184"/>
      <c r="D898" s="184"/>
      <c r="E898" s="189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  <c r="AA898" s="184"/>
    </row>
    <row r="899" customFormat="false" ht="15.75" hidden="false" customHeight="false" outlineLevel="0" collapsed="false">
      <c r="A899" s="184" t="str">
        <f aca="false">IF(ISBLANK(B899),"",B899&amp;"|"&amp;C899)</f>
        <v/>
      </c>
      <c r="B899" s="184"/>
      <c r="C899" s="184"/>
      <c r="D899" s="184"/>
      <c r="E899" s="189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  <c r="AA899" s="184"/>
    </row>
    <row r="900" customFormat="false" ht="15.75" hidden="false" customHeight="false" outlineLevel="0" collapsed="false">
      <c r="A900" s="184" t="str">
        <f aca="false">IF(ISBLANK(B900),"",B900&amp;"|"&amp;C900)</f>
        <v/>
      </c>
      <c r="B900" s="184"/>
      <c r="C900" s="184"/>
      <c r="D900" s="184"/>
      <c r="E900" s="189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  <c r="AA900" s="184"/>
    </row>
    <row r="901" customFormat="false" ht="15.75" hidden="false" customHeight="false" outlineLevel="0" collapsed="false">
      <c r="A901" s="184" t="str">
        <f aca="false">IF(ISBLANK(B901),"",B901&amp;"|"&amp;C901)</f>
        <v/>
      </c>
      <c r="B901" s="184"/>
      <c r="C901" s="184"/>
      <c r="D901" s="184"/>
      <c r="E901" s="189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  <c r="AA901" s="184"/>
    </row>
    <row r="902" customFormat="false" ht="15.75" hidden="false" customHeight="false" outlineLevel="0" collapsed="false">
      <c r="A902" s="184" t="str">
        <f aca="false">IF(ISBLANK(B902),"",B902&amp;"|"&amp;C902)</f>
        <v/>
      </c>
      <c r="B902" s="184"/>
      <c r="C902" s="184"/>
      <c r="D902" s="184"/>
      <c r="E902" s="189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  <c r="AA902" s="184"/>
    </row>
    <row r="903" customFormat="false" ht="15.75" hidden="false" customHeight="false" outlineLevel="0" collapsed="false">
      <c r="A903" s="184" t="str">
        <f aca="false">IF(ISBLANK(B903),"",B903&amp;"|"&amp;C903)</f>
        <v/>
      </c>
      <c r="B903" s="184"/>
      <c r="C903" s="184"/>
      <c r="D903" s="184"/>
      <c r="E903" s="189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  <c r="AA903" s="184"/>
    </row>
    <row r="904" customFormat="false" ht="15.75" hidden="false" customHeight="false" outlineLevel="0" collapsed="false">
      <c r="A904" s="184" t="str">
        <f aca="false">IF(ISBLANK(B904),"",B904&amp;"|"&amp;C904)</f>
        <v/>
      </c>
      <c r="B904" s="184"/>
      <c r="C904" s="184"/>
      <c r="D904" s="184"/>
      <c r="E904" s="189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  <c r="AA904" s="184"/>
    </row>
    <row r="905" customFormat="false" ht="15.75" hidden="false" customHeight="false" outlineLevel="0" collapsed="false">
      <c r="A905" s="184" t="str">
        <f aca="false">IF(ISBLANK(B905),"",B905&amp;"|"&amp;C905)</f>
        <v/>
      </c>
      <c r="B905" s="184"/>
      <c r="C905" s="184"/>
      <c r="D905" s="184"/>
      <c r="E905" s="189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  <c r="AA905" s="184"/>
    </row>
    <row r="906" customFormat="false" ht="15.75" hidden="false" customHeight="false" outlineLevel="0" collapsed="false">
      <c r="A906" s="184" t="str">
        <f aca="false">IF(ISBLANK(B906),"",B906&amp;"|"&amp;C906)</f>
        <v/>
      </c>
      <c r="B906" s="184"/>
      <c r="C906" s="184"/>
      <c r="D906" s="184"/>
      <c r="E906" s="189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  <c r="AA906" s="184"/>
    </row>
    <row r="907" customFormat="false" ht="15.75" hidden="false" customHeight="false" outlineLevel="0" collapsed="false">
      <c r="A907" s="184" t="str">
        <f aca="false">IF(ISBLANK(B907),"",B907&amp;"|"&amp;C907)</f>
        <v/>
      </c>
      <c r="B907" s="184"/>
      <c r="C907" s="184"/>
      <c r="D907" s="184"/>
      <c r="E907" s="189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  <c r="AA907" s="184"/>
    </row>
    <row r="908" customFormat="false" ht="15.75" hidden="false" customHeight="false" outlineLevel="0" collapsed="false">
      <c r="A908" s="184" t="str">
        <f aca="false">IF(ISBLANK(B908),"",B908&amp;"|"&amp;C908)</f>
        <v/>
      </c>
      <c r="B908" s="184"/>
      <c r="C908" s="184"/>
      <c r="D908" s="184"/>
      <c r="E908" s="189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  <c r="AA908" s="184"/>
    </row>
    <row r="909" customFormat="false" ht="15.75" hidden="false" customHeight="false" outlineLevel="0" collapsed="false">
      <c r="A909" s="184" t="str">
        <f aca="false">IF(ISBLANK(B909),"",B909&amp;"|"&amp;C909)</f>
        <v/>
      </c>
      <c r="B909" s="184"/>
      <c r="C909" s="184"/>
      <c r="D909" s="184"/>
      <c r="E909" s="189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  <c r="AA909" s="184"/>
    </row>
    <row r="910" customFormat="false" ht="15.75" hidden="false" customHeight="false" outlineLevel="0" collapsed="false">
      <c r="A910" s="184" t="str">
        <f aca="false">IF(ISBLANK(B910),"",B910&amp;"|"&amp;C910)</f>
        <v/>
      </c>
      <c r="B910" s="184"/>
      <c r="C910" s="184"/>
      <c r="D910" s="184"/>
      <c r="E910" s="189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  <c r="AA910" s="184"/>
    </row>
    <row r="911" customFormat="false" ht="15.75" hidden="false" customHeight="false" outlineLevel="0" collapsed="false">
      <c r="A911" s="184" t="str">
        <f aca="false">IF(ISBLANK(B911),"",B911&amp;"|"&amp;C911)</f>
        <v/>
      </c>
      <c r="B911" s="184"/>
      <c r="C911" s="184"/>
      <c r="D911" s="184"/>
      <c r="E911" s="189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  <c r="AA911" s="184"/>
    </row>
    <row r="912" customFormat="false" ht="15.75" hidden="false" customHeight="false" outlineLevel="0" collapsed="false">
      <c r="A912" s="184" t="str">
        <f aca="false">IF(ISBLANK(B912),"",B912&amp;"|"&amp;C912)</f>
        <v/>
      </c>
      <c r="B912" s="184"/>
      <c r="C912" s="184"/>
      <c r="D912" s="184"/>
      <c r="E912" s="189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  <c r="AA912" s="184"/>
    </row>
    <row r="913" customFormat="false" ht="15.75" hidden="false" customHeight="false" outlineLevel="0" collapsed="false">
      <c r="A913" s="184" t="str">
        <f aca="false">IF(ISBLANK(B913),"",B913&amp;"|"&amp;C913)</f>
        <v/>
      </c>
      <c r="B913" s="184"/>
      <c r="C913" s="184"/>
      <c r="D913" s="184"/>
      <c r="E913" s="189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  <c r="AA913" s="184"/>
    </row>
    <row r="914" customFormat="false" ht="15.75" hidden="false" customHeight="false" outlineLevel="0" collapsed="false">
      <c r="A914" s="184" t="str">
        <f aca="false">IF(ISBLANK(B914),"",B914&amp;"|"&amp;C914)</f>
        <v/>
      </c>
      <c r="B914" s="184"/>
      <c r="C914" s="184"/>
      <c r="D914" s="184"/>
      <c r="E914" s="189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  <c r="AA914" s="184"/>
    </row>
    <row r="915" customFormat="false" ht="15.75" hidden="false" customHeight="false" outlineLevel="0" collapsed="false">
      <c r="A915" s="184" t="str">
        <f aca="false">IF(ISBLANK(B915),"",B915&amp;"|"&amp;C915)</f>
        <v/>
      </c>
      <c r="B915" s="184"/>
      <c r="C915" s="184"/>
      <c r="D915" s="184"/>
      <c r="E915" s="189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  <c r="AA915" s="184"/>
    </row>
    <row r="916" customFormat="false" ht="15.75" hidden="false" customHeight="false" outlineLevel="0" collapsed="false">
      <c r="A916" s="184" t="str">
        <f aca="false">IF(ISBLANK(B916),"",B916&amp;"|"&amp;C916)</f>
        <v/>
      </c>
      <c r="B916" s="184"/>
      <c r="C916" s="184"/>
      <c r="D916" s="184"/>
      <c r="E916" s="189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  <c r="AA916" s="184"/>
    </row>
    <row r="917" customFormat="false" ht="15.75" hidden="false" customHeight="false" outlineLevel="0" collapsed="false">
      <c r="A917" s="184" t="str">
        <f aca="false">IF(ISBLANK(B917),"",B917&amp;"|"&amp;C917)</f>
        <v/>
      </c>
      <c r="B917" s="184"/>
      <c r="C917" s="184"/>
      <c r="D917" s="184"/>
      <c r="E917" s="189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  <c r="AA917" s="184"/>
    </row>
    <row r="918" customFormat="false" ht="15.75" hidden="false" customHeight="false" outlineLevel="0" collapsed="false">
      <c r="A918" s="184" t="str">
        <f aca="false">IF(ISBLANK(B918),"",B918&amp;"|"&amp;C918)</f>
        <v/>
      </c>
      <c r="B918" s="184"/>
      <c r="C918" s="184"/>
      <c r="D918" s="184"/>
      <c r="E918" s="189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  <c r="AA918" s="184"/>
    </row>
    <row r="919" customFormat="false" ht="15.75" hidden="false" customHeight="false" outlineLevel="0" collapsed="false">
      <c r="A919" s="184" t="str">
        <f aca="false">IF(ISBLANK(B919),"",B919&amp;"|"&amp;C919)</f>
        <v/>
      </c>
      <c r="B919" s="184"/>
      <c r="C919" s="184"/>
      <c r="D919" s="184"/>
      <c r="E919" s="189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  <c r="AA919" s="184"/>
    </row>
    <row r="920" customFormat="false" ht="15.75" hidden="false" customHeight="false" outlineLevel="0" collapsed="false">
      <c r="A920" s="184" t="str">
        <f aca="false">IF(ISBLANK(B920),"",B920&amp;"|"&amp;C920)</f>
        <v/>
      </c>
      <c r="B920" s="184"/>
      <c r="C920" s="184"/>
      <c r="D920" s="184"/>
      <c r="E920" s="189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  <c r="AA920" s="184"/>
    </row>
    <row r="921" customFormat="false" ht="15.75" hidden="false" customHeight="false" outlineLevel="0" collapsed="false">
      <c r="A921" s="184" t="str">
        <f aca="false">IF(ISBLANK(B921),"",B921&amp;"|"&amp;C921)</f>
        <v/>
      </c>
      <c r="B921" s="184"/>
      <c r="C921" s="184"/>
      <c r="D921" s="184"/>
      <c r="E921" s="189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  <c r="AA921" s="184"/>
    </row>
    <row r="922" customFormat="false" ht="15.75" hidden="false" customHeight="false" outlineLevel="0" collapsed="false">
      <c r="A922" s="184" t="str">
        <f aca="false">IF(ISBLANK(B922),"",B922&amp;"|"&amp;C922)</f>
        <v/>
      </c>
      <c r="B922" s="184"/>
      <c r="C922" s="184"/>
      <c r="D922" s="184"/>
      <c r="E922" s="189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  <c r="AA922" s="184"/>
    </row>
    <row r="923" customFormat="false" ht="15.75" hidden="false" customHeight="false" outlineLevel="0" collapsed="false">
      <c r="A923" s="184" t="str">
        <f aca="false">IF(ISBLANK(B923),"",B923&amp;"|"&amp;C923)</f>
        <v/>
      </c>
      <c r="B923" s="184"/>
      <c r="C923" s="184"/>
      <c r="D923" s="184"/>
      <c r="E923" s="189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  <c r="AA923" s="184"/>
    </row>
    <row r="924" customFormat="false" ht="15.75" hidden="false" customHeight="false" outlineLevel="0" collapsed="false">
      <c r="A924" s="184" t="str">
        <f aca="false">IF(ISBLANK(B924),"",B924&amp;"|"&amp;C924)</f>
        <v/>
      </c>
      <c r="B924" s="184"/>
      <c r="C924" s="184"/>
      <c r="D924" s="184"/>
      <c r="E924" s="189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  <c r="AA924" s="184"/>
    </row>
    <row r="925" customFormat="false" ht="15.75" hidden="false" customHeight="false" outlineLevel="0" collapsed="false">
      <c r="A925" s="184" t="str">
        <f aca="false">IF(ISBLANK(B925),"",B925&amp;"|"&amp;C925)</f>
        <v/>
      </c>
      <c r="B925" s="184"/>
      <c r="C925" s="184"/>
      <c r="D925" s="184"/>
      <c r="E925" s="189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  <c r="AA925" s="184"/>
    </row>
    <row r="926" customFormat="false" ht="15.75" hidden="false" customHeight="false" outlineLevel="0" collapsed="false">
      <c r="A926" s="184" t="str">
        <f aca="false">IF(ISBLANK(B926),"",B926&amp;"|"&amp;C926)</f>
        <v/>
      </c>
      <c r="B926" s="184"/>
      <c r="C926" s="184"/>
      <c r="D926" s="184"/>
      <c r="E926" s="189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  <c r="AA926" s="184"/>
    </row>
    <row r="927" customFormat="false" ht="15.75" hidden="false" customHeight="false" outlineLevel="0" collapsed="false">
      <c r="A927" s="184" t="str">
        <f aca="false">IF(ISBLANK(B927),"",B927&amp;"|"&amp;C927)</f>
        <v/>
      </c>
      <c r="B927" s="184"/>
      <c r="C927" s="184"/>
      <c r="D927" s="184"/>
      <c r="E927" s="189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  <c r="AA927" s="184"/>
    </row>
    <row r="928" customFormat="false" ht="15.75" hidden="false" customHeight="false" outlineLevel="0" collapsed="false">
      <c r="A928" s="184" t="str">
        <f aca="false">IF(ISBLANK(B928),"",B928&amp;"|"&amp;C928)</f>
        <v/>
      </c>
      <c r="B928" s="184"/>
      <c r="C928" s="184"/>
      <c r="D928" s="184"/>
      <c r="E928" s="189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  <c r="AA928" s="184"/>
    </row>
    <row r="929" customFormat="false" ht="15.75" hidden="false" customHeight="false" outlineLevel="0" collapsed="false">
      <c r="A929" s="184" t="str">
        <f aca="false">IF(ISBLANK(B929),"",B929&amp;"|"&amp;C929)</f>
        <v/>
      </c>
      <c r="B929" s="184"/>
      <c r="C929" s="184"/>
      <c r="D929" s="184"/>
      <c r="E929" s="189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  <c r="AA929" s="184"/>
    </row>
    <row r="930" customFormat="false" ht="15.75" hidden="false" customHeight="false" outlineLevel="0" collapsed="false">
      <c r="A930" s="184" t="str">
        <f aca="false">IF(ISBLANK(B930),"",B930&amp;"|"&amp;C930)</f>
        <v/>
      </c>
      <c r="B930" s="184"/>
      <c r="C930" s="184"/>
      <c r="D930" s="184"/>
      <c r="E930" s="189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  <c r="AA930" s="184"/>
    </row>
    <row r="931" customFormat="false" ht="15.75" hidden="false" customHeight="false" outlineLevel="0" collapsed="false">
      <c r="A931" s="184" t="str">
        <f aca="false">IF(ISBLANK(B931),"",B931&amp;"|"&amp;C931)</f>
        <v/>
      </c>
      <c r="B931" s="184"/>
      <c r="C931" s="184"/>
      <c r="D931" s="184"/>
      <c r="E931" s="189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  <c r="AA931" s="184"/>
    </row>
    <row r="932" customFormat="false" ht="15.75" hidden="false" customHeight="false" outlineLevel="0" collapsed="false">
      <c r="A932" s="184" t="str">
        <f aca="false">IF(ISBLANK(B932),"",B932&amp;"|"&amp;C932)</f>
        <v/>
      </c>
      <c r="B932" s="184"/>
      <c r="C932" s="184"/>
      <c r="D932" s="184"/>
      <c r="E932" s="189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  <c r="AA932" s="184"/>
    </row>
    <row r="933" customFormat="false" ht="15.75" hidden="false" customHeight="false" outlineLevel="0" collapsed="false">
      <c r="A933" s="184" t="str">
        <f aca="false">IF(ISBLANK(B933),"",B933&amp;"|"&amp;C933)</f>
        <v/>
      </c>
      <c r="B933" s="184"/>
      <c r="C933" s="184"/>
      <c r="D933" s="184"/>
      <c r="E933" s="189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  <c r="AA933" s="184"/>
    </row>
    <row r="934" customFormat="false" ht="15.75" hidden="false" customHeight="false" outlineLevel="0" collapsed="false">
      <c r="A934" s="184" t="str">
        <f aca="false">IF(ISBLANK(B934),"",B934&amp;"|"&amp;C934)</f>
        <v/>
      </c>
      <c r="B934" s="184"/>
      <c r="C934" s="184"/>
      <c r="D934" s="184"/>
      <c r="E934" s="189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  <c r="AA934" s="184"/>
    </row>
    <row r="935" customFormat="false" ht="15.75" hidden="false" customHeight="false" outlineLevel="0" collapsed="false">
      <c r="A935" s="184" t="str">
        <f aca="false">IF(ISBLANK(B935),"",B935&amp;"|"&amp;C935)</f>
        <v/>
      </c>
      <c r="B935" s="184"/>
      <c r="C935" s="184"/>
      <c r="D935" s="184"/>
      <c r="E935" s="189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  <c r="AA935" s="184"/>
    </row>
    <row r="936" customFormat="false" ht="15.75" hidden="false" customHeight="false" outlineLevel="0" collapsed="false">
      <c r="A936" s="184" t="str">
        <f aca="false">IF(ISBLANK(B936),"",B936&amp;"|"&amp;C936)</f>
        <v/>
      </c>
      <c r="B936" s="184"/>
      <c r="C936" s="184"/>
      <c r="D936" s="184"/>
      <c r="E936" s="189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  <c r="AA936" s="184"/>
    </row>
    <row r="937" customFormat="false" ht="15.75" hidden="false" customHeight="false" outlineLevel="0" collapsed="false">
      <c r="A937" s="184" t="str">
        <f aca="false">IF(ISBLANK(B937),"",B937&amp;"|"&amp;C937)</f>
        <v/>
      </c>
      <c r="B937" s="184"/>
      <c r="C937" s="184"/>
      <c r="D937" s="184"/>
      <c r="E937" s="189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  <c r="AA937" s="184"/>
    </row>
    <row r="938" customFormat="false" ht="15.75" hidden="false" customHeight="false" outlineLevel="0" collapsed="false">
      <c r="A938" s="184" t="str">
        <f aca="false">IF(ISBLANK(B938),"",B938&amp;"|"&amp;C938)</f>
        <v/>
      </c>
      <c r="B938" s="184"/>
      <c r="C938" s="184"/>
      <c r="D938" s="184"/>
      <c r="E938" s="189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  <c r="AA938" s="184"/>
    </row>
    <row r="939" customFormat="false" ht="15.75" hidden="false" customHeight="false" outlineLevel="0" collapsed="false">
      <c r="A939" s="184" t="str">
        <f aca="false">IF(ISBLANK(B939),"",B939&amp;"|"&amp;C939)</f>
        <v/>
      </c>
      <c r="B939" s="184"/>
      <c r="C939" s="184"/>
      <c r="D939" s="184"/>
      <c r="E939" s="189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  <c r="AA939" s="184"/>
    </row>
    <row r="940" customFormat="false" ht="15.75" hidden="false" customHeight="false" outlineLevel="0" collapsed="false">
      <c r="A940" s="184" t="str">
        <f aca="false">IF(ISBLANK(B940),"",B940&amp;"|"&amp;C940)</f>
        <v/>
      </c>
      <c r="B940" s="184"/>
      <c r="C940" s="184"/>
      <c r="D940" s="184"/>
      <c r="E940" s="189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  <c r="AA940" s="184"/>
    </row>
    <row r="941" customFormat="false" ht="15.75" hidden="false" customHeight="false" outlineLevel="0" collapsed="false">
      <c r="A941" s="184" t="str">
        <f aca="false">IF(ISBLANK(B941),"",B941&amp;"|"&amp;C941)</f>
        <v/>
      </c>
      <c r="B941" s="184"/>
      <c r="C941" s="184"/>
      <c r="D941" s="184"/>
      <c r="E941" s="189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  <c r="AA941" s="184"/>
    </row>
    <row r="942" customFormat="false" ht="15.75" hidden="false" customHeight="false" outlineLevel="0" collapsed="false">
      <c r="A942" s="184" t="str">
        <f aca="false">IF(ISBLANK(B942),"",B942&amp;"|"&amp;C942)</f>
        <v/>
      </c>
      <c r="B942" s="184"/>
      <c r="C942" s="184"/>
      <c r="D942" s="184"/>
      <c r="E942" s="189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  <c r="AA942" s="184"/>
    </row>
    <row r="943" customFormat="false" ht="15.75" hidden="false" customHeight="false" outlineLevel="0" collapsed="false">
      <c r="A943" s="184" t="str">
        <f aca="false">IF(ISBLANK(B943),"",B943&amp;"|"&amp;C943)</f>
        <v/>
      </c>
      <c r="B943" s="184"/>
      <c r="C943" s="184"/>
      <c r="D943" s="184"/>
      <c r="E943" s="189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  <c r="AA943" s="184"/>
    </row>
    <row r="944" customFormat="false" ht="15.75" hidden="false" customHeight="false" outlineLevel="0" collapsed="false">
      <c r="A944" s="184" t="str">
        <f aca="false">IF(ISBLANK(B944),"",B944&amp;"|"&amp;C944)</f>
        <v/>
      </c>
      <c r="B944" s="184"/>
      <c r="C944" s="184"/>
      <c r="D944" s="184"/>
      <c r="E944" s="189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  <c r="AA944" s="184"/>
    </row>
    <row r="945" customFormat="false" ht="15.75" hidden="false" customHeight="false" outlineLevel="0" collapsed="false">
      <c r="A945" s="184" t="str">
        <f aca="false">IF(ISBLANK(B945),"",B945&amp;"|"&amp;C945)</f>
        <v/>
      </c>
      <c r="B945" s="184"/>
      <c r="C945" s="184"/>
      <c r="D945" s="184"/>
      <c r="E945" s="189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  <c r="AA945" s="184"/>
    </row>
    <row r="946" customFormat="false" ht="15.75" hidden="false" customHeight="false" outlineLevel="0" collapsed="false">
      <c r="A946" s="184" t="str">
        <f aca="false">IF(ISBLANK(B946),"",B946&amp;"|"&amp;C946)</f>
        <v/>
      </c>
      <c r="B946" s="184"/>
      <c r="C946" s="184"/>
      <c r="D946" s="184"/>
      <c r="E946" s="189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  <c r="AA946" s="184"/>
    </row>
    <row r="947" customFormat="false" ht="15.75" hidden="false" customHeight="false" outlineLevel="0" collapsed="false">
      <c r="A947" s="184" t="str">
        <f aca="false">IF(ISBLANK(B947),"",B947&amp;"|"&amp;C947)</f>
        <v/>
      </c>
      <c r="B947" s="184"/>
      <c r="C947" s="184"/>
      <c r="D947" s="184"/>
      <c r="E947" s="189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  <c r="AA947" s="184"/>
    </row>
    <row r="948" customFormat="false" ht="15.75" hidden="false" customHeight="false" outlineLevel="0" collapsed="false">
      <c r="A948" s="184" t="str">
        <f aca="false">IF(ISBLANK(B948),"",B948&amp;"|"&amp;C948)</f>
        <v/>
      </c>
      <c r="B948" s="184"/>
      <c r="C948" s="184"/>
      <c r="D948" s="184"/>
      <c r="E948" s="189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  <c r="AA948" s="184"/>
    </row>
    <row r="949" customFormat="false" ht="15.75" hidden="false" customHeight="false" outlineLevel="0" collapsed="false">
      <c r="A949" s="184" t="str">
        <f aca="false">IF(ISBLANK(B949),"",B949&amp;"|"&amp;C949)</f>
        <v/>
      </c>
      <c r="B949" s="184"/>
      <c r="C949" s="184"/>
      <c r="D949" s="184"/>
      <c r="E949" s="189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  <c r="AA949" s="184"/>
    </row>
    <row r="950" customFormat="false" ht="15.75" hidden="false" customHeight="false" outlineLevel="0" collapsed="false">
      <c r="A950" s="184" t="str">
        <f aca="false">IF(ISBLANK(B950),"",B950&amp;"|"&amp;C950)</f>
        <v/>
      </c>
      <c r="B950" s="184"/>
      <c r="C950" s="184"/>
      <c r="D950" s="184"/>
      <c r="E950" s="189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  <c r="AA950" s="184"/>
    </row>
    <row r="951" customFormat="false" ht="15.75" hidden="false" customHeight="false" outlineLevel="0" collapsed="false">
      <c r="A951" s="184" t="str">
        <f aca="false">IF(ISBLANK(B951),"",B951&amp;"|"&amp;C951)</f>
        <v/>
      </c>
      <c r="B951" s="184"/>
      <c r="C951" s="184"/>
      <c r="D951" s="184"/>
      <c r="E951" s="189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  <c r="AA951" s="184"/>
    </row>
    <row r="952" customFormat="false" ht="15.75" hidden="false" customHeight="false" outlineLevel="0" collapsed="false">
      <c r="A952" s="184" t="str">
        <f aca="false">IF(ISBLANK(B952),"",B952&amp;"|"&amp;C952)</f>
        <v/>
      </c>
      <c r="B952" s="184"/>
      <c r="C952" s="184"/>
      <c r="D952" s="184"/>
      <c r="E952" s="189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  <c r="AA952" s="184"/>
    </row>
    <row r="953" customFormat="false" ht="15.75" hidden="false" customHeight="false" outlineLevel="0" collapsed="false">
      <c r="A953" s="184" t="str">
        <f aca="false">IF(ISBLANK(B953),"",B953&amp;"|"&amp;C953)</f>
        <v/>
      </c>
      <c r="B953" s="184"/>
      <c r="C953" s="184"/>
      <c r="D953" s="184"/>
      <c r="E953" s="189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  <c r="AA953" s="184"/>
    </row>
    <row r="954" customFormat="false" ht="15.75" hidden="false" customHeight="false" outlineLevel="0" collapsed="false">
      <c r="A954" s="184" t="str">
        <f aca="false">IF(ISBLANK(B954),"",B954&amp;"|"&amp;C954)</f>
        <v/>
      </c>
      <c r="B954" s="184"/>
      <c r="C954" s="184"/>
      <c r="D954" s="184"/>
      <c r="E954" s="189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  <c r="AA954" s="184"/>
    </row>
    <row r="955" customFormat="false" ht="15.75" hidden="false" customHeight="false" outlineLevel="0" collapsed="false">
      <c r="A955" s="184" t="str">
        <f aca="false">IF(ISBLANK(B955),"",B955&amp;"|"&amp;C955)</f>
        <v/>
      </c>
      <c r="B955" s="184"/>
      <c r="C955" s="184"/>
      <c r="D955" s="184"/>
      <c r="E955" s="189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  <c r="AA955" s="184"/>
    </row>
    <row r="956" customFormat="false" ht="15.75" hidden="false" customHeight="false" outlineLevel="0" collapsed="false">
      <c r="A956" s="184" t="str">
        <f aca="false">IF(ISBLANK(B956),"",B956&amp;"|"&amp;C956)</f>
        <v/>
      </c>
      <c r="B956" s="184"/>
      <c r="C956" s="184"/>
      <c r="D956" s="184"/>
      <c r="E956" s="189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  <c r="AA956" s="184"/>
    </row>
    <row r="957" customFormat="false" ht="15.75" hidden="false" customHeight="false" outlineLevel="0" collapsed="false">
      <c r="A957" s="184" t="str">
        <f aca="false">IF(ISBLANK(B957),"",B957&amp;"|"&amp;C957)</f>
        <v/>
      </c>
      <c r="B957" s="184"/>
      <c r="C957" s="184"/>
      <c r="D957" s="184"/>
      <c r="E957" s="189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  <c r="AA957" s="184"/>
    </row>
    <row r="958" customFormat="false" ht="15.75" hidden="false" customHeight="false" outlineLevel="0" collapsed="false">
      <c r="A958" s="184" t="str">
        <f aca="false">IF(ISBLANK(B958),"",B958&amp;"|"&amp;C958)</f>
        <v/>
      </c>
      <c r="B958" s="184"/>
      <c r="C958" s="184"/>
      <c r="D958" s="184"/>
      <c r="E958" s="189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  <c r="AA958" s="184"/>
    </row>
    <row r="959" customFormat="false" ht="15.75" hidden="false" customHeight="false" outlineLevel="0" collapsed="false">
      <c r="A959" s="184" t="str">
        <f aca="false">IF(ISBLANK(B959),"",B959&amp;"|"&amp;C959)</f>
        <v/>
      </c>
      <c r="B959" s="184"/>
      <c r="C959" s="184"/>
      <c r="D959" s="184"/>
      <c r="E959" s="189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  <c r="AA959" s="184"/>
    </row>
    <row r="960" customFormat="false" ht="15.75" hidden="false" customHeight="false" outlineLevel="0" collapsed="false">
      <c r="A960" s="184" t="str">
        <f aca="false">IF(ISBLANK(B960),"",B960&amp;"|"&amp;C960)</f>
        <v/>
      </c>
      <c r="B960" s="184"/>
      <c r="C960" s="184"/>
      <c r="D960" s="184"/>
      <c r="E960" s="189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  <c r="AA960" s="184"/>
    </row>
    <row r="961" customFormat="false" ht="15.75" hidden="false" customHeight="false" outlineLevel="0" collapsed="false">
      <c r="A961" s="184" t="str">
        <f aca="false">IF(ISBLANK(B961),"",B961&amp;"|"&amp;C961)</f>
        <v/>
      </c>
      <c r="B961" s="184"/>
      <c r="C961" s="184"/>
      <c r="D961" s="184"/>
      <c r="E961" s="189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  <c r="AA961" s="184"/>
    </row>
    <row r="962" customFormat="false" ht="15.75" hidden="false" customHeight="false" outlineLevel="0" collapsed="false">
      <c r="A962" s="184" t="str">
        <f aca="false">IF(ISBLANK(B962),"",B962&amp;"|"&amp;C962)</f>
        <v/>
      </c>
      <c r="B962" s="184"/>
      <c r="C962" s="184"/>
      <c r="D962" s="184"/>
      <c r="E962" s="189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  <c r="AA962" s="184"/>
    </row>
    <row r="963" customFormat="false" ht="15.75" hidden="false" customHeight="false" outlineLevel="0" collapsed="false">
      <c r="A963" s="184" t="str">
        <f aca="false">IF(ISBLANK(B963),"",B963&amp;"|"&amp;C963)</f>
        <v/>
      </c>
      <c r="B963" s="184"/>
      <c r="C963" s="184"/>
      <c r="D963" s="184"/>
      <c r="E963" s="189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  <c r="AA963" s="184"/>
    </row>
    <row r="964" customFormat="false" ht="15.75" hidden="false" customHeight="false" outlineLevel="0" collapsed="false">
      <c r="A964" s="184" t="str">
        <f aca="false">IF(ISBLANK(B964),"",B964&amp;"|"&amp;C964)</f>
        <v/>
      </c>
      <c r="B964" s="184"/>
      <c r="C964" s="184"/>
      <c r="D964" s="184"/>
      <c r="E964" s="189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  <c r="AA964" s="184"/>
    </row>
    <row r="965" customFormat="false" ht="15.75" hidden="false" customHeight="false" outlineLevel="0" collapsed="false">
      <c r="A965" s="184" t="str">
        <f aca="false">IF(ISBLANK(B965),"",B965&amp;"|"&amp;C965)</f>
        <v/>
      </c>
      <c r="B965" s="184"/>
      <c r="C965" s="184"/>
      <c r="D965" s="184"/>
      <c r="E965" s="189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  <c r="AA965" s="184"/>
    </row>
    <row r="966" customFormat="false" ht="15.75" hidden="false" customHeight="false" outlineLevel="0" collapsed="false">
      <c r="A966" s="184" t="str">
        <f aca="false">IF(ISBLANK(B966),"",B966&amp;"|"&amp;C966)</f>
        <v/>
      </c>
      <c r="B966" s="184"/>
      <c r="C966" s="184"/>
      <c r="D966" s="184"/>
      <c r="E966" s="189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  <c r="AA966" s="184"/>
    </row>
    <row r="967" customFormat="false" ht="15.75" hidden="false" customHeight="false" outlineLevel="0" collapsed="false">
      <c r="A967" s="184" t="str">
        <f aca="false">IF(ISBLANK(B967),"",B967&amp;"|"&amp;C967)</f>
        <v/>
      </c>
      <c r="B967" s="184"/>
      <c r="C967" s="184"/>
      <c r="D967" s="184"/>
      <c r="E967" s="189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  <c r="AA967" s="184"/>
    </row>
    <row r="968" customFormat="false" ht="15.75" hidden="false" customHeight="false" outlineLevel="0" collapsed="false">
      <c r="A968" s="184" t="str">
        <f aca="false">IF(ISBLANK(B968),"",B968&amp;"|"&amp;C968)</f>
        <v/>
      </c>
      <c r="B968" s="184"/>
      <c r="C968" s="184"/>
      <c r="D968" s="184"/>
      <c r="E968" s="189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  <c r="AA968" s="184"/>
    </row>
    <row r="969" customFormat="false" ht="15.75" hidden="false" customHeight="false" outlineLevel="0" collapsed="false">
      <c r="A969" s="184" t="str">
        <f aca="false">IF(ISBLANK(B969),"",B969&amp;"|"&amp;C969)</f>
        <v/>
      </c>
      <c r="B969" s="184"/>
      <c r="C969" s="184"/>
      <c r="D969" s="184"/>
      <c r="E969" s="189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  <c r="AA969" s="184"/>
    </row>
    <row r="970" customFormat="false" ht="15.75" hidden="false" customHeight="false" outlineLevel="0" collapsed="false">
      <c r="A970" s="184" t="str">
        <f aca="false">IF(ISBLANK(B970),"",B970&amp;"|"&amp;C970)</f>
        <v/>
      </c>
      <c r="B970" s="184"/>
      <c r="C970" s="184"/>
      <c r="D970" s="184"/>
      <c r="E970" s="189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  <c r="AA970" s="184"/>
    </row>
    <row r="971" customFormat="false" ht="15.75" hidden="false" customHeight="false" outlineLevel="0" collapsed="false">
      <c r="A971" s="184" t="str">
        <f aca="false">IF(ISBLANK(B971),"",B971&amp;"|"&amp;C971)</f>
        <v/>
      </c>
      <c r="B971" s="184"/>
      <c r="C971" s="184"/>
      <c r="D971" s="184"/>
      <c r="E971" s="189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  <c r="AA971" s="184"/>
    </row>
    <row r="972" customFormat="false" ht="15.75" hidden="false" customHeight="false" outlineLevel="0" collapsed="false">
      <c r="A972" s="184" t="str">
        <f aca="false">IF(ISBLANK(B972),"",B972&amp;"|"&amp;C972)</f>
        <v/>
      </c>
      <c r="B972" s="184"/>
      <c r="C972" s="184"/>
      <c r="D972" s="184"/>
      <c r="E972" s="189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  <c r="AA972" s="184"/>
    </row>
    <row r="973" customFormat="false" ht="15.75" hidden="false" customHeight="false" outlineLevel="0" collapsed="false">
      <c r="A973" s="184" t="str">
        <f aca="false">IF(ISBLANK(B973),"",B973&amp;"|"&amp;C973)</f>
        <v/>
      </c>
      <c r="B973" s="184"/>
      <c r="C973" s="184"/>
      <c r="D973" s="184"/>
      <c r="E973" s="189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  <c r="AA973" s="184"/>
    </row>
    <row r="974" customFormat="false" ht="15.75" hidden="false" customHeight="false" outlineLevel="0" collapsed="false">
      <c r="A974" s="184" t="str">
        <f aca="false">IF(ISBLANK(B974),"",B974&amp;"|"&amp;C974)</f>
        <v/>
      </c>
      <c r="B974" s="184"/>
      <c r="C974" s="184"/>
      <c r="D974" s="184"/>
      <c r="E974" s="189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  <c r="AA974" s="184"/>
    </row>
    <row r="975" customFormat="false" ht="15.75" hidden="false" customHeight="false" outlineLevel="0" collapsed="false">
      <c r="A975" s="184" t="str">
        <f aca="false">IF(ISBLANK(B975),"",B975&amp;"|"&amp;C975)</f>
        <v/>
      </c>
      <c r="B975" s="184"/>
      <c r="C975" s="184"/>
      <c r="D975" s="184"/>
      <c r="E975" s="189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  <c r="AA975" s="184"/>
    </row>
    <row r="976" customFormat="false" ht="15.75" hidden="false" customHeight="false" outlineLevel="0" collapsed="false">
      <c r="A976" s="184" t="str">
        <f aca="false">IF(ISBLANK(B976),"",B976&amp;"|"&amp;C976)</f>
        <v/>
      </c>
      <c r="B976" s="184"/>
      <c r="C976" s="184"/>
      <c r="D976" s="184"/>
      <c r="E976" s="189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  <c r="AA976" s="184"/>
    </row>
    <row r="977" customFormat="false" ht="15.75" hidden="false" customHeight="false" outlineLevel="0" collapsed="false">
      <c r="A977" s="184" t="str">
        <f aca="false">IF(ISBLANK(B977),"",B977&amp;"|"&amp;C977)</f>
        <v/>
      </c>
      <c r="B977" s="184"/>
      <c r="C977" s="184"/>
      <c r="D977" s="184"/>
      <c r="E977" s="189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  <c r="AA977" s="184"/>
    </row>
    <row r="978" customFormat="false" ht="15.75" hidden="false" customHeight="false" outlineLevel="0" collapsed="false">
      <c r="A978" s="184" t="str">
        <f aca="false">IF(ISBLANK(B978),"",B978&amp;"|"&amp;C978)</f>
        <v/>
      </c>
      <c r="B978" s="184"/>
      <c r="C978" s="184"/>
      <c r="D978" s="184"/>
      <c r="E978" s="189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  <c r="AA978" s="184"/>
    </row>
    <row r="979" customFormat="false" ht="15.75" hidden="false" customHeight="false" outlineLevel="0" collapsed="false">
      <c r="A979" s="184" t="str">
        <f aca="false">IF(ISBLANK(B979),"",B979&amp;"|"&amp;C979)</f>
        <v/>
      </c>
      <c r="B979" s="184"/>
      <c r="C979" s="184"/>
      <c r="D979" s="184"/>
      <c r="E979" s="189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  <c r="AA979" s="184"/>
    </row>
    <row r="980" customFormat="false" ht="15.75" hidden="false" customHeight="false" outlineLevel="0" collapsed="false">
      <c r="A980" s="184" t="str">
        <f aca="false">IF(ISBLANK(B980),"",B980&amp;"|"&amp;C980)</f>
        <v/>
      </c>
      <c r="B980" s="184"/>
      <c r="C980" s="184"/>
      <c r="D980" s="184"/>
      <c r="E980" s="189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  <c r="AA980" s="184"/>
    </row>
    <row r="981" customFormat="false" ht="15.75" hidden="false" customHeight="false" outlineLevel="0" collapsed="false">
      <c r="A981" s="184" t="str">
        <f aca="false">IF(ISBLANK(B981),"",B981&amp;"|"&amp;C981)</f>
        <v/>
      </c>
      <c r="B981" s="184"/>
      <c r="C981" s="184"/>
      <c r="D981" s="184"/>
      <c r="E981" s="189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  <c r="AA981" s="184"/>
    </row>
    <row r="982" customFormat="false" ht="15.75" hidden="false" customHeight="false" outlineLevel="0" collapsed="false">
      <c r="A982" s="184" t="str">
        <f aca="false">IF(ISBLANK(B982),"",B982&amp;"|"&amp;C982)</f>
        <v/>
      </c>
      <c r="B982" s="184"/>
      <c r="C982" s="184"/>
      <c r="D982" s="184"/>
      <c r="E982" s="189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  <c r="AA982" s="184"/>
    </row>
    <row r="983" customFormat="false" ht="15.75" hidden="false" customHeight="false" outlineLevel="0" collapsed="false">
      <c r="A983" s="184" t="str">
        <f aca="false">IF(ISBLANK(B983),"",B983&amp;"|"&amp;C983)</f>
        <v/>
      </c>
      <c r="B983" s="184"/>
      <c r="C983" s="184"/>
      <c r="D983" s="184"/>
      <c r="E983" s="189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  <c r="AA983" s="184"/>
    </row>
    <row r="984" customFormat="false" ht="15.75" hidden="false" customHeight="false" outlineLevel="0" collapsed="false">
      <c r="A984" s="184" t="str">
        <f aca="false">IF(ISBLANK(B984),"",B984&amp;"|"&amp;C984)</f>
        <v/>
      </c>
      <c r="B984" s="184"/>
      <c r="C984" s="184"/>
      <c r="D984" s="184"/>
      <c r="E984" s="189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  <c r="AA984" s="184"/>
    </row>
    <row r="985" customFormat="false" ht="15.75" hidden="false" customHeight="false" outlineLevel="0" collapsed="false">
      <c r="A985" s="184" t="str">
        <f aca="false">IF(ISBLANK(B985),"",B985&amp;"|"&amp;C985)</f>
        <v/>
      </c>
      <c r="B985" s="184"/>
      <c r="C985" s="184"/>
      <c r="D985" s="184"/>
      <c r="E985" s="189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  <c r="AA985" s="184"/>
    </row>
    <row r="986" customFormat="false" ht="15.75" hidden="false" customHeight="false" outlineLevel="0" collapsed="false">
      <c r="A986" s="184" t="str">
        <f aca="false">IF(ISBLANK(B986),"",B986&amp;"|"&amp;C986)</f>
        <v/>
      </c>
      <c r="B986" s="184"/>
      <c r="C986" s="184"/>
      <c r="D986" s="184"/>
      <c r="E986" s="189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  <c r="AA986" s="184"/>
    </row>
    <row r="987" customFormat="false" ht="15.75" hidden="false" customHeight="false" outlineLevel="0" collapsed="false">
      <c r="A987" s="184" t="str">
        <f aca="false">IF(ISBLANK(B987),"",B987&amp;"|"&amp;C987)</f>
        <v/>
      </c>
      <c r="B987" s="184"/>
      <c r="C987" s="184"/>
      <c r="D987" s="184"/>
      <c r="E987" s="189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  <c r="AA987" s="184"/>
    </row>
    <row r="988" customFormat="false" ht="15.75" hidden="false" customHeight="false" outlineLevel="0" collapsed="false">
      <c r="A988" s="184" t="str">
        <f aca="false">IF(ISBLANK(B988),"",B988&amp;"|"&amp;C988)</f>
        <v/>
      </c>
      <c r="B988" s="184"/>
      <c r="C988" s="184"/>
      <c r="D988" s="184"/>
      <c r="E988" s="189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  <c r="AA988" s="184"/>
    </row>
    <row r="989" customFormat="false" ht="15.75" hidden="false" customHeight="false" outlineLevel="0" collapsed="false">
      <c r="A989" s="184" t="str">
        <f aca="false">IF(ISBLANK(B989),"",B989&amp;"|"&amp;C989)</f>
        <v/>
      </c>
      <c r="B989" s="184"/>
      <c r="C989" s="184"/>
      <c r="D989" s="184"/>
      <c r="E989" s="189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  <c r="AA989" s="184"/>
    </row>
    <row r="990" customFormat="false" ht="15.75" hidden="false" customHeight="false" outlineLevel="0" collapsed="false">
      <c r="A990" s="184" t="str">
        <f aca="false">IF(ISBLANK(B990),"",B990&amp;"|"&amp;C990)</f>
        <v/>
      </c>
      <c r="B990" s="184"/>
      <c r="C990" s="184"/>
      <c r="D990" s="184"/>
      <c r="E990" s="189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  <c r="AA990" s="184"/>
    </row>
    <row r="991" customFormat="false" ht="15.75" hidden="false" customHeight="false" outlineLevel="0" collapsed="false">
      <c r="A991" s="184" t="str">
        <f aca="false">IF(ISBLANK(B991),"",B991&amp;"|"&amp;C991)</f>
        <v/>
      </c>
      <c r="B991" s="184"/>
      <c r="C991" s="184"/>
      <c r="D991" s="184"/>
      <c r="E991" s="189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  <c r="AA991" s="184"/>
    </row>
    <row r="992" customFormat="false" ht="15.75" hidden="false" customHeight="false" outlineLevel="0" collapsed="false">
      <c r="A992" s="184" t="str">
        <f aca="false">IF(ISBLANK(B992),"",B992&amp;"|"&amp;C992)</f>
        <v/>
      </c>
      <c r="B992" s="184"/>
      <c r="C992" s="184"/>
      <c r="D992" s="184"/>
      <c r="E992" s="189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  <c r="AA992" s="184"/>
    </row>
    <row r="993" customFormat="false" ht="15.75" hidden="false" customHeight="false" outlineLevel="0" collapsed="false">
      <c r="A993" s="184" t="str">
        <f aca="false">IF(ISBLANK(B993),"",B993&amp;"|"&amp;C993)</f>
        <v/>
      </c>
      <c r="B993" s="184"/>
      <c r="C993" s="184"/>
      <c r="D993" s="184"/>
      <c r="E993" s="189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  <c r="AA993" s="184"/>
    </row>
    <row r="994" customFormat="false" ht="15.75" hidden="false" customHeight="false" outlineLevel="0" collapsed="false">
      <c r="A994" s="184" t="str">
        <f aca="false">IF(ISBLANK(B994),"",B994&amp;"|"&amp;C994)</f>
        <v/>
      </c>
      <c r="B994" s="184"/>
      <c r="C994" s="184"/>
      <c r="D994" s="184"/>
      <c r="E994" s="189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  <c r="AA994" s="184"/>
    </row>
    <row r="995" customFormat="false" ht="15.75" hidden="false" customHeight="false" outlineLevel="0" collapsed="false">
      <c r="A995" s="184" t="str">
        <f aca="false">IF(ISBLANK(B995),"",B995&amp;"|"&amp;C995)</f>
        <v/>
      </c>
      <c r="B995" s="184"/>
      <c r="C995" s="184"/>
      <c r="D995" s="184"/>
      <c r="E995" s="189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  <c r="AA995" s="184"/>
    </row>
    <row r="996" customFormat="false" ht="15.75" hidden="false" customHeight="false" outlineLevel="0" collapsed="false">
      <c r="A996" s="184" t="str">
        <f aca="false">IF(ISBLANK(B996),"",B996&amp;"|"&amp;C996)</f>
        <v/>
      </c>
      <c r="B996" s="184"/>
      <c r="C996" s="184"/>
      <c r="D996" s="184"/>
      <c r="E996" s="189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  <c r="AA996" s="184"/>
    </row>
    <row r="997" customFormat="false" ht="15.75" hidden="false" customHeight="false" outlineLevel="0" collapsed="false">
      <c r="A997" s="184" t="str">
        <f aca="false">IF(ISBLANK(B997),"",B997&amp;"|"&amp;C997)</f>
        <v/>
      </c>
      <c r="B997" s="184"/>
      <c r="C997" s="184"/>
      <c r="D997" s="184"/>
      <c r="E997" s="189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  <c r="AA997" s="184"/>
    </row>
    <row r="998" customFormat="false" ht="15.75" hidden="false" customHeight="false" outlineLevel="0" collapsed="false">
      <c r="A998" s="184" t="str">
        <f aca="false">IF(ISBLANK(B998),"",B998&amp;"|"&amp;C998)</f>
        <v/>
      </c>
      <c r="B998" s="184"/>
      <c r="C998" s="184"/>
      <c r="D998" s="184"/>
      <c r="E998" s="189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  <c r="AA998" s="184"/>
    </row>
    <row r="999" customFormat="false" ht="15.75" hidden="false" customHeight="false" outlineLevel="0" collapsed="false">
      <c r="A999" s="184" t="str">
        <f aca="false">IF(ISBLANK(B999),"",B999&amp;"|"&amp;C999)</f>
        <v/>
      </c>
      <c r="B999" s="184"/>
      <c r="C999" s="184"/>
      <c r="D999" s="184"/>
      <c r="E999" s="189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  <c r="AA999" s="184"/>
    </row>
    <row r="1000" customFormat="false" ht="15.75" hidden="false" customHeight="false" outlineLevel="0" collapsed="false">
      <c r="A1000" s="184" t="str">
        <f aca="false">IF(ISBLANK(B1000),"",B1000&amp;"|"&amp;C1000)</f>
        <v/>
      </c>
      <c r="B1000" s="184"/>
      <c r="C1000" s="184"/>
      <c r="D1000" s="184"/>
      <c r="E1000" s="189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  <c r="AA1000" s="18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9:H9 A1"/>
    </sheetView>
  </sheetViews>
  <sheetFormatPr defaultColWidth="12.6328125" defaultRowHeight="15.75" customHeight="true" zeroHeight="false" outlineLevelRow="0" outlineLevelCol="0"/>
  <cols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84" t="s">
        <v>128</v>
      </c>
      <c r="B1" s="184" t="s">
        <v>129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customFormat="false" ht="15.75" hidden="false" customHeight="false" outlineLevel="0" collapsed="false">
      <c r="A2" s="184" t="s">
        <v>130</v>
      </c>
      <c r="B2" s="190" t="n">
        <v>46291</v>
      </c>
      <c r="C2" s="184"/>
      <c r="D2" s="184" t="s">
        <v>131</v>
      </c>
      <c r="E2" s="184" t="s">
        <v>132</v>
      </c>
      <c r="F2" s="184" t="s">
        <v>133</v>
      </c>
      <c r="G2" s="184" t="s">
        <v>134</v>
      </c>
      <c r="H2" s="184" t="s">
        <v>135</v>
      </c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customFormat="false" ht="15.75" hidden="false" customHeight="false" outlineLevel="0" collapsed="false">
      <c r="A3" s="184" t="s">
        <v>136</v>
      </c>
      <c r="B3" s="7" t="s">
        <v>126</v>
      </c>
      <c r="C3" s="184"/>
      <c r="D3" s="188" t="n">
        <f aca="false">FIND(".",B3)</f>
        <v>2</v>
      </c>
      <c r="E3" s="188" t="n">
        <f aca="false">FIND(".",B3,D3+1)</f>
        <v>4</v>
      </c>
      <c r="F3" s="184" t="str">
        <f aca="false">LEFT(B3,D3-1)</f>
        <v>0</v>
      </c>
      <c r="G3" s="184" t="str">
        <f aca="false">MID(B3,D3+1,E3-D3-1)</f>
        <v>1</v>
      </c>
      <c r="H3" s="184" t="str">
        <f aca="false">RIGHT(B3,LEN(B3)-E3)</f>
        <v>0</v>
      </c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customFormat="false" ht="15.75" hidden="false" customHeight="false" outlineLevel="0" collapsed="false">
      <c r="A4" s="184" t="s">
        <v>137</v>
      </c>
      <c r="B4" s="184" t="s">
        <v>96</v>
      </c>
      <c r="C4" s="184"/>
      <c r="D4" s="7"/>
      <c r="E4" s="7"/>
      <c r="F4" s="7"/>
      <c r="G4" s="7"/>
      <c r="H4" s="7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customFormat="false" ht="15.75" hidden="false" customHeight="false" outlineLevel="0" collapsed="false">
      <c r="A5" s="184" t="s">
        <v>138</v>
      </c>
      <c r="B5" s="184" t="n">
        <v>2027</v>
      </c>
      <c r="C5" s="184"/>
      <c r="D5" s="7"/>
      <c r="E5" s="7"/>
      <c r="F5" s="7"/>
      <c r="G5" s="7"/>
      <c r="H5" s="7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customFormat="false" ht="15.75" hidden="false" customHeight="false" outlineLevel="0" collapsed="false">
      <c r="A6" s="184" t="s">
        <v>139</v>
      </c>
      <c r="B6" s="184" t="str">
        <f aca="false">B1&amp;"|"&amp;B4</f>
        <v>Electric Vehicle|C</v>
      </c>
      <c r="C6" s="184"/>
      <c r="D6" s="7"/>
      <c r="E6" s="7"/>
      <c r="F6" s="7"/>
      <c r="G6" s="7"/>
      <c r="H6" s="7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customFormat="false" ht="15.75" hidden="false" customHeight="false" outlineLevel="0" collapsed="false">
      <c r="A7" s="184" t="s">
        <v>140</v>
      </c>
      <c r="B7" s="184" t="s">
        <v>126</v>
      </c>
      <c r="C7" s="184"/>
      <c r="D7" s="188" t="n">
        <f aca="false">FIND(".",B7)</f>
        <v>2</v>
      </c>
      <c r="E7" s="188" t="n">
        <f aca="false">FIND(".",B7,D7+1)</f>
        <v>4</v>
      </c>
      <c r="F7" s="184" t="str">
        <f aca="false">LEFT(B7,D7-1)</f>
        <v>0</v>
      </c>
      <c r="G7" s="184" t="str">
        <f aca="false">MID(B7,D7+1,E7-D7-1)</f>
        <v>1</v>
      </c>
      <c r="H7" s="184" t="str">
        <f aca="false">RIGHT(B7,LEN(B7)-E7)</f>
        <v>0</v>
      </c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customFormat="false" ht="15.75" hidden="false" customHeight="false" outlineLevel="0" collapsed="false">
      <c r="A8" s="184" t="s">
        <v>141</v>
      </c>
      <c r="B8" s="184" t="str">
        <f aca="false">IF(CONCATENATE(F7,".",G7)=CONCATENATE(F3,".",G3),"F","T")</f>
        <v>F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customFormat="false" ht="15.75" hidden="false" customHeight="false" outlineLevel="0" collapsed="false">
      <c r="A9" s="184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customFormat="false" ht="15.75" hidden="false" customHeight="false" outlineLevel="0" collapsed="false">
      <c r="A10" s="184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customFormat="false" ht="15.75" hidden="false" customHeight="false" outlineLevel="0" collapsed="false">
      <c r="A11" s="184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customFormat="false" ht="15.75" hidden="false" customHeight="false" outlineLevel="0" collapsed="false">
      <c r="A12" s="184"/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customFormat="false" ht="15.75" hidden="false" customHeight="false" outlineLevel="0" collapsed="false">
      <c r="A13" s="184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customFormat="false" ht="15.75" hidden="false" customHeight="false" outlineLevel="0" collapsed="false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customFormat="false" ht="15.75" hidden="false" customHeight="false" outlineLevel="0" collapsed="false">
      <c r="A15" s="184"/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customFormat="false" ht="15.75" hidden="false" customHeight="false" outlineLevel="0" collapsed="false">
      <c r="A16" s="184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customFormat="false" ht="15.75" hidden="false" customHeight="false" outlineLevel="0" collapsed="false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customFormat="false" ht="15.75" hidden="false" customHeight="false" outlineLevel="0" collapsed="false">
      <c r="A18" s="184"/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customFormat="false" ht="15.75" hidden="false" customHeight="false" outlineLevel="0" collapsed="false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customFormat="false" ht="15.75" hidden="false" customHeight="false" outlineLevel="0" collapsed="false">
      <c r="A20" s="184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customFormat="false" ht="15.75" hidden="false" customHeight="false" outlineLevel="0" collapsed="false">
      <c r="A21" s="184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customFormat="false" ht="15.75" hidden="false" customHeight="false" outlineLevel="0" collapsed="false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customFormat="false" ht="15.75" hidden="false" customHeight="false" outlineLevel="0" collapsed="false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customFormat="false" ht="15.75" hidden="false" customHeight="false" outlineLevel="0" collapsed="false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customFormat="false" ht="15.75" hidden="false" customHeight="false" outlineLevel="0" collapsed="false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customFormat="false" ht="15.75" hidden="false" customHeight="false" outlineLevel="0" collapsed="false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customFormat="false" ht="15.75" hidden="false" customHeight="false" outlineLevel="0" collapsed="false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customFormat="false" ht="15.75" hidden="false" customHeight="false" outlineLevel="0" collapsed="false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customFormat="false" ht="15.75" hidden="false" customHeight="false" outlineLevel="0" collapsed="false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 customFormat="false" ht="15.75" hidden="false" customHeight="false" outlineLevel="0" collapsed="false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 customFormat="false" ht="15.75" hidden="false" customHeight="false" outlineLevel="0" collapsed="false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 customFormat="false" ht="15.75" hidden="false" customHeight="false" outlineLevel="0" collapsed="false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customFormat="false" ht="15.75" hidden="false" customHeight="false" outlineLevel="0" collapsed="false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customFormat="false" ht="15.75" hidden="false" customHeight="false" outlineLevel="0" collapsed="false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customFormat="false" ht="15.75" hidden="false" customHeight="false" outlineLevel="0" collapsed="false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customFormat="false" ht="15.75" hidden="false" customHeight="false" outlineLevel="0" collapsed="false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customFormat="false" ht="15.75" hidden="false" customHeight="false" outlineLevel="0" collapsed="false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customFormat="false" ht="15.75" hidden="false" customHeight="false" outlineLevel="0" collapsed="false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customFormat="false" ht="15.75" hidden="false" customHeight="false" outlineLevel="0" collapsed="false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customFormat="false" ht="15.75" hidden="false" customHeight="false" outlineLevel="0" collapsed="false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customFormat="false" ht="15.75" hidden="false" customHeight="false" outlineLevel="0" collapsed="false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customFormat="false" ht="15.75" hidden="false" customHeight="false" outlineLevel="0" collapsed="false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customFormat="false" ht="15.75" hidden="false" customHeight="false" outlineLevel="0" collapsed="false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customFormat="false" ht="15.75" hidden="false" customHeight="false" outlineLevel="0" collapsed="false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customFormat="false" ht="15.75" hidden="false" customHeight="false" outlineLevel="0" collapsed="false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customFormat="false" ht="15.75" hidden="false" customHeight="false" outlineLevel="0" collapsed="false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customFormat="false" ht="15.75" hidden="false" customHeight="false" outlineLevel="0" collapsed="false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customFormat="false" ht="15.75" hidden="false" customHeight="false" outlineLevel="0" collapsed="false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customFormat="false" ht="15.75" hidden="false" customHeight="false" outlineLevel="0" collapsed="false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customFormat="false" ht="15.75" hidden="false" customHeight="false" outlineLevel="0" collapsed="false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customFormat="false" ht="15.75" hidden="false" customHeight="false" outlineLevel="0" collapsed="false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customFormat="false" ht="15.75" hidden="false" customHeight="false" outlineLevel="0" collapsed="false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customFormat="false" ht="15.75" hidden="false" customHeight="false" outlineLevel="0" collapsed="false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customFormat="false" ht="15.75" hidden="false" customHeight="false" outlineLevel="0" collapsed="false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customFormat="false" ht="15.75" hidden="false" customHeight="false" outlineLevel="0" collapsed="false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customFormat="false" ht="15.75" hidden="false" customHeight="false" outlineLevel="0" collapsed="false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customFormat="false" ht="15.75" hidden="false" customHeight="false" outlineLevel="0" collapsed="false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customFormat="false" ht="15.75" hidden="false" customHeight="false" outlineLevel="0" collapsed="false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customFormat="false" ht="15.75" hidden="false" customHeight="false" outlineLevel="0" collapsed="false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customFormat="false" ht="15.75" hidden="false" customHeight="false" outlineLevel="0" collapsed="false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customFormat="false" ht="15.75" hidden="false" customHeight="false" outlineLevel="0" collapsed="false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customFormat="false" ht="15.75" hidden="false" customHeight="false" outlineLevel="0" collapsed="false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customFormat="false" ht="15.75" hidden="false" customHeight="false" outlineLevel="0" collapsed="false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customFormat="false" ht="15.75" hidden="false" customHeight="false" outlineLevel="0" collapsed="false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customFormat="false" ht="15.75" hidden="false" customHeight="false" outlineLevel="0" collapsed="false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customFormat="false" ht="15.75" hidden="false" customHeight="false" outlineLevel="0" collapsed="false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customFormat="false" ht="15.75" hidden="false" customHeight="false" outlineLevel="0" collapsed="false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customFormat="false" ht="15.75" hidden="false" customHeight="false" outlineLevel="0" collapsed="false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customFormat="false" ht="15.75" hidden="false" customHeight="false" outlineLevel="0" collapsed="false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customFormat="false" ht="15.75" hidden="false" customHeight="false" outlineLevel="0" collapsed="false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customFormat="false" ht="15.75" hidden="false" customHeight="false" outlineLevel="0" collapsed="false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customFormat="false" ht="15.75" hidden="false" customHeight="false" outlineLevel="0" collapsed="false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customFormat="false" ht="15.75" hidden="false" customHeight="false" outlineLevel="0" collapsed="false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customFormat="false" ht="15.75" hidden="false" customHeight="false" outlineLevel="0" collapsed="false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customFormat="false" ht="15.75" hidden="false" customHeight="false" outlineLevel="0" collapsed="false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customFormat="false" ht="15.75" hidden="false" customHeight="false" outlineLevel="0" collapsed="false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customFormat="false" ht="15.75" hidden="false" customHeight="false" outlineLevel="0" collapsed="false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customFormat="false" ht="15.75" hidden="false" customHeight="false" outlineLevel="0" collapsed="false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customFormat="false" ht="15.75" hidden="false" customHeight="false" outlineLevel="0" collapsed="false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customFormat="false" ht="15.75" hidden="false" customHeight="false" outlineLevel="0" collapsed="false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customFormat="false" ht="15.75" hidden="false" customHeight="false" outlineLevel="0" collapsed="false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customFormat="false" ht="15.75" hidden="false" customHeight="false" outlineLevel="0" collapsed="false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customFormat="false" ht="15.75" hidden="false" customHeight="false" outlineLevel="0" collapsed="false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customFormat="false" ht="15.75" hidden="false" customHeight="false" outlineLevel="0" collapsed="false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customFormat="false" ht="15.75" hidden="false" customHeight="false" outlineLevel="0" collapsed="false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customFormat="false" ht="15.75" hidden="false" customHeight="false" outlineLevel="0" collapsed="false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customFormat="false" ht="15.75" hidden="false" customHeight="false" outlineLevel="0" collapsed="false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customFormat="false" ht="15.75" hidden="false" customHeight="false" outlineLevel="0" collapsed="false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customFormat="false" ht="15.75" hidden="false" customHeight="false" outlineLevel="0" collapsed="false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customFormat="false" ht="15.75" hidden="false" customHeight="false" outlineLevel="0" collapsed="false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customFormat="false" ht="15.75" hidden="false" customHeight="false" outlineLevel="0" collapsed="false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customFormat="false" ht="15.75" hidden="false" customHeight="false" outlineLevel="0" collapsed="false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customFormat="false" ht="15.75" hidden="false" customHeight="false" outlineLevel="0" collapsed="false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customFormat="false" ht="15.75" hidden="false" customHeight="false" outlineLevel="0" collapsed="false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customFormat="false" ht="15.75" hidden="false" customHeight="false" outlineLevel="0" collapsed="false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customFormat="false" ht="15.75" hidden="false" customHeight="false" outlineLevel="0" collapsed="false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customFormat="false" ht="15.75" hidden="false" customHeight="false" outlineLevel="0" collapsed="false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customFormat="false" ht="15.75" hidden="false" customHeight="false" outlineLevel="0" collapsed="false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customFormat="false" ht="15.75" hidden="false" customHeight="false" outlineLevel="0" collapsed="false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customFormat="false" ht="15.75" hidden="false" customHeight="false" outlineLevel="0" collapsed="false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customFormat="false" ht="15.75" hidden="false" customHeight="false" outlineLevel="0" collapsed="false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customFormat="false" ht="15.75" hidden="false" customHeight="false" outlineLevel="0" collapsed="false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customFormat="false" ht="15.75" hidden="false" customHeight="false" outlineLevel="0" collapsed="false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customFormat="false" ht="15.75" hidden="false" customHeight="false" outlineLevel="0" collapsed="false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customFormat="false" ht="15.75" hidden="false" customHeight="false" outlineLevel="0" collapsed="false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customFormat="false" ht="15.75" hidden="false" customHeight="false" outlineLevel="0" collapsed="false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customFormat="false" ht="15.75" hidden="false" customHeight="false" outlineLevel="0" collapsed="false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customFormat="false" ht="15.75" hidden="false" customHeight="false" outlineLevel="0" collapsed="false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customFormat="false" ht="15.75" hidden="false" customHeight="false" outlineLevel="0" collapsed="false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customFormat="false" ht="15.75" hidden="false" customHeight="false" outlineLevel="0" collapsed="false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customFormat="false" ht="15.75" hidden="false" customHeight="false" outlineLevel="0" collapsed="false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customFormat="false" ht="15.75" hidden="false" customHeight="false" outlineLevel="0" collapsed="false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customFormat="false" ht="15.75" hidden="false" customHeight="false" outlineLevel="0" collapsed="false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customFormat="false" ht="15.75" hidden="false" customHeight="false" outlineLevel="0" collapsed="false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customFormat="false" ht="15.75" hidden="false" customHeight="false" outlineLevel="0" collapsed="false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customFormat="false" ht="15.75" hidden="false" customHeight="false" outlineLevel="0" collapsed="false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customFormat="false" ht="15.75" hidden="false" customHeight="false" outlineLevel="0" collapsed="false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customFormat="false" ht="15.75" hidden="false" customHeight="false" outlineLevel="0" collapsed="false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customFormat="false" ht="15.75" hidden="false" customHeight="false" outlineLevel="0" collapsed="false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customFormat="false" ht="15.75" hidden="false" customHeight="false" outlineLevel="0" collapsed="false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customFormat="false" ht="15.75" hidden="false" customHeight="false" outlineLevel="0" collapsed="false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customFormat="false" ht="15.75" hidden="false" customHeight="false" outlineLevel="0" collapsed="false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customFormat="false" ht="15.75" hidden="false" customHeight="false" outlineLevel="0" collapsed="false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customFormat="false" ht="15.75" hidden="false" customHeight="false" outlineLevel="0" collapsed="false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customFormat="false" ht="15.75" hidden="false" customHeight="false" outlineLevel="0" collapsed="false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customFormat="false" ht="15.75" hidden="false" customHeight="false" outlineLevel="0" collapsed="false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customFormat="false" ht="15.75" hidden="false" customHeight="false" outlineLevel="0" collapsed="false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customFormat="false" ht="15.75" hidden="false" customHeight="false" outlineLevel="0" collapsed="false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customFormat="false" ht="15.75" hidden="false" customHeight="false" outlineLevel="0" collapsed="false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customFormat="false" ht="15.75" hidden="false" customHeight="false" outlineLevel="0" collapsed="false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customFormat="false" ht="15.75" hidden="false" customHeight="false" outlineLevel="0" collapsed="false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customFormat="false" ht="15.75" hidden="false" customHeight="false" outlineLevel="0" collapsed="false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customFormat="false" ht="15.75" hidden="false" customHeight="false" outlineLevel="0" collapsed="false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customFormat="false" ht="15.75" hidden="false" customHeight="false" outlineLevel="0" collapsed="false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customFormat="false" ht="15.75" hidden="false" customHeight="false" outlineLevel="0" collapsed="false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customFormat="false" ht="15.75" hidden="false" customHeight="false" outlineLevel="0" collapsed="false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customFormat="false" ht="15.75" hidden="false" customHeight="false" outlineLevel="0" collapsed="false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customFormat="false" ht="15.75" hidden="false" customHeight="false" outlineLevel="0" collapsed="false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customFormat="false" ht="15.75" hidden="false" customHeight="false" outlineLevel="0" collapsed="false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customFormat="false" ht="15.75" hidden="false" customHeight="false" outlineLevel="0" collapsed="false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customFormat="false" ht="15.75" hidden="false" customHeight="false" outlineLevel="0" collapsed="false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customFormat="false" ht="15.75" hidden="false" customHeight="false" outlineLevel="0" collapsed="false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customFormat="false" ht="15.75" hidden="false" customHeight="false" outlineLevel="0" collapsed="false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customFormat="false" ht="15.75" hidden="false" customHeight="false" outlineLevel="0" collapsed="false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customFormat="false" ht="15.75" hidden="false" customHeight="false" outlineLevel="0" collapsed="false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customFormat="false" ht="15.75" hidden="false" customHeight="false" outlineLevel="0" collapsed="false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customFormat="false" ht="15.75" hidden="false" customHeight="false" outlineLevel="0" collapsed="false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customFormat="false" ht="15.75" hidden="false" customHeight="false" outlineLevel="0" collapsed="false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customFormat="false" ht="15.75" hidden="false" customHeight="false" outlineLevel="0" collapsed="false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customFormat="false" ht="15.75" hidden="false" customHeight="false" outlineLevel="0" collapsed="false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customFormat="false" ht="15.75" hidden="false" customHeight="false" outlineLevel="0" collapsed="false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customFormat="false" ht="15.75" hidden="false" customHeight="false" outlineLevel="0" collapsed="false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customFormat="false" ht="15.75" hidden="false" customHeight="false" outlineLevel="0" collapsed="false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customFormat="false" ht="15.75" hidden="false" customHeight="false" outlineLevel="0" collapsed="false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customFormat="false" ht="15.75" hidden="false" customHeight="false" outlineLevel="0" collapsed="false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customFormat="false" ht="15.75" hidden="false" customHeight="false" outlineLevel="0" collapsed="false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customFormat="false" ht="15.75" hidden="false" customHeight="false" outlineLevel="0" collapsed="false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customFormat="false" ht="15.75" hidden="false" customHeight="false" outlineLevel="0" collapsed="false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customFormat="false" ht="15.75" hidden="false" customHeight="false" outlineLevel="0" collapsed="false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customFormat="false" ht="15.75" hidden="false" customHeight="false" outlineLevel="0" collapsed="false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customFormat="false" ht="15.75" hidden="false" customHeight="false" outlineLevel="0" collapsed="false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customFormat="false" ht="15.75" hidden="false" customHeight="false" outlineLevel="0" collapsed="false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customFormat="false" ht="15.75" hidden="false" customHeight="false" outlineLevel="0" collapsed="false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customFormat="false" ht="15.75" hidden="false" customHeight="false" outlineLevel="0" collapsed="false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customFormat="false" ht="15.75" hidden="false" customHeight="false" outlineLevel="0" collapsed="false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customFormat="false" ht="15.75" hidden="false" customHeight="false" outlineLevel="0" collapsed="false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customFormat="false" ht="15.75" hidden="false" customHeight="false" outlineLevel="0" collapsed="false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customFormat="false" ht="15.75" hidden="false" customHeight="false" outlineLevel="0" collapsed="false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customFormat="false" ht="15.75" hidden="false" customHeight="false" outlineLevel="0" collapsed="false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customFormat="false" ht="15.75" hidden="false" customHeight="false" outlineLevel="0" collapsed="false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customFormat="false" ht="15.75" hidden="false" customHeight="false" outlineLevel="0" collapsed="false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customFormat="false" ht="15.75" hidden="false" customHeight="false" outlineLevel="0" collapsed="false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customFormat="false" ht="15.75" hidden="false" customHeight="false" outlineLevel="0" collapsed="false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customFormat="false" ht="15.75" hidden="false" customHeight="false" outlineLevel="0" collapsed="false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customFormat="false" ht="15.75" hidden="false" customHeight="false" outlineLevel="0" collapsed="false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customFormat="false" ht="15.75" hidden="false" customHeight="false" outlineLevel="0" collapsed="false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customFormat="false" ht="15.75" hidden="false" customHeight="false" outlineLevel="0" collapsed="false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customFormat="false" ht="15.75" hidden="false" customHeight="false" outlineLevel="0" collapsed="false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customFormat="false" ht="15.75" hidden="false" customHeight="false" outlineLevel="0" collapsed="false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customFormat="false" ht="15.75" hidden="false" customHeight="false" outlineLevel="0" collapsed="false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customFormat="false" ht="15.75" hidden="false" customHeight="false" outlineLevel="0" collapsed="false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customFormat="false" ht="15.75" hidden="false" customHeight="false" outlineLevel="0" collapsed="false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customFormat="false" ht="15.75" hidden="false" customHeight="false" outlineLevel="0" collapsed="false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customFormat="false" ht="15.75" hidden="false" customHeight="false" outlineLevel="0" collapsed="false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customFormat="false" ht="15.75" hidden="false" customHeight="false" outlineLevel="0" collapsed="false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customFormat="false" ht="15.75" hidden="false" customHeight="false" outlineLevel="0" collapsed="false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customFormat="false" ht="15.75" hidden="false" customHeight="false" outlineLevel="0" collapsed="false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customFormat="false" ht="15.75" hidden="false" customHeight="false" outlineLevel="0" collapsed="false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customFormat="false" ht="15.75" hidden="false" customHeight="false" outlineLevel="0" collapsed="false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customFormat="false" ht="15.75" hidden="false" customHeight="false" outlineLevel="0" collapsed="false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customFormat="false" ht="15.75" hidden="false" customHeight="false" outlineLevel="0" collapsed="false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customFormat="false" ht="15.75" hidden="false" customHeight="false" outlineLevel="0" collapsed="false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customFormat="false" ht="15.75" hidden="false" customHeight="false" outlineLevel="0" collapsed="false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customFormat="false" ht="15.75" hidden="false" customHeight="false" outlineLevel="0" collapsed="false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customFormat="false" ht="15.75" hidden="false" customHeight="false" outlineLevel="0" collapsed="false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customFormat="false" ht="15.75" hidden="false" customHeight="false" outlineLevel="0" collapsed="false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customFormat="false" ht="15.75" hidden="false" customHeight="false" outlineLevel="0" collapsed="false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customFormat="false" ht="15.75" hidden="false" customHeight="false" outlineLevel="0" collapsed="false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customFormat="false" ht="15.75" hidden="false" customHeight="false" outlineLevel="0" collapsed="false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customFormat="false" ht="15.75" hidden="false" customHeight="false" outlineLevel="0" collapsed="false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customFormat="false" ht="15.75" hidden="false" customHeight="false" outlineLevel="0" collapsed="false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customFormat="false" ht="15.75" hidden="false" customHeight="false" outlineLevel="0" collapsed="false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customFormat="false" ht="15.75" hidden="false" customHeight="false" outlineLevel="0" collapsed="false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customFormat="false" ht="15.75" hidden="false" customHeight="false" outlineLevel="0" collapsed="false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customFormat="false" ht="15.75" hidden="false" customHeight="false" outlineLevel="0" collapsed="false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customFormat="false" ht="15.75" hidden="false" customHeight="false" outlineLevel="0" collapsed="false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customFormat="false" ht="15.75" hidden="false" customHeight="false" outlineLevel="0" collapsed="false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customFormat="false" ht="15.75" hidden="false" customHeight="false" outlineLevel="0" collapsed="false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customFormat="false" ht="15.75" hidden="false" customHeight="false" outlineLevel="0" collapsed="false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customFormat="false" ht="15.75" hidden="false" customHeight="false" outlineLevel="0" collapsed="false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customFormat="false" ht="15.75" hidden="false" customHeight="false" outlineLevel="0" collapsed="false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customFormat="false" ht="15.75" hidden="false" customHeight="false" outlineLevel="0" collapsed="false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customFormat="false" ht="15.75" hidden="false" customHeight="false" outlineLevel="0" collapsed="false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customFormat="false" ht="15.75" hidden="false" customHeight="false" outlineLevel="0" collapsed="false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customFormat="false" ht="15.75" hidden="false" customHeight="false" outlineLevel="0" collapsed="false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customFormat="false" ht="15.75" hidden="false" customHeight="false" outlineLevel="0" collapsed="false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customFormat="false" ht="15.75" hidden="false" customHeight="false" outlineLevel="0" collapsed="false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customFormat="false" ht="15.75" hidden="false" customHeight="false" outlineLevel="0" collapsed="false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customFormat="false" ht="15.75" hidden="false" customHeight="false" outlineLevel="0" collapsed="false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customFormat="false" ht="15.75" hidden="false" customHeight="false" outlineLevel="0" collapsed="false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customFormat="false" ht="15.75" hidden="false" customHeight="false" outlineLevel="0" collapsed="false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customFormat="false" ht="15.75" hidden="false" customHeight="false" outlineLevel="0" collapsed="false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customFormat="false" ht="15.75" hidden="false" customHeight="false" outlineLevel="0" collapsed="false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customFormat="false" ht="15.75" hidden="false" customHeight="false" outlineLevel="0" collapsed="false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customFormat="false" ht="15.75" hidden="false" customHeight="false" outlineLevel="0" collapsed="false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customFormat="false" ht="15.75" hidden="false" customHeight="false" outlineLevel="0" collapsed="false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customFormat="false" ht="15.75" hidden="false" customHeight="false" outlineLevel="0" collapsed="false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customFormat="false" ht="15.75" hidden="false" customHeight="false" outlineLevel="0" collapsed="false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customFormat="false" ht="15.75" hidden="false" customHeight="false" outlineLevel="0" collapsed="false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customFormat="false" ht="15.75" hidden="false" customHeight="false" outlineLevel="0" collapsed="false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customFormat="false" ht="15.75" hidden="false" customHeight="false" outlineLevel="0" collapsed="false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customFormat="false" ht="15.75" hidden="false" customHeight="false" outlineLevel="0" collapsed="false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customFormat="false" ht="15.75" hidden="false" customHeight="false" outlineLevel="0" collapsed="false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customFormat="false" ht="15.75" hidden="false" customHeight="false" outlineLevel="0" collapsed="false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customFormat="false" ht="15.75" hidden="false" customHeight="false" outlineLevel="0" collapsed="false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customFormat="false" ht="15.75" hidden="false" customHeight="false" outlineLevel="0" collapsed="false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customFormat="false" ht="15.75" hidden="false" customHeight="false" outlineLevel="0" collapsed="false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customFormat="false" ht="15.75" hidden="false" customHeight="false" outlineLevel="0" collapsed="false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customFormat="false" ht="15.75" hidden="false" customHeight="false" outlineLevel="0" collapsed="false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customFormat="false" ht="15.75" hidden="false" customHeight="false" outlineLevel="0" collapsed="false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customFormat="false" ht="15.75" hidden="false" customHeight="false" outlineLevel="0" collapsed="false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customFormat="false" ht="15.75" hidden="false" customHeight="false" outlineLevel="0" collapsed="false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customFormat="false" ht="15.75" hidden="false" customHeight="false" outlineLevel="0" collapsed="false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customFormat="false" ht="15.75" hidden="false" customHeight="false" outlineLevel="0" collapsed="false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customFormat="false" ht="15.75" hidden="false" customHeight="false" outlineLevel="0" collapsed="false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customFormat="false" ht="15.75" hidden="false" customHeight="false" outlineLevel="0" collapsed="false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customFormat="false" ht="15.75" hidden="false" customHeight="false" outlineLevel="0" collapsed="false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customFormat="false" ht="15.75" hidden="false" customHeight="false" outlineLevel="0" collapsed="false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customFormat="false" ht="15.75" hidden="false" customHeight="false" outlineLevel="0" collapsed="false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customFormat="false" ht="15.75" hidden="false" customHeight="false" outlineLevel="0" collapsed="false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customFormat="false" ht="15.75" hidden="false" customHeight="false" outlineLevel="0" collapsed="false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customFormat="false" ht="15.75" hidden="false" customHeight="false" outlineLevel="0" collapsed="false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customFormat="false" ht="15.75" hidden="false" customHeight="false" outlineLevel="0" collapsed="false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customFormat="false" ht="15.75" hidden="false" customHeight="false" outlineLevel="0" collapsed="false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customFormat="false" ht="15.75" hidden="false" customHeight="false" outlineLevel="0" collapsed="false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customFormat="false" ht="15.75" hidden="false" customHeight="false" outlineLevel="0" collapsed="false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customFormat="false" ht="15.75" hidden="false" customHeight="false" outlineLevel="0" collapsed="false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customFormat="false" ht="15.75" hidden="false" customHeight="false" outlineLevel="0" collapsed="false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customFormat="false" ht="15.75" hidden="false" customHeight="false" outlineLevel="0" collapsed="false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customFormat="false" ht="15.75" hidden="false" customHeight="false" outlineLevel="0" collapsed="false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customFormat="false" ht="15.75" hidden="false" customHeight="false" outlineLevel="0" collapsed="false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customFormat="false" ht="15.75" hidden="false" customHeight="false" outlineLevel="0" collapsed="false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customFormat="false" ht="15.75" hidden="false" customHeight="false" outlineLevel="0" collapsed="false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customFormat="false" ht="15.75" hidden="false" customHeight="false" outlineLevel="0" collapsed="false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customFormat="false" ht="15.75" hidden="false" customHeight="false" outlineLevel="0" collapsed="false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customFormat="false" ht="15.75" hidden="false" customHeight="false" outlineLevel="0" collapsed="false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customFormat="false" ht="15.75" hidden="false" customHeight="false" outlineLevel="0" collapsed="false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customFormat="false" ht="15.75" hidden="false" customHeight="false" outlineLevel="0" collapsed="false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customFormat="false" ht="15.75" hidden="false" customHeight="false" outlineLevel="0" collapsed="false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customFormat="false" ht="15.75" hidden="false" customHeight="false" outlineLevel="0" collapsed="false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customFormat="false" ht="15.75" hidden="false" customHeight="false" outlineLevel="0" collapsed="false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customFormat="false" ht="15.75" hidden="false" customHeight="false" outlineLevel="0" collapsed="false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customFormat="false" ht="15.75" hidden="false" customHeight="false" outlineLevel="0" collapsed="false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customFormat="false" ht="15.75" hidden="false" customHeight="false" outlineLevel="0" collapsed="false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customFormat="false" ht="15.75" hidden="false" customHeight="false" outlineLevel="0" collapsed="false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customFormat="false" ht="15.75" hidden="false" customHeight="false" outlineLevel="0" collapsed="false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customFormat="false" ht="15.75" hidden="false" customHeight="false" outlineLevel="0" collapsed="false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customFormat="false" ht="15.75" hidden="false" customHeight="false" outlineLevel="0" collapsed="false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customFormat="false" ht="15.75" hidden="false" customHeight="false" outlineLevel="0" collapsed="false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 customFormat="false" ht="15.75" hidden="false" customHeight="false" outlineLevel="0" collapsed="false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 customFormat="false" ht="15.75" hidden="false" customHeight="false" outlineLevel="0" collapsed="false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 customFormat="false" ht="15.75" hidden="false" customHeight="false" outlineLevel="0" collapsed="false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 customFormat="false" ht="15.75" hidden="false" customHeight="false" outlineLevel="0" collapsed="false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 customFormat="false" ht="15.75" hidden="false" customHeight="false" outlineLevel="0" collapsed="false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 customFormat="false" ht="15.75" hidden="false" customHeight="false" outlineLevel="0" collapsed="false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 customFormat="false" ht="15.75" hidden="false" customHeight="false" outlineLevel="0" collapsed="false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 customFormat="false" ht="15.75" hidden="false" customHeight="false" outlineLevel="0" collapsed="false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 customFormat="false" ht="15.75" hidden="false" customHeight="false" outlineLevel="0" collapsed="false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 customFormat="false" ht="15.75" hidden="false" customHeight="false" outlineLevel="0" collapsed="false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 customFormat="false" ht="15.75" hidden="false" customHeight="false" outlineLevel="0" collapsed="false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 customFormat="false" ht="15.75" hidden="false" customHeight="false" outlineLevel="0" collapsed="false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 customFormat="false" ht="15.75" hidden="false" customHeight="false" outlineLevel="0" collapsed="false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 customFormat="false" ht="15.75" hidden="false" customHeight="false" outlineLevel="0" collapsed="false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 customFormat="false" ht="15.75" hidden="false" customHeight="false" outlineLevel="0" collapsed="false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 customFormat="false" ht="15.75" hidden="false" customHeight="false" outlineLevel="0" collapsed="false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 customFormat="false" ht="15.75" hidden="false" customHeight="false" outlineLevel="0" collapsed="false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 customFormat="false" ht="15.75" hidden="false" customHeight="false" outlineLevel="0" collapsed="false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 customFormat="false" ht="15.75" hidden="false" customHeight="false" outlineLevel="0" collapsed="false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 customFormat="false" ht="15.75" hidden="false" customHeight="false" outlineLevel="0" collapsed="false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 customFormat="false" ht="15.75" hidden="false" customHeight="false" outlineLevel="0" collapsed="false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 customFormat="false" ht="15.75" hidden="false" customHeight="false" outlineLevel="0" collapsed="false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 customFormat="false" ht="15.75" hidden="false" customHeight="false" outlineLevel="0" collapsed="false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 customFormat="false" ht="15.75" hidden="false" customHeight="false" outlineLevel="0" collapsed="false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 customFormat="false" ht="15.75" hidden="false" customHeight="false" outlineLevel="0" collapsed="false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 customFormat="false" ht="15.75" hidden="false" customHeight="false" outlineLevel="0" collapsed="false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 customFormat="false" ht="15.75" hidden="false" customHeight="false" outlineLevel="0" collapsed="false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 customFormat="false" ht="15.75" hidden="false" customHeight="false" outlineLevel="0" collapsed="false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 customFormat="false" ht="15.75" hidden="false" customHeight="false" outlineLevel="0" collapsed="false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 customFormat="false" ht="15.75" hidden="false" customHeight="false" outlineLevel="0" collapsed="false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 customFormat="false" ht="15.75" hidden="false" customHeight="false" outlineLevel="0" collapsed="false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 customFormat="false" ht="15.75" hidden="false" customHeight="false" outlineLevel="0" collapsed="false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 customFormat="false" ht="15.75" hidden="false" customHeight="false" outlineLevel="0" collapsed="false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 customFormat="false" ht="15.75" hidden="false" customHeight="false" outlineLevel="0" collapsed="false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 customFormat="false" ht="15.75" hidden="false" customHeight="false" outlineLevel="0" collapsed="false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 customFormat="false" ht="15.75" hidden="false" customHeight="false" outlineLevel="0" collapsed="false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 customFormat="false" ht="15.75" hidden="false" customHeight="false" outlineLevel="0" collapsed="false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 customFormat="false" ht="15.75" hidden="false" customHeight="false" outlineLevel="0" collapsed="false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 customFormat="false" ht="15.75" hidden="false" customHeight="false" outlineLevel="0" collapsed="false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 customFormat="false" ht="15.75" hidden="false" customHeight="false" outlineLevel="0" collapsed="false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 customFormat="false" ht="15.75" hidden="false" customHeight="false" outlineLevel="0" collapsed="false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 customFormat="false" ht="15.75" hidden="false" customHeight="false" outlineLevel="0" collapsed="false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 customFormat="false" ht="15.75" hidden="false" customHeight="false" outlineLevel="0" collapsed="false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 customFormat="false" ht="15.75" hidden="false" customHeight="false" outlineLevel="0" collapsed="false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 customFormat="false" ht="15.75" hidden="false" customHeight="false" outlineLevel="0" collapsed="false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 customFormat="false" ht="15.75" hidden="false" customHeight="false" outlineLevel="0" collapsed="false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 customFormat="false" ht="15.75" hidden="false" customHeight="false" outlineLevel="0" collapsed="false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 customFormat="false" ht="15.75" hidden="false" customHeight="false" outlineLevel="0" collapsed="false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 customFormat="false" ht="15.75" hidden="false" customHeight="false" outlineLevel="0" collapsed="false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 customFormat="false" ht="15.75" hidden="false" customHeight="false" outlineLevel="0" collapsed="false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 customFormat="false" ht="15.75" hidden="false" customHeight="false" outlineLevel="0" collapsed="false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 customFormat="false" ht="15.75" hidden="false" customHeight="false" outlineLevel="0" collapsed="false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 customFormat="false" ht="15.75" hidden="false" customHeight="false" outlineLevel="0" collapsed="false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 customFormat="false" ht="15.75" hidden="false" customHeight="false" outlineLevel="0" collapsed="false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 customFormat="false" ht="15.75" hidden="false" customHeight="false" outlineLevel="0" collapsed="false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 customFormat="false" ht="15.75" hidden="false" customHeight="false" outlineLevel="0" collapsed="false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 customFormat="false" ht="15.75" hidden="false" customHeight="false" outlineLevel="0" collapsed="false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 customFormat="false" ht="15.75" hidden="false" customHeight="false" outlineLevel="0" collapsed="false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 customFormat="false" ht="15.75" hidden="false" customHeight="false" outlineLevel="0" collapsed="false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 customFormat="false" ht="15.75" hidden="false" customHeight="false" outlineLevel="0" collapsed="false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 customFormat="false" ht="15.75" hidden="false" customHeight="false" outlineLevel="0" collapsed="false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 customFormat="false" ht="15.75" hidden="false" customHeight="false" outlineLevel="0" collapsed="false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 customFormat="false" ht="15.75" hidden="false" customHeight="false" outlineLevel="0" collapsed="false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 customFormat="false" ht="15.75" hidden="false" customHeight="false" outlineLevel="0" collapsed="false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 customFormat="false" ht="15.75" hidden="false" customHeight="false" outlineLevel="0" collapsed="false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 customFormat="false" ht="15.75" hidden="false" customHeight="false" outlineLevel="0" collapsed="false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 customFormat="false" ht="15.75" hidden="false" customHeight="false" outlineLevel="0" collapsed="false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 customFormat="false" ht="15.75" hidden="false" customHeight="false" outlineLevel="0" collapsed="false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 customFormat="false" ht="15.75" hidden="false" customHeight="false" outlineLevel="0" collapsed="false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 customFormat="false" ht="15.75" hidden="false" customHeight="false" outlineLevel="0" collapsed="false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 customFormat="false" ht="15.75" hidden="false" customHeight="false" outlineLevel="0" collapsed="false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 customFormat="false" ht="15.75" hidden="false" customHeight="false" outlineLevel="0" collapsed="false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 customFormat="false" ht="15.75" hidden="false" customHeight="false" outlineLevel="0" collapsed="false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 customFormat="false" ht="15.75" hidden="false" customHeight="false" outlineLevel="0" collapsed="false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 customFormat="false" ht="15.75" hidden="false" customHeight="false" outlineLevel="0" collapsed="false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 customFormat="false" ht="15.75" hidden="false" customHeight="false" outlineLevel="0" collapsed="false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 customFormat="false" ht="15.75" hidden="false" customHeight="false" outlineLevel="0" collapsed="false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 customFormat="false" ht="15.75" hidden="false" customHeight="false" outlineLevel="0" collapsed="false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 customFormat="false" ht="15.75" hidden="false" customHeight="false" outlineLevel="0" collapsed="false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 customFormat="false" ht="15.75" hidden="false" customHeight="false" outlineLevel="0" collapsed="false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 customFormat="false" ht="15.75" hidden="false" customHeight="false" outlineLevel="0" collapsed="false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 customFormat="false" ht="15.75" hidden="false" customHeight="false" outlineLevel="0" collapsed="false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 customFormat="false" ht="15.75" hidden="false" customHeight="false" outlineLevel="0" collapsed="false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 customFormat="false" ht="15.75" hidden="false" customHeight="false" outlineLevel="0" collapsed="false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 customFormat="false" ht="15.75" hidden="false" customHeight="false" outlineLevel="0" collapsed="false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 customFormat="false" ht="15.75" hidden="false" customHeight="false" outlineLevel="0" collapsed="false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 customFormat="false" ht="15.75" hidden="false" customHeight="false" outlineLevel="0" collapsed="false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 customFormat="false" ht="15.75" hidden="false" customHeight="false" outlineLevel="0" collapsed="false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 customFormat="false" ht="15.75" hidden="false" customHeight="false" outlineLevel="0" collapsed="false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 customFormat="false" ht="15.75" hidden="false" customHeight="false" outlineLevel="0" collapsed="false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 customFormat="false" ht="15.75" hidden="false" customHeight="false" outlineLevel="0" collapsed="false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 customFormat="false" ht="15.75" hidden="false" customHeight="false" outlineLevel="0" collapsed="false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 customFormat="false" ht="15.75" hidden="false" customHeight="false" outlineLevel="0" collapsed="false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 customFormat="false" ht="15.75" hidden="false" customHeight="false" outlineLevel="0" collapsed="false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 customFormat="false" ht="15.75" hidden="false" customHeight="false" outlineLevel="0" collapsed="false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 customFormat="false" ht="15.75" hidden="false" customHeight="false" outlineLevel="0" collapsed="false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 customFormat="false" ht="15.75" hidden="false" customHeight="false" outlineLevel="0" collapsed="false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 customFormat="false" ht="15.75" hidden="false" customHeight="false" outlineLevel="0" collapsed="false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 customFormat="false" ht="15.75" hidden="false" customHeight="false" outlineLevel="0" collapsed="false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 customFormat="false" ht="15.75" hidden="false" customHeight="false" outlineLevel="0" collapsed="false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 customFormat="false" ht="15.75" hidden="false" customHeight="false" outlineLevel="0" collapsed="false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 customFormat="false" ht="15.75" hidden="false" customHeight="false" outlineLevel="0" collapsed="false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 customFormat="false" ht="15.75" hidden="false" customHeight="false" outlineLevel="0" collapsed="false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 customFormat="false" ht="15.75" hidden="false" customHeight="false" outlineLevel="0" collapsed="false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 customFormat="false" ht="15.75" hidden="false" customHeight="false" outlineLevel="0" collapsed="false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 customFormat="false" ht="15.75" hidden="false" customHeight="false" outlineLevel="0" collapsed="false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 customFormat="false" ht="15.75" hidden="false" customHeight="false" outlineLevel="0" collapsed="false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 customFormat="false" ht="15.75" hidden="false" customHeight="false" outlineLevel="0" collapsed="false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 customFormat="false" ht="15.75" hidden="false" customHeight="false" outlineLevel="0" collapsed="false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 customFormat="false" ht="15.75" hidden="false" customHeight="false" outlineLevel="0" collapsed="false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 customFormat="false" ht="15.75" hidden="false" customHeight="false" outlineLevel="0" collapsed="false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 customFormat="false" ht="15.75" hidden="false" customHeight="false" outlineLevel="0" collapsed="false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 customFormat="false" ht="15.75" hidden="false" customHeight="false" outlineLevel="0" collapsed="false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 customFormat="false" ht="15.75" hidden="false" customHeight="false" outlineLevel="0" collapsed="false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 customFormat="false" ht="15.75" hidden="false" customHeight="false" outlineLevel="0" collapsed="false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 customFormat="false" ht="15.75" hidden="false" customHeight="false" outlineLevel="0" collapsed="false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 customFormat="false" ht="15.75" hidden="false" customHeight="false" outlineLevel="0" collapsed="false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 customFormat="false" ht="15.75" hidden="false" customHeight="false" outlineLevel="0" collapsed="false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 customFormat="false" ht="15.75" hidden="false" customHeight="false" outlineLevel="0" collapsed="false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 customFormat="false" ht="15.75" hidden="false" customHeight="false" outlineLevel="0" collapsed="false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 customFormat="false" ht="15.75" hidden="false" customHeight="false" outlineLevel="0" collapsed="false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 customFormat="false" ht="15.75" hidden="false" customHeight="false" outlineLevel="0" collapsed="false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 customFormat="false" ht="15.75" hidden="false" customHeight="false" outlineLevel="0" collapsed="false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 customFormat="false" ht="15.75" hidden="false" customHeight="false" outlineLevel="0" collapsed="false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 customFormat="false" ht="15.75" hidden="false" customHeight="false" outlineLevel="0" collapsed="false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 customFormat="false" ht="15.75" hidden="false" customHeight="false" outlineLevel="0" collapsed="false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 customFormat="false" ht="15.75" hidden="false" customHeight="false" outlineLevel="0" collapsed="false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 customFormat="false" ht="15.75" hidden="false" customHeight="false" outlineLevel="0" collapsed="false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 customFormat="false" ht="15.75" hidden="false" customHeight="false" outlineLevel="0" collapsed="false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 customFormat="false" ht="15.75" hidden="false" customHeight="false" outlineLevel="0" collapsed="false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 customFormat="false" ht="15.75" hidden="false" customHeight="false" outlineLevel="0" collapsed="false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 customFormat="false" ht="15.75" hidden="false" customHeight="false" outlineLevel="0" collapsed="false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 customFormat="false" ht="15.75" hidden="false" customHeight="false" outlineLevel="0" collapsed="false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 customFormat="false" ht="15.75" hidden="false" customHeight="false" outlineLevel="0" collapsed="false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 customFormat="false" ht="15.75" hidden="false" customHeight="false" outlineLevel="0" collapsed="false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 customFormat="false" ht="15.75" hidden="false" customHeight="false" outlineLevel="0" collapsed="false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 customFormat="false" ht="15.75" hidden="false" customHeight="false" outlineLevel="0" collapsed="false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 customFormat="false" ht="15.75" hidden="false" customHeight="false" outlineLevel="0" collapsed="false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 customFormat="false" ht="15.75" hidden="false" customHeight="false" outlineLevel="0" collapsed="false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 customFormat="false" ht="15.75" hidden="false" customHeight="false" outlineLevel="0" collapsed="false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 customFormat="false" ht="15.75" hidden="false" customHeight="false" outlineLevel="0" collapsed="false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 customFormat="false" ht="15.75" hidden="false" customHeight="false" outlineLevel="0" collapsed="false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 customFormat="false" ht="15.75" hidden="false" customHeight="false" outlineLevel="0" collapsed="false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 customFormat="false" ht="15.75" hidden="false" customHeight="false" outlineLevel="0" collapsed="false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 customFormat="false" ht="15.75" hidden="false" customHeight="false" outlineLevel="0" collapsed="false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 customFormat="false" ht="15.75" hidden="false" customHeight="false" outlineLevel="0" collapsed="false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 customFormat="false" ht="15.75" hidden="false" customHeight="false" outlineLevel="0" collapsed="false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 customFormat="false" ht="15.75" hidden="false" customHeight="false" outlineLevel="0" collapsed="false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 customFormat="false" ht="15.75" hidden="false" customHeight="false" outlineLevel="0" collapsed="false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 customFormat="false" ht="15.75" hidden="false" customHeight="false" outlineLevel="0" collapsed="false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 customFormat="false" ht="15.75" hidden="false" customHeight="false" outlineLevel="0" collapsed="false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 customFormat="false" ht="15.75" hidden="false" customHeight="false" outlineLevel="0" collapsed="false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 customFormat="false" ht="15.75" hidden="false" customHeight="false" outlineLevel="0" collapsed="false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 customFormat="false" ht="15.75" hidden="false" customHeight="false" outlineLevel="0" collapsed="false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 customFormat="false" ht="15.75" hidden="false" customHeight="false" outlineLevel="0" collapsed="false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 customFormat="false" ht="15.75" hidden="false" customHeight="false" outlineLevel="0" collapsed="false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 customFormat="false" ht="15.75" hidden="false" customHeight="false" outlineLevel="0" collapsed="false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 customFormat="false" ht="15.75" hidden="false" customHeight="false" outlineLevel="0" collapsed="false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 customFormat="false" ht="15.75" hidden="false" customHeight="false" outlineLevel="0" collapsed="false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 customFormat="false" ht="15.75" hidden="false" customHeight="false" outlineLevel="0" collapsed="false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 customFormat="false" ht="15.75" hidden="false" customHeight="false" outlineLevel="0" collapsed="false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 customFormat="false" ht="15.75" hidden="false" customHeight="false" outlineLevel="0" collapsed="false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 customFormat="false" ht="15.75" hidden="false" customHeight="false" outlineLevel="0" collapsed="false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 customFormat="false" ht="15.75" hidden="false" customHeight="false" outlineLevel="0" collapsed="false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 customFormat="false" ht="15.75" hidden="false" customHeight="false" outlineLevel="0" collapsed="false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 customFormat="false" ht="15.75" hidden="false" customHeight="false" outlineLevel="0" collapsed="false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 customFormat="false" ht="15.75" hidden="false" customHeight="false" outlineLevel="0" collapsed="false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 customFormat="false" ht="15.75" hidden="false" customHeight="false" outlineLevel="0" collapsed="false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 customFormat="false" ht="15.75" hidden="false" customHeight="false" outlineLevel="0" collapsed="false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 customFormat="false" ht="15.75" hidden="false" customHeight="false" outlineLevel="0" collapsed="false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 customFormat="false" ht="15.75" hidden="false" customHeight="false" outlineLevel="0" collapsed="false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 customFormat="false" ht="15.75" hidden="false" customHeight="false" outlineLevel="0" collapsed="false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 customFormat="false" ht="15.75" hidden="false" customHeight="false" outlineLevel="0" collapsed="false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 customFormat="false" ht="15.75" hidden="false" customHeight="false" outlineLevel="0" collapsed="false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 customFormat="false" ht="15.75" hidden="false" customHeight="false" outlineLevel="0" collapsed="false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 customFormat="false" ht="15.75" hidden="false" customHeight="false" outlineLevel="0" collapsed="false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 customFormat="false" ht="15.75" hidden="false" customHeight="false" outlineLevel="0" collapsed="false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 customFormat="false" ht="15.75" hidden="false" customHeight="false" outlineLevel="0" collapsed="false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 customFormat="false" ht="15.75" hidden="false" customHeight="false" outlineLevel="0" collapsed="false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 customFormat="false" ht="15.75" hidden="false" customHeight="false" outlineLevel="0" collapsed="false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 customFormat="false" ht="15.75" hidden="false" customHeight="false" outlineLevel="0" collapsed="false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 customFormat="false" ht="15.75" hidden="false" customHeight="false" outlineLevel="0" collapsed="false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 customFormat="false" ht="15.75" hidden="false" customHeight="false" outlineLevel="0" collapsed="false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 customFormat="false" ht="15.75" hidden="false" customHeight="false" outlineLevel="0" collapsed="false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 customFormat="false" ht="15.75" hidden="false" customHeight="false" outlineLevel="0" collapsed="false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 customFormat="false" ht="15.75" hidden="false" customHeight="false" outlineLevel="0" collapsed="false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 customFormat="false" ht="15.75" hidden="false" customHeight="false" outlineLevel="0" collapsed="false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 customFormat="false" ht="15.75" hidden="false" customHeight="false" outlineLevel="0" collapsed="false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 customFormat="false" ht="15.75" hidden="false" customHeight="false" outlineLevel="0" collapsed="false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 customFormat="false" ht="15.75" hidden="false" customHeight="false" outlineLevel="0" collapsed="false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 customFormat="false" ht="15.75" hidden="false" customHeight="false" outlineLevel="0" collapsed="false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 customFormat="false" ht="15.75" hidden="false" customHeight="false" outlineLevel="0" collapsed="false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 customFormat="false" ht="15.75" hidden="false" customHeight="false" outlineLevel="0" collapsed="false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 customFormat="false" ht="15.75" hidden="false" customHeight="false" outlineLevel="0" collapsed="false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 customFormat="false" ht="15.75" hidden="false" customHeight="false" outlineLevel="0" collapsed="false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 customFormat="false" ht="15.75" hidden="false" customHeight="false" outlineLevel="0" collapsed="false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 customFormat="false" ht="15.75" hidden="false" customHeight="false" outlineLevel="0" collapsed="false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 customFormat="false" ht="15.75" hidden="false" customHeight="false" outlineLevel="0" collapsed="false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 customFormat="false" ht="15.75" hidden="false" customHeight="false" outlineLevel="0" collapsed="false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 customFormat="false" ht="15.75" hidden="false" customHeight="false" outlineLevel="0" collapsed="false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 customFormat="false" ht="15.75" hidden="false" customHeight="false" outlineLevel="0" collapsed="false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 customFormat="false" ht="15.75" hidden="false" customHeight="false" outlineLevel="0" collapsed="false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 customFormat="false" ht="15.75" hidden="false" customHeight="false" outlineLevel="0" collapsed="false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 customFormat="false" ht="15.75" hidden="false" customHeight="false" outlineLevel="0" collapsed="false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 customFormat="false" ht="15.75" hidden="false" customHeight="false" outlineLevel="0" collapsed="false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 customFormat="false" ht="15.75" hidden="false" customHeight="false" outlineLevel="0" collapsed="false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 customFormat="false" ht="15.75" hidden="false" customHeight="false" outlineLevel="0" collapsed="false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 customFormat="false" ht="15.75" hidden="false" customHeight="false" outlineLevel="0" collapsed="false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 customFormat="false" ht="15.75" hidden="false" customHeight="false" outlineLevel="0" collapsed="false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 customFormat="false" ht="15.75" hidden="false" customHeight="false" outlineLevel="0" collapsed="false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 customFormat="false" ht="15.75" hidden="false" customHeight="false" outlineLevel="0" collapsed="false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 customFormat="false" ht="15.75" hidden="false" customHeight="false" outlineLevel="0" collapsed="false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 customFormat="false" ht="15.75" hidden="false" customHeight="false" outlineLevel="0" collapsed="false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 customFormat="false" ht="15.75" hidden="false" customHeight="false" outlineLevel="0" collapsed="false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 customFormat="false" ht="15.75" hidden="false" customHeight="false" outlineLevel="0" collapsed="false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 customFormat="false" ht="15.75" hidden="false" customHeight="false" outlineLevel="0" collapsed="false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 customFormat="false" ht="15.75" hidden="false" customHeight="false" outlineLevel="0" collapsed="false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 customFormat="false" ht="15.75" hidden="false" customHeight="false" outlineLevel="0" collapsed="false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 customFormat="false" ht="15.75" hidden="false" customHeight="false" outlineLevel="0" collapsed="false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 customFormat="false" ht="15.75" hidden="false" customHeight="false" outlineLevel="0" collapsed="false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 customFormat="false" ht="15.75" hidden="false" customHeight="false" outlineLevel="0" collapsed="false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 customFormat="false" ht="15.75" hidden="false" customHeight="false" outlineLevel="0" collapsed="false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 customFormat="false" ht="15.75" hidden="false" customHeight="false" outlineLevel="0" collapsed="false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 customFormat="false" ht="15.75" hidden="false" customHeight="false" outlineLevel="0" collapsed="false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 customFormat="false" ht="15.75" hidden="false" customHeight="false" outlineLevel="0" collapsed="false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 customFormat="false" ht="15.75" hidden="false" customHeight="false" outlineLevel="0" collapsed="false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 customFormat="false" ht="15.75" hidden="false" customHeight="false" outlineLevel="0" collapsed="false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 customFormat="false" ht="15.75" hidden="false" customHeight="false" outlineLevel="0" collapsed="false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 customFormat="false" ht="15.75" hidden="false" customHeight="false" outlineLevel="0" collapsed="false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 customFormat="false" ht="15.75" hidden="false" customHeight="false" outlineLevel="0" collapsed="false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 customFormat="false" ht="15.75" hidden="false" customHeight="false" outlineLevel="0" collapsed="false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 customFormat="false" ht="15.75" hidden="false" customHeight="false" outlineLevel="0" collapsed="false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 customFormat="false" ht="15.75" hidden="false" customHeight="false" outlineLevel="0" collapsed="false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 customFormat="false" ht="15.75" hidden="false" customHeight="false" outlineLevel="0" collapsed="false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 customFormat="false" ht="15.75" hidden="false" customHeight="false" outlineLevel="0" collapsed="false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 customFormat="false" ht="15.75" hidden="false" customHeight="false" outlineLevel="0" collapsed="false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 customFormat="false" ht="15.75" hidden="false" customHeight="false" outlineLevel="0" collapsed="false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 customFormat="false" ht="15.75" hidden="false" customHeight="false" outlineLevel="0" collapsed="false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 customFormat="false" ht="15.75" hidden="false" customHeight="false" outlineLevel="0" collapsed="false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 customFormat="false" ht="15.75" hidden="false" customHeight="false" outlineLevel="0" collapsed="false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 customFormat="false" ht="15.75" hidden="false" customHeight="false" outlineLevel="0" collapsed="false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 customFormat="false" ht="15.75" hidden="false" customHeight="false" outlineLevel="0" collapsed="false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 customFormat="false" ht="15.75" hidden="false" customHeight="false" outlineLevel="0" collapsed="false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 customFormat="false" ht="15.75" hidden="false" customHeight="false" outlineLevel="0" collapsed="false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 customFormat="false" ht="15.75" hidden="false" customHeight="false" outlineLevel="0" collapsed="false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 customFormat="false" ht="15.75" hidden="false" customHeight="false" outlineLevel="0" collapsed="false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 customFormat="false" ht="15.75" hidden="false" customHeight="false" outlineLevel="0" collapsed="false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 customFormat="false" ht="15.75" hidden="false" customHeight="false" outlineLevel="0" collapsed="false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 customFormat="false" ht="15.75" hidden="false" customHeight="false" outlineLevel="0" collapsed="false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 customFormat="false" ht="15.75" hidden="false" customHeight="false" outlineLevel="0" collapsed="false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 customFormat="false" ht="15.75" hidden="false" customHeight="false" outlineLevel="0" collapsed="false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 customFormat="false" ht="15.75" hidden="false" customHeight="false" outlineLevel="0" collapsed="false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 customFormat="false" ht="15.75" hidden="false" customHeight="false" outlineLevel="0" collapsed="false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 customFormat="false" ht="15.75" hidden="false" customHeight="false" outlineLevel="0" collapsed="false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 customFormat="false" ht="15.75" hidden="false" customHeight="false" outlineLevel="0" collapsed="false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 customFormat="false" ht="15.75" hidden="false" customHeight="false" outlineLevel="0" collapsed="false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 customFormat="false" ht="15.75" hidden="false" customHeight="false" outlineLevel="0" collapsed="false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 customFormat="false" ht="15.75" hidden="false" customHeight="false" outlineLevel="0" collapsed="false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 customFormat="false" ht="15.75" hidden="false" customHeight="false" outlineLevel="0" collapsed="false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 customFormat="false" ht="15.75" hidden="false" customHeight="false" outlineLevel="0" collapsed="false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 customFormat="false" ht="15.75" hidden="false" customHeight="false" outlineLevel="0" collapsed="false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 customFormat="false" ht="15.75" hidden="false" customHeight="false" outlineLevel="0" collapsed="false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 customFormat="false" ht="15.75" hidden="false" customHeight="false" outlineLevel="0" collapsed="false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 customFormat="false" ht="15.75" hidden="false" customHeight="false" outlineLevel="0" collapsed="false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 customFormat="false" ht="15.75" hidden="false" customHeight="false" outlineLevel="0" collapsed="false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 customFormat="false" ht="15.75" hidden="false" customHeight="false" outlineLevel="0" collapsed="false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 customFormat="false" ht="15.75" hidden="false" customHeight="false" outlineLevel="0" collapsed="false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 customFormat="false" ht="15.75" hidden="false" customHeight="false" outlineLevel="0" collapsed="false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 customFormat="false" ht="15.75" hidden="false" customHeight="false" outlineLevel="0" collapsed="false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 customFormat="false" ht="15.75" hidden="false" customHeight="false" outlineLevel="0" collapsed="false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 customFormat="false" ht="15.75" hidden="false" customHeight="false" outlineLevel="0" collapsed="false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 customFormat="false" ht="15.75" hidden="false" customHeight="false" outlineLevel="0" collapsed="false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 customFormat="false" ht="15.75" hidden="false" customHeight="false" outlineLevel="0" collapsed="false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 customFormat="false" ht="15.75" hidden="false" customHeight="false" outlineLevel="0" collapsed="false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 customFormat="false" ht="15.75" hidden="false" customHeight="false" outlineLevel="0" collapsed="false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 customFormat="false" ht="15.75" hidden="false" customHeight="false" outlineLevel="0" collapsed="false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 customFormat="false" ht="15.75" hidden="false" customHeight="false" outlineLevel="0" collapsed="false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 customFormat="false" ht="15.75" hidden="false" customHeight="false" outlineLevel="0" collapsed="false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 customFormat="false" ht="15.75" hidden="false" customHeight="false" outlineLevel="0" collapsed="false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 customFormat="false" ht="15.75" hidden="false" customHeight="false" outlineLevel="0" collapsed="false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 customFormat="false" ht="15.75" hidden="false" customHeight="false" outlineLevel="0" collapsed="false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 customFormat="false" ht="15.75" hidden="false" customHeight="false" outlineLevel="0" collapsed="false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 customFormat="false" ht="15.75" hidden="false" customHeight="false" outlineLevel="0" collapsed="false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 customFormat="false" ht="15.75" hidden="false" customHeight="false" outlineLevel="0" collapsed="false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 customFormat="false" ht="15.75" hidden="false" customHeight="false" outlineLevel="0" collapsed="false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 customFormat="false" ht="15.75" hidden="false" customHeight="false" outlineLevel="0" collapsed="false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 customFormat="false" ht="15.75" hidden="false" customHeight="false" outlineLevel="0" collapsed="false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 customFormat="false" ht="15.75" hidden="false" customHeight="false" outlineLevel="0" collapsed="false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 customFormat="false" ht="15.75" hidden="false" customHeight="false" outlineLevel="0" collapsed="false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 customFormat="false" ht="15.75" hidden="false" customHeight="false" outlineLevel="0" collapsed="false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 customFormat="false" ht="15.75" hidden="false" customHeight="false" outlineLevel="0" collapsed="false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 customFormat="false" ht="15.75" hidden="false" customHeight="false" outlineLevel="0" collapsed="false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 customFormat="false" ht="15.75" hidden="false" customHeight="false" outlineLevel="0" collapsed="false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 customFormat="false" ht="15.75" hidden="false" customHeight="false" outlineLevel="0" collapsed="false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 customFormat="false" ht="15.75" hidden="false" customHeight="false" outlineLevel="0" collapsed="false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 customFormat="false" ht="15.75" hidden="false" customHeight="false" outlineLevel="0" collapsed="false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 customFormat="false" ht="15.75" hidden="false" customHeight="false" outlineLevel="0" collapsed="false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 customFormat="false" ht="15.75" hidden="false" customHeight="false" outlineLevel="0" collapsed="false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 customFormat="false" ht="15.75" hidden="false" customHeight="false" outlineLevel="0" collapsed="false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 customFormat="false" ht="15.75" hidden="false" customHeight="false" outlineLevel="0" collapsed="false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 customFormat="false" ht="15.75" hidden="false" customHeight="false" outlineLevel="0" collapsed="false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 customFormat="false" ht="15.75" hidden="false" customHeight="false" outlineLevel="0" collapsed="false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 customFormat="false" ht="15.75" hidden="false" customHeight="false" outlineLevel="0" collapsed="false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 customFormat="false" ht="15.75" hidden="false" customHeight="false" outlineLevel="0" collapsed="false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 customFormat="false" ht="15.75" hidden="false" customHeight="false" outlineLevel="0" collapsed="false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 customFormat="false" ht="15.75" hidden="false" customHeight="false" outlineLevel="0" collapsed="false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 customFormat="false" ht="15.75" hidden="false" customHeight="false" outlineLevel="0" collapsed="false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 customFormat="false" ht="15.75" hidden="false" customHeight="false" outlineLevel="0" collapsed="false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 customFormat="false" ht="15.75" hidden="false" customHeight="false" outlineLevel="0" collapsed="false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 customFormat="false" ht="15.75" hidden="false" customHeight="false" outlineLevel="0" collapsed="false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 customFormat="false" ht="15.75" hidden="false" customHeight="false" outlineLevel="0" collapsed="false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 customFormat="false" ht="15.75" hidden="false" customHeight="false" outlineLevel="0" collapsed="false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 customFormat="false" ht="15.75" hidden="false" customHeight="false" outlineLevel="0" collapsed="false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 customFormat="false" ht="15.75" hidden="false" customHeight="false" outlineLevel="0" collapsed="false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 customFormat="false" ht="15.75" hidden="false" customHeight="false" outlineLevel="0" collapsed="false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 customFormat="false" ht="15.75" hidden="false" customHeight="false" outlineLevel="0" collapsed="false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 customFormat="false" ht="15.75" hidden="false" customHeight="false" outlineLevel="0" collapsed="false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 customFormat="false" ht="15.75" hidden="false" customHeight="false" outlineLevel="0" collapsed="false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 customFormat="false" ht="15.75" hidden="false" customHeight="false" outlineLevel="0" collapsed="false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 customFormat="false" ht="15.75" hidden="false" customHeight="false" outlineLevel="0" collapsed="false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 customFormat="false" ht="15.75" hidden="false" customHeight="false" outlineLevel="0" collapsed="false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 customFormat="false" ht="15.75" hidden="false" customHeight="false" outlineLevel="0" collapsed="false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 customFormat="false" ht="15.75" hidden="false" customHeight="false" outlineLevel="0" collapsed="false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 customFormat="false" ht="15.75" hidden="false" customHeight="false" outlineLevel="0" collapsed="false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 customFormat="false" ht="15.75" hidden="false" customHeight="false" outlineLevel="0" collapsed="false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 customFormat="false" ht="15.75" hidden="false" customHeight="false" outlineLevel="0" collapsed="false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 customFormat="false" ht="15.75" hidden="false" customHeight="false" outlineLevel="0" collapsed="false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 customFormat="false" ht="15.75" hidden="false" customHeight="false" outlineLevel="0" collapsed="false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 customFormat="false" ht="15.75" hidden="false" customHeight="false" outlineLevel="0" collapsed="false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 customFormat="false" ht="15.75" hidden="false" customHeight="false" outlineLevel="0" collapsed="false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 customFormat="false" ht="15.75" hidden="false" customHeight="false" outlineLevel="0" collapsed="false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 customFormat="false" ht="15.75" hidden="false" customHeight="false" outlineLevel="0" collapsed="false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 customFormat="false" ht="15.75" hidden="false" customHeight="false" outlineLevel="0" collapsed="false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 customFormat="false" ht="15.75" hidden="false" customHeight="false" outlineLevel="0" collapsed="false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 customFormat="false" ht="15.75" hidden="false" customHeight="false" outlineLevel="0" collapsed="false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 customFormat="false" ht="15.75" hidden="false" customHeight="false" outlineLevel="0" collapsed="false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 customFormat="false" ht="15.75" hidden="false" customHeight="false" outlineLevel="0" collapsed="false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 customFormat="false" ht="15.75" hidden="false" customHeight="false" outlineLevel="0" collapsed="false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 customFormat="false" ht="15.75" hidden="false" customHeight="false" outlineLevel="0" collapsed="false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 customFormat="false" ht="15.75" hidden="false" customHeight="false" outlineLevel="0" collapsed="false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 customFormat="false" ht="15.75" hidden="false" customHeight="false" outlineLevel="0" collapsed="false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 customFormat="false" ht="15.75" hidden="false" customHeight="false" outlineLevel="0" collapsed="false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 customFormat="false" ht="15.75" hidden="false" customHeight="false" outlineLevel="0" collapsed="false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 customFormat="false" ht="15.75" hidden="false" customHeight="false" outlineLevel="0" collapsed="false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 customFormat="false" ht="15.75" hidden="false" customHeight="false" outlineLevel="0" collapsed="false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 customFormat="false" ht="15.75" hidden="false" customHeight="false" outlineLevel="0" collapsed="false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 customFormat="false" ht="15.75" hidden="false" customHeight="false" outlineLevel="0" collapsed="false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 customFormat="false" ht="15.75" hidden="false" customHeight="false" outlineLevel="0" collapsed="false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 customFormat="false" ht="15.75" hidden="false" customHeight="false" outlineLevel="0" collapsed="false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 customFormat="false" ht="15.75" hidden="false" customHeight="false" outlineLevel="0" collapsed="false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 customFormat="false" ht="15.75" hidden="false" customHeight="false" outlineLevel="0" collapsed="false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 customFormat="false" ht="15.75" hidden="false" customHeight="false" outlineLevel="0" collapsed="false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 customFormat="false" ht="15.75" hidden="false" customHeight="false" outlineLevel="0" collapsed="false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 customFormat="false" ht="15.75" hidden="false" customHeight="false" outlineLevel="0" collapsed="false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 customFormat="false" ht="15.75" hidden="false" customHeight="false" outlineLevel="0" collapsed="false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 customFormat="false" ht="15.75" hidden="false" customHeight="false" outlineLevel="0" collapsed="false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 customFormat="false" ht="15.75" hidden="false" customHeight="false" outlineLevel="0" collapsed="false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 customFormat="false" ht="15.75" hidden="false" customHeight="false" outlineLevel="0" collapsed="false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 customFormat="false" ht="15.75" hidden="false" customHeight="false" outlineLevel="0" collapsed="false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 customFormat="false" ht="15.75" hidden="false" customHeight="false" outlineLevel="0" collapsed="false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 customFormat="false" ht="15.75" hidden="false" customHeight="false" outlineLevel="0" collapsed="false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 customFormat="false" ht="15.75" hidden="false" customHeight="false" outlineLevel="0" collapsed="false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 customFormat="false" ht="15.75" hidden="false" customHeight="false" outlineLevel="0" collapsed="false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 customFormat="false" ht="15.75" hidden="false" customHeight="false" outlineLevel="0" collapsed="false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 customFormat="false" ht="15.75" hidden="false" customHeight="false" outlineLevel="0" collapsed="false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 customFormat="false" ht="15.75" hidden="false" customHeight="false" outlineLevel="0" collapsed="false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 customFormat="false" ht="15.75" hidden="false" customHeight="false" outlineLevel="0" collapsed="false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 customFormat="false" ht="15.75" hidden="false" customHeight="false" outlineLevel="0" collapsed="false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 customFormat="false" ht="15.75" hidden="false" customHeight="false" outlineLevel="0" collapsed="false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 customFormat="false" ht="15.75" hidden="false" customHeight="false" outlineLevel="0" collapsed="false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 customFormat="false" ht="15.75" hidden="false" customHeight="false" outlineLevel="0" collapsed="false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 customFormat="false" ht="15.75" hidden="false" customHeight="false" outlineLevel="0" collapsed="false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 customFormat="false" ht="15.75" hidden="false" customHeight="false" outlineLevel="0" collapsed="false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 customFormat="false" ht="15.75" hidden="false" customHeight="false" outlineLevel="0" collapsed="false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 customFormat="false" ht="15.75" hidden="false" customHeight="false" outlineLevel="0" collapsed="false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 customFormat="false" ht="15.75" hidden="false" customHeight="false" outlineLevel="0" collapsed="false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 customFormat="false" ht="15.75" hidden="false" customHeight="false" outlineLevel="0" collapsed="false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 customFormat="false" ht="15.75" hidden="false" customHeight="false" outlineLevel="0" collapsed="false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 customFormat="false" ht="15.75" hidden="false" customHeight="false" outlineLevel="0" collapsed="false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 customFormat="false" ht="15.75" hidden="false" customHeight="false" outlineLevel="0" collapsed="false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 customFormat="false" ht="15.75" hidden="false" customHeight="false" outlineLevel="0" collapsed="false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 customFormat="false" ht="15.75" hidden="false" customHeight="false" outlineLevel="0" collapsed="false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 customFormat="false" ht="15.75" hidden="false" customHeight="false" outlineLevel="0" collapsed="false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 customFormat="false" ht="15.75" hidden="false" customHeight="false" outlineLevel="0" collapsed="false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 customFormat="false" ht="15.75" hidden="false" customHeight="false" outlineLevel="0" collapsed="false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 customFormat="false" ht="15.75" hidden="false" customHeight="false" outlineLevel="0" collapsed="false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 customFormat="false" ht="15.75" hidden="false" customHeight="false" outlineLevel="0" collapsed="false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 customFormat="false" ht="15.75" hidden="false" customHeight="false" outlineLevel="0" collapsed="false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 customFormat="false" ht="15.75" hidden="false" customHeight="false" outlineLevel="0" collapsed="false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 customFormat="false" ht="15.75" hidden="false" customHeight="false" outlineLevel="0" collapsed="false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 customFormat="false" ht="15.75" hidden="false" customHeight="false" outlineLevel="0" collapsed="false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 customFormat="false" ht="15.75" hidden="false" customHeight="false" outlineLevel="0" collapsed="false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 customFormat="false" ht="15.75" hidden="false" customHeight="false" outlineLevel="0" collapsed="false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 customFormat="false" ht="15.75" hidden="false" customHeight="false" outlineLevel="0" collapsed="false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 customFormat="false" ht="15.75" hidden="false" customHeight="false" outlineLevel="0" collapsed="false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 customFormat="false" ht="15.75" hidden="false" customHeight="false" outlineLevel="0" collapsed="false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 customFormat="false" ht="15.75" hidden="false" customHeight="false" outlineLevel="0" collapsed="false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 customFormat="false" ht="15.75" hidden="false" customHeight="false" outlineLevel="0" collapsed="false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 customFormat="false" ht="15.75" hidden="false" customHeight="false" outlineLevel="0" collapsed="false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 customFormat="false" ht="15.75" hidden="false" customHeight="false" outlineLevel="0" collapsed="false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 customFormat="false" ht="15.75" hidden="false" customHeight="false" outlineLevel="0" collapsed="false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 customFormat="false" ht="15.75" hidden="false" customHeight="false" outlineLevel="0" collapsed="false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 customFormat="false" ht="15.75" hidden="false" customHeight="false" outlineLevel="0" collapsed="false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 customFormat="false" ht="15.75" hidden="false" customHeight="false" outlineLevel="0" collapsed="false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 customFormat="false" ht="15.75" hidden="false" customHeight="false" outlineLevel="0" collapsed="false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 customFormat="false" ht="15.75" hidden="false" customHeight="false" outlineLevel="0" collapsed="false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 customFormat="false" ht="15.75" hidden="false" customHeight="false" outlineLevel="0" collapsed="false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 customFormat="false" ht="15.75" hidden="false" customHeight="false" outlineLevel="0" collapsed="false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 customFormat="false" ht="15.75" hidden="false" customHeight="false" outlineLevel="0" collapsed="false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 customFormat="false" ht="15.75" hidden="false" customHeight="false" outlineLevel="0" collapsed="false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 customFormat="false" ht="15.75" hidden="false" customHeight="false" outlineLevel="0" collapsed="false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 customFormat="false" ht="15.75" hidden="false" customHeight="false" outlineLevel="0" collapsed="false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 customFormat="false" ht="15.75" hidden="false" customHeight="false" outlineLevel="0" collapsed="false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 customFormat="false" ht="15.75" hidden="false" customHeight="false" outlineLevel="0" collapsed="false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 customFormat="false" ht="15.75" hidden="false" customHeight="false" outlineLevel="0" collapsed="false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 customFormat="false" ht="15.75" hidden="false" customHeight="false" outlineLevel="0" collapsed="false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 customFormat="false" ht="15.75" hidden="false" customHeight="false" outlineLevel="0" collapsed="false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 customFormat="false" ht="15.75" hidden="false" customHeight="false" outlineLevel="0" collapsed="false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 customFormat="false" ht="15.75" hidden="false" customHeight="false" outlineLevel="0" collapsed="false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 customFormat="false" ht="15.75" hidden="false" customHeight="false" outlineLevel="0" collapsed="false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 customFormat="false" ht="15.75" hidden="false" customHeight="false" outlineLevel="0" collapsed="false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 customFormat="false" ht="15.75" hidden="false" customHeight="false" outlineLevel="0" collapsed="false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 customFormat="false" ht="15.75" hidden="false" customHeight="false" outlineLevel="0" collapsed="false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 customFormat="false" ht="15.75" hidden="false" customHeight="false" outlineLevel="0" collapsed="false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 customFormat="false" ht="15.75" hidden="false" customHeight="false" outlineLevel="0" collapsed="false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 customFormat="false" ht="15.75" hidden="false" customHeight="false" outlineLevel="0" collapsed="false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 customFormat="false" ht="15.75" hidden="false" customHeight="false" outlineLevel="0" collapsed="false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 customFormat="false" ht="15.75" hidden="false" customHeight="false" outlineLevel="0" collapsed="false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 customFormat="false" ht="15.75" hidden="false" customHeight="false" outlineLevel="0" collapsed="false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 customFormat="false" ht="15.75" hidden="false" customHeight="false" outlineLevel="0" collapsed="false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 customFormat="false" ht="15.75" hidden="false" customHeight="false" outlineLevel="0" collapsed="false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 customFormat="false" ht="15.75" hidden="false" customHeight="false" outlineLevel="0" collapsed="false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 customFormat="false" ht="15.75" hidden="false" customHeight="false" outlineLevel="0" collapsed="false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 customFormat="false" ht="15.75" hidden="false" customHeight="false" outlineLevel="0" collapsed="false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 customFormat="false" ht="15.75" hidden="false" customHeight="false" outlineLevel="0" collapsed="false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 customFormat="false" ht="15.75" hidden="false" customHeight="false" outlineLevel="0" collapsed="false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 customFormat="false" ht="15.75" hidden="false" customHeight="false" outlineLevel="0" collapsed="false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 customFormat="false" ht="15.75" hidden="false" customHeight="false" outlineLevel="0" collapsed="false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 customFormat="false" ht="15.75" hidden="false" customHeight="false" outlineLevel="0" collapsed="false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 customFormat="false" ht="15.75" hidden="false" customHeight="false" outlineLevel="0" collapsed="false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 customFormat="false" ht="15.75" hidden="false" customHeight="false" outlineLevel="0" collapsed="false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 customFormat="false" ht="15.75" hidden="false" customHeight="false" outlineLevel="0" collapsed="false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 customFormat="false" ht="15.75" hidden="false" customHeight="false" outlineLevel="0" collapsed="false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 customFormat="false" ht="15.75" hidden="false" customHeight="false" outlineLevel="0" collapsed="false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 customFormat="false" ht="15.75" hidden="false" customHeight="false" outlineLevel="0" collapsed="false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 customFormat="false" ht="15.75" hidden="false" customHeight="false" outlineLevel="0" collapsed="false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 customFormat="false" ht="15.75" hidden="false" customHeight="false" outlineLevel="0" collapsed="false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 customFormat="false" ht="15.75" hidden="false" customHeight="false" outlineLevel="0" collapsed="false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 customFormat="false" ht="15.75" hidden="false" customHeight="false" outlineLevel="0" collapsed="false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 customFormat="false" ht="15.75" hidden="false" customHeight="false" outlineLevel="0" collapsed="false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 customFormat="false" ht="15.75" hidden="false" customHeight="false" outlineLevel="0" collapsed="false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 customFormat="false" ht="15.75" hidden="false" customHeight="false" outlineLevel="0" collapsed="false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 customFormat="false" ht="15.75" hidden="false" customHeight="false" outlineLevel="0" collapsed="false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 customFormat="false" ht="15.75" hidden="false" customHeight="false" outlineLevel="0" collapsed="false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 customFormat="false" ht="15.75" hidden="false" customHeight="false" outlineLevel="0" collapsed="false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 customFormat="false" ht="15.75" hidden="false" customHeight="false" outlineLevel="0" collapsed="false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 customFormat="false" ht="15.75" hidden="false" customHeight="false" outlineLevel="0" collapsed="false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 customFormat="false" ht="15.75" hidden="false" customHeight="false" outlineLevel="0" collapsed="false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 customFormat="false" ht="15.75" hidden="false" customHeight="false" outlineLevel="0" collapsed="false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 customFormat="false" ht="15.75" hidden="false" customHeight="false" outlineLevel="0" collapsed="false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 customFormat="false" ht="15.75" hidden="false" customHeight="false" outlineLevel="0" collapsed="false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 customFormat="false" ht="15.75" hidden="false" customHeight="false" outlineLevel="0" collapsed="false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 customFormat="false" ht="15.75" hidden="false" customHeight="false" outlineLevel="0" collapsed="false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 customFormat="false" ht="15.75" hidden="false" customHeight="false" outlineLevel="0" collapsed="false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 customFormat="false" ht="15.75" hidden="false" customHeight="false" outlineLevel="0" collapsed="false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 customFormat="false" ht="15.75" hidden="false" customHeight="false" outlineLevel="0" collapsed="false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 customFormat="false" ht="15.75" hidden="false" customHeight="false" outlineLevel="0" collapsed="false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 customFormat="false" ht="15.75" hidden="false" customHeight="false" outlineLevel="0" collapsed="false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 customFormat="false" ht="15.75" hidden="false" customHeight="false" outlineLevel="0" collapsed="false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 customFormat="false" ht="15.75" hidden="false" customHeight="false" outlineLevel="0" collapsed="false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 customFormat="false" ht="15.75" hidden="false" customHeight="false" outlineLevel="0" collapsed="false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 customFormat="false" ht="15.75" hidden="false" customHeight="false" outlineLevel="0" collapsed="false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 customFormat="false" ht="15.75" hidden="false" customHeight="false" outlineLevel="0" collapsed="false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 customFormat="false" ht="15.75" hidden="false" customHeight="false" outlineLevel="0" collapsed="false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 customFormat="false" ht="15.75" hidden="false" customHeight="false" outlineLevel="0" collapsed="false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 customFormat="false" ht="15.75" hidden="false" customHeight="false" outlineLevel="0" collapsed="false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 customFormat="false" ht="15.75" hidden="false" customHeight="false" outlineLevel="0" collapsed="false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 customFormat="false" ht="15.75" hidden="false" customHeight="false" outlineLevel="0" collapsed="false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 customFormat="false" ht="15.75" hidden="false" customHeight="false" outlineLevel="0" collapsed="false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 customFormat="false" ht="15.75" hidden="false" customHeight="false" outlineLevel="0" collapsed="false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 customFormat="false" ht="15.75" hidden="false" customHeight="false" outlineLevel="0" collapsed="false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 customFormat="false" ht="15.75" hidden="false" customHeight="false" outlineLevel="0" collapsed="false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 customFormat="false" ht="15.75" hidden="false" customHeight="false" outlineLevel="0" collapsed="false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 customFormat="false" ht="15.75" hidden="false" customHeight="false" outlineLevel="0" collapsed="false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 customFormat="false" ht="15.75" hidden="false" customHeight="false" outlineLevel="0" collapsed="false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 customFormat="false" ht="15.75" hidden="false" customHeight="false" outlineLevel="0" collapsed="false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 customFormat="false" ht="15.75" hidden="false" customHeight="false" outlineLevel="0" collapsed="false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 customFormat="false" ht="15.75" hidden="false" customHeight="false" outlineLevel="0" collapsed="false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 customFormat="false" ht="15.75" hidden="false" customHeight="false" outlineLevel="0" collapsed="false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 customFormat="false" ht="15.75" hidden="false" customHeight="false" outlineLevel="0" collapsed="false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 customFormat="false" ht="15.75" hidden="false" customHeight="false" outlineLevel="0" collapsed="false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 customFormat="false" ht="15.75" hidden="false" customHeight="false" outlineLevel="0" collapsed="false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 customFormat="false" ht="15.75" hidden="false" customHeight="false" outlineLevel="0" collapsed="false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 customFormat="false" ht="15.75" hidden="false" customHeight="false" outlineLevel="0" collapsed="false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 customFormat="false" ht="15.75" hidden="false" customHeight="false" outlineLevel="0" collapsed="false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 customFormat="false" ht="15.75" hidden="false" customHeight="false" outlineLevel="0" collapsed="false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 customFormat="false" ht="15.75" hidden="false" customHeight="false" outlineLevel="0" collapsed="false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 customFormat="false" ht="15.75" hidden="false" customHeight="false" outlineLevel="0" collapsed="false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 customFormat="false" ht="15.75" hidden="false" customHeight="false" outlineLevel="0" collapsed="false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 customFormat="false" ht="15.75" hidden="false" customHeight="false" outlineLevel="0" collapsed="false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 customFormat="false" ht="15.75" hidden="false" customHeight="false" outlineLevel="0" collapsed="false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 customFormat="false" ht="15.75" hidden="false" customHeight="false" outlineLevel="0" collapsed="false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 customFormat="false" ht="15.75" hidden="false" customHeight="false" outlineLevel="0" collapsed="false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 customFormat="false" ht="15.75" hidden="false" customHeight="false" outlineLevel="0" collapsed="false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 customFormat="false" ht="15.75" hidden="false" customHeight="false" outlineLevel="0" collapsed="false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 customFormat="false" ht="15.75" hidden="false" customHeight="false" outlineLevel="0" collapsed="false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 customFormat="false" ht="15.75" hidden="false" customHeight="false" outlineLevel="0" collapsed="false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 customFormat="false" ht="15.75" hidden="false" customHeight="false" outlineLevel="0" collapsed="false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 customFormat="false" ht="15.75" hidden="false" customHeight="false" outlineLevel="0" collapsed="false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 customFormat="false" ht="15.75" hidden="false" customHeight="false" outlineLevel="0" collapsed="false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 customFormat="false" ht="15.75" hidden="false" customHeight="false" outlineLevel="0" collapsed="false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 customFormat="false" ht="15.75" hidden="false" customHeight="false" outlineLevel="0" collapsed="false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 customFormat="false" ht="15.75" hidden="false" customHeight="false" outlineLevel="0" collapsed="false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 customFormat="false" ht="15.75" hidden="false" customHeight="false" outlineLevel="0" collapsed="false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 customFormat="false" ht="15.75" hidden="false" customHeight="false" outlineLevel="0" collapsed="false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 customFormat="false" ht="15.75" hidden="false" customHeight="false" outlineLevel="0" collapsed="false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 customFormat="false" ht="15.75" hidden="false" customHeight="false" outlineLevel="0" collapsed="false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 customFormat="false" ht="15.75" hidden="false" customHeight="false" outlineLevel="0" collapsed="false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 customFormat="false" ht="15.75" hidden="false" customHeight="false" outlineLevel="0" collapsed="false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 customFormat="false" ht="15.75" hidden="false" customHeight="false" outlineLevel="0" collapsed="false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 customFormat="false" ht="15.75" hidden="false" customHeight="false" outlineLevel="0" collapsed="false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 customFormat="false" ht="15.75" hidden="false" customHeight="false" outlineLevel="0" collapsed="false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 customFormat="false" ht="15.75" hidden="false" customHeight="false" outlineLevel="0" collapsed="false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 customFormat="false" ht="15.75" hidden="false" customHeight="false" outlineLevel="0" collapsed="false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 customFormat="false" ht="15.75" hidden="false" customHeight="false" outlineLevel="0" collapsed="false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 customFormat="false" ht="15.75" hidden="false" customHeight="false" outlineLevel="0" collapsed="false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 customFormat="false" ht="15.75" hidden="false" customHeight="false" outlineLevel="0" collapsed="false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 customFormat="false" ht="15.75" hidden="false" customHeight="false" outlineLevel="0" collapsed="false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 customFormat="false" ht="15.75" hidden="false" customHeight="false" outlineLevel="0" collapsed="false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 customFormat="false" ht="15.75" hidden="false" customHeight="false" outlineLevel="0" collapsed="false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 customFormat="false" ht="15.75" hidden="false" customHeight="false" outlineLevel="0" collapsed="false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 customFormat="false" ht="15.75" hidden="false" customHeight="false" outlineLevel="0" collapsed="false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 customFormat="false" ht="15.75" hidden="false" customHeight="false" outlineLevel="0" collapsed="false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 customFormat="false" ht="15.75" hidden="false" customHeight="false" outlineLevel="0" collapsed="false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 customFormat="false" ht="15.75" hidden="false" customHeight="false" outlineLevel="0" collapsed="false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 customFormat="false" ht="15.75" hidden="false" customHeight="false" outlineLevel="0" collapsed="false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 customFormat="false" ht="15.75" hidden="false" customHeight="false" outlineLevel="0" collapsed="false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 customFormat="false" ht="15.75" hidden="false" customHeight="false" outlineLevel="0" collapsed="false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 customFormat="false" ht="15.75" hidden="false" customHeight="false" outlineLevel="0" collapsed="false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 customFormat="false" ht="15.75" hidden="false" customHeight="false" outlineLevel="0" collapsed="false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 customFormat="false" ht="15.75" hidden="false" customHeight="false" outlineLevel="0" collapsed="false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 customFormat="false" ht="15.75" hidden="false" customHeight="false" outlineLevel="0" collapsed="false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 customFormat="false" ht="15.75" hidden="false" customHeight="false" outlineLevel="0" collapsed="false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 customFormat="false" ht="15.75" hidden="false" customHeight="false" outlineLevel="0" collapsed="false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 customFormat="false" ht="15.75" hidden="false" customHeight="false" outlineLevel="0" collapsed="false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 customFormat="false" ht="15.75" hidden="false" customHeight="false" outlineLevel="0" collapsed="false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 customFormat="false" ht="15.75" hidden="false" customHeight="false" outlineLevel="0" collapsed="false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 customFormat="false" ht="15.75" hidden="false" customHeight="false" outlineLevel="0" collapsed="false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 customFormat="false" ht="15.75" hidden="false" customHeight="false" outlineLevel="0" collapsed="false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 customFormat="false" ht="15.75" hidden="false" customHeight="false" outlineLevel="0" collapsed="false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 customFormat="false" ht="15.75" hidden="false" customHeight="false" outlineLevel="0" collapsed="false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 customFormat="false" ht="15.75" hidden="false" customHeight="false" outlineLevel="0" collapsed="false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 customFormat="false" ht="15.75" hidden="false" customHeight="false" outlineLevel="0" collapsed="false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 customFormat="false" ht="15.75" hidden="false" customHeight="false" outlineLevel="0" collapsed="false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 customFormat="false" ht="15.75" hidden="false" customHeight="false" outlineLevel="0" collapsed="false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 customFormat="false" ht="15.75" hidden="false" customHeight="false" outlineLevel="0" collapsed="false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 customFormat="false" ht="15.75" hidden="false" customHeight="false" outlineLevel="0" collapsed="false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 customFormat="false" ht="15.75" hidden="false" customHeight="false" outlineLevel="0" collapsed="false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 customFormat="false" ht="15.75" hidden="false" customHeight="false" outlineLevel="0" collapsed="false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 customFormat="false" ht="15.75" hidden="false" customHeight="false" outlineLevel="0" collapsed="false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 customFormat="false" ht="15.75" hidden="false" customHeight="false" outlineLevel="0" collapsed="false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 customFormat="false" ht="15.75" hidden="false" customHeight="false" outlineLevel="0" collapsed="false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 customFormat="false" ht="15.75" hidden="false" customHeight="false" outlineLevel="0" collapsed="false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 customFormat="false" ht="15.75" hidden="false" customHeight="false" outlineLevel="0" collapsed="false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 customFormat="false" ht="15.75" hidden="false" customHeight="false" outlineLevel="0" collapsed="false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 customFormat="false" ht="15.75" hidden="false" customHeight="false" outlineLevel="0" collapsed="false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 customFormat="false" ht="15.75" hidden="false" customHeight="false" outlineLevel="0" collapsed="false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 customFormat="false" ht="15.75" hidden="false" customHeight="false" outlineLevel="0" collapsed="false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 customFormat="false" ht="15.75" hidden="false" customHeight="false" outlineLevel="0" collapsed="false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 customFormat="false" ht="15.75" hidden="false" customHeight="false" outlineLevel="0" collapsed="false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 customFormat="false" ht="15.75" hidden="false" customHeight="false" outlineLevel="0" collapsed="false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 customFormat="false" ht="15.75" hidden="false" customHeight="false" outlineLevel="0" collapsed="false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 customFormat="false" ht="15.75" hidden="false" customHeight="false" outlineLevel="0" collapsed="false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 customFormat="false" ht="15.75" hidden="false" customHeight="false" outlineLevel="0" collapsed="false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 customFormat="false" ht="15.75" hidden="false" customHeight="false" outlineLevel="0" collapsed="false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 customFormat="false" ht="15.75" hidden="false" customHeight="false" outlineLevel="0" collapsed="false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 customFormat="false" ht="15.75" hidden="false" customHeight="false" outlineLevel="0" collapsed="false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 customFormat="false" ht="15.75" hidden="false" customHeight="false" outlineLevel="0" collapsed="false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 customFormat="false" ht="15.75" hidden="false" customHeight="false" outlineLevel="0" collapsed="false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 customFormat="false" ht="15.75" hidden="false" customHeight="false" outlineLevel="0" collapsed="false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 customFormat="false" ht="15.75" hidden="false" customHeight="false" outlineLevel="0" collapsed="false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 customFormat="false" ht="15.75" hidden="false" customHeight="false" outlineLevel="0" collapsed="false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 customFormat="false" ht="15.75" hidden="false" customHeight="false" outlineLevel="0" collapsed="false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 customFormat="false" ht="15.75" hidden="false" customHeight="false" outlineLevel="0" collapsed="false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 customFormat="false" ht="15.75" hidden="false" customHeight="false" outlineLevel="0" collapsed="false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 customFormat="false" ht="15.75" hidden="false" customHeight="false" outlineLevel="0" collapsed="false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 customFormat="false" ht="15.75" hidden="false" customHeight="false" outlineLevel="0" collapsed="false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 customFormat="false" ht="15.75" hidden="false" customHeight="false" outlineLevel="0" collapsed="false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 customFormat="false" ht="15.75" hidden="false" customHeight="false" outlineLevel="0" collapsed="false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 customFormat="false" ht="15.75" hidden="false" customHeight="false" outlineLevel="0" collapsed="false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 customFormat="false" ht="15.75" hidden="false" customHeight="false" outlineLevel="0" collapsed="false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 customFormat="false" ht="15.75" hidden="false" customHeight="false" outlineLevel="0" collapsed="false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 customFormat="false" ht="15.75" hidden="false" customHeight="false" outlineLevel="0" collapsed="false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 customFormat="false" ht="15.75" hidden="false" customHeight="false" outlineLevel="0" collapsed="false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 customFormat="false" ht="15.75" hidden="false" customHeight="false" outlineLevel="0" collapsed="false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 customFormat="false" ht="15.75" hidden="false" customHeight="false" outlineLevel="0" collapsed="false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 customFormat="false" ht="15.75" hidden="false" customHeight="false" outlineLevel="0" collapsed="false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 customFormat="false" ht="15.75" hidden="false" customHeight="false" outlineLevel="0" collapsed="false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 customFormat="false" ht="15.75" hidden="false" customHeight="false" outlineLevel="0" collapsed="false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 customFormat="false" ht="15.75" hidden="false" customHeight="false" outlineLevel="0" collapsed="false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 customFormat="false" ht="15.75" hidden="false" customHeight="false" outlineLevel="0" collapsed="false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 customFormat="false" ht="15.75" hidden="false" customHeight="false" outlineLevel="0" collapsed="false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 customFormat="false" ht="15.75" hidden="false" customHeight="false" outlineLevel="0" collapsed="false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 customFormat="false" ht="15.75" hidden="false" customHeight="false" outlineLevel="0" collapsed="false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 customFormat="false" ht="15.75" hidden="false" customHeight="false" outlineLevel="0" collapsed="false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 customFormat="false" ht="15.75" hidden="false" customHeight="false" outlineLevel="0" collapsed="false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 customFormat="false" ht="15.75" hidden="false" customHeight="false" outlineLevel="0" collapsed="false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 customFormat="false" ht="15.75" hidden="false" customHeight="false" outlineLevel="0" collapsed="false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 customFormat="false" ht="15.75" hidden="false" customHeight="false" outlineLevel="0" collapsed="false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 customFormat="false" ht="15.75" hidden="false" customHeight="false" outlineLevel="0" collapsed="false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 customFormat="false" ht="15.75" hidden="false" customHeight="false" outlineLevel="0" collapsed="false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 customFormat="false" ht="15.75" hidden="false" customHeight="false" outlineLevel="0" collapsed="false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 customFormat="false" ht="15.75" hidden="false" customHeight="false" outlineLevel="0" collapsed="false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 customFormat="false" ht="15.75" hidden="false" customHeight="false" outlineLevel="0" collapsed="false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 customFormat="false" ht="15.75" hidden="false" customHeight="false" outlineLevel="0" collapsed="false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 customFormat="false" ht="15.75" hidden="false" customHeight="false" outlineLevel="0" collapsed="false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 customFormat="false" ht="15.75" hidden="false" customHeight="false" outlineLevel="0" collapsed="false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 customFormat="false" ht="15.75" hidden="false" customHeight="false" outlineLevel="0" collapsed="false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 customFormat="false" ht="15.75" hidden="false" customHeight="false" outlineLevel="0" collapsed="false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 customFormat="false" ht="15.75" hidden="false" customHeight="false" outlineLevel="0" collapsed="false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 customFormat="false" ht="15.75" hidden="false" customHeight="false" outlineLevel="0" collapsed="false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 customFormat="false" ht="15.75" hidden="false" customHeight="false" outlineLevel="0" collapsed="false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 customFormat="false" ht="15.75" hidden="false" customHeight="false" outlineLevel="0" collapsed="false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 customFormat="false" ht="15.75" hidden="false" customHeight="false" outlineLevel="0" collapsed="false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 customFormat="false" ht="15.75" hidden="false" customHeight="false" outlineLevel="0" collapsed="false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 customFormat="false" ht="15.75" hidden="false" customHeight="false" outlineLevel="0" collapsed="false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 customFormat="false" ht="15.75" hidden="false" customHeight="false" outlineLevel="0" collapsed="false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 customFormat="false" ht="15.75" hidden="false" customHeight="false" outlineLevel="0" collapsed="false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 customFormat="false" ht="15.75" hidden="false" customHeight="false" outlineLevel="0" collapsed="false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 customFormat="false" ht="15.75" hidden="false" customHeight="false" outlineLevel="0" collapsed="false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 customFormat="false" ht="15.75" hidden="false" customHeight="false" outlineLevel="0" collapsed="false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 customFormat="false" ht="15.75" hidden="false" customHeight="false" outlineLevel="0" collapsed="false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 customFormat="false" ht="15.75" hidden="false" customHeight="false" outlineLevel="0" collapsed="false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 customFormat="false" ht="15.75" hidden="false" customHeight="false" outlineLevel="0" collapsed="false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 customFormat="false" ht="15.75" hidden="false" customHeight="false" outlineLevel="0" collapsed="false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 customFormat="false" ht="15.75" hidden="false" customHeight="false" outlineLevel="0" collapsed="false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 customFormat="false" ht="15.75" hidden="false" customHeight="false" outlineLevel="0" collapsed="false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 customFormat="false" ht="15.75" hidden="false" customHeight="false" outlineLevel="0" collapsed="false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 customFormat="false" ht="15.75" hidden="false" customHeight="false" outlineLevel="0" collapsed="false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 customFormat="false" ht="15.75" hidden="false" customHeight="false" outlineLevel="0" collapsed="false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 customFormat="false" ht="15.75" hidden="false" customHeight="false" outlineLevel="0" collapsed="false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 customFormat="false" ht="15.75" hidden="false" customHeight="false" outlineLevel="0" collapsed="false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 customFormat="false" ht="15.75" hidden="false" customHeight="false" outlineLevel="0" collapsed="false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 customFormat="false" ht="15.75" hidden="false" customHeight="false" outlineLevel="0" collapsed="false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 customFormat="false" ht="15.75" hidden="false" customHeight="false" outlineLevel="0" collapsed="false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 customFormat="false" ht="15.75" hidden="false" customHeight="false" outlineLevel="0" collapsed="false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 customFormat="false" ht="15.75" hidden="false" customHeight="false" outlineLevel="0" collapsed="false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 customFormat="false" ht="15.75" hidden="false" customHeight="false" outlineLevel="0" collapsed="false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 customFormat="false" ht="15.75" hidden="false" customHeight="false" outlineLevel="0" collapsed="false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 customFormat="false" ht="15.75" hidden="false" customHeight="false" outlineLevel="0" collapsed="false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 customFormat="false" ht="15.75" hidden="false" customHeight="false" outlineLevel="0" collapsed="false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 customFormat="false" ht="15.75" hidden="false" customHeight="false" outlineLevel="0" collapsed="false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 customFormat="false" ht="15.75" hidden="false" customHeight="false" outlineLevel="0" collapsed="false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 customFormat="false" ht="15.75" hidden="false" customHeight="false" outlineLevel="0" collapsed="false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 customFormat="false" ht="15.75" hidden="false" customHeight="false" outlineLevel="0" collapsed="false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 customFormat="false" ht="15.75" hidden="false" customHeight="false" outlineLevel="0" collapsed="false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 customFormat="false" ht="15.75" hidden="false" customHeight="false" outlineLevel="0" collapsed="false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 customFormat="false" ht="15.75" hidden="false" customHeight="false" outlineLevel="0" collapsed="false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 customFormat="false" ht="15.75" hidden="false" customHeight="false" outlineLevel="0" collapsed="false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 customFormat="false" ht="15.75" hidden="false" customHeight="false" outlineLevel="0" collapsed="false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 customFormat="false" ht="15.75" hidden="false" customHeight="false" outlineLevel="0" collapsed="false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 customFormat="false" ht="15.75" hidden="false" customHeight="false" outlineLevel="0" collapsed="false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 customFormat="false" ht="15.75" hidden="false" customHeight="false" outlineLevel="0" collapsed="false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 customFormat="false" ht="15.75" hidden="false" customHeight="false" outlineLevel="0" collapsed="false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 customFormat="false" ht="15.75" hidden="false" customHeight="false" outlineLevel="0" collapsed="false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 customFormat="false" ht="15.75" hidden="false" customHeight="false" outlineLevel="0" collapsed="false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 customFormat="false" ht="15.75" hidden="false" customHeight="false" outlineLevel="0" collapsed="false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 customFormat="false" ht="15.75" hidden="false" customHeight="false" outlineLevel="0" collapsed="false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 customFormat="false" ht="15.75" hidden="false" customHeight="false" outlineLevel="0" collapsed="false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 customFormat="false" ht="15.75" hidden="false" customHeight="false" outlineLevel="0" collapsed="false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 customFormat="false" ht="15.75" hidden="false" customHeight="false" outlineLevel="0" collapsed="false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 customFormat="false" ht="15.75" hidden="false" customHeight="false" outlineLevel="0" collapsed="false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 customFormat="false" ht="15.75" hidden="false" customHeight="false" outlineLevel="0" collapsed="false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 customFormat="false" ht="15.75" hidden="false" customHeight="false" outlineLevel="0" collapsed="false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 customFormat="false" ht="15.75" hidden="false" customHeight="false" outlineLevel="0" collapsed="false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 customFormat="false" ht="15.75" hidden="false" customHeight="false" outlineLevel="0" collapsed="false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 customFormat="false" ht="15.75" hidden="false" customHeight="false" outlineLevel="0" collapsed="false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 customFormat="false" ht="15.75" hidden="false" customHeight="false" outlineLevel="0" collapsed="false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 customFormat="false" ht="15.75" hidden="false" customHeight="false" outlineLevel="0" collapsed="false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 customFormat="false" ht="15.75" hidden="false" customHeight="false" outlineLevel="0" collapsed="false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 customFormat="false" ht="15.75" hidden="false" customHeight="false" outlineLevel="0" collapsed="false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 customFormat="false" ht="15.75" hidden="false" customHeight="false" outlineLevel="0" collapsed="false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 customFormat="false" ht="15.75" hidden="false" customHeight="false" outlineLevel="0" collapsed="false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 customFormat="false" ht="15.75" hidden="false" customHeight="false" outlineLevel="0" collapsed="false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 customFormat="false" ht="15.75" hidden="false" customHeight="false" outlineLevel="0" collapsed="false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 customFormat="false" ht="15.75" hidden="false" customHeight="false" outlineLevel="0" collapsed="false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 customFormat="false" ht="15.75" hidden="false" customHeight="false" outlineLevel="0" collapsed="false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 customFormat="false" ht="15.75" hidden="false" customHeight="false" outlineLevel="0" collapsed="false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 customFormat="false" ht="15.75" hidden="false" customHeight="false" outlineLevel="0" collapsed="false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 customFormat="false" ht="15.75" hidden="false" customHeight="false" outlineLevel="0" collapsed="false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 customFormat="false" ht="15.75" hidden="false" customHeight="false" outlineLevel="0" collapsed="false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 customFormat="false" ht="15.75" hidden="false" customHeight="false" outlineLevel="0" collapsed="false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 customFormat="false" ht="15.75" hidden="false" customHeight="false" outlineLevel="0" collapsed="false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 customFormat="false" ht="15.75" hidden="false" customHeight="false" outlineLevel="0" collapsed="false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 customFormat="false" ht="15.75" hidden="false" customHeight="false" outlineLevel="0" collapsed="false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 customFormat="false" ht="15.75" hidden="false" customHeight="false" outlineLevel="0" collapsed="false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 customFormat="false" ht="15.75" hidden="false" customHeight="false" outlineLevel="0" collapsed="false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 customFormat="false" ht="15.75" hidden="false" customHeight="false" outlineLevel="0" collapsed="false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 customFormat="false" ht="15.75" hidden="false" customHeight="false" outlineLevel="0" collapsed="false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 customFormat="false" ht="15.75" hidden="false" customHeight="false" outlineLevel="0" collapsed="false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 customFormat="false" ht="15.75" hidden="false" customHeight="false" outlineLevel="0" collapsed="false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 customFormat="false" ht="15.75" hidden="false" customHeight="false" outlineLevel="0" collapsed="false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 customFormat="false" ht="15.75" hidden="false" customHeight="false" outlineLevel="0" collapsed="false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 customFormat="false" ht="15.75" hidden="false" customHeight="false" outlineLevel="0" collapsed="false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 customFormat="false" ht="15.75" hidden="false" customHeight="false" outlineLevel="0" collapsed="false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 customFormat="false" ht="15.75" hidden="false" customHeight="false" outlineLevel="0" collapsed="false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 customFormat="false" ht="15.75" hidden="false" customHeight="false" outlineLevel="0" collapsed="false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 customFormat="false" ht="15.75" hidden="false" customHeight="false" outlineLevel="0" collapsed="false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 customFormat="false" ht="15.75" hidden="false" customHeight="false" outlineLevel="0" collapsed="false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 customFormat="false" ht="15.75" hidden="false" customHeight="false" outlineLevel="0" collapsed="false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 customFormat="false" ht="15.75" hidden="false" customHeight="false" outlineLevel="0" collapsed="false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 customFormat="false" ht="15.75" hidden="false" customHeight="false" outlineLevel="0" collapsed="false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 customFormat="false" ht="15.75" hidden="false" customHeight="false" outlineLevel="0" collapsed="false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 customFormat="false" ht="15.75" hidden="false" customHeight="false" outlineLevel="0" collapsed="false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 customFormat="false" ht="15.75" hidden="false" customHeight="false" outlineLevel="0" collapsed="false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 customFormat="false" ht="15.75" hidden="false" customHeight="false" outlineLevel="0" collapsed="false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 customFormat="false" ht="15.75" hidden="false" customHeight="false" outlineLevel="0" collapsed="false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 customFormat="false" ht="15.75" hidden="false" customHeight="false" outlineLevel="0" collapsed="false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 customFormat="false" ht="15.75" hidden="false" customHeight="false" outlineLevel="0" collapsed="false">
      <c r="A998" s="184"/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  <row r="999" customFormat="false" ht="15.75" hidden="false" customHeight="false" outlineLevel="0" collapsed="false">
      <c r="A999" s="184"/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</row>
    <row r="1000" customFormat="false" ht="15.75" hidden="false" customHeight="false" outlineLevel="0" collapsed="false">
      <c r="A1000" s="184"/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</row>
    <row r="1001" customFormat="false" ht="15.75" hidden="false" customHeight="false" outlineLevel="0" collapsed="false">
      <c r="A1001" s="184"/>
      <c r="B1001" s="184"/>
      <c r="C1001" s="184"/>
      <c r="D1001" s="184"/>
      <c r="E1001" s="184"/>
      <c r="F1001" s="184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84"/>
      <c r="V1001" s="184"/>
      <c r="W1001" s="184"/>
      <c r="X1001" s="184"/>
      <c r="Y1001" s="184"/>
      <c r="Z1001" s="18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9:H9 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84" t="s">
        <v>142</v>
      </c>
      <c r="B1" s="184" t="s">
        <v>143</v>
      </c>
      <c r="C1" s="184" t="s">
        <v>33</v>
      </c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customFormat="false" ht="15.75" hidden="false" customHeight="false" outlineLevel="0" collapsed="false">
      <c r="A2" s="184" t="s">
        <v>144</v>
      </c>
      <c r="B2" s="184" t="s">
        <v>144</v>
      </c>
      <c r="C2" s="184" t="s">
        <v>32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customFormat="false" ht="15.75" hidden="false" customHeight="false" outlineLevel="0" collapsed="false">
      <c r="A3" s="184" t="s">
        <v>145</v>
      </c>
      <c r="B3" s="184" t="s">
        <v>146</v>
      </c>
      <c r="C3" s="184" t="s">
        <v>35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customFormat="false" ht="15.75" hidden="false" customHeight="false" outlineLevel="0" collapsed="false">
      <c r="A4" s="184" t="s">
        <v>146</v>
      </c>
      <c r="B4" s="184"/>
      <c r="C4" s="184" t="s">
        <v>29</v>
      </c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customFormat="false" ht="15.75" hidden="false" customHeight="false" outlineLevel="0" collapsed="false">
      <c r="A5" s="184"/>
      <c r="B5" s="184"/>
      <c r="C5" s="184" t="s">
        <v>72</v>
      </c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customFormat="false" ht="15.75" hidden="false" customHeight="false" outlineLevel="0" collapsed="false">
      <c r="A6" s="184"/>
      <c r="B6" s="184"/>
      <c r="C6" s="184" t="s">
        <v>34</v>
      </c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customFormat="false" ht="15.75" hidden="false" customHeight="false" outlineLevel="0" collapsed="false">
      <c r="A7" s="184"/>
      <c r="B7" s="184"/>
      <c r="C7" s="184" t="s">
        <v>36</v>
      </c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customFormat="false" ht="15.75" hidden="false" customHeight="false" outlineLevel="0" collapsed="false">
      <c r="A8" s="184"/>
      <c r="B8" s="184"/>
      <c r="C8" s="184" t="s">
        <v>31</v>
      </c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customFormat="false" ht="15.75" hidden="false" customHeight="false" outlineLevel="0" collapsed="false">
      <c r="A9" s="184"/>
      <c r="B9" s="184"/>
      <c r="C9" s="184" t="s">
        <v>30</v>
      </c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customFormat="false" ht="15.75" hidden="false" customHeight="false" outlineLevel="0" collapsed="false">
      <c r="A10" s="184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customFormat="false" ht="15.75" hidden="false" customHeight="false" outlineLevel="0" collapsed="false">
      <c r="A11" s="184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customFormat="false" ht="15.75" hidden="false" customHeight="false" outlineLevel="0" collapsed="false">
      <c r="A12" s="184"/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customFormat="false" ht="15.75" hidden="false" customHeight="false" outlineLevel="0" collapsed="false">
      <c r="A13" s="184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customFormat="false" ht="15.75" hidden="false" customHeight="false" outlineLevel="0" collapsed="false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customFormat="false" ht="15.75" hidden="false" customHeight="false" outlineLevel="0" collapsed="false">
      <c r="A15" s="184"/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customFormat="false" ht="15.75" hidden="false" customHeight="false" outlineLevel="0" collapsed="false">
      <c r="A16" s="184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customFormat="false" ht="15.75" hidden="false" customHeight="false" outlineLevel="0" collapsed="false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customFormat="false" ht="15.75" hidden="false" customHeight="false" outlineLevel="0" collapsed="false">
      <c r="A18" s="184"/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customFormat="false" ht="15.75" hidden="false" customHeight="false" outlineLevel="0" collapsed="false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customFormat="false" ht="15.75" hidden="false" customHeight="false" outlineLevel="0" collapsed="false">
      <c r="A20" s="184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customFormat="false" ht="15.75" hidden="false" customHeight="false" outlineLevel="0" collapsed="false">
      <c r="A21" s="184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customFormat="false" ht="15.75" hidden="false" customHeight="false" outlineLevel="0" collapsed="false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customFormat="false" ht="15.75" hidden="false" customHeight="false" outlineLevel="0" collapsed="false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customFormat="false" ht="15.75" hidden="false" customHeight="false" outlineLevel="0" collapsed="false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customFormat="false" ht="15.75" hidden="false" customHeight="false" outlineLevel="0" collapsed="false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customFormat="false" ht="15.75" hidden="false" customHeight="false" outlineLevel="0" collapsed="false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customFormat="false" ht="15.75" hidden="false" customHeight="false" outlineLevel="0" collapsed="false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customFormat="false" ht="15.75" hidden="false" customHeight="false" outlineLevel="0" collapsed="false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customFormat="false" ht="15.75" hidden="false" customHeight="false" outlineLevel="0" collapsed="false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 customFormat="false" ht="15.75" hidden="false" customHeight="false" outlineLevel="0" collapsed="false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 customFormat="false" ht="15.75" hidden="false" customHeight="false" outlineLevel="0" collapsed="false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 customFormat="false" ht="15.75" hidden="false" customHeight="false" outlineLevel="0" collapsed="false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customFormat="false" ht="15.75" hidden="false" customHeight="false" outlineLevel="0" collapsed="false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customFormat="false" ht="15.75" hidden="false" customHeight="false" outlineLevel="0" collapsed="false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customFormat="false" ht="15.75" hidden="false" customHeight="false" outlineLevel="0" collapsed="false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customFormat="false" ht="15.75" hidden="false" customHeight="false" outlineLevel="0" collapsed="false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customFormat="false" ht="15.75" hidden="false" customHeight="false" outlineLevel="0" collapsed="false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customFormat="false" ht="15.75" hidden="false" customHeight="false" outlineLevel="0" collapsed="false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customFormat="false" ht="15.75" hidden="false" customHeight="false" outlineLevel="0" collapsed="false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customFormat="false" ht="15.75" hidden="false" customHeight="false" outlineLevel="0" collapsed="false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customFormat="false" ht="15.75" hidden="false" customHeight="false" outlineLevel="0" collapsed="false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customFormat="false" ht="15.75" hidden="false" customHeight="false" outlineLevel="0" collapsed="false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customFormat="false" ht="15.75" hidden="false" customHeight="false" outlineLevel="0" collapsed="false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customFormat="false" ht="15.75" hidden="false" customHeight="false" outlineLevel="0" collapsed="false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customFormat="false" ht="15.75" hidden="false" customHeight="false" outlineLevel="0" collapsed="false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customFormat="false" ht="15.75" hidden="false" customHeight="false" outlineLevel="0" collapsed="false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customFormat="false" ht="15.75" hidden="false" customHeight="false" outlineLevel="0" collapsed="false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customFormat="false" ht="15.75" hidden="false" customHeight="false" outlineLevel="0" collapsed="false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customFormat="false" ht="15.75" hidden="false" customHeight="false" outlineLevel="0" collapsed="false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customFormat="false" ht="15.75" hidden="false" customHeight="false" outlineLevel="0" collapsed="false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customFormat="false" ht="15.75" hidden="false" customHeight="false" outlineLevel="0" collapsed="false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customFormat="false" ht="15.75" hidden="false" customHeight="false" outlineLevel="0" collapsed="false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customFormat="false" ht="15.75" hidden="false" customHeight="false" outlineLevel="0" collapsed="false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customFormat="false" ht="15.75" hidden="false" customHeight="false" outlineLevel="0" collapsed="false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customFormat="false" ht="15.75" hidden="false" customHeight="false" outlineLevel="0" collapsed="false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customFormat="false" ht="15.75" hidden="false" customHeight="false" outlineLevel="0" collapsed="false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customFormat="false" ht="15.75" hidden="false" customHeight="false" outlineLevel="0" collapsed="false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customFormat="false" ht="15.75" hidden="false" customHeight="false" outlineLevel="0" collapsed="false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customFormat="false" ht="15.75" hidden="false" customHeight="false" outlineLevel="0" collapsed="false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customFormat="false" ht="15.75" hidden="false" customHeight="false" outlineLevel="0" collapsed="false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customFormat="false" ht="15.75" hidden="false" customHeight="false" outlineLevel="0" collapsed="false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customFormat="false" ht="15.75" hidden="false" customHeight="false" outlineLevel="0" collapsed="false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customFormat="false" ht="15.75" hidden="false" customHeight="false" outlineLevel="0" collapsed="false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customFormat="false" ht="15.75" hidden="false" customHeight="false" outlineLevel="0" collapsed="false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customFormat="false" ht="15.75" hidden="false" customHeight="false" outlineLevel="0" collapsed="false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customFormat="false" ht="15.75" hidden="false" customHeight="false" outlineLevel="0" collapsed="false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customFormat="false" ht="15.75" hidden="false" customHeight="false" outlineLevel="0" collapsed="false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customFormat="false" ht="15.75" hidden="false" customHeight="false" outlineLevel="0" collapsed="false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customFormat="false" ht="15.75" hidden="false" customHeight="false" outlineLevel="0" collapsed="false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customFormat="false" ht="15.75" hidden="false" customHeight="false" outlineLevel="0" collapsed="false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customFormat="false" ht="15.75" hidden="false" customHeight="false" outlineLevel="0" collapsed="false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customFormat="false" ht="15.75" hidden="false" customHeight="false" outlineLevel="0" collapsed="false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customFormat="false" ht="15.75" hidden="false" customHeight="false" outlineLevel="0" collapsed="false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customFormat="false" ht="15.75" hidden="false" customHeight="false" outlineLevel="0" collapsed="false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customFormat="false" ht="15.75" hidden="false" customHeight="false" outlineLevel="0" collapsed="false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customFormat="false" ht="15.75" hidden="false" customHeight="false" outlineLevel="0" collapsed="false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customFormat="false" ht="15.75" hidden="false" customHeight="false" outlineLevel="0" collapsed="false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customFormat="false" ht="15.75" hidden="false" customHeight="false" outlineLevel="0" collapsed="false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customFormat="false" ht="15.75" hidden="false" customHeight="false" outlineLevel="0" collapsed="false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customFormat="false" ht="15.75" hidden="false" customHeight="false" outlineLevel="0" collapsed="false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customFormat="false" ht="15.75" hidden="false" customHeight="false" outlineLevel="0" collapsed="false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customFormat="false" ht="15.75" hidden="false" customHeight="false" outlineLevel="0" collapsed="false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customFormat="false" ht="15.75" hidden="false" customHeight="false" outlineLevel="0" collapsed="false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customFormat="false" ht="15.75" hidden="false" customHeight="false" outlineLevel="0" collapsed="false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customFormat="false" ht="15.75" hidden="false" customHeight="false" outlineLevel="0" collapsed="false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customFormat="false" ht="15.75" hidden="false" customHeight="false" outlineLevel="0" collapsed="false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customFormat="false" ht="15.75" hidden="false" customHeight="false" outlineLevel="0" collapsed="false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customFormat="false" ht="15.75" hidden="false" customHeight="false" outlineLevel="0" collapsed="false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customFormat="false" ht="15.75" hidden="false" customHeight="false" outlineLevel="0" collapsed="false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customFormat="false" ht="15.75" hidden="false" customHeight="false" outlineLevel="0" collapsed="false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customFormat="false" ht="15.75" hidden="false" customHeight="false" outlineLevel="0" collapsed="false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customFormat="false" ht="15.75" hidden="false" customHeight="false" outlineLevel="0" collapsed="false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customFormat="false" ht="15.75" hidden="false" customHeight="false" outlineLevel="0" collapsed="false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customFormat="false" ht="15.75" hidden="false" customHeight="false" outlineLevel="0" collapsed="false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customFormat="false" ht="15.75" hidden="false" customHeight="false" outlineLevel="0" collapsed="false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customFormat="false" ht="15.75" hidden="false" customHeight="false" outlineLevel="0" collapsed="false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customFormat="false" ht="15.75" hidden="false" customHeight="false" outlineLevel="0" collapsed="false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customFormat="false" ht="15.75" hidden="false" customHeight="false" outlineLevel="0" collapsed="false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customFormat="false" ht="15.75" hidden="false" customHeight="false" outlineLevel="0" collapsed="false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customFormat="false" ht="15.75" hidden="false" customHeight="false" outlineLevel="0" collapsed="false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customFormat="false" ht="15.75" hidden="false" customHeight="false" outlineLevel="0" collapsed="false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customFormat="false" ht="15.75" hidden="false" customHeight="false" outlineLevel="0" collapsed="false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customFormat="false" ht="15.75" hidden="false" customHeight="false" outlineLevel="0" collapsed="false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customFormat="false" ht="15.75" hidden="false" customHeight="false" outlineLevel="0" collapsed="false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customFormat="false" ht="15.75" hidden="false" customHeight="false" outlineLevel="0" collapsed="false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customFormat="false" ht="15.75" hidden="false" customHeight="false" outlineLevel="0" collapsed="false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customFormat="false" ht="15.75" hidden="false" customHeight="false" outlineLevel="0" collapsed="false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customFormat="false" ht="15.75" hidden="false" customHeight="false" outlineLevel="0" collapsed="false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customFormat="false" ht="15.75" hidden="false" customHeight="false" outlineLevel="0" collapsed="false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customFormat="false" ht="15.75" hidden="false" customHeight="false" outlineLevel="0" collapsed="false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customFormat="false" ht="15.75" hidden="false" customHeight="false" outlineLevel="0" collapsed="false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customFormat="false" ht="15.75" hidden="false" customHeight="false" outlineLevel="0" collapsed="false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customFormat="false" ht="15.75" hidden="false" customHeight="false" outlineLevel="0" collapsed="false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customFormat="false" ht="15.75" hidden="false" customHeight="false" outlineLevel="0" collapsed="false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customFormat="false" ht="15.75" hidden="false" customHeight="false" outlineLevel="0" collapsed="false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customFormat="false" ht="15.75" hidden="false" customHeight="false" outlineLevel="0" collapsed="false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customFormat="false" ht="15.75" hidden="false" customHeight="false" outlineLevel="0" collapsed="false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customFormat="false" ht="15.75" hidden="false" customHeight="false" outlineLevel="0" collapsed="false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customFormat="false" ht="15.75" hidden="false" customHeight="false" outlineLevel="0" collapsed="false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customFormat="false" ht="15.75" hidden="false" customHeight="false" outlineLevel="0" collapsed="false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customFormat="false" ht="15.75" hidden="false" customHeight="false" outlineLevel="0" collapsed="false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customFormat="false" ht="15.75" hidden="false" customHeight="false" outlineLevel="0" collapsed="false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customFormat="false" ht="15.75" hidden="false" customHeight="false" outlineLevel="0" collapsed="false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customFormat="false" ht="15.75" hidden="false" customHeight="false" outlineLevel="0" collapsed="false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customFormat="false" ht="15.75" hidden="false" customHeight="false" outlineLevel="0" collapsed="false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customFormat="false" ht="15.75" hidden="false" customHeight="false" outlineLevel="0" collapsed="false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customFormat="false" ht="15.75" hidden="false" customHeight="false" outlineLevel="0" collapsed="false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customFormat="false" ht="15.75" hidden="false" customHeight="false" outlineLevel="0" collapsed="false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customFormat="false" ht="15.75" hidden="false" customHeight="false" outlineLevel="0" collapsed="false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customFormat="false" ht="15.75" hidden="false" customHeight="false" outlineLevel="0" collapsed="false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customFormat="false" ht="15.75" hidden="false" customHeight="false" outlineLevel="0" collapsed="false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customFormat="false" ht="15.75" hidden="false" customHeight="false" outlineLevel="0" collapsed="false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customFormat="false" ht="15.75" hidden="false" customHeight="false" outlineLevel="0" collapsed="false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customFormat="false" ht="15.75" hidden="false" customHeight="false" outlineLevel="0" collapsed="false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customFormat="false" ht="15.75" hidden="false" customHeight="false" outlineLevel="0" collapsed="false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customFormat="false" ht="15.75" hidden="false" customHeight="false" outlineLevel="0" collapsed="false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customFormat="false" ht="15.75" hidden="false" customHeight="false" outlineLevel="0" collapsed="false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customFormat="false" ht="15.75" hidden="false" customHeight="false" outlineLevel="0" collapsed="false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customFormat="false" ht="15.75" hidden="false" customHeight="false" outlineLevel="0" collapsed="false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customFormat="false" ht="15.75" hidden="false" customHeight="false" outlineLevel="0" collapsed="false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customFormat="false" ht="15.75" hidden="false" customHeight="false" outlineLevel="0" collapsed="false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customFormat="false" ht="15.75" hidden="false" customHeight="false" outlineLevel="0" collapsed="false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customFormat="false" ht="15.75" hidden="false" customHeight="false" outlineLevel="0" collapsed="false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customFormat="false" ht="15.75" hidden="false" customHeight="false" outlineLevel="0" collapsed="false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customFormat="false" ht="15.75" hidden="false" customHeight="false" outlineLevel="0" collapsed="false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customFormat="false" ht="15.75" hidden="false" customHeight="false" outlineLevel="0" collapsed="false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customFormat="false" ht="15.75" hidden="false" customHeight="false" outlineLevel="0" collapsed="false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customFormat="false" ht="15.75" hidden="false" customHeight="false" outlineLevel="0" collapsed="false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customFormat="false" ht="15.75" hidden="false" customHeight="false" outlineLevel="0" collapsed="false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customFormat="false" ht="15.75" hidden="false" customHeight="false" outlineLevel="0" collapsed="false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customFormat="false" ht="15.75" hidden="false" customHeight="false" outlineLevel="0" collapsed="false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customFormat="false" ht="15.75" hidden="false" customHeight="false" outlineLevel="0" collapsed="false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customFormat="false" ht="15.75" hidden="false" customHeight="false" outlineLevel="0" collapsed="false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customFormat="false" ht="15.75" hidden="false" customHeight="false" outlineLevel="0" collapsed="false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customFormat="false" ht="15.75" hidden="false" customHeight="false" outlineLevel="0" collapsed="false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customFormat="false" ht="15.75" hidden="false" customHeight="false" outlineLevel="0" collapsed="false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customFormat="false" ht="15.75" hidden="false" customHeight="false" outlineLevel="0" collapsed="false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customFormat="false" ht="15.75" hidden="false" customHeight="false" outlineLevel="0" collapsed="false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customFormat="false" ht="15.75" hidden="false" customHeight="false" outlineLevel="0" collapsed="false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customFormat="false" ht="15.75" hidden="false" customHeight="false" outlineLevel="0" collapsed="false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customFormat="false" ht="15.75" hidden="false" customHeight="false" outlineLevel="0" collapsed="false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customFormat="false" ht="15.75" hidden="false" customHeight="false" outlineLevel="0" collapsed="false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customFormat="false" ht="15.75" hidden="false" customHeight="false" outlineLevel="0" collapsed="false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customFormat="false" ht="15.75" hidden="false" customHeight="false" outlineLevel="0" collapsed="false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customFormat="false" ht="15.75" hidden="false" customHeight="false" outlineLevel="0" collapsed="false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customFormat="false" ht="15.75" hidden="false" customHeight="false" outlineLevel="0" collapsed="false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customFormat="false" ht="15.75" hidden="false" customHeight="false" outlineLevel="0" collapsed="false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customFormat="false" ht="15.75" hidden="false" customHeight="false" outlineLevel="0" collapsed="false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customFormat="false" ht="15.75" hidden="false" customHeight="false" outlineLevel="0" collapsed="false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customFormat="false" ht="15.75" hidden="false" customHeight="false" outlineLevel="0" collapsed="false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customFormat="false" ht="15.75" hidden="false" customHeight="false" outlineLevel="0" collapsed="false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customFormat="false" ht="15.75" hidden="false" customHeight="false" outlineLevel="0" collapsed="false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customFormat="false" ht="15.75" hidden="false" customHeight="false" outlineLevel="0" collapsed="false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customFormat="false" ht="15.75" hidden="false" customHeight="false" outlineLevel="0" collapsed="false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customFormat="false" ht="15.75" hidden="false" customHeight="false" outlineLevel="0" collapsed="false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customFormat="false" ht="15.75" hidden="false" customHeight="false" outlineLevel="0" collapsed="false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customFormat="false" ht="15.75" hidden="false" customHeight="false" outlineLevel="0" collapsed="false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customFormat="false" ht="15.75" hidden="false" customHeight="false" outlineLevel="0" collapsed="false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customFormat="false" ht="15.75" hidden="false" customHeight="false" outlineLevel="0" collapsed="false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customFormat="false" ht="15.75" hidden="false" customHeight="false" outlineLevel="0" collapsed="false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customFormat="false" ht="15.75" hidden="false" customHeight="false" outlineLevel="0" collapsed="false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customFormat="false" ht="15.75" hidden="false" customHeight="false" outlineLevel="0" collapsed="false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customFormat="false" ht="15.75" hidden="false" customHeight="false" outlineLevel="0" collapsed="false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customFormat="false" ht="15.75" hidden="false" customHeight="false" outlineLevel="0" collapsed="false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customFormat="false" ht="15.75" hidden="false" customHeight="false" outlineLevel="0" collapsed="false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customFormat="false" ht="15.75" hidden="false" customHeight="false" outlineLevel="0" collapsed="false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customFormat="false" ht="15.75" hidden="false" customHeight="false" outlineLevel="0" collapsed="false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customFormat="false" ht="15.75" hidden="false" customHeight="false" outlineLevel="0" collapsed="false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customFormat="false" ht="15.75" hidden="false" customHeight="false" outlineLevel="0" collapsed="false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customFormat="false" ht="15.75" hidden="false" customHeight="false" outlineLevel="0" collapsed="false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customFormat="false" ht="15.75" hidden="false" customHeight="false" outlineLevel="0" collapsed="false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customFormat="false" ht="15.75" hidden="false" customHeight="false" outlineLevel="0" collapsed="false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customFormat="false" ht="15.75" hidden="false" customHeight="false" outlineLevel="0" collapsed="false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customFormat="false" ht="15.75" hidden="false" customHeight="false" outlineLevel="0" collapsed="false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customFormat="false" ht="15.75" hidden="false" customHeight="false" outlineLevel="0" collapsed="false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customFormat="false" ht="15.75" hidden="false" customHeight="false" outlineLevel="0" collapsed="false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customFormat="false" ht="15.75" hidden="false" customHeight="false" outlineLevel="0" collapsed="false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customFormat="false" ht="15.75" hidden="false" customHeight="false" outlineLevel="0" collapsed="false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customFormat="false" ht="15.75" hidden="false" customHeight="false" outlineLevel="0" collapsed="false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customFormat="false" ht="15.75" hidden="false" customHeight="false" outlineLevel="0" collapsed="false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customFormat="false" ht="15.75" hidden="false" customHeight="false" outlineLevel="0" collapsed="false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customFormat="false" ht="15.75" hidden="false" customHeight="false" outlineLevel="0" collapsed="false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customFormat="false" ht="15.75" hidden="false" customHeight="false" outlineLevel="0" collapsed="false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customFormat="false" ht="15.75" hidden="false" customHeight="false" outlineLevel="0" collapsed="false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customFormat="false" ht="15.75" hidden="false" customHeight="false" outlineLevel="0" collapsed="false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customFormat="false" ht="15.75" hidden="false" customHeight="false" outlineLevel="0" collapsed="false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customFormat="false" ht="15.75" hidden="false" customHeight="false" outlineLevel="0" collapsed="false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customFormat="false" ht="15.75" hidden="false" customHeight="false" outlineLevel="0" collapsed="false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customFormat="false" ht="15.75" hidden="false" customHeight="false" outlineLevel="0" collapsed="false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customFormat="false" ht="15.75" hidden="false" customHeight="false" outlineLevel="0" collapsed="false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customFormat="false" ht="15.75" hidden="false" customHeight="false" outlineLevel="0" collapsed="false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customFormat="false" ht="15.75" hidden="false" customHeight="false" outlineLevel="0" collapsed="false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customFormat="false" ht="15.75" hidden="false" customHeight="false" outlineLevel="0" collapsed="false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customFormat="false" ht="15.75" hidden="false" customHeight="false" outlineLevel="0" collapsed="false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customFormat="false" ht="15.75" hidden="false" customHeight="false" outlineLevel="0" collapsed="false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customFormat="false" ht="15.75" hidden="false" customHeight="false" outlineLevel="0" collapsed="false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customFormat="false" ht="15.75" hidden="false" customHeight="false" outlineLevel="0" collapsed="false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customFormat="false" ht="15.75" hidden="false" customHeight="false" outlineLevel="0" collapsed="false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customFormat="false" ht="15.75" hidden="false" customHeight="false" outlineLevel="0" collapsed="false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customFormat="false" ht="15.75" hidden="false" customHeight="false" outlineLevel="0" collapsed="false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customFormat="false" ht="15.75" hidden="false" customHeight="false" outlineLevel="0" collapsed="false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customFormat="false" ht="15.75" hidden="false" customHeight="false" outlineLevel="0" collapsed="false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customFormat="false" ht="15.75" hidden="false" customHeight="false" outlineLevel="0" collapsed="false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customFormat="false" ht="15.75" hidden="false" customHeight="false" outlineLevel="0" collapsed="false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customFormat="false" ht="15.75" hidden="false" customHeight="false" outlineLevel="0" collapsed="false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customFormat="false" ht="15.75" hidden="false" customHeight="false" outlineLevel="0" collapsed="false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customFormat="false" ht="15.75" hidden="false" customHeight="false" outlineLevel="0" collapsed="false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customFormat="false" ht="15.75" hidden="false" customHeight="false" outlineLevel="0" collapsed="false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customFormat="false" ht="15.75" hidden="false" customHeight="false" outlineLevel="0" collapsed="false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customFormat="false" ht="15.75" hidden="false" customHeight="false" outlineLevel="0" collapsed="false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customFormat="false" ht="15.75" hidden="false" customHeight="false" outlineLevel="0" collapsed="false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customFormat="false" ht="15.75" hidden="false" customHeight="false" outlineLevel="0" collapsed="false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customFormat="false" ht="15.75" hidden="false" customHeight="false" outlineLevel="0" collapsed="false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customFormat="false" ht="15.75" hidden="false" customHeight="false" outlineLevel="0" collapsed="false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customFormat="false" ht="15.75" hidden="false" customHeight="false" outlineLevel="0" collapsed="false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customFormat="false" ht="15.75" hidden="false" customHeight="false" outlineLevel="0" collapsed="false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customFormat="false" ht="15.75" hidden="false" customHeight="false" outlineLevel="0" collapsed="false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customFormat="false" ht="15.75" hidden="false" customHeight="false" outlineLevel="0" collapsed="false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customFormat="false" ht="15.75" hidden="false" customHeight="false" outlineLevel="0" collapsed="false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customFormat="false" ht="15.75" hidden="false" customHeight="false" outlineLevel="0" collapsed="false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customFormat="false" ht="15.75" hidden="false" customHeight="false" outlineLevel="0" collapsed="false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customFormat="false" ht="15.75" hidden="false" customHeight="false" outlineLevel="0" collapsed="false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customFormat="false" ht="15.75" hidden="false" customHeight="false" outlineLevel="0" collapsed="false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customFormat="false" ht="15.75" hidden="false" customHeight="false" outlineLevel="0" collapsed="false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customFormat="false" ht="15.75" hidden="false" customHeight="false" outlineLevel="0" collapsed="false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customFormat="false" ht="15.75" hidden="false" customHeight="false" outlineLevel="0" collapsed="false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customFormat="false" ht="15.75" hidden="false" customHeight="false" outlineLevel="0" collapsed="false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customFormat="false" ht="15.75" hidden="false" customHeight="false" outlineLevel="0" collapsed="false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customFormat="false" ht="15.75" hidden="false" customHeight="false" outlineLevel="0" collapsed="false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customFormat="false" ht="15.75" hidden="false" customHeight="false" outlineLevel="0" collapsed="false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customFormat="false" ht="15.75" hidden="false" customHeight="false" outlineLevel="0" collapsed="false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customFormat="false" ht="15.75" hidden="false" customHeight="false" outlineLevel="0" collapsed="false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customFormat="false" ht="15.75" hidden="false" customHeight="false" outlineLevel="0" collapsed="false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customFormat="false" ht="15.75" hidden="false" customHeight="false" outlineLevel="0" collapsed="false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customFormat="false" ht="15.75" hidden="false" customHeight="false" outlineLevel="0" collapsed="false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customFormat="false" ht="15.75" hidden="false" customHeight="false" outlineLevel="0" collapsed="false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customFormat="false" ht="15.75" hidden="false" customHeight="false" outlineLevel="0" collapsed="false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customFormat="false" ht="15.75" hidden="false" customHeight="false" outlineLevel="0" collapsed="false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customFormat="false" ht="15.75" hidden="false" customHeight="false" outlineLevel="0" collapsed="false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customFormat="false" ht="15.75" hidden="false" customHeight="false" outlineLevel="0" collapsed="false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customFormat="false" ht="15.75" hidden="false" customHeight="false" outlineLevel="0" collapsed="false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customFormat="false" ht="15.75" hidden="false" customHeight="false" outlineLevel="0" collapsed="false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customFormat="false" ht="15.75" hidden="false" customHeight="false" outlineLevel="0" collapsed="false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customFormat="false" ht="15.75" hidden="false" customHeight="false" outlineLevel="0" collapsed="false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customFormat="false" ht="15.75" hidden="false" customHeight="false" outlineLevel="0" collapsed="false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customFormat="false" ht="15.75" hidden="false" customHeight="false" outlineLevel="0" collapsed="false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customFormat="false" ht="15.75" hidden="false" customHeight="false" outlineLevel="0" collapsed="false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customFormat="false" ht="15.75" hidden="false" customHeight="false" outlineLevel="0" collapsed="false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customFormat="false" ht="15.75" hidden="false" customHeight="false" outlineLevel="0" collapsed="false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customFormat="false" ht="15.75" hidden="false" customHeight="false" outlineLevel="0" collapsed="false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customFormat="false" ht="15.75" hidden="false" customHeight="false" outlineLevel="0" collapsed="false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customFormat="false" ht="15.75" hidden="false" customHeight="false" outlineLevel="0" collapsed="false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customFormat="false" ht="15.75" hidden="false" customHeight="false" outlineLevel="0" collapsed="false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customFormat="false" ht="15.75" hidden="false" customHeight="false" outlineLevel="0" collapsed="false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customFormat="false" ht="15.75" hidden="false" customHeight="false" outlineLevel="0" collapsed="false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customFormat="false" ht="15.75" hidden="false" customHeight="false" outlineLevel="0" collapsed="false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customFormat="false" ht="15.75" hidden="false" customHeight="false" outlineLevel="0" collapsed="false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customFormat="false" ht="15.75" hidden="false" customHeight="false" outlineLevel="0" collapsed="false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customFormat="false" ht="15.75" hidden="false" customHeight="false" outlineLevel="0" collapsed="false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 customFormat="false" ht="15.75" hidden="false" customHeight="false" outlineLevel="0" collapsed="false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 customFormat="false" ht="15.75" hidden="false" customHeight="false" outlineLevel="0" collapsed="false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 customFormat="false" ht="15.75" hidden="false" customHeight="false" outlineLevel="0" collapsed="false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 customFormat="false" ht="15.75" hidden="false" customHeight="false" outlineLevel="0" collapsed="false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 customFormat="false" ht="15.75" hidden="false" customHeight="false" outlineLevel="0" collapsed="false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 customFormat="false" ht="15.75" hidden="false" customHeight="false" outlineLevel="0" collapsed="false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 customFormat="false" ht="15.75" hidden="false" customHeight="false" outlineLevel="0" collapsed="false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 customFormat="false" ht="15.75" hidden="false" customHeight="false" outlineLevel="0" collapsed="false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 customFormat="false" ht="15.75" hidden="false" customHeight="false" outlineLevel="0" collapsed="false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 customFormat="false" ht="15.75" hidden="false" customHeight="false" outlineLevel="0" collapsed="false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 customFormat="false" ht="15.75" hidden="false" customHeight="false" outlineLevel="0" collapsed="false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 customFormat="false" ht="15.75" hidden="false" customHeight="false" outlineLevel="0" collapsed="false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 customFormat="false" ht="15.75" hidden="false" customHeight="false" outlineLevel="0" collapsed="false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 customFormat="false" ht="15.75" hidden="false" customHeight="false" outlineLevel="0" collapsed="false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 customFormat="false" ht="15.75" hidden="false" customHeight="false" outlineLevel="0" collapsed="false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 customFormat="false" ht="15.75" hidden="false" customHeight="false" outlineLevel="0" collapsed="false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 customFormat="false" ht="15.75" hidden="false" customHeight="false" outlineLevel="0" collapsed="false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 customFormat="false" ht="15.75" hidden="false" customHeight="false" outlineLevel="0" collapsed="false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 customFormat="false" ht="15.75" hidden="false" customHeight="false" outlineLevel="0" collapsed="false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 customFormat="false" ht="15.75" hidden="false" customHeight="false" outlineLevel="0" collapsed="false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 customFormat="false" ht="15.75" hidden="false" customHeight="false" outlineLevel="0" collapsed="false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 customFormat="false" ht="15.75" hidden="false" customHeight="false" outlineLevel="0" collapsed="false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 customFormat="false" ht="15.75" hidden="false" customHeight="false" outlineLevel="0" collapsed="false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 customFormat="false" ht="15.75" hidden="false" customHeight="false" outlineLevel="0" collapsed="false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 customFormat="false" ht="15.75" hidden="false" customHeight="false" outlineLevel="0" collapsed="false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 customFormat="false" ht="15.75" hidden="false" customHeight="false" outlineLevel="0" collapsed="false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 customFormat="false" ht="15.75" hidden="false" customHeight="false" outlineLevel="0" collapsed="false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 customFormat="false" ht="15.75" hidden="false" customHeight="false" outlineLevel="0" collapsed="false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 customFormat="false" ht="15.75" hidden="false" customHeight="false" outlineLevel="0" collapsed="false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 customFormat="false" ht="15.75" hidden="false" customHeight="false" outlineLevel="0" collapsed="false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 customFormat="false" ht="15.75" hidden="false" customHeight="false" outlineLevel="0" collapsed="false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 customFormat="false" ht="15.75" hidden="false" customHeight="false" outlineLevel="0" collapsed="false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 customFormat="false" ht="15.75" hidden="false" customHeight="false" outlineLevel="0" collapsed="false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 customFormat="false" ht="15.75" hidden="false" customHeight="false" outlineLevel="0" collapsed="false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 customFormat="false" ht="15.75" hidden="false" customHeight="false" outlineLevel="0" collapsed="false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 customFormat="false" ht="15.75" hidden="false" customHeight="false" outlineLevel="0" collapsed="false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 customFormat="false" ht="15.75" hidden="false" customHeight="false" outlineLevel="0" collapsed="false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 customFormat="false" ht="15.75" hidden="false" customHeight="false" outlineLevel="0" collapsed="false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 customFormat="false" ht="15.75" hidden="false" customHeight="false" outlineLevel="0" collapsed="false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 customFormat="false" ht="15.75" hidden="false" customHeight="false" outlineLevel="0" collapsed="false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 customFormat="false" ht="15.75" hidden="false" customHeight="false" outlineLevel="0" collapsed="false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 customFormat="false" ht="15.75" hidden="false" customHeight="false" outlineLevel="0" collapsed="false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 customFormat="false" ht="15.75" hidden="false" customHeight="false" outlineLevel="0" collapsed="false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 customFormat="false" ht="15.75" hidden="false" customHeight="false" outlineLevel="0" collapsed="false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 customFormat="false" ht="15.75" hidden="false" customHeight="false" outlineLevel="0" collapsed="false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 customFormat="false" ht="15.75" hidden="false" customHeight="false" outlineLevel="0" collapsed="false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 customFormat="false" ht="15.75" hidden="false" customHeight="false" outlineLevel="0" collapsed="false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 customFormat="false" ht="15.75" hidden="false" customHeight="false" outlineLevel="0" collapsed="false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 customFormat="false" ht="15.75" hidden="false" customHeight="false" outlineLevel="0" collapsed="false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 customFormat="false" ht="15.75" hidden="false" customHeight="false" outlineLevel="0" collapsed="false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 customFormat="false" ht="15.75" hidden="false" customHeight="false" outlineLevel="0" collapsed="false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 customFormat="false" ht="15.75" hidden="false" customHeight="false" outlineLevel="0" collapsed="false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 customFormat="false" ht="15.75" hidden="false" customHeight="false" outlineLevel="0" collapsed="false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 customFormat="false" ht="15.75" hidden="false" customHeight="false" outlineLevel="0" collapsed="false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 customFormat="false" ht="15.75" hidden="false" customHeight="false" outlineLevel="0" collapsed="false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 customFormat="false" ht="15.75" hidden="false" customHeight="false" outlineLevel="0" collapsed="false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 customFormat="false" ht="15.75" hidden="false" customHeight="false" outlineLevel="0" collapsed="false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 customFormat="false" ht="15.75" hidden="false" customHeight="false" outlineLevel="0" collapsed="false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 customFormat="false" ht="15.75" hidden="false" customHeight="false" outlineLevel="0" collapsed="false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 customFormat="false" ht="15.75" hidden="false" customHeight="false" outlineLevel="0" collapsed="false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 customFormat="false" ht="15.75" hidden="false" customHeight="false" outlineLevel="0" collapsed="false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 customFormat="false" ht="15.75" hidden="false" customHeight="false" outlineLevel="0" collapsed="false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 customFormat="false" ht="15.75" hidden="false" customHeight="false" outlineLevel="0" collapsed="false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 customFormat="false" ht="15.75" hidden="false" customHeight="false" outlineLevel="0" collapsed="false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 customFormat="false" ht="15.75" hidden="false" customHeight="false" outlineLevel="0" collapsed="false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 customFormat="false" ht="15.75" hidden="false" customHeight="false" outlineLevel="0" collapsed="false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 customFormat="false" ht="15.75" hidden="false" customHeight="false" outlineLevel="0" collapsed="false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 customFormat="false" ht="15.75" hidden="false" customHeight="false" outlineLevel="0" collapsed="false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 customFormat="false" ht="15.75" hidden="false" customHeight="false" outlineLevel="0" collapsed="false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 customFormat="false" ht="15.75" hidden="false" customHeight="false" outlineLevel="0" collapsed="false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 customFormat="false" ht="15.75" hidden="false" customHeight="false" outlineLevel="0" collapsed="false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 customFormat="false" ht="15.75" hidden="false" customHeight="false" outlineLevel="0" collapsed="false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 customFormat="false" ht="15.75" hidden="false" customHeight="false" outlineLevel="0" collapsed="false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 customFormat="false" ht="15.75" hidden="false" customHeight="false" outlineLevel="0" collapsed="false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 customFormat="false" ht="15.75" hidden="false" customHeight="false" outlineLevel="0" collapsed="false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 customFormat="false" ht="15.75" hidden="false" customHeight="false" outlineLevel="0" collapsed="false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 customFormat="false" ht="15.75" hidden="false" customHeight="false" outlineLevel="0" collapsed="false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 customFormat="false" ht="15.75" hidden="false" customHeight="false" outlineLevel="0" collapsed="false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 customFormat="false" ht="15.75" hidden="false" customHeight="false" outlineLevel="0" collapsed="false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 customFormat="false" ht="15.75" hidden="false" customHeight="false" outlineLevel="0" collapsed="false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 customFormat="false" ht="15.75" hidden="false" customHeight="false" outlineLevel="0" collapsed="false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 customFormat="false" ht="15.75" hidden="false" customHeight="false" outlineLevel="0" collapsed="false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 customFormat="false" ht="15.75" hidden="false" customHeight="false" outlineLevel="0" collapsed="false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 customFormat="false" ht="15.75" hidden="false" customHeight="false" outlineLevel="0" collapsed="false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 customFormat="false" ht="15.75" hidden="false" customHeight="false" outlineLevel="0" collapsed="false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 customFormat="false" ht="15.75" hidden="false" customHeight="false" outlineLevel="0" collapsed="false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 customFormat="false" ht="15.75" hidden="false" customHeight="false" outlineLevel="0" collapsed="false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 customFormat="false" ht="15.75" hidden="false" customHeight="false" outlineLevel="0" collapsed="false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 customFormat="false" ht="15.75" hidden="false" customHeight="false" outlineLevel="0" collapsed="false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 customFormat="false" ht="15.75" hidden="false" customHeight="false" outlineLevel="0" collapsed="false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 customFormat="false" ht="15.75" hidden="false" customHeight="false" outlineLevel="0" collapsed="false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 customFormat="false" ht="15.75" hidden="false" customHeight="false" outlineLevel="0" collapsed="false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 customFormat="false" ht="15.75" hidden="false" customHeight="false" outlineLevel="0" collapsed="false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 customFormat="false" ht="15.75" hidden="false" customHeight="false" outlineLevel="0" collapsed="false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 customFormat="false" ht="15.75" hidden="false" customHeight="false" outlineLevel="0" collapsed="false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 customFormat="false" ht="15.75" hidden="false" customHeight="false" outlineLevel="0" collapsed="false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 customFormat="false" ht="15.75" hidden="false" customHeight="false" outlineLevel="0" collapsed="false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 customFormat="false" ht="15.75" hidden="false" customHeight="false" outlineLevel="0" collapsed="false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 customFormat="false" ht="15.75" hidden="false" customHeight="false" outlineLevel="0" collapsed="false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 customFormat="false" ht="15.75" hidden="false" customHeight="false" outlineLevel="0" collapsed="false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 customFormat="false" ht="15.75" hidden="false" customHeight="false" outlineLevel="0" collapsed="false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 customFormat="false" ht="15.75" hidden="false" customHeight="false" outlineLevel="0" collapsed="false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 customFormat="false" ht="15.75" hidden="false" customHeight="false" outlineLevel="0" collapsed="false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 customFormat="false" ht="15.75" hidden="false" customHeight="false" outlineLevel="0" collapsed="false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 customFormat="false" ht="15.75" hidden="false" customHeight="false" outlineLevel="0" collapsed="false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 customFormat="false" ht="15.75" hidden="false" customHeight="false" outlineLevel="0" collapsed="false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 customFormat="false" ht="15.75" hidden="false" customHeight="false" outlineLevel="0" collapsed="false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 customFormat="false" ht="15.75" hidden="false" customHeight="false" outlineLevel="0" collapsed="false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 customFormat="false" ht="15.75" hidden="false" customHeight="false" outlineLevel="0" collapsed="false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 customFormat="false" ht="15.75" hidden="false" customHeight="false" outlineLevel="0" collapsed="false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 customFormat="false" ht="15.75" hidden="false" customHeight="false" outlineLevel="0" collapsed="false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 customFormat="false" ht="15.75" hidden="false" customHeight="false" outlineLevel="0" collapsed="false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 customFormat="false" ht="15.75" hidden="false" customHeight="false" outlineLevel="0" collapsed="false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 customFormat="false" ht="15.75" hidden="false" customHeight="false" outlineLevel="0" collapsed="false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 customFormat="false" ht="15.75" hidden="false" customHeight="false" outlineLevel="0" collapsed="false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 customFormat="false" ht="15.75" hidden="false" customHeight="false" outlineLevel="0" collapsed="false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 customFormat="false" ht="15.75" hidden="false" customHeight="false" outlineLevel="0" collapsed="false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 customFormat="false" ht="15.75" hidden="false" customHeight="false" outlineLevel="0" collapsed="false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 customFormat="false" ht="15.75" hidden="false" customHeight="false" outlineLevel="0" collapsed="false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 customFormat="false" ht="15.75" hidden="false" customHeight="false" outlineLevel="0" collapsed="false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 customFormat="false" ht="15.75" hidden="false" customHeight="false" outlineLevel="0" collapsed="false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 customFormat="false" ht="15.75" hidden="false" customHeight="false" outlineLevel="0" collapsed="false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 customFormat="false" ht="15.75" hidden="false" customHeight="false" outlineLevel="0" collapsed="false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 customFormat="false" ht="15.75" hidden="false" customHeight="false" outlineLevel="0" collapsed="false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 customFormat="false" ht="15.75" hidden="false" customHeight="false" outlineLevel="0" collapsed="false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 customFormat="false" ht="15.75" hidden="false" customHeight="false" outlineLevel="0" collapsed="false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 customFormat="false" ht="15.75" hidden="false" customHeight="false" outlineLevel="0" collapsed="false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 customFormat="false" ht="15.75" hidden="false" customHeight="false" outlineLevel="0" collapsed="false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 customFormat="false" ht="15.75" hidden="false" customHeight="false" outlineLevel="0" collapsed="false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 customFormat="false" ht="15.75" hidden="false" customHeight="false" outlineLevel="0" collapsed="false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 customFormat="false" ht="15.75" hidden="false" customHeight="false" outlineLevel="0" collapsed="false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 customFormat="false" ht="15.75" hidden="false" customHeight="false" outlineLevel="0" collapsed="false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 customFormat="false" ht="15.75" hidden="false" customHeight="false" outlineLevel="0" collapsed="false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 customFormat="false" ht="15.75" hidden="false" customHeight="false" outlineLevel="0" collapsed="false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 customFormat="false" ht="15.75" hidden="false" customHeight="false" outlineLevel="0" collapsed="false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 customFormat="false" ht="15.75" hidden="false" customHeight="false" outlineLevel="0" collapsed="false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 customFormat="false" ht="15.75" hidden="false" customHeight="false" outlineLevel="0" collapsed="false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 customFormat="false" ht="15.75" hidden="false" customHeight="false" outlineLevel="0" collapsed="false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 customFormat="false" ht="15.75" hidden="false" customHeight="false" outlineLevel="0" collapsed="false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 customFormat="false" ht="15.75" hidden="false" customHeight="false" outlineLevel="0" collapsed="false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 customFormat="false" ht="15.75" hidden="false" customHeight="false" outlineLevel="0" collapsed="false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 customFormat="false" ht="15.75" hidden="false" customHeight="false" outlineLevel="0" collapsed="false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 customFormat="false" ht="15.75" hidden="false" customHeight="false" outlineLevel="0" collapsed="false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 customFormat="false" ht="15.75" hidden="false" customHeight="false" outlineLevel="0" collapsed="false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 customFormat="false" ht="15.75" hidden="false" customHeight="false" outlineLevel="0" collapsed="false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 customFormat="false" ht="15.75" hidden="false" customHeight="false" outlineLevel="0" collapsed="false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 customFormat="false" ht="15.75" hidden="false" customHeight="false" outlineLevel="0" collapsed="false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 customFormat="false" ht="15.75" hidden="false" customHeight="false" outlineLevel="0" collapsed="false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 customFormat="false" ht="15.75" hidden="false" customHeight="false" outlineLevel="0" collapsed="false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 customFormat="false" ht="15.75" hidden="false" customHeight="false" outlineLevel="0" collapsed="false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 customFormat="false" ht="15.75" hidden="false" customHeight="false" outlineLevel="0" collapsed="false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 customFormat="false" ht="15.75" hidden="false" customHeight="false" outlineLevel="0" collapsed="false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 customFormat="false" ht="15.75" hidden="false" customHeight="false" outlineLevel="0" collapsed="false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 customFormat="false" ht="15.75" hidden="false" customHeight="false" outlineLevel="0" collapsed="false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 customFormat="false" ht="15.75" hidden="false" customHeight="false" outlineLevel="0" collapsed="false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 customFormat="false" ht="15.75" hidden="false" customHeight="false" outlineLevel="0" collapsed="false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 customFormat="false" ht="15.75" hidden="false" customHeight="false" outlineLevel="0" collapsed="false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 customFormat="false" ht="15.75" hidden="false" customHeight="false" outlineLevel="0" collapsed="false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 customFormat="false" ht="15.75" hidden="false" customHeight="false" outlineLevel="0" collapsed="false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 customFormat="false" ht="15.75" hidden="false" customHeight="false" outlineLevel="0" collapsed="false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 customFormat="false" ht="15.75" hidden="false" customHeight="false" outlineLevel="0" collapsed="false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 customFormat="false" ht="15.75" hidden="false" customHeight="false" outlineLevel="0" collapsed="false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 customFormat="false" ht="15.75" hidden="false" customHeight="false" outlineLevel="0" collapsed="false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 customFormat="false" ht="15.75" hidden="false" customHeight="false" outlineLevel="0" collapsed="false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 customFormat="false" ht="15.75" hidden="false" customHeight="false" outlineLevel="0" collapsed="false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 customFormat="false" ht="15.75" hidden="false" customHeight="false" outlineLevel="0" collapsed="false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 customFormat="false" ht="15.75" hidden="false" customHeight="false" outlineLevel="0" collapsed="false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 customFormat="false" ht="15.75" hidden="false" customHeight="false" outlineLevel="0" collapsed="false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 customFormat="false" ht="15.75" hidden="false" customHeight="false" outlineLevel="0" collapsed="false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 customFormat="false" ht="15.75" hidden="false" customHeight="false" outlineLevel="0" collapsed="false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 customFormat="false" ht="15.75" hidden="false" customHeight="false" outlineLevel="0" collapsed="false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 customFormat="false" ht="15.75" hidden="false" customHeight="false" outlineLevel="0" collapsed="false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 customFormat="false" ht="15.75" hidden="false" customHeight="false" outlineLevel="0" collapsed="false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 customFormat="false" ht="15.75" hidden="false" customHeight="false" outlineLevel="0" collapsed="false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 customFormat="false" ht="15.75" hidden="false" customHeight="false" outlineLevel="0" collapsed="false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 customFormat="false" ht="15.75" hidden="false" customHeight="false" outlineLevel="0" collapsed="false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 customFormat="false" ht="15.75" hidden="false" customHeight="false" outlineLevel="0" collapsed="false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 customFormat="false" ht="15.75" hidden="false" customHeight="false" outlineLevel="0" collapsed="false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 customFormat="false" ht="15.75" hidden="false" customHeight="false" outlineLevel="0" collapsed="false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 customFormat="false" ht="15.75" hidden="false" customHeight="false" outlineLevel="0" collapsed="false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 customFormat="false" ht="15.75" hidden="false" customHeight="false" outlineLevel="0" collapsed="false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 customFormat="false" ht="15.75" hidden="false" customHeight="false" outlineLevel="0" collapsed="false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 customFormat="false" ht="15.75" hidden="false" customHeight="false" outlineLevel="0" collapsed="false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 customFormat="false" ht="15.75" hidden="false" customHeight="false" outlineLevel="0" collapsed="false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 customFormat="false" ht="15.75" hidden="false" customHeight="false" outlineLevel="0" collapsed="false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 customFormat="false" ht="15.75" hidden="false" customHeight="false" outlineLevel="0" collapsed="false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 customFormat="false" ht="15.75" hidden="false" customHeight="false" outlineLevel="0" collapsed="false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 customFormat="false" ht="15.75" hidden="false" customHeight="false" outlineLevel="0" collapsed="false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 customFormat="false" ht="15.75" hidden="false" customHeight="false" outlineLevel="0" collapsed="false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 customFormat="false" ht="15.75" hidden="false" customHeight="false" outlineLevel="0" collapsed="false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 customFormat="false" ht="15.75" hidden="false" customHeight="false" outlineLevel="0" collapsed="false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 customFormat="false" ht="15.75" hidden="false" customHeight="false" outlineLevel="0" collapsed="false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 customFormat="false" ht="15.75" hidden="false" customHeight="false" outlineLevel="0" collapsed="false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 customFormat="false" ht="15.75" hidden="false" customHeight="false" outlineLevel="0" collapsed="false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 customFormat="false" ht="15.75" hidden="false" customHeight="false" outlineLevel="0" collapsed="false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 customFormat="false" ht="15.75" hidden="false" customHeight="false" outlineLevel="0" collapsed="false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 customFormat="false" ht="15.75" hidden="false" customHeight="false" outlineLevel="0" collapsed="false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 customFormat="false" ht="15.75" hidden="false" customHeight="false" outlineLevel="0" collapsed="false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 customFormat="false" ht="15.75" hidden="false" customHeight="false" outlineLevel="0" collapsed="false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 customFormat="false" ht="15.75" hidden="false" customHeight="false" outlineLevel="0" collapsed="false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 customFormat="false" ht="15.75" hidden="false" customHeight="false" outlineLevel="0" collapsed="false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 customFormat="false" ht="15.75" hidden="false" customHeight="false" outlineLevel="0" collapsed="false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 customFormat="false" ht="15.75" hidden="false" customHeight="false" outlineLevel="0" collapsed="false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 customFormat="false" ht="15.75" hidden="false" customHeight="false" outlineLevel="0" collapsed="false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 customFormat="false" ht="15.75" hidden="false" customHeight="false" outlineLevel="0" collapsed="false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 customFormat="false" ht="15.75" hidden="false" customHeight="false" outlineLevel="0" collapsed="false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 customFormat="false" ht="15.75" hidden="false" customHeight="false" outlineLevel="0" collapsed="false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 customFormat="false" ht="15.75" hidden="false" customHeight="false" outlineLevel="0" collapsed="false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 customFormat="false" ht="15.75" hidden="false" customHeight="false" outlineLevel="0" collapsed="false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 customFormat="false" ht="15.75" hidden="false" customHeight="false" outlineLevel="0" collapsed="false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 customFormat="false" ht="15.75" hidden="false" customHeight="false" outlineLevel="0" collapsed="false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 customFormat="false" ht="15.75" hidden="false" customHeight="false" outlineLevel="0" collapsed="false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 customFormat="false" ht="15.75" hidden="false" customHeight="false" outlineLevel="0" collapsed="false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 customFormat="false" ht="15.75" hidden="false" customHeight="false" outlineLevel="0" collapsed="false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 customFormat="false" ht="15.75" hidden="false" customHeight="false" outlineLevel="0" collapsed="false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 customFormat="false" ht="15.75" hidden="false" customHeight="false" outlineLevel="0" collapsed="false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 customFormat="false" ht="15.75" hidden="false" customHeight="false" outlineLevel="0" collapsed="false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 customFormat="false" ht="15.75" hidden="false" customHeight="false" outlineLevel="0" collapsed="false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 customFormat="false" ht="15.75" hidden="false" customHeight="false" outlineLevel="0" collapsed="false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 customFormat="false" ht="15.75" hidden="false" customHeight="false" outlineLevel="0" collapsed="false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 customFormat="false" ht="15.75" hidden="false" customHeight="false" outlineLevel="0" collapsed="false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 customFormat="false" ht="15.75" hidden="false" customHeight="false" outlineLevel="0" collapsed="false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 customFormat="false" ht="15.75" hidden="false" customHeight="false" outlineLevel="0" collapsed="false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 customFormat="false" ht="15.75" hidden="false" customHeight="false" outlineLevel="0" collapsed="false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 customFormat="false" ht="15.75" hidden="false" customHeight="false" outlineLevel="0" collapsed="false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 customFormat="false" ht="15.75" hidden="false" customHeight="false" outlineLevel="0" collapsed="false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 customFormat="false" ht="15.75" hidden="false" customHeight="false" outlineLevel="0" collapsed="false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 customFormat="false" ht="15.75" hidden="false" customHeight="false" outlineLevel="0" collapsed="false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 customFormat="false" ht="15.75" hidden="false" customHeight="false" outlineLevel="0" collapsed="false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 customFormat="false" ht="15.75" hidden="false" customHeight="false" outlineLevel="0" collapsed="false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 customFormat="false" ht="15.75" hidden="false" customHeight="false" outlineLevel="0" collapsed="false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 customFormat="false" ht="15.75" hidden="false" customHeight="false" outlineLevel="0" collapsed="false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 customFormat="false" ht="15.75" hidden="false" customHeight="false" outlineLevel="0" collapsed="false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 customFormat="false" ht="15.75" hidden="false" customHeight="false" outlineLevel="0" collapsed="false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 customFormat="false" ht="15.75" hidden="false" customHeight="false" outlineLevel="0" collapsed="false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 customFormat="false" ht="15.75" hidden="false" customHeight="false" outlineLevel="0" collapsed="false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 customFormat="false" ht="15.75" hidden="false" customHeight="false" outlineLevel="0" collapsed="false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 customFormat="false" ht="15.75" hidden="false" customHeight="false" outlineLevel="0" collapsed="false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 customFormat="false" ht="15.75" hidden="false" customHeight="false" outlineLevel="0" collapsed="false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 customFormat="false" ht="15.75" hidden="false" customHeight="false" outlineLevel="0" collapsed="false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 customFormat="false" ht="15.75" hidden="false" customHeight="false" outlineLevel="0" collapsed="false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 customFormat="false" ht="15.75" hidden="false" customHeight="false" outlineLevel="0" collapsed="false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 customFormat="false" ht="15.75" hidden="false" customHeight="false" outlineLevel="0" collapsed="false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 customFormat="false" ht="15.75" hidden="false" customHeight="false" outlineLevel="0" collapsed="false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 customFormat="false" ht="15.75" hidden="false" customHeight="false" outlineLevel="0" collapsed="false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 customFormat="false" ht="15.75" hidden="false" customHeight="false" outlineLevel="0" collapsed="false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 customFormat="false" ht="15.75" hidden="false" customHeight="false" outlineLevel="0" collapsed="false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 customFormat="false" ht="15.75" hidden="false" customHeight="false" outlineLevel="0" collapsed="false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 customFormat="false" ht="15.75" hidden="false" customHeight="false" outlineLevel="0" collapsed="false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 customFormat="false" ht="15.75" hidden="false" customHeight="false" outlineLevel="0" collapsed="false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 customFormat="false" ht="15.75" hidden="false" customHeight="false" outlineLevel="0" collapsed="false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 customFormat="false" ht="15.75" hidden="false" customHeight="false" outlineLevel="0" collapsed="false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 customFormat="false" ht="15.75" hidden="false" customHeight="false" outlineLevel="0" collapsed="false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 customFormat="false" ht="15.75" hidden="false" customHeight="false" outlineLevel="0" collapsed="false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 customFormat="false" ht="15.75" hidden="false" customHeight="false" outlineLevel="0" collapsed="false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 customFormat="false" ht="15.75" hidden="false" customHeight="false" outlineLevel="0" collapsed="false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 customFormat="false" ht="15.75" hidden="false" customHeight="false" outlineLevel="0" collapsed="false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 customFormat="false" ht="15.75" hidden="false" customHeight="false" outlineLevel="0" collapsed="false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 customFormat="false" ht="15.75" hidden="false" customHeight="false" outlineLevel="0" collapsed="false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 customFormat="false" ht="15.75" hidden="false" customHeight="false" outlineLevel="0" collapsed="false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 customFormat="false" ht="15.75" hidden="false" customHeight="false" outlineLevel="0" collapsed="false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 customFormat="false" ht="15.75" hidden="false" customHeight="false" outlineLevel="0" collapsed="false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 customFormat="false" ht="15.75" hidden="false" customHeight="false" outlineLevel="0" collapsed="false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 customFormat="false" ht="15.75" hidden="false" customHeight="false" outlineLevel="0" collapsed="false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 customFormat="false" ht="15.75" hidden="false" customHeight="false" outlineLevel="0" collapsed="false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 customFormat="false" ht="15.75" hidden="false" customHeight="false" outlineLevel="0" collapsed="false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 customFormat="false" ht="15.75" hidden="false" customHeight="false" outlineLevel="0" collapsed="false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 customFormat="false" ht="15.75" hidden="false" customHeight="false" outlineLevel="0" collapsed="false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 customFormat="false" ht="15.75" hidden="false" customHeight="false" outlineLevel="0" collapsed="false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 customFormat="false" ht="15.75" hidden="false" customHeight="false" outlineLevel="0" collapsed="false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 customFormat="false" ht="15.75" hidden="false" customHeight="false" outlineLevel="0" collapsed="false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 customFormat="false" ht="15.75" hidden="false" customHeight="false" outlineLevel="0" collapsed="false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 customFormat="false" ht="15.75" hidden="false" customHeight="false" outlineLevel="0" collapsed="false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 customFormat="false" ht="15.75" hidden="false" customHeight="false" outlineLevel="0" collapsed="false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 customFormat="false" ht="15.75" hidden="false" customHeight="false" outlineLevel="0" collapsed="false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 customFormat="false" ht="15.75" hidden="false" customHeight="false" outlineLevel="0" collapsed="false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 customFormat="false" ht="15.75" hidden="false" customHeight="false" outlineLevel="0" collapsed="false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 customFormat="false" ht="15.75" hidden="false" customHeight="false" outlineLevel="0" collapsed="false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 customFormat="false" ht="15.75" hidden="false" customHeight="false" outlineLevel="0" collapsed="false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 customFormat="false" ht="15.75" hidden="false" customHeight="false" outlineLevel="0" collapsed="false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 customFormat="false" ht="15.75" hidden="false" customHeight="false" outlineLevel="0" collapsed="false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 customFormat="false" ht="15.75" hidden="false" customHeight="false" outlineLevel="0" collapsed="false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 customFormat="false" ht="15.75" hidden="false" customHeight="false" outlineLevel="0" collapsed="false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 customFormat="false" ht="15.75" hidden="false" customHeight="false" outlineLevel="0" collapsed="false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 customFormat="false" ht="15.75" hidden="false" customHeight="false" outlineLevel="0" collapsed="false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 customFormat="false" ht="15.75" hidden="false" customHeight="false" outlineLevel="0" collapsed="false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 customFormat="false" ht="15.75" hidden="false" customHeight="false" outlineLevel="0" collapsed="false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 customFormat="false" ht="15.75" hidden="false" customHeight="false" outlineLevel="0" collapsed="false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 customFormat="false" ht="15.75" hidden="false" customHeight="false" outlineLevel="0" collapsed="false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 customFormat="false" ht="15.75" hidden="false" customHeight="false" outlineLevel="0" collapsed="false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 customFormat="false" ht="15.75" hidden="false" customHeight="false" outlineLevel="0" collapsed="false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 customFormat="false" ht="15.75" hidden="false" customHeight="false" outlineLevel="0" collapsed="false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 customFormat="false" ht="15.75" hidden="false" customHeight="false" outlineLevel="0" collapsed="false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 customFormat="false" ht="15.75" hidden="false" customHeight="false" outlineLevel="0" collapsed="false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 customFormat="false" ht="15.75" hidden="false" customHeight="false" outlineLevel="0" collapsed="false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 customFormat="false" ht="15.75" hidden="false" customHeight="false" outlineLevel="0" collapsed="false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 customFormat="false" ht="15.75" hidden="false" customHeight="false" outlineLevel="0" collapsed="false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 customFormat="false" ht="15.75" hidden="false" customHeight="false" outlineLevel="0" collapsed="false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 customFormat="false" ht="15.75" hidden="false" customHeight="false" outlineLevel="0" collapsed="false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 customFormat="false" ht="15.75" hidden="false" customHeight="false" outlineLevel="0" collapsed="false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 customFormat="false" ht="15.75" hidden="false" customHeight="false" outlineLevel="0" collapsed="false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 customFormat="false" ht="15.75" hidden="false" customHeight="false" outlineLevel="0" collapsed="false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 customFormat="false" ht="15.75" hidden="false" customHeight="false" outlineLevel="0" collapsed="false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 customFormat="false" ht="15.75" hidden="false" customHeight="false" outlineLevel="0" collapsed="false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 customFormat="false" ht="15.75" hidden="false" customHeight="false" outlineLevel="0" collapsed="false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 customFormat="false" ht="15.75" hidden="false" customHeight="false" outlineLevel="0" collapsed="false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 customFormat="false" ht="15.75" hidden="false" customHeight="false" outlineLevel="0" collapsed="false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 customFormat="false" ht="15.75" hidden="false" customHeight="false" outlineLevel="0" collapsed="false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 customFormat="false" ht="15.75" hidden="false" customHeight="false" outlineLevel="0" collapsed="false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 customFormat="false" ht="15.75" hidden="false" customHeight="false" outlineLevel="0" collapsed="false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 customFormat="false" ht="15.75" hidden="false" customHeight="false" outlineLevel="0" collapsed="false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 customFormat="false" ht="15.75" hidden="false" customHeight="false" outlineLevel="0" collapsed="false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 customFormat="false" ht="15.75" hidden="false" customHeight="false" outlineLevel="0" collapsed="false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 customFormat="false" ht="15.75" hidden="false" customHeight="false" outlineLevel="0" collapsed="false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 customFormat="false" ht="15.75" hidden="false" customHeight="false" outlineLevel="0" collapsed="false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 customFormat="false" ht="15.75" hidden="false" customHeight="false" outlineLevel="0" collapsed="false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 customFormat="false" ht="15.75" hidden="false" customHeight="false" outlineLevel="0" collapsed="false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 customFormat="false" ht="15.75" hidden="false" customHeight="false" outlineLevel="0" collapsed="false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 customFormat="false" ht="15.75" hidden="false" customHeight="false" outlineLevel="0" collapsed="false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 customFormat="false" ht="15.75" hidden="false" customHeight="false" outlineLevel="0" collapsed="false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 customFormat="false" ht="15.75" hidden="false" customHeight="false" outlineLevel="0" collapsed="false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 customFormat="false" ht="15.75" hidden="false" customHeight="false" outlineLevel="0" collapsed="false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 customFormat="false" ht="15.75" hidden="false" customHeight="false" outlineLevel="0" collapsed="false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 customFormat="false" ht="15.75" hidden="false" customHeight="false" outlineLevel="0" collapsed="false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 customFormat="false" ht="15.75" hidden="false" customHeight="false" outlineLevel="0" collapsed="false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 customFormat="false" ht="15.75" hidden="false" customHeight="false" outlineLevel="0" collapsed="false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 customFormat="false" ht="15.75" hidden="false" customHeight="false" outlineLevel="0" collapsed="false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 customFormat="false" ht="15.75" hidden="false" customHeight="false" outlineLevel="0" collapsed="false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 customFormat="false" ht="15.75" hidden="false" customHeight="false" outlineLevel="0" collapsed="false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 customFormat="false" ht="15.75" hidden="false" customHeight="false" outlineLevel="0" collapsed="false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 customFormat="false" ht="15.75" hidden="false" customHeight="false" outlineLevel="0" collapsed="false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 customFormat="false" ht="15.75" hidden="false" customHeight="false" outlineLevel="0" collapsed="false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 customFormat="false" ht="15.75" hidden="false" customHeight="false" outlineLevel="0" collapsed="false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 customFormat="false" ht="15.75" hidden="false" customHeight="false" outlineLevel="0" collapsed="false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 customFormat="false" ht="15.75" hidden="false" customHeight="false" outlineLevel="0" collapsed="false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 customFormat="false" ht="15.75" hidden="false" customHeight="false" outlineLevel="0" collapsed="false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 customFormat="false" ht="15.75" hidden="false" customHeight="false" outlineLevel="0" collapsed="false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 customFormat="false" ht="15.75" hidden="false" customHeight="false" outlineLevel="0" collapsed="false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 customFormat="false" ht="15.75" hidden="false" customHeight="false" outlineLevel="0" collapsed="false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 customFormat="false" ht="15.75" hidden="false" customHeight="false" outlineLevel="0" collapsed="false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 customFormat="false" ht="15.75" hidden="false" customHeight="false" outlineLevel="0" collapsed="false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 customFormat="false" ht="15.75" hidden="false" customHeight="false" outlineLevel="0" collapsed="false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 customFormat="false" ht="15.75" hidden="false" customHeight="false" outlineLevel="0" collapsed="false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 customFormat="false" ht="15.75" hidden="false" customHeight="false" outlineLevel="0" collapsed="false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 customFormat="false" ht="15.75" hidden="false" customHeight="false" outlineLevel="0" collapsed="false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 customFormat="false" ht="15.75" hidden="false" customHeight="false" outlineLevel="0" collapsed="false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 customFormat="false" ht="15.75" hidden="false" customHeight="false" outlineLevel="0" collapsed="false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 customFormat="false" ht="15.75" hidden="false" customHeight="false" outlineLevel="0" collapsed="false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 customFormat="false" ht="15.75" hidden="false" customHeight="false" outlineLevel="0" collapsed="false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 customFormat="false" ht="15.75" hidden="false" customHeight="false" outlineLevel="0" collapsed="false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 customFormat="false" ht="15.75" hidden="false" customHeight="false" outlineLevel="0" collapsed="false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 customFormat="false" ht="15.75" hidden="false" customHeight="false" outlineLevel="0" collapsed="false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 customFormat="false" ht="15.75" hidden="false" customHeight="false" outlineLevel="0" collapsed="false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 customFormat="false" ht="15.75" hidden="false" customHeight="false" outlineLevel="0" collapsed="false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 customFormat="false" ht="15.75" hidden="false" customHeight="false" outlineLevel="0" collapsed="false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 customFormat="false" ht="15.75" hidden="false" customHeight="false" outlineLevel="0" collapsed="false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 customFormat="false" ht="15.75" hidden="false" customHeight="false" outlineLevel="0" collapsed="false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 customFormat="false" ht="15.75" hidden="false" customHeight="false" outlineLevel="0" collapsed="false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 customFormat="false" ht="15.75" hidden="false" customHeight="false" outlineLevel="0" collapsed="false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 customFormat="false" ht="15.75" hidden="false" customHeight="false" outlineLevel="0" collapsed="false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 customFormat="false" ht="15.75" hidden="false" customHeight="false" outlineLevel="0" collapsed="false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 customFormat="false" ht="15.75" hidden="false" customHeight="false" outlineLevel="0" collapsed="false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 customFormat="false" ht="15.75" hidden="false" customHeight="false" outlineLevel="0" collapsed="false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 customFormat="false" ht="15.75" hidden="false" customHeight="false" outlineLevel="0" collapsed="false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 customFormat="false" ht="15.75" hidden="false" customHeight="false" outlineLevel="0" collapsed="false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 customFormat="false" ht="15.75" hidden="false" customHeight="false" outlineLevel="0" collapsed="false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 customFormat="false" ht="15.75" hidden="false" customHeight="false" outlineLevel="0" collapsed="false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 customFormat="false" ht="15.75" hidden="false" customHeight="false" outlineLevel="0" collapsed="false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 customFormat="false" ht="15.75" hidden="false" customHeight="false" outlineLevel="0" collapsed="false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 customFormat="false" ht="15.75" hidden="false" customHeight="false" outlineLevel="0" collapsed="false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 customFormat="false" ht="15.75" hidden="false" customHeight="false" outlineLevel="0" collapsed="false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 customFormat="false" ht="15.75" hidden="false" customHeight="false" outlineLevel="0" collapsed="false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 customFormat="false" ht="15.75" hidden="false" customHeight="false" outlineLevel="0" collapsed="false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 customFormat="false" ht="15.75" hidden="false" customHeight="false" outlineLevel="0" collapsed="false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 customFormat="false" ht="15.75" hidden="false" customHeight="false" outlineLevel="0" collapsed="false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 customFormat="false" ht="15.75" hidden="false" customHeight="false" outlineLevel="0" collapsed="false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 customFormat="false" ht="15.75" hidden="false" customHeight="false" outlineLevel="0" collapsed="false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 customFormat="false" ht="15.75" hidden="false" customHeight="false" outlineLevel="0" collapsed="false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 customFormat="false" ht="15.75" hidden="false" customHeight="false" outlineLevel="0" collapsed="false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 customFormat="false" ht="15.75" hidden="false" customHeight="false" outlineLevel="0" collapsed="false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 customFormat="false" ht="15.75" hidden="false" customHeight="false" outlineLevel="0" collapsed="false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 customFormat="false" ht="15.75" hidden="false" customHeight="false" outlineLevel="0" collapsed="false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 customFormat="false" ht="15.75" hidden="false" customHeight="false" outlineLevel="0" collapsed="false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 customFormat="false" ht="15.75" hidden="false" customHeight="false" outlineLevel="0" collapsed="false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 customFormat="false" ht="15.75" hidden="false" customHeight="false" outlineLevel="0" collapsed="false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 customFormat="false" ht="15.75" hidden="false" customHeight="false" outlineLevel="0" collapsed="false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 customFormat="false" ht="15.75" hidden="false" customHeight="false" outlineLevel="0" collapsed="false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 customFormat="false" ht="15.75" hidden="false" customHeight="false" outlineLevel="0" collapsed="false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 customFormat="false" ht="15.75" hidden="false" customHeight="false" outlineLevel="0" collapsed="false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 customFormat="false" ht="15.75" hidden="false" customHeight="false" outlineLevel="0" collapsed="false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 customFormat="false" ht="15.75" hidden="false" customHeight="false" outlineLevel="0" collapsed="false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 customFormat="false" ht="15.75" hidden="false" customHeight="false" outlineLevel="0" collapsed="false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 customFormat="false" ht="15.75" hidden="false" customHeight="false" outlineLevel="0" collapsed="false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 customFormat="false" ht="15.75" hidden="false" customHeight="false" outlineLevel="0" collapsed="false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 customFormat="false" ht="15.75" hidden="false" customHeight="false" outlineLevel="0" collapsed="false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 customFormat="false" ht="15.75" hidden="false" customHeight="false" outlineLevel="0" collapsed="false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 customFormat="false" ht="15.75" hidden="false" customHeight="false" outlineLevel="0" collapsed="false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 customFormat="false" ht="15.75" hidden="false" customHeight="false" outlineLevel="0" collapsed="false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 customFormat="false" ht="15.75" hidden="false" customHeight="false" outlineLevel="0" collapsed="false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 customFormat="false" ht="15.75" hidden="false" customHeight="false" outlineLevel="0" collapsed="false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 customFormat="false" ht="15.75" hidden="false" customHeight="false" outlineLevel="0" collapsed="false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 customFormat="false" ht="15.75" hidden="false" customHeight="false" outlineLevel="0" collapsed="false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 customFormat="false" ht="15.75" hidden="false" customHeight="false" outlineLevel="0" collapsed="false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 customFormat="false" ht="15.75" hidden="false" customHeight="false" outlineLevel="0" collapsed="false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 customFormat="false" ht="15.75" hidden="false" customHeight="false" outlineLevel="0" collapsed="false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 customFormat="false" ht="15.75" hidden="false" customHeight="false" outlineLevel="0" collapsed="false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 customFormat="false" ht="15.75" hidden="false" customHeight="false" outlineLevel="0" collapsed="false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 customFormat="false" ht="15.75" hidden="false" customHeight="false" outlineLevel="0" collapsed="false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 customFormat="false" ht="15.75" hidden="false" customHeight="false" outlineLevel="0" collapsed="false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 customFormat="false" ht="15.75" hidden="false" customHeight="false" outlineLevel="0" collapsed="false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 customFormat="false" ht="15.75" hidden="false" customHeight="false" outlineLevel="0" collapsed="false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 customFormat="false" ht="15.75" hidden="false" customHeight="false" outlineLevel="0" collapsed="false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 customFormat="false" ht="15.75" hidden="false" customHeight="false" outlineLevel="0" collapsed="false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 customFormat="false" ht="15.75" hidden="false" customHeight="false" outlineLevel="0" collapsed="false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 customFormat="false" ht="15.75" hidden="false" customHeight="false" outlineLevel="0" collapsed="false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 customFormat="false" ht="15.75" hidden="false" customHeight="false" outlineLevel="0" collapsed="false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 customFormat="false" ht="15.75" hidden="false" customHeight="false" outlineLevel="0" collapsed="false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 customFormat="false" ht="15.75" hidden="false" customHeight="false" outlineLevel="0" collapsed="false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 customFormat="false" ht="15.75" hidden="false" customHeight="false" outlineLevel="0" collapsed="false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 customFormat="false" ht="15.75" hidden="false" customHeight="false" outlineLevel="0" collapsed="false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 customFormat="false" ht="15.75" hidden="false" customHeight="false" outlineLevel="0" collapsed="false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 customFormat="false" ht="15.75" hidden="false" customHeight="false" outlineLevel="0" collapsed="false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 customFormat="false" ht="15.75" hidden="false" customHeight="false" outlineLevel="0" collapsed="false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 customFormat="false" ht="15.75" hidden="false" customHeight="false" outlineLevel="0" collapsed="false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 customFormat="false" ht="15.75" hidden="false" customHeight="false" outlineLevel="0" collapsed="false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 customFormat="false" ht="15.75" hidden="false" customHeight="false" outlineLevel="0" collapsed="false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 customFormat="false" ht="15.75" hidden="false" customHeight="false" outlineLevel="0" collapsed="false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 customFormat="false" ht="15.75" hidden="false" customHeight="false" outlineLevel="0" collapsed="false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 customFormat="false" ht="15.75" hidden="false" customHeight="false" outlineLevel="0" collapsed="false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 customFormat="false" ht="15.75" hidden="false" customHeight="false" outlineLevel="0" collapsed="false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 customFormat="false" ht="15.75" hidden="false" customHeight="false" outlineLevel="0" collapsed="false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 customFormat="false" ht="15.75" hidden="false" customHeight="false" outlineLevel="0" collapsed="false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 customFormat="false" ht="15.75" hidden="false" customHeight="false" outlineLevel="0" collapsed="false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 customFormat="false" ht="15.75" hidden="false" customHeight="false" outlineLevel="0" collapsed="false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 customFormat="false" ht="15.75" hidden="false" customHeight="false" outlineLevel="0" collapsed="false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 customFormat="false" ht="15.75" hidden="false" customHeight="false" outlineLevel="0" collapsed="false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 customFormat="false" ht="15.75" hidden="false" customHeight="false" outlineLevel="0" collapsed="false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 customFormat="false" ht="15.75" hidden="false" customHeight="false" outlineLevel="0" collapsed="false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 customFormat="false" ht="15.75" hidden="false" customHeight="false" outlineLevel="0" collapsed="false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 customFormat="false" ht="15.75" hidden="false" customHeight="false" outlineLevel="0" collapsed="false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 customFormat="false" ht="15.75" hidden="false" customHeight="false" outlineLevel="0" collapsed="false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 customFormat="false" ht="15.75" hidden="false" customHeight="false" outlineLevel="0" collapsed="false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 customFormat="false" ht="15.75" hidden="false" customHeight="false" outlineLevel="0" collapsed="false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 customFormat="false" ht="15.75" hidden="false" customHeight="false" outlineLevel="0" collapsed="false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 customFormat="false" ht="15.75" hidden="false" customHeight="false" outlineLevel="0" collapsed="false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 customFormat="false" ht="15.75" hidden="false" customHeight="false" outlineLevel="0" collapsed="false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 customFormat="false" ht="15.75" hidden="false" customHeight="false" outlineLevel="0" collapsed="false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 customFormat="false" ht="15.75" hidden="false" customHeight="false" outlineLevel="0" collapsed="false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 customFormat="false" ht="15.75" hidden="false" customHeight="false" outlineLevel="0" collapsed="false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 customFormat="false" ht="15.75" hidden="false" customHeight="false" outlineLevel="0" collapsed="false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 customFormat="false" ht="15.75" hidden="false" customHeight="false" outlineLevel="0" collapsed="false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 customFormat="false" ht="15.75" hidden="false" customHeight="false" outlineLevel="0" collapsed="false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 customFormat="false" ht="15.75" hidden="false" customHeight="false" outlineLevel="0" collapsed="false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 customFormat="false" ht="15.75" hidden="false" customHeight="false" outlineLevel="0" collapsed="false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 customFormat="false" ht="15.75" hidden="false" customHeight="false" outlineLevel="0" collapsed="false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 customFormat="false" ht="15.75" hidden="false" customHeight="false" outlineLevel="0" collapsed="false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 customFormat="false" ht="15.75" hidden="false" customHeight="false" outlineLevel="0" collapsed="false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 customFormat="false" ht="15.75" hidden="false" customHeight="false" outlineLevel="0" collapsed="false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 customFormat="false" ht="15.75" hidden="false" customHeight="false" outlineLevel="0" collapsed="false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 customFormat="false" ht="15.75" hidden="false" customHeight="false" outlineLevel="0" collapsed="false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 customFormat="false" ht="15.75" hidden="false" customHeight="false" outlineLevel="0" collapsed="false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 customFormat="false" ht="15.75" hidden="false" customHeight="false" outlineLevel="0" collapsed="false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 customFormat="false" ht="15.75" hidden="false" customHeight="false" outlineLevel="0" collapsed="false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 customFormat="false" ht="15.75" hidden="false" customHeight="false" outlineLevel="0" collapsed="false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 customFormat="false" ht="15.75" hidden="false" customHeight="false" outlineLevel="0" collapsed="false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 customFormat="false" ht="15.75" hidden="false" customHeight="false" outlineLevel="0" collapsed="false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 customFormat="false" ht="15.75" hidden="false" customHeight="false" outlineLevel="0" collapsed="false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 customFormat="false" ht="15.75" hidden="false" customHeight="false" outlineLevel="0" collapsed="false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 customFormat="false" ht="15.75" hidden="false" customHeight="false" outlineLevel="0" collapsed="false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 customFormat="false" ht="15.75" hidden="false" customHeight="false" outlineLevel="0" collapsed="false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 customFormat="false" ht="15.75" hidden="false" customHeight="false" outlineLevel="0" collapsed="false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 customFormat="false" ht="15.75" hidden="false" customHeight="false" outlineLevel="0" collapsed="false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 customFormat="false" ht="15.75" hidden="false" customHeight="false" outlineLevel="0" collapsed="false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 customFormat="false" ht="15.75" hidden="false" customHeight="false" outlineLevel="0" collapsed="false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 customFormat="false" ht="15.75" hidden="false" customHeight="false" outlineLevel="0" collapsed="false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 customFormat="false" ht="15.75" hidden="false" customHeight="false" outlineLevel="0" collapsed="false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 customFormat="false" ht="15.75" hidden="false" customHeight="false" outlineLevel="0" collapsed="false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 customFormat="false" ht="15.75" hidden="false" customHeight="false" outlineLevel="0" collapsed="false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 customFormat="false" ht="15.75" hidden="false" customHeight="false" outlineLevel="0" collapsed="false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 customFormat="false" ht="15.75" hidden="false" customHeight="false" outlineLevel="0" collapsed="false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 customFormat="false" ht="15.75" hidden="false" customHeight="false" outlineLevel="0" collapsed="false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 customFormat="false" ht="15.75" hidden="false" customHeight="false" outlineLevel="0" collapsed="false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 customFormat="false" ht="15.75" hidden="false" customHeight="false" outlineLevel="0" collapsed="false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 customFormat="false" ht="15.75" hidden="false" customHeight="false" outlineLevel="0" collapsed="false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 customFormat="false" ht="15.75" hidden="false" customHeight="false" outlineLevel="0" collapsed="false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 customFormat="false" ht="15.75" hidden="false" customHeight="false" outlineLevel="0" collapsed="false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 customFormat="false" ht="15.75" hidden="false" customHeight="false" outlineLevel="0" collapsed="false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 customFormat="false" ht="15.75" hidden="false" customHeight="false" outlineLevel="0" collapsed="false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 customFormat="false" ht="15.75" hidden="false" customHeight="false" outlineLevel="0" collapsed="false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 customFormat="false" ht="15.75" hidden="false" customHeight="false" outlineLevel="0" collapsed="false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 customFormat="false" ht="15.75" hidden="false" customHeight="false" outlineLevel="0" collapsed="false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 customFormat="false" ht="15.75" hidden="false" customHeight="false" outlineLevel="0" collapsed="false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 customFormat="false" ht="15.75" hidden="false" customHeight="false" outlineLevel="0" collapsed="false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 customFormat="false" ht="15.75" hidden="false" customHeight="false" outlineLevel="0" collapsed="false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 customFormat="false" ht="15.75" hidden="false" customHeight="false" outlineLevel="0" collapsed="false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 customFormat="false" ht="15.75" hidden="false" customHeight="false" outlineLevel="0" collapsed="false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 customFormat="false" ht="15.75" hidden="false" customHeight="false" outlineLevel="0" collapsed="false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 customFormat="false" ht="15.75" hidden="false" customHeight="false" outlineLevel="0" collapsed="false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 customFormat="false" ht="15.75" hidden="false" customHeight="false" outlineLevel="0" collapsed="false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 customFormat="false" ht="15.75" hidden="false" customHeight="false" outlineLevel="0" collapsed="false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 customFormat="false" ht="15.75" hidden="false" customHeight="false" outlineLevel="0" collapsed="false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 customFormat="false" ht="15.75" hidden="false" customHeight="false" outlineLevel="0" collapsed="false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 customFormat="false" ht="15.75" hidden="false" customHeight="false" outlineLevel="0" collapsed="false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 customFormat="false" ht="15.75" hidden="false" customHeight="false" outlineLevel="0" collapsed="false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 customFormat="false" ht="15.75" hidden="false" customHeight="false" outlineLevel="0" collapsed="false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 customFormat="false" ht="15.75" hidden="false" customHeight="false" outlineLevel="0" collapsed="false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 customFormat="false" ht="15.75" hidden="false" customHeight="false" outlineLevel="0" collapsed="false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 customFormat="false" ht="15.75" hidden="false" customHeight="false" outlineLevel="0" collapsed="false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 customFormat="false" ht="15.75" hidden="false" customHeight="false" outlineLevel="0" collapsed="false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 customFormat="false" ht="15.75" hidden="false" customHeight="false" outlineLevel="0" collapsed="false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 customFormat="false" ht="15.75" hidden="false" customHeight="false" outlineLevel="0" collapsed="false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 customFormat="false" ht="15.75" hidden="false" customHeight="false" outlineLevel="0" collapsed="false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 customFormat="false" ht="15.75" hidden="false" customHeight="false" outlineLevel="0" collapsed="false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 customFormat="false" ht="15.75" hidden="false" customHeight="false" outlineLevel="0" collapsed="false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 customFormat="false" ht="15.75" hidden="false" customHeight="false" outlineLevel="0" collapsed="false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 customFormat="false" ht="15.75" hidden="false" customHeight="false" outlineLevel="0" collapsed="false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 customFormat="false" ht="15.75" hidden="false" customHeight="false" outlineLevel="0" collapsed="false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 customFormat="false" ht="15.75" hidden="false" customHeight="false" outlineLevel="0" collapsed="false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 customFormat="false" ht="15.75" hidden="false" customHeight="false" outlineLevel="0" collapsed="false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 customFormat="false" ht="15.75" hidden="false" customHeight="false" outlineLevel="0" collapsed="false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 customFormat="false" ht="15.75" hidden="false" customHeight="false" outlineLevel="0" collapsed="false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 customFormat="false" ht="15.75" hidden="false" customHeight="false" outlineLevel="0" collapsed="false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 customFormat="false" ht="15.75" hidden="false" customHeight="false" outlineLevel="0" collapsed="false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 customFormat="false" ht="15.75" hidden="false" customHeight="false" outlineLevel="0" collapsed="false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 customFormat="false" ht="15.75" hidden="false" customHeight="false" outlineLevel="0" collapsed="false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 customFormat="false" ht="15.75" hidden="false" customHeight="false" outlineLevel="0" collapsed="false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 customFormat="false" ht="15.75" hidden="false" customHeight="false" outlineLevel="0" collapsed="false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 customFormat="false" ht="15.75" hidden="false" customHeight="false" outlineLevel="0" collapsed="false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 customFormat="false" ht="15.75" hidden="false" customHeight="false" outlineLevel="0" collapsed="false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 customFormat="false" ht="15.75" hidden="false" customHeight="false" outlineLevel="0" collapsed="false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 customFormat="false" ht="15.75" hidden="false" customHeight="false" outlineLevel="0" collapsed="false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 customFormat="false" ht="15.75" hidden="false" customHeight="false" outlineLevel="0" collapsed="false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 customFormat="false" ht="15.75" hidden="false" customHeight="false" outlineLevel="0" collapsed="false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 customFormat="false" ht="15.75" hidden="false" customHeight="false" outlineLevel="0" collapsed="false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 customFormat="false" ht="15.75" hidden="false" customHeight="false" outlineLevel="0" collapsed="false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 customFormat="false" ht="15.75" hidden="false" customHeight="false" outlineLevel="0" collapsed="false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 customFormat="false" ht="15.75" hidden="false" customHeight="false" outlineLevel="0" collapsed="false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 customFormat="false" ht="15.75" hidden="false" customHeight="false" outlineLevel="0" collapsed="false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 customFormat="false" ht="15.75" hidden="false" customHeight="false" outlineLevel="0" collapsed="false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 customFormat="false" ht="15.75" hidden="false" customHeight="false" outlineLevel="0" collapsed="false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 customFormat="false" ht="15.75" hidden="false" customHeight="false" outlineLevel="0" collapsed="false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 customFormat="false" ht="15.75" hidden="false" customHeight="false" outlineLevel="0" collapsed="false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 customFormat="false" ht="15.75" hidden="false" customHeight="false" outlineLevel="0" collapsed="false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 customFormat="false" ht="15.75" hidden="false" customHeight="false" outlineLevel="0" collapsed="false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 customFormat="false" ht="15.75" hidden="false" customHeight="false" outlineLevel="0" collapsed="false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 customFormat="false" ht="15.75" hidden="false" customHeight="false" outlineLevel="0" collapsed="false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 customFormat="false" ht="15.75" hidden="false" customHeight="false" outlineLevel="0" collapsed="false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 customFormat="false" ht="15.75" hidden="false" customHeight="false" outlineLevel="0" collapsed="false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 customFormat="false" ht="15.75" hidden="false" customHeight="false" outlineLevel="0" collapsed="false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 customFormat="false" ht="15.75" hidden="false" customHeight="false" outlineLevel="0" collapsed="false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 customFormat="false" ht="15.75" hidden="false" customHeight="false" outlineLevel="0" collapsed="false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 customFormat="false" ht="15.75" hidden="false" customHeight="false" outlineLevel="0" collapsed="false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 customFormat="false" ht="15.75" hidden="false" customHeight="false" outlineLevel="0" collapsed="false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 customFormat="false" ht="15.75" hidden="false" customHeight="false" outlineLevel="0" collapsed="false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 customFormat="false" ht="15.75" hidden="false" customHeight="false" outlineLevel="0" collapsed="false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 customFormat="false" ht="15.75" hidden="false" customHeight="false" outlineLevel="0" collapsed="false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 customFormat="false" ht="15.75" hidden="false" customHeight="false" outlineLevel="0" collapsed="false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 customFormat="false" ht="15.75" hidden="false" customHeight="false" outlineLevel="0" collapsed="false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 customFormat="false" ht="15.75" hidden="false" customHeight="false" outlineLevel="0" collapsed="false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 customFormat="false" ht="15.75" hidden="false" customHeight="false" outlineLevel="0" collapsed="false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 customFormat="false" ht="15.75" hidden="false" customHeight="false" outlineLevel="0" collapsed="false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 customFormat="false" ht="15.75" hidden="false" customHeight="false" outlineLevel="0" collapsed="false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 customFormat="false" ht="15.75" hidden="false" customHeight="false" outlineLevel="0" collapsed="false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 customFormat="false" ht="15.75" hidden="false" customHeight="false" outlineLevel="0" collapsed="false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 customFormat="false" ht="15.75" hidden="false" customHeight="false" outlineLevel="0" collapsed="false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 customFormat="false" ht="15.75" hidden="false" customHeight="false" outlineLevel="0" collapsed="false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 customFormat="false" ht="15.75" hidden="false" customHeight="false" outlineLevel="0" collapsed="false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 customFormat="false" ht="15.75" hidden="false" customHeight="false" outlineLevel="0" collapsed="false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 customFormat="false" ht="15.75" hidden="false" customHeight="false" outlineLevel="0" collapsed="false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 customFormat="false" ht="15.75" hidden="false" customHeight="false" outlineLevel="0" collapsed="false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 customFormat="false" ht="15.75" hidden="false" customHeight="false" outlineLevel="0" collapsed="false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 customFormat="false" ht="15.75" hidden="false" customHeight="false" outlineLevel="0" collapsed="false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 customFormat="false" ht="15.75" hidden="false" customHeight="false" outlineLevel="0" collapsed="false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 customFormat="false" ht="15.75" hidden="false" customHeight="false" outlineLevel="0" collapsed="false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 customFormat="false" ht="15.75" hidden="false" customHeight="false" outlineLevel="0" collapsed="false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 customFormat="false" ht="15.75" hidden="false" customHeight="false" outlineLevel="0" collapsed="false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 customFormat="false" ht="15.75" hidden="false" customHeight="false" outlineLevel="0" collapsed="false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 customFormat="false" ht="15.75" hidden="false" customHeight="false" outlineLevel="0" collapsed="false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 customFormat="false" ht="15.75" hidden="false" customHeight="false" outlineLevel="0" collapsed="false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 customFormat="false" ht="15.75" hidden="false" customHeight="false" outlineLevel="0" collapsed="false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 customFormat="false" ht="15.75" hidden="false" customHeight="false" outlineLevel="0" collapsed="false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 customFormat="false" ht="15.75" hidden="false" customHeight="false" outlineLevel="0" collapsed="false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 customFormat="false" ht="15.75" hidden="false" customHeight="false" outlineLevel="0" collapsed="false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 customFormat="false" ht="15.75" hidden="false" customHeight="false" outlineLevel="0" collapsed="false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 customFormat="false" ht="15.75" hidden="false" customHeight="false" outlineLevel="0" collapsed="false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 customFormat="false" ht="15.75" hidden="false" customHeight="false" outlineLevel="0" collapsed="false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 customFormat="false" ht="15.75" hidden="false" customHeight="false" outlineLevel="0" collapsed="false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 customFormat="false" ht="15.75" hidden="false" customHeight="false" outlineLevel="0" collapsed="false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 customFormat="false" ht="15.75" hidden="false" customHeight="false" outlineLevel="0" collapsed="false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 customFormat="false" ht="15.75" hidden="false" customHeight="false" outlineLevel="0" collapsed="false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 customFormat="false" ht="15.75" hidden="false" customHeight="false" outlineLevel="0" collapsed="false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 customFormat="false" ht="15.75" hidden="false" customHeight="false" outlineLevel="0" collapsed="false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 customFormat="false" ht="15.75" hidden="false" customHeight="false" outlineLevel="0" collapsed="false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 customFormat="false" ht="15.75" hidden="false" customHeight="false" outlineLevel="0" collapsed="false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 customFormat="false" ht="15.75" hidden="false" customHeight="false" outlineLevel="0" collapsed="false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 customFormat="false" ht="15.75" hidden="false" customHeight="false" outlineLevel="0" collapsed="false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 customFormat="false" ht="15.75" hidden="false" customHeight="false" outlineLevel="0" collapsed="false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 customFormat="false" ht="15.75" hidden="false" customHeight="false" outlineLevel="0" collapsed="false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 customFormat="false" ht="15.75" hidden="false" customHeight="false" outlineLevel="0" collapsed="false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 customFormat="false" ht="15.75" hidden="false" customHeight="false" outlineLevel="0" collapsed="false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 customFormat="false" ht="15.75" hidden="false" customHeight="false" outlineLevel="0" collapsed="false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 customFormat="false" ht="15.75" hidden="false" customHeight="false" outlineLevel="0" collapsed="false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 customFormat="false" ht="15.75" hidden="false" customHeight="false" outlineLevel="0" collapsed="false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 customFormat="false" ht="15.75" hidden="false" customHeight="false" outlineLevel="0" collapsed="false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 customFormat="false" ht="15.75" hidden="false" customHeight="false" outlineLevel="0" collapsed="false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 customFormat="false" ht="15.75" hidden="false" customHeight="false" outlineLevel="0" collapsed="false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 customFormat="false" ht="15.75" hidden="false" customHeight="false" outlineLevel="0" collapsed="false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 customFormat="false" ht="15.75" hidden="false" customHeight="false" outlineLevel="0" collapsed="false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 customFormat="false" ht="15.75" hidden="false" customHeight="false" outlineLevel="0" collapsed="false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 customFormat="false" ht="15.75" hidden="false" customHeight="false" outlineLevel="0" collapsed="false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 customFormat="false" ht="15.75" hidden="false" customHeight="false" outlineLevel="0" collapsed="false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 customFormat="false" ht="15.75" hidden="false" customHeight="false" outlineLevel="0" collapsed="false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 customFormat="false" ht="15.75" hidden="false" customHeight="false" outlineLevel="0" collapsed="false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 customFormat="false" ht="15.75" hidden="false" customHeight="false" outlineLevel="0" collapsed="false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 customFormat="false" ht="15.75" hidden="false" customHeight="false" outlineLevel="0" collapsed="false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 customFormat="false" ht="15.75" hidden="false" customHeight="false" outlineLevel="0" collapsed="false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 customFormat="false" ht="15.75" hidden="false" customHeight="false" outlineLevel="0" collapsed="false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 customFormat="false" ht="15.75" hidden="false" customHeight="false" outlineLevel="0" collapsed="false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 customFormat="false" ht="15.75" hidden="false" customHeight="false" outlineLevel="0" collapsed="false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 customFormat="false" ht="15.75" hidden="false" customHeight="false" outlineLevel="0" collapsed="false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 customFormat="false" ht="15.75" hidden="false" customHeight="false" outlineLevel="0" collapsed="false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 customFormat="false" ht="15.75" hidden="false" customHeight="false" outlineLevel="0" collapsed="false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 customFormat="false" ht="15.75" hidden="false" customHeight="false" outlineLevel="0" collapsed="false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 customFormat="false" ht="15.75" hidden="false" customHeight="false" outlineLevel="0" collapsed="false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 customFormat="false" ht="15.75" hidden="false" customHeight="false" outlineLevel="0" collapsed="false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 customFormat="false" ht="15.75" hidden="false" customHeight="false" outlineLevel="0" collapsed="false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 customFormat="false" ht="15.75" hidden="false" customHeight="false" outlineLevel="0" collapsed="false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 customFormat="false" ht="15.75" hidden="false" customHeight="false" outlineLevel="0" collapsed="false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 customFormat="false" ht="15.75" hidden="false" customHeight="false" outlineLevel="0" collapsed="false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 customFormat="false" ht="15.75" hidden="false" customHeight="false" outlineLevel="0" collapsed="false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 customFormat="false" ht="15.75" hidden="false" customHeight="false" outlineLevel="0" collapsed="false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 customFormat="false" ht="15.75" hidden="false" customHeight="false" outlineLevel="0" collapsed="false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 customFormat="false" ht="15.75" hidden="false" customHeight="false" outlineLevel="0" collapsed="false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 customFormat="false" ht="15.75" hidden="false" customHeight="false" outlineLevel="0" collapsed="false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 customFormat="false" ht="15.75" hidden="false" customHeight="false" outlineLevel="0" collapsed="false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 customFormat="false" ht="15.75" hidden="false" customHeight="false" outlineLevel="0" collapsed="false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 customFormat="false" ht="15.75" hidden="false" customHeight="false" outlineLevel="0" collapsed="false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 customFormat="false" ht="15.75" hidden="false" customHeight="false" outlineLevel="0" collapsed="false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 customFormat="false" ht="15.75" hidden="false" customHeight="false" outlineLevel="0" collapsed="false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 customFormat="false" ht="15.75" hidden="false" customHeight="false" outlineLevel="0" collapsed="false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 customFormat="false" ht="15.75" hidden="false" customHeight="false" outlineLevel="0" collapsed="false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 customFormat="false" ht="15.75" hidden="false" customHeight="false" outlineLevel="0" collapsed="false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 customFormat="false" ht="15.75" hidden="false" customHeight="false" outlineLevel="0" collapsed="false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 customFormat="false" ht="15.75" hidden="false" customHeight="false" outlineLevel="0" collapsed="false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 customFormat="false" ht="15.75" hidden="false" customHeight="false" outlineLevel="0" collapsed="false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 customFormat="false" ht="15.75" hidden="false" customHeight="false" outlineLevel="0" collapsed="false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 customFormat="false" ht="15.75" hidden="false" customHeight="false" outlineLevel="0" collapsed="false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 customFormat="false" ht="15.75" hidden="false" customHeight="false" outlineLevel="0" collapsed="false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 customFormat="false" ht="15.75" hidden="false" customHeight="false" outlineLevel="0" collapsed="false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 customFormat="false" ht="15.75" hidden="false" customHeight="false" outlineLevel="0" collapsed="false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 customFormat="false" ht="15.75" hidden="false" customHeight="false" outlineLevel="0" collapsed="false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 customFormat="false" ht="15.75" hidden="false" customHeight="false" outlineLevel="0" collapsed="false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 customFormat="false" ht="15.75" hidden="false" customHeight="false" outlineLevel="0" collapsed="false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 customFormat="false" ht="15.75" hidden="false" customHeight="false" outlineLevel="0" collapsed="false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 customFormat="false" ht="15.75" hidden="false" customHeight="false" outlineLevel="0" collapsed="false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 customFormat="false" ht="15.75" hidden="false" customHeight="false" outlineLevel="0" collapsed="false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 customFormat="false" ht="15.75" hidden="false" customHeight="false" outlineLevel="0" collapsed="false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 customFormat="false" ht="15.75" hidden="false" customHeight="false" outlineLevel="0" collapsed="false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 customFormat="false" ht="15.75" hidden="false" customHeight="false" outlineLevel="0" collapsed="false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 customFormat="false" ht="15.75" hidden="false" customHeight="false" outlineLevel="0" collapsed="false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 customFormat="false" ht="15.75" hidden="false" customHeight="false" outlineLevel="0" collapsed="false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 customFormat="false" ht="15.75" hidden="false" customHeight="false" outlineLevel="0" collapsed="false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 customFormat="false" ht="15.75" hidden="false" customHeight="false" outlineLevel="0" collapsed="false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 customFormat="false" ht="15.75" hidden="false" customHeight="false" outlineLevel="0" collapsed="false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 customFormat="false" ht="15.75" hidden="false" customHeight="false" outlineLevel="0" collapsed="false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 customFormat="false" ht="15.75" hidden="false" customHeight="false" outlineLevel="0" collapsed="false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 customFormat="false" ht="15.75" hidden="false" customHeight="false" outlineLevel="0" collapsed="false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 customFormat="false" ht="15.75" hidden="false" customHeight="false" outlineLevel="0" collapsed="false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 customFormat="false" ht="15.75" hidden="false" customHeight="false" outlineLevel="0" collapsed="false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 customFormat="false" ht="15.75" hidden="false" customHeight="false" outlineLevel="0" collapsed="false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 customFormat="false" ht="15.75" hidden="false" customHeight="false" outlineLevel="0" collapsed="false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 customFormat="false" ht="15.75" hidden="false" customHeight="false" outlineLevel="0" collapsed="false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 customFormat="false" ht="15.75" hidden="false" customHeight="false" outlineLevel="0" collapsed="false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 customFormat="false" ht="15.75" hidden="false" customHeight="false" outlineLevel="0" collapsed="false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 customFormat="false" ht="15.75" hidden="false" customHeight="false" outlineLevel="0" collapsed="false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 customFormat="false" ht="15.75" hidden="false" customHeight="false" outlineLevel="0" collapsed="false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 customFormat="false" ht="15.75" hidden="false" customHeight="false" outlineLevel="0" collapsed="false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 customFormat="false" ht="15.75" hidden="false" customHeight="false" outlineLevel="0" collapsed="false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 customFormat="false" ht="15.75" hidden="false" customHeight="false" outlineLevel="0" collapsed="false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 customFormat="false" ht="15.75" hidden="false" customHeight="false" outlineLevel="0" collapsed="false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 customFormat="false" ht="15.75" hidden="false" customHeight="false" outlineLevel="0" collapsed="false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 customFormat="false" ht="15.75" hidden="false" customHeight="false" outlineLevel="0" collapsed="false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 customFormat="false" ht="15.75" hidden="false" customHeight="false" outlineLevel="0" collapsed="false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 customFormat="false" ht="15.75" hidden="false" customHeight="false" outlineLevel="0" collapsed="false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 customFormat="false" ht="15.75" hidden="false" customHeight="false" outlineLevel="0" collapsed="false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 customFormat="false" ht="15.75" hidden="false" customHeight="false" outlineLevel="0" collapsed="false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 customFormat="false" ht="15.75" hidden="false" customHeight="false" outlineLevel="0" collapsed="false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 customFormat="false" ht="15.75" hidden="false" customHeight="false" outlineLevel="0" collapsed="false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 customFormat="false" ht="15.75" hidden="false" customHeight="false" outlineLevel="0" collapsed="false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 customFormat="false" ht="15.75" hidden="false" customHeight="false" outlineLevel="0" collapsed="false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 customFormat="false" ht="15.75" hidden="false" customHeight="false" outlineLevel="0" collapsed="false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 customFormat="false" ht="15.75" hidden="false" customHeight="false" outlineLevel="0" collapsed="false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 customFormat="false" ht="15.75" hidden="false" customHeight="false" outlineLevel="0" collapsed="false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 customFormat="false" ht="15.75" hidden="false" customHeight="false" outlineLevel="0" collapsed="false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 customFormat="false" ht="15.75" hidden="false" customHeight="false" outlineLevel="0" collapsed="false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 customFormat="false" ht="15.75" hidden="false" customHeight="false" outlineLevel="0" collapsed="false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 customFormat="false" ht="15.75" hidden="false" customHeight="false" outlineLevel="0" collapsed="false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 customFormat="false" ht="15.75" hidden="false" customHeight="false" outlineLevel="0" collapsed="false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 customFormat="false" ht="15.75" hidden="false" customHeight="false" outlineLevel="0" collapsed="false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 customFormat="false" ht="15.75" hidden="false" customHeight="false" outlineLevel="0" collapsed="false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 customFormat="false" ht="15.75" hidden="false" customHeight="false" outlineLevel="0" collapsed="false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 customFormat="false" ht="15.75" hidden="false" customHeight="false" outlineLevel="0" collapsed="false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 customFormat="false" ht="15.75" hidden="false" customHeight="false" outlineLevel="0" collapsed="false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 customFormat="false" ht="15.75" hidden="false" customHeight="false" outlineLevel="0" collapsed="false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 customFormat="false" ht="15.75" hidden="false" customHeight="false" outlineLevel="0" collapsed="false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 customFormat="false" ht="15.75" hidden="false" customHeight="false" outlineLevel="0" collapsed="false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 customFormat="false" ht="15.75" hidden="false" customHeight="false" outlineLevel="0" collapsed="false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 customFormat="false" ht="15.75" hidden="false" customHeight="false" outlineLevel="0" collapsed="false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 customFormat="false" ht="15.75" hidden="false" customHeight="false" outlineLevel="0" collapsed="false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 customFormat="false" ht="15.75" hidden="false" customHeight="false" outlineLevel="0" collapsed="false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 customFormat="false" ht="15.75" hidden="false" customHeight="false" outlineLevel="0" collapsed="false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 customFormat="false" ht="15.75" hidden="false" customHeight="false" outlineLevel="0" collapsed="false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 customFormat="false" ht="15.75" hidden="false" customHeight="false" outlineLevel="0" collapsed="false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 customFormat="false" ht="15.75" hidden="false" customHeight="false" outlineLevel="0" collapsed="false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 customFormat="false" ht="15.75" hidden="false" customHeight="false" outlineLevel="0" collapsed="false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 customFormat="false" ht="15.75" hidden="false" customHeight="false" outlineLevel="0" collapsed="false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 customFormat="false" ht="15.75" hidden="false" customHeight="false" outlineLevel="0" collapsed="false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 customFormat="false" ht="15.75" hidden="false" customHeight="false" outlineLevel="0" collapsed="false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 customFormat="false" ht="15.75" hidden="false" customHeight="false" outlineLevel="0" collapsed="false">
      <c r="A998" s="184"/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  <row r="999" customFormat="false" ht="15.75" hidden="false" customHeight="false" outlineLevel="0" collapsed="false">
      <c r="A999" s="184"/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</row>
    <row r="1000" customFormat="false" ht="15.75" hidden="false" customHeight="false" outlineLevel="0" collapsed="false">
      <c r="A1000" s="184"/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9:H9 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7" t="s">
        <v>33</v>
      </c>
      <c r="B1" s="7" t="s">
        <v>32</v>
      </c>
      <c r="C1" s="7" t="s">
        <v>35</v>
      </c>
      <c r="D1" s="7" t="s">
        <v>29</v>
      </c>
      <c r="E1" s="7" t="s">
        <v>72</v>
      </c>
      <c r="F1" s="7" t="s">
        <v>34</v>
      </c>
      <c r="G1" s="7" t="s">
        <v>36</v>
      </c>
      <c r="H1" s="7" t="s">
        <v>31</v>
      </c>
      <c r="I1" s="7" t="s">
        <v>30</v>
      </c>
    </row>
    <row r="2" customFormat="false" ht="15.75" hidden="false" customHeight="false" outlineLevel="0" collapsed="false">
      <c r="A2" s="7" t="str">
        <f aca="false">Scoring!DA9</f>
        <v/>
      </c>
      <c r="B2" s="7" t="str">
        <f aca="false">Scoring!CZ9</f>
        <v/>
      </c>
      <c r="C2" s="7" t="n">
        <f aca="false">Scoring!C9</f>
        <v>0</v>
      </c>
      <c r="D2" s="191" t="str">
        <f aca="false">Scoring!CW9</f>
        <v/>
      </c>
      <c r="E2" s="7" t="str">
        <f aca="false">Scoring!BX9</f>
        <v/>
      </c>
      <c r="F2" s="7" t="n">
        <f aca="false">Scoring!B9</f>
        <v>0</v>
      </c>
      <c r="G2" s="7" t="n">
        <f aca="false">Scoring!D9</f>
        <v>0</v>
      </c>
      <c r="H2" s="7" t="str">
        <f aca="false">Scoring!CY9</f>
        <v/>
      </c>
      <c r="I2" s="192" t="str">
        <f aca="false">Scoring!CX9</f>
        <v/>
      </c>
    </row>
    <row r="3" customFormat="false" ht="15.75" hidden="false" customHeight="false" outlineLevel="0" collapsed="false">
      <c r="A3" s="7" t="str">
        <f aca="false">Scoring!DA10</f>
        <v/>
      </c>
      <c r="B3" s="7" t="str">
        <f aca="false">Scoring!CZ10</f>
        <v/>
      </c>
      <c r="C3" s="7" t="n">
        <f aca="false">Scoring!C10</f>
        <v>0</v>
      </c>
      <c r="D3" s="191" t="str">
        <f aca="false">Scoring!CW10</f>
        <v/>
      </c>
      <c r="E3" s="7" t="str">
        <f aca="false">Scoring!BX10</f>
        <v/>
      </c>
      <c r="F3" s="7" t="n">
        <f aca="false">Scoring!B10</f>
        <v>0</v>
      </c>
      <c r="G3" s="7" t="n">
        <f aca="false">Scoring!D10</f>
        <v>0</v>
      </c>
      <c r="H3" s="7" t="str">
        <f aca="false">Scoring!CY10</f>
        <v/>
      </c>
      <c r="I3" s="192" t="str">
        <f aca="false">Scoring!CX10</f>
        <v/>
      </c>
    </row>
    <row r="4" customFormat="false" ht="15.75" hidden="false" customHeight="false" outlineLevel="0" collapsed="false">
      <c r="A4" s="7" t="str">
        <f aca="false">Scoring!DA11</f>
        <v/>
      </c>
      <c r="B4" s="7" t="str">
        <f aca="false">Scoring!CZ11</f>
        <v/>
      </c>
      <c r="C4" s="7" t="n">
        <f aca="false">Scoring!C11</f>
        <v>0</v>
      </c>
      <c r="D4" s="191" t="str">
        <f aca="false">Scoring!CW11</f>
        <v/>
      </c>
      <c r="E4" s="7" t="str">
        <f aca="false">Scoring!BX11</f>
        <v/>
      </c>
      <c r="F4" s="7" t="n">
        <f aca="false">Scoring!B11</f>
        <v>0</v>
      </c>
      <c r="G4" s="7" t="n">
        <f aca="false">Scoring!D11</f>
        <v>0</v>
      </c>
      <c r="H4" s="7" t="str">
        <f aca="false">Scoring!CY11</f>
        <v/>
      </c>
      <c r="I4" s="192" t="str">
        <f aca="false">Scoring!CX11</f>
        <v/>
      </c>
    </row>
    <row r="5" customFormat="false" ht="15.75" hidden="false" customHeight="false" outlineLevel="0" collapsed="false">
      <c r="A5" s="7" t="str">
        <f aca="false">Scoring!DA12</f>
        <v/>
      </c>
      <c r="B5" s="7" t="str">
        <f aca="false">Scoring!CZ12</f>
        <v/>
      </c>
      <c r="C5" s="7" t="n">
        <f aca="false">Scoring!C12</f>
        <v>0</v>
      </c>
      <c r="D5" s="191" t="str">
        <f aca="false">Scoring!CW12</f>
        <v/>
      </c>
      <c r="E5" s="7" t="str">
        <f aca="false">Scoring!BX12</f>
        <v/>
      </c>
      <c r="F5" s="7" t="n">
        <f aca="false">Scoring!B12</f>
        <v>0</v>
      </c>
      <c r="G5" s="7" t="n">
        <f aca="false">Scoring!D12</f>
        <v>0</v>
      </c>
      <c r="H5" s="7" t="str">
        <f aca="false">Scoring!CY12</f>
        <v/>
      </c>
      <c r="I5" s="192" t="str">
        <f aca="false">Scoring!CX12</f>
        <v/>
      </c>
    </row>
    <row r="6" customFormat="false" ht="15.75" hidden="false" customHeight="false" outlineLevel="0" collapsed="false">
      <c r="A6" s="7" t="str">
        <f aca="false">Scoring!DA13</f>
        <v/>
      </c>
      <c r="B6" s="7" t="str">
        <f aca="false">Scoring!CZ13</f>
        <v/>
      </c>
      <c r="C6" s="7" t="n">
        <f aca="false">Scoring!C13</f>
        <v>0</v>
      </c>
      <c r="D6" s="191" t="str">
        <f aca="false">Scoring!CW13</f>
        <v/>
      </c>
      <c r="E6" s="7" t="str">
        <f aca="false">Scoring!BX13</f>
        <v/>
      </c>
      <c r="F6" s="7" t="n">
        <f aca="false">Scoring!B13</f>
        <v>0</v>
      </c>
      <c r="G6" s="7" t="n">
        <f aca="false">Scoring!D13</f>
        <v>0</v>
      </c>
      <c r="H6" s="7" t="str">
        <f aca="false">Scoring!CY13</f>
        <v/>
      </c>
      <c r="I6" s="192" t="str">
        <f aca="false">Scoring!CX13</f>
        <v/>
      </c>
    </row>
    <row r="7" customFormat="false" ht="15.75" hidden="false" customHeight="false" outlineLevel="0" collapsed="false">
      <c r="A7" s="7" t="str">
        <f aca="false">Scoring!DA14</f>
        <v/>
      </c>
      <c r="B7" s="7" t="str">
        <f aca="false">Scoring!CZ14</f>
        <v/>
      </c>
      <c r="C7" s="7" t="n">
        <f aca="false">Scoring!C14</f>
        <v>0</v>
      </c>
      <c r="D7" s="191" t="str">
        <f aca="false">Scoring!CW14</f>
        <v/>
      </c>
      <c r="E7" s="7" t="str">
        <f aca="false">Scoring!BX14</f>
        <v/>
      </c>
      <c r="F7" s="7" t="n">
        <f aca="false">Scoring!B14</f>
        <v>0</v>
      </c>
      <c r="G7" s="7" t="n">
        <f aca="false">Scoring!D14</f>
        <v>0</v>
      </c>
      <c r="H7" s="7" t="str">
        <f aca="false">Scoring!CY14</f>
        <v/>
      </c>
      <c r="I7" s="192" t="str">
        <f aca="false">Scoring!CX14</f>
        <v/>
      </c>
    </row>
    <row r="8" customFormat="false" ht="15.75" hidden="false" customHeight="false" outlineLevel="0" collapsed="false">
      <c r="A8" s="7" t="str">
        <f aca="false">Scoring!DA15</f>
        <v/>
      </c>
      <c r="B8" s="7" t="str">
        <f aca="false">Scoring!CZ15</f>
        <v/>
      </c>
      <c r="C8" s="7" t="n">
        <f aca="false">Scoring!C15</f>
        <v>0</v>
      </c>
      <c r="D8" s="191" t="str">
        <f aca="false">Scoring!CW15</f>
        <v/>
      </c>
      <c r="E8" s="7" t="str">
        <f aca="false">Scoring!BX15</f>
        <v/>
      </c>
      <c r="F8" s="7" t="n">
        <f aca="false">Scoring!B15</f>
        <v>0</v>
      </c>
      <c r="G8" s="7" t="n">
        <f aca="false">Scoring!D15</f>
        <v>0</v>
      </c>
      <c r="H8" s="7" t="str">
        <f aca="false">Scoring!CY15</f>
        <v/>
      </c>
      <c r="I8" s="192" t="str">
        <f aca="false">Scoring!CX15</f>
        <v/>
      </c>
    </row>
    <row r="9" customFormat="false" ht="15.75" hidden="false" customHeight="false" outlineLevel="0" collapsed="false">
      <c r="A9" s="7" t="str">
        <f aca="false">Scoring!DA16</f>
        <v/>
      </c>
      <c r="B9" s="7" t="str">
        <f aca="false">Scoring!CZ16</f>
        <v/>
      </c>
      <c r="C9" s="7" t="n">
        <f aca="false">Scoring!C16</f>
        <v>0</v>
      </c>
      <c r="D9" s="191" t="str">
        <f aca="false">Scoring!CW16</f>
        <v/>
      </c>
      <c r="E9" s="7" t="str">
        <f aca="false">Scoring!BX16</f>
        <v/>
      </c>
      <c r="F9" s="7" t="n">
        <f aca="false">Scoring!B16</f>
        <v>0</v>
      </c>
      <c r="G9" s="7" t="n">
        <f aca="false">Scoring!D16</f>
        <v>0</v>
      </c>
      <c r="H9" s="7" t="str">
        <f aca="false">Scoring!CY16</f>
        <v/>
      </c>
      <c r="I9" s="192" t="str">
        <f aca="false">Scoring!CX16</f>
        <v/>
      </c>
    </row>
    <row r="10" customFormat="false" ht="15.75" hidden="false" customHeight="false" outlineLevel="0" collapsed="false">
      <c r="A10" s="7" t="str">
        <f aca="false">Scoring!DA17</f>
        <v/>
      </c>
      <c r="B10" s="7" t="str">
        <f aca="false">Scoring!CZ17</f>
        <v/>
      </c>
      <c r="C10" s="7" t="n">
        <f aca="false">Scoring!C17</f>
        <v>0</v>
      </c>
      <c r="D10" s="191" t="str">
        <f aca="false">Scoring!CW17</f>
        <v/>
      </c>
      <c r="E10" s="7" t="str">
        <f aca="false">Scoring!BX17</f>
        <v/>
      </c>
      <c r="F10" s="7" t="n">
        <f aca="false">Scoring!B17</f>
        <v>0</v>
      </c>
      <c r="G10" s="7" t="n">
        <f aca="false">Scoring!D17</f>
        <v>0</v>
      </c>
      <c r="H10" s="7" t="str">
        <f aca="false">Scoring!CY17</f>
        <v/>
      </c>
      <c r="I10" s="192" t="str">
        <f aca="false">Scoring!CX17</f>
        <v/>
      </c>
    </row>
    <row r="11" customFormat="false" ht="15.75" hidden="false" customHeight="false" outlineLevel="0" collapsed="false">
      <c r="A11" s="7" t="str">
        <f aca="false">Scoring!DA18</f>
        <v/>
      </c>
      <c r="B11" s="7" t="str">
        <f aca="false">Scoring!CZ18</f>
        <v/>
      </c>
      <c r="C11" s="7" t="n">
        <f aca="false">Scoring!C18</f>
        <v>0</v>
      </c>
      <c r="D11" s="191" t="str">
        <f aca="false">Scoring!CW18</f>
        <v/>
      </c>
      <c r="E11" s="7" t="str">
        <f aca="false">Scoring!BX18</f>
        <v/>
      </c>
      <c r="F11" s="7" t="n">
        <f aca="false">Scoring!B18</f>
        <v>0</v>
      </c>
      <c r="G11" s="7" t="n">
        <f aca="false">Scoring!D18</f>
        <v>0</v>
      </c>
      <c r="H11" s="7" t="str">
        <f aca="false">Scoring!CY18</f>
        <v/>
      </c>
      <c r="I11" s="192" t="str">
        <f aca="false">Scoring!CX18</f>
        <v/>
      </c>
    </row>
    <row r="12" customFormat="false" ht="15.75" hidden="false" customHeight="false" outlineLevel="0" collapsed="false">
      <c r="A12" s="7" t="str">
        <f aca="false">Scoring!DA19</f>
        <v/>
      </c>
      <c r="B12" s="7" t="str">
        <f aca="false">Scoring!CZ19</f>
        <v/>
      </c>
      <c r="C12" s="7" t="n">
        <f aca="false">Scoring!C19</f>
        <v>0</v>
      </c>
      <c r="D12" s="191" t="str">
        <f aca="false">Scoring!CW19</f>
        <v/>
      </c>
      <c r="E12" s="7" t="str">
        <f aca="false">Scoring!BX19</f>
        <v/>
      </c>
      <c r="F12" s="7" t="n">
        <f aca="false">Scoring!B19</f>
        <v>0</v>
      </c>
      <c r="G12" s="7" t="n">
        <f aca="false">Scoring!D19</f>
        <v>0</v>
      </c>
      <c r="H12" s="7" t="str">
        <f aca="false">Scoring!CY19</f>
        <v/>
      </c>
      <c r="I12" s="192" t="str">
        <f aca="false">Scoring!CX19</f>
        <v/>
      </c>
    </row>
    <row r="13" customFormat="false" ht="15.75" hidden="false" customHeight="false" outlineLevel="0" collapsed="false">
      <c r="A13" s="7" t="str">
        <f aca="false">Scoring!DA20</f>
        <v/>
      </c>
      <c r="B13" s="7" t="str">
        <f aca="false">Scoring!CZ20</f>
        <v/>
      </c>
      <c r="C13" s="7" t="n">
        <f aca="false">Scoring!C20</f>
        <v>0</v>
      </c>
      <c r="D13" s="191" t="str">
        <f aca="false">Scoring!CW20</f>
        <v/>
      </c>
      <c r="E13" s="7" t="str">
        <f aca="false">Scoring!BX20</f>
        <v/>
      </c>
      <c r="F13" s="7" t="n">
        <f aca="false">Scoring!B20</f>
        <v>0</v>
      </c>
      <c r="G13" s="7" t="n">
        <f aca="false">Scoring!D20</f>
        <v>0</v>
      </c>
      <c r="H13" s="7" t="str">
        <f aca="false">Scoring!CY20</f>
        <v/>
      </c>
      <c r="I13" s="192" t="str">
        <f aca="false">Scoring!CX20</f>
        <v/>
      </c>
    </row>
    <row r="14" customFormat="false" ht="15.75" hidden="false" customHeight="false" outlineLevel="0" collapsed="false">
      <c r="A14" s="7" t="str">
        <f aca="false">Scoring!DA21</f>
        <v/>
      </c>
      <c r="B14" s="7" t="str">
        <f aca="false">Scoring!CZ21</f>
        <v/>
      </c>
      <c r="C14" s="7" t="n">
        <f aca="false">Scoring!C21</f>
        <v>0</v>
      </c>
      <c r="D14" s="191" t="str">
        <f aca="false">Scoring!CW21</f>
        <v/>
      </c>
      <c r="E14" s="7" t="str">
        <f aca="false">Scoring!BX21</f>
        <v/>
      </c>
      <c r="F14" s="7" t="n">
        <f aca="false">Scoring!B21</f>
        <v>0</v>
      </c>
      <c r="G14" s="7" t="n">
        <f aca="false">Scoring!D21</f>
        <v>0</v>
      </c>
      <c r="H14" s="7" t="str">
        <f aca="false">Scoring!CY21</f>
        <v/>
      </c>
      <c r="I14" s="192" t="str">
        <f aca="false">Scoring!CX21</f>
        <v/>
      </c>
    </row>
    <row r="15" customFormat="false" ht="15.75" hidden="false" customHeight="false" outlineLevel="0" collapsed="false">
      <c r="A15" s="7" t="str">
        <f aca="false">Scoring!DA22</f>
        <v/>
      </c>
      <c r="B15" s="7" t="str">
        <f aca="false">Scoring!CZ22</f>
        <v/>
      </c>
      <c r="C15" s="7" t="n">
        <f aca="false">Scoring!C22</f>
        <v>0</v>
      </c>
      <c r="D15" s="191" t="str">
        <f aca="false">Scoring!CW22</f>
        <v/>
      </c>
      <c r="E15" s="7" t="str">
        <f aca="false">Scoring!BX22</f>
        <v/>
      </c>
      <c r="F15" s="7" t="n">
        <f aca="false">Scoring!B22</f>
        <v>0</v>
      </c>
      <c r="G15" s="7" t="n">
        <f aca="false">Scoring!D22</f>
        <v>0</v>
      </c>
      <c r="H15" s="7" t="str">
        <f aca="false">Scoring!CY22</f>
        <v/>
      </c>
      <c r="I15" s="192" t="str">
        <f aca="false">Scoring!CX22</f>
        <v/>
      </c>
    </row>
    <row r="16" customFormat="false" ht="15.75" hidden="false" customHeight="false" outlineLevel="0" collapsed="false">
      <c r="A16" s="7" t="str">
        <f aca="false">Scoring!DA23</f>
        <v/>
      </c>
      <c r="B16" s="7" t="str">
        <f aca="false">Scoring!CZ23</f>
        <v/>
      </c>
      <c r="C16" s="7" t="n">
        <f aca="false">Scoring!C23</f>
        <v>0</v>
      </c>
      <c r="D16" s="191" t="str">
        <f aca="false">Scoring!CW23</f>
        <v/>
      </c>
      <c r="E16" s="7" t="str">
        <f aca="false">Scoring!BX23</f>
        <v/>
      </c>
      <c r="F16" s="7" t="n">
        <f aca="false">Scoring!B23</f>
        <v>0</v>
      </c>
      <c r="G16" s="7" t="n">
        <f aca="false">Scoring!D23</f>
        <v>0</v>
      </c>
      <c r="H16" s="7" t="str">
        <f aca="false">Scoring!CY23</f>
        <v/>
      </c>
      <c r="I16" s="192" t="str">
        <f aca="false">Scoring!CX23</f>
        <v/>
      </c>
    </row>
    <row r="17" customFormat="false" ht="15.75" hidden="false" customHeight="false" outlineLevel="0" collapsed="false">
      <c r="A17" s="7" t="str">
        <f aca="false">Scoring!DA24</f>
        <v/>
      </c>
      <c r="B17" s="7" t="str">
        <f aca="false">Scoring!CZ24</f>
        <v/>
      </c>
      <c r="C17" s="7" t="n">
        <f aca="false">Scoring!C24</f>
        <v>0</v>
      </c>
      <c r="D17" s="191" t="str">
        <f aca="false">Scoring!CW24</f>
        <v/>
      </c>
      <c r="E17" s="7" t="str">
        <f aca="false">Scoring!BX24</f>
        <v/>
      </c>
      <c r="F17" s="7" t="n">
        <f aca="false">Scoring!B24</f>
        <v>0</v>
      </c>
      <c r="G17" s="7" t="n">
        <f aca="false">Scoring!D24</f>
        <v>0</v>
      </c>
      <c r="H17" s="7" t="str">
        <f aca="false">Scoring!CY24</f>
        <v/>
      </c>
      <c r="I17" s="192" t="str">
        <f aca="false">Scoring!CX24</f>
        <v/>
      </c>
    </row>
    <row r="18" customFormat="false" ht="15.75" hidden="false" customHeight="false" outlineLevel="0" collapsed="false">
      <c r="A18" s="7" t="str">
        <f aca="false">Scoring!DA25</f>
        <v/>
      </c>
      <c r="B18" s="7" t="str">
        <f aca="false">Scoring!CZ25</f>
        <v/>
      </c>
      <c r="C18" s="7" t="n">
        <f aca="false">Scoring!C25</f>
        <v>0</v>
      </c>
      <c r="D18" s="191" t="str">
        <f aca="false">Scoring!CW25</f>
        <v/>
      </c>
      <c r="E18" s="7" t="str">
        <f aca="false">Scoring!BX25</f>
        <v/>
      </c>
      <c r="F18" s="7" t="n">
        <f aca="false">Scoring!B25</f>
        <v>0</v>
      </c>
      <c r="G18" s="7" t="n">
        <f aca="false">Scoring!D25</f>
        <v>0</v>
      </c>
      <c r="H18" s="7" t="str">
        <f aca="false">Scoring!CY25</f>
        <v/>
      </c>
      <c r="I18" s="192" t="str">
        <f aca="false">Scoring!CX25</f>
        <v/>
      </c>
    </row>
    <row r="19" customFormat="false" ht="15.75" hidden="false" customHeight="false" outlineLevel="0" collapsed="false">
      <c r="A19" s="7" t="str">
        <f aca="false">Scoring!DA26</f>
        <v/>
      </c>
      <c r="B19" s="7" t="str">
        <f aca="false">Scoring!CZ26</f>
        <v/>
      </c>
      <c r="C19" s="7" t="n">
        <f aca="false">Scoring!C26</f>
        <v>0</v>
      </c>
      <c r="D19" s="191" t="str">
        <f aca="false">Scoring!CW26</f>
        <v/>
      </c>
      <c r="E19" s="7" t="str">
        <f aca="false">Scoring!BX26</f>
        <v/>
      </c>
      <c r="F19" s="7" t="n">
        <f aca="false">Scoring!B26</f>
        <v>0</v>
      </c>
      <c r="G19" s="7" t="n">
        <f aca="false">Scoring!D26</f>
        <v>0</v>
      </c>
      <c r="H19" s="7" t="str">
        <f aca="false">Scoring!CY26</f>
        <v/>
      </c>
      <c r="I19" s="192" t="str">
        <f aca="false">Scoring!CX26</f>
        <v/>
      </c>
    </row>
    <row r="20" customFormat="false" ht="15.75" hidden="false" customHeight="false" outlineLevel="0" collapsed="false">
      <c r="A20" s="7" t="str">
        <f aca="false">Scoring!DA27</f>
        <v/>
      </c>
      <c r="B20" s="7" t="str">
        <f aca="false">Scoring!CZ27</f>
        <v/>
      </c>
      <c r="C20" s="7" t="n">
        <f aca="false">Scoring!C27</f>
        <v>0</v>
      </c>
      <c r="D20" s="191" t="str">
        <f aca="false">Scoring!CW27</f>
        <v/>
      </c>
      <c r="E20" s="7" t="str">
        <f aca="false">Scoring!BX27</f>
        <v/>
      </c>
      <c r="F20" s="7" t="n">
        <f aca="false">Scoring!B27</f>
        <v>0</v>
      </c>
      <c r="G20" s="7" t="n">
        <f aca="false">Scoring!D27</f>
        <v>0</v>
      </c>
      <c r="H20" s="7" t="str">
        <f aca="false">Scoring!CY27</f>
        <v/>
      </c>
      <c r="I20" s="192" t="str">
        <f aca="false">Scoring!CX27</f>
        <v/>
      </c>
    </row>
    <row r="21" customFormat="false" ht="15.75" hidden="false" customHeight="false" outlineLevel="0" collapsed="false">
      <c r="A21" s="7" t="str">
        <f aca="false">Scoring!DA28</f>
        <v/>
      </c>
      <c r="B21" s="7" t="str">
        <f aca="false">Scoring!CZ28</f>
        <v/>
      </c>
      <c r="C21" s="7" t="n">
        <f aca="false">Scoring!C28</f>
        <v>0</v>
      </c>
      <c r="D21" s="191" t="str">
        <f aca="false">Scoring!CW28</f>
        <v/>
      </c>
      <c r="E21" s="7" t="str">
        <f aca="false">Scoring!BX28</f>
        <v/>
      </c>
      <c r="F21" s="7" t="n">
        <f aca="false">Scoring!B28</f>
        <v>0</v>
      </c>
      <c r="G21" s="7" t="n">
        <f aca="false">Scoring!D28</f>
        <v>0</v>
      </c>
      <c r="H21" s="7" t="str">
        <f aca="false">Scoring!CY28</f>
        <v/>
      </c>
      <c r="I21" s="192" t="str">
        <f aca="false">Scoring!CX28</f>
        <v/>
      </c>
    </row>
    <row r="22" customFormat="false" ht="15.75" hidden="false" customHeight="false" outlineLevel="0" collapsed="false">
      <c r="A22" s="7" t="str">
        <f aca="false">Scoring!DA29</f>
        <v/>
      </c>
      <c r="B22" s="7" t="str">
        <f aca="false">Scoring!CZ29</f>
        <v/>
      </c>
      <c r="C22" s="7" t="n">
        <f aca="false">Scoring!C29</f>
        <v>0</v>
      </c>
      <c r="D22" s="191" t="str">
        <f aca="false">Scoring!CW29</f>
        <v/>
      </c>
      <c r="E22" s="7" t="str">
        <f aca="false">Scoring!BX29</f>
        <v/>
      </c>
      <c r="F22" s="7" t="n">
        <f aca="false">Scoring!B29</f>
        <v>0</v>
      </c>
      <c r="G22" s="7" t="n">
        <f aca="false">Scoring!D29</f>
        <v>0</v>
      </c>
      <c r="H22" s="7" t="str">
        <f aca="false">Scoring!CY29</f>
        <v/>
      </c>
      <c r="I22" s="192" t="str">
        <f aca="false">Scoring!CX29</f>
        <v/>
      </c>
    </row>
    <row r="23" customFormat="false" ht="15.75" hidden="false" customHeight="false" outlineLevel="0" collapsed="false">
      <c r="A23" s="7" t="str">
        <f aca="false">Scoring!DA30</f>
        <v/>
      </c>
      <c r="B23" s="7" t="str">
        <f aca="false">Scoring!CZ30</f>
        <v/>
      </c>
      <c r="C23" s="7" t="n">
        <f aca="false">Scoring!C30</f>
        <v>0</v>
      </c>
      <c r="D23" s="191" t="str">
        <f aca="false">Scoring!CW30</f>
        <v/>
      </c>
      <c r="E23" s="7" t="str">
        <f aca="false">Scoring!BX30</f>
        <v/>
      </c>
      <c r="F23" s="7" t="n">
        <f aca="false">Scoring!B30</f>
        <v>0</v>
      </c>
      <c r="G23" s="7" t="n">
        <f aca="false">Scoring!D30</f>
        <v>0</v>
      </c>
      <c r="H23" s="7" t="str">
        <f aca="false">Scoring!CY30</f>
        <v/>
      </c>
      <c r="I23" s="192" t="str">
        <f aca="false">Scoring!CX30</f>
        <v/>
      </c>
    </row>
    <row r="24" customFormat="false" ht="15.75" hidden="false" customHeight="false" outlineLevel="0" collapsed="false">
      <c r="A24" s="7" t="str">
        <f aca="false">Scoring!DA31</f>
        <v/>
      </c>
      <c r="B24" s="7" t="str">
        <f aca="false">Scoring!CZ31</f>
        <v/>
      </c>
      <c r="C24" s="7" t="n">
        <f aca="false">Scoring!C31</f>
        <v>0</v>
      </c>
      <c r="D24" s="191" t="str">
        <f aca="false">Scoring!CW31</f>
        <v/>
      </c>
      <c r="E24" s="7" t="str">
        <f aca="false">Scoring!BX31</f>
        <v/>
      </c>
      <c r="F24" s="7" t="n">
        <f aca="false">Scoring!B31</f>
        <v>0</v>
      </c>
      <c r="G24" s="7" t="n">
        <f aca="false">Scoring!D31</f>
        <v>0</v>
      </c>
      <c r="H24" s="7" t="str">
        <f aca="false">Scoring!CY31</f>
        <v/>
      </c>
      <c r="I24" s="192" t="str">
        <f aca="false">Scoring!CX31</f>
        <v/>
      </c>
    </row>
    <row r="25" customFormat="false" ht="15.75" hidden="false" customHeight="false" outlineLevel="0" collapsed="false">
      <c r="A25" s="7" t="str">
        <f aca="false">Scoring!DA32</f>
        <v/>
      </c>
      <c r="B25" s="7" t="str">
        <f aca="false">Scoring!CZ32</f>
        <v/>
      </c>
      <c r="C25" s="7" t="n">
        <f aca="false">Scoring!C32</f>
        <v>0</v>
      </c>
      <c r="D25" s="191" t="str">
        <f aca="false">Scoring!CW32</f>
        <v/>
      </c>
      <c r="E25" s="7" t="str">
        <f aca="false">Scoring!BX32</f>
        <v/>
      </c>
      <c r="F25" s="7" t="n">
        <f aca="false">Scoring!B32</f>
        <v>0</v>
      </c>
      <c r="G25" s="7" t="n">
        <f aca="false">Scoring!D32</f>
        <v>0</v>
      </c>
      <c r="H25" s="7" t="str">
        <f aca="false">Scoring!CY32</f>
        <v/>
      </c>
      <c r="I25" s="192" t="str">
        <f aca="false">Scoring!CX32</f>
        <v/>
      </c>
    </row>
    <row r="26" customFormat="false" ht="15.75" hidden="false" customHeight="false" outlineLevel="0" collapsed="false">
      <c r="A26" s="7" t="str">
        <f aca="false">Scoring!DA33</f>
        <v/>
      </c>
      <c r="B26" s="7" t="str">
        <f aca="false">Scoring!CZ33</f>
        <v/>
      </c>
      <c r="C26" s="7" t="n">
        <f aca="false">Scoring!C33</f>
        <v>0</v>
      </c>
      <c r="D26" s="191" t="str">
        <f aca="false">Scoring!CW33</f>
        <v/>
      </c>
      <c r="E26" s="7" t="str">
        <f aca="false">Scoring!BX33</f>
        <v/>
      </c>
      <c r="F26" s="7" t="n">
        <f aca="false">Scoring!B33</f>
        <v>0</v>
      </c>
      <c r="G26" s="7" t="n">
        <f aca="false">Scoring!D33</f>
        <v>0</v>
      </c>
      <c r="H26" s="7" t="str">
        <f aca="false">Scoring!CY33</f>
        <v/>
      </c>
      <c r="I26" s="192" t="str">
        <f aca="false">Scoring!CX33</f>
        <v/>
      </c>
    </row>
    <row r="27" customFormat="false" ht="15.75" hidden="false" customHeight="false" outlineLevel="0" collapsed="false">
      <c r="A27" s="7" t="str">
        <f aca="false">Scoring!DA34</f>
        <v/>
      </c>
      <c r="B27" s="7" t="str">
        <f aca="false">Scoring!CZ34</f>
        <v/>
      </c>
      <c r="C27" s="7" t="n">
        <f aca="false">Scoring!C34</f>
        <v>0</v>
      </c>
      <c r="D27" s="191" t="str">
        <f aca="false">Scoring!CW34</f>
        <v/>
      </c>
      <c r="E27" s="7" t="str">
        <f aca="false">Scoring!BX34</f>
        <v/>
      </c>
      <c r="F27" s="7" t="n">
        <f aca="false">Scoring!B34</f>
        <v>0</v>
      </c>
      <c r="G27" s="7" t="n">
        <f aca="false">Scoring!D34</f>
        <v>0</v>
      </c>
      <c r="H27" s="7" t="str">
        <f aca="false">Scoring!CY34</f>
        <v/>
      </c>
      <c r="I27" s="192" t="str">
        <f aca="false">Scoring!CX34</f>
        <v/>
      </c>
    </row>
    <row r="28" customFormat="false" ht="15.75" hidden="false" customHeight="false" outlineLevel="0" collapsed="false">
      <c r="A28" s="7" t="str">
        <f aca="false">Scoring!DA35</f>
        <v/>
      </c>
      <c r="B28" s="7" t="str">
        <f aca="false">Scoring!CZ35</f>
        <v/>
      </c>
      <c r="C28" s="7" t="n">
        <f aca="false">Scoring!C35</f>
        <v>0</v>
      </c>
      <c r="D28" s="191" t="str">
        <f aca="false">Scoring!CW35</f>
        <v/>
      </c>
      <c r="E28" s="7" t="str">
        <f aca="false">Scoring!BX35</f>
        <v/>
      </c>
      <c r="F28" s="7" t="n">
        <f aca="false">Scoring!B35</f>
        <v>0</v>
      </c>
      <c r="G28" s="7" t="n">
        <f aca="false">Scoring!D35</f>
        <v>0</v>
      </c>
      <c r="H28" s="7" t="str">
        <f aca="false">Scoring!CY35</f>
        <v/>
      </c>
      <c r="I28" s="192" t="str">
        <f aca="false">Scoring!CX35</f>
        <v/>
      </c>
    </row>
    <row r="29" customFormat="false" ht="15.75" hidden="false" customHeight="false" outlineLevel="0" collapsed="false">
      <c r="A29" s="7" t="str">
        <f aca="false">Scoring!DA36</f>
        <v/>
      </c>
      <c r="B29" s="7" t="str">
        <f aca="false">Scoring!CZ36</f>
        <v/>
      </c>
      <c r="C29" s="7" t="n">
        <f aca="false">Scoring!C36</f>
        <v>0</v>
      </c>
      <c r="D29" s="191" t="str">
        <f aca="false">Scoring!CW36</f>
        <v/>
      </c>
      <c r="E29" s="7" t="str">
        <f aca="false">Scoring!BX36</f>
        <v/>
      </c>
      <c r="F29" s="7" t="n">
        <f aca="false">Scoring!B36</f>
        <v>0</v>
      </c>
      <c r="G29" s="7" t="n">
        <f aca="false">Scoring!D36</f>
        <v>0</v>
      </c>
      <c r="H29" s="7" t="str">
        <f aca="false">Scoring!CY36</f>
        <v/>
      </c>
      <c r="I29" s="192" t="str">
        <f aca="false">Scoring!CX36</f>
        <v/>
      </c>
    </row>
    <row r="30" customFormat="false" ht="15.75" hidden="false" customHeight="false" outlineLevel="0" collapsed="false">
      <c r="A30" s="7" t="str">
        <f aca="false">Scoring!DA37</f>
        <v/>
      </c>
      <c r="B30" s="7" t="str">
        <f aca="false">Scoring!CZ37</f>
        <v/>
      </c>
      <c r="C30" s="7" t="n">
        <f aca="false">Scoring!C37</f>
        <v>0</v>
      </c>
      <c r="D30" s="191" t="str">
        <f aca="false">Scoring!CW37</f>
        <v/>
      </c>
      <c r="E30" s="7" t="str">
        <f aca="false">Scoring!BX37</f>
        <v/>
      </c>
      <c r="F30" s="7" t="n">
        <f aca="false">Scoring!B37</f>
        <v>0</v>
      </c>
      <c r="G30" s="7" t="n">
        <f aca="false">Scoring!D37</f>
        <v>0</v>
      </c>
      <c r="H30" s="7" t="str">
        <f aca="false">Scoring!CY37</f>
        <v/>
      </c>
      <c r="I30" s="192" t="str">
        <f aca="false">Scoring!CX37</f>
        <v/>
      </c>
    </row>
    <row r="31" customFormat="false" ht="15.75" hidden="false" customHeight="false" outlineLevel="0" collapsed="false">
      <c r="A31" s="7" t="str">
        <f aca="false">Scoring!DA38</f>
        <v/>
      </c>
      <c r="B31" s="7" t="str">
        <f aca="false">Scoring!CZ38</f>
        <v/>
      </c>
      <c r="C31" s="7" t="n">
        <f aca="false">Scoring!C38</f>
        <v>0</v>
      </c>
      <c r="D31" s="191" t="str">
        <f aca="false">Scoring!CW38</f>
        <v/>
      </c>
      <c r="E31" s="7" t="str">
        <f aca="false">Scoring!BX38</f>
        <v/>
      </c>
      <c r="F31" s="7" t="n">
        <f aca="false">Scoring!B38</f>
        <v>0</v>
      </c>
      <c r="G31" s="7" t="n">
        <f aca="false">Scoring!D38</f>
        <v>0</v>
      </c>
      <c r="H31" s="7" t="str">
        <f aca="false">Scoring!CY38</f>
        <v/>
      </c>
      <c r="I31" s="192" t="str">
        <f aca="false">Scoring!CX38</f>
        <v/>
      </c>
    </row>
    <row r="32" customFormat="false" ht="15.75" hidden="false" customHeight="false" outlineLevel="0" collapsed="false">
      <c r="A32" s="7" t="str">
        <f aca="false">Scoring!DA39</f>
        <v/>
      </c>
      <c r="B32" s="7" t="str">
        <f aca="false">Scoring!CZ39</f>
        <v/>
      </c>
      <c r="C32" s="7" t="n">
        <f aca="false">Scoring!C39</f>
        <v>0</v>
      </c>
      <c r="D32" s="191" t="str">
        <f aca="false">Scoring!CW39</f>
        <v/>
      </c>
      <c r="E32" s="7" t="str">
        <f aca="false">Scoring!BX39</f>
        <v/>
      </c>
      <c r="F32" s="7" t="n">
        <f aca="false">Scoring!B39</f>
        <v>0</v>
      </c>
      <c r="G32" s="7" t="n">
        <f aca="false">Scoring!D39</f>
        <v>0</v>
      </c>
      <c r="H32" s="7" t="str">
        <f aca="false">Scoring!CY39</f>
        <v/>
      </c>
      <c r="I32" s="192" t="str">
        <f aca="false">Scoring!CX39</f>
        <v/>
      </c>
    </row>
    <row r="33" customFormat="false" ht="15.75" hidden="false" customHeight="false" outlineLevel="0" collapsed="false">
      <c r="A33" s="7" t="str">
        <f aca="false">Scoring!DA40</f>
        <v/>
      </c>
      <c r="B33" s="7" t="str">
        <f aca="false">Scoring!CZ40</f>
        <v/>
      </c>
      <c r="C33" s="7" t="n">
        <f aca="false">Scoring!C40</f>
        <v>0</v>
      </c>
      <c r="D33" s="191" t="str">
        <f aca="false">Scoring!CW40</f>
        <v/>
      </c>
      <c r="E33" s="7" t="str">
        <f aca="false">Scoring!BX40</f>
        <v/>
      </c>
      <c r="F33" s="7" t="n">
        <f aca="false">Scoring!B40</f>
        <v>0</v>
      </c>
      <c r="G33" s="7" t="n">
        <f aca="false">Scoring!D40</f>
        <v>0</v>
      </c>
      <c r="H33" s="7" t="str">
        <f aca="false">Scoring!CY40</f>
        <v/>
      </c>
      <c r="I33" s="192" t="str">
        <f aca="false">Scoring!CX40</f>
        <v/>
      </c>
    </row>
    <row r="34" customFormat="false" ht="15.75" hidden="false" customHeight="false" outlineLevel="0" collapsed="false">
      <c r="A34" s="7" t="str">
        <f aca="false">Scoring!DA41</f>
        <v/>
      </c>
      <c r="B34" s="7" t="str">
        <f aca="false">Scoring!CZ41</f>
        <v/>
      </c>
      <c r="C34" s="7" t="n">
        <f aca="false">Scoring!C41</f>
        <v>0</v>
      </c>
      <c r="D34" s="191" t="str">
        <f aca="false">Scoring!CW41</f>
        <v/>
      </c>
      <c r="E34" s="7" t="str">
        <f aca="false">Scoring!BX41</f>
        <v/>
      </c>
      <c r="F34" s="7" t="n">
        <f aca="false">Scoring!B41</f>
        <v>0</v>
      </c>
      <c r="G34" s="7" t="n">
        <f aca="false">Scoring!D41</f>
        <v>0</v>
      </c>
      <c r="H34" s="7" t="str">
        <f aca="false">Scoring!CY41</f>
        <v/>
      </c>
      <c r="I34" s="192" t="str">
        <f aca="false">Scoring!CX41</f>
        <v/>
      </c>
    </row>
    <row r="35" customFormat="false" ht="15.75" hidden="false" customHeight="false" outlineLevel="0" collapsed="false">
      <c r="A35" s="7" t="str">
        <f aca="false">Scoring!DA42</f>
        <v/>
      </c>
      <c r="B35" s="7" t="str">
        <f aca="false">Scoring!CZ42</f>
        <v/>
      </c>
      <c r="C35" s="7" t="n">
        <f aca="false">Scoring!C42</f>
        <v>0</v>
      </c>
      <c r="D35" s="191" t="str">
        <f aca="false">Scoring!CW42</f>
        <v/>
      </c>
      <c r="E35" s="7" t="str">
        <f aca="false">Scoring!BX42</f>
        <v/>
      </c>
      <c r="F35" s="7" t="n">
        <f aca="false">Scoring!B42</f>
        <v>0</v>
      </c>
      <c r="G35" s="7" t="n">
        <f aca="false">Scoring!D42</f>
        <v>0</v>
      </c>
      <c r="H35" s="7" t="str">
        <f aca="false">Scoring!CY42</f>
        <v/>
      </c>
      <c r="I35" s="192" t="str">
        <f aca="false">Scoring!CX42</f>
        <v/>
      </c>
    </row>
    <row r="36" customFormat="false" ht="15.75" hidden="false" customHeight="false" outlineLevel="0" collapsed="false">
      <c r="A36" s="7" t="str">
        <f aca="false">Scoring!DA43</f>
        <v/>
      </c>
      <c r="B36" s="7" t="str">
        <f aca="false">Scoring!CZ43</f>
        <v/>
      </c>
      <c r="C36" s="7" t="n">
        <f aca="false">Scoring!C43</f>
        <v>0</v>
      </c>
      <c r="D36" s="191" t="str">
        <f aca="false">Scoring!CW43</f>
        <v/>
      </c>
      <c r="E36" s="7" t="str">
        <f aca="false">Scoring!BX43</f>
        <v/>
      </c>
      <c r="F36" s="7" t="n">
        <f aca="false">Scoring!B43</f>
        <v>0</v>
      </c>
      <c r="G36" s="7" t="n">
        <f aca="false">Scoring!D43</f>
        <v>0</v>
      </c>
      <c r="H36" s="7" t="str">
        <f aca="false">Scoring!CY43</f>
        <v/>
      </c>
      <c r="I36" s="192" t="str">
        <f aca="false">Scoring!CX43</f>
        <v/>
      </c>
    </row>
    <row r="37" customFormat="false" ht="15.75" hidden="false" customHeight="false" outlineLevel="0" collapsed="false">
      <c r="A37" s="7" t="str">
        <f aca="false">Scoring!DA44</f>
        <v/>
      </c>
      <c r="B37" s="7" t="str">
        <f aca="false">Scoring!CZ44</f>
        <v/>
      </c>
      <c r="C37" s="7" t="n">
        <f aca="false">Scoring!C44</f>
        <v>0</v>
      </c>
      <c r="D37" s="191" t="str">
        <f aca="false">Scoring!CW44</f>
        <v/>
      </c>
      <c r="E37" s="7" t="str">
        <f aca="false">Scoring!BX44</f>
        <v/>
      </c>
      <c r="F37" s="7" t="n">
        <f aca="false">Scoring!B44</f>
        <v>0</v>
      </c>
      <c r="G37" s="7" t="n">
        <f aca="false">Scoring!D44</f>
        <v>0</v>
      </c>
      <c r="H37" s="7" t="str">
        <f aca="false">Scoring!CY44</f>
        <v/>
      </c>
      <c r="I37" s="192" t="str">
        <f aca="false">Scoring!CX44</f>
        <v/>
      </c>
    </row>
    <row r="38" customFormat="false" ht="15.75" hidden="false" customHeight="false" outlineLevel="0" collapsed="false">
      <c r="A38" s="7" t="str">
        <f aca="false">Scoring!DA45</f>
        <v/>
      </c>
      <c r="B38" s="7" t="str">
        <f aca="false">Scoring!CZ45</f>
        <v/>
      </c>
      <c r="C38" s="7" t="n">
        <f aca="false">Scoring!C45</f>
        <v>0</v>
      </c>
      <c r="D38" s="191" t="str">
        <f aca="false">Scoring!CW45</f>
        <v/>
      </c>
      <c r="E38" s="7" t="str">
        <f aca="false">Scoring!BX45</f>
        <v/>
      </c>
      <c r="F38" s="7" t="n">
        <f aca="false">Scoring!B45</f>
        <v>0</v>
      </c>
      <c r="G38" s="7" t="n">
        <f aca="false">Scoring!D45</f>
        <v>0</v>
      </c>
      <c r="H38" s="7" t="str">
        <f aca="false">Scoring!CY45</f>
        <v/>
      </c>
      <c r="I38" s="192" t="str">
        <f aca="false">Scoring!CX45</f>
        <v/>
      </c>
    </row>
    <row r="39" customFormat="false" ht="15.75" hidden="false" customHeight="false" outlineLevel="0" collapsed="false">
      <c r="A39" s="7" t="str">
        <f aca="false">Scoring!DA46</f>
        <v/>
      </c>
      <c r="B39" s="7" t="str">
        <f aca="false">Scoring!CZ46</f>
        <v/>
      </c>
      <c r="C39" s="7" t="n">
        <f aca="false">Scoring!C46</f>
        <v>0</v>
      </c>
      <c r="D39" s="191" t="str">
        <f aca="false">Scoring!CW46</f>
        <v/>
      </c>
      <c r="E39" s="7" t="str">
        <f aca="false">Scoring!BX46</f>
        <v/>
      </c>
      <c r="F39" s="7" t="n">
        <f aca="false">Scoring!B46</f>
        <v>0</v>
      </c>
      <c r="G39" s="7" t="n">
        <f aca="false">Scoring!D46</f>
        <v>0</v>
      </c>
      <c r="H39" s="7" t="str">
        <f aca="false">Scoring!CY46</f>
        <v/>
      </c>
      <c r="I39" s="192" t="str">
        <f aca="false">Scoring!CX46</f>
        <v/>
      </c>
    </row>
    <row r="40" customFormat="false" ht="15.75" hidden="false" customHeight="false" outlineLevel="0" collapsed="false">
      <c r="A40" s="7" t="str">
        <f aca="false">Scoring!DA47</f>
        <v/>
      </c>
      <c r="B40" s="7" t="str">
        <f aca="false">Scoring!CZ47</f>
        <v/>
      </c>
      <c r="C40" s="7" t="n">
        <f aca="false">Scoring!C47</f>
        <v>0</v>
      </c>
      <c r="D40" s="191" t="str">
        <f aca="false">Scoring!CW47</f>
        <v/>
      </c>
      <c r="E40" s="7" t="str">
        <f aca="false">Scoring!BX47</f>
        <v/>
      </c>
      <c r="F40" s="7" t="n">
        <f aca="false">Scoring!B47</f>
        <v>0</v>
      </c>
      <c r="G40" s="7" t="n">
        <f aca="false">Scoring!D47</f>
        <v>0</v>
      </c>
      <c r="H40" s="7" t="str">
        <f aca="false">Scoring!CY47</f>
        <v/>
      </c>
      <c r="I40" s="192" t="str">
        <f aca="false">Scoring!CX47</f>
        <v/>
      </c>
    </row>
    <row r="41" customFormat="false" ht="15.75" hidden="false" customHeight="false" outlineLevel="0" collapsed="false">
      <c r="A41" s="7" t="str">
        <f aca="false">Scoring!DA48</f>
        <v/>
      </c>
      <c r="B41" s="7" t="str">
        <f aca="false">Scoring!CZ48</f>
        <v/>
      </c>
      <c r="C41" s="7" t="n">
        <f aca="false">Scoring!C48</f>
        <v>0</v>
      </c>
      <c r="D41" s="191" t="str">
        <f aca="false">Scoring!CW48</f>
        <v/>
      </c>
      <c r="E41" s="7" t="str">
        <f aca="false">Scoring!BX48</f>
        <v/>
      </c>
      <c r="F41" s="7" t="n">
        <f aca="false">Scoring!B48</f>
        <v>0</v>
      </c>
      <c r="G41" s="7" t="n">
        <f aca="false">Scoring!D48</f>
        <v>0</v>
      </c>
      <c r="H41" s="7" t="str">
        <f aca="false">Scoring!CY48</f>
        <v/>
      </c>
      <c r="I41" s="192" t="str">
        <f aca="false">Scoring!CX48</f>
        <v/>
      </c>
    </row>
    <row r="42" customFormat="false" ht="15.75" hidden="false" customHeight="false" outlineLevel="0" collapsed="false">
      <c r="A42" s="7" t="str">
        <f aca="false">Scoring!DA49</f>
        <v/>
      </c>
      <c r="B42" s="7" t="str">
        <f aca="false">Scoring!CZ49</f>
        <v/>
      </c>
      <c r="C42" s="7" t="n">
        <f aca="false">Scoring!C49</f>
        <v>0</v>
      </c>
      <c r="D42" s="191" t="str">
        <f aca="false">Scoring!CW49</f>
        <v/>
      </c>
      <c r="E42" s="7" t="str">
        <f aca="false">Scoring!BX49</f>
        <v/>
      </c>
      <c r="F42" s="7" t="n">
        <f aca="false">Scoring!B49</f>
        <v>0</v>
      </c>
      <c r="G42" s="7" t="n">
        <f aca="false">Scoring!D49</f>
        <v>0</v>
      </c>
      <c r="H42" s="7" t="str">
        <f aca="false">Scoring!CY49</f>
        <v/>
      </c>
      <c r="I42" s="192" t="str">
        <f aca="false">Scoring!CX49</f>
        <v/>
      </c>
    </row>
    <row r="43" customFormat="false" ht="15.75" hidden="false" customHeight="false" outlineLevel="0" collapsed="false">
      <c r="A43" s="7" t="str">
        <f aca="false">Scoring!DA50</f>
        <v/>
      </c>
      <c r="B43" s="7" t="str">
        <f aca="false">Scoring!CZ50</f>
        <v/>
      </c>
      <c r="C43" s="7" t="n">
        <f aca="false">Scoring!C50</f>
        <v>0</v>
      </c>
      <c r="D43" s="191" t="str">
        <f aca="false">Scoring!CW50</f>
        <v/>
      </c>
      <c r="E43" s="7" t="str">
        <f aca="false">Scoring!BX50</f>
        <v/>
      </c>
      <c r="F43" s="7" t="n">
        <f aca="false">Scoring!B50</f>
        <v>0</v>
      </c>
      <c r="G43" s="7" t="n">
        <f aca="false">Scoring!D50</f>
        <v>0</v>
      </c>
      <c r="H43" s="7" t="str">
        <f aca="false">Scoring!CY50</f>
        <v/>
      </c>
      <c r="I43" s="192" t="str">
        <f aca="false">Scoring!CX50</f>
        <v/>
      </c>
    </row>
    <row r="44" customFormat="false" ht="15.75" hidden="false" customHeight="false" outlineLevel="0" collapsed="false">
      <c r="A44" s="7" t="str">
        <f aca="false">Scoring!DA51</f>
        <v/>
      </c>
      <c r="B44" s="7" t="str">
        <f aca="false">Scoring!CZ51</f>
        <v/>
      </c>
      <c r="C44" s="7" t="n">
        <f aca="false">Scoring!C51</f>
        <v>0</v>
      </c>
      <c r="D44" s="191" t="str">
        <f aca="false">Scoring!CW51</f>
        <v/>
      </c>
      <c r="E44" s="7" t="str">
        <f aca="false">Scoring!BX51</f>
        <v/>
      </c>
      <c r="F44" s="7" t="n">
        <f aca="false">Scoring!B51</f>
        <v>0</v>
      </c>
      <c r="G44" s="7" t="n">
        <f aca="false">Scoring!D51</f>
        <v>0</v>
      </c>
      <c r="H44" s="7" t="str">
        <f aca="false">Scoring!CY51</f>
        <v/>
      </c>
      <c r="I44" s="192" t="str">
        <f aca="false">Scoring!CX51</f>
        <v/>
      </c>
    </row>
    <row r="45" customFormat="false" ht="15.75" hidden="false" customHeight="false" outlineLevel="0" collapsed="false">
      <c r="A45" s="7" t="str">
        <f aca="false">Scoring!DA52</f>
        <v/>
      </c>
      <c r="B45" s="7" t="str">
        <f aca="false">Scoring!CZ52</f>
        <v/>
      </c>
      <c r="C45" s="7" t="n">
        <f aca="false">Scoring!C52</f>
        <v>0</v>
      </c>
      <c r="D45" s="191" t="str">
        <f aca="false">Scoring!CW52</f>
        <v/>
      </c>
      <c r="E45" s="7" t="str">
        <f aca="false">Scoring!BX52</f>
        <v/>
      </c>
      <c r="F45" s="7" t="n">
        <f aca="false">Scoring!B52</f>
        <v>0</v>
      </c>
      <c r="G45" s="7" t="n">
        <f aca="false">Scoring!D52</f>
        <v>0</v>
      </c>
      <c r="H45" s="7" t="str">
        <f aca="false">Scoring!CY52</f>
        <v/>
      </c>
      <c r="I45" s="192" t="str">
        <f aca="false">Scoring!CX52</f>
        <v/>
      </c>
    </row>
    <row r="46" customFormat="false" ht="15.75" hidden="false" customHeight="false" outlineLevel="0" collapsed="false">
      <c r="A46" s="7" t="str">
        <f aca="false">Scoring!DA53</f>
        <v/>
      </c>
      <c r="B46" s="7" t="str">
        <f aca="false">Scoring!CZ53</f>
        <v/>
      </c>
      <c r="C46" s="7" t="n">
        <f aca="false">Scoring!C53</f>
        <v>0</v>
      </c>
      <c r="D46" s="191" t="str">
        <f aca="false">Scoring!CW53</f>
        <v/>
      </c>
      <c r="E46" s="7" t="str">
        <f aca="false">Scoring!BX53</f>
        <v/>
      </c>
      <c r="F46" s="7" t="n">
        <f aca="false">Scoring!B53</f>
        <v>0</v>
      </c>
      <c r="G46" s="7" t="n">
        <f aca="false">Scoring!D53</f>
        <v>0</v>
      </c>
      <c r="H46" s="7" t="str">
        <f aca="false">Scoring!CY53</f>
        <v/>
      </c>
      <c r="I46" s="192" t="str">
        <f aca="false">Scoring!CX53</f>
        <v/>
      </c>
    </row>
    <row r="47" customFormat="false" ht="15.75" hidden="false" customHeight="false" outlineLevel="0" collapsed="false">
      <c r="A47" s="7" t="str">
        <f aca="false">Scoring!DA54</f>
        <v/>
      </c>
      <c r="B47" s="7" t="str">
        <f aca="false">Scoring!CZ54</f>
        <v/>
      </c>
      <c r="C47" s="7" t="n">
        <f aca="false">Scoring!C54</f>
        <v>0</v>
      </c>
      <c r="D47" s="191" t="str">
        <f aca="false">Scoring!CW54</f>
        <v/>
      </c>
      <c r="E47" s="7" t="str">
        <f aca="false">Scoring!BX54</f>
        <v/>
      </c>
      <c r="F47" s="7" t="n">
        <f aca="false">Scoring!B54</f>
        <v>0</v>
      </c>
      <c r="G47" s="7" t="n">
        <f aca="false">Scoring!D54</f>
        <v>0</v>
      </c>
      <c r="H47" s="7" t="str">
        <f aca="false">Scoring!CY54</f>
        <v/>
      </c>
      <c r="I47" s="192" t="str">
        <f aca="false">Scoring!CX54</f>
        <v/>
      </c>
    </row>
    <row r="48" customFormat="false" ht="15.75" hidden="false" customHeight="false" outlineLevel="0" collapsed="false">
      <c r="A48" s="7" t="str">
        <f aca="false">Scoring!DA55</f>
        <v/>
      </c>
      <c r="B48" s="7" t="str">
        <f aca="false">Scoring!CZ55</f>
        <v/>
      </c>
      <c r="C48" s="7" t="n">
        <f aca="false">Scoring!C55</f>
        <v>0</v>
      </c>
      <c r="D48" s="191" t="str">
        <f aca="false">Scoring!CW55</f>
        <v/>
      </c>
      <c r="E48" s="7" t="str">
        <f aca="false">Scoring!BX55</f>
        <v/>
      </c>
      <c r="F48" s="7" t="n">
        <f aca="false">Scoring!B55</f>
        <v>0</v>
      </c>
      <c r="G48" s="7" t="n">
        <f aca="false">Scoring!D55</f>
        <v>0</v>
      </c>
      <c r="H48" s="7" t="str">
        <f aca="false">Scoring!CY55</f>
        <v/>
      </c>
      <c r="I48" s="192" t="str">
        <f aca="false">Scoring!CX55</f>
        <v/>
      </c>
    </row>
    <row r="49" customFormat="false" ht="15.75" hidden="false" customHeight="false" outlineLevel="0" collapsed="false">
      <c r="A49" s="7" t="str">
        <f aca="false">Scoring!DA56</f>
        <v/>
      </c>
      <c r="B49" s="7" t="str">
        <f aca="false">Scoring!CZ56</f>
        <v/>
      </c>
      <c r="C49" s="7" t="n">
        <f aca="false">Scoring!C56</f>
        <v>0</v>
      </c>
      <c r="D49" s="191" t="str">
        <f aca="false">Scoring!CW56</f>
        <v/>
      </c>
      <c r="E49" s="7" t="str">
        <f aca="false">Scoring!BX56</f>
        <v/>
      </c>
      <c r="F49" s="7" t="n">
        <f aca="false">Scoring!B56</f>
        <v>0</v>
      </c>
      <c r="G49" s="7" t="n">
        <f aca="false">Scoring!D56</f>
        <v>0</v>
      </c>
      <c r="H49" s="7" t="str">
        <f aca="false">Scoring!CY56</f>
        <v/>
      </c>
      <c r="I49" s="192" t="str">
        <f aca="false">Scoring!CX56</f>
        <v/>
      </c>
    </row>
    <row r="50" customFormat="false" ht="15.75" hidden="false" customHeight="false" outlineLevel="0" collapsed="false">
      <c r="A50" s="7" t="str">
        <f aca="false">Scoring!DA57</f>
        <v/>
      </c>
      <c r="B50" s="7" t="str">
        <f aca="false">Scoring!CZ57</f>
        <v/>
      </c>
      <c r="C50" s="7" t="n">
        <f aca="false">Scoring!C57</f>
        <v>0</v>
      </c>
      <c r="D50" s="191" t="str">
        <f aca="false">Scoring!CW57</f>
        <v/>
      </c>
      <c r="E50" s="7" t="str">
        <f aca="false">Scoring!BX57</f>
        <v/>
      </c>
      <c r="F50" s="7" t="n">
        <f aca="false">Scoring!B57</f>
        <v>0</v>
      </c>
      <c r="G50" s="7" t="n">
        <f aca="false">Scoring!D57</f>
        <v>0</v>
      </c>
      <c r="H50" s="7" t="str">
        <f aca="false">Scoring!CY57</f>
        <v/>
      </c>
      <c r="I50" s="192" t="str">
        <f aca="false">Scoring!CX57</f>
        <v/>
      </c>
    </row>
    <row r="51" customFormat="false" ht="15.75" hidden="false" customHeight="false" outlineLevel="0" collapsed="false">
      <c r="A51" s="7" t="str">
        <f aca="false">Scoring!DA58</f>
        <v/>
      </c>
      <c r="B51" s="7" t="str">
        <f aca="false">Scoring!CZ58</f>
        <v/>
      </c>
      <c r="C51" s="7" t="n">
        <f aca="false">Scoring!C58</f>
        <v>0</v>
      </c>
      <c r="D51" s="191" t="str">
        <f aca="false">Scoring!CW58</f>
        <v/>
      </c>
      <c r="E51" s="7" t="str">
        <f aca="false">Scoring!BX58</f>
        <v/>
      </c>
      <c r="F51" s="7" t="n">
        <f aca="false">Scoring!B58</f>
        <v>0</v>
      </c>
      <c r="G51" s="7" t="n">
        <f aca="false">Scoring!D58</f>
        <v>0</v>
      </c>
      <c r="H51" s="7" t="str">
        <f aca="false">Scoring!CY58</f>
        <v/>
      </c>
      <c r="I51" s="192" t="str">
        <f aca="false">Scoring!CX58</f>
        <v/>
      </c>
    </row>
    <row r="52" customFormat="false" ht="15.75" hidden="false" customHeight="false" outlineLevel="0" collapsed="false">
      <c r="A52" s="7" t="str">
        <f aca="false">Scoring!DA59</f>
        <v/>
      </c>
      <c r="B52" s="7" t="str">
        <f aca="false">Scoring!CZ59</f>
        <v/>
      </c>
      <c r="C52" s="7" t="n">
        <f aca="false">Scoring!C59</f>
        <v>0</v>
      </c>
      <c r="D52" s="191" t="str">
        <f aca="false">Scoring!CW59</f>
        <v/>
      </c>
      <c r="E52" s="7" t="str">
        <f aca="false">Scoring!BX59</f>
        <v/>
      </c>
      <c r="F52" s="7" t="n">
        <f aca="false">Scoring!B59</f>
        <v>0</v>
      </c>
      <c r="G52" s="7" t="n">
        <f aca="false">Scoring!D59</f>
        <v>0</v>
      </c>
      <c r="H52" s="7" t="str">
        <f aca="false">Scoring!CY59</f>
        <v/>
      </c>
      <c r="I52" s="192" t="str">
        <f aca="false">Scoring!CX59</f>
        <v/>
      </c>
    </row>
    <row r="53" customFormat="false" ht="15.75" hidden="false" customHeight="false" outlineLevel="0" collapsed="false">
      <c r="A53" s="7" t="str">
        <f aca="false">Scoring!DA60</f>
        <v/>
      </c>
      <c r="B53" s="7" t="str">
        <f aca="false">Scoring!CZ60</f>
        <v/>
      </c>
      <c r="C53" s="7" t="n">
        <f aca="false">Scoring!C60</f>
        <v>0</v>
      </c>
      <c r="D53" s="191" t="str">
        <f aca="false">Scoring!CW60</f>
        <v/>
      </c>
      <c r="E53" s="7" t="str">
        <f aca="false">Scoring!BX60</f>
        <v/>
      </c>
      <c r="F53" s="7" t="n">
        <f aca="false">Scoring!B60</f>
        <v>0</v>
      </c>
      <c r="G53" s="7" t="n">
        <f aca="false">Scoring!D60</f>
        <v>0</v>
      </c>
      <c r="H53" s="7" t="str">
        <f aca="false">Scoring!CY60</f>
        <v/>
      </c>
      <c r="I53" s="192" t="str">
        <f aca="false">Scoring!CX60</f>
        <v/>
      </c>
    </row>
    <row r="54" customFormat="false" ht="15.75" hidden="false" customHeight="false" outlineLevel="0" collapsed="false">
      <c r="A54" s="7" t="str">
        <f aca="false">Scoring!DA61</f>
        <v/>
      </c>
      <c r="B54" s="7" t="str">
        <f aca="false">Scoring!CZ61</f>
        <v/>
      </c>
      <c r="C54" s="7" t="n">
        <f aca="false">Scoring!C61</f>
        <v>0</v>
      </c>
      <c r="D54" s="191" t="str">
        <f aca="false">Scoring!CW61</f>
        <v/>
      </c>
      <c r="E54" s="7" t="str">
        <f aca="false">Scoring!BX61</f>
        <v/>
      </c>
      <c r="F54" s="7" t="n">
        <f aca="false">Scoring!B61</f>
        <v>0</v>
      </c>
      <c r="G54" s="7" t="n">
        <f aca="false">Scoring!D61</f>
        <v>0</v>
      </c>
      <c r="H54" s="7" t="str">
        <f aca="false">Scoring!CY61</f>
        <v/>
      </c>
      <c r="I54" s="192" t="str">
        <f aca="false">Scoring!CX61</f>
        <v/>
      </c>
    </row>
    <row r="55" customFormat="false" ht="15.75" hidden="false" customHeight="false" outlineLevel="0" collapsed="false">
      <c r="A55" s="7" t="str">
        <f aca="false">Scoring!DA62</f>
        <v/>
      </c>
      <c r="B55" s="7" t="str">
        <f aca="false">Scoring!CZ62</f>
        <v/>
      </c>
      <c r="C55" s="7" t="n">
        <f aca="false">Scoring!C62</f>
        <v>0</v>
      </c>
      <c r="D55" s="191" t="str">
        <f aca="false">Scoring!CW62</f>
        <v/>
      </c>
      <c r="E55" s="7" t="str">
        <f aca="false">Scoring!BX62</f>
        <v/>
      </c>
      <c r="F55" s="7" t="n">
        <f aca="false">Scoring!B62</f>
        <v>0</v>
      </c>
      <c r="G55" s="7" t="n">
        <f aca="false">Scoring!D62</f>
        <v>0</v>
      </c>
      <c r="H55" s="7" t="str">
        <f aca="false">Scoring!CY62</f>
        <v/>
      </c>
      <c r="I55" s="192" t="str">
        <f aca="false">Scoring!CX62</f>
        <v/>
      </c>
    </row>
    <row r="56" customFormat="false" ht="15.75" hidden="false" customHeight="false" outlineLevel="0" collapsed="false">
      <c r="A56" s="7" t="str">
        <f aca="false">Scoring!DA63</f>
        <v/>
      </c>
      <c r="B56" s="7" t="str">
        <f aca="false">Scoring!CZ63</f>
        <v/>
      </c>
      <c r="C56" s="7" t="n">
        <f aca="false">Scoring!C63</f>
        <v>0</v>
      </c>
      <c r="D56" s="191" t="str">
        <f aca="false">Scoring!CW63</f>
        <v/>
      </c>
      <c r="E56" s="7" t="str">
        <f aca="false">Scoring!BX63</f>
        <v/>
      </c>
      <c r="F56" s="7" t="n">
        <f aca="false">Scoring!B63</f>
        <v>0</v>
      </c>
      <c r="G56" s="7" t="n">
        <f aca="false">Scoring!D63</f>
        <v>0</v>
      </c>
      <c r="H56" s="7" t="str">
        <f aca="false">Scoring!CY63</f>
        <v/>
      </c>
      <c r="I56" s="192" t="str">
        <f aca="false">Scoring!CX63</f>
        <v/>
      </c>
    </row>
    <row r="57" customFormat="false" ht="15.75" hidden="false" customHeight="false" outlineLevel="0" collapsed="false">
      <c r="A57" s="7" t="str">
        <f aca="false">Scoring!DA64</f>
        <v/>
      </c>
      <c r="B57" s="7" t="str">
        <f aca="false">Scoring!CZ64</f>
        <v/>
      </c>
      <c r="C57" s="7" t="n">
        <f aca="false">Scoring!C64</f>
        <v>0</v>
      </c>
      <c r="D57" s="191" t="str">
        <f aca="false">Scoring!CW64</f>
        <v/>
      </c>
      <c r="E57" s="7" t="str">
        <f aca="false">Scoring!BX64</f>
        <v/>
      </c>
      <c r="F57" s="7" t="n">
        <f aca="false">Scoring!B64</f>
        <v>0</v>
      </c>
      <c r="G57" s="7" t="n">
        <f aca="false">Scoring!D64</f>
        <v>0</v>
      </c>
      <c r="H57" s="7" t="str">
        <f aca="false">Scoring!CY64</f>
        <v/>
      </c>
      <c r="I57" s="192" t="str">
        <f aca="false">Scoring!CX64</f>
        <v/>
      </c>
    </row>
    <row r="58" customFormat="false" ht="15.75" hidden="false" customHeight="false" outlineLevel="0" collapsed="false">
      <c r="A58" s="7" t="str">
        <f aca="false">Scoring!DA65</f>
        <v/>
      </c>
      <c r="B58" s="7" t="str">
        <f aca="false">Scoring!CZ65</f>
        <v/>
      </c>
      <c r="C58" s="7" t="n">
        <f aca="false">Scoring!C65</f>
        <v>0</v>
      </c>
      <c r="D58" s="191" t="str">
        <f aca="false">Scoring!CW65</f>
        <v/>
      </c>
      <c r="E58" s="7" t="str">
        <f aca="false">Scoring!BX65</f>
        <v/>
      </c>
      <c r="F58" s="7" t="n">
        <f aca="false">Scoring!B65</f>
        <v>0</v>
      </c>
      <c r="G58" s="7" t="n">
        <f aca="false">Scoring!D65</f>
        <v>0</v>
      </c>
      <c r="H58" s="7" t="str">
        <f aca="false">Scoring!CY65</f>
        <v/>
      </c>
      <c r="I58" s="192" t="str">
        <f aca="false">Scoring!CX65</f>
        <v/>
      </c>
    </row>
    <row r="59" customFormat="false" ht="15.75" hidden="false" customHeight="false" outlineLevel="0" collapsed="false">
      <c r="A59" s="7" t="str">
        <f aca="false">Scoring!DA66</f>
        <v/>
      </c>
      <c r="B59" s="7" t="str">
        <f aca="false">Scoring!CZ66</f>
        <v/>
      </c>
      <c r="C59" s="7" t="n">
        <f aca="false">Scoring!C66</f>
        <v>0</v>
      </c>
      <c r="D59" s="191" t="str">
        <f aca="false">Scoring!CW66</f>
        <v/>
      </c>
      <c r="E59" s="7" t="str">
        <f aca="false">Scoring!BX66</f>
        <v/>
      </c>
      <c r="F59" s="7" t="n">
        <f aca="false">Scoring!B66</f>
        <v>0</v>
      </c>
      <c r="G59" s="7" t="n">
        <f aca="false">Scoring!D66</f>
        <v>0</v>
      </c>
      <c r="H59" s="7" t="str">
        <f aca="false">Scoring!CY66</f>
        <v/>
      </c>
      <c r="I59" s="192" t="str">
        <f aca="false">Scoring!CX66</f>
        <v/>
      </c>
    </row>
    <row r="60" customFormat="false" ht="15.75" hidden="false" customHeight="false" outlineLevel="0" collapsed="false">
      <c r="A60" s="7" t="str">
        <f aca="false">Scoring!DA67</f>
        <v/>
      </c>
      <c r="B60" s="7" t="str">
        <f aca="false">Scoring!CZ67</f>
        <v/>
      </c>
      <c r="C60" s="7" t="n">
        <f aca="false">Scoring!C67</f>
        <v>0</v>
      </c>
      <c r="D60" s="191" t="str">
        <f aca="false">Scoring!CW67</f>
        <v/>
      </c>
      <c r="E60" s="7" t="str">
        <f aca="false">Scoring!BX67</f>
        <v/>
      </c>
      <c r="F60" s="7" t="n">
        <f aca="false">Scoring!B67</f>
        <v>0</v>
      </c>
      <c r="G60" s="7" t="n">
        <f aca="false">Scoring!D67</f>
        <v>0</v>
      </c>
      <c r="H60" s="7" t="str">
        <f aca="false">Scoring!CY67</f>
        <v/>
      </c>
      <c r="I60" s="192" t="str">
        <f aca="false">Scoring!CX67</f>
        <v/>
      </c>
    </row>
    <row r="61" customFormat="false" ht="15.75" hidden="false" customHeight="false" outlineLevel="0" collapsed="false">
      <c r="A61" s="7" t="str">
        <f aca="false">Scoring!DA68</f>
        <v/>
      </c>
      <c r="B61" s="7" t="str">
        <f aca="false">Scoring!CZ68</f>
        <v/>
      </c>
      <c r="C61" s="7" t="n">
        <f aca="false">Scoring!C68</f>
        <v>0</v>
      </c>
      <c r="D61" s="191" t="str">
        <f aca="false">Scoring!CW68</f>
        <v/>
      </c>
      <c r="E61" s="7" t="str">
        <f aca="false">Scoring!BX68</f>
        <v/>
      </c>
      <c r="F61" s="7" t="n">
        <f aca="false">Scoring!B68</f>
        <v>0</v>
      </c>
      <c r="G61" s="7" t="n">
        <f aca="false">Scoring!D68</f>
        <v>0</v>
      </c>
      <c r="H61" s="7" t="str">
        <f aca="false">Scoring!CY68</f>
        <v/>
      </c>
      <c r="I61" s="192" t="str">
        <f aca="false">Scoring!CX68</f>
        <v/>
      </c>
    </row>
    <row r="62" customFormat="false" ht="15.75" hidden="false" customHeight="false" outlineLevel="0" collapsed="false">
      <c r="A62" s="7" t="str">
        <f aca="false">Scoring!DA69</f>
        <v/>
      </c>
      <c r="B62" s="7" t="str">
        <f aca="false">Scoring!CZ69</f>
        <v/>
      </c>
      <c r="C62" s="7" t="n">
        <f aca="false">Scoring!C69</f>
        <v>0</v>
      </c>
      <c r="D62" s="191" t="str">
        <f aca="false">Scoring!CW69</f>
        <v/>
      </c>
      <c r="E62" s="7" t="str">
        <f aca="false">Scoring!BX69</f>
        <v/>
      </c>
      <c r="F62" s="7" t="n">
        <f aca="false">Scoring!B69</f>
        <v>0</v>
      </c>
      <c r="G62" s="7" t="n">
        <f aca="false">Scoring!D69</f>
        <v>0</v>
      </c>
      <c r="H62" s="7" t="str">
        <f aca="false">Scoring!CY69</f>
        <v/>
      </c>
      <c r="I62" s="192" t="str">
        <f aca="false">Scoring!CX69</f>
        <v/>
      </c>
    </row>
    <row r="63" customFormat="false" ht="15.75" hidden="false" customHeight="false" outlineLevel="0" collapsed="false">
      <c r="A63" s="7" t="str">
        <f aca="false">Scoring!DA70</f>
        <v/>
      </c>
      <c r="B63" s="7" t="str">
        <f aca="false">Scoring!CZ70</f>
        <v/>
      </c>
      <c r="C63" s="7" t="n">
        <f aca="false">Scoring!C70</f>
        <v>0</v>
      </c>
      <c r="D63" s="191" t="str">
        <f aca="false">Scoring!CW70</f>
        <v/>
      </c>
      <c r="E63" s="7" t="str">
        <f aca="false">Scoring!BX70</f>
        <v/>
      </c>
      <c r="F63" s="7" t="n">
        <f aca="false">Scoring!B70</f>
        <v>0</v>
      </c>
      <c r="G63" s="7" t="n">
        <f aca="false">Scoring!D70</f>
        <v>0</v>
      </c>
      <c r="H63" s="7" t="str">
        <f aca="false">Scoring!CY70</f>
        <v/>
      </c>
      <c r="I63" s="192" t="str">
        <f aca="false">Scoring!CX70</f>
        <v/>
      </c>
    </row>
    <row r="64" customFormat="false" ht="15.75" hidden="false" customHeight="false" outlineLevel="0" collapsed="false">
      <c r="A64" s="7" t="str">
        <f aca="false">Scoring!DA71</f>
        <v/>
      </c>
      <c r="B64" s="7" t="str">
        <f aca="false">Scoring!CZ71</f>
        <v/>
      </c>
      <c r="C64" s="7" t="n">
        <f aca="false">Scoring!C71</f>
        <v>0</v>
      </c>
      <c r="D64" s="191" t="str">
        <f aca="false">Scoring!CW71</f>
        <v/>
      </c>
      <c r="E64" s="7" t="str">
        <f aca="false">Scoring!BX71</f>
        <v/>
      </c>
      <c r="F64" s="7" t="n">
        <f aca="false">Scoring!B71</f>
        <v>0</v>
      </c>
      <c r="G64" s="7" t="n">
        <f aca="false">Scoring!D71</f>
        <v>0</v>
      </c>
      <c r="H64" s="7" t="str">
        <f aca="false">Scoring!CY71</f>
        <v/>
      </c>
      <c r="I64" s="192" t="str">
        <f aca="false">Scoring!CX71</f>
        <v/>
      </c>
    </row>
    <row r="65" customFormat="false" ht="15.75" hidden="false" customHeight="false" outlineLevel="0" collapsed="false">
      <c r="A65" s="7" t="str">
        <f aca="false">Scoring!DA72</f>
        <v/>
      </c>
      <c r="B65" s="7" t="str">
        <f aca="false">Scoring!CZ72</f>
        <v/>
      </c>
      <c r="C65" s="7" t="n">
        <f aca="false">Scoring!C72</f>
        <v>0</v>
      </c>
      <c r="D65" s="191" t="str">
        <f aca="false">Scoring!CW72</f>
        <v/>
      </c>
      <c r="E65" s="7" t="str">
        <f aca="false">Scoring!BX72</f>
        <v/>
      </c>
      <c r="F65" s="7" t="n">
        <f aca="false">Scoring!B72</f>
        <v>0</v>
      </c>
      <c r="G65" s="7" t="n">
        <f aca="false">Scoring!D72</f>
        <v>0</v>
      </c>
      <c r="H65" s="7" t="str">
        <f aca="false">Scoring!CY72</f>
        <v/>
      </c>
      <c r="I65" s="192" t="str">
        <f aca="false">Scoring!CX72</f>
        <v/>
      </c>
    </row>
    <row r="66" customFormat="false" ht="15.75" hidden="false" customHeight="false" outlineLevel="0" collapsed="false">
      <c r="A66" s="7" t="str">
        <f aca="false">Scoring!DA73</f>
        <v/>
      </c>
      <c r="B66" s="7" t="str">
        <f aca="false">Scoring!CZ73</f>
        <v/>
      </c>
      <c r="C66" s="7" t="n">
        <f aca="false">Scoring!C73</f>
        <v>0</v>
      </c>
      <c r="D66" s="191" t="str">
        <f aca="false">Scoring!CW73</f>
        <v/>
      </c>
      <c r="E66" s="7" t="str">
        <f aca="false">Scoring!BX73</f>
        <v/>
      </c>
      <c r="F66" s="7" t="n">
        <f aca="false">Scoring!B73</f>
        <v>0</v>
      </c>
      <c r="G66" s="7" t="n">
        <f aca="false">Scoring!D73</f>
        <v>0</v>
      </c>
      <c r="H66" s="7" t="str">
        <f aca="false">Scoring!CY73</f>
        <v/>
      </c>
      <c r="I66" s="192" t="str">
        <f aca="false">Scoring!CX73</f>
        <v/>
      </c>
    </row>
    <row r="67" customFormat="false" ht="15.75" hidden="false" customHeight="false" outlineLevel="0" collapsed="false">
      <c r="A67" s="7" t="str">
        <f aca="false">Scoring!DA74</f>
        <v/>
      </c>
      <c r="B67" s="7" t="str">
        <f aca="false">Scoring!CZ74</f>
        <v/>
      </c>
      <c r="C67" s="7" t="n">
        <f aca="false">Scoring!C74</f>
        <v>0</v>
      </c>
      <c r="D67" s="191" t="str">
        <f aca="false">Scoring!CW74</f>
        <v/>
      </c>
      <c r="E67" s="7" t="str">
        <f aca="false">Scoring!BX74</f>
        <v/>
      </c>
      <c r="F67" s="7" t="n">
        <f aca="false">Scoring!B74</f>
        <v>0</v>
      </c>
      <c r="G67" s="7" t="n">
        <f aca="false">Scoring!D74</f>
        <v>0</v>
      </c>
      <c r="H67" s="7" t="str">
        <f aca="false">Scoring!CY74</f>
        <v/>
      </c>
      <c r="I67" s="192" t="str">
        <f aca="false">Scoring!CX74</f>
        <v/>
      </c>
    </row>
    <row r="68" customFormat="false" ht="15.75" hidden="false" customHeight="false" outlineLevel="0" collapsed="false">
      <c r="A68" s="7" t="str">
        <f aca="false">Scoring!DA75</f>
        <v/>
      </c>
      <c r="B68" s="7" t="str">
        <f aca="false">Scoring!CZ75</f>
        <v/>
      </c>
      <c r="C68" s="7" t="n">
        <f aca="false">Scoring!C75</f>
        <v>0</v>
      </c>
      <c r="D68" s="191" t="str">
        <f aca="false">Scoring!CW75</f>
        <v/>
      </c>
      <c r="E68" s="7" t="str">
        <f aca="false">Scoring!BX75</f>
        <v/>
      </c>
      <c r="F68" s="7" t="n">
        <f aca="false">Scoring!B75</f>
        <v>0</v>
      </c>
      <c r="G68" s="7" t="n">
        <f aca="false">Scoring!D75</f>
        <v>0</v>
      </c>
      <c r="H68" s="7" t="str">
        <f aca="false">Scoring!CY75</f>
        <v/>
      </c>
      <c r="I68" s="192" t="str">
        <f aca="false">Scoring!CX75</f>
        <v/>
      </c>
    </row>
    <row r="69" customFormat="false" ht="15.75" hidden="false" customHeight="false" outlineLevel="0" collapsed="false">
      <c r="A69" s="7" t="str">
        <f aca="false">Scoring!DA76</f>
        <v/>
      </c>
      <c r="B69" s="7" t="str">
        <f aca="false">Scoring!CZ76</f>
        <v/>
      </c>
      <c r="C69" s="7" t="n">
        <f aca="false">Scoring!C76</f>
        <v>0</v>
      </c>
      <c r="D69" s="191" t="str">
        <f aca="false">Scoring!CW76</f>
        <v/>
      </c>
      <c r="E69" s="7" t="str">
        <f aca="false">Scoring!BX76</f>
        <v/>
      </c>
      <c r="F69" s="7" t="n">
        <f aca="false">Scoring!B76</f>
        <v>0</v>
      </c>
      <c r="G69" s="7" t="n">
        <f aca="false">Scoring!D76</f>
        <v>0</v>
      </c>
      <c r="H69" s="7" t="str">
        <f aca="false">Scoring!CY76</f>
        <v/>
      </c>
      <c r="I69" s="192" t="str">
        <f aca="false">Scoring!CX76</f>
        <v/>
      </c>
    </row>
    <row r="70" customFormat="false" ht="15.75" hidden="false" customHeight="false" outlineLevel="0" collapsed="false">
      <c r="A70" s="7" t="str">
        <f aca="false">Scoring!DA77</f>
        <v/>
      </c>
      <c r="B70" s="7" t="str">
        <f aca="false">Scoring!CZ77</f>
        <v/>
      </c>
      <c r="C70" s="7" t="n">
        <f aca="false">Scoring!C77</f>
        <v>0</v>
      </c>
      <c r="D70" s="191" t="str">
        <f aca="false">Scoring!CW77</f>
        <v/>
      </c>
      <c r="E70" s="7" t="str">
        <f aca="false">Scoring!BX77</f>
        <v/>
      </c>
      <c r="F70" s="7" t="n">
        <f aca="false">Scoring!B77</f>
        <v>0</v>
      </c>
      <c r="G70" s="7" t="n">
        <f aca="false">Scoring!D77</f>
        <v>0</v>
      </c>
      <c r="H70" s="7" t="str">
        <f aca="false">Scoring!CY77</f>
        <v/>
      </c>
      <c r="I70" s="192" t="str">
        <f aca="false">Scoring!CX77</f>
        <v/>
      </c>
    </row>
    <row r="71" customFormat="false" ht="15.75" hidden="false" customHeight="false" outlineLevel="0" collapsed="false">
      <c r="A71" s="7" t="str">
        <f aca="false">Scoring!DA78</f>
        <v/>
      </c>
      <c r="B71" s="7" t="str">
        <f aca="false">Scoring!CZ78</f>
        <v/>
      </c>
      <c r="C71" s="7" t="n">
        <f aca="false">Scoring!C78</f>
        <v>0</v>
      </c>
      <c r="D71" s="191" t="str">
        <f aca="false">Scoring!CW78</f>
        <v/>
      </c>
      <c r="E71" s="7" t="str">
        <f aca="false">Scoring!BX78</f>
        <v/>
      </c>
      <c r="F71" s="7" t="n">
        <f aca="false">Scoring!B78</f>
        <v>0</v>
      </c>
      <c r="G71" s="7" t="n">
        <f aca="false">Scoring!D78</f>
        <v>0</v>
      </c>
      <c r="H71" s="7" t="str">
        <f aca="false">Scoring!CY78</f>
        <v/>
      </c>
      <c r="I71" s="192" t="str">
        <f aca="false">Scoring!CX78</f>
        <v/>
      </c>
    </row>
    <row r="72" customFormat="false" ht="15.75" hidden="false" customHeight="false" outlineLevel="0" collapsed="false">
      <c r="A72" s="7" t="str">
        <f aca="false">Scoring!DA79</f>
        <v/>
      </c>
      <c r="B72" s="7" t="str">
        <f aca="false">Scoring!CZ79</f>
        <v/>
      </c>
      <c r="C72" s="7" t="n">
        <f aca="false">Scoring!C79</f>
        <v>0</v>
      </c>
      <c r="D72" s="191" t="str">
        <f aca="false">Scoring!CW79</f>
        <v/>
      </c>
      <c r="E72" s="7" t="str">
        <f aca="false">Scoring!BX79</f>
        <v/>
      </c>
      <c r="F72" s="7" t="n">
        <f aca="false">Scoring!B79</f>
        <v>0</v>
      </c>
      <c r="G72" s="7" t="n">
        <f aca="false">Scoring!D79</f>
        <v>0</v>
      </c>
      <c r="H72" s="7" t="str">
        <f aca="false">Scoring!CY79</f>
        <v/>
      </c>
      <c r="I72" s="192" t="str">
        <f aca="false">Scoring!CX79</f>
        <v/>
      </c>
    </row>
    <row r="73" customFormat="false" ht="15.75" hidden="false" customHeight="false" outlineLevel="0" collapsed="false">
      <c r="A73" s="7" t="str">
        <f aca="false">Scoring!DA80</f>
        <v/>
      </c>
      <c r="B73" s="7" t="str">
        <f aca="false">Scoring!CZ80</f>
        <v/>
      </c>
      <c r="C73" s="7" t="n">
        <f aca="false">Scoring!C80</f>
        <v>0</v>
      </c>
      <c r="D73" s="191" t="str">
        <f aca="false">Scoring!CW80</f>
        <v/>
      </c>
      <c r="E73" s="7" t="str">
        <f aca="false">Scoring!BX80</f>
        <v/>
      </c>
      <c r="F73" s="7" t="n">
        <f aca="false">Scoring!B80</f>
        <v>0</v>
      </c>
      <c r="G73" s="7" t="n">
        <f aca="false">Scoring!D80</f>
        <v>0</v>
      </c>
      <c r="H73" s="7" t="str">
        <f aca="false">Scoring!CY80</f>
        <v/>
      </c>
      <c r="I73" s="192" t="str">
        <f aca="false">Scoring!CX80</f>
        <v/>
      </c>
    </row>
    <row r="74" customFormat="false" ht="15.75" hidden="false" customHeight="false" outlineLevel="0" collapsed="false">
      <c r="A74" s="7" t="str">
        <f aca="false">Scoring!DA81</f>
        <v/>
      </c>
      <c r="B74" s="7" t="str">
        <f aca="false">Scoring!CZ81</f>
        <v/>
      </c>
      <c r="C74" s="7" t="n">
        <f aca="false">Scoring!C81</f>
        <v>0</v>
      </c>
      <c r="D74" s="191" t="str">
        <f aca="false">Scoring!CW81</f>
        <v/>
      </c>
      <c r="E74" s="7" t="str">
        <f aca="false">Scoring!BX81</f>
        <v/>
      </c>
      <c r="F74" s="7" t="n">
        <f aca="false">Scoring!B81</f>
        <v>0</v>
      </c>
      <c r="G74" s="7" t="n">
        <f aca="false">Scoring!D81</f>
        <v>0</v>
      </c>
      <c r="H74" s="7" t="str">
        <f aca="false">Scoring!CY81</f>
        <v/>
      </c>
      <c r="I74" s="192" t="str">
        <f aca="false">Scoring!CX81</f>
        <v/>
      </c>
    </row>
    <row r="75" customFormat="false" ht="15.75" hidden="false" customHeight="false" outlineLevel="0" collapsed="false">
      <c r="A75" s="7" t="str">
        <f aca="false">Scoring!DA82</f>
        <v/>
      </c>
      <c r="B75" s="7" t="str">
        <f aca="false">Scoring!CZ82</f>
        <v/>
      </c>
      <c r="C75" s="7" t="n">
        <f aca="false">Scoring!C82</f>
        <v>0</v>
      </c>
      <c r="D75" s="191" t="str">
        <f aca="false">Scoring!CW82</f>
        <v/>
      </c>
      <c r="E75" s="7" t="str">
        <f aca="false">Scoring!BX82</f>
        <v/>
      </c>
      <c r="F75" s="7" t="n">
        <f aca="false">Scoring!B82</f>
        <v>0</v>
      </c>
      <c r="G75" s="7" t="n">
        <f aca="false">Scoring!D82</f>
        <v>0</v>
      </c>
      <c r="H75" s="7" t="str">
        <f aca="false">Scoring!CY82</f>
        <v/>
      </c>
      <c r="I75" s="192" t="str">
        <f aca="false">Scoring!CX82</f>
        <v/>
      </c>
    </row>
    <row r="76" customFormat="false" ht="15.75" hidden="false" customHeight="false" outlineLevel="0" collapsed="false">
      <c r="A76" s="7" t="str">
        <f aca="false">Scoring!DA83</f>
        <v/>
      </c>
      <c r="B76" s="7" t="str">
        <f aca="false">Scoring!CZ83</f>
        <v/>
      </c>
      <c r="C76" s="7" t="n">
        <f aca="false">Scoring!C83</f>
        <v>0</v>
      </c>
      <c r="D76" s="191" t="str">
        <f aca="false">Scoring!CW83</f>
        <v/>
      </c>
      <c r="E76" s="7" t="str">
        <f aca="false">Scoring!BX83</f>
        <v/>
      </c>
      <c r="F76" s="7" t="n">
        <f aca="false">Scoring!B83</f>
        <v>0</v>
      </c>
      <c r="G76" s="7" t="n">
        <f aca="false">Scoring!D83</f>
        <v>0</v>
      </c>
      <c r="H76" s="7" t="str">
        <f aca="false">Scoring!CY83</f>
        <v/>
      </c>
      <c r="I76" s="192" t="str">
        <f aca="false">Scoring!CX83</f>
        <v/>
      </c>
    </row>
    <row r="77" customFormat="false" ht="15.75" hidden="false" customHeight="false" outlineLevel="0" collapsed="false">
      <c r="A77" s="7" t="str">
        <f aca="false">Scoring!DA84</f>
        <v/>
      </c>
      <c r="B77" s="7" t="str">
        <f aca="false">Scoring!CZ84</f>
        <v/>
      </c>
      <c r="C77" s="7" t="n">
        <f aca="false">Scoring!C84</f>
        <v>0</v>
      </c>
      <c r="D77" s="191" t="str">
        <f aca="false">Scoring!CW84</f>
        <v/>
      </c>
      <c r="E77" s="7" t="str">
        <f aca="false">Scoring!BX84</f>
        <v/>
      </c>
      <c r="F77" s="7" t="n">
        <f aca="false">Scoring!B84</f>
        <v>0</v>
      </c>
      <c r="G77" s="7" t="n">
        <f aca="false">Scoring!D84</f>
        <v>0</v>
      </c>
      <c r="H77" s="7" t="str">
        <f aca="false">Scoring!CY84</f>
        <v/>
      </c>
      <c r="I77" s="192" t="str">
        <f aca="false">Scoring!CX84</f>
        <v/>
      </c>
    </row>
    <row r="78" customFormat="false" ht="15.75" hidden="false" customHeight="false" outlineLevel="0" collapsed="false">
      <c r="A78" s="7" t="str">
        <f aca="false">Scoring!DA85</f>
        <v/>
      </c>
      <c r="B78" s="7" t="str">
        <f aca="false">Scoring!CZ85</f>
        <v/>
      </c>
      <c r="C78" s="7" t="n">
        <f aca="false">Scoring!C85</f>
        <v>0</v>
      </c>
      <c r="D78" s="191" t="str">
        <f aca="false">Scoring!CW85</f>
        <v/>
      </c>
      <c r="E78" s="7" t="str">
        <f aca="false">Scoring!BX85</f>
        <v/>
      </c>
      <c r="F78" s="7" t="n">
        <f aca="false">Scoring!B85</f>
        <v>0</v>
      </c>
      <c r="G78" s="7" t="n">
        <f aca="false">Scoring!D85</f>
        <v>0</v>
      </c>
      <c r="H78" s="7" t="str">
        <f aca="false">Scoring!CY85</f>
        <v/>
      </c>
      <c r="I78" s="192" t="str">
        <f aca="false">Scoring!CX85</f>
        <v/>
      </c>
    </row>
    <row r="79" customFormat="false" ht="15.75" hidden="false" customHeight="false" outlineLevel="0" collapsed="false">
      <c r="A79" s="7" t="str">
        <f aca="false">Scoring!DA86</f>
        <v/>
      </c>
      <c r="B79" s="7" t="str">
        <f aca="false">Scoring!CZ86</f>
        <v/>
      </c>
      <c r="C79" s="7" t="n">
        <f aca="false">Scoring!C86</f>
        <v>0</v>
      </c>
      <c r="D79" s="191" t="str">
        <f aca="false">Scoring!CW86</f>
        <v/>
      </c>
      <c r="E79" s="7" t="str">
        <f aca="false">Scoring!BX86</f>
        <v/>
      </c>
      <c r="F79" s="7" t="n">
        <f aca="false">Scoring!B86</f>
        <v>0</v>
      </c>
      <c r="G79" s="7" t="n">
        <f aca="false">Scoring!D86</f>
        <v>0</v>
      </c>
      <c r="H79" s="7" t="str">
        <f aca="false">Scoring!CY86</f>
        <v/>
      </c>
      <c r="I79" s="192" t="str">
        <f aca="false">Scoring!CX86</f>
        <v/>
      </c>
    </row>
    <row r="80" customFormat="false" ht="15.75" hidden="false" customHeight="false" outlineLevel="0" collapsed="false">
      <c r="A80" s="7" t="str">
        <f aca="false">Scoring!DA87</f>
        <v/>
      </c>
      <c r="B80" s="7" t="str">
        <f aca="false">Scoring!CZ87</f>
        <v/>
      </c>
      <c r="C80" s="7" t="n">
        <f aca="false">Scoring!C87</f>
        <v>0</v>
      </c>
      <c r="D80" s="191" t="str">
        <f aca="false">Scoring!CW87</f>
        <v/>
      </c>
      <c r="E80" s="7" t="str">
        <f aca="false">Scoring!BX87</f>
        <v/>
      </c>
      <c r="F80" s="7" t="n">
        <f aca="false">Scoring!B87</f>
        <v>0</v>
      </c>
      <c r="G80" s="7" t="n">
        <f aca="false">Scoring!D87</f>
        <v>0</v>
      </c>
      <c r="H80" s="7" t="str">
        <f aca="false">Scoring!CY87</f>
        <v/>
      </c>
      <c r="I80" s="192" t="str">
        <f aca="false">Scoring!CX87</f>
        <v/>
      </c>
    </row>
    <row r="81" customFormat="false" ht="15.75" hidden="false" customHeight="false" outlineLevel="0" collapsed="false">
      <c r="A81" s="7" t="str">
        <f aca="false">Scoring!DA88</f>
        <v/>
      </c>
      <c r="B81" s="7" t="str">
        <f aca="false">Scoring!CZ88</f>
        <v/>
      </c>
      <c r="C81" s="7" t="n">
        <f aca="false">Scoring!C88</f>
        <v>0</v>
      </c>
      <c r="D81" s="191" t="str">
        <f aca="false">Scoring!CW88</f>
        <v/>
      </c>
      <c r="E81" s="7" t="str">
        <f aca="false">Scoring!BX88</f>
        <v/>
      </c>
      <c r="F81" s="7" t="n">
        <f aca="false">Scoring!B88</f>
        <v>0</v>
      </c>
      <c r="G81" s="7" t="n">
        <f aca="false">Scoring!D88</f>
        <v>0</v>
      </c>
      <c r="H81" s="7" t="str">
        <f aca="false">Scoring!CY88</f>
        <v/>
      </c>
      <c r="I81" s="192" t="str">
        <f aca="false">Scoring!CX88</f>
        <v/>
      </c>
    </row>
    <row r="82" customFormat="false" ht="15.75" hidden="false" customHeight="false" outlineLevel="0" collapsed="false">
      <c r="A82" s="7" t="str">
        <f aca="false">Scoring!DA89</f>
        <v/>
      </c>
      <c r="B82" s="7" t="str">
        <f aca="false">Scoring!CZ89</f>
        <v/>
      </c>
      <c r="C82" s="7" t="n">
        <f aca="false">Scoring!C89</f>
        <v>0</v>
      </c>
      <c r="D82" s="191" t="str">
        <f aca="false">Scoring!CW89</f>
        <v/>
      </c>
      <c r="E82" s="7" t="str">
        <f aca="false">Scoring!BX89</f>
        <v/>
      </c>
      <c r="F82" s="7" t="n">
        <f aca="false">Scoring!B89</f>
        <v>0</v>
      </c>
      <c r="G82" s="7" t="n">
        <f aca="false">Scoring!D89</f>
        <v>0</v>
      </c>
      <c r="H82" s="7" t="str">
        <f aca="false">Scoring!CY89</f>
        <v/>
      </c>
      <c r="I82" s="192" t="str">
        <f aca="false">Scoring!CX89</f>
        <v/>
      </c>
    </row>
    <row r="83" customFormat="false" ht="15.75" hidden="false" customHeight="false" outlineLevel="0" collapsed="false">
      <c r="A83" s="7" t="str">
        <f aca="false">Scoring!DA90</f>
        <v/>
      </c>
      <c r="B83" s="7" t="str">
        <f aca="false">Scoring!CZ90</f>
        <v/>
      </c>
      <c r="C83" s="7" t="n">
        <f aca="false">Scoring!C90</f>
        <v>0</v>
      </c>
      <c r="D83" s="191" t="str">
        <f aca="false">Scoring!CW90</f>
        <v/>
      </c>
      <c r="E83" s="7" t="str">
        <f aca="false">Scoring!BX90</f>
        <v/>
      </c>
      <c r="F83" s="7" t="n">
        <f aca="false">Scoring!B90</f>
        <v>0</v>
      </c>
      <c r="G83" s="7" t="n">
        <f aca="false">Scoring!D90</f>
        <v>0</v>
      </c>
      <c r="H83" s="7" t="str">
        <f aca="false">Scoring!CY90</f>
        <v/>
      </c>
      <c r="I83" s="192" t="str">
        <f aca="false">Scoring!CX90</f>
        <v/>
      </c>
    </row>
    <row r="84" customFormat="false" ht="15.75" hidden="false" customHeight="false" outlineLevel="0" collapsed="false">
      <c r="A84" s="7" t="str">
        <f aca="false">Scoring!DA91</f>
        <v/>
      </c>
      <c r="B84" s="7" t="str">
        <f aca="false">Scoring!CZ91</f>
        <v/>
      </c>
      <c r="C84" s="7" t="n">
        <f aca="false">Scoring!C91</f>
        <v>0</v>
      </c>
      <c r="D84" s="191" t="str">
        <f aca="false">Scoring!CW91</f>
        <v/>
      </c>
      <c r="E84" s="7" t="str">
        <f aca="false">Scoring!BX91</f>
        <v/>
      </c>
      <c r="F84" s="7" t="n">
        <f aca="false">Scoring!B91</f>
        <v>0</v>
      </c>
      <c r="G84" s="7" t="n">
        <f aca="false">Scoring!D91</f>
        <v>0</v>
      </c>
      <c r="H84" s="7" t="str">
        <f aca="false">Scoring!CY91</f>
        <v/>
      </c>
      <c r="I84" s="192" t="str">
        <f aca="false">Scoring!CX91</f>
        <v/>
      </c>
    </row>
    <row r="85" customFormat="false" ht="15.75" hidden="false" customHeight="false" outlineLevel="0" collapsed="false">
      <c r="A85" s="7" t="str">
        <f aca="false">Scoring!DA92</f>
        <v/>
      </c>
      <c r="B85" s="7" t="str">
        <f aca="false">Scoring!CZ92</f>
        <v/>
      </c>
      <c r="C85" s="7" t="n">
        <f aca="false">Scoring!C92</f>
        <v>0</v>
      </c>
      <c r="D85" s="191" t="str">
        <f aca="false">Scoring!CW92</f>
        <v/>
      </c>
      <c r="E85" s="7" t="str">
        <f aca="false">Scoring!BX92</f>
        <v/>
      </c>
      <c r="F85" s="7" t="n">
        <f aca="false">Scoring!B92</f>
        <v>0</v>
      </c>
      <c r="G85" s="7" t="n">
        <f aca="false">Scoring!D92</f>
        <v>0</v>
      </c>
      <c r="H85" s="7" t="str">
        <f aca="false">Scoring!CY92</f>
        <v/>
      </c>
      <c r="I85" s="192" t="str">
        <f aca="false">Scoring!CX92</f>
        <v/>
      </c>
    </row>
    <row r="86" customFormat="false" ht="15.75" hidden="false" customHeight="false" outlineLevel="0" collapsed="false">
      <c r="A86" s="7" t="str">
        <f aca="false">Scoring!DA93</f>
        <v/>
      </c>
      <c r="B86" s="7" t="str">
        <f aca="false">Scoring!CZ93</f>
        <v/>
      </c>
      <c r="C86" s="7" t="n">
        <f aca="false">Scoring!C93</f>
        <v>0</v>
      </c>
      <c r="D86" s="191" t="str">
        <f aca="false">Scoring!CW93</f>
        <v/>
      </c>
      <c r="E86" s="7" t="str">
        <f aca="false">Scoring!BX93</f>
        <v/>
      </c>
      <c r="F86" s="7" t="n">
        <f aca="false">Scoring!B93</f>
        <v>0</v>
      </c>
      <c r="G86" s="7" t="n">
        <f aca="false">Scoring!D93</f>
        <v>0</v>
      </c>
      <c r="H86" s="7" t="str">
        <f aca="false">Scoring!CY93</f>
        <v/>
      </c>
      <c r="I86" s="192" t="str">
        <f aca="false">Scoring!CX93</f>
        <v/>
      </c>
    </row>
    <row r="87" customFormat="false" ht="15.75" hidden="false" customHeight="false" outlineLevel="0" collapsed="false">
      <c r="A87" s="7" t="str">
        <f aca="false">Scoring!DA94</f>
        <v/>
      </c>
      <c r="B87" s="7" t="str">
        <f aca="false">Scoring!CZ94</f>
        <v/>
      </c>
      <c r="C87" s="7" t="n">
        <f aca="false">Scoring!C94</f>
        <v>0</v>
      </c>
      <c r="D87" s="191" t="str">
        <f aca="false">Scoring!CW94</f>
        <v/>
      </c>
      <c r="E87" s="7" t="str">
        <f aca="false">Scoring!BX94</f>
        <v/>
      </c>
      <c r="F87" s="7" t="n">
        <f aca="false">Scoring!B94</f>
        <v>0</v>
      </c>
      <c r="G87" s="7" t="n">
        <f aca="false">Scoring!D94</f>
        <v>0</v>
      </c>
      <c r="H87" s="7" t="str">
        <f aca="false">Scoring!CY94</f>
        <v/>
      </c>
      <c r="I87" s="192" t="str">
        <f aca="false">Scoring!CX94</f>
        <v/>
      </c>
    </row>
    <row r="88" customFormat="false" ht="15.75" hidden="false" customHeight="false" outlineLevel="0" collapsed="false">
      <c r="A88" s="7" t="str">
        <f aca="false">Scoring!DA95</f>
        <v/>
      </c>
      <c r="B88" s="7" t="str">
        <f aca="false">Scoring!CZ95</f>
        <v/>
      </c>
      <c r="C88" s="7" t="n">
        <f aca="false">Scoring!C95</f>
        <v>0</v>
      </c>
      <c r="D88" s="191" t="str">
        <f aca="false">Scoring!CW95</f>
        <v/>
      </c>
      <c r="E88" s="7" t="str">
        <f aca="false">Scoring!BX95</f>
        <v/>
      </c>
      <c r="F88" s="7" t="n">
        <f aca="false">Scoring!B95</f>
        <v>0</v>
      </c>
      <c r="G88" s="7" t="n">
        <f aca="false">Scoring!D95</f>
        <v>0</v>
      </c>
      <c r="H88" s="7" t="str">
        <f aca="false">Scoring!CY95</f>
        <v/>
      </c>
      <c r="I88" s="192" t="str">
        <f aca="false">Scoring!CX95</f>
        <v/>
      </c>
    </row>
    <row r="89" customFormat="false" ht="15.75" hidden="false" customHeight="false" outlineLevel="0" collapsed="false">
      <c r="A89" s="7" t="str">
        <f aca="false">Scoring!DA96</f>
        <v/>
      </c>
      <c r="B89" s="7" t="str">
        <f aca="false">Scoring!CZ96</f>
        <v/>
      </c>
      <c r="C89" s="7" t="n">
        <f aca="false">Scoring!C96</f>
        <v>0</v>
      </c>
      <c r="D89" s="191" t="str">
        <f aca="false">Scoring!CW96</f>
        <v/>
      </c>
      <c r="E89" s="7" t="str">
        <f aca="false">Scoring!BX96</f>
        <v/>
      </c>
      <c r="F89" s="7" t="n">
        <f aca="false">Scoring!B96</f>
        <v>0</v>
      </c>
      <c r="G89" s="7" t="n">
        <f aca="false">Scoring!D96</f>
        <v>0</v>
      </c>
      <c r="H89" s="7" t="str">
        <f aca="false">Scoring!CY96</f>
        <v/>
      </c>
      <c r="I89" s="192" t="str">
        <f aca="false">Scoring!CX96</f>
        <v/>
      </c>
    </row>
    <row r="90" customFormat="false" ht="15.75" hidden="false" customHeight="false" outlineLevel="0" collapsed="false">
      <c r="A90" s="7" t="str">
        <f aca="false">Scoring!DA97</f>
        <v/>
      </c>
      <c r="B90" s="7" t="str">
        <f aca="false">Scoring!CZ97</f>
        <v/>
      </c>
      <c r="C90" s="7" t="n">
        <f aca="false">Scoring!C97</f>
        <v>0</v>
      </c>
      <c r="D90" s="191" t="str">
        <f aca="false">Scoring!CW97</f>
        <v/>
      </c>
      <c r="E90" s="7" t="str">
        <f aca="false">Scoring!BX97</f>
        <v/>
      </c>
      <c r="F90" s="7" t="n">
        <f aca="false">Scoring!B97</f>
        <v>0</v>
      </c>
      <c r="G90" s="7" t="n">
        <f aca="false">Scoring!D97</f>
        <v>0</v>
      </c>
      <c r="H90" s="7" t="str">
        <f aca="false">Scoring!CY97</f>
        <v/>
      </c>
      <c r="I90" s="192" t="str">
        <f aca="false">Scoring!CX97</f>
        <v/>
      </c>
    </row>
    <row r="91" customFormat="false" ht="15.75" hidden="false" customHeight="false" outlineLevel="0" collapsed="false">
      <c r="A91" s="7" t="str">
        <f aca="false">Scoring!DA98</f>
        <v/>
      </c>
      <c r="B91" s="7" t="str">
        <f aca="false">Scoring!CZ98</f>
        <v/>
      </c>
      <c r="C91" s="7" t="n">
        <f aca="false">Scoring!C98</f>
        <v>0</v>
      </c>
      <c r="D91" s="191" t="str">
        <f aca="false">Scoring!CW98</f>
        <v/>
      </c>
      <c r="E91" s="7" t="str">
        <f aca="false">Scoring!BX98</f>
        <v/>
      </c>
      <c r="F91" s="7" t="n">
        <f aca="false">Scoring!B98</f>
        <v>0</v>
      </c>
      <c r="G91" s="7" t="n">
        <f aca="false">Scoring!D98</f>
        <v>0</v>
      </c>
      <c r="H91" s="7" t="str">
        <f aca="false">Scoring!CY98</f>
        <v/>
      </c>
      <c r="I91" s="192" t="str">
        <f aca="false">Scoring!CX98</f>
        <v/>
      </c>
    </row>
    <row r="92" customFormat="false" ht="15.75" hidden="false" customHeight="false" outlineLevel="0" collapsed="false">
      <c r="A92" s="7" t="str">
        <f aca="false">Scoring!DA99</f>
        <v/>
      </c>
      <c r="B92" s="7" t="str">
        <f aca="false">Scoring!CZ99</f>
        <v/>
      </c>
      <c r="C92" s="7" t="n">
        <f aca="false">Scoring!C99</f>
        <v>0</v>
      </c>
      <c r="D92" s="191" t="str">
        <f aca="false">Scoring!CW99</f>
        <v/>
      </c>
      <c r="E92" s="7" t="str">
        <f aca="false">Scoring!BX99</f>
        <v/>
      </c>
      <c r="F92" s="7" t="n">
        <f aca="false">Scoring!B99</f>
        <v>0</v>
      </c>
      <c r="G92" s="7" t="n">
        <f aca="false">Scoring!D99</f>
        <v>0</v>
      </c>
      <c r="H92" s="7" t="str">
        <f aca="false">Scoring!CY99</f>
        <v/>
      </c>
      <c r="I92" s="192" t="str">
        <f aca="false">Scoring!CX99</f>
        <v/>
      </c>
    </row>
    <row r="93" customFormat="false" ht="15.75" hidden="false" customHeight="false" outlineLevel="0" collapsed="false">
      <c r="A93" s="7" t="str">
        <f aca="false">Scoring!DA100</f>
        <v/>
      </c>
      <c r="B93" s="7" t="str">
        <f aca="false">Scoring!CZ100</f>
        <v/>
      </c>
      <c r="C93" s="7" t="n">
        <f aca="false">Scoring!C100</f>
        <v>0</v>
      </c>
      <c r="D93" s="191" t="str">
        <f aca="false">Scoring!CW100</f>
        <v/>
      </c>
      <c r="E93" s="7" t="str">
        <f aca="false">Scoring!BX100</f>
        <v/>
      </c>
      <c r="F93" s="7" t="n">
        <f aca="false">Scoring!B100</f>
        <v>0</v>
      </c>
      <c r="G93" s="7" t="n">
        <f aca="false">Scoring!D100</f>
        <v>0</v>
      </c>
      <c r="H93" s="7" t="str">
        <f aca="false">Scoring!CY100</f>
        <v/>
      </c>
      <c r="I93" s="192" t="str">
        <f aca="false">Scoring!CX100</f>
        <v/>
      </c>
    </row>
    <row r="94" customFormat="false" ht="15.75" hidden="false" customHeight="false" outlineLevel="0" collapsed="false">
      <c r="A94" s="7" t="str">
        <f aca="false">Scoring!DA101</f>
        <v/>
      </c>
      <c r="B94" s="7" t="str">
        <f aca="false">Scoring!CZ101</f>
        <v/>
      </c>
      <c r="C94" s="7" t="n">
        <f aca="false">Scoring!C101</f>
        <v>0</v>
      </c>
      <c r="D94" s="191" t="str">
        <f aca="false">Scoring!CW101</f>
        <v/>
      </c>
      <c r="E94" s="7" t="str">
        <f aca="false">Scoring!BX101</f>
        <v/>
      </c>
      <c r="F94" s="7" t="n">
        <f aca="false">Scoring!B101</f>
        <v>0</v>
      </c>
      <c r="G94" s="7" t="n">
        <f aca="false">Scoring!D101</f>
        <v>0</v>
      </c>
      <c r="H94" s="7" t="str">
        <f aca="false">Scoring!CY101</f>
        <v/>
      </c>
      <c r="I94" s="192" t="str">
        <f aca="false">Scoring!CX101</f>
        <v/>
      </c>
    </row>
    <row r="95" customFormat="false" ht="15.75" hidden="false" customHeight="false" outlineLevel="0" collapsed="false">
      <c r="A95" s="7" t="str">
        <f aca="false">Scoring!DA102</f>
        <v/>
      </c>
      <c r="B95" s="7" t="str">
        <f aca="false">Scoring!CZ102</f>
        <v/>
      </c>
      <c r="C95" s="7" t="n">
        <f aca="false">Scoring!C102</f>
        <v>0</v>
      </c>
      <c r="D95" s="191" t="str">
        <f aca="false">Scoring!CW102</f>
        <v/>
      </c>
      <c r="E95" s="7" t="str">
        <f aca="false">Scoring!BX102</f>
        <v/>
      </c>
      <c r="F95" s="7" t="n">
        <f aca="false">Scoring!B102</f>
        <v>0</v>
      </c>
      <c r="G95" s="7" t="n">
        <f aca="false">Scoring!D102</f>
        <v>0</v>
      </c>
      <c r="H95" s="7" t="str">
        <f aca="false">Scoring!CY102</f>
        <v/>
      </c>
      <c r="I95" s="192" t="str">
        <f aca="false">Scoring!CX102</f>
        <v/>
      </c>
    </row>
    <row r="96" customFormat="false" ht="15.75" hidden="false" customHeight="false" outlineLevel="0" collapsed="false">
      <c r="A96" s="7" t="str">
        <f aca="false">Scoring!DA103</f>
        <v/>
      </c>
      <c r="B96" s="7" t="str">
        <f aca="false">Scoring!CZ103</f>
        <v/>
      </c>
      <c r="C96" s="7" t="n">
        <f aca="false">Scoring!C103</f>
        <v>0</v>
      </c>
      <c r="D96" s="191" t="str">
        <f aca="false">Scoring!CW103</f>
        <v/>
      </c>
      <c r="E96" s="7" t="str">
        <f aca="false">Scoring!BX103</f>
        <v/>
      </c>
      <c r="F96" s="7" t="n">
        <f aca="false">Scoring!B103</f>
        <v>0</v>
      </c>
      <c r="G96" s="7" t="n">
        <f aca="false">Scoring!D103</f>
        <v>0</v>
      </c>
      <c r="H96" s="7" t="str">
        <f aca="false">Scoring!CY103</f>
        <v/>
      </c>
      <c r="I96" s="192" t="str">
        <f aca="false">Scoring!CX103</f>
        <v/>
      </c>
    </row>
    <row r="97" customFormat="false" ht="15.75" hidden="false" customHeight="false" outlineLevel="0" collapsed="false">
      <c r="A97" s="7" t="str">
        <f aca="false">Scoring!DA104</f>
        <v/>
      </c>
      <c r="B97" s="7" t="str">
        <f aca="false">Scoring!CZ104</f>
        <v/>
      </c>
      <c r="C97" s="7" t="n">
        <f aca="false">Scoring!C104</f>
        <v>0</v>
      </c>
      <c r="D97" s="191" t="str">
        <f aca="false">Scoring!CW104</f>
        <v/>
      </c>
      <c r="E97" s="7" t="str">
        <f aca="false">Scoring!BX104</f>
        <v/>
      </c>
      <c r="F97" s="7" t="n">
        <f aca="false">Scoring!B104</f>
        <v>0</v>
      </c>
      <c r="G97" s="7" t="n">
        <f aca="false">Scoring!D104</f>
        <v>0</v>
      </c>
      <c r="H97" s="7" t="str">
        <f aca="false">Scoring!CY104</f>
        <v/>
      </c>
      <c r="I97" s="192" t="str">
        <f aca="false">Scoring!CX104</f>
        <v/>
      </c>
    </row>
    <row r="98" customFormat="false" ht="15.75" hidden="false" customHeight="false" outlineLevel="0" collapsed="false">
      <c r="A98" s="7" t="str">
        <f aca="false">Scoring!DA105</f>
        <v/>
      </c>
      <c r="B98" s="7" t="str">
        <f aca="false">Scoring!CZ105</f>
        <v/>
      </c>
      <c r="C98" s="7" t="n">
        <f aca="false">Scoring!C105</f>
        <v>0</v>
      </c>
      <c r="D98" s="191" t="str">
        <f aca="false">Scoring!CW105</f>
        <v/>
      </c>
      <c r="E98" s="7" t="str">
        <f aca="false">Scoring!BX105</f>
        <v/>
      </c>
      <c r="F98" s="7" t="n">
        <f aca="false">Scoring!B105</f>
        <v>0</v>
      </c>
      <c r="G98" s="7" t="n">
        <f aca="false">Scoring!D105</f>
        <v>0</v>
      </c>
      <c r="H98" s="7" t="str">
        <f aca="false">Scoring!CY105</f>
        <v/>
      </c>
      <c r="I98" s="192" t="str">
        <f aca="false">Scoring!CX105</f>
        <v/>
      </c>
    </row>
    <row r="99" customFormat="false" ht="15.75" hidden="false" customHeight="false" outlineLevel="0" collapsed="false">
      <c r="A99" s="7" t="str">
        <f aca="false">Scoring!DA106</f>
        <v/>
      </c>
      <c r="B99" s="7" t="str">
        <f aca="false">Scoring!CZ106</f>
        <v/>
      </c>
      <c r="C99" s="7" t="n">
        <f aca="false">Scoring!C106</f>
        <v>0</v>
      </c>
      <c r="D99" s="191" t="str">
        <f aca="false">Scoring!CW106</f>
        <v/>
      </c>
      <c r="E99" s="7" t="str">
        <f aca="false">Scoring!BX106</f>
        <v/>
      </c>
      <c r="F99" s="7" t="n">
        <f aca="false">Scoring!B106</f>
        <v>0</v>
      </c>
      <c r="G99" s="7" t="n">
        <f aca="false">Scoring!D106</f>
        <v>0</v>
      </c>
      <c r="H99" s="7" t="str">
        <f aca="false">Scoring!CY106</f>
        <v/>
      </c>
      <c r="I99" s="192" t="str">
        <f aca="false">Scoring!CX106</f>
        <v/>
      </c>
    </row>
    <row r="100" customFormat="false" ht="15.75" hidden="false" customHeight="false" outlineLevel="0" collapsed="false">
      <c r="A100" s="7" t="str">
        <f aca="false">Scoring!DA107</f>
        <v/>
      </c>
      <c r="B100" s="7" t="str">
        <f aca="false">Scoring!CZ107</f>
        <v/>
      </c>
      <c r="C100" s="7" t="n">
        <f aca="false">Scoring!C107</f>
        <v>0</v>
      </c>
      <c r="D100" s="191" t="str">
        <f aca="false">Scoring!CW107</f>
        <v/>
      </c>
      <c r="E100" s="7" t="str">
        <f aca="false">Scoring!BX107</f>
        <v/>
      </c>
      <c r="F100" s="7" t="n">
        <f aca="false">Scoring!B107</f>
        <v>0</v>
      </c>
      <c r="G100" s="7" t="n">
        <f aca="false">Scoring!D107</f>
        <v>0</v>
      </c>
      <c r="H100" s="7" t="str">
        <f aca="false">Scoring!CY107</f>
        <v/>
      </c>
      <c r="I100" s="192" t="str">
        <f aca="false">Scoring!CX107</f>
        <v/>
      </c>
    </row>
    <row r="101" customFormat="false" ht="15.75" hidden="false" customHeight="false" outlineLevel="0" collapsed="false">
      <c r="A101" s="7" t="str">
        <f aca="false">Scoring!DA108</f>
        <v/>
      </c>
      <c r="B101" s="7" t="str">
        <f aca="false">Scoring!CZ108</f>
        <v/>
      </c>
      <c r="C101" s="7" t="n">
        <f aca="false">Scoring!C108</f>
        <v>0</v>
      </c>
      <c r="D101" s="191" t="str">
        <f aca="false">Scoring!CW108</f>
        <v/>
      </c>
      <c r="E101" s="7" t="str">
        <f aca="false">Scoring!BX108</f>
        <v/>
      </c>
      <c r="F101" s="7" t="n">
        <f aca="false">Scoring!B108</f>
        <v>0</v>
      </c>
      <c r="G101" s="7" t="n">
        <f aca="false">Scoring!D108</f>
        <v>0</v>
      </c>
      <c r="H101" s="7" t="str">
        <f aca="false">Scoring!CY108</f>
        <v/>
      </c>
      <c r="I101" s="192" t="str">
        <f aca="false">Scoring!CX108</f>
        <v/>
      </c>
    </row>
    <row r="102" customFormat="false" ht="15.75" hidden="false" customHeight="false" outlineLevel="0" collapsed="false">
      <c r="A102" s="7" t="str">
        <f aca="false">Scoring!DA109</f>
        <v/>
      </c>
      <c r="B102" s="7" t="str">
        <f aca="false">Scoring!CZ109</f>
        <v/>
      </c>
      <c r="C102" s="7" t="n">
        <f aca="false">Scoring!C109</f>
        <v>0</v>
      </c>
      <c r="D102" s="191" t="str">
        <f aca="false">Scoring!CW109</f>
        <v/>
      </c>
      <c r="E102" s="7" t="str">
        <f aca="false">Scoring!BX109</f>
        <v/>
      </c>
      <c r="F102" s="7" t="n">
        <f aca="false">Scoring!B109</f>
        <v>0</v>
      </c>
      <c r="G102" s="7" t="n">
        <f aca="false">Scoring!D109</f>
        <v>0</v>
      </c>
      <c r="H102" s="7" t="str">
        <f aca="false">Scoring!CY109</f>
        <v/>
      </c>
      <c r="I102" s="192" t="str">
        <f aca="false">Scoring!CX109</f>
        <v/>
      </c>
    </row>
    <row r="103" customFormat="false" ht="15.75" hidden="false" customHeight="false" outlineLevel="0" collapsed="false">
      <c r="A103" s="7" t="str">
        <f aca="false">Scoring!DA110</f>
        <v/>
      </c>
      <c r="B103" s="7" t="str">
        <f aca="false">Scoring!CZ110</f>
        <v/>
      </c>
      <c r="C103" s="7" t="n">
        <f aca="false">Scoring!C110</f>
        <v>0</v>
      </c>
      <c r="D103" s="191" t="str">
        <f aca="false">Scoring!CW110</f>
        <v/>
      </c>
      <c r="E103" s="7" t="str">
        <f aca="false">Scoring!BX110</f>
        <v/>
      </c>
      <c r="F103" s="7" t="n">
        <f aca="false">Scoring!B110</f>
        <v>0</v>
      </c>
      <c r="G103" s="7" t="n">
        <f aca="false">Scoring!D110</f>
        <v>0</v>
      </c>
      <c r="H103" s="7" t="str">
        <f aca="false">Scoring!CY110</f>
        <v/>
      </c>
      <c r="I103" s="192" t="str">
        <f aca="false">Scoring!CX110</f>
        <v/>
      </c>
    </row>
    <row r="104" customFormat="false" ht="15.75" hidden="false" customHeight="false" outlineLevel="0" collapsed="false">
      <c r="A104" s="7" t="str">
        <f aca="false">Scoring!DA111</f>
        <v/>
      </c>
      <c r="B104" s="7" t="str">
        <f aca="false">Scoring!CZ111</f>
        <v/>
      </c>
      <c r="C104" s="7" t="n">
        <f aca="false">Scoring!C111</f>
        <v>0</v>
      </c>
      <c r="D104" s="191" t="str">
        <f aca="false">Scoring!CW111</f>
        <v/>
      </c>
      <c r="E104" s="7" t="str">
        <f aca="false">Scoring!BX111</f>
        <v/>
      </c>
      <c r="F104" s="7" t="n">
        <f aca="false">Scoring!B111</f>
        <v>0</v>
      </c>
      <c r="G104" s="7" t="n">
        <f aca="false">Scoring!D111</f>
        <v>0</v>
      </c>
      <c r="H104" s="7" t="str">
        <f aca="false">Scoring!CY111</f>
        <v/>
      </c>
      <c r="I104" s="192" t="str">
        <f aca="false">Scoring!CX111</f>
        <v/>
      </c>
    </row>
    <row r="105" customFormat="false" ht="15.75" hidden="false" customHeight="false" outlineLevel="0" collapsed="false">
      <c r="A105" s="7" t="str">
        <f aca="false">Scoring!DA112</f>
        <v/>
      </c>
      <c r="B105" s="7" t="str">
        <f aca="false">Scoring!CZ112</f>
        <v/>
      </c>
      <c r="C105" s="7" t="n">
        <f aca="false">Scoring!C112</f>
        <v>0</v>
      </c>
      <c r="D105" s="191" t="str">
        <f aca="false">Scoring!CW112</f>
        <v/>
      </c>
      <c r="E105" s="7" t="str">
        <f aca="false">Scoring!BX112</f>
        <v/>
      </c>
      <c r="F105" s="7" t="n">
        <f aca="false">Scoring!B112</f>
        <v>0</v>
      </c>
      <c r="G105" s="7" t="n">
        <f aca="false">Scoring!D112</f>
        <v>0</v>
      </c>
      <c r="H105" s="7" t="str">
        <f aca="false">Scoring!CY112</f>
        <v/>
      </c>
      <c r="I105" s="192" t="str">
        <f aca="false">Scoring!CX112</f>
        <v/>
      </c>
    </row>
    <row r="106" customFormat="false" ht="15.75" hidden="false" customHeight="false" outlineLevel="0" collapsed="false">
      <c r="A106" s="7" t="str">
        <f aca="false">Scoring!DA113</f>
        <v/>
      </c>
      <c r="B106" s="7" t="str">
        <f aca="false">Scoring!CZ113</f>
        <v/>
      </c>
      <c r="C106" s="7" t="n">
        <f aca="false">Scoring!C113</f>
        <v>0</v>
      </c>
      <c r="D106" s="191" t="str">
        <f aca="false">Scoring!CW113</f>
        <v/>
      </c>
      <c r="E106" s="7" t="str">
        <f aca="false">Scoring!BX113</f>
        <v/>
      </c>
      <c r="F106" s="7" t="n">
        <f aca="false">Scoring!B113</f>
        <v>0</v>
      </c>
      <c r="G106" s="7" t="n">
        <f aca="false">Scoring!D113</f>
        <v>0</v>
      </c>
      <c r="H106" s="7" t="str">
        <f aca="false">Scoring!CY113</f>
        <v/>
      </c>
      <c r="I106" s="192" t="str">
        <f aca="false">Scoring!CX113</f>
        <v/>
      </c>
    </row>
    <row r="107" customFormat="false" ht="15.75" hidden="false" customHeight="false" outlineLevel="0" collapsed="false">
      <c r="A107" s="7" t="str">
        <f aca="false">Scoring!DA114</f>
        <v/>
      </c>
      <c r="B107" s="7" t="str">
        <f aca="false">Scoring!CZ114</f>
        <v/>
      </c>
      <c r="C107" s="7" t="n">
        <f aca="false">Scoring!C114</f>
        <v>0</v>
      </c>
      <c r="D107" s="191" t="str">
        <f aca="false">Scoring!CW114</f>
        <v/>
      </c>
      <c r="E107" s="7" t="str">
        <f aca="false">Scoring!BX114</f>
        <v/>
      </c>
      <c r="F107" s="7" t="n">
        <f aca="false">Scoring!B114</f>
        <v>0</v>
      </c>
      <c r="G107" s="7" t="n">
        <f aca="false">Scoring!D114</f>
        <v>0</v>
      </c>
      <c r="H107" s="7" t="str">
        <f aca="false">Scoring!CY114</f>
        <v/>
      </c>
      <c r="I107" s="192" t="str">
        <f aca="false">Scoring!CX114</f>
        <v/>
      </c>
    </row>
    <row r="108" customFormat="false" ht="15.75" hidden="false" customHeight="false" outlineLevel="0" collapsed="false">
      <c r="A108" s="7" t="str">
        <f aca="false">Scoring!DA115</f>
        <v/>
      </c>
      <c r="B108" s="7" t="str">
        <f aca="false">Scoring!CZ115</f>
        <v/>
      </c>
      <c r="C108" s="7" t="n">
        <f aca="false">Scoring!C115</f>
        <v>0</v>
      </c>
      <c r="D108" s="191" t="str">
        <f aca="false">Scoring!CW115</f>
        <v/>
      </c>
      <c r="E108" s="7" t="str">
        <f aca="false">Scoring!BX115</f>
        <v/>
      </c>
      <c r="F108" s="7" t="n">
        <f aca="false">Scoring!B115</f>
        <v>0</v>
      </c>
      <c r="G108" s="7" t="n">
        <f aca="false">Scoring!D115</f>
        <v>0</v>
      </c>
      <c r="H108" s="7" t="str">
        <f aca="false">Scoring!CY115</f>
        <v/>
      </c>
      <c r="I108" s="192" t="str">
        <f aca="false">Scoring!CX115</f>
        <v/>
      </c>
    </row>
    <row r="109" customFormat="false" ht="15.75" hidden="false" customHeight="false" outlineLevel="0" collapsed="false">
      <c r="A109" s="7" t="str">
        <f aca="false">Scoring!DA116</f>
        <v/>
      </c>
      <c r="B109" s="7" t="str">
        <f aca="false">Scoring!CZ116</f>
        <v/>
      </c>
      <c r="C109" s="7" t="n">
        <f aca="false">Scoring!C116</f>
        <v>0</v>
      </c>
      <c r="D109" s="191" t="str">
        <f aca="false">Scoring!CW116</f>
        <v/>
      </c>
      <c r="E109" s="7" t="str">
        <f aca="false">Scoring!BX116</f>
        <v/>
      </c>
      <c r="F109" s="7" t="n">
        <f aca="false">Scoring!B116</f>
        <v>0</v>
      </c>
      <c r="G109" s="7" t="n">
        <f aca="false">Scoring!D116</f>
        <v>0</v>
      </c>
      <c r="H109" s="7" t="str">
        <f aca="false">Scoring!CY116</f>
        <v/>
      </c>
      <c r="I109" s="192" t="str">
        <f aca="false">Scoring!CX116</f>
        <v/>
      </c>
    </row>
    <row r="110" customFormat="false" ht="15.75" hidden="false" customHeight="false" outlineLevel="0" collapsed="false">
      <c r="A110" s="7" t="str">
        <f aca="false">Scoring!DA117</f>
        <v/>
      </c>
      <c r="B110" s="7" t="str">
        <f aca="false">Scoring!CZ117</f>
        <v/>
      </c>
      <c r="C110" s="7" t="n">
        <f aca="false">Scoring!C117</f>
        <v>0</v>
      </c>
      <c r="D110" s="191" t="str">
        <f aca="false">Scoring!CW117</f>
        <v/>
      </c>
      <c r="E110" s="7" t="str">
        <f aca="false">Scoring!BX117</f>
        <v/>
      </c>
      <c r="F110" s="7" t="n">
        <f aca="false">Scoring!B117</f>
        <v>0</v>
      </c>
      <c r="G110" s="7" t="n">
        <f aca="false">Scoring!D117</f>
        <v>0</v>
      </c>
      <c r="H110" s="7" t="str">
        <f aca="false">Scoring!CY117</f>
        <v/>
      </c>
      <c r="I110" s="192" t="str">
        <f aca="false">Scoring!CX117</f>
        <v/>
      </c>
    </row>
    <row r="111" customFormat="false" ht="15.75" hidden="false" customHeight="false" outlineLevel="0" collapsed="false">
      <c r="A111" s="7" t="str">
        <f aca="false">Scoring!DA118</f>
        <v/>
      </c>
      <c r="B111" s="7" t="str">
        <f aca="false">Scoring!CZ118</f>
        <v/>
      </c>
      <c r="C111" s="7" t="n">
        <f aca="false">Scoring!C118</f>
        <v>0</v>
      </c>
      <c r="D111" s="191" t="str">
        <f aca="false">Scoring!CW118</f>
        <v/>
      </c>
      <c r="E111" s="7" t="str">
        <f aca="false">Scoring!BX118</f>
        <v/>
      </c>
      <c r="F111" s="7" t="n">
        <f aca="false">Scoring!B118</f>
        <v>0</v>
      </c>
      <c r="G111" s="7" t="n">
        <f aca="false">Scoring!D118</f>
        <v>0</v>
      </c>
      <c r="H111" s="7" t="str">
        <f aca="false">Scoring!CY118</f>
        <v/>
      </c>
      <c r="I111" s="192" t="str">
        <f aca="false">Scoring!CX118</f>
        <v/>
      </c>
    </row>
    <row r="112" customFormat="false" ht="15.75" hidden="false" customHeight="false" outlineLevel="0" collapsed="false">
      <c r="A112" s="7" t="str">
        <f aca="false">Scoring!DA119</f>
        <v/>
      </c>
      <c r="B112" s="7" t="str">
        <f aca="false">Scoring!CZ119</f>
        <v/>
      </c>
      <c r="C112" s="7" t="n">
        <f aca="false">Scoring!C119</f>
        <v>0</v>
      </c>
      <c r="D112" s="191" t="str">
        <f aca="false">Scoring!CW119</f>
        <v/>
      </c>
      <c r="E112" s="7" t="str">
        <f aca="false">Scoring!BX119</f>
        <v/>
      </c>
      <c r="F112" s="7" t="n">
        <f aca="false">Scoring!B119</f>
        <v>0</v>
      </c>
      <c r="G112" s="7" t="n">
        <f aca="false">Scoring!D119</f>
        <v>0</v>
      </c>
      <c r="H112" s="7" t="str">
        <f aca="false">Scoring!CY119</f>
        <v/>
      </c>
      <c r="I112" s="192" t="str">
        <f aca="false">Scoring!CX119</f>
        <v/>
      </c>
    </row>
    <row r="113" customFormat="false" ht="15.75" hidden="false" customHeight="false" outlineLevel="0" collapsed="false">
      <c r="A113" s="7" t="str">
        <f aca="false">Scoring!DA120</f>
        <v/>
      </c>
      <c r="B113" s="7" t="str">
        <f aca="false">Scoring!CZ120</f>
        <v/>
      </c>
      <c r="C113" s="7" t="n">
        <f aca="false">Scoring!C120</f>
        <v>0</v>
      </c>
      <c r="D113" s="191" t="str">
        <f aca="false">Scoring!CW120</f>
        <v/>
      </c>
      <c r="E113" s="7" t="str">
        <f aca="false">Scoring!BX120</f>
        <v/>
      </c>
      <c r="F113" s="7" t="n">
        <f aca="false">Scoring!B120</f>
        <v>0</v>
      </c>
      <c r="G113" s="7" t="n">
        <f aca="false">Scoring!D120</f>
        <v>0</v>
      </c>
      <c r="H113" s="7" t="str">
        <f aca="false">Scoring!CY120</f>
        <v/>
      </c>
      <c r="I113" s="192" t="str">
        <f aca="false">Scoring!CX120</f>
        <v/>
      </c>
    </row>
    <row r="114" customFormat="false" ht="15.75" hidden="false" customHeight="false" outlineLevel="0" collapsed="false">
      <c r="A114" s="7" t="str">
        <f aca="false">Scoring!DA121</f>
        <v/>
      </c>
      <c r="B114" s="7" t="str">
        <f aca="false">Scoring!CZ121</f>
        <v/>
      </c>
      <c r="C114" s="7" t="n">
        <f aca="false">Scoring!C121</f>
        <v>0</v>
      </c>
      <c r="D114" s="191" t="str">
        <f aca="false">Scoring!CW121</f>
        <v/>
      </c>
      <c r="E114" s="7" t="str">
        <f aca="false">Scoring!BX121</f>
        <v/>
      </c>
      <c r="F114" s="7" t="n">
        <f aca="false">Scoring!B121</f>
        <v>0</v>
      </c>
      <c r="G114" s="7" t="n">
        <f aca="false">Scoring!D121</f>
        <v>0</v>
      </c>
      <c r="H114" s="7" t="str">
        <f aca="false">Scoring!CY121</f>
        <v/>
      </c>
      <c r="I114" s="192" t="str">
        <f aca="false">Scoring!CX121</f>
        <v/>
      </c>
    </row>
    <row r="115" customFormat="false" ht="15.75" hidden="false" customHeight="false" outlineLevel="0" collapsed="false">
      <c r="A115" s="7" t="str">
        <f aca="false">Scoring!DA122</f>
        <v/>
      </c>
      <c r="B115" s="7" t="str">
        <f aca="false">Scoring!CZ122</f>
        <v/>
      </c>
      <c r="C115" s="7" t="n">
        <f aca="false">Scoring!C122</f>
        <v>0</v>
      </c>
      <c r="D115" s="191" t="str">
        <f aca="false">Scoring!CW122</f>
        <v/>
      </c>
      <c r="E115" s="7" t="str">
        <f aca="false">Scoring!BX122</f>
        <v/>
      </c>
      <c r="F115" s="7" t="n">
        <f aca="false">Scoring!B122</f>
        <v>0</v>
      </c>
      <c r="G115" s="7" t="n">
        <f aca="false">Scoring!D122</f>
        <v>0</v>
      </c>
      <c r="H115" s="7" t="str">
        <f aca="false">Scoring!CY122</f>
        <v/>
      </c>
      <c r="I115" s="192" t="str">
        <f aca="false">Scoring!CX122</f>
        <v/>
      </c>
    </row>
    <row r="116" customFormat="false" ht="15.75" hidden="false" customHeight="false" outlineLevel="0" collapsed="false">
      <c r="A116" s="7" t="str">
        <f aca="false">Scoring!DA123</f>
        <v/>
      </c>
      <c r="B116" s="7" t="str">
        <f aca="false">Scoring!CZ123</f>
        <v/>
      </c>
      <c r="C116" s="7" t="n">
        <f aca="false">Scoring!C123</f>
        <v>0</v>
      </c>
      <c r="D116" s="191" t="str">
        <f aca="false">Scoring!CW123</f>
        <v/>
      </c>
      <c r="E116" s="7" t="str">
        <f aca="false">Scoring!BX123</f>
        <v/>
      </c>
      <c r="F116" s="7" t="n">
        <f aca="false">Scoring!B123</f>
        <v>0</v>
      </c>
      <c r="G116" s="7" t="n">
        <f aca="false">Scoring!D123</f>
        <v>0</v>
      </c>
      <c r="H116" s="7" t="str">
        <f aca="false">Scoring!CY123</f>
        <v/>
      </c>
      <c r="I116" s="192" t="str">
        <f aca="false">Scoring!CX123</f>
        <v/>
      </c>
    </row>
    <row r="117" customFormat="false" ht="15.75" hidden="false" customHeight="false" outlineLevel="0" collapsed="false">
      <c r="A117" s="7" t="str">
        <f aca="false">Scoring!DA124</f>
        <v/>
      </c>
      <c r="B117" s="7" t="str">
        <f aca="false">Scoring!CZ124</f>
        <v/>
      </c>
      <c r="C117" s="7" t="n">
        <f aca="false">Scoring!C124</f>
        <v>0</v>
      </c>
      <c r="D117" s="191" t="str">
        <f aca="false">Scoring!CW124</f>
        <v/>
      </c>
      <c r="E117" s="7" t="str">
        <f aca="false">Scoring!BX124</f>
        <v/>
      </c>
      <c r="F117" s="7" t="n">
        <f aca="false">Scoring!B124</f>
        <v>0</v>
      </c>
      <c r="G117" s="7" t="n">
        <f aca="false">Scoring!D124</f>
        <v>0</v>
      </c>
      <c r="H117" s="7" t="str">
        <f aca="false">Scoring!CY124</f>
        <v/>
      </c>
      <c r="I117" s="192" t="str">
        <f aca="false">Scoring!CX124</f>
        <v/>
      </c>
    </row>
    <row r="118" customFormat="false" ht="15.75" hidden="false" customHeight="false" outlineLevel="0" collapsed="false">
      <c r="A118" s="7" t="str">
        <f aca="false">Scoring!DA125</f>
        <v/>
      </c>
      <c r="B118" s="7" t="str">
        <f aca="false">Scoring!CZ125</f>
        <v/>
      </c>
      <c r="C118" s="7" t="n">
        <f aca="false">Scoring!C125</f>
        <v>0</v>
      </c>
      <c r="D118" s="191" t="str">
        <f aca="false">Scoring!CW125</f>
        <v/>
      </c>
      <c r="E118" s="7" t="str">
        <f aca="false">Scoring!BX125</f>
        <v/>
      </c>
      <c r="F118" s="7" t="n">
        <f aca="false">Scoring!B125</f>
        <v>0</v>
      </c>
      <c r="G118" s="7" t="n">
        <f aca="false">Scoring!D125</f>
        <v>0</v>
      </c>
      <c r="H118" s="7" t="str">
        <f aca="false">Scoring!CY125</f>
        <v/>
      </c>
      <c r="I118" s="192" t="str">
        <f aca="false">Scoring!CX125</f>
        <v/>
      </c>
    </row>
    <row r="119" customFormat="false" ht="15.75" hidden="false" customHeight="false" outlineLevel="0" collapsed="false">
      <c r="A119" s="7" t="str">
        <f aca="false">Scoring!DA126</f>
        <v/>
      </c>
      <c r="B119" s="7" t="str">
        <f aca="false">Scoring!CZ126</f>
        <v/>
      </c>
      <c r="C119" s="7" t="n">
        <f aca="false">Scoring!C126</f>
        <v>0</v>
      </c>
      <c r="D119" s="191" t="str">
        <f aca="false">Scoring!CW126</f>
        <v/>
      </c>
      <c r="E119" s="7" t="str">
        <f aca="false">Scoring!BX126</f>
        <v/>
      </c>
      <c r="F119" s="7" t="n">
        <f aca="false">Scoring!B126</f>
        <v>0</v>
      </c>
      <c r="G119" s="7" t="n">
        <f aca="false">Scoring!D126</f>
        <v>0</v>
      </c>
      <c r="H119" s="7" t="str">
        <f aca="false">Scoring!CY126</f>
        <v/>
      </c>
      <c r="I119" s="192" t="str">
        <f aca="false">Scoring!CX126</f>
        <v/>
      </c>
    </row>
    <row r="120" customFormat="false" ht="15.75" hidden="false" customHeight="false" outlineLevel="0" collapsed="false">
      <c r="A120" s="7" t="str">
        <f aca="false">Scoring!DA127</f>
        <v/>
      </c>
      <c r="B120" s="7" t="str">
        <f aca="false">Scoring!CZ127</f>
        <v/>
      </c>
      <c r="C120" s="7" t="n">
        <f aca="false">Scoring!C127</f>
        <v>0</v>
      </c>
      <c r="D120" s="191" t="str">
        <f aca="false">Scoring!CW127</f>
        <v/>
      </c>
      <c r="E120" s="7" t="str">
        <f aca="false">Scoring!BX127</f>
        <v/>
      </c>
      <c r="F120" s="7" t="n">
        <f aca="false">Scoring!B127</f>
        <v>0</v>
      </c>
      <c r="G120" s="7" t="n">
        <f aca="false">Scoring!D127</f>
        <v>0</v>
      </c>
      <c r="H120" s="7" t="str">
        <f aca="false">Scoring!CY127</f>
        <v/>
      </c>
      <c r="I120" s="192" t="str">
        <f aca="false">Scoring!CX127</f>
        <v/>
      </c>
    </row>
    <row r="121" customFormat="false" ht="15.75" hidden="false" customHeight="false" outlineLevel="0" collapsed="false">
      <c r="A121" s="7" t="str">
        <f aca="false">Scoring!DA128</f>
        <v/>
      </c>
      <c r="B121" s="7" t="str">
        <f aca="false">Scoring!CZ128</f>
        <v/>
      </c>
      <c r="C121" s="7" t="n">
        <f aca="false">Scoring!C128</f>
        <v>0</v>
      </c>
      <c r="D121" s="191" t="str">
        <f aca="false">Scoring!CW128</f>
        <v/>
      </c>
      <c r="E121" s="7" t="str">
        <f aca="false">Scoring!BX128</f>
        <v/>
      </c>
      <c r="F121" s="7" t="n">
        <f aca="false">Scoring!B128</f>
        <v>0</v>
      </c>
      <c r="G121" s="7" t="n">
        <f aca="false">Scoring!D128</f>
        <v>0</v>
      </c>
      <c r="H121" s="7" t="str">
        <f aca="false">Scoring!CY128</f>
        <v/>
      </c>
      <c r="I121" s="192" t="str">
        <f aca="false">Scoring!CX128</f>
        <v/>
      </c>
    </row>
    <row r="122" customFormat="false" ht="15.75" hidden="false" customHeight="false" outlineLevel="0" collapsed="false">
      <c r="A122" s="7" t="str">
        <f aca="false">Scoring!DA129</f>
        <v/>
      </c>
      <c r="B122" s="7" t="str">
        <f aca="false">Scoring!CZ129</f>
        <v/>
      </c>
      <c r="C122" s="7" t="n">
        <f aca="false">Scoring!C129</f>
        <v>0</v>
      </c>
      <c r="D122" s="191" t="str">
        <f aca="false">Scoring!CW129</f>
        <v/>
      </c>
      <c r="E122" s="7" t="str">
        <f aca="false">Scoring!BX129</f>
        <v/>
      </c>
      <c r="F122" s="7" t="n">
        <f aca="false">Scoring!B129</f>
        <v>0</v>
      </c>
      <c r="G122" s="7" t="n">
        <f aca="false">Scoring!D129</f>
        <v>0</v>
      </c>
      <c r="H122" s="7" t="str">
        <f aca="false">Scoring!CY129</f>
        <v/>
      </c>
      <c r="I122" s="192" t="str">
        <f aca="false">Scoring!CX129</f>
        <v/>
      </c>
    </row>
    <row r="123" customFormat="false" ht="15.75" hidden="false" customHeight="false" outlineLevel="0" collapsed="false">
      <c r="A123" s="7" t="str">
        <f aca="false">Scoring!DA130</f>
        <v/>
      </c>
      <c r="B123" s="7" t="str">
        <f aca="false">Scoring!CZ130</f>
        <v/>
      </c>
      <c r="C123" s="7" t="n">
        <f aca="false">Scoring!C130</f>
        <v>0</v>
      </c>
      <c r="D123" s="191" t="str">
        <f aca="false">Scoring!CW130</f>
        <v/>
      </c>
      <c r="E123" s="7" t="str">
        <f aca="false">Scoring!BX130</f>
        <v/>
      </c>
      <c r="F123" s="7" t="n">
        <f aca="false">Scoring!B130</f>
        <v>0</v>
      </c>
      <c r="G123" s="7" t="n">
        <f aca="false">Scoring!D130</f>
        <v>0</v>
      </c>
      <c r="H123" s="7" t="str">
        <f aca="false">Scoring!CY130</f>
        <v/>
      </c>
      <c r="I123" s="192" t="str">
        <f aca="false">Scoring!CX130</f>
        <v/>
      </c>
    </row>
    <row r="124" customFormat="false" ht="15.75" hidden="false" customHeight="false" outlineLevel="0" collapsed="false">
      <c r="A124" s="7" t="str">
        <f aca="false">Scoring!DA131</f>
        <v/>
      </c>
      <c r="B124" s="7" t="str">
        <f aca="false">Scoring!CZ131</f>
        <v/>
      </c>
      <c r="C124" s="7" t="n">
        <f aca="false">Scoring!C131</f>
        <v>0</v>
      </c>
      <c r="D124" s="191" t="str">
        <f aca="false">Scoring!CW131</f>
        <v/>
      </c>
      <c r="E124" s="7" t="str">
        <f aca="false">Scoring!BX131</f>
        <v/>
      </c>
      <c r="F124" s="7" t="n">
        <f aca="false">Scoring!B131</f>
        <v>0</v>
      </c>
      <c r="G124" s="7" t="n">
        <f aca="false">Scoring!D131</f>
        <v>0</v>
      </c>
      <c r="H124" s="7" t="str">
        <f aca="false">Scoring!CY131</f>
        <v/>
      </c>
      <c r="I124" s="192" t="str">
        <f aca="false">Scoring!CX131</f>
        <v/>
      </c>
    </row>
    <row r="125" customFormat="false" ht="15.75" hidden="false" customHeight="false" outlineLevel="0" collapsed="false">
      <c r="A125" s="7" t="str">
        <f aca="false">Scoring!DA132</f>
        <v/>
      </c>
      <c r="B125" s="7" t="str">
        <f aca="false">Scoring!CZ132</f>
        <v/>
      </c>
      <c r="C125" s="7" t="n">
        <f aca="false">Scoring!C132</f>
        <v>0</v>
      </c>
      <c r="D125" s="191" t="str">
        <f aca="false">Scoring!CW132</f>
        <v/>
      </c>
      <c r="E125" s="7" t="str">
        <f aca="false">Scoring!BX132</f>
        <v/>
      </c>
      <c r="F125" s="7" t="n">
        <f aca="false">Scoring!B132</f>
        <v>0</v>
      </c>
      <c r="G125" s="7" t="n">
        <f aca="false">Scoring!D132</f>
        <v>0</v>
      </c>
      <c r="H125" s="7" t="str">
        <f aca="false">Scoring!CY132</f>
        <v/>
      </c>
      <c r="I125" s="192" t="str">
        <f aca="false">Scoring!CX132</f>
        <v/>
      </c>
    </row>
    <row r="126" customFormat="false" ht="15.75" hidden="false" customHeight="false" outlineLevel="0" collapsed="false">
      <c r="A126" s="7" t="str">
        <f aca="false">Scoring!DA133</f>
        <v/>
      </c>
      <c r="B126" s="7" t="str">
        <f aca="false">Scoring!CZ133</f>
        <v/>
      </c>
      <c r="C126" s="7" t="n">
        <f aca="false">Scoring!C133</f>
        <v>0</v>
      </c>
      <c r="D126" s="191" t="str">
        <f aca="false">Scoring!CW133</f>
        <v/>
      </c>
      <c r="E126" s="7" t="str">
        <f aca="false">Scoring!BX133</f>
        <v/>
      </c>
      <c r="F126" s="7" t="n">
        <f aca="false">Scoring!B133</f>
        <v>0</v>
      </c>
      <c r="G126" s="7" t="n">
        <f aca="false">Scoring!D133</f>
        <v>0</v>
      </c>
      <c r="H126" s="7" t="str">
        <f aca="false">Scoring!CY133</f>
        <v/>
      </c>
      <c r="I126" s="192" t="str">
        <f aca="false">Scoring!CX133</f>
        <v/>
      </c>
    </row>
    <row r="127" customFormat="false" ht="15.75" hidden="false" customHeight="false" outlineLevel="0" collapsed="false">
      <c r="A127" s="7" t="str">
        <f aca="false">Scoring!DA134</f>
        <v/>
      </c>
      <c r="B127" s="7" t="str">
        <f aca="false">Scoring!CZ134</f>
        <v/>
      </c>
      <c r="C127" s="7" t="n">
        <f aca="false">Scoring!C134</f>
        <v>0</v>
      </c>
      <c r="D127" s="191" t="str">
        <f aca="false">Scoring!CW134</f>
        <v/>
      </c>
      <c r="E127" s="7" t="str">
        <f aca="false">Scoring!BX134</f>
        <v/>
      </c>
      <c r="F127" s="7" t="n">
        <f aca="false">Scoring!B134</f>
        <v>0</v>
      </c>
      <c r="G127" s="7" t="n">
        <f aca="false">Scoring!D134</f>
        <v>0</v>
      </c>
      <c r="H127" s="7" t="str">
        <f aca="false">Scoring!CY134</f>
        <v/>
      </c>
      <c r="I127" s="192" t="str">
        <f aca="false">Scoring!CX134</f>
        <v/>
      </c>
    </row>
    <row r="128" customFormat="false" ht="15.75" hidden="false" customHeight="false" outlineLevel="0" collapsed="false">
      <c r="A128" s="7" t="str">
        <f aca="false">Scoring!DA135</f>
        <v/>
      </c>
      <c r="B128" s="7" t="str">
        <f aca="false">Scoring!CZ135</f>
        <v/>
      </c>
      <c r="C128" s="7" t="n">
        <f aca="false">Scoring!C135</f>
        <v>0</v>
      </c>
      <c r="D128" s="191" t="str">
        <f aca="false">Scoring!CW135</f>
        <v/>
      </c>
      <c r="E128" s="7" t="str">
        <f aca="false">Scoring!BX135</f>
        <v/>
      </c>
      <c r="F128" s="7" t="n">
        <f aca="false">Scoring!B135</f>
        <v>0</v>
      </c>
      <c r="G128" s="7" t="n">
        <f aca="false">Scoring!D135</f>
        <v>0</v>
      </c>
      <c r="H128" s="7" t="str">
        <f aca="false">Scoring!CY135</f>
        <v/>
      </c>
      <c r="I128" s="192" t="str">
        <f aca="false">Scoring!CX135</f>
        <v/>
      </c>
    </row>
    <row r="129" customFormat="false" ht="15.75" hidden="false" customHeight="false" outlineLevel="0" collapsed="false">
      <c r="A129" s="7" t="str">
        <f aca="false">Scoring!DA136</f>
        <v/>
      </c>
      <c r="B129" s="7" t="str">
        <f aca="false">Scoring!CZ136</f>
        <v/>
      </c>
      <c r="C129" s="7" t="n">
        <f aca="false">Scoring!C136</f>
        <v>0</v>
      </c>
      <c r="D129" s="191" t="str">
        <f aca="false">Scoring!CW136</f>
        <v/>
      </c>
      <c r="E129" s="7" t="str">
        <f aca="false">Scoring!BX136</f>
        <v/>
      </c>
      <c r="F129" s="7" t="n">
        <f aca="false">Scoring!B136</f>
        <v>0</v>
      </c>
      <c r="G129" s="7" t="n">
        <f aca="false">Scoring!D136</f>
        <v>0</v>
      </c>
      <c r="H129" s="7" t="str">
        <f aca="false">Scoring!CY136</f>
        <v/>
      </c>
      <c r="I129" s="192" t="str">
        <f aca="false">Scoring!CX136</f>
        <v/>
      </c>
    </row>
    <row r="130" customFormat="false" ht="15.75" hidden="false" customHeight="false" outlineLevel="0" collapsed="false">
      <c r="A130" s="7" t="str">
        <f aca="false">Scoring!DA137</f>
        <v/>
      </c>
      <c r="B130" s="7" t="str">
        <f aca="false">Scoring!CZ137</f>
        <v/>
      </c>
      <c r="C130" s="7" t="n">
        <f aca="false">Scoring!C137</f>
        <v>0</v>
      </c>
      <c r="D130" s="191" t="str">
        <f aca="false">Scoring!CW137</f>
        <v/>
      </c>
      <c r="E130" s="7" t="str">
        <f aca="false">Scoring!BX137</f>
        <v/>
      </c>
      <c r="F130" s="7" t="n">
        <f aca="false">Scoring!B137</f>
        <v>0</v>
      </c>
      <c r="G130" s="7" t="n">
        <f aca="false">Scoring!D137</f>
        <v>0</v>
      </c>
      <c r="H130" s="7" t="str">
        <f aca="false">Scoring!CY137</f>
        <v/>
      </c>
      <c r="I130" s="192" t="str">
        <f aca="false">Scoring!CX137</f>
        <v/>
      </c>
    </row>
    <row r="131" customFormat="false" ht="15.75" hidden="false" customHeight="false" outlineLevel="0" collapsed="false">
      <c r="A131" s="7" t="str">
        <f aca="false">Scoring!DA138</f>
        <v/>
      </c>
      <c r="B131" s="7" t="str">
        <f aca="false">Scoring!CZ138</f>
        <v/>
      </c>
      <c r="C131" s="7" t="n">
        <f aca="false">Scoring!C138</f>
        <v>0</v>
      </c>
      <c r="D131" s="191" t="str">
        <f aca="false">Scoring!CW138</f>
        <v/>
      </c>
      <c r="E131" s="7" t="str">
        <f aca="false">Scoring!BX138</f>
        <v/>
      </c>
      <c r="F131" s="7" t="n">
        <f aca="false">Scoring!B138</f>
        <v>0</v>
      </c>
      <c r="G131" s="7" t="n">
        <f aca="false">Scoring!D138</f>
        <v>0</v>
      </c>
      <c r="H131" s="7" t="str">
        <f aca="false">Scoring!CY138</f>
        <v/>
      </c>
      <c r="I131" s="192" t="str">
        <f aca="false">Scoring!CX138</f>
        <v/>
      </c>
    </row>
    <row r="132" customFormat="false" ht="15.75" hidden="false" customHeight="false" outlineLevel="0" collapsed="false">
      <c r="A132" s="7" t="str">
        <f aca="false">Scoring!DA139</f>
        <v/>
      </c>
      <c r="B132" s="7" t="str">
        <f aca="false">Scoring!CZ139</f>
        <v/>
      </c>
      <c r="C132" s="7" t="n">
        <f aca="false">Scoring!C139</f>
        <v>0</v>
      </c>
      <c r="D132" s="191" t="str">
        <f aca="false">Scoring!CW139</f>
        <v/>
      </c>
      <c r="E132" s="7" t="str">
        <f aca="false">Scoring!BX139</f>
        <v/>
      </c>
      <c r="F132" s="7" t="n">
        <f aca="false">Scoring!B139</f>
        <v>0</v>
      </c>
      <c r="G132" s="7" t="n">
        <f aca="false">Scoring!D139</f>
        <v>0</v>
      </c>
      <c r="H132" s="7" t="str">
        <f aca="false">Scoring!CY139</f>
        <v/>
      </c>
      <c r="I132" s="192" t="str">
        <f aca="false">Scoring!CX139</f>
        <v/>
      </c>
    </row>
    <row r="133" customFormat="false" ht="15.75" hidden="false" customHeight="false" outlineLevel="0" collapsed="false">
      <c r="A133" s="7" t="str">
        <f aca="false">Scoring!DA140</f>
        <v/>
      </c>
      <c r="B133" s="7" t="str">
        <f aca="false">Scoring!CZ140</f>
        <v/>
      </c>
      <c r="C133" s="7" t="n">
        <f aca="false">Scoring!C140</f>
        <v>0</v>
      </c>
      <c r="D133" s="191" t="str">
        <f aca="false">Scoring!CW140</f>
        <v/>
      </c>
      <c r="E133" s="7" t="str">
        <f aca="false">Scoring!BX140</f>
        <v/>
      </c>
      <c r="F133" s="7" t="n">
        <f aca="false">Scoring!B140</f>
        <v>0</v>
      </c>
      <c r="G133" s="7" t="n">
        <f aca="false">Scoring!D140</f>
        <v>0</v>
      </c>
      <c r="H133" s="7" t="str">
        <f aca="false">Scoring!CY140</f>
        <v/>
      </c>
      <c r="I133" s="192" t="str">
        <f aca="false">Scoring!CX140</f>
        <v/>
      </c>
    </row>
    <row r="134" customFormat="false" ht="15.75" hidden="false" customHeight="false" outlineLevel="0" collapsed="false">
      <c r="A134" s="7" t="str">
        <f aca="false">Scoring!DA141</f>
        <v/>
      </c>
      <c r="B134" s="7" t="str">
        <f aca="false">Scoring!CZ141</f>
        <v/>
      </c>
      <c r="C134" s="7" t="n">
        <f aca="false">Scoring!C141</f>
        <v>0</v>
      </c>
      <c r="D134" s="191" t="str">
        <f aca="false">Scoring!CW141</f>
        <v/>
      </c>
      <c r="E134" s="7" t="str">
        <f aca="false">Scoring!BX141</f>
        <v/>
      </c>
      <c r="F134" s="7" t="n">
        <f aca="false">Scoring!B141</f>
        <v>0</v>
      </c>
      <c r="G134" s="7" t="n">
        <f aca="false">Scoring!D141</f>
        <v>0</v>
      </c>
      <c r="H134" s="7" t="str">
        <f aca="false">Scoring!CY141</f>
        <v/>
      </c>
      <c r="I134" s="192" t="str">
        <f aca="false">Scoring!CX141</f>
        <v/>
      </c>
    </row>
    <row r="135" customFormat="false" ht="15.75" hidden="false" customHeight="false" outlineLevel="0" collapsed="false">
      <c r="A135" s="7" t="str">
        <f aca="false">Scoring!DA142</f>
        <v/>
      </c>
      <c r="B135" s="7" t="str">
        <f aca="false">Scoring!CZ142</f>
        <v/>
      </c>
      <c r="C135" s="7" t="n">
        <f aca="false">Scoring!C142</f>
        <v>0</v>
      </c>
      <c r="D135" s="191" t="str">
        <f aca="false">Scoring!CW142</f>
        <v/>
      </c>
      <c r="E135" s="7" t="str">
        <f aca="false">Scoring!BX142</f>
        <v/>
      </c>
      <c r="F135" s="7" t="n">
        <f aca="false">Scoring!B142</f>
        <v>0</v>
      </c>
      <c r="G135" s="7" t="n">
        <f aca="false">Scoring!D142</f>
        <v>0</v>
      </c>
      <c r="H135" s="7" t="str">
        <f aca="false">Scoring!CY142</f>
        <v/>
      </c>
      <c r="I135" s="192" t="str">
        <f aca="false">Scoring!CX142</f>
        <v/>
      </c>
    </row>
    <row r="136" customFormat="false" ht="15.75" hidden="false" customHeight="false" outlineLevel="0" collapsed="false">
      <c r="A136" s="7" t="str">
        <f aca="false">Scoring!DA143</f>
        <v/>
      </c>
      <c r="B136" s="7" t="str">
        <f aca="false">Scoring!CZ143</f>
        <v/>
      </c>
      <c r="C136" s="7" t="n">
        <f aca="false">Scoring!C143</f>
        <v>0</v>
      </c>
      <c r="D136" s="191" t="str">
        <f aca="false">Scoring!CW143</f>
        <v/>
      </c>
      <c r="E136" s="7" t="str">
        <f aca="false">Scoring!BX143</f>
        <v/>
      </c>
      <c r="F136" s="7" t="n">
        <f aca="false">Scoring!B143</f>
        <v>0</v>
      </c>
      <c r="G136" s="7" t="n">
        <f aca="false">Scoring!D143</f>
        <v>0</v>
      </c>
      <c r="H136" s="7" t="str">
        <f aca="false">Scoring!CY143</f>
        <v/>
      </c>
      <c r="I136" s="192" t="str">
        <f aca="false">Scoring!CX143</f>
        <v/>
      </c>
    </row>
    <row r="137" customFormat="false" ht="15.75" hidden="false" customHeight="false" outlineLevel="0" collapsed="false">
      <c r="A137" s="7" t="str">
        <f aca="false">Scoring!DA144</f>
        <v/>
      </c>
      <c r="B137" s="7" t="str">
        <f aca="false">Scoring!CZ144</f>
        <v/>
      </c>
      <c r="C137" s="7" t="n">
        <f aca="false">Scoring!C144</f>
        <v>0</v>
      </c>
      <c r="D137" s="191" t="str">
        <f aca="false">Scoring!CW144</f>
        <v/>
      </c>
      <c r="E137" s="7" t="str">
        <f aca="false">Scoring!BX144</f>
        <v/>
      </c>
      <c r="F137" s="7" t="n">
        <f aca="false">Scoring!B144</f>
        <v>0</v>
      </c>
      <c r="G137" s="7" t="n">
        <f aca="false">Scoring!D144</f>
        <v>0</v>
      </c>
      <c r="H137" s="7" t="str">
        <f aca="false">Scoring!CY144</f>
        <v/>
      </c>
      <c r="I137" s="192" t="str">
        <f aca="false">Scoring!CX144</f>
        <v/>
      </c>
    </row>
    <row r="138" customFormat="false" ht="15.75" hidden="false" customHeight="false" outlineLevel="0" collapsed="false">
      <c r="A138" s="7" t="str">
        <f aca="false">Scoring!DA145</f>
        <v/>
      </c>
      <c r="B138" s="7" t="str">
        <f aca="false">Scoring!CZ145</f>
        <v/>
      </c>
      <c r="C138" s="7" t="n">
        <f aca="false">Scoring!C145</f>
        <v>0</v>
      </c>
      <c r="D138" s="191" t="str">
        <f aca="false">Scoring!CW145</f>
        <v/>
      </c>
      <c r="E138" s="7" t="str">
        <f aca="false">Scoring!BX145</f>
        <v/>
      </c>
      <c r="F138" s="7" t="n">
        <f aca="false">Scoring!B145</f>
        <v>0</v>
      </c>
      <c r="G138" s="7" t="n">
        <f aca="false">Scoring!D145</f>
        <v>0</v>
      </c>
      <c r="H138" s="7" t="str">
        <f aca="false">Scoring!CY145</f>
        <v/>
      </c>
      <c r="I138" s="192" t="str">
        <f aca="false">Scoring!CX145</f>
        <v/>
      </c>
    </row>
    <row r="139" customFormat="false" ht="15.75" hidden="false" customHeight="false" outlineLevel="0" collapsed="false">
      <c r="A139" s="7" t="str">
        <f aca="false">Scoring!DA146</f>
        <v/>
      </c>
      <c r="B139" s="7" t="str">
        <f aca="false">Scoring!CZ146</f>
        <v/>
      </c>
      <c r="C139" s="7" t="n">
        <f aca="false">Scoring!C146</f>
        <v>0</v>
      </c>
      <c r="D139" s="191" t="str">
        <f aca="false">Scoring!CW146</f>
        <v/>
      </c>
      <c r="E139" s="7" t="str">
        <f aca="false">Scoring!BX146</f>
        <v/>
      </c>
      <c r="F139" s="7" t="n">
        <f aca="false">Scoring!B146</f>
        <v>0</v>
      </c>
      <c r="G139" s="7" t="n">
        <f aca="false">Scoring!D146</f>
        <v>0</v>
      </c>
      <c r="H139" s="7" t="str">
        <f aca="false">Scoring!CY146</f>
        <v/>
      </c>
      <c r="I139" s="192" t="str">
        <f aca="false">Scoring!CX146</f>
        <v/>
      </c>
    </row>
    <row r="140" customFormat="false" ht="15.75" hidden="false" customHeight="false" outlineLevel="0" collapsed="false">
      <c r="A140" s="7" t="str">
        <f aca="false">Scoring!DA147</f>
        <v/>
      </c>
      <c r="B140" s="7" t="str">
        <f aca="false">Scoring!CZ147</f>
        <v/>
      </c>
      <c r="C140" s="7" t="n">
        <f aca="false">Scoring!C147</f>
        <v>0</v>
      </c>
      <c r="D140" s="191" t="str">
        <f aca="false">Scoring!CW147</f>
        <v/>
      </c>
      <c r="E140" s="7" t="str">
        <f aca="false">Scoring!BX147</f>
        <v/>
      </c>
      <c r="F140" s="7" t="n">
        <f aca="false">Scoring!B147</f>
        <v>0</v>
      </c>
      <c r="G140" s="7" t="n">
        <f aca="false">Scoring!D147</f>
        <v>0</v>
      </c>
      <c r="H140" s="7" t="str">
        <f aca="false">Scoring!CY147</f>
        <v/>
      </c>
      <c r="I140" s="192" t="str">
        <f aca="false">Scoring!CX147</f>
        <v/>
      </c>
    </row>
    <row r="141" customFormat="false" ht="15.75" hidden="false" customHeight="false" outlineLevel="0" collapsed="false">
      <c r="A141" s="7" t="str">
        <f aca="false">Scoring!DA148</f>
        <v/>
      </c>
      <c r="B141" s="7" t="str">
        <f aca="false">Scoring!CZ148</f>
        <v/>
      </c>
      <c r="C141" s="7" t="n">
        <f aca="false">Scoring!C148</f>
        <v>0</v>
      </c>
      <c r="D141" s="191" t="str">
        <f aca="false">Scoring!CW148</f>
        <v/>
      </c>
      <c r="E141" s="7" t="str">
        <f aca="false">Scoring!BX148</f>
        <v/>
      </c>
      <c r="F141" s="7" t="n">
        <f aca="false">Scoring!B148</f>
        <v>0</v>
      </c>
      <c r="G141" s="7" t="n">
        <f aca="false">Scoring!D148</f>
        <v>0</v>
      </c>
      <c r="H141" s="7" t="str">
        <f aca="false">Scoring!CY148</f>
        <v/>
      </c>
      <c r="I141" s="192" t="str">
        <f aca="false">Scoring!CX148</f>
        <v/>
      </c>
    </row>
    <row r="142" customFormat="false" ht="15.75" hidden="false" customHeight="false" outlineLevel="0" collapsed="false">
      <c r="A142" s="7" t="str">
        <f aca="false">Scoring!DA149</f>
        <v/>
      </c>
      <c r="B142" s="7" t="str">
        <f aca="false">Scoring!CZ149</f>
        <v/>
      </c>
      <c r="C142" s="7" t="n">
        <f aca="false">Scoring!C149</f>
        <v>0</v>
      </c>
      <c r="D142" s="191" t="str">
        <f aca="false">Scoring!CW149</f>
        <v/>
      </c>
      <c r="E142" s="7" t="str">
        <f aca="false">Scoring!BX149</f>
        <v/>
      </c>
      <c r="F142" s="7" t="n">
        <f aca="false">Scoring!B149</f>
        <v>0</v>
      </c>
      <c r="G142" s="7" t="n">
        <f aca="false">Scoring!D149</f>
        <v>0</v>
      </c>
      <c r="H142" s="7" t="str">
        <f aca="false">Scoring!CY149</f>
        <v/>
      </c>
      <c r="I142" s="192" t="str">
        <f aca="false">Scoring!CX149</f>
        <v/>
      </c>
    </row>
    <row r="143" customFormat="false" ht="15.75" hidden="false" customHeight="false" outlineLevel="0" collapsed="false">
      <c r="A143" s="7" t="str">
        <f aca="false">Scoring!DA150</f>
        <v/>
      </c>
      <c r="B143" s="7" t="str">
        <f aca="false">Scoring!CZ150</f>
        <v/>
      </c>
      <c r="C143" s="7" t="n">
        <f aca="false">Scoring!C150</f>
        <v>0</v>
      </c>
      <c r="D143" s="191" t="str">
        <f aca="false">Scoring!CW150</f>
        <v/>
      </c>
      <c r="E143" s="7" t="str">
        <f aca="false">Scoring!BX150</f>
        <v/>
      </c>
      <c r="F143" s="7" t="n">
        <f aca="false">Scoring!B150</f>
        <v>0</v>
      </c>
      <c r="G143" s="7" t="n">
        <f aca="false">Scoring!D150</f>
        <v>0</v>
      </c>
      <c r="H143" s="7" t="str">
        <f aca="false">Scoring!CY150</f>
        <v/>
      </c>
      <c r="I143" s="192" t="str">
        <f aca="false">Scoring!CX150</f>
        <v/>
      </c>
    </row>
    <row r="144" customFormat="false" ht="15.75" hidden="false" customHeight="false" outlineLevel="0" collapsed="false">
      <c r="A144" s="7" t="str">
        <f aca="false">Scoring!DA151</f>
        <v/>
      </c>
      <c r="B144" s="7" t="str">
        <f aca="false">Scoring!CZ151</f>
        <v/>
      </c>
      <c r="C144" s="7" t="n">
        <f aca="false">Scoring!C151</f>
        <v>0</v>
      </c>
      <c r="D144" s="191" t="str">
        <f aca="false">Scoring!CW151</f>
        <v/>
      </c>
      <c r="E144" s="7" t="str">
        <f aca="false">Scoring!BX151</f>
        <v/>
      </c>
      <c r="F144" s="7" t="n">
        <f aca="false">Scoring!B151</f>
        <v>0</v>
      </c>
      <c r="G144" s="7" t="n">
        <f aca="false">Scoring!D151</f>
        <v>0</v>
      </c>
      <c r="H144" s="7" t="str">
        <f aca="false">Scoring!CY151</f>
        <v/>
      </c>
      <c r="I144" s="192" t="str">
        <f aca="false">Scoring!CX151</f>
        <v/>
      </c>
    </row>
    <row r="145" customFormat="false" ht="15.75" hidden="false" customHeight="false" outlineLevel="0" collapsed="false">
      <c r="A145" s="7" t="str">
        <f aca="false">Scoring!DA152</f>
        <v/>
      </c>
      <c r="B145" s="7" t="str">
        <f aca="false">Scoring!CZ152</f>
        <v/>
      </c>
      <c r="C145" s="7" t="n">
        <f aca="false">Scoring!C152</f>
        <v>0</v>
      </c>
      <c r="D145" s="191" t="str">
        <f aca="false">Scoring!CW152</f>
        <v/>
      </c>
      <c r="E145" s="7" t="str">
        <f aca="false">Scoring!BX152</f>
        <v/>
      </c>
      <c r="F145" s="7" t="n">
        <f aca="false">Scoring!B152</f>
        <v>0</v>
      </c>
      <c r="G145" s="7" t="n">
        <f aca="false">Scoring!D152</f>
        <v>0</v>
      </c>
      <c r="H145" s="7" t="str">
        <f aca="false">Scoring!CY152</f>
        <v/>
      </c>
      <c r="I145" s="192" t="str">
        <f aca="false">Scoring!CX152</f>
        <v/>
      </c>
    </row>
    <row r="146" customFormat="false" ht="15.75" hidden="false" customHeight="false" outlineLevel="0" collapsed="false">
      <c r="A146" s="7" t="str">
        <f aca="false">Scoring!DA153</f>
        <v/>
      </c>
      <c r="B146" s="7" t="str">
        <f aca="false">Scoring!CZ153</f>
        <v/>
      </c>
      <c r="C146" s="7" t="n">
        <f aca="false">Scoring!C153</f>
        <v>0</v>
      </c>
      <c r="D146" s="191" t="str">
        <f aca="false">Scoring!CW153</f>
        <v/>
      </c>
      <c r="E146" s="7" t="str">
        <f aca="false">Scoring!BX153</f>
        <v/>
      </c>
      <c r="F146" s="7" t="n">
        <f aca="false">Scoring!B153</f>
        <v>0</v>
      </c>
      <c r="G146" s="7" t="n">
        <f aca="false">Scoring!D153</f>
        <v>0</v>
      </c>
      <c r="H146" s="7" t="str">
        <f aca="false">Scoring!CY153</f>
        <v/>
      </c>
      <c r="I146" s="192" t="str">
        <f aca="false">Scoring!CX153</f>
        <v/>
      </c>
    </row>
    <row r="147" customFormat="false" ht="15.75" hidden="false" customHeight="false" outlineLevel="0" collapsed="false">
      <c r="A147" s="7" t="str">
        <f aca="false">Scoring!DA154</f>
        <v/>
      </c>
      <c r="B147" s="7" t="str">
        <f aca="false">Scoring!CZ154</f>
        <v/>
      </c>
      <c r="C147" s="7" t="n">
        <f aca="false">Scoring!C154</f>
        <v>0</v>
      </c>
      <c r="D147" s="191" t="str">
        <f aca="false">Scoring!CW154</f>
        <v/>
      </c>
      <c r="E147" s="7" t="str">
        <f aca="false">Scoring!BX154</f>
        <v/>
      </c>
      <c r="F147" s="7" t="n">
        <f aca="false">Scoring!B154</f>
        <v>0</v>
      </c>
      <c r="G147" s="7" t="n">
        <f aca="false">Scoring!D154</f>
        <v>0</v>
      </c>
      <c r="H147" s="7" t="str">
        <f aca="false">Scoring!CY154</f>
        <v/>
      </c>
      <c r="I147" s="192" t="str">
        <f aca="false">Scoring!CX154</f>
        <v/>
      </c>
    </row>
    <row r="148" customFormat="false" ht="15.75" hidden="false" customHeight="false" outlineLevel="0" collapsed="false">
      <c r="A148" s="7" t="str">
        <f aca="false">Scoring!DA155</f>
        <v/>
      </c>
      <c r="B148" s="7" t="str">
        <f aca="false">Scoring!CZ155</f>
        <v/>
      </c>
      <c r="C148" s="7" t="n">
        <f aca="false">Scoring!C155</f>
        <v>0</v>
      </c>
      <c r="D148" s="191" t="str">
        <f aca="false">Scoring!CW155</f>
        <v/>
      </c>
      <c r="E148" s="7" t="str">
        <f aca="false">Scoring!BX155</f>
        <v/>
      </c>
      <c r="F148" s="7" t="n">
        <f aca="false">Scoring!B155</f>
        <v>0</v>
      </c>
      <c r="G148" s="7" t="n">
        <f aca="false">Scoring!D155</f>
        <v>0</v>
      </c>
      <c r="H148" s="7" t="str">
        <f aca="false">Scoring!CY155</f>
        <v/>
      </c>
      <c r="I148" s="192" t="str">
        <f aca="false">Scoring!CX155</f>
        <v/>
      </c>
    </row>
    <row r="149" customFormat="false" ht="15.75" hidden="false" customHeight="false" outlineLevel="0" collapsed="false">
      <c r="A149" s="7" t="str">
        <f aca="false">Scoring!DA156</f>
        <v/>
      </c>
      <c r="B149" s="7" t="str">
        <f aca="false">Scoring!CZ156</f>
        <v/>
      </c>
      <c r="C149" s="7" t="n">
        <f aca="false">Scoring!C156</f>
        <v>0</v>
      </c>
      <c r="D149" s="191" t="str">
        <f aca="false">Scoring!CW156</f>
        <v/>
      </c>
      <c r="E149" s="7" t="str">
        <f aca="false">Scoring!BX156</f>
        <v/>
      </c>
      <c r="F149" s="7" t="n">
        <f aca="false">Scoring!B156</f>
        <v>0</v>
      </c>
      <c r="G149" s="7" t="n">
        <f aca="false">Scoring!D156</f>
        <v>0</v>
      </c>
      <c r="H149" s="7" t="str">
        <f aca="false">Scoring!CY156</f>
        <v/>
      </c>
      <c r="I149" s="192" t="str">
        <f aca="false">Scoring!CX156</f>
        <v/>
      </c>
    </row>
    <row r="150" customFormat="false" ht="15.75" hidden="false" customHeight="false" outlineLevel="0" collapsed="false">
      <c r="A150" s="7" t="str">
        <f aca="false">Scoring!DA157</f>
        <v/>
      </c>
      <c r="B150" s="7" t="str">
        <f aca="false">Scoring!CZ157</f>
        <v/>
      </c>
      <c r="C150" s="7" t="n">
        <f aca="false">Scoring!C157</f>
        <v>0</v>
      </c>
      <c r="D150" s="191" t="str">
        <f aca="false">Scoring!CW157</f>
        <v/>
      </c>
      <c r="E150" s="7" t="str">
        <f aca="false">Scoring!BX157</f>
        <v/>
      </c>
      <c r="F150" s="7" t="n">
        <f aca="false">Scoring!B157</f>
        <v>0</v>
      </c>
      <c r="G150" s="7" t="n">
        <f aca="false">Scoring!D157</f>
        <v>0</v>
      </c>
      <c r="H150" s="7" t="str">
        <f aca="false">Scoring!CY157</f>
        <v/>
      </c>
      <c r="I150" s="192" t="str">
        <f aca="false">Scoring!CX157</f>
        <v/>
      </c>
    </row>
    <row r="151" customFormat="false" ht="15.75" hidden="false" customHeight="false" outlineLevel="0" collapsed="false">
      <c r="A151" s="7" t="str">
        <f aca="false">Scoring!DA158</f>
        <v/>
      </c>
      <c r="B151" s="7" t="str">
        <f aca="false">Scoring!CZ158</f>
        <v/>
      </c>
      <c r="C151" s="7" t="n">
        <f aca="false">Scoring!C158</f>
        <v>0</v>
      </c>
      <c r="D151" s="191" t="str">
        <f aca="false">Scoring!CW158</f>
        <v/>
      </c>
      <c r="E151" s="7" t="str">
        <f aca="false">Scoring!BX158</f>
        <v/>
      </c>
      <c r="F151" s="7" t="n">
        <f aca="false">Scoring!B158</f>
        <v>0</v>
      </c>
      <c r="G151" s="7" t="n">
        <f aca="false">Scoring!D158</f>
        <v>0</v>
      </c>
      <c r="H151" s="7" t="str">
        <f aca="false">Scoring!CY158</f>
        <v/>
      </c>
      <c r="I151" s="192" t="str">
        <f aca="false">Scoring!CX158</f>
        <v/>
      </c>
    </row>
    <row r="152" customFormat="false" ht="15.75" hidden="false" customHeight="false" outlineLevel="0" collapsed="false">
      <c r="A152" s="7" t="str">
        <f aca="false">Scoring!DA159</f>
        <v/>
      </c>
      <c r="B152" s="7" t="str">
        <f aca="false">Scoring!CZ159</f>
        <v/>
      </c>
      <c r="C152" s="7" t="n">
        <f aca="false">Scoring!C159</f>
        <v>0</v>
      </c>
      <c r="D152" s="191" t="str">
        <f aca="false">Scoring!CW159</f>
        <v/>
      </c>
      <c r="E152" s="7" t="str">
        <f aca="false">Scoring!BX159</f>
        <v/>
      </c>
      <c r="F152" s="7" t="n">
        <f aca="false">Scoring!B159</f>
        <v>0</v>
      </c>
      <c r="G152" s="7" t="n">
        <f aca="false">Scoring!D159</f>
        <v>0</v>
      </c>
      <c r="H152" s="7" t="str">
        <f aca="false">Scoring!CY159</f>
        <v/>
      </c>
      <c r="I152" s="192" t="str">
        <f aca="false">Scoring!CX159</f>
        <v/>
      </c>
    </row>
    <row r="153" customFormat="false" ht="15.75" hidden="false" customHeight="false" outlineLevel="0" collapsed="false">
      <c r="A153" s="7" t="str">
        <f aca="false">Scoring!DA160</f>
        <v/>
      </c>
      <c r="B153" s="7" t="str">
        <f aca="false">Scoring!CZ160</f>
        <v/>
      </c>
      <c r="C153" s="7" t="n">
        <f aca="false">Scoring!C160</f>
        <v>0</v>
      </c>
      <c r="D153" s="191" t="str">
        <f aca="false">Scoring!CW160</f>
        <v/>
      </c>
      <c r="E153" s="7" t="str">
        <f aca="false">Scoring!BX160</f>
        <v/>
      </c>
      <c r="F153" s="7" t="n">
        <f aca="false">Scoring!B160</f>
        <v>0</v>
      </c>
      <c r="G153" s="7" t="n">
        <f aca="false">Scoring!D160</f>
        <v>0</v>
      </c>
      <c r="H153" s="7" t="str">
        <f aca="false">Scoring!CY160</f>
        <v/>
      </c>
      <c r="I153" s="192" t="str">
        <f aca="false">Scoring!CX160</f>
        <v/>
      </c>
    </row>
    <row r="154" customFormat="false" ht="15.75" hidden="false" customHeight="false" outlineLevel="0" collapsed="false">
      <c r="A154" s="7" t="str">
        <f aca="false">Scoring!DA161</f>
        <v/>
      </c>
      <c r="B154" s="7" t="str">
        <f aca="false">Scoring!CZ161</f>
        <v/>
      </c>
      <c r="C154" s="7" t="n">
        <f aca="false">Scoring!C161</f>
        <v>0</v>
      </c>
      <c r="D154" s="191" t="str">
        <f aca="false">Scoring!CW161</f>
        <v/>
      </c>
      <c r="E154" s="7" t="str">
        <f aca="false">Scoring!BX161</f>
        <v/>
      </c>
      <c r="F154" s="7" t="n">
        <f aca="false">Scoring!B161</f>
        <v>0</v>
      </c>
      <c r="G154" s="7" t="n">
        <f aca="false">Scoring!D161</f>
        <v>0</v>
      </c>
      <c r="H154" s="7" t="str">
        <f aca="false">Scoring!CY161</f>
        <v/>
      </c>
      <c r="I154" s="192" t="str">
        <f aca="false">Scoring!CX161</f>
        <v/>
      </c>
    </row>
    <row r="155" customFormat="false" ht="15.75" hidden="false" customHeight="false" outlineLevel="0" collapsed="false">
      <c r="A155" s="7" t="str">
        <f aca="false">Scoring!DA162</f>
        <v/>
      </c>
      <c r="B155" s="7" t="str">
        <f aca="false">Scoring!CZ162</f>
        <v/>
      </c>
      <c r="C155" s="7" t="n">
        <f aca="false">Scoring!C162</f>
        <v>0</v>
      </c>
      <c r="D155" s="191" t="str">
        <f aca="false">Scoring!CW162</f>
        <v/>
      </c>
      <c r="E155" s="7" t="str">
        <f aca="false">Scoring!BX162</f>
        <v/>
      </c>
      <c r="F155" s="7" t="n">
        <f aca="false">Scoring!B162</f>
        <v>0</v>
      </c>
      <c r="G155" s="7" t="n">
        <f aca="false">Scoring!D162</f>
        <v>0</v>
      </c>
      <c r="H155" s="7" t="str">
        <f aca="false">Scoring!CY162</f>
        <v/>
      </c>
      <c r="I155" s="192" t="str">
        <f aca="false">Scoring!CX162</f>
        <v/>
      </c>
    </row>
    <row r="156" customFormat="false" ht="15.75" hidden="false" customHeight="false" outlineLevel="0" collapsed="false">
      <c r="A156" s="7" t="str">
        <f aca="false">Scoring!DA163</f>
        <v/>
      </c>
      <c r="B156" s="7" t="str">
        <f aca="false">Scoring!CZ163</f>
        <v/>
      </c>
      <c r="C156" s="7" t="n">
        <f aca="false">Scoring!C163</f>
        <v>0</v>
      </c>
      <c r="D156" s="191" t="str">
        <f aca="false">Scoring!CW163</f>
        <v/>
      </c>
      <c r="E156" s="7" t="str">
        <f aca="false">Scoring!BX163</f>
        <v/>
      </c>
      <c r="F156" s="7" t="n">
        <f aca="false">Scoring!B163</f>
        <v>0</v>
      </c>
      <c r="G156" s="7" t="n">
        <f aca="false">Scoring!D163</f>
        <v>0</v>
      </c>
      <c r="H156" s="7" t="str">
        <f aca="false">Scoring!CY163</f>
        <v/>
      </c>
      <c r="I156" s="192" t="str">
        <f aca="false">Scoring!CX163</f>
        <v/>
      </c>
    </row>
    <row r="157" customFormat="false" ht="15.75" hidden="false" customHeight="false" outlineLevel="0" collapsed="false">
      <c r="A157" s="7" t="str">
        <f aca="false">Scoring!DA164</f>
        <v/>
      </c>
      <c r="B157" s="7" t="str">
        <f aca="false">Scoring!CZ164</f>
        <v/>
      </c>
      <c r="C157" s="7" t="n">
        <f aca="false">Scoring!C164</f>
        <v>0</v>
      </c>
      <c r="D157" s="191" t="str">
        <f aca="false">Scoring!CW164</f>
        <v/>
      </c>
      <c r="E157" s="7" t="str">
        <f aca="false">Scoring!BX164</f>
        <v/>
      </c>
      <c r="F157" s="7" t="n">
        <f aca="false">Scoring!B164</f>
        <v>0</v>
      </c>
      <c r="G157" s="7" t="n">
        <f aca="false">Scoring!D164</f>
        <v>0</v>
      </c>
      <c r="H157" s="7" t="str">
        <f aca="false">Scoring!CY164</f>
        <v/>
      </c>
      <c r="I157" s="192" t="str">
        <f aca="false">Scoring!CX164</f>
        <v/>
      </c>
    </row>
    <row r="158" customFormat="false" ht="15.75" hidden="false" customHeight="false" outlineLevel="0" collapsed="false">
      <c r="A158" s="7" t="str">
        <f aca="false">Scoring!DA165</f>
        <v/>
      </c>
      <c r="B158" s="7" t="str">
        <f aca="false">Scoring!CZ165</f>
        <v/>
      </c>
      <c r="C158" s="7" t="n">
        <f aca="false">Scoring!C165</f>
        <v>0</v>
      </c>
      <c r="D158" s="191" t="str">
        <f aca="false">Scoring!CW165</f>
        <v/>
      </c>
      <c r="E158" s="7" t="str">
        <f aca="false">Scoring!BX165</f>
        <v/>
      </c>
      <c r="F158" s="7" t="n">
        <f aca="false">Scoring!B165</f>
        <v>0</v>
      </c>
      <c r="G158" s="7" t="n">
        <f aca="false">Scoring!D165</f>
        <v>0</v>
      </c>
      <c r="H158" s="7" t="str">
        <f aca="false">Scoring!CY165</f>
        <v/>
      </c>
      <c r="I158" s="192" t="str">
        <f aca="false">Scoring!CX165</f>
        <v/>
      </c>
    </row>
    <row r="159" customFormat="false" ht="15.75" hidden="false" customHeight="false" outlineLevel="0" collapsed="false">
      <c r="A159" s="7" t="str">
        <f aca="false">Scoring!DA166</f>
        <v/>
      </c>
      <c r="B159" s="7" t="str">
        <f aca="false">Scoring!CZ166</f>
        <v/>
      </c>
      <c r="C159" s="7" t="n">
        <f aca="false">Scoring!C166</f>
        <v>0</v>
      </c>
      <c r="D159" s="191" t="str">
        <f aca="false">Scoring!CW166</f>
        <v/>
      </c>
      <c r="E159" s="7" t="str">
        <f aca="false">Scoring!BX166</f>
        <v/>
      </c>
      <c r="F159" s="7" t="n">
        <f aca="false">Scoring!B166</f>
        <v>0</v>
      </c>
      <c r="G159" s="7" t="n">
        <f aca="false">Scoring!D166</f>
        <v>0</v>
      </c>
      <c r="H159" s="7" t="str">
        <f aca="false">Scoring!CY166</f>
        <v/>
      </c>
      <c r="I159" s="192" t="str">
        <f aca="false">Scoring!CX166</f>
        <v/>
      </c>
    </row>
    <row r="160" customFormat="false" ht="15.75" hidden="false" customHeight="false" outlineLevel="0" collapsed="false">
      <c r="A160" s="7" t="str">
        <f aca="false">Scoring!DA167</f>
        <v/>
      </c>
      <c r="B160" s="7" t="str">
        <f aca="false">Scoring!CZ167</f>
        <v/>
      </c>
      <c r="C160" s="7" t="n">
        <f aca="false">Scoring!C167</f>
        <v>0</v>
      </c>
      <c r="D160" s="191" t="str">
        <f aca="false">Scoring!CW167</f>
        <v/>
      </c>
      <c r="E160" s="7" t="str">
        <f aca="false">Scoring!BX167</f>
        <v/>
      </c>
      <c r="F160" s="7" t="n">
        <f aca="false">Scoring!B167</f>
        <v>0</v>
      </c>
      <c r="G160" s="7" t="n">
        <f aca="false">Scoring!D167</f>
        <v>0</v>
      </c>
      <c r="H160" s="7" t="str">
        <f aca="false">Scoring!CY167</f>
        <v/>
      </c>
      <c r="I160" s="192" t="str">
        <f aca="false">Scoring!CX167</f>
        <v/>
      </c>
    </row>
    <row r="161" customFormat="false" ht="15.75" hidden="false" customHeight="false" outlineLevel="0" collapsed="false">
      <c r="A161" s="7" t="str">
        <f aca="false">Scoring!DA168</f>
        <v/>
      </c>
      <c r="B161" s="7" t="str">
        <f aca="false">Scoring!CZ168</f>
        <v/>
      </c>
      <c r="C161" s="7" t="n">
        <f aca="false">Scoring!C168</f>
        <v>0</v>
      </c>
      <c r="D161" s="191" t="str">
        <f aca="false">Scoring!CW168</f>
        <v/>
      </c>
      <c r="E161" s="7" t="str">
        <f aca="false">Scoring!BX168</f>
        <v/>
      </c>
      <c r="F161" s="7" t="n">
        <f aca="false">Scoring!B168</f>
        <v>0</v>
      </c>
      <c r="G161" s="7" t="n">
        <f aca="false">Scoring!D168</f>
        <v>0</v>
      </c>
      <c r="H161" s="7" t="str">
        <f aca="false">Scoring!CY168</f>
        <v/>
      </c>
      <c r="I161" s="192" t="str">
        <f aca="false">Scoring!CX168</f>
        <v/>
      </c>
    </row>
    <row r="162" customFormat="false" ht="15.75" hidden="false" customHeight="false" outlineLevel="0" collapsed="false">
      <c r="A162" s="7" t="str">
        <f aca="false">Scoring!DA169</f>
        <v/>
      </c>
      <c r="B162" s="7" t="str">
        <f aca="false">Scoring!CZ169</f>
        <v/>
      </c>
      <c r="C162" s="7" t="n">
        <f aca="false">Scoring!C169</f>
        <v>0</v>
      </c>
      <c r="D162" s="191" t="str">
        <f aca="false">Scoring!CW169</f>
        <v/>
      </c>
      <c r="E162" s="7" t="str">
        <f aca="false">Scoring!BX169</f>
        <v/>
      </c>
      <c r="F162" s="7" t="n">
        <f aca="false">Scoring!B169</f>
        <v>0</v>
      </c>
      <c r="G162" s="7" t="n">
        <f aca="false">Scoring!D169</f>
        <v>0</v>
      </c>
      <c r="H162" s="7" t="str">
        <f aca="false">Scoring!CY169</f>
        <v/>
      </c>
      <c r="I162" s="192" t="str">
        <f aca="false">Scoring!CX169</f>
        <v/>
      </c>
    </row>
    <row r="163" customFormat="false" ht="15.75" hidden="false" customHeight="false" outlineLevel="0" collapsed="false">
      <c r="A163" s="7" t="str">
        <f aca="false">Scoring!DA170</f>
        <v/>
      </c>
      <c r="B163" s="7" t="str">
        <f aca="false">Scoring!CZ170</f>
        <v/>
      </c>
      <c r="C163" s="7" t="n">
        <f aca="false">Scoring!C170</f>
        <v>0</v>
      </c>
      <c r="D163" s="191" t="str">
        <f aca="false">Scoring!CW170</f>
        <v/>
      </c>
      <c r="E163" s="7" t="str">
        <f aca="false">Scoring!BX170</f>
        <v/>
      </c>
      <c r="F163" s="7" t="n">
        <f aca="false">Scoring!B170</f>
        <v>0</v>
      </c>
      <c r="G163" s="7" t="n">
        <f aca="false">Scoring!D170</f>
        <v>0</v>
      </c>
      <c r="H163" s="7" t="str">
        <f aca="false">Scoring!CY170</f>
        <v/>
      </c>
      <c r="I163" s="192" t="str">
        <f aca="false">Scoring!CX170</f>
        <v/>
      </c>
    </row>
    <row r="164" customFormat="false" ht="15.75" hidden="false" customHeight="false" outlineLevel="0" collapsed="false">
      <c r="A164" s="7" t="str">
        <f aca="false">Scoring!DA171</f>
        <v/>
      </c>
      <c r="B164" s="7" t="str">
        <f aca="false">Scoring!CZ171</f>
        <v/>
      </c>
      <c r="C164" s="7" t="n">
        <f aca="false">Scoring!C171</f>
        <v>0</v>
      </c>
      <c r="D164" s="191" t="str">
        <f aca="false">Scoring!CW171</f>
        <v/>
      </c>
      <c r="E164" s="7" t="str">
        <f aca="false">Scoring!BX171</f>
        <v/>
      </c>
      <c r="F164" s="7" t="n">
        <f aca="false">Scoring!B171</f>
        <v>0</v>
      </c>
      <c r="G164" s="7" t="n">
        <f aca="false">Scoring!D171</f>
        <v>0</v>
      </c>
      <c r="H164" s="7" t="str">
        <f aca="false">Scoring!CY171</f>
        <v/>
      </c>
      <c r="I164" s="192" t="str">
        <f aca="false">Scoring!CX171</f>
        <v/>
      </c>
    </row>
    <row r="165" customFormat="false" ht="15.75" hidden="false" customHeight="false" outlineLevel="0" collapsed="false">
      <c r="A165" s="7" t="str">
        <f aca="false">Scoring!DA172</f>
        <v/>
      </c>
      <c r="B165" s="7" t="str">
        <f aca="false">Scoring!CZ172</f>
        <v/>
      </c>
      <c r="C165" s="7" t="n">
        <f aca="false">Scoring!C172</f>
        <v>0</v>
      </c>
      <c r="D165" s="191" t="str">
        <f aca="false">Scoring!CW172</f>
        <v/>
      </c>
      <c r="E165" s="7" t="str">
        <f aca="false">Scoring!BX172</f>
        <v/>
      </c>
      <c r="F165" s="7" t="n">
        <f aca="false">Scoring!B172</f>
        <v>0</v>
      </c>
      <c r="G165" s="7" t="n">
        <f aca="false">Scoring!D172</f>
        <v>0</v>
      </c>
      <c r="H165" s="7" t="str">
        <f aca="false">Scoring!CY172</f>
        <v/>
      </c>
      <c r="I165" s="192" t="str">
        <f aca="false">Scoring!CX172</f>
        <v/>
      </c>
    </row>
    <row r="166" customFormat="false" ht="15.75" hidden="false" customHeight="false" outlineLevel="0" collapsed="false">
      <c r="A166" s="7" t="str">
        <f aca="false">Scoring!DA173</f>
        <v/>
      </c>
      <c r="B166" s="7" t="str">
        <f aca="false">Scoring!CZ173</f>
        <v/>
      </c>
      <c r="C166" s="7" t="n">
        <f aca="false">Scoring!C173</f>
        <v>0</v>
      </c>
      <c r="D166" s="191" t="str">
        <f aca="false">Scoring!CW173</f>
        <v/>
      </c>
      <c r="E166" s="7" t="str">
        <f aca="false">Scoring!BX173</f>
        <v/>
      </c>
      <c r="F166" s="7" t="n">
        <f aca="false">Scoring!B173</f>
        <v>0</v>
      </c>
      <c r="G166" s="7" t="n">
        <f aca="false">Scoring!D173</f>
        <v>0</v>
      </c>
      <c r="H166" s="7" t="str">
        <f aca="false">Scoring!CY173</f>
        <v/>
      </c>
      <c r="I166" s="192" t="str">
        <f aca="false">Scoring!CX173</f>
        <v/>
      </c>
    </row>
    <row r="167" customFormat="false" ht="15.75" hidden="false" customHeight="false" outlineLevel="0" collapsed="false">
      <c r="A167" s="7" t="str">
        <f aca="false">Scoring!DA174</f>
        <v/>
      </c>
      <c r="B167" s="7" t="str">
        <f aca="false">Scoring!CZ174</f>
        <v/>
      </c>
      <c r="C167" s="7" t="n">
        <f aca="false">Scoring!C174</f>
        <v>0</v>
      </c>
      <c r="D167" s="191" t="str">
        <f aca="false">Scoring!CW174</f>
        <v/>
      </c>
      <c r="E167" s="7" t="str">
        <f aca="false">Scoring!BX174</f>
        <v/>
      </c>
      <c r="F167" s="7" t="n">
        <f aca="false">Scoring!B174</f>
        <v>0</v>
      </c>
      <c r="G167" s="7" t="n">
        <f aca="false">Scoring!D174</f>
        <v>0</v>
      </c>
      <c r="H167" s="7" t="str">
        <f aca="false">Scoring!CY174</f>
        <v/>
      </c>
      <c r="I167" s="192" t="str">
        <f aca="false">Scoring!CX174</f>
        <v/>
      </c>
    </row>
    <row r="168" customFormat="false" ht="15.75" hidden="false" customHeight="false" outlineLevel="0" collapsed="false">
      <c r="A168" s="7" t="str">
        <f aca="false">Scoring!DA175</f>
        <v/>
      </c>
      <c r="B168" s="7" t="str">
        <f aca="false">Scoring!CZ175</f>
        <v/>
      </c>
      <c r="C168" s="7" t="n">
        <f aca="false">Scoring!C175</f>
        <v>0</v>
      </c>
      <c r="D168" s="191" t="str">
        <f aca="false">Scoring!CW175</f>
        <v/>
      </c>
      <c r="E168" s="7" t="str">
        <f aca="false">Scoring!BX175</f>
        <v/>
      </c>
      <c r="F168" s="7" t="n">
        <f aca="false">Scoring!B175</f>
        <v>0</v>
      </c>
      <c r="G168" s="7" t="n">
        <f aca="false">Scoring!D175</f>
        <v>0</v>
      </c>
      <c r="H168" s="7" t="str">
        <f aca="false">Scoring!CY175</f>
        <v/>
      </c>
      <c r="I168" s="192" t="str">
        <f aca="false">Scoring!CX175</f>
        <v/>
      </c>
    </row>
    <row r="169" customFormat="false" ht="15.75" hidden="false" customHeight="false" outlineLevel="0" collapsed="false">
      <c r="A169" s="7" t="str">
        <f aca="false">Scoring!DA176</f>
        <v/>
      </c>
      <c r="B169" s="7" t="str">
        <f aca="false">Scoring!CZ176</f>
        <v/>
      </c>
      <c r="C169" s="7" t="n">
        <f aca="false">Scoring!C176</f>
        <v>0</v>
      </c>
      <c r="D169" s="191" t="str">
        <f aca="false">Scoring!CW176</f>
        <v/>
      </c>
      <c r="E169" s="7" t="str">
        <f aca="false">Scoring!BX176</f>
        <v/>
      </c>
      <c r="F169" s="7" t="n">
        <f aca="false">Scoring!B176</f>
        <v>0</v>
      </c>
      <c r="G169" s="7" t="n">
        <f aca="false">Scoring!D176</f>
        <v>0</v>
      </c>
      <c r="H169" s="7" t="str">
        <f aca="false">Scoring!CY176</f>
        <v/>
      </c>
      <c r="I169" s="192" t="str">
        <f aca="false">Scoring!CX176</f>
        <v/>
      </c>
    </row>
    <row r="170" customFormat="false" ht="15.75" hidden="false" customHeight="false" outlineLevel="0" collapsed="false">
      <c r="A170" s="7" t="str">
        <f aca="false">Scoring!DA177</f>
        <v/>
      </c>
      <c r="B170" s="7" t="str">
        <f aca="false">Scoring!CZ177</f>
        <v/>
      </c>
      <c r="C170" s="7" t="n">
        <f aca="false">Scoring!C177</f>
        <v>0</v>
      </c>
      <c r="D170" s="191" t="str">
        <f aca="false">Scoring!CW177</f>
        <v/>
      </c>
      <c r="E170" s="7" t="str">
        <f aca="false">Scoring!BX177</f>
        <v/>
      </c>
      <c r="F170" s="7" t="n">
        <f aca="false">Scoring!B177</f>
        <v>0</v>
      </c>
      <c r="G170" s="7" t="n">
        <f aca="false">Scoring!D177</f>
        <v>0</v>
      </c>
      <c r="H170" s="7" t="str">
        <f aca="false">Scoring!CY177</f>
        <v/>
      </c>
      <c r="I170" s="192" t="str">
        <f aca="false">Scoring!CX177</f>
        <v/>
      </c>
    </row>
    <row r="171" customFormat="false" ht="15.75" hidden="false" customHeight="false" outlineLevel="0" collapsed="false">
      <c r="A171" s="7" t="str">
        <f aca="false">Scoring!DA178</f>
        <v/>
      </c>
      <c r="B171" s="7" t="str">
        <f aca="false">Scoring!CZ178</f>
        <v/>
      </c>
      <c r="C171" s="7" t="n">
        <f aca="false">Scoring!C178</f>
        <v>0</v>
      </c>
      <c r="D171" s="191" t="str">
        <f aca="false">Scoring!CW178</f>
        <v/>
      </c>
      <c r="E171" s="7" t="str">
        <f aca="false">Scoring!BX178</f>
        <v/>
      </c>
      <c r="F171" s="7" t="n">
        <f aca="false">Scoring!B178</f>
        <v>0</v>
      </c>
      <c r="G171" s="7" t="n">
        <f aca="false">Scoring!D178</f>
        <v>0</v>
      </c>
      <c r="H171" s="7" t="str">
        <f aca="false">Scoring!CY178</f>
        <v/>
      </c>
      <c r="I171" s="192" t="str">
        <f aca="false">Scoring!CX178</f>
        <v/>
      </c>
    </row>
    <row r="172" customFormat="false" ht="15.75" hidden="false" customHeight="false" outlineLevel="0" collapsed="false">
      <c r="A172" s="7" t="str">
        <f aca="false">Scoring!DA179</f>
        <v/>
      </c>
      <c r="B172" s="7" t="str">
        <f aca="false">Scoring!CZ179</f>
        <v/>
      </c>
      <c r="C172" s="7" t="n">
        <f aca="false">Scoring!C179</f>
        <v>0</v>
      </c>
      <c r="D172" s="191" t="str">
        <f aca="false">Scoring!CW179</f>
        <v/>
      </c>
      <c r="E172" s="7" t="str">
        <f aca="false">Scoring!BX179</f>
        <v/>
      </c>
      <c r="F172" s="7" t="n">
        <f aca="false">Scoring!B179</f>
        <v>0</v>
      </c>
      <c r="G172" s="7" t="n">
        <f aca="false">Scoring!D179</f>
        <v>0</v>
      </c>
      <c r="H172" s="7" t="str">
        <f aca="false">Scoring!CY179</f>
        <v/>
      </c>
      <c r="I172" s="192" t="str">
        <f aca="false">Scoring!CX179</f>
        <v/>
      </c>
    </row>
    <row r="173" customFormat="false" ht="15.75" hidden="false" customHeight="false" outlineLevel="0" collapsed="false">
      <c r="A173" s="7" t="str">
        <f aca="false">Scoring!DA180</f>
        <v/>
      </c>
      <c r="B173" s="7" t="str">
        <f aca="false">Scoring!CZ180</f>
        <v/>
      </c>
      <c r="C173" s="7" t="n">
        <f aca="false">Scoring!C180</f>
        <v>0</v>
      </c>
      <c r="D173" s="191" t="str">
        <f aca="false">Scoring!CW180</f>
        <v/>
      </c>
      <c r="E173" s="7" t="str">
        <f aca="false">Scoring!BX180</f>
        <v/>
      </c>
      <c r="F173" s="7" t="n">
        <f aca="false">Scoring!B180</f>
        <v>0</v>
      </c>
      <c r="G173" s="7" t="n">
        <f aca="false">Scoring!D180</f>
        <v>0</v>
      </c>
      <c r="H173" s="7" t="str">
        <f aca="false">Scoring!CY180</f>
        <v/>
      </c>
      <c r="I173" s="192" t="str">
        <f aca="false">Scoring!CX180</f>
        <v/>
      </c>
    </row>
    <row r="174" customFormat="false" ht="15.75" hidden="false" customHeight="false" outlineLevel="0" collapsed="false">
      <c r="A174" s="7" t="str">
        <f aca="false">Scoring!DA181</f>
        <v/>
      </c>
      <c r="B174" s="7" t="str">
        <f aca="false">Scoring!CZ181</f>
        <v/>
      </c>
      <c r="C174" s="7" t="n">
        <f aca="false">Scoring!C181</f>
        <v>0</v>
      </c>
      <c r="D174" s="191" t="str">
        <f aca="false">Scoring!CW181</f>
        <v/>
      </c>
      <c r="E174" s="7" t="str">
        <f aca="false">Scoring!BX181</f>
        <v/>
      </c>
      <c r="F174" s="7" t="n">
        <f aca="false">Scoring!B181</f>
        <v>0</v>
      </c>
      <c r="G174" s="7" t="n">
        <f aca="false">Scoring!D181</f>
        <v>0</v>
      </c>
      <c r="H174" s="7" t="str">
        <f aca="false">Scoring!CY181</f>
        <v/>
      </c>
      <c r="I174" s="192" t="str">
        <f aca="false">Scoring!CX181</f>
        <v/>
      </c>
    </row>
    <row r="175" customFormat="false" ht="15.75" hidden="false" customHeight="false" outlineLevel="0" collapsed="false">
      <c r="A175" s="7" t="str">
        <f aca="false">Scoring!DA182</f>
        <v/>
      </c>
      <c r="B175" s="7" t="str">
        <f aca="false">Scoring!CZ182</f>
        <v/>
      </c>
      <c r="C175" s="7" t="n">
        <f aca="false">Scoring!C182</f>
        <v>0</v>
      </c>
      <c r="D175" s="191" t="str">
        <f aca="false">Scoring!CW182</f>
        <v/>
      </c>
      <c r="E175" s="7" t="str">
        <f aca="false">Scoring!BX182</f>
        <v/>
      </c>
      <c r="F175" s="7" t="n">
        <f aca="false">Scoring!B182</f>
        <v>0</v>
      </c>
      <c r="G175" s="7" t="n">
        <f aca="false">Scoring!D182</f>
        <v>0</v>
      </c>
      <c r="H175" s="7" t="str">
        <f aca="false">Scoring!CY182</f>
        <v/>
      </c>
      <c r="I175" s="192" t="str">
        <f aca="false">Scoring!CX182</f>
        <v/>
      </c>
    </row>
    <row r="176" customFormat="false" ht="15.75" hidden="false" customHeight="false" outlineLevel="0" collapsed="false">
      <c r="A176" s="7" t="str">
        <f aca="false">Scoring!DA183</f>
        <v/>
      </c>
      <c r="B176" s="7" t="str">
        <f aca="false">Scoring!CZ183</f>
        <v/>
      </c>
      <c r="C176" s="7" t="n">
        <f aca="false">Scoring!C183</f>
        <v>0</v>
      </c>
      <c r="D176" s="191" t="str">
        <f aca="false">Scoring!CW183</f>
        <v/>
      </c>
      <c r="E176" s="7" t="str">
        <f aca="false">Scoring!BX183</f>
        <v/>
      </c>
      <c r="F176" s="7" t="n">
        <f aca="false">Scoring!B183</f>
        <v>0</v>
      </c>
      <c r="G176" s="7" t="n">
        <f aca="false">Scoring!D183</f>
        <v>0</v>
      </c>
      <c r="H176" s="7" t="str">
        <f aca="false">Scoring!CY183</f>
        <v/>
      </c>
      <c r="I176" s="192" t="str">
        <f aca="false">Scoring!CX183</f>
        <v/>
      </c>
    </row>
    <row r="177" customFormat="false" ht="15.75" hidden="false" customHeight="false" outlineLevel="0" collapsed="false">
      <c r="A177" s="7" t="str">
        <f aca="false">Scoring!DA184</f>
        <v/>
      </c>
      <c r="B177" s="7" t="str">
        <f aca="false">Scoring!CZ184</f>
        <v/>
      </c>
      <c r="C177" s="7" t="n">
        <f aca="false">Scoring!C184</f>
        <v>0</v>
      </c>
      <c r="D177" s="191" t="str">
        <f aca="false">Scoring!CW184</f>
        <v/>
      </c>
      <c r="E177" s="7" t="str">
        <f aca="false">Scoring!BX184</f>
        <v/>
      </c>
      <c r="F177" s="7" t="n">
        <f aca="false">Scoring!B184</f>
        <v>0</v>
      </c>
      <c r="G177" s="7" t="n">
        <f aca="false">Scoring!D184</f>
        <v>0</v>
      </c>
      <c r="H177" s="7" t="str">
        <f aca="false">Scoring!CY184</f>
        <v/>
      </c>
      <c r="I177" s="192" t="str">
        <f aca="false">Scoring!CX184</f>
        <v/>
      </c>
    </row>
    <row r="178" customFormat="false" ht="15.75" hidden="false" customHeight="false" outlineLevel="0" collapsed="false">
      <c r="A178" s="7" t="str">
        <f aca="false">Scoring!DA185</f>
        <v/>
      </c>
      <c r="B178" s="7" t="str">
        <f aca="false">Scoring!CZ185</f>
        <v/>
      </c>
      <c r="C178" s="7" t="n">
        <f aca="false">Scoring!C185</f>
        <v>0</v>
      </c>
      <c r="D178" s="191" t="str">
        <f aca="false">Scoring!CW185</f>
        <v/>
      </c>
      <c r="E178" s="7" t="str">
        <f aca="false">Scoring!BX185</f>
        <v/>
      </c>
      <c r="F178" s="7" t="n">
        <f aca="false">Scoring!B185</f>
        <v>0</v>
      </c>
      <c r="G178" s="7" t="n">
        <f aca="false">Scoring!D185</f>
        <v>0</v>
      </c>
      <c r="H178" s="7" t="str">
        <f aca="false">Scoring!CY185</f>
        <v/>
      </c>
      <c r="I178" s="192" t="str">
        <f aca="false">Scoring!CX185</f>
        <v/>
      </c>
    </row>
    <row r="179" customFormat="false" ht="15.75" hidden="false" customHeight="false" outlineLevel="0" collapsed="false">
      <c r="A179" s="7" t="str">
        <f aca="false">Scoring!DA186</f>
        <v/>
      </c>
      <c r="B179" s="7" t="str">
        <f aca="false">Scoring!CZ186</f>
        <v/>
      </c>
      <c r="C179" s="7" t="n">
        <f aca="false">Scoring!C186</f>
        <v>0</v>
      </c>
      <c r="D179" s="191" t="str">
        <f aca="false">Scoring!CW186</f>
        <v/>
      </c>
      <c r="E179" s="7" t="str">
        <f aca="false">Scoring!BX186</f>
        <v/>
      </c>
      <c r="F179" s="7" t="n">
        <f aca="false">Scoring!B186</f>
        <v>0</v>
      </c>
      <c r="G179" s="7" t="n">
        <f aca="false">Scoring!D186</f>
        <v>0</v>
      </c>
      <c r="H179" s="7" t="str">
        <f aca="false">Scoring!CY186</f>
        <v/>
      </c>
      <c r="I179" s="192" t="str">
        <f aca="false">Scoring!CX186</f>
        <v/>
      </c>
    </row>
    <row r="180" customFormat="false" ht="15.75" hidden="false" customHeight="false" outlineLevel="0" collapsed="false">
      <c r="A180" s="7" t="str">
        <f aca="false">Scoring!DA187</f>
        <v/>
      </c>
      <c r="B180" s="7" t="str">
        <f aca="false">Scoring!CZ187</f>
        <v/>
      </c>
      <c r="C180" s="7" t="n">
        <f aca="false">Scoring!C187</f>
        <v>0</v>
      </c>
      <c r="D180" s="191" t="str">
        <f aca="false">Scoring!CW187</f>
        <v/>
      </c>
      <c r="E180" s="7" t="str">
        <f aca="false">Scoring!BX187</f>
        <v/>
      </c>
      <c r="F180" s="7" t="n">
        <f aca="false">Scoring!B187</f>
        <v>0</v>
      </c>
      <c r="G180" s="7" t="n">
        <f aca="false">Scoring!D187</f>
        <v>0</v>
      </c>
      <c r="H180" s="7" t="str">
        <f aca="false">Scoring!CY187</f>
        <v/>
      </c>
      <c r="I180" s="192" t="str">
        <f aca="false">Scoring!CX187</f>
        <v/>
      </c>
    </row>
    <row r="181" customFormat="false" ht="15.75" hidden="false" customHeight="false" outlineLevel="0" collapsed="false">
      <c r="A181" s="7" t="str">
        <f aca="false">Scoring!DA188</f>
        <v/>
      </c>
      <c r="B181" s="7" t="str">
        <f aca="false">Scoring!CZ188</f>
        <v/>
      </c>
      <c r="C181" s="7" t="n">
        <f aca="false">Scoring!C188</f>
        <v>0</v>
      </c>
      <c r="D181" s="191" t="str">
        <f aca="false">Scoring!CW188</f>
        <v/>
      </c>
      <c r="E181" s="7" t="str">
        <f aca="false">Scoring!BX188</f>
        <v/>
      </c>
      <c r="F181" s="7" t="n">
        <f aca="false">Scoring!B188</f>
        <v>0</v>
      </c>
      <c r="G181" s="7" t="n">
        <f aca="false">Scoring!D188</f>
        <v>0</v>
      </c>
      <c r="H181" s="7" t="str">
        <f aca="false">Scoring!CY188</f>
        <v/>
      </c>
      <c r="I181" s="192" t="str">
        <f aca="false">Scoring!CX188</f>
        <v/>
      </c>
    </row>
    <row r="182" customFormat="false" ht="15.75" hidden="false" customHeight="false" outlineLevel="0" collapsed="false">
      <c r="A182" s="7" t="str">
        <f aca="false">Scoring!DA189</f>
        <v/>
      </c>
      <c r="B182" s="7" t="str">
        <f aca="false">Scoring!CZ189</f>
        <v/>
      </c>
      <c r="C182" s="7" t="n">
        <f aca="false">Scoring!C189</f>
        <v>0</v>
      </c>
      <c r="D182" s="191" t="str">
        <f aca="false">Scoring!CW189</f>
        <v/>
      </c>
      <c r="E182" s="7" t="str">
        <f aca="false">Scoring!BX189</f>
        <v/>
      </c>
      <c r="F182" s="7" t="n">
        <f aca="false">Scoring!B189</f>
        <v>0</v>
      </c>
      <c r="G182" s="7" t="n">
        <f aca="false">Scoring!D189</f>
        <v>0</v>
      </c>
      <c r="H182" s="7" t="str">
        <f aca="false">Scoring!CY189</f>
        <v/>
      </c>
      <c r="I182" s="192" t="str">
        <f aca="false">Scoring!CX189</f>
        <v/>
      </c>
    </row>
    <row r="183" customFormat="false" ht="15.75" hidden="false" customHeight="false" outlineLevel="0" collapsed="false">
      <c r="A183" s="7" t="str">
        <f aca="false">Scoring!DA190</f>
        <v/>
      </c>
      <c r="B183" s="7" t="str">
        <f aca="false">Scoring!CZ190</f>
        <v/>
      </c>
      <c r="C183" s="7" t="n">
        <f aca="false">Scoring!C190</f>
        <v>0</v>
      </c>
      <c r="D183" s="191" t="str">
        <f aca="false">Scoring!CW190</f>
        <v/>
      </c>
      <c r="E183" s="7" t="str">
        <f aca="false">Scoring!BX190</f>
        <v/>
      </c>
      <c r="F183" s="7" t="n">
        <f aca="false">Scoring!B190</f>
        <v>0</v>
      </c>
      <c r="G183" s="7" t="n">
        <f aca="false">Scoring!D190</f>
        <v>0</v>
      </c>
      <c r="H183" s="7" t="str">
        <f aca="false">Scoring!CY190</f>
        <v/>
      </c>
      <c r="I183" s="192" t="str">
        <f aca="false">Scoring!CX190</f>
        <v/>
      </c>
    </row>
    <row r="184" customFormat="false" ht="15.75" hidden="false" customHeight="false" outlineLevel="0" collapsed="false">
      <c r="A184" s="7" t="str">
        <f aca="false">Scoring!DA191</f>
        <v/>
      </c>
      <c r="B184" s="7" t="str">
        <f aca="false">Scoring!CZ191</f>
        <v/>
      </c>
      <c r="C184" s="7" t="n">
        <f aca="false">Scoring!C191</f>
        <v>0</v>
      </c>
      <c r="D184" s="191" t="str">
        <f aca="false">Scoring!CW191</f>
        <v/>
      </c>
      <c r="E184" s="7" t="str">
        <f aca="false">Scoring!BX191</f>
        <v/>
      </c>
      <c r="F184" s="7" t="n">
        <f aca="false">Scoring!B191</f>
        <v>0</v>
      </c>
      <c r="G184" s="7" t="n">
        <f aca="false">Scoring!D191</f>
        <v>0</v>
      </c>
      <c r="H184" s="7" t="str">
        <f aca="false">Scoring!CY191</f>
        <v/>
      </c>
      <c r="I184" s="192" t="str">
        <f aca="false">Scoring!CX191</f>
        <v/>
      </c>
    </row>
    <row r="185" customFormat="false" ht="15.75" hidden="false" customHeight="false" outlineLevel="0" collapsed="false">
      <c r="A185" s="7" t="str">
        <f aca="false">Scoring!DA192</f>
        <v/>
      </c>
      <c r="B185" s="7" t="str">
        <f aca="false">Scoring!CZ192</f>
        <v/>
      </c>
      <c r="C185" s="7" t="n">
        <f aca="false">Scoring!C192</f>
        <v>0</v>
      </c>
      <c r="D185" s="191" t="str">
        <f aca="false">Scoring!CW192</f>
        <v/>
      </c>
      <c r="E185" s="7" t="str">
        <f aca="false">Scoring!BX192</f>
        <v/>
      </c>
      <c r="F185" s="7" t="n">
        <f aca="false">Scoring!B192</f>
        <v>0</v>
      </c>
      <c r="G185" s="7" t="n">
        <f aca="false">Scoring!D192</f>
        <v>0</v>
      </c>
      <c r="H185" s="7" t="str">
        <f aca="false">Scoring!CY192</f>
        <v/>
      </c>
      <c r="I185" s="192" t="str">
        <f aca="false">Scoring!CX192</f>
        <v/>
      </c>
    </row>
    <row r="186" customFormat="false" ht="15.75" hidden="false" customHeight="false" outlineLevel="0" collapsed="false">
      <c r="A186" s="7" t="str">
        <f aca="false">Scoring!DA193</f>
        <v/>
      </c>
      <c r="B186" s="7" t="str">
        <f aca="false">Scoring!CZ193</f>
        <v/>
      </c>
      <c r="C186" s="7" t="n">
        <f aca="false">Scoring!C193</f>
        <v>0</v>
      </c>
      <c r="D186" s="191" t="str">
        <f aca="false">Scoring!CW193</f>
        <v/>
      </c>
      <c r="E186" s="7" t="str">
        <f aca="false">Scoring!BX193</f>
        <v/>
      </c>
      <c r="F186" s="7" t="n">
        <f aca="false">Scoring!B193</f>
        <v>0</v>
      </c>
      <c r="G186" s="7" t="n">
        <f aca="false">Scoring!D193</f>
        <v>0</v>
      </c>
      <c r="H186" s="7" t="str">
        <f aca="false">Scoring!CY193</f>
        <v/>
      </c>
      <c r="I186" s="192" t="str">
        <f aca="false">Scoring!CX193</f>
        <v/>
      </c>
    </row>
    <row r="187" customFormat="false" ht="15.75" hidden="false" customHeight="false" outlineLevel="0" collapsed="false">
      <c r="A187" s="7" t="str">
        <f aca="false">Scoring!DA194</f>
        <v/>
      </c>
      <c r="B187" s="7" t="str">
        <f aca="false">Scoring!CZ194</f>
        <v/>
      </c>
      <c r="C187" s="7" t="n">
        <f aca="false">Scoring!C194</f>
        <v>0</v>
      </c>
      <c r="D187" s="191" t="str">
        <f aca="false">Scoring!CW194</f>
        <v/>
      </c>
      <c r="E187" s="7" t="str">
        <f aca="false">Scoring!BX194</f>
        <v/>
      </c>
      <c r="F187" s="7" t="n">
        <f aca="false">Scoring!B194</f>
        <v>0</v>
      </c>
      <c r="G187" s="7" t="n">
        <f aca="false">Scoring!D194</f>
        <v>0</v>
      </c>
      <c r="H187" s="7" t="str">
        <f aca="false">Scoring!CY194</f>
        <v/>
      </c>
      <c r="I187" s="192" t="str">
        <f aca="false">Scoring!CX194</f>
        <v/>
      </c>
    </row>
    <row r="188" customFormat="false" ht="15.75" hidden="false" customHeight="false" outlineLevel="0" collapsed="false">
      <c r="A188" s="7" t="str">
        <f aca="false">Scoring!DA195</f>
        <v/>
      </c>
      <c r="B188" s="7" t="str">
        <f aca="false">Scoring!CZ195</f>
        <v/>
      </c>
      <c r="C188" s="7" t="n">
        <f aca="false">Scoring!C195</f>
        <v>0</v>
      </c>
      <c r="D188" s="191" t="str">
        <f aca="false">Scoring!CW195</f>
        <v/>
      </c>
      <c r="E188" s="7" t="str">
        <f aca="false">Scoring!BX195</f>
        <v/>
      </c>
      <c r="F188" s="7" t="n">
        <f aca="false">Scoring!B195</f>
        <v>0</v>
      </c>
      <c r="G188" s="7" t="n">
        <f aca="false">Scoring!D195</f>
        <v>0</v>
      </c>
      <c r="H188" s="7" t="str">
        <f aca="false">Scoring!CY195</f>
        <v/>
      </c>
      <c r="I188" s="192" t="str">
        <f aca="false">Scoring!CX195</f>
        <v/>
      </c>
    </row>
    <row r="189" customFormat="false" ht="15.75" hidden="false" customHeight="false" outlineLevel="0" collapsed="false">
      <c r="A189" s="7" t="str">
        <f aca="false">Scoring!DA196</f>
        <v/>
      </c>
      <c r="B189" s="7" t="str">
        <f aca="false">Scoring!CZ196</f>
        <v/>
      </c>
      <c r="C189" s="7" t="n">
        <f aca="false">Scoring!C196</f>
        <v>0</v>
      </c>
      <c r="D189" s="191" t="str">
        <f aca="false">Scoring!CW196</f>
        <v/>
      </c>
      <c r="E189" s="7" t="str">
        <f aca="false">Scoring!BX196</f>
        <v/>
      </c>
      <c r="F189" s="7" t="n">
        <f aca="false">Scoring!B196</f>
        <v>0</v>
      </c>
      <c r="G189" s="7" t="n">
        <f aca="false">Scoring!D196</f>
        <v>0</v>
      </c>
      <c r="H189" s="7" t="str">
        <f aca="false">Scoring!CY196</f>
        <v/>
      </c>
      <c r="I189" s="192" t="str">
        <f aca="false">Scoring!CX196</f>
        <v/>
      </c>
    </row>
    <row r="190" customFormat="false" ht="15.75" hidden="false" customHeight="false" outlineLevel="0" collapsed="false">
      <c r="A190" s="7" t="str">
        <f aca="false">Scoring!DA197</f>
        <v/>
      </c>
      <c r="B190" s="7" t="str">
        <f aca="false">Scoring!CZ197</f>
        <v/>
      </c>
      <c r="C190" s="7" t="n">
        <f aca="false">Scoring!C197</f>
        <v>0</v>
      </c>
      <c r="D190" s="191" t="str">
        <f aca="false">Scoring!CW197</f>
        <v/>
      </c>
      <c r="E190" s="7" t="str">
        <f aca="false">Scoring!BX197</f>
        <v/>
      </c>
      <c r="F190" s="7" t="n">
        <f aca="false">Scoring!B197</f>
        <v>0</v>
      </c>
      <c r="G190" s="7" t="n">
        <f aca="false">Scoring!D197</f>
        <v>0</v>
      </c>
      <c r="H190" s="7" t="str">
        <f aca="false">Scoring!CY197</f>
        <v/>
      </c>
      <c r="I190" s="192" t="str">
        <f aca="false">Scoring!CX197</f>
        <v/>
      </c>
    </row>
    <row r="191" customFormat="false" ht="15.75" hidden="false" customHeight="false" outlineLevel="0" collapsed="false">
      <c r="A191" s="7" t="str">
        <f aca="false">Scoring!DA198</f>
        <v/>
      </c>
      <c r="B191" s="7" t="str">
        <f aca="false">Scoring!CZ198</f>
        <v/>
      </c>
      <c r="C191" s="7" t="n">
        <f aca="false">Scoring!C198</f>
        <v>0</v>
      </c>
      <c r="D191" s="191" t="str">
        <f aca="false">Scoring!CW198</f>
        <v/>
      </c>
      <c r="E191" s="7" t="str">
        <f aca="false">Scoring!BX198</f>
        <v/>
      </c>
      <c r="F191" s="7" t="n">
        <f aca="false">Scoring!B198</f>
        <v>0</v>
      </c>
      <c r="G191" s="7" t="n">
        <f aca="false">Scoring!D198</f>
        <v>0</v>
      </c>
      <c r="H191" s="7" t="str">
        <f aca="false">Scoring!CY198</f>
        <v/>
      </c>
      <c r="I191" s="192" t="str">
        <f aca="false">Scoring!CX198</f>
        <v/>
      </c>
    </row>
    <row r="192" customFormat="false" ht="15.75" hidden="false" customHeight="false" outlineLevel="0" collapsed="false">
      <c r="A192" s="7" t="str">
        <f aca="false">Scoring!DA199</f>
        <v/>
      </c>
      <c r="B192" s="7" t="str">
        <f aca="false">Scoring!CZ199</f>
        <v/>
      </c>
      <c r="C192" s="7" t="n">
        <f aca="false">Scoring!C199</f>
        <v>0</v>
      </c>
      <c r="D192" s="191" t="str">
        <f aca="false">Scoring!CW199</f>
        <v/>
      </c>
      <c r="E192" s="7" t="str">
        <f aca="false">Scoring!BX199</f>
        <v/>
      </c>
      <c r="F192" s="7" t="n">
        <f aca="false">Scoring!B199</f>
        <v>0</v>
      </c>
      <c r="G192" s="7" t="n">
        <f aca="false">Scoring!D199</f>
        <v>0</v>
      </c>
      <c r="H192" s="7" t="str">
        <f aca="false">Scoring!CY199</f>
        <v/>
      </c>
      <c r="I192" s="192" t="str">
        <f aca="false">Scoring!CX199</f>
        <v/>
      </c>
    </row>
    <row r="193" customFormat="false" ht="15.75" hidden="false" customHeight="false" outlineLevel="0" collapsed="false">
      <c r="A193" s="7" t="str">
        <f aca="false">Scoring!DA200</f>
        <v/>
      </c>
      <c r="B193" s="7" t="str">
        <f aca="false">Scoring!CZ200</f>
        <v/>
      </c>
      <c r="C193" s="7" t="n">
        <f aca="false">Scoring!C200</f>
        <v>0</v>
      </c>
      <c r="D193" s="191" t="str">
        <f aca="false">Scoring!CW200</f>
        <v/>
      </c>
      <c r="E193" s="7" t="str">
        <f aca="false">Scoring!BX200</f>
        <v/>
      </c>
      <c r="F193" s="7" t="n">
        <f aca="false">Scoring!B200</f>
        <v>0</v>
      </c>
      <c r="G193" s="7" t="n">
        <f aca="false">Scoring!D200</f>
        <v>0</v>
      </c>
      <c r="H193" s="7" t="str">
        <f aca="false">Scoring!CY200</f>
        <v/>
      </c>
      <c r="I193" s="192" t="str">
        <f aca="false">Scoring!CX200</f>
        <v/>
      </c>
    </row>
    <row r="194" customFormat="false" ht="15.75" hidden="false" customHeight="false" outlineLevel="0" collapsed="false">
      <c r="A194" s="7" t="str">
        <f aca="false">Scoring!DA201</f>
        <v/>
      </c>
      <c r="B194" s="7" t="str">
        <f aca="false">Scoring!CZ201</f>
        <v/>
      </c>
      <c r="C194" s="7" t="n">
        <f aca="false">Scoring!C201</f>
        <v>0</v>
      </c>
      <c r="D194" s="191" t="str">
        <f aca="false">Scoring!CW201</f>
        <v/>
      </c>
      <c r="E194" s="7" t="str">
        <f aca="false">Scoring!BX201</f>
        <v/>
      </c>
      <c r="F194" s="7" t="n">
        <f aca="false">Scoring!B201</f>
        <v>0</v>
      </c>
      <c r="G194" s="7" t="n">
        <f aca="false">Scoring!D201</f>
        <v>0</v>
      </c>
      <c r="H194" s="7" t="str">
        <f aca="false">Scoring!CY201</f>
        <v/>
      </c>
      <c r="I194" s="192" t="str">
        <f aca="false">Scoring!CX201</f>
        <v/>
      </c>
    </row>
    <row r="195" customFormat="false" ht="15.75" hidden="false" customHeight="false" outlineLevel="0" collapsed="false">
      <c r="A195" s="7" t="str">
        <f aca="false">Scoring!DA202</f>
        <v/>
      </c>
      <c r="B195" s="7" t="str">
        <f aca="false">Scoring!CZ202</f>
        <v/>
      </c>
      <c r="C195" s="7" t="n">
        <f aca="false">Scoring!C202</f>
        <v>0</v>
      </c>
      <c r="D195" s="191" t="str">
        <f aca="false">Scoring!CW202</f>
        <v/>
      </c>
      <c r="E195" s="7" t="str">
        <f aca="false">Scoring!BX202</f>
        <v/>
      </c>
      <c r="F195" s="7" t="n">
        <f aca="false">Scoring!B202</f>
        <v>0</v>
      </c>
      <c r="G195" s="7" t="n">
        <f aca="false">Scoring!D202</f>
        <v>0</v>
      </c>
      <c r="H195" s="7" t="str">
        <f aca="false">Scoring!CY202</f>
        <v/>
      </c>
      <c r="I195" s="192" t="str">
        <f aca="false">Scoring!CX202</f>
        <v/>
      </c>
    </row>
    <row r="196" customFormat="false" ht="15.75" hidden="false" customHeight="false" outlineLevel="0" collapsed="false">
      <c r="A196" s="7" t="str">
        <f aca="false">Scoring!DA203</f>
        <v/>
      </c>
      <c r="B196" s="7" t="str">
        <f aca="false">Scoring!CZ203</f>
        <v/>
      </c>
      <c r="C196" s="7" t="n">
        <f aca="false">Scoring!C203</f>
        <v>0</v>
      </c>
      <c r="D196" s="191" t="str">
        <f aca="false">Scoring!CW203</f>
        <v/>
      </c>
      <c r="E196" s="7" t="str">
        <f aca="false">Scoring!BX203</f>
        <v/>
      </c>
      <c r="F196" s="7" t="n">
        <f aca="false">Scoring!B203</f>
        <v>0</v>
      </c>
      <c r="G196" s="7" t="n">
        <f aca="false">Scoring!D203</f>
        <v>0</v>
      </c>
      <c r="H196" s="7" t="str">
        <f aca="false">Scoring!CY203</f>
        <v/>
      </c>
      <c r="I196" s="192" t="str">
        <f aca="false">Scoring!CX203</f>
        <v/>
      </c>
    </row>
    <row r="197" customFormat="false" ht="15.75" hidden="false" customHeight="false" outlineLevel="0" collapsed="false">
      <c r="A197" s="7" t="str">
        <f aca="false">Scoring!DA204</f>
        <v/>
      </c>
      <c r="B197" s="7" t="str">
        <f aca="false">Scoring!CZ204</f>
        <v/>
      </c>
      <c r="C197" s="7" t="n">
        <f aca="false">Scoring!C204</f>
        <v>0</v>
      </c>
      <c r="D197" s="191" t="str">
        <f aca="false">Scoring!CW204</f>
        <v/>
      </c>
      <c r="E197" s="7" t="str">
        <f aca="false">Scoring!BX204</f>
        <v/>
      </c>
      <c r="F197" s="7" t="n">
        <f aca="false">Scoring!B204</f>
        <v>0</v>
      </c>
      <c r="G197" s="7" t="n">
        <f aca="false">Scoring!D204</f>
        <v>0</v>
      </c>
      <c r="H197" s="7" t="str">
        <f aca="false">Scoring!CY204</f>
        <v/>
      </c>
      <c r="I197" s="192" t="str">
        <f aca="false">Scoring!CX204</f>
        <v/>
      </c>
    </row>
    <row r="198" customFormat="false" ht="15.75" hidden="false" customHeight="false" outlineLevel="0" collapsed="false">
      <c r="A198" s="7" t="str">
        <f aca="false">Scoring!DA205</f>
        <v/>
      </c>
      <c r="B198" s="7" t="str">
        <f aca="false">Scoring!CZ205</f>
        <v/>
      </c>
      <c r="C198" s="7" t="n">
        <f aca="false">Scoring!C205</f>
        <v>0</v>
      </c>
      <c r="D198" s="191" t="str">
        <f aca="false">Scoring!CW205</f>
        <v/>
      </c>
      <c r="E198" s="7" t="str">
        <f aca="false">Scoring!BX205</f>
        <v/>
      </c>
      <c r="F198" s="7" t="n">
        <f aca="false">Scoring!B205</f>
        <v>0</v>
      </c>
      <c r="G198" s="7" t="n">
        <f aca="false">Scoring!D205</f>
        <v>0</v>
      </c>
      <c r="H198" s="7" t="str">
        <f aca="false">Scoring!CY205</f>
        <v/>
      </c>
      <c r="I198" s="192" t="str">
        <f aca="false">Scoring!CX205</f>
        <v/>
      </c>
    </row>
    <row r="199" customFormat="false" ht="15.75" hidden="false" customHeight="false" outlineLevel="0" collapsed="false">
      <c r="A199" s="7" t="str">
        <f aca="false">Scoring!DA206</f>
        <v/>
      </c>
      <c r="B199" s="7" t="str">
        <f aca="false">Scoring!CZ206</f>
        <v/>
      </c>
      <c r="C199" s="7" t="n">
        <f aca="false">Scoring!C206</f>
        <v>0</v>
      </c>
      <c r="D199" s="191" t="str">
        <f aca="false">Scoring!CW206</f>
        <v/>
      </c>
      <c r="E199" s="7" t="str">
        <f aca="false">Scoring!BX206</f>
        <v/>
      </c>
      <c r="F199" s="7" t="n">
        <f aca="false">Scoring!B206</f>
        <v>0</v>
      </c>
      <c r="G199" s="7" t="n">
        <f aca="false">Scoring!D206</f>
        <v>0</v>
      </c>
      <c r="H199" s="7" t="str">
        <f aca="false">Scoring!CY206</f>
        <v/>
      </c>
      <c r="I199" s="192" t="str">
        <f aca="false">Scoring!CX206</f>
        <v/>
      </c>
    </row>
    <row r="200" customFormat="false" ht="15.75" hidden="false" customHeight="false" outlineLevel="0" collapsed="false">
      <c r="A200" s="7" t="str">
        <f aca="false">Scoring!DA207</f>
        <v/>
      </c>
      <c r="B200" s="7" t="str">
        <f aca="false">Scoring!CZ207</f>
        <v/>
      </c>
      <c r="C200" s="7" t="n">
        <f aca="false">Scoring!C207</f>
        <v>0</v>
      </c>
      <c r="D200" s="191" t="str">
        <f aca="false">Scoring!CW207</f>
        <v/>
      </c>
      <c r="E200" s="7" t="str">
        <f aca="false">Scoring!BX207</f>
        <v/>
      </c>
      <c r="F200" s="7" t="n">
        <f aca="false">Scoring!B207</f>
        <v>0</v>
      </c>
      <c r="G200" s="7" t="n">
        <f aca="false">Scoring!D207</f>
        <v>0</v>
      </c>
      <c r="H200" s="7" t="str">
        <f aca="false">Scoring!CY207</f>
        <v/>
      </c>
      <c r="I200" s="192" t="str">
        <f aca="false">Scoring!CX207</f>
        <v/>
      </c>
    </row>
    <row r="201" customFormat="false" ht="15.75" hidden="false" customHeight="false" outlineLevel="0" collapsed="false">
      <c r="A201" s="7" t="str">
        <f aca="false">Scoring!DA208</f>
        <v/>
      </c>
      <c r="B201" s="7" t="str">
        <f aca="false">Scoring!CZ208</f>
        <v/>
      </c>
      <c r="C201" s="7" t="n">
        <f aca="false">Scoring!C208</f>
        <v>0</v>
      </c>
      <c r="D201" s="191" t="str">
        <f aca="false">Scoring!CW208</f>
        <v/>
      </c>
      <c r="E201" s="7" t="str">
        <f aca="false">Scoring!BX208</f>
        <v/>
      </c>
      <c r="F201" s="7" t="n">
        <f aca="false">Scoring!B208</f>
        <v>0</v>
      </c>
      <c r="G201" s="7" t="n">
        <f aca="false">Scoring!D208</f>
        <v>0</v>
      </c>
      <c r="H201" s="7" t="str">
        <f aca="false">Scoring!CY208</f>
        <v/>
      </c>
      <c r="I201" s="192" t="str">
        <f aca="false">Scoring!CX208</f>
        <v/>
      </c>
    </row>
    <row r="202" customFormat="false" ht="15.75" hidden="false" customHeight="false" outlineLevel="0" collapsed="false">
      <c r="A202" s="7" t="str">
        <f aca="false">Scoring!DA209</f>
        <v/>
      </c>
      <c r="B202" s="7" t="str">
        <f aca="false">Scoring!CZ209</f>
        <v/>
      </c>
      <c r="C202" s="7" t="n">
        <f aca="false">Scoring!C209</f>
        <v>0</v>
      </c>
      <c r="D202" s="191" t="str">
        <f aca="false">Scoring!CW209</f>
        <v/>
      </c>
      <c r="E202" s="7" t="str">
        <f aca="false">Scoring!BX209</f>
        <v/>
      </c>
      <c r="F202" s="7" t="n">
        <f aca="false">Scoring!B209</f>
        <v>0</v>
      </c>
      <c r="G202" s="7" t="n">
        <f aca="false">Scoring!D209</f>
        <v>0</v>
      </c>
      <c r="H202" s="7" t="str">
        <f aca="false">Scoring!CY209</f>
        <v/>
      </c>
      <c r="I202" s="192" t="str">
        <f aca="false">Scoring!CX209</f>
        <v/>
      </c>
    </row>
    <row r="203" customFormat="false" ht="15.75" hidden="false" customHeight="false" outlineLevel="0" collapsed="false">
      <c r="A203" s="7" t="str">
        <f aca="false">Scoring!DA210</f>
        <v/>
      </c>
      <c r="B203" s="7" t="str">
        <f aca="false">Scoring!CZ210</f>
        <v/>
      </c>
      <c r="C203" s="7" t="n">
        <f aca="false">Scoring!C210</f>
        <v>0</v>
      </c>
      <c r="D203" s="191" t="str">
        <f aca="false">Scoring!CW210</f>
        <v/>
      </c>
      <c r="E203" s="7" t="str">
        <f aca="false">Scoring!BX210</f>
        <v/>
      </c>
      <c r="F203" s="7" t="n">
        <f aca="false">Scoring!B210</f>
        <v>0</v>
      </c>
      <c r="G203" s="7" t="n">
        <f aca="false">Scoring!D210</f>
        <v>0</v>
      </c>
      <c r="H203" s="7" t="str">
        <f aca="false">Scoring!CY210</f>
        <v/>
      </c>
      <c r="I203" s="192" t="str">
        <f aca="false">Scoring!CX210</f>
        <v/>
      </c>
    </row>
    <row r="204" customFormat="false" ht="15.75" hidden="false" customHeight="false" outlineLevel="0" collapsed="false">
      <c r="A204" s="7" t="str">
        <f aca="false">Scoring!DA211</f>
        <v/>
      </c>
      <c r="B204" s="7" t="str">
        <f aca="false">Scoring!CZ211</f>
        <v/>
      </c>
      <c r="C204" s="7" t="n">
        <f aca="false">Scoring!C211</f>
        <v>0</v>
      </c>
      <c r="D204" s="191" t="str">
        <f aca="false">Scoring!CW211</f>
        <v/>
      </c>
      <c r="E204" s="7" t="str">
        <f aca="false">Scoring!BX211</f>
        <v/>
      </c>
      <c r="F204" s="7" t="n">
        <f aca="false">Scoring!B211</f>
        <v>0</v>
      </c>
      <c r="G204" s="7" t="n">
        <f aca="false">Scoring!D211</f>
        <v>0</v>
      </c>
      <c r="H204" s="7" t="str">
        <f aca="false">Scoring!CY211</f>
        <v/>
      </c>
      <c r="I204" s="192" t="str">
        <f aca="false">Scoring!CX211</f>
        <v/>
      </c>
    </row>
    <row r="205" customFormat="false" ht="15.75" hidden="false" customHeight="false" outlineLevel="0" collapsed="false">
      <c r="A205" s="7" t="str">
        <f aca="false">Scoring!DA212</f>
        <v/>
      </c>
      <c r="B205" s="7" t="str">
        <f aca="false">Scoring!CZ212</f>
        <v/>
      </c>
      <c r="C205" s="7" t="n">
        <f aca="false">Scoring!C212</f>
        <v>0</v>
      </c>
      <c r="D205" s="191" t="str">
        <f aca="false">Scoring!CW212</f>
        <v/>
      </c>
      <c r="E205" s="7" t="str">
        <f aca="false">Scoring!BX212</f>
        <v/>
      </c>
      <c r="F205" s="7" t="n">
        <f aca="false">Scoring!B212</f>
        <v>0</v>
      </c>
      <c r="G205" s="7" t="n">
        <f aca="false">Scoring!D212</f>
        <v>0</v>
      </c>
      <c r="H205" s="7" t="str">
        <f aca="false">Scoring!CY212</f>
        <v/>
      </c>
      <c r="I205" s="192" t="str">
        <f aca="false">Scoring!CX212</f>
        <v/>
      </c>
    </row>
    <row r="206" customFormat="false" ht="15.75" hidden="false" customHeight="false" outlineLevel="0" collapsed="false">
      <c r="A206" s="7" t="str">
        <f aca="false">Scoring!DA213</f>
        <v/>
      </c>
      <c r="B206" s="7" t="str">
        <f aca="false">Scoring!CZ213</f>
        <v/>
      </c>
      <c r="C206" s="7" t="n">
        <f aca="false">Scoring!C213</f>
        <v>0</v>
      </c>
      <c r="D206" s="191" t="str">
        <f aca="false">Scoring!CW213</f>
        <v/>
      </c>
      <c r="E206" s="7" t="str">
        <f aca="false">Scoring!BX213</f>
        <v/>
      </c>
      <c r="F206" s="7" t="n">
        <f aca="false">Scoring!B213</f>
        <v>0</v>
      </c>
      <c r="G206" s="7" t="n">
        <f aca="false">Scoring!D213</f>
        <v>0</v>
      </c>
      <c r="H206" s="7" t="str">
        <f aca="false">Scoring!CY213</f>
        <v/>
      </c>
      <c r="I206" s="192" t="str">
        <f aca="false">Scoring!CX213</f>
        <v/>
      </c>
    </row>
    <row r="207" customFormat="false" ht="15.75" hidden="false" customHeight="false" outlineLevel="0" collapsed="false">
      <c r="A207" s="7" t="str">
        <f aca="false">Scoring!DA214</f>
        <v/>
      </c>
      <c r="B207" s="7" t="str">
        <f aca="false">Scoring!CZ214</f>
        <v/>
      </c>
      <c r="C207" s="7" t="n">
        <f aca="false">Scoring!C214</f>
        <v>0</v>
      </c>
      <c r="D207" s="191" t="str">
        <f aca="false">Scoring!CW214</f>
        <v/>
      </c>
      <c r="E207" s="7" t="str">
        <f aca="false">Scoring!BX214</f>
        <v/>
      </c>
      <c r="F207" s="7" t="n">
        <f aca="false">Scoring!B214</f>
        <v>0</v>
      </c>
      <c r="G207" s="7" t="n">
        <f aca="false">Scoring!D214</f>
        <v>0</v>
      </c>
      <c r="H207" s="7" t="str">
        <f aca="false">Scoring!CY214</f>
        <v/>
      </c>
      <c r="I207" s="192" t="str">
        <f aca="false">Scoring!CX214</f>
        <v/>
      </c>
    </row>
    <row r="208" customFormat="false" ht="15.75" hidden="false" customHeight="false" outlineLevel="0" collapsed="false">
      <c r="A208" s="7" t="str">
        <f aca="false">Scoring!DA215</f>
        <v/>
      </c>
      <c r="B208" s="7" t="str">
        <f aca="false">Scoring!CZ215</f>
        <v/>
      </c>
      <c r="C208" s="7" t="n">
        <f aca="false">Scoring!C215</f>
        <v>0</v>
      </c>
      <c r="D208" s="191" t="str">
        <f aca="false">Scoring!CW215</f>
        <v/>
      </c>
      <c r="E208" s="7" t="str">
        <f aca="false">Scoring!BX215</f>
        <v/>
      </c>
      <c r="F208" s="7" t="n">
        <f aca="false">Scoring!B215</f>
        <v>0</v>
      </c>
      <c r="G208" s="7" t="n">
        <f aca="false">Scoring!D215</f>
        <v>0</v>
      </c>
      <c r="H208" s="7" t="str">
        <f aca="false">Scoring!CY215</f>
        <v/>
      </c>
      <c r="I208" s="192" t="str">
        <f aca="false">Scoring!CX215</f>
        <v/>
      </c>
    </row>
    <row r="209" customFormat="false" ht="15.75" hidden="false" customHeight="false" outlineLevel="0" collapsed="false">
      <c r="A209" s="7" t="str">
        <f aca="false">Scoring!DA216</f>
        <v/>
      </c>
      <c r="B209" s="7" t="str">
        <f aca="false">Scoring!CZ216</f>
        <v/>
      </c>
      <c r="C209" s="7" t="n">
        <f aca="false">Scoring!C216</f>
        <v>0</v>
      </c>
      <c r="D209" s="191" t="str">
        <f aca="false">Scoring!CW216</f>
        <v/>
      </c>
      <c r="E209" s="7" t="str">
        <f aca="false">Scoring!BX216</f>
        <v/>
      </c>
      <c r="F209" s="7" t="n">
        <f aca="false">Scoring!B216</f>
        <v>0</v>
      </c>
      <c r="G209" s="7" t="n">
        <f aca="false">Scoring!D216</f>
        <v>0</v>
      </c>
      <c r="H209" s="7" t="str">
        <f aca="false">Scoring!CY216</f>
        <v/>
      </c>
      <c r="I209" s="192" t="str">
        <f aca="false">Scoring!CX216</f>
        <v/>
      </c>
    </row>
    <row r="210" customFormat="false" ht="15.75" hidden="false" customHeight="false" outlineLevel="0" collapsed="false">
      <c r="A210" s="7" t="str">
        <f aca="false">Scoring!DA217</f>
        <v/>
      </c>
      <c r="B210" s="7" t="str">
        <f aca="false">Scoring!CZ217</f>
        <v/>
      </c>
      <c r="C210" s="7" t="n">
        <f aca="false">Scoring!C217</f>
        <v>0</v>
      </c>
      <c r="D210" s="191" t="str">
        <f aca="false">Scoring!CW217</f>
        <v/>
      </c>
      <c r="E210" s="7" t="str">
        <f aca="false">Scoring!BX217</f>
        <v/>
      </c>
      <c r="F210" s="7" t="n">
        <f aca="false">Scoring!B217</f>
        <v>0</v>
      </c>
      <c r="G210" s="7" t="n">
        <f aca="false">Scoring!D217</f>
        <v>0</v>
      </c>
      <c r="H210" s="7" t="str">
        <f aca="false">Scoring!CY217</f>
        <v/>
      </c>
      <c r="I210" s="192" t="str">
        <f aca="false">Scoring!CX217</f>
        <v/>
      </c>
    </row>
    <row r="211" customFormat="false" ht="15.75" hidden="false" customHeight="false" outlineLevel="0" collapsed="false">
      <c r="A211" s="7" t="str">
        <f aca="false">Scoring!DA218</f>
        <v/>
      </c>
      <c r="B211" s="7" t="str">
        <f aca="false">Scoring!CZ218</f>
        <v/>
      </c>
      <c r="C211" s="7" t="n">
        <f aca="false">Scoring!C218</f>
        <v>0</v>
      </c>
      <c r="D211" s="191" t="str">
        <f aca="false">Scoring!CW218</f>
        <v/>
      </c>
      <c r="E211" s="7" t="str">
        <f aca="false">Scoring!BX218</f>
        <v/>
      </c>
      <c r="F211" s="7" t="n">
        <f aca="false">Scoring!B218</f>
        <v>0</v>
      </c>
      <c r="G211" s="7" t="n">
        <f aca="false">Scoring!D218</f>
        <v>0</v>
      </c>
      <c r="H211" s="7" t="str">
        <f aca="false">Scoring!CY218</f>
        <v/>
      </c>
      <c r="I211" s="192" t="str">
        <f aca="false">Scoring!CX218</f>
        <v/>
      </c>
    </row>
    <row r="212" customFormat="false" ht="15.75" hidden="false" customHeight="false" outlineLevel="0" collapsed="false">
      <c r="A212" s="7" t="str">
        <f aca="false">Scoring!DA219</f>
        <v/>
      </c>
      <c r="B212" s="7" t="str">
        <f aca="false">Scoring!CZ219</f>
        <v/>
      </c>
      <c r="C212" s="7" t="n">
        <f aca="false">Scoring!C219</f>
        <v>0</v>
      </c>
      <c r="D212" s="191" t="str">
        <f aca="false">Scoring!CW219</f>
        <v/>
      </c>
      <c r="E212" s="7" t="str">
        <f aca="false">Scoring!BX219</f>
        <v/>
      </c>
      <c r="F212" s="7" t="n">
        <f aca="false">Scoring!B219</f>
        <v>0</v>
      </c>
      <c r="G212" s="7" t="n">
        <f aca="false">Scoring!D219</f>
        <v>0</v>
      </c>
      <c r="H212" s="7" t="str">
        <f aca="false">Scoring!CY219</f>
        <v/>
      </c>
      <c r="I212" s="192" t="str">
        <f aca="false">Scoring!CX219</f>
        <v/>
      </c>
    </row>
    <row r="213" customFormat="false" ht="15.75" hidden="false" customHeight="false" outlineLevel="0" collapsed="false">
      <c r="A213" s="7" t="str">
        <f aca="false">Scoring!DA220</f>
        <v/>
      </c>
      <c r="B213" s="7" t="str">
        <f aca="false">Scoring!CZ220</f>
        <v/>
      </c>
      <c r="C213" s="7" t="n">
        <f aca="false">Scoring!C220</f>
        <v>0</v>
      </c>
      <c r="D213" s="191" t="str">
        <f aca="false">Scoring!CW220</f>
        <v/>
      </c>
      <c r="E213" s="7" t="str">
        <f aca="false">Scoring!BX220</f>
        <v/>
      </c>
      <c r="F213" s="7" t="n">
        <f aca="false">Scoring!B220</f>
        <v>0</v>
      </c>
      <c r="G213" s="7" t="n">
        <f aca="false">Scoring!D220</f>
        <v>0</v>
      </c>
      <c r="H213" s="7" t="str">
        <f aca="false">Scoring!CY220</f>
        <v/>
      </c>
      <c r="I213" s="192" t="str">
        <f aca="false">Scoring!CX220</f>
        <v/>
      </c>
    </row>
    <row r="214" customFormat="false" ht="15.75" hidden="false" customHeight="false" outlineLevel="0" collapsed="false">
      <c r="A214" s="7" t="str">
        <f aca="false">Scoring!DA221</f>
        <v/>
      </c>
      <c r="B214" s="7" t="str">
        <f aca="false">Scoring!CZ221</f>
        <v/>
      </c>
      <c r="C214" s="7" t="n">
        <f aca="false">Scoring!C221</f>
        <v>0</v>
      </c>
      <c r="D214" s="191" t="str">
        <f aca="false">Scoring!CW221</f>
        <v/>
      </c>
      <c r="E214" s="7" t="str">
        <f aca="false">Scoring!BX221</f>
        <v/>
      </c>
      <c r="F214" s="7" t="n">
        <f aca="false">Scoring!B221</f>
        <v>0</v>
      </c>
      <c r="G214" s="7" t="n">
        <f aca="false">Scoring!D221</f>
        <v>0</v>
      </c>
      <c r="H214" s="7" t="str">
        <f aca="false">Scoring!CY221</f>
        <v/>
      </c>
      <c r="I214" s="192" t="str">
        <f aca="false">Scoring!CX221</f>
        <v/>
      </c>
    </row>
    <row r="215" customFormat="false" ht="15.75" hidden="false" customHeight="false" outlineLevel="0" collapsed="false">
      <c r="A215" s="7" t="str">
        <f aca="false">Scoring!DA222</f>
        <v/>
      </c>
      <c r="B215" s="7" t="str">
        <f aca="false">Scoring!CZ222</f>
        <v/>
      </c>
      <c r="C215" s="7" t="n">
        <f aca="false">Scoring!C222</f>
        <v>0</v>
      </c>
      <c r="D215" s="191" t="str">
        <f aca="false">Scoring!CW222</f>
        <v/>
      </c>
      <c r="E215" s="7" t="str">
        <f aca="false">Scoring!BX222</f>
        <v/>
      </c>
      <c r="F215" s="7" t="n">
        <f aca="false">Scoring!B222</f>
        <v>0</v>
      </c>
      <c r="G215" s="7" t="n">
        <f aca="false">Scoring!D222</f>
        <v>0</v>
      </c>
      <c r="H215" s="7" t="str">
        <f aca="false">Scoring!CY222</f>
        <v/>
      </c>
      <c r="I215" s="192" t="str">
        <f aca="false">Scoring!CX222</f>
        <v/>
      </c>
    </row>
    <row r="216" customFormat="false" ht="15.75" hidden="false" customHeight="false" outlineLevel="0" collapsed="false">
      <c r="A216" s="7" t="str">
        <f aca="false">Scoring!DA223</f>
        <v/>
      </c>
      <c r="B216" s="7" t="str">
        <f aca="false">Scoring!CZ223</f>
        <v/>
      </c>
      <c r="C216" s="7" t="n">
        <f aca="false">Scoring!C223</f>
        <v>0</v>
      </c>
      <c r="D216" s="191" t="str">
        <f aca="false">Scoring!CW223</f>
        <v/>
      </c>
      <c r="E216" s="7" t="str">
        <f aca="false">Scoring!BX223</f>
        <v/>
      </c>
      <c r="F216" s="7" t="n">
        <f aca="false">Scoring!B223</f>
        <v>0</v>
      </c>
      <c r="G216" s="7" t="n">
        <f aca="false">Scoring!D223</f>
        <v>0</v>
      </c>
      <c r="H216" s="7" t="str">
        <f aca="false">Scoring!CY223</f>
        <v/>
      </c>
      <c r="I216" s="192" t="str">
        <f aca="false">Scoring!CX223</f>
        <v/>
      </c>
    </row>
    <row r="217" customFormat="false" ht="15.75" hidden="false" customHeight="false" outlineLevel="0" collapsed="false">
      <c r="A217" s="7" t="str">
        <f aca="false">Scoring!DA224</f>
        <v/>
      </c>
      <c r="B217" s="7" t="str">
        <f aca="false">Scoring!CZ224</f>
        <v/>
      </c>
      <c r="C217" s="7" t="n">
        <f aca="false">Scoring!C224</f>
        <v>0</v>
      </c>
      <c r="D217" s="191" t="str">
        <f aca="false">Scoring!CW224</f>
        <v/>
      </c>
      <c r="E217" s="7" t="str">
        <f aca="false">Scoring!BX224</f>
        <v/>
      </c>
      <c r="F217" s="7" t="n">
        <f aca="false">Scoring!B224</f>
        <v>0</v>
      </c>
      <c r="G217" s="7" t="n">
        <f aca="false">Scoring!D224</f>
        <v>0</v>
      </c>
      <c r="H217" s="7" t="str">
        <f aca="false">Scoring!CY224</f>
        <v/>
      </c>
      <c r="I217" s="192" t="str">
        <f aca="false">Scoring!CX224</f>
        <v/>
      </c>
    </row>
    <row r="218" customFormat="false" ht="15.75" hidden="false" customHeight="false" outlineLevel="0" collapsed="false">
      <c r="A218" s="7" t="str">
        <f aca="false">Scoring!DA225</f>
        <v/>
      </c>
      <c r="B218" s="7" t="str">
        <f aca="false">Scoring!CZ225</f>
        <v/>
      </c>
      <c r="C218" s="7" t="n">
        <f aca="false">Scoring!C225</f>
        <v>0</v>
      </c>
      <c r="D218" s="191" t="str">
        <f aca="false">Scoring!CW225</f>
        <v/>
      </c>
      <c r="E218" s="7" t="str">
        <f aca="false">Scoring!BX225</f>
        <v/>
      </c>
      <c r="F218" s="7" t="n">
        <f aca="false">Scoring!B225</f>
        <v>0</v>
      </c>
      <c r="G218" s="7" t="n">
        <f aca="false">Scoring!D225</f>
        <v>0</v>
      </c>
      <c r="H218" s="7" t="str">
        <f aca="false">Scoring!CY225</f>
        <v/>
      </c>
      <c r="I218" s="192" t="str">
        <f aca="false">Scoring!CX225</f>
        <v/>
      </c>
    </row>
    <row r="219" customFormat="false" ht="15.75" hidden="false" customHeight="false" outlineLevel="0" collapsed="false">
      <c r="A219" s="7" t="str">
        <f aca="false">Scoring!DA226</f>
        <v/>
      </c>
      <c r="B219" s="7" t="str">
        <f aca="false">Scoring!CZ226</f>
        <v/>
      </c>
      <c r="C219" s="7" t="n">
        <f aca="false">Scoring!C226</f>
        <v>0</v>
      </c>
      <c r="D219" s="191" t="str">
        <f aca="false">Scoring!CW226</f>
        <v/>
      </c>
      <c r="E219" s="7" t="str">
        <f aca="false">Scoring!BX226</f>
        <v/>
      </c>
      <c r="F219" s="7" t="n">
        <f aca="false">Scoring!B226</f>
        <v>0</v>
      </c>
      <c r="G219" s="7" t="n">
        <f aca="false">Scoring!D226</f>
        <v>0</v>
      </c>
      <c r="H219" s="7" t="str">
        <f aca="false">Scoring!CY226</f>
        <v/>
      </c>
      <c r="I219" s="192" t="str">
        <f aca="false">Scoring!CX226</f>
        <v/>
      </c>
    </row>
    <row r="220" customFormat="false" ht="15.75" hidden="false" customHeight="false" outlineLevel="0" collapsed="false">
      <c r="A220" s="7" t="str">
        <f aca="false">Scoring!DA227</f>
        <v/>
      </c>
      <c r="B220" s="7" t="str">
        <f aca="false">Scoring!CZ227</f>
        <v/>
      </c>
      <c r="C220" s="7" t="n">
        <f aca="false">Scoring!C227</f>
        <v>0</v>
      </c>
      <c r="D220" s="191" t="str">
        <f aca="false">Scoring!CW227</f>
        <v/>
      </c>
      <c r="E220" s="7" t="str">
        <f aca="false">Scoring!BX227</f>
        <v/>
      </c>
      <c r="F220" s="7" t="n">
        <f aca="false">Scoring!B227</f>
        <v>0</v>
      </c>
      <c r="G220" s="7" t="n">
        <f aca="false">Scoring!D227</f>
        <v>0</v>
      </c>
      <c r="H220" s="7" t="str">
        <f aca="false">Scoring!CY227</f>
        <v/>
      </c>
      <c r="I220" s="192" t="str">
        <f aca="false">Scoring!CX227</f>
        <v/>
      </c>
    </row>
    <row r="221" customFormat="false" ht="15.75" hidden="false" customHeight="false" outlineLevel="0" collapsed="false">
      <c r="A221" s="7" t="str">
        <f aca="false">Scoring!DA228</f>
        <v/>
      </c>
      <c r="B221" s="7" t="str">
        <f aca="false">Scoring!CZ228</f>
        <v/>
      </c>
      <c r="C221" s="7" t="n">
        <f aca="false">Scoring!C228</f>
        <v>0</v>
      </c>
      <c r="D221" s="191" t="str">
        <f aca="false">Scoring!CW228</f>
        <v/>
      </c>
      <c r="E221" s="7" t="str">
        <f aca="false">Scoring!BX228</f>
        <v/>
      </c>
      <c r="F221" s="7" t="n">
        <f aca="false">Scoring!B228</f>
        <v>0</v>
      </c>
      <c r="G221" s="7" t="n">
        <f aca="false">Scoring!D228</f>
        <v>0</v>
      </c>
      <c r="H221" s="7" t="str">
        <f aca="false">Scoring!CY228</f>
        <v/>
      </c>
      <c r="I221" s="192" t="str">
        <f aca="false">Scoring!CX228</f>
        <v/>
      </c>
    </row>
    <row r="222" customFormat="false" ht="15.75" hidden="false" customHeight="false" outlineLevel="0" collapsed="false">
      <c r="A222" s="7" t="str">
        <f aca="false">Scoring!DA229</f>
        <v/>
      </c>
      <c r="B222" s="7" t="str">
        <f aca="false">Scoring!CZ229</f>
        <v/>
      </c>
      <c r="C222" s="7" t="n">
        <f aca="false">Scoring!C229</f>
        <v>0</v>
      </c>
      <c r="D222" s="191" t="str">
        <f aca="false">Scoring!CW229</f>
        <v/>
      </c>
      <c r="E222" s="7" t="str">
        <f aca="false">Scoring!BX229</f>
        <v/>
      </c>
      <c r="F222" s="7" t="n">
        <f aca="false">Scoring!B229</f>
        <v>0</v>
      </c>
      <c r="G222" s="7" t="n">
        <f aca="false">Scoring!D229</f>
        <v>0</v>
      </c>
      <c r="H222" s="7" t="str">
        <f aca="false">Scoring!CY229</f>
        <v/>
      </c>
      <c r="I222" s="192" t="str">
        <f aca="false">Scoring!CX229</f>
        <v/>
      </c>
    </row>
    <row r="223" customFormat="false" ht="15.75" hidden="false" customHeight="false" outlineLevel="0" collapsed="false">
      <c r="A223" s="7" t="str">
        <f aca="false">Scoring!DA230</f>
        <v/>
      </c>
      <c r="B223" s="7" t="str">
        <f aca="false">Scoring!CZ230</f>
        <v/>
      </c>
      <c r="C223" s="7" t="n">
        <f aca="false">Scoring!C230</f>
        <v>0</v>
      </c>
      <c r="D223" s="191" t="str">
        <f aca="false">Scoring!CW230</f>
        <v/>
      </c>
      <c r="E223" s="7" t="str">
        <f aca="false">Scoring!BX230</f>
        <v/>
      </c>
      <c r="F223" s="7" t="n">
        <f aca="false">Scoring!B230</f>
        <v>0</v>
      </c>
      <c r="G223" s="7" t="n">
        <f aca="false">Scoring!D230</f>
        <v>0</v>
      </c>
      <c r="H223" s="7" t="str">
        <f aca="false">Scoring!CY230</f>
        <v/>
      </c>
      <c r="I223" s="192" t="str">
        <f aca="false">Scoring!CX230</f>
        <v/>
      </c>
    </row>
    <row r="224" customFormat="false" ht="15.75" hidden="false" customHeight="false" outlineLevel="0" collapsed="false">
      <c r="A224" s="7" t="str">
        <f aca="false">Scoring!DA231</f>
        <v/>
      </c>
      <c r="B224" s="7" t="str">
        <f aca="false">Scoring!CZ231</f>
        <v/>
      </c>
      <c r="C224" s="7" t="n">
        <f aca="false">Scoring!C231</f>
        <v>0</v>
      </c>
      <c r="D224" s="191" t="str">
        <f aca="false">Scoring!CW231</f>
        <v/>
      </c>
      <c r="E224" s="7" t="str">
        <f aca="false">Scoring!BX231</f>
        <v/>
      </c>
      <c r="F224" s="7" t="n">
        <f aca="false">Scoring!B231</f>
        <v>0</v>
      </c>
      <c r="G224" s="7" t="n">
        <f aca="false">Scoring!D231</f>
        <v>0</v>
      </c>
      <c r="H224" s="7" t="str">
        <f aca="false">Scoring!CY231</f>
        <v/>
      </c>
      <c r="I224" s="192" t="str">
        <f aca="false">Scoring!CX231</f>
        <v/>
      </c>
    </row>
    <row r="225" customFormat="false" ht="15.75" hidden="false" customHeight="false" outlineLevel="0" collapsed="false">
      <c r="A225" s="7" t="str">
        <f aca="false">Scoring!DA232</f>
        <v/>
      </c>
      <c r="B225" s="7" t="str">
        <f aca="false">Scoring!CZ232</f>
        <v/>
      </c>
      <c r="C225" s="7" t="n">
        <f aca="false">Scoring!C232</f>
        <v>0</v>
      </c>
      <c r="D225" s="191" t="str">
        <f aca="false">Scoring!CW232</f>
        <v/>
      </c>
      <c r="E225" s="7" t="str">
        <f aca="false">Scoring!BX232</f>
        <v/>
      </c>
      <c r="F225" s="7" t="n">
        <f aca="false">Scoring!B232</f>
        <v>0</v>
      </c>
      <c r="G225" s="7" t="n">
        <f aca="false">Scoring!D232</f>
        <v>0</v>
      </c>
      <c r="H225" s="7" t="str">
        <f aca="false">Scoring!CY232</f>
        <v/>
      </c>
      <c r="I225" s="192" t="str">
        <f aca="false">Scoring!CX232</f>
        <v/>
      </c>
    </row>
    <row r="226" customFormat="false" ht="15.75" hidden="false" customHeight="false" outlineLevel="0" collapsed="false">
      <c r="A226" s="7" t="str">
        <f aca="false">Scoring!DA233</f>
        <v/>
      </c>
      <c r="B226" s="7" t="str">
        <f aca="false">Scoring!CZ233</f>
        <v/>
      </c>
      <c r="C226" s="7" t="n">
        <f aca="false">Scoring!C233</f>
        <v>0</v>
      </c>
      <c r="D226" s="191" t="str">
        <f aca="false">Scoring!CW233</f>
        <v/>
      </c>
      <c r="E226" s="7" t="str">
        <f aca="false">Scoring!BX233</f>
        <v/>
      </c>
      <c r="F226" s="7" t="n">
        <f aca="false">Scoring!B233</f>
        <v>0</v>
      </c>
      <c r="G226" s="7" t="n">
        <f aca="false">Scoring!D233</f>
        <v>0</v>
      </c>
      <c r="H226" s="7" t="str">
        <f aca="false">Scoring!CY233</f>
        <v/>
      </c>
      <c r="I226" s="192" t="str">
        <f aca="false">Scoring!CX233</f>
        <v/>
      </c>
    </row>
    <row r="227" customFormat="false" ht="15.75" hidden="false" customHeight="false" outlineLevel="0" collapsed="false">
      <c r="A227" s="7" t="str">
        <f aca="false">Scoring!DA234</f>
        <v/>
      </c>
      <c r="B227" s="7" t="str">
        <f aca="false">Scoring!CZ234</f>
        <v/>
      </c>
      <c r="C227" s="7" t="n">
        <f aca="false">Scoring!C234</f>
        <v>0</v>
      </c>
      <c r="D227" s="191" t="str">
        <f aca="false">Scoring!CW234</f>
        <v/>
      </c>
      <c r="E227" s="7" t="str">
        <f aca="false">Scoring!BX234</f>
        <v/>
      </c>
      <c r="F227" s="7" t="n">
        <f aca="false">Scoring!B234</f>
        <v>0</v>
      </c>
      <c r="G227" s="7" t="n">
        <f aca="false">Scoring!D234</f>
        <v>0</v>
      </c>
      <c r="H227" s="7" t="str">
        <f aca="false">Scoring!CY234</f>
        <v/>
      </c>
      <c r="I227" s="192" t="str">
        <f aca="false">Scoring!CX234</f>
        <v/>
      </c>
    </row>
    <row r="228" customFormat="false" ht="15.75" hidden="false" customHeight="false" outlineLevel="0" collapsed="false">
      <c r="A228" s="7" t="str">
        <f aca="false">Scoring!DA235</f>
        <v/>
      </c>
      <c r="B228" s="7" t="str">
        <f aca="false">Scoring!CZ235</f>
        <v/>
      </c>
      <c r="C228" s="7" t="n">
        <f aca="false">Scoring!C235</f>
        <v>0</v>
      </c>
      <c r="D228" s="191" t="str">
        <f aca="false">Scoring!CW235</f>
        <v/>
      </c>
      <c r="E228" s="7" t="str">
        <f aca="false">Scoring!BX235</f>
        <v/>
      </c>
      <c r="F228" s="7" t="n">
        <f aca="false">Scoring!B235</f>
        <v>0</v>
      </c>
      <c r="G228" s="7" t="n">
        <f aca="false">Scoring!D235</f>
        <v>0</v>
      </c>
      <c r="H228" s="7" t="str">
        <f aca="false">Scoring!CY235</f>
        <v/>
      </c>
      <c r="I228" s="192" t="str">
        <f aca="false">Scoring!CX235</f>
        <v/>
      </c>
    </row>
    <row r="229" customFormat="false" ht="15.75" hidden="false" customHeight="false" outlineLevel="0" collapsed="false">
      <c r="A229" s="7" t="str">
        <f aca="false">Scoring!DA236</f>
        <v/>
      </c>
      <c r="B229" s="7" t="str">
        <f aca="false">Scoring!CZ236</f>
        <v/>
      </c>
      <c r="C229" s="7" t="n">
        <f aca="false">Scoring!C236</f>
        <v>0</v>
      </c>
      <c r="D229" s="191" t="str">
        <f aca="false">Scoring!CW236</f>
        <v/>
      </c>
      <c r="E229" s="7" t="str">
        <f aca="false">Scoring!BX236</f>
        <v/>
      </c>
      <c r="F229" s="7" t="n">
        <f aca="false">Scoring!B236</f>
        <v>0</v>
      </c>
      <c r="G229" s="7" t="n">
        <f aca="false">Scoring!D236</f>
        <v>0</v>
      </c>
      <c r="H229" s="7" t="str">
        <f aca="false">Scoring!CY236</f>
        <v/>
      </c>
      <c r="I229" s="192" t="str">
        <f aca="false">Scoring!CX236</f>
        <v/>
      </c>
    </row>
    <row r="230" customFormat="false" ht="15.75" hidden="false" customHeight="false" outlineLevel="0" collapsed="false">
      <c r="A230" s="7" t="str">
        <f aca="false">Scoring!DA237</f>
        <v/>
      </c>
      <c r="B230" s="7" t="str">
        <f aca="false">Scoring!CZ237</f>
        <v/>
      </c>
      <c r="C230" s="7" t="n">
        <f aca="false">Scoring!C237</f>
        <v>0</v>
      </c>
      <c r="D230" s="191" t="str">
        <f aca="false">Scoring!CW237</f>
        <v/>
      </c>
      <c r="E230" s="7" t="str">
        <f aca="false">Scoring!BX237</f>
        <v/>
      </c>
      <c r="F230" s="7" t="n">
        <f aca="false">Scoring!B237</f>
        <v>0</v>
      </c>
      <c r="G230" s="7" t="n">
        <f aca="false">Scoring!D237</f>
        <v>0</v>
      </c>
      <c r="H230" s="7" t="str">
        <f aca="false">Scoring!CY237</f>
        <v/>
      </c>
      <c r="I230" s="192" t="str">
        <f aca="false">Scoring!CX237</f>
        <v/>
      </c>
    </row>
    <row r="231" customFormat="false" ht="15.75" hidden="false" customHeight="false" outlineLevel="0" collapsed="false">
      <c r="A231" s="7" t="str">
        <f aca="false">Scoring!DA238</f>
        <v/>
      </c>
      <c r="B231" s="7" t="str">
        <f aca="false">Scoring!CZ238</f>
        <v/>
      </c>
      <c r="C231" s="7" t="n">
        <f aca="false">Scoring!C238</f>
        <v>0</v>
      </c>
      <c r="D231" s="191" t="str">
        <f aca="false">Scoring!CW238</f>
        <v/>
      </c>
      <c r="E231" s="7" t="str">
        <f aca="false">Scoring!BX238</f>
        <v/>
      </c>
      <c r="F231" s="7" t="n">
        <f aca="false">Scoring!B238</f>
        <v>0</v>
      </c>
      <c r="G231" s="7" t="n">
        <f aca="false">Scoring!D238</f>
        <v>0</v>
      </c>
      <c r="H231" s="7" t="str">
        <f aca="false">Scoring!CY238</f>
        <v/>
      </c>
      <c r="I231" s="192" t="str">
        <f aca="false">Scoring!CX238</f>
        <v/>
      </c>
    </row>
    <row r="232" customFormat="false" ht="15.75" hidden="false" customHeight="false" outlineLevel="0" collapsed="false">
      <c r="A232" s="7" t="str">
        <f aca="false">Scoring!DA239</f>
        <v/>
      </c>
      <c r="B232" s="7" t="str">
        <f aca="false">Scoring!CZ239</f>
        <v/>
      </c>
      <c r="C232" s="7" t="n">
        <f aca="false">Scoring!C239</f>
        <v>0</v>
      </c>
      <c r="D232" s="191" t="str">
        <f aca="false">Scoring!CW239</f>
        <v/>
      </c>
      <c r="E232" s="7" t="str">
        <f aca="false">Scoring!BX239</f>
        <v/>
      </c>
      <c r="F232" s="7" t="n">
        <f aca="false">Scoring!B239</f>
        <v>0</v>
      </c>
      <c r="G232" s="7" t="n">
        <f aca="false">Scoring!D239</f>
        <v>0</v>
      </c>
      <c r="H232" s="7" t="str">
        <f aca="false">Scoring!CY239</f>
        <v/>
      </c>
      <c r="I232" s="192" t="str">
        <f aca="false">Scoring!CX239</f>
        <v/>
      </c>
    </row>
    <row r="233" customFormat="false" ht="15.75" hidden="false" customHeight="false" outlineLevel="0" collapsed="false">
      <c r="A233" s="7" t="str">
        <f aca="false">Scoring!DA240</f>
        <v/>
      </c>
      <c r="B233" s="7" t="str">
        <f aca="false">Scoring!CZ240</f>
        <v/>
      </c>
      <c r="C233" s="7" t="n">
        <f aca="false">Scoring!C240</f>
        <v>0</v>
      </c>
      <c r="D233" s="191" t="str">
        <f aca="false">Scoring!CW240</f>
        <v/>
      </c>
      <c r="E233" s="7" t="str">
        <f aca="false">Scoring!BX240</f>
        <v/>
      </c>
      <c r="F233" s="7" t="n">
        <f aca="false">Scoring!B240</f>
        <v>0</v>
      </c>
      <c r="G233" s="7" t="n">
        <f aca="false">Scoring!D240</f>
        <v>0</v>
      </c>
      <c r="H233" s="7" t="str">
        <f aca="false">Scoring!CY240</f>
        <v/>
      </c>
      <c r="I233" s="192" t="str">
        <f aca="false">Scoring!CX240</f>
        <v/>
      </c>
    </row>
    <row r="234" customFormat="false" ht="15.75" hidden="false" customHeight="false" outlineLevel="0" collapsed="false">
      <c r="A234" s="7" t="str">
        <f aca="false">Scoring!DA241</f>
        <v/>
      </c>
      <c r="B234" s="7" t="str">
        <f aca="false">Scoring!CZ241</f>
        <v/>
      </c>
      <c r="C234" s="7" t="n">
        <f aca="false">Scoring!C241</f>
        <v>0</v>
      </c>
      <c r="D234" s="191" t="str">
        <f aca="false">Scoring!CW241</f>
        <v/>
      </c>
      <c r="E234" s="7" t="str">
        <f aca="false">Scoring!BX241</f>
        <v/>
      </c>
      <c r="F234" s="7" t="n">
        <f aca="false">Scoring!B241</f>
        <v>0</v>
      </c>
      <c r="G234" s="7" t="n">
        <f aca="false">Scoring!D241</f>
        <v>0</v>
      </c>
      <c r="H234" s="7" t="str">
        <f aca="false">Scoring!CY241</f>
        <v/>
      </c>
      <c r="I234" s="192" t="str">
        <f aca="false">Scoring!CX241</f>
        <v/>
      </c>
    </row>
    <row r="235" customFormat="false" ht="15.75" hidden="false" customHeight="false" outlineLevel="0" collapsed="false">
      <c r="A235" s="7" t="str">
        <f aca="false">Scoring!DA242</f>
        <v/>
      </c>
      <c r="B235" s="7" t="str">
        <f aca="false">Scoring!CZ242</f>
        <v/>
      </c>
      <c r="C235" s="7" t="n">
        <f aca="false">Scoring!C242</f>
        <v>0</v>
      </c>
      <c r="D235" s="191" t="str">
        <f aca="false">Scoring!CW242</f>
        <v/>
      </c>
      <c r="E235" s="7" t="str">
        <f aca="false">Scoring!BX242</f>
        <v/>
      </c>
      <c r="F235" s="7" t="n">
        <f aca="false">Scoring!B242</f>
        <v>0</v>
      </c>
      <c r="G235" s="7" t="n">
        <f aca="false">Scoring!D242</f>
        <v>0</v>
      </c>
      <c r="H235" s="7" t="str">
        <f aca="false">Scoring!CY242</f>
        <v/>
      </c>
      <c r="I235" s="192" t="str">
        <f aca="false">Scoring!CX242</f>
        <v/>
      </c>
    </row>
    <row r="236" customFormat="false" ht="15.75" hidden="false" customHeight="false" outlineLevel="0" collapsed="false">
      <c r="A236" s="7" t="str">
        <f aca="false">Scoring!DA243</f>
        <v/>
      </c>
      <c r="B236" s="7" t="str">
        <f aca="false">Scoring!CZ243</f>
        <v/>
      </c>
      <c r="C236" s="7" t="n">
        <f aca="false">Scoring!C243</f>
        <v>0</v>
      </c>
      <c r="D236" s="191" t="str">
        <f aca="false">Scoring!CW243</f>
        <v/>
      </c>
      <c r="E236" s="7" t="str">
        <f aca="false">Scoring!BX243</f>
        <v/>
      </c>
      <c r="F236" s="7" t="n">
        <f aca="false">Scoring!B243</f>
        <v>0</v>
      </c>
      <c r="G236" s="7" t="n">
        <f aca="false">Scoring!D243</f>
        <v>0</v>
      </c>
      <c r="H236" s="7" t="str">
        <f aca="false">Scoring!CY243</f>
        <v/>
      </c>
      <c r="I236" s="192" t="str">
        <f aca="false">Scoring!CX243</f>
        <v/>
      </c>
    </row>
    <row r="237" customFormat="false" ht="15.75" hidden="false" customHeight="false" outlineLevel="0" collapsed="false">
      <c r="A237" s="7" t="str">
        <f aca="false">Scoring!DA244</f>
        <v/>
      </c>
      <c r="B237" s="7" t="str">
        <f aca="false">Scoring!CZ244</f>
        <v/>
      </c>
      <c r="C237" s="7" t="n">
        <f aca="false">Scoring!C244</f>
        <v>0</v>
      </c>
      <c r="D237" s="191" t="str">
        <f aca="false">Scoring!CW244</f>
        <v/>
      </c>
      <c r="E237" s="7" t="str">
        <f aca="false">Scoring!BX244</f>
        <v/>
      </c>
      <c r="F237" s="7" t="n">
        <f aca="false">Scoring!B244</f>
        <v>0</v>
      </c>
      <c r="G237" s="7" t="n">
        <f aca="false">Scoring!D244</f>
        <v>0</v>
      </c>
      <c r="H237" s="7" t="str">
        <f aca="false">Scoring!CY244</f>
        <v/>
      </c>
      <c r="I237" s="192" t="str">
        <f aca="false">Scoring!CX244</f>
        <v/>
      </c>
    </row>
    <row r="238" customFormat="false" ht="15.75" hidden="false" customHeight="false" outlineLevel="0" collapsed="false">
      <c r="A238" s="7" t="str">
        <f aca="false">Scoring!DA245</f>
        <v/>
      </c>
      <c r="B238" s="7" t="str">
        <f aca="false">Scoring!CZ245</f>
        <v/>
      </c>
      <c r="C238" s="7" t="n">
        <f aca="false">Scoring!C245</f>
        <v>0</v>
      </c>
      <c r="D238" s="191" t="str">
        <f aca="false">Scoring!CW245</f>
        <v/>
      </c>
      <c r="E238" s="7" t="str">
        <f aca="false">Scoring!BX245</f>
        <v/>
      </c>
      <c r="F238" s="7" t="n">
        <f aca="false">Scoring!B245</f>
        <v>0</v>
      </c>
      <c r="G238" s="7" t="n">
        <f aca="false">Scoring!D245</f>
        <v>0</v>
      </c>
      <c r="H238" s="7" t="str">
        <f aca="false">Scoring!CY245</f>
        <v/>
      </c>
      <c r="I238" s="192" t="str">
        <f aca="false">Scoring!CX245</f>
        <v/>
      </c>
    </row>
    <row r="239" customFormat="false" ht="15.75" hidden="false" customHeight="false" outlineLevel="0" collapsed="false">
      <c r="A239" s="7" t="str">
        <f aca="false">Scoring!DA246</f>
        <v/>
      </c>
      <c r="B239" s="7" t="str">
        <f aca="false">Scoring!CZ246</f>
        <v/>
      </c>
      <c r="C239" s="7" t="n">
        <f aca="false">Scoring!C246</f>
        <v>0</v>
      </c>
      <c r="D239" s="191" t="str">
        <f aca="false">Scoring!CW246</f>
        <v/>
      </c>
      <c r="E239" s="7" t="str">
        <f aca="false">Scoring!BX246</f>
        <v/>
      </c>
      <c r="F239" s="7" t="n">
        <f aca="false">Scoring!B246</f>
        <v>0</v>
      </c>
      <c r="G239" s="7" t="n">
        <f aca="false">Scoring!D246</f>
        <v>0</v>
      </c>
      <c r="H239" s="7" t="str">
        <f aca="false">Scoring!CY246</f>
        <v/>
      </c>
      <c r="I239" s="192" t="str">
        <f aca="false">Scoring!CX246</f>
        <v/>
      </c>
    </row>
    <row r="240" customFormat="false" ht="15.75" hidden="false" customHeight="false" outlineLevel="0" collapsed="false">
      <c r="A240" s="7" t="str">
        <f aca="false">Scoring!DA247</f>
        <v/>
      </c>
      <c r="B240" s="7" t="str">
        <f aca="false">Scoring!CZ247</f>
        <v/>
      </c>
      <c r="C240" s="7" t="n">
        <f aca="false">Scoring!C247</f>
        <v>0</v>
      </c>
      <c r="D240" s="191" t="str">
        <f aca="false">Scoring!CW247</f>
        <v/>
      </c>
      <c r="E240" s="7" t="str">
        <f aca="false">Scoring!BX247</f>
        <v/>
      </c>
      <c r="F240" s="7" t="n">
        <f aca="false">Scoring!B247</f>
        <v>0</v>
      </c>
      <c r="G240" s="7" t="n">
        <f aca="false">Scoring!D247</f>
        <v>0</v>
      </c>
      <c r="H240" s="7" t="str">
        <f aca="false">Scoring!CY247</f>
        <v/>
      </c>
      <c r="I240" s="192" t="str">
        <f aca="false">Scoring!CX247</f>
        <v/>
      </c>
    </row>
    <row r="241" customFormat="false" ht="15.75" hidden="false" customHeight="false" outlineLevel="0" collapsed="false">
      <c r="A241" s="7" t="str">
        <f aca="false">Scoring!DA248</f>
        <v/>
      </c>
      <c r="B241" s="7" t="str">
        <f aca="false">Scoring!CZ248</f>
        <v/>
      </c>
      <c r="C241" s="7" t="n">
        <f aca="false">Scoring!C248</f>
        <v>0</v>
      </c>
      <c r="D241" s="191" t="str">
        <f aca="false">Scoring!CW248</f>
        <v/>
      </c>
      <c r="E241" s="7" t="str">
        <f aca="false">Scoring!BX248</f>
        <v/>
      </c>
      <c r="F241" s="7" t="n">
        <f aca="false">Scoring!B248</f>
        <v>0</v>
      </c>
      <c r="G241" s="7" t="n">
        <f aca="false">Scoring!D248</f>
        <v>0</v>
      </c>
      <c r="H241" s="7" t="str">
        <f aca="false">Scoring!CY248</f>
        <v/>
      </c>
      <c r="I241" s="192" t="str">
        <f aca="false">Scoring!CX248</f>
        <v/>
      </c>
    </row>
    <row r="242" customFormat="false" ht="15.75" hidden="false" customHeight="false" outlineLevel="0" collapsed="false">
      <c r="A242" s="7" t="str">
        <f aca="false">Scoring!DA249</f>
        <v/>
      </c>
      <c r="B242" s="7" t="str">
        <f aca="false">Scoring!CZ249</f>
        <v/>
      </c>
      <c r="C242" s="7" t="n">
        <f aca="false">Scoring!C249</f>
        <v>0</v>
      </c>
      <c r="D242" s="191" t="str">
        <f aca="false">Scoring!CW249</f>
        <v/>
      </c>
      <c r="E242" s="7" t="str">
        <f aca="false">Scoring!BX249</f>
        <v/>
      </c>
      <c r="F242" s="7" t="n">
        <f aca="false">Scoring!B249</f>
        <v>0</v>
      </c>
      <c r="G242" s="7" t="n">
        <f aca="false">Scoring!D249</f>
        <v>0</v>
      </c>
      <c r="H242" s="7" t="str">
        <f aca="false">Scoring!CY249</f>
        <v/>
      </c>
      <c r="I242" s="192" t="str">
        <f aca="false">Scoring!CX249</f>
        <v/>
      </c>
    </row>
    <row r="243" customFormat="false" ht="15.75" hidden="false" customHeight="false" outlineLevel="0" collapsed="false">
      <c r="A243" s="7" t="str">
        <f aca="false">Scoring!DA250</f>
        <v/>
      </c>
      <c r="B243" s="7" t="str">
        <f aca="false">Scoring!CZ250</f>
        <v/>
      </c>
      <c r="C243" s="7" t="n">
        <f aca="false">Scoring!C250</f>
        <v>0</v>
      </c>
      <c r="D243" s="191" t="str">
        <f aca="false">Scoring!CW250</f>
        <v/>
      </c>
      <c r="E243" s="7" t="str">
        <f aca="false">Scoring!BX250</f>
        <v/>
      </c>
      <c r="F243" s="7" t="n">
        <f aca="false">Scoring!B250</f>
        <v>0</v>
      </c>
      <c r="G243" s="7" t="n">
        <f aca="false">Scoring!D250</f>
        <v>0</v>
      </c>
      <c r="H243" s="7" t="str">
        <f aca="false">Scoring!CY250</f>
        <v/>
      </c>
      <c r="I243" s="192" t="str">
        <f aca="false">Scoring!CX250</f>
        <v/>
      </c>
    </row>
    <row r="244" customFormat="false" ht="15.75" hidden="false" customHeight="false" outlineLevel="0" collapsed="false">
      <c r="A244" s="7" t="str">
        <f aca="false">Scoring!DA251</f>
        <v/>
      </c>
      <c r="B244" s="7" t="str">
        <f aca="false">Scoring!CZ251</f>
        <v/>
      </c>
      <c r="C244" s="7" t="n">
        <f aca="false">Scoring!C251</f>
        <v>0</v>
      </c>
      <c r="D244" s="191" t="str">
        <f aca="false">Scoring!CW251</f>
        <v/>
      </c>
      <c r="E244" s="7" t="str">
        <f aca="false">Scoring!BX251</f>
        <v/>
      </c>
      <c r="F244" s="7" t="n">
        <f aca="false">Scoring!B251</f>
        <v>0</v>
      </c>
      <c r="G244" s="7" t="n">
        <f aca="false">Scoring!D251</f>
        <v>0</v>
      </c>
      <c r="H244" s="7" t="str">
        <f aca="false">Scoring!CY251</f>
        <v/>
      </c>
      <c r="I244" s="192" t="str">
        <f aca="false">Scoring!CX251</f>
        <v/>
      </c>
    </row>
    <row r="245" customFormat="false" ht="15.75" hidden="false" customHeight="false" outlineLevel="0" collapsed="false">
      <c r="A245" s="7" t="str">
        <f aca="false">Scoring!DA252</f>
        <v/>
      </c>
      <c r="B245" s="7" t="str">
        <f aca="false">Scoring!CZ252</f>
        <v/>
      </c>
      <c r="C245" s="7" t="n">
        <f aca="false">Scoring!C252</f>
        <v>0</v>
      </c>
      <c r="D245" s="191" t="str">
        <f aca="false">Scoring!CW252</f>
        <v/>
      </c>
      <c r="E245" s="7" t="str">
        <f aca="false">Scoring!BX252</f>
        <v/>
      </c>
      <c r="F245" s="7" t="n">
        <f aca="false">Scoring!B252</f>
        <v>0</v>
      </c>
      <c r="G245" s="7" t="n">
        <f aca="false">Scoring!D252</f>
        <v>0</v>
      </c>
      <c r="H245" s="7" t="str">
        <f aca="false">Scoring!CY252</f>
        <v/>
      </c>
      <c r="I245" s="192" t="str">
        <f aca="false">Scoring!CX252</f>
        <v/>
      </c>
    </row>
    <row r="246" customFormat="false" ht="15.75" hidden="false" customHeight="false" outlineLevel="0" collapsed="false">
      <c r="A246" s="7" t="str">
        <f aca="false">Scoring!DA253</f>
        <v/>
      </c>
      <c r="B246" s="7" t="str">
        <f aca="false">Scoring!CZ253</f>
        <v/>
      </c>
      <c r="C246" s="7" t="n">
        <f aca="false">Scoring!C253</f>
        <v>0</v>
      </c>
      <c r="D246" s="191" t="str">
        <f aca="false">Scoring!CW253</f>
        <v/>
      </c>
      <c r="E246" s="7" t="str">
        <f aca="false">Scoring!BX253</f>
        <v/>
      </c>
      <c r="F246" s="7" t="n">
        <f aca="false">Scoring!B253</f>
        <v>0</v>
      </c>
      <c r="G246" s="7" t="n">
        <f aca="false">Scoring!D253</f>
        <v>0</v>
      </c>
      <c r="H246" s="7" t="str">
        <f aca="false">Scoring!CY253</f>
        <v/>
      </c>
      <c r="I246" s="192" t="str">
        <f aca="false">Scoring!CX253</f>
        <v/>
      </c>
    </row>
    <row r="247" customFormat="false" ht="15.75" hidden="false" customHeight="false" outlineLevel="0" collapsed="false">
      <c r="A247" s="7" t="str">
        <f aca="false">Scoring!DA254</f>
        <v/>
      </c>
      <c r="B247" s="7" t="str">
        <f aca="false">Scoring!CZ254</f>
        <v/>
      </c>
      <c r="C247" s="7" t="n">
        <f aca="false">Scoring!C254</f>
        <v>0</v>
      </c>
      <c r="D247" s="191" t="str">
        <f aca="false">Scoring!CW254</f>
        <v/>
      </c>
      <c r="E247" s="7" t="str">
        <f aca="false">Scoring!BX254</f>
        <v/>
      </c>
      <c r="F247" s="7" t="n">
        <f aca="false">Scoring!B254</f>
        <v>0</v>
      </c>
      <c r="G247" s="7" t="n">
        <f aca="false">Scoring!D254</f>
        <v>0</v>
      </c>
      <c r="H247" s="7" t="str">
        <f aca="false">Scoring!CY254</f>
        <v/>
      </c>
      <c r="I247" s="192" t="str">
        <f aca="false">Scoring!CX254</f>
        <v/>
      </c>
    </row>
    <row r="248" customFormat="false" ht="15.75" hidden="false" customHeight="false" outlineLevel="0" collapsed="false">
      <c r="A248" s="7" t="str">
        <f aca="false">Scoring!DA255</f>
        <v/>
      </c>
      <c r="B248" s="7" t="str">
        <f aca="false">Scoring!CZ255</f>
        <v/>
      </c>
      <c r="C248" s="7" t="n">
        <f aca="false">Scoring!C255</f>
        <v>0</v>
      </c>
      <c r="D248" s="191" t="str">
        <f aca="false">Scoring!CW255</f>
        <v/>
      </c>
      <c r="E248" s="7" t="str">
        <f aca="false">Scoring!BX255</f>
        <v/>
      </c>
      <c r="F248" s="7" t="n">
        <f aca="false">Scoring!B255</f>
        <v>0</v>
      </c>
      <c r="G248" s="7" t="n">
        <f aca="false">Scoring!D255</f>
        <v>0</v>
      </c>
      <c r="H248" s="7" t="str">
        <f aca="false">Scoring!CY255</f>
        <v/>
      </c>
      <c r="I248" s="192" t="str">
        <f aca="false">Scoring!CX255</f>
        <v/>
      </c>
    </row>
    <row r="249" customFormat="false" ht="15.75" hidden="false" customHeight="false" outlineLevel="0" collapsed="false">
      <c r="A249" s="7" t="str">
        <f aca="false">Scoring!DA256</f>
        <v/>
      </c>
      <c r="B249" s="7" t="str">
        <f aca="false">Scoring!CZ256</f>
        <v/>
      </c>
      <c r="C249" s="7" t="n">
        <f aca="false">Scoring!C256</f>
        <v>0</v>
      </c>
      <c r="D249" s="191" t="str">
        <f aca="false">Scoring!CW256</f>
        <v/>
      </c>
      <c r="E249" s="7" t="str">
        <f aca="false">Scoring!BX256</f>
        <v/>
      </c>
      <c r="F249" s="7" t="n">
        <f aca="false">Scoring!B256</f>
        <v>0</v>
      </c>
      <c r="G249" s="7" t="n">
        <f aca="false">Scoring!D256</f>
        <v>0</v>
      </c>
      <c r="H249" s="7" t="str">
        <f aca="false">Scoring!CY256</f>
        <v/>
      </c>
      <c r="I249" s="192" t="str">
        <f aca="false">Scoring!CX256</f>
        <v/>
      </c>
    </row>
    <row r="250" customFormat="false" ht="15.75" hidden="false" customHeight="false" outlineLevel="0" collapsed="false">
      <c r="A250" s="7" t="str">
        <f aca="false">Scoring!DA257</f>
        <v/>
      </c>
      <c r="B250" s="7" t="str">
        <f aca="false">Scoring!CZ257</f>
        <v/>
      </c>
      <c r="C250" s="7" t="n">
        <f aca="false">Scoring!C257</f>
        <v>0</v>
      </c>
      <c r="D250" s="191" t="str">
        <f aca="false">Scoring!CW257</f>
        <v/>
      </c>
      <c r="E250" s="7" t="str">
        <f aca="false">Scoring!BX257</f>
        <v/>
      </c>
      <c r="F250" s="7" t="n">
        <f aca="false">Scoring!B257</f>
        <v>0</v>
      </c>
      <c r="G250" s="7" t="n">
        <f aca="false">Scoring!D257</f>
        <v>0</v>
      </c>
      <c r="H250" s="7" t="str">
        <f aca="false">Scoring!CY257</f>
        <v/>
      </c>
      <c r="I250" s="192" t="str">
        <f aca="false">Scoring!CX257</f>
        <v/>
      </c>
    </row>
    <row r="251" customFormat="false" ht="15.75" hidden="false" customHeight="false" outlineLevel="0" collapsed="false">
      <c r="A251" s="7" t="str">
        <f aca="false">Scoring!DA258</f>
        <v/>
      </c>
      <c r="B251" s="7" t="str">
        <f aca="false">Scoring!CZ258</f>
        <v/>
      </c>
      <c r="C251" s="7" t="n">
        <f aca="false">Scoring!C258</f>
        <v>0</v>
      </c>
      <c r="D251" s="191" t="str">
        <f aca="false">Scoring!CW258</f>
        <v/>
      </c>
      <c r="E251" s="7" t="str">
        <f aca="false">Scoring!BX258</f>
        <v/>
      </c>
      <c r="F251" s="7" t="n">
        <f aca="false">Scoring!B258</f>
        <v>0</v>
      </c>
      <c r="G251" s="7" t="n">
        <f aca="false">Scoring!D258</f>
        <v>0</v>
      </c>
      <c r="H251" s="7" t="str">
        <f aca="false">Scoring!CY258</f>
        <v/>
      </c>
      <c r="I251" s="192" t="str">
        <f aca="false">Scoring!CX258</f>
        <v/>
      </c>
    </row>
    <row r="252" customFormat="false" ht="15.75" hidden="false" customHeight="false" outlineLevel="0" collapsed="false">
      <c r="A252" s="7" t="str">
        <f aca="false">Scoring!DA259</f>
        <v/>
      </c>
      <c r="B252" s="7" t="str">
        <f aca="false">Scoring!CZ259</f>
        <v/>
      </c>
      <c r="C252" s="7" t="n">
        <f aca="false">Scoring!C259</f>
        <v>0</v>
      </c>
      <c r="D252" s="191" t="str">
        <f aca="false">Scoring!CW259</f>
        <v/>
      </c>
      <c r="E252" s="7" t="str">
        <f aca="false">Scoring!BX259</f>
        <v/>
      </c>
      <c r="F252" s="7" t="n">
        <f aca="false">Scoring!B259</f>
        <v>0</v>
      </c>
      <c r="G252" s="7" t="n">
        <f aca="false">Scoring!D259</f>
        <v>0</v>
      </c>
      <c r="H252" s="7" t="str">
        <f aca="false">Scoring!CY259</f>
        <v/>
      </c>
      <c r="I252" s="192" t="str">
        <f aca="false">Scoring!CX259</f>
        <v/>
      </c>
    </row>
    <row r="253" customFormat="false" ht="15.75" hidden="false" customHeight="false" outlineLevel="0" collapsed="false">
      <c r="A253" s="7" t="str">
        <f aca="false">Scoring!DA260</f>
        <v/>
      </c>
      <c r="B253" s="7" t="str">
        <f aca="false">Scoring!CZ260</f>
        <v/>
      </c>
      <c r="C253" s="7" t="n">
        <f aca="false">Scoring!C260</f>
        <v>0</v>
      </c>
      <c r="D253" s="191" t="str">
        <f aca="false">Scoring!CW260</f>
        <v/>
      </c>
      <c r="E253" s="7" t="str">
        <f aca="false">Scoring!BX260</f>
        <v/>
      </c>
      <c r="F253" s="7" t="n">
        <f aca="false">Scoring!B260</f>
        <v>0</v>
      </c>
      <c r="G253" s="7" t="n">
        <f aca="false">Scoring!D260</f>
        <v>0</v>
      </c>
      <c r="H253" s="7" t="str">
        <f aca="false">Scoring!CY260</f>
        <v/>
      </c>
      <c r="I253" s="192" t="str">
        <f aca="false">Scoring!CX260</f>
        <v/>
      </c>
    </row>
    <row r="254" customFormat="false" ht="15.75" hidden="false" customHeight="false" outlineLevel="0" collapsed="false">
      <c r="A254" s="7" t="str">
        <f aca="false">Scoring!DA261</f>
        <v/>
      </c>
      <c r="B254" s="7" t="str">
        <f aca="false">Scoring!CZ261</f>
        <v/>
      </c>
      <c r="C254" s="7" t="n">
        <f aca="false">Scoring!C261</f>
        <v>0</v>
      </c>
      <c r="D254" s="191" t="str">
        <f aca="false">Scoring!CW261</f>
        <v/>
      </c>
      <c r="E254" s="7" t="str">
        <f aca="false">Scoring!BX261</f>
        <v/>
      </c>
      <c r="F254" s="7" t="n">
        <f aca="false">Scoring!B261</f>
        <v>0</v>
      </c>
      <c r="G254" s="7" t="n">
        <f aca="false">Scoring!D261</f>
        <v>0</v>
      </c>
      <c r="H254" s="7" t="str">
        <f aca="false">Scoring!CY261</f>
        <v/>
      </c>
      <c r="I254" s="192" t="str">
        <f aca="false">Scoring!CX261</f>
        <v/>
      </c>
    </row>
    <row r="255" customFormat="false" ht="15.75" hidden="false" customHeight="false" outlineLevel="0" collapsed="false">
      <c r="A255" s="7" t="str">
        <f aca="false">Scoring!DA262</f>
        <v/>
      </c>
      <c r="B255" s="7" t="str">
        <f aca="false">Scoring!CZ262</f>
        <v/>
      </c>
      <c r="C255" s="7" t="n">
        <f aca="false">Scoring!C262</f>
        <v>0</v>
      </c>
      <c r="D255" s="191" t="str">
        <f aca="false">Scoring!CW262</f>
        <v/>
      </c>
      <c r="E255" s="7" t="str">
        <f aca="false">Scoring!BX262</f>
        <v/>
      </c>
      <c r="F255" s="7" t="n">
        <f aca="false">Scoring!B262</f>
        <v>0</v>
      </c>
      <c r="G255" s="7" t="n">
        <f aca="false">Scoring!D262</f>
        <v>0</v>
      </c>
      <c r="H255" s="7" t="str">
        <f aca="false">Scoring!CY262</f>
        <v/>
      </c>
      <c r="I255" s="192" t="str">
        <f aca="false">Scoring!CX262</f>
        <v/>
      </c>
    </row>
    <row r="256" customFormat="false" ht="15.75" hidden="false" customHeight="false" outlineLevel="0" collapsed="false">
      <c r="A256" s="7" t="str">
        <f aca="false">Scoring!DA263</f>
        <v/>
      </c>
      <c r="B256" s="7" t="str">
        <f aca="false">Scoring!CZ263</f>
        <v/>
      </c>
      <c r="C256" s="7" t="n">
        <f aca="false">Scoring!C263</f>
        <v>0</v>
      </c>
      <c r="D256" s="191" t="str">
        <f aca="false">Scoring!CW263</f>
        <v/>
      </c>
      <c r="E256" s="7" t="str">
        <f aca="false">Scoring!BX263</f>
        <v/>
      </c>
      <c r="F256" s="7" t="n">
        <f aca="false">Scoring!B263</f>
        <v>0</v>
      </c>
      <c r="G256" s="7" t="n">
        <f aca="false">Scoring!D263</f>
        <v>0</v>
      </c>
      <c r="H256" s="7" t="str">
        <f aca="false">Scoring!CY263</f>
        <v/>
      </c>
      <c r="I256" s="192" t="str">
        <f aca="false">Scoring!CX263</f>
        <v/>
      </c>
    </row>
    <row r="257" customFormat="false" ht="15.75" hidden="false" customHeight="false" outlineLevel="0" collapsed="false">
      <c r="A257" s="7" t="str">
        <f aca="false">Scoring!DA264</f>
        <v/>
      </c>
      <c r="B257" s="7" t="str">
        <f aca="false">Scoring!CZ264</f>
        <v/>
      </c>
      <c r="C257" s="7" t="n">
        <f aca="false">Scoring!C264</f>
        <v>0</v>
      </c>
      <c r="D257" s="191" t="str">
        <f aca="false">Scoring!CW264</f>
        <v/>
      </c>
      <c r="E257" s="7" t="str">
        <f aca="false">Scoring!BX264</f>
        <v/>
      </c>
      <c r="F257" s="7" t="n">
        <f aca="false">Scoring!B264</f>
        <v>0</v>
      </c>
      <c r="G257" s="7" t="n">
        <f aca="false">Scoring!D264</f>
        <v>0</v>
      </c>
      <c r="H257" s="7" t="str">
        <f aca="false">Scoring!CY264</f>
        <v/>
      </c>
      <c r="I257" s="192" t="str">
        <f aca="false">Scoring!CX264</f>
        <v/>
      </c>
    </row>
    <row r="258" customFormat="false" ht="15.75" hidden="false" customHeight="false" outlineLevel="0" collapsed="false">
      <c r="A258" s="7" t="str">
        <f aca="false">Scoring!DA265</f>
        <v/>
      </c>
      <c r="B258" s="7" t="str">
        <f aca="false">Scoring!CZ265</f>
        <v/>
      </c>
      <c r="C258" s="7" t="n">
        <f aca="false">Scoring!C265</f>
        <v>0</v>
      </c>
      <c r="D258" s="191" t="str">
        <f aca="false">Scoring!CW265</f>
        <v/>
      </c>
      <c r="E258" s="7" t="str">
        <f aca="false">Scoring!BX265</f>
        <v/>
      </c>
      <c r="F258" s="7" t="n">
        <f aca="false">Scoring!B265</f>
        <v>0</v>
      </c>
      <c r="G258" s="7" t="n">
        <f aca="false">Scoring!D265</f>
        <v>0</v>
      </c>
      <c r="H258" s="7" t="str">
        <f aca="false">Scoring!CY265</f>
        <v/>
      </c>
      <c r="I258" s="192" t="str">
        <f aca="false">Scoring!CX265</f>
        <v/>
      </c>
    </row>
    <row r="259" customFormat="false" ht="15.75" hidden="false" customHeight="false" outlineLevel="0" collapsed="false">
      <c r="A259" s="7" t="str">
        <f aca="false">Scoring!DA266</f>
        <v/>
      </c>
      <c r="B259" s="7" t="str">
        <f aca="false">Scoring!CZ266</f>
        <v/>
      </c>
      <c r="C259" s="7" t="n">
        <f aca="false">Scoring!C266</f>
        <v>0</v>
      </c>
      <c r="D259" s="191" t="str">
        <f aca="false">Scoring!CW266</f>
        <v/>
      </c>
      <c r="E259" s="7" t="str">
        <f aca="false">Scoring!BX266</f>
        <v/>
      </c>
      <c r="F259" s="7" t="n">
        <f aca="false">Scoring!B266</f>
        <v>0</v>
      </c>
      <c r="G259" s="7" t="n">
        <f aca="false">Scoring!D266</f>
        <v>0</v>
      </c>
      <c r="H259" s="7" t="str">
        <f aca="false">Scoring!CY266</f>
        <v/>
      </c>
      <c r="I259" s="192" t="str">
        <f aca="false">Scoring!CX266</f>
        <v/>
      </c>
    </row>
    <row r="260" customFormat="false" ht="15.75" hidden="false" customHeight="false" outlineLevel="0" collapsed="false">
      <c r="A260" s="7" t="str">
        <f aca="false">Scoring!DA267</f>
        <v/>
      </c>
      <c r="B260" s="7" t="str">
        <f aca="false">Scoring!CZ267</f>
        <v/>
      </c>
      <c r="C260" s="7" t="n">
        <f aca="false">Scoring!C267</f>
        <v>0</v>
      </c>
      <c r="D260" s="191" t="str">
        <f aca="false">Scoring!CW267</f>
        <v/>
      </c>
      <c r="E260" s="7" t="str">
        <f aca="false">Scoring!BX267</f>
        <v/>
      </c>
      <c r="F260" s="7" t="n">
        <f aca="false">Scoring!B267</f>
        <v>0</v>
      </c>
      <c r="G260" s="7" t="n">
        <f aca="false">Scoring!D267</f>
        <v>0</v>
      </c>
      <c r="H260" s="7" t="str">
        <f aca="false">Scoring!CY267</f>
        <v/>
      </c>
      <c r="I260" s="192" t="str">
        <f aca="false">Scoring!CX267</f>
        <v/>
      </c>
    </row>
    <row r="261" customFormat="false" ht="15.75" hidden="false" customHeight="false" outlineLevel="0" collapsed="false">
      <c r="A261" s="7" t="str">
        <f aca="false">Scoring!DA268</f>
        <v/>
      </c>
      <c r="B261" s="7" t="str">
        <f aca="false">Scoring!CZ268</f>
        <v/>
      </c>
      <c r="C261" s="7" t="n">
        <f aca="false">Scoring!C268</f>
        <v>0</v>
      </c>
      <c r="D261" s="191" t="str">
        <f aca="false">Scoring!CW268</f>
        <v/>
      </c>
      <c r="E261" s="7" t="str">
        <f aca="false">Scoring!BX268</f>
        <v/>
      </c>
      <c r="F261" s="7" t="n">
        <f aca="false">Scoring!B268</f>
        <v>0</v>
      </c>
      <c r="G261" s="7" t="n">
        <f aca="false">Scoring!D268</f>
        <v>0</v>
      </c>
      <c r="H261" s="7" t="str">
        <f aca="false">Scoring!CY268</f>
        <v/>
      </c>
      <c r="I261" s="192" t="str">
        <f aca="false">Scoring!CX268</f>
        <v/>
      </c>
    </row>
    <row r="262" customFormat="false" ht="15.75" hidden="false" customHeight="false" outlineLevel="0" collapsed="false">
      <c r="A262" s="7" t="str">
        <f aca="false">Scoring!DA269</f>
        <v/>
      </c>
      <c r="B262" s="7" t="str">
        <f aca="false">Scoring!CZ269</f>
        <v/>
      </c>
      <c r="C262" s="7" t="n">
        <f aca="false">Scoring!C269</f>
        <v>0</v>
      </c>
      <c r="D262" s="191" t="str">
        <f aca="false">Scoring!CW269</f>
        <v/>
      </c>
      <c r="E262" s="7" t="str">
        <f aca="false">Scoring!BX269</f>
        <v/>
      </c>
      <c r="F262" s="7" t="n">
        <f aca="false">Scoring!B269</f>
        <v>0</v>
      </c>
      <c r="G262" s="7" t="n">
        <f aca="false">Scoring!D269</f>
        <v>0</v>
      </c>
      <c r="H262" s="7" t="str">
        <f aca="false">Scoring!CY269</f>
        <v/>
      </c>
      <c r="I262" s="192" t="str">
        <f aca="false">Scoring!CX269</f>
        <v/>
      </c>
    </row>
    <row r="263" customFormat="false" ht="15.75" hidden="false" customHeight="false" outlineLevel="0" collapsed="false">
      <c r="A263" s="7" t="str">
        <f aca="false">Scoring!DA270</f>
        <v/>
      </c>
      <c r="B263" s="7" t="str">
        <f aca="false">Scoring!CZ270</f>
        <v/>
      </c>
      <c r="C263" s="7" t="n">
        <f aca="false">Scoring!C270</f>
        <v>0</v>
      </c>
      <c r="D263" s="191" t="str">
        <f aca="false">Scoring!CW270</f>
        <v/>
      </c>
      <c r="E263" s="7" t="str">
        <f aca="false">Scoring!BX270</f>
        <v/>
      </c>
      <c r="F263" s="7" t="n">
        <f aca="false">Scoring!B270</f>
        <v>0</v>
      </c>
      <c r="G263" s="7" t="n">
        <f aca="false">Scoring!D270</f>
        <v>0</v>
      </c>
      <c r="H263" s="7" t="str">
        <f aca="false">Scoring!CY270</f>
        <v/>
      </c>
      <c r="I263" s="192" t="str">
        <f aca="false">Scoring!CX270</f>
        <v/>
      </c>
    </row>
    <row r="264" customFormat="false" ht="15.75" hidden="false" customHeight="false" outlineLevel="0" collapsed="false">
      <c r="A264" s="7" t="str">
        <f aca="false">Scoring!DA271</f>
        <v/>
      </c>
      <c r="B264" s="7" t="str">
        <f aca="false">Scoring!CZ271</f>
        <v/>
      </c>
      <c r="C264" s="7" t="n">
        <f aca="false">Scoring!C271</f>
        <v>0</v>
      </c>
      <c r="D264" s="191" t="str">
        <f aca="false">Scoring!CW271</f>
        <v/>
      </c>
      <c r="E264" s="7" t="str">
        <f aca="false">Scoring!BX271</f>
        <v/>
      </c>
      <c r="F264" s="7" t="n">
        <f aca="false">Scoring!B271</f>
        <v>0</v>
      </c>
      <c r="G264" s="7" t="n">
        <f aca="false">Scoring!D271</f>
        <v>0</v>
      </c>
      <c r="H264" s="7" t="str">
        <f aca="false">Scoring!CY271</f>
        <v/>
      </c>
      <c r="I264" s="192" t="str">
        <f aca="false">Scoring!CX271</f>
        <v/>
      </c>
    </row>
    <row r="265" customFormat="false" ht="15.75" hidden="false" customHeight="false" outlineLevel="0" collapsed="false">
      <c r="A265" s="7" t="str">
        <f aca="false">Scoring!DA272</f>
        <v/>
      </c>
      <c r="B265" s="7" t="str">
        <f aca="false">Scoring!CZ272</f>
        <v/>
      </c>
      <c r="C265" s="7" t="n">
        <f aca="false">Scoring!C272</f>
        <v>0</v>
      </c>
      <c r="D265" s="191" t="str">
        <f aca="false">Scoring!CW272</f>
        <v/>
      </c>
      <c r="E265" s="7" t="str">
        <f aca="false">Scoring!BX272</f>
        <v/>
      </c>
      <c r="F265" s="7" t="n">
        <f aca="false">Scoring!B272</f>
        <v>0</v>
      </c>
      <c r="G265" s="7" t="n">
        <f aca="false">Scoring!D272</f>
        <v>0</v>
      </c>
      <c r="H265" s="7" t="str">
        <f aca="false">Scoring!CY272</f>
        <v/>
      </c>
      <c r="I265" s="192" t="str">
        <f aca="false">Scoring!CX272</f>
        <v/>
      </c>
    </row>
    <row r="266" customFormat="false" ht="15.75" hidden="false" customHeight="false" outlineLevel="0" collapsed="false">
      <c r="A266" s="7" t="str">
        <f aca="false">Scoring!DA273</f>
        <v/>
      </c>
      <c r="B266" s="7" t="str">
        <f aca="false">Scoring!CZ273</f>
        <v/>
      </c>
      <c r="C266" s="7" t="n">
        <f aca="false">Scoring!C273</f>
        <v>0</v>
      </c>
      <c r="D266" s="191" t="str">
        <f aca="false">Scoring!CW273</f>
        <v/>
      </c>
      <c r="E266" s="7" t="str">
        <f aca="false">Scoring!BX273</f>
        <v/>
      </c>
      <c r="F266" s="7" t="n">
        <f aca="false">Scoring!B273</f>
        <v>0</v>
      </c>
      <c r="G266" s="7" t="n">
        <f aca="false">Scoring!D273</f>
        <v>0</v>
      </c>
      <c r="H266" s="7" t="str">
        <f aca="false">Scoring!CY273</f>
        <v/>
      </c>
      <c r="I266" s="192" t="str">
        <f aca="false">Scoring!CX273</f>
        <v/>
      </c>
    </row>
    <row r="267" customFormat="false" ht="15.75" hidden="false" customHeight="false" outlineLevel="0" collapsed="false">
      <c r="A267" s="7" t="str">
        <f aca="false">Scoring!DA274</f>
        <v/>
      </c>
      <c r="B267" s="7" t="str">
        <f aca="false">Scoring!CZ274</f>
        <v/>
      </c>
      <c r="C267" s="7" t="n">
        <f aca="false">Scoring!C274</f>
        <v>0</v>
      </c>
      <c r="D267" s="191" t="str">
        <f aca="false">Scoring!CW274</f>
        <v/>
      </c>
      <c r="E267" s="7" t="str">
        <f aca="false">Scoring!BX274</f>
        <v/>
      </c>
      <c r="F267" s="7" t="n">
        <f aca="false">Scoring!B274</f>
        <v>0</v>
      </c>
      <c r="G267" s="7" t="n">
        <f aca="false">Scoring!D274</f>
        <v>0</v>
      </c>
      <c r="H267" s="7" t="str">
        <f aca="false">Scoring!CY274</f>
        <v/>
      </c>
      <c r="I267" s="192" t="str">
        <f aca="false">Scoring!CX274</f>
        <v/>
      </c>
    </row>
    <row r="268" customFormat="false" ht="15.75" hidden="false" customHeight="false" outlineLevel="0" collapsed="false">
      <c r="A268" s="7" t="str">
        <f aca="false">Scoring!DA275</f>
        <v/>
      </c>
      <c r="B268" s="7" t="str">
        <f aca="false">Scoring!CZ275</f>
        <v/>
      </c>
      <c r="C268" s="7" t="n">
        <f aca="false">Scoring!C275</f>
        <v>0</v>
      </c>
      <c r="D268" s="191" t="str">
        <f aca="false">Scoring!CW275</f>
        <v/>
      </c>
      <c r="E268" s="7" t="str">
        <f aca="false">Scoring!BX275</f>
        <v/>
      </c>
      <c r="F268" s="7" t="n">
        <f aca="false">Scoring!B275</f>
        <v>0</v>
      </c>
      <c r="G268" s="7" t="n">
        <f aca="false">Scoring!D275</f>
        <v>0</v>
      </c>
      <c r="H268" s="7" t="str">
        <f aca="false">Scoring!CY275</f>
        <v/>
      </c>
      <c r="I268" s="192" t="str">
        <f aca="false">Scoring!CX275</f>
        <v/>
      </c>
    </row>
    <row r="269" customFormat="false" ht="15.75" hidden="false" customHeight="false" outlineLevel="0" collapsed="false">
      <c r="A269" s="7" t="str">
        <f aca="false">Scoring!DA276</f>
        <v/>
      </c>
      <c r="B269" s="7" t="str">
        <f aca="false">Scoring!CZ276</f>
        <v/>
      </c>
      <c r="C269" s="7" t="n">
        <f aca="false">Scoring!C276</f>
        <v>0</v>
      </c>
      <c r="D269" s="191" t="str">
        <f aca="false">Scoring!CW276</f>
        <v/>
      </c>
      <c r="E269" s="7" t="str">
        <f aca="false">Scoring!BX276</f>
        <v/>
      </c>
      <c r="F269" s="7" t="n">
        <f aca="false">Scoring!B276</f>
        <v>0</v>
      </c>
      <c r="G269" s="7" t="n">
        <f aca="false">Scoring!D276</f>
        <v>0</v>
      </c>
      <c r="H269" s="7" t="str">
        <f aca="false">Scoring!CY276</f>
        <v/>
      </c>
      <c r="I269" s="192" t="str">
        <f aca="false">Scoring!CX276</f>
        <v/>
      </c>
    </row>
    <row r="270" customFormat="false" ht="15.75" hidden="false" customHeight="false" outlineLevel="0" collapsed="false">
      <c r="A270" s="7" t="str">
        <f aca="false">Scoring!DA277</f>
        <v/>
      </c>
      <c r="B270" s="7" t="str">
        <f aca="false">Scoring!CZ277</f>
        <v/>
      </c>
      <c r="C270" s="7" t="n">
        <f aca="false">Scoring!C277</f>
        <v>0</v>
      </c>
      <c r="D270" s="191" t="str">
        <f aca="false">Scoring!CW277</f>
        <v/>
      </c>
      <c r="E270" s="7" t="str">
        <f aca="false">Scoring!BX277</f>
        <v/>
      </c>
      <c r="F270" s="7" t="n">
        <f aca="false">Scoring!B277</f>
        <v>0</v>
      </c>
      <c r="G270" s="7" t="n">
        <f aca="false">Scoring!D277</f>
        <v>0</v>
      </c>
      <c r="H270" s="7" t="str">
        <f aca="false">Scoring!CY277</f>
        <v/>
      </c>
      <c r="I270" s="192" t="str">
        <f aca="false">Scoring!CX277</f>
        <v/>
      </c>
    </row>
    <row r="271" customFormat="false" ht="15.75" hidden="false" customHeight="false" outlineLevel="0" collapsed="false">
      <c r="A271" s="7" t="str">
        <f aca="false">Scoring!DA278</f>
        <v/>
      </c>
      <c r="B271" s="7" t="str">
        <f aca="false">Scoring!CZ278</f>
        <v/>
      </c>
      <c r="C271" s="7" t="n">
        <f aca="false">Scoring!C278</f>
        <v>0</v>
      </c>
      <c r="D271" s="191" t="str">
        <f aca="false">Scoring!CW278</f>
        <v/>
      </c>
      <c r="E271" s="7" t="str">
        <f aca="false">Scoring!BX278</f>
        <v/>
      </c>
      <c r="F271" s="7" t="n">
        <f aca="false">Scoring!B278</f>
        <v>0</v>
      </c>
      <c r="G271" s="7" t="n">
        <f aca="false">Scoring!D278</f>
        <v>0</v>
      </c>
      <c r="H271" s="7" t="str">
        <f aca="false">Scoring!CY278</f>
        <v/>
      </c>
      <c r="I271" s="192" t="str">
        <f aca="false">Scoring!CX278</f>
        <v/>
      </c>
    </row>
    <row r="272" customFormat="false" ht="15.75" hidden="false" customHeight="false" outlineLevel="0" collapsed="false">
      <c r="A272" s="7" t="str">
        <f aca="false">Scoring!DA279</f>
        <v/>
      </c>
      <c r="B272" s="7" t="str">
        <f aca="false">Scoring!CZ279</f>
        <v/>
      </c>
      <c r="C272" s="7" t="n">
        <f aca="false">Scoring!C279</f>
        <v>0</v>
      </c>
      <c r="D272" s="191" t="str">
        <f aca="false">Scoring!CW279</f>
        <v/>
      </c>
      <c r="E272" s="7" t="str">
        <f aca="false">Scoring!BX279</f>
        <v/>
      </c>
      <c r="F272" s="7" t="n">
        <f aca="false">Scoring!B279</f>
        <v>0</v>
      </c>
      <c r="G272" s="7" t="n">
        <f aca="false">Scoring!D279</f>
        <v>0</v>
      </c>
      <c r="H272" s="7" t="str">
        <f aca="false">Scoring!CY279</f>
        <v/>
      </c>
      <c r="I272" s="192" t="str">
        <f aca="false">Scoring!CX279</f>
        <v/>
      </c>
    </row>
    <row r="273" customFormat="false" ht="15.75" hidden="false" customHeight="false" outlineLevel="0" collapsed="false">
      <c r="A273" s="7" t="str">
        <f aca="false">Scoring!DA280</f>
        <v/>
      </c>
      <c r="B273" s="7" t="str">
        <f aca="false">Scoring!CZ280</f>
        <v/>
      </c>
      <c r="C273" s="7" t="n">
        <f aca="false">Scoring!C280</f>
        <v>0</v>
      </c>
      <c r="D273" s="191" t="str">
        <f aca="false">Scoring!CW280</f>
        <v/>
      </c>
      <c r="E273" s="7" t="str">
        <f aca="false">Scoring!BX280</f>
        <v/>
      </c>
      <c r="F273" s="7" t="n">
        <f aca="false">Scoring!B280</f>
        <v>0</v>
      </c>
      <c r="G273" s="7" t="n">
        <f aca="false">Scoring!D280</f>
        <v>0</v>
      </c>
      <c r="H273" s="7" t="str">
        <f aca="false">Scoring!CY280</f>
        <v/>
      </c>
      <c r="I273" s="192" t="str">
        <f aca="false">Scoring!CX280</f>
        <v/>
      </c>
    </row>
    <row r="274" customFormat="false" ht="15.75" hidden="false" customHeight="false" outlineLevel="0" collapsed="false">
      <c r="A274" s="7" t="str">
        <f aca="false">Scoring!DA281</f>
        <v/>
      </c>
      <c r="B274" s="7" t="str">
        <f aca="false">Scoring!CZ281</f>
        <v/>
      </c>
      <c r="C274" s="7" t="n">
        <f aca="false">Scoring!C281</f>
        <v>0</v>
      </c>
      <c r="D274" s="191" t="str">
        <f aca="false">Scoring!CW281</f>
        <v/>
      </c>
      <c r="E274" s="7" t="str">
        <f aca="false">Scoring!BX281</f>
        <v/>
      </c>
      <c r="F274" s="7" t="n">
        <f aca="false">Scoring!B281</f>
        <v>0</v>
      </c>
      <c r="G274" s="7" t="n">
        <f aca="false">Scoring!D281</f>
        <v>0</v>
      </c>
      <c r="H274" s="7" t="str">
        <f aca="false">Scoring!CY281</f>
        <v/>
      </c>
      <c r="I274" s="192" t="str">
        <f aca="false">Scoring!CX281</f>
        <v/>
      </c>
    </row>
    <row r="275" customFormat="false" ht="15.75" hidden="false" customHeight="false" outlineLevel="0" collapsed="false">
      <c r="A275" s="7" t="str">
        <f aca="false">Scoring!DA282</f>
        <v/>
      </c>
      <c r="B275" s="7" t="str">
        <f aca="false">Scoring!CZ282</f>
        <v/>
      </c>
      <c r="C275" s="7" t="n">
        <f aca="false">Scoring!C282</f>
        <v>0</v>
      </c>
      <c r="D275" s="191" t="str">
        <f aca="false">Scoring!CW282</f>
        <v/>
      </c>
      <c r="E275" s="7" t="str">
        <f aca="false">Scoring!BX282</f>
        <v/>
      </c>
      <c r="F275" s="7" t="n">
        <f aca="false">Scoring!B282</f>
        <v>0</v>
      </c>
      <c r="G275" s="7" t="n">
        <f aca="false">Scoring!D282</f>
        <v>0</v>
      </c>
      <c r="H275" s="7" t="str">
        <f aca="false">Scoring!CY282</f>
        <v/>
      </c>
      <c r="I275" s="192" t="str">
        <f aca="false">Scoring!CX282</f>
        <v/>
      </c>
    </row>
    <row r="276" customFormat="false" ht="15.75" hidden="false" customHeight="false" outlineLevel="0" collapsed="false">
      <c r="A276" s="7" t="str">
        <f aca="false">Scoring!DA283</f>
        <v/>
      </c>
      <c r="B276" s="7" t="str">
        <f aca="false">Scoring!CZ283</f>
        <v/>
      </c>
      <c r="C276" s="7" t="n">
        <f aca="false">Scoring!C283</f>
        <v>0</v>
      </c>
      <c r="D276" s="191" t="str">
        <f aca="false">Scoring!CW283</f>
        <v/>
      </c>
      <c r="E276" s="7" t="str">
        <f aca="false">Scoring!BX283</f>
        <v/>
      </c>
      <c r="F276" s="7" t="n">
        <f aca="false">Scoring!B283</f>
        <v>0</v>
      </c>
      <c r="G276" s="7" t="n">
        <f aca="false">Scoring!D283</f>
        <v>0</v>
      </c>
      <c r="H276" s="7" t="str">
        <f aca="false">Scoring!CY283</f>
        <v/>
      </c>
      <c r="I276" s="192" t="str">
        <f aca="false">Scoring!CX283</f>
        <v/>
      </c>
    </row>
    <row r="277" customFormat="false" ht="15.75" hidden="false" customHeight="false" outlineLevel="0" collapsed="false">
      <c r="A277" s="7" t="str">
        <f aca="false">Scoring!DA284</f>
        <v/>
      </c>
      <c r="B277" s="7" t="str">
        <f aca="false">Scoring!CZ284</f>
        <v/>
      </c>
      <c r="C277" s="7" t="n">
        <f aca="false">Scoring!C284</f>
        <v>0</v>
      </c>
      <c r="D277" s="191" t="str">
        <f aca="false">Scoring!CW284</f>
        <v/>
      </c>
      <c r="E277" s="7" t="str">
        <f aca="false">Scoring!BX284</f>
        <v/>
      </c>
      <c r="F277" s="7" t="n">
        <f aca="false">Scoring!B284</f>
        <v>0</v>
      </c>
      <c r="G277" s="7" t="n">
        <f aca="false">Scoring!D284</f>
        <v>0</v>
      </c>
      <c r="H277" s="7" t="str">
        <f aca="false">Scoring!CY284</f>
        <v/>
      </c>
      <c r="I277" s="192" t="str">
        <f aca="false">Scoring!CX284</f>
        <v/>
      </c>
    </row>
    <row r="278" customFormat="false" ht="15.75" hidden="false" customHeight="false" outlineLevel="0" collapsed="false">
      <c r="A278" s="7" t="str">
        <f aca="false">Scoring!DA285</f>
        <v/>
      </c>
      <c r="B278" s="7" t="str">
        <f aca="false">Scoring!CZ285</f>
        <v/>
      </c>
      <c r="C278" s="7" t="n">
        <f aca="false">Scoring!C285</f>
        <v>0</v>
      </c>
      <c r="D278" s="191" t="str">
        <f aca="false">Scoring!CW285</f>
        <v/>
      </c>
      <c r="E278" s="7" t="str">
        <f aca="false">Scoring!BX285</f>
        <v/>
      </c>
      <c r="F278" s="7" t="n">
        <f aca="false">Scoring!B285</f>
        <v>0</v>
      </c>
      <c r="G278" s="7" t="n">
        <f aca="false">Scoring!D285</f>
        <v>0</v>
      </c>
      <c r="H278" s="7" t="str">
        <f aca="false">Scoring!CY285</f>
        <v/>
      </c>
      <c r="I278" s="192" t="str">
        <f aca="false">Scoring!CX285</f>
        <v/>
      </c>
    </row>
    <row r="279" customFormat="false" ht="15.75" hidden="false" customHeight="false" outlineLevel="0" collapsed="false">
      <c r="A279" s="7" t="str">
        <f aca="false">Scoring!DA286</f>
        <v/>
      </c>
      <c r="B279" s="7" t="str">
        <f aca="false">Scoring!CZ286</f>
        <v/>
      </c>
      <c r="C279" s="7" t="n">
        <f aca="false">Scoring!C286</f>
        <v>0</v>
      </c>
      <c r="D279" s="191" t="str">
        <f aca="false">Scoring!CW286</f>
        <v/>
      </c>
      <c r="E279" s="7" t="str">
        <f aca="false">Scoring!BX286</f>
        <v/>
      </c>
      <c r="F279" s="7" t="n">
        <f aca="false">Scoring!B286</f>
        <v>0</v>
      </c>
      <c r="G279" s="7" t="n">
        <f aca="false">Scoring!D286</f>
        <v>0</v>
      </c>
      <c r="H279" s="7" t="str">
        <f aca="false">Scoring!CY286</f>
        <v/>
      </c>
      <c r="I279" s="192" t="str">
        <f aca="false">Scoring!CX286</f>
        <v/>
      </c>
    </row>
    <row r="280" customFormat="false" ht="15.75" hidden="false" customHeight="false" outlineLevel="0" collapsed="false">
      <c r="A280" s="7" t="str">
        <f aca="false">Scoring!DA287</f>
        <v/>
      </c>
      <c r="B280" s="7" t="str">
        <f aca="false">Scoring!CZ287</f>
        <v/>
      </c>
      <c r="C280" s="7" t="n">
        <f aca="false">Scoring!C287</f>
        <v>0</v>
      </c>
      <c r="D280" s="191" t="str">
        <f aca="false">Scoring!CW287</f>
        <v/>
      </c>
      <c r="E280" s="7" t="str">
        <f aca="false">Scoring!BX287</f>
        <v/>
      </c>
      <c r="F280" s="7" t="n">
        <f aca="false">Scoring!B287</f>
        <v>0</v>
      </c>
      <c r="G280" s="7" t="n">
        <f aca="false">Scoring!D287</f>
        <v>0</v>
      </c>
      <c r="H280" s="7" t="str">
        <f aca="false">Scoring!CY287</f>
        <v/>
      </c>
      <c r="I280" s="192" t="str">
        <f aca="false">Scoring!CX287</f>
        <v/>
      </c>
    </row>
    <row r="281" customFormat="false" ht="15.75" hidden="false" customHeight="false" outlineLevel="0" collapsed="false">
      <c r="A281" s="7" t="str">
        <f aca="false">Scoring!DA288</f>
        <v/>
      </c>
      <c r="B281" s="7" t="str">
        <f aca="false">Scoring!CZ288</f>
        <v/>
      </c>
      <c r="C281" s="7" t="n">
        <f aca="false">Scoring!C288</f>
        <v>0</v>
      </c>
      <c r="D281" s="191" t="str">
        <f aca="false">Scoring!CW288</f>
        <v/>
      </c>
      <c r="E281" s="7" t="str">
        <f aca="false">Scoring!BX288</f>
        <v/>
      </c>
      <c r="F281" s="7" t="n">
        <f aca="false">Scoring!B288</f>
        <v>0</v>
      </c>
      <c r="G281" s="7" t="n">
        <f aca="false">Scoring!D288</f>
        <v>0</v>
      </c>
      <c r="H281" s="7" t="str">
        <f aca="false">Scoring!CY288</f>
        <v/>
      </c>
      <c r="I281" s="192" t="str">
        <f aca="false">Scoring!CX288</f>
        <v/>
      </c>
    </row>
    <row r="282" customFormat="false" ht="15.75" hidden="false" customHeight="false" outlineLevel="0" collapsed="false">
      <c r="A282" s="7" t="str">
        <f aca="false">Scoring!DA289</f>
        <v/>
      </c>
      <c r="B282" s="7" t="str">
        <f aca="false">Scoring!CZ289</f>
        <v/>
      </c>
      <c r="C282" s="7" t="n">
        <f aca="false">Scoring!C289</f>
        <v>0</v>
      </c>
      <c r="D282" s="191" t="str">
        <f aca="false">Scoring!CW289</f>
        <v/>
      </c>
      <c r="E282" s="7" t="str">
        <f aca="false">Scoring!BX289</f>
        <v/>
      </c>
      <c r="F282" s="7" t="n">
        <f aca="false">Scoring!B289</f>
        <v>0</v>
      </c>
      <c r="G282" s="7" t="n">
        <f aca="false">Scoring!D289</f>
        <v>0</v>
      </c>
      <c r="H282" s="7" t="str">
        <f aca="false">Scoring!CY289</f>
        <v/>
      </c>
      <c r="I282" s="192" t="str">
        <f aca="false">Scoring!CX289</f>
        <v/>
      </c>
    </row>
    <row r="283" customFormat="false" ht="15.75" hidden="false" customHeight="false" outlineLevel="0" collapsed="false">
      <c r="A283" s="7" t="str">
        <f aca="false">Scoring!DA290</f>
        <v/>
      </c>
      <c r="B283" s="7" t="str">
        <f aca="false">Scoring!CZ290</f>
        <v/>
      </c>
      <c r="C283" s="7" t="n">
        <f aca="false">Scoring!C290</f>
        <v>0</v>
      </c>
      <c r="D283" s="191" t="str">
        <f aca="false">Scoring!CW290</f>
        <v/>
      </c>
      <c r="E283" s="7" t="str">
        <f aca="false">Scoring!BX290</f>
        <v/>
      </c>
      <c r="F283" s="7" t="n">
        <f aca="false">Scoring!B290</f>
        <v>0</v>
      </c>
      <c r="G283" s="7" t="n">
        <f aca="false">Scoring!D290</f>
        <v>0</v>
      </c>
      <c r="H283" s="7" t="str">
        <f aca="false">Scoring!CY290</f>
        <v/>
      </c>
      <c r="I283" s="192" t="str">
        <f aca="false">Scoring!CX290</f>
        <v/>
      </c>
    </row>
    <row r="284" customFormat="false" ht="15.75" hidden="false" customHeight="false" outlineLevel="0" collapsed="false">
      <c r="A284" s="7" t="str">
        <f aca="false">Scoring!DA291</f>
        <v/>
      </c>
      <c r="B284" s="7" t="str">
        <f aca="false">Scoring!CZ291</f>
        <v/>
      </c>
      <c r="C284" s="7" t="n">
        <f aca="false">Scoring!C291</f>
        <v>0</v>
      </c>
      <c r="D284" s="191" t="str">
        <f aca="false">Scoring!CW291</f>
        <v/>
      </c>
      <c r="E284" s="7" t="str">
        <f aca="false">Scoring!BX291</f>
        <v/>
      </c>
      <c r="F284" s="7" t="n">
        <f aca="false">Scoring!B291</f>
        <v>0</v>
      </c>
      <c r="G284" s="7" t="n">
        <f aca="false">Scoring!D291</f>
        <v>0</v>
      </c>
      <c r="H284" s="7" t="str">
        <f aca="false">Scoring!CY291</f>
        <v/>
      </c>
      <c r="I284" s="192" t="str">
        <f aca="false">Scoring!CX291</f>
        <v/>
      </c>
    </row>
    <row r="285" customFormat="false" ht="15.75" hidden="false" customHeight="false" outlineLevel="0" collapsed="false">
      <c r="A285" s="7" t="str">
        <f aca="false">Scoring!DA292</f>
        <v/>
      </c>
      <c r="B285" s="7" t="str">
        <f aca="false">Scoring!CZ292</f>
        <v/>
      </c>
      <c r="C285" s="7" t="n">
        <f aca="false">Scoring!C292</f>
        <v>0</v>
      </c>
      <c r="D285" s="191" t="str">
        <f aca="false">Scoring!CW292</f>
        <v/>
      </c>
      <c r="E285" s="7" t="str">
        <f aca="false">Scoring!BX292</f>
        <v/>
      </c>
      <c r="F285" s="7" t="n">
        <f aca="false">Scoring!B292</f>
        <v>0</v>
      </c>
      <c r="G285" s="7" t="n">
        <f aca="false">Scoring!D292</f>
        <v>0</v>
      </c>
      <c r="H285" s="7" t="str">
        <f aca="false">Scoring!CY292</f>
        <v/>
      </c>
      <c r="I285" s="192" t="str">
        <f aca="false">Scoring!CX292</f>
        <v/>
      </c>
    </row>
    <row r="286" customFormat="false" ht="15.75" hidden="false" customHeight="false" outlineLevel="0" collapsed="false">
      <c r="A286" s="7" t="str">
        <f aca="false">Scoring!DA293</f>
        <v/>
      </c>
      <c r="B286" s="7" t="str">
        <f aca="false">Scoring!CZ293</f>
        <v/>
      </c>
      <c r="C286" s="7" t="n">
        <f aca="false">Scoring!C293</f>
        <v>0</v>
      </c>
      <c r="D286" s="191" t="str">
        <f aca="false">Scoring!CW293</f>
        <v/>
      </c>
      <c r="E286" s="7" t="str">
        <f aca="false">Scoring!BX293</f>
        <v/>
      </c>
      <c r="F286" s="7" t="n">
        <f aca="false">Scoring!B293</f>
        <v>0</v>
      </c>
      <c r="G286" s="7" t="n">
        <f aca="false">Scoring!D293</f>
        <v>0</v>
      </c>
      <c r="H286" s="7" t="str">
        <f aca="false">Scoring!CY293</f>
        <v/>
      </c>
      <c r="I286" s="192" t="str">
        <f aca="false">Scoring!CX293</f>
        <v/>
      </c>
    </row>
    <row r="287" customFormat="false" ht="15.75" hidden="false" customHeight="false" outlineLevel="0" collapsed="false">
      <c r="A287" s="7" t="str">
        <f aca="false">Scoring!DA294</f>
        <v/>
      </c>
      <c r="B287" s="7" t="str">
        <f aca="false">Scoring!CZ294</f>
        <v/>
      </c>
      <c r="C287" s="7" t="n">
        <f aca="false">Scoring!C294</f>
        <v>0</v>
      </c>
      <c r="D287" s="191" t="str">
        <f aca="false">Scoring!CW294</f>
        <v/>
      </c>
      <c r="E287" s="7" t="str">
        <f aca="false">Scoring!BX294</f>
        <v/>
      </c>
      <c r="F287" s="7" t="n">
        <f aca="false">Scoring!B294</f>
        <v>0</v>
      </c>
      <c r="G287" s="7" t="n">
        <f aca="false">Scoring!D294</f>
        <v>0</v>
      </c>
      <c r="H287" s="7" t="str">
        <f aca="false">Scoring!CY294</f>
        <v/>
      </c>
      <c r="I287" s="192" t="str">
        <f aca="false">Scoring!CX294</f>
        <v/>
      </c>
    </row>
    <row r="288" customFormat="false" ht="15.75" hidden="false" customHeight="false" outlineLevel="0" collapsed="false">
      <c r="A288" s="7" t="str">
        <f aca="false">Scoring!DA295</f>
        <v/>
      </c>
      <c r="B288" s="7" t="str">
        <f aca="false">Scoring!CZ295</f>
        <v/>
      </c>
      <c r="C288" s="7" t="n">
        <f aca="false">Scoring!C295</f>
        <v>0</v>
      </c>
      <c r="D288" s="191" t="str">
        <f aca="false">Scoring!CW295</f>
        <v/>
      </c>
      <c r="E288" s="7" t="str">
        <f aca="false">Scoring!BX295</f>
        <v/>
      </c>
      <c r="F288" s="7" t="n">
        <f aca="false">Scoring!B295</f>
        <v>0</v>
      </c>
      <c r="G288" s="7" t="n">
        <f aca="false">Scoring!D295</f>
        <v>0</v>
      </c>
      <c r="H288" s="7" t="str">
        <f aca="false">Scoring!CY295</f>
        <v/>
      </c>
      <c r="I288" s="192" t="str">
        <f aca="false">Scoring!CX295</f>
        <v/>
      </c>
    </row>
    <row r="289" customFormat="false" ht="15.75" hidden="false" customHeight="false" outlineLevel="0" collapsed="false">
      <c r="A289" s="7" t="str">
        <f aca="false">Scoring!DA296</f>
        <v/>
      </c>
      <c r="B289" s="7" t="str">
        <f aca="false">Scoring!CZ296</f>
        <v/>
      </c>
      <c r="C289" s="7" t="n">
        <f aca="false">Scoring!C296</f>
        <v>0</v>
      </c>
      <c r="D289" s="191" t="str">
        <f aca="false">Scoring!CW296</f>
        <v/>
      </c>
      <c r="E289" s="7" t="str">
        <f aca="false">Scoring!BX296</f>
        <v/>
      </c>
      <c r="F289" s="7" t="n">
        <f aca="false">Scoring!B296</f>
        <v>0</v>
      </c>
      <c r="G289" s="7" t="n">
        <f aca="false">Scoring!D296</f>
        <v>0</v>
      </c>
      <c r="H289" s="7" t="str">
        <f aca="false">Scoring!CY296</f>
        <v/>
      </c>
      <c r="I289" s="192" t="str">
        <f aca="false">Scoring!CX296</f>
        <v/>
      </c>
    </row>
    <row r="290" customFormat="false" ht="15.75" hidden="false" customHeight="false" outlineLevel="0" collapsed="false">
      <c r="A290" s="7" t="str">
        <f aca="false">Scoring!DA297</f>
        <v/>
      </c>
      <c r="B290" s="7" t="str">
        <f aca="false">Scoring!CZ297</f>
        <v/>
      </c>
      <c r="C290" s="7" t="n">
        <f aca="false">Scoring!C297</f>
        <v>0</v>
      </c>
      <c r="D290" s="191" t="str">
        <f aca="false">Scoring!CW297</f>
        <v/>
      </c>
      <c r="E290" s="7" t="str">
        <f aca="false">Scoring!BX297</f>
        <v/>
      </c>
      <c r="F290" s="7" t="n">
        <f aca="false">Scoring!B297</f>
        <v>0</v>
      </c>
      <c r="G290" s="7" t="n">
        <f aca="false">Scoring!D297</f>
        <v>0</v>
      </c>
      <c r="H290" s="7" t="str">
        <f aca="false">Scoring!CY297</f>
        <v/>
      </c>
      <c r="I290" s="192" t="str">
        <f aca="false">Scoring!CX297</f>
        <v/>
      </c>
    </row>
    <row r="291" customFormat="false" ht="15.75" hidden="false" customHeight="false" outlineLevel="0" collapsed="false">
      <c r="A291" s="7" t="str">
        <f aca="false">Scoring!DA298</f>
        <v/>
      </c>
      <c r="B291" s="7" t="str">
        <f aca="false">Scoring!CZ298</f>
        <v/>
      </c>
      <c r="C291" s="7" t="n">
        <f aca="false">Scoring!C298</f>
        <v>0</v>
      </c>
      <c r="D291" s="191" t="str">
        <f aca="false">Scoring!CW298</f>
        <v/>
      </c>
      <c r="E291" s="7" t="str">
        <f aca="false">Scoring!BX298</f>
        <v/>
      </c>
      <c r="F291" s="7" t="n">
        <f aca="false">Scoring!B298</f>
        <v>0</v>
      </c>
      <c r="G291" s="7" t="n">
        <f aca="false">Scoring!D298</f>
        <v>0</v>
      </c>
      <c r="H291" s="7" t="str">
        <f aca="false">Scoring!CY298</f>
        <v/>
      </c>
      <c r="I291" s="192" t="str">
        <f aca="false">Scoring!CX298</f>
        <v/>
      </c>
    </row>
    <row r="292" customFormat="false" ht="15.75" hidden="false" customHeight="false" outlineLevel="0" collapsed="false">
      <c r="A292" s="7" t="str">
        <f aca="false">Scoring!DA299</f>
        <v/>
      </c>
      <c r="B292" s="7" t="str">
        <f aca="false">Scoring!CZ299</f>
        <v/>
      </c>
      <c r="C292" s="7" t="n">
        <f aca="false">Scoring!C299</f>
        <v>0</v>
      </c>
      <c r="D292" s="191" t="str">
        <f aca="false">Scoring!CW299</f>
        <v/>
      </c>
      <c r="E292" s="7" t="str">
        <f aca="false">Scoring!BX299</f>
        <v/>
      </c>
      <c r="F292" s="7" t="n">
        <f aca="false">Scoring!B299</f>
        <v>0</v>
      </c>
      <c r="G292" s="7" t="n">
        <f aca="false">Scoring!D299</f>
        <v>0</v>
      </c>
      <c r="H292" s="7" t="str">
        <f aca="false">Scoring!CY299</f>
        <v/>
      </c>
      <c r="I292" s="192" t="str">
        <f aca="false">Scoring!CX299</f>
        <v/>
      </c>
    </row>
    <row r="293" customFormat="false" ht="15.75" hidden="false" customHeight="false" outlineLevel="0" collapsed="false">
      <c r="A293" s="7" t="str">
        <f aca="false">Scoring!DA300</f>
        <v/>
      </c>
      <c r="B293" s="7" t="str">
        <f aca="false">Scoring!CZ300</f>
        <v/>
      </c>
      <c r="C293" s="7" t="n">
        <f aca="false">Scoring!C300</f>
        <v>0</v>
      </c>
      <c r="D293" s="191" t="str">
        <f aca="false">Scoring!CW300</f>
        <v/>
      </c>
      <c r="E293" s="7" t="str">
        <f aca="false">Scoring!BX300</f>
        <v/>
      </c>
      <c r="F293" s="7" t="n">
        <f aca="false">Scoring!B300</f>
        <v>0</v>
      </c>
      <c r="G293" s="7" t="n">
        <f aca="false">Scoring!D300</f>
        <v>0</v>
      </c>
      <c r="H293" s="7" t="str">
        <f aca="false">Scoring!CY300</f>
        <v/>
      </c>
      <c r="I293" s="192" t="str">
        <f aca="false">Scoring!CX300</f>
        <v/>
      </c>
    </row>
    <row r="294" customFormat="false" ht="15.75" hidden="false" customHeight="false" outlineLevel="0" collapsed="false">
      <c r="A294" s="7" t="str">
        <f aca="false">Scoring!DA301</f>
        <v/>
      </c>
      <c r="B294" s="7" t="str">
        <f aca="false">Scoring!CZ301</f>
        <v/>
      </c>
      <c r="C294" s="7" t="n">
        <f aca="false">Scoring!C301</f>
        <v>0</v>
      </c>
      <c r="D294" s="191" t="str">
        <f aca="false">Scoring!CW301</f>
        <v/>
      </c>
      <c r="E294" s="7" t="str">
        <f aca="false">Scoring!BX301</f>
        <v/>
      </c>
      <c r="F294" s="7" t="n">
        <f aca="false">Scoring!B301</f>
        <v>0</v>
      </c>
      <c r="G294" s="7" t="n">
        <f aca="false">Scoring!D301</f>
        <v>0</v>
      </c>
      <c r="H294" s="7" t="str">
        <f aca="false">Scoring!CY301</f>
        <v/>
      </c>
      <c r="I294" s="192" t="str">
        <f aca="false">Scoring!CX301</f>
        <v/>
      </c>
    </row>
    <row r="295" customFormat="false" ht="15.75" hidden="false" customHeight="false" outlineLevel="0" collapsed="false">
      <c r="A295" s="7" t="str">
        <f aca="false">Scoring!DA302</f>
        <v/>
      </c>
      <c r="B295" s="7" t="str">
        <f aca="false">Scoring!CZ302</f>
        <v/>
      </c>
      <c r="C295" s="7" t="n">
        <f aca="false">Scoring!C302</f>
        <v>0</v>
      </c>
      <c r="D295" s="191" t="str">
        <f aca="false">Scoring!CW302</f>
        <v/>
      </c>
      <c r="E295" s="7" t="str">
        <f aca="false">Scoring!BX302</f>
        <v/>
      </c>
      <c r="F295" s="7" t="n">
        <f aca="false">Scoring!B302</f>
        <v>0</v>
      </c>
      <c r="G295" s="7" t="n">
        <f aca="false">Scoring!D302</f>
        <v>0</v>
      </c>
      <c r="H295" s="7" t="str">
        <f aca="false">Scoring!CY302</f>
        <v/>
      </c>
      <c r="I295" s="192" t="str">
        <f aca="false">Scoring!CX302</f>
        <v/>
      </c>
    </row>
    <row r="296" customFormat="false" ht="15.75" hidden="false" customHeight="false" outlineLevel="0" collapsed="false">
      <c r="A296" s="7" t="str">
        <f aca="false">Scoring!DA303</f>
        <v/>
      </c>
      <c r="B296" s="7" t="str">
        <f aca="false">Scoring!CZ303</f>
        <v/>
      </c>
      <c r="C296" s="7" t="n">
        <f aca="false">Scoring!C303</f>
        <v>0</v>
      </c>
      <c r="D296" s="191" t="str">
        <f aca="false">Scoring!CW303</f>
        <v/>
      </c>
      <c r="E296" s="7" t="str">
        <f aca="false">Scoring!BX303</f>
        <v/>
      </c>
      <c r="F296" s="7" t="n">
        <f aca="false">Scoring!B303</f>
        <v>0</v>
      </c>
      <c r="G296" s="7" t="n">
        <f aca="false">Scoring!D303</f>
        <v>0</v>
      </c>
      <c r="H296" s="7" t="str">
        <f aca="false">Scoring!CY303</f>
        <v/>
      </c>
      <c r="I296" s="192" t="str">
        <f aca="false">Scoring!CX303</f>
        <v/>
      </c>
    </row>
    <row r="297" customFormat="false" ht="15.75" hidden="false" customHeight="false" outlineLevel="0" collapsed="false">
      <c r="A297" s="7" t="str">
        <f aca="false">Scoring!DA304</f>
        <v/>
      </c>
      <c r="B297" s="7" t="str">
        <f aca="false">Scoring!CZ304</f>
        <v/>
      </c>
      <c r="C297" s="7" t="n">
        <f aca="false">Scoring!C304</f>
        <v>0</v>
      </c>
      <c r="D297" s="191" t="str">
        <f aca="false">Scoring!CW304</f>
        <v/>
      </c>
      <c r="E297" s="7" t="str">
        <f aca="false">Scoring!BX304</f>
        <v/>
      </c>
      <c r="F297" s="7" t="n">
        <f aca="false">Scoring!B304</f>
        <v>0</v>
      </c>
      <c r="G297" s="7" t="n">
        <f aca="false">Scoring!D304</f>
        <v>0</v>
      </c>
      <c r="H297" s="7" t="str">
        <f aca="false">Scoring!CY304</f>
        <v/>
      </c>
      <c r="I297" s="192" t="str">
        <f aca="false">Scoring!CX304</f>
        <v/>
      </c>
    </row>
    <row r="298" customFormat="false" ht="15.75" hidden="false" customHeight="false" outlineLevel="0" collapsed="false">
      <c r="A298" s="7" t="str">
        <f aca="false">Scoring!DA305</f>
        <v/>
      </c>
      <c r="B298" s="7" t="str">
        <f aca="false">Scoring!CZ305</f>
        <v/>
      </c>
      <c r="C298" s="7" t="n">
        <f aca="false">Scoring!C305</f>
        <v>0</v>
      </c>
      <c r="D298" s="191" t="str">
        <f aca="false">Scoring!CW305</f>
        <v/>
      </c>
      <c r="E298" s="7" t="str">
        <f aca="false">Scoring!BX305</f>
        <v/>
      </c>
      <c r="F298" s="7" t="n">
        <f aca="false">Scoring!B305</f>
        <v>0</v>
      </c>
      <c r="G298" s="7" t="n">
        <f aca="false">Scoring!D305</f>
        <v>0</v>
      </c>
      <c r="H298" s="7" t="str">
        <f aca="false">Scoring!CY305</f>
        <v/>
      </c>
      <c r="I298" s="192" t="str">
        <f aca="false">Scoring!CX305</f>
        <v/>
      </c>
    </row>
    <row r="299" customFormat="false" ht="15.75" hidden="false" customHeight="false" outlineLevel="0" collapsed="false">
      <c r="A299" s="7" t="str">
        <f aca="false">Scoring!DA306</f>
        <v/>
      </c>
      <c r="B299" s="7" t="str">
        <f aca="false">Scoring!CZ306</f>
        <v/>
      </c>
      <c r="C299" s="7" t="n">
        <f aca="false">Scoring!C306</f>
        <v>0</v>
      </c>
      <c r="D299" s="191" t="str">
        <f aca="false">Scoring!CW306</f>
        <v/>
      </c>
      <c r="E299" s="7" t="str">
        <f aca="false">Scoring!BX306</f>
        <v/>
      </c>
      <c r="F299" s="7" t="n">
        <f aca="false">Scoring!B306</f>
        <v>0</v>
      </c>
      <c r="G299" s="7" t="n">
        <f aca="false">Scoring!D306</f>
        <v>0</v>
      </c>
      <c r="H299" s="7" t="str">
        <f aca="false">Scoring!CY306</f>
        <v/>
      </c>
      <c r="I299" s="192" t="str">
        <f aca="false">Scoring!CX306</f>
        <v/>
      </c>
    </row>
    <row r="300" customFormat="false" ht="15.75" hidden="false" customHeight="false" outlineLevel="0" collapsed="false">
      <c r="A300" s="7" t="str">
        <f aca="false">Scoring!DA307</f>
        <v/>
      </c>
      <c r="B300" s="7" t="str">
        <f aca="false">Scoring!CZ307</f>
        <v/>
      </c>
      <c r="C300" s="7" t="n">
        <f aca="false">Scoring!C307</f>
        <v>0</v>
      </c>
      <c r="D300" s="191" t="str">
        <f aca="false">Scoring!CW307</f>
        <v/>
      </c>
      <c r="E300" s="7" t="str">
        <f aca="false">Scoring!BX307</f>
        <v/>
      </c>
      <c r="F300" s="7" t="n">
        <f aca="false">Scoring!B307</f>
        <v>0</v>
      </c>
      <c r="G300" s="7" t="n">
        <f aca="false">Scoring!D307</f>
        <v>0</v>
      </c>
      <c r="H300" s="7" t="str">
        <f aca="false">Scoring!CY307</f>
        <v/>
      </c>
      <c r="I300" s="192" t="str">
        <f aca="false">Scoring!CX307</f>
        <v/>
      </c>
    </row>
    <row r="301" customFormat="false" ht="15.75" hidden="false" customHeight="false" outlineLevel="0" collapsed="false">
      <c r="A301" s="7" t="str">
        <f aca="false">Scoring!DA308</f>
        <v/>
      </c>
      <c r="B301" s="7" t="str">
        <f aca="false">Scoring!CZ308</f>
        <v/>
      </c>
      <c r="C301" s="7" t="n">
        <f aca="false">Scoring!C308</f>
        <v>0</v>
      </c>
      <c r="D301" s="191" t="str">
        <f aca="false">Scoring!CW308</f>
        <v/>
      </c>
      <c r="E301" s="7" t="str">
        <f aca="false">Scoring!BX308</f>
        <v/>
      </c>
      <c r="F301" s="7" t="n">
        <f aca="false">Scoring!B308</f>
        <v>0</v>
      </c>
      <c r="G301" s="7" t="n">
        <f aca="false">Scoring!D308</f>
        <v>0</v>
      </c>
      <c r="H301" s="7" t="str">
        <f aca="false">Scoring!CY308</f>
        <v/>
      </c>
      <c r="I301" s="192" t="str">
        <f aca="false">Scoring!CX308</f>
        <v/>
      </c>
    </row>
    <row r="302" customFormat="false" ht="15.75" hidden="false" customHeight="false" outlineLevel="0" collapsed="false">
      <c r="A302" s="7" t="str">
        <f aca="false">Scoring!DA309</f>
        <v/>
      </c>
      <c r="B302" s="7" t="str">
        <f aca="false">Scoring!CZ309</f>
        <v/>
      </c>
      <c r="C302" s="7" t="n">
        <f aca="false">Scoring!C309</f>
        <v>0</v>
      </c>
      <c r="D302" s="191" t="str">
        <f aca="false">Scoring!CW309</f>
        <v/>
      </c>
      <c r="E302" s="7" t="str">
        <f aca="false">Scoring!BX309</f>
        <v/>
      </c>
      <c r="F302" s="7" t="n">
        <f aca="false">Scoring!B309</f>
        <v>0</v>
      </c>
      <c r="G302" s="7" t="n">
        <f aca="false">Scoring!D309</f>
        <v>0</v>
      </c>
      <c r="H302" s="7" t="str">
        <f aca="false">Scoring!CY309</f>
        <v/>
      </c>
      <c r="I302" s="192" t="str">
        <f aca="false">Scoring!CX309</f>
        <v/>
      </c>
    </row>
    <row r="303" customFormat="false" ht="15.75" hidden="false" customHeight="false" outlineLevel="0" collapsed="false">
      <c r="A303" s="7" t="str">
        <f aca="false">Scoring!DA310</f>
        <v/>
      </c>
      <c r="B303" s="7" t="str">
        <f aca="false">Scoring!CZ310</f>
        <v/>
      </c>
      <c r="C303" s="7" t="n">
        <f aca="false">Scoring!C310</f>
        <v>0</v>
      </c>
      <c r="D303" s="191" t="str">
        <f aca="false">Scoring!CW310</f>
        <v/>
      </c>
      <c r="E303" s="7" t="str">
        <f aca="false">Scoring!BX310</f>
        <v/>
      </c>
      <c r="F303" s="7" t="n">
        <f aca="false">Scoring!B310</f>
        <v>0</v>
      </c>
      <c r="G303" s="7" t="n">
        <f aca="false">Scoring!D310</f>
        <v>0</v>
      </c>
      <c r="H303" s="7" t="str">
        <f aca="false">Scoring!CY310</f>
        <v/>
      </c>
      <c r="I303" s="192" t="str">
        <f aca="false">Scoring!CX310</f>
        <v/>
      </c>
    </row>
    <row r="304" customFormat="false" ht="15.75" hidden="false" customHeight="false" outlineLevel="0" collapsed="false">
      <c r="A304" s="7" t="str">
        <f aca="false">Scoring!DA311</f>
        <v/>
      </c>
      <c r="B304" s="7" t="str">
        <f aca="false">Scoring!CZ311</f>
        <v/>
      </c>
      <c r="C304" s="7" t="n">
        <f aca="false">Scoring!C311</f>
        <v>0</v>
      </c>
      <c r="D304" s="191" t="str">
        <f aca="false">Scoring!CW311</f>
        <v/>
      </c>
      <c r="E304" s="7" t="str">
        <f aca="false">Scoring!BX311</f>
        <v/>
      </c>
      <c r="F304" s="7" t="n">
        <f aca="false">Scoring!B311</f>
        <v>0</v>
      </c>
      <c r="G304" s="7" t="n">
        <f aca="false">Scoring!D311</f>
        <v>0</v>
      </c>
      <c r="H304" s="7" t="str">
        <f aca="false">Scoring!CY311</f>
        <v/>
      </c>
      <c r="I304" s="192" t="str">
        <f aca="false">Scoring!CX311</f>
        <v/>
      </c>
    </row>
    <row r="305" customFormat="false" ht="15.75" hidden="false" customHeight="false" outlineLevel="0" collapsed="false">
      <c r="A305" s="7" t="str">
        <f aca="false">Scoring!DA312</f>
        <v/>
      </c>
      <c r="B305" s="7" t="str">
        <f aca="false">Scoring!CZ312</f>
        <v/>
      </c>
      <c r="C305" s="7" t="n">
        <f aca="false">Scoring!C312</f>
        <v>0</v>
      </c>
      <c r="D305" s="191" t="str">
        <f aca="false">Scoring!CW312</f>
        <v/>
      </c>
      <c r="E305" s="7" t="str">
        <f aca="false">Scoring!BX312</f>
        <v/>
      </c>
      <c r="F305" s="7" t="n">
        <f aca="false">Scoring!B312</f>
        <v>0</v>
      </c>
      <c r="G305" s="7" t="n">
        <f aca="false">Scoring!D312</f>
        <v>0</v>
      </c>
      <c r="H305" s="7" t="str">
        <f aca="false">Scoring!CY312</f>
        <v/>
      </c>
      <c r="I305" s="192" t="str">
        <f aca="false">Scoring!CX312</f>
        <v/>
      </c>
    </row>
    <row r="306" customFormat="false" ht="15.75" hidden="false" customHeight="false" outlineLevel="0" collapsed="false">
      <c r="A306" s="7" t="str">
        <f aca="false">Scoring!DA313</f>
        <v/>
      </c>
      <c r="B306" s="7" t="str">
        <f aca="false">Scoring!CZ313</f>
        <v/>
      </c>
      <c r="C306" s="7" t="n">
        <f aca="false">Scoring!C313</f>
        <v>0</v>
      </c>
      <c r="D306" s="191" t="str">
        <f aca="false">Scoring!CW313</f>
        <v/>
      </c>
      <c r="E306" s="7" t="str">
        <f aca="false">Scoring!BX313</f>
        <v/>
      </c>
      <c r="F306" s="7" t="n">
        <f aca="false">Scoring!B313</f>
        <v>0</v>
      </c>
      <c r="G306" s="7" t="n">
        <f aca="false">Scoring!D313</f>
        <v>0</v>
      </c>
      <c r="H306" s="7" t="str">
        <f aca="false">Scoring!CY313</f>
        <v/>
      </c>
      <c r="I306" s="192" t="str">
        <f aca="false">Scoring!CX313</f>
        <v/>
      </c>
    </row>
    <row r="307" customFormat="false" ht="15.75" hidden="false" customHeight="false" outlineLevel="0" collapsed="false">
      <c r="A307" s="7" t="str">
        <f aca="false">Scoring!DA314</f>
        <v/>
      </c>
      <c r="B307" s="7" t="str">
        <f aca="false">Scoring!CZ314</f>
        <v/>
      </c>
      <c r="C307" s="7" t="n">
        <f aca="false">Scoring!C314</f>
        <v>0</v>
      </c>
      <c r="D307" s="191" t="str">
        <f aca="false">Scoring!CW314</f>
        <v/>
      </c>
      <c r="E307" s="7" t="str">
        <f aca="false">Scoring!BX314</f>
        <v/>
      </c>
      <c r="F307" s="7" t="n">
        <f aca="false">Scoring!B314</f>
        <v>0</v>
      </c>
      <c r="G307" s="7" t="n">
        <f aca="false">Scoring!D314</f>
        <v>0</v>
      </c>
      <c r="H307" s="7" t="str">
        <f aca="false">Scoring!CY314</f>
        <v/>
      </c>
      <c r="I307" s="192" t="str">
        <f aca="false">Scoring!CX314</f>
        <v/>
      </c>
    </row>
    <row r="308" customFormat="false" ht="15.75" hidden="false" customHeight="false" outlineLevel="0" collapsed="false">
      <c r="A308" s="7" t="str">
        <f aca="false">Scoring!DA315</f>
        <v/>
      </c>
      <c r="B308" s="7" t="str">
        <f aca="false">Scoring!CZ315</f>
        <v/>
      </c>
      <c r="C308" s="7" t="n">
        <f aca="false">Scoring!C315</f>
        <v>0</v>
      </c>
      <c r="D308" s="191" t="str">
        <f aca="false">Scoring!CW315</f>
        <v/>
      </c>
      <c r="E308" s="7" t="str">
        <f aca="false">Scoring!BX315</f>
        <v/>
      </c>
      <c r="F308" s="7" t="n">
        <f aca="false">Scoring!B315</f>
        <v>0</v>
      </c>
      <c r="G308" s="7" t="n">
        <f aca="false">Scoring!D315</f>
        <v>0</v>
      </c>
      <c r="H308" s="7" t="str">
        <f aca="false">Scoring!CY315</f>
        <v/>
      </c>
      <c r="I308" s="192" t="str">
        <f aca="false">Scoring!CX315</f>
        <v/>
      </c>
    </row>
    <row r="309" customFormat="false" ht="15.75" hidden="false" customHeight="false" outlineLevel="0" collapsed="false">
      <c r="A309" s="7" t="str">
        <f aca="false">Scoring!DA316</f>
        <v/>
      </c>
      <c r="B309" s="7" t="str">
        <f aca="false">Scoring!CZ316</f>
        <v/>
      </c>
      <c r="C309" s="7" t="n">
        <f aca="false">Scoring!C316</f>
        <v>0</v>
      </c>
      <c r="D309" s="191" t="str">
        <f aca="false">Scoring!CW316</f>
        <v/>
      </c>
      <c r="E309" s="7" t="str">
        <f aca="false">Scoring!BX316</f>
        <v/>
      </c>
      <c r="F309" s="7" t="n">
        <f aca="false">Scoring!B316</f>
        <v>0</v>
      </c>
      <c r="G309" s="7" t="n">
        <f aca="false">Scoring!D316</f>
        <v>0</v>
      </c>
      <c r="H309" s="7" t="str">
        <f aca="false">Scoring!CY316</f>
        <v/>
      </c>
      <c r="I309" s="192" t="str">
        <f aca="false">Scoring!CX316</f>
        <v/>
      </c>
    </row>
    <row r="310" customFormat="false" ht="15.75" hidden="false" customHeight="false" outlineLevel="0" collapsed="false">
      <c r="A310" s="7" t="str">
        <f aca="false">Scoring!DA317</f>
        <v/>
      </c>
      <c r="B310" s="7" t="str">
        <f aca="false">Scoring!CZ317</f>
        <v/>
      </c>
      <c r="C310" s="7" t="n">
        <f aca="false">Scoring!C317</f>
        <v>0</v>
      </c>
      <c r="D310" s="191" t="str">
        <f aca="false">Scoring!CW317</f>
        <v/>
      </c>
      <c r="E310" s="7" t="str">
        <f aca="false">Scoring!BX317</f>
        <v/>
      </c>
      <c r="F310" s="7" t="n">
        <f aca="false">Scoring!B317</f>
        <v>0</v>
      </c>
      <c r="G310" s="7" t="n">
        <f aca="false">Scoring!D317</f>
        <v>0</v>
      </c>
      <c r="H310" s="7" t="str">
        <f aca="false">Scoring!CY317</f>
        <v/>
      </c>
      <c r="I310" s="192" t="str">
        <f aca="false">Scoring!CX317</f>
        <v/>
      </c>
    </row>
    <row r="311" customFormat="false" ht="15.75" hidden="false" customHeight="false" outlineLevel="0" collapsed="false">
      <c r="A311" s="7" t="str">
        <f aca="false">Scoring!DA318</f>
        <v/>
      </c>
      <c r="B311" s="7" t="str">
        <f aca="false">Scoring!CZ318</f>
        <v/>
      </c>
      <c r="C311" s="7" t="n">
        <f aca="false">Scoring!C318</f>
        <v>0</v>
      </c>
      <c r="D311" s="191" t="str">
        <f aca="false">Scoring!CW318</f>
        <v/>
      </c>
      <c r="E311" s="7" t="str">
        <f aca="false">Scoring!BX318</f>
        <v/>
      </c>
      <c r="F311" s="7" t="n">
        <f aca="false">Scoring!B318</f>
        <v>0</v>
      </c>
      <c r="G311" s="7" t="n">
        <f aca="false">Scoring!D318</f>
        <v>0</v>
      </c>
      <c r="H311" s="7" t="str">
        <f aca="false">Scoring!CY318</f>
        <v/>
      </c>
      <c r="I311" s="192" t="str">
        <f aca="false">Scoring!CX318</f>
        <v/>
      </c>
    </row>
    <row r="312" customFormat="false" ht="15.75" hidden="false" customHeight="false" outlineLevel="0" collapsed="false">
      <c r="A312" s="7" t="str">
        <f aca="false">Scoring!DA319</f>
        <v/>
      </c>
      <c r="B312" s="7" t="str">
        <f aca="false">Scoring!CZ319</f>
        <v/>
      </c>
      <c r="C312" s="7" t="n">
        <f aca="false">Scoring!C319</f>
        <v>0</v>
      </c>
      <c r="D312" s="191" t="str">
        <f aca="false">Scoring!CW319</f>
        <v/>
      </c>
      <c r="E312" s="7" t="str">
        <f aca="false">Scoring!BX319</f>
        <v/>
      </c>
      <c r="F312" s="7" t="n">
        <f aca="false">Scoring!B319</f>
        <v>0</v>
      </c>
      <c r="G312" s="7" t="n">
        <f aca="false">Scoring!D319</f>
        <v>0</v>
      </c>
      <c r="H312" s="7" t="str">
        <f aca="false">Scoring!CY319</f>
        <v/>
      </c>
      <c r="I312" s="192" t="str">
        <f aca="false">Scoring!CX319</f>
        <v/>
      </c>
    </row>
    <row r="313" customFormat="false" ht="15.75" hidden="false" customHeight="false" outlineLevel="0" collapsed="false">
      <c r="A313" s="7" t="str">
        <f aca="false">Scoring!DA320</f>
        <v/>
      </c>
      <c r="B313" s="7" t="str">
        <f aca="false">Scoring!CZ320</f>
        <v/>
      </c>
      <c r="C313" s="7" t="n">
        <f aca="false">Scoring!C320</f>
        <v>0</v>
      </c>
      <c r="D313" s="191" t="str">
        <f aca="false">Scoring!CW320</f>
        <v/>
      </c>
      <c r="E313" s="7" t="str">
        <f aca="false">Scoring!BX320</f>
        <v/>
      </c>
      <c r="F313" s="7" t="n">
        <f aca="false">Scoring!B320</f>
        <v>0</v>
      </c>
      <c r="G313" s="7" t="n">
        <f aca="false">Scoring!D320</f>
        <v>0</v>
      </c>
      <c r="H313" s="7" t="str">
        <f aca="false">Scoring!CY320</f>
        <v/>
      </c>
      <c r="I313" s="192" t="str">
        <f aca="false">Scoring!CX320</f>
        <v/>
      </c>
    </row>
    <row r="314" customFormat="false" ht="15.75" hidden="false" customHeight="false" outlineLevel="0" collapsed="false">
      <c r="A314" s="7" t="str">
        <f aca="false">Scoring!DA321</f>
        <v/>
      </c>
      <c r="B314" s="7" t="str">
        <f aca="false">Scoring!CZ321</f>
        <v/>
      </c>
      <c r="C314" s="7" t="n">
        <f aca="false">Scoring!C321</f>
        <v>0</v>
      </c>
      <c r="D314" s="191" t="str">
        <f aca="false">Scoring!CW321</f>
        <v/>
      </c>
      <c r="E314" s="7" t="str">
        <f aca="false">Scoring!BX321</f>
        <v/>
      </c>
      <c r="F314" s="7" t="n">
        <f aca="false">Scoring!B321</f>
        <v>0</v>
      </c>
      <c r="G314" s="7" t="n">
        <f aca="false">Scoring!D321</f>
        <v>0</v>
      </c>
      <c r="H314" s="7" t="str">
        <f aca="false">Scoring!CY321</f>
        <v/>
      </c>
      <c r="I314" s="192" t="str">
        <f aca="false">Scoring!CX321</f>
        <v/>
      </c>
    </row>
    <row r="315" customFormat="false" ht="15.75" hidden="false" customHeight="false" outlineLevel="0" collapsed="false">
      <c r="A315" s="7" t="str">
        <f aca="false">Scoring!DA322</f>
        <v/>
      </c>
      <c r="B315" s="7" t="str">
        <f aca="false">Scoring!CZ322</f>
        <v/>
      </c>
      <c r="C315" s="7" t="n">
        <f aca="false">Scoring!C322</f>
        <v>0</v>
      </c>
      <c r="D315" s="191" t="str">
        <f aca="false">Scoring!CW322</f>
        <v/>
      </c>
      <c r="E315" s="7" t="str">
        <f aca="false">Scoring!BX322</f>
        <v/>
      </c>
      <c r="F315" s="7" t="n">
        <f aca="false">Scoring!B322</f>
        <v>0</v>
      </c>
      <c r="G315" s="7" t="n">
        <f aca="false">Scoring!D322</f>
        <v>0</v>
      </c>
      <c r="H315" s="7" t="str">
        <f aca="false">Scoring!CY322</f>
        <v/>
      </c>
      <c r="I315" s="192" t="str">
        <f aca="false">Scoring!CX322</f>
        <v/>
      </c>
    </row>
    <row r="316" customFormat="false" ht="15.75" hidden="false" customHeight="false" outlineLevel="0" collapsed="false">
      <c r="A316" s="7" t="str">
        <f aca="false">Scoring!DA323</f>
        <v/>
      </c>
      <c r="B316" s="7" t="str">
        <f aca="false">Scoring!CZ323</f>
        <v/>
      </c>
      <c r="C316" s="7" t="n">
        <f aca="false">Scoring!C323</f>
        <v>0</v>
      </c>
      <c r="D316" s="191" t="str">
        <f aca="false">Scoring!CW323</f>
        <v/>
      </c>
      <c r="E316" s="7" t="str">
        <f aca="false">Scoring!BX323</f>
        <v/>
      </c>
      <c r="F316" s="7" t="n">
        <f aca="false">Scoring!B323</f>
        <v>0</v>
      </c>
      <c r="G316" s="7" t="n">
        <f aca="false">Scoring!D323</f>
        <v>0</v>
      </c>
      <c r="H316" s="7" t="str">
        <f aca="false">Scoring!CY323</f>
        <v/>
      </c>
      <c r="I316" s="192" t="str">
        <f aca="false">Scoring!CX323</f>
        <v/>
      </c>
    </row>
    <row r="317" customFormat="false" ht="15.75" hidden="false" customHeight="false" outlineLevel="0" collapsed="false">
      <c r="A317" s="7" t="str">
        <f aca="false">Scoring!DA324</f>
        <v/>
      </c>
      <c r="B317" s="7" t="str">
        <f aca="false">Scoring!CZ324</f>
        <v/>
      </c>
      <c r="C317" s="7" t="n">
        <f aca="false">Scoring!C324</f>
        <v>0</v>
      </c>
      <c r="D317" s="191" t="str">
        <f aca="false">Scoring!CW324</f>
        <v/>
      </c>
      <c r="E317" s="7" t="str">
        <f aca="false">Scoring!BX324</f>
        <v/>
      </c>
      <c r="F317" s="7" t="n">
        <f aca="false">Scoring!B324</f>
        <v>0</v>
      </c>
      <c r="G317" s="7" t="n">
        <f aca="false">Scoring!D324</f>
        <v>0</v>
      </c>
      <c r="H317" s="7" t="str">
        <f aca="false">Scoring!CY324</f>
        <v/>
      </c>
      <c r="I317" s="192" t="str">
        <f aca="false">Scoring!CX324</f>
        <v/>
      </c>
    </row>
    <row r="318" customFormat="false" ht="15.75" hidden="false" customHeight="false" outlineLevel="0" collapsed="false">
      <c r="A318" s="7" t="str">
        <f aca="false">Scoring!DA325</f>
        <v/>
      </c>
      <c r="B318" s="7" t="str">
        <f aca="false">Scoring!CZ325</f>
        <v/>
      </c>
      <c r="C318" s="7" t="n">
        <f aca="false">Scoring!C325</f>
        <v>0</v>
      </c>
      <c r="D318" s="191" t="str">
        <f aca="false">Scoring!CW325</f>
        <v/>
      </c>
      <c r="E318" s="7" t="str">
        <f aca="false">Scoring!BX325</f>
        <v/>
      </c>
      <c r="F318" s="7" t="n">
        <f aca="false">Scoring!B325</f>
        <v>0</v>
      </c>
      <c r="G318" s="7" t="n">
        <f aca="false">Scoring!D325</f>
        <v>0</v>
      </c>
      <c r="H318" s="7" t="str">
        <f aca="false">Scoring!CY325</f>
        <v/>
      </c>
      <c r="I318" s="192" t="str">
        <f aca="false">Scoring!CX325</f>
        <v/>
      </c>
    </row>
    <row r="319" customFormat="false" ht="15.75" hidden="false" customHeight="false" outlineLevel="0" collapsed="false">
      <c r="A319" s="7" t="str">
        <f aca="false">Scoring!DA326</f>
        <v/>
      </c>
      <c r="B319" s="7" t="str">
        <f aca="false">Scoring!CZ326</f>
        <v/>
      </c>
      <c r="C319" s="7" t="n">
        <f aca="false">Scoring!C326</f>
        <v>0</v>
      </c>
      <c r="D319" s="191" t="str">
        <f aca="false">Scoring!CW326</f>
        <v/>
      </c>
      <c r="E319" s="7" t="str">
        <f aca="false">Scoring!BX326</f>
        <v/>
      </c>
      <c r="F319" s="7" t="n">
        <f aca="false">Scoring!B326</f>
        <v>0</v>
      </c>
      <c r="G319" s="7" t="n">
        <f aca="false">Scoring!D326</f>
        <v>0</v>
      </c>
      <c r="H319" s="7" t="str">
        <f aca="false">Scoring!CY326</f>
        <v/>
      </c>
      <c r="I319" s="192" t="str">
        <f aca="false">Scoring!CX326</f>
        <v/>
      </c>
    </row>
    <row r="320" customFormat="false" ht="15.75" hidden="false" customHeight="false" outlineLevel="0" collapsed="false">
      <c r="A320" s="7" t="str">
        <f aca="false">Scoring!DA327</f>
        <v/>
      </c>
      <c r="B320" s="7" t="str">
        <f aca="false">Scoring!CZ327</f>
        <v/>
      </c>
      <c r="C320" s="7" t="n">
        <f aca="false">Scoring!C327</f>
        <v>0</v>
      </c>
      <c r="D320" s="191" t="str">
        <f aca="false">Scoring!CW327</f>
        <v/>
      </c>
      <c r="E320" s="7" t="str">
        <f aca="false">Scoring!BX327</f>
        <v/>
      </c>
      <c r="F320" s="7" t="n">
        <f aca="false">Scoring!B327</f>
        <v>0</v>
      </c>
      <c r="G320" s="7" t="n">
        <f aca="false">Scoring!D327</f>
        <v>0</v>
      </c>
      <c r="H320" s="7" t="str">
        <f aca="false">Scoring!CY327</f>
        <v/>
      </c>
      <c r="I320" s="192" t="str">
        <f aca="false">Scoring!CX327</f>
        <v/>
      </c>
    </row>
    <row r="321" customFormat="false" ht="15.75" hidden="false" customHeight="false" outlineLevel="0" collapsed="false">
      <c r="A321" s="7" t="str">
        <f aca="false">Scoring!DA328</f>
        <v/>
      </c>
      <c r="B321" s="7" t="str">
        <f aca="false">Scoring!CZ328</f>
        <v/>
      </c>
      <c r="C321" s="7" t="n">
        <f aca="false">Scoring!C328</f>
        <v>0</v>
      </c>
      <c r="D321" s="191" t="str">
        <f aca="false">Scoring!CW328</f>
        <v/>
      </c>
      <c r="E321" s="7" t="str">
        <f aca="false">Scoring!BX328</f>
        <v/>
      </c>
      <c r="F321" s="7" t="n">
        <f aca="false">Scoring!B328</f>
        <v>0</v>
      </c>
      <c r="G321" s="7" t="n">
        <f aca="false">Scoring!D328</f>
        <v>0</v>
      </c>
      <c r="H321" s="7" t="str">
        <f aca="false">Scoring!CY328</f>
        <v/>
      </c>
      <c r="I321" s="192" t="str">
        <f aca="false">Scoring!CX328</f>
        <v/>
      </c>
    </row>
    <row r="322" customFormat="false" ht="15.75" hidden="false" customHeight="false" outlineLevel="0" collapsed="false">
      <c r="A322" s="7" t="str">
        <f aca="false">Scoring!DA329</f>
        <v/>
      </c>
      <c r="B322" s="7" t="str">
        <f aca="false">Scoring!CZ329</f>
        <v/>
      </c>
      <c r="C322" s="7" t="n">
        <f aca="false">Scoring!C329</f>
        <v>0</v>
      </c>
      <c r="D322" s="191" t="str">
        <f aca="false">Scoring!CW329</f>
        <v/>
      </c>
      <c r="E322" s="7" t="str">
        <f aca="false">Scoring!BX329</f>
        <v/>
      </c>
      <c r="F322" s="7" t="n">
        <f aca="false">Scoring!B329</f>
        <v>0</v>
      </c>
      <c r="G322" s="7" t="n">
        <f aca="false">Scoring!D329</f>
        <v>0</v>
      </c>
      <c r="H322" s="7" t="str">
        <f aca="false">Scoring!CY329</f>
        <v/>
      </c>
      <c r="I322" s="192" t="str">
        <f aca="false">Scoring!CX329</f>
        <v/>
      </c>
    </row>
    <row r="323" customFormat="false" ht="15.75" hidden="false" customHeight="false" outlineLevel="0" collapsed="false">
      <c r="A323" s="7" t="str">
        <f aca="false">Scoring!DA330</f>
        <v/>
      </c>
      <c r="B323" s="7" t="str">
        <f aca="false">Scoring!CZ330</f>
        <v/>
      </c>
      <c r="C323" s="7" t="n">
        <f aca="false">Scoring!C330</f>
        <v>0</v>
      </c>
      <c r="D323" s="191" t="str">
        <f aca="false">Scoring!CW330</f>
        <v/>
      </c>
      <c r="E323" s="7" t="str">
        <f aca="false">Scoring!BX330</f>
        <v/>
      </c>
      <c r="F323" s="7" t="n">
        <f aca="false">Scoring!B330</f>
        <v>0</v>
      </c>
      <c r="G323" s="7" t="n">
        <f aca="false">Scoring!D330</f>
        <v>0</v>
      </c>
      <c r="H323" s="7" t="str">
        <f aca="false">Scoring!CY330</f>
        <v/>
      </c>
      <c r="I323" s="192" t="str">
        <f aca="false">Scoring!CX330</f>
        <v/>
      </c>
    </row>
    <row r="324" customFormat="false" ht="15.75" hidden="false" customHeight="false" outlineLevel="0" collapsed="false">
      <c r="A324" s="7" t="str">
        <f aca="false">Scoring!DA331</f>
        <v/>
      </c>
      <c r="B324" s="7" t="str">
        <f aca="false">Scoring!CZ331</f>
        <v/>
      </c>
      <c r="C324" s="7" t="n">
        <f aca="false">Scoring!C331</f>
        <v>0</v>
      </c>
      <c r="D324" s="191" t="str">
        <f aca="false">Scoring!CW331</f>
        <v/>
      </c>
      <c r="E324" s="7" t="str">
        <f aca="false">Scoring!BX331</f>
        <v/>
      </c>
      <c r="F324" s="7" t="n">
        <f aca="false">Scoring!B331</f>
        <v>0</v>
      </c>
      <c r="G324" s="7" t="n">
        <f aca="false">Scoring!D331</f>
        <v>0</v>
      </c>
      <c r="H324" s="7" t="str">
        <f aca="false">Scoring!CY331</f>
        <v/>
      </c>
      <c r="I324" s="192" t="str">
        <f aca="false">Scoring!CX331</f>
        <v/>
      </c>
    </row>
    <row r="325" customFormat="false" ht="15.75" hidden="false" customHeight="false" outlineLevel="0" collapsed="false">
      <c r="A325" s="7" t="str">
        <f aca="false">Scoring!DA332</f>
        <v/>
      </c>
      <c r="B325" s="7" t="str">
        <f aca="false">Scoring!CZ332</f>
        <v/>
      </c>
      <c r="C325" s="7" t="n">
        <f aca="false">Scoring!C332</f>
        <v>0</v>
      </c>
      <c r="D325" s="191" t="str">
        <f aca="false">Scoring!CW332</f>
        <v/>
      </c>
      <c r="E325" s="7" t="str">
        <f aca="false">Scoring!BX332</f>
        <v/>
      </c>
      <c r="F325" s="7" t="n">
        <f aca="false">Scoring!B332</f>
        <v>0</v>
      </c>
      <c r="G325" s="7" t="n">
        <f aca="false">Scoring!D332</f>
        <v>0</v>
      </c>
      <c r="H325" s="7" t="str">
        <f aca="false">Scoring!CY332</f>
        <v/>
      </c>
      <c r="I325" s="192" t="str">
        <f aca="false">Scoring!CX332</f>
        <v/>
      </c>
    </row>
    <row r="326" customFormat="false" ht="15.75" hidden="false" customHeight="false" outlineLevel="0" collapsed="false">
      <c r="A326" s="7" t="str">
        <f aca="false">Scoring!DA333</f>
        <v/>
      </c>
      <c r="B326" s="7" t="str">
        <f aca="false">Scoring!CZ333</f>
        <v/>
      </c>
      <c r="C326" s="7" t="n">
        <f aca="false">Scoring!C333</f>
        <v>0</v>
      </c>
      <c r="D326" s="191" t="str">
        <f aca="false">Scoring!CW333</f>
        <v/>
      </c>
      <c r="E326" s="7" t="str">
        <f aca="false">Scoring!BX333</f>
        <v/>
      </c>
      <c r="F326" s="7" t="n">
        <f aca="false">Scoring!B333</f>
        <v>0</v>
      </c>
      <c r="G326" s="7" t="n">
        <f aca="false">Scoring!D333</f>
        <v>0</v>
      </c>
      <c r="H326" s="7" t="str">
        <f aca="false">Scoring!CY333</f>
        <v/>
      </c>
      <c r="I326" s="192" t="str">
        <f aca="false">Scoring!CX333</f>
        <v/>
      </c>
    </row>
    <row r="327" customFormat="false" ht="15.75" hidden="false" customHeight="false" outlineLevel="0" collapsed="false">
      <c r="A327" s="7" t="str">
        <f aca="false">Scoring!DA334</f>
        <v/>
      </c>
      <c r="B327" s="7" t="str">
        <f aca="false">Scoring!CZ334</f>
        <v/>
      </c>
      <c r="C327" s="7" t="n">
        <f aca="false">Scoring!C334</f>
        <v>0</v>
      </c>
      <c r="D327" s="191" t="str">
        <f aca="false">Scoring!CW334</f>
        <v/>
      </c>
      <c r="E327" s="7" t="str">
        <f aca="false">Scoring!BX334</f>
        <v/>
      </c>
      <c r="F327" s="7" t="n">
        <f aca="false">Scoring!B334</f>
        <v>0</v>
      </c>
      <c r="G327" s="7" t="n">
        <f aca="false">Scoring!D334</f>
        <v>0</v>
      </c>
      <c r="H327" s="7" t="str">
        <f aca="false">Scoring!CY334</f>
        <v/>
      </c>
      <c r="I327" s="192" t="str">
        <f aca="false">Scoring!CX334</f>
        <v/>
      </c>
    </row>
    <row r="328" customFormat="false" ht="15.75" hidden="false" customHeight="false" outlineLevel="0" collapsed="false">
      <c r="A328" s="7" t="str">
        <f aca="false">Scoring!DA335</f>
        <v/>
      </c>
      <c r="B328" s="7" t="str">
        <f aca="false">Scoring!CZ335</f>
        <v/>
      </c>
      <c r="C328" s="7" t="n">
        <f aca="false">Scoring!C335</f>
        <v>0</v>
      </c>
      <c r="D328" s="191" t="str">
        <f aca="false">Scoring!CW335</f>
        <v/>
      </c>
      <c r="E328" s="7" t="str">
        <f aca="false">Scoring!BX335</f>
        <v/>
      </c>
      <c r="F328" s="7" t="n">
        <f aca="false">Scoring!B335</f>
        <v>0</v>
      </c>
      <c r="G328" s="7" t="n">
        <f aca="false">Scoring!D335</f>
        <v>0</v>
      </c>
      <c r="H328" s="7" t="str">
        <f aca="false">Scoring!CY335</f>
        <v/>
      </c>
      <c r="I328" s="192" t="str">
        <f aca="false">Scoring!CX335</f>
        <v/>
      </c>
    </row>
    <row r="329" customFormat="false" ht="15.75" hidden="false" customHeight="false" outlineLevel="0" collapsed="false">
      <c r="A329" s="7" t="str">
        <f aca="false">Scoring!DA336</f>
        <v/>
      </c>
      <c r="B329" s="7" t="str">
        <f aca="false">Scoring!CZ336</f>
        <v/>
      </c>
      <c r="C329" s="7" t="n">
        <f aca="false">Scoring!C336</f>
        <v>0</v>
      </c>
      <c r="D329" s="191" t="str">
        <f aca="false">Scoring!CW336</f>
        <v/>
      </c>
      <c r="E329" s="7" t="str">
        <f aca="false">Scoring!BX336</f>
        <v/>
      </c>
      <c r="F329" s="7" t="n">
        <f aca="false">Scoring!B336</f>
        <v>0</v>
      </c>
      <c r="G329" s="7" t="n">
        <f aca="false">Scoring!D336</f>
        <v>0</v>
      </c>
      <c r="H329" s="7" t="str">
        <f aca="false">Scoring!CY336</f>
        <v/>
      </c>
      <c r="I329" s="192" t="str">
        <f aca="false">Scoring!CX336</f>
        <v/>
      </c>
    </row>
    <row r="330" customFormat="false" ht="15.75" hidden="false" customHeight="false" outlineLevel="0" collapsed="false">
      <c r="A330" s="7" t="str">
        <f aca="false">Scoring!DA337</f>
        <v/>
      </c>
      <c r="B330" s="7" t="str">
        <f aca="false">Scoring!CZ337</f>
        <v/>
      </c>
      <c r="C330" s="7" t="n">
        <f aca="false">Scoring!C337</f>
        <v>0</v>
      </c>
      <c r="D330" s="191" t="str">
        <f aca="false">Scoring!CW337</f>
        <v/>
      </c>
      <c r="E330" s="7" t="str">
        <f aca="false">Scoring!BX337</f>
        <v/>
      </c>
      <c r="F330" s="7" t="n">
        <f aca="false">Scoring!B337</f>
        <v>0</v>
      </c>
      <c r="G330" s="7" t="n">
        <f aca="false">Scoring!D337</f>
        <v>0</v>
      </c>
      <c r="H330" s="7" t="str">
        <f aca="false">Scoring!CY337</f>
        <v/>
      </c>
      <c r="I330" s="192" t="str">
        <f aca="false">Scoring!CX337</f>
        <v/>
      </c>
    </row>
    <row r="331" customFormat="false" ht="15.75" hidden="false" customHeight="false" outlineLevel="0" collapsed="false">
      <c r="A331" s="7" t="str">
        <f aca="false">Scoring!DA338</f>
        <v/>
      </c>
      <c r="B331" s="7" t="str">
        <f aca="false">Scoring!CZ338</f>
        <v/>
      </c>
      <c r="C331" s="7" t="n">
        <f aca="false">Scoring!C338</f>
        <v>0</v>
      </c>
      <c r="D331" s="191" t="str">
        <f aca="false">Scoring!CW338</f>
        <v/>
      </c>
      <c r="E331" s="7" t="str">
        <f aca="false">Scoring!BX338</f>
        <v/>
      </c>
      <c r="F331" s="7" t="n">
        <f aca="false">Scoring!B338</f>
        <v>0</v>
      </c>
      <c r="G331" s="7" t="n">
        <f aca="false">Scoring!D338</f>
        <v>0</v>
      </c>
      <c r="H331" s="7" t="str">
        <f aca="false">Scoring!CY338</f>
        <v/>
      </c>
      <c r="I331" s="192" t="str">
        <f aca="false">Scoring!CX338</f>
        <v/>
      </c>
    </row>
    <row r="332" customFormat="false" ht="15.75" hidden="false" customHeight="false" outlineLevel="0" collapsed="false">
      <c r="A332" s="7" t="str">
        <f aca="false">Scoring!DA339</f>
        <v/>
      </c>
      <c r="B332" s="7" t="str">
        <f aca="false">Scoring!CZ339</f>
        <v/>
      </c>
      <c r="C332" s="7" t="n">
        <f aca="false">Scoring!C339</f>
        <v>0</v>
      </c>
      <c r="D332" s="191" t="str">
        <f aca="false">Scoring!CW339</f>
        <v/>
      </c>
      <c r="E332" s="7" t="str">
        <f aca="false">Scoring!BX339</f>
        <v/>
      </c>
      <c r="F332" s="7" t="n">
        <f aca="false">Scoring!B339</f>
        <v>0</v>
      </c>
      <c r="G332" s="7" t="n">
        <f aca="false">Scoring!D339</f>
        <v>0</v>
      </c>
      <c r="H332" s="7" t="str">
        <f aca="false">Scoring!CY339</f>
        <v/>
      </c>
      <c r="I332" s="192" t="str">
        <f aca="false">Scoring!CX339</f>
        <v/>
      </c>
    </row>
    <row r="333" customFormat="false" ht="15.75" hidden="false" customHeight="false" outlineLevel="0" collapsed="false">
      <c r="A333" s="7" t="str">
        <f aca="false">Scoring!DA340</f>
        <v/>
      </c>
      <c r="B333" s="7" t="str">
        <f aca="false">Scoring!CZ340</f>
        <v/>
      </c>
      <c r="C333" s="7" t="n">
        <f aca="false">Scoring!C340</f>
        <v>0</v>
      </c>
      <c r="D333" s="191" t="str">
        <f aca="false">Scoring!CW340</f>
        <v/>
      </c>
      <c r="E333" s="7" t="str">
        <f aca="false">Scoring!BX340</f>
        <v/>
      </c>
      <c r="F333" s="7" t="n">
        <f aca="false">Scoring!B340</f>
        <v>0</v>
      </c>
      <c r="G333" s="7" t="n">
        <f aca="false">Scoring!D340</f>
        <v>0</v>
      </c>
      <c r="H333" s="7" t="str">
        <f aca="false">Scoring!CY340</f>
        <v/>
      </c>
      <c r="I333" s="192" t="str">
        <f aca="false">Scoring!CX340</f>
        <v/>
      </c>
    </row>
    <row r="334" customFormat="false" ht="15.75" hidden="false" customHeight="false" outlineLevel="0" collapsed="false">
      <c r="A334" s="7" t="str">
        <f aca="false">Scoring!DA341</f>
        <v/>
      </c>
      <c r="B334" s="7" t="str">
        <f aca="false">Scoring!CZ341</f>
        <v/>
      </c>
      <c r="C334" s="7" t="n">
        <f aca="false">Scoring!C341</f>
        <v>0</v>
      </c>
      <c r="D334" s="191" t="str">
        <f aca="false">Scoring!CW341</f>
        <v/>
      </c>
      <c r="E334" s="7" t="str">
        <f aca="false">Scoring!BX341</f>
        <v/>
      </c>
      <c r="F334" s="7" t="n">
        <f aca="false">Scoring!B341</f>
        <v>0</v>
      </c>
      <c r="G334" s="7" t="n">
        <f aca="false">Scoring!D341</f>
        <v>0</v>
      </c>
      <c r="H334" s="7" t="str">
        <f aca="false">Scoring!CY341</f>
        <v/>
      </c>
      <c r="I334" s="192" t="str">
        <f aca="false">Scoring!CX341</f>
        <v/>
      </c>
    </row>
    <row r="335" customFormat="false" ht="15.75" hidden="false" customHeight="false" outlineLevel="0" collapsed="false">
      <c r="A335" s="7" t="str">
        <f aca="false">Scoring!DA342</f>
        <v/>
      </c>
      <c r="B335" s="7" t="str">
        <f aca="false">Scoring!CZ342</f>
        <v/>
      </c>
      <c r="C335" s="7" t="n">
        <f aca="false">Scoring!C342</f>
        <v>0</v>
      </c>
      <c r="D335" s="191" t="str">
        <f aca="false">Scoring!CW342</f>
        <v/>
      </c>
      <c r="E335" s="7" t="str">
        <f aca="false">Scoring!BX342</f>
        <v/>
      </c>
      <c r="F335" s="7" t="n">
        <f aca="false">Scoring!B342</f>
        <v>0</v>
      </c>
      <c r="G335" s="7" t="n">
        <f aca="false">Scoring!D342</f>
        <v>0</v>
      </c>
      <c r="H335" s="7" t="str">
        <f aca="false">Scoring!CY342</f>
        <v/>
      </c>
      <c r="I335" s="192" t="str">
        <f aca="false">Scoring!CX342</f>
        <v/>
      </c>
    </row>
    <row r="336" customFormat="false" ht="15.75" hidden="false" customHeight="false" outlineLevel="0" collapsed="false">
      <c r="A336" s="7" t="str">
        <f aca="false">Scoring!DA343</f>
        <v/>
      </c>
      <c r="B336" s="7" t="str">
        <f aca="false">Scoring!CZ343</f>
        <v/>
      </c>
      <c r="C336" s="7" t="n">
        <f aca="false">Scoring!C343</f>
        <v>0</v>
      </c>
      <c r="D336" s="191" t="str">
        <f aca="false">Scoring!CW343</f>
        <v/>
      </c>
      <c r="E336" s="7" t="str">
        <f aca="false">Scoring!BX343</f>
        <v/>
      </c>
      <c r="F336" s="7" t="n">
        <f aca="false">Scoring!B343</f>
        <v>0</v>
      </c>
      <c r="G336" s="7" t="n">
        <f aca="false">Scoring!D343</f>
        <v>0</v>
      </c>
      <c r="H336" s="7" t="str">
        <f aca="false">Scoring!CY343</f>
        <v/>
      </c>
      <c r="I336" s="192" t="str">
        <f aca="false">Scoring!CX343</f>
        <v/>
      </c>
    </row>
    <row r="337" customFormat="false" ht="15.75" hidden="false" customHeight="false" outlineLevel="0" collapsed="false">
      <c r="A337" s="7" t="str">
        <f aca="false">Scoring!DA344</f>
        <v/>
      </c>
      <c r="B337" s="7" t="str">
        <f aca="false">Scoring!CZ344</f>
        <v/>
      </c>
      <c r="C337" s="7" t="n">
        <f aca="false">Scoring!C344</f>
        <v>0</v>
      </c>
      <c r="D337" s="191" t="str">
        <f aca="false">Scoring!CW344</f>
        <v/>
      </c>
      <c r="E337" s="7" t="str">
        <f aca="false">Scoring!BX344</f>
        <v/>
      </c>
      <c r="F337" s="7" t="n">
        <f aca="false">Scoring!B344</f>
        <v>0</v>
      </c>
      <c r="G337" s="7" t="n">
        <f aca="false">Scoring!D344</f>
        <v>0</v>
      </c>
      <c r="H337" s="7" t="str">
        <f aca="false">Scoring!CY344</f>
        <v/>
      </c>
      <c r="I337" s="192" t="str">
        <f aca="false">Scoring!CX344</f>
        <v/>
      </c>
    </row>
    <row r="338" customFormat="false" ht="15.75" hidden="false" customHeight="false" outlineLevel="0" collapsed="false">
      <c r="A338" s="7" t="str">
        <f aca="false">Scoring!DA345</f>
        <v/>
      </c>
      <c r="B338" s="7" t="str">
        <f aca="false">Scoring!CZ345</f>
        <v/>
      </c>
      <c r="C338" s="7" t="n">
        <f aca="false">Scoring!C345</f>
        <v>0</v>
      </c>
      <c r="D338" s="191" t="str">
        <f aca="false">Scoring!CW345</f>
        <v/>
      </c>
      <c r="E338" s="7" t="str">
        <f aca="false">Scoring!BX345</f>
        <v/>
      </c>
      <c r="F338" s="7" t="n">
        <f aca="false">Scoring!B345</f>
        <v>0</v>
      </c>
      <c r="G338" s="7" t="n">
        <f aca="false">Scoring!D345</f>
        <v>0</v>
      </c>
      <c r="H338" s="7" t="str">
        <f aca="false">Scoring!CY345</f>
        <v/>
      </c>
      <c r="I338" s="192" t="str">
        <f aca="false">Scoring!CX345</f>
        <v/>
      </c>
    </row>
    <row r="339" customFormat="false" ht="15.75" hidden="false" customHeight="false" outlineLevel="0" collapsed="false">
      <c r="A339" s="7" t="str">
        <f aca="false">Scoring!DA346</f>
        <v/>
      </c>
      <c r="B339" s="7" t="str">
        <f aca="false">Scoring!CZ346</f>
        <v/>
      </c>
      <c r="C339" s="7" t="n">
        <f aca="false">Scoring!C346</f>
        <v>0</v>
      </c>
      <c r="D339" s="191" t="str">
        <f aca="false">Scoring!CW346</f>
        <v/>
      </c>
      <c r="E339" s="7" t="str">
        <f aca="false">Scoring!BX346</f>
        <v/>
      </c>
      <c r="F339" s="7" t="n">
        <f aca="false">Scoring!B346</f>
        <v>0</v>
      </c>
      <c r="G339" s="7" t="n">
        <f aca="false">Scoring!D346</f>
        <v>0</v>
      </c>
      <c r="H339" s="7" t="str">
        <f aca="false">Scoring!CY346</f>
        <v/>
      </c>
      <c r="I339" s="192" t="str">
        <f aca="false">Scoring!CX346</f>
        <v/>
      </c>
    </row>
    <row r="340" customFormat="false" ht="15.75" hidden="false" customHeight="false" outlineLevel="0" collapsed="false">
      <c r="A340" s="7" t="str">
        <f aca="false">Scoring!DA347</f>
        <v/>
      </c>
      <c r="B340" s="7" t="str">
        <f aca="false">Scoring!CZ347</f>
        <v/>
      </c>
      <c r="C340" s="7" t="n">
        <f aca="false">Scoring!C347</f>
        <v>0</v>
      </c>
      <c r="D340" s="191" t="str">
        <f aca="false">Scoring!CW347</f>
        <v/>
      </c>
      <c r="E340" s="7" t="str">
        <f aca="false">Scoring!BX347</f>
        <v/>
      </c>
      <c r="F340" s="7" t="n">
        <f aca="false">Scoring!B347</f>
        <v>0</v>
      </c>
      <c r="G340" s="7" t="n">
        <f aca="false">Scoring!D347</f>
        <v>0</v>
      </c>
      <c r="H340" s="7" t="str">
        <f aca="false">Scoring!CY347</f>
        <v/>
      </c>
      <c r="I340" s="192" t="str">
        <f aca="false">Scoring!CX347</f>
        <v/>
      </c>
    </row>
    <row r="341" customFormat="false" ht="15.75" hidden="false" customHeight="false" outlineLevel="0" collapsed="false">
      <c r="A341" s="7" t="str">
        <f aca="false">Scoring!DA348</f>
        <v/>
      </c>
      <c r="B341" s="7" t="str">
        <f aca="false">Scoring!CZ348</f>
        <v/>
      </c>
      <c r="C341" s="7" t="n">
        <f aca="false">Scoring!C348</f>
        <v>0</v>
      </c>
      <c r="D341" s="191" t="str">
        <f aca="false">Scoring!CW348</f>
        <v/>
      </c>
      <c r="E341" s="7" t="str">
        <f aca="false">Scoring!BX348</f>
        <v/>
      </c>
      <c r="F341" s="7" t="n">
        <f aca="false">Scoring!B348</f>
        <v>0</v>
      </c>
      <c r="G341" s="7" t="n">
        <f aca="false">Scoring!D348</f>
        <v>0</v>
      </c>
      <c r="H341" s="7" t="str">
        <f aca="false">Scoring!CY348</f>
        <v/>
      </c>
      <c r="I341" s="192" t="str">
        <f aca="false">Scoring!CX348</f>
        <v/>
      </c>
    </row>
    <row r="342" customFormat="false" ht="15.75" hidden="false" customHeight="false" outlineLevel="0" collapsed="false">
      <c r="A342" s="7" t="str">
        <f aca="false">Scoring!DA349</f>
        <v/>
      </c>
      <c r="B342" s="7" t="str">
        <f aca="false">Scoring!CZ349</f>
        <v/>
      </c>
      <c r="C342" s="7" t="n">
        <f aca="false">Scoring!C349</f>
        <v>0</v>
      </c>
      <c r="D342" s="191" t="str">
        <f aca="false">Scoring!CW349</f>
        <v/>
      </c>
      <c r="E342" s="7" t="str">
        <f aca="false">Scoring!BX349</f>
        <v/>
      </c>
      <c r="F342" s="7" t="n">
        <f aca="false">Scoring!B349</f>
        <v>0</v>
      </c>
      <c r="G342" s="7" t="n">
        <f aca="false">Scoring!D349</f>
        <v>0</v>
      </c>
      <c r="H342" s="7" t="str">
        <f aca="false">Scoring!CY349</f>
        <v/>
      </c>
      <c r="I342" s="192" t="str">
        <f aca="false">Scoring!CX349</f>
        <v/>
      </c>
    </row>
    <row r="343" customFormat="false" ht="15.75" hidden="false" customHeight="false" outlineLevel="0" collapsed="false">
      <c r="A343" s="7" t="str">
        <f aca="false">Scoring!DA350</f>
        <v/>
      </c>
      <c r="B343" s="7" t="str">
        <f aca="false">Scoring!CZ350</f>
        <v/>
      </c>
      <c r="C343" s="7" t="n">
        <f aca="false">Scoring!C350</f>
        <v>0</v>
      </c>
      <c r="D343" s="191" t="str">
        <f aca="false">Scoring!CW350</f>
        <v/>
      </c>
      <c r="E343" s="7" t="str">
        <f aca="false">Scoring!BX350</f>
        <v/>
      </c>
      <c r="F343" s="7" t="n">
        <f aca="false">Scoring!B350</f>
        <v>0</v>
      </c>
      <c r="G343" s="7" t="n">
        <f aca="false">Scoring!D350</f>
        <v>0</v>
      </c>
      <c r="H343" s="7" t="str">
        <f aca="false">Scoring!CY350</f>
        <v/>
      </c>
      <c r="I343" s="192" t="str">
        <f aca="false">Scoring!CX350</f>
        <v/>
      </c>
    </row>
    <row r="344" customFormat="false" ht="15.75" hidden="false" customHeight="false" outlineLevel="0" collapsed="false">
      <c r="A344" s="7" t="str">
        <f aca="false">Scoring!DA351</f>
        <v/>
      </c>
      <c r="B344" s="7" t="str">
        <f aca="false">Scoring!CZ351</f>
        <v/>
      </c>
      <c r="C344" s="7" t="n">
        <f aca="false">Scoring!C351</f>
        <v>0</v>
      </c>
      <c r="D344" s="191" t="str">
        <f aca="false">Scoring!CW351</f>
        <v/>
      </c>
      <c r="E344" s="7" t="str">
        <f aca="false">Scoring!BX351</f>
        <v/>
      </c>
      <c r="F344" s="7" t="n">
        <f aca="false">Scoring!B351</f>
        <v>0</v>
      </c>
      <c r="G344" s="7" t="n">
        <f aca="false">Scoring!D351</f>
        <v>0</v>
      </c>
      <c r="H344" s="7" t="str">
        <f aca="false">Scoring!CY351</f>
        <v/>
      </c>
      <c r="I344" s="192" t="str">
        <f aca="false">Scoring!CX351</f>
        <v/>
      </c>
    </row>
    <row r="345" customFormat="false" ht="15.75" hidden="false" customHeight="false" outlineLevel="0" collapsed="false">
      <c r="A345" s="7" t="str">
        <f aca="false">Scoring!DA352</f>
        <v/>
      </c>
      <c r="B345" s="7" t="str">
        <f aca="false">Scoring!CZ352</f>
        <v/>
      </c>
      <c r="C345" s="7" t="n">
        <f aca="false">Scoring!C352</f>
        <v>0</v>
      </c>
      <c r="D345" s="191" t="str">
        <f aca="false">Scoring!CW352</f>
        <v/>
      </c>
      <c r="E345" s="7" t="str">
        <f aca="false">Scoring!BX352</f>
        <v/>
      </c>
      <c r="F345" s="7" t="n">
        <f aca="false">Scoring!B352</f>
        <v>0</v>
      </c>
      <c r="G345" s="7" t="n">
        <f aca="false">Scoring!D352</f>
        <v>0</v>
      </c>
      <c r="H345" s="7" t="str">
        <f aca="false">Scoring!CY352</f>
        <v/>
      </c>
      <c r="I345" s="192" t="str">
        <f aca="false">Scoring!CX352</f>
        <v/>
      </c>
    </row>
    <row r="346" customFormat="false" ht="15.75" hidden="false" customHeight="false" outlineLevel="0" collapsed="false">
      <c r="A346" s="7" t="str">
        <f aca="false">Scoring!DA353</f>
        <v/>
      </c>
      <c r="B346" s="7" t="str">
        <f aca="false">Scoring!CZ353</f>
        <v/>
      </c>
      <c r="C346" s="7" t="n">
        <f aca="false">Scoring!C353</f>
        <v>0</v>
      </c>
      <c r="D346" s="191" t="str">
        <f aca="false">Scoring!CW353</f>
        <v/>
      </c>
      <c r="E346" s="7" t="str">
        <f aca="false">Scoring!BX353</f>
        <v/>
      </c>
      <c r="F346" s="7" t="n">
        <f aca="false">Scoring!B353</f>
        <v>0</v>
      </c>
      <c r="G346" s="7" t="n">
        <f aca="false">Scoring!D353</f>
        <v>0</v>
      </c>
      <c r="H346" s="7" t="str">
        <f aca="false">Scoring!CY353</f>
        <v/>
      </c>
      <c r="I346" s="192" t="str">
        <f aca="false">Scoring!CX353</f>
        <v/>
      </c>
    </row>
    <row r="347" customFormat="false" ht="15.75" hidden="false" customHeight="false" outlineLevel="0" collapsed="false">
      <c r="A347" s="7" t="str">
        <f aca="false">Scoring!DA354</f>
        <v/>
      </c>
      <c r="B347" s="7" t="str">
        <f aca="false">Scoring!CZ354</f>
        <v/>
      </c>
      <c r="C347" s="7" t="n">
        <f aca="false">Scoring!C354</f>
        <v>0</v>
      </c>
      <c r="D347" s="191" t="str">
        <f aca="false">Scoring!CW354</f>
        <v/>
      </c>
      <c r="E347" s="7" t="str">
        <f aca="false">Scoring!BX354</f>
        <v/>
      </c>
      <c r="F347" s="7" t="n">
        <f aca="false">Scoring!B354</f>
        <v>0</v>
      </c>
      <c r="G347" s="7" t="n">
        <f aca="false">Scoring!D354</f>
        <v>0</v>
      </c>
      <c r="H347" s="7" t="str">
        <f aca="false">Scoring!CY354</f>
        <v/>
      </c>
      <c r="I347" s="192" t="str">
        <f aca="false">Scoring!CX354</f>
        <v/>
      </c>
    </row>
    <row r="348" customFormat="false" ht="15.75" hidden="false" customHeight="false" outlineLevel="0" collapsed="false">
      <c r="A348" s="7" t="str">
        <f aca="false">Scoring!DA355</f>
        <v/>
      </c>
      <c r="B348" s="7" t="str">
        <f aca="false">Scoring!CZ355</f>
        <v/>
      </c>
      <c r="C348" s="7" t="n">
        <f aca="false">Scoring!C355</f>
        <v>0</v>
      </c>
      <c r="D348" s="191" t="str">
        <f aca="false">Scoring!CW355</f>
        <v/>
      </c>
      <c r="E348" s="7" t="str">
        <f aca="false">Scoring!BX355</f>
        <v/>
      </c>
      <c r="F348" s="7" t="n">
        <f aca="false">Scoring!B355</f>
        <v>0</v>
      </c>
      <c r="G348" s="7" t="n">
        <f aca="false">Scoring!D355</f>
        <v>0</v>
      </c>
      <c r="H348" s="7" t="str">
        <f aca="false">Scoring!CY355</f>
        <v/>
      </c>
      <c r="I348" s="192" t="str">
        <f aca="false">Scoring!CX355</f>
        <v/>
      </c>
    </row>
    <row r="349" customFormat="false" ht="15.75" hidden="false" customHeight="false" outlineLevel="0" collapsed="false">
      <c r="A349" s="7" t="str">
        <f aca="false">Scoring!DA356</f>
        <v/>
      </c>
      <c r="B349" s="7" t="str">
        <f aca="false">Scoring!CZ356</f>
        <v/>
      </c>
      <c r="C349" s="7" t="n">
        <f aca="false">Scoring!C356</f>
        <v>0</v>
      </c>
      <c r="D349" s="191" t="str">
        <f aca="false">Scoring!CW356</f>
        <v/>
      </c>
      <c r="E349" s="7" t="str">
        <f aca="false">Scoring!BX356</f>
        <v/>
      </c>
      <c r="F349" s="7" t="n">
        <f aca="false">Scoring!B356</f>
        <v>0</v>
      </c>
      <c r="G349" s="7" t="n">
        <f aca="false">Scoring!D356</f>
        <v>0</v>
      </c>
      <c r="H349" s="7" t="str">
        <f aca="false">Scoring!CY356</f>
        <v/>
      </c>
      <c r="I349" s="192" t="str">
        <f aca="false">Scoring!CX356</f>
        <v/>
      </c>
    </row>
    <row r="350" customFormat="false" ht="15.75" hidden="false" customHeight="false" outlineLevel="0" collapsed="false">
      <c r="A350" s="7" t="str">
        <f aca="false">Scoring!DA357</f>
        <v/>
      </c>
      <c r="B350" s="7" t="str">
        <f aca="false">Scoring!CZ357</f>
        <v/>
      </c>
      <c r="C350" s="7" t="n">
        <f aca="false">Scoring!C357</f>
        <v>0</v>
      </c>
      <c r="D350" s="191" t="str">
        <f aca="false">Scoring!CW357</f>
        <v/>
      </c>
      <c r="E350" s="7" t="str">
        <f aca="false">Scoring!BX357</f>
        <v/>
      </c>
      <c r="F350" s="7" t="n">
        <f aca="false">Scoring!B357</f>
        <v>0</v>
      </c>
      <c r="G350" s="7" t="n">
        <f aca="false">Scoring!D357</f>
        <v>0</v>
      </c>
      <c r="H350" s="7" t="str">
        <f aca="false">Scoring!CY357</f>
        <v/>
      </c>
      <c r="I350" s="192" t="str">
        <f aca="false">Scoring!CX357</f>
        <v/>
      </c>
    </row>
    <row r="351" customFormat="false" ht="15.75" hidden="false" customHeight="false" outlineLevel="0" collapsed="false">
      <c r="A351" s="7" t="str">
        <f aca="false">Scoring!DA358</f>
        <v/>
      </c>
      <c r="B351" s="7" t="str">
        <f aca="false">Scoring!CZ358</f>
        <v/>
      </c>
      <c r="C351" s="7" t="n">
        <f aca="false">Scoring!C358</f>
        <v>0</v>
      </c>
      <c r="D351" s="191" t="str">
        <f aca="false">Scoring!CW358</f>
        <v/>
      </c>
      <c r="E351" s="7" t="str">
        <f aca="false">Scoring!BX358</f>
        <v/>
      </c>
      <c r="F351" s="7" t="n">
        <f aca="false">Scoring!B358</f>
        <v>0</v>
      </c>
      <c r="G351" s="7" t="n">
        <f aca="false">Scoring!D358</f>
        <v>0</v>
      </c>
      <c r="H351" s="7" t="str">
        <f aca="false">Scoring!CY358</f>
        <v/>
      </c>
      <c r="I351" s="192" t="str">
        <f aca="false">Scoring!CX358</f>
        <v/>
      </c>
    </row>
    <row r="352" customFormat="false" ht="15.75" hidden="false" customHeight="false" outlineLevel="0" collapsed="false">
      <c r="A352" s="7" t="str">
        <f aca="false">Scoring!DA359</f>
        <v/>
      </c>
      <c r="B352" s="7" t="str">
        <f aca="false">Scoring!CZ359</f>
        <v/>
      </c>
      <c r="C352" s="7" t="n">
        <f aca="false">Scoring!C359</f>
        <v>0</v>
      </c>
      <c r="D352" s="191" t="str">
        <f aca="false">Scoring!CW359</f>
        <v/>
      </c>
      <c r="E352" s="7" t="str">
        <f aca="false">Scoring!BX359</f>
        <v/>
      </c>
      <c r="F352" s="7" t="n">
        <f aca="false">Scoring!B359</f>
        <v>0</v>
      </c>
      <c r="G352" s="7" t="n">
        <f aca="false">Scoring!D359</f>
        <v>0</v>
      </c>
      <c r="H352" s="7" t="str">
        <f aca="false">Scoring!CY359</f>
        <v/>
      </c>
      <c r="I352" s="192" t="str">
        <f aca="false">Scoring!CX359</f>
        <v/>
      </c>
    </row>
    <row r="353" customFormat="false" ht="15.75" hidden="false" customHeight="false" outlineLevel="0" collapsed="false">
      <c r="A353" s="7" t="str">
        <f aca="false">Scoring!DA360</f>
        <v/>
      </c>
      <c r="B353" s="7" t="str">
        <f aca="false">Scoring!CZ360</f>
        <v/>
      </c>
      <c r="C353" s="7" t="n">
        <f aca="false">Scoring!C360</f>
        <v>0</v>
      </c>
      <c r="D353" s="191" t="str">
        <f aca="false">Scoring!CW360</f>
        <v/>
      </c>
      <c r="E353" s="7" t="str">
        <f aca="false">Scoring!BX360</f>
        <v/>
      </c>
      <c r="F353" s="7" t="n">
        <f aca="false">Scoring!B360</f>
        <v>0</v>
      </c>
      <c r="G353" s="7" t="n">
        <f aca="false">Scoring!D360</f>
        <v>0</v>
      </c>
      <c r="H353" s="7" t="str">
        <f aca="false">Scoring!CY360</f>
        <v/>
      </c>
      <c r="I353" s="192" t="str">
        <f aca="false">Scoring!CX360</f>
        <v/>
      </c>
    </row>
    <row r="354" customFormat="false" ht="15.75" hidden="false" customHeight="false" outlineLevel="0" collapsed="false">
      <c r="A354" s="7" t="str">
        <f aca="false">Scoring!DA361</f>
        <v/>
      </c>
      <c r="B354" s="7" t="str">
        <f aca="false">Scoring!CZ361</f>
        <v/>
      </c>
      <c r="C354" s="7" t="n">
        <f aca="false">Scoring!C361</f>
        <v>0</v>
      </c>
      <c r="D354" s="191" t="str">
        <f aca="false">Scoring!CW361</f>
        <v/>
      </c>
      <c r="E354" s="7" t="str">
        <f aca="false">Scoring!BX361</f>
        <v/>
      </c>
      <c r="F354" s="7" t="n">
        <f aca="false">Scoring!B361</f>
        <v>0</v>
      </c>
      <c r="G354" s="7" t="n">
        <f aca="false">Scoring!D361</f>
        <v>0</v>
      </c>
      <c r="H354" s="7" t="str">
        <f aca="false">Scoring!CY361</f>
        <v/>
      </c>
      <c r="I354" s="192" t="str">
        <f aca="false">Scoring!CX361</f>
        <v/>
      </c>
    </row>
    <row r="355" customFormat="false" ht="15.75" hidden="false" customHeight="false" outlineLevel="0" collapsed="false">
      <c r="A355" s="7" t="str">
        <f aca="false">Scoring!DA362</f>
        <v/>
      </c>
      <c r="B355" s="7" t="str">
        <f aca="false">Scoring!CZ362</f>
        <v/>
      </c>
      <c r="C355" s="7" t="n">
        <f aca="false">Scoring!C362</f>
        <v>0</v>
      </c>
      <c r="D355" s="191" t="str">
        <f aca="false">Scoring!CW362</f>
        <v/>
      </c>
      <c r="E355" s="7" t="str">
        <f aca="false">Scoring!BX362</f>
        <v/>
      </c>
      <c r="F355" s="7" t="n">
        <f aca="false">Scoring!B362</f>
        <v>0</v>
      </c>
      <c r="G355" s="7" t="n">
        <f aca="false">Scoring!D362</f>
        <v>0</v>
      </c>
      <c r="H355" s="7" t="str">
        <f aca="false">Scoring!CY362</f>
        <v/>
      </c>
      <c r="I355" s="192" t="str">
        <f aca="false">Scoring!CX362</f>
        <v/>
      </c>
    </row>
    <row r="356" customFormat="false" ht="15.75" hidden="false" customHeight="false" outlineLevel="0" collapsed="false">
      <c r="A356" s="7" t="str">
        <f aca="false">Scoring!DA363</f>
        <v/>
      </c>
      <c r="B356" s="7" t="str">
        <f aca="false">Scoring!CZ363</f>
        <v/>
      </c>
      <c r="C356" s="7" t="n">
        <f aca="false">Scoring!C363</f>
        <v>0</v>
      </c>
      <c r="D356" s="191" t="str">
        <f aca="false">Scoring!CW363</f>
        <v/>
      </c>
      <c r="E356" s="7" t="str">
        <f aca="false">Scoring!BX363</f>
        <v/>
      </c>
      <c r="F356" s="7" t="n">
        <f aca="false">Scoring!B363</f>
        <v>0</v>
      </c>
      <c r="G356" s="7" t="n">
        <f aca="false">Scoring!D363</f>
        <v>0</v>
      </c>
      <c r="H356" s="7" t="str">
        <f aca="false">Scoring!CY363</f>
        <v/>
      </c>
      <c r="I356" s="192" t="str">
        <f aca="false">Scoring!CX363</f>
        <v/>
      </c>
    </row>
    <row r="357" customFormat="false" ht="15.75" hidden="false" customHeight="false" outlineLevel="0" collapsed="false">
      <c r="A357" s="7" t="str">
        <f aca="false">Scoring!DA364</f>
        <v/>
      </c>
      <c r="B357" s="7" t="str">
        <f aca="false">Scoring!CZ364</f>
        <v/>
      </c>
      <c r="C357" s="7" t="n">
        <f aca="false">Scoring!C364</f>
        <v>0</v>
      </c>
      <c r="D357" s="191" t="str">
        <f aca="false">Scoring!CW364</f>
        <v/>
      </c>
      <c r="E357" s="7" t="str">
        <f aca="false">Scoring!BX364</f>
        <v/>
      </c>
      <c r="F357" s="7" t="n">
        <f aca="false">Scoring!B364</f>
        <v>0</v>
      </c>
      <c r="G357" s="7" t="n">
        <f aca="false">Scoring!D364</f>
        <v>0</v>
      </c>
      <c r="H357" s="7" t="str">
        <f aca="false">Scoring!CY364</f>
        <v/>
      </c>
      <c r="I357" s="192" t="str">
        <f aca="false">Scoring!CX364</f>
        <v/>
      </c>
    </row>
    <row r="358" customFormat="false" ht="15.75" hidden="false" customHeight="false" outlineLevel="0" collapsed="false">
      <c r="A358" s="7" t="str">
        <f aca="false">Scoring!DA365</f>
        <v/>
      </c>
      <c r="B358" s="7" t="str">
        <f aca="false">Scoring!CZ365</f>
        <v/>
      </c>
      <c r="C358" s="7" t="n">
        <f aca="false">Scoring!C365</f>
        <v>0</v>
      </c>
      <c r="D358" s="191" t="str">
        <f aca="false">Scoring!CW365</f>
        <v/>
      </c>
      <c r="E358" s="7" t="str">
        <f aca="false">Scoring!BX365</f>
        <v/>
      </c>
      <c r="F358" s="7" t="n">
        <f aca="false">Scoring!B365</f>
        <v>0</v>
      </c>
      <c r="G358" s="7" t="n">
        <f aca="false">Scoring!D365</f>
        <v>0</v>
      </c>
      <c r="H358" s="7" t="str">
        <f aca="false">Scoring!CY365</f>
        <v/>
      </c>
      <c r="I358" s="192" t="str">
        <f aca="false">Scoring!CX365</f>
        <v/>
      </c>
    </row>
    <row r="359" customFormat="false" ht="15.75" hidden="false" customHeight="false" outlineLevel="0" collapsed="false">
      <c r="A359" s="7" t="str">
        <f aca="false">Scoring!DA366</f>
        <v/>
      </c>
      <c r="B359" s="7" t="str">
        <f aca="false">Scoring!CZ366</f>
        <v/>
      </c>
      <c r="C359" s="7" t="n">
        <f aca="false">Scoring!C366</f>
        <v>0</v>
      </c>
      <c r="D359" s="191" t="str">
        <f aca="false">Scoring!CW366</f>
        <v/>
      </c>
      <c r="E359" s="7" t="str">
        <f aca="false">Scoring!BX366</f>
        <v/>
      </c>
      <c r="F359" s="7" t="n">
        <f aca="false">Scoring!B366</f>
        <v>0</v>
      </c>
      <c r="G359" s="7" t="n">
        <f aca="false">Scoring!D366</f>
        <v>0</v>
      </c>
      <c r="H359" s="7" t="str">
        <f aca="false">Scoring!CY366</f>
        <v/>
      </c>
      <c r="I359" s="192" t="str">
        <f aca="false">Scoring!CX366</f>
        <v/>
      </c>
    </row>
    <row r="360" customFormat="false" ht="15.75" hidden="false" customHeight="false" outlineLevel="0" collapsed="false">
      <c r="A360" s="7" t="str">
        <f aca="false">Scoring!DA367</f>
        <v/>
      </c>
      <c r="B360" s="7" t="str">
        <f aca="false">Scoring!CZ367</f>
        <v/>
      </c>
      <c r="C360" s="7" t="n">
        <f aca="false">Scoring!C367</f>
        <v>0</v>
      </c>
      <c r="D360" s="191" t="str">
        <f aca="false">Scoring!CW367</f>
        <v/>
      </c>
      <c r="E360" s="7" t="str">
        <f aca="false">Scoring!BX367</f>
        <v/>
      </c>
      <c r="F360" s="7" t="n">
        <f aca="false">Scoring!B367</f>
        <v>0</v>
      </c>
      <c r="G360" s="7" t="n">
        <f aca="false">Scoring!D367</f>
        <v>0</v>
      </c>
      <c r="H360" s="7" t="str">
        <f aca="false">Scoring!CY367</f>
        <v/>
      </c>
      <c r="I360" s="192" t="str">
        <f aca="false">Scoring!CX367</f>
        <v/>
      </c>
    </row>
    <row r="361" customFormat="false" ht="15.75" hidden="false" customHeight="false" outlineLevel="0" collapsed="false">
      <c r="A361" s="7" t="str">
        <f aca="false">Scoring!DA368</f>
        <v/>
      </c>
      <c r="B361" s="7" t="str">
        <f aca="false">Scoring!CZ368</f>
        <v/>
      </c>
      <c r="C361" s="7" t="n">
        <f aca="false">Scoring!C368</f>
        <v>0</v>
      </c>
      <c r="D361" s="191" t="str">
        <f aca="false">Scoring!CW368</f>
        <v/>
      </c>
      <c r="E361" s="7" t="str">
        <f aca="false">Scoring!BX368</f>
        <v/>
      </c>
      <c r="F361" s="7" t="n">
        <f aca="false">Scoring!B368</f>
        <v>0</v>
      </c>
      <c r="G361" s="7" t="n">
        <f aca="false">Scoring!D368</f>
        <v>0</v>
      </c>
      <c r="H361" s="7" t="str">
        <f aca="false">Scoring!CY368</f>
        <v/>
      </c>
      <c r="I361" s="192" t="str">
        <f aca="false">Scoring!CX368</f>
        <v/>
      </c>
    </row>
    <row r="362" customFormat="false" ht="15.75" hidden="false" customHeight="false" outlineLevel="0" collapsed="false">
      <c r="A362" s="7" t="str">
        <f aca="false">Scoring!DA369</f>
        <v/>
      </c>
      <c r="B362" s="7" t="str">
        <f aca="false">Scoring!CZ369</f>
        <v/>
      </c>
      <c r="C362" s="7" t="n">
        <f aca="false">Scoring!C369</f>
        <v>0</v>
      </c>
      <c r="D362" s="191" t="str">
        <f aca="false">Scoring!CW369</f>
        <v/>
      </c>
      <c r="E362" s="7" t="str">
        <f aca="false">Scoring!BX369</f>
        <v/>
      </c>
      <c r="F362" s="7" t="n">
        <f aca="false">Scoring!B369</f>
        <v>0</v>
      </c>
      <c r="G362" s="7" t="n">
        <f aca="false">Scoring!D369</f>
        <v>0</v>
      </c>
      <c r="H362" s="7" t="str">
        <f aca="false">Scoring!CY369</f>
        <v/>
      </c>
      <c r="I362" s="192" t="str">
        <f aca="false">Scoring!CX369</f>
        <v/>
      </c>
    </row>
    <row r="363" customFormat="false" ht="15.75" hidden="false" customHeight="false" outlineLevel="0" collapsed="false">
      <c r="A363" s="7" t="str">
        <f aca="false">Scoring!DA370</f>
        <v/>
      </c>
      <c r="B363" s="7" t="str">
        <f aca="false">Scoring!CZ370</f>
        <v/>
      </c>
      <c r="C363" s="7" t="n">
        <f aca="false">Scoring!C370</f>
        <v>0</v>
      </c>
      <c r="D363" s="191" t="str">
        <f aca="false">Scoring!CW370</f>
        <v/>
      </c>
      <c r="E363" s="7" t="str">
        <f aca="false">Scoring!BX370</f>
        <v/>
      </c>
      <c r="F363" s="7" t="n">
        <f aca="false">Scoring!B370</f>
        <v>0</v>
      </c>
      <c r="G363" s="7" t="n">
        <f aca="false">Scoring!D370</f>
        <v>0</v>
      </c>
      <c r="H363" s="7" t="str">
        <f aca="false">Scoring!CY370</f>
        <v/>
      </c>
      <c r="I363" s="192" t="str">
        <f aca="false">Scoring!CX370</f>
        <v/>
      </c>
    </row>
    <row r="364" customFormat="false" ht="15.75" hidden="false" customHeight="false" outlineLevel="0" collapsed="false">
      <c r="A364" s="7" t="str">
        <f aca="false">Scoring!DA371</f>
        <v/>
      </c>
      <c r="B364" s="7" t="str">
        <f aca="false">Scoring!CZ371</f>
        <v/>
      </c>
      <c r="C364" s="7" t="n">
        <f aca="false">Scoring!C371</f>
        <v>0</v>
      </c>
      <c r="D364" s="191" t="str">
        <f aca="false">Scoring!CW371</f>
        <v/>
      </c>
      <c r="E364" s="7" t="str">
        <f aca="false">Scoring!BX371</f>
        <v/>
      </c>
      <c r="F364" s="7" t="n">
        <f aca="false">Scoring!B371</f>
        <v>0</v>
      </c>
      <c r="G364" s="7" t="n">
        <f aca="false">Scoring!D371</f>
        <v>0</v>
      </c>
      <c r="H364" s="7" t="str">
        <f aca="false">Scoring!CY371</f>
        <v/>
      </c>
      <c r="I364" s="192" t="str">
        <f aca="false">Scoring!CX371</f>
        <v/>
      </c>
    </row>
    <row r="365" customFormat="false" ht="15.75" hidden="false" customHeight="false" outlineLevel="0" collapsed="false">
      <c r="A365" s="7" t="str">
        <f aca="false">Scoring!DA372</f>
        <v/>
      </c>
      <c r="B365" s="7" t="str">
        <f aca="false">Scoring!CZ372</f>
        <v/>
      </c>
      <c r="C365" s="7" t="n">
        <f aca="false">Scoring!C372</f>
        <v>0</v>
      </c>
      <c r="D365" s="191" t="str">
        <f aca="false">Scoring!CW372</f>
        <v/>
      </c>
      <c r="E365" s="7" t="str">
        <f aca="false">Scoring!BX372</f>
        <v/>
      </c>
      <c r="F365" s="7" t="n">
        <f aca="false">Scoring!B372</f>
        <v>0</v>
      </c>
      <c r="G365" s="7" t="n">
        <f aca="false">Scoring!D372</f>
        <v>0</v>
      </c>
      <c r="H365" s="7" t="str">
        <f aca="false">Scoring!CY372</f>
        <v/>
      </c>
      <c r="I365" s="192" t="str">
        <f aca="false">Scoring!CX372</f>
        <v/>
      </c>
    </row>
    <row r="366" customFormat="false" ht="15.75" hidden="false" customHeight="false" outlineLevel="0" collapsed="false">
      <c r="A366" s="7" t="str">
        <f aca="false">Scoring!DA373</f>
        <v/>
      </c>
      <c r="B366" s="7" t="str">
        <f aca="false">Scoring!CZ373</f>
        <v/>
      </c>
      <c r="C366" s="7" t="n">
        <f aca="false">Scoring!C373</f>
        <v>0</v>
      </c>
      <c r="D366" s="191" t="str">
        <f aca="false">Scoring!CW373</f>
        <v/>
      </c>
      <c r="E366" s="7" t="str">
        <f aca="false">Scoring!BX373</f>
        <v/>
      </c>
      <c r="F366" s="7" t="n">
        <f aca="false">Scoring!B373</f>
        <v>0</v>
      </c>
      <c r="G366" s="7" t="n">
        <f aca="false">Scoring!D373</f>
        <v>0</v>
      </c>
      <c r="H366" s="7" t="str">
        <f aca="false">Scoring!CY373</f>
        <v/>
      </c>
      <c r="I366" s="192" t="str">
        <f aca="false">Scoring!CX373</f>
        <v/>
      </c>
    </row>
    <row r="367" customFormat="false" ht="15.75" hidden="false" customHeight="false" outlineLevel="0" collapsed="false">
      <c r="A367" s="7" t="str">
        <f aca="false">Scoring!DA374</f>
        <v/>
      </c>
      <c r="B367" s="7" t="str">
        <f aca="false">Scoring!CZ374</f>
        <v/>
      </c>
      <c r="C367" s="7" t="n">
        <f aca="false">Scoring!C374</f>
        <v>0</v>
      </c>
      <c r="D367" s="191" t="str">
        <f aca="false">Scoring!CW374</f>
        <v/>
      </c>
      <c r="E367" s="7" t="str">
        <f aca="false">Scoring!BX374</f>
        <v/>
      </c>
      <c r="F367" s="7" t="n">
        <f aca="false">Scoring!B374</f>
        <v>0</v>
      </c>
      <c r="G367" s="7" t="n">
        <f aca="false">Scoring!D374</f>
        <v>0</v>
      </c>
      <c r="H367" s="7" t="str">
        <f aca="false">Scoring!CY374</f>
        <v/>
      </c>
      <c r="I367" s="192" t="str">
        <f aca="false">Scoring!CX374</f>
        <v/>
      </c>
    </row>
    <row r="368" customFormat="false" ht="15.75" hidden="false" customHeight="false" outlineLevel="0" collapsed="false">
      <c r="A368" s="7" t="str">
        <f aca="false">Scoring!DA375</f>
        <v/>
      </c>
      <c r="B368" s="7" t="str">
        <f aca="false">Scoring!CZ375</f>
        <v/>
      </c>
      <c r="C368" s="7" t="n">
        <f aca="false">Scoring!C375</f>
        <v>0</v>
      </c>
      <c r="D368" s="191" t="str">
        <f aca="false">Scoring!CW375</f>
        <v/>
      </c>
      <c r="E368" s="7" t="str">
        <f aca="false">Scoring!BX375</f>
        <v/>
      </c>
      <c r="F368" s="7" t="n">
        <f aca="false">Scoring!B375</f>
        <v>0</v>
      </c>
      <c r="G368" s="7" t="n">
        <f aca="false">Scoring!D375</f>
        <v>0</v>
      </c>
      <c r="H368" s="7" t="str">
        <f aca="false">Scoring!CY375</f>
        <v/>
      </c>
      <c r="I368" s="192" t="str">
        <f aca="false">Scoring!CX375</f>
        <v/>
      </c>
    </row>
    <row r="369" customFormat="false" ht="15.75" hidden="false" customHeight="false" outlineLevel="0" collapsed="false">
      <c r="A369" s="7" t="str">
        <f aca="false">Scoring!DA376</f>
        <v/>
      </c>
      <c r="B369" s="7" t="str">
        <f aca="false">Scoring!CZ376</f>
        <v/>
      </c>
      <c r="C369" s="7" t="n">
        <f aca="false">Scoring!C376</f>
        <v>0</v>
      </c>
      <c r="D369" s="191" t="str">
        <f aca="false">Scoring!CW376</f>
        <v/>
      </c>
      <c r="E369" s="7" t="str">
        <f aca="false">Scoring!BX376</f>
        <v/>
      </c>
      <c r="F369" s="7" t="n">
        <f aca="false">Scoring!B376</f>
        <v>0</v>
      </c>
      <c r="G369" s="7" t="n">
        <f aca="false">Scoring!D376</f>
        <v>0</v>
      </c>
      <c r="H369" s="7" t="str">
        <f aca="false">Scoring!CY376</f>
        <v/>
      </c>
      <c r="I369" s="192" t="str">
        <f aca="false">Scoring!CX376</f>
        <v/>
      </c>
    </row>
    <row r="370" customFormat="false" ht="15.75" hidden="false" customHeight="false" outlineLevel="0" collapsed="false">
      <c r="A370" s="7" t="str">
        <f aca="false">Scoring!DA377</f>
        <v/>
      </c>
      <c r="B370" s="7" t="str">
        <f aca="false">Scoring!CZ377</f>
        <v/>
      </c>
      <c r="C370" s="7" t="n">
        <f aca="false">Scoring!C377</f>
        <v>0</v>
      </c>
      <c r="D370" s="191" t="str">
        <f aca="false">Scoring!CW377</f>
        <v/>
      </c>
      <c r="E370" s="7" t="str">
        <f aca="false">Scoring!BX377</f>
        <v/>
      </c>
      <c r="F370" s="7" t="n">
        <f aca="false">Scoring!B377</f>
        <v>0</v>
      </c>
      <c r="G370" s="7" t="n">
        <f aca="false">Scoring!D377</f>
        <v>0</v>
      </c>
      <c r="H370" s="7" t="str">
        <f aca="false">Scoring!CY377</f>
        <v/>
      </c>
      <c r="I370" s="192" t="str">
        <f aca="false">Scoring!CX377</f>
        <v/>
      </c>
    </row>
    <row r="371" customFormat="false" ht="15.75" hidden="false" customHeight="false" outlineLevel="0" collapsed="false">
      <c r="A371" s="7" t="str">
        <f aca="false">Scoring!DA378</f>
        <v/>
      </c>
      <c r="B371" s="7" t="str">
        <f aca="false">Scoring!CZ378</f>
        <v/>
      </c>
      <c r="C371" s="7" t="n">
        <f aca="false">Scoring!C378</f>
        <v>0</v>
      </c>
      <c r="D371" s="191" t="str">
        <f aca="false">Scoring!CW378</f>
        <v/>
      </c>
      <c r="E371" s="7" t="str">
        <f aca="false">Scoring!BX378</f>
        <v/>
      </c>
      <c r="F371" s="7" t="n">
        <f aca="false">Scoring!B378</f>
        <v>0</v>
      </c>
      <c r="G371" s="7" t="n">
        <f aca="false">Scoring!D378</f>
        <v>0</v>
      </c>
      <c r="H371" s="7" t="str">
        <f aca="false">Scoring!CY378</f>
        <v/>
      </c>
      <c r="I371" s="192" t="str">
        <f aca="false">Scoring!CX378</f>
        <v/>
      </c>
    </row>
    <row r="372" customFormat="false" ht="15.75" hidden="false" customHeight="false" outlineLevel="0" collapsed="false">
      <c r="A372" s="7" t="str">
        <f aca="false">Scoring!DA379</f>
        <v/>
      </c>
      <c r="B372" s="7" t="str">
        <f aca="false">Scoring!CZ379</f>
        <v/>
      </c>
      <c r="C372" s="7" t="n">
        <f aca="false">Scoring!C379</f>
        <v>0</v>
      </c>
      <c r="D372" s="191" t="str">
        <f aca="false">Scoring!CW379</f>
        <v/>
      </c>
      <c r="E372" s="7" t="str">
        <f aca="false">Scoring!BX379</f>
        <v/>
      </c>
      <c r="F372" s="7" t="n">
        <f aca="false">Scoring!B379</f>
        <v>0</v>
      </c>
      <c r="G372" s="7" t="n">
        <f aca="false">Scoring!D379</f>
        <v>0</v>
      </c>
      <c r="H372" s="7" t="str">
        <f aca="false">Scoring!CY379</f>
        <v/>
      </c>
      <c r="I372" s="192" t="str">
        <f aca="false">Scoring!CX379</f>
        <v/>
      </c>
    </row>
    <row r="373" customFormat="false" ht="15.75" hidden="false" customHeight="false" outlineLevel="0" collapsed="false">
      <c r="A373" s="7" t="str">
        <f aca="false">Scoring!DA380</f>
        <v/>
      </c>
      <c r="B373" s="7" t="str">
        <f aca="false">Scoring!CZ380</f>
        <v/>
      </c>
      <c r="C373" s="7" t="n">
        <f aca="false">Scoring!C380</f>
        <v>0</v>
      </c>
      <c r="D373" s="191" t="str">
        <f aca="false">Scoring!CW380</f>
        <v/>
      </c>
      <c r="E373" s="7" t="str">
        <f aca="false">Scoring!BX380</f>
        <v/>
      </c>
      <c r="F373" s="7" t="n">
        <f aca="false">Scoring!B380</f>
        <v>0</v>
      </c>
      <c r="G373" s="7" t="n">
        <f aca="false">Scoring!D380</f>
        <v>0</v>
      </c>
      <c r="H373" s="7" t="str">
        <f aca="false">Scoring!CY380</f>
        <v/>
      </c>
      <c r="I373" s="192" t="str">
        <f aca="false">Scoring!CX380</f>
        <v/>
      </c>
    </row>
    <row r="374" customFormat="false" ht="15.75" hidden="false" customHeight="false" outlineLevel="0" collapsed="false">
      <c r="A374" s="7" t="str">
        <f aca="false">Scoring!DA381</f>
        <v/>
      </c>
      <c r="B374" s="7" t="str">
        <f aca="false">Scoring!CZ381</f>
        <v/>
      </c>
      <c r="C374" s="7" t="n">
        <f aca="false">Scoring!C381</f>
        <v>0</v>
      </c>
      <c r="D374" s="191" t="str">
        <f aca="false">Scoring!CW381</f>
        <v/>
      </c>
      <c r="E374" s="7" t="str">
        <f aca="false">Scoring!BX381</f>
        <v/>
      </c>
      <c r="F374" s="7" t="n">
        <f aca="false">Scoring!B381</f>
        <v>0</v>
      </c>
      <c r="G374" s="7" t="n">
        <f aca="false">Scoring!D381</f>
        <v>0</v>
      </c>
      <c r="H374" s="7" t="str">
        <f aca="false">Scoring!CY381</f>
        <v/>
      </c>
      <c r="I374" s="192" t="str">
        <f aca="false">Scoring!CX381</f>
        <v/>
      </c>
    </row>
    <row r="375" customFormat="false" ht="15.75" hidden="false" customHeight="false" outlineLevel="0" collapsed="false">
      <c r="A375" s="7" t="str">
        <f aca="false">Scoring!DA382</f>
        <v/>
      </c>
      <c r="B375" s="7" t="str">
        <f aca="false">Scoring!CZ382</f>
        <v/>
      </c>
      <c r="C375" s="7" t="n">
        <f aca="false">Scoring!C382</f>
        <v>0</v>
      </c>
      <c r="D375" s="191" t="str">
        <f aca="false">Scoring!CW382</f>
        <v/>
      </c>
      <c r="E375" s="7" t="str">
        <f aca="false">Scoring!BX382</f>
        <v/>
      </c>
      <c r="F375" s="7" t="n">
        <f aca="false">Scoring!B382</f>
        <v>0</v>
      </c>
      <c r="G375" s="7" t="n">
        <f aca="false">Scoring!D382</f>
        <v>0</v>
      </c>
      <c r="H375" s="7" t="str">
        <f aca="false">Scoring!CY382</f>
        <v/>
      </c>
      <c r="I375" s="192" t="str">
        <f aca="false">Scoring!CX382</f>
        <v/>
      </c>
    </row>
    <row r="376" customFormat="false" ht="15.75" hidden="false" customHeight="false" outlineLevel="0" collapsed="false">
      <c r="A376" s="7" t="str">
        <f aca="false">Scoring!DA383</f>
        <v/>
      </c>
      <c r="B376" s="7" t="str">
        <f aca="false">Scoring!CZ383</f>
        <v/>
      </c>
      <c r="C376" s="7" t="n">
        <f aca="false">Scoring!C383</f>
        <v>0</v>
      </c>
      <c r="D376" s="191" t="str">
        <f aca="false">Scoring!CW383</f>
        <v/>
      </c>
      <c r="E376" s="7" t="str">
        <f aca="false">Scoring!BX383</f>
        <v/>
      </c>
      <c r="F376" s="7" t="n">
        <f aca="false">Scoring!B383</f>
        <v>0</v>
      </c>
      <c r="G376" s="7" t="n">
        <f aca="false">Scoring!D383</f>
        <v>0</v>
      </c>
      <c r="H376" s="7" t="str">
        <f aca="false">Scoring!CY383</f>
        <v/>
      </c>
      <c r="I376" s="192" t="str">
        <f aca="false">Scoring!CX383</f>
        <v/>
      </c>
    </row>
    <row r="377" customFormat="false" ht="15.75" hidden="false" customHeight="false" outlineLevel="0" collapsed="false">
      <c r="A377" s="7" t="str">
        <f aca="false">Scoring!DA384</f>
        <v/>
      </c>
      <c r="B377" s="7" t="str">
        <f aca="false">Scoring!CZ384</f>
        <v/>
      </c>
      <c r="C377" s="7" t="n">
        <f aca="false">Scoring!C384</f>
        <v>0</v>
      </c>
      <c r="D377" s="191" t="str">
        <f aca="false">Scoring!CW384</f>
        <v/>
      </c>
      <c r="E377" s="7" t="str">
        <f aca="false">Scoring!BX384</f>
        <v/>
      </c>
      <c r="F377" s="7" t="n">
        <f aca="false">Scoring!B384</f>
        <v>0</v>
      </c>
      <c r="G377" s="7" t="n">
        <f aca="false">Scoring!D384</f>
        <v>0</v>
      </c>
      <c r="H377" s="7" t="str">
        <f aca="false">Scoring!CY384</f>
        <v/>
      </c>
      <c r="I377" s="192" t="str">
        <f aca="false">Scoring!CX384</f>
        <v/>
      </c>
    </row>
    <row r="378" customFormat="false" ht="15.75" hidden="false" customHeight="false" outlineLevel="0" collapsed="false">
      <c r="A378" s="7" t="str">
        <f aca="false">Scoring!DA385</f>
        <v/>
      </c>
      <c r="B378" s="7" t="str">
        <f aca="false">Scoring!CZ385</f>
        <v/>
      </c>
      <c r="C378" s="7" t="n">
        <f aca="false">Scoring!C385</f>
        <v>0</v>
      </c>
      <c r="D378" s="191" t="str">
        <f aca="false">Scoring!CW385</f>
        <v/>
      </c>
      <c r="E378" s="7" t="str">
        <f aca="false">Scoring!BX385</f>
        <v/>
      </c>
      <c r="F378" s="7" t="n">
        <f aca="false">Scoring!B385</f>
        <v>0</v>
      </c>
      <c r="G378" s="7" t="n">
        <f aca="false">Scoring!D385</f>
        <v>0</v>
      </c>
      <c r="H378" s="7" t="str">
        <f aca="false">Scoring!CY385</f>
        <v/>
      </c>
      <c r="I378" s="192" t="str">
        <f aca="false">Scoring!CX385</f>
        <v/>
      </c>
    </row>
    <row r="379" customFormat="false" ht="15.75" hidden="false" customHeight="false" outlineLevel="0" collapsed="false">
      <c r="A379" s="7" t="str">
        <f aca="false">Scoring!DA386</f>
        <v/>
      </c>
      <c r="B379" s="7" t="str">
        <f aca="false">Scoring!CZ386</f>
        <v/>
      </c>
      <c r="C379" s="7" t="n">
        <f aca="false">Scoring!C386</f>
        <v>0</v>
      </c>
      <c r="D379" s="191" t="str">
        <f aca="false">Scoring!CW386</f>
        <v/>
      </c>
      <c r="E379" s="7" t="str">
        <f aca="false">Scoring!BX386</f>
        <v/>
      </c>
      <c r="F379" s="7" t="n">
        <f aca="false">Scoring!B386</f>
        <v>0</v>
      </c>
      <c r="G379" s="7" t="n">
        <f aca="false">Scoring!D386</f>
        <v>0</v>
      </c>
      <c r="H379" s="7" t="str">
        <f aca="false">Scoring!CY386</f>
        <v/>
      </c>
      <c r="I379" s="192" t="str">
        <f aca="false">Scoring!CX386</f>
        <v/>
      </c>
    </row>
    <row r="380" customFormat="false" ht="15.75" hidden="false" customHeight="false" outlineLevel="0" collapsed="false">
      <c r="A380" s="7" t="str">
        <f aca="false">Scoring!DA387</f>
        <v/>
      </c>
      <c r="B380" s="7" t="str">
        <f aca="false">Scoring!CZ387</f>
        <v/>
      </c>
      <c r="C380" s="7" t="n">
        <f aca="false">Scoring!C387</f>
        <v>0</v>
      </c>
      <c r="D380" s="191" t="str">
        <f aca="false">Scoring!CW387</f>
        <v/>
      </c>
      <c r="E380" s="7" t="str">
        <f aca="false">Scoring!BX387</f>
        <v/>
      </c>
      <c r="F380" s="7" t="n">
        <f aca="false">Scoring!B387</f>
        <v>0</v>
      </c>
      <c r="G380" s="7" t="n">
        <f aca="false">Scoring!D387</f>
        <v>0</v>
      </c>
      <c r="H380" s="7" t="str">
        <f aca="false">Scoring!CY387</f>
        <v/>
      </c>
      <c r="I380" s="192" t="str">
        <f aca="false">Scoring!CX387</f>
        <v/>
      </c>
    </row>
    <row r="381" customFormat="false" ht="15.75" hidden="false" customHeight="false" outlineLevel="0" collapsed="false">
      <c r="A381" s="7" t="str">
        <f aca="false">Scoring!DA388</f>
        <v/>
      </c>
      <c r="B381" s="7" t="str">
        <f aca="false">Scoring!CZ388</f>
        <v/>
      </c>
      <c r="C381" s="7" t="n">
        <f aca="false">Scoring!C388</f>
        <v>0</v>
      </c>
      <c r="D381" s="191" t="str">
        <f aca="false">Scoring!CW388</f>
        <v/>
      </c>
      <c r="E381" s="7" t="str">
        <f aca="false">Scoring!BX388</f>
        <v/>
      </c>
      <c r="F381" s="7" t="n">
        <f aca="false">Scoring!B388</f>
        <v>0</v>
      </c>
      <c r="G381" s="7" t="n">
        <f aca="false">Scoring!D388</f>
        <v>0</v>
      </c>
      <c r="H381" s="7" t="str">
        <f aca="false">Scoring!CY388</f>
        <v/>
      </c>
      <c r="I381" s="192" t="str">
        <f aca="false">Scoring!CX388</f>
        <v/>
      </c>
    </row>
    <row r="382" customFormat="false" ht="15.75" hidden="false" customHeight="false" outlineLevel="0" collapsed="false">
      <c r="A382" s="7" t="str">
        <f aca="false">Scoring!DA389</f>
        <v/>
      </c>
      <c r="B382" s="7" t="str">
        <f aca="false">Scoring!CZ389</f>
        <v/>
      </c>
      <c r="C382" s="7" t="n">
        <f aca="false">Scoring!C389</f>
        <v>0</v>
      </c>
      <c r="D382" s="191" t="str">
        <f aca="false">Scoring!CW389</f>
        <v/>
      </c>
      <c r="E382" s="7" t="str">
        <f aca="false">Scoring!BX389</f>
        <v/>
      </c>
      <c r="F382" s="7" t="n">
        <f aca="false">Scoring!B389</f>
        <v>0</v>
      </c>
      <c r="G382" s="7" t="n">
        <f aca="false">Scoring!D389</f>
        <v>0</v>
      </c>
      <c r="H382" s="7" t="str">
        <f aca="false">Scoring!CY389</f>
        <v/>
      </c>
      <c r="I382" s="192" t="str">
        <f aca="false">Scoring!CX389</f>
        <v/>
      </c>
    </row>
    <row r="383" customFormat="false" ht="15.75" hidden="false" customHeight="false" outlineLevel="0" collapsed="false">
      <c r="A383" s="7" t="str">
        <f aca="false">Scoring!DA390</f>
        <v/>
      </c>
      <c r="B383" s="7" t="str">
        <f aca="false">Scoring!CZ390</f>
        <v/>
      </c>
      <c r="C383" s="7" t="n">
        <f aca="false">Scoring!C390</f>
        <v>0</v>
      </c>
      <c r="D383" s="191" t="str">
        <f aca="false">Scoring!CW390</f>
        <v/>
      </c>
      <c r="E383" s="7" t="str">
        <f aca="false">Scoring!BX390</f>
        <v/>
      </c>
      <c r="F383" s="7" t="n">
        <f aca="false">Scoring!B390</f>
        <v>0</v>
      </c>
      <c r="G383" s="7" t="n">
        <f aca="false">Scoring!D390</f>
        <v>0</v>
      </c>
      <c r="H383" s="7" t="str">
        <f aca="false">Scoring!CY390</f>
        <v/>
      </c>
      <c r="I383" s="192" t="str">
        <f aca="false">Scoring!CX390</f>
        <v/>
      </c>
    </row>
    <row r="384" customFormat="false" ht="15.75" hidden="false" customHeight="false" outlineLevel="0" collapsed="false">
      <c r="A384" s="7" t="str">
        <f aca="false">Scoring!DA391</f>
        <v/>
      </c>
      <c r="B384" s="7" t="str">
        <f aca="false">Scoring!CZ391</f>
        <v/>
      </c>
      <c r="C384" s="7" t="n">
        <f aca="false">Scoring!C391</f>
        <v>0</v>
      </c>
      <c r="D384" s="191" t="str">
        <f aca="false">Scoring!CW391</f>
        <v/>
      </c>
      <c r="E384" s="7" t="str">
        <f aca="false">Scoring!BX391</f>
        <v/>
      </c>
      <c r="F384" s="7" t="n">
        <f aca="false">Scoring!B391</f>
        <v>0</v>
      </c>
      <c r="G384" s="7" t="n">
        <f aca="false">Scoring!D391</f>
        <v>0</v>
      </c>
      <c r="H384" s="7" t="str">
        <f aca="false">Scoring!CY391</f>
        <v/>
      </c>
      <c r="I384" s="192" t="str">
        <f aca="false">Scoring!CX391</f>
        <v/>
      </c>
    </row>
    <row r="385" customFormat="false" ht="15.75" hidden="false" customHeight="false" outlineLevel="0" collapsed="false">
      <c r="A385" s="7" t="str">
        <f aca="false">Scoring!DA392</f>
        <v/>
      </c>
      <c r="B385" s="7" t="str">
        <f aca="false">Scoring!CZ392</f>
        <v/>
      </c>
      <c r="C385" s="7" t="n">
        <f aca="false">Scoring!C392</f>
        <v>0</v>
      </c>
      <c r="D385" s="191" t="str">
        <f aca="false">Scoring!CW392</f>
        <v/>
      </c>
      <c r="E385" s="7" t="str">
        <f aca="false">Scoring!BX392</f>
        <v/>
      </c>
      <c r="F385" s="7" t="n">
        <f aca="false">Scoring!B392</f>
        <v>0</v>
      </c>
      <c r="G385" s="7" t="n">
        <f aca="false">Scoring!D392</f>
        <v>0</v>
      </c>
      <c r="H385" s="7" t="str">
        <f aca="false">Scoring!CY392</f>
        <v/>
      </c>
      <c r="I385" s="192" t="str">
        <f aca="false">Scoring!CX392</f>
        <v/>
      </c>
    </row>
    <row r="386" customFormat="false" ht="15.75" hidden="false" customHeight="false" outlineLevel="0" collapsed="false">
      <c r="A386" s="7" t="str">
        <f aca="false">Scoring!DA393</f>
        <v/>
      </c>
      <c r="B386" s="7" t="str">
        <f aca="false">Scoring!CZ393</f>
        <v/>
      </c>
      <c r="C386" s="7" t="n">
        <f aca="false">Scoring!C393</f>
        <v>0</v>
      </c>
      <c r="D386" s="191" t="str">
        <f aca="false">Scoring!CW393</f>
        <v/>
      </c>
      <c r="E386" s="7" t="str">
        <f aca="false">Scoring!BX393</f>
        <v/>
      </c>
      <c r="F386" s="7" t="n">
        <f aca="false">Scoring!B393</f>
        <v>0</v>
      </c>
      <c r="G386" s="7" t="n">
        <f aca="false">Scoring!D393</f>
        <v>0</v>
      </c>
      <c r="H386" s="7" t="str">
        <f aca="false">Scoring!CY393</f>
        <v/>
      </c>
      <c r="I386" s="192" t="str">
        <f aca="false">Scoring!CX393</f>
        <v/>
      </c>
    </row>
    <row r="387" customFormat="false" ht="15.75" hidden="false" customHeight="false" outlineLevel="0" collapsed="false">
      <c r="A387" s="7" t="str">
        <f aca="false">Scoring!DA394</f>
        <v/>
      </c>
      <c r="B387" s="7" t="str">
        <f aca="false">Scoring!CZ394</f>
        <v/>
      </c>
      <c r="C387" s="7" t="n">
        <f aca="false">Scoring!C394</f>
        <v>0</v>
      </c>
      <c r="D387" s="191" t="str">
        <f aca="false">Scoring!CW394</f>
        <v/>
      </c>
      <c r="E387" s="7" t="str">
        <f aca="false">Scoring!BX394</f>
        <v/>
      </c>
      <c r="F387" s="7" t="n">
        <f aca="false">Scoring!B394</f>
        <v>0</v>
      </c>
      <c r="G387" s="7" t="n">
        <f aca="false">Scoring!D394</f>
        <v>0</v>
      </c>
      <c r="H387" s="7" t="str">
        <f aca="false">Scoring!CY394</f>
        <v/>
      </c>
      <c r="I387" s="192" t="str">
        <f aca="false">Scoring!CX394</f>
        <v/>
      </c>
    </row>
    <row r="388" customFormat="false" ht="15.75" hidden="false" customHeight="false" outlineLevel="0" collapsed="false">
      <c r="A388" s="7" t="str">
        <f aca="false">Scoring!DA395</f>
        <v/>
      </c>
      <c r="B388" s="7" t="str">
        <f aca="false">Scoring!CZ395</f>
        <v/>
      </c>
      <c r="C388" s="7" t="n">
        <f aca="false">Scoring!C395</f>
        <v>0</v>
      </c>
      <c r="D388" s="191" t="str">
        <f aca="false">Scoring!CW395</f>
        <v/>
      </c>
      <c r="E388" s="7" t="str">
        <f aca="false">Scoring!BX395</f>
        <v/>
      </c>
      <c r="F388" s="7" t="n">
        <f aca="false">Scoring!B395</f>
        <v>0</v>
      </c>
      <c r="G388" s="7" t="n">
        <f aca="false">Scoring!D395</f>
        <v>0</v>
      </c>
      <c r="H388" s="7" t="str">
        <f aca="false">Scoring!CY395</f>
        <v/>
      </c>
      <c r="I388" s="192" t="str">
        <f aca="false">Scoring!CX395</f>
        <v/>
      </c>
    </row>
    <row r="389" customFormat="false" ht="15.75" hidden="false" customHeight="false" outlineLevel="0" collapsed="false">
      <c r="A389" s="7" t="str">
        <f aca="false">Scoring!DA396</f>
        <v/>
      </c>
      <c r="B389" s="7" t="str">
        <f aca="false">Scoring!CZ396</f>
        <v/>
      </c>
      <c r="C389" s="7" t="n">
        <f aca="false">Scoring!C396</f>
        <v>0</v>
      </c>
      <c r="D389" s="191" t="str">
        <f aca="false">Scoring!CW396</f>
        <v/>
      </c>
      <c r="E389" s="7" t="str">
        <f aca="false">Scoring!BX396</f>
        <v/>
      </c>
      <c r="F389" s="7" t="n">
        <f aca="false">Scoring!B396</f>
        <v>0</v>
      </c>
      <c r="G389" s="7" t="n">
        <f aca="false">Scoring!D396</f>
        <v>0</v>
      </c>
      <c r="H389" s="7" t="str">
        <f aca="false">Scoring!CY396</f>
        <v/>
      </c>
      <c r="I389" s="192" t="str">
        <f aca="false">Scoring!CX396</f>
        <v/>
      </c>
    </row>
    <row r="390" customFormat="false" ht="15.75" hidden="false" customHeight="false" outlineLevel="0" collapsed="false">
      <c r="A390" s="7" t="str">
        <f aca="false">Scoring!DA397</f>
        <v/>
      </c>
      <c r="B390" s="7" t="str">
        <f aca="false">Scoring!CZ397</f>
        <v/>
      </c>
      <c r="C390" s="7" t="n">
        <f aca="false">Scoring!C397</f>
        <v>0</v>
      </c>
      <c r="D390" s="191" t="str">
        <f aca="false">Scoring!CW397</f>
        <v/>
      </c>
      <c r="E390" s="7" t="str">
        <f aca="false">Scoring!BX397</f>
        <v/>
      </c>
      <c r="F390" s="7" t="n">
        <f aca="false">Scoring!B397</f>
        <v>0</v>
      </c>
      <c r="G390" s="7" t="n">
        <f aca="false">Scoring!D397</f>
        <v>0</v>
      </c>
      <c r="H390" s="7" t="str">
        <f aca="false">Scoring!CY397</f>
        <v/>
      </c>
      <c r="I390" s="192" t="str">
        <f aca="false">Scoring!CX397</f>
        <v/>
      </c>
    </row>
    <row r="391" customFormat="false" ht="15.75" hidden="false" customHeight="false" outlineLevel="0" collapsed="false">
      <c r="A391" s="7" t="str">
        <f aca="false">Scoring!DA398</f>
        <v/>
      </c>
      <c r="B391" s="7" t="str">
        <f aca="false">Scoring!CZ398</f>
        <v/>
      </c>
      <c r="C391" s="7" t="n">
        <f aca="false">Scoring!C398</f>
        <v>0</v>
      </c>
      <c r="D391" s="191" t="str">
        <f aca="false">Scoring!CW398</f>
        <v/>
      </c>
      <c r="E391" s="7" t="str">
        <f aca="false">Scoring!BX398</f>
        <v/>
      </c>
      <c r="F391" s="7" t="n">
        <f aca="false">Scoring!B398</f>
        <v>0</v>
      </c>
      <c r="G391" s="7" t="n">
        <f aca="false">Scoring!D398</f>
        <v>0</v>
      </c>
      <c r="H391" s="7" t="str">
        <f aca="false">Scoring!CY398</f>
        <v/>
      </c>
      <c r="I391" s="192" t="str">
        <f aca="false">Scoring!CX398</f>
        <v/>
      </c>
    </row>
    <row r="392" customFormat="false" ht="15.75" hidden="false" customHeight="false" outlineLevel="0" collapsed="false">
      <c r="A392" s="7" t="str">
        <f aca="false">Scoring!DA399</f>
        <v/>
      </c>
      <c r="B392" s="7" t="str">
        <f aca="false">Scoring!CZ399</f>
        <v/>
      </c>
      <c r="C392" s="7" t="n">
        <f aca="false">Scoring!C399</f>
        <v>0</v>
      </c>
      <c r="D392" s="191" t="str">
        <f aca="false">Scoring!CW399</f>
        <v/>
      </c>
      <c r="E392" s="7" t="str">
        <f aca="false">Scoring!BX399</f>
        <v/>
      </c>
      <c r="F392" s="7" t="n">
        <f aca="false">Scoring!B399</f>
        <v>0</v>
      </c>
      <c r="G392" s="7" t="n">
        <f aca="false">Scoring!D399</f>
        <v>0</v>
      </c>
      <c r="H392" s="7" t="str">
        <f aca="false">Scoring!CY399</f>
        <v/>
      </c>
      <c r="I392" s="192" t="str">
        <f aca="false">Scoring!CX399</f>
        <v/>
      </c>
    </row>
    <row r="393" customFormat="false" ht="15.75" hidden="false" customHeight="false" outlineLevel="0" collapsed="false">
      <c r="A393" s="7" t="str">
        <f aca="false">Scoring!DA400</f>
        <v/>
      </c>
      <c r="B393" s="7" t="str">
        <f aca="false">Scoring!CZ400</f>
        <v/>
      </c>
      <c r="C393" s="7" t="n">
        <f aca="false">Scoring!C400</f>
        <v>0</v>
      </c>
      <c r="D393" s="191" t="str">
        <f aca="false">Scoring!CW400</f>
        <v/>
      </c>
      <c r="E393" s="7" t="str">
        <f aca="false">Scoring!BX400</f>
        <v/>
      </c>
      <c r="F393" s="7" t="n">
        <f aca="false">Scoring!B400</f>
        <v>0</v>
      </c>
      <c r="G393" s="7" t="n">
        <f aca="false">Scoring!D400</f>
        <v>0</v>
      </c>
      <c r="H393" s="7" t="str">
        <f aca="false">Scoring!CY400</f>
        <v/>
      </c>
      <c r="I393" s="192" t="str">
        <f aca="false">Scoring!CX400</f>
        <v/>
      </c>
    </row>
    <row r="394" customFormat="false" ht="15.75" hidden="false" customHeight="false" outlineLevel="0" collapsed="false">
      <c r="A394" s="7" t="str">
        <f aca="false">Scoring!DA401</f>
        <v/>
      </c>
      <c r="B394" s="7" t="str">
        <f aca="false">Scoring!CZ401</f>
        <v/>
      </c>
      <c r="C394" s="7" t="n">
        <f aca="false">Scoring!C401</f>
        <v>0</v>
      </c>
      <c r="D394" s="191" t="str">
        <f aca="false">Scoring!CW401</f>
        <v/>
      </c>
      <c r="E394" s="7" t="str">
        <f aca="false">Scoring!BX401</f>
        <v/>
      </c>
      <c r="F394" s="7" t="n">
        <f aca="false">Scoring!B401</f>
        <v>0</v>
      </c>
      <c r="G394" s="7" t="n">
        <f aca="false">Scoring!D401</f>
        <v>0</v>
      </c>
      <c r="H394" s="7" t="str">
        <f aca="false">Scoring!CY401</f>
        <v/>
      </c>
      <c r="I394" s="192" t="str">
        <f aca="false">Scoring!CX401</f>
        <v/>
      </c>
    </row>
    <row r="395" customFormat="false" ht="15.75" hidden="false" customHeight="false" outlineLevel="0" collapsed="false">
      <c r="A395" s="7" t="str">
        <f aca="false">Scoring!DA402</f>
        <v/>
      </c>
      <c r="B395" s="7" t="str">
        <f aca="false">Scoring!CZ402</f>
        <v/>
      </c>
      <c r="C395" s="7" t="n">
        <f aca="false">Scoring!C402</f>
        <v>0</v>
      </c>
      <c r="D395" s="191" t="str">
        <f aca="false">Scoring!CW402</f>
        <v/>
      </c>
      <c r="E395" s="7" t="str">
        <f aca="false">Scoring!BX402</f>
        <v/>
      </c>
      <c r="F395" s="7" t="n">
        <f aca="false">Scoring!B402</f>
        <v>0</v>
      </c>
      <c r="G395" s="7" t="n">
        <f aca="false">Scoring!D402</f>
        <v>0</v>
      </c>
      <c r="H395" s="7" t="str">
        <f aca="false">Scoring!CY402</f>
        <v/>
      </c>
      <c r="I395" s="192" t="str">
        <f aca="false">Scoring!CX402</f>
        <v/>
      </c>
    </row>
    <row r="396" customFormat="false" ht="15.75" hidden="false" customHeight="false" outlineLevel="0" collapsed="false">
      <c r="A396" s="7" t="str">
        <f aca="false">Scoring!DA403</f>
        <v/>
      </c>
      <c r="B396" s="7" t="str">
        <f aca="false">Scoring!CZ403</f>
        <v/>
      </c>
      <c r="C396" s="7" t="n">
        <f aca="false">Scoring!C403</f>
        <v>0</v>
      </c>
      <c r="D396" s="191" t="str">
        <f aca="false">Scoring!CW403</f>
        <v/>
      </c>
      <c r="E396" s="7" t="str">
        <f aca="false">Scoring!BX403</f>
        <v/>
      </c>
      <c r="F396" s="7" t="n">
        <f aca="false">Scoring!B403</f>
        <v>0</v>
      </c>
      <c r="G396" s="7" t="n">
        <f aca="false">Scoring!D403</f>
        <v>0</v>
      </c>
      <c r="H396" s="7" t="str">
        <f aca="false">Scoring!CY403</f>
        <v/>
      </c>
      <c r="I396" s="192" t="str">
        <f aca="false">Scoring!CX403</f>
        <v/>
      </c>
    </row>
    <row r="397" customFormat="false" ht="15.75" hidden="false" customHeight="false" outlineLevel="0" collapsed="false">
      <c r="A397" s="7" t="str">
        <f aca="false">Scoring!DA404</f>
        <v/>
      </c>
      <c r="B397" s="7" t="str">
        <f aca="false">Scoring!CZ404</f>
        <v/>
      </c>
      <c r="C397" s="7" t="n">
        <f aca="false">Scoring!C404</f>
        <v>0</v>
      </c>
      <c r="D397" s="191" t="str">
        <f aca="false">Scoring!CW404</f>
        <v/>
      </c>
      <c r="E397" s="7" t="str">
        <f aca="false">Scoring!BX404</f>
        <v/>
      </c>
      <c r="F397" s="7" t="n">
        <f aca="false">Scoring!B404</f>
        <v>0</v>
      </c>
      <c r="G397" s="7" t="n">
        <f aca="false">Scoring!D404</f>
        <v>0</v>
      </c>
      <c r="H397" s="7" t="str">
        <f aca="false">Scoring!CY404</f>
        <v/>
      </c>
      <c r="I397" s="192" t="str">
        <f aca="false">Scoring!CX404</f>
        <v/>
      </c>
    </row>
    <row r="398" customFormat="false" ht="15.75" hidden="false" customHeight="false" outlineLevel="0" collapsed="false">
      <c r="A398" s="7" t="str">
        <f aca="false">Scoring!DA405</f>
        <v/>
      </c>
      <c r="B398" s="7" t="str">
        <f aca="false">Scoring!CZ405</f>
        <v/>
      </c>
      <c r="C398" s="7" t="n">
        <f aca="false">Scoring!C405</f>
        <v>0</v>
      </c>
      <c r="D398" s="191" t="str">
        <f aca="false">Scoring!CW405</f>
        <v/>
      </c>
      <c r="E398" s="7" t="str">
        <f aca="false">Scoring!BX405</f>
        <v/>
      </c>
      <c r="F398" s="7" t="n">
        <f aca="false">Scoring!B405</f>
        <v>0</v>
      </c>
      <c r="G398" s="7" t="n">
        <f aca="false">Scoring!D405</f>
        <v>0</v>
      </c>
      <c r="H398" s="7" t="str">
        <f aca="false">Scoring!CY405</f>
        <v/>
      </c>
      <c r="I398" s="192" t="str">
        <f aca="false">Scoring!CX405</f>
        <v/>
      </c>
    </row>
    <row r="399" customFormat="false" ht="15.75" hidden="false" customHeight="false" outlineLevel="0" collapsed="false">
      <c r="A399" s="7" t="str">
        <f aca="false">Scoring!DA406</f>
        <v/>
      </c>
      <c r="B399" s="7" t="str">
        <f aca="false">Scoring!CZ406</f>
        <v/>
      </c>
      <c r="C399" s="7" t="n">
        <f aca="false">Scoring!C406</f>
        <v>0</v>
      </c>
      <c r="D399" s="191" t="str">
        <f aca="false">Scoring!CW406</f>
        <v/>
      </c>
      <c r="E399" s="7" t="str">
        <f aca="false">Scoring!BX406</f>
        <v/>
      </c>
      <c r="F399" s="7" t="n">
        <f aca="false">Scoring!B406</f>
        <v>0</v>
      </c>
      <c r="G399" s="7" t="n">
        <f aca="false">Scoring!D406</f>
        <v>0</v>
      </c>
      <c r="H399" s="7" t="str">
        <f aca="false">Scoring!CY406</f>
        <v/>
      </c>
      <c r="I399" s="192" t="str">
        <f aca="false">Scoring!CX406</f>
        <v/>
      </c>
    </row>
    <row r="400" customFormat="false" ht="15.75" hidden="false" customHeight="false" outlineLevel="0" collapsed="false">
      <c r="A400" s="7" t="str">
        <f aca="false">Scoring!DA407</f>
        <v/>
      </c>
      <c r="B400" s="7" t="str">
        <f aca="false">Scoring!CZ407</f>
        <v/>
      </c>
      <c r="C400" s="7" t="n">
        <f aca="false">Scoring!C407</f>
        <v>0</v>
      </c>
      <c r="D400" s="191" t="str">
        <f aca="false">Scoring!CW407</f>
        <v/>
      </c>
      <c r="E400" s="7" t="str">
        <f aca="false">Scoring!BX407</f>
        <v/>
      </c>
      <c r="F400" s="7" t="n">
        <f aca="false">Scoring!B407</f>
        <v>0</v>
      </c>
      <c r="G400" s="7" t="n">
        <f aca="false">Scoring!D407</f>
        <v>0</v>
      </c>
      <c r="H400" s="7" t="str">
        <f aca="false">Scoring!CY407</f>
        <v/>
      </c>
      <c r="I400" s="192" t="str">
        <f aca="false">Scoring!CX407</f>
        <v/>
      </c>
    </row>
    <row r="401" customFormat="false" ht="15.75" hidden="false" customHeight="false" outlineLevel="0" collapsed="false">
      <c r="A401" s="7" t="str">
        <f aca="false">Scoring!DA408</f>
        <v/>
      </c>
      <c r="B401" s="7" t="str">
        <f aca="false">Scoring!CZ408</f>
        <v/>
      </c>
      <c r="C401" s="7" t="n">
        <f aca="false">Scoring!C408</f>
        <v>0</v>
      </c>
      <c r="D401" s="191" t="str">
        <f aca="false">Scoring!CW408</f>
        <v/>
      </c>
      <c r="E401" s="7" t="str">
        <f aca="false">Scoring!BX408</f>
        <v/>
      </c>
      <c r="F401" s="7" t="n">
        <f aca="false">Scoring!B408</f>
        <v>0</v>
      </c>
      <c r="G401" s="7" t="n">
        <f aca="false">Scoring!D408</f>
        <v>0</v>
      </c>
      <c r="H401" s="7" t="str">
        <f aca="false">Scoring!CY408</f>
        <v/>
      </c>
      <c r="I401" s="192" t="str">
        <f aca="false">Scoring!CX408</f>
        <v/>
      </c>
    </row>
    <row r="402" customFormat="false" ht="15.75" hidden="false" customHeight="false" outlineLevel="0" collapsed="false">
      <c r="A402" s="7" t="str">
        <f aca="false">Scoring!DA409</f>
        <v/>
      </c>
      <c r="B402" s="7" t="str">
        <f aca="false">Scoring!CZ409</f>
        <v/>
      </c>
      <c r="C402" s="7" t="n">
        <f aca="false">Scoring!C409</f>
        <v>0</v>
      </c>
      <c r="D402" s="191" t="str">
        <f aca="false">Scoring!CW409</f>
        <v/>
      </c>
      <c r="E402" s="7" t="str">
        <f aca="false">Scoring!BX409</f>
        <v/>
      </c>
      <c r="F402" s="7" t="n">
        <f aca="false">Scoring!B409</f>
        <v>0</v>
      </c>
      <c r="G402" s="7" t="n">
        <f aca="false">Scoring!D409</f>
        <v>0</v>
      </c>
      <c r="H402" s="7" t="str">
        <f aca="false">Scoring!CY409</f>
        <v/>
      </c>
      <c r="I402" s="192" t="str">
        <f aca="false">Scoring!CX409</f>
        <v/>
      </c>
    </row>
    <row r="403" customFormat="false" ht="15.75" hidden="false" customHeight="false" outlineLevel="0" collapsed="false">
      <c r="A403" s="7" t="str">
        <f aca="false">Scoring!DA410</f>
        <v/>
      </c>
      <c r="B403" s="7" t="str">
        <f aca="false">Scoring!CZ410</f>
        <v/>
      </c>
      <c r="C403" s="7" t="n">
        <f aca="false">Scoring!C410</f>
        <v>0</v>
      </c>
      <c r="D403" s="191" t="str">
        <f aca="false">Scoring!CW410</f>
        <v/>
      </c>
      <c r="E403" s="7" t="str">
        <f aca="false">Scoring!BX410</f>
        <v/>
      </c>
      <c r="F403" s="7" t="n">
        <f aca="false">Scoring!B410</f>
        <v>0</v>
      </c>
      <c r="G403" s="7" t="n">
        <f aca="false">Scoring!D410</f>
        <v>0</v>
      </c>
      <c r="H403" s="7" t="str">
        <f aca="false">Scoring!CY410</f>
        <v/>
      </c>
      <c r="I403" s="192" t="str">
        <f aca="false">Scoring!CX410</f>
        <v/>
      </c>
    </row>
    <row r="404" customFormat="false" ht="15.75" hidden="false" customHeight="false" outlineLevel="0" collapsed="false">
      <c r="A404" s="7" t="str">
        <f aca="false">Scoring!DA411</f>
        <v/>
      </c>
      <c r="B404" s="7" t="str">
        <f aca="false">Scoring!CZ411</f>
        <v/>
      </c>
      <c r="C404" s="7" t="n">
        <f aca="false">Scoring!C411</f>
        <v>0</v>
      </c>
      <c r="D404" s="191" t="str">
        <f aca="false">Scoring!CW411</f>
        <v/>
      </c>
      <c r="E404" s="7" t="str">
        <f aca="false">Scoring!BX411</f>
        <v/>
      </c>
      <c r="F404" s="7" t="n">
        <f aca="false">Scoring!B411</f>
        <v>0</v>
      </c>
      <c r="G404" s="7" t="n">
        <f aca="false">Scoring!D411</f>
        <v>0</v>
      </c>
      <c r="H404" s="7" t="str">
        <f aca="false">Scoring!CY411</f>
        <v/>
      </c>
      <c r="I404" s="192" t="str">
        <f aca="false">Scoring!CX411</f>
        <v/>
      </c>
    </row>
    <row r="405" customFormat="false" ht="15.75" hidden="false" customHeight="false" outlineLevel="0" collapsed="false">
      <c r="A405" s="7" t="str">
        <f aca="false">Scoring!DA412</f>
        <v/>
      </c>
      <c r="B405" s="7" t="str">
        <f aca="false">Scoring!CZ412</f>
        <v/>
      </c>
      <c r="C405" s="7" t="n">
        <f aca="false">Scoring!C412</f>
        <v>0</v>
      </c>
      <c r="D405" s="191" t="str">
        <f aca="false">Scoring!CW412</f>
        <v/>
      </c>
      <c r="E405" s="7" t="str">
        <f aca="false">Scoring!BX412</f>
        <v/>
      </c>
      <c r="F405" s="7" t="n">
        <f aca="false">Scoring!B412</f>
        <v>0</v>
      </c>
      <c r="G405" s="7" t="n">
        <f aca="false">Scoring!D412</f>
        <v>0</v>
      </c>
      <c r="H405" s="7" t="str">
        <f aca="false">Scoring!CY412</f>
        <v/>
      </c>
      <c r="I405" s="192" t="str">
        <f aca="false">Scoring!CX412</f>
        <v/>
      </c>
    </row>
    <row r="406" customFormat="false" ht="15.75" hidden="false" customHeight="false" outlineLevel="0" collapsed="false">
      <c r="A406" s="7" t="str">
        <f aca="false">Scoring!DA413</f>
        <v/>
      </c>
      <c r="B406" s="7" t="str">
        <f aca="false">Scoring!CZ413</f>
        <v/>
      </c>
      <c r="C406" s="7" t="n">
        <f aca="false">Scoring!C413</f>
        <v>0</v>
      </c>
      <c r="D406" s="191" t="str">
        <f aca="false">Scoring!CW413</f>
        <v/>
      </c>
      <c r="E406" s="7" t="str">
        <f aca="false">Scoring!BX413</f>
        <v/>
      </c>
      <c r="F406" s="7" t="n">
        <f aca="false">Scoring!B413</f>
        <v>0</v>
      </c>
      <c r="G406" s="7" t="n">
        <f aca="false">Scoring!D413</f>
        <v>0</v>
      </c>
      <c r="H406" s="7" t="str">
        <f aca="false">Scoring!CY413</f>
        <v/>
      </c>
      <c r="I406" s="192" t="str">
        <f aca="false">Scoring!CX413</f>
        <v/>
      </c>
    </row>
    <row r="407" customFormat="false" ht="15.75" hidden="false" customHeight="false" outlineLevel="0" collapsed="false">
      <c r="A407" s="7" t="str">
        <f aca="false">Scoring!DA414</f>
        <v/>
      </c>
      <c r="B407" s="7" t="str">
        <f aca="false">Scoring!CZ414</f>
        <v/>
      </c>
      <c r="C407" s="7" t="n">
        <f aca="false">Scoring!C414</f>
        <v>0</v>
      </c>
      <c r="D407" s="191" t="str">
        <f aca="false">Scoring!CW414</f>
        <v/>
      </c>
      <c r="E407" s="7" t="str">
        <f aca="false">Scoring!BX414</f>
        <v/>
      </c>
      <c r="F407" s="7" t="n">
        <f aca="false">Scoring!B414</f>
        <v>0</v>
      </c>
      <c r="G407" s="7" t="n">
        <f aca="false">Scoring!D414</f>
        <v>0</v>
      </c>
      <c r="H407" s="7" t="str">
        <f aca="false">Scoring!CY414</f>
        <v/>
      </c>
      <c r="I407" s="192" t="str">
        <f aca="false">Scoring!CX414</f>
        <v/>
      </c>
    </row>
    <row r="408" customFormat="false" ht="15.75" hidden="false" customHeight="false" outlineLevel="0" collapsed="false">
      <c r="A408" s="7" t="str">
        <f aca="false">Scoring!DA415</f>
        <v/>
      </c>
      <c r="B408" s="7" t="str">
        <f aca="false">Scoring!CZ415</f>
        <v/>
      </c>
      <c r="C408" s="7" t="n">
        <f aca="false">Scoring!C415</f>
        <v>0</v>
      </c>
      <c r="D408" s="191" t="str">
        <f aca="false">Scoring!CW415</f>
        <v/>
      </c>
      <c r="E408" s="7" t="str">
        <f aca="false">Scoring!BX415</f>
        <v/>
      </c>
      <c r="F408" s="7" t="n">
        <f aca="false">Scoring!B415</f>
        <v>0</v>
      </c>
      <c r="G408" s="7" t="n">
        <f aca="false">Scoring!D415</f>
        <v>0</v>
      </c>
      <c r="H408" s="7" t="str">
        <f aca="false">Scoring!CY415</f>
        <v/>
      </c>
      <c r="I408" s="192" t="str">
        <f aca="false">Scoring!CX415</f>
        <v/>
      </c>
    </row>
    <row r="409" customFormat="false" ht="15.75" hidden="false" customHeight="false" outlineLevel="0" collapsed="false">
      <c r="A409" s="7" t="str">
        <f aca="false">Scoring!DA416</f>
        <v/>
      </c>
      <c r="B409" s="7" t="str">
        <f aca="false">Scoring!CZ416</f>
        <v/>
      </c>
      <c r="C409" s="7" t="n">
        <f aca="false">Scoring!C416</f>
        <v>0</v>
      </c>
      <c r="D409" s="191" t="str">
        <f aca="false">Scoring!CW416</f>
        <v/>
      </c>
      <c r="E409" s="7" t="str">
        <f aca="false">Scoring!BX416</f>
        <v/>
      </c>
      <c r="F409" s="7" t="n">
        <f aca="false">Scoring!B416</f>
        <v>0</v>
      </c>
      <c r="G409" s="7" t="n">
        <f aca="false">Scoring!D416</f>
        <v>0</v>
      </c>
      <c r="H409" s="7" t="str">
        <f aca="false">Scoring!CY416</f>
        <v/>
      </c>
      <c r="I409" s="192" t="str">
        <f aca="false">Scoring!CX416</f>
        <v/>
      </c>
    </row>
    <row r="410" customFormat="false" ht="15.75" hidden="false" customHeight="false" outlineLevel="0" collapsed="false">
      <c r="A410" s="7" t="str">
        <f aca="false">Scoring!DA417</f>
        <v/>
      </c>
      <c r="B410" s="7" t="str">
        <f aca="false">Scoring!CZ417</f>
        <v/>
      </c>
      <c r="C410" s="7" t="n">
        <f aca="false">Scoring!C417</f>
        <v>0</v>
      </c>
      <c r="D410" s="191" t="str">
        <f aca="false">Scoring!CW417</f>
        <v/>
      </c>
      <c r="E410" s="7" t="str">
        <f aca="false">Scoring!BX417</f>
        <v/>
      </c>
      <c r="F410" s="7" t="n">
        <f aca="false">Scoring!B417</f>
        <v>0</v>
      </c>
      <c r="G410" s="7" t="n">
        <f aca="false">Scoring!D417</f>
        <v>0</v>
      </c>
      <c r="H410" s="7" t="str">
        <f aca="false">Scoring!CY417</f>
        <v/>
      </c>
      <c r="I410" s="192" t="str">
        <f aca="false">Scoring!CX417</f>
        <v/>
      </c>
    </row>
    <row r="411" customFormat="false" ht="15.75" hidden="false" customHeight="false" outlineLevel="0" collapsed="false">
      <c r="A411" s="7" t="str">
        <f aca="false">Scoring!DA418</f>
        <v/>
      </c>
      <c r="B411" s="7" t="str">
        <f aca="false">Scoring!CZ418</f>
        <v/>
      </c>
      <c r="C411" s="7" t="n">
        <f aca="false">Scoring!C418</f>
        <v>0</v>
      </c>
      <c r="D411" s="191" t="str">
        <f aca="false">Scoring!CW418</f>
        <v/>
      </c>
      <c r="E411" s="7" t="str">
        <f aca="false">Scoring!BX418</f>
        <v/>
      </c>
      <c r="F411" s="7" t="n">
        <f aca="false">Scoring!B418</f>
        <v>0</v>
      </c>
      <c r="G411" s="7" t="n">
        <f aca="false">Scoring!D418</f>
        <v>0</v>
      </c>
      <c r="H411" s="7" t="str">
        <f aca="false">Scoring!CY418</f>
        <v/>
      </c>
      <c r="I411" s="192" t="str">
        <f aca="false">Scoring!CX418</f>
        <v/>
      </c>
    </row>
    <row r="412" customFormat="false" ht="15.75" hidden="false" customHeight="false" outlineLevel="0" collapsed="false">
      <c r="A412" s="7" t="str">
        <f aca="false">Scoring!DA419</f>
        <v/>
      </c>
      <c r="B412" s="7" t="str">
        <f aca="false">Scoring!CZ419</f>
        <v/>
      </c>
      <c r="C412" s="7" t="n">
        <f aca="false">Scoring!C419</f>
        <v>0</v>
      </c>
      <c r="D412" s="191" t="str">
        <f aca="false">Scoring!CW419</f>
        <v/>
      </c>
      <c r="E412" s="7" t="str">
        <f aca="false">Scoring!BX419</f>
        <v/>
      </c>
      <c r="F412" s="7" t="n">
        <f aca="false">Scoring!B419</f>
        <v>0</v>
      </c>
      <c r="G412" s="7" t="n">
        <f aca="false">Scoring!D419</f>
        <v>0</v>
      </c>
      <c r="H412" s="7" t="str">
        <f aca="false">Scoring!CY419</f>
        <v/>
      </c>
      <c r="I412" s="192" t="str">
        <f aca="false">Scoring!CX419</f>
        <v/>
      </c>
    </row>
    <row r="413" customFormat="false" ht="15.75" hidden="false" customHeight="false" outlineLevel="0" collapsed="false">
      <c r="A413" s="7" t="str">
        <f aca="false">Scoring!DA420</f>
        <v/>
      </c>
      <c r="B413" s="7" t="str">
        <f aca="false">Scoring!CZ420</f>
        <v/>
      </c>
      <c r="C413" s="7" t="n">
        <f aca="false">Scoring!C420</f>
        <v>0</v>
      </c>
      <c r="D413" s="191" t="str">
        <f aca="false">Scoring!CW420</f>
        <v/>
      </c>
      <c r="E413" s="7" t="str">
        <f aca="false">Scoring!BX420</f>
        <v/>
      </c>
      <c r="F413" s="7" t="n">
        <f aca="false">Scoring!B420</f>
        <v>0</v>
      </c>
      <c r="G413" s="7" t="n">
        <f aca="false">Scoring!D420</f>
        <v>0</v>
      </c>
      <c r="H413" s="7" t="str">
        <f aca="false">Scoring!CY420</f>
        <v/>
      </c>
      <c r="I413" s="192" t="str">
        <f aca="false">Scoring!CX420</f>
        <v/>
      </c>
    </row>
    <row r="414" customFormat="false" ht="15.75" hidden="false" customHeight="false" outlineLevel="0" collapsed="false">
      <c r="A414" s="7" t="str">
        <f aca="false">Scoring!DA421</f>
        <v/>
      </c>
      <c r="B414" s="7" t="str">
        <f aca="false">Scoring!CZ421</f>
        <v/>
      </c>
      <c r="C414" s="7" t="n">
        <f aca="false">Scoring!C421</f>
        <v>0</v>
      </c>
      <c r="D414" s="191" t="str">
        <f aca="false">Scoring!CW421</f>
        <v/>
      </c>
      <c r="E414" s="7" t="str">
        <f aca="false">Scoring!BX421</f>
        <v/>
      </c>
      <c r="F414" s="7" t="n">
        <f aca="false">Scoring!B421</f>
        <v>0</v>
      </c>
      <c r="G414" s="7" t="n">
        <f aca="false">Scoring!D421</f>
        <v>0</v>
      </c>
      <c r="H414" s="7" t="str">
        <f aca="false">Scoring!CY421</f>
        <v/>
      </c>
      <c r="I414" s="192" t="str">
        <f aca="false">Scoring!CX421</f>
        <v/>
      </c>
    </row>
    <row r="415" customFormat="false" ht="15.75" hidden="false" customHeight="false" outlineLevel="0" collapsed="false">
      <c r="A415" s="7" t="str">
        <f aca="false">Scoring!DA422</f>
        <v/>
      </c>
      <c r="B415" s="7" t="str">
        <f aca="false">Scoring!CZ422</f>
        <v/>
      </c>
      <c r="C415" s="7" t="n">
        <f aca="false">Scoring!C422</f>
        <v>0</v>
      </c>
      <c r="D415" s="191" t="str">
        <f aca="false">Scoring!CW422</f>
        <v/>
      </c>
      <c r="E415" s="7" t="str">
        <f aca="false">Scoring!BX422</f>
        <v/>
      </c>
      <c r="F415" s="7" t="n">
        <f aca="false">Scoring!B422</f>
        <v>0</v>
      </c>
      <c r="G415" s="7" t="n">
        <f aca="false">Scoring!D422</f>
        <v>0</v>
      </c>
      <c r="H415" s="7" t="str">
        <f aca="false">Scoring!CY422</f>
        <v/>
      </c>
      <c r="I415" s="192" t="str">
        <f aca="false">Scoring!CX422</f>
        <v/>
      </c>
    </row>
    <row r="416" customFormat="false" ht="15.75" hidden="false" customHeight="false" outlineLevel="0" collapsed="false">
      <c r="A416" s="7" t="str">
        <f aca="false">Scoring!DA423</f>
        <v/>
      </c>
      <c r="B416" s="7" t="str">
        <f aca="false">Scoring!CZ423</f>
        <v/>
      </c>
      <c r="C416" s="7" t="n">
        <f aca="false">Scoring!C423</f>
        <v>0</v>
      </c>
      <c r="D416" s="191" t="str">
        <f aca="false">Scoring!CW423</f>
        <v/>
      </c>
      <c r="E416" s="7" t="str">
        <f aca="false">Scoring!BX423</f>
        <v/>
      </c>
      <c r="F416" s="7" t="n">
        <f aca="false">Scoring!B423</f>
        <v>0</v>
      </c>
      <c r="G416" s="7" t="n">
        <f aca="false">Scoring!D423</f>
        <v>0</v>
      </c>
      <c r="H416" s="7" t="str">
        <f aca="false">Scoring!CY423</f>
        <v/>
      </c>
      <c r="I416" s="192" t="str">
        <f aca="false">Scoring!CX423</f>
        <v/>
      </c>
    </row>
    <row r="417" customFormat="false" ht="15.75" hidden="false" customHeight="false" outlineLevel="0" collapsed="false">
      <c r="A417" s="7" t="str">
        <f aca="false">Scoring!DA424</f>
        <v/>
      </c>
      <c r="B417" s="7" t="str">
        <f aca="false">Scoring!CZ424</f>
        <v/>
      </c>
      <c r="C417" s="7" t="n">
        <f aca="false">Scoring!C424</f>
        <v>0</v>
      </c>
      <c r="D417" s="191" t="str">
        <f aca="false">Scoring!CW424</f>
        <v/>
      </c>
      <c r="E417" s="7" t="str">
        <f aca="false">Scoring!BX424</f>
        <v/>
      </c>
      <c r="F417" s="7" t="n">
        <f aca="false">Scoring!B424</f>
        <v>0</v>
      </c>
      <c r="G417" s="7" t="n">
        <f aca="false">Scoring!D424</f>
        <v>0</v>
      </c>
      <c r="H417" s="7" t="str">
        <f aca="false">Scoring!CY424</f>
        <v/>
      </c>
      <c r="I417" s="192" t="str">
        <f aca="false">Scoring!CX424</f>
        <v/>
      </c>
    </row>
    <row r="418" customFormat="false" ht="15.75" hidden="false" customHeight="false" outlineLevel="0" collapsed="false">
      <c r="A418" s="7" t="str">
        <f aca="false">Scoring!DA425</f>
        <v/>
      </c>
      <c r="B418" s="7" t="str">
        <f aca="false">Scoring!CZ425</f>
        <v/>
      </c>
      <c r="C418" s="7" t="n">
        <f aca="false">Scoring!C425</f>
        <v>0</v>
      </c>
      <c r="D418" s="191" t="str">
        <f aca="false">Scoring!CW425</f>
        <v/>
      </c>
      <c r="E418" s="7" t="str">
        <f aca="false">Scoring!BX425</f>
        <v/>
      </c>
      <c r="F418" s="7" t="n">
        <f aca="false">Scoring!B425</f>
        <v>0</v>
      </c>
      <c r="G418" s="7" t="n">
        <f aca="false">Scoring!D425</f>
        <v>0</v>
      </c>
      <c r="H418" s="7" t="str">
        <f aca="false">Scoring!CY425</f>
        <v/>
      </c>
      <c r="I418" s="192" t="str">
        <f aca="false">Scoring!CX425</f>
        <v/>
      </c>
    </row>
    <row r="419" customFormat="false" ht="15.75" hidden="false" customHeight="false" outlineLevel="0" collapsed="false">
      <c r="A419" s="7" t="str">
        <f aca="false">Scoring!DA426</f>
        <v/>
      </c>
      <c r="B419" s="7" t="str">
        <f aca="false">Scoring!CZ426</f>
        <v/>
      </c>
      <c r="C419" s="7" t="n">
        <f aca="false">Scoring!C426</f>
        <v>0</v>
      </c>
      <c r="D419" s="191" t="str">
        <f aca="false">Scoring!CW426</f>
        <v/>
      </c>
      <c r="E419" s="7" t="str">
        <f aca="false">Scoring!BX426</f>
        <v/>
      </c>
      <c r="F419" s="7" t="n">
        <f aca="false">Scoring!B426</f>
        <v>0</v>
      </c>
      <c r="G419" s="7" t="n">
        <f aca="false">Scoring!D426</f>
        <v>0</v>
      </c>
      <c r="H419" s="7" t="str">
        <f aca="false">Scoring!CY426</f>
        <v/>
      </c>
      <c r="I419" s="192" t="str">
        <f aca="false">Scoring!CX426</f>
        <v/>
      </c>
    </row>
    <row r="420" customFormat="false" ht="15.75" hidden="false" customHeight="false" outlineLevel="0" collapsed="false">
      <c r="A420" s="7" t="str">
        <f aca="false">Scoring!DA427</f>
        <v/>
      </c>
      <c r="B420" s="7" t="str">
        <f aca="false">Scoring!CZ427</f>
        <v/>
      </c>
      <c r="C420" s="7" t="n">
        <f aca="false">Scoring!C427</f>
        <v>0</v>
      </c>
      <c r="D420" s="191" t="str">
        <f aca="false">Scoring!CW427</f>
        <v/>
      </c>
      <c r="E420" s="7" t="str">
        <f aca="false">Scoring!BX427</f>
        <v/>
      </c>
      <c r="F420" s="7" t="n">
        <f aca="false">Scoring!B427</f>
        <v>0</v>
      </c>
      <c r="G420" s="7" t="n">
        <f aca="false">Scoring!D427</f>
        <v>0</v>
      </c>
      <c r="H420" s="7" t="str">
        <f aca="false">Scoring!CY427</f>
        <v/>
      </c>
      <c r="I420" s="192" t="str">
        <f aca="false">Scoring!CX427</f>
        <v/>
      </c>
    </row>
    <row r="421" customFormat="false" ht="15.75" hidden="false" customHeight="false" outlineLevel="0" collapsed="false">
      <c r="A421" s="7" t="str">
        <f aca="false">Scoring!DA428</f>
        <v/>
      </c>
      <c r="B421" s="7" t="str">
        <f aca="false">Scoring!CZ428</f>
        <v/>
      </c>
      <c r="C421" s="7" t="n">
        <f aca="false">Scoring!C428</f>
        <v>0</v>
      </c>
      <c r="D421" s="191" t="str">
        <f aca="false">Scoring!CW428</f>
        <v/>
      </c>
      <c r="E421" s="7" t="str">
        <f aca="false">Scoring!BX428</f>
        <v/>
      </c>
      <c r="F421" s="7" t="n">
        <f aca="false">Scoring!B428</f>
        <v>0</v>
      </c>
      <c r="G421" s="7" t="n">
        <f aca="false">Scoring!D428</f>
        <v>0</v>
      </c>
      <c r="H421" s="7" t="str">
        <f aca="false">Scoring!CY428</f>
        <v/>
      </c>
      <c r="I421" s="192" t="str">
        <f aca="false">Scoring!CX428</f>
        <v/>
      </c>
    </row>
    <row r="422" customFormat="false" ht="15.75" hidden="false" customHeight="false" outlineLevel="0" collapsed="false">
      <c r="A422" s="7" t="str">
        <f aca="false">Scoring!DA429</f>
        <v/>
      </c>
      <c r="B422" s="7" t="str">
        <f aca="false">Scoring!CZ429</f>
        <v/>
      </c>
      <c r="C422" s="7" t="n">
        <f aca="false">Scoring!C429</f>
        <v>0</v>
      </c>
      <c r="D422" s="191" t="str">
        <f aca="false">Scoring!CW429</f>
        <v/>
      </c>
      <c r="E422" s="7" t="str">
        <f aca="false">Scoring!BX429</f>
        <v/>
      </c>
      <c r="F422" s="7" t="n">
        <f aca="false">Scoring!B429</f>
        <v>0</v>
      </c>
      <c r="G422" s="7" t="n">
        <f aca="false">Scoring!D429</f>
        <v>0</v>
      </c>
      <c r="H422" s="7" t="str">
        <f aca="false">Scoring!CY429</f>
        <v/>
      </c>
      <c r="I422" s="192" t="str">
        <f aca="false">Scoring!CX429</f>
        <v/>
      </c>
    </row>
    <row r="423" customFormat="false" ht="15.75" hidden="false" customHeight="false" outlineLevel="0" collapsed="false">
      <c r="A423" s="7" t="str">
        <f aca="false">Scoring!DA430</f>
        <v/>
      </c>
      <c r="B423" s="7" t="str">
        <f aca="false">Scoring!CZ430</f>
        <v/>
      </c>
      <c r="C423" s="7" t="n">
        <f aca="false">Scoring!C430</f>
        <v>0</v>
      </c>
      <c r="D423" s="191" t="str">
        <f aca="false">Scoring!CW430</f>
        <v/>
      </c>
      <c r="E423" s="7" t="str">
        <f aca="false">Scoring!BX430</f>
        <v/>
      </c>
      <c r="F423" s="7" t="n">
        <f aca="false">Scoring!B430</f>
        <v>0</v>
      </c>
      <c r="G423" s="7" t="n">
        <f aca="false">Scoring!D430</f>
        <v>0</v>
      </c>
      <c r="H423" s="7" t="str">
        <f aca="false">Scoring!CY430</f>
        <v/>
      </c>
      <c r="I423" s="192" t="str">
        <f aca="false">Scoring!CX430</f>
        <v/>
      </c>
    </row>
    <row r="424" customFormat="false" ht="15.75" hidden="false" customHeight="false" outlineLevel="0" collapsed="false">
      <c r="A424" s="7" t="str">
        <f aca="false">Scoring!DA431</f>
        <v/>
      </c>
      <c r="B424" s="7" t="str">
        <f aca="false">Scoring!CZ431</f>
        <v/>
      </c>
      <c r="C424" s="7" t="n">
        <f aca="false">Scoring!C431</f>
        <v>0</v>
      </c>
      <c r="D424" s="191" t="str">
        <f aca="false">Scoring!CW431</f>
        <v/>
      </c>
      <c r="E424" s="7" t="str">
        <f aca="false">Scoring!BX431</f>
        <v/>
      </c>
      <c r="F424" s="7" t="n">
        <f aca="false">Scoring!B431</f>
        <v>0</v>
      </c>
      <c r="G424" s="7" t="n">
        <f aca="false">Scoring!D431</f>
        <v>0</v>
      </c>
      <c r="H424" s="7" t="str">
        <f aca="false">Scoring!CY431</f>
        <v/>
      </c>
      <c r="I424" s="192" t="str">
        <f aca="false">Scoring!CX431</f>
        <v/>
      </c>
    </row>
    <row r="425" customFormat="false" ht="15.75" hidden="false" customHeight="false" outlineLevel="0" collapsed="false">
      <c r="A425" s="7" t="str">
        <f aca="false">Scoring!DA432</f>
        <v/>
      </c>
      <c r="B425" s="7" t="str">
        <f aca="false">Scoring!CZ432</f>
        <v/>
      </c>
      <c r="C425" s="7" t="n">
        <f aca="false">Scoring!C432</f>
        <v>0</v>
      </c>
      <c r="D425" s="191" t="str">
        <f aca="false">Scoring!CW432</f>
        <v/>
      </c>
      <c r="E425" s="7" t="str">
        <f aca="false">Scoring!BX432</f>
        <v/>
      </c>
      <c r="F425" s="7" t="n">
        <f aca="false">Scoring!B432</f>
        <v>0</v>
      </c>
      <c r="G425" s="7" t="n">
        <f aca="false">Scoring!D432</f>
        <v>0</v>
      </c>
      <c r="H425" s="7" t="str">
        <f aca="false">Scoring!CY432</f>
        <v/>
      </c>
      <c r="I425" s="192" t="str">
        <f aca="false">Scoring!CX432</f>
        <v/>
      </c>
    </row>
    <row r="426" customFormat="false" ht="15.75" hidden="false" customHeight="false" outlineLevel="0" collapsed="false">
      <c r="A426" s="7" t="str">
        <f aca="false">Scoring!DA433</f>
        <v/>
      </c>
      <c r="B426" s="7" t="str">
        <f aca="false">Scoring!CZ433</f>
        <v/>
      </c>
      <c r="C426" s="7" t="n">
        <f aca="false">Scoring!C433</f>
        <v>0</v>
      </c>
      <c r="D426" s="191" t="str">
        <f aca="false">Scoring!CW433</f>
        <v/>
      </c>
      <c r="E426" s="7" t="str">
        <f aca="false">Scoring!BX433</f>
        <v/>
      </c>
      <c r="F426" s="7" t="n">
        <f aca="false">Scoring!B433</f>
        <v>0</v>
      </c>
      <c r="G426" s="7" t="n">
        <f aca="false">Scoring!D433</f>
        <v>0</v>
      </c>
      <c r="H426" s="7" t="str">
        <f aca="false">Scoring!CY433</f>
        <v/>
      </c>
      <c r="I426" s="192" t="str">
        <f aca="false">Scoring!CX433</f>
        <v/>
      </c>
    </row>
    <row r="427" customFormat="false" ht="15.75" hidden="false" customHeight="false" outlineLevel="0" collapsed="false">
      <c r="A427" s="7" t="str">
        <f aca="false">Scoring!DA434</f>
        <v/>
      </c>
      <c r="B427" s="7" t="str">
        <f aca="false">Scoring!CZ434</f>
        <v/>
      </c>
      <c r="C427" s="7" t="n">
        <f aca="false">Scoring!C434</f>
        <v>0</v>
      </c>
      <c r="D427" s="191" t="str">
        <f aca="false">Scoring!CW434</f>
        <v/>
      </c>
      <c r="E427" s="7" t="str">
        <f aca="false">Scoring!BX434</f>
        <v/>
      </c>
      <c r="F427" s="7" t="n">
        <f aca="false">Scoring!B434</f>
        <v>0</v>
      </c>
      <c r="G427" s="7" t="n">
        <f aca="false">Scoring!D434</f>
        <v>0</v>
      </c>
      <c r="H427" s="7" t="str">
        <f aca="false">Scoring!CY434</f>
        <v/>
      </c>
      <c r="I427" s="192" t="str">
        <f aca="false">Scoring!CX434</f>
        <v/>
      </c>
    </row>
    <row r="428" customFormat="false" ht="15.75" hidden="false" customHeight="false" outlineLevel="0" collapsed="false">
      <c r="A428" s="7" t="str">
        <f aca="false">Scoring!DA435</f>
        <v/>
      </c>
      <c r="B428" s="7" t="str">
        <f aca="false">Scoring!CZ435</f>
        <v/>
      </c>
      <c r="C428" s="7" t="n">
        <f aca="false">Scoring!C435</f>
        <v>0</v>
      </c>
      <c r="D428" s="191" t="str">
        <f aca="false">Scoring!CW435</f>
        <v/>
      </c>
      <c r="E428" s="7" t="str">
        <f aca="false">Scoring!BX435</f>
        <v/>
      </c>
      <c r="F428" s="7" t="n">
        <f aca="false">Scoring!B435</f>
        <v>0</v>
      </c>
      <c r="G428" s="7" t="n">
        <f aca="false">Scoring!D435</f>
        <v>0</v>
      </c>
      <c r="H428" s="7" t="str">
        <f aca="false">Scoring!CY435</f>
        <v/>
      </c>
      <c r="I428" s="192" t="str">
        <f aca="false">Scoring!CX435</f>
        <v/>
      </c>
    </row>
    <row r="429" customFormat="false" ht="15.75" hidden="false" customHeight="false" outlineLevel="0" collapsed="false">
      <c r="A429" s="7" t="str">
        <f aca="false">Scoring!DA436</f>
        <v/>
      </c>
      <c r="B429" s="7" t="str">
        <f aca="false">Scoring!CZ436</f>
        <v/>
      </c>
      <c r="C429" s="7" t="n">
        <f aca="false">Scoring!C436</f>
        <v>0</v>
      </c>
      <c r="D429" s="191" t="str">
        <f aca="false">Scoring!CW436</f>
        <v/>
      </c>
      <c r="E429" s="7" t="str">
        <f aca="false">Scoring!BX436</f>
        <v/>
      </c>
      <c r="F429" s="7" t="n">
        <f aca="false">Scoring!B436</f>
        <v>0</v>
      </c>
      <c r="G429" s="7" t="n">
        <f aca="false">Scoring!D436</f>
        <v>0</v>
      </c>
      <c r="H429" s="7" t="str">
        <f aca="false">Scoring!CY436</f>
        <v/>
      </c>
      <c r="I429" s="192" t="str">
        <f aca="false">Scoring!CX436</f>
        <v/>
      </c>
    </row>
    <row r="430" customFormat="false" ht="15.75" hidden="false" customHeight="false" outlineLevel="0" collapsed="false">
      <c r="A430" s="7" t="str">
        <f aca="false">Scoring!DA437</f>
        <v/>
      </c>
      <c r="B430" s="7" t="str">
        <f aca="false">Scoring!CZ437</f>
        <v/>
      </c>
      <c r="C430" s="7" t="n">
        <f aca="false">Scoring!C437</f>
        <v>0</v>
      </c>
      <c r="D430" s="191" t="str">
        <f aca="false">Scoring!CW437</f>
        <v/>
      </c>
      <c r="E430" s="7" t="str">
        <f aca="false">Scoring!BX437</f>
        <v/>
      </c>
      <c r="F430" s="7" t="n">
        <f aca="false">Scoring!B437</f>
        <v>0</v>
      </c>
      <c r="G430" s="7" t="n">
        <f aca="false">Scoring!D437</f>
        <v>0</v>
      </c>
      <c r="H430" s="7" t="str">
        <f aca="false">Scoring!CY437</f>
        <v/>
      </c>
      <c r="I430" s="192" t="str">
        <f aca="false">Scoring!CX437</f>
        <v/>
      </c>
    </row>
    <row r="431" customFormat="false" ht="15.75" hidden="false" customHeight="false" outlineLevel="0" collapsed="false">
      <c r="A431" s="7" t="str">
        <f aca="false">Scoring!DA438</f>
        <v/>
      </c>
      <c r="B431" s="7" t="str">
        <f aca="false">Scoring!CZ438</f>
        <v/>
      </c>
      <c r="C431" s="7" t="n">
        <f aca="false">Scoring!C438</f>
        <v>0</v>
      </c>
      <c r="D431" s="191" t="str">
        <f aca="false">Scoring!CW438</f>
        <v/>
      </c>
      <c r="E431" s="7" t="str">
        <f aca="false">Scoring!BX438</f>
        <v/>
      </c>
      <c r="F431" s="7" t="n">
        <f aca="false">Scoring!B438</f>
        <v>0</v>
      </c>
      <c r="G431" s="7" t="n">
        <f aca="false">Scoring!D438</f>
        <v>0</v>
      </c>
      <c r="H431" s="7" t="str">
        <f aca="false">Scoring!CY438</f>
        <v/>
      </c>
      <c r="I431" s="192" t="str">
        <f aca="false">Scoring!CX438</f>
        <v/>
      </c>
    </row>
    <row r="432" customFormat="false" ht="15.75" hidden="false" customHeight="false" outlineLevel="0" collapsed="false">
      <c r="A432" s="7" t="str">
        <f aca="false">Scoring!DA439</f>
        <v/>
      </c>
      <c r="B432" s="7" t="str">
        <f aca="false">Scoring!CZ439</f>
        <v/>
      </c>
      <c r="C432" s="7" t="n">
        <f aca="false">Scoring!C439</f>
        <v>0</v>
      </c>
      <c r="D432" s="191" t="str">
        <f aca="false">Scoring!CW439</f>
        <v/>
      </c>
      <c r="E432" s="7" t="str">
        <f aca="false">Scoring!BX439</f>
        <v/>
      </c>
      <c r="F432" s="7" t="n">
        <f aca="false">Scoring!B439</f>
        <v>0</v>
      </c>
      <c r="G432" s="7" t="n">
        <f aca="false">Scoring!D439</f>
        <v>0</v>
      </c>
      <c r="H432" s="7" t="str">
        <f aca="false">Scoring!CY439</f>
        <v/>
      </c>
      <c r="I432" s="192" t="str">
        <f aca="false">Scoring!CX439</f>
        <v/>
      </c>
    </row>
    <row r="433" customFormat="false" ht="15.75" hidden="false" customHeight="false" outlineLevel="0" collapsed="false">
      <c r="A433" s="7" t="str">
        <f aca="false">Scoring!DA440</f>
        <v/>
      </c>
      <c r="B433" s="7" t="str">
        <f aca="false">Scoring!CZ440</f>
        <v/>
      </c>
      <c r="C433" s="7" t="n">
        <f aca="false">Scoring!C440</f>
        <v>0</v>
      </c>
      <c r="D433" s="191" t="str">
        <f aca="false">Scoring!CW440</f>
        <v/>
      </c>
      <c r="E433" s="7" t="str">
        <f aca="false">Scoring!BX440</f>
        <v/>
      </c>
      <c r="F433" s="7" t="n">
        <f aca="false">Scoring!B440</f>
        <v>0</v>
      </c>
      <c r="G433" s="7" t="n">
        <f aca="false">Scoring!D440</f>
        <v>0</v>
      </c>
      <c r="H433" s="7" t="str">
        <f aca="false">Scoring!CY440</f>
        <v/>
      </c>
      <c r="I433" s="192" t="str">
        <f aca="false">Scoring!CX440</f>
        <v/>
      </c>
    </row>
    <row r="434" customFormat="false" ht="15.75" hidden="false" customHeight="false" outlineLevel="0" collapsed="false">
      <c r="A434" s="7" t="str">
        <f aca="false">Scoring!DA441</f>
        <v/>
      </c>
      <c r="B434" s="7" t="str">
        <f aca="false">Scoring!CZ441</f>
        <v/>
      </c>
      <c r="C434" s="7" t="n">
        <f aca="false">Scoring!C441</f>
        <v>0</v>
      </c>
      <c r="D434" s="191" t="str">
        <f aca="false">Scoring!CW441</f>
        <v/>
      </c>
      <c r="E434" s="7" t="str">
        <f aca="false">Scoring!BX441</f>
        <v/>
      </c>
      <c r="F434" s="7" t="n">
        <f aca="false">Scoring!B441</f>
        <v>0</v>
      </c>
      <c r="G434" s="7" t="n">
        <f aca="false">Scoring!D441</f>
        <v>0</v>
      </c>
      <c r="H434" s="7" t="str">
        <f aca="false">Scoring!CY441</f>
        <v/>
      </c>
      <c r="I434" s="192" t="str">
        <f aca="false">Scoring!CX441</f>
        <v/>
      </c>
    </row>
    <row r="435" customFormat="false" ht="15.75" hidden="false" customHeight="false" outlineLevel="0" collapsed="false">
      <c r="A435" s="7" t="str">
        <f aca="false">Scoring!DA442</f>
        <v/>
      </c>
      <c r="B435" s="7" t="str">
        <f aca="false">Scoring!CZ442</f>
        <v/>
      </c>
      <c r="C435" s="7" t="n">
        <f aca="false">Scoring!C442</f>
        <v>0</v>
      </c>
      <c r="D435" s="191" t="str">
        <f aca="false">Scoring!CW442</f>
        <v/>
      </c>
      <c r="E435" s="7" t="str">
        <f aca="false">Scoring!BX442</f>
        <v/>
      </c>
      <c r="F435" s="7" t="n">
        <f aca="false">Scoring!B442</f>
        <v>0</v>
      </c>
      <c r="G435" s="7" t="n">
        <f aca="false">Scoring!D442</f>
        <v>0</v>
      </c>
      <c r="H435" s="7" t="str">
        <f aca="false">Scoring!CY442</f>
        <v/>
      </c>
      <c r="I435" s="192" t="str">
        <f aca="false">Scoring!CX442</f>
        <v/>
      </c>
    </row>
    <row r="436" customFormat="false" ht="15.75" hidden="false" customHeight="false" outlineLevel="0" collapsed="false">
      <c r="A436" s="7" t="str">
        <f aca="false">Scoring!DA443</f>
        <v/>
      </c>
      <c r="B436" s="7" t="str">
        <f aca="false">Scoring!CZ443</f>
        <v/>
      </c>
      <c r="C436" s="7" t="n">
        <f aca="false">Scoring!C443</f>
        <v>0</v>
      </c>
      <c r="D436" s="191" t="str">
        <f aca="false">Scoring!CW443</f>
        <v/>
      </c>
      <c r="E436" s="7" t="str">
        <f aca="false">Scoring!BX443</f>
        <v/>
      </c>
      <c r="F436" s="7" t="n">
        <f aca="false">Scoring!B443</f>
        <v>0</v>
      </c>
      <c r="G436" s="7" t="n">
        <f aca="false">Scoring!D443</f>
        <v>0</v>
      </c>
      <c r="H436" s="7" t="str">
        <f aca="false">Scoring!CY443</f>
        <v/>
      </c>
      <c r="I436" s="192" t="str">
        <f aca="false">Scoring!CX443</f>
        <v/>
      </c>
    </row>
    <row r="437" customFormat="false" ht="15.75" hidden="false" customHeight="false" outlineLevel="0" collapsed="false">
      <c r="A437" s="7" t="str">
        <f aca="false">Scoring!DA444</f>
        <v/>
      </c>
      <c r="B437" s="7" t="str">
        <f aca="false">Scoring!CZ444</f>
        <v/>
      </c>
      <c r="C437" s="7" t="n">
        <f aca="false">Scoring!C444</f>
        <v>0</v>
      </c>
      <c r="D437" s="191" t="str">
        <f aca="false">Scoring!CW444</f>
        <v/>
      </c>
      <c r="E437" s="7" t="str">
        <f aca="false">Scoring!BX444</f>
        <v/>
      </c>
      <c r="F437" s="7" t="n">
        <f aca="false">Scoring!B444</f>
        <v>0</v>
      </c>
      <c r="G437" s="7" t="n">
        <f aca="false">Scoring!D444</f>
        <v>0</v>
      </c>
      <c r="H437" s="7" t="str">
        <f aca="false">Scoring!CY444</f>
        <v/>
      </c>
      <c r="I437" s="192" t="str">
        <f aca="false">Scoring!CX444</f>
        <v/>
      </c>
    </row>
    <row r="438" customFormat="false" ht="15.75" hidden="false" customHeight="false" outlineLevel="0" collapsed="false">
      <c r="A438" s="7" t="str">
        <f aca="false">Scoring!DA445</f>
        <v/>
      </c>
      <c r="B438" s="7" t="str">
        <f aca="false">Scoring!CZ445</f>
        <v/>
      </c>
      <c r="C438" s="7" t="n">
        <f aca="false">Scoring!C445</f>
        <v>0</v>
      </c>
      <c r="D438" s="191" t="str">
        <f aca="false">Scoring!CW445</f>
        <v/>
      </c>
      <c r="E438" s="7" t="str">
        <f aca="false">Scoring!BX445</f>
        <v/>
      </c>
      <c r="F438" s="7" t="n">
        <f aca="false">Scoring!B445</f>
        <v>0</v>
      </c>
      <c r="G438" s="7" t="n">
        <f aca="false">Scoring!D445</f>
        <v>0</v>
      </c>
      <c r="H438" s="7" t="str">
        <f aca="false">Scoring!CY445</f>
        <v/>
      </c>
      <c r="I438" s="192" t="str">
        <f aca="false">Scoring!CX445</f>
        <v/>
      </c>
    </row>
    <row r="439" customFormat="false" ht="15.75" hidden="false" customHeight="false" outlineLevel="0" collapsed="false">
      <c r="A439" s="7" t="str">
        <f aca="false">Scoring!DA446</f>
        <v/>
      </c>
      <c r="B439" s="7" t="str">
        <f aca="false">Scoring!CZ446</f>
        <v/>
      </c>
      <c r="C439" s="7" t="n">
        <f aca="false">Scoring!C446</f>
        <v>0</v>
      </c>
      <c r="D439" s="191" t="str">
        <f aca="false">Scoring!CW446</f>
        <v/>
      </c>
      <c r="E439" s="7" t="str">
        <f aca="false">Scoring!BX446</f>
        <v/>
      </c>
      <c r="F439" s="7" t="n">
        <f aca="false">Scoring!B446</f>
        <v>0</v>
      </c>
      <c r="G439" s="7" t="n">
        <f aca="false">Scoring!D446</f>
        <v>0</v>
      </c>
      <c r="H439" s="7" t="str">
        <f aca="false">Scoring!CY446</f>
        <v/>
      </c>
      <c r="I439" s="192" t="str">
        <f aca="false">Scoring!CX446</f>
        <v/>
      </c>
    </row>
    <row r="440" customFormat="false" ht="15.75" hidden="false" customHeight="false" outlineLevel="0" collapsed="false">
      <c r="A440" s="7" t="str">
        <f aca="false">Scoring!DA447</f>
        <v/>
      </c>
      <c r="B440" s="7" t="str">
        <f aca="false">Scoring!CZ447</f>
        <v/>
      </c>
      <c r="C440" s="7" t="n">
        <f aca="false">Scoring!C447</f>
        <v>0</v>
      </c>
      <c r="D440" s="191" t="str">
        <f aca="false">Scoring!CW447</f>
        <v/>
      </c>
      <c r="E440" s="7" t="str">
        <f aca="false">Scoring!BX447</f>
        <v/>
      </c>
      <c r="F440" s="7" t="n">
        <f aca="false">Scoring!B447</f>
        <v>0</v>
      </c>
      <c r="G440" s="7" t="n">
        <f aca="false">Scoring!D447</f>
        <v>0</v>
      </c>
      <c r="H440" s="7" t="str">
        <f aca="false">Scoring!CY447</f>
        <v/>
      </c>
      <c r="I440" s="192" t="str">
        <f aca="false">Scoring!CX447</f>
        <v/>
      </c>
    </row>
    <row r="441" customFormat="false" ht="15.75" hidden="false" customHeight="false" outlineLevel="0" collapsed="false">
      <c r="A441" s="7" t="str">
        <f aca="false">Scoring!DA448</f>
        <v/>
      </c>
      <c r="B441" s="7" t="str">
        <f aca="false">Scoring!CZ448</f>
        <v/>
      </c>
      <c r="C441" s="7" t="n">
        <f aca="false">Scoring!C448</f>
        <v>0</v>
      </c>
      <c r="D441" s="191" t="str">
        <f aca="false">Scoring!CW448</f>
        <v/>
      </c>
      <c r="E441" s="7" t="str">
        <f aca="false">Scoring!BX448</f>
        <v/>
      </c>
      <c r="F441" s="7" t="n">
        <f aca="false">Scoring!B448</f>
        <v>0</v>
      </c>
      <c r="G441" s="7" t="n">
        <f aca="false">Scoring!D448</f>
        <v>0</v>
      </c>
      <c r="H441" s="7" t="str">
        <f aca="false">Scoring!CY448</f>
        <v/>
      </c>
      <c r="I441" s="192" t="str">
        <f aca="false">Scoring!CX448</f>
        <v/>
      </c>
    </row>
    <row r="442" customFormat="false" ht="15.75" hidden="false" customHeight="false" outlineLevel="0" collapsed="false">
      <c r="A442" s="7" t="str">
        <f aca="false">Scoring!DA449</f>
        <v/>
      </c>
      <c r="B442" s="7" t="str">
        <f aca="false">Scoring!CZ449</f>
        <v/>
      </c>
      <c r="C442" s="7" t="n">
        <f aca="false">Scoring!C449</f>
        <v>0</v>
      </c>
      <c r="D442" s="191" t="str">
        <f aca="false">Scoring!CW449</f>
        <v/>
      </c>
      <c r="E442" s="7" t="str">
        <f aca="false">Scoring!BX449</f>
        <v/>
      </c>
      <c r="F442" s="7" t="n">
        <f aca="false">Scoring!B449</f>
        <v>0</v>
      </c>
      <c r="G442" s="7" t="n">
        <f aca="false">Scoring!D449</f>
        <v>0</v>
      </c>
      <c r="H442" s="7" t="str">
        <f aca="false">Scoring!CY449</f>
        <v/>
      </c>
      <c r="I442" s="192" t="str">
        <f aca="false">Scoring!CX449</f>
        <v/>
      </c>
    </row>
    <row r="443" customFormat="false" ht="15.75" hidden="false" customHeight="false" outlineLevel="0" collapsed="false">
      <c r="A443" s="7" t="str">
        <f aca="false">Scoring!DA450</f>
        <v/>
      </c>
      <c r="B443" s="7" t="str">
        <f aca="false">Scoring!CZ450</f>
        <v/>
      </c>
      <c r="C443" s="7" t="n">
        <f aca="false">Scoring!C450</f>
        <v>0</v>
      </c>
      <c r="D443" s="191" t="str">
        <f aca="false">Scoring!CW450</f>
        <v/>
      </c>
      <c r="E443" s="7" t="str">
        <f aca="false">Scoring!BX450</f>
        <v/>
      </c>
      <c r="F443" s="7" t="n">
        <f aca="false">Scoring!B450</f>
        <v>0</v>
      </c>
      <c r="G443" s="7" t="n">
        <f aca="false">Scoring!D450</f>
        <v>0</v>
      </c>
      <c r="H443" s="7" t="str">
        <f aca="false">Scoring!CY450</f>
        <v/>
      </c>
      <c r="I443" s="192" t="str">
        <f aca="false">Scoring!CX450</f>
        <v/>
      </c>
    </row>
    <row r="444" customFormat="false" ht="15.75" hidden="false" customHeight="false" outlineLevel="0" collapsed="false">
      <c r="A444" s="7" t="str">
        <f aca="false">Scoring!DA451</f>
        <v/>
      </c>
      <c r="B444" s="7" t="str">
        <f aca="false">Scoring!CZ451</f>
        <v/>
      </c>
      <c r="C444" s="7" t="n">
        <f aca="false">Scoring!C451</f>
        <v>0</v>
      </c>
      <c r="D444" s="191" t="str">
        <f aca="false">Scoring!CW451</f>
        <v/>
      </c>
      <c r="E444" s="7" t="str">
        <f aca="false">Scoring!BX451</f>
        <v/>
      </c>
      <c r="F444" s="7" t="n">
        <f aca="false">Scoring!B451</f>
        <v>0</v>
      </c>
      <c r="G444" s="7" t="n">
        <f aca="false">Scoring!D451</f>
        <v>0</v>
      </c>
      <c r="H444" s="7" t="str">
        <f aca="false">Scoring!CY451</f>
        <v/>
      </c>
      <c r="I444" s="192" t="str">
        <f aca="false">Scoring!CX451</f>
        <v/>
      </c>
    </row>
    <row r="445" customFormat="false" ht="15.75" hidden="false" customHeight="false" outlineLevel="0" collapsed="false">
      <c r="A445" s="7" t="str">
        <f aca="false">Scoring!DA452</f>
        <v/>
      </c>
      <c r="B445" s="7" t="str">
        <f aca="false">Scoring!CZ452</f>
        <v/>
      </c>
      <c r="C445" s="7" t="n">
        <f aca="false">Scoring!C452</f>
        <v>0</v>
      </c>
      <c r="D445" s="191" t="str">
        <f aca="false">Scoring!CW452</f>
        <v/>
      </c>
      <c r="E445" s="7" t="str">
        <f aca="false">Scoring!BX452</f>
        <v/>
      </c>
      <c r="F445" s="7" t="n">
        <f aca="false">Scoring!B452</f>
        <v>0</v>
      </c>
      <c r="G445" s="7" t="n">
        <f aca="false">Scoring!D452</f>
        <v>0</v>
      </c>
      <c r="H445" s="7" t="str">
        <f aca="false">Scoring!CY452</f>
        <v/>
      </c>
      <c r="I445" s="192" t="str">
        <f aca="false">Scoring!CX452</f>
        <v/>
      </c>
    </row>
    <row r="446" customFormat="false" ht="15.75" hidden="false" customHeight="false" outlineLevel="0" collapsed="false">
      <c r="A446" s="7" t="str">
        <f aca="false">Scoring!DA453</f>
        <v/>
      </c>
      <c r="B446" s="7" t="str">
        <f aca="false">Scoring!CZ453</f>
        <v/>
      </c>
      <c r="C446" s="7" t="n">
        <f aca="false">Scoring!C453</f>
        <v>0</v>
      </c>
      <c r="D446" s="191" t="str">
        <f aca="false">Scoring!CW453</f>
        <v/>
      </c>
      <c r="E446" s="7" t="str">
        <f aca="false">Scoring!BX453</f>
        <v/>
      </c>
      <c r="F446" s="7" t="n">
        <f aca="false">Scoring!B453</f>
        <v>0</v>
      </c>
      <c r="G446" s="7" t="n">
        <f aca="false">Scoring!D453</f>
        <v>0</v>
      </c>
      <c r="H446" s="7" t="str">
        <f aca="false">Scoring!CY453</f>
        <v/>
      </c>
      <c r="I446" s="192" t="str">
        <f aca="false">Scoring!CX453</f>
        <v/>
      </c>
    </row>
    <row r="447" customFormat="false" ht="15.75" hidden="false" customHeight="false" outlineLevel="0" collapsed="false">
      <c r="A447" s="7" t="str">
        <f aca="false">Scoring!DA454</f>
        <v/>
      </c>
      <c r="B447" s="7" t="str">
        <f aca="false">Scoring!CZ454</f>
        <v/>
      </c>
      <c r="C447" s="7" t="n">
        <f aca="false">Scoring!C454</f>
        <v>0</v>
      </c>
      <c r="D447" s="191" t="str">
        <f aca="false">Scoring!CW454</f>
        <v/>
      </c>
      <c r="E447" s="7" t="str">
        <f aca="false">Scoring!BX454</f>
        <v/>
      </c>
      <c r="F447" s="7" t="n">
        <f aca="false">Scoring!B454</f>
        <v>0</v>
      </c>
      <c r="G447" s="7" t="n">
        <f aca="false">Scoring!D454</f>
        <v>0</v>
      </c>
      <c r="H447" s="7" t="str">
        <f aca="false">Scoring!CY454</f>
        <v/>
      </c>
      <c r="I447" s="192" t="str">
        <f aca="false">Scoring!CX454</f>
        <v/>
      </c>
    </row>
    <row r="448" customFormat="false" ht="15.75" hidden="false" customHeight="false" outlineLevel="0" collapsed="false">
      <c r="A448" s="7" t="str">
        <f aca="false">Scoring!DA455</f>
        <v/>
      </c>
      <c r="B448" s="7" t="str">
        <f aca="false">Scoring!CZ455</f>
        <v/>
      </c>
      <c r="C448" s="7" t="n">
        <f aca="false">Scoring!C455</f>
        <v>0</v>
      </c>
      <c r="D448" s="191" t="str">
        <f aca="false">Scoring!CW455</f>
        <v/>
      </c>
      <c r="E448" s="7" t="str">
        <f aca="false">Scoring!BX455</f>
        <v/>
      </c>
      <c r="F448" s="7" t="n">
        <f aca="false">Scoring!B455</f>
        <v>0</v>
      </c>
      <c r="G448" s="7" t="n">
        <f aca="false">Scoring!D455</f>
        <v>0</v>
      </c>
      <c r="H448" s="7" t="str">
        <f aca="false">Scoring!CY455</f>
        <v/>
      </c>
      <c r="I448" s="192" t="str">
        <f aca="false">Scoring!CX455</f>
        <v/>
      </c>
    </row>
    <row r="449" customFormat="false" ht="15.75" hidden="false" customHeight="false" outlineLevel="0" collapsed="false">
      <c r="A449" s="7" t="str">
        <f aca="false">Scoring!DA456</f>
        <v/>
      </c>
      <c r="B449" s="7" t="str">
        <f aca="false">Scoring!CZ456</f>
        <v/>
      </c>
      <c r="C449" s="7" t="n">
        <f aca="false">Scoring!C456</f>
        <v>0</v>
      </c>
      <c r="D449" s="191" t="str">
        <f aca="false">Scoring!CW456</f>
        <v/>
      </c>
      <c r="E449" s="7" t="str">
        <f aca="false">Scoring!BX456</f>
        <v/>
      </c>
      <c r="F449" s="7" t="n">
        <f aca="false">Scoring!B456</f>
        <v>0</v>
      </c>
      <c r="G449" s="7" t="n">
        <f aca="false">Scoring!D456</f>
        <v>0</v>
      </c>
      <c r="H449" s="7" t="str">
        <f aca="false">Scoring!CY456</f>
        <v/>
      </c>
      <c r="I449" s="192" t="str">
        <f aca="false">Scoring!CX456</f>
        <v/>
      </c>
    </row>
    <row r="450" customFormat="false" ht="15.75" hidden="false" customHeight="false" outlineLevel="0" collapsed="false">
      <c r="A450" s="7" t="str">
        <f aca="false">Scoring!DA457</f>
        <v/>
      </c>
      <c r="B450" s="7" t="str">
        <f aca="false">Scoring!CZ457</f>
        <v/>
      </c>
      <c r="C450" s="7" t="n">
        <f aca="false">Scoring!C457</f>
        <v>0</v>
      </c>
      <c r="D450" s="191" t="str">
        <f aca="false">Scoring!CW457</f>
        <v/>
      </c>
      <c r="E450" s="7" t="str">
        <f aca="false">Scoring!BX457</f>
        <v/>
      </c>
      <c r="F450" s="7" t="n">
        <f aca="false">Scoring!B457</f>
        <v>0</v>
      </c>
      <c r="G450" s="7" t="n">
        <f aca="false">Scoring!D457</f>
        <v>0</v>
      </c>
      <c r="H450" s="7" t="str">
        <f aca="false">Scoring!CY457</f>
        <v/>
      </c>
      <c r="I450" s="192" t="str">
        <f aca="false">Scoring!CX457</f>
        <v/>
      </c>
    </row>
    <row r="451" customFormat="false" ht="15.75" hidden="false" customHeight="false" outlineLevel="0" collapsed="false">
      <c r="A451" s="7" t="str">
        <f aca="false">Scoring!DA458</f>
        <v/>
      </c>
      <c r="B451" s="7" t="str">
        <f aca="false">Scoring!CZ458</f>
        <v/>
      </c>
      <c r="C451" s="7" t="n">
        <f aca="false">Scoring!C458</f>
        <v>0</v>
      </c>
      <c r="D451" s="191" t="str">
        <f aca="false">Scoring!CW458</f>
        <v/>
      </c>
      <c r="E451" s="7" t="str">
        <f aca="false">Scoring!BX458</f>
        <v/>
      </c>
      <c r="F451" s="7" t="n">
        <f aca="false">Scoring!B458</f>
        <v>0</v>
      </c>
      <c r="G451" s="7" t="n">
        <f aca="false">Scoring!D458</f>
        <v>0</v>
      </c>
      <c r="H451" s="7" t="str">
        <f aca="false">Scoring!CY458</f>
        <v/>
      </c>
      <c r="I451" s="192" t="str">
        <f aca="false">Scoring!CX458</f>
        <v/>
      </c>
    </row>
    <row r="452" customFormat="false" ht="15.75" hidden="false" customHeight="false" outlineLevel="0" collapsed="false">
      <c r="A452" s="7" t="str">
        <f aca="false">Scoring!DA459</f>
        <v/>
      </c>
      <c r="B452" s="7" t="str">
        <f aca="false">Scoring!CZ459</f>
        <v/>
      </c>
      <c r="C452" s="7" t="n">
        <f aca="false">Scoring!C459</f>
        <v>0</v>
      </c>
      <c r="D452" s="191" t="str">
        <f aca="false">Scoring!CW459</f>
        <v/>
      </c>
      <c r="E452" s="7" t="str">
        <f aca="false">Scoring!BX459</f>
        <v/>
      </c>
      <c r="F452" s="7" t="n">
        <f aca="false">Scoring!B459</f>
        <v>0</v>
      </c>
      <c r="G452" s="7" t="n">
        <f aca="false">Scoring!D459</f>
        <v>0</v>
      </c>
      <c r="H452" s="7" t="str">
        <f aca="false">Scoring!CY459</f>
        <v/>
      </c>
      <c r="I452" s="192" t="str">
        <f aca="false">Scoring!CX459</f>
        <v/>
      </c>
    </row>
    <row r="453" customFormat="false" ht="15.75" hidden="false" customHeight="false" outlineLevel="0" collapsed="false">
      <c r="A453" s="7" t="str">
        <f aca="false">Scoring!DA460</f>
        <v/>
      </c>
      <c r="B453" s="7" t="str">
        <f aca="false">Scoring!CZ460</f>
        <v/>
      </c>
      <c r="C453" s="7" t="n">
        <f aca="false">Scoring!C460</f>
        <v>0</v>
      </c>
      <c r="D453" s="191" t="str">
        <f aca="false">Scoring!CW460</f>
        <v/>
      </c>
      <c r="E453" s="7" t="str">
        <f aca="false">Scoring!BX460</f>
        <v/>
      </c>
      <c r="F453" s="7" t="n">
        <f aca="false">Scoring!B460</f>
        <v>0</v>
      </c>
      <c r="G453" s="7" t="n">
        <f aca="false">Scoring!D460</f>
        <v>0</v>
      </c>
      <c r="H453" s="7" t="str">
        <f aca="false">Scoring!CY460</f>
        <v/>
      </c>
      <c r="I453" s="192" t="str">
        <f aca="false">Scoring!CX460</f>
        <v/>
      </c>
    </row>
    <row r="454" customFormat="false" ht="15.75" hidden="false" customHeight="false" outlineLevel="0" collapsed="false">
      <c r="A454" s="7" t="str">
        <f aca="false">Scoring!DA461</f>
        <v/>
      </c>
      <c r="B454" s="7" t="str">
        <f aca="false">Scoring!CZ461</f>
        <v/>
      </c>
      <c r="C454" s="7" t="n">
        <f aca="false">Scoring!C461</f>
        <v>0</v>
      </c>
      <c r="D454" s="191" t="str">
        <f aca="false">Scoring!CW461</f>
        <v/>
      </c>
      <c r="E454" s="7" t="str">
        <f aca="false">Scoring!BX461</f>
        <v/>
      </c>
      <c r="F454" s="7" t="n">
        <f aca="false">Scoring!B461</f>
        <v>0</v>
      </c>
      <c r="G454" s="7" t="n">
        <f aca="false">Scoring!D461</f>
        <v>0</v>
      </c>
      <c r="H454" s="7" t="str">
        <f aca="false">Scoring!CY461</f>
        <v/>
      </c>
      <c r="I454" s="192" t="str">
        <f aca="false">Scoring!CX461</f>
        <v/>
      </c>
    </row>
    <row r="455" customFormat="false" ht="15.75" hidden="false" customHeight="false" outlineLevel="0" collapsed="false">
      <c r="A455" s="7" t="str">
        <f aca="false">Scoring!DA462</f>
        <v/>
      </c>
      <c r="B455" s="7" t="str">
        <f aca="false">Scoring!CZ462</f>
        <v/>
      </c>
      <c r="C455" s="7" t="n">
        <f aca="false">Scoring!C462</f>
        <v>0</v>
      </c>
      <c r="D455" s="191" t="str">
        <f aca="false">Scoring!CW462</f>
        <v/>
      </c>
      <c r="E455" s="7" t="str">
        <f aca="false">Scoring!BX462</f>
        <v/>
      </c>
      <c r="F455" s="7" t="n">
        <f aca="false">Scoring!B462</f>
        <v>0</v>
      </c>
      <c r="G455" s="7" t="n">
        <f aca="false">Scoring!D462</f>
        <v>0</v>
      </c>
      <c r="H455" s="7" t="str">
        <f aca="false">Scoring!CY462</f>
        <v/>
      </c>
      <c r="I455" s="192" t="str">
        <f aca="false">Scoring!CX462</f>
        <v/>
      </c>
    </row>
    <row r="456" customFormat="false" ht="15.75" hidden="false" customHeight="false" outlineLevel="0" collapsed="false">
      <c r="A456" s="7" t="str">
        <f aca="false">Scoring!DA463</f>
        <v/>
      </c>
      <c r="B456" s="7" t="str">
        <f aca="false">Scoring!CZ463</f>
        <v/>
      </c>
      <c r="C456" s="7" t="n">
        <f aca="false">Scoring!C463</f>
        <v>0</v>
      </c>
      <c r="D456" s="191" t="str">
        <f aca="false">Scoring!CW463</f>
        <v/>
      </c>
      <c r="E456" s="7" t="str">
        <f aca="false">Scoring!BX463</f>
        <v/>
      </c>
      <c r="F456" s="7" t="n">
        <f aca="false">Scoring!B463</f>
        <v>0</v>
      </c>
      <c r="G456" s="7" t="n">
        <f aca="false">Scoring!D463</f>
        <v>0</v>
      </c>
      <c r="H456" s="7" t="str">
        <f aca="false">Scoring!CY463</f>
        <v/>
      </c>
      <c r="I456" s="192" t="str">
        <f aca="false">Scoring!CX463</f>
        <v/>
      </c>
    </row>
    <row r="457" customFormat="false" ht="15.75" hidden="false" customHeight="false" outlineLevel="0" collapsed="false">
      <c r="A457" s="7" t="str">
        <f aca="false">Scoring!DA464</f>
        <v/>
      </c>
      <c r="B457" s="7" t="str">
        <f aca="false">Scoring!CZ464</f>
        <v/>
      </c>
      <c r="C457" s="7" t="n">
        <f aca="false">Scoring!C464</f>
        <v>0</v>
      </c>
      <c r="D457" s="191" t="str">
        <f aca="false">Scoring!CW464</f>
        <v/>
      </c>
      <c r="E457" s="7" t="str">
        <f aca="false">Scoring!BX464</f>
        <v/>
      </c>
      <c r="F457" s="7" t="n">
        <f aca="false">Scoring!B464</f>
        <v>0</v>
      </c>
      <c r="G457" s="7" t="n">
        <f aca="false">Scoring!D464</f>
        <v>0</v>
      </c>
      <c r="H457" s="7" t="str">
        <f aca="false">Scoring!CY464</f>
        <v/>
      </c>
      <c r="I457" s="192" t="str">
        <f aca="false">Scoring!CX464</f>
        <v/>
      </c>
    </row>
    <row r="458" customFormat="false" ht="15.75" hidden="false" customHeight="false" outlineLevel="0" collapsed="false">
      <c r="A458" s="7" t="str">
        <f aca="false">Scoring!DA465</f>
        <v/>
      </c>
      <c r="B458" s="7" t="str">
        <f aca="false">Scoring!CZ465</f>
        <v/>
      </c>
      <c r="C458" s="7" t="n">
        <f aca="false">Scoring!C465</f>
        <v>0</v>
      </c>
      <c r="D458" s="191" t="str">
        <f aca="false">Scoring!CW465</f>
        <v/>
      </c>
      <c r="E458" s="7" t="str">
        <f aca="false">Scoring!BX465</f>
        <v/>
      </c>
      <c r="F458" s="7" t="n">
        <f aca="false">Scoring!B465</f>
        <v>0</v>
      </c>
      <c r="G458" s="7" t="n">
        <f aca="false">Scoring!D465</f>
        <v>0</v>
      </c>
      <c r="H458" s="7" t="str">
        <f aca="false">Scoring!CY465</f>
        <v/>
      </c>
      <c r="I458" s="192" t="str">
        <f aca="false">Scoring!CX465</f>
        <v/>
      </c>
    </row>
    <row r="459" customFormat="false" ht="15.75" hidden="false" customHeight="false" outlineLevel="0" collapsed="false">
      <c r="A459" s="7" t="str">
        <f aca="false">Scoring!DA466</f>
        <v/>
      </c>
      <c r="B459" s="7" t="str">
        <f aca="false">Scoring!CZ466</f>
        <v/>
      </c>
      <c r="C459" s="7" t="n">
        <f aca="false">Scoring!C466</f>
        <v>0</v>
      </c>
      <c r="D459" s="191" t="str">
        <f aca="false">Scoring!CW466</f>
        <v/>
      </c>
      <c r="E459" s="7" t="str">
        <f aca="false">Scoring!BX466</f>
        <v/>
      </c>
      <c r="F459" s="7" t="n">
        <f aca="false">Scoring!B466</f>
        <v>0</v>
      </c>
      <c r="G459" s="7" t="n">
        <f aca="false">Scoring!D466</f>
        <v>0</v>
      </c>
      <c r="H459" s="7" t="str">
        <f aca="false">Scoring!CY466</f>
        <v/>
      </c>
      <c r="I459" s="192" t="str">
        <f aca="false">Scoring!CX466</f>
        <v/>
      </c>
    </row>
    <row r="460" customFormat="false" ht="15.75" hidden="false" customHeight="false" outlineLevel="0" collapsed="false">
      <c r="A460" s="7" t="str">
        <f aca="false">Scoring!DA467</f>
        <v/>
      </c>
      <c r="B460" s="7" t="str">
        <f aca="false">Scoring!CZ467</f>
        <v/>
      </c>
      <c r="C460" s="7" t="n">
        <f aca="false">Scoring!C467</f>
        <v>0</v>
      </c>
      <c r="D460" s="191" t="str">
        <f aca="false">Scoring!CW467</f>
        <v/>
      </c>
      <c r="E460" s="7" t="str">
        <f aca="false">Scoring!BX467</f>
        <v/>
      </c>
      <c r="F460" s="7" t="n">
        <f aca="false">Scoring!B467</f>
        <v>0</v>
      </c>
      <c r="G460" s="7" t="n">
        <f aca="false">Scoring!D467</f>
        <v>0</v>
      </c>
      <c r="H460" s="7" t="str">
        <f aca="false">Scoring!CY467</f>
        <v/>
      </c>
      <c r="I460" s="192" t="str">
        <f aca="false">Scoring!CX467</f>
        <v/>
      </c>
    </row>
    <row r="461" customFormat="false" ht="15.75" hidden="false" customHeight="false" outlineLevel="0" collapsed="false">
      <c r="A461" s="7" t="str">
        <f aca="false">Scoring!DA468</f>
        <v/>
      </c>
      <c r="B461" s="7" t="str">
        <f aca="false">Scoring!CZ468</f>
        <v/>
      </c>
      <c r="C461" s="7" t="n">
        <f aca="false">Scoring!C468</f>
        <v>0</v>
      </c>
      <c r="D461" s="191" t="str">
        <f aca="false">Scoring!CW468</f>
        <v/>
      </c>
      <c r="E461" s="7" t="str">
        <f aca="false">Scoring!BX468</f>
        <v/>
      </c>
      <c r="F461" s="7" t="n">
        <f aca="false">Scoring!B468</f>
        <v>0</v>
      </c>
      <c r="G461" s="7" t="n">
        <f aca="false">Scoring!D468</f>
        <v>0</v>
      </c>
      <c r="H461" s="7" t="str">
        <f aca="false">Scoring!CY468</f>
        <v/>
      </c>
      <c r="I461" s="192" t="str">
        <f aca="false">Scoring!CX468</f>
        <v/>
      </c>
    </row>
    <row r="462" customFormat="false" ht="15.75" hidden="false" customHeight="false" outlineLevel="0" collapsed="false">
      <c r="A462" s="7" t="str">
        <f aca="false">Scoring!DA469</f>
        <v/>
      </c>
      <c r="B462" s="7" t="str">
        <f aca="false">Scoring!CZ469</f>
        <v/>
      </c>
      <c r="C462" s="7" t="n">
        <f aca="false">Scoring!C469</f>
        <v>0</v>
      </c>
      <c r="D462" s="191" t="str">
        <f aca="false">Scoring!CW469</f>
        <v/>
      </c>
      <c r="E462" s="7" t="str">
        <f aca="false">Scoring!BX469</f>
        <v/>
      </c>
      <c r="F462" s="7" t="n">
        <f aca="false">Scoring!B469</f>
        <v>0</v>
      </c>
      <c r="G462" s="7" t="n">
        <f aca="false">Scoring!D469</f>
        <v>0</v>
      </c>
      <c r="H462" s="7" t="str">
        <f aca="false">Scoring!CY469</f>
        <v/>
      </c>
      <c r="I462" s="192" t="str">
        <f aca="false">Scoring!CX469</f>
        <v/>
      </c>
    </row>
    <row r="463" customFormat="false" ht="15.75" hidden="false" customHeight="false" outlineLevel="0" collapsed="false">
      <c r="A463" s="7" t="str">
        <f aca="false">Scoring!DA470</f>
        <v/>
      </c>
      <c r="B463" s="7" t="str">
        <f aca="false">Scoring!CZ470</f>
        <v/>
      </c>
      <c r="C463" s="7" t="n">
        <f aca="false">Scoring!C470</f>
        <v>0</v>
      </c>
      <c r="D463" s="191" t="str">
        <f aca="false">Scoring!CW470</f>
        <v/>
      </c>
      <c r="E463" s="7" t="str">
        <f aca="false">Scoring!BX470</f>
        <v/>
      </c>
      <c r="F463" s="7" t="n">
        <f aca="false">Scoring!B470</f>
        <v>0</v>
      </c>
      <c r="G463" s="7" t="n">
        <f aca="false">Scoring!D470</f>
        <v>0</v>
      </c>
      <c r="H463" s="7" t="str">
        <f aca="false">Scoring!CY470</f>
        <v/>
      </c>
      <c r="I463" s="192" t="str">
        <f aca="false">Scoring!CX470</f>
        <v/>
      </c>
    </row>
    <row r="464" customFormat="false" ht="15.75" hidden="false" customHeight="false" outlineLevel="0" collapsed="false">
      <c r="A464" s="7" t="str">
        <f aca="false">Scoring!DA471</f>
        <v/>
      </c>
      <c r="B464" s="7" t="str">
        <f aca="false">Scoring!CZ471</f>
        <v/>
      </c>
      <c r="C464" s="7" t="n">
        <f aca="false">Scoring!C471</f>
        <v>0</v>
      </c>
      <c r="D464" s="191" t="str">
        <f aca="false">Scoring!CW471</f>
        <v/>
      </c>
      <c r="E464" s="7" t="str">
        <f aca="false">Scoring!BX471</f>
        <v/>
      </c>
      <c r="F464" s="7" t="n">
        <f aca="false">Scoring!B471</f>
        <v>0</v>
      </c>
      <c r="G464" s="7" t="n">
        <f aca="false">Scoring!D471</f>
        <v>0</v>
      </c>
      <c r="H464" s="7" t="str">
        <f aca="false">Scoring!CY471</f>
        <v/>
      </c>
      <c r="I464" s="192" t="str">
        <f aca="false">Scoring!CX471</f>
        <v/>
      </c>
    </row>
    <row r="465" customFormat="false" ht="15.75" hidden="false" customHeight="false" outlineLevel="0" collapsed="false">
      <c r="A465" s="7" t="str">
        <f aca="false">Scoring!DA472</f>
        <v/>
      </c>
      <c r="B465" s="7" t="str">
        <f aca="false">Scoring!CZ472</f>
        <v/>
      </c>
      <c r="C465" s="7" t="n">
        <f aca="false">Scoring!C472</f>
        <v>0</v>
      </c>
      <c r="D465" s="191" t="str">
        <f aca="false">Scoring!CW472</f>
        <v/>
      </c>
      <c r="E465" s="7" t="str">
        <f aca="false">Scoring!BX472</f>
        <v/>
      </c>
      <c r="F465" s="7" t="n">
        <f aca="false">Scoring!B472</f>
        <v>0</v>
      </c>
      <c r="G465" s="7" t="n">
        <f aca="false">Scoring!D472</f>
        <v>0</v>
      </c>
      <c r="H465" s="7" t="str">
        <f aca="false">Scoring!CY472</f>
        <v/>
      </c>
      <c r="I465" s="192" t="str">
        <f aca="false">Scoring!CX472</f>
        <v/>
      </c>
    </row>
    <row r="466" customFormat="false" ht="15.75" hidden="false" customHeight="false" outlineLevel="0" collapsed="false">
      <c r="A466" s="7" t="str">
        <f aca="false">Scoring!DA473</f>
        <v/>
      </c>
      <c r="B466" s="7" t="str">
        <f aca="false">Scoring!CZ473</f>
        <v/>
      </c>
      <c r="C466" s="7" t="n">
        <f aca="false">Scoring!C473</f>
        <v>0</v>
      </c>
      <c r="D466" s="191" t="str">
        <f aca="false">Scoring!CW473</f>
        <v/>
      </c>
      <c r="E466" s="7" t="str">
        <f aca="false">Scoring!BX473</f>
        <v/>
      </c>
      <c r="F466" s="7" t="n">
        <f aca="false">Scoring!B473</f>
        <v>0</v>
      </c>
      <c r="G466" s="7" t="n">
        <f aca="false">Scoring!D473</f>
        <v>0</v>
      </c>
      <c r="H466" s="7" t="str">
        <f aca="false">Scoring!CY473</f>
        <v/>
      </c>
      <c r="I466" s="192" t="str">
        <f aca="false">Scoring!CX473</f>
        <v/>
      </c>
    </row>
    <row r="467" customFormat="false" ht="15.75" hidden="false" customHeight="false" outlineLevel="0" collapsed="false">
      <c r="A467" s="7" t="str">
        <f aca="false">Scoring!DA474</f>
        <v/>
      </c>
      <c r="B467" s="7" t="str">
        <f aca="false">Scoring!CZ474</f>
        <v/>
      </c>
      <c r="C467" s="7" t="n">
        <f aca="false">Scoring!C474</f>
        <v>0</v>
      </c>
      <c r="D467" s="191" t="str">
        <f aca="false">Scoring!CW474</f>
        <v/>
      </c>
      <c r="E467" s="7" t="str">
        <f aca="false">Scoring!BX474</f>
        <v/>
      </c>
      <c r="F467" s="7" t="n">
        <f aca="false">Scoring!B474</f>
        <v>0</v>
      </c>
      <c r="G467" s="7" t="n">
        <f aca="false">Scoring!D474</f>
        <v>0</v>
      </c>
      <c r="H467" s="7" t="str">
        <f aca="false">Scoring!CY474</f>
        <v/>
      </c>
      <c r="I467" s="192" t="str">
        <f aca="false">Scoring!CX474</f>
        <v/>
      </c>
    </row>
    <row r="468" customFormat="false" ht="15.75" hidden="false" customHeight="false" outlineLevel="0" collapsed="false">
      <c r="A468" s="7" t="str">
        <f aca="false">Scoring!DA475</f>
        <v/>
      </c>
      <c r="B468" s="7" t="str">
        <f aca="false">Scoring!CZ475</f>
        <v/>
      </c>
      <c r="C468" s="7" t="n">
        <f aca="false">Scoring!C475</f>
        <v>0</v>
      </c>
      <c r="D468" s="191" t="str">
        <f aca="false">Scoring!CW475</f>
        <v/>
      </c>
      <c r="E468" s="7" t="str">
        <f aca="false">Scoring!BX475</f>
        <v/>
      </c>
      <c r="F468" s="7" t="n">
        <f aca="false">Scoring!B475</f>
        <v>0</v>
      </c>
      <c r="G468" s="7" t="n">
        <f aca="false">Scoring!D475</f>
        <v>0</v>
      </c>
      <c r="H468" s="7" t="str">
        <f aca="false">Scoring!CY475</f>
        <v/>
      </c>
      <c r="I468" s="192" t="str">
        <f aca="false">Scoring!CX475</f>
        <v/>
      </c>
    </row>
    <row r="469" customFormat="false" ht="15.75" hidden="false" customHeight="false" outlineLevel="0" collapsed="false">
      <c r="A469" s="7" t="str">
        <f aca="false">Scoring!DA476</f>
        <v/>
      </c>
      <c r="B469" s="7" t="str">
        <f aca="false">Scoring!CZ476</f>
        <v/>
      </c>
      <c r="C469" s="7" t="n">
        <f aca="false">Scoring!C476</f>
        <v>0</v>
      </c>
      <c r="D469" s="191" t="str">
        <f aca="false">Scoring!CW476</f>
        <v/>
      </c>
      <c r="E469" s="7" t="str">
        <f aca="false">Scoring!BX476</f>
        <v/>
      </c>
      <c r="F469" s="7" t="n">
        <f aca="false">Scoring!B476</f>
        <v>0</v>
      </c>
      <c r="G469" s="7" t="n">
        <f aca="false">Scoring!D476</f>
        <v>0</v>
      </c>
      <c r="H469" s="7" t="str">
        <f aca="false">Scoring!CY476</f>
        <v/>
      </c>
      <c r="I469" s="192" t="str">
        <f aca="false">Scoring!CX476</f>
        <v/>
      </c>
    </row>
    <row r="470" customFormat="false" ht="15.75" hidden="false" customHeight="false" outlineLevel="0" collapsed="false">
      <c r="A470" s="7" t="str">
        <f aca="false">Scoring!DA477</f>
        <v/>
      </c>
      <c r="B470" s="7" t="str">
        <f aca="false">Scoring!CZ477</f>
        <v/>
      </c>
      <c r="C470" s="7" t="n">
        <f aca="false">Scoring!C477</f>
        <v>0</v>
      </c>
      <c r="D470" s="191" t="str">
        <f aca="false">Scoring!CW477</f>
        <v/>
      </c>
      <c r="E470" s="7" t="str">
        <f aca="false">Scoring!BX477</f>
        <v/>
      </c>
      <c r="F470" s="7" t="n">
        <f aca="false">Scoring!B477</f>
        <v>0</v>
      </c>
      <c r="G470" s="7" t="n">
        <f aca="false">Scoring!D477</f>
        <v>0</v>
      </c>
      <c r="H470" s="7" t="str">
        <f aca="false">Scoring!CY477</f>
        <v/>
      </c>
      <c r="I470" s="192" t="str">
        <f aca="false">Scoring!CX477</f>
        <v/>
      </c>
    </row>
    <row r="471" customFormat="false" ht="15.75" hidden="false" customHeight="false" outlineLevel="0" collapsed="false">
      <c r="A471" s="7" t="str">
        <f aca="false">Scoring!DA478</f>
        <v/>
      </c>
      <c r="B471" s="7" t="str">
        <f aca="false">Scoring!CZ478</f>
        <v/>
      </c>
      <c r="C471" s="7" t="n">
        <f aca="false">Scoring!C478</f>
        <v>0</v>
      </c>
      <c r="D471" s="191" t="str">
        <f aca="false">Scoring!CW478</f>
        <v/>
      </c>
      <c r="E471" s="7" t="str">
        <f aca="false">Scoring!BX478</f>
        <v/>
      </c>
      <c r="F471" s="7" t="n">
        <f aca="false">Scoring!B478</f>
        <v>0</v>
      </c>
      <c r="G471" s="7" t="n">
        <f aca="false">Scoring!D478</f>
        <v>0</v>
      </c>
      <c r="H471" s="7" t="str">
        <f aca="false">Scoring!CY478</f>
        <v/>
      </c>
      <c r="I471" s="192" t="str">
        <f aca="false">Scoring!CX478</f>
        <v/>
      </c>
    </row>
    <row r="472" customFormat="false" ht="15.75" hidden="false" customHeight="false" outlineLevel="0" collapsed="false">
      <c r="A472" s="7" t="str">
        <f aca="false">Scoring!DA479</f>
        <v/>
      </c>
      <c r="B472" s="7" t="str">
        <f aca="false">Scoring!CZ479</f>
        <v/>
      </c>
      <c r="C472" s="7" t="n">
        <f aca="false">Scoring!C479</f>
        <v>0</v>
      </c>
      <c r="D472" s="191" t="str">
        <f aca="false">Scoring!CW479</f>
        <v/>
      </c>
      <c r="E472" s="7" t="str">
        <f aca="false">Scoring!BX479</f>
        <v/>
      </c>
      <c r="F472" s="7" t="n">
        <f aca="false">Scoring!B479</f>
        <v>0</v>
      </c>
      <c r="G472" s="7" t="n">
        <f aca="false">Scoring!D479</f>
        <v>0</v>
      </c>
      <c r="H472" s="7" t="str">
        <f aca="false">Scoring!CY479</f>
        <v/>
      </c>
      <c r="I472" s="192" t="str">
        <f aca="false">Scoring!CX479</f>
        <v/>
      </c>
    </row>
    <row r="473" customFormat="false" ht="15.75" hidden="false" customHeight="false" outlineLevel="0" collapsed="false">
      <c r="A473" s="7" t="str">
        <f aca="false">Scoring!DA480</f>
        <v/>
      </c>
      <c r="B473" s="7" t="str">
        <f aca="false">Scoring!CZ480</f>
        <v/>
      </c>
      <c r="C473" s="7" t="n">
        <f aca="false">Scoring!C480</f>
        <v>0</v>
      </c>
      <c r="D473" s="191" t="str">
        <f aca="false">Scoring!CW480</f>
        <v/>
      </c>
      <c r="E473" s="7" t="str">
        <f aca="false">Scoring!BX480</f>
        <v/>
      </c>
      <c r="F473" s="7" t="n">
        <f aca="false">Scoring!B480</f>
        <v>0</v>
      </c>
      <c r="G473" s="7" t="n">
        <f aca="false">Scoring!D480</f>
        <v>0</v>
      </c>
      <c r="H473" s="7" t="str">
        <f aca="false">Scoring!CY480</f>
        <v/>
      </c>
      <c r="I473" s="192" t="str">
        <f aca="false">Scoring!CX480</f>
        <v/>
      </c>
    </row>
    <row r="474" customFormat="false" ht="15.75" hidden="false" customHeight="false" outlineLevel="0" collapsed="false">
      <c r="A474" s="7" t="str">
        <f aca="false">Scoring!DA481</f>
        <v/>
      </c>
      <c r="B474" s="7" t="str">
        <f aca="false">Scoring!CZ481</f>
        <v/>
      </c>
      <c r="C474" s="7" t="n">
        <f aca="false">Scoring!C481</f>
        <v>0</v>
      </c>
      <c r="D474" s="191" t="str">
        <f aca="false">Scoring!CW481</f>
        <v/>
      </c>
      <c r="E474" s="7" t="str">
        <f aca="false">Scoring!BX481</f>
        <v/>
      </c>
      <c r="F474" s="7" t="n">
        <f aca="false">Scoring!B481</f>
        <v>0</v>
      </c>
      <c r="G474" s="7" t="n">
        <f aca="false">Scoring!D481</f>
        <v>0</v>
      </c>
      <c r="H474" s="7" t="str">
        <f aca="false">Scoring!CY481</f>
        <v/>
      </c>
      <c r="I474" s="192" t="str">
        <f aca="false">Scoring!CX481</f>
        <v/>
      </c>
    </row>
    <row r="475" customFormat="false" ht="15.75" hidden="false" customHeight="false" outlineLevel="0" collapsed="false">
      <c r="A475" s="7" t="str">
        <f aca="false">Scoring!DA482</f>
        <v/>
      </c>
      <c r="B475" s="7" t="str">
        <f aca="false">Scoring!CZ482</f>
        <v/>
      </c>
      <c r="C475" s="7" t="n">
        <f aca="false">Scoring!C482</f>
        <v>0</v>
      </c>
      <c r="D475" s="191" t="str">
        <f aca="false">Scoring!CW482</f>
        <v/>
      </c>
      <c r="E475" s="7" t="str">
        <f aca="false">Scoring!BX482</f>
        <v/>
      </c>
      <c r="F475" s="7" t="n">
        <f aca="false">Scoring!B482</f>
        <v>0</v>
      </c>
      <c r="G475" s="7" t="n">
        <f aca="false">Scoring!D482</f>
        <v>0</v>
      </c>
      <c r="H475" s="7" t="str">
        <f aca="false">Scoring!CY482</f>
        <v/>
      </c>
      <c r="I475" s="192" t="str">
        <f aca="false">Scoring!CX482</f>
        <v/>
      </c>
    </row>
    <row r="476" customFormat="false" ht="15.75" hidden="false" customHeight="false" outlineLevel="0" collapsed="false">
      <c r="A476" s="7" t="str">
        <f aca="false">Scoring!DA483</f>
        <v/>
      </c>
      <c r="B476" s="7" t="str">
        <f aca="false">Scoring!CZ483</f>
        <v/>
      </c>
      <c r="C476" s="7" t="n">
        <f aca="false">Scoring!C483</f>
        <v>0</v>
      </c>
      <c r="D476" s="191" t="str">
        <f aca="false">Scoring!CW483</f>
        <v/>
      </c>
      <c r="E476" s="7" t="str">
        <f aca="false">Scoring!BX483</f>
        <v/>
      </c>
      <c r="F476" s="7" t="n">
        <f aca="false">Scoring!B483</f>
        <v>0</v>
      </c>
      <c r="G476" s="7" t="n">
        <f aca="false">Scoring!D483</f>
        <v>0</v>
      </c>
      <c r="H476" s="7" t="str">
        <f aca="false">Scoring!CY483</f>
        <v/>
      </c>
      <c r="I476" s="192" t="str">
        <f aca="false">Scoring!CX483</f>
        <v/>
      </c>
    </row>
    <row r="477" customFormat="false" ht="15.75" hidden="false" customHeight="false" outlineLevel="0" collapsed="false">
      <c r="A477" s="7" t="str">
        <f aca="false">Scoring!DA484</f>
        <v/>
      </c>
      <c r="B477" s="7" t="str">
        <f aca="false">Scoring!CZ484</f>
        <v/>
      </c>
      <c r="C477" s="7" t="n">
        <f aca="false">Scoring!C484</f>
        <v>0</v>
      </c>
      <c r="D477" s="191" t="str">
        <f aca="false">Scoring!CW484</f>
        <v/>
      </c>
      <c r="E477" s="7" t="str">
        <f aca="false">Scoring!BX484</f>
        <v/>
      </c>
      <c r="F477" s="7" t="n">
        <f aca="false">Scoring!B484</f>
        <v>0</v>
      </c>
      <c r="G477" s="7" t="n">
        <f aca="false">Scoring!D484</f>
        <v>0</v>
      </c>
      <c r="H477" s="7" t="str">
        <f aca="false">Scoring!CY484</f>
        <v/>
      </c>
      <c r="I477" s="192" t="str">
        <f aca="false">Scoring!CX484</f>
        <v/>
      </c>
    </row>
    <row r="478" customFormat="false" ht="15.75" hidden="false" customHeight="false" outlineLevel="0" collapsed="false">
      <c r="A478" s="7" t="str">
        <f aca="false">Scoring!DA485</f>
        <v/>
      </c>
      <c r="B478" s="7" t="str">
        <f aca="false">Scoring!CZ485</f>
        <v/>
      </c>
      <c r="C478" s="7" t="n">
        <f aca="false">Scoring!C485</f>
        <v>0</v>
      </c>
      <c r="D478" s="191" t="str">
        <f aca="false">Scoring!CW485</f>
        <v/>
      </c>
      <c r="E478" s="7" t="str">
        <f aca="false">Scoring!BX485</f>
        <v/>
      </c>
      <c r="F478" s="7" t="n">
        <f aca="false">Scoring!B485</f>
        <v>0</v>
      </c>
      <c r="G478" s="7" t="n">
        <f aca="false">Scoring!D485</f>
        <v>0</v>
      </c>
      <c r="H478" s="7" t="str">
        <f aca="false">Scoring!CY485</f>
        <v/>
      </c>
      <c r="I478" s="192" t="str">
        <f aca="false">Scoring!CX485</f>
        <v/>
      </c>
    </row>
    <row r="479" customFormat="false" ht="15.75" hidden="false" customHeight="false" outlineLevel="0" collapsed="false">
      <c r="A479" s="7" t="str">
        <f aca="false">Scoring!DA486</f>
        <v/>
      </c>
      <c r="B479" s="7" t="str">
        <f aca="false">Scoring!CZ486</f>
        <v/>
      </c>
      <c r="C479" s="7" t="n">
        <f aca="false">Scoring!C486</f>
        <v>0</v>
      </c>
      <c r="D479" s="191" t="str">
        <f aca="false">Scoring!CW486</f>
        <v/>
      </c>
      <c r="E479" s="7" t="str">
        <f aca="false">Scoring!BX486</f>
        <v/>
      </c>
      <c r="F479" s="7" t="n">
        <f aca="false">Scoring!B486</f>
        <v>0</v>
      </c>
      <c r="G479" s="7" t="n">
        <f aca="false">Scoring!D486</f>
        <v>0</v>
      </c>
      <c r="H479" s="7" t="str">
        <f aca="false">Scoring!CY486</f>
        <v/>
      </c>
      <c r="I479" s="192" t="str">
        <f aca="false">Scoring!CX486</f>
        <v/>
      </c>
    </row>
    <row r="480" customFormat="false" ht="15.75" hidden="false" customHeight="false" outlineLevel="0" collapsed="false">
      <c r="A480" s="7" t="str">
        <f aca="false">Scoring!DA487</f>
        <v/>
      </c>
      <c r="B480" s="7" t="str">
        <f aca="false">Scoring!CZ487</f>
        <v/>
      </c>
      <c r="C480" s="7" t="n">
        <f aca="false">Scoring!C487</f>
        <v>0</v>
      </c>
      <c r="D480" s="191" t="str">
        <f aca="false">Scoring!CW487</f>
        <v/>
      </c>
      <c r="E480" s="7" t="str">
        <f aca="false">Scoring!BX487</f>
        <v/>
      </c>
      <c r="F480" s="7" t="n">
        <f aca="false">Scoring!B487</f>
        <v>0</v>
      </c>
      <c r="G480" s="7" t="n">
        <f aca="false">Scoring!D487</f>
        <v>0</v>
      </c>
      <c r="H480" s="7" t="str">
        <f aca="false">Scoring!CY487</f>
        <v/>
      </c>
      <c r="I480" s="192" t="str">
        <f aca="false">Scoring!CX487</f>
        <v/>
      </c>
    </row>
    <row r="481" customFormat="false" ht="15.75" hidden="false" customHeight="false" outlineLevel="0" collapsed="false">
      <c r="A481" s="7" t="str">
        <f aca="false">Scoring!DA488</f>
        <v/>
      </c>
      <c r="B481" s="7" t="str">
        <f aca="false">Scoring!CZ488</f>
        <v/>
      </c>
      <c r="C481" s="7" t="n">
        <f aca="false">Scoring!C488</f>
        <v>0</v>
      </c>
      <c r="D481" s="191" t="str">
        <f aca="false">Scoring!CW488</f>
        <v/>
      </c>
      <c r="E481" s="7" t="str">
        <f aca="false">Scoring!BX488</f>
        <v/>
      </c>
      <c r="F481" s="7" t="n">
        <f aca="false">Scoring!B488</f>
        <v>0</v>
      </c>
      <c r="G481" s="7" t="n">
        <f aca="false">Scoring!D488</f>
        <v>0</v>
      </c>
      <c r="H481" s="7" t="str">
        <f aca="false">Scoring!CY488</f>
        <v/>
      </c>
      <c r="I481" s="192" t="str">
        <f aca="false">Scoring!CX488</f>
        <v/>
      </c>
    </row>
    <row r="482" customFormat="false" ht="15.75" hidden="false" customHeight="false" outlineLevel="0" collapsed="false">
      <c r="A482" s="7" t="str">
        <f aca="false">Scoring!DA489</f>
        <v/>
      </c>
      <c r="B482" s="7" t="str">
        <f aca="false">Scoring!CZ489</f>
        <v/>
      </c>
      <c r="C482" s="7" t="n">
        <f aca="false">Scoring!C489</f>
        <v>0</v>
      </c>
      <c r="D482" s="191" t="str">
        <f aca="false">Scoring!CW489</f>
        <v/>
      </c>
      <c r="E482" s="7" t="str">
        <f aca="false">Scoring!BX489</f>
        <v/>
      </c>
      <c r="F482" s="7" t="n">
        <f aca="false">Scoring!B489</f>
        <v>0</v>
      </c>
      <c r="G482" s="7" t="n">
        <f aca="false">Scoring!D489</f>
        <v>0</v>
      </c>
      <c r="H482" s="7" t="str">
        <f aca="false">Scoring!CY489</f>
        <v/>
      </c>
      <c r="I482" s="192" t="str">
        <f aca="false">Scoring!CX489</f>
        <v/>
      </c>
    </row>
    <row r="483" customFormat="false" ht="15.75" hidden="false" customHeight="false" outlineLevel="0" collapsed="false">
      <c r="A483" s="7" t="str">
        <f aca="false">Scoring!DA490</f>
        <v/>
      </c>
      <c r="B483" s="7" t="str">
        <f aca="false">Scoring!CZ490</f>
        <v/>
      </c>
      <c r="C483" s="7" t="n">
        <f aca="false">Scoring!C490</f>
        <v>0</v>
      </c>
      <c r="D483" s="191" t="str">
        <f aca="false">Scoring!CW490</f>
        <v/>
      </c>
      <c r="E483" s="7" t="str">
        <f aca="false">Scoring!BX490</f>
        <v/>
      </c>
      <c r="F483" s="7" t="n">
        <f aca="false">Scoring!B490</f>
        <v>0</v>
      </c>
      <c r="G483" s="7" t="n">
        <f aca="false">Scoring!D490</f>
        <v>0</v>
      </c>
      <c r="H483" s="7" t="str">
        <f aca="false">Scoring!CY490</f>
        <v/>
      </c>
      <c r="I483" s="192" t="str">
        <f aca="false">Scoring!CX490</f>
        <v/>
      </c>
    </row>
    <row r="484" customFormat="false" ht="15.75" hidden="false" customHeight="false" outlineLevel="0" collapsed="false">
      <c r="A484" s="7" t="str">
        <f aca="false">Scoring!DA491</f>
        <v/>
      </c>
      <c r="B484" s="7" t="str">
        <f aca="false">Scoring!CZ491</f>
        <v/>
      </c>
      <c r="C484" s="7" t="n">
        <f aca="false">Scoring!C491</f>
        <v>0</v>
      </c>
      <c r="D484" s="191" t="str">
        <f aca="false">Scoring!CW491</f>
        <v/>
      </c>
      <c r="E484" s="7" t="str">
        <f aca="false">Scoring!BX491</f>
        <v/>
      </c>
      <c r="F484" s="7" t="n">
        <f aca="false">Scoring!B491</f>
        <v>0</v>
      </c>
      <c r="G484" s="7" t="n">
        <f aca="false">Scoring!D491</f>
        <v>0</v>
      </c>
      <c r="H484" s="7" t="str">
        <f aca="false">Scoring!CY491</f>
        <v/>
      </c>
      <c r="I484" s="192" t="str">
        <f aca="false">Scoring!CX491</f>
        <v/>
      </c>
    </row>
    <row r="485" customFormat="false" ht="15.75" hidden="false" customHeight="false" outlineLevel="0" collapsed="false">
      <c r="A485" s="7" t="str">
        <f aca="false">Scoring!DA492</f>
        <v/>
      </c>
      <c r="B485" s="7" t="str">
        <f aca="false">Scoring!CZ492</f>
        <v/>
      </c>
      <c r="C485" s="7" t="n">
        <f aca="false">Scoring!C492</f>
        <v>0</v>
      </c>
      <c r="D485" s="191" t="str">
        <f aca="false">Scoring!CW492</f>
        <v/>
      </c>
      <c r="E485" s="7" t="str">
        <f aca="false">Scoring!BX492</f>
        <v/>
      </c>
      <c r="F485" s="7" t="n">
        <f aca="false">Scoring!B492</f>
        <v>0</v>
      </c>
      <c r="G485" s="7" t="n">
        <f aca="false">Scoring!D492</f>
        <v>0</v>
      </c>
      <c r="H485" s="7" t="str">
        <f aca="false">Scoring!CY492</f>
        <v/>
      </c>
      <c r="I485" s="192" t="str">
        <f aca="false">Scoring!CX492</f>
        <v/>
      </c>
    </row>
    <row r="486" customFormat="false" ht="15.75" hidden="false" customHeight="false" outlineLevel="0" collapsed="false">
      <c r="A486" s="7" t="str">
        <f aca="false">Scoring!DA493</f>
        <v/>
      </c>
      <c r="B486" s="7" t="str">
        <f aca="false">Scoring!CZ493</f>
        <v/>
      </c>
      <c r="C486" s="7" t="n">
        <f aca="false">Scoring!C493</f>
        <v>0</v>
      </c>
      <c r="D486" s="191" t="str">
        <f aca="false">Scoring!CW493</f>
        <v/>
      </c>
      <c r="E486" s="7" t="str">
        <f aca="false">Scoring!BX493</f>
        <v/>
      </c>
      <c r="F486" s="7" t="n">
        <f aca="false">Scoring!B493</f>
        <v>0</v>
      </c>
      <c r="G486" s="7" t="n">
        <f aca="false">Scoring!D493</f>
        <v>0</v>
      </c>
      <c r="H486" s="7" t="str">
        <f aca="false">Scoring!CY493</f>
        <v/>
      </c>
      <c r="I486" s="192" t="str">
        <f aca="false">Scoring!CX493</f>
        <v/>
      </c>
    </row>
    <row r="487" customFormat="false" ht="15.75" hidden="false" customHeight="false" outlineLevel="0" collapsed="false">
      <c r="A487" s="7" t="str">
        <f aca="false">Scoring!DA494</f>
        <v/>
      </c>
      <c r="B487" s="7" t="str">
        <f aca="false">Scoring!CZ494</f>
        <v/>
      </c>
      <c r="C487" s="7" t="n">
        <f aca="false">Scoring!C494</f>
        <v>0</v>
      </c>
      <c r="D487" s="191" t="str">
        <f aca="false">Scoring!CW494</f>
        <v/>
      </c>
      <c r="E487" s="7" t="str">
        <f aca="false">Scoring!BX494</f>
        <v/>
      </c>
      <c r="F487" s="7" t="n">
        <f aca="false">Scoring!B494</f>
        <v>0</v>
      </c>
      <c r="G487" s="7" t="n">
        <f aca="false">Scoring!D494</f>
        <v>0</v>
      </c>
      <c r="H487" s="7" t="str">
        <f aca="false">Scoring!CY494</f>
        <v/>
      </c>
      <c r="I487" s="192" t="str">
        <f aca="false">Scoring!CX494</f>
        <v/>
      </c>
    </row>
    <row r="488" customFormat="false" ht="15.75" hidden="false" customHeight="false" outlineLevel="0" collapsed="false">
      <c r="A488" s="7" t="str">
        <f aca="false">Scoring!DA495</f>
        <v/>
      </c>
      <c r="B488" s="7" t="str">
        <f aca="false">Scoring!CZ495</f>
        <v/>
      </c>
      <c r="C488" s="7" t="n">
        <f aca="false">Scoring!C495</f>
        <v>0</v>
      </c>
      <c r="D488" s="191" t="str">
        <f aca="false">Scoring!CW495</f>
        <v/>
      </c>
      <c r="E488" s="7" t="str">
        <f aca="false">Scoring!BX495</f>
        <v/>
      </c>
      <c r="F488" s="7" t="n">
        <f aca="false">Scoring!B495</f>
        <v>0</v>
      </c>
      <c r="G488" s="7" t="n">
        <f aca="false">Scoring!D495</f>
        <v>0</v>
      </c>
      <c r="H488" s="7" t="str">
        <f aca="false">Scoring!CY495</f>
        <v/>
      </c>
      <c r="I488" s="192" t="str">
        <f aca="false">Scoring!CX495</f>
        <v/>
      </c>
    </row>
    <row r="489" customFormat="false" ht="15.75" hidden="false" customHeight="false" outlineLevel="0" collapsed="false">
      <c r="A489" s="7" t="str">
        <f aca="false">Scoring!DA496</f>
        <v/>
      </c>
      <c r="B489" s="7" t="str">
        <f aca="false">Scoring!CZ496</f>
        <v/>
      </c>
      <c r="C489" s="7" t="n">
        <f aca="false">Scoring!C496</f>
        <v>0</v>
      </c>
      <c r="D489" s="191" t="str">
        <f aca="false">Scoring!CW496</f>
        <v/>
      </c>
      <c r="E489" s="7" t="str">
        <f aca="false">Scoring!BX496</f>
        <v/>
      </c>
      <c r="F489" s="7" t="n">
        <f aca="false">Scoring!B496</f>
        <v>0</v>
      </c>
      <c r="G489" s="7" t="n">
        <f aca="false">Scoring!D496</f>
        <v>0</v>
      </c>
      <c r="H489" s="7" t="str">
        <f aca="false">Scoring!CY496</f>
        <v/>
      </c>
      <c r="I489" s="192" t="str">
        <f aca="false">Scoring!CX496</f>
        <v/>
      </c>
    </row>
    <row r="490" customFormat="false" ht="15.75" hidden="false" customHeight="false" outlineLevel="0" collapsed="false">
      <c r="A490" s="7" t="str">
        <f aca="false">Scoring!DA497</f>
        <v/>
      </c>
      <c r="B490" s="7" t="str">
        <f aca="false">Scoring!CZ497</f>
        <v/>
      </c>
      <c r="C490" s="7" t="n">
        <f aca="false">Scoring!C497</f>
        <v>0</v>
      </c>
      <c r="D490" s="191" t="str">
        <f aca="false">Scoring!CW497</f>
        <v/>
      </c>
      <c r="E490" s="7" t="str">
        <f aca="false">Scoring!BX497</f>
        <v/>
      </c>
      <c r="F490" s="7" t="n">
        <f aca="false">Scoring!B497</f>
        <v>0</v>
      </c>
      <c r="G490" s="7" t="n">
        <f aca="false">Scoring!D497</f>
        <v>0</v>
      </c>
      <c r="H490" s="7" t="str">
        <f aca="false">Scoring!CY497</f>
        <v/>
      </c>
      <c r="I490" s="192" t="str">
        <f aca="false">Scoring!CX497</f>
        <v/>
      </c>
    </row>
    <row r="491" customFormat="false" ht="15.75" hidden="false" customHeight="false" outlineLevel="0" collapsed="false">
      <c r="A491" s="7" t="str">
        <f aca="false">Scoring!DA498</f>
        <v/>
      </c>
      <c r="B491" s="7" t="str">
        <f aca="false">Scoring!CZ498</f>
        <v/>
      </c>
      <c r="C491" s="7" t="n">
        <f aca="false">Scoring!C498</f>
        <v>0</v>
      </c>
      <c r="D491" s="191" t="str">
        <f aca="false">Scoring!CW498</f>
        <v/>
      </c>
      <c r="E491" s="7" t="str">
        <f aca="false">Scoring!BX498</f>
        <v/>
      </c>
      <c r="F491" s="7" t="n">
        <f aca="false">Scoring!B498</f>
        <v>0</v>
      </c>
      <c r="G491" s="7" t="n">
        <f aca="false">Scoring!D498</f>
        <v>0</v>
      </c>
      <c r="H491" s="7" t="str">
        <f aca="false">Scoring!CY498</f>
        <v/>
      </c>
      <c r="I491" s="192" t="str">
        <f aca="false">Scoring!CX498</f>
        <v/>
      </c>
    </row>
    <row r="492" customFormat="false" ht="15.75" hidden="false" customHeight="false" outlineLevel="0" collapsed="false">
      <c r="A492" s="7" t="str">
        <f aca="false">Scoring!DA499</f>
        <v/>
      </c>
      <c r="B492" s="7" t="str">
        <f aca="false">Scoring!CZ499</f>
        <v/>
      </c>
      <c r="C492" s="7" t="n">
        <f aca="false">Scoring!C499</f>
        <v>0</v>
      </c>
      <c r="D492" s="191" t="str">
        <f aca="false">Scoring!CW499</f>
        <v/>
      </c>
      <c r="E492" s="7" t="str">
        <f aca="false">Scoring!BX499</f>
        <v/>
      </c>
      <c r="F492" s="7" t="n">
        <f aca="false">Scoring!B499</f>
        <v>0</v>
      </c>
      <c r="G492" s="7" t="n">
        <f aca="false">Scoring!D499</f>
        <v>0</v>
      </c>
      <c r="H492" s="7" t="str">
        <f aca="false">Scoring!CY499</f>
        <v/>
      </c>
      <c r="I492" s="192" t="str">
        <f aca="false">Scoring!CX499</f>
        <v/>
      </c>
    </row>
    <row r="493" customFormat="false" ht="15.75" hidden="false" customHeight="false" outlineLevel="0" collapsed="false">
      <c r="A493" s="7" t="str">
        <f aca="false">Scoring!DA500</f>
        <v/>
      </c>
      <c r="B493" s="7" t="str">
        <f aca="false">Scoring!CZ500</f>
        <v/>
      </c>
      <c r="C493" s="7" t="n">
        <f aca="false">Scoring!C500</f>
        <v>0</v>
      </c>
      <c r="D493" s="191" t="str">
        <f aca="false">Scoring!CW500</f>
        <v/>
      </c>
      <c r="E493" s="7" t="str">
        <f aca="false">Scoring!BX500</f>
        <v/>
      </c>
      <c r="F493" s="7" t="n">
        <f aca="false">Scoring!B500</f>
        <v>0</v>
      </c>
      <c r="G493" s="7" t="n">
        <f aca="false">Scoring!D500</f>
        <v>0</v>
      </c>
      <c r="H493" s="7" t="str">
        <f aca="false">Scoring!CY500</f>
        <v/>
      </c>
      <c r="I493" s="192" t="str">
        <f aca="false">Scoring!CX500</f>
        <v/>
      </c>
    </row>
    <row r="494" customFormat="false" ht="15.75" hidden="false" customHeight="false" outlineLevel="0" collapsed="false">
      <c r="A494" s="7" t="str">
        <f aca="false">Scoring!DA501</f>
        <v/>
      </c>
      <c r="B494" s="7" t="str">
        <f aca="false">Scoring!CZ501</f>
        <v/>
      </c>
      <c r="C494" s="7" t="n">
        <f aca="false">Scoring!C501</f>
        <v>0</v>
      </c>
      <c r="D494" s="191" t="str">
        <f aca="false">Scoring!CW501</f>
        <v/>
      </c>
      <c r="E494" s="7" t="str">
        <f aca="false">Scoring!BX501</f>
        <v/>
      </c>
      <c r="F494" s="7" t="n">
        <f aca="false">Scoring!B501</f>
        <v>0</v>
      </c>
      <c r="G494" s="7" t="n">
        <f aca="false">Scoring!D501</f>
        <v>0</v>
      </c>
      <c r="H494" s="7" t="str">
        <f aca="false">Scoring!CY501</f>
        <v/>
      </c>
      <c r="I494" s="192" t="str">
        <f aca="false">Scoring!CX501</f>
        <v/>
      </c>
    </row>
    <row r="495" customFormat="false" ht="15.75" hidden="false" customHeight="false" outlineLevel="0" collapsed="false">
      <c r="A495" s="7" t="str">
        <f aca="false">Scoring!DA502</f>
        <v/>
      </c>
      <c r="B495" s="7" t="str">
        <f aca="false">Scoring!CZ502</f>
        <v/>
      </c>
      <c r="C495" s="7" t="n">
        <f aca="false">Scoring!C502</f>
        <v>0</v>
      </c>
      <c r="D495" s="191" t="str">
        <f aca="false">Scoring!CW502</f>
        <v/>
      </c>
      <c r="E495" s="7" t="str">
        <f aca="false">Scoring!BX502</f>
        <v/>
      </c>
      <c r="F495" s="7" t="n">
        <f aca="false">Scoring!B502</f>
        <v>0</v>
      </c>
      <c r="G495" s="7" t="n">
        <f aca="false">Scoring!D502</f>
        <v>0</v>
      </c>
      <c r="H495" s="7" t="str">
        <f aca="false">Scoring!CY502</f>
        <v/>
      </c>
      <c r="I495" s="192" t="str">
        <f aca="false">Scoring!CX502</f>
        <v/>
      </c>
    </row>
    <row r="496" customFormat="false" ht="15.75" hidden="false" customHeight="false" outlineLevel="0" collapsed="false">
      <c r="A496" s="7" t="str">
        <f aca="false">Scoring!DA503</f>
        <v/>
      </c>
      <c r="B496" s="7" t="str">
        <f aca="false">Scoring!CZ503</f>
        <v/>
      </c>
      <c r="C496" s="7" t="n">
        <f aca="false">Scoring!C503</f>
        <v>0</v>
      </c>
      <c r="D496" s="191" t="str">
        <f aca="false">Scoring!CW503</f>
        <v/>
      </c>
      <c r="E496" s="7" t="str">
        <f aca="false">Scoring!BX503</f>
        <v/>
      </c>
      <c r="F496" s="7" t="n">
        <f aca="false">Scoring!B503</f>
        <v>0</v>
      </c>
      <c r="G496" s="7" t="n">
        <f aca="false">Scoring!D503</f>
        <v>0</v>
      </c>
      <c r="H496" s="7" t="str">
        <f aca="false">Scoring!CY503</f>
        <v/>
      </c>
      <c r="I496" s="192" t="str">
        <f aca="false">Scoring!CX503</f>
        <v/>
      </c>
    </row>
    <row r="497" customFormat="false" ht="15.75" hidden="false" customHeight="false" outlineLevel="0" collapsed="false">
      <c r="A497" s="7" t="str">
        <f aca="false">Scoring!DA504</f>
        <v/>
      </c>
      <c r="B497" s="7" t="str">
        <f aca="false">Scoring!CZ504</f>
        <v/>
      </c>
      <c r="C497" s="7" t="n">
        <f aca="false">Scoring!C504</f>
        <v>0</v>
      </c>
      <c r="D497" s="191" t="str">
        <f aca="false">Scoring!CW504</f>
        <v/>
      </c>
      <c r="E497" s="7" t="str">
        <f aca="false">Scoring!BX504</f>
        <v/>
      </c>
      <c r="F497" s="7" t="n">
        <f aca="false">Scoring!B504</f>
        <v>0</v>
      </c>
      <c r="G497" s="7" t="n">
        <f aca="false">Scoring!D504</f>
        <v>0</v>
      </c>
      <c r="H497" s="7" t="str">
        <f aca="false">Scoring!CY504</f>
        <v/>
      </c>
      <c r="I497" s="192" t="str">
        <f aca="false">Scoring!CX504</f>
        <v/>
      </c>
    </row>
    <row r="498" customFormat="false" ht="15.75" hidden="false" customHeight="false" outlineLevel="0" collapsed="false">
      <c r="A498" s="7" t="str">
        <f aca="false">Scoring!DA505</f>
        <v/>
      </c>
      <c r="B498" s="7" t="str">
        <f aca="false">Scoring!CZ505</f>
        <v/>
      </c>
      <c r="C498" s="7" t="n">
        <f aca="false">Scoring!C505</f>
        <v>0</v>
      </c>
      <c r="D498" s="191" t="str">
        <f aca="false">Scoring!CW505</f>
        <v/>
      </c>
      <c r="E498" s="7" t="str">
        <f aca="false">Scoring!BX505</f>
        <v/>
      </c>
      <c r="F498" s="7" t="n">
        <f aca="false">Scoring!B505</f>
        <v>0</v>
      </c>
      <c r="G498" s="7" t="n">
        <f aca="false">Scoring!D505</f>
        <v>0</v>
      </c>
      <c r="H498" s="7" t="str">
        <f aca="false">Scoring!CY505</f>
        <v/>
      </c>
      <c r="I498" s="192" t="str">
        <f aca="false">Scoring!CX505</f>
        <v/>
      </c>
    </row>
    <row r="499" customFormat="false" ht="15.75" hidden="false" customHeight="false" outlineLevel="0" collapsed="false">
      <c r="A499" s="7" t="str">
        <f aca="false">Scoring!DA506</f>
        <v/>
      </c>
      <c r="B499" s="7" t="str">
        <f aca="false">Scoring!CZ506</f>
        <v/>
      </c>
      <c r="C499" s="7" t="n">
        <f aca="false">Scoring!C506</f>
        <v>0</v>
      </c>
      <c r="D499" s="191" t="str">
        <f aca="false">Scoring!CW506</f>
        <v/>
      </c>
      <c r="E499" s="7" t="str">
        <f aca="false">Scoring!BX506</f>
        <v/>
      </c>
      <c r="F499" s="7" t="n">
        <f aca="false">Scoring!B506</f>
        <v>0</v>
      </c>
      <c r="G499" s="7" t="n">
        <f aca="false">Scoring!D506</f>
        <v>0</v>
      </c>
      <c r="H499" s="7" t="str">
        <f aca="false">Scoring!CY506</f>
        <v/>
      </c>
      <c r="I499" s="192" t="str">
        <f aca="false">Scoring!CX506</f>
        <v/>
      </c>
    </row>
    <row r="500" customFormat="false" ht="15.75" hidden="false" customHeight="false" outlineLevel="0" collapsed="false">
      <c r="A500" s="7" t="str">
        <f aca="false">Scoring!DA507</f>
        <v/>
      </c>
      <c r="B500" s="7" t="str">
        <f aca="false">Scoring!CZ507</f>
        <v/>
      </c>
      <c r="C500" s="7" t="n">
        <f aca="false">Scoring!C507</f>
        <v>0</v>
      </c>
      <c r="D500" s="191" t="str">
        <f aca="false">Scoring!CW507</f>
        <v/>
      </c>
      <c r="E500" s="7" t="str">
        <f aca="false">Scoring!BX507</f>
        <v/>
      </c>
      <c r="F500" s="7" t="n">
        <f aca="false">Scoring!B507</f>
        <v>0</v>
      </c>
      <c r="G500" s="7" t="n">
        <f aca="false">Scoring!D507</f>
        <v>0</v>
      </c>
      <c r="H500" s="7" t="str">
        <f aca="false">Scoring!CY507</f>
        <v/>
      </c>
      <c r="I500" s="192" t="str">
        <f aca="false">Scoring!CX507</f>
        <v/>
      </c>
    </row>
    <row r="501" customFormat="false" ht="15.75" hidden="false" customHeight="false" outlineLevel="0" collapsed="false">
      <c r="A501" s="7" t="str">
        <f aca="false">Scoring!DA508</f>
        <v/>
      </c>
      <c r="B501" s="7" t="str">
        <f aca="false">Scoring!CZ508</f>
        <v/>
      </c>
      <c r="C501" s="7" t="n">
        <f aca="false">Scoring!C508</f>
        <v>0</v>
      </c>
      <c r="D501" s="191" t="str">
        <f aca="false">Scoring!CW508</f>
        <v/>
      </c>
      <c r="E501" s="7" t="str">
        <f aca="false">Scoring!BX508</f>
        <v/>
      </c>
      <c r="F501" s="7" t="n">
        <f aca="false">Scoring!B508</f>
        <v>0</v>
      </c>
      <c r="G501" s="7" t="n">
        <f aca="false">Scoring!D508</f>
        <v>0</v>
      </c>
      <c r="H501" s="7" t="str">
        <f aca="false">Scoring!CY508</f>
        <v/>
      </c>
      <c r="I501" s="192" t="str">
        <f aca="false">Scoring!CX508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2026-09-27T13:52:31Z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